
<file path=[Content_Types].xml><?xml version="1.0" encoding="utf-8"?>
<Types xmlns="http://schemas.openxmlformats.org/package/2006/content-types"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3.xml" ContentType="application/vnd.openxmlformats-officedocument.spreadsheetml.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4"/>
  <workbookPr/>
  <mc:AlternateContent xmlns:mc="http://schemas.openxmlformats.org/markup-compatibility/2006">
    <mc:Choice Requires="x15">
      <x15ac:absPath xmlns:x15ac="http://schemas.microsoft.com/office/spreadsheetml/2010/11/ac" url="/Users/MartaMonteis/Documents/1_Espai la Lira_20231115/"/>
    </mc:Choice>
  </mc:AlternateContent>
  <xr:revisionPtr revIDLastSave="25" documentId="13_ncr:1_{47FE3420-EEEB-8F4E-AEFA-B160FFF5F45F}" xr6:coauthVersionLast="47" xr6:coauthVersionMax="47" xr10:uidLastSave="{3E963225-5CA9-1845-B8D5-C1D5625AE1FD}"/>
  <bookViews>
    <workbookView xWindow="0" yWindow="460" windowWidth="25600" windowHeight="14260" tabRatio="500" activeTab="9" xr2:uid="{00000000-000D-0000-FFFF-FFFF00000000}"/>
  </bookViews>
  <sheets>
    <sheet name="Registre de reserves" sheetId="6" r:id="rId1"/>
    <sheet name="Registre de despeses" sheetId="7" r:id="rId2"/>
    <sheet name="2025" sheetId="32" r:id="rId3"/>
    <sheet name="2024" sheetId="29" r:id="rId4"/>
    <sheet name="2023" sheetId="23" r:id="rId5"/>
    <sheet name="2022" sheetId="19" r:id="rId6"/>
    <sheet name="2021" sheetId="14" r:id="rId7"/>
    <sheet name="2020" sheetId="13" r:id="rId8"/>
    <sheet name="Cuadro de mando 2023" sheetId="30" r:id="rId9"/>
    <sheet name="Cuadro de mando 2022" sheetId="20" r:id="rId10"/>
    <sheet name="Nova facturació 2024" sheetId="27" r:id="rId11"/>
    <sheet name="Cuadro de mando 2021" sheetId="18" r:id="rId12"/>
    <sheet name="Cuadro de mando 2020" sheetId="16" r:id="rId13"/>
    <sheet name="Tarifas 2022" sheetId="21" r:id="rId14"/>
    <sheet name="Post bodas" sheetId="28" r:id="rId15"/>
    <sheet name="Tarifas" sheetId="1" r:id="rId16"/>
    <sheet name="Factura" sheetId="10" r:id="rId17"/>
    <sheet name="Presupost" sheetId="12" r:id="rId18"/>
    <sheet name="Rebuts" sheetId="31" r:id="rId19"/>
    <sheet name="Hoja1" sheetId="33" r:id="rId20"/>
    <sheet name="Hoja4" sheetId="4" state="hidden" r:id="rId21"/>
  </sheets>
  <calcPr calcId="191028"/>
  <pivotCaches>
    <pivotCache cacheId="0" r:id="rId22"/>
    <pivotCache cacheId="1" r:id="rId23"/>
    <pivotCache cacheId="2" r:id="rId2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174" i="6" l="1"/>
  <c r="AA1174" i="6"/>
  <c r="S1174" i="6"/>
  <c r="Z1163" i="6"/>
  <c r="AA1163" i="6"/>
  <c r="S1163" i="6"/>
  <c r="Z1160" i="6"/>
  <c r="S1160" i="6"/>
  <c r="AA1160" i="6"/>
  <c r="Z1175" i="6"/>
  <c r="S1175" i="6"/>
  <c r="Z1173" i="6"/>
  <c r="S1173" i="6"/>
  <c r="Z1172" i="6"/>
  <c r="AA1172" i="6"/>
  <c r="S1172" i="6"/>
  <c r="Z1171" i="6"/>
  <c r="S1171" i="6"/>
  <c r="Z1170" i="6"/>
  <c r="S1170" i="6"/>
  <c r="Z1169" i="6"/>
  <c r="S1169" i="6"/>
  <c r="Z1168" i="6"/>
  <c r="AA1168" i="6"/>
  <c r="S1168" i="6"/>
  <c r="Z1167" i="6"/>
  <c r="S1167" i="6"/>
  <c r="Z1166" i="6"/>
  <c r="S1166" i="6"/>
  <c r="Z1165" i="6"/>
  <c r="S1165" i="6"/>
  <c r="S1176" i="6"/>
  <c r="S1177" i="6"/>
  <c r="Z1176" i="6"/>
  <c r="Z1177" i="6"/>
  <c r="AA1177" i="6"/>
  <c r="AA1176" i="6"/>
  <c r="Z1164" i="6"/>
  <c r="S1164" i="6"/>
  <c r="Z1162" i="6"/>
  <c r="S1162" i="6"/>
  <c r="Z1161" i="6"/>
  <c r="S1161" i="6"/>
  <c r="E476" i="7"/>
  <c r="E475" i="7"/>
  <c r="AA1167" i="6"/>
  <c r="AA1171" i="6"/>
  <c r="AA1164" i="6"/>
  <c r="AA1166" i="6"/>
  <c r="AA1170" i="6"/>
  <c r="AA1175" i="6"/>
  <c r="AA1165" i="6"/>
  <c r="AA1169" i="6"/>
  <c r="AA1173" i="6"/>
  <c r="AA1162" i="6"/>
  <c r="AA1161" i="6"/>
  <c r="H471" i="7"/>
  <c r="G471" i="7"/>
  <c r="H474" i="7"/>
  <c r="G474" i="7"/>
  <c r="E474" i="7"/>
  <c r="E471" i="7"/>
  <c r="E473" i="7"/>
  <c r="E472" i="7"/>
  <c r="E470" i="7"/>
  <c r="E469" i="7"/>
  <c r="Z1159" i="6"/>
  <c r="AA1159" i="6"/>
  <c r="S1159" i="6"/>
  <c r="Z1158" i="6"/>
  <c r="S1158" i="6"/>
  <c r="Z1155" i="6"/>
  <c r="AA1155" i="6"/>
  <c r="S1155" i="6"/>
  <c r="Z1157" i="6"/>
  <c r="S1157" i="6"/>
  <c r="Z1156" i="6"/>
  <c r="S1156" i="6"/>
  <c r="Z1154" i="6"/>
  <c r="S1154" i="6"/>
  <c r="Z1153" i="6"/>
  <c r="S1153" i="6"/>
  <c r="Z1152" i="6"/>
  <c r="S1152" i="6"/>
  <c r="Z1151" i="6"/>
  <c r="S1151" i="6"/>
  <c r="Z1150" i="6"/>
  <c r="S1150" i="6"/>
  <c r="Z1149" i="6"/>
  <c r="S1149" i="6"/>
  <c r="Z1148" i="6"/>
  <c r="S1148" i="6"/>
  <c r="Z1147" i="6"/>
  <c r="S1147" i="6"/>
  <c r="Z1146" i="6"/>
  <c r="S1146" i="6"/>
  <c r="Z1145" i="6"/>
  <c r="AA1145" i="6"/>
  <c r="S1145" i="6"/>
  <c r="Z1144" i="6"/>
  <c r="S1144" i="6"/>
  <c r="Z1143" i="6"/>
  <c r="S1143" i="6"/>
  <c r="Z1142" i="6"/>
  <c r="S1142" i="6"/>
  <c r="Z1141" i="6"/>
  <c r="AA1141" i="6"/>
  <c r="S1141" i="6"/>
  <c r="Z1140" i="6"/>
  <c r="S1140" i="6"/>
  <c r="Z1139" i="6"/>
  <c r="S1139" i="6"/>
  <c r="Z1138" i="6"/>
  <c r="S1138" i="6"/>
  <c r="Z1137" i="6"/>
  <c r="AA1137" i="6"/>
  <c r="S1137" i="6"/>
  <c r="Z1136" i="6"/>
  <c r="S1136" i="6"/>
  <c r="Z1135" i="6"/>
  <c r="S1135" i="6"/>
  <c r="Z1134" i="6"/>
  <c r="S1134" i="6"/>
  <c r="Z1133" i="6"/>
  <c r="S1133" i="6"/>
  <c r="Z1129" i="6"/>
  <c r="S1129" i="6"/>
  <c r="AA1149" i="6"/>
  <c r="AA1154" i="6"/>
  <c r="AA1158" i="6"/>
  <c r="AA1157" i="6"/>
  <c r="AA1136" i="6"/>
  <c r="AA1152" i="6"/>
  <c r="AA1129" i="6"/>
  <c r="AA1135" i="6"/>
  <c r="AA1156" i="6"/>
  <c r="AA1153" i="6"/>
  <c r="AA1139" i="6"/>
  <c r="AA1143" i="6"/>
  <c r="AA1147" i="6"/>
  <c r="AA1151" i="6"/>
  <c r="AA1138" i="6"/>
  <c r="AA1142" i="6"/>
  <c r="AA1146" i="6"/>
  <c r="AA1150" i="6"/>
  <c r="AA1140" i="6"/>
  <c r="AA1144" i="6"/>
  <c r="AA1148" i="6"/>
  <c r="AA1134" i="6"/>
  <c r="AA1133" i="6"/>
  <c r="Z1127" i="6"/>
  <c r="S1127" i="6"/>
  <c r="Z1125" i="6"/>
  <c r="S1125" i="6"/>
  <c r="E468" i="7"/>
  <c r="Z1114" i="6"/>
  <c r="S1114" i="6"/>
  <c r="Z1113" i="6"/>
  <c r="S1113" i="6"/>
  <c r="E467" i="7"/>
  <c r="E466" i="7"/>
  <c r="H465" i="7"/>
  <c r="G465" i="7"/>
  <c r="H463" i="7"/>
  <c r="G463" i="7"/>
  <c r="E461" i="7"/>
  <c r="E454" i="7"/>
  <c r="Z1132" i="6"/>
  <c r="S1132" i="6"/>
  <c r="Z1131" i="6"/>
  <c r="S1131" i="6"/>
  <c r="Z1130" i="6"/>
  <c r="S1130" i="6"/>
  <c r="Z1128" i="6"/>
  <c r="S1128" i="6"/>
  <c r="Z1126" i="6"/>
  <c r="S1126" i="6"/>
  <c r="Z1124" i="6"/>
  <c r="S1124" i="6"/>
  <c r="Z1123" i="6"/>
  <c r="S1123" i="6"/>
  <c r="Z1122" i="6"/>
  <c r="S1122" i="6"/>
  <c r="Z1121" i="6"/>
  <c r="S1121" i="6"/>
  <c r="Z1120" i="6"/>
  <c r="S1120" i="6"/>
  <c r="Z1119" i="6"/>
  <c r="S1119" i="6"/>
  <c r="Z1118" i="6"/>
  <c r="S1118" i="6"/>
  <c r="Z1117" i="6"/>
  <c r="S1117" i="6"/>
  <c r="Z1116" i="6"/>
  <c r="S1116" i="6"/>
  <c r="Z1115" i="6"/>
  <c r="S1115" i="6"/>
  <c r="Z1112" i="6"/>
  <c r="S1112" i="6"/>
  <c r="Z1111" i="6"/>
  <c r="S1111" i="6"/>
  <c r="Z1110" i="6"/>
  <c r="S1110" i="6"/>
  <c r="E460" i="7"/>
  <c r="E465" i="7"/>
  <c r="E464" i="7"/>
  <c r="E463" i="7"/>
  <c r="E462" i="7"/>
  <c r="AA1127" i="6"/>
  <c r="AA1115" i="6"/>
  <c r="AA1119" i="6"/>
  <c r="AA1123" i="6"/>
  <c r="AA1130" i="6"/>
  <c r="AA1114" i="6"/>
  <c r="AA1125" i="6"/>
  <c r="AA1113" i="6"/>
  <c r="AA1121" i="6"/>
  <c r="AA1132" i="6"/>
  <c r="AA1112" i="6"/>
  <c r="AA1118" i="6"/>
  <c r="AA1122" i="6"/>
  <c r="AA1128" i="6"/>
  <c r="AA1126" i="6"/>
  <c r="AA1110" i="6"/>
  <c r="AA1116" i="6"/>
  <c r="AA1120" i="6"/>
  <c r="AA1124" i="6"/>
  <c r="AA1131" i="6"/>
  <c r="AA1117" i="6"/>
  <c r="AA1111" i="6"/>
  <c r="Z1109" i="6"/>
  <c r="S1109" i="6"/>
  <c r="Z1108" i="6"/>
  <c r="S1108" i="6"/>
  <c r="Z1107" i="6"/>
  <c r="S1107" i="6"/>
  <c r="Z1106" i="6"/>
  <c r="S1106" i="6"/>
  <c r="Z1105" i="6"/>
  <c r="S1105" i="6"/>
  <c r="Z1104" i="6"/>
  <c r="S1104" i="6"/>
  <c r="Z1103" i="6"/>
  <c r="S1103" i="6"/>
  <c r="Z1102" i="6"/>
  <c r="S1102" i="6"/>
  <c r="S1098" i="6"/>
  <c r="Z1098" i="6"/>
  <c r="Z1101" i="6"/>
  <c r="S1101" i="6"/>
  <c r="Z1100" i="6"/>
  <c r="S1100" i="6"/>
  <c r="Z1099" i="6"/>
  <c r="S1099" i="6"/>
  <c r="Z1097" i="6"/>
  <c r="S1097" i="6"/>
  <c r="Z1096" i="6"/>
  <c r="S1096" i="6"/>
  <c r="Z1095" i="6"/>
  <c r="S1095" i="6"/>
  <c r="Z1094" i="6"/>
  <c r="S1094" i="6"/>
  <c r="Z1093" i="6"/>
  <c r="S1093" i="6"/>
  <c r="Z1092" i="6"/>
  <c r="S1092" i="6"/>
  <c r="Z1091" i="6"/>
  <c r="S1091" i="6"/>
  <c r="Z1090" i="6"/>
  <c r="S1090" i="6"/>
  <c r="Z1089" i="6"/>
  <c r="S1089" i="6"/>
  <c r="E459" i="7"/>
  <c r="E458" i="7"/>
  <c r="E457" i="7"/>
  <c r="E456" i="7"/>
  <c r="E455" i="7"/>
  <c r="Z1087" i="6"/>
  <c r="S1087" i="6"/>
  <c r="E453" i="7"/>
  <c r="E452" i="7"/>
  <c r="E451" i="7"/>
  <c r="E450" i="7"/>
  <c r="E449" i="7"/>
  <c r="E448" i="7"/>
  <c r="Z1088" i="6"/>
  <c r="S1088" i="6"/>
  <c r="Z1086" i="6"/>
  <c r="S1086" i="6"/>
  <c r="Z1085" i="6"/>
  <c r="S1085" i="6"/>
  <c r="Z1084" i="6"/>
  <c r="S1084" i="6"/>
  <c r="Z1083" i="6"/>
  <c r="S1083" i="6"/>
  <c r="Z1082" i="6"/>
  <c r="S1082" i="6"/>
  <c r="Z1081" i="6"/>
  <c r="S1081" i="6"/>
  <c r="Z1080" i="6"/>
  <c r="S1080" i="6"/>
  <c r="Z1079" i="6"/>
  <c r="S1079" i="6"/>
  <c r="Z1078" i="6"/>
  <c r="S1078" i="6"/>
  <c r="Z1077" i="6"/>
  <c r="S1077" i="6"/>
  <c r="Z1076" i="6"/>
  <c r="S1076" i="6"/>
  <c r="Z1075" i="6"/>
  <c r="S1075" i="6"/>
  <c r="Z1074" i="6"/>
  <c r="S1074" i="6"/>
  <c r="Z1073" i="6"/>
  <c r="S1073" i="6"/>
  <c r="Z1072" i="6"/>
  <c r="S1072" i="6"/>
  <c r="Z1071" i="6"/>
  <c r="S1071" i="6"/>
  <c r="Z1068" i="6"/>
  <c r="S1068" i="6"/>
  <c r="Z1067" i="6"/>
  <c r="S1067" i="6"/>
  <c r="Z1066" i="6"/>
  <c r="S1066" i="6"/>
  <c r="Z1065" i="6"/>
  <c r="S1065" i="6"/>
  <c r="Z1063" i="6"/>
  <c r="S1063" i="6"/>
  <c r="Z1058" i="6"/>
  <c r="S1058" i="6"/>
  <c r="E444" i="7"/>
  <c r="H447" i="7"/>
  <c r="G447" i="7"/>
  <c r="E446" i="7"/>
  <c r="E447" i="7"/>
  <c r="E445" i="7"/>
  <c r="Z1056" i="6"/>
  <c r="S1056" i="6"/>
  <c r="E443" i="7"/>
  <c r="E442" i="7"/>
  <c r="E441" i="7"/>
  <c r="H438" i="7"/>
  <c r="G438" i="7"/>
  <c r="E440" i="7"/>
  <c r="E439" i="7"/>
  <c r="E438" i="7"/>
  <c r="E437" i="7"/>
  <c r="AA1058" i="6"/>
  <c r="AA1106" i="6"/>
  <c r="AA1074" i="6"/>
  <c r="AA1078" i="6"/>
  <c r="AA1087" i="6"/>
  <c r="AA1089" i="6"/>
  <c r="AA1097" i="6"/>
  <c r="AA1085" i="6"/>
  <c r="AA1096" i="6"/>
  <c r="AA1105" i="6"/>
  <c r="AA1109" i="6"/>
  <c r="AA1073" i="6"/>
  <c r="AA1092" i="6"/>
  <c r="AA1098" i="6"/>
  <c r="AA1107" i="6"/>
  <c r="AA1108" i="6"/>
  <c r="AA1101" i="6"/>
  <c r="AA1091" i="6"/>
  <c r="AA1095" i="6"/>
  <c r="AA1100" i="6"/>
  <c r="AA1103" i="6"/>
  <c r="AA1090" i="6"/>
  <c r="AA1094" i="6"/>
  <c r="AA1099" i="6"/>
  <c r="AA1102" i="6"/>
  <c r="AA1093" i="6"/>
  <c r="AA1104" i="6"/>
  <c r="AA1072" i="6"/>
  <c r="AA1082" i="6"/>
  <c r="AA1086" i="6"/>
  <c r="AA1076" i="6"/>
  <c r="AA1080" i="6"/>
  <c r="AA1084" i="6"/>
  <c r="AA1068" i="6"/>
  <c r="AA1071" i="6"/>
  <c r="AA1075" i="6"/>
  <c r="AA1079" i="6"/>
  <c r="AA1083" i="6"/>
  <c r="AA1088" i="6"/>
  <c r="AA1081" i="6"/>
  <c r="AA1077" i="6"/>
  <c r="AA1066" i="6"/>
  <c r="AA1065" i="6"/>
  <c r="AA1067" i="6"/>
  <c r="AA1063" i="6"/>
  <c r="AA1056" i="6"/>
  <c r="Z1070" i="6"/>
  <c r="S1070" i="6"/>
  <c r="Z1069" i="6"/>
  <c r="S1069" i="6"/>
  <c r="Z1064" i="6"/>
  <c r="S1064" i="6"/>
  <c r="Z1062" i="6"/>
  <c r="S1062" i="6"/>
  <c r="Z1061" i="6"/>
  <c r="S1061" i="6"/>
  <c r="Z1060" i="6"/>
  <c r="S1060" i="6"/>
  <c r="Z1059" i="6"/>
  <c r="S1059" i="6"/>
  <c r="Z1057" i="6"/>
  <c r="S1057" i="6"/>
  <c r="Z1055" i="6"/>
  <c r="S1055" i="6"/>
  <c r="Z1054" i="6"/>
  <c r="S1054" i="6"/>
  <c r="Z1053" i="6"/>
  <c r="S1053" i="6"/>
  <c r="Z1052" i="6"/>
  <c r="S1052" i="6"/>
  <c r="Z1051" i="6"/>
  <c r="S1051" i="6"/>
  <c r="Z1050" i="6"/>
  <c r="S1050" i="6"/>
  <c r="Z1047" i="6"/>
  <c r="S1047" i="6"/>
  <c r="Z1049" i="6"/>
  <c r="S1049" i="6"/>
  <c r="Z1048" i="6"/>
  <c r="S1048" i="6"/>
  <c r="Z1046" i="6"/>
  <c r="S1046" i="6"/>
  <c r="Z1045" i="6"/>
  <c r="S1045" i="6"/>
  <c r="Z1044" i="6"/>
  <c r="S1044" i="6"/>
  <c r="Z1043" i="6"/>
  <c r="S1043" i="6"/>
  <c r="Z1041" i="6"/>
  <c r="S1041" i="6"/>
  <c r="Z1042" i="6"/>
  <c r="S1042" i="6"/>
  <c r="Z1029" i="6"/>
  <c r="S1029" i="6"/>
  <c r="Z1023" i="6"/>
  <c r="S1023" i="6"/>
  <c r="E436" i="7"/>
  <c r="AA1053" i="6"/>
  <c r="AA1064" i="6"/>
  <c r="AA1051" i="6"/>
  <c r="AA1059" i="6"/>
  <c r="AA1055" i="6"/>
  <c r="AA1061" i="6"/>
  <c r="AA1049" i="6"/>
  <c r="AA1052" i="6"/>
  <c r="AA1057" i="6"/>
  <c r="AA1062" i="6"/>
  <c r="AA1043" i="6"/>
  <c r="AA1050" i="6"/>
  <c r="AA1054" i="6"/>
  <c r="AA1060" i="6"/>
  <c r="AA1069" i="6"/>
  <c r="AA1070" i="6"/>
  <c r="AA1041" i="6"/>
  <c r="AA1046" i="6"/>
  <c r="AA1042" i="6"/>
  <c r="AA1045" i="6"/>
  <c r="AA1047" i="6"/>
  <c r="AA1048" i="6"/>
  <c r="AA1044" i="6"/>
  <c r="AA1029" i="6"/>
  <c r="AA1023" i="6"/>
  <c r="G21" i="10"/>
  <c r="Z1040" i="6"/>
  <c r="S1040" i="6"/>
  <c r="Z1038" i="6"/>
  <c r="S1038" i="6"/>
  <c r="Z1036" i="6"/>
  <c r="S1036" i="6"/>
  <c r="Z1034" i="6"/>
  <c r="S1034" i="6"/>
  <c r="Z1026" i="6"/>
  <c r="S1026" i="6"/>
  <c r="Z1024" i="6"/>
  <c r="S1024" i="6"/>
  <c r="Z1018" i="6"/>
  <c r="S1018" i="6"/>
  <c r="Z1017" i="6"/>
  <c r="S1017" i="6"/>
  <c r="E435" i="7"/>
  <c r="E434" i="7"/>
  <c r="E433" i="7"/>
  <c r="Z1015" i="6"/>
  <c r="S1015" i="6"/>
  <c r="Z1014" i="6"/>
  <c r="S1014" i="6"/>
  <c r="Z1008" i="6"/>
  <c r="S1008" i="6"/>
  <c r="I427" i="7"/>
  <c r="G427" i="7"/>
  <c r="E432" i="7"/>
  <c r="E431" i="7"/>
  <c r="Z983" i="6"/>
  <c r="S983" i="6"/>
  <c r="Z1178" i="6"/>
  <c r="S1178" i="6"/>
  <c r="Z1039" i="6"/>
  <c r="S1039" i="6"/>
  <c r="Z1037" i="6"/>
  <c r="S1037" i="6"/>
  <c r="Z1035" i="6"/>
  <c r="S1035" i="6"/>
  <c r="Z1033" i="6"/>
  <c r="S1033" i="6"/>
  <c r="Z1032" i="6"/>
  <c r="S1032" i="6"/>
  <c r="Z1031" i="6"/>
  <c r="S1031" i="6"/>
  <c r="Z1030" i="6"/>
  <c r="S1030" i="6"/>
  <c r="Z1027" i="6"/>
  <c r="S1027" i="6"/>
  <c r="Z1028" i="6"/>
  <c r="S1028" i="6"/>
  <c r="Z1025" i="6"/>
  <c r="S1025" i="6"/>
  <c r="Z1022" i="6"/>
  <c r="S1022" i="6"/>
  <c r="Z1021" i="6"/>
  <c r="S1021" i="6"/>
  <c r="Z1020" i="6"/>
  <c r="S1020" i="6"/>
  <c r="Z1019" i="6"/>
  <c r="S1019" i="6"/>
  <c r="X57" i="32"/>
  <c r="V57" i="32"/>
  <c r="T57" i="32"/>
  <c r="R57" i="32"/>
  <c r="R56" i="32"/>
  <c r="S57" i="32"/>
  <c r="P57" i="32"/>
  <c r="N57" i="32"/>
  <c r="L57" i="32"/>
  <c r="H57" i="32"/>
  <c r="H56" i="32"/>
  <c r="I57" i="32"/>
  <c r="F57" i="32"/>
  <c r="D57" i="32"/>
  <c r="D56" i="32"/>
  <c r="E57" i="32"/>
  <c r="B57" i="32"/>
  <c r="B56" i="32"/>
  <c r="C57" i="32"/>
  <c r="J57" i="32"/>
  <c r="J56" i="32"/>
  <c r="K57" i="32"/>
  <c r="L47" i="21"/>
  <c r="N218" i="32"/>
  <c r="O218" i="32"/>
  <c r="Z214" i="32"/>
  <c r="X210" i="32"/>
  <c r="X220" i="32"/>
  <c r="Y220" i="32"/>
  <c r="V210" i="32"/>
  <c r="V220" i="32"/>
  <c r="W220" i="32"/>
  <c r="T210" i="32"/>
  <c r="T220" i="32"/>
  <c r="U220" i="32"/>
  <c r="R210" i="32"/>
  <c r="R220" i="32"/>
  <c r="S220" i="32"/>
  <c r="P210" i="32"/>
  <c r="P220" i="32"/>
  <c r="Q220" i="32"/>
  <c r="N210" i="32"/>
  <c r="N220" i="32"/>
  <c r="O220" i="32"/>
  <c r="L210" i="32"/>
  <c r="L220" i="32"/>
  <c r="M220" i="32"/>
  <c r="J210" i="32"/>
  <c r="J220" i="32"/>
  <c r="K220" i="32"/>
  <c r="H210" i="32"/>
  <c r="H220" i="32"/>
  <c r="I220" i="32"/>
  <c r="F210" i="32"/>
  <c r="F220" i="32"/>
  <c r="G220" i="32"/>
  <c r="D210" i="32"/>
  <c r="D220" i="32"/>
  <c r="E220" i="32"/>
  <c r="B210" i="32"/>
  <c r="X208" i="32"/>
  <c r="V208" i="32"/>
  <c r="V207" i="32"/>
  <c r="T208" i="32"/>
  <c r="T207" i="32"/>
  <c r="R208" i="32"/>
  <c r="R207" i="32"/>
  <c r="R219" i="32"/>
  <c r="S219" i="32"/>
  <c r="P208" i="32"/>
  <c r="P207" i="32"/>
  <c r="N208" i="32"/>
  <c r="N207" i="32"/>
  <c r="O208" i="32"/>
  <c r="L208" i="32"/>
  <c r="L207" i="32"/>
  <c r="J208" i="32"/>
  <c r="J207" i="32"/>
  <c r="J219" i="32"/>
  <c r="K219" i="32"/>
  <c r="H208" i="32"/>
  <c r="H207" i="32"/>
  <c r="F208" i="32"/>
  <c r="F207" i="32"/>
  <c r="D208" i="32"/>
  <c r="D207" i="32"/>
  <c r="B208" i="32"/>
  <c r="X207" i="32"/>
  <c r="Z205" i="32"/>
  <c r="Z204" i="32"/>
  <c r="AA205" i="32"/>
  <c r="Y205" i="32"/>
  <c r="Q205" i="32"/>
  <c r="O205" i="32"/>
  <c r="I205" i="32"/>
  <c r="X204" i="32"/>
  <c r="V204" i="32"/>
  <c r="W205" i="32"/>
  <c r="T204" i="32"/>
  <c r="U205" i="32"/>
  <c r="R204" i="32"/>
  <c r="S205" i="32"/>
  <c r="P204" i="32"/>
  <c r="N204" i="32"/>
  <c r="L204" i="32"/>
  <c r="M205" i="32"/>
  <c r="J204" i="32"/>
  <c r="K205" i="32"/>
  <c r="H204" i="32"/>
  <c r="F204" i="32"/>
  <c r="G205" i="32"/>
  <c r="D204" i="32"/>
  <c r="E205" i="32"/>
  <c r="B204" i="32"/>
  <c r="C205" i="32"/>
  <c r="Z150" i="32"/>
  <c r="T201" i="32"/>
  <c r="Z140" i="32"/>
  <c r="Z144" i="32"/>
  <c r="X134" i="32"/>
  <c r="X133" i="32"/>
  <c r="V134" i="32"/>
  <c r="V133" i="32"/>
  <c r="T134" i="32"/>
  <c r="T133" i="32"/>
  <c r="R134" i="32"/>
  <c r="R133" i="32"/>
  <c r="P134" i="32"/>
  <c r="P133" i="32"/>
  <c r="N134" i="32"/>
  <c r="N133" i="32"/>
  <c r="L134" i="32"/>
  <c r="L133" i="32"/>
  <c r="J134" i="32"/>
  <c r="J133" i="32"/>
  <c r="H134" i="32"/>
  <c r="H133" i="32"/>
  <c r="F134" i="32"/>
  <c r="F133" i="32"/>
  <c r="F145" i="32"/>
  <c r="G145" i="32"/>
  <c r="D134" i="32"/>
  <c r="D133" i="32"/>
  <c r="B134" i="32"/>
  <c r="B133" i="32"/>
  <c r="X131" i="32"/>
  <c r="X130" i="32"/>
  <c r="Y131" i="32"/>
  <c r="V131" i="32"/>
  <c r="V130" i="32"/>
  <c r="W131" i="32"/>
  <c r="T131" i="32"/>
  <c r="T130" i="32"/>
  <c r="U131" i="32"/>
  <c r="R131" i="32"/>
  <c r="R130" i="32"/>
  <c r="S131" i="32"/>
  <c r="P131" i="32"/>
  <c r="P130" i="32"/>
  <c r="Q131" i="32"/>
  <c r="N131" i="32"/>
  <c r="N130" i="32"/>
  <c r="O131" i="32"/>
  <c r="L131" i="32"/>
  <c r="L130" i="32"/>
  <c r="M131" i="32"/>
  <c r="J131" i="32"/>
  <c r="J130" i="32"/>
  <c r="K131" i="32"/>
  <c r="H131" i="32"/>
  <c r="H130" i="32"/>
  <c r="I131" i="32"/>
  <c r="F131" i="32"/>
  <c r="F130" i="32"/>
  <c r="G131" i="32"/>
  <c r="D131" i="32"/>
  <c r="D130" i="32"/>
  <c r="E131" i="32"/>
  <c r="B131" i="32"/>
  <c r="B130" i="32"/>
  <c r="C131" i="32"/>
  <c r="Z76" i="32"/>
  <c r="T127" i="32"/>
  <c r="X70" i="32"/>
  <c r="Y70" i="32"/>
  <c r="V70" i="32"/>
  <c r="W70" i="32"/>
  <c r="T70" i="32"/>
  <c r="U70" i="32"/>
  <c r="R70" i="32"/>
  <c r="S70" i="32"/>
  <c r="P70" i="32"/>
  <c r="Q70" i="32"/>
  <c r="N70" i="32"/>
  <c r="O70" i="32"/>
  <c r="L70" i="32"/>
  <c r="M70" i="32"/>
  <c r="J70" i="32"/>
  <c r="K70" i="32"/>
  <c r="H70" i="32"/>
  <c r="I70" i="32"/>
  <c r="F70" i="32"/>
  <c r="G70" i="32"/>
  <c r="D70" i="32"/>
  <c r="E70" i="32"/>
  <c r="B70" i="32"/>
  <c r="C70" i="32"/>
  <c r="Z66" i="32"/>
  <c r="X62" i="32"/>
  <c r="X72" i="32"/>
  <c r="Y72" i="32"/>
  <c r="V62" i="32"/>
  <c r="V72" i="32"/>
  <c r="W72" i="32"/>
  <c r="T62" i="32"/>
  <c r="T72" i="32"/>
  <c r="U72" i="32"/>
  <c r="R62" i="32"/>
  <c r="R72" i="32"/>
  <c r="S72" i="32"/>
  <c r="P62" i="32"/>
  <c r="P72" i="32"/>
  <c r="Q72" i="32"/>
  <c r="N62" i="32"/>
  <c r="N72" i="32"/>
  <c r="O72" i="32"/>
  <c r="L62" i="32"/>
  <c r="L72" i="32"/>
  <c r="M72" i="32"/>
  <c r="J62" i="32"/>
  <c r="J72" i="32"/>
  <c r="K72" i="32"/>
  <c r="H62" i="32"/>
  <c r="H72" i="32"/>
  <c r="I72" i="32"/>
  <c r="F62" i="32"/>
  <c r="F72" i="32"/>
  <c r="G72" i="32"/>
  <c r="D62" i="32"/>
  <c r="D72" i="32"/>
  <c r="E72" i="32"/>
  <c r="B62" i="32"/>
  <c r="X60" i="32"/>
  <c r="X59" i="32"/>
  <c r="X71" i="32"/>
  <c r="Y71" i="32"/>
  <c r="V60" i="32"/>
  <c r="V59" i="32"/>
  <c r="W60" i="32"/>
  <c r="T60" i="32"/>
  <c r="T59" i="32"/>
  <c r="T71" i="32"/>
  <c r="U71" i="32"/>
  <c r="R60" i="32"/>
  <c r="R59" i="32"/>
  <c r="R71" i="32"/>
  <c r="S71" i="32"/>
  <c r="P60" i="32"/>
  <c r="P59" i="32"/>
  <c r="N60" i="32"/>
  <c r="N59" i="32"/>
  <c r="N71" i="32"/>
  <c r="O71" i="32"/>
  <c r="L60" i="32"/>
  <c r="L59" i="32"/>
  <c r="L71" i="32"/>
  <c r="M71" i="32"/>
  <c r="J60" i="32"/>
  <c r="J59" i="32"/>
  <c r="H60" i="32"/>
  <c r="H59" i="32"/>
  <c r="H71" i="32"/>
  <c r="I71" i="32"/>
  <c r="F60" i="32"/>
  <c r="F59" i="32"/>
  <c r="F71" i="32"/>
  <c r="G71" i="32"/>
  <c r="D60" i="32"/>
  <c r="D59" i="32"/>
  <c r="B60" i="32"/>
  <c r="B59" i="32"/>
  <c r="B71" i="32"/>
  <c r="C71" i="32"/>
  <c r="X56" i="32"/>
  <c r="Y57" i="32"/>
  <c r="V56" i="32"/>
  <c r="W57" i="32"/>
  <c r="T56" i="32"/>
  <c r="U57" i="32"/>
  <c r="N56" i="32"/>
  <c r="O57" i="32"/>
  <c r="L56" i="32"/>
  <c r="M57" i="32"/>
  <c r="F56" i="32"/>
  <c r="G57" i="32"/>
  <c r="P56" i="32"/>
  <c r="Q57" i="32"/>
  <c r="X54" i="32"/>
  <c r="V54" i="32"/>
  <c r="T54" i="32"/>
  <c r="R54" i="32"/>
  <c r="P54" i="32"/>
  <c r="N54" i="32"/>
  <c r="L54" i="32"/>
  <c r="J54" i="32"/>
  <c r="H54" i="32"/>
  <c r="F54" i="32"/>
  <c r="D54" i="32"/>
  <c r="B54" i="32"/>
  <c r="X53" i="32"/>
  <c r="V53" i="32"/>
  <c r="T53" i="32"/>
  <c r="R53" i="32"/>
  <c r="P53" i="32"/>
  <c r="N53" i="32"/>
  <c r="L53" i="32"/>
  <c r="J53" i="32"/>
  <c r="H53" i="32"/>
  <c r="F53" i="32"/>
  <c r="D53" i="32"/>
  <c r="B53" i="32"/>
  <c r="X52" i="32"/>
  <c r="V52" i="32"/>
  <c r="T52" i="32"/>
  <c r="R52" i="32"/>
  <c r="P52" i="32"/>
  <c r="N52" i="32"/>
  <c r="L52" i="32"/>
  <c r="J52" i="32"/>
  <c r="H52" i="32"/>
  <c r="F52" i="32"/>
  <c r="D52" i="32"/>
  <c r="B52" i="32"/>
  <c r="X51" i="32"/>
  <c r="V51" i="32"/>
  <c r="T51" i="32"/>
  <c r="R51" i="32"/>
  <c r="P51" i="32"/>
  <c r="N51" i="32"/>
  <c r="L51" i="32"/>
  <c r="J51" i="32"/>
  <c r="H51" i="32"/>
  <c r="F51" i="32"/>
  <c r="D51" i="32"/>
  <c r="B51" i="32"/>
  <c r="X50" i="32"/>
  <c r="V50" i="32"/>
  <c r="T50" i="32"/>
  <c r="T49" i="32"/>
  <c r="R50" i="32"/>
  <c r="P50" i="32"/>
  <c r="N50" i="32"/>
  <c r="L50" i="32"/>
  <c r="J50" i="32"/>
  <c r="H50" i="32"/>
  <c r="F50" i="32"/>
  <c r="D50" i="32"/>
  <c r="D49" i="32"/>
  <c r="E53" i="32"/>
  <c r="B50" i="32"/>
  <c r="X48" i="32"/>
  <c r="V48" i="32"/>
  <c r="T48" i="32"/>
  <c r="R48" i="32"/>
  <c r="P48" i="32"/>
  <c r="N48" i="32"/>
  <c r="L48" i="32"/>
  <c r="J48" i="32"/>
  <c r="H48" i="32"/>
  <c r="F48" i="32"/>
  <c r="D48" i="32"/>
  <c r="B48" i="32"/>
  <c r="X47" i="32"/>
  <c r="V47" i="32"/>
  <c r="T47" i="32"/>
  <c r="R47" i="32"/>
  <c r="P47" i="32"/>
  <c r="N47" i="32"/>
  <c r="L47" i="32"/>
  <c r="J47" i="32"/>
  <c r="H47" i="32"/>
  <c r="F47" i="32"/>
  <c r="D47" i="32"/>
  <c r="B47" i="32"/>
  <c r="X46" i="32"/>
  <c r="V46" i="32"/>
  <c r="T46" i="32"/>
  <c r="R46" i="32"/>
  <c r="P46" i="32"/>
  <c r="N46" i="32"/>
  <c r="L46" i="32"/>
  <c r="J46" i="32"/>
  <c r="H46" i="32"/>
  <c r="F46" i="32"/>
  <c r="D46" i="32"/>
  <c r="B46" i="32"/>
  <c r="X45" i="32"/>
  <c r="V45" i="32"/>
  <c r="T45" i="32"/>
  <c r="R45" i="32"/>
  <c r="P45" i="32"/>
  <c r="N45" i="32"/>
  <c r="L45" i="32"/>
  <c r="J45" i="32"/>
  <c r="H45" i="32"/>
  <c r="F45" i="32"/>
  <c r="D45" i="32"/>
  <c r="B45" i="32"/>
  <c r="X44" i="32"/>
  <c r="V44" i="32"/>
  <c r="T44" i="32"/>
  <c r="R44" i="32"/>
  <c r="P44" i="32"/>
  <c r="N44" i="32"/>
  <c r="L44" i="32"/>
  <c r="J44" i="32"/>
  <c r="H44" i="32"/>
  <c r="F44" i="32"/>
  <c r="D44" i="32"/>
  <c r="B44" i="32"/>
  <c r="X43" i="32"/>
  <c r="V43" i="32"/>
  <c r="T43" i="32"/>
  <c r="R43" i="32"/>
  <c r="P43" i="32"/>
  <c r="N43" i="32"/>
  <c r="L43" i="32"/>
  <c r="J43" i="32"/>
  <c r="H43" i="32"/>
  <c r="F43" i="32"/>
  <c r="D43" i="32"/>
  <c r="B43" i="32"/>
  <c r="X42" i="32"/>
  <c r="V42" i="32"/>
  <c r="V41" i="32"/>
  <c r="T42" i="32"/>
  <c r="R42" i="32"/>
  <c r="R41" i="32"/>
  <c r="P42" i="32"/>
  <c r="N42" i="32"/>
  <c r="L42" i="32"/>
  <c r="J42" i="32"/>
  <c r="H42" i="32"/>
  <c r="H41" i="32"/>
  <c r="F42" i="32"/>
  <c r="D42" i="32"/>
  <c r="B42" i="32"/>
  <c r="X39" i="32"/>
  <c r="V39" i="32"/>
  <c r="T39" i="32"/>
  <c r="R39" i="32"/>
  <c r="P39" i="32"/>
  <c r="N39" i="32"/>
  <c r="L39" i="32"/>
  <c r="J39" i="32"/>
  <c r="H39" i="32"/>
  <c r="F39" i="32"/>
  <c r="D39" i="32"/>
  <c r="B39" i="32"/>
  <c r="X38" i="32"/>
  <c r="V38" i="32"/>
  <c r="T38" i="32"/>
  <c r="R38" i="32"/>
  <c r="P38" i="32"/>
  <c r="N38" i="32"/>
  <c r="L38" i="32"/>
  <c r="J38" i="32"/>
  <c r="H38" i="32"/>
  <c r="F38" i="32"/>
  <c r="D38" i="32"/>
  <c r="B38" i="32"/>
  <c r="X37" i="32"/>
  <c r="V37" i="32"/>
  <c r="T37" i="32"/>
  <c r="R37" i="32"/>
  <c r="P37" i="32"/>
  <c r="N37" i="32"/>
  <c r="L37" i="32"/>
  <c r="J37" i="32"/>
  <c r="H37" i="32"/>
  <c r="F37" i="32"/>
  <c r="D37" i="32"/>
  <c r="B37" i="32"/>
  <c r="X36" i="32"/>
  <c r="V36" i="32"/>
  <c r="T36" i="32"/>
  <c r="R36" i="32"/>
  <c r="P36" i="32"/>
  <c r="N36" i="32"/>
  <c r="L36" i="32"/>
  <c r="J36" i="32"/>
  <c r="H36" i="32"/>
  <c r="F36" i="32"/>
  <c r="D36" i="32"/>
  <c r="B36" i="32"/>
  <c r="X35" i="32"/>
  <c r="V35" i="32"/>
  <c r="T35" i="32"/>
  <c r="R35" i="32"/>
  <c r="P35" i="32"/>
  <c r="N35" i="32"/>
  <c r="L35" i="32"/>
  <c r="J35" i="32"/>
  <c r="H35" i="32"/>
  <c r="F35" i="32"/>
  <c r="D35" i="32"/>
  <c r="B35" i="32"/>
  <c r="X34" i="32"/>
  <c r="V34" i="32"/>
  <c r="T34" i="32"/>
  <c r="R34" i="32"/>
  <c r="P34" i="32"/>
  <c r="N34" i="32"/>
  <c r="L34" i="32"/>
  <c r="J34" i="32"/>
  <c r="H34" i="32"/>
  <c r="F34" i="32"/>
  <c r="D34" i="32"/>
  <c r="B34" i="32"/>
  <c r="X33" i="32"/>
  <c r="V33" i="32"/>
  <c r="T33" i="32"/>
  <c r="R33" i="32"/>
  <c r="P33" i="32"/>
  <c r="N33" i="32"/>
  <c r="L33" i="32"/>
  <c r="J33" i="32"/>
  <c r="H33" i="32"/>
  <c r="F33" i="32"/>
  <c r="D33" i="32"/>
  <c r="B33" i="32"/>
  <c r="X32" i="32"/>
  <c r="V32" i="32"/>
  <c r="T32" i="32"/>
  <c r="R32" i="32"/>
  <c r="P32" i="32"/>
  <c r="N32" i="32"/>
  <c r="L32" i="32"/>
  <c r="J32" i="32"/>
  <c r="H32" i="32"/>
  <c r="F32" i="32"/>
  <c r="F31" i="32"/>
  <c r="G39" i="32"/>
  <c r="D32" i="32"/>
  <c r="B32" i="32"/>
  <c r="X30" i="32"/>
  <c r="V30" i="32"/>
  <c r="T30" i="32"/>
  <c r="R30" i="32"/>
  <c r="P30" i="32"/>
  <c r="N30" i="32"/>
  <c r="L30" i="32"/>
  <c r="J30" i="32"/>
  <c r="H30" i="32"/>
  <c r="F30" i="32"/>
  <c r="D30" i="32"/>
  <c r="B30" i="32"/>
  <c r="X29" i="32"/>
  <c r="V29" i="32"/>
  <c r="T29" i="32"/>
  <c r="R29" i="32"/>
  <c r="P29" i="32"/>
  <c r="N29" i="32"/>
  <c r="L29" i="32"/>
  <c r="J29" i="32"/>
  <c r="H29" i="32"/>
  <c r="F29" i="32"/>
  <c r="D29" i="32"/>
  <c r="B29" i="32"/>
  <c r="X28" i="32"/>
  <c r="V28" i="32"/>
  <c r="T28" i="32"/>
  <c r="R28" i="32"/>
  <c r="P28" i="32"/>
  <c r="N28" i="32"/>
  <c r="L28" i="32"/>
  <c r="J28" i="32"/>
  <c r="H28" i="32"/>
  <c r="F28" i="32"/>
  <c r="D28" i="32"/>
  <c r="B28" i="32"/>
  <c r="X27" i="32"/>
  <c r="V27" i="32"/>
  <c r="T27" i="32"/>
  <c r="R27" i="32"/>
  <c r="P27" i="32"/>
  <c r="N27" i="32"/>
  <c r="L27" i="32"/>
  <c r="J27" i="32"/>
  <c r="H27" i="32"/>
  <c r="F27" i="32"/>
  <c r="D27" i="32"/>
  <c r="B27" i="32"/>
  <c r="X26" i="32"/>
  <c r="V26" i="32"/>
  <c r="T26" i="32"/>
  <c r="R26" i="32"/>
  <c r="P26" i="32"/>
  <c r="N26" i="32"/>
  <c r="L26" i="32"/>
  <c r="J26" i="32"/>
  <c r="H26" i="32"/>
  <c r="F26" i="32"/>
  <c r="D26" i="32"/>
  <c r="B26" i="32"/>
  <c r="X25" i="32"/>
  <c r="V25" i="32"/>
  <c r="T25" i="32"/>
  <c r="R25" i="32"/>
  <c r="P25" i="32"/>
  <c r="N25" i="32"/>
  <c r="L25" i="32"/>
  <c r="J25" i="32"/>
  <c r="H25" i="32"/>
  <c r="F25" i="32"/>
  <c r="D25" i="32"/>
  <c r="B25" i="32"/>
  <c r="X24" i="32"/>
  <c r="V24" i="32"/>
  <c r="T24" i="32"/>
  <c r="R24" i="32"/>
  <c r="P24" i="32"/>
  <c r="N24" i="32"/>
  <c r="L24" i="32"/>
  <c r="J24" i="32"/>
  <c r="H24" i="32"/>
  <c r="F24" i="32"/>
  <c r="D24" i="32"/>
  <c r="B24" i="32"/>
  <c r="X23" i="32"/>
  <c r="V23" i="32"/>
  <c r="V22" i="32"/>
  <c r="T23" i="32"/>
  <c r="R23" i="32"/>
  <c r="P23" i="32"/>
  <c r="N23" i="32"/>
  <c r="L23" i="32"/>
  <c r="J23" i="32"/>
  <c r="H23" i="32"/>
  <c r="F23" i="32"/>
  <c r="D23" i="32"/>
  <c r="B23" i="32"/>
  <c r="X21" i="32"/>
  <c r="V21" i="32"/>
  <c r="T21" i="32"/>
  <c r="R21" i="32"/>
  <c r="P21" i="32"/>
  <c r="N21" i="32"/>
  <c r="L21" i="32"/>
  <c r="J21" i="32"/>
  <c r="H21" i="32"/>
  <c r="F21" i="32"/>
  <c r="D21" i="32"/>
  <c r="B21" i="32"/>
  <c r="X20" i="32"/>
  <c r="V20" i="32"/>
  <c r="T20" i="32"/>
  <c r="R20" i="32"/>
  <c r="P20" i="32"/>
  <c r="N20" i="32"/>
  <c r="L20" i="32"/>
  <c r="J20" i="32"/>
  <c r="H20" i="32"/>
  <c r="F20" i="32"/>
  <c r="D20" i="32"/>
  <c r="B20" i="32"/>
  <c r="X19" i="32"/>
  <c r="V19" i="32"/>
  <c r="T19" i="32"/>
  <c r="R19" i="32"/>
  <c r="P19" i="32"/>
  <c r="N19" i="32"/>
  <c r="L19" i="32"/>
  <c r="J19" i="32"/>
  <c r="H19" i="32"/>
  <c r="F19" i="32"/>
  <c r="D19" i="32"/>
  <c r="B19" i="32"/>
  <c r="X18" i="32"/>
  <c r="V18" i="32"/>
  <c r="T18" i="32"/>
  <c r="R18" i="32"/>
  <c r="P18" i="32"/>
  <c r="N18" i="32"/>
  <c r="L18" i="32"/>
  <c r="J18" i="32"/>
  <c r="H18" i="32"/>
  <c r="F18" i="32"/>
  <c r="D18" i="32"/>
  <c r="B18" i="32"/>
  <c r="X17" i="32"/>
  <c r="V17" i="32"/>
  <c r="T17" i="32"/>
  <c r="R17" i="32"/>
  <c r="P17" i="32"/>
  <c r="N17" i="32"/>
  <c r="L17" i="32"/>
  <c r="J17" i="32"/>
  <c r="H17" i="32"/>
  <c r="F17" i="32"/>
  <c r="D17" i="32"/>
  <c r="B17" i="32"/>
  <c r="X16" i="32"/>
  <c r="V16" i="32"/>
  <c r="T16" i="32"/>
  <c r="R16" i="32"/>
  <c r="P16" i="32"/>
  <c r="N16" i="32"/>
  <c r="L16" i="32"/>
  <c r="J16" i="32"/>
  <c r="H16" i="32"/>
  <c r="F16" i="32"/>
  <c r="D16" i="32"/>
  <c r="B16" i="32"/>
  <c r="X15" i="32"/>
  <c r="V15" i="32"/>
  <c r="T15" i="32"/>
  <c r="R15" i="32"/>
  <c r="P15" i="32"/>
  <c r="N15" i="32"/>
  <c r="L15" i="32"/>
  <c r="J15" i="32"/>
  <c r="H15" i="32"/>
  <c r="F15" i="32"/>
  <c r="D15" i="32"/>
  <c r="B15" i="32"/>
  <c r="X14" i="32"/>
  <c r="V14" i="32"/>
  <c r="T14" i="32"/>
  <c r="R14" i="32"/>
  <c r="P14" i="32"/>
  <c r="N14" i="32"/>
  <c r="L14" i="32"/>
  <c r="J14" i="32"/>
  <c r="H14" i="32"/>
  <c r="F14" i="32"/>
  <c r="D14" i="32"/>
  <c r="B14" i="32"/>
  <c r="X12" i="32"/>
  <c r="V12" i="32"/>
  <c r="T12" i="32"/>
  <c r="R12" i="32"/>
  <c r="P12" i="32"/>
  <c r="N12" i="32"/>
  <c r="L12" i="32"/>
  <c r="J12" i="32"/>
  <c r="H12" i="32"/>
  <c r="F12" i="32"/>
  <c r="D12" i="32"/>
  <c r="B12" i="32"/>
  <c r="X11" i="32"/>
  <c r="V11" i="32"/>
  <c r="T11" i="32"/>
  <c r="R11" i="32"/>
  <c r="P11" i="32"/>
  <c r="N11" i="32"/>
  <c r="L11" i="32"/>
  <c r="J11" i="32"/>
  <c r="H11" i="32"/>
  <c r="F11" i="32"/>
  <c r="D11" i="32"/>
  <c r="B11" i="32"/>
  <c r="X10" i="32"/>
  <c r="V10" i="32"/>
  <c r="T10" i="32"/>
  <c r="R10" i="32"/>
  <c r="P10" i="32"/>
  <c r="N10" i="32"/>
  <c r="L10" i="32"/>
  <c r="J10" i="32"/>
  <c r="H10" i="32"/>
  <c r="F10" i="32"/>
  <c r="D10" i="32"/>
  <c r="B10" i="32"/>
  <c r="X9" i="32"/>
  <c r="V9" i="32"/>
  <c r="T9" i="32"/>
  <c r="R9" i="32"/>
  <c r="P9" i="32"/>
  <c r="N9" i="32"/>
  <c r="L9" i="32"/>
  <c r="J9" i="32"/>
  <c r="H9" i="32"/>
  <c r="F9" i="32"/>
  <c r="D9" i="32"/>
  <c r="B9" i="32"/>
  <c r="X8" i="32"/>
  <c r="V8" i="32"/>
  <c r="T8" i="32"/>
  <c r="R8" i="32"/>
  <c r="P8" i="32"/>
  <c r="N8" i="32"/>
  <c r="L8" i="32"/>
  <c r="J8" i="32"/>
  <c r="H8" i="32"/>
  <c r="F8" i="32"/>
  <c r="D8" i="32"/>
  <c r="B8" i="32"/>
  <c r="X7" i="32"/>
  <c r="V7" i="32"/>
  <c r="T7" i="32"/>
  <c r="R7" i="32"/>
  <c r="P7" i="32"/>
  <c r="N7" i="32"/>
  <c r="L7" i="32"/>
  <c r="J7" i="32"/>
  <c r="H7" i="32"/>
  <c r="F7" i="32"/>
  <c r="D7" i="32"/>
  <c r="B7" i="32"/>
  <c r="X6" i="32"/>
  <c r="V6" i="32"/>
  <c r="T6" i="32"/>
  <c r="R6" i="32"/>
  <c r="P6" i="32"/>
  <c r="N6" i="32"/>
  <c r="L6" i="32"/>
  <c r="J6" i="32"/>
  <c r="H6" i="32"/>
  <c r="F6" i="32"/>
  <c r="D6" i="32"/>
  <c r="B6" i="32"/>
  <c r="X5" i="32"/>
  <c r="V5" i="32"/>
  <c r="T5" i="32"/>
  <c r="R5" i="32"/>
  <c r="P5" i="32"/>
  <c r="N5" i="32"/>
  <c r="L5" i="32"/>
  <c r="J5" i="32"/>
  <c r="H5" i="32"/>
  <c r="F5" i="32"/>
  <c r="D5" i="32"/>
  <c r="B5" i="32"/>
  <c r="H430" i="7"/>
  <c r="G430" i="7"/>
  <c r="E430" i="7"/>
  <c r="Z1004" i="6"/>
  <c r="S1004" i="6"/>
  <c r="Z991" i="6"/>
  <c r="S991" i="6"/>
  <c r="E429" i="7"/>
  <c r="E428" i="7"/>
  <c r="E427" i="7"/>
  <c r="E426" i="7"/>
  <c r="Z1010" i="6"/>
  <c r="S1010" i="6"/>
  <c r="Z1009" i="6"/>
  <c r="S1009" i="6"/>
  <c r="Z982" i="6"/>
  <c r="S982" i="6"/>
  <c r="E422" i="7"/>
  <c r="H425" i="7"/>
  <c r="G425" i="7"/>
  <c r="E425" i="7"/>
  <c r="E424" i="7"/>
  <c r="E423" i="7"/>
  <c r="E421" i="7"/>
  <c r="S998" i="6"/>
  <c r="Z998" i="6"/>
  <c r="S996" i="6"/>
  <c r="Z996" i="6"/>
  <c r="S990" i="6"/>
  <c r="Z990" i="6"/>
  <c r="S986" i="6"/>
  <c r="Z986" i="6"/>
  <c r="S981" i="6"/>
  <c r="Z981" i="6"/>
  <c r="S980" i="6"/>
  <c r="Z980" i="6"/>
  <c r="Z973" i="6"/>
  <c r="AA973" i="6"/>
  <c r="S970" i="6"/>
  <c r="Z970" i="6"/>
  <c r="Z985" i="6"/>
  <c r="S985" i="6"/>
  <c r="Z968" i="6"/>
  <c r="S968" i="6"/>
  <c r="Z955" i="6"/>
  <c r="S955" i="6"/>
  <c r="E420" i="7"/>
  <c r="Z1003" i="6"/>
  <c r="S1003" i="6"/>
  <c r="Z1001" i="6"/>
  <c r="S1001" i="6"/>
  <c r="Z999" i="6"/>
  <c r="S999" i="6"/>
  <c r="Z989" i="6"/>
  <c r="S989" i="6"/>
  <c r="Z979" i="6"/>
  <c r="S979" i="6"/>
  <c r="Z977" i="6"/>
  <c r="S977" i="6"/>
  <c r="Z962" i="6"/>
  <c r="S962" i="6"/>
  <c r="Z946" i="6"/>
  <c r="S946" i="6"/>
  <c r="T41" i="32"/>
  <c r="U46" i="32"/>
  <c r="F41" i="32"/>
  <c r="G45" i="32"/>
  <c r="J49" i="32"/>
  <c r="K51" i="32"/>
  <c r="N41" i="32"/>
  <c r="O44" i="32"/>
  <c r="B31" i="32"/>
  <c r="C37" i="32"/>
  <c r="J41" i="32"/>
  <c r="K47" i="32"/>
  <c r="B22" i="32"/>
  <c r="C29" i="32"/>
  <c r="X41" i="32"/>
  <c r="Y43" i="32"/>
  <c r="L49" i="32"/>
  <c r="M53" i="32"/>
  <c r="J22" i="32"/>
  <c r="K29" i="32"/>
  <c r="AA1034" i="6"/>
  <c r="AA1038" i="6"/>
  <c r="Z57" i="32"/>
  <c r="AA1018" i="6"/>
  <c r="AA1026" i="6"/>
  <c r="AA1036" i="6"/>
  <c r="AA1040" i="6"/>
  <c r="R22" i="32"/>
  <c r="S30" i="32"/>
  <c r="N13" i="32"/>
  <c r="O16" i="32"/>
  <c r="N31" i="32"/>
  <c r="O37" i="32"/>
  <c r="R31" i="32"/>
  <c r="S37" i="32"/>
  <c r="AA1017" i="6"/>
  <c r="AA1024" i="6"/>
  <c r="AA1014" i="6"/>
  <c r="AA1019" i="6"/>
  <c r="AA1021" i="6"/>
  <c r="AA1025" i="6"/>
  <c r="AA1027" i="6"/>
  <c r="AA1031" i="6"/>
  <c r="AA1033" i="6"/>
  <c r="AA1037" i="6"/>
  <c r="AA1178" i="6"/>
  <c r="AA1008" i="6"/>
  <c r="AA1015" i="6"/>
  <c r="D41" i="32"/>
  <c r="E46" i="32"/>
  <c r="H49" i="32"/>
  <c r="H40" i="32"/>
  <c r="P31" i="32"/>
  <c r="Q36" i="32"/>
  <c r="T13" i="32"/>
  <c r="U20" i="32"/>
  <c r="AA983" i="6"/>
  <c r="H4" i="32"/>
  <c r="I10" i="32"/>
  <c r="X31" i="32"/>
  <c r="Y39" i="32"/>
  <c r="F22" i="32"/>
  <c r="G30" i="32"/>
  <c r="H31" i="32"/>
  <c r="I39" i="32"/>
  <c r="V31" i="32"/>
  <c r="W39" i="32"/>
  <c r="C60" i="32"/>
  <c r="G134" i="32"/>
  <c r="O60" i="32"/>
  <c r="K60" i="32"/>
  <c r="J71" i="32"/>
  <c r="K71" i="32"/>
  <c r="V145" i="32"/>
  <c r="W145" i="32"/>
  <c r="W134" i="32"/>
  <c r="Z50" i="32"/>
  <c r="AB50" i="32"/>
  <c r="R49" i="32"/>
  <c r="S51" i="32"/>
  <c r="Z52" i="32"/>
  <c r="AB52" i="32"/>
  <c r="Z62" i="32"/>
  <c r="AB62" i="32"/>
  <c r="V71" i="32"/>
  <c r="W71" i="32"/>
  <c r="P49" i="32"/>
  <c r="Q53" i="32"/>
  <c r="X49" i="32"/>
  <c r="Y51" i="32"/>
  <c r="B13" i="32"/>
  <c r="C16" i="32"/>
  <c r="V13" i="32"/>
  <c r="W17" i="32"/>
  <c r="J13" i="32"/>
  <c r="K18" i="32"/>
  <c r="J31" i="32"/>
  <c r="K37" i="32"/>
  <c r="F13" i="32"/>
  <c r="G16" i="32"/>
  <c r="R13" i="32"/>
  <c r="S21" i="32"/>
  <c r="D4" i="32"/>
  <c r="E10" i="32"/>
  <c r="D31" i="32"/>
  <c r="E36" i="32"/>
  <c r="L31" i="32"/>
  <c r="M39" i="32"/>
  <c r="X13" i="32"/>
  <c r="Y20" i="32"/>
  <c r="L4" i="32"/>
  <c r="M10" i="32"/>
  <c r="D13" i="32"/>
  <c r="E21" i="32"/>
  <c r="AA1020" i="6"/>
  <c r="AA1022" i="6"/>
  <c r="AA1028" i="6"/>
  <c r="AA1030" i="6"/>
  <c r="AA1032" i="6"/>
  <c r="AA1035" i="6"/>
  <c r="T4" i="32"/>
  <c r="U10" i="32"/>
  <c r="AA1039" i="6"/>
  <c r="X4" i="32"/>
  <c r="Y10" i="32"/>
  <c r="P4" i="32"/>
  <c r="Q10" i="32"/>
  <c r="Z39" i="32"/>
  <c r="AB39" i="32"/>
  <c r="T31" i="32"/>
  <c r="U39" i="32"/>
  <c r="Z15" i="32"/>
  <c r="AB15" i="32"/>
  <c r="Z16" i="32"/>
  <c r="AB16" i="32"/>
  <c r="Z18" i="32"/>
  <c r="AB18" i="32"/>
  <c r="Z19" i="32"/>
  <c r="AB19" i="32"/>
  <c r="AA991" i="6"/>
  <c r="Z8" i="32"/>
  <c r="AB8" i="32"/>
  <c r="Z9" i="32"/>
  <c r="AB9" i="32"/>
  <c r="Z10" i="32"/>
  <c r="AB10" i="32"/>
  <c r="Z11" i="32"/>
  <c r="AB11" i="32"/>
  <c r="Z12" i="32"/>
  <c r="AB12" i="32"/>
  <c r="U53" i="32"/>
  <c r="U50" i="32"/>
  <c r="F4" i="32"/>
  <c r="G5" i="32"/>
  <c r="N4" i="32"/>
  <c r="O8" i="32"/>
  <c r="V4" i="32"/>
  <c r="W9" i="32"/>
  <c r="H13" i="32"/>
  <c r="I20" i="32"/>
  <c r="P13" i="32"/>
  <c r="Q14" i="32"/>
  <c r="Z23" i="32"/>
  <c r="AB23" i="32"/>
  <c r="Z26" i="32"/>
  <c r="AB26" i="32"/>
  <c r="Z30" i="32"/>
  <c r="AB30" i="32"/>
  <c r="P41" i="32"/>
  <c r="Q47" i="32"/>
  <c r="R79" i="32"/>
  <c r="N80" i="32"/>
  <c r="D81" i="32"/>
  <c r="F82" i="32"/>
  <c r="H83" i="32"/>
  <c r="F84" i="32"/>
  <c r="D85" i="32"/>
  <c r="R85" i="32"/>
  <c r="J86" i="32"/>
  <c r="D88" i="32"/>
  <c r="V88" i="32"/>
  <c r="V90" i="32"/>
  <c r="R92" i="32"/>
  <c r="R93" i="32"/>
  <c r="H95" i="32"/>
  <c r="T97" i="32"/>
  <c r="F99" i="32"/>
  <c r="R100" i="32"/>
  <c r="N102" i="32"/>
  <c r="N103" i="32"/>
  <c r="T106" i="32"/>
  <c r="P107" i="32"/>
  <c r="R109" i="32"/>
  <c r="H111" i="32"/>
  <c r="N112" i="32"/>
  <c r="B116" i="32"/>
  <c r="L117" i="32"/>
  <c r="N118" i="32"/>
  <c r="J120" i="32"/>
  <c r="V122" i="32"/>
  <c r="N126" i="32"/>
  <c r="D128" i="32"/>
  <c r="D154" i="32"/>
  <c r="V155" i="32"/>
  <c r="V157" i="32"/>
  <c r="R159" i="32"/>
  <c r="D162" i="32"/>
  <c r="F163" i="32"/>
  <c r="B165" i="32"/>
  <c r="N167" i="32"/>
  <c r="P172" i="32"/>
  <c r="R173" i="32"/>
  <c r="S114" i="32"/>
  <c r="D176" i="32"/>
  <c r="B181" i="32"/>
  <c r="X184" i="32"/>
  <c r="F190" i="32"/>
  <c r="H192" i="32"/>
  <c r="N194" i="32"/>
  <c r="R202" i="32"/>
  <c r="Z5" i="32"/>
  <c r="AB5" i="32"/>
  <c r="B4" i="32"/>
  <c r="C8" i="32"/>
  <c r="R4" i="32"/>
  <c r="S12" i="32"/>
  <c r="Z42" i="32"/>
  <c r="AB42" i="32"/>
  <c r="Z45" i="32"/>
  <c r="AB45" i="32"/>
  <c r="Z46" i="32"/>
  <c r="AB46" i="32"/>
  <c r="Z48" i="32"/>
  <c r="AB48" i="32"/>
  <c r="Z51" i="32"/>
  <c r="AB51" i="32"/>
  <c r="N49" i="32"/>
  <c r="O54" i="32"/>
  <c r="D79" i="32"/>
  <c r="T79" i="32"/>
  <c r="T80" i="32"/>
  <c r="L81" i="32"/>
  <c r="R82" i="32"/>
  <c r="J83" i="32"/>
  <c r="L84" i="32"/>
  <c r="F85" i="32"/>
  <c r="V85" i="32"/>
  <c r="R86" i="32"/>
  <c r="F88" i="32"/>
  <c r="J89" i="32"/>
  <c r="L91" i="32"/>
  <c r="V92" i="32"/>
  <c r="H94" i="32"/>
  <c r="N95" i="32"/>
  <c r="D98" i="32"/>
  <c r="J99" i="32"/>
  <c r="L101" i="32"/>
  <c r="X102" i="32"/>
  <c r="T103" i="32"/>
  <c r="V106" i="32"/>
  <c r="B108" i="32"/>
  <c r="H110" i="32"/>
  <c r="R111" i="32"/>
  <c r="T112" i="32"/>
  <c r="F116" i="32"/>
  <c r="R117" i="32"/>
  <c r="X118" i="32"/>
  <c r="J121" i="32"/>
  <c r="L124" i="32"/>
  <c r="X126" i="32"/>
  <c r="T128" i="32"/>
  <c r="H136" i="32"/>
  <c r="H146" i="32"/>
  <c r="I146" i="32"/>
  <c r="B153" i="32"/>
  <c r="T154" i="32"/>
  <c r="P156" i="32"/>
  <c r="P158" i="32"/>
  <c r="H160" i="32"/>
  <c r="P162" i="32"/>
  <c r="N163" i="32"/>
  <c r="J165" i="32"/>
  <c r="B169" i="32"/>
  <c r="T172" i="32"/>
  <c r="V173" i="32"/>
  <c r="W114" i="32"/>
  <c r="N177" i="32"/>
  <c r="J181" i="32"/>
  <c r="T185" i="32"/>
  <c r="L190" i="32"/>
  <c r="D193" i="32"/>
  <c r="H195" i="32"/>
  <c r="J4" i="32"/>
  <c r="Z7" i="32"/>
  <c r="AB7" i="32"/>
  <c r="L13" i="32"/>
  <c r="M18" i="32"/>
  <c r="Z27" i="32"/>
  <c r="AB27" i="32"/>
  <c r="N22" i="32"/>
  <c r="O25" i="32"/>
  <c r="Z33" i="32"/>
  <c r="AB33" i="32"/>
  <c r="Z34" i="32"/>
  <c r="AB34" i="32"/>
  <c r="Z35" i="32"/>
  <c r="AB35" i="32"/>
  <c r="Z36" i="32"/>
  <c r="AB36" i="32"/>
  <c r="Z37" i="32"/>
  <c r="AB37" i="32"/>
  <c r="Z38" i="32"/>
  <c r="AB38" i="32"/>
  <c r="B41" i="32"/>
  <c r="C45" i="32"/>
  <c r="Z43" i="32"/>
  <c r="AB43" i="32"/>
  <c r="L41" i="32"/>
  <c r="M42" i="32"/>
  <c r="Z47" i="32"/>
  <c r="AB47" i="32"/>
  <c r="E50" i="32"/>
  <c r="F49" i="32"/>
  <c r="G52" i="32"/>
  <c r="Z53" i="32"/>
  <c r="AB53" i="32"/>
  <c r="Z54" i="32"/>
  <c r="AB54" i="32"/>
  <c r="H79" i="32"/>
  <c r="F80" i="32"/>
  <c r="V80" i="32"/>
  <c r="P81" i="32"/>
  <c r="T82" i="32"/>
  <c r="V83" i="32"/>
  <c r="P84" i="32"/>
  <c r="H85" i="32"/>
  <c r="B86" i="32"/>
  <c r="T86" i="32"/>
  <c r="N88" i="32"/>
  <c r="N89" i="32"/>
  <c r="P91" i="32"/>
  <c r="B93" i="32"/>
  <c r="L94" i="32"/>
  <c r="T95" i="32"/>
  <c r="P98" i="32"/>
  <c r="V99" i="32"/>
  <c r="V101" i="32"/>
  <c r="B103" i="32"/>
  <c r="H104" i="32"/>
  <c r="F107" i="32"/>
  <c r="R108" i="32"/>
  <c r="N110" i="32"/>
  <c r="T111" i="32"/>
  <c r="J113" i="32"/>
  <c r="R116" i="32"/>
  <c r="V117" i="32"/>
  <c r="D119" i="32"/>
  <c r="P121" i="32"/>
  <c r="R124" i="32"/>
  <c r="D127" i="32"/>
  <c r="N136" i="32"/>
  <c r="N146" i="32"/>
  <c r="O146" i="32"/>
  <c r="J153" i="32"/>
  <c r="F155" i="32"/>
  <c r="T156" i="32"/>
  <c r="X158" i="32"/>
  <c r="L160" i="32"/>
  <c r="T162" i="32"/>
  <c r="V163" i="32"/>
  <c r="R165" i="32"/>
  <c r="F171" i="32"/>
  <c r="B173" i="32"/>
  <c r="P174" i="32"/>
  <c r="D178" i="32"/>
  <c r="N183" i="32"/>
  <c r="N186" i="32"/>
  <c r="F191" i="32"/>
  <c r="L193" i="32"/>
  <c r="J196" i="32"/>
  <c r="P22" i="32"/>
  <c r="Q28" i="32"/>
  <c r="V49" i="32"/>
  <c r="V40" i="32"/>
  <c r="J79" i="32"/>
  <c r="J80" i="32"/>
  <c r="X80" i="32"/>
  <c r="V81" i="32"/>
  <c r="B83" i="32"/>
  <c r="B84" i="32"/>
  <c r="X84" i="32"/>
  <c r="N85" i="32"/>
  <c r="H86" i="32"/>
  <c r="X86" i="32"/>
  <c r="T88" i="32"/>
  <c r="P90" i="32"/>
  <c r="B92" i="32"/>
  <c r="H93" i="32"/>
  <c r="X94" i="32"/>
  <c r="J97" i="32"/>
  <c r="V98" i="32"/>
  <c r="F100" i="32"/>
  <c r="H102" i="32"/>
  <c r="D103" i="32"/>
  <c r="F106" i="32"/>
  <c r="L107" i="32"/>
  <c r="B109" i="32"/>
  <c r="D111" i="32"/>
  <c r="J112" i="32"/>
  <c r="B117" i="32"/>
  <c r="H118" i="32"/>
  <c r="N119" i="32"/>
  <c r="F122" i="32"/>
  <c r="R125" i="32"/>
  <c r="R153" i="32"/>
  <c r="N155" i="32"/>
  <c r="R157" i="32"/>
  <c r="F159" i="32"/>
  <c r="T160" i="32"/>
  <c r="X162" i="32"/>
  <c r="P164" i="32"/>
  <c r="L166" i="32"/>
  <c r="N171" i="32"/>
  <c r="J173" i="32"/>
  <c r="K114" i="32"/>
  <c r="X174" i="32"/>
  <c r="X178" i="32"/>
  <c r="D184" i="32"/>
  <c r="P187" i="32"/>
  <c r="P191" i="32"/>
  <c r="D194" i="32"/>
  <c r="X199" i="32"/>
  <c r="W29" i="32"/>
  <c r="W25" i="32"/>
  <c r="W30" i="32"/>
  <c r="W26" i="32"/>
  <c r="W28" i="32"/>
  <c r="W27" i="32"/>
  <c r="W24" i="32"/>
  <c r="W23" i="32"/>
  <c r="Z14" i="32"/>
  <c r="R145" i="32"/>
  <c r="S145" i="32"/>
  <c r="S134" i="32"/>
  <c r="Z17" i="32"/>
  <c r="AB17" i="32"/>
  <c r="Z20" i="32"/>
  <c r="AB20" i="32"/>
  <c r="Z21" i="32"/>
  <c r="AB21" i="32"/>
  <c r="Z24" i="32"/>
  <c r="AB24" i="32"/>
  <c r="L22" i="32"/>
  <c r="Z25" i="32"/>
  <c r="AB25" i="32"/>
  <c r="K45" i="32"/>
  <c r="Z6" i="32"/>
  <c r="AB6" i="32"/>
  <c r="H22" i="32"/>
  <c r="X22" i="32"/>
  <c r="Z32" i="32"/>
  <c r="E60" i="32"/>
  <c r="D71" i="32"/>
  <c r="E71" i="32"/>
  <c r="Q60" i="32"/>
  <c r="P71" i="32"/>
  <c r="Q71" i="32"/>
  <c r="D22" i="32"/>
  <c r="T22" i="32"/>
  <c r="Z28" i="32"/>
  <c r="AB28" i="32"/>
  <c r="Z29" i="32"/>
  <c r="AB29" i="32"/>
  <c r="W45" i="32"/>
  <c r="W47" i="32"/>
  <c r="W46" i="32"/>
  <c r="W43" i="32"/>
  <c r="W48" i="32"/>
  <c r="W42" i="32"/>
  <c r="W44" i="32"/>
  <c r="G32" i="32"/>
  <c r="G36" i="32"/>
  <c r="I47" i="32"/>
  <c r="I43" i="32"/>
  <c r="S45" i="32"/>
  <c r="S44" i="32"/>
  <c r="I46" i="32"/>
  <c r="S47" i="32"/>
  <c r="G60" i="32"/>
  <c r="S60" i="32"/>
  <c r="G35" i="32"/>
  <c r="U47" i="32"/>
  <c r="U43" i="32"/>
  <c r="S42" i="32"/>
  <c r="S48" i="32"/>
  <c r="B145" i="32"/>
  <c r="C145" i="32"/>
  <c r="C134" i="32"/>
  <c r="N145" i="32"/>
  <c r="O145" i="32"/>
  <c r="O134" i="32"/>
  <c r="G34" i="32"/>
  <c r="G38" i="32"/>
  <c r="I44" i="32"/>
  <c r="U44" i="32"/>
  <c r="I45" i="32"/>
  <c r="S46" i="32"/>
  <c r="B49" i="32"/>
  <c r="E51" i="32"/>
  <c r="U51" i="32"/>
  <c r="E54" i="32"/>
  <c r="U54" i="32"/>
  <c r="I60" i="32"/>
  <c r="M60" i="32"/>
  <c r="U60" i="32"/>
  <c r="Y60" i="32"/>
  <c r="B72" i="32"/>
  <c r="C72" i="32"/>
  <c r="Z72" i="32"/>
  <c r="X144" i="32"/>
  <c r="Y144" i="32"/>
  <c r="N144" i="32"/>
  <c r="O144" i="32"/>
  <c r="H144" i="32"/>
  <c r="I144" i="32"/>
  <c r="X136" i="32"/>
  <c r="X146" i="32"/>
  <c r="Y146" i="32"/>
  <c r="R144" i="32"/>
  <c r="S144" i="32"/>
  <c r="D144" i="32"/>
  <c r="E144" i="32"/>
  <c r="R136" i="32"/>
  <c r="R146" i="32"/>
  <c r="S146" i="32"/>
  <c r="L136" i="32"/>
  <c r="L146" i="32"/>
  <c r="M146" i="32"/>
  <c r="B136" i="32"/>
  <c r="R128" i="32"/>
  <c r="L128" i="32"/>
  <c r="B128" i="32"/>
  <c r="V127" i="32"/>
  <c r="L127" i="32"/>
  <c r="F127" i="32"/>
  <c r="V126" i="32"/>
  <c r="P126" i="32"/>
  <c r="F126" i="32"/>
  <c r="P125" i="32"/>
  <c r="J125" i="32"/>
  <c r="T124" i="32"/>
  <c r="J124" i="32"/>
  <c r="D124" i="32"/>
  <c r="X122" i="32"/>
  <c r="N122" i="32"/>
  <c r="H122" i="32"/>
  <c r="X121" i="32"/>
  <c r="R121" i="32"/>
  <c r="H121" i="32"/>
  <c r="B121" i="32"/>
  <c r="R120" i="32"/>
  <c r="L120" i="32"/>
  <c r="B120" i="32"/>
  <c r="V119" i="32"/>
  <c r="L119" i="32"/>
  <c r="F119" i="32"/>
  <c r="V118" i="32"/>
  <c r="P118" i="32"/>
  <c r="F118" i="32"/>
  <c r="P117" i="32"/>
  <c r="J117" i="32"/>
  <c r="T116" i="32"/>
  <c r="J116" i="32"/>
  <c r="D116" i="32"/>
  <c r="X113" i="32"/>
  <c r="R113" i="32"/>
  <c r="H113" i="32"/>
  <c r="B113" i="32"/>
  <c r="R112" i="32"/>
  <c r="L112" i="32"/>
  <c r="B112" i="32"/>
  <c r="V111" i="32"/>
  <c r="L111" i="32"/>
  <c r="F111" i="32"/>
  <c r="V110" i="32"/>
  <c r="P110" i="32"/>
  <c r="F110" i="32"/>
  <c r="P109" i="32"/>
  <c r="J109" i="32"/>
  <c r="T108" i="32"/>
  <c r="J108" i="32"/>
  <c r="D108" i="32"/>
  <c r="T107" i="32"/>
  <c r="N107" i="32"/>
  <c r="D107" i="32"/>
  <c r="X106" i="32"/>
  <c r="N106" i="32"/>
  <c r="H106" i="32"/>
  <c r="R104" i="32"/>
  <c r="L104" i="32"/>
  <c r="B104" i="32"/>
  <c r="V103" i="32"/>
  <c r="L103" i="32"/>
  <c r="F103" i="32"/>
  <c r="V102" i="32"/>
  <c r="P102" i="32"/>
  <c r="F102" i="32"/>
  <c r="P101" i="32"/>
  <c r="J101" i="32"/>
  <c r="T100" i="32"/>
  <c r="J100" i="32"/>
  <c r="D100" i="32"/>
  <c r="T99" i="32"/>
  <c r="N99" i="32"/>
  <c r="D99" i="32"/>
  <c r="X98" i="32"/>
  <c r="N98" i="32"/>
  <c r="H98" i="32"/>
  <c r="X97" i="32"/>
  <c r="R97" i="32"/>
  <c r="H97" i="32"/>
  <c r="B97" i="32"/>
  <c r="V95" i="32"/>
  <c r="L95" i="32"/>
  <c r="F95" i="32"/>
  <c r="V94" i="32"/>
  <c r="P94" i="32"/>
  <c r="F94" i="32"/>
  <c r="P93" i="32"/>
  <c r="J93" i="32"/>
  <c r="T92" i="32"/>
  <c r="J92" i="32"/>
  <c r="D92" i="32"/>
  <c r="T91" i="32"/>
  <c r="N91" i="32"/>
  <c r="D91" i="32"/>
  <c r="X90" i="32"/>
  <c r="N90" i="32"/>
  <c r="H90" i="32"/>
  <c r="X89" i="32"/>
  <c r="R89" i="32"/>
  <c r="H89" i="32"/>
  <c r="B89" i="32"/>
  <c r="R88" i="32"/>
  <c r="L88" i="32"/>
  <c r="B88" i="32"/>
  <c r="V86" i="32"/>
  <c r="P86" i="32"/>
  <c r="F86" i="32"/>
  <c r="P85" i="32"/>
  <c r="J85" i="32"/>
  <c r="T84" i="32"/>
  <c r="J84" i="32"/>
  <c r="D84" i="32"/>
  <c r="T83" i="32"/>
  <c r="N83" i="32"/>
  <c r="D83" i="32"/>
  <c r="X82" i="32"/>
  <c r="N82" i="32"/>
  <c r="H82" i="32"/>
  <c r="X81" i="32"/>
  <c r="R81" i="32"/>
  <c r="H81" i="32"/>
  <c r="B81" i="32"/>
  <c r="R80" i="32"/>
  <c r="L80" i="32"/>
  <c r="B80" i="32"/>
  <c r="V79" i="32"/>
  <c r="L79" i="32"/>
  <c r="F79" i="32"/>
  <c r="P144" i="32"/>
  <c r="Q144" i="32"/>
  <c r="J144" i="32"/>
  <c r="K144" i="32"/>
  <c r="B144" i="32"/>
  <c r="C144" i="32"/>
  <c r="P136" i="32"/>
  <c r="P146" i="32"/>
  <c r="Q146" i="32"/>
  <c r="F136" i="32"/>
  <c r="F146" i="32"/>
  <c r="G146" i="32"/>
  <c r="V128" i="32"/>
  <c r="P128" i="32"/>
  <c r="F128" i="32"/>
  <c r="P127" i="32"/>
  <c r="J127" i="32"/>
  <c r="T126" i="32"/>
  <c r="J126" i="32"/>
  <c r="D126" i="32"/>
  <c r="T125" i="32"/>
  <c r="N125" i="32"/>
  <c r="D125" i="32"/>
  <c r="X124" i="32"/>
  <c r="N124" i="32"/>
  <c r="H124" i="32"/>
  <c r="R122" i="32"/>
  <c r="L122" i="32"/>
  <c r="B122" i="32"/>
  <c r="V121" i="32"/>
  <c r="L121" i="32"/>
  <c r="F121" i="32"/>
  <c r="V120" i="32"/>
  <c r="P120" i="32"/>
  <c r="F120" i="32"/>
  <c r="P119" i="32"/>
  <c r="J119" i="32"/>
  <c r="T118" i="32"/>
  <c r="J118" i="32"/>
  <c r="D118" i="32"/>
  <c r="T117" i="32"/>
  <c r="N117" i="32"/>
  <c r="D117" i="32"/>
  <c r="X116" i="32"/>
  <c r="N116" i="32"/>
  <c r="H116" i="32"/>
  <c r="V113" i="32"/>
  <c r="L113" i="32"/>
  <c r="F113" i="32"/>
  <c r="V112" i="32"/>
  <c r="P112" i="32"/>
  <c r="F112" i="32"/>
  <c r="P111" i="32"/>
  <c r="J111" i="32"/>
  <c r="T110" i="32"/>
  <c r="J110" i="32"/>
  <c r="D110" i="32"/>
  <c r="T109" i="32"/>
  <c r="N109" i="32"/>
  <c r="D109" i="32"/>
  <c r="X108" i="32"/>
  <c r="N108" i="32"/>
  <c r="H108" i="32"/>
  <c r="X107" i="32"/>
  <c r="R107" i="32"/>
  <c r="H107" i="32"/>
  <c r="B107" i="32"/>
  <c r="R106" i="32"/>
  <c r="L106" i="32"/>
  <c r="B106" i="32"/>
  <c r="V104" i="32"/>
  <c r="P104" i="32"/>
  <c r="F104" i="32"/>
  <c r="P103" i="32"/>
  <c r="J103" i="32"/>
  <c r="T102" i="32"/>
  <c r="J102" i="32"/>
  <c r="D102" i="32"/>
  <c r="T101" i="32"/>
  <c r="N101" i="32"/>
  <c r="D101" i="32"/>
  <c r="X100" i="32"/>
  <c r="N100" i="32"/>
  <c r="H100" i="32"/>
  <c r="X99" i="32"/>
  <c r="R99" i="32"/>
  <c r="H99" i="32"/>
  <c r="B99" i="32"/>
  <c r="R98" i="32"/>
  <c r="L98" i="32"/>
  <c r="B98" i="32"/>
  <c r="V97" i="32"/>
  <c r="L97" i="32"/>
  <c r="F97" i="32"/>
  <c r="P95" i="32"/>
  <c r="J95" i="32"/>
  <c r="T94" i="32"/>
  <c r="J94" i="32"/>
  <c r="D94" i="32"/>
  <c r="T93" i="32"/>
  <c r="N93" i="32"/>
  <c r="D93" i="32"/>
  <c r="X92" i="32"/>
  <c r="N92" i="32"/>
  <c r="H92" i="32"/>
  <c r="X91" i="32"/>
  <c r="R91" i="32"/>
  <c r="H91" i="32"/>
  <c r="B91" i="32"/>
  <c r="R90" i="32"/>
  <c r="L90" i="32"/>
  <c r="B90" i="32"/>
  <c r="V89" i="32"/>
  <c r="L89" i="32"/>
  <c r="F89" i="32"/>
  <c r="L144" i="32"/>
  <c r="M144" i="32"/>
  <c r="D136" i="32"/>
  <c r="D146" i="32"/>
  <c r="E146" i="32"/>
  <c r="H128" i="32"/>
  <c r="X127" i="32"/>
  <c r="B127" i="32"/>
  <c r="R126" i="32"/>
  <c r="V125" i="32"/>
  <c r="L125" i="32"/>
  <c r="P124" i="32"/>
  <c r="F124" i="32"/>
  <c r="D122" i="32"/>
  <c r="T121" i="32"/>
  <c r="X120" i="32"/>
  <c r="N120" i="32"/>
  <c r="R119" i="32"/>
  <c r="H119" i="32"/>
  <c r="L118" i="32"/>
  <c r="B118" i="32"/>
  <c r="F117" i="32"/>
  <c r="V116" i="32"/>
  <c r="N113" i="32"/>
  <c r="D113" i="32"/>
  <c r="H112" i="32"/>
  <c r="X111" i="32"/>
  <c r="B111" i="32"/>
  <c r="R110" i="32"/>
  <c r="V109" i="32"/>
  <c r="L109" i="32"/>
  <c r="P108" i="32"/>
  <c r="F108" i="32"/>
  <c r="J107" i="32"/>
  <c r="D106" i="32"/>
  <c r="X104" i="32"/>
  <c r="N104" i="32"/>
  <c r="R103" i="32"/>
  <c r="H103" i="32"/>
  <c r="L102" i="32"/>
  <c r="B102" i="32"/>
  <c r="F101" i="32"/>
  <c r="V100" i="32"/>
  <c r="P99" i="32"/>
  <c r="T98" i="32"/>
  <c r="J98" i="32"/>
  <c r="N97" i="32"/>
  <c r="D97" i="32"/>
  <c r="X95" i="32"/>
  <c r="B95" i="32"/>
  <c r="R94" i="32"/>
  <c r="V93" i="32"/>
  <c r="L93" i="32"/>
  <c r="P92" i="32"/>
  <c r="F92" i="32"/>
  <c r="J91" i="32"/>
  <c r="D90" i="32"/>
  <c r="T89" i="32"/>
  <c r="X88" i="32"/>
  <c r="P88" i="32"/>
  <c r="J88" i="32"/>
  <c r="L86" i="32"/>
  <c r="D86" i="32"/>
  <c r="X85" i="32"/>
  <c r="B85" i="32"/>
  <c r="V84" i="32"/>
  <c r="N84" i="32"/>
  <c r="R83" i="32"/>
  <c r="L83" i="32"/>
  <c r="P82" i="32"/>
  <c r="J82" i="32"/>
  <c r="B82" i="32"/>
  <c r="N81" i="32"/>
  <c r="F81" i="32"/>
  <c r="D80" i="32"/>
  <c r="X79" i="32"/>
  <c r="P79" i="32"/>
  <c r="B79" i="32"/>
  <c r="V144" i="32"/>
  <c r="W144" i="32"/>
  <c r="T144" i="32"/>
  <c r="U144" i="32"/>
  <c r="F144" i="32"/>
  <c r="G144" i="32"/>
  <c r="V136" i="32"/>
  <c r="V146" i="32"/>
  <c r="W146" i="32"/>
  <c r="J136" i="32"/>
  <c r="J146" i="32"/>
  <c r="K146" i="32"/>
  <c r="X128" i="32"/>
  <c r="N128" i="32"/>
  <c r="R127" i="32"/>
  <c r="H127" i="32"/>
  <c r="L126" i="32"/>
  <c r="B126" i="32"/>
  <c r="F125" i="32"/>
  <c r="V124" i="32"/>
  <c r="T122" i="32"/>
  <c r="J122" i="32"/>
  <c r="N121" i="32"/>
  <c r="D121" i="32"/>
  <c r="H120" i="32"/>
  <c r="X119" i="32"/>
  <c r="B119" i="32"/>
  <c r="T136" i="32"/>
  <c r="T146" i="32"/>
  <c r="U146" i="32"/>
  <c r="J128" i="32"/>
  <c r="N127" i="32"/>
  <c r="X125" i="32"/>
  <c r="B125" i="32"/>
  <c r="P122" i="32"/>
  <c r="D120" i="32"/>
  <c r="R118" i="32"/>
  <c r="L116" i="32"/>
  <c r="T113" i="32"/>
  <c r="N111" i="32"/>
  <c r="X110" i="32"/>
  <c r="L110" i="32"/>
  <c r="X109" i="32"/>
  <c r="H109" i="32"/>
  <c r="V108" i="32"/>
  <c r="P106" i="32"/>
  <c r="J104" i="32"/>
  <c r="X103" i="32"/>
  <c r="R101" i="32"/>
  <c r="B101" i="32"/>
  <c r="P100" i="32"/>
  <c r="B100" i="32"/>
  <c r="L99" i="32"/>
  <c r="R95" i="32"/>
  <c r="D95" i="32"/>
  <c r="N94" i="32"/>
  <c r="B94" i="32"/>
  <c r="V91" i="32"/>
  <c r="F91" i="32"/>
  <c r="T90" i="32"/>
  <c r="F90" i="32"/>
  <c r="N79" i="32"/>
  <c r="H80" i="32"/>
  <c r="P80" i="32"/>
  <c r="J81" i="32"/>
  <c r="T81" i="32"/>
  <c r="D82" i="32"/>
  <c r="L82" i="32"/>
  <c r="V82" i="32"/>
  <c r="F83" i="32"/>
  <c r="P83" i="32"/>
  <c r="X83" i="32"/>
  <c r="H84" i="32"/>
  <c r="R84" i="32"/>
  <c r="L85" i="32"/>
  <c r="T85" i="32"/>
  <c r="N86" i="32"/>
  <c r="H88" i="32"/>
  <c r="D89" i="32"/>
  <c r="P89" i="32"/>
  <c r="J90" i="32"/>
  <c r="L92" i="32"/>
  <c r="F93" i="32"/>
  <c r="X93" i="32"/>
  <c r="P97" i="32"/>
  <c r="F98" i="32"/>
  <c r="L100" i="32"/>
  <c r="H101" i="32"/>
  <c r="X101" i="32"/>
  <c r="R102" i="32"/>
  <c r="D104" i="32"/>
  <c r="T104" i="32"/>
  <c r="J106" i="32"/>
  <c r="V107" i="32"/>
  <c r="L108" i="32"/>
  <c r="F109" i="32"/>
  <c r="B110" i="32"/>
  <c r="D112" i="32"/>
  <c r="X112" i="32"/>
  <c r="P113" i="32"/>
  <c r="P116" i="32"/>
  <c r="H117" i="32"/>
  <c r="X117" i="32"/>
  <c r="T119" i="32"/>
  <c r="T120" i="32"/>
  <c r="B124" i="32"/>
  <c r="H125" i="32"/>
  <c r="H126" i="32"/>
  <c r="Z134" i="32"/>
  <c r="Z133" i="32"/>
  <c r="H145" i="32"/>
  <c r="I145" i="32"/>
  <c r="I134" i="32"/>
  <c r="G33" i="32"/>
  <c r="G37" i="32"/>
  <c r="I42" i="32"/>
  <c r="U42" i="32"/>
  <c r="S43" i="32"/>
  <c r="Z44" i="32"/>
  <c r="AB44" i="32"/>
  <c r="U45" i="32"/>
  <c r="I48" i="32"/>
  <c r="U48" i="32"/>
  <c r="E52" i="32"/>
  <c r="U52" i="32"/>
  <c r="J145" i="32"/>
  <c r="K145" i="32"/>
  <c r="K134" i="32"/>
  <c r="L145" i="32"/>
  <c r="M145" i="32"/>
  <c r="M134" i="32"/>
  <c r="Z131" i="32"/>
  <c r="Z130" i="32"/>
  <c r="AA131" i="32"/>
  <c r="Z60" i="32"/>
  <c r="Z70" i="32"/>
  <c r="X145" i="32"/>
  <c r="Y145" i="32"/>
  <c r="Y134" i="32"/>
  <c r="F219" i="32"/>
  <c r="G219" i="32"/>
  <c r="G208" i="32"/>
  <c r="V219" i="32"/>
  <c r="W219" i="32"/>
  <c r="W208" i="32"/>
  <c r="D145" i="32"/>
  <c r="E145" i="32"/>
  <c r="E134" i="32"/>
  <c r="T145" i="32"/>
  <c r="U145" i="32"/>
  <c r="U134" i="32"/>
  <c r="P166" i="32"/>
  <c r="R167" i="32"/>
  <c r="L168" i="32"/>
  <c r="T168" i="32"/>
  <c r="N169" i="32"/>
  <c r="J171" i="32"/>
  <c r="L172" i="32"/>
  <c r="F175" i="32"/>
  <c r="R175" i="32"/>
  <c r="L176" i="32"/>
  <c r="B177" i="32"/>
  <c r="P178" i="32"/>
  <c r="V185" i="32"/>
  <c r="R191" i="32"/>
  <c r="R192" i="32"/>
  <c r="T193" i="32"/>
  <c r="P195" i="32"/>
  <c r="N200" i="32"/>
  <c r="P145" i="32"/>
  <c r="Q145" i="32"/>
  <c r="Q134" i="32"/>
  <c r="X202" i="32"/>
  <c r="T202" i="32"/>
  <c r="P202" i="32"/>
  <c r="L202" i="32"/>
  <c r="H202" i="32"/>
  <c r="D202" i="32"/>
  <c r="V201" i="32"/>
  <c r="R201" i="32"/>
  <c r="N201" i="32"/>
  <c r="J201" i="32"/>
  <c r="F201" i="32"/>
  <c r="B201" i="32"/>
  <c r="X200" i="32"/>
  <c r="T200" i="32"/>
  <c r="P200" i="32"/>
  <c r="L200" i="32"/>
  <c r="H200" i="32"/>
  <c r="D200" i="32"/>
  <c r="V199" i="32"/>
  <c r="R199" i="32"/>
  <c r="N199" i="32"/>
  <c r="J199" i="32"/>
  <c r="F199" i="32"/>
  <c r="B199" i="32"/>
  <c r="X198" i="32"/>
  <c r="T198" i="32"/>
  <c r="P198" i="32"/>
  <c r="L198" i="32"/>
  <c r="H198" i="32"/>
  <c r="D198" i="32"/>
  <c r="V202" i="32"/>
  <c r="N202" i="32"/>
  <c r="F202" i="32"/>
  <c r="X201" i="32"/>
  <c r="P201" i="32"/>
  <c r="H201" i="32"/>
  <c r="R200" i="32"/>
  <c r="J200" i="32"/>
  <c r="B200" i="32"/>
  <c r="T199" i="32"/>
  <c r="L199" i="32"/>
  <c r="D199" i="32"/>
  <c r="V198" i="32"/>
  <c r="N198" i="32"/>
  <c r="F198" i="32"/>
  <c r="R196" i="32"/>
  <c r="L196" i="32"/>
  <c r="B196" i="32"/>
  <c r="V195" i="32"/>
  <c r="L195" i="32"/>
  <c r="F195" i="32"/>
  <c r="V194" i="32"/>
  <c r="P194" i="32"/>
  <c r="F194" i="32"/>
  <c r="P193" i="32"/>
  <c r="J193" i="32"/>
  <c r="T192" i="32"/>
  <c r="J192" i="32"/>
  <c r="D192" i="32"/>
  <c r="T191" i="32"/>
  <c r="N191" i="32"/>
  <c r="D191" i="32"/>
  <c r="X190" i="32"/>
  <c r="N190" i="32"/>
  <c r="H190" i="32"/>
  <c r="V187" i="32"/>
  <c r="L187" i="32"/>
  <c r="F187" i="32"/>
  <c r="V186" i="32"/>
  <c r="P186" i="32"/>
  <c r="F186" i="32"/>
  <c r="P185" i="32"/>
  <c r="L185" i="32"/>
  <c r="H185" i="32"/>
  <c r="D185" i="32"/>
  <c r="V184" i="32"/>
  <c r="R184" i="32"/>
  <c r="N184" i="32"/>
  <c r="J184" i="32"/>
  <c r="F184" i="32"/>
  <c r="B184" i="32"/>
  <c r="X183" i="32"/>
  <c r="T183" i="32"/>
  <c r="P183" i="32"/>
  <c r="L183" i="32"/>
  <c r="H183" i="32"/>
  <c r="D183" i="32"/>
  <c r="V182" i="32"/>
  <c r="R182" i="32"/>
  <c r="N182" i="32"/>
  <c r="J182" i="32"/>
  <c r="F182" i="32"/>
  <c r="B182" i="32"/>
  <c r="X181" i="32"/>
  <c r="T181" i="32"/>
  <c r="P181" i="32"/>
  <c r="L181" i="32"/>
  <c r="H181" i="32"/>
  <c r="D181" i="32"/>
  <c r="V180" i="32"/>
  <c r="R180" i="32"/>
  <c r="N180" i="32"/>
  <c r="J180" i="32"/>
  <c r="F180" i="32"/>
  <c r="B180" i="32"/>
  <c r="V178" i="32"/>
  <c r="R178" i="32"/>
  <c r="N178" i="32"/>
  <c r="J178" i="32"/>
  <c r="F178" i="32"/>
  <c r="B178" i="32"/>
  <c r="X177" i="32"/>
  <c r="T177" i="32"/>
  <c r="P177" i="32"/>
  <c r="L177" i="32"/>
  <c r="H177" i="32"/>
  <c r="D177" i="32"/>
  <c r="V176" i="32"/>
  <c r="R176" i="32"/>
  <c r="N176" i="32"/>
  <c r="J176" i="32"/>
  <c r="F176" i="32"/>
  <c r="B176" i="32"/>
  <c r="X175" i="32"/>
  <c r="T175" i="32"/>
  <c r="P175" i="32"/>
  <c r="L175" i="32"/>
  <c r="H175" i="32"/>
  <c r="D175" i="32"/>
  <c r="V174" i="32"/>
  <c r="R174" i="32"/>
  <c r="N174" i="32"/>
  <c r="J174" i="32"/>
  <c r="F174" i="32"/>
  <c r="B174" i="32"/>
  <c r="X173" i="32"/>
  <c r="Y114" i="32"/>
  <c r="T173" i="32"/>
  <c r="U114" i="32"/>
  <c r="P173" i="32"/>
  <c r="Q114" i="32"/>
  <c r="L173" i="32"/>
  <c r="M114" i="32"/>
  <c r="H173" i="32"/>
  <c r="I114" i="32"/>
  <c r="D173" i="32"/>
  <c r="E114" i="32"/>
  <c r="V172" i="32"/>
  <c r="R172" i="32"/>
  <c r="N172" i="32"/>
  <c r="J172" i="32"/>
  <c r="F172" i="32"/>
  <c r="B172" i="32"/>
  <c r="X171" i="32"/>
  <c r="T171" i="32"/>
  <c r="P171" i="32"/>
  <c r="L171" i="32"/>
  <c r="H171" i="32"/>
  <c r="D171" i="32"/>
  <c r="X169" i="32"/>
  <c r="T169" i="32"/>
  <c r="P169" i="32"/>
  <c r="L169" i="32"/>
  <c r="H169" i="32"/>
  <c r="D169" i="32"/>
  <c r="V168" i="32"/>
  <c r="R168" i="32"/>
  <c r="N168" i="32"/>
  <c r="J168" i="32"/>
  <c r="F168" i="32"/>
  <c r="B168" i="32"/>
  <c r="X167" i="32"/>
  <c r="T167" i="32"/>
  <c r="P167" i="32"/>
  <c r="L167" i="32"/>
  <c r="H167" i="32"/>
  <c r="D167" i="32"/>
  <c r="V166" i="32"/>
  <c r="R166" i="32"/>
  <c r="N166" i="32"/>
  <c r="J166" i="32"/>
  <c r="F166" i="32"/>
  <c r="B166" i="32"/>
  <c r="X165" i="32"/>
  <c r="T165" i="32"/>
  <c r="P165" i="32"/>
  <c r="L165" i="32"/>
  <c r="H165" i="32"/>
  <c r="D165" i="32"/>
  <c r="V164" i="32"/>
  <c r="R164" i="32"/>
  <c r="N164" i="32"/>
  <c r="J164" i="32"/>
  <c r="F164" i="32"/>
  <c r="B164" i="32"/>
  <c r="X163" i="32"/>
  <c r="T163" i="32"/>
  <c r="P163" i="32"/>
  <c r="L163" i="32"/>
  <c r="H163" i="32"/>
  <c r="D163" i="32"/>
  <c r="V162" i="32"/>
  <c r="R162" i="32"/>
  <c r="N162" i="32"/>
  <c r="J162" i="32"/>
  <c r="F162" i="32"/>
  <c r="B162" i="32"/>
  <c r="V160" i="32"/>
  <c r="R160" i="32"/>
  <c r="N160" i="32"/>
  <c r="J160" i="32"/>
  <c r="F160" i="32"/>
  <c r="B160" i="32"/>
  <c r="X159" i="32"/>
  <c r="T159" i="32"/>
  <c r="P159" i="32"/>
  <c r="L159" i="32"/>
  <c r="H159" i="32"/>
  <c r="D159" i="32"/>
  <c r="V158" i="32"/>
  <c r="R158" i="32"/>
  <c r="N158" i="32"/>
  <c r="J158" i="32"/>
  <c r="F158" i="32"/>
  <c r="B158" i="32"/>
  <c r="X157" i="32"/>
  <c r="T157" i="32"/>
  <c r="P157" i="32"/>
  <c r="L157" i="32"/>
  <c r="H157" i="32"/>
  <c r="D157" i="32"/>
  <c r="V156" i="32"/>
  <c r="R156" i="32"/>
  <c r="N156" i="32"/>
  <c r="J156" i="32"/>
  <c r="F156" i="32"/>
  <c r="B156" i="32"/>
  <c r="X155" i="32"/>
  <c r="T155" i="32"/>
  <c r="P155" i="32"/>
  <c r="L155" i="32"/>
  <c r="H155" i="32"/>
  <c r="D155" i="32"/>
  <c r="V154" i="32"/>
  <c r="R154" i="32"/>
  <c r="N154" i="32"/>
  <c r="J154" i="32"/>
  <c r="F154" i="32"/>
  <c r="B154" i="32"/>
  <c r="X153" i="32"/>
  <c r="T153" i="32"/>
  <c r="P153" i="32"/>
  <c r="L153" i="32"/>
  <c r="H153" i="32"/>
  <c r="D153" i="32"/>
  <c r="B202" i="32"/>
  <c r="V200" i="32"/>
  <c r="P199" i="32"/>
  <c r="J198" i="32"/>
  <c r="V196" i="32"/>
  <c r="H196" i="32"/>
  <c r="T195" i="32"/>
  <c r="X194" i="32"/>
  <c r="R194" i="32"/>
  <c r="J194" i="32"/>
  <c r="V193" i="32"/>
  <c r="N193" i="32"/>
  <c r="H193" i="32"/>
  <c r="L192" i="32"/>
  <c r="F192" i="32"/>
  <c r="X191" i="32"/>
  <c r="J191" i="32"/>
  <c r="B191" i="32"/>
  <c r="V190" i="32"/>
  <c r="N187" i="32"/>
  <c r="H187" i="32"/>
  <c r="L186" i="32"/>
  <c r="D186" i="32"/>
  <c r="X185" i="32"/>
  <c r="F185" i="32"/>
  <c r="P184" i="32"/>
  <c r="J183" i="32"/>
  <c r="T182" i="32"/>
  <c r="D182" i="32"/>
  <c r="N181" i="32"/>
  <c r="X180" i="32"/>
  <c r="H180" i="32"/>
  <c r="L178" i="32"/>
  <c r="V177" i="32"/>
  <c r="F177" i="32"/>
  <c r="P176" i="32"/>
  <c r="J175" i="32"/>
  <c r="T174" i="32"/>
  <c r="D174" i="32"/>
  <c r="N173" i="32"/>
  <c r="O114" i="32"/>
  <c r="X172" i="32"/>
  <c r="H172" i="32"/>
  <c r="R171" i="32"/>
  <c r="B171" i="32"/>
  <c r="V169" i="32"/>
  <c r="F169" i="32"/>
  <c r="P168" i="32"/>
  <c r="J167" i="32"/>
  <c r="T166" i="32"/>
  <c r="D166" i="32"/>
  <c r="N165" i="32"/>
  <c r="X164" i="32"/>
  <c r="H164" i="32"/>
  <c r="R163" i="32"/>
  <c r="B163" i="32"/>
  <c r="L162" i="32"/>
  <c r="P160" i="32"/>
  <c r="J159" i="32"/>
  <c r="T158" i="32"/>
  <c r="D158" i="32"/>
  <c r="N157" i="32"/>
  <c r="X156" i="32"/>
  <c r="H156" i="32"/>
  <c r="R155" i="32"/>
  <c r="B155" i="32"/>
  <c r="L154" i="32"/>
  <c r="V153" i="32"/>
  <c r="F153" i="32"/>
  <c r="L201" i="32"/>
  <c r="H199" i="32"/>
  <c r="R198" i="32"/>
  <c r="P196" i="32"/>
  <c r="F196" i="32"/>
  <c r="X195" i="32"/>
  <c r="N195" i="32"/>
  <c r="D195" i="32"/>
  <c r="T194" i="32"/>
  <c r="L194" i="32"/>
  <c r="B194" i="32"/>
  <c r="R193" i="32"/>
  <c r="X192" i="32"/>
  <c r="P192" i="32"/>
  <c r="V191" i="32"/>
  <c r="T190" i="32"/>
  <c r="B190" i="32"/>
  <c r="X187" i="32"/>
  <c r="D187" i="32"/>
  <c r="T186" i="32"/>
  <c r="J186" i="32"/>
  <c r="B186" i="32"/>
  <c r="R185" i="32"/>
  <c r="J185" i="32"/>
  <c r="H184" i="32"/>
  <c r="F183" i="32"/>
  <c r="X182" i="32"/>
  <c r="V181" i="32"/>
  <c r="T180" i="32"/>
  <c r="L180" i="32"/>
  <c r="H178" i="32"/>
  <c r="X176" i="32"/>
  <c r="V175" i="32"/>
  <c r="N175" i="32"/>
  <c r="L174" i="32"/>
  <c r="J202" i="32"/>
  <c r="F200" i="32"/>
  <c r="B198" i="32"/>
  <c r="X196" i="32"/>
  <c r="N196" i="32"/>
  <c r="D196" i="32"/>
  <c r="J195" i="32"/>
  <c r="B195" i="32"/>
  <c r="H194" i="32"/>
  <c r="F193" i="32"/>
  <c r="N192" i="32"/>
  <c r="L191" i="32"/>
  <c r="R190" i="32"/>
  <c r="J190" i="32"/>
  <c r="T187" i="32"/>
  <c r="J187" i="32"/>
  <c r="B187" i="32"/>
  <c r="R186" i="32"/>
  <c r="H186" i="32"/>
  <c r="B185" i="32"/>
  <c r="T184" i="32"/>
  <c r="R183" i="32"/>
  <c r="P182" i="32"/>
  <c r="H182" i="32"/>
  <c r="F181" i="32"/>
  <c r="D180" i="32"/>
  <c r="T178" i="32"/>
  <c r="R177" i="32"/>
  <c r="J177" i="32"/>
  <c r="H176" i="32"/>
  <c r="D201" i="32"/>
  <c r="R195" i="32"/>
  <c r="V192" i="32"/>
  <c r="B192" i="32"/>
  <c r="H191" i="32"/>
  <c r="P190" i="32"/>
  <c r="R187" i="32"/>
  <c r="X186" i="32"/>
  <c r="N185" i="32"/>
  <c r="L184" i="32"/>
  <c r="R181" i="32"/>
  <c r="P180" i="32"/>
  <c r="T176" i="32"/>
  <c r="B175" i="32"/>
  <c r="H174" i="32"/>
  <c r="F173" i="32"/>
  <c r="G114" i="32"/>
  <c r="D172" i="32"/>
  <c r="V171" i="32"/>
  <c r="R169" i="32"/>
  <c r="J169" i="32"/>
  <c r="H168" i="32"/>
  <c r="F167" i="32"/>
  <c r="X166" i="32"/>
  <c r="V165" i="32"/>
  <c r="T164" i="32"/>
  <c r="L164" i="32"/>
  <c r="J163" i="32"/>
  <c r="H162" i="32"/>
  <c r="X160" i="32"/>
  <c r="V159" i="32"/>
  <c r="N159" i="32"/>
  <c r="L158" i="32"/>
  <c r="J157" i="32"/>
  <c r="B157" i="32"/>
  <c r="X154" i="32"/>
  <c r="P154" i="32"/>
  <c r="N153" i="32"/>
  <c r="H154" i="32"/>
  <c r="J155" i="32"/>
  <c r="D156" i="32"/>
  <c r="L156" i="32"/>
  <c r="F157" i="32"/>
  <c r="H158" i="32"/>
  <c r="B159" i="32"/>
  <c r="D160" i="32"/>
  <c r="D164" i="32"/>
  <c r="F165" i="32"/>
  <c r="H166" i="32"/>
  <c r="B167" i="32"/>
  <c r="V167" i="32"/>
  <c r="D168" i="32"/>
  <c r="X168" i="32"/>
  <c r="L182" i="32"/>
  <c r="B183" i="32"/>
  <c r="V183" i="32"/>
  <c r="D190" i="32"/>
  <c r="B193" i="32"/>
  <c r="X193" i="32"/>
  <c r="T196" i="32"/>
  <c r="P219" i="32"/>
  <c r="Q219" i="32"/>
  <c r="Q208" i="32"/>
  <c r="B220" i="32"/>
  <c r="C220" i="32"/>
  <c r="Z210" i="32"/>
  <c r="Z220" i="32"/>
  <c r="X218" i="32"/>
  <c r="Y218" i="32"/>
  <c r="T218" i="32"/>
  <c r="U218" i="32"/>
  <c r="P218" i="32"/>
  <c r="Q218" i="32"/>
  <c r="L218" i="32"/>
  <c r="M218" i="32"/>
  <c r="H218" i="32"/>
  <c r="I218" i="32"/>
  <c r="D218" i="32"/>
  <c r="E218" i="32"/>
  <c r="Z218" i="32"/>
  <c r="R218" i="32"/>
  <c r="S218" i="32"/>
  <c r="J218" i="32"/>
  <c r="K218" i="32"/>
  <c r="B218" i="32"/>
  <c r="C218" i="32"/>
  <c r="F218" i="32"/>
  <c r="G218" i="32"/>
  <c r="V218" i="32"/>
  <c r="W218" i="32"/>
  <c r="L219" i="32"/>
  <c r="M219" i="32"/>
  <c r="M208" i="32"/>
  <c r="Z208" i="32"/>
  <c r="Z207" i="32"/>
  <c r="K208" i="32"/>
  <c r="N219" i="32"/>
  <c r="O219" i="32"/>
  <c r="B207" i="32"/>
  <c r="H219" i="32"/>
  <c r="I219" i="32"/>
  <c r="I208" i="32"/>
  <c r="X219" i="32"/>
  <c r="Y219" i="32"/>
  <c r="Y208" i="32"/>
  <c r="S208" i="32"/>
  <c r="D219" i="32"/>
  <c r="E219" i="32"/>
  <c r="E208" i="32"/>
  <c r="T219" i="32"/>
  <c r="U219" i="32"/>
  <c r="U208" i="32"/>
  <c r="AA1004" i="6"/>
  <c r="AA1009" i="6"/>
  <c r="AA1010" i="6"/>
  <c r="AA982" i="6"/>
  <c r="AA998" i="6"/>
  <c r="AA996" i="6"/>
  <c r="AA990" i="6"/>
  <c r="AA986" i="6"/>
  <c r="AA981" i="6"/>
  <c r="AA980" i="6"/>
  <c r="AA968" i="6"/>
  <c r="AA970" i="6"/>
  <c r="AA955" i="6"/>
  <c r="AA985" i="6"/>
  <c r="AA1001" i="6"/>
  <c r="AA946" i="6"/>
  <c r="AA989" i="6"/>
  <c r="AA977" i="6"/>
  <c r="AA1003" i="6"/>
  <c r="AA979" i="6"/>
  <c r="AA999" i="6"/>
  <c r="AA962" i="6"/>
  <c r="M51" i="32"/>
  <c r="T40" i="32"/>
  <c r="T68" i="32"/>
  <c r="U68" i="32"/>
  <c r="K54" i="32"/>
  <c r="O45" i="32"/>
  <c r="O43" i="32"/>
  <c r="O46" i="32"/>
  <c r="O42" i="32"/>
  <c r="G43" i="32"/>
  <c r="K50" i="32"/>
  <c r="K52" i="32"/>
  <c r="K53" i="32"/>
  <c r="O47" i="32"/>
  <c r="O48" i="32"/>
  <c r="G44" i="32"/>
  <c r="G46" i="32"/>
  <c r="G42" i="32"/>
  <c r="G47" i="32"/>
  <c r="G48" i="32"/>
  <c r="J40" i="32"/>
  <c r="K41" i="32"/>
  <c r="K43" i="32"/>
  <c r="K48" i="32"/>
  <c r="C28" i="32"/>
  <c r="C30" i="32"/>
  <c r="K26" i="32"/>
  <c r="C24" i="32"/>
  <c r="C27" i="32"/>
  <c r="C25" i="32"/>
  <c r="C23" i="32"/>
  <c r="C26" i="32"/>
  <c r="K28" i="32"/>
  <c r="K24" i="32"/>
  <c r="K25" i="32"/>
  <c r="G50" i="32"/>
  <c r="K44" i="32"/>
  <c r="K46" i="32"/>
  <c r="K42" i="32"/>
  <c r="C34" i="32"/>
  <c r="C35" i="32"/>
  <c r="C33" i="32"/>
  <c r="K27" i="32"/>
  <c r="K30" i="32"/>
  <c r="J3" i="32"/>
  <c r="S24" i="32"/>
  <c r="K23" i="32"/>
  <c r="C36" i="32"/>
  <c r="C38" i="32"/>
  <c r="C39" i="32"/>
  <c r="C32" i="32"/>
  <c r="Y42" i="32"/>
  <c r="M54" i="32"/>
  <c r="M50" i="32"/>
  <c r="Y48" i="32"/>
  <c r="M52" i="32"/>
  <c r="E45" i="32"/>
  <c r="E48" i="32"/>
  <c r="E42" i="32"/>
  <c r="Y47" i="32"/>
  <c r="Y45" i="32"/>
  <c r="Y44" i="32"/>
  <c r="Y46" i="32"/>
  <c r="E44" i="32"/>
  <c r="E43" i="32"/>
  <c r="E47" i="32"/>
  <c r="D40" i="32"/>
  <c r="D68" i="32"/>
  <c r="E68" i="32"/>
  <c r="Q43" i="32"/>
  <c r="S52" i="32"/>
  <c r="I54" i="32"/>
  <c r="I53" i="32"/>
  <c r="I52" i="32"/>
  <c r="I33" i="32"/>
  <c r="W33" i="32"/>
  <c r="O33" i="32"/>
  <c r="S25" i="32"/>
  <c r="S29" i="32"/>
  <c r="S28" i="32"/>
  <c r="S27" i="32"/>
  <c r="S26" i="32"/>
  <c r="S23" i="32"/>
  <c r="O34" i="32"/>
  <c r="O39" i="32"/>
  <c r="S33" i="32"/>
  <c r="S35" i="32"/>
  <c r="U14" i="32"/>
  <c r="O38" i="32"/>
  <c r="O32" i="32"/>
  <c r="O36" i="32"/>
  <c r="G9" i="32"/>
  <c r="U19" i="32"/>
  <c r="S38" i="32"/>
  <c r="S34" i="32"/>
  <c r="S36" i="32"/>
  <c r="S32" i="32"/>
  <c r="O35" i="32"/>
  <c r="I7" i="32"/>
  <c r="G29" i="32"/>
  <c r="Q33" i="32"/>
  <c r="S39" i="32"/>
  <c r="Q39" i="32"/>
  <c r="O14" i="32"/>
  <c r="O13" i="32"/>
  <c r="O19" i="32"/>
  <c r="O17" i="32"/>
  <c r="O21" i="32"/>
  <c r="O20" i="32"/>
  <c r="O15" i="32"/>
  <c r="O18" i="32"/>
  <c r="O31" i="32"/>
  <c r="I50" i="32"/>
  <c r="I51" i="32"/>
  <c r="I9" i="32"/>
  <c r="S18" i="32"/>
  <c r="Q37" i="32"/>
  <c r="Q34" i="32"/>
  <c r="Q32" i="32"/>
  <c r="M5" i="32"/>
  <c r="U7" i="32"/>
  <c r="Q38" i="32"/>
  <c r="Q35" i="32"/>
  <c r="U12" i="32"/>
  <c r="U9" i="32"/>
  <c r="K14" i="32"/>
  <c r="M48" i="32"/>
  <c r="H68" i="32"/>
  <c r="I68" i="32"/>
  <c r="I49" i="32"/>
  <c r="S50" i="32"/>
  <c r="P40" i="32"/>
  <c r="P68" i="32"/>
  <c r="Q68" i="32"/>
  <c r="Q51" i="32"/>
  <c r="Q54" i="32"/>
  <c r="R40" i="32"/>
  <c r="S41" i="32"/>
  <c r="S53" i="32"/>
  <c r="Q52" i="32"/>
  <c r="Q50" i="32"/>
  <c r="U21" i="32"/>
  <c r="U5" i="32"/>
  <c r="E11" i="32"/>
  <c r="U16" i="32"/>
  <c r="E8" i="32"/>
  <c r="G28" i="32"/>
  <c r="K19" i="32"/>
  <c r="K21" i="32"/>
  <c r="T3" i="32"/>
  <c r="U63" i="32"/>
  <c r="U6" i="32"/>
  <c r="U15" i="32"/>
  <c r="U18" i="32"/>
  <c r="E12" i="32"/>
  <c r="U17" i="32"/>
  <c r="K17" i="32"/>
  <c r="D3" i="32"/>
  <c r="D67" i="32"/>
  <c r="M6" i="32"/>
  <c r="U11" i="32"/>
  <c r="E7" i="32"/>
  <c r="U8" i="32"/>
  <c r="E9" i="32"/>
  <c r="G27" i="32"/>
  <c r="K15" i="32"/>
  <c r="K16" i="32"/>
  <c r="Q45" i="32"/>
  <c r="Q42" i="32"/>
  <c r="I41" i="32"/>
  <c r="F40" i="32"/>
  <c r="G49" i="32"/>
  <c r="G53" i="32"/>
  <c r="Q46" i="32"/>
  <c r="Q48" i="32"/>
  <c r="G51" i="32"/>
  <c r="Q44" i="32"/>
  <c r="Y54" i="32"/>
  <c r="S54" i="32"/>
  <c r="N40" i="32"/>
  <c r="O49" i="32"/>
  <c r="G54" i="32"/>
  <c r="O52" i="32"/>
  <c r="B115" i="32"/>
  <c r="C122" i="32"/>
  <c r="C48" i="32"/>
  <c r="C42" i="32"/>
  <c r="O50" i="32"/>
  <c r="L123" i="32"/>
  <c r="M127" i="32"/>
  <c r="P123" i="32"/>
  <c r="Q127" i="32"/>
  <c r="O53" i="32"/>
  <c r="O51" i="32"/>
  <c r="C43" i="32"/>
  <c r="C46" i="32"/>
  <c r="C47" i="32"/>
  <c r="C44" i="32"/>
  <c r="Y33" i="32"/>
  <c r="Y36" i="32"/>
  <c r="W15" i="32"/>
  <c r="I6" i="32"/>
  <c r="Y35" i="32"/>
  <c r="W37" i="32"/>
  <c r="W38" i="32"/>
  <c r="Y38" i="32"/>
  <c r="M32" i="32"/>
  <c r="I5" i="32"/>
  <c r="I11" i="32"/>
  <c r="I8" i="32"/>
  <c r="I12" i="32"/>
  <c r="Y31" i="32"/>
  <c r="Y18" i="32"/>
  <c r="W14" i="32"/>
  <c r="G12" i="32"/>
  <c r="S15" i="32"/>
  <c r="W20" i="32"/>
  <c r="G10" i="32"/>
  <c r="S13" i="32"/>
  <c r="W21" i="32"/>
  <c r="G7" i="32"/>
  <c r="S17" i="32"/>
  <c r="Y15" i="32"/>
  <c r="Y37" i="32"/>
  <c r="W16" i="32"/>
  <c r="G6" i="32"/>
  <c r="G8" i="32"/>
  <c r="S31" i="32"/>
  <c r="M38" i="32"/>
  <c r="Y19" i="32"/>
  <c r="Y34" i="32"/>
  <c r="Y32" i="32"/>
  <c r="Y17" i="32"/>
  <c r="W19" i="32"/>
  <c r="W18" i="32"/>
  <c r="G11" i="32"/>
  <c r="S14" i="32"/>
  <c r="S16" i="32"/>
  <c r="C18" i="32"/>
  <c r="W34" i="32"/>
  <c r="W35" i="32"/>
  <c r="W36" i="32"/>
  <c r="W13" i="32"/>
  <c r="G19" i="32"/>
  <c r="I18" i="32"/>
  <c r="E6" i="32"/>
  <c r="E5" i="32"/>
  <c r="M11" i="32"/>
  <c r="M7" i="32"/>
  <c r="L3" i="32"/>
  <c r="M56" i="32"/>
  <c r="M12" i="32"/>
  <c r="M8" i="32"/>
  <c r="M9" i="32"/>
  <c r="G25" i="32"/>
  <c r="K20" i="32"/>
  <c r="M34" i="32"/>
  <c r="G20" i="32"/>
  <c r="I19" i="32"/>
  <c r="C19" i="32"/>
  <c r="C21" i="32"/>
  <c r="G18" i="32"/>
  <c r="C14" i="32"/>
  <c r="I17" i="32"/>
  <c r="C17" i="32"/>
  <c r="G15" i="32"/>
  <c r="G21" i="32"/>
  <c r="I21" i="32"/>
  <c r="C15" i="32"/>
  <c r="C20" i="32"/>
  <c r="I35" i="32"/>
  <c r="E35" i="32"/>
  <c r="I34" i="32"/>
  <c r="I32" i="32"/>
  <c r="G23" i="32"/>
  <c r="G26" i="32"/>
  <c r="K31" i="32"/>
  <c r="K35" i="32"/>
  <c r="I38" i="32"/>
  <c r="I36" i="32"/>
  <c r="F3" i="32"/>
  <c r="G24" i="32"/>
  <c r="E38" i="32"/>
  <c r="I37" i="32"/>
  <c r="I16" i="32"/>
  <c r="I14" i="32"/>
  <c r="C31" i="32"/>
  <c r="W32" i="32"/>
  <c r="M36" i="32"/>
  <c r="I31" i="32"/>
  <c r="G13" i="32"/>
  <c r="I13" i="32"/>
  <c r="I15" i="32"/>
  <c r="C13" i="32"/>
  <c r="Y13" i="32"/>
  <c r="W52" i="32"/>
  <c r="W53" i="32"/>
  <c r="W50" i="32"/>
  <c r="U41" i="32"/>
  <c r="W54" i="32"/>
  <c r="W51" i="32"/>
  <c r="Y53" i="32"/>
  <c r="Z71" i="32"/>
  <c r="M45" i="32"/>
  <c r="M44" i="32"/>
  <c r="M43" i="32"/>
  <c r="P189" i="32"/>
  <c r="Q194" i="32"/>
  <c r="Z116" i="32"/>
  <c r="R115" i="32"/>
  <c r="S121" i="32"/>
  <c r="F115" i="32"/>
  <c r="G119" i="32"/>
  <c r="L40" i="32"/>
  <c r="M49" i="32"/>
  <c r="M47" i="32"/>
  <c r="R197" i="32"/>
  <c r="S199" i="32"/>
  <c r="M46" i="32"/>
  <c r="Z49" i="32"/>
  <c r="Y52" i="32"/>
  <c r="X40" i="32"/>
  <c r="Y50" i="32"/>
  <c r="F189" i="32"/>
  <c r="G195" i="32"/>
  <c r="E17" i="32"/>
  <c r="E14" i="32"/>
  <c r="K39" i="32"/>
  <c r="K38" i="32"/>
  <c r="K32" i="32"/>
  <c r="E37" i="32"/>
  <c r="E39" i="32"/>
  <c r="E16" i="32"/>
  <c r="E20" i="32"/>
  <c r="U36" i="32"/>
  <c r="E32" i="32"/>
  <c r="E15" i="32"/>
  <c r="K13" i="32"/>
  <c r="K33" i="32"/>
  <c r="K36" i="32"/>
  <c r="E34" i="32"/>
  <c r="E13" i="32"/>
  <c r="E19" i="32"/>
  <c r="E31" i="32"/>
  <c r="K34" i="32"/>
  <c r="U38" i="32"/>
  <c r="M33" i="32"/>
  <c r="M35" i="32"/>
  <c r="E33" i="32"/>
  <c r="Y14" i="32"/>
  <c r="Y21" i="32"/>
  <c r="Y16" i="32"/>
  <c r="W31" i="32"/>
  <c r="G31" i="32"/>
  <c r="G17" i="32"/>
  <c r="E18" i="32"/>
  <c r="S19" i="32"/>
  <c r="S20" i="32"/>
  <c r="M37" i="32"/>
  <c r="G14" i="32"/>
  <c r="O24" i="32"/>
  <c r="Y12" i="32"/>
  <c r="Y9" i="32"/>
  <c r="Y6" i="32"/>
  <c r="Y11" i="32"/>
  <c r="Y7" i="32"/>
  <c r="C12" i="32"/>
  <c r="Q8" i="32"/>
  <c r="S9" i="32"/>
  <c r="O26" i="32"/>
  <c r="O27" i="32"/>
  <c r="O30" i="32"/>
  <c r="O28" i="32"/>
  <c r="O29" i="32"/>
  <c r="Q13" i="32"/>
  <c r="O5" i="32"/>
  <c r="O12" i="32"/>
  <c r="Q15" i="32"/>
  <c r="K7" i="32"/>
  <c r="O23" i="32"/>
  <c r="Q5" i="32"/>
  <c r="Q12" i="32"/>
  <c r="Y8" i="32"/>
  <c r="Q9" i="32"/>
  <c r="Q6" i="32"/>
  <c r="Y5" i="32"/>
  <c r="Q7" i="32"/>
  <c r="M15" i="32"/>
  <c r="Q24" i="32"/>
  <c r="M20" i="32"/>
  <c r="Q23" i="32"/>
  <c r="Q27" i="32"/>
  <c r="M13" i="32"/>
  <c r="S6" i="32"/>
  <c r="Q25" i="32"/>
  <c r="W8" i="32"/>
  <c r="W10" i="32"/>
  <c r="W7" i="32"/>
  <c r="V3" i="32"/>
  <c r="V55" i="32"/>
  <c r="V58" i="32"/>
  <c r="V61" i="32"/>
  <c r="V63" i="32"/>
  <c r="W63" i="32"/>
  <c r="C11" i="32"/>
  <c r="C6" i="32"/>
  <c r="J105" i="32"/>
  <c r="K107" i="32"/>
  <c r="C5" i="32"/>
  <c r="C9" i="32"/>
  <c r="M17" i="32"/>
  <c r="M19" i="32"/>
  <c r="S10" i="32"/>
  <c r="R3" i="32"/>
  <c r="S59" i="32"/>
  <c r="W11" i="32"/>
  <c r="W5" i="32"/>
  <c r="W12" i="32"/>
  <c r="M16" i="32"/>
  <c r="M14" i="32"/>
  <c r="S7" i="32"/>
  <c r="S8" i="32"/>
  <c r="C10" i="32"/>
  <c r="B3" i="32"/>
  <c r="B67" i="32"/>
  <c r="M31" i="32"/>
  <c r="Q11" i="32"/>
  <c r="W6" i="32"/>
  <c r="O11" i="32"/>
  <c r="M21" i="32"/>
  <c r="K8" i="32"/>
  <c r="S11" i="32"/>
  <c r="S5" i="32"/>
  <c r="C7" i="32"/>
  <c r="Q20" i="32"/>
  <c r="U33" i="32"/>
  <c r="U31" i="32"/>
  <c r="Q31" i="32"/>
  <c r="O6" i="32"/>
  <c r="O9" i="32"/>
  <c r="K11" i="32"/>
  <c r="K5" i="32"/>
  <c r="K12" i="32"/>
  <c r="Q17" i="32"/>
  <c r="Q18" i="32"/>
  <c r="D87" i="32"/>
  <c r="E94" i="32"/>
  <c r="U37" i="32"/>
  <c r="U35" i="32"/>
  <c r="O10" i="32"/>
  <c r="N3" i="32"/>
  <c r="O55" i="32"/>
  <c r="K6" i="32"/>
  <c r="K9" i="32"/>
  <c r="Q21" i="32"/>
  <c r="Q19" i="32"/>
  <c r="U13" i="32"/>
  <c r="U34" i="32"/>
  <c r="U32" i="32"/>
  <c r="Q30" i="32"/>
  <c r="O7" i="32"/>
  <c r="K10" i="32"/>
  <c r="Q16" i="32"/>
  <c r="N152" i="32"/>
  <c r="O156" i="32"/>
  <c r="Z84" i="32"/>
  <c r="Z110" i="32"/>
  <c r="J78" i="32"/>
  <c r="K85" i="32"/>
  <c r="Q26" i="32"/>
  <c r="Q29" i="32"/>
  <c r="P3" i="32"/>
  <c r="Q40" i="32"/>
  <c r="T78" i="32"/>
  <c r="U80" i="32"/>
  <c r="R152" i="32"/>
  <c r="S157" i="32"/>
  <c r="Z83" i="32"/>
  <c r="J96" i="32"/>
  <c r="K97" i="32"/>
  <c r="Z193" i="32"/>
  <c r="D161" i="32"/>
  <c r="E164" i="32"/>
  <c r="T161" i="32"/>
  <c r="U168" i="32"/>
  <c r="Z165" i="32"/>
  <c r="Z169" i="32"/>
  <c r="Z93" i="32"/>
  <c r="T105" i="32"/>
  <c r="U108" i="32"/>
  <c r="Z167" i="32"/>
  <c r="D189" i="32"/>
  <c r="E190" i="32"/>
  <c r="Z159" i="32"/>
  <c r="P179" i="32"/>
  <c r="Q182" i="32"/>
  <c r="Z192" i="32"/>
  <c r="D179" i="32"/>
  <c r="E184" i="32"/>
  <c r="J189" i="32"/>
  <c r="K194" i="32"/>
  <c r="T179" i="32"/>
  <c r="U184" i="32"/>
  <c r="Z155" i="32"/>
  <c r="Z202" i="32"/>
  <c r="N161" i="32"/>
  <c r="O166" i="32"/>
  <c r="X161" i="32"/>
  <c r="Y169" i="32"/>
  <c r="P170" i="32"/>
  <c r="Q176" i="32"/>
  <c r="F170" i="32"/>
  <c r="G171" i="32"/>
  <c r="T197" i="32"/>
  <c r="U199" i="32"/>
  <c r="T96" i="32"/>
  <c r="U100" i="32"/>
  <c r="F105" i="32"/>
  <c r="G107" i="32"/>
  <c r="R123" i="32"/>
  <c r="S125" i="32"/>
  <c r="V87" i="32"/>
  <c r="W95" i="32"/>
  <c r="Z92" i="32"/>
  <c r="Z103" i="32"/>
  <c r="Z108" i="32"/>
  <c r="J152" i="32"/>
  <c r="K160" i="32"/>
  <c r="H78" i="32"/>
  <c r="I84" i="32"/>
  <c r="X78" i="32"/>
  <c r="Y82" i="32"/>
  <c r="P87" i="32"/>
  <c r="Q92" i="32"/>
  <c r="Z111" i="32"/>
  <c r="Z127" i="32"/>
  <c r="Z90" i="32"/>
  <c r="V96" i="32"/>
  <c r="W103" i="32"/>
  <c r="R105" i="32"/>
  <c r="S111" i="32"/>
  <c r="Z109" i="32"/>
  <c r="T123" i="32"/>
  <c r="U125" i="32"/>
  <c r="L189" i="32"/>
  <c r="M194" i="32"/>
  <c r="P161" i="32"/>
  <c r="Q169" i="32"/>
  <c r="N170" i="32"/>
  <c r="O176" i="32"/>
  <c r="V105" i="32"/>
  <c r="W111" i="32"/>
  <c r="D78" i="32"/>
  <c r="E84" i="32"/>
  <c r="Z86" i="32"/>
  <c r="F87" i="32"/>
  <c r="G93" i="32"/>
  <c r="Z117" i="32"/>
  <c r="N87" i="32"/>
  <c r="O93" i="32"/>
  <c r="B197" i="32"/>
  <c r="Z198" i="32"/>
  <c r="L179" i="32"/>
  <c r="Z186" i="32"/>
  <c r="Z191" i="32"/>
  <c r="L152" i="32"/>
  <c r="Z154" i="32"/>
  <c r="Z156" i="32"/>
  <c r="Z158" i="32"/>
  <c r="Z160" i="32"/>
  <c r="J161" i="32"/>
  <c r="L170" i="32"/>
  <c r="Z172" i="32"/>
  <c r="Z174" i="32"/>
  <c r="Z176" i="32"/>
  <c r="Z178" i="32"/>
  <c r="J179" i="32"/>
  <c r="Z181" i="32"/>
  <c r="X189" i="32"/>
  <c r="V197" i="32"/>
  <c r="Z200" i="32"/>
  <c r="P197" i="32"/>
  <c r="Z177" i="32"/>
  <c r="B152" i="32"/>
  <c r="AB60" i="32"/>
  <c r="Z59" i="32"/>
  <c r="Z100" i="32"/>
  <c r="Z126" i="32"/>
  <c r="P78" i="32"/>
  <c r="Z85" i="32"/>
  <c r="J87" i="32"/>
  <c r="Z102" i="32"/>
  <c r="Z118" i="32"/>
  <c r="F123" i="32"/>
  <c r="Z91" i="32"/>
  <c r="L96" i="32"/>
  <c r="L105" i="32"/>
  <c r="N115" i="32"/>
  <c r="Z122" i="32"/>
  <c r="N123" i="32"/>
  <c r="V78" i="32"/>
  <c r="Z81" i="32"/>
  <c r="R87" i="32"/>
  <c r="R96" i="32"/>
  <c r="X105" i="32"/>
  <c r="T115" i="32"/>
  <c r="Z121" i="32"/>
  <c r="J123" i="32"/>
  <c r="C51" i="32"/>
  <c r="C53" i="32"/>
  <c r="C50" i="32"/>
  <c r="C52" i="32"/>
  <c r="C54" i="32"/>
  <c r="Z4" i="32"/>
  <c r="B189" i="32"/>
  <c r="Z190" i="32"/>
  <c r="P152" i="32"/>
  <c r="N179" i="32"/>
  <c r="D197" i="32"/>
  <c r="J170" i="32"/>
  <c r="Z82" i="32"/>
  <c r="D96" i="32"/>
  <c r="Z99" i="32"/>
  <c r="X115" i="32"/>
  <c r="X123" i="32"/>
  <c r="Z80" i="32"/>
  <c r="Z89" i="32"/>
  <c r="X96" i="32"/>
  <c r="Z120" i="32"/>
  <c r="B146" i="32"/>
  <c r="C146" i="32"/>
  <c r="Z136" i="32"/>
  <c r="Z146" i="32"/>
  <c r="W49" i="32"/>
  <c r="W41" i="32"/>
  <c r="V68" i="32"/>
  <c r="W68" i="32"/>
  <c r="U27" i="32"/>
  <c r="U23" i="32"/>
  <c r="U28" i="32"/>
  <c r="U24" i="32"/>
  <c r="U30" i="32"/>
  <c r="U25" i="32"/>
  <c r="U26" i="32"/>
  <c r="U29" i="32"/>
  <c r="I27" i="32"/>
  <c r="I23" i="32"/>
  <c r="I28" i="32"/>
  <c r="I24" i="32"/>
  <c r="I30" i="32"/>
  <c r="I25" i="32"/>
  <c r="I26" i="32"/>
  <c r="I29" i="32"/>
  <c r="Z41" i="32"/>
  <c r="AB14" i="32"/>
  <c r="Z13" i="32"/>
  <c r="B219" i="32"/>
  <c r="C219" i="32"/>
  <c r="C208" i="32"/>
  <c r="Z187" i="32"/>
  <c r="R189" i="32"/>
  <c r="T189" i="32"/>
  <c r="F152" i="32"/>
  <c r="L161" i="32"/>
  <c r="B170" i="32"/>
  <c r="Z171" i="32"/>
  <c r="H179" i="32"/>
  <c r="J197" i="32"/>
  <c r="D152" i="32"/>
  <c r="Z153" i="32"/>
  <c r="T152" i="32"/>
  <c r="Z162" i="32"/>
  <c r="B161" i="32"/>
  <c r="R161" i="32"/>
  <c r="Z164" i="32"/>
  <c r="Z166" i="32"/>
  <c r="Z168" i="32"/>
  <c r="D170" i="32"/>
  <c r="T170" i="32"/>
  <c r="Z180" i="32"/>
  <c r="B179" i="32"/>
  <c r="R179" i="32"/>
  <c r="Z182" i="32"/>
  <c r="Z184" i="32"/>
  <c r="H189" i="32"/>
  <c r="F197" i="32"/>
  <c r="H197" i="32"/>
  <c r="X197" i="32"/>
  <c r="Z124" i="32"/>
  <c r="B123" i="32"/>
  <c r="H87" i="32"/>
  <c r="N78" i="32"/>
  <c r="Z101" i="32"/>
  <c r="P105" i="32"/>
  <c r="L115" i="32"/>
  <c r="Z125" i="32"/>
  <c r="V123" i="32"/>
  <c r="X87" i="32"/>
  <c r="N96" i="32"/>
  <c r="D105" i="32"/>
  <c r="V115" i="32"/>
  <c r="Z98" i="32"/>
  <c r="Z107" i="32"/>
  <c r="F78" i="32"/>
  <c r="Z88" i="32"/>
  <c r="B87" i="32"/>
  <c r="B96" i="32"/>
  <c r="Z97" i="32"/>
  <c r="H105" i="32"/>
  <c r="Z113" i="32"/>
  <c r="D115" i="32"/>
  <c r="Z128" i="32"/>
  <c r="Z56" i="32"/>
  <c r="AB57" i="32"/>
  <c r="E27" i="32"/>
  <c r="E23" i="32"/>
  <c r="E28" i="32"/>
  <c r="E24" i="32"/>
  <c r="E25" i="32"/>
  <c r="E26" i="32"/>
  <c r="E29" i="32"/>
  <c r="E30" i="32"/>
  <c r="H161" i="32"/>
  <c r="Z219" i="32"/>
  <c r="AA208" i="32"/>
  <c r="Z183" i="32"/>
  <c r="Z157" i="32"/>
  <c r="V170" i="32"/>
  <c r="Z175" i="32"/>
  <c r="Z185" i="32"/>
  <c r="Z195" i="32"/>
  <c r="Z194" i="32"/>
  <c r="V152" i="32"/>
  <c r="Z163" i="32"/>
  <c r="R170" i="32"/>
  <c r="X179" i="32"/>
  <c r="V189" i="32"/>
  <c r="H152" i="32"/>
  <c r="X152" i="32"/>
  <c r="F161" i="32"/>
  <c r="V161" i="32"/>
  <c r="H170" i="32"/>
  <c r="X170" i="32"/>
  <c r="F179" i="32"/>
  <c r="V179" i="32"/>
  <c r="N189" i="32"/>
  <c r="Z196" i="32"/>
  <c r="N197" i="32"/>
  <c r="L197" i="32"/>
  <c r="Z199" i="32"/>
  <c r="Z201" i="32"/>
  <c r="Z173" i="32"/>
  <c r="AA134" i="32"/>
  <c r="Z145" i="32"/>
  <c r="P115" i="32"/>
  <c r="P96" i="32"/>
  <c r="Z94" i="32"/>
  <c r="Z119" i="32"/>
  <c r="Z79" i="32"/>
  <c r="B78" i="32"/>
  <c r="T87" i="32"/>
  <c r="Z95" i="32"/>
  <c r="F96" i="32"/>
  <c r="B105" i="32"/>
  <c r="Z106" i="32"/>
  <c r="H115" i="32"/>
  <c r="H123" i="32"/>
  <c r="L78" i="32"/>
  <c r="R78" i="32"/>
  <c r="L87" i="32"/>
  <c r="H96" i="32"/>
  <c r="Z104" i="32"/>
  <c r="N105" i="32"/>
  <c r="Z112" i="32"/>
  <c r="J115" i="32"/>
  <c r="D123" i="32"/>
  <c r="B40" i="32"/>
  <c r="AB32" i="32"/>
  <c r="Z31" i="32"/>
  <c r="Y27" i="32"/>
  <c r="Y23" i="32"/>
  <c r="Y28" i="32"/>
  <c r="Y24" i="32"/>
  <c r="Y30" i="32"/>
  <c r="Y25" i="32"/>
  <c r="Y26" i="32"/>
  <c r="Y29" i="32"/>
  <c r="K49" i="32"/>
  <c r="M27" i="32"/>
  <c r="M23" i="32"/>
  <c r="M28" i="32"/>
  <c r="M24" i="32"/>
  <c r="M30" i="32"/>
  <c r="M29" i="32"/>
  <c r="M25" i="32"/>
  <c r="M26" i="32"/>
  <c r="X3" i="32"/>
  <c r="H3" i="32"/>
  <c r="Z22" i="32"/>
  <c r="U49" i="32"/>
  <c r="K40" i="32"/>
  <c r="J68" i="32"/>
  <c r="K68" i="32"/>
  <c r="K56" i="32"/>
  <c r="K62" i="32"/>
  <c r="K59" i="32"/>
  <c r="K3" i="32"/>
  <c r="J55" i="32"/>
  <c r="J58" i="32"/>
  <c r="J61" i="32"/>
  <c r="J63" i="32"/>
  <c r="K63" i="32"/>
  <c r="J67" i="32"/>
  <c r="K4" i="32"/>
  <c r="K22" i="32"/>
  <c r="S49" i="32"/>
  <c r="N68" i="32"/>
  <c r="O68" i="32"/>
  <c r="E49" i="32"/>
  <c r="D69" i="32"/>
  <c r="D73" i="32"/>
  <c r="E41" i="32"/>
  <c r="AA198" i="32"/>
  <c r="E59" i="32"/>
  <c r="U22" i="32"/>
  <c r="U40" i="32"/>
  <c r="T67" i="32"/>
  <c r="T69" i="32"/>
  <c r="T73" i="32"/>
  <c r="R68" i="32"/>
  <c r="S68" i="32"/>
  <c r="Q49" i="32"/>
  <c r="Q41" i="32"/>
  <c r="K196" i="32"/>
  <c r="U3" i="32"/>
  <c r="U62" i="32"/>
  <c r="U55" i="32"/>
  <c r="U56" i="32"/>
  <c r="T55" i="32"/>
  <c r="T58" i="32"/>
  <c r="T61" i="32"/>
  <c r="T63" i="32"/>
  <c r="U59" i="32"/>
  <c r="U4" i="32"/>
  <c r="U58" i="32"/>
  <c r="U61" i="32"/>
  <c r="E22" i="32"/>
  <c r="E56" i="32"/>
  <c r="D55" i="32"/>
  <c r="D58" i="32"/>
  <c r="D61" i="32"/>
  <c r="D63" i="32"/>
  <c r="E63" i="32"/>
  <c r="E3" i="32"/>
  <c r="E62" i="32"/>
  <c r="E4" i="32"/>
  <c r="E40" i="32"/>
  <c r="F68" i="32"/>
  <c r="G68" i="32"/>
  <c r="G41" i="32"/>
  <c r="C117" i="32"/>
  <c r="F55" i="32"/>
  <c r="F58" i="32"/>
  <c r="F61" i="32"/>
  <c r="F63" i="32"/>
  <c r="G63" i="32"/>
  <c r="Q124" i="32"/>
  <c r="O41" i="32"/>
  <c r="AA54" i="32"/>
  <c r="C118" i="32"/>
  <c r="M124" i="32"/>
  <c r="C120" i="32"/>
  <c r="C119" i="32"/>
  <c r="M126" i="32"/>
  <c r="S202" i="32"/>
  <c r="C116" i="32"/>
  <c r="C121" i="32"/>
  <c r="M125" i="32"/>
  <c r="M128" i="32"/>
  <c r="Q126" i="32"/>
  <c r="Q125" i="32"/>
  <c r="Q128" i="32"/>
  <c r="S122" i="32"/>
  <c r="U201" i="32"/>
  <c r="Q196" i="32"/>
  <c r="AA202" i="32"/>
  <c r="M22" i="32"/>
  <c r="L67" i="32"/>
  <c r="G40" i="32"/>
  <c r="M59" i="32"/>
  <c r="M3" i="32"/>
  <c r="M40" i="32"/>
  <c r="F67" i="32"/>
  <c r="M4" i="32"/>
  <c r="M62" i="32"/>
  <c r="G3" i="32"/>
  <c r="G62" i="32"/>
  <c r="G22" i="32"/>
  <c r="G59" i="32"/>
  <c r="G56" i="32"/>
  <c r="G4" i="32"/>
  <c r="S201" i="32"/>
  <c r="Q195" i="32"/>
  <c r="AB49" i="32"/>
  <c r="L68" i="32"/>
  <c r="M68" i="32"/>
  <c r="S117" i="32"/>
  <c r="S200" i="32"/>
  <c r="S198" i="32"/>
  <c r="S118" i="32"/>
  <c r="S120" i="32"/>
  <c r="S119" i="32"/>
  <c r="S116" i="32"/>
  <c r="G122" i="32"/>
  <c r="G120" i="32"/>
  <c r="G117" i="32"/>
  <c r="Q190" i="32"/>
  <c r="P188" i="32"/>
  <c r="Q189" i="32"/>
  <c r="Q193" i="32"/>
  <c r="Q192" i="32"/>
  <c r="Q191" i="32"/>
  <c r="U124" i="32"/>
  <c r="G116" i="32"/>
  <c r="G121" i="32"/>
  <c r="AA51" i="32"/>
  <c r="AA199" i="32"/>
  <c r="AA200" i="32"/>
  <c r="L55" i="32"/>
  <c r="L58" i="32"/>
  <c r="L61" i="32"/>
  <c r="L63" i="32"/>
  <c r="M63" i="32"/>
  <c r="AA52" i="32"/>
  <c r="AA53" i="32"/>
  <c r="AA201" i="32"/>
  <c r="M41" i="32"/>
  <c r="AA50" i="32"/>
  <c r="J188" i="32"/>
  <c r="K189" i="32"/>
  <c r="U200" i="32"/>
  <c r="K190" i="32"/>
  <c r="K193" i="32"/>
  <c r="U202" i="32"/>
  <c r="K195" i="32"/>
  <c r="G118" i="32"/>
  <c r="E191" i="32"/>
  <c r="S127" i="32"/>
  <c r="E192" i="32"/>
  <c r="M192" i="32"/>
  <c r="G196" i="32"/>
  <c r="E195" i="32"/>
  <c r="E194" i="32"/>
  <c r="S126" i="32"/>
  <c r="M193" i="32"/>
  <c r="M196" i="32"/>
  <c r="G194" i="32"/>
  <c r="G191" i="32"/>
  <c r="E193" i="32"/>
  <c r="E196" i="32"/>
  <c r="D188" i="32"/>
  <c r="D216" i="32"/>
  <c r="E216" i="32"/>
  <c r="S128" i="32"/>
  <c r="M195" i="32"/>
  <c r="G192" i="32"/>
  <c r="G193" i="32"/>
  <c r="X68" i="32"/>
  <c r="Y68" i="32"/>
  <c r="Y49" i="32"/>
  <c r="Y41" i="32"/>
  <c r="R114" i="32"/>
  <c r="S123" i="32"/>
  <c r="S124" i="32"/>
  <c r="M190" i="32"/>
  <c r="G190" i="32"/>
  <c r="U126" i="32"/>
  <c r="U127" i="32"/>
  <c r="U128" i="32"/>
  <c r="S110" i="32"/>
  <c r="W59" i="32"/>
  <c r="K112" i="32"/>
  <c r="C62" i="32"/>
  <c r="O154" i="32"/>
  <c r="W3" i="32"/>
  <c r="W56" i="32"/>
  <c r="U181" i="32"/>
  <c r="W4" i="32"/>
  <c r="W62" i="32"/>
  <c r="W40" i="32"/>
  <c r="W22" i="32"/>
  <c r="V67" i="32"/>
  <c r="V69" i="32"/>
  <c r="V73" i="32"/>
  <c r="C56" i="32"/>
  <c r="C40" i="32"/>
  <c r="C59" i="32"/>
  <c r="S158" i="32"/>
  <c r="K111" i="32"/>
  <c r="E88" i="32"/>
  <c r="O163" i="32"/>
  <c r="E90" i="32"/>
  <c r="W88" i="32"/>
  <c r="S156" i="32"/>
  <c r="K106" i="32"/>
  <c r="K109" i="32"/>
  <c r="W98" i="32"/>
  <c r="C4" i="32"/>
  <c r="C22" i="32"/>
  <c r="O159" i="32"/>
  <c r="E91" i="32"/>
  <c r="K155" i="32"/>
  <c r="E169" i="32"/>
  <c r="K110" i="32"/>
  <c r="K113" i="32"/>
  <c r="S107" i="32"/>
  <c r="O153" i="32"/>
  <c r="O22" i="32"/>
  <c r="K108" i="32"/>
  <c r="O165" i="32"/>
  <c r="C3" i="32"/>
  <c r="O158" i="32"/>
  <c r="E89" i="32"/>
  <c r="K158" i="32"/>
  <c r="K80" i="32"/>
  <c r="O62" i="32"/>
  <c r="O59" i="32"/>
  <c r="O4" i="32"/>
  <c r="O56" i="32"/>
  <c r="Q59" i="32"/>
  <c r="S4" i="32"/>
  <c r="S22" i="32"/>
  <c r="Q178" i="32"/>
  <c r="Q4" i="32"/>
  <c r="Y86" i="32"/>
  <c r="S40" i="32"/>
  <c r="S62" i="32"/>
  <c r="R67" i="32"/>
  <c r="Q56" i="32"/>
  <c r="G112" i="32"/>
  <c r="S56" i="32"/>
  <c r="Q3" i="32"/>
  <c r="S3" i="32"/>
  <c r="R55" i="32"/>
  <c r="R58" i="32"/>
  <c r="R61" i="32"/>
  <c r="R63" i="32"/>
  <c r="S63" i="32"/>
  <c r="P67" i="32"/>
  <c r="P69" i="32"/>
  <c r="P73" i="32"/>
  <c r="Y79" i="32"/>
  <c r="Q173" i="32"/>
  <c r="K100" i="32"/>
  <c r="Y162" i="32"/>
  <c r="U162" i="32"/>
  <c r="U109" i="32"/>
  <c r="G109" i="32"/>
  <c r="U185" i="32"/>
  <c r="Y166" i="32"/>
  <c r="U101" i="32"/>
  <c r="U112" i="32"/>
  <c r="N67" i="32"/>
  <c r="N55" i="32"/>
  <c r="N58" i="32"/>
  <c r="N61" i="32"/>
  <c r="N63" i="32"/>
  <c r="O63" i="32"/>
  <c r="S109" i="32"/>
  <c r="I81" i="32"/>
  <c r="O168" i="32"/>
  <c r="Q184" i="32"/>
  <c r="O155" i="32"/>
  <c r="O157" i="32"/>
  <c r="E95" i="32"/>
  <c r="E92" i="32"/>
  <c r="G94" i="32"/>
  <c r="W91" i="32"/>
  <c r="U104" i="32"/>
  <c r="O174" i="32"/>
  <c r="S160" i="32"/>
  <c r="Q161" i="32"/>
  <c r="O3" i="32"/>
  <c r="O40" i="32"/>
  <c r="E105" i="32"/>
  <c r="I80" i="32"/>
  <c r="Q187" i="32"/>
  <c r="O160" i="32"/>
  <c r="E93" i="32"/>
  <c r="G89" i="32"/>
  <c r="G176" i="32"/>
  <c r="U166" i="32"/>
  <c r="S154" i="32"/>
  <c r="E180" i="32"/>
  <c r="Q93" i="32"/>
  <c r="U86" i="32"/>
  <c r="O172" i="32"/>
  <c r="E186" i="32"/>
  <c r="W99" i="32"/>
  <c r="Q95" i="32"/>
  <c r="E161" i="32"/>
  <c r="E182" i="32"/>
  <c r="Q22" i="32"/>
  <c r="Q62" i="32"/>
  <c r="Q88" i="32"/>
  <c r="Y83" i="32"/>
  <c r="Q172" i="32"/>
  <c r="K99" i="32"/>
  <c r="W112" i="32"/>
  <c r="K83" i="32"/>
  <c r="E181" i="32"/>
  <c r="P55" i="32"/>
  <c r="P58" i="32"/>
  <c r="P61" i="32"/>
  <c r="P63" i="32"/>
  <c r="Q63" i="32"/>
  <c r="Q94" i="32"/>
  <c r="Y84" i="32"/>
  <c r="Q177" i="32"/>
  <c r="U81" i="32"/>
  <c r="K101" i="32"/>
  <c r="W107" i="32"/>
  <c r="G175" i="32"/>
  <c r="O88" i="32"/>
  <c r="U85" i="32"/>
  <c r="J77" i="32"/>
  <c r="K78" i="32"/>
  <c r="E85" i="32"/>
  <c r="E185" i="32"/>
  <c r="E183" i="32"/>
  <c r="X77" i="32"/>
  <c r="Y132" i="32"/>
  <c r="W101" i="32"/>
  <c r="Q91" i="32"/>
  <c r="Q90" i="32"/>
  <c r="Y81" i="32"/>
  <c r="Y80" i="32"/>
  <c r="Q171" i="32"/>
  <c r="Q174" i="32"/>
  <c r="G105" i="32"/>
  <c r="G110" i="32"/>
  <c r="G111" i="32"/>
  <c r="G172" i="32"/>
  <c r="G178" i="32"/>
  <c r="O91" i="32"/>
  <c r="U82" i="32"/>
  <c r="K104" i="32"/>
  <c r="K103" i="32"/>
  <c r="K79" i="32"/>
  <c r="W108" i="32"/>
  <c r="W109" i="32"/>
  <c r="E187" i="32"/>
  <c r="W102" i="32"/>
  <c r="Q89" i="32"/>
  <c r="Y85" i="32"/>
  <c r="Q175" i="32"/>
  <c r="G106" i="32"/>
  <c r="G113" i="32"/>
  <c r="G174" i="32"/>
  <c r="U79" i="32"/>
  <c r="U84" i="32"/>
  <c r="K102" i="32"/>
  <c r="K84" i="32"/>
  <c r="K81" i="32"/>
  <c r="W110" i="32"/>
  <c r="W113" i="32"/>
  <c r="Z78" i="32"/>
  <c r="AA81" i="32"/>
  <c r="S112" i="32"/>
  <c r="W100" i="32"/>
  <c r="W97" i="32"/>
  <c r="O164" i="32"/>
  <c r="K154" i="32"/>
  <c r="W90" i="32"/>
  <c r="G108" i="32"/>
  <c r="G177" i="32"/>
  <c r="O92" i="32"/>
  <c r="U83" i="32"/>
  <c r="K98" i="32"/>
  <c r="K82" i="32"/>
  <c r="K86" i="32"/>
  <c r="E179" i="32"/>
  <c r="S153" i="32"/>
  <c r="S155" i="32"/>
  <c r="E81" i="32"/>
  <c r="E82" i="32"/>
  <c r="W106" i="32"/>
  <c r="O89" i="32"/>
  <c r="E79" i="32"/>
  <c r="E86" i="32"/>
  <c r="W104" i="32"/>
  <c r="K153" i="32"/>
  <c r="W93" i="32"/>
  <c r="O90" i="32"/>
  <c r="O95" i="32"/>
  <c r="E166" i="32"/>
  <c r="E168" i="32"/>
  <c r="S159" i="32"/>
  <c r="E80" i="32"/>
  <c r="Q165" i="32"/>
  <c r="Q163" i="32"/>
  <c r="Q168" i="32"/>
  <c r="Q162" i="32"/>
  <c r="U186" i="32"/>
  <c r="I82" i="32"/>
  <c r="Q180" i="32"/>
  <c r="U99" i="32"/>
  <c r="Y163" i="32"/>
  <c r="O171" i="32"/>
  <c r="U113" i="32"/>
  <c r="U179" i="32"/>
  <c r="U167" i="32"/>
  <c r="Z115" i="32"/>
  <c r="AA118" i="32"/>
  <c r="U182" i="32"/>
  <c r="U187" i="32"/>
  <c r="S106" i="32"/>
  <c r="S113" i="32"/>
  <c r="I83" i="32"/>
  <c r="I86" i="32"/>
  <c r="U198" i="32"/>
  <c r="O162" i="32"/>
  <c r="O167" i="32"/>
  <c r="K192" i="32"/>
  <c r="K191" i="32"/>
  <c r="Q181" i="32"/>
  <c r="Q185" i="32"/>
  <c r="K157" i="32"/>
  <c r="K159" i="32"/>
  <c r="G92" i="32"/>
  <c r="G87" i="32"/>
  <c r="G95" i="32"/>
  <c r="W92" i="32"/>
  <c r="W89" i="32"/>
  <c r="W105" i="32"/>
  <c r="U103" i="32"/>
  <c r="U102" i="32"/>
  <c r="G173" i="32"/>
  <c r="Y168" i="32"/>
  <c r="Y165" i="32"/>
  <c r="O94" i="32"/>
  <c r="T77" i="32"/>
  <c r="U136" i="32"/>
  <c r="O173" i="32"/>
  <c r="O178" i="32"/>
  <c r="M191" i="32"/>
  <c r="U111" i="32"/>
  <c r="U110" i="32"/>
  <c r="U161" i="32"/>
  <c r="U163" i="32"/>
  <c r="E163" i="32"/>
  <c r="E165" i="32"/>
  <c r="E167" i="32"/>
  <c r="E83" i="32"/>
  <c r="Q167" i="32"/>
  <c r="Q179" i="32"/>
  <c r="U183" i="32"/>
  <c r="I79" i="32"/>
  <c r="Q186" i="32"/>
  <c r="G90" i="32"/>
  <c r="G91" i="32"/>
  <c r="U98" i="32"/>
  <c r="Y164" i="32"/>
  <c r="O175" i="32"/>
  <c r="U106" i="32"/>
  <c r="U169" i="32"/>
  <c r="U180" i="32"/>
  <c r="S108" i="32"/>
  <c r="I85" i="32"/>
  <c r="O169" i="32"/>
  <c r="Q183" i="32"/>
  <c r="N151" i="32"/>
  <c r="O210" i="32"/>
  <c r="K156" i="32"/>
  <c r="G88" i="32"/>
  <c r="W94" i="32"/>
  <c r="W87" i="32"/>
  <c r="U97" i="32"/>
  <c r="Y167" i="32"/>
  <c r="O177" i="32"/>
  <c r="U107" i="32"/>
  <c r="U165" i="32"/>
  <c r="U164" i="32"/>
  <c r="E162" i="32"/>
  <c r="Q164" i="32"/>
  <c r="Q166" i="32"/>
  <c r="S61" i="32"/>
  <c r="Y63" i="32"/>
  <c r="Y59" i="32"/>
  <c r="Y55" i="32"/>
  <c r="Y58" i="32"/>
  <c r="Y56" i="32"/>
  <c r="X67" i="32"/>
  <c r="Y62" i="32"/>
  <c r="Y61" i="32"/>
  <c r="X55" i="32"/>
  <c r="X58" i="32"/>
  <c r="X61" i="32"/>
  <c r="X63" i="32"/>
  <c r="Y40" i="32"/>
  <c r="Y22" i="32"/>
  <c r="Y3" i="32"/>
  <c r="Y4" i="32"/>
  <c r="O113" i="32"/>
  <c r="O111" i="32"/>
  <c r="O109" i="32"/>
  <c r="O107" i="32"/>
  <c r="O108" i="32"/>
  <c r="O110" i="32"/>
  <c r="O106" i="32"/>
  <c r="O112" i="32"/>
  <c r="S85" i="32"/>
  <c r="S83" i="32"/>
  <c r="S81" i="32"/>
  <c r="S79" i="32"/>
  <c r="S82" i="32"/>
  <c r="S86" i="32"/>
  <c r="S80" i="32"/>
  <c r="R77" i="32"/>
  <c r="S84" i="32"/>
  <c r="Z105" i="32"/>
  <c r="U94" i="32"/>
  <c r="U92" i="32"/>
  <c r="U90" i="32"/>
  <c r="U88" i="32"/>
  <c r="U93" i="32"/>
  <c r="U95" i="32"/>
  <c r="U91" i="32"/>
  <c r="U87" i="32"/>
  <c r="U105" i="32"/>
  <c r="U89" i="32"/>
  <c r="M202" i="32"/>
  <c r="M200" i="32"/>
  <c r="M198" i="32"/>
  <c r="M201" i="32"/>
  <c r="M199" i="32"/>
  <c r="W187" i="32"/>
  <c r="W185" i="32"/>
  <c r="W184" i="32"/>
  <c r="W182" i="32"/>
  <c r="W183" i="32"/>
  <c r="W180" i="32"/>
  <c r="W186" i="32"/>
  <c r="W181" i="32"/>
  <c r="W179" i="32"/>
  <c r="W163" i="32"/>
  <c r="W162" i="32"/>
  <c r="W168" i="32"/>
  <c r="W164" i="32"/>
  <c r="W169" i="32"/>
  <c r="W165" i="32"/>
  <c r="W161" i="32"/>
  <c r="W166" i="32"/>
  <c r="W167" i="32"/>
  <c r="W195" i="32"/>
  <c r="W193" i="32"/>
  <c r="W191" i="32"/>
  <c r="W196" i="32"/>
  <c r="W192" i="32"/>
  <c r="V188" i="32"/>
  <c r="W194" i="32"/>
  <c r="W190" i="32"/>
  <c r="W155" i="32"/>
  <c r="W154" i="32"/>
  <c r="W157" i="32"/>
  <c r="W160" i="32"/>
  <c r="W156" i="32"/>
  <c r="W153" i="32"/>
  <c r="W158" i="32"/>
  <c r="W159" i="32"/>
  <c r="V151" i="32"/>
  <c r="W61" i="32"/>
  <c r="C105" i="32"/>
  <c r="C95" i="32"/>
  <c r="C93" i="32"/>
  <c r="C91" i="32"/>
  <c r="C89" i="32"/>
  <c r="C87" i="32"/>
  <c r="C90" i="32"/>
  <c r="C92" i="32"/>
  <c r="C88" i="32"/>
  <c r="C94" i="32"/>
  <c r="Y94" i="32"/>
  <c r="Y92" i="32"/>
  <c r="Y90" i="32"/>
  <c r="Y88" i="32"/>
  <c r="Y91" i="32"/>
  <c r="Y93" i="32"/>
  <c r="Y87" i="32"/>
  <c r="Y95" i="32"/>
  <c r="Y105" i="32"/>
  <c r="Y89" i="32"/>
  <c r="Q112" i="32"/>
  <c r="Q110" i="32"/>
  <c r="Q108" i="32"/>
  <c r="Q106" i="32"/>
  <c r="Q111" i="32"/>
  <c r="Q113" i="32"/>
  <c r="Q107" i="32"/>
  <c r="Q109" i="32"/>
  <c r="C127" i="32"/>
  <c r="C125" i="32"/>
  <c r="C124" i="32"/>
  <c r="C128" i="32"/>
  <c r="C126" i="32"/>
  <c r="G201" i="32"/>
  <c r="G199" i="32"/>
  <c r="G200" i="32"/>
  <c r="G202" i="32"/>
  <c r="G198" i="32"/>
  <c r="S187" i="32"/>
  <c r="S185" i="32"/>
  <c r="S186" i="32"/>
  <c r="S181" i="32"/>
  <c r="S180" i="32"/>
  <c r="S183" i="32"/>
  <c r="S184" i="32"/>
  <c r="S182" i="32"/>
  <c r="E176" i="32"/>
  <c r="E175" i="32"/>
  <c r="E177" i="32"/>
  <c r="E178" i="32"/>
  <c r="E172" i="32"/>
  <c r="E173" i="32"/>
  <c r="E174" i="32"/>
  <c r="E171" i="32"/>
  <c r="S165" i="32"/>
  <c r="S164" i="32"/>
  <c r="S167" i="32"/>
  <c r="S161" i="32"/>
  <c r="S166" i="32"/>
  <c r="S162" i="32"/>
  <c r="S163" i="32"/>
  <c r="S179" i="32"/>
  <c r="S169" i="32"/>
  <c r="S168" i="32"/>
  <c r="Z152" i="32"/>
  <c r="Z170" i="32"/>
  <c r="U196" i="32"/>
  <c r="U194" i="32"/>
  <c r="U192" i="32"/>
  <c r="U190" i="32"/>
  <c r="U193" i="32"/>
  <c r="U195" i="32"/>
  <c r="U191" i="32"/>
  <c r="T188" i="32"/>
  <c r="Q61" i="32"/>
  <c r="O187" i="32"/>
  <c r="O183" i="32"/>
  <c r="O182" i="32"/>
  <c r="O184" i="32"/>
  <c r="O181" i="32"/>
  <c r="O185" i="32"/>
  <c r="O186" i="32"/>
  <c r="O180" i="32"/>
  <c r="O179" i="32"/>
  <c r="Z189" i="32"/>
  <c r="G55" i="32"/>
  <c r="U122" i="32"/>
  <c r="U120" i="32"/>
  <c r="U118" i="32"/>
  <c r="U116" i="32"/>
  <c r="U117" i="32"/>
  <c r="U119" i="32"/>
  <c r="T114" i="32"/>
  <c r="U121" i="32"/>
  <c r="O121" i="32"/>
  <c r="O119" i="32"/>
  <c r="O117" i="32"/>
  <c r="O116" i="32"/>
  <c r="N114" i="32"/>
  <c r="O118" i="32"/>
  <c r="O122" i="32"/>
  <c r="O120" i="32"/>
  <c r="G127" i="32"/>
  <c r="G125" i="32"/>
  <c r="G128" i="32"/>
  <c r="G126" i="32"/>
  <c r="G124" i="32"/>
  <c r="AA60" i="32"/>
  <c r="AB59" i="32"/>
  <c r="Q202" i="32"/>
  <c r="Q200" i="32"/>
  <c r="Q198" i="32"/>
  <c r="Q201" i="32"/>
  <c r="Q199" i="32"/>
  <c r="L151" i="32"/>
  <c r="M156" i="32"/>
  <c r="M155" i="32"/>
  <c r="M160" i="32"/>
  <c r="M157" i="32"/>
  <c r="M153" i="32"/>
  <c r="M158" i="32"/>
  <c r="M154" i="32"/>
  <c r="M159" i="32"/>
  <c r="Z197" i="32"/>
  <c r="O87" i="32"/>
  <c r="AA177" i="32"/>
  <c r="AA176" i="32"/>
  <c r="AA174" i="32"/>
  <c r="AA178" i="32"/>
  <c r="AA175" i="32"/>
  <c r="AA173" i="32"/>
  <c r="AA171" i="32"/>
  <c r="AA172" i="32"/>
  <c r="AA29" i="32"/>
  <c r="AA25" i="32"/>
  <c r="AB22" i="32"/>
  <c r="AA30" i="32"/>
  <c r="AA26" i="32"/>
  <c r="AA24" i="32"/>
  <c r="AA27" i="32"/>
  <c r="AA28" i="32"/>
  <c r="AA23" i="32"/>
  <c r="O58" i="32"/>
  <c r="C49" i="32"/>
  <c r="C41" i="32"/>
  <c r="B68" i="32"/>
  <c r="C68" i="32"/>
  <c r="E128" i="32"/>
  <c r="E126" i="32"/>
  <c r="E124" i="32"/>
  <c r="E125" i="32"/>
  <c r="E127" i="32"/>
  <c r="M86" i="32"/>
  <c r="M84" i="32"/>
  <c r="M82" i="32"/>
  <c r="M80" i="32"/>
  <c r="M81" i="32"/>
  <c r="L77" i="32"/>
  <c r="M85" i="32"/>
  <c r="M83" i="32"/>
  <c r="M79" i="32"/>
  <c r="C113" i="32"/>
  <c r="C111" i="32"/>
  <c r="C109" i="32"/>
  <c r="C107" i="32"/>
  <c r="C106" i="32"/>
  <c r="C108" i="32"/>
  <c r="C112" i="32"/>
  <c r="C110" i="32"/>
  <c r="C85" i="32"/>
  <c r="C83" i="32"/>
  <c r="C81" i="32"/>
  <c r="C79" i="32"/>
  <c r="C82" i="32"/>
  <c r="B77" i="32"/>
  <c r="C86" i="32"/>
  <c r="C84" i="32"/>
  <c r="C80" i="32"/>
  <c r="Q104" i="32"/>
  <c r="Q102" i="32"/>
  <c r="Q100" i="32"/>
  <c r="Q98" i="32"/>
  <c r="Q103" i="32"/>
  <c r="Q97" i="32"/>
  <c r="Q101" i="32"/>
  <c r="Q99" i="32"/>
  <c r="O201" i="32"/>
  <c r="O199" i="32"/>
  <c r="O202" i="32"/>
  <c r="O198" i="32"/>
  <c r="O200" i="32"/>
  <c r="G187" i="32"/>
  <c r="G181" i="32"/>
  <c r="G184" i="32"/>
  <c r="G186" i="32"/>
  <c r="G182" i="32"/>
  <c r="G185" i="32"/>
  <c r="G180" i="32"/>
  <c r="G183" i="32"/>
  <c r="G179" i="32"/>
  <c r="G163" i="32"/>
  <c r="G162" i="32"/>
  <c r="G165" i="32"/>
  <c r="G169" i="32"/>
  <c r="G161" i="32"/>
  <c r="G166" i="32"/>
  <c r="G168" i="32"/>
  <c r="G167" i="32"/>
  <c r="G164" i="32"/>
  <c r="Y186" i="32"/>
  <c r="Y182" i="32"/>
  <c r="Y181" i="32"/>
  <c r="Y185" i="32"/>
  <c r="Y183" i="32"/>
  <c r="Y180" i="32"/>
  <c r="Y184" i="32"/>
  <c r="Y187" i="32"/>
  <c r="W58" i="32"/>
  <c r="AA57" i="32"/>
  <c r="AB56" i="32"/>
  <c r="I112" i="32"/>
  <c r="I110" i="32"/>
  <c r="I108" i="32"/>
  <c r="I106" i="32"/>
  <c r="I107" i="32"/>
  <c r="I109" i="32"/>
  <c r="I111" i="32"/>
  <c r="I113" i="32"/>
  <c r="Z87" i="32"/>
  <c r="W121" i="32"/>
  <c r="W119" i="32"/>
  <c r="W117" i="32"/>
  <c r="W120" i="32"/>
  <c r="W122" i="32"/>
  <c r="W118" i="32"/>
  <c r="V114" i="32"/>
  <c r="W116" i="32"/>
  <c r="W127" i="32"/>
  <c r="W125" i="32"/>
  <c r="W128" i="32"/>
  <c r="W126" i="32"/>
  <c r="W124" i="32"/>
  <c r="Z123" i="32"/>
  <c r="I196" i="32"/>
  <c r="I194" i="32"/>
  <c r="I192" i="32"/>
  <c r="I190" i="32"/>
  <c r="I191" i="32"/>
  <c r="I193" i="32"/>
  <c r="I195" i="32"/>
  <c r="H188" i="32"/>
  <c r="C187" i="32"/>
  <c r="C181" i="32"/>
  <c r="C180" i="32"/>
  <c r="C185" i="32"/>
  <c r="C182" i="32"/>
  <c r="C183" i="32"/>
  <c r="C186" i="32"/>
  <c r="C184" i="32"/>
  <c r="C165" i="32"/>
  <c r="C164" i="32"/>
  <c r="C179" i="32"/>
  <c r="C169" i="32"/>
  <c r="C166" i="32"/>
  <c r="C163" i="32"/>
  <c r="C168" i="32"/>
  <c r="C161" i="32"/>
  <c r="C162" i="32"/>
  <c r="C167" i="32"/>
  <c r="D151" i="32"/>
  <c r="E160" i="32"/>
  <c r="E159" i="32"/>
  <c r="E158" i="32"/>
  <c r="E155" i="32"/>
  <c r="E153" i="32"/>
  <c r="E157" i="32"/>
  <c r="E154" i="32"/>
  <c r="E156" i="32"/>
  <c r="C173" i="32"/>
  <c r="C172" i="32"/>
  <c r="C176" i="32"/>
  <c r="C177" i="32"/>
  <c r="C178" i="32"/>
  <c r="C171" i="32"/>
  <c r="C175" i="32"/>
  <c r="C174" i="32"/>
  <c r="S195" i="32"/>
  <c r="S193" i="32"/>
  <c r="S191" i="32"/>
  <c r="S190" i="32"/>
  <c r="R188" i="32"/>
  <c r="S192" i="32"/>
  <c r="S194" i="32"/>
  <c r="S196" i="32"/>
  <c r="Q58" i="32"/>
  <c r="AA195" i="32"/>
  <c r="AA193" i="32"/>
  <c r="AA191" i="32"/>
  <c r="AA194" i="32"/>
  <c r="AA192" i="32"/>
  <c r="AA190" i="32"/>
  <c r="AA45" i="32"/>
  <c r="Z40" i="32"/>
  <c r="AA196" i="32"/>
  <c r="AA44" i="32"/>
  <c r="AB41" i="32"/>
  <c r="AA47" i="32"/>
  <c r="AA46" i="32"/>
  <c r="AA43" i="32"/>
  <c r="AA42" i="32"/>
  <c r="AA48" i="32"/>
  <c r="K177" i="32"/>
  <c r="K176" i="32"/>
  <c r="K178" i="32"/>
  <c r="K175" i="32"/>
  <c r="K172" i="32"/>
  <c r="K174" i="32"/>
  <c r="K171" i="32"/>
  <c r="K173" i="32"/>
  <c r="C195" i="32"/>
  <c r="C193" i="32"/>
  <c r="C191" i="32"/>
  <c r="C190" i="32"/>
  <c r="B188" i="32"/>
  <c r="C194" i="32"/>
  <c r="C192" i="32"/>
  <c r="C196" i="32"/>
  <c r="B55" i="32"/>
  <c r="Y112" i="32"/>
  <c r="Y110" i="32"/>
  <c r="Y108" i="32"/>
  <c r="Y106" i="32"/>
  <c r="Y107" i="32"/>
  <c r="Y109" i="32"/>
  <c r="Y113" i="32"/>
  <c r="Y111" i="32"/>
  <c r="W85" i="32"/>
  <c r="W83" i="32"/>
  <c r="W81" i="32"/>
  <c r="W79" i="32"/>
  <c r="W80" i="32"/>
  <c r="W82" i="32"/>
  <c r="V77" i="32"/>
  <c r="W86" i="32"/>
  <c r="W84" i="32"/>
  <c r="M112" i="32"/>
  <c r="M110" i="32"/>
  <c r="M108" i="32"/>
  <c r="M106" i="32"/>
  <c r="M113" i="32"/>
  <c r="M107" i="32"/>
  <c r="M111" i="32"/>
  <c r="M109" i="32"/>
  <c r="Q86" i="32"/>
  <c r="Q84" i="32"/>
  <c r="Q82" i="32"/>
  <c r="Q80" i="32"/>
  <c r="Q79" i="32"/>
  <c r="P77" i="32"/>
  <c r="Q85" i="32"/>
  <c r="Q83" i="32"/>
  <c r="Q81" i="32"/>
  <c r="K187" i="32"/>
  <c r="K186" i="32"/>
  <c r="K185" i="32"/>
  <c r="K184" i="32"/>
  <c r="K182" i="32"/>
  <c r="K183" i="32"/>
  <c r="K180" i="32"/>
  <c r="K181" i="32"/>
  <c r="C201" i="32"/>
  <c r="C199" i="32"/>
  <c r="C198" i="32"/>
  <c r="C200" i="32"/>
  <c r="C202" i="32"/>
  <c r="J151" i="32"/>
  <c r="Y179" i="32"/>
  <c r="O105" i="32"/>
  <c r="F114" i="32"/>
  <c r="F188" i="32"/>
  <c r="S55" i="32"/>
  <c r="S58" i="32"/>
  <c r="O61" i="32"/>
  <c r="K121" i="32"/>
  <c r="K119" i="32"/>
  <c r="K117" i="32"/>
  <c r="K118" i="32"/>
  <c r="K120" i="32"/>
  <c r="K116" i="32"/>
  <c r="J114" i="32"/>
  <c r="K122" i="32"/>
  <c r="I104" i="32"/>
  <c r="I102" i="32"/>
  <c r="I100" i="32"/>
  <c r="I98" i="32"/>
  <c r="I99" i="32"/>
  <c r="I101" i="32"/>
  <c r="I103" i="32"/>
  <c r="I97" i="32"/>
  <c r="I128" i="32"/>
  <c r="I126" i="32"/>
  <c r="I124" i="32"/>
  <c r="I125" i="32"/>
  <c r="I127" i="32"/>
  <c r="G103" i="32"/>
  <c r="G101" i="32"/>
  <c r="G99" i="32"/>
  <c r="G97" i="32"/>
  <c r="G104" i="32"/>
  <c r="G98" i="32"/>
  <c r="G102" i="32"/>
  <c r="G100" i="32"/>
  <c r="Q122" i="32"/>
  <c r="Q120" i="32"/>
  <c r="Q118" i="32"/>
  <c r="Q116" i="32"/>
  <c r="Q119" i="32"/>
  <c r="Q121" i="32"/>
  <c r="Q117" i="32"/>
  <c r="P114" i="32"/>
  <c r="Y174" i="32"/>
  <c r="Y173" i="32"/>
  <c r="Y177" i="32"/>
  <c r="Y178" i="32"/>
  <c r="Y172" i="32"/>
  <c r="Y175" i="32"/>
  <c r="Y171" i="32"/>
  <c r="Y176" i="32"/>
  <c r="X151" i="32"/>
  <c r="Y158" i="32"/>
  <c r="Y157" i="32"/>
  <c r="Y153" i="32"/>
  <c r="Y154" i="32"/>
  <c r="Y155" i="32"/>
  <c r="Y159" i="32"/>
  <c r="Y160" i="32"/>
  <c r="Y156" i="32"/>
  <c r="S173" i="32"/>
  <c r="S172" i="32"/>
  <c r="S177" i="32"/>
  <c r="S174" i="32"/>
  <c r="S175" i="32"/>
  <c r="S178" i="32"/>
  <c r="S171" i="32"/>
  <c r="S176" i="32"/>
  <c r="W178" i="32"/>
  <c r="W171" i="32"/>
  <c r="W176" i="32"/>
  <c r="W177" i="32"/>
  <c r="W175" i="32"/>
  <c r="W174" i="32"/>
  <c r="W172" i="32"/>
  <c r="W173" i="32"/>
  <c r="W55" i="32"/>
  <c r="Z96" i="32"/>
  <c r="G85" i="32"/>
  <c r="G83" i="32"/>
  <c r="G81" i="32"/>
  <c r="G79" i="32"/>
  <c r="G80" i="32"/>
  <c r="G84" i="32"/>
  <c r="G86" i="32"/>
  <c r="G82" i="32"/>
  <c r="F77" i="32"/>
  <c r="E112" i="32"/>
  <c r="E110" i="32"/>
  <c r="E108" i="32"/>
  <c r="E106" i="32"/>
  <c r="E109" i="32"/>
  <c r="E111" i="32"/>
  <c r="E113" i="32"/>
  <c r="E107" i="32"/>
  <c r="O85" i="32"/>
  <c r="O83" i="32"/>
  <c r="O81" i="32"/>
  <c r="O79" i="32"/>
  <c r="O84" i="32"/>
  <c r="O86" i="32"/>
  <c r="O82" i="32"/>
  <c r="O80" i="32"/>
  <c r="N77" i="32"/>
  <c r="Y202" i="32"/>
  <c r="Y200" i="32"/>
  <c r="Y198" i="32"/>
  <c r="Y199" i="32"/>
  <c r="Y201" i="32"/>
  <c r="Z179" i="32"/>
  <c r="AA179" i="32"/>
  <c r="Z161" i="32"/>
  <c r="AA161" i="32"/>
  <c r="K201" i="32"/>
  <c r="K199" i="32"/>
  <c r="K202" i="32"/>
  <c r="K200" i="32"/>
  <c r="K198" i="32"/>
  <c r="M179" i="32"/>
  <c r="M164" i="32"/>
  <c r="M163" i="32"/>
  <c r="M167" i="32"/>
  <c r="M161" i="32"/>
  <c r="M168" i="32"/>
  <c r="M165" i="32"/>
  <c r="M162" i="32"/>
  <c r="M169" i="32"/>
  <c r="M166" i="32"/>
  <c r="AA169" i="32"/>
  <c r="AA168" i="32"/>
  <c r="AA167" i="32"/>
  <c r="AA164" i="32"/>
  <c r="AA162" i="32"/>
  <c r="AA166" i="32"/>
  <c r="AA163" i="32"/>
  <c r="AA165" i="32"/>
  <c r="AA21" i="32"/>
  <c r="AA18" i="32"/>
  <c r="AA20" i="32"/>
  <c r="AA16" i="32"/>
  <c r="AB13" i="32"/>
  <c r="AA13" i="32"/>
  <c r="AA17" i="32"/>
  <c r="AA14" i="32"/>
  <c r="AA19" i="32"/>
  <c r="AA15" i="32"/>
  <c r="Q55" i="32"/>
  <c r="Y128" i="32"/>
  <c r="Y126" i="32"/>
  <c r="Y124" i="32"/>
  <c r="Y125" i="32"/>
  <c r="Y127" i="32"/>
  <c r="E104" i="32"/>
  <c r="E102" i="32"/>
  <c r="E100" i="32"/>
  <c r="E98" i="32"/>
  <c r="E101" i="32"/>
  <c r="E103" i="32"/>
  <c r="E99" i="32"/>
  <c r="E97" i="32"/>
  <c r="Q105" i="32"/>
  <c r="O161" i="32"/>
  <c r="C67" i="32"/>
  <c r="K127" i="32"/>
  <c r="K125" i="32"/>
  <c r="K126" i="32"/>
  <c r="K128" i="32"/>
  <c r="K124" i="32"/>
  <c r="S103" i="32"/>
  <c r="S101" i="32"/>
  <c r="S99" i="32"/>
  <c r="S97" i="32"/>
  <c r="S98" i="32"/>
  <c r="S100" i="32"/>
  <c r="S102" i="32"/>
  <c r="S104" i="32"/>
  <c r="O127" i="32"/>
  <c r="O125" i="32"/>
  <c r="O124" i="32"/>
  <c r="O126" i="32"/>
  <c r="O128" i="32"/>
  <c r="M104" i="32"/>
  <c r="M102" i="32"/>
  <c r="M100" i="32"/>
  <c r="M98" i="32"/>
  <c r="M97" i="32"/>
  <c r="M99" i="32"/>
  <c r="M103" i="32"/>
  <c r="M101" i="32"/>
  <c r="B114" i="32"/>
  <c r="C157" i="32"/>
  <c r="C156" i="32"/>
  <c r="C160" i="32"/>
  <c r="C154" i="32"/>
  <c r="B151" i="32"/>
  <c r="C153" i="32"/>
  <c r="C155" i="32"/>
  <c r="C158" i="32"/>
  <c r="C159" i="32"/>
  <c r="W201" i="32"/>
  <c r="W199" i="32"/>
  <c r="W202" i="32"/>
  <c r="W200" i="32"/>
  <c r="W198" i="32"/>
  <c r="M172" i="32"/>
  <c r="M171" i="32"/>
  <c r="M177" i="32"/>
  <c r="M178" i="32"/>
  <c r="M173" i="32"/>
  <c r="M176" i="32"/>
  <c r="M174" i="32"/>
  <c r="M175" i="32"/>
  <c r="E87" i="32"/>
  <c r="Y161" i="32"/>
  <c r="L188" i="32"/>
  <c r="R151" i="32"/>
  <c r="I59" i="32"/>
  <c r="I56" i="32"/>
  <c r="I62" i="32"/>
  <c r="H67" i="32"/>
  <c r="H69" i="32"/>
  <c r="H73" i="32"/>
  <c r="I40" i="32"/>
  <c r="H55" i="32"/>
  <c r="H58" i="32"/>
  <c r="H61" i="32"/>
  <c r="H63" i="32"/>
  <c r="I63" i="32"/>
  <c r="I22" i="32"/>
  <c r="I3" i="32"/>
  <c r="I4" i="32"/>
  <c r="AA187" i="32"/>
  <c r="AA185" i="32"/>
  <c r="AA186" i="32"/>
  <c r="AA184" i="32"/>
  <c r="AA183" i="32"/>
  <c r="AA180" i="32"/>
  <c r="AA181" i="32"/>
  <c r="AA182" i="32"/>
  <c r="AA37" i="32"/>
  <c r="AA33" i="32"/>
  <c r="AA39" i="32"/>
  <c r="AA38" i="32"/>
  <c r="AA34" i="32"/>
  <c r="AB31" i="32"/>
  <c r="AA35" i="32"/>
  <c r="AA36" i="32"/>
  <c r="AA32" i="32"/>
  <c r="AA31" i="32"/>
  <c r="M94" i="32"/>
  <c r="M92" i="32"/>
  <c r="M90" i="32"/>
  <c r="M88" i="32"/>
  <c r="M105" i="32"/>
  <c r="M89" i="32"/>
  <c r="M91" i="32"/>
  <c r="M95" i="32"/>
  <c r="M93" i="32"/>
  <c r="M87" i="32"/>
  <c r="I122" i="32"/>
  <c r="I120" i="32"/>
  <c r="I118" i="32"/>
  <c r="I116" i="32"/>
  <c r="H114" i="32"/>
  <c r="I117" i="32"/>
  <c r="I121" i="32"/>
  <c r="I119" i="32"/>
  <c r="O195" i="32"/>
  <c r="O193" i="32"/>
  <c r="O191" i="32"/>
  <c r="O192" i="32"/>
  <c r="O196" i="32"/>
  <c r="O190" i="32"/>
  <c r="N188" i="32"/>
  <c r="O194" i="32"/>
  <c r="I174" i="32"/>
  <c r="I173" i="32"/>
  <c r="I176" i="32"/>
  <c r="I177" i="32"/>
  <c r="I171" i="32"/>
  <c r="I175" i="32"/>
  <c r="I178" i="32"/>
  <c r="I172" i="32"/>
  <c r="H151" i="32"/>
  <c r="I158" i="32"/>
  <c r="I157" i="32"/>
  <c r="I160" i="32"/>
  <c r="I154" i="32"/>
  <c r="I159" i="32"/>
  <c r="I155" i="32"/>
  <c r="I156" i="32"/>
  <c r="I153" i="32"/>
  <c r="I166" i="32"/>
  <c r="I165" i="32"/>
  <c r="I179" i="32"/>
  <c r="I162" i="32"/>
  <c r="I167" i="32"/>
  <c r="I163" i="32"/>
  <c r="I168" i="32"/>
  <c r="I161" i="32"/>
  <c r="I164" i="32"/>
  <c r="I169" i="32"/>
  <c r="E122" i="32"/>
  <c r="E120" i="32"/>
  <c r="E118" i="32"/>
  <c r="E116" i="32"/>
  <c r="E117" i="32"/>
  <c r="E119" i="32"/>
  <c r="E121" i="32"/>
  <c r="D114" i="32"/>
  <c r="C103" i="32"/>
  <c r="C101" i="32"/>
  <c r="C99" i="32"/>
  <c r="C97" i="32"/>
  <c r="C98" i="32"/>
  <c r="C100" i="32"/>
  <c r="C104" i="32"/>
  <c r="C102" i="32"/>
  <c r="O103" i="32"/>
  <c r="O101" i="32"/>
  <c r="O99" i="32"/>
  <c r="O97" i="32"/>
  <c r="O100" i="32"/>
  <c r="O102" i="32"/>
  <c r="O98" i="32"/>
  <c r="O104" i="32"/>
  <c r="M122" i="32"/>
  <c r="M120" i="32"/>
  <c r="M118" i="32"/>
  <c r="M116" i="32"/>
  <c r="M121" i="32"/>
  <c r="L114" i="32"/>
  <c r="M119" i="32"/>
  <c r="M117" i="32"/>
  <c r="I94" i="32"/>
  <c r="I92" i="32"/>
  <c r="I90" i="32"/>
  <c r="I88" i="32"/>
  <c r="I91" i="32"/>
  <c r="I93" i="32"/>
  <c r="I105" i="32"/>
  <c r="I89" i="32"/>
  <c r="I87" i="32"/>
  <c r="I95" i="32"/>
  <c r="I202" i="32"/>
  <c r="I200" i="32"/>
  <c r="I198" i="32"/>
  <c r="I201" i="32"/>
  <c r="I199" i="32"/>
  <c r="U176" i="32"/>
  <c r="U175" i="32"/>
  <c r="U178" i="32"/>
  <c r="U173" i="32"/>
  <c r="U171" i="32"/>
  <c r="U177" i="32"/>
  <c r="U174" i="32"/>
  <c r="U172" i="32"/>
  <c r="T151" i="32"/>
  <c r="U160" i="32"/>
  <c r="U159" i="32"/>
  <c r="U156" i="32"/>
  <c r="U153" i="32"/>
  <c r="U155" i="32"/>
  <c r="U157" i="32"/>
  <c r="U158" i="32"/>
  <c r="U154" i="32"/>
  <c r="I186" i="32"/>
  <c r="I182" i="32"/>
  <c r="I181" i="32"/>
  <c r="I185" i="32"/>
  <c r="I183" i="32"/>
  <c r="I184" i="32"/>
  <c r="I187" i="32"/>
  <c r="I180" i="32"/>
  <c r="G155" i="32"/>
  <c r="G154" i="32"/>
  <c r="G159" i="32"/>
  <c r="G156" i="32"/>
  <c r="G153" i="32"/>
  <c r="G158" i="32"/>
  <c r="G160" i="32"/>
  <c r="G157" i="32"/>
  <c r="F151" i="32"/>
  <c r="Y104" i="32"/>
  <c r="Y102" i="32"/>
  <c r="Y100" i="32"/>
  <c r="Y98" i="32"/>
  <c r="Y99" i="32"/>
  <c r="Y101" i="32"/>
  <c r="Y97" i="32"/>
  <c r="Y103" i="32"/>
  <c r="Y122" i="32"/>
  <c r="Y120" i="32"/>
  <c r="Y118" i="32"/>
  <c r="Y116" i="32"/>
  <c r="X114" i="32"/>
  <c r="Y117" i="32"/>
  <c r="Y121" i="32"/>
  <c r="Y119" i="32"/>
  <c r="Q87" i="32"/>
  <c r="H77" i="32"/>
  <c r="E202" i="32"/>
  <c r="E200" i="32"/>
  <c r="E198" i="32"/>
  <c r="E201" i="32"/>
  <c r="E199" i="32"/>
  <c r="P151" i="32"/>
  <c r="Q154" i="32"/>
  <c r="Q153" i="32"/>
  <c r="Q160" i="32"/>
  <c r="Q157" i="32"/>
  <c r="Q158" i="32"/>
  <c r="Q155" i="32"/>
  <c r="Q159" i="32"/>
  <c r="Q156" i="32"/>
  <c r="AA160" i="32"/>
  <c r="AA153" i="32"/>
  <c r="AA158" i="32"/>
  <c r="AA154" i="32"/>
  <c r="AA159" i="32"/>
  <c r="AA155" i="32"/>
  <c r="AA156" i="32"/>
  <c r="AA157" i="32"/>
  <c r="AA12" i="32"/>
  <c r="AA8" i="32"/>
  <c r="Z3" i="32"/>
  <c r="AB4" i="32"/>
  <c r="AA9" i="32"/>
  <c r="AA5" i="32"/>
  <c r="AA7" i="32"/>
  <c r="AA10" i="32"/>
  <c r="AA6" i="32"/>
  <c r="AA11" i="32"/>
  <c r="S105" i="32"/>
  <c r="S95" i="32"/>
  <c r="S93" i="32"/>
  <c r="S91" i="32"/>
  <c r="S89" i="32"/>
  <c r="S87" i="32"/>
  <c r="S90" i="32"/>
  <c r="S92" i="32"/>
  <c r="S94" i="32"/>
  <c r="S88" i="32"/>
  <c r="K105" i="32"/>
  <c r="K95" i="32"/>
  <c r="K93" i="32"/>
  <c r="K91" i="32"/>
  <c r="K89" i="32"/>
  <c r="K87" i="32"/>
  <c r="K94" i="32"/>
  <c r="K92" i="32"/>
  <c r="K90" i="32"/>
  <c r="K88" i="32"/>
  <c r="Y196" i="32"/>
  <c r="Y194" i="32"/>
  <c r="Y192" i="32"/>
  <c r="Y190" i="32"/>
  <c r="Y191" i="32"/>
  <c r="X188" i="32"/>
  <c r="Y193" i="32"/>
  <c r="Y195" i="32"/>
  <c r="K169" i="32"/>
  <c r="K168" i="32"/>
  <c r="K161" i="32"/>
  <c r="K166" i="32"/>
  <c r="K179" i="32"/>
  <c r="K167" i="32"/>
  <c r="K163" i="32"/>
  <c r="K164" i="32"/>
  <c r="K165" i="32"/>
  <c r="K162" i="32"/>
  <c r="M186" i="32"/>
  <c r="M180" i="32"/>
  <c r="M187" i="32"/>
  <c r="M183" i="32"/>
  <c r="M184" i="32"/>
  <c r="M181" i="32"/>
  <c r="M185" i="32"/>
  <c r="M182" i="32"/>
  <c r="D77" i="32"/>
  <c r="K55" i="32"/>
  <c r="M58" i="32"/>
  <c r="M55" i="32"/>
  <c r="M61" i="32"/>
  <c r="K58" i="32"/>
  <c r="K61" i="32"/>
  <c r="I55" i="32"/>
  <c r="J69" i="32"/>
  <c r="J73" i="32"/>
  <c r="G58" i="32"/>
  <c r="G61" i="32"/>
  <c r="N69" i="32"/>
  <c r="N73" i="32"/>
  <c r="R69" i="32"/>
  <c r="R73" i="32"/>
  <c r="F69" i="32"/>
  <c r="F73" i="32"/>
  <c r="C114" i="32"/>
  <c r="E55" i="32"/>
  <c r="E61" i="32"/>
  <c r="E58" i="32"/>
  <c r="E197" i="32"/>
  <c r="E189" i="32"/>
  <c r="R142" i="32"/>
  <c r="S142" i="32"/>
  <c r="S115" i="32"/>
  <c r="K77" i="32"/>
  <c r="L69" i="32"/>
  <c r="L73" i="32"/>
  <c r="Q197" i="32"/>
  <c r="AA116" i="32"/>
  <c r="K197" i="32"/>
  <c r="B69" i="32"/>
  <c r="B73" i="32"/>
  <c r="C73" i="32"/>
  <c r="E67" i="32"/>
  <c r="E69" i="32"/>
  <c r="E73" i="32"/>
  <c r="G67" i="32"/>
  <c r="G69" i="32"/>
  <c r="G73" i="32"/>
  <c r="I67" i="32"/>
  <c r="I69" i="32"/>
  <c r="I73" i="32"/>
  <c r="K67" i="32"/>
  <c r="K69" i="32"/>
  <c r="K73" i="32"/>
  <c r="M67" i="32"/>
  <c r="M69" i="32"/>
  <c r="M73" i="32"/>
  <c r="O67" i="32"/>
  <c r="O69" i="32"/>
  <c r="O73" i="32"/>
  <c r="Q67" i="32"/>
  <c r="Q69" i="32"/>
  <c r="Q73" i="32"/>
  <c r="S67" i="32"/>
  <c r="S69" i="32"/>
  <c r="S73" i="32"/>
  <c r="U67" i="32"/>
  <c r="U69" i="32"/>
  <c r="U73" i="32"/>
  <c r="W67" i="32"/>
  <c r="W69" i="32"/>
  <c r="W73" i="32"/>
  <c r="Y67" i="32"/>
  <c r="Y69" i="32"/>
  <c r="Y73" i="32"/>
  <c r="P216" i="32"/>
  <c r="Q216" i="32"/>
  <c r="J216" i="32"/>
  <c r="K216" i="32"/>
  <c r="AA119" i="32"/>
  <c r="X69" i="32"/>
  <c r="X73" i="32"/>
  <c r="AA121" i="32"/>
  <c r="AA120" i="32"/>
  <c r="J141" i="32"/>
  <c r="Y129" i="32"/>
  <c r="K96" i="32"/>
  <c r="K133" i="32"/>
  <c r="Y133" i="32"/>
  <c r="J129" i="32"/>
  <c r="J132" i="32"/>
  <c r="J135" i="32"/>
  <c r="J137" i="32"/>
  <c r="K137" i="32"/>
  <c r="K136" i="32"/>
  <c r="Y130" i="32"/>
  <c r="X129" i="32"/>
  <c r="X132" i="32"/>
  <c r="X135" i="32"/>
  <c r="X137" i="32"/>
  <c r="K130" i="32"/>
  <c r="Y77" i="32"/>
  <c r="Y136" i="32"/>
  <c r="Y96" i="32"/>
  <c r="Y78" i="32"/>
  <c r="X141" i="32"/>
  <c r="AA86" i="32"/>
  <c r="AA85" i="32"/>
  <c r="Y135" i="32"/>
  <c r="Y137" i="32"/>
  <c r="U129" i="32"/>
  <c r="U78" i="32"/>
  <c r="T141" i="32"/>
  <c r="O204" i="32"/>
  <c r="AA84" i="32"/>
  <c r="AA83" i="32"/>
  <c r="O170" i="32"/>
  <c r="O207" i="32"/>
  <c r="AA82" i="32"/>
  <c r="AA79" i="32"/>
  <c r="O151" i="32"/>
  <c r="N203" i="32"/>
  <c r="N206" i="32"/>
  <c r="AA80" i="32"/>
  <c r="N215" i="32"/>
  <c r="O152" i="32"/>
  <c r="T129" i="32"/>
  <c r="T132" i="32"/>
  <c r="T135" i="32"/>
  <c r="T137" i="32"/>
  <c r="U137" i="32"/>
  <c r="U96" i="32"/>
  <c r="U77" i="32"/>
  <c r="U130" i="32"/>
  <c r="U133" i="32"/>
  <c r="Z114" i="32"/>
  <c r="AA123" i="32"/>
  <c r="AA122" i="32"/>
  <c r="AA117" i="32"/>
  <c r="O203" i="32"/>
  <c r="H141" i="32"/>
  <c r="I136" i="32"/>
  <c r="I130" i="32"/>
  <c r="I96" i="32"/>
  <c r="I78" i="32"/>
  <c r="H129" i="32"/>
  <c r="H132" i="32"/>
  <c r="H135" i="32"/>
  <c r="H137" i="32"/>
  <c r="I137" i="32"/>
  <c r="I133" i="32"/>
  <c r="I77" i="32"/>
  <c r="I123" i="32"/>
  <c r="I115" i="32"/>
  <c r="H142" i="32"/>
  <c r="I142" i="32"/>
  <c r="L216" i="32"/>
  <c r="M216" i="32"/>
  <c r="M197" i="32"/>
  <c r="M189" i="32"/>
  <c r="G133" i="32"/>
  <c r="G77" i="32"/>
  <c r="G136" i="32"/>
  <c r="G96" i="32"/>
  <c r="F141" i="32"/>
  <c r="G130" i="32"/>
  <c r="F129" i="32"/>
  <c r="F132" i="32"/>
  <c r="F135" i="32"/>
  <c r="F137" i="32"/>
  <c r="G137" i="32"/>
  <c r="G78" i="32"/>
  <c r="F216" i="32"/>
  <c r="G216" i="32"/>
  <c r="G197" i="32"/>
  <c r="G189" i="32"/>
  <c r="K207" i="32"/>
  <c r="K210" i="32"/>
  <c r="J203" i="32"/>
  <c r="J206" i="32"/>
  <c r="J209" i="32"/>
  <c r="J211" i="32"/>
  <c r="K211" i="32"/>
  <c r="J215" i="32"/>
  <c r="K152" i="32"/>
  <c r="K188" i="32"/>
  <c r="K151" i="32"/>
  <c r="K204" i="32"/>
  <c r="K170" i="32"/>
  <c r="B58" i="32"/>
  <c r="C55" i="32"/>
  <c r="B216" i="32"/>
  <c r="C216" i="32"/>
  <c r="C197" i="32"/>
  <c r="C189" i="32"/>
  <c r="D215" i="32"/>
  <c r="D217" i="32"/>
  <c r="D221" i="32"/>
  <c r="E210" i="32"/>
  <c r="E204" i="32"/>
  <c r="E188" i="32"/>
  <c r="D203" i="32"/>
  <c r="D206" i="32"/>
  <c r="D209" i="32"/>
  <c r="D211" i="32"/>
  <c r="E211" i="32"/>
  <c r="E207" i="32"/>
  <c r="E152" i="32"/>
  <c r="E151" i="32"/>
  <c r="E170" i="32"/>
  <c r="L141" i="32"/>
  <c r="M136" i="32"/>
  <c r="M130" i="32"/>
  <c r="M96" i="32"/>
  <c r="M78" i="32"/>
  <c r="L129" i="32"/>
  <c r="L132" i="32"/>
  <c r="L135" i="32"/>
  <c r="L137" i="32"/>
  <c r="M137" i="32"/>
  <c r="M133" i="32"/>
  <c r="M77" i="32"/>
  <c r="Y123" i="32"/>
  <c r="Y115" i="32"/>
  <c r="X142" i="32"/>
  <c r="Y142" i="32"/>
  <c r="L142" i="32"/>
  <c r="M142" i="32"/>
  <c r="M123" i="32"/>
  <c r="M115" i="32"/>
  <c r="H215" i="32"/>
  <c r="I210" i="32"/>
  <c r="I207" i="32"/>
  <c r="I204" i="32"/>
  <c r="I188" i="32"/>
  <c r="H203" i="32"/>
  <c r="H206" i="32"/>
  <c r="H209" i="32"/>
  <c r="H211" i="32"/>
  <c r="I211" i="32"/>
  <c r="I151" i="32"/>
  <c r="I170" i="32"/>
  <c r="I152" i="32"/>
  <c r="C207" i="32"/>
  <c r="B203" i="32"/>
  <c r="B206" i="32"/>
  <c r="B209" i="32"/>
  <c r="B211" i="32"/>
  <c r="C211" i="32"/>
  <c r="B215" i="32"/>
  <c r="C210" i="32"/>
  <c r="C188" i="32"/>
  <c r="C204" i="32"/>
  <c r="C152" i="32"/>
  <c r="C170" i="32"/>
  <c r="C151" i="32"/>
  <c r="AA103" i="32"/>
  <c r="AA101" i="32"/>
  <c r="AA99" i="32"/>
  <c r="AA97" i="32"/>
  <c r="AA102" i="32"/>
  <c r="AA104" i="32"/>
  <c r="AA98" i="32"/>
  <c r="AA100" i="32"/>
  <c r="G123" i="32"/>
  <c r="G115" i="32"/>
  <c r="F142" i="32"/>
  <c r="G142" i="32"/>
  <c r="P141" i="32"/>
  <c r="Q136" i="32"/>
  <c r="Q130" i="32"/>
  <c r="Q96" i="32"/>
  <c r="Q78" i="32"/>
  <c r="Q137" i="32"/>
  <c r="Q133" i="32"/>
  <c r="P129" i="32"/>
  <c r="P132" i="32"/>
  <c r="P135" i="32"/>
  <c r="P137" i="32"/>
  <c r="Q77" i="32"/>
  <c r="W137" i="32"/>
  <c r="W133" i="32"/>
  <c r="W77" i="32"/>
  <c r="V141" i="32"/>
  <c r="W96" i="32"/>
  <c r="W136" i="32"/>
  <c r="W130" i="32"/>
  <c r="V129" i="32"/>
  <c r="V132" i="32"/>
  <c r="V135" i="32"/>
  <c r="V137" i="32"/>
  <c r="W78" i="32"/>
  <c r="AA197" i="32"/>
  <c r="AA189" i="32"/>
  <c r="AA49" i="32"/>
  <c r="AA41" i="32"/>
  <c r="AB40" i="32"/>
  <c r="Z68" i="32"/>
  <c r="AA105" i="32"/>
  <c r="AA95" i="32"/>
  <c r="AA93" i="32"/>
  <c r="AA91" i="32"/>
  <c r="AA89" i="32"/>
  <c r="AA87" i="32"/>
  <c r="AA94" i="32"/>
  <c r="AA88" i="32"/>
  <c r="AA92" i="32"/>
  <c r="AA90" i="32"/>
  <c r="U132" i="32"/>
  <c r="L215" i="32"/>
  <c r="M210" i="32"/>
  <c r="M204" i="32"/>
  <c r="M188" i="32"/>
  <c r="M207" i="32"/>
  <c r="L203" i="32"/>
  <c r="L206" i="32"/>
  <c r="L209" i="32"/>
  <c r="L211" i="32"/>
  <c r="M211" i="32"/>
  <c r="M170" i="32"/>
  <c r="M152" i="32"/>
  <c r="M151" i="32"/>
  <c r="O123" i="32"/>
  <c r="O115" i="32"/>
  <c r="N142" i="32"/>
  <c r="O142" i="32"/>
  <c r="Z188" i="32"/>
  <c r="Z216" i="32"/>
  <c r="T216" i="32"/>
  <c r="U216" i="32"/>
  <c r="U197" i="32"/>
  <c r="U189" i="32"/>
  <c r="AA113" i="32"/>
  <c r="AA111" i="32"/>
  <c r="AA109" i="32"/>
  <c r="AA107" i="32"/>
  <c r="AA110" i="32"/>
  <c r="AA112" i="32"/>
  <c r="AA108" i="32"/>
  <c r="AA106" i="32"/>
  <c r="Y188" i="32"/>
  <c r="X216" i="32"/>
  <c r="Y216" i="32"/>
  <c r="Y197" i="32"/>
  <c r="Y189" i="32"/>
  <c r="P215" i="32"/>
  <c r="Q210" i="32"/>
  <c r="Q211" i="32"/>
  <c r="Q204" i="32"/>
  <c r="Q188" i="32"/>
  <c r="Q207" i="32"/>
  <c r="Q203" i="32"/>
  <c r="Q170" i="32"/>
  <c r="Q209" i="32"/>
  <c r="P203" i="32"/>
  <c r="P206" i="32"/>
  <c r="P209" i="32"/>
  <c r="P211" i="32"/>
  <c r="Q151" i="32"/>
  <c r="Q152" i="32"/>
  <c r="G207" i="32"/>
  <c r="F215" i="32"/>
  <c r="F203" i="32"/>
  <c r="F206" i="32"/>
  <c r="F209" i="32"/>
  <c r="F211" i="32"/>
  <c r="G211" i="32"/>
  <c r="G210" i="32"/>
  <c r="G204" i="32"/>
  <c r="G188" i="32"/>
  <c r="G170" i="32"/>
  <c r="G151" i="32"/>
  <c r="G152" i="32"/>
  <c r="I61" i="32"/>
  <c r="C123" i="32"/>
  <c r="C115" i="32"/>
  <c r="B142" i="32"/>
  <c r="C142" i="32"/>
  <c r="X215" i="32"/>
  <c r="Y210" i="32"/>
  <c r="Y206" i="32"/>
  <c r="Y211" i="32"/>
  <c r="Y207" i="32"/>
  <c r="Y204" i="32"/>
  <c r="Y209" i="32"/>
  <c r="Y203" i="32"/>
  <c r="Y152" i="32"/>
  <c r="Y170" i="32"/>
  <c r="X203" i="32"/>
  <c r="X206" i="32"/>
  <c r="X209" i="32"/>
  <c r="X211" i="32"/>
  <c r="Y151" i="32"/>
  <c r="Z77" i="32"/>
  <c r="K123" i="32"/>
  <c r="K115" i="32"/>
  <c r="J142" i="32"/>
  <c r="K142" i="32"/>
  <c r="W123" i="32"/>
  <c r="W115" i="32"/>
  <c r="V142" i="32"/>
  <c r="W142" i="32"/>
  <c r="U135" i="32"/>
  <c r="Z151" i="32"/>
  <c r="V216" i="32"/>
  <c r="W216" i="32"/>
  <c r="W197" i="32"/>
  <c r="W189" i="32"/>
  <c r="D141" i="32"/>
  <c r="E136" i="32"/>
  <c r="E130" i="32"/>
  <c r="E96" i="32"/>
  <c r="E78" i="32"/>
  <c r="E133" i="32"/>
  <c r="E77" i="32"/>
  <c r="D129" i="32"/>
  <c r="D132" i="32"/>
  <c r="D135" i="32"/>
  <c r="D137" i="32"/>
  <c r="E137" i="32"/>
  <c r="AA207" i="32"/>
  <c r="AA210" i="32"/>
  <c r="AA152" i="32"/>
  <c r="AA170" i="32"/>
  <c r="Z67" i="32"/>
  <c r="Z55" i="32"/>
  <c r="AA55" i="32"/>
  <c r="AA56" i="32"/>
  <c r="AA40" i="32"/>
  <c r="AA22" i="32"/>
  <c r="AA59" i="32"/>
  <c r="AA62" i="32"/>
  <c r="AA4" i="32"/>
  <c r="AA3" i="32"/>
  <c r="AB3" i="32"/>
  <c r="T215" i="32"/>
  <c r="U210" i="32"/>
  <c r="U204" i="32"/>
  <c r="U188" i="32"/>
  <c r="T203" i="32"/>
  <c r="T206" i="32"/>
  <c r="T209" i="32"/>
  <c r="T211" i="32"/>
  <c r="U211" i="32"/>
  <c r="U152" i="32"/>
  <c r="U151" i="32"/>
  <c r="U207" i="32"/>
  <c r="U170" i="32"/>
  <c r="D142" i="32"/>
  <c r="E142" i="32"/>
  <c r="E115" i="32"/>
  <c r="E123" i="32"/>
  <c r="N216" i="32"/>
  <c r="O216" i="32"/>
  <c r="O197" i="32"/>
  <c r="O189" i="32"/>
  <c r="I58" i="32"/>
  <c r="S211" i="32"/>
  <c r="S207" i="32"/>
  <c r="S206" i="32"/>
  <c r="S203" i="32"/>
  <c r="R203" i="32"/>
  <c r="R206" i="32"/>
  <c r="R209" i="32"/>
  <c r="R211" i="32"/>
  <c r="R215" i="32"/>
  <c r="S210" i="32"/>
  <c r="S204" i="32"/>
  <c r="S152" i="32"/>
  <c r="S170" i="32"/>
  <c r="S151" i="32"/>
  <c r="S188" i="32"/>
  <c r="O133" i="32"/>
  <c r="O77" i="32"/>
  <c r="N141" i="32"/>
  <c r="O136" i="32"/>
  <c r="O130" i="32"/>
  <c r="N129" i="32"/>
  <c r="N132" i="32"/>
  <c r="N135" i="32"/>
  <c r="N137" i="32"/>
  <c r="O137" i="32"/>
  <c r="O78" i="32"/>
  <c r="O96" i="32"/>
  <c r="P142" i="32"/>
  <c r="Q142" i="32"/>
  <c r="Q115" i="32"/>
  <c r="Q123" i="32"/>
  <c r="R216" i="32"/>
  <c r="S216" i="32"/>
  <c r="S197" i="32"/>
  <c r="S189" i="32"/>
  <c r="H216" i="32"/>
  <c r="I216" i="32"/>
  <c r="I197" i="32"/>
  <c r="I189" i="32"/>
  <c r="AA127" i="32"/>
  <c r="AA125" i="32"/>
  <c r="AA126" i="32"/>
  <c r="AA128" i="32"/>
  <c r="AA124" i="32"/>
  <c r="C133" i="32"/>
  <c r="C77" i="32"/>
  <c r="C130" i="32"/>
  <c r="B129" i="32"/>
  <c r="B132" i="32"/>
  <c r="B135" i="32"/>
  <c r="B137" i="32"/>
  <c r="C137" i="32"/>
  <c r="B141" i="32"/>
  <c r="C136" i="32"/>
  <c r="C96" i="32"/>
  <c r="C78" i="32"/>
  <c r="O188" i="32"/>
  <c r="T142" i="32"/>
  <c r="U142" i="32"/>
  <c r="U123" i="32"/>
  <c r="U115" i="32"/>
  <c r="W207" i="32"/>
  <c r="V215" i="32"/>
  <c r="V217" i="32"/>
  <c r="V221" i="32"/>
  <c r="V203" i="32"/>
  <c r="V206" i="32"/>
  <c r="V209" i="32"/>
  <c r="V211" i="32"/>
  <c r="W211" i="32"/>
  <c r="W204" i="32"/>
  <c r="W188" i="32"/>
  <c r="W170" i="32"/>
  <c r="W210" i="32"/>
  <c r="W151" i="32"/>
  <c r="W152" i="32"/>
  <c r="S135" i="32"/>
  <c r="S133" i="32"/>
  <c r="S77" i="32"/>
  <c r="S136" i="32"/>
  <c r="S130" i="32"/>
  <c r="R129" i="32"/>
  <c r="R132" i="32"/>
  <c r="R135" i="32"/>
  <c r="R137" i="32"/>
  <c r="S137" i="32"/>
  <c r="S96" i="32"/>
  <c r="R141" i="32"/>
  <c r="S78" i="32"/>
  <c r="N143" i="32"/>
  <c r="N147" i="32"/>
  <c r="T217" i="32"/>
  <c r="T221" i="32"/>
  <c r="M209" i="32"/>
  <c r="M135" i="32"/>
  <c r="M129" i="32"/>
  <c r="M132" i="32"/>
  <c r="K135" i="32"/>
  <c r="K132" i="32"/>
  <c r="K129" i="32"/>
  <c r="I209" i="32"/>
  <c r="AA114" i="32"/>
  <c r="E129" i="32"/>
  <c r="E135" i="32"/>
  <c r="C132" i="32"/>
  <c r="C129" i="32"/>
  <c r="C135" i="32"/>
  <c r="C206" i="32"/>
  <c r="C203" i="32"/>
  <c r="R143" i="32"/>
  <c r="R147" i="32"/>
  <c r="P217" i="32"/>
  <c r="P221" i="32"/>
  <c r="C69" i="32"/>
  <c r="AA115" i="32"/>
  <c r="J217" i="32"/>
  <c r="J221" i="32"/>
  <c r="Z142" i="32"/>
  <c r="X143" i="32"/>
  <c r="X147" i="32"/>
  <c r="F217" i="32"/>
  <c r="F221" i="32"/>
  <c r="T143" i="32"/>
  <c r="T147" i="32"/>
  <c r="X217" i="32"/>
  <c r="X221" i="32"/>
  <c r="L217" i="32"/>
  <c r="L221" i="32"/>
  <c r="Z69" i="32"/>
  <c r="Z73" i="32"/>
  <c r="H143" i="32"/>
  <c r="H147" i="32"/>
  <c r="S132" i="32"/>
  <c r="W206" i="32"/>
  <c r="W209" i="32"/>
  <c r="R217" i="32"/>
  <c r="R221" i="32"/>
  <c r="U206" i="32"/>
  <c r="E132" i="32"/>
  <c r="G206" i="32"/>
  <c r="G209" i="32"/>
  <c r="Q206" i="32"/>
  <c r="M206" i="32"/>
  <c r="W129" i="32"/>
  <c r="Q129" i="32"/>
  <c r="C209" i="32"/>
  <c r="I206" i="32"/>
  <c r="E206" i="32"/>
  <c r="K206" i="32"/>
  <c r="K203" i="32"/>
  <c r="G132" i="32"/>
  <c r="F143" i="32"/>
  <c r="F147" i="32"/>
  <c r="G129" i="32"/>
  <c r="I129" i="32"/>
  <c r="I132" i="32"/>
  <c r="N209" i="32"/>
  <c r="O206" i="32"/>
  <c r="S129" i="32"/>
  <c r="W203" i="32"/>
  <c r="O129" i="32"/>
  <c r="J143" i="32"/>
  <c r="J147" i="32"/>
  <c r="S209" i="32"/>
  <c r="G203" i="32"/>
  <c r="M203" i="32"/>
  <c r="W132" i="32"/>
  <c r="Q135" i="32"/>
  <c r="Q132" i="32"/>
  <c r="I203" i="32"/>
  <c r="N217" i="32"/>
  <c r="N221" i="32"/>
  <c r="L143" i="32"/>
  <c r="L147" i="32"/>
  <c r="I135" i="32"/>
  <c r="B143" i="32"/>
  <c r="C141" i="32"/>
  <c r="O132" i="32"/>
  <c r="AB55" i="32"/>
  <c r="Z58" i="32"/>
  <c r="D143" i="32"/>
  <c r="D147" i="32"/>
  <c r="Z203" i="32"/>
  <c r="Z206" i="32"/>
  <c r="Z215" i="32"/>
  <c r="Z217" i="32"/>
  <c r="Z221" i="32"/>
  <c r="AA204" i="32"/>
  <c r="AA188" i="32"/>
  <c r="AA151" i="32"/>
  <c r="AA133" i="32"/>
  <c r="AA77" i="32"/>
  <c r="AA78" i="32"/>
  <c r="AA96" i="32"/>
  <c r="Z141" i="32"/>
  <c r="AA136" i="32"/>
  <c r="AA130" i="32"/>
  <c r="Z129" i="32"/>
  <c r="Z132" i="32"/>
  <c r="Z135" i="32"/>
  <c r="Z137" i="32"/>
  <c r="AA137" i="32"/>
  <c r="V143" i="32"/>
  <c r="V147" i="32"/>
  <c r="W135" i="32"/>
  <c r="H217" i="32"/>
  <c r="H221" i="32"/>
  <c r="E203" i="32"/>
  <c r="G135" i="32"/>
  <c r="O135" i="32"/>
  <c r="U203" i="32"/>
  <c r="U209" i="32"/>
  <c r="P143" i="32"/>
  <c r="P147" i="32"/>
  <c r="B217" i="32"/>
  <c r="C215" i="32"/>
  <c r="E209" i="32"/>
  <c r="B61" i="32"/>
  <c r="C58" i="32"/>
  <c r="K209" i="32"/>
  <c r="AA203" i="32"/>
  <c r="Z143" i="32"/>
  <c r="Z147" i="32"/>
  <c r="B63" i="32"/>
  <c r="C63" i="32"/>
  <c r="C61" i="32"/>
  <c r="AA132" i="32"/>
  <c r="AA129" i="32"/>
  <c r="Z209" i="32"/>
  <c r="AA206" i="32"/>
  <c r="AB58" i="32"/>
  <c r="Z61" i="32"/>
  <c r="AA58" i="32"/>
  <c r="B147" i="32"/>
  <c r="C147" i="32"/>
  <c r="E141" i="32"/>
  <c r="E143" i="32"/>
  <c r="E147" i="32"/>
  <c r="G141" i="32"/>
  <c r="G143" i="32"/>
  <c r="G147" i="32"/>
  <c r="I141" i="32"/>
  <c r="I143" i="32"/>
  <c r="I147" i="32"/>
  <c r="K141" i="32"/>
  <c r="K143" i="32"/>
  <c r="K147" i="32"/>
  <c r="M141" i="32"/>
  <c r="M143" i="32"/>
  <c r="M147" i="32"/>
  <c r="O141" i="32"/>
  <c r="O143" i="32"/>
  <c r="O147" i="32"/>
  <c r="Q141" i="32"/>
  <c r="Q143" i="32"/>
  <c r="Q147" i="32"/>
  <c r="S141" i="32"/>
  <c r="S143" i="32"/>
  <c r="S147" i="32"/>
  <c r="U141" i="32"/>
  <c r="U143" i="32"/>
  <c r="U147" i="32"/>
  <c r="W141" i="32"/>
  <c r="W143" i="32"/>
  <c r="W147" i="32"/>
  <c r="Y141" i="32"/>
  <c r="Y143" i="32"/>
  <c r="Y147" i="32"/>
  <c r="C143" i="32"/>
  <c r="N211" i="32"/>
  <c r="O211" i="32"/>
  <c r="O209" i="32"/>
  <c r="B221" i="32"/>
  <c r="C221" i="32"/>
  <c r="E215" i="32"/>
  <c r="E217" i="32"/>
  <c r="E221" i="32"/>
  <c r="G215" i="32"/>
  <c r="G217" i="32"/>
  <c r="G221" i="32"/>
  <c r="I215" i="32"/>
  <c r="I217" i="32"/>
  <c r="I221" i="32"/>
  <c r="K215" i="32"/>
  <c r="K217" i="32"/>
  <c r="K221" i="32"/>
  <c r="M215" i="32"/>
  <c r="M217" i="32"/>
  <c r="M221" i="32"/>
  <c r="O215" i="32"/>
  <c r="O217" i="32"/>
  <c r="O221" i="32"/>
  <c r="Q215" i="32"/>
  <c r="Q217" i="32"/>
  <c r="Q221" i="32"/>
  <c r="S215" i="32"/>
  <c r="S217" i="32"/>
  <c r="S221" i="32"/>
  <c r="U215" i="32"/>
  <c r="U217" i="32"/>
  <c r="U221" i="32"/>
  <c r="W215" i="32"/>
  <c r="W217" i="32"/>
  <c r="W221" i="32"/>
  <c r="Y215" i="32"/>
  <c r="Y217" i="32"/>
  <c r="Y221" i="32"/>
  <c r="C217" i="32"/>
  <c r="AA135" i="32"/>
  <c r="Z63" i="32"/>
  <c r="AB61" i="32"/>
  <c r="AA61" i="32"/>
  <c r="Z211" i="32"/>
  <c r="AA211" i="32"/>
  <c r="AA209" i="32"/>
  <c r="AB63" i="32"/>
  <c r="AA63" i="32"/>
  <c r="Z969" i="6"/>
  <c r="S969" i="6"/>
  <c r="Z992" i="6"/>
  <c r="S992" i="6"/>
  <c r="Z1012" i="6"/>
  <c r="S1012" i="6"/>
  <c r="E419" i="7"/>
  <c r="E418" i="7"/>
  <c r="E417" i="7"/>
  <c r="E416" i="7"/>
  <c r="E415" i="7"/>
  <c r="AA969" i="6"/>
  <c r="AA992" i="6"/>
  <c r="AA1012" i="6"/>
  <c r="L3" i="28"/>
  <c r="Z1002" i="6"/>
  <c r="S1002" i="6"/>
  <c r="Z995" i="6"/>
  <c r="S995" i="6"/>
  <c r="Z993" i="6"/>
  <c r="S993" i="6"/>
  <c r="Z987" i="6"/>
  <c r="S987" i="6"/>
  <c r="Z963" i="6"/>
  <c r="S963" i="6"/>
  <c r="Z952" i="6"/>
  <c r="S952" i="6"/>
  <c r="Z953" i="6"/>
  <c r="S953" i="6"/>
  <c r="Z950" i="6"/>
  <c r="S950" i="6"/>
  <c r="Z944" i="6"/>
  <c r="S944" i="6"/>
  <c r="Z943" i="6"/>
  <c r="S943" i="6"/>
  <c r="Z942" i="6"/>
  <c r="S942" i="6"/>
  <c r="S1005" i="6"/>
  <c r="S1006" i="6"/>
  <c r="S1007" i="6"/>
  <c r="S1011" i="6"/>
  <c r="S1013" i="6"/>
  <c r="S1016" i="6"/>
  <c r="S937" i="6"/>
  <c r="S938" i="6"/>
  <c r="S939" i="6"/>
  <c r="S940" i="6"/>
  <c r="S941" i="6"/>
  <c r="S945" i="6"/>
  <c r="S947" i="6"/>
  <c r="S948" i="6"/>
  <c r="S949" i="6"/>
  <c r="S951" i="6"/>
  <c r="S954" i="6"/>
  <c r="S956" i="6"/>
  <c r="S957" i="6"/>
  <c r="S958" i="6"/>
  <c r="S959" i="6"/>
  <c r="S960" i="6"/>
  <c r="S961" i="6"/>
  <c r="S964" i="6"/>
  <c r="S965" i="6"/>
  <c r="S966" i="6"/>
  <c r="S967" i="6"/>
  <c r="S971" i="6"/>
  <c r="S972" i="6"/>
  <c r="S974" i="6"/>
  <c r="S975" i="6"/>
  <c r="S976" i="6"/>
  <c r="S978" i="6"/>
  <c r="S984" i="6"/>
  <c r="S988" i="6"/>
  <c r="S994" i="6"/>
  <c r="S997" i="6"/>
  <c r="S1000" i="6"/>
  <c r="S932" i="6"/>
  <c r="S933" i="6"/>
  <c r="S934" i="6"/>
  <c r="S935" i="6"/>
  <c r="S936" i="6"/>
  <c r="S931" i="6"/>
  <c r="E414" i="7"/>
  <c r="E413" i="7"/>
  <c r="E412" i="7"/>
  <c r="Z976" i="6"/>
  <c r="Z975" i="6"/>
  <c r="Z971" i="6"/>
  <c r="Z964" i="6"/>
  <c r="Z960" i="6"/>
  <c r="Z959" i="6"/>
  <c r="Z939" i="6"/>
  <c r="Z935" i="6"/>
  <c r="Z931" i="6"/>
  <c r="E411" i="7"/>
  <c r="Z1013" i="6"/>
  <c r="Z1011" i="6"/>
  <c r="Z1000" i="6"/>
  <c r="Z997" i="6"/>
  <c r="Z974" i="6"/>
  <c r="Z972" i="6"/>
  <c r="Z965" i="6"/>
  <c r="Z954" i="6"/>
  <c r="Z941" i="6"/>
  <c r="E410" i="7"/>
  <c r="Z925" i="6"/>
  <c r="S925" i="6"/>
  <c r="Z923" i="6"/>
  <c r="S923" i="6"/>
  <c r="Z949" i="6"/>
  <c r="Z933" i="6"/>
  <c r="Z932" i="6"/>
  <c r="E409" i="7"/>
  <c r="E408" i="7"/>
  <c r="E407" i="7"/>
  <c r="E406" i="7"/>
  <c r="Z988" i="6"/>
  <c r="Z947" i="6"/>
  <c r="Z934" i="6"/>
  <c r="Z930" i="6"/>
  <c r="S930" i="6"/>
  <c r="Z994" i="6"/>
  <c r="Z984" i="6"/>
  <c r="Z978" i="6"/>
  <c r="Z967" i="6"/>
  <c r="Z966" i="6"/>
  <c r="Z961" i="6"/>
  <c r="Z945" i="6"/>
  <c r="Z940" i="6"/>
  <c r="Z937" i="6"/>
  <c r="Z928" i="6"/>
  <c r="S928" i="6"/>
  <c r="Z927" i="6"/>
  <c r="S927" i="6"/>
  <c r="Z926" i="6"/>
  <c r="S926" i="6"/>
  <c r="Z917" i="6"/>
  <c r="S917" i="6"/>
  <c r="Z916" i="6"/>
  <c r="S916" i="6"/>
  <c r="Z919" i="6"/>
  <c r="S919" i="6"/>
  <c r="Z911" i="6"/>
  <c r="S911" i="6"/>
  <c r="Z907" i="6"/>
  <c r="S907" i="6"/>
  <c r="E405" i="7"/>
  <c r="H404" i="7"/>
  <c r="G404" i="7"/>
  <c r="E404" i="7"/>
  <c r="E403" i="7"/>
  <c r="E402" i="7"/>
  <c r="Z958" i="6"/>
  <c r="Z957" i="6"/>
  <c r="Z956" i="6"/>
  <c r="Z938" i="6"/>
  <c r="Z936" i="6"/>
  <c r="Z922" i="6"/>
  <c r="S922" i="6"/>
  <c r="Z912" i="6"/>
  <c r="S912" i="6"/>
  <c r="S909" i="6"/>
  <c r="Z909" i="6"/>
  <c r="E401" i="7"/>
  <c r="E400" i="7"/>
  <c r="Z898" i="6"/>
  <c r="S898" i="6"/>
  <c r="Z929" i="6"/>
  <c r="S929" i="6"/>
  <c r="Z924" i="6"/>
  <c r="S924" i="6"/>
  <c r="Z921" i="6"/>
  <c r="S921" i="6"/>
  <c r="Z920" i="6"/>
  <c r="S920" i="6"/>
  <c r="Z918" i="6"/>
  <c r="S918" i="6"/>
  <c r="Z915" i="6"/>
  <c r="S915" i="6"/>
  <c r="Z914" i="6"/>
  <c r="S914" i="6"/>
  <c r="Z913" i="6"/>
  <c r="S913" i="6"/>
  <c r="S910" i="6"/>
  <c r="Z910" i="6"/>
  <c r="Z905" i="6"/>
  <c r="S905" i="6"/>
  <c r="Z904" i="6"/>
  <c r="S904" i="6"/>
  <c r="Z899" i="6"/>
  <c r="S899" i="6"/>
  <c r="Z892" i="6"/>
  <c r="S892" i="6"/>
  <c r="E399" i="7"/>
  <c r="E398" i="7"/>
  <c r="L58" i="21"/>
  <c r="L59" i="21"/>
  <c r="E397" i="7"/>
  <c r="E396" i="7"/>
  <c r="E395" i="7"/>
  <c r="E394" i="7"/>
  <c r="E393" i="7"/>
  <c r="E392" i="7"/>
  <c r="E391" i="7"/>
  <c r="E390" i="7"/>
  <c r="E389" i="7"/>
  <c r="Z886" i="6"/>
  <c r="S886" i="6"/>
  <c r="Z908" i="6"/>
  <c r="S908" i="6"/>
  <c r="Z903" i="6"/>
  <c r="S903" i="6"/>
  <c r="Z901" i="6"/>
  <c r="S901" i="6"/>
  <c r="Z900" i="6"/>
  <c r="S900" i="6"/>
  <c r="E388" i="7"/>
  <c r="E387" i="7"/>
  <c r="Z895" i="6"/>
  <c r="S895" i="6"/>
  <c r="Z887" i="6"/>
  <c r="S887" i="6"/>
  <c r="Z882" i="6"/>
  <c r="S882" i="6"/>
  <c r="Z881" i="6"/>
  <c r="S881" i="6"/>
  <c r="AA987" i="6"/>
  <c r="AA995" i="6"/>
  <c r="AA1002" i="6"/>
  <c r="AA939" i="6"/>
  <c r="AA993" i="6"/>
  <c r="AA963" i="6"/>
  <c r="AA944" i="6"/>
  <c r="AA953" i="6"/>
  <c r="AA952" i="6"/>
  <c r="AA938" i="6"/>
  <c r="AA950" i="6"/>
  <c r="AA943" i="6"/>
  <c r="AA942" i="6"/>
  <c r="AA945" i="6"/>
  <c r="AA932" i="6"/>
  <c r="AA964" i="6"/>
  <c r="AA976" i="6"/>
  <c r="AA934" i="6"/>
  <c r="AA941" i="6"/>
  <c r="AA949" i="6"/>
  <c r="AA975" i="6"/>
  <c r="AA933" i="6"/>
  <c r="AA931" i="6"/>
  <c r="AA936" i="6"/>
  <c r="AA959" i="6"/>
  <c r="AA940" i="6"/>
  <c r="AA935" i="6"/>
  <c r="AA960" i="6"/>
  <c r="AA971" i="6"/>
  <c r="AA1013" i="6"/>
  <c r="AA974" i="6"/>
  <c r="AA1000" i="6"/>
  <c r="AA1011" i="6"/>
  <c r="AA972" i="6"/>
  <c r="AA997" i="6"/>
  <c r="AA965" i="6"/>
  <c r="AA954" i="6"/>
  <c r="AA923" i="6"/>
  <c r="AA925" i="6"/>
  <c r="AA988" i="6"/>
  <c r="AA947" i="6"/>
  <c r="AA930" i="6"/>
  <c r="AA966" i="6"/>
  <c r="AA978" i="6"/>
  <c r="AA994" i="6"/>
  <c r="AA961" i="6"/>
  <c r="AA967" i="6"/>
  <c r="AA984" i="6"/>
  <c r="AA937" i="6"/>
  <c r="AA928" i="6"/>
  <c r="AA927" i="6"/>
  <c r="AA926" i="6"/>
  <c r="AA916" i="6"/>
  <c r="AA917" i="6"/>
  <c r="AA907" i="6"/>
  <c r="AA911" i="6"/>
  <c r="AA919" i="6"/>
  <c r="AA958" i="6"/>
  <c r="AA957" i="6"/>
  <c r="AA956" i="6"/>
  <c r="AA922" i="6"/>
  <c r="AA912" i="6"/>
  <c r="AA909" i="6"/>
  <c r="AA915" i="6"/>
  <c r="AA920" i="6"/>
  <c r="AA929" i="6"/>
  <c r="AA913" i="6"/>
  <c r="AA924" i="6"/>
  <c r="AA898" i="6"/>
  <c r="AA914" i="6"/>
  <c r="AA918" i="6"/>
  <c r="AA921" i="6"/>
  <c r="AA905" i="6"/>
  <c r="AA910" i="6"/>
  <c r="AA904" i="6"/>
  <c r="AA899" i="6"/>
  <c r="AA892" i="6"/>
  <c r="AA886" i="6"/>
  <c r="AA901" i="6"/>
  <c r="AA908" i="6"/>
  <c r="AA903" i="6"/>
  <c r="AA900" i="6"/>
  <c r="AA882" i="6"/>
  <c r="AA895" i="6"/>
  <c r="AA887" i="6"/>
  <c r="AA881" i="6"/>
  <c r="H386" i="7"/>
  <c r="G386" i="7"/>
  <c r="E386" i="7"/>
  <c r="E383" i="7"/>
  <c r="E385" i="7"/>
  <c r="Z893" i="6"/>
  <c r="S893" i="6"/>
  <c r="Z891" i="6"/>
  <c r="S891" i="6"/>
  <c r="Z879" i="6"/>
  <c r="S879" i="6"/>
  <c r="Z871" i="6"/>
  <c r="S871" i="6"/>
  <c r="E384" i="7"/>
  <c r="Z867" i="6"/>
  <c r="S867" i="6"/>
  <c r="Z859" i="6"/>
  <c r="S859" i="6"/>
  <c r="Z889" i="6"/>
  <c r="S889" i="6"/>
  <c r="Z888" i="6"/>
  <c r="S888" i="6"/>
  <c r="Z885" i="6"/>
  <c r="S885" i="6"/>
  <c r="Z883" i="6"/>
  <c r="S883" i="6"/>
  <c r="Z876" i="6"/>
  <c r="S876" i="6"/>
  <c r="E382" i="7"/>
  <c r="E381" i="7"/>
  <c r="E380" i="7"/>
  <c r="E379" i="7"/>
  <c r="Z869" i="6"/>
  <c r="S869" i="6"/>
  <c r="Z850" i="6"/>
  <c r="S850" i="6"/>
  <c r="Z875" i="6"/>
  <c r="S875" i="6"/>
  <c r="Z868" i="6"/>
  <c r="S868" i="6"/>
  <c r="Z906" i="6"/>
  <c r="S906" i="6"/>
  <c r="Z902" i="6"/>
  <c r="S902" i="6"/>
  <c r="Z896" i="6"/>
  <c r="S896" i="6"/>
  <c r="Z894" i="6"/>
  <c r="S894" i="6"/>
  <c r="Z872" i="6"/>
  <c r="S872" i="6"/>
  <c r="Z864" i="6"/>
  <c r="S864" i="6"/>
  <c r="Z860" i="6"/>
  <c r="S860" i="6"/>
  <c r="E378" i="7"/>
  <c r="E377" i="7"/>
  <c r="E376" i="7"/>
  <c r="E375" i="7"/>
  <c r="E374" i="7"/>
  <c r="E373" i="7"/>
  <c r="Z843" i="6"/>
  <c r="S843" i="6"/>
  <c r="Z842" i="6"/>
  <c r="S842" i="6"/>
  <c r="Z832" i="6"/>
  <c r="S832" i="6"/>
  <c r="AA891" i="6"/>
  <c r="AA879" i="6"/>
  <c r="AA893" i="6"/>
  <c r="AA871" i="6"/>
  <c r="AA876" i="6"/>
  <c r="AA859" i="6"/>
  <c r="AA885" i="6"/>
  <c r="AA889" i="6"/>
  <c r="AA867" i="6"/>
  <c r="AA883" i="6"/>
  <c r="AA888" i="6"/>
  <c r="AA850" i="6"/>
  <c r="AA869" i="6"/>
  <c r="AA896" i="6"/>
  <c r="AA875" i="6"/>
  <c r="AA868" i="6"/>
  <c r="AA906" i="6"/>
  <c r="AA872" i="6"/>
  <c r="AA843" i="6"/>
  <c r="AA902" i="6"/>
  <c r="AA894" i="6"/>
  <c r="AA864" i="6"/>
  <c r="AA860" i="6"/>
  <c r="AA842" i="6"/>
  <c r="AA832" i="6"/>
  <c r="Z855" i="6"/>
  <c r="S855" i="6"/>
  <c r="Z861" i="6"/>
  <c r="S861" i="6"/>
  <c r="E372" i="7"/>
  <c r="E371" i="7"/>
  <c r="Z848" i="6"/>
  <c r="S848" i="6"/>
  <c r="Z844" i="6"/>
  <c r="S844" i="6"/>
  <c r="Z828" i="6"/>
  <c r="S828" i="6"/>
  <c r="Z819" i="6"/>
  <c r="S819" i="6"/>
  <c r="E370" i="7"/>
  <c r="E369" i="7"/>
  <c r="E368" i="7"/>
  <c r="Z836" i="6"/>
  <c r="S836" i="6"/>
  <c r="Z890" i="6"/>
  <c r="S890" i="6"/>
  <c r="Z878" i="6"/>
  <c r="S878" i="6"/>
  <c r="Z877" i="6"/>
  <c r="S877" i="6"/>
  <c r="Z873" i="6"/>
  <c r="S873" i="6"/>
  <c r="Z863" i="6"/>
  <c r="S863" i="6"/>
  <c r="Z862" i="6"/>
  <c r="S862" i="6"/>
  <c r="Z858" i="6"/>
  <c r="S858" i="6"/>
  <c r="Z857" i="6"/>
  <c r="S857" i="6"/>
  <c r="Z854" i="6"/>
  <c r="S854" i="6"/>
  <c r="Z852" i="6"/>
  <c r="S852" i="6"/>
  <c r="Z833" i="6"/>
  <c r="S833" i="6"/>
  <c r="AA848" i="6"/>
  <c r="AA855" i="6"/>
  <c r="AA819" i="6"/>
  <c r="AA844" i="6"/>
  <c r="AA863" i="6"/>
  <c r="AA861" i="6"/>
  <c r="AA877" i="6"/>
  <c r="AA828" i="6"/>
  <c r="AA836" i="6"/>
  <c r="AA890" i="6"/>
  <c r="AA878" i="6"/>
  <c r="AA862" i="6"/>
  <c r="AA873" i="6"/>
  <c r="AA833" i="6"/>
  <c r="AA854" i="6"/>
  <c r="AA858" i="6"/>
  <c r="AA852" i="6"/>
  <c r="AA857" i="6"/>
  <c r="Z849" i="6"/>
  <c r="S849" i="6"/>
  <c r="Z847" i="6"/>
  <c r="S847" i="6"/>
  <c r="Z841" i="6"/>
  <c r="S841" i="6"/>
  <c r="Z840" i="6"/>
  <c r="S840" i="6"/>
  <c r="Z839" i="6"/>
  <c r="S839" i="6"/>
  <c r="Z835" i="6"/>
  <c r="S835" i="6"/>
  <c r="Z834" i="6"/>
  <c r="S834" i="6"/>
  <c r="Z829" i="6"/>
  <c r="S829" i="6"/>
  <c r="Z827" i="6"/>
  <c r="S827" i="6"/>
  <c r="Z826" i="6"/>
  <c r="S826" i="6"/>
  <c r="E367" i="7"/>
  <c r="H366" i="7"/>
  <c r="G366" i="7"/>
  <c r="E366" i="7"/>
  <c r="Z813" i="6"/>
  <c r="S813" i="6"/>
  <c r="Z825" i="6"/>
  <c r="S825" i="6"/>
  <c r="Z824" i="6"/>
  <c r="S824" i="6"/>
  <c r="Z817" i="6"/>
  <c r="S817" i="6"/>
  <c r="E364" i="7"/>
  <c r="E363" i="7"/>
  <c r="E362" i="7"/>
  <c r="E365" i="7"/>
  <c r="Z820" i="6"/>
  <c r="S820" i="6"/>
  <c r="Z818" i="6"/>
  <c r="S818" i="6"/>
  <c r="Z815" i="6"/>
  <c r="S815" i="6"/>
  <c r="Z811" i="6"/>
  <c r="S811" i="6"/>
  <c r="Z809" i="6"/>
  <c r="S809" i="6"/>
  <c r="Z808" i="6"/>
  <c r="S808" i="6"/>
  <c r="S801" i="6"/>
  <c r="G38" i="31"/>
  <c r="G40" i="31"/>
  <c r="AA826" i="6"/>
  <c r="AA829" i="6"/>
  <c r="AA847" i="6"/>
  <c r="AA825" i="6"/>
  <c r="AA835" i="6"/>
  <c r="AA840" i="6"/>
  <c r="AA849" i="6"/>
  <c r="AA815" i="6"/>
  <c r="AA820" i="6"/>
  <c r="AA813" i="6"/>
  <c r="AA827" i="6"/>
  <c r="AA834" i="6"/>
  <c r="AA839" i="6"/>
  <c r="AA841" i="6"/>
  <c r="AA824" i="6"/>
  <c r="AA817" i="6"/>
  <c r="AA808" i="6"/>
  <c r="AA818" i="6"/>
  <c r="AA811" i="6"/>
  <c r="AA809" i="6"/>
  <c r="G41" i="31"/>
  <c r="G361" i="7"/>
  <c r="E361" i="7"/>
  <c r="E360" i="7"/>
  <c r="Z801" i="6"/>
  <c r="Z874" i="6"/>
  <c r="S874" i="6"/>
  <c r="Z866" i="6"/>
  <c r="S866" i="6"/>
  <c r="Z865" i="6"/>
  <c r="S865" i="6"/>
  <c r="Z846" i="6"/>
  <c r="S846" i="6"/>
  <c r="Z837" i="6"/>
  <c r="S837" i="6"/>
  <c r="Z831" i="6"/>
  <c r="S831" i="6"/>
  <c r="Z823" i="6"/>
  <c r="S823" i="6"/>
  <c r="Z821" i="6"/>
  <c r="S821" i="6"/>
  <c r="Z814" i="6"/>
  <c r="S814" i="6"/>
  <c r="Z803" i="6"/>
  <c r="S803" i="6"/>
  <c r="Z798" i="6"/>
  <c r="S798" i="6"/>
  <c r="Z786" i="6"/>
  <c r="S786" i="6"/>
  <c r="E359" i="7"/>
  <c r="E358" i="7"/>
  <c r="E357" i="7"/>
  <c r="E356" i="7"/>
  <c r="H355" i="7"/>
  <c r="E355" i="7"/>
  <c r="E354" i="7"/>
  <c r="E353" i="7"/>
  <c r="Z799" i="6"/>
  <c r="S799" i="6"/>
  <c r="Z797" i="6"/>
  <c r="S797" i="6"/>
  <c r="Z796" i="6"/>
  <c r="S796" i="6"/>
  <c r="Z795" i="6"/>
  <c r="S795" i="6"/>
  <c r="Z794" i="6"/>
  <c r="S794" i="6"/>
  <c r="Z793" i="6"/>
  <c r="S793" i="6"/>
  <c r="Z791" i="6"/>
  <c r="S791" i="6"/>
  <c r="Z785" i="6"/>
  <c r="S785" i="6"/>
  <c r="Z774" i="6"/>
  <c r="S774" i="6"/>
  <c r="E348" i="7"/>
  <c r="E352" i="7"/>
  <c r="E351" i="7"/>
  <c r="Z853" i="6"/>
  <c r="S853" i="6"/>
  <c r="Z779" i="6"/>
  <c r="S779" i="6"/>
  <c r="Z767" i="6"/>
  <c r="S767" i="6"/>
  <c r="Z802" i="6"/>
  <c r="S802" i="6"/>
  <c r="Z781" i="6"/>
  <c r="S781" i="6"/>
  <c r="Z780" i="6"/>
  <c r="S780" i="6"/>
  <c r="Z776" i="6"/>
  <c r="S776" i="6"/>
  <c r="Z773" i="6"/>
  <c r="S773" i="6"/>
  <c r="Z761" i="6"/>
  <c r="S761" i="6"/>
  <c r="E350" i="7"/>
  <c r="Z845" i="6"/>
  <c r="S845" i="6"/>
  <c r="Z804" i="6"/>
  <c r="S804" i="6"/>
  <c r="Z769" i="6"/>
  <c r="S769" i="6"/>
  <c r="E349" i="7"/>
  <c r="K47" i="21"/>
  <c r="K58" i="21"/>
  <c r="D58" i="21"/>
  <c r="E347" i="7"/>
  <c r="X57" i="29"/>
  <c r="V57" i="29"/>
  <c r="T57" i="29"/>
  <c r="R57" i="29"/>
  <c r="P57" i="29"/>
  <c r="N57" i="29"/>
  <c r="L57" i="29"/>
  <c r="J57" i="29"/>
  <c r="H57" i="29"/>
  <c r="F57" i="29"/>
  <c r="D57" i="29"/>
  <c r="Z880" i="6"/>
  <c r="S880" i="6"/>
  <c r="Z870" i="6"/>
  <c r="S870" i="6"/>
  <c r="Z838" i="6"/>
  <c r="S838" i="6"/>
  <c r="Z816" i="6"/>
  <c r="S816" i="6"/>
  <c r="Z807" i="6"/>
  <c r="S807" i="6"/>
  <c r="Z790" i="6"/>
  <c r="S790" i="6"/>
  <c r="Z777" i="6"/>
  <c r="S777" i="6"/>
  <c r="Z775" i="6"/>
  <c r="S775" i="6"/>
  <c r="E346" i="7"/>
  <c r="E344" i="7"/>
  <c r="E345" i="7"/>
  <c r="E343" i="7"/>
  <c r="Z778" i="6"/>
  <c r="S778" i="6"/>
  <c r="Z851" i="6"/>
  <c r="S851" i="6"/>
  <c r="Z948" i="6"/>
  <c r="Z822" i="6"/>
  <c r="S822" i="6"/>
  <c r="Z812" i="6"/>
  <c r="S812" i="6"/>
  <c r="Z805" i="6"/>
  <c r="S805" i="6"/>
  <c r="Z756" i="6"/>
  <c r="S756" i="6"/>
  <c r="Z770" i="6"/>
  <c r="S770" i="6"/>
  <c r="Z766" i="6"/>
  <c r="S766" i="6"/>
  <c r="E342" i="7"/>
  <c r="Z754" i="6"/>
  <c r="S754" i="6"/>
  <c r="E341" i="7"/>
  <c r="E55" i="21"/>
  <c r="D55" i="21"/>
  <c r="C55" i="21"/>
  <c r="E340" i="7"/>
  <c r="Z830" i="6"/>
  <c r="S830" i="6"/>
  <c r="Z810" i="6"/>
  <c r="S810" i="6"/>
  <c r="Z792" i="6"/>
  <c r="S792" i="6"/>
  <c r="Z787" i="6"/>
  <c r="S787" i="6"/>
  <c r="Z784" i="6"/>
  <c r="S784" i="6"/>
  <c r="Z782" i="6"/>
  <c r="S782" i="6"/>
  <c r="Z765" i="6"/>
  <c r="S765" i="6"/>
  <c r="Z764" i="6"/>
  <c r="S764" i="6"/>
  <c r="Z800" i="6"/>
  <c r="S800" i="6"/>
  <c r="H339" i="7"/>
  <c r="E339" i="7"/>
  <c r="Z806" i="6"/>
  <c r="S806" i="6"/>
  <c r="Z788" i="6"/>
  <c r="S788" i="6"/>
  <c r="Z763" i="6"/>
  <c r="S763" i="6"/>
  <c r="Z757" i="6"/>
  <c r="S757" i="6"/>
  <c r="Z742" i="6"/>
  <c r="S742" i="6"/>
  <c r="Z759" i="6"/>
  <c r="S759" i="6"/>
  <c r="Z749" i="6"/>
  <c r="S749" i="6"/>
  <c r="Z760" i="6"/>
  <c r="S760" i="6"/>
  <c r="Z738" i="6"/>
  <c r="S738" i="6"/>
  <c r="Z771" i="6"/>
  <c r="S771" i="6"/>
  <c r="Z1016" i="6"/>
  <c r="Z1007" i="6"/>
  <c r="C20" i="30"/>
  <c r="I24" i="30"/>
  <c r="I22" i="30"/>
  <c r="I23" i="30"/>
  <c r="C28" i="30"/>
  <c r="C29" i="30"/>
  <c r="C27" i="30"/>
  <c r="C26" i="30"/>
  <c r="C25" i="30"/>
  <c r="C24" i="30"/>
  <c r="C23" i="30"/>
  <c r="C22" i="30"/>
  <c r="I21" i="30"/>
  <c r="C21" i="30"/>
  <c r="I20" i="30"/>
  <c r="G13" i="30"/>
  <c r="I13" i="30"/>
  <c r="F13" i="30"/>
  <c r="G12" i="30"/>
  <c r="F12" i="30"/>
  <c r="G11" i="30"/>
  <c r="F11" i="30"/>
  <c r="G10" i="30"/>
  <c r="F10" i="30"/>
  <c r="G9" i="30"/>
  <c r="F9" i="30"/>
  <c r="G8" i="30"/>
  <c r="F8" i="30"/>
  <c r="G7" i="30"/>
  <c r="F7" i="30"/>
  <c r="E338" i="7"/>
  <c r="E337" i="7"/>
  <c r="E336" i="7"/>
  <c r="Z751" i="6"/>
  <c r="S751" i="6"/>
  <c r="Z736" i="6"/>
  <c r="S736" i="6"/>
  <c r="Z730" i="6"/>
  <c r="S730" i="6"/>
  <c r="Z768" i="6"/>
  <c r="S768" i="6"/>
  <c r="Z747" i="6"/>
  <c r="S747" i="6"/>
  <c r="Z729" i="6"/>
  <c r="S729" i="6"/>
  <c r="Z728" i="6"/>
  <c r="S728" i="6"/>
  <c r="AA865" i="6"/>
  <c r="AA874" i="6"/>
  <c r="AA793" i="6"/>
  <c r="AA795" i="6"/>
  <c r="AA797" i="6"/>
  <c r="AA801" i="6"/>
  <c r="AA831" i="6"/>
  <c r="AA846" i="6"/>
  <c r="AA866" i="6"/>
  <c r="AA814" i="6"/>
  <c r="AA837" i="6"/>
  <c r="AA821" i="6"/>
  <c r="AA823" i="6"/>
  <c r="AA803" i="6"/>
  <c r="AA799" i="6"/>
  <c r="AA798" i="6"/>
  <c r="AA786" i="6"/>
  <c r="AA794" i="6"/>
  <c r="AA796" i="6"/>
  <c r="AA791" i="6"/>
  <c r="AA785" i="6"/>
  <c r="AA773" i="6"/>
  <c r="AA780" i="6"/>
  <c r="AA802" i="6"/>
  <c r="AA779" i="6"/>
  <c r="AA774" i="6"/>
  <c r="AA767" i="6"/>
  <c r="AA853" i="6"/>
  <c r="AA776" i="6"/>
  <c r="AA781" i="6"/>
  <c r="AA761" i="6"/>
  <c r="AA804" i="6"/>
  <c r="AA845" i="6"/>
  <c r="AA769" i="6"/>
  <c r="AA775" i="6"/>
  <c r="AA790" i="6"/>
  <c r="AA816" i="6"/>
  <c r="AA870" i="6"/>
  <c r="AA777" i="6"/>
  <c r="AA807" i="6"/>
  <c r="AA838" i="6"/>
  <c r="AA880" i="6"/>
  <c r="AA756" i="6"/>
  <c r="AA812" i="6"/>
  <c r="AA778" i="6"/>
  <c r="AA851" i="6"/>
  <c r="AA948" i="6"/>
  <c r="AA822" i="6"/>
  <c r="AA770" i="6"/>
  <c r="AA805" i="6"/>
  <c r="AA800" i="6"/>
  <c r="AA765" i="6"/>
  <c r="AA766" i="6"/>
  <c r="AA784" i="6"/>
  <c r="AA792" i="6"/>
  <c r="AA830" i="6"/>
  <c r="AA810" i="6"/>
  <c r="AA754" i="6"/>
  <c r="AA764" i="6"/>
  <c r="AA782" i="6"/>
  <c r="AA787" i="6"/>
  <c r="AA759" i="6"/>
  <c r="AA757" i="6"/>
  <c r="AA788" i="6"/>
  <c r="AA806" i="6"/>
  <c r="AA742" i="6"/>
  <c r="AA763" i="6"/>
  <c r="AA749" i="6"/>
  <c r="AA760" i="6"/>
  <c r="AA738" i="6"/>
  <c r="AA1007" i="6"/>
  <c r="AA730" i="6"/>
  <c r="AA1016" i="6"/>
  <c r="AA768" i="6"/>
  <c r="AA736" i="6"/>
  <c r="AA771" i="6"/>
  <c r="AA751" i="6"/>
  <c r="H13" i="30"/>
  <c r="AA747" i="6"/>
  <c r="AA729" i="6"/>
  <c r="AA728" i="6"/>
  <c r="K57" i="21"/>
  <c r="K56" i="21"/>
  <c r="E335" i="7"/>
  <c r="E334" i="7"/>
  <c r="E333" i="7"/>
  <c r="E332" i="7"/>
  <c r="E331" i="7"/>
  <c r="Z723" i="6"/>
  <c r="S723" i="6"/>
  <c r="Z721" i="6"/>
  <c r="S721" i="6"/>
  <c r="Z719" i="6"/>
  <c r="S719" i="6"/>
  <c r="Z717" i="6"/>
  <c r="S717" i="6"/>
  <c r="Z762" i="6"/>
  <c r="S762" i="6"/>
  <c r="Z720" i="6"/>
  <c r="S720" i="6"/>
  <c r="S884" i="6"/>
  <c r="Z884" i="6"/>
  <c r="Z1006" i="6"/>
  <c r="Z1005" i="6"/>
  <c r="Z951" i="6"/>
  <c r="J153" i="29"/>
  <c r="T153" i="29"/>
  <c r="P154" i="29"/>
  <c r="L155" i="29"/>
  <c r="F156" i="29"/>
  <c r="R156" i="29"/>
  <c r="B157" i="29"/>
  <c r="X157" i="29"/>
  <c r="H158" i="29"/>
  <c r="R158" i="29"/>
  <c r="D159" i="29"/>
  <c r="N159" i="29"/>
  <c r="X159" i="29"/>
  <c r="J160" i="29"/>
  <c r="T160" i="29"/>
  <c r="B171" i="29"/>
  <c r="N171" i="29"/>
  <c r="X171" i="29"/>
  <c r="H172" i="29"/>
  <c r="T172" i="29"/>
  <c r="D173" i="29"/>
  <c r="E114" i="29"/>
  <c r="N173" i="29"/>
  <c r="O114" i="29"/>
  <c r="J174" i="29"/>
  <c r="T174" i="29"/>
  <c r="F175" i="29"/>
  <c r="P175" i="29"/>
  <c r="L176" i="29"/>
  <c r="V176" i="29"/>
  <c r="F177" i="29"/>
  <c r="R177" i="29"/>
  <c r="B178" i="29"/>
  <c r="L178" i="29"/>
  <c r="X178" i="29"/>
  <c r="B5" i="29"/>
  <c r="D5" i="29"/>
  <c r="F5" i="29"/>
  <c r="H5" i="29"/>
  <c r="J5" i="29"/>
  <c r="L5" i="29"/>
  <c r="N5" i="29"/>
  <c r="P5" i="29"/>
  <c r="R5" i="29"/>
  <c r="T5" i="29"/>
  <c r="V5" i="29"/>
  <c r="X5" i="29"/>
  <c r="B6" i="29"/>
  <c r="D6" i="29"/>
  <c r="F6" i="29"/>
  <c r="H6" i="29"/>
  <c r="J6" i="29"/>
  <c r="L6" i="29"/>
  <c r="N6" i="29"/>
  <c r="P6" i="29"/>
  <c r="R6" i="29"/>
  <c r="T6" i="29"/>
  <c r="V6" i="29"/>
  <c r="X6" i="29"/>
  <c r="B7" i="29"/>
  <c r="D7" i="29"/>
  <c r="F7" i="29"/>
  <c r="H7" i="29"/>
  <c r="J7" i="29"/>
  <c r="L7" i="29"/>
  <c r="N7" i="29"/>
  <c r="P7" i="29"/>
  <c r="R7" i="29"/>
  <c r="T7" i="29"/>
  <c r="V7" i="29"/>
  <c r="X7" i="29"/>
  <c r="B8" i="29"/>
  <c r="D8" i="29"/>
  <c r="F8" i="29"/>
  <c r="H8" i="29"/>
  <c r="J8" i="29"/>
  <c r="L8" i="29"/>
  <c r="N8" i="29"/>
  <c r="P8" i="29"/>
  <c r="R8" i="29"/>
  <c r="T8" i="29"/>
  <c r="V8" i="29"/>
  <c r="X8" i="29"/>
  <c r="B9" i="29"/>
  <c r="D9" i="29"/>
  <c r="F9" i="29"/>
  <c r="H9" i="29"/>
  <c r="J9" i="29"/>
  <c r="L9" i="29"/>
  <c r="N9" i="29"/>
  <c r="P9" i="29"/>
  <c r="R9" i="29"/>
  <c r="T9" i="29"/>
  <c r="V9" i="29"/>
  <c r="X9" i="29"/>
  <c r="B10" i="29"/>
  <c r="D10" i="29"/>
  <c r="F10" i="29"/>
  <c r="H10" i="29"/>
  <c r="J10" i="29"/>
  <c r="L10" i="29"/>
  <c r="N10" i="29"/>
  <c r="P10" i="29"/>
  <c r="R10" i="29"/>
  <c r="T10" i="29"/>
  <c r="V10" i="29"/>
  <c r="X10" i="29"/>
  <c r="B11" i="29"/>
  <c r="D11" i="29"/>
  <c r="F11" i="29"/>
  <c r="H11" i="29"/>
  <c r="J11" i="29"/>
  <c r="L11" i="29"/>
  <c r="N11" i="29"/>
  <c r="P11" i="29"/>
  <c r="R11" i="29"/>
  <c r="T11" i="29"/>
  <c r="V11" i="29"/>
  <c r="X11" i="29"/>
  <c r="B12" i="29"/>
  <c r="D12" i="29"/>
  <c r="F12" i="29"/>
  <c r="H12" i="29"/>
  <c r="J12" i="29"/>
  <c r="L12" i="29"/>
  <c r="N12" i="29"/>
  <c r="P12" i="29"/>
  <c r="R12" i="29"/>
  <c r="X12" i="29"/>
  <c r="E330" i="7"/>
  <c r="Z897" i="6"/>
  <c r="S897" i="6"/>
  <c r="Z789" i="6"/>
  <c r="S789" i="6"/>
  <c r="S741" i="6"/>
  <c r="Z741" i="6"/>
  <c r="Z709" i="6"/>
  <c r="S709" i="6"/>
  <c r="Z706" i="6"/>
  <c r="S706" i="6"/>
  <c r="Z698" i="6"/>
  <c r="S698" i="6"/>
  <c r="Z707" i="6"/>
  <c r="S707" i="6"/>
  <c r="Z712" i="6"/>
  <c r="S712" i="6"/>
  <c r="Z697" i="6"/>
  <c r="S697" i="6"/>
  <c r="Z743" i="6"/>
  <c r="S743" i="6"/>
  <c r="Z744" i="6"/>
  <c r="S744" i="6"/>
  <c r="Z726" i="6"/>
  <c r="S726" i="6"/>
  <c r="E329" i="7"/>
  <c r="E328" i="7"/>
  <c r="E327" i="7"/>
  <c r="E326" i="7"/>
  <c r="E325" i="7"/>
  <c r="E324" i="7"/>
  <c r="S739" i="6"/>
  <c r="S740" i="6"/>
  <c r="Z739" i="6"/>
  <c r="Z740" i="6"/>
  <c r="Z718" i="6"/>
  <c r="S718" i="6"/>
  <c r="S856" i="6"/>
  <c r="Z856" i="6"/>
  <c r="K55" i="21"/>
  <c r="B57" i="29"/>
  <c r="B56" i="29"/>
  <c r="C57" i="29"/>
  <c r="E323" i="7"/>
  <c r="E319" i="7"/>
  <c r="E322" i="7"/>
  <c r="H321" i="7"/>
  <c r="G321" i="7"/>
  <c r="E321" i="7"/>
  <c r="E320" i="7"/>
  <c r="E318" i="7"/>
  <c r="Z689" i="6"/>
  <c r="S689" i="6"/>
  <c r="Z750" i="6"/>
  <c r="S750" i="6"/>
  <c r="Z745" i="6"/>
  <c r="S745" i="6"/>
  <c r="Z735" i="6"/>
  <c r="S735" i="6"/>
  <c r="Z734" i="6"/>
  <c r="S734" i="6"/>
  <c r="S731" i="6"/>
  <c r="S732" i="6"/>
  <c r="S733" i="6"/>
  <c r="Z731" i="6"/>
  <c r="Z732" i="6"/>
  <c r="Z733" i="6"/>
  <c r="S716" i="6"/>
  <c r="Z716" i="6"/>
  <c r="E317" i="7"/>
  <c r="E316" i="7"/>
  <c r="E313" i="7"/>
  <c r="E315" i="7"/>
  <c r="E314" i="7"/>
  <c r="E312" i="7"/>
  <c r="E311" i="7"/>
  <c r="E310" i="7"/>
  <c r="Z713" i="6"/>
  <c r="S713" i="6"/>
  <c r="Z711" i="6"/>
  <c r="S711" i="6"/>
  <c r="Z708" i="6"/>
  <c r="S708" i="6"/>
  <c r="Z700" i="6"/>
  <c r="S700" i="6"/>
  <c r="Z688" i="6"/>
  <c r="S688" i="6"/>
  <c r="Z687" i="6"/>
  <c r="S687" i="6"/>
  <c r="Z684" i="6"/>
  <c r="S684" i="6"/>
  <c r="Z677" i="6"/>
  <c r="S677" i="6"/>
  <c r="Z683" i="6"/>
  <c r="S683" i="6"/>
  <c r="Z682" i="6"/>
  <c r="S682" i="6"/>
  <c r="Z727" i="6"/>
  <c r="S727" i="6"/>
  <c r="Z722" i="6"/>
  <c r="S722" i="6"/>
  <c r="H309" i="7"/>
  <c r="G309" i="7"/>
  <c r="E309" i="7"/>
  <c r="E308" i="7"/>
  <c r="Z710" i="6"/>
  <c r="S710" i="6"/>
  <c r="Z702" i="6"/>
  <c r="S702" i="6"/>
  <c r="E307" i="7"/>
  <c r="H306" i="7"/>
  <c r="G306" i="7"/>
  <c r="E306" i="7"/>
  <c r="Z783" i="6"/>
  <c r="S783" i="6"/>
  <c r="Z772" i="6"/>
  <c r="S772" i="6"/>
  <c r="Z755" i="6"/>
  <c r="S755" i="6"/>
  <c r="Z753" i="6"/>
  <c r="S753" i="6"/>
  <c r="Z752" i="6"/>
  <c r="S752" i="6"/>
  <c r="Z748" i="6"/>
  <c r="S748" i="6"/>
  <c r="Z746" i="6"/>
  <c r="S746" i="6"/>
  <c r="Z737" i="6"/>
  <c r="S737" i="6"/>
  <c r="Z725" i="6"/>
  <c r="S725" i="6"/>
  <c r="Z724" i="6"/>
  <c r="S724" i="6"/>
  <c r="Z150" i="29"/>
  <c r="B190" i="29"/>
  <c r="L190" i="29"/>
  <c r="X190" i="29"/>
  <c r="H191" i="29"/>
  <c r="R191" i="29"/>
  <c r="D192" i="29"/>
  <c r="N192" i="29"/>
  <c r="X192" i="29"/>
  <c r="J193" i="29"/>
  <c r="T193" i="29"/>
  <c r="D194" i="29"/>
  <c r="P194" i="29"/>
  <c r="J195" i="29"/>
  <c r="V195" i="29"/>
  <c r="F196" i="29"/>
  <c r="P196" i="29"/>
  <c r="J198" i="29"/>
  <c r="T198" i="29"/>
  <c r="F199" i="29"/>
  <c r="P199" i="29"/>
  <c r="H200" i="29"/>
  <c r="P200" i="29"/>
  <c r="X200" i="29"/>
  <c r="F201" i="29"/>
  <c r="N201" i="29"/>
  <c r="V201" i="29"/>
  <c r="D202" i="29"/>
  <c r="L202" i="29"/>
  <c r="T202" i="29"/>
  <c r="Z214" i="29"/>
  <c r="B208" i="29"/>
  <c r="D208" i="29"/>
  <c r="D207" i="29"/>
  <c r="D219" i="29"/>
  <c r="E219" i="29"/>
  <c r="F208" i="29"/>
  <c r="H208" i="29"/>
  <c r="H207" i="29"/>
  <c r="H219" i="29"/>
  <c r="I219" i="29"/>
  <c r="J208" i="29"/>
  <c r="J207" i="29"/>
  <c r="K208" i="29"/>
  <c r="L208" i="29"/>
  <c r="L207" i="29"/>
  <c r="L219" i="29"/>
  <c r="M219" i="29"/>
  <c r="N208" i="29"/>
  <c r="N207" i="29"/>
  <c r="N219" i="29"/>
  <c r="O219" i="29"/>
  <c r="P208" i="29"/>
  <c r="P207" i="29"/>
  <c r="P219" i="29"/>
  <c r="Q219" i="29"/>
  <c r="R208" i="29"/>
  <c r="R207" i="29"/>
  <c r="S208" i="29"/>
  <c r="T208" i="29"/>
  <c r="T207" i="29"/>
  <c r="T219" i="29"/>
  <c r="U219" i="29"/>
  <c r="V208" i="29"/>
  <c r="V207" i="29"/>
  <c r="W208" i="29"/>
  <c r="X208" i="29"/>
  <c r="X207" i="29"/>
  <c r="X219" i="29"/>
  <c r="Y219" i="29"/>
  <c r="B210" i="29"/>
  <c r="B220" i="29"/>
  <c r="C220" i="29"/>
  <c r="D210" i="29"/>
  <c r="D220" i="29"/>
  <c r="E220" i="29"/>
  <c r="F210" i="29"/>
  <c r="F220" i="29"/>
  <c r="G220" i="29"/>
  <c r="H210" i="29"/>
  <c r="H220" i="29"/>
  <c r="I220" i="29"/>
  <c r="J210" i="29"/>
  <c r="J220" i="29"/>
  <c r="K220" i="29"/>
  <c r="L210" i="29"/>
  <c r="L220" i="29"/>
  <c r="M220" i="29"/>
  <c r="N210" i="29"/>
  <c r="N220" i="29"/>
  <c r="O220" i="29"/>
  <c r="P210" i="29"/>
  <c r="P220" i="29"/>
  <c r="Q220" i="29"/>
  <c r="R210" i="29"/>
  <c r="R220" i="29"/>
  <c r="S220" i="29"/>
  <c r="T210" i="29"/>
  <c r="T220" i="29"/>
  <c r="U220" i="29"/>
  <c r="V210" i="29"/>
  <c r="V220" i="29"/>
  <c r="W220" i="29"/>
  <c r="X210" i="29"/>
  <c r="X220" i="29"/>
  <c r="Y220" i="29"/>
  <c r="B207" i="29"/>
  <c r="B219" i="29"/>
  <c r="C219" i="29"/>
  <c r="D218" i="29"/>
  <c r="E218" i="29"/>
  <c r="F207" i="29"/>
  <c r="F219" i="29"/>
  <c r="G219" i="29"/>
  <c r="H218" i="29"/>
  <c r="I218" i="29"/>
  <c r="P218" i="29"/>
  <c r="Q218" i="29"/>
  <c r="X218" i="29"/>
  <c r="Y218" i="29"/>
  <c r="Z205" i="29"/>
  <c r="Z204" i="29"/>
  <c r="X204" i="29"/>
  <c r="V204" i="29"/>
  <c r="W205" i="29"/>
  <c r="T204" i="29"/>
  <c r="U205" i="29"/>
  <c r="R204" i="29"/>
  <c r="P204" i="29"/>
  <c r="N204" i="29"/>
  <c r="L204" i="29"/>
  <c r="M205" i="29"/>
  <c r="J204" i="29"/>
  <c r="H204" i="29"/>
  <c r="F204" i="29"/>
  <c r="D204" i="29"/>
  <c r="B204" i="29"/>
  <c r="T12" i="29"/>
  <c r="V12" i="29"/>
  <c r="B23" i="29"/>
  <c r="D23" i="29"/>
  <c r="F23" i="29"/>
  <c r="H23" i="29"/>
  <c r="J23" i="29"/>
  <c r="L23" i="29"/>
  <c r="N23" i="29"/>
  <c r="P23" i="29"/>
  <c r="R23" i="29"/>
  <c r="T23" i="29"/>
  <c r="V23" i="29"/>
  <c r="X23" i="29"/>
  <c r="B24" i="29"/>
  <c r="D24" i="29"/>
  <c r="F24" i="29"/>
  <c r="H24" i="29"/>
  <c r="J24" i="29"/>
  <c r="L24" i="29"/>
  <c r="N24" i="29"/>
  <c r="P24" i="29"/>
  <c r="R24" i="29"/>
  <c r="T24" i="29"/>
  <c r="V24" i="29"/>
  <c r="X24" i="29"/>
  <c r="B25" i="29"/>
  <c r="D25" i="29"/>
  <c r="F25" i="29"/>
  <c r="H25" i="29"/>
  <c r="J25" i="29"/>
  <c r="L25" i="29"/>
  <c r="N25" i="29"/>
  <c r="P25" i="29"/>
  <c r="R25" i="29"/>
  <c r="T25" i="29"/>
  <c r="V25" i="29"/>
  <c r="X25" i="29"/>
  <c r="B26" i="29"/>
  <c r="D26" i="29"/>
  <c r="F26" i="29"/>
  <c r="H26" i="29"/>
  <c r="J26" i="29"/>
  <c r="L26" i="29"/>
  <c r="N26" i="29"/>
  <c r="P26" i="29"/>
  <c r="R26" i="29"/>
  <c r="T26" i="29"/>
  <c r="V26" i="29"/>
  <c r="X26" i="29"/>
  <c r="B27" i="29"/>
  <c r="D27" i="29"/>
  <c r="F27" i="29"/>
  <c r="H27" i="29"/>
  <c r="J27" i="29"/>
  <c r="L27" i="29"/>
  <c r="N27" i="29"/>
  <c r="P27" i="29"/>
  <c r="R27" i="29"/>
  <c r="T27" i="29"/>
  <c r="V27" i="29"/>
  <c r="X27" i="29"/>
  <c r="B28" i="29"/>
  <c r="D28" i="29"/>
  <c r="F28" i="29"/>
  <c r="H28" i="29"/>
  <c r="J28" i="29"/>
  <c r="L28" i="29"/>
  <c r="N28" i="29"/>
  <c r="P28" i="29"/>
  <c r="R28" i="29"/>
  <c r="T28" i="29"/>
  <c r="V28" i="29"/>
  <c r="X28" i="29"/>
  <c r="B29" i="29"/>
  <c r="D29" i="29"/>
  <c r="F29" i="29"/>
  <c r="H29" i="29"/>
  <c r="J29" i="29"/>
  <c r="L29" i="29"/>
  <c r="N29" i="29"/>
  <c r="P29" i="29"/>
  <c r="R29" i="29"/>
  <c r="T29" i="29"/>
  <c r="V29" i="29"/>
  <c r="X29" i="29"/>
  <c r="B30" i="29"/>
  <c r="D30" i="29"/>
  <c r="F30" i="29"/>
  <c r="H30" i="29"/>
  <c r="J30" i="29"/>
  <c r="L30" i="29"/>
  <c r="N30" i="29"/>
  <c r="P30" i="29"/>
  <c r="R30" i="29"/>
  <c r="T30" i="29"/>
  <c r="V30" i="29"/>
  <c r="V22" i="29"/>
  <c r="X30" i="29"/>
  <c r="AA205" i="29"/>
  <c r="Y205" i="29"/>
  <c r="S205" i="29"/>
  <c r="Q205" i="29"/>
  <c r="O205" i="29"/>
  <c r="K205" i="29"/>
  <c r="I205" i="29"/>
  <c r="G205" i="29"/>
  <c r="E205" i="29"/>
  <c r="C205" i="29"/>
  <c r="B50" i="29"/>
  <c r="D50" i="29"/>
  <c r="F50" i="29"/>
  <c r="H50" i="29"/>
  <c r="J50" i="29"/>
  <c r="L50" i="29"/>
  <c r="N50" i="29"/>
  <c r="P50" i="29"/>
  <c r="R50" i="29"/>
  <c r="T50" i="29"/>
  <c r="V50" i="29"/>
  <c r="X50" i="29"/>
  <c r="B51" i="29"/>
  <c r="D51" i="29"/>
  <c r="F51" i="29"/>
  <c r="H51" i="29"/>
  <c r="J51" i="29"/>
  <c r="L51" i="29"/>
  <c r="N51" i="29"/>
  <c r="P51" i="29"/>
  <c r="R51" i="29"/>
  <c r="T51" i="29"/>
  <c r="V51" i="29"/>
  <c r="X51" i="29"/>
  <c r="B52" i="29"/>
  <c r="D52" i="29"/>
  <c r="F52" i="29"/>
  <c r="H52" i="29"/>
  <c r="J52" i="29"/>
  <c r="L52" i="29"/>
  <c r="N52" i="29"/>
  <c r="P52" i="29"/>
  <c r="R52" i="29"/>
  <c r="T52" i="29"/>
  <c r="V52" i="29"/>
  <c r="X52" i="29"/>
  <c r="B53" i="29"/>
  <c r="D53" i="29"/>
  <c r="F53" i="29"/>
  <c r="H53" i="29"/>
  <c r="J53" i="29"/>
  <c r="L53" i="29"/>
  <c r="N53" i="29"/>
  <c r="P53" i="29"/>
  <c r="R53" i="29"/>
  <c r="T53" i="29"/>
  <c r="V53" i="29"/>
  <c r="X53" i="29"/>
  <c r="B54" i="29"/>
  <c r="D54" i="29"/>
  <c r="F54" i="29"/>
  <c r="H54" i="29"/>
  <c r="J54" i="29"/>
  <c r="L54" i="29"/>
  <c r="L49" i="29"/>
  <c r="N54" i="29"/>
  <c r="P54" i="29"/>
  <c r="R54" i="29"/>
  <c r="T54" i="29"/>
  <c r="V54" i="29"/>
  <c r="X54" i="29"/>
  <c r="B42" i="29"/>
  <c r="D42" i="29"/>
  <c r="F42" i="29"/>
  <c r="H42" i="29"/>
  <c r="J42" i="29"/>
  <c r="L42" i="29"/>
  <c r="N42" i="29"/>
  <c r="P42" i="29"/>
  <c r="R42" i="29"/>
  <c r="T42" i="29"/>
  <c r="V42" i="29"/>
  <c r="X42" i="29"/>
  <c r="B43" i="29"/>
  <c r="D43" i="29"/>
  <c r="F43" i="29"/>
  <c r="H43" i="29"/>
  <c r="J43" i="29"/>
  <c r="L43" i="29"/>
  <c r="N43" i="29"/>
  <c r="P43" i="29"/>
  <c r="R43" i="29"/>
  <c r="T43" i="29"/>
  <c r="V43" i="29"/>
  <c r="X43" i="29"/>
  <c r="B44" i="29"/>
  <c r="D44" i="29"/>
  <c r="F44" i="29"/>
  <c r="H44" i="29"/>
  <c r="J44" i="29"/>
  <c r="L44" i="29"/>
  <c r="N44" i="29"/>
  <c r="P44" i="29"/>
  <c r="R44" i="29"/>
  <c r="T44" i="29"/>
  <c r="V44" i="29"/>
  <c r="X44" i="29"/>
  <c r="B45" i="29"/>
  <c r="D45" i="29"/>
  <c r="F45" i="29"/>
  <c r="H45" i="29"/>
  <c r="J45" i="29"/>
  <c r="L45" i="29"/>
  <c r="N45" i="29"/>
  <c r="P45" i="29"/>
  <c r="R45" i="29"/>
  <c r="T45" i="29"/>
  <c r="V45" i="29"/>
  <c r="X45" i="29"/>
  <c r="B46" i="29"/>
  <c r="D46" i="29"/>
  <c r="F46" i="29"/>
  <c r="H46" i="29"/>
  <c r="J46" i="29"/>
  <c r="L46" i="29"/>
  <c r="N46" i="29"/>
  <c r="P46" i="29"/>
  <c r="R46" i="29"/>
  <c r="T46" i="29"/>
  <c r="V46" i="29"/>
  <c r="X46" i="29"/>
  <c r="B47" i="29"/>
  <c r="D47" i="29"/>
  <c r="F47" i="29"/>
  <c r="H47" i="29"/>
  <c r="J47" i="29"/>
  <c r="L47" i="29"/>
  <c r="N47" i="29"/>
  <c r="P47" i="29"/>
  <c r="R47" i="29"/>
  <c r="T47" i="29"/>
  <c r="V47" i="29"/>
  <c r="X47" i="29"/>
  <c r="B48" i="29"/>
  <c r="D48" i="29"/>
  <c r="F48" i="29"/>
  <c r="H48" i="29"/>
  <c r="J48" i="29"/>
  <c r="L48" i="29"/>
  <c r="N48" i="29"/>
  <c r="P48" i="29"/>
  <c r="R48" i="29"/>
  <c r="T48" i="29"/>
  <c r="V48" i="29"/>
  <c r="X48" i="29"/>
  <c r="B32" i="29"/>
  <c r="D32" i="29"/>
  <c r="F32" i="29"/>
  <c r="H32" i="29"/>
  <c r="J32" i="29"/>
  <c r="L32" i="29"/>
  <c r="N32" i="29"/>
  <c r="P32" i="29"/>
  <c r="R32" i="29"/>
  <c r="T32" i="29"/>
  <c r="V32" i="29"/>
  <c r="X32" i="29"/>
  <c r="B33" i="29"/>
  <c r="D33" i="29"/>
  <c r="F33" i="29"/>
  <c r="H33" i="29"/>
  <c r="J33" i="29"/>
  <c r="L33" i="29"/>
  <c r="N33" i="29"/>
  <c r="P33" i="29"/>
  <c r="R33" i="29"/>
  <c r="T33" i="29"/>
  <c r="V33" i="29"/>
  <c r="X33" i="29"/>
  <c r="B34" i="29"/>
  <c r="D34" i="29"/>
  <c r="F34" i="29"/>
  <c r="H34" i="29"/>
  <c r="J34" i="29"/>
  <c r="L34" i="29"/>
  <c r="N34" i="29"/>
  <c r="P34" i="29"/>
  <c r="R34" i="29"/>
  <c r="T34" i="29"/>
  <c r="V34" i="29"/>
  <c r="X34" i="29"/>
  <c r="B35" i="29"/>
  <c r="D35" i="29"/>
  <c r="F35" i="29"/>
  <c r="H35" i="29"/>
  <c r="J35" i="29"/>
  <c r="L35" i="29"/>
  <c r="N35" i="29"/>
  <c r="P35" i="29"/>
  <c r="R35" i="29"/>
  <c r="T35" i="29"/>
  <c r="V35" i="29"/>
  <c r="X35" i="29"/>
  <c r="B36" i="29"/>
  <c r="D36" i="29"/>
  <c r="F36" i="29"/>
  <c r="H36" i="29"/>
  <c r="J36" i="29"/>
  <c r="L36" i="29"/>
  <c r="N36" i="29"/>
  <c r="P36" i="29"/>
  <c r="R36" i="29"/>
  <c r="T36" i="29"/>
  <c r="V36" i="29"/>
  <c r="X36" i="29"/>
  <c r="B37" i="29"/>
  <c r="D37" i="29"/>
  <c r="F37" i="29"/>
  <c r="H37" i="29"/>
  <c r="J37" i="29"/>
  <c r="L37" i="29"/>
  <c r="N37" i="29"/>
  <c r="P37" i="29"/>
  <c r="R37" i="29"/>
  <c r="T37" i="29"/>
  <c r="V37" i="29"/>
  <c r="X37" i="29"/>
  <c r="B38" i="29"/>
  <c r="D38" i="29"/>
  <c r="F38" i="29"/>
  <c r="H38" i="29"/>
  <c r="J38" i="29"/>
  <c r="L38" i="29"/>
  <c r="N38" i="29"/>
  <c r="P38" i="29"/>
  <c r="R38" i="29"/>
  <c r="T38" i="29"/>
  <c r="V38" i="29"/>
  <c r="X38" i="29"/>
  <c r="B39" i="29"/>
  <c r="D39" i="29"/>
  <c r="F39" i="29"/>
  <c r="H39" i="29"/>
  <c r="J39" i="29"/>
  <c r="L39" i="29"/>
  <c r="N39" i="29"/>
  <c r="P39" i="29"/>
  <c r="R39" i="29"/>
  <c r="T39" i="29"/>
  <c r="V39" i="29"/>
  <c r="X39" i="29"/>
  <c r="B187" i="29"/>
  <c r="D187" i="29"/>
  <c r="F187" i="29"/>
  <c r="H187" i="29"/>
  <c r="J187" i="29"/>
  <c r="L187" i="29"/>
  <c r="N187" i="29"/>
  <c r="P187" i="29"/>
  <c r="R187" i="29"/>
  <c r="T187" i="29"/>
  <c r="V187" i="29"/>
  <c r="X187" i="29"/>
  <c r="X180" i="29"/>
  <c r="X181" i="29"/>
  <c r="X182" i="29"/>
  <c r="X183" i="29"/>
  <c r="X184" i="29"/>
  <c r="X185" i="29"/>
  <c r="X186" i="29"/>
  <c r="V180" i="29"/>
  <c r="V181" i="29"/>
  <c r="V182" i="29"/>
  <c r="V183" i="29"/>
  <c r="V184" i="29"/>
  <c r="V185" i="29"/>
  <c r="V186" i="29"/>
  <c r="T180" i="29"/>
  <c r="T181" i="29"/>
  <c r="T182" i="29"/>
  <c r="T183" i="29"/>
  <c r="T184" i="29"/>
  <c r="T185" i="29"/>
  <c r="T186" i="29"/>
  <c r="R180" i="29"/>
  <c r="R181" i="29"/>
  <c r="R182" i="29"/>
  <c r="R183" i="29"/>
  <c r="R184" i="29"/>
  <c r="R185" i="29"/>
  <c r="R186" i="29"/>
  <c r="P180" i="29"/>
  <c r="P181" i="29"/>
  <c r="P182" i="29"/>
  <c r="P183" i="29"/>
  <c r="P184" i="29"/>
  <c r="P185" i="29"/>
  <c r="P186" i="29"/>
  <c r="N180" i="29"/>
  <c r="N181" i="29"/>
  <c r="N182" i="29"/>
  <c r="N183" i="29"/>
  <c r="N184" i="29"/>
  <c r="N185" i="29"/>
  <c r="N186" i="29"/>
  <c r="L180" i="29"/>
  <c r="L181" i="29"/>
  <c r="L182" i="29"/>
  <c r="L183" i="29"/>
  <c r="L184" i="29"/>
  <c r="L185" i="29"/>
  <c r="L186" i="29"/>
  <c r="J180" i="29"/>
  <c r="J181" i="29"/>
  <c r="J182" i="29"/>
  <c r="J183" i="29"/>
  <c r="J184" i="29"/>
  <c r="J185" i="29"/>
  <c r="J186" i="29"/>
  <c r="H180" i="29"/>
  <c r="H181" i="29"/>
  <c r="H182" i="29"/>
  <c r="H183" i="29"/>
  <c r="H184" i="29"/>
  <c r="H185" i="29"/>
  <c r="H186" i="29"/>
  <c r="F180" i="29"/>
  <c r="F181" i="29"/>
  <c r="F182" i="29"/>
  <c r="F183" i="29"/>
  <c r="F184" i="29"/>
  <c r="F185" i="29"/>
  <c r="F186" i="29"/>
  <c r="D180" i="29"/>
  <c r="D181" i="29"/>
  <c r="D182" i="29"/>
  <c r="D183" i="29"/>
  <c r="D184" i="29"/>
  <c r="D185" i="29"/>
  <c r="D186" i="29"/>
  <c r="B180" i="29"/>
  <c r="B181" i="29"/>
  <c r="B182" i="29"/>
  <c r="B183" i="29"/>
  <c r="B184" i="29"/>
  <c r="B185" i="29"/>
  <c r="B186" i="29"/>
  <c r="B14" i="29"/>
  <c r="D14" i="29"/>
  <c r="F14" i="29"/>
  <c r="H14" i="29"/>
  <c r="J14" i="29"/>
  <c r="L14" i="29"/>
  <c r="N14" i="29"/>
  <c r="P14" i="29"/>
  <c r="R14" i="29"/>
  <c r="T14" i="29"/>
  <c r="V14" i="29"/>
  <c r="X14" i="29"/>
  <c r="B15" i="29"/>
  <c r="D15" i="29"/>
  <c r="F15" i="29"/>
  <c r="H15" i="29"/>
  <c r="J15" i="29"/>
  <c r="L15" i="29"/>
  <c r="N15" i="29"/>
  <c r="P15" i="29"/>
  <c r="R15" i="29"/>
  <c r="T15" i="29"/>
  <c r="V15" i="29"/>
  <c r="X15" i="29"/>
  <c r="B16" i="29"/>
  <c r="D16" i="29"/>
  <c r="F16" i="29"/>
  <c r="H16" i="29"/>
  <c r="J16" i="29"/>
  <c r="L16" i="29"/>
  <c r="N16" i="29"/>
  <c r="P16" i="29"/>
  <c r="R16" i="29"/>
  <c r="T16" i="29"/>
  <c r="V16" i="29"/>
  <c r="X16" i="29"/>
  <c r="B17" i="29"/>
  <c r="D17" i="29"/>
  <c r="F17" i="29"/>
  <c r="H17" i="29"/>
  <c r="J17" i="29"/>
  <c r="L17" i="29"/>
  <c r="N17" i="29"/>
  <c r="P17" i="29"/>
  <c r="R17" i="29"/>
  <c r="T17" i="29"/>
  <c r="V17" i="29"/>
  <c r="X17" i="29"/>
  <c r="B18" i="29"/>
  <c r="D18" i="29"/>
  <c r="F18" i="29"/>
  <c r="H18" i="29"/>
  <c r="J18" i="29"/>
  <c r="L18" i="29"/>
  <c r="N18" i="29"/>
  <c r="P18" i="29"/>
  <c r="R18" i="29"/>
  <c r="T18" i="29"/>
  <c r="V18" i="29"/>
  <c r="X18" i="29"/>
  <c r="B19" i="29"/>
  <c r="D19" i="29"/>
  <c r="F19" i="29"/>
  <c r="H19" i="29"/>
  <c r="J19" i="29"/>
  <c r="L19" i="29"/>
  <c r="N19" i="29"/>
  <c r="P19" i="29"/>
  <c r="R19" i="29"/>
  <c r="T19" i="29"/>
  <c r="V19" i="29"/>
  <c r="X19" i="29"/>
  <c r="B20" i="29"/>
  <c r="D20" i="29"/>
  <c r="F20" i="29"/>
  <c r="H20" i="29"/>
  <c r="J20" i="29"/>
  <c r="L20" i="29"/>
  <c r="N20" i="29"/>
  <c r="P20" i="29"/>
  <c r="R20" i="29"/>
  <c r="T20" i="29"/>
  <c r="V20" i="29"/>
  <c r="X20" i="29"/>
  <c r="B21" i="29"/>
  <c r="B13" i="29"/>
  <c r="C21" i="29"/>
  <c r="D21" i="29"/>
  <c r="F21" i="29"/>
  <c r="F13" i="29"/>
  <c r="G20" i="29"/>
  <c r="H21" i="29"/>
  <c r="J21" i="29"/>
  <c r="J13" i="29"/>
  <c r="K21" i="29"/>
  <c r="L21" i="29"/>
  <c r="N21" i="29"/>
  <c r="P21" i="29"/>
  <c r="R21" i="29"/>
  <c r="R13" i="29"/>
  <c r="S21" i="29"/>
  <c r="T21" i="29"/>
  <c r="V21" i="29"/>
  <c r="V13" i="29"/>
  <c r="W20" i="29"/>
  <c r="X21" i="29"/>
  <c r="X162" i="29"/>
  <c r="X163" i="29"/>
  <c r="X164" i="29"/>
  <c r="X165" i="29"/>
  <c r="X166" i="29"/>
  <c r="X167" i="29"/>
  <c r="X168" i="29"/>
  <c r="X169" i="29"/>
  <c r="V162" i="29"/>
  <c r="V163" i="29"/>
  <c r="V164" i="29"/>
  <c r="V165" i="29"/>
  <c r="V166" i="29"/>
  <c r="V167" i="29"/>
  <c r="V168" i="29"/>
  <c r="V169" i="29"/>
  <c r="T162" i="29"/>
  <c r="T163" i="29"/>
  <c r="T164" i="29"/>
  <c r="T165" i="29"/>
  <c r="T166" i="29"/>
  <c r="T167" i="29"/>
  <c r="T168" i="29"/>
  <c r="T169" i="29"/>
  <c r="R162" i="29"/>
  <c r="R163" i="29"/>
  <c r="R164" i="29"/>
  <c r="R165" i="29"/>
  <c r="R166" i="29"/>
  <c r="R167" i="29"/>
  <c r="R168" i="29"/>
  <c r="R169" i="29"/>
  <c r="P162" i="29"/>
  <c r="P163" i="29"/>
  <c r="P164" i="29"/>
  <c r="P165" i="29"/>
  <c r="P166" i="29"/>
  <c r="P167" i="29"/>
  <c r="P168" i="29"/>
  <c r="P169" i="29"/>
  <c r="N162" i="29"/>
  <c r="N163" i="29"/>
  <c r="N164" i="29"/>
  <c r="N165" i="29"/>
  <c r="N166" i="29"/>
  <c r="N167" i="29"/>
  <c r="N168" i="29"/>
  <c r="N169" i="29"/>
  <c r="L162" i="29"/>
  <c r="L163" i="29"/>
  <c r="L164" i="29"/>
  <c r="L165" i="29"/>
  <c r="L166" i="29"/>
  <c r="L167" i="29"/>
  <c r="L168" i="29"/>
  <c r="L169" i="29"/>
  <c r="J162" i="29"/>
  <c r="J163" i="29"/>
  <c r="J164" i="29"/>
  <c r="J165" i="29"/>
  <c r="J166" i="29"/>
  <c r="J167" i="29"/>
  <c r="J168" i="29"/>
  <c r="J169" i="29"/>
  <c r="H162" i="29"/>
  <c r="H163" i="29"/>
  <c r="H164" i="29"/>
  <c r="H165" i="29"/>
  <c r="H166" i="29"/>
  <c r="H167" i="29"/>
  <c r="H168" i="29"/>
  <c r="H169" i="29"/>
  <c r="F162" i="29"/>
  <c r="F163" i="29"/>
  <c r="F164" i="29"/>
  <c r="F165" i="29"/>
  <c r="F166" i="29"/>
  <c r="F167" i="29"/>
  <c r="F168" i="29"/>
  <c r="F169" i="29"/>
  <c r="D162" i="29"/>
  <c r="D163" i="29"/>
  <c r="D164" i="29"/>
  <c r="D165" i="29"/>
  <c r="D166" i="29"/>
  <c r="D167" i="29"/>
  <c r="D168" i="29"/>
  <c r="D169" i="29"/>
  <c r="B162" i="29"/>
  <c r="B163" i="29"/>
  <c r="B164" i="29"/>
  <c r="B165" i="29"/>
  <c r="B166" i="29"/>
  <c r="B167" i="29"/>
  <c r="B168" i="29"/>
  <c r="B169" i="29"/>
  <c r="Z76" i="29"/>
  <c r="B79" i="29"/>
  <c r="H79" i="29"/>
  <c r="J79" i="29"/>
  <c r="N79" i="29"/>
  <c r="R79" i="29"/>
  <c r="V79" i="29"/>
  <c r="X79" i="29"/>
  <c r="D80" i="29"/>
  <c r="F80" i="29"/>
  <c r="H80" i="29"/>
  <c r="N80" i="29"/>
  <c r="P80" i="29"/>
  <c r="T80" i="29"/>
  <c r="X80" i="29"/>
  <c r="B81" i="29"/>
  <c r="D81" i="29"/>
  <c r="J81" i="29"/>
  <c r="L81" i="29"/>
  <c r="N81" i="29"/>
  <c r="T81" i="29"/>
  <c r="V81" i="29"/>
  <c r="D82" i="29"/>
  <c r="H82" i="29"/>
  <c r="J82" i="29"/>
  <c r="P82" i="29"/>
  <c r="R82" i="29"/>
  <c r="T82" i="29"/>
  <c r="B83" i="29"/>
  <c r="F83" i="29"/>
  <c r="J83" i="29"/>
  <c r="N83" i="29"/>
  <c r="P83" i="29"/>
  <c r="V83" i="29"/>
  <c r="X83" i="29"/>
  <c r="F84" i="29"/>
  <c r="H84" i="29"/>
  <c r="L84" i="29"/>
  <c r="P84" i="29"/>
  <c r="T84" i="29"/>
  <c r="V84" i="29"/>
  <c r="B85" i="29"/>
  <c r="D85" i="29"/>
  <c r="F85" i="29"/>
  <c r="L85" i="29"/>
  <c r="N85" i="29"/>
  <c r="R85" i="29"/>
  <c r="V85" i="29"/>
  <c r="B86" i="29"/>
  <c r="H86" i="29"/>
  <c r="J86" i="29"/>
  <c r="L86" i="29"/>
  <c r="R86" i="29"/>
  <c r="T86" i="29"/>
  <c r="X86" i="29"/>
  <c r="D97" i="29"/>
  <c r="F97" i="29"/>
  <c r="L97" i="29"/>
  <c r="N97" i="29"/>
  <c r="P97" i="29"/>
  <c r="V97" i="29"/>
  <c r="X97" i="29"/>
  <c r="B98" i="29"/>
  <c r="F98" i="29"/>
  <c r="J98" i="29"/>
  <c r="L98" i="29"/>
  <c r="R98" i="29"/>
  <c r="T98" i="29"/>
  <c r="V98" i="29"/>
  <c r="B99" i="29"/>
  <c r="D99" i="29"/>
  <c r="H99" i="29"/>
  <c r="L99" i="29"/>
  <c r="P99" i="29"/>
  <c r="R99" i="29"/>
  <c r="X99" i="29"/>
  <c r="B100" i="29"/>
  <c r="H100" i="29"/>
  <c r="J100" i="29"/>
  <c r="N100" i="29"/>
  <c r="R100" i="29"/>
  <c r="V100" i="29"/>
  <c r="X100" i="29"/>
  <c r="D101" i="29"/>
  <c r="F101" i="29"/>
  <c r="H101" i="29"/>
  <c r="N101" i="29"/>
  <c r="P101" i="29"/>
  <c r="T101" i="29"/>
  <c r="X101" i="29"/>
  <c r="B102" i="29"/>
  <c r="D102" i="29"/>
  <c r="J102" i="29"/>
  <c r="L102" i="29"/>
  <c r="N102" i="29"/>
  <c r="T102" i="29"/>
  <c r="V102" i="29"/>
  <c r="D103" i="29"/>
  <c r="H103" i="29"/>
  <c r="J103" i="29"/>
  <c r="P103" i="29"/>
  <c r="R103" i="29"/>
  <c r="T103" i="29"/>
  <c r="B104" i="29"/>
  <c r="F104" i="29"/>
  <c r="J104" i="29"/>
  <c r="N104" i="29"/>
  <c r="P104" i="29"/>
  <c r="V104" i="29"/>
  <c r="X104" i="29"/>
  <c r="B116" i="29"/>
  <c r="F116" i="29"/>
  <c r="J116" i="29"/>
  <c r="N116" i="29"/>
  <c r="P116" i="29"/>
  <c r="V116" i="29"/>
  <c r="X116" i="29"/>
  <c r="F117" i="29"/>
  <c r="H117" i="29"/>
  <c r="L117" i="29"/>
  <c r="P117" i="29"/>
  <c r="T117" i="29"/>
  <c r="V117" i="29"/>
  <c r="B118" i="29"/>
  <c r="D118" i="29"/>
  <c r="F118" i="29"/>
  <c r="L118" i="29"/>
  <c r="N118" i="29"/>
  <c r="R118" i="29"/>
  <c r="V118" i="29"/>
  <c r="B119" i="29"/>
  <c r="H119" i="29"/>
  <c r="J119" i="29"/>
  <c r="L119" i="29"/>
  <c r="R119" i="29"/>
  <c r="T119" i="29"/>
  <c r="V119" i="29"/>
  <c r="B120" i="29"/>
  <c r="D120" i="29"/>
  <c r="H120" i="29"/>
  <c r="J120" i="29"/>
  <c r="L120" i="29"/>
  <c r="P120" i="29"/>
  <c r="R120" i="29"/>
  <c r="T120" i="29"/>
  <c r="X120" i="29"/>
  <c r="B121" i="29"/>
  <c r="F121" i="29"/>
  <c r="H121" i="29"/>
  <c r="J121" i="29"/>
  <c r="N121" i="29"/>
  <c r="P121" i="29"/>
  <c r="R121" i="29"/>
  <c r="V121" i="29"/>
  <c r="X121" i="29"/>
  <c r="D122" i="29"/>
  <c r="F122" i="29"/>
  <c r="H122" i="29"/>
  <c r="L122" i="29"/>
  <c r="N122" i="29"/>
  <c r="P122" i="29"/>
  <c r="T122" i="29"/>
  <c r="V122" i="29"/>
  <c r="X122" i="29"/>
  <c r="B124" i="29"/>
  <c r="D124" i="29"/>
  <c r="H124" i="29"/>
  <c r="J124" i="29"/>
  <c r="L124" i="29"/>
  <c r="P124" i="29"/>
  <c r="R124" i="29"/>
  <c r="T124" i="29"/>
  <c r="X124" i="29"/>
  <c r="B125" i="29"/>
  <c r="F125" i="29"/>
  <c r="H125" i="29"/>
  <c r="J125" i="29"/>
  <c r="N125" i="29"/>
  <c r="P125" i="29"/>
  <c r="R125" i="29"/>
  <c r="V125" i="29"/>
  <c r="X125" i="29"/>
  <c r="D126" i="29"/>
  <c r="F126" i="29"/>
  <c r="H126" i="29"/>
  <c r="L126" i="29"/>
  <c r="N126" i="29"/>
  <c r="P126" i="29"/>
  <c r="T126" i="29"/>
  <c r="V126" i="29"/>
  <c r="X126" i="29"/>
  <c r="B127" i="29"/>
  <c r="D127" i="29"/>
  <c r="F127" i="29"/>
  <c r="J127" i="29"/>
  <c r="L127" i="29"/>
  <c r="N127" i="29"/>
  <c r="R127" i="29"/>
  <c r="T127" i="29"/>
  <c r="V127" i="29"/>
  <c r="B128" i="29"/>
  <c r="D128" i="29"/>
  <c r="H128" i="29"/>
  <c r="J128" i="29"/>
  <c r="L128" i="29"/>
  <c r="P128" i="29"/>
  <c r="R128" i="29"/>
  <c r="T128" i="29"/>
  <c r="X128" i="29"/>
  <c r="Z140" i="29"/>
  <c r="Z144" i="29"/>
  <c r="B134" i="29"/>
  <c r="B133" i="29"/>
  <c r="D134" i="29"/>
  <c r="D133" i="29"/>
  <c r="D145" i="29"/>
  <c r="E145" i="29"/>
  <c r="F134" i="29"/>
  <c r="F133" i="29"/>
  <c r="F145" i="29"/>
  <c r="G145" i="29"/>
  <c r="H134" i="29"/>
  <c r="H133" i="29"/>
  <c r="J134" i="29"/>
  <c r="J133" i="29"/>
  <c r="L134" i="29"/>
  <c r="L133" i="29"/>
  <c r="L145" i="29"/>
  <c r="M145" i="29"/>
  <c r="N134" i="29"/>
  <c r="N133" i="29"/>
  <c r="N145" i="29"/>
  <c r="O145" i="29"/>
  <c r="P134" i="29"/>
  <c r="P133" i="29"/>
  <c r="P145" i="29"/>
  <c r="Q145" i="29"/>
  <c r="R134" i="29"/>
  <c r="R133" i="29"/>
  <c r="T134" i="29"/>
  <c r="T133" i="29"/>
  <c r="T145" i="29"/>
  <c r="U145" i="29"/>
  <c r="V134" i="29"/>
  <c r="X134" i="29"/>
  <c r="X133" i="29"/>
  <c r="D136" i="29"/>
  <c r="D146" i="29"/>
  <c r="E146" i="29"/>
  <c r="F136" i="29"/>
  <c r="F146" i="29"/>
  <c r="G146" i="29"/>
  <c r="H136" i="29"/>
  <c r="H146" i="29"/>
  <c r="I146" i="29"/>
  <c r="L136" i="29"/>
  <c r="L146" i="29"/>
  <c r="M146" i="29"/>
  <c r="N136" i="29"/>
  <c r="N146" i="29"/>
  <c r="O146" i="29"/>
  <c r="P136" i="29"/>
  <c r="P146" i="29"/>
  <c r="Q146" i="29"/>
  <c r="T136" i="29"/>
  <c r="T146" i="29"/>
  <c r="U146" i="29"/>
  <c r="V136" i="29"/>
  <c r="X136" i="29"/>
  <c r="X146" i="29"/>
  <c r="Y146" i="29"/>
  <c r="D144" i="29"/>
  <c r="E144" i="29"/>
  <c r="H144" i="29"/>
  <c r="I144" i="29"/>
  <c r="J144" i="29"/>
  <c r="K144" i="29"/>
  <c r="L144" i="29"/>
  <c r="M144" i="29"/>
  <c r="N144" i="29"/>
  <c r="O144" i="29"/>
  <c r="P144" i="29"/>
  <c r="Q144" i="29"/>
  <c r="R144" i="29"/>
  <c r="S144" i="29"/>
  <c r="T144" i="29"/>
  <c r="U144" i="29"/>
  <c r="V144" i="29"/>
  <c r="W144" i="29"/>
  <c r="V133" i="29"/>
  <c r="V145" i="29"/>
  <c r="W145" i="29"/>
  <c r="V146" i="29"/>
  <c r="W146" i="29"/>
  <c r="X144" i="29"/>
  <c r="Y144" i="29"/>
  <c r="B131" i="29"/>
  <c r="B130" i="29"/>
  <c r="C131" i="29"/>
  <c r="D131" i="29"/>
  <c r="D130" i="29"/>
  <c r="E131" i="29"/>
  <c r="F131" i="29"/>
  <c r="H131" i="29"/>
  <c r="H130" i="29"/>
  <c r="I131" i="29"/>
  <c r="J131" i="29"/>
  <c r="J130" i="29"/>
  <c r="K131" i="29"/>
  <c r="L131" i="29"/>
  <c r="L130" i="29"/>
  <c r="M131" i="29"/>
  <c r="N131" i="29"/>
  <c r="N130" i="29"/>
  <c r="O131" i="29"/>
  <c r="P131" i="29"/>
  <c r="P130" i="29"/>
  <c r="Q131" i="29"/>
  <c r="R131" i="29"/>
  <c r="R130" i="29"/>
  <c r="S131" i="29"/>
  <c r="T131" i="29"/>
  <c r="T130" i="29"/>
  <c r="U131" i="29"/>
  <c r="V131" i="29"/>
  <c r="V130" i="29"/>
  <c r="W131" i="29"/>
  <c r="X131" i="29"/>
  <c r="X130" i="29"/>
  <c r="Y131" i="29"/>
  <c r="B106" i="29"/>
  <c r="D106" i="29"/>
  <c r="F106" i="29"/>
  <c r="H106" i="29"/>
  <c r="J106" i="29"/>
  <c r="L106" i="29"/>
  <c r="N106" i="29"/>
  <c r="P106" i="29"/>
  <c r="R106" i="29"/>
  <c r="T106" i="29"/>
  <c r="V106" i="29"/>
  <c r="X106" i="29"/>
  <c r="B107" i="29"/>
  <c r="D107" i="29"/>
  <c r="F107" i="29"/>
  <c r="H107" i="29"/>
  <c r="J107" i="29"/>
  <c r="L107" i="29"/>
  <c r="N107" i="29"/>
  <c r="P107" i="29"/>
  <c r="R107" i="29"/>
  <c r="T107" i="29"/>
  <c r="V107" i="29"/>
  <c r="X107" i="29"/>
  <c r="B108" i="29"/>
  <c r="D108" i="29"/>
  <c r="F108" i="29"/>
  <c r="H108" i="29"/>
  <c r="J108" i="29"/>
  <c r="L108" i="29"/>
  <c r="N108" i="29"/>
  <c r="P108" i="29"/>
  <c r="R108" i="29"/>
  <c r="T108" i="29"/>
  <c r="V108" i="29"/>
  <c r="X108" i="29"/>
  <c r="B109" i="29"/>
  <c r="D109" i="29"/>
  <c r="F109" i="29"/>
  <c r="H109" i="29"/>
  <c r="J109" i="29"/>
  <c r="L109" i="29"/>
  <c r="N109" i="29"/>
  <c r="P109" i="29"/>
  <c r="R109" i="29"/>
  <c r="T109" i="29"/>
  <c r="V109" i="29"/>
  <c r="X109" i="29"/>
  <c r="B110" i="29"/>
  <c r="D110" i="29"/>
  <c r="F110" i="29"/>
  <c r="H110" i="29"/>
  <c r="J110" i="29"/>
  <c r="L110" i="29"/>
  <c r="N110" i="29"/>
  <c r="P110" i="29"/>
  <c r="R110" i="29"/>
  <c r="T110" i="29"/>
  <c r="V110" i="29"/>
  <c r="X110" i="29"/>
  <c r="B111" i="29"/>
  <c r="D111" i="29"/>
  <c r="F111" i="29"/>
  <c r="H111" i="29"/>
  <c r="J111" i="29"/>
  <c r="L111" i="29"/>
  <c r="N111" i="29"/>
  <c r="P111" i="29"/>
  <c r="R111" i="29"/>
  <c r="T111" i="29"/>
  <c r="V111" i="29"/>
  <c r="X111" i="29"/>
  <c r="B112" i="29"/>
  <c r="D112" i="29"/>
  <c r="F112" i="29"/>
  <c r="H112" i="29"/>
  <c r="J112" i="29"/>
  <c r="L112" i="29"/>
  <c r="N112" i="29"/>
  <c r="P112" i="29"/>
  <c r="R112" i="29"/>
  <c r="T112" i="29"/>
  <c r="V112" i="29"/>
  <c r="X112" i="29"/>
  <c r="B113" i="29"/>
  <c r="D113" i="29"/>
  <c r="F113" i="29"/>
  <c r="H113" i="29"/>
  <c r="J113" i="29"/>
  <c r="J105" i="29"/>
  <c r="L113" i="29"/>
  <c r="N113" i="29"/>
  <c r="P113" i="29"/>
  <c r="R113" i="29"/>
  <c r="T113" i="29"/>
  <c r="V113" i="29"/>
  <c r="X113" i="29"/>
  <c r="B88" i="29"/>
  <c r="D88" i="29"/>
  <c r="F88" i="29"/>
  <c r="H88" i="29"/>
  <c r="J88" i="29"/>
  <c r="L88" i="29"/>
  <c r="N88" i="29"/>
  <c r="P88" i="29"/>
  <c r="R88" i="29"/>
  <c r="T88" i="29"/>
  <c r="V88" i="29"/>
  <c r="X88" i="29"/>
  <c r="B89" i="29"/>
  <c r="D89" i="29"/>
  <c r="F89" i="29"/>
  <c r="H89" i="29"/>
  <c r="J89" i="29"/>
  <c r="L89" i="29"/>
  <c r="N89" i="29"/>
  <c r="P89" i="29"/>
  <c r="R89" i="29"/>
  <c r="T89" i="29"/>
  <c r="V89" i="29"/>
  <c r="X89" i="29"/>
  <c r="B90" i="29"/>
  <c r="D90" i="29"/>
  <c r="F90" i="29"/>
  <c r="H90" i="29"/>
  <c r="J90" i="29"/>
  <c r="L90" i="29"/>
  <c r="N90" i="29"/>
  <c r="P90" i="29"/>
  <c r="R90" i="29"/>
  <c r="T90" i="29"/>
  <c r="V90" i="29"/>
  <c r="X90" i="29"/>
  <c r="B91" i="29"/>
  <c r="D91" i="29"/>
  <c r="F91" i="29"/>
  <c r="H91" i="29"/>
  <c r="J91" i="29"/>
  <c r="L91" i="29"/>
  <c r="N91" i="29"/>
  <c r="P91" i="29"/>
  <c r="R91" i="29"/>
  <c r="T91" i="29"/>
  <c r="V91" i="29"/>
  <c r="X91" i="29"/>
  <c r="B92" i="29"/>
  <c r="D92" i="29"/>
  <c r="F92" i="29"/>
  <c r="H92" i="29"/>
  <c r="J92" i="29"/>
  <c r="L92" i="29"/>
  <c r="N92" i="29"/>
  <c r="P92" i="29"/>
  <c r="R92" i="29"/>
  <c r="T92" i="29"/>
  <c r="V92" i="29"/>
  <c r="X92" i="29"/>
  <c r="B93" i="29"/>
  <c r="D93" i="29"/>
  <c r="F93" i="29"/>
  <c r="H93" i="29"/>
  <c r="J93" i="29"/>
  <c r="L93" i="29"/>
  <c r="N93" i="29"/>
  <c r="P93" i="29"/>
  <c r="R93" i="29"/>
  <c r="T93" i="29"/>
  <c r="V93" i="29"/>
  <c r="X93" i="29"/>
  <c r="B94" i="29"/>
  <c r="D94" i="29"/>
  <c r="F94" i="29"/>
  <c r="H94" i="29"/>
  <c r="J94" i="29"/>
  <c r="L94" i="29"/>
  <c r="N94" i="29"/>
  <c r="P94" i="29"/>
  <c r="R94" i="29"/>
  <c r="T94" i="29"/>
  <c r="V94" i="29"/>
  <c r="X94" i="29"/>
  <c r="B95" i="29"/>
  <c r="D95" i="29"/>
  <c r="F95" i="29"/>
  <c r="H95" i="29"/>
  <c r="J95" i="29"/>
  <c r="L95" i="29"/>
  <c r="N95" i="29"/>
  <c r="P95" i="29"/>
  <c r="R95" i="29"/>
  <c r="T95" i="29"/>
  <c r="V95" i="29"/>
  <c r="X95" i="29"/>
  <c r="B70" i="29"/>
  <c r="C70" i="29"/>
  <c r="D70" i="29"/>
  <c r="E70" i="29"/>
  <c r="F70" i="29"/>
  <c r="G70" i="29"/>
  <c r="H70" i="29"/>
  <c r="I70" i="29"/>
  <c r="J70" i="29"/>
  <c r="K70" i="29"/>
  <c r="N70" i="29"/>
  <c r="O70" i="29"/>
  <c r="L70" i="29"/>
  <c r="M70" i="29"/>
  <c r="P70" i="29"/>
  <c r="Q70" i="29"/>
  <c r="R70" i="29"/>
  <c r="S70" i="29"/>
  <c r="T70" i="29"/>
  <c r="U70" i="29"/>
  <c r="V70" i="29"/>
  <c r="W70" i="29"/>
  <c r="X70" i="29"/>
  <c r="Y70" i="29"/>
  <c r="B60" i="29"/>
  <c r="B59" i="29"/>
  <c r="B71" i="29"/>
  <c r="C71" i="29"/>
  <c r="D60" i="29"/>
  <c r="D59" i="29"/>
  <c r="D71" i="29"/>
  <c r="E71" i="29"/>
  <c r="F60" i="29"/>
  <c r="F59" i="29"/>
  <c r="F71" i="29"/>
  <c r="G71" i="29"/>
  <c r="H60" i="29"/>
  <c r="H59" i="29"/>
  <c r="H71" i="29"/>
  <c r="I71" i="29"/>
  <c r="J60" i="29"/>
  <c r="J59" i="29"/>
  <c r="J71" i="29"/>
  <c r="K71" i="29"/>
  <c r="N60" i="29"/>
  <c r="N59" i="29"/>
  <c r="N71" i="29"/>
  <c r="O71" i="29"/>
  <c r="L60" i="29"/>
  <c r="L59" i="29"/>
  <c r="L71" i="29"/>
  <c r="M71" i="29"/>
  <c r="P60" i="29"/>
  <c r="P59" i="29"/>
  <c r="P71" i="29"/>
  <c r="Q71" i="29"/>
  <c r="R60" i="29"/>
  <c r="R59" i="29"/>
  <c r="R71" i="29"/>
  <c r="S71" i="29"/>
  <c r="T60" i="29"/>
  <c r="T59" i="29"/>
  <c r="T71" i="29"/>
  <c r="U71" i="29"/>
  <c r="V60" i="29"/>
  <c r="V59" i="29"/>
  <c r="V71" i="29"/>
  <c r="W71" i="29"/>
  <c r="X60" i="29"/>
  <c r="X59" i="29"/>
  <c r="X71" i="29"/>
  <c r="Y71" i="29"/>
  <c r="B62" i="29"/>
  <c r="B72" i="29"/>
  <c r="C72" i="29"/>
  <c r="D62" i="29"/>
  <c r="F62" i="29"/>
  <c r="F72" i="29"/>
  <c r="G72" i="29"/>
  <c r="H62" i="29"/>
  <c r="H72" i="29"/>
  <c r="I72" i="29"/>
  <c r="J62" i="29"/>
  <c r="J72" i="29"/>
  <c r="K72" i="29"/>
  <c r="N62" i="29"/>
  <c r="N72" i="29"/>
  <c r="O72" i="29"/>
  <c r="L62" i="29"/>
  <c r="L72" i="29"/>
  <c r="M72" i="29"/>
  <c r="P62" i="29"/>
  <c r="P72" i="29"/>
  <c r="Q72" i="29"/>
  <c r="R62" i="29"/>
  <c r="R72" i="29"/>
  <c r="S72" i="29"/>
  <c r="T62" i="29"/>
  <c r="T72" i="29"/>
  <c r="U72" i="29"/>
  <c r="V62" i="29"/>
  <c r="V72" i="29"/>
  <c r="W72" i="29"/>
  <c r="X62" i="29"/>
  <c r="X72" i="29"/>
  <c r="Y72" i="29"/>
  <c r="Z66" i="29"/>
  <c r="F56" i="29"/>
  <c r="G57" i="29"/>
  <c r="J56" i="29"/>
  <c r="K57" i="29"/>
  <c r="L56" i="29"/>
  <c r="M57" i="29"/>
  <c r="N56" i="29"/>
  <c r="O57" i="29"/>
  <c r="R56" i="29"/>
  <c r="S57" i="29"/>
  <c r="V56" i="29"/>
  <c r="W57" i="29"/>
  <c r="B5" i="13"/>
  <c r="D5" i="13"/>
  <c r="F5" i="13"/>
  <c r="H5" i="13"/>
  <c r="J5" i="13"/>
  <c r="L5" i="13"/>
  <c r="N5" i="13"/>
  <c r="P5" i="13"/>
  <c r="R5" i="13"/>
  <c r="T5" i="13"/>
  <c r="V5" i="13"/>
  <c r="X5" i="13"/>
  <c r="B6" i="13"/>
  <c r="D6" i="13"/>
  <c r="F6" i="13"/>
  <c r="H6" i="13"/>
  <c r="J6" i="13"/>
  <c r="L6" i="13"/>
  <c r="N6" i="13"/>
  <c r="P6" i="13"/>
  <c r="R6" i="13"/>
  <c r="T6" i="13"/>
  <c r="V6" i="13"/>
  <c r="X6" i="13"/>
  <c r="B7" i="13"/>
  <c r="D7" i="13"/>
  <c r="F7" i="13"/>
  <c r="H7" i="13"/>
  <c r="J7" i="13"/>
  <c r="L7" i="13"/>
  <c r="N7" i="13"/>
  <c r="P7" i="13"/>
  <c r="R7" i="13"/>
  <c r="T7" i="13"/>
  <c r="V7" i="13"/>
  <c r="X7" i="13"/>
  <c r="B8" i="13"/>
  <c r="D8" i="13"/>
  <c r="F8" i="13"/>
  <c r="H8" i="13"/>
  <c r="J8" i="13"/>
  <c r="L8" i="13"/>
  <c r="N8" i="13"/>
  <c r="P8" i="13"/>
  <c r="R8" i="13"/>
  <c r="T8" i="13"/>
  <c r="V8" i="13"/>
  <c r="X8" i="13"/>
  <c r="B9" i="13"/>
  <c r="D9" i="13"/>
  <c r="F9" i="13"/>
  <c r="H9" i="13"/>
  <c r="J9" i="13"/>
  <c r="L9" i="13"/>
  <c r="N9" i="13"/>
  <c r="P9" i="13"/>
  <c r="R9" i="13"/>
  <c r="T9" i="13"/>
  <c r="V9" i="13"/>
  <c r="X9" i="13"/>
  <c r="B10" i="13"/>
  <c r="D10" i="13"/>
  <c r="F10" i="13"/>
  <c r="H10" i="13"/>
  <c r="J10" i="13"/>
  <c r="L10" i="13"/>
  <c r="N10" i="13"/>
  <c r="P10" i="13"/>
  <c r="R10" i="13"/>
  <c r="T10" i="13"/>
  <c r="V10" i="13"/>
  <c r="X10" i="13"/>
  <c r="B11" i="13"/>
  <c r="D11" i="13"/>
  <c r="F11" i="13"/>
  <c r="H11" i="13"/>
  <c r="J11" i="13"/>
  <c r="L11" i="13"/>
  <c r="N11" i="13"/>
  <c r="P11" i="13"/>
  <c r="R11" i="13"/>
  <c r="T11" i="13"/>
  <c r="V11" i="13"/>
  <c r="X11" i="13"/>
  <c r="B12" i="13"/>
  <c r="D12" i="13"/>
  <c r="F12" i="13"/>
  <c r="H12" i="13"/>
  <c r="J12" i="13"/>
  <c r="L12" i="13"/>
  <c r="L4" i="13"/>
  <c r="M12" i="13"/>
  <c r="N12" i="13"/>
  <c r="P12" i="13"/>
  <c r="R12" i="13"/>
  <c r="T12" i="13"/>
  <c r="V12" i="13"/>
  <c r="X12" i="13"/>
  <c r="B23" i="13"/>
  <c r="D23" i="13"/>
  <c r="F23" i="13"/>
  <c r="H23" i="13"/>
  <c r="J23" i="13"/>
  <c r="L23" i="13"/>
  <c r="N23" i="13"/>
  <c r="P23" i="13"/>
  <c r="R23" i="13"/>
  <c r="T23" i="13"/>
  <c r="V23" i="13"/>
  <c r="X23" i="13"/>
  <c r="B24" i="13"/>
  <c r="D24" i="13"/>
  <c r="F24" i="13"/>
  <c r="H24" i="13"/>
  <c r="J24" i="13"/>
  <c r="L24" i="13"/>
  <c r="N24" i="13"/>
  <c r="P24" i="13"/>
  <c r="R24" i="13"/>
  <c r="T24" i="13"/>
  <c r="V24" i="13"/>
  <c r="X24" i="13"/>
  <c r="B25" i="13"/>
  <c r="D25" i="13"/>
  <c r="F25" i="13"/>
  <c r="H25" i="13"/>
  <c r="J25" i="13"/>
  <c r="L25" i="13"/>
  <c r="N25" i="13"/>
  <c r="P25" i="13"/>
  <c r="R25" i="13"/>
  <c r="T25" i="13"/>
  <c r="V25" i="13"/>
  <c r="X25" i="13"/>
  <c r="B26" i="13"/>
  <c r="D26" i="13"/>
  <c r="F26" i="13"/>
  <c r="H26" i="13"/>
  <c r="J26" i="13"/>
  <c r="L26" i="13"/>
  <c r="N26" i="13"/>
  <c r="P26" i="13"/>
  <c r="R26" i="13"/>
  <c r="T26" i="13"/>
  <c r="V26" i="13"/>
  <c r="X26" i="13"/>
  <c r="B27" i="13"/>
  <c r="D27" i="13"/>
  <c r="F27" i="13"/>
  <c r="H27" i="13"/>
  <c r="J27" i="13"/>
  <c r="L27" i="13"/>
  <c r="N27" i="13"/>
  <c r="P27" i="13"/>
  <c r="R27" i="13"/>
  <c r="T27" i="13"/>
  <c r="V27" i="13"/>
  <c r="X27" i="13"/>
  <c r="B28" i="13"/>
  <c r="D28" i="13"/>
  <c r="F28" i="13"/>
  <c r="H28" i="13"/>
  <c r="J28" i="13"/>
  <c r="L28" i="13"/>
  <c r="N28" i="13"/>
  <c r="P28" i="13"/>
  <c r="R28" i="13"/>
  <c r="T28" i="13"/>
  <c r="V28" i="13"/>
  <c r="X28" i="13"/>
  <c r="B29" i="13"/>
  <c r="D29" i="13"/>
  <c r="F29" i="13"/>
  <c r="H29" i="13"/>
  <c r="J29" i="13"/>
  <c r="L29" i="13"/>
  <c r="N29" i="13"/>
  <c r="P29" i="13"/>
  <c r="R29" i="13"/>
  <c r="T29" i="13"/>
  <c r="V29" i="13"/>
  <c r="X29" i="13"/>
  <c r="B30" i="13"/>
  <c r="D30" i="13"/>
  <c r="F30" i="13"/>
  <c r="H30" i="13"/>
  <c r="J30" i="13"/>
  <c r="L30" i="13"/>
  <c r="N30" i="13"/>
  <c r="P30" i="13"/>
  <c r="R30" i="13"/>
  <c r="T30" i="13"/>
  <c r="V30" i="13"/>
  <c r="X30" i="13"/>
  <c r="B42" i="13"/>
  <c r="D42" i="13"/>
  <c r="F42" i="13"/>
  <c r="H42" i="13"/>
  <c r="J42" i="13"/>
  <c r="L42" i="13"/>
  <c r="N42" i="13"/>
  <c r="P42" i="13"/>
  <c r="R42" i="13"/>
  <c r="T42" i="13"/>
  <c r="V42" i="13"/>
  <c r="X42" i="13"/>
  <c r="B43" i="13"/>
  <c r="D43" i="13"/>
  <c r="H43" i="13"/>
  <c r="J43" i="13"/>
  <c r="L43" i="13"/>
  <c r="N43" i="13"/>
  <c r="P43" i="13"/>
  <c r="R43" i="13"/>
  <c r="T43" i="13"/>
  <c r="V43" i="13"/>
  <c r="X43" i="13"/>
  <c r="B44" i="13"/>
  <c r="D44" i="13"/>
  <c r="F44" i="13"/>
  <c r="H44" i="13"/>
  <c r="J44" i="13"/>
  <c r="L44" i="13"/>
  <c r="N44" i="13"/>
  <c r="P44" i="13"/>
  <c r="R44" i="13"/>
  <c r="T44" i="13"/>
  <c r="V44" i="13"/>
  <c r="X44" i="13"/>
  <c r="B45" i="13"/>
  <c r="D45" i="13"/>
  <c r="F45" i="13"/>
  <c r="H45" i="13"/>
  <c r="J45" i="13"/>
  <c r="L45" i="13"/>
  <c r="N45" i="13"/>
  <c r="P45" i="13"/>
  <c r="R45" i="13"/>
  <c r="T45" i="13"/>
  <c r="V45" i="13"/>
  <c r="X45" i="13"/>
  <c r="B46" i="13"/>
  <c r="D46" i="13"/>
  <c r="F46" i="13"/>
  <c r="H46" i="13"/>
  <c r="J46" i="13"/>
  <c r="L46" i="13"/>
  <c r="N46" i="13"/>
  <c r="P46" i="13"/>
  <c r="R46" i="13"/>
  <c r="T46" i="13"/>
  <c r="V46" i="13"/>
  <c r="X46" i="13"/>
  <c r="B47" i="13"/>
  <c r="D47" i="13"/>
  <c r="F47" i="13"/>
  <c r="H47" i="13"/>
  <c r="J47" i="13"/>
  <c r="L47" i="13"/>
  <c r="N47" i="13"/>
  <c r="P47" i="13"/>
  <c r="R47" i="13"/>
  <c r="T47" i="13"/>
  <c r="V47" i="13"/>
  <c r="X47" i="13"/>
  <c r="B48" i="13"/>
  <c r="D48" i="13"/>
  <c r="F48" i="13"/>
  <c r="H48" i="13"/>
  <c r="J48" i="13"/>
  <c r="L48" i="13"/>
  <c r="N48" i="13"/>
  <c r="P48" i="13"/>
  <c r="R48" i="13"/>
  <c r="T48" i="13"/>
  <c r="V48" i="13"/>
  <c r="X48" i="13"/>
  <c r="F50" i="13"/>
  <c r="H50" i="13"/>
  <c r="J50" i="13"/>
  <c r="L50" i="13"/>
  <c r="N50" i="13"/>
  <c r="P50" i="13"/>
  <c r="R50" i="13"/>
  <c r="T50" i="13"/>
  <c r="V50" i="13"/>
  <c r="X50" i="13"/>
  <c r="B51" i="13"/>
  <c r="D51" i="13"/>
  <c r="F51" i="13"/>
  <c r="H51" i="13"/>
  <c r="J51" i="13"/>
  <c r="L51" i="13"/>
  <c r="N51" i="13"/>
  <c r="P51" i="13"/>
  <c r="R51" i="13"/>
  <c r="T51" i="13"/>
  <c r="V51" i="13"/>
  <c r="X51" i="13"/>
  <c r="B52" i="13"/>
  <c r="D52" i="13"/>
  <c r="F52" i="13"/>
  <c r="H52" i="13"/>
  <c r="J52" i="13"/>
  <c r="L52" i="13"/>
  <c r="N52" i="13"/>
  <c r="P52" i="13"/>
  <c r="R52" i="13"/>
  <c r="T52" i="13"/>
  <c r="V52" i="13"/>
  <c r="X52" i="13"/>
  <c r="B53" i="13"/>
  <c r="D53" i="13"/>
  <c r="F53" i="13"/>
  <c r="H53" i="13"/>
  <c r="J53" i="13"/>
  <c r="L53" i="13"/>
  <c r="N53" i="13"/>
  <c r="P53" i="13"/>
  <c r="R53" i="13"/>
  <c r="T53" i="13"/>
  <c r="V53" i="13"/>
  <c r="X53" i="13"/>
  <c r="B54" i="13"/>
  <c r="D54" i="13"/>
  <c r="F54" i="13"/>
  <c r="H54" i="13"/>
  <c r="J54" i="13"/>
  <c r="L54" i="13"/>
  <c r="N54" i="13"/>
  <c r="P54" i="13"/>
  <c r="R54" i="13"/>
  <c r="T54" i="13"/>
  <c r="V54" i="13"/>
  <c r="X54" i="13"/>
  <c r="B60" i="13"/>
  <c r="D60" i="13"/>
  <c r="F60" i="13"/>
  <c r="H60" i="13"/>
  <c r="J60" i="13"/>
  <c r="L60" i="13"/>
  <c r="L59" i="13"/>
  <c r="L71" i="13"/>
  <c r="M71" i="13"/>
  <c r="N60" i="13"/>
  <c r="P60" i="13"/>
  <c r="R60" i="13"/>
  <c r="T60" i="13"/>
  <c r="V60" i="13"/>
  <c r="X60" i="13"/>
  <c r="B62" i="13"/>
  <c r="D62" i="13"/>
  <c r="F62" i="13"/>
  <c r="H62" i="13"/>
  <c r="L62" i="13"/>
  <c r="N62" i="13"/>
  <c r="P62" i="13"/>
  <c r="R62" i="13"/>
  <c r="V62" i="13"/>
  <c r="X62" i="13"/>
  <c r="B5" i="14"/>
  <c r="D5" i="14"/>
  <c r="F5" i="14"/>
  <c r="H5" i="14"/>
  <c r="J5" i="14"/>
  <c r="L5" i="14"/>
  <c r="N5" i="14"/>
  <c r="P5" i="14"/>
  <c r="R5" i="14"/>
  <c r="T5" i="14"/>
  <c r="V5" i="14"/>
  <c r="X5" i="14"/>
  <c r="B6" i="14"/>
  <c r="D6" i="14"/>
  <c r="F6" i="14"/>
  <c r="H6" i="14"/>
  <c r="J6" i="14"/>
  <c r="L6" i="14"/>
  <c r="N6" i="14"/>
  <c r="P6" i="14"/>
  <c r="R6" i="14"/>
  <c r="T6" i="14"/>
  <c r="V6" i="14"/>
  <c r="X6" i="14"/>
  <c r="B7" i="14"/>
  <c r="D7" i="14"/>
  <c r="F7" i="14"/>
  <c r="H7" i="14"/>
  <c r="J7" i="14"/>
  <c r="P159" i="6"/>
  <c r="L7" i="14"/>
  <c r="N7" i="14"/>
  <c r="P7" i="14"/>
  <c r="R7" i="14"/>
  <c r="T7" i="14"/>
  <c r="V7" i="14"/>
  <c r="X7" i="14"/>
  <c r="B8" i="14"/>
  <c r="D8" i="14"/>
  <c r="F8" i="14"/>
  <c r="H8" i="14"/>
  <c r="J8" i="14"/>
  <c r="L8" i="14"/>
  <c r="N8" i="14"/>
  <c r="P8" i="14"/>
  <c r="R8" i="14"/>
  <c r="T8" i="14"/>
  <c r="V8" i="14"/>
  <c r="X8" i="14"/>
  <c r="B9" i="14"/>
  <c r="D9" i="14"/>
  <c r="F9" i="14"/>
  <c r="H9" i="14"/>
  <c r="J9" i="14"/>
  <c r="L9" i="14"/>
  <c r="N9" i="14"/>
  <c r="P9" i="14"/>
  <c r="R9" i="14"/>
  <c r="T9" i="14"/>
  <c r="V9" i="14"/>
  <c r="X9" i="14"/>
  <c r="B10" i="14"/>
  <c r="D10" i="14"/>
  <c r="F10" i="14"/>
  <c r="H10" i="14"/>
  <c r="J10" i="14"/>
  <c r="L10" i="14"/>
  <c r="N10" i="14"/>
  <c r="P10" i="14"/>
  <c r="R10" i="14"/>
  <c r="T10" i="14"/>
  <c r="V10" i="14"/>
  <c r="X10" i="14"/>
  <c r="B11" i="14"/>
  <c r="D11" i="14"/>
  <c r="F11" i="14"/>
  <c r="H11" i="14"/>
  <c r="J11" i="14"/>
  <c r="L11" i="14"/>
  <c r="N11" i="14"/>
  <c r="P11" i="14"/>
  <c r="R11" i="14"/>
  <c r="T11" i="14"/>
  <c r="V11" i="14"/>
  <c r="X11" i="14"/>
  <c r="B12" i="14"/>
  <c r="D12" i="14"/>
  <c r="F12" i="14"/>
  <c r="F4" i="14"/>
  <c r="G12" i="14"/>
  <c r="H12" i="14"/>
  <c r="J12" i="14"/>
  <c r="L12" i="14"/>
  <c r="N12" i="14"/>
  <c r="P12" i="14"/>
  <c r="P4" i="14"/>
  <c r="Q10" i="14"/>
  <c r="R12" i="14"/>
  <c r="T12" i="14"/>
  <c r="V12" i="14"/>
  <c r="X12" i="14"/>
  <c r="B23" i="14"/>
  <c r="D23" i="14"/>
  <c r="F23" i="14"/>
  <c r="H23" i="14"/>
  <c r="J23" i="14"/>
  <c r="L23" i="14"/>
  <c r="N23" i="14"/>
  <c r="P23" i="14"/>
  <c r="R23" i="14"/>
  <c r="T23" i="14"/>
  <c r="V23" i="14"/>
  <c r="X23" i="14"/>
  <c r="B24" i="14"/>
  <c r="D24" i="14"/>
  <c r="F24" i="14"/>
  <c r="H24" i="14"/>
  <c r="J24" i="14"/>
  <c r="L24" i="14"/>
  <c r="N24" i="14"/>
  <c r="P24" i="14"/>
  <c r="R24" i="14"/>
  <c r="T24" i="14"/>
  <c r="V24" i="14"/>
  <c r="X24" i="14"/>
  <c r="B25" i="14"/>
  <c r="D25" i="14"/>
  <c r="F25" i="14"/>
  <c r="H25" i="14"/>
  <c r="J25" i="14"/>
  <c r="L25" i="14"/>
  <c r="N25" i="14"/>
  <c r="P25" i="14"/>
  <c r="R25" i="14"/>
  <c r="T25" i="14"/>
  <c r="V25" i="14"/>
  <c r="X25" i="14"/>
  <c r="B26" i="14"/>
  <c r="D26" i="14"/>
  <c r="F26" i="14"/>
  <c r="H26" i="14"/>
  <c r="J26" i="14"/>
  <c r="L26" i="14"/>
  <c r="N26" i="14"/>
  <c r="P26" i="14"/>
  <c r="R26" i="14"/>
  <c r="T26" i="14"/>
  <c r="V26" i="14"/>
  <c r="X26" i="14"/>
  <c r="B27" i="14"/>
  <c r="D27" i="14"/>
  <c r="F27" i="14"/>
  <c r="H27" i="14"/>
  <c r="J27" i="14"/>
  <c r="L27" i="14"/>
  <c r="N27" i="14"/>
  <c r="P27" i="14"/>
  <c r="R27" i="14"/>
  <c r="T27" i="14"/>
  <c r="V27" i="14"/>
  <c r="X27" i="14"/>
  <c r="B28" i="14"/>
  <c r="D28" i="14"/>
  <c r="F28" i="14"/>
  <c r="H28" i="14"/>
  <c r="J28" i="14"/>
  <c r="L28" i="14"/>
  <c r="N28" i="14"/>
  <c r="P28" i="14"/>
  <c r="R28" i="14"/>
  <c r="T28" i="14"/>
  <c r="V28" i="14"/>
  <c r="X28" i="14"/>
  <c r="B29" i="14"/>
  <c r="D29" i="14"/>
  <c r="F29" i="14"/>
  <c r="H29" i="14"/>
  <c r="J29" i="14"/>
  <c r="L29" i="14"/>
  <c r="N29" i="14"/>
  <c r="P29" i="14"/>
  <c r="R29" i="14"/>
  <c r="T29" i="14"/>
  <c r="V29" i="14"/>
  <c r="X29" i="14"/>
  <c r="B30" i="14"/>
  <c r="D30" i="14"/>
  <c r="F30" i="14"/>
  <c r="H30" i="14"/>
  <c r="J30" i="14"/>
  <c r="L30" i="14"/>
  <c r="N30" i="14"/>
  <c r="P30" i="14"/>
  <c r="R30" i="14"/>
  <c r="T30" i="14"/>
  <c r="V30" i="14"/>
  <c r="X30" i="14"/>
  <c r="B42" i="14"/>
  <c r="D42" i="14"/>
  <c r="F42" i="14"/>
  <c r="H42" i="14"/>
  <c r="J42" i="14"/>
  <c r="L42" i="14"/>
  <c r="N42" i="14"/>
  <c r="P42" i="14"/>
  <c r="R42" i="14"/>
  <c r="T42" i="14"/>
  <c r="V42" i="14"/>
  <c r="X42" i="14"/>
  <c r="B43" i="14"/>
  <c r="F43" i="14"/>
  <c r="H43" i="14"/>
  <c r="J43" i="14"/>
  <c r="L43" i="14"/>
  <c r="N43" i="14"/>
  <c r="P43" i="14"/>
  <c r="T43" i="14"/>
  <c r="V43" i="14"/>
  <c r="X43" i="14"/>
  <c r="B44" i="14"/>
  <c r="D44" i="14"/>
  <c r="F44" i="14"/>
  <c r="H44" i="14"/>
  <c r="J44" i="14"/>
  <c r="L44" i="14"/>
  <c r="N44" i="14"/>
  <c r="P44" i="14"/>
  <c r="R44" i="14"/>
  <c r="T44" i="14"/>
  <c r="V44" i="14"/>
  <c r="X44" i="14"/>
  <c r="B45" i="14"/>
  <c r="D45" i="14"/>
  <c r="F45" i="14"/>
  <c r="H45" i="14"/>
  <c r="J45" i="14"/>
  <c r="L45" i="14"/>
  <c r="N45" i="14"/>
  <c r="P45" i="14"/>
  <c r="R45" i="14"/>
  <c r="T45" i="14"/>
  <c r="V45" i="14"/>
  <c r="X45" i="14"/>
  <c r="B46" i="14"/>
  <c r="D46" i="14"/>
  <c r="F46" i="14"/>
  <c r="H46" i="14"/>
  <c r="J46" i="14"/>
  <c r="L46" i="14"/>
  <c r="N46" i="14"/>
  <c r="P46" i="14"/>
  <c r="R46" i="14"/>
  <c r="T46" i="14"/>
  <c r="V46" i="14"/>
  <c r="X46" i="14"/>
  <c r="B47" i="14"/>
  <c r="D47" i="14"/>
  <c r="F47" i="14"/>
  <c r="H47" i="14"/>
  <c r="J47" i="14"/>
  <c r="L47" i="14"/>
  <c r="N47" i="14"/>
  <c r="P47" i="14"/>
  <c r="R47" i="14"/>
  <c r="T47" i="14"/>
  <c r="V47" i="14"/>
  <c r="X47" i="14"/>
  <c r="B48" i="14"/>
  <c r="D48" i="14"/>
  <c r="F48" i="14"/>
  <c r="H48" i="14"/>
  <c r="J48" i="14"/>
  <c r="L48" i="14"/>
  <c r="N48" i="14"/>
  <c r="P48" i="14"/>
  <c r="R48" i="14"/>
  <c r="T48" i="14"/>
  <c r="V48" i="14"/>
  <c r="X48" i="14"/>
  <c r="B50" i="14"/>
  <c r="D50" i="14"/>
  <c r="F50" i="14"/>
  <c r="H50" i="14"/>
  <c r="J50" i="14"/>
  <c r="L50" i="14"/>
  <c r="N50" i="14"/>
  <c r="P50" i="14"/>
  <c r="R50" i="14"/>
  <c r="T50" i="14"/>
  <c r="V50" i="14"/>
  <c r="X50" i="14"/>
  <c r="B51" i="14"/>
  <c r="D51" i="14"/>
  <c r="F51" i="14"/>
  <c r="H51" i="14"/>
  <c r="J51" i="14"/>
  <c r="L51" i="14"/>
  <c r="N51" i="14"/>
  <c r="P51" i="14"/>
  <c r="R51" i="14"/>
  <c r="T51" i="14"/>
  <c r="V51" i="14"/>
  <c r="X51" i="14"/>
  <c r="B52" i="14"/>
  <c r="D52" i="14"/>
  <c r="F52" i="14"/>
  <c r="H52" i="14"/>
  <c r="J52" i="14"/>
  <c r="L52" i="14"/>
  <c r="N52" i="14"/>
  <c r="P52" i="14"/>
  <c r="R52" i="14"/>
  <c r="T52" i="14"/>
  <c r="V52" i="14"/>
  <c r="X52" i="14"/>
  <c r="B53" i="14"/>
  <c r="D53" i="14"/>
  <c r="F53" i="14"/>
  <c r="H53" i="14"/>
  <c r="J53" i="14"/>
  <c r="L53" i="14"/>
  <c r="N53" i="14"/>
  <c r="P53" i="14"/>
  <c r="R53" i="14"/>
  <c r="T53" i="14"/>
  <c r="V53" i="14"/>
  <c r="X53" i="14"/>
  <c r="B54" i="14"/>
  <c r="D54" i="14"/>
  <c r="F54" i="14"/>
  <c r="H54" i="14"/>
  <c r="J54" i="14"/>
  <c r="L54" i="14"/>
  <c r="N54" i="14"/>
  <c r="P54" i="14"/>
  <c r="R54" i="14"/>
  <c r="T54" i="14"/>
  <c r="T49" i="14"/>
  <c r="U53" i="14"/>
  <c r="V54" i="14"/>
  <c r="V49" i="14"/>
  <c r="W51" i="14"/>
  <c r="X54" i="14"/>
  <c r="B60" i="14"/>
  <c r="B59" i="14"/>
  <c r="B71" i="14"/>
  <c r="C71" i="14"/>
  <c r="D60" i="14"/>
  <c r="F60" i="14"/>
  <c r="H60" i="14"/>
  <c r="H59" i="14"/>
  <c r="H71" i="14"/>
  <c r="I71" i="14"/>
  <c r="J60" i="14"/>
  <c r="J59" i="14"/>
  <c r="J71" i="14"/>
  <c r="K71" i="14"/>
  <c r="L60" i="14"/>
  <c r="N60" i="14"/>
  <c r="P60" i="14"/>
  <c r="P59" i="14"/>
  <c r="P71" i="14"/>
  <c r="Q71" i="14"/>
  <c r="R60" i="14"/>
  <c r="R59" i="14"/>
  <c r="R71" i="14"/>
  <c r="S71" i="14"/>
  <c r="T60" i="14"/>
  <c r="V60" i="14"/>
  <c r="X60" i="14"/>
  <c r="X59" i="14"/>
  <c r="X71" i="14"/>
  <c r="Y71" i="14"/>
  <c r="B62" i="14"/>
  <c r="B72" i="14"/>
  <c r="C72" i="14"/>
  <c r="D62" i="14"/>
  <c r="F62" i="14"/>
  <c r="H62" i="14"/>
  <c r="H72" i="14"/>
  <c r="I72" i="14"/>
  <c r="J62" i="14"/>
  <c r="J72" i="14"/>
  <c r="K72" i="14"/>
  <c r="L62" i="14"/>
  <c r="N62" i="14"/>
  <c r="N72" i="14"/>
  <c r="O72" i="14"/>
  <c r="P62" i="14"/>
  <c r="P72" i="14"/>
  <c r="Q72" i="14"/>
  <c r="R62" i="14"/>
  <c r="R72" i="14"/>
  <c r="S72" i="14"/>
  <c r="T62" i="14"/>
  <c r="V62" i="14"/>
  <c r="V72" i="14"/>
  <c r="W72" i="14"/>
  <c r="X62" i="14"/>
  <c r="X72" i="14"/>
  <c r="Y72" i="14"/>
  <c r="B5" i="19"/>
  <c r="D5" i="19"/>
  <c r="F5" i="19"/>
  <c r="H5" i="19"/>
  <c r="J5" i="19"/>
  <c r="L5" i="19"/>
  <c r="N5" i="19"/>
  <c r="P5" i="19"/>
  <c r="R5" i="19"/>
  <c r="T5" i="19"/>
  <c r="V5" i="19"/>
  <c r="X5" i="19"/>
  <c r="B6" i="19"/>
  <c r="D6" i="19"/>
  <c r="F6" i="19"/>
  <c r="H6" i="19"/>
  <c r="J6" i="19"/>
  <c r="L6" i="19"/>
  <c r="N6" i="19"/>
  <c r="P6" i="19"/>
  <c r="R6" i="19"/>
  <c r="T6" i="19"/>
  <c r="V6" i="19"/>
  <c r="X6" i="19"/>
  <c r="B7" i="19"/>
  <c r="D7" i="19"/>
  <c r="F7" i="19"/>
  <c r="H7" i="19"/>
  <c r="J7" i="19"/>
  <c r="L7" i="19"/>
  <c r="N7" i="19"/>
  <c r="P7" i="19"/>
  <c r="R7" i="19"/>
  <c r="T7" i="19"/>
  <c r="V7" i="19"/>
  <c r="X7" i="19"/>
  <c r="B8" i="19"/>
  <c r="D8" i="19"/>
  <c r="F8" i="19"/>
  <c r="H8" i="19"/>
  <c r="J8" i="19"/>
  <c r="L8" i="19"/>
  <c r="N8" i="19"/>
  <c r="P8" i="19"/>
  <c r="R8" i="19"/>
  <c r="T8" i="19"/>
  <c r="V8" i="19"/>
  <c r="X8" i="19"/>
  <c r="B9" i="19"/>
  <c r="D9" i="19"/>
  <c r="F9" i="19"/>
  <c r="H9" i="19"/>
  <c r="J9" i="19"/>
  <c r="L9" i="19"/>
  <c r="N9" i="19"/>
  <c r="P9" i="19"/>
  <c r="R9" i="19"/>
  <c r="T9" i="19"/>
  <c r="V9" i="19"/>
  <c r="X9" i="19"/>
  <c r="B10" i="19"/>
  <c r="D10" i="19"/>
  <c r="F10" i="19"/>
  <c r="H10" i="19"/>
  <c r="J10" i="19"/>
  <c r="L10" i="19"/>
  <c r="N10" i="19"/>
  <c r="P10" i="19"/>
  <c r="R10" i="19"/>
  <c r="T10" i="19"/>
  <c r="V10" i="19"/>
  <c r="X10" i="19"/>
  <c r="B11" i="19"/>
  <c r="D11" i="19"/>
  <c r="F11" i="19"/>
  <c r="H11" i="19"/>
  <c r="J11" i="19"/>
  <c r="L11" i="19"/>
  <c r="N11" i="19"/>
  <c r="P11" i="19"/>
  <c r="R11" i="19"/>
  <c r="T11" i="19"/>
  <c r="V11" i="19"/>
  <c r="X11" i="19"/>
  <c r="B12" i="19"/>
  <c r="D12" i="19"/>
  <c r="F12" i="19"/>
  <c r="H12" i="19"/>
  <c r="J12" i="19"/>
  <c r="L12" i="19"/>
  <c r="N12" i="19"/>
  <c r="P12" i="19"/>
  <c r="R12" i="19"/>
  <c r="T12" i="19"/>
  <c r="V12" i="19"/>
  <c r="X12" i="19"/>
  <c r="B23" i="19"/>
  <c r="D23" i="19"/>
  <c r="F23" i="19"/>
  <c r="H23" i="19"/>
  <c r="J23" i="19"/>
  <c r="L23" i="19"/>
  <c r="N23" i="19"/>
  <c r="P23" i="19"/>
  <c r="R23" i="19"/>
  <c r="T23" i="19"/>
  <c r="V23" i="19"/>
  <c r="X23" i="19"/>
  <c r="B24" i="19"/>
  <c r="D24" i="19"/>
  <c r="F24" i="19"/>
  <c r="H24" i="19"/>
  <c r="J24" i="19"/>
  <c r="L24" i="19"/>
  <c r="N24" i="19"/>
  <c r="P24" i="19"/>
  <c r="R24" i="19"/>
  <c r="T24" i="19"/>
  <c r="V24" i="19"/>
  <c r="X24" i="19"/>
  <c r="B25" i="19"/>
  <c r="D25" i="19"/>
  <c r="F25" i="19"/>
  <c r="H25" i="19"/>
  <c r="J25" i="19"/>
  <c r="L25" i="19"/>
  <c r="N25" i="19"/>
  <c r="P25" i="19"/>
  <c r="R25" i="19"/>
  <c r="T25" i="19"/>
  <c r="V25" i="19"/>
  <c r="X25" i="19"/>
  <c r="B26" i="19"/>
  <c r="D26" i="19"/>
  <c r="F26" i="19"/>
  <c r="H26" i="19"/>
  <c r="J26" i="19"/>
  <c r="L26" i="19"/>
  <c r="N26" i="19"/>
  <c r="P26" i="19"/>
  <c r="R26" i="19"/>
  <c r="T26" i="19"/>
  <c r="V26" i="19"/>
  <c r="X26" i="19"/>
  <c r="B27" i="19"/>
  <c r="D27" i="19"/>
  <c r="F27" i="19"/>
  <c r="H27" i="19"/>
  <c r="J27" i="19"/>
  <c r="L27" i="19"/>
  <c r="N27" i="19"/>
  <c r="P27" i="19"/>
  <c r="R27" i="19"/>
  <c r="T27" i="19"/>
  <c r="V27" i="19"/>
  <c r="X27" i="19"/>
  <c r="B28" i="19"/>
  <c r="D28" i="19"/>
  <c r="F28" i="19"/>
  <c r="H28" i="19"/>
  <c r="J28" i="19"/>
  <c r="L28" i="19"/>
  <c r="N28" i="19"/>
  <c r="P28" i="19"/>
  <c r="R28" i="19"/>
  <c r="T28" i="19"/>
  <c r="V28" i="19"/>
  <c r="X28" i="19"/>
  <c r="B29" i="19"/>
  <c r="D29" i="19"/>
  <c r="F29" i="19"/>
  <c r="H29" i="19"/>
  <c r="J29" i="19"/>
  <c r="L29" i="19"/>
  <c r="N29" i="19"/>
  <c r="P29" i="19"/>
  <c r="R29" i="19"/>
  <c r="T29" i="19"/>
  <c r="V29" i="19"/>
  <c r="X29" i="19"/>
  <c r="B30" i="19"/>
  <c r="D30" i="19"/>
  <c r="F30" i="19"/>
  <c r="H30" i="19"/>
  <c r="J30" i="19"/>
  <c r="L30" i="19"/>
  <c r="N30" i="19"/>
  <c r="P30" i="19"/>
  <c r="R30" i="19"/>
  <c r="T30" i="19"/>
  <c r="V30" i="19"/>
  <c r="X30" i="19"/>
  <c r="B42" i="19"/>
  <c r="D42" i="19"/>
  <c r="F42" i="19"/>
  <c r="H42" i="19"/>
  <c r="J42" i="19"/>
  <c r="L42" i="19"/>
  <c r="N42" i="19"/>
  <c r="P42" i="19"/>
  <c r="R42" i="19"/>
  <c r="T42" i="19"/>
  <c r="V42" i="19"/>
  <c r="X42" i="19"/>
  <c r="B43" i="19"/>
  <c r="D43" i="19"/>
  <c r="F43" i="19"/>
  <c r="H43" i="19"/>
  <c r="J43" i="19"/>
  <c r="L43" i="19"/>
  <c r="N43" i="19"/>
  <c r="P43" i="19"/>
  <c r="R43" i="19"/>
  <c r="T43" i="19"/>
  <c r="V43" i="19"/>
  <c r="X43" i="19"/>
  <c r="B44" i="19"/>
  <c r="D44" i="19"/>
  <c r="F44" i="19"/>
  <c r="H44" i="19"/>
  <c r="J44" i="19"/>
  <c r="L44" i="19"/>
  <c r="N44" i="19"/>
  <c r="P44" i="19"/>
  <c r="R44" i="19"/>
  <c r="T44" i="19"/>
  <c r="V44" i="19"/>
  <c r="X44" i="19"/>
  <c r="B45" i="19"/>
  <c r="D45" i="19"/>
  <c r="F45" i="19"/>
  <c r="H45" i="19"/>
  <c r="J45" i="19"/>
  <c r="L45" i="19"/>
  <c r="N45" i="19"/>
  <c r="P45" i="19"/>
  <c r="R45" i="19"/>
  <c r="T45" i="19"/>
  <c r="V45" i="19"/>
  <c r="X45" i="19"/>
  <c r="B46" i="19"/>
  <c r="D46" i="19"/>
  <c r="F46" i="19"/>
  <c r="H46" i="19"/>
  <c r="J46" i="19"/>
  <c r="L46" i="19"/>
  <c r="N46" i="19"/>
  <c r="P46" i="19"/>
  <c r="R46" i="19"/>
  <c r="T46" i="19"/>
  <c r="V46" i="19"/>
  <c r="X46" i="19"/>
  <c r="B47" i="19"/>
  <c r="D47" i="19"/>
  <c r="F47" i="19"/>
  <c r="H47" i="19"/>
  <c r="J47" i="19"/>
  <c r="L47" i="19"/>
  <c r="N47" i="19"/>
  <c r="P47" i="19"/>
  <c r="R47" i="19"/>
  <c r="T47" i="19"/>
  <c r="V47" i="19"/>
  <c r="X47" i="19"/>
  <c r="B48" i="19"/>
  <c r="D48" i="19"/>
  <c r="F48" i="19"/>
  <c r="H48" i="19"/>
  <c r="J48" i="19"/>
  <c r="L48" i="19"/>
  <c r="L41" i="19"/>
  <c r="M46" i="19"/>
  <c r="N48" i="19"/>
  <c r="P48" i="19"/>
  <c r="R48" i="19"/>
  <c r="T48" i="19"/>
  <c r="V48" i="19"/>
  <c r="X48" i="19"/>
  <c r="B50" i="19"/>
  <c r="D50" i="19"/>
  <c r="F50" i="19"/>
  <c r="H50" i="19"/>
  <c r="J50" i="19"/>
  <c r="L50" i="19"/>
  <c r="N50" i="19"/>
  <c r="R50" i="19"/>
  <c r="T50" i="19"/>
  <c r="V50" i="19"/>
  <c r="X50" i="19"/>
  <c r="B51" i="19"/>
  <c r="D51" i="19"/>
  <c r="F51" i="19"/>
  <c r="H51" i="19"/>
  <c r="J51" i="19"/>
  <c r="L51" i="19"/>
  <c r="N51" i="19"/>
  <c r="P51" i="19"/>
  <c r="R51" i="19"/>
  <c r="T51" i="19"/>
  <c r="V51" i="19"/>
  <c r="X51" i="19"/>
  <c r="B52" i="19"/>
  <c r="D52" i="19"/>
  <c r="F52" i="19"/>
  <c r="J52" i="19"/>
  <c r="L52" i="19"/>
  <c r="N52" i="19"/>
  <c r="R52" i="19"/>
  <c r="T52" i="19"/>
  <c r="V52" i="19"/>
  <c r="X52" i="19"/>
  <c r="B53" i="19"/>
  <c r="D53" i="19"/>
  <c r="F53" i="19"/>
  <c r="H53" i="19"/>
  <c r="J53" i="19"/>
  <c r="L53" i="19"/>
  <c r="N53" i="19"/>
  <c r="P53" i="19"/>
  <c r="R53" i="19"/>
  <c r="T53" i="19"/>
  <c r="V53" i="19"/>
  <c r="X53" i="19"/>
  <c r="B54" i="19"/>
  <c r="D54" i="19"/>
  <c r="F54" i="19"/>
  <c r="H54" i="19"/>
  <c r="J54" i="19"/>
  <c r="L54" i="19"/>
  <c r="N54" i="19"/>
  <c r="P54" i="19"/>
  <c r="R54" i="19"/>
  <c r="T54" i="19"/>
  <c r="V54" i="19"/>
  <c r="X54" i="19"/>
  <c r="B60" i="19"/>
  <c r="B59" i="19"/>
  <c r="B71" i="19"/>
  <c r="C71" i="19"/>
  <c r="D60" i="19"/>
  <c r="D59" i="19"/>
  <c r="D71" i="19"/>
  <c r="E71" i="19"/>
  <c r="F60" i="19"/>
  <c r="F59" i="19"/>
  <c r="G60" i="19"/>
  <c r="H60" i="19"/>
  <c r="H59" i="19"/>
  <c r="I60" i="19"/>
  <c r="J60" i="19"/>
  <c r="J59" i="19"/>
  <c r="J71" i="19"/>
  <c r="K71" i="19"/>
  <c r="L60" i="19"/>
  <c r="L59" i="19"/>
  <c r="L71" i="19"/>
  <c r="M71" i="19"/>
  <c r="N60" i="19"/>
  <c r="N59" i="19"/>
  <c r="O60" i="19"/>
  <c r="P60" i="19"/>
  <c r="P59" i="19"/>
  <c r="P71" i="19"/>
  <c r="Q71" i="19"/>
  <c r="R60" i="19"/>
  <c r="T60" i="19"/>
  <c r="T59" i="19"/>
  <c r="T71" i="19"/>
  <c r="U71" i="19"/>
  <c r="V60" i="19"/>
  <c r="V59" i="19"/>
  <c r="W60" i="19"/>
  <c r="X60" i="19"/>
  <c r="X59" i="19"/>
  <c r="Y60" i="19"/>
  <c r="B62" i="19"/>
  <c r="B72" i="19"/>
  <c r="C72" i="19"/>
  <c r="D62" i="19"/>
  <c r="D72" i="19"/>
  <c r="E72" i="19"/>
  <c r="F62" i="19"/>
  <c r="F72" i="19"/>
  <c r="G72" i="19"/>
  <c r="H62" i="19"/>
  <c r="H72" i="19"/>
  <c r="I72" i="19"/>
  <c r="J62" i="19"/>
  <c r="J72" i="19"/>
  <c r="K72" i="19"/>
  <c r="L62" i="19"/>
  <c r="L72" i="19"/>
  <c r="M72" i="19"/>
  <c r="P62" i="19"/>
  <c r="P72" i="19"/>
  <c r="Q72" i="19"/>
  <c r="R62" i="19"/>
  <c r="R72" i="19"/>
  <c r="S72" i="19"/>
  <c r="V62" i="19"/>
  <c r="V72" i="19"/>
  <c r="W72" i="19"/>
  <c r="X62" i="19"/>
  <c r="X72" i="19"/>
  <c r="Y72" i="19"/>
  <c r="X56" i="29"/>
  <c r="Y57" i="29"/>
  <c r="T56" i="29"/>
  <c r="U57" i="29"/>
  <c r="P56" i="29"/>
  <c r="Q57" i="29"/>
  <c r="H56" i="29"/>
  <c r="I57" i="29"/>
  <c r="D56" i="29"/>
  <c r="E57" i="29"/>
  <c r="M60" i="29"/>
  <c r="Z681" i="6"/>
  <c r="S681" i="6"/>
  <c r="Z679" i="6"/>
  <c r="S679" i="6"/>
  <c r="E305" i="7"/>
  <c r="E304" i="7"/>
  <c r="Z692" i="6"/>
  <c r="S692" i="6"/>
  <c r="B5" i="23"/>
  <c r="D5" i="23"/>
  <c r="F5" i="23"/>
  <c r="H5" i="23"/>
  <c r="J5" i="23"/>
  <c r="L5" i="23"/>
  <c r="N5" i="23"/>
  <c r="P5" i="23"/>
  <c r="R5" i="23"/>
  <c r="T5" i="23"/>
  <c r="V5" i="23"/>
  <c r="X5" i="23"/>
  <c r="B6" i="23"/>
  <c r="D6" i="23"/>
  <c r="F6" i="23"/>
  <c r="H6" i="23"/>
  <c r="J6" i="23"/>
  <c r="L6" i="23"/>
  <c r="N6" i="23"/>
  <c r="P6" i="23"/>
  <c r="R6" i="23"/>
  <c r="T6" i="23"/>
  <c r="V6" i="23"/>
  <c r="X6" i="23"/>
  <c r="B7" i="23"/>
  <c r="D7" i="23"/>
  <c r="F7" i="23"/>
  <c r="H7" i="23"/>
  <c r="J7" i="23"/>
  <c r="L7" i="23"/>
  <c r="N7" i="23"/>
  <c r="P7" i="23"/>
  <c r="R7" i="23"/>
  <c r="T7" i="23"/>
  <c r="V7" i="23"/>
  <c r="X7" i="23"/>
  <c r="B8" i="23"/>
  <c r="D8" i="23"/>
  <c r="F8" i="23"/>
  <c r="H8" i="23"/>
  <c r="J8" i="23"/>
  <c r="L8" i="23"/>
  <c r="N8" i="23"/>
  <c r="P8" i="23"/>
  <c r="R8" i="23"/>
  <c r="T8" i="23"/>
  <c r="V8" i="23"/>
  <c r="X8" i="23"/>
  <c r="B9" i="23"/>
  <c r="D9" i="23"/>
  <c r="F9" i="23"/>
  <c r="H9" i="23"/>
  <c r="J9" i="23"/>
  <c r="L9" i="23"/>
  <c r="N9" i="23"/>
  <c r="P9" i="23"/>
  <c r="R9" i="23"/>
  <c r="T9" i="23"/>
  <c r="V9" i="23"/>
  <c r="X9" i="23"/>
  <c r="B10" i="23"/>
  <c r="D10" i="23"/>
  <c r="F10" i="23"/>
  <c r="H10" i="23"/>
  <c r="J10" i="23"/>
  <c r="L10" i="23"/>
  <c r="N10" i="23"/>
  <c r="P10" i="23"/>
  <c r="R10" i="23"/>
  <c r="T10" i="23"/>
  <c r="V10" i="23"/>
  <c r="X10" i="23"/>
  <c r="B11" i="23"/>
  <c r="D11" i="23"/>
  <c r="F11" i="23"/>
  <c r="H11" i="23"/>
  <c r="J11" i="23"/>
  <c r="L11" i="23"/>
  <c r="N11" i="23"/>
  <c r="P11" i="23"/>
  <c r="R11" i="23"/>
  <c r="T11" i="23"/>
  <c r="V11" i="23"/>
  <c r="X11" i="23"/>
  <c r="B12" i="23"/>
  <c r="D12" i="23"/>
  <c r="F12" i="23"/>
  <c r="H12" i="23"/>
  <c r="J12" i="23"/>
  <c r="L12" i="23"/>
  <c r="N12" i="23"/>
  <c r="P12" i="23"/>
  <c r="R12" i="23"/>
  <c r="T12" i="23"/>
  <c r="V12" i="23"/>
  <c r="X12" i="23"/>
  <c r="B23" i="23"/>
  <c r="D23" i="23"/>
  <c r="F23" i="23"/>
  <c r="H23" i="23"/>
  <c r="J23" i="23"/>
  <c r="L23" i="23"/>
  <c r="N23" i="23"/>
  <c r="P23" i="23"/>
  <c r="R23" i="23"/>
  <c r="T23" i="23"/>
  <c r="V23" i="23"/>
  <c r="X23" i="23"/>
  <c r="B24" i="23"/>
  <c r="D24" i="23"/>
  <c r="F24" i="23"/>
  <c r="H24" i="23"/>
  <c r="J24" i="23"/>
  <c r="L24" i="23"/>
  <c r="N24" i="23"/>
  <c r="P24" i="23"/>
  <c r="R24" i="23"/>
  <c r="T24" i="23"/>
  <c r="V24" i="23"/>
  <c r="X24" i="23"/>
  <c r="B25" i="23"/>
  <c r="D25" i="23"/>
  <c r="F25" i="23"/>
  <c r="H25" i="23"/>
  <c r="J25" i="23"/>
  <c r="L25" i="23"/>
  <c r="N25" i="23"/>
  <c r="P25" i="23"/>
  <c r="R25" i="23"/>
  <c r="T25" i="23"/>
  <c r="V25" i="23"/>
  <c r="X25" i="23"/>
  <c r="B26" i="23"/>
  <c r="D26" i="23"/>
  <c r="F26" i="23"/>
  <c r="H26" i="23"/>
  <c r="J26" i="23"/>
  <c r="L26" i="23"/>
  <c r="N26" i="23"/>
  <c r="P26" i="23"/>
  <c r="R26" i="23"/>
  <c r="T26" i="23"/>
  <c r="V26" i="23"/>
  <c r="X26" i="23"/>
  <c r="B27" i="23"/>
  <c r="D27" i="23"/>
  <c r="F27" i="23"/>
  <c r="H27" i="23"/>
  <c r="J27" i="23"/>
  <c r="L27" i="23"/>
  <c r="N27" i="23"/>
  <c r="P27" i="23"/>
  <c r="R27" i="23"/>
  <c r="T27" i="23"/>
  <c r="V27" i="23"/>
  <c r="X27" i="23"/>
  <c r="B28" i="23"/>
  <c r="D28" i="23"/>
  <c r="F28" i="23"/>
  <c r="H28" i="23"/>
  <c r="J28" i="23"/>
  <c r="L28" i="23"/>
  <c r="N28" i="23"/>
  <c r="P28" i="23"/>
  <c r="R28" i="23"/>
  <c r="T28" i="23"/>
  <c r="V28" i="23"/>
  <c r="X28" i="23"/>
  <c r="B29" i="23"/>
  <c r="D29" i="23"/>
  <c r="F29" i="23"/>
  <c r="H29" i="23"/>
  <c r="J29" i="23"/>
  <c r="L29" i="23"/>
  <c r="N29" i="23"/>
  <c r="P29" i="23"/>
  <c r="R29" i="23"/>
  <c r="T29" i="23"/>
  <c r="V29" i="23"/>
  <c r="X29" i="23"/>
  <c r="B30" i="23"/>
  <c r="D30" i="23"/>
  <c r="F30" i="23"/>
  <c r="H30" i="23"/>
  <c r="J30" i="23"/>
  <c r="L30" i="23"/>
  <c r="N30" i="23"/>
  <c r="P30" i="23"/>
  <c r="R30" i="23"/>
  <c r="T30" i="23"/>
  <c r="V30" i="23"/>
  <c r="X30" i="23"/>
  <c r="B14" i="23"/>
  <c r="D14" i="23"/>
  <c r="F14" i="23"/>
  <c r="H14" i="23"/>
  <c r="J14" i="23"/>
  <c r="L14" i="23"/>
  <c r="N14" i="23"/>
  <c r="P14" i="23"/>
  <c r="R14" i="23"/>
  <c r="T14" i="23"/>
  <c r="V14" i="23"/>
  <c r="X14" i="23"/>
  <c r="B15" i="23"/>
  <c r="D15" i="23"/>
  <c r="F15" i="23"/>
  <c r="H15" i="23"/>
  <c r="J15" i="23"/>
  <c r="L15" i="23"/>
  <c r="N15" i="23"/>
  <c r="P15" i="23"/>
  <c r="R15" i="23"/>
  <c r="T15" i="23"/>
  <c r="V15" i="23"/>
  <c r="X15" i="23"/>
  <c r="B16" i="23"/>
  <c r="D16" i="23"/>
  <c r="F16" i="23"/>
  <c r="H16" i="23"/>
  <c r="J16" i="23"/>
  <c r="L16" i="23"/>
  <c r="N16" i="23"/>
  <c r="P16" i="23"/>
  <c r="R16" i="23"/>
  <c r="T16" i="23"/>
  <c r="V16" i="23"/>
  <c r="X16" i="23"/>
  <c r="B17" i="23"/>
  <c r="D17" i="23"/>
  <c r="F17" i="23"/>
  <c r="H17" i="23"/>
  <c r="J17" i="23"/>
  <c r="L17" i="23"/>
  <c r="N17" i="23"/>
  <c r="P17" i="23"/>
  <c r="R17" i="23"/>
  <c r="T17" i="23"/>
  <c r="V17" i="23"/>
  <c r="X17" i="23"/>
  <c r="B18" i="23"/>
  <c r="D18" i="23"/>
  <c r="F18" i="23"/>
  <c r="H18" i="23"/>
  <c r="J18" i="23"/>
  <c r="L18" i="23"/>
  <c r="N18" i="23"/>
  <c r="P18" i="23"/>
  <c r="R18" i="23"/>
  <c r="T18" i="23"/>
  <c r="V18" i="23"/>
  <c r="X18" i="23"/>
  <c r="B19" i="23"/>
  <c r="D19" i="23"/>
  <c r="F19" i="23"/>
  <c r="H19" i="23"/>
  <c r="J19" i="23"/>
  <c r="L19" i="23"/>
  <c r="N19" i="23"/>
  <c r="P19" i="23"/>
  <c r="R19" i="23"/>
  <c r="T19" i="23"/>
  <c r="V19" i="23"/>
  <c r="X19" i="23"/>
  <c r="B20" i="23"/>
  <c r="D20" i="23"/>
  <c r="F20" i="23"/>
  <c r="H20" i="23"/>
  <c r="J20" i="23"/>
  <c r="L20" i="23"/>
  <c r="N20" i="23"/>
  <c r="P20" i="23"/>
  <c r="R20" i="23"/>
  <c r="T20" i="23"/>
  <c r="V20" i="23"/>
  <c r="X20" i="23"/>
  <c r="B21" i="23"/>
  <c r="D21" i="23"/>
  <c r="F21" i="23"/>
  <c r="H21" i="23"/>
  <c r="J21" i="23"/>
  <c r="L21" i="23"/>
  <c r="N21" i="23"/>
  <c r="P21" i="23"/>
  <c r="R21" i="23"/>
  <c r="T21" i="23"/>
  <c r="V21" i="23"/>
  <c r="X21" i="23"/>
  <c r="B32" i="23"/>
  <c r="D32" i="23"/>
  <c r="F32" i="23"/>
  <c r="H32" i="23"/>
  <c r="J32" i="23"/>
  <c r="L32" i="23"/>
  <c r="N32" i="23"/>
  <c r="P32" i="23"/>
  <c r="R32" i="23"/>
  <c r="T32" i="23"/>
  <c r="V32" i="23"/>
  <c r="X32" i="23"/>
  <c r="B33" i="23"/>
  <c r="D33" i="23"/>
  <c r="F33" i="23"/>
  <c r="H33" i="23"/>
  <c r="J33" i="23"/>
  <c r="L33" i="23"/>
  <c r="N33" i="23"/>
  <c r="P33" i="23"/>
  <c r="R33" i="23"/>
  <c r="T33" i="23"/>
  <c r="V33" i="23"/>
  <c r="X33" i="23"/>
  <c r="B34" i="23"/>
  <c r="D34" i="23"/>
  <c r="F34" i="23"/>
  <c r="H34" i="23"/>
  <c r="J34" i="23"/>
  <c r="L34" i="23"/>
  <c r="N34" i="23"/>
  <c r="P34" i="23"/>
  <c r="R34" i="23"/>
  <c r="T34" i="23"/>
  <c r="V34" i="23"/>
  <c r="X34" i="23"/>
  <c r="B35" i="23"/>
  <c r="D35" i="23"/>
  <c r="F35" i="23"/>
  <c r="H35" i="23"/>
  <c r="J35" i="23"/>
  <c r="L35" i="23"/>
  <c r="N35" i="23"/>
  <c r="P35" i="23"/>
  <c r="R35" i="23"/>
  <c r="T35" i="23"/>
  <c r="V35" i="23"/>
  <c r="X35" i="23"/>
  <c r="B36" i="23"/>
  <c r="D36" i="23"/>
  <c r="F36" i="23"/>
  <c r="H36" i="23"/>
  <c r="J36" i="23"/>
  <c r="L36" i="23"/>
  <c r="N36" i="23"/>
  <c r="P36" i="23"/>
  <c r="R36" i="23"/>
  <c r="T36" i="23"/>
  <c r="V36" i="23"/>
  <c r="X36" i="23"/>
  <c r="B37" i="23"/>
  <c r="D37" i="23"/>
  <c r="F37" i="23"/>
  <c r="H37" i="23"/>
  <c r="J37" i="23"/>
  <c r="L37" i="23"/>
  <c r="N37" i="23"/>
  <c r="P37" i="23"/>
  <c r="R37" i="23"/>
  <c r="T37" i="23"/>
  <c r="V37" i="23"/>
  <c r="X37" i="23"/>
  <c r="B38" i="23"/>
  <c r="D38" i="23"/>
  <c r="F38" i="23"/>
  <c r="H38" i="23"/>
  <c r="J38" i="23"/>
  <c r="L38" i="23"/>
  <c r="N38" i="23"/>
  <c r="P38" i="23"/>
  <c r="R38" i="23"/>
  <c r="T38" i="23"/>
  <c r="V38" i="23"/>
  <c r="X38" i="23"/>
  <c r="B39" i="23"/>
  <c r="D39" i="23"/>
  <c r="F39" i="23"/>
  <c r="H39" i="23"/>
  <c r="J39" i="23"/>
  <c r="L39" i="23"/>
  <c r="N39" i="23"/>
  <c r="P39" i="23"/>
  <c r="R39" i="23"/>
  <c r="T39" i="23"/>
  <c r="V39" i="23"/>
  <c r="X39" i="23"/>
  <c r="H15" i="19"/>
  <c r="F18" i="19"/>
  <c r="B32" i="19"/>
  <c r="D32" i="19"/>
  <c r="F32" i="19"/>
  <c r="H32" i="19"/>
  <c r="J32" i="19"/>
  <c r="L32" i="19"/>
  <c r="N32" i="19"/>
  <c r="P32" i="19"/>
  <c r="R32" i="19"/>
  <c r="T32" i="19"/>
  <c r="V32" i="19"/>
  <c r="X32" i="19"/>
  <c r="B33" i="19"/>
  <c r="D33" i="19"/>
  <c r="F33" i="19"/>
  <c r="H33" i="19"/>
  <c r="J33" i="19"/>
  <c r="L33" i="19"/>
  <c r="N33" i="19"/>
  <c r="P33" i="19"/>
  <c r="R33" i="19"/>
  <c r="T33" i="19"/>
  <c r="V33" i="19"/>
  <c r="X33" i="19"/>
  <c r="B34" i="19"/>
  <c r="D34" i="19"/>
  <c r="F34" i="19"/>
  <c r="H34" i="19"/>
  <c r="J34" i="19"/>
  <c r="L34" i="19"/>
  <c r="N34" i="19"/>
  <c r="P34" i="19"/>
  <c r="R34" i="19"/>
  <c r="T34" i="19"/>
  <c r="V34" i="19"/>
  <c r="X34" i="19"/>
  <c r="B35" i="19"/>
  <c r="D35" i="19"/>
  <c r="F35" i="19"/>
  <c r="H35" i="19"/>
  <c r="J35" i="19"/>
  <c r="L35" i="19"/>
  <c r="N35" i="19"/>
  <c r="P35" i="19"/>
  <c r="R35" i="19"/>
  <c r="T35" i="19"/>
  <c r="V35" i="19"/>
  <c r="X35" i="19"/>
  <c r="B36" i="19"/>
  <c r="D36" i="19"/>
  <c r="F36" i="19"/>
  <c r="H36" i="19"/>
  <c r="J36" i="19"/>
  <c r="L36" i="19"/>
  <c r="N36" i="19"/>
  <c r="P36" i="19"/>
  <c r="R36" i="19"/>
  <c r="T36" i="19"/>
  <c r="V36" i="19"/>
  <c r="X36" i="19"/>
  <c r="B37" i="19"/>
  <c r="D37" i="19"/>
  <c r="F37" i="19"/>
  <c r="H37" i="19"/>
  <c r="J37" i="19"/>
  <c r="L37" i="19"/>
  <c r="N37" i="19"/>
  <c r="P37" i="19"/>
  <c r="R37" i="19"/>
  <c r="T37" i="19"/>
  <c r="V37" i="19"/>
  <c r="X37" i="19"/>
  <c r="B38" i="19"/>
  <c r="D38" i="19"/>
  <c r="F38" i="19"/>
  <c r="H38" i="19"/>
  <c r="J38" i="19"/>
  <c r="L38" i="19"/>
  <c r="N38" i="19"/>
  <c r="P38" i="19"/>
  <c r="R38" i="19"/>
  <c r="T38" i="19"/>
  <c r="V38" i="19"/>
  <c r="X38" i="19"/>
  <c r="B39" i="19"/>
  <c r="D39" i="19"/>
  <c r="F39" i="19"/>
  <c r="H39" i="19"/>
  <c r="J39" i="19"/>
  <c r="L39" i="19"/>
  <c r="N39" i="19"/>
  <c r="P39" i="19"/>
  <c r="R39" i="19"/>
  <c r="T39" i="19"/>
  <c r="V39" i="19"/>
  <c r="X39" i="19"/>
  <c r="B14" i="19"/>
  <c r="D14" i="19"/>
  <c r="F14" i="19"/>
  <c r="H14" i="19"/>
  <c r="J14" i="19"/>
  <c r="L14" i="19"/>
  <c r="N14" i="19"/>
  <c r="P14" i="19"/>
  <c r="R14" i="19"/>
  <c r="T14" i="19"/>
  <c r="V14" i="19"/>
  <c r="X14" i="19"/>
  <c r="B15" i="19"/>
  <c r="D15" i="19"/>
  <c r="F15" i="19"/>
  <c r="J15" i="19"/>
  <c r="L15" i="19"/>
  <c r="N15" i="19"/>
  <c r="P15" i="19"/>
  <c r="R15" i="19"/>
  <c r="T15" i="19"/>
  <c r="V15" i="19"/>
  <c r="X15" i="19"/>
  <c r="B16" i="19"/>
  <c r="D16" i="19"/>
  <c r="F16" i="19"/>
  <c r="H16" i="19"/>
  <c r="J16" i="19"/>
  <c r="L16" i="19"/>
  <c r="N16" i="19"/>
  <c r="P16" i="19"/>
  <c r="R16" i="19"/>
  <c r="T16" i="19"/>
  <c r="V16" i="19"/>
  <c r="X16" i="19"/>
  <c r="B17" i="19"/>
  <c r="D17" i="19"/>
  <c r="F17" i="19"/>
  <c r="H17" i="19"/>
  <c r="J17" i="19"/>
  <c r="L17" i="19"/>
  <c r="N17" i="19"/>
  <c r="P17" i="19"/>
  <c r="R17" i="19"/>
  <c r="T17" i="19"/>
  <c r="V17" i="19"/>
  <c r="X17" i="19"/>
  <c r="B18" i="19"/>
  <c r="D18" i="19"/>
  <c r="H18" i="19"/>
  <c r="J18" i="19"/>
  <c r="L18" i="19"/>
  <c r="N18" i="19"/>
  <c r="P18" i="19"/>
  <c r="R18" i="19"/>
  <c r="T18" i="19"/>
  <c r="V18" i="19"/>
  <c r="X18" i="19"/>
  <c r="B19" i="19"/>
  <c r="D19" i="19"/>
  <c r="F19" i="19"/>
  <c r="H19" i="19"/>
  <c r="J19" i="19"/>
  <c r="L19" i="19"/>
  <c r="N19" i="19"/>
  <c r="P19" i="19"/>
  <c r="R19" i="19"/>
  <c r="T19" i="19"/>
  <c r="V19" i="19"/>
  <c r="X19" i="19"/>
  <c r="B20" i="19"/>
  <c r="D20" i="19"/>
  <c r="F20" i="19"/>
  <c r="H20" i="19"/>
  <c r="J20" i="19"/>
  <c r="L20" i="19"/>
  <c r="N20" i="19"/>
  <c r="P20" i="19"/>
  <c r="R20" i="19"/>
  <c r="T20" i="19"/>
  <c r="V20" i="19"/>
  <c r="X20" i="19"/>
  <c r="B21" i="19"/>
  <c r="D21" i="19"/>
  <c r="F21" i="19"/>
  <c r="H21" i="19"/>
  <c r="J21" i="19"/>
  <c r="L21" i="19"/>
  <c r="N21" i="19"/>
  <c r="P21" i="19"/>
  <c r="R21" i="19"/>
  <c r="T21" i="19"/>
  <c r="V21" i="19"/>
  <c r="X21" i="19"/>
  <c r="U147" i="6"/>
  <c r="Z147" i="6"/>
  <c r="U149" i="6"/>
  <c r="Z149" i="6"/>
  <c r="U150" i="6"/>
  <c r="Z150" i="6"/>
  <c r="B14" i="14"/>
  <c r="D14" i="14"/>
  <c r="F14" i="14"/>
  <c r="H14" i="14"/>
  <c r="J14" i="14"/>
  <c r="L14" i="14"/>
  <c r="N14" i="14"/>
  <c r="P14" i="14"/>
  <c r="R14" i="14"/>
  <c r="T14" i="14"/>
  <c r="V14" i="14"/>
  <c r="X14" i="14"/>
  <c r="B15" i="14"/>
  <c r="D15" i="14"/>
  <c r="F15" i="14"/>
  <c r="H15" i="14"/>
  <c r="J15" i="14"/>
  <c r="L15" i="14"/>
  <c r="N15" i="14"/>
  <c r="P15" i="14"/>
  <c r="R15" i="14"/>
  <c r="T15" i="14"/>
  <c r="V15" i="14"/>
  <c r="X15" i="14"/>
  <c r="B16" i="14"/>
  <c r="D16" i="14"/>
  <c r="F16" i="14"/>
  <c r="H16" i="14"/>
  <c r="J16" i="14"/>
  <c r="L16" i="14"/>
  <c r="N16" i="14"/>
  <c r="P16" i="14"/>
  <c r="R16" i="14"/>
  <c r="T16" i="14"/>
  <c r="V16" i="14"/>
  <c r="X16" i="14"/>
  <c r="B17" i="14"/>
  <c r="D17" i="14"/>
  <c r="F17" i="14"/>
  <c r="H17" i="14"/>
  <c r="J17" i="14"/>
  <c r="L17" i="14"/>
  <c r="N17" i="14"/>
  <c r="P17" i="14"/>
  <c r="R17" i="14"/>
  <c r="T17" i="14"/>
  <c r="V17" i="14"/>
  <c r="X17" i="14"/>
  <c r="B18" i="14"/>
  <c r="D18" i="14"/>
  <c r="F18" i="14"/>
  <c r="H18" i="14"/>
  <c r="J18" i="14"/>
  <c r="L18" i="14"/>
  <c r="N18" i="14"/>
  <c r="P18" i="14"/>
  <c r="R18" i="14"/>
  <c r="T18" i="14"/>
  <c r="V18" i="14"/>
  <c r="X18" i="14"/>
  <c r="B19" i="14"/>
  <c r="D19" i="14"/>
  <c r="F19" i="14"/>
  <c r="H19" i="14"/>
  <c r="J19" i="14"/>
  <c r="L19" i="14"/>
  <c r="N19" i="14"/>
  <c r="P19" i="14"/>
  <c r="R19" i="14"/>
  <c r="T19" i="14"/>
  <c r="V19" i="14"/>
  <c r="X19" i="14"/>
  <c r="B20" i="14"/>
  <c r="D20" i="14"/>
  <c r="F20" i="14"/>
  <c r="H20" i="14"/>
  <c r="J20" i="14"/>
  <c r="L20" i="14"/>
  <c r="N20" i="14"/>
  <c r="P20" i="14"/>
  <c r="R20" i="14"/>
  <c r="T20" i="14"/>
  <c r="V20" i="14"/>
  <c r="X20" i="14"/>
  <c r="B21" i="14"/>
  <c r="D21" i="14"/>
  <c r="F21" i="14"/>
  <c r="H21" i="14"/>
  <c r="J21" i="14"/>
  <c r="L21" i="14"/>
  <c r="N21" i="14"/>
  <c r="P21" i="14"/>
  <c r="R21" i="14"/>
  <c r="T21" i="14"/>
  <c r="V21" i="14"/>
  <c r="X21" i="14"/>
  <c r="B14" i="13"/>
  <c r="D14" i="13"/>
  <c r="F14" i="13"/>
  <c r="H14" i="13"/>
  <c r="J14" i="13"/>
  <c r="L14" i="13"/>
  <c r="N14" i="13"/>
  <c r="P14" i="13"/>
  <c r="R14" i="13"/>
  <c r="T14" i="13"/>
  <c r="V14" i="13"/>
  <c r="X14" i="13"/>
  <c r="B15" i="13"/>
  <c r="D15" i="13"/>
  <c r="F15" i="13"/>
  <c r="H15" i="13"/>
  <c r="J15" i="13"/>
  <c r="L15" i="13"/>
  <c r="N15" i="13"/>
  <c r="P15" i="13"/>
  <c r="R15" i="13"/>
  <c r="T15" i="13"/>
  <c r="V15" i="13"/>
  <c r="X15" i="13"/>
  <c r="B16" i="13"/>
  <c r="D16" i="13"/>
  <c r="F16" i="13"/>
  <c r="H16" i="13"/>
  <c r="J16" i="13"/>
  <c r="L16" i="13"/>
  <c r="N16" i="13"/>
  <c r="P16" i="13"/>
  <c r="R16" i="13"/>
  <c r="T16" i="13"/>
  <c r="V16" i="13"/>
  <c r="X16" i="13"/>
  <c r="B17" i="13"/>
  <c r="D17" i="13"/>
  <c r="F17" i="13"/>
  <c r="H17" i="13"/>
  <c r="J17" i="13"/>
  <c r="L17" i="13"/>
  <c r="N17" i="13"/>
  <c r="P17" i="13"/>
  <c r="R17" i="13"/>
  <c r="T17" i="13"/>
  <c r="V17" i="13"/>
  <c r="X17" i="13"/>
  <c r="B18" i="13"/>
  <c r="D18" i="13"/>
  <c r="F18" i="13"/>
  <c r="H18" i="13"/>
  <c r="J18" i="13"/>
  <c r="L18" i="13"/>
  <c r="N18" i="13"/>
  <c r="P18" i="13"/>
  <c r="R18" i="13"/>
  <c r="T18" i="13"/>
  <c r="V18" i="13"/>
  <c r="X18" i="13"/>
  <c r="B19" i="13"/>
  <c r="D19" i="13"/>
  <c r="F19" i="13"/>
  <c r="H19" i="13"/>
  <c r="J19" i="13"/>
  <c r="L19" i="13"/>
  <c r="N19" i="13"/>
  <c r="P19" i="13"/>
  <c r="R19" i="13"/>
  <c r="T19" i="13"/>
  <c r="V19" i="13"/>
  <c r="X19" i="13"/>
  <c r="B20" i="13"/>
  <c r="D20" i="13"/>
  <c r="F20" i="13"/>
  <c r="H20" i="13"/>
  <c r="J20" i="13"/>
  <c r="L20" i="13"/>
  <c r="N20" i="13"/>
  <c r="P20" i="13"/>
  <c r="R20" i="13"/>
  <c r="T20" i="13"/>
  <c r="V20" i="13"/>
  <c r="X20" i="13"/>
  <c r="B21" i="13"/>
  <c r="D21" i="13"/>
  <c r="F21" i="13"/>
  <c r="H21" i="13"/>
  <c r="J21" i="13"/>
  <c r="L21" i="13"/>
  <c r="N21" i="13"/>
  <c r="P21" i="13"/>
  <c r="R21" i="13"/>
  <c r="T21" i="13"/>
  <c r="V21" i="13"/>
  <c r="X21" i="13"/>
  <c r="B32" i="14"/>
  <c r="D32" i="14"/>
  <c r="F32" i="14"/>
  <c r="H32" i="14"/>
  <c r="J32" i="14"/>
  <c r="L32" i="14"/>
  <c r="N32" i="14"/>
  <c r="P32" i="14"/>
  <c r="R32" i="14"/>
  <c r="T32" i="14"/>
  <c r="V32" i="14"/>
  <c r="X32" i="14"/>
  <c r="B33" i="14"/>
  <c r="D33" i="14"/>
  <c r="F33" i="14"/>
  <c r="H33" i="14"/>
  <c r="J33" i="14"/>
  <c r="L33" i="14"/>
  <c r="N33" i="14"/>
  <c r="P33" i="14"/>
  <c r="R33" i="14"/>
  <c r="T33" i="14"/>
  <c r="V33" i="14"/>
  <c r="X33" i="14"/>
  <c r="B34" i="14"/>
  <c r="D34" i="14"/>
  <c r="F34" i="14"/>
  <c r="H34" i="14"/>
  <c r="J34" i="14"/>
  <c r="L34" i="14"/>
  <c r="N34" i="14"/>
  <c r="P34" i="14"/>
  <c r="R34" i="14"/>
  <c r="T34" i="14"/>
  <c r="V34" i="14"/>
  <c r="X34" i="14"/>
  <c r="B35" i="14"/>
  <c r="D35" i="14"/>
  <c r="F35" i="14"/>
  <c r="H35" i="14"/>
  <c r="J35" i="14"/>
  <c r="L35" i="14"/>
  <c r="N35" i="14"/>
  <c r="P35" i="14"/>
  <c r="R35" i="14"/>
  <c r="T35" i="14"/>
  <c r="V35" i="14"/>
  <c r="X35" i="14"/>
  <c r="B36" i="14"/>
  <c r="D36" i="14"/>
  <c r="F36" i="14"/>
  <c r="H36" i="14"/>
  <c r="J36" i="14"/>
  <c r="L36" i="14"/>
  <c r="N36" i="14"/>
  <c r="P36" i="14"/>
  <c r="R36" i="14"/>
  <c r="T36" i="14"/>
  <c r="V36" i="14"/>
  <c r="X36" i="14"/>
  <c r="B37" i="14"/>
  <c r="D37" i="14"/>
  <c r="F37" i="14"/>
  <c r="H37" i="14"/>
  <c r="J37" i="14"/>
  <c r="L37" i="14"/>
  <c r="N37" i="14"/>
  <c r="P37" i="14"/>
  <c r="R37" i="14"/>
  <c r="T37" i="14"/>
  <c r="V37" i="14"/>
  <c r="X37" i="14"/>
  <c r="B38" i="14"/>
  <c r="D38" i="14"/>
  <c r="F38" i="14"/>
  <c r="H38" i="14"/>
  <c r="J38" i="14"/>
  <c r="L38" i="14"/>
  <c r="N38" i="14"/>
  <c r="P38" i="14"/>
  <c r="R38" i="14"/>
  <c r="T38" i="14"/>
  <c r="V38" i="14"/>
  <c r="X38" i="14"/>
  <c r="B39" i="14"/>
  <c r="D39" i="14"/>
  <c r="F39" i="14"/>
  <c r="H39" i="14"/>
  <c r="J39" i="14"/>
  <c r="L39" i="14"/>
  <c r="N39" i="14"/>
  <c r="P39" i="14"/>
  <c r="R39" i="14"/>
  <c r="T39" i="14"/>
  <c r="V39" i="14"/>
  <c r="X39" i="14"/>
  <c r="X39" i="13"/>
  <c r="X38" i="13"/>
  <c r="X37" i="13"/>
  <c r="X36" i="13"/>
  <c r="X35" i="13"/>
  <c r="X34" i="13"/>
  <c r="X33" i="13"/>
  <c r="X32" i="13"/>
  <c r="V39" i="13"/>
  <c r="V38" i="13"/>
  <c r="V37" i="13"/>
  <c r="V36" i="13"/>
  <c r="V35" i="13"/>
  <c r="V34" i="13"/>
  <c r="V33" i="13"/>
  <c r="V32" i="13"/>
  <c r="T39" i="13"/>
  <c r="T38" i="13"/>
  <c r="T37" i="13"/>
  <c r="T36" i="13"/>
  <c r="T35" i="13"/>
  <c r="T34" i="13"/>
  <c r="T33" i="13"/>
  <c r="T32" i="13"/>
  <c r="R39" i="13"/>
  <c r="R38" i="13"/>
  <c r="R37" i="13"/>
  <c r="R36" i="13"/>
  <c r="R35" i="13"/>
  <c r="R34" i="13"/>
  <c r="R33" i="13"/>
  <c r="R32" i="13"/>
  <c r="P39" i="13"/>
  <c r="P38" i="13"/>
  <c r="P37" i="13"/>
  <c r="P36" i="13"/>
  <c r="P35" i="13"/>
  <c r="P34" i="13"/>
  <c r="P33" i="13"/>
  <c r="P32" i="13"/>
  <c r="N39" i="13"/>
  <c r="N38" i="13"/>
  <c r="N37" i="13"/>
  <c r="N36" i="13"/>
  <c r="N35" i="13"/>
  <c r="N34" i="13"/>
  <c r="N33" i="13"/>
  <c r="N32" i="13"/>
  <c r="L39" i="13"/>
  <c r="L38" i="13"/>
  <c r="L37" i="13"/>
  <c r="L36" i="13"/>
  <c r="L35" i="13"/>
  <c r="L34" i="13"/>
  <c r="L33" i="13"/>
  <c r="L32" i="13"/>
  <c r="J39" i="13"/>
  <c r="J38" i="13"/>
  <c r="J37" i="13"/>
  <c r="J36" i="13"/>
  <c r="J35" i="13"/>
  <c r="J34" i="13"/>
  <c r="J33" i="13"/>
  <c r="J32" i="13"/>
  <c r="H39" i="13"/>
  <c r="H38" i="13"/>
  <c r="H37" i="13"/>
  <c r="H36" i="13"/>
  <c r="H35" i="13"/>
  <c r="H34" i="13"/>
  <c r="H33" i="13"/>
  <c r="H32" i="13"/>
  <c r="F39" i="13"/>
  <c r="F38" i="13"/>
  <c r="F37" i="13"/>
  <c r="F36" i="13"/>
  <c r="F35" i="13"/>
  <c r="F34" i="13"/>
  <c r="F33" i="13"/>
  <c r="F32" i="13"/>
  <c r="D39" i="13"/>
  <c r="D38" i="13"/>
  <c r="D37" i="13"/>
  <c r="D36" i="13"/>
  <c r="D35" i="13"/>
  <c r="D34" i="13"/>
  <c r="D33" i="13"/>
  <c r="D32" i="13"/>
  <c r="B33" i="13"/>
  <c r="B34" i="13"/>
  <c r="B35" i="13"/>
  <c r="B36" i="13"/>
  <c r="B37" i="13"/>
  <c r="B38" i="13"/>
  <c r="B39" i="13"/>
  <c r="B32" i="13"/>
  <c r="E303" i="7"/>
  <c r="E302" i="7"/>
  <c r="Z714" i="6"/>
  <c r="S714" i="6"/>
  <c r="Z691" i="6"/>
  <c r="S691" i="6"/>
  <c r="Z686" i="6"/>
  <c r="S686" i="6"/>
  <c r="Z680" i="6"/>
  <c r="S680" i="6"/>
  <c r="E301" i="7"/>
  <c r="E8" i="28"/>
  <c r="F8" i="28"/>
  <c r="E13" i="28"/>
  <c r="E5" i="28"/>
  <c r="E14" i="28"/>
  <c r="E4" i="28"/>
  <c r="F4" i="28"/>
  <c r="E2" i="28"/>
  <c r="C14" i="28"/>
  <c r="C13" i="28"/>
  <c r="C3" i="28"/>
  <c r="E3" i="28"/>
  <c r="F3" i="28"/>
  <c r="D3" i="28"/>
  <c r="C4" i="28"/>
  <c r="D4" i="28"/>
  <c r="D5" i="28"/>
  <c r="C8" i="28"/>
  <c r="D8" i="28"/>
  <c r="C2" i="28"/>
  <c r="C5" i="28"/>
  <c r="C9" i="28"/>
  <c r="H300" i="7"/>
  <c r="G300" i="7"/>
  <c r="E300" i="7"/>
  <c r="Z704" i="6"/>
  <c r="S704" i="6"/>
  <c r="Z670" i="6"/>
  <c r="S670" i="6"/>
  <c r="Z696" i="6"/>
  <c r="S696" i="6"/>
  <c r="Z666" i="6"/>
  <c r="S666" i="6"/>
  <c r="Z656" i="6"/>
  <c r="S656" i="6"/>
  <c r="Z653" i="6"/>
  <c r="S653" i="6"/>
  <c r="E54" i="21"/>
  <c r="K54" i="21"/>
  <c r="D54" i="21"/>
  <c r="C54" i="21"/>
  <c r="E298" i="7"/>
  <c r="G299" i="7"/>
  <c r="T50" i="23"/>
  <c r="E299" i="7"/>
  <c r="L244" i="27"/>
  <c r="L243" i="27"/>
  <c r="J2" i="27"/>
  <c r="J3" i="27"/>
  <c r="J243" i="27"/>
  <c r="J244" i="27"/>
  <c r="J4" i="27"/>
  <c r="J6" i="27"/>
  <c r="J7" i="27"/>
  <c r="J8" i="27"/>
  <c r="J10" i="27"/>
  <c r="J11" i="27"/>
  <c r="J12" i="27"/>
  <c r="J13" i="27"/>
  <c r="J14" i="27"/>
  <c r="J15" i="27"/>
  <c r="J16" i="27"/>
  <c r="J17" i="27"/>
  <c r="J20" i="27"/>
  <c r="J21" i="27"/>
  <c r="J23" i="27"/>
  <c r="J24" i="27"/>
  <c r="J25" i="27"/>
  <c r="J26" i="27"/>
  <c r="J27" i="27"/>
  <c r="J28" i="27"/>
  <c r="J29" i="27"/>
  <c r="J30" i="27"/>
  <c r="J31" i="27"/>
  <c r="J32" i="27"/>
  <c r="J33" i="27"/>
  <c r="J34" i="27"/>
  <c r="J35" i="27"/>
  <c r="J36" i="27"/>
  <c r="J37" i="27"/>
  <c r="J38" i="27"/>
  <c r="J39" i="27"/>
  <c r="J40" i="27"/>
  <c r="J41" i="27"/>
  <c r="J42" i="27"/>
  <c r="J44" i="27"/>
  <c r="J45" i="27"/>
  <c r="J46" i="27"/>
  <c r="J47" i="27"/>
  <c r="J48" i="27"/>
  <c r="J49" i="27"/>
  <c r="J50" i="27"/>
  <c r="J51" i="27"/>
  <c r="J52" i="27"/>
  <c r="J53" i="27"/>
  <c r="J54" i="27"/>
  <c r="J55" i="27"/>
  <c r="J56" i="27"/>
  <c r="J57" i="27"/>
  <c r="J58" i="27"/>
  <c r="J59" i="27"/>
  <c r="J60" i="27"/>
  <c r="J61" i="27"/>
  <c r="J62" i="27"/>
  <c r="J63" i="27"/>
  <c r="J64" i="27"/>
  <c r="J65" i="27"/>
  <c r="J66" i="27"/>
  <c r="J67" i="27"/>
  <c r="J68" i="27"/>
  <c r="J69" i="27"/>
  <c r="J70" i="27"/>
  <c r="J71" i="27"/>
  <c r="J72" i="27"/>
  <c r="J73" i="27"/>
  <c r="J74" i="27"/>
  <c r="J75" i="27"/>
  <c r="J76" i="27"/>
  <c r="J77" i="27"/>
  <c r="J79" i="27"/>
  <c r="J80" i="27"/>
  <c r="J82" i="27"/>
  <c r="J83" i="27"/>
  <c r="J84" i="27"/>
  <c r="J85" i="27"/>
  <c r="J86" i="27"/>
  <c r="J88" i="27"/>
  <c r="J89" i="27"/>
  <c r="J90" i="27"/>
  <c r="J91" i="27"/>
  <c r="J92" i="27"/>
  <c r="J93" i="27"/>
  <c r="J94" i="27"/>
  <c r="J95" i="27"/>
  <c r="J96" i="27"/>
  <c r="J97" i="27"/>
  <c r="J98" i="27"/>
  <c r="J99" i="27"/>
  <c r="J100" i="27"/>
  <c r="J101" i="27"/>
  <c r="J103" i="27"/>
  <c r="J104" i="27"/>
  <c r="J106" i="27"/>
  <c r="J107" i="27"/>
  <c r="J108" i="27"/>
  <c r="J109" i="27"/>
  <c r="J110" i="27"/>
  <c r="J111" i="27"/>
  <c r="J112" i="27"/>
  <c r="J113" i="27"/>
  <c r="J114" i="27"/>
  <c r="J115" i="27"/>
  <c r="J116" i="27"/>
  <c r="J117" i="27"/>
  <c r="J118" i="27"/>
  <c r="J119" i="27"/>
  <c r="J120" i="27"/>
  <c r="J121" i="27"/>
  <c r="J122" i="27"/>
  <c r="J123" i="27"/>
  <c r="J124" i="27"/>
  <c r="J125" i="27"/>
  <c r="J126" i="27"/>
  <c r="J128" i="27"/>
  <c r="J129" i="27"/>
  <c r="J130" i="27"/>
  <c r="J132" i="27"/>
  <c r="J133" i="27"/>
  <c r="J134" i="27"/>
  <c r="J135" i="27"/>
  <c r="J136" i="27"/>
  <c r="J139" i="27"/>
  <c r="J140" i="27"/>
  <c r="J141" i="27"/>
  <c r="J142" i="27"/>
  <c r="J143" i="27"/>
  <c r="J144" i="27"/>
  <c r="J145" i="27"/>
  <c r="J146" i="27"/>
  <c r="J147" i="27"/>
  <c r="J148" i="27"/>
  <c r="J151" i="27"/>
  <c r="J153" i="27"/>
  <c r="J155" i="27"/>
  <c r="J156" i="27"/>
  <c r="J158" i="27"/>
  <c r="J159" i="27"/>
  <c r="J160" i="27"/>
  <c r="J161" i="27"/>
  <c r="J162" i="27"/>
  <c r="J163" i="27"/>
  <c r="J164" i="27"/>
  <c r="J165" i="27"/>
  <c r="J167" i="27"/>
  <c r="J169" i="27"/>
  <c r="J170" i="27"/>
  <c r="J171" i="27"/>
  <c r="J172" i="27"/>
  <c r="J173" i="27"/>
  <c r="J174" i="27"/>
  <c r="J176" i="27"/>
  <c r="J177" i="27"/>
  <c r="J178" i="27"/>
  <c r="J179" i="27"/>
  <c r="J181" i="27"/>
  <c r="J182" i="27"/>
  <c r="J183" i="27"/>
  <c r="J184" i="27"/>
  <c r="J186" i="27"/>
  <c r="J187" i="27"/>
  <c r="J188" i="27"/>
  <c r="J189" i="27"/>
  <c r="J190" i="27"/>
  <c r="J191" i="27"/>
  <c r="J192" i="27"/>
  <c r="J193" i="27"/>
  <c r="J194" i="27"/>
  <c r="J195" i="27"/>
  <c r="J196" i="27"/>
  <c r="J197" i="27"/>
  <c r="J198" i="27"/>
  <c r="J199" i="27"/>
  <c r="J200" i="27"/>
  <c r="J201" i="27"/>
  <c r="J202" i="27"/>
  <c r="J203" i="27"/>
  <c r="J204" i="27"/>
  <c r="J205" i="27"/>
  <c r="J206" i="27"/>
  <c r="J207" i="27"/>
  <c r="J208" i="27"/>
  <c r="J209" i="27"/>
  <c r="J211" i="27"/>
  <c r="J214" i="27"/>
  <c r="J215" i="27"/>
  <c r="J216" i="27"/>
  <c r="J217" i="27"/>
  <c r="J218" i="27"/>
  <c r="J219" i="27"/>
  <c r="J220" i="27"/>
  <c r="J221" i="27"/>
  <c r="J222" i="27"/>
  <c r="J223" i="27"/>
  <c r="J224" i="27"/>
  <c r="J226" i="27"/>
  <c r="J229" i="27"/>
  <c r="J231" i="27"/>
  <c r="J232" i="27"/>
  <c r="J233" i="27"/>
  <c r="J234" i="27"/>
  <c r="J235" i="27"/>
  <c r="J237" i="27"/>
  <c r="J238" i="27"/>
  <c r="J5" i="27"/>
  <c r="J9" i="27"/>
  <c r="J18" i="27"/>
  <c r="J19" i="27"/>
  <c r="J22" i="27"/>
  <c r="J43" i="27"/>
  <c r="J78" i="27"/>
  <c r="J81" i="27"/>
  <c r="J87" i="27"/>
  <c r="J102" i="27"/>
  <c r="J105" i="27"/>
  <c r="J127" i="27"/>
  <c r="J131" i="27"/>
  <c r="J137" i="27"/>
  <c r="J138" i="27"/>
  <c r="J149" i="27"/>
  <c r="J150" i="27"/>
  <c r="J152" i="27"/>
  <c r="J154" i="27"/>
  <c r="J157" i="27"/>
  <c r="J166" i="27"/>
  <c r="J168" i="27"/>
  <c r="J175" i="27"/>
  <c r="J180" i="27"/>
  <c r="J185" i="27"/>
  <c r="J210" i="27"/>
  <c r="J212" i="27"/>
  <c r="J213" i="27"/>
  <c r="J225" i="27"/>
  <c r="J227" i="27"/>
  <c r="J228" i="27"/>
  <c r="J230" i="27"/>
  <c r="J236" i="27"/>
  <c r="J239" i="27"/>
  <c r="J240" i="27"/>
  <c r="J241" i="27"/>
  <c r="I243" i="27"/>
  <c r="M241" i="27"/>
  <c r="M240" i="27"/>
  <c r="M239" i="27"/>
  <c r="M238" i="27"/>
  <c r="M237" i="27"/>
  <c r="M236" i="27"/>
  <c r="M235" i="27"/>
  <c r="M234" i="27"/>
  <c r="M233" i="27"/>
  <c r="M232" i="27"/>
  <c r="M230" i="27"/>
  <c r="M229" i="27"/>
  <c r="M228" i="27"/>
  <c r="M227" i="27"/>
  <c r="M226" i="27"/>
  <c r="M225" i="27"/>
  <c r="M224" i="27"/>
  <c r="M223" i="27"/>
  <c r="M222" i="27"/>
  <c r="M220" i="27"/>
  <c r="M219" i="27"/>
  <c r="M218" i="27"/>
  <c r="M217" i="27"/>
  <c r="M216" i="27"/>
  <c r="M215" i="27"/>
  <c r="M214" i="27"/>
  <c r="M213" i="27"/>
  <c r="M212" i="27"/>
  <c r="M211" i="27"/>
  <c r="M210" i="27"/>
  <c r="M209" i="27"/>
  <c r="M208" i="27"/>
  <c r="M207" i="27"/>
  <c r="M206" i="27"/>
  <c r="M205" i="27"/>
  <c r="M203" i="27"/>
  <c r="M202" i="27"/>
  <c r="M201" i="27"/>
  <c r="M200" i="27"/>
  <c r="M199" i="27"/>
  <c r="M198" i="27"/>
  <c r="M197" i="27"/>
  <c r="M196" i="27"/>
  <c r="M195" i="27"/>
  <c r="M194" i="27"/>
  <c r="M193" i="27"/>
  <c r="M192" i="27"/>
  <c r="M191" i="27"/>
  <c r="M190" i="27"/>
  <c r="M189" i="27"/>
  <c r="M188" i="27"/>
  <c r="M187" i="27"/>
  <c r="M186" i="27"/>
  <c r="M185" i="27"/>
  <c r="M184" i="27"/>
  <c r="M183" i="27"/>
  <c r="M182" i="27"/>
  <c r="M181" i="27"/>
  <c r="M180" i="27"/>
  <c r="M179" i="27"/>
  <c r="M178" i="27"/>
  <c r="M177" i="27"/>
  <c r="M176" i="27"/>
  <c r="M175" i="27"/>
  <c r="M174" i="27"/>
  <c r="M173" i="27"/>
  <c r="M172" i="27"/>
  <c r="M171" i="27"/>
  <c r="M170" i="27"/>
  <c r="M169" i="27"/>
  <c r="M168" i="27"/>
  <c r="M167" i="27"/>
  <c r="M166" i="27"/>
  <c r="M165" i="27"/>
  <c r="M164" i="27"/>
  <c r="M163" i="27"/>
  <c r="M162" i="27"/>
  <c r="M161" i="27"/>
  <c r="M160" i="27"/>
  <c r="M159" i="27"/>
  <c r="M158" i="27"/>
  <c r="M157" i="27"/>
  <c r="M156" i="27"/>
  <c r="M155" i="27"/>
  <c r="M154" i="27"/>
  <c r="M153" i="27"/>
  <c r="M152" i="27"/>
  <c r="M151" i="27"/>
  <c r="M150" i="27"/>
  <c r="M149" i="27"/>
  <c r="M148" i="27"/>
  <c r="M147" i="27"/>
  <c r="M146" i="27"/>
  <c r="M145" i="27"/>
  <c r="M144" i="27"/>
  <c r="M143" i="27"/>
  <c r="M142" i="27"/>
  <c r="M141" i="27"/>
  <c r="M140" i="27"/>
  <c r="M139" i="27"/>
  <c r="M138" i="27"/>
  <c r="M137" i="27"/>
  <c r="M136" i="27"/>
  <c r="M135" i="27"/>
  <c r="M134" i="27"/>
  <c r="M133" i="27"/>
  <c r="M132" i="27"/>
  <c r="M131" i="27"/>
  <c r="M130" i="27"/>
  <c r="M129" i="27"/>
  <c r="M128" i="27"/>
  <c r="M127" i="27"/>
  <c r="M126" i="27"/>
  <c r="M125" i="27"/>
  <c r="M124" i="27"/>
  <c r="M123" i="27"/>
  <c r="M122" i="27"/>
  <c r="M121" i="27"/>
  <c r="M120" i="27"/>
  <c r="M119" i="27"/>
  <c r="M118" i="27"/>
  <c r="M117" i="27"/>
  <c r="M116" i="27"/>
  <c r="M115" i="27"/>
  <c r="M114" i="27"/>
  <c r="M113" i="27"/>
  <c r="M112" i="27"/>
  <c r="M111" i="27"/>
  <c r="M110" i="27"/>
  <c r="M109" i="27"/>
  <c r="M108" i="27"/>
  <c r="M107" i="27"/>
  <c r="M106" i="27"/>
  <c r="M105" i="27"/>
  <c r="M104" i="27"/>
  <c r="M103" i="27"/>
  <c r="M102" i="27"/>
  <c r="M101" i="27"/>
  <c r="M100" i="27"/>
  <c r="M99" i="27"/>
  <c r="M98" i="27"/>
  <c r="M97" i="27"/>
  <c r="M96" i="27"/>
  <c r="M95" i="27"/>
  <c r="M94" i="27"/>
  <c r="M93" i="27"/>
  <c r="M92" i="27"/>
  <c r="M91" i="27"/>
  <c r="M90" i="27"/>
  <c r="M89" i="27"/>
  <c r="M88" i="27"/>
  <c r="M87" i="27"/>
  <c r="M86" i="27"/>
  <c r="M85" i="27"/>
  <c r="M84" i="27"/>
  <c r="M83" i="27"/>
  <c r="M82" i="27"/>
  <c r="M81" i="27"/>
  <c r="M80" i="27"/>
  <c r="M79" i="27"/>
  <c r="M78" i="27"/>
  <c r="M77" i="27"/>
  <c r="M76" i="27"/>
  <c r="M75" i="27"/>
  <c r="M74" i="27"/>
  <c r="M73" i="27"/>
  <c r="M72" i="27"/>
  <c r="M71" i="27"/>
  <c r="M70" i="27"/>
  <c r="M69" i="27"/>
  <c r="M68" i="27"/>
  <c r="M67" i="27"/>
  <c r="M66" i="27"/>
  <c r="M65" i="27"/>
  <c r="M64" i="27"/>
  <c r="M63" i="27"/>
  <c r="M62" i="27"/>
  <c r="M61" i="27"/>
  <c r="M60" i="27"/>
  <c r="M59" i="27"/>
  <c r="M58" i="27"/>
  <c r="M57" i="27"/>
  <c r="M56" i="27"/>
  <c r="M55" i="27"/>
  <c r="M54" i="27"/>
  <c r="M53" i="27"/>
  <c r="M52" i="27"/>
  <c r="M51" i="27"/>
  <c r="M50" i="27"/>
  <c r="M49" i="27"/>
  <c r="M48" i="27"/>
  <c r="M47" i="27"/>
  <c r="M46" i="27"/>
  <c r="M45" i="27"/>
  <c r="M44" i="27"/>
  <c r="M43" i="27"/>
  <c r="M42" i="27"/>
  <c r="M41" i="27"/>
  <c r="M40" i="27"/>
  <c r="M39" i="27"/>
  <c r="M38" i="27"/>
  <c r="M37" i="27"/>
  <c r="M36" i="27"/>
  <c r="M35" i="27"/>
  <c r="M34" i="27"/>
  <c r="M33" i="27"/>
  <c r="M32" i="27"/>
  <c r="M31" i="27"/>
  <c r="M30" i="27"/>
  <c r="M29" i="27"/>
  <c r="M28" i="27"/>
  <c r="M27" i="27"/>
  <c r="M26" i="27"/>
  <c r="M25" i="27"/>
  <c r="M24" i="27"/>
  <c r="M23" i="27"/>
  <c r="M22" i="27"/>
  <c r="M21" i="27"/>
  <c r="M20" i="27"/>
  <c r="M19" i="27"/>
  <c r="M18" i="27"/>
  <c r="M17" i="27"/>
  <c r="M16" i="27"/>
  <c r="M15" i="27"/>
  <c r="M14" i="27"/>
  <c r="M13" i="27"/>
  <c r="M12" i="27"/>
  <c r="M11" i="27"/>
  <c r="M10" i="27"/>
  <c r="M9" i="27"/>
  <c r="M8" i="27"/>
  <c r="M7" i="27"/>
  <c r="M6" i="27"/>
  <c r="M5" i="27"/>
  <c r="M4" i="27"/>
  <c r="M3" i="27"/>
  <c r="M2" i="27"/>
  <c r="Z642" i="6"/>
  <c r="S642" i="6"/>
  <c r="I53" i="21"/>
  <c r="E297" i="7"/>
  <c r="G296" i="7"/>
  <c r="E296" i="7"/>
  <c r="Z685" i="6"/>
  <c r="S685" i="6"/>
  <c r="Z678" i="6"/>
  <c r="S678" i="6"/>
  <c r="S637" i="6"/>
  <c r="Z637" i="6"/>
  <c r="Z701" i="6"/>
  <c r="S701" i="6"/>
  <c r="Z699" i="6"/>
  <c r="S699" i="6"/>
  <c r="Z695" i="6"/>
  <c r="S695" i="6"/>
  <c r="Z694" i="6"/>
  <c r="S694" i="6"/>
  <c r="Z693" i="6"/>
  <c r="S693" i="6"/>
  <c r="S690" i="6"/>
  <c r="Z690" i="6"/>
  <c r="Z675" i="6"/>
  <c r="S675" i="6"/>
  <c r="Z668" i="6"/>
  <c r="S668" i="6"/>
  <c r="Z664" i="6"/>
  <c r="S664" i="6"/>
  <c r="E251" i="7"/>
  <c r="E295" i="7"/>
  <c r="E294" i="7"/>
  <c r="E291" i="7"/>
  <c r="E293" i="7"/>
  <c r="Z652" i="6"/>
  <c r="S652" i="6"/>
  <c r="Z646" i="6"/>
  <c r="S646" i="6"/>
  <c r="Z640" i="6"/>
  <c r="S640" i="6"/>
  <c r="Z674" i="6"/>
  <c r="S674" i="6"/>
  <c r="Z673" i="6"/>
  <c r="S673" i="6"/>
  <c r="Z672" i="6"/>
  <c r="S672" i="6"/>
  <c r="Z671" i="6"/>
  <c r="S671" i="6"/>
  <c r="Z669" i="6"/>
  <c r="S669" i="6"/>
  <c r="Z665" i="6"/>
  <c r="S665" i="6"/>
  <c r="Z663" i="6"/>
  <c r="S663" i="6"/>
  <c r="Z662" i="6"/>
  <c r="S662" i="6"/>
  <c r="Z661" i="6"/>
  <c r="S661" i="6"/>
  <c r="Z660" i="6"/>
  <c r="S660" i="6"/>
  <c r="Z659" i="6"/>
  <c r="S659" i="6"/>
  <c r="Z658" i="6"/>
  <c r="S658" i="6"/>
  <c r="E292" i="7"/>
  <c r="E290" i="7"/>
  <c r="E289" i="7"/>
  <c r="Z650" i="6"/>
  <c r="S650" i="6"/>
  <c r="Z641" i="6"/>
  <c r="S641" i="6"/>
  <c r="Z638" i="6"/>
  <c r="S638" i="6"/>
  <c r="Z654" i="6"/>
  <c r="S654" i="6"/>
  <c r="Z649" i="6"/>
  <c r="S649" i="6"/>
  <c r="Z647" i="6"/>
  <c r="S647" i="6"/>
  <c r="Z644" i="6"/>
  <c r="S644" i="6"/>
  <c r="Z643" i="6"/>
  <c r="S643" i="6"/>
  <c r="E288" i="7"/>
  <c r="Z621" i="6"/>
  <c r="S621" i="6"/>
  <c r="Z651" i="6"/>
  <c r="S651" i="6"/>
  <c r="Z645" i="6"/>
  <c r="S645" i="6"/>
  <c r="Z639" i="6"/>
  <c r="S639" i="6"/>
  <c r="Z636" i="6"/>
  <c r="S636" i="6"/>
  <c r="Z628" i="6"/>
  <c r="S628" i="6"/>
  <c r="E281" i="7"/>
  <c r="E282" i="7"/>
  <c r="E287" i="7"/>
  <c r="E286" i="7"/>
  <c r="Z635" i="6"/>
  <c r="S635" i="6"/>
  <c r="Z630" i="6"/>
  <c r="S630" i="6"/>
  <c r="E285" i="7"/>
  <c r="E284" i="7"/>
  <c r="Z622" i="6"/>
  <c r="S622" i="6"/>
  <c r="E283" i="7"/>
  <c r="B42" i="23"/>
  <c r="D42" i="23"/>
  <c r="F42" i="23"/>
  <c r="H42" i="23"/>
  <c r="J42" i="23"/>
  <c r="L42" i="23"/>
  <c r="N42" i="23"/>
  <c r="P42" i="23"/>
  <c r="R42" i="23"/>
  <c r="T42" i="23"/>
  <c r="V42" i="23"/>
  <c r="X42" i="23"/>
  <c r="B43" i="23"/>
  <c r="D43" i="23"/>
  <c r="F43" i="23"/>
  <c r="H43" i="23"/>
  <c r="J43" i="23"/>
  <c r="L43" i="23"/>
  <c r="N43" i="23"/>
  <c r="P43" i="23"/>
  <c r="R43" i="23"/>
  <c r="T43" i="23"/>
  <c r="V43" i="23"/>
  <c r="X43" i="23"/>
  <c r="B44" i="23"/>
  <c r="D44" i="23"/>
  <c r="F44" i="23"/>
  <c r="H44" i="23"/>
  <c r="J44" i="23"/>
  <c r="L44" i="23"/>
  <c r="N44" i="23"/>
  <c r="P44" i="23"/>
  <c r="R44" i="23"/>
  <c r="T44" i="23"/>
  <c r="V44" i="23"/>
  <c r="X44" i="23"/>
  <c r="B45" i="23"/>
  <c r="D45" i="23"/>
  <c r="F45" i="23"/>
  <c r="H45" i="23"/>
  <c r="J45" i="23"/>
  <c r="L45" i="23"/>
  <c r="N45" i="23"/>
  <c r="P45" i="23"/>
  <c r="R45" i="23"/>
  <c r="T45" i="23"/>
  <c r="V45" i="23"/>
  <c r="X45" i="23"/>
  <c r="B46" i="23"/>
  <c r="D46" i="23"/>
  <c r="F46" i="23"/>
  <c r="H46" i="23"/>
  <c r="J46" i="23"/>
  <c r="L46" i="23"/>
  <c r="N46" i="23"/>
  <c r="P46" i="23"/>
  <c r="R46" i="23"/>
  <c r="T46" i="23"/>
  <c r="V46" i="23"/>
  <c r="X46" i="23"/>
  <c r="B47" i="23"/>
  <c r="D47" i="23"/>
  <c r="F47" i="23"/>
  <c r="H47" i="23"/>
  <c r="J47" i="23"/>
  <c r="L47" i="23"/>
  <c r="N47" i="23"/>
  <c r="P47" i="23"/>
  <c r="R47" i="23"/>
  <c r="T47" i="23"/>
  <c r="V47" i="23"/>
  <c r="X47" i="23"/>
  <c r="B48" i="23"/>
  <c r="D48" i="23"/>
  <c r="F48" i="23"/>
  <c r="H48" i="23"/>
  <c r="J48" i="23"/>
  <c r="L48" i="23"/>
  <c r="N48" i="23"/>
  <c r="P48" i="23"/>
  <c r="R48" i="23"/>
  <c r="R41" i="23"/>
  <c r="S48" i="23"/>
  <c r="T48" i="23"/>
  <c r="V48" i="23"/>
  <c r="X48" i="23"/>
  <c r="X41" i="23"/>
  <c r="Y47" i="23"/>
  <c r="D50" i="23"/>
  <c r="F50" i="23"/>
  <c r="J50" i="23"/>
  <c r="P50" i="23"/>
  <c r="R50" i="23"/>
  <c r="V50" i="23"/>
  <c r="X50" i="23"/>
  <c r="D51" i="23"/>
  <c r="F51" i="23"/>
  <c r="H51" i="23"/>
  <c r="J51" i="23"/>
  <c r="L51" i="23"/>
  <c r="N51" i="23"/>
  <c r="P51" i="23"/>
  <c r="R51" i="23"/>
  <c r="T51" i="23"/>
  <c r="V51" i="23"/>
  <c r="X51" i="23"/>
  <c r="B52" i="23"/>
  <c r="D52" i="23"/>
  <c r="F52" i="23"/>
  <c r="J52" i="23"/>
  <c r="L52" i="23"/>
  <c r="N52" i="23"/>
  <c r="P52" i="23"/>
  <c r="R52" i="23"/>
  <c r="T52" i="23"/>
  <c r="V52" i="23"/>
  <c r="X52" i="23"/>
  <c r="B53" i="23"/>
  <c r="D53" i="23"/>
  <c r="F53" i="23"/>
  <c r="H53" i="23"/>
  <c r="J53" i="23"/>
  <c r="L53" i="23"/>
  <c r="N53" i="23"/>
  <c r="P53" i="23"/>
  <c r="R53" i="23"/>
  <c r="T53" i="23"/>
  <c r="V53" i="23"/>
  <c r="X53" i="23"/>
  <c r="B54" i="23"/>
  <c r="D54" i="23"/>
  <c r="F54" i="23"/>
  <c r="H54" i="23"/>
  <c r="J54" i="23"/>
  <c r="L54" i="23"/>
  <c r="N54" i="23"/>
  <c r="P54" i="23"/>
  <c r="R54" i="23"/>
  <c r="T54" i="23"/>
  <c r="V54" i="23"/>
  <c r="X54" i="23"/>
  <c r="X57" i="23"/>
  <c r="B60" i="23"/>
  <c r="B59" i="23"/>
  <c r="B71" i="23"/>
  <c r="C71" i="23"/>
  <c r="D60" i="23"/>
  <c r="D59" i="23"/>
  <c r="D71" i="23"/>
  <c r="E71" i="23"/>
  <c r="F60" i="23"/>
  <c r="F59" i="23"/>
  <c r="F71" i="23"/>
  <c r="G71" i="23"/>
  <c r="H60" i="23"/>
  <c r="H59" i="23"/>
  <c r="I60" i="23"/>
  <c r="J60" i="23"/>
  <c r="J59" i="23"/>
  <c r="J71" i="23"/>
  <c r="K71" i="23"/>
  <c r="L60" i="23"/>
  <c r="L59" i="23"/>
  <c r="L71" i="23"/>
  <c r="M71" i="23"/>
  <c r="N60" i="23"/>
  <c r="N59" i="23"/>
  <c r="N71" i="23"/>
  <c r="O71" i="23"/>
  <c r="P60" i="23"/>
  <c r="P59" i="23"/>
  <c r="Q60" i="23"/>
  <c r="R60" i="23"/>
  <c r="R59" i="23"/>
  <c r="R71" i="23"/>
  <c r="S71" i="23"/>
  <c r="T60" i="23"/>
  <c r="T59" i="23"/>
  <c r="T71" i="23"/>
  <c r="U71" i="23"/>
  <c r="V60" i="23"/>
  <c r="V59" i="23"/>
  <c r="W60" i="23"/>
  <c r="X60" i="23"/>
  <c r="X59" i="23"/>
  <c r="Y60" i="23"/>
  <c r="B62" i="23"/>
  <c r="B72" i="23"/>
  <c r="C72" i="23"/>
  <c r="D62" i="23"/>
  <c r="D72" i="23"/>
  <c r="E72" i="23"/>
  <c r="F62" i="23"/>
  <c r="F72" i="23"/>
  <c r="G72" i="23"/>
  <c r="H62" i="23"/>
  <c r="H72" i="23"/>
  <c r="I72" i="23"/>
  <c r="J62" i="23"/>
  <c r="J72" i="23"/>
  <c r="K72" i="23"/>
  <c r="L62" i="23"/>
  <c r="L72" i="23"/>
  <c r="M72" i="23"/>
  <c r="P62" i="23"/>
  <c r="P72" i="23"/>
  <c r="Q72" i="23"/>
  <c r="R62" i="23"/>
  <c r="R72" i="23"/>
  <c r="S72" i="23"/>
  <c r="T62" i="23"/>
  <c r="T72" i="23"/>
  <c r="U72" i="23"/>
  <c r="V62" i="23"/>
  <c r="V72" i="23"/>
  <c r="W72" i="23"/>
  <c r="X62" i="23"/>
  <c r="X72" i="23"/>
  <c r="Y72" i="23"/>
  <c r="Z611" i="6"/>
  <c r="S611" i="6"/>
  <c r="Z634" i="6"/>
  <c r="S634" i="6"/>
  <c r="Z623" i="6"/>
  <c r="S623" i="6"/>
  <c r="Z627" i="6"/>
  <c r="S627" i="6"/>
  <c r="Z616" i="6"/>
  <c r="S616" i="6"/>
  <c r="Z613" i="6"/>
  <c r="S613" i="6"/>
  <c r="Z626" i="6"/>
  <c r="S626" i="6"/>
  <c r="Z625" i="6"/>
  <c r="S625" i="6"/>
  <c r="Z614" i="6"/>
  <c r="S614" i="6"/>
  <c r="Z676" i="6"/>
  <c r="S676" i="6"/>
  <c r="S667" i="6"/>
  <c r="Z667" i="6"/>
  <c r="E280" i="7"/>
  <c r="Z655" i="6"/>
  <c r="S655" i="6"/>
  <c r="Z633" i="6"/>
  <c r="S633" i="6"/>
  <c r="Z632" i="6"/>
  <c r="S632" i="6"/>
  <c r="Z620" i="6"/>
  <c r="S620" i="6"/>
  <c r="Z605" i="6"/>
  <c r="S605" i="6"/>
  <c r="E279" i="7"/>
  <c r="E278" i="7"/>
  <c r="E277" i="7"/>
  <c r="E276" i="7"/>
  <c r="Z606" i="6"/>
  <c r="S606" i="6"/>
  <c r="Z608" i="6"/>
  <c r="S608" i="6"/>
  <c r="S607" i="6"/>
  <c r="Z607" i="6"/>
  <c r="E275" i="7"/>
  <c r="E273" i="7"/>
  <c r="E272" i="7"/>
  <c r="E274" i="7"/>
  <c r="E271" i="7"/>
  <c r="E270" i="7"/>
  <c r="E262" i="7"/>
  <c r="E261" i="7"/>
  <c r="H269" i="7"/>
  <c r="N136" i="23"/>
  <c r="N146" i="23"/>
  <c r="O146" i="23"/>
  <c r="G269" i="7"/>
  <c r="N62" i="23"/>
  <c r="N72" i="23"/>
  <c r="O72" i="23"/>
  <c r="E269" i="7"/>
  <c r="Z624" i="6"/>
  <c r="S624" i="6"/>
  <c r="Z617" i="6"/>
  <c r="S617" i="6"/>
  <c r="Z609" i="6"/>
  <c r="S609" i="6"/>
  <c r="S602" i="6"/>
  <c r="Z602" i="6"/>
  <c r="E268" i="7"/>
  <c r="E267" i="7"/>
  <c r="E266" i="7"/>
  <c r="E265" i="7"/>
  <c r="G264" i="7"/>
  <c r="N50" i="23"/>
  <c r="E264" i="7"/>
  <c r="E263" i="7"/>
  <c r="E260" i="7"/>
  <c r="E259" i="7"/>
  <c r="E258" i="7"/>
  <c r="Z629" i="6"/>
  <c r="S629" i="6"/>
  <c r="Z619" i="6"/>
  <c r="S619" i="6"/>
  <c r="Z618" i="6"/>
  <c r="S618" i="6"/>
  <c r="Z615" i="6"/>
  <c r="S615" i="6"/>
  <c r="S590" i="6"/>
  <c r="Z590" i="6"/>
  <c r="S589" i="6"/>
  <c r="Z589" i="6"/>
  <c r="G257" i="7"/>
  <c r="L50" i="23"/>
  <c r="E257" i="7"/>
  <c r="E256" i="7"/>
  <c r="E255" i="7"/>
  <c r="Z601" i="6"/>
  <c r="S601" i="6"/>
  <c r="Z583" i="6"/>
  <c r="S583" i="6"/>
  <c r="Z582" i="6"/>
  <c r="S582" i="6"/>
  <c r="E254" i="7"/>
  <c r="E253" i="7"/>
  <c r="Z565" i="6"/>
  <c r="S565" i="6"/>
  <c r="Z585" i="6"/>
  <c r="S585" i="6"/>
  <c r="Z599" i="6"/>
  <c r="S599" i="6"/>
  <c r="S598" i="6"/>
  <c r="Z598" i="6"/>
  <c r="E252" i="7"/>
  <c r="E250" i="7"/>
  <c r="E249" i="7"/>
  <c r="Z604" i="6"/>
  <c r="S604" i="6"/>
  <c r="Z594" i="6"/>
  <c r="S594" i="6"/>
  <c r="Z595" i="6"/>
  <c r="S595" i="6"/>
  <c r="Z566" i="6"/>
  <c r="S566" i="6"/>
  <c r="S564" i="6"/>
  <c r="Z564" i="6"/>
  <c r="S562" i="6"/>
  <c r="Z562" i="6"/>
  <c r="Z631" i="6"/>
  <c r="S631" i="6"/>
  <c r="Z597" i="6"/>
  <c r="S597" i="6"/>
  <c r="Z591" i="6"/>
  <c r="S591" i="6"/>
  <c r="Z588" i="6"/>
  <c r="S588" i="6"/>
  <c r="S612" i="6"/>
  <c r="Z612" i="6"/>
  <c r="S580" i="6"/>
  <c r="Z580" i="6"/>
  <c r="S568" i="6"/>
  <c r="Z568" i="6"/>
  <c r="S563" i="6"/>
  <c r="Z563" i="6"/>
  <c r="S586" i="6"/>
  <c r="Z586" i="6"/>
  <c r="S575" i="6"/>
  <c r="Z575" i="6"/>
  <c r="S569" i="6"/>
  <c r="Z569" i="6"/>
  <c r="E248" i="7"/>
  <c r="E247" i="7"/>
  <c r="S549" i="6"/>
  <c r="Z549" i="6"/>
  <c r="S567" i="6"/>
  <c r="Z567" i="6"/>
  <c r="S560" i="6"/>
  <c r="Z560" i="6"/>
  <c r="S576" i="6"/>
  <c r="Z576" i="6"/>
  <c r="S550" i="6"/>
  <c r="Z550" i="6"/>
  <c r="E246" i="7"/>
  <c r="E245" i="7"/>
  <c r="S648" i="6"/>
  <c r="Z648" i="6"/>
  <c r="S610" i="6"/>
  <c r="Z610" i="6"/>
  <c r="H244" i="7"/>
  <c r="G244" i="7"/>
  <c r="H52" i="23"/>
  <c r="E244" i="7"/>
  <c r="S587" i="6"/>
  <c r="Z587" i="6"/>
  <c r="E243" i="7"/>
  <c r="S557" i="6"/>
  <c r="Z557" i="6"/>
  <c r="S552" i="6"/>
  <c r="Z552" i="6"/>
  <c r="E242" i="7"/>
  <c r="S554" i="6"/>
  <c r="Z554" i="6"/>
  <c r="S584" i="6"/>
  <c r="Z584" i="6"/>
  <c r="S577" i="6"/>
  <c r="Z577" i="6"/>
  <c r="S574" i="6"/>
  <c r="Z574" i="6"/>
  <c r="S551" i="6"/>
  <c r="Z551" i="6"/>
  <c r="S561" i="6"/>
  <c r="Z561" i="6"/>
  <c r="S559" i="6"/>
  <c r="Z559" i="6"/>
  <c r="S553" i="6"/>
  <c r="Z553" i="6"/>
  <c r="S547" i="6"/>
  <c r="Z547" i="6"/>
  <c r="E241" i="7"/>
  <c r="E240" i="7"/>
  <c r="G239" i="7"/>
  <c r="H50" i="23"/>
  <c r="E239" i="7"/>
  <c r="E238" i="7"/>
  <c r="S558" i="6"/>
  <c r="Z558" i="6"/>
  <c r="S544" i="6"/>
  <c r="Z544" i="6"/>
  <c r="S541" i="6"/>
  <c r="Z541" i="6"/>
  <c r="S535" i="6"/>
  <c r="Z535" i="6"/>
  <c r="E237" i="7"/>
  <c r="E236" i="7"/>
  <c r="S534" i="6"/>
  <c r="Z534" i="6"/>
  <c r="S546" i="6"/>
  <c r="Z546" i="6"/>
  <c r="S527" i="6"/>
  <c r="Z527" i="6"/>
  <c r="S523" i="6"/>
  <c r="Z523" i="6"/>
  <c r="S531" i="6"/>
  <c r="Z531" i="6"/>
  <c r="E235" i="7"/>
  <c r="E232" i="7"/>
  <c r="E234" i="7"/>
  <c r="E233" i="7"/>
  <c r="S522" i="6"/>
  <c r="Z522" i="6"/>
  <c r="S596" i="6"/>
  <c r="Z596" i="6"/>
  <c r="S573" i="6"/>
  <c r="Z573" i="6"/>
  <c r="S540" i="6"/>
  <c r="S542" i="6"/>
  <c r="Z540" i="6"/>
  <c r="Z542" i="6"/>
  <c r="S526" i="6"/>
  <c r="Z526" i="6"/>
  <c r="S600" i="6"/>
  <c r="Z600" i="6"/>
  <c r="S592" i="6"/>
  <c r="Z592" i="6"/>
  <c r="S578" i="6"/>
  <c r="Z578" i="6"/>
  <c r="S571" i="6"/>
  <c r="S572" i="6"/>
  <c r="Z571" i="6"/>
  <c r="Z572" i="6"/>
  <c r="S555" i="6"/>
  <c r="S556" i="6"/>
  <c r="Z555" i="6"/>
  <c r="Z556" i="6"/>
  <c r="S543" i="6"/>
  <c r="Z543" i="6"/>
  <c r="S537" i="6"/>
  <c r="Z537" i="6"/>
  <c r="S532" i="6"/>
  <c r="Z532" i="6"/>
  <c r="S528" i="6"/>
  <c r="Z528" i="6"/>
  <c r="S525" i="6"/>
  <c r="Z525" i="6"/>
  <c r="S510" i="6"/>
  <c r="Z510" i="6"/>
  <c r="S507" i="6"/>
  <c r="Z507" i="6"/>
  <c r="E231" i="7"/>
  <c r="S502" i="6"/>
  <c r="Z502" i="6"/>
  <c r="E230" i="7"/>
  <c r="E229" i="7"/>
  <c r="S497" i="6"/>
  <c r="Z497" i="6"/>
  <c r="S494" i="6"/>
  <c r="Z494" i="6"/>
  <c r="S514" i="6"/>
  <c r="Z514" i="6"/>
  <c r="S511" i="6"/>
  <c r="Z511" i="6"/>
  <c r="S492" i="6"/>
  <c r="Z492" i="6"/>
  <c r="E228" i="7"/>
  <c r="E227" i="7"/>
  <c r="S518" i="6"/>
  <c r="Z518" i="6"/>
  <c r="S504" i="6"/>
  <c r="Z504" i="6"/>
  <c r="S758" i="6"/>
  <c r="Z758" i="6"/>
  <c r="E226" i="7"/>
  <c r="O226" i="7"/>
  <c r="O227" i="7"/>
  <c r="M225" i="7"/>
  <c r="O225" i="7"/>
  <c r="E225" i="7"/>
  <c r="S530" i="6"/>
  <c r="Z530" i="6"/>
  <c r="E224" i="7"/>
  <c r="S517" i="6"/>
  <c r="Z517" i="6"/>
  <c r="S498" i="6"/>
  <c r="Z498" i="6"/>
  <c r="E223" i="7"/>
  <c r="S536" i="6"/>
  <c r="S538" i="6"/>
  <c r="Z536" i="6"/>
  <c r="Z538" i="6"/>
  <c r="S521" i="6"/>
  <c r="Z521" i="6"/>
  <c r="E222" i="7"/>
  <c r="S499" i="6"/>
  <c r="Z499" i="6"/>
  <c r="S471" i="6"/>
  <c r="Z471" i="6"/>
  <c r="S503" i="6"/>
  <c r="Z503" i="6"/>
  <c r="S496" i="6"/>
  <c r="Z496" i="6"/>
  <c r="E221" i="7"/>
  <c r="E220" i="7"/>
  <c r="S603" i="6"/>
  <c r="Z603" i="6"/>
  <c r="S593" i="6"/>
  <c r="Z593" i="6"/>
  <c r="S545" i="6"/>
  <c r="Z545" i="6"/>
  <c r="S548" i="6"/>
  <c r="Z548" i="6"/>
  <c r="S533" i="6"/>
  <c r="Z533" i="6"/>
  <c r="S524" i="6"/>
  <c r="Z524" i="6"/>
  <c r="S515" i="6"/>
  <c r="Z515" i="6"/>
  <c r="S508" i="6"/>
  <c r="Z508" i="6"/>
  <c r="S500" i="6"/>
  <c r="Z500" i="6"/>
  <c r="E219" i="7"/>
  <c r="E218" i="7"/>
  <c r="E205" i="7"/>
  <c r="S489" i="6"/>
  <c r="Z489" i="6"/>
  <c r="S481" i="6"/>
  <c r="Z481" i="6"/>
  <c r="S475" i="6"/>
  <c r="Z475" i="6"/>
  <c r="E217" i="7"/>
  <c r="E216" i="7"/>
  <c r="S462" i="6"/>
  <c r="Z462" i="6"/>
  <c r="K21" i="20"/>
  <c r="K22" i="20"/>
  <c r="K23" i="20"/>
  <c r="K20" i="20"/>
  <c r="I21" i="20"/>
  <c r="I22" i="20"/>
  <c r="I23" i="20"/>
  <c r="I20" i="20"/>
  <c r="D27" i="20"/>
  <c r="E27" i="20"/>
  <c r="C21" i="20"/>
  <c r="C22" i="20"/>
  <c r="C23" i="20"/>
  <c r="C24" i="20"/>
  <c r="C25" i="20"/>
  <c r="C26" i="20"/>
  <c r="C27" i="20"/>
  <c r="C28" i="20"/>
  <c r="D20" i="20"/>
  <c r="E20" i="20"/>
  <c r="C20" i="20"/>
  <c r="G13" i="20"/>
  <c r="I12" i="20"/>
  <c r="J12" i="20"/>
  <c r="G12" i="20"/>
  <c r="S493" i="6"/>
  <c r="Z493" i="6"/>
  <c r="S459" i="6"/>
  <c r="S491" i="6"/>
  <c r="Z491" i="6"/>
  <c r="S483" i="6"/>
  <c r="Z483" i="6"/>
  <c r="S470" i="6"/>
  <c r="Z470" i="6"/>
  <c r="Z459" i="6"/>
  <c r="S570" i="6"/>
  <c r="Z570" i="6"/>
  <c r="S519" i="6"/>
  <c r="S520" i="6"/>
  <c r="Z519" i="6"/>
  <c r="Z520" i="6"/>
  <c r="S512" i="6"/>
  <c r="S513" i="6"/>
  <c r="Z512" i="6"/>
  <c r="Z513" i="6"/>
  <c r="S509" i="6"/>
  <c r="Z509" i="6"/>
  <c r="S495" i="6"/>
  <c r="Z495" i="6"/>
  <c r="S477" i="6"/>
  <c r="Z477" i="6"/>
  <c r="S474" i="6"/>
  <c r="Z474" i="6"/>
  <c r="S468" i="6"/>
  <c r="Z468" i="6"/>
  <c r="E215" i="7"/>
  <c r="E214" i="7"/>
  <c r="E213" i="7"/>
  <c r="E212" i="7"/>
  <c r="E211" i="7"/>
  <c r="S487" i="6"/>
  <c r="Z487" i="6"/>
  <c r="S516" i="6"/>
  <c r="Z516" i="6"/>
  <c r="S505" i="6"/>
  <c r="S506" i="6"/>
  <c r="Z505" i="6"/>
  <c r="Z506" i="6"/>
  <c r="S490" i="6"/>
  <c r="Z490" i="6"/>
  <c r="S488" i="6"/>
  <c r="Z488" i="6"/>
  <c r="S480" i="6"/>
  <c r="Z480" i="6"/>
  <c r="S479" i="6"/>
  <c r="Z479" i="6"/>
  <c r="S467" i="6"/>
  <c r="Z467" i="6"/>
  <c r="S457" i="6"/>
  <c r="Z457" i="6"/>
  <c r="H210" i="7"/>
  <c r="B125" i="23"/>
  <c r="H209" i="7"/>
  <c r="B124" i="23"/>
  <c r="G210" i="7"/>
  <c r="B51" i="23"/>
  <c r="E210" i="7"/>
  <c r="G209" i="7"/>
  <c r="B50" i="23"/>
  <c r="E209" i="7"/>
  <c r="E208" i="7"/>
  <c r="S478" i="6"/>
  <c r="Z478" i="6"/>
  <c r="S476" i="6"/>
  <c r="Z476" i="6"/>
  <c r="S473" i="6"/>
  <c r="S472" i="6"/>
  <c r="Z472" i="6"/>
  <c r="Z473" i="6"/>
  <c r="S469" i="6"/>
  <c r="Z469" i="6"/>
  <c r="S463" i="6"/>
  <c r="Z463" i="6"/>
  <c r="S456" i="6"/>
  <c r="Z456" i="6"/>
  <c r="E207" i="7"/>
  <c r="E206" i="7"/>
  <c r="S464" i="6"/>
  <c r="Z464" i="6"/>
  <c r="S484" i="6"/>
  <c r="Z484" i="6"/>
  <c r="S466" i="6"/>
  <c r="Z466" i="6"/>
  <c r="S465" i="6"/>
  <c r="Z465" i="6"/>
  <c r="S451" i="6"/>
  <c r="Z451" i="6"/>
  <c r="S450" i="6"/>
  <c r="Z450" i="6"/>
  <c r="S444" i="6"/>
  <c r="Z444" i="6"/>
  <c r="E204" i="7"/>
  <c r="S439" i="6"/>
  <c r="Z439" i="6"/>
  <c r="S438" i="6"/>
  <c r="Z438" i="6"/>
  <c r="Z715" i="6"/>
  <c r="S715" i="6"/>
  <c r="Z705" i="6"/>
  <c r="S705" i="6"/>
  <c r="Z703" i="6"/>
  <c r="S703" i="6"/>
  <c r="Z657" i="6"/>
  <c r="S657" i="6"/>
  <c r="Z581" i="6"/>
  <c r="S581" i="6"/>
  <c r="S579" i="6"/>
  <c r="Z579" i="6"/>
  <c r="S539" i="6"/>
  <c r="Z539" i="6"/>
  <c r="S529" i="6"/>
  <c r="S486" i="6"/>
  <c r="Z150" i="23"/>
  <c r="D190" i="23"/>
  <c r="B190" i="23"/>
  <c r="L190" i="23"/>
  <c r="X190" i="23"/>
  <c r="H191" i="23"/>
  <c r="R191" i="23"/>
  <c r="D192" i="23"/>
  <c r="N192" i="23"/>
  <c r="X192" i="23"/>
  <c r="J193" i="23"/>
  <c r="T193" i="23"/>
  <c r="D194" i="23"/>
  <c r="P194" i="23"/>
  <c r="J195" i="23"/>
  <c r="V195" i="23"/>
  <c r="F196" i="23"/>
  <c r="P196" i="23"/>
  <c r="J198" i="23"/>
  <c r="T198" i="23"/>
  <c r="F199" i="23"/>
  <c r="P199" i="23"/>
  <c r="L200" i="23"/>
  <c r="V200" i="23"/>
  <c r="F201" i="23"/>
  <c r="R201" i="23"/>
  <c r="B202" i="23"/>
  <c r="L202" i="23"/>
  <c r="X202" i="23"/>
  <c r="Z214" i="23"/>
  <c r="B208" i="23"/>
  <c r="D208" i="23"/>
  <c r="D207" i="23"/>
  <c r="F208" i="23"/>
  <c r="F207" i="23"/>
  <c r="H208" i="23"/>
  <c r="H207" i="23"/>
  <c r="J208" i="23"/>
  <c r="J207" i="23"/>
  <c r="K208" i="23"/>
  <c r="L208" i="23"/>
  <c r="L207" i="23"/>
  <c r="N208" i="23"/>
  <c r="N207" i="23"/>
  <c r="N219" i="23"/>
  <c r="O219" i="23"/>
  <c r="P208" i="23"/>
  <c r="P207" i="23"/>
  <c r="P219" i="23"/>
  <c r="Q219" i="23"/>
  <c r="R208" i="23"/>
  <c r="R207" i="23"/>
  <c r="S208" i="23"/>
  <c r="T208" i="23"/>
  <c r="T207" i="23"/>
  <c r="V208" i="23"/>
  <c r="V207" i="23"/>
  <c r="X208" i="23"/>
  <c r="X207" i="23"/>
  <c r="Y208" i="23"/>
  <c r="B210" i="23"/>
  <c r="B220" i="23"/>
  <c r="C220" i="23"/>
  <c r="D210" i="23"/>
  <c r="D220" i="23"/>
  <c r="E220" i="23"/>
  <c r="F210" i="23"/>
  <c r="F220" i="23"/>
  <c r="G220" i="23"/>
  <c r="H210" i="23"/>
  <c r="H220" i="23"/>
  <c r="I220" i="23"/>
  <c r="J210" i="23"/>
  <c r="J220" i="23"/>
  <c r="K220" i="23"/>
  <c r="L210" i="23"/>
  <c r="L220" i="23"/>
  <c r="M220" i="23"/>
  <c r="N210" i="23"/>
  <c r="N220" i="23"/>
  <c r="O220" i="23"/>
  <c r="P210" i="23"/>
  <c r="P220" i="23"/>
  <c r="Q220" i="23"/>
  <c r="R210" i="23"/>
  <c r="R220" i="23"/>
  <c r="S220" i="23"/>
  <c r="T210" i="23"/>
  <c r="T220" i="23"/>
  <c r="U220" i="23"/>
  <c r="V210" i="23"/>
  <c r="V220" i="23"/>
  <c r="W220" i="23"/>
  <c r="X210" i="23"/>
  <c r="X220" i="23"/>
  <c r="Y220" i="23"/>
  <c r="B207" i="23"/>
  <c r="C208" i="23"/>
  <c r="D218" i="23"/>
  <c r="E218" i="23"/>
  <c r="H218" i="23"/>
  <c r="I218" i="23"/>
  <c r="J218" i="23"/>
  <c r="K218" i="23"/>
  <c r="L218" i="23"/>
  <c r="M218" i="23"/>
  <c r="P218" i="23"/>
  <c r="Q218" i="23"/>
  <c r="R218" i="23"/>
  <c r="S218" i="23"/>
  <c r="T218" i="23"/>
  <c r="U218" i="23"/>
  <c r="X218" i="23"/>
  <c r="Y218" i="23"/>
  <c r="Z205" i="23"/>
  <c r="Z204" i="23"/>
  <c r="AA205" i="23"/>
  <c r="X204" i="23"/>
  <c r="Y205" i="23"/>
  <c r="V204" i="23"/>
  <c r="W205" i="23"/>
  <c r="T204" i="23"/>
  <c r="U205" i="23"/>
  <c r="R204" i="23"/>
  <c r="S205" i="23"/>
  <c r="P204" i="23"/>
  <c r="Q205" i="23"/>
  <c r="N204" i="23"/>
  <c r="L204" i="23"/>
  <c r="J204" i="23"/>
  <c r="H204" i="23"/>
  <c r="I205" i="23"/>
  <c r="F204" i="23"/>
  <c r="D204" i="23"/>
  <c r="E205" i="23"/>
  <c r="B204" i="23"/>
  <c r="C205" i="23"/>
  <c r="O205" i="23"/>
  <c r="M205" i="23"/>
  <c r="K205" i="23"/>
  <c r="G205" i="23"/>
  <c r="Z76" i="23"/>
  <c r="B116" i="23"/>
  <c r="D116" i="23"/>
  <c r="F116" i="23"/>
  <c r="H116" i="23"/>
  <c r="J116" i="23"/>
  <c r="L116" i="23"/>
  <c r="N116" i="23"/>
  <c r="P116" i="23"/>
  <c r="R116" i="23"/>
  <c r="T116" i="23"/>
  <c r="V116" i="23"/>
  <c r="X116" i="23"/>
  <c r="B117" i="23"/>
  <c r="D117" i="23"/>
  <c r="F117" i="23"/>
  <c r="H117" i="23"/>
  <c r="J117" i="23"/>
  <c r="L117" i="23"/>
  <c r="N117" i="23"/>
  <c r="P117" i="23"/>
  <c r="R117" i="23"/>
  <c r="T117" i="23"/>
  <c r="V117" i="23"/>
  <c r="X117" i="23"/>
  <c r="B118" i="23"/>
  <c r="D118" i="23"/>
  <c r="F118" i="23"/>
  <c r="H118" i="23"/>
  <c r="J118" i="23"/>
  <c r="L118" i="23"/>
  <c r="N118" i="23"/>
  <c r="P118" i="23"/>
  <c r="R118" i="23"/>
  <c r="T118" i="23"/>
  <c r="V118" i="23"/>
  <c r="X118" i="23"/>
  <c r="B119" i="23"/>
  <c r="D119" i="23"/>
  <c r="F119" i="23"/>
  <c r="H119" i="23"/>
  <c r="J119" i="23"/>
  <c r="L119" i="23"/>
  <c r="N119" i="23"/>
  <c r="P119" i="23"/>
  <c r="R119" i="23"/>
  <c r="T119" i="23"/>
  <c r="V119" i="23"/>
  <c r="X119" i="23"/>
  <c r="B120" i="23"/>
  <c r="D120" i="23"/>
  <c r="F120" i="23"/>
  <c r="H120" i="23"/>
  <c r="J120" i="23"/>
  <c r="L120" i="23"/>
  <c r="N120" i="23"/>
  <c r="P120" i="23"/>
  <c r="R120" i="23"/>
  <c r="T120" i="23"/>
  <c r="V120" i="23"/>
  <c r="X120" i="23"/>
  <c r="B121" i="23"/>
  <c r="D121" i="23"/>
  <c r="F121" i="23"/>
  <c r="H121" i="23"/>
  <c r="J121" i="23"/>
  <c r="L121" i="23"/>
  <c r="N121" i="23"/>
  <c r="P121" i="23"/>
  <c r="R121" i="23"/>
  <c r="T121" i="23"/>
  <c r="V121" i="23"/>
  <c r="X121" i="23"/>
  <c r="B122" i="23"/>
  <c r="D122" i="23"/>
  <c r="F122" i="23"/>
  <c r="H122" i="23"/>
  <c r="J122" i="23"/>
  <c r="L122" i="23"/>
  <c r="N122" i="23"/>
  <c r="N115" i="23"/>
  <c r="P122" i="23"/>
  <c r="R122" i="23"/>
  <c r="T122" i="23"/>
  <c r="V122" i="23"/>
  <c r="X122" i="23"/>
  <c r="D124" i="23"/>
  <c r="F124" i="23"/>
  <c r="H124" i="23"/>
  <c r="J124" i="23"/>
  <c r="L124" i="23"/>
  <c r="N124" i="23"/>
  <c r="P124" i="23"/>
  <c r="R124" i="23"/>
  <c r="T124" i="23"/>
  <c r="V124" i="23"/>
  <c r="X124" i="23"/>
  <c r="D125" i="23"/>
  <c r="F125" i="23"/>
  <c r="H125" i="23"/>
  <c r="J125" i="23"/>
  <c r="L125" i="23"/>
  <c r="N125" i="23"/>
  <c r="P125" i="23"/>
  <c r="R125" i="23"/>
  <c r="T125" i="23"/>
  <c r="V125" i="23"/>
  <c r="X125" i="23"/>
  <c r="B126" i="23"/>
  <c r="D126" i="23"/>
  <c r="F126" i="23"/>
  <c r="H126" i="23"/>
  <c r="J126" i="23"/>
  <c r="L126" i="23"/>
  <c r="N126" i="23"/>
  <c r="P126" i="23"/>
  <c r="R126" i="23"/>
  <c r="T126" i="23"/>
  <c r="V126" i="23"/>
  <c r="X126" i="23"/>
  <c r="B127" i="23"/>
  <c r="D127" i="23"/>
  <c r="F127" i="23"/>
  <c r="H127" i="23"/>
  <c r="J127" i="23"/>
  <c r="L127" i="23"/>
  <c r="N127" i="23"/>
  <c r="P127" i="23"/>
  <c r="R127" i="23"/>
  <c r="T127" i="23"/>
  <c r="V127" i="23"/>
  <c r="X127" i="23"/>
  <c r="B128" i="23"/>
  <c r="D128" i="23"/>
  <c r="F128" i="23"/>
  <c r="H128" i="23"/>
  <c r="J128" i="23"/>
  <c r="L128" i="23"/>
  <c r="N128" i="23"/>
  <c r="P128" i="23"/>
  <c r="R128" i="23"/>
  <c r="T128" i="23"/>
  <c r="V128" i="23"/>
  <c r="X128" i="23"/>
  <c r="Z140" i="23"/>
  <c r="Z144" i="23"/>
  <c r="B134" i="23"/>
  <c r="B133" i="23"/>
  <c r="D134" i="23"/>
  <c r="F134" i="23"/>
  <c r="F133" i="23"/>
  <c r="H134" i="23"/>
  <c r="H133" i="23"/>
  <c r="I134" i="23"/>
  <c r="J134" i="23"/>
  <c r="J133" i="23"/>
  <c r="L134" i="23"/>
  <c r="L133" i="23"/>
  <c r="N134" i="23"/>
  <c r="N133" i="23"/>
  <c r="N145" i="23"/>
  <c r="O145" i="23"/>
  <c r="P134" i="23"/>
  <c r="P133" i="23"/>
  <c r="R134" i="23"/>
  <c r="R133" i="23"/>
  <c r="R145" i="23"/>
  <c r="S145" i="23"/>
  <c r="T134" i="23"/>
  <c r="T133" i="23"/>
  <c r="U134" i="23"/>
  <c r="V134" i="23"/>
  <c r="V133" i="23"/>
  <c r="X134" i="23"/>
  <c r="X133" i="23"/>
  <c r="Y134" i="23"/>
  <c r="B136" i="23"/>
  <c r="B146" i="23"/>
  <c r="C146" i="23"/>
  <c r="D136" i="23"/>
  <c r="D146" i="23"/>
  <c r="E146" i="23"/>
  <c r="F136" i="23"/>
  <c r="H136" i="23"/>
  <c r="H146" i="23"/>
  <c r="I146" i="23"/>
  <c r="J136" i="23"/>
  <c r="J146" i="23"/>
  <c r="K146" i="23"/>
  <c r="L136" i="23"/>
  <c r="L146" i="23"/>
  <c r="M146" i="23"/>
  <c r="P136" i="23"/>
  <c r="P146" i="23"/>
  <c r="Q146" i="23"/>
  <c r="R136" i="23"/>
  <c r="R146" i="23"/>
  <c r="S146" i="23"/>
  <c r="T136" i="23"/>
  <c r="T146" i="23"/>
  <c r="U146" i="23"/>
  <c r="V136" i="23"/>
  <c r="V146" i="23"/>
  <c r="W146" i="23"/>
  <c r="X136" i="23"/>
  <c r="X146" i="23"/>
  <c r="Y146" i="23"/>
  <c r="B144" i="23"/>
  <c r="C144" i="23"/>
  <c r="D144" i="23"/>
  <c r="E144" i="23"/>
  <c r="F144" i="23"/>
  <c r="G144" i="23"/>
  <c r="H144" i="23"/>
  <c r="I144" i="23"/>
  <c r="J144" i="23"/>
  <c r="K144" i="23"/>
  <c r="L144" i="23"/>
  <c r="M144" i="23"/>
  <c r="N144" i="23"/>
  <c r="O144" i="23"/>
  <c r="P144" i="23"/>
  <c r="Q144" i="23"/>
  <c r="R144" i="23"/>
  <c r="S144" i="23"/>
  <c r="T144" i="23"/>
  <c r="U144" i="23"/>
  <c r="V144" i="23"/>
  <c r="W144" i="23"/>
  <c r="X144" i="23"/>
  <c r="Y144" i="23"/>
  <c r="X131" i="23"/>
  <c r="X130" i="23"/>
  <c r="Y131" i="23"/>
  <c r="B70" i="23"/>
  <c r="C70" i="23"/>
  <c r="D70" i="23"/>
  <c r="E70" i="23"/>
  <c r="F70" i="23"/>
  <c r="G70" i="23"/>
  <c r="H70" i="23"/>
  <c r="I70" i="23"/>
  <c r="J70" i="23"/>
  <c r="K70" i="23"/>
  <c r="N70" i="23"/>
  <c r="O70" i="23"/>
  <c r="L70" i="23"/>
  <c r="M70" i="23"/>
  <c r="P70" i="23"/>
  <c r="Q70" i="23"/>
  <c r="R70" i="23"/>
  <c r="S70" i="23"/>
  <c r="T70" i="23"/>
  <c r="U70" i="23"/>
  <c r="V70" i="23"/>
  <c r="W70" i="23"/>
  <c r="X70" i="23"/>
  <c r="Y70" i="23"/>
  <c r="Z66" i="23"/>
  <c r="X56" i="23"/>
  <c r="Y57" i="23"/>
  <c r="S485" i="6"/>
  <c r="S461" i="6"/>
  <c r="S460" i="6"/>
  <c r="Z460" i="6"/>
  <c r="Z529" i="6"/>
  <c r="S501" i="6"/>
  <c r="Z501" i="6"/>
  <c r="Z486" i="6"/>
  <c r="Z485" i="6"/>
  <c r="S482" i="6"/>
  <c r="Z482" i="6"/>
  <c r="Z461" i="6"/>
  <c r="S458" i="6"/>
  <c r="S455" i="6"/>
  <c r="S446" i="6"/>
  <c r="Z446" i="6"/>
  <c r="S445" i="6"/>
  <c r="Z445" i="6"/>
  <c r="S443" i="6"/>
  <c r="Z443" i="6"/>
  <c r="Z458" i="6"/>
  <c r="Z455" i="6"/>
  <c r="S454" i="6"/>
  <c r="Z454" i="6"/>
  <c r="S453" i="6"/>
  <c r="Z453" i="6"/>
  <c r="S452" i="6"/>
  <c r="Z452" i="6"/>
  <c r="S449" i="6"/>
  <c r="Z449" i="6"/>
  <c r="S434" i="6"/>
  <c r="Z434" i="6"/>
  <c r="S429" i="6"/>
  <c r="Z429" i="6"/>
  <c r="S421" i="6"/>
  <c r="Z421" i="6"/>
  <c r="E203" i="7"/>
  <c r="E202" i="7"/>
  <c r="E201" i="7"/>
  <c r="E200" i="7"/>
  <c r="E197" i="7"/>
  <c r="E199" i="7"/>
  <c r="E198" i="7"/>
  <c r="S440" i="6"/>
  <c r="Z440" i="6"/>
  <c r="S433" i="6"/>
  <c r="Z433" i="6"/>
  <c r="S425" i="6"/>
  <c r="S426" i="6"/>
  <c r="Z425" i="6"/>
  <c r="Z426" i="6"/>
  <c r="S422" i="6"/>
  <c r="Z422" i="6"/>
  <c r="S417" i="6"/>
  <c r="Z417" i="6"/>
  <c r="S407" i="6"/>
  <c r="Z407" i="6"/>
  <c r="S408" i="6"/>
  <c r="Z408" i="6"/>
  <c r="D24" i="20"/>
  <c r="E24" i="20"/>
  <c r="H12" i="20"/>
  <c r="K12" i="20"/>
  <c r="G7" i="20"/>
  <c r="G8" i="20"/>
  <c r="G9" i="20"/>
  <c r="J9" i="20"/>
  <c r="G10" i="20"/>
  <c r="G11" i="20"/>
  <c r="F8" i="20"/>
  <c r="F9" i="20"/>
  <c r="F10" i="20"/>
  <c r="F11" i="20"/>
  <c r="F12" i="20"/>
  <c r="F7" i="20"/>
  <c r="F13" i="20"/>
  <c r="S436" i="6"/>
  <c r="Z436" i="6"/>
  <c r="S432" i="6"/>
  <c r="Z432" i="6"/>
  <c r="S431" i="6"/>
  <c r="Z431" i="6"/>
  <c r="S420" i="6"/>
  <c r="Z420" i="6"/>
  <c r="S416" i="6"/>
  <c r="Z416" i="6"/>
  <c r="S412" i="6"/>
  <c r="Z412" i="6"/>
  <c r="H196" i="7"/>
  <c r="G196" i="7"/>
  <c r="T62" i="19"/>
  <c r="T72" i="19"/>
  <c r="U72" i="19"/>
  <c r="E196" i="7"/>
  <c r="E195" i="7"/>
  <c r="S415" i="6"/>
  <c r="Z415" i="6"/>
  <c r="S406" i="6"/>
  <c r="Z406" i="6"/>
  <c r="S403" i="6"/>
  <c r="Z403" i="6"/>
  <c r="S401" i="6"/>
  <c r="Z401" i="6"/>
  <c r="S414" i="6"/>
  <c r="Z414" i="6"/>
  <c r="S405" i="6"/>
  <c r="Z405" i="6"/>
  <c r="S388" i="6"/>
  <c r="Z388" i="6"/>
  <c r="S430" i="6"/>
  <c r="Z430" i="6"/>
  <c r="Z428" i="6"/>
  <c r="AA428" i="6"/>
  <c r="S424" i="6"/>
  <c r="Z424" i="6"/>
  <c r="S423" i="6"/>
  <c r="Z423" i="6"/>
  <c r="S413" i="6"/>
  <c r="Z413" i="6"/>
  <c r="S410" i="6"/>
  <c r="Z410" i="6"/>
  <c r="S400" i="6"/>
  <c r="Z400" i="6"/>
  <c r="S399" i="6"/>
  <c r="Z399" i="6"/>
  <c r="S392" i="6"/>
  <c r="Z392" i="6"/>
  <c r="E194" i="7"/>
  <c r="E193" i="7"/>
  <c r="E192" i="7"/>
  <c r="E190" i="7"/>
  <c r="E191" i="7"/>
  <c r="S382" i="6"/>
  <c r="Z382" i="6"/>
  <c r="S395" i="6"/>
  <c r="Z395" i="6"/>
  <c r="S441" i="6"/>
  <c r="Z441" i="6"/>
  <c r="S418" i="6"/>
  <c r="Z418" i="6"/>
  <c r="S411" i="6"/>
  <c r="Z411" i="6"/>
  <c r="S404" i="6"/>
  <c r="Z404" i="6"/>
  <c r="S373" i="6"/>
  <c r="Z373" i="6"/>
  <c r="S389" i="6"/>
  <c r="Z389" i="6"/>
  <c r="S385" i="6"/>
  <c r="Z385" i="6"/>
  <c r="S379" i="6"/>
  <c r="Z379" i="6"/>
  <c r="S378" i="6"/>
  <c r="Z378" i="6"/>
  <c r="S393" i="6"/>
  <c r="Z393" i="6"/>
  <c r="S387" i="6"/>
  <c r="Z387" i="6"/>
  <c r="S442" i="6"/>
  <c r="Z442" i="6"/>
  <c r="S437" i="6"/>
  <c r="Z437" i="6"/>
  <c r="S435" i="6"/>
  <c r="Z435" i="6"/>
  <c r="S427" i="6"/>
  <c r="Z427" i="6"/>
  <c r="S374" i="6"/>
  <c r="Z374" i="6"/>
  <c r="S398" i="6"/>
  <c r="Z398" i="6"/>
  <c r="G187" i="7"/>
  <c r="P50" i="19"/>
  <c r="H187" i="7"/>
  <c r="H188" i="7"/>
  <c r="P126" i="19"/>
  <c r="E188" i="7"/>
  <c r="S371" i="6"/>
  <c r="Z371" i="6"/>
  <c r="E185" i="7"/>
  <c r="E189" i="7"/>
  <c r="S380" i="6"/>
  <c r="Z380" i="6"/>
  <c r="E187" i="7"/>
  <c r="L186" i="7"/>
  <c r="M186" i="7"/>
  <c r="N186" i="7"/>
  <c r="M184" i="7"/>
  <c r="N184" i="7"/>
  <c r="S362" i="6"/>
  <c r="Z362" i="6"/>
  <c r="S369" i="6"/>
  <c r="Z369" i="6"/>
  <c r="S391" i="6"/>
  <c r="Z391" i="6"/>
  <c r="S372" i="6"/>
  <c r="Z372" i="6"/>
  <c r="S365" i="6"/>
  <c r="Z365" i="6"/>
  <c r="E186" i="7"/>
  <c r="S361" i="6"/>
  <c r="Z361" i="6"/>
  <c r="E184" i="7"/>
  <c r="E183" i="7"/>
  <c r="S448" i="6"/>
  <c r="Z448" i="6"/>
  <c r="S419" i="6"/>
  <c r="Z419" i="6"/>
  <c r="S409" i="6"/>
  <c r="Z409" i="6"/>
  <c r="S394" i="6"/>
  <c r="Z394" i="6"/>
  <c r="S383" i="6"/>
  <c r="Z383" i="6"/>
  <c r="S358" i="6"/>
  <c r="Z358" i="6"/>
  <c r="M182" i="7"/>
  <c r="S384" i="6"/>
  <c r="Z384" i="6"/>
  <c r="S370" i="6"/>
  <c r="Z370" i="6"/>
  <c r="S367" i="6"/>
  <c r="Z367" i="6"/>
  <c r="S366" i="6"/>
  <c r="Z366" i="6"/>
  <c r="S352" i="6"/>
  <c r="Z352" i="6"/>
  <c r="P181" i="7"/>
  <c r="Q181" i="7"/>
  <c r="P182" i="7"/>
  <c r="H182" i="7"/>
  <c r="G182" i="7"/>
  <c r="N62" i="19"/>
  <c r="N72" i="19"/>
  <c r="O72" i="19"/>
  <c r="E182" i="7"/>
  <c r="E181" i="7"/>
  <c r="E180" i="7"/>
  <c r="E179" i="7"/>
  <c r="E178" i="7"/>
  <c r="E177" i="7"/>
  <c r="S377" i="6"/>
  <c r="Z377" i="6"/>
  <c r="S363" i="6"/>
  <c r="Z363" i="6"/>
  <c r="S354" i="6"/>
  <c r="Z354" i="6"/>
  <c r="S346" i="6"/>
  <c r="Z346" i="6"/>
  <c r="S356" i="6"/>
  <c r="Z356" i="6"/>
  <c r="E176" i="7"/>
  <c r="S364" i="6"/>
  <c r="Z364" i="6"/>
  <c r="S350" i="6"/>
  <c r="Z350" i="6"/>
  <c r="S347" i="6"/>
  <c r="Z347" i="6"/>
  <c r="E175" i="7"/>
  <c r="E174" i="7"/>
  <c r="S357" i="6"/>
  <c r="Z357" i="6"/>
  <c r="S349" i="6"/>
  <c r="Z349" i="6"/>
  <c r="E173" i="7"/>
  <c r="E172" i="7"/>
  <c r="E171" i="7"/>
  <c r="E170" i="7"/>
  <c r="E169" i="7"/>
  <c r="E168" i="7"/>
  <c r="S359" i="6"/>
  <c r="Z359" i="6"/>
  <c r="S353" i="6"/>
  <c r="Z353" i="6"/>
  <c r="S333" i="6"/>
  <c r="Z333" i="6"/>
  <c r="S360" i="6"/>
  <c r="Z360" i="6"/>
  <c r="S338" i="6"/>
  <c r="Z338" i="6"/>
  <c r="S340" i="6"/>
  <c r="Z340" i="6"/>
  <c r="E164" i="7"/>
  <c r="E167" i="7"/>
  <c r="E166" i="7"/>
  <c r="S339" i="6"/>
  <c r="Z339" i="6"/>
  <c r="S376" i="6"/>
  <c r="Z376" i="6"/>
  <c r="S390" i="6"/>
  <c r="Z390" i="6"/>
  <c r="S341" i="6"/>
  <c r="Z341" i="6"/>
  <c r="S335" i="6"/>
  <c r="Z335" i="6"/>
  <c r="S332" i="6"/>
  <c r="Z332" i="6"/>
  <c r="S343" i="6"/>
  <c r="Z343" i="6"/>
  <c r="E165" i="7"/>
  <c r="S397" i="6"/>
  <c r="Z397" i="6"/>
  <c r="S381" i="6"/>
  <c r="Z381" i="6"/>
  <c r="S386" i="6"/>
  <c r="Z386" i="6"/>
  <c r="S355" i="6"/>
  <c r="Z355" i="6"/>
  <c r="S351" i="6"/>
  <c r="Z351" i="6"/>
  <c r="S336" i="6"/>
  <c r="Z336" i="6"/>
  <c r="S328" i="6"/>
  <c r="Z328" i="6"/>
  <c r="E163" i="7"/>
  <c r="E162" i="7"/>
  <c r="E161" i="7"/>
  <c r="S368" i="6"/>
  <c r="Z368" i="6"/>
  <c r="S334" i="6"/>
  <c r="Z334" i="6"/>
  <c r="S322" i="6"/>
  <c r="Z322" i="6"/>
  <c r="I21" i="18"/>
  <c r="L21" i="20"/>
  <c r="I22" i="18"/>
  <c r="I24" i="18"/>
  <c r="L23" i="20"/>
  <c r="I20" i="18"/>
  <c r="J20" i="20"/>
  <c r="J21" i="20"/>
  <c r="J22" i="20"/>
  <c r="D22" i="18"/>
  <c r="E22" i="18"/>
  <c r="F21" i="20"/>
  <c r="D23" i="18"/>
  <c r="E23" i="18"/>
  <c r="F22" i="20"/>
  <c r="D24" i="18"/>
  <c r="E24" i="18"/>
  <c r="D25" i="18"/>
  <c r="E25" i="18"/>
  <c r="D26" i="18"/>
  <c r="E26" i="18"/>
  <c r="D27" i="18"/>
  <c r="E27" i="18"/>
  <c r="D29" i="18"/>
  <c r="E29" i="18"/>
  <c r="F27" i="20"/>
  <c r="D21" i="18"/>
  <c r="D21" i="20"/>
  <c r="E21" i="20"/>
  <c r="D22" i="20"/>
  <c r="E22" i="20"/>
  <c r="D23" i="20"/>
  <c r="E23" i="20"/>
  <c r="D25" i="20"/>
  <c r="E25" i="20"/>
  <c r="D26" i="20"/>
  <c r="E26" i="20"/>
  <c r="D30" i="18"/>
  <c r="E30" i="18"/>
  <c r="H7" i="18"/>
  <c r="G8" i="18"/>
  <c r="G9" i="18"/>
  <c r="G10" i="18"/>
  <c r="G11" i="18"/>
  <c r="G12" i="18"/>
  <c r="G7" i="18"/>
  <c r="J10" i="20"/>
  <c r="J11" i="20"/>
  <c r="J13" i="20"/>
  <c r="I9" i="20"/>
  <c r="I10" i="20"/>
  <c r="I11" i="20"/>
  <c r="I13" i="20"/>
  <c r="I7" i="20"/>
  <c r="S321" i="6"/>
  <c r="Z321" i="6"/>
  <c r="H158" i="7"/>
  <c r="G158" i="7"/>
  <c r="H52" i="19"/>
  <c r="E158" i="7"/>
  <c r="E157" i="7"/>
  <c r="E160" i="7"/>
  <c r="E156" i="7"/>
  <c r="E155" i="7"/>
  <c r="E159" i="7"/>
  <c r="S342" i="6"/>
  <c r="Z342" i="6"/>
  <c r="S317" i="6"/>
  <c r="Z317" i="6"/>
  <c r="S316" i="6"/>
  <c r="Z316" i="6"/>
  <c r="S312" i="6"/>
  <c r="Z312" i="6"/>
  <c r="S306" i="6"/>
  <c r="Z306" i="6"/>
  <c r="S303" i="6"/>
  <c r="Z303" i="6"/>
  <c r="S348" i="6"/>
  <c r="Z348" i="6"/>
  <c r="S344" i="6"/>
  <c r="Z344" i="6"/>
  <c r="S337" i="6"/>
  <c r="Z337" i="6"/>
  <c r="S329" i="6"/>
  <c r="Z329" i="6"/>
  <c r="S320" i="6"/>
  <c r="Z320" i="6"/>
  <c r="S307" i="6"/>
  <c r="Z307" i="6"/>
  <c r="E154" i="7"/>
  <c r="E153" i="7"/>
  <c r="S326" i="6"/>
  <c r="Z326" i="6"/>
  <c r="S318" i="6"/>
  <c r="Z318" i="6"/>
  <c r="S315" i="6"/>
  <c r="Z315" i="6"/>
  <c r="S314" i="6"/>
  <c r="Z314" i="6"/>
  <c r="S313" i="6"/>
  <c r="Z313" i="6"/>
  <c r="S310" i="6"/>
  <c r="Z310" i="6"/>
  <c r="S308" i="6"/>
  <c r="Z308" i="6"/>
  <c r="S299" i="6"/>
  <c r="Z299" i="6"/>
  <c r="E152" i="7"/>
  <c r="E151" i="7"/>
  <c r="S298" i="6"/>
  <c r="Z298" i="6"/>
  <c r="S280" i="6"/>
  <c r="E150" i="7"/>
  <c r="S285" i="6"/>
  <c r="Z285" i="6"/>
  <c r="E149" i="7"/>
  <c r="S279" i="6"/>
  <c r="Z279" i="6"/>
  <c r="E140" i="7"/>
  <c r="E146" i="7"/>
  <c r="E148" i="7"/>
  <c r="S375" i="6"/>
  <c r="Z375" i="6"/>
  <c r="S396" i="6"/>
  <c r="Z396" i="6"/>
  <c r="S345" i="6"/>
  <c r="Z345" i="6"/>
  <c r="S331" i="6"/>
  <c r="Z331" i="6"/>
  <c r="S327" i="6"/>
  <c r="Z327" i="6"/>
  <c r="S324" i="6"/>
  <c r="Z324" i="6"/>
  <c r="S305" i="6"/>
  <c r="Z305" i="6"/>
  <c r="S302" i="6"/>
  <c r="Z302" i="6"/>
  <c r="S295" i="6"/>
  <c r="Z295" i="6"/>
  <c r="S294" i="6"/>
  <c r="Z294" i="6"/>
  <c r="S292" i="6"/>
  <c r="Z292" i="6"/>
  <c r="S288" i="6"/>
  <c r="Z288" i="6"/>
  <c r="S287" i="6"/>
  <c r="Z287" i="6"/>
  <c r="S282" i="6"/>
  <c r="Z282" i="6"/>
  <c r="E147" i="7"/>
  <c r="E145" i="7"/>
  <c r="E144" i="7"/>
  <c r="E143" i="7"/>
  <c r="E142" i="7"/>
  <c r="C52" i="21"/>
  <c r="D51" i="21"/>
  <c r="F51" i="21"/>
  <c r="E51" i="21"/>
  <c r="D50" i="21"/>
  <c r="F50" i="21"/>
  <c r="E50" i="21"/>
  <c r="D49" i="21"/>
  <c r="D47" i="21"/>
  <c r="G49" i="21"/>
  <c r="F49" i="21"/>
  <c r="C47" i="21"/>
  <c r="F48" i="21"/>
  <c r="E44" i="21"/>
  <c r="D44" i="21"/>
  <c r="E41" i="21"/>
  <c r="D40" i="21"/>
  <c r="E40" i="21"/>
  <c r="D39" i="21"/>
  <c r="E39" i="21"/>
  <c r="C29" i="21"/>
  <c r="C30" i="21"/>
  <c r="C31" i="21"/>
  <c r="I30" i="21"/>
  <c r="I29" i="21"/>
  <c r="P5" i="21"/>
  <c r="Q5" i="21"/>
  <c r="P4" i="21"/>
  <c r="Q4" i="21"/>
  <c r="P3" i="21"/>
  <c r="Q3" i="21"/>
  <c r="P2" i="21"/>
  <c r="Q2" i="21"/>
  <c r="S281" i="6"/>
  <c r="Z281" i="6"/>
  <c r="Z280" i="6"/>
  <c r="S276" i="6"/>
  <c r="Z276" i="6"/>
  <c r="S269" i="6"/>
  <c r="Z269" i="6"/>
  <c r="S265" i="6"/>
  <c r="Z265" i="6"/>
  <c r="S266" i="6"/>
  <c r="Z266" i="6"/>
  <c r="S325" i="6"/>
  <c r="Z325" i="6"/>
  <c r="S319" i="6"/>
  <c r="Z319" i="6"/>
  <c r="S309" i="6"/>
  <c r="Z309" i="6"/>
  <c r="S300" i="6"/>
  <c r="Z300" i="6"/>
  <c r="S296" i="6"/>
  <c r="Z296" i="6"/>
  <c r="S286" i="6"/>
  <c r="Z286" i="6"/>
  <c r="S268" i="6"/>
  <c r="Z268" i="6"/>
  <c r="E141" i="7"/>
  <c r="E139" i="7"/>
  <c r="S264" i="6"/>
  <c r="Z264" i="6"/>
  <c r="J7" i="20"/>
  <c r="S2" i="6"/>
  <c r="S3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3" i="6"/>
  <c r="S34" i="6"/>
  <c r="S35" i="6"/>
  <c r="S36" i="6"/>
  <c r="S37" i="6"/>
  <c r="S38" i="6"/>
  <c r="S39" i="6"/>
  <c r="S40" i="6"/>
  <c r="S41" i="6"/>
  <c r="S42" i="6"/>
  <c r="E45" i="18"/>
  <c r="S43" i="6"/>
  <c r="S44" i="6"/>
  <c r="E43" i="20"/>
  <c r="S45" i="6"/>
  <c r="S46" i="6"/>
  <c r="S47" i="6"/>
  <c r="S48" i="6"/>
  <c r="S49" i="6"/>
  <c r="S50" i="6"/>
  <c r="S51" i="6"/>
  <c r="S52" i="6"/>
  <c r="S53" i="6"/>
  <c r="S54" i="6"/>
  <c r="S55" i="6"/>
  <c r="S56" i="6"/>
  <c r="S57" i="6"/>
  <c r="S58" i="6"/>
  <c r="S59" i="6"/>
  <c r="S60" i="6"/>
  <c r="S61" i="6"/>
  <c r="S62" i="6"/>
  <c r="S63" i="6"/>
  <c r="S64" i="6"/>
  <c r="S65" i="6"/>
  <c r="F46" i="20"/>
  <c r="S66" i="6"/>
  <c r="S67" i="6"/>
  <c r="S68" i="6"/>
  <c r="S69" i="6"/>
  <c r="S70" i="6"/>
  <c r="S71" i="6"/>
  <c r="S72" i="6"/>
  <c r="S73" i="6"/>
  <c r="S74" i="6"/>
  <c r="S75" i="6"/>
  <c r="S76" i="6"/>
  <c r="S77" i="6"/>
  <c r="S78" i="6"/>
  <c r="S79" i="6"/>
  <c r="S80" i="6"/>
  <c r="S81" i="6"/>
  <c r="S82" i="6"/>
  <c r="S83" i="6"/>
  <c r="S84" i="6"/>
  <c r="S85" i="6"/>
  <c r="S86" i="6"/>
  <c r="S87" i="6"/>
  <c r="S88" i="6"/>
  <c r="S89" i="6"/>
  <c r="S90" i="6"/>
  <c r="S91" i="6"/>
  <c r="S92" i="6"/>
  <c r="S93" i="6"/>
  <c r="S94" i="6"/>
  <c r="S95" i="6"/>
  <c r="S96" i="6"/>
  <c r="S97" i="6"/>
  <c r="S98" i="6"/>
  <c r="S99" i="6"/>
  <c r="S100" i="6"/>
  <c r="S101" i="6"/>
  <c r="S102" i="6"/>
  <c r="S103" i="6"/>
  <c r="S104" i="6"/>
  <c r="I43" i="20"/>
  <c r="S105" i="6"/>
  <c r="S106" i="6"/>
  <c r="S107" i="6"/>
  <c r="S108" i="6"/>
  <c r="S109" i="6"/>
  <c r="S110" i="6"/>
  <c r="S111" i="6"/>
  <c r="S112" i="6"/>
  <c r="S113" i="6"/>
  <c r="S114" i="6"/>
  <c r="S115" i="6"/>
  <c r="S116" i="6"/>
  <c r="S117" i="6"/>
  <c r="S118" i="6"/>
  <c r="S119" i="6"/>
  <c r="S120" i="6"/>
  <c r="S121" i="6"/>
  <c r="S122" i="6"/>
  <c r="S123" i="6"/>
  <c r="S124" i="6"/>
  <c r="K44" i="20"/>
  <c r="S125" i="6"/>
  <c r="S126" i="6"/>
  <c r="S127" i="6"/>
  <c r="S128" i="6"/>
  <c r="S129" i="6"/>
  <c r="S130" i="6"/>
  <c r="S131" i="6"/>
  <c r="S132" i="6"/>
  <c r="S133" i="6"/>
  <c r="S134" i="6"/>
  <c r="L44" i="16"/>
  <c r="S135" i="6"/>
  <c r="S136" i="6"/>
  <c r="S137" i="6"/>
  <c r="S138" i="6"/>
  <c r="S139" i="6"/>
  <c r="S140" i="6"/>
  <c r="S141" i="6"/>
  <c r="M46" i="18"/>
  <c r="S142" i="6"/>
  <c r="S143" i="6"/>
  <c r="S144" i="6"/>
  <c r="S145" i="6"/>
  <c r="S146" i="6"/>
  <c r="S147" i="6"/>
  <c r="S148" i="6"/>
  <c r="S149" i="6"/>
  <c r="S150" i="6"/>
  <c r="S151" i="6"/>
  <c r="S152" i="6"/>
  <c r="S153" i="6"/>
  <c r="S154" i="6"/>
  <c r="S155" i="6"/>
  <c r="S156" i="6"/>
  <c r="S157" i="6"/>
  <c r="S158" i="6"/>
  <c r="S159" i="6"/>
  <c r="S160" i="6"/>
  <c r="S161" i="6"/>
  <c r="S162" i="6"/>
  <c r="S163" i="6"/>
  <c r="S164" i="6"/>
  <c r="S165" i="6"/>
  <c r="S166" i="6"/>
  <c r="S167" i="6"/>
  <c r="S168" i="6"/>
  <c r="S169" i="6"/>
  <c r="S170" i="6"/>
  <c r="S171" i="6"/>
  <c r="S172" i="6"/>
  <c r="S173" i="6"/>
  <c r="S174" i="6"/>
  <c r="S175" i="6"/>
  <c r="S176" i="6"/>
  <c r="S177" i="6"/>
  <c r="S178" i="6"/>
  <c r="S179" i="6"/>
  <c r="S180" i="6"/>
  <c r="S181" i="6"/>
  <c r="S182" i="6"/>
  <c r="S183" i="6"/>
  <c r="S184" i="6"/>
  <c r="S185" i="6"/>
  <c r="S186" i="6"/>
  <c r="S187" i="6"/>
  <c r="S188" i="6"/>
  <c r="S190" i="6"/>
  <c r="S192" i="6"/>
  <c r="S193" i="6"/>
  <c r="S194" i="6"/>
  <c r="S195" i="6"/>
  <c r="S196" i="6"/>
  <c r="S197" i="6"/>
  <c r="S198" i="6"/>
  <c r="S199" i="6"/>
  <c r="S200" i="6"/>
  <c r="S201" i="6"/>
  <c r="S202" i="6"/>
  <c r="S203" i="6"/>
  <c r="S204" i="6"/>
  <c r="S205" i="6"/>
  <c r="S206" i="6"/>
  <c r="S207" i="6"/>
  <c r="S208" i="6"/>
  <c r="S209" i="6"/>
  <c r="S210" i="6"/>
  <c r="S211" i="6"/>
  <c r="S212" i="6"/>
  <c r="S213" i="6"/>
  <c r="S214" i="6"/>
  <c r="S215" i="6"/>
  <c r="S216" i="6"/>
  <c r="S217" i="6"/>
  <c r="S218" i="6"/>
  <c r="S219" i="6"/>
  <c r="S220" i="6"/>
  <c r="S221" i="6"/>
  <c r="S222" i="6"/>
  <c r="S223" i="6"/>
  <c r="S224" i="6"/>
  <c r="S225" i="6"/>
  <c r="S226" i="6"/>
  <c r="S227" i="6"/>
  <c r="S228" i="6"/>
  <c r="S229" i="6"/>
  <c r="S230" i="6"/>
  <c r="S231" i="6"/>
  <c r="S232" i="6"/>
  <c r="S233" i="6"/>
  <c r="S234" i="6"/>
  <c r="S235" i="6"/>
  <c r="S236" i="6"/>
  <c r="S237" i="6"/>
  <c r="S238" i="6"/>
  <c r="S239" i="6"/>
  <c r="S240" i="6"/>
  <c r="S241" i="6"/>
  <c r="S242" i="6"/>
  <c r="S243" i="6"/>
  <c r="S244" i="6"/>
  <c r="S245" i="6"/>
  <c r="S246" i="6"/>
  <c r="S247" i="6"/>
  <c r="S248" i="6"/>
  <c r="S249" i="6"/>
  <c r="S250" i="6"/>
  <c r="S251" i="6"/>
  <c r="S252" i="6"/>
  <c r="S253" i="6"/>
  <c r="S254" i="6"/>
  <c r="S255" i="6"/>
  <c r="S256" i="6"/>
  <c r="S257" i="6"/>
  <c r="S258" i="6"/>
  <c r="S259" i="6"/>
  <c r="S260" i="6"/>
  <c r="S261" i="6"/>
  <c r="S262" i="6"/>
  <c r="S263" i="6"/>
  <c r="S267" i="6"/>
  <c r="S270" i="6"/>
  <c r="S271" i="6"/>
  <c r="S272" i="6"/>
  <c r="S273" i="6"/>
  <c r="S274" i="6"/>
  <c r="S275" i="6"/>
  <c r="S277" i="6"/>
  <c r="S278" i="6"/>
  <c r="S283" i="6"/>
  <c r="S284" i="6"/>
  <c r="S289" i="6"/>
  <c r="S290" i="6"/>
  <c r="S291" i="6"/>
  <c r="S293" i="6"/>
  <c r="S297" i="6"/>
  <c r="S301" i="6"/>
  <c r="S304" i="6"/>
  <c r="S311" i="6"/>
  <c r="S323" i="6"/>
  <c r="S330" i="6"/>
  <c r="S402" i="6"/>
  <c r="S447" i="6"/>
  <c r="M46" i="20"/>
  <c r="E2" i="7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F55" i="20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M63" i="18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G15" i="7"/>
  <c r="B50" i="13"/>
  <c r="G25" i="7"/>
  <c r="D50" i="13"/>
  <c r="D49" i="13"/>
  <c r="E54" i="13"/>
  <c r="G29" i="7"/>
  <c r="F43" i="13"/>
  <c r="G74" i="7"/>
  <c r="D43" i="14"/>
  <c r="D41" i="14"/>
  <c r="E43" i="14"/>
  <c r="G107" i="7"/>
  <c r="R43" i="14"/>
  <c r="C50" i="20"/>
  <c r="D50" i="20"/>
  <c r="E50" i="20"/>
  <c r="F50" i="20"/>
  <c r="F54" i="20"/>
  <c r="F57" i="20"/>
  <c r="G50" i="20"/>
  <c r="G70" i="20"/>
  <c r="H50" i="20"/>
  <c r="I50" i="20"/>
  <c r="J50" i="20"/>
  <c r="K50" i="20"/>
  <c r="L50" i="20"/>
  <c r="M50" i="20"/>
  <c r="M54" i="20"/>
  <c r="N50" i="20"/>
  <c r="G36" i="7"/>
  <c r="J62" i="13"/>
  <c r="J72" i="13"/>
  <c r="K72" i="13"/>
  <c r="G60" i="7"/>
  <c r="T62" i="13"/>
  <c r="T72" i="13"/>
  <c r="U72" i="13"/>
  <c r="P67" i="20"/>
  <c r="P59" i="20"/>
  <c r="P56" i="20"/>
  <c r="P54" i="20"/>
  <c r="C49" i="20"/>
  <c r="D49" i="20"/>
  <c r="E49" i="20"/>
  <c r="F49" i="20"/>
  <c r="F53" i="20"/>
  <c r="G49" i="20"/>
  <c r="G53" i="20"/>
  <c r="H49" i="20"/>
  <c r="I49" i="20"/>
  <c r="J49" i="20"/>
  <c r="K49" i="20"/>
  <c r="L49" i="20"/>
  <c r="L53" i="20"/>
  <c r="M49" i="20"/>
  <c r="M53" i="20"/>
  <c r="N49" i="20"/>
  <c r="N53" i="20"/>
  <c r="F45" i="20"/>
  <c r="G45" i="20"/>
  <c r="L45" i="20"/>
  <c r="M45" i="20"/>
  <c r="N45" i="20"/>
  <c r="C48" i="20"/>
  <c r="D48" i="20"/>
  <c r="E48" i="20"/>
  <c r="F48" i="20"/>
  <c r="F52" i="20"/>
  <c r="G48" i="20"/>
  <c r="G52" i="20"/>
  <c r="H48" i="20"/>
  <c r="I48" i="20"/>
  <c r="J48" i="20"/>
  <c r="K48" i="20"/>
  <c r="L48" i="20"/>
  <c r="M48" i="20"/>
  <c r="M52" i="20"/>
  <c r="N48" i="20"/>
  <c r="N52" i="20"/>
  <c r="F44" i="20"/>
  <c r="G44" i="20"/>
  <c r="M44" i="20"/>
  <c r="N44" i="20"/>
  <c r="C47" i="20"/>
  <c r="D47" i="20"/>
  <c r="E47" i="20"/>
  <c r="F47" i="20"/>
  <c r="F51" i="20"/>
  <c r="G47" i="20"/>
  <c r="G51" i="20"/>
  <c r="H47" i="20"/>
  <c r="H51" i="20"/>
  <c r="I47" i="20"/>
  <c r="J47" i="20"/>
  <c r="J51" i="20"/>
  <c r="K47" i="20"/>
  <c r="K51" i="20"/>
  <c r="L47" i="20"/>
  <c r="L51" i="20"/>
  <c r="M47" i="20"/>
  <c r="M51" i="20"/>
  <c r="N47" i="20"/>
  <c r="N51" i="20"/>
  <c r="F43" i="20"/>
  <c r="G43" i="20"/>
  <c r="H43" i="20"/>
  <c r="J43" i="20"/>
  <c r="K43" i="20"/>
  <c r="L43" i="20"/>
  <c r="M43" i="20"/>
  <c r="N43" i="20"/>
  <c r="P50" i="20"/>
  <c r="P46" i="20"/>
  <c r="Q46" i="20"/>
  <c r="C21" i="18"/>
  <c r="D21" i="16"/>
  <c r="E21" i="16"/>
  <c r="F21" i="18"/>
  <c r="C22" i="18"/>
  <c r="D22" i="16"/>
  <c r="E22" i="16"/>
  <c r="F22" i="18"/>
  <c r="C23" i="18"/>
  <c r="D23" i="16"/>
  <c r="E23" i="16"/>
  <c r="F23" i="18"/>
  <c r="C24" i="18"/>
  <c r="D24" i="16"/>
  <c r="E24" i="16"/>
  <c r="F24" i="18"/>
  <c r="C25" i="18"/>
  <c r="D25" i="16"/>
  <c r="E25" i="16"/>
  <c r="F25" i="18"/>
  <c r="C26" i="18"/>
  <c r="D26" i="16"/>
  <c r="E26" i="16"/>
  <c r="F26" i="18"/>
  <c r="C27" i="18"/>
  <c r="D27" i="16"/>
  <c r="E27" i="16"/>
  <c r="F27" i="18"/>
  <c r="C28" i="18"/>
  <c r="D28" i="18"/>
  <c r="E28" i="18"/>
  <c r="D29" i="16"/>
  <c r="E29" i="16"/>
  <c r="C29" i="18"/>
  <c r="D30" i="16"/>
  <c r="E30" i="16"/>
  <c r="C30" i="18"/>
  <c r="D20" i="16"/>
  <c r="D28" i="16"/>
  <c r="Z330" i="6"/>
  <c r="Z323" i="6"/>
  <c r="Z311" i="6"/>
  <c r="Z304" i="6"/>
  <c r="Z301" i="6"/>
  <c r="Z297" i="6"/>
  <c r="Z293" i="6"/>
  <c r="Z290" i="6"/>
  <c r="Z289" i="6"/>
  <c r="Z284" i="6"/>
  <c r="Z283" i="6"/>
  <c r="Z278" i="6"/>
  <c r="Z275" i="6"/>
  <c r="AA275" i="6"/>
  <c r="Z274" i="6"/>
  <c r="Z273" i="6"/>
  <c r="Z271" i="6"/>
  <c r="Z270" i="6"/>
  <c r="Z263" i="6"/>
  <c r="Z262" i="6"/>
  <c r="Z259" i="6"/>
  <c r="Z258" i="6"/>
  <c r="AA258" i="6"/>
  <c r="Z257" i="6"/>
  <c r="Z256" i="6"/>
  <c r="Z254" i="6"/>
  <c r="Z253" i="6"/>
  <c r="Z249" i="6"/>
  <c r="Z255" i="6"/>
  <c r="Z252" i="6"/>
  <c r="Z291" i="6"/>
  <c r="Z277" i="6"/>
  <c r="Z260" i="6"/>
  <c r="I53" i="1"/>
  <c r="E49" i="1"/>
  <c r="D49" i="1"/>
  <c r="F49" i="1"/>
  <c r="G49" i="1"/>
  <c r="I49" i="1"/>
  <c r="Z250" i="6"/>
  <c r="Z237" i="6"/>
  <c r="Z244" i="6"/>
  <c r="Z447" i="6"/>
  <c r="AA447" i="6"/>
  <c r="Z240" i="6"/>
  <c r="D20" i="18"/>
  <c r="C20" i="18"/>
  <c r="F7" i="18"/>
  <c r="F8" i="18"/>
  <c r="F9" i="18"/>
  <c r="F10" i="18"/>
  <c r="F11" i="18"/>
  <c r="F12" i="18"/>
  <c r="Z245" i="6"/>
  <c r="Z231" i="6"/>
  <c r="Z227" i="6"/>
  <c r="Z223" i="6"/>
  <c r="Z215" i="6"/>
  <c r="Z248" i="6"/>
  <c r="Z242" i="6"/>
  <c r="Z251" i="6"/>
  <c r="Z246" i="6"/>
  <c r="Z222" i="6"/>
  <c r="Z226" i="6"/>
  <c r="Z233" i="6"/>
  <c r="Z150" i="19"/>
  <c r="F190" i="19"/>
  <c r="B190" i="19"/>
  <c r="P190" i="19"/>
  <c r="D191" i="19"/>
  <c r="T191" i="19"/>
  <c r="F192" i="19"/>
  <c r="T192" i="19"/>
  <c r="J193" i="19"/>
  <c r="X193" i="19"/>
  <c r="J194" i="19"/>
  <c r="N195" i="19"/>
  <c r="B196" i="19"/>
  <c r="R196" i="19"/>
  <c r="B198" i="19"/>
  <c r="P198" i="19"/>
  <c r="F199" i="19"/>
  <c r="T199" i="19"/>
  <c r="F200" i="19"/>
  <c r="V200" i="19"/>
  <c r="J201" i="19"/>
  <c r="X201" i="19"/>
  <c r="N202" i="19"/>
  <c r="Z214" i="19"/>
  <c r="Z218" i="19"/>
  <c r="B208" i="19"/>
  <c r="B207" i="19"/>
  <c r="B219" i="19"/>
  <c r="C219" i="19"/>
  <c r="D208" i="19"/>
  <c r="F208" i="19"/>
  <c r="F207" i="19"/>
  <c r="F219" i="19"/>
  <c r="G219" i="19"/>
  <c r="H208" i="19"/>
  <c r="H207" i="19"/>
  <c r="J208" i="19"/>
  <c r="J207" i="19"/>
  <c r="K208" i="19"/>
  <c r="L208" i="19"/>
  <c r="L207" i="19"/>
  <c r="N208" i="19"/>
  <c r="N207" i="19"/>
  <c r="N219" i="19"/>
  <c r="O219" i="19"/>
  <c r="P208" i="19"/>
  <c r="P207" i="19"/>
  <c r="R208" i="19"/>
  <c r="R207" i="19"/>
  <c r="T208" i="19"/>
  <c r="T207" i="19"/>
  <c r="V208" i="19"/>
  <c r="V207" i="19"/>
  <c r="V219" i="19"/>
  <c r="W219" i="19"/>
  <c r="X208" i="19"/>
  <c r="X207" i="19"/>
  <c r="B210" i="19"/>
  <c r="B220" i="19"/>
  <c r="C220" i="19"/>
  <c r="D210" i="19"/>
  <c r="D220" i="19"/>
  <c r="E220" i="19"/>
  <c r="F210" i="19"/>
  <c r="F220" i="19"/>
  <c r="G220" i="19"/>
  <c r="H210" i="19"/>
  <c r="H220" i="19"/>
  <c r="I220" i="19"/>
  <c r="J210" i="19"/>
  <c r="J220" i="19"/>
  <c r="K220" i="19"/>
  <c r="L210" i="19"/>
  <c r="L220" i="19"/>
  <c r="M220" i="19"/>
  <c r="N210" i="19"/>
  <c r="N220" i="19"/>
  <c r="O220" i="19"/>
  <c r="P210" i="19"/>
  <c r="P220" i="19"/>
  <c r="Q220" i="19"/>
  <c r="R210" i="19"/>
  <c r="R220" i="19"/>
  <c r="S220" i="19"/>
  <c r="T210" i="19"/>
  <c r="V210" i="19"/>
  <c r="V220" i="19"/>
  <c r="W220" i="19"/>
  <c r="X210" i="19"/>
  <c r="X220" i="19"/>
  <c r="Y220" i="19"/>
  <c r="B218" i="19"/>
  <c r="C218" i="19"/>
  <c r="D218" i="19"/>
  <c r="E218" i="19"/>
  <c r="F218" i="19"/>
  <c r="G218" i="19"/>
  <c r="H218" i="19"/>
  <c r="I218" i="19"/>
  <c r="J218" i="19"/>
  <c r="K218" i="19"/>
  <c r="L218" i="19"/>
  <c r="M218" i="19"/>
  <c r="N218" i="19"/>
  <c r="O218" i="19"/>
  <c r="P218" i="19"/>
  <c r="Q218" i="19"/>
  <c r="R218" i="19"/>
  <c r="S218" i="19"/>
  <c r="T218" i="19"/>
  <c r="U218" i="19"/>
  <c r="V218" i="19"/>
  <c r="W218" i="19"/>
  <c r="X218" i="19"/>
  <c r="Y218" i="19"/>
  <c r="Z205" i="19"/>
  <c r="Z204" i="19"/>
  <c r="AA205" i="19"/>
  <c r="X204" i="19"/>
  <c r="V204" i="19"/>
  <c r="T204" i="19"/>
  <c r="R204" i="19"/>
  <c r="S205" i="19"/>
  <c r="P204" i="19"/>
  <c r="N204" i="19"/>
  <c r="O205" i="19"/>
  <c r="L204" i="19"/>
  <c r="J204" i="19"/>
  <c r="K205" i="19"/>
  <c r="H204" i="19"/>
  <c r="F204" i="19"/>
  <c r="D204" i="19"/>
  <c r="B204" i="19"/>
  <c r="C205" i="19"/>
  <c r="Y205" i="19"/>
  <c r="W205" i="19"/>
  <c r="U205" i="19"/>
  <c r="Q205" i="19"/>
  <c r="M205" i="19"/>
  <c r="I205" i="19"/>
  <c r="G205" i="19"/>
  <c r="E205" i="19"/>
  <c r="Z76" i="19"/>
  <c r="D116" i="19"/>
  <c r="F116" i="19"/>
  <c r="H116" i="19"/>
  <c r="N116" i="19"/>
  <c r="P116" i="19"/>
  <c r="T116" i="19"/>
  <c r="X116" i="19"/>
  <c r="B117" i="19"/>
  <c r="D117" i="19"/>
  <c r="J117" i="19"/>
  <c r="L117" i="19"/>
  <c r="N117" i="19"/>
  <c r="T117" i="19"/>
  <c r="V117" i="19"/>
  <c r="D118" i="19"/>
  <c r="H118" i="19"/>
  <c r="J118" i="19"/>
  <c r="P118" i="19"/>
  <c r="R118" i="19"/>
  <c r="T118" i="19"/>
  <c r="B119" i="19"/>
  <c r="F119" i="19"/>
  <c r="J119" i="19"/>
  <c r="N119" i="19"/>
  <c r="P119" i="19"/>
  <c r="V119" i="19"/>
  <c r="X119" i="19"/>
  <c r="F120" i="19"/>
  <c r="H120" i="19"/>
  <c r="L120" i="19"/>
  <c r="P120" i="19"/>
  <c r="T120" i="19"/>
  <c r="V120" i="19"/>
  <c r="B121" i="19"/>
  <c r="D121" i="19"/>
  <c r="F121" i="19"/>
  <c r="L121" i="19"/>
  <c r="N121" i="19"/>
  <c r="R121" i="19"/>
  <c r="V121" i="19"/>
  <c r="B122" i="19"/>
  <c r="H122" i="19"/>
  <c r="J122" i="19"/>
  <c r="L122" i="19"/>
  <c r="R122" i="19"/>
  <c r="T122" i="19"/>
  <c r="X122" i="19"/>
  <c r="D124" i="19"/>
  <c r="F124" i="19"/>
  <c r="L124" i="19"/>
  <c r="N124" i="19"/>
  <c r="V124" i="19"/>
  <c r="X124" i="19"/>
  <c r="B125" i="19"/>
  <c r="F125" i="19"/>
  <c r="J125" i="19"/>
  <c r="L125" i="19"/>
  <c r="R125" i="19"/>
  <c r="T125" i="19"/>
  <c r="V125" i="19"/>
  <c r="B126" i="19"/>
  <c r="D126" i="19"/>
  <c r="H126" i="19"/>
  <c r="L126" i="19"/>
  <c r="R126" i="19"/>
  <c r="X126" i="19"/>
  <c r="B127" i="19"/>
  <c r="H127" i="19"/>
  <c r="J127" i="19"/>
  <c r="N127" i="19"/>
  <c r="R127" i="19"/>
  <c r="V127" i="19"/>
  <c r="X127" i="19"/>
  <c r="D128" i="19"/>
  <c r="F128" i="19"/>
  <c r="H128" i="19"/>
  <c r="N128" i="19"/>
  <c r="P128" i="19"/>
  <c r="T128" i="19"/>
  <c r="X128" i="19"/>
  <c r="Z140" i="19"/>
  <c r="Z144" i="19"/>
  <c r="B134" i="19"/>
  <c r="B133" i="19"/>
  <c r="D134" i="19"/>
  <c r="D133" i="19"/>
  <c r="D145" i="19"/>
  <c r="E145" i="19"/>
  <c r="F134" i="19"/>
  <c r="F133" i="19"/>
  <c r="F145" i="19"/>
  <c r="G145" i="19"/>
  <c r="H134" i="19"/>
  <c r="H133" i="19"/>
  <c r="J134" i="19"/>
  <c r="J133" i="19"/>
  <c r="L134" i="19"/>
  <c r="L133" i="19"/>
  <c r="L145" i="19"/>
  <c r="M145" i="19"/>
  <c r="N134" i="19"/>
  <c r="N133" i="19"/>
  <c r="N145" i="19"/>
  <c r="O145" i="19"/>
  <c r="P134" i="19"/>
  <c r="P133" i="19"/>
  <c r="R134" i="19"/>
  <c r="R133" i="19"/>
  <c r="S134" i="19"/>
  <c r="T134" i="19"/>
  <c r="T133" i="19"/>
  <c r="T145" i="19"/>
  <c r="U145" i="19"/>
  <c r="V134" i="19"/>
  <c r="V133" i="19"/>
  <c r="W134" i="19"/>
  <c r="X134" i="19"/>
  <c r="X133" i="19"/>
  <c r="B136" i="19"/>
  <c r="B146" i="19"/>
  <c r="C146" i="19"/>
  <c r="D136" i="19"/>
  <c r="D146" i="19"/>
  <c r="E146" i="19"/>
  <c r="H136" i="19"/>
  <c r="H146" i="19"/>
  <c r="I146" i="19"/>
  <c r="L136" i="19"/>
  <c r="L146" i="19"/>
  <c r="M146" i="19"/>
  <c r="P136" i="19"/>
  <c r="P146" i="19"/>
  <c r="Q146" i="19"/>
  <c r="R136" i="19"/>
  <c r="R146" i="19"/>
  <c r="S146" i="19"/>
  <c r="X136" i="19"/>
  <c r="X146" i="19"/>
  <c r="Y146" i="19"/>
  <c r="B144" i="19"/>
  <c r="C144" i="19"/>
  <c r="F144" i="19"/>
  <c r="G144" i="19"/>
  <c r="L144" i="19"/>
  <c r="M144" i="19"/>
  <c r="N144" i="19"/>
  <c r="O144" i="19"/>
  <c r="P144" i="19"/>
  <c r="Q144" i="19"/>
  <c r="T144" i="19"/>
  <c r="U144" i="19"/>
  <c r="X144" i="19"/>
  <c r="Y144" i="19"/>
  <c r="G47" i="1"/>
  <c r="B70" i="19"/>
  <c r="C70" i="19"/>
  <c r="D70" i="19"/>
  <c r="E70" i="19"/>
  <c r="F70" i="19"/>
  <c r="G70" i="19"/>
  <c r="H70" i="19"/>
  <c r="I70" i="19"/>
  <c r="J70" i="19"/>
  <c r="K70" i="19"/>
  <c r="N70" i="19"/>
  <c r="O70" i="19"/>
  <c r="L70" i="19"/>
  <c r="M70" i="19"/>
  <c r="P70" i="19"/>
  <c r="Q70" i="19"/>
  <c r="R70" i="19"/>
  <c r="S70" i="19"/>
  <c r="T70" i="19"/>
  <c r="U70" i="19"/>
  <c r="V70" i="19"/>
  <c r="W70" i="19"/>
  <c r="X70" i="19"/>
  <c r="Y70" i="19"/>
  <c r="R59" i="19"/>
  <c r="R71" i="19"/>
  <c r="S71" i="19"/>
  <c r="D41" i="19"/>
  <c r="E48" i="19"/>
  <c r="F41" i="19"/>
  <c r="G43" i="19"/>
  <c r="N41" i="19"/>
  <c r="O47" i="19"/>
  <c r="R4" i="19"/>
  <c r="S8" i="19"/>
  <c r="T41" i="19"/>
  <c r="V41" i="19"/>
  <c r="W42" i="19"/>
  <c r="X4" i="19"/>
  <c r="Y8" i="19"/>
  <c r="Z66" i="19"/>
  <c r="Z228" i="6"/>
  <c r="Z402" i="6"/>
  <c r="Z211" i="6"/>
  <c r="Z219" i="6"/>
  <c r="Z241" i="6"/>
  <c r="Z232" i="6"/>
  <c r="Z220" i="6"/>
  <c r="Z205" i="6"/>
  <c r="Z214" i="6"/>
  <c r="Z224" i="6"/>
  <c r="Z225" i="6"/>
  <c r="Z247" i="6"/>
  <c r="Z221" i="6"/>
  <c r="Z202" i="6"/>
  <c r="Z213" i="6"/>
  <c r="B70" i="13"/>
  <c r="C70" i="13"/>
  <c r="D70" i="13"/>
  <c r="E70" i="13"/>
  <c r="F70" i="13"/>
  <c r="G70" i="13"/>
  <c r="H70" i="13"/>
  <c r="I70" i="13"/>
  <c r="J70" i="13"/>
  <c r="K70" i="13"/>
  <c r="N70" i="13"/>
  <c r="O70" i="13"/>
  <c r="L70" i="13"/>
  <c r="M70" i="13"/>
  <c r="P70" i="13"/>
  <c r="Q70" i="13"/>
  <c r="R70" i="13"/>
  <c r="S70" i="13"/>
  <c r="T70" i="13"/>
  <c r="U70" i="13"/>
  <c r="V70" i="13"/>
  <c r="W70" i="13"/>
  <c r="X70" i="13"/>
  <c r="Y70" i="13"/>
  <c r="B59" i="13"/>
  <c r="B71" i="13"/>
  <c r="C71" i="13"/>
  <c r="D59" i="13"/>
  <c r="D71" i="13"/>
  <c r="E71" i="13"/>
  <c r="F59" i="13"/>
  <c r="F71" i="13"/>
  <c r="G71" i="13"/>
  <c r="H59" i="13"/>
  <c r="H71" i="13"/>
  <c r="I71" i="13"/>
  <c r="J59" i="13"/>
  <c r="J71" i="13"/>
  <c r="K71" i="13"/>
  <c r="N59" i="13"/>
  <c r="N71" i="13"/>
  <c r="O71" i="13"/>
  <c r="P59" i="13"/>
  <c r="P71" i="13"/>
  <c r="Q71" i="13"/>
  <c r="R59" i="13"/>
  <c r="R71" i="13"/>
  <c r="S71" i="13"/>
  <c r="T59" i="13"/>
  <c r="T71" i="13"/>
  <c r="U71" i="13"/>
  <c r="V59" i="13"/>
  <c r="V71" i="13"/>
  <c r="W71" i="13"/>
  <c r="X59" i="13"/>
  <c r="X71" i="13"/>
  <c r="Y71" i="13"/>
  <c r="B72" i="13"/>
  <c r="C72" i="13"/>
  <c r="D72" i="13"/>
  <c r="E72" i="13"/>
  <c r="F72" i="13"/>
  <c r="G72" i="13"/>
  <c r="H72" i="13"/>
  <c r="I72" i="13"/>
  <c r="N72" i="13"/>
  <c r="O72" i="13"/>
  <c r="L72" i="13"/>
  <c r="M72" i="13"/>
  <c r="P72" i="13"/>
  <c r="Q72" i="13"/>
  <c r="R72" i="13"/>
  <c r="S72" i="13"/>
  <c r="V72" i="13"/>
  <c r="W72" i="13"/>
  <c r="X72" i="13"/>
  <c r="Y72" i="13"/>
  <c r="B70" i="14"/>
  <c r="C70" i="14"/>
  <c r="D70" i="14"/>
  <c r="E70" i="14"/>
  <c r="F70" i="14"/>
  <c r="G70" i="14"/>
  <c r="H70" i="14"/>
  <c r="I70" i="14"/>
  <c r="J70" i="14"/>
  <c r="K70" i="14"/>
  <c r="N70" i="14"/>
  <c r="O70" i="14"/>
  <c r="L70" i="14"/>
  <c r="M70" i="14"/>
  <c r="P70" i="14"/>
  <c r="Q70" i="14"/>
  <c r="R70" i="14"/>
  <c r="S70" i="14"/>
  <c r="T70" i="14"/>
  <c r="U70" i="14"/>
  <c r="V70" i="14"/>
  <c r="W70" i="14"/>
  <c r="X70" i="14"/>
  <c r="Y70" i="14"/>
  <c r="D59" i="14"/>
  <c r="D71" i="14"/>
  <c r="E71" i="14"/>
  <c r="F59" i="14"/>
  <c r="F71" i="14"/>
  <c r="G71" i="14"/>
  <c r="N59" i="14"/>
  <c r="N71" i="14"/>
  <c r="O71" i="14"/>
  <c r="L59" i="14"/>
  <c r="L71" i="14"/>
  <c r="M71" i="14"/>
  <c r="T59" i="14"/>
  <c r="T71" i="14"/>
  <c r="U71" i="14"/>
  <c r="V59" i="14"/>
  <c r="V71" i="14"/>
  <c r="W71" i="14"/>
  <c r="D72" i="14"/>
  <c r="E72" i="14"/>
  <c r="F72" i="14"/>
  <c r="G72" i="14"/>
  <c r="L72" i="14"/>
  <c r="M72" i="14"/>
  <c r="T72" i="14"/>
  <c r="U72" i="14"/>
  <c r="H49" i="1"/>
  <c r="H47" i="1"/>
  <c r="C52" i="1"/>
  <c r="D52" i="1"/>
  <c r="I52" i="1"/>
  <c r="H52" i="1"/>
  <c r="E52" i="1"/>
  <c r="C47" i="1"/>
  <c r="F48" i="1"/>
  <c r="D50" i="1"/>
  <c r="D51" i="1"/>
  <c r="F51" i="1"/>
  <c r="E51" i="1"/>
  <c r="D47" i="1"/>
  <c r="F50" i="1"/>
  <c r="Z229" i="6"/>
  <c r="Z206" i="6"/>
  <c r="Z230" i="6"/>
  <c r="Z196" i="6"/>
  <c r="Z209" i="6"/>
  <c r="Z235" i="6"/>
  <c r="Z217" i="6"/>
  <c r="Z210" i="6"/>
  <c r="H107" i="7"/>
  <c r="R117" i="14"/>
  <c r="Z203" i="6"/>
  <c r="Z200" i="6"/>
  <c r="Z192" i="6"/>
  <c r="Z201" i="6"/>
  <c r="Z197" i="6"/>
  <c r="G8" i="16"/>
  <c r="I8" i="18"/>
  <c r="G10" i="16"/>
  <c r="J9" i="18"/>
  <c r="G11" i="16"/>
  <c r="I10" i="18"/>
  <c r="G12" i="16"/>
  <c r="J11" i="18"/>
  <c r="I11" i="18"/>
  <c r="G14" i="16"/>
  <c r="G13" i="16"/>
  <c r="I12" i="18"/>
  <c r="G7" i="16"/>
  <c r="J7" i="18"/>
  <c r="H21" i="16"/>
  <c r="L21" i="18"/>
  <c r="H22" i="16"/>
  <c r="L22" i="18"/>
  <c r="I23" i="18"/>
  <c r="H23" i="16"/>
  <c r="L23" i="18"/>
  <c r="H24" i="16"/>
  <c r="L24" i="18"/>
  <c r="H20" i="16"/>
  <c r="L20" i="18"/>
  <c r="E20" i="16"/>
  <c r="J8" i="18"/>
  <c r="J10" i="18"/>
  <c r="J12" i="18"/>
  <c r="O31" i="18"/>
  <c r="M31" i="16"/>
  <c r="J20" i="18"/>
  <c r="J21" i="18"/>
  <c r="J22" i="18"/>
  <c r="K22" i="18"/>
  <c r="J23" i="18"/>
  <c r="K23" i="18"/>
  <c r="K21" i="18"/>
  <c r="E20" i="18"/>
  <c r="C50" i="18"/>
  <c r="D50" i="18"/>
  <c r="E50" i="18"/>
  <c r="F50" i="18"/>
  <c r="G50" i="18"/>
  <c r="G70" i="18"/>
  <c r="H50" i="18"/>
  <c r="I50" i="18"/>
  <c r="J50" i="18"/>
  <c r="K50" i="18"/>
  <c r="L50" i="18"/>
  <c r="M50" i="18"/>
  <c r="M56" i="18"/>
  <c r="N50" i="18"/>
  <c r="P67" i="18"/>
  <c r="P59" i="18"/>
  <c r="P56" i="18"/>
  <c r="P54" i="18"/>
  <c r="C49" i="18"/>
  <c r="D49" i="18"/>
  <c r="E49" i="18"/>
  <c r="F49" i="18"/>
  <c r="F53" i="18"/>
  <c r="G49" i="18"/>
  <c r="G53" i="18"/>
  <c r="H49" i="18"/>
  <c r="I49" i="18"/>
  <c r="J49" i="18"/>
  <c r="K49" i="18"/>
  <c r="L49" i="18"/>
  <c r="L53" i="18"/>
  <c r="M49" i="18"/>
  <c r="M53" i="18"/>
  <c r="N49" i="18"/>
  <c r="N53" i="18"/>
  <c r="F45" i="18"/>
  <c r="G45" i="18"/>
  <c r="L45" i="18"/>
  <c r="M45" i="18"/>
  <c r="N45" i="18"/>
  <c r="C48" i="18"/>
  <c r="D48" i="18"/>
  <c r="E48" i="18"/>
  <c r="F48" i="18"/>
  <c r="F52" i="18"/>
  <c r="G48" i="18"/>
  <c r="G52" i="18"/>
  <c r="H48" i="18"/>
  <c r="I48" i="18"/>
  <c r="J48" i="18"/>
  <c r="K48" i="18"/>
  <c r="L48" i="18"/>
  <c r="M48" i="18"/>
  <c r="M52" i="18"/>
  <c r="N48" i="18"/>
  <c r="N52" i="18"/>
  <c r="F44" i="18"/>
  <c r="G44" i="18"/>
  <c r="M44" i="18"/>
  <c r="N44" i="18"/>
  <c r="C47" i="18"/>
  <c r="D47" i="18"/>
  <c r="E47" i="18"/>
  <c r="F47" i="18"/>
  <c r="F51" i="18"/>
  <c r="G47" i="18"/>
  <c r="G51" i="18"/>
  <c r="H47" i="18"/>
  <c r="H51" i="18"/>
  <c r="I47" i="18"/>
  <c r="J47" i="18"/>
  <c r="J51" i="18"/>
  <c r="K47" i="18"/>
  <c r="K51" i="18"/>
  <c r="L47" i="18"/>
  <c r="L51" i="18"/>
  <c r="M47" i="18"/>
  <c r="M51" i="18"/>
  <c r="N47" i="18"/>
  <c r="N51" i="18"/>
  <c r="F43" i="18"/>
  <c r="G43" i="18"/>
  <c r="H43" i="18"/>
  <c r="J43" i="18"/>
  <c r="K43" i="18"/>
  <c r="L43" i="18"/>
  <c r="M43" i="18"/>
  <c r="N43" i="18"/>
  <c r="P50" i="18"/>
  <c r="P46" i="18"/>
  <c r="Q46" i="18"/>
  <c r="F7" i="16"/>
  <c r="F8" i="16"/>
  <c r="F9" i="16"/>
  <c r="F10" i="16"/>
  <c r="F11" i="16"/>
  <c r="F12" i="16"/>
  <c r="F13" i="16"/>
  <c r="F14" i="16"/>
  <c r="Z208" i="6"/>
  <c r="Z212" i="6"/>
  <c r="Z198" i="6"/>
  <c r="Z193" i="6"/>
  <c r="Z187" i="6"/>
  <c r="Z191" i="6"/>
  <c r="AA191" i="6"/>
  <c r="Z272" i="6"/>
  <c r="Z236" i="6"/>
  <c r="Z216" i="6"/>
  <c r="P4" i="1"/>
  <c r="Q4" i="1"/>
  <c r="Z189" i="6"/>
  <c r="AA189" i="6"/>
  <c r="Z199" i="6"/>
  <c r="Z194" i="6"/>
  <c r="Z186" i="6"/>
  <c r="Z190" i="6"/>
  <c r="Z185" i="6"/>
  <c r="Z188" i="6"/>
  <c r="Z207" i="6"/>
  <c r="Z195" i="6"/>
  <c r="Z184" i="6"/>
  <c r="Z180" i="6"/>
  <c r="Z181" i="6"/>
  <c r="Z178" i="6"/>
  <c r="Z177" i="6"/>
  <c r="B136" i="14"/>
  <c r="B146" i="14"/>
  <c r="C146" i="14"/>
  <c r="D136" i="14"/>
  <c r="D146" i="14"/>
  <c r="E146" i="14"/>
  <c r="H136" i="14"/>
  <c r="H146" i="14"/>
  <c r="I146" i="14"/>
  <c r="L136" i="14"/>
  <c r="L146" i="14"/>
  <c r="M146" i="14"/>
  <c r="P136" i="14"/>
  <c r="P146" i="14"/>
  <c r="Q146" i="14"/>
  <c r="R136" i="14"/>
  <c r="R146" i="14"/>
  <c r="S146" i="14"/>
  <c r="X136" i="14"/>
  <c r="X146" i="14"/>
  <c r="Y146" i="14"/>
  <c r="B134" i="14"/>
  <c r="B133" i="14"/>
  <c r="B145" i="14"/>
  <c r="C145" i="14"/>
  <c r="D134" i="14"/>
  <c r="D133" i="14"/>
  <c r="D145" i="14"/>
  <c r="E145" i="14"/>
  <c r="F134" i="14"/>
  <c r="F133" i="14"/>
  <c r="H134" i="14"/>
  <c r="H133" i="14"/>
  <c r="H145" i="14"/>
  <c r="I145" i="14"/>
  <c r="J134" i="14"/>
  <c r="J133" i="14"/>
  <c r="J145" i="14"/>
  <c r="K145" i="14"/>
  <c r="L134" i="14"/>
  <c r="L133" i="14"/>
  <c r="L145" i="14"/>
  <c r="M145" i="14"/>
  <c r="N134" i="14"/>
  <c r="N133" i="14"/>
  <c r="N145" i="14"/>
  <c r="O145" i="14"/>
  <c r="P134" i="14"/>
  <c r="P133" i="14"/>
  <c r="P145" i="14"/>
  <c r="Q145" i="14"/>
  <c r="R134" i="14"/>
  <c r="R133" i="14"/>
  <c r="R145" i="14"/>
  <c r="S145" i="14"/>
  <c r="T134" i="14"/>
  <c r="T133" i="14"/>
  <c r="V134" i="14"/>
  <c r="V133" i="14"/>
  <c r="V145" i="14"/>
  <c r="W145" i="14"/>
  <c r="X134" i="14"/>
  <c r="X133" i="14"/>
  <c r="X145" i="14"/>
  <c r="Y145" i="14"/>
  <c r="D116" i="14"/>
  <c r="H116" i="14"/>
  <c r="L116" i="14"/>
  <c r="N116" i="14"/>
  <c r="T116" i="14"/>
  <c r="V116" i="14"/>
  <c r="X116" i="14"/>
  <c r="H74" i="7"/>
  <c r="D117" i="14"/>
  <c r="H117" i="14"/>
  <c r="L117" i="14"/>
  <c r="P117" i="14"/>
  <c r="X117" i="14"/>
  <c r="B118" i="14"/>
  <c r="H118" i="14"/>
  <c r="J118" i="14"/>
  <c r="N118" i="14"/>
  <c r="R118" i="14"/>
  <c r="V118" i="14"/>
  <c r="X118" i="14"/>
  <c r="D119" i="14"/>
  <c r="F119" i="14"/>
  <c r="H119" i="14"/>
  <c r="N119" i="14"/>
  <c r="P119" i="14"/>
  <c r="T119" i="14"/>
  <c r="X119" i="14"/>
  <c r="B120" i="14"/>
  <c r="D120" i="14"/>
  <c r="J120" i="14"/>
  <c r="L120" i="14"/>
  <c r="N120" i="14"/>
  <c r="T120" i="14"/>
  <c r="V120" i="14"/>
  <c r="D121" i="14"/>
  <c r="H121" i="14"/>
  <c r="J121" i="14"/>
  <c r="P121" i="14"/>
  <c r="R121" i="14"/>
  <c r="T121" i="14"/>
  <c r="B122" i="14"/>
  <c r="F122" i="14"/>
  <c r="J122" i="14"/>
  <c r="N122" i="14"/>
  <c r="P122" i="14"/>
  <c r="V122" i="14"/>
  <c r="X122" i="14"/>
  <c r="D124" i="14"/>
  <c r="F124" i="14"/>
  <c r="J124" i="14"/>
  <c r="N124" i="14"/>
  <c r="R124" i="14"/>
  <c r="T124" i="14"/>
  <c r="B125" i="14"/>
  <c r="D125" i="14"/>
  <c r="J125" i="14"/>
  <c r="L125" i="14"/>
  <c r="P125" i="14"/>
  <c r="T125" i="14"/>
  <c r="X125" i="14"/>
  <c r="F126" i="14"/>
  <c r="H126" i="14"/>
  <c r="J126" i="14"/>
  <c r="P126" i="14"/>
  <c r="R126" i="14"/>
  <c r="V126" i="14"/>
  <c r="D127" i="14"/>
  <c r="F127" i="14"/>
  <c r="L127" i="14"/>
  <c r="N127" i="14"/>
  <c r="P127" i="14"/>
  <c r="V127" i="14"/>
  <c r="X127" i="14"/>
  <c r="B128" i="14"/>
  <c r="F128" i="14"/>
  <c r="J128" i="14"/>
  <c r="L128" i="14"/>
  <c r="R128" i="14"/>
  <c r="T128" i="14"/>
  <c r="V128" i="14"/>
  <c r="V218" i="14"/>
  <c r="W218" i="14"/>
  <c r="L218" i="14"/>
  <c r="M218" i="14"/>
  <c r="Z218" i="6"/>
  <c r="Z182" i="6"/>
  <c r="Z179" i="6"/>
  <c r="Z176" i="6"/>
  <c r="Z174" i="6"/>
  <c r="Z175" i="6"/>
  <c r="Z173" i="6"/>
  <c r="Z172" i="6"/>
  <c r="Z166" i="6"/>
  <c r="Z183" i="6"/>
  <c r="Z165" i="6"/>
  <c r="Z170" i="6"/>
  <c r="Z167" i="6"/>
  <c r="Z160" i="6"/>
  <c r="Z163" i="6"/>
  <c r="Z157" i="6"/>
  <c r="Z168" i="6"/>
  <c r="Z164" i="6"/>
  <c r="Z161" i="6"/>
  <c r="Z171" i="6"/>
  <c r="Z158" i="6"/>
  <c r="Z154" i="6"/>
  <c r="Z152" i="6"/>
  <c r="Z159" i="6"/>
  <c r="Z169" i="6"/>
  <c r="Z153" i="6"/>
  <c r="Z162" i="6"/>
  <c r="Z151" i="6"/>
  <c r="Z148" i="6"/>
  <c r="Z261" i="6"/>
  <c r="Z146" i="6"/>
  <c r="B116" i="13"/>
  <c r="D116" i="13"/>
  <c r="F116" i="13"/>
  <c r="J116" i="13"/>
  <c r="L116" i="13"/>
  <c r="N116" i="13"/>
  <c r="R116" i="13"/>
  <c r="T116" i="13"/>
  <c r="V116" i="13"/>
  <c r="B117" i="13"/>
  <c r="D117" i="13"/>
  <c r="H29" i="7"/>
  <c r="F117" i="13"/>
  <c r="H117" i="13"/>
  <c r="J117" i="13"/>
  <c r="N117" i="13"/>
  <c r="P117" i="13"/>
  <c r="R117" i="13"/>
  <c r="V117" i="13"/>
  <c r="X117" i="13"/>
  <c r="D118" i="13"/>
  <c r="F118" i="13"/>
  <c r="H118" i="13"/>
  <c r="L118" i="13"/>
  <c r="N118" i="13"/>
  <c r="P118" i="13"/>
  <c r="T118" i="13"/>
  <c r="V118" i="13"/>
  <c r="X118" i="13"/>
  <c r="B119" i="13"/>
  <c r="D119" i="13"/>
  <c r="F119" i="13"/>
  <c r="J119" i="13"/>
  <c r="L119" i="13"/>
  <c r="N119" i="13"/>
  <c r="R119" i="13"/>
  <c r="T119" i="13"/>
  <c r="V119" i="13"/>
  <c r="B120" i="13"/>
  <c r="D120" i="13"/>
  <c r="H120" i="13"/>
  <c r="J120" i="13"/>
  <c r="L120" i="13"/>
  <c r="P120" i="13"/>
  <c r="R120" i="13"/>
  <c r="T120" i="13"/>
  <c r="X120" i="13"/>
  <c r="B121" i="13"/>
  <c r="F121" i="13"/>
  <c r="H121" i="13"/>
  <c r="J121" i="13"/>
  <c r="N121" i="13"/>
  <c r="P121" i="13"/>
  <c r="R121" i="13"/>
  <c r="V121" i="13"/>
  <c r="X121" i="13"/>
  <c r="D122" i="13"/>
  <c r="F122" i="13"/>
  <c r="H122" i="13"/>
  <c r="L122" i="13"/>
  <c r="N122" i="13"/>
  <c r="P122" i="13"/>
  <c r="T122" i="13"/>
  <c r="V122" i="13"/>
  <c r="X122" i="13"/>
  <c r="H15" i="7"/>
  <c r="B124" i="13"/>
  <c r="H25" i="7"/>
  <c r="D124" i="13"/>
  <c r="F124" i="13"/>
  <c r="H124" i="13"/>
  <c r="L124" i="13"/>
  <c r="N124" i="13"/>
  <c r="P124" i="13"/>
  <c r="T124" i="13"/>
  <c r="V124" i="13"/>
  <c r="X124" i="13"/>
  <c r="B125" i="13"/>
  <c r="D125" i="13"/>
  <c r="F125" i="13"/>
  <c r="J125" i="13"/>
  <c r="L125" i="13"/>
  <c r="N125" i="13"/>
  <c r="R125" i="13"/>
  <c r="T125" i="13"/>
  <c r="V125" i="13"/>
  <c r="B126" i="13"/>
  <c r="D126" i="13"/>
  <c r="H126" i="13"/>
  <c r="J126" i="13"/>
  <c r="L126" i="13"/>
  <c r="P126" i="13"/>
  <c r="R126" i="13"/>
  <c r="T126" i="13"/>
  <c r="X126" i="13"/>
  <c r="B127" i="13"/>
  <c r="F127" i="13"/>
  <c r="H127" i="13"/>
  <c r="J127" i="13"/>
  <c r="N127" i="13"/>
  <c r="P127" i="13"/>
  <c r="R127" i="13"/>
  <c r="V127" i="13"/>
  <c r="X127" i="13"/>
  <c r="D128" i="13"/>
  <c r="F128" i="13"/>
  <c r="H128" i="13"/>
  <c r="L128" i="13"/>
  <c r="N128" i="13"/>
  <c r="P128" i="13"/>
  <c r="T128" i="13"/>
  <c r="V128" i="13"/>
  <c r="X128" i="13"/>
  <c r="B134" i="13"/>
  <c r="B133" i="13"/>
  <c r="B145" i="13"/>
  <c r="C145" i="13"/>
  <c r="D134" i="13"/>
  <c r="D133" i="13"/>
  <c r="D145" i="13"/>
  <c r="E145" i="13"/>
  <c r="F134" i="13"/>
  <c r="F133" i="13"/>
  <c r="F145" i="13"/>
  <c r="G145" i="13"/>
  <c r="H134" i="13"/>
  <c r="H133" i="13"/>
  <c r="H145" i="13"/>
  <c r="I145" i="13"/>
  <c r="J134" i="13"/>
  <c r="J133" i="13"/>
  <c r="J145" i="13"/>
  <c r="K145" i="13"/>
  <c r="L134" i="13"/>
  <c r="L133" i="13"/>
  <c r="L145" i="13"/>
  <c r="M145" i="13"/>
  <c r="N134" i="13"/>
  <c r="N133" i="13"/>
  <c r="N145" i="13"/>
  <c r="O145" i="13"/>
  <c r="P134" i="13"/>
  <c r="P133" i="13"/>
  <c r="Q134" i="13"/>
  <c r="R134" i="13"/>
  <c r="R133" i="13"/>
  <c r="R145" i="13"/>
  <c r="S145" i="13"/>
  <c r="T134" i="13"/>
  <c r="T133" i="13"/>
  <c r="T145" i="13"/>
  <c r="U145" i="13"/>
  <c r="V134" i="13"/>
  <c r="V133" i="13"/>
  <c r="V145" i="13"/>
  <c r="W145" i="13"/>
  <c r="X134" i="13"/>
  <c r="X133" i="13"/>
  <c r="X145" i="13"/>
  <c r="Y145" i="13"/>
  <c r="B136" i="13"/>
  <c r="B146" i="13"/>
  <c r="C146" i="13"/>
  <c r="D136" i="13"/>
  <c r="D146" i="13"/>
  <c r="E146" i="13"/>
  <c r="F136" i="13"/>
  <c r="F146" i="13"/>
  <c r="G146" i="13"/>
  <c r="H136" i="13"/>
  <c r="H146" i="13"/>
  <c r="I146" i="13"/>
  <c r="H36" i="7"/>
  <c r="J136" i="13"/>
  <c r="J146" i="13"/>
  <c r="K146" i="13"/>
  <c r="L136" i="13"/>
  <c r="L146" i="13"/>
  <c r="M146" i="13"/>
  <c r="N136" i="13"/>
  <c r="N146" i="13"/>
  <c r="O146" i="13"/>
  <c r="P136" i="13"/>
  <c r="P146" i="13"/>
  <c r="Q146" i="13"/>
  <c r="R136" i="13"/>
  <c r="R146" i="13"/>
  <c r="S146" i="13"/>
  <c r="H60" i="7"/>
  <c r="T136" i="13"/>
  <c r="T146" i="13"/>
  <c r="U146" i="13"/>
  <c r="V136" i="13"/>
  <c r="V146" i="13"/>
  <c r="W146" i="13"/>
  <c r="X136" i="13"/>
  <c r="X146" i="13"/>
  <c r="Y146" i="13"/>
  <c r="D131" i="14"/>
  <c r="F131" i="14"/>
  <c r="F130" i="14"/>
  <c r="L131" i="14"/>
  <c r="N131" i="14"/>
  <c r="P131" i="14"/>
  <c r="P130" i="14"/>
  <c r="V131" i="14"/>
  <c r="X131" i="14"/>
  <c r="X130" i="14"/>
  <c r="D44" i="1"/>
  <c r="Z204" i="6"/>
  <c r="Z234" i="6"/>
  <c r="Z243" i="6"/>
  <c r="Z239" i="6"/>
  <c r="Z238" i="6"/>
  <c r="Z145" i="6"/>
  <c r="Z214" i="14"/>
  <c r="N218" i="14"/>
  <c r="O218" i="14"/>
  <c r="V210" i="14"/>
  <c r="V220" i="14"/>
  <c r="W220" i="14"/>
  <c r="T210" i="14"/>
  <c r="T220" i="14"/>
  <c r="U220" i="14"/>
  <c r="R210" i="14"/>
  <c r="R220" i="14"/>
  <c r="S220" i="14"/>
  <c r="P210" i="14"/>
  <c r="P220" i="14"/>
  <c r="Q220" i="14"/>
  <c r="N210" i="14"/>
  <c r="N220" i="14"/>
  <c r="O220" i="14"/>
  <c r="L210" i="14"/>
  <c r="L220" i="14"/>
  <c r="M220" i="14"/>
  <c r="J210" i="14"/>
  <c r="J220" i="14"/>
  <c r="K220" i="14"/>
  <c r="H210" i="14"/>
  <c r="H220" i="14"/>
  <c r="I220" i="14"/>
  <c r="F210" i="14"/>
  <c r="F220" i="14"/>
  <c r="G220" i="14"/>
  <c r="D210" i="14"/>
  <c r="D220" i="14"/>
  <c r="E220" i="14"/>
  <c r="B210" i="14"/>
  <c r="B220" i="14"/>
  <c r="C220" i="14"/>
  <c r="Z140" i="14"/>
  <c r="Z144" i="14"/>
  <c r="Z76" i="14"/>
  <c r="X144" i="14"/>
  <c r="Y144" i="14"/>
  <c r="T144" i="14"/>
  <c r="U144" i="14"/>
  <c r="R144" i="14"/>
  <c r="S144" i="14"/>
  <c r="P144" i="14"/>
  <c r="Q144" i="14"/>
  <c r="J144" i="14"/>
  <c r="K144" i="14"/>
  <c r="H144" i="14"/>
  <c r="I144" i="14"/>
  <c r="F144" i="14"/>
  <c r="G144" i="14"/>
  <c r="B144" i="14"/>
  <c r="C144" i="14"/>
  <c r="Z66" i="14"/>
  <c r="B4" i="14"/>
  <c r="C6" i="14"/>
  <c r="B41" i="14"/>
  <c r="C46" i="14"/>
  <c r="D22" i="14"/>
  <c r="E30" i="14"/>
  <c r="Z143" i="6"/>
  <c r="Z142" i="6"/>
  <c r="Z141" i="6"/>
  <c r="Z137" i="6"/>
  <c r="Z139" i="6"/>
  <c r="Z135" i="6"/>
  <c r="Z156" i="6"/>
  <c r="Z155" i="6"/>
  <c r="Z132" i="6"/>
  <c r="Z133" i="6"/>
  <c r="Z140" i="6"/>
  <c r="I29" i="1"/>
  <c r="Z134" i="6"/>
  <c r="F55" i="16"/>
  <c r="K50" i="16"/>
  <c r="L50" i="16"/>
  <c r="M50" i="16"/>
  <c r="M54" i="16"/>
  <c r="N50" i="16"/>
  <c r="C50" i="16"/>
  <c r="D50" i="16"/>
  <c r="E50" i="16"/>
  <c r="F50" i="16"/>
  <c r="F70" i="16"/>
  <c r="G50" i="16"/>
  <c r="G54" i="16"/>
  <c r="H50" i="16"/>
  <c r="I50" i="16"/>
  <c r="J50" i="16"/>
  <c r="K49" i="16"/>
  <c r="L49" i="16"/>
  <c r="L53" i="16"/>
  <c r="M49" i="16"/>
  <c r="M53" i="16"/>
  <c r="N49" i="16"/>
  <c r="N53" i="16"/>
  <c r="L45" i="16"/>
  <c r="M45" i="16"/>
  <c r="N45" i="16"/>
  <c r="Z125" i="6"/>
  <c r="P5" i="1"/>
  <c r="Q5" i="1"/>
  <c r="P3" i="1"/>
  <c r="Q3" i="1"/>
  <c r="P2" i="1"/>
  <c r="Q2" i="1"/>
  <c r="Z205" i="13"/>
  <c r="Z204" i="13"/>
  <c r="X204" i="13"/>
  <c r="V204" i="13"/>
  <c r="T204" i="13"/>
  <c r="R204" i="13"/>
  <c r="P204" i="13"/>
  <c r="N204" i="13"/>
  <c r="L204" i="13"/>
  <c r="J204" i="13"/>
  <c r="H204" i="13"/>
  <c r="F204" i="13"/>
  <c r="D204" i="13"/>
  <c r="B204" i="13"/>
  <c r="Z76" i="13"/>
  <c r="X4" i="13"/>
  <c r="Y12" i="13"/>
  <c r="X41" i="13"/>
  <c r="Y44" i="13"/>
  <c r="X49" i="13"/>
  <c r="Y54" i="13"/>
  <c r="V49" i="13"/>
  <c r="W54" i="13"/>
  <c r="T4" i="13"/>
  <c r="U11" i="13"/>
  <c r="T22" i="13"/>
  <c r="U29" i="13"/>
  <c r="T49" i="13"/>
  <c r="U52" i="13"/>
  <c r="R4" i="13"/>
  <c r="S8" i="13"/>
  <c r="R41" i="13"/>
  <c r="S48" i="13"/>
  <c r="P4" i="13"/>
  <c r="P41" i="13"/>
  <c r="Q47" i="13"/>
  <c r="P49" i="13"/>
  <c r="Q53" i="13"/>
  <c r="N4" i="13"/>
  <c r="N41" i="13"/>
  <c r="O47" i="13"/>
  <c r="N49" i="13"/>
  <c r="O54" i="13"/>
  <c r="L22" i="13"/>
  <c r="M29" i="13"/>
  <c r="L41" i="13"/>
  <c r="M48" i="13"/>
  <c r="L49" i="13"/>
  <c r="M54" i="13"/>
  <c r="J22" i="13"/>
  <c r="K30" i="13"/>
  <c r="J41" i="13"/>
  <c r="K48" i="13"/>
  <c r="J49" i="13"/>
  <c r="K54" i="13"/>
  <c r="H4" i="13"/>
  <c r="I12" i="13"/>
  <c r="H41" i="13"/>
  <c r="I42" i="13"/>
  <c r="H49" i="13"/>
  <c r="I54" i="13"/>
  <c r="F22" i="13"/>
  <c r="G23" i="13"/>
  <c r="F49" i="13"/>
  <c r="G54" i="13"/>
  <c r="D4" i="13"/>
  <c r="E12" i="13"/>
  <c r="D22" i="13"/>
  <c r="E30" i="13"/>
  <c r="D41" i="13"/>
  <c r="E48" i="13"/>
  <c r="B4" i="13"/>
  <c r="C12" i="13"/>
  <c r="B41" i="13"/>
  <c r="C48" i="13"/>
  <c r="Z150" i="14"/>
  <c r="B190" i="14"/>
  <c r="D190" i="14"/>
  <c r="F190" i="14"/>
  <c r="H190" i="14"/>
  <c r="J190" i="14"/>
  <c r="L190" i="14"/>
  <c r="N190" i="14"/>
  <c r="P190" i="14"/>
  <c r="R190" i="14"/>
  <c r="T190" i="14"/>
  <c r="V190" i="14"/>
  <c r="X190" i="14"/>
  <c r="B191" i="14"/>
  <c r="D191" i="14"/>
  <c r="F191" i="14"/>
  <c r="H191" i="14"/>
  <c r="J191" i="14"/>
  <c r="L191" i="14"/>
  <c r="N191" i="14"/>
  <c r="P191" i="14"/>
  <c r="R191" i="14"/>
  <c r="T191" i="14"/>
  <c r="V191" i="14"/>
  <c r="X191" i="14"/>
  <c r="B192" i="14"/>
  <c r="D192" i="14"/>
  <c r="F192" i="14"/>
  <c r="H192" i="14"/>
  <c r="J192" i="14"/>
  <c r="L192" i="14"/>
  <c r="N192" i="14"/>
  <c r="P192" i="14"/>
  <c r="R192" i="14"/>
  <c r="T192" i="14"/>
  <c r="V192" i="14"/>
  <c r="X192" i="14"/>
  <c r="B193" i="14"/>
  <c r="D193" i="14"/>
  <c r="F193" i="14"/>
  <c r="H193" i="14"/>
  <c r="J193" i="14"/>
  <c r="L193" i="14"/>
  <c r="N193" i="14"/>
  <c r="P193" i="14"/>
  <c r="R193" i="14"/>
  <c r="T193" i="14"/>
  <c r="V193" i="14"/>
  <c r="X193" i="14"/>
  <c r="B194" i="14"/>
  <c r="D194" i="14"/>
  <c r="F194" i="14"/>
  <c r="H194" i="14"/>
  <c r="J194" i="14"/>
  <c r="L194" i="14"/>
  <c r="N194" i="14"/>
  <c r="P194" i="14"/>
  <c r="R194" i="14"/>
  <c r="T194" i="14"/>
  <c r="V194" i="14"/>
  <c r="X194" i="14"/>
  <c r="B195" i="14"/>
  <c r="D195" i="14"/>
  <c r="F195" i="14"/>
  <c r="H195" i="14"/>
  <c r="J195" i="14"/>
  <c r="L195" i="14"/>
  <c r="N195" i="14"/>
  <c r="P195" i="14"/>
  <c r="R195" i="14"/>
  <c r="T195" i="14"/>
  <c r="V195" i="14"/>
  <c r="X195" i="14"/>
  <c r="B196" i="14"/>
  <c r="D196" i="14"/>
  <c r="F196" i="14"/>
  <c r="H196" i="14"/>
  <c r="J196" i="14"/>
  <c r="L196" i="14"/>
  <c r="N196" i="14"/>
  <c r="P196" i="14"/>
  <c r="R196" i="14"/>
  <c r="T196" i="14"/>
  <c r="V196" i="14"/>
  <c r="X196" i="14"/>
  <c r="B198" i="14"/>
  <c r="D198" i="14"/>
  <c r="F198" i="14"/>
  <c r="H198" i="14"/>
  <c r="J198" i="14"/>
  <c r="L198" i="14"/>
  <c r="N198" i="14"/>
  <c r="P198" i="14"/>
  <c r="R198" i="14"/>
  <c r="T198" i="14"/>
  <c r="V198" i="14"/>
  <c r="X198" i="14"/>
  <c r="B199" i="14"/>
  <c r="D199" i="14"/>
  <c r="F199" i="14"/>
  <c r="H199" i="14"/>
  <c r="J199" i="14"/>
  <c r="L199" i="14"/>
  <c r="N199" i="14"/>
  <c r="P199" i="14"/>
  <c r="R199" i="14"/>
  <c r="T199" i="14"/>
  <c r="V199" i="14"/>
  <c r="X199" i="14"/>
  <c r="B200" i="14"/>
  <c r="D200" i="14"/>
  <c r="F200" i="14"/>
  <c r="H200" i="14"/>
  <c r="J200" i="14"/>
  <c r="L200" i="14"/>
  <c r="N200" i="14"/>
  <c r="P200" i="14"/>
  <c r="R200" i="14"/>
  <c r="T200" i="14"/>
  <c r="V200" i="14"/>
  <c r="X200" i="14"/>
  <c r="B201" i="14"/>
  <c r="D201" i="14"/>
  <c r="F201" i="14"/>
  <c r="H201" i="14"/>
  <c r="J201" i="14"/>
  <c r="L201" i="14"/>
  <c r="N201" i="14"/>
  <c r="P201" i="14"/>
  <c r="R201" i="14"/>
  <c r="T201" i="14"/>
  <c r="V201" i="14"/>
  <c r="X201" i="14"/>
  <c r="B202" i="14"/>
  <c r="D202" i="14"/>
  <c r="F202" i="14"/>
  <c r="H202" i="14"/>
  <c r="J202" i="14"/>
  <c r="L202" i="14"/>
  <c r="N202" i="14"/>
  <c r="P202" i="14"/>
  <c r="R202" i="14"/>
  <c r="T202" i="14"/>
  <c r="V202" i="14"/>
  <c r="X202" i="14"/>
  <c r="Z205" i="14"/>
  <c r="Z204" i="14"/>
  <c r="X204" i="14"/>
  <c r="V204" i="14"/>
  <c r="T204" i="14"/>
  <c r="R204" i="14"/>
  <c r="P204" i="14"/>
  <c r="N204" i="14"/>
  <c r="L204" i="14"/>
  <c r="J204" i="14"/>
  <c r="H204" i="14"/>
  <c r="F204" i="14"/>
  <c r="D204" i="14"/>
  <c r="B204" i="14"/>
  <c r="V130" i="14"/>
  <c r="W131" i="14"/>
  <c r="N130" i="14"/>
  <c r="L130" i="14"/>
  <c r="D130" i="14"/>
  <c r="V4" i="14"/>
  <c r="V22" i="14"/>
  <c r="W26" i="14"/>
  <c r="V41" i="14"/>
  <c r="W48" i="14"/>
  <c r="T4" i="14"/>
  <c r="U12" i="14"/>
  <c r="T41" i="14"/>
  <c r="U47" i="14"/>
  <c r="R4" i="14"/>
  <c r="S11" i="14"/>
  <c r="N41" i="14"/>
  <c r="O44" i="14"/>
  <c r="N49" i="14"/>
  <c r="O52" i="14"/>
  <c r="L22" i="14"/>
  <c r="M26" i="14"/>
  <c r="L41" i="14"/>
  <c r="M44" i="14"/>
  <c r="L49" i="14"/>
  <c r="M51" i="14"/>
  <c r="J4" i="14"/>
  <c r="K8" i="14"/>
  <c r="J22" i="14"/>
  <c r="K29" i="14"/>
  <c r="J41" i="14"/>
  <c r="K48" i="14"/>
  <c r="H4" i="14"/>
  <c r="H41" i="14"/>
  <c r="F41" i="14"/>
  <c r="G46" i="14"/>
  <c r="F49" i="14"/>
  <c r="G54" i="14"/>
  <c r="D49" i="14"/>
  <c r="E53" i="14"/>
  <c r="P46" i="16"/>
  <c r="Q46" i="16"/>
  <c r="P67" i="16"/>
  <c r="P59" i="16"/>
  <c r="P56" i="16"/>
  <c r="P54" i="16"/>
  <c r="P50" i="16"/>
  <c r="J49" i="16"/>
  <c r="I49" i="16"/>
  <c r="H49" i="16"/>
  <c r="G49" i="16"/>
  <c r="G53" i="16"/>
  <c r="F49" i="16"/>
  <c r="F53" i="16"/>
  <c r="E49" i="16"/>
  <c r="D49" i="16"/>
  <c r="N48" i="16"/>
  <c r="N52" i="16"/>
  <c r="M48" i="16"/>
  <c r="M52" i="16"/>
  <c r="L48" i="16"/>
  <c r="K48" i="16"/>
  <c r="J48" i="16"/>
  <c r="I48" i="16"/>
  <c r="H48" i="16"/>
  <c r="G48" i="16"/>
  <c r="G52" i="16"/>
  <c r="F48" i="16"/>
  <c r="F52" i="16"/>
  <c r="E48" i="16"/>
  <c r="D48" i="16"/>
  <c r="N47" i="16"/>
  <c r="N51" i="16"/>
  <c r="M47" i="16"/>
  <c r="M51" i="16"/>
  <c r="L47" i="16"/>
  <c r="L51" i="16"/>
  <c r="K47" i="16"/>
  <c r="K51" i="16"/>
  <c r="J47" i="16"/>
  <c r="J51" i="16"/>
  <c r="I47" i="16"/>
  <c r="H47" i="16"/>
  <c r="H51" i="16"/>
  <c r="G47" i="16"/>
  <c r="G51" i="16"/>
  <c r="F47" i="16"/>
  <c r="F51" i="16"/>
  <c r="E47" i="16"/>
  <c r="D47" i="16"/>
  <c r="C48" i="16"/>
  <c r="C49" i="16"/>
  <c r="C47" i="16"/>
  <c r="G45" i="16"/>
  <c r="F45" i="16"/>
  <c r="N44" i="16"/>
  <c r="M44" i="16"/>
  <c r="G44" i="16"/>
  <c r="F44" i="16"/>
  <c r="N43" i="16"/>
  <c r="M43" i="16"/>
  <c r="L43" i="16"/>
  <c r="K43" i="16"/>
  <c r="J43" i="16"/>
  <c r="H43" i="16"/>
  <c r="G43" i="16"/>
  <c r="F43" i="16"/>
  <c r="I23" i="16"/>
  <c r="J23" i="16"/>
  <c r="I22" i="16"/>
  <c r="J22" i="16"/>
  <c r="I20" i="16"/>
  <c r="I24" i="16"/>
  <c r="J24" i="16"/>
  <c r="I21" i="16"/>
  <c r="G9" i="16"/>
  <c r="J21" i="16"/>
  <c r="J20" i="16"/>
  <c r="C21" i="16"/>
  <c r="C22" i="16"/>
  <c r="C23" i="16"/>
  <c r="C24" i="16"/>
  <c r="C25" i="16"/>
  <c r="C26" i="16"/>
  <c r="C27" i="16"/>
  <c r="C28" i="16"/>
  <c r="C29" i="16"/>
  <c r="C30" i="16"/>
  <c r="C31" i="16"/>
  <c r="C20" i="16"/>
  <c r="E28" i="16"/>
  <c r="B208" i="14"/>
  <c r="B207" i="14"/>
  <c r="C208" i="14"/>
  <c r="D208" i="14"/>
  <c r="F208" i="14"/>
  <c r="F207" i="14"/>
  <c r="H208" i="14"/>
  <c r="H207" i="14"/>
  <c r="J208" i="14"/>
  <c r="J207" i="14"/>
  <c r="J219" i="14"/>
  <c r="K219" i="14"/>
  <c r="L208" i="14"/>
  <c r="L207" i="14"/>
  <c r="N208" i="14"/>
  <c r="N207" i="14"/>
  <c r="P208" i="14"/>
  <c r="P207" i="14"/>
  <c r="R208" i="14"/>
  <c r="R207" i="14"/>
  <c r="T208" i="14"/>
  <c r="T207" i="14"/>
  <c r="T219" i="14"/>
  <c r="U219" i="14"/>
  <c r="V208" i="14"/>
  <c r="V207" i="14"/>
  <c r="X208" i="14"/>
  <c r="X207" i="14"/>
  <c r="X210" i="14"/>
  <c r="AA205" i="14"/>
  <c r="Y205" i="14"/>
  <c r="W205" i="14"/>
  <c r="U205" i="14"/>
  <c r="S205" i="14"/>
  <c r="Q205" i="14"/>
  <c r="O205" i="14"/>
  <c r="M205" i="14"/>
  <c r="K205" i="14"/>
  <c r="I205" i="14"/>
  <c r="G205" i="14"/>
  <c r="E205" i="14"/>
  <c r="C205" i="14"/>
  <c r="Y131" i="14"/>
  <c r="Q131" i="14"/>
  <c r="O131" i="14"/>
  <c r="M131" i="14"/>
  <c r="G131" i="14"/>
  <c r="E131" i="14"/>
  <c r="Z150" i="13"/>
  <c r="Z218" i="13"/>
  <c r="B208" i="13"/>
  <c r="B207" i="13"/>
  <c r="B219" i="13"/>
  <c r="C219" i="13"/>
  <c r="D208" i="13"/>
  <c r="D207" i="13"/>
  <c r="E208" i="13"/>
  <c r="F208" i="13"/>
  <c r="F207" i="13"/>
  <c r="H208" i="13"/>
  <c r="H207" i="13"/>
  <c r="I208" i="13"/>
  <c r="J208" i="13"/>
  <c r="J207" i="13"/>
  <c r="K208" i="13"/>
  <c r="L208" i="13"/>
  <c r="L207" i="13"/>
  <c r="L219" i="13"/>
  <c r="M219" i="13"/>
  <c r="N208" i="13"/>
  <c r="N207" i="13"/>
  <c r="P208" i="13"/>
  <c r="P207" i="13"/>
  <c r="Q208" i="13"/>
  <c r="R208" i="13"/>
  <c r="R207" i="13"/>
  <c r="R219" i="13"/>
  <c r="S219" i="13"/>
  <c r="T208" i="13"/>
  <c r="T207" i="13"/>
  <c r="T219" i="13"/>
  <c r="U219" i="13"/>
  <c r="V208" i="13"/>
  <c r="V207" i="13"/>
  <c r="X208" i="13"/>
  <c r="X207" i="13"/>
  <c r="Y208" i="13"/>
  <c r="B210" i="13"/>
  <c r="B220" i="13"/>
  <c r="C220" i="13"/>
  <c r="D210" i="13"/>
  <c r="D220" i="13"/>
  <c r="E220" i="13"/>
  <c r="F210" i="13"/>
  <c r="F220" i="13"/>
  <c r="G220" i="13"/>
  <c r="H210" i="13"/>
  <c r="H220" i="13"/>
  <c r="I220" i="13"/>
  <c r="J210" i="13"/>
  <c r="J220" i="13"/>
  <c r="K220" i="13"/>
  <c r="L210" i="13"/>
  <c r="L220" i="13"/>
  <c r="M220" i="13"/>
  <c r="N210" i="13"/>
  <c r="N220" i="13"/>
  <c r="O220" i="13"/>
  <c r="P210" i="13"/>
  <c r="P220" i="13"/>
  <c r="Q220" i="13"/>
  <c r="R210" i="13"/>
  <c r="R220" i="13"/>
  <c r="S220" i="13"/>
  <c r="T210" i="13"/>
  <c r="T220" i="13"/>
  <c r="U220" i="13"/>
  <c r="V210" i="13"/>
  <c r="V220" i="13"/>
  <c r="W220" i="13"/>
  <c r="X210" i="13"/>
  <c r="X220" i="13"/>
  <c r="Y220" i="13"/>
  <c r="B218" i="13"/>
  <c r="C218" i="13"/>
  <c r="D218" i="13"/>
  <c r="E218" i="13"/>
  <c r="F218" i="13"/>
  <c r="G218" i="13"/>
  <c r="H218" i="13"/>
  <c r="I218" i="13"/>
  <c r="J218" i="13"/>
  <c r="K218" i="13"/>
  <c r="L218" i="13"/>
  <c r="M218" i="13"/>
  <c r="N218" i="13"/>
  <c r="O218" i="13"/>
  <c r="P218" i="13"/>
  <c r="Q218" i="13"/>
  <c r="R218" i="13"/>
  <c r="S218" i="13"/>
  <c r="T218" i="13"/>
  <c r="U218" i="13"/>
  <c r="V218" i="13"/>
  <c r="W218" i="13"/>
  <c r="X218" i="13"/>
  <c r="Y218" i="13"/>
  <c r="AA205" i="13"/>
  <c r="Y205" i="13"/>
  <c r="W205" i="13"/>
  <c r="U205" i="13"/>
  <c r="S205" i="13"/>
  <c r="Q205" i="13"/>
  <c r="O205" i="13"/>
  <c r="M205" i="13"/>
  <c r="K205" i="13"/>
  <c r="I205" i="13"/>
  <c r="G205" i="13"/>
  <c r="E205" i="13"/>
  <c r="C205" i="13"/>
  <c r="Z144" i="13"/>
  <c r="B144" i="13"/>
  <c r="C144" i="13"/>
  <c r="D144" i="13"/>
  <c r="E144" i="13"/>
  <c r="F144" i="13"/>
  <c r="G144" i="13"/>
  <c r="H144" i="13"/>
  <c r="I144" i="13"/>
  <c r="J144" i="13"/>
  <c r="K144" i="13"/>
  <c r="L144" i="13"/>
  <c r="M144" i="13"/>
  <c r="N144" i="13"/>
  <c r="O144" i="13"/>
  <c r="P144" i="13"/>
  <c r="Q144" i="13"/>
  <c r="R144" i="13"/>
  <c r="S144" i="13"/>
  <c r="T144" i="13"/>
  <c r="U144" i="13"/>
  <c r="V144" i="13"/>
  <c r="W144" i="13"/>
  <c r="X144" i="13"/>
  <c r="Y144" i="13"/>
  <c r="D39" i="1"/>
  <c r="E39" i="1"/>
  <c r="D40" i="1"/>
  <c r="E40" i="1"/>
  <c r="Z131" i="6"/>
  <c r="G38" i="12"/>
  <c r="G41" i="12"/>
  <c r="G40" i="12"/>
  <c r="Z120" i="6"/>
  <c r="Z117" i="6"/>
  <c r="G38" i="10"/>
  <c r="G40" i="10"/>
  <c r="Z136" i="6"/>
  <c r="Z126" i="6"/>
  <c r="Z130" i="6"/>
  <c r="Z128" i="6"/>
  <c r="Z123" i="6"/>
  <c r="Z124" i="6"/>
  <c r="Z114" i="6"/>
  <c r="Z118" i="6"/>
  <c r="Z119" i="6"/>
  <c r="Z106" i="6"/>
  <c r="Z110" i="6"/>
  <c r="Z267" i="6"/>
  <c r="Z97" i="6"/>
  <c r="Z121" i="6"/>
  <c r="Z113" i="6"/>
  <c r="Z122" i="6"/>
  <c r="Z129" i="6"/>
  <c r="Z112" i="6"/>
  <c r="Z2" i="6"/>
  <c r="Z3" i="6"/>
  <c r="Z4" i="6"/>
  <c r="Z5" i="6"/>
  <c r="Z6" i="6"/>
  <c r="Z7" i="6"/>
  <c r="Z8" i="6"/>
  <c r="Z9" i="6"/>
  <c r="Z10" i="6"/>
  <c r="Z11" i="6"/>
  <c r="Z12" i="6"/>
  <c r="Z13" i="6"/>
  <c r="Z14" i="6"/>
  <c r="Z15" i="6"/>
  <c r="Z16" i="6"/>
  <c r="Z17" i="6"/>
  <c r="Z18" i="6"/>
  <c r="Z19" i="6"/>
  <c r="Z20" i="6"/>
  <c r="Z21" i="6"/>
  <c r="Z22" i="6"/>
  <c r="Z23" i="6"/>
  <c r="Z24" i="6"/>
  <c r="Z25" i="6"/>
  <c r="Z26" i="6"/>
  <c r="Z27" i="6"/>
  <c r="Z28" i="6"/>
  <c r="Z29" i="6"/>
  <c r="Z30" i="6"/>
  <c r="Z31" i="6"/>
  <c r="Z32" i="6"/>
  <c r="Z33" i="6"/>
  <c r="Z34" i="6"/>
  <c r="Z35" i="6"/>
  <c r="Z36" i="6"/>
  <c r="Z37" i="6"/>
  <c r="Z38" i="6"/>
  <c r="Z39" i="6"/>
  <c r="Z40" i="6"/>
  <c r="Z41" i="6"/>
  <c r="Z42" i="6"/>
  <c r="Z43" i="6"/>
  <c r="Z44" i="6"/>
  <c r="Z45" i="6"/>
  <c r="Z46" i="6"/>
  <c r="Z47" i="6"/>
  <c r="Z48" i="6"/>
  <c r="Z49" i="6"/>
  <c r="Z50" i="6"/>
  <c r="Z51" i="6"/>
  <c r="Z52" i="6"/>
  <c r="Z53" i="6"/>
  <c r="Z54" i="6"/>
  <c r="Z55" i="6"/>
  <c r="Z56" i="6"/>
  <c r="Z57" i="6"/>
  <c r="Z58" i="6"/>
  <c r="Z59" i="6"/>
  <c r="Z60" i="6"/>
  <c r="Z61" i="6"/>
  <c r="Z62" i="6"/>
  <c r="Z63" i="6"/>
  <c r="Z64" i="6"/>
  <c r="Z65" i="6"/>
  <c r="Z66" i="6"/>
  <c r="Z67" i="6"/>
  <c r="Z68" i="6"/>
  <c r="Z69" i="6"/>
  <c r="Z70" i="6"/>
  <c r="Z71" i="6"/>
  <c r="Z72" i="6"/>
  <c r="Z73" i="6"/>
  <c r="Z74" i="6"/>
  <c r="Z75" i="6"/>
  <c r="Z76" i="6"/>
  <c r="Z77" i="6"/>
  <c r="Z78" i="6"/>
  <c r="Z79" i="6"/>
  <c r="Z80" i="6"/>
  <c r="Z81" i="6"/>
  <c r="Z82" i="6"/>
  <c r="Z83" i="6"/>
  <c r="Z84" i="6"/>
  <c r="Z85" i="6"/>
  <c r="Z86" i="6"/>
  <c r="Z87" i="6"/>
  <c r="Z88" i="6"/>
  <c r="Z89" i="6"/>
  <c r="Z90" i="6"/>
  <c r="Z91" i="6"/>
  <c r="Z92" i="6"/>
  <c r="Z93" i="6"/>
  <c r="Z94" i="6"/>
  <c r="Z95" i="6"/>
  <c r="Z96" i="6"/>
  <c r="Z98" i="6"/>
  <c r="Z99" i="6"/>
  <c r="Z100" i="6"/>
  <c r="Z101" i="6"/>
  <c r="Z102" i="6"/>
  <c r="Z103" i="6"/>
  <c r="Z104" i="6"/>
  <c r="Z105" i="6"/>
  <c r="Z107" i="6"/>
  <c r="Z108" i="6"/>
  <c r="Z109" i="6"/>
  <c r="Z111" i="6"/>
  <c r="Z115" i="6"/>
  <c r="Z116" i="6"/>
  <c r="Z127" i="6"/>
  <c r="Z138" i="6"/>
  <c r="Z144" i="6"/>
  <c r="E41" i="1"/>
  <c r="E44" i="1"/>
  <c r="C29" i="1"/>
  <c r="C30" i="1"/>
  <c r="C35" i="1"/>
  <c r="C31" i="1"/>
  <c r="I30" i="1"/>
  <c r="B29" i="1"/>
  <c r="O60" i="29"/>
  <c r="B41" i="19"/>
  <c r="C45" i="19"/>
  <c r="N22" i="14"/>
  <c r="O30" i="14"/>
  <c r="F22" i="14"/>
  <c r="G26" i="14"/>
  <c r="X22" i="14"/>
  <c r="Y26" i="14"/>
  <c r="V22" i="13"/>
  <c r="W29" i="13"/>
  <c r="N4" i="14"/>
  <c r="O12" i="14"/>
  <c r="H22" i="14"/>
  <c r="I26" i="14"/>
  <c r="T31" i="19"/>
  <c r="U32" i="19"/>
  <c r="F4" i="13"/>
  <c r="G12" i="13"/>
  <c r="R41" i="19"/>
  <c r="S45" i="19"/>
  <c r="R49" i="14"/>
  <c r="S50" i="14"/>
  <c r="J49" i="14"/>
  <c r="K54" i="14"/>
  <c r="V41" i="23"/>
  <c r="W47" i="23"/>
  <c r="P124" i="19"/>
  <c r="J41" i="19"/>
  <c r="K48" i="19"/>
  <c r="T22" i="19"/>
  <c r="U29" i="19"/>
  <c r="T41" i="23"/>
  <c r="U45" i="23"/>
  <c r="F58" i="16"/>
  <c r="F60" i="16"/>
  <c r="F65" i="16"/>
  <c r="B49" i="14"/>
  <c r="C54" i="14"/>
  <c r="D49" i="19"/>
  <c r="E53" i="19"/>
  <c r="R49" i="13"/>
  <c r="S53" i="13"/>
  <c r="V41" i="13"/>
  <c r="W48" i="13"/>
  <c r="T41" i="13"/>
  <c r="U48" i="13"/>
  <c r="R41" i="14"/>
  <c r="S48" i="14"/>
  <c r="B49" i="13"/>
  <c r="C53" i="13"/>
  <c r="J4" i="19"/>
  <c r="K5" i="19"/>
  <c r="T49" i="19"/>
  <c r="U53" i="19"/>
  <c r="E60" i="29"/>
  <c r="N49" i="19"/>
  <c r="O52" i="19"/>
  <c r="W60" i="29"/>
  <c r="M58" i="16"/>
  <c r="P41" i="14"/>
  <c r="Q48" i="14"/>
  <c r="V49" i="19"/>
  <c r="W52" i="19"/>
  <c r="L49" i="19"/>
  <c r="M53" i="19"/>
  <c r="J49" i="19"/>
  <c r="K53" i="19"/>
  <c r="X41" i="14"/>
  <c r="Y47" i="14"/>
  <c r="Y60" i="29"/>
  <c r="U60" i="29"/>
  <c r="Z43" i="13"/>
  <c r="M55" i="16"/>
  <c r="M63" i="16"/>
  <c r="X13" i="23"/>
  <c r="Y14" i="23"/>
  <c r="F13" i="14"/>
  <c r="G19" i="14"/>
  <c r="AA458" i="6"/>
  <c r="L55" i="16"/>
  <c r="L56" i="16"/>
  <c r="J65" i="16"/>
  <c r="L63" i="16"/>
  <c r="F55" i="18"/>
  <c r="N58" i="16"/>
  <c r="N59" i="16"/>
  <c r="I58" i="16"/>
  <c r="I59" i="16"/>
  <c r="H65" i="16"/>
  <c r="G63" i="16"/>
  <c r="E55" i="16"/>
  <c r="E56" i="16"/>
  <c r="F63" i="16"/>
  <c r="F49" i="19"/>
  <c r="G52" i="19"/>
  <c r="B49" i="19"/>
  <c r="C53" i="19"/>
  <c r="R49" i="19"/>
  <c r="S52" i="19"/>
  <c r="B41" i="23"/>
  <c r="C42" i="23"/>
  <c r="H197" i="14"/>
  <c r="I202" i="14"/>
  <c r="B22" i="23"/>
  <c r="C27" i="23"/>
  <c r="R22" i="23"/>
  <c r="S25" i="23"/>
  <c r="P197" i="14"/>
  <c r="Q202" i="14"/>
  <c r="F63" i="18"/>
  <c r="F58" i="18"/>
  <c r="F60" i="18"/>
  <c r="J41" i="23"/>
  <c r="K45" i="23"/>
  <c r="V4" i="19"/>
  <c r="W11" i="19"/>
  <c r="F4" i="19"/>
  <c r="G9" i="19"/>
  <c r="T49" i="29"/>
  <c r="U54" i="29"/>
  <c r="B41" i="29"/>
  <c r="C46" i="29"/>
  <c r="Q60" i="29"/>
  <c r="G60" i="29"/>
  <c r="D49" i="29"/>
  <c r="E51" i="29"/>
  <c r="I60" i="29"/>
  <c r="F49" i="29"/>
  <c r="G51" i="29"/>
  <c r="V189" i="14"/>
  <c r="W190" i="14"/>
  <c r="X49" i="19"/>
  <c r="Y51" i="19"/>
  <c r="D22" i="23"/>
  <c r="E27" i="23"/>
  <c r="H49" i="19"/>
  <c r="I51" i="19"/>
  <c r="I60" i="13"/>
  <c r="U60" i="14"/>
  <c r="L41" i="23"/>
  <c r="M48" i="23"/>
  <c r="N49" i="29"/>
  <c r="O51" i="29"/>
  <c r="V49" i="29"/>
  <c r="W53" i="29"/>
  <c r="J22" i="19"/>
  <c r="K26" i="19"/>
  <c r="B22" i="19"/>
  <c r="C23" i="19"/>
  <c r="R22" i="19"/>
  <c r="S29" i="19"/>
  <c r="M51" i="29"/>
  <c r="M54" i="29"/>
  <c r="M50" i="29"/>
  <c r="M53" i="29"/>
  <c r="M52" i="29"/>
  <c r="J41" i="29"/>
  <c r="K48" i="29"/>
  <c r="X49" i="29"/>
  <c r="Y52" i="29"/>
  <c r="P49" i="29"/>
  <c r="Q52" i="29"/>
  <c r="D41" i="23"/>
  <c r="E48" i="23"/>
  <c r="C60" i="29"/>
  <c r="K60" i="29"/>
  <c r="S60" i="29"/>
  <c r="J58" i="16"/>
  <c r="J59" i="16"/>
  <c r="I55" i="18"/>
  <c r="I56" i="18"/>
  <c r="H55" i="16"/>
  <c r="H56" i="16"/>
  <c r="D58" i="16"/>
  <c r="D59" i="16"/>
  <c r="F41" i="23"/>
  <c r="G48" i="23"/>
  <c r="N41" i="23"/>
  <c r="O47" i="23"/>
  <c r="L65" i="16"/>
  <c r="K63" i="16"/>
  <c r="J55" i="16"/>
  <c r="J60" i="16"/>
  <c r="J61" i="16"/>
  <c r="E65" i="16"/>
  <c r="D63" i="16"/>
  <c r="C63" i="16"/>
  <c r="P41" i="23"/>
  <c r="Q47" i="23"/>
  <c r="AA721" i="6"/>
  <c r="AA717" i="6"/>
  <c r="V31" i="14"/>
  <c r="W39" i="14"/>
  <c r="T41" i="29"/>
  <c r="U47" i="29"/>
  <c r="F26" i="20"/>
  <c r="F25" i="20"/>
  <c r="J24" i="18"/>
  <c r="K24" i="18"/>
  <c r="H9" i="18"/>
  <c r="F24" i="20"/>
  <c r="F29" i="18"/>
  <c r="H11" i="18"/>
  <c r="F23" i="20"/>
  <c r="L22" i="20"/>
  <c r="L20" i="20"/>
  <c r="L58" i="16"/>
  <c r="L59" i="16"/>
  <c r="E58" i="16"/>
  <c r="E59" i="16"/>
  <c r="M55" i="18"/>
  <c r="M65" i="16"/>
  <c r="H63" i="16"/>
  <c r="D65" i="18"/>
  <c r="N31" i="14"/>
  <c r="O39" i="14"/>
  <c r="AA951" i="6"/>
  <c r="AA719" i="6"/>
  <c r="AA226" i="6"/>
  <c r="Z38" i="13"/>
  <c r="K60" i="13"/>
  <c r="C60" i="14"/>
  <c r="R49" i="29"/>
  <c r="S54" i="29"/>
  <c r="J49" i="29"/>
  <c r="K53" i="29"/>
  <c r="B49" i="29"/>
  <c r="C50" i="29"/>
  <c r="Q60" i="13"/>
  <c r="Y60" i="13"/>
  <c r="N41" i="29"/>
  <c r="O42" i="29"/>
  <c r="F41" i="29"/>
  <c r="G44" i="29"/>
  <c r="V41" i="29"/>
  <c r="W48" i="29"/>
  <c r="K60" i="14"/>
  <c r="R41" i="29"/>
  <c r="S48" i="29"/>
  <c r="O60" i="13"/>
  <c r="S60" i="14"/>
  <c r="L41" i="29"/>
  <c r="M47" i="29"/>
  <c r="D41" i="29"/>
  <c r="E45" i="29"/>
  <c r="N55" i="16"/>
  <c r="L58" i="18"/>
  <c r="L59" i="18"/>
  <c r="K65" i="18"/>
  <c r="H58" i="16"/>
  <c r="H59" i="16"/>
  <c r="E63" i="16"/>
  <c r="I55" i="16"/>
  <c r="I60" i="16"/>
  <c r="D55" i="16"/>
  <c r="J58" i="18"/>
  <c r="J59" i="18"/>
  <c r="D55" i="18"/>
  <c r="D56" i="18"/>
  <c r="K55" i="18"/>
  <c r="K56" i="18"/>
  <c r="N65" i="18"/>
  <c r="E63" i="18"/>
  <c r="D58" i="18"/>
  <c r="D59" i="18"/>
  <c r="L63" i="18"/>
  <c r="E55" i="18"/>
  <c r="E56" i="18"/>
  <c r="N65" i="16"/>
  <c r="I65" i="16"/>
  <c r="D65" i="16"/>
  <c r="I63" i="16"/>
  <c r="F65" i="18"/>
  <c r="K63" i="18"/>
  <c r="H49" i="29"/>
  <c r="I53" i="29"/>
  <c r="G60" i="14"/>
  <c r="W60" i="14"/>
  <c r="AA723" i="6"/>
  <c r="AA1005" i="6"/>
  <c r="AA762" i="6"/>
  <c r="T13" i="19"/>
  <c r="AA720" i="6"/>
  <c r="AA884" i="6"/>
  <c r="AA1006" i="6"/>
  <c r="L31" i="23"/>
  <c r="M36" i="23"/>
  <c r="D31" i="23"/>
  <c r="E37" i="23"/>
  <c r="T13" i="23"/>
  <c r="U21" i="23"/>
  <c r="L13" i="23"/>
  <c r="M17" i="23"/>
  <c r="T22" i="23"/>
  <c r="U24" i="23"/>
  <c r="L22" i="23"/>
  <c r="M30" i="23"/>
  <c r="T4" i="23"/>
  <c r="U6" i="23"/>
  <c r="L4" i="23"/>
  <c r="M10" i="23"/>
  <c r="D4" i="23"/>
  <c r="E7" i="23"/>
  <c r="L22" i="19"/>
  <c r="M26" i="19"/>
  <c r="D22" i="19"/>
  <c r="E30" i="19"/>
  <c r="T4" i="19"/>
  <c r="U10" i="19"/>
  <c r="L4" i="19"/>
  <c r="M10" i="19"/>
  <c r="D4" i="19"/>
  <c r="E6" i="19"/>
  <c r="P22" i="14"/>
  <c r="Q28" i="14"/>
  <c r="X4" i="14"/>
  <c r="Y7" i="14"/>
  <c r="N22" i="13"/>
  <c r="O23" i="13"/>
  <c r="V4" i="13"/>
  <c r="W11" i="13"/>
  <c r="N13" i="29"/>
  <c r="O20" i="29"/>
  <c r="V31" i="29"/>
  <c r="W39" i="29"/>
  <c r="N31" i="29"/>
  <c r="O39" i="29"/>
  <c r="F31" i="29"/>
  <c r="G39" i="29"/>
  <c r="B22" i="29"/>
  <c r="C25" i="29"/>
  <c r="V31" i="19"/>
  <c r="W39" i="19"/>
  <c r="R31" i="23"/>
  <c r="S36" i="23"/>
  <c r="B31" i="23"/>
  <c r="C37" i="23"/>
  <c r="R4" i="23"/>
  <c r="S5" i="23"/>
  <c r="J4" i="23"/>
  <c r="K10" i="23"/>
  <c r="B4" i="23"/>
  <c r="C9" i="23"/>
  <c r="B4" i="19"/>
  <c r="C9" i="19"/>
  <c r="T13" i="29"/>
  <c r="U17" i="29"/>
  <c r="D13" i="29"/>
  <c r="E17" i="29"/>
  <c r="T31" i="29"/>
  <c r="U39" i="29"/>
  <c r="L31" i="29"/>
  <c r="M39" i="29"/>
  <c r="D31" i="29"/>
  <c r="E39" i="29"/>
  <c r="H22" i="29"/>
  <c r="I29" i="29"/>
  <c r="L31" i="19"/>
  <c r="M36" i="19"/>
  <c r="X22" i="23"/>
  <c r="Y23" i="23"/>
  <c r="P22" i="23"/>
  <c r="Q28" i="23"/>
  <c r="H22" i="23"/>
  <c r="I28" i="23"/>
  <c r="X4" i="23"/>
  <c r="Y9" i="23"/>
  <c r="P4" i="23"/>
  <c r="Q11" i="23"/>
  <c r="H4" i="23"/>
  <c r="I10" i="23"/>
  <c r="X22" i="19"/>
  <c r="Y28" i="19"/>
  <c r="P22" i="19"/>
  <c r="Q28" i="19"/>
  <c r="H22" i="19"/>
  <c r="I26" i="19"/>
  <c r="P4" i="19"/>
  <c r="Q11" i="19"/>
  <c r="H4" i="19"/>
  <c r="I10" i="19"/>
  <c r="T22" i="14"/>
  <c r="U28" i="14"/>
  <c r="D4" i="14"/>
  <c r="E8" i="14"/>
  <c r="R22" i="13"/>
  <c r="S30" i="13"/>
  <c r="B22" i="13"/>
  <c r="C29" i="13"/>
  <c r="J4" i="13"/>
  <c r="K12" i="13"/>
  <c r="V13" i="23"/>
  <c r="W18" i="23"/>
  <c r="N13" i="23"/>
  <c r="O18" i="23"/>
  <c r="F13" i="23"/>
  <c r="G14" i="23"/>
  <c r="V22" i="23"/>
  <c r="W29" i="23"/>
  <c r="F22" i="23"/>
  <c r="G23" i="23"/>
  <c r="V4" i="23"/>
  <c r="W11" i="23"/>
  <c r="N4" i="23"/>
  <c r="O7" i="23"/>
  <c r="F4" i="23"/>
  <c r="G7" i="23"/>
  <c r="F22" i="19"/>
  <c r="G30" i="19"/>
  <c r="N4" i="19"/>
  <c r="O11" i="19"/>
  <c r="B22" i="14"/>
  <c r="C29" i="14"/>
  <c r="X22" i="13"/>
  <c r="Y30" i="13"/>
  <c r="P22" i="13"/>
  <c r="Q27" i="13"/>
  <c r="H22" i="13"/>
  <c r="I27" i="13"/>
  <c r="X31" i="29"/>
  <c r="Y36" i="29"/>
  <c r="P31" i="29"/>
  <c r="Q35" i="29"/>
  <c r="H31" i="29"/>
  <c r="I36" i="29"/>
  <c r="AA709" i="6"/>
  <c r="AA789" i="6"/>
  <c r="Z23" i="23"/>
  <c r="AB23" i="23"/>
  <c r="Z9" i="23"/>
  <c r="AB9" i="23"/>
  <c r="Z8" i="23"/>
  <c r="AB8" i="23"/>
  <c r="R4" i="29"/>
  <c r="S9" i="29"/>
  <c r="Z29" i="23"/>
  <c r="AB29" i="23"/>
  <c r="Z27" i="23"/>
  <c r="AB27" i="23"/>
  <c r="C26" i="29"/>
  <c r="Z18" i="23"/>
  <c r="AB18" i="23"/>
  <c r="Z14" i="23"/>
  <c r="AB14" i="23"/>
  <c r="Z11" i="23"/>
  <c r="AB11" i="23"/>
  <c r="Z10" i="23"/>
  <c r="AB10" i="23"/>
  <c r="Z7" i="23"/>
  <c r="AB7" i="23"/>
  <c r="Z6" i="23"/>
  <c r="AB6" i="23"/>
  <c r="Z5" i="23"/>
  <c r="AB5" i="23"/>
  <c r="Z12" i="23"/>
  <c r="AB12" i="23"/>
  <c r="D13" i="23"/>
  <c r="E20" i="23"/>
  <c r="AA741" i="6"/>
  <c r="AA739" i="6"/>
  <c r="AA897" i="6"/>
  <c r="J31" i="23"/>
  <c r="K32" i="23"/>
  <c r="Z19" i="23"/>
  <c r="AB19" i="23"/>
  <c r="H13" i="14"/>
  <c r="I21" i="14"/>
  <c r="F31" i="23"/>
  <c r="G35" i="23"/>
  <c r="V31" i="23"/>
  <c r="W34" i="23"/>
  <c r="Z36" i="19"/>
  <c r="R31" i="19"/>
  <c r="S39" i="19"/>
  <c r="B31" i="19"/>
  <c r="C33" i="19"/>
  <c r="N31" i="23"/>
  <c r="O38" i="23"/>
  <c r="Z25" i="23"/>
  <c r="AB25" i="23"/>
  <c r="N22" i="23"/>
  <c r="O27" i="23"/>
  <c r="J31" i="19"/>
  <c r="K39" i="19"/>
  <c r="V13" i="14"/>
  <c r="W16" i="14"/>
  <c r="AA706" i="6"/>
  <c r="AA712" i="6"/>
  <c r="AA698" i="6"/>
  <c r="AA707" i="6"/>
  <c r="AA718" i="6"/>
  <c r="AA726" i="6"/>
  <c r="AA743" i="6"/>
  <c r="L13" i="29"/>
  <c r="M19" i="29"/>
  <c r="X4" i="29"/>
  <c r="Y6" i="29"/>
  <c r="L4" i="29"/>
  <c r="M9" i="29"/>
  <c r="P13" i="29"/>
  <c r="Q17" i="29"/>
  <c r="H13" i="29"/>
  <c r="I19" i="29"/>
  <c r="X13" i="29"/>
  <c r="Y21" i="29"/>
  <c r="F4" i="29"/>
  <c r="G11" i="29"/>
  <c r="AA697" i="6"/>
  <c r="AA744" i="6"/>
  <c r="AA109" i="6"/>
  <c r="B13" i="19"/>
  <c r="C20" i="19"/>
  <c r="AA111" i="6"/>
  <c r="AA119" i="6"/>
  <c r="AA123" i="6"/>
  <c r="AA131" i="6"/>
  <c r="AA740" i="6"/>
  <c r="AA118" i="6"/>
  <c r="AA238" i="6"/>
  <c r="B105" i="29"/>
  <c r="C107" i="29"/>
  <c r="Z32" i="13"/>
  <c r="G41" i="10"/>
  <c r="D13" i="14"/>
  <c r="E20" i="14"/>
  <c r="R31" i="14"/>
  <c r="S38" i="14"/>
  <c r="H41" i="23"/>
  <c r="I43" i="23"/>
  <c r="C42" i="14"/>
  <c r="N58" i="18"/>
  <c r="N59" i="18"/>
  <c r="J65" i="18"/>
  <c r="I63" i="18"/>
  <c r="H65" i="18"/>
  <c r="G58" i="18"/>
  <c r="C58" i="18"/>
  <c r="C59" i="18"/>
  <c r="F41" i="13"/>
  <c r="G48" i="13"/>
  <c r="T115" i="23"/>
  <c r="U116" i="23"/>
  <c r="L115" i="23"/>
  <c r="M117" i="23"/>
  <c r="C60" i="13"/>
  <c r="M60" i="14"/>
  <c r="C65" i="18"/>
  <c r="C63" i="18"/>
  <c r="H58" i="18"/>
  <c r="H59" i="18"/>
  <c r="H55" i="18"/>
  <c r="L55" i="18"/>
  <c r="L56" i="18"/>
  <c r="K58" i="18"/>
  <c r="K59" i="18"/>
  <c r="H63" i="18"/>
  <c r="G55" i="18"/>
  <c r="D63" i="18"/>
  <c r="C55" i="18"/>
  <c r="C56" i="18"/>
  <c r="S60" i="13"/>
  <c r="G63" i="18"/>
  <c r="D115" i="23"/>
  <c r="E122" i="23"/>
  <c r="P49" i="14"/>
  <c r="Q53" i="14"/>
  <c r="H49" i="14"/>
  <c r="I51" i="14"/>
  <c r="X49" i="14"/>
  <c r="Y53" i="14"/>
  <c r="X197" i="14"/>
  <c r="Y200" i="14"/>
  <c r="L65" i="18"/>
  <c r="G65" i="18"/>
  <c r="AA210" i="6"/>
  <c r="AA745" i="6"/>
  <c r="Z17" i="19"/>
  <c r="Z16" i="19"/>
  <c r="V13" i="19"/>
  <c r="W19" i="19"/>
  <c r="N13" i="19"/>
  <c r="O21" i="19"/>
  <c r="L13" i="19"/>
  <c r="M19" i="19"/>
  <c r="D13" i="19"/>
  <c r="E18" i="19"/>
  <c r="H13" i="23"/>
  <c r="I15" i="23"/>
  <c r="P13" i="23"/>
  <c r="Q17" i="23"/>
  <c r="Z15" i="23"/>
  <c r="AB15" i="23"/>
  <c r="B31" i="29"/>
  <c r="C39" i="29"/>
  <c r="R31" i="29"/>
  <c r="S39" i="29"/>
  <c r="J31" i="29"/>
  <c r="K39" i="29"/>
  <c r="T31" i="23"/>
  <c r="U39" i="23"/>
  <c r="X22" i="29"/>
  <c r="Y27" i="29"/>
  <c r="P22" i="29"/>
  <c r="Q25" i="29"/>
  <c r="P41" i="19"/>
  <c r="Q48" i="19"/>
  <c r="X41" i="19"/>
  <c r="Y48" i="19"/>
  <c r="H41" i="19"/>
  <c r="I45" i="19"/>
  <c r="AA104" i="6"/>
  <c r="AA100" i="6"/>
  <c r="AA128" i="6"/>
  <c r="AA120" i="6"/>
  <c r="AA234" i="6"/>
  <c r="AA164" i="6"/>
  <c r="AA160" i="6"/>
  <c r="AA184" i="6"/>
  <c r="I43" i="18"/>
  <c r="I51" i="18"/>
  <c r="E43" i="18"/>
  <c r="E51" i="18"/>
  <c r="AA225" i="6"/>
  <c r="AA689" i="6"/>
  <c r="E43" i="16"/>
  <c r="E51" i="16"/>
  <c r="AA144" i="6"/>
  <c r="AA112" i="6"/>
  <c r="AA124" i="6"/>
  <c r="I43" i="16"/>
  <c r="I51" i="16"/>
  <c r="K44" i="16"/>
  <c r="K52" i="16"/>
  <c r="AA96" i="6"/>
  <c r="AA92" i="6"/>
  <c r="AA88" i="6"/>
  <c r="AA84" i="6"/>
  <c r="AA80" i="6"/>
  <c r="AA76" i="6"/>
  <c r="AA72" i="6"/>
  <c r="AA68" i="6"/>
  <c r="AA64" i="6"/>
  <c r="AA60" i="6"/>
  <c r="AA56" i="6"/>
  <c r="AA52" i="6"/>
  <c r="AA48" i="6"/>
  <c r="AA44" i="6"/>
  <c r="AA40" i="6"/>
  <c r="AA36" i="6"/>
  <c r="AA32" i="6"/>
  <c r="AA28" i="6"/>
  <c r="AA24" i="6"/>
  <c r="AA20" i="6"/>
  <c r="AA16" i="6"/>
  <c r="AA12" i="6"/>
  <c r="AA8" i="6"/>
  <c r="AA4" i="6"/>
  <c r="AA136" i="6"/>
  <c r="AA246" i="6"/>
  <c r="AA731" i="6"/>
  <c r="AA856" i="6"/>
  <c r="J31" i="14"/>
  <c r="K39" i="14"/>
  <c r="D31" i="19"/>
  <c r="E38" i="19"/>
  <c r="Z38" i="23"/>
  <c r="AB38" i="23"/>
  <c r="X31" i="23"/>
  <c r="Y37" i="23"/>
  <c r="P31" i="23"/>
  <c r="Q36" i="23"/>
  <c r="Z32" i="23"/>
  <c r="AB32" i="23"/>
  <c r="H31" i="23"/>
  <c r="I39" i="23"/>
  <c r="R22" i="29"/>
  <c r="S24" i="29"/>
  <c r="J22" i="29"/>
  <c r="K26" i="29"/>
  <c r="Z15" i="14"/>
  <c r="AA116" i="6"/>
  <c r="AA108" i="6"/>
  <c r="AA172" i="6"/>
  <c r="AA176" i="6"/>
  <c r="Z21" i="19"/>
  <c r="R13" i="19"/>
  <c r="S17" i="19"/>
  <c r="J13" i="19"/>
  <c r="K17" i="19"/>
  <c r="Z15" i="19"/>
  <c r="Z14" i="19"/>
  <c r="Z21" i="23"/>
  <c r="AB21" i="23"/>
  <c r="Z20" i="23"/>
  <c r="AB20" i="23"/>
  <c r="Z17" i="23"/>
  <c r="AB17" i="23"/>
  <c r="R13" i="23"/>
  <c r="S21" i="23"/>
  <c r="J13" i="23"/>
  <c r="K19" i="23"/>
  <c r="Z16" i="23"/>
  <c r="AB16" i="23"/>
  <c r="Z57" i="29"/>
  <c r="Z56" i="29"/>
  <c r="N49" i="23"/>
  <c r="O54" i="23"/>
  <c r="J49" i="23"/>
  <c r="K52" i="23"/>
  <c r="T49" i="23"/>
  <c r="U54" i="23"/>
  <c r="D49" i="23"/>
  <c r="E54" i="23"/>
  <c r="L49" i="23"/>
  <c r="M54" i="23"/>
  <c r="F49" i="23"/>
  <c r="G51" i="23"/>
  <c r="C47" i="14"/>
  <c r="U60" i="13"/>
  <c r="C48" i="14"/>
  <c r="E60" i="14"/>
  <c r="O60" i="14"/>
  <c r="E60" i="13"/>
  <c r="C45" i="14"/>
  <c r="G188" i="7"/>
  <c r="P52" i="19"/>
  <c r="P49" i="19"/>
  <c r="V115" i="23"/>
  <c r="W118" i="23"/>
  <c r="F115" i="23"/>
  <c r="G121" i="23"/>
  <c r="R49" i="23"/>
  <c r="S54" i="23"/>
  <c r="V49" i="23"/>
  <c r="W51" i="23"/>
  <c r="F13" i="19"/>
  <c r="G21" i="19"/>
  <c r="B13" i="23"/>
  <c r="C16" i="23"/>
  <c r="Z35" i="19"/>
  <c r="N31" i="19"/>
  <c r="O39" i="19"/>
  <c r="Z32" i="19"/>
  <c r="Z39" i="23"/>
  <c r="AB39" i="23"/>
  <c r="Z36" i="23"/>
  <c r="AB36" i="23"/>
  <c r="Z35" i="23"/>
  <c r="AB35" i="23"/>
  <c r="Z34" i="23"/>
  <c r="AB34" i="23"/>
  <c r="Z30" i="23"/>
  <c r="AB30" i="23"/>
  <c r="J22" i="23"/>
  <c r="K27" i="23"/>
  <c r="Z28" i="23"/>
  <c r="AB28" i="23"/>
  <c r="Z26" i="23"/>
  <c r="AB26" i="23"/>
  <c r="Z24" i="23"/>
  <c r="AB24" i="23"/>
  <c r="V22" i="19"/>
  <c r="W23" i="19"/>
  <c r="N22" i="19"/>
  <c r="O26" i="19"/>
  <c r="R22" i="14"/>
  <c r="S29" i="14"/>
  <c r="F31" i="14"/>
  <c r="G39" i="14"/>
  <c r="F31" i="19"/>
  <c r="G35" i="19"/>
  <c r="X41" i="29"/>
  <c r="Y48" i="29"/>
  <c r="P41" i="29"/>
  <c r="Q47" i="29"/>
  <c r="H41" i="29"/>
  <c r="I45" i="29"/>
  <c r="X49" i="23"/>
  <c r="Y52" i="23"/>
  <c r="P49" i="23"/>
  <c r="Q51" i="23"/>
  <c r="G60" i="13"/>
  <c r="W60" i="13"/>
  <c r="I60" i="14"/>
  <c r="Q60" i="14"/>
  <c r="Y60" i="14"/>
  <c r="M60" i="13"/>
  <c r="O42" i="13"/>
  <c r="AA725" i="6"/>
  <c r="AA710" i="6"/>
  <c r="AA727" i="6"/>
  <c r="AA732" i="6"/>
  <c r="AA716" i="6"/>
  <c r="AA529" i="6"/>
  <c r="C208" i="29"/>
  <c r="AA750" i="6"/>
  <c r="AA132" i="6"/>
  <c r="AA148" i="6"/>
  <c r="AA152" i="6"/>
  <c r="AA180" i="6"/>
  <c r="AA188" i="6"/>
  <c r="AA194" i="6"/>
  <c r="H45" i="16"/>
  <c r="H53" i="16"/>
  <c r="P13" i="14"/>
  <c r="Q18" i="14"/>
  <c r="D31" i="14"/>
  <c r="E35" i="14"/>
  <c r="I44" i="16"/>
  <c r="I52" i="16"/>
  <c r="E44" i="18"/>
  <c r="E52" i="18"/>
  <c r="D43" i="16"/>
  <c r="D51" i="16"/>
  <c r="C44" i="16"/>
  <c r="C52" i="16"/>
  <c r="AA735" i="6"/>
  <c r="Z34" i="13"/>
  <c r="AA61" i="6"/>
  <c r="AA105" i="6"/>
  <c r="AA101" i="6"/>
  <c r="AA117" i="6"/>
  <c r="J44" i="18"/>
  <c r="J52" i="18"/>
  <c r="AA455" i="6"/>
  <c r="AA103" i="6"/>
  <c r="AA99" i="6"/>
  <c r="E44" i="16"/>
  <c r="E52" i="16"/>
  <c r="AA233" i="6"/>
  <c r="AA249" i="6"/>
  <c r="AA257" i="6"/>
  <c r="AA274" i="6"/>
  <c r="AA772" i="6"/>
  <c r="AA734" i="6"/>
  <c r="AA115" i="6"/>
  <c r="AA107" i="6"/>
  <c r="AA133" i="6"/>
  <c r="AA169" i="6"/>
  <c r="AA127" i="6"/>
  <c r="AA95" i="6"/>
  <c r="AA91" i="6"/>
  <c r="AA87" i="6"/>
  <c r="AA83" i="6"/>
  <c r="AA79" i="6"/>
  <c r="AA75" i="6"/>
  <c r="AA71" i="6"/>
  <c r="AA67" i="6"/>
  <c r="AA63" i="6"/>
  <c r="AA59" i="6"/>
  <c r="AA55" i="6"/>
  <c r="AA51" i="6"/>
  <c r="AA47" i="6"/>
  <c r="AA43" i="6"/>
  <c r="AA39" i="6"/>
  <c r="AA35" i="6"/>
  <c r="AA31" i="6"/>
  <c r="AA27" i="6"/>
  <c r="AA23" i="6"/>
  <c r="AA19" i="6"/>
  <c r="AA15" i="6"/>
  <c r="AA11" i="6"/>
  <c r="AA7" i="6"/>
  <c r="AA3" i="6"/>
  <c r="AA155" i="6"/>
  <c r="AA163" i="6"/>
  <c r="AA179" i="6"/>
  <c r="AA187" i="6"/>
  <c r="AA733" i="6"/>
  <c r="Z39" i="19"/>
  <c r="Z37" i="19"/>
  <c r="X31" i="19"/>
  <c r="Y33" i="19"/>
  <c r="P31" i="19"/>
  <c r="Q37" i="19"/>
  <c r="Z34" i="19"/>
  <c r="Z33" i="19"/>
  <c r="Z37" i="23"/>
  <c r="AB37" i="23"/>
  <c r="Z33" i="23"/>
  <c r="AB33" i="23"/>
  <c r="N22" i="29"/>
  <c r="O30" i="29"/>
  <c r="F22" i="29"/>
  <c r="G29" i="29"/>
  <c r="D22" i="29"/>
  <c r="E26" i="29"/>
  <c r="X13" i="14"/>
  <c r="Y19" i="14"/>
  <c r="J4" i="29"/>
  <c r="K7" i="29"/>
  <c r="G30" i="29"/>
  <c r="H31" i="19"/>
  <c r="I39" i="19"/>
  <c r="N13" i="14"/>
  <c r="O20" i="14"/>
  <c r="V4" i="29"/>
  <c r="W11" i="29"/>
  <c r="D4" i="29"/>
  <c r="E6" i="29"/>
  <c r="B4" i="29"/>
  <c r="C7" i="29"/>
  <c r="Z17" i="14"/>
  <c r="H13" i="19"/>
  <c r="I18" i="19"/>
  <c r="X13" i="19"/>
  <c r="Y20" i="19"/>
  <c r="Z19" i="19"/>
  <c r="Z18" i="19"/>
  <c r="AA700" i="6"/>
  <c r="AA183" i="6"/>
  <c r="AA175" i="6"/>
  <c r="AA193" i="6"/>
  <c r="AA197" i="6"/>
  <c r="P13" i="19"/>
  <c r="Q17" i="19"/>
  <c r="L22" i="29"/>
  <c r="M28" i="29"/>
  <c r="T22" i="29"/>
  <c r="U29" i="29"/>
  <c r="Z16" i="14"/>
  <c r="H4" i="29"/>
  <c r="I9" i="29"/>
  <c r="P4" i="29"/>
  <c r="Q7" i="29"/>
  <c r="Z38" i="19"/>
  <c r="N4" i="29"/>
  <c r="O9" i="29"/>
  <c r="W30" i="29"/>
  <c r="W29" i="29"/>
  <c r="W28" i="29"/>
  <c r="W27" i="29"/>
  <c r="W26" i="29"/>
  <c r="W25" i="29"/>
  <c r="W24" i="29"/>
  <c r="W23" i="29"/>
  <c r="AA243" i="6"/>
  <c r="AA202" i="6"/>
  <c r="AA231" i="6"/>
  <c r="AA713" i="6"/>
  <c r="J45" i="16"/>
  <c r="J53" i="16"/>
  <c r="H44" i="16"/>
  <c r="H52" i="16"/>
  <c r="D44" i="16"/>
  <c r="D52" i="16"/>
  <c r="AA303" i="6"/>
  <c r="AA340" i="6"/>
  <c r="AA211" i="6"/>
  <c r="O44" i="13"/>
  <c r="Y45" i="13"/>
  <c r="I44" i="13"/>
  <c r="Y47" i="13"/>
  <c r="H145" i="23"/>
  <c r="I145" i="23"/>
  <c r="J115" i="23"/>
  <c r="K121" i="23"/>
  <c r="B115" i="23"/>
  <c r="C121" i="23"/>
  <c r="Q42" i="13"/>
  <c r="I46" i="13"/>
  <c r="I43" i="13"/>
  <c r="Y46" i="13"/>
  <c r="Q48" i="13"/>
  <c r="K53" i="13"/>
  <c r="Q43" i="13"/>
  <c r="I45" i="13"/>
  <c r="Y48" i="13"/>
  <c r="I51" i="13"/>
  <c r="Q52" i="13"/>
  <c r="Y53" i="13"/>
  <c r="Y42" i="13"/>
  <c r="Q44" i="13"/>
  <c r="Q45" i="13"/>
  <c r="O46" i="13"/>
  <c r="I47" i="13"/>
  <c r="I48" i="13"/>
  <c r="K51" i="13"/>
  <c r="Y43" i="13"/>
  <c r="Q46" i="13"/>
  <c r="O48" i="13"/>
  <c r="Q50" i="13"/>
  <c r="Y51" i="13"/>
  <c r="I53" i="13"/>
  <c r="Q54" i="13"/>
  <c r="B49" i="23"/>
  <c r="C54" i="23"/>
  <c r="H49" i="23"/>
  <c r="I53" i="23"/>
  <c r="W134" i="13"/>
  <c r="Q182" i="7"/>
  <c r="K50" i="13"/>
  <c r="K52" i="13"/>
  <c r="I50" i="13"/>
  <c r="Y50" i="13"/>
  <c r="Q51" i="13"/>
  <c r="I52" i="13"/>
  <c r="Y52" i="13"/>
  <c r="E50" i="13"/>
  <c r="U50" i="13"/>
  <c r="M51" i="13"/>
  <c r="M52" i="13"/>
  <c r="E53" i="13"/>
  <c r="U53" i="13"/>
  <c r="U54" i="13"/>
  <c r="M50" i="13"/>
  <c r="E51" i="13"/>
  <c r="U51" i="13"/>
  <c r="E52" i="13"/>
  <c r="M53" i="13"/>
  <c r="O43" i="13"/>
  <c r="O45" i="13"/>
  <c r="G50" i="13"/>
  <c r="O50" i="13"/>
  <c r="W50" i="13"/>
  <c r="G51" i="13"/>
  <c r="O51" i="13"/>
  <c r="W51" i="13"/>
  <c r="G52" i="13"/>
  <c r="O52" i="13"/>
  <c r="W52" i="13"/>
  <c r="G53" i="13"/>
  <c r="O53" i="13"/>
  <c r="W53" i="13"/>
  <c r="U50" i="14"/>
  <c r="O134" i="19"/>
  <c r="R219" i="23"/>
  <c r="S219" i="23"/>
  <c r="Q208" i="29"/>
  <c r="O208" i="23"/>
  <c r="Z51" i="23"/>
  <c r="AB51" i="23"/>
  <c r="C42" i="13"/>
  <c r="K42" i="13"/>
  <c r="S42" i="13"/>
  <c r="C43" i="13"/>
  <c r="K43" i="13"/>
  <c r="S43" i="13"/>
  <c r="C44" i="13"/>
  <c r="K44" i="13"/>
  <c r="S44" i="13"/>
  <c r="C45" i="13"/>
  <c r="K45" i="13"/>
  <c r="S45" i="13"/>
  <c r="C46" i="13"/>
  <c r="K46" i="13"/>
  <c r="S46" i="13"/>
  <c r="C47" i="13"/>
  <c r="K47" i="13"/>
  <c r="S47" i="13"/>
  <c r="C43" i="14"/>
  <c r="O48" i="14"/>
  <c r="G51" i="14"/>
  <c r="E42" i="13"/>
  <c r="M42" i="13"/>
  <c r="E43" i="13"/>
  <c r="M43" i="13"/>
  <c r="E44" i="13"/>
  <c r="M44" i="13"/>
  <c r="E45" i="13"/>
  <c r="M45" i="13"/>
  <c r="E46" i="13"/>
  <c r="M46" i="13"/>
  <c r="E47" i="13"/>
  <c r="M47" i="13"/>
  <c r="C44" i="14"/>
  <c r="M54" i="14"/>
  <c r="M43" i="14"/>
  <c r="G48" i="14"/>
  <c r="W48" i="19"/>
  <c r="M50" i="14"/>
  <c r="I134" i="13"/>
  <c r="M60" i="19"/>
  <c r="G45" i="14"/>
  <c r="G42" i="14"/>
  <c r="E44" i="14"/>
  <c r="S52" i="14"/>
  <c r="V71" i="19"/>
  <c r="W71" i="19"/>
  <c r="V71" i="23"/>
  <c r="W71" i="23"/>
  <c r="G208" i="29"/>
  <c r="W53" i="14"/>
  <c r="O54" i="14"/>
  <c r="W46" i="19"/>
  <c r="J219" i="29"/>
  <c r="K219" i="29"/>
  <c r="N189" i="14"/>
  <c r="O193" i="14"/>
  <c r="D123" i="23"/>
  <c r="E128" i="23"/>
  <c r="G44" i="14"/>
  <c r="E45" i="14"/>
  <c r="E47" i="14"/>
  <c r="E48" i="14"/>
  <c r="W50" i="14"/>
  <c r="W52" i="14"/>
  <c r="S54" i="14"/>
  <c r="V145" i="19"/>
  <c r="W145" i="19"/>
  <c r="U60" i="23"/>
  <c r="J219" i="23"/>
  <c r="K219" i="23"/>
  <c r="P145" i="13"/>
  <c r="Q145" i="13"/>
  <c r="C208" i="13"/>
  <c r="E46" i="14"/>
  <c r="W54" i="14"/>
  <c r="Z120" i="23"/>
  <c r="E42" i="14"/>
  <c r="O50" i="14"/>
  <c r="U51" i="14"/>
  <c r="W134" i="29"/>
  <c r="D219" i="23"/>
  <c r="E219" i="23"/>
  <c r="E208" i="23"/>
  <c r="X219" i="23"/>
  <c r="Y219" i="23"/>
  <c r="O134" i="29"/>
  <c r="Z44" i="29"/>
  <c r="AB44" i="29"/>
  <c r="O208" i="29"/>
  <c r="U45" i="14"/>
  <c r="O46" i="14"/>
  <c r="O47" i="14"/>
  <c r="M52" i="14"/>
  <c r="M53" i="14"/>
  <c r="C134" i="14"/>
  <c r="L40" i="14"/>
  <c r="M49" i="14"/>
  <c r="Z45" i="19"/>
  <c r="Q60" i="19"/>
  <c r="X71" i="19"/>
  <c r="Y71" i="19"/>
  <c r="N71" i="19"/>
  <c r="O71" i="19"/>
  <c r="Z210" i="19"/>
  <c r="Z220" i="19"/>
  <c r="F65" i="20"/>
  <c r="F58" i="20"/>
  <c r="F60" i="20"/>
  <c r="Z71" i="29"/>
  <c r="O42" i="14"/>
  <c r="U43" i="14"/>
  <c r="W44" i="14"/>
  <c r="O45" i="14"/>
  <c r="G50" i="14"/>
  <c r="G52" i="14"/>
  <c r="G53" i="14"/>
  <c r="N40" i="13"/>
  <c r="W45" i="19"/>
  <c r="W47" i="19"/>
  <c r="F63" i="20"/>
  <c r="K60" i="23"/>
  <c r="E134" i="29"/>
  <c r="P219" i="14"/>
  <c r="Q219" i="14"/>
  <c r="Q208" i="14"/>
  <c r="P219" i="19"/>
  <c r="Q219" i="19"/>
  <c r="Q208" i="19"/>
  <c r="D219" i="13"/>
  <c r="E219" i="13"/>
  <c r="W44" i="19"/>
  <c r="H71" i="19"/>
  <c r="I71" i="19"/>
  <c r="Y45" i="23"/>
  <c r="G60" i="23"/>
  <c r="X145" i="23"/>
  <c r="Y145" i="23"/>
  <c r="Z42" i="23"/>
  <c r="AB42" i="23"/>
  <c r="Z42" i="14"/>
  <c r="Z44" i="13"/>
  <c r="Z54" i="29"/>
  <c r="AB54" i="29"/>
  <c r="M208" i="29"/>
  <c r="Y208" i="29"/>
  <c r="D40" i="13"/>
  <c r="W43" i="19"/>
  <c r="K60" i="19"/>
  <c r="E134" i="19"/>
  <c r="C208" i="19"/>
  <c r="Z53" i="19"/>
  <c r="Z45" i="14"/>
  <c r="Z47" i="13"/>
  <c r="E208" i="29"/>
  <c r="V219" i="29"/>
  <c r="W219" i="29"/>
  <c r="K134" i="13"/>
  <c r="E51" i="14"/>
  <c r="I134" i="14"/>
  <c r="B219" i="14"/>
  <c r="C219" i="14"/>
  <c r="Z208" i="14"/>
  <c r="Z207" i="14"/>
  <c r="AA208" i="14"/>
  <c r="F71" i="19"/>
  <c r="G71" i="19"/>
  <c r="G208" i="19"/>
  <c r="Z43" i="14"/>
  <c r="Z50" i="13"/>
  <c r="Z62" i="19"/>
  <c r="Y46" i="23"/>
  <c r="S60" i="23"/>
  <c r="Z51" i="13"/>
  <c r="M208" i="13"/>
  <c r="O134" i="14"/>
  <c r="X40" i="13"/>
  <c r="Z62" i="14"/>
  <c r="Z53" i="14"/>
  <c r="Z60" i="13"/>
  <c r="Z59" i="13"/>
  <c r="AA60" i="13"/>
  <c r="Z52" i="29"/>
  <c r="AB52" i="29"/>
  <c r="B219" i="23"/>
  <c r="C219" i="23"/>
  <c r="I208" i="29"/>
  <c r="Z191" i="14"/>
  <c r="R219" i="29"/>
  <c r="S219" i="29"/>
  <c r="D207" i="14"/>
  <c r="D219" i="14"/>
  <c r="E219" i="14"/>
  <c r="O208" i="19"/>
  <c r="Y134" i="29"/>
  <c r="X145" i="29"/>
  <c r="Y145" i="29"/>
  <c r="I134" i="29"/>
  <c r="H145" i="29"/>
  <c r="I145" i="29"/>
  <c r="M134" i="19"/>
  <c r="Z125" i="23"/>
  <c r="O134" i="23"/>
  <c r="Z134" i="29"/>
  <c r="Z133" i="29"/>
  <c r="Z145" i="29"/>
  <c r="C134" i="13"/>
  <c r="S134" i="13"/>
  <c r="Y134" i="14"/>
  <c r="U134" i="19"/>
  <c r="R145" i="19"/>
  <c r="S145" i="19"/>
  <c r="Z118" i="23"/>
  <c r="Z116" i="23"/>
  <c r="M42" i="14"/>
  <c r="K43" i="14"/>
  <c r="K44" i="14"/>
  <c r="M45" i="14"/>
  <c r="M47" i="14"/>
  <c r="M48" i="14"/>
  <c r="F145" i="14"/>
  <c r="G145" i="14"/>
  <c r="G134" i="14"/>
  <c r="Z210" i="14"/>
  <c r="Z220" i="14"/>
  <c r="X220" i="14"/>
  <c r="Y220" i="14"/>
  <c r="F189" i="14"/>
  <c r="G196" i="14"/>
  <c r="I46" i="14"/>
  <c r="Z201" i="14"/>
  <c r="T197" i="14"/>
  <c r="U202" i="14"/>
  <c r="L197" i="14"/>
  <c r="M201" i="14"/>
  <c r="Z196" i="14"/>
  <c r="O134" i="13"/>
  <c r="Y134" i="13"/>
  <c r="S208" i="13"/>
  <c r="O43" i="14"/>
  <c r="I45" i="14"/>
  <c r="K46" i="14"/>
  <c r="I47" i="14"/>
  <c r="I48" i="14"/>
  <c r="Q134" i="14"/>
  <c r="T145" i="14"/>
  <c r="U145" i="14"/>
  <c r="U134" i="14"/>
  <c r="R219" i="19"/>
  <c r="S219" i="19"/>
  <c r="S208" i="19"/>
  <c r="G134" i="13"/>
  <c r="U208" i="13"/>
  <c r="K42" i="14"/>
  <c r="I43" i="14"/>
  <c r="I44" i="14"/>
  <c r="K45" i="14"/>
  <c r="M46" i="14"/>
  <c r="K47" i="14"/>
  <c r="W134" i="14"/>
  <c r="U54" i="14"/>
  <c r="U52" i="14"/>
  <c r="F40" i="14"/>
  <c r="X189" i="14"/>
  <c r="Y190" i="14"/>
  <c r="P189" i="14"/>
  <c r="H189" i="14"/>
  <c r="I196" i="14"/>
  <c r="H40" i="13"/>
  <c r="J40" i="13"/>
  <c r="L40" i="13"/>
  <c r="P40" i="13"/>
  <c r="Z72" i="14"/>
  <c r="O42" i="19"/>
  <c r="U60" i="19"/>
  <c r="Z134" i="19"/>
  <c r="Z133" i="19"/>
  <c r="Z145" i="19"/>
  <c r="U208" i="19"/>
  <c r="T219" i="19"/>
  <c r="U219" i="19"/>
  <c r="M208" i="19"/>
  <c r="L219" i="19"/>
  <c r="M219" i="19"/>
  <c r="J145" i="23"/>
  <c r="K145" i="23"/>
  <c r="K134" i="23"/>
  <c r="C134" i="23"/>
  <c r="B145" i="23"/>
  <c r="C145" i="23"/>
  <c r="Z192" i="14"/>
  <c r="Z72" i="13"/>
  <c r="E46" i="19"/>
  <c r="U46" i="19"/>
  <c r="G47" i="19"/>
  <c r="U47" i="19"/>
  <c r="U48" i="19"/>
  <c r="C60" i="19"/>
  <c r="Z70" i="19"/>
  <c r="Z70" i="13"/>
  <c r="E42" i="19"/>
  <c r="U42" i="19"/>
  <c r="U43" i="19"/>
  <c r="U44" i="19"/>
  <c r="U45" i="19"/>
  <c r="O46" i="19"/>
  <c r="E60" i="19"/>
  <c r="T220" i="19"/>
  <c r="U220" i="19"/>
  <c r="L55" i="20"/>
  <c r="L56" i="20"/>
  <c r="J58" i="20"/>
  <c r="J59" i="20"/>
  <c r="C63" i="20"/>
  <c r="Y42" i="23"/>
  <c r="R115" i="23"/>
  <c r="S122" i="23"/>
  <c r="Z54" i="23"/>
  <c r="AB54" i="23"/>
  <c r="Z53" i="23"/>
  <c r="AB53" i="23"/>
  <c r="Z42" i="19"/>
  <c r="Z52" i="14"/>
  <c r="Z51" i="14"/>
  <c r="Z48" i="14"/>
  <c r="Z47" i="14"/>
  <c r="Z44" i="14"/>
  <c r="Z48" i="13"/>
  <c r="G134" i="29"/>
  <c r="Q134" i="29"/>
  <c r="Z45" i="29"/>
  <c r="AB45" i="29"/>
  <c r="Z51" i="29"/>
  <c r="AB51" i="29"/>
  <c r="Z50" i="29"/>
  <c r="AB50" i="29"/>
  <c r="C60" i="23"/>
  <c r="P71" i="23"/>
  <c r="Q71" i="23"/>
  <c r="T123" i="23"/>
  <c r="U125" i="23"/>
  <c r="L123" i="23"/>
  <c r="M128" i="23"/>
  <c r="Z124" i="23"/>
  <c r="Q208" i="23"/>
  <c r="Z43" i="23"/>
  <c r="AB43" i="23"/>
  <c r="Z51" i="19"/>
  <c r="Z48" i="19"/>
  <c r="Z47" i="19"/>
  <c r="Z54" i="14"/>
  <c r="Z52" i="13"/>
  <c r="Z48" i="29"/>
  <c r="AB48" i="29"/>
  <c r="Z47" i="29"/>
  <c r="AB47" i="29"/>
  <c r="U208" i="29"/>
  <c r="Y43" i="23"/>
  <c r="S134" i="23"/>
  <c r="P123" i="23"/>
  <c r="Q128" i="23"/>
  <c r="B123" i="23"/>
  <c r="C124" i="23"/>
  <c r="Z60" i="19"/>
  <c r="Z59" i="19"/>
  <c r="AA60" i="19"/>
  <c r="Z44" i="19"/>
  <c r="Z43" i="19"/>
  <c r="Z50" i="14"/>
  <c r="AC50" i="14"/>
  <c r="AC50" i="32"/>
  <c r="Z46" i="14"/>
  <c r="Z53" i="13"/>
  <c r="Z45" i="13"/>
  <c r="M134" i="29"/>
  <c r="Z43" i="29"/>
  <c r="AB43" i="29"/>
  <c r="Z117" i="23"/>
  <c r="Z62" i="23"/>
  <c r="AB62" i="23"/>
  <c r="Z45" i="23"/>
  <c r="AB45" i="23"/>
  <c r="Z44" i="23"/>
  <c r="AB44" i="23"/>
  <c r="Z54" i="19"/>
  <c r="Z46" i="19"/>
  <c r="Z60" i="14"/>
  <c r="Z59" i="14"/>
  <c r="AA60" i="14"/>
  <c r="Z54" i="13"/>
  <c r="Z46" i="13"/>
  <c r="Z42" i="13"/>
  <c r="T31" i="14"/>
  <c r="U38" i="14"/>
  <c r="AA711" i="6"/>
  <c r="AA138" i="6"/>
  <c r="AA140" i="6"/>
  <c r="AA156" i="6"/>
  <c r="AA168" i="6"/>
  <c r="AA218" i="6"/>
  <c r="AA198" i="6"/>
  <c r="AA230" i="6"/>
  <c r="AA254" i="6"/>
  <c r="AA271" i="6"/>
  <c r="H45" i="18"/>
  <c r="H53" i="18"/>
  <c r="H46" i="16"/>
  <c r="H54" i="16"/>
  <c r="G46" i="16"/>
  <c r="AA53" i="6"/>
  <c r="T13" i="14"/>
  <c r="U19" i="14"/>
  <c r="Z35" i="14"/>
  <c r="B31" i="14"/>
  <c r="C36" i="14"/>
  <c r="Z21" i="14"/>
  <c r="Z18" i="14"/>
  <c r="R13" i="14"/>
  <c r="S20" i="14"/>
  <c r="Z14" i="14"/>
  <c r="Z20" i="19"/>
  <c r="AA122" i="6"/>
  <c r="AA267" i="6"/>
  <c r="K44" i="18"/>
  <c r="K52" i="18"/>
  <c r="AA250" i="6"/>
  <c r="AA284" i="6"/>
  <c r="AA314" i="6"/>
  <c r="L31" i="14"/>
  <c r="M34" i="14"/>
  <c r="J44" i="16"/>
  <c r="J52" i="16"/>
  <c r="AA162" i="6"/>
  <c r="AA708" i="6"/>
  <c r="AA86" i="6"/>
  <c r="AA78" i="6"/>
  <c r="AA74" i="6"/>
  <c r="AA70" i="6"/>
  <c r="AA66" i="6"/>
  <c r="AA62" i="6"/>
  <c r="AA50" i="6"/>
  <c r="AA46" i="6"/>
  <c r="AA42" i="6"/>
  <c r="AA38" i="6"/>
  <c r="AA26" i="6"/>
  <c r="AA22" i="6"/>
  <c r="AA14" i="6"/>
  <c r="AA10" i="6"/>
  <c r="AA6" i="6"/>
  <c r="AA2" i="6"/>
  <c r="AA113" i="6"/>
  <c r="AA102" i="6"/>
  <c r="AA98" i="6"/>
  <c r="AA93" i="6"/>
  <c r="AA89" i="6"/>
  <c r="AA85" i="6"/>
  <c r="AA81" i="6"/>
  <c r="AA77" i="6"/>
  <c r="AA73" i="6"/>
  <c r="AA69" i="6"/>
  <c r="AA65" i="6"/>
  <c r="AA49" i="6"/>
  <c r="AA45" i="6"/>
  <c r="AA41" i="6"/>
  <c r="AA37" i="6"/>
  <c r="AA33" i="6"/>
  <c r="AA29" i="6"/>
  <c r="AA25" i="6"/>
  <c r="AA21" i="6"/>
  <c r="AA17" i="6"/>
  <c r="AA13" i="6"/>
  <c r="AA9" i="6"/>
  <c r="AA5" i="6"/>
  <c r="AA121" i="6"/>
  <c r="AA106" i="6"/>
  <c r="AA114" i="6"/>
  <c r="AA130" i="6"/>
  <c r="AA146" i="6"/>
  <c r="AA149" i="6"/>
  <c r="AA153" i="6"/>
  <c r="AA177" i="6"/>
  <c r="AA185" i="6"/>
  <c r="AA199" i="6"/>
  <c r="AA236" i="6"/>
  <c r="AA251" i="6"/>
  <c r="AA223" i="6"/>
  <c r="AA212" i="6"/>
  <c r="C43" i="16"/>
  <c r="C51" i="16"/>
  <c r="AA181" i="6"/>
  <c r="AA473" i="6"/>
  <c r="AA656" i="6"/>
  <c r="AA135" i="6"/>
  <c r="AA261" i="6"/>
  <c r="AA151" i="6"/>
  <c r="AA167" i="6"/>
  <c r="AA229" i="6"/>
  <c r="AA221" i="6"/>
  <c r="AA241" i="6"/>
  <c r="AA438" i="6"/>
  <c r="AA504" i="6"/>
  <c r="AA522" i="6"/>
  <c r="T4" i="29"/>
  <c r="U11" i="29"/>
  <c r="AA684" i="6"/>
  <c r="E44" i="20"/>
  <c r="E52" i="20"/>
  <c r="AA555" i="6"/>
  <c r="AA688" i="6"/>
  <c r="K45" i="16"/>
  <c r="K53" i="16"/>
  <c r="AA682" i="6"/>
  <c r="AA94" i="6"/>
  <c r="AA90" i="6"/>
  <c r="AA57" i="6"/>
  <c r="AA54" i="6"/>
  <c r="AA129" i="6"/>
  <c r="AA97" i="6"/>
  <c r="AA126" i="6"/>
  <c r="E45" i="16"/>
  <c r="E53" i="16"/>
  <c r="AA134" i="6"/>
  <c r="AA349" i="6"/>
  <c r="AA394" i="6"/>
  <c r="AA378" i="6"/>
  <c r="AA373" i="6"/>
  <c r="AA441" i="6"/>
  <c r="AA388" i="6"/>
  <c r="AA403" i="6"/>
  <c r="AA436" i="6"/>
  <c r="AA429" i="6"/>
  <c r="AA445" i="6"/>
  <c r="AA465" i="6"/>
  <c r="AA484" i="6"/>
  <c r="AA479" i="6"/>
  <c r="AA516" i="6"/>
  <c r="AA547" i="6"/>
  <c r="AA612" i="6"/>
  <c r="AA605" i="6"/>
  <c r="AA667" i="6"/>
  <c r="AA643" i="6"/>
  <c r="AA681" i="6"/>
  <c r="Z36" i="13"/>
  <c r="AA125" i="6"/>
  <c r="AA139" i="6"/>
  <c r="AA143" i="6"/>
  <c r="AA145" i="6"/>
  <c r="AA147" i="6"/>
  <c r="AA159" i="6"/>
  <c r="AA171" i="6"/>
  <c r="AA201" i="6"/>
  <c r="AA402" i="6"/>
  <c r="AA291" i="6"/>
  <c r="AA270" i="6"/>
  <c r="AA289" i="6"/>
  <c r="AA268" i="6"/>
  <c r="AA299" i="6"/>
  <c r="AA310" i="6"/>
  <c r="AA412" i="6"/>
  <c r="AA426" i="6"/>
  <c r="AA513" i="6"/>
  <c r="AA570" i="6"/>
  <c r="AA500" i="6"/>
  <c r="AA515" i="6"/>
  <c r="AA545" i="6"/>
  <c r="AA496" i="6"/>
  <c r="AA536" i="6"/>
  <c r="AA518" i="6"/>
  <c r="AA527" i="6"/>
  <c r="AA534" i="6"/>
  <c r="AA582" i="6"/>
  <c r="AA590" i="6"/>
  <c r="AA607" i="6"/>
  <c r="AA606" i="6"/>
  <c r="AA620" i="6"/>
  <c r="AA613" i="6"/>
  <c r="AA687" i="6"/>
  <c r="AA217" i="6"/>
  <c r="AA205" i="6"/>
  <c r="AA245" i="6"/>
  <c r="AA237" i="6"/>
  <c r="AA228" i="6"/>
  <c r="AA329" i="6"/>
  <c r="AA344" i="6"/>
  <c r="AA322" i="6"/>
  <c r="AA343" i="6"/>
  <c r="AA335" i="6"/>
  <c r="AA352" i="6"/>
  <c r="AA367" i="6"/>
  <c r="AA365" i="6"/>
  <c r="AA391" i="6"/>
  <c r="AA477" i="6"/>
  <c r="AA558" i="6"/>
  <c r="AA576" i="6"/>
  <c r="AA567" i="6"/>
  <c r="AA575" i="6"/>
  <c r="AA588" i="6"/>
  <c r="AA562" i="6"/>
  <c r="AA594" i="6"/>
  <c r="AA655" i="6"/>
  <c r="AA621" i="6"/>
  <c r="Z36" i="14"/>
  <c r="J46" i="16"/>
  <c r="J54" i="16"/>
  <c r="I45" i="16"/>
  <c r="I53" i="16"/>
  <c r="G46" i="18"/>
  <c r="D46" i="16"/>
  <c r="D54" i="16"/>
  <c r="C44" i="18"/>
  <c r="C52" i="18"/>
  <c r="M46" i="16"/>
  <c r="F46" i="16"/>
  <c r="AA137" i="6"/>
  <c r="AA157" i="6"/>
  <c r="AA195" i="6"/>
  <c r="AA190" i="6"/>
  <c r="AA272" i="6"/>
  <c r="I45" i="18"/>
  <c r="I53" i="18"/>
  <c r="AA227" i="6"/>
  <c r="AA255" i="6"/>
  <c r="AA259" i="6"/>
  <c r="H45" i="20"/>
  <c r="H53" i="20"/>
  <c r="AA358" i="6"/>
  <c r="AA419" i="6"/>
  <c r="AA431" i="6"/>
  <c r="AA657" i="6"/>
  <c r="AA471" i="6"/>
  <c r="AA492" i="6"/>
  <c r="AA587" i="6"/>
  <c r="AA583" i="6"/>
  <c r="AA676" i="6"/>
  <c r="AA616" i="6"/>
  <c r="U26" i="13"/>
  <c r="AA141" i="6"/>
  <c r="AA239" i="6"/>
  <c r="AA161" i="6"/>
  <c r="AA165" i="6"/>
  <c r="AA173" i="6"/>
  <c r="AA207" i="6"/>
  <c r="AA247" i="6"/>
  <c r="AA277" i="6"/>
  <c r="AA309" i="6"/>
  <c r="AA287" i="6"/>
  <c r="AA279" i="6"/>
  <c r="AA351" i="6"/>
  <c r="AA332" i="6"/>
  <c r="AA376" i="6"/>
  <c r="AA383" i="6"/>
  <c r="AA409" i="6"/>
  <c r="AA435" i="6"/>
  <c r="AA442" i="6"/>
  <c r="AA423" i="6"/>
  <c r="AA401" i="6"/>
  <c r="AA432" i="6"/>
  <c r="AA703" i="6"/>
  <c r="AA467" i="6"/>
  <c r="AA490" i="6"/>
  <c r="AA459" i="6"/>
  <c r="AA483" i="6"/>
  <c r="AA493" i="6"/>
  <c r="AA511" i="6"/>
  <c r="AA578" i="6"/>
  <c r="AA563" i="6"/>
  <c r="AA632" i="6"/>
  <c r="AA636" i="6"/>
  <c r="AA664" i="6"/>
  <c r="AA693" i="6"/>
  <c r="AA680" i="6"/>
  <c r="F46" i="18"/>
  <c r="AA203" i="6"/>
  <c r="AA235" i="6"/>
  <c r="AA219" i="6"/>
  <c r="AA215" i="6"/>
  <c r="AA263" i="6"/>
  <c r="AA297" i="6"/>
  <c r="AA323" i="6"/>
  <c r="AA192" i="6"/>
  <c r="AA174" i="6"/>
  <c r="I44" i="18"/>
  <c r="I52" i="18"/>
  <c r="AA359" i="6"/>
  <c r="AA363" i="6"/>
  <c r="AA366" i="6"/>
  <c r="AA370" i="6"/>
  <c r="AA372" i="6"/>
  <c r="AA369" i="6"/>
  <c r="AA371" i="6"/>
  <c r="AA501" i="6"/>
  <c r="AA478" i="6"/>
  <c r="AA495" i="6"/>
  <c r="AA470" i="6"/>
  <c r="AA546" i="6"/>
  <c r="AA541" i="6"/>
  <c r="AA568" i="6"/>
  <c r="AA633" i="6"/>
  <c r="AA640" i="6"/>
  <c r="AA755" i="6"/>
  <c r="K23" i="14"/>
  <c r="F31" i="13"/>
  <c r="G38" i="13"/>
  <c r="W24" i="13"/>
  <c r="X31" i="14"/>
  <c r="Y37" i="14"/>
  <c r="H31" i="14"/>
  <c r="I36" i="14"/>
  <c r="L4" i="14"/>
  <c r="M11" i="14"/>
  <c r="K24" i="13"/>
  <c r="N46" i="18"/>
  <c r="N54" i="18"/>
  <c r="N46" i="16"/>
  <c r="N54" i="16"/>
  <c r="L46" i="18"/>
  <c r="L54" i="18"/>
  <c r="L44" i="18"/>
  <c r="L52" i="18"/>
  <c r="K45" i="18"/>
  <c r="K53" i="18"/>
  <c r="K46" i="16"/>
  <c r="K54" i="16"/>
  <c r="J46" i="18"/>
  <c r="J54" i="18"/>
  <c r="I46" i="18"/>
  <c r="I54" i="18"/>
  <c r="I46" i="16"/>
  <c r="I54" i="16"/>
  <c r="H46" i="18"/>
  <c r="H54" i="18"/>
  <c r="H44" i="18"/>
  <c r="H52" i="18"/>
  <c r="E46" i="18"/>
  <c r="E54" i="18"/>
  <c r="E46" i="16"/>
  <c r="E54" i="16"/>
  <c r="D44" i="18"/>
  <c r="D52" i="18"/>
  <c r="D45" i="16"/>
  <c r="D53" i="16"/>
  <c r="D45" i="18"/>
  <c r="D53" i="18"/>
  <c r="D46" i="18"/>
  <c r="D54" i="18"/>
  <c r="C45" i="16"/>
  <c r="C53" i="16"/>
  <c r="C43" i="20"/>
  <c r="C51" i="20"/>
  <c r="C43" i="18"/>
  <c r="C51" i="18"/>
  <c r="Z34" i="14"/>
  <c r="AA196" i="6"/>
  <c r="AA623" i="6"/>
  <c r="AA677" i="6"/>
  <c r="AA154" i="6"/>
  <c r="AA208" i="6"/>
  <c r="AA200" i="6"/>
  <c r="AA256" i="6"/>
  <c r="AA280" i="6"/>
  <c r="AA302" i="6"/>
  <c r="AA331" i="6"/>
  <c r="AA328" i="6"/>
  <c r="AA397" i="6"/>
  <c r="AA350" i="6"/>
  <c r="AA361" i="6"/>
  <c r="AA399" i="6"/>
  <c r="AA433" i="6"/>
  <c r="AA443" i="6"/>
  <c r="AA524" i="6"/>
  <c r="AA593" i="6"/>
  <c r="AA499" i="6"/>
  <c r="AA537" i="6"/>
  <c r="AA531" i="6"/>
  <c r="AA559" i="6"/>
  <c r="AA648" i="6"/>
  <c r="AA569" i="6"/>
  <c r="AA586" i="6"/>
  <c r="AA591" i="6"/>
  <c r="AA604" i="6"/>
  <c r="AA589" i="6"/>
  <c r="AA658" i="6"/>
  <c r="AA646" i="6"/>
  <c r="AA699" i="6"/>
  <c r="AA158" i="6"/>
  <c r="AA166" i="6"/>
  <c r="AA182" i="6"/>
  <c r="AA186" i="6"/>
  <c r="AA506" i="6"/>
  <c r="AA82" i="6"/>
  <c r="AA58" i="6"/>
  <c r="AA34" i="6"/>
  <c r="AA30" i="6"/>
  <c r="AA18" i="6"/>
  <c r="AA110" i="6"/>
  <c r="AA142" i="6"/>
  <c r="AA204" i="6"/>
  <c r="AA150" i="6"/>
  <c r="AA170" i="6"/>
  <c r="AA178" i="6"/>
  <c r="AA216" i="6"/>
  <c r="AA206" i="6"/>
  <c r="AA214" i="6"/>
  <c r="AA222" i="6"/>
  <c r="AA242" i="6"/>
  <c r="AA262" i="6"/>
  <c r="AA293" i="6"/>
  <c r="AA311" i="6"/>
  <c r="AA209" i="6"/>
  <c r="I44" i="20"/>
  <c r="I52" i="20"/>
  <c r="G46" i="20"/>
  <c r="C45" i="18"/>
  <c r="C53" i="18"/>
  <c r="C44" i="20"/>
  <c r="C52" i="20"/>
  <c r="AA295" i="6"/>
  <c r="AA375" i="6"/>
  <c r="AA285" i="6"/>
  <c r="AA298" i="6"/>
  <c r="AA313" i="6"/>
  <c r="AA315" i="6"/>
  <c r="AA307" i="6"/>
  <c r="AA348" i="6"/>
  <c r="AA306" i="6"/>
  <c r="AA342" i="6"/>
  <c r="AA353" i="6"/>
  <c r="AA347" i="6"/>
  <c r="AA364" i="6"/>
  <c r="AA393" i="6"/>
  <c r="AA389" i="6"/>
  <c r="AA400" i="6"/>
  <c r="AA420" i="6"/>
  <c r="AA407" i="6"/>
  <c r="AA579" i="6"/>
  <c r="AA715" i="6"/>
  <c r="AA451" i="6"/>
  <c r="AA464" i="6"/>
  <c r="AA505" i="6"/>
  <c r="AA520" i="6"/>
  <c r="AA525" i="6"/>
  <c r="AA573" i="6"/>
  <c r="AA557" i="6"/>
  <c r="AA634" i="6"/>
  <c r="AA630" i="6"/>
  <c r="AA661" i="6"/>
  <c r="AA669" i="6"/>
  <c r="D46" i="20"/>
  <c r="D54" i="20"/>
  <c r="AA724" i="6"/>
  <c r="AA737" i="6"/>
  <c r="AA702" i="6"/>
  <c r="AA327" i="6"/>
  <c r="AA390" i="6"/>
  <c r="AA333" i="6"/>
  <c r="AA384" i="6"/>
  <c r="AA362" i="6"/>
  <c r="AA387" i="6"/>
  <c r="AA430" i="6"/>
  <c r="AA539" i="6"/>
  <c r="AA581" i="6"/>
  <c r="AA705" i="6"/>
  <c r="AA528" i="6"/>
  <c r="AA660" i="6"/>
  <c r="AA662" i="6"/>
  <c r="V31" i="13"/>
  <c r="W38" i="13"/>
  <c r="AA224" i="6"/>
  <c r="AA220" i="6"/>
  <c r="AA252" i="6"/>
  <c r="AA253" i="6"/>
  <c r="AA273" i="6"/>
  <c r="AA278" i="6"/>
  <c r="AA290" i="6"/>
  <c r="AA301" i="6"/>
  <c r="AA330" i="6"/>
  <c r="AA265" i="6"/>
  <c r="AA294" i="6"/>
  <c r="AA368" i="6"/>
  <c r="AA381" i="6"/>
  <c r="AA449" i="6"/>
  <c r="AA481" i="6"/>
  <c r="AA542" i="6"/>
  <c r="AA577" i="6"/>
  <c r="AA554" i="6"/>
  <c r="AA585" i="6"/>
  <c r="AA601" i="6"/>
  <c r="AA615" i="6"/>
  <c r="AA619" i="6"/>
  <c r="AA654" i="6"/>
  <c r="AA641" i="6"/>
  <c r="AA704" i="6"/>
  <c r="AA692" i="6"/>
  <c r="AA746" i="6"/>
  <c r="AA213" i="6"/>
  <c r="AA232" i="6"/>
  <c r="AA260" i="6"/>
  <c r="AA283" i="6"/>
  <c r="AA304" i="6"/>
  <c r="L46" i="20"/>
  <c r="L54" i="20"/>
  <c r="AA264" i="6"/>
  <c r="AA300" i="6"/>
  <c r="AA319" i="6"/>
  <c r="AA269" i="6"/>
  <c r="AA292" i="6"/>
  <c r="AA317" i="6"/>
  <c r="AA354" i="6"/>
  <c r="AA377" i="6"/>
  <c r="AA448" i="6"/>
  <c r="AA398" i="6"/>
  <c r="AA379" i="6"/>
  <c r="AA418" i="6"/>
  <c r="AA408" i="6"/>
  <c r="AA440" i="6"/>
  <c r="AA421" i="6"/>
  <c r="AA452" i="6"/>
  <c r="AA461" i="6"/>
  <c r="AA485" i="6"/>
  <c r="AA444" i="6"/>
  <c r="AA469" i="6"/>
  <c r="AA476" i="6"/>
  <c r="AA462" i="6"/>
  <c r="AA489" i="6"/>
  <c r="AA497" i="6"/>
  <c r="AA502" i="6"/>
  <c r="AA543" i="6"/>
  <c r="AA572" i="6"/>
  <c r="AA592" i="6"/>
  <c r="AA540" i="6"/>
  <c r="AA535" i="6"/>
  <c r="AA553" i="6"/>
  <c r="AA561" i="6"/>
  <c r="AA574" i="6"/>
  <c r="AA584" i="6"/>
  <c r="AA560" i="6"/>
  <c r="AA549" i="6"/>
  <c r="AA564" i="6"/>
  <c r="AA599" i="6"/>
  <c r="AA629" i="6"/>
  <c r="AA626" i="6"/>
  <c r="AA627" i="6"/>
  <c r="AA611" i="6"/>
  <c r="AA651" i="6"/>
  <c r="AA644" i="6"/>
  <c r="AA638" i="6"/>
  <c r="AA690" i="6"/>
  <c r="AA653" i="6"/>
  <c r="AA666" i="6"/>
  <c r="AA748" i="6"/>
  <c r="K29" i="13"/>
  <c r="M25" i="13"/>
  <c r="K27" i="14"/>
  <c r="G28" i="13"/>
  <c r="AA665" i="6"/>
  <c r="AA486" i="6"/>
  <c r="AA631" i="6"/>
  <c r="AA783" i="6"/>
  <c r="AA266" i="6"/>
  <c r="AA324" i="6"/>
  <c r="AA326" i="6"/>
  <c r="AA316" i="6"/>
  <c r="AA334" i="6"/>
  <c r="AA341" i="6"/>
  <c r="AA385" i="6"/>
  <c r="AA434" i="6"/>
  <c r="AA482" i="6"/>
  <c r="AA472" i="6"/>
  <c r="AA508" i="6"/>
  <c r="AA530" i="6"/>
  <c r="AA595" i="6"/>
  <c r="AA625" i="6"/>
  <c r="AA635" i="6"/>
  <c r="AA649" i="6"/>
  <c r="AA659" i="6"/>
  <c r="AA671" i="6"/>
  <c r="AA673" i="6"/>
  <c r="AA694" i="6"/>
  <c r="Z15" i="13"/>
  <c r="Z20" i="14"/>
  <c r="AA679" i="6"/>
  <c r="AA753" i="6"/>
  <c r="AA248" i="6"/>
  <c r="AA244" i="6"/>
  <c r="AA240" i="6"/>
  <c r="N46" i="20"/>
  <c r="N54" i="20"/>
  <c r="J44" i="20"/>
  <c r="J52" i="20"/>
  <c r="D45" i="20"/>
  <c r="D53" i="20"/>
  <c r="AA396" i="6"/>
  <c r="AA346" i="6"/>
  <c r="AA411" i="6"/>
  <c r="AA392" i="6"/>
  <c r="AA414" i="6"/>
  <c r="AA425" i="6"/>
  <c r="AA454" i="6"/>
  <c r="AA460" i="6"/>
  <c r="AA463" i="6"/>
  <c r="AA468" i="6"/>
  <c r="AA512" i="6"/>
  <c r="AA519" i="6"/>
  <c r="AA548" i="6"/>
  <c r="AA538" i="6"/>
  <c r="AA517" i="6"/>
  <c r="AA510" i="6"/>
  <c r="AA556" i="6"/>
  <c r="AA526" i="6"/>
  <c r="AA597" i="6"/>
  <c r="AA618" i="6"/>
  <c r="AA609" i="6"/>
  <c r="AA624" i="6"/>
  <c r="AA645" i="6"/>
  <c r="AA650" i="6"/>
  <c r="AA652" i="6"/>
  <c r="AA675" i="6"/>
  <c r="AA637" i="6"/>
  <c r="AA685" i="6"/>
  <c r="AA286" i="6"/>
  <c r="AA276" i="6"/>
  <c r="AA281" i="6"/>
  <c r="AA282" i="6"/>
  <c r="AA288" i="6"/>
  <c r="AA308" i="6"/>
  <c r="AA320" i="6"/>
  <c r="AA337" i="6"/>
  <c r="AA336" i="6"/>
  <c r="AA355" i="6"/>
  <c r="AA338" i="6"/>
  <c r="AA357" i="6"/>
  <c r="AA427" i="6"/>
  <c r="AA437" i="6"/>
  <c r="AA382" i="6"/>
  <c r="AA413" i="6"/>
  <c r="AA424" i="6"/>
  <c r="AA415" i="6"/>
  <c r="AA416" i="6"/>
  <c r="AA422" i="6"/>
  <c r="AA439" i="6"/>
  <c r="AA466" i="6"/>
  <c r="AA456" i="6"/>
  <c r="AA480" i="6"/>
  <c r="AA487" i="6"/>
  <c r="AA474" i="6"/>
  <c r="AA509" i="6"/>
  <c r="AA491" i="6"/>
  <c r="AA533" i="6"/>
  <c r="AA521" i="6"/>
  <c r="AA498" i="6"/>
  <c r="AA514" i="6"/>
  <c r="AA507" i="6"/>
  <c r="AA571" i="6"/>
  <c r="AA600" i="6"/>
  <c r="AA596" i="6"/>
  <c r="AA551" i="6"/>
  <c r="AA552" i="6"/>
  <c r="AA598" i="6"/>
  <c r="AA602" i="6"/>
  <c r="AA622" i="6"/>
  <c r="AA628" i="6"/>
  <c r="AA639" i="6"/>
  <c r="AA647" i="6"/>
  <c r="AA674" i="6"/>
  <c r="AA668" i="6"/>
  <c r="AA701" i="6"/>
  <c r="AA642" i="6"/>
  <c r="AA696" i="6"/>
  <c r="AA686" i="6"/>
  <c r="AA714" i="6"/>
  <c r="V13" i="13"/>
  <c r="W14" i="13"/>
  <c r="F13" i="13"/>
  <c r="G18" i="13"/>
  <c r="AA722" i="6"/>
  <c r="AA683" i="6"/>
  <c r="L13" i="14"/>
  <c r="M21" i="14"/>
  <c r="J13" i="14"/>
  <c r="K21" i="14"/>
  <c r="B13" i="14"/>
  <c r="C21" i="14"/>
  <c r="B13" i="13"/>
  <c r="C18" i="13"/>
  <c r="Z19" i="14"/>
  <c r="Z14" i="13"/>
  <c r="E11" i="13"/>
  <c r="Z17" i="13"/>
  <c r="G26" i="13"/>
  <c r="M27" i="13"/>
  <c r="K24" i="14"/>
  <c r="K28" i="14"/>
  <c r="E5" i="13"/>
  <c r="K26" i="13"/>
  <c r="G30" i="13"/>
  <c r="I27" i="14"/>
  <c r="E7" i="13"/>
  <c r="K23" i="13"/>
  <c r="U23" i="13"/>
  <c r="G25" i="13"/>
  <c r="M26" i="13"/>
  <c r="G27" i="13"/>
  <c r="U30" i="13"/>
  <c r="G9" i="14"/>
  <c r="E9" i="13"/>
  <c r="M23" i="13"/>
  <c r="G24" i="13"/>
  <c r="U25" i="13"/>
  <c r="K27" i="13"/>
  <c r="U27" i="13"/>
  <c r="K28" i="13"/>
  <c r="G29" i="13"/>
  <c r="M30" i="13"/>
  <c r="K26" i="14"/>
  <c r="M68" i="16"/>
  <c r="U8" i="13"/>
  <c r="S12" i="13"/>
  <c r="E26" i="14"/>
  <c r="M29" i="14"/>
  <c r="S10" i="13"/>
  <c r="H31" i="13"/>
  <c r="I36" i="13"/>
  <c r="Z38" i="14"/>
  <c r="Z32" i="14"/>
  <c r="Y5" i="13"/>
  <c r="Y9" i="13"/>
  <c r="Z35" i="13"/>
  <c r="Z39" i="13"/>
  <c r="W28" i="14"/>
  <c r="F56" i="16"/>
  <c r="F59" i="16"/>
  <c r="Z37" i="14"/>
  <c r="Z33" i="14"/>
  <c r="P31" i="14"/>
  <c r="Q37" i="14"/>
  <c r="Z19" i="13"/>
  <c r="U6" i="13"/>
  <c r="M24" i="13"/>
  <c r="U24" i="13"/>
  <c r="K25" i="13"/>
  <c r="M28" i="13"/>
  <c r="U28" i="13"/>
  <c r="E23" i="14"/>
  <c r="M24" i="14"/>
  <c r="B31" i="13"/>
  <c r="C38" i="13"/>
  <c r="N31" i="13"/>
  <c r="O38" i="13"/>
  <c r="P31" i="13"/>
  <c r="Q39" i="13"/>
  <c r="X31" i="13"/>
  <c r="Y35" i="13"/>
  <c r="Z39" i="14"/>
  <c r="Q11" i="14"/>
  <c r="E29" i="14"/>
  <c r="W30" i="14"/>
  <c r="G68" i="16"/>
  <c r="E24" i="14"/>
  <c r="E25" i="14"/>
  <c r="E28" i="14"/>
  <c r="W29" i="14"/>
  <c r="E27" i="14"/>
  <c r="W27" i="14"/>
  <c r="F54" i="16"/>
  <c r="F64" i="16"/>
  <c r="I5" i="13"/>
  <c r="U10" i="13"/>
  <c r="U12" i="13"/>
  <c r="M23" i="14"/>
  <c r="O24" i="14"/>
  <c r="M25" i="14"/>
  <c r="M56" i="16"/>
  <c r="M61" i="16"/>
  <c r="M70" i="16"/>
  <c r="I7" i="13"/>
  <c r="I9" i="13"/>
  <c r="M28" i="14"/>
  <c r="M30" i="14"/>
  <c r="F68" i="20"/>
  <c r="D31" i="13"/>
  <c r="E38" i="13"/>
  <c r="Z37" i="13"/>
  <c r="J31" i="13"/>
  <c r="K39" i="13"/>
  <c r="L31" i="13"/>
  <c r="M34" i="13"/>
  <c r="R31" i="13"/>
  <c r="S36" i="13"/>
  <c r="T31" i="13"/>
  <c r="U33" i="13"/>
  <c r="Z29" i="14"/>
  <c r="S6" i="13"/>
  <c r="I11" i="13"/>
  <c r="M27" i="14"/>
  <c r="M59" i="16"/>
  <c r="G57" i="16"/>
  <c r="G64" i="16"/>
  <c r="Y6" i="13"/>
  <c r="Y10" i="13"/>
  <c r="L87" i="29"/>
  <c r="M95" i="29"/>
  <c r="D105" i="29"/>
  <c r="E109" i="29"/>
  <c r="G54" i="20"/>
  <c r="G66" i="20"/>
  <c r="N13" i="13"/>
  <c r="O19" i="13"/>
  <c r="Y8" i="13"/>
  <c r="Z33" i="13"/>
  <c r="Q8" i="14"/>
  <c r="W23" i="14"/>
  <c r="W24" i="14"/>
  <c r="W25" i="14"/>
  <c r="G59" i="16"/>
  <c r="M61" i="18"/>
  <c r="G61" i="20"/>
  <c r="L13" i="13"/>
  <c r="M20" i="13"/>
  <c r="Y7" i="13"/>
  <c r="Y11" i="13"/>
  <c r="Q7" i="14"/>
  <c r="S8" i="14"/>
  <c r="Q12" i="14"/>
  <c r="Z36" i="29"/>
  <c r="AB36" i="29"/>
  <c r="C6" i="13"/>
  <c r="C10" i="13"/>
  <c r="Y12" i="19"/>
  <c r="S5" i="13"/>
  <c r="E6" i="13"/>
  <c r="S7" i="13"/>
  <c r="E8" i="13"/>
  <c r="S9" i="13"/>
  <c r="E10" i="13"/>
  <c r="S11" i="13"/>
  <c r="C5" i="13"/>
  <c r="U5" i="13"/>
  <c r="I6" i="13"/>
  <c r="C7" i="13"/>
  <c r="U7" i="13"/>
  <c r="I8" i="13"/>
  <c r="C9" i="13"/>
  <c r="U9" i="13"/>
  <c r="I10" i="13"/>
  <c r="C11" i="13"/>
  <c r="Q5" i="14"/>
  <c r="Q6" i="14"/>
  <c r="Q9" i="14"/>
  <c r="C8" i="13"/>
  <c r="M64" i="16"/>
  <c r="M71" i="16"/>
  <c r="E23" i="13"/>
  <c r="E24" i="13"/>
  <c r="E25" i="13"/>
  <c r="E26" i="13"/>
  <c r="E27" i="13"/>
  <c r="E28" i="13"/>
  <c r="E29" i="13"/>
  <c r="F61" i="16"/>
  <c r="S7" i="14"/>
  <c r="U9" i="14"/>
  <c r="U5" i="14"/>
  <c r="G66" i="16"/>
  <c r="G54" i="18"/>
  <c r="G71" i="18"/>
  <c r="G68" i="20"/>
  <c r="G7" i="14"/>
  <c r="G10" i="14"/>
  <c r="G6" i="14"/>
  <c r="K30" i="14"/>
  <c r="K25" i="14"/>
  <c r="G70" i="16"/>
  <c r="G56" i="16"/>
  <c r="U10" i="14"/>
  <c r="U11" i="14"/>
  <c r="U6" i="14"/>
  <c r="W12" i="14"/>
  <c r="W10" i="14"/>
  <c r="M68" i="18"/>
  <c r="M54" i="18"/>
  <c r="M66" i="18"/>
  <c r="Y6" i="19"/>
  <c r="D13" i="13"/>
  <c r="X105" i="29"/>
  <c r="Y111" i="29"/>
  <c r="R13" i="13"/>
  <c r="S21" i="13"/>
  <c r="Z24" i="19"/>
  <c r="N105" i="29"/>
  <c r="O113" i="29"/>
  <c r="F161" i="29"/>
  <c r="G163" i="29"/>
  <c r="Z27" i="29"/>
  <c r="AB27" i="29"/>
  <c r="Z18" i="13"/>
  <c r="I12" i="14"/>
  <c r="I9" i="14"/>
  <c r="I8" i="14"/>
  <c r="I7" i="14"/>
  <c r="I11" i="14"/>
  <c r="I5" i="14"/>
  <c r="K6" i="14"/>
  <c r="K12" i="14"/>
  <c r="K7" i="14"/>
  <c r="K11" i="14"/>
  <c r="K10" i="14"/>
  <c r="O11" i="13"/>
  <c r="O10" i="13"/>
  <c r="O9" i="13"/>
  <c r="O8" i="13"/>
  <c r="O7" i="13"/>
  <c r="O6" i="13"/>
  <c r="O5" i="13"/>
  <c r="Q12" i="13"/>
  <c r="C10" i="14"/>
  <c r="C11" i="14"/>
  <c r="C8" i="14"/>
  <c r="M11" i="13"/>
  <c r="O12" i="13"/>
  <c r="Q5" i="13"/>
  <c r="Q6" i="13"/>
  <c r="Q7" i="13"/>
  <c r="Q8" i="13"/>
  <c r="Q9" i="13"/>
  <c r="Q10" i="13"/>
  <c r="Q11" i="13"/>
  <c r="C7" i="14"/>
  <c r="M5" i="13"/>
  <c r="M6" i="13"/>
  <c r="M7" i="13"/>
  <c r="M8" i="13"/>
  <c r="M9" i="13"/>
  <c r="M10" i="13"/>
  <c r="C12" i="14"/>
  <c r="Z21" i="13"/>
  <c r="P13" i="13"/>
  <c r="H13" i="13"/>
  <c r="S5" i="14"/>
  <c r="U8" i="14"/>
  <c r="W9" i="14"/>
  <c r="S10" i="14"/>
  <c r="S7" i="19"/>
  <c r="S11" i="19"/>
  <c r="S12" i="19"/>
  <c r="T13" i="13"/>
  <c r="U21" i="13"/>
  <c r="S9" i="14"/>
  <c r="S6" i="14"/>
  <c r="W8" i="14"/>
  <c r="W7" i="14"/>
  <c r="W5" i="14"/>
  <c r="W6" i="14"/>
  <c r="U7" i="14"/>
  <c r="W11" i="14"/>
  <c r="S12" i="14"/>
  <c r="G11" i="14"/>
  <c r="G8" i="14"/>
  <c r="G5" i="14"/>
  <c r="J13" i="13"/>
  <c r="Z20" i="13"/>
  <c r="X13" i="13"/>
  <c r="Y17" i="13"/>
  <c r="Z16" i="13"/>
  <c r="Z6" i="13"/>
  <c r="R87" i="29"/>
  <c r="J87" i="29"/>
  <c r="K87" i="29"/>
  <c r="B87" i="29"/>
  <c r="C95" i="29"/>
  <c r="Z90" i="29"/>
  <c r="P87" i="29"/>
  <c r="Q89" i="29"/>
  <c r="O47" i="16"/>
  <c r="G62" i="16"/>
  <c r="O48" i="18"/>
  <c r="Y10" i="19"/>
  <c r="G61" i="16"/>
  <c r="I51" i="20"/>
  <c r="E51" i="20"/>
  <c r="O50" i="16"/>
  <c r="G59" i="20"/>
  <c r="G56" i="20"/>
  <c r="Z25" i="14"/>
  <c r="Z12" i="14"/>
  <c r="Z27" i="13"/>
  <c r="Z26" i="13"/>
  <c r="Z23" i="13"/>
  <c r="Z94" i="29"/>
  <c r="D161" i="29"/>
  <c r="E165" i="29"/>
  <c r="Z32" i="29"/>
  <c r="AB32" i="29"/>
  <c r="Z11" i="19"/>
  <c r="Z5" i="14"/>
  <c r="X87" i="29"/>
  <c r="Y93" i="29"/>
  <c r="H87" i="29"/>
  <c r="I93" i="29"/>
  <c r="P105" i="29"/>
  <c r="Q109" i="29"/>
  <c r="H105" i="29"/>
  <c r="I109" i="29"/>
  <c r="Z17" i="29"/>
  <c r="AB17" i="29"/>
  <c r="Z8" i="14"/>
  <c r="Z10" i="13"/>
  <c r="V105" i="29"/>
  <c r="W106" i="29"/>
  <c r="F105" i="29"/>
  <c r="G113" i="29"/>
  <c r="B161" i="29"/>
  <c r="L179" i="29"/>
  <c r="M186" i="29"/>
  <c r="T179" i="29"/>
  <c r="U184" i="29"/>
  <c r="Z10" i="29"/>
  <c r="AB10" i="29"/>
  <c r="T87" i="29"/>
  <c r="U91" i="29"/>
  <c r="Z112" i="29"/>
  <c r="L105" i="29"/>
  <c r="M109" i="29"/>
  <c r="Z108" i="29"/>
  <c r="T105" i="29"/>
  <c r="U109" i="29"/>
  <c r="Z163" i="29"/>
  <c r="P161" i="29"/>
  <c r="Q166" i="29"/>
  <c r="X161" i="29"/>
  <c r="Y168" i="29"/>
  <c r="Z184" i="29"/>
  <c r="Z180" i="29"/>
  <c r="Z182" i="29"/>
  <c r="Z30" i="29"/>
  <c r="AB30" i="29"/>
  <c r="O48" i="16"/>
  <c r="F68" i="16"/>
  <c r="L3" i="13"/>
  <c r="M59" i="18"/>
  <c r="O47" i="20"/>
  <c r="F71" i="20"/>
  <c r="F64" i="20"/>
  <c r="V3" i="14"/>
  <c r="W59" i="14"/>
  <c r="G56" i="18"/>
  <c r="G61" i="18"/>
  <c r="G68" i="18"/>
  <c r="O50" i="18"/>
  <c r="S9" i="19"/>
  <c r="S5" i="19"/>
  <c r="F62" i="20"/>
  <c r="O48" i="20"/>
  <c r="F70" i="20"/>
  <c r="F61" i="20"/>
  <c r="F56" i="20"/>
  <c r="F59" i="20"/>
  <c r="Z25" i="19"/>
  <c r="Z10" i="19"/>
  <c r="Z7" i="19"/>
  <c r="Z6" i="19"/>
  <c r="Z30" i="14"/>
  <c r="Z26" i="19"/>
  <c r="Z12" i="19"/>
  <c r="O50" i="20"/>
  <c r="Z30" i="19"/>
  <c r="Z28" i="19"/>
  <c r="Z27" i="19"/>
  <c r="Z29" i="19"/>
  <c r="Z23" i="19"/>
  <c r="Z27" i="14"/>
  <c r="Z28" i="13"/>
  <c r="Z9" i="13"/>
  <c r="Z8" i="13"/>
  <c r="Z93" i="29"/>
  <c r="Z92" i="29"/>
  <c r="Z109" i="29"/>
  <c r="Z166" i="29"/>
  <c r="Z16" i="29"/>
  <c r="AB16" i="29"/>
  <c r="F179" i="29"/>
  <c r="G183" i="29"/>
  <c r="P179" i="29"/>
  <c r="Z187" i="29"/>
  <c r="Z39" i="29"/>
  <c r="AB39" i="29"/>
  <c r="Z38" i="29"/>
  <c r="AB38" i="29"/>
  <c r="Z33" i="29"/>
  <c r="AB33" i="29"/>
  <c r="Z6" i="29"/>
  <c r="AB6" i="29"/>
  <c r="Z9" i="19"/>
  <c r="Z5" i="19"/>
  <c r="Z28" i="14"/>
  <c r="Z23" i="14"/>
  <c r="Z9" i="14"/>
  <c r="Z30" i="13"/>
  <c r="Z29" i="13"/>
  <c r="Z24" i="13"/>
  <c r="Z5" i="13"/>
  <c r="Z89" i="29"/>
  <c r="Z88" i="29"/>
  <c r="Z110" i="29"/>
  <c r="Z167" i="29"/>
  <c r="Z185" i="29"/>
  <c r="J179" i="29"/>
  <c r="N179" i="29"/>
  <c r="X179" i="29"/>
  <c r="Z35" i="29"/>
  <c r="AB35" i="29"/>
  <c r="Z34" i="29"/>
  <c r="AB34" i="29"/>
  <c r="Z26" i="29"/>
  <c r="AB26" i="29"/>
  <c r="Z24" i="14"/>
  <c r="Z10" i="14"/>
  <c r="Z7" i="14"/>
  <c r="Z25" i="13"/>
  <c r="Z11" i="13"/>
  <c r="Z95" i="29"/>
  <c r="Z111" i="29"/>
  <c r="R179" i="29"/>
  <c r="V179" i="29"/>
  <c r="Z9" i="29"/>
  <c r="AB9" i="29"/>
  <c r="Z8" i="19"/>
  <c r="Z26" i="14"/>
  <c r="Z11" i="14"/>
  <c r="Z6" i="14"/>
  <c r="Z12" i="13"/>
  <c r="Z7" i="13"/>
  <c r="D87" i="29"/>
  <c r="E88" i="29"/>
  <c r="V87" i="29"/>
  <c r="W88" i="29"/>
  <c r="N87" i="29"/>
  <c r="O92" i="29"/>
  <c r="Z91" i="29"/>
  <c r="Z113" i="29"/>
  <c r="R105" i="29"/>
  <c r="Z107" i="29"/>
  <c r="Z169" i="29"/>
  <c r="Z165" i="29"/>
  <c r="Z183" i="29"/>
  <c r="D179" i="29"/>
  <c r="H179" i="29"/>
  <c r="Z37" i="29"/>
  <c r="AB37" i="29"/>
  <c r="Z23" i="29"/>
  <c r="AB23" i="29"/>
  <c r="V219" i="13"/>
  <c r="W219" i="13"/>
  <c r="W208" i="13"/>
  <c r="N219" i="13"/>
  <c r="O219" i="13"/>
  <c r="O208" i="13"/>
  <c r="F219" i="13"/>
  <c r="G219" i="13"/>
  <c r="G208" i="13"/>
  <c r="J219" i="13"/>
  <c r="K219" i="13"/>
  <c r="B155" i="13"/>
  <c r="J155" i="13"/>
  <c r="R155" i="13"/>
  <c r="B156" i="13"/>
  <c r="J156" i="13"/>
  <c r="R156" i="13"/>
  <c r="B158" i="13"/>
  <c r="J158" i="13"/>
  <c r="R158" i="13"/>
  <c r="B153" i="13"/>
  <c r="J153" i="13"/>
  <c r="R153" i="13"/>
  <c r="B154" i="13"/>
  <c r="J154" i="13"/>
  <c r="R154" i="13"/>
  <c r="B157" i="13"/>
  <c r="J157" i="13"/>
  <c r="R157" i="13"/>
  <c r="B159" i="13"/>
  <c r="J159" i="13"/>
  <c r="R159" i="13"/>
  <c r="B160" i="13"/>
  <c r="J160" i="13"/>
  <c r="R160" i="13"/>
  <c r="B171" i="13"/>
  <c r="J171" i="13"/>
  <c r="R171" i="13"/>
  <c r="B172" i="13"/>
  <c r="J172" i="13"/>
  <c r="R172" i="13"/>
  <c r="B173" i="13"/>
  <c r="J173" i="13"/>
  <c r="K114" i="13"/>
  <c r="R173" i="13"/>
  <c r="S114" i="13"/>
  <c r="B174" i="13"/>
  <c r="J174" i="13"/>
  <c r="R174" i="13"/>
  <c r="B175" i="13"/>
  <c r="J175" i="13"/>
  <c r="R175" i="13"/>
  <c r="D155" i="13"/>
  <c r="N155" i="13"/>
  <c r="X155" i="13"/>
  <c r="L156" i="13"/>
  <c r="V156" i="13"/>
  <c r="H158" i="13"/>
  <c r="T158" i="13"/>
  <c r="F153" i="13"/>
  <c r="P153" i="13"/>
  <c r="D154" i="13"/>
  <c r="N154" i="13"/>
  <c r="X154" i="13"/>
  <c r="L157" i="13"/>
  <c r="V157" i="13"/>
  <c r="H159" i="13"/>
  <c r="T159" i="13"/>
  <c r="F160" i="13"/>
  <c r="P160" i="13"/>
  <c r="D171" i="13"/>
  <c r="N171" i="13"/>
  <c r="X171" i="13"/>
  <c r="L172" i="13"/>
  <c r="V172" i="13"/>
  <c r="H173" i="13"/>
  <c r="I114" i="13"/>
  <c r="T173" i="13"/>
  <c r="U114" i="13"/>
  <c r="F174" i="13"/>
  <c r="P174" i="13"/>
  <c r="D175" i="13"/>
  <c r="N175" i="13"/>
  <c r="X175" i="13"/>
  <c r="H176" i="13"/>
  <c r="P176" i="13"/>
  <c r="X176" i="13"/>
  <c r="H177" i="13"/>
  <c r="P177" i="13"/>
  <c r="X177" i="13"/>
  <c r="H178" i="13"/>
  <c r="P178" i="13"/>
  <c r="X178" i="13"/>
  <c r="X184" i="13"/>
  <c r="X180" i="13"/>
  <c r="X166" i="13"/>
  <c r="X162" i="13"/>
  <c r="V184" i="13"/>
  <c r="V180" i="13"/>
  <c r="V166" i="13"/>
  <c r="V162" i="13"/>
  <c r="T184" i="13"/>
  <c r="T180" i="13"/>
  <c r="T166" i="13"/>
  <c r="T162" i="13"/>
  <c r="R184" i="13"/>
  <c r="R180" i="13"/>
  <c r="R166" i="13"/>
  <c r="R162" i="13"/>
  <c r="P184" i="13"/>
  <c r="P180" i="13"/>
  <c r="P166" i="13"/>
  <c r="P162" i="13"/>
  <c r="N184" i="13"/>
  <c r="N180" i="13"/>
  <c r="N166" i="13"/>
  <c r="N162" i="13"/>
  <c r="L184" i="13"/>
  <c r="L180" i="13"/>
  <c r="L166" i="13"/>
  <c r="L162" i="13"/>
  <c r="J184" i="13"/>
  <c r="J180" i="13"/>
  <c r="J166" i="13"/>
  <c r="J162" i="13"/>
  <c r="H184" i="13"/>
  <c r="H180" i="13"/>
  <c r="H166" i="13"/>
  <c r="H162" i="13"/>
  <c r="F184" i="13"/>
  <c r="F180" i="13"/>
  <c r="F166" i="13"/>
  <c r="F162" i="13"/>
  <c r="D184" i="13"/>
  <c r="D180" i="13"/>
  <c r="D166" i="13"/>
  <c r="D162" i="13"/>
  <c r="B184" i="13"/>
  <c r="Z184" i="13"/>
  <c r="B180" i="13"/>
  <c r="B166" i="13"/>
  <c r="Z166" i="13"/>
  <c r="B162" i="13"/>
  <c r="H155" i="13"/>
  <c r="T155" i="13"/>
  <c r="F156" i="13"/>
  <c r="P156" i="13"/>
  <c r="D158" i="13"/>
  <c r="N158" i="13"/>
  <c r="X158" i="13"/>
  <c r="L153" i="13"/>
  <c r="V153" i="13"/>
  <c r="H154" i="13"/>
  <c r="T154" i="13"/>
  <c r="F157" i="13"/>
  <c r="P157" i="13"/>
  <c r="D159" i="13"/>
  <c r="N159" i="13"/>
  <c r="X159" i="13"/>
  <c r="L160" i="13"/>
  <c r="V160" i="13"/>
  <c r="H171" i="13"/>
  <c r="T171" i="13"/>
  <c r="F172" i="13"/>
  <c r="P172" i="13"/>
  <c r="D173" i="13"/>
  <c r="E114" i="13"/>
  <c r="N173" i="13"/>
  <c r="O114" i="13"/>
  <c r="X173" i="13"/>
  <c r="Y114" i="13"/>
  <c r="L174" i="13"/>
  <c r="V174" i="13"/>
  <c r="H175" i="13"/>
  <c r="T175" i="13"/>
  <c r="D176" i="13"/>
  <c r="L176" i="13"/>
  <c r="T176" i="13"/>
  <c r="D177" i="13"/>
  <c r="L177" i="13"/>
  <c r="T177" i="13"/>
  <c r="D178" i="13"/>
  <c r="L178" i="13"/>
  <c r="T178" i="13"/>
  <c r="X186" i="13"/>
  <c r="X182" i="13"/>
  <c r="X168" i="13"/>
  <c r="X164" i="13"/>
  <c r="V186" i="13"/>
  <c r="V182" i="13"/>
  <c r="V168" i="13"/>
  <c r="V164" i="13"/>
  <c r="T186" i="13"/>
  <c r="T182" i="13"/>
  <c r="T168" i="13"/>
  <c r="T164" i="13"/>
  <c r="R186" i="13"/>
  <c r="R182" i="13"/>
  <c r="R168" i="13"/>
  <c r="R164" i="13"/>
  <c r="P186" i="13"/>
  <c r="P182" i="13"/>
  <c r="P168" i="13"/>
  <c r="P164" i="13"/>
  <c r="N186" i="13"/>
  <c r="N182" i="13"/>
  <c r="N168" i="13"/>
  <c r="N164" i="13"/>
  <c r="L186" i="13"/>
  <c r="L182" i="13"/>
  <c r="L168" i="13"/>
  <c r="L164" i="13"/>
  <c r="J186" i="13"/>
  <c r="J182" i="13"/>
  <c r="J168" i="13"/>
  <c r="J164" i="13"/>
  <c r="H186" i="13"/>
  <c r="H182" i="13"/>
  <c r="H168" i="13"/>
  <c r="H164" i="13"/>
  <c r="F186" i="13"/>
  <c r="F182" i="13"/>
  <c r="F168" i="13"/>
  <c r="F164" i="13"/>
  <c r="D186" i="13"/>
  <c r="D182" i="13"/>
  <c r="D168" i="13"/>
  <c r="D164" i="13"/>
  <c r="B182" i="13"/>
  <c r="B186" i="13"/>
  <c r="B164" i="13"/>
  <c r="B168" i="13"/>
  <c r="V155" i="13"/>
  <c r="T156" i="13"/>
  <c r="P158" i="13"/>
  <c r="N153" i="13"/>
  <c r="L154" i="13"/>
  <c r="H157" i="13"/>
  <c r="F159" i="13"/>
  <c r="D160" i="13"/>
  <c r="X160" i="13"/>
  <c r="V171" i="13"/>
  <c r="T172" i="13"/>
  <c r="P173" i="13"/>
  <c r="Q114" i="13"/>
  <c r="N174" i="13"/>
  <c r="L175" i="13"/>
  <c r="F176" i="13"/>
  <c r="V176" i="13"/>
  <c r="N177" i="13"/>
  <c r="F178" i="13"/>
  <c r="V178" i="13"/>
  <c r="X181" i="13"/>
  <c r="X163" i="13"/>
  <c r="V181" i="13"/>
  <c r="V163" i="13"/>
  <c r="T181" i="13"/>
  <c r="T163" i="13"/>
  <c r="R181" i="13"/>
  <c r="R163" i="13"/>
  <c r="P181" i="13"/>
  <c r="P163" i="13"/>
  <c r="N181" i="13"/>
  <c r="N163" i="13"/>
  <c r="L181" i="13"/>
  <c r="L163" i="13"/>
  <c r="J181" i="13"/>
  <c r="J163" i="13"/>
  <c r="H181" i="13"/>
  <c r="H163" i="13"/>
  <c r="F181" i="13"/>
  <c r="F163" i="13"/>
  <c r="D181" i="13"/>
  <c r="D163" i="13"/>
  <c r="B187" i="13"/>
  <c r="B169" i="13"/>
  <c r="F155" i="13"/>
  <c r="D156" i="13"/>
  <c r="X156" i="13"/>
  <c r="V158" i="13"/>
  <c r="T153" i="13"/>
  <c r="P154" i="13"/>
  <c r="N157" i="13"/>
  <c r="L159" i="13"/>
  <c r="H160" i="13"/>
  <c r="F171" i="13"/>
  <c r="D172" i="13"/>
  <c r="X172" i="13"/>
  <c r="V173" i="13"/>
  <c r="W114" i="13"/>
  <c r="T174" i="13"/>
  <c r="P175" i="13"/>
  <c r="J176" i="13"/>
  <c r="B177" i="13"/>
  <c r="R177" i="13"/>
  <c r="J178" i="13"/>
  <c r="X187" i="13"/>
  <c r="X169" i="13"/>
  <c r="V187" i="13"/>
  <c r="V169" i="13"/>
  <c r="T187" i="13"/>
  <c r="T169" i="13"/>
  <c r="R187" i="13"/>
  <c r="R169" i="13"/>
  <c r="P187" i="13"/>
  <c r="P169" i="13"/>
  <c r="N187" i="13"/>
  <c r="N169" i="13"/>
  <c r="L187" i="13"/>
  <c r="L169" i="13"/>
  <c r="J187" i="13"/>
  <c r="J169" i="13"/>
  <c r="H187" i="13"/>
  <c r="H169" i="13"/>
  <c r="F187" i="13"/>
  <c r="F169" i="13"/>
  <c r="D187" i="13"/>
  <c r="D169" i="13"/>
  <c r="B181" i="13"/>
  <c r="B163" i="13"/>
  <c r="L155" i="13"/>
  <c r="H156" i="13"/>
  <c r="F158" i="13"/>
  <c r="D153" i="13"/>
  <c r="X153" i="13"/>
  <c r="V154" i="13"/>
  <c r="T157" i="13"/>
  <c r="P159" i="13"/>
  <c r="N160" i="13"/>
  <c r="L171" i="13"/>
  <c r="H172" i="13"/>
  <c r="F173" i="13"/>
  <c r="G114" i="13"/>
  <c r="D174" i="13"/>
  <c r="X174" i="13"/>
  <c r="V175" i="13"/>
  <c r="N176" i="13"/>
  <c r="F177" i="13"/>
  <c r="V177" i="13"/>
  <c r="N178" i="13"/>
  <c r="X185" i="13"/>
  <c r="X167" i="13"/>
  <c r="V185" i="13"/>
  <c r="V167" i="13"/>
  <c r="T185" i="13"/>
  <c r="T167" i="13"/>
  <c r="R185" i="13"/>
  <c r="R167" i="13"/>
  <c r="P185" i="13"/>
  <c r="P167" i="13"/>
  <c r="N185" i="13"/>
  <c r="N167" i="13"/>
  <c r="L185" i="13"/>
  <c r="L167" i="13"/>
  <c r="J185" i="13"/>
  <c r="J167" i="13"/>
  <c r="H185" i="13"/>
  <c r="H167" i="13"/>
  <c r="F185" i="13"/>
  <c r="F167" i="13"/>
  <c r="D185" i="13"/>
  <c r="D167" i="13"/>
  <c r="B183" i="13"/>
  <c r="B165" i="13"/>
  <c r="P155" i="13"/>
  <c r="N156" i="13"/>
  <c r="L158" i="13"/>
  <c r="H153" i="13"/>
  <c r="F154" i="13"/>
  <c r="D157" i="13"/>
  <c r="X157" i="13"/>
  <c r="V159" i="13"/>
  <c r="T160" i="13"/>
  <c r="P171" i="13"/>
  <c r="N172" i="13"/>
  <c r="L173" i="13"/>
  <c r="M114" i="13"/>
  <c r="H174" i="13"/>
  <c r="F175" i="13"/>
  <c r="B176" i="13"/>
  <c r="R176" i="13"/>
  <c r="J177" i="13"/>
  <c r="B178" i="13"/>
  <c r="R178" i="13"/>
  <c r="X183" i="13"/>
  <c r="X165" i="13"/>
  <c r="V183" i="13"/>
  <c r="V165" i="13"/>
  <c r="T183" i="13"/>
  <c r="T165" i="13"/>
  <c r="R183" i="13"/>
  <c r="R165" i="13"/>
  <c r="P183" i="13"/>
  <c r="P165" i="13"/>
  <c r="N183" i="13"/>
  <c r="N165" i="13"/>
  <c r="L183" i="13"/>
  <c r="L165" i="13"/>
  <c r="J183" i="13"/>
  <c r="J165" i="13"/>
  <c r="H183" i="13"/>
  <c r="H165" i="13"/>
  <c r="F183" i="13"/>
  <c r="F165" i="13"/>
  <c r="D183" i="13"/>
  <c r="D165" i="13"/>
  <c r="B185" i="13"/>
  <c r="B167" i="13"/>
  <c r="H190" i="13"/>
  <c r="P190" i="13"/>
  <c r="X190" i="13"/>
  <c r="F191" i="13"/>
  <c r="N191" i="13"/>
  <c r="V191" i="13"/>
  <c r="D192" i="13"/>
  <c r="L192" i="13"/>
  <c r="T192" i="13"/>
  <c r="B193" i="13"/>
  <c r="J193" i="13"/>
  <c r="R193" i="13"/>
  <c r="H194" i="13"/>
  <c r="P194" i="13"/>
  <c r="X194" i="13"/>
  <c r="F195" i="13"/>
  <c r="N195" i="13"/>
  <c r="V195" i="13"/>
  <c r="D196" i="13"/>
  <c r="L196" i="13"/>
  <c r="T196" i="13"/>
  <c r="H198" i="13"/>
  <c r="P198" i="13"/>
  <c r="X198" i="13"/>
  <c r="F199" i="13"/>
  <c r="N199" i="13"/>
  <c r="V199" i="13"/>
  <c r="D200" i="13"/>
  <c r="L200" i="13"/>
  <c r="T200" i="13"/>
  <c r="B201" i="13"/>
  <c r="J201" i="13"/>
  <c r="R201" i="13"/>
  <c r="H202" i="13"/>
  <c r="P202" i="13"/>
  <c r="X202" i="13"/>
  <c r="B190" i="13"/>
  <c r="L190" i="13"/>
  <c r="V190" i="13"/>
  <c r="H191" i="13"/>
  <c r="R191" i="13"/>
  <c r="B192" i="13"/>
  <c r="N192" i="13"/>
  <c r="X192" i="13"/>
  <c r="H193" i="13"/>
  <c r="T193" i="13"/>
  <c r="D194" i="13"/>
  <c r="N194" i="13"/>
  <c r="J195" i="13"/>
  <c r="T195" i="13"/>
  <c r="F196" i="13"/>
  <c r="P196" i="13"/>
  <c r="J198" i="13"/>
  <c r="T198" i="13"/>
  <c r="D199" i="13"/>
  <c r="P199" i="13"/>
  <c r="J200" i="13"/>
  <c r="V200" i="13"/>
  <c r="F201" i="13"/>
  <c r="P201" i="13"/>
  <c r="B202" i="13"/>
  <c r="L202" i="13"/>
  <c r="V202" i="13"/>
  <c r="F190" i="13"/>
  <c r="T190" i="13"/>
  <c r="J191" i="13"/>
  <c r="X191" i="13"/>
  <c r="J192" i="13"/>
  <c r="N193" i="13"/>
  <c r="B194" i="13"/>
  <c r="R194" i="13"/>
  <c r="D195" i="13"/>
  <c r="R195" i="13"/>
  <c r="H196" i="13"/>
  <c r="V196" i="13"/>
  <c r="F198" i="13"/>
  <c r="V198" i="13"/>
  <c r="J199" i="13"/>
  <c r="X199" i="13"/>
  <c r="N200" i="13"/>
  <c r="N201" i="13"/>
  <c r="D202" i="13"/>
  <c r="R202" i="13"/>
  <c r="J190" i="13"/>
  <c r="L191" i="13"/>
  <c r="P192" i="13"/>
  <c r="D193" i="13"/>
  <c r="P193" i="13"/>
  <c r="F194" i="13"/>
  <c r="T194" i="13"/>
  <c r="H195" i="13"/>
  <c r="X195" i="13"/>
  <c r="J196" i="13"/>
  <c r="X196" i="13"/>
  <c r="L198" i="13"/>
  <c r="L199" i="13"/>
  <c r="B200" i="13"/>
  <c r="P200" i="13"/>
  <c r="D201" i="13"/>
  <c r="T201" i="13"/>
  <c r="F202" i="13"/>
  <c r="T202" i="13"/>
  <c r="N190" i="13"/>
  <c r="B191" i="13"/>
  <c r="P191" i="13"/>
  <c r="F192" i="13"/>
  <c r="R192" i="13"/>
  <c r="F193" i="13"/>
  <c r="V193" i="13"/>
  <c r="J194" i="13"/>
  <c r="V194" i="13"/>
  <c r="L195" i="13"/>
  <c r="N196" i="13"/>
  <c r="B198" i="13"/>
  <c r="N198" i="13"/>
  <c r="B199" i="13"/>
  <c r="R199" i="13"/>
  <c r="F200" i="13"/>
  <c r="R200" i="13"/>
  <c r="H201" i="13"/>
  <c r="V201" i="13"/>
  <c r="J202" i="13"/>
  <c r="U208" i="14"/>
  <c r="H219" i="14"/>
  <c r="I219" i="14"/>
  <c r="I208" i="14"/>
  <c r="R219" i="14"/>
  <c r="S219" i="14"/>
  <c r="S208" i="14"/>
  <c r="V40" i="14"/>
  <c r="W47" i="14"/>
  <c r="W43" i="14"/>
  <c r="W45" i="14"/>
  <c r="R197" i="14"/>
  <c r="J197" i="14"/>
  <c r="B197" i="14"/>
  <c r="Z195" i="14"/>
  <c r="Z194" i="14"/>
  <c r="N202" i="13"/>
  <c r="H200" i="13"/>
  <c r="D198" i="13"/>
  <c r="B195" i="13"/>
  <c r="V192" i="13"/>
  <c r="R190" i="13"/>
  <c r="Z210" i="13"/>
  <c r="Z220" i="13"/>
  <c r="L52" i="16"/>
  <c r="O49" i="16"/>
  <c r="X201" i="13"/>
  <c r="T199" i="13"/>
  <c r="R196" i="13"/>
  <c r="L194" i="13"/>
  <c r="H192" i="13"/>
  <c r="D190" i="13"/>
  <c r="M57" i="16"/>
  <c r="M66" i="16"/>
  <c r="M62" i="16"/>
  <c r="C9" i="14"/>
  <c r="C5" i="14"/>
  <c r="E134" i="13"/>
  <c r="M134" i="13"/>
  <c r="U134" i="13"/>
  <c r="X219" i="13"/>
  <c r="Y219" i="13"/>
  <c r="P219" i="13"/>
  <c r="Q219" i="13"/>
  <c r="H219" i="13"/>
  <c r="I219" i="13"/>
  <c r="Z208" i="13"/>
  <c r="Z207" i="13"/>
  <c r="W42" i="14"/>
  <c r="W46" i="14"/>
  <c r="M134" i="14"/>
  <c r="K208" i="14"/>
  <c r="X219" i="14"/>
  <c r="Y219" i="14"/>
  <c r="Y208" i="14"/>
  <c r="L219" i="14"/>
  <c r="M219" i="14"/>
  <c r="M208" i="14"/>
  <c r="Z199" i="14"/>
  <c r="V197" i="14"/>
  <c r="N197" i="14"/>
  <c r="F197" i="14"/>
  <c r="R189" i="14"/>
  <c r="J189" i="14"/>
  <c r="B189" i="14"/>
  <c r="L201" i="13"/>
  <c r="H199" i="13"/>
  <c r="B196" i="13"/>
  <c r="X193" i="13"/>
  <c r="T191" i="13"/>
  <c r="E134" i="14"/>
  <c r="D40" i="14"/>
  <c r="E52" i="14"/>
  <c r="E54" i="14"/>
  <c r="E50" i="14"/>
  <c r="I10" i="14"/>
  <c r="I6" i="14"/>
  <c r="K9" i="14"/>
  <c r="K5" i="14"/>
  <c r="J3" i="14"/>
  <c r="O51" i="14"/>
  <c r="O53" i="14"/>
  <c r="U48" i="14"/>
  <c r="U44" i="14"/>
  <c r="T40" i="14"/>
  <c r="U46" i="14"/>
  <c r="U42" i="14"/>
  <c r="Z200" i="14"/>
  <c r="D197" i="14"/>
  <c r="Z193" i="14"/>
  <c r="X200" i="13"/>
  <c r="R198" i="13"/>
  <c r="P195" i="13"/>
  <c r="L193" i="13"/>
  <c r="D191" i="13"/>
  <c r="V219" i="14"/>
  <c r="W219" i="14"/>
  <c r="W208" i="14"/>
  <c r="N219" i="14"/>
  <c r="O219" i="14"/>
  <c r="O208" i="14"/>
  <c r="F219" i="14"/>
  <c r="G219" i="14"/>
  <c r="G208" i="14"/>
  <c r="G71" i="16"/>
  <c r="N40" i="14"/>
  <c r="Z198" i="14"/>
  <c r="T3" i="13"/>
  <c r="O47" i="18"/>
  <c r="Z71" i="14"/>
  <c r="Z70" i="14"/>
  <c r="J145" i="19"/>
  <c r="K145" i="19"/>
  <c r="K134" i="19"/>
  <c r="B145" i="19"/>
  <c r="C145" i="19"/>
  <c r="C134" i="19"/>
  <c r="Z202" i="14"/>
  <c r="Z136" i="13"/>
  <c r="Z146" i="13"/>
  <c r="Z134" i="13"/>
  <c r="Z133" i="13"/>
  <c r="P57" i="14"/>
  <c r="P56" i="14"/>
  <c r="Q57" i="14"/>
  <c r="X57" i="14"/>
  <c r="X56" i="14"/>
  <c r="R57" i="14"/>
  <c r="R56" i="14"/>
  <c r="V57" i="14"/>
  <c r="V56" i="14"/>
  <c r="T57" i="14"/>
  <c r="T56" i="14"/>
  <c r="U57" i="14"/>
  <c r="X145" i="19"/>
  <c r="Y145" i="19"/>
  <c r="Y134" i="19"/>
  <c r="P145" i="19"/>
  <c r="Q145" i="19"/>
  <c r="Q134" i="19"/>
  <c r="I42" i="14"/>
  <c r="G43" i="14"/>
  <c r="G47" i="14"/>
  <c r="K134" i="14"/>
  <c r="S134" i="14"/>
  <c r="T189" i="14"/>
  <c r="L189" i="14"/>
  <c r="Z190" i="14"/>
  <c r="D189" i="14"/>
  <c r="D3" i="13"/>
  <c r="Z218" i="14"/>
  <c r="R218" i="14"/>
  <c r="S218" i="14"/>
  <c r="J218" i="14"/>
  <c r="K218" i="14"/>
  <c r="B218" i="14"/>
  <c r="C218" i="14"/>
  <c r="T218" i="14"/>
  <c r="U218" i="14"/>
  <c r="H218" i="14"/>
  <c r="I218" i="14"/>
  <c r="P218" i="14"/>
  <c r="Q218" i="14"/>
  <c r="F218" i="14"/>
  <c r="G218" i="14"/>
  <c r="D218" i="14"/>
  <c r="E218" i="14"/>
  <c r="X218" i="14"/>
  <c r="Y218" i="14"/>
  <c r="Z71" i="13"/>
  <c r="X219" i="19"/>
  <c r="Y219" i="19"/>
  <c r="Y208" i="19"/>
  <c r="H219" i="19"/>
  <c r="I219" i="19"/>
  <c r="I208" i="19"/>
  <c r="E53" i="18"/>
  <c r="F56" i="18"/>
  <c r="F68" i="18"/>
  <c r="I7" i="18"/>
  <c r="I9" i="18"/>
  <c r="E50" i="1"/>
  <c r="F47" i="1"/>
  <c r="G48" i="1"/>
  <c r="H48" i="1"/>
  <c r="Y5" i="19"/>
  <c r="Y9" i="19"/>
  <c r="M42" i="19"/>
  <c r="E43" i="19"/>
  <c r="O43" i="19"/>
  <c r="E44" i="19"/>
  <c r="E47" i="19"/>
  <c r="J219" i="19"/>
  <c r="K219" i="19"/>
  <c r="P202" i="19"/>
  <c r="B202" i="19"/>
  <c r="L201" i="19"/>
  <c r="L200" i="19"/>
  <c r="V199" i="19"/>
  <c r="H199" i="19"/>
  <c r="V198" i="19"/>
  <c r="F198" i="19"/>
  <c r="T196" i="19"/>
  <c r="F196" i="19"/>
  <c r="P195" i="19"/>
  <c r="D195" i="19"/>
  <c r="P194" i="19"/>
  <c r="L193" i="19"/>
  <c r="J192" i="19"/>
  <c r="V191" i="19"/>
  <c r="H191" i="19"/>
  <c r="R190" i="19"/>
  <c r="D31" i="16"/>
  <c r="E31" i="16"/>
  <c r="L65" i="20"/>
  <c r="L44" i="20"/>
  <c r="L52" i="20"/>
  <c r="L46" i="16"/>
  <c r="L54" i="16"/>
  <c r="K45" i="20"/>
  <c r="K53" i="20"/>
  <c r="K46" i="20"/>
  <c r="K46" i="18"/>
  <c r="K54" i="18"/>
  <c r="J46" i="20"/>
  <c r="J45" i="20"/>
  <c r="J53" i="20"/>
  <c r="J45" i="18"/>
  <c r="J53" i="18"/>
  <c r="I45" i="20"/>
  <c r="I53" i="20"/>
  <c r="I46" i="20"/>
  <c r="I54" i="20"/>
  <c r="H44" i="20"/>
  <c r="H52" i="20"/>
  <c r="H46" i="20"/>
  <c r="H54" i="20"/>
  <c r="E46" i="20"/>
  <c r="E54" i="20"/>
  <c r="E45" i="20"/>
  <c r="E53" i="20"/>
  <c r="D44" i="20"/>
  <c r="D52" i="20"/>
  <c r="D43" i="20"/>
  <c r="D43" i="18"/>
  <c r="D51" i="18"/>
  <c r="C45" i="20"/>
  <c r="C46" i="20"/>
  <c r="C46" i="18"/>
  <c r="C54" i="18"/>
  <c r="C46" i="16"/>
  <c r="AA325" i="6"/>
  <c r="F47" i="21"/>
  <c r="H49" i="21"/>
  <c r="G47" i="21"/>
  <c r="I49" i="21"/>
  <c r="AA345" i="6"/>
  <c r="AA321" i="6"/>
  <c r="H12" i="18"/>
  <c r="H10" i="18"/>
  <c r="H8" i="18"/>
  <c r="K20" i="18"/>
  <c r="E21" i="18"/>
  <c r="J23" i="20"/>
  <c r="AA339" i="6"/>
  <c r="AA356" i="6"/>
  <c r="T145" i="23"/>
  <c r="U145" i="23"/>
  <c r="F145" i="23"/>
  <c r="G145" i="23"/>
  <c r="G134" i="23"/>
  <c r="O49" i="18"/>
  <c r="F54" i="18"/>
  <c r="F61" i="18"/>
  <c r="F59" i="18"/>
  <c r="O48" i="19"/>
  <c r="O44" i="19"/>
  <c r="G48" i="19"/>
  <c r="G44" i="19"/>
  <c r="H57" i="14"/>
  <c r="H56" i="14"/>
  <c r="I57" i="14"/>
  <c r="B57" i="14"/>
  <c r="J57" i="14"/>
  <c r="J56" i="14"/>
  <c r="K57" i="14"/>
  <c r="F57" i="14"/>
  <c r="F56" i="14"/>
  <c r="N57" i="14"/>
  <c r="N56" i="14"/>
  <c r="O57" i="14"/>
  <c r="B131" i="14"/>
  <c r="J131" i="14"/>
  <c r="J130" i="14"/>
  <c r="K131" i="14"/>
  <c r="R131" i="14"/>
  <c r="R130" i="14"/>
  <c r="S131" i="14"/>
  <c r="H145" i="19"/>
  <c r="I145" i="19"/>
  <c r="I134" i="19"/>
  <c r="F153" i="19"/>
  <c r="N153" i="19"/>
  <c r="V153" i="19"/>
  <c r="F154" i="19"/>
  <c r="N154" i="19"/>
  <c r="V154" i="19"/>
  <c r="F155" i="19"/>
  <c r="N155" i="19"/>
  <c r="V155" i="19"/>
  <c r="F156" i="19"/>
  <c r="N156" i="19"/>
  <c r="V156" i="19"/>
  <c r="F157" i="19"/>
  <c r="N157" i="19"/>
  <c r="V157" i="19"/>
  <c r="F158" i="19"/>
  <c r="N158" i="19"/>
  <c r="V158" i="19"/>
  <c r="F159" i="19"/>
  <c r="N159" i="19"/>
  <c r="V159" i="19"/>
  <c r="F160" i="19"/>
  <c r="N160" i="19"/>
  <c r="V160" i="19"/>
  <c r="F171" i="19"/>
  <c r="N171" i="19"/>
  <c r="V171" i="19"/>
  <c r="F172" i="19"/>
  <c r="N172" i="19"/>
  <c r="V172" i="19"/>
  <c r="F173" i="19"/>
  <c r="G114" i="19"/>
  <c r="N173" i="19"/>
  <c r="O114" i="19"/>
  <c r="V173" i="19"/>
  <c r="W114" i="19"/>
  <c r="F174" i="19"/>
  <c r="N174" i="19"/>
  <c r="V174" i="19"/>
  <c r="F175" i="19"/>
  <c r="N175" i="19"/>
  <c r="V175" i="19"/>
  <c r="F176" i="19"/>
  <c r="N176" i="19"/>
  <c r="V176" i="19"/>
  <c r="F177" i="19"/>
  <c r="N177" i="19"/>
  <c r="V177" i="19"/>
  <c r="F178" i="19"/>
  <c r="N178" i="19"/>
  <c r="V178" i="19"/>
  <c r="H153" i="19"/>
  <c r="P153" i="19"/>
  <c r="X153" i="19"/>
  <c r="H154" i="19"/>
  <c r="P154" i="19"/>
  <c r="X154" i="19"/>
  <c r="H155" i="19"/>
  <c r="P155" i="19"/>
  <c r="X155" i="19"/>
  <c r="H156" i="19"/>
  <c r="P156" i="19"/>
  <c r="X156" i="19"/>
  <c r="H157" i="19"/>
  <c r="P157" i="19"/>
  <c r="X157" i="19"/>
  <c r="H158" i="19"/>
  <c r="P158" i="19"/>
  <c r="X158" i="19"/>
  <c r="H159" i="19"/>
  <c r="P159" i="19"/>
  <c r="X159" i="19"/>
  <c r="H160" i="19"/>
  <c r="P160" i="19"/>
  <c r="X160" i="19"/>
  <c r="H171" i="19"/>
  <c r="P171" i="19"/>
  <c r="X171" i="19"/>
  <c r="H172" i="19"/>
  <c r="P172" i="19"/>
  <c r="X172" i="19"/>
  <c r="H173" i="19"/>
  <c r="I114" i="19"/>
  <c r="P173" i="19"/>
  <c r="Q114" i="19"/>
  <c r="X173" i="19"/>
  <c r="Y114" i="19"/>
  <c r="H174" i="19"/>
  <c r="P174" i="19"/>
  <c r="X174" i="19"/>
  <c r="H175" i="19"/>
  <c r="P175" i="19"/>
  <c r="X175" i="19"/>
  <c r="H176" i="19"/>
  <c r="P176" i="19"/>
  <c r="X176" i="19"/>
  <c r="H177" i="19"/>
  <c r="P177" i="19"/>
  <c r="X177" i="19"/>
  <c r="H178" i="19"/>
  <c r="P178" i="19"/>
  <c r="X178" i="19"/>
  <c r="H187" i="19"/>
  <c r="P187" i="19"/>
  <c r="X187" i="19"/>
  <c r="X183" i="19"/>
  <c r="V180" i="19"/>
  <c r="V184" i="19"/>
  <c r="T181" i="19"/>
  <c r="T185" i="19"/>
  <c r="R182" i="19"/>
  <c r="R186" i="19"/>
  <c r="P183" i="19"/>
  <c r="N180" i="19"/>
  <c r="N184" i="19"/>
  <c r="L181" i="19"/>
  <c r="L185" i="19"/>
  <c r="J182" i="19"/>
  <c r="J186" i="19"/>
  <c r="H183" i="19"/>
  <c r="F180" i="19"/>
  <c r="F184" i="19"/>
  <c r="D181" i="19"/>
  <c r="D185" i="19"/>
  <c r="B182" i="19"/>
  <c r="B186" i="19"/>
  <c r="X163" i="19"/>
  <c r="X167" i="19"/>
  <c r="V163" i="19"/>
  <c r="V167" i="19"/>
  <c r="T163" i="19"/>
  <c r="T167" i="19"/>
  <c r="R163" i="19"/>
  <c r="R167" i="19"/>
  <c r="P163" i="19"/>
  <c r="P167" i="19"/>
  <c r="N163" i="19"/>
  <c r="N167" i="19"/>
  <c r="L163" i="19"/>
  <c r="L167" i="19"/>
  <c r="J163" i="19"/>
  <c r="J167" i="19"/>
  <c r="H163" i="19"/>
  <c r="H167" i="19"/>
  <c r="F163" i="19"/>
  <c r="F167" i="19"/>
  <c r="D163" i="19"/>
  <c r="D167" i="19"/>
  <c r="B163" i="19"/>
  <c r="B167" i="19"/>
  <c r="D153" i="19"/>
  <c r="T153" i="19"/>
  <c r="L154" i="19"/>
  <c r="D155" i="19"/>
  <c r="T155" i="19"/>
  <c r="L156" i="19"/>
  <c r="D157" i="19"/>
  <c r="T157" i="19"/>
  <c r="L158" i="19"/>
  <c r="D159" i="19"/>
  <c r="T159" i="19"/>
  <c r="L160" i="19"/>
  <c r="D171" i="19"/>
  <c r="T171" i="19"/>
  <c r="L172" i="19"/>
  <c r="D173" i="19"/>
  <c r="T173" i="19"/>
  <c r="U114" i="19"/>
  <c r="L174" i="19"/>
  <c r="D175" i="19"/>
  <c r="T175" i="19"/>
  <c r="L176" i="19"/>
  <c r="D177" i="19"/>
  <c r="T177" i="19"/>
  <c r="L178" i="19"/>
  <c r="D187" i="19"/>
  <c r="N187" i="19"/>
  <c r="X180" i="19"/>
  <c r="X185" i="19"/>
  <c r="V183" i="19"/>
  <c r="T182" i="19"/>
  <c r="R180" i="19"/>
  <c r="R185" i="19"/>
  <c r="P184" i="19"/>
  <c r="N182" i="19"/>
  <c r="L180" i="19"/>
  <c r="L186" i="19"/>
  <c r="J184" i="19"/>
  <c r="H182" i="19"/>
  <c r="F181" i="19"/>
  <c r="F186" i="19"/>
  <c r="D184" i="19"/>
  <c r="B183" i="19"/>
  <c r="X166" i="19"/>
  <c r="V164" i="19"/>
  <c r="V169" i="19"/>
  <c r="T166" i="19"/>
  <c r="R164" i="19"/>
  <c r="R169" i="19"/>
  <c r="P166" i="19"/>
  <c r="N164" i="19"/>
  <c r="N169" i="19"/>
  <c r="L166" i="19"/>
  <c r="J164" i="19"/>
  <c r="J169" i="19"/>
  <c r="H166" i="19"/>
  <c r="F164" i="19"/>
  <c r="F169" i="19"/>
  <c r="D166" i="19"/>
  <c r="B164" i="19"/>
  <c r="B169" i="19"/>
  <c r="J153" i="19"/>
  <c r="B154" i="19"/>
  <c r="R154" i="19"/>
  <c r="J155" i="19"/>
  <c r="B156" i="19"/>
  <c r="R156" i="19"/>
  <c r="J157" i="19"/>
  <c r="B158" i="19"/>
  <c r="R158" i="19"/>
  <c r="J159" i="19"/>
  <c r="B160" i="19"/>
  <c r="R160" i="19"/>
  <c r="J171" i="19"/>
  <c r="B172" i="19"/>
  <c r="R172" i="19"/>
  <c r="J173" i="19"/>
  <c r="K114" i="19"/>
  <c r="B174" i="19"/>
  <c r="R174" i="19"/>
  <c r="J175" i="19"/>
  <c r="B176" i="19"/>
  <c r="R176" i="19"/>
  <c r="J177" i="19"/>
  <c r="B178" i="19"/>
  <c r="R178" i="19"/>
  <c r="F187" i="19"/>
  <c r="R187" i="19"/>
  <c r="X181" i="19"/>
  <c r="X186" i="19"/>
  <c r="V185" i="19"/>
  <c r="T183" i="19"/>
  <c r="R181" i="19"/>
  <c r="P180" i="19"/>
  <c r="P185" i="19"/>
  <c r="N183" i="19"/>
  <c r="L182" i="19"/>
  <c r="J180" i="19"/>
  <c r="J185" i="19"/>
  <c r="H184" i="19"/>
  <c r="F182" i="19"/>
  <c r="D180" i="19"/>
  <c r="D186" i="19"/>
  <c r="B184" i="19"/>
  <c r="X162" i="19"/>
  <c r="X168" i="19"/>
  <c r="V165" i="19"/>
  <c r="T162" i="19"/>
  <c r="T168" i="19"/>
  <c r="R165" i="19"/>
  <c r="P162" i="19"/>
  <c r="P168" i="19"/>
  <c r="N165" i="19"/>
  <c r="L162" i="19"/>
  <c r="L168" i="19"/>
  <c r="J165" i="19"/>
  <c r="H162" i="19"/>
  <c r="H168" i="19"/>
  <c r="F165" i="19"/>
  <c r="D162" i="19"/>
  <c r="D168" i="19"/>
  <c r="B165" i="19"/>
  <c r="L153" i="19"/>
  <c r="D154" i="19"/>
  <c r="T154" i="19"/>
  <c r="L155" i="19"/>
  <c r="D156" i="19"/>
  <c r="T156" i="19"/>
  <c r="L157" i="19"/>
  <c r="D158" i="19"/>
  <c r="T158" i="19"/>
  <c r="L159" i="19"/>
  <c r="D160" i="19"/>
  <c r="T160" i="19"/>
  <c r="L171" i="19"/>
  <c r="D172" i="19"/>
  <c r="T172" i="19"/>
  <c r="L173" i="19"/>
  <c r="D174" i="19"/>
  <c r="T174" i="19"/>
  <c r="L175" i="19"/>
  <c r="D176" i="19"/>
  <c r="T176" i="19"/>
  <c r="L177" i="19"/>
  <c r="D178" i="19"/>
  <c r="T178" i="19"/>
  <c r="J187" i="19"/>
  <c r="T187" i="19"/>
  <c r="X182" i="19"/>
  <c r="V181" i="19"/>
  <c r="V186" i="19"/>
  <c r="T184" i="19"/>
  <c r="R183" i="19"/>
  <c r="P181" i="19"/>
  <c r="P186" i="19"/>
  <c r="N185" i="19"/>
  <c r="L183" i="19"/>
  <c r="J181" i="19"/>
  <c r="H180" i="19"/>
  <c r="H185" i="19"/>
  <c r="F183" i="19"/>
  <c r="D182" i="19"/>
  <c r="B180" i="19"/>
  <c r="B185" i="19"/>
  <c r="X164" i="19"/>
  <c r="X169" i="19"/>
  <c r="V166" i="19"/>
  <c r="T164" i="19"/>
  <c r="T169" i="19"/>
  <c r="R166" i="19"/>
  <c r="P164" i="19"/>
  <c r="P169" i="19"/>
  <c r="N166" i="19"/>
  <c r="L164" i="19"/>
  <c r="L169" i="19"/>
  <c r="J166" i="19"/>
  <c r="H164" i="19"/>
  <c r="H169" i="19"/>
  <c r="F166" i="19"/>
  <c r="D164" i="19"/>
  <c r="D169" i="19"/>
  <c r="B166" i="19"/>
  <c r="B153" i="19"/>
  <c r="R153" i="19"/>
  <c r="J154" i="19"/>
  <c r="B155" i="19"/>
  <c r="R155" i="19"/>
  <c r="J156" i="19"/>
  <c r="B157" i="19"/>
  <c r="R157" i="19"/>
  <c r="J158" i="19"/>
  <c r="B159" i="19"/>
  <c r="R159" i="19"/>
  <c r="J160" i="19"/>
  <c r="B171" i="19"/>
  <c r="R171" i="19"/>
  <c r="J172" i="19"/>
  <c r="B173" i="19"/>
  <c r="R173" i="19"/>
  <c r="S114" i="19"/>
  <c r="J174" i="19"/>
  <c r="B175" i="19"/>
  <c r="R175" i="19"/>
  <c r="J176" i="19"/>
  <c r="B177" i="19"/>
  <c r="R177" i="19"/>
  <c r="J178" i="19"/>
  <c r="B187" i="19"/>
  <c r="L187" i="19"/>
  <c r="V187" i="19"/>
  <c r="X184" i="19"/>
  <c r="V182" i="19"/>
  <c r="T180" i="19"/>
  <c r="T186" i="19"/>
  <c r="R184" i="19"/>
  <c r="P182" i="19"/>
  <c r="N181" i="19"/>
  <c r="N186" i="19"/>
  <c r="L184" i="19"/>
  <c r="J183" i="19"/>
  <c r="H181" i="19"/>
  <c r="H186" i="19"/>
  <c r="F185" i="19"/>
  <c r="D183" i="19"/>
  <c r="B181" i="19"/>
  <c r="V168" i="19"/>
  <c r="P165" i="19"/>
  <c r="J162" i="19"/>
  <c r="F168" i="19"/>
  <c r="T165" i="19"/>
  <c r="N162" i="19"/>
  <c r="J168" i="19"/>
  <c r="D165" i="19"/>
  <c r="X165" i="19"/>
  <c r="R162" i="19"/>
  <c r="N168" i="19"/>
  <c r="H165" i="19"/>
  <c r="B162" i="19"/>
  <c r="V162" i="19"/>
  <c r="R168" i="19"/>
  <c r="L165" i="19"/>
  <c r="F162" i="19"/>
  <c r="B168" i="19"/>
  <c r="D190" i="19"/>
  <c r="L190" i="19"/>
  <c r="T190" i="19"/>
  <c r="B191" i="19"/>
  <c r="J191" i="19"/>
  <c r="R191" i="19"/>
  <c r="H192" i="19"/>
  <c r="P192" i="19"/>
  <c r="X192" i="19"/>
  <c r="F193" i="19"/>
  <c r="N193" i="19"/>
  <c r="V193" i="19"/>
  <c r="D194" i="19"/>
  <c r="L194" i="19"/>
  <c r="T194" i="19"/>
  <c r="B195" i="19"/>
  <c r="J195" i="19"/>
  <c r="R195" i="19"/>
  <c r="H196" i="19"/>
  <c r="P196" i="19"/>
  <c r="X196" i="19"/>
  <c r="D198" i="19"/>
  <c r="L198" i="19"/>
  <c r="T198" i="19"/>
  <c r="B199" i="19"/>
  <c r="J199" i="19"/>
  <c r="R199" i="19"/>
  <c r="H200" i="19"/>
  <c r="P200" i="19"/>
  <c r="X200" i="19"/>
  <c r="F201" i="19"/>
  <c r="N201" i="19"/>
  <c r="V201" i="19"/>
  <c r="D202" i="19"/>
  <c r="L202" i="19"/>
  <c r="T202" i="19"/>
  <c r="J190" i="19"/>
  <c r="V190" i="19"/>
  <c r="F191" i="19"/>
  <c r="P191" i="19"/>
  <c r="B192" i="19"/>
  <c r="L192" i="19"/>
  <c r="V192" i="19"/>
  <c r="H193" i="19"/>
  <c r="R193" i="19"/>
  <c r="B194" i="19"/>
  <c r="N194" i="19"/>
  <c r="X194" i="19"/>
  <c r="H195" i="19"/>
  <c r="T195" i="19"/>
  <c r="D196" i="19"/>
  <c r="N196" i="19"/>
  <c r="H198" i="19"/>
  <c r="R198" i="19"/>
  <c r="D199" i="19"/>
  <c r="N199" i="19"/>
  <c r="X199" i="19"/>
  <c r="J200" i="19"/>
  <c r="T200" i="19"/>
  <c r="D201" i="19"/>
  <c r="P201" i="19"/>
  <c r="J202" i="19"/>
  <c r="V202" i="19"/>
  <c r="I47" i="1"/>
  <c r="N63" i="20"/>
  <c r="N55" i="18"/>
  <c r="N63" i="18"/>
  <c r="N63" i="16"/>
  <c r="M63" i="20"/>
  <c r="M58" i="20"/>
  <c r="M55" i="20"/>
  <c r="M65" i="20"/>
  <c r="M58" i="18"/>
  <c r="M65" i="18"/>
  <c r="L58" i="20"/>
  <c r="L59" i="20"/>
  <c r="L63" i="20"/>
  <c r="K65" i="20"/>
  <c r="K55" i="20"/>
  <c r="K58" i="20"/>
  <c r="K59" i="20"/>
  <c r="K55" i="16"/>
  <c r="K58" i="16"/>
  <c r="K59" i="16"/>
  <c r="K65" i="16"/>
  <c r="J63" i="20"/>
  <c r="J65" i="20"/>
  <c r="J55" i="18"/>
  <c r="J63" i="18"/>
  <c r="J63" i="16"/>
  <c r="I58" i="20"/>
  <c r="I59" i="20"/>
  <c r="I55" i="20"/>
  <c r="I58" i="18"/>
  <c r="I59" i="18"/>
  <c r="I65" i="18"/>
  <c r="H65" i="20"/>
  <c r="H63" i="20"/>
  <c r="H55" i="20"/>
  <c r="H56" i="20"/>
  <c r="G65" i="20"/>
  <c r="G55" i="20"/>
  <c r="G58" i="20"/>
  <c r="G63" i="20"/>
  <c r="G55" i="16"/>
  <c r="G58" i="16"/>
  <c r="G65" i="16"/>
  <c r="E63" i="20"/>
  <c r="E58" i="20"/>
  <c r="E59" i="20"/>
  <c r="E65" i="20"/>
  <c r="E55" i="20"/>
  <c r="E56" i="20"/>
  <c r="E58" i="18"/>
  <c r="E65" i="18"/>
  <c r="D58" i="20"/>
  <c r="D59" i="20"/>
  <c r="D63" i="20"/>
  <c r="C55" i="20"/>
  <c r="C65" i="20"/>
  <c r="C55" i="16"/>
  <c r="C58" i="16"/>
  <c r="C65" i="16"/>
  <c r="B29" i="21"/>
  <c r="C35" i="21"/>
  <c r="Z70" i="23"/>
  <c r="L145" i="23"/>
  <c r="M145" i="23"/>
  <c r="M134" i="23"/>
  <c r="Z134" i="23"/>
  <c r="Z133" i="23"/>
  <c r="D133" i="23"/>
  <c r="Z134" i="14"/>
  <c r="Z133" i="14"/>
  <c r="F70" i="18"/>
  <c r="G42" i="19"/>
  <c r="O45" i="19"/>
  <c r="G46" i="19"/>
  <c r="E51" i="19"/>
  <c r="Y11" i="19"/>
  <c r="Y7" i="19"/>
  <c r="M45" i="19"/>
  <c r="E45" i="19"/>
  <c r="Z72" i="19"/>
  <c r="D79" i="19"/>
  <c r="L79" i="19"/>
  <c r="T79" i="19"/>
  <c r="D80" i="19"/>
  <c r="L80" i="19"/>
  <c r="T80" i="19"/>
  <c r="D81" i="19"/>
  <c r="L81" i="19"/>
  <c r="T81" i="19"/>
  <c r="D82" i="19"/>
  <c r="L82" i="19"/>
  <c r="T82" i="19"/>
  <c r="D83" i="19"/>
  <c r="L83" i="19"/>
  <c r="T83" i="19"/>
  <c r="D84" i="19"/>
  <c r="L84" i="19"/>
  <c r="T84" i="19"/>
  <c r="D85" i="19"/>
  <c r="L85" i="19"/>
  <c r="T85" i="19"/>
  <c r="D86" i="19"/>
  <c r="L86" i="19"/>
  <c r="T86" i="19"/>
  <c r="D97" i="19"/>
  <c r="L97" i="19"/>
  <c r="T97" i="19"/>
  <c r="D98" i="19"/>
  <c r="L98" i="19"/>
  <c r="T98" i="19"/>
  <c r="D99" i="19"/>
  <c r="L99" i="19"/>
  <c r="T99" i="19"/>
  <c r="D100" i="19"/>
  <c r="L100" i="19"/>
  <c r="T100" i="19"/>
  <c r="D101" i="19"/>
  <c r="L101" i="19"/>
  <c r="T101" i="19"/>
  <c r="D102" i="19"/>
  <c r="L102" i="19"/>
  <c r="T102" i="19"/>
  <c r="D103" i="19"/>
  <c r="L103" i="19"/>
  <c r="T103" i="19"/>
  <c r="D104" i="19"/>
  <c r="L104" i="19"/>
  <c r="T104" i="19"/>
  <c r="D106" i="19"/>
  <c r="L106" i="19"/>
  <c r="T106" i="19"/>
  <c r="D107" i="19"/>
  <c r="L107" i="19"/>
  <c r="T107" i="19"/>
  <c r="D108" i="19"/>
  <c r="L108" i="19"/>
  <c r="T108" i="19"/>
  <c r="D109" i="19"/>
  <c r="L109" i="19"/>
  <c r="T109" i="19"/>
  <c r="D110" i="19"/>
  <c r="L110" i="19"/>
  <c r="T110" i="19"/>
  <c r="D111" i="19"/>
  <c r="L111" i="19"/>
  <c r="T111" i="19"/>
  <c r="D112" i="19"/>
  <c r="L112" i="19"/>
  <c r="T112" i="19"/>
  <c r="D113" i="19"/>
  <c r="L113" i="19"/>
  <c r="T113" i="19"/>
  <c r="D88" i="19"/>
  <c r="L88" i="19"/>
  <c r="T88" i="19"/>
  <c r="D89" i="19"/>
  <c r="L89" i="19"/>
  <c r="T89" i="19"/>
  <c r="D90" i="19"/>
  <c r="L90" i="19"/>
  <c r="T90" i="19"/>
  <c r="D91" i="19"/>
  <c r="L91" i="19"/>
  <c r="T91" i="19"/>
  <c r="D92" i="19"/>
  <c r="L92" i="19"/>
  <c r="T92" i="19"/>
  <c r="D93" i="19"/>
  <c r="L93" i="19"/>
  <c r="T93" i="19"/>
  <c r="D94" i="19"/>
  <c r="L94" i="19"/>
  <c r="T94" i="19"/>
  <c r="D95" i="19"/>
  <c r="J79" i="19"/>
  <c r="V79" i="19"/>
  <c r="H80" i="19"/>
  <c r="R80" i="19"/>
  <c r="F81" i="19"/>
  <c r="P81" i="19"/>
  <c r="B82" i="19"/>
  <c r="N82" i="19"/>
  <c r="X82" i="19"/>
  <c r="J83" i="19"/>
  <c r="V83" i="19"/>
  <c r="H84" i="19"/>
  <c r="R84" i="19"/>
  <c r="F85" i="19"/>
  <c r="P85" i="19"/>
  <c r="B86" i="19"/>
  <c r="N86" i="19"/>
  <c r="X86" i="19"/>
  <c r="J97" i="19"/>
  <c r="V97" i="19"/>
  <c r="H98" i="19"/>
  <c r="R98" i="19"/>
  <c r="F99" i="19"/>
  <c r="P99" i="19"/>
  <c r="B100" i="19"/>
  <c r="N100" i="19"/>
  <c r="X100" i="19"/>
  <c r="J101" i="19"/>
  <c r="V101" i="19"/>
  <c r="H102" i="19"/>
  <c r="R102" i="19"/>
  <c r="F103" i="19"/>
  <c r="P103" i="19"/>
  <c r="B104" i="19"/>
  <c r="N104" i="19"/>
  <c r="X104" i="19"/>
  <c r="J106" i="19"/>
  <c r="V106" i="19"/>
  <c r="H107" i="19"/>
  <c r="R107" i="19"/>
  <c r="F108" i="19"/>
  <c r="P108" i="19"/>
  <c r="B109" i="19"/>
  <c r="N109" i="19"/>
  <c r="X109" i="19"/>
  <c r="J110" i="19"/>
  <c r="V110" i="19"/>
  <c r="H111" i="19"/>
  <c r="R111" i="19"/>
  <c r="F112" i="19"/>
  <c r="P112" i="19"/>
  <c r="B113" i="19"/>
  <c r="N113" i="19"/>
  <c r="X113" i="19"/>
  <c r="J88" i="19"/>
  <c r="V88" i="19"/>
  <c r="H89" i="19"/>
  <c r="R89" i="19"/>
  <c r="F90" i="19"/>
  <c r="P90" i="19"/>
  <c r="B91" i="19"/>
  <c r="N91" i="19"/>
  <c r="X91" i="19"/>
  <c r="J92" i="19"/>
  <c r="V92" i="19"/>
  <c r="H93" i="19"/>
  <c r="R93" i="19"/>
  <c r="F94" i="19"/>
  <c r="P94" i="19"/>
  <c r="B95" i="19"/>
  <c r="L95" i="19"/>
  <c r="T95" i="19"/>
  <c r="B79" i="19"/>
  <c r="N79" i="19"/>
  <c r="X79" i="19"/>
  <c r="J80" i="19"/>
  <c r="V80" i="19"/>
  <c r="H81" i="19"/>
  <c r="R81" i="19"/>
  <c r="F82" i="19"/>
  <c r="P82" i="19"/>
  <c r="B83" i="19"/>
  <c r="N83" i="19"/>
  <c r="X83" i="19"/>
  <c r="J84" i="19"/>
  <c r="V84" i="19"/>
  <c r="H85" i="19"/>
  <c r="R85" i="19"/>
  <c r="F86" i="19"/>
  <c r="P86" i="19"/>
  <c r="B97" i="19"/>
  <c r="N97" i="19"/>
  <c r="X97" i="19"/>
  <c r="J98" i="19"/>
  <c r="V98" i="19"/>
  <c r="H99" i="19"/>
  <c r="R99" i="19"/>
  <c r="F100" i="19"/>
  <c r="P100" i="19"/>
  <c r="B101" i="19"/>
  <c r="N101" i="19"/>
  <c r="X101" i="19"/>
  <c r="J102" i="19"/>
  <c r="V102" i="19"/>
  <c r="H103" i="19"/>
  <c r="R103" i="19"/>
  <c r="F104" i="19"/>
  <c r="P104" i="19"/>
  <c r="B106" i="19"/>
  <c r="N106" i="19"/>
  <c r="X106" i="19"/>
  <c r="J107" i="19"/>
  <c r="V107" i="19"/>
  <c r="H108" i="19"/>
  <c r="R108" i="19"/>
  <c r="F109" i="19"/>
  <c r="P109" i="19"/>
  <c r="B110" i="19"/>
  <c r="N110" i="19"/>
  <c r="X110" i="19"/>
  <c r="J111" i="19"/>
  <c r="V111" i="19"/>
  <c r="H112" i="19"/>
  <c r="R112" i="19"/>
  <c r="F113" i="19"/>
  <c r="P113" i="19"/>
  <c r="B88" i="19"/>
  <c r="N88" i="19"/>
  <c r="X88" i="19"/>
  <c r="J89" i="19"/>
  <c r="V89" i="19"/>
  <c r="H90" i="19"/>
  <c r="R90" i="19"/>
  <c r="F91" i="19"/>
  <c r="P91" i="19"/>
  <c r="B92" i="19"/>
  <c r="N92" i="19"/>
  <c r="X92" i="19"/>
  <c r="J93" i="19"/>
  <c r="V93" i="19"/>
  <c r="H94" i="19"/>
  <c r="R94" i="19"/>
  <c r="F95" i="19"/>
  <c r="N95" i="19"/>
  <c r="V95" i="19"/>
  <c r="F79" i="19"/>
  <c r="P79" i="19"/>
  <c r="B80" i="19"/>
  <c r="N80" i="19"/>
  <c r="X80" i="19"/>
  <c r="J81" i="19"/>
  <c r="V81" i="19"/>
  <c r="H82" i="19"/>
  <c r="R82" i="19"/>
  <c r="F83" i="19"/>
  <c r="P83" i="19"/>
  <c r="B84" i="19"/>
  <c r="N84" i="19"/>
  <c r="X84" i="19"/>
  <c r="J85" i="19"/>
  <c r="V85" i="19"/>
  <c r="H86" i="19"/>
  <c r="R86" i="19"/>
  <c r="F97" i="19"/>
  <c r="P97" i="19"/>
  <c r="B98" i="19"/>
  <c r="N98" i="19"/>
  <c r="X98" i="19"/>
  <c r="J99" i="19"/>
  <c r="V99" i="19"/>
  <c r="H100" i="19"/>
  <c r="R100" i="19"/>
  <c r="F101" i="19"/>
  <c r="P101" i="19"/>
  <c r="B102" i="19"/>
  <c r="N102" i="19"/>
  <c r="X102" i="19"/>
  <c r="J103" i="19"/>
  <c r="V103" i="19"/>
  <c r="H104" i="19"/>
  <c r="R104" i="19"/>
  <c r="F106" i="19"/>
  <c r="P106" i="19"/>
  <c r="B107" i="19"/>
  <c r="N107" i="19"/>
  <c r="X107" i="19"/>
  <c r="J108" i="19"/>
  <c r="V108" i="19"/>
  <c r="H109" i="19"/>
  <c r="R109" i="19"/>
  <c r="F110" i="19"/>
  <c r="P110" i="19"/>
  <c r="B111" i="19"/>
  <c r="N111" i="19"/>
  <c r="X111" i="19"/>
  <c r="J112" i="19"/>
  <c r="V112" i="19"/>
  <c r="H113" i="19"/>
  <c r="R113" i="19"/>
  <c r="F88" i="19"/>
  <c r="P88" i="19"/>
  <c r="B89" i="19"/>
  <c r="N89" i="19"/>
  <c r="X89" i="19"/>
  <c r="J90" i="19"/>
  <c r="V90" i="19"/>
  <c r="H91" i="19"/>
  <c r="R91" i="19"/>
  <c r="F92" i="19"/>
  <c r="P92" i="19"/>
  <c r="B93" i="19"/>
  <c r="N93" i="19"/>
  <c r="X93" i="19"/>
  <c r="J94" i="19"/>
  <c r="V94" i="19"/>
  <c r="H95" i="19"/>
  <c r="P95" i="19"/>
  <c r="X95" i="19"/>
  <c r="H79" i="19"/>
  <c r="B81" i="19"/>
  <c r="V82" i="19"/>
  <c r="P84" i="19"/>
  <c r="J86" i="19"/>
  <c r="F98" i="19"/>
  <c r="X99" i="19"/>
  <c r="R101" i="19"/>
  <c r="N103" i="19"/>
  <c r="H106" i="19"/>
  <c r="B108" i="19"/>
  <c r="V109" i="19"/>
  <c r="P111" i="19"/>
  <c r="J113" i="19"/>
  <c r="F89" i="19"/>
  <c r="X90" i="19"/>
  <c r="R92" i="19"/>
  <c r="N94" i="19"/>
  <c r="R79" i="19"/>
  <c r="N81" i="19"/>
  <c r="H83" i="19"/>
  <c r="B85" i="19"/>
  <c r="V86" i="19"/>
  <c r="P98" i="19"/>
  <c r="J100" i="19"/>
  <c r="F102" i="19"/>
  <c r="X103" i="19"/>
  <c r="R106" i="19"/>
  <c r="N108" i="19"/>
  <c r="H110" i="19"/>
  <c r="B112" i="19"/>
  <c r="V113" i="19"/>
  <c r="P89" i="19"/>
  <c r="J91" i="19"/>
  <c r="F93" i="19"/>
  <c r="X94" i="19"/>
  <c r="F80" i="19"/>
  <c r="X81" i="19"/>
  <c r="R83" i="19"/>
  <c r="N85" i="19"/>
  <c r="H97" i="19"/>
  <c r="B99" i="19"/>
  <c r="V100" i="19"/>
  <c r="P102" i="19"/>
  <c r="J104" i="19"/>
  <c r="F107" i="19"/>
  <c r="X108" i="19"/>
  <c r="R110" i="19"/>
  <c r="N112" i="19"/>
  <c r="H88" i="19"/>
  <c r="B90" i="19"/>
  <c r="V91" i="19"/>
  <c r="P93" i="19"/>
  <c r="J95" i="19"/>
  <c r="P80" i="19"/>
  <c r="J82" i="19"/>
  <c r="F84" i="19"/>
  <c r="X85" i="19"/>
  <c r="R97" i="19"/>
  <c r="N99" i="19"/>
  <c r="H101" i="19"/>
  <c r="B103" i="19"/>
  <c r="V104" i="19"/>
  <c r="P107" i="19"/>
  <c r="J109" i="19"/>
  <c r="F111" i="19"/>
  <c r="X112" i="19"/>
  <c r="R88" i="19"/>
  <c r="N90" i="19"/>
  <c r="H92" i="19"/>
  <c r="B94" i="19"/>
  <c r="R95" i="19"/>
  <c r="B116" i="19"/>
  <c r="J116" i="19"/>
  <c r="R116" i="19"/>
  <c r="H117" i="19"/>
  <c r="P117" i="19"/>
  <c r="X117" i="19"/>
  <c r="F118" i="19"/>
  <c r="N118" i="19"/>
  <c r="V118" i="19"/>
  <c r="D119" i="19"/>
  <c r="L119" i="19"/>
  <c r="T119" i="19"/>
  <c r="B120" i="19"/>
  <c r="J120" i="19"/>
  <c r="R120" i="19"/>
  <c r="H121" i="19"/>
  <c r="P121" i="19"/>
  <c r="X121" i="19"/>
  <c r="F122" i="19"/>
  <c r="N122" i="19"/>
  <c r="V122" i="19"/>
  <c r="B124" i="19"/>
  <c r="J124" i="19"/>
  <c r="R124" i="19"/>
  <c r="H125" i="19"/>
  <c r="P125" i="19"/>
  <c r="X125" i="19"/>
  <c r="X123" i="19"/>
  <c r="F126" i="19"/>
  <c r="N126" i="19"/>
  <c r="V126" i="19"/>
  <c r="D127" i="19"/>
  <c r="L127" i="19"/>
  <c r="T127" i="19"/>
  <c r="B128" i="19"/>
  <c r="J128" i="19"/>
  <c r="R128" i="19"/>
  <c r="F136" i="19"/>
  <c r="N136" i="19"/>
  <c r="N146" i="19"/>
  <c r="O146" i="19"/>
  <c r="V136" i="19"/>
  <c r="V146" i="19"/>
  <c r="W146" i="19"/>
  <c r="J144" i="19"/>
  <c r="K144" i="19"/>
  <c r="R144" i="19"/>
  <c r="S144" i="19"/>
  <c r="X202" i="19"/>
  <c r="H202" i="19"/>
  <c r="T201" i="19"/>
  <c r="H201" i="19"/>
  <c r="R200" i="19"/>
  <c r="D200" i="19"/>
  <c r="P199" i="19"/>
  <c r="N198" i="19"/>
  <c r="L196" i="19"/>
  <c r="X195" i="19"/>
  <c r="L195" i="19"/>
  <c r="V194" i="19"/>
  <c r="H194" i="19"/>
  <c r="T193" i="19"/>
  <c r="D193" i="19"/>
  <c r="R192" i="19"/>
  <c r="D192" i="19"/>
  <c r="N191" i="19"/>
  <c r="N190" i="19"/>
  <c r="K52" i="20"/>
  <c r="O49" i="20"/>
  <c r="M71" i="20"/>
  <c r="M64" i="20"/>
  <c r="M57" i="20"/>
  <c r="M66" i="20"/>
  <c r="M62" i="20"/>
  <c r="I65" i="20"/>
  <c r="K63" i="20"/>
  <c r="L57" i="14"/>
  <c r="L56" i="14"/>
  <c r="M57" i="14"/>
  <c r="D55" i="20"/>
  <c r="J55" i="20"/>
  <c r="I63" i="20"/>
  <c r="H58" i="20"/>
  <c r="H59" i="20"/>
  <c r="D65" i="20"/>
  <c r="G48" i="21"/>
  <c r="H48" i="21"/>
  <c r="AA380" i="6"/>
  <c r="AA374" i="6"/>
  <c r="AA395" i="6"/>
  <c r="AA410" i="6"/>
  <c r="AA406" i="6"/>
  <c r="I8" i="20"/>
  <c r="J8" i="20"/>
  <c r="H8" i="20"/>
  <c r="K8" i="20"/>
  <c r="AA417" i="6"/>
  <c r="Z126" i="23"/>
  <c r="H155" i="14"/>
  <c r="P155" i="14"/>
  <c r="X155" i="14"/>
  <c r="H156" i="14"/>
  <c r="P156" i="14"/>
  <c r="X156" i="14"/>
  <c r="H158" i="14"/>
  <c r="P158" i="14"/>
  <c r="X158" i="14"/>
  <c r="H153" i="14"/>
  <c r="P153" i="14"/>
  <c r="X153" i="14"/>
  <c r="H154" i="14"/>
  <c r="P154" i="14"/>
  <c r="X154" i="14"/>
  <c r="H157" i="14"/>
  <c r="P157" i="14"/>
  <c r="X157" i="14"/>
  <c r="H159" i="14"/>
  <c r="P159" i="14"/>
  <c r="X159" i="14"/>
  <c r="H160" i="14"/>
  <c r="P160" i="14"/>
  <c r="X160" i="14"/>
  <c r="H171" i="14"/>
  <c r="P171" i="14"/>
  <c r="X171" i="14"/>
  <c r="H172" i="14"/>
  <c r="P172" i="14"/>
  <c r="X172" i="14"/>
  <c r="H173" i="14"/>
  <c r="I114" i="14"/>
  <c r="P173" i="14"/>
  <c r="Q114" i="14"/>
  <c r="X173" i="14"/>
  <c r="Y114" i="14"/>
  <c r="H174" i="14"/>
  <c r="P174" i="14"/>
  <c r="X174" i="14"/>
  <c r="H175" i="14"/>
  <c r="P175" i="14"/>
  <c r="X175" i="14"/>
  <c r="H176" i="14"/>
  <c r="P176" i="14"/>
  <c r="X176" i="14"/>
  <c r="H177" i="14"/>
  <c r="P177" i="14"/>
  <c r="X177" i="14"/>
  <c r="H178" i="14"/>
  <c r="P178" i="14"/>
  <c r="X178" i="14"/>
  <c r="H187" i="14"/>
  <c r="P187" i="14"/>
  <c r="X187" i="14"/>
  <c r="X183" i="14"/>
  <c r="V180" i="14"/>
  <c r="V184" i="14"/>
  <c r="T181" i="14"/>
  <c r="T185" i="14"/>
  <c r="R182" i="14"/>
  <c r="R186" i="14"/>
  <c r="P183" i="14"/>
  <c r="N180" i="14"/>
  <c r="N184" i="14"/>
  <c r="L181" i="14"/>
  <c r="L185" i="14"/>
  <c r="J182" i="14"/>
  <c r="J186" i="14"/>
  <c r="H183" i="14"/>
  <c r="F180" i="14"/>
  <c r="F184" i="14"/>
  <c r="D181" i="14"/>
  <c r="D185" i="14"/>
  <c r="B182" i="14"/>
  <c r="B186" i="14"/>
  <c r="X165" i="14"/>
  <c r="X169" i="14"/>
  <c r="V165" i="14"/>
  <c r="V169" i="14"/>
  <c r="T165" i="14"/>
  <c r="T169" i="14"/>
  <c r="R165" i="14"/>
  <c r="R169" i="14"/>
  <c r="P165" i="14"/>
  <c r="P169" i="14"/>
  <c r="N165" i="14"/>
  <c r="N169" i="14"/>
  <c r="L165" i="14"/>
  <c r="L169" i="14"/>
  <c r="J165" i="14"/>
  <c r="J169" i="14"/>
  <c r="H165" i="14"/>
  <c r="H169" i="14"/>
  <c r="F165" i="14"/>
  <c r="F169" i="14"/>
  <c r="D165" i="14"/>
  <c r="D169" i="14"/>
  <c r="B165" i="14"/>
  <c r="B169" i="14"/>
  <c r="D155" i="14"/>
  <c r="L155" i="14"/>
  <c r="T155" i="14"/>
  <c r="D156" i="14"/>
  <c r="L156" i="14"/>
  <c r="T156" i="14"/>
  <c r="D158" i="14"/>
  <c r="L158" i="14"/>
  <c r="T158" i="14"/>
  <c r="D153" i="14"/>
  <c r="L153" i="14"/>
  <c r="T153" i="14"/>
  <c r="D154" i="14"/>
  <c r="L154" i="14"/>
  <c r="T154" i="14"/>
  <c r="D157" i="14"/>
  <c r="L157" i="14"/>
  <c r="T157" i="14"/>
  <c r="D159" i="14"/>
  <c r="L159" i="14"/>
  <c r="T159" i="14"/>
  <c r="D160" i="14"/>
  <c r="L160" i="14"/>
  <c r="T160" i="14"/>
  <c r="D171" i="14"/>
  <c r="L171" i="14"/>
  <c r="T171" i="14"/>
  <c r="D172" i="14"/>
  <c r="L172" i="14"/>
  <c r="T172" i="14"/>
  <c r="D173" i="14"/>
  <c r="E114" i="14"/>
  <c r="L173" i="14"/>
  <c r="T173" i="14"/>
  <c r="U114" i="14"/>
  <c r="D174" i="14"/>
  <c r="L174" i="14"/>
  <c r="T174" i="14"/>
  <c r="D175" i="14"/>
  <c r="L175" i="14"/>
  <c r="T175" i="14"/>
  <c r="D176" i="14"/>
  <c r="L176" i="14"/>
  <c r="T176" i="14"/>
  <c r="D177" i="14"/>
  <c r="L177" i="14"/>
  <c r="T177" i="14"/>
  <c r="D178" i="14"/>
  <c r="L178" i="14"/>
  <c r="T178" i="14"/>
  <c r="D187" i="14"/>
  <c r="L187" i="14"/>
  <c r="T187" i="14"/>
  <c r="X181" i="14"/>
  <c r="X185" i="14"/>
  <c r="V182" i="14"/>
  <c r="V186" i="14"/>
  <c r="T183" i="14"/>
  <c r="R180" i="14"/>
  <c r="R184" i="14"/>
  <c r="P181" i="14"/>
  <c r="P185" i="14"/>
  <c r="N182" i="14"/>
  <c r="N186" i="14"/>
  <c r="L183" i="14"/>
  <c r="J180" i="14"/>
  <c r="J184" i="14"/>
  <c r="H181" i="14"/>
  <c r="H185" i="14"/>
  <c r="F182" i="14"/>
  <c r="F186" i="14"/>
  <c r="D183" i="14"/>
  <c r="B180" i="14"/>
  <c r="B184" i="14"/>
  <c r="X163" i="14"/>
  <c r="X167" i="14"/>
  <c r="V163" i="14"/>
  <c r="V167" i="14"/>
  <c r="T163" i="14"/>
  <c r="T167" i="14"/>
  <c r="R163" i="14"/>
  <c r="R167" i="14"/>
  <c r="P163" i="14"/>
  <c r="P167" i="14"/>
  <c r="N163" i="14"/>
  <c r="N167" i="14"/>
  <c r="L163" i="14"/>
  <c r="L167" i="14"/>
  <c r="J163" i="14"/>
  <c r="J167" i="14"/>
  <c r="H163" i="14"/>
  <c r="H167" i="14"/>
  <c r="F163" i="14"/>
  <c r="F167" i="14"/>
  <c r="D163" i="14"/>
  <c r="D167" i="14"/>
  <c r="B163" i="14"/>
  <c r="B167" i="14"/>
  <c r="N155" i="14"/>
  <c r="F156" i="14"/>
  <c r="V156" i="14"/>
  <c r="N158" i="14"/>
  <c r="F153" i="14"/>
  <c r="V153" i="14"/>
  <c r="N154" i="14"/>
  <c r="F157" i="14"/>
  <c r="V157" i="14"/>
  <c r="N159" i="14"/>
  <c r="F160" i="14"/>
  <c r="V160" i="14"/>
  <c r="N171" i="14"/>
  <c r="F172" i="14"/>
  <c r="V172" i="14"/>
  <c r="N173" i="14"/>
  <c r="O114" i="14"/>
  <c r="F174" i="14"/>
  <c r="V174" i="14"/>
  <c r="N175" i="14"/>
  <c r="F176" i="14"/>
  <c r="V176" i="14"/>
  <c r="N177" i="14"/>
  <c r="F178" i="14"/>
  <c r="V178" i="14"/>
  <c r="N187" i="14"/>
  <c r="X182" i="14"/>
  <c r="V183" i="14"/>
  <c r="T184" i="14"/>
  <c r="R185" i="14"/>
  <c r="P186" i="14"/>
  <c r="L180" i="14"/>
  <c r="J181" i="14"/>
  <c r="H182" i="14"/>
  <c r="F183" i="14"/>
  <c r="D184" i="14"/>
  <c r="B185" i="14"/>
  <c r="X168" i="14"/>
  <c r="V168" i="14"/>
  <c r="T168" i="14"/>
  <c r="R168" i="14"/>
  <c r="P168" i="14"/>
  <c r="N168" i="14"/>
  <c r="L168" i="14"/>
  <c r="J168" i="14"/>
  <c r="H168" i="14"/>
  <c r="F168" i="14"/>
  <c r="D168" i="14"/>
  <c r="B168" i="14"/>
  <c r="B155" i="14"/>
  <c r="R155" i="14"/>
  <c r="J156" i="14"/>
  <c r="B158" i="14"/>
  <c r="R158" i="14"/>
  <c r="J153" i="14"/>
  <c r="B154" i="14"/>
  <c r="R154" i="14"/>
  <c r="J157" i="14"/>
  <c r="B159" i="14"/>
  <c r="R159" i="14"/>
  <c r="J160" i="14"/>
  <c r="B171" i="14"/>
  <c r="R171" i="14"/>
  <c r="J172" i="14"/>
  <c r="B173" i="14"/>
  <c r="R173" i="14"/>
  <c r="S114" i="14"/>
  <c r="J174" i="14"/>
  <c r="B175" i="14"/>
  <c r="R175" i="14"/>
  <c r="J176" i="14"/>
  <c r="B177" i="14"/>
  <c r="R177" i="14"/>
  <c r="J178" i="14"/>
  <c r="B187" i="14"/>
  <c r="R187" i="14"/>
  <c r="X184" i="14"/>
  <c r="V185" i="14"/>
  <c r="T186" i="14"/>
  <c r="P180" i="14"/>
  <c r="N181" i="14"/>
  <c r="L182" i="14"/>
  <c r="J183" i="14"/>
  <c r="H184" i="14"/>
  <c r="F185" i="14"/>
  <c r="D186" i="14"/>
  <c r="X162" i="14"/>
  <c r="V162" i="14"/>
  <c r="T162" i="14"/>
  <c r="R162" i="14"/>
  <c r="P162" i="14"/>
  <c r="N162" i="14"/>
  <c r="L162" i="14"/>
  <c r="J162" i="14"/>
  <c r="H162" i="14"/>
  <c r="F162" i="14"/>
  <c r="D162" i="14"/>
  <c r="B162" i="14"/>
  <c r="F155" i="14"/>
  <c r="V155" i="14"/>
  <c r="N156" i="14"/>
  <c r="F158" i="14"/>
  <c r="V158" i="14"/>
  <c r="N153" i="14"/>
  <c r="F154" i="14"/>
  <c r="V154" i="14"/>
  <c r="N157" i="14"/>
  <c r="F159" i="14"/>
  <c r="V159" i="14"/>
  <c r="N160" i="14"/>
  <c r="F171" i="14"/>
  <c r="V171" i="14"/>
  <c r="N172" i="14"/>
  <c r="F173" i="14"/>
  <c r="G114" i="14"/>
  <c r="V173" i="14"/>
  <c r="W114" i="14"/>
  <c r="N174" i="14"/>
  <c r="F175" i="14"/>
  <c r="V175" i="14"/>
  <c r="N176" i="14"/>
  <c r="F177" i="14"/>
  <c r="V177" i="14"/>
  <c r="N178" i="14"/>
  <c r="F187" i="14"/>
  <c r="V187" i="14"/>
  <c r="X186" i="14"/>
  <c r="T180" i="14"/>
  <c r="R181" i="14"/>
  <c r="P182" i="14"/>
  <c r="N183" i="14"/>
  <c r="L184" i="14"/>
  <c r="J185" i="14"/>
  <c r="H186" i="14"/>
  <c r="D180" i="14"/>
  <c r="B181" i="14"/>
  <c r="X164" i="14"/>
  <c r="V164" i="14"/>
  <c r="T164" i="14"/>
  <c r="R164" i="14"/>
  <c r="P164" i="14"/>
  <c r="N164" i="14"/>
  <c r="L164" i="14"/>
  <c r="J164" i="14"/>
  <c r="H164" i="14"/>
  <c r="F164" i="14"/>
  <c r="D164" i="14"/>
  <c r="B164" i="14"/>
  <c r="J155" i="14"/>
  <c r="B156" i="14"/>
  <c r="R156" i="14"/>
  <c r="J158" i="14"/>
  <c r="B153" i="14"/>
  <c r="R153" i="14"/>
  <c r="J154" i="14"/>
  <c r="B157" i="14"/>
  <c r="R157" i="14"/>
  <c r="J159" i="14"/>
  <c r="B160" i="14"/>
  <c r="R160" i="14"/>
  <c r="J171" i="14"/>
  <c r="B172" i="14"/>
  <c r="R172" i="14"/>
  <c r="J173" i="14"/>
  <c r="K114" i="14"/>
  <c r="B174" i="14"/>
  <c r="R174" i="14"/>
  <c r="J175" i="14"/>
  <c r="B176" i="14"/>
  <c r="R176" i="14"/>
  <c r="J177" i="14"/>
  <c r="B178" i="14"/>
  <c r="R178" i="14"/>
  <c r="J187" i="14"/>
  <c r="X180" i="14"/>
  <c r="V181" i="14"/>
  <c r="T182" i="14"/>
  <c r="R183" i="14"/>
  <c r="P184" i="14"/>
  <c r="N185" i="14"/>
  <c r="L186" i="14"/>
  <c r="H180" i="14"/>
  <c r="F181" i="14"/>
  <c r="D182" i="14"/>
  <c r="B183" i="14"/>
  <c r="X166" i="14"/>
  <c r="V166" i="14"/>
  <c r="T166" i="14"/>
  <c r="R166" i="14"/>
  <c r="P166" i="14"/>
  <c r="N166" i="14"/>
  <c r="L166" i="14"/>
  <c r="J166" i="14"/>
  <c r="H166" i="14"/>
  <c r="F166" i="14"/>
  <c r="D166" i="14"/>
  <c r="B166" i="14"/>
  <c r="D79" i="14"/>
  <c r="L79" i="14"/>
  <c r="T79" i="14"/>
  <c r="D80" i="14"/>
  <c r="L80" i="14"/>
  <c r="T80" i="14"/>
  <c r="D81" i="14"/>
  <c r="L81" i="14"/>
  <c r="T81" i="14"/>
  <c r="D82" i="14"/>
  <c r="L82" i="14"/>
  <c r="T82" i="14"/>
  <c r="D83" i="14"/>
  <c r="L83" i="14"/>
  <c r="T83" i="14"/>
  <c r="D84" i="14"/>
  <c r="L84" i="14"/>
  <c r="T84" i="14"/>
  <c r="D85" i="14"/>
  <c r="L85" i="14"/>
  <c r="T85" i="14"/>
  <c r="N86" i="14"/>
  <c r="V86" i="14"/>
  <c r="F97" i="14"/>
  <c r="N97" i="14"/>
  <c r="V97" i="14"/>
  <c r="F98" i="14"/>
  <c r="N98" i="14"/>
  <c r="V98" i="14"/>
  <c r="F99" i="14"/>
  <c r="N99" i="14"/>
  <c r="V99" i="14"/>
  <c r="F100" i="14"/>
  <c r="N100" i="14"/>
  <c r="V100" i="14"/>
  <c r="F101" i="14"/>
  <c r="N101" i="14"/>
  <c r="V101" i="14"/>
  <c r="F102" i="14"/>
  <c r="N102" i="14"/>
  <c r="V102" i="14"/>
  <c r="F103" i="14"/>
  <c r="N103" i="14"/>
  <c r="V103" i="14"/>
  <c r="F104" i="14"/>
  <c r="N104" i="14"/>
  <c r="V104" i="14"/>
  <c r="F79" i="14"/>
  <c r="N79" i="14"/>
  <c r="V79" i="14"/>
  <c r="F80" i="14"/>
  <c r="N80" i="14"/>
  <c r="V80" i="14"/>
  <c r="F81" i="14"/>
  <c r="N81" i="14"/>
  <c r="V81" i="14"/>
  <c r="F82" i="14"/>
  <c r="N82" i="14"/>
  <c r="V82" i="14"/>
  <c r="F83" i="14"/>
  <c r="N83" i="14"/>
  <c r="V83" i="14"/>
  <c r="F84" i="14"/>
  <c r="N84" i="14"/>
  <c r="V84" i="14"/>
  <c r="F85" i="14"/>
  <c r="N85" i="14"/>
  <c r="V85" i="14"/>
  <c r="D86" i="14"/>
  <c r="H86" i="14"/>
  <c r="P86" i="14"/>
  <c r="X86" i="14"/>
  <c r="H97" i="14"/>
  <c r="P97" i="14"/>
  <c r="X97" i="14"/>
  <c r="H98" i="14"/>
  <c r="P98" i="14"/>
  <c r="X98" i="14"/>
  <c r="H99" i="14"/>
  <c r="P99" i="14"/>
  <c r="X99" i="14"/>
  <c r="H100" i="14"/>
  <c r="P100" i="14"/>
  <c r="X100" i="14"/>
  <c r="H101" i="14"/>
  <c r="P101" i="14"/>
  <c r="X101" i="14"/>
  <c r="H102" i="14"/>
  <c r="P102" i="14"/>
  <c r="X102" i="14"/>
  <c r="H103" i="14"/>
  <c r="P103" i="14"/>
  <c r="X103" i="14"/>
  <c r="H104" i="14"/>
  <c r="P104" i="14"/>
  <c r="X104" i="14"/>
  <c r="H79" i="14"/>
  <c r="P79" i="14"/>
  <c r="X79" i="14"/>
  <c r="H80" i="14"/>
  <c r="P80" i="14"/>
  <c r="X80" i="14"/>
  <c r="H81" i="14"/>
  <c r="P81" i="14"/>
  <c r="X81" i="14"/>
  <c r="H82" i="14"/>
  <c r="P82" i="14"/>
  <c r="X82" i="14"/>
  <c r="H83" i="14"/>
  <c r="P83" i="14"/>
  <c r="X83" i="14"/>
  <c r="H84" i="14"/>
  <c r="P84" i="14"/>
  <c r="X84" i="14"/>
  <c r="H85" i="14"/>
  <c r="P85" i="14"/>
  <c r="X85" i="14"/>
  <c r="J86" i="14"/>
  <c r="R86" i="14"/>
  <c r="B97" i="14"/>
  <c r="J97" i="14"/>
  <c r="R97" i="14"/>
  <c r="B98" i="14"/>
  <c r="J98" i="14"/>
  <c r="R98" i="14"/>
  <c r="B99" i="14"/>
  <c r="J99" i="14"/>
  <c r="R99" i="14"/>
  <c r="B100" i="14"/>
  <c r="J100" i="14"/>
  <c r="R100" i="14"/>
  <c r="B101" i="14"/>
  <c r="J101" i="14"/>
  <c r="R101" i="14"/>
  <c r="B102" i="14"/>
  <c r="J102" i="14"/>
  <c r="R102" i="14"/>
  <c r="B103" i="14"/>
  <c r="J103" i="14"/>
  <c r="R103" i="14"/>
  <c r="B104" i="14"/>
  <c r="J104" i="14"/>
  <c r="R104" i="14"/>
  <c r="B79" i="14"/>
  <c r="J80" i="14"/>
  <c r="R81" i="14"/>
  <c r="B83" i="14"/>
  <c r="J84" i="14"/>
  <c r="R85" i="14"/>
  <c r="F86" i="14"/>
  <c r="D97" i="14"/>
  <c r="L98" i="14"/>
  <c r="T99" i="14"/>
  <c r="D101" i="14"/>
  <c r="L102" i="14"/>
  <c r="T103" i="14"/>
  <c r="H106" i="14"/>
  <c r="P106" i="14"/>
  <c r="X106" i="14"/>
  <c r="H107" i="14"/>
  <c r="P107" i="14"/>
  <c r="X107" i="14"/>
  <c r="H108" i="14"/>
  <c r="P108" i="14"/>
  <c r="X108" i="14"/>
  <c r="H109" i="14"/>
  <c r="P109" i="14"/>
  <c r="X109" i="14"/>
  <c r="H110" i="14"/>
  <c r="P110" i="14"/>
  <c r="X110" i="14"/>
  <c r="H111" i="14"/>
  <c r="P111" i="14"/>
  <c r="X111" i="14"/>
  <c r="H112" i="14"/>
  <c r="P112" i="14"/>
  <c r="X112" i="14"/>
  <c r="H113" i="14"/>
  <c r="P113" i="14"/>
  <c r="X113" i="14"/>
  <c r="H88" i="14"/>
  <c r="P88" i="14"/>
  <c r="X88" i="14"/>
  <c r="H89" i="14"/>
  <c r="P89" i="14"/>
  <c r="X89" i="14"/>
  <c r="H90" i="14"/>
  <c r="P90" i="14"/>
  <c r="X90" i="14"/>
  <c r="H91" i="14"/>
  <c r="P91" i="14"/>
  <c r="X91" i="14"/>
  <c r="H92" i="14"/>
  <c r="P92" i="14"/>
  <c r="X92" i="14"/>
  <c r="H93" i="14"/>
  <c r="P93" i="14"/>
  <c r="X93" i="14"/>
  <c r="H94" i="14"/>
  <c r="P94" i="14"/>
  <c r="X94" i="14"/>
  <c r="H95" i="14"/>
  <c r="P95" i="14"/>
  <c r="X95" i="14"/>
  <c r="J79" i="14"/>
  <c r="R80" i="14"/>
  <c r="B82" i="14"/>
  <c r="J83" i="14"/>
  <c r="R84" i="14"/>
  <c r="B86" i="14"/>
  <c r="L97" i="14"/>
  <c r="T98" i="14"/>
  <c r="D100" i="14"/>
  <c r="L101" i="14"/>
  <c r="T102" i="14"/>
  <c r="D104" i="14"/>
  <c r="R79" i="14"/>
  <c r="B81" i="14"/>
  <c r="J82" i="14"/>
  <c r="R83" i="14"/>
  <c r="B85" i="14"/>
  <c r="L86" i="14"/>
  <c r="T97" i="14"/>
  <c r="D99" i="14"/>
  <c r="L100" i="14"/>
  <c r="T101" i="14"/>
  <c r="D103" i="14"/>
  <c r="L104" i="14"/>
  <c r="D106" i="14"/>
  <c r="L106" i="14"/>
  <c r="T106" i="14"/>
  <c r="D107" i="14"/>
  <c r="L107" i="14"/>
  <c r="T107" i="14"/>
  <c r="D108" i="14"/>
  <c r="L108" i="14"/>
  <c r="T108" i="14"/>
  <c r="D109" i="14"/>
  <c r="L109" i="14"/>
  <c r="T109" i="14"/>
  <c r="D110" i="14"/>
  <c r="L110" i="14"/>
  <c r="T110" i="14"/>
  <c r="D111" i="14"/>
  <c r="L111" i="14"/>
  <c r="T111" i="14"/>
  <c r="D112" i="14"/>
  <c r="L112" i="14"/>
  <c r="T112" i="14"/>
  <c r="D113" i="14"/>
  <c r="L113" i="14"/>
  <c r="T113" i="14"/>
  <c r="D88" i="14"/>
  <c r="L88" i="14"/>
  <c r="T88" i="14"/>
  <c r="D89" i="14"/>
  <c r="L89" i="14"/>
  <c r="T89" i="14"/>
  <c r="D90" i="14"/>
  <c r="L90" i="14"/>
  <c r="T90" i="14"/>
  <c r="D91" i="14"/>
  <c r="L91" i="14"/>
  <c r="T91" i="14"/>
  <c r="D92" i="14"/>
  <c r="L92" i="14"/>
  <c r="T92" i="14"/>
  <c r="D93" i="14"/>
  <c r="L93" i="14"/>
  <c r="T93" i="14"/>
  <c r="D94" i="14"/>
  <c r="L94" i="14"/>
  <c r="T94" i="14"/>
  <c r="D95" i="14"/>
  <c r="L95" i="14"/>
  <c r="T95" i="14"/>
  <c r="B80" i="14"/>
  <c r="J81" i="14"/>
  <c r="R82" i="14"/>
  <c r="B84" i="14"/>
  <c r="J85" i="14"/>
  <c r="T86" i="14"/>
  <c r="D98" i="14"/>
  <c r="L99" i="14"/>
  <c r="T100" i="14"/>
  <c r="D102" i="14"/>
  <c r="L103" i="14"/>
  <c r="T104" i="14"/>
  <c r="N106" i="14"/>
  <c r="F107" i="14"/>
  <c r="V107" i="14"/>
  <c r="N108" i="14"/>
  <c r="F109" i="14"/>
  <c r="V109" i="14"/>
  <c r="N110" i="14"/>
  <c r="F111" i="14"/>
  <c r="V111" i="14"/>
  <c r="N112" i="14"/>
  <c r="F113" i="14"/>
  <c r="V113" i="14"/>
  <c r="N88" i="14"/>
  <c r="F89" i="14"/>
  <c r="V89" i="14"/>
  <c r="N90" i="14"/>
  <c r="F91" i="14"/>
  <c r="V91" i="14"/>
  <c r="N92" i="14"/>
  <c r="F93" i="14"/>
  <c r="V93" i="14"/>
  <c r="N94" i="14"/>
  <c r="F95" i="14"/>
  <c r="V95" i="14"/>
  <c r="B106" i="14"/>
  <c r="R106" i="14"/>
  <c r="J107" i="14"/>
  <c r="B108" i="14"/>
  <c r="R108" i="14"/>
  <c r="J109" i="14"/>
  <c r="B110" i="14"/>
  <c r="R110" i="14"/>
  <c r="J111" i="14"/>
  <c r="B112" i="14"/>
  <c r="R112" i="14"/>
  <c r="J113" i="14"/>
  <c r="B88" i="14"/>
  <c r="R88" i="14"/>
  <c r="J89" i="14"/>
  <c r="B90" i="14"/>
  <c r="R90" i="14"/>
  <c r="J91" i="14"/>
  <c r="B92" i="14"/>
  <c r="R92" i="14"/>
  <c r="J93" i="14"/>
  <c r="B94" i="14"/>
  <c r="R94" i="14"/>
  <c r="J95" i="14"/>
  <c r="F106" i="14"/>
  <c r="V106" i="14"/>
  <c r="N107" i="14"/>
  <c r="F108" i="14"/>
  <c r="V108" i="14"/>
  <c r="N109" i="14"/>
  <c r="F110" i="14"/>
  <c r="V110" i="14"/>
  <c r="N111" i="14"/>
  <c r="F112" i="14"/>
  <c r="V112" i="14"/>
  <c r="N113" i="14"/>
  <c r="F88" i="14"/>
  <c r="V88" i="14"/>
  <c r="N89" i="14"/>
  <c r="F90" i="14"/>
  <c r="V90" i="14"/>
  <c r="N91" i="14"/>
  <c r="F92" i="14"/>
  <c r="V92" i="14"/>
  <c r="N93" i="14"/>
  <c r="F94" i="14"/>
  <c r="V94" i="14"/>
  <c r="N95" i="14"/>
  <c r="J106" i="14"/>
  <c r="B107" i="14"/>
  <c r="R107" i="14"/>
  <c r="J108" i="14"/>
  <c r="B109" i="14"/>
  <c r="R109" i="14"/>
  <c r="J110" i="14"/>
  <c r="B111" i="14"/>
  <c r="R111" i="14"/>
  <c r="J112" i="14"/>
  <c r="B113" i="14"/>
  <c r="R113" i="14"/>
  <c r="J88" i="14"/>
  <c r="B89" i="14"/>
  <c r="R89" i="14"/>
  <c r="J90" i="14"/>
  <c r="B91" i="14"/>
  <c r="R91" i="14"/>
  <c r="J92" i="14"/>
  <c r="B93" i="14"/>
  <c r="R93" i="14"/>
  <c r="J94" i="14"/>
  <c r="B95" i="14"/>
  <c r="R95" i="14"/>
  <c r="F136" i="14"/>
  <c r="N136" i="14"/>
  <c r="N146" i="14"/>
  <c r="O146" i="14"/>
  <c r="V136" i="14"/>
  <c r="V146" i="14"/>
  <c r="W146" i="14"/>
  <c r="B116" i="14"/>
  <c r="J116" i="14"/>
  <c r="R116" i="14"/>
  <c r="F117" i="14"/>
  <c r="N117" i="14"/>
  <c r="V117" i="14"/>
  <c r="D118" i="14"/>
  <c r="L118" i="14"/>
  <c r="T118" i="14"/>
  <c r="B119" i="14"/>
  <c r="J119" i="14"/>
  <c r="R119" i="14"/>
  <c r="H120" i="14"/>
  <c r="P120" i="14"/>
  <c r="X120" i="14"/>
  <c r="F121" i="14"/>
  <c r="N121" i="14"/>
  <c r="V121" i="14"/>
  <c r="D122" i="14"/>
  <c r="L122" i="14"/>
  <c r="T122" i="14"/>
  <c r="H124" i="14"/>
  <c r="P124" i="14"/>
  <c r="X124" i="14"/>
  <c r="F125" i="14"/>
  <c r="N125" i="14"/>
  <c r="V125" i="14"/>
  <c r="D126" i="14"/>
  <c r="L126" i="14"/>
  <c r="T126" i="14"/>
  <c r="B127" i="14"/>
  <c r="J127" i="14"/>
  <c r="J123" i="14"/>
  <c r="R127" i="14"/>
  <c r="H128" i="14"/>
  <c r="P128" i="14"/>
  <c r="X128" i="14"/>
  <c r="V144" i="14"/>
  <c r="W144" i="14"/>
  <c r="L144" i="14"/>
  <c r="M144" i="14"/>
  <c r="D144" i="14"/>
  <c r="E144" i="14"/>
  <c r="T131" i="14"/>
  <c r="T130" i="14"/>
  <c r="U131" i="14"/>
  <c r="H131" i="14"/>
  <c r="H130" i="14"/>
  <c r="I131" i="14"/>
  <c r="N128" i="14"/>
  <c r="D128" i="14"/>
  <c r="T127" i="14"/>
  <c r="H127" i="14"/>
  <c r="X126" i="14"/>
  <c r="N126" i="14"/>
  <c r="B126" i="14"/>
  <c r="R125" i="14"/>
  <c r="H125" i="14"/>
  <c r="V124" i="14"/>
  <c r="L124" i="14"/>
  <c r="B124" i="14"/>
  <c r="R122" i="14"/>
  <c r="H122" i="14"/>
  <c r="X121" i="14"/>
  <c r="L121" i="14"/>
  <c r="B121" i="14"/>
  <c r="R120" i="14"/>
  <c r="F120" i="14"/>
  <c r="V119" i="14"/>
  <c r="L119" i="14"/>
  <c r="P118" i="14"/>
  <c r="F118" i="14"/>
  <c r="T117" i="14"/>
  <c r="J117" i="14"/>
  <c r="B117" i="14"/>
  <c r="P116" i="14"/>
  <c r="F116" i="14"/>
  <c r="T136" i="14"/>
  <c r="T146" i="14"/>
  <c r="U146" i="14"/>
  <c r="J136" i="14"/>
  <c r="J146" i="14"/>
  <c r="K146" i="14"/>
  <c r="N144" i="14"/>
  <c r="O144" i="14"/>
  <c r="G59" i="18"/>
  <c r="M70" i="18"/>
  <c r="M43" i="19"/>
  <c r="M44" i="19"/>
  <c r="G45" i="19"/>
  <c r="M47" i="19"/>
  <c r="M48" i="19"/>
  <c r="S60" i="19"/>
  <c r="S10" i="19"/>
  <c r="S6" i="19"/>
  <c r="C46" i="19"/>
  <c r="C42" i="19"/>
  <c r="G134" i="19"/>
  <c r="V144" i="19"/>
  <c r="W144" i="19"/>
  <c r="H144" i="19"/>
  <c r="I144" i="19"/>
  <c r="D144" i="19"/>
  <c r="E144" i="19"/>
  <c r="T136" i="19"/>
  <c r="T146" i="19"/>
  <c r="U146" i="19"/>
  <c r="J136" i="19"/>
  <c r="J146" i="19"/>
  <c r="K146" i="19"/>
  <c r="V128" i="19"/>
  <c r="L128" i="19"/>
  <c r="P127" i="19"/>
  <c r="F127" i="19"/>
  <c r="T126" i="19"/>
  <c r="J126" i="19"/>
  <c r="N125" i="19"/>
  <c r="D125" i="19"/>
  <c r="T124" i="19"/>
  <c r="H124" i="19"/>
  <c r="P122" i="19"/>
  <c r="D122" i="19"/>
  <c r="T121" i="19"/>
  <c r="J121" i="19"/>
  <c r="X120" i="19"/>
  <c r="N120" i="19"/>
  <c r="D120" i="19"/>
  <c r="R119" i="19"/>
  <c r="H119" i="19"/>
  <c r="X118" i="19"/>
  <c r="L118" i="19"/>
  <c r="B118" i="19"/>
  <c r="R117" i="19"/>
  <c r="F117" i="19"/>
  <c r="V116" i="19"/>
  <c r="L116" i="19"/>
  <c r="W208" i="19"/>
  <c r="D207" i="19"/>
  <c r="Z208" i="19"/>
  <c r="Z207" i="19"/>
  <c r="R202" i="19"/>
  <c r="F202" i="19"/>
  <c r="R201" i="19"/>
  <c r="B201" i="19"/>
  <c r="N200" i="19"/>
  <c r="B200" i="19"/>
  <c r="L199" i="19"/>
  <c r="X198" i="19"/>
  <c r="J198" i="19"/>
  <c r="V196" i="19"/>
  <c r="J196" i="19"/>
  <c r="V195" i="19"/>
  <c r="F195" i="19"/>
  <c r="R194" i="19"/>
  <c r="F194" i="19"/>
  <c r="P193" i="19"/>
  <c r="B193" i="19"/>
  <c r="N192" i="19"/>
  <c r="X191" i="19"/>
  <c r="L191" i="19"/>
  <c r="X190" i="19"/>
  <c r="H190" i="19"/>
  <c r="F20" i="18"/>
  <c r="D57" i="14"/>
  <c r="D56" i="14"/>
  <c r="E57" i="14"/>
  <c r="N58" i="20"/>
  <c r="N59" i="20"/>
  <c r="C58" i="20"/>
  <c r="S47" i="23"/>
  <c r="S43" i="23"/>
  <c r="S42" i="23"/>
  <c r="S46" i="23"/>
  <c r="S44" i="23"/>
  <c r="S45" i="23"/>
  <c r="F123" i="23"/>
  <c r="V219" i="23"/>
  <c r="W219" i="23"/>
  <c r="W208" i="23"/>
  <c r="F79" i="13"/>
  <c r="N79" i="13"/>
  <c r="V79" i="13"/>
  <c r="F80" i="13"/>
  <c r="N80" i="13"/>
  <c r="V80" i="13"/>
  <c r="F81" i="13"/>
  <c r="N81" i="13"/>
  <c r="V81" i="13"/>
  <c r="F82" i="13"/>
  <c r="N82" i="13"/>
  <c r="V82" i="13"/>
  <c r="F83" i="13"/>
  <c r="N83" i="13"/>
  <c r="V83" i="13"/>
  <c r="F84" i="13"/>
  <c r="N84" i="13"/>
  <c r="V84" i="13"/>
  <c r="F85" i="13"/>
  <c r="N85" i="13"/>
  <c r="V85" i="13"/>
  <c r="F86" i="13"/>
  <c r="N86" i="13"/>
  <c r="V86" i="13"/>
  <c r="F97" i="13"/>
  <c r="N97" i="13"/>
  <c r="V97" i="13"/>
  <c r="F98" i="13"/>
  <c r="N98" i="13"/>
  <c r="V98" i="13"/>
  <c r="F99" i="13"/>
  <c r="N99" i="13"/>
  <c r="V99" i="13"/>
  <c r="F100" i="13"/>
  <c r="N100" i="13"/>
  <c r="V100" i="13"/>
  <c r="F101" i="13"/>
  <c r="N101" i="13"/>
  <c r="V101" i="13"/>
  <c r="F102" i="13"/>
  <c r="N102" i="13"/>
  <c r="V102" i="13"/>
  <c r="F103" i="13"/>
  <c r="N103" i="13"/>
  <c r="V103" i="13"/>
  <c r="F104" i="13"/>
  <c r="N104" i="13"/>
  <c r="V104" i="13"/>
  <c r="H79" i="13"/>
  <c r="P79" i="13"/>
  <c r="X79" i="13"/>
  <c r="H80" i="13"/>
  <c r="P80" i="13"/>
  <c r="X80" i="13"/>
  <c r="H81" i="13"/>
  <c r="P81" i="13"/>
  <c r="X81" i="13"/>
  <c r="H82" i="13"/>
  <c r="P82" i="13"/>
  <c r="X82" i="13"/>
  <c r="H83" i="13"/>
  <c r="P83" i="13"/>
  <c r="X83" i="13"/>
  <c r="H84" i="13"/>
  <c r="P84" i="13"/>
  <c r="X84" i="13"/>
  <c r="H85" i="13"/>
  <c r="P85" i="13"/>
  <c r="X85" i="13"/>
  <c r="H86" i="13"/>
  <c r="P86" i="13"/>
  <c r="X86" i="13"/>
  <c r="H97" i="13"/>
  <c r="P97" i="13"/>
  <c r="X97" i="13"/>
  <c r="H98" i="13"/>
  <c r="P98" i="13"/>
  <c r="X98" i="13"/>
  <c r="H99" i="13"/>
  <c r="P99" i="13"/>
  <c r="X99" i="13"/>
  <c r="H100" i="13"/>
  <c r="P100" i="13"/>
  <c r="X100" i="13"/>
  <c r="H101" i="13"/>
  <c r="P101" i="13"/>
  <c r="X101" i="13"/>
  <c r="H102" i="13"/>
  <c r="P102" i="13"/>
  <c r="X102" i="13"/>
  <c r="H103" i="13"/>
  <c r="P103" i="13"/>
  <c r="X103" i="13"/>
  <c r="H104" i="13"/>
  <c r="P104" i="13"/>
  <c r="X104" i="13"/>
  <c r="B79" i="13"/>
  <c r="J79" i="13"/>
  <c r="R79" i="13"/>
  <c r="B80" i="13"/>
  <c r="J80" i="13"/>
  <c r="R80" i="13"/>
  <c r="B81" i="13"/>
  <c r="J81" i="13"/>
  <c r="R81" i="13"/>
  <c r="B82" i="13"/>
  <c r="J82" i="13"/>
  <c r="R82" i="13"/>
  <c r="B83" i="13"/>
  <c r="J83" i="13"/>
  <c r="R83" i="13"/>
  <c r="B84" i="13"/>
  <c r="J84" i="13"/>
  <c r="R84" i="13"/>
  <c r="B85" i="13"/>
  <c r="J85" i="13"/>
  <c r="R85" i="13"/>
  <c r="B86" i="13"/>
  <c r="J86" i="13"/>
  <c r="R86" i="13"/>
  <c r="B97" i="13"/>
  <c r="J97" i="13"/>
  <c r="R97" i="13"/>
  <c r="B98" i="13"/>
  <c r="J98" i="13"/>
  <c r="R98" i="13"/>
  <c r="B99" i="13"/>
  <c r="J99" i="13"/>
  <c r="R99" i="13"/>
  <c r="B100" i="13"/>
  <c r="J100" i="13"/>
  <c r="R100" i="13"/>
  <c r="B101" i="13"/>
  <c r="J101" i="13"/>
  <c r="R101" i="13"/>
  <c r="B102" i="13"/>
  <c r="J102" i="13"/>
  <c r="R102" i="13"/>
  <c r="B103" i="13"/>
  <c r="J103" i="13"/>
  <c r="R103" i="13"/>
  <c r="B104" i="13"/>
  <c r="J104" i="13"/>
  <c r="R104" i="13"/>
  <c r="D79" i="13"/>
  <c r="L80" i="13"/>
  <c r="T81" i="13"/>
  <c r="D83" i="13"/>
  <c r="L84" i="13"/>
  <c r="T85" i="13"/>
  <c r="D97" i="13"/>
  <c r="L98" i="13"/>
  <c r="T99" i="13"/>
  <c r="D101" i="13"/>
  <c r="L102" i="13"/>
  <c r="T103" i="13"/>
  <c r="X110" i="13"/>
  <c r="X106" i="13"/>
  <c r="X92" i="13"/>
  <c r="X88" i="13"/>
  <c r="V110" i="13"/>
  <c r="V106" i="13"/>
  <c r="V92" i="13"/>
  <c r="V88" i="13"/>
  <c r="T110" i="13"/>
  <c r="T106" i="13"/>
  <c r="T92" i="13"/>
  <c r="T88" i="13"/>
  <c r="R110" i="13"/>
  <c r="R106" i="13"/>
  <c r="R92" i="13"/>
  <c r="R88" i="13"/>
  <c r="P110" i="13"/>
  <c r="P106" i="13"/>
  <c r="P92" i="13"/>
  <c r="P88" i="13"/>
  <c r="N110" i="13"/>
  <c r="N106" i="13"/>
  <c r="N92" i="13"/>
  <c r="N88" i="13"/>
  <c r="L110" i="13"/>
  <c r="L106" i="13"/>
  <c r="L92" i="13"/>
  <c r="L88" i="13"/>
  <c r="J110" i="13"/>
  <c r="J106" i="13"/>
  <c r="J92" i="13"/>
  <c r="J88" i="13"/>
  <c r="H110" i="13"/>
  <c r="H106" i="13"/>
  <c r="H92" i="13"/>
  <c r="H88" i="13"/>
  <c r="F110" i="13"/>
  <c r="F106" i="13"/>
  <c r="F92" i="13"/>
  <c r="F88" i="13"/>
  <c r="D110" i="13"/>
  <c r="D106" i="13"/>
  <c r="D92" i="13"/>
  <c r="D88" i="13"/>
  <c r="B110" i="13"/>
  <c r="B106" i="13"/>
  <c r="B92" i="13"/>
  <c r="B88" i="13"/>
  <c r="L79" i="13"/>
  <c r="T80" i="13"/>
  <c r="D82" i="13"/>
  <c r="L83" i="13"/>
  <c r="T84" i="13"/>
  <c r="D86" i="13"/>
  <c r="L97" i="13"/>
  <c r="T98" i="13"/>
  <c r="D100" i="13"/>
  <c r="L101" i="13"/>
  <c r="T102" i="13"/>
  <c r="D104" i="13"/>
  <c r="T79" i="13"/>
  <c r="D81" i="13"/>
  <c r="L82" i="13"/>
  <c r="T83" i="13"/>
  <c r="D85" i="13"/>
  <c r="L86" i="13"/>
  <c r="T97" i="13"/>
  <c r="D99" i="13"/>
  <c r="L100" i="13"/>
  <c r="T101" i="13"/>
  <c r="D103" i="13"/>
  <c r="L104" i="13"/>
  <c r="X112" i="13"/>
  <c r="X108" i="13"/>
  <c r="X94" i="13"/>
  <c r="X90" i="13"/>
  <c r="V112" i="13"/>
  <c r="V108" i="13"/>
  <c r="V94" i="13"/>
  <c r="V90" i="13"/>
  <c r="T112" i="13"/>
  <c r="T108" i="13"/>
  <c r="T94" i="13"/>
  <c r="T90" i="13"/>
  <c r="R112" i="13"/>
  <c r="R108" i="13"/>
  <c r="R94" i="13"/>
  <c r="R90" i="13"/>
  <c r="P112" i="13"/>
  <c r="P108" i="13"/>
  <c r="P94" i="13"/>
  <c r="P90" i="13"/>
  <c r="N112" i="13"/>
  <c r="N108" i="13"/>
  <c r="N94" i="13"/>
  <c r="N90" i="13"/>
  <c r="L112" i="13"/>
  <c r="L108" i="13"/>
  <c r="L94" i="13"/>
  <c r="L90" i="13"/>
  <c r="J112" i="13"/>
  <c r="J108" i="13"/>
  <c r="J94" i="13"/>
  <c r="J90" i="13"/>
  <c r="H112" i="13"/>
  <c r="H108" i="13"/>
  <c r="H94" i="13"/>
  <c r="H90" i="13"/>
  <c r="F112" i="13"/>
  <c r="F108" i="13"/>
  <c r="F94" i="13"/>
  <c r="F90" i="13"/>
  <c r="D112" i="13"/>
  <c r="D108" i="13"/>
  <c r="D94" i="13"/>
  <c r="D90" i="13"/>
  <c r="B108" i="13"/>
  <c r="B112" i="13"/>
  <c r="B90" i="13"/>
  <c r="B94" i="13"/>
  <c r="D80" i="13"/>
  <c r="L81" i="13"/>
  <c r="T82" i="13"/>
  <c r="D84" i="13"/>
  <c r="L85" i="13"/>
  <c r="T86" i="13"/>
  <c r="D98" i="13"/>
  <c r="L99" i="13"/>
  <c r="T100" i="13"/>
  <c r="D102" i="13"/>
  <c r="L103" i="13"/>
  <c r="T104" i="13"/>
  <c r="X107" i="13"/>
  <c r="X89" i="13"/>
  <c r="V107" i="13"/>
  <c r="V89" i="13"/>
  <c r="T107" i="13"/>
  <c r="T89" i="13"/>
  <c r="R107" i="13"/>
  <c r="R89" i="13"/>
  <c r="P107" i="13"/>
  <c r="P89" i="13"/>
  <c r="N107" i="13"/>
  <c r="N89" i="13"/>
  <c r="L107" i="13"/>
  <c r="L89" i="13"/>
  <c r="J107" i="13"/>
  <c r="J89" i="13"/>
  <c r="H107" i="13"/>
  <c r="H89" i="13"/>
  <c r="F107" i="13"/>
  <c r="F89" i="13"/>
  <c r="D107" i="13"/>
  <c r="D89" i="13"/>
  <c r="B113" i="13"/>
  <c r="B95" i="13"/>
  <c r="X113" i="13"/>
  <c r="X95" i="13"/>
  <c r="V113" i="13"/>
  <c r="V95" i="13"/>
  <c r="T113" i="13"/>
  <c r="T95" i="13"/>
  <c r="R113" i="13"/>
  <c r="R95" i="13"/>
  <c r="P113" i="13"/>
  <c r="P95" i="13"/>
  <c r="N113" i="13"/>
  <c r="N95" i="13"/>
  <c r="L113" i="13"/>
  <c r="L95" i="13"/>
  <c r="J113" i="13"/>
  <c r="J95" i="13"/>
  <c r="H113" i="13"/>
  <c r="H95" i="13"/>
  <c r="F113" i="13"/>
  <c r="F95" i="13"/>
  <c r="D113" i="13"/>
  <c r="D95" i="13"/>
  <c r="B107" i="13"/>
  <c r="B89" i="13"/>
  <c r="X111" i="13"/>
  <c r="X93" i="13"/>
  <c r="V111" i="13"/>
  <c r="V93" i="13"/>
  <c r="T111" i="13"/>
  <c r="T93" i="13"/>
  <c r="R111" i="13"/>
  <c r="R93" i="13"/>
  <c r="P111" i="13"/>
  <c r="P93" i="13"/>
  <c r="N111" i="13"/>
  <c r="N93" i="13"/>
  <c r="L111" i="13"/>
  <c r="L93" i="13"/>
  <c r="J111" i="13"/>
  <c r="J93" i="13"/>
  <c r="H111" i="13"/>
  <c r="H93" i="13"/>
  <c r="F111" i="13"/>
  <c r="F93" i="13"/>
  <c r="D111" i="13"/>
  <c r="D93" i="13"/>
  <c r="B109" i="13"/>
  <c r="B91" i="13"/>
  <c r="X109" i="13"/>
  <c r="X91" i="13"/>
  <c r="V109" i="13"/>
  <c r="V91" i="13"/>
  <c r="T109" i="13"/>
  <c r="T91" i="13"/>
  <c r="R109" i="13"/>
  <c r="R91" i="13"/>
  <c r="P109" i="13"/>
  <c r="P91" i="13"/>
  <c r="N109" i="13"/>
  <c r="N91" i="13"/>
  <c r="L109" i="13"/>
  <c r="L91" i="13"/>
  <c r="J109" i="13"/>
  <c r="J91" i="13"/>
  <c r="H109" i="13"/>
  <c r="H91" i="13"/>
  <c r="F109" i="13"/>
  <c r="F91" i="13"/>
  <c r="D109" i="13"/>
  <c r="D91" i="13"/>
  <c r="B111" i="13"/>
  <c r="B93" i="13"/>
  <c r="R128" i="13"/>
  <c r="J128" i="13"/>
  <c r="B128" i="13"/>
  <c r="T127" i="13"/>
  <c r="T123" i="13"/>
  <c r="L127" i="13"/>
  <c r="L123" i="13"/>
  <c r="D127" i="13"/>
  <c r="V126" i="13"/>
  <c r="V123" i="13"/>
  <c r="N126" i="13"/>
  <c r="N123" i="13"/>
  <c r="F126" i="13"/>
  <c r="X125" i="13"/>
  <c r="X123" i="13"/>
  <c r="P125" i="13"/>
  <c r="P123" i="13"/>
  <c r="H125" i="13"/>
  <c r="R124" i="13"/>
  <c r="J124" i="13"/>
  <c r="J123" i="13"/>
  <c r="R122" i="13"/>
  <c r="J122" i="13"/>
  <c r="B122" i="13"/>
  <c r="T121" i="13"/>
  <c r="L121" i="13"/>
  <c r="D121" i="13"/>
  <c r="V120" i="13"/>
  <c r="V115" i="13"/>
  <c r="N120" i="13"/>
  <c r="N115" i="13"/>
  <c r="F120" i="13"/>
  <c r="F115" i="13"/>
  <c r="X119" i="13"/>
  <c r="P119" i="13"/>
  <c r="H119" i="13"/>
  <c r="R118" i="13"/>
  <c r="J118" i="13"/>
  <c r="J115" i="13"/>
  <c r="B118" i="13"/>
  <c r="T117" i="13"/>
  <c r="T115" i="13"/>
  <c r="L117" i="13"/>
  <c r="X116" i="13"/>
  <c r="X115" i="13"/>
  <c r="P116" i="13"/>
  <c r="H116" i="13"/>
  <c r="F28" i="18"/>
  <c r="M70" i="20"/>
  <c r="M68" i="20"/>
  <c r="M59" i="20"/>
  <c r="M61" i="20"/>
  <c r="M56" i="20"/>
  <c r="N55" i="20"/>
  <c r="AA296" i="6"/>
  <c r="AA305" i="6"/>
  <c r="AA318" i="6"/>
  <c r="AA312" i="6"/>
  <c r="AA386" i="6"/>
  <c r="AA360" i="6"/>
  <c r="AA404" i="6"/>
  <c r="AA405" i="6"/>
  <c r="AA453" i="6"/>
  <c r="AA446" i="6"/>
  <c r="W45" i="23"/>
  <c r="W43" i="23"/>
  <c r="Z72" i="23"/>
  <c r="V123" i="23"/>
  <c r="O120" i="23"/>
  <c r="O116" i="23"/>
  <c r="O122" i="23"/>
  <c r="O118" i="23"/>
  <c r="O121" i="23"/>
  <c r="O119" i="23"/>
  <c r="O117" i="23"/>
  <c r="N123" i="23"/>
  <c r="N114" i="23"/>
  <c r="Z122" i="23"/>
  <c r="H219" i="23"/>
  <c r="I219" i="23"/>
  <c r="I208" i="23"/>
  <c r="F66" i="20"/>
  <c r="E49" i="21"/>
  <c r="H7" i="20"/>
  <c r="K7" i="20"/>
  <c r="M60" i="23"/>
  <c r="F146" i="23"/>
  <c r="G146" i="23"/>
  <c r="Z136" i="23"/>
  <c r="Z146" i="23"/>
  <c r="Z128" i="23"/>
  <c r="Z127" i="23"/>
  <c r="X123" i="23"/>
  <c r="H123" i="23"/>
  <c r="R123" i="23"/>
  <c r="J123" i="23"/>
  <c r="F219" i="23"/>
  <c r="G219" i="23"/>
  <c r="G208" i="23"/>
  <c r="N65" i="20"/>
  <c r="D52" i="21"/>
  <c r="H13" i="20"/>
  <c r="K13" i="20"/>
  <c r="H11" i="20"/>
  <c r="K11" i="20"/>
  <c r="H10" i="20"/>
  <c r="K10" i="20"/>
  <c r="H9" i="20"/>
  <c r="K9" i="20"/>
  <c r="G33" i="23"/>
  <c r="E60" i="23"/>
  <c r="O60" i="23"/>
  <c r="Y48" i="23"/>
  <c r="Y44" i="23"/>
  <c r="U46" i="23"/>
  <c r="X71" i="23"/>
  <c r="Y71" i="23"/>
  <c r="H71" i="23"/>
  <c r="I71" i="23"/>
  <c r="V145" i="23"/>
  <c r="W145" i="23"/>
  <c r="W134" i="23"/>
  <c r="Q134" i="23"/>
  <c r="P145" i="23"/>
  <c r="Q145" i="23"/>
  <c r="Z121" i="23"/>
  <c r="T219" i="23"/>
  <c r="U219" i="23"/>
  <c r="U208" i="23"/>
  <c r="L219" i="23"/>
  <c r="M219" i="23"/>
  <c r="M208" i="23"/>
  <c r="Z208" i="23"/>
  <c r="Z207" i="23"/>
  <c r="Z210" i="23"/>
  <c r="Z220" i="23"/>
  <c r="R202" i="23"/>
  <c r="H202" i="23"/>
  <c r="V201" i="23"/>
  <c r="L201" i="23"/>
  <c r="B201" i="23"/>
  <c r="P200" i="23"/>
  <c r="F200" i="23"/>
  <c r="V199" i="23"/>
  <c r="J199" i="23"/>
  <c r="P198" i="23"/>
  <c r="D198" i="23"/>
  <c r="V196" i="23"/>
  <c r="L196" i="23"/>
  <c r="P195" i="23"/>
  <c r="F195" i="23"/>
  <c r="T194" i="23"/>
  <c r="J194" i="23"/>
  <c r="N193" i="23"/>
  <c r="D193" i="23"/>
  <c r="T192" i="23"/>
  <c r="H192" i="23"/>
  <c r="X191" i="23"/>
  <c r="N191" i="23"/>
  <c r="B191" i="23"/>
  <c r="R190" i="23"/>
  <c r="H190" i="23"/>
  <c r="AA450" i="6"/>
  <c r="Z50" i="23"/>
  <c r="AA488" i="6"/>
  <c r="AA475" i="6"/>
  <c r="AA503" i="6"/>
  <c r="AA494" i="6"/>
  <c r="AA544" i="6"/>
  <c r="AA550" i="6"/>
  <c r="AA566" i="6"/>
  <c r="AA617" i="6"/>
  <c r="Z60" i="23"/>
  <c r="Z119" i="23"/>
  <c r="X115" i="23"/>
  <c r="P115" i="23"/>
  <c r="H115" i="23"/>
  <c r="Z218" i="23"/>
  <c r="B218" i="23"/>
  <c r="C218" i="23"/>
  <c r="F218" i="23"/>
  <c r="G218" i="23"/>
  <c r="N218" i="23"/>
  <c r="O218" i="23"/>
  <c r="V218" i="23"/>
  <c r="W218" i="23"/>
  <c r="P202" i="23"/>
  <c r="D202" i="23"/>
  <c r="T201" i="23"/>
  <c r="J201" i="23"/>
  <c r="X200" i="23"/>
  <c r="N200" i="23"/>
  <c r="D200" i="23"/>
  <c r="R199" i="23"/>
  <c r="H199" i="23"/>
  <c r="X198" i="23"/>
  <c r="L198" i="23"/>
  <c r="B198" i="23"/>
  <c r="T196" i="23"/>
  <c r="H196" i="23"/>
  <c r="X195" i="23"/>
  <c r="N195" i="23"/>
  <c r="B195" i="23"/>
  <c r="R194" i="23"/>
  <c r="H194" i="23"/>
  <c r="V193" i="23"/>
  <c r="L193" i="23"/>
  <c r="B193" i="23"/>
  <c r="P192" i="23"/>
  <c r="F192" i="23"/>
  <c r="V191" i="23"/>
  <c r="J191" i="23"/>
  <c r="P190" i="23"/>
  <c r="AA457" i="6"/>
  <c r="AA603" i="6"/>
  <c r="AA758" i="6"/>
  <c r="AA532" i="6"/>
  <c r="AA523" i="6"/>
  <c r="AA610" i="6"/>
  <c r="AA580" i="6"/>
  <c r="Z46" i="23"/>
  <c r="AB46" i="23"/>
  <c r="F153" i="23"/>
  <c r="N153" i="23"/>
  <c r="V153" i="23"/>
  <c r="F154" i="23"/>
  <c r="N154" i="23"/>
  <c r="V154" i="23"/>
  <c r="F155" i="23"/>
  <c r="N155" i="23"/>
  <c r="V155" i="23"/>
  <c r="F156" i="23"/>
  <c r="N156" i="23"/>
  <c r="V156" i="23"/>
  <c r="F157" i="23"/>
  <c r="N157" i="23"/>
  <c r="V157" i="23"/>
  <c r="F158" i="23"/>
  <c r="N158" i="23"/>
  <c r="V158" i="23"/>
  <c r="F159" i="23"/>
  <c r="N159" i="23"/>
  <c r="V159" i="23"/>
  <c r="F160" i="23"/>
  <c r="N160" i="23"/>
  <c r="V160" i="23"/>
  <c r="F171" i="23"/>
  <c r="N171" i="23"/>
  <c r="V171" i="23"/>
  <c r="F172" i="23"/>
  <c r="N172" i="23"/>
  <c r="V172" i="23"/>
  <c r="F173" i="23"/>
  <c r="G114" i="23"/>
  <c r="N173" i="23"/>
  <c r="O114" i="23"/>
  <c r="V173" i="23"/>
  <c r="W114" i="23"/>
  <c r="F174" i="23"/>
  <c r="N174" i="23"/>
  <c r="V174" i="23"/>
  <c r="F175" i="23"/>
  <c r="N175" i="23"/>
  <c r="V175" i="23"/>
  <c r="F176" i="23"/>
  <c r="N176" i="23"/>
  <c r="V176" i="23"/>
  <c r="F177" i="23"/>
  <c r="N177" i="23"/>
  <c r="V177" i="23"/>
  <c r="F178" i="23"/>
  <c r="N178" i="23"/>
  <c r="V178" i="23"/>
  <c r="F187" i="23"/>
  <c r="N187" i="23"/>
  <c r="V187" i="23"/>
  <c r="X182" i="23"/>
  <c r="X186" i="23"/>
  <c r="V183" i="23"/>
  <c r="T180" i="23"/>
  <c r="T184" i="23"/>
  <c r="R181" i="23"/>
  <c r="R185" i="23"/>
  <c r="P182" i="23"/>
  <c r="P186" i="23"/>
  <c r="N183" i="23"/>
  <c r="L180" i="23"/>
  <c r="L184" i="23"/>
  <c r="J181" i="23"/>
  <c r="J185" i="23"/>
  <c r="H182" i="23"/>
  <c r="H186" i="23"/>
  <c r="F183" i="23"/>
  <c r="D180" i="23"/>
  <c r="D184" i="23"/>
  <c r="B181" i="23"/>
  <c r="B185" i="23"/>
  <c r="X164" i="23"/>
  <c r="X168" i="23"/>
  <c r="V164" i="23"/>
  <c r="V168" i="23"/>
  <c r="T164" i="23"/>
  <c r="T168" i="23"/>
  <c r="R164" i="23"/>
  <c r="R168" i="23"/>
  <c r="P164" i="23"/>
  <c r="P168" i="23"/>
  <c r="N164" i="23"/>
  <c r="N168" i="23"/>
  <c r="L164" i="23"/>
  <c r="L168" i="23"/>
  <c r="J164" i="23"/>
  <c r="J168" i="23"/>
  <c r="H164" i="23"/>
  <c r="H168" i="23"/>
  <c r="F164" i="23"/>
  <c r="F168" i="23"/>
  <c r="D164" i="23"/>
  <c r="D168" i="23"/>
  <c r="B164" i="23"/>
  <c r="B168" i="23"/>
  <c r="D153" i="23"/>
  <c r="P153" i="23"/>
  <c r="B154" i="23"/>
  <c r="L154" i="23"/>
  <c r="X154" i="23"/>
  <c r="J155" i="23"/>
  <c r="T155" i="23"/>
  <c r="H156" i="23"/>
  <c r="R156" i="23"/>
  <c r="D157" i="23"/>
  <c r="P157" i="23"/>
  <c r="B158" i="23"/>
  <c r="L158" i="23"/>
  <c r="X158" i="23"/>
  <c r="J159" i="23"/>
  <c r="T159" i="23"/>
  <c r="H160" i="23"/>
  <c r="R160" i="23"/>
  <c r="D171" i="23"/>
  <c r="P171" i="23"/>
  <c r="B172" i="23"/>
  <c r="L172" i="23"/>
  <c r="X172" i="23"/>
  <c r="J173" i="23"/>
  <c r="K114" i="23"/>
  <c r="T173" i="23"/>
  <c r="U114" i="23"/>
  <c r="H174" i="23"/>
  <c r="R174" i="23"/>
  <c r="D175" i="23"/>
  <c r="P175" i="23"/>
  <c r="B176" i="23"/>
  <c r="L176" i="23"/>
  <c r="X176" i="23"/>
  <c r="J177" i="23"/>
  <c r="T177" i="23"/>
  <c r="H178" i="23"/>
  <c r="R178" i="23"/>
  <c r="D187" i="23"/>
  <c r="P187" i="23"/>
  <c r="X180" i="23"/>
  <c r="X185" i="23"/>
  <c r="V184" i="23"/>
  <c r="T182" i="23"/>
  <c r="R180" i="23"/>
  <c r="R186" i="23"/>
  <c r="P184" i="23"/>
  <c r="N182" i="23"/>
  <c r="L181" i="23"/>
  <c r="L186" i="23"/>
  <c r="J184" i="23"/>
  <c r="H183" i="23"/>
  <c r="F181" i="23"/>
  <c r="F186" i="23"/>
  <c r="D185" i="23"/>
  <c r="B183" i="23"/>
  <c r="X163" i="23"/>
  <c r="X169" i="23"/>
  <c r="V166" i="23"/>
  <c r="T163" i="23"/>
  <c r="T169" i="23"/>
  <c r="R166" i="23"/>
  <c r="P163" i="23"/>
  <c r="P169" i="23"/>
  <c r="N166" i="23"/>
  <c r="L163" i="23"/>
  <c r="L169" i="23"/>
  <c r="J166" i="23"/>
  <c r="H163" i="23"/>
  <c r="H169" i="23"/>
  <c r="F166" i="23"/>
  <c r="D163" i="23"/>
  <c r="D169" i="23"/>
  <c r="B166" i="23"/>
  <c r="H153" i="23"/>
  <c r="R153" i="23"/>
  <c r="D154" i="23"/>
  <c r="P154" i="23"/>
  <c r="B155" i="23"/>
  <c r="L155" i="23"/>
  <c r="X155" i="23"/>
  <c r="J156" i="23"/>
  <c r="T156" i="23"/>
  <c r="H157" i="23"/>
  <c r="R157" i="23"/>
  <c r="D158" i="23"/>
  <c r="P158" i="23"/>
  <c r="B159" i="23"/>
  <c r="L159" i="23"/>
  <c r="X159" i="23"/>
  <c r="J160" i="23"/>
  <c r="T160" i="23"/>
  <c r="H171" i="23"/>
  <c r="R171" i="23"/>
  <c r="D172" i="23"/>
  <c r="P172" i="23"/>
  <c r="B173" i="23"/>
  <c r="L173" i="23"/>
  <c r="M114" i="23"/>
  <c r="X173" i="23"/>
  <c r="Y114" i="23"/>
  <c r="J174" i="23"/>
  <c r="T174" i="23"/>
  <c r="H175" i="23"/>
  <c r="R175" i="23"/>
  <c r="D176" i="23"/>
  <c r="P176" i="23"/>
  <c r="B177" i="23"/>
  <c r="L177" i="23"/>
  <c r="X177" i="23"/>
  <c r="J178" i="23"/>
  <c r="T178" i="23"/>
  <c r="H187" i="23"/>
  <c r="R187" i="23"/>
  <c r="X181" i="23"/>
  <c r="V180" i="23"/>
  <c r="V185" i="23"/>
  <c r="T183" i="23"/>
  <c r="R182" i="23"/>
  <c r="P180" i="23"/>
  <c r="P185" i="23"/>
  <c r="N184" i="23"/>
  <c r="L182" i="23"/>
  <c r="J180" i="23"/>
  <c r="J186" i="23"/>
  <c r="H184" i="23"/>
  <c r="F182" i="23"/>
  <c r="D181" i="23"/>
  <c r="D186" i="23"/>
  <c r="B184" i="23"/>
  <c r="X165" i="23"/>
  <c r="V162" i="23"/>
  <c r="V167" i="23"/>
  <c r="T165" i="23"/>
  <c r="R162" i="23"/>
  <c r="R167" i="23"/>
  <c r="P165" i="23"/>
  <c r="N162" i="23"/>
  <c r="N167" i="23"/>
  <c r="L165" i="23"/>
  <c r="J162" i="23"/>
  <c r="J167" i="23"/>
  <c r="H165" i="23"/>
  <c r="F162" i="23"/>
  <c r="F167" i="23"/>
  <c r="D165" i="23"/>
  <c r="B162" i="23"/>
  <c r="B167" i="23"/>
  <c r="J153" i="23"/>
  <c r="H154" i="23"/>
  <c r="D155" i="23"/>
  <c r="B156" i="23"/>
  <c r="X156" i="23"/>
  <c r="T157" i="23"/>
  <c r="R158" i="23"/>
  <c r="P159" i="23"/>
  <c r="L160" i="23"/>
  <c r="J171" i="23"/>
  <c r="H172" i="23"/>
  <c r="D173" i="23"/>
  <c r="B174" i="23"/>
  <c r="X174" i="23"/>
  <c r="T175" i="23"/>
  <c r="R176" i="23"/>
  <c r="P177" i="23"/>
  <c r="L178" i="23"/>
  <c r="J187" i="23"/>
  <c r="X183" i="23"/>
  <c r="V186" i="23"/>
  <c r="R183" i="23"/>
  <c r="N180" i="23"/>
  <c r="L183" i="23"/>
  <c r="H180" i="23"/>
  <c r="F184" i="23"/>
  <c r="B180" i="23"/>
  <c r="X166" i="23"/>
  <c r="V169" i="23"/>
  <c r="R163" i="23"/>
  <c r="P166" i="23"/>
  <c r="N169" i="23"/>
  <c r="J163" i="23"/>
  <c r="H166" i="23"/>
  <c r="F169" i="23"/>
  <c r="B163" i="23"/>
  <c r="L153" i="23"/>
  <c r="J154" i="23"/>
  <c r="H155" i="23"/>
  <c r="D156" i="23"/>
  <c r="B157" i="23"/>
  <c r="X157" i="23"/>
  <c r="T158" i="23"/>
  <c r="R159" i="23"/>
  <c r="P160" i="23"/>
  <c r="L171" i="23"/>
  <c r="J172" i="23"/>
  <c r="H173" i="23"/>
  <c r="I114" i="23"/>
  <c r="D174" i="23"/>
  <c r="B175" i="23"/>
  <c r="X175" i="23"/>
  <c r="T176" i="23"/>
  <c r="R177" i="23"/>
  <c r="P178" i="23"/>
  <c r="L187" i="23"/>
  <c r="X184" i="23"/>
  <c r="T181" i="23"/>
  <c r="R184" i="23"/>
  <c r="N181" i="23"/>
  <c r="L185" i="23"/>
  <c r="H181" i="23"/>
  <c r="F185" i="23"/>
  <c r="B182" i="23"/>
  <c r="X167" i="23"/>
  <c r="T162" i="23"/>
  <c r="R165" i="23"/>
  <c r="P167" i="23"/>
  <c r="L162" i="23"/>
  <c r="J165" i="23"/>
  <c r="H167" i="23"/>
  <c r="D162" i="23"/>
  <c r="B165" i="23"/>
  <c r="T153" i="23"/>
  <c r="R154" i="23"/>
  <c r="P155" i="23"/>
  <c r="L156" i="23"/>
  <c r="J157" i="23"/>
  <c r="H158" i="23"/>
  <c r="D159" i="23"/>
  <c r="B160" i="23"/>
  <c r="X160" i="23"/>
  <c r="T171" i="23"/>
  <c r="R172" i="23"/>
  <c r="P173" i="23"/>
  <c r="Q114" i="23"/>
  <c r="L174" i="23"/>
  <c r="J175" i="23"/>
  <c r="H176" i="23"/>
  <c r="D177" i="23"/>
  <c r="B178" i="23"/>
  <c r="X178" i="23"/>
  <c r="T187" i="23"/>
  <c r="V181" i="23"/>
  <c r="T185" i="23"/>
  <c r="P181" i="23"/>
  <c r="N185" i="23"/>
  <c r="J182" i="23"/>
  <c r="H185" i="23"/>
  <c r="D182" i="23"/>
  <c r="B186" i="23"/>
  <c r="V163" i="23"/>
  <c r="T166" i="23"/>
  <c r="R169" i="23"/>
  <c r="N163" i="23"/>
  <c r="L166" i="23"/>
  <c r="J169" i="23"/>
  <c r="F163" i="23"/>
  <c r="D166" i="23"/>
  <c r="B169" i="23"/>
  <c r="B153" i="23"/>
  <c r="X153" i="23"/>
  <c r="T154" i="23"/>
  <c r="R155" i="23"/>
  <c r="P156" i="23"/>
  <c r="L157" i="23"/>
  <c r="J158" i="23"/>
  <c r="H159" i="23"/>
  <c r="D160" i="23"/>
  <c r="B171" i="23"/>
  <c r="X171" i="23"/>
  <c r="T172" i="23"/>
  <c r="R173" i="23"/>
  <c r="S114" i="23"/>
  <c r="P174" i="23"/>
  <c r="L175" i="23"/>
  <c r="J176" i="23"/>
  <c r="H177" i="23"/>
  <c r="D178" i="23"/>
  <c r="B187" i="23"/>
  <c r="X187" i="23"/>
  <c r="V182" i="23"/>
  <c r="T186" i="23"/>
  <c r="P183" i="23"/>
  <c r="N186" i="23"/>
  <c r="J183" i="23"/>
  <c r="F180" i="23"/>
  <c r="D183" i="23"/>
  <c r="X162" i="23"/>
  <c r="V165" i="23"/>
  <c r="T167" i="23"/>
  <c r="P162" i="23"/>
  <c r="N165" i="23"/>
  <c r="L167" i="23"/>
  <c r="H162" i="23"/>
  <c r="F165" i="23"/>
  <c r="D167" i="23"/>
  <c r="F190" i="23"/>
  <c r="N190" i="23"/>
  <c r="V190" i="23"/>
  <c r="D191" i="23"/>
  <c r="L191" i="23"/>
  <c r="T191" i="23"/>
  <c r="B192" i="23"/>
  <c r="J192" i="23"/>
  <c r="R192" i="23"/>
  <c r="H193" i="23"/>
  <c r="P193" i="23"/>
  <c r="X193" i="23"/>
  <c r="F194" i="23"/>
  <c r="N194" i="23"/>
  <c r="V194" i="23"/>
  <c r="D195" i="23"/>
  <c r="L195" i="23"/>
  <c r="T195" i="23"/>
  <c r="B196" i="23"/>
  <c r="J196" i="23"/>
  <c r="R196" i="23"/>
  <c r="F198" i="23"/>
  <c r="N198" i="23"/>
  <c r="V198" i="23"/>
  <c r="D199" i="23"/>
  <c r="L199" i="23"/>
  <c r="T199" i="23"/>
  <c r="B200" i="23"/>
  <c r="J200" i="23"/>
  <c r="R200" i="23"/>
  <c r="H201" i="23"/>
  <c r="P201" i="23"/>
  <c r="X201" i="23"/>
  <c r="F202" i="23"/>
  <c r="N202" i="23"/>
  <c r="V202" i="23"/>
  <c r="D28" i="20"/>
  <c r="E28" i="20"/>
  <c r="Z52" i="23"/>
  <c r="AB52" i="23"/>
  <c r="Z47" i="23"/>
  <c r="AB47" i="23"/>
  <c r="T202" i="23"/>
  <c r="J202" i="23"/>
  <c r="N201" i="23"/>
  <c r="D201" i="23"/>
  <c r="T200" i="23"/>
  <c r="H200" i="23"/>
  <c r="X199" i="23"/>
  <c r="N199" i="23"/>
  <c r="B199" i="23"/>
  <c r="R198" i="23"/>
  <c r="H198" i="23"/>
  <c r="X196" i="23"/>
  <c r="N196" i="23"/>
  <c r="D196" i="23"/>
  <c r="R195" i="23"/>
  <c r="H195" i="23"/>
  <c r="X194" i="23"/>
  <c r="L194" i="23"/>
  <c r="B194" i="23"/>
  <c r="R193" i="23"/>
  <c r="F193" i="23"/>
  <c r="V192" i="23"/>
  <c r="L192" i="23"/>
  <c r="P191" i="23"/>
  <c r="F191" i="23"/>
  <c r="T190" i="23"/>
  <c r="J190" i="23"/>
  <c r="AA565" i="6"/>
  <c r="AA608" i="6"/>
  <c r="AA614" i="6"/>
  <c r="Z48" i="23"/>
  <c r="AB48" i="23"/>
  <c r="D9" i="28"/>
  <c r="D10" i="28"/>
  <c r="E9" i="28"/>
  <c r="AA672" i="6"/>
  <c r="AA678" i="6"/>
  <c r="AA691" i="6"/>
  <c r="F79" i="23"/>
  <c r="N79" i="23"/>
  <c r="V79" i="23"/>
  <c r="F80" i="23"/>
  <c r="N80" i="23"/>
  <c r="V80" i="23"/>
  <c r="F81" i="23"/>
  <c r="N81" i="23"/>
  <c r="V81" i="23"/>
  <c r="F82" i="23"/>
  <c r="N82" i="23"/>
  <c r="V82" i="23"/>
  <c r="F83" i="23"/>
  <c r="N83" i="23"/>
  <c r="V83" i="23"/>
  <c r="F84" i="23"/>
  <c r="N84" i="23"/>
  <c r="V84" i="23"/>
  <c r="F85" i="23"/>
  <c r="N85" i="23"/>
  <c r="V85" i="23"/>
  <c r="F86" i="23"/>
  <c r="N86" i="23"/>
  <c r="V86" i="23"/>
  <c r="F97" i="23"/>
  <c r="N97" i="23"/>
  <c r="V97" i="23"/>
  <c r="F98" i="23"/>
  <c r="N98" i="23"/>
  <c r="V98" i="23"/>
  <c r="F99" i="23"/>
  <c r="N99" i="23"/>
  <c r="V99" i="23"/>
  <c r="F100" i="23"/>
  <c r="N100" i="23"/>
  <c r="V100" i="23"/>
  <c r="F101" i="23"/>
  <c r="N101" i="23"/>
  <c r="V101" i="23"/>
  <c r="F102" i="23"/>
  <c r="N102" i="23"/>
  <c r="V102" i="23"/>
  <c r="F103" i="23"/>
  <c r="N103" i="23"/>
  <c r="V103" i="23"/>
  <c r="F104" i="23"/>
  <c r="N104" i="23"/>
  <c r="V104" i="23"/>
  <c r="F106" i="23"/>
  <c r="N106" i="23"/>
  <c r="V106" i="23"/>
  <c r="F107" i="23"/>
  <c r="N107" i="23"/>
  <c r="V107" i="23"/>
  <c r="F108" i="23"/>
  <c r="N108" i="23"/>
  <c r="V108" i="23"/>
  <c r="F109" i="23"/>
  <c r="N109" i="23"/>
  <c r="V109" i="23"/>
  <c r="F110" i="23"/>
  <c r="N110" i="23"/>
  <c r="V110" i="23"/>
  <c r="F111" i="23"/>
  <c r="N111" i="23"/>
  <c r="V111" i="23"/>
  <c r="F112" i="23"/>
  <c r="N112" i="23"/>
  <c r="V112" i="23"/>
  <c r="F113" i="23"/>
  <c r="N113" i="23"/>
  <c r="V113" i="23"/>
  <c r="F88" i="23"/>
  <c r="N88" i="23"/>
  <c r="D79" i="23"/>
  <c r="P79" i="23"/>
  <c r="B80" i="23"/>
  <c r="L80" i="23"/>
  <c r="X80" i="23"/>
  <c r="J81" i="23"/>
  <c r="T81" i="23"/>
  <c r="H82" i="23"/>
  <c r="R82" i="23"/>
  <c r="D83" i="23"/>
  <c r="P83" i="23"/>
  <c r="B84" i="23"/>
  <c r="L84" i="23"/>
  <c r="X84" i="23"/>
  <c r="J85" i="23"/>
  <c r="T85" i="23"/>
  <c r="H86" i="23"/>
  <c r="R86" i="23"/>
  <c r="D97" i="23"/>
  <c r="P97" i="23"/>
  <c r="B98" i="23"/>
  <c r="L98" i="23"/>
  <c r="X98" i="23"/>
  <c r="J99" i="23"/>
  <c r="T99" i="23"/>
  <c r="H100" i="23"/>
  <c r="R100" i="23"/>
  <c r="D101" i="23"/>
  <c r="P101" i="23"/>
  <c r="B102" i="23"/>
  <c r="L102" i="23"/>
  <c r="X102" i="23"/>
  <c r="J103" i="23"/>
  <c r="T103" i="23"/>
  <c r="H104" i="23"/>
  <c r="R104" i="23"/>
  <c r="D106" i="23"/>
  <c r="P106" i="23"/>
  <c r="B107" i="23"/>
  <c r="L107" i="23"/>
  <c r="X107" i="23"/>
  <c r="J108" i="23"/>
  <c r="T108" i="23"/>
  <c r="H109" i="23"/>
  <c r="R109" i="23"/>
  <c r="D110" i="23"/>
  <c r="P110" i="23"/>
  <c r="B111" i="23"/>
  <c r="L111" i="23"/>
  <c r="X111" i="23"/>
  <c r="J112" i="23"/>
  <c r="T112" i="23"/>
  <c r="H113" i="23"/>
  <c r="R113" i="23"/>
  <c r="D88" i="23"/>
  <c r="P88" i="23"/>
  <c r="X88" i="23"/>
  <c r="H89" i="23"/>
  <c r="P89" i="23"/>
  <c r="X89" i="23"/>
  <c r="H90" i="23"/>
  <c r="P90" i="23"/>
  <c r="X90" i="23"/>
  <c r="H91" i="23"/>
  <c r="P91" i="23"/>
  <c r="X91" i="23"/>
  <c r="H92" i="23"/>
  <c r="P92" i="23"/>
  <c r="X92" i="23"/>
  <c r="H93" i="23"/>
  <c r="P93" i="23"/>
  <c r="X93" i="23"/>
  <c r="H94" i="23"/>
  <c r="P94" i="23"/>
  <c r="X94" i="23"/>
  <c r="H95" i="23"/>
  <c r="P95" i="23"/>
  <c r="X95" i="23"/>
  <c r="H79" i="23"/>
  <c r="R79" i="23"/>
  <c r="D80" i="23"/>
  <c r="P80" i="23"/>
  <c r="B81" i="23"/>
  <c r="L81" i="23"/>
  <c r="X81" i="23"/>
  <c r="J82" i="23"/>
  <c r="T82" i="23"/>
  <c r="H83" i="23"/>
  <c r="R83" i="23"/>
  <c r="D84" i="23"/>
  <c r="P84" i="23"/>
  <c r="B85" i="23"/>
  <c r="L85" i="23"/>
  <c r="X85" i="23"/>
  <c r="J86" i="23"/>
  <c r="T86" i="23"/>
  <c r="H97" i="23"/>
  <c r="R97" i="23"/>
  <c r="D98" i="23"/>
  <c r="P98" i="23"/>
  <c r="B99" i="23"/>
  <c r="L99" i="23"/>
  <c r="X99" i="23"/>
  <c r="J100" i="23"/>
  <c r="T100" i="23"/>
  <c r="H101" i="23"/>
  <c r="R101" i="23"/>
  <c r="D102" i="23"/>
  <c r="P102" i="23"/>
  <c r="B103" i="23"/>
  <c r="L103" i="23"/>
  <c r="X103" i="23"/>
  <c r="J104" i="23"/>
  <c r="T104" i="23"/>
  <c r="H106" i="23"/>
  <c r="R106" i="23"/>
  <c r="D107" i="23"/>
  <c r="P107" i="23"/>
  <c r="B108" i="23"/>
  <c r="L108" i="23"/>
  <c r="X108" i="23"/>
  <c r="J109" i="23"/>
  <c r="T109" i="23"/>
  <c r="H110" i="23"/>
  <c r="R110" i="23"/>
  <c r="D111" i="23"/>
  <c r="P111" i="23"/>
  <c r="B112" i="23"/>
  <c r="L112" i="23"/>
  <c r="X112" i="23"/>
  <c r="J113" i="23"/>
  <c r="T113" i="23"/>
  <c r="H88" i="23"/>
  <c r="R88" i="23"/>
  <c r="B89" i="23"/>
  <c r="J89" i="23"/>
  <c r="R89" i="23"/>
  <c r="B90" i="23"/>
  <c r="J90" i="23"/>
  <c r="R90" i="23"/>
  <c r="B91" i="23"/>
  <c r="J91" i="23"/>
  <c r="R91" i="23"/>
  <c r="B92" i="23"/>
  <c r="J92" i="23"/>
  <c r="R92" i="23"/>
  <c r="B93" i="23"/>
  <c r="J93" i="23"/>
  <c r="R93" i="23"/>
  <c r="B94" i="23"/>
  <c r="J94" i="23"/>
  <c r="R94" i="23"/>
  <c r="B95" i="23"/>
  <c r="J95" i="23"/>
  <c r="R95" i="23"/>
  <c r="J79" i="23"/>
  <c r="H80" i="23"/>
  <c r="D81" i="23"/>
  <c r="B82" i="23"/>
  <c r="X82" i="23"/>
  <c r="T83" i="23"/>
  <c r="R84" i="23"/>
  <c r="P85" i="23"/>
  <c r="L86" i="23"/>
  <c r="J97" i="23"/>
  <c r="H98" i="23"/>
  <c r="D99" i="23"/>
  <c r="B100" i="23"/>
  <c r="X100" i="23"/>
  <c r="T101" i="23"/>
  <c r="R102" i="23"/>
  <c r="P103" i="23"/>
  <c r="L104" i="23"/>
  <c r="J106" i="23"/>
  <c r="H107" i="23"/>
  <c r="D108" i="23"/>
  <c r="B109" i="23"/>
  <c r="X109" i="23"/>
  <c r="T110" i="23"/>
  <c r="R111" i="23"/>
  <c r="P112" i="23"/>
  <c r="L113" i="23"/>
  <c r="J88" i="23"/>
  <c r="D89" i="23"/>
  <c r="T89" i="23"/>
  <c r="L90" i="23"/>
  <c r="D91" i="23"/>
  <c r="T91" i="23"/>
  <c r="L92" i="23"/>
  <c r="D93" i="23"/>
  <c r="T93" i="23"/>
  <c r="L94" i="23"/>
  <c r="D95" i="23"/>
  <c r="T95" i="23"/>
  <c r="L79" i="23"/>
  <c r="J80" i="23"/>
  <c r="H81" i="23"/>
  <c r="D82" i="23"/>
  <c r="B83" i="23"/>
  <c r="X83" i="23"/>
  <c r="T84" i="23"/>
  <c r="R85" i="23"/>
  <c r="P86" i="23"/>
  <c r="L97" i="23"/>
  <c r="J98" i="23"/>
  <c r="H99" i="23"/>
  <c r="D100" i="23"/>
  <c r="B101" i="23"/>
  <c r="X101" i="23"/>
  <c r="T102" i="23"/>
  <c r="R103" i="23"/>
  <c r="P104" i="23"/>
  <c r="L106" i="23"/>
  <c r="J107" i="23"/>
  <c r="H108" i="23"/>
  <c r="D109" i="23"/>
  <c r="B110" i="23"/>
  <c r="X110" i="23"/>
  <c r="T111" i="23"/>
  <c r="R112" i="23"/>
  <c r="P113" i="23"/>
  <c r="L88" i="23"/>
  <c r="F89" i="23"/>
  <c r="V89" i="23"/>
  <c r="N90" i="23"/>
  <c r="F91" i="23"/>
  <c r="V91" i="23"/>
  <c r="N92" i="23"/>
  <c r="F93" i="23"/>
  <c r="V93" i="23"/>
  <c r="N94" i="23"/>
  <c r="F95" i="23"/>
  <c r="V95" i="23"/>
  <c r="T79" i="23"/>
  <c r="R80" i="23"/>
  <c r="P81" i="23"/>
  <c r="L82" i="23"/>
  <c r="J83" i="23"/>
  <c r="H84" i="23"/>
  <c r="D85" i="23"/>
  <c r="B86" i="23"/>
  <c r="X86" i="23"/>
  <c r="T97" i="23"/>
  <c r="R98" i="23"/>
  <c r="P99" i="23"/>
  <c r="L100" i="23"/>
  <c r="J101" i="23"/>
  <c r="H102" i="23"/>
  <c r="D103" i="23"/>
  <c r="B104" i="23"/>
  <c r="X104" i="23"/>
  <c r="T106" i="23"/>
  <c r="R107" i="23"/>
  <c r="P108" i="23"/>
  <c r="L109" i="23"/>
  <c r="J110" i="23"/>
  <c r="H111" i="23"/>
  <c r="D112" i="23"/>
  <c r="B113" i="23"/>
  <c r="X113" i="23"/>
  <c r="T88" i="23"/>
  <c r="L89" i="23"/>
  <c r="D90" i="23"/>
  <c r="T90" i="23"/>
  <c r="L91" i="23"/>
  <c r="D92" i="23"/>
  <c r="T92" i="23"/>
  <c r="L93" i="23"/>
  <c r="D94" i="23"/>
  <c r="T94" i="23"/>
  <c r="L95" i="23"/>
  <c r="B79" i="23"/>
  <c r="X79" i="23"/>
  <c r="T80" i="23"/>
  <c r="R81" i="23"/>
  <c r="P82" i="23"/>
  <c r="L83" i="23"/>
  <c r="J84" i="23"/>
  <c r="H85" i="23"/>
  <c r="D86" i="23"/>
  <c r="B97" i="23"/>
  <c r="X97" i="23"/>
  <c r="T98" i="23"/>
  <c r="R99" i="23"/>
  <c r="P100" i="23"/>
  <c r="L101" i="23"/>
  <c r="J102" i="23"/>
  <c r="H103" i="23"/>
  <c r="D104" i="23"/>
  <c r="B106" i="23"/>
  <c r="X106" i="23"/>
  <c r="T107" i="23"/>
  <c r="R108" i="23"/>
  <c r="P109" i="23"/>
  <c r="L110" i="23"/>
  <c r="J111" i="23"/>
  <c r="H112" i="23"/>
  <c r="D113" i="23"/>
  <c r="B88" i="23"/>
  <c r="V88" i="23"/>
  <c r="N89" i="23"/>
  <c r="F90" i="23"/>
  <c r="V90" i="23"/>
  <c r="N91" i="23"/>
  <c r="F92" i="23"/>
  <c r="V92" i="23"/>
  <c r="N93" i="23"/>
  <c r="F94" i="23"/>
  <c r="V94" i="23"/>
  <c r="N95" i="23"/>
  <c r="AA663" i="6"/>
  <c r="AA695" i="6"/>
  <c r="AA670" i="6"/>
  <c r="F5" i="28"/>
  <c r="F9" i="28"/>
  <c r="F10" i="28"/>
  <c r="Z50" i="19"/>
  <c r="Z62" i="13"/>
  <c r="C14" i="29"/>
  <c r="K14" i="29"/>
  <c r="S14" i="29"/>
  <c r="G15" i="29"/>
  <c r="W15" i="29"/>
  <c r="C16" i="29"/>
  <c r="K16" i="29"/>
  <c r="S16" i="29"/>
  <c r="G17" i="29"/>
  <c r="W17" i="29"/>
  <c r="C18" i="29"/>
  <c r="K18" i="29"/>
  <c r="S18" i="29"/>
  <c r="G19" i="29"/>
  <c r="W19" i="29"/>
  <c r="C20" i="29"/>
  <c r="K20" i="29"/>
  <c r="S20" i="29"/>
  <c r="G21" i="29"/>
  <c r="W21" i="29"/>
  <c r="Z60" i="29"/>
  <c r="Z70" i="29"/>
  <c r="D72" i="29"/>
  <c r="E72" i="29"/>
  <c r="Z72" i="29"/>
  <c r="Z62" i="29"/>
  <c r="AB62" i="29"/>
  <c r="G14" i="29"/>
  <c r="W14" i="29"/>
  <c r="C15" i="29"/>
  <c r="K15" i="29"/>
  <c r="S15" i="29"/>
  <c r="G16" i="29"/>
  <c r="W16" i="29"/>
  <c r="C17" i="29"/>
  <c r="K17" i="29"/>
  <c r="S17" i="29"/>
  <c r="G18" i="29"/>
  <c r="W18" i="29"/>
  <c r="C19" i="29"/>
  <c r="K19" i="29"/>
  <c r="S19" i="29"/>
  <c r="S95" i="29"/>
  <c r="S91" i="29"/>
  <c r="S87" i="29"/>
  <c r="S94" i="29"/>
  <c r="S90" i="29"/>
  <c r="S105" i="29"/>
  <c r="S93" i="29"/>
  <c r="S89" i="29"/>
  <c r="S92" i="29"/>
  <c r="S88" i="29"/>
  <c r="K95" i="29"/>
  <c r="K94" i="29"/>
  <c r="K90" i="29"/>
  <c r="K105" i="29"/>
  <c r="K92" i="29"/>
  <c r="K88" i="29"/>
  <c r="C91" i="29"/>
  <c r="C87" i="29"/>
  <c r="C94" i="29"/>
  <c r="C93" i="29"/>
  <c r="C89" i="29"/>
  <c r="C88" i="29"/>
  <c r="K110" i="29"/>
  <c r="K106" i="29"/>
  <c r="K113" i="29"/>
  <c r="K109" i="29"/>
  <c r="K112" i="29"/>
  <c r="K108" i="29"/>
  <c r="K111" i="29"/>
  <c r="K107" i="29"/>
  <c r="W93" i="29"/>
  <c r="W89" i="29"/>
  <c r="W92" i="29"/>
  <c r="W105" i="29"/>
  <c r="W95" i="29"/>
  <c r="W91" i="29"/>
  <c r="W94" i="29"/>
  <c r="W90" i="29"/>
  <c r="O93" i="29"/>
  <c r="O89" i="29"/>
  <c r="O88" i="29"/>
  <c r="O105" i="29"/>
  <c r="O95" i="29"/>
  <c r="O87" i="29"/>
  <c r="O94" i="29"/>
  <c r="O90" i="29"/>
  <c r="S110" i="29"/>
  <c r="S106" i="29"/>
  <c r="S113" i="29"/>
  <c r="S109" i="29"/>
  <c r="S112" i="29"/>
  <c r="S108" i="29"/>
  <c r="S111" i="29"/>
  <c r="S107" i="29"/>
  <c r="E106" i="29"/>
  <c r="M106" i="29"/>
  <c r="U106" i="29"/>
  <c r="I108" i="29"/>
  <c r="Q108" i="29"/>
  <c r="Y108" i="29"/>
  <c r="E110" i="29"/>
  <c r="M110" i="29"/>
  <c r="U110" i="29"/>
  <c r="I112" i="29"/>
  <c r="Q112" i="29"/>
  <c r="Y112" i="29"/>
  <c r="E113" i="29"/>
  <c r="I113" i="29"/>
  <c r="M113" i="29"/>
  <c r="Q113" i="29"/>
  <c r="U113" i="29"/>
  <c r="Y113" i="29"/>
  <c r="M88" i="29"/>
  <c r="U88" i="29"/>
  <c r="Q90" i="29"/>
  <c r="E92" i="29"/>
  <c r="M92" i="29"/>
  <c r="U92" i="29"/>
  <c r="I94" i="29"/>
  <c r="Q94" i="29"/>
  <c r="Y94" i="29"/>
  <c r="Z106" i="29"/>
  <c r="Z105" i="29"/>
  <c r="I87" i="29"/>
  <c r="Q87" i="29"/>
  <c r="Y87" i="29"/>
  <c r="M89" i="29"/>
  <c r="U89" i="29"/>
  <c r="I91" i="29"/>
  <c r="Q91" i="29"/>
  <c r="Y91" i="29"/>
  <c r="E93" i="29"/>
  <c r="M93" i="29"/>
  <c r="I95" i="29"/>
  <c r="Q95" i="29"/>
  <c r="F87" i="29"/>
  <c r="I106" i="29"/>
  <c r="Q106" i="29"/>
  <c r="Y106" i="29"/>
  <c r="G107" i="29"/>
  <c r="O107" i="29"/>
  <c r="W107" i="29"/>
  <c r="E108" i="29"/>
  <c r="M108" i="29"/>
  <c r="U108" i="29"/>
  <c r="C109" i="29"/>
  <c r="I110" i="29"/>
  <c r="Q110" i="29"/>
  <c r="Y110" i="29"/>
  <c r="G111" i="29"/>
  <c r="O111" i="29"/>
  <c r="W111" i="29"/>
  <c r="E112" i="29"/>
  <c r="M112" i="29"/>
  <c r="U112" i="29"/>
  <c r="Q88" i="29"/>
  <c r="Y88" i="29"/>
  <c r="E90" i="29"/>
  <c r="M90" i="29"/>
  <c r="U90" i="29"/>
  <c r="I92" i="29"/>
  <c r="Q92" i="29"/>
  <c r="E94" i="29"/>
  <c r="M94" i="29"/>
  <c r="U94" i="29"/>
  <c r="I107" i="29"/>
  <c r="Q107" i="29"/>
  <c r="Y107" i="29"/>
  <c r="U134" i="29"/>
  <c r="Z131" i="29"/>
  <c r="Z130" i="29"/>
  <c r="AA131" i="29"/>
  <c r="F130" i="29"/>
  <c r="G131" i="29"/>
  <c r="S134" i="29"/>
  <c r="R145" i="29"/>
  <c r="S145" i="29"/>
  <c r="K134" i="29"/>
  <c r="J145" i="29"/>
  <c r="K145" i="29"/>
  <c r="C134" i="29"/>
  <c r="B145" i="29"/>
  <c r="C145" i="29"/>
  <c r="C169" i="29"/>
  <c r="C164" i="29"/>
  <c r="V161" i="29"/>
  <c r="D79" i="29"/>
  <c r="L79" i="29"/>
  <c r="T79" i="29"/>
  <c r="B80" i="29"/>
  <c r="J80" i="29"/>
  <c r="R80" i="29"/>
  <c r="H81" i="29"/>
  <c r="P81" i="29"/>
  <c r="X81" i="29"/>
  <c r="F82" i="29"/>
  <c r="N82" i="29"/>
  <c r="V82" i="29"/>
  <c r="D83" i="29"/>
  <c r="L83" i="29"/>
  <c r="T83" i="29"/>
  <c r="B84" i="29"/>
  <c r="J84" i="29"/>
  <c r="R84" i="29"/>
  <c r="H85" i="29"/>
  <c r="P85" i="29"/>
  <c r="X85" i="29"/>
  <c r="F86" i="29"/>
  <c r="N86" i="29"/>
  <c r="V86" i="29"/>
  <c r="B97" i="29"/>
  <c r="J97" i="29"/>
  <c r="R97" i="29"/>
  <c r="H98" i="29"/>
  <c r="P98" i="29"/>
  <c r="X98" i="29"/>
  <c r="F99" i="29"/>
  <c r="N99" i="29"/>
  <c r="V99" i="29"/>
  <c r="D100" i="29"/>
  <c r="L100" i="29"/>
  <c r="T100" i="29"/>
  <c r="B101" i="29"/>
  <c r="J101" i="29"/>
  <c r="R101" i="29"/>
  <c r="H102" i="29"/>
  <c r="P102" i="29"/>
  <c r="X102" i="29"/>
  <c r="F103" i="29"/>
  <c r="N103" i="29"/>
  <c r="V103" i="29"/>
  <c r="D104" i="29"/>
  <c r="L104" i="29"/>
  <c r="T104" i="29"/>
  <c r="D116" i="29"/>
  <c r="L116" i="29"/>
  <c r="T116" i="29"/>
  <c r="B117" i="29"/>
  <c r="J117" i="29"/>
  <c r="R117" i="29"/>
  <c r="H118" i="29"/>
  <c r="P118" i="29"/>
  <c r="X118" i="29"/>
  <c r="F119" i="29"/>
  <c r="N119" i="29"/>
  <c r="F79" i="29"/>
  <c r="P79" i="29"/>
  <c r="L80" i="29"/>
  <c r="V80" i="29"/>
  <c r="F81" i="29"/>
  <c r="R81" i="29"/>
  <c r="B82" i="29"/>
  <c r="L82" i="29"/>
  <c r="X82" i="29"/>
  <c r="H83" i="29"/>
  <c r="R83" i="29"/>
  <c r="D84" i="29"/>
  <c r="N84" i="29"/>
  <c r="X84" i="29"/>
  <c r="J85" i="29"/>
  <c r="T85" i="29"/>
  <c r="D86" i="29"/>
  <c r="P86" i="29"/>
  <c r="H97" i="29"/>
  <c r="T97" i="29"/>
  <c r="D98" i="29"/>
  <c r="N98" i="29"/>
  <c r="J99" i="29"/>
  <c r="T99" i="29"/>
  <c r="F100" i="29"/>
  <c r="P100" i="29"/>
  <c r="L101" i="29"/>
  <c r="V101" i="29"/>
  <c r="F102" i="29"/>
  <c r="R102" i="29"/>
  <c r="B103" i="29"/>
  <c r="L103" i="29"/>
  <c r="X103" i="29"/>
  <c r="H104" i="29"/>
  <c r="R104" i="29"/>
  <c r="H116" i="29"/>
  <c r="R116" i="29"/>
  <c r="D117" i="29"/>
  <c r="N117" i="29"/>
  <c r="X117" i="29"/>
  <c r="J118" i="29"/>
  <c r="T118" i="29"/>
  <c r="D119" i="29"/>
  <c r="P119" i="29"/>
  <c r="X119" i="29"/>
  <c r="F120" i="29"/>
  <c r="N120" i="29"/>
  <c r="V120" i="29"/>
  <c r="V115" i="29"/>
  <c r="D121" i="29"/>
  <c r="L121" i="29"/>
  <c r="T121" i="29"/>
  <c r="B122" i="29"/>
  <c r="J122" i="29"/>
  <c r="R122" i="29"/>
  <c r="F124" i="29"/>
  <c r="N124" i="29"/>
  <c r="V124" i="29"/>
  <c r="D125" i="29"/>
  <c r="D123" i="29"/>
  <c r="L125" i="29"/>
  <c r="L123" i="29"/>
  <c r="T125" i="29"/>
  <c r="T123" i="29"/>
  <c r="B126" i="29"/>
  <c r="J126" i="29"/>
  <c r="J123" i="29"/>
  <c r="R126" i="29"/>
  <c r="R123" i="29"/>
  <c r="H127" i="29"/>
  <c r="H123" i="29"/>
  <c r="P127" i="29"/>
  <c r="P123" i="29"/>
  <c r="X127" i="29"/>
  <c r="X123" i="29"/>
  <c r="F128" i="29"/>
  <c r="N128" i="29"/>
  <c r="V128" i="29"/>
  <c r="B136" i="29"/>
  <c r="J136" i="29"/>
  <c r="J146" i="29"/>
  <c r="K146" i="29"/>
  <c r="R136" i="29"/>
  <c r="R146" i="29"/>
  <c r="S146" i="29"/>
  <c r="B144" i="29"/>
  <c r="C144" i="29"/>
  <c r="F144" i="29"/>
  <c r="G144" i="29"/>
  <c r="E168" i="29"/>
  <c r="E166" i="29"/>
  <c r="E164" i="29"/>
  <c r="E162" i="29"/>
  <c r="E179" i="29"/>
  <c r="E167" i="29"/>
  <c r="H161" i="29"/>
  <c r="Q169" i="29"/>
  <c r="Q167" i="29"/>
  <c r="Q165" i="29"/>
  <c r="Q163" i="29"/>
  <c r="Q161" i="29"/>
  <c r="Q179" i="29"/>
  <c r="Q162" i="29"/>
  <c r="T161" i="29"/>
  <c r="C163" i="29"/>
  <c r="C165" i="29"/>
  <c r="C166" i="29"/>
  <c r="C167" i="29"/>
  <c r="C168" i="29"/>
  <c r="Z168" i="29"/>
  <c r="Z164" i="29"/>
  <c r="G179" i="29"/>
  <c r="G165" i="29"/>
  <c r="G162" i="29"/>
  <c r="N161" i="29"/>
  <c r="C162" i="29"/>
  <c r="J161" i="29"/>
  <c r="L161" i="29"/>
  <c r="Y169" i="29"/>
  <c r="Y167" i="29"/>
  <c r="Y165" i="29"/>
  <c r="Y163" i="29"/>
  <c r="Y161" i="29"/>
  <c r="Y179" i="29"/>
  <c r="Y164" i="29"/>
  <c r="Z21" i="29"/>
  <c r="AB21" i="29"/>
  <c r="Z162" i="29"/>
  <c r="R161" i="29"/>
  <c r="Z18" i="29"/>
  <c r="AB18" i="29"/>
  <c r="Z20" i="29"/>
  <c r="AB20" i="29"/>
  <c r="Z19" i="29"/>
  <c r="AB19" i="29"/>
  <c r="Z15" i="29"/>
  <c r="AB15" i="29"/>
  <c r="G186" i="29"/>
  <c r="G184" i="29"/>
  <c r="G182" i="29"/>
  <c r="G180" i="29"/>
  <c r="G187" i="29"/>
  <c r="Q186" i="29"/>
  <c r="Q184" i="29"/>
  <c r="Q182" i="29"/>
  <c r="Q180" i="29"/>
  <c r="Q187" i="29"/>
  <c r="Q181" i="29"/>
  <c r="Q185" i="29"/>
  <c r="B179" i="29"/>
  <c r="C161" i="29"/>
  <c r="Z181" i="29"/>
  <c r="K187" i="29"/>
  <c r="K185" i="29"/>
  <c r="K183" i="29"/>
  <c r="K181" i="29"/>
  <c r="K186" i="29"/>
  <c r="O186" i="29"/>
  <c r="O184" i="29"/>
  <c r="O182" i="29"/>
  <c r="O180" i="29"/>
  <c r="O187" i="29"/>
  <c r="Y186" i="29"/>
  <c r="Y184" i="29"/>
  <c r="Y182" i="29"/>
  <c r="Y180" i="29"/>
  <c r="Y187" i="29"/>
  <c r="G181" i="29"/>
  <c r="G185" i="29"/>
  <c r="S187" i="29"/>
  <c r="S185" i="29"/>
  <c r="S183" i="29"/>
  <c r="S181" i="29"/>
  <c r="S186" i="29"/>
  <c r="W186" i="29"/>
  <c r="W184" i="29"/>
  <c r="W182" i="29"/>
  <c r="W180" i="29"/>
  <c r="W187" i="29"/>
  <c r="Z14" i="29"/>
  <c r="Q183" i="29"/>
  <c r="E187" i="29"/>
  <c r="E185" i="29"/>
  <c r="E183" i="29"/>
  <c r="E181" i="29"/>
  <c r="I186" i="29"/>
  <c r="I184" i="29"/>
  <c r="I182" i="29"/>
  <c r="I180" i="29"/>
  <c r="I187" i="29"/>
  <c r="Z186" i="29"/>
  <c r="Z42" i="29"/>
  <c r="Z46" i="29"/>
  <c r="AB46" i="29"/>
  <c r="Z25" i="29"/>
  <c r="AB25" i="29"/>
  <c r="Z24" i="29"/>
  <c r="AB24" i="29"/>
  <c r="Z8" i="29"/>
  <c r="AB8" i="29"/>
  <c r="Z7" i="29"/>
  <c r="AB7" i="29"/>
  <c r="Z5" i="29"/>
  <c r="M181" i="29"/>
  <c r="U181" i="29"/>
  <c r="M183" i="29"/>
  <c r="U183" i="29"/>
  <c r="M185" i="29"/>
  <c r="U185" i="29"/>
  <c r="Z53" i="29"/>
  <c r="AB53" i="29"/>
  <c r="Z29" i="29"/>
  <c r="AB29" i="29"/>
  <c r="Z28" i="29"/>
  <c r="AB28" i="29"/>
  <c r="Z12" i="29"/>
  <c r="AB12" i="29"/>
  <c r="Z11" i="29"/>
  <c r="AB11" i="29"/>
  <c r="Z218" i="29"/>
  <c r="B218" i="29"/>
  <c r="C218" i="29"/>
  <c r="R218" i="29"/>
  <c r="S218" i="29"/>
  <c r="J218" i="29"/>
  <c r="K218" i="29"/>
  <c r="Z208" i="29"/>
  <c r="Z207" i="29"/>
  <c r="F153" i="29"/>
  <c r="N153" i="29"/>
  <c r="V153" i="29"/>
  <c r="D154" i="29"/>
  <c r="L154" i="29"/>
  <c r="T154" i="29"/>
  <c r="B155" i="29"/>
  <c r="J155" i="29"/>
  <c r="R155" i="29"/>
  <c r="H156" i="29"/>
  <c r="P156" i="29"/>
  <c r="X156" i="29"/>
  <c r="F157" i="29"/>
  <c r="N157" i="29"/>
  <c r="V157" i="29"/>
  <c r="D158" i="29"/>
  <c r="L158" i="29"/>
  <c r="T158" i="29"/>
  <c r="B159" i="29"/>
  <c r="J159" i="29"/>
  <c r="R159" i="29"/>
  <c r="H160" i="29"/>
  <c r="P160" i="29"/>
  <c r="X160" i="29"/>
  <c r="D171" i="29"/>
  <c r="L171" i="29"/>
  <c r="T171" i="29"/>
  <c r="B172" i="29"/>
  <c r="J172" i="29"/>
  <c r="R172" i="29"/>
  <c r="H173" i="29"/>
  <c r="I114" i="29"/>
  <c r="P173" i="29"/>
  <c r="Q114" i="29"/>
  <c r="X173" i="29"/>
  <c r="Y114" i="29"/>
  <c r="F174" i="29"/>
  <c r="N174" i="29"/>
  <c r="V174" i="29"/>
  <c r="D175" i="29"/>
  <c r="L175" i="29"/>
  <c r="T175" i="29"/>
  <c r="B176" i="29"/>
  <c r="J176" i="29"/>
  <c r="R176" i="29"/>
  <c r="H177" i="29"/>
  <c r="P177" i="29"/>
  <c r="X177" i="29"/>
  <c r="F178" i="29"/>
  <c r="N178" i="29"/>
  <c r="V178" i="29"/>
  <c r="F190" i="29"/>
  <c r="N190" i="29"/>
  <c r="V190" i="29"/>
  <c r="D191" i="29"/>
  <c r="L191" i="29"/>
  <c r="T191" i="29"/>
  <c r="B192" i="29"/>
  <c r="J192" i="29"/>
  <c r="R192" i="29"/>
  <c r="H193" i="29"/>
  <c r="P193" i="29"/>
  <c r="X193" i="29"/>
  <c r="F194" i="29"/>
  <c r="N194" i="29"/>
  <c r="V194" i="29"/>
  <c r="D195" i="29"/>
  <c r="L195" i="29"/>
  <c r="T195" i="29"/>
  <c r="B196" i="29"/>
  <c r="J196" i="29"/>
  <c r="R196" i="29"/>
  <c r="F198" i="29"/>
  <c r="N198" i="29"/>
  <c r="V198" i="29"/>
  <c r="D199" i="29"/>
  <c r="L199" i="29"/>
  <c r="T199" i="29"/>
  <c r="B153" i="29"/>
  <c r="L153" i="29"/>
  <c r="X153" i="29"/>
  <c r="H154" i="29"/>
  <c r="R154" i="29"/>
  <c r="D155" i="29"/>
  <c r="N155" i="29"/>
  <c r="X155" i="29"/>
  <c r="J156" i="29"/>
  <c r="T156" i="29"/>
  <c r="D157" i="29"/>
  <c r="P157" i="29"/>
  <c r="J158" i="29"/>
  <c r="V158" i="29"/>
  <c r="F159" i="29"/>
  <c r="P159" i="29"/>
  <c r="B160" i="29"/>
  <c r="L160" i="29"/>
  <c r="V160" i="29"/>
  <c r="F171" i="29"/>
  <c r="P171" i="29"/>
  <c r="L172" i="29"/>
  <c r="V172" i="29"/>
  <c r="F173" i="29"/>
  <c r="G114" i="29"/>
  <c r="R173" i="29"/>
  <c r="S114" i="29"/>
  <c r="B174" i="29"/>
  <c r="L174" i="29"/>
  <c r="X174" i="29"/>
  <c r="H175" i="29"/>
  <c r="R175" i="29"/>
  <c r="D176" i="29"/>
  <c r="N176" i="29"/>
  <c r="X176" i="29"/>
  <c r="J177" i="29"/>
  <c r="T177" i="29"/>
  <c r="D178" i="29"/>
  <c r="P178" i="29"/>
  <c r="D190" i="29"/>
  <c r="P190" i="29"/>
  <c r="J191" i="29"/>
  <c r="V191" i="29"/>
  <c r="F192" i="29"/>
  <c r="P192" i="29"/>
  <c r="B193" i="29"/>
  <c r="L193" i="29"/>
  <c r="V193" i="29"/>
  <c r="H194" i="29"/>
  <c r="R194" i="29"/>
  <c r="B195" i="29"/>
  <c r="N195" i="29"/>
  <c r="X195" i="29"/>
  <c r="H196" i="29"/>
  <c r="T196" i="29"/>
  <c r="B198" i="29"/>
  <c r="L198" i="29"/>
  <c r="X198" i="29"/>
  <c r="H199" i="29"/>
  <c r="R199" i="29"/>
  <c r="B200" i="29"/>
  <c r="J200" i="29"/>
  <c r="R200" i="29"/>
  <c r="H201" i="29"/>
  <c r="P201" i="29"/>
  <c r="X201" i="29"/>
  <c r="F202" i="29"/>
  <c r="N202" i="29"/>
  <c r="V202" i="29"/>
  <c r="D153" i="29"/>
  <c r="P153" i="29"/>
  <c r="J154" i="29"/>
  <c r="V154" i="29"/>
  <c r="F155" i="29"/>
  <c r="P155" i="29"/>
  <c r="B156" i="29"/>
  <c r="L156" i="29"/>
  <c r="V156" i="29"/>
  <c r="H157" i="29"/>
  <c r="R157" i="29"/>
  <c r="B158" i="29"/>
  <c r="N158" i="29"/>
  <c r="X158" i="29"/>
  <c r="H159" i="29"/>
  <c r="T159" i="29"/>
  <c r="D160" i="29"/>
  <c r="N160" i="29"/>
  <c r="H171" i="29"/>
  <c r="R171" i="29"/>
  <c r="D172" i="29"/>
  <c r="N172" i="29"/>
  <c r="X172" i="29"/>
  <c r="J173" i="29"/>
  <c r="K114" i="29"/>
  <c r="T173" i="29"/>
  <c r="U114" i="29"/>
  <c r="D174" i="29"/>
  <c r="P174" i="29"/>
  <c r="J175" i="29"/>
  <c r="V175" i="29"/>
  <c r="F176" i="29"/>
  <c r="P176" i="29"/>
  <c r="B177" i="29"/>
  <c r="L177" i="29"/>
  <c r="V177" i="29"/>
  <c r="H178" i="29"/>
  <c r="R178" i="29"/>
  <c r="H190" i="29"/>
  <c r="R190" i="29"/>
  <c r="B191" i="29"/>
  <c r="N191" i="29"/>
  <c r="X191" i="29"/>
  <c r="H192" i="29"/>
  <c r="T192" i="29"/>
  <c r="D193" i="29"/>
  <c r="N193" i="29"/>
  <c r="J194" i="29"/>
  <c r="T194" i="29"/>
  <c r="F195" i="29"/>
  <c r="P195" i="29"/>
  <c r="L196" i="29"/>
  <c r="V196" i="29"/>
  <c r="D198" i="29"/>
  <c r="P198" i="29"/>
  <c r="J199" i="29"/>
  <c r="V199" i="29"/>
  <c r="D200" i="29"/>
  <c r="L200" i="29"/>
  <c r="T200" i="29"/>
  <c r="B201" i="29"/>
  <c r="J201" i="29"/>
  <c r="R201" i="29"/>
  <c r="H202" i="29"/>
  <c r="P202" i="29"/>
  <c r="X202" i="29"/>
  <c r="H153" i="29"/>
  <c r="R153" i="29"/>
  <c r="B154" i="29"/>
  <c r="N154" i="29"/>
  <c r="X154" i="29"/>
  <c r="H155" i="29"/>
  <c r="T155" i="29"/>
  <c r="D156" i="29"/>
  <c r="N156" i="29"/>
  <c r="J157" i="29"/>
  <c r="T157" i="29"/>
  <c r="F158" i="29"/>
  <c r="P158" i="29"/>
  <c r="L159" i="29"/>
  <c r="V159" i="29"/>
  <c r="F160" i="29"/>
  <c r="R160" i="29"/>
  <c r="J171" i="29"/>
  <c r="V171" i="29"/>
  <c r="F172" i="29"/>
  <c r="P172" i="29"/>
  <c r="B173" i="29"/>
  <c r="L173" i="29"/>
  <c r="M114" i="29"/>
  <c r="V173" i="29"/>
  <c r="W114" i="29"/>
  <c r="H174" i="29"/>
  <c r="R174" i="29"/>
  <c r="B175" i="29"/>
  <c r="N175" i="29"/>
  <c r="X175" i="29"/>
  <c r="H176" i="29"/>
  <c r="T176" i="29"/>
  <c r="D177" i="29"/>
  <c r="N177" i="29"/>
  <c r="J178" i="29"/>
  <c r="T178" i="29"/>
  <c r="J190" i="29"/>
  <c r="T190" i="29"/>
  <c r="F191" i="29"/>
  <c r="P191" i="29"/>
  <c r="L192" i="29"/>
  <c r="V192" i="29"/>
  <c r="F193" i="29"/>
  <c r="R193" i="29"/>
  <c r="B194" i="29"/>
  <c r="L194" i="29"/>
  <c r="X194" i="29"/>
  <c r="H195" i="29"/>
  <c r="R195" i="29"/>
  <c r="D196" i="29"/>
  <c r="N196" i="29"/>
  <c r="X196" i="29"/>
  <c r="H198" i="29"/>
  <c r="R198" i="29"/>
  <c r="B199" i="29"/>
  <c r="N199" i="29"/>
  <c r="X199" i="29"/>
  <c r="F200" i="29"/>
  <c r="N200" i="29"/>
  <c r="V200" i="29"/>
  <c r="D201" i="29"/>
  <c r="L201" i="29"/>
  <c r="T201" i="29"/>
  <c r="B202" i="29"/>
  <c r="J202" i="29"/>
  <c r="R202" i="29"/>
  <c r="T218" i="29"/>
  <c r="U218" i="29"/>
  <c r="L218" i="29"/>
  <c r="M218" i="29"/>
  <c r="L157" i="29"/>
  <c r="V155" i="29"/>
  <c r="F154" i="29"/>
  <c r="V218" i="29"/>
  <c r="W218" i="29"/>
  <c r="N218" i="29"/>
  <c r="O218" i="29"/>
  <c r="F218" i="29"/>
  <c r="G218" i="29"/>
  <c r="Z210" i="29"/>
  <c r="Z220" i="29"/>
  <c r="AA752" i="6"/>
  <c r="O23" i="14"/>
  <c r="H3" i="14"/>
  <c r="I22" i="14"/>
  <c r="O7" i="14"/>
  <c r="G30" i="14"/>
  <c r="O26" i="14"/>
  <c r="W26" i="13"/>
  <c r="O28" i="14"/>
  <c r="O29" i="14"/>
  <c r="F3" i="14"/>
  <c r="F55" i="14"/>
  <c r="F58" i="14"/>
  <c r="G58" i="14"/>
  <c r="G23" i="14"/>
  <c r="W30" i="13"/>
  <c r="O25" i="14"/>
  <c r="Y29" i="14"/>
  <c r="Y27" i="14"/>
  <c r="G25" i="14"/>
  <c r="R115" i="13"/>
  <c r="S116" i="13"/>
  <c r="C43" i="19"/>
  <c r="C48" i="19"/>
  <c r="C47" i="19"/>
  <c r="C44" i="19"/>
  <c r="W23" i="13"/>
  <c r="O27" i="14"/>
  <c r="Y30" i="14"/>
  <c r="W28" i="13"/>
  <c r="W25" i="13"/>
  <c r="Y28" i="14"/>
  <c r="O10" i="14"/>
  <c r="W27" i="13"/>
  <c r="O9" i="14"/>
  <c r="O6" i="14"/>
  <c r="O8" i="14"/>
  <c r="N3" i="14"/>
  <c r="O62" i="14"/>
  <c r="O11" i="14"/>
  <c r="O5" i="14"/>
  <c r="G27" i="14"/>
  <c r="G24" i="14"/>
  <c r="G29" i="14"/>
  <c r="G28" i="14"/>
  <c r="Y25" i="14"/>
  <c r="Y24" i="14"/>
  <c r="Y23" i="14"/>
  <c r="K43" i="19"/>
  <c r="S53" i="14"/>
  <c r="K42" i="19"/>
  <c r="S51" i="14"/>
  <c r="W44" i="23"/>
  <c r="W46" i="23"/>
  <c r="U42" i="23"/>
  <c r="W42" i="23"/>
  <c r="W48" i="23"/>
  <c r="K53" i="14"/>
  <c r="K52" i="14"/>
  <c r="U35" i="19"/>
  <c r="I24" i="14"/>
  <c r="I28" i="14"/>
  <c r="I30" i="14"/>
  <c r="U37" i="19"/>
  <c r="U34" i="19"/>
  <c r="J40" i="14"/>
  <c r="J68" i="14"/>
  <c r="K68" i="14"/>
  <c r="K51" i="14"/>
  <c r="S46" i="19"/>
  <c r="S43" i="19"/>
  <c r="K50" i="14"/>
  <c r="S44" i="19"/>
  <c r="S42" i="19"/>
  <c r="S48" i="19"/>
  <c r="S47" i="19"/>
  <c r="I23" i="14"/>
  <c r="I25" i="14"/>
  <c r="U39" i="19"/>
  <c r="U36" i="19"/>
  <c r="I29" i="14"/>
  <c r="U38" i="19"/>
  <c r="U33" i="19"/>
  <c r="U31" i="19"/>
  <c r="G6" i="13"/>
  <c r="G10" i="13"/>
  <c r="G5" i="13"/>
  <c r="G9" i="13"/>
  <c r="F3" i="13"/>
  <c r="G4" i="13"/>
  <c r="G7" i="13"/>
  <c r="G11" i="13"/>
  <c r="G8" i="13"/>
  <c r="I32" i="23"/>
  <c r="Z110" i="13"/>
  <c r="K44" i="19"/>
  <c r="K46" i="19"/>
  <c r="K47" i="19"/>
  <c r="K45" i="19"/>
  <c r="U47" i="23"/>
  <c r="S50" i="13"/>
  <c r="U48" i="23"/>
  <c r="C52" i="14"/>
  <c r="U44" i="23"/>
  <c r="U43" i="23"/>
  <c r="AC51" i="32"/>
  <c r="AC52" i="32"/>
  <c r="AC53" i="32"/>
  <c r="K37" i="19"/>
  <c r="U26" i="19"/>
  <c r="U25" i="19"/>
  <c r="U23" i="19"/>
  <c r="U28" i="19"/>
  <c r="U27" i="19"/>
  <c r="U30" i="19"/>
  <c r="W36" i="29"/>
  <c r="W36" i="23"/>
  <c r="U24" i="19"/>
  <c r="O32" i="23"/>
  <c r="K23" i="19"/>
  <c r="W38" i="19"/>
  <c r="B40" i="13"/>
  <c r="B68" i="13"/>
  <c r="R40" i="13"/>
  <c r="S41" i="13"/>
  <c r="C54" i="13"/>
  <c r="S51" i="13"/>
  <c r="C51" i="13"/>
  <c r="W47" i="13"/>
  <c r="G32" i="23"/>
  <c r="C37" i="19"/>
  <c r="K35" i="19"/>
  <c r="K36" i="19"/>
  <c r="C34" i="29"/>
  <c r="G36" i="23"/>
  <c r="E28" i="19"/>
  <c r="Q24" i="23"/>
  <c r="E29" i="19"/>
  <c r="U43" i="13"/>
  <c r="C50" i="13"/>
  <c r="S45" i="14"/>
  <c r="S52" i="13"/>
  <c r="S54" i="13"/>
  <c r="C52" i="13"/>
  <c r="E54" i="19"/>
  <c r="W34" i="29"/>
  <c r="W37" i="29"/>
  <c r="K35" i="23"/>
  <c r="O36" i="23"/>
  <c r="G34" i="19"/>
  <c r="O33" i="23"/>
  <c r="K23" i="23"/>
  <c r="K30" i="23"/>
  <c r="G33" i="19"/>
  <c r="W13" i="29"/>
  <c r="K34" i="23"/>
  <c r="E52" i="19"/>
  <c r="S42" i="14"/>
  <c r="S43" i="14"/>
  <c r="E50" i="19"/>
  <c r="R40" i="14"/>
  <c r="S41" i="14"/>
  <c r="S47" i="14"/>
  <c r="S44" i="14"/>
  <c r="D40" i="19"/>
  <c r="E41" i="19"/>
  <c r="S46" i="14"/>
  <c r="U34" i="23"/>
  <c r="E26" i="23"/>
  <c r="S30" i="23"/>
  <c r="Q27" i="19"/>
  <c r="C27" i="19"/>
  <c r="U47" i="13"/>
  <c r="T40" i="13"/>
  <c r="U49" i="13"/>
  <c r="U45" i="13"/>
  <c r="U46" i="13"/>
  <c r="U42" i="13"/>
  <c r="C53" i="14"/>
  <c r="B40" i="14"/>
  <c r="C49" i="14"/>
  <c r="U50" i="19"/>
  <c r="U44" i="13"/>
  <c r="C51" i="14"/>
  <c r="C50" i="14"/>
  <c r="W42" i="13"/>
  <c r="W45" i="13"/>
  <c r="W46" i="13"/>
  <c r="W44" i="13"/>
  <c r="V40" i="13"/>
  <c r="W41" i="13"/>
  <c r="W43" i="13"/>
  <c r="C34" i="19"/>
  <c r="K6" i="19"/>
  <c r="K10" i="19"/>
  <c r="R123" i="13"/>
  <c r="S127" i="13"/>
  <c r="K11" i="19"/>
  <c r="K8" i="19"/>
  <c r="K9" i="19"/>
  <c r="K12" i="19"/>
  <c r="K7" i="19"/>
  <c r="J3" i="19"/>
  <c r="K62" i="19"/>
  <c r="W17" i="23"/>
  <c r="W5" i="19"/>
  <c r="T40" i="19"/>
  <c r="T68" i="19"/>
  <c r="U68" i="19"/>
  <c r="L40" i="19"/>
  <c r="L68" i="19"/>
  <c r="M68" i="19"/>
  <c r="U54" i="19"/>
  <c r="U52" i="19"/>
  <c r="U51" i="19"/>
  <c r="C36" i="19"/>
  <c r="Z92" i="13"/>
  <c r="K18" i="23"/>
  <c r="C31" i="29"/>
  <c r="O16" i="29"/>
  <c r="Y16" i="23"/>
  <c r="W20" i="23"/>
  <c r="W9" i="19"/>
  <c r="Y92" i="29"/>
  <c r="Y95" i="29"/>
  <c r="Y90" i="29"/>
  <c r="W87" i="29"/>
  <c r="K89" i="29"/>
  <c r="K91" i="29"/>
  <c r="M46" i="23"/>
  <c r="M52" i="19"/>
  <c r="F40" i="19"/>
  <c r="F68" i="19"/>
  <c r="G68" i="19"/>
  <c r="O50" i="19"/>
  <c r="O53" i="19"/>
  <c r="O54" i="19"/>
  <c r="N40" i="19"/>
  <c r="N68" i="19"/>
  <c r="O68" i="19"/>
  <c r="W192" i="14"/>
  <c r="O51" i="19"/>
  <c r="U119" i="23"/>
  <c r="G44" i="23"/>
  <c r="P115" i="13"/>
  <c r="Q120" i="13"/>
  <c r="Y54" i="19"/>
  <c r="Y44" i="14"/>
  <c r="Q47" i="14"/>
  <c r="Q45" i="14"/>
  <c r="Q43" i="14"/>
  <c r="Q42" i="14"/>
  <c r="Q44" i="14"/>
  <c r="Q46" i="14"/>
  <c r="K44" i="23"/>
  <c r="M60" i="16"/>
  <c r="M67" i="16"/>
  <c r="M69" i="16"/>
  <c r="S54" i="19"/>
  <c r="M51" i="19"/>
  <c r="AA134" i="29"/>
  <c r="O46" i="23"/>
  <c r="K51" i="19"/>
  <c r="I88" i="29"/>
  <c r="U93" i="29"/>
  <c r="I90" i="29"/>
  <c r="O91" i="29"/>
  <c r="C105" i="29"/>
  <c r="S33" i="14"/>
  <c r="C13" i="29"/>
  <c r="C32" i="29"/>
  <c r="C35" i="29"/>
  <c r="Y32" i="23"/>
  <c r="C36" i="29"/>
  <c r="M50" i="19"/>
  <c r="S118" i="23"/>
  <c r="M54" i="19"/>
  <c r="Q124" i="23"/>
  <c r="K50" i="19"/>
  <c r="Z52" i="19"/>
  <c r="Z49" i="19"/>
  <c r="K54" i="19"/>
  <c r="J40" i="19"/>
  <c r="K49" i="19"/>
  <c r="Z49" i="14"/>
  <c r="AA202" i="14"/>
  <c r="K52" i="19"/>
  <c r="Y48" i="14"/>
  <c r="Y43" i="14"/>
  <c r="E42" i="23"/>
  <c r="G45" i="23"/>
  <c r="G51" i="19"/>
  <c r="Y42" i="14"/>
  <c r="L40" i="29"/>
  <c r="M49" i="29"/>
  <c r="G47" i="23"/>
  <c r="E46" i="23"/>
  <c r="G42" i="23"/>
  <c r="Y46" i="14"/>
  <c r="P3" i="14"/>
  <c r="Q3" i="14"/>
  <c r="Y45" i="14"/>
  <c r="W54" i="19"/>
  <c r="W53" i="19"/>
  <c r="D40" i="29"/>
  <c r="E49" i="29"/>
  <c r="T40" i="29"/>
  <c r="U49" i="29"/>
  <c r="V40" i="19"/>
  <c r="W49" i="19"/>
  <c r="W51" i="19"/>
  <c r="W50" i="19"/>
  <c r="Y52" i="19"/>
  <c r="Q16" i="23"/>
  <c r="O10" i="23"/>
  <c r="G13" i="23"/>
  <c r="G20" i="23"/>
  <c r="O9" i="23"/>
  <c r="U7" i="19"/>
  <c r="O35" i="14"/>
  <c r="V3" i="19"/>
  <c r="W56" i="19"/>
  <c r="Q201" i="14"/>
  <c r="K18" i="19"/>
  <c r="O15" i="29"/>
  <c r="C10" i="23"/>
  <c r="M14" i="23"/>
  <c r="G16" i="23"/>
  <c r="O8" i="23"/>
  <c r="U11" i="19"/>
  <c r="E31" i="29"/>
  <c r="G31" i="23"/>
  <c r="E14" i="23"/>
  <c r="C14" i="23"/>
  <c r="O12" i="23"/>
  <c r="K47" i="23"/>
  <c r="R40" i="23"/>
  <c r="S41" i="23"/>
  <c r="M42" i="23"/>
  <c r="N60" i="16"/>
  <c r="N61" i="16"/>
  <c r="N62" i="16"/>
  <c r="Y20" i="23"/>
  <c r="Y21" i="23"/>
  <c r="Y17" i="23"/>
  <c r="Y15" i="23"/>
  <c r="Y18" i="23"/>
  <c r="C120" i="23"/>
  <c r="C7" i="23"/>
  <c r="Y31" i="29"/>
  <c r="S15" i="23"/>
  <c r="C5" i="23"/>
  <c r="W38" i="29"/>
  <c r="W31" i="29"/>
  <c r="W35" i="29"/>
  <c r="W33" i="19"/>
  <c r="M7" i="19"/>
  <c r="E38" i="14"/>
  <c r="E36" i="14"/>
  <c r="K46" i="23"/>
  <c r="Y19" i="23"/>
  <c r="G16" i="14"/>
  <c r="G18" i="14"/>
  <c r="X40" i="29"/>
  <c r="Y49" i="29"/>
  <c r="G13" i="14"/>
  <c r="G15" i="14"/>
  <c r="G17" i="14"/>
  <c r="G20" i="14"/>
  <c r="G14" i="14"/>
  <c r="G21" i="14"/>
  <c r="W195" i="14"/>
  <c r="I44" i="23"/>
  <c r="Q44" i="23"/>
  <c r="V40" i="23"/>
  <c r="W41" i="23"/>
  <c r="I198" i="14"/>
  <c r="I48" i="23"/>
  <c r="Q48" i="23"/>
  <c r="G43" i="23"/>
  <c r="F40" i="23"/>
  <c r="G41" i="23"/>
  <c r="I200" i="14"/>
  <c r="I199" i="14"/>
  <c r="Z41" i="19"/>
  <c r="AA42" i="19"/>
  <c r="I46" i="19"/>
  <c r="I42" i="19"/>
  <c r="I43" i="19"/>
  <c r="O19" i="29"/>
  <c r="O16" i="23"/>
  <c r="W20" i="19"/>
  <c r="O18" i="29"/>
  <c r="O14" i="29"/>
  <c r="O20" i="23"/>
  <c r="H3" i="23"/>
  <c r="I62" i="23"/>
  <c r="O17" i="23"/>
  <c r="U14" i="23"/>
  <c r="G10" i="19"/>
  <c r="G6" i="19"/>
  <c r="B40" i="19"/>
  <c r="C41" i="19"/>
  <c r="N40" i="23"/>
  <c r="O49" i="23"/>
  <c r="Y50" i="19"/>
  <c r="E45" i="23"/>
  <c r="C50" i="19"/>
  <c r="C51" i="19"/>
  <c r="O42" i="23"/>
  <c r="C54" i="19"/>
  <c r="W193" i="14"/>
  <c r="E43" i="23"/>
  <c r="W191" i="14"/>
  <c r="E47" i="23"/>
  <c r="G54" i="19"/>
  <c r="W194" i="14"/>
  <c r="W196" i="14"/>
  <c r="V188" i="14"/>
  <c r="V216" i="14"/>
  <c r="W216" i="14"/>
  <c r="G50" i="19"/>
  <c r="G53" i="19"/>
  <c r="E44" i="23"/>
  <c r="S27" i="23"/>
  <c r="W10" i="19"/>
  <c r="W12" i="19"/>
  <c r="C25" i="23"/>
  <c r="C28" i="23"/>
  <c r="C29" i="23"/>
  <c r="C23" i="23"/>
  <c r="S28" i="23"/>
  <c r="C26" i="23"/>
  <c r="S29" i="23"/>
  <c r="S23" i="23"/>
  <c r="C25" i="19"/>
  <c r="S26" i="23"/>
  <c r="S24" i="23"/>
  <c r="U117" i="23"/>
  <c r="K42" i="23"/>
  <c r="J40" i="23"/>
  <c r="K49" i="23"/>
  <c r="X40" i="19"/>
  <c r="X68" i="19"/>
  <c r="Y68" i="19"/>
  <c r="C52" i="19"/>
  <c r="D60" i="18"/>
  <c r="D67" i="18"/>
  <c r="O45" i="23"/>
  <c r="E117" i="23"/>
  <c r="K48" i="23"/>
  <c r="K43" i="23"/>
  <c r="S53" i="19"/>
  <c r="S51" i="19"/>
  <c r="O44" i="23"/>
  <c r="S50" i="19"/>
  <c r="R40" i="19"/>
  <c r="S41" i="19"/>
  <c r="E60" i="16"/>
  <c r="E67" i="16"/>
  <c r="E68" i="16"/>
  <c r="E71" i="16"/>
  <c r="C48" i="23"/>
  <c r="Q198" i="14"/>
  <c r="Q199" i="14"/>
  <c r="F67" i="16"/>
  <c r="F69" i="16"/>
  <c r="Q200" i="14"/>
  <c r="P188" i="14"/>
  <c r="P216" i="14"/>
  <c r="Q216" i="14"/>
  <c r="Z41" i="13"/>
  <c r="AA42" i="13"/>
  <c r="G11" i="19"/>
  <c r="C30" i="23"/>
  <c r="G5" i="19"/>
  <c r="W6" i="19"/>
  <c r="W8" i="19"/>
  <c r="W7" i="19"/>
  <c r="N60" i="18"/>
  <c r="N67" i="18"/>
  <c r="I52" i="19"/>
  <c r="C44" i="23"/>
  <c r="C43" i="23"/>
  <c r="H40" i="29"/>
  <c r="H68" i="29"/>
  <c r="C46" i="23"/>
  <c r="C47" i="23"/>
  <c r="C45" i="23"/>
  <c r="G116" i="23"/>
  <c r="G118" i="23"/>
  <c r="K122" i="23"/>
  <c r="I201" i="14"/>
  <c r="O43" i="23"/>
  <c r="M60" i="18"/>
  <c r="M67" i="18"/>
  <c r="M69" i="18"/>
  <c r="J60" i="20"/>
  <c r="J67" i="20"/>
  <c r="J68" i="20"/>
  <c r="O48" i="23"/>
  <c r="U53" i="29"/>
  <c r="C24" i="23"/>
  <c r="W9" i="23"/>
  <c r="G8" i="19"/>
  <c r="G12" i="19"/>
  <c r="G7" i="19"/>
  <c r="U50" i="29"/>
  <c r="G192" i="14"/>
  <c r="C42" i="29"/>
  <c r="C44" i="29"/>
  <c r="C48" i="29"/>
  <c r="C45" i="29"/>
  <c r="C43" i="29"/>
  <c r="E53" i="29"/>
  <c r="G54" i="29"/>
  <c r="U52" i="29"/>
  <c r="C47" i="29"/>
  <c r="U51" i="29"/>
  <c r="G50" i="29"/>
  <c r="Z87" i="29"/>
  <c r="AA95" i="29"/>
  <c r="E89" i="29"/>
  <c r="C92" i="29"/>
  <c r="C90" i="29"/>
  <c r="K93" i="29"/>
  <c r="O21" i="29"/>
  <c r="O17" i="29"/>
  <c r="O13" i="29"/>
  <c r="O31" i="23"/>
  <c r="G17" i="23"/>
  <c r="C15" i="23"/>
  <c r="O13" i="23"/>
  <c r="C18" i="23"/>
  <c r="O6" i="23"/>
  <c r="O5" i="23"/>
  <c r="S32" i="29"/>
  <c r="W25" i="23"/>
  <c r="S34" i="23"/>
  <c r="S31" i="29"/>
  <c r="W24" i="23"/>
  <c r="W36" i="19"/>
  <c r="E52" i="29"/>
  <c r="E50" i="29"/>
  <c r="G52" i="29"/>
  <c r="E54" i="29"/>
  <c r="G53" i="29"/>
  <c r="E32" i="14"/>
  <c r="I16" i="23"/>
  <c r="C8" i="23"/>
  <c r="B3" i="23"/>
  <c r="C62" i="23"/>
  <c r="D3" i="23"/>
  <c r="E22" i="23"/>
  <c r="X3" i="23"/>
  <c r="Y4" i="23"/>
  <c r="C6" i="23"/>
  <c r="W16" i="19"/>
  <c r="K43" i="29"/>
  <c r="Y53" i="19"/>
  <c r="I190" i="14"/>
  <c r="I50" i="19"/>
  <c r="M43" i="23"/>
  <c r="Q52" i="14"/>
  <c r="L60" i="16"/>
  <c r="L67" i="16"/>
  <c r="L68" i="16"/>
  <c r="L71" i="16"/>
  <c r="G120" i="23"/>
  <c r="E127" i="23"/>
  <c r="G122" i="23"/>
  <c r="I54" i="19"/>
  <c r="I191" i="14"/>
  <c r="I53" i="19"/>
  <c r="K30" i="19"/>
  <c r="C37" i="29"/>
  <c r="C33" i="29"/>
  <c r="O37" i="29"/>
  <c r="W33" i="29"/>
  <c r="U31" i="29"/>
  <c r="W37" i="23"/>
  <c r="I24" i="23"/>
  <c r="K26" i="23"/>
  <c r="M27" i="19"/>
  <c r="E30" i="23"/>
  <c r="E24" i="23"/>
  <c r="J56" i="16"/>
  <c r="J57" i="16"/>
  <c r="M47" i="23"/>
  <c r="M44" i="23"/>
  <c r="Q46" i="23"/>
  <c r="M45" i="23"/>
  <c r="K45" i="29"/>
  <c r="O25" i="23"/>
  <c r="F3" i="19"/>
  <c r="G56" i="19"/>
  <c r="M24" i="19"/>
  <c r="G34" i="29"/>
  <c r="K38" i="29"/>
  <c r="C35" i="23"/>
  <c r="C31" i="23"/>
  <c r="C34" i="23"/>
  <c r="G24" i="23"/>
  <c r="I23" i="19"/>
  <c r="U36" i="14"/>
  <c r="U37" i="14"/>
  <c r="M36" i="14"/>
  <c r="E25" i="23"/>
  <c r="K29" i="19"/>
  <c r="E29" i="23"/>
  <c r="E28" i="23"/>
  <c r="E23" i="23"/>
  <c r="K32" i="29"/>
  <c r="M26" i="23"/>
  <c r="G38" i="29"/>
  <c r="K35" i="29"/>
  <c r="K33" i="29"/>
  <c r="K31" i="29"/>
  <c r="K13" i="29"/>
  <c r="K34" i="29"/>
  <c r="L3" i="23"/>
  <c r="M22" i="23"/>
  <c r="E34" i="23"/>
  <c r="G25" i="23"/>
  <c r="O28" i="23"/>
  <c r="I27" i="19"/>
  <c r="M28" i="19"/>
  <c r="K37" i="29"/>
  <c r="K36" i="29"/>
  <c r="Y24" i="23"/>
  <c r="C38" i="23"/>
  <c r="G28" i="23"/>
  <c r="O24" i="23"/>
  <c r="N3" i="23"/>
  <c r="O62" i="23"/>
  <c r="S35" i="19"/>
  <c r="M30" i="19"/>
  <c r="G25" i="19"/>
  <c r="S37" i="19"/>
  <c r="M25" i="19"/>
  <c r="G28" i="19"/>
  <c r="M23" i="19"/>
  <c r="C37" i="14"/>
  <c r="O36" i="29"/>
  <c r="O34" i="29"/>
  <c r="O32" i="29"/>
  <c r="G37" i="23"/>
  <c r="Q32" i="23"/>
  <c r="C35" i="19"/>
  <c r="C32" i="19"/>
  <c r="G62" i="18"/>
  <c r="K32" i="19"/>
  <c r="C26" i="19"/>
  <c r="K38" i="19"/>
  <c r="U39" i="14"/>
  <c r="G37" i="14"/>
  <c r="G32" i="14"/>
  <c r="G33" i="14"/>
  <c r="C29" i="19"/>
  <c r="B40" i="29"/>
  <c r="C49" i="29"/>
  <c r="S24" i="19"/>
  <c r="O38" i="29"/>
  <c r="O31" i="29"/>
  <c r="Q31" i="29"/>
  <c r="S35" i="23"/>
  <c r="M34" i="23"/>
  <c r="S38" i="23"/>
  <c r="W28" i="23"/>
  <c r="O33" i="19"/>
  <c r="C24" i="19"/>
  <c r="K38" i="14"/>
  <c r="K37" i="14"/>
  <c r="S36" i="29"/>
  <c r="O35" i="29"/>
  <c r="O33" i="29"/>
  <c r="T3" i="23"/>
  <c r="U22" i="23"/>
  <c r="U26" i="23"/>
  <c r="Q23" i="19"/>
  <c r="C28" i="19"/>
  <c r="C30" i="19"/>
  <c r="O32" i="19"/>
  <c r="O34" i="19"/>
  <c r="O36" i="19"/>
  <c r="K33" i="14"/>
  <c r="O54" i="29"/>
  <c r="O53" i="29"/>
  <c r="O52" i="29"/>
  <c r="O50" i="29"/>
  <c r="W50" i="29"/>
  <c r="W51" i="29"/>
  <c r="W52" i="29"/>
  <c r="W54" i="29"/>
  <c r="O16" i="19"/>
  <c r="C18" i="19"/>
  <c r="C7" i="19"/>
  <c r="P3" i="23"/>
  <c r="Q62" i="23"/>
  <c r="W31" i="23"/>
  <c r="W16" i="23"/>
  <c r="G16" i="19"/>
  <c r="C11" i="19"/>
  <c r="W13" i="23"/>
  <c r="K14" i="19"/>
  <c r="E12" i="19"/>
  <c r="G38" i="19"/>
  <c r="W32" i="19"/>
  <c r="O36" i="14"/>
  <c r="K24" i="19"/>
  <c r="C12" i="23"/>
  <c r="C11" i="23"/>
  <c r="S14" i="19"/>
  <c r="M11" i="19"/>
  <c r="G10" i="23"/>
  <c r="S34" i="19"/>
  <c r="G24" i="19"/>
  <c r="T3" i="14"/>
  <c r="U56" i="14"/>
  <c r="S25" i="19"/>
  <c r="S27" i="19"/>
  <c r="S30" i="19"/>
  <c r="S23" i="19"/>
  <c r="S28" i="19"/>
  <c r="R3" i="19"/>
  <c r="S4" i="19"/>
  <c r="S26" i="19"/>
  <c r="K27" i="19"/>
  <c r="K25" i="19"/>
  <c r="K28" i="19"/>
  <c r="N3" i="19"/>
  <c r="O56" i="19"/>
  <c r="O20" i="19"/>
  <c r="G20" i="19"/>
  <c r="E8" i="19"/>
  <c r="D3" i="14"/>
  <c r="E40" i="14"/>
  <c r="S36" i="19"/>
  <c r="S25" i="14"/>
  <c r="G34" i="13"/>
  <c r="L114" i="23"/>
  <c r="M123" i="23"/>
  <c r="Y53" i="29"/>
  <c r="K42" i="29"/>
  <c r="K46" i="29"/>
  <c r="Y54" i="29"/>
  <c r="Y50" i="29"/>
  <c r="M202" i="14"/>
  <c r="I195" i="14"/>
  <c r="O196" i="14"/>
  <c r="Y198" i="14"/>
  <c r="J40" i="29"/>
  <c r="K49" i="29"/>
  <c r="L60" i="18"/>
  <c r="L67" i="18"/>
  <c r="L68" i="18"/>
  <c r="L71" i="18"/>
  <c r="Q43" i="23"/>
  <c r="U42" i="29"/>
  <c r="K44" i="29"/>
  <c r="Y51" i="29"/>
  <c r="K47" i="29"/>
  <c r="J67" i="16"/>
  <c r="J68" i="16"/>
  <c r="J71" i="16"/>
  <c r="U199" i="14"/>
  <c r="Q195" i="14"/>
  <c r="Y199" i="14"/>
  <c r="Q42" i="23"/>
  <c r="Q45" i="23"/>
  <c r="Y201" i="14"/>
  <c r="G46" i="23"/>
  <c r="Q51" i="29"/>
  <c r="U44" i="29"/>
  <c r="U46" i="29"/>
  <c r="U48" i="29"/>
  <c r="U43" i="29"/>
  <c r="U45" i="29"/>
  <c r="Q53" i="29"/>
  <c r="Y196" i="14"/>
  <c r="H188" i="14"/>
  <c r="H216" i="14"/>
  <c r="I216" i="14"/>
  <c r="M127" i="23"/>
  <c r="C116" i="23"/>
  <c r="I61" i="16"/>
  <c r="I62" i="16"/>
  <c r="I67" i="16"/>
  <c r="I69" i="16"/>
  <c r="I70" i="16"/>
  <c r="I56" i="16"/>
  <c r="I57" i="16"/>
  <c r="H64" i="16"/>
  <c r="N40" i="29"/>
  <c r="O41" i="29"/>
  <c r="Q50" i="29"/>
  <c r="Q54" i="29"/>
  <c r="Q54" i="14"/>
  <c r="X188" i="14"/>
  <c r="Y189" i="14"/>
  <c r="E66" i="16"/>
  <c r="D60" i="16"/>
  <c r="D61" i="16"/>
  <c r="D62" i="16"/>
  <c r="I47" i="19"/>
  <c r="F67" i="18"/>
  <c r="F69" i="18"/>
  <c r="W119" i="23"/>
  <c r="E121" i="23"/>
  <c r="U121" i="23"/>
  <c r="C127" i="23"/>
  <c r="T114" i="23"/>
  <c r="U123" i="23"/>
  <c r="C125" i="23"/>
  <c r="W120" i="23"/>
  <c r="V114" i="23"/>
  <c r="V142" i="23"/>
  <c r="W142" i="23"/>
  <c r="W38" i="14"/>
  <c r="W35" i="14"/>
  <c r="W32" i="14"/>
  <c r="W32" i="29"/>
  <c r="C38" i="29"/>
  <c r="O37" i="23"/>
  <c r="W33" i="23"/>
  <c r="K31" i="23"/>
  <c r="K38" i="23"/>
  <c r="W32" i="23"/>
  <c r="O38" i="19"/>
  <c r="O24" i="19"/>
  <c r="W37" i="19"/>
  <c r="W36" i="14"/>
  <c r="O37" i="14"/>
  <c r="O38" i="14"/>
  <c r="W34" i="14"/>
  <c r="O28" i="19"/>
  <c r="O37" i="19"/>
  <c r="W33" i="14"/>
  <c r="B3" i="14"/>
  <c r="C62" i="14"/>
  <c r="M5" i="19"/>
  <c r="K7" i="23"/>
  <c r="W10" i="23"/>
  <c r="C6" i="19"/>
  <c r="W8" i="23"/>
  <c r="V3" i="23"/>
  <c r="K9" i="23"/>
  <c r="W7" i="23"/>
  <c r="W12" i="23"/>
  <c r="K5" i="23"/>
  <c r="O12" i="19"/>
  <c r="W6" i="23"/>
  <c r="W5" i="23"/>
  <c r="G9" i="23"/>
  <c r="U24" i="14"/>
  <c r="U32" i="14"/>
  <c r="E25" i="19"/>
  <c r="M29" i="19"/>
  <c r="S38" i="19"/>
  <c r="G36" i="19"/>
  <c r="G37" i="19"/>
  <c r="Q26" i="14"/>
  <c r="S37" i="14"/>
  <c r="G34" i="14"/>
  <c r="G31" i="14"/>
  <c r="W37" i="14"/>
  <c r="I39" i="14"/>
  <c r="O32" i="14"/>
  <c r="O33" i="14"/>
  <c r="O34" i="14"/>
  <c r="S37" i="29"/>
  <c r="S33" i="29"/>
  <c r="G35" i="29"/>
  <c r="G36" i="29"/>
  <c r="G32" i="29"/>
  <c r="S38" i="29"/>
  <c r="S34" i="29"/>
  <c r="M31" i="29"/>
  <c r="S35" i="29"/>
  <c r="G31" i="29"/>
  <c r="S13" i="29"/>
  <c r="G37" i="29"/>
  <c r="G33" i="29"/>
  <c r="I31" i="29"/>
  <c r="G13" i="29"/>
  <c r="Q48" i="29"/>
  <c r="V40" i="29"/>
  <c r="V68" i="29"/>
  <c r="W68" i="29"/>
  <c r="P40" i="29"/>
  <c r="Q49" i="29"/>
  <c r="E27" i="19"/>
  <c r="S12" i="23"/>
  <c r="O7" i="19"/>
  <c r="S11" i="23"/>
  <c r="F20" i="20"/>
  <c r="E125" i="23"/>
  <c r="C117" i="23"/>
  <c r="E126" i="23"/>
  <c r="U124" i="23"/>
  <c r="C118" i="23"/>
  <c r="D114" i="23"/>
  <c r="E123" i="23"/>
  <c r="H115" i="29"/>
  <c r="I118" i="29"/>
  <c r="E124" i="23"/>
  <c r="U126" i="23"/>
  <c r="C122" i="23"/>
  <c r="C53" i="29"/>
  <c r="I45" i="23"/>
  <c r="N56" i="16"/>
  <c r="N57" i="16"/>
  <c r="D64" i="18"/>
  <c r="H115" i="13"/>
  <c r="I120" i="13"/>
  <c r="C126" i="23"/>
  <c r="U128" i="23"/>
  <c r="C119" i="23"/>
  <c r="B114" i="23"/>
  <c r="C123" i="23"/>
  <c r="C128" i="23"/>
  <c r="U127" i="23"/>
  <c r="K52" i="29"/>
  <c r="D56" i="16"/>
  <c r="D57" i="16"/>
  <c r="N66" i="18"/>
  <c r="R40" i="29"/>
  <c r="R68" i="29"/>
  <c r="S68" i="29"/>
  <c r="O46" i="29"/>
  <c r="E64" i="18"/>
  <c r="F40" i="29"/>
  <c r="G41" i="29"/>
  <c r="O43" i="29"/>
  <c r="O44" i="29"/>
  <c r="O48" i="29"/>
  <c r="C51" i="29"/>
  <c r="C54" i="29"/>
  <c r="S53" i="29"/>
  <c r="C52" i="29"/>
  <c r="Y25" i="19"/>
  <c r="K8" i="23"/>
  <c r="I7" i="19"/>
  <c r="U9" i="19"/>
  <c r="M20" i="23"/>
  <c r="U6" i="19"/>
  <c r="U14" i="19"/>
  <c r="Y32" i="29"/>
  <c r="C10" i="19"/>
  <c r="E5" i="19"/>
  <c r="C5" i="19"/>
  <c r="B3" i="19"/>
  <c r="E9" i="19"/>
  <c r="E11" i="19"/>
  <c r="E7" i="19"/>
  <c r="I25" i="23"/>
  <c r="E19" i="29"/>
  <c r="M36" i="29"/>
  <c r="U20" i="19"/>
  <c r="U13" i="19"/>
  <c r="C28" i="14"/>
  <c r="G18" i="23"/>
  <c r="E18" i="29"/>
  <c r="U15" i="19"/>
  <c r="C24" i="13"/>
  <c r="K34" i="19"/>
  <c r="C38" i="19"/>
  <c r="E24" i="19"/>
  <c r="G35" i="14"/>
  <c r="E34" i="29"/>
  <c r="U11" i="23"/>
  <c r="Q26" i="23"/>
  <c r="Q29" i="23"/>
  <c r="S25" i="13"/>
  <c r="E32" i="29"/>
  <c r="Q23" i="14"/>
  <c r="I6" i="23"/>
  <c r="E37" i="29"/>
  <c r="R3" i="13"/>
  <c r="S4" i="13"/>
  <c r="Q25" i="14"/>
  <c r="S26" i="13"/>
  <c r="I29" i="13"/>
  <c r="Q28" i="29"/>
  <c r="I37" i="29"/>
  <c r="I35" i="29"/>
  <c r="Y8" i="23"/>
  <c r="G27" i="23"/>
  <c r="S39" i="23"/>
  <c r="E17" i="23"/>
  <c r="Y35" i="29"/>
  <c r="S52" i="29"/>
  <c r="W46" i="29"/>
  <c r="W47" i="29"/>
  <c r="W44" i="29"/>
  <c r="E23" i="19"/>
  <c r="G39" i="23"/>
  <c r="Q30" i="23"/>
  <c r="H3" i="13"/>
  <c r="H55" i="13"/>
  <c r="I55" i="13"/>
  <c r="Q30" i="14"/>
  <c r="U23" i="14"/>
  <c r="Q10" i="19"/>
  <c r="Q36" i="29"/>
  <c r="Q26" i="19"/>
  <c r="S28" i="13"/>
  <c r="C27" i="29"/>
  <c r="C111" i="29"/>
  <c r="C39" i="19"/>
  <c r="Q23" i="23"/>
  <c r="E38" i="29"/>
  <c r="E36" i="29"/>
  <c r="Y24" i="13"/>
  <c r="Q8" i="19"/>
  <c r="I26" i="13"/>
  <c r="K50" i="29"/>
  <c r="K51" i="29"/>
  <c r="G46" i="29"/>
  <c r="O45" i="29"/>
  <c r="O47" i="29"/>
  <c r="K54" i="29"/>
  <c r="S50" i="29"/>
  <c r="S51" i="29"/>
  <c r="G48" i="29"/>
  <c r="S45" i="29"/>
  <c r="W45" i="29"/>
  <c r="G43" i="29"/>
  <c r="W43" i="29"/>
  <c r="W42" i="29"/>
  <c r="G47" i="29"/>
  <c r="G45" i="29"/>
  <c r="M44" i="29"/>
  <c r="S42" i="29"/>
  <c r="G42" i="29"/>
  <c r="S44" i="29"/>
  <c r="S43" i="29"/>
  <c r="E43" i="29"/>
  <c r="S46" i="29"/>
  <c r="Y202" i="14"/>
  <c r="P40" i="14"/>
  <c r="Q41" i="14"/>
  <c r="M45" i="29"/>
  <c r="M48" i="29"/>
  <c r="Q50" i="14"/>
  <c r="S47" i="29"/>
  <c r="Q193" i="14"/>
  <c r="G43" i="13"/>
  <c r="M43" i="29"/>
  <c r="I66" i="16"/>
  <c r="F40" i="13"/>
  <c r="G41" i="13"/>
  <c r="M42" i="29"/>
  <c r="M46" i="29"/>
  <c r="I42" i="23"/>
  <c r="I47" i="23"/>
  <c r="G46" i="13"/>
  <c r="G45" i="13"/>
  <c r="I46" i="23"/>
  <c r="G42" i="13"/>
  <c r="G47" i="13"/>
  <c r="E48" i="29"/>
  <c r="E46" i="29"/>
  <c r="E42" i="29"/>
  <c r="E47" i="29"/>
  <c r="E44" i="29"/>
  <c r="M33" i="23"/>
  <c r="W30" i="23"/>
  <c r="U25" i="23"/>
  <c r="Q37" i="29"/>
  <c r="M33" i="19"/>
  <c r="E12" i="23"/>
  <c r="U35" i="29"/>
  <c r="Y28" i="13"/>
  <c r="Q30" i="19"/>
  <c r="Q38" i="29"/>
  <c r="Q39" i="29"/>
  <c r="M35" i="23"/>
  <c r="U23" i="23"/>
  <c r="U38" i="29"/>
  <c r="W23" i="23"/>
  <c r="N3" i="13"/>
  <c r="O62" i="13"/>
  <c r="U33" i="29"/>
  <c r="Y27" i="13"/>
  <c r="Y23" i="13"/>
  <c r="U27" i="14"/>
  <c r="M35" i="19"/>
  <c r="Q24" i="19"/>
  <c r="O26" i="13"/>
  <c r="O29" i="13"/>
  <c r="O27" i="13"/>
  <c r="O30" i="13"/>
  <c r="M38" i="23"/>
  <c r="S32" i="23"/>
  <c r="U27" i="23"/>
  <c r="X3" i="13"/>
  <c r="X55" i="13"/>
  <c r="X58" i="13"/>
  <c r="M37" i="23"/>
  <c r="M39" i="19"/>
  <c r="K5" i="13"/>
  <c r="U29" i="23"/>
  <c r="Y26" i="13"/>
  <c r="Q34" i="29"/>
  <c r="M32" i="19"/>
  <c r="U32" i="29"/>
  <c r="U30" i="14"/>
  <c r="U26" i="14"/>
  <c r="O24" i="13"/>
  <c r="O28" i="13"/>
  <c r="Q29" i="19"/>
  <c r="Q33" i="29"/>
  <c r="M32" i="23"/>
  <c r="S33" i="23"/>
  <c r="S37" i="23"/>
  <c r="M37" i="19"/>
  <c r="U30" i="23"/>
  <c r="U34" i="29"/>
  <c r="W27" i="23"/>
  <c r="M39" i="23"/>
  <c r="M34" i="19"/>
  <c r="K9" i="13"/>
  <c r="U37" i="29"/>
  <c r="W26" i="23"/>
  <c r="Y29" i="13"/>
  <c r="Y25" i="13"/>
  <c r="Q32" i="29"/>
  <c r="U29" i="14"/>
  <c r="Q25" i="19"/>
  <c r="U28" i="23"/>
  <c r="U25" i="14"/>
  <c r="M38" i="19"/>
  <c r="U36" i="29"/>
  <c r="O25" i="13"/>
  <c r="J3" i="23"/>
  <c r="K59" i="23"/>
  <c r="M9" i="19"/>
  <c r="G8" i="23"/>
  <c r="F3" i="23"/>
  <c r="F67" i="23"/>
  <c r="E11" i="23"/>
  <c r="Y5" i="23"/>
  <c r="Y10" i="23"/>
  <c r="E6" i="23"/>
  <c r="M6" i="19"/>
  <c r="K6" i="13"/>
  <c r="K10" i="13"/>
  <c r="K12" i="23"/>
  <c r="K11" i="23"/>
  <c r="G11" i="23"/>
  <c r="G12" i="23"/>
  <c r="I11" i="19"/>
  <c r="Y10" i="14"/>
  <c r="E15" i="23"/>
  <c r="E9" i="23"/>
  <c r="Y7" i="23"/>
  <c r="U19" i="19"/>
  <c r="Y11" i="23"/>
  <c r="U21" i="19"/>
  <c r="E5" i="23"/>
  <c r="M8" i="19"/>
  <c r="K7" i="13"/>
  <c r="K11" i="13"/>
  <c r="K6" i="23"/>
  <c r="G6" i="23"/>
  <c r="G5" i="23"/>
  <c r="U5" i="19"/>
  <c r="Y6" i="14"/>
  <c r="E8" i="23"/>
  <c r="E10" i="23"/>
  <c r="Y6" i="23"/>
  <c r="J3" i="13"/>
  <c r="J55" i="13"/>
  <c r="J58" i="13"/>
  <c r="M12" i="23"/>
  <c r="Y12" i="23"/>
  <c r="U18" i="19"/>
  <c r="M12" i="19"/>
  <c r="K8" i="13"/>
  <c r="W121" i="23"/>
  <c r="Y191" i="14"/>
  <c r="O190" i="14"/>
  <c r="N66" i="16"/>
  <c r="H60" i="16"/>
  <c r="H67" i="16"/>
  <c r="H68" i="16"/>
  <c r="H71" i="16"/>
  <c r="G44" i="13"/>
  <c r="Y195" i="14"/>
  <c r="O192" i="14"/>
  <c r="AA134" i="19"/>
  <c r="O191" i="14"/>
  <c r="I50" i="29"/>
  <c r="I51" i="29"/>
  <c r="P197" i="19"/>
  <c r="Q198" i="19"/>
  <c r="I52" i="29"/>
  <c r="V115" i="19"/>
  <c r="W117" i="19"/>
  <c r="AB57" i="29"/>
  <c r="M124" i="23"/>
  <c r="M125" i="23"/>
  <c r="M126" i="23"/>
  <c r="I54" i="29"/>
  <c r="E120" i="23"/>
  <c r="U118" i="23"/>
  <c r="Y45" i="19"/>
  <c r="C60" i="18"/>
  <c r="C67" i="18"/>
  <c r="C68" i="18"/>
  <c r="C71" i="18"/>
  <c r="Y46" i="19"/>
  <c r="K60" i="18"/>
  <c r="K67" i="18"/>
  <c r="K68" i="18"/>
  <c r="K71" i="18"/>
  <c r="O53" i="23"/>
  <c r="U16" i="19"/>
  <c r="I6" i="19"/>
  <c r="M5" i="23"/>
  <c r="M19" i="23"/>
  <c r="I5" i="19"/>
  <c r="U17" i="19"/>
  <c r="O31" i="19"/>
  <c r="O13" i="19"/>
  <c r="S6" i="23"/>
  <c r="R3" i="23"/>
  <c r="R67" i="23"/>
  <c r="U7" i="23"/>
  <c r="U13" i="29"/>
  <c r="I12" i="23"/>
  <c r="U20" i="29"/>
  <c r="Q7" i="19"/>
  <c r="O10" i="19"/>
  <c r="S9" i="23"/>
  <c r="S10" i="23"/>
  <c r="P3" i="19"/>
  <c r="Q56" i="19"/>
  <c r="O9" i="19"/>
  <c r="I9" i="23"/>
  <c r="Q12" i="19"/>
  <c r="Q9" i="19"/>
  <c r="O6" i="19"/>
  <c r="S8" i="23"/>
  <c r="S7" i="23"/>
  <c r="O8" i="19"/>
  <c r="C13" i="19"/>
  <c r="O5" i="19"/>
  <c r="U17" i="23"/>
  <c r="U9" i="23"/>
  <c r="U10" i="23"/>
  <c r="I5" i="23"/>
  <c r="O21" i="23"/>
  <c r="W19" i="23"/>
  <c r="U14" i="29"/>
  <c r="Q6" i="19"/>
  <c r="U16" i="29"/>
  <c r="W10" i="13"/>
  <c r="I25" i="19"/>
  <c r="W12" i="13"/>
  <c r="Q30" i="13"/>
  <c r="M35" i="29"/>
  <c r="I29" i="19"/>
  <c r="W14" i="23"/>
  <c r="Q8" i="23"/>
  <c r="E5" i="14"/>
  <c r="Q25" i="13"/>
  <c r="I25" i="29"/>
  <c r="C33" i="23"/>
  <c r="U12" i="19"/>
  <c r="E32" i="23"/>
  <c r="G15" i="23"/>
  <c r="G19" i="23"/>
  <c r="Y26" i="23"/>
  <c r="E31" i="23"/>
  <c r="E15" i="29"/>
  <c r="M16" i="23"/>
  <c r="Y5" i="14"/>
  <c r="O11" i="23"/>
  <c r="Y24" i="19"/>
  <c r="C28" i="13"/>
  <c r="I34" i="29"/>
  <c r="X3" i="19"/>
  <c r="X67" i="19"/>
  <c r="M15" i="23"/>
  <c r="W39" i="23"/>
  <c r="E19" i="23"/>
  <c r="M6" i="23"/>
  <c r="G21" i="23"/>
  <c r="W6" i="13"/>
  <c r="Q9" i="23"/>
  <c r="I18" i="14"/>
  <c r="Y26" i="19"/>
  <c r="C23" i="14"/>
  <c r="C27" i="13"/>
  <c r="C26" i="13"/>
  <c r="I32" i="29"/>
  <c r="M32" i="29"/>
  <c r="M33" i="29"/>
  <c r="E33" i="23"/>
  <c r="G27" i="19"/>
  <c r="G26" i="23"/>
  <c r="Y29" i="23"/>
  <c r="G26" i="19"/>
  <c r="E12" i="14"/>
  <c r="E6" i="14"/>
  <c r="W8" i="13"/>
  <c r="I15" i="14"/>
  <c r="Q12" i="23"/>
  <c r="Q6" i="23"/>
  <c r="W21" i="23"/>
  <c r="I14" i="14"/>
  <c r="C8" i="19"/>
  <c r="E9" i="14"/>
  <c r="K32" i="14"/>
  <c r="M28" i="23"/>
  <c r="I38" i="29"/>
  <c r="M29" i="23"/>
  <c r="M38" i="29"/>
  <c r="M24" i="23"/>
  <c r="Q29" i="13"/>
  <c r="Q23" i="13"/>
  <c r="C32" i="23"/>
  <c r="L3" i="19"/>
  <c r="L67" i="19"/>
  <c r="M37" i="29"/>
  <c r="E39" i="23"/>
  <c r="Y27" i="23"/>
  <c r="W15" i="23"/>
  <c r="Y30" i="23"/>
  <c r="G29" i="23"/>
  <c r="Y28" i="23"/>
  <c r="G23" i="19"/>
  <c r="E10" i="19"/>
  <c r="W7" i="13"/>
  <c r="Q5" i="23"/>
  <c r="Q7" i="23"/>
  <c r="I16" i="14"/>
  <c r="P3" i="13"/>
  <c r="Q3" i="13"/>
  <c r="E7" i="14"/>
  <c r="M25" i="23"/>
  <c r="I33" i="29"/>
  <c r="E10" i="14"/>
  <c r="M27" i="23"/>
  <c r="E11" i="14"/>
  <c r="G29" i="19"/>
  <c r="I24" i="19"/>
  <c r="I17" i="14"/>
  <c r="I39" i="29"/>
  <c r="C39" i="23"/>
  <c r="V3" i="13"/>
  <c r="M34" i="29"/>
  <c r="G30" i="23"/>
  <c r="I30" i="19"/>
  <c r="C12" i="19"/>
  <c r="E35" i="23"/>
  <c r="Y25" i="23"/>
  <c r="E38" i="23"/>
  <c r="I28" i="19"/>
  <c r="W9" i="13"/>
  <c r="W5" i="13"/>
  <c r="I19" i="14"/>
  <c r="Q10" i="23"/>
  <c r="I20" i="14"/>
  <c r="E36" i="23"/>
  <c r="C36" i="23"/>
  <c r="M23" i="23"/>
  <c r="Q26" i="13"/>
  <c r="Q24" i="13"/>
  <c r="Q28" i="13"/>
  <c r="Y39" i="29"/>
  <c r="Y34" i="29"/>
  <c r="E21" i="23"/>
  <c r="E13" i="23"/>
  <c r="M31" i="23"/>
  <c r="M21" i="23"/>
  <c r="U8" i="23"/>
  <c r="X3" i="14"/>
  <c r="Y22" i="14"/>
  <c r="Q27" i="23"/>
  <c r="U12" i="23"/>
  <c r="I7" i="23"/>
  <c r="O15" i="23"/>
  <c r="E13" i="29"/>
  <c r="K33" i="23"/>
  <c r="E18" i="23"/>
  <c r="I26" i="23"/>
  <c r="M8" i="23"/>
  <c r="O39" i="23"/>
  <c r="U16" i="23"/>
  <c r="K33" i="19"/>
  <c r="M11" i="23"/>
  <c r="K36" i="23"/>
  <c r="U15" i="23"/>
  <c r="H3" i="19"/>
  <c r="I22" i="19"/>
  <c r="E16" i="23"/>
  <c r="I9" i="19"/>
  <c r="Y11" i="14"/>
  <c r="O19" i="23"/>
  <c r="E21" i="29"/>
  <c r="Y30" i="19"/>
  <c r="Y23" i="19"/>
  <c r="U15" i="29"/>
  <c r="U18" i="29"/>
  <c r="I12" i="19"/>
  <c r="C25" i="14"/>
  <c r="Q24" i="14"/>
  <c r="Y9" i="14"/>
  <c r="E26" i="19"/>
  <c r="E16" i="29"/>
  <c r="C26" i="14"/>
  <c r="Y8" i="14"/>
  <c r="C25" i="13"/>
  <c r="Q5" i="19"/>
  <c r="C27" i="14"/>
  <c r="C24" i="14"/>
  <c r="I28" i="13"/>
  <c r="S23" i="13"/>
  <c r="S29" i="13"/>
  <c r="S24" i="13"/>
  <c r="Q27" i="14"/>
  <c r="I24" i="13"/>
  <c r="I23" i="13"/>
  <c r="C23" i="29"/>
  <c r="U19" i="23"/>
  <c r="D3" i="19"/>
  <c r="D67" i="19"/>
  <c r="M13" i="23"/>
  <c r="M18" i="23"/>
  <c r="B3" i="13"/>
  <c r="C3" i="13"/>
  <c r="G38" i="23"/>
  <c r="Q25" i="23"/>
  <c r="U5" i="23"/>
  <c r="I11" i="23"/>
  <c r="I8" i="23"/>
  <c r="O14" i="23"/>
  <c r="E35" i="29"/>
  <c r="T3" i="19"/>
  <c r="T67" i="19"/>
  <c r="E33" i="29"/>
  <c r="I30" i="23"/>
  <c r="I23" i="23"/>
  <c r="M7" i="23"/>
  <c r="K37" i="23"/>
  <c r="M9" i="23"/>
  <c r="Z4" i="23"/>
  <c r="AA5" i="23"/>
  <c r="U20" i="23"/>
  <c r="I8" i="19"/>
  <c r="K39" i="23"/>
  <c r="U18" i="23"/>
  <c r="W34" i="19"/>
  <c r="U21" i="29"/>
  <c r="Y12" i="14"/>
  <c r="E20" i="29"/>
  <c r="I29" i="23"/>
  <c r="E14" i="29"/>
  <c r="W35" i="19"/>
  <c r="Y29" i="19"/>
  <c r="C30" i="14"/>
  <c r="Q29" i="14"/>
  <c r="Y37" i="29"/>
  <c r="I27" i="23"/>
  <c r="C23" i="13"/>
  <c r="Y33" i="29"/>
  <c r="U19" i="29"/>
  <c r="W20" i="14"/>
  <c r="U8" i="19"/>
  <c r="C30" i="13"/>
  <c r="Y27" i="19"/>
  <c r="I25" i="13"/>
  <c r="I30" i="13"/>
  <c r="S27" i="13"/>
  <c r="G34" i="23"/>
  <c r="C29" i="29"/>
  <c r="C30" i="29"/>
  <c r="C24" i="29"/>
  <c r="C28" i="29"/>
  <c r="I24" i="29"/>
  <c r="I30" i="29"/>
  <c r="Y38" i="29"/>
  <c r="I28" i="29"/>
  <c r="I27" i="29"/>
  <c r="I23" i="29"/>
  <c r="I26" i="29"/>
  <c r="S6" i="29"/>
  <c r="S10" i="29"/>
  <c r="Y12" i="29"/>
  <c r="S7" i="29"/>
  <c r="S11" i="29"/>
  <c r="S8" i="29"/>
  <c r="S12" i="29"/>
  <c r="S5" i="29"/>
  <c r="C53" i="23"/>
  <c r="Y47" i="19"/>
  <c r="Y44" i="19"/>
  <c r="Q15" i="23"/>
  <c r="O23" i="23"/>
  <c r="S33" i="19"/>
  <c r="G36" i="14"/>
  <c r="O15" i="19"/>
  <c r="O26" i="23"/>
  <c r="S32" i="19"/>
  <c r="O30" i="23"/>
  <c r="Q34" i="23"/>
  <c r="Q13" i="29"/>
  <c r="C108" i="29"/>
  <c r="W35" i="23"/>
  <c r="Y18" i="29"/>
  <c r="W38" i="23"/>
  <c r="S34" i="14"/>
  <c r="I21" i="23"/>
  <c r="W31" i="19"/>
  <c r="K13" i="19"/>
  <c r="I18" i="23"/>
  <c r="W14" i="19"/>
  <c r="K31" i="19"/>
  <c r="W13" i="19"/>
  <c r="K15" i="19"/>
  <c r="W17" i="14"/>
  <c r="Y19" i="29"/>
  <c r="Q19" i="29"/>
  <c r="C112" i="29"/>
  <c r="C113" i="29"/>
  <c r="O29" i="23"/>
  <c r="O30" i="19"/>
  <c r="Y14" i="29"/>
  <c r="Y17" i="29"/>
  <c r="Q20" i="23"/>
  <c r="O17" i="19"/>
  <c r="C106" i="29"/>
  <c r="Y13" i="29"/>
  <c r="W21" i="14"/>
  <c r="C110" i="29"/>
  <c r="O35" i="23"/>
  <c r="O34" i="23"/>
  <c r="Y20" i="29"/>
  <c r="W13" i="14"/>
  <c r="E17" i="14"/>
  <c r="W18" i="14"/>
  <c r="W31" i="14"/>
  <c r="W19" i="14"/>
  <c r="W14" i="14"/>
  <c r="Y15" i="29"/>
  <c r="Y16" i="29"/>
  <c r="W15" i="14"/>
  <c r="Y35" i="23"/>
  <c r="I20" i="23"/>
  <c r="W17" i="19"/>
  <c r="M33" i="14"/>
  <c r="S36" i="14"/>
  <c r="W18" i="19"/>
  <c r="W21" i="19"/>
  <c r="I17" i="23"/>
  <c r="I14" i="23"/>
  <c r="S39" i="14"/>
  <c r="K20" i="19"/>
  <c r="W15" i="19"/>
  <c r="Y14" i="19"/>
  <c r="G32" i="19"/>
  <c r="E39" i="14"/>
  <c r="C17" i="19"/>
  <c r="I20" i="29"/>
  <c r="I17" i="29"/>
  <c r="K15" i="23"/>
  <c r="G7" i="29"/>
  <c r="Y8" i="29"/>
  <c r="K14" i="23"/>
  <c r="S18" i="19"/>
  <c r="E21" i="14"/>
  <c r="G8" i="29"/>
  <c r="Y9" i="29"/>
  <c r="Q18" i="29"/>
  <c r="Q16" i="29"/>
  <c r="G39" i="19"/>
  <c r="W29" i="19"/>
  <c r="W26" i="19"/>
  <c r="I13" i="29"/>
  <c r="I14" i="29"/>
  <c r="E14" i="14"/>
  <c r="E18" i="14"/>
  <c r="M18" i="29"/>
  <c r="M16" i="29"/>
  <c r="Q21" i="29"/>
  <c r="I15" i="29"/>
  <c r="Q15" i="29"/>
  <c r="M13" i="29"/>
  <c r="E15" i="14"/>
  <c r="E19" i="14"/>
  <c r="I16" i="29"/>
  <c r="M21" i="29"/>
  <c r="M15" i="29"/>
  <c r="E13" i="14"/>
  <c r="E31" i="14"/>
  <c r="I18" i="29"/>
  <c r="Q14" i="29"/>
  <c r="I21" i="29"/>
  <c r="E16" i="14"/>
  <c r="M20" i="29"/>
  <c r="M17" i="29"/>
  <c r="M14" i="29"/>
  <c r="Y5" i="29"/>
  <c r="Y10" i="29"/>
  <c r="C14" i="19"/>
  <c r="C31" i="19"/>
  <c r="O43" i="16"/>
  <c r="O51" i="16"/>
  <c r="M12" i="29"/>
  <c r="S31" i="23"/>
  <c r="S18" i="23"/>
  <c r="C19" i="19"/>
  <c r="C21" i="19"/>
  <c r="W24" i="19"/>
  <c r="C15" i="19"/>
  <c r="C16" i="19"/>
  <c r="K28" i="23"/>
  <c r="W30" i="19"/>
  <c r="K24" i="23"/>
  <c r="K29" i="23"/>
  <c r="G6" i="29"/>
  <c r="G5" i="29"/>
  <c r="G10" i="29"/>
  <c r="G9" i="29"/>
  <c r="G12" i="29"/>
  <c r="Q20" i="29"/>
  <c r="M11" i="29"/>
  <c r="M10" i="29"/>
  <c r="Y11" i="29"/>
  <c r="Y7" i="29"/>
  <c r="M5" i="29"/>
  <c r="M8" i="29"/>
  <c r="M7" i="29"/>
  <c r="M6" i="29"/>
  <c r="I19" i="23"/>
  <c r="S35" i="14"/>
  <c r="S32" i="14"/>
  <c r="X3" i="29"/>
  <c r="Y56" i="29"/>
  <c r="Z4" i="14"/>
  <c r="AA9" i="14"/>
  <c r="J197" i="19"/>
  <c r="K199" i="19"/>
  <c r="Q14" i="23"/>
  <c r="O18" i="19"/>
  <c r="Q20" i="19"/>
  <c r="Q20" i="14"/>
  <c r="Q26" i="29"/>
  <c r="Q23" i="29"/>
  <c r="U35" i="14"/>
  <c r="E36" i="19"/>
  <c r="U33" i="14"/>
  <c r="U34" i="14"/>
  <c r="E33" i="19"/>
  <c r="E32" i="19"/>
  <c r="H189" i="19"/>
  <c r="I195" i="19"/>
  <c r="M120" i="23"/>
  <c r="M122" i="23"/>
  <c r="H40" i="19"/>
  <c r="H68" i="19"/>
  <c r="I68" i="19"/>
  <c r="G60" i="18"/>
  <c r="E53" i="23"/>
  <c r="E50" i="23"/>
  <c r="N123" i="19"/>
  <c r="O125" i="19"/>
  <c r="E51" i="23"/>
  <c r="G117" i="23"/>
  <c r="S52" i="23"/>
  <c r="I54" i="14"/>
  <c r="O51" i="23"/>
  <c r="H40" i="14"/>
  <c r="I41" i="14"/>
  <c r="M118" i="23"/>
  <c r="M116" i="23"/>
  <c r="M119" i="23"/>
  <c r="M121" i="23"/>
  <c r="U120" i="23"/>
  <c r="E116" i="23"/>
  <c r="U122" i="23"/>
  <c r="O50" i="23"/>
  <c r="E52" i="23"/>
  <c r="S51" i="23"/>
  <c r="I52" i="14"/>
  <c r="X40" i="23"/>
  <c r="E118" i="23"/>
  <c r="Q43" i="19"/>
  <c r="Q45" i="19"/>
  <c r="Y54" i="23"/>
  <c r="E119" i="23"/>
  <c r="Q42" i="19"/>
  <c r="G67" i="18"/>
  <c r="G69" i="18"/>
  <c r="H60" i="18"/>
  <c r="H61" i="18"/>
  <c r="H62" i="18"/>
  <c r="Q127" i="23"/>
  <c r="U200" i="14"/>
  <c r="G195" i="14"/>
  <c r="Q194" i="14"/>
  <c r="H56" i="18"/>
  <c r="H57" i="18"/>
  <c r="K118" i="23"/>
  <c r="W117" i="23"/>
  <c r="W116" i="23"/>
  <c r="Q125" i="23"/>
  <c r="U201" i="14"/>
  <c r="G194" i="14"/>
  <c r="Q191" i="14"/>
  <c r="F188" i="14"/>
  <c r="F216" i="14"/>
  <c r="G216" i="14"/>
  <c r="X40" i="14"/>
  <c r="X68" i="14"/>
  <c r="O52" i="23"/>
  <c r="S53" i="23"/>
  <c r="S50" i="23"/>
  <c r="Q51" i="14"/>
  <c r="I50" i="14"/>
  <c r="I53" i="14"/>
  <c r="X197" i="19"/>
  <c r="Y198" i="19"/>
  <c r="Q126" i="23"/>
  <c r="U198" i="14"/>
  <c r="G193" i="14"/>
  <c r="Q192" i="14"/>
  <c r="K120" i="23"/>
  <c r="I48" i="19"/>
  <c r="H123" i="19"/>
  <c r="I126" i="19"/>
  <c r="Y43" i="19"/>
  <c r="Y53" i="23"/>
  <c r="Q45" i="29"/>
  <c r="M52" i="23"/>
  <c r="Q44" i="19"/>
  <c r="P40" i="19"/>
  <c r="Q51" i="19"/>
  <c r="I44" i="19"/>
  <c r="G119" i="23"/>
  <c r="L40" i="23"/>
  <c r="Y42" i="19"/>
  <c r="Y54" i="14"/>
  <c r="Y52" i="14"/>
  <c r="K50" i="23"/>
  <c r="Y50" i="14"/>
  <c r="Y51" i="14"/>
  <c r="K54" i="23"/>
  <c r="M21" i="19"/>
  <c r="U38" i="23"/>
  <c r="I34" i="23"/>
  <c r="E37" i="19"/>
  <c r="Q19" i="23"/>
  <c r="E34" i="19"/>
  <c r="O19" i="19"/>
  <c r="O14" i="19"/>
  <c r="E39" i="19"/>
  <c r="G33" i="13"/>
  <c r="Q18" i="23"/>
  <c r="O27" i="19"/>
  <c r="O29" i="19"/>
  <c r="O23" i="19"/>
  <c r="E35" i="19"/>
  <c r="Q21" i="23"/>
  <c r="E34" i="14"/>
  <c r="M18" i="19"/>
  <c r="U13" i="23"/>
  <c r="Z4" i="13"/>
  <c r="AA10" i="13"/>
  <c r="Z4" i="19"/>
  <c r="AA6" i="19"/>
  <c r="Z13" i="14"/>
  <c r="AA17" i="14"/>
  <c r="K13" i="23"/>
  <c r="S14" i="23"/>
  <c r="G31" i="19"/>
  <c r="Y34" i="14"/>
  <c r="R3" i="14"/>
  <c r="R67" i="14"/>
  <c r="G17" i="19"/>
  <c r="I33" i="23"/>
  <c r="M31" i="19"/>
  <c r="S30" i="14"/>
  <c r="S28" i="14"/>
  <c r="S24" i="14"/>
  <c r="S26" i="14"/>
  <c r="R3" i="29"/>
  <c r="S19" i="23"/>
  <c r="M17" i="19"/>
  <c r="M16" i="19"/>
  <c r="U35" i="23"/>
  <c r="U37" i="23"/>
  <c r="M20" i="19"/>
  <c r="M62" i="18"/>
  <c r="M15" i="19"/>
  <c r="M13" i="19"/>
  <c r="S16" i="23"/>
  <c r="M14" i="19"/>
  <c r="S27" i="14"/>
  <c r="S23" i="14"/>
  <c r="E31" i="19"/>
  <c r="K17" i="23"/>
  <c r="E21" i="19"/>
  <c r="Y31" i="23"/>
  <c r="Y38" i="19"/>
  <c r="Y34" i="23"/>
  <c r="E15" i="19"/>
  <c r="Y31" i="19"/>
  <c r="Y13" i="19"/>
  <c r="Y39" i="23"/>
  <c r="Y13" i="23"/>
  <c r="E14" i="19"/>
  <c r="Y36" i="19"/>
  <c r="E20" i="19"/>
  <c r="E17" i="19"/>
  <c r="E13" i="19"/>
  <c r="I33" i="14"/>
  <c r="E19" i="19"/>
  <c r="E16" i="19"/>
  <c r="Q29" i="29"/>
  <c r="Q30" i="29"/>
  <c r="Y30" i="29"/>
  <c r="U13" i="14"/>
  <c r="S21" i="19"/>
  <c r="V3" i="29"/>
  <c r="W3" i="29"/>
  <c r="Q27" i="29"/>
  <c r="Q24" i="29"/>
  <c r="Y24" i="29"/>
  <c r="Y29" i="29"/>
  <c r="Y28" i="29"/>
  <c r="Y25" i="29"/>
  <c r="Y23" i="29"/>
  <c r="B3" i="29"/>
  <c r="B67" i="29"/>
  <c r="Q39" i="23"/>
  <c r="Q38" i="23"/>
  <c r="U32" i="23"/>
  <c r="E37" i="14"/>
  <c r="I13" i="23"/>
  <c r="O25" i="19"/>
  <c r="Q37" i="23"/>
  <c r="U31" i="23"/>
  <c r="U33" i="23"/>
  <c r="I31" i="23"/>
  <c r="E33" i="14"/>
  <c r="K35" i="14"/>
  <c r="O35" i="19"/>
  <c r="U36" i="23"/>
  <c r="Y26" i="29"/>
  <c r="Q32" i="14"/>
  <c r="Q38" i="14"/>
  <c r="O13" i="14"/>
  <c r="J3" i="29"/>
  <c r="S20" i="23"/>
  <c r="S13" i="23"/>
  <c r="S17" i="23"/>
  <c r="P3" i="29"/>
  <c r="Q46" i="19"/>
  <c r="Q47" i="19"/>
  <c r="K27" i="29"/>
  <c r="I14" i="19"/>
  <c r="I36" i="19"/>
  <c r="I32" i="19"/>
  <c r="D3" i="29"/>
  <c r="E62" i="29"/>
  <c r="Z22" i="23"/>
  <c r="AA27" i="23"/>
  <c r="Y38" i="23"/>
  <c r="W25" i="19"/>
  <c r="W28" i="19"/>
  <c r="Q13" i="23"/>
  <c r="Q31" i="23"/>
  <c r="C21" i="23"/>
  <c r="G38" i="14"/>
  <c r="I35" i="23"/>
  <c r="Y37" i="19"/>
  <c r="I34" i="19"/>
  <c r="Q14" i="19"/>
  <c r="I37" i="23"/>
  <c r="Y36" i="23"/>
  <c r="Y39" i="19"/>
  <c r="K34" i="14"/>
  <c r="K21" i="19"/>
  <c r="Y35" i="19"/>
  <c r="I38" i="23"/>
  <c r="W27" i="19"/>
  <c r="Q35" i="23"/>
  <c r="Q33" i="23"/>
  <c r="Q35" i="19"/>
  <c r="I36" i="23"/>
  <c r="Y34" i="19"/>
  <c r="K36" i="14"/>
  <c r="Y16" i="19"/>
  <c r="K16" i="19"/>
  <c r="Y33" i="23"/>
  <c r="Y32" i="19"/>
  <c r="K25" i="23"/>
  <c r="K19" i="19"/>
  <c r="K25" i="29"/>
  <c r="K51" i="23"/>
  <c r="G53" i="23"/>
  <c r="Y50" i="23"/>
  <c r="H40" i="23"/>
  <c r="G52" i="23"/>
  <c r="K53" i="23"/>
  <c r="M41" i="14"/>
  <c r="L68" i="14"/>
  <c r="M68" i="14"/>
  <c r="I52" i="23"/>
  <c r="U51" i="23"/>
  <c r="U53" i="23"/>
  <c r="K28" i="29"/>
  <c r="K30" i="29"/>
  <c r="K24" i="29"/>
  <c r="K23" i="29"/>
  <c r="Z22" i="19"/>
  <c r="AA30" i="19"/>
  <c r="K29" i="29"/>
  <c r="S26" i="29"/>
  <c r="O44" i="18"/>
  <c r="O52" i="18"/>
  <c r="Y36" i="14"/>
  <c r="S27" i="29"/>
  <c r="K16" i="23"/>
  <c r="S20" i="19"/>
  <c r="S19" i="19"/>
  <c r="C19" i="23"/>
  <c r="I17" i="19"/>
  <c r="I13" i="19"/>
  <c r="S31" i="19"/>
  <c r="S15" i="19"/>
  <c r="Z13" i="23"/>
  <c r="AB13" i="23"/>
  <c r="C20" i="23"/>
  <c r="S15" i="14"/>
  <c r="S13" i="19"/>
  <c r="S13" i="14"/>
  <c r="C13" i="23"/>
  <c r="S16" i="19"/>
  <c r="K21" i="23"/>
  <c r="C17" i="23"/>
  <c r="K20" i="23"/>
  <c r="S28" i="29"/>
  <c r="S30" i="29"/>
  <c r="S29" i="29"/>
  <c r="S25" i="29"/>
  <c r="S23" i="29"/>
  <c r="AA57" i="29"/>
  <c r="AB56" i="29"/>
  <c r="Z219" i="14"/>
  <c r="L55" i="13"/>
  <c r="M55" i="13"/>
  <c r="D40" i="23"/>
  <c r="I51" i="23"/>
  <c r="W122" i="23"/>
  <c r="I43" i="29"/>
  <c r="U52" i="23"/>
  <c r="U50" i="23"/>
  <c r="W53" i="23"/>
  <c r="T40" i="23"/>
  <c r="Q44" i="29"/>
  <c r="Q52" i="23"/>
  <c r="Q50" i="23"/>
  <c r="M51" i="23"/>
  <c r="G50" i="23"/>
  <c r="M50" i="23"/>
  <c r="M53" i="23"/>
  <c r="Y51" i="23"/>
  <c r="G54" i="23"/>
  <c r="B40" i="23"/>
  <c r="B68" i="23"/>
  <c r="C68" i="23"/>
  <c r="C51" i="23"/>
  <c r="W50" i="23"/>
  <c r="W52" i="23"/>
  <c r="W54" i="23"/>
  <c r="Q42" i="29"/>
  <c r="Q46" i="29"/>
  <c r="Q43" i="29"/>
  <c r="Z71" i="19"/>
  <c r="Q54" i="23"/>
  <c r="P40" i="23"/>
  <c r="Q53" i="23"/>
  <c r="T123" i="19"/>
  <c r="U126" i="19"/>
  <c r="I46" i="29"/>
  <c r="Y42" i="29"/>
  <c r="G19" i="19"/>
  <c r="S17" i="14"/>
  <c r="G18" i="19"/>
  <c r="S14" i="14"/>
  <c r="G14" i="19"/>
  <c r="G13" i="19"/>
  <c r="O31" i="14"/>
  <c r="G15" i="19"/>
  <c r="S16" i="14"/>
  <c r="O17" i="14"/>
  <c r="O15" i="14"/>
  <c r="N64" i="18"/>
  <c r="Z22" i="13"/>
  <c r="AA26" i="13"/>
  <c r="Z22" i="14"/>
  <c r="AA25" i="14"/>
  <c r="Z31" i="29"/>
  <c r="AA181" i="29"/>
  <c r="Q39" i="14"/>
  <c r="Y31" i="14"/>
  <c r="O34" i="13"/>
  <c r="I47" i="29"/>
  <c r="I42" i="29"/>
  <c r="I31" i="19"/>
  <c r="N3" i="29"/>
  <c r="I15" i="19"/>
  <c r="S19" i="14"/>
  <c r="S18" i="14"/>
  <c r="S31" i="14"/>
  <c r="S21" i="14"/>
  <c r="Q36" i="19"/>
  <c r="I20" i="19"/>
  <c r="I16" i="19"/>
  <c r="Y16" i="14"/>
  <c r="I37" i="19"/>
  <c r="I21" i="19"/>
  <c r="I33" i="19"/>
  <c r="F3" i="29"/>
  <c r="I19" i="19"/>
  <c r="I38" i="19"/>
  <c r="I35" i="19"/>
  <c r="Y15" i="14"/>
  <c r="G28" i="29"/>
  <c r="I44" i="29"/>
  <c r="I48" i="29"/>
  <c r="Y45" i="29"/>
  <c r="Y46" i="29"/>
  <c r="Y43" i="29"/>
  <c r="Y47" i="29"/>
  <c r="Y44" i="29"/>
  <c r="K119" i="23"/>
  <c r="K116" i="23"/>
  <c r="I50" i="23"/>
  <c r="D57" i="18"/>
  <c r="K117" i="23"/>
  <c r="C52" i="23"/>
  <c r="C50" i="23"/>
  <c r="O194" i="14"/>
  <c r="E7" i="29"/>
  <c r="C20" i="13"/>
  <c r="E28" i="29"/>
  <c r="E10" i="29"/>
  <c r="Q39" i="19"/>
  <c r="Q38" i="19"/>
  <c r="H3" i="29"/>
  <c r="H67" i="29"/>
  <c r="Y19" i="19"/>
  <c r="Y14" i="14"/>
  <c r="Q21" i="14"/>
  <c r="Q19" i="14"/>
  <c r="Q14" i="14"/>
  <c r="Q13" i="19"/>
  <c r="Y21" i="19"/>
  <c r="Y13" i="14"/>
  <c r="O18" i="14"/>
  <c r="O19" i="14"/>
  <c r="Y18" i="19"/>
  <c r="Q31" i="19"/>
  <c r="Q32" i="19"/>
  <c r="Q16" i="19"/>
  <c r="Q15" i="19"/>
  <c r="U18" i="14"/>
  <c r="Q17" i="14"/>
  <c r="Q15" i="14"/>
  <c r="Q16" i="14"/>
  <c r="Y17" i="19"/>
  <c r="Y21" i="14"/>
  <c r="Q18" i="19"/>
  <c r="Y17" i="14"/>
  <c r="O14" i="14"/>
  <c r="O16" i="14"/>
  <c r="E57" i="18"/>
  <c r="Z31" i="23"/>
  <c r="Q33" i="19"/>
  <c r="Q34" i="19"/>
  <c r="Q19" i="19"/>
  <c r="Y18" i="14"/>
  <c r="Y20" i="14"/>
  <c r="Y15" i="19"/>
  <c r="Q21" i="19"/>
  <c r="O21" i="14"/>
  <c r="C17" i="13"/>
  <c r="E57" i="16"/>
  <c r="U6" i="29"/>
  <c r="O29" i="29"/>
  <c r="W12" i="29"/>
  <c r="K6" i="29"/>
  <c r="O24" i="29"/>
  <c r="K10" i="29"/>
  <c r="W10" i="29"/>
  <c r="K8" i="29"/>
  <c r="O26" i="29"/>
  <c r="K12" i="29"/>
  <c r="O27" i="29"/>
  <c r="E25" i="29"/>
  <c r="M24" i="29"/>
  <c r="E30" i="29"/>
  <c r="E23" i="29"/>
  <c r="U24" i="29"/>
  <c r="W8" i="29"/>
  <c r="W6" i="29"/>
  <c r="K9" i="29"/>
  <c r="K11" i="29"/>
  <c r="G24" i="29"/>
  <c r="G26" i="29"/>
  <c r="O25" i="29"/>
  <c r="O23" i="29"/>
  <c r="C10" i="29"/>
  <c r="W5" i="29"/>
  <c r="W7" i="29"/>
  <c r="G23" i="29"/>
  <c r="G25" i="29"/>
  <c r="Z31" i="19"/>
  <c r="AA181" i="19"/>
  <c r="W9" i="29"/>
  <c r="K5" i="29"/>
  <c r="G27" i="29"/>
  <c r="O28" i="29"/>
  <c r="O11" i="29"/>
  <c r="E12" i="29"/>
  <c r="E29" i="29"/>
  <c r="E27" i="29"/>
  <c r="E5" i="29"/>
  <c r="E24" i="29"/>
  <c r="M29" i="29"/>
  <c r="M35" i="13"/>
  <c r="C9" i="29"/>
  <c r="E11" i="29"/>
  <c r="E9" i="29"/>
  <c r="O8" i="29"/>
  <c r="E8" i="29"/>
  <c r="Q10" i="29"/>
  <c r="Q9" i="29"/>
  <c r="H66" i="18"/>
  <c r="H64" i="18"/>
  <c r="Q12" i="29"/>
  <c r="Q11" i="29"/>
  <c r="M25" i="29"/>
  <c r="M30" i="29"/>
  <c r="C12" i="29"/>
  <c r="C11" i="29"/>
  <c r="L3" i="29"/>
  <c r="L67" i="29"/>
  <c r="L3" i="14"/>
  <c r="M62" i="14"/>
  <c r="M12" i="14"/>
  <c r="Q6" i="29"/>
  <c r="Q5" i="29"/>
  <c r="M26" i="29"/>
  <c r="C6" i="29"/>
  <c r="C5" i="29"/>
  <c r="M7" i="14"/>
  <c r="Q8" i="29"/>
  <c r="M23" i="29"/>
  <c r="M27" i="29"/>
  <c r="C8" i="29"/>
  <c r="Z13" i="19"/>
  <c r="AA21" i="19"/>
  <c r="U14" i="14"/>
  <c r="Z31" i="13"/>
  <c r="AA182" i="13"/>
  <c r="U28" i="29"/>
  <c r="U16" i="14"/>
  <c r="I11" i="29"/>
  <c r="U30" i="29"/>
  <c r="U20" i="14"/>
  <c r="U26" i="29"/>
  <c r="K34" i="13"/>
  <c r="S37" i="13"/>
  <c r="I8" i="29"/>
  <c r="I12" i="29"/>
  <c r="O12" i="29"/>
  <c r="O5" i="29"/>
  <c r="O6" i="29"/>
  <c r="O7" i="29"/>
  <c r="L64" i="18"/>
  <c r="L66" i="18"/>
  <c r="D66" i="18"/>
  <c r="C33" i="14"/>
  <c r="M35" i="14"/>
  <c r="K36" i="13"/>
  <c r="M39" i="14"/>
  <c r="M37" i="14"/>
  <c r="U17" i="14"/>
  <c r="U21" i="14"/>
  <c r="I6" i="29"/>
  <c r="I5" i="29"/>
  <c r="U23" i="29"/>
  <c r="U27" i="29"/>
  <c r="I7" i="29"/>
  <c r="M38" i="14"/>
  <c r="I38" i="14"/>
  <c r="U31" i="14"/>
  <c r="M32" i="14"/>
  <c r="U15" i="14"/>
  <c r="C32" i="14"/>
  <c r="I37" i="14"/>
  <c r="I32" i="14"/>
  <c r="C38" i="14"/>
  <c r="C35" i="14"/>
  <c r="O10" i="29"/>
  <c r="I10" i="29"/>
  <c r="U25" i="29"/>
  <c r="Q34" i="14"/>
  <c r="W15" i="13"/>
  <c r="I39" i="13"/>
  <c r="I54" i="23"/>
  <c r="J189" i="23"/>
  <c r="K196" i="23"/>
  <c r="O65" i="16"/>
  <c r="F67" i="20"/>
  <c r="F69" i="20"/>
  <c r="O195" i="14"/>
  <c r="N56" i="18"/>
  <c r="N57" i="18"/>
  <c r="B189" i="29"/>
  <c r="C196" i="29"/>
  <c r="O65" i="18"/>
  <c r="M60" i="20"/>
  <c r="M67" i="20"/>
  <c r="M69" i="20"/>
  <c r="D197" i="13"/>
  <c r="E200" i="13"/>
  <c r="E208" i="14"/>
  <c r="V123" i="14"/>
  <c r="W127" i="14"/>
  <c r="Z120" i="29"/>
  <c r="Z41" i="14"/>
  <c r="AA46" i="14"/>
  <c r="N68" i="13"/>
  <c r="O68" i="13"/>
  <c r="O41" i="13"/>
  <c r="O49" i="13"/>
  <c r="F115" i="14"/>
  <c r="G122" i="14"/>
  <c r="R123" i="14"/>
  <c r="S124" i="14"/>
  <c r="Z71" i="23"/>
  <c r="Z115" i="23"/>
  <c r="AA118" i="23"/>
  <c r="Z117" i="19"/>
  <c r="Z122" i="19"/>
  <c r="Z125" i="19"/>
  <c r="Z197" i="14"/>
  <c r="Z49" i="13"/>
  <c r="AA52" i="13"/>
  <c r="E41" i="13"/>
  <c r="D68" i="13"/>
  <c r="E68" i="13"/>
  <c r="E49" i="13"/>
  <c r="Y41" i="13"/>
  <c r="X68" i="13"/>
  <c r="Y68" i="13"/>
  <c r="Y49" i="13"/>
  <c r="J197" i="29"/>
  <c r="K201" i="29"/>
  <c r="D189" i="23"/>
  <c r="E195" i="23"/>
  <c r="T197" i="23"/>
  <c r="U199" i="23"/>
  <c r="J115" i="29"/>
  <c r="K116" i="29"/>
  <c r="Z116" i="29"/>
  <c r="P115" i="29"/>
  <c r="Q117" i="29"/>
  <c r="Z119" i="13"/>
  <c r="Z121" i="14"/>
  <c r="H115" i="14"/>
  <c r="I119" i="14"/>
  <c r="N115" i="19"/>
  <c r="H115" i="19"/>
  <c r="I120" i="19"/>
  <c r="G60" i="20"/>
  <c r="G67" i="20"/>
  <c r="G69" i="20"/>
  <c r="P189" i="19"/>
  <c r="Q190" i="19"/>
  <c r="N197" i="13"/>
  <c r="O198" i="13"/>
  <c r="N189" i="13"/>
  <c r="O192" i="13"/>
  <c r="L197" i="13"/>
  <c r="M198" i="13"/>
  <c r="S120" i="23"/>
  <c r="S119" i="23"/>
  <c r="S117" i="23"/>
  <c r="S116" i="23"/>
  <c r="S121" i="23"/>
  <c r="Q54" i="19"/>
  <c r="Q52" i="19"/>
  <c r="Q53" i="19"/>
  <c r="Q50" i="19"/>
  <c r="K49" i="13"/>
  <c r="J68" i="13"/>
  <c r="K68" i="13"/>
  <c r="K41" i="13"/>
  <c r="Y194" i="14"/>
  <c r="Y192" i="14"/>
  <c r="Y193" i="14"/>
  <c r="Z190" i="29"/>
  <c r="Z192" i="23"/>
  <c r="Z126" i="13"/>
  <c r="Z201" i="19"/>
  <c r="D123" i="14"/>
  <c r="E128" i="14"/>
  <c r="Z123" i="23"/>
  <c r="AA126" i="23"/>
  <c r="Z127" i="19"/>
  <c r="Z196" i="19"/>
  <c r="F189" i="19"/>
  <c r="G190" i="19"/>
  <c r="I60" i="18"/>
  <c r="I67" i="18"/>
  <c r="H68" i="13"/>
  <c r="I68" i="13"/>
  <c r="I49" i="13"/>
  <c r="I41" i="13"/>
  <c r="F68" i="14"/>
  <c r="G68" i="14"/>
  <c r="G49" i="14"/>
  <c r="G41" i="14"/>
  <c r="M198" i="14"/>
  <c r="M199" i="14"/>
  <c r="M200" i="14"/>
  <c r="Z199" i="29"/>
  <c r="T197" i="29"/>
  <c r="U199" i="29"/>
  <c r="R189" i="29"/>
  <c r="S196" i="29"/>
  <c r="Z195" i="29"/>
  <c r="V197" i="29"/>
  <c r="W201" i="29"/>
  <c r="Z202" i="23"/>
  <c r="J197" i="23"/>
  <c r="K200" i="23"/>
  <c r="X115" i="14"/>
  <c r="Y118" i="14"/>
  <c r="V123" i="19"/>
  <c r="W124" i="19"/>
  <c r="P123" i="19"/>
  <c r="Q126" i="19"/>
  <c r="Q41" i="13"/>
  <c r="Q49" i="13"/>
  <c r="P68" i="13"/>
  <c r="Q68" i="13"/>
  <c r="I194" i="14"/>
  <c r="I192" i="14"/>
  <c r="I193" i="14"/>
  <c r="P197" i="29"/>
  <c r="Q202" i="29"/>
  <c r="L189" i="23"/>
  <c r="M195" i="23"/>
  <c r="Z128" i="14"/>
  <c r="T123" i="14"/>
  <c r="U126" i="14"/>
  <c r="P115" i="19"/>
  <c r="Q120" i="19"/>
  <c r="O63" i="20"/>
  <c r="B197" i="19"/>
  <c r="C202" i="19"/>
  <c r="Z196" i="13"/>
  <c r="L68" i="13"/>
  <c r="M68" i="13"/>
  <c r="M49" i="13"/>
  <c r="M41" i="13"/>
  <c r="Q190" i="14"/>
  <c r="Q196" i="14"/>
  <c r="G190" i="14"/>
  <c r="G191" i="14"/>
  <c r="F66" i="16"/>
  <c r="F62" i="16"/>
  <c r="F57" i="16"/>
  <c r="M71" i="18"/>
  <c r="O44" i="16"/>
  <c r="O52" i="16"/>
  <c r="G39" i="13"/>
  <c r="M6" i="14"/>
  <c r="M9" i="14"/>
  <c r="M10" i="14"/>
  <c r="K32" i="13"/>
  <c r="G36" i="13"/>
  <c r="I35" i="14"/>
  <c r="C39" i="14"/>
  <c r="C34" i="14"/>
  <c r="M8" i="14"/>
  <c r="M5" i="14"/>
  <c r="Q31" i="13"/>
  <c r="M64" i="18"/>
  <c r="H57" i="16"/>
  <c r="W62" i="14"/>
  <c r="Y14" i="13"/>
  <c r="I64" i="16"/>
  <c r="C16" i="13"/>
  <c r="I37" i="13"/>
  <c r="C19" i="13"/>
  <c r="I31" i="13"/>
  <c r="U8" i="29"/>
  <c r="C14" i="13"/>
  <c r="Y38" i="14"/>
  <c r="Z185" i="13"/>
  <c r="P170" i="13"/>
  <c r="Q177" i="13"/>
  <c r="G37" i="13"/>
  <c r="G35" i="13"/>
  <c r="W35" i="13"/>
  <c r="W37" i="13"/>
  <c r="I31" i="14"/>
  <c r="I34" i="13"/>
  <c r="T3" i="29"/>
  <c r="U62" i="29"/>
  <c r="Y35" i="14"/>
  <c r="U12" i="29"/>
  <c r="M31" i="14"/>
  <c r="Y39" i="14"/>
  <c r="I34" i="14"/>
  <c r="C21" i="13"/>
  <c r="C13" i="13"/>
  <c r="G32" i="13"/>
  <c r="Q34" i="13"/>
  <c r="I32" i="13"/>
  <c r="I13" i="14"/>
  <c r="Q32" i="13"/>
  <c r="W36" i="13"/>
  <c r="Y32" i="14"/>
  <c r="Y33" i="14"/>
  <c r="U9" i="29"/>
  <c r="Q36" i="13"/>
  <c r="I33" i="13"/>
  <c r="Q38" i="13"/>
  <c r="I38" i="13"/>
  <c r="U5" i="29"/>
  <c r="U10" i="29"/>
  <c r="U7" i="29"/>
  <c r="V55" i="14"/>
  <c r="W55" i="14"/>
  <c r="V67" i="14"/>
  <c r="O44" i="20"/>
  <c r="O52" i="20"/>
  <c r="M57" i="18"/>
  <c r="H66" i="16"/>
  <c r="W3" i="14"/>
  <c r="C13" i="14"/>
  <c r="K31" i="14"/>
  <c r="S17" i="13"/>
  <c r="S13" i="13"/>
  <c r="F71" i="16"/>
  <c r="K13" i="14"/>
  <c r="O45" i="16"/>
  <c r="O53" i="16"/>
  <c r="L66" i="20"/>
  <c r="L64" i="20"/>
  <c r="L57" i="20"/>
  <c r="C33" i="13"/>
  <c r="S18" i="13"/>
  <c r="M13" i="14"/>
  <c r="Z84" i="14"/>
  <c r="H179" i="14"/>
  <c r="I186" i="14"/>
  <c r="W108" i="29"/>
  <c r="G106" i="29"/>
  <c r="I35" i="13"/>
  <c r="C15" i="13"/>
  <c r="Q37" i="13"/>
  <c r="W33" i="13"/>
  <c r="G21" i="13"/>
  <c r="W34" i="13"/>
  <c r="W39" i="13"/>
  <c r="W32" i="13"/>
  <c r="R96" i="19"/>
  <c r="S99" i="19"/>
  <c r="K31" i="13"/>
  <c r="U38" i="13"/>
  <c r="S19" i="13"/>
  <c r="G15" i="13"/>
  <c r="U32" i="13"/>
  <c r="K35" i="13"/>
  <c r="C35" i="13"/>
  <c r="O15" i="13"/>
  <c r="K17" i="14"/>
  <c r="K38" i="13"/>
  <c r="G166" i="29"/>
  <c r="G110" i="29"/>
  <c r="Q111" i="29"/>
  <c r="S15" i="13"/>
  <c r="G14" i="13"/>
  <c r="M19" i="13"/>
  <c r="K14" i="14"/>
  <c r="M111" i="29"/>
  <c r="O39" i="13"/>
  <c r="O35" i="13"/>
  <c r="Y33" i="13"/>
  <c r="Q35" i="14"/>
  <c r="O33" i="13"/>
  <c r="C18" i="14"/>
  <c r="O108" i="29"/>
  <c r="O37" i="13"/>
  <c r="Q36" i="14"/>
  <c r="C16" i="14"/>
  <c r="M91" i="29"/>
  <c r="M107" i="29"/>
  <c r="G112" i="29"/>
  <c r="Y15" i="13"/>
  <c r="C31" i="13"/>
  <c r="M38" i="13"/>
  <c r="W17" i="13"/>
  <c r="G19" i="13"/>
  <c r="S16" i="13"/>
  <c r="O32" i="13"/>
  <c r="C17" i="14"/>
  <c r="O110" i="29"/>
  <c r="U186" i="29"/>
  <c r="G109" i="29"/>
  <c r="I111" i="29"/>
  <c r="C37" i="13"/>
  <c r="C32" i="13"/>
  <c r="E64" i="16"/>
  <c r="G167" i="29"/>
  <c r="C39" i="13"/>
  <c r="G13" i="13"/>
  <c r="K16" i="14"/>
  <c r="G168" i="29"/>
  <c r="Y109" i="29"/>
  <c r="M87" i="29"/>
  <c r="G108" i="29"/>
  <c r="Y89" i="29"/>
  <c r="G66" i="18"/>
  <c r="G57" i="18"/>
  <c r="O36" i="13"/>
  <c r="K37" i="13"/>
  <c r="O13" i="13"/>
  <c r="G31" i="13"/>
  <c r="U105" i="29"/>
  <c r="G71" i="20"/>
  <c r="E32" i="13"/>
  <c r="C34" i="13"/>
  <c r="K33" i="13"/>
  <c r="G17" i="13"/>
  <c r="G16" i="13"/>
  <c r="K19" i="14"/>
  <c r="K15" i="14"/>
  <c r="M31" i="13"/>
  <c r="W18" i="13"/>
  <c r="Q31" i="14"/>
  <c r="C31" i="14"/>
  <c r="G20" i="13"/>
  <c r="K18" i="14"/>
  <c r="C15" i="14"/>
  <c r="K20" i="14"/>
  <c r="M105" i="29"/>
  <c r="I89" i="29"/>
  <c r="E169" i="29"/>
  <c r="S20" i="13"/>
  <c r="S14" i="13"/>
  <c r="G64" i="18"/>
  <c r="M33" i="13"/>
  <c r="E35" i="13"/>
  <c r="Q13" i="14"/>
  <c r="E31" i="13"/>
  <c r="C20" i="14"/>
  <c r="C19" i="14"/>
  <c r="Z31" i="14"/>
  <c r="AA33" i="14"/>
  <c r="O106" i="29"/>
  <c r="U111" i="29"/>
  <c r="U87" i="29"/>
  <c r="U182" i="29"/>
  <c r="U187" i="29"/>
  <c r="W110" i="29"/>
  <c r="W109" i="29"/>
  <c r="W16" i="13"/>
  <c r="G57" i="20"/>
  <c r="W20" i="13"/>
  <c r="S34" i="13"/>
  <c r="W13" i="13"/>
  <c r="S31" i="13"/>
  <c r="W19" i="13"/>
  <c r="M18" i="14"/>
  <c r="M14" i="14"/>
  <c r="M17" i="14"/>
  <c r="M15" i="14"/>
  <c r="U107" i="29"/>
  <c r="U95" i="29"/>
  <c r="U180" i="29"/>
  <c r="M180" i="29"/>
  <c r="W112" i="29"/>
  <c r="W113" i="29"/>
  <c r="Y34" i="13"/>
  <c r="Y36" i="13"/>
  <c r="E33" i="13"/>
  <c r="E37" i="13"/>
  <c r="E34" i="13"/>
  <c r="W31" i="13"/>
  <c r="E15" i="13"/>
  <c r="M39" i="13"/>
  <c r="Q35" i="13"/>
  <c r="M20" i="14"/>
  <c r="M19" i="14"/>
  <c r="O112" i="29"/>
  <c r="O109" i="29"/>
  <c r="G64" i="20"/>
  <c r="W21" i="13"/>
  <c r="Y37" i="13"/>
  <c r="G62" i="20"/>
  <c r="S32" i="13"/>
  <c r="S39" i="13"/>
  <c r="M36" i="13"/>
  <c r="S33" i="13"/>
  <c r="M37" i="13"/>
  <c r="Q33" i="13"/>
  <c r="M16" i="14"/>
  <c r="Y39" i="13"/>
  <c r="Q168" i="29"/>
  <c r="Q164" i="29"/>
  <c r="C14" i="14"/>
  <c r="E163" i="29"/>
  <c r="E20" i="13"/>
  <c r="E16" i="13"/>
  <c r="K13" i="13"/>
  <c r="Y105" i="29"/>
  <c r="U19" i="13"/>
  <c r="M14" i="13"/>
  <c r="M18" i="13"/>
  <c r="U17" i="13"/>
  <c r="U18" i="13"/>
  <c r="O31" i="13"/>
  <c r="E17" i="13"/>
  <c r="O14" i="13"/>
  <c r="M15" i="13"/>
  <c r="M16" i="13"/>
  <c r="M21" i="13"/>
  <c r="E18" i="13"/>
  <c r="O21" i="13"/>
  <c r="U20" i="13"/>
  <c r="U16" i="13"/>
  <c r="E21" i="13"/>
  <c r="E13" i="13"/>
  <c r="E19" i="13"/>
  <c r="E14" i="13"/>
  <c r="O16" i="13"/>
  <c r="M13" i="13"/>
  <c r="M17" i="13"/>
  <c r="G169" i="29"/>
  <c r="G161" i="29"/>
  <c r="G164" i="29"/>
  <c r="O20" i="13"/>
  <c r="O18" i="13"/>
  <c r="O17" i="13"/>
  <c r="S35" i="13"/>
  <c r="Q33" i="14"/>
  <c r="P161" i="23"/>
  <c r="Q166" i="23"/>
  <c r="M32" i="13"/>
  <c r="Y38" i="13"/>
  <c r="M187" i="29"/>
  <c r="S38" i="13"/>
  <c r="E39" i="13"/>
  <c r="Y32" i="13"/>
  <c r="C36" i="13"/>
  <c r="E36" i="13"/>
  <c r="U35" i="13"/>
  <c r="H161" i="23"/>
  <c r="I162" i="23"/>
  <c r="F179" i="23"/>
  <c r="G181" i="23"/>
  <c r="Z163" i="13"/>
  <c r="E107" i="29"/>
  <c r="Y162" i="29"/>
  <c r="M184" i="29"/>
  <c r="I105" i="29"/>
  <c r="U13" i="13"/>
  <c r="Y13" i="13"/>
  <c r="Q93" i="29"/>
  <c r="E111" i="29"/>
  <c r="U34" i="13"/>
  <c r="Q105" i="29"/>
  <c r="Y166" i="29"/>
  <c r="M182" i="29"/>
  <c r="Y20" i="13"/>
  <c r="Y31" i="13"/>
  <c r="Y19" i="13"/>
  <c r="U37" i="13"/>
  <c r="Z168" i="13"/>
  <c r="U39" i="13"/>
  <c r="U36" i="13"/>
  <c r="X78" i="23"/>
  <c r="Y81" i="23"/>
  <c r="Z187" i="23"/>
  <c r="Z94" i="19"/>
  <c r="Z167" i="14"/>
  <c r="Z169" i="14"/>
  <c r="X152" i="23"/>
  <c r="Y159" i="23"/>
  <c r="N96" i="29"/>
  <c r="O101" i="29"/>
  <c r="Z13" i="13"/>
  <c r="AA18" i="13"/>
  <c r="H87" i="23"/>
  <c r="I89" i="23"/>
  <c r="B78" i="29"/>
  <c r="C79" i="29"/>
  <c r="Y18" i="13"/>
  <c r="Y16" i="13"/>
  <c r="Y21" i="13"/>
  <c r="I20" i="13"/>
  <c r="I15" i="13"/>
  <c r="I18" i="13"/>
  <c r="I13" i="13"/>
  <c r="I19" i="13"/>
  <c r="I16" i="13"/>
  <c r="I14" i="13"/>
  <c r="I21" i="13"/>
  <c r="I17" i="13"/>
  <c r="K20" i="13"/>
  <c r="K19" i="13"/>
  <c r="K18" i="13"/>
  <c r="K16" i="13"/>
  <c r="K14" i="13"/>
  <c r="K21" i="13"/>
  <c r="K17" i="13"/>
  <c r="K15" i="13"/>
  <c r="U31" i="13"/>
  <c r="U15" i="13"/>
  <c r="U14" i="13"/>
  <c r="Q21" i="13"/>
  <c r="Q17" i="13"/>
  <c r="Q20" i="13"/>
  <c r="Q15" i="13"/>
  <c r="Q18" i="13"/>
  <c r="Q13" i="13"/>
  <c r="Q14" i="13"/>
  <c r="Q16" i="13"/>
  <c r="Q19" i="13"/>
  <c r="Z176" i="13"/>
  <c r="L57" i="18"/>
  <c r="R152" i="29"/>
  <c r="S160" i="29"/>
  <c r="N170" i="29"/>
  <c r="O178" i="29"/>
  <c r="T170" i="23"/>
  <c r="U178" i="23"/>
  <c r="Z168" i="19"/>
  <c r="V161" i="19"/>
  <c r="W168" i="19"/>
  <c r="Z155" i="19"/>
  <c r="Z166" i="19"/>
  <c r="Z186" i="13"/>
  <c r="Z85" i="29"/>
  <c r="Z178" i="13"/>
  <c r="X152" i="13"/>
  <c r="Y157" i="13"/>
  <c r="O185" i="29"/>
  <c r="O181" i="29"/>
  <c r="O183" i="29"/>
  <c r="Z157" i="29"/>
  <c r="B170" i="29"/>
  <c r="C171" i="29"/>
  <c r="R161" i="19"/>
  <c r="S169" i="19"/>
  <c r="N161" i="19"/>
  <c r="O168" i="19"/>
  <c r="Z167" i="19"/>
  <c r="I183" i="29"/>
  <c r="I185" i="29"/>
  <c r="I181" i="29"/>
  <c r="E105" i="29"/>
  <c r="E91" i="29"/>
  <c r="E95" i="29"/>
  <c r="E87" i="29"/>
  <c r="K180" i="29"/>
  <c r="K182" i="29"/>
  <c r="K184" i="29"/>
  <c r="W22" i="14"/>
  <c r="W4" i="14"/>
  <c r="Z178" i="29"/>
  <c r="H78" i="29"/>
  <c r="I80" i="29"/>
  <c r="Z101" i="29"/>
  <c r="Z79" i="29"/>
  <c r="Z111" i="13"/>
  <c r="Z107" i="13"/>
  <c r="Z90" i="13"/>
  <c r="T96" i="13"/>
  <c r="U98" i="13"/>
  <c r="Z99" i="13"/>
  <c r="Z85" i="13"/>
  <c r="Z93" i="14"/>
  <c r="Z111" i="14"/>
  <c r="Z101" i="14"/>
  <c r="Z174" i="14"/>
  <c r="J170" i="14"/>
  <c r="K178" i="14"/>
  <c r="F170" i="14"/>
  <c r="G174" i="14"/>
  <c r="F161" i="19"/>
  <c r="G168" i="19"/>
  <c r="Z163" i="19"/>
  <c r="E184" i="29"/>
  <c r="E180" i="29"/>
  <c r="E186" i="29"/>
  <c r="E182" i="29"/>
  <c r="W185" i="29"/>
  <c r="W181" i="29"/>
  <c r="W183" i="29"/>
  <c r="Z102" i="29"/>
  <c r="Z100" i="29"/>
  <c r="D96" i="29"/>
  <c r="E102" i="29"/>
  <c r="Z86" i="29"/>
  <c r="T87" i="23"/>
  <c r="U91" i="23"/>
  <c r="Z86" i="23"/>
  <c r="Z110" i="23"/>
  <c r="L105" i="23"/>
  <c r="M110" i="23"/>
  <c r="Z109" i="23"/>
  <c r="H96" i="23"/>
  <c r="I102" i="23"/>
  <c r="X170" i="23"/>
  <c r="Y178" i="23"/>
  <c r="Z164" i="23"/>
  <c r="Z112" i="13"/>
  <c r="Z90" i="19"/>
  <c r="Z111" i="19"/>
  <c r="P96" i="19"/>
  <c r="Q102" i="19"/>
  <c r="Z84" i="19"/>
  <c r="O45" i="18"/>
  <c r="O53" i="18"/>
  <c r="L170" i="13"/>
  <c r="M174" i="13"/>
  <c r="T152" i="13"/>
  <c r="U159" i="13"/>
  <c r="S182" i="29"/>
  <c r="S184" i="29"/>
  <c r="S180" i="29"/>
  <c r="Y181" i="29"/>
  <c r="Y183" i="29"/>
  <c r="Y185" i="29"/>
  <c r="E161" i="29"/>
  <c r="M4" i="13"/>
  <c r="L67" i="13"/>
  <c r="M62" i="13"/>
  <c r="M40" i="13"/>
  <c r="M59" i="13"/>
  <c r="M3" i="13"/>
  <c r="M22" i="13"/>
  <c r="T114" i="13"/>
  <c r="U119" i="13"/>
  <c r="U122" i="13"/>
  <c r="U118" i="13"/>
  <c r="U121" i="13"/>
  <c r="U117" i="13"/>
  <c r="U120" i="13"/>
  <c r="U116" i="13"/>
  <c r="O122" i="13"/>
  <c r="O118" i="13"/>
  <c r="O121" i="13"/>
  <c r="O117" i="13"/>
  <c r="N114" i="13"/>
  <c r="O120" i="13"/>
  <c r="O116" i="13"/>
  <c r="O119" i="13"/>
  <c r="K126" i="14"/>
  <c r="K128" i="14"/>
  <c r="K124" i="14"/>
  <c r="K127" i="14"/>
  <c r="K125" i="14"/>
  <c r="Y126" i="19"/>
  <c r="Y128" i="19"/>
  <c r="Y125" i="19"/>
  <c r="Y127" i="19"/>
  <c r="Y124" i="19"/>
  <c r="W122" i="13"/>
  <c r="W118" i="13"/>
  <c r="V114" i="13"/>
  <c r="W121" i="13"/>
  <c r="W117" i="13"/>
  <c r="W120" i="13"/>
  <c r="W116" i="13"/>
  <c r="W119" i="13"/>
  <c r="M127" i="13"/>
  <c r="M126" i="13"/>
  <c r="M125" i="13"/>
  <c r="M128" i="13"/>
  <c r="M124" i="13"/>
  <c r="K126" i="29"/>
  <c r="K125" i="29"/>
  <c r="K127" i="29"/>
  <c r="K128" i="29"/>
  <c r="K124" i="29"/>
  <c r="E125" i="29"/>
  <c r="E128" i="29"/>
  <c r="E124" i="29"/>
  <c r="E126" i="29"/>
  <c r="E127" i="29"/>
  <c r="L57" i="16"/>
  <c r="L64" i="16"/>
  <c r="L66" i="16"/>
  <c r="J170" i="29"/>
  <c r="P170" i="29"/>
  <c r="Z41" i="29"/>
  <c r="AB42" i="29"/>
  <c r="P78" i="29"/>
  <c r="X78" i="29"/>
  <c r="R197" i="29"/>
  <c r="H152" i="29"/>
  <c r="X189" i="29"/>
  <c r="H189" i="29"/>
  <c r="D152" i="29"/>
  <c r="Z193" i="29"/>
  <c r="F170" i="29"/>
  <c r="N197" i="29"/>
  <c r="Z192" i="29"/>
  <c r="Z155" i="29"/>
  <c r="Z4" i="29"/>
  <c r="AB5" i="29"/>
  <c r="Z13" i="29"/>
  <c r="AB14" i="29"/>
  <c r="S179" i="29"/>
  <c r="S168" i="29"/>
  <c r="S165" i="29"/>
  <c r="S166" i="29"/>
  <c r="S164" i="29"/>
  <c r="S163" i="29"/>
  <c r="S162" i="29"/>
  <c r="S161" i="29"/>
  <c r="S169" i="29"/>
  <c r="S167" i="29"/>
  <c r="U168" i="29"/>
  <c r="U166" i="29"/>
  <c r="U164" i="29"/>
  <c r="U162" i="29"/>
  <c r="U163" i="29"/>
  <c r="U169" i="29"/>
  <c r="U167" i="29"/>
  <c r="U165" i="29"/>
  <c r="U179" i="29"/>
  <c r="U161" i="29"/>
  <c r="I169" i="29"/>
  <c r="I167" i="29"/>
  <c r="I165" i="29"/>
  <c r="I163" i="29"/>
  <c r="I161" i="29"/>
  <c r="I168" i="29"/>
  <c r="I179" i="29"/>
  <c r="I166" i="29"/>
  <c r="I164" i="29"/>
  <c r="I162" i="29"/>
  <c r="Z126" i="29"/>
  <c r="Z121" i="29"/>
  <c r="Z81" i="29"/>
  <c r="Z117" i="29"/>
  <c r="B115" i="29"/>
  <c r="Z84" i="29"/>
  <c r="T105" i="23"/>
  <c r="Z101" i="23"/>
  <c r="Z100" i="23"/>
  <c r="R105" i="23"/>
  <c r="Z85" i="23"/>
  <c r="P87" i="23"/>
  <c r="D197" i="29"/>
  <c r="Z177" i="29"/>
  <c r="R170" i="29"/>
  <c r="Z158" i="29"/>
  <c r="Z200" i="29"/>
  <c r="L197" i="29"/>
  <c r="P189" i="29"/>
  <c r="X152" i="29"/>
  <c r="F197" i="29"/>
  <c r="N189" i="29"/>
  <c r="L170" i="29"/>
  <c r="T152" i="29"/>
  <c r="N152" i="29"/>
  <c r="Z22" i="29"/>
  <c r="Z49" i="29"/>
  <c r="Z179" i="29"/>
  <c r="Z161" i="29"/>
  <c r="I127" i="29"/>
  <c r="I126" i="29"/>
  <c r="I128" i="29"/>
  <c r="I124" i="29"/>
  <c r="I125" i="29"/>
  <c r="U125" i="29"/>
  <c r="U128" i="29"/>
  <c r="U124" i="29"/>
  <c r="U126" i="29"/>
  <c r="U127" i="29"/>
  <c r="N123" i="29"/>
  <c r="Z122" i="29"/>
  <c r="W119" i="29"/>
  <c r="W121" i="29"/>
  <c r="W118" i="29"/>
  <c r="W116" i="29"/>
  <c r="W122" i="29"/>
  <c r="W120" i="29"/>
  <c r="W117" i="29"/>
  <c r="X115" i="29"/>
  <c r="T96" i="29"/>
  <c r="V78" i="29"/>
  <c r="Z118" i="29"/>
  <c r="T115" i="29"/>
  <c r="L96" i="29"/>
  <c r="Z99" i="29"/>
  <c r="F96" i="29"/>
  <c r="R96" i="29"/>
  <c r="N78" i="29"/>
  <c r="T78" i="29"/>
  <c r="B123" i="29"/>
  <c r="Z127" i="29"/>
  <c r="G93" i="29"/>
  <c r="G89" i="29"/>
  <c r="G92" i="29"/>
  <c r="G88" i="29"/>
  <c r="G105" i="29"/>
  <c r="G95" i="29"/>
  <c r="G91" i="29"/>
  <c r="G87" i="29"/>
  <c r="G94" i="29"/>
  <c r="G90" i="29"/>
  <c r="AB60" i="29"/>
  <c r="Z59" i="29"/>
  <c r="AC50" i="19"/>
  <c r="Z88" i="23"/>
  <c r="B87" i="23"/>
  <c r="X105" i="23"/>
  <c r="Z113" i="23"/>
  <c r="T96" i="23"/>
  <c r="Z83" i="23"/>
  <c r="L78" i="23"/>
  <c r="J87" i="23"/>
  <c r="Z82" i="23"/>
  <c r="Z93" i="23"/>
  <c r="Z89" i="23"/>
  <c r="Z108" i="23"/>
  <c r="H105" i="23"/>
  <c r="Z81" i="23"/>
  <c r="H78" i="23"/>
  <c r="D87" i="23"/>
  <c r="Z107" i="23"/>
  <c r="D96" i="23"/>
  <c r="Z80" i="23"/>
  <c r="F87" i="23"/>
  <c r="F105" i="23"/>
  <c r="F96" i="23"/>
  <c r="F78" i="23"/>
  <c r="T189" i="23"/>
  <c r="R197" i="23"/>
  <c r="F189" i="23"/>
  <c r="B152" i="23"/>
  <c r="Z153" i="23"/>
  <c r="Z178" i="23"/>
  <c r="T152" i="23"/>
  <c r="T161" i="23"/>
  <c r="Z157" i="23"/>
  <c r="L152" i="23"/>
  <c r="H179" i="23"/>
  <c r="Z174" i="23"/>
  <c r="J152" i="23"/>
  <c r="J161" i="23"/>
  <c r="Z155" i="23"/>
  <c r="H152" i="23"/>
  <c r="Z172" i="23"/>
  <c r="D152" i="23"/>
  <c r="D179" i="23"/>
  <c r="F170" i="23"/>
  <c r="F152" i="23"/>
  <c r="B197" i="23"/>
  <c r="Z198" i="23"/>
  <c r="Y119" i="23"/>
  <c r="Y122" i="23"/>
  <c r="Y118" i="23"/>
  <c r="X114" i="23"/>
  <c r="Y121" i="23"/>
  <c r="Y117" i="23"/>
  <c r="Y116" i="23"/>
  <c r="Y120" i="23"/>
  <c r="Z49" i="23"/>
  <c r="AB50" i="23"/>
  <c r="AC50" i="23"/>
  <c r="Z191" i="23"/>
  <c r="I127" i="23"/>
  <c r="I126" i="23"/>
  <c r="I124" i="23"/>
  <c r="I128" i="23"/>
  <c r="I125" i="23"/>
  <c r="Z190" i="23"/>
  <c r="Z118" i="13"/>
  <c r="Z122" i="13"/>
  <c r="Z108" i="13"/>
  <c r="T78" i="13"/>
  <c r="L78" i="13"/>
  <c r="D78" i="13"/>
  <c r="Z101" i="13"/>
  <c r="Z97" i="13"/>
  <c r="B96" i="13"/>
  <c r="Z83" i="13"/>
  <c r="Z79" i="13"/>
  <c r="B78" i="13"/>
  <c r="H96" i="13"/>
  <c r="H78" i="13"/>
  <c r="F96" i="13"/>
  <c r="F78" i="13"/>
  <c r="Z200" i="19"/>
  <c r="P115" i="14"/>
  <c r="Z120" i="14"/>
  <c r="L123" i="14"/>
  <c r="Z126" i="14"/>
  <c r="Z127" i="14"/>
  <c r="P123" i="14"/>
  <c r="Z122" i="14"/>
  <c r="D115" i="14"/>
  <c r="R115" i="14"/>
  <c r="Z89" i="14"/>
  <c r="Z107" i="14"/>
  <c r="V87" i="14"/>
  <c r="V105" i="14"/>
  <c r="Z94" i="14"/>
  <c r="R87" i="14"/>
  <c r="Z112" i="14"/>
  <c r="R105" i="14"/>
  <c r="L87" i="14"/>
  <c r="L105" i="14"/>
  <c r="Z81" i="14"/>
  <c r="Z86" i="14"/>
  <c r="P87" i="14"/>
  <c r="P105" i="14"/>
  <c r="Z103" i="14"/>
  <c r="Z99" i="14"/>
  <c r="R96" i="14"/>
  <c r="P78" i="14"/>
  <c r="P96" i="14"/>
  <c r="V78" i="14"/>
  <c r="V96" i="14"/>
  <c r="L78" i="14"/>
  <c r="Z178" i="14"/>
  <c r="Z160" i="14"/>
  <c r="D179" i="14"/>
  <c r="D161" i="14"/>
  <c r="L161" i="14"/>
  <c r="T161" i="14"/>
  <c r="Z175" i="14"/>
  <c r="Z154" i="14"/>
  <c r="L179" i="14"/>
  <c r="Z163" i="14"/>
  <c r="B179" i="14"/>
  <c r="Z180" i="14"/>
  <c r="T170" i="14"/>
  <c r="L152" i="14"/>
  <c r="Z165" i="14"/>
  <c r="Z182" i="14"/>
  <c r="F179" i="14"/>
  <c r="X170" i="14"/>
  <c r="P152" i="14"/>
  <c r="D64" i="20"/>
  <c r="D66" i="20"/>
  <c r="N189" i="19"/>
  <c r="N197" i="19"/>
  <c r="Z128" i="19"/>
  <c r="Z124" i="19"/>
  <c r="B123" i="19"/>
  <c r="D115" i="19"/>
  <c r="X115" i="19"/>
  <c r="J115" i="19"/>
  <c r="Z103" i="19"/>
  <c r="H87" i="19"/>
  <c r="Z99" i="19"/>
  <c r="Z85" i="19"/>
  <c r="H105" i="19"/>
  <c r="Z81" i="19"/>
  <c r="F87" i="19"/>
  <c r="Z107" i="19"/>
  <c r="F96" i="19"/>
  <c r="Z80" i="19"/>
  <c r="Z92" i="19"/>
  <c r="N87" i="19"/>
  <c r="Z101" i="19"/>
  <c r="N96" i="19"/>
  <c r="V87" i="19"/>
  <c r="Z113" i="19"/>
  <c r="V96" i="19"/>
  <c r="Z86" i="19"/>
  <c r="L87" i="19"/>
  <c r="L105" i="19"/>
  <c r="L96" i="19"/>
  <c r="L78" i="19"/>
  <c r="Z145" i="14"/>
  <c r="AA134" i="14"/>
  <c r="D145" i="23"/>
  <c r="E145" i="23"/>
  <c r="E134" i="23"/>
  <c r="C60" i="20"/>
  <c r="C56" i="20"/>
  <c r="O55" i="20"/>
  <c r="E59" i="18"/>
  <c r="E60" i="18"/>
  <c r="H60" i="20"/>
  <c r="O63" i="18"/>
  <c r="K60" i="20"/>
  <c r="K56" i="20"/>
  <c r="R197" i="19"/>
  <c r="Z194" i="19"/>
  <c r="V189" i="19"/>
  <c r="D197" i="19"/>
  <c r="L189" i="19"/>
  <c r="Z181" i="19"/>
  <c r="T179" i="19"/>
  <c r="Z177" i="19"/>
  <c r="R170" i="19"/>
  <c r="Z159" i="19"/>
  <c r="R152" i="19"/>
  <c r="Z185" i="19"/>
  <c r="D161" i="19"/>
  <c r="T161" i="19"/>
  <c r="Z184" i="19"/>
  <c r="Z172" i="19"/>
  <c r="Z154" i="19"/>
  <c r="Z183" i="19"/>
  <c r="T170" i="19"/>
  <c r="T152" i="19"/>
  <c r="P170" i="19"/>
  <c r="P152" i="19"/>
  <c r="N170" i="19"/>
  <c r="N152" i="19"/>
  <c r="O46" i="16"/>
  <c r="C54" i="16"/>
  <c r="F197" i="19"/>
  <c r="H57" i="13"/>
  <c r="H56" i="13"/>
  <c r="P57" i="13"/>
  <c r="P56" i="13"/>
  <c r="X57" i="13"/>
  <c r="X56" i="13"/>
  <c r="D131" i="13"/>
  <c r="D130" i="13"/>
  <c r="E131" i="13"/>
  <c r="L131" i="13"/>
  <c r="L130" i="13"/>
  <c r="M131" i="13"/>
  <c r="T131" i="13"/>
  <c r="T130" i="13"/>
  <c r="U131" i="13"/>
  <c r="J57" i="13"/>
  <c r="J56" i="13"/>
  <c r="T57" i="13"/>
  <c r="T56" i="13"/>
  <c r="U57" i="13"/>
  <c r="J131" i="13"/>
  <c r="J130" i="13"/>
  <c r="K131" i="13"/>
  <c r="V131" i="13"/>
  <c r="V130" i="13"/>
  <c r="W131" i="13"/>
  <c r="B57" i="13"/>
  <c r="L57" i="13"/>
  <c r="L56" i="13"/>
  <c r="V57" i="13"/>
  <c r="V56" i="13"/>
  <c r="B131" i="13"/>
  <c r="N131" i="13"/>
  <c r="N130" i="13"/>
  <c r="O131" i="13"/>
  <c r="X131" i="13"/>
  <c r="X130" i="13"/>
  <c r="Y131" i="13"/>
  <c r="D57" i="13"/>
  <c r="D56" i="13"/>
  <c r="E57" i="13"/>
  <c r="N57" i="13"/>
  <c r="N56" i="13"/>
  <c r="F57" i="13"/>
  <c r="F56" i="13"/>
  <c r="R57" i="13"/>
  <c r="R56" i="13"/>
  <c r="P131" i="13"/>
  <c r="P130" i="13"/>
  <c r="Q131" i="13"/>
  <c r="R131" i="13"/>
  <c r="R130" i="13"/>
  <c r="S131" i="13"/>
  <c r="F131" i="13"/>
  <c r="F130" i="13"/>
  <c r="G131" i="13"/>
  <c r="H131" i="13"/>
  <c r="H130" i="13"/>
  <c r="I131" i="13"/>
  <c r="Z189" i="14"/>
  <c r="D123" i="19"/>
  <c r="Y57" i="14"/>
  <c r="O58" i="18"/>
  <c r="O59" i="18"/>
  <c r="O43" i="18"/>
  <c r="O51" i="18"/>
  <c r="Z145" i="13"/>
  <c r="AA134" i="13"/>
  <c r="R197" i="13"/>
  <c r="J67" i="14"/>
  <c r="K62" i="14"/>
  <c r="K59" i="14"/>
  <c r="K56" i="14"/>
  <c r="K4" i="14"/>
  <c r="K3" i="14"/>
  <c r="K22" i="14"/>
  <c r="G200" i="14"/>
  <c r="G201" i="14"/>
  <c r="G202" i="14"/>
  <c r="G199" i="14"/>
  <c r="G198" i="14"/>
  <c r="Z219" i="13"/>
  <c r="AA208" i="13"/>
  <c r="R189" i="13"/>
  <c r="S202" i="14"/>
  <c r="S198" i="14"/>
  <c r="S199" i="14"/>
  <c r="S201" i="14"/>
  <c r="S200" i="14"/>
  <c r="V68" i="14"/>
  <c r="W68" i="14"/>
  <c r="W49" i="14"/>
  <c r="W41" i="14"/>
  <c r="W40" i="14"/>
  <c r="Z198" i="13"/>
  <c r="B197" i="13"/>
  <c r="Z194" i="13"/>
  <c r="T197" i="13"/>
  <c r="Z192" i="13"/>
  <c r="L189" i="13"/>
  <c r="H197" i="13"/>
  <c r="Z193" i="13"/>
  <c r="P189" i="13"/>
  <c r="D152" i="13"/>
  <c r="Z187" i="13"/>
  <c r="V170" i="13"/>
  <c r="T170" i="13"/>
  <c r="L152" i="13"/>
  <c r="Z162" i="13"/>
  <c r="B161" i="13"/>
  <c r="D161" i="13"/>
  <c r="F161" i="13"/>
  <c r="H161" i="13"/>
  <c r="J161" i="13"/>
  <c r="L161" i="13"/>
  <c r="N161" i="13"/>
  <c r="P161" i="13"/>
  <c r="R161" i="13"/>
  <c r="T161" i="13"/>
  <c r="V161" i="13"/>
  <c r="X161" i="13"/>
  <c r="D170" i="13"/>
  <c r="Z174" i="13"/>
  <c r="J170" i="13"/>
  <c r="Z160" i="13"/>
  <c r="Z153" i="13"/>
  <c r="B152" i="13"/>
  <c r="Z173" i="29"/>
  <c r="AA114" i="29"/>
  <c r="C114" i="29"/>
  <c r="P152" i="29"/>
  <c r="K179" i="29"/>
  <c r="K166" i="29"/>
  <c r="K163" i="29"/>
  <c r="K164" i="29"/>
  <c r="K162" i="29"/>
  <c r="K161" i="29"/>
  <c r="K169" i="29"/>
  <c r="K168" i="29"/>
  <c r="K167" i="29"/>
  <c r="K165" i="29"/>
  <c r="Y127" i="29"/>
  <c r="Y126" i="29"/>
  <c r="Y128" i="29"/>
  <c r="Y124" i="29"/>
  <c r="Y125" i="29"/>
  <c r="H197" i="29"/>
  <c r="Z194" i="29"/>
  <c r="J189" i="29"/>
  <c r="Z202" i="29"/>
  <c r="Z175" i="29"/>
  <c r="V170" i="29"/>
  <c r="Z154" i="29"/>
  <c r="Z201" i="29"/>
  <c r="Z191" i="29"/>
  <c r="X170" i="29"/>
  <c r="H170" i="29"/>
  <c r="Z156" i="29"/>
  <c r="J152" i="29"/>
  <c r="B197" i="29"/>
  <c r="Z198" i="29"/>
  <c r="D189" i="29"/>
  <c r="Z174" i="29"/>
  <c r="L152" i="29"/>
  <c r="L189" i="29"/>
  <c r="F189" i="29"/>
  <c r="D170" i="29"/>
  <c r="F152" i="29"/>
  <c r="Z219" i="29"/>
  <c r="AA208" i="29"/>
  <c r="C187" i="29"/>
  <c r="C185" i="29"/>
  <c r="C183" i="29"/>
  <c r="C181" i="29"/>
  <c r="C186" i="29"/>
  <c r="C184" i="29"/>
  <c r="C180" i="29"/>
  <c r="C182" i="29"/>
  <c r="M168" i="29"/>
  <c r="M166" i="29"/>
  <c r="M164" i="29"/>
  <c r="M162" i="29"/>
  <c r="M169" i="29"/>
  <c r="M161" i="29"/>
  <c r="M167" i="29"/>
  <c r="M165" i="29"/>
  <c r="M163" i="29"/>
  <c r="M179" i="29"/>
  <c r="Z98" i="29"/>
  <c r="Z128" i="29"/>
  <c r="S126" i="29"/>
  <c r="S125" i="29"/>
  <c r="S127" i="29"/>
  <c r="S124" i="29"/>
  <c r="S128" i="29"/>
  <c r="M125" i="29"/>
  <c r="M128" i="29"/>
  <c r="M124" i="29"/>
  <c r="M126" i="29"/>
  <c r="M127" i="29"/>
  <c r="Z124" i="29"/>
  <c r="F123" i="29"/>
  <c r="Z119" i="29"/>
  <c r="N115" i="29"/>
  <c r="Z103" i="29"/>
  <c r="H96" i="29"/>
  <c r="Z82" i="29"/>
  <c r="F115" i="29"/>
  <c r="L115" i="29"/>
  <c r="Z104" i="29"/>
  <c r="X96" i="29"/>
  <c r="J96" i="29"/>
  <c r="R78" i="29"/>
  <c r="L78" i="29"/>
  <c r="W179" i="29"/>
  <c r="W169" i="29"/>
  <c r="W166" i="29"/>
  <c r="W161" i="29"/>
  <c r="W168" i="29"/>
  <c r="W167" i="29"/>
  <c r="W165" i="29"/>
  <c r="W164" i="29"/>
  <c r="W163" i="29"/>
  <c r="W162" i="29"/>
  <c r="C179" i="29"/>
  <c r="Z125" i="29"/>
  <c r="Z106" i="23"/>
  <c r="B105" i="23"/>
  <c r="X96" i="23"/>
  <c r="Z104" i="23"/>
  <c r="T78" i="23"/>
  <c r="L87" i="23"/>
  <c r="J105" i="23"/>
  <c r="Z94" i="23"/>
  <c r="Z90" i="23"/>
  <c r="R87" i="23"/>
  <c r="Z103" i="23"/>
  <c r="R96" i="23"/>
  <c r="P105" i="23"/>
  <c r="Z102" i="23"/>
  <c r="P78" i="23"/>
  <c r="Z199" i="23"/>
  <c r="Z200" i="23"/>
  <c r="V197" i="23"/>
  <c r="X161" i="23"/>
  <c r="Z169" i="23"/>
  <c r="Z160" i="23"/>
  <c r="Z165" i="23"/>
  <c r="L161" i="23"/>
  <c r="Z163" i="23"/>
  <c r="Z156" i="23"/>
  <c r="Z167" i="23"/>
  <c r="F161" i="23"/>
  <c r="V161" i="23"/>
  <c r="J179" i="23"/>
  <c r="P179" i="23"/>
  <c r="V179" i="23"/>
  <c r="Z177" i="23"/>
  <c r="R170" i="23"/>
  <c r="Z166" i="23"/>
  <c r="P170" i="23"/>
  <c r="Z158" i="23"/>
  <c r="Z168" i="23"/>
  <c r="Z185" i="23"/>
  <c r="P189" i="23"/>
  <c r="L197" i="23"/>
  <c r="D197" i="23"/>
  <c r="B189" i="23"/>
  <c r="I52" i="21"/>
  <c r="I47" i="21"/>
  <c r="H52" i="21"/>
  <c r="Y127" i="23"/>
  <c r="Y125" i="23"/>
  <c r="Y128" i="23"/>
  <c r="Y126" i="23"/>
  <c r="Y124" i="23"/>
  <c r="E57" i="20"/>
  <c r="E64" i="20"/>
  <c r="E66" i="20"/>
  <c r="I64" i="20"/>
  <c r="I66" i="20"/>
  <c r="X114" i="13"/>
  <c r="Y121" i="13"/>
  <c r="Y117" i="13"/>
  <c r="Y120" i="13"/>
  <c r="Y116" i="13"/>
  <c r="Y119" i="13"/>
  <c r="Y122" i="13"/>
  <c r="Y118" i="13"/>
  <c r="J114" i="13"/>
  <c r="K120" i="13"/>
  <c r="K116" i="13"/>
  <c r="K119" i="13"/>
  <c r="K122" i="13"/>
  <c r="K118" i="13"/>
  <c r="K121" i="13"/>
  <c r="K117" i="13"/>
  <c r="Z121" i="13"/>
  <c r="D115" i="13"/>
  <c r="Z125" i="13"/>
  <c r="H123" i="13"/>
  <c r="O126" i="13"/>
  <c r="O125" i="13"/>
  <c r="O128" i="13"/>
  <c r="O124" i="13"/>
  <c r="O127" i="13"/>
  <c r="U127" i="13"/>
  <c r="U126" i="13"/>
  <c r="U125" i="13"/>
  <c r="U128" i="13"/>
  <c r="U124" i="13"/>
  <c r="Z93" i="13"/>
  <c r="Z91" i="13"/>
  <c r="Z89" i="13"/>
  <c r="Z95" i="13"/>
  <c r="Z94" i="13"/>
  <c r="Z88" i="13"/>
  <c r="B87" i="13"/>
  <c r="D87" i="13"/>
  <c r="F87" i="13"/>
  <c r="H87" i="13"/>
  <c r="J87" i="13"/>
  <c r="L87" i="13"/>
  <c r="N87" i="13"/>
  <c r="P87" i="13"/>
  <c r="R87" i="13"/>
  <c r="T87" i="13"/>
  <c r="V87" i="13"/>
  <c r="X87" i="13"/>
  <c r="Z102" i="13"/>
  <c r="Z98" i="13"/>
  <c r="Z84" i="13"/>
  <c r="Z80" i="13"/>
  <c r="H64" i="20"/>
  <c r="H57" i="20"/>
  <c r="H66" i="20"/>
  <c r="X189" i="19"/>
  <c r="Z193" i="19"/>
  <c r="L115" i="19"/>
  <c r="Z118" i="19"/>
  <c r="J66" i="18"/>
  <c r="J64" i="18"/>
  <c r="Z117" i="14"/>
  <c r="N123" i="14"/>
  <c r="H123" i="14"/>
  <c r="Z119" i="14"/>
  <c r="V115" i="14"/>
  <c r="J115" i="14"/>
  <c r="Z136" i="14"/>
  <c r="Z146" i="14"/>
  <c r="F146" i="14"/>
  <c r="G146" i="14"/>
  <c r="Z91" i="14"/>
  <c r="J87" i="14"/>
  <c r="Z109" i="14"/>
  <c r="J105" i="14"/>
  <c r="F87" i="14"/>
  <c r="F105" i="14"/>
  <c r="Z88" i="14"/>
  <c r="B87" i="14"/>
  <c r="Z106" i="14"/>
  <c r="B105" i="14"/>
  <c r="N87" i="14"/>
  <c r="N105" i="14"/>
  <c r="Z80" i="14"/>
  <c r="D87" i="14"/>
  <c r="D105" i="14"/>
  <c r="Z85" i="14"/>
  <c r="R78" i="14"/>
  <c r="J78" i="14"/>
  <c r="H87" i="14"/>
  <c r="H105" i="14"/>
  <c r="Z104" i="14"/>
  <c r="Z100" i="14"/>
  <c r="J96" i="14"/>
  <c r="H78" i="14"/>
  <c r="H96" i="14"/>
  <c r="N78" i="14"/>
  <c r="N96" i="14"/>
  <c r="D78" i="14"/>
  <c r="X179" i="14"/>
  <c r="Z172" i="14"/>
  <c r="R152" i="14"/>
  <c r="Z156" i="14"/>
  <c r="V170" i="14"/>
  <c r="N152" i="14"/>
  <c r="F161" i="14"/>
  <c r="N161" i="14"/>
  <c r="V161" i="14"/>
  <c r="P179" i="14"/>
  <c r="Z177" i="14"/>
  <c r="R170" i="14"/>
  <c r="Z159" i="14"/>
  <c r="J152" i="14"/>
  <c r="V152" i="14"/>
  <c r="L170" i="14"/>
  <c r="D152" i="14"/>
  <c r="P170" i="14"/>
  <c r="H152" i="14"/>
  <c r="Z190" i="19"/>
  <c r="Z198" i="19"/>
  <c r="Z136" i="19"/>
  <c r="Z146" i="19"/>
  <c r="F146" i="19"/>
  <c r="G146" i="19"/>
  <c r="Z120" i="19"/>
  <c r="Z116" i="19"/>
  <c r="B115" i="19"/>
  <c r="H96" i="19"/>
  <c r="H78" i="19"/>
  <c r="Z93" i="19"/>
  <c r="P105" i="19"/>
  <c r="Z102" i="19"/>
  <c r="P78" i="19"/>
  <c r="Z88" i="19"/>
  <c r="B87" i="19"/>
  <c r="X105" i="19"/>
  <c r="Z97" i="19"/>
  <c r="B96" i="19"/>
  <c r="X78" i="19"/>
  <c r="J87" i="19"/>
  <c r="Z109" i="19"/>
  <c r="J96" i="19"/>
  <c r="Z82" i="19"/>
  <c r="D87" i="19"/>
  <c r="D105" i="19"/>
  <c r="D96" i="19"/>
  <c r="D78" i="19"/>
  <c r="I64" i="18"/>
  <c r="I57" i="18"/>
  <c r="I66" i="18"/>
  <c r="E66" i="18"/>
  <c r="Z145" i="23"/>
  <c r="AA134" i="23"/>
  <c r="O58" i="16"/>
  <c r="O59" i="16"/>
  <c r="C59" i="16"/>
  <c r="E60" i="20"/>
  <c r="I60" i="20"/>
  <c r="I56" i="20"/>
  <c r="I57" i="20"/>
  <c r="J60" i="18"/>
  <c r="O55" i="18"/>
  <c r="J56" i="18"/>
  <c r="J57" i="18"/>
  <c r="H197" i="19"/>
  <c r="Z192" i="19"/>
  <c r="J189" i="19"/>
  <c r="Z199" i="19"/>
  <c r="D189" i="19"/>
  <c r="J161" i="19"/>
  <c r="Z187" i="19"/>
  <c r="Z171" i="19"/>
  <c r="B170" i="19"/>
  <c r="B152" i="19"/>
  <c r="Z153" i="19"/>
  <c r="B179" i="19"/>
  <c r="Z180" i="19"/>
  <c r="H179" i="19"/>
  <c r="L170" i="19"/>
  <c r="L152" i="19"/>
  <c r="P161" i="19"/>
  <c r="Z174" i="19"/>
  <c r="J170" i="19"/>
  <c r="Z156" i="19"/>
  <c r="J152" i="19"/>
  <c r="D170" i="19"/>
  <c r="D152" i="19"/>
  <c r="V179" i="19"/>
  <c r="H170" i="19"/>
  <c r="H152" i="19"/>
  <c r="F170" i="19"/>
  <c r="F152" i="19"/>
  <c r="F115" i="19"/>
  <c r="G57" i="14"/>
  <c r="F57" i="18"/>
  <c r="F66" i="18"/>
  <c r="F71" i="18"/>
  <c r="F62" i="18"/>
  <c r="F64" i="18"/>
  <c r="H47" i="21"/>
  <c r="O46" i="18"/>
  <c r="O43" i="20"/>
  <c r="O51" i="20"/>
  <c r="D51" i="20"/>
  <c r="K54" i="20"/>
  <c r="F30" i="18"/>
  <c r="H7" i="16"/>
  <c r="K7" i="18"/>
  <c r="H12" i="16"/>
  <c r="K11" i="18"/>
  <c r="H10" i="16"/>
  <c r="K9" i="18"/>
  <c r="H14" i="16"/>
  <c r="K12" i="18"/>
  <c r="H11" i="16"/>
  <c r="K10" i="18"/>
  <c r="H13" i="16"/>
  <c r="H8" i="16"/>
  <c r="K8" i="18"/>
  <c r="H9" i="16"/>
  <c r="V197" i="19"/>
  <c r="Z120" i="13"/>
  <c r="M193" i="14"/>
  <c r="M195" i="14"/>
  <c r="M196" i="14"/>
  <c r="M194" i="14"/>
  <c r="M191" i="14"/>
  <c r="L188" i="14"/>
  <c r="M190" i="14"/>
  <c r="M192" i="14"/>
  <c r="O63" i="16"/>
  <c r="U62" i="13"/>
  <c r="U59" i="13"/>
  <c r="T67" i="13"/>
  <c r="U4" i="13"/>
  <c r="U3" i="13"/>
  <c r="U22" i="13"/>
  <c r="U56" i="13"/>
  <c r="N68" i="14"/>
  <c r="O68" i="14"/>
  <c r="O49" i="14"/>
  <c r="O41" i="14"/>
  <c r="L60" i="20"/>
  <c r="E201" i="14"/>
  <c r="E199" i="14"/>
  <c r="E200" i="14"/>
  <c r="E198" i="14"/>
  <c r="E202" i="14"/>
  <c r="D68" i="14"/>
  <c r="E68" i="14"/>
  <c r="E49" i="14"/>
  <c r="E41" i="14"/>
  <c r="C194" i="14"/>
  <c r="C190" i="14"/>
  <c r="C195" i="14"/>
  <c r="C196" i="14"/>
  <c r="C193" i="14"/>
  <c r="C192" i="14"/>
  <c r="B188" i="14"/>
  <c r="C191" i="14"/>
  <c r="O200" i="14"/>
  <c r="O199" i="14"/>
  <c r="O198" i="14"/>
  <c r="O202" i="14"/>
  <c r="O201" i="14"/>
  <c r="D189" i="13"/>
  <c r="N188" i="14"/>
  <c r="Z200" i="13"/>
  <c r="V197" i="13"/>
  <c r="T189" i="13"/>
  <c r="Z202" i="13"/>
  <c r="J197" i="13"/>
  <c r="Z190" i="13"/>
  <c r="B189" i="13"/>
  <c r="H189" i="13"/>
  <c r="H152" i="13"/>
  <c r="Z165" i="13"/>
  <c r="Z181" i="13"/>
  <c r="F170" i="13"/>
  <c r="Z182" i="13"/>
  <c r="H170" i="13"/>
  <c r="Z175" i="13"/>
  <c r="B170" i="13"/>
  <c r="Z171" i="13"/>
  <c r="Z154" i="13"/>
  <c r="Z155" i="13"/>
  <c r="O179" i="29"/>
  <c r="O167" i="29"/>
  <c r="O164" i="29"/>
  <c r="O165" i="29"/>
  <c r="O163" i="29"/>
  <c r="O162" i="29"/>
  <c r="O161" i="29"/>
  <c r="O169" i="29"/>
  <c r="O168" i="29"/>
  <c r="O166" i="29"/>
  <c r="Z136" i="29"/>
  <c r="Z146" i="29"/>
  <c r="B146" i="29"/>
  <c r="C146" i="29"/>
  <c r="P96" i="29"/>
  <c r="J78" i="29"/>
  <c r="J96" i="23"/>
  <c r="Z95" i="23"/>
  <c r="Z91" i="23"/>
  <c r="Z99" i="23"/>
  <c r="X87" i="23"/>
  <c r="D105" i="23"/>
  <c r="Z98" i="23"/>
  <c r="D78" i="23"/>
  <c r="V105" i="23"/>
  <c r="V96" i="23"/>
  <c r="V78" i="23"/>
  <c r="N197" i="23"/>
  <c r="Z196" i="23"/>
  <c r="V189" i="23"/>
  <c r="Z186" i="23"/>
  <c r="D161" i="23"/>
  <c r="Z182" i="23"/>
  <c r="Z180" i="23"/>
  <c r="B179" i="23"/>
  <c r="N179" i="23"/>
  <c r="B161" i="23"/>
  <c r="Z162" i="23"/>
  <c r="R161" i="23"/>
  <c r="Z173" i="23"/>
  <c r="C114" i="23"/>
  <c r="H170" i="23"/>
  <c r="R179" i="23"/>
  <c r="X179" i="23"/>
  <c r="D170" i="23"/>
  <c r="Z154" i="23"/>
  <c r="Z181" i="23"/>
  <c r="T179" i="23"/>
  <c r="V170" i="23"/>
  <c r="V152" i="23"/>
  <c r="Z193" i="23"/>
  <c r="X197" i="23"/>
  <c r="I119" i="23"/>
  <c r="I120" i="23"/>
  <c r="I116" i="23"/>
  <c r="H114" i="23"/>
  <c r="I122" i="23"/>
  <c r="I118" i="23"/>
  <c r="I117" i="23"/>
  <c r="I121" i="23"/>
  <c r="H189" i="23"/>
  <c r="X189" i="23"/>
  <c r="P197" i="23"/>
  <c r="AA208" i="23"/>
  <c r="Z219" i="23"/>
  <c r="K126" i="23"/>
  <c r="K128" i="23"/>
  <c r="J114" i="23"/>
  <c r="K125" i="23"/>
  <c r="K124" i="23"/>
  <c r="K127" i="23"/>
  <c r="O128" i="23"/>
  <c r="O124" i="23"/>
  <c r="O127" i="23"/>
  <c r="O125" i="23"/>
  <c r="O126" i="23"/>
  <c r="W128" i="23"/>
  <c r="W124" i="23"/>
  <c r="W127" i="23"/>
  <c r="W125" i="23"/>
  <c r="W126" i="23"/>
  <c r="Z117" i="13"/>
  <c r="L115" i="13"/>
  <c r="G122" i="13"/>
  <c r="G118" i="13"/>
  <c r="G121" i="13"/>
  <c r="G117" i="13"/>
  <c r="G120" i="13"/>
  <c r="G116" i="13"/>
  <c r="G119" i="13"/>
  <c r="Q125" i="13"/>
  <c r="Q128" i="13"/>
  <c r="Q124" i="13"/>
  <c r="Q127" i="13"/>
  <c r="Q126" i="13"/>
  <c r="W126" i="13"/>
  <c r="W125" i="13"/>
  <c r="W128" i="13"/>
  <c r="W124" i="13"/>
  <c r="W127" i="13"/>
  <c r="Z128" i="13"/>
  <c r="B123" i="13"/>
  <c r="Z109" i="13"/>
  <c r="Z113" i="13"/>
  <c r="L96" i="13"/>
  <c r="D96" i="13"/>
  <c r="Z103" i="13"/>
  <c r="R96" i="13"/>
  <c r="Z81" i="13"/>
  <c r="R78" i="13"/>
  <c r="X96" i="13"/>
  <c r="X78" i="13"/>
  <c r="V96" i="13"/>
  <c r="V78" i="13"/>
  <c r="O58" i="20"/>
  <c r="O59" i="20"/>
  <c r="C59" i="20"/>
  <c r="Z219" i="19"/>
  <c r="AA208" i="19"/>
  <c r="Z125" i="14"/>
  <c r="F123" i="14"/>
  <c r="N115" i="14"/>
  <c r="Z116" i="14"/>
  <c r="B115" i="14"/>
  <c r="Z90" i="14"/>
  <c r="Z108" i="14"/>
  <c r="B78" i="14"/>
  <c r="Z79" i="14"/>
  <c r="Z97" i="14"/>
  <c r="B96" i="14"/>
  <c r="F78" i="14"/>
  <c r="F96" i="14"/>
  <c r="Z153" i="14"/>
  <c r="B152" i="14"/>
  <c r="H161" i="14"/>
  <c r="P161" i="14"/>
  <c r="X161" i="14"/>
  <c r="Z187" i="14"/>
  <c r="B170" i="14"/>
  <c r="Z171" i="14"/>
  <c r="Z155" i="14"/>
  <c r="N170" i="14"/>
  <c r="F152" i="14"/>
  <c r="R179" i="14"/>
  <c r="D170" i="14"/>
  <c r="V179" i="14"/>
  <c r="H170" i="14"/>
  <c r="L123" i="19"/>
  <c r="Z126" i="19"/>
  <c r="F123" i="19"/>
  <c r="R123" i="19"/>
  <c r="Z121" i="19"/>
  <c r="T115" i="19"/>
  <c r="R87" i="19"/>
  <c r="R105" i="19"/>
  <c r="Z89" i="19"/>
  <c r="F105" i="19"/>
  <c r="Z98" i="19"/>
  <c r="F78" i="19"/>
  <c r="Z110" i="19"/>
  <c r="N105" i="19"/>
  <c r="Z83" i="19"/>
  <c r="N78" i="19"/>
  <c r="Z95" i="19"/>
  <c r="V105" i="19"/>
  <c r="Z104" i="19"/>
  <c r="V78" i="19"/>
  <c r="C60" i="16"/>
  <c r="O55" i="16"/>
  <c r="C56" i="16"/>
  <c r="K56" i="16"/>
  <c r="K57" i="16"/>
  <c r="K60" i="16"/>
  <c r="J56" i="20"/>
  <c r="D131" i="23"/>
  <c r="D130" i="23"/>
  <c r="E131" i="23"/>
  <c r="L131" i="23"/>
  <c r="L130" i="23"/>
  <c r="M131" i="23"/>
  <c r="T131" i="23"/>
  <c r="T130" i="23"/>
  <c r="U131" i="23"/>
  <c r="B131" i="23"/>
  <c r="N131" i="23"/>
  <c r="N130" i="23"/>
  <c r="O131" i="23"/>
  <c r="F131" i="23"/>
  <c r="F130" i="23"/>
  <c r="G131" i="23"/>
  <c r="R131" i="23"/>
  <c r="R130" i="23"/>
  <c r="S131" i="23"/>
  <c r="R131" i="19"/>
  <c r="R130" i="19"/>
  <c r="S131" i="19"/>
  <c r="J131" i="19"/>
  <c r="J130" i="19"/>
  <c r="K131" i="19"/>
  <c r="X57" i="19"/>
  <c r="X56" i="19"/>
  <c r="N57" i="19"/>
  <c r="N56" i="19"/>
  <c r="O57" i="19"/>
  <c r="F57" i="19"/>
  <c r="F56" i="19"/>
  <c r="G57" i="19"/>
  <c r="H131" i="23"/>
  <c r="H130" i="23"/>
  <c r="I131" i="23"/>
  <c r="V131" i="23"/>
  <c r="V130" i="23"/>
  <c r="W131" i="23"/>
  <c r="P57" i="19"/>
  <c r="P56" i="19"/>
  <c r="Q57" i="19"/>
  <c r="P131" i="23"/>
  <c r="P130" i="23"/>
  <c r="Q131" i="23"/>
  <c r="V131" i="19"/>
  <c r="V130" i="19"/>
  <c r="W131" i="19"/>
  <c r="L131" i="19"/>
  <c r="L130" i="19"/>
  <c r="M131" i="19"/>
  <c r="V57" i="19"/>
  <c r="V56" i="19"/>
  <c r="W57" i="19"/>
  <c r="J57" i="19"/>
  <c r="J56" i="19"/>
  <c r="B57" i="19"/>
  <c r="N131" i="19"/>
  <c r="N130" i="19"/>
  <c r="O131" i="19"/>
  <c r="T57" i="19"/>
  <c r="T56" i="19"/>
  <c r="D57" i="19"/>
  <c r="D56" i="19"/>
  <c r="X131" i="19"/>
  <c r="X130" i="19"/>
  <c r="Y131" i="19"/>
  <c r="H131" i="19"/>
  <c r="H130" i="19"/>
  <c r="I131" i="19"/>
  <c r="R57" i="19"/>
  <c r="R56" i="19"/>
  <c r="B131" i="19"/>
  <c r="T131" i="19"/>
  <c r="T130" i="19"/>
  <c r="U131" i="19"/>
  <c r="F131" i="19"/>
  <c r="F130" i="19"/>
  <c r="G131" i="19"/>
  <c r="L57" i="19"/>
  <c r="L56" i="19"/>
  <c r="J131" i="23"/>
  <c r="J130" i="23"/>
  <c r="K131" i="23"/>
  <c r="P131" i="19"/>
  <c r="P130" i="19"/>
  <c r="Q131" i="19"/>
  <c r="D131" i="19"/>
  <c r="D130" i="19"/>
  <c r="E131" i="19"/>
  <c r="H57" i="19"/>
  <c r="H56" i="19"/>
  <c r="T197" i="19"/>
  <c r="Z195" i="19"/>
  <c r="Z191" i="19"/>
  <c r="Z173" i="19"/>
  <c r="C114" i="19"/>
  <c r="Z165" i="19"/>
  <c r="L161" i="19"/>
  <c r="D179" i="19"/>
  <c r="J179" i="19"/>
  <c r="P179" i="19"/>
  <c r="Z176" i="19"/>
  <c r="Z158" i="19"/>
  <c r="Z169" i="19"/>
  <c r="Z186" i="19"/>
  <c r="N179" i="19"/>
  <c r="B189" i="19"/>
  <c r="O46" i="20"/>
  <c r="C54" i="20"/>
  <c r="N66" i="20"/>
  <c r="N64" i="20"/>
  <c r="R189" i="19"/>
  <c r="Z202" i="19"/>
  <c r="C64" i="18"/>
  <c r="C57" i="18"/>
  <c r="C66" i="18"/>
  <c r="F123" i="13"/>
  <c r="D55" i="13"/>
  <c r="D58" i="13"/>
  <c r="D61" i="13"/>
  <c r="D63" i="13"/>
  <c r="E63" i="13"/>
  <c r="E62" i="13"/>
  <c r="E59" i="13"/>
  <c r="E3" i="13"/>
  <c r="E40" i="13"/>
  <c r="D67" i="13"/>
  <c r="E4" i="13"/>
  <c r="E22" i="13"/>
  <c r="E56" i="13"/>
  <c r="U193" i="14"/>
  <c r="U191" i="14"/>
  <c r="U192" i="14"/>
  <c r="U190" i="14"/>
  <c r="U194" i="14"/>
  <c r="U196" i="14"/>
  <c r="T188" i="14"/>
  <c r="U195" i="14"/>
  <c r="W57" i="14"/>
  <c r="W56" i="14"/>
  <c r="Z119" i="19"/>
  <c r="Z118" i="14"/>
  <c r="D66" i="16"/>
  <c r="D64" i="16"/>
  <c r="B115" i="13"/>
  <c r="K194" i="14"/>
  <c r="K190" i="14"/>
  <c r="K193" i="14"/>
  <c r="K191" i="14"/>
  <c r="K192" i="14"/>
  <c r="J188" i="14"/>
  <c r="K196" i="14"/>
  <c r="K195" i="14"/>
  <c r="W200" i="14"/>
  <c r="W202" i="14"/>
  <c r="W201" i="14"/>
  <c r="W198" i="14"/>
  <c r="W199" i="14"/>
  <c r="K64" i="16"/>
  <c r="K66" i="16"/>
  <c r="Z195" i="13"/>
  <c r="C202" i="14"/>
  <c r="C198" i="14"/>
  <c r="C201" i="14"/>
  <c r="C200" i="14"/>
  <c r="C199" i="14"/>
  <c r="Z199" i="13"/>
  <c r="Z191" i="13"/>
  <c r="J189" i="13"/>
  <c r="F197" i="13"/>
  <c r="F189" i="13"/>
  <c r="X197" i="13"/>
  <c r="Z167" i="13"/>
  <c r="Z183" i="13"/>
  <c r="Z177" i="13"/>
  <c r="N152" i="13"/>
  <c r="B179" i="13"/>
  <c r="Z180" i="13"/>
  <c r="D179" i="13"/>
  <c r="F179" i="13"/>
  <c r="H179" i="13"/>
  <c r="J179" i="13"/>
  <c r="L179" i="13"/>
  <c r="N179" i="13"/>
  <c r="P179" i="13"/>
  <c r="R179" i="13"/>
  <c r="T179" i="13"/>
  <c r="V179" i="13"/>
  <c r="X179" i="13"/>
  <c r="X170" i="13"/>
  <c r="P152" i="13"/>
  <c r="Z172" i="13"/>
  <c r="Z157" i="13"/>
  <c r="R152" i="13"/>
  <c r="Z156" i="13"/>
  <c r="Z160" i="29"/>
  <c r="Z153" i="29"/>
  <c r="B152" i="29"/>
  <c r="Z176" i="29"/>
  <c r="Z172" i="29"/>
  <c r="D115" i="29"/>
  <c r="V96" i="29"/>
  <c r="Z97" i="29"/>
  <c r="B96" i="29"/>
  <c r="Z83" i="29"/>
  <c r="D78" i="29"/>
  <c r="AA110" i="29"/>
  <c r="AA106" i="29"/>
  <c r="AA113" i="29"/>
  <c r="AA109" i="29"/>
  <c r="AA112" i="29"/>
  <c r="AA108" i="29"/>
  <c r="AA111" i="29"/>
  <c r="AA107" i="29"/>
  <c r="Q127" i="29"/>
  <c r="Q126" i="29"/>
  <c r="Q125" i="29"/>
  <c r="Q124" i="29"/>
  <c r="Q128" i="29"/>
  <c r="Z97" i="23"/>
  <c r="B96" i="23"/>
  <c r="T189" i="29"/>
  <c r="X197" i="29"/>
  <c r="Z196" i="29"/>
  <c r="V189" i="29"/>
  <c r="T170" i="29"/>
  <c r="Z159" i="29"/>
  <c r="V152" i="29"/>
  <c r="Z171" i="29"/>
  <c r="V123" i="29"/>
  <c r="V114" i="29"/>
  <c r="R115" i="29"/>
  <c r="F78" i="29"/>
  <c r="Z80" i="29"/>
  <c r="V87" i="23"/>
  <c r="Z79" i="23"/>
  <c r="B78" i="23"/>
  <c r="L96" i="23"/>
  <c r="J78" i="23"/>
  <c r="Z92" i="23"/>
  <c r="Z112" i="23"/>
  <c r="R78" i="23"/>
  <c r="Z111" i="23"/>
  <c r="P96" i="23"/>
  <c r="Z84" i="23"/>
  <c r="N87" i="23"/>
  <c r="N105" i="23"/>
  <c r="N96" i="23"/>
  <c r="N78" i="23"/>
  <c r="Z194" i="23"/>
  <c r="H197" i="23"/>
  <c r="F197" i="23"/>
  <c r="N189" i="23"/>
  <c r="B170" i="23"/>
  <c r="Z171" i="23"/>
  <c r="Z175" i="23"/>
  <c r="L170" i="23"/>
  <c r="J170" i="23"/>
  <c r="N161" i="23"/>
  <c r="Z184" i="23"/>
  <c r="Z159" i="23"/>
  <c r="R152" i="23"/>
  <c r="Z183" i="23"/>
  <c r="Z176" i="23"/>
  <c r="P152" i="23"/>
  <c r="L179" i="23"/>
  <c r="N170" i="23"/>
  <c r="N152" i="23"/>
  <c r="Z195" i="23"/>
  <c r="Q119" i="23"/>
  <c r="Q122" i="23"/>
  <c r="Q118" i="23"/>
  <c r="P114" i="23"/>
  <c r="Q120" i="23"/>
  <c r="Q116" i="23"/>
  <c r="Q117" i="23"/>
  <c r="Q121" i="23"/>
  <c r="Z59" i="23"/>
  <c r="AB60" i="23"/>
  <c r="R189" i="23"/>
  <c r="Z201" i="23"/>
  <c r="S126" i="23"/>
  <c r="S124" i="23"/>
  <c r="S128" i="23"/>
  <c r="R114" i="23"/>
  <c r="S127" i="23"/>
  <c r="S125" i="23"/>
  <c r="Z41" i="23"/>
  <c r="N142" i="23"/>
  <c r="O142" i="23"/>
  <c r="O123" i="23"/>
  <c r="O115" i="23"/>
  <c r="N56" i="20"/>
  <c r="N57" i="20"/>
  <c r="N60" i="20"/>
  <c r="K128" i="13"/>
  <c r="K124" i="13"/>
  <c r="K127" i="13"/>
  <c r="K126" i="13"/>
  <c r="K125" i="13"/>
  <c r="Y125" i="13"/>
  <c r="Y128" i="13"/>
  <c r="Y124" i="13"/>
  <c r="Y127" i="13"/>
  <c r="Y126" i="13"/>
  <c r="Z127" i="13"/>
  <c r="D123" i="13"/>
  <c r="B105" i="13"/>
  <c r="Z106" i="13"/>
  <c r="D105" i="13"/>
  <c r="F105" i="13"/>
  <c r="H105" i="13"/>
  <c r="J105" i="13"/>
  <c r="L105" i="13"/>
  <c r="N105" i="13"/>
  <c r="P105" i="13"/>
  <c r="R105" i="13"/>
  <c r="T105" i="13"/>
  <c r="V105" i="13"/>
  <c r="X105" i="13"/>
  <c r="Z104" i="13"/>
  <c r="Z100" i="13"/>
  <c r="J96" i="13"/>
  <c r="Z86" i="13"/>
  <c r="Z82" i="13"/>
  <c r="J78" i="13"/>
  <c r="P96" i="13"/>
  <c r="P78" i="13"/>
  <c r="N96" i="13"/>
  <c r="N78" i="13"/>
  <c r="G128" i="23"/>
  <c r="G124" i="23"/>
  <c r="G126" i="23"/>
  <c r="F114" i="23"/>
  <c r="G127" i="23"/>
  <c r="G125" i="23"/>
  <c r="E208" i="19"/>
  <c r="D219" i="19"/>
  <c r="E219" i="19"/>
  <c r="T115" i="14"/>
  <c r="B123" i="14"/>
  <c r="Z124" i="14"/>
  <c r="X123" i="14"/>
  <c r="L115" i="14"/>
  <c r="Z95" i="14"/>
  <c r="Z113" i="14"/>
  <c r="Z92" i="14"/>
  <c r="Z110" i="14"/>
  <c r="T87" i="14"/>
  <c r="T105" i="14"/>
  <c r="T96" i="14"/>
  <c r="L96" i="14"/>
  <c r="Z82" i="14"/>
  <c r="X87" i="14"/>
  <c r="X105" i="14"/>
  <c r="D96" i="14"/>
  <c r="Z83" i="14"/>
  <c r="Z102" i="14"/>
  <c r="Z98" i="14"/>
  <c r="X78" i="14"/>
  <c r="X96" i="14"/>
  <c r="T78" i="14"/>
  <c r="Z166" i="14"/>
  <c r="Z183" i="14"/>
  <c r="Z176" i="14"/>
  <c r="Z157" i="14"/>
  <c r="Z164" i="14"/>
  <c r="Z181" i="14"/>
  <c r="T179" i="14"/>
  <c r="B161" i="14"/>
  <c r="Z162" i="14"/>
  <c r="J161" i="14"/>
  <c r="R161" i="14"/>
  <c r="Z173" i="14"/>
  <c r="C114" i="14"/>
  <c r="Z158" i="14"/>
  <c r="Z168" i="14"/>
  <c r="Z185" i="14"/>
  <c r="Z184" i="14"/>
  <c r="J179" i="14"/>
  <c r="T152" i="14"/>
  <c r="Z186" i="14"/>
  <c r="N179" i="14"/>
  <c r="X152" i="14"/>
  <c r="D60" i="20"/>
  <c r="D56" i="20"/>
  <c r="D57" i="20"/>
  <c r="J123" i="19"/>
  <c r="R115" i="19"/>
  <c r="Z112" i="19"/>
  <c r="R78" i="19"/>
  <c r="Z108" i="19"/>
  <c r="P87" i="19"/>
  <c r="X87" i="19"/>
  <c r="Z106" i="19"/>
  <c r="B105" i="19"/>
  <c r="X96" i="19"/>
  <c r="Z79" i="19"/>
  <c r="B78" i="19"/>
  <c r="Z91" i="19"/>
  <c r="J105" i="19"/>
  <c r="Z100" i="19"/>
  <c r="J78" i="19"/>
  <c r="T87" i="19"/>
  <c r="T105" i="19"/>
  <c r="T96" i="19"/>
  <c r="T78" i="19"/>
  <c r="O65" i="20"/>
  <c r="G60" i="16"/>
  <c r="G67" i="16"/>
  <c r="G69" i="16"/>
  <c r="L197" i="19"/>
  <c r="T189" i="19"/>
  <c r="B161" i="19"/>
  <c r="Z162" i="19"/>
  <c r="Z175" i="19"/>
  <c r="Z157" i="19"/>
  <c r="H161" i="19"/>
  <c r="X161" i="19"/>
  <c r="Z178" i="19"/>
  <c r="Z160" i="19"/>
  <c r="Z164" i="19"/>
  <c r="L179" i="19"/>
  <c r="R179" i="19"/>
  <c r="X179" i="19"/>
  <c r="Z182" i="19"/>
  <c r="F179" i="19"/>
  <c r="X170" i="19"/>
  <c r="X152" i="19"/>
  <c r="V170" i="19"/>
  <c r="V152" i="19"/>
  <c r="Z131" i="14"/>
  <c r="Z130" i="14"/>
  <c r="AA131" i="14"/>
  <c r="B130" i="14"/>
  <c r="C131" i="14"/>
  <c r="Z57" i="14"/>
  <c r="Z56" i="14"/>
  <c r="AA57" i="14"/>
  <c r="B56" i="14"/>
  <c r="C57" i="14"/>
  <c r="O45" i="20"/>
  <c r="O53" i="20"/>
  <c r="C53" i="20"/>
  <c r="J54" i="20"/>
  <c r="J62" i="16"/>
  <c r="J66" i="16"/>
  <c r="J64" i="16"/>
  <c r="E193" i="14"/>
  <c r="E192" i="14"/>
  <c r="E190" i="14"/>
  <c r="E191" i="14"/>
  <c r="E196" i="14"/>
  <c r="E195" i="14"/>
  <c r="D188" i="14"/>
  <c r="E194" i="14"/>
  <c r="S57" i="14"/>
  <c r="Z124" i="13"/>
  <c r="K57" i="18"/>
  <c r="K66" i="18"/>
  <c r="K64" i="18"/>
  <c r="N64" i="16"/>
  <c r="T68" i="14"/>
  <c r="U68" i="14"/>
  <c r="U49" i="14"/>
  <c r="U41" i="14"/>
  <c r="Z116" i="13"/>
  <c r="S194" i="14"/>
  <c r="S190" i="14"/>
  <c r="S196" i="14"/>
  <c r="S195" i="14"/>
  <c r="S193" i="14"/>
  <c r="R188" i="14"/>
  <c r="S192" i="14"/>
  <c r="S191" i="14"/>
  <c r="K202" i="14"/>
  <c r="K198" i="14"/>
  <c r="K200" i="14"/>
  <c r="K201" i="14"/>
  <c r="K199" i="14"/>
  <c r="V189" i="13"/>
  <c r="Z201" i="13"/>
  <c r="P197" i="13"/>
  <c r="X189" i="13"/>
  <c r="Z169" i="13"/>
  <c r="Z164" i="13"/>
  <c r="V152" i="13"/>
  <c r="N170" i="13"/>
  <c r="F152" i="13"/>
  <c r="Z173" i="13"/>
  <c r="AA114" i="13"/>
  <c r="C114" i="13"/>
  <c r="R170" i="13"/>
  <c r="Z159" i="13"/>
  <c r="J152" i="13"/>
  <c r="Z158" i="13"/>
  <c r="S117" i="13"/>
  <c r="S119" i="13"/>
  <c r="I4" i="14"/>
  <c r="H67" i="14"/>
  <c r="I62" i="14"/>
  <c r="I3" i="14"/>
  <c r="I56" i="14"/>
  <c r="I59" i="14"/>
  <c r="S118" i="13"/>
  <c r="S120" i="13"/>
  <c r="S122" i="13"/>
  <c r="S121" i="13"/>
  <c r="G56" i="14"/>
  <c r="G40" i="14"/>
  <c r="G59" i="14"/>
  <c r="G62" i="14"/>
  <c r="G22" i="14"/>
  <c r="G4" i="14"/>
  <c r="G3" i="14"/>
  <c r="F67" i="14"/>
  <c r="F69" i="14"/>
  <c r="F73" i="14"/>
  <c r="O56" i="14"/>
  <c r="O40" i="14"/>
  <c r="N55" i="14"/>
  <c r="N58" i="14"/>
  <c r="N61" i="14"/>
  <c r="N63" i="14"/>
  <c r="O63" i="14"/>
  <c r="O3" i="14"/>
  <c r="N67" i="14"/>
  <c r="N69" i="14"/>
  <c r="N73" i="14"/>
  <c r="O4" i="14"/>
  <c r="O59" i="14"/>
  <c r="O22" i="14"/>
  <c r="K41" i="14"/>
  <c r="K40" i="14"/>
  <c r="G3" i="13"/>
  <c r="G62" i="13"/>
  <c r="G59" i="13"/>
  <c r="F67" i="13"/>
  <c r="G22" i="13"/>
  <c r="J55" i="14"/>
  <c r="J58" i="14"/>
  <c r="J61" i="14"/>
  <c r="J63" i="14"/>
  <c r="K63" i="14"/>
  <c r="K49" i="14"/>
  <c r="T68" i="13"/>
  <c r="U68" i="13"/>
  <c r="S49" i="14"/>
  <c r="S49" i="13"/>
  <c r="R68" i="13"/>
  <c r="S68" i="13"/>
  <c r="C41" i="13"/>
  <c r="C49" i="13"/>
  <c r="E49" i="19"/>
  <c r="B68" i="14"/>
  <c r="C68" i="14"/>
  <c r="C41" i="14"/>
  <c r="R68" i="14"/>
  <c r="S68" i="14"/>
  <c r="T55" i="13"/>
  <c r="T58" i="13"/>
  <c r="T61" i="13"/>
  <c r="T63" i="13"/>
  <c r="U63" i="13"/>
  <c r="D68" i="19"/>
  <c r="E68" i="19"/>
  <c r="U41" i="13"/>
  <c r="U40" i="13"/>
  <c r="V68" i="13"/>
  <c r="W68" i="13"/>
  <c r="S124" i="13"/>
  <c r="W49" i="13"/>
  <c r="V55" i="13"/>
  <c r="W55" i="13"/>
  <c r="R114" i="13"/>
  <c r="S115" i="13"/>
  <c r="S125" i="13"/>
  <c r="S128" i="13"/>
  <c r="S126" i="13"/>
  <c r="K3" i="19"/>
  <c r="K22" i="19"/>
  <c r="K4" i="19"/>
  <c r="K59" i="19"/>
  <c r="J67" i="19"/>
  <c r="T69" i="19"/>
  <c r="T73" i="19"/>
  <c r="U49" i="19"/>
  <c r="M41" i="19"/>
  <c r="M49" i="19"/>
  <c r="U41" i="19"/>
  <c r="G41" i="19"/>
  <c r="G49" i="19"/>
  <c r="O49" i="19"/>
  <c r="O41" i="19"/>
  <c r="Q122" i="13"/>
  <c r="Q117" i="13"/>
  <c r="Q121" i="13"/>
  <c r="Q116" i="13"/>
  <c r="P114" i="13"/>
  <c r="P142" i="13"/>
  <c r="Q142" i="13"/>
  <c r="Q119" i="13"/>
  <c r="Q118" i="13"/>
  <c r="AA199" i="14"/>
  <c r="K40" i="19"/>
  <c r="M41" i="29"/>
  <c r="AA54" i="14"/>
  <c r="L68" i="29"/>
  <c r="L69" i="29"/>
  <c r="L73" i="29"/>
  <c r="AA51" i="14"/>
  <c r="AA201" i="14"/>
  <c r="AA50" i="14"/>
  <c r="AA200" i="14"/>
  <c r="AA198" i="14"/>
  <c r="AA52" i="14"/>
  <c r="AA53" i="14"/>
  <c r="V68" i="19"/>
  <c r="W68" i="19"/>
  <c r="J55" i="19"/>
  <c r="K55" i="19"/>
  <c r="J68" i="19"/>
  <c r="K68" i="19"/>
  <c r="T68" i="29"/>
  <c r="U68" i="29"/>
  <c r="K41" i="19"/>
  <c r="Q4" i="14"/>
  <c r="Q56" i="14"/>
  <c r="S49" i="23"/>
  <c r="D68" i="29"/>
  <c r="E68" i="29"/>
  <c r="U41" i="29"/>
  <c r="Q59" i="14"/>
  <c r="Q62" i="14"/>
  <c r="Q22" i="14"/>
  <c r="P67" i="14"/>
  <c r="E41" i="29"/>
  <c r="W41" i="19"/>
  <c r="R68" i="23"/>
  <c r="S68" i="23"/>
  <c r="V55" i="19"/>
  <c r="V58" i="19"/>
  <c r="V61" i="19"/>
  <c r="V63" i="19"/>
  <c r="W63" i="19"/>
  <c r="W59" i="19"/>
  <c r="W62" i="19"/>
  <c r="W4" i="19"/>
  <c r="W22" i="19"/>
  <c r="W40" i="19"/>
  <c r="W3" i="19"/>
  <c r="V67" i="19"/>
  <c r="N67" i="16"/>
  <c r="N68" i="16"/>
  <c r="N71" i="16"/>
  <c r="AA195" i="19"/>
  <c r="AA46" i="19"/>
  <c r="O41" i="23"/>
  <c r="X68" i="29"/>
  <c r="Y68" i="29"/>
  <c r="F68" i="23"/>
  <c r="G68" i="23"/>
  <c r="G49" i="23"/>
  <c r="Y41" i="29"/>
  <c r="N68" i="23"/>
  <c r="O68" i="23"/>
  <c r="K40" i="29"/>
  <c r="AA190" i="19"/>
  <c r="AA194" i="19"/>
  <c r="Y41" i="19"/>
  <c r="AA193" i="19"/>
  <c r="AA191" i="19"/>
  <c r="W49" i="23"/>
  <c r="AA48" i="19"/>
  <c r="I3" i="23"/>
  <c r="H67" i="23"/>
  <c r="I22" i="23"/>
  <c r="I40" i="23"/>
  <c r="I4" i="23"/>
  <c r="I59" i="23"/>
  <c r="AA43" i="19"/>
  <c r="AA192" i="19"/>
  <c r="V68" i="23"/>
  <c r="W68" i="23"/>
  <c r="AA45" i="19"/>
  <c r="AA47" i="19"/>
  <c r="Z40" i="19"/>
  <c r="AA41" i="19"/>
  <c r="AA44" i="19"/>
  <c r="AA196" i="19"/>
  <c r="V55" i="23"/>
  <c r="W55" i="23"/>
  <c r="B68" i="19"/>
  <c r="C68" i="19"/>
  <c r="C49" i="19"/>
  <c r="B55" i="19"/>
  <c r="C55" i="19"/>
  <c r="J68" i="23"/>
  <c r="K68" i="23"/>
  <c r="W189" i="14"/>
  <c r="AA45" i="13"/>
  <c r="K41" i="23"/>
  <c r="W197" i="14"/>
  <c r="R68" i="19"/>
  <c r="S68" i="19"/>
  <c r="AA46" i="13"/>
  <c r="Q197" i="14"/>
  <c r="D61" i="18"/>
  <c r="D62" i="18"/>
  <c r="Y49" i="19"/>
  <c r="E61" i="16"/>
  <c r="E62" i="16"/>
  <c r="Y56" i="23"/>
  <c r="S49" i="19"/>
  <c r="Q189" i="14"/>
  <c r="AA191" i="13"/>
  <c r="I41" i="29"/>
  <c r="AA192" i="13"/>
  <c r="N61" i="18"/>
  <c r="N62" i="18"/>
  <c r="AA44" i="13"/>
  <c r="AA193" i="13"/>
  <c r="AA195" i="13"/>
  <c r="I49" i="29"/>
  <c r="AA47" i="13"/>
  <c r="AA48" i="13"/>
  <c r="AA194" i="13"/>
  <c r="AA43" i="13"/>
  <c r="AA196" i="13"/>
  <c r="D55" i="23"/>
  <c r="E55" i="23"/>
  <c r="S3" i="19"/>
  <c r="J61" i="20"/>
  <c r="J62" i="20"/>
  <c r="AA105" i="29"/>
  <c r="AA88" i="29"/>
  <c r="AA91" i="29"/>
  <c r="AA89" i="29"/>
  <c r="AA94" i="29"/>
  <c r="AA93" i="29"/>
  <c r="AA87" i="29"/>
  <c r="AA92" i="29"/>
  <c r="AA90" i="29"/>
  <c r="M115" i="23"/>
  <c r="E4" i="23"/>
  <c r="B67" i="23"/>
  <c r="C67" i="23"/>
  <c r="C3" i="23"/>
  <c r="C59" i="23"/>
  <c r="C4" i="23"/>
  <c r="C22" i="23"/>
  <c r="Y22" i="23"/>
  <c r="E62" i="23"/>
  <c r="Y3" i="23"/>
  <c r="Y59" i="23"/>
  <c r="Y62" i="23"/>
  <c r="X67" i="23"/>
  <c r="Y40" i="23"/>
  <c r="E59" i="23"/>
  <c r="E3" i="23"/>
  <c r="D67" i="23"/>
  <c r="L61" i="16"/>
  <c r="L62" i="16"/>
  <c r="W115" i="23"/>
  <c r="L142" i="23"/>
  <c r="M142" i="23"/>
  <c r="I120" i="29"/>
  <c r="J69" i="16"/>
  <c r="J70" i="16"/>
  <c r="S59" i="19"/>
  <c r="G62" i="19"/>
  <c r="F67" i="19"/>
  <c r="F69" i="19"/>
  <c r="F73" i="19"/>
  <c r="C41" i="29"/>
  <c r="B68" i="29"/>
  <c r="C68" i="29"/>
  <c r="G22" i="19"/>
  <c r="F55" i="19"/>
  <c r="F58" i="19"/>
  <c r="F61" i="19"/>
  <c r="F63" i="19"/>
  <c r="G63" i="19"/>
  <c r="G4" i="19"/>
  <c r="G59" i="19"/>
  <c r="G40" i="19"/>
  <c r="G3" i="19"/>
  <c r="O22" i="23"/>
  <c r="O4" i="23"/>
  <c r="L67" i="23"/>
  <c r="N55" i="23"/>
  <c r="O55" i="23"/>
  <c r="M3" i="23"/>
  <c r="N67" i="23"/>
  <c r="N69" i="23"/>
  <c r="N73" i="23"/>
  <c r="M62" i="23"/>
  <c r="O3" i="23"/>
  <c r="O40" i="23"/>
  <c r="M59" i="23"/>
  <c r="O59" i="23"/>
  <c r="M4" i="23"/>
  <c r="L55" i="23"/>
  <c r="M55" i="23"/>
  <c r="U62" i="23"/>
  <c r="U4" i="23"/>
  <c r="U3" i="23"/>
  <c r="T67" i="23"/>
  <c r="U59" i="23"/>
  <c r="T55" i="23"/>
  <c r="U55" i="23"/>
  <c r="T142" i="23"/>
  <c r="U142" i="23"/>
  <c r="I68" i="16"/>
  <c r="I71" i="16"/>
  <c r="Q3" i="23"/>
  <c r="Q59" i="23"/>
  <c r="P67" i="23"/>
  <c r="Q4" i="23"/>
  <c r="Q22" i="23"/>
  <c r="Q40" i="23"/>
  <c r="U3" i="14"/>
  <c r="O3" i="19"/>
  <c r="T55" i="14"/>
  <c r="T58" i="14"/>
  <c r="T61" i="14"/>
  <c r="T63" i="14"/>
  <c r="U63" i="14"/>
  <c r="O40" i="19"/>
  <c r="U59" i="14"/>
  <c r="U4" i="14"/>
  <c r="U62" i="14"/>
  <c r="U40" i="14"/>
  <c r="U3" i="19"/>
  <c r="U22" i="14"/>
  <c r="T67" i="14"/>
  <c r="T69" i="14"/>
  <c r="T73" i="14"/>
  <c r="N67" i="19"/>
  <c r="N69" i="19"/>
  <c r="N73" i="19"/>
  <c r="O59" i="19"/>
  <c r="O4" i="19"/>
  <c r="R55" i="19"/>
  <c r="S55" i="19"/>
  <c r="S62" i="19"/>
  <c r="E56" i="14"/>
  <c r="O62" i="19"/>
  <c r="O22" i="19"/>
  <c r="S40" i="19"/>
  <c r="R67" i="19"/>
  <c r="S22" i="19"/>
  <c r="I121" i="29"/>
  <c r="I122" i="13"/>
  <c r="I117" i="29"/>
  <c r="I122" i="29"/>
  <c r="L61" i="18"/>
  <c r="L62" i="18"/>
  <c r="J68" i="29"/>
  <c r="K68" i="29"/>
  <c r="N55" i="19"/>
  <c r="N58" i="19"/>
  <c r="N61" i="19"/>
  <c r="N63" i="19"/>
  <c r="O63" i="19"/>
  <c r="E59" i="14"/>
  <c r="D55" i="14"/>
  <c r="D58" i="14"/>
  <c r="D61" i="14"/>
  <c r="D63" i="14"/>
  <c r="E63" i="14"/>
  <c r="E62" i="14"/>
  <c r="D67" i="14"/>
  <c r="D69" i="14"/>
  <c r="D73" i="14"/>
  <c r="E3" i="14"/>
  <c r="E4" i="14"/>
  <c r="E22" i="14"/>
  <c r="D67" i="16"/>
  <c r="D68" i="16"/>
  <c r="D71" i="16"/>
  <c r="I197" i="14"/>
  <c r="D142" i="23"/>
  <c r="E142" i="23"/>
  <c r="W49" i="29"/>
  <c r="Y188" i="14"/>
  <c r="I189" i="14"/>
  <c r="W41" i="29"/>
  <c r="F68" i="29"/>
  <c r="G68" i="29"/>
  <c r="K41" i="29"/>
  <c r="Y197" i="14"/>
  <c r="W123" i="23"/>
  <c r="X216" i="14"/>
  <c r="Y216" i="14"/>
  <c r="N68" i="29"/>
  <c r="O68" i="29"/>
  <c r="O49" i="29"/>
  <c r="U115" i="23"/>
  <c r="E115" i="23"/>
  <c r="H69" i="16"/>
  <c r="H70" i="16"/>
  <c r="I117" i="13"/>
  <c r="B142" i="23"/>
  <c r="C142" i="23"/>
  <c r="I116" i="29"/>
  <c r="H114" i="29"/>
  <c r="H142" i="29"/>
  <c r="I142" i="29"/>
  <c r="W120" i="19"/>
  <c r="K200" i="19"/>
  <c r="G40" i="13"/>
  <c r="P68" i="29"/>
  <c r="Q68" i="29"/>
  <c r="I119" i="29"/>
  <c r="F55" i="13"/>
  <c r="G55" i="13"/>
  <c r="C40" i="14"/>
  <c r="C59" i="14"/>
  <c r="C3" i="14"/>
  <c r="B55" i="14"/>
  <c r="B58" i="14"/>
  <c r="C4" i="14"/>
  <c r="B67" i="14"/>
  <c r="C67" i="14"/>
  <c r="C22" i="14"/>
  <c r="H61" i="16"/>
  <c r="H62" i="16"/>
  <c r="F68" i="13"/>
  <c r="G68" i="13"/>
  <c r="Q41" i="29"/>
  <c r="W4" i="23"/>
  <c r="W3" i="23"/>
  <c r="W22" i="23"/>
  <c r="W59" i="23"/>
  <c r="V67" i="23"/>
  <c r="W40" i="23"/>
  <c r="W62" i="23"/>
  <c r="K201" i="19"/>
  <c r="K202" i="19"/>
  <c r="K198" i="19"/>
  <c r="W116" i="19"/>
  <c r="W121" i="19"/>
  <c r="G49" i="29"/>
  <c r="I128" i="19"/>
  <c r="W119" i="19"/>
  <c r="G49" i="13"/>
  <c r="E69" i="16"/>
  <c r="E70" i="16"/>
  <c r="I119" i="13"/>
  <c r="I121" i="13"/>
  <c r="S41" i="29"/>
  <c r="I116" i="13"/>
  <c r="C115" i="23"/>
  <c r="S49" i="29"/>
  <c r="I118" i="13"/>
  <c r="E196" i="23"/>
  <c r="C192" i="29"/>
  <c r="Q199" i="19"/>
  <c r="E40" i="23"/>
  <c r="K4" i="23"/>
  <c r="B67" i="19"/>
  <c r="S62" i="13"/>
  <c r="C62" i="19"/>
  <c r="C59" i="19"/>
  <c r="S22" i="13"/>
  <c r="S3" i="13"/>
  <c r="C22" i="19"/>
  <c r="C3" i="19"/>
  <c r="C4" i="19"/>
  <c r="I22" i="13"/>
  <c r="C40" i="19"/>
  <c r="I59" i="13"/>
  <c r="O22" i="13"/>
  <c r="K22" i="23"/>
  <c r="S40" i="13"/>
  <c r="S59" i="13"/>
  <c r="U22" i="19"/>
  <c r="R67" i="13"/>
  <c r="N67" i="13"/>
  <c r="N69" i="13"/>
  <c r="N73" i="13"/>
  <c r="R55" i="13"/>
  <c r="R58" i="13"/>
  <c r="R61" i="13"/>
  <c r="H67" i="13"/>
  <c r="H69" i="13"/>
  <c r="H73" i="13"/>
  <c r="O4" i="13"/>
  <c r="K62" i="23"/>
  <c r="K3" i="23"/>
  <c r="Q22" i="19"/>
  <c r="S59" i="23"/>
  <c r="I3" i="13"/>
  <c r="I62" i="13"/>
  <c r="O40" i="13"/>
  <c r="O59" i="13"/>
  <c r="I40" i="13"/>
  <c r="N55" i="13"/>
  <c r="O55" i="13"/>
  <c r="J55" i="23"/>
  <c r="K55" i="23"/>
  <c r="J67" i="23"/>
  <c r="Q3" i="19"/>
  <c r="I4" i="13"/>
  <c r="O3" i="13"/>
  <c r="Y22" i="13"/>
  <c r="K40" i="23"/>
  <c r="W4" i="13"/>
  <c r="Y199" i="19"/>
  <c r="Q202" i="19"/>
  <c r="G189" i="14"/>
  <c r="Y200" i="19"/>
  <c r="G197" i="14"/>
  <c r="Y202" i="19"/>
  <c r="C194" i="29"/>
  <c r="Q49" i="14"/>
  <c r="K69" i="18"/>
  <c r="K70" i="18"/>
  <c r="O200" i="13"/>
  <c r="Q40" i="14"/>
  <c r="P55" i="14"/>
  <c r="P58" i="14"/>
  <c r="P61" i="14"/>
  <c r="P63" i="14"/>
  <c r="Q63" i="14"/>
  <c r="E192" i="23"/>
  <c r="C191" i="29"/>
  <c r="Y49" i="14"/>
  <c r="P68" i="14"/>
  <c r="Q68" i="14"/>
  <c r="E191" i="23"/>
  <c r="C193" i="29"/>
  <c r="I190" i="19"/>
  <c r="W118" i="19"/>
  <c r="W122" i="19"/>
  <c r="I127" i="19"/>
  <c r="Y201" i="19"/>
  <c r="I49" i="19"/>
  <c r="Q201" i="19"/>
  <c r="I41" i="19"/>
  <c r="Q200" i="19"/>
  <c r="I124" i="19"/>
  <c r="O128" i="19"/>
  <c r="N114" i="19"/>
  <c r="O115" i="19"/>
  <c r="K61" i="18"/>
  <c r="K62" i="18"/>
  <c r="B55" i="23"/>
  <c r="C55" i="23"/>
  <c r="I193" i="19"/>
  <c r="P67" i="19"/>
  <c r="Q59" i="19"/>
  <c r="C4" i="13"/>
  <c r="Q4" i="19"/>
  <c r="Q62" i="19"/>
  <c r="Q40" i="19"/>
  <c r="B55" i="13"/>
  <c r="C55" i="13"/>
  <c r="G3" i="23"/>
  <c r="J67" i="13"/>
  <c r="J69" i="13"/>
  <c r="J73" i="13"/>
  <c r="Y59" i="13"/>
  <c r="Y3" i="13"/>
  <c r="Y4" i="13"/>
  <c r="X67" i="13"/>
  <c r="X69" i="13"/>
  <c r="X73" i="13"/>
  <c r="G40" i="23"/>
  <c r="K3" i="13"/>
  <c r="Y62" i="13"/>
  <c r="Y40" i="13"/>
  <c r="L55" i="19"/>
  <c r="M55" i="19"/>
  <c r="G22" i="23"/>
  <c r="G59" i="23"/>
  <c r="K4" i="13"/>
  <c r="F55" i="23"/>
  <c r="G55" i="23"/>
  <c r="G62" i="23"/>
  <c r="K40" i="13"/>
  <c r="K22" i="13"/>
  <c r="G4" i="23"/>
  <c r="K62" i="13"/>
  <c r="K59" i="13"/>
  <c r="Y3" i="19"/>
  <c r="I49" i="14"/>
  <c r="C61" i="18"/>
  <c r="C62" i="18"/>
  <c r="G116" i="14"/>
  <c r="I40" i="14"/>
  <c r="H55" i="14"/>
  <c r="H58" i="14"/>
  <c r="H61" i="14"/>
  <c r="H63" i="14"/>
  <c r="I63" i="14"/>
  <c r="H68" i="14"/>
  <c r="I68" i="14"/>
  <c r="C69" i="18"/>
  <c r="C70" i="18"/>
  <c r="AA120" i="23"/>
  <c r="Y62" i="19"/>
  <c r="S22" i="23"/>
  <c r="S4" i="23"/>
  <c r="S3" i="23"/>
  <c r="S40" i="23"/>
  <c r="R55" i="23"/>
  <c r="S55" i="23"/>
  <c r="S62" i="23"/>
  <c r="AA156" i="23"/>
  <c r="AA160" i="23"/>
  <c r="X55" i="19"/>
  <c r="Y55" i="19"/>
  <c r="E22" i="19"/>
  <c r="M4" i="19"/>
  <c r="Y40" i="19"/>
  <c r="Y22" i="19"/>
  <c r="Y4" i="19"/>
  <c r="AA12" i="23"/>
  <c r="P67" i="13"/>
  <c r="P69" i="13"/>
  <c r="P73" i="13"/>
  <c r="AA6" i="23"/>
  <c r="Q22" i="13"/>
  <c r="I4" i="19"/>
  <c r="AA11" i="23"/>
  <c r="E4" i="19"/>
  <c r="AA8" i="23"/>
  <c r="Y59" i="19"/>
  <c r="C22" i="13"/>
  <c r="C62" i="13"/>
  <c r="B67" i="13"/>
  <c r="C67" i="13"/>
  <c r="C59" i="13"/>
  <c r="U4" i="19"/>
  <c r="U62" i="19"/>
  <c r="C40" i="13"/>
  <c r="U59" i="19"/>
  <c r="T55" i="19"/>
  <c r="U55" i="19"/>
  <c r="U40" i="19"/>
  <c r="AA158" i="23"/>
  <c r="W62" i="13"/>
  <c r="AA154" i="23"/>
  <c r="W40" i="13"/>
  <c r="W59" i="13"/>
  <c r="X67" i="14"/>
  <c r="X69" i="14"/>
  <c r="X73" i="14"/>
  <c r="AA10" i="23"/>
  <c r="Q59" i="13"/>
  <c r="Q62" i="13"/>
  <c r="P55" i="13"/>
  <c r="Q55" i="13"/>
  <c r="AA155" i="23"/>
  <c r="W3" i="13"/>
  <c r="AA7" i="23"/>
  <c r="Q4" i="13"/>
  <c r="Q40" i="13"/>
  <c r="AA159" i="23"/>
  <c r="Y56" i="14"/>
  <c r="AA157" i="23"/>
  <c r="V67" i="13"/>
  <c r="V69" i="13"/>
  <c r="V73" i="13"/>
  <c r="W22" i="13"/>
  <c r="Y4" i="14"/>
  <c r="AB4" i="23"/>
  <c r="AA9" i="23"/>
  <c r="I62" i="19"/>
  <c r="Y59" i="14"/>
  <c r="I40" i="19"/>
  <c r="I3" i="19"/>
  <c r="H67" i="19"/>
  <c r="H69" i="19"/>
  <c r="H73" i="19"/>
  <c r="Y40" i="14"/>
  <c r="Y3" i="14"/>
  <c r="Y62" i="14"/>
  <c r="I59" i="19"/>
  <c r="M40" i="19"/>
  <c r="D55" i="19"/>
  <c r="D58" i="19"/>
  <c r="M3" i="19"/>
  <c r="E3" i="19"/>
  <c r="E59" i="19"/>
  <c r="E62" i="19"/>
  <c r="E40" i="19"/>
  <c r="M59" i="19"/>
  <c r="M62" i="19"/>
  <c r="M22" i="19"/>
  <c r="Y40" i="29"/>
  <c r="Y62" i="29"/>
  <c r="S56" i="14"/>
  <c r="X55" i="29"/>
  <c r="X58" i="29"/>
  <c r="X61" i="29"/>
  <c r="X63" i="29"/>
  <c r="Y63" i="29"/>
  <c r="AA10" i="14"/>
  <c r="AA159" i="14"/>
  <c r="Y22" i="29"/>
  <c r="Y3" i="29"/>
  <c r="AA157" i="14"/>
  <c r="AA21" i="14"/>
  <c r="AA23" i="19"/>
  <c r="AA12" i="14"/>
  <c r="AA7" i="14"/>
  <c r="Y4" i="29"/>
  <c r="AA158" i="14"/>
  <c r="AA5" i="14"/>
  <c r="Y59" i="29"/>
  <c r="X67" i="29"/>
  <c r="AA155" i="14"/>
  <c r="AA156" i="14"/>
  <c r="AA11" i="14"/>
  <c r="AA8" i="14"/>
  <c r="AA154" i="14"/>
  <c r="AA164" i="14"/>
  <c r="AA166" i="14"/>
  <c r="AA6" i="14"/>
  <c r="AA160" i="14"/>
  <c r="AA165" i="14"/>
  <c r="AA18" i="14"/>
  <c r="K193" i="23"/>
  <c r="I196" i="19"/>
  <c r="I194" i="19"/>
  <c r="E198" i="13"/>
  <c r="I192" i="19"/>
  <c r="I191" i="19"/>
  <c r="O124" i="19"/>
  <c r="O127" i="19"/>
  <c r="O126" i="19"/>
  <c r="H55" i="19"/>
  <c r="I55" i="19"/>
  <c r="AA163" i="14"/>
  <c r="AA20" i="14"/>
  <c r="AA19" i="14"/>
  <c r="AA169" i="14"/>
  <c r="AA15" i="14"/>
  <c r="AA14" i="14"/>
  <c r="AA168" i="14"/>
  <c r="AA10" i="19"/>
  <c r="AA16" i="14"/>
  <c r="AA167" i="14"/>
  <c r="AA25" i="19"/>
  <c r="AA29" i="19"/>
  <c r="AA178" i="19"/>
  <c r="AA175" i="19"/>
  <c r="AA153" i="19"/>
  <c r="AA159" i="19"/>
  <c r="AA11" i="19"/>
  <c r="AA8" i="19"/>
  <c r="AA154" i="19"/>
  <c r="AA155" i="19"/>
  <c r="AA176" i="23"/>
  <c r="AA175" i="23"/>
  <c r="AA28" i="19"/>
  <c r="AA7" i="19"/>
  <c r="AA12" i="19"/>
  <c r="AA7" i="13"/>
  <c r="AA158" i="19"/>
  <c r="AA178" i="23"/>
  <c r="AA5" i="19"/>
  <c r="Z3" i="19"/>
  <c r="AB3" i="19"/>
  <c r="AA160" i="19"/>
  <c r="AA157" i="19"/>
  <c r="AA9" i="19"/>
  <c r="AA156" i="19"/>
  <c r="S4" i="14"/>
  <c r="S59" i="14"/>
  <c r="AA168" i="23"/>
  <c r="S22" i="14"/>
  <c r="AA37" i="29"/>
  <c r="S3" i="14"/>
  <c r="V67" i="29"/>
  <c r="V69" i="29"/>
  <c r="V73" i="29"/>
  <c r="S40" i="14"/>
  <c r="S40" i="29"/>
  <c r="I61" i="18"/>
  <c r="I62" i="18"/>
  <c r="E194" i="23"/>
  <c r="E190" i="23"/>
  <c r="C195" i="29"/>
  <c r="C190" i="29"/>
  <c r="U124" i="19"/>
  <c r="D69" i="13"/>
  <c r="D73" i="13"/>
  <c r="G119" i="14"/>
  <c r="C40" i="23"/>
  <c r="E193" i="23"/>
  <c r="Y41" i="14"/>
  <c r="Q49" i="19"/>
  <c r="I125" i="19"/>
  <c r="X55" i="23"/>
  <c r="X58" i="23"/>
  <c r="X61" i="23"/>
  <c r="X63" i="23"/>
  <c r="Y63" i="23"/>
  <c r="C49" i="23"/>
  <c r="C41" i="23"/>
  <c r="X55" i="14"/>
  <c r="Y55" i="14"/>
  <c r="Y49" i="23"/>
  <c r="Y41" i="23"/>
  <c r="X68" i="23"/>
  <c r="Y68" i="23"/>
  <c r="H67" i="18"/>
  <c r="W202" i="29"/>
  <c r="P68" i="19"/>
  <c r="Q68" i="19"/>
  <c r="L69" i="18"/>
  <c r="L70" i="18"/>
  <c r="Q41" i="19"/>
  <c r="M40" i="23"/>
  <c r="W199" i="29"/>
  <c r="G121" i="14"/>
  <c r="G120" i="14"/>
  <c r="U125" i="19"/>
  <c r="U128" i="19"/>
  <c r="G118" i="14"/>
  <c r="U127" i="19"/>
  <c r="P114" i="29"/>
  <c r="Q115" i="29"/>
  <c r="G117" i="14"/>
  <c r="V114" i="19"/>
  <c r="W115" i="19"/>
  <c r="Q120" i="29"/>
  <c r="D188" i="23"/>
  <c r="D216" i="23"/>
  <c r="E216" i="23"/>
  <c r="B188" i="29"/>
  <c r="C197" i="29"/>
  <c r="Q119" i="29"/>
  <c r="Q118" i="29"/>
  <c r="Q195" i="19"/>
  <c r="H55" i="23"/>
  <c r="I55" i="23"/>
  <c r="W200" i="29"/>
  <c r="Q121" i="29"/>
  <c r="Q122" i="29"/>
  <c r="Y122" i="14"/>
  <c r="AA124" i="23"/>
  <c r="P55" i="19"/>
  <c r="P58" i="19"/>
  <c r="P61" i="19"/>
  <c r="P63" i="19"/>
  <c r="Q63" i="19"/>
  <c r="U40" i="23"/>
  <c r="M41" i="23"/>
  <c r="L68" i="23"/>
  <c r="M68" i="23"/>
  <c r="M49" i="23"/>
  <c r="AA169" i="19"/>
  <c r="AA155" i="13"/>
  <c r="AA163" i="23"/>
  <c r="AA169" i="23"/>
  <c r="AA39" i="29"/>
  <c r="AA187" i="29"/>
  <c r="S62" i="14"/>
  <c r="R55" i="14"/>
  <c r="R58" i="14"/>
  <c r="R61" i="14"/>
  <c r="AA158" i="13"/>
  <c r="AA11" i="13"/>
  <c r="AA20" i="23"/>
  <c r="R55" i="29"/>
  <c r="R58" i="29"/>
  <c r="R61" i="29"/>
  <c r="R63" i="29"/>
  <c r="S63" i="29"/>
  <c r="AA21" i="23"/>
  <c r="AA14" i="23"/>
  <c r="I62" i="29"/>
  <c r="AA12" i="13"/>
  <c r="AA8" i="13"/>
  <c r="AA157" i="13"/>
  <c r="AA154" i="13"/>
  <c r="AA159" i="13"/>
  <c r="AA5" i="13"/>
  <c r="AA6" i="13"/>
  <c r="AA153" i="13"/>
  <c r="AA9" i="13"/>
  <c r="AA156" i="13"/>
  <c r="AA160" i="13"/>
  <c r="S59" i="29"/>
  <c r="S56" i="29"/>
  <c r="R67" i="29"/>
  <c r="R69" i="29"/>
  <c r="R73" i="29"/>
  <c r="S3" i="29"/>
  <c r="S62" i="29"/>
  <c r="S22" i="29"/>
  <c r="S4" i="29"/>
  <c r="AA30" i="13"/>
  <c r="AA24" i="19"/>
  <c r="AA26" i="19"/>
  <c r="AA174" i="19"/>
  <c r="AA172" i="19"/>
  <c r="AA177" i="19"/>
  <c r="AA174" i="23"/>
  <c r="AA32" i="29"/>
  <c r="AA182" i="29"/>
  <c r="AA15" i="23"/>
  <c r="AA19" i="23"/>
  <c r="AA24" i="23"/>
  <c r="AA27" i="19"/>
  <c r="AA176" i="19"/>
  <c r="AA166" i="23"/>
  <c r="AA167" i="23"/>
  <c r="AA165" i="23"/>
  <c r="AA36" i="29"/>
  <c r="AA186" i="29"/>
  <c r="AA18" i="23"/>
  <c r="AA29" i="23"/>
  <c r="I3" i="29"/>
  <c r="Q56" i="29"/>
  <c r="Q40" i="29"/>
  <c r="W40" i="29"/>
  <c r="C3" i="29"/>
  <c r="Q59" i="29"/>
  <c r="E22" i="29"/>
  <c r="D67" i="29"/>
  <c r="V55" i="29"/>
  <c r="V58" i="29"/>
  <c r="V61" i="29"/>
  <c r="V63" i="29"/>
  <c r="W63" i="29"/>
  <c r="W59" i="29"/>
  <c r="P55" i="29"/>
  <c r="P58" i="29"/>
  <c r="P61" i="29"/>
  <c r="P63" i="29"/>
  <c r="Q63" i="29"/>
  <c r="B55" i="29"/>
  <c r="B58" i="29"/>
  <c r="B61" i="29"/>
  <c r="B63" i="29"/>
  <c r="C63" i="29"/>
  <c r="E3" i="29"/>
  <c r="W62" i="29"/>
  <c r="W56" i="29"/>
  <c r="W22" i="29"/>
  <c r="W4" i="29"/>
  <c r="AA28" i="23"/>
  <c r="AA30" i="23"/>
  <c r="C4" i="29"/>
  <c r="C62" i="29"/>
  <c r="C40" i="29"/>
  <c r="Q3" i="29"/>
  <c r="AA25" i="23"/>
  <c r="AA23" i="23"/>
  <c r="C22" i="29"/>
  <c r="C56" i="29"/>
  <c r="Q62" i="29"/>
  <c r="AA177" i="23"/>
  <c r="AA172" i="23"/>
  <c r="AA26" i="23"/>
  <c r="C59" i="29"/>
  <c r="Q22" i="29"/>
  <c r="Q4" i="29"/>
  <c r="P67" i="29"/>
  <c r="K62" i="29"/>
  <c r="E40" i="29"/>
  <c r="K56" i="29"/>
  <c r="H55" i="29"/>
  <c r="H58" i="29"/>
  <c r="H61" i="29"/>
  <c r="H63" i="29"/>
  <c r="I63" i="29"/>
  <c r="AB31" i="29"/>
  <c r="E4" i="29"/>
  <c r="K22" i="29"/>
  <c r="AA38" i="29"/>
  <c r="AA183" i="29"/>
  <c r="I40" i="29"/>
  <c r="D55" i="29"/>
  <c r="D58" i="29"/>
  <c r="D61" i="29"/>
  <c r="D63" i="29"/>
  <c r="E63" i="29"/>
  <c r="AA33" i="29"/>
  <c r="AA184" i="29"/>
  <c r="AA185" i="29"/>
  <c r="I56" i="29"/>
  <c r="I59" i="29"/>
  <c r="E56" i="29"/>
  <c r="E59" i="29"/>
  <c r="K59" i="29"/>
  <c r="K3" i="29"/>
  <c r="K4" i="29"/>
  <c r="J55" i="29"/>
  <c r="J58" i="29"/>
  <c r="J61" i="29"/>
  <c r="J63" i="29"/>
  <c r="K63" i="29"/>
  <c r="J67" i="29"/>
  <c r="AA29" i="14"/>
  <c r="AA31" i="23"/>
  <c r="AA34" i="29"/>
  <c r="AA35" i="29"/>
  <c r="AA180" i="29"/>
  <c r="AA164" i="23"/>
  <c r="AA17" i="23"/>
  <c r="AA16" i="23"/>
  <c r="I22" i="29"/>
  <c r="I4" i="29"/>
  <c r="AB22" i="23"/>
  <c r="Z3" i="23"/>
  <c r="H68" i="23"/>
  <c r="I68" i="23"/>
  <c r="I41" i="23"/>
  <c r="I49" i="23"/>
  <c r="AA172" i="13"/>
  <c r="AA177" i="13"/>
  <c r="AA38" i="13"/>
  <c r="AA25" i="13"/>
  <c r="Z3" i="13"/>
  <c r="AA207" i="13"/>
  <c r="AA23" i="13"/>
  <c r="AA174" i="13"/>
  <c r="AA36" i="13"/>
  <c r="AA29" i="13"/>
  <c r="AA176" i="13"/>
  <c r="Y55" i="13"/>
  <c r="AA171" i="14"/>
  <c r="AA33" i="13"/>
  <c r="AA24" i="13"/>
  <c r="AA27" i="13"/>
  <c r="AA178" i="13"/>
  <c r="AA24" i="14"/>
  <c r="AA175" i="13"/>
  <c r="AA184" i="13"/>
  <c r="AA175" i="14"/>
  <c r="AA28" i="13"/>
  <c r="AA35" i="23"/>
  <c r="AA26" i="14"/>
  <c r="AA27" i="14"/>
  <c r="AA33" i="23"/>
  <c r="AA176" i="14"/>
  <c r="AA30" i="14"/>
  <c r="AA28" i="14"/>
  <c r="AA177" i="14"/>
  <c r="Z3" i="14"/>
  <c r="AA210" i="14"/>
  <c r="AA178" i="14"/>
  <c r="AA34" i="23"/>
  <c r="AA174" i="14"/>
  <c r="M4" i="29"/>
  <c r="AA23" i="14"/>
  <c r="AA172" i="14"/>
  <c r="D68" i="23"/>
  <c r="E68" i="23"/>
  <c r="E49" i="23"/>
  <c r="E41" i="23"/>
  <c r="T68" i="23"/>
  <c r="U68" i="23"/>
  <c r="U49" i="23"/>
  <c r="U41" i="23"/>
  <c r="K191" i="23"/>
  <c r="O190" i="13"/>
  <c r="AA117" i="23"/>
  <c r="I117" i="19"/>
  <c r="U200" i="29"/>
  <c r="M201" i="13"/>
  <c r="M202" i="13"/>
  <c r="P55" i="23"/>
  <c r="Q55" i="23"/>
  <c r="AA202" i="13"/>
  <c r="M199" i="13"/>
  <c r="W126" i="14"/>
  <c r="K201" i="23"/>
  <c r="AA195" i="14"/>
  <c r="X69" i="19"/>
  <c r="X73" i="19"/>
  <c r="Z40" i="14"/>
  <c r="P60" i="18"/>
  <c r="AA194" i="14"/>
  <c r="Q41" i="23"/>
  <c r="Q49" i="23"/>
  <c r="P68" i="23"/>
  <c r="Q68" i="23"/>
  <c r="AA190" i="14"/>
  <c r="E202" i="13"/>
  <c r="E127" i="14"/>
  <c r="Q121" i="19"/>
  <c r="Y121" i="14"/>
  <c r="G55" i="14"/>
  <c r="Q118" i="19"/>
  <c r="Q198" i="29"/>
  <c r="E199" i="13"/>
  <c r="G193" i="19"/>
  <c r="AA35" i="13"/>
  <c r="AA39" i="13"/>
  <c r="AA37" i="13"/>
  <c r="AA186" i="13"/>
  <c r="AA181" i="13"/>
  <c r="AA183" i="13"/>
  <c r="AA185" i="13"/>
  <c r="AA180" i="13"/>
  <c r="AA187" i="13"/>
  <c r="AA32" i="13"/>
  <c r="AA34" i="13"/>
  <c r="O56" i="29"/>
  <c r="O4" i="29"/>
  <c r="N55" i="29"/>
  <c r="N58" i="29"/>
  <c r="N61" i="29"/>
  <c r="N63" i="29"/>
  <c r="O63" i="29"/>
  <c r="O62" i="29"/>
  <c r="N67" i="29"/>
  <c r="O40" i="29"/>
  <c r="O59" i="29"/>
  <c r="O3" i="29"/>
  <c r="O22" i="29"/>
  <c r="G56" i="29"/>
  <c r="G4" i="29"/>
  <c r="F55" i="29"/>
  <c r="F58" i="29"/>
  <c r="F61" i="29"/>
  <c r="F63" i="29"/>
  <c r="G63" i="29"/>
  <c r="G62" i="29"/>
  <c r="F67" i="29"/>
  <c r="G40" i="29"/>
  <c r="G59" i="29"/>
  <c r="G3" i="29"/>
  <c r="G22" i="29"/>
  <c r="O195" i="13"/>
  <c r="L69" i="16"/>
  <c r="L70" i="16"/>
  <c r="J114" i="29"/>
  <c r="K115" i="29"/>
  <c r="W124" i="14"/>
  <c r="I122" i="19"/>
  <c r="AA196" i="14"/>
  <c r="O194" i="13"/>
  <c r="O191" i="13"/>
  <c r="K119" i="29"/>
  <c r="W125" i="14"/>
  <c r="W128" i="14"/>
  <c r="O196" i="13"/>
  <c r="O193" i="13"/>
  <c r="M194" i="23"/>
  <c r="W126" i="19"/>
  <c r="W198" i="29"/>
  <c r="O116" i="19"/>
  <c r="M190" i="23"/>
  <c r="M193" i="23"/>
  <c r="W125" i="19"/>
  <c r="W127" i="19"/>
  <c r="L69" i="13"/>
  <c r="L73" i="13"/>
  <c r="O119" i="19"/>
  <c r="M196" i="23"/>
  <c r="M191" i="23"/>
  <c r="W128" i="19"/>
  <c r="S127" i="14"/>
  <c r="M192" i="23"/>
  <c r="S126" i="14"/>
  <c r="M200" i="13"/>
  <c r="E201" i="13"/>
  <c r="S191" i="29"/>
  <c r="S193" i="29"/>
  <c r="U128" i="14"/>
  <c r="K198" i="29"/>
  <c r="Q174" i="13"/>
  <c r="Y156" i="23"/>
  <c r="U104" i="13"/>
  <c r="Q172" i="13"/>
  <c r="I180" i="14"/>
  <c r="L55" i="29"/>
  <c r="L58" i="29"/>
  <c r="L61" i="29"/>
  <c r="L63" i="29"/>
  <c r="M63" i="29"/>
  <c r="AA38" i="23"/>
  <c r="AA36" i="23"/>
  <c r="AA183" i="23"/>
  <c r="AA13" i="23"/>
  <c r="AA32" i="23"/>
  <c r="AA39" i="23"/>
  <c r="AA37" i="23"/>
  <c r="M22" i="29"/>
  <c r="AA186" i="23"/>
  <c r="AA185" i="23"/>
  <c r="AA184" i="23"/>
  <c r="AA187" i="23"/>
  <c r="AA182" i="23"/>
  <c r="AA181" i="23"/>
  <c r="AA180" i="23"/>
  <c r="AB31" i="23"/>
  <c r="I104" i="23"/>
  <c r="AA164" i="19"/>
  <c r="M56" i="14"/>
  <c r="AA31" i="19"/>
  <c r="M3" i="29"/>
  <c r="M56" i="29"/>
  <c r="M40" i="29"/>
  <c r="AA164" i="13"/>
  <c r="M62" i="29"/>
  <c r="M59" i="29"/>
  <c r="AA38" i="19"/>
  <c r="AA184" i="19"/>
  <c r="AA35" i="19"/>
  <c r="AA33" i="19"/>
  <c r="AA186" i="19"/>
  <c r="AA187" i="19"/>
  <c r="AA185" i="19"/>
  <c r="AA168" i="19"/>
  <c r="AA34" i="19"/>
  <c r="AA180" i="19"/>
  <c r="AA32" i="19"/>
  <c r="AA39" i="19"/>
  <c r="AA36" i="19"/>
  <c r="AA37" i="19"/>
  <c r="AA183" i="19"/>
  <c r="AA182" i="19"/>
  <c r="K55" i="13"/>
  <c r="AA14" i="19"/>
  <c r="U56" i="29"/>
  <c r="Q173" i="13"/>
  <c r="I181" i="14"/>
  <c r="C175" i="29"/>
  <c r="AA163" i="19"/>
  <c r="L67" i="14"/>
  <c r="L69" i="14"/>
  <c r="L73" i="14"/>
  <c r="L55" i="14"/>
  <c r="M55" i="14"/>
  <c r="AA16" i="19"/>
  <c r="AA13" i="19"/>
  <c r="AA20" i="19"/>
  <c r="Q176" i="13"/>
  <c r="Q171" i="13"/>
  <c r="Q178" i="13"/>
  <c r="Q175" i="13"/>
  <c r="AA165" i="19"/>
  <c r="I185" i="14"/>
  <c r="AA31" i="14"/>
  <c r="M22" i="14"/>
  <c r="M59" i="14"/>
  <c r="M4" i="14"/>
  <c r="I182" i="14"/>
  <c r="AA167" i="19"/>
  <c r="AA166" i="19"/>
  <c r="M40" i="14"/>
  <c r="M3" i="14"/>
  <c r="AA19" i="19"/>
  <c r="AA15" i="19"/>
  <c r="AA18" i="19"/>
  <c r="AA17" i="19"/>
  <c r="S101" i="19"/>
  <c r="S154" i="29"/>
  <c r="Q104" i="19"/>
  <c r="Q168" i="23"/>
  <c r="C82" i="29"/>
  <c r="M107" i="23"/>
  <c r="G165" i="19"/>
  <c r="U4" i="29"/>
  <c r="T55" i="29"/>
  <c r="T58" i="29"/>
  <c r="T61" i="29"/>
  <c r="T63" i="29"/>
  <c r="U63" i="29"/>
  <c r="S165" i="19"/>
  <c r="AA169" i="13"/>
  <c r="S161" i="19"/>
  <c r="G167" i="19"/>
  <c r="C83" i="29"/>
  <c r="O176" i="29"/>
  <c r="U40" i="29"/>
  <c r="U157" i="13"/>
  <c r="W164" i="19"/>
  <c r="V58" i="14"/>
  <c r="W58" i="14"/>
  <c r="U59" i="29"/>
  <c r="W169" i="19"/>
  <c r="U3" i="29"/>
  <c r="Q100" i="19"/>
  <c r="U156" i="13"/>
  <c r="S168" i="19"/>
  <c r="Y175" i="23"/>
  <c r="O98" i="29"/>
  <c r="U22" i="29"/>
  <c r="T67" i="29"/>
  <c r="AA42" i="14"/>
  <c r="K194" i="23"/>
  <c r="Q201" i="29"/>
  <c r="K190" i="23"/>
  <c r="Q200" i="29"/>
  <c r="AA116" i="23"/>
  <c r="AA122" i="23"/>
  <c r="Q116" i="29"/>
  <c r="G196" i="19"/>
  <c r="I121" i="19"/>
  <c r="I118" i="19"/>
  <c r="Q119" i="19"/>
  <c r="Q116" i="19"/>
  <c r="Y120" i="14"/>
  <c r="Y117" i="14"/>
  <c r="AA125" i="23"/>
  <c r="S128" i="14"/>
  <c r="AA193" i="14"/>
  <c r="AA47" i="14"/>
  <c r="K195" i="23"/>
  <c r="K192" i="23"/>
  <c r="Q199" i="29"/>
  <c r="AA121" i="23"/>
  <c r="Z114" i="23"/>
  <c r="AA115" i="23"/>
  <c r="Z188" i="14"/>
  <c r="Z216" i="14"/>
  <c r="I116" i="19"/>
  <c r="H114" i="19"/>
  <c r="I123" i="19"/>
  <c r="Q117" i="19"/>
  <c r="Q122" i="19"/>
  <c r="Y116" i="14"/>
  <c r="Y119" i="14"/>
  <c r="AA127" i="23"/>
  <c r="S125" i="14"/>
  <c r="U202" i="23"/>
  <c r="AA119" i="23"/>
  <c r="I119" i="19"/>
  <c r="AA128" i="23"/>
  <c r="AA192" i="14"/>
  <c r="AA48" i="14"/>
  <c r="K200" i="29"/>
  <c r="I118" i="14"/>
  <c r="Q194" i="19"/>
  <c r="K199" i="29"/>
  <c r="C198" i="19"/>
  <c r="K202" i="29"/>
  <c r="U202" i="29"/>
  <c r="Q124" i="19"/>
  <c r="AA53" i="13"/>
  <c r="AA44" i="14"/>
  <c r="AA43" i="14"/>
  <c r="AA191" i="14"/>
  <c r="AA45" i="14"/>
  <c r="O199" i="13"/>
  <c r="O201" i="13"/>
  <c r="J188" i="23"/>
  <c r="K197" i="23"/>
  <c r="S195" i="29"/>
  <c r="S190" i="29"/>
  <c r="G192" i="19"/>
  <c r="G191" i="19"/>
  <c r="K199" i="23"/>
  <c r="O202" i="13"/>
  <c r="F188" i="19"/>
  <c r="F216" i="19"/>
  <c r="G216" i="19"/>
  <c r="S192" i="29"/>
  <c r="S194" i="29"/>
  <c r="G194" i="19"/>
  <c r="G195" i="19"/>
  <c r="K198" i="23"/>
  <c r="N188" i="13"/>
  <c r="O189" i="13"/>
  <c r="K202" i="23"/>
  <c r="E124" i="14"/>
  <c r="E125" i="14"/>
  <c r="K118" i="29"/>
  <c r="K117" i="29"/>
  <c r="O117" i="19"/>
  <c r="O118" i="19"/>
  <c r="U127" i="14"/>
  <c r="E126" i="14"/>
  <c r="K120" i="29"/>
  <c r="K121" i="29"/>
  <c r="O120" i="19"/>
  <c r="O121" i="19"/>
  <c r="U124" i="14"/>
  <c r="U125" i="14"/>
  <c r="K122" i="29"/>
  <c r="O122" i="19"/>
  <c r="AA199" i="13"/>
  <c r="I120" i="14"/>
  <c r="I117" i="14"/>
  <c r="Q191" i="19"/>
  <c r="P188" i="19"/>
  <c r="P216" i="19"/>
  <c r="Q216" i="19"/>
  <c r="P114" i="19"/>
  <c r="Q115" i="19"/>
  <c r="U198" i="29"/>
  <c r="C200" i="19"/>
  <c r="Q127" i="19"/>
  <c r="U201" i="23"/>
  <c r="AA50" i="13"/>
  <c r="AA51" i="13"/>
  <c r="I122" i="14"/>
  <c r="I121" i="14"/>
  <c r="Q196" i="19"/>
  <c r="Q193" i="19"/>
  <c r="U201" i="29"/>
  <c r="C199" i="19"/>
  <c r="C201" i="19"/>
  <c r="Q125" i="19"/>
  <c r="U198" i="23"/>
  <c r="AA54" i="13"/>
  <c r="Z123" i="14"/>
  <c r="AA124" i="14"/>
  <c r="Z40" i="13"/>
  <c r="AA41" i="13"/>
  <c r="AA201" i="13"/>
  <c r="J69" i="20"/>
  <c r="J70" i="20"/>
  <c r="AA200" i="13"/>
  <c r="I116" i="14"/>
  <c r="Q192" i="19"/>
  <c r="Q128" i="19"/>
  <c r="U200" i="23"/>
  <c r="J69" i="14"/>
  <c r="J73" i="14"/>
  <c r="Z115" i="14"/>
  <c r="AA120" i="14"/>
  <c r="Z189" i="29"/>
  <c r="Z115" i="29"/>
  <c r="AA117" i="29"/>
  <c r="G178" i="14"/>
  <c r="Y172" i="23"/>
  <c r="E97" i="29"/>
  <c r="C177" i="29"/>
  <c r="S103" i="19"/>
  <c r="G182" i="23"/>
  <c r="M171" i="13"/>
  <c r="U102" i="13"/>
  <c r="O100" i="29"/>
  <c r="S153" i="29"/>
  <c r="G183" i="23"/>
  <c r="M178" i="13"/>
  <c r="G171" i="14"/>
  <c r="E99" i="29"/>
  <c r="I165" i="23"/>
  <c r="I164" i="23"/>
  <c r="O162" i="19"/>
  <c r="K174" i="14"/>
  <c r="I183" i="14"/>
  <c r="I184" i="14"/>
  <c r="I93" i="23"/>
  <c r="Y86" i="23"/>
  <c r="AA13" i="14"/>
  <c r="Y160" i="23"/>
  <c r="K172" i="14"/>
  <c r="I187" i="14"/>
  <c r="Q165" i="23"/>
  <c r="I98" i="23"/>
  <c r="Q161" i="23"/>
  <c r="S100" i="19"/>
  <c r="S97" i="19"/>
  <c r="G184" i="23"/>
  <c r="G185" i="23"/>
  <c r="M172" i="13"/>
  <c r="M173" i="13"/>
  <c r="G176" i="14"/>
  <c r="G173" i="14"/>
  <c r="U97" i="13"/>
  <c r="U99" i="13"/>
  <c r="Y171" i="23"/>
  <c r="Y177" i="23"/>
  <c r="O102" i="29"/>
  <c r="O104" i="29"/>
  <c r="E103" i="29"/>
  <c r="E101" i="29"/>
  <c r="S158" i="29"/>
  <c r="S155" i="29"/>
  <c r="C172" i="29"/>
  <c r="C174" i="29"/>
  <c r="S102" i="19"/>
  <c r="S104" i="19"/>
  <c r="G187" i="23"/>
  <c r="G180" i="23"/>
  <c r="M175" i="13"/>
  <c r="M176" i="13"/>
  <c r="G177" i="14"/>
  <c r="G172" i="14"/>
  <c r="U101" i="13"/>
  <c r="U103" i="13"/>
  <c r="Y173" i="23"/>
  <c r="Y174" i="23"/>
  <c r="O99" i="29"/>
  <c r="O97" i="29"/>
  <c r="E100" i="29"/>
  <c r="E98" i="29"/>
  <c r="S159" i="29"/>
  <c r="S156" i="29"/>
  <c r="C178" i="29"/>
  <c r="C173" i="29"/>
  <c r="S98" i="19"/>
  <c r="G186" i="23"/>
  <c r="M177" i="13"/>
  <c r="G175" i="14"/>
  <c r="U100" i="13"/>
  <c r="Y176" i="23"/>
  <c r="O103" i="29"/>
  <c r="R151" i="29"/>
  <c r="S207" i="29"/>
  <c r="E104" i="29"/>
  <c r="S157" i="29"/>
  <c r="C176" i="29"/>
  <c r="K177" i="14"/>
  <c r="K176" i="14"/>
  <c r="Q163" i="23"/>
  <c r="Q162" i="23"/>
  <c r="I100" i="23"/>
  <c r="I97" i="23"/>
  <c r="Y158" i="23"/>
  <c r="I167" i="23"/>
  <c r="X151" i="23"/>
  <c r="Y170" i="23"/>
  <c r="I163" i="23"/>
  <c r="K175" i="14"/>
  <c r="Q167" i="23"/>
  <c r="I101" i="23"/>
  <c r="Y154" i="23"/>
  <c r="I166" i="23"/>
  <c r="Z105" i="19"/>
  <c r="AA109" i="19"/>
  <c r="Y155" i="23"/>
  <c r="I161" i="23"/>
  <c r="I168" i="23"/>
  <c r="K171" i="14"/>
  <c r="Q164" i="23"/>
  <c r="I99" i="23"/>
  <c r="Y153" i="23"/>
  <c r="Y157" i="23"/>
  <c r="I169" i="23"/>
  <c r="K173" i="14"/>
  <c r="Q169" i="23"/>
  <c r="I103" i="23"/>
  <c r="M113" i="23"/>
  <c r="O175" i="29"/>
  <c r="AA180" i="14"/>
  <c r="AA38" i="14"/>
  <c r="AA183" i="14"/>
  <c r="AA34" i="14"/>
  <c r="AA184" i="14"/>
  <c r="AA32" i="14"/>
  <c r="AA35" i="14"/>
  <c r="AA36" i="14"/>
  <c r="I84" i="29"/>
  <c r="AA181" i="14"/>
  <c r="AA186" i="14"/>
  <c r="AA187" i="14"/>
  <c r="AA39" i="14"/>
  <c r="AA37" i="14"/>
  <c r="AA182" i="14"/>
  <c r="AA185" i="14"/>
  <c r="U174" i="23"/>
  <c r="Y84" i="23"/>
  <c r="U94" i="23"/>
  <c r="Y154" i="13"/>
  <c r="G162" i="19"/>
  <c r="Q103" i="19"/>
  <c r="U172" i="23"/>
  <c r="Z78" i="29"/>
  <c r="AA86" i="29"/>
  <c r="U154" i="13"/>
  <c r="S162" i="19"/>
  <c r="W163" i="19"/>
  <c r="Q179" i="23"/>
  <c r="I94" i="23"/>
  <c r="Y85" i="23"/>
  <c r="C80" i="29"/>
  <c r="AA165" i="13"/>
  <c r="M112" i="23"/>
  <c r="U95" i="23"/>
  <c r="O173" i="29"/>
  <c r="Y156" i="13"/>
  <c r="G164" i="19"/>
  <c r="Q97" i="19"/>
  <c r="O167" i="19"/>
  <c r="S163" i="19"/>
  <c r="W162" i="19"/>
  <c r="I88" i="23"/>
  <c r="C85" i="29"/>
  <c r="M108" i="23"/>
  <c r="I86" i="29"/>
  <c r="O172" i="29"/>
  <c r="T151" i="13"/>
  <c r="U170" i="13"/>
  <c r="Y158" i="13"/>
  <c r="O164" i="19"/>
  <c r="I95" i="23"/>
  <c r="Y80" i="23"/>
  <c r="I81" i="29"/>
  <c r="Y155" i="13"/>
  <c r="Y153" i="13"/>
  <c r="X151" i="13"/>
  <c r="Y210" i="13"/>
  <c r="G169" i="19"/>
  <c r="G166" i="19"/>
  <c r="Q98" i="19"/>
  <c r="Q99" i="19"/>
  <c r="U173" i="23"/>
  <c r="U171" i="23"/>
  <c r="Z96" i="23"/>
  <c r="AA102" i="23"/>
  <c r="U158" i="13"/>
  <c r="U160" i="13"/>
  <c r="AA167" i="13"/>
  <c r="F61" i="14"/>
  <c r="G61" i="14"/>
  <c r="O163" i="19"/>
  <c r="O166" i="19"/>
  <c r="S164" i="19"/>
  <c r="S167" i="19"/>
  <c r="W165" i="19"/>
  <c r="W166" i="19"/>
  <c r="I90" i="23"/>
  <c r="I105" i="23"/>
  <c r="Y83" i="23"/>
  <c r="X77" i="23"/>
  <c r="Y77" i="23"/>
  <c r="C84" i="29"/>
  <c r="C86" i="29"/>
  <c r="AA13" i="13"/>
  <c r="U87" i="23"/>
  <c r="M109" i="23"/>
  <c r="M106" i="23"/>
  <c r="U93" i="23"/>
  <c r="U90" i="23"/>
  <c r="I85" i="29"/>
  <c r="I83" i="29"/>
  <c r="O174" i="29"/>
  <c r="O177" i="29"/>
  <c r="Y160" i="13"/>
  <c r="U177" i="23"/>
  <c r="U176" i="23"/>
  <c r="O169" i="19"/>
  <c r="I91" i="23"/>
  <c r="Y79" i="23"/>
  <c r="U89" i="23"/>
  <c r="U88" i="23"/>
  <c r="I79" i="29"/>
  <c r="Y159" i="13"/>
  <c r="G163" i="19"/>
  <c r="Q101" i="19"/>
  <c r="U175" i="23"/>
  <c r="U153" i="13"/>
  <c r="U155" i="13"/>
  <c r="O165" i="19"/>
  <c r="S166" i="19"/>
  <c r="W167" i="19"/>
  <c r="I87" i="23"/>
  <c r="I92" i="23"/>
  <c r="Y82" i="23"/>
  <c r="C81" i="29"/>
  <c r="AA31" i="13"/>
  <c r="M111" i="23"/>
  <c r="U92" i="23"/>
  <c r="I82" i="29"/>
  <c r="O171" i="29"/>
  <c r="AA14" i="13"/>
  <c r="AA163" i="13"/>
  <c r="AA166" i="13"/>
  <c r="AA15" i="13"/>
  <c r="AA16" i="13"/>
  <c r="AA168" i="13"/>
  <c r="AA17" i="13"/>
  <c r="AA19" i="13"/>
  <c r="AA21" i="13"/>
  <c r="AA20" i="13"/>
  <c r="E61" i="13"/>
  <c r="Z78" i="23"/>
  <c r="AA82" i="23"/>
  <c r="E58" i="13"/>
  <c r="Z179" i="23"/>
  <c r="AA179" i="23"/>
  <c r="Z78" i="13"/>
  <c r="AA80" i="13"/>
  <c r="C67" i="29"/>
  <c r="S179" i="19"/>
  <c r="AA173" i="13"/>
  <c r="Z170" i="19"/>
  <c r="Z87" i="14"/>
  <c r="AA94" i="14"/>
  <c r="F151" i="13"/>
  <c r="G159" i="13"/>
  <c r="G155" i="13"/>
  <c r="G158" i="13"/>
  <c r="G154" i="13"/>
  <c r="G157" i="13"/>
  <c r="G153" i="13"/>
  <c r="G160" i="13"/>
  <c r="G156" i="13"/>
  <c r="J61" i="13"/>
  <c r="K58" i="13"/>
  <c r="V151" i="19"/>
  <c r="W159" i="19"/>
  <c r="W155" i="19"/>
  <c r="W158" i="19"/>
  <c r="W156" i="19"/>
  <c r="W160" i="19"/>
  <c r="W153" i="19"/>
  <c r="W157" i="19"/>
  <c r="W154" i="19"/>
  <c r="G187" i="19"/>
  <c r="G186" i="19"/>
  <c r="G184" i="19"/>
  <c r="G182" i="19"/>
  <c r="G180" i="19"/>
  <c r="G181" i="19"/>
  <c r="G185" i="19"/>
  <c r="G183" i="19"/>
  <c r="M185" i="19"/>
  <c r="M180" i="19"/>
  <c r="M186" i="19"/>
  <c r="M183" i="19"/>
  <c r="M184" i="19"/>
  <c r="M181" i="19"/>
  <c r="M187" i="19"/>
  <c r="M182" i="19"/>
  <c r="Y179" i="19"/>
  <c r="Y165" i="19"/>
  <c r="Y162" i="19"/>
  <c r="Y168" i="19"/>
  <c r="Y163" i="19"/>
  <c r="Y169" i="19"/>
  <c r="Y166" i="19"/>
  <c r="Y161" i="19"/>
  <c r="Y167" i="19"/>
  <c r="Y164" i="19"/>
  <c r="Z161" i="19"/>
  <c r="AA161" i="19"/>
  <c r="AA162" i="19"/>
  <c r="G161" i="19"/>
  <c r="U196" i="19"/>
  <c r="U192" i="19"/>
  <c r="U190" i="19"/>
  <c r="U194" i="19"/>
  <c r="T188" i="19"/>
  <c r="U191" i="19"/>
  <c r="U195" i="19"/>
  <c r="U193" i="19"/>
  <c r="U86" i="19"/>
  <c r="U82" i="19"/>
  <c r="U85" i="19"/>
  <c r="U83" i="19"/>
  <c r="U80" i="19"/>
  <c r="U84" i="19"/>
  <c r="T77" i="19"/>
  <c r="U81" i="19"/>
  <c r="U79" i="19"/>
  <c r="K83" i="19"/>
  <c r="K79" i="19"/>
  <c r="J77" i="19"/>
  <c r="K85" i="19"/>
  <c r="K82" i="19"/>
  <c r="K80" i="19"/>
  <c r="K86" i="19"/>
  <c r="K84" i="19"/>
  <c r="K81" i="19"/>
  <c r="C83" i="19"/>
  <c r="C79" i="19"/>
  <c r="C82" i="19"/>
  <c r="C80" i="19"/>
  <c r="C86" i="19"/>
  <c r="C84" i="19"/>
  <c r="B77" i="19"/>
  <c r="C81" i="19"/>
  <c r="C85" i="19"/>
  <c r="S83" i="19"/>
  <c r="S79" i="19"/>
  <c r="S81" i="19"/>
  <c r="R77" i="19"/>
  <c r="S85" i="19"/>
  <c r="S82" i="19"/>
  <c r="S80" i="19"/>
  <c r="S86" i="19"/>
  <c r="S84" i="19"/>
  <c r="O182" i="14"/>
  <c r="O186" i="14"/>
  <c r="O183" i="14"/>
  <c r="O184" i="14"/>
  <c r="O181" i="14"/>
  <c r="O180" i="14"/>
  <c r="O187" i="14"/>
  <c r="O185" i="14"/>
  <c r="K186" i="14"/>
  <c r="K181" i="14"/>
  <c r="K187" i="14"/>
  <c r="K185" i="14"/>
  <c r="K182" i="14"/>
  <c r="K184" i="14"/>
  <c r="K183" i="14"/>
  <c r="K180" i="14"/>
  <c r="K169" i="14"/>
  <c r="K167" i="14"/>
  <c r="K165" i="14"/>
  <c r="K163" i="14"/>
  <c r="K161" i="14"/>
  <c r="K166" i="14"/>
  <c r="K162" i="14"/>
  <c r="K179" i="14"/>
  <c r="K168" i="14"/>
  <c r="K164" i="14"/>
  <c r="Y85" i="14"/>
  <c r="Y81" i="14"/>
  <c r="X77" i="14"/>
  <c r="Y83" i="14"/>
  <c r="Y79" i="14"/>
  <c r="Y80" i="14"/>
  <c r="Y86" i="14"/>
  <c r="Y84" i="14"/>
  <c r="Y82" i="14"/>
  <c r="E103" i="14"/>
  <c r="E99" i="14"/>
  <c r="E101" i="14"/>
  <c r="E97" i="14"/>
  <c r="E98" i="14"/>
  <c r="E104" i="14"/>
  <c r="E102" i="14"/>
  <c r="E100" i="14"/>
  <c r="M103" i="14"/>
  <c r="M99" i="14"/>
  <c r="M101" i="14"/>
  <c r="M97" i="14"/>
  <c r="M102" i="14"/>
  <c r="M100" i="14"/>
  <c r="M98" i="14"/>
  <c r="M104" i="14"/>
  <c r="L114" i="14"/>
  <c r="M121" i="14"/>
  <c r="M117" i="14"/>
  <c r="M119" i="14"/>
  <c r="M116" i="14"/>
  <c r="M122" i="14"/>
  <c r="M120" i="14"/>
  <c r="M118" i="14"/>
  <c r="F142" i="23"/>
  <c r="G142" i="23"/>
  <c r="G123" i="23"/>
  <c r="G115" i="23"/>
  <c r="N77" i="13"/>
  <c r="O86" i="13"/>
  <c r="O82" i="13"/>
  <c r="O85" i="13"/>
  <c r="O81" i="13"/>
  <c r="O84" i="13"/>
  <c r="O80" i="13"/>
  <c r="O83" i="13"/>
  <c r="O79" i="13"/>
  <c r="J77" i="13"/>
  <c r="K84" i="13"/>
  <c r="K80" i="13"/>
  <c r="K83" i="13"/>
  <c r="K79" i="13"/>
  <c r="K86" i="13"/>
  <c r="K82" i="13"/>
  <c r="K85" i="13"/>
  <c r="K81" i="13"/>
  <c r="U109" i="13"/>
  <c r="U112" i="13"/>
  <c r="U108" i="13"/>
  <c r="U111" i="13"/>
  <c r="U107" i="13"/>
  <c r="U113" i="13"/>
  <c r="U110" i="13"/>
  <c r="U106" i="13"/>
  <c r="M109" i="13"/>
  <c r="M112" i="13"/>
  <c r="M108" i="13"/>
  <c r="M111" i="13"/>
  <c r="M107" i="13"/>
  <c r="M113" i="13"/>
  <c r="M110" i="13"/>
  <c r="M106" i="13"/>
  <c r="E109" i="13"/>
  <c r="E112" i="13"/>
  <c r="E108" i="13"/>
  <c r="E111" i="13"/>
  <c r="E107" i="13"/>
  <c r="E113" i="13"/>
  <c r="E110" i="13"/>
  <c r="E106" i="13"/>
  <c r="P142" i="23"/>
  <c r="Q142" i="23"/>
  <c r="Q123" i="23"/>
  <c r="Q115" i="23"/>
  <c r="Q159" i="23"/>
  <c r="Q155" i="23"/>
  <c r="Q160" i="23"/>
  <c r="Q153" i="23"/>
  <c r="P151" i="23"/>
  <c r="Q154" i="23"/>
  <c r="Q158" i="23"/>
  <c r="Q156" i="23"/>
  <c r="Q157" i="23"/>
  <c r="M176" i="23"/>
  <c r="M172" i="23"/>
  <c r="M175" i="23"/>
  <c r="M173" i="23"/>
  <c r="M174" i="23"/>
  <c r="M178" i="23"/>
  <c r="M171" i="23"/>
  <c r="M177" i="23"/>
  <c r="C177" i="23"/>
  <c r="C173" i="23"/>
  <c r="C175" i="23"/>
  <c r="C176" i="23"/>
  <c r="C174" i="23"/>
  <c r="C178" i="23"/>
  <c r="C171" i="23"/>
  <c r="C172" i="23"/>
  <c r="G202" i="23"/>
  <c r="G198" i="23"/>
  <c r="G201" i="23"/>
  <c r="G199" i="23"/>
  <c r="G200" i="23"/>
  <c r="O102" i="23"/>
  <c r="O98" i="23"/>
  <c r="O103" i="23"/>
  <c r="O100" i="23"/>
  <c r="O101" i="23"/>
  <c r="O99" i="23"/>
  <c r="O104" i="23"/>
  <c r="O97" i="23"/>
  <c r="Q101" i="23"/>
  <c r="Q97" i="23"/>
  <c r="Q100" i="23"/>
  <c r="Q98" i="23"/>
  <c r="Q104" i="23"/>
  <c r="Q102" i="23"/>
  <c r="Q103" i="23"/>
  <c r="Q99" i="23"/>
  <c r="S121" i="29"/>
  <c r="S117" i="29"/>
  <c r="R114" i="29"/>
  <c r="S122" i="29"/>
  <c r="S119" i="29"/>
  <c r="S116" i="29"/>
  <c r="S120" i="29"/>
  <c r="S118" i="29"/>
  <c r="Y202" i="29"/>
  <c r="Y198" i="29"/>
  <c r="Y200" i="29"/>
  <c r="Y201" i="29"/>
  <c r="Y199" i="29"/>
  <c r="C103" i="29"/>
  <c r="C99" i="29"/>
  <c r="C102" i="29"/>
  <c r="C98" i="29"/>
  <c r="C101" i="29"/>
  <c r="C97" i="29"/>
  <c r="C104" i="29"/>
  <c r="C100" i="29"/>
  <c r="W187" i="13"/>
  <c r="W183" i="13"/>
  <c r="W180" i="13"/>
  <c r="W186" i="13"/>
  <c r="W181" i="13"/>
  <c r="W184" i="13"/>
  <c r="W185" i="13"/>
  <c r="W182" i="13"/>
  <c r="O187" i="13"/>
  <c r="O186" i="13"/>
  <c r="O181" i="13"/>
  <c r="O184" i="13"/>
  <c r="O185" i="13"/>
  <c r="O182" i="13"/>
  <c r="O183" i="13"/>
  <c r="O180" i="13"/>
  <c r="G187" i="13"/>
  <c r="G184" i="13"/>
  <c r="G185" i="13"/>
  <c r="G182" i="13"/>
  <c r="G183" i="13"/>
  <c r="G180" i="13"/>
  <c r="G186" i="13"/>
  <c r="G181" i="13"/>
  <c r="N151" i="13"/>
  <c r="O159" i="13"/>
  <c r="O155" i="13"/>
  <c r="O158" i="13"/>
  <c r="O154" i="13"/>
  <c r="O157" i="13"/>
  <c r="O153" i="13"/>
  <c r="O160" i="13"/>
  <c r="O156" i="13"/>
  <c r="J188" i="13"/>
  <c r="K195" i="13"/>
  <c r="K191" i="13"/>
  <c r="K194" i="13"/>
  <c r="K192" i="13"/>
  <c r="K196" i="13"/>
  <c r="K193" i="13"/>
  <c r="K190" i="13"/>
  <c r="X61" i="13"/>
  <c r="Y58" i="13"/>
  <c r="O187" i="19"/>
  <c r="O186" i="19"/>
  <c r="O184" i="19"/>
  <c r="O182" i="19"/>
  <c r="O180" i="19"/>
  <c r="O183" i="19"/>
  <c r="O181" i="19"/>
  <c r="O185" i="19"/>
  <c r="E186" i="19"/>
  <c r="E183" i="19"/>
  <c r="E187" i="19"/>
  <c r="E184" i="19"/>
  <c r="E181" i="19"/>
  <c r="E182" i="19"/>
  <c r="E185" i="19"/>
  <c r="E180" i="19"/>
  <c r="O161" i="19"/>
  <c r="Y57" i="19"/>
  <c r="Y56" i="19"/>
  <c r="O60" i="16"/>
  <c r="O56" i="16"/>
  <c r="W112" i="19"/>
  <c r="W108" i="19"/>
  <c r="W110" i="19"/>
  <c r="W107" i="19"/>
  <c r="W111" i="19"/>
  <c r="W109" i="19"/>
  <c r="W113" i="19"/>
  <c r="W106" i="19"/>
  <c r="O112" i="19"/>
  <c r="O108" i="19"/>
  <c r="O107" i="19"/>
  <c r="O113" i="19"/>
  <c r="O111" i="19"/>
  <c r="O109" i="19"/>
  <c r="O106" i="19"/>
  <c r="O110" i="19"/>
  <c r="G112" i="19"/>
  <c r="G108" i="19"/>
  <c r="G111" i="19"/>
  <c r="G109" i="19"/>
  <c r="G106" i="19"/>
  <c r="G110" i="19"/>
  <c r="G113" i="19"/>
  <c r="G107" i="19"/>
  <c r="U120" i="19"/>
  <c r="U116" i="19"/>
  <c r="U122" i="19"/>
  <c r="U119" i="19"/>
  <c r="U117" i="19"/>
  <c r="U121" i="19"/>
  <c r="T114" i="19"/>
  <c r="U118" i="19"/>
  <c r="W184" i="14"/>
  <c r="W181" i="14"/>
  <c r="W185" i="14"/>
  <c r="W180" i="14"/>
  <c r="W186" i="14"/>
  <c r="W183" i="14"/>
  <c r="W182" i="14"/>
  <c r="W187" i="14"/>
  <c r="O178" i="14"/>
  <c r="O174" i="14"/>
  <c r="O177" i="14"/>
  <c r="O175" i="14"/>
  <c r="O176" i="14"/>
  <c r="O173" i="14"/>
  <c r="O172" i="14"/>
  <c r="O171" i="14"/>
  <c r="B151" i="14"/>
  <c r="C157" i="14"/>
  <c r="C153" i="14"/>
  <c r="C156" i="14"/>
  <c r="C154" i="14"/>
  <c r="C155" i="14"/>
  <c r="C160" i="14"/>
  <c r="C159" i="14"/>
  <c r="C158" i="14"/>
  <c r="F77" i="14"/>
  <c r="G86" i="14"/>
  <c r="G82" i="14"/>
  <c r="G84" i="14"/>
  <c r="G80" i="14"/>
  <c r="G85" i="14"/>
  <c r="G83" i="14"/>
  <c r="G81" i="14"/>
  <c r="G79" i="14"/>
  <c r="C84" i="14"/>
  <c r="C80" i="14"/>
  <c r="C86" i="14"/>
  <c r="C82" i="14"/>
  <c r="C79" i="14"/>
  <c r="C85" i="14"/>
  <c r="B77" i="14"/>
  <c r="C83" i="14"/>
  <c r="C81" i="14"/>
  <c r="X77" i="13"/>
  <c r="Y85" i="13"/>
  <c r="Y81" i="13"/>
  <c r="Y84" i="13"/>
  <c r="Y80" i="13"/>
  <c r="Y83" i="13"/>
  <c r="Y79" i="13"/>
  <c r="Y86" i="13"/>
  <c r="Y82" i="13"/>
  <c r="S104" i="13"/>
  <c r="S100" i="13"/>
  <c r="S103" i="13"/>
  <c r="S99" i="13"/>
  <c r="S98" i="13"/>
  <c r="S102" i="13"/>
  <c r="S101" i="13"/>
  <c r="S97" i="13"/>
  <c r="Y193" i="23"/>
  <c r="Y195" i="23"/>
  <c r="Y196" i="23"/>
  <c r="Y194" i="23"/>
  <c r="X188" i="23"/>
  <c r="Y191" i="23"/>
  <c r="Y192" i="23"/>
  <c r="Y190" i="23"/>
  <c r="W160" i="23"/>
  <c r="W156" i="23"/>
  <c r="W154" i="23"/>
  <c r="W155" i="23"/>
  <c r="W153" i="23"/>
  <c r="W159" i="23"/>
  <c r="W157" i="23"/>
  <c r="W158" i="23"/>
  <c r="V151" i="23"/>
  <c r="I178" i="23"/>
  <c r="I174" i="23"/>
  <c r="I176" i="23"/>
  <c r="I177" i="23"/>
  <c r="I175" i="23"/>
  <c r="I172" i="23"/>
  <c r="I173" i="23"/>
  <c r="I171" i="23"/>
  <c r="Z161" i="23"/>
  <c r="AA161" i="23"/>
  <c r="AA162" i="23"/>
  <c r="O202" i="23"/>
  <c r="O198" i="23"/>
  <c r="O200" i="23"/>
  <c r="O201" i="23"/>
  <c r="O199" i="23"/>
  <c r="D77" i="23"/>
  <c r="E83" i="23"/>
  <c r="E79" i="23"/>
  <c r="E82" i="23"/>
  <c r="E80" i="23"/>
  <c r="E86" i="23"/>
  <c r="E84" i="23"/>
  <c r="E85" i="23"/>
  <c r="E81" i="23"/>
  <c r="Q104" i="29"/>
  <c r="Q100" i="29"/>
  <c r="Q103" i="29"/>
  <c r="Q99" i="29"/>
  <c r="Q102" i="29"/>
  <c r="Q98" i="29"/>
  <c r="Q101" i="29"/>
  <c r="Q97" i="29"/>
  <c r="I176" i="13"/>
  <c r="I172" i="13"/>
  <c r="I177" i="13"/>
  <c r="I174" i="13"/>
  <c r="I178" i="13"/>
  <c r="I171" i="13"/>
  <c r="I175" i="13"/>
  <c r="I173" i="13"/>
  <c r="Z189" i="13"/>
  <c r="W201" i="13"/>
  <c r="W200" i="13"/>
  <c r="W198" i="13"/>
  <c r="W202" i="13"/>
  <c r="W199" i="13"/>
  <c r="E194" i="13"/>
  <c r="E190" i="13"/>
  <c r="D188" i="13"/>
  <c r="E193" i="13"/>
  <c r="E191" i="13"/>
  <c r="E195" i="13"/>
  <c r="E192" i="13"/>
  <c r="E196" i="13"/>
  <c r="F151" i="19"/>
  <c r="G159" i="19"/>
  <c r="G155" i="19"/>
  <c r="G157" i="19"/>
  <c r="G154" i="19"/>
  <c r="G158" i="19"/>
  <c r="G156" i="19"/>
  <c r="G160" i="19"/>
  <c r="G153" i="19"/>
  <c r="W187" i="19"/>
  <c r="W186" i="19"/>
  <c r="W184" i="19"/>
  <c r="W182" i="19"/>
  <c r="W180" i="19"/>
  <c r="W185" i="19"/>
  <c r="W183" i="19"/>
  <c r="W181" i="19"/>
  <c r="M160" i="19"/>
  <c r="M156" i="19"/>
  <c r="L151" i="19"/>
  <c r="M158" i="19"/>
  <c r="M155" i="19"/>
  <c r="M153" i="19"/>
  <c r="M159" i="19"/>
  <c r="M157" i="19"/>
  <c r="M154" i="19"/>
  <c r="C187" i="19"/>
  <c r="C185" i="19"/>
  <c r="C183" i="19"/>
  <c r="C181" i="19"/>
  <c r="C180" i="19"/>
  <c r="C186" i="19"/>
  <c r="C184" i="19"/>
  <c r="C182" i="19"/>
  <c r="I67" i="20"/>
  <c r="I61" i="20"/>
  <c r="I62" i="20"/>
  <c r="E86" i="19"/>
  <c r="E82" i="19"/>
  <c r="E84" i="19"/>
  <c r="D77" i="19"/>
  <c r="E81" i="19"/>
  <c r="E79" i="19"/>
  <c r="E85" i="19"/>
  <c r="E83" i="19"/>
  <c r="E80" i="19"/>
  <c r="X77" i="19"/>
  <c r="Y84" i="19"/>
  <c r="Y80" i="19"/>
  <c r="Y82" i="19"/>
  <c r="Y86" i="19"/>
  <c r="Y79" i="19"/>
  <c r="Y83" i="19"/>
  <c r="Y81" i="19"/>
  <c r="Y85" i="19"/>
  <c r="C95" i="19"/>
  <c r="C91" i="19"/>
  <c r="C87" i="19"/>
  <c r="C105" i="19"/>
  <c r="C89" i="19"/>
  <c r="C93" i="19"/>
  <c r="C90" i="19"/>
  <c r="C88" i="19"/>
  <c r="C94" i="19"/>
  <c r="C92" i="19"/>
  <c r="Q111" i="19"/>
  <c r="Q107" i="19"/>
  <c r="Q113" i="19"/>
  <c r="Q109" i="19"/>
  <c r="Q106" i="19"/>
  <c r="Q110" i="19"/>
  <c r="Q108" i="19"/>
  <c r="Q112" i="19"/>
  <c r="C121" i="19"/>
  <c r="C117" i="19"/>
  <c r="C119" i="19"/>
  <c r="B114" i="19"/>
  <c r="C116" i="19"/>
  <c r="C120" i="19"/>
  <c r="C118" i="19"/>
  <c r="C122" i="19"/>
  <c r="I158" i="14"/>
  <c r="I154" i="14"/>
  <c r="I157" i="14"/>
  <c r="I155" i="14"/>
  <c r="I156" i="14"/>
  <c r="I160" i="14"/>
  <c r="I159" i="14"/>
  <c r="H151" i="14"/>
  <c r="I153" i="14"/>
  <c r="W159" i="14"/>
  <c r="W155" i="14"/>
  <c r="W154" i="14"/>
  <c r="V151" i="14"/>
  <c r="W160" i="14"/>
  <c r="W153" i="14"/>
  <c r="W157" i="14"/>
  <c r="W156" i="14"/>
  <c r="W158" i="14"/>
  <c r="G168" i="14"/>
  <c r="G166" i="14"/>
  <c r="G164" i="14"/>
  <c r="G162" i="14"/>
  <c r="G165" i="14"/>
  <c r="G179" i="14"/>
  <c r="G169" i="14"/>
  <c r="G161" i="14"/>
  <c r="G167" i="14"/>
  <c r="G163" i="14"/>
  <c r="R151" i="14"/>
  <c r="S157" i="14"/>
  <c r="S153" i="14"/>
  <c r="S155" i="14"/>
  <c r="S156" i="14"/>
  <c r="S154" i="14"/>
  <c r="S158" i="14"/>
  <c r="S160" i="14"/>
  <c r="S159" i="14"/>
  <c r="O102" i="14"/>
  <c r="O98" i="14"/>
  <c r="O104" i="14"/>
  <c r="O100" i="14"/>
  <c r="O97" i="14"/>
  <c r="O103" i="14"/>
  <c r="O101" i="14"/>
  <c r="O99" i="14"/>
  <c r="K104" i="14"/>
  <c r="K100" i="14"/>
  <c r="K102" i="14"/>
  <c r="K98" i="14"/>
  <c r="K99" i="14"/>
  <c r="K97" i="14"/>
  <c r="K103" i="14"/>
  <c r="K101" i="14"/>
  <c r="I93" i="14"/>
  <c r="I89" i="14"/>
  <c r="I95" i="14"/>
  <c r="I91" i="14"/>
  <c r="I87" i="14"/>
  <c r="I105" i="14"/>
  <c r="I88" i="14"/>
  <c r="I94" i="14"/>
  <c r="I92" i="14"/>
  <c r="I90" i="14"/>
  <c r="E113" i="14"/>
  <c r="E110" i="14"/>
  <c r="E106" i="14"/>
  <c r="E112" i="14"/>
  <c r="E108" i="14"/>
  <c r="E111" i="14"/>
  <c r="E109" i="14"/>
  <c r="E107" i="14"/>
  <c r="O94" i="14"/>
  <c r="O90" i="14"/>
  <c r="O92" i="14"/>
  <c r="O88" i="14"/>
  <c r="O89" i="14"/>
  <c r="O105" i="14"/>
  <c r="O95" i="14"/>
  <c r="O87" i="14"/>
  <c r="O93" i="14"/>
  <c r="O91" i="14"/>
  <c r="I127" i="14"/>
  <c r="I125" i="14"/>
  <c r="I126" i="14"/>
  <c r="I124" i="14"/>
  <c r="I128" i="14"/>
  <c r="M120" i="19"/>
  <c r="M116" i="19"/>
  <c r="M119" i="19"/>
  <c r="M117" i="19"/>
  <c r="M121" i="19"/>
  <c r="L114" i="19"/>
  <c r="M118" i="19"/>
  <c r="M122" i="19"/>
  <c r="S92" i="13"/>
  <c r="S88" i="13"/>
  <c r="S95" i="13"/>
  <c r="S91" i="13"/>
  <c r="S87" i="13"/>
  <c r="S105" i="13"/>
  <c r="S94" i="13"/>
  <c r="S90" i="13"/>
  <c r="S93" i="13"/>
  <c r="S89" i="13"/>
  <c r="K92" i="13"/>
  <c r="K88" i="13"/>
  <c r="K95" i="13"/>
  <c r="K91" i="13"/>
  <c r="K87" i="13"/>
  <c r="K105" i="13"/>
  <c r="K94" i="13"/>
  <c r="K90" i="13"/>
  <c r="K93" i="13"/>
  <c r="K89" i="13"/>
  <c r="C92" i="13"/>
  <c r="C88" i="13"/>
  <c r="C95" i="13"/>
  <c r="C91" i="13"/>
  <c r="C87" i="13"/>
  <c r="C94" i="13"/>
  <c r="C90" i="13"/>
  <c r="C105" i="13"/>
  <c r="C93" i="13"/>
  <c r="C89" i="13"/>
  <c r="J142" i="13"/>
  <c r="K142" i="13"/>
  <c r="K123" i="13"/>
  <c r="K115" i="13"/>
  <c r="X142" i="13"/>
  <c r="Y142" i="13"/>
  <c r="Y123" i="13"/>
  <c r="Y115" i="13"/>
  <c r="E199" i="23"/>
  <c r="E198" i="23"/>
  <c r="E202" i="23"/>
  <c r="E200" i="23"/>
  <c r="E201" i="23"/>
  <c r="S177" i="23"/>
  <c r="S173" i="23"/>
  <c r="S176" i="23"/>
  <c r="S174" i="23"/>
  <c r="S175" i="23"/>
  <c r="S172" i="23"/>
  <c r="S171" i="23"/>
  <c r="S178" i="23"/>
  <c r="K186" i="23"/>
  <c r="K184" i="23"/>
  <c r="K182" i="23"/>
  <c r="K180" i="23"/>
  <c r="K181" i="23"/>
  <c r="K187" i="23"/>
  <c r="K185" i="23"/>
  <c r="K183" i="23"/>
  <c r="W202" i="23"/>
  <c r="W198" i="23"/>
  <c r="W200" i="23"/>
  <c r="W201" i="23"/>
  <c r="W199" i="23"/>
  <c r="S92" i="23"/>
  <c r="S88" i="23"/>
  <c r="S95" i="23"/>
  <c r="S93" i="23"/>
  <c r="S105" i="23"/>
  <c r="S90" i="23"/>
  <c r="S91" i="23"/>
  <c r="S89" i="23"/>
  <c r="S94" i="23"/>
  <c r="S87" i="23"/>
  <c r="M95" i="23"/>
  <c r="M91" i="23"/>
  <c r="M87" i="23"/>
  <c r="M94" i="23"/>
  <c r="M92" i="23"/>
  <c r="M105" i="23"/>
  <c r="M89" i="23"/>
  <c r="M90" i="23"/>
  <c r="M88" i="23"/>
  <c r="M93" i="23"/>
  <c r="C111" i="23"/>
  <c r="C107" i="23"/>
  <c r="C110" i="23"/>
  <c r="C108" i="23"/>
  <c r="C112" i="23"/>
  <c r="C113" i="23"/>
  <c r="C106" i="23"/>
  <c r="C109" i="23"/>
  <c r="AA190" i="13"/>
  <c r="L77" i="29"/>
  <c r="M86" i="29"/>
  <c r="M82" i="29"/>
  <c r="M85" i="29"/>
  <c r="M81" i="29"/>
  <c r="M84" i="29"/>
  <c r="M80" i="29"/>
  <c r="M83" i="29"/>
  <c r="M79" i="29"/>
  <c r="I104" i="29"/>
  <c r="I100" i="29"/>
  <c r="I103" i="29"/>
  <c r="I99" i="29"/>
  <c r="I102" i="29"/>
  <c r="I98" i="29"/>
  <c r="I101" i="29"/>
  <c r="I97" i="29"/>
  <c r="G128" i="29"/>
  <c r="G127" i="29"/>
  <c r="G125" i="29"/>
  <c r="G126" i="29"/>
  <c r="G124" i="29"/>
  <c r="F188" i="29"/>
  <c r="G196" i="29"/>
  <c r="G192" i="29"/>
  <c r="G195" i="29"/>
  <c r="G191" i="29"/>
  <c r="G194" i="29"/>
  <c r="G190" i="29"/>
  <c r="G193" i="29"/>
  <c r="D188" i="29"/>
  <c r="E193" i="29"/>
  <c r="E196" i="29"/>
  <c r="E192" i="29"/>
  <c r="E195" i="29"/>
  <c r="E191" i="29"/>
  <c r="E194" i="29"/>
  <c r="E190" i="29"/>
  <c r="P151" i="29"/>
  <c r="Q157" i="29"/>
  <c r="Q153" i="29"/>
  <c r="Q160" i="29"/>
  <c r="Q158" i="29"/>
  <c r="Q155" i="29"/>
  <c r="Q154" i="29"/>
  <c r="Q156" i="29"/>
  <c r="Q159" i="29"/>
  <c r="Z152" i="13"/>
  <c r="E178" i="13"/>
  <c r="E174" i="13"/>
  <c r="E173" i="13"/>
  <c r="E171" i="13"/>
  <c r="E177" i="13"/>
  <c r="E175" i="13"/>
  <c r="E172" i="13"/>
  <c r="E176" i="13"/>
  <c r="S179" i="13"/>
  <c r="S167" i="13"/>
  <c r="S162" i="13"/>
  <c r="S168" i="13"/>
  <c r="S165" i="13"/>
  <c r="S166" i="13"/>
  <c r="S163" i="13"/>
  <c r="S169" i="13"/>
  <c r="S164" i="13"/>
  <c r="S161" i="13"/>
  <c r="K168" i="13"/>
  <c r="K165" i="13"/>
  <c r="K166" i="13"/>
  <c r="K163" i="13"/>
  <c r="K169" i="13"/>
  <c r="K164" i="13"/>
  <c r="K161" i="13"/>
  <c r="K179" i="13"/>
  <c r="K167" i="13"/>
  <c r="K162" i="13"/>
  <c r="C179" i="13"/>
  <c r="C166" i="13"/>
  <c r="C163" i="13"/>
  <c r="C169" i="13"/>
  <c r="C164" i="13"/>
  <c r="C161" i="13"/>
  <c r="C167" i="13"/>
  <c r="C162" i="13"/>
  <c r="C168" i="13"/>
  <c r="C165" i="13"/>
  <c r="W177" i="13"/>
  <c r="W173" i="13"/>
  <c r="W176" i="13"/>
  <c r="W174" i="13"/>
  <c r="W178" i="13"/>
  <c r="W171" i="13"/>
  <c r="W175" i="13"/>
  <c r="W172" i="13"/>
  <c r="U202" i="13"/>
  <c r="U198" i="13"/>
  <c r="U201" i="13"/>
  <c r="U199" i="13"/>
  <c r="U200" i="13"/>
  <c r="O56" i="13"/>
  <c r="O57" i="13"/>
  <c r="B130" i="13"/>
  <c r="C131" i="13"/>
  <c r="Z131" i="13"/>
  <c r="Z130" i="13"/>
  <c r="AA131" i="13"/>
  <c r="Q57" i="13"/>
  <c r="Q56" i="13"/>
  <c r="Q158" i="19"/>
  <c r="Q154" i="19"/>
  <c r="Q157" i="19"/>
  <c r="Q155" i="19"/>
  <c r="P151" i="19"/>
  <c r="Q159" i="19"/>
  <c r="Q156" i="19"/>
  <c r="Q160" i="19"/>
  <c r="Q153" i="19"/>
  <c r="U169" i="19"/>
  <c r="U164" i="19"/>
  <c r="U161" i="19"/>
  <c r="U167" i="19"/>
  <c r="U162" i="19"/>
  <c r="U168" i="19"/>
  <c r="U165" i="19"/>
  <c r="U179" i="19"/>
  <c r="U166" i="19"/>
  <c r="U163" i="19"/>
  <c r="E67" i="18"/>
  <c r="E61" i="18"/>
  <c r="E62" i="18"/>
  <c r="C67" i="20"/>
  <c r="C61" i="20"/>
  <c r="C62" i="20"/>
  <c r="M105" i="19"/>
  <c r="M94" i="19"/>
  <c r="M90" i="19"/>
  <c r="M89" i="19"/>
  <c r="M87" i="19"/>
  <c r="M93" i="19"/>
  <c r="M91" i="19"/>
  <c r="M95" i="19"/>
  <c r="M88" i="19"/>
  <c r="M92" i="19"/>
  <c r="W93" i="19"/>
  <c r="W89" i="19"/>
  <c r="W94" i="19"/>
  <c r="W87" i="19"/>
  <c r="W105" i="19"/>
  <c r="W91" i="19"/>
  <c r="W95" i="19"/>
  <c r="W88" i="19"/>
  <c r="W92" i="19"/>
  <c r="W90" i="19"/>
  <c r="G93" i="19"/>
  <c r="G89" i="19"/>
  <c r="G95" i="19"/>
  <c r="G88" i="19"/>
  <c r="G105" i="19"/>
  <c r="G92" i="19"/>
  <c r="G90" i="19"/>
  <c r="G94" i="19"/>
  <c r="G87" i="19"/>
  <c r="G91" i="19"/>
  <c r="Y122" i="19"/>
  <c r="Y118" i="19"/>
  <c r="Y121" i="19"/>
  <c r="Y119" i="19"/>
  <c r="Y116" i="19"/>
  <c r="Y120" i="19"/>
  <c r="X114" i="19"/>
  <c r="Y117" i="19"/>
  <c r="Q158" i="14"/>
  <c r="Q154" i="14"/>
  <c r="Q160" i="14"/>
  <c r="Q153" i="14"/>
  <c r="Q159" i="14"/>
  <c r="P151" i="14"/>
  <c r="Q157" i="14"/>
  <c r="Q156" i="14"/>
  <c r="Q155" i="14"/>
  <c r="C187" i="14"/>
  <c r="C184" i="14"/>
  <c r="C183" i="14"/>
  <c r="C180" i="14"/>
  <c r="C186" i="14"/>
  <c r="C185" i="14"/>
  <c r="C182" i="14"/>
  <c r="C181" i="14"/>
  <c r="E185" i="14"/>
  <c r="E183" i="14"/>
  <c r="E181" i="14"/>
  <c r="E182" i="14"/>
  <c r="E186" i="14"/>
  <c r="E187" i="14"/>
  <c r="E184" i="14"/>
  <c r="E180" i="14"/>
  <c r="W102" i="14"/>
  <c r="W98" i="14"/>
  <c r="W104" i="14"/>
  <c r="W100" i="14"/>
  <c r="W101" i="14"/>
  <c r="W99" i="14"/>
  <c r="W97" i="14"/>
  <c r="W103" i="14"/>
  <c r="S104" i="14"/>
  <c r="S100" i="14"/>
  <c r="S102" i="14"/>
  <c r="S98" i="14"/>
  <c r="S103" i="14"/>
  <c r="S101" i="14"/>
  <c r="S99" i="14"/>
  <c r="S97" i="14"/>
  <c r="Q93" i="14"/>
  <c r="Q89" i="14"/>
  <c r="Q95" i="14"/>
  <c r="Q91" i="14"/>
  <c r="Q87" i="14"/>
  <c r="Q105" i="14"/>
  <c r="Q92" i="14"/>
  <c r="Q90" i="14"/>
  <c r="Q88" i="14"/>
  <c r="Q94" i="14"/>
  <c r="M95" i="14"/>
  <c r="M91" i="14"/>
  <c r="M87" i="14"/>
  <c r="M93" i="14"/>
  <c r="M89" i="14"/>
  <c r="M94" i="14"/>
  <c r="M92" i="14"/>
  <c r="M105" i="14"/>
  <c r="M90" i="14"/>
  <c r="M88" i="14"/>
  <c r="Q127" i="14"/>
  <c r="Q125" i="14"/>
  <c r="Q128" i="14"/>
  <c r="Q126" i="14"/>
  <c r="Q124" i="14"/>
  <c r="G102" i="13"/>
  <c r="G98" i="13"/>
  <c r="G101" i="13"/>
  <c r="G97" i="13"/>
  <c r="G104" i="13"/>
  <c r="G100" i="13"/>
  <c r="G103" i="13"/>
  <c r="G99" i="13"/>
  <c r="AA200" i="23"/>
  <c r="AB49" i="23"/>
  <c r="AA199" i="23"/>
  <c r="AA198" i="23"/>
  <c r="AA202" i="23"/>
  <c r="AA51" i="23"/>
  <c r="AA201" i="23"/>
  <c r="AA50" i="23"/>
  <c r="AA52" i="23"/>
  <c r="AA54" i="23"/>
  <c r="AA53" i="23"/>
  <c r="G175" i="23"/>
  <c r="G171" i="23"/>
  <c r="G174" i="23"/>
  <c r="G172" i="23"/>
  <c r="G173" i="23"/>
  <c r="G177" i="23"/>
  <c r="G178" i="23"/>
  <c r="G176" i="23"/>
  <c r="I159" i="23"/>
  <c r="I155" i="23"/>
  <c r="I157" i="23"/>
  <c r="I158" i="23"/>
  <c r="I156" i="23"/>
  <c r="I160" i="23"/>
  <c r="I153" i="23"/>
  <c r="H151" i="23"/>
  <c r="I154" i="23"/>
  <c r="U179" i="23"/>
  <c r="U169" i="23"/>
  <c r="U167" i="23"/>
  <c r="U165" i="23"/>
  <c r="U163" i="23"/>
  <c r="U161" i="23"/>
  <c r="U166" i="23"/>
  <c r="U162" i="23"/>
  <c r="U168" i="23"/>
  <c r="U164" i="23"/>
  <c r="C158" i="23"/>
  <c r="C154" i="23"/>
  <c r="C156" i="23"/>
  <c r="C157" i="23"/>
  <c r="C155" i="23"/>
  <c r="C159" i="23"/>
  <c r="B151" i="23"/>
  <c r="C160" i="23"/>
  <c r="C153" i="23"/>
  <c r="G86" i="23"/>
  <c r="G82" i="23"/>
  <c r="F77" i="23"/>
  <c r="G84" i="23"/>
  <c r="G81" i="23"/>
  <c r="G79" i="23"/>
  <c r="G80" i="23"/>
  <c r="G83" i="23"/>
  <c r="G85" i="23"/>
  <c r="I85" i="23"/>
  <c r="I81" i="23"/>
  <c r="I86" i="23"/>
  <c r="I79" i="23"/>
  <c r="I83" i="23"/>
  <c r="I84" i="23"/>
  <c r="I82" i="23"/>
  <c r="H77" i="23"/>
  <c r="I80" i="23"/>
  <c r="M83" i="23"/>
  <c r="M79" i="23"/>
  <c r="M85" i="23"/>
  <c r="M82" i="23"/>
  <c r="M80" i="23"/>
  <c r="M81" i="23"/>
  <c r="M86" i="23"/>
  <c r="L77" i="23"/>
  <c r="M84" i="23"/>
  <c r="Y113" i="23"/>
  <c r="Y112" i="23"/>
  <c r="Y108" i="23"/>
  <c r="Y110" i="23"/>
  <c r="Y107" i="23"/>
  <c r="Y106" i="23"/>
  <c r="Y111" i="23"/>
  <c r="Y109" i="23"/>
  <c r="S103" i="29"/>
  <c r="S99" i="29"/>
  <c r="S102" i="29"/>
  <c r="S98" i="29"/>
  <c r="S101" i="29"/>
  <c r="S97" i="29"/>
  <c r="S104" i="29"/>
  <c r="S100" i="29"/>
  <c r="T114" i="29"/>
  <c r="U120" i="29"/>
  <c r="U116" i="29"/>
  <c r="U119" i="29"/>
  <c r="U117" i="29"/>
  <c r="U121" i="29"/>
  <c r="U118" i="29"/>
  <c r="U122" i="29"/>
  <c r="Y122" i="29"/>
  <c r="Y118" i="29"/>
  <c r="X114" i="29"/>
  <c r="Y116" i="29"/>
  <c r="Y120" i="29"/>
  <c r="Y117" i="29"/>
  <c r="Y121" i="29"/>
  <c r="Y119" i="29"/>
  <c r="V142" i="29"/>
  <c r="W142" i="29"/>
  <c r="W123" i="29"/>
  <c r="W115" i="29"/>
  <c r="N151" i="29"/>
  <c r="O158" i="29"/>
  <c r="O154" i="29"/>
  <c r="O156" i="29"/>
  <c r="O160" i="29"/>
  <c r="O159" i="29"/>
  <c r="O155" i="29"/>
  <c r="O157" i="29"/>
  <c r="O153" i="29"/>
  <c r="G199" i="29"/>
  <c r="G202" i="29"/>
  <c r="G200" i="29"/>
  <c r="G201" i="29"/>
  <c r="G198" i="29"/>
  <c r="E200" i="29"/>
  <c r="E198" i="29"/>
  <c r="E202" i="29"/>
  <c r="E199" i="29"/>
  <c r="E201" i="29"/>
  <c r="B114" i="29"/>
  <c r="C121" i="29"/>
  <c r="C117" i="29"/>
  <c r="C116" i="29"/>
  <c r="C120" i="29"/>
  <c r="C118" i="29"/>
  <c r="C122" i="29"/>
  <c r="C119" i="29"/>
  <c r="AA167" i="29"/>
  <c r="AA162" i="29"/>
  <c r="AA168" i="29"/>
  <c r="AA166" i="29"/>
  <c r="AA165" i="29"/>
  <c r="AA164" i="29"/>
  <c r="AA163" i="29"/>
  <c r="AA161" i="29"/>
  <c r="AA169" i="29"/>
  <c r="AB13" i="29"/>
  <c r="AA21" i="29"/>
  <c r="AA19" i="29"/>
  <c r="AA17" i="29"/>
  <c r="AA15" i="29"/>
  <c r="AA13" i="29"/>
  <c r="AA20" i="29"/>
  <c r="AA18" i="29"/>
  <c r="AA16" i="29"/>
  <c r="AA14" i="29"/>
  <c r="D151" i="29"/>
  <c r="E159" i="29"/>
  <c r="E155" i="29"/>
  <c r="E158" i="29"/>
  <c r="E156" i="29"/>
  <c r="E157" i="29"/>
  <c r="E153" i="29"/>
  <c r="E160" i="29"/>
  <c r="E154" i="29"/>
  <c r="S201" i="29"/>
  <c r="S202" i="29"/>
  <c r="S199" i="29"/>
  <c r="S200" i="29"/>
  <c r="S198" i="29"/>
  <c r="Q84" i="29"/>
  <c r="Q80" i="29"/>
  <c r="Q83" i="29"/>
  <c r="Q79" i="29"/>
  <c r="Q86" i="29"/>
  <c r="Q82" i="29"/>
  <c r="P77" i="29"/>
  <c r="Q85" i="29"/>
  <c r="Q81" i="29"/>
  <c r="H77" i="29"/>
  <c r="S175" i="13"/>
  <c r="S171" i="13"/>
  <c r="S177" i="13"/>
  <c r="S174" i="13"/>
  <c r="S172" i="13"/>
  <c r="S178" i="13"/>
  <c r="S176" i="13"/>
  <c r="S173" i="13"/>
  <c r="O177" i="13"/>
  <c r="O173" i="13"/>
  <c r="O178" i="13"/>
  <c r="O171" i="13"/>
  <c r="O175" i="13"/>
  <c r="O172" i="13"/>
  <c r="O176" i="13"/>
  <c r="O174" i="13"/>
  <c r="V188" i="13"/>
  <c r="W193" i="13"/>
  <c r="W196" i="13"/>
  <c r="W194" i="13"/>
  <c r="W191" i="13"/>
  <c r="W195" i="13"/>
  <c r="W192" i="13"/>
  <c r="W190" i="13"/>
  <c r="S189" i="14"/>
  <c r="S197" i="14"/>
  <c r="R216" i="14"/>
  <c r="S216" i="14"/>
  <c r="Z115" i="13"/>
  <c r="I68" i="18"/>
  <c r="I71" i="18"/>
  <c r="I69" i="18"/>
  <c r="I70" i="18"/>
  <c r="J66" i="20"/>
  <c r="J57" i="20"/>
  <c r="J64" i="20"/>
  <c r="J71" i="20"/>
  <c r="W178" i="19"/>
  <c r="W174" i="19"/>
  <c r="W177" i="19"/>
  <c r="W175" i="19"/>
  <c r="W172" i="19"/>
  <c r="W176" i="19"/>
  <c r="W173" i="19"/>
  <c r="W171" i="19"/>
  <c r="I179" i="19"/>
  <c r="I169" i="19"/>
  <c r="I166" i="19"/>
  <c r="I161" i="19"/>
  <c r="I167" i="19"/>
  <c r="I164" i="19"/>
  <c r="I165" i="19"/>
  <c r="I162" i="19"/>
  <c r="I168" i="19"/>
  <c r="I163" i="19"/>
  <c r="C169" i="19"/>
  <c r="C167" i="19"/>
  <c r="C165" i="19"/>
  <c r="C163" i="19"/>
  <c r="C161" i="19"/>
  <c r="C179" i="19"/>
  <c r="C162" i="19"/>
  <c r="C168" i="19"/>
  <c r="C166" i="19"/>
  <c r="C164" i="19"/>
  <c r="M200" i="19"/>
  <c r="M201" i="19"/>
  <c r="M198" i="19"/>
  <c r="M202" i="19"/>
  <c r="M199" i="19"/>
  <c r="U102" i="19"/>
  <c r="U98" i="19"/>
  <c r="U101" i="19"/>
  <c r="U99" i="19"/>
  <c r="U103" i="19"/>
  <c r="U100" i="19"/>
  <c r="U104" i="19"/>
  <c r="U97" i="19"/>
  <c r="Z78" i="19"/>
  <c r="Y105" i="19"/>
  <c r="Y92" i="19"/>
  <c r="Y88" i="19"/>
  <c r="Y91" i="19"/>
  <c r="Y89" i="19"/>
  <c r="Y95" i="19"/>
  <c r="Y93" i="19"/>
  <c r="Y90" i="19"/>
  <c r="Y94" i="19"/>
  <c r="Y87" i="19"/>
  <c r="D67" i="20"/>
  <c r="D61" i="20"/>
  <c r="D62" i="20"/>
  <c r="Z161" i="14"/>
  <c r="AA161" i="14"/>
  <c r="Y113" i="14"/>
  <c r="Y112" i="14"/>
  <c r="Y108" i="14"/>
  <c r="Y110" i="14"/>
  <c r="Y106" i="14"/>
  <c r="Y111" i="14"/>
  <c r="Y109" i="14"/>
  <c r="Y107" i="14"/>
  <c r="U103" i="14"/>
  <c r="U99" i="14"/>
  <c r="U101" i="14"/>
  <c r="U97" i="14"/>
  <c r="U98" i="14"/>
  <c r="U104" i="14"/>
  <c r="U102" i="14"/>
  <c r="U100" i="14"/>
  <c r="Y127" i="14"/>
  <c r="Y125" i="14"/>
  <c r="Y126" i="14"/>
  <c r="Y124" i="14"/>
  <c r="Y128" i="14"/>
  <c r="O102" i="13"/>
  <c r="O98" i="13"/>
  <c r="O101" i="13"/>
  <c r="O97" i="13"/>
  <c r="O104" i="13"/>
  <c r="O100" i="13"/>
  <c r="O103" i="13"/>
  <c r="O99" i="13"/>
  <c r="S113" i="13"/>
  <c r="S110" i="13"/>
  <c r="S106" i="13"/>
  <c r="S109" i="13"/>
  <c r="S112" i="13"/>
  <c r="S108" i="13"/>
  <c r="S111" i="13"/>
  <c r="S107" i="13"/>
  <c r="K113" i="13"/>
  <c r="K110" i="13"/>
  <c r="K106" i="13"/>
  <c r="K109" i="13"/>
  <c r="K112" i="13"/>
  <c r="K108" i="13"/>
  <c r="K111" i="13"/>
  <c r="K107" i="13"/>
  <c r="Z105" i="13"/>
  <c r="Z40" i="23"/>
  <c r="AA196" i="23"/>
  <c r="AA192" i="23"/>
  <c r="AA190" i="23"/>
  <c r="AB41" i="23"/>
  <c r="AA191" i="23"/>
  <c r="AA195" i="23"/>
  <c r="AA193" i="23"/>
  <c r="AA47" i="23"/>
  <c r="AA43" i="23"/>
  <c r="AA45" i="23"/>
  <c r="AA194" i="23"/>
  <c r="AA42" i="23"/>
  <c r="AA48" i="23"/>
  <c r="AA46" i="23"/>
  <c r="AA44" i="23"/>
  <c r="S196" i="23"/>
  <c r="S192" i="23"/>
  <c r="R188" i="23"/>
  <c r="S194" i="23"/>
  <c r="S195" i="23"/>
  <c r="S193" i="23"/>
  <c r="S190" i="23"/>
  <c r="S191" i="23"/>
  <c r="O160" i="23"/>
  <c r="O156" i="23"/>
  <c r="N151" i="23"/>
  <c r="O158" i="23"/>
  <c r="O159" i="23"/>
  <c r="O157" i="23"/>
  <c r="O154" i="23"/>
  <c r="O155" i="23"/>
  <c r="O153" i="23"/>
  <c r="I201" i="23"/>
  <c r="I202" i="23"/>
  <c r="I199" i="23"/>
  <c r="I200" i="23"/>
  <c r="I198" i="23"/>
  <c r="O109" i="23"/>
  <c r="O112" i="23"/>
  <c r="O110" i="23"/>
  <c r="O107" i="23"/>
  <c r="O108" i="23"/>
  <c r="O106" i="23"/>
  <c r="O113" i="23"/>
  <c r="O111" i="23"/>
  <c r="J77" i="23"/>
  <c r="K84" i="23"/>
  <c r="K80" i="23"/>
  <c r="K83" i="23"/>
  <c r="K81" i="23"/>
  <c r="K85" i="23"/>
  <c r="K86" i="23"/>
  <c r="K79" i="23"/>
  <c r="K82" i="23"/>
  <c r="W94" i="23"/>
  <c r="W90" i="23"/>
  <c r="W92" i="23"/>
  <c r="W89" i="23"/>
  <c r="W87" i="23"/>
  <c r="W95" i="23"/>
  <c r="W88" i="23"/>
  <c r="W93" i="23"/>
  <c r="W91" i="23"/>
  <c r="W105" i="23"/>
  <c r="W128" i="29"/>
  <c r="W127" i="29"/>
  <c r="W125" i="29"/>
  <c r="W126" i="29"/>
  <c r="W124" i="29"/>
  <c r="U178" i="29"/>
  <c r="U174" i="29"/>
  <c r="U176" i="29"/>
  <c r="U175" i="29"/>
  <c r="U177" i="29"/>
  <c r="U171" i="29"/>
  <c r="U173" i="29"/>
  <c r="U172" i="29"/>
  <c r="Z96" i="29"/>
  <c r="P151" i="13"/>
  <c r="Q158" i="13"/>
  <c r="Q154" i="13"/>
  <c r="Q157" i="13"/>
  <c r="Q153" i="13"/>
  <c r="Q160" i="13"/>
  <c r="Q156" i="13"/>
  <c r="Q159" i="13"/>
  <c r="Q155" i="13"/>
  <c r="U186" i="13"/>
  <c r="U184" i="13"/>
  <c r="U182" i="13"/>
  <c r="U180" i="13"/>
  <c r="U185" i="13"/>
  <c r="U183" i="13"/>
  <c r="U187" i="13"/>
  <c r="U181" i="13"/>
  <c r="M186" i="13"/>
  <c r="M184" i="13"/>
  <c r="M182" i="13"/>
  <c r="M180" i="13"/>
  <c r="M183" i="13"/>
  <c r="M187" i="13"/>
  <c r="M181" i="13"/>
  <c r="M185" i="13"/>
  <c r="E186" i="13"/>
  <c r="E184" i="13"/>
  <c r="E182" i="13"/>
  <c r="E180" i="13"/>
  <c r="E187" i="13"/>
  <c r="E181" i="13"/>
  <c r="E185" i="13"/>
  <c r="E183" i="13"/>
  <c r="Y200" i="13"/>
  <c r="Y198" i="13"/>
  <c r="Y202" i="13"/>
  <c r="Y199" i="13"/>
  <c r="Y201" i="13"/>
  <c r="S193" i="19"/>
  <c r="R188" i="19"/>
  <c r="S195" i="19"/>
  <c r="S192" i="19"/>
  <c r="S190" i="19"/>
  <c r="S196" i="19"/>
  <c r="S194" i="19"/>
  <c r="S191" i="19"/>
  <c r="O54" i="20"/>
  <c r="M167" i="19"/>
  <c r="M162" i="19"/>
  <c r="M179" i="19"/>
  <c r="M168" i="19"/>
  <c r="M165" i="19"/>
  <c r="M166" i="19"/>
  <c r="M163" i="19"/>
  <c r="M169" i="19"/>
  <c r="M164" i="19"/>
  <c r="M161" i="19"/>
  <c r="Z57" i="19"/>
  <c r="Z56" i="19"/>
  <c r="AA57" i="19"/>
  <c r="B56" i="19"/>
  <c r="K67" i="16"/>
  <c r="K61" i="16"/>
  <c r="K62" i="16"/>
  <c r="C67" i="16"/>
  <c r="C61" i="16"/>
  <c r="C62" i="16"/>
  <c r="M128" i="19"/>
  <c r="M124" i="19"/>
  <c r="M126" i="19"/>
  <c r="M127" i="19"/>
  <c r="M125" i="19"/>
  <c r="E175" i="14"/>
  <c r="E171" i="14"/>
  <c r="E177" i="14"/>
  <c r="E178" i="14"/>
  <c r="E176" i="14"/>
  <c r="E174" i="14"/>
  <c r="E173" i="14"/>
  <c r="E172" i="14"/>
  <c r="Y167" i="14"/>
  <c r="Y164" i="14"/>
  <c r="Y168" i="14"/>
  <c r="Y163" i="14"/>
  <c r="Y161" i="14"/>
  <c r="Y179" i="14"/>
  <c r="Y169" i="14"/>
  <c r="Y166" i="14"/>
  <c r="Y165" i="14"/>
  <c r="Y162" i="14"/>
  <c r="Z152" i="14"/>
  <c r="C104" i="14"/>
  <c r="C100" i="14"/>
  <c r="C102" i="14"/>
  <c r="C98" i="14"/>
  <c r="C103" i="14"/>
  <c r="C101" i="14"/>
  <c r="C99" i="14"/>
  <c r="C97" i="14"/>
  <c r="O120" i="14"/>
  <c r="O116" i="14"/>
  <c r="N114" i="14"/>
  <c r="O122" i="14"/>
  <c r="O118" i="14"/>
  <c r="O119" i="14"/>
  <c r="O117" i="14"/>
  <c r="O121" i="14"/>
  <c r="Y101" i="13"/>
  <c r="Y97" i="13"/>
  <c r="Y104" i="13"/>
  <c r="Y100" i="13"/>
  <c r="Y103" i="13"/>
  <c r="Y99" i="13"/>
  <c r="Y102" i="13"/>
  <c r="Y98" i="13"/>
  <c r="J142" i="23"/>
  <c r="K142" i="23"/>
  <c r="K123" i="23"/>
  <c r="K115" i="23"/>
  <c r="I193" i="23"/>
  <c r="I196" i="23"/>
  <c r="I194" i="23"/>
  <c r="I195" i="23"/>
  <c r="I192" i="23"/>
  <c r="I190" i="23"/>
  <c r="H188" i="23"/>
  <c r="I191" i="23"/>
  <c r="W175" i="23"/>
  <c r="W171" i="23"/>
  <c r="W173" i="23"/>
  <c r="W174" i="23"/>
  <c r="W172" i="23"/>
  <c r="W178" i="23"/>
  <c r="W176" i="23"/>
  <c r="W177" i="23"/>
  <c r="E176" i="23"/>
  <c r="E172" i="23"/>
  <c r="E177" i="23"/>
  <c r="E178" i="23"/>
  <c r="E171" i="23"/>
  <c r="E175" i="23"/>
  <c r="E173" i="23"/>
  <c r="E174" i="23"/>
  <c r="C167" i="23"/>
  <c r="C164" i="23"/>
  <c r="C168" i="23"/>
  <c r="C163" i="23"/>
  <c r="C169" i="23"/>
  <c r="C166" i="23"/>
  <c r="C161" i="23"/>
  <c r="C165" i="23"/>
  <c r="C162" i="23"/>
  <c r="C179" i="23"/>
  <c r="W86" i="23"/>
  <c r="W82" i="23"/>
  <c r="W85" i="23"/>
  <c r="W83" i="23"/>
  <c r="W80" i="23"/>
  <c r="W81" i="23"/>
  <c r="W79" i="23"/>
  <c r="W84" i="23"/>
  <c r="V77" i="23"/>
  <c r="K104" i="23"/>
  <c r="K100" i="23"/>
  <c r="K99" i="23"/>
  <c r="K97" i="23"/>
  <c r="K103" i="23"/>
  <c r="K101" i="23"/>
  <c r="K102" i="23"/>
  <c r="K98" i="23"/>
  <c r="B77" i="29"/>
  <c r="Z170" i="13"/>
  <c r="H151" i="13"/>
  <c r="I158" i="13"/>
  <c r="I154" i="13"/>
  <c r="I157" i="13"/>
  <c r="I153" i="13"/>
  <c r="I160" i="13"/>
  <c r="I156" i="13"/>
  <c r="I159" i="13"/>
  <c r="I155" i="13"/>
  <c r="K199" i="13"/>
  <c r="K201" i="13"/>
  <c r="K198" i="13"/>
  <c r="K202" i="13"/>
  <c r="K200" i="13"/>
  <c r="C56" i="14"/>
  <c r="C197" i="14"/>
  <c r="C189" i="14"/>
  <c r="B216" i="14"/>
  <c r="C216" i="14"/>
  <c r="L61" i="20"/>
  <c r="L62" i="20"/>
  <c r="L67" i="20"/>
  <c r="K66" i="20"/>
  <c r="K64" i="20"/>
  <c r="K57" i="20"/>
  <c r="G178" i="19"/>
  <c r="G174" i="19"/>
  <c r="G176" i="19"/>
  <c r="G173" i="19"/>
  <c r="G171" i="19"/>
  <c r="G177" i="19"/>
  <c r="G175" i="19"/>
  <c r="G172" i="19"/>
  <c r="E160" i="19"/>
  <c r="E156" i="19"/>
  <c r="D151" i="19"/>
  <c r="E155" i="19"/>
  <c r="E153" i="19"/>
  <c r="E159" i="19"/>
  <c r="E157" i="19"/>
  <c r="E154" i="19"/>
  <c r="E158" i="19"/>
  <c r="K176" i="19"/>
  <c r="K172" i="19"/>
  <c r="K175" i="19"/>
  <c r="K173" i="19"/>
  <c r="K177" i="19"/>
  <c r="K174" i="19"/>
  <c r="K178" i="19"/>
  <c r="K171" i="19"/>
  <c r="M175" i="19"/>
  <c r="M171" i="19"/>
  <c r="M177" i="19"/>
  <c r="M174" i="19"/>
  <c r="M172" i="19"/>
  <c r="M178" i="19"/>
  <c r="M176" i="19"/>
  <c r="M173" i="19"/>
  <c r="Z152" i="19"/>
  <c r="K193" i="19"/>
  <c r="K192" i="19"/>
  <c r="K190" i="19"/>
  <c r="K196" i="19"/>
  <c r="K194" i="19"/>
  <c r="J188" i="19"/>
  <c r="K191" i="19"/>
  <c r="K195" i="19"/>
  <c r="O60" i="18"/>
  <c r="O56" i="18"/>
  <c r="E67" i="20"/>
  <c r="E61" i="20"/>
  <c r="E62" i="20"/>
  <c r="E102" i="19"/>
  <c r="E98" i="19"/>
  <c r="E100" i="19"/>
  <c r="E104" i="19"/>
  <c r="E97" i="19"/>
  <c r="E101" i="19"/>
  <c r="E99" i="19"/>
  <c r="E103" i="19"/>
  <c r="K103" i="19"/>
  <c r="K99" i="19"/>
  <c r="K101" i="19"/>
  <c r="K98" i="19"/>
  <c r="K102" i="19"/>
  <c r="K100" i="19"/>
  <c r="K104" i="19"/>
  <c r="K97" i="19"/>
  <c r="C103" i="19"/>
  <c r="C99" i="19"/>
  <c r="C98" i="19"/>
  <c r="C102" i="19"/>
  <c r="C100" i="19"/>
  <c r="C104" i="19"/>
  <c r="C97" i="19"/>
  <c r="C101" i="19"/>
  <c r="Z87" i="19"/>
  <c r="Z115" i="19"/>
  <c r="Z197" i="19"/>
  <c r="Q177" i="14"/>
  <c r="Q173" i="14"/>
  <c r="Q172" i="14"/>
  <c r="Q178" i="14"/>
  <c r="Q171" i="14"/>
  <c r="Q176" i="14"/>
  <c r="Q175" i="14"/>
  <c r="Q174" i="14"/>
  <c r="J151" i="14"/>
  <c r="K157" i="14"/>
  <c r="K153" i="14"/>
  <c r="K159" i="14"/>
  <c r="K160" i="14"/>
  <c r="K158" i="14"/>
  <c r="K155" i="14"/>
  <c r="K154" i="14"/>
  <c r="K156" i="14"/>
  <c r="Q186" i="14"/>
  <c r="Q184" i="14"/>
  <c r="Q182" i="14"/>
  <c r="Q180" i="14"/>
  <c r="Q185" i="14"/>
  <c r="Q187" i="14"/>
  <c r="Q181" i="14"/>
  <c r="Q183" i="14"/>
  <c r="O159" i="14"/>
  <c r="O155" i="14"/>
  <c r="O158" i="14"/>
  <c r="O156" i="14"/>
  <c r="N151" i="14"/>
  <c r="O157" i="14"/>
  <c r="O154" i="14"/>
  <c r="O153" i="14"/>
  <c r="O160" i="14"/>
  <c r="N77" i="14"/>
  <c r="O86" i="14"/>
  <c r="O82" i="14"/>
  <c r="O84" i="14"/>
  <c r="O80" i="14"/>
  <c r="O81" i="14"/>
  <c r="O79" i="14"/>
  <c r="O85" i="14"/>
  <c r="O83" i="14"/>
  <c r="J77" i="14"/>
  <c r="K84" i="14"/>
  <c r="K80" i="14"/>
  <c r="K86" i="14"/>
  <c r="K82" i="14"/>
  <c r="K83" i="14"/>
  <c r="K81" i="14"/>
  <c r="K79" i="14"/>
  <c r="K85" i="14"/>
  <c r="E95" i="14"/>
  <c r="E91" i="14"/>
  <c r="E87" i="14"/>
  <c r="E93" i="14"/>
  <c r="E89" i="14"/>
  <c r="E90" i="14"/>
  <c r="E88" i="14"/>
  <c r="E105" i="14"/>
  <c r="E94" i="14"/>
  <c r="E92" i="14"/>
  <c r="C111" i="14"/>
  <c r="C107" i="14"/>
  <c r="C113" i="14"/>
  <c r="C109" i="14"/>
  <c r="C110" i="14"/>
  <c r="C108" i="14"/>
  <c r="C106" i="14"/>
  <c r="C112" i="14"/>
  <c r="G109" i="14"/>
  <c r="G113" i="14"/>
  <c r="G111" i="14"/>
  <c r="G107" i="14"/>
  <c r="G108" i="14"/>
  <c r="G106" i="14"/>
  <c r="G112" i="14"/>
  <c r="G110" i="14"/>
  <c r="K92" i="14"/>
  <c r="K88" i="14"/>
  <c r="K94" i="14"/>
  <c r="K90" i="14"/>
  <c r="K91" i="14"/>
  <c r="K89" i="14"/>
  <c r="K95" i="14"/>
  <c r="K87" i="14"/>
  <c r="K105" i="14"/>
  <c r="K93" i="14"/>
  <c r="K122" i="14"/>
  <c r="K118" i="14"/>
  <c r="J114" i="14"/>
  <c r="K120" i="14"/>
  <c r="K116" i="14"/>
  <c r="K121" i="14"/>
  <c r="K119" i="14"/>
  <c r="K117" i="14"/>
  <c r="O128" i="14"/>
  <c r="O124" i="14"/>
  <c r="O126" i="14"/>
  <c r="O127" i="14"/>
  <c r="O125" i="14"/>
  <c r="Y93" i="13"/>
  <c r="Y89" i="13"/>
  <c r="Y92" i="13"/>
  <c r="Y88" i="13"/>
  <c r="Y95" i="13"/>
  <c r="Y91" i="13"/>
  <c r="Y87" i="13"/>
  <c r="Y105" i="13"/>
  <c r="Y94" i="13"/>
  <c r="Y90" i="13"/>
  <c r="Q93" i="13"/>
  <c r="Q89" i="13"/>
  <c r="Q92" i="13"/>
  <c r="Q88" i="13"/>
  <c r="Q95" i="13"/>
  <c r="Q91" i="13"/>
  <c r="Q87" i="13"/>
  <c r="Q105" i="13"/>
  <c r="Q94" i="13"/>
  <c r="Q90" i="13"/>
  <c r="I93" i="13"/>
  <c r="I89" i="13"/>
  <c r="I92" i="13"/>
  <c r="I88" i="13"/>
  <c r="I87" i="13"/>
  <c r="I95" i="13"/>
  <c r="I91" i="13"/>
  <c r="I105" i="13"/>
  <c r="I94" i="13"/>
  <c r="I90" i="13"/>
  <c r="Z87" i="13"/>
  <c r="I125" i="13"/>
  <c r="I128" i="13"/>
  <c r="I124" i="13"/>
  <c r="I127" i="13"/>
  <c r="I126" i="13"/>
  <c r="M199" i="23"/>
  <c r="M202" i="23"/>
  <c r="M200" i="23"/>
  <c r="M201" i="23"/>
  <c r="M198" i="23"/>
  <c r="W169" i="23"/>
  <c r="W164" i="23"/>
  <c r="W161" i="23"/>
  <c r="W179" i="23"/>
  <c r="W168" i="23"/>
  <c r="W165" i="23"/>
  <c r="W166" i="23"/>
  <c r="W163" i="23"/>
  <c r="W167" i="23"/>
  <c r="W162" i="23"/>
  <c r="Q113" i="23"/>
  <c r="Q112" i="23"/>
  <c r="Q108" i="23"/>
  <c r="Q107" i="23"/>
  <c r="Q111" i="23"/>
  <c r="Q109" i="23"/>
  <c r="Q110" i="23"/>
  <c r="Q106" i="23"/>
  <c r="T77" i="23"/>
  <c r="U83" i="23"/>
  <c r="U79" i="23"/>
  <c r="U81" i="23"/>
  <c r="U85" i="23"/>
  <c r="U86" i="23"/>
  <c r="U84" i="23"/>
  <c r="U82" i="23"/>
  <c r="U80" i="23"/>
  <c r="Z105" i="23"/>
  <c r="R77" i="29"/>
  <c r="S83" i="29"/>
  <c r="S79" i="29"/>
  <c r="S86" i="29"/>
  <c r="S82" i="29"/>
  <c r="S85" i="29"/>
  <c r="S81" i="29"/>
  <c r="S84" i="29"/>
  <c r="S80" i="29"/>
  <c r="L114" i="29"/>
  <c r="M120" i="29"/>
  <c r="M116" i="29"/>
  <c r="M121" i="29"/>
  <c r="M118" i="29"/>
  <c r="M122" i="29"/>
  <c r="M119" i="29"/>
  <c r="M117" i="29"/>
  <c r="Z123" i="29"/>
  <c r="L188" i="29"/>
  <c r="M193" i="29"/>
  <c r="M196" i="29"/>
  <c r="M192" i="29"/>
  <c r="M195" i="29"/>
  <c r="M191" i="29"/>
  <c r="M194" i="29"/>
  <c r="M190" i="29"/>
  <c r="Z197" i="29"/>
  <c r="I176" i="29"/>
  <c r="I172" i="29"/>
  <c r="I174" i="29"/>
  <c r="I171" i="29"/>
  <c r="I178" i="29"/>
  <c r="I177" i="29"/>
  <c r="I173" i="29"/>
  <c r="I175" i="29"/>
  <c r="J188" i="29"/>
  <c r="K194" i="29"/>
  <c r="K190" i="29"/>
  <c r="K193" i="29"/>
  <c r="K196" i="29"/>
  <c r="K192" i="29"/>
  <c r="K195" i="29"/>
  <c r="K191" i="29"/>
  <c r="Y179" i="13"/>
  <c r="Y169" i="13"/>
  <c r="Y167" i="13"/>
  <c r="Y165" i="13"/>
  <c r="Y163" i="13"/>
  <c r="Y161" i="13"/>
  <c r="Y166" i="13"/>
  <c r="Y164" i="13"/>
  <c r="Y162" i="13"/>
  <c r="Y168" i="13"/>
  <c r="Q179" i="13"/>
  <c r="Q169" i="13"/>
  <c r="Q167" i="13"/>
  <c r="Q165" i="13"/>
  <c r="Q163" i="13"/>
  <c r="Q161" i="13"/>
  <c r="Q164" i="13"/>
  <c r="Q162" i="13"/>
  <c r="Q168" i="13"/>
  <c r="Q166" i="13"/>
  <c r="I179" i="13"/>
  <c r="I169" i="13"/>
  <c r="I167" i="13"/>
  <c r="I165" i="13"/>
  <c r="I163" i="13"/>
  <c r="I161" i="13"/>
  <c r="I162" i="13"/>
  <c r="I168" i="13"/>
  <c r="I166" i="13"/>
  <c r="I164" i="13"/>
  <c r="AA162" i="13"/>
  <c r="Z161" i="13"/>
  <c r="AA161" i="13"/>
  <c r="I200" i="13"/>
  <c r="I199" i="13"/>
  <c r="I201" i="13"/>
  <c r="I198" i="13"/>
  <c r="I202" i="13"/>
  <c r="S199" i="13"/>
  <c r="S201" i="13"/>
  <c r="S198" i="13"/>
  <c r="S202" i="13"/>
  <c r="S200" i="13"/>
  <c r="W57" i="13"/>
  <c r="W56" i="13"/>
  <c r="I57" i="13"/>
  <c r="I56" i="13"/>
  <c r="H58" i="13"/>
  <c r="G199" i="19"/>
  <c r="G202" i="19"/>
  <c r="G200" i="19"/>
  <c r="G201" i="19"/>
  <c r="G198" i="19"/>
  <c r="C57" i="16"/>
  <c r="C64" i="16"/>
  <c r="C66" i="16"/>
  <c r="Q177" i="19"/>
  <c r="Q173" i="19"/>
  <c r="Q176" i="19"/>
  <c r="Q174" i="19"/>
  <c r="Q178" i="19"/>
  <c r="Q171" i="19"/>
  <c r="Q175" i="19"/>
  <c r="Q172" i="19"/>
  <c r="E168" i="19"/>
  <c r="E165" i="19"/>
  <c r="E166" i="19"/>
  <c r="E163" i="19"/>
  <c r="E169" i="19"/>
  <c r="E164" i="19"/>
  <c r="E161" i="19"/>
  <c r="E179" i="19"/>
  <c r="E167" i="19"/>
  <c r="E162" i="19"/>
  <c r="S176" i="19"/>
  <c r="S172" i="19"/>
  <c r="S178" i="19"/>
  <c r="S171" i="19"/>
  <c r="S175" i="19"/>
  <c r="S173" i="19"/>
  <c r="S177" i="19"/>
  <c r="S174" i="19"/>
  <c r="M196" i="19"/>
  <c r="M192" i="19"/>
  <c r="L188" i="19"/>
  <c r="M194" i="19"/>
  <c r="M191" i="19"/>
  <c r="M195" i="19"/>
  <c r="M193" i="19"/>
  <c r="M190" i="19"/>
  <c r="S201" i="19"/>
  <c r="S202" i="19"/>
  <c r="S199" i="19"/>
  <c r="S200" i="19"/>
  <c r="S198" i="19"/>
  <c r="K61" i="20"/>
  <c r="K62" i="20"/>
  <c r="K67" i="20"/>
  <c r="M86" i="19"/>
  <c r="M82" i="19"/>
  <c r="M80" i="19"/>
  <c r="M84" i="19"/>
  <c r="L77" i="19"/>
  <c r="M81" i="19"/>
  <c r="M79" i="19"/>
  <c r="M85" i="19"/>
  <c r="M83" i="19"/>
  <c r="O101" i="19"/>
  <c r="O97" i="19"/>
  <c r="O100" i="19"/>
  <c r="O98" i="19"/>
  <c r="O104" i="19"/>
  <c r="O102" i="19"/>
  <c r="O99" i="19"/>
  <c r="O103" i="19"/>
  <c r="I105" i="19"/>
  <c r="I92" i="19"/>
  <c r="I88" i="19"/>
  <c r="I90" i="19"/>
  <c r="I94" i="19"/>
  <c r="I87" i="19"/>
  <c r="I91" i="19"/>
  <c r="I89" i="19"/>
  <c r="I95" i="19"/>
  <c r="I93" i="19"/>
  <c r="E120" i="19"/>
  <c r="E116" i="19"/>
  <c r="E121" i="19"/>
  <c r="D114" i="19"/>
  <c r="E118" i="19"/>
  <c r="E122" i="19"/>
  <c r="E119" i="19"/>
  <c r="E117" i="19"/>
  <c r="O199" i="19"/>
  <c r="O198" i="19"/>
  <c r="O202" i="19"/>
  <c r="O200" i="19"/>
  <c r="O201" i="19"/>
  <c r="Y177" i="14"/>
  <c r="Y173" i="14"/>
  <c r="Y175" i="14"/>
  <c r="Y176" i="14"/>
  <c r="Y174" i="14"/>
  <c r="Y171" i="14"/>
  <c r="Y178" i="14"/>
  <c r="Y172" i="14"/>
  <c r="M160" i="14"/>
  <c r="M156" i="14"/>
  <c r="M154" i="14"/>
  <c r="L151" i="14"/>
  <c r="M155" i="14"/>
  <c r="M153" i="14"/>
  <c r="M159" i="14"/>
  <c r="M158" i="14"/>
  <c r="M157" i="14"/>
  <c r="U179" i="14"/>
  <c r="U166" i="14"/>
  <c r="U163" i="14"/>
  <c r="U167" i="14"/>
  <c r="U162" i="14"/>
  <c r="U168" i="14"/>
  <c r="U165" i="14"/>
  <c r="U164" i="14"/>
  <c r="U161" i="14"/>
  <c r="U169" i="14"/>
  <c r="V77" i="14"/>
  <c r="W86" i="14"/>
  <c r="W82" i="14"/>
  <c r="W84" i="14"/>
  <c r="W80" i="14"/>
  <c r="W85" i="14"/>
  <c r="W83" i="14"/>
  <c r="W81" i="14"/>
  <c r="W79" i="14"/>
  <c r="S111" i="14"/>
  <c r="S107" i="14"/>
  <c r="S113" i="14"/>
  <c r="S109" i="14"/>
  <c r="S110" i="14"/>
  <c r="S108" i="14"/>
  <c r="S106" i="14"/>
  <c r="S112" i="14"/>
  <c r="W109" i="14"/>
  <c r="W113" i="14"/>
  <c r="W111" i="14"/>
  <c r="W107" i="14"/>
  <c r="W108" i="14"/>
  <c r="W106" i="14"/>
  <c r="W112" i="14"/>
  <c r="W110" i="14"/>
  <c r="S122" i="14"/>
  <c r="S118" i="14"/>
  <c r="S120" i="14"/>
  <c r="S116" i="14"/>
  <c r="S117" i="14"/>
  <c r="R114" i="14"/>
  <c r="S121" i="14"/>
  <c r="S119" i="14"/>
  <c r="Q119" i="14"/>
  <c r="P114" i="14"/>
  <c r="Q121" i="14"/>
  <c r="Q117" i="14"/>
  <c r="Q122" i="14"/>
  <c r="Q120" i="14"/>
  <c r="Q118" i="14"/>
  <c r="Q116" i="14"/>
  <c r="H77" i="13"/>
  <c r="I85" i="13"/>
  <c r="I81" i="13"/>
  <c r="I84" i="13"/>
  <c r="I80" i="13"/>
  <c r="I83" i="13"/>
  <c r="I79" i="13"/>
  <c r="I86" i="13"/>
  <c r="I82" i="13"/>
  <c r="D77" i="13"/>
  <c r="E83" i="13"/>
  <c r="E79" i="13"/>
  <c r="E86" i="13"/>
  <c r="E82" i="13"/>
  <c r="E85" i="13"/>
  <c r="E81" i="13"/>
  <c r="E84" i="13"/>
  <c r="E80" i="13"/>
  <c r="Y123" i="23"/>
  <c r="Y115" i="23"/>
  <c r="X142" i="23"/>
  <c r="Y142" i="23"/>
  <c r="Z197" i="23"/>
  <c r="E187" i="23"/>
  <c r="E185" i="23"/>
  <c r="E182" i="23"/>
  <c r="E186" i="23"/>
  <c r="E181" i="23"/>
  <c r="E184" i="23"/>
  <c r="E183" i="23"/>
  <c r="E180" i="23"/>
  <c r="I187" i="23"/>
  <c r="I186" i="23"/>
  <c r="I183" i="23"/>
  <c r="I182" i="23"/>
  <c r="I185" i="23"/>
  <c r="I180" i="23"/>
  <c r="I184" i="23"/>
  <c r="I181" i="23"/>
  <c r="T151" i="23"/>
  <c r="U157" i="23"/>
  <c r="U153" i="23"/>
  <c r="U159" i="23"/>
  <c r="U160" i="23"/>
  <c r="U158" i="23"/>
  <c r="U155" i="23"/>
  <c r="U156" i="23"/>
  <c r="U154" i="23"/>
  <c r="F188" i="23"/>
  <c r="G194" i="23"/>
  <c r="G190" i="23"/>
  <c r="G192" i="23"/>
  <c r="G193" i="23"/>
  <c r="G191" i="23"/>
  <c r="G195" i="23"/>
  <c r="G196" i="23"/>
  <c r="G102" i="23"/>
  <c r="G98" i="23"/>
  <c r="G100" i="23"/>
  <c r="G104" i="23"/>
  <c r="G97" i="23"/>
  <c r="G103" i="23"/>
  <c r="G101" i="23"/>
  <c r="G99" i="23"/>
  <c r="E103" i="23"/>
  <c r="E99" i="23"/>
  <c r="E98" i="23"/>
  <c r="E102" i="23"/>
  <c r="E100" i="23"/>
  <c r="E101" i="23"/>
  <c r="E104" i="23"/>
  <c r="E97" i="23"/>
  <c r="C92" i="23"/>
  <c r="C88" i="23"/>
  <c r="C94" i="23"/>
  <c r="C87" i="23"/>
  <c r="C105" i="23"/>
  <c r="C91" i="23"/>
  <c r="C89" i="23"/>
  <c r="C90" i="23"/>
  <c r="C93" i="23"/>
  <c r="C95" i="23"/>
  <c r="C126" i="29"/>
  <c r="C125" i="29"/>
  <c r="C127" i="29"/>
  <c r="C128" i="29"/>
  <c r="C124" i="29"/>
  <c r="G101" i="29"/>
  <c r="G97" i="29"/>
  <c r="G104" i="29"/>
  <c r="G100" i="29"/>
  <c r="G103" i="29"/>
  <c r="G99" i="29"/>
  <c r="G102" i="29"/>
  <c r="G98" i="29"/>
  <c r="T151" i="29"/>
  <c r="U159" i="29"/>
  <c r="U155" i="29"/>
  <c r="U157" i="29"/>
  <c r="U156" i="29"/>
  <c r="U158" i="29"/>
  <c r="U154" i="29"/>
  <c r="U153" i="29"/>
  <c r="U160" i="29"/>
  <c r="X151" i="29"/>
  <c r="Y157" i="29"/>
  <c r="Y153" i="29"/>
  <c r="Y156" i="29"/>
  <c r="Y154" i="29"/>
  <c r="Y158" i="29"/>
  <c r="Y160" i="29"/>
  <c r="Y159" i="29"/>
  <c r="Y155" i="29"/>
  <c r="Q93" i="23"/>
  <c r="Q89" i="23"/>
  <c r="Q91" i="23"/>
  <c r="Q95" i="23"/>
  <c r="Q88" i="23"/>
  <c r="Q94" i="23"/>
  <c r="Q87" i="23"/>
  <c r="Q105" i="23"/>
  <c r="Q92" i="23"/>
  <c r="Q90" i="23"/>
  <c r="O199" i="29"/>
  <c r="O198" i="29"/>
  <c r="O202" i="29"/>
  <c r="O200" i="29"/>
  <c r="O201" i="29"/>
  <c r="H188" i="29"/>
  <c r="I195" i="29"/>
  <c r="I191" i="29"/>
  <c r="I194" i="29"/>
  <c r="I190" i="29"/>
  <c r="I193" i="29"/>
  <c r="I196" i="29"/>
  <c r="I192" i="29"/>
  <c r="X114" i="14"/>
  <c r="V142" i="13"/>
  <c r="W142" i="13"/>
  <c r="W123" i="13"/>
  <c r="W115" i="13"/>
  <c r="W159" i="13"/>
  <c r="W155" i="13"/>
  <c r="W158" i="13"/>
  <c r="W154" i="13"/>
  <c r="W157" i="13"/>
  <c r="W153" i="13"/>
  <c r="V151" i="13"/>
  <c r="W160" i="13"/>
  <c r="W156" i="13"/>
  <c r="Y196" i="13"/>
  <c r="Y192" i="13"/>
  <c r="X188" i="13"/>
  <c r="Y191" i="13"/>
  <c r="Y195" i="13"/>
  <c r="Y193" i="13"/>
  <c r="Y190" i="13"/>
  <c r="Y194" i="13"/>
  <c r="Y158" i="19"/>
  <c r="Y154" i="19"/>
  <c r="Y160" i="19"/>
  <c r="Y153" i="19"/>
  <c r="Y157" i="19"/>
  <c r="Y155" i="19"/>
  <c r="Y159" i="19"/>
  <c r="X151" i="19"/>
  <c r="Y156" i="19"/>
  <c r="Y183" i="19"/>
  <c r="Y180" i="19"/>
  <c r="Y186" i="19"/>
  <c r="Y181" i="19"/>
  <c r="Y187" i="19"/>
  <c r="Y184" i="19"/>
  <c r="Y185" i="19"/>
  <c r="Y182" i="19"/>
  <c r="G179" i="19"/>
  <c r="U109" i="19"/>
  <c r="U108" i="19"/>
  <c r="U106" i="19"/>
  <c r="U113" i="19"/>
  <c r="U112" i="19"/>
  <c r="U110" i="19"/>
  <c r="U107" i="19"/>
  <c r="U111" i="19"/>
  <c r="K110" i="19"/>
  <c r="K106" i="19"/>
  <c r="K113" i="19"/>
  <c r="K108" i="19"/>
  <c r="K112" i="19"/>
  <c r="K109" i="19"/>
  <c r="K107" i="19"/>
  <c r="K111" i="19"/>
  <c r="Y104" i="19"/>
  <c r="Y100" i="19"/>
  <c r="Y98" i="19"/>
  <c r="Y102" i="19"/>
  <c r="Y99" i="19"/>
  <c r="Y97" i="19"/>
  <c r="Y103" i="19"/>
  <c r="Y101" i="19"/>
  <c r="Q105" i="19"/>
  <c r="Q92" i="19"/>
  <c r="Q88" i="19"/>
  <c r="Q95" i="19"/>
  <c r="Q93" i="19"/>
  <c r="Q90" i="19"/>
  <c r="Q94" i="19"/>
  <c r="Q87" i="19"/>
  <c r="Q91" i="19"/>
  <c r="Q89" i="19"/>
  <c r="R114" i="19"/>
  <c r="S121" i="19"/>
  <c r="S117" i="19"/>
  <c r="S120" i="19"/>
  <c r="S118" i="19"/>
  <c r="S122" i="19"/>
  <c r="S119" i="19"/>
  <c r="S116" i="19"/>
  <c r="U160" i="14"/>
  <c r="U156" i="14"/>
  <c r="U159" i="14"/>
  <c r="U157" i="14"/>
  <c r="T151" i="14"/>
  <c r="U158" i="14"/>
  <c r="U153" i="14"/>
  <c r="U155" i="14"/>
  <c r="U154" i="14"/>
  <c r="C169" i="14"/>
  <c r="C167" i="14"/>
  <c r="C165" i="14"/>
  <c r="C163" i="14"/>
  <c r="C161" i="14"/>
  <c r="C164" i="14"/>
  <c r="C168" i="14"/>
  <c r="C179" i="14"/>
  <c r="C166" i="14"/>
  <c r="C162" i="14"/>
  <c r="U83" i="14"/>
  <c r="U79" i="14"/>
  <c r="T77" i="14"/>
  <c r="U85" i="14"/>
  <c r="U81" i="14"/>
  <c r="U82" i="14"/>
  <c r="U80" i="14"/>
  <c r="U86" i="14"/>
  <c r="U84" i="14"/>
  <c r="Y93" i="14"/>
  <c r="Y89" i="14"/>
  <c r="Y95" i="14"/>
  <c r="Y91" i="14"/>
  <c r="Y87" i="14"/>
  <c r="Y105" i="14"/>
  <c r="Y88" i="14"/>
  <c r="Y94" i="14"/>
  <c r="Y92" i="14"/>
  <c r="Y90" i="14"/>
  <c r="U113" i="14"/>
  <c r="U110" i="14"/>
  <c r="U106" i="14"/>
  <c r="U112" i="14"/>
  <c r="U108" i="14"/>
  <c r="U111" i="14"/>
  <c r="U109" i="14"/>
  <c r="U107" i="14"/>
  <c r="C126" i="14"/>
  <c r="C128" i="14"/>
  <c r="C124" i="14"/>
  <c r="C125" i="14"/>
  <c r="C127" i="14"/>
  <c r="P77" i="13"/>
  <c r="Q85" i="13"/>
  <c r="Q81" i="13"/>
  <c r="Q84" i="13"/>
  <c r="Q80" i="13"/>
  <c r="Q79" i="13"/>
  <c r="Q83" i="13"/>
  <c r="Q86" i="13"/>
  <c r="Q82" i="13"/>
  <c r="Y111" i="13"/>
  <c r="Y107" i="13"/>
  <c r="Y113" i="13"/>
  <c r="Y110" i="13"/>
  <c r="Y106" i="13"/>
  <c r="Y109" i="13"/>
  <c r="Y112" i="13"/>
  <c r="Y108" i="13"/>
  <c r="Q111" i="13"/>
  <c r="Q107" i="13"/>
  <c r="Q113" i="13"/>
  <c r="Q110" i="13"/>
  <c r="Q106" i="13"/>
  <c r="Q109" i="13"/>
  <c r="Q112" i="13"/>
  <c r="Q108" i="13"/>
  <c r="I111" i="13"/>
  <c r="I107" i="13"/>
  <c r="I113" i="13"/>
  <c r="I110" i="13"/>
  <c r="I106" i="13"/>
  <c r="I109" i="13"/>
  <c r="I112" i="13"/>
  <c r="I108" i="13"/>
  <c r="C110" i="13"/>
  <c r="C106" i="13"/>
  <c r="C113" i="13"/>
  <c r="C109" i="13"/>
  <c r="C112" i="13"/>
  <c r="C108" i="13"/>
  <c r="C111" i="13"/>
  <c r="C107" i="13"/>
  <c r="H114" i="13"/>
  <c r="O175" i="23"/>
  <c r="O171" i="23"/>
  <c r="O177" i="23"/>
  <c r="O178" i="23"/>
  <c r="O176" i="23"/>
  <c r="O173" i="23"/>
  <c r="O174" i="23"/>
  <c r="O172" i="23"/>
  <c r="O179" i="23"/>
  <c r="O167" i="23"/>
  <c r="O162" i="23"/>
  <c r="O166" i="23"/>
  <c r="O163" i="23"/>
  <c r="O169" i="23"/>
  <c r="O164" i="23"/>
  <c r="O161" i="23"/>
  <c r="O168" i="23"/>
  <c r="O165" i="23"/>
  <c r="I179" i="23"/>
  <c r="O94" i="23"/>
  <c r="O90" i="23"/>
  <c r="O105" i="23"/>
  <c r="O89" i="23"/>
  <c r="O87" i="23"/>
  <c r="O93" i="23"/>
  <c r="O91" i="23"/>
  <c r="O92" i="23"/>
  <c r="O95" i="23"/>
  <c r="O88" i="23"/>
  <c r="R77" i="23"/>
  <c r="S84" i="23"/>
  <c r="S80" i="23"/>
  <c r="S86" i="23"/>
  <c r="S79" i="23"/>
  <c r="S83" i="23"/>
  <c r="S81" i="23"/>
  <c r="S82" i="23"/>
  <c r="S85" i="23"/>
  <c r="M103" i="23"/>
  <c r="M99" i="23"/>
  <c r="M101" i="23"/>
  <c r="M98" i="23"/>
  <c r="M104" i="23"/>
  <c r="M97" i="23"/>
  <c r="M102" i="23"/>
  <c r="M100" i="23"/>
  <c r="AA171" i="19"/>
  <c r="Z170" i="29"/>
  <c r="V188" i="29"/>
  <c r="W196" i="29"/>
  <c r="W192" i="29"/>
  <c r="W195" i="29"/>
  <c r="W191" i="29"/>
  <c r="W194" i="29"/>
  <c r="W190" i="29"/>
  <c r="W193" i="29"/>
  <c r="T188" i="29"/>
  <c r="U193" i="29"/>
  <c r="U196" i="29"/>
  <c r="U192" i="29"/>
  <c r="U195" i="29"/>
  <c r="U191" i="29"/>
  <c r="U194" i="29"/>
  <c r="U190" i="29"/>
  <c r="D77" i="29"/>
  <c r="E86" i="29"/>
  <c r="E82" i="29"/>
  <c r="E85" i="29"/>
  <c r="E81" i="29"/>
  <c r="E84" i="29"/>
  <c r="E80" i="29"/>
  <c r="E83" i="29"/>
  <c r="E79" i="29"/>
  <c r="W101" i="29"/>
  <c r="W97" i="29"/>
  <c r="W104" i="29"/>
  <c r="W100" i="29"/>
  <c r="W103" i="29"/>
  <c r="W99" i="29"/>
  <c r="W102" i="29"/>
  <c r="W98" i="29"/>
  <c r="B151" i="29"/>
  <c r="C160" i="29"/>
  <c r="C156" i="29"/>
  <c r="C154" i="29"/>
  <c r="C155" i="29"/>
  <c r="C158" i="29"/>
  <c r="C157" i="29"/>
  <c r="C159" i="29"/>
  <c r="C153" i="29"/>
  <c r="R151" i="13"/>
  <c r="S157" i="13"/>
  <c r="S153" i="13"/>
  <c r="S160" i="13"/>
  <c r="S156" i="13"/>
  <c r="S159" i="13"/>
  <c r="S155" i="13"/>
  <c r="S158" i="13"/>
  <c r="S154" i="13"/>
  <c r="Y176" i="13"/>
  <c r="Y172" i="13"/>
  <c r="Y178" i="13"/>
  <c r="Y171" i="13"/>
  <c r="Y175" i="13"/>
  <c r="Y173" i="13"/>
  <c r="Y177" i="13"/>
  <c r="Y174" i="13"/>
  <c r="S182" i="13"/>
  <c r="S185" i="13"/>
  <c r="S180" i="13"/>
  <c r="S186" i="13"/>
  <c r="S183" i="13"/>
  <c r="S187" i="13"/>
  <c r="S184" i="13"/>
  <c r="S181" i="13"/>
  <c r="K185" i="13"/>
  <c r="K180" i="13"/>
  <c r="K186" i="13"/>
  <c r="K183" i="13"/>
  <c r="K187" i="13"/>
  <c r="K184" i="13"/>
  <c r="K181" i="13"/>
  <c r="K182" i="13"/>
  <c r="Z179" i="13"/>
  <c r="AA179" i="13"/>
  <c r="F188" i="13"/>
  <c r="G193" i="13"/>
  <c r="G195" i="13"/>
  <c r="G192" i="13"/>
  <c r="G190" i="13"/>
  <c r="G196" i="13"/>
  <c r="G194" i="13"/>
  <c r="G191" i="13"/>
  <c r="U197" i="14"/>
  <c r="U189" i="14"/>
  <c r="T216" i="14"/>
  <c r="U216" i="14"/>
  <c r="E55" i="13"/>
  <c r="G126" i="13"/>
  <c r="G125" i="13"/>
  <c r="G128" i="13"/>
  <c r="G124" i="13"/>
  <c r="G127" i="13"/>
  <c r="Q187" i="19"/>
  <c r="Q186" i="19"/>
  <c r="Q181" i="19"/>
  <c r="Q184" i="19"/>
  <c r="Q185" i="19"/>
  <c r="Q182" i="19"/>
  <c r="Q183" i="19"/>
  <c r="Q180" i="19"/>
  <c r="W161" i="19"/>
  <c r="W179" i="19"/>
  <c r="U200" i="19"/>
  <c r="U199" i="19"/>
  <c r="U201" i="19"/>
  <c r="U198" i="19"/>
  <c r="U202" i="19"/>
  <c r="B130" i="19"/>
  <c r="C131" i="19"/>
  <c r="Z131" i="19"/>
  <c r="Z130" i="19"/>
  <c r="AA131" i="19"/>
  <c r="E57" i="19"/>
  <c r="E56" i="19"/>
  <c r="K57" i="19"/>
  <c r="K56" i="19"/>
  <c r="B130" i="23"/>
  <c r="C131" i="23"/>
  <c r="Z131" i="23"/>
  <c r="Z130" i="23"/>
  <c r="AA131" i="23"/>
  <c r="W85" i="19"/>
  <c r="W81" i="19"/>
  <c r="W80" i="19"/>
  <c r="V77" i="19"/>
  <c r="W84" i="19"/>
  <c r="W82" i="19"/>
  <c r="W86" i="19"/>
  <c r="W79" i="19"/>
  <c r="W83" i="19"/>
  <c r="O85" i="19"/>
  <c r="O81" i="19"/>
  <c r="N77" i="19"/>
  <c r="O84" i="19"/>
  <c r="O82" i="19"/>
  <c r="O86" i="19"/>
  <c r="O79" i="19"/>
  <c r="O83" i="19"/>
  <c r="O80" i="19"/>
  <c r="G85" i="19"/>
  <c r="G81" i="19"/>
  <c r="G86" i="19"/>
  <c r="G79" i="19"/>
  <c r="G83" i="19"/>
  <c r="G80" i="19"/>
  <c r="F77" i="19"/>
  <c r="G84" i="19"/>
  <c r="G82" i="19"/>
  <c r="S110" i="19"/>
  <c r="S106" i="19"/>
  <c r="S111" i="19"/>
  <c r="S108" i="19"/>
  <c r="S113" i="19"/>
  <c r="S112" i="19"/>
  <c r="S109" i="19"/>
  <c r="S107" i="19"/>
  <c r="S125" i="19"/>
  <c r="S127" i="19"/>
  <c r="S124" i="19"/>
  <c r="S128" i="19"/>
  <c r="S126" i="19"/>
  <c r="S187" i="14"/>
  <c r="S183" i="14"/>
  <c r="S180" i="14"/>
  <c r="S184" i="14"/>
  <c r="S186" i="14"/>
  <c r="S185" i="14"/>
  <c r="S182" i="14"/>
  <c r="S181" i="14"/>
  <c r="Z170" i="14"/>
  <c r="Q165" i="14"/>
  <c r="Q162" i="14"/>
  <c r="Q169" i="14"/>
  <c r="Q166" i="14"/>
  <c r="Q161" i="14"/>
  <c r="Q179" i="14"/>
  <c r="Q168" i="14"/>
  <c r="Q167" i="14"/>
  <c r="Q164" i="14"/>
  <c r="Q163" i="14"/>
  <c r="Z96" i="14"/>
  <c r="G128" i="14"/>
  <c r="G124" i="14"/>
  <c r="G126" i="14"/>
  <c r="G127" i="14"/>
  <c r="G125" i="14"/>
  <c r="V77" i="13"/>
  <c r="W86" i="13"/>
  <c r="W82" i="13"/>
  <c r="W85" i="13"/>
  <c r="W81" i="13"/>
  <c r="W80" i="13"/>
  <c r="W84" i="13"/>
  <c r="W83" i="13"/>
  <c r="W79" i="13"/>
  <c r="S84" i="13"/>
  <c r="S80" i="13"/>
  <c r="S83" i="13"/>
  <c r="S79" i="13"/>
  <c r="S82" i="13"/>
  <c r="S86" i="13"/>
  <c r="R77" i="13"/>
  <c r="S85" i="13"/>
  <c r="S81" i="13"/>
  <c r="E103" i="13"/>
  <c r="E99" i="13"/>
  <c r="E102" i="13"/>
  <c r="E98" i="13"/>
  <c r="E101" i="13"/>
  <c r="E97" i="13"/>
  <c r="E104" i="13"/>
  <c r="E100" i="13"/>
  <c r="C128" i="13"/>
  <c r="C124" i="13"/>
  <c r="C127" i="13"/>
  <c r="C126" i="13"/>
  <c r="C125" i="13"/>
  <c r="L114" i="13"/>
  <c r="M119" i="13"/>
  <c r="M122" i="13"/>
  <c r="M118" i="13"/>
  <c r="M121" i="13"/>
  <c r="M117" i="13"/>
  <c r="M120" i="13"/>
  <c r="M116" i="13"/>
  <c r="I123" i="23"/>
  <c r="I115" i="23"/>
  <c r="H142" i="23"/>
  <c r="I142" i="23"/>
  <c r="Y201" i="23"/>
  <c r="Y202" i="23"/>
  <c r="Y200" i="23"/>
  <c r="Y198" i="23"/>
  <c r="Y199" i="23"/>
  <c r="U187" i="23"/>
  <c r="U186" i="23"/>
  <c r="U181" i="23"/>
  <c r="U185" i="23"/>
  <c r="U182" i="23"/>
  <c r="U183" i="23"/>
  <c r="U180" i="23"/>
  <c r="U184" i="23"/>
  <c r="Y187" i="23"/>
  <c r="Y182" i="23"/>
  <c r="Y186" i="23"/>
  <c r="Y183" i="23"/>
  <c r="Y184" i="23"/>
  <c r="Y181" i="23"/>
  <c r="Y185" i="23"/>
  <c r="Y180" i="23"/>
  <c r="AA173" i="23"/>
  <c r="O185" i="23"/>
  <c r="O183" i="23"/>
  <c r="O181" i="23"/>
  <c r="O182" i="23"/>
  <c r="O186" i="23"/>
  <c r="O187" i="23"/>
  <c r="O184" i="23"/>
  <c r="O180" i="23"/>
  <c r="E179" i="23"/>
  <c r="E169" i="23"/>
  <c r="E167" i="23"/>
  <c r="E165" i="23"/>
  <c r="E163" i="23"/>
  <c r="E161" i="23"/>
  <c r="E162" i="23"/>
  <c r="E166" i="23"/>
  <c r="E164" i="23"/>
  <c r="E168" i="23"/>
  <c r="V188" i="23"/>
  <c r="W194" i="23"/>
  <c r="W190" i="23"/>
  <c r="W193" i="23"/>
  <c r="W191" i="23"/>
  <c r="W192" i="23"/>
  <c r="W196" i="23"/>
  <c r="W195" i="23"/>
  <c r="W102" i="23"/>
  <c r="W98" i="23"/>
  <c r="W101" i="23"/>
  <c r="W99" i="23"/>
  <c r="W103" i="23"/>
  <c r="W104" i="23"/>
  <c r="W97" i="23"/>
  <c r="W100" i="23"/>
  <c r="E113" i="23"/>
  <c r="E110" i="23"/>
  <c r="E106" i="23"/>
  <c r="E112" i="23"/>
  <c r="E109" i="23"/>
  <c r="E107" i="23"/>
  <c r="E108" i="23"/>
  <c r="E111" i="23"/>
  <c r="I68" i="29"/>
  <c r="H69" i="29"/>
  <c r="H73" i="29"/>
  <c r="C175" i="13"/>
  <c r="C171" i="13"/>
  <c r="C178" i="13"/>
  <c r="C176" i="13"/>
  <c r="C173" i="13"/>
  <c r="C177" i="13"/>
  <c r="C174" i="13"/>
  <c r="C172" i="13"/>
  <c r="G177" i="13"/>
  <c r="G173" i="13"/>
  <c r="G175" i="13"/>
  <c r="G172" i="13"/>
  <c r="G176" i="13"/>
  <c r="G174" i="13"/>
  <c r="G178" i="13"/>
  <c r="G171" i="13"/>
  <c r="I196" i="13"/>
  <c r="I192" i="13"/>
  <c r="H188" i="13"/>
  <c r="I190" i="13"/>
  <c r="I194" i="13"/>
  <c r="I191" i="13"/>
  <c r="I195" i="13"/>
  <c r="I193" i="13"/>
  <c r="V69" i="14"/>
  <c r="V73" i="14"/>
  <c r="W199" i="19"/>
  <c r="W201" i="19"/>
  <c r="W198" i="19"/>
  <c r="W202" i="19"/>
  <c r="W200" i="19"/>
  <c r="O54" i="18"/>
  <c r="I158" i="19"/>
  <c r="I154" i="19"/>
  <c r="H151" i="19"/>
  <c r="I159" i="19"/>
  <c r="I156" i="19"/>
  <c r="I160" i="19"/>
  <c r="I153" i="19"/>
  <c r="I157" i="19"/>
  <c r="I155" i="19"/>
  <c r="E175" i="19"/>
  <c r="E171" i="19"/>
  <c r="E174" i="19"/>
  <c r="E172" i="19"/>
  <c r="E178" i="19"/>
  <c r="E176" i="19"/>
  <c r="E173" i="19"/>
  <c r="E177" i="19"/>
  <c r="I184" i="19"/>
  <c r="I185" i="19"/>
  <c r="I182" i="19"/>
  <c r="I187" i="19"/>
  <c r="I183" i="19"/>
  <c r="I180" i="19"/>
  <c r="I186" i="19"/>
  <c r="I181" i="19"/>
  <c r="C157" i="19"/>
  <c r="C153" i="19"/>
  <c r="C160" i="19"/>
  <c r="C158" i="19"/>
  <c r="C155" i="19"/>
  <c r="C159" i="19"/>
  <c r="B151" i="19"/>
  <c r="C156" i="19"/>
  <c r="C154" i="19"/>
  <c r="K169" i="19"/>
  <c r="K167" i="19"/>
  <c r="K165" i="19"/>
  <c r="K163" i="19"/>
  <c r="K161" i="19"/>
  <c r="K164" i="19"/>
  <c r="K162" i="19"/>
  <c r="K179" i="19"/>
  <c r="K168" i="19"/>
  <c r="K166" i="19"/>
  <c r="J67" i="18"/>
  <c r="J61" i="18"/>
  <c r="J62" i="18"/>
  <c r="E109" i="19"/>
  <c r="E107" i="19"/>
  <c r="E113" i="19"/>
  <c r="E111" i="19"/>
  <c r="E108" i="19"/>
  <c r="E106" i="19"/>
  <c r="E112" i="19"/>
  <c r="E110" i="19"/>
  <c r="Z96" i="19"/>
  <c r="P77" i="19"/>
  <c r="Q84" i="19"/>
  <c r="Q80" i="19"/>
  <c r="Q86" i="19"/>
  <c r="Q79" i="19"/>
  <c r="Q83" i="19"/>
  <c r="Q81" i="19"/>
  <c r="Q85" i="19"/>
  <c r="Q82" i="19"/>
  <c r="H77" i="19"/>
  <c r="I84" i="19"/>
  <c r="I80" i="19"/>
  <c r="I83" i="19"/>
  <c r="I81" i="19"/>
  <c r="I85" i="19"/>
  <c r="I82" i="19"/>
  <c r="I86" i="19"/>
  <c r="I79" i="19"/>
  <c r="Z189" i="19"/>
  <c r="E160" i="14"/>
  <c r="E156" i="14"/>
  <c r="E158" i="14"/>
  <c r="D151" i="14"/>
  <c r="E159" i="14"/>
  <c r="E157" i="14"/>
  <c r="E155" i="14"/>
  <c r="E154" i="14"/>
  <c r="E153" i="14"/>
  <c r="W168" i="14"/>
  <c r="W166" i="14"/>
  <c r="W164" i="14"/>
  <c r="W162" i="14"/>
  <c r="W169" i="14"/>
  <c r="W161" i="14"/>
  <c r="W179" i="14"/>
  <c r="W165" i="14"/>
  <c r="W167" i="14"/>
  <c r="W163" i="14"/>
  <c r="W178" i="14"/>
  <c r="W174" i="14"/>
  <c r="W173" i="14"/>
  <c r="W171" i="14"/>
  <c r="W172" i="14"/>
  <c r="W176" i="14"/>
  <c r="W175" i="14"/>
  <c r="W177" i="14"/>
  <c r="Y186" i="14"/>
  <c r="Y184" i="14"/>
  <c r="Y182" i="14"/>
  <c r="Y180" i="14"/>
  <c r="Y187" i="14"/>
  <c r="Y183" i="14"/>
  <c r="Y185" i="14"/>
  <c r="Y181" i="14"/>
  <c r="I101" i="14"/>
  <c r="I97" i="14"/>
  <c r="I103" i="14"/>
  <c r="I99" i="14"/>
  <c r="I104" i="14"/>
  <c r="I102" i="14"/>
  <c r="I100" i="14"/>
  <c r="I98" i="14"/>
  <c r="S84" i="14"/>
  <c r="S80" i="14"/>
  <c r="R77" i="14"/>
  <c r="S86" i="14"/>
  <c r="S82" i="14"/>
  <c r="S79" i="14"/>
  <c r="S85" i="14"/>
  <c r="S83" i="14"/>
  <c r="S81" i="14"/>
  <c r="Z105" i="14"/>
  <c r="G94" i="14"/>
  <c r="G90" i="14"/>
  <c r="G92" i="14"/>
  <c r="G88" i="14"/>
  <c r="G93" i="14"/>
  <c r="G105" i="14"/>
  <c r="G91" i="14"/>
  <c r="G89" i="14"/>
  <c r="G95" i="14"/>
  <c r="G87" i="14"/>
  <c r="W120" i="14"/>
  <c r="W116" i="14"/>
  <c r="V114" i="14"/>
  <c r="W122" i="14"/>
  <c r="W118" i="14"/>
  <c r="W121" i="14"/>
  <c r="W119" i="14"/>
  <c r="W117" i="14"/>
  <c r="W105" i="13"/>
  <c r="W94" i="13"/>
  <c r="W90" i="13"/>
  <c r="W93" i="13"/>
  <c r="W89" i="13"/>
  <c r="W92" i="13"/>
  <c r="W88" i="13"/>
  <c r="W95" i="13"/>
  <c r="W91" i="13"/>
  <c r="W87" i="13"/>
  <c r="O105" i="13"/>
  <c r="O94" i="13"/>
  <c r="O90" i="13"/>
  <c r="O93" i="13"/>
  <c r="O89" i="13"/>
  <c r="O92" i="13"/>
  <c r="O88" i="13"/>
  <c r="O95" i="13"/>
  <c r="O91" i="13"/>
  <c r="O87" i="13"/>
  <c r="G105" i="13"/>
  <c r="G94" i="13"/>
  <c r="G90" i="13"/>
  <c r="G93" i="13"/>
  <c r="G89" i="13"/>
  <c r="G92" i="13"/>
  <c r="G88" i="13"/>
  <c r="G95" i="13"/>
  <c r="G91" i="13"/>
  <c r="G87" i="13"/>
  <c r="Q193" i="23"/>
  <c r="Q192" i="23"/>
  <c r="Q190" i="23"/>
  <c r="P188" i="23"/>
  <c r="Q191" i="23"/>
  <c r="Q195" i="23"/>
  <c r="Q196" i="23"/>
  <c r="Q194" i="23"/>
  <c r="Q178" i="23"/>
  <c r="Q174" i="23"/>
  <c r="Q172" i="23"/>
  <c r="Q173" i="23"/>
  <c r="Q171" i="23"/>
  <c r="Q177" i="23"/>
  <c r="Q175" i="23"/>
  <c r="Q176" i="23"/>
  <c r="W185" i="23"/>
  <c r="W183" i="23"/>
  <c r="W181" i="23"/>
  <c r="W184" i="23"/>
  <c r="W180" i="23"/>
  <c r="W186" i="23"/>
  <c r="W182" i="23"/>
  <c r="W187" i="23"/>
  <c r="G168" i="23"/>
  <c r="G165" i="23"/>
  <c r="G179" i="23"/>
  <c r="G169" i="23"/>
  <c r="G164" i="23"/>
  <c r="G161" i="23"/>
  <c r="G167" i="23"/>
  <c r="G162" i="23"/>
  <c r="G166" i="23"/>
  <c r="G163" i="23"/>
  <c r="S104" i="23"/>
  <c r="S100" i="23"/>
  <c r="S102" i="23"/>
  <c r="S99" i="23"/>
  <c r="S97" i="23"/>
  <c r="S98" i="23"/>
  <c r="S103" i="23"/>
  <c r="S101" i="23"/>
  <c r="K103" i="29"/>
  <c r="K99" i="29"/>
  <c r="K102" i="29"/>
  <c r="K98" i="29"/>
  <c r="K101" i="29"/>
  <c r="K97" i="29"/>
  <c r="K104" i="29"/>
  <c r="K100" i="29"/>
  <c r="F114" i="29"/>
  <c r="G119" i="29"/>
  <c r="G122" i="29"/>
  <c r="G120" i="29"/>
  <c r="G117" i="29"/>
  <c r="G121" i="29"/>
  <c r="G118" i="29"/>
  <c r="G116" i="29"/>
  <c r="N114" i="29"/>
  <c r="O119" i="29"/>
  <c r="O118" i="29"/>
  <c r="O116" i="29"/>
  <c r="O122" i="29"/>
  <c r="O120" i="29"/>
  <c r="O117" i="29"/>
  <c r="O121" i="29"/>
  <c r="F151" i="29"/>
  <c r="G158" i="29"/>
  <c r="G154" i="29"/>
  <c r="G160" i="29"/>
  <c r="G153" i="29"/>
  <c r="G157" i="29"/>
  <c r="G156" i="29"/>
  <c r="G159" i="29"/>
  <c r="G155" i="29"/>
  <c r="L151" i="29"/>
  <c r="M159" i="29"/>
  <c r="M155" i="29"/>
  <c r="M154" i="29"/>
  <c r="M153" i="29"/>
  <c r="M160" i="29"/>
  <c r="M156" i="29"/>
  <c r="M158" i="29"/>
  <c r="M157" i="29"/>
  <c r="C201" i="29"/>
  <c r="C200" i="29"/>
  <c r="C198" i="29"/>
  <c r="C202" i="29"/>
  <c r="C199" i="29"/>
  <c r="Y176" i="29"/>
  <c r="Y172" i="29"/>
  <c r="Y175" i="29"/>
  <c r="Y173" i="29"/>
  <c r="Y177" i="29"/>
  <c r="Y171" i="29"/>
  <c r="Y178" i="29"/>
  <c r="Y174" i="29"/>
  <c r="W177" i="29"/>
  <c r="W173" i="29"/>
  <c r="W178" i="29"/>
  <c r="W171" i="29"/>
  <c r="W176" i="29"/>
  <c r="W172" i="29"/>
  <c r="W175" i="29"/>
  <c r="W174" i="29"/>
  <c r="K175" i="13"/>
  <c r="K171" i="13"/>
  <c r="K174" i="13"/>
  <c r="K172" i="13"/>
  <c r="K178" i="13"/>
  <c r="K176" i="13"/>
  <c r="K173" i="13"/>
  <c r="K177" i="13"/>
  <c r="W168" i="13"/>
  <c r="W163" i="13"/>
  <c r="W169" i="13"/>
  <c r="W166" i="13"/>
  <c r="W161" i="13"/>
  <c r="W179" i="13"/>
  <c r="W167" i="13"/>
  <c r="W164" i="13"/>
  <c r="W165" i="13"/>
  <c r="W162" i="13"/>
  <c r="O169" i="13"/>
  <c r="O166" i="13"/>
  <c r="O161" i="13"/>
  <c r="O179" i="13"/>
  <c r="O167" i="13"/>
  <c r="O164" i="13"/>
  <c r="O165" i="13"/>
  <c r="O162" i="13"/>
  <c r="O168" i="13"/>
  <c r="O163" i="13"/>
  <c r="G179" i="13"/>
  <c r="G167" i="13"/>
  <c r="G164" i="13"/>
  <c r="G165" i="13"/>
  <c r="G162" i="13"/>
  <c r="G168" i="13"/>
  <c r="G163" i="13"/>
  <c r="G169" i="13"/>
  <c r="G166" i="13"/>
  <c r="G161" i="13"/>
  <c r="L151" i="13"/>
  <c r="M160" i="13"/>
  <c r="M156" i="13"/>
  <c r="M159" i="13"/>
  <c r="M155" i="13"/>
  <c r="M158" i="13"/>
  <c r="M154" i="13"/>
  <c r="M157" i="13"/>
  <c r="M153" i="13"/>
  <c r="D151" i="13"/>
  <c r="E160" i="13"/>
  <c r="E156" i="13"/>
  <c r="E159" i="13"/>
  <c r="E155" i="13"/>
  <c r="E158" i="13"/>
  <c r="E154" i="13"/>
  <c r="E157" i="13"/>
  <c r="E153" i="13"/>
  <c r="L188" i="13"/>
  <c r="M194" i="13"/>
  <c r="M190" i="13"/>
  <c r="M196" i="13"/>
  <c r="M193" i="13"/>
  <c r="M191" i="13"/>
  <c r="M195" i="13"/>
  <c r="M192" i="13"/>
  <c r="C199" i="13"/>
  <c r="C198" i="13"/>
  <c r="C202" i="13"/>
  <c r="C200" i="13"/>
  <c r="C201" i="13"/>
  <c r="R188" i="13"/>
  <c r="S195" i="13"/>
  <c r="S191" i="13"/>
  <c r="S190" i="13"/>
  <c r="S194" i="13"/>
  <c r="S192" i="13"/>
  <c r="S196" i="13"/>
  <c r="S193" i="13"/>
  <c r="L69" i="19"/>
  <c r="L73" i="19"/>
  <c r="S56" i="13"/>
  <c r="S57" i="13"/>
  <c r="M57" i="13"/>
  <c r="M56" i="13"/>
  <c r="O54" i="16"/>
  <c r="N151" i="19"/>
  <c r="O159" i="19"/>
  <c r="O155" i="19"/>
  <c r="O160" i="19"/>
  <c r="O153" i="19"/>
  <c r="O157" i="19"/>
  <c r="O154" i="19"/>
  <c r="O158" i="19"/>
  <c r="O156" i="19"/>
  <c r="U160" i="19"/>
  <c r="U156" i="19"/>
  <c r="U154" i="19"/>
  <c r="U158" i="19"/>
  <c r="T151" i="19"/>
  <c r="U155" i="19"/>
  <c r="U153" i="19"/>
  <c r="U159" i="19"/>
  <c r="U157" i="19"/>
  <c r="E200" i="19"/>
  <c r="E198" i="19"/>
  <c r="E202" i="19"/>
  <c r="E199" i="19"/>
  <c r="E201" i="19"/>
  <c r="O60" i="20"/>
  <c r="O56" i="20"/>
  <c r="M102" i="19"/>
  <c r="M98" i="19"/>
  <c r="M103" i="19"/>
  <c r="M100" i="19"/>
  <c r="M104" i="19"/>
  <c r="M97" i="19"/>
  <c r="M101" i="19"/>
  <c r="M99" i="19"/>
  <c r="W101" i="19"/>
  <c r="W97" i="19"/>
  <c r="W103" i="19"/>
  <c r="W100" i="19"/>
  <c r="W98" i="19"/>
  <c r="W104" i="19"/>
  <c r="W102" i="19"/>
  <c r="W99" i="19"/>
  <c r="G101" i="19"/>
  <c r="G97" i="19"/>
  <c r="G104" i="19"/>
  <c r="G102" i="19"/>
  <c r="G99" i="19"/>
  <c r="G103" i="19"/>
  <c r="G100" i="19"/>
  <c r="G98" i="19"/>
  <c r="I111" i="19"/>
  <c r="I107" i="19"/>
  <c r="I106" i="19"/>
  <c r="I110" i="19"/>
  <c r="I108" i="19"/>
  <c r="I113" i="19"/>
  <c r="I112" i="19"/>
  <c r="I109" i="19"/>
  <c r="C125" i="19"/>
  <c r="C128" i="19"/>
  <c r="C126" i="19"/>
  <c r="C127" i="19"/>
  <c r="C124" i="19"/>
  <c r="O195" i="19"/>
  <c r="O191" i="19"/>
  <c r="O196" i="19"/>
  <c r="O193" i="19"/>
  <c r="N188" i="19"/>
  <c r="O190" i="19"/>
  <c r="O194" i="19"/>
  <c r="O192" i="19"/>
  <c r="G185" i="14"/>
  <c r="G180" i="14"/>
  <c r="G184" i="14"/>
  <c r="G181" i="14"/>
  <c r="G182" i="14"/>
  <c r="G187" i="14"/>
  <c r="G186" i="14"/>
  <c r="G183" i="14"/>
  <c r="U175" i="14"/>
  <c r="U171" i="14"/>
  <c r="U178" i="14"/>
  <c r="U176" i="14"/>
  <c r="U177" i="14"/>
  <c r="U172" i="14"/>
  <c r="U174" i="14"/>
  <c r="U173" i="14"/>
  <c r="M185" i="14"/>
  <c r="M183" i="14"/>
  <c r="M181" i="14"/>
  <c r="M184" i="14"/>
  <c r="M180" i="14"/>
  <c r="M186" i="14"/>
  <c r="M187" i="14"/>
  <c r="M182" i="14"/>
  <c r="M169" i="14"/>
  <c r="M164" i="14"/>
  <c r="M161" i="14"/>
  <c r="M179" i="14"/>
  <c r="M168" i="14"/>
  <c r="M165" i="14"/>
  <c r="M166" i="14"/>
  <c r="M163" i="14"/>
  <c r="M162" i="14"/>
  <c r="M167" i="14"/>
  <c r="Q101" i="14"/>
  <c r="Q97" i="14"/>
  <c r="Q103" i="14"/>
  <c r="Q99" i="14"/>
  <c r="Q100" i="14"/>
  <c r="Q98" i="14"/>
  <c r="Q104" i="14"/>
  <c r="Q102" i="14"/>
  <c r="W94" i="14"/>
  <c r="W90" i="14"/>
  <c r="W92" i="14"/>
  <c r="W88" i="14"/>
  <c r="W93" i="14"/>
  <c r="W105" i="14"/>
  <c r="W91" i="14"/>
  <c r="W89" i="14"/>
  <c r="W95" i="14"/>
  <c r="W87" i="14"/>
  <c r="D114" i="14"/>
  <c r="E121" i="14"/>
  <c r="E117" i="14"/>
  <c r="E119" i="14"/>
  <c r="E120" i="14"/>
  <c r="E118" i="14"/>
  <c r="E116" i="14"/>
  <c r="E122" i="14"/>
  <c r="I101" i="13"/>
  <c r="I97" i="13"/>
  <c r="I104" i="13"/>
  <c r="I100" i="13"/>
  <c r="I103" i="13"/>
  <c r="I99" i="13"/>
  <c r="I102" i="13"/>
  <c r="I98" i="13"/>
  <c r="C104" i="13"/>
  <c r="C100" i="13"/>
  <c r="C103" i="13"/>
  <c r="C99" i="13"/>
  <c r="C102" i="13"/>
  <c r="C98" i="13"/>
  <c r="C101" i="13"/>
  <c r="C97" i="13"/>
  <c r="L77" i="13"/>
  <c r="M83" i="13"/>
  <c r="M79" i="13"/>
  <c r="M86" i="13"/>
  <c r="M82" i="13"/>
  <c r="M81" i="13"/>
  <c r="M85" i="13"/>
  <c r="M84" i="13"/>
  <c r="M80" i="13"/>
  <c r="AC51" i="23"/>
  <c r="AC52" i="23"/>
  <c r="AC53" i="23"/>
  <c r="C200" i="23"/>
  <c r="C202" i="23"/>
  <c r="C201" i="23"/>
  <c r="C198" i="23"/>
  <c r="C199" i="23"/>
  <c r="D151" i="23"/>
  <c r="E157" i="23"/>
  <c r="E153" i="23"/>
  <c r="E160" i="23"/>
  <c r="E158" i="23"/>
  <c r="E159" i="23"/>
  <c r="E156" i="23"/>
  <c r="E154" i="23"/>
  <c r="E155" i="23"/>
  <c r="K169" i="23"/>
  <c r="K166" i="23"/>
  <c r="K161" i="23"/>
  <c r="K165" i="23"/>
  <c r="K162" i="23"/>
  <c r="K179" i="23"/>
  <c r="K168" i="23"/>
  <c r="K163" i="23"/>
  <c r="K167" i="23"/>
  <c r="K164" i="23"/>
  <c r="L151" i="23"/>
  <c r="M157" i="23"/>
  <c r="M153" i="23"/>
  <c r="M156" i="23"/>
  <c r="M154" i="23"/>
  <c r="M155" i="23"/>
  <c r="M159" i="23"/>
  <c r="M160" i="23"/>
  <c r="M158" i="23"/>
  <c r="S200" i="23"/>
  <c r="S201" i="23"/>
  <c r="S202" i="23"/>
  <c r="S199" i="23"/>
  <c r="S198" i="23"/>
  <c r="G109" i="23"/>
  <c r="G113" i="23"/>
  <c r="G107" i="23"/>
  <c r="G111" i="23"/>
  <c r="G112" i="23"/>
  <c r="G110" i="23"/>
  <c r="G106" i="23"/>
  <c r="G108" i="23"/>
  <c r="I113" i="23"/>
  <c r="I112" i="23"/>
  <c r="I108" i="23"/>
  <c r="I111" i="23"/>
  <c r="I109" i="23"/>
  <c r="I106" i="23"/>
  <c r="I107" i="23"/>
  <c r="I110" i="23"/>
  <c r="U103" i="23"/>
  <c r="U99" i="23"/>
  <c r="U104" i="23"/>
  <c r="U97" i="23"/>
  <c r="U101" i="23"/>
  <c r="U102" i="23"/>
  <c r="U100" i="23"/>
  <c r="U98" i="23"/>
  <c r="Z87" i="23"/>
  <c r="AC51" i="19"/>
  <c r="AC52" i="19"/>
  <c r="AC53" i="19"/>
  <c r="AA171" i="13"/>
  <c r="AA60" i="29"/>
  <c r="AB59" i="29"/>
  <c r="T77" i="29"/>
  <c r="U86" i="29"/>
  <c r="U82" i="29"/>
  <c r="U85" i="29"/>
  <c r="U81" i="29"/>
  <c r="U84" i="29"/>
  <c r="U80" i="29"/>
  <c r="U83" i="29"/>
  <c r="U79" i="29"/>
  <c r="W85" i="29"/>
  <c r="W81" i="29"/>
  <c r="W84" i="29"/>
  <c r="W80" i="29"/>
  <c r="V77" i="29"/>
  <c r="W83" i="29"/>
  <c r="W79" i="29"/>
  <c r="W86" i="29"/>
  <c r="W82" i="29"/>
  <c r="O128" i="29"/>
  <c r="O127" i="29"/>
  <c r="O125" i="29"/>
  <c r="O124" i="29"/>
  <c r="O126" i="29"/>
  <c r="AA31" i="29"/>
  <c r="AA179" i="29"/>
  <c r="AA201" i="29"/>
  <c r="AA200" i="29"/>
  <c r="AA198" i="29"/>
  <c r="AA202" i="29"/>
  <c r="AA199" i="29"/>
  <c r="AB49" i="29"/>
  <c r="AA53" i="29"/>
  <c r="AA51" i="29"/>
  <c r="AA54" i="29"/>
  <c r="AA52" i="29"/>
  <c r="AA50" i="29"/>
  <c r="M178" i="29"/>
  <c r="M174" i="29"/>
  <c r="M173" i="29"/>
  <c r="M171" i="29"/>
  <c r="M172" i="29"/>
  <c r="M175" i="29"/>
  <c r="M177" i="29"/>
  <c r="M176" i="29"/>
  <c r="Q195" i="29"/>
  <c r="Q191" i="29"/>
  <c r="Q194" i="29"/>
  <c r="Q190" i="29"/>
  <c r="P188" i="29"/>
  <c r="Q193" i="29"/>
  <c r="Q196" i="29"/>
  <c r="Q192" i="29"/>
  <c r="S175" i="29"/>
  <c r="S171" i="29"/>
  <c r="S174" i="29"/>
  <c r="S172" i="29"/>
  <c r="S176" i="29"/>
  <c r="S178" i="29"/>
  <c r="S177" i="29"/>
  <c r="S173" i="29"/>
  <c r="U113" i="23"/>
  <c r="U110" i="23"/>
  <c r="U106" i="23"/>
  <c r="U111" i="23"/>
  <c r="U108" i="23"/>
  <c r="U109" i="23"/>
  <c r="U107" i="23"/>
  <c r="U112" i="23"/>
  <c r="Z3" i="29"/>
  <c r="AB3" i="29"/>
  <c r="AA160" i="29"/>
  <c r="AA156" i="29"/>
  <c r="AA158" i="29"/>
  <c r="AA159" i="29"/>
  <c r="AA153" i="29"/>
  <c r="AA155" i="29"/>
  <c r="AA154" i="29"/>
  <c r="AA157" i="29"/>
  <c r="AA11" i="29"/>
  <c r="AA9" i="29"/>
  <c r="AA7" i="29"/>
  <c r="AA5" i="29"/>
  <c r="AB4" i="29"/>
  <c r="AA12" i="29"/>
  <c r="AA10" i="29"/>
  <c r="AA8" i="29"/>
  <c r="AA6" i="29"/>
  <c r="G177" i="29"/>
  <c r="G173" i="29"/>
  <c r="G172" i="29"/>
  <c r="G176" i="29"/>
  <c r="G175" i="29"/>
  <c r="G171" i="29"/>
  <c r="G178" i="29"/>
  <c r="G174" i="29"/>
  <c r="X188" i="29"/>
  <c r="Y195" i="29"/>
  <c r="Y191" i="29"/>
  <c r="Y194" i="29"/>
  <c r="Y190" i="29"/>
  <c r="Y193" i="29"/>
  <c r="Y196" i="29"/>
  <c r="Y192" i="29"/>
  <c r="Z40" i="29"/>
  <c r="AA194" i="29"/>
  <c r="AA190" i="29"/>
  <c r="AA193" i="29"/>
  <c r="AA196" i="29"/>
  <c r="AA192" i="29"/>
  <c r="AA195" i="29"/>
  <c r="AA191" i="29"/>
  <c r="AB41" i="29"/>
  <c r="AA47" i="29"/>
  <c r="AA45" i="29"/>
  <c r="AA43" i="29"/>
  <c r="AA48" i="29"/>
  <c r="AA46" i="29"/>
  <c r="AA44" i="29"/>
  <c r="AA42" i="29"/>
  <c r="K175" i="29"/>
  <c r="K171" i="29"/>
  <c r="K178" i="29"/>
  <c r="K176" i="29"/>
  <c r="K177" i="29"/>
  <c r="K173" i="29"/>
  <c r="K172" i="29"/>
  <c r="K174" i="29"/>
  <c r="H114" i="14"/>
  <c r="L188" i="23"/>
  <c r="N142" i="13"/>
  <c r="O142" i="13"/>
  <c r="O123" i="13"/>
  <c r="O115" i="13"/>
  <c r="U123" i="13"/>
  <c r="U115" i="13"/>
  <c r="T142" i="13"/>
  <c r="U142" i="13"/>
  <c r="K157" i="13"/>
  <c r="K153" i="13"/>
  <c r="K160" i="13"/>
  <c r="K156" i="13"/>
  <c r="K159" i="13"/>
  <c r="K155" i="13"/>
  <c r="J151" i="13"/>
  <c r="K158" i="13"/>
  <c r="K154" i="13"/>
  <c r="Q200" i="13"/>
  <c r="Q202" i="13"/>
  <c r="Q199" i="13"/>
  <c r="Q201" i="13"/>
  <c r="Q198" i="13"/>
  <c r="Z123" i="13"/>
  <c r="E197" i="14"/>
  <c r="E189" i="14"/>
  <c r="D216" i="14"/>
  <c r="E216" i="14"/>
  <c r="Y177" i="19"/>
  <c r="Y173" i="19"/>
  <c r="Y172" i="19"/>
  <c r="Y176" i="19"/>
  <c r="Y174" i="19"/>
  <c r="Y178" i="19"/>
  <c r="Y171" i="19"/>
  <c r="Y175" i="19"/>
  <c r="S187" i="19"/>
  <c r="S185" i="19"/>
  <c r="S183" i="19"/>
  <c r="S181" i="19"/>
  <c r="S184" i="19"/>
  <c r="S182" i="19"/>
  <c r="S180" i="19"/>
  <c r="S186" i="19"/>
  <c r="U105" i="19"/>
  <c r="U94" i="19"/>
  <c r="U90" i="19"/>
  <c r="U92" i="19"/>
  <c r="U89" i="19"/>
  <c r="U87" i="19"/>
  <c r="U93" i="19"/>
  <c r="U91" i="19"/>
  <c r="U95" i="19"/>
  <c r="U88" i="19"/>
  <c r="C110" i="19"/>
  <c r="C106" i="19"/>
  <c r="C112" i="19"/>
  <c r="C109" i="19"/>
  <c r="C107" i="19"/>
  <c r="C113" i="19"/>
  <c r="C111" i="19"/>
  <c r="C108" i="19"/>
  <c r="K125" i="19"/>
  <c r="K124" i="19"/>
  <c r="K128" i="19"/>
  <c r="K126" i="19"/>
  <c r="K127" i="19"/>
  <c r="Y158" i="14"/>
  <c r="Y154" i="14"/>
  <c r="Y156" i="14"/>
  <c r="Y157" i="14"/>
  <c r="Y155" i="14"/>
  <c r="Y160" i="14"/>
  <c r="X151" i="14"/>
  <c r="Y159" i="14"/>
  <c r="Y153" i="14"/>
  <c r="S169" i="14"/>
  <c r="S167" i="14"/>
  <c r="S165" i="14"/>
  <c r="S163" i="14"/>
  <c r="S161" i="14"/>
  <c r="S168" i="14"/>
  <c r="S164" i="14"/>
  <c r="S162" i="14"/>
  <c r="S179" i="14"/>
  <c r="S166" i="14"/>
  <c r="U185" i="14"/>
  <c r="U183" i="14"/>
  <c r="U181" i="14"/>
  <c r="U186" i="14"/>
  <c r="U182" i="14"/>
  <c r="U187" i="14"/>
  <c r="U180" i="14"/>
  <c r="U184" i="14"/>
  <c r="Y101" i="14"/>
  <c r="Y97" i="14"/>
  <c r="Y103" i="14"/>
  <c r="Y99" i="14"/>
  <c r="Y104" i="14"/>
  <c r="Y102" i="14"/>
  <c r="Y100" i="14"/>
  <c r="Y98" i="14"/>
  <c r="U95" i="14"/>
  <c r="U91" i="14"/>
  <c r="U87" i="14"/>
  <c r="U93" i="14"/>
  <c r="U89" i="14"/>
  <c r="U90" i="14"/>
  <c r="U88" i="14"/>
  <c r="U105" i="14"/>
  <c r="U94" i="14"/>
  <c r="U92" i="14"/>
  <c r="AA162" i="14"/>
  <c r="T114" i="14"/>
  <c r="U121" i="14"/>
  <c r="U117" i="14"/>
  <c r="U119" i="14"/>
  <c r="U120" i="14"/>
  <c r="U118" i="14"/>
  <c r="U116" i="14"/>
  <c r="U122" i="14"/>
  <c r="F114" i="14"/>
  <c r="Q101" i="13"/>
  <c r="Q97" i="13"/>
  <c r="Q104" i="13"/>
  <c r="Q100" i="13"/>
  <c r="Q103" i="13"/>
  <c r="Q99" i="13"/>
  <c r="Q102" i="13"/>
  <c r="Q98" i="13"/>
  <c r="K104" i="13"/>
  <c r="K100" i="13"/>
  <c r="K103" i="13"/>
  <c r="K99" i="13"/>
  <c r="K102" i="13"/>
  <c r="K98" i="13"/>
  <c r="K101" i="13"/>
  <c r="K97" i="13"/>
  <c r="W112" i="13"/>
  <c r="W108" i="13"/>
  <c r="W111" i="13"/>
  <c r="W107" i="13"/>
  <c r="W113" i="13"/>
  <c r="W110" i="13"/>
  <c r="W106" i="13"/>
  <c r="W109" i="13"/>
  <c r="O112" i="13"/>
  <c r="O108" i="13"/>
  <c r="O111" i="13"/>
  <c r="O107" i="13"/>
  <c r="O113" i="13"/>
  <c r="O110" i="13"/>
  <c r="O106" i="13"/>
  <c r="O109" i="13"/>
  <c r="G112" i="13"/>
  <c r="G108" i="13"/>
  <c r="G111" i="13"/>
  <c r="G107" i="13"/>
  <c r="G113" i="13"/>
  <c r="G110" i="13"/>
  <c r="G106" i="13"/>
  <c r="G109" i="13"/>
  <c r="E127" i="13"/>
  <c r="E126" i="13"/>
  <c r="E125" i="13"/>
  <c r="E128" i="13"/>
  <c r="E124" i="13"/>
  <c r="N67" i="20"/>
  <c r="N61" i="20"/>
  <c r="N62" i="20"/>
  <c r="R142" i="23"/>
  <c r="S142" i="23"/>
  <c r="S123" i="23"/>
  <c r="S115" i="23"/>
  <c r="AB59" i="23"/>
  <c r="AA60" i="23"/>
  <c r="M187" i="23"/>
  <c r="M184" i="23"/>
  <c r="M183" i="23"/>
  <c r="M180" i="23"/>
  <c r="M186" i="23"/>
  <c r="M181" i="23"/>
  <c r="M185" i="23"/>
  <c r="M182" i="23"/>
  <c r="S158" i="23"/>
  <c r="S154" i="23"/>
  <c r="R151" i="23"/>
  <c r="S157" i="23"/>
  <c r="S155" i="23"/>
  <c r="S156" i="23"/>
  <c r="S160" i="23"/>
  <c r="S153" i="23"/>
  <c r="S159" i="23"/>
  <c r="K177" i="23"/>
  <c r="K173" i="23"/>
  <c r="K178" i="23"/>
  <c r="K171" i="23"/>
  <c r="K172" i="23"/>
  <c r="K176" i="23"/>
  <c r="K174" i="23"/>
  <c r="K175" i="23"/>
  <c r="Z170" i="23"/>
  <c r="AA171" i="23"/>
  <c r="N188" i="23"/>
  <c r="O194" i="23"/>
  <c r="O190" i="23"/>
  <c r="O195" i="23"/>
  <c r="O196" i="23"/>
  <c r="O193" i="23"/>
  <c r="O191" i="23"/>
  <c r="O192" i="23"/>
  <c r="O86" i="23"/>
  <c r="O82" i="23"/>
  <c r="O80" i="23"/>
  <c r="O84" i="23"/>
  <c r="O85" i="23"/>
  <c r="O83" i="23"/>
  <c r="O81" i="23"/>
  <c r="N77" i="23"/>
  <c r="O79" i="23"/>
  <c r="B77" i="23"/>
  <c r="C84" i="23"/>
  <c r="C80" i="23"/>
  <c r="C85" i="23"/>
  <c r="C82" i="23"/>
  <c r="C83" i="23"/>
  <c r="C81" i="23"/>
  <c r="C79" i="23"/>
  <c r="C86" i="23"/>
  <c r="AA173" i="19"/>
  <c r="F77" i="29"/>
  <c r="G85" i="29"/>
  <c r="G81" i="29"/>
  <c r="G84" i="29"/>
  <c r="G80" i="29"/>
  <c r="G83" i="29"/>
  <c r="G79" i="29"/>
  <c r="G86" i="29"/>
  <c r="G82" i="29"/>
  <c r="V151" i="29"/>
  <c r="W158" i="29"/>
  <c r="W154" i="29"/>
  <c r="W159" i="29"/>
  <c r="W157" i="29"/>
  <c r="W153" i="29"/>
  <c r="W160" i="29"/>
  <c r="W156" i="29"/>
  <c r="W155" i="29"/>
  <c r="C104" i="23"/>
  <c r="C100" i="23"/>
  <c r="C103" i="23"/>
  <c r="C101" i="23"/>
  <c r="C98" i="23"/>
  <c r="C99" i="23"/>
  <c r="C97" i="23"/>
  <c r="C102" i="23"/>
  <c r="D114" i="29"/>
  <c r="E120" i="29"/>
  <c r="E116" i="29"/>
  <c r="E118" i="29"/>
  <c r="E122" i="29"/>
  <c r="E119" i="29"/>
  <c r="E117" i="29"/>
  <c r="E121" i="29"/>
  <c r="Z152" i="29"/>
  <c r="Y185" i="13"/>
  <c r="Y183" i="13"/>
  <c r="Y181" i="13"/>
  <c r="Y186" i="13"/>
  <c r="Y187" i="13"/>
  <c r="Y184" i="13"/>
  <c r="Y182" i="13"/>
  <c r="Y180" i="13"/>
  <c r="Q185" i="13"/>
  <c r="Q183" i="13"/>
  <c r="Q181" i="13"/>
  <c r="Q187" i="13"/>
  <c r="Q184" i="13"/>
  <c r="Q182" i="13"/>
  <c r="Q180" i="13"/>
  <c r="Q186" i="13"/>
  <c r="I185" i="13"/>
  <c r="I183" i="13"/>
  <c r="I181" i="13"/>
  <c r="I182" i="13"/>
  <c r="I180" i="13"/>
  <c r="I186" i="13"/>
  <c r="I187" i="13"/>
  <c r="I184" i="13"/>
  <c r="C186" i="13"/>
  <c r="C183" i="13"/>
  <c r="C184" i="13"/>
  <c r="C181" i="13"/>
  <c r="C187" i="13"/>
  <c r="C182" i="13"/>
  <c r="C185" i="13"/>
  <c r="C180" i="13"/>
  <c r="G201" i="13"/>
  <c r="G202" i="13"/>
  <c r="G199" i="13"/>
  <c r="G200" i="13"/>
  <c r="G198" i="13"/>
  <c r="Y68" i="14"/>
  <c r="J216" i="14"/>
  <c r="K216" i="14"/>
  <c r="K189" i="14"/>
  <c r="K197" i="14"/>
  <c r="B114" i="13"/>
  <c r="C120" i="13"/>
  <c r="C116" i="13"/>
  <c r="C119" i="13"/>
  <c r="C122" i="13"/>
  <c r="C118" i="13"/>
  <c r="C121" i="13"/>
  <c r="C117" i="13"/>
  <c r="C68" i="13"/>
  <c r="C66" i="20"/>
  <c r="C64" i="20"/>
  <c r="C57" i="20"/>
  <c r="C193" i="19"/>
  <c r="C196" i="19"/>
  <c r="C194" i="19"/>
  <c r="B188" i="19"/>
  <c r="C191" i="19"/>
  <c r="C195" i="19"/>
  <c r="C192" i="19"/>
  <c r="C190" i="19"/>
  <c r="K187" i="19"/>
  <c r="K185" i="19"/>
  <c r="K183" i="19"/>
  <c r="K181" i="19"/>
  <c r="K182" i="19"/>
  <c r="K180" i="19"/>
  <c r="K186" i="19"/>
  <c r="K184" i="19"/>
  <c r="O179" i="19"/>
  <c r="I57" i="19"/>
  <c r="I56" i="19"/>
  <c r="M57" i="19"/>
  <c r="M56" i="19"/>
  <c r="S57" i="19"/>
  <c r="S56" i="19"/>
  <c r="U57" i="19"/>
  <c r="U56" i="19"/>
  <c r="S95" i="19"/>
  <c r="S91" i="19"/>
  <c r="S87" i="19"/>
  <c r="S105" i="19"/>
  <c r="S90" i="19"/>
  <c r="S88" i="19"/>
  <c r="S94" i="19"/>
  <c r="S92" i="19"/>
  <c r="S89" i="19"/>
  <c r="S93" i="19"/>
  <c r="G127" i="19"/>
  <c r="G125" i="19"/>
  <c r="G126" i="19"/>
  <c r="G124" i="19"/>
  <c r="G128" i="19"/>
  <c r="I177" i="14"/>
  <c r="I173" i="14"/>
  <c r="I176" i="14"/>
  <c r="I174" i="14"/>
  <c r="I175" i="14"/>
  <c r="I178" i="14"/>
  <c r="I172" i="14"/>
  <c r="I171" i="14"/>
  <c r="G159" i="14"/>
  <c r="G155" i="14"/>
  <c r="G160" i="14"/>
  <c r="G153" i="14"/>
  <c r="F151" i="14"/>
  <c r="G154" i="14"/>
  <c r="G156" i="14"/>
  <c r="G158" i="14"/>
  <c r="G157" i="14"/>
  <c r="C176" i="14"/>
  <c r="C172" i="14"/>
  <c r="C175" i="14"/>
  <c r="C173" i="14"/>
  <c r="C174" i="14"/>
  <c r="C171" i="14"/>
  <c r="C178" i="14"/>
  <c r="C177" i="14"/>
  <c r="I168" i="14"/>
  <c r="I163" i="14"/>
  <c r="I167" i="14"/>
  <c r="I164" i="14"/>
  <c r="I169" i="14"/>
  <c r="I166" i="14"/>
  <c r="I165" i="14"/>
  <c r="I162" i="14"/>
  <c r="I179" i="14"/>
  <c r="I161" i="14"/>
  <c r="G102" i="14"/>
  <c r="G98" i="14"/>
  <c r="G104" i="14"/>
  <c r="G100" i="14"/>
  <c r="G101" i="14"/>
  <c r="G99" i="14"/>
  <c r="G97" i="14"/>
  <c r="G103" i="14"/>
  <c r="Z78" i="14"/>
  <c r="C122" i="14"/>
  <c r="C118" i="14"/>
  <c r="B114" i="14"/>
  <c r="C120" i="14"/>
  <c r="C116" i="14"/>
  <c r="C117" i="14"/>
  <c r="C121" i="14"/>
  <c r="C119" i="14"/>
  <c r="D68" i="18"/>
  <c r="D71" i="18"/>
  <c r="D69" i="18"/>
  <c r="D70" i="18"/>
  <c r="W102" i="13"/>
  <c r="W98" i="13"/>
  <c r="W101" i="13"/>
  <c r="W97" i="13"/>
  <c r="W104" i="13"/>
  <c r="W100" i="13"/>
  <c r="W103" i="13"/>
  <c r="W99" i="13"/>
  <c r="M103" i="13"/>
  <c r="M99" i="13"/>
  <c r="M102" i="13"/>
  <c r="M98" i="13"/>
  <c r="M101" i="13"/>
  <c r="M97" i="13"/>
  <c r="M104" i="13"/>
  <c r="M100" i="13"/>
  <c r="F114" i="13"/>
  <c r="Q201" i="23"/>
  <c r="Q199" i="23"/>
  <c r="Q200" i="23"/>
  <c r="Q198" i="23"/>
  <c r="Q202" i="23"/>
  <c r="S186" i="23"/>
  <c r="S184" i="23"/>
  <c r="S182" i="23"/>
  <c r="S180" i="23"/>
  <c r="S187" i="23"/>
  <c r="S183" i="23"/>
  <c r="S185" i="23"/>
  <c r="S181" i="23"/>
  <c r="S168" i="23"/>
  <c r="S163" i="23"/>
  <c r="S167" i="23"/>
  <c r="S164" i="23"/>
  <c r="S165" i="23"/>
  <c r="S162" i="23"/>
  <c r="S169" i="23"/>
  <c r="S166" i="23"/>
  <c r="S161" i="23"/>
  <c r="S179" i="23"/>
  <c r="C186" i="23"/>
  <c r="C184" i="23"/>
  <c r="C182" i="23"/>
  <c r="C180" i="23"/>
  <c r="C187" i="23"/>
  <c r="C183" i="23"/>
  <c r="C181" i="23"/>
  <c r="C185" i="23"/>
  <c r="W109" i="23"/>
  <c r="W113" i="23"/>
  <c r="W108" i="23"/>
  <c r="W106" i="23"/>
  <c r="W112" i="23"/>
  <c r="W110" i="23"/>
  <c r="W111" i="23"/>
  <c r="W107" i="23"/>
  <c r="Y93" i="23"/>
  <c r="Y89" i="23"/>
  <c r="Y105" i="23"/>
  <c r="Y94" i="23"/>
  <c r="Y87" i="23"/>
  <c r="Y91" i="23"/>
  <c r="Y92" i="23"/>
  <c r="Y90" i="23"/>
  <c r="Y95" i="23"/>
  <c r="Y88" i="23"/>
  <c r="AA173" i="14"/>
  <c r="J77" i="29"/>
  <c r="K83" i="29"/>
  <c r="K79" i="29"/>
  <c r="K86" i="29"/>
  <c r="K82" i="29"/>
  <c r="K85" i="29"/>
  <c r="K81" i="29"/>
  <c r="K84" i="29"/>
  <c r="K80" i="29"/>
  <c r="B188" i="13"/>
  <c r="C195" i="13"/>
  <c r="C191" i="13"/>
  <c r="C196" i="13"/>
  <c r="C193" i="13"/>
  <c r="C190" i="13"/>
  <c r="C194" i="13"/>
  <c r="C192" i="13"/>
  <c r="U194" i="13"/>
  <c r="U190" i="13"/>
  <c r="T188" i="13"/>
  <c r="U192" i="13"/>
  <c r="U196" i="13"/>
  <c r="U193" i="13"/>
  <c r="U191" i="13"/>
  <c r="U195" i="13"/>
  <c r="O197" i="14"/>
  <c r="O189" i="14"/>
  <c r="N216" i="14"/>
  <c r="O216" i="14"/>
  <c r="M197" i="14"/>
  <c r="M189" i="14"/>
  <c r="L216" i="14"/>
  <c r="M216" i="14"/>
  <c r="G119" i="19"/>
  <c r="G118" i="19"/>
  <c r="G116" i="19"/>
  <c r="G122" i="19"/>
  <c r="G120" i="19"/>
  <c r="G117" i="19"/>
  <c r="F114" i="19"/>
  <c r="G121" i="19"/>
  <c r="I177" i="19"/>
  <c r="I173" i="19"/>
  <c r="I178" i="19"/>
  <c r="I171" i="19"/>
  <c r="I175" i="19"/>
  <c r="I172" i="19"/>
  <c r="I176" i="19"/>
  <c r="I174" i="19"/>
  <c r="K157" i="19"/>
  <c r="K153" i="19"/>
  <c r="K156" i="19"/>
  <c r="K154" i="19"/>
  <c r="K160" i="19"/>
  <c r="K158" i="19"/>
  <c r="K155" i="19"/>
  <c r="J151" i="19"/>
  <c r="K159" i="19"/>
  <c r="Q168" i="19"/>
  <c r="Q163" i="19"/>
  <c r="Q169" i="19"/>
  <c r="Q166" i="19"/>
  <c r="Q161" i="19"/>
  <c r="Q179" i="19"/>
  <c r="Q167" i="19"/>
  <c r="Q164" i="19"/>
  <c r="Q165" i="19"/>
  <c r="Q162" i="19"/>
  <c r="Z179" i="19"/>
  <c r="AA179" i="19"/>
  <c r="C176" i="19"/>
  <c r="C172" i="19"/>
  <c r="C177" i="19"/>
  <c r="C174" i="19"/>
  <c r="C178" i="19"/>
  <c r="C171" i="19"/>
  <c r="C175" i="19"/>
  <c r="C173" i="19"/>
  <c r="E196" i="19"/>
  <c r="E192" i="19"/>
  <c r="E191" i="19"/>
  <c r="E195" i="19"/>
  <c r="E193" i="19"/>
  <c r="E190" i="19"/>
  <c r="D188" i="19"/>
  <c r="E194" i="19"/>
  <c r="I202" i="19"/>
  <c r="I198" i="19"/>
  <c r="I201" i="19"/>
  <c r="I199" i="19"/>
  <c r="I200" i="19"/>
  <c r="E105" i="19"/>
  <c r="E94" i="19"/>
  <c r="E90" i="19"/>
  <c r="E93" i="19"/>
  <c r="E91" i="19"/>
  <c r="E95" i="19"/>
  <c r="E88" i="19"/>
  <c r="E92" i="19"/>
  <c r="E89" i="19"/>
  <c r="E87" i="19"/>
  <c r="K95" i="19"/>
  <c r="K91" i="19"/>
  <c r="K87" i="19"/>
  <c r="K94" i="19"/>
  <c r="K92" i="19"/>
  <c r="K89" i="19"/>
  <c r="K105" i="19"/>
  <c r="K93" i="19"/>
  <c r="K90" i="19"/>
  <c r="K88" i="19"/>
  <c r="Y111" i="19"/>
  <c r="Y107" i="19"/>
  <c r="Y112" i="19"/>
  <c r="Y109" i="19"/>
  <c r="Y113" i="19"/>
  <c r="Y106" i="19"/>
  <c r="Y110" i="19"/>
  <c r="Y108" i="19"/>
  <c r="I104" i="19"/>
  <c r="I100" i="19"/>
  <c r="I99" i="19"/>
  <c r="I97" i="19"/>
  <c r="I103" i="19"/>
  <c r="I101" i="19"/>
  <c r="I98" i="19"/>
  <c r="I102" i="19"/>
  <c r="M175" i="14"/>
  <c r="M171" i="14"/>
  <c r="M173" i="14"/>
  <c r="M174" i="14"/>
  <c r="M172" i="14"/>
  <c r="M178" i="14"/>
  <c r="M177" i="14"/>
  <c r="M176" i="14"/>
  <c r="S176" i="14"/>
  <c r="S172" i="14"/>
  <c r="S174" i="14"/>
  <c r="S175" i="14"/>
  <c r="S173" i="14"/>
  <c r="S177" i="14"/>
  <c r="S171" i="14"/>
  <c r="S178" i="14"/>
  <c r="O168" i="14"/>
  <c r="O166" i="14"/>
  <c r="O164" i="14"/>
  <c r="O162" i="14"/>
  <c r="O179" i="14"/>
  <c r="O167" i="14"/>
  <c r="O163" i="14"/>
  <c r="O169" i="14"/>
  <c r="O165" i="14"/>
  <c r="O161" i="14"/>
  <c r="D77" i="14"/>
  <c r="E83" i="14"/>
  <c r="E79" i="14"/>
  <c r="E85" i="14"/>
  <c r="E81" i="14"/>
  <c r="E82" i="14"/>
  <c r="E80" i="14"/>
  <c r="E86" i="14"/>
  <c r="E84" i="14"/>
  <c r="I85" i="14"/>
  <c r="I81" i="14"/>
  <c r="I83" i="14"/>
  <c r="I79" i="14"/>
  <c r="H77" i="14"/>
  <c r="I80" i="14"/>
  <c r="I86" i="14"/>
  <c r="I84" i="14"/>
  <c r="I82" i="14"/>
  <c r="I113" i="14"/>
  <c r="I112" i="14"/>
  <c r="I108" i="14"/>
  <c r="I110" i="14"/>
  <c r="I106" i="14"/>
  <c r="I111" i="14"/>
  <c r="I109" i="14"/>
  <c r="I107" i="14"/>
  <c r="O109" i="14"/>
  <c r="O113" i="14"/>
  <c r="O111" i="14"/>
  <c r="O107" i="14"/>
  <c r="O112" i="14"/>
  <c r="O110" i="14"/>
  <c r="O108" i="14"/>
  <c r="O106" i="14"/>
  <c r="C92" i="14"/>
  <c r="C88" i="14"/>
  <c r="C94" i="14"/>
  <c r="C90" i="14"/>
  <c r="C95" i="14"/>
  <c r="C87" i="14"/>
  <c r="C93" i="14"/>
  <c r="C91" i="14"/>
  <c r="C105" i="14"/>
  <c r="C89" i="14"/>
  <c r="K111" i="14"/>
  <c r="K107" i="14"/>
  <c r="K113" i="14"/>
  <c r="K109" i="14"/>
  <c r="K106" i="14"/>
  <c r="K112" i="14"/>
  <c r="K110" i="14"/>
  <c r="K108" i="14"/>
  <c r="X188" i="19"/>
  <c r="Y194" i="19"/>
  <c r="Y190" i="19"/>
  <c r="Y196" i="19"/>
  <c r="Y193" i="19"/>
  <c r="Y191" i="19"/>
  <c r="Y195" i="19"/>
  <c r="Y192" i="19"/>
  <c r="U95" i="13"/>
  <c r="U91" i="13"/>
  <c r="U87" i="13"/>
  <c r="U105" i="13"/>
  <c r="U94" i="13"/>
  <c r="U90" i="13"/>
  <c r="U93" i="13"/>
  <c r="U89" i="13"/>
  <c r="U92" i="13"/>
  <c r="U88" i="13"/>
  <c r="M95" i="13"/>
  <c r="M91" i="13"/>
  <c r="M87" i="13"/>
  <c r="M105" i="13"/>
  <c r="M94" i="13"/>
  <c r="M90" i="13"/>
  <c r="M93" i="13"/>
  <c r="M89" i="13"/>
  <c r="M92" i="13"/>
  <c r="M88" i="13"/>
  <c r="E95" i="13"/>
  <c r="E91" i="13"/>
  <c r="E87" i="13"/>
  <c r="E89" i="13"/>
  <c r="E105" i="13"/>
  <c r="E94" i="13"/>
  <c r="E90" i="13"/>
  <c r="E93" i="13"/>
  <c r="E92" i="13"/>
  <c r="E88" i="13"/>
  <c r="D114" i="13"/>
  <c r="E119" i="13"/>
  <c r="E122" i="13"/>
  <c r="E118" i="13"/>
  <c r="E121" i="13"/>
  <c r="E117" i="13"/>
  <c r="E120" i="13"/>
  <c r="E116" i="13"/>
  <c r="E52" i="21"/>
  <c r="J52" i="21"/>
  <c r="J47" i="21"/>
  <c r="C196" i="23"/>
  <c r="C192" i="23"/>
  <c r="B188" i="23"/>
  <c r="C195" i="23"/>
  <c r="C193" i="23"/>
  <c r="C194" i="23"/>
  <c r="C191" i="23"/>
  <c r="C190" i="23"/>
  <c r="Q187" i="23"/>
  <c r="Q185" i="23"/>
  <c r="Q180" i="23"/>
  <c r="Q184" i="23"/>
  <c r="Q181" i="23"/>
  <c r="Q182" i="23"/>
  <c r="Q186" i="23"/>
  <c r="Q183" i="23"/>
  <c r="M179" i="23"/>
  <c r="M169" i="23"/>
  <c r="M167" i="23"/>
  <c r="M165" i="23"/>
  <c r="M163" i="23"/>
  <c r="M161" i="23"/>
  <c r="M164" i="23"/>
  <c r="M168" i="23"/>
  <c r="M166" i="23"/>
  <c r="M162" i="23"/>
  <c r="Y179" i="23"/>
  <c r="Y168" i="23"/>
  <c r="Y166" i="23"/>
  <c r="Y164" i="23"/>
  <c r="Y162" i="23"/>
  <c r="Y167" i="23"/>
  <c r="Y163" i="23"/>
  <c r="Y169" i="23"/>
  <c r="Y161" i="23"/>
  <c r="Y165" i="23"/>
  <c r="Q85" i="23"/>
  <c r="Q81" i="23"/>
  <c r="Q84" i="23"/>
  <c r="Q82" i="23"/>
  <c r="Q86" i="23"/>
  <c r="Q79" i="23"/>
  <c r="Q80" i="23"/>
  <c r="Q83" i="23"/>
  <c r="P77" i="23"/>
  <c r="K111" i="23"/>
  <c r="K107" i="23"/>
  <c r="K106" i="23"/>
  <c r="K113" i="23"/>
  <c r="K110" i="23"/>
  <c r="K108" i="23"/>
  <c r="K109" i="23"/>
  <c r="K112" i="23"/>
  <c r="Y101" i="23"/>
  <c r="Y97" i="23"/>
  <c r="Y103" i="23"/>
  <c r="Y100" i="23"/>
  <c r="Y98" i="23"/>
  <c r="Y99" i="23"/>
  <c r="Y102" i="23"/>
  <c r="Y104" i="23"/>
  <c r="AA153" i="14"/>
  <c r="Y104" i="29"/>
  <c r="Y100" i="29"/>
  <c r="Y103" i="29"/>
  <c r="Y99" i="29"/>
  <c r="Y102" i="29"/>
  <c r="Y98" i="29"/>
  <c r="Y101" i="29"/>
  <c r="Y97" i="29"/>
  <c r="E178" i="29"/>
  <c r="E174" i="29"/>
  <c r="E177" i="29"/>
  <c r="E175" i="29"/>
  <c r="E176" i="29"/>
  <c r="E172" i="29"/>
  <c r="E171" i="29"/>
  <c r="E173" i="29"/>
  <c r="J151" i="29"/>
  <c r="K160" i="29"/>
  <c r="K156" i="29"/>
  <c r="K159" i="29"/>
  <c r="K157" i="29"/>
  <c r="K158" i="29"/>
  <c r="K154" i="29"/>
  <c r="K153" i="29"/>
  <c r="K155" i="29"/>
  <c r="I202" i="29"/>
  <c r="I198" i="29"/>
  <c r="I201" i="29"/>
  <c r="I199" i="29"/>
  <c r="I200" i="29"/>
  <c r="B151" i="13"/>
  <c r="C157" i="13"/>
  <c r="C153" i="13"/>
  <c r="C160" i="13"/>
  <c r="C156" i="13"/>
  <c r="C159" i="13"/>
  <c r="C155" i="13"/>
  <c r="C158" i="13"/>
  <c r="C154" i="13"/>
  <c r="U168" i="13"/>
  <c r="U166" i="13"/>
  <c r="U164" i="13"/>
  <c r="U162" i="13"/>
  <c r="U165" i="13"/>
  <c r="U163" i="13"/>
  <c r="U169" i="13"/>
  <c r="U161" i="13"/>
  <c r="U179" i="13"/>
  <c r="U167" i="13"/>
  <c r="M168" i="13"/>
  <c r="M166" i="13"/>
  <c r="M164" i="13"/>
  <c r="M162" i="13"/>
  <c r="M163" i="13"/>
  <c r="M169" i="13"/>
  <c r="M161" i="13"/>
  <c r="M179" i="13"/>
  <c r="M167" i="13"/>
  <c r="M165" i="13"/>
  <c r="E168" i="13"/>
  <c r="E166" i="13"/>
  <c r="E164" i="13"/>
  <c r="E162" i="13"/>
  <c r="E169" i="13"/>
  <c r="E161" i="13"/>
  <c r="E179" i="13"/>
  <c r="E167" i="13"/>
  <c r="E165" i="13"/>
  <c r="E163" i="13"/>
  <c r="U178" i="13"/>
  <c r="U174" i="13"/>
  <c r="U172" i="13"/>
  <c r="U176" i="13"/>
  <c r="U173" i="13"/>
  <c r="U171" i="13"/>
  <c r="U177" i="13"/>
  <c r="U175" i="13"/>
  <c r="P188" i="13"/>
  <c r="Q196" i="13"/>
  <c r="Q192" i="13"/>
  <c r="Q195" i="13"/>
  <c r="Q193" i="13"/>
  <c r="Q190" i="13"/>
  <c r="Q194" i="13"/>
  <c r="Q191" i="13"/>
  <c r="Z197" i="13"/>
  <c r="AA198" i="13"/>
  <c r="L58" i="13"/>
  <c r="E128" i="19"/>
  <c r="E124" i="19"/>
  <c r="E127" i="19"/>
  <c r="E125" i="19"/>
  <c r="E126" i="19"/>
  <c r="G57" i="13"/>
  <c r="G56" i="13"/>
  <c r="Z57" i="13"/>
  <c r="B56" i="13"/>
  <c r="K56" i="13"/>
  <c r="K57" i="13"/>
  <c r="Y57" i="13"/>
  <c r="Y56" i="13"/>
  <c r="O178" i="19"/>
  <c r="O174" i="19"/>
  <c r="O172" i="19"/>
  <c r="O176" i="19"/>
  <c r="O173" i="19"/>
  <c r="O171" i="19"/>
  <c r="O177" i="19"/>
  <c r="O175" i="19"/>
  <c r="U175" i="19"/>
  <c r="U171" i="19"/>
  <c r="U173" i="19"/>
  <c r="U177" i="19"/>
  <c r="U174" i="19"/>
  <c r="U172" i="19"/>
  <c r="U178" i="19"/>
  <c r="U176" i="19"/>
  <c r="S157" i="19"/>
  <c r="S153" i="19"/>
  <c r="R151" i="19"/>
  <c r="S159" i="19"/>
  <c r="S156" i="19"/>
  <c r="S154" i="19"/>
  <c r="S160" i="19"/>
  <c r="S158" i="19"/>
  <c r="S155" i="19"/>
  <c r="U182" i="19"/>
  <c r="U187" i="19"/>
  <c r="U185" i="19"/>
  <c r="U180" i="19"/>
  <c r="U186" i="19"/>
  <c r="U183" i="19"/>
  <c r="U184" i="19"/>
  <c r="U181" i="19"/>
  <c r="W195" i="19"/>
  <c r="W191" i="19"/>
  <c r="V188" i="19"/>
  <c r="W194" i="19"/>
  <c r="W192" i="19"/>
  <c r="W196" i="19"/>
  <c r="W193" i="19"/>
  <c r="W190" i="19"/>
  <c r="N68" i="18"/>
  <c r="N71" i="18"/>
  <c r="N69" i="18"/>
  <c r="N70" i="18"/>
  <c r="H61" i="20"/>
  <c r="H62" i="20"/>
  <c r="H67" i="20"/>
  <c r="M109" i="19"/>
  <c r="M112" i="19"/>
  <c r="M110" i="19"/>
  <c r="M107" i="19"/>
  <c r="M111" i="19"/>
  <c r="M113" i="19"/>
  <c r="M108" i="19"/>
  <c r="M106" i="19"/>
  <c r="O93" i="19"/>
  <c r="O89" i="19"/>
  <c r="O91" i="19"/>
  <c r="O95" i="19"/>
  <c r="O88" i="19"/>
  <c r="O92" i="19"/>
  <c r="O90" i="19"/>
  <c r="O105" i="19"/>
  <c r="O94" i="19"/>
  <c r="O87" i="19"/>
  <c r="J114" i="19"/>
  <c r="K121" i="19"/>
  <c r="K117" i="19"/>
  <c r="K122" i="19"/>
  <c r="K119" i="19"/>
  <c r="K116" i="19"/>
  <c r="K120" i="19"/>
  <c r="K118" i="19"/>
  <c r="Z123" i="19"/>
  <c r="Z179" i="14"/>
  <c r="AA179" i="14"/>
  <c r="E179" i="14"/>
  <c r="E167" i="14"/>
  <c r="E162" i="14"/>
  <c r="E166" i="14"/>
  <c r="E163" i="14"/>
  <c r="E164" i="14"/>
  <c r="E161" i="14"/>
  <c r="E169" i="14"/>
  <c r="E168" i="14"/>
  <c r="E165" i="14"/>
  <c r="M83" i="14"/>
  <c r="M79" i="14"/>
  <c r="L77" i="14"/>
  <c r="M85" i="14"/>
  <c r="M81" i="14"/>
  <c r="M86" i="14"/>
  <c r="M84" i="14"/>
  <c r="M82" i="14"/>
  <c r="M80" i="14"/>
  <c r="P77" i="14"/>
  <c r="Q85" i="14"/>
  <c r="Q81" i="14"/>
  <c r="Q83" i="14"/>
  <c r="Q79" i="14"/>
  <c r="Q84" i="14"/>
  <c r="Q82" i="14"/>
  <c r="Q80" i="14"/>
  <c r="Q86" i="14"/>
  <c r="Q113" i="14"/>
  <c r="Q112" i="14"/>
  <c r="Q108" i="14"/>
  <c r="Q110" i="14"/>
  <c r="Q106" i="14"/>
  <c r="Q107" i="14"/>
  <c r="Q111" i="14"/>
  <c r="Q109" i="14"/>
  <c r="M113" i="14"/>
  <c r="M110" i="14"/>
  <c r="M106" i="14"/>
  <c r="M112" i="14"/>
  <c r="M108" i="14"/>
  <c r="M109" i="14"/>
  <c r="M107" i="14"/>
  <c r="M111" i="14"/>
  <c r="S92" i="14"/>
  <c r="S88" i="14"/>
  <c r="S94" i="14"/>
  <c r="S90" i="14"/>
  <c r="S95" i="14"/>
  <c r="S87" i="14"/>
  <c r="S93" i="14"/>
  <c r="S91" i="14"/>
  <c r="S105" i="14"/>
  <c r="S89" i="14"/>
  <c r="M125" i="14"/>
  <c r="M127" i="14"/>
  <c r="M124" i="14"/>
  <c r="M128" i="14"/>
  <c r="M126" i="14"/>
  <c r="H188" i="19"/>
  <c r="F77" i="13"/>
  <c r="G86" i="13"/>
  <c r="G82" i="13"/>
  <c r="G85" i="13"/>
  <c r="G81" i="13"/>
  <c r="G80" i="13"/>
  <c r="G84" i="13"/>
  <c r="G83" i="13"/>
  <c r="G79" i="13"/>
  <c r="B77" i="13"/>
  <c r="C84" i="13"/>
  <c r="C80" i="13"/>
  <c r="C83" i="13"/>
  <c r="C79" i="13"/>
  <c r="C82" i="13"/>
  <c r="C86" i="13"/>
  <c r="C85" i="13"/>
  <c r="C81" i="13"/>
  <c r="Z96" i="13"/>
  <c r="T77" i="13"/>
  <c r="U83" i="13"/>
  <c r="U79" i="13"/>
  <c r="U86" i="13"/>
  <c r="U82" i="13"/>
  <c r="U85" i="13"/>
  <c r="U81" i="13"/>
  <c r="U84" i="13"/>
  <c r="U80" i="13"/>
  <c r="Z189" i="23"/>
  <c r="G160" i="23"/>
  <c r="G156" i="23"/>
  <c r="G155" i="23"/>
  <c r="G153" i="23"/>
  <c r="G154" i="23"/>
  <c r="F151" i="23"/>
  <c r="G158" i="23"/>
  <c r="G159" i="23"/>
  <c r="G157" i="23"/>
  <c r="K158" i="23"/>
  <c r="K154" i="23"/>
  <c r="K159" i="23"/>
  <c r="K160" i="23"/>
  <c r="K153" i="23"/>
  <c r="J151" i="23"/>
  <c r="K157" i="23"/>
  <c r="K155" i="23"/>
  <c r="K156" i="23"/>
  <c r="Z152" i="23"/>
  <c r="AA153" i="23"/>
  <c r="U195" i="23"/>
  <c r="U191" i="23"/>
  <c r="U196" i="23"/>
  <c r="T188" i="23"/>
  <c r="U190" i="23"/>
  <c r="U194" i="23"/>
  <c r="U192" i="23"/>
  <c r="U193" i="23"/>
  <c r="G94" i="23"/>
  <c r="G90" i="23"/>
  <c r="G93" i="23"/>
  <c r="G91" i="23"/>
  <c r="G95" i="23"/>
  <c r="G88" i="23"/>
  <c r="G89" i="23"/>
  <c r="G87" i="23"/>
  <c r="G105" i="23"/>
  <c r="G92" i="23"/>
  <c r="E95" i="23"/>
  <c r="E91" i="23"/>
  <c r="E87" i="23"/>
  <c r="E89" i="23"/>
  <c r="E93" i="23"/>
  <c r="E105" i="23"/>
  <c r="E94" i="23"/>
  <c r="E92" i="23"/>
  <c r="E88" i="23"/>
  <c r="E90" i="23"/>
  <c r="K92" i="23"/>
  <c r="K88" i="23"/>
  <c r="K90" i="23"/>
  <c r="K94" i="23"/>
  <c r="K87" i="23"/>
  <c r="K105" i="23"/>
  <c r="K95" i="23"/>
  <c r="K93" i="23"/>
  <c r="K91" i="23"/>
  <c r="K89" i="23"/>
  <c r="AA201" i="19"/>
  <c r="AA54" i="19"/>
  <c r="AA50" i="19"/>
  <c r="AA200" i="19"/>
  <c r="AA198" i="19"/>
  <c r="AA202" i="19"/>
  <c r="AA53" i="19"/>
  <c r="AA51" i="19"/>
  <c r="AA199" i="19"/>
  <c r="AA52" i="19"/>
  <c r="O85" i="29"/>
  <c r="O81" i="29"/>
  <c r="N77" i="29"/>
  <c r="O84" i="29"/>
  <c r="O80" i="29"/>
  <c r="O83" i="29"/>
  <c r="O79" i="29"/>
  <c r="O86" i="29"/>
  <c r="O82" i="29"/>
  <c r="M102" i="29"/>
  <c r="M98" i="29"/>
  <c r="M101" i="29"/>
  <c r="M97" i="29"/>
  <c r="M104" i="29"/>
  <c r="M100" i="29"/>
  <c r="M103" i="29"/>
  <c r="M99" i="29"/>
  <c r="U102" i="29"/>
  <c r="U98" i="29"/>
  <c r="U101" i="29"/>
  <c r="U97" i="29"/>
  <c r="U104" i="29"/>
  <c r="U100" i="29"/>
  <c r="U103" i="29"/>
  <c r="U99" i="29"/>
  <c r="AA175" i="29"/>
  <c r="AA171" i="29"/>
  <c r="AA177" i="29"/>
  <c r="AA178" i="29"/>
  <c r="AA172" i="29"/>
  <c r="AA174" i="29"/>
  <c r="AA173" i="29"/>
  <c r="AA176" i="29"/>
  <c r="AA29" i="29"/>
  <c r="AA27" i="29"/>
  <c r="AA25" i="29"/>
  <c r="AA23" i="29"/>
  <c r="AB22" i="29"/>
  <c r="AA30" i="29"/>
  <c r="AA28" i="29"/>
  <c r="AA26" i="29"/>
  <c r="AA24" i="29"/>
  <c r="N188" i="29"/>
  <c r="O196" i="29"/>
  <c r="O192" i="29"/>
  <c r="O195" i="29"/>
  <c r="O191" i="29"/>
  <c r="O194" i="29"/>
  <c r="O190" i="29"/>
  <c r="O193" i="29"/>
  <c r="M200" i="29"/>
  <c r="M201" i="29"/>
  <c r="M198" i="29"/>
  <c r="M202" i="29"/>
  <c r="M199" i="29"/>
  <c r="S111" i="23"/>
  <c r="S107" i="23"/>
  <c r="S109" i="23"/>
  <c r="S106" i="23"/>
  <c r="S113" i="23"/>
  <c r="S112" i="23"/>
  <c r="S110" i="23"/>
  <c r="S108" i="23"/>
  <c r="H151" i="29"/>
  <c r="I157" i="29"/>
  <c r="I153" i="29"/>
  <c r="I155" i="29"/>
  <c r="I159" i="29"/>
  <c r="I158" i="29"/>
  <c r="I160" i="29"/>
  <c r="I154" i="29"/>
  <c r="I156" i="29"/>
  <c r="U105" i="23"/>
  <c r="Y84" i="29"/>
  <c r="Y80" i="29"/>
  <c r="X77" i="29"/>
  <c r="Y83" i="29"/>
  <c r="Y79" i="29"/>
  <c r="Y86" i="29"/>
  <c r="Y82" i="29"/>
  <c r="Y85" i="29"/>
  <c r="Y81" i="29"/>
  <c r="Q176" i="29"/>
  <c r="Q172" i="29"/>
  <c r="Q177" i="29"/>
  <c r="Q174" i="29"/>
  <c r="Q173" i="29"/>
  <c r="Q175" i="29"/>
  <c r="Q171" i="29"/>
  <c r="Q178" i="29"/>
  <c r="R188" i="29"/>
  <c r="O55" i="14"/>
  <c r="O61" i="14"/>
  <c r="O58" i="14"/>
  <c r="K61" i="14"/>
  <c r="K55" i="14"/>
  <c r="K58" i="14"/>
  <c r="T69" i="13"/>
  <c r="T73" i="13"/>
  <c r="R69" i="13"/>
  <c r="R73" i="13"/>
  <c r="W61" i="29"/>
  <c r="W55" i="29"/>
  <c r="W58" i="29"/>
  <c r="U61" i="29"/>
  <c r="U58" i="29"/>
  <c r="L58" i="14"/>
  <c r="L61" i="14"/>
  <c r="M61" i="14"/>
  <c r="U55" i="29"/>
  <c r="D69" i="19"/>
  <c r="D73" i="19"/>
  <c r="S55" i="29"/>
  <c r="R69" i="14"/>
  <c r="R73" i="14"/>
  <c r="U55" i="13"/>
  <c r="U58" i="13"/>
  <c r="U61" i="13"/>
  <c r="V58" i="13"/>
  <c r="V61" i="13"/>
  <c r="S61" i="29"/>
  <c r="S58" i="29"/>
  <c r="S123" i="13"/>
  <c r="R142" i="13"/>
  <c r="S142" i="13"/>
  <c r="Q123" i="13"/>
  <c r="Q115" i="13"/>
  <c r="Q55" i="29"/>
  <c r="Q58" i="29"/>
  <c r="Q61" i="29"/>
  <c r="V69" i="19"/>
  <c r="V73" i="19"/>
  <c r="M68" i="29"/>
  <c r="J69" i="19"/>
  <c r="J73" i="19"/>
  <c r="O55" i="29"/>
  <c r="O58" i="29"/>
  <c r="O61" i="29"/>
  <c r="J58" i="19"/>
  <c r="J61" i="19"/>
  <c r="T69" i="29"/>
  <c r="T73" i="29"/>
  <c r="D69" i="29"/>
  <c r="D73" i="29"/>
  <c r="R69" i="23"/>
  <c r="R73" i="23"/>
  <c r="Z68" i="19"/>
  <c r="AA197" i="19"/>
  <c r="X69" i="29"/>
  <c r="X73" i="29"/>
  <c r="W61" i="19"/>
  <c r="W58" i="19"/>
  <c r="W55" i="19"/>
  <c r="F69" i="23"/>
  <c r="F73" i="23"/>
  <c r="N69" i="16"/>
  <c r="N70" i="16"/>
  <c r="AA49" i="19"/>
  <c r="K61" i="29"/>
  <c r="K55" i="29"/>
  <c r="K58" i="29"/>
  <c r="I55" i="29"/>
  <c r="I58" i="29"/>
  <c r="V69" i="23"/>
  <c r="V73" i="23"/>
  <c r="I61" i="29"/>
  <c r="B58" i="19"/>
  <c r="B61" i="19"/>
  <c r="J69" i="23"/>
  <c r="J73" i="23"/>
  <c r="B69" i="19"/>
  <c r="B73" i="19"/>
  <c r="C73" i="19"/>
  <c r="E67" i="19"/>
  <c r="E69" i="19"/>
  <c r="E73" i="19"/>
  <c r="G67" i="19"/>
  <c r="G69" i="19"/>
  <c r="G73" i="19"/>
  <c r="I67" i="19"/>
  <c r="I69" i="19"/>
  <c r="I73" i="19"/>
  <c r="K67" i="19"/>
  <c r="K69" i="19"/>
  <c r="K73" i="19"/>
  <c r="M67" i="19"/>
  <c r="M69" i="19"/>
  <c r="M73" i="19"/>
  <c r="O67" i="19"/>
  <c r="O69" i="19"/>
  <c r="O73" i="19"/>
  <c r="Q67" i="19"/>
  <c r="Q69" i="19"/>
  <c r="Q73" i="19"/>
  <c r="S67" i="19"/>
  <c r="S69" i="19"/>
  <c r="S73" i="19"/>
  <c r="U67" i="19"/>
  <c r="U69" i="19"/>
  <c r="U73" i="19"/>
  <c r="W67" i="19"/>
  <c r="W69" i="19"/>
  <c r="W73" i="19"/>
  <c r="Y67" i="19"/>
  <c r="Y69" i="19"/>
  <c r="Y73" i="19"/>
  <c r="R69" i="19"/>
  <c r="R73" i="19"/>
  <c r="G55" i="29"/>
  <c r="G58" i="29"/>
  <c r="G61" i="29"/>
  <c r="B69" i="23"/>
  <c r="C69" i="23"/>
  <c r="G58" i="19"/>
  <c r="B69" i="29"/>
  <c r="C69" i="29"/>
  <c r="I123" i="29"/>
  <c r="G61" i="19"/>
  <c r="G55" i="19"/>
  <c r="P69" i="29"/>
  <c r="P73" i="29"/>
  <c r="U58" i="14"/>
  <c r="U61" i="14"/>
  <c r="R58" i="19"/>
  <c r="R61" i="19"/>
  <c r="R63" i="19"/>
  <c r="S63" i="19"/>
  <c r="U55" i="14"/>
  <c r="O55" i="19"/>
  <c r="E55" i="14"/>
  <c r="E55" i="29"/>
  <c r="E61" i="29"/>
  <c r="E58" i="29"/>
  <c r="O61" i="19"/>
  <c r="F69" i="29"/>
  <c r="F73" i="29"/>
  <c r="J69" i="29"/>
  <c r="J73" i="29"/>
  <c r="O58" i="19"/>
  <c r="D69" i="16"/>
  <c r="D70" i="16"/>
  <c r="E61" i="14"/>
  <c r="E58" i="14"/>
  <c r="I115" i="29"/>
  <c r="F69" i="13"/>
  <c r="F73" i="13"/>
  <c r="N69" i="29"/>
  <c r="N73" i="29"/>
  <c r="F58" i="13"/>
  <c r="F61" i="13"/>
  <c r="B69" i="14"/>
  <c r="B73" i="14"/>
  <c r="C73" i="14"/>
  <c r="E67" i="14"/>
  <c r="E69" i="14"/>
  <c r="E73" i="14"/>
  <c r="G67" i="14"/>
  <c r="G69" i="14"/>
  <c r="G73" i="14"/>
  <c r="I67" i="14"/>
  <c r="I69" i="14"/>
  <c r="I73" i="14"/>
  <c r="K67" i="14"/>
  <c r="K69" i="14"/>
  <c r="K73" i="14"/>
  <c r="M67" i="14"/>
  <c r="M69" i="14"/>
  <c r="M73" i="14"/>
  <c r="O67" i="14"/>
  <c r="O69" i="14"/>
  <c r="O73" i="14"/>
  <c r="Q67" i="14"/>
  <c r="Q69" i="14"/>
  <c r="Q73" i="14"/>
  <c r="S67" i="14"/>
  <c r="S69" i="14"/>
  <c r="S73" i="14"/>
  <c r="U67" i="14"/>
  <c r="U69" i="14"/>
  <c r="U73" i="14"/>
  <c r="W67" i="14"/>
  <c r="W69" i="14"/>
  <c r="W73" i="14"/>
  <c r="Y67" i="14"/>
  <c r="Y69" i="14"/>
  <c r="Y73" i="14"/>
  <c r="C55" i="14"/>
  <c r="S55" i="13"/>
  <c r="C67" i="19"/>
  <c r="S58" i="13"/>
  <c r="I58" i="14"/>
  <c r="N58" i="13"/>
  <c r="O58" i="13"/>
  <c r="L58" i="19"/>
  <c r="L61" i="19"/>
  <c r="Q55" i="14"/>
  <c r="Q61" i="14"/>
  <c r="Q58" i="14"/>
  <c r="H69" i="14"/>
  <c r="H73" i="14"/>
  <c r="P142" i="19"/>
  <c r="Q142" i="19"/>
  <c r="P69" i="14"/>
  <c r="P73" i="14"/>
  <c r="N142" i="19"/>
  <c r="O142" i="19"/>
  <c r="O123" i="19"/>
  <c r="B216" i="29"/>
  <c r="C216" i="29"/>
  <c r="B69" i="13"/>
  <c r="B73" i="13"/>
  <c r="C73" i="13"/>
  <c r="E67" i="13"/>
  <c r="E69" i="13"/>
  <c r="E73" i="13"/>
  <c r="G67" i="13"/>
  <c r="G69" i="13"/>
  <c r="G73" i="13"/>
  <c r="I67" i="13"/>
  <c r="I69" i="13"/>
  <c r="I73" i="13"/>
  <c r="K67" i="13"/>
  <c r="K69" i="13"/>
  <c r="K73" i="13"/>
  <c r="M67" i="13"/>
  <c r="M69" i="13"/>
  <c r="M73" i="13"/>
  <c r="O67" i="13"/>
  <c r="O69" i="13"/>
  <c r="O73" i="13"/>
  <c r="Q67" i="13"/>
  <c r="Q69" i="13"/>
  <c r="Q73" i="13"/>
  <c r="S67" i="13"/>
  <c r="S69" i="13"/>
  <c r="S73" i="13"/>
  <c r="U67" i="13"/>
  <c r="U69" i="13"/>
  <c r="U73" i="13"/>
  <c r="W67" i="13"/>
  <c r="W69" i="13"/>
  <c r="W73" i="13"/>
  <c r="Y67" i="13"/>
  <c r="Y69" i="13"/>
  <c r="Y73" i="13"/>
  <c r="I61" i="14"/>
  <c r="I55" i="14"/>
  <c r="W123" i="19"/>
  <c r="P142" i="29"/>
  <c r="Q142" i="29"/>
  <c r="Q123" i="19"/>
  <c r="P58" i="13"/>
  <c r="P61" i="13"/>
  <c r="X58" i="19"/>
  <c r="Y58" i="19"/>
  <c r="T58" i="19"/>
  <c r="U58" i="19"/>
  <c r="E55" i="19"/>
  <c r="Y61" i="29"/>
  <c r="Y58" i="29"/>
  <c r="Y55" i="29"/>
  <c r="AA197" i="14"/>
  <c r="P60" i="16"/>
  <c r="Q123" i="29"/>
  <c r="AA4" i="19"/>
  <c r="Q58" i="19"/>
  <c r="Y61" i="23"/>
  <c r="Z55" i="19"/>
  <c r="Z58" i="19"/>
  <c r="Z61" i="19"/>
  <c r="Z63" i="19"/>
  <c r="AA63" i="19"/>
  <c r="AA3" i="19"/>
  <c r="V142" i="19"/>
  <c r="W142" i="19"/>
  <c r="H58" i="19"/>
  <c r="I58" i="19"/>
  <c r="AA207" i="19"/>
  <c r="AA59" i="19"/>
  <c r="AA40" i="19"/>
  <c r="AA22" i="19"/>
  <c r="AA152" i="19"/>
  <c r="Z67" i="19"/>
  <c r="AA170" i="19"/>
  <c r="AA210" i="19"/>
  <c r="AA62" i="19"/>
  <c r="Y55" i="23"/>
  <c r="Y58" i="23"/>
  <c r="P69" i="19"/>
  <c r="P73" i="19"/>
  <c r="G189" i="19"/>
  <c r="C189" i="29"/>
  <c r="E189" i="23"/>
  <c r="X69" i="23"/>
  <c r="X73" i="23"/>
  <c r="X58" i="14"/>
  <c r="X61" i="14"/>
  <c r="X63" i="14"/>
  <c r="Y63" i="14"/>
  <c r="H69" i="18"/>
  <c r="H70" i="18"/>
  <c r="H68" i="18"/>
  <c r="H71" i="18"/>
  <c r="Q61" i="19"/>
  <c r="Z114" i="29"/>
  <c r="Z142" i="29"/>
  <c r="Q55" i="19"/>
  <c r="E197" i="23"/>
  <c r="K123" i="29"/>
  <c r="J142" i="29"/>
  <c r="K142" i="29"/>
  <c r="AA49" i="14"/>
  <c r="P60" i="20"/>
  <c r="AA189" i="14"/>
  <c r="Z68" i="14"/>
  <c r="AA41" i="14"/>
  <c r="G197" i="19"/>
  <c r="H69" i="23"/>
  <c r="H73" i="23"/>
  <c r="L69" i="23"/>
  <c r="L73" i="23"/>
  <c r="C55" i="29"/>
  <c r="C58" i="29"/>
  <c r="S58" i="14"/>
  <c r="S55" i="14"/>
  <c r="C61" i="29"/>
  <c r="Z67" i="13"/>
  <c r="AA170" i="23"/>
  <c r="S151" i="29"/>
  <c r="Z55" i="14"/>
  <c r="Z58" i="14"/>
  <c r="Z61" i="14"/>
  <c r="Z63" i="14"/>
  <c r="AA152" i="14"/>
  <c r="Z67" i="23"/>
  <c r="AA210" i="23"/>
  <c r="AA62" i="23"/>
  <c r="AA4" i="23"/>
  <c r="AB3" i="23"/>
  <c r="AA3" i="23"/>
  <c r="AA207" i="23"/>
  <c r="AA22" i="23"/>
  <c r="AA59" i="23"/>
  <c r="M55" i="29"/>
  <c r="M61" i="29"/>
  <c r="AA62" i="13"/>
  <c r="M58" i="29"/>
  <c r="AA210" i="13"/>
  <c r="AA4" i="13"/>
  <c r="AA3" i="13"/>
  <c r="AA22" i="13"/>
  <c r="AA152" i="13"/>
  <c r="AA59" i="13"/>
  <c r="AA170" i="13"/>
  <c r="AA40" i="14"/>
  <c r="AA59" i="14"/>
  <c r="AA170" i="14"/>
  <c r="AA22" i="14"/>
  <c r="AA62" i="14"/>
  <c r="AA207" i="14"/>
  <c r="AA3" i="14"/>
  <c r="Z67" i="14"/>
  <c r="AA4" i="14"/>
  <c r="AA56" i="14"/>
  <c r="D69" i="23"/>
  <c r="D73" i="23"/>
  <c r="T69" i="23"/>
  <c r="T73" i="23"/>
  <c r="AA118" i="29"/>
  <c r="P69" i="23"/>
  <c r="P73" i="23"/>
  <c r="Y204" i="23"/>
  <c r="AA108" i="19"/>
  <c r="AA121" i="14"/>
  <c r="Z188" i="29"/>
  <c r="Z216" i="29"/>
  <c r="AA127" i="14"/>
  <c r="H142" i="19"/>
  <c r="I142" i="19"/>
  <c r="K189" i="23"/>
  <c r="AA128" i="14"/>
  <c r="I115" i="19"/>
  <c r="Z188" i="23"/>
  <c r="Z216" i="23"/>
  <c r="J216" i="23"/>
  <c r="K216" i="23"/>
  <c r="AA125" i="14"/>
  <c r="AA126" i="14"/>
  <c r="Z188" i="19"/>
  <c r="Z216" i="19"/>
  <c r="Q189" i="19"/>
  <c r="Q197" i="19"/>
  <c r="V61" i="14"/>
  <c r="V63" i="14"/>
  <c r="W63" i="14"/>
  <c r="AA86" i="23"/>
  <c r="Y96" i="23"/>
  <c r="AA110" i="19"/>
  <c r="Y152" i="23"/>
  <c r="X141" i="23"/>
  <c r="X143" i="23"/>
  <c r="X147" i="23"/>
  <c r="AA81" i="23"/>
  <c r="AA84" i="23"/>
  <c r="AA107" i="19"/>
  <c r="Y207" i="23"/>
  <c r="Y78" i="23"/>
  <c r="AA85" i="23"/>
  <c r="AA106" i="19"/>
  <c r="Z151" i="19"/>
  <c r="Y151" i="23"/>
  <c r="Y130" i="23"/>
  <c r="AA80" i="23"/>
  <c r="AA111" i="19"/>
  <c r="AA84" i="13"/>
  <c r="AA104" i="23"/>
  <c r="AA122" i="14"/>
  <c r="Z142" i="23"/>
  <c r="AA197" i="13"/>
  <c r="AA123" i="23"/>
  <c r="Z68" i="13"/>
  <c r="AA189" i="13"/>
  <c r="AA119" i="14"/>
  <c r="AA118" i="14"/>
  <c r="Z55" i="13"/>
  <c r="AA55" i="13"/>
  <c r="O197" i="13"/>
  <c r="AA49" i="13"/>
  <c r="AA116" i="14"/>
  <c r="Z114" i="14"/>
  <c r="Z142" i="14"/>
  <c r="AA40" i="13"/>
  <c r="AA117" i="14"/>
  <c r="N216" i="13"/>
  <c r="O216" i="13"/>
  <c r="AA122" i="29"/>
  <c r="AA121" i="29"/>
  <c r="AA116" i="29"/>
  <c r="AA120" i="29"/>
  <c r="AA119" i="29"/>
  <c r="AA88" i="14"/>
  <c r="AA92" i="14"/>
  <c r="X215" i="23"/>
  <c r="Y133" i="23"/>
  <c r="Y136" i="23"/>
  <c r="AA79" i="23"/>
  <c r="AA113" i="19"/>
  <c r="S210" i="29"/>
  <c r="R203" i="29"/>
  <c r="R206" i="29"/>
  <c r="R209" i="29"/>
  <c r="R211" i="29"/>
  <c r="S211" i="29"/>
  <c r="T215" i="13"/>
  <c r="S204" i="29"/>
  <c r="U210" i="13"/>
  <c r="S152" i="29"/>
  <c r="R215" i="29"/>
  <c r="AA79" i="29"/>
  <c r="S170" i="29"/>
  <c r="AA81" i="29"/>
  <c r="S188" i="29"/>
  <c r="U151" i="13"/>
  <c r="Z77" i="29"/>
  <c r="AA130" i="29"/>
  <c r="Y152" i="13"/>
  <c r="AA85" i="29"/>
  <c r="AA83" i="29"/>
  <c r="U204" i="13"/>
  <c r="U152" i="13"/>
  <c r="Y204" i="13"/>
  <c r="AA80" i="29"/>
  <c r="AA82" i="29"/>
  <c r="Z77" i="13"/>
  <c r="AA96" i="13"/>
  <c r="U207" i="13"/>
  <c r="AA84" i="29"/>
  <c r="AA86" i="13"/>
  <c r="F63" i="14"/>
  <c r="G63" i="14"/>
  <c r="Y210" i="23"/>
  <c r="AA91" i="14"/>
  <c r="X129" i="23"/>
  <c r="X132" i="23"/>
  <c r="X135" i="23"/>
  <c r="X137" i="23"/>
  <c r="Y137" i="23"/>
  <c r="AA83" i="23"/>
  <c r="AA112" i="19"/>
  <c r="AA99" i="23"/>
  <c r="AA103" i="23"/>
  <c r="Z77" i="23"/>
  <c r="AA130" i="23"/>
  <c r="Y170" i="13"/>
  <c r="AA81" i="13"/>
  <c r="AA79" i="13"/>
  <c r="Y151" i="13"/>
  <c r="Y207" i="13"/>
  <c r="AA85" i="13"/>
  <c r="AA83" i="13"/>
  <c r="AA97" i="23"/>
  <c r="AA98" i="23"/>
  <c r="X215" i="13"/>
  <c r="AA82" i="13"/>
  <c r="AA89" i="14"/>
  <c r="AA101" i="23"/>
  <c r="AA100" i="23"/>
  <c r="AA93" i="14"/>
  <c r="AA90" i="14"/>
  <c r="Z151" i="29"/>
  <c r="AA95" i="14"/>
  <c r="F215" i="23"/>
  <c r="F203" i="23"/>
  <c r="F206" i="23"/>
  <c r="F209" i="23"/>
  <c r="F211" i="23"/>
  <c r="G211" i="23"/>
  <c r="G210" i="23"/>
  <c r="G152" i="23"/>
  <c r="G207" i="23"/>
  <c r="G204" i="23"/>
  <c r="G188" i="23"/>
  <c r="G170" i="23"/>
  <c r="G151" i="23"/>
  <c r="C136" i="13"/>
  <c r="C96" i="13"/>
  <c r="B129" i="13"/>
  <c r="B132" i="13"/>
  <c r="B135" i="13"/>
  <c r="B137" i="13"/>
  <c r="C137" i="13"/>
  <c r="C130" i="13"/>
  <c r="C78" i="13"/>
  <c r="B141" i="13"/>
  <c r="C133" i="13"/>
  <c r="C77" i="13"/>
  <c r="V216" i="19"/>
  <c r="W216" i="19"/>
  <c r="W189" i="19"/>
  <c r="W197" i="19"/>
  <c r="B203" i="13"/>
  <c r="B206" i="13"/>
  <c r="B209" i="13"/>
  <c r="B211" i="13"/>
  <c r="C211" i="13"/>
  <c r="C207" i="13"/>
  <c r="B215" i="13"/>
  <c r="C210" i="13"/>
  <c r="C152" i="13"/>
  <c r="C204" i="13"/>
  <c r="C188" i="13"/>
  <c r="C170" i="13"/>
  <c r="C151" i="13"/>
  <c r="Q130" i="23"/>
  <c r="P141" i="23"/>
  <c r="P143" i="23"/>
  <c r="P147" i="23"/>
  <c r="Q133" i="23"/>
  <c r="Q77" i="23"/>
  <c r="P129" i="23"/>
  <c r="P132" i="23"/>
  <c r="P135" i="23"/>
  <c r="P137" i="23"/>
  <c r="Q137" i="23"/>
  <c r="Q96" i="23"/>
  <c r="Q78" i="23"/>
  <c r="Q136" i="23"/>
  <c r="Y189" i="19"/>
  <c r="Y197" i="19"/>
  <c r="Y188" i="19"/>
  <c r="X216" i="19"/>
  <c r="Y216" i="19"/>
  <c r="E133" i="14"/>
  <c r="D141" i="14"/>
  <c r="E77" i="14"/>
  <c r="D129" i="14"/>
  <c r="D132" i="14"/>
  <c r="D135" i="14"/>
  <c r="D137" i="14"/>
  <c r="E137" i="14"/>
  <c r="E136" i="14"/>
  <c r="E96" i="14"/>
  <c r="E78" i="14"/>
  <c r="E130" i="14"/>
  <c r="J215" i="19"/>
  <c r="K210" i="19"/>
  <c r="K170" i="19"/>
  <c r="K151" i="19"/>
  <c r="J203" i="19"/>
  <c r="J206" i="19"/>
  <c r="J209" i="19"/>
  <c r="J211" i="19"/>
  <c r="K211" i="19"/>
  <c r="K207" i="19"/>
  <c r="K204" i="19"/>
  <c r="K188" i="19"/>
  <c r="K152" i="19"/>
  <c r="T216" i="13"/>
  <c r="U216" i="13"/>
  <c r="U189" i="13"/>
  <c r="U197" i="13"/>
  <c r="E115" i="29"/>
  <c r="D142" i="29"/>
  <c r="E142" i="29"/>
  <c r="E123" i="29"/>
  <c r="L216" i="23"/>
  <c r="M216" i="23"/>
  <c r="M189" i="23"/>
  <c r="M197" i="23"/>
  <c r="O207" i="19"/>
  <c r="O170" i="19"/>
  <c r="O151" i="19"/>
  <c r="N203" i="19"/>
  <c r="N206" i="19"/>
  <c r="N209" i="19"/>
  <c r="N211" i="19"/>
  <c r="O211" i="19"/>
  <c r="O204" i="19"/>
  <c r="O188" i="19"/>
  <c r="O152" i="19"/>
  <c r="N215" i="19"/>
  <c r="O210" i="19"/>
  <c r="L203" i="13"/>
  <c r="L206" i="13"/>
  <c r="L209" i="13"/>
  <c r="L211" i="13"/>
  <c r="M211" i="13"/>
  <c r="M210" i="13"/>
  <c r="M170" i="13"/>
  <c r="M152" i="13"/>
  <c r="M151" i="13"/>
  <c r="M207" i="13"/>
  <c r="M204" i="13"/>
  <c r="M188" i="13"/>
  <c r="L215" i="13"/>
  <c r="M210" i="29"/>
  <c r="L215" i="29"/>
  <c r="L203" i="29"/>
  <c r="L206" i="29"/>
  <c r="L209" i="29"/>
  <c r="L211" i="29"/>
  <c r="M211" i="29"/>
  <c r="M188" i="29"/>
  <c r="M207" i="29"/>
  <c r="M204" i="29"/>
  <c r="M170" i="29"/>
  <c r="M151" i="29"/>
  <c r="M152" i="29"/>
  <c r="P216" i="23"/>
  <c r="Q216" i="23"/>
  <c r="Q197" i="23"/>
  <c r="Q189" i="23"/>
  <c r="AA111" i="14"/>
  <c r="AA107" i="14"/>
  <c r="AA113" i="14"/>
  <c r="AA109" i="14"/>
  <c r="AA106" i="14"/>
  <c r="AA112" i="14"/>
  <c r="AA110" i="14"/>
  <c r="AA108" i="14"/>
  <c r="AA103" i="19"/>
  <c r="AA99" i="19"/>
  <c r="AA102" i="19"/>
  <c r="AA100" i="19"/>
  <c r="AA104" i="19"/>
  <c r="AA97" i="19"/>
  <c r="AA101" i="19"/>
  <c r="AA98" i="19"/>
  <c r="B215" i="19"/>
  <c r="C210" i="19"/>
  <c r="C170" i="19"/>
  <c r="C151" i="19"/>
  <c r="C207" i="19"/>
  <c r="B203" i="19"/>
  <c r="B206" i="19"/>
  <c r="B209" i="19"/>
  <c r="B211" i="19"/>
  <c r="C211" i="19"/>
  <c r="C204" i="19"/>
  <c r="C188" i="19"/>
  <c r="C152" i="19"/>
  <c r="O57" i="18"/>
  <c r="O66" i="18"/>
  <c r="O64" i="18"/>
  <c r="V129" i="13"/>
  <c r="V132" i="13"/>
  <c r="V135" i="13"/>
  <c r="V137" i="13"/>
  <c r="W137" i="13"/>
  <c r="W130" i="13"/>
  <c r="W78" i="13"/>
  <c r="V141" i="13"/>
  <c r="V143" i="13"/>
  <c r="V147" i="13"/>
  <c r="W133" i="13"/>
  <c r="W77" i="13"/>
  <c r="W136" i="13"/>
  <c r="W96" i="13"/>
  <c r="G77" i="19"/>
  <c r="F141" i="19"/>
  <c r="F129" i="19"/>
  <c r="F132" i="19"/>
  <c r="F135" i="19"/>
  <c r="F137" i="19"/>
  <c r="G137" i="19"/>
  <c r="G136" i="19"/>
  <c r="G133" i="19"/>
  <c r="G96" i="19"/>
  <c r="G78" i="19"/>
  <c r="G130" i="19"/>
  <c r="B215" i="29"/>
  <c r="B203" i="29"/>
  <c r="B206" i="29"/>
  <c r="B209" i="29"/>
  <c r="B211" i="29"/>
  <c r="C211" i="29"/>
  <c r="C207" i="29"/>
  <c r="C210" i="29"/>
  <c r="C204" i="29"/>
  <c r="C188" i="29"/>
  <c r="C152" i="29"/>
  <c r="C170" i="29"/>
  <c r="C151" i="29"/>
  <c r="S133" i="23"/>
  <c r="S96" i="23"/>
  <c r="S77" i="23"/>
  <c r="R141" i="23"/>
  <c r="R143" i="23"/>
  <c r="R147" i="23"/>
  <c r="R129" i="23"/>
  <c r="R132" i="23"/>
  <c r="R135" i="23"/>
  <c r="R137" i="23"/>
  <c r="S137" i="23"/>
  <c r="S136" i="23"/>
  <c r="S78" i="23"/>
  <c r="S130" i="23"/>
  <c r="U152" i="14"/>
  <c r="T203" i="14"/>
  <c r="T206" i="14"/>
  <c r="T209" i="14"/>
  <c r="T211" i="14"/>
  <c r="U211" i="14"/>
  <c r="T215" i="14"/>
  <c r="T217" i="14"/>
  <c r="T221" i="14"/>
  <c r="U210" i="14"/>
  <c r="U170" i="14"/>
  <c r="U151" i="14"/>
  <c r="U207" i="14"/>
  <c r="U188" i="14"/>
  <c r="U204" i="14"/>
  <c r="R142" i="19"/>
  <c r="S142" i="19"/>
  <c r="S115" i="19"/>
  <c r="S123" i="19"/>
  <c r="Y123" i="14"/>
  <c r="Y115" i="14"/>
  <c r="X142" i="14"/>
  <c r="Y142" i="14"/>
  <c r="H216" i="29"/>
  <c r="I216" i="29"/>
  <c r="I197" i="29"/>
  <c r="I189" i="29"/>
  <c r="U210" i="29"/>
  <c r="T215" i="29"/>
  <c r="T203" i="29"/>
  <c r="T206" i="29"/>
  <c r="T209" i="29"/>
  <c r="T211" i="29"/>
  <c r="U211" i="29"/>
  <c r="U207" i="29"/>
  <c r="U188" i="29"/>
  <c r="U204" i="29"/>
  <c r="U170" i="29"/>
  <c r="U151" i="29"/>
  <c r="U152" i="29"/>
  <c r="I133" i="13"/>
  <c r="I77" i="13"/>
  <c r="I136" i="13"/>
  <c r="I96" i="13"/>
  <c r="H129" i="13"/>
  <c r="H132" i="13"/>
  <c r="H135" i="13"/>
  <c r="H137" i="13"/>
  <c r="I137" i="13"/>
  <c r="H141" i="13"/>
  <c r="I130" i="13"/>
  <c r="I78" i="13"/>
  <c r="V129" i="14"/>
  <c r="V132" i="14"/>
  <c r="V135" i="14"/>
  <c r="V137" i="14"/>
  <c r="W137" i="14"/>
  <c r="W136" i="14"/>
  <c r="W78" i="14"/>
  <c r="W130" i="14"/>
  <c r="W96" i="14"/>
  <c r="W77" i="14"/>
  <c r="V141" i="14"/>
  <c r="W133" i="14"/>
  <c r="M152" i="14"/>
  <c r="L203" i="14"/>
  <c r="L206" i="14"/>
  <c r="L209" i="14"/>
  <c r="L211" i="14"/>
  <c r="M211" i="14"/>
  <c r="L215" i="14"/>
  <c r="L217" i="14"/>
  <c r="L221" i="14"/>
  <c r="M207" i="14"/>
  <c r="M204" i="14"/>
  <c r="M188" i="14"/>
  <c r="M210" i="14"/>
  <c r="M170" i="14"/>
  <c r="M151" i="14"/>
  <c r="R129" i="29"/>
  <c r="R132" i="29"/>
  <c r="R135" i="29"/>
  <c r="R137" i="29"/>
  <c r="S137" i="29"/>
  <c r="S130" i="29"/>
  <c r="S133" i="29"/>
  <c r="S78" i="29"/>
  <c r="R141" i="29"/>
  <c r="S136" i="29"/>
  <c r="S77" i="29"/>
  <c r="S96" i="29"/>
  <c r="AA92" i="13"/>
  <c r="AA88" i="13"/>
  <c r="AA95" i="13"/>
  <c r="AA91" i="13"/>
  <c r="AA87" i="13"/>
  <c r="AA105" i="13"/>
  <c r="AA94" i="13"/>
  <c r="AA90" i="13"/>
  <c r="AA93" i="13"/>
  <c r="AA89" i="13"/>
  <c r="O204" i="14"/>
  <c r="O188" i="14"/>
  <c r="O170" i="14"/>
  <c r="O151" i="14"/>
  <c r="N203" i="14"/>
  <c r="N206" i="14"/>
  <c r="N209" i="14"/>
  <c r="N211" i="14"/>
  <c r="O211" i="14"/>
  <c r="O210" i="14"/>
  <c r="O207" i="14"/>
  <c r="O152" i="14"/>
  <c r="N215" i="14"/>
  <c r="N217" i="14"/>
  <c r="N221" i="14"/>
  <c r="AA95" i="19"/>
  <c r="AA91" i="19"/>
  <c r="AA87" i="19"/>
  <c r="AA93" i="19"/>
  <c r="AA90" i="19"/>
  <c r="AA88" i="19"/>
  <c r="AA105" i="19"/>
  <c r="AA94" i="19"/>
  <c r="AA92" i="19"/>
  <c r="AA89" i="19"/>
  <c r="J216" i="19"/>
  <c r="K216" i="19"/>
  <c r="K197" i="19"/>
  <c r="K189" i="19"/>
  <c r="B129" i="29"/>
  <c r="B132" i="29"/>
  <c r="B135" i="29"/>
  <c r="B137" i="29"/>
  <c r="C137" i="29"/>
  <c r="C130" i="29"/>
  <c r="C133" i="29"/>
  <c r="B141" i="29"/>
  <c r="C78" i="29"/>
  <c r="C136" i="29"/>
  <c r="C77" i="29"/>
  <c r="C96" i="29"/>
  <c r="K68" i="16"/>
  <c r="K71" i="16"/>
  <c r="K69" i="16"/>
  <c r="K70" i="16"/>
  <c r="U188" i="13"/>
  <c r="T203" i="13"/>
  <c r="W197" i="13"/>
  <c r="W189" i="13"/>
  <c r="V216" i="13"/>
  <c r="W216" i="13"/>
  <c r="N215" i="29"/>
  <c r="N203" i="29"/>
  <c r="N206" i="29"/>
  <c r="N209" i="29"/>
  <c r="N211" i="29"/>
  <c r="O211" i="29"/>
  <c r="O210" i="29"/>
  <c r="O188" i="29"/>
  <c r="O207" i="29"/>
  <c r="O204" i="29"/>
  <c r="O170" i="29"/>
  <c r="O151" i="29"/>
  <c r="O152" i="29"/>
  <c r="I170" i="23"/>
  <c r="I151" i="23"/>
  <c r="I210" i="23"/>
  <c r="H215" i="23"/>
  <c r="I204" i="23"/>
  <c r="I188" i="23"/>
  <c r="H203" i="23"/>
  <c r="H206" i="23"/>
  <c r="H209" i="23"/>
  <c r="H211" i="23"/>
  <c r="I211" i="23"/>
  <c r="I207" i="23"/>
  <c r="I152" i="23"/>
  <c r="P215" i="19"/>
  <c r="P217" i="19"/>
  <c r="P221" i="19"/>
  <c r="Q210" i="19"/>
  <c r="Q207" i="19"/>
  <c r="Q204" i="19"/>
  <c r="Q188" i="19"/>
  <c r="Q152" i="19"/>
  <c r="P203" i="19"/>
  <c r="P206" i="19"/>
  <c r="P209" i="19"/>
  <c r="P211" i="19"/>
  <c r="Q211" i="19"/>
  <c r="Q170" i="19"/>
  <c r="Q151" i="19"/>
  <c r="Q204" i="29"/>
  <c r="Q207" i="29"/>
  <c r="P203" i="29"/>
  <c r="P206" i="29"/>
  <c r="P209" i="29"/>
  <c r="P211" i="29"/>
  <c r="Q211" i="29"/>
  <c r="P215" i="29"/>
  <c r="Q210" i="29"/>
  <c r="Q188" i="29"/>
  <c r="Q170" i="29"/>
  <c r="Q151" i="29"/>
  <c r="Q152" i="29"/>
  <c r="D216" i="29"/>
  <c r="E216" i="29"/>
  <c r="E197" i="29"/>
  <c r="E189" i="29"/>
  <c r="F216" i="29"/>
  <c r="G216" i="29"/>
  <c r="G197" i="29"/>
  <c r="G189" i="29"/>
  <c r="I68" i="20"/>
  <c r="I71" i="20"/>
  <c r="I69" i="20"/>
  <c r="I70" i="20"/>
  <c r="T142" i="19"/>
  <c r="U142" i="19"/>
  <c r="U115" i="19"/>
  <c r="U123" i="19"/>
  <c r="O67" i="16"/>
  <c r="O61" i="16"/>
  <c r="O62" i="16"/>
  <c r="F129" i="13"/>
  <c r="F132" i="13"/>
  <c r="F135" i="13"/>
  <c r="F137" i="13"/>
  <c r="G137" i="13"/>
  <c r="G130" i="13"/>
  <c r="G78" i="13"/>
  <c r="F141" i="13"/>
  <c r="G133" i="13"/>
  <c r="G77" i="13"/>
  <c r="G136" i="13"/>
  <c r="G96" i="13"/>
  <c r="L129" i="14"/>
  <c r="L132" i="14"/>
  <c r="L135" i="14"/>
  <c r="L137" i="14"/>
  <c r="M137" i="14"/>
  <c r="M133" i="14"/>
  <c r="L141" i="14"/>
  <c r="M77" i="14"/>
  <c r="M78" i="14"/>
  <c r="M130" i="14"/>
  <c r="M136" i="14"/>
  <c r="M96" i="14"/>
  <c r="S204" i="19"/>
  <c r="S188" i="19"/>
  <c r="S152" i="19"/>
  <c r="R215" i="19"/>
  <c r="R203" i="19"/>
  <c r="R206" i="19"/>
  <c r="R209" i="19"/>
  <c r="R211" i="19"/>
  <c r="S211" i="19"/>
  <c r="S210" i="19"/>
  <c r="S170" i="19"/>
  <c r="S151" i="19"/>
  <c r="S207" i="19"/>
  <c r="C56" i="13"/>
  <c r="C57" i="13"/>
  <c r="B58" i="13"/>
  <c r="D61" i="19"/>
  <c r="E58" i="19"/>
  <c r="P216" i="13"/>
  <c r="Q216" i="13"/>
  <c r="Q197" i="13"/>
  <c r="Q189" i="13"/>
  <c r="D216" i="19"/>
  <c r="E216" i="19"/>
  <c r="E189" i="19"/>
  <c r="E197" i="19"/>
  <c r="G123" i="19"/>
  <c r="G115" i="19"/>
  <c r="F142" i="19"/>
  <c r="G142" i="19"/>
  <c r="Z77" i="14"/>
  <c r="AA84" i="14"/>
  <c r="AA80" i="14"/>
  <c r="AA86" i="14"/>
  <c r="AA82" i="14"/>
  <c r="AA83" i="14"/>
  <c r="AA81" i="14"/>
  <c r="AA79" i="14"/>
  <c r="AA85" i="14"/>
  <c r="C197" i="19"/>
  <c r="C189" i="19"/>
  <c r="B216" i="19"/>
  <c r="C216" i="19"/>
  <c r="V215" i="29"/>
  <c r="V203" i="29"/>
  <c r="V206" i="29"/>
  <c r="V209" i="29"/>
  <c r="V211" i="29"/>
  <c r="W211" i="29"/>
  <c r="W188" i="29"/>
  <c r="W210" i="29"/>
  <c r="W204" i="29"/>
  <c r="W207" i="29"/>
  <c r="W152" i="29"/>
  <c r="W170" i="29"/>
  <c r="W151" i="29"/>
  <c r="N129" i="23"/>
  <c r="N132" i="23"/>
  <c r="N135" i="23"/>
  <c r="N137" i="23"/>
  <c r="O137" i="23"/>
  <c r="O136" i="23"/>
  <c r="O78" i="23"/>
  <c r="O96" i="23"/>
  <c r="O133" i="23"/>
  <c r="O77" i="23"/>
  <c r="N141" i="23"/>
  <c r="N143" i="23"/>
  <c r="N147" i="23"/>
  <c r="O130" i="23"/>
  <c r="N216" i="23"/>
  <c r="O216" i="23"/>
  <c r="O197" i="23"/>
  <c r="O189" i="23"/>
  <c r="G123" i="14"/>
  <c r="G115" i="14"/>
  <c r="F142" i="14"/>
  <c r="G142" i="14"/>
  <c r="T142" i="14"/>
  <c r="U142" i="14"/>
  <c r="U123" i="14"/>
  <c r="U115" i="14"/>
  <c r="Y207" i="14"/>
  <c r="Y204" i="14"/>
  <c r="X203" i="14"/>
  <c r="X206" i="14"/>
  <c r="X209" i="14"/>
  <c r="X211" i="14"/>
  <c r="Y211" i="14"/>
  <c r="X215" i="14"/>
  <c r="X217" i="14"/>
  <c r="X221" i="14"/>
  <c r="Y210" i="14"/>
  <c r="Y152" i="14"/>
  <c r="Y170" i="14"/>
  <c r="Y151" i="14"/>
  <c r="I123" i="14"/>
  <c r="I115" i="14"/>
  <c r="H142" i="14"/>
  <c r="I142" i="14"/>
  <c r="AA197" i="29"/>
  <c r="AA189" i="29"/>
  <c r="Z68" i="29"/>
  <c r="AA49" i="29"/>
  <c r="AA41" i="29"/>
  <c r="AB40" i="29"/>
  <c r="X216" i="29"/>
  <c r="Y216" i="29"/>
  <c r="Y197" i="29"/>
  <c r="Y189" i="29"/>
  <c r="Y188" i="29"/>
  <c r="AA92" i="23"/>
  <c r="AA88" i="23"/>
  <c r="AA91" i="23"/>
  <c r="AA89" i="23"/>
  <c r="AA95" i="23"/>
  <c r="AA93" i="23"/>
  <c r="AA105" i="23"/>
  <c r="AA94" i="23"/>
  <c r="AA87" i="23"/>
  <c r="AA90" i="23"/>
  <c r="O67" i="20"/>
  <c r="O61" i="20"/>
  <c r="O62" i="20"/>
  <c r="P69" i="16"/>
  <c r="P70" i="16"/>
  <c r="R216" i="13"/>
  <c r="S216" i="13"/>
  <c r="S197" i="13"/>
  <c r="S189" i="13"/>
  <c r="F215" i="29"/>
  <c r="F203" i="29"/>
  <c r="F206" i="29"/>
  <c r="F209" i="29"/>
  <c r="F211" i="29"/>
  <c r="G211" i="29"/>
  <c r="G204" i="29"/>
  <c r="G188" i="29"/>
  <c r="G210" i="29"/>
  <c r="G207" i="29"/>
  <c r="G170" i="29"/>
  <c r="G151" i="29"/>
  <c r="G152" i="29"/>
  <c r="N142" i="29"/>
  <c r="O142" i="29"/>
  <c r="O123" i="29"/>
  <c r="O115" i="29"/>
  <c r="F142" i="29"/>
  <c r="G142" i="29"/>
  <c r="G123" i="29"/>
  <c r="G115" i="29"/>
  <c r="E211" i="14"/>
  <c r="E209" i="14"/>
  <c r="E152" i="14"/>
  <c r="D203" i="14"/>
  <c r="D206" i="14"/>
  <c r="D209" i="14"/>
  <c r="D211" i="14"/>
  <c r="D215" i="14"/>
  <c r="D217" i="14"/>
  <c r="D221" i="14"/>
  <c r="E170" i="14"/>
  <c r="E151" i="14"/>
  <c r="E210" i="14"/>
  <c r="E206" i="14"/>
  <c r="E188" i="14"/>
  <c r="E204" i="14"/>
  <c r="E207" i="14"/>
  <c r="E203" i="14"/>
  <c r="H215" i="19"/>
  <c r="I210" i="19"/>
  <c r="I204" i="19"/>
  <c r="I188" i="19"/>
  <c r="I152" i="19"/>
  <c r="I170" i="19"/>
  <c r="I151" i="19"/>
  <c r="H203" i="19"/>
  <c r="H206" i="19"/>
  <c r="H209" i="19"/>
  <c r="H211" i="19"/>
  <c r="I211" i="19"/>
  <c r="I207" i="19"/>
  <c r="M123" i="13"/>
  <c r="M115" i="13"/>
  <c r="L142" i="13"/>
  <c r="M142" i="13"/>
  <c r="R129" i="13"/>
  <c r="R132" i="13"/>
  <c r="R135" i="13"/>
  <c r="R137" i="13"/>
  <c r="S137" i="13"/>
  <c r="S136" i="13"/>
  <c r="S96" i="13"/>
  <c r="S130" i="13"/>
  <c r="S78" i="13"/>
  <c r="R141" i="13"/>
  <c r="S133" i="13"/>
  <c r="S77" i="13"/>
  <c r="AA104" i="14"/>
  <c r="AA100" i="14"/>
  <c r="AA102" i="14"/>
  <c r="AA98" i="14"/>
  <c r="AA99" i="14"/>
  <c r="AA97" i="14"/>
  <c r="AA103" i="14"/>
  <c r="AA101" i="14"/>
  <c r="O77" i="19"/>
  <c r="O130" i="19"/>
  <c r="N141" i="19"/>
  <c r="N129" i="19"/>
  <c r="N132" i="19"/>
  <c r="N135" i="19"/>
  <c r="N137" i="19"/>
  <c r="O137" i="19"/>
  <c r="O136" i="19"/>
  <c r="O133" i="19"/>
  <c r="O96" i="19"/>
  <c r="O78" i="19"/>
  <c r="W77" i="19"/>
  <c r="V129" i="19"/>
  <c r="V132" i="19"/>
  <c r="V135" i="19"/>
  <c r="V137" i="19"/>
  <c r="W137" i="19"/>
  <c r="W133" i="19"/>
  <c r="W96" i="19"/>
  <c r="W78" i="19"/>
  <c r="W130" i="19"/>
  <c r="V141" i="19"/>
  <c r="W136" i="19"/>
  <c r="G197" i="13"/>
  <c r="G189" i="13"/>
  <c r="F216" i="13"/>
  <c r="G216" i="13"/>
  <c r="E133" i="29"/>
  <c r="E136" i="29"/>
  <c r="E130" i="29"/>
  <c r="E78" i="29"/>
  <c r="D141" i="29"/>
  <c r="E77" i="29"/>
  <c r="D129" i="29"/>
  <c r="D132" i="29"/>
  <c r="D135" i="29"/>
  <c r="D137" i="29"/>
  <c r="E137" i="29"/>
  <c r="E96" i="29"/>
  <c r="T216" i="29"/>
  <c r="U216" i="29"/>
  <c r="U197" i="29"/>
  <c r="U189" i="29"/>
  <c r="V216" i="29"/>
  <c r="W216" i="29"/>
  <c r="W197" i="29"/>
  <c r="W189" i="29"/>
  <c r="X215" i="19"/>
  <c r="Y210" i="19"/>
  <c r="Y170" i="19"/>
  <c r="Y151" i="19"/>
  <c r="Y207" i="19"/>
  <c r="Y204" i="19"/>
  <c r="Y152" i="19"/>
  <c r="X203" i="19"/>
  <c r="X206" i="19"/>
  <c r="X209" i="19"/>
  <c r="X211" i="19"/>
  <c r="Y211" i="19"/>
  <c r="Y188" i="13"/>
  <c r="Y189" i="13"/>
  <c r="X216" i="13"/>
  <c r="Y216" i="13"/>
  <c r="Y197" i="13"/>
  <c r="F216" i="23"/>
  <c r="G216" i="23"/>
  <c r="G197" i="23"/>
  <c r="G189" i="23"/>
  <c r="D142" i="19"/>
  <c r="E142" i="19"/>
  <c r="E123" i="19"/>
  <c r="E115" i="19"/>
  <c r="E114" i="19"/>
  <c r="K68" i="20"/>
  <c r="K71" i="20"/>
  <c r="K69" i="20"/>
  <c r="K70" i="20"/>
  <c r="L216" i="19"/>
  <c r="M216" i="19"/>
  <c r="M189" i="19"/>
  <c r="M197" i="19"/>
  <c r="J216" i="29"/>
  <c r="K216" i="29"/>
  <c r="K197" i="29"/>
  <c r="K189" i="29"/>
  <c r="J203" i="14"/>
  <c r="J206" i="14"/>
  <c r="J209" i="14"/>
  <c r="J211" i="14"/>
  <c r="K211" i="14"/>
  <c r="K210" i="14"/>
  <c r="K152" i="14"/>
  <c r="K170" i="14"/>
  <c r="K151" i="14"/>
  <c r="J215" i="14"/>
  <c r="J217" i="14"/>
  <c r="J221" i="14"/>
  <c r="K204" i="14"/>
  <c r="K207" i="14"/>
  <c r="K188" i="14"/>
  <c r="O67" i="18"/>
  <c r="O61" i="18"/>
  <c r="O62" i="18"/>
  <c r="E204" i="19"/>
  <c r="E188" i="19"/>
  <c r="E152" i="19"/>
  <c r="E207" i="19"/>
  <c r="D215" i="19"/>
  <c r="D203" i="19"/>
  <c r="D206" i="19"/>
  <c r="D209" i="19"/>
  <c r="D211" i="19"/>
  <c r="E211" i="19"/>
  <c r="E210" i="19"/>
  <c r="E170" i="19"/>
  <c r="E151" i="19"/>
  <c r="L68" i="20"/>
  <c r="L71" i="20"/>
  <c r="L69" i="20"/>
  <c r="L70" i="20"/>
  <c r="V141" i="23"/>
  <c r="V143" i="23"/>
  <c r="V147" i="23"/>
  <c r="W78" i="23"/>
  <c r="W136" i="23"/>
  <c r="W130" i="23"/>
  <c r="W96" i="23"/>
  <c r="W133" i="23"/>
  <c r="W77" i="23"/>
  <c r="V129" i="23"/>
  <c r="V132" i="23"/>
  <c r="V135" i="23"/>
  <c r="V137" i="23"/>
  <c r="W137" i="23"/>
  <c r="H216" i="23"/>
  <c r="I216" i="23"/>
  <c r="I197" i="23"/>
  <c r="I189" i="23"/>
  <c r="Z151" i="14"/>
  <c r="C57" i="19"/>
  <c r="C56" i="19"/>
  <c r="Q204" i="13"/>
  <c r="Q188" i="13"/>
  <c r="P203" i="13"/>
  <c r="P206" i="13"/>
  <c r="P209" i="13"/>
  <c r="P211" i="13"/>
  <c r="Q211" i="13"/>
  <c r="Q207" i="13"/>
  <c r="Q170" i="13"/>
  <c r="Q152" i="13"/>
  <c r="P215" i="13"/>
  <c r="Q210" i="13"/>
  <c r="Q151" i="13"/>
  <c r="AA103" i="29"/>
  <c r="AA99" i="29"/>
  <c r="AA102" i="29"/>
  <c r="AA98" i="29"/>
  <c r="AA101" i="29"/>
  <c r="AA97" i="29"/>
  <c r="AA104" i="29"/>
  <c r="AA100" i="29"/>
  <c r="K133" i="23"/>
  <c r="J141" i="23"/>
  <c r="J143" i="23"/>
  <c r="J147" i="23"/>
  <c r="K130" i="23"/>
  <c r="K96" i="23"/>
  <c r="K78" i="23"/>
  <c r="K136" i="23"/>
  <c r="K77" i="23"/>
  <c r="J129" i="23"/>
  <c r="J132" i="23"/>
  <c r="J135" i="23"/>
  <c r="J137" i="23"/>
  <c r="K137" i="23"/>
  <c r="N215" i="23"/>
  <c r="N203" i="23"/>
  <c r="N206" i="23"/>
  <c r="N209" i="23"/>
  <c r="N211" i="23"/>
  <c r="O211" i="23"/>
  <c r="O210" i="23"/>
  <c r="O152" i="23"/>
  <c r="O204" i="23"/>
  <c r="O188" i="23"/>
  <c r="O170" i="23"/>
  <c r="O151" i="23"/>
  <c r="O207" i="23"/>
  <c r="S197" i="23"/>
  <c r="R216" i="23"/>
  <c r="S216" i="23"/>
  <c r="S189" i="23"/>
  <c r="AA113" i="13"/>
  <c r="AA110" i="13"/>
  <c r="AA106" i="13"/>
  <c r="AA109" i="13"/>
  <c r="AA112" i="13"/>
  <c r="AA108" i="13"/>
  <c r="AA111" i="13"/>
  <c r="AA107" i="13"/>
  <c r="AA83" i="19"/>
  <c r="AA79" i="19"/>
  <c r="AA86" i="19"/>
  <c r="AA84" i="19"/>
  <c r="AA81" i="19"/>
  <c r="AA85" i="19"/>
  <c r="Z77" i="19"/>
  <c r="AA82" i="19"/>
  <c r="AA80" i="19"/>
  <c r="C123" i="29"/>
  <c r="B142" i="29"/>
  <c r="C142" i="29"/>
  <c r="C115" i="29"/>
  <c r="X142" i="29"/>
  <c r="Y142" i="29"/>
  <c r="Y123" i="29"/>
  <c r="Y115" i="29"/>
  <c r="F141" i="23"/>
  <c r="F143" i="23"/>
  <c r="F147" i="23"/>
  <c r="G133" i="23"/>
  <c r="G78" i="23"/>
  <c r="G77" i="23"/>
  <c r="F129" i="23"/>
  <c r="F132" i="23"/>
  <c r="F135" i="23"/>
  <c r="F137" i="23"/>
  <c r="G137" i="23"/>
  <c r="G136" i="23"/>
  <c r="G96" i="23"/>
  <c r="G130" i="23"/>
  <c r="X142" i="19"/>
  <c r="Y142" i="19"/>
  <c r="Y123" i="19"/>
  <c r="Y115" i="19"/>
  <c r="E69" i="18"/>
  <c r="E70" i="18"/>
  <c r="E68" i="18"/>
  <c r="E71" i="18"/>
  <c r="L142" i="19"/>
  <c r="M142" i="19"/>
  <c r="M123" i="19"/>
  <c r="M115" i="19"/>
  <c r="M114" i="19"/>
  <c r="AA105" i="14"/>
  <c r="Y130" i="19"/>
  <c r="Y96" i="19"/>
  <c r="X141" i="19"/>
  <c r="Y77" i="19"/>
  <c r="Y136" i="19"/>
  <c r="X129" i="19"/>
  <c r="X132" i="19"/>
  <c r="X135" i="19"/>
  <c r="X137" i="19"/>
  <c r="Y137" i="19"/>
  <c r="Y133" i="19"/>
  <c r="Y78" i="19"/>
  <c r="D216" i="13"/>
  <c r="E216" i="13"/>
  <c r="E197" i="13"/>
  <c r="E189" i="13"/>
  <c r="Z188" i="13"/>
  <c r="Z216" i="13"/>
  <c r="F129" i="14"/>
  <c r="F132" i="14"/>
  <c r="F135" i="14"/>
  <c r="F137" i="14"/>
  <c r="G137" i="14"/>
  <c r="G136" i="14"/>
  <c r="G78" i="14"/>
  <c r="G130" i="14"/>
  <c r="G96" i="14"/>
  <c r="F141" i="14"/>
  <c r="G77" i="14"/>
  <c r="G133" i="14"/>
  <c r="X63" i="13"/>
  <c r="Y63" i="13"/>
  <c r="Y61" i="13"/>
  <c r="J216" i="13"/>
  <c r="K216" i="13"/>
  <c r="K189" i="13"/>
  <c r="K197" i="13"/>
  <c r="X129" i="14"/>
  <c r="X132" i="14"/>
  <c r="X135" i="14"/>
  <c r="X137" i="14"/>
  <c r="Y137" i="14"/>
  <c r="X141" i="14"/>
  <c r="Y77" i="14"/>
  <c r="Y133" i="14"/>
  <c r="Y96" i="14"/>
  <c r="Y78" i="14"/>
  <c r="Y130" i="14"/>
  <c r="Y136" i="14"/>
  <c r="B141" i="19"/>
  <c r="C133" i="19"/>
  <c r="C96" i="19"/>
  <c r="B129" i="19"/>
  <c r="B132" i="19"/>
  <c r="B135" i="19"/>
  <c r="B137" i="19"/>
  <c r="C137" i="19"/>
  <c r="C130" i="19"/>
  <c r="C77" i="19"/>
  <c r="C136" i="19"/>
  <c r="C78" i="19"/>
  <c r="U197" i="19"/>
  <c r="U189" i="19"/>
  <c r="T216" i="19"/>
  <c r="U216" i="19"/>
  <c r="Y130" i="29"/>
  <c r="X129" i="29"/>
  <c r="X132" i="29"/>
  <c r="X135" i="29"/>
  <c r="X137" i="29"/>
  <c r="Y137" i="29"/>
  <c r="Y96" i="29"/>
  <c r="Y136" i="29"/>
  <c r="X141" i="29"/>
  <c r="Y78" i="29"/>
  <c r="Y133" i="29"/>
  <c r="Y77" i="29"/>
  <c r="I204" i="29"/>
  <c r="I207" i="29"/>
  <c r="H203" i="29"/>
  <c r="H206" i="29"/>
  <c r="H209" i="29"/>
  <c r="H211" i="29"/>
  <c r="I211" i="29"/>
  <c r="H215" i="29"/>
  <c r="I210" i="29"/>
  <c r="I188" i="29"/>
  <c r="I170" i="29"/>
  <c r="I152" i="29"/>
  <c r="I151" i="29"/>
  <c r="U189" i="23"/>
  <c r="U197" i="23"/>
  <c r="T216" i="23"/>
  <c r="U216" i="23"/>
  <c r="T129" i="13"/>
  <c r="T132" i="13"/>
  <c r="T135" i="13"/>
  <c r="T137" i="13"/>
  <c r="U137" i="13"/>
  <c r="T141" i="13"/>
  <c r="T143" i="13"/>
  <c r="T147" i="13"/>
  <c r="U130" i="13"/>
  <c r="U78" i="13"/>
  <c r="U77" i="13"/>
  <c r="U133" i="13"/>
  <c r="U136" i="13"/>
  <c r="U96" i="13"/>
  <c r="I197" i="19"/>
  <c r="I189" i="19"/>
  <c r="H216" i="19"/>
  <c r="I216" i="19"/>
  <c r="P141" i="14"/>
  <c r="Q77" i="14"/>
  <c r="Q133" i="14"/>
  <c r="P129" i="14"/>
  <c r="P132" i="14"/>
  <c r="P135" i="14"/>
  <c r="P137" i="14"/>
  <c r="Q137" i="14"/>
  <c r="Q130" i="14"/>
  <c r="Q136" i="14"/>
  <c r="Q96" i="14"/>
  <c r="Q78" i="14"/>
  <c r="Z56" i="13"/>
  <c r="J203" i="29"/>
  <c r="J206" i="29"/>
  <c r="J209" i="29"/>
  <c r="J211" i="29"/>
  <c r="K211" i="29"/>
  <c r="K207" i="29"/>
  <c r="K210" i="29"/>
  <c r="J215" i="29"/>
  <c r="K188" i="29"/>
  <c r="K204" i="29"/>
  <c r="K152" i="29"/>
  <c r="K170" i="29"/>
  <c r="K151" i="29"/>
  <c r="C189" i="23"/>
  <c r="C197" i="23"/>
  <c r="B216" i="23"/>
  <c r="C216" i="23"/>
  <c r="H57" i="23"/>
  <c r="H56" i="23"/>
  <c r="P57" i="23"/>
  <c r="P56" i="23"/>
  <c r="J57" i="23"/>
  <c r="J56" i="23"/>
  <c r="T57" i="23"/>
  <c r="T56" i="23"/>
  <c r="B57" i="23"/>
  <c r="L57" i="23"/>
  <c r="L56" i="23"/>
  <c r="V57" i="23"/>
  <c r="V56" i="23"/>
  <c r="D57" i="23"/>
  <c r="D56" i="23"/>
  <c r="N57" i="23"/>
  <c r="N56" i="23"/>
  <c r="F57" i="23"/>
  <c r="F56" i="23"/>
  <c r="R57" i="23"/>
  <c r="R56" i="23"/>
  <c r="E123" i="13"/>
  <c r="E115" i="13"/>
  <c r="D142" i="13"/>
  <c r="E142" i="13"/>
  <c r="C189" i="13"/>
  <c r="B216" i="13"/>
  <c r="C216" i="13"/>
  <c r="C197" i="13"/>
  <c r="F142" i="13"/>
  <c r="G142" i="13"/>
  <c r="G123" i="13"/>
  <c r="G115" i="13"/>
  <c r="B142" i="14"/>
  <c r="C142" i="14"/>
  <c r="C123" i="14"/>
  <c r="C115" i="14"/>
  <c r="G204" i="14"/>
  <c r="G188" i="14"/>
  <c r="G170" i="14"/>
  <c r="G151" i="14"/>
  <c r="G211" i="14"/>
  <c r="G206" i="14"/>
  <c r="G203" i="14"/>
  <c r="F203" i="14"/>
  <c r="F206" i="14"/>
  <c r="F209" i="14"/>
  <c r="F211" i="14"/>
  <c r="G207" i="14"/>
  <c r="G152" i="14"/>
  <c r="G210" i="14"/>
  <c r="G209" i="14"/>
  <c r="F215" i="14"/>
  <c r="F217" i="14"/>
  <c r="F221" i="14"/>
  <c r="F141" i="29"/>
  <c r="F129" i="29"/>
  <c r="F132" i="29"/>
  <c r="F135" i="29"/>
  <c r="F137" i="29"/>
  <c r="G137" i="29"/>
  <c r="G136" i="29"/>
  <c r="G133" i="29"/>
  <c r="G77" i="29"/>
  <c r="G96" i="29"/>
  <c r="G130" i="29"/>
  <c r="G78" i="29"/>
  <c r="R203" i="23"/>
  <c r="R206" i="23"/>
  <c r="R209" i="23"/>
  <c r="R211" i="23"/>
  <c r="S211" i="23"/>
  <c r="S204" i="23"/>
  <c r="S188" i="23"/>
  <c r="S210" i="23"/>
  <c r="S170" i="23"/>
  <c r="S151" i="23"/>
  <c r="R215" i="23"/>
  <c r="S152" i="23"/>
  <c r="S207" i="23"/>
  <c r="N68" i="20"/>
  <c r="N71" i="20"/>
  <c r="N69" i="20"/>
  <c r="N70" i="20"/>
  <c r="V141" i="29"/>
  <c r="V143" i="29"/>
  <c r="V147" i="29"/>
  <c r="V129" i="29"/>
  <c r="V132" i="29"/>
  <c r="V135" i="29"/>
  <c r="V137" i="29"/>
  <c r="W137" i="29"/>
  <c r="W136" i="29"/>
  <c r="W133" i="29"/>
  <c r="W77" i="29"/>
  <c r="W96" i="29"/>
  <c r="W130" i="29"/>
  <c r="W78" i="29"/>
  <c r="E207" i="23"/>
  <c r="D203" i="23"/>
  <c r="D206" i="23"/>
  <c r="D209" i="23"/>
  <c r="D211" i="23"/>
  <c r="E211" i="23"/>
  <c r="E204" i="23"/>
  <c r="E188" i="23"/>
  <c r="E170" i="23"/>
  <c r="E151" i="23"/>
  <c r="E152" i="23"/>
  <c r="E210" i="23"/>
  <c r="D215" i="23"/>
  <c r="D217" i="23"/>
  <c r="D221" i="23"/>
  <c r="D142" i="14"/>
  <c r="E142" i="14"/>
  <c r="E123" i="14"/>
  <c r="E115" i="14"/>
  <c r="O189" i="19"/>
  <c r="O197" i="19"/>
  <c r="N216" i="19"/>
  <c r="O216" i="19"/>
  <c r="L216" i="13"/>
  <c r="M216" i="13"/>
  <c r="M189" i="13"/>
  <c r="M197" i="13"/>
  <c r="I130" i="19"/>
  <c r="I96" i="19"/>
  <c r="I136" i="19"/>
  <c r="I133" i="19"/>
  <c r="I78" i="19"/>
  <c r="H141" i="19"/>
  <c r="H129" i="19"/>
  <c r="H132" i="19"/>
  <c r="H135" i="19"/>
  <c r="H137" i="19"/>
  <c r="I137" i="19"/>
  <c r="I77" i="19"/>
  <c r="P69" i="18"/>
  <c r="P70" i="18"/>
  <c r="H142" i="13"/>
  <c r="I142" i="13"/>
  <c r="I123" i="13"/>
  <c r="I115" i="13"/>
  <c r="U133" i="14"/>
  <c r="T129" i="14"/>
  <c r="T132" i="14"/>
  <c r="T135" i="14"/>
  <c r="T137" i="14"/>
  <c r="U137" i="14"/>
  <c r="T141" i="14"/>
  <c r="U77" i="14"/>
  <c r="U136" i="14"/>
  <c r="U96" i="14"/>
  <c r="U78" i="14"/>
  <c r="U130" i="14"/>
  <c r="S61" i="13"/>
  <c r="R63" i="13"/>
  <c r="S63" i="13"/>
  <c r="V215" i="13"/>
  <c r="W211" i="13"/>
  <c r="W209" i="13"/>
  <c r="V203" i="13"/>
  <c r="V206" i="13"/>
  <c r="V209" i="13"/>
  <c r="V211" i="13"/>
  <c r="W206" i="13"/>
  <c r="W203" i="13"/>
  <c r="W151" i="13"/>
  <c r="W210" i="13"/>
  <c r="W207" i="13"/>
  <c r="W204" i="13"/>
  <c r="W188" i="13"/>
  <c r="W170" i="13"/>
  <c r="W152" i="13"/>
  <c r="AA189" i="19"/>
  <c r="U207" i="23"/>
  <c r="T203" i="23"/>
  <c r="T206" i="23"/>
  <c r="T209" i="23"/>
  <c r="T211" i="23"/>
  <c r="U211" i="23"/>
  <c r="U152" i="23"/>
  <c r="U204" i="23"/>
  <c r="U188" i="23"/>
  <c r="U170" i="23"/>
  <c r="U151" i="23"/>
  <c r="T215" i="23"/>
  <c r="U210" i="23"/>
  <c r="Q123" i="14"/>
  <c r="Q115" i="14"/>
  <c r="P142" i="14"/>
  <c r="Q142" i="14"/>
  <c r="R142" i="14"/>
  <c r="S142" i="14"/>
  <c r="S123" i="14"/>
  <c r="S115" i="14"/>
  <c r="L216" i="29"/>
  <c r="M216" i="29"/>
  <c r="M197" i="29"/>
  <c r="M189" i="29"/>
  <c r="AA111" i="23"/>
  <c r="AA107" i="23"/>
  <c r="AA112" i="23"/>
  <c r="AA113" i="23"/>
  <c r="AA109" i="23"/>
  <c r="AA110" i="23"/>
  <c r="AA108" i="23"/>
  <c r="AA106" i="23"/>
  <c r="K130" i="14"/>
  <c r="K96" i="14"/>
  <c r="K136" i="14"/>
  <c r="K78" i="14"/>
  <c r="J141" i="14"/>
  <c r="K133" i="14"/>
  <c r="J129" i="14"/>
  <c r="J132" i="14"/>
  <c r="J135" i="14"/>
  <c r="J137" i="14"/>
  <c r="K137" i="14"/>
  <c r="K77" i="14"/>
  <c r="I204" i="13"/>
  <c r="I188" i="13"/>
  <c r="I209" i="13"/>
  <c r="I170" i="13"/>
  <c r="I206" i="13"/>
  <c r="I203" i="13"/>
  <c r="I211" i="13"/>
  <c r="I210" i="13"/>
  <c r="I152" i="13"/>
  <c r="H203" i="13"/>
  <c r="H206" i="13"/>
  <c r="H209" i="13"/>
  <c r="H211" i="13"/>
  <c r="H215" i="13"/>
  <c r="I207" i="13"/>
  <c r="I151" i="13"/>
  <c r="N142" i="14"/>
  <c r="O142" i="14"/>
  <c r="O123" i="14"/>
  <c r="O115" i="14"/>
  <c r="C68" i="16"/>
  <c r="C71" i="16"/>
  <c r="C69" i="16"/>
  <c r="C70" i="16"/>
  <c r="O66" i="20"/>
  <c r="O57" i="20"/>
  <c r="O64" i="20"/>
  <c r="D68" i="20"/>
  <c r="D71" i="20"/>
  <c r="D69" i="20"/>
  <c r="D70" i="20"/>
  <c r="Z114" i="13"/>
  <c r="AA120" i="13"/>
  <c r="AA116" i="13"/>
  <c r="AA119" i="13"/>
  <c r="AA122" i="13"/>
  <c r="AA118" i="13"/>
  <c r="AA121" i="13"/>
  <c r="AA117" i="13"/>
  <c r="Q130" i="29"/>
  <c r="P141" i="29"/>
  <c r="P129" i="29"/>
  <c r="P132" i="29"/>
  <c r="P135" i="29"/>
  <c r="P137" i="29"/>
  <c r="Q137" i="29"/>
  <c r="Q96" i="29"/>
  <c r="Q133" i="29"/>
  <c r="Q78" i="29"/>
  <c r="Q136" i="29"/>
  <c r="Q77" i="29"/>
  <c r="E210" i="29"/>
  <c r="D203" i="29"/>
  <c r="D206" i="29"/>
  <c r="D209" i="29"/>
  <c r="D211" i="29"/>
  <c r="E211" i="29"/>
  <c r="D215" i="29"/>
  <c r="E207" i="29"/>
  <c r="E204" i="29"/>
  <c r="E188" i="29"/>
  <c r="E170" i="29"/>
  <c r="E151" i="29"/>
  <c r="E152" i="29"/>
  <c r="L141" i="23"/>
  <c r="L143" i="23"/>
  <c r="L147" i="23"/>
  <c r="M136" i="23"/>
  <c r="L129" i="23"/>
  <c r="L132" i="23"/>
  <c r="L135" i="23"/>
  <c r="L137" i="23"/>
  <c r="M137" i="23"/>
  <c r="M130" i="23"/>
  <c r="M78" i="23"/>
  <c r="M96" i="23"/>
  <c r="M133" i="23"/>
  <c r="M77" i="23"/>
  <c r="B203" i="23"/>
  <c r="B206" i="23"/>
  <c r="B209" i="23"/>
  <c r="B211" i="23"/>
  <c r="C211" i="23"/>
  <c r="C204" i="23"/>
  <c r="C188" i="23"/>
  <c r="B215" i="23"/>
  <c r="C210" i="23"/>
  <c r="C207" i="23"/>
  <c r="C152" i="23"/>
  <c r="C170" i="23"/>
  <c r="C151" i="23"/>
  <c r="Q207" i="14"/>
  <c r="Q170" i="14"/>
  <c r="Q151" i="14"/>
  <c r="P203" i="14"/>
  <c r="P206" i="14"/>
  <c r="P209" i="14"/>
  <c r="P211" i="14"/>
  <c r="Q211" i="14"/>
  <c r="P215" i="14"/>
  <c r="P217" i="14"/>
  <c r="P221" i="14"/>
  <c r="Q152" i="14"/>
  <c r="Q204" i="14"/>
  <c r="Q210" i="14"/>
  <c r="Q188" i="14"/>
  <c r="M133" i="29"/>
  <c r="L141" i="29"/>
  <c r="M136" i="29"/>
  <c r="M78" i="29"/>
  <c r="M77" i="29"/>
  <c r="L129" i="29"/>
  <c r="L132" i="29"/>
  <c r="L135" i="29"/>
  <c r="L137" i="29"/>
  <c r="M137" i="29"/>
  <c r="M130" i="29"/>
  <c r="M96" i="29"/>
  <c r="AA87" i="14"/>
  <c r="R203" i="14"/>
  <c r="R206" i="14"/>
  <c r="R209" i="14"/>
  <c r="R211" i="14"/>
  <c r="S211" i="14"/>
  <c r="S210" i="14"/>
  <c r="S207" i="14"/>
  <c r="S204" i="14"/>
  <c r="S188" i="14"/>
  <c r="S152" i="14"/>
  <c r="R215" i="14"/>
  <c r="R217" i="14"/>
  <c r="R221" i="14"/>
  <c r="S170" i="14"/>
  <c r="S151" i="14"/>
  <c r="W204" i="14"/>
  <c r="W188" i="14"/>
  <c r="W170" i="14"/>
  <c r="W151" i="14"/>
  <c r="W207" i="14"/>
  <c r="W152" i="14"/>
  <c r="V203" i="14"/>
  <c r="V206" i="14"/>
  <c r="V209" i="14"/>
  <c r="V211" i="14"/>
  <c r="W211" i="14"/>
  <c r="V215" i="14"/>
  <c r="V217" i="14"/>
  <c r="V221" i="14"/>
  <c r="W210" i="14"/>
  <c r="F215" i="19"/>
  <c r="F217" i="19"/>
  <c r="F221" i="19"/>
  <c r="G207" i="19"/>
  <c r="G170" i="19"/>
  <c r="G151" i="19"/>
  <c r="F203" i="19"/>
  <c r="F206" i="19"/>
  <c r="F209" i="19"/>
  <c r="F211" i="19"/>
  <c r="G211" i="19"/>
  <c r="G204" i="19"/>
  <c r="G188" i="19"/>
  <c r="G152" i="19"/>
  <c r="G210" i="19"/>
  <c r="D141" i="23"/>
  <c r="D143" i="23"/>
  <c r="D147" i="23"/>
  <c r="E136" i="23"/>
  <c r="D129" i="23"/>
  <c r="D132" i="23"/>
  <c r="D135" i="23"/>
  <c r="D137" i="23"/>
  <c r="E137" i="23"/>
  <c r="E133" i="23"/>
  <c r="E96" i="23"/>
  <c r="E77" i="23"/>
  <c r="E130" i="23"/>
  <c r="E78" i="23"/>
  <c r="E114" i="23"/>
  <c r="V215" i="23"/>
  <c r="V203" i="23"/>
  <c r="V206" i="23"/>
  <c r="V209" i="23"/>
  <c r="V211" i="23"/>
  <c r="W211" i="23"/>
  <c r="W210" i="23"/>
  <c r="W152" i="23"/>
  <c r="W207" i="23"/>
  <c r="W188" i="23"/>
  <c r="W204" i="23"/>
  <c r="W170" i="23"/>
  <c r="W151" i="23"/>
  <c r="X216" i="23"/>
  <c r="Y216" i="23"/>
  <c r="Y197" i="23"/>
  <c r="Y189" i="23"/>
  <c r="Y188" i="23"/>
  <c r="C130" i="14"/>
  <c r="C96" i="14"/>
  <c r="B129" i="14"/>
  <c r="B132" i="14"/>
  <c r="B135" i="14"/>
  <c r="B137" i="14"/>
  <c r="C137" i="14"/>
  <c r="C136" i="14"/>
  <c r="C78" i="14"/>
  <c r="C133" i="14"/>
  <c r="C77" i="14"/>
  <c r="B141" i="14"/>
  <c r="B203" i="14"/>
  <c r="B206" i="14"/>
  <c r="B209" i="14"/>
  <c r="B211" i="14"/>
  <c r="C210" i="14"/>
  <c r="C206" i="14"/>
  <c r="C209" i="14"/>
  <c r="C207" i="14"/>
  <c r="C204" i="14"/>
  <c r="C188" i="14"/>
  <c r="B215" i="14"/>
  <c r="C203" i="14"/>
  <c r="C211" i="14"/>
  <c r="C152" i="14"/>
  <c r="C170" i="14"/>
  <c r="C151" i="14"/>
  <c r="N215" i="13"/>
  <c r="O210" i="13"/>
  <c r="O151" i="13"/>
  <c r="O207" i="13"/>
  <c r="O204" i="13"/>
  <c r="O188" i="13"/>
  <c r="O170" i="13"/>
  <c r="N203" i="13"/>
  <c r="N206" i="13"/>
  <c r="N209" i="13"/>
  <c r="N211" i="13"/>
  <c r="O211" i="13"/>
  <c r="O152" i="13"/>
  <c r="S115" i="29"/>
  <c r="R142" i="29"/>
  <c r="S142" i="29"/>
  <c r="S123" i="29"/>
  <c r="J129" i="13"/>
  <c r="J132" i="13"/>
  <c r="J135" i="13"/>
  <c r="J137" i="13"/>
  <c r="K137" i="13"/>
  <c r="K136" i="13"/>
  <c r="K96" i="13"/>
  <c r="K78" i="13"/>
  <c r="K130" i="13"/>
  <c r="J141" i="13"/>
  <c r="J143" i="13"/>
  <c r="J147" i="13"/>
  <c r="K133" i="13"/>
  <c r="K77" i="13"/>
  <c r="L142" i="14"/>
  <c r="M142" i="14"/>
  <c r="M123" i="14"/>
  <c r="M115" i="14"/>
  <c r="M114" i="14"/>
  <c r="J141" i="19"/>
  <c r="K133" i="19"/>
  <c r="K78" i="19"/>
  <c r="K96" i="19"/>
  <c r="K130" i="19"/>
  <c r="K77" i="19"/>
  <c r="J129" i="19"/>
  <c r="J132" i="19"/>
  <c r="J135" i="19"/>
  <c r="J137" i="19"/>
  <c r="K137" i="19"/>
  <c r="K136" i="19"/>
  <c r="F215" i="13"/>
  <c r="F203" i="13"/>
  <c r="F206" i="13"/>
  <c r="F209" i="13"/>
  <c r="F211" i="13"/>
  <c r="G211" i="13"/>
  <c r="G207" i="13"/>
  <c r="G204" i="13"/>
  <c r="G188" i="13"/>
  <c r="G151" i="13"/>
  <c r="G170" i="13"/>
  <c r="G210" i="13"/>
  <c r="G152" i="13"/>
  <c r="S197" i="29"/>
  <c r="S189" i="29"/>
  <c r="R216" i="29"/>
  <c r="S216" i="29"/>
  <c r="N216" i="29"/>
  <c r="O216" i="29"/>
  <c r="O197" i="29"/>
  <c r="O189" i="29"/>
  <c r="N141" i="29"/>
  <c r="N129" i="29"/>
  <c r="N132" i="29"/>
  <c r="N135" i="29"/>
  <c r="N137" i="29"/>
  <c r="O137" i="29"/>
  <c r="O136" i="29"/>
  <c r="O77" i="29"/>
  <c r="O130" i="29"/>
  <c r="O96" i="29"/>
  <c r="O133" i="29"/>
  <c r="O78" i="29"/>
  <c r="Z151" i="23"/>
  <c r="AA152" i="23"/>
  <c r="J203" i="23"/>
  <c r="J206" i="23"/>
  <c r="J209" i="23"/>
  <c r="J211" i="23"/>
  <c r="K211" i="23"/>
  <c r="K204" i="23"/>
  <c r="K188" i="23"/>
  <c r="J215" i="23"/>
  <c r="K207" i="23"/>
  <c r="K152" i="23"/>
  <c r="K170" i="23"/>
  <c r="K151" i="23"/>
  <c r="K210" i="23"/>
  <c r="AA104" i="13"/>
  <c r="AA100" i="13"/>
  <c r="AA103" i="13"/>
  <c r="AA99" i="13"/>
  <c r="AA102" i="13"/>
  <c r="AA98" i="13"/>
  <c r="AA101" i="13"/>
  <c r="AA97" i="13"/>
  <c r="AA125" i="19"/>
  <c r="AA127" i="19"/>
  <c r="AA124" i="19"/>
  <c r="AA128" i="19"/>
  <c r="AA126" i="19"/>
  <c r="J142" i="19"/>
  <c r="K142" i="19"/>
  <c r="K115" i="19"/>
  <c r="K123" i="19"/>
  <c r="H68" i="20"/>
  <c r="H71" i="20"/>
  <c r="H69" i="20"/>
  <c r="H70" i="20"/>
  <c r="M58" i="13"/>
  <c r="L61" i="13"/>
  <c r="H141" i="14"/>
  <c r="I77" i="14"/>
  <c r="H129" i="14"/>
  <c r="H132" i="14"/>
  <c r="H135" i="14"/>
  <c r="H137" i="14"/>
  <c r="I137" i="14"/>
  <c r="I133" i="14"/>
  <c r="I96" i="14"/>
  <c r="I78" i="14"/>
  <c r="I130" i="14"/>
  <c r="I136" i="14"/>
  <c r="J129" i="29"/>
  <c r="J132" i="29"/>
  <c r="J135" i="29"/>
  <c r="J137" i="29"/>
  <c r="K137" i="29"/>
  <c r="K130" i="29"/>
  <c r="K133" i="29"/>
  <c r="K136" i="29"/>
  <c r="J141" i="29"/>
  <c r="K78" i="29"/>
  <c r="K77" i="29"/>
  <c r="K96" i="29"/>
  <c r="B142" i="13"/>
  <c r="C142" i="13"/>
  <c r="C123" i="13"/>
  <c r="C115" i="13"/>
  <c r="C133" i="23"/>
  <c r="B141" i="23"/>
  <c r="C136" i="23"/>
  <c r="C130" i="23"/>
  <c r="C96" i="23"/>
  <c r="B129" i="23"/>
  <c r="B132" i="23"/>
  <c r="B135" i="23"/>
  <c r="B137" i="23"/>
  <c r="C137" i="23"/>
  <c r="C78" i="23"/>
  <c r="C77" i="23"/>
  <c r="AA128" i="13"/>
  <c r="AA124" i="13"/>
  <c r="AA127" i="13"/>
  <c r="AA126" i="13"/>
  <c r="AA125" i="13"/>
  <c r="J203" i="13"/>
  <c r="J206" i="13"/>
  <c r="J209" i="13"/>
  <c r="J211" i="13"/>
  <c r="K207" i="13"/>
  <c r="K203" i="13"/>
  <c r="K211" i="13"/>
  <c r="K206" i="13"/>
  <c r="J215" i="13"/>
  <c r="K210" i="13"/>
  <c r="K152" i="13"/>
  <c r="K151" i="13"/>
  <c r="K209" i="13"/>
  <c r="K204" i="13"/>
  <c r="K188" i="13"/>
  <c r="K170" i="13"/>
  <c r="AA207" i="29"/>
  <c r="AA210" i="29"/>
  <c r="AA152" i="29"/>
  <c r="AA170" i="29"/>
  <c r="AA59" i="29"/>
  <c r="Z67" i="29"/>
  <c r="AA62" i="29"/>
  <c r="AA3" i="29"/>
  <c r="Z55" i="29"/>
  <c r="AA55" i="29"/>
  <c r="AA56" i="29"/>
  <c r="AA40" i="29"/>
  <c r="AA22" i="29"/>
  <c r="AA4" i="29"/>
  <c r="P216" i="29"/>
  <c r="Q216" i="29"/>
  <c r="Q197" i="29"/>
  <c r="Q189" i="29"/>
  <c r="U133" i="29"/>
  <c r="T141" i="29"/>
  <c r="U136" i="29"/>
  <c r="U130" i="29"/>
  <c r="U78" i="29"/>
  <c r="U77" i="29"/>
  <c r="T129" i="29"/>
  <c r="T132" i="29"/>
  <c r="T135" i="29"/>
  <c r="T137" i="29"/>
  <c r="U137" i="29"/>
  <c r="U96" i="29"/>
  <c r="M207" i="23"/>
  <c r="L215" i="23"/>
  <c r="L203" i="23"/>
  <c r="L206" i="23"/>
  <c r="L209" i="23"/>
  <c r="L211" i="23"/>
  <c r="M211" i="23"/>
  <c r="M210" i="23"/>
  <c r="M152" i="23"/>
  <c r="M188" i="23"/>
  <c r="M204" i="23"/>
  <c r="M170" i="23"/>
  <c r="M151" i="23"/>
  <c r="L129" i="13"/>
  <c r="L132" i="13"/>
  <c r="L135" i="13"/>
  <c r="L137" i="13"/>
  <c r="M137" i="13"/>
  <c r="L141" i="13"/>
  <c r="M130" i="13"/>
  <c r="M78" i="13"/>
  <c r="M133" i="13"/>
  <c r="M77" i="13"/>
  <c r="M136" i="13"/>
  <c r="M96" i="13"/>
  <c r="U204" i="19"/>
  <c r="U188" i="19"/>
  <c r="U152" i="19"/>
  <c r="T203" i="19"/>
  <c r="T206" i="19"/>
  <c r="T209" i="19"/>
  <c r="T211" i="19"/>
  <c r="U211" i="19"/>
  <c r="U210" i="19"/>
  <c r="U170" i="19"/>
  <c r="U151" i="19"/>
  <c r="U207" i="19"/>
  <c r="T215" i="19"/>
  <c r="O57" i="16"/>
  <c r="O66" i="16"/>
  <c r="O64" i="16"/>
  <c r="D203" i="13"/>
  <c r="D206" i="13"/>
  <c r="D209" i="13"/>
  <c r="D211" i="13"/>
  <c r="E211" i="13"/>
  <c r="E210" i="13"/>
  <c r="E170" i="13"/>
  <c r="E152" i="13"/>
  <c r="E207" i="13"/>
  <c r="E204" i="13"/>
  <c r="E188" i="13"/>
  <c r="E151" i="13"/>
  <c r="D215" i="13"/>
  <c r="W123" i="14"/>
  <c r="W115" i="14"/>
  <c r="V142" i="14"/>
  <c r="W142" i="14"/>
  <c r="R129" i="14"/>
  <c r="R132" i="14"/>
  <c r="R135" i="14"/>
  <c r="R137" i="14"/>
  <c r="S137" i="14"/>
  <c r="S130" i="14"/>
  <c r="S96" i="14"/>
  <c r="S136" i="14"/>
  <c r="S78" i="14"/>
  <c r="S133" i="14"/>
  <c r="S77" i="14"/>
  <c r="R141" i="14"/>
  <c r="Q130" i="19"/>
  <c r="Q96" i="19"/>
  <c r="Q77" i="19"/>
  <c r="P129" i="19"/>
  <c r="P132" i="19"/>
  <c r="P135" i="19"/>
  <c r="P137" i="19"/>
  <c r="Q137" i="19"/>
  <c r="Q136" i="19"/>
  <c r="Q133" i="19"/>
  <c r="Q78" i="19"/>
  <c r="P141" i="19"/>
  <c r="J68" i="18"/>
  <c r="J71" i="18"/>
  <c r="J69" i="18"/>
  <c r="J70" i="18"/>
  <c r="I197" i="13"/>
  <c r="H216" i="13"/>
  <c r="I216" i="13"/>
  <c r="I189" i="13"/>
  <c r="W189" i="23"/>
  <c r="W197" i="23"/>
  <c r="V216" i="23"/>
  <c r="W216" i="23"/>
  <c r="R203" i="13"/>
  <c r="R206" i="13"/>
  <c r="R209" i="13"/>
  <c r="R211" i="13"/>
  <c r="S211" i="13"/>
  <c r="S207" i="13"/>
  <c r="S204" i="13"/>
  <c r="S188" i="13"/>
  <c r="S170" i="13"/>
  <c r="R215" i="13"/>
  <c r="S152" i="13"/>
  <c r="S210" i="13"/>
  <c r="S151" i="13"/>
  <c r="AA56" i="19"/>
  <c r="P129" i="13"/>
  <c r="P132" i="13"/>
  <c r="P135" i="13"/>
  <c r="P137" i="13"/>
  <c r="Q137" i="13"/>
  <c r="Q133" i="13"/>
  <c r="Q77" i="13"/>
  <c r="Q136" i="13"/>
  <c r="Q96" i="13"/>
  <c r="P141" i="13"/>
  <c r="P143" i="13"/>
  <c r="P147" i="13"/>
  <c r="Q130" i="13"/>
  <c r="Q78" i="13"/>
  <c r="Y204" i="29"/>
  <c r="Y207" i="29"/>
  <c r="Y210" i="29"/>
  <c r="X215" i="29"/>
  <c r="X203" i="29"/>
  <c r="X206" i="29"/>
  <c r="X209" i="29"/>
  <c r="X211" i="29"/>
  <c r="Y211" i="29"/>
  <c r="Y152" i="29"/>
  <c r="Y170" i="29"/>
  <c r="Y151" i="29"/>
  <c r="D129" i="13"/>
  <c r="D132" i="13"/>
  <c r="D135" i="13"/>
  <c r="D137" i="13"/>
  <c r="E137" i="13"/>
  <c r="D141" i="13"/>
  <c r="E130" i="13"/>
  <c r="E78" i="13"/>
  <c r="E77" i="13"/>
  <c r="E133" i="13"/>
  <c r="E136" i="13"/>
  <c r="E96" i="13"/>
  <c r="M136" i="19"/>
  <c r="M78" i="19"/>
  <c r="M133" i="19"/>
  <c r="M96" i="19"/>
  <c r="M130" i="19"/>
  <c r="M77" i="19"/>
  <c r="L129" i="19"/>
  <c r="L132" i="19"/>
  <c r="L135" i="19"/>
  <c r="L137" i="19"/>
  <c r="M137" i="19"/>
  <c r="L141" i="19"/>
  <c r="H61" i="13"/>
  <c r="I58" i="13"/>
  <c r="AA126" i="29"/>
  <c r="AA125" i="29"/>
  <c r="AA124" i="29"/>
  <c r="AA127" i="29"/>
  <c r="AA128" i="29"/>
  <c r="M123" i="29"/>
  <c r="L142" i="29"/>
  <c r="M142" i="29"/>
  <c r="M115" i="29"/>
  <c r="T141" i="23"/>
  <c r="T143" i="23"/>
  <c r="T147" i="23"/>
  <c r="U136" i="23"/>
  <c r="U130" i="23"/>
  <c r="U133" i="23"/>
  <c r="T129" i="23"/>
  <c r="T132" i="23"/>
  <c r="T135" i="23"/>
  <c r="T137" i="23"/>
  <c r="U137" i="23"/>
  <c r="U78" i="23"/>
  <c r="U77" i="23"/>
  <c r="U96" i="23"/>
  <c r="J142" i="14"/>
  <c r="K142" i="14"/>
  <c r="K123" i="14"/>
  <c r="K115" i="14"/>
  <c r="N129" i="14"/>
  <c r="N132" i="14"/>
  <c r="N135" i="14"/>
  <c r="N137" i="14"/>
  <c r="O137" i="14"/>
  <c r="O136" i="14"/>
  <c r="O78" i="14"/>
  <c r="O130" i="14"/>
  <c r="O96" i="14"/>
  <c r="N141" i="14"/>
  <c r="O133" i="14"/>
  <c r="O77" i="14"/>
  <c r="AA121" i="19"/>
  <c r="AA117" i="19"/>
  <c r="AA116" i="19"/>
  <c r="AA120" i="19"/>
  <c r="AA118" i="19"/>
  <c r="AA122" i="19"/>
  <c r="Z114" i="19"/>
  <c r="AA119" i="19"/>
  <c r="E68" i="20"/>
  <c r="E71" i="20"/>
  <c r="E69" i="20"/>
  <c r="E70" i="20"/>
  <c r="P69" i="20"/>
  <c r="P70" i="20"/>
  <c r="R216" i="19"/>
  <c r="S216" i="19"/>
  <c r="S197" i="19"/>
  <c r="S189" i="19"/>
  <c r="X203" i="23"/>
  <c r="AB40" i="23"/>
  <c r="AA197" i="23"/>
  <c r="AA189" i="23"/>
  <c r="AA49" i="23"/>
  <c r="Z68" i="23"/>
  <c r="AA41" i="23"/>
  <c r="Z55" i="23"/>
  <c r="AA40" i="23"/>
  <c r="X203" i="13"/>
  <c r="I130" i="29"/>
  <c r="H129" i="29"/>
  <c r="H132" i="29"/>
  <c r="H135" i="29"/>
  <c r="H137" i="29"/>
  <c r="I137" i="29"/>
  <c r="I96" i="29"/>
  <c r="I136" i="29"/>
  <c r="H141" i="29"/>
  <c r="H143" i="29"/>
  <c r="H147" i="29"/>
  <c r="I78" i="29"/>
  <c r="I133" i="29"/>
  <c r="I77" i="29"/>
  <c r="U123" i="29"/>
  <c r="T142" i="29"/>
  <c r="U142" i="29"/>
  <c r="U115" i="29"/>
  <c r="I77" i="23"/>
  <c r="I136" i="23"/>
  <c r="H129" i="23"/>
  <c r="H132" i="23"/>
  <c r="H135" i="23"/>
  <c r="H137" i="23"/>
  <c r="I137" i="23"/>
  <c r="I130" i="23"/>
  <c r="H141" i="23"/>
  <c r="H143" i="23"/>
  <c r="H147" i="23"/>
  <c r="I133" i="23"/>
  <c r="I96" i="23"/>
  <c r="I78" i="23"/>
  <c r="C68" i="20"/>
  <c r="C71" i="20"/>
  <c r="C69" i="20"/>
  <c r="C70" i="20"/>
  <c r="R63" i="14"/>
  <c r="S63" i="14"/>
  <c r="S61" i="14"/>
  <c r="Z151" i="13"/>
  <c r="I211" i="14"/>
  <c r="I207" i="14"/>
  <c r="I203" i="14"/>
  <c r="I210" i="14"/>
  <c r="H203" i="14"/>
  <c r="H206" i="14"/>
  <c r="H209" i="14"/>
  <c r="H211" i="14"/>
  <c r="H215" i="14"/>
  <c r="H217" i="14"/>
  <c r="H221" i="14"/>
  <c r="I209" i="14"/>
  <c r="I204" i="14"/>
  <c r="I188" i="14"/>
  <c r="I170" i="14"/>
  <c r="I151" i="14"/>
  <c r="I206" i="14"/>
  <c r="I152" i="14"/>
  <c r="B142" i="19"/>
  <c r="C142" i="19"/>
  <c r="C123" i="19"/>
  <c r="C115" i="19"/>
  <c r="E136" i="19"/>
  <c r="E78" i="19"/>
  <c r="D129" i="19"/>
  <c r="D132" i="19"/>
  <c r="D135" i="19"/>
  <c r="D137" i="19"/>
  <c r="E137" i="19"/>
  <c r="E130" i="19"/>
  <c r="E77" i="19"/>
  <c r="D141" i="19"/>
  <c r="E133" i="19"/>
  <c r="E96" i="19"/>
  <c r="M204" i="19"/>
  <c r="M188" i="19"/>
  <c r="M152" i="19"/>
  <c r="M210" i="19"/>
  <c r="M170" i="19"/>
  <c r="M151" i="19"/>
  <c r="L215" i="19"/>
  <c r="L203" i="19"/>
  <c r="L206" i="19"/>
  <c r="L209" i="19"/>
  <c r="L211" i="19"/>
  <c r="M211" i="19"/>
  <c r="M207" i="19"/>
  <c r="B61" i="14"/>
  <c r="C58" i="14"/>
  <c r="X129" i="13"/>
  <c r="X132" i="13"/>
  <c r="X135" i="13"/>
  <c r="X137" i="13"/>
  <c r="Y137" i="13"/>
  <c r="Y133" i="13"/>
  <c r="Y77" i="13"/>
  <c r="Y136" i="13"/>
  <c r="Y96" i="13"/>
  <c r="X141" i="13"/>
  <c r="X143" i="13"/>
  <c r="X147" i="13"/>
  <c r="Y130" i="13"/>
  <c r="Y78" i="13"/>
  <c r="Q170" i="23"/>
  <c r="Q151" i="23"/>
  <c r="Q207" i="23"/>
  <c r="Q152" i="23"/>
  <c r="P215" i="23"/>
  <c r="Q204" i="23"/>
  <c r="Q188" i="23"/>
  <c r="P203" i="23"/>
  <c r="P206" i="23"/>
  <c r="P209" i="23"/>
  <c r="P211" i="23"/>
  <c r="Q211" i="23"/>
  <c r="Q210" i="23"/>
  <c r="N129" i="13"/>
  <c r="N132" i="13"/>
  <c r="N135" i="13"/>
  <c r="N137" i="13"/>
  <c r="O137" i="13"/>
  <c r="O130" i="13"/>
  <c r="O78" i="13"/>
  <c r="N141" i="13"/>
  <c r="N143" i="13"/>
  <c r="N147" i="13"/>
  <c r="O133" i="13"/>
  <c r="O77" i="13"/>
  <c r="O136" i="13"/>
  <c r="O96" i="13"/>
  <c r="R141" i="19"/>
  <c r="S133" i="19"/>
  <c r="S136" i="19"/>
  <c r="R129" i="19"/>
  <c r="R132" i="19"/>
  <c r="R135" i="19"/>
  <c r="R137" i="19"/>
  <c r="S137" i="19"/>
  <c r="S78" i="19"/>
  <c r="S96" i="19"/>
  <c r="S130" i="19"/>
  <c r="S77" i="19"/>
  <c r="U136" i="19"/>
  <c r="U78" i="19"/>
  <c r="T141" i="19"/>
  <c r="T129" i="19"/>
  <c r="T132" i="19"/>
  <c r="T135" i="19"/>
  <c r="T137" i="19"/>
  <c r="U137" i="19"/>
  <c r="U133" i="19"/>
  <c r="U96" i="19"/>
  <c r="U130" i="19"/>
  <c r="U77" i="19"/>
  <c r="W207" i="19"/>
  <c r="W170" i="19"/>
  <c r="W151" i="19"/>
  <c r="V203" i="19"/>
  <c r="V206" i="19"/>
  <c r="V209" i="19"/>
  <c r="V211" i="19"/>
  <c r="W211" i="19"/>
  <c r="W210" i="19"/>
  <c r="V215" i="19"/>
  <c r="W204" i="19"/>
  <c r="W188" i="19"/>
  <c r="W152" i="19"/>
  <c r="K61" i="13"/>
  <c r="J63" i="13"/>
  <c r="K63" i="13"/>
  <c r="W129" i="29"/>
  <c r="W135" i="29"/>
  <c r="W206" i="29"/>
  <c r="W209" i="29"/>
  <c r="W203" i="29"/>
  <c r="W132" i="29"/>
  <c r="L63" i="14"/>
  <c r="M63" i="14"/>
  <c r="M58" i="14"/>
  <c r="U135" i="29"/>
  <c r="U203" i="29"/>
  <c r="U206" i="29"/>
  <c r="U209" i="29"/>
  <c r="U129" i="29"/>
  <c r="U132" i="29"/>
  <c r="W58" i="13"/>
  <c r="S203" i="29"/>
  <c r="S209" i="29"/>
  <c r="S206" i="29"/>
  <c r="S129" i="29"/>
  <c r="S132" i="29"/>
  <c r="S135" i="29"/>
  <c r="R143" i="13"/>
  <c r="R147" i="13"/>
  <c r="Q206" i="29"/>
  <c r="Q203" i="29"/>
  <c r="Q209" i="29"/>
  <c r="Q129" i="29"/>
  <c r="Q132" i="29"/>
  <c r="Q135" i="29"/>
  <c r="O135" i="29"/>
  <c r="O129" i="29"/>
  <c r="O132" i="29"/>
  <c r="O203" i="29"/>
  <c r="O206" i="29"/>
  <c r="O209" i="29"/>
  <c r="K58" i="19"/>
  <c r="Z69" i="19"/>
  <c r="Z73" i="19"/>
  <c r="M206" i="29"/>
  <c r="M203" i="29"/>
  <c r="M209" i="29"/>
  <c r="K135" i="29"/>
  <c r="K129" i="29"/>
  <c r="K206" i="29"/>
  <c r="K209" i="29"/>
  <c r="K132" i="29"/>
  <c r="K203" i="29"/>
  <c r="I203" i="29"/>
  <c r="I129" i="29"/>
  <c r="I209" i="29"/>
  <c r="I135" i="29"/>
  <c r="I206" i="29"/>
  <c r="I132" i="29"/>
  <c r="C58" i="19"/>
  <c r="C69" i="19"/>
  <c r="G206" i="29"/>
  <c r="B73" i="23"/>
  <c r="C73" i="23"/>
  <c r="E67" i="23"/>
  <c r="E69" i="23"/>
  <c r="E73" i="23"/>
  <c r="G67" i="23"/>
  <c r="G69" i="23"/>
  <c r="G73" i="23"/>
  <c r="I67" i="23"/>
  <c r="I69" i="23"/>
  <c r="I73" i="23"/>
  <c r="K67" i="23"/>
  <c r="K69" i="23"/>
  <c r="K73" i="23"/>
  <c r="M67" i="23"/>
  <c r="M69" i="23"/>
  <c r="M73" i="23"/>
  <c r="O67" i="23"/>
  <c r="O69" i="23"/>
  <c r="O73" i="23"/>
  <c r="Q67" i="23"/>
  <c r="Q69" i="23"/>
  <c r="Q73" i="23"/>
  <c r="S67" i="23"/>
  <c r="S69" i="23"/>
  <c r="S73" i="23"/>
  <c r="U67" i="23"/>
  <c r="U69" i="23"/>
  <c r="U73" i="23"/>
  <c r="W67" i="23"/>
  <c r="W69" i="23"/>
  <c r="W73" i="23"/>
  <c r="Y67" i="23"/>
  <c r="Y69" i="23"/>
  <c r="Y73" i="23"/>
  <c r="G203" i="29"/>
  <c r="Z203" i="19"/>
  <c r="Z206" i="19"/>
  <c r="AA206" i="19"/>
  <c r="G209" i="29"/>
  <c r="G129" i="29"/>
  <c r="G135" i="29"/>
  <c r="G132" i="29"/>
  <c r="T143" i="14"/>
  <c r="T147" i="14"/>
  <c r="B73" i="29"/>
  <c r="C73" i="29"/>
  <c r="E67" i="29"/>
  <c r="E69" i="29"/>
  <c r="E73" i="29"/>
  <c r="G67" i="29"/>
  <c r="G69" i="29"/>
  <c r="G73" i="29"/>
  <c r="I67" i="29"/>
  <c r="I69" i="29"/>
  <c r="I73" i="29"/>
  <c r="K67" i="29"/>
  <c r="K69" i="29"/>
  <c r="K73" i="29"/>
  <c r="M67" i="29"/>
  <c r="M69" i="29"/>
  <c r="M73" i="29"/>
  <c r="O67" i="29"/>
  <c r="O69" i="29"/>
  <c r="O73" i="29"/>
  <c r="Q67" i="29"/>
  <c r="Q69" i="29"/>
  <c r="Q73" i="29"/>
  <c r="S67" i="29"/>
  <c r="S69" i="29"/>
  <c r="S73" i="29"/>
  <c r="U67" i="29"/>
  <c r="U69" i="29"/>
  <c r="U73" i="29"/>
  <c r="W67" i="29"/>
  <c r="W69" i="29"/>
  <c r="W73" i="29"/>
  <c r="Y67" i="29"/>
  <c r="Y69" i="29"/>
  <c r="Y73" i="29"/>
  <c r="E209" i="29"/>
  <c r="E203" i="29"/>
  <c r="E206" i="29"/>
  <c r="S58" i="19"/>
  <c r="S61" i="19"/>
  <c r="E129" i="29"/>
  <c r="E135" i="29"/>
  <c r="E132" i="29"/>
  <c r="C69" i="14"/>
  <c r="G58" i="13"/>
  <c r="P143" i="29"/>
  <c r="P147" i="29"/>
  <c r="P143" i="19"/>
  <c r="P147" i="19"/>
  <c r="C69" i="13"/>
  <c r="V143" i="19"/>
  <c r="V147" i="19"/>
  <c r="M58" i="19"/>
  <c r="N61" i="13"/>
  <c r="N63" i="13"/>
  <c r="O63" i="13"/>
  <c r="N143" i="19"/>
  <c r="N147" i="19"/>
  <c r="D143" i="19"/>
  <c r="D147" i="19"/>
  <c r="J217" i="23"/>
  <c r="J221" i="23"/>
  <c r="X217" i="19"/>
  <c r="X221" i="19"/>
  <c r="X61" i="19"/>
  <c r="Y61" i="19"/>
  <c r="T61" i="19"/>
  <c r="U61" i="19"/>
  <c r="Q58" i="13"/>
  <c r="Y132" i="29"/>
  <c r="Y129" i="29"/>
  <c r="Y135" i="29"/>
  <c r="Y209" i="29"/>
  <c r="Y206" i="29"/>
  <c r="Y203" i="29"/>
  <c r="AA61" i="19"/>
  <c r="AA55" i="19"/>
  <c r="AA58" i="19"/>
  <c r="C209" i="29"/>
  <c r="C206" i="29"/>
  <c r="C203" i="29"/>
  <c r="Z69" i="23"/>
  <c r="Z73" i="23"/>
  <c r="H61" i="19"/>
  <c r="I61" i="19"/>
  <c r="L143" i="13"/>
  <c r="L147" i="13"/>
  <c r="J143" i="29"/>
  <c r="J147" i="29"/>
  <c r="AA123" i="29"/>
  <c r="AA115" i="14"/>
  <c r="AA115" i="29"/>
  <c r="L143" i="19"/>
  <c r="L147" i="19"/>
  <c r="H143" i="14"/>
  <c r="H147" i="14"/>
  <c r="AA136" i="13"/>
  <c r="Z69" i="13"/>
  <c r="Z73" i="13"/>
  <c r="Y61" i="14"/>
  <c r="Y58" i="14"/>
  <c r="L217" i="23"/>
  <c r="L221" i="23"/>
  <c r="J217" i="13"/>
  <c r="J221" i="13"/>
  <c r="F217" i="13"/>
  <c r="F221" i="13"/>
  <c r="D217" i="13"/>
  <c r="D221" i="13"/>
  <c r="Z69" i="14"/>
  <c r="Z73" i="14"/>
  <c r="R143" i="14"/>
  <c r="R147" i="14"/>
  <c r="C132" i="29"/>
  <c r="C129" i="29"/>
  <c r="H143" i="19"/>
  <c r="H147" i="19"/>
  <c r="V217" i="13"/>
  <c r="V221" i="13"/>
  <c r="C135" i="29"/>
  <c r="Z141" i="13"/>
  <c r="P71" i="20"/>
  <c r="P71" i="16"/>
  <c r="AA63" i="14"/>
  <c r="AA55" i="14"/>
  <c r="AA58" i="14"/>
  <c r="P71" i="18"/>
  <c r="AA61" i="14"/>
  <c r="Z129" i="23"/>
  <c r="Z132" i="23"/>
  <c r="Z135" i="23"/>
  <c r="Z137" i="23"/>
  <c r="AA137" i="23"/>
  <c r="AA133" i="23"/>
  <c r="AA151" i="19"/>
  <c r="AA77" i="13"/>
  <c r="AA78" i="13"/>
  <c r="AA130" i="13"/>
  <c r="Z215" i="19"/>
  <c r="Z217" i="19"/>
  <c r="Z221" i="19"/>
  <c r="AA133" i="13"/>
  <c r="X217" i="23"/>
  <c r="X221" i="23"/>
  <c r="M135" i="29"/>
  <c r="M129" i="29"/>
  <c r="M132" i="29"/>
  <c r="F143" i="14"/>
  <c r="F147" i="14"/>
  <c r="F143" i="29"/>
  <c r="F147" i="29"/>
  <c r="R143" i="19"/>
  <c r="R147" i="19"/>
  <c r="W61" i="14"/>
  <c r="J217" i="29"/>
  <c r="J221" i="29"/>
  <c r="N217" i="13"/>
  <c r="N221" i="13"/>
  <c r="D217" i="29"/>
  <c r="D221" i="29"/>
  <c r="T143" i="19"/>
  <c r="T147" i="19"/>
  <c r="T217" i="23"/>
  <c r="T221" i="23"/>
  <c r="R217" i="23"/>
  <c r="R221" i="23"/>
  <c r="P217" i="13"/>
  <c r="P221" i="13"/>
  <c r="P217" i="23"/>
  <c r="P221" i="23"/>
  <c r="L217" i="19"/>
  <c r="L221" i="19"/>
  <c r="AA123" i="14"/>
  <c r="D143" i="29"/>
  <c r="D147" i="29"/>
  <c r="AA188" i="19"/>
  <c r="AA204" i="19"/>
  <c r="Y132" i="23"/>
  <c r="Y129" i="23"/>
  <c r="AA96" i="29"/>
  <c r="Z58" i="13"/>
  <c r="Z61" i="13"/>
  <c r="AA133" i="29"/>
  <c r="Y135" i="23"/>
  <c r="X143" i="19"/>
  <c r="X147" i="19"/>
  <c r="T143" i="29"/>
  <c r="T147" i="29"/>
  <c r="V217" i="23"/>
  <c r="V221" i="23"/>
  <c r="P217" i="29"/>
  <c r="P221" i="29"/>
  <c r="D143" i="14"/>
  <c r="D147" i="14"/>
  <c r="L143" i="29"/>
  <c r="L147" i="29"/>
  <c r="H217" i="19"/>
  <c r="H221" i="19"/>
  <c r="R217" i="19"/>
  <c r="R221" i="19"/>
  <c r="N217" i="29"/>
  <c r="N221" i="29"/>
  <c r="H143" i="13"/>
  <c r="H147" i="13"/>
  <c r="X217" i="13"/>
  <c r="X221" i="13"/>
  <c r="R217" i="29"/>
  <c r="R221" i="29"/>
  <c r="Z129" i="29"/>
  <c r="Z132" i="29"/>
  <c r="Z135" i="29"/>
  <c r="Z137" i="29"/>
  <c r="AA137" i="29"/>
  <c r="Z215" i="29"/>
  <c r="Z217" i="29"/>
  <c r="Z221" i="29"/>
  <c r="AA77" i="29"/>
  <c r="AA136" i="29"/>
  <c r="Z141" i="29"/>
  <c r="Z143" i="29"/>
  <c r="Z147" i="29"/>
  <c r="Y132" i="13"/>
  <c r="AA78" i="29"/>
  <c r="C206" i="19"/>
  <c r="I129" i="23"/>
  <c r="AA136" i="23"/>
  <c r="AA96" i="23"/>
  <c r="AA114" i="23"/>
  <c r="AA77" i="23"/>
  <c r="Z141" i="23"/>
  <c r="Z143" i="23"/>
  <c r="Z147" i="23"/>
  <c r="AA78" i="23"/>
  <c r="G135" i="14"/>
  <c r="X206" i="23"/>
  <c r="Y203" i="23"/>
  <c r="Q132" i="14"/>
  <c r="G129" i="14"/>
  <c r="C209" i="23"/>
  <c r="C206" i="23"/>
  <c r="AA188" i="29"/>
  <c r="AA151" i="29"/>
  <c r="S132" i="14"/>
  <c r="W129" i="19"/>
  <c r="AA204" i="29"/>
  <c r="C129" i="14"/>
  <c r="W203" i="14"/>
  <c r="Z203" i="29"/>
  <c r="Z206" i="29"/>
  <c r="G132" i="13"/>
  <c r="C203" i="23"/>
  <c r="Y135" i="13"/>
  <c r="O129" i="23"/>
  <c r="O203" i="14"/>
  <c r="S209" i="13"/>
  <c r="K135" i="13"/>
  <c r="W209" i="14"/>
  <c r="W206" i="14"/>
  <c r="Q206" i="14"/>
  <c r="E206" i="23"/>
  <c r="M206" i="14"/>
  <c r="W129" i="13"/>
  <c r="C206" i="13"/>
  <c r="E209" i="23"/>
  <c r="S135" i="13"/>
  <c r="Q132" i="23"/>
  <c r="O132" i="13"/>
  <c r="M135" i="14"/>
  <c r="W129" i="14"/>
  <c r="S129" i="23"/>
  <c r="K129" i="13"/>
  <c r="K132" i="13"/>
  <c r="C135" i="14"/>
  <c r="C135" i="19"/>
  <c r="I132" i="13"/>
  <c r="W132" i="13"/>
  <c r="M132" i="13"/>
  <c r="C132" i="23"/>
  <c r="Q203" i="23"/>
  <c r="Q209" i="23"/>
  <c r="E129" i="19"/>
  <c r="C129" i="23"/>
  <c r="G206" i="19"/>
  <c r="G209" i="23"/>
  <c r="K209" i="23"/>
  <c r="S206" i="19"/>
  <c r="O206" i="14"/>
  <c r="S132" i="23"/>
  <c r="C129" i="13"/>
  <c r="C132" i="13"/>
  <c r="U132" i="19"/>
  <c r="C132" i="19"/>
  <c r="C129" i="19"/>
  <c r="K135" i="23"/>
  <c r="E209" i="19"/>
  <c r="S203" i="19"/>
  <c r="S209" i="19"/>
  <c r="C209" i="19"/>
  <c r="Q129" i="23"/>
  <c r="C209" i="13"/>
  <c r="C203" i="13"/>
  <c r="E129" i="13"/>
  <c r="W209" i="23"/>
  <c r="G132" i="23"/>
  <c r="G129" i="23"/>
  <c r="G135" i="23"/>
  <c r="W132" i="19"/>
  <c r="W135" i="19"/>
  <c r="M129" i="19"/>
  <c r="M135" i="19"/>
  <c r="E135" i="13"/>
  <c r="S203" i="13"/>
  <c r="I132" i="14"/>
  <c r="K132" i="14"/>
  <c r="M203" i="13"/>
  <c r="K206" i="19"/>
  <c r="W206" i="19"/>
  <c r="M206" i="19"/>
  <c r="E132" i="13"/>
  <c r="Q129" i="13"/>
  <c r="M209" i="23"/>
  <c r="O206" i="13"/>
  <c r="W203" i="23"/>
  <c r="E135" i="23"/>
  <c r="G209" i="19"/>
  <c r="G203" i="19"/>
  <c r="S209" i="14"/>
  <c r="I132" i="19"/>
  <c r="O203" i="23"/>
  <c r="Q206" i="13"/>
  <c r="K206" i="14"/>
  <c r="Y209" i="14"/>
  <c r="O132" i="23"/>
  <c r="O209" i="19"/>
  <c r="G206" i="23"/>
  <c r="S132" i="19"/>
  <c r="W203" i="19"/>
  <c r="M209" i="19"/>
  <c r="M132" i="19"/>
  <c r="Q135" i="13"/>
  <c r="Q132" i="13"/>
  <c r="S206" i="13"/>
  <c r="E203" i="13"/>
  <c r="M206" i="23"/>
  <c r="M203" i="23"/>
  <c r="G203" i="13"/>
  <c r="W206" i="23"/>
  <c r="S206" i="14"/>
  <c r="K135" i="14"/>
  <c r="U129" i="13"/>
  <c r="Y132" i="14"/>
  <c r="E203" i="19"/>
  <c r="S129" i="13"/>
  <c r="S132" i="13"/>
  <c r="I206" i="23"/>
  <c r="G132" i="19"/>
  <c r="G135" i="19"/>
  <c r="O203" i="19"/>
  <c r="K203" i="19"/>
  <c r="K209" i="19"/>
  <c r="U129" i="23"/>
  <c r="C215" i="14"/>
  <c r="B217" i="14"/>
  <c r="Z142" i="13"/>
  <c r="AA123" i="13"/>
  <c r="AA115" i="13"/>
  <c r="J143" i="14"/>
  <c r="J147" i="14"/>
  <c r="S57" i="23"/>
  <c r="S56" i="23"/>
  <c r="R58" i="23"/>
  <c r="W57" i="23"/>
  <c r="W56" i="23"/>
  <c r="V58" i="23"/>
  <c r="K57" i="23"/>
  <c r="K56" i="23"/>
  <c r="J58" i="23"/>
  <c r="Q135" i="14"/>
  <c r="C141" i="19"/>
  <c r="B143" i="19"/>
  <c r="I206" i="19"/>
  <c r="C141" i="29"/>
  <c r="B143" i="29"/>
  <c r="R143" i="29"/>
  <c r="R147" i="29"/>
  <c r="Z203" i="13"/>
  <c r="Z206" i="13"/>
  <c r="Z215" i="13"/>
  <c r="Z217" i="13"/>
  <c r="Z221" i="13"/>
  <c r="AA204" i="13"/>
  <c r="AA188" i="13"/>
  <c r="AA151" i="13"/>
  <c r="I135" i="23"/>
  <c r="X206" i="13"/>
  <c r="Y203" i="13"/>
  <c r="X217" i="29"/>
  <c r="X221" i="29"/>
  <c r="Q135" i="19"/>
  <c r="Q129" i="19"/>
  <c r="S135" i="14"/>
  <c r="Z69" i="29"/>
  <c r="Z73" i="29"/>
  <c r="G61" i="13"/>
  <c r="F63" i="13"/>
  <c r="G63" i="13"/>
  <c r="K203" i="23"/>
  <c r="K206" i="23"/>
  <c r="G206" i="13"/>
  <c r="G209" i="13"/>
  <c r="K135" i="19"/>
  <c r="O209" i="13"/>
  <c r="Q203" i="14"/>
  <c r="M135" i="23"/>
  <c r="M132" i="23"/>
  <c r="H217" i="13"/>
  <c r="H221" i="13"/>
  <c r="W61" i="13"/>
  <c r="V63" i="13"/>
  <c r="W63" i="13"/>
  <c r="S206" i="23"/>
  <c r="G57" i="23"/>
  <c r="G56" i="23"/>
  <c r="F58" i="23"/>
  <c r="M57" i="23"/>
  <c r="M56" i="23"/>
  <c r="L58" i="23"/>
  <c r="Q57" i="23"/>
  <c r="Q56" i="23"/>
  <c r="P58" i="23"/>
  <c r="Q129" i="14"/>
  <c r="P63" i="13"/>
  <c r="Q63" i="13"/>
  <c r="Q61" i="13"/>
  <c r="N217" i="23"/>
  <c r="N221" i="23"/>
  <c r="AA151" i="14"/>
  <c r="Z203" i="14"/>
  <c r="Z206" i="14"/>
  <c r="AA188" i="14"/>
  <c r="Z215" i="14"/>
  <c r="Z217" i="14"/>
  <c r="Z221" i="14"/>
  <c r="AA204" i="14"/>
  <c r="W132" i="23"/>
  <c r="O68" i="18"/>
  <c r="O71" i="18"/>
  <c r="O69" i="18"/>
  <c r="O70" i="18"/>
  <c r="O132" i="19"/>
  <c r="O135" i="19"/>
  <c r="D63" i="19"/>
  <c r="E63" i="19"/>
  <c r="E61" i="19"/>
  <c r="Q209" i="19"/>
  <c r="Z129" i="13"/>
  <c r="H217" i="23"/>
  <c r="H221" i="23"/>
  <c r="T206" i="13"/>
  <c r="U203" i="13"/>
  <c r="W132" i="14"/>
  <c r="U206" i="14"/>
  <c r="J63" i="19"/>
  <c r="K63" i="19"/>
  <c r="K61" i="19"/>
  <c r="C203" i="19"/>
  <c r="J217" i="19"/>
  <c r="J221" i="19"/>
  <c r="E132" i="14"/>
  <c r="E129" i="14"/>
  <c r="W209" i="19"/>
  <c r="U135" i="19"/>
  <c r="S135" i="19"/>
  <c r="S129" i="19"/>
  <c r="O135" i="13"/>
  <c r="I132" i="23"/>
  <c r="O129" i="14"/>
  <c r="O135" i="14"/>
  <c r="U135" i="23"/>
  <c r="U132" i="23"/>
  <c r="D143" i="13"/>
  <c r="D147" i="13"/>
  <c r="Q132" i="19"/>
  <c r="E209" i="13"/>
  <c r="E206" i="13"/>
  <c r="U209" i="19"/>
  <c r="U206" i="19"/>
  <c r="Z58" i="29"/>
  <c r="AA58" i="29"/>
  <c r="AB55" i="29"/>
  <c r="B143" i="23"/>
  <c r="C141" i="23"/>
  <c r="L63" i="13"/>
  <c r="M63" i="13"/>
  <c r="M61" i="13"/>
  <c r="AA204" i="23"/>
  <c r="AA188" i="23"/>
  <c r="Z215" i="23"/>
  <c r="Z217" i="23"/>
  <c r="Z221" i="23"/>
  <c r="AA151" i="23"/>
  <c r="Z203" i="23"/>
  <c r="Z206" i="23"/>
  <c r="N143" i="29"/>
  <c r="N147" i="29"/>
  <c r="L63" i="19"/>
  <c r="M63" i="19"/>
  <c r="M61" i="19"/>
  <c r="J143" i="19"/>
  <c r="J147" i="19"/>
  <c r="E129" i="23"/>
  <c r="Q209" i="14"/>
  <c r="C215" i="23"/>
  <c r="B217" i="23"/>
  <c r="M129" i="23"/>
  <c r="K129" i="14"/>
  <c r="U206" i="23"/>
  <c r="U203" i="23"/>
  <c r="U129" i="14"/>
  <c r="S209" i="23"/>
  <c r="O57" i="23"/>
  <c r="O56" i="23"/>
  <c r="N58" i="23"/>
  <c r="Z57" i="23"/>
  <c r="B56" i="23"/>
  <c r="I57" i="23"/>
  <c r="I56" i="23"/>
  <c r="H58" i="23"/>
  <c r="AA57" i="13"/>
  <c r="AA56" i="13"/>
  <c r="P143" i="14"/>
  <c r="P147" i="14"/>
  <c r="U135" i="13"/>
  <c r="H217" i="29"/>
  <c r="H221" i="29"/>
  <c r="Y129" i="14"/>
  <c r="Y135" i="14"/>
  <c r="Y132" i="19"/>
  <c r="O206" i="23"/>
  <c r="K132" i="23"/>
  <c r="Q209" i="13"/>
  <c r="D217" i="19"/>
  <c r="D221" i="19"/>
  <c r="Y203" i="19"/>
  <c r="B63" i="19"/>
  <c r="C63" i="19"/>
  <c r="C61" i="19"/>
  <c r="O129" i="19"/>
  <c r="F217" i="29"/>
  <c r="F221" i="29"/>
  <c r="O68" i="20"/>
  <c r="O71" i="20"/>
  <c r="O69" i="20"/>
  <c r="O70" i="20"/>
  <c r="Y203" i="14"/>
  <c r="V217" i="29"/>
  <c r="V221" i="29"/>
  <c r="Z141" i="14"/>
  <c r="Z143" i="14"/>
  <c r="Z147" i="14"/>
  <c r="AA130" i="14"/>
  <c r="AA96" i="14"/>
  <c r="Z129" i="14"/>
  <c r="Z132" i="14"/>
  <c r="Z135" i="14"/>
  <c r="Z137" i="14"/>
  <c r="AA137" i="14"/>
  <c r="AA136" i="14"/>
  <c r="AA78" i="14"/>
  <c r="AA133" i="14"/>
  <c r="AA77" i="14"/>
  <c r="AA114" i="14"/>
  <c r="B61" i="13"/>
  <c r="C58" i="13"/>
  <c r="M132" i="14"/>
  <c r="L143" i="14"/>
  <c r="L147" i="14"/>
  <c r="G135" i="13"/>
  <c r="F143" i="13"/>
  <c r="F147" i="13"/>
  <c r="Q206" i="19"/>
  <c r="I203" i="23"/>
  <c r="I209" i="23"/>
  <c r="T217" i="13"/>
  <c r="T221" i="13"/>
  <c r="W135" i="14"/>
  <c r="U203" i="14"/>
  <c r="U209" i="14"/>
  <c r="B217" i="29"/>
  <c r="C215" i="29"/>
  <c r="L217" i="29"/>
  <c r="L221" i="29"/>
  <c r="L217" i="13"/>
  <c r="L221" i="13"/>
  <c r="M209" i="13"/>
  <c r="E135" i="14"/>
  <c r="V217" i="19"/>
  <c r="V221" i="19"/>
  <c r="U129" i="19"/>
  <c r="O129" i="13"/>
  <c r="Q206" i="23"/>
  <c r="Y129" i="13"/>
  <c r="B63" i="14"/>
  <c r="C63" i="14"/>
  <c r="C61" i="14"/>
  <c r="M203" i="19"/>
  <c r="E135" i="19"/>
  <c r="E132" i="19"/>
  <c r="AB55" i="23"/>
  <c r="AA55" i="23"/>
  <c r="Z142" i="19"/>
  <c r="AA123" i="19"/>
  <c r="AA115" i="19"/>
  <c r="AA114" i="19"/>
  <c r="N143" i="14"/>
  <c r="N147" i="14"/>
  <c r="O132" i="14"/>
  <c r="H63" i="13"/>
  <c r="I63" i="13"/>
  <c r="I61" i="13"/>
  <c r="R217" i="13"/>
  <c r="R221" i="13"/>
  <c r="S129" i="14"/>
  <c r="T217" i="19"/>
  <c r="T221" i="19"/>
  <c r="U203" i="19"/>
  <c r="M129" i="13"/>
  <c r="M135" i="13"/>
  <c r="C135" i="23"/>
  <c r="I129" i="14"/>
  <c r="I135" i="14"/>
  <c r="K132" i="19"/>
  <c r="K129" i="19"/>
  <c r="O203" i="13"/>
  <c r="C141" i="14"/>
  <c r="B143" i="14"/>
  <c r="C132" i="14"/>
  <c r="E132" i="23"/>
  <c r="S203" i="14"/>
  <c r="U209" i="23"/>
  <c r="U132" i="14"/>
  <c r="U135" i="14"/>
  <c r="I135" i="19"/>
  <c r="I129" i="19"/>
  <c r="E203" i="23"/>
  <c r="S203" i="23"/>
  <c r="E57" i="23"/>
  <c r="E56" i="23"/>
  <c r="D58" i="23"/>
  <c r="U57" i="23"/>
  <c r="U56" i="23"/>
  <c r="T58" i="23"/>
  <c r="U132" i="13"/>
  <c r="X143" i="29"/>
  <c r="X147" i="29"/>
  <c r="X143" i="14"/>
  <c r="X147" i="14"/>
  <c r="G132" i="14"/>
  <c r="Y129" i="19"/>
  <c r="Y135" i="19"/>
  <c r="AA133" i="19"/>
  <c r="Z141" i="19"/>
  <c r="AA130" i="19"/>
  <c r="AA77" i="19"/>
  <c r="Z129" i="19"/>
  <c r="Z132" i="19"/>
  <c r="Z135" i="19"/>
  <c r="Z137" i="19"/>
  <c r="AA137" i="19"/>
  <c r="AA136" i="19"/>
  <c r="AA78" i="19"/>
  <c r="AA96" i="19"/>
  <c r="O209" i="23"/>
  <c r="K129" i="23"/>
  <c r="Q203" i="13"/>
  <c r="W129" i="23"/>
  <c r="W135" i="23"/>
  <c r="E206" i="19"/>
  <c r="K203" i="14"/>
  <c r="K209" i="14"/>
  <c r="Y209" i="19"/>
  <c r="Y206" i="19"/>
  <c r="I209" i="19"/>
  <c r="I203" i="19"/>
  <c r="Y206" i="14"/>
  <c r="O135" i="23"/>
  <c r="M129" i="14"/>
  <c r="G129" i="13"/>
  <c r="O68" i="16"/>
  <c r="O71" i="16"/>
  <c r="O69" i="16"/>
  <c r="O70" i="16"/>
  <c r="Q203" i="19"/>
  <c r="O209" i="14"/>
  <c r="M203" i="14"/>
  <c r="M209" i="14"/>
  <c r="V143" i="14"/>
  <c r="V147" i="14"/>
  <c r="I135" i="13"/>
  <c r="I129" i="13"/>
  <c r="T217" i="29"/>
  <c r="T221" i="29"/>
  <c r="S135" i="23"/>
  <c r="G129" i="19"/>
  <c r="F143" i="19"/>
  <c r="F147" i="19"/>
  <c r="W135" i="13"/>
  <c r="B217" i="19"/>
  <c r="C215" i="19"/>
  <c r="M206" i="13"/>
  <c r="N217" i="19"/>
  <c r="N221" i="19"/>
  <c r="O206" i="19"/>
  <c r="Q135" i="23"/>
  <c r="B217" i="13"/>
  <c r="C215" i="13"/>
  <c r="B143" i="13"/>
  <c r="C141" i="13"/>
  <c r="C135" i="13"/>
  <c r="G203" i="23"/>
  <c r="F217" i="23"/>
  <c r="F221" i="23"/>
  <c r="Z209" i="19"/>
  <c r="Z211" i="19"/>
  <c r="AA211" i="19"/>
  <c r="AA203" i="19"/>
  <c r="O61" i="13"/>
  <c r="X63" i="19"/>
  <c r="Y63" i="19"/>
  <c r="T63" i="19"/>
  <c r="U63" i="19"/>
  <c r="H63" i="19"/>
  <c r="I63" i="19"/>
  <c r="AA203" i="29"/>
  <c r="Z143" i="13"/>
  <c r="Z147" i="13"/>
  <c r="AA129" i="23"/>
  <c r="AA135" i="23"/>
  <c r="AA132" i="23"/>
  <c r="Z209" i="29"/>
  <c r="AA206" i="29"/>
  <c r="AA129" i="29"/>
  <c r="AA132" i="29"/>
  <c r="AA135" i="29"/>
  <c r="AA58" i="13"/>
  <c r="X209" i="23"/>
  <c r="Y206" i="23"/>
  <c r="AA129" i="14"/>
  <c r="AA132" i="19"/>
  <c r="AA135" i="19"/>
  <c r="AA129" i="19"/>
  <c r="AA203" i="23"/>
  <c r="D61" i="23"/>
  <c r="E58" i="23"/>
  <c r="B221" i="23"/>
  <c r="C221" i="23"/>
  <c r="E215" i="23"/>
  <c r="E217" i="23"/>
  <c r="E221" i="23"/>
  <c r="G215" i="23"/>
  <c r="G217" i="23"/>
  <c r="G221" i="23"/>
  <c r="I215" i="23"/>
  <c r="I217" i="23"/>
  <c r="I221" i="23"/>
  <c r="K215" i="23"/>
  <c r="K217" i="23"/>
  <c r="K221" i="23"/>
  <c r="M215" i="23"/>
  <c r="M217" i="23"/>
  <c r="M221" i="23"/>
  <c r="O215" i="23"/>
  <c r="O217" i="23"/>
  <c r="O221" i="23"/>
  <c r="Q215" i="23"/>
  <c r="Q217" i="23"/>
  <c r="Q221" i="23"/>
  <c r="S215" i="23"/>
  <c r="S217" i="23"/>
  <c r="S221" i="23"/>
  <c r="U215" i="23"/>
  <c r="U217" i="23"/>
  <c r="U221" i="23"/>
  <c r="W215" i="23"/>
  <c r="W217" i="23"/>
  <c r="W221" i="23"/>
  <c r="Y215" i="23"/>
  <c r="Y217" i="23"/>
  <c r="Y221" i="23"/>
  <c r="C217" i="23"/>
  <c r="Z61" i="29"/>
  <c r="AA61" i="29"/>
  <c r="AB58" i="29"/>
  <c r="Z132" i="13"/>
  <c r="AA129" i="13"/>
  <c r="Z209" i="14"/>
  <c r="AA206" i="14"/>
  <c r="F61" i="23"/>
  <c r="G58" i="23"/>
  <c r="J61" i="23"/>
  <c r="K58" i="23"/>
  <c r="C143" i="13"/>
  <c r="B147" i="13"/>
  <c r="C147" i="13"/>
  <c r="E141" i="13"/>
  <c r="E143" i="13"/>
  <c r="E147" i="13"/>
  <c r="G141" i="13"/>
  <c r="G143" i="13"/>
  <c r="G147" i="13"/>
  <c r="I141" i="13"/>
  <c r="I143" i="13"/>
  <c r="I147" i="13"/>
  <c r="K141" i="13"/>
  <c r="K143" i="13"/>
  <c r="K147" i="13"/>
  <c r="M141" i="13"/>
  <c r="M143" i="13"/>
  <c r="M147" i="13"/>
  <c r="O141" i="13"/>
  <c r="O143" i="13"/>
  <c r="O147" i="13"/>
  <c r="Q141" i="13"/>
  <c r="Q143" i="13"/>
  <c r="Q147" i="13"/>
  <c r="S141" i="13"/>
  <c r="S143" i="13"/>
  <c r="S147" i="13"/>
  <c r="U141" i="13"/>
  <c r="U143" i="13"/>
  <c r="U147" i="13"/>
  <c r="W141" i="13"/>
  <c r="W143" i="13"/>
  <c r="W147" i="13"/>
  <c r="Y141" i="13"/>
  <c r="Y143" i="13"/>
  <c r="Y147" i="13"/>
  <c r="B221" i="19"/>
  <c r="C221" i="19"/>
  <c r="E215" i="19"/>
  <c r="E217" i="19"/>
  <c r="E221" i="19"/>
  <c r="G215" i="19"/>
  <c r="G217" i="19"/>
  <c r="G221" i="19"/>
  <c r="I215" i="19"/>
  <c r="I217" i="19"/>
  <c r="I221" i="19"/>
  <c r="K215" i="19"/>
  <c r="K217" i="19"/>
  <c r="K221" i="19"/>
  <c r="M215" i="19"/>
  <c r="M217" i="19"/>
  <c r="M221" i="19"/>
  <c r="O215" i="19"/>
  <c r="O217" i="19"/>
  <c r="O221" i="19"/>
  <c r="Q215" i="19"/>
  <c r="Q217" i="19"/>
  <c r="Q221" i="19"/>
  <c r="S215" i="19"/>
  <c r="S217" i="19"/>
  <c r="S221" i="19"/>
  <c r="U215" i="19"/>
  <c r="U217" i="19"/>
  <c r="U221" i="19"/>
  <c r="W215" i="19"/>
  <c r="W217" i="19"/>
  <c r="W221" i="19"/>
  <c r="Y215" i="19"/>
  <c r="Y217" i="19"/>
  <c r="Y221" i="19"/>
  <c r="C217" i="19"/>
  <c r="T61" i="23"/>
  <c r="U58" i="23"/>
  <c r="B221" i="29"/>
  <c r="C221" i="29"/>
  <c r="E215" i="29"/>
  <c r="E217" i="29"/>
  <c r="E221" i="29"/>
  <c r="G215" i="29"/>
  <c r="G217" i="29"/>
  <c r="G221" i="29"/>
  <c r="I215" i="29"/>
  <c r="I217" i="29"/>
  <c r="I221" i="29"/>
  <c r="K215" i="29"/>
  <c r="K217" i="29"/>
  <c r="K221" i="29"/>
  <c r="M215" i="29"/>
  <c r="M217" i="29"/>
  <c r="M221" i="29"/>
  <c r="O215" i="29"/>
  <c r="O217" i="29"/>
  <c r="O221" i="29"/>
  <c r="Q215" i="29"/>
  <c r="Q217" i="29"/>
  <c r="Q221" i="29"/>
  <c r="S215" i="29"/>
  <c r="S217" i="29"/>
  <c r="S221" i="29"/>
  <c r="U215" i="29"/>
  <c r="U217" i="29"/>
  <c r="U221" i="29"/>
  <c r="W215" i="29"/>
  <c r="W217" i="29"/>
  <c r="W221" i="29"/>
  <c r="Y215" i="29"/>
  <c r="Y217" i="29"/>
  <c r="Y221" i="29"/>
  <c r="C217" i="29"/>
  <c r="C57" i="23"/>
  <c r="C56" i="23"/>
  <c r="B58" i="23"/>
  <c r="Z209" i="23"/>
  <c r="AA206" i="23"/>
  <c r="Z63" i="13"/>
  <c r="AA61" i="13"/>
  <c r="L61" i="23"/>
  <c r="M58" i="23"/>
  <c r="B147" i="19"/>
  <c r="C147" i="19"/>
  <c r="E141" i="19"/>
  <c r="E143" i="19"/>
  <c r="E147" i="19"/>
  <c r="G141" i="19"/>
  <c r="G143" i="19"/>
  <c r="G147" i="19"/>
  <c r="I141" i="19"/>
  <c r="I143" i="19"/>
  <c r="I147" i="19"/>
  <c r="K141" i="19"/>
  <c r="K143" i="19"/>
  <c r="K147" i="19"/>
  <c r="M141" i="19"/>
  <c r="M143" i="19"/>
  <c r="M147" i="19"/>
  <c r="O141" i="19"/>
  <c r="O143" i="19"/>
  <c r="O147" i="19"/>
  <c r="Q141" i="19"/>
  <c r="Q143" i="19"/>
  <c r="Q147" i="19"/>
  <c r="S141" i="19"/>
  <c r="S143" i="19"/>
  <c r="S147" i="19"/>
  <c r="U141" i="19"/>
  <c r="U143" i="19"/>
  <c r="U147" i="19"/>
  <c r="W141" i="19"/>
  <c r="W143" i="19"/>
  <c r="W147" i="19"/>
  <c r="Y141" i="19"/>
  <c r="Y143" i="19"/>
  <c r="Y147" i="19"/>
  <c r="C143" i="19"/>
  <c r="C217" i="14"/>
  <c r="B221" i="14"/>
  <c r="C221" i="14"/>
  <c r="E215" i="14"/>
  <c r="E217" i="14"/>
  <c r="E221" i="14"/>
  <c r="G215" i="14"/>
  <c r="G217" i="14"/>
  <c r="G221" i="14"/>
  <c r="I215" i="14"/>
  <c r="I217" i="14"/>
  <c r="I221" i="14"/>
  <c r="K215" i="14"/>
  <c r="K217" i="14"/>
  <c r="K221" i="14"/>
  <c r="M215" i="14"/>
  <c r="M217" i="14"/>
  <c r="M221" i="14"/>
  <c r="O215" i="14"/>
  <c r="O217" i="14"/>
  <c r="O221" i="14"/>
  <c r="Q215" i="14"/>
  <c r="Q217" i="14"/>
  <c r="Q221" i="14"/>
  <c r="S215" i="14"/>
  <c r="S217" i="14"/>
  <c r="S221" i="14"/>
  <c r="U215" i="14"/>
  <c r="U217" i="14"/>
  <c r="U221" i="14"/>
  <c r="W215" i="14"/>
  <c r="W217" i="14"/>
  <c r="W221" i="14"/>
  <c r="Y215" i="14"/>
  <c r="Y217" i="14"/>
  <c r="Y221" i="14"/>
  <c r="AA132" i="14"/>
  <c r="H61" i="23"/>
  <c r="I58" i="23"/>
  <c r="Z56" i="23"/>
  <c r="AB57" i="23"/>
  <c r="B147" i="23"/>
  <c r="C147" i="23"/>
  <c r="E141" i="23"/>
  <c r="E143" i="23"/>
  <c r="E147" i="23"/>
  <c r="G141" i="23"/>
  <c r="G143" i="23"/>
  <c r="G147" i="23"/>
  <c r="I141" i="23"/>
  <c r="I143" i="23"/>
  <c r="I147" i="23"/>
  <c r="K141" i="23"/>
  <c r="K143" i="23"/>
  <c r="K147" i="23"/>
  <c r="M141" i="23"/>
  <c r="M143" i="23"/>
  <c r="M147" i="23"/>
  <c r="O141" i="23"/>
  <c r="O143" i="23"/>
  <c r="O147" i="23"/>
  <c r="Q141" i="23"/>
  <c r="Q143" i="23"/>
  <c r="Q147" i="23"/>
  <c r="S141" i="23"/>
  <c r="S143" i="23"/>
  <c r="S147" i="23"/>
  <c r="U141" i="23"/>
  <c r="U143" i="23"/>
  <c r="U147" i="23"/>
  <c r="W141" i="23"/>
  <c r="W143" i="23"/>
  <c r="W147" i="23"/>
  <c r="Y141" i="23"/>
  <c r="Y143" i="23"/>
  <c r="Y147" i="23"/>
  <c r="C143" i="23"/>
  <c r="T209" i="13"/>
  <c r="U206" i="13"/>
  <c r="P61" i="23"/>
  <c r="Q58" i="23"/>
  <c r="X209" i="13"/>
  <c r="Y206" i="13"/>
  <c r="Z209" i="13"/>
  <c r="AA206" i="13"/>
  <c r="B147" i="29"/>
  <c r="C147" i="29"/>
  <c r="E141" i="29"/>
  <c r="E143" i="29"/>
  <c r="E147" i="29"/>
  <c r="G141" i="29"/>
  <c r="G143" i="29"/>
  <c r="G147" i="29"/>
  <c r="I141" i="29"/>
  <c r="I143" i="29"/>
  <c r="I147" i="29"/>
  <c r="K141" i="29"/>
  <c r="K143" i="29"/>
  <c r="K147" i="29"/>
  <c r="M141" i="29"/>
  <c r="M143" i="29"/>
  <c r="M147" i="29"/>
  <c r="O141" i="29"/>
  <c r="O143" i="29"/>
  <c r="O147" i="29"/>
  <c r="Q141" i="29"/>
  <c r="Q143" i="29"/>
  <c r="Q147" i="29"/>
  <c r="S141" i="29"/>
  <c r="S143" i="29"/>
  <c r="S147" i="29"/>
  <c r="U141" i="29"/>
  <c r="U143" i="29"/>
  <c r="U147" i="29"/>
  <c r="W141" i="29"/>
  <c r="W143" i="29"/>
  <c r="W147" i="29"/>
  <c r="Y141" i="29"/>
  <c r="Y143" i="29"/>
  <c r="Y147" i="29"/>
  <c r="C143" i="29"/>
  <c r="R61" i="23"/>
  <c r="S58" i="23"/>
  <c r="C217" i="13"/>
  <c r="B221" i="13"/>
  <c r="C221" i="13"/>
  <c r="E215" i="13"/>
  <c r="E217" i="13"/>
  <c r="E221" i="13"/>
  <c r="G215" i="13"/>
  <c r="G217" i="13"/>
  <c r="G221" i="13"/>
  <c r="I215" i="13"/>
  <c r="I217" i="13"/>
  <c r="I221" i="13"/>
  <c r="K215" i="13"/>
  <c r="K217" i="13"/>
  <c r="K221" i="13"/>
  <c r="M215" i="13"/>
  <c r="M217" i="13"/>
  <c r="M221" i="13"/>
  <c r="O215" i="13"/>
  <c r="O217" i="13"/>
  <c r="O221" i="13"/>
  <c r="Q215" i="13"/>
  <c r="Q217" i="13"/>
  <c r="Q221" i="13"/>
  <c r="S215" i="13"/>
  <c r="S217" i="13"/>
  <c r="S221" i="13"/>
  <c r="U215" i="13"/>
  <c r="U217" i="13"/>
  <c r="U221" i="13"/>
  <c r="W215" i="13"/>
  <c r="W217" i="13"/>
  <c r="W221" i="13"/>
  <c r="Y215" i="13"/>
  <c r="Y217" i="13"/>
  <c r="Y221" i="13"/>
  <c r="Z143" i="19"/>
  <c r="Z147" i="19"/>
  <c r="C143" i="14"/>
  <c r="B147" i="14"/>
  <c r="C147" i="14"/>
  <c r="E141" i="14"/>
  <c r="E143" i="14"/>
  <c r="E147" i="14"/>
  <c r="G141" i="14"/>
  <c r="G143" i="14"/>
  <c r="G147" i="14"/>
  <c r="I141" i="14"/>
  <c r="I143" i="14"/>
  <c r="I147" i="14"/>
  <c r="K141" i="14"/>
  <c r="K143" i="14"/>
  <c r="K147" i="14"/>
  <c r="M141" i="14"/>
  <c r="M143" i="14"/>
  <c r="M147" i="14"/>
  <c r="O141" i="14"/>
  <c r="O143" i="14"/>
  <c r="O147" i="14"/>
  <c r="Q141" i="14"/>
  <c r="Q143" i="14"/>
  <c r="Q147" i="14"/>
  <c r="S141" i="14"/>
  <c r="S143" i="14"/>
  <c r="S147" i="14"/>
  <c r="U141" i="14"/>
  <c r="U143" i="14"/>
  <c r="U147" i="14"/>
  <c r="W141" i="14"/>
  <c r="W143" i="14"/>
  <c r="W147" i="14"/>
  <c r="Y141" i="14"/>
  <c r="Y143" i="14"/>
  <c r="Y147" i="14"/>
  <c r="C61" i="13"/>
  <c r="B63" i="13"/>
  <c r="C63" i="13"/>
  <c r="AA135" i="14"/>
  <c r="N61" i="23"/>
  <c r="O58" i="23"/>
  <c r="AA203" i="14"/>
  <c r="AA203" i="13"/>
  <c r="V61" i="23"/>
  <c r="W58" i="23"/>
  <c r="AA209" i="19"/>
  <c r="Z211" i="29"/>
  <c r="AA211" i="29"/>
  <c r="AA209" i="29"/>
  <c r="X211" i="23"/>
  <c r="Y211" i="23"/>
  <c r="Y209" i="23"/>
  <c r="AA63" i="13"/>
  <c r="X211" i="13"/>
  <c r="Y211" i="13"/>
  <c r="Y209" i="13"/>
  <c r="T211" i="13"/>
  <c r="U211" i="13"/>
  <c r="U209" i="13"/>
  <c r="AB56" i="23"/>
  <c r="AA57" i="23"/>
  <c r="AA56" i="23"/>
  <c r="Z58" i="23"/>
  <c r="T63" i="23"/>
  <c r="U63" i="23"/>
  <c r="U61" i="23"/>
  <c r="F63" i="23"/>
  <c r="G63" i="23"/>
  <c r="G61" i="23"/>
  <c r="Z135" i="13"/>
  <c r="AA132" i="13"/>
  <c r="L63" i="23"/>
  <c r="M63" i="23"/>
  <c r="M61" i="23"/>
  <c r="Z211" i="23"/>
  <c r="AA211" i="23"/>
  <c r="AA209" i="23"/>
  <c r="V63" i="23"/>
  <c r="W63" i="23"/>
  <c r="W61" i="23"/>
  <c r="N63" i="23"/>
  <c r="O63" i="23"/>
  <c r="O61" i="23"/>
  <c r="R63" i="23"/>
  <c r="S63" i="23"/>
  <c r="S61" i="23"/>
  <c r="Z211" i="13"/>
  <c r="AA211" i="13"/>
  <c r="AA209" i="13"/>
  <c r="P63" i="23"/>
  <c r="Q63" i="23"/>
  <c r="Q61" i="23"/>
  <c r="H63" i="23"/>
  <c r="I63" i="23"/>
  <c r="I61" i="23"/>
  <c r="B61" i="23"/>
  <c r="C58" i="23"/>
  <c r="J63" i="23"/>
  <c r="K63" i="23"/>
  <c r="K61" i="23"/>
  <c r="Z211" i="14"/>
  <c r="AA211" i="14"/>
  <c r="AA209" i="14"/>
  <c r="Z63" i="29"/>
  <c r="AB61" i="29"/>
  <c r="D63" i="23"/>
  <c r="E63" i="23"/>
  <c r="E61" i="23"/>
  <c r="AB63" i="29"/>
  <c r="AA63" i="29"/>
  <c r="Z137" i="13"/>
  <c r="AA137" i="13"/>
  <c r="AA135" i="13"/>
  <c r="Z61" i="23"/>
  <c r="AB58" i="23"/>
  <c r="AA58" i="23"/>
  <c r="B63" i="23"/>
  <c r="C63" i="23"/>
  <c r="C61" i="23"/>
  <c r="AD61" i="23"/>
  <c r="AB61" i="23"/>
  <c r="Z63" i="23"/>
  <c r="C74" i="32"/>
  <c r="AA61" i="23"/>
  <c r="AB63" i="23"/>
  <c r="AA63" i="23"/>
  <c r="AC63" i="23"/>
</calcChain>
</file>

<file path=xl/sharedStrings.xml><?xml version="1.0" encoding="utf-8"?>
<sst xmlns="http://schemas.openxmlformats.org/spreadsheetml/2006/main" count="12188" uniqueCount="678">
  <si>
    <t>Horari</t>
  </si>
  <si>
    <t>9:30-14:30</t>
  </si>
  <si>
    <t>15:30-20:30</t>
  </si>
  <si>
    <t>21:30 - 02:30</t>
  </si>
  <si>
    <t>Dia sencer</t>
  </si>
  <si>
    <t>Dilluns</t>
  </si>
  <si>
    <t>Dimarts</t>
  </si>
  <si>
    <t>Dimecres</t>
  </si>
  <si>
    <t>Dijous</t>
  </si>
  <si>
    <t>Divendres</t>
  </si>
  <si>
    <t>Dissabte</t>
  </si>
  <si>
    <t>Diumenge</t>
  </si>
  <si>
    <t>Festiu</t>
  </si>
  <si>
    <t>Hora Extra</t>
  </si>
  <si>
    <t>Vespres de festiu</t>
  </si>
  <si>
    <t>Dia Especial</t>
  </si>
  <si>
    <t>Lloguer</t>
  </si>
  <si>
    <t>Autònom</t>
  </si>
  <si>
    <t>cleanzy</t>
  </si>
  <si>
    <t>maquina de vapor per netejar cantonades i lavabo</t>
  </si>
  <si>
    <t>ANY</t>
  </si>
  <si>
    <t>DATA</t>
  </si>
  <si>
    <t>HORA ENTRADA</t>
  </si>
  <si>
    <t>HORA SORTIDA</t>
  </si>
  <si>
    <t>HORARI</t>
  </si>
  <si>
    <t>TORNS</t>
  </si>
  <si>
    <t>TARIFA</t>
  </si>
  <si>
    <t>NOM CLIENT</t>
  </si>
  <si>
    <t>MUNICIPI</t>
  </si>
  <si>
    <t>COMBOS</t>
  </si>
  <si>
    <t>MATI</t>
  </si>
  <si>
    <t>TARDA</t>
  </si>
  <si>
    <t>DIA SENCER</t>
  </si>
  <si>
    <t>DINAR</t>
  </si>
  <si>
    <t>SOPAR</t>
  </si>
  <si>
    <t>NIT</t>
  </si>
  <si>
    <t>DIA</t>
  </si>
  <si>
    <t>DILLUNS</t>
  </si>
  <si>
    <t>DIMARTS</t>
  </si>
  <si>
    <t>DIMECRES</t>
  </si>
  <si>
    <t>DIJOUS</t>
  </si>
  <si>
    <t>DIVENDRES</t>
  </si>
  <si>
    <t>DISSABTE</t>
  </si>
  <si>
    <t>DIUMENGE</t>
  </si>
  <si>
    <t>FESTIU</t>
  </si>
  <si>
    <t>SI</t>
  </si>
  <si>
    <t>NO</t>
  </si>
  <si>
    <t>MES</t>
  </si>
  <si>
    <t>GENER</t>
  </si>
  <si>
    <t>ESPECIAL</t>
  </si>
  <si>
    <t>HORAS EXTRAS</t>
  </si>
  <si>
    <t>IMPORTE EXTRAS</t>
  </si>
  <si>
    <t>IMPORTE TOTAL</t>
  </si>
  <si>
    <t>TARDA+NIT</t>
  </si>
  <si>
    <t>COBRAT</t>
  </si>
  <si>
    <t>RESERVA</t>
  </si>
  <si>
    <t>FEBRER</t>
  </si>
  <si>
    <t>MARÇ</t>
  </si>
  <si>
    <t>ABRIL</t>
  </si>
  <si>
    <t>MAIG</t>
  </si>
  <si>
    <t>JUNY</t>
  </si>
  <si>
    <t>JULIOL</t>
  </si>
  <si>
    <t>AGOST</t>
  </si>
  <si>
    <t>OCTUBRE</t>
  </si>
  <si>
    <t>NOVEMBRE</t>
  </si>
  <si>
    <t>DESEMBRE</t>
  </si>
  <si>
    <t>INGRESOS</t>
  </si>
  <si>
    <t>Mati</t>
  </si>
  <si>
    <t>Tarda</t>
  </si>
  <si>
    <t>Nit</t>
  </si>
  <si>
    <t>Tarda+Nit</t>
  </si>
  <si>
    <t>Dinar</t>
  </si>
  <si>
    <t>Sopar</t>
  </si>
  <si>
    <t>Especial</t>
  </si>
  <si>
    <t>Reserves efectives</t>
  </si>
  <si>
    <t>Hores extres efectives</t>
  </si>
  <si>
    <t>Reserves pendents</t>
  </si>
  <si>
    <t>Hores extres pendents</t>
  </si>
  <si>
    <t>DESPESES</t>
  </si>
  <si>
    <t>Despeses Fixes</t>
  </si>
  <si>
    <t>Despeses fixes</t>
  </si>
  <si>
    <t>Amortització</t>
  </si>
  <si>
    <t>Anual</t>
  </si>
  <si>
    <t>Mensual</t>
  </si>
  <si>
    <t>Total</t>
  </si>
  <si>
    <t>Gestoría</t>
  </si>
  <si>
    <t>Despeses Variables</t>
  </si>
  <si>
    <t>Llum</t>
  </si>
  <si>
    <t>Aigua</t>
  </si>
  <si>
    <t>Consumibles</t>
  </si>
  <si>
    <t>Externalització neteja</t>
  </si>
  <si>
    <t>Increment lloguer</t>
  </si>
  <si>
    <t>Bateries maquina neteja</t>
  </si>
  <si>
    <t>3 anys</t>
  </si>
  <si>
    <t>Assegurança</t>
  </si>
  <si>
    <t>laliramartaoriol</t>
  </si>
  <si>
    <t>Pagina web</t>
  </si>
  <si>
    <t>Domini</t>
  </si>
  <si>
    <t>Despeses variables</t>
  </si>
  <si>
    <t>Neteja</t>
  </si>
  <si>
    <t>CONCEPTE</t>
  </si>
  <si>
    <t>IMPORT</t>
  </si>
  <si>
    <t>A</t>
  </si>
  <si>
    <t>B</t>
  </si>
  <si>
    <t>LLOGUER</t>
  </si>
  <si>
    <t>AUTÒNOM</t>
  </si>
  <si>
    <t>GESTORÍA</t>
  </si>
  <si>
    <t>ASSEGURANÇA</t>
  </si>
  <si>
    <t>DOMINI</t>
  </si>
  <si>
    <t>TIPUS</t>
  </si>
  <si>
    <t>LLUM</t>
  </si>
  <si>
    <t>AIGUA</t>
  </si>
  <si>
    <t>TELÈFON</t>
  </si>
  <si>
    <t>Telèfon</t>
  </si>
  <si>
    <t>CONSUMIBLES</t>
  </si>
  <si>
    <t>fix</t>
  </si>
  <si>
    <t>variable</t>
  </si>
  <si>
    <t>PROVISIONS</t>
  </si>
  <si>
    <t>Pàgina web</t>
  </si>
  <si>
    <t>PÀGINA WEB</t>
  </si>
  <si>
    <t>AMORTITZACIONS</t>
  </si>
  <si>
    <t>BAAIT</t>
  </si>
  <si>
    <t>BAIT</t>
  </si>
  <si>
    <t>Impostos</t>
  </si>
  <si>
    <t>BENEFICI NET</t>
  </si>
  <si>
    <t>INGRESOS OPERATIUS</t>
  </si>
  <si>
    <t>DESPESES OPERATIVES</t>
  </si>
  <si>
    <t>FLUX CAIXA ECONÒMIC</t>
  </si>
  <si>
    <t>INVERSIONS CAPITAL</t>
  </si>
  <si>
    <t>Inversions</t>
  </si>
  <si>
    <t>OBLIGACIONS ESTATALS</t>
  </si>
  <si>
    <t>FLUX CAIXA NET</t>
  </si>
  <si>
    <t>CREDITS</t>
  </si>
  <si>
    <t>Retorn crèdit</t>
  </si>
  <si>
    <t>RETORN CRÈDIT</t>
  </si>
  <si>
    <t>BAT</t>
  </si>
  <si>
    <t>FLUX DE CAIXA</t>
  </si>
  <si>
    <t>RES-A</t>
  </si>
  <si>
    <t>RES-B</t>
  </si>
  <si>
    <t>EXTR-A</t>
  </si>
  <si>
    <t>EXTR-B</t>
  </si>
  <si>
    <t>COST</t>
  </si>
  <si>
    <t>PREU</t>
  </si>
  <si>
    <t>Projector</t>
  </si>
  <si>
    <t>MONTORNES DEL VALLES</t>
  </si>
  <si>
    <t>Maquinaria</t>
  </si>
  <si>
    <t>MAQUINARIA</t>
  </si>
  <si>
    <t>SOCORRO</t>
  </si>
  <si>
    <t>2 anys</t>
  </si>
  <si>
    <t>Anualitat Pàgina web - 2 anys</t>
  </si>
  <si>
    <t>VILANOVA DEL VALLES</t>
  </si>
  <si>
    <t>MADRE DAVID</t>
  </si>
  <si>
    <t>Rebut anual assegurança</t>
  </si>
  <si>
    <t>Productes de neteja</t>
  </si>
  <si>
    <t>Logo</t>
  </si>
  <si>
    <t>Arreglo porta lavabo</t>
  </si>
  <si>
    <t>Lloguer gener 2020</t>
  </si>
  <si>
    <t>Arreglo porta principal</t>
  </si>
  <si>
    <t>INCASOL</t>
  </si>
  <si>
    <t>Nevera</t>
  </si>
  <si>
    <t>Flyers</t>
  </si>
  <si>
    <t>Netejes Gener 2020</t>
  </si>
  <si>
    <t>EXTERNALITZACIÓ NETEJA</t>
  </si>
  <si>
    <t>Qutoa Gener 2020</t>
  </si>
  <si>
    <t>Lampara projector</t>
  </si>
  <si>
    <t>Lloguer febrer 2020</t>
  </si>
  <si>
    <t>Ania febrer</t>
  </si>
  <si>
    <t>Netejes Febrer 2020</t>
  </si>
  <si>
    <t>Quota Gener 2020</t>
  </si>
  <si>
    <t>Taules Leroy Merlin</t>
  </si>
  <si>
    <t>Draps Ikea</t>
  </si>
  <si>
    <t>Secamans Amazon</t>
  </si>
  <si>
    <t>TOTAL</t>
  </si>
  <si>
    <t xml:space="preserve">Secamans </t>
  </si>
  <si>
    <t>Lloguer març 2020</t>
  </si>
  <si>
    <t>Pintures pel trono</t>
  </si>
  <si>
    <t>Quota Febrer 2020</t>
  </si>
  <si>
    <t>ANULAT</t>
  </si>
  <si>
    <t>APLAÇAT</t>
  </si>
  <si>
    <t>Quota Març 2020</t>
  </si>
  <si>
    <t>AJUDA ESTATAL COVID19 ABRIL</t>
  </si>
  <si>
    <t>AJUDA ESTATAL COVID19 MARÇ</t>
  </si>
  <si>
    <t>Revisió extintors</t>
  </si>
  <si>
    <t>Pintures de la sala</t>
  </si>
  <si>
    <t>HI HA UN RETORN DE 38,50</t>
  </si>
  <si>
    <t>Rètols</t>
  </si>
  <si>
    <t>Primer trimestre</t>
  </si>
  <si>
    <t>Primer trimestre IVA i IRPF</t>
  </si>
  <si>
    <t>IMPOSTOS</t>
  </si>
  <si>
    <t>AJUDA ESTATAL COVID19 MAIG</t>
  </si>
  <si>
    <t>Quota Maig 2020</t>
  </si>
  <si>
    <t>Quota Juny 2020</t>
  </si>
  <si>
    <t>ROCIO JORGE</t>
  </si>
  <si>
    <t>REMEDIOS</t>
  </si>
  <si>
    <t>AJUDA ESTATAL COVID19 JUNY</t>
  </si>
  <si>
    <t>Leroy Merlin</t>
  </si>
  <si>
    <t xml:space="preserve">AJUDA GENERALITAT COVID19 </t>
  </si>
  <si>
    <t>Lloguer juny 2020</t>
  </si>
  <si>
    <t>Lloguer juliol 2020</t>
  </si>
  <si>
    <t>OBSERVACIONS</t>
  </si>
  <si>
    <t>Venen sempre per Carnaval</t>
  </si>
  <si>
    <t>Columna1</t>
  </si>
  <si>
    <t>Columna2</t>
  </si>
  <si>
    <t>Quota Juliol 2020</t>
  </si>
  <si>
    <t>Sorteig</t>
  </si>
  <si>
    <t>Quota Abril 2020</t>
  </si>
  <si>
    <t>Mercadona</t>
  </si>
  <si>
    <t>Llum segon trimestre</t>
  </si>
  <si>
    <t>ANUAL</t>
  </si>
  <si>
    <t>EFECTIU</t>
  </si>
  <si>
    <t>Aigua segon trimestre</t>
  </si>
  <si>
    <t>Quota Agost 2020</t>
  </si>
  <si>
    <t>08170 MONTORNÈS DEL VALLÈS</t>
  </si>
  <si>
    <t>MARTA MONTEIS PLA</t>
  </si>
  <si>
    <t>NÚMERO DE FACTURA:</t>
  </si>
  <si>
    <t>DATA DE FACTURA:</t>
  </si>
  <si>
    <t>Lloguer de la sala Espai La Lira el dia 18 de Setembre 2020</t>
  </si>
  <si>
    <t>Lloguer de la sala Espai La Lira el dia 19 de Setembre 2020</t>
  </si>
  <si>
    <t>Lloguer de la sala Espai La Lira el dia 20 de Setembre 2020</t>
  </si>
  <si>
    <t>Lloguer de la cuina de la Societat Cultural de la Lira</t>
  </si>
  <si>
    <t>Base Imposable</t>
  </si>
  <si>
    <t>Tipus IVA</t>
  </si>
  <si>
    <t>Quota IVA</t>
  </si>
  <si>
    <t>Total Factura</t>
  </si>
  <si>
    <t>ES70 0081 0043 8600 0144 6352</t>
  </si>
  <si>
    <t>Nº de compte:</t>
  </si>
  <si>
    <t>Pagament a través de transferència bancaria</t>
  </si>
  <si>
    <t>Banc Sabadell</t>
  </si>
  <si>
    <t>DADES DEL CLIENT:</t>
  </si>
  <si>
    <t>AJUNTAMENT DE MONTORNÈS DEL VALLÈS</t>
  </si>
  <si>
    <t>AVINGUDA DE LA LLIBERTAT, 2</t>
  </si>
  <si>
    <t>C/ MAJOR, 43</t>
  </si>
  <si>
    <t>NIF: P-0813500-F</t>
  </si>
  <si>
    <t>NIF: 47971043-N</t>
  </si>
  <si>
    <t>Import Total</t>
  </si>
  <si>
    <t>PRESSUPOST Nº 1</t>
  </si>
  <si>
    <t>SETEMBRE</t>
  </si>
  <si>
    <t>1 GENER</t>
  </si>
  <si>
    <t>6 GENER</t>
  </si>
  <si>
    <t>23 JUNY</t>
  </si>
  <si>
    <t>5 GENER</t>
  </si>
  <si>
    <t>31 OCTUBRE</t>
  </si>
  <si>
    <t>24 DESEMBRE</t>
  </si>
  <si>
    <t>25 DESEMBRE</t>
  </si>
  <si>
    <t>31 DESEMBRE</t>
  </si>
  <si>
    <t>JOCA</t>
  </si>
  <si>
    <t>RESERVA ANUAL</t>
  </si>
  <si>
    <t>MENSUAL 2020</t>
  </si>
  <si>
    <t>PERIODICITAT</t>
  </si>
  <si>
    <t>Canviar la formula de provisions per a cada any. L'any vinent fer una columna nova amb el mensual de l'any</t>
  </si>
  <si>
    <t>MENSUAL 2021</t>
  </si>
  <si>
    <t>3 ANYS</t>
  </si>
  <si>
    <t>1 ANY</t>
  </si>
  <si>
    <t>Etiquetas de fila</t>
  </si>
  <si>
    <t>Total general</t>
  </si>
  <si>
    <t>(Varios elementos)</t>
  </si>
  <si>
    <t>IMPORT RESERVA</t>
  </si>
  <si>
    <t>IMPORT HORES EXTRES</t>
  </si>
  <si>
    <t>IMPORT TOTAL</t>
  </si>
  <si>
    <t>Nº RESERVES</t>
  </si>
  <si>
    <t>%</t>
  </si>
  <si>
    <t>PREU MIG</t>
  </si>
  <si>
    <t>Sense les ajudes pel COVID</t>
  </si>
  <si>
    <t>CATEGORIA</t>
  </si>
  <si>
    <t>Pèrdua COVID</t>
  </si>
  <si>
    <t>AJUDES ESTATALS</t>
  </si>
  <si>
    <t>CANCELACIONS</t>
  </si>
  <si>
    <t>+ les no reserves durant els mesos de confinament</t>
  </si>
  <si>
    <t>actualitzar amb les noves taules i posar les del passa't-ho bé</t>
  </si>
  <si>
    <t>COST PER RESERVA</t>
  </si>
  <si>
    <t>TIPO DESPESA</t>
  </si>
  <si>
    <t>FIX</t>
  </si>
  <si>
    <t>VARIABLE</t>
  </si>
  <si>
    <t>INVERSIONS</t>
  </si>
  <si>
    <t>COST X RES. PROR</t>
  </si>
  <si>
    <t>DESPESES PROR</t>
  </si>
  <si>
    <t>DESPESES PROR. MES</t>
  </si>
  <si>
    <t>(Todo)</t>
  </si>
  <si>
    <t>ANULACIONS COVID</t>
  </si>
  <si>
    <t>AJUDES COVID</t>
  </si>
  <si>
    <t>MARGE OPERATIU</t>
  </si>
  <si>
    <t>DESGLOS OPERATIU</t>
  </si>
  <si>
    <t>PER TIPOLOGIA DE GASTO</t>
  </si>
  <si>
    <t>Nº DE RESERVES</t>
  </si>
  <si>
    <t>COST VARIABLE</t>
  </si>
  <si>
    <t>COST FIX</t>
  </si>
  <si>
    <t>UNITARI</t>
  </si>
  <si>
    <t>MARGE NET</t>
  </si>
  <si>
    <t>MARGINAL</t>
  </si>
  <si>
    <t>COLOR DE LA LIRA</t>
  </si>
  <si>
    <t>TOTAL DESPESES (I+T)</t>
  </si>
  <si>
    <t>TOTAL DESPESES OPERACIONALS</t>
  </si>
  <si>
    <t xml:space="preserve">Prorrateig llum </t>
  </si>
  <si>
    <t>Segon trimestre</t>
  </si>
  <si>
    <t>comprovacions</t>
  </si>
  <si>
    <t>ACTIVITATS ENTRE SETMANA</t>
  </si>
  <si>
    <t>1 DIA</t>
  </si>
  <si>
    <t>2 DIES</t>
  </si>
  <si>
    <t>3 DIES</t>
  </si>
  <si>
    <t>4 DIES</t>
  </si>
  <si>
    <t>PREU SETMANA</t>
  </si>
  <si>
    <t>PREU AL MES</t>
  </si>
  <si>
    <t>Lloguer agsot 2020</t>
  </si>
  <si>
    <t>Gel mans</t>
  </si>
  <si>
    <t>mercadona</t>
  </si>
  <si>
    <t>Quota Setembre 2020</t>
  </si>
  <si>
    <t>Lloguer Setembre 2020</t>
  </si>
  <si>
    <t>Quota tercer trimestre 2020</t>
  </si>
  <si>
    <t>Quota setembre 2020</t>
  </si>
  <si>
    <t>Quota Octubre 2020</t>
  </si>
  <si>
    <t>ANUAL ROCIO JORGE (TARIFA 250€ PAGATS 50€)</t>
  </si>
  <si>
    <t>Lloguer octubre 2020</t>
  </si>
  <si>
    <t>espailaira3</t>
  </si>
  <si>
    <t>Evicertia</t>
  </si>
  <si>
    <t>ANUAL: REMEDIOS 300€</t>
  </si>
  <si>
    <t>NO VAN VENIR</t>
  </si>
  <si>
    <t>Tercer trimestre IVA i IRPF</t>
  </si>
  <si>
    <t>Quota octubre 2020</t>
  </si>
  <si>
    <t>AJUDA ESTATAL COVID19 OCTUBRE</t>
  </si>
  <si>
    <t>Quota novembre 2020</t>
  </si>
  <si>
    <t>Quota desembre 2020</t>
  </si>
  <si>
    <t>Quota tercer i quart trimestre</t>
  </si>
  <si>
    <t>AJUDA ESTATAL COVID19 AUTONOMS</t>
  </si>
  <si>
    <t>AJUDA ESTATAL COVID19 NOVEMBRE</t>
  </si>
  <si>
    <t>ANUAL: 550</t>
  </si>
  <si>
    <t>ANUAL: 145</t>
  </si>
  <si>
    <t>ANUAL: 250</t>
  </si>
  <si>
    <t>Quota gener 2021</t>
  </si>
  <si>
    <t>Quota Gener 2021</t>
  </si>
  <si>
    <t>Quota quart trimestre 2020</t>
  </si>
  <si>
    <t>PENDIENTE AMORTIZAR</t>
  </si>
  <si>
    <t>Quota 2021</t>
  </si>
  <si>
    <t>Quart trimestre IVA i IRPF</t>
  </si>
  <si>
    <t>Quota Febrer 2021</t>
  </si>
  <si>
    <t>Llum gener i febrer</t>
  </si>
  <si>
    <t>Seguretat social</t>
  </si>
  <si>
    <t>Comisió</t>
  </si>
  <si>
    <t>Quota març 2021</t>
  </si>
  <si>
    <t>Quota Març 2021</t>
  </si>
  <si>
    <t>vam pagar 152,52 i ens van tornar 69,41</t>
  </si>
  <si>
    <t>Quota ABRIL 2021</t>
  </si>
  <si>
    <t>Quota primer trimestre</t>
  </si>
  <si>
    <t>Quota MAIG 2021</t>
  </si>
  <si>
    <t>Quota JUNY 2021</t>
  </si>
  <si>
    <t>123€ COMPTE ORIOL</t>
  </si>
  <si>
    <t>Quota juny 2021</t>
  </si>
  <si>
    <t>150€ COMPTE MARTA</t>
  </si>
  <si>
    <t>Matí+ tarda</t>
  </si>
  <si>
    <t>95€ COMPTE ORIOL</t>
  </si>
  <si>
    <t>Quota Juliol 2021</t>
  </si>
  <si>
    <t>Compra maquina fregadora</t>
  </si>
  <si>
    <t>Maquina fregadora</t>
  </si>
  <si>
    <t>MENSUAL 08/2021</t>
  </si>
  <si>
    <t>Venta maquina fregadora</t>
  </si>
  <si>
    <t>Quota juliol 2021</t>
  </si>
  <si>
    <t>Quota agost 2021</t>
  </si>
  <si>
    <t>Quota setembre 2021</t>
  </si>
  <si>
    <t>COMPTE ORIOL</t>
  </si>
  <si>
    <t>Segon trimestre IVA IRPF</t>
  </si>
  <si>
    <t>Segon i tercer trimestre</t>
  </si>
  <si>
    <t>Productes neteja Mercadona</t>
  </si>
  <si>
    <t>Recanvis futbolin</t>
  </si>
  <si>
    <t>PREU MIG DIF. AA</t>
  </si>
  <si>
    <t>MARGE DIF. AA</t>
  </si>
  <si>
    <t>COST PER RESERVA DIF. AA</t>
  </si>
  <si>
    <t>PREU MIG DIF. AA (%)</t>
  </si>
  <si>
    <t>Llum i agua setembre</t>
  </si>
  <si>
    <t>Llum i agua juliol</t>
  </si>
  <si>
    <t>Quota octubre 2021</t>
  </si>
  <si>
    <t>compte marta</t>
  </si>
  <si>
    <t>Mirall trencat</t>
  </si>
  <si>
    <t>TERCER trimestre IVA IRPF</t>
  </si>
  <si>
    <t>Bombetes</t>
  </si>
  <si>
    <t>QUOTA NOVEMBRE 2021</t>
  </si>
  <si>
    <t>Quota Novembre 2021</t>
  </si>
  <si>
    <t>Paper mans lavabo</t>
  </si>
  <si>
    <t>compte marta 195</t>
  </si>
  <si>
    <t>compte oriol</t>
  </si>
  <si>
    <t>195 compte oriol</t>
  </si>
  <si>
    <t>Reparacio maquina neteja vella</t>
  </si>
  <si>
    <t>QUOTA DESEMBRE 2021</t>
  </si>
  <si>
    <t>Cadires</t>
  </si>
  <si>
    <t>Contracte dos anys</t>
  </si>
  <si>
    <t>contracte un any</t>
  </si>
  <si>
    <t>x</t>
  </si>
  <si>
    <t>Desembre</t>
  </si>
  <si>
    <t>Quota desembre 2021</t>
  </si>
  <si>
    <t>quart trimestre llum i aigua</t>
  </si>
  <si>
    <t>Gener 2022</t>
  </si>
  <si>
    <t>QUOTA 2022</t>
  </si>
  <si>
    <t>Quart trimestre</t>
  </si>
  <si>
    <t>X</t>
  </si>
  <si>
    <t>DESEMBRE 2021</t>
  </si>
  <si>
    <t>FACTURA TRIMESTRE</t>
  </si>
  <si>
    <t>MENSUAL 2022</t>
  </si>
  <si>
    <t>RESIDUAL</t>
  </si>
  <si>
    <t>Quota gener</t>
  </si>
  <si>
    <t>BIZUM ORIOL</t>
  </si>
  <si>
    <t>QUOTA GENER 2022</t>
  </si>
  <si>
    <t>REGULARITZACIÓ 2021</t>
  </si>
  <si>
    <t>QUOTA FEBRER 2022</t>
  </si>
  <si>
    <t>Quota febrer 2022</t>
  </si>
  <si>
    <t>Quota març 2022</t>
  </si>
  <si>
    <t>Matí+Tarda+Nit</t>
  </si>
  <si>
    <t>Tarda + Nit</t>
  </si>
  <si>
    <t>Lloguer Març 2022</t>
  </si>
  <si>
    <t>Taules Brico depot</t>
  </si>
  <si>
    <t>Llum Primer trimestre</t>
  </si>
  <si>
    <t>Marisol</t>
  </si>
  <si>
    <t>Juanillo</t>
  </si>
  <si>
    <t>Lourdes</t>
  </si>
  <si>
    <t>Proteccions parque</t>
  </si>
  <si>
    <t>Quota abril 2022</t>
  </si>
  <si>
    <t>efectiu</t>
  </si>
  <si>
    <t>210 COMPTE MARTA</t>
  </si>
  <si>
    <t>cables + paper lavabo</t>
  </si>
  <si>
    <t>100 compte oriol</t>
  </si>
  <si>
    <t>Quota maig 2022</t>
  </si>
  <si>
    <t>EFEctiu</t>
  </si>
  <si>
    <t>90 compte oriol</t>
  </si>
  <si>
    <t>Renovació canvi de nom</t>
  </si>
  <si>
    <t>Quota juny 2022</t>
  </si>
  <si>
    <t>Lloguer petit espai montmeló</t>
  </si>
  <si>
    <t>Quota juliol 2022</t>
  </si>
  <si>
    <t>100 bizum marta</t>
  </si>
  <si>
    <t>No sabem</t>
  </si>
  <si>
    <t>Segon trimestre IVA IRPF - Cristina</t>
  </si>
  <si>
    <t>Segon trimestre IVA IRPF - Leo</t>
  </si>
  <si>
    <t>IVA cristina</t>
  </si>
  <si>
    <t>IVA leo</t>
  </si>
  <si>
    <t>transfe</t>
  </si>
  <si>
    <t>QUOTA JULIOL 2022</t>
  </si>
  <si>
    <t>Quota agost</t>
  </si>
  <si>
    <t>Gastos devolució rebut</t>
  </si>
  <si>
    <t>ANUAL: 350</t>
  </si>
  <si>
    <t>ANUAL: 300</t>
  </si>
  <si>
    <t>ANUAL: 600</t>
  </si>
  <si>
    <t>45 BIZUM MARTA</t>
  </si>
  <si>
    <t>Quota setembre 2022</t>
  </si>
  <si>
    <t>250 BIZUM MARTA</t>
  </si>
  <si>
    <t>200 BIZUM ORIOL</t>
  </si>
  <si>
    <t>150 bizum marta</t>
  </si>
  <si>
    <t>Hidralair</t>
  </si>
  <si>
    <t>Taules</t>
  </si>
  <si>
    <t>bizum marta</t>
  </si>
  <si>
    <t>CODI POSTAL</t>
  </si>
  <si>
    <t>DNI</t>
  </si>
  <si>
    <t>DIRECCIÓ</t>
  </si>
  <si>
    <t>MARTORELLES</t>
  </si>
  <si>
    <t>Quota octubre 2022</t>
  </si>
  <si>
    <t>45 bizum marta</t>
  </si>
  <si>
    <t>100 bizum oriol</t>
  </si>
  <si>
    <t xml:space="preserve"> BIZUM MARTA</t>
  </si>
  <si>
    <t>lourdes</t>
  </si>
  <si>
    <t>Novembre 2022</t>
  </si>
  <si>
    <t>Tercer trimestre</t>
  </si>
  <si>
    <t>Quota novembre 2022</t>
  </si>
  <si>
    <t>MENSUAL 2023</t>
  </si>
  <si>
    <t>2 ANYS</t>
  </si>
  <si>
    <t>bizum oriol 100</t>
  </si>
  <si>
    <t>bizum oriol 120</t>
  </si>
  <si>
    <t>quota desembre 2022</t>
  </si>
  <si>
    <t>bizum marta 270</t>
  </si>
  <si>
    <t>150 bizum oriol</t>
  </si>
  <si>
    <t>MONTMELÓ</t>
  </si>
  <si>
    <t>SANTA PERPETUA MOGODA</t>
  </si>
  <si>
    <t>LLIÇA D'AMUNT</t>
  </si>
  <si>
    <t>GRANOLLERS</t>
  </si>
  <si>
    <t>Quota gener 2023</t>
  </si>
  <si>
    <t>Llum quart trimestre</t>
  </si>
  <si>
    <t>Aigua quart trimestre</t>
  </si>
  <si>
    <t>BIZUM ORIOL 50</t>
  </si>
  <si>
    <t>Sabó maquina neteja</t>
  </si>
  <si>
    <t>tot bizum</t>
  </si>
  <si>
    <t>Llums sala</t>
  </si>
  <si>
    <t>45 bizum</t>
  </si>
  <si>
    <t>150 bizum</t>
  </si>
  <si>
    <t>anulat</t>
  </si>
  <si>
    <t>Guardallaves</t>
  </si>
  <si>
    <t>Endoll wifi</t>
  </si>
  <si>
    <t xml:space="preserve">QUOTA DESEMBRE </t>
  </si>
  <si>
    <t>280 bizum</t>
  </si>
  <si>
    <t>50 reserva bizum</t>
  </si>
  <si>
    <t>IVA quart trimestre</t>
  </si>
  <si>
    <t>IRPF quart trimestre</t>
  </si>
  <si>
    <t>BIZUM</t>
  </si>
  <si>
    <t>90 BIZUM</t>
  </si>
  <si>
    <t>Lloguer febrer 2023</t>
  </si>
  <si>
    <t>bizum marta210</t>
  </si>
  <si>
    <t>reserva bizum</t>
  </si>
  <si>
    <t>bizum 100</t>
  </si>
  <si>
    <t>Sofà</t>
  </si>
  <si>
    <t>llum</t>
  </si>
  <si>
    <t>bizum 150</t>
  </si>
  <si>
    <t>Últim trimestre 2022</t>
  </si>
  <si>
    <t>Taules infantils</t>
  </si>
  <si>
    <t>Sandra i Eric</t>
  </si>
  <si>
    <t>RESERVA EFECTIU</t>
  </si>
  <si>
    <t>Telèfon febrer</t>
  </si>
  <si>
    <t>https://app.sendgrid.com/settings/sender_auth/senders</t>
  </si>
  <si>
    <t>Newsletter</t>
  </si>
  <si>
    <t>Emails</t>
  </si>
  <si>
    <t xml:space="preserve">Asunto: </t>
  </si>
  <si>
    <t>Fins a un -40% de descompte! (trompeta de festa)</t>
  </si>
  <si>
    <t>Reserva els últims torns disponibles</t>
  </si>
  <si>
    <t>100 bizum</t>
  </si>
  <si>
    <t>ISABEL PLA LOPEZ</t>
  </si>
  <si>
    <t>NIF: 52175318W</t>
  </si>
  <si>
    <t>bizum oriol 210</t>
  </si>
  <si>
    <t>Març</t>
  </si>
  <si>
    <t>quota no sabem</t>
  </si>
  <si>
    <t>març</t>
  </si>
  <si>
    <t xml:space="preserve">BIZUM </t>
  </si>
  <si>
    <t>bizum 90</t>
  </si>
  <si>
    <t>PARETS</t>
  </si>
  <si>
    <t>SABADELL</t>
  </si>
  <si>
    <t>SANTA AGNES</t>
  </si>
  <si>
    <t>LES FRANQUESES</t>
  </si>
  <si>
    <t>SANTA MARIA MARTORELLES</t>
  </si>
  <si>
    <t>240 bizum marta</t>
  </si>
  <si>
    <t>CALDES DE MONTBUI</t>
  </si>
  <si>
    <t>IVA primer trimestre</t>
  </si>
  <si>
    <t>IRPF primer trimestre</t>
  </si>
  <si>
    <t>bizum marta tot</t>
  </si>
  <si>
    <t>Abril</t>
  </si>
  <si>
    <t>JUANILLO</t>
  </si>
  <si>
    <t>GESTORIA</t>
  </si>
  <si>
    <t>JA NO SE…</t>
  </si>
  <si>
    <t>45 BIZUM</t>
  </si>
  <si>
    <t>Sofa</t>
  </si>
  <si>
    <t>Juny</t>
  </si>
  <si>
    <t>bizum oriol</t>
  </si>
  <si>
    <t>LOurdes</t>
  </si>
  <si>
    <t>EXTINTORS</t>
  </si>
  <si>
    <t>REOMPLIR EXINTORS</t>
  </si>
  <si>
    <t>FRA 2023_02</t>
  </si>
  <si>
    <t>LLIÇA DE VALL</t>
  </si>
  <si>
    <t>MOLLET</t>
  </si>
  <si>
    <t>MONTCADA I REIXAC</t>
  </si>
  <si>
    <t>STA AGNES DE MALANYANES</t>
  </si>
  <si>
    <t>VALLROMANES</t>
  </si>
  <si>
    <t>BARCELONA</t>
  </si>
  <si>
    <t>HOSPITALET</t>
  </si>
  <si>
    <t>90 bizum</t>
  </si>
  <si>
    <t>CASTELLAR DEL VALLES</t>
  </si>
  <si>
    <t>PALAU SOLITA I PLEGAMANS</t>
  </si>
  <si>
    <t>JULIO</t>
  </si>
  <si>
    <t xml:space="preserve">TAULES </t>
  </si>
  <si>
    <t>LOURDES</t>
  </si>
  <si>
    <t>Interessos compte corrent</t>
  </si>
  <si>
    <t>Eric sandra</t>
  </si>
  <si>
    <t>LERoy Merlin</t>
  </si>
  <si>
    <t>VIDRE</t>
  </si>
  <si>
    <t>Pintura</t>
  </si>
  <si>
    <t>Agost</t>
  </si>
  <si>
    <t>MITJA ANUAL</t>
  </si>
  <si>
    <t>Bizum</t>
  </si>
  <si>
    <t>Setembre</t>
  </si>
  <si>
    <t>Cafetera</t>
  </si>
  <si>
    <t>paper mans lavabo</t>
  </si>
  <si>
    <t>bizum</t>
  </si>
  <si>
    <t>200 bizum</t>
  </si>
  <si>
    <t>Comisions banc sabadell</t>
  </si>
  <si>
    <t>Octubre</t>
  </si>
  <si>
    <t>LA LLAGOSTA</t>
  </si>
  <si>
    <t>BADALONA</t>
  </si>
  <si>
    <t>SANT FOST</t>
  </si>
  <si>
    <t>SANT ANTONI DE VILAMAJOR</t>
  </si>
  <si>
    <t>POLINYA</t>
  </si>
  <si>
    <t>Maquina inflar globus</t>
  </si>
  <si>
    <t>40 Cadires</t>
  </si>
  <si>
    <t>Pulsador lavabo</t>
  </si>
  <si>
    <t>MENSUAL 2024</t>
  </si>
  <si>
    <t>NOVA TARIFA</t>
  </si>
  <si>
    <t>SERVEIS</t>
  </si>
  <si>
    <t>Sala</t>
  </si>
  <si>
    <t>DJ</t>
  </si>
  <si>
    <t>Cambrer</t>
  </si>
  <si>
    <t>Photocall</t>
  </si>
  <si>
    <t>15€/pizza</t>
  </si>
  <si>
    <t>20€/ampolla</t>
  </si>
  <si>
    <t>ampolla</t>
  </si>
  <si>
    <t>1/5</t>
  </si>
  <si>
    <t>salat</t>
  </si>
  <si>
    <t>50 pax - Cost</t>
  </si>
  <si>
    <t>1/10</t>
  </si>
  <si>
    <t>Preu venta</t>
  </si>
  <si>
    <t>Taula salat - pizza</t>
  </si>
  <si>
    <t>Taula dolç - xuxes i croissant</t>
  </si>
  <si>
    <t>Barra lliure (inclos gel i got)</t>
  </si>
  <si>
    <t>Benefici</t>
  </si>
  <si>
    <t>100 pax - cost</t>
  </si>
  <si>
    <t>Tapa vater</t>
  </si>
  <si>
    <t>15X20</t>
  </si>
  <si>
    <t>2 PERSONES</t>
  </si>
  <si>
    <t>Efectiu</t>
  </si>
  <si>
    <t>Devolucions</t>
  </si>
  <si>
    <t>Novembre</t>
  </si>
  <si>
    <t>Renovació</t>
  </si>
  <si>
    <t>Placas sostre</t>
  </si>
  <si>
    <t>Distribuciones PLB</t>
  </si>
  <si>
    <t>Trono nou</t>
  </si>
  <si>
    <t>Trono</t>
  </si>
  <si>
    <t>Haragan</t>
  </si>
  <si>
    <t>Matarratas</t>
  </si>
  <si>
    <t>Aspiradora</t>
  </si>
  <si>
    <t>Sofas baixera</t>
  </si>
  <si>
    <t>ASSOCIACIÓ DIVERMON</t>
  </si>
  <si>
    <t>NIF: G44738631</t>
  </si>
  <si>
    <t>FACTURA 2023_4</t>
  </si>
  <si>
    <t>FACTURA 2023_5</t>
  </si>
  <si>
    <t>BIzum</t>
  </si>
  <si>
    <t>Lloguer de la sala Espai La Lira</t>
  </si>
  <si>
    <t>FACTURA 2023_6</t>
  </si>
  <si>
    <t>FACTURA 2023_03</t>
  </si>
  <si>
    <t>SANT PERE DE VILAMAJOR</t>
  </si>
  <si>
    <t>Boles futbolin i llums</t>
  </si>
  <si>
    <t>Gener 2024</t>
  </si>
  <si>
    <t>(Todas)</t>
  </si>
  <si>
    <t>MARGE BENEFICI NET</t>
  </si>
  <si>
    <t>PREU MIG 2022</t>
  </si>
  <si>
    <t>Nº RESERVES 2022</t>
  </si>
  <si>
    <t>Arreglo trono nou</t>
  </si>
  <si>
    <t>Cuart trimestre 2023</t>
  </si>
  <si>
    <t>Cable HDMI</t>
  </si>
  <si>
    <t>Feberer</t>
  </si>
  <si>
    <t>BIZUM 150</t>
  </si>
  <si>
    <t>Febrer</t>
  </si>
  <si>
    <t>2024_1</t>
  </si>
  <si>
    <t>REBUT 2023_06</t>
  </si>
  <si>
    <t>C/ BLAS INFANTE, 7</t>
  </si>
  <si>
    <t>Lloguer de la sala Espai la lira</t>
  </si>
  <si>
    <t>Import Rebut</t>
  </si>
  <si>
    <t>SANTA AGNES MALANYANES</t>
  </si>
  <si>
    <t>BIGUES I RIELLS</t>
  </si>
  <si>
    <t>SANT CELONI</t>
  </si>
  <si>
    <t>L'ATMELLA</t>
  </si>
  <si>
    <t>2024_02</t>
  </si>
  <si>
    <t>2024_03</t>
  </si>
  <si>
    <t>primer trimestre 2024</t>
  </si>
  <si>
    <t>bizum eric</t>
  </si>
  <si>
    <t>50 bizum</t>
  </si>
  <si>
    <t>Allianz</t>
  </si>
  <si>
    <t>Maig</t>
  </si>
  <si>
    <t>Arreglos lira</t>
  </si>
  <si>
    <t>Vidre</t>
  </si>
  <si>
    <t>200 compte marta</t>
  </si>
  <si>
    <t>RESERVA BIZUM</t>
  </si>
  <si>
    <t>170 bizu</t>
  </si>
  <si>
    <t>LA ROCA DEL VALLES</t>
  </si>
  <si>
    <t xml:space="preserve">SANTA EULALIA </t>
  </si>
  <si>
    <t>210 bzum</t>
  </si>
  <si>
    <t>Juliol</t>
  </si>
  <si>
    <t>IVA</t>
  </si>
  <si>
    <t>IRPF</t>
  </si>
  <si>
    <t>Arreglo parque</t>
  </si>
  <si>
    <t>Barra de so</t>
  </si>
  <si>
    <t>MENSUAL 2025</t>
  </si>
  <si>
    <t>Suports barra de so</t>
  </si>
  <si>
    <t>Adaptador optic</t>
  </si>
  <si>
    <t>retornat</t>
  </si>
  <si>
    <t>Llum i aigua</t>
  </si>
  <si>
    <t>Publicitat</t>
  </si>
  <si>
    <t>MASNOU</t>
  </si>
  <si>
    <t>08170 Montornès del Vallès</t>
  </si>
  <si>
    <t>120 bizum</t>
  </si>
  <si>
    <t>150 BIZUM</t>
  </si>
  <si>
    <t>Renovació domini</t>
  </si>
  <si>
    <t>2024_05</t>
  </si>
  <si>
    <t>C/ Blas Infante, 7</t>
  </si>
  <si>
    <t>factura</t>
  </si>
  <si>
    <t>Gener</t>
  </si>
  <si>
    <t>4rt trimestre 2025</t>
  </si>
  <si>
    <t>qrt trimestre</t>
  </si>
  <si>
    <t>Guardaclaus</t>
  </si>
  <si>
    <t>Primer trimestre 2025</t>
  </si>
  <si>
    <t>Seguro</t>
  </si>
  <si>
    <t>Extintors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</si>
</sst>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#,##0\ &quot;€&quot;;[Red]\-#,##0\ &quot;€&quot;"/>
    <numFmt numFmtId="44" formatCode="_-* #,##0.00\ &quot;€&quot;_-;\-* #,##0.00\ &quot;€&quot;_-;_-* &quot;-&quot;??\ &quot;€&quot;_-;_-@_-"/>
    <numFmt numFmtId="164" formatCode="d\-m\-yyyy;@"/>
    <numFmt numFmtId="165" formatCode="#,##0_ ;[Red]\-#,##0\ "/>
    <numFmt numFmtId="166" formatCode="00000"/>
    <numFmt numFmtId="167" formatCode="#,##0.00\ &quot;€&quot;"/>
    <numFmt numFmtId="168" formatCode="dd/mm/yyyy;@"/>
  </numFmts>
  <fonts count="2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9" tint="-0.249977111117893"/>
      <name val="Calibri"/>
      <family val="2"/>
      <scheme val="minor"/>
    </font>
    <font>
      <sz val="12"/>
      <color theme="9" tint="-0.249977111117893"/>
      <name val="Calibri"/>
      <family val="2"/>
      <scheme val="minor"/>
    </font>
    <font>
      <sz val="12"/>
      <color theme="5"/>
      <name val="Calibri"/>
      <family val="2"/>
      <scheme val="minor"/>
    </font>
    <font>
      <b/>
      <sz val="12"/>
      <color theme="5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4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12"/>
      <color theme="1" tint="0.249977111117893"/>
      <name val="Calibri"/>
      <family val="2"/>
      <scheme val="minor"/>
    </font>
    <font>
      <b/>
      <sz val="14"/>
      <color theme="1" tint="0.249977111117893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7" tint="-0.249977111117893"/>
      <name val="Calibri"/>
      <family val="2"/>
      <scheme val="minor"/>
    </font>
    <font>
      <b/>
      <sz val="12"/>
      <color theme="9" tint="-0.499984740745262"/>
      <name val="Calibri"/>
      <family val="2"/>
      <scheme val="minor"/>
    </font>
    <font>
      <b/>
      <sz val="12"/>
      <color theme="4" tint="-0.249977111117893"/>
      <name val="Calibri"/>
      <family val="2"/>
      <scheme val="minor"/>
    </font>
    <font>
      <b/>
      <sz val="12"/>
      <color rgb="FFAE2E57"/>
      <name val="Calibri"/>
      <family val="2"/>
      <scheme val="minor"/>
    </font>
    <font>
      <b/>
      <sz val="16"/>
      <color rgb="FFAE2E57"/>
      <name val="Calibri"/>
      <family val="2"/>
      <scheme val="minor"/>
    </font>
    <font>
      <b/>
      <sz val="12"/>
      <color rgb="FFFF2600"/>
      <name val="Calibri"/>
      <family val="2"/>
      <scheme val="minor"/>
    </font>
    <font>
      <sz val="12"/>
      <color rgb="FF000000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-0.249977111117893"/>
        <bgColor theme="9" tint="-0.249977111117893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2600"/>
        <bgColor indexed="64"/>
      </patternFill>
    </fill>
    <fill>
      <patternFill patternType="solid">
        <fgColor theme="7" tint="-0.249977111117893"/>
        <bgColor theme="9" tint="-0.249977111117893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B8B4"/>
        <bgColor indexed="64"/>
      </patternFill>
    </fill>
    <fill>
      <patternFill patternType="solid">
        <fgColor rgb="FFAE2E57"/>
        <bgColor indexed="64"/>
      </patternFill>
    </fill>
    <fill>
      <patternFill patternType="solid">
        <fgColor rgb="FFFF61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DDEBF7"/>
        <bgColor rgb="FFDDEBF7"/>
      </patternFill>
    </fill>
    <fill>
      <patternFill patternType="solid">
        <fgColor rgb="FFBDD7EE"/>
        <bgColor rgb="FFBDD7EE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</fills>
  <borders count="7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double">
        <color auto="1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/>
      <diagonal/>
    </border>
    <border>
      <left/>
      <right style="medium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/>
      <top/>
      <bottom style="medium">
        <color auto="1"/>
      </bottom>
      <diagonal/>
    </border>
    <border>
      <left/>
      <right style="medium">
        <color theme="0" tint="-0.499984740745262"/>
      </right>
      <top/>
      <bottom style="medium">
        <color auto="1"/>
      </bottom>
      <diagonal/>
    </border>
    <border>
      <left style="medium">
        <color theme="0" tint="-0.499984740745262"/>
      </left>
      <right/>
      <top/>
      <bottom/>
      <diagonal/>
    </border>
    <border>
      <left/>
      <right style="medium">
        <color theme="0" tint="-0.499984740745262"/>
      </right>
      <top/>
      <bottom/>
      <diagonal/>
    </border>
    <border>
      <left style="medium">
        <color theme="0" tint="-0.499984740745262"/>
      </left>
      <right/>
      <top/>
      <bottom style="double">
        <color auto="1"/>
      </bottom>
      <diagonal/>
    </border>
    <border>
      <left/>
      <right style="medium">
        <color theme="0" tint="-0.499984740745262"/>
      </right>
      <top/>
      <bottom style="double">
        <color auto="1"/>
      </bottom>
      <diagonal/>
    </border>
    <border>
      <left style="medium">
        <color theme="0" tint="-0.499984740745262"/>
      </left>
      <right/>
      <top/>
      <bottom style="medium">
        <color theme="0" tint="-0.499984740745262"/>
      </bottom>
      <diagonal/>
    </border>
    <border>
      <left/>
      <right style="medium">
        <color theme="0" tint="-0.499984740745262"/>
      </right>
      <top/>
      <bottom style="medium">
        <color theme="0" tint="-0.499984740745262"/>
      </bottom>
      <diagonal/>
    </border>
    <border>
      <left/>
      <right style="medium">
        <color theme="0" tint="-0.499984740745262"/>
      </right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 style="medium">
        <color theme="0" tint="-0.499984740745262"/>
      </left>
      <right/>
      <top/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0" tint="-0.499984740745262"/>
      </left>
      <right/>
      <top style="medium">
        <color theme="1"/>
      </top>
      <bottom/>
      <diagonal/>
    </border>
    <border>
      <left/>
      <right style="medium">
        <color theme="0" tint="-0.499984740745262"/>
      </right>
      <top style="medium">
        <color theme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 style="thin">
        <color theme="9" tint="0.79998168889431442"/>
      </top>
      <bottom style="thin">
        <color theme="9" tint="0.79998168889431442"/>
      </bottom>
      <diagonal/>
    </border>
    <border>
      <left/>
      <right/>
      <top style="double">
        <color theme="9" tint="-0.249977111117893"/>
      </top>
      <bottom/>
      <diagonal/>
    </border>
    <border>
      <left/>
      <right/>
      <top/>
      <bottom style="thin">
        <color theme="9" tint="0.59999389629810485"/>
      </bottom>
      <diagonal/>
    </border>
    <border>
      <left/>
      <right/>
      <top/>
      <bottom style="thin">
        <color theme="9" tint="0.79998168889431442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thin">
        <color theme="9" tint="0.79998168889431442"/>
      </bottom>
      <diagonal/>
    </border>
    <border>
      <left style="medium">
        <color rgb="FFC00000"/>
      </left>
      <right style="medium">
        <color rgb="FFC00000"/>
      </right>
      <top style="thin">
        <color theme="9" tint="0.79998168889431442"/>
      </top>
      <bottom style="thin">
        <color theme="9" tint="0.79998168889431442"/>
      </bottom>
      <diagonal/>
    </border>
    <border>
      <left style="medium">
        <color rgb="FFC00000"/>
      </left>
      <right style="medium">
        <color rgb="FFC00000"/>
      </right>
      <top style="thin">
        <color theme="9" tint="0.79998168889431442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theme="9" tint="-0.499984740745262"/>
      </left>
      <right style="medium">
        <color theme="9" tint="-0.499984740745262"/>
      </right>
      <top style="medium">
        <color theme="9" tint="-0.499984740745262"/>
      </top>
      <bottom style="medium">
        <color theme="9" tint="-0.499984740745262"/>
      </bottom>
      <diagonal/>
    </border>
    <border>
      <left/>
      <right style="medium">
        <color theme="7" tint="-0.499984740745262"/>
      </right>
      <top style="medium">
        <color theme="7" tint="-0.499984740745262"/>
      </top>
      <bottom style="thin">
        <color theme="9" tint="0.59999389629810485"/>
      </bottom>
      <diagonal/>
    </border>
    <border>
      <left/>
      <right style="medium">
        <color theme="7" tint="-0.499984740745262"/>
      </right>
      <top style="thin">
        <color theme="9" tint="0.79998168889431442"/>
      </top>
      <bottom style="thin">
        <color theme="9" tint="0.79998168889431442"/>
      </bottom>
      <diagonal/>
    </border>
    <border>
      <left/>
      <right style="medium">
        <color theme="7" tint="-0.499984740745262"/>
      </right>
      <top style="thin">
        <color theme="9" tint="0.79998168889431442"/>
      </top>
      <bottom/>
      <diagonal/>
    </border>
    <border>
      <left/>
      <right style="medium">
        <color theme="7" tint="-0.499984740745262"/>
      </right>
      <top style="medium">
        <color theme="7" tint="-0.499984740745262"/>
      </top>
      <bottom style="medium">
        <color theme="7" tint="-0.499984740745262"/>
      </bottom>
      <diagonal/>
    </border>
    <border>
      <left style="medium">
        <color theme="9" tint="-0.499984740745262"/>
      </left>
      <right style="medium">
        <color theme="9" tint="-0.499984740745262"/>
      </right>
      <top style="medium">
        <color theme="9" tint="-0.499984740745262"/>
      </top>
      <bottom style="thin">
        <color theme="9" tint="0.59999389629810485"/>
      </bottom>
      <diagonal/>
    </border>
    <border>
      <left style="medium">
        <color theme="9" tint="-0.499984740745262"/>
      </left>
      <right style="medium">
        <color theme="9" tint="-0.499984740745262"/>
      </right>
      <top style="thin">
        <color theme="9" tint="0.79998168889431442"/>
      </top>
      <bottom style="thin">
        <color theme="9" tint="0.79998168889431442"/>
      </bottom>
      <diagonal/>
    </border>
    <border>
      <left style="medium">
        <color theme="9" tint="-0.499984740745262"/>
      </left>
      <right style="medium">
        <color theme="9" tint="-0.499984740745262"/>
      </right>
      <top style="thin">
        <color theme="9" tint="0.79998168889431442"/>
      </top>
      <bottom/>
      <diagonal/>
    </border>
    <border>
      <left/>
      <right/>
      <top style="medium">
        <color theme="1"/>
      </top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/>
      <top style="medium">
        <color theme="0"/>
      </top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1"/>
      </bottom>
      <diagonal/>
    </border>
    <border>
      <left style="medium">
        <color theme="0"/>
      </left>
      <right style="medium">
        <color theme="0"/>
      </right>
      <top style="medium">
        <color theme="1"/>
      </top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rgb="FFFF2600"/>
      </left>
      <right style="medium">
        <color rgb="FFFF2600"/>
      </right>
      <top style="medium">
        <color rgb="FFFF2600"/>
      </top>
      <bottom style="thin">
        <color theme="9" tint="0.79998168889431442"/>
      </bottom>
      <diagonal/>
    </border>
    <border>
      <left style="medium">
        <color rgb="FFFF2600"/>
      </left>
      <right style="medium">
        <color rgb="FFFF2600"/>
      </right>
      <top style="thin">
        <color theme="9" tint="0.79998168889431442"/>
      </top>
      <bottom style="thin">
        <color theme="9" tint="0.79998168889431442"/>
      </bottom>
      <diagonal/>
    </border>
    <border>
      <left style="medium">
        <color rgb="FFFF2600"/>
      </left>
      <right style="medium">
        <color rgb="FFFF2600"/>
      </right>
      <top style="double">
        <color theme="9" tint="-0.249977111117893"/>
      </top>
      <bottom style="medium">
        <color rgb="FFFF2600"/>
      </bottom>
      <diagonal/>
    </border>
    <border>
      <left style="medium">
        <color rgb="FFFF2600"/>
      </left>
      <right style="medium">
        <color rgb="FFFF2600"/>
      </right>
      <top style="medium">
        <color rgb="FFFF260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42">
    <xf numFmtId="0" fontId="0" fillId="0" borderId="0" xfId="0"/>
    <xf numFmtId="6" fontId="0" fillId="0" borderId="0" xfId="0" applyNumberFormat="1"/>
    <xf numFmtId="0" fontId="0" fillId="0" borderId="0" xfId="0" applyBorder="1"/>
    <xf numFmtId="164" fontId="0" fillId="0" borderId="0" xfId="0" applyNumberFormat="1"/>
    <xf numFmtId="20" fontId="0" fillId="0" borderId="0" xfId="0" applyNumberFormat="1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horizontal="right"/>
    </xf>
    <xf numFmtId="0" fontId="5" fillId="0" borderId="1" xfId="0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8" fillId="0" borderId="1" xfId="0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11" fillId="0" borderId="2" xfId="0" applyFont="1" applyBorder="1" applyAlignment="1">
      <alignment horizontal="left"/>
    </xf>
    <xf numFmtId="3" fontId="6" fillId="0" borderId="5" xfId="0" applyNumberFormat="1" applyFont="1" applyBorder="1"/>
    <xf numFmtId="9" fontId="6" fillId="0" borderId="6" xfId="1" applyFont="1" applyBorder="1"/>
    <xf numFmtId="3" fontId="3" fillId="0" borderId="7" xfId="0" applyNumberFormat="1" applyFont="1" applyBorder="1"/>
    <xf numFmtId="9" fontId="3" fillId="0" borderId="8" xfId="1" applyFont="1" applyBorder="1"/>
    <xf numFmtId="3" fontId="0" fillId="0" borderId="7" xfId="0" applyNumberFormat="1" applyBorder="1"/>
    <xf numFmtId="9" fontId="0" fillId="0" borderId="8" xfId="1" applyFont="1" applyBorder="1"/>
    <xf numFmtId="0" fontId="3" fillId="0" borderId="7" xfId="0" applyFont="1" applyBorder="1"/>
    <xf numFmtId="0" fontId="0" fillId="0" borderId="7" xfId="0" applyBorder="1"/>
    <xf numFmtId="3" fontId="4" fillId="0" borderId="5" xfId="0" applyNumberFormat="1" applyFont="1" applyBorder="1"/>
    <xf numFmtId="9" fontId="4" fillId="0" borderId="6" xfId="1" applyFont="1" applyBorder="1"/>
    <xf numFmtId="3" fontId="11" fillId="0" borderId="9" xfId="0" applyNumberFormat="1" applyFont="1" applyBorder="1"/>
    <xf numFmtId="9" fontId="10" fillId="0" borderId="10" xfId="1" applyFont="1" applyBorder="1"/>
    <xf numFmtId="3" fontId="7" fillId="0" borderId="5" xfId="0" applyNumberFormat="1" applyFont="1" applyBorder="1"/>
    <xf numFmtId="9" fontId="7" fillId="0" borderId="6" xfId="1" applyFont="1" applyBorder="1"/>
    <xf numFmtId="0" fontId="0" fillId="0" borderId="11" xfId="0" applyBorder="1"/>
    <xf numFmtId="0" fontId="0" fillId="0" borderId="12" xfId="0" applyBorder="1"/>
    <xf numFmtId="0" fontId="12" fillId="0" borderId="0" xfId="0" applyFont="1"/>
    <xf numFmtId="0" fontId="12" fillId="0" borderId="0" xfId="0" applyFont="1" applyAlignment="1">
      <alignment horizontal="left"/>
    </xf>
    <xf numFmtId="0" fontId="12" fillId="0" borderId="0" xfId="0" applyFont="1" applyAlignment="1"/>
    <xf numFmtId="0" fontId="0" fillId="0" borderId="8" xfId="0" applyBorder="1"/>
    <xf numFmtId="0" fontId="3" fillId="0" borderId="14" xfId="0" applyFont="1" applyBorder="1"/>
    <xf numFmtId="3" fontId="3" fillId="0" borderId="15" xfId="0" applyNumberFormat="1" applyFont="1" applyBorder="1"/>
    <xf numFmtId="3" fontId="0" fillId="0" borderId="8" xfId="0" applyNumberFormat="1" applyBorder="1"/>
    <xf numFmtId="3" fontId="3" fillId="0" borderId="13" xfId="0" applyNumberFormat="1" applyFont="1" applyBorder="1"/>
    <xf numFmtId="0" fontId="0" fillId="3" borderId="0" xfId="0" applyFill="1"/>
    <xf numFmtId="0" fontId="0" fillId="0" borderId="16" xfId="0" applyBorder="1"/>
    <xf numFmtId="0" fontId="0" fillId="0" borderId="16" xfId="0" applyBorder="1" applyAlignment="1">
      <alignment horizontal="center" vertical="center" wrapText="1"/>
    </xf>
    <xf numFmtId="165" fontId="0" fillId="0" borderId="16" xfId="0" applyNumberFormat="1" applyBorder="1"/>
    <xf numFmtId="9" fontId="10" fillId="0" borderId="8" xfId="1" applyFont="1" applyBorder="1"/>
    <xf numFmtId="0" fontId="14" fillId="0" borderId="0" xfId="0" applyFont="1" applyAlignment="1">
      <alignment horizontal="center"/>
    </xf>
    <xf numFmtId="166" fontId="0" fillId="0" borderId="0" xfId="0" applyNumberFormat="1"/>
    <xf numFmtId="0" fontId="3" fillId="0" borderId="0" xfId="0" applyFont="1" applyAlignment="1">
      <alignment horizontal="left"/>
    </xf>
    <xf numFmtId="4" fontId="0" fillId="0" borderId="0" xfId="0" applyNumberFormat="1"/>
    <xf numFmtId="0" fontId="0" fillId="0" borderId="0" xfId="0" applyFont="1"/>
    <xf numFmtId="164" fontId="4" fillId="0" borderId="0" xfId="0" applyNumberFormat="1" applyFont="1"/>
    <xf numFmtId="164" fontId="0" fillId="0" borderId="0" xfId="0" applyNumberFormat="1" applyFont="1"/>
    <xf numFmtId="0" fontId="4" fillId="0" borderId="0" xfId="0" applyFont="1"/>
    <xf numFmtId="9" fontId="0" fillId="0" borderId="0" xfId="0" applyNumberFormat="1"/>
    <xf numFmtId="0" fontId="0" fillId="0" borderId="20" xfId="0" applyBorder="1"/>
    <xf numFmtId="0" fontId="0" fillId="0" borderId="1" xfId="0" applyBorder="1"/>
    <xf numFmtId="0" fontId="3" fillId="0" borderId="0" xfId="0" applyFont="1"/>
    <xf numFmtId="0" fontId="15" fillId="0" borderId="0" xfId="0" applyFont="1"/>
    <xf numFmtId="0" fontId="0" fillId="0" borderId="0" xfId="0" applyAlignment="1">
      <alignment horizontal="left" indent="3"/>
    </xf>
    <xf numFmtId="167" fontId="15" fillId="0" borderId="0" xfId="0" applyNumberFormat="1" applyFont="1"/>
    <xf numFmtId="168" fontId="0" fillId="0" borderId="0" xfId="0" applyNumberFormat="1" applyAlignment="1">
      <alignment horizontal="left"/>
    </xf>
    <xf numFmtId="0" fontId="0" fillId="0" borderId="23" xfId="0" applyBorder="1" applyAlignment="1">
      <alignment horizontal="left" indent="2"/>
    </xf>
    <xf numFmtId="0" fontId="0" fillId="0" borderId="25" xfId="0" applyBorder="1" applyAlignment="1">
      <alignment horizontal="left" indent="2"/>
    </xf>
    <xf numFmtId="0" fontId="0" fillId="0" borderId="21" xfId="0" applyBorder="1" applyAlignment="1">
      <alignment horizontal="left" indent="2"/>
    </xf>
    <xf numFmtId="0" fontId="3" fillId="0" borderId="0" xfId="0" applyFont="1" applyAlignment="1">
      <alignment horizontal="center"/>
    </xf>
    <xf numFmtId="49" fontId="0" fillId="0" borderId="0" xfId="0" applyNumberFormat="1"/>
    <xf numFmtId="0" fontId="0" fillId="0" borderId="26" xfId="0" applyBorder="1"/>
    <xf numFmtId="0" fontId="0" fillId="0" borderId="26" xfId="0" applyFill="1" applyBorder="1"/>
    <xf numFmtId="0" fontId="0" fillId="0" borderId="27" xfId="0" applyBorder="1"/>
    <xf numFmtId="0" fontId="0" fillId="0" borderId="26" xfId="0" applyBorder="1" applyAlignment="1">
      <alignment horizontal="center" vertical="center" wrapText="1"/>
    </xf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0" xfId="0" pivotButton="1"/>
    <xf numFmtId="4" fontId="0" fillId="0" borderId="31" xfId="0" applyNumberFormat="1" applyFont="1" applyBorder="1"/>
    <xf numFmtId="4" fontId="3" fillId="0" borderId="32" xfId="0" applyNumberFormat="1" applyFont="1" applyBorder="1"/>
    <xf numFmtId="9" fontId="0" fillId="0" borderId="31" xfId="1" applyFont="1" applyBorder="1"/>
    <xf numFmtId="9" fontId="3" fillId="0" borderId="32" xfId="1" applyFont="1" applyBorder="1"/>
    <xf numFmtId="0" fontId="16" fillId="4" borderId="33" xfId="0" applyFont="1" applyFill="1" applyBorder="1" applyAlignment="1">
      <alignment horizontal="center"/>
    </xf>
    <xf numFmtId="3" fontId="0" fillId="0" borderId="0" xfId="0" applyNumberFormat="1"/>
    <xf numFmtId="0" fontId="0" fillId="5" borderId="0" xfId="0" applyFill="1"/>
    <xf numFmtId="0" fontId="16" fillId="5" borderId="26" xfId="0" applyFont="1" applyFill="1" applyBorder="1" applyAlignment="1">
      <alignment horizontal="left"/>
    </xf>
    <xf numFmtId="3" fontId="18" fillId="0" borderId="26" xfId="0" applyNumberFormat="1" applyFont="1" applyBorder="1"/>
    <xf numFmtId="0" fontId="0" fillId="0" borderId="0" xfId="0" quotePrefix="1"/>
    <xf numFmtId="0" fontId="0" fillId="6" borderId="0" xfId="0" applyFill="1"/>
    <xf numFmtId="0" fontId="16" fillId="7" borderId="34" xfId="0" applyFont="1" applyFill="1" applyBorder="1"/>
    <xf numFmtId="0" fontId="16" fillId="7" borderId="0" xfId="0" applyFont="1" applyFill="1"/>
    <xf numFmtId="4" fontId="0" fillId="0" borderId="0" xfId="0" applyNumberFormat="1" applyFont="1" applyBorder="1"/>
    <xf numFmtId="0" fontId="16" fillId="7" borderId="36" xfId="0" applyFont="1" applyFill="1" applyBorder="1"/>
    <xf numFmtId="4" fontId="18" fillId="0" borderId="37" xfId="0" applyNumberFormat="1" applyFont="1" applyBorder="1"/>
    <xf numFmtId="4" fontId="18" fillId="0" borderId="38" xfId="0" applyNumberFormat="1" applyFont="1" applyBorder="1"/>
    <xf numFmtId="4" fontId="18" fillId="0" borderId="35" xfId="0" applyNumberFormat="1" applyFont="1" applyBorder="1"/>
    <xf numFmtId="0" fontId="16" fillId="7" borderId="39" xfId="0" applyFont="1" applyFill="1" applyBorder="1"/>
    <xf numFmtId="0" fontId="16" fillId="8" borderId="41" xfId="0" applyFont="1" applyFill="1" applyBorder="1" applyAlignment="1">
      <alignment horizontal="center"/>
    </xf>
    <xf numFmtId="10" fontId="20" fillId="0" borderId="42" xfId="1" applyNumberFormat="1" applyFont="1" applyBorder="1"/>
    <xf numFmtId="10" fontId="20" fillId="0" borderId="43" xfId="1" applyNumberFormat="1" applyFont="1" applyBorder="1"/>
    <xf numFmtId="10" fontId="20" fillId="0" borderId="44" xfId="1" applyNumberFormat="1" applyFont="1" applyBorder="1"/>
    <xf numFmtId="0" fontId="16" fillId="4" borderId="45" xfId="0" applyFont="1" applyFill="1" applyBorder="1"/>
    <xf numFmtId="4" fontId="21" fillId="0" borderId="46" xfId="0" applyNumberFormat="1" applyFont="1" applyBorder="1"/>
    <xf numFmtId="4" fontId="21" fillId="0" borderId="47" xfId="0" applyNumberFormat="1" applyFont="1" applyBorder="1"/>
    <xf numFmtId="4" fontId="21" fillId="0" borderId="40" xfId="0" applyNumberFormat="1" applyFont="1" applyBorder="1"/>
    <xf numFmtId="0" fontId="0" fillId="2" borderId="0" xfId="0" applyFill="1"/>
    <xf numFmtId="3" fontId="0" fillId="0" borderId="0" xfId="0" applyNumberFormat="1" applyBorder="1"/>
    <xf numFmtId="4" fontId="0" fillId="0" borderId="0" xfId="0" applyNumberFormat="1" applyBorder="1"/>
    <xf numFmtId="0" fontId="0" fillId="0" borderId="48" xfId="0" applyBorder="1"/>
    <xf numFmtId="3" fontId="0" fillId="0" borderId="48" xfId="0" applyNumberFormat="1" applyBorder="1"/>
    <xf numFmtId="0" fontId="23" fillId="0" borderId="0" xfId="0" applyFont="1" applyAlignment="1">
      <alignment horizontal="center"/>
    </xf>
    <xf numFmtId="0" fontId="23" fillId="0" borderId="0" xfId="0" applyFont="1"/>
    <xf numFmtId="0" fontId="24" fillId="0" borderId="0" xfId="0" applyFont="1"/>
    <xf numFmtId="167" fontId="24" fillId="0" borderId="0" xfId="0" applyNumberFormat="1" applyFont="1"/>
    <xf numFmtId="10" fontId="19" fillId="13" borderId="51" xfId="1" applyNumberFormat="1" applyFont="1" applyFill="1" applyBorder="1"/>
    <xf numFmtId="0" fontId="25" fillId="0" borderId="0" xfId="0" applyFont="1" applyBorder="1"/>
    <xf numFmtId="2" fontId="25" fillId="0" borderId="0" xfId="0" applyNumberFormat="1" applyFont="1" applyBorder="1"/>
    <xf numFmtId="4" fontId="25" fillId="0" borderId="0" xfId="0" applyNumberFormat="1" applyFont="1" applyBorder="1"/>
    <xf numFmtId="0" fontId="0" fillId="0" borderId="53" xfId="0" applyBorder="1"/>
    <xf numFmtId="3" fontId="0" fillId="0" borderId="53" xfId="0" applyNumberFormat="1" applyBorder="1"/>
    <xf numFmtId="4" fontId="0" fillId="0" borderId="53" xfId="0" applyNumberFormat="1" applyBorder="1"/>
    <xf numFmtId="0" fontId="19" fillId="11" borderId="52" xfId="0" applyFont="1" applyFill="1" applyBorder="1"/>
    <xf numFmtId="3" fontId="19" fillId="11" borderId="52" xfId="0" applyNumberFormat="1" applyFont="1" applyFill="1" applyBorder="1"/>
    <xf numFmtId="0" fontId="22" fillId="10" borderId="52" xfId="0" applyFont="1" applyFill="1" applyBorder="1"/>
    <xf numFmtId="3" fontId="22" fillId="10" borderId="52" xfId="0" applyNumberFormat="1" applyFont="1" applyFill="1" applyBorder="1"/>
    <xf numFmtId="0" fontId="19" fillId="15" borderId="52" xfId="0" applyFont="1" applyFill="1" applyBorder="1"/>
    <xf numFmtId="4" fontId="19" fillId="15" borderId="52" xfId="0" applyNumberFormat="1" applyFont="1" applyFill="1" applyBorder="1"/>
    <xf numFmtId="0" fontId="19" fillId="16" borderId="52" xfId="0" applyFont="1" applyFill="1" applyBorder="1"/>
    <xf numFmtId="2" fontId="19" fillId="16" borderId="52" xfId="0" applyNumberFormat="1" applyFont="1" applyFill="1" applyBorder="1"/>
    <xf numFmtId="0" fontId="19" fillId="17" borderId="0" xfId="0" applyFont="1" applyFill="1" applyBorder="1"/>
    <xf numFmtId="2" fontId="19" fillId="17" borderId="0" xfId="0" applyNumberFormat="1" applyFont="1" applyFill="1" applyBorder="1"/>
    <xf numFmtId="0" fontId="3" fillId="0" borderId="14" xfId="0" applyFont="1" applyBorder="1" applyAlignment="1">
      <alignment horizontal="right"/>
    </xf>
    <xf numFmtId="0" fontId="3" fillId="0" borderId="14" xfId="0" applyFont="1" applyBorder="1" applyAlignment="1">
      <alignment horizontal="center"/>
    </xf>
    <xf numFmtId="0" fontId="3" fillId="0" borderId="54" xfId="0" applyFont="1" applyFill="1" applyBorder="1" applyAlignment="1">
      <alignment horizontal="right"/>
    </xf>
    <xf numFmtId="3" fontId="0" fillId="0" borderId="55" xfId="0" applyNumberFormat="1" applyBorder="1"/>
    <xf numFmtId="3" fontId="0" fillId="0" borderId="56" xfId="0" applyNumberFormat="1" applyBorder="1"/>
    <xf numFmtId="3" fontId="19" fillId="11" borderId="57" xfId="0" applyNumberFormat="1" applyFont="1" applyFill="1" applyBorder="1"/>
    <xf numFmtId="3" fontId="0" fillId="0" borderId="58" xfId="0" applyNumberFormat="1" applyBorder="1"/>
    <xf numFmtId="3" fontId="22" fillId="10" borderId="57" xfId="0" applyNumberFormat="1" applyFont="1" applyFill="1" applyBorder="1"/>
    <xf numFmtId="4" fontId="0" fillId="0" borderId="58" xfId="0" applyNumberFormat="1" applyBorder="1"/>
    <xf numFmtId="4" fontId="0" fillId="0" borderId="56" xfId="0" applyNumberFormat="1" applyBorder="1"/>
    <xf numFmtId="4" fontId="19" fillId="15" borderId="57" xfId="0" applyNumberFormat="1" applyFont="1" applyFill="1" applyBorder="1"/>
    <xf numFmtId="2" fontId="25" fillId="0" borderId="56" xfId="0" applyNumberFormat="1" applyFont="1" applyBorder="1"/>
    <xf numFmtId="10" fontId="19" fillId="13" borderId="49" xfId="1" applyNumberFormat="1" applyFont="1" applyFill="1" applyBorder="1"/>
    <xf numFmtId="4" fontId="25" fillId="0" borderId="56" xfId="0" applyNumberFormat="1" applyFont="1" applyBorder="1"/>
    <xf numFmtId="2" fontId="19" fillId="16" borderId="57" xfId="0" applyNumberFormat="1" applyFont="1" applyFill="1" applyBorder="1"/>
    <xf numFmtId="2" fontId="19" fillId="17" borderId="56" xfId="0" applyNumberFormat="1" applyFont="1" applyFill="1" applyBorder="1"/>
    <xf numFmtId="0" fontId="0" fillId="0" borderId="0" xfId="0" applyFont="1" applyBorder="1"/>
    <xf numFmtId="4" fontId="0" fillId="0" borderId="56" xfId="0" applyNumberFormat="1" applyFont="1" applyBorder="1"/>
    <xf numFmtId="0" fontId="25" fillId="0" borderId="52" xfId="0" applyFont="1" applyBorder="1"/>
    <xf numFmtId="2" fontId="25" fillId="0" borderId="52" xfId="0" applyNumberFormat="1" applyFont="1" applyBorder="1"/>
    <xf numFmtId="2" fontId="25" fillId="0" borderId="57" xfId="0" applyNumberFormat="1" applyFont="1" applyBorder="1"/>
    <xf numFmtId="0" fontId="0" fillId="0" borderId="53" xfId="0" applyFont="1" applyBorder="1"/>
    <xf numFmtId="4" fontId="0" fillId="0" borderId="53" xfId="0" applyNumberFormat="1" applyFont="1" applyBorder="1"/>
    <xf numFmtId="4" fontId="0" fillId="0" borderId="60" xfId="0" applyNumberFormat="1" applyFont="1" applyBorder="1"/>
    <xf numFmtId="0" fontId="3" fillId="9" borderId="52" xfId="0" applyFont="1" applyFill="1" applyBorder="1"/>
    <xf numFmtId="4" fontId="3" fillId="9" borderId="52" xfId="0" applyNumberFormat="1" applyFont="1" applyFill="1" applyBorder="1"/>
    <xf numFmtId="4" fontId="3" fillId="9" borderId="62" xfId="0" applyNumberFormat="1" applyFont="1" applyFill="1" applyBorder="1"/>
    <xf numFmtId="0" fontId="3" fillId="0" borderId="0" xfId="0" applyFont="1" applyFill="1" applyBorder="1" applyAlignment="1">
      <alignment horizontal="right"/>
    </xf>
    <xf numFmtId="0" fontId="16" fillId="5" borderId="63" xfId="0" applyFont="1" applyFill="1" applyBorder="1"/>
    <xf numFmtId="4" fontId="0" fillId="0" borderId="64" xfId="0" applyNumberFormat="1" applyFont="1" applyBorder="1"/>
    <xf numFmtId="4" fontId="3" fillId="0" borderId="65" xfId="0" applyNumberFormat="1" applyFont="1" applyBorder="1"/>
    <xf numFmtId="0" fontId="16" fillId="5" borderId="66" xfId="0" applyFont="1" applyFill="1" applyBorder="1"/>
    <xf numFmtId="0" fontId="0" fillId="0" borderId="0" xfId="0" applyFill="1" applyBorder="1" applyAlignment="1">
      <alignment horizontal="center" vertical="center" wrapText="1"/>
    </xf>
    <xf numFmtId="0" fontId="0" fillId="0" borderId="26" xfId="0" applyFill="1" applyBorder="1" applyAlignment="1">
      <alignment horizontal="center" vertical="center" wrapText="1"/>
    </xf>
    <xf numFmtId="9" fontId="21" fillId="0" borderId="46" xfId="1" applyFont="1" applyBorder="1"/>
    <xf numFmtId="9" fontId="21" fillId="0" borderId="40" xfId="1" applyFont="1" applyBorder="1"/>
    <xf numFmtId="0" fontId="0" fillId="5" borderId="0" xfId="0" applyFill="1" applyAlignment="1">
      <alignment wrapText="1"/>
    </xf>
    <xf numFmtId="0" fontId="16" fillId="5" borderId="63" xfId="0" applyFont="1" applyFill="1" applyBorder="1" applyAlignment="1">
      <alignment wrapText="1"/>
    </xf>
    <xf numFmtId="0" fontId="16" fillId="7" borderId="34" xfId="0" applyFont="1" applyFill="1" applyBorder="1" applyAlignment="1">
      <alignment wrapText="1"/>
    </xf>
    <xf numFmtId="0" fontId="16" fillId="7" borderId="36" xfId="0" applyFont="1" applyFill="1" applyBorder="1" applyAlignment="1">
      <alignment wrapText="1"/>
    </xf>
    <xf numFmtId="0" fontId="16" fillId="5" borderId="66" xfId="0" applyFont="1" applyFill="1" applyBorder="1" applyAlignment="1">
      <alignment wrapText="1"/>
    </xf>
    <xf numFmtId="0" fontId="16" fillId="7" borderId="0" xfId="0" applyFont="1" applyFill="1" applyAlignment="1">
      <alignment wrapText="1"/>
    </xf>
    <xf numFmtId="0" fontId="16" fillId="7" borderId="39" xfId="0" applyFont="1" applyFill="1" applyBorder="1" applyAlignment="1">
      <alignment wrapText="1"/>
    </xf>
    <xf numFmtId="0" fontId="0" fillId="0" borderId="0" xfId="0" applyAlignment="1">
      <alignment wrapText="1"/>
    </xf>
    <xf numFmtId="1" fontId="21" fillId="0" borderId="46" xfId="1" applyNumberFormat="1" applyFont="1" applyBorder="1"/>
    <xf numFmtId="1" fontId="21" fillId="0" borderId="40" xfId="1" applyNumberFormat="1" applyFont="1" applyBorder="1"/>
    <xf numFmtId="0" fontId="0" fillId="0" borderId="67" xfId="0" applyFill="1" applyBorder="1" applyAlignment="1">
      <alignment horizontal="center" vertical="center" wrapText="1"/>
    </xf>
    <xf numFmtId="0" fontId="0" fillId="0" borderId="67" xfId="0" applyBorder="1"/>
    <xf numFmtId="0" fontId="0" fillId="0" borderId="16" xfId="0" applyFill="1" applyBorder="1" applyAlignment="1">
      <alignment horizontal="center" vertical="center" wrapText="1"/>
    </xf>
    <xf numFmtId="2" fontId="0" fillId="0" borderId="0" xfId="0" applyNumberFormat="1"/>
    <xf numFmtId="17" fontId="0" fillId="0" borderId="0" xfId="0" applyNumberFormat="1"/>
    <xf numFmtId="44" fontId="0" fillId="0" borderId="0" xfId="2" applyFont="1"/>
    <xf numFmtId="3" fontId="0" fillId="0" borderId="11" xfId="0" applyNumberFormat="1" applyBorder="1"/>
    <xf numFmtId="9" fontId="0" fillId="0" borderId="0" xfId="1" applyFont="1"/>
    <xf numFmtId="0" fontId="0" fillId="0" borderId="68" xfId="0" applyFill="1" applyBorder="1"/>
    <xf numFmtId="0" fontId="0" fillId="0" borderId="68" xfId="0" applyBorder="1"/>
    <xf numFmtId="0" fontId="0" fillId="0" borderId="69" xfId="0" applyBorder="1"/>
    <xf numFmtId="0" fontId="0" fillId="0" borderId="70" xfId="0" applyBorder="1"/>
    <xf numFmtId="0" fontId="26" fillId="18" borderId="71" xfId="0" applyFont="1" applyFill="1" applyBorder="1"/>
    <xf numFmtId="2" fontId="0" fillId="0" borderId="26" xfId="0" applyNumberFormat="1" applyBorder="1"/>
    <xf numFmtId="166" fontId="26" fillId="19" borderId="72" xfId="0" applyNumberFormat="1" applyFont="1" applyFill="1" applyBorder="1"/>
    <xf numFmtId="0" fontId="26" fillId="19" borderId="72" xfId="0" applyFont="1" applyFill="1" applyBorder="1"/>
    <xf numFmtId="166" fontId="26" fillId="18" borderId="72" xfId="0" applyNumberFormat="1" applyFont="1" applyFill="1" applyBorder="1"/>
    <xf numFmtId="0" fontId="26" fillId="18" borderId="72" xfId="0" applyFont="1" applyFill="1" applyBorder="1"/>
    <xf numFmtId="0" fontId="16" fillId="4" borderId="33" xfId="0" applyFont="1" applyFill="1" applyBorder="1"/>
    <xf numFmtId="0" fontId="0" fillId="0" borderId="31" xfId="0" applyNumberFormat="1" applyFont="1" applyBorder="1"/>
    <xf numFmtId="0" fontId="3" fillId="0" borderId="32" xfId="0" applyNumberFormat="1" applyFont="1" applyBorder="1"/>
    <xf numFmtId="0" fontId="0" fillId="0" borderId="0" xfId="0" applyNumberFormat="1" applyFont="1"/>
    <xf numFmtId="2" fontId="0" fillId="0" borderId="23" xfId="0" applyNumberFormat="1" applyBorder="1" applyAlignment="1">
      <alignment horizontal="left" indent="2"/>
    </xf>
    <xf numFmtId="0" fontId="0" fillId="20" borderId="73" xfId="0" applyFont="1" applyFill="1" applyBorder="1"/>
    <xf numFmtId="0" fontId="0" fillId="21" borderId="73" xfId="0" applyFont="1" applyFill="1" applyBorder="1"/>
    <xf numFmtId="166" fontId="0" fillId="21" borderId="73" xfId="0" applyNumberFormat="1" applyFont="1" applyFill="1" applyBorder="1"/>
    <xf numFmtId="166" fontId="0" fillId="20" borderId="73" xfId="0" applyNumberFormat="1" applyFont="1" applyFill="1" applyBorder="1"/>
    <xf numFmtId="3" fontId="0" fillId="0" borderId="7" xfId="0" applyNumberFormat="1" applyBorder="1" applyAlignment="1">
      <alignment horizontal="right"/>
    </xf>
    <xf numFmtId="3" fontId="0" fillId="0" borderId="8" xfId="0" applyNumberFormat="1" applyBorder="1" applyAlignment="1">
      <alignment horizontal="right"/>
    </xf>
    <xf numFmtId="3" fontId="3" fillId="0" borderId="15" xfId="0" applyNumberFormat="1" applyFont="1" applyBorder="1" applyAlignment="1">
      <alignment horizontal="right"/>
    </xf>
    <xf numFmtId="3" fontId="3" fillId="0" borderId="13" xfId="0" applyNumberFormat="1" applyFont="1" applyBorder="1" applyAlignment="1">
      <alignment horizontal="right"/>
    </xf>
    <xf numFmtId="3" fontId="0" fillId="0" borderId="17" xfId="0" applyNumberFormat="1" applyBorder="1" applyAlignment="1">
      <alignment horizontal="right"/>
    </xf>
    <xf numFmtId="3" fontId="0" fillId="0" borderId="18" xfId="0" applyNumberFormat="1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3" fillId="0" borderId="0" xfId="0" applyFont="1" applyAlignment="1">
      <alignment horizontal="center" vertical="center"/>
    </xf>
    <xf numFmtId="0" fontId="3" fillId="12" borderId="53" xfId="0" applyFont="1" applyFill="1" applyBorder="1" applyAlignment="1">
      <alignment horizontal="center" vertical="center"/>
    </xf>
    <xf numFmtId="0" fontId="3" fillId="12" borderId="52" xfId="0" applyFont="1" applyFill="1" applyBorder="1" applyAlignment="1">
      <alignment horizontal="center" vertical="center"/>
    </xf>
    <xf numFmtId="0" fontId="3" fillId="11" borderId="48" xfId="0" applyFont="1" applyFill="1" applyBorder="1" applyAlignment="1">
      <alignment horizontal="center" vertical="center"/>
    </xf>
    <xf numFmtId="0" fontId="3" fillId="11" borderId="0" xfId="0" applyFont="1" applyFill="1" applyBorder="1" applyAlignment="1">
      <alignment horizontal="center" vertical="center"/>
    </xf>
    <xf numFmtId="0" fontId="3" fillId="11" borderId="52" xfId="0" applyFont="1" applyFill="1" applyBorder="1" applyAlignment="1">
      <alignment horizontal="center" vertical="center"/>
    </xf>
    <xf numFmtId="0" fontId="3" fillId="10" borderId="53" xfId="0" applyFont="1" applyFill="1" applyBorder="1" applyAlignment="1">
      <alignment horizontal="center" vertical="center"/>
    </xf>
    <xf numFmtId="0" fontId="3" fillId="10" borderId="0" xfId="0" applyFont="1" applyFill="1" applyBorder="1" applyAlignment="1">
      <alignment horizontal="center" vertical="center"/>
    </xf>
    <xf numFmtId="0" fontId="3" fillId="10" borderId="52" xfId="0" applyFont="1" applyFill="1" applyBorder="1" applyAlignment="1">
      <alignment horizontal="center" vertical="center"/>
    </xf>
    <xf numFmtId="0" fontId="3" fillId="15" borderId="53" xfId="0" applyFont="1" applyFill="1" applyBorder="1" applyAlignment="1">
      <alignment horizontal="center" vertical="center"/>
    </xf>
    <xf numFmtId="0" fontId="3" fillId="15" borderId="0" xfId="0" applyFont="1" applyFill="1" applyBorder="1" applyAlignment="1">
      <alignment horizontal="center" vertical="center"/>
    </xf>
    <xf numFmtId="0" fontId="3" fillId="15" borderId="52" xfId="0" applyFont="1" applyFill="1" applyBorder="1" applyAlignment="1">
      <alignment horizontal="center" vertical="center"/>
    </xf>
    <xf numFmtId="0" fontId="3" fillId="12" borderId="0" xfId="0" applyFont="1" applyFill="1" applyBorder="1" applyAlignment="1">
      <alignment horizontal="center" vertical="center"/>
    </xf>
    <xf numFmtId="0" fontId="19" fillId="13" borderId="50" xfId="0" applyFont="1" applyFill="1" applyBorder="1" applyAlignment="1">
      <alignment horizontal="center" vertical="center"/>
    </xf>
    <xf numFmtId="0" fontId="19" fillId="13" borderId="51" xfId="0" applyFont="1" applyFill="1" applyBorder="1" applyAlignment="1">
      <alignment horizontal="center" vertical="center"/>
    </xf>
    <xf numFmtId="0" fontId="3" fillId="14" borderId="53" xfId="0" applyFont="1" applyFill="1" applyBorder="1" applyAlignment="1">
      <alignment horizontal="center" vertical="center" wrapText="1"/>
    </xf>
    <xf numFmtId="0" fontId="3" fillId="14" borderId="52" xfId="0" applyFont="1" applyFill="1" applyBorder="1" applyAlignment="1">
      <alignment horizontal="center" vertical="center" wrapText="1"/>
    </xf>
    <xf numFmtId="0" fontId="0" fillId="16" borderId="53" xfId="0" applyFill="1" applyBorder="1" applyAlignment="1">
      <alignment horizontal="center" vertical="center"/>
    </xf>
    <xf numFmtId="0" fontId="0" fillId="16" borderId="52" xfId="0" applyFill="1" applyBorder="1" applyAlignment="1">
      <alignment horizontal="center" vertical="center"/>
    </xf>
    <xf numFmtId="0" fontId="0" fillId="17" borderId="0" xfId="0" applyFill="1" applyBorder="1" applyAlignment="1">
      <alignment horizontal="center" vertical="center"/>
    </xf>
    <xf numFmtId="0" fontId="3" fillId="9" borderId="59" xfId="0" applyFont="1" applyFill="1" applyBorder="1" applyAlignment="1">
      <alignment horizontal="center" vertical="center" wrapText="1"/>
    </xf>
    <xf numFmtId="0" fontId="3" fillId="9" borderId="61" xfId="0" applyFont="1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22" xfId="0" applyBorder="1" applyAlignment="1">
      <alignment horizontal="left" indent="1"/>
    </xf>
    <xf numFmtId="0" fontId="0" fillId="0" borderId="0" xfId="0" applyBorder="1" applyAlignment="1">
      <alignment horizontal="left" indent="1"/>
    </xf>
    <xf numFmtId="0" fontId="23" fillId="0" borderId="1" xfId="0" applyFont="1" applyBorder="1" applyAlignment="1">
      <alignment horizontal="center"/>
    </xf>
    <xf numFmtId="0" fontId="0" fillId="0" borderId="19" xfId="0" applyBorder="1" applyAlignment="1">
      <alignment horizontal="left" indent="1"/>
    </xf>
    <xf numFmtId="0" fontId="0" fillId="0" borderId="20" xfId="0" applyBorder="1" applyAlignment="1">
      <alignment horizontal="left" indent="1"/>
    </xf>
    <xf numFmtId="0" fontId="0" fillId="0" borderId="24" xfId="0" applyBorder="1" applyAlignment="1">
      <alignment horizontal="left" indent="1"/>
    </xf>
    <xf numFmtId="0" fontId="0" fillId="0" borderId="1" xfId="0" applyBorder="1" applyAlignment="1">
      <alignment horizontal="left" indent="1"/>
    </xf>
    <xf numFmtId="0" fontId="15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</cellXfs>
  <cellStyles count="3">
    <cellStyle name="Moneda" xfId="2" builtinId="4"/>
    <cellStyle name="Normal" xfId="0" builtinId="0"/>
    <cellStyle name="Porcentaje" xfId="1" builtinId="5"/>
  </cellStyles>
  <dxfs count="1651"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numFmt numFmtId="3" formatCode="#,##0"/>
    </dxf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  <dxf>
      <numFmt numFmtId="4" formatCode="#,##0.00"/>
    </dxf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  <dxf>
      <numFmt numFmtId="4" formatCode="#,##0.0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wrapText="1"/>
    </dxf>
    <dxf>
      <alignment wrapText="1"/>
    </dxf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  <dxf>
      <numFmt numFmtId="4" formatCode="#,##0.00"/>
    </dxf>
    <dxf>
      <alignment wrapText="1"/>
    </dxf>
    <dxf>
      <alignment wrapText="1"/>
    </dxf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  <dxf>
      <numFmt numFmtId="4" formatCode="#,##0.00"/>
    </dxf>
    <dxf>
      <numFmt numFmtId="3" formatCode="#,##0"/>
    </dxf>
    <dxf>
      <numFmt numFmtId="0" formatCode="General"/>
    </dxf>
    <dxf>
      <numFmt numFmtId="0" formatCode="General"/>
    </dxf>
    <dxf>
      <numFmt numFmtId="25" formatCode="h:mm"/>
    </dxf>
    <dxf>
      <numFmt numFmtId="25" formatCode="h:mm"/>
    </dxf>
    <dxf>
      <numFmt numFmtId="164" formatCode="d\-m\-yyyy;@"/>
    </dxf>
    <dxf>
      <numFmt numFmtId="164" formatCode="d\-m\-yyyy;@"/>
    </dxf>
    <dxf>
      <alignment horizontal="left" vertical="bottom" textRotation="0" wrapText="0" indent="0" justifyLastLine="0" shrinkToFit="0"/>
    </dxf>
    <dxf>
      <numFmt numFmtId="3" formatCode="#,##0"/>
    </dxf>
    <dxf>
      <numFmt numFmtId="3" formatCode="#,##0"/>
    </dxf>
    <dxf>
      <alignment wrapText="1"/>
    </dxf>
    <dxf>
      <alignment wrapText="1"/>
    </dxf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  <dxf>
      <numFmt numFmtId="4" formatCode="#,##0.00"/>
    </dxf>
    <dxf>
      <alignment wrapText="1"/>
    </dxf>
    <dxf>
      <alignment wrapText="1"/>
    </dxf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  <dxf>
      <numFmt numFmtId="4" formatCode="#,##0.00"/>
    </dxf>
    <dxf>
      <alignment wrapText="1"/>
    </dxf>
    <dxf>
      <alignment wrapText="1"/>
    </dxf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  <dxf>
      <numFmt numFmtId="4" formatCode="#,##0.00"/>
    </dxf>
    <dxf>
      <numFmt numFmtId="3" formatCode="#,##0"/>
    </dxf>
    <dxf>
      <numFmt numFmtId="3" formatCode="#,##0"/>
    </dxf>
    <dxf>
      <alignment wrapText="1"/>
    </dxf>
    <dxf>
      <alignment wrapText="1"/>
    </dxf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  <dxf>
      <numFmt numFmtId="4" formatCode="#,##0.00"/>
    </dxf>
    <dxf>
      <numFmt numFmtId="164" formatCode="d\-m\-yyyy;@"/>
    </dxf>
    <dxf>
      <numFmt numFmtId="164" formatCode="d\-m\-yyyy;@"/>
    </dxf>
    <dxf>
      <numFmt numFmtId="164" formatCode="d\-m\-yyyy;@"/>
    </dxf>
    <dxf>
      <numFmt numFmtId="0" formatCode="General"/>
    </dxf>
    <dxf>
      <numFmt numFmtId="0" formatCode="General"/>
    </dxf>
    <dxf>
      <numFmt numFmtId="0" formatCode="General"/>
    </dxf>
    <dxf>
      <numFmt numFmtId="166" formatCode="00000"/>
    </dxf>
    <dxf>
      <numFmt numFmtId="25" formatCode="h:mm"/>
    </dxf>
    <dxf>
      <numFmt numFmtId="25" formatCode="h:mm"/>
    </dxf>
    <dxf>
      <numFmt numFmtId="164" formatCode="d\-m\-yyyy;@"/>
    </dxf>
    <dxf>
      <numFmt numFmtId="164" formatCode="d\-m\-yyyy;@"/>
    </dxf>
    <dxf>
      <numFmt numFmtId="164" formatCode="d\-m\-yyyy;@"/>
    </dxf>
    <dxf>
      <numFmt numFmtId="164" formatCode="d\-m\-yyyy;@"/>
    </dxf>
    <dxf>
      <alignment horizontal="left" vertical="bottom" textRotation="0" wrapText="0" indent="0" justifyLastLine="0" shrinkToFit="0"/>
    </dxf>
  </dxfs>
  <tableStyles count="0" defaultTableStyle="TableStyleMedium9" defaultPivotStyle="PivotStyleMedium7"/>
  <colors>
    <mruColors>
      <color rgb="FFAE2E57"/>
      <color rgb="FFFF2600"/>
      <color rgb="FFFF6166"/>
      <color rgb="FFFFB8B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2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1.xml"/><Relationship Id="rId27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[20250524_Comptabilitat copia.xlsx]Cuadro de mando 2023!Tabla dinámica4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'Cuadro de mando 2023'!$B$19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06C-4F42-9CBE-94B49545F7A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06C-4F42-9CBE-94B49545F7A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06C-4F42-9CBE-94B49545F7A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F06C-4F42-9CBE-94B49545F7A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F06C-4F42-9CBE-94B49545F7A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F06C-4F42-9CBE-94B49545F7A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F06C-4F42-9CBE-94B49545F7A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F06C-4F42-9CBE-94B49545F7A1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F06C-4F42-9CBE-94B49545F7A1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'Cuadro de mando 2023'!$A$20:$A$29</c:f>
              <c:strCache>
                <c:ptCount val="9"/>
                <c:pt idx="0">
                  <c:v>AIGUA</c:v>
                </c:pt>
                <c:pt idx="1">
                  <c:v>ASSEGURANÇA</c:v>
                </c:pt>
                <c:pt idx="2">
                  <c:v>CONSUMIBLES</c:v>
                </c:pt>
                <c:pt idx="3">
                  <c:v>EXTERNALITZACIÓ NETEJA</c:v>
                </c:pt>
                <c:pt idx="4">
                  <c:v>GESTORÍA</c:v>
                </c:pt>
                <c:pt idx="5">
                  <c:v>LLOGUER</c:v>
                </c:pt>
                <c:pt idx="6">
                  <c:v>LLUM</c:v>
                </c:pt>
                <c:pt idx="7">
                  <c:v>PÀGINA WEB</c:v>
                </c:pt>
                <c:pt idx="8">
                  <c:v>TELÈFON</c:v>
                </c:pt>
              </c:strCache>
            </c:strRef>
          </c:cat>
          <c:val>
            <c:numRef>
              <c:f>'Cuadro de mando 2023'!$B$20:$B$29</c:f>
              <c:numCache>
                <c:formatCode>#,##0.00</c:formatCode>
                <c:ptCount val="9"/>
                <c:pt idx="0">
                  <c:v>358.68960000000004</c:v>
                </c:pt>
                <c:pt idx="1">
                  <c:v>187.64</c:v>
                </c:pt>
                <c:pt idx="2">
                  <c:v>2549.1200000000003</c:v>
                </c:pt>
                <c:pt idx="3">
                  <c:v>2910</c:v>
                </c:pt>
                <c:pt idx="4">
                  <c:v>605</c:v>
                </c:pt>
                <c:pt idx="5">
                  <c:v>6696</c:v>
                </c:pt>
                <c:pt idx="6">
                  <c:v>2171.5254999999997</c:v>
                </c:pt>
                <c:pt idx="7">
                  <c:v>626.78</c:v>
                </c:pt>
                <c:pt idx="8">
                  <c:v>772.19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A9A6-E34E-AE62-125943FD142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BAD-7542-86FF-0607AAF82F6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BAD-7542-86FF-0607AAF82F6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BAD-7542-86FF-0607AAF82F6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0BAD-7542-86FF-0607AAF82F6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0BAD-7542-86FF-0607AAF82F6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0BAD-7542-86FF-0607AAF82F6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0BAD-7542-86FF-0607AAF82F62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'Cuadro de mando 2022'!$A$20:$A$26</c:f>
              <c:strCache>
                <c:ptCount val="7"/>
                <c:pt idx="0">
                  <c:v>ASSEGURANÇA</c:v>
                </c:pt>
                <c:pt idx="1">
                  <c:v>AUTÒNOM</c:v>
                </c:pt>
                <c:pt idx="2">
                  <c:v>CONSUMIBLES</c:v>
                </c:pt>
                <c:pt idx="3">
                  <c:v>EXTERNALITZACIÓ NETEJA</c:v>
                </c:pt>
                <c:pt idx="4">
                  <c:v>GESTORÍA</c:v>
                </c:pt>
                <c:pt idx="5">
                  <c:v>LLOGUER</c:v>
                </c:pt>
                <c:pt idx="6">
                  <c:v>LLUM</c:v>
                </c:pt>
              </c:strCache>
            </c:strRef>
          </c:cat>
          <c:val>
            <c:numRef>
              <c:f>'Cuadro de mando 2022'!$B$20:$B$26</c:f>
              <c:numCache>
                <c:formatCode>#,##0.00</c:formatCode>
                <c:ptCount val="7"/>
                <c:pt idx="0">
                  <c:v>342.58000000000004</c:v>
                </c:pt>
                <c:pt idx="1">
                  <c:v>1067.6400000000001</c:v>
                </c:pt>
                <c:pt idx="2">
                  <c:v>1349.28</c:v>
                </c:pt>
                <c:pt idx="3">
                  <c:v>1190</c:v>
                </c:pt>
                <c:pt idx="4">
                  <c:v>90</c:v>
                </c:pt>
                <c:pt idx="5">
                  <c:v>5108.12</c:v>
                </c:pt>
                <c:pt idx="6">
                  <c:v>1355.26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0BAD-7542-86FF-0607AAF82F62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810-994B-B6D3-B40CE299792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810-994B-B6D3-B40CE299792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810-994B-B6D3-B40CE299792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7810-994B-B6D3-B40CE299792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7810-994B-B6D3-B40CE299792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7810-994B-B6D3-B40CE299792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7810-994B-B6D3-B40CE299792C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'Cuadro de mando 2021'!$A$20:$A$26</c:f>
              <c:strCache>
                <c:ptCount val="7"/>
                <c:pt idx="0">
                  <c:v>AIGUA</c:v>
                </c:pt>
                <c:pt idx="1">
                  <c:v>ASSEGURANÇA</c:v>
                </c:pt>
                <c:pt idx="2">
                  <c:v>AUTÒNOM</c:v>
                </c:pt>
                <c:pt idx="3">
                  <c:v>CONSUMIBLES</c:v>
                </c:pt>
                <c:pt idx="4">
                  <c:v>EXTERNALITZACIÓ NETEJA</c:v>
                </c:pt>
                <c:pt idx="5">
                  <c:v>GESTORÍA</c:v>
                </c:pt>
                <c:pt idx="6">
                  <c:v>LLOGUER</c:v>
                </c:pt>
              </c:strCache>
            </c:strRef>
          </c:cat>
          <c:val>
            <c:numRef>
              <c:f>'Cuadro de mando 2021'!$B$20:$B$26</c:f>
              <c:numCache>
                <c:formatCode>#,##0.00</c:formatCode>
                <c:ptCount val="7"/>
                <c:pt idx="0">
                  <c:v>28.45</c:v>
                </c:pt>
                <c:pt idx="1">
                  <c:v>382.66</c:v>
                </c:pt>
                <c:pt idx="2">
                  <c:v>1030.44</c:v>
                </c:pt>
                <c:pt idx="3">
                  <c:v>374.95</c:v>
                </c:pt>
                <c:pt idx="4">
                  <c:v>270</c:v>
                </c:pt>
                <c:pt idx="5">
                  <c:v>360</c:v>
                </c:pt>
                <c:pt idx="6">
                  <c:v>2448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7810-994B-B6D3-B40CE299792C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E30-C243-9B0C-024E329B732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E30-C243-9B0C-024E329B732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E30-C243-9B0C-024E329B732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E30-C243-9B0C-024E329B732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E30-C243-9B0C-024E329B732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9E30-C243-9B0C-024E329B732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9E30-C243-9B0C-024E329B732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9E30-C243-9B0C-024E329B732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9E30-C243-9B0C-024E329B732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9E30-C243-9B0C-024E329B732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9E30-C243-9B0C-024E329B7322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'Cuadro de mando 2020'!$A$20:$A$30</c:f>
              <c:strCache>
                <c:ptCount val="11"/>
                <c:pt idx="0">
                  <c:v>AIGUA</c:v>
                </c:pt>
                <c:pt idx="1">
                  <c:v>ASSEGURANÇA</c:v>
                </c:pt>
                <c:pt idx="2">
                  <c:v>AUTÒNOM</c:v>
                </c:pt>
                <c:pt idx="3">
                  <c:v>CONSUMIBLES</c:v>
                </c:pt>
                <c:pt idx="4">
                  <c:v>EXTERNALITZACIÓ NETEJA</c:v>
                </c:pt>
                <c:pt idx="5">
                  <c:v>GESTORÍA</c:v>
                </c:pt>
                <c:pt idx="6">
                  <c:v>LLOGUER</c:v>
                </c:pt>
                <c:pt idx="7">
                  <c:v>LLUM</c:v>
                </c:pt>
                <c:pt idx="8">
                  <c:v>MAQUINARIA</c:v>
                </c:pt>
                <c:pt idx="9">
                  <c:v>PÀGINA WEB</c:v>
                </c:pt>
                <c:pt idx="10">
                  <c:v>TELÈFON</c:v>
                </c:pt>
              </c:strCache>
            </c:strRef>
          </c:cat>
          <c:val>
            <c:numRef>
              <c:f>'Cuadro de mando 2020'!$B$20:$B$30</c:f>
              <c:numCache>
                <c:formatCode>#,##0.00</c:formatCode>
                <c:ptCount val="11"/>
                <c:pt idx="0">
                  <c:v>162.01</c:v>
                </c:pt>
                <c:pt idx="1">
                  <c:v>362.22</c:v>
                </c:pt>
                <c:pt idx="2">
                  <c:v>317.06</c:v>
                </c:pt>
                <c:pt idx="3">
                  <c:v>583.17999999999995</c:v>
                </c:pt>
                <c:pt idx="4">
                  <c:v>445</c:v>
                </c:pt>
                <c:pt idx="5">
                  <c:v>360</c:v>
                </c:pt>
                <c:pt idx="6">
                  <c:v>4294</c:v>
                </c:pt>
                <c:pt idx="7">
                  <c:v>508.42</c:v>
                </c:pt>
                <c:pt idx="8">
                  <c:v>80</c:v>
                </c:pt>
                <c:pt idx="9">
                  <c:v>749</c:v>
                </c:pt>
                <c:pt idx="10">
                  <c:v>593.34999999999991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9E30-C243-9B0C-024E329B7322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723900</xdr:colOff>
      <xdr:row>1</xdr:row>
      <xdr:rowOff>177800</xdr:rowOff>
    </xdr:from>
    <xdr:to>
      <xdr:col>14</xdr:col>
      <xdr:colOff>203200</xdr:colOff>
      <xdr:row>7</xdr:row>
      <xdr:rowOff>63500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10744200" y="381000"/>
          <a:ext cx="1955800" cy="1104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100"/>
            <a:t>Les inversions de capital s'incluir</a:t>
          </a:r>
          <a:r>
            <a:rPr lang="es-ES" sz="1100"/>
            <a:t>àn al</a:t>
          </a:r>
          <a:r>
            <a:rPr lang="es-ES" sz="1100" baseline="0"/>
            <a:t> llibre de despeses de la següent manera:</a:t>
          </a:r>
        </a:p>
        <a:p>
          <a:r>
            <a:rPr lang="es-ES" sz="1100" baseline="0"/>
            <a:t>- COMPRA: import positiu</a:t>
          </a:r>
        </a:p>
        <a:p>
          <a:r>
            <a:rPr lang="es-ES" sz="1100" baseline="0"/>
            <a:t>- VENDA: import negatiu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279400</xdr:colOff>
      <xdr:row>24</xdr:row>
      <xdr:rowOff>171450</xdr:rowOff>
    </xdr:from>
    <xdr:to>
      <xdr:col>10</xdr:col>
      <xdr:colOff>419100</xdr:colOff>
      <xdr:row>38</xdr:row>
      <xdr:rowOff>120650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88B3007-762D-B945-86B2-E40C072DEC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279400</xdr:colOff>
      <xdr:row>24</xdr:row>
      <xdr:rowOff>171450</xdr:rowOff>
    </xdr:from>
    <xdr:to>
      <xdr:col>10</xdr:col>
      <xdr:colOff>419100</xdr:colOff>
      <xdr:row>38</xdr:row>
      <xdr:rowOff>120650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279400</xdr:colOff>
      <xdr:row>24</xdr:row>
      <xdr:rowOff>171450</xdr:rowOff>
    </xdr:from>
    <xdr:to>
      <xdr:col>10</xdr:col>
      <xdr:colOff>419100</xdr:colOff>
      <xdr:row>38</xdr:row>
      <xdr:rowOff>120650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127000</xdr:colOff>
      <xdr:row>24</xdr:row>
      <xdr:rowOff>107950</xdr:rowOff>
    </xdr:from>
    <xdr:to>
      <xdr:col>9</xdr:col>
      <xdr:colOff>304800</xdr:colOff>
      <xdr:row>38</xdr:row>
      <xdr:rowOff>57150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419100</xdr:colOff>
      <xdr:row>0</xdr:row>
      <xdr:rowOff>1</xdr:rowOff>
    </xdr:from>
    <xdr:to>
      <xdr:col>6</xdr:col>
      <xdr:colOff>800100</xdr:colOff>
      <xdr:row>4</xdr:row>
      <xdr:rowOff>116418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3008"/>
        <a:stretch/>
      </xdr:blipFill>
      <xdr:spPr>
        <a:xfrm>
          <a:off x="4631267" y="1"/>
          <a:ext cx="1206500" cy="9207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419100</xdr:colOff>
      <xdr:row>0</xdr:row>
      <xdr:rowOff>1</xdr:rowOff>
    </xdr:from>
    <xdr:to>
      <xdr:col>6</xdr:col>
      <xdr:colOff>800100</xdr:colOff>
      <xdr:row>4</xdr:row>
      <xdr:rowOff>52918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3008"/>
        <a:stretch/>
      </xdr:blipFill>
      <xdr:spPr>
        <a:xfrm>
          <a:off x="4635500" y="1"/>
          <a:ext cx="1206500" cy="92921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419100</xdr:colOff>
      <xdr:row>0</xdr:row>
      <xdr:rowOff>1</xdr:rowOff>
    </xdr:from>
    <xdr:to>
      <xdr:col>6</xdr:col>
      <xdr:colOff>800100</xdr:colOff>
      <xdr:row>4</xdr:row>
      <xdr:rowOff>52918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C86B024-58AC-084F-9641-C3F612C197E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3008"/>
        <a:stretch/>
      </xdr:blipFill>
      <xdr:spPr>
        <a:xfrm>
          <a:off x="4635500" y="1"/>
          <a:ext cx="1206500" cy="929217"/>
        </a:xfrm>
        <a:prstGeom prst="rect">
          <a:avLst/>
        </a:prstGeom>
      </xdr:spPr>
    </xdr:pic>
    <xdr:clientData/>
  </xdr:twoCellAnchor>
  <xdr:twoCellAnchor editAs="oneCell">
    <xdr:from>
      <xdr:col>3</xdr:col>
      <xdr:colOff>656167</xdr:colOff>
      <xdr:row>42</xdr:row>
      <xdr:rowOff>190500</xdr:rowOff>
    </xdr:from>
    <xdr:to>
      <xdr:col>6</xdr:col>
      <xdr:colOff>127000</xdr:colOff>
      <xdr:row>45</xdr:row>
      <xdr:rowOff>116416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5963E7A-0079-314E-AC1B-80526A27DFA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099" b="30579"/>
        <a:stretch/>
      </xdr:blipFill>
      <xdr:spPr bwMode="auto">
        <a:xfrm>
          <a:off x="3217334" y="8784167"/>
          <a:ext cx="1947333" cy="5291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 de Microsoft Office" refreshedDate="44949.878872800924" createdVersion="4" refreshedVersion="4" minRefreshableVersion="3" recordCount="509" xr:uid="{00000000-000A-0000-FFFF-FFFF03000000}">
  <cacheSource type="worksheet">
    <worksheetSource name="Tabla1[[ANY]:[OBSERVACIONS]]"/>
  </cacheSource>
  <cacheFields count="25">
    <cacheField name="ANY" numFmtId="0">
      <sharedItems containsSemiMixedTypes="0" containsString="0" containsNumber="1" containsInteger="1" minValue="2020" maxValue="2023" count="4">
        <n v="2020"/>
        <n v="2021"/>
        <n v="2022"/>
        <n v="2023"/>
      </sharedItems>
    </cacheField>
    <cacheField name="MES" numFmtId="0">
      <sharedItems count="12">
        <s v="GENER"/>
        <s v="FEBRER"/>
        <s v="MARÇ"/>
        <s v="ABRIL"/>
        <s v="MAIG"/>
        <s v="JUNY"/>
        <s v="JULIOL"/>
        <s v="AGOST"/>
        <s v="SETEMBRE"/>
        <s v="OCTUBRE"/>
        <s v="NOVEMBRE"/>
        <s v="DESEMBRE"/>
      </sharedItems>
    </cacheField>
    <cacheField name="DATA" numFmtId="164">
      <sharedItems containsSemiMixedTypes="0" containsNonDate="0" containsDate="1" containsString="0" minDate="2020-01-01T00:00:00" maxDate="2024-01-01T00:00:00"/>
    </cacheField>
    <cacheField name="DIA" numFmtId="164">
      <sharedItems/>
    </cacheField>
    <cacheField name="FESTIU" numFmtId="164">
      <sharedItems/>
    </cacheField>
    <cacheField name="ESPECIAL" numFmtId="164">
      <sharedItems/>
    </cacheField>
    <cacheField name="HORA ENTRADA" numFmtId="20">
      <sharedItems containsNonDate="0" containsDate="1" containsString="0" containsBlank="1" minDate="1899-12-30T09:30:00" maxDate="1899-12-30T21:30:00"/>
    </cacheField>
    <cacheField name="HORA SORTIDA" numFmtId="20">
      <sharedItems containsNonDate="0" containsDate="1" containsString="0" containsBlank="1" minDate="1899-12-30T00:00:00" maxDate="1899-12-30T23:00:00"/>
    </cacheField>
    <cacheField name="HORARI" numFmtId="0">
      <sharedItems count="8">
        <s v="DINAR"/>
        <s v="TARDA"/>
        <s v="NIT"/>
        <s v="MATI"/>
        <s v="TARDA+NIT"/>
        <s v="DIA SENCER"/>
        <s v="SOPAR"/>
        <s v="ESPECIAL"/>
      </sharedItems>
    </cacheField>
    <cacheField name="TORNS" numFmtId="0">
      <sharedItems containsString="0" containsBlank="1" containsNumber="1" containsInteger="1" minValue="1" maxValue="3"/>
    </cacheField>
    <cacheField name="NOM CLIENT" numFmtId="0">
      <sharedItems containsBlank="1" count="462">
        <s v="SOCORRO"/>
        <s v="OSCAR"/>
        <s v="ESTHER TEIXIDOR"/>
        <s v="NURIA"/>
        <s v="SARA"/>
        <s v="SARA ESPINOSA"/>
        <s v="RAQUEL, FILLA AINOA"/>
        <s v="MIREIA"/>
        <s v="MADRE DAVID"/>
        <m/>
        <s v="NURIA GARCIA"/>
        <s v="ANA VALLS"/>
        <s v="JONNY"/>
        <s v="SANDRA BENITO"/>
        <s v="PURIFICACION MARTINEZ"/>
        <s v="EVA YERA"/>
        <s v="CARLOS"/>
        <s v="MARC PALACIOS"/>
        <s v="LOURDES MIRIAM"/>
        <s v="SILVIA MARTIN"/>
        <s v="MONTSE ALCARRAZ"/>
        <s v="MERITXELL MORRAL"/>
        <s v="VIRGILIA LOPEZ"/>
        <s v="VANESA FERNANDEZ"/>
        <s v="DESIRE"/>
        <s v="CHUS SABATES"/>
        <s v="CRISTINA MARMELO"/>
        <s v="VERONICA NEIRA"/>
        <s v="LOURDES VIÑALLONGA"/>
        <s v="RUBEN CARRASCO"/>
        <s v="MAITE TORRES CARNAVAL"/>
        <s v="NURIA BAYONA"/>
        <s v="GLORIA PACHECO"/>
        <s v="RAFI TEBAR MARTINEZ"/>
        <s v="RAMON MORA/ ESTEBAN HURTADO"/>
        <s v="MARI CARMEN LOPEZ"/>
        <s v="SORAYA ALVAREZ GARCIA"/>
        <s v="ANDREA TORRES"/>
        <s v="AIDA VALERO CARDADOR"/>
        <s v="CINTIA MARTINEZ"/>
        <s v="ANA DELGADO"/>
        <s v="CRISTINA PINILLA"/>
        <s v="MARIA JOSE JENADO"/>
        <s v="JESSICA CASCALES"/>
        <s v="MIGUEL ANGEL TORRECILLAS"/>
        <s v="JOSE MIRALLES"/>
        <s v="MONTSE TRAGINER/ JANA MONTCLUS"/>
        <s v="LAIA TEIXIDOR"/>
        <s v="MELANIA MACIAS"/>
        <s v="MARI RUZ"/>
        <s v="PEPI DIAZ"/>
        <s v="VIRGINIA RODRIGUEZ"/>
        <s v="JULIA PEREZ"/>
        <s v="ELISABETH CARRILLO"/>
        <s v="ELI MARTIN MOTA"/>
        <s v="VELI DIAZ"/>
        <s v="MELANY LOZANO"/>
        <s v="MARTA CANADELL"/>
        <s v="MARIA GARDUÑO"/>
        <s v="NIEVES LOPEZ"/>
        <s v="AJUDA ESTATAL COVID19 ABRIL"/>
        <s v="EVA MUÑOZ"/>
        <s v="ABERTO SERRANO"/>
        <s v="JESSICA RUZ"/>
        <s v="SONIA RAFA CARRILLO"/>
        <s v="MAITE QUINTANILLA"/>
        <s v="SUSANA BLASCO LEBRERO"/>
        <s v="EVA INIESTA GARCIA"/>
        <s v="AJUDA ESTATAL COVID19 MARÇ"/>
        <s v="OLGA SALAS"/>
        <s v="JONATHAN RODRIGUEZ"/>
        <s v="JORDI SALAS"/>
        <s v="ELENA DUARTE"/>
        <s v="AJUDA ESTATAL COVID19 MAIG"/>
        <s v="PILAR HIERRA"/>
        <s v="URSULA ZUMBA"/>
        <s v="MARTA MONTEIS"/>
        <s v="MONTSERRAT TRAGINER"/>
        <s v="MANUELA LOMAS"/>
        <s v="ORIOL GOMEZ"/>
        <s v="AJUDA ESTATAL COVID19 JUNY"/>
        <s v="AJUDA GENERALITAT COVID19 "/>
        <s v="MERCHE"/>
        <s v="MIRIAM ALVAREZ"/>
        <s v="MARTA SANTOS"/>
        <s v="LIDIA MOLI"/>
        <s v="ROSA GALLEGO"/>
        <s v="CARLES VIÑALLONGA"/>
        <s v="PEPUS MIRALLES"/>
        <s v="VANESA PARRALO"/>
        <s v="MARCEL TORNE"/>
        <s v="EDGAR MARTINEZ"/>
        <s v="ANGELA MIRO"/>
        <s v="INGRID VALDERRAMA MORENO"/>
        <s v="EVELYN"/>
        <s v="MARIA ANGELES XABE"/>
        <s v="JOSE AGUILAR"/>
        <s v="MARINA BENITEZ"/>
        <s v="KARIMA"/>
        <s v="JUDITH ARAUJO"/>
        <s v="ERIC ROMERO"/>
        <s v="MARIA CASTELLANO"/>
        <s v="NURIA MATEO"/>
        <s v="NEREA"/>
        <s v="HELENA PALMA"/>
        <s v="JOSE LUIS DE DIEGO"/>
        <s v="VENECIA SEIJAS"/>
        <s v="LLUISA DURAN"/>
        <s v="MARIA JOSE DOMINGUEZ GONZALEZ"/>
        <s v="CLARA TINTO MARTINEZ"/>
        <s v="AJUNTAMENT DE MONTORNES"/>
        <s v="ROCIO JORGE"/>
        <s v="ANA VEGA"/>
        <s v="NATALIA LOZANO"/>
        <s v="CLARA CUADRADO"/>
        <s v="ELISABET ESPADA"/>
        <s v="LIDIA COBO"/>
        <s v="MARIA BELLO"/>
        <s v="AJUDA ESTATAL COVID19 OCTUBRE"/>
        <s v="CRISTINA"/>
        <s v="CARMEN LUQUE"/>
        <s v="SONIA FERNANDEZ"/>
        <s v="AJUDA ESTATAL COVID19 NOVEMBRE"/>
        <s v="AJUDA ESTATAL COVID19 AUTONOMS"/>
        <s v="AJUDA ESTATAL COVID19 DESEMBRE"/>
        <s v="AJUDA ESTATAL COVID19 GENER"/>
        <s v="AJUDA ESTATAL COVID19 FEBRER"/>
        <s v="ROSI"/>
        <s v="AJUDA AJUNTAMENT"/>
        <s v="MARI RAFA CORTES"/>
        <s v="BLAS RETUERCE"/>
        <s v="HAYAT"/>
        <s v="AMIM"/>
        <s v="ESTANIS SERRANO"/>
        <s v="JAVIER FUENTES"/>
        <s v="KAREN CORTES RUZ"/>
        <s v="GRADUACIÓ CAN PARERA"/>
        <s v="MARISA ALDARA"/>
        <s v="MARIANO MARTINEZ"/>
        <s v="DEVOLUCIÓ TRIBUTARIA"/>
        <s v="AINOA HUERTA"/>
        <s v="GRADUACIÓ SANT SADURNI"/>
        <s v="DOLORS AGUT"/>
        <s v="IDOIA MUÑOZ RODRIGUEZ"/>
        <s v="MELANY CANALES"/>
        <s v="MARTA NUÑEZ"/>
        <s v="ISAAC GONZALEZ"/>
        <s v="ALIJA KAZAR"/>
        <s v="MIRALIS"/>
        <s v="ZAHRA SLAIMANI"/>
        <s v="YOHE CASTELLANO"/>
        <s v="SONIA ESPINOSA"/>
        <s v="MIREIA MONTEIS"/>
        <s v="SONIA PEIXATERIA"/>
        <s v="RAUL LOPEZ"/>
        <s v="HADIJA"/>
        <s v="GLORIA PADILLA"/>
        <s v="SAUL DOCTOR"/>
        <s v="ALEX ALCARRIA"/>
        <s v="VANESA DIAZ"/>
        <s v="MONICA LOPEZ"/>
        <s v="CARMEN SANZ"/>
        <s v="ALBERTO VIERA"/>
        <s v="PATRICIA MACÍAS"/>
        <s v="RAFAEL SOLDADO"/>
        <s v="SUSANA ARRUFAT (JENNIFER 28-10)"/>
        <s v="RUTH PAJUELO"/>
        <s v="NURIA VENEGAS"/>
        <s v="PILI CARRASCO MARTIN"/>
        <s v="PAULA VALLS"/>
        <s v="ELI 2#11"/>
        <s v="JAVIER GARCIA DEL RIO"/>
        <s v="VERONICA RODRIGUEZ"/>
        <s v="RUBEN GIMENO"/>
        <s v="JESSICA ARIAS FUENTES"/>
        <s v="BINTU"/>
        <s v="MELANY GONZALEZ"/>
        <s v="ELIA RODRIGUEZ"/>
        <s v="EVA VALLADARES"/>
        <s v="NIUF SOTTO"/>
        <s v="MONTSE CASAL SANCHEZ"/>
        <s v="MARIA ANTONIA SANTOS"/>
        <s v="OSCAR GONZALEZ"/>
        <s v="VANESA JURADO"/>
        <s v="LORENA LOPEZ MARTIN"/>
        <s v="VICKY ESPAÑA"/>
        <s v="IKRAM"/>
        <s v="SANAA"/>
        <s v="TAMARA GARCIA ESPINOLA"/>
        <s v="HUGO PALOMARES"/>
        <s v="ADELA LATORRE"/>
        <s v="LIDIANA"/>
        <s v="PATRICIA VAQUEZ CANORA"/>
        <s v="ANNA BECERRA MONTBRÚ"/>
        <s v="MELISSA MENDEZ"/>
        <s v="DANIEL RAYA"/>
        <s v="JENNY MORENO"/>
        <s v="MONICA ESCRICHE"/>
        <s v="REMEDIOS"/>
        <s v="MARIANA CASTELLANO"/>
        <s v="CARLOS ROS FAMILIA"/>
        <s v="SERGIO PINZA"/>
        <s v="CAROL LARA"/>
        <s v="RAUL RAMOS RUIZ PRUANO"/>
        <s v="EVA FLORIDO"/>
        <s v="CRISTINA GREGORIO OJALVO"/>
        <s v="LAMIN GAKOU"/>
        <s v="VANESSA DOMINGUEZ"/>
        <s v="JORDI GORGOJO"/>
        <s v="LAIA BARDON RUBIO"/>
        <s v="JUANMA HURTADO"/>
        <s v="SUSANA BORREGO"/>
        <s v="MARI CARMEN URENDEZ PEDRAZA"/>
        <s v="PATRICIA HUGUET"/>
        <s v="ESTEL CURADO SANTOS"/>
        <s v="JULIO LOPEZ LOPEZ"/>
        <s v="LORENA ALVAREZ"/>
        <s v="LOURDES GOMEZ PAHECO"/>
        <s v="SONIA PEREZ"/>
        <s v="VERONICA DIAZ"/>
        <s v="ANNA VALLS"/>
        <s v="ELENA 13-3"/>
        <s v="FERNANDO RODRIGUEZ"/>
        <s v="MARIBEL BAILON"/>
        <s v="NAILA SARSI"/>
        <s v="CARLOS CARRION"/>
        <s v="RICARD LOPEZ"/>
        <s v="ERICA TOVAR"/>
        <s v="MONTSE ESTEBAN"/>
        <s v="MIRIAM LOPEZ"/>
        <s v="MELANIA TORO"/>
        <s v="MONICA CALMAESTRE"/>
        <s v="ELVIRA GOMEZ"/>
        <s v="ESTEFANIA RODRIGUEZ CAMPOY"/>
        <s v="LAURA ALONSO"/>
        <s v="SANDRA VALVERDE"/>
        <s v="BERNA SABORIT"/>
        <s v="FATU DRAMMEH"/>
        <s v="SOCAINA "/>
        <s v="KILLIAN ORTIZ ORTIZ"/>
        <s v="MARIBEL SOLANO"/>
        <s v="JESSICA VILAREAL"/>
        <s v="DESIRE MEDINA MORLESIN"/>
        <s v="MARYSOL ABELLA"/>
        <s v="SERGIO PEREZ LECEGUI"/>
        <s v="RAQUEL MARIN"/>
        <s v="KIKE GARCIA"/>
        <s v="MIRIAM MORALES"/>
        <s v="JUAN MORENO"/>
        <s v="VANESSA MORENO MARTIN"/>
        <s v="CRISTINA GESTORIA"/>
        <s v="MONICA SALAS"/>
        <s v="SILVIA FRANCIS"/>
        <s v="JULIA SERNA"/>
        <s v="ALBERTO SERRANO"/>
        <s v="RAUL GARCIA CASTAÑO"/>
        <s v="ELISABET CANELA"/>
        <s v="MAITE GUARDIOLA"/>
        <s v="SONIA CABALLERO"/>
        <s v="LORENA 4#11"/>
        <s v="MONTSE CABALLERO"/>
        <s v="AROA MARTOS"/>
        <s v="SHEILA 15-11"/>
        <s v="LIDIA MARIVI"/>
        <s v="DANIEL ROMERO SERRANO"/>
        <s v="ROCIO CORTES"/>
        <s v="FATIMA"/>
        <s v="ESTHER HASANADA"/>
        <s v="DIANA PEREZ"/>
        <s v="XISCO"/>
        <s v="MIGUEL JIMENEZ"/>
        <s v="SONIA TRINIDAD"/>
        <s v="SARA CATALAN"/>
        <s v="KAREN HURTADO"/>
        <s v="PIETRO TRIPODO"/>
        <s v="CARLES CRUZ MORATO"/>
        <s v="RAQUEL MATEO"/>
        <s v="MAMEN"/>
        <s v="MARI CARMEN MARTINEZ"/>
        <s v="ANGELES FERNANDEZ"/>
        <s v="LAURA CRESPO"/>
        <s v="NOELIA SALGUIERO"/>
        <s v="ALBERTO CARMONA"/>
        <s v="LIBNA DUQUE LLAUDIS"/>
        <s v="ALBERTO AVILA"/>
        <s v="SIHAM DAHMANI"/>
        <s v="MARIA CARMEN FERNANDEZ SANCHEZ"/>
        <s v="ARIADNA TENA"/>
        <s v="JAVIER SANTOS"/>
        <s v="SONIA SANTAMARIA"/>
        <s v="ESPERANZA CABRERA"/>
        <s v="PEDRO GONZALEZ EGEA"/>
        <s v="ANTONIO LOPEZ"/>
        <s v="MARIANO PEREZ"/>
        <s v="JENNI VILLODRES"/>
        <s v="MARILIZ"/>
        <s v="MADALENA SABORIT"/>
        <s v="LAURA LUQUE"/>
        <s v="PATRICIA CHOQUE"/>
        <s v="NURIA GARCIA HOPPE"/>
        <s v="DANIEL MARTINEZ"/>
        <s v="SILVIA GONZALEZ IGLESIAS"/>
        <s v="LA TEJA"/>
        <s v="HICHAM HANOUN"/>
        <s v="ISMAEL GIL SANCHEZ"/>
        <s v="JAVI MARIN"/>
        <s v="JOAN DAVID REINA"/>
        <s v="SANDRA LAVADO GARRIDO"/>
        <s v="LAURA VALVERDE MARTIN"/>
        <s v="LAURA GARCIA PICAZO"/>
        <s v="MARI NIEVES"/>
        <s v="KEISY BELTRAN GONZALEZ"/>
        <s v="YOLANDA MONTSERRAT"/>
        <s v="BELEN FERNANDEZ MOLANO"/>
        <s v="ISABEL SANCHEZ TORRES"/>
        <s v="MARIA DEL MAR LOPEZ"/>
        <s v="ENRIQUE VAZQUEZ"/>
        <s v="RAMON CABRERA"/>
        <s v="MIREIA ALARCON"/>
        <s v="MARI CARMEN RUIZ RODRIGUEZ"/>
        <s v="MAR GARCIA"/>
        <s v="OLGA PEREZ"/>
        <s v="ELSA MIGUEL"/>
        <s v="MAITE PEREZ BORREGO"/>
        <s v="FATIMA KADIZ"/>
        <s v="CAL QUADRO"/>
        <s v="ALEJANDRO GUTIERREZ"/>
        <s v="DEVA BRIANTES CHAMORRO"/>
        <s v="FATIMAZAHRA MANSOURI"/>
        <s v="ROSINA VACA"/>
        <s v="MARYEM ACHBANI"/>
        <s v="CRISTINA MARTINEZ SERRANO"/>
        <s v="PATRCIA MACIAS"/>
        <s v="PEDRO RODRIGUEZ"/>
        <s v="YOLANDA SEGURA"/>
        <s v="ANNA VEGA"/>
        <s v="NOEMI MARTINEZ GUIU"/>
        <s v="ROCIO NUÑEZ JIMENEZ"/>
        <s v="NOELIA CANO"/>
        <s v="MONTSE TAPI"/>
        <s v="INAD SAMAR"/>
        <s v="ELISABETH MARTINEZ SANCHEZ"/>
        <s v="ANABELA"/>
        <s v="MARI CARMEN CHAVEZ BELLIDO"/>
        <s v="VERONICA GARCIA RUIZ"/>
        <s v="EVA MUÑOZ SANCHEZ"/>
        <s v="MIRIAM PUIGDOLLERS"/>
        <s v="ANA BELEN GOMEZ MENACHO"/>
        <s v="ROCIO KOSTELAC ARANDA"/>
        <s v="RAQUEL MARTINEZ SERRANO"/>
        <s v="SABRINA AREVALO SANLUCAS"/>
        <s v="ROCIO JORGE - ROCIO ROMACHO RUBIO"/>
        <s v="ANNA BARRERA QUINTANILLA"/>
        <s v="YOLANDA MORAL MORENO"/>
        <s v="MIRIAM MORENO - FELIX CASTRO RODRIGUEZ"/>
        <s v="MARIA JESUS GARCIA"/>
        <s v="YOLANDA BIZCAINO"/>
        <s v="VANESSA SOUSA MORALES"/>
        <s v="KEVIN PEREZ - ANNA BELLIDO TRONCOSO"/>
        <s v="MONTSERRAT BERMUDEZ ESCRIBANO"/>
        <s v="LILIAN COLINA GARCIA"/>
        <s v="SUSANA ARCE MORENILLA"/>
        <s v="JORGE LEAL RAMIREZ"/>
        <s v="KATY RODRIGUEZ BENITEZ"/>
        <s v="ANGELES CHAVES ZAPATA"/>
        <s v="LAURA MARTINEZ SERRANO"/>
        <s v="PATRICIA PERIS GARCIA"/>
        <s v="MARIA JOSE HIGUERAS MARTINEZ"/>
        <s v="TAMARA ALVAREZ RAMIREZ"/>
        <s v="ARANCHA R. PEREZ - MARIA DOLORES ROMAN"/>
        <s v="EVA NAVARRO RUIZ"/>
        <s v="AIDA RUIZ VITURTIA"/>
        <s v="TERE MARTINEZ"/>
        <s v="SANDRA LUENGO"/>
        <s v="SANDRA CAÑETE HERAS"/>
        <s v="SERGIO ORTIGOSA"/>
        <s v="SILVIA BLANCHART"/>
        <s v="RAJAE ZARKOT"/>
        <s v="ELISABETH RUBIO"/>
        <s v="MELISSA MENDEZ - RUBEN MARTINEZ FINEZ"/>
        <s v="ROSA MARIA EVANGELISTA CONCEPCION"/>
        <s v="VANESSA LOPEZ SOLIS"/>
        <s v="ESTEFANIA MANZA"/>
        <s v="LAURA MANI BERRUETA"/>
        <s v="TATIANA ALMAGRO"/>
        <s v="PURI GARCIA"/>
        <s v="ANA GUIRAO REVASCALL"/>
        <s v="LIDIA PALAU"/>
        <s v="MELISSA SANCHEZ"/>
        <s v="RAQUEL ATOTXERO GIMENEZ"/>
        <s v="IGNACIO MOLINA"/>
        <s v="ANA PEREZ MARTIN"/>
        <s v="NOELIA GÓMEZ RUIZ"/>
        <s v="PEPI VALLVERDU"/>
        <s v="VANESA RUZ RAMOS"/>
        <s v="EDUARDO AMOROS GALAN"/>
        <s v="EVA DEL BARCO"/>
        <s v="NAJWA DACON"/>
        <s v="PEDRO LOPEZ RUIZ"/>
        <s v="SUSANA JABALERA LÓPEZ"/>
        <s v="JESICA VILLAR"/>
        <s v="SUSANA ESCRIBANO"/>
        <s v="AMELIA CAN PARERA"/>
        <s v="TONI PAZ"/>
        <s v="CRISTINA GRANADO RODRIGUEZ"/>
        <s v="PAQUI AGUILERA"/>
        <s v="MARC PRUNA"/>
        <s v="ANA ROSA BURGUEÑA RODRIGUEZ"/>
        <s v="AYLEN RITA GONZALEZ"/>
        <s v="MINGU BLANCHART"/>
        <s v="ROCIO LOPEZ MACIAS"/>
        <s v="RAQUEL FERNANDEZ PINTO"/>
        <s v="CAROLINA OLMEDO MENDIETA"/>
        <s v="ANA VELADO"/>
        <s v="OLGA MALO"/>
        <s v="FRANCISCO REYES"/>
        <s v="DORI FERRANDO"/>
        <s v="CRISTINA JOSE"/>
        <s v="JUDIT PALOS"/>
        <s v="TRINIDAD MOLI MARTINEZ"/>
        <s v="DAMARIS MORENO DUEÑAS"/>
        <s v="ALEJANDRO LOPEZ"/>
        <s v="ANA CAÑADAS GONZAEZ"/>
        <s v="MAYTE TORRES CARNAVAL"/>
        <s v="ESTEFANIA GARCIA BUENO"/>
        <s v="SUSANA GARRIDO"/>
        <s v="MIREIA PLA"/>
        <s v="GLORIA SANCHEZ VILLARRASO"/>
        <s v="ESTHER PODEROSO"/>
        <s v="MARI CALITXO"/>
        <s v="ESTEFANIA MATA MACIAS"/>
        <s v="ESTEFANIA RODRIGUEZ"/>
        <s v="DIANA BITCA"/>
        <s v="SANDRA GARCIA TEJADA"/>
        <s v="RAQUEL MORRILLO"/>
        <s v="SILVIA SORIANO NAVAS"/>
        <s v="MERCHI TINTORERIA"/>
        <s v="KARIMA KADI"/>
        <s v="LORENA GIL"/>
        <s v="ANTONIO MOLINA SEGURA" u="1"/>
        <s v="NIHAD HA" u="1"/>
        <s v="NEREA SANCHEZ" u="1"/>
        <s v="ARANCHA R. PEREZ" u="1"/>
        <s v="JOCA" u="1"/>
        <s v="SUSANA ARCE" u="1"/>
        <s v="MIRIAM MORENO" u="1"/>
        <s v="ABERTO AZNAR" u="1"/>
        <s v="SABRINA AREVALO" u="1"/>
        <s v="ROSA EVANGELISTA" u="1"/>
        <s v="HAYAT SAMAR SAMAR" u="1"/>
        <s v="MONICA FERNANDEZ" u="1"/>
        <s v="JORGE LEAL" u="1"/>
        <s v="ROCIO KOSTELAC" u="1"/>
        <s v="MARILEZ" u="1"/>
        <s v="YOLANDA MORAL" u="1"/>
        <s v="CARLOTA ROMERO" u="1"/>
        <s v="JUAN CARLOS REQUENA" u="1"/>
        <s v="MARTA BURGUES" u="1"/>
        <s v="KEVIN PEREZ" u="1"/>
        <s v="ESTEFANIA GIMENEZ" u="1"/>
        <s v="SONIA FRUITERIA" u="1"/>
        <s v="SUSANA JABALEA" u="1"/>
      </sharedItems>
    </cacheField>
    <cacheField name="CODI POSTAL" numFmtId="166">
      <sharedItems containsBlank="1" containsMixedTypes="1" containsNumber="1" containsInteger="1" minValue="8107" maxValue="8410"/>
    </cacheField>
    <cacheField name="MUNICIPI" numFmtId="0">
      <sharedItems containsBlank="1"/>
    </cacheField>
    <cacheField name="DIRECCIÓ" numFmtId="0">
      <sharedItems containsBlank="1"/>
    </cacheField>
    <cacheField name="DNI" numFmtId="0">
      <sharedItems containsBlank="1" containsMixedTypes="1" containsNumber="1" containsInteger="1" minValue="657287882" maxValue="657287882"/>
    </cacheField>
    <cacheField name="TARIFA" numFmtId="0">
      <sharedItems containsSemiMixedTypes="0" containsString="0" containsNumber="1" minValue="0" maxValue="2000"/>
    </cacheField>
    <cacheField name="HORAS EXTRAS" numFmtId="0">
      <sharedItems containsString="0" containsBlank="1" containsNumber="1" containsInteger="1" minValue="0" maxValue="3"/>
    </cacheField>
    <cacheField name="IMPORTE EXTRAS" numFmtId="0">
      <sharedItems containsString="0" containsBlank="1" containsNumber="1" containsInteger="1" minValue="0" maxValue="150"/>
    </cacheField>
    <cacheField name="IMPORTE TOTAL" numFmtId="0">
      <sharedItems containsSemiMixedTypes="0" containsString="0" containsNumber="1" minValue="0" maxValue="2000"/>
    </cacheField>
    <cacheField name="COBRAT" numFmtId="0">
      <sharedItems count="3">
        <s v="SI"/>
        <s v="RESERVA"/>
        <s v="NO"/>
      </sharedItems>
    </cacheField>
    <cacheField name="RES-A" numFmtId="0">
      <sharedItems containsSemiMixedTypes="0" containsString="0" containsNumber="1" minValue="0" maxValue="2000"/>
    </cacheField>
    <cacheField name="RES-B" numFmtId="0">
      <sharedItems containsSemiMixedTypes="0" containsString="0" containsNumber="1" containsInteger="1" minValue="0" maxValue="550"/>
    </cacheField>
    <cacheField name="EXTR-A" numFmtId="0">
      <sharedItems containsSemiMixedTypes="0" containsString="0" containsNumber="1" containsInteger="1" minValue="0" maxValue="60"/>
    </cacheField>
    <cacheField name="EXTR-B" numFmtId="0">
      <sharedItems containsSemiMixedTypes="0" containsString="0" containsNumber="1" containsInteger="1" minValue="0" maxValue="150"/>
    </cacheField>
    <cacheField name="OBSERVACIONS" numFmtId="0">
      <sharedItems containsBlank="1" count="45">
        <s v="ANUAL"/>
        <m/>
        <s v="ANULAT"/>
        <s v="APLAÇAT"/>
        <s v="Venen sempre per Carnaval"/>
        <s v="Sorteig"/>
        <s v="EFECTIU"/>
        <s v="NO VAN VENIR"/>
        <s v="ANUAL ROCIO JORGE (TARIFA 250€ PAGATS 50€)"/>
        <s v="ANUAL: REMEDIOS 300€"/>
        <s v="123€ COMPTE ORIOL"/>
        <s v="150€ COMPTE MARTA"/>
        <s v="95€ COMPTE ORIOL"/>
        <s v="COMPTE ORIOL"/>
        <s v="compte marta"/>
        <s v="ANUAL: 250"/>
        <s v="compte marta 195"/>
        <s v="195 compte oriol"/>
        <s v="ANUAL: 550"/>
        <s v="BIZUM ORIOL"/>
        <s v="210 COMPTE MARTA"/>
        <s v="100 compte oriol"/>
        <s v="90 compte oriol"/>
        <s v="100 bizum marta"/>
        <s v="45 BIZUM MARTA"/>
        <s v="250 BIZUM MARTA"/>
        <s v="200 BIZUM ORIOL"/>
        <s v="150 bizum marta"/>
        <s v="bizum marta"/>
        <s v="100 bizum oriol"/>
        <s v=" BIZUM MARTA"/>
        <s v="bizum oriol 100"/>
        <s v="bizum oriol 120"/>
        <s v="ANUAL: 350"/>
        <s v="bizum marta 270"/>
        <s v="ANUAL: 300"/>
        <s v="150 bizum oriol"/>
        <s v="ANUAL: 600"/>
        <s v="ANUAL: 145"/>
        <s v="tot bizum"/>
        <s v="45 bizum"/>
        <s v="150 bizum"/>
        <s v="BIZUM ORIOL 50"/>
        <s v="RESERVA BIZUM MARTA" u="1"/>
        <s v="ANUAL: 200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ta Monteis" refreshedDate="45296.63178113426" createdVersion="4" refreshedVersion="7" minRefreshableVersion="3" recordCount="337" xr:uid="{00000000-000A-0000-FFFF-FFFF04000000}">
  <cacheSource type="worksheet">
    <worksheetSource name="Tabla2"/>
  </cacheSource>
  <cacheFields count="10">
    <cacheField name="ANY" numFmtId="0">
      <sharedItems containsSemiMixedTypes="0" containsString="0" containsNumber="1" containsInteger="1" minValue="2020" maxValue="2024" count="5">
        <n v="2020"/>
        <n v="2021"/>
        <n v="2022"/>
        <n v="2023"/>
        <n v="2024"/>
      </sharedItems>
    </cacheField>
    <cacheField name="MES" numFmtId="0">
      <sharedItems count="12">
        <s v="GENER"/>
        <s v="FEBRER"/>
        <s v="MARÇ"/>
        <s v="ABRIL"/>
        <s v="MAIG"/>
        <s v="JUNY"/>
        <s v="JULIOL"/>
        <s v="AGOST"/>
        <s v="SETEMBRE"/>
        <s v="OCTUBRE"/>
        <s v="NOVEMBRE"/>
        <s v="DESEMBRE"/>
      </sharedItems>
    </cacheField>
    <cacheField name="DATA" numFmtId="164">
      <sharedItems containsSemiMixedTypes="0" containsNonDate="0" containsDate="1" containsString="0" minDate="2020-01-02T00:00:00" maxDate="2923-12-08T00:00:00"/>
    </cacheField>
    <cacheField name="TIPUS" numFmtId="164">
      <sharedItems count="14">
        <s v="PÀGINA WEB"/>
        <s v="ASSEGURANÇA"/>
        <s v="CONSUMIBLES"/>
        <s v="MAQUINARIA"/>
        <s v="LLOGUER"/>
        <s v="INVERSIONS CAPITAL"/>
        <s v="AUTÒNOM"/>
        <s v="TELÈFON"/>
        <s v="EXTERNALITZACIÓ NETEJA"/>
        <s v="LLUM"/>
        <s v="GESTORÍA"/>
        <s v="IMPOSTOS"/>
        <s v="AIGUA"/>
        <s v="DOMINI"/>
      </sharedItems>
    </cacheField>
    <cacheField name="TIPO DESPESA" numFmtId="164">
      <sharedItems count="4">
        <s v="FIX"/>
        <s v="VARIABLE"/>
        <s v="INVERSIONS"/>
        <s v="IMPOSTOS"/>
      </sharedItems>
    </cacheField>
    <cacheField name="CONCEPTE" numFmtId="0">
      <sharedItems/>
    </cacheField>
    <cacheField name="IMPORT" numFmtId="0">
      <sharedItems containsSemiMixedTypes="0" containsString="0" containsNumber="1" minValue="-239.59" maxValue="1733.91"/>
    </cacheField>
    <cacheField name="A" numFmtId="0">
      <sharedItems containsSemiMixedTypes="0" containsString="0" containsNumber="1" minValue="-239.59" maxValue="1733.91"/>
    </cacheField>
    <cacheField name="B" numFmtId="0">
      <sharedItems containsSemiMixedTypes="0" containsString="0" containsNumber="1" minValue="-150" maxValue="399.6"/>
    </cacheField>
    <cacheField name="FACTURA TRIMESTR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ta Monteis" refreshedDate="45296.642310300929" createdVersion="7" refreshedVersion="7" minRefreshableVersion="3" recordCount="766" xr:uid="{D27D0863-A71A-D141-AF83-188CB7BAAE88}">
  <cacheSource type="worksheet">
    <worksheetSource ref="A1:Y1413" sheet="Registre de reserves"/>
  </cacheSource>
  <cacheFields count="25">
    <cacheField name="ANY" numFmtId="0">
      <sharedItems containsString="0" containsBlank="1" containsNumber="1" containsInteger="1" minValue="2020" maxValue="2024" count="6">
        <n v="2020"/>
        <n v="2021"/>
        <n v="2022"/>
        <n v="2023"/>
        <n v="2024"/>
        <m/>
      </sharedItems>
    </cacheField>
    <cacheField name="MES" numFmtId="0">
      <sharedItems containsBlank="1" count="13">
        <s v="GENER"/>
        <s v="FEBRER"/>
        <s v="MARÇ"/>
        <s v="ABRIL"/>
        <s v="MAIG"/>
        <s v="JUNY"/>
        <s v="JULIOL"/>
        <s v="AGOST"/>
        <s v="SETEMBRE"/>
        <s v="OCTUBRE"/>
        <s v="NOVEMBRE"/>
        <s v="DESEMBRE"/>
        <m/>
      </sharedItems>
    </cacheField>
    <cacheField name="DATA" numFmtId="0">
      <sharedItems containsNonDate="0" containsDate="1" containsString="0" containsBlank="1" minDate="2020-01-01T00:00:00" maxDate="2024-12-27T00:00:00"/>
    </cacheField>
    <cacheField name="DIA" numFmtId="0">
      <sharedItems containsBlank="1"/>
    </cacheField>
    <cacheField name="FESTIU" numFmtId="0">
      <sharedItems containsBlank="1"/>
    </cacheField>
    <cacheField name="ESPECIAL" numFmtId="0">
      <sharedItems containsBlank="1"/>
    </cacheField>
    <cacheField name="HORA ENTRADA" numFmtId="0">
      <sharedItems containsNonDate="0" containsDate="1" containsString="0" containsBlank="1" minDate="1899-12-30T09:30:00" maxDate="1899-12-30T21:30:00"/>
    </cacheField>
    <cacheField name="HORA SORTIDA" numFmtId="0">
      <sharedItems containsNonDate="0" containsDate="1" containsString="0" containsBlank="1" minDate="1899-12-30T00:00:00" maxDate="1899-12-30T23:00:00"/>
    </cacheField>
    <cacheField name="HORARI" numFmtId="0">
      <sharedItems containsBlank="1" count="9">
        <s v="DINAR"/>
        <s v="TARDA"/>
        <s v="NIT"/>
        <s v="MATI"/>
        <s v="TARDA+NIT"/>
        <s v="DIA SENCER"/>
        <s v="SOPAR"/>
        <s v="ESPECIAL"/>
        <m/>
      </sharedItems>
    </cacheField>
    <cacheField name="TORNS" numFmtId="0">
      <sharedItems containsString="0" containsBlank="1" containsNumber="1" containsInteger="1" minValue="1" maxValue="3"/>
    </cacheField>
    <cacheField name="NOM CLIENT" numFmtId="0">
      <sharedItems containsBlank="1" count="664">
        <s v="SOCORRO"/>
        <s v="OSCAR"/>
        <s v="ESTHER TEIXIDOR"/>
        <s v="NURIA"/>
        <s v="SARA"/>
        <s v="SARA ESPINOSA"/>
        <s v="RAQUEL, FILLA AINOA"/>
        <s v="MIREIA"/>
        <s v="MADRE DAVID"/>
        <m/>
        <s v="NURIA GARCIA"/>
        <s v="ANA VALLS"/>
        <s v="JONNY"/>
        <s v="SANDRA BENITO"/>
        <s v="PURIFICACION MARTINEZ"/>
        <s v="EVA YERA"/>
        <s v="CARLOS"/>
        <s v="MARC PALACIOS"/>
        <s v="LOURDES MIRIAM"/>
        <s v="SILVIA MARTIN"/>
        <s v="MONTSE ALCARRAZ"/>
        <s v="MERITXELL MORRAL"/>
        <s v="VIRGILIA LOPEZ"/>
        <s v="VANESA FERNANDEZ"/>
        <s v="DESIRE"/>
        <s v="CHUS SABATES"/>
        <s v="CRISTINA MARMELO"/>
        <s v="VERONICA NEIRA"/>
        <s v="LOURDES VIÑALLONGA"/>
        <s v="RUBEN CARRASCO"/>
        <s v="MAITE TORRES CARNAVAL"/>
        <s v="NURIA BAYONA"/>
        <s v="GLORIA PACHECO"/>
        <s v="RAFI TEBAR MARTINEZ"/>
        <s v="RAMON MORA/ ESTEBAN HURTADO"/>
        <s v="MARI CARMEN LOPEZ"/>
        <s v="SORAYA ALVAREZ GARCIA"/>
        <s v="ANDREA TORRES"/>
        <s v="AIDA VALERO CARDADOR"/>
        <s v="CINTIA MARTINEZ"/>
        <s v="ANA DELGADO"/>
        <s v="CRISTINA PINILLA"/>
        <s v="MARIA JOSE JENADO"/>
        <s v="JESSICA CASCALES"/>
        <s v="MIGUEL ANGEL TORRECILLAS"/>
        <s v="JOSE MIRALLES"/>
        <s v="MONTSE TRAGINER/ JANA MONTCLUS"/>
        <s v="LAIA TEIXIDOR"/>
        <s v="MELANIA MACIAS"/>
        <s v="MARI RUZ"/>
        <s v="PEPI DIAZ"/>
        <s v="VIRGINIA RODRIGUEZ"/>
        <s v="JULIA PEREZ"/>
        <s v="ELISABETH CARRILLO"/>
        <s v="ELI MARTIN MOTA"/>
        <s v="VELI DIAZ"/>
        <s v="MELANY LOZANO"/>
        <s v="MARTA CANADELL"/>
        <s v="MARIA GARDUÑO"/>
        <s v="NIEVES LOPEZ"/>
        <s v="AJUDA ESTATAL COVID19 ABRIL"/>
        <s v="EVA MUÑOZ"/>
        <s v="ABERTO SERRANO"/>
        <s v="JESSICA RUZ"/>
        <s v="SONIA RAFA CARRILLO"/>
        <s v="MAITE QUINTANILLA"/>
        <s v="SUSANA BLASCO LEBRERO"/>
        <s v="EVA INIESTA GARCIA"/>
        <s v="AJUDA ESTATAL COVID19 MARÇ"/>
        <s v="OLGA SALAS"/>
        <s v="JONATHAN RODRIGUEZ"/>
        <s v="JORDI SALAS"/>
        <s v="ELENA DUARTE"/>
        <s v="AJUDA ESTATAL COVID19 MAIG"/>
        <s v="PILAR HIERRA"/>
        <s v="URSULA ZUMBA"/>
        <s v="MARTA MONTEIS"/>
        <s v="MONTSERRAT TRAGINER"/>
        <s v="MANUELA LOMAS"/>
        <s v="ORIOL GOMEZ"/>
        <s v="AJUDA ESTATAL COVID19 JUNY"/>
        <s v="AJUDA GENERALITAT COVID19 "/>
        <s v="MERCHE"/>
        <s v="MIRIAM ALVAREZ"/>
        <s v="MARTA SANTOS"/>
        <s v="LIDIA MOLI"/>
        <s v="ROSA GALLEGO"/>
        <s v="CARLES VIÑALLONGA"/>
        <s v="PEPUS MIRALLES"/>
        <s v="VANESA PARRALO"/>
        <s v="MARCEL TORNE"/>
        <s v="EDGAR MARTINEZ"/>
        <s v="ANGELA MIRO"/>
        <s v="INGRID VALDERRAMA MORENO"/>
        <s v="EVELYN"/>
        <s v="MARIA ANGELES XABE"/>
        <s v="JOSE AGUILAR"/>
        <s v="MARINA BENITEZ"/>
        <s v="KARIMA"/>
        <s v="JUDITH ARAUJO"/>
        <s v="ERIC ROMERO"/>
        <s v="MARIA CASTELLANO"/>
        <s v="NURIA MATEO"/>
        <s v="NEREA"/>
        <s v="HELENA PALMA"/>
        <s v="JOSE LUIS DE DIEGO"/>
        <s v="VENECIA SEIJAS"/>
        <s v="LLUISA DURAN"/>
        <s v="MARIA JOSE DOMINGUEZ GONZALEZ"/>
        <s v="CLARA TINTO MARTINEZ"/>
        <s v="AJUNTAMENT DE MONTORNES"/>
        <s v="ROCIO JORGE"/>
        <s v="ANA VEGA"/>
        <s v="NATALIA LOZANO"/>
        <s v="CLARA CUADRADO"/>
        <s v="ELISABET ESPADA"/>
        <s v="LIDIA COBO"/>
        <s v="MARIA BELLO"/>
        <s v="AJUDA ESTATAL COVID19 OCTUBRE"/>
        <s v="CRISTINA"/>
        <s v="CARMEN LUQUE"/>
        <s v="SONIA FERNANDEZ"/>
        <s v="AJUDA ESTATAL COVID19 NOVEMBRE"/>
        <s v="AJUDA ESTATAL COVID19 AUTONOMS"/>
        <s v="AJUDA ESTATAL COVID19 DESEMBRE"/>
        <s v="AJUDA ESTATAL COVID19 GENER"/>
        <s v="AJUDA ESTATAL COVID19 FEBRER"/>
        <s v="ROSI"/>
        <s v="AJUDA AJUNTAMENT"/>
        <s v="MARI RAFA CORTES"/>
        <s v="BLAS RETUERCE"/>
        <s v="HAYAT"/>
        <s v="AMIM"/>
        <s v="ESTANIS SERRANO"/>
        <s v="JAVIER FUENTES"/>
        <s v="KAREN CORTES RUZ"/>
        <s v="GRADUACIÓ CAN PARERA"/>
        <s v="MARISA ALDARA"/>
        <s v="MARIANO MARTINEZ"/>
        <s v="DEVOLUCIÓ TRIBUTARIA"/>
        <s v="AINOA HUERTA"/>
        <s v="GRADUACIÓ SANT SADURNI"/>
        <s v="DOLORS AGUT"/>
        <s v="IDOIA MUÑOZ RODRIGUEZ"/>
        <s v="MELANY CANALES"/>
        <s v="MARTA NUÑEZ"/>
        <s v="ISAAC GONZALEZ"/>
        <s v="ALIJA KAZAR"/>
        <s v="MIRALIS"/>
        <s v="ZAHRA SLAIMANI"/>
        <s v="YOHE CASTELLANO"/>
        <s v="SONIA ESPINOSA"/>
        <s v="MIREIA MONTEIS"/>
        <s v="SONIA PEIXATERIA"/>
        <s v="RAUL LOPEZ"/>
        <s v="HADIJA"/>
        <s v="GLORIA PADILLA"/>
        <s v="SAUL DOCTOR"/>
        <s v="ALEX ALCARRIA"/>
        <s v="VANESA DIAZ"/>
        <s v="MONICA LOPEZ"/>
        <s v="CARMEN SANZ"/>
        <s v="ALBERTO VIERA"/>
        <s v="PATRICIA MACÍAS"/>
        <s v="RAFAEL SOLDADO"/>
        <s v="SUSANA ARRUFAT (JENNIFER 28-10)"/>
        <s v="RUTH PAJUELO"/>
        <s v="NURIA VENEGAS"/>
        <s v="PILI CARRASCO MARTIN"/>
        <s v="PAULA VALLS"/>
        <s v="ELI 2#11"/>
        <s v="JAVIER GARCIA DEL RIO"/>
        <s v="VERONICA RODRIGUEZ"/>
        <s v="RUBEN GIMENO"/>
        <s v="JESSICA ARIAS FUENTES"/>
        <s v="BINTU"/>
        <s v="MELANY GONZALEZ"/>
        <s v="ELIA RODRIGUEZ"/>
        <s v="EVA VALLADARES"/>
        <s v="NIUF SOTTO"/>
        <s v="MONTSE CASAL SANCHEZ"/>
        <s v="MARIA ANTONIA SANTOS"/>
        <s v="OSCAR GONZALEZ"/>
        <s v="VANESA JURADO"/>
        <s v="LORENA LOPEZ MARTIN"/>
        <s v="VICKY ESPAÑA"/>
        <s v="IKRAM"/>
        <s v="SANAA"/>
        <s v="TAMARA GARCIA ESPINOLA"/>
        <s v="HUGO PALOMARES"/>
        <s v="ADELA LATORRE"/>
        <s v="LIDIANA"/>
        <s v="PATRICIA VAQUEZ CANORA"/>
        <s v="ANNA BECERRA MONTBRÚ"/>
        <s v="MELISSA MENDEZ"/>
        <s v="DANIEL RAYA"/>
        <s v="JENNY MORENO"/>
        <s v="MONICA ESCRICHE"/>
        <s v="REMEDIOS"/>
        <s v="MARIANA CASTELLANO"/>
        <s v="CARLOS ROS FAMILIA"/>
        <s v="SERGIO PINZA"/>
        <s v="CAROL LARA"/>
        <s v="RAUL RAMOS RUIZ PRUANO"/>
        <s v="EVA FLORIDO"/>
        <s v="CRISTINA GREGORIO OJALVO"/>
        <s v="LAMIN GAKOU"/>
        <s v="VANESSA DOMINGUEZ"/>
        <s v="JORDI GORGOJO"/>
        <s v="LAIA BARDON RUBIO"/>
        <s v="JUANMA HURTADO"/>
        <s v="SUSANA BORREGO"/>
        <s v="MARI CARMEN URENDEZ PEDRAZA"/>
        <s v="PATRICIA HUGUET"/>
        <s v="ESTEL CURADO SANTOS"/>
        <s v="JULIO LOPEZ LOPEZ"/>
        <s v="LORENA ALVAREZ"/>
        <s v="LOURDES GOMEZ PAHECO"/>
        <s v="SONIA PEREZ"/>
        <s v="VERONICA DIAZ"/>
        <s v="ANNA VALLS"/>
        <s v="ELENA 13-3"/>
        <s v="FERNANDO RODRIGUEZ"/>
        <s v="MARIBEL BAILON"/>
        <s v="NAILA SARSI"/>
        <s v="CARLOS CARRION"/>
        <s v="RICARD LOPEZ"/>
        <s v="ERICA TOVAR"/>
        <s v="MONTSE ESTEBAN"/>
        <s v="MIRIAM LOPEZ"/>
        <s v="MELANIA TORO"/>
        <s v="MONICA CALMAESTRE"/>
        <s v="ELVIRA GOMEZ"/>
        <s v="ESTEFANIA RODRIGUEZ CAMPOY"/>
        <s v="LAURA ALONSO"/>
        <s v="SANDRA VALVERDE"/>
        <s v="BERNA SABORIT"/>
        <s v="FATU DRAMMEH"/>
        <s v="SOCAINA "/>
        <s v="KILLIAN ORTIZ ORTIZ"/>
        <s v="MARIBEL SOLANO"/>
        <s v="JESSICA VILAREAL"/>
        <s v="DESIRE MEDINA MORLESIN"/>
        <s v="MARYSOL ABELLA"/>
        <s v="SERGIO PEREZ LECEGUI"/>
        <s v="RAQUEL MARIN"/>
        <s v="KIKE GARCIA"/>
        <s v="MIRIAM MORALES"/>
        <s v="JUAN MORENO"/>
        <s v="VANESSA MORENO MARTIN"/>
        <s v="CRISTINA GESTORIA"/>
        <s v="MONICA SALAS"/>
        <s v="SILVIA FRANCIS"/>
        <s v="JULIA SERNA"/>
        <s v="ALBERTO SERRANO"/>
        <s v="RAUL GARCIA CASTAÑO"/>
        <s v="ELISABET CANELA"/>
        <s v="MAITE GUARDIOLA"/>
        <s v="SONIA CABALLERO"/>
        <s v="LORENA 4#11"/>
        <s v="MONTSE CABALLERO"/>
        <s v="AROA MARTOS"/>
        <s v="SHEILA 15-11"/>
        <s v="LIDIA MARIVI"/>
        <s v="DANIEL ROMERO SERRANO"/>
        <s v="ROCIO CORTES"/>
        <s v="FATIMA"/>
        <s v="ESTHER HASANADA"/>
        <s v="DIANA PEREZ"/>
        <s v="XISCO"/>
        <s v="MIGUEL JIMENEZ"/>
        <s v="SONIA TRINIDAD"/>
        <s v="SARA CATALAN"/>
        <s v="KAREN HURTADO"/>
        <s v="PIETRO TRIPODO"/>
        <s v="CARLES CRUZ MORATO"/>
        <s v="RAQUEL MATEO"/>
        <s v="MAMEN"/>
        <s v="MARI CARMEN MARTINEZ"/>
        <s v="ANGELES FERNANDEZ"/>
        <s v="LAURA CRESPO"/>
        <s v="NOELIA SALGUIERO"/>
        <s v="ALBERTO CARMONA"/>
        <s v="LIBNA DUQUE LLAUDIS"/>
        <s v="ALBERTO AVILA"/>
        <s v="SIHAM DAHMANI"/>
        <s v="MARIA CARMEN FERNANDEZ SANCHEZ"/>
        <s v="ARIADNA TENA"/>
        <s v="JAVIER SANTOS"/>
        <s v="SONIA SANTAMARIA"/>
        <s v="ESPERANZA CABRERA"/>
        <s v="PEDRO GONZALEZ EGEA"/>
        <s v="ANTONIO LOPEZ"/>
        <s v="MARIANO PEREZ"/>
        <s v="JENNI VILLODRES"/>
        <s v="MARILIZ"/>
        <s v="MADALENA SABORIT"/>
        <s v="LAURA LUQUE"/>
        <s v="PATRICIA CHOQUE"/>
        <s v="NURIA GARCIA HOPPE"/>
        <s v="DANIEL MARTINEZ"/>
        <s v="SILVIA GONZALEZ IGLESIAS"/>
        <s v="LA TEJA"/>
        <s v="HICHAM HANOUN"/>
        <s v="ISMAEL GIL SANCHEZ"/>
        <s v="JAVI MARIN"/>
        <s v="JOAN DAVID REINA"/>
        <s v="SANDRA LAVADO GARRIDO"/>
        <s v="LAURA VALVERDE MARTIN"/>
        <s v="LAURA GARCIA PICAZO"/>
        <s v="MARI NIEVES"/>
        <s v="KEISY BELTRAN GONZALEZ"/>
        <s v="YOLANDA MONTSERRAT"/>
        <s v="BELEN FERNANDEZ MOLANO"/>
        <s v="ISABEL SANCHEZ TORRES"/>
        <s v="MARIA DEL MAR LOPEZ"/>
        <s v="ENRIQUE VAZQUEZ"/>
        <s v="RAMON CABRERA"/>
        <s v="MIREIA ALARCON"/>
        <s v="MARI CARMEN RUIZ RODRIGUEZ"/>
        <s v="MAR GARCIA"/>
        <s v="OLGA PEREZ"/>
        <s v="ELSA MIGUEL"/>
        <s v="MAITE PEREZ BORREGO"/>
        <s v="FATIMA KADIZ"/>
        <s v="CAL QUADRO"/>
        <s v="ALEJANDRO GUTIERREZ"/>
        <s v="DEVA BRIANTES CHAMORRO"/>
        <s v="FATIMAZAHRA MANSOURI"/>
        <s v="ROSINA VACA"/>
        <s v="MARYEM ACHBANI"/>
        <s v="CRISTINA MARTINEZ SERRANO"/>
        <s v="PATRCIA MACIAS"/>
        <s v="PEDRO RODRIGUEZ"/>
        <s v="YOLANDA SEGURA"/>
        <s v="ANNA VEGA"/>
        <s v="NOEMI MARTINEZ GUIU"/>
        <s v="ROCIO NUÑEZ JIMENEZ"/>
        <s v="NOELIA CANO"/>
        <s v="MONTSE TAPI"/>
        <s v="INAD SAMAR"/>
        <s v="ELISABETH MARTINEZ SANCHEZ"/>
        <s v="ANABELA"/>
        <s v="MARI CARMEN CHAVEZ BELLIDO"/>
        <s v="VERONICA GARCIA RUIZ"/>
        <s v="EVA MUÑOZ SANCHEZ"/>
        <s v="MIRIAM PUIGDOLLERS"/>
        <s v="ANA BELEN GOMEZ MENACHO"/>
        <s v="ROCIO KOSTELAC ARANDA"/>
        <s v="RAQUEL MARTINEZ SERRANO"/>
        <s v="SABRINA AREVALO SANLUCAS"/>
        <s v="ROCIO JORGE - ROCIO ROMACHO RUBIO"/>
        <s v="ANNA BARRERA QUINTANILLA"/>
        <s v="YOLANDA MORAL MORENO"/>
        <s v="MIRIAM MORENO - FELIX CASTRO RODRIGUEZ"/>
        <s v="MARIA JESUS GARCIA"/>
        <s v="YOLANDA BIZCAINO"/>
        <s v="VANESSA SOUSA MORALES"/>
        <s v="KEVIN PEREZ - ANNA BELLIDO TRONCOSO"/>
        <s v="MONTSERRAT BERMUDEZ ESCRIBANO"/>
        <s v="LILIAN COLINA GARCIA"/>
        <s v="SUSANA ARCE MORENILLA"/>
        <s v="JORGE LEAL RAMIREZ"/>
        <s v="KATY RODRIGUEZ BENITEZ"/>
        <s v="ANGELES CHAVES ZAPATA"/>
        <s v="LAURA MARTINEZ SERRANO"/>
        <s v="PATRICIA PERIS GARCIA"/>
        <s v="MARIA JOSE HIGUERAS MARTINEZ"/>
        <s v="TAMARA ALVAREZ RAMIREZ"/>
        <s v="ARANCHA R. PEREZ - MARIA DOLORES ROMAN"/>
        <s v="EVA NAVARRO RUIZ"/>
        <s v="AIDA RUIZ VITURTIA"/>
        <s v="TERE MARTINEZ"/>
        <s v="SANDRA LUENGO"/>
        <s v="SANDRA CAÑETE HERAS"/>
        <s v="SERGIO ORTIGOSA"/>
        <s v="SILVIA BLANCHART"/>
        <s v="RAJAE ZARKOT"/>
        <s v="ELISABETH RUBIO"/>
        <s v="MELISSA MENDEZ - RUBEN MARTINEZ FINEZ"/>
        <s v="ROSA MARIA EVANGELISTA CONCEPCION"/>
        <s v="VANESSA LOPEZ SOLIS"/>
        <s v="ESTEFANIA MANZA"/>
        <s v="LAURA MANI BERRUETA"/>
        <s v="TATIANA ALMAGRO"/>
        <s v="PURI GARCIA"/>
        <s v="ANA GUIRAO REVASCALL"/>
        <s v="LIDIA PALAU"/>
        <s v="MELISSA SANCHEZ"/>
        <s v="RAQUEL ATOTXERO GIMENEZ"/>
        <s v="IGNACIO MOLINA"/>
        <s v="ANA PEREZ MARTIN"/>
        <s v="NOELIA GÓMEZ RUIZ"/>
        <s v="PEPI VALLVERDU"/>
        <s v="VANESA RUZ RAMOS"/>
        <s v="EDUARDO AMOROS GALAN"/>
        <s v="EVA DEL BARCO PEREZ"/>
        <s v="NAJWA DACON"/>
        <s v="PEDRO LOPEZ RUIZ"/>
        <s v="ANDRES PEREZ PEREZ"/>
        <s v="JESICA VILLAR PERANDRES"/>
        <s v="SUSANA ESCRIBANO CAMARA"/>
        <s v="AMELIA MARIN GARCIA"/>
        <s v="TONI PAZ"/>
        <s v="CRISTINA GRANADO RODRIGUEZ"/>
        <s v="PAQUI AGUILERA"/>
        <s v="DAMARIS MORENO DUEÑAS"/>
        <s v="MARC PRUNA"/>
        <s v="ANA ROSA BURGUEÑA RODRIGUEZ"/>
        <s v="AYLEN RITA GONZALEZ"/>
        <s v="MINGU BLANCHART"/>
        <s v="ROCIO LOPEZ MACIAS"/>
        <s v="RAQUEL FERNANDEZ PINTO"/>
        <s v="CAROLINA OLMEDO MENDIETA"/>
        <s v="ANA VELADO"/>
        <s v="VERO MOLLET"/>
        <s v="OLGA MALO"/>
        <s v="FRANCISCO REYES"/>
        <s v="MARIA ADORACION FERRANDO SALGUERO"/>
        <s v="DESIRE PERTIERRA"/>
        <s v="CRISTINA JOSE GIL"/>
        <s v="JUDIT PALOS VAZQUEZ"/>
        <s v="TRINIDAD MOLI MARTINEZ"/>
        <s v="MARTA YAÑEZ ROJAS"/>
        <s v="NURIA MATEO QUINTANILLA"/>
        <s v="ALEJANDRO LOPEZ"/>
        <s v="ANA CAÑADAS GONZAEZ"/>
        <s v="MAYTE TORRES CARNAVAL"/>
        <s v="ESTEFANIA GARCIA BUENO"/>
        <s v="EVA SANTIAGO MENDES"/>
        <s v="JOSE IGNACIO GALAN TOMAS"/>
        <s v="MIREIA PLA"/>
        <s v="SILVIA GONZALEZ"/>
        <s v="GLORIA SANCHEZ VILLARRASO"/>
        <s v="CRISTINA LOPEZ"/>
        <s v="ESTHER PODEROSO VAZQUEZ"/>
        <s v="SANDRA MORENO GALAN"/>
        <s v="ELISABETH RODRIGUEZ"/>
        <s v="AIDA RIVERA LOPEZ"/>
        <s v="HELENA OLLÉ JÚLIA"/>
        <s v="NOELIA GUTIERREZ AGUADO"/>
        <s v="MARI CALITXO"/>
        <s v="MARIA ANGELES MARTINEZ"/>
        <s v="ESTEFANIA MOLINA MORILLA"/>
        <s v="LORENA MATIAS REAL"/>
        <s v="ESTEFANIA MATA MACIAS"/>
        <s v="ESTEFANIA RODRIGUEZ COMPOY"/>
        <s v="ERNESTO GARCIA RODRIGUEZ"/>
        <s v="ELVIRA GOMEZ CASTRO"/>
        <s v="AMAL MOULISH"/>
        <s v="MARIA DEL CARMEN VENEGAS MARISCAL"/>
        <s v="DIANA BITCA"/>
        <s v="SANDRA GARCIA TEJADA"/>
        <s v="CRISTINA PAHISSA"/>
        <s v="JESICA VILLAREAL LIMIA"/>
        <s v="RAQUEL MORRILLO RUIZ"/>
        <s v="SILVIA SORIANO NAVAS"/>
        <s v="PATRICIA RUIZ MORENO"/>
        <s v="MARIA DEL MAR VIZARRO PALLEJA"/>
        <s v="NOEMI MARTINEZ"/>
        <s v="ANA CATALAN VALLE"/>
        <s v="SONIA ESPIN"/>
        <s v="MARIA MANUELA MARFIL GONZALEZ"/>
        <s v="BEATRIZ SAEZ ORTIZ"/>
        <s v="HELENA PALMA CABALLERO"/>
        <s v="BEATRIZ COSTAN MEDINA"/>
        <s v="MIRIAM BORREGO"/>
        <s v="CONCHI PEINADO CATENA"/>
        <s v="MARIA ROSA VILARDELL"/>
        <s v="SANDRA VALLS GARCIA"/>
        <s v="SONIA HERNANDEZ PORCAR"/>
        <s v="ROSANA LOPEZ COBO"/>
        <s v="MERCHI TINTORERIA"/>
        <s v="MARIA TORO PILO"/>
        <s v="MARGO"/>
        <s v="NURIA BOTE CABALLERO"/>
        <s v="NATALIA LOZANO SOLOMANDO"/>
        <s v="ANTONIO GARCIA FAJARDO"/>
        <s v="EVA CASTIELLA RIVAS"/>
        <s v="JOSE LUI ORTUÑO FERNANDEZ"/>
        <s v="ROSA AMADOR PEREIRA"/>
        <s v="ICHAM OMEISA"/>
        <s v="MIGUEL JIMENEZ CALVILLO"/>
        <s v="SARA LOZANO SANTAMARIA"/>
        <s v="ESTHER BERTOS PAEZ"/>
        <s v="SERGI FERNANDEZ FRANCO"/>
        <s v="SUSANA RODRIGUEZ MORALES"/>
        <s v="ANDREA ROXANA SCINTEIE"/>
        <s v="MIRIAM RODERO MARTOS"/>
        <s v="JUAN SANCHEZ JIMENEZ"/>
        <s v="LOLI ORTA PEREZ"/>
        <s v="BARBARA VILAR GUILLEN"/>
        <s v="MARIA DEL MAR DE LA CRUZ GAITERO"/>
        <s v="ANA MERCHAN MARTINEZ"/>
        <s v="FERNANDO DE LA TORRE MORENO"/>
        <s v="AINOA"/>
        <s v="RAQUEL FORNELIO ROCHAS"/>
        <s v="CRISTINA PICO"/>
        <s v="KARIMA KADI SAMMAR"/>
        <s v="JOSEP MARIA COCH GUINART"/>
        <s v="JENNIFER BASQUENS APARICIO"/>
        <s v="MONTSE MACIZO"/>
        <s v="CRISTINA CASTILLO UBACH"/>
        <s v="MARIA JOSE PADILLA FERNANDEZ"/>
        <s v="FRANCISCO NEVADO ACACIO"/>
        <s v="LORENA ALVAREZ FERNANDEZ"/>
        <s v="FRANCISCO GONZALEZ PADILLA"/>
        <s v="EVA GONZALEZ GAMEZ"/>
        <s v="MONICA HIDALGO"/>
        <s v="YOLANDA FERNANDEZ LLAMAS"/>
        <s v="LAURA RAMOS JIMENEZ"/>
        <s v="JUDITH PLA CUEVAS"/>
        <s v="ELISABET AMOR TEJADA"/>
        <s v="ILEANA CORDERO GUZMAN"/>
        <s v="ANA MARIA RODRIGUEZ LAVANDEIRA"/>
        <s v="LAURA LOPEZ VICENTE"/>
        <s v="MIGUEL FERNANDEZ"/>
        <s v="MARTA LLOPIS JAIMEZ"/>
        <s v="CORAL LA LIRA"/>
        <s v="SARAY ALBUJAR JIMENEZ"/>
        <s v="EDURNE GUERRERO"/>
        <s v="SARA LOPEZ RAMON"/>
        <s v="PATRICIA MESA VEGA"/>
        <s v="BEATRIZ VILLEN"/>
        <s v="REBECA MARTIN SERRANO"/>
        <s v="SANDRA COBO PEÑA"/>
        <s v="ANNA ROCAS ROYO"/>
        <s v="ANDREA CAMINADA"/>
        <s v="SARA MOYA"/>
        <s v="MARIA CARMEN VALERO QUIEROS"/>
        <s v="ISABEL GARCIA RUBIO"/>
        <s v="LAURA ARCOS HERMOSILLA"/>
        <s v="SANDRA GARCIA MUÑOZ"/>
        <s v="PABLO ZAMORA PASCUAL"/>
        <s v="EVA TORO"/>
        <s v="JUDITH GARCIA"/>
        <s v="ISA PANFLETA"/>
        <s v="PATRICIA ROVIRA CAMARA"/>
        <s v="INES LORENTE FERNANDEZ"/>
        <s v="MIRIAM DIAZ PATRICIO"/>
        <s v="LUCIA DELGADO GUERRERO"/>
        <s v="ANALIA TORRES NEGREIRA"/>
        <s v="MIRIAM BORREGO FERNANDEZ"/>
        <s v="VANESSA GIL SACRISTAN"/>
        <s v="MIRIAM MAYA REBOLLO"/>
        <s v="ANGELA MEGIAS MORATO"/>
        <s v="JOSE MARQUEZ"/>
        <s v="ELISABETH RUBIO RAMIREZ"/>
        <s v="MARTA NUÑEZ RAMON"/>
        <s v="JOSEFA ROSAS FERNANDEZ"/>
        <s v="REMEI TORRENTE"/>
        <s v="PILAR RUBIO LOPEZ"/>
        <s v="FRANCISCO ORTIZ ALVAREZ"/>
        <s v="VICKY IZQUIERDO HERVAS"/>
        <s v="ANA ISABEL RAMIREZ CARRASCO"/>
        <s v="GLOBUS PLES VALENTS"/>
        <s v="ALEXIA CORTES OLVERA"/>
        <s v="MARIA FERNANDA AREVALO SAN LUCAS"/>
        <s v="LAIA MANY ARAGUES"/>
        <s v="JAVIER SILES PEREZ"/>
        <s v="POL MARCO HERBAS"/>
        <s v="NELSON RENDON ARANA"/>
        <s v="RUBEN SANCHEZ DEL REY"/>
        <s v="MAYRA CALVENTE LIEBANA"/>
        <s v="MARINA GARCIA ALTIMIRA"/>
        <s v="LAURA REYES GUERRERO"/>
        <s v="MARIA VICTORIA VIDUEIROS DEL PUERTO"/>
        <s v="SALVADOR ALFARO RAMIREZ"/>
        <s v="EVA MARIA PERERA ARCOS"/>
        <s v="CARMEN JULIA GARCIA VILLANUEVA"/>
        <s v="SILVIA FERNANDEZ MONTALVEZ"/>
        <s v="CARLOS ESPE"/>
        <s v="SILVIA MARTINEZ CRUZ"/>
        <s v="JOSE ANTONIO LOPEZ GALLARDO"/>
        <s v="PILAR MORILLAS"/>
        <s v="MARIBEL ALCARAZ FUENTES"/>
        <s v="NATALIA MADARNAS PELAEZ"/>
        <s v="MONTSERRAT GORDO BUIXO"/>
        <s v="VERONICA GARCIA"/>
        <s v="ROCIO ROMACHO RUBIO"/>
        <s v="VANESA GAJAETE HERNANDEZ"/>
        <s v="MAIKA HERNANDEZ MONTOYA"/>
        <s v="MIREIA BARRERA ORTEGA"/>
        <s v="ANA MARIA REYES PASSEGGI"/>
        <s v="LUIS BADORREY ALEJANDRE"/>
        <s v="MANUEL SANCHEZ ALCARAZ"/>
        <s v="JESUS HERNANDEZ MACIAS"/>
        <s v="DAVID SANCHEZ PRIETO"/>
        <s v="TRINI BENITEZ TOMAS"/>
        <s v="JUANI LATO"/>
        <s v="MARI CARMEN ALEMANY MORERA"/>
        <s v="JORGE FLORES TORRES"/>
        <s v="CARLOS JIMENEZ"/>
        <s v="NURIA GUTIERREZ ESPINOS"/>
        <s v="MONTSERRAT GARCIA MATEO"/>
        <s v="PILAR ESTRADA LOPEZ"/>
        <s v="RAFA CARRILLO"/>
        <s v="ELI ARQUILLO"/>
        <s v="JAVIER JULIÀ BURILLO"/>
        <s v="DANIEL RUIZ"/>
        <s v="ESPE"/>
        <s v="RAQUEL MARTINEZ TERUEL"/>
        <s v="AMPARO RUBIO ANDRES"/>
        <s v="JESSICA PERERA GARCIA"/>
        <s v="JOSE LUIS GUERRERO"/>
        <s v="ELISABET VERDEJO"/>
        <s v="CARLOS RAMIREZ"/>
        <s v="CRISTIAN ISIDRO"/>
        <s v="ALBA GARCIA"/>
        <s v="MARI CARMEN CARRETERO RUIZ"/>
        <s v="CARLA NIETO DEL FRESNO"/>
        <s v="NOELIA GUTIERREZ"/>
        <s v="MONICA BECA"/>
        <s v="OLGA MOLINA RAMIREZ"/>
        <s v="ALEJANDRO PANIAGUA PEREZ"/>
        <s v="JAVIER PEREZ"/>
        <s v="JESSICA GOMEZ GOMEZ"/>
        <s v="CARMEN ROMERO"/>
        <s v="MAYTE GOMEZ"/>
        <s v="EVA ROSADO"/>
        <s v="ANA GUIRAO"/>
        <s v="SILVIA CARDOSO"/>
        <s v="LIDIA PALAU RAMOS"/>
        <s v="NURIA NINOU GOMEZ"/>
        <s v="LORENA PEREZ FERNANDEZ"/>
        <s v="ADRIAN RODRIGUEZ GONZALEZ"/>
        <s v="CINTIA MARTINEZ - MARIA ANGELES RESINA GALINDO"/>
        <s v="ESTHER RUIZ"/>
        <s v="NEREA RODULFO DE ANTA"/>
        <s v="ESTEFANIA PEDROSA"/>
        <s v="NOELIA GOMEZ"/>
        <s v="MELI GONZALEZ"/>
        <s v="SELENA CASAS GOMEZ"/>
        <s v="INES LORENTE"/>
        <s v="MARINA CAÑADAS MOLINA"/>
        <s v="ORNELA CABELLO"/>
        <s v="KARIM"/>
        <s v="IRENE FERNANDEZ"/>
        <s v="YOLANDA VAZQUEZ"/>
        <s v="CAMILA URQUIETA"/>
        <s v="ANA SEBA"/>
        <s v="SUSANA JABALERA"/>
        <s v="JENIFER FERNANDEZ ROJAS"/>
        <s v="BRENDA MARCOS"/>
        <s v="ALBA SERGIO GOMEZ"/>
        <s v="ALICIA HIDALGO"/>
        <s v="ELI VILAR"/>
        <s v="SUSANA CORRALES"/>
        <s v="PAQUI LUNA"/>
        <s v="ALBA JIMENEZ UTRILLAS"/>
        <s v="EULALIA BOFILL"/>
        <s v="MARC PALET"/>
        <s v="VANESA OLIVA"/>
        <s v="CHELO GALVAN CAMPANON"/>
        <s v="ARIADNA JIMENEZ CORCOLES"/>
        <s v="GEMMA LARA GARCIA"/>
        <s v="PEDRO MALDIVIA"/>
        <s v="GLORIA MELJAREJO"/>
        <s v="NURIA JIMENEZ"/>
        <s v="SARA MIRANDA"/>
        <s v="LORENA RODRIGUEZ ESCOBAR"/>
        <s v="MARI GOMEZ PLAZA"/>
        <s v="CHAIMA AHADDAD MAALLAM"/>
        <s v="JUDIT SARMIENTO FORMULARI"/>
      </sharedItems>
    </cacheField>
    <cacheField name="CODI POSTAL" numFmtId="0">
      <sharedItems containsBlank="1" containsMixedTypes="1" containsNumber="1" containsInteger="1" minValue="8001" maxValue="8911"/>
    </cacheField>
    <cacheField name="MUNICIPI" numFmtId="0">
      <sharedItems containsBlank="1"/>
    </cacheField>
    <cacheField name="DIRECCIÓ" numFmtId="0">
      <sharedItems containsBlank="1"/>
    </cacheField>
    <cacheField name="DNI" numFmtId="0">
      <sharedItems containsBlank="1" containsMixedTypes="1" containsNumber="1" containsInteger="1" minValue="657287882" maxValue="657287882"/>
    </cacheField>
    <cacheField name="TARIFA" numFmtId="0">
      <sharedItems containsString="0" containsBlank="1" containsNumber="1" minValue="0" maxValue="2000"/>
    </cacheField>
    <cacheField name="HORAS EXTRAS" numFmtId="0">
      <sharedItems containsString="0" containsBlank="1" containsNumber="1" containsInteger="1" minValue="0" maxValue="3"/>
    </cacheField>
    <cacheField name="IMPORTE EXTRAS" numFmtId="0">
      <sharedItems containsString="0" containsBlank="1" containsNumber="1" containsInteger="1" minValue="0" maxValue="210"/>
    </cacheField>
    <cacheField name="IMPORTE TOTAL" numFmtId="0">
      <sharedItems containsString="0" containsBlank="1" containsNumber="1" minValue="0" maxValue="2000"/>
    </cacheField>
    <cacheField name="COBRAT" numFmtId="0">
      <sharedItems containsBlank="1" count="4">
        <s v="SI"/>
        <s v="RESERVA"/>
        <s v="NO"/>
        <m/>
      </sharedItems>
    </cacheField>
    <cacheField name="RES-A" numFmtId="0">
      <sharedItems containsString="0" containsBlank="1" containsNumber="1" minValue="0" maxValue="2000"/>
    </cacheField>
    <cacheField name="RES-B" numFmtId="0">
      <sharedItems containsString="0" containsBlank="1" containsNumber="1" containsInteger="1" minValue="0" maxValue="550"/>
    </cacheField>
    <cacheField name="EXTR-A" numFmtId="0">
      <sharedItems containsString="0" containsBlank="1" containsNumber="1" containsInteger="1" minValue="0" maxValue="160"/>
    </cacheField>
    <cacheField name="EXTR-B" numFmtId="0">
      <sharedItems containsString="0" containsBlank="1" containsNumber="1" containsInteger="1" minValue="0" maxValue="170"/>
    </cacheField>
    <cacheField name="OBSERVACION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9">
  <r>
    <x v="0"/>
    <x v="0"/>
    <d v="2020-01-01T00:00:00"/>
    <s v="DIMECRES"/>
    <s v="SI"/>
    <s v="NO"/>
    <d v="1899-12-30T12:30:00"/>
    <d v="1899-12-30T20:30:00"/>
    <x v="0"/>
    <n v="2"/>
    <x v="0"/>
    <n v="8170"/>
    <s v="MONTORNES DEL VALLES"/>
    <m/>
    <n v="657287882"/>
    <n v="200"/>
    <n v="0"/>
    <n v="0"/>
    <n v="200"/>
    <x v="0"/>
    <n v="0"/>
    <n v="200"/>
    <n v="0"/>
    <n v="0"/>
    <x v="0"/>
  </r>
  <r>
    <x v="0"/>
    <x v="0"/>
    <d v="2020-01-02T00:00:00"/>
    <s v="DIJOUS"/>
    <s v="NO"/>
    <s v="NO"/>
    <d v="1899-12-30T15:30:00"/>
    <d v="1899-12-30T20:30:00"/>
    <x v="1"/>
    <n v="2"/>
    <x v="1"/>
    <m/>
    <m/>
    <m/>
    <m/>
    <n v="95"/>
    <n v="0"/>
    <n v="0"/>
    <n v="95"/>
    <x v="0"/>
    <n v="5"/>
    <n v="90"/>
    <n v="0"/>
    <n v="0"/>
    <x v="1"/>
  </r>
  <r>
    <x v="0"/>
    <x v="0"/>
    <d v="2020-01-03T00:00:00"/>
    <s v="DIVENDRES"/>
    <s v="NO"/>
    <s v="NO"/>
    <d v="1899-12-30T15:30:00"/>
    <d v="1899-12-30T20:30:00"/>
    <x v="1"/>
    <n v="1"/>
    <x v="2"/>
    <m/>
    <m/>
    <m/>
    <m/>
    <n v="135"/>
    <n v="0"/>
    <n v="0"/>
    <n v="135"/>
    <x v="0"/>
    <n v="135"/>
    <n v="0"/>
    <n v="0"/>
    <n v="0"/>
    <x v="1"/>
  </r>
  <r>
    <x v="0"/>
    <x v="0"/>
    <d v="2020-01-03T00:00:00"/>
    <s v="DIVENDRES"/>
    <s v="NO"/>
    <s v="NO"/>
    <d v="1899-12-30T21:30:00"/>
    <d v="1899-12-30T02:30:00"/>
    <x v="2"/>
    <n v="1"/>
    <x v="3"/>
    <m/>
    <s v="VILANOVA DEL VALLES"/>
    <m/>
    <m/>
    <n v="195"/>
    <n v="0"/>
    <n v="0"/>
    <n v="195"/>
    <x v="0"/>
    <n v="0"/>
    <n v="195"/>
    <n v="0"/>
    <n v="0"/>
    <x v="1"/>
  </r>
  <r>
    <x v="0"/>
    <x v="0"/>
    <d v="2020-01-04T00:00:00"/>
    <s v="DISSABTE"/>
    <s v="NO"/>
    <s v="NO"/>
    <d v="1899-12-30T09:30:00"/>
    <d v="1899-12-30T14:30:00"/>
    <x v="3"/>
    <n v="1"/>
    <x v="4"/>
    <m/>
    <m/>
    <m/>
    <m/>
    <n v="145"/>
    <n v="0"/>
    <n v="0"/>
    <n v="145"/>
    <x v="0"/>
    <n v="0"/>
    <n v="145"/>
    <n v="0"/>
    <n v="0"/>
    <x v="1"/>
  </r>
  <r>
    <x v="0"/>
    <x v="0"/>
    <d v="2020-01-04T00:00:00"/>
    <s v="DISSABTE"/>
    <s v="NO"/>
    <s v="NO"/>
    <d v="1899-12-30T15:30:00"/>
    <d v="1899-12-30T20:30:00"/>
    <x v="1"/>
    <n v="1"/>
    <x v="5"/>
    <n v="8170"/>
    <s v="MONTORNES DEL VALLES"/>
    <m/>
    <m/>
    <n v="145"/>
    <n v="0"/>
    <n v="0"/>
    <n v="145"/>
    <x v="0"/>
    <n v="145"/>
    <n v="0"/>
    <n v="0"/>
    <n v="0"/>
    <x v="1"/>
  </r>
  <r>
    <x v="0"/>
    <x v="0"/>
    <d v="2020-01-04T00:00:00"/>
    <s v="DISSABTE"/>
    <s v="NO"/>
    <s v="NO"/>
    <d v="1899-12-30T21:30:00"/>
    <d v="1899-12-30T02:30:00"/>
    <x v="2"/>
    <n v="1"/>
    <x v="6"/>
    <m/>
    <s v="VILANOVA DEL VALLES"/>
    <m/>
    <m/>
    <n v="195"/>
    <n v="0"/>
    <n v="0"/>
    <n v="195"/>
    <x v="0"/>
    <n v="195"/>
    <n v="0"/>
    <n v="0"/>
    <n v="0"/>
    <x v="1"/>
  </r>
  <r>
    <x v="0"/>
    <x v="0"/>
    <d v="2020-01-05T00:00:00"/>
    <s v="DIUMENGE"/>
    <s v="NO"/>
    <s v="SI"/>
    <d v="1899-12-30T09:30:00"/>
    <d v="1899-12-30T14:30:00"/>
    <x v="3"/>
    <n v="1"/>
    <x v="7"/>
    <m/>
    <s v="SENMENAT"/>
    <m/>
    <m/>
    <n v="145"/>
    <n v="0"/>
    <n v="0"/>
    <n v="145"/>
    <x v="0"/>
    <n v="145"/>
    <n v="0"/>
    <n v="0"/>
    <n v="0"/>
    <x v="1"/>
  </r>
  <r>
    <x v="0"/>
    <x v="0"/>
    <d v="2020-01-06T00:00:00"/>
    <s v="DILLUNS"/>
    <s v="SI"/>
    <s v="NO"/>
    <d v="1899-12-30T15:00:00"/>
    <d v="1899-12-30T20:00:00"/>
    <x v="0"/>
    <n v="1"/>
    <x v="8"/>
    <m/>
    <m/>
    <m/>
    <m/>
    <n v="145"/>
    <n v="0"/>
    <n v="0"/>
    <n v="145"/>
    <x v="0"/>
    <n v="145"/>
    <n v="0"/>
    <n v="0"/>
    <n v="0"/>
    <x v="0"/>
  </r>
  <r>
    <x v="0"/>
    <x v="0"/>
    <d v="2020-01-08T00:00:00"/>
    <s v="DIMECRES"/>
    <s v="NO"/>
    <s v="NO"/>
    <d v="1899-12-30T15:30:00"/>
    <d v="1899-12-30T20:30:00"/>
    <x v="1"/>
    <n v="1"/>
    <x v="9"/>
    <m/>
    <m/>
    <m/>
    <m/>
    <n v="95"/>
    <n v="0"/>
    <n v="0"/>
    <n v="95"/>
    <x v="0"/>
    <n v="0"/>
    <n v="95"/>
    <n v="0"/>
    <n v="0"/>
    <x v="1"/>
  </r>
  <r>
    <x v="0"/>
    <x v="0"/>
    <d v="2020-01-11T00:00:00"/>
    <s v="DISSABTE"/>
    <s v="NO"/>
    <s v="NO"/>
    <d v="1899-12-30T15:30:00"/>
    <d v="1899-12-30T02:30:00"/>
    <x v="4"/>
    <n v="2"/>
    <x v="9"/>
    <m/>
    <m/>
    <m/>
    <m/>
    <n v="300"/>
    <n v="0"/>
    <n v="0"/>
    <n v="300"/>
    <x v="0"/>
    <n v="300"/>
    <n v="0"/>
    <n v="0"/>
    <n v="0"/>
    <x v="1"/>
  </r>
  <r>
    <x v="0"/>
    <x v="0"/>
    <d v="2020-01-12T00:00:00"/>
    <s v="DIUMENGE"/>
    <s v="NO"/>
    <s v="NO"/>
    <d v="1899-12-30T09:30:00"/>
    <d v="1899-12-30T20:30:00"/>
    <x v="5"/>
    <n v="2"/>
    <x v="9"/>
    <m/>
    <m/>
    <m/>
    <m/>
    <n v="200"/>
    <n v="0"/>
    <n v="0"/>
    <n v="200"/>
    <x v="0"/>
    <n v="200"/>
    <n v="0"/>
    <n v="0"/>
    <n v="0"/>
    <x v="1"/>
  </r>
  <r>
    <x v="0"/>
    <x v="0"/>
    <d v="2020-01-17T00:00:00"/>
    <s v="DIVENDRES"/>
    <s v="NO"/>
    <s v="NO"/>
    <d v="1899-12-30T21:30:00"/>
    <d v="1899-12-30T02:30:00"/>
    <x v="2"/>
    <n v="1"/>
    <x v="10"/>
    <m/>
    <s v="VILANOVA DEL VALLES"/>
    <m/>
    <m/>
    <n v="195"/>
    <n v="1"/>
    <n v="50"/>
    <n v="245"/>
    <x v="0"/>
    <n v="195"/>
    <n v="0"/>
    <n v="0"/>
    <n v="50"/>
    <x v="1"/>
  </r>
  <r>
    <x v="0"/>
    <x v="0"/>
    <d v="2020-01-18T00:00:00"/>
    <s v="DISSABTE"/>
    <s v="NO"/>
    <s v="NO"/>
    <d v="1899-12-30T15:30:00"/>
    <d v="1899-12-30T20:30:00"/>
    <x v="1"/>
    <n v="1"/>
    <x v="9"/>
    <m/>
    <m/>
    <m/>
    <m/>
    <n v="145"/>
    <n v="0"/>
    <n v="0"/>
    <n v="145"/>
    <x v="0"/>
    <n v="100"/>
    <n v="45"/>
    <n v="0"/>
    <n v="0"/>
    <x v="1"/>
  </r>
  <r>
    <x v="0"/>
    <x v="0"/>
    <d v="2020-01-18T00:00:00"/>
    <s v="DISSABTE"/>
    <s v="NO"/>
    <s v="NO"/>
    <d v="1899-12-30T21:30:00"/>
    <d v="1899-12-30T02:30:00"/>
    <x v="2"/>
    <n v="1"/>
    <x v="11"/>
    <n v="8170"/>
    <s v="MONTORNES DEL VALLES"/>
    <m/>
    <m/>
    <n v="195"/>
    <n v="0"/>
    <n v="0"/>
    <n v="195"/>
    <x v="0"/>
    <n v="0"/>
    <n v="195"/>
    <n v="0"/>
    <n v="0"/>
    <x v="1"/>
  </r>
  <r>
    <x v="0"/>
    <x v="0"/>
    <d v="2020-01-19T00:00:00"/>
    <s v="DIUMENGE"/>
    <s v="NO"/>
    <s v="NO"/>
    <d v="1899-12-30T15:30:00"/>
    <d v="1899-12-30T20:30:00"/>
    <x v="1"/>
    <n v="1"/>
    <x v="12"/>
    <n v="8170"/>
    <s v="MONTORNES DEL VALLES"/>
    <m/>
    <m/>
    <n v="145"/>
    <n v="0"/>
    <n v="0"/>
    <n v="145"/>
    <x v="0"/>
    <n v="0"/>
    <n v="145"/>
    <n v="0"/>
    <n v="0"/>
    <x v="1"/>
  </r>
  <r>
    <x v="0"/>
    <x v="0"/>
    <d v="2020-01-25T00:00:00"/>
    <s v="DISSABTE"/>
    <s v="NO"/>
    <s v="NO"/>
    <d v="1899-12-30T09:30:00"/>
    <d v="1899-12-30T14:30:00"/>
    <x v="3"/>
    <n v="1"/>
    <x v="13"/>
    <m/>
    <m/>
    <m/>
    <m/>
    <n v="145"/>
    <n v="0"/>
    <n v="0"/>
    <n v="145"/>
    <x v="0"/>
    <n v="50"/>
    <n v="95"/>
    <n v="0"/>
    <n v="0"/>
    <x v="1"/>
  </r>
  <r>
    <x v="0"/>
    <x v="0"/>
    <d v="2020-01-25T00:00:00"/>
    <s v="DISSABTE"/>
    <s v="NO"/>
    <s v="NO"/>
    <d v="1899-12-30T21:30:00"/>
    <d v="1899-12-30T02:30:00"/>
    <x v="2"/>
    <n v="1"/>
    <x v="14"/>
    <m/>
    <m/>
    <m/>
    <m/>
    <n v="195"/>
    <n v="0"/>
    <n v="0"/>
    <n v="195"/>
    <x v="0"/>
    <n v="0"/>
    <n v="195"/>
    <n v="0"/>
    <n v="0"/>
    <x v="1"/>
  </r>
  <r>
    <x v="0"/>
    <x v="0"/>
    <d v="2020-01-26T00:00:00"/>
    <s v="DIUMENGE"/>
    <s v="NO"/>
    <s v="NO"/>
    <d v="1899-12-30T15:30:00"/>
    <d v="1899-12-30T20:30:00"/>
    <x v="1"/>
    <n v="1"/>
    <x v="15"/>
    <m/>
    <m/>
    <m/>
    <m/>
    <n v="145"/>
    <n v="0"/>
    <n v="0"/>
    <n v="145"/>
    <x v="0"/>
    <n v="50"/>
    <n v="95"/>
    <n v="0"/>
    <n v="0"/>
    <x v="1"/>
  </r>
  <r>
    <x v="0"/>
    <x v="0"/>
    <d v="2020-01-31T00:00:00"/>
    <s v="DIVENDRES"/>
    <s v="NO"/>
    <s v="NO"/>
    <d v="1899-12-30T15:30:00"/>
    <d v="1899-12-30T20:30:00"/>
    <x v="1"/>
    <n v="1"/>
    <x v="16"/>
    <m/>
    <m/>
    <m/>
    <m/>
    <n v="135"/>
    <n v="0"/>
    <n v="0"/>
    <n v="135"/>
    <x v="0"/>
    <n v="0"/>
    <n v="135"/>
    <n v="0"/>
    <n v="0"/>
    <x v="1"/>
  </r>
  <r>
    <x v="0"/>
    <x v="0"/>
    <d v="2020-01-31T00:00:00"/>
    <s v="DIVENDRES"/>
    <s v="NO"/>
    <s v="NO"/>
    <d v="1899-12-30T21:30:00"/>
    <d v="1899-12-30T02:30:00"/>
    <x v="2"/>
    <n v="1"/>
    <x v="17"/>
    <m/>
    <m/>
    <m/>
    <m/>
    <n v="195"/>
    <n v="0"/>
    <n v="0"/>
    <n v="195"/>
    <x v="0"/>
    <n v="50"/>
    <n v="145"/>
    <n v="0"/>
    <n v="0"/>
    <x v="1"/>
  </r>
  <r>
    <x v="0"/>
    <x v="1"/>
    <d v="2020-02-01T00:00:00"/>
    <s v="DISSABTE"/>
    <s v="NO"/>
    <s v="NO"/>
    <d v="1899-12-30T15:30:00"/>
    <d v="1899-12-30T20:30:00"/>
    <x v="1"/>
    <n v="1"/>
    <x v="18"/>
    <m/>
    <m/>
    <m/>
    <m/>
    <n v="145"/>
    <n v="1"/>
    <n v="5"/>
    <n v="150"/>
    <x v="0"/>
    <n v="0"/>
    <n v="145"/>
    <n v="0"/>
    <n v="5"/>
    <x v="1"/>
  </r>
  <r>
    <x v="0"/>
    <x v="1"/>
    <d v="2020-02-04T00:00:00"/>
    <s v="DIMARTS"/>
    <s v="NO"/>
    <s v="NO"/>
    <d v="1899-12-30T15:30:00"/>
    <d v="1899-12-30T20:30:00"/>
    <x v="1"/>
    <n v="1"/>
    <x v="19"/>
    <m/>
    <m/>
    <m/>
    <m/>
    <n v="65"/>
    <n v="0"/>
    <n v="0"/>
    <n v="65"/>
    <x v="0"/>
    <n v="50"/>
    <n v="15"/>
    <n v="0"/>
    <n v="0"/>
    <x v="1"/>
  </r>
  <r>
    <x v="0"/>
    <x v="1"/>
    <d v="2020-02-08T00:00:00"/>
    <s v="DISSABTE"/>
    <s v="NO"/>
    <s v="NO"/>
    <d v="1899-12-30T15:30:00"/>
    <d v="1899-12-30T20:30:00"/>
    <x v="1"/>
    <n v="1"/>
    <x v="20"/>
    <m/>
    <m/>
    <m/>
    <m/>
    <n v="145"/>
    <n v="0"/>
    <n v="0"/>
    <n v="145"/>
    <x v="0"/>
    <n v="0"/>
    <n v="145"/>
    <n v="0"/>
    <n v="0"/>
    <x v="1"/>
  </r>
  <r>
    <x v="0"/>
    <x v="1"/>
    <d v="2020-02-09T00:00:00"/>
    <s v="DIUMENGE"/>
    <s v="NO"/>
    <s v="NO"/>
    <d v="1899-12-30T09:30:00"/>
    <d v="1899-12-30T15:30:00"/>
    <x v="3"/>
    <n v="1"/>
    <x v="21"/>
    <m/>
    <m/>
    <m/>
    <m/>
    <n v="145"/>
    <n v="0"/>
    <n v="0"/>
    <n v="145"/>
    <x v="0"/>
    <n v="50"/>
    <n v="95"/>
    <n v="0"/>
    <n v="0"/>
    <x v="1"/>
  </r>
  <r>
    <x v="0"/>
    <x v="1"/>
    <d v="2020-02-10T00:00:00"/>
    <s v="DILLUNS"/>
    <s v="NO"/>
    <s v="NO"/>
    <d v="1899-12-30T15:30:00"/>
    <d v="1899-12-30T20:30:00"/>
    <x v="1"/>
    <n v="1"/>
    <x v="22"/>
    <m/>
    <m/>
    <m/>
    <m/>
    <n v="95"/>
    <n v="0"/>
    <n v="0"/>
    <n v="95"/>
    <x v="0"/>
    <n v="50"/>
    <n v="45"/>
    <n v="0"/>
    <n v="0"/>
    <x v="1"/>
  </r>
  <r>
    <x v="0"/>
    <x v="1"/>
    <d v="2020-02-15T00:00:00"/>
    <s v="DISSABTE"/>
    <s v="NO"/>
    <s v="NO"/>
    <d v="1899-12-30T09:30:00"/>
    <d v="1899-12-30T14:30:00"/>
    <x v="3"/>
    <n v="1"/>
    <x v="23"/>
    <m/>
    <m/>
    <m/>
    <m/>
    <n v="145"/>
    <n v="0"/>
    <n v="0"/>
    <n v="145"/>
    <x v="0"/>
    <n v="145"/>
    <n v="0"/>
    <n v="0"/>
    <n v="0"/>
    <x v="1"/>
  </r>
  <r>
    <x v="0"/>
    <x v="1"/>
    <d v="2020-02-15T00:00:00"/>
    <s v="DISSABTE"/>
    <s v="NO"/>
    <s v="NO"/>
    <d v="1899-12-30T15:30:00"/>
    <d v="1899-12-30T20:30:00"/>
    <x v="1"/>
    <n v="1"/>
    <x v="24"/>
    <m/>
    <m/>
    <m/>
    <m/>
    <n v="145"/>
    <n v="0"/>
    <n v="0"/>
    <n v="145"/>
    <x v="0"/>
    <n v="145"/>
    <n v="0"/>
    <n v="0"/>
    <n v="0"/>
    <x v="1"/>
  </r>
  <r>
    <x v="0"/>
    <x v="1"/>
    <d v="2020-02-15T00:00:00"/>
    <s v="DISSABTE"/>
    <s v="NO"/>
    <s v="NO"/>
    <d v="1899-12-30T21:30:00"/>
    <d v="1899-12-30T02:30:00"/>
    <x v="2"/>
    <n v="1"/>
    <x v="25"/>
    <m/>
    <m/>
    <m/>
    <m/>
    <n v="195"/>
    <n v="0"/>
    <n v="100"/>
    <n v="295"/>
    <x v="0"/>
    <n v="50"/>
    <n v="145"/>
    <n v="0"/>
    <n v="100"/>
    <x v="1"/>
  </r>
  <r>
    <x v="0"/>
    <x v="1"/>
    <d v="2020-02-16T00:00:00"/>
    <s v="DIUMENGE"/>
    <s v="NO"/>
    <s v="NO"/>
    <d v="1899-12-30T09:30:00"/>
    <d v="1899-12-30T14:30:00"/>
    <x v="3"/>
    <n v="1"/>
    <x v="26"/>
    <m/>
    <m/>
    <m/>
    <m/>
    <n v="145"/>
    <n v="0"/>
    <n v="0"/>
    <n v="145"/>
    <x v="0"/>
    <n v="0"/>
    <n v="145"/>
    <n v="0"/>
    <n v="0"/>
    <x v="1"/>
  </r>
  <r>
    <x v="0"/>
    <x v="1"/>
    <d v="2020-02-16T00:00:00"/>
    <s v="DIUMENGE"/>
    <s v="NO"/>
    <s v="NO"/>
    <d v="1899-12-30T15:30:00"/>
    <d v="1899-12-30T20:30:00"/>
    <x v="1"/>
    <n v="1"/>
    <x v="27"/>
    <m/>
    <m/>
    <m/>
    <m/>
    <n v="145"/>
    <n v="0"/>
    <n v="0"/>
    <n v="145"/>
    <x v="0"/>
    <n v="50"/>
    <n v="95"/>
    <n v="0"/>
    <n v="0"/>
    <x v="1"/>
  </r>
  <r>
    <x v="0"/>
    <x v="1"/>
    <d v="2020-02-21T00:00:00"/>
    <s v="DIVENDRES"/>
    <s v="NO"/>
    <s v="NO"/>
    <d v="1899-12-30T21:30:00"/>
    <d v="1899-12-30T02:30:00"/>
    <x v="2"/>
    <n v="1"/>
    <x v="28"/>
    <m/>
    <m/>
    <m/>
    <m/>
    <n v="195"/>
    <n v="1"/>
    <n v="5"/>
    <n v="200"/>
    <x v="0"/>
    <n v="0"/>
    <n v="195"/>
    <n v="0"/>
    <n v="5"/>
    <x v="1"/>
  </r>
  <r>
    <x v="0"/>
    <x v="1"/>
    <d v="2020-02-22T00:00:00"/>
    <s v="DISSABTE"/>
    <s v="NO"/>
    <s v="NO"/>
    <d v="1899-12-30T15:30:00"/>
    <d v="1899-12-30T20:30:00"/>
    <x v="1"/>
    <n v="1"/>
    <x v="29"/>
    <m/>
    <m/>
    <m/>
    <m/>
    <n v="145"/>
    <n v="1"/>
    <n v="5"/>
    <n v="150"/>
    <x v="0"/>
    <n v="0"/>
    <n v="145"/>
    <n v="0"/>
    <n v="5"/>
    <x v="1"/>
  </r>
  <r>
    <x v="0"/>
    <x v="1"/>
    <d v="2020-02-22T00:00:00"/>
    <s v="DISSABTE"/>
    <s v="NO"/>
    <s v="NO"/>
    <d v="1899-12-30T21:30:00"/>
    <d v="1899-12-30T02:30:00"/>
    <x v="2"/>
    <n v="1"/>
    <x v="30"/>
    <m/>
    <m/>
    <m/>
    <m/>
    <n v="195"/>
    <n v="1"/>
    <n v="5"/>
    <n v="200"/>
    <x v="0"/>
    <n v="0"/>
    <n v="195"/>
    <n v="0"/>
    <n v="5"/>
    <x v="0"/>
  </r>
  <r>
    <x v="0"/>
    <x v="1"/>
    <d v="2020-02-23T00:00:00"/>
    <s v="DIUMENGE"/>
    <s v="NO"/>
    <s v="NO"/>
    <d v="1899-12-30T09:30:00"/>
    <d v="1899-12-30T14:30:00"/>
    <x v="3"/>
    <n v="1"/>
    <x v="31"/>
    <m/>
    <m/>
    <m/>
    <m/>
    <n v="145"/>
    <n v="0"/>
    <n v="0"/>
    <n v="145"/>
    <x v="0"/>
    <n v="145"/>
    <n v="0"/>
    <n v="0"/>
    <n v="0"/>
    <x v="1"/>
  </r>
  <r>
    <x v="0"/>
    <x v="1"/>
    <d v="2020-02-23T00:00:00"/>
    <s v="DIUMENGE"/>
    <s v="NO"/>
    <s v="NO"/>
    <d v="1899-12-30T20:30:00"/>
    <d v="1899-12-30T02:30:00"/>
    <x v="2"/>
    <n v="1"/>
    <x v="32"/>
    <m/>
    <m/>
    <m/>
    <m/>
    <n v="195"/>
    <n v="0"/>
    <n v="0"/>
    <n v="195"/>
    <x v="0"/>
    <n v="100"/>
    <n v="95"/>
    <n v="0"/>
    <n v="0"/>
    <x v="1"/>
  </r>
  <r>
    <x v="0"/>
    <x v="1"/>
    <d v="2020-02-24T00:00:00"/>
    <s v="DILLUNS"/>
    <s v="NO"/>
    <s v="NO"/>
    <d v="1899-12-30T15:30:00"/>
    <d v="1899-12-30T20:30:00"/>
    <x v="1"/>
    <n v="1"/>
    <x v="33"/>
    <m/>
    <m/>
    <m/>
    <m/>
    <n v="95"/>
    <n v="0"/>
    <n v="0"/>
    <n v="95"/>
    <x v="0"/>
    <n v="50"/>
    <n v="45"/>
    <n v="0"/>
    <n v="0"/>
    <x v="1"/>
  </r>
  <r>
    <x v="0"/>
    <x v="1"/>
    <d v="2020-02-29T00:00:00"/>
    <s v="DISSABTE"/>
    <s v="NO"/>
    <s v="NO"/>
    <d v="1899-12-30T09:30:00"/>
    <d v="1899-12-30T14:30:00"/>
    <x v="3"/>
    <n v="1"/>
    <x v="34"/>
    <m/>
    <m/>
    <m/>
    <m/>
    <n v="145"/>
    <n v="0"/>
    <n v="0"/>
    <n v="145"/>
    <x v="0"/>
    <n v="50"/>
    <n v="95"/>
    <n v="0"/>
    <n v="0"/>
    <x v="1"/>
  </r>
  <r>
    <x v="0"/>
    <x v="1"/>
    <d v="2020-02-29T00:00:00"/>
    <s v="DISSABTE"/>
    <s v="NO"/>
    <s v="NO"/>
    <d v="1899-12-30T15:30:00"/>
    <d v="1899-12-30T20:30:00"/>
    <x v="1"/>
    <n v="1"/>
    <x v="35"/>
    <m/>
    <m/>
    <m/>
    <m/>
    <n v="145"/>
    <n v="0"/>
    <n v="0"/>
    <n v="145"/>
    <x v="0"/>
    <n v="50"/>
    <n v="95"/>
    <n v="0"/>
    <n v="0"/>
    <x v="1"/>
  </r>
  <r>
    <x v="0"/>
    <x v="1"/>
    <d v="2020-02-29T00:00:00"/>
    <s v="DISSABTE"/>
    <s v="NO"/>
    <s v="NO"/>
    <d v="1899-12-30T21:30:00"/>
    <d v="1899-12-30T02:30:00"/>
    <x v="2"/>
    <n v="1"/>
    <x v="36"/>
    <n v="8170"/>
    <s v="MONTORNES DEL VALLES"/>
    <m/>
    <m/>
    <n v="195"/>
    <n v="0"/>
    <n v="0"/>
    <n v="195"/>
    <x v="0"/>
    <n v="195"/>
    <n v="0"/>
    <n v="0"/>
    <n v="0"/>
    <x v="1"/>
  </r>
  <r>
    <x v="0"/>
    <x v="2"/>
    <d v="2020-03-06T00:00:00"/>
    <s v="DIVENDRES"/>
    <s v="NO"/>
    <s v="NO"/>
    <d v="1899-12-30T21:30:00"/>
    <d v="1899-12-30T02:30:00"/>
    <x v="2"/>
    <n v="1"/>
    <x v="37"/>
    <m/>
    <m/>
    <m/>
    <m/>
    <n v="195"/>
    <n v="1"/>
    <n v="50"/>
    <n v="245"/>
    <x v="0"/>
    <n v="50"/>
    <n v="145"/>
    <n v="0"/>
    <n v="50"/>
    <x v="1"/>
  </r>
  <r>
    <x v="0"/>
    <x v="2"/>
    <d v="2020-03-07T00:00:00"/>
    <s v="DISSABTE"/>
    <s v="NO"/>
    <s v="NO"/>
    <d v="1899-12-30T15:00:00"/>
    <d v="1899-12-30T20:30:00"/>
    <x v="1"/>
    <n v="1"/>
    <x v="38"/>
    <m/>
    <m/>
    <m/>
    <m/>
    <n v="145"/>
    <n v="0"/>
    <n v="0"/>
    <n v="145"/>
    <x v="0"/>
    <n v="50"/>
    <n v="95"/>
    <n v="0"/>
    <n v="0"/>
    <x v="1"/>
  </r>
  <r>
    <x v="0"/>
    <x v="2"/>
    <d v="2020-03-08T00:00:00"/>
    <s v="DIUMENGE"/>
    <s v="NO"/>
    <s v="NO"/>
    <d v="1899-12-30T09:30:00"/>
    <d v="1899-12-30T14:30:00"/>
    <x v="3"/>
    <n v="1"/>
    <x v="39"/>
    <m/>
    <m/>
    <m/>
    <m/>
    <n v="145"/>
    <n v="0"/>
    <n v="0"/>
    <n v="145"/>
    <x v="0"/>
    <n v="50"/>
    <n v="95"/>
    <n v="0"/>
    <n v="0"/>
    <x v="1"/>
  </r>
  <r>
    <x v="0"/>
    <x v="2"/>
    <d v="2020-03-08T00:00:00"/>
    <s v="DIUMENGE"/>
    <s v="NO"/>
    <s v="NO"/>
    <d v="1899-12-30T15:00:00"/>
    <d v="1899-12-30T20:30:00"/>
    <x v="1"/>
    <n v="1"/>
    <x v="40"/>
    <m/>
    <m/>
    <m/>
    <m/>
    <n v="145"/>
    <n v="1"/>
    <n v="20"/>
    <n v="165"/>
    <x v="0"/>
    <n v="50"/>
    <n v="95"/>
    <n v="0"/>
    <n v="20"/>
    <x v="1"/>
  </r>
  <r>
    <x v="0"/>
    <x v="2"/>
    <d v="2020-03-13T00:00:00"/>
    <s v="DIVENDRES"/>
    <s v="NO"/>
    <s v="NO"/>
    <d v="1899-12-30T15:00:00"/>
    <d v="1899-12-30T20:30:00"/>
    <x v="1"/>
    <n v="1"/>
    <x v="41"/>
    <m/>
    <m/>
    <m/>
    <m/>
    <n v="135"/>
    <n v="0"/>
    <n v="0"/>
    <n v="135"/>
    <x v="1"/>
    <n v="0"/>
    <n v="0"/>
    <n v="0"/>
    <n v="0"/>
    <x v="2"/>
  </r>
  <r>
    <x v="0"/>
    <x v="2"/>
    <d v="2020-03-13T00:00:00"/>
    <s v="DIVENDRES"/>
    <s v="NO"/>
    <s v="NO"/>
    <d v="1899-12-30T21:30:00"/>
    <d v="1899-12-30T02:30:00"/>
    <x v="2"/>
    <n v="1"/>
    <x v="42"/>
    <m/>
    <m/>
    <m/>
    <m/>
    <n v="195"/>
    <n v="0"/>
    <n v="0"/>
    <n v="195"/>
    <x v="1"/>
    <n v="0"/>
    <n v="0"/>
    <n v="0"/>
    <n v="0"/>
    <x v="2"/>
  </r>
  <r>
    <x v="0"/>
    <x v="2"/>
    <d v="2020-03-14T00:00:00"/>
    <s v="DISSABTE"/>
    <s v="NO"/>
    <s v="NO"/>
    <d v="1899-12-30T09:30:00"/>
    <d v="1899-12-30T20:30:00"/>
    <x v="5"/>
    <n v="2"/>
    <x v="43"/>
    <m/>
    <m/>
    <m/>
    <m/>
    <n v="270"/>
    <n v="0"/>
    <n v="0"/>
    <n v="270"/>
    <x v="1"/>
    <n v="0"/>
    <n v="0"/>
    <n v="0"/>
    <n v="0"/>
    <x v="2"/>
  </r>
  <r>
    <x v="0"/>
    <x v="2"/>
    <d v="2020-03-14T00:00:00"/>
    <s v="DISSABTE"/>
    <s v="NO"/>
    <s v="NO"/>
    <d v="1899-12-30T21:30:00"/>
    <d v="1899-12-30T02:30:00"/>
    <x v="2"/>
    <n v="1"/>
    <x v="44"/>
    <m/>
    <m/>
    <m/>
    <m/>
    <n v="195"/>
    <n v="0"/>
    <n v="0"/>
    <n v="195"/>
    <x v="1"/>
    <n v="0"/>
    <n v="0"/>
    <n v="0"/>
    <n v="0"/>
    <x v="3"/>
  </r>
  <r>
    <x v="0"/>
    <x v="2"/>
    <d v="2020-03-15T00:00:00"/>
    <s v="DIUMENGE"/>
    <s v="NO"/>
    <s v="NO"/>
    <d v="1899-12-30T09:30:00"/>
    <d v="1899-12-30T20:30:00"/>
    <x v="5"/>
    <n v="2"/>
    <x v="45"/>
    <m/>
    <m/>
    <m/>
    <m/>
    <n v="270"/>
    <n v="0"/>
    <n v="0"/>
    <n v="270"/>
    <x v="1"/>
    <n v="0"/>
    <n v="0"/>
    <n v="0"/>
    <n v="0"/>
    <x v="2"/>
  </r>
  <r>
    <x v="0"/>
    <x v="2"/>
    <d v="2020-03-20T00:00:00"/>
    <s v="DIVENDRES"/>
    <s v="NO"/>
    <s v="NO"/>
    <d v="1899-12-30T21:30:00"/>
    <d v="1899-12-30T02:30:00"/>
    <x v="2"/>
    <n v="1"/>
    <x v="46"/>
    <m/>
    <m/>
    <m/>
    <m/>
    <n v="195"/>
    <n v="0"/>
    <n v="0"/>
    <n v="195"/>
    <x v="1"/>
    <n v="0"/>
    <n v="0"/>
    <n v="0"/>
    <n v="0"/>
    <x v="3"/>
  </r>
  <r>
    <x v="0"/>
    <x v="2"/>
    <d v="2020-03-21T00:00:00"/>
    <s v="DISSABTE"/>
    <s v="NO"/>
    <s v="NO"/>
    <d v="1899-12-30T15:30:00"/>
    <d v="1899-12-30T02:30:00"/>
    <x v="6"/>
    <n v="2"/>
    <x v="47"/>
    <m/>
    <m/>
    <m/>
    <m/>
    <n v="300"/>
    <n v="0"/>
    <n v="0"/>
    <n v="300"/>
    <x v="1"/>
    <n v="0"/>
    <n v="0"/>
    <n v="0"/>
    <n v="0"/>
    <x v="2"/>
  </r>
  <r>
    <x v="0"/>
    <x v="2"/>
    <d v="2020-03-22T00:00:00"/>
    <s v="DIUMENGE"/>
    <s v="NO"/>
    <s v="NO"/>
    <d v="1899-12-30T09:30:00"/>
    <d v="1899-12-30T14:30:00"/>
    <x v="3"/>
    <n v="1"/>
    <x v="48"/>
    <m/>
    <m/>
    <m/>
    <m/>
    <n v="145"/>
    <n v="0"/>
    <n v="0"/>
    <n v="145"/>
    <x v="1"/>
    <n v="0"/>
    <n v="0"/>
    <n v="0"/>
    <n v="0"/>
    <x v="2"/>
  </r>
  <r>
    <x v="0"/>
    <x v="2"/>
    <d v="2020-03-22T00:00:00"/>
    <s v="DIUMENGE"/>
    <s v="NO"/>
    <s v="NO"/>
    <d v="1899-12-30T15:30:00"/>
    <d v="1899-12-30T20:30:00"/>
    <x v="1"/>
    <n v="1"/>
    <x v="49"/>
    <m/>
    <m/>
    <m/>
    <m/>
    <n v="145"/>
    <n v="0"/>
    <n v="0"/>
    <n v="145"/>
    <x v="1"/>
    <n v="0"/>
    <n v="0"/>
    <n v="0"/>
    <n v="0"/>
    <x v="3"/>
  </r>
  <r>
    <x v="0"/>
    <x v="2"/>
    <d v="2020-03-27T00:00:00"/>
    <s v="DIVENDRES"/>
    <s v="NO"/>
    <s v="NO"/>
    <d v="1899-12-30T21:30:00"/>
    <d v="1899-12-30T02:30:00"/>
    <x v="2"/>
    <n v="1"/>
    <x v="50"/>
    <m/>
    <m/>
    <m/>
    <m/>
    <n v="195"/>
    <n v="0"/>
    <n v="0"/>
    <n v="195"/>
    <x v="1"/>
    <n v="0"/>
    <n v="0"/>
    <n v="0"/>
    <n v="0"/>
    <x v="2"/>
  </r>
  <r>
    <x v="0"/>
    <x v="2"/>
    <d v="2020-03-28T00:00:00"/>
    <s v="DISSABTE"/>
    <s v="NO"/>
    <s v="NO"/>
    <d v="1899-12-30T15:30:00"/>
    <d v="1899-12-30T20:30:00"/>
    <x v="1"/>
    <n v="1"/>
    <x v="51"/>
    <m/>
    <m/>
    <m/>
    <m/>
    <n v="145"/>
    <n v="0"/>
    <n v="0"/>
    <n v="145"/>
    <x v="1"/>
    <n v="0"/>
    <n v="0"/>
    <n v="0"/>
    <n v="0"/>
    <x v="2"/>
  </r>
  <r>
    <x v="0"/>
    <x v="2"/>
    <d v="2020-03-28T00:00:00"/>
    <s v="DISSABTE"/>
    <s v="NO"/>
    <s v="NO"/>
    <d v="1899-12-30T21:30:00"/>
    <d v="1899-12-30T02:30:00"/>
    <x v="2"/>
    <n v="1"/>
    <x v="52"/>
    <m/>
    <m/>
    <m/>
    <m/>
    <n v="195"/>
    <n v="1"/>
    <n v="50"/>
    <n v="245"/>
    <x v="1"/>
    <n v="0"/>
    <n v="0"/>
    <n v="0"/>
    <n v="0"/>
    <x v="2"/>
  </r>
  <r>
    <x v="0"/>
    <x v="2"/>
    <d v="2020-03-29T00:00:00"/>
    <s v="DIUMENGE"/>
    <s v="NO"/>
    <s v="NO"/>
    <d v="1899-12-30T09:30:00"/>
    <d v="1899-12-30T20:30:00"/>
    <x v="5"/>
    <n v="2"/>
    <x v="53"/>
    <m/>
    <m/>
    <m/>
    <m/>
    <n v="270"/>
    <n v="0"/>
    <n v="0"/>
    <n v="270"/>
    <x v="1"/>
    <n v="50"/>
    <n v="0"/>
    <n v="0"/>
    <n v="0"/>
    <x v="3"/>
  </r>
  <r>
    <x v="0"/>
    <x v="3"/>
    <d v="2020-04-03T00:00:00"/>
    <s v="DIVENDRES"/>
    <s v="NO"/>
    <s v="NO"/>
    <d v="1899-12-30T15:30:00"/>
    <d v="1899-12-30T20:30:00"/>
    <x v="1"/>
    <n v="1"/>
    <x v="54"/>
    <m/>
    <m/>
    <m/>
    <m/>
    <n v="135"/>
    <n v="0"/>
    <n v="0"/>
    <n v="135"/>
    <x v="1"/>
    <n v="0"/>
    <n v="0"/>
    <n v="0"/>
    <n v="0"/>
    <x v="2"/>
  </r>
  <r>
    <x v="0"/>
    <x v="3"/>
    <d v="2020-04-03T00:00:00"/>
    <s v="DIVENDRES"/>
    <s v="NO"/>
    <s v="NO"/>
    <d v="1899-12-30T21:30:00"/>
    <d v="1899-12-30T02:30:00"/>
    <x v="2"/>
    <n v="1"/>
    <x v="55"/>
    <m/>
    <m/>
    <m/>
    <m/>
    <n v="195"/>
    <n v="0"/>
    <n v="0"/>
    <n v="195"/>
    <x v="1"/>
    <n v="0"/>
    <n v="0"/>
    <n v="0"/>
    <n v="0"/>
    <x v="2"/>
  </r>
  <r>
    <x v="0"/>
    <x v="3"/>
    <d v="2020-04-04T00:00:00"/>
    <s v="DISSABTE"/>
    <s v="NO"/>
    <s v="NO"/>
    <d v="1899-12-30T15:30:00"/>
    <d v="1899-12-30T20:30:00"/>
    <x v="1"/>
    <n v="1"/>
    <x v="56"/>
    <m/>
    <m/>
    <m/>
    <m/>
    <n v="145"/>
    <n v="0"/>
    <n v="0"/>
    <n v="145"/>
    <x v="1"/>
    <n v="0"/>
    <n v="0"/>
    <n v="0"/>
    <n v="0"/>
    <x v="2"/>
  </r>
  <r>
    <x v="0"/>
    <x v="3"/>
    <d v="2020-04-04T00:00:00"/>
    <s v="DISSABTE"/>
    <s v="NO"/>
    <s v="NO"/>
    <d v="1899-12-30T21:30:00"/>
    <d v="1899-12-30T02:30:00"/>
    <x v="2"/>
    <n v="1"/>
    <x v="57"/>
    <m/>
    <m/>
    <m/>
    <m/>
    <n v="195"/>
    <n v="0"/>
    <n v="0"/>
    <n v="195"/>
    <x v="1"/>
    <n v="0"/>
    <n v="0"/>
    <n v="0"/>
    <n v="0"/>
    <x v="3"/>
  </r>
  <r>
    <x v="0"/>
    <x v="3"/>
    <d v="2020-04-09T00:00:00"/>
    <s v="DIJOUS"/>
    <s v="NO"/>
    <s v="NO"/>
    <d v="1899-12-30T21:30:00"/>
    <d v="1899-12-30T02:30:00"/>
    <x v="2"/>
    <n v="1"/>
    <x v="58"/>
    <m/>
    <m/>
    <m/>
    <m/>
    <n v="195"/>
    <n v="0"/>
    <n v="0"/>
    <n v="195"/>
    <x v="1"/>
    <n v="0"/>
    <n v="0"/>
    <n v="0"/>
    <n v="0"/>
    <x v="2"/>
  </r>
  <r>
    <x v="0"/>
    <x v="3"/>
    <d v="2020-04-10T00:00:00"/>
    <s v="DIVENDRES"/>
    <s v="SI"/>
    <s v="NO"/>
    <d v="1899-12-30T21:30:00"/>
    <d v="1899-12-30T02:30:00"/>
    <x v="2"/>
    <n v="1"/>
    <x v="59"/>
    <m/>
    <m/>
    <m/>
    <m/>
    <n v="195"/>
    <n v="0"/>
    <n v="0"/>
    <n v="195"/>
    <x v="1"/>
    <n v="0"/>
    <n v="0"/>
    <n v="0"/>
    <n v="0"/>
    <x v="2"/>
  </r>
  <r>
    <x v="0"/>
    <x v="3"/>
    <d v="2020-04-17T00:00:00"/>
    <s v="DIVENDRES"/>
    <s v="NO"/>
    <s v="NO"/>
    <m/>
    <m/>
    <x v="7"/>
    <m/>
    <x v="60"/>
    <m/>
    <m/>
    <m/>
    <m/>
    <n v="661.2"/>
    <n v="0"/>
    <n v="0"/>
    <n v="661.2"/>
    <x v="0"/>
    <n v="661.2"/>
    <n v="0"/>
    <n v="0"/>
    <n v="0"/>
    <x v="1"/>
  </r>
  <r>
    <x v="0"/>
    <x v="3"/>
    <d v="2020-04-17T00:00:00"/>
    <s v="DIVENDRES"/>
    <s v="NO"/>
    <s v="NO"/>
    <d v="1899-12-30T21:30:00"/>
    <d v="1899-12-30T02:30:00"/>
    <x v="2"/>
    <n v="1"/>
    <x v="61"/>
    <m/>
    <m/>
    <m/>
    <m/>
    <n v="195"/>
    <n v="0"/>
    <n v="0"/>
    <n v="195"/>
    <x v="1"/>
    <n v="0"/>
    <n v="0"/>
    <n v="0"/>
    <n v="0"/>
    <x v="3"/>
  </r>
  <r>
    <x v="0"/>
    <x v="3"/>
    <d v="2020-04-18T00:00:00"/>
    <s v="DISSABTE"/>
    <s v="NO"/>
    <s v="NO"/>
    <d v="1899-12-30T09:30:00"/>
    <d v="1899-12-30T14:30:00"/>
    <x v="3"/>
    <n v="1"/>
    <x v="62"/>
    <m/>
    <m/>
    <m/>
    <m/>
    <n v="145"/>
    <n v="0"/>
    <n v="0"/>
    <n v="145"/>
    <x v="1"/>
    <n v="0"/>
    <n v="0"/>
    <n v="0"/>
    <n v="0"/>
    <x v="2"/>
  </r>
  <r>
    <x v="0"/>
    <x v="3"/>
    <d v="2020-04-18T00:00:00"/>
    <s v="DISSABTE"/>
    <s v="NO"/>
    <s v="NO"/>
    <d v="1899-12-30T15:30:00"/>
    <d v="1899-12-30T20:30:00"/>
    <x v="1"/>
    <n v="1"/>
    <x v="63"/>
    <m/>
    <m/>
    <m/>
    <m/>
    <n v="145"/>
    <n v="0"/>
    <n v="0"/>
    <n v="145"/>
    <x v="1"/>
    <n v="0"/>
    <n v="0"/>
    <n v="0"/>
    <n v="0"/>
    <x v="2"/>
  </r>
  <r>
    <x v="0"/>
    <x v="3"/>
    <d v="2020-04-19T00:00:00"/>
    <s v="DISSABTE"/>
    <s v="NO"/>
    <s v="NO"/>
    <d v="1899-12-30T09:30:00"/>
    <d v="1899-12-30T20:30:00"/>
    <x v="5"/>
    <n v="2"/>
    <x v="64"/>
    <m/>
    <m/>
    <m/>
    <m/>
    <n v="270"/>
    <n v="0"/>
    <n v="0"/>
    <n v="270"/>
    <x v="1"/>
    <n v="0"/>
    <n v="0"/>
    <n v="0"/>
    <n v="0"/>
    <x v="2"/>
  </r>
  <r>
    <x v="0"/>
    <x v="3"/>
    <d v="2020-04-25T00:00:00"/>
    <s v="DISSABTE"/>
    <s v="NO"/>
    <s v="NO"/>
    <d v="1899-12-30T09:30:00"/>
    <d v="1899-12-30T14:30:00"/>
    <x v="3"/>
    <n v="1"/>
    <x v="65"/>
    <m/>
    <m/>
    <m/>
    <m/>
    <n v="145"/>
    <n v="0"/>
    <n v="0"/>
    <n v="145"/>
    <x v="2"/>
    <n v="0"/>
    <n v="0"/>
    <n v="0"/>
    <n v="0"/>
    <x v="2"/>
  </r>
  <r>
    <x v="0"/>
    <x v="3"/>
    <d v="2020-04-25T00:00:00"/>
    <s v="DISSABTE"/>
    <s v="NO"/>
    <s v="NO"/>
    <d v="1899-12-30T15:30:00"/>
    <d v="1899-12-30T20:30:00"/>
    <x v="1"/>
    <n v="1"/>
    <x v="66"/>
    <m/>
    <m/>
    <m/>
    <m/>
    <n v="145"/>
    <n v="0"/>
    <n v="0"/>
    <n v="145"/>
    <x v="2"/>
    <n v="0"/>
    <n v="0"/>
    <n v="0"/>
    <n v="0"/>
    <x v="2"/>
  </r>
  <r>
    <x v="0"/>
    <x v="3"/>
    <d v="2020-04-26T00:00:00"/>
    <s v="DIUMENGE"/>
    <s v="NO"/>
    <s v="NO"/>
    <d v="1899-12-30T09:30:00"/>
    <d v="1899-12-30T14:30:00"/>
    <x v="3"/>
    <n v="1"/>
    <x v="67"/>
    <m/>
    <m/>
    <m/>
    <m/>
    <n v="145"/>
    <n v="0"/>
    <n v="0"/>
    <n v="145"/>
    <x v="1"/>
    <n v="0"/>
    <n v="0"/>
    <n v="0"/>
    <n v="0"/>
    <x v="2"/>
  </r>
  <r>
    <x v="0"/>
    <x v="4"/>
    <d v="2020-05-01T00:00:00"/>
    <s v="DIVENDRES"/>
    <s v="NO"/>
    <s v="NO"/>
    <m/>
    <m/>
    <x v="7"/>
    <m/>
    <x v="68"/>
    <m/>
    <m/>
    <m/>
    <m/>
    <n v="374.68"/>
    <n v="0"/>
    <n v="0"/>
    <n v="374.68"/>
    <x v="0"/>
    <n v="374.68"/>
    <n v="0"/>
    <n v="0"/>
    <n v="0"/>
    <x v="1"/>
  </r>
  <r>
    <x v="0"/>
    <x v="4"/>
    <d v="2020-05-03T00:00:00"/>
    <s v="DIUMENGE"/>
    <s v="NO"/>
    <s v="NO"/>
    <d v="1899-12-30T15:30:00"/>
    <d v="1899-12-30T20:30:00"/>
    <x v="1"/>
    <n v="1"/>
    <x v="49"/>
    <m/>
    <m/>
    <m/>
    <m/>
    <n v="145"/>
    <n v="0"/>
    <n v="0"/>
    <n v="145"/>
    <x v="1"/>
    <n v="0"/>
    <n v="0"/>
    <n v="0"/>
    <n v="0"/>
    <x v="2"/>
  </r>
  <r>
    <x v="0"/>
    <x v="4"/>
    <d v="2020-05-08T00:00:00"/>
    <s v="DIVENDRES"/>
    <s v="NO"/>
    <s v="NO"/>
    <d v="1899-12-30T21:30:00"/>
    <d v="1899-12-30T02:30:00"/>
    <x v="2"/>
    <n v="1"/>
    <x v="69"/>
    <m/>
    <m/>
    <m/>
    <m/>
    <n v="195"/>
    <n v="0"/>
    <n v="0"/>
    <n v="195"/>
    <x v="2"/>
    <n v="0"/>
    <n v="0"/>
    <n v="0"/>
    <n v="0"/>
    <x v="2"/>
  </r>
  <r>
    <x v="0"/>
    <x v="4"/>
    <d v="2020-05-15T00:00:00"/>
    <s v="DIVENDRES"/>
    <s v="NO"/>
    <s v="NO"/>
    <d v="1899-12-30T15:30:00"/>
    <d v="1899-12-30T20:30:00"/>
    <x v="1"/>
    <n v="1"/>
    <x v="70"/>
    <m/>
    <m/>
    <m/>
    <m/>
    <n v="135"/>
    <n v="0"/>
    <n v="0"/>
    <n v="135"/>
    <x v="1"/>
    <n v="0"/>
    <n v="0"/>
    <n v="0"/>
    <n v="0"/>
    <x v="2"/>
  </r>
  <r>
    <x v="0"/>
    <x v="4"/>
    <d v="2020-05-23T00:00:00"/>
    <s v="DISSABTE"/>
    <s v="NO"/>
    <s v="NO"/>
    <d v="1899-12-30T21:30:00"/>
    <d v="1899-12-30T02:30:00"/>
    <x v="2"/>
    <n v="1"/>
    <x v="71"/>
    <m/>
    <m/>
    <m/>
    <m/>
    <n v="195"/>
    <n v="0"/>
    <n v="0"/>
    <n v="195"/>
    <x v="1"/>
    <n v="0"/>
    <n v="0"/>
    <n v="0"/>
    <n v="0"/>
    <x v="2"/>
  </r>
  <r>
    <x v="0"/>
    <x v="4"/>
    <d v="2020-05-30T00:00:00"/>
    <s v="DISSABTE"/>
    <s v="NO"/>
    <s v="NO"/>
    <d v="1899-12-30T09:30:00"/>
    <d v="1899-12-30T20:30:00"/>
    <x v="5"/>
    <n v="2"/>
    <x v="72"/>
    <m/>
    <m/>
    <m/>
    <m/>
    <n v="270"/>
    <n v="0"/>
    <n v="0"/>
    <n v="270"/>
    <x v="1"/>
    <n v="0"/>
    <n v="0"/>
    <n v="0"/>
    <n v="0"/>
    <x v="2"/>
  </r>
  <r>
    <x v="0"/>
    <x v="4"/>
    <d v="2020-05-31T00:00:00"/>
    <s v="DIUMENGE"/>
    <s v="NO"/>
    <s v="NO"/>
    <m/>
    <m/>
    <x v="7"/>
    <m/>
    <x v="73"/>
    <m/>
    <m/>
    <m/>
    <m/>
    <n v="661.2"/>
    <m/>
    <m/>
    <n v="661.2"/>
    <x v="0"/>
    <n v="661.2"/>
    <n v="0"/>
    <n v="0"/>
    <n v="0"/>
    <x v="1"/>
  </r>
  <r>
    <x v="0"/>
    <x v="5"/>
    <d v="2020-06-06T00:00:00"/>
    <s v="DISSABTE"/>
    <s v="NO"/>
    <s v="NO"/>
    <d v="1899-12-30T15:30:00"/>
    <d v="1899-12-30T20:30:00"/>
    <x v="1"/>
    <n v="1"/>
    <x v="74"/>
    <m/>
    <m/>
    <m/>
    <m/>
    <n v="145"/>
    <n v="0"/>
    <n v="0"/>
    <n v="145"/>
    <x v="1"/>
    <n v="0"/>
    <n v="0"/>
    <n v="0"/>
    <n v="0"/>
    <x v="2"/>
  </r>
  <r>
    <x v="0"/>
    <x v="5"/>
    <d v="2020-06-16T00:00:00"/>
    <s v="DIMARTS"/>
    <s v="NO"/>
    <s v="NO"/>
    <d v="1899-12-30T15:30:00"/>
    <d v="1899-12-30T20:30:00"/>
    <x v="1"/>
    <n v="1"/>
    <x v="75"/>
    <m/>
    <m/>
    <m/>
    <m/>
    <n v="50"/>
    <n v="0"/>
    <n v="0"/>
    <n v="50"/>
    <x v="0"/>
    <n v="0"/>
    <n v="50"/>
    <n v="0"/>
    <n v="0"/>
    <x v="1"/>
  </r>
  <r>
    <x v="0"/>
    <x v="5"/>
    <d v="2020-06-18T00:00:00"/>
    <s v="DIJOUS"/>
    <s v="NO"/>
    <s v="NO"/>
    <d v="1899-12-30T15:30:00"/>
    <d v="1899-12-30T20:30:00"/>
    <x v="1"/>
    <n v="1"/>
    <x v="75"/>
    <m/>
    <m/>
    <m/>
    <m/>
    <n v="50"/>
    <n v="0"/>
    <n v="0"/>
    <n v="50"/>
    <x v="0"/>
    <n v="0"/>
    <n v="50"/>
    <n v="0"/>
    <n v="0"/>
    <x v="1"/>
  </r>
  <r>
    <x v="0"/>
    <x v="5"/>
    <d v="2020-06-19T00:00:00"/>
    <s v="DIVENDRES"/>
    <s v="NO"/>
    <s v="NO"/>
    <d v="1899-12-30T09:30:00"/>
    <d v="1899-12-30T20:30:00"/>
    <x v="5"/>
    <n v="2"/>
    <x v="76"/>
    <m/>
    <m/>
    <m/>
    <m/>
    <n v="190"/>
    <n v="0"/>
    <n v="0"/>
    <n v="190"/>
    <x v="0"/>
    <n v="0"/>
    <n v="190"/>
    <n v="0"/>
    <n v="0"/>
    <x v="1"/>
  </r>
  <r>
    <x v="0"/>
    <x v="5"/>
    <d v="2020-06-20T00:00:00"/>
    <s v="DISSABTE"/>
    <s v="NO"/>
    <s v="NO"/>
    <d v="1899-12-30T21:30:00"/>
    <d v="1899-12-30T02:30:00"/>
    <x v="2"/>
    <n v="1"/>
    <x v="77"/>
    <m/>
    <m/>
    <m/>
    <m/>
    <n v="195"/>
    <n v="1"/>
    <n v="55"/>
    <n v="250"/>
    <x v="0"/>
    <n v="50"/>
    <n v="145"/>
    <n v="0"/>
    <n v="55"/>
    <x v="1"/>
  </r>
  <r>
    <x v="0"/>
    <x v="5"/>
    <d v="2020-06-21T00:00:00"/>
    <s v="DIUMENGE"/>
    <s v="NO"/>
    <s v="NO"/>
    <d v="1899-12-30T21:30:00"/>
    <d v="1899-12-30T02:30:00"/>
    <x v="2"/>
    <n v="1"/>
    <x v="78"/>
    <m/>
    <m/>
    <m/>
    <m/>
    <n v="195"/>
    <n v="1"/>
    <n v="50"/>
    <n v="245"/>
    <x v="0"/>
    <n v="50"/>
    <n v="145"/>
    <n v="0"/>
    <n v="50"/>
    <x v="1"/>
  </r>
  <r>
    <x v="0"/>
    <x v="5"/>
    <d v="2020-06-23T00:00:00"/>
    <s v="DIMARTS"/>
    <s v="NO"/>
    <s v="SI"/>
    <d v="1899-12-30T21:30:00"/>
    <d v="1899-12-30T02:30:00"/>
    <x v="7"/>
    <n v="1"/>
    <x v="79"/>
    <m/>
    <m/>
    <m/>
    <m/>
    <n v="300"/>
    <n v="0"/>
    <n v="0"/>
    <n v="300"/>
    <x v="0"/>
    <n v="0"/>
    <n v="300"/>
    <n v="0"/>
    <n v="0"/>
    <x v="1"/>
  </r>
  <r>
    <x v="0"/>
    <x v="5"/>
    <d v="2020-06-25T00:00:00"/>
    <s v="DIMARTS"/>
    <s v="NO"/>
    <s v="NO"/>
    <d v="1899-12-30T15:30:00"/>
    <d v="1899-12-30T20:30:00"/>
    <x v="1"/>
    <n v="1"/>
    <x v="75"/>
    <m/>
    <m/>
    <m/>
    <m/>
    <n v="50"/>
    <n v="0"/>
    <n v="0"/>
    <n v="50"/>
    <x v="0"/>
    <n v="0"/>
    <n v="50"/>
    <n v="0"/>
    <n v="0"/>
    <x v="1"/>
  </r>
  <r>
    <x v="0"/>
    <x v="5"/>
    <d v="2020-06-30T00:00:00"/>
    <s v="DIMARTS"/>
    <s v="NO"/>
    <s v="NO"/>
    <d v="1899-12-30T15:30:00"/>
    <d v="1899-12-30T20:30:00"/>
    <x v="1"/>
    <n v="1"/>
    <x v="75"/>
    <m/>
    <m/>
    <m/>
    <m/>
    <n v="50"/>
    <n v="0"/>
    <n v="0"/>
    <n v="50"/>
    <x v="0"/>
    <n v="0"/>
    <n v="50"/>
    <n v="0"/>
    <n v="0"/>
    <x v="1"/>
  </r>
  <r>
    <x v="0"/>
    <x v="5"/>
    <d v="2020-06-30T00:00:00"/>
    <s v="DIMARTS"/>
    <s v="NO"/>
    <s v="NO"/>
    <m/>
    <m/>
    <x v="7"/>
    <m/>
    <x v="80"/>
    <m/>
    <m/>
    <m/>
    <m/>
    <n v="661.2"/>
    <m/>
    <m/>
    <n v="661.2"/>
    <x v="0"/>
    <n v="661.2"/>
    <n v="0"/>
    <n v="0"/>
    <n v="0"/>
    <x v="1"/>
  </r>
  <r>
    <x v="0"/>
    <x v="6"/>
    <d v="2020-07-01T00:00:00"/>
    <s v="DIMECRES"/>
    <s v="NO"/>
    <s v="NO"/>
    <m/>
    <m/>
    <x v="7"/>
    <m/>
    <x v="81"/>
    <m/>
    <m/>
    <m/>
    <m/>
    <n v="1400"/>
    <m/>
    <m/>
    <n v="1400"/>
    <x v="0"/>
    <n v="1400"/>
    <n v="0"/>
    <n v="0"/>
    <n v="0"/>
    <x v="1"/>
  </r>
  <r>
    <x v="0"/>
    <x v="6"/>
    <d v="2020-07-02T00:00:00"/>
    <s v="DIJOUS"/>
    <s v="NO"/>
    <s v="NO"/>
    <d v="1899-12-30T15:30:00"/>
    <d v="1899-12-30T20:30:00"/>
    <x v="1"/>
    <n v="1"/>
    <x v="75"/>
    <m/>
    <m/>
    <m/>
    <m/>
    <n v="50"/>
    <n v="0"/>
    <n v="0"/>
    <n v="50"/>
    <x v="0"/>
    <n v="0"/>
    <n v="50"/>
    <n v="0"/>
    <n v="0"/>
    <x v="1"/>
  </r>
  <r>
    <x v="0"/>
    <x v="6"/>
    <d v="2020-07-03T00:00:00"/>
    <s v="DIVENDRES"/>
    <s v="NO"/>
    <s v="NO"/>
    <d v="1899-12-30T21:30:00"/>
    <d v="1899-12-30T02:30:00"/>
    <x v="2"/>
    <n v="1"/>
    <x v="82"/>
    <m/>
    <m/>
    <m/>
    <m/>
    <n v="195"/>
    <n v="0"/>
    <n v="0"/>
    <n v="195"/>
    <x v="0"/>
    <n v="0"/>
    <n v="195"/>
    <n v="0"/>
    <n v="0"/>
    <x v="1"/>
  </r>
  <r>
    <x v="0"/>
    <x v="6"/>
    <d v="2020-07-04T00:00:00"/>
    <s v="DISSABTE"/>
    <s v="NO"/>
    <s v="NO"/>
    <d v="1899-12-30T21:30:00"/>
    <d v="1899-12-30T02:30:00"/>
    <x v="2"/>
    <n v="1"/>
    <x v="83"/>
    <m/>
    <m/>
    <m/>
    <m/>
    <n v="195"/>
    <n v="0"/>
    <n v="0"/>
    <n v="195"/>
    <x v="0"/>
    <n v="195"/>
    <n v="0"/>
    <n v="0"/>
    <n v="0"/>
    <x v="4"/>
  </r>
  <r>
    <x v="0"/>
    <x v="6"/>
    <d v="2020-07-05T00:00:00"/>
    <s v="DIUMENGE"/>
    <s v="NO"/>
    <s v="NO"/>
    <d v="1899-12-30T15:30:00"/>
    <d v="1899-12-30T20:30:00"/>
    <x v="1"/>
    <n v="1"/>
    <x v="49"/>
    <m/>
    <m/>
    <m/>
    <m/>
    <n v="145"/>
    <n v="0"/>
    <n v="5"/>
    <n v="150"/>
    <x v="0"/>
    <n v="50"/>
    <n v="95"/>
    <n v="0"/>
    <n v="5"/>
    <x v="1"/>
  </r>
  <r>
    <x v="0"/>
    <x v="6"/>
    <d v="2020-07-07T00:00:00"/>
    <s v="DIMARTS"/>
    <s v="NO"/>
    <s v="NO"/>
    <d v="1899-12-30T15:30:00"/>
    <d v="1899-12-30T20:30:00"/>
    <x v="1"/>
    <n v="1"/>
    <x v="75"/>
    <m/>
    <m/>
    <m/>
    <m/>
    <n v="50"/>
    <n v="0"/>
    <n v="0"/>
    <n v="50"/>
    <x v="0"/>
    <n v="0"/>
    <n v="50"/>
    <n v="0"/>
    <n v="0"/>
    <x v="1"/>
  </r>
  <r>
    <x v="0"/>
    <x v="6"/>
    <d v="2020-07-09T00:00:00"/>
    <s v="DIJOUS"/>
    <s v="NO"/>
    <s v="NO"/>
    <d v="1899-12-30T15:30:00"/>
    <d v="1899-12-30T20:30:00"/>
    <x v="1"/>
    <n v="1"/>
    <x v="75"/>
    <m/>
    <m/>
    <m/>
    <m/>
    <n v="50"/>
    <n v="0"/>
    <n v="0"/>
    <n v="50"/>
    <x v="0"/>
    <n v="0"/>
    <n v="50"/>
    <n v="0"/>
    <n v="0"/>
    <x v="1"/>
  </r>
  <r>
    <x v="0"/>
    <x v="6"/>
    <d v="2020-07-10T00:00:00"/>
    <s v="DIVENDRES"/>
    <s v="NO"/>
    <s v="NO"/>
    <d v="1899-12-30T21:30:00"/>
    <d v="1899-12-30T02:30:00"/>
    <x v="2"/>
    <n v="1"/>
    <x v="84"/>
    <m/>
    <m/>
    <m/>
    <m/>
    <n v="0"/>
    <n v="0"/>
    <n v="0"/>
    <n v="0"/>
    <x v="2"/>
    <n v="0"/>
    <n v="0"/>
    <n v="0"/>
    <n v="0"/>
    <x v="5"/>
  </r>
  <r>
    <x v="0"/>
    <x v="6"/>
    <d v="2020-07-11T00:00:00"/>
    <s v="DISSABTE"/>
    <s v="NO"/>
    <s v="NO"/>
    <d v="1899-12-30T21:30:00"/>
    <d v="1899-12-30T02:30:00"/>
    <x v="2"/>
    <n v="1"/>
    <x v="85"/>
    <m/>
    <m/>
    <m/>
    <m/>
    <n v="195"/>
    <n v="1"/>
    <n v="55"/>
    <n v="250"/>
    <x v="0"/>
    <n v="50"/>
    <n v="145"/>
    <n v="0"/>
    <n v="55"/>
    <x v="1"/>
  </r>
  <r>
    <x v="0"/>
    <x v="6"/>
    <d v="2020-07-13T00:00:00"/>
    <s v="DILLUNS"/>
    <s v="NO"/>
    <s v="NO"/>
    <d v="1899-12-30T15:30:00"/>
    <d v="1899-12-30T20:30:00"/>
    <x v="1"/>
    <n v="1"/>
    <x v="75"/>
    <m/>
    <m/>
    <m/>
    <m/>
    <n v="50"/>
    <n v="0"/>
    <n v="0"/>
    <n v="50"/>
    <x v="0"/>
    <n v="0"/>
    <n v="50"/>
    <n v="0"/>
    <n v="0"/>
    <x v="1"/>
  </r>
  <r>
    <x v="0"/>
    <x v="6"/>
    <d v="2020-07-15T00:00:00"/>
    <s v="DIMECRES"/>
    <s v="NO"/>
    <s v="NO"/>
    <d v="1899-12-30T15:30:00"/>
    <d v="1899-12-30T20:30:00"/>
    <x v="1"/>
    <n v="1"/>
    <x v="75"/>
    <m/>
    <m/>
    <m/>
    <m/>
    <n v="50"/>
    <n v="0"/>
    <n v="0"/>
    <n v="50"/>
    <x v="0"/>
    <n v="0"/>
    <n v="50"/>
    <n v="0"/>
    <n v="0"/>
    <x v="1"/>
  </r>
  <r>
    <x v="0"/>
    <x v="6"/>
    <d v="2020-07-16T00:00:00"/>
    <s v="DIJOUS"/>
    <s v="NO"/>
    <s v="NO"/>
    <d v="1899-12-30T15:30:00"/>
    <d v="1899-12-30T20:30:00"/>
    <x v="1"/>
    <n v="1"/>
    <x v="86"/>
    <m/>
    <m/>
    <m/>
    <m/>
    <n v="50"/>
    <n v="0"/>
    <n v="0"/>
    <n v="50"/>
    <x v="0"/>
    <n v="50"/>
    <n v="0"/>
    <n v="0"/>
    <n v="0"/>
    <x v="1"/>
  </r>
  <r>
    <x v="0"/>
    <x v="6"/>
    <d v="2020-07-17T00:00:00"/>
    <s v="DIVENDRES"/>
    <s v="NO"/>
    <s v="NO"/>
    <d v="1899-12-30T21:30:00"/>
    <d v="1899-12-30T02:30:00"/>
    <x v="2"/>
    <n v="1"/>
    <x v="87"/>
    <m/>
    <m/>
    <m/>
    <m/>
    <n v="195"/>
    <n v="0"/>
    <n v="0"/>
    <n v="195"/>
    <x v="0"/>
    <n v="50"/>
    <n v="145"/>
    <n v="0"/>
    <n v="0"/>
    <x v="1"/>
  </r>
  <r>
    <x v="0"/>
    <x v="6"/>
    <d v="2020-07-18T00:00:00"/>
    <s v="DISSABTE"/>
    <s v="NO"/>
    <s v="NO"/>
    <d v="1899-12-30T21:30:00"/>
    <d v="1899-12-30T02:30:00"/>
    <x v="2"/>
    <n v="1"/>
    <x v="88"/>
    <m/>
    <m/>
    <m/>
    <m/>
    <n v="195"/>
    <n v="0"/>
    <n v="0"/>
    <n v="195"/>
    <x v="1"/>
    <n v="100"/>
    <n v="0"/>
    <n v="0"/>
    <n v="0"/>
    <x v="3"/>
  </r>
  <r>
    <x v="0"/>
    <x v="6"/>
    <d v="2020-07-19T00:00:00"/>
    <s v="DIUMENGE"/>
    <s v="NO"/>
    <s v="NO"/>
    <d v="1899-12-30T09:30:00"/>
    <d v="1899-12-30T14:30:00"/>
    <x v="3"/>
    <n v="1"/>
    <x v="89"/>
    <m/>
    <m/>
    <m/>
    <m/>
    <n v="145"/>
    <n v="1"/>
    <n v="5"/>
    <n v="150"/>
    <x v="0"/>
    <n v="50"/>
    <n v="95"/>
    <n v="0"/>
    <n v="5"/>
    <x v="1"/>
  </r>
  <r>
    <x v="0"/>
    <x v="6"/>
    <d v="2020-07-21T00:00:00"/>
    <s v="DIMARTS"/>
    <s v="NO"/>
    <s v="NO"/>
    <d v="1899-12-30T15:30:00"/>
    <d v="1899-12-30T20:30:00"/>
    <x v="1"/>
    <n v="1"/>
    <x v="48"/>
    <m/>
    <m/>
    <m/>
    <m/>
    <n v="50"/>
    <n v="0"/>
    <n v="0"/>
    <n v="50"/>
    <x v="0"/>
    <n v="50"/>
    <n v="0"/>
    <n v="0"/>
    <n v="0"/>
    <x v="1"/>
  </r>
  <r>
    <x v="0"/>
    <x v="6"/>
    <d v="2020-07-21T00:00:00"/>
    <s v="DIMARTS"/>
    <s v="NO"/>
    <s v="NO"/>
    <d v="1899-12-30T21:30:00"/>
    <d v="1899-12-30T02:30:00"/>
    <x v="2"/>
    <n v="1"/>
    <x v="90"/>
    <m/>
    <m/>
    <m/>
    <m/>
    <n v="195"/>
    <n v="0"/>
    <n v="0"/>
    <n v="195"/>
    <x v="0"/>
    <n v="195"/>
    <n v="0"/>
    <n v="0"/>
    <n v="0"/>
    <x v="1"/>
  </r>
  <r>
    <x v="0"/>
    <x v="6"/>
    <d v="2020-07-24T00:00:00"/>
    <s v="DIVENDRES"/>
    <s v="NO"/>
    <s v="NO"/>
    <d v="1899-12-30T21:30:00"/>
    <d v="1899-12-30T02:30:00"/>
    <x v="2"/>
    <n v="1"/>
    <x v="91"/>
    <m/>
    <m/>
    <m/>
    <m/>
    <n v="195"/>
    <n v="1"/>
    <n v="5"/>
    <n v="200"/>
    <x v="0"/>
    <n v="50"/>
    <n v="145"/>
    <n v="0"/>
    <n v="5"/>
    <x v="1"/>
  </r>
  <r>
    <x v="0"/>
    <x v="6"/>
    <d v="2020-07-25T00:00:00"/>
    <s v="DISSABTE"/>
    <s v="NO"/>
    <s v="NO"/>
    <d v="1899-12-30T21:30:00"/>
    <d v="1899-12-30T02:30:00"/>
    <x v="2"/>
    <n v="1"/>
    <x v="92"/>
    <m/>
    <m/>
    <m/>
    <m/>
    <n v="195"/>
    <n v="0"/>
    <n v="0"/>
    <n v="195"/>
    <x v="0"/>
    <n v="50"/>
    <n v="145"/>
    <n v="0"/>
    <n v="0"/>
    <x v="1"/>
  </r>
  <r>
    <x v="0"/>
    <x v="6"/>
    <d v="2020-07-26T00:00:00"/>
    <s v="DIUMENGE"/>
    <s v="NO"/>
    <s v="NO"/>
    <d v="1899-12-30T09:30:00"/>
    <d v="1899-12-30T14:30:00"/>
    <x v="3"/>
    <n v="1"/>
    <x v="93"/>
    <m/>
    <m/>
    <m/>
    <m/>
    <n v="145"/>
    <n v="0"/>
    <n v="0"/>
    <n v="145"/>
    <x v="2"/>
    <n v="0"/>
    <n v="0"/>
    <n v="0"/>
    <n v="0"/>
    <x v="2"/>
  </r>
  <r>
    <x v="0"/>
    <x v="6"/>
    <d v="2020-07-30T00:00:00"/>
    <s v="DIJOUS"/>
    <s v="NO"/>
    <s v="NO"/>
    <d v="1899-12-30T21:30:00"/>
    <d v="1899-12-30T02:30:00"/>
    <x v="2"/>
    <n v="1"/>
    <x v="94"/>
    <m/>
    <m/>
    <m/>
    <m/>
    <n v="195"/>
    <n v="0"/>
    <n v="0"/>
    <n v="195"/>
    <x v="0"/>
    <n v="195"/>
    <n v="0"/>
    <n v="0"/>
    <n v="0"/>
    <x v="1"/>
  </r>
  <r>
    <x v="0"/>
    <x v="6"/>
    <d v="2020-07-31T00:00:00"/>
    <s v="DIVENDRES"/>
    <s v="NO"/>
    <s v="NO"/>
    <d v="1899-12-30T21:30:00"/>
    <d v="1899-12-30T02:30:00"/>
    <x v="2"/>
    <n v="1"/>
    <x v="95"/>
    <m/>
    <m/>
    <m/>
    <m/>
    <n v="195"/>
    <n v="1"/>
    <n v="50"/>
    <n v="245"/>
    <x v="0"/>
    <n v="50"/>
    <n v="145"/>
    <n v="0"/>
    <n v="50"/>
    <x v="1"/>
  </r>
  <r>
    <x v="0"/>
    <x v="7"/>
    <d v="2020-08-01T00:00:00"/>
    <s v="DISSABTE"/>
    <s v="NO"/>
    <s v="NO"/>
    <d v="1899-12-30T15:30:00"/>
    <d v="1899-12-30T20:30:00"/>
    <x v="1"/>
    <n v="1"/>
    <x v="96"/>
    <m/>
    <m/>
    <m/>
    <m/>
    <n v="145"/>
    <n v="0"/>
    <n v="0"/>
    <n v="145"/>
    <x v="2"/>
    <n v="0"/>
    <n v="0"/>
    <n v="0"/>
    <n v="0"/>
    <x v="2"/>
  </r>
  <r>
    <x v="0"/>
    <x v="7"/>
    <d v="2020-08-01T00:00:00"/>
    <s v="DISSABTE"/>
    <s v="NO"/>
    <s v="NO"/>
    <d v="1899-12-30T21:30:00"/>
    <d v="1899-12-30T02:30:00"/>
    <x v="2"/>
    <n v="1"/>
    <x v="61"/>
    <m/>
    <m/>
    <m/>
    <m/>
    <n v="195"/>
    <n v="0"/>
    <n v="0"/>
    <n v="195"/>
    <x v="1"/>
    <n v="50"/>
    <n v="0"/>
    <n v="0"/>
    <n v="0"/>
    <x v="3"/>
  </r>
  <r>
    <x v="0"/>
    <x v="7"/>
    <d v="2020-08-01T00:00:00"/>
    <s v="DISSABTE"/>
    <s v="NO"/>
    <s v="NO"/>
    <d v="1899-12-30T21:30:00"/>
    <d v="1899-12-30T02:30:00"/>
    <x v="2"/>
    <n v="1"/>
    <x v="97"/>
    <m/>
    <m/>
    <m/>
    <m/>
    <n v="195"/>
    <n v="1"/>
    <n v="50"/>
    <n v="245"/>
    <x v="0"/>
    <n v="50"/>
    <n v="145"/>
    <n v="0"/>
    <n v="50"/>
    <x v="1"/>
  </r>
  <r>
    <x v="0"/>
    <x v="7"/>
    <d v="2020-08-07T00:00:00"/>
    <s v="DIVENDRES"/>
    <s v="NO"/>
    <s v="NO"/>
    <d v="1899-12-30T09:30:00"/>
    <d v="1899-12-30T02:30:00"/>
    <x v="5"/>
    <n v="3"/>
    <x v="98"/>
    <m/>
    <m/>
    <m/>
    <m/>
    <n v="300"/>
    <n v="0"/>
    <n v="0"/>
    <n v="300"/>
    <x v="0"/>
    <n v="50"/>
    <n v="250"/>
    <n v="0"/>
    <n v="0"/>
    <x v="1"/>
  </r>
  <r>
    <x v="0"/>
    <x v="7"/>
    <d v="2020-08-08T00:00:00"/>
    <s v="DISSABTE"/>
    <s v="NO"/>
    <s v="NO"/>
    <d v="1899-12-30T21:30:00"/>
    <d v="1899-12-30T02:30:00"/>
    <x v="2"/>
    <n v="1"/>
    <x v="99"/>
    <m/>
    <m/>
    <m/>
    <m/>
    <n v="195"/>
    <n v="0"/>
    <n v="0"/>
    <n v="195"/>
    <x v="2"/>
    <n v="0"/>
    <n v="0"/>
    <n v="0"/>
    <n v="0"/>
    <x v="2"/>
  </r>
  <r>
    <x v="0"/>
    <x v="7"/>
    <d v="2020-08-12T00:00:00"/>
    <s v="DIMECRES"/>
    <s v="NO"/>
    <s v="NO"/>
    <d v="1899-12-30T21:30:00"/>
    <d v="1899-12-30T02:30:00"/>
    <x v="2"/>
    <n v="1"/>
    <x v="100"/>
    <m/>
    <m/>
    <m/>
    <m/>
    <n v="195"/>
    <n v="1"/>
    <n v="55"/>
    <n v="250"/>
    <x v="0"/>
    <n v="50"/>
    <n v="145"/>
    <n v="0"/>
    <n v="55"/>
    <x v="1"/>
  </r>
  <r>
    <x v="0"/>
    <x v="7"/>
    <d v="2020-08-15T00:00:00"/>
    <s v="DISSABTE"/>
    <s v="NO"/>
    <s v="NO"/>
    <d v="1899-12-30T15:30:00"/>
    <d v="1899-12-30T20:30:00"/>
    <x v="1"/>
    <n v="1"/>
    <x v="101"/>
    <m/>
    <m/>
    <m/>
    <m/>
    <n v="145"/>
    <n v="1"/>
    <n v="25"/>
    <n v="170"/>
    <x v="0"/>
    <n v="0"/>
    <n v="145"/>
    <n v="0"/>
    <n v="25"/>
    <x v="6"/>
  </r>
  <r>
    <x v="0"/>
    <x v="7"/>
    <d v="2020-08-15T00:00:00"/>
    <s v="DISSABTE"/>
    <s v="NO"/>
    <s v="NO"/>
    <d v="1899-12-30T21:30:00"/>
    <d v="1899-12-30T02:30:00"/>
    <x v="2"/>
    <n v="1"/>
    <x v="102"/>
    <m/>
    <m/>
    <m/>
    <m/>
    <n v="195"/>
    <n v="1"/>
    <n v="5"/>
    <n v="200"/>
    <x v="0"/>
    <n v="0"/>
    <n v="195"/>
    <n v="0"/>
    <n v="5"/>
    <x v="6"/>
  </r>
  <r>
    <x v="0"/>
    <x v="7"/>
    <d v="2020-08-19T00:00:00"/>
    <s v="DIMECRES"/>
    <s v="NO"/>
    <s v="NO"/>
    <d v="1899-12-30T15:30:00"/>
    <d v="1899-12-30T20:30:00"/>
    <x v="1"/>
    <n v="1"/>
    <x v="103"/>
    <m/>
    <m/>
    <m/>
    <m/>
    <n v="50"/>
    <n v="0"/>
    <n v="0"/>
    <n v="50"/>
    <x v="0"/>
    <n v="50"/>
    <n v="0"/>
    <n v="0"/>
    <n v="0"/>
    <x v="1"/>
  </r>
  <r>
    <x v="0"/>
    <x v="7"/>
    <d v="2020-08-21T00:00:00"/>
    <s v="DIVENDRES"/>
    <s v="NO"/>
    <s v="NO"/>
    <d v="1899-12-30T21:30:00"/>
    <d v="1899-12-30T02:30:00"/>
    <x v="2"/>
    <n v="1"/>
    <x v="104"/>
    <m/>
    <m/>
    <m/>
    <m/>
    <n v="195"/>
    <n v="1"/>
    <n v="55"/>
    <n v="250"/>
    <x v="0"/>
    <n v="50"/>
    <n v="145"/>
    <n v="0"/>
    <n v="55"/>
    <x v="1"/>
  </r>
  <r>
    <x v="0"/>
    <x v="7"/>
    <d v="2020-08-22T00:00:00"/>
    <s v="DISSABTE"/>
    <s v="NO"/>
    <s v="NO"/>
    <d v="1899-12-30T21:30:00"/>
    <d v="1899-12-30T02:30:00"/>
    <x v="2"/>
    <n v="1"/>
    <x v="105"/>
    <m/>
    <m/>
    <m/>
    <m/>
    <n v="195"/>
    <n v="0"/>
    <n v="0"/>
    <n v="195"/>
    <x v="2"/>
    <n v="0"/>
    <n v="0"/>
    <n v="0"/>
    <n v="0"/>
    <x v="2"/>
  </r>
  <r>
    <x v="0"/>
    <x v="7"/>
    <d v="2020-08-29T00:00:00"/>
    <s v="DISSABTE"/>
    <s v="NO"/>
    <s v="NO"/>
    <d v="1899-12-30T21:30:00"/>
    <d v="1899-12-30T02:30:00"/>
    <x v="2"/>
    <n v="1"/>
    <x v="95"/>
    <m/>
    <m/>
    <m/>
    <m/>
    <n v="195"/>
    <n v="0"/>
    <n v="0"/>
    <n v="195"/>
    <x v="2"/>
    <n v="0"/>
    <n v="0"/>
    <n v="0"/>
    <n v="0"/>
    <x v="2"/>
  </r>
  <r>
    <x v="0"/>
    <x v="8"/>
    <d v="2020-09-01T00:00:00"/>
    <s v="DIMARTS"/>
    <s v="NO"/>
    <s v="NO"/>
    <d v="1899-12-30T15:30:00"/>
    <d v="1899-12-30T20:30:00"/>
    <x v="1"/>
    <n v="1"/>
    <x v="106"/>
    <m/>
    <m/>
    <m/>
    <m/>
    <n v="50"/>
    <n v="0"/>
    <n v="0"/>
    <n v="50"/>
    <x v="0"/>
    <n v="50"/>
    <n v="0"/>
    <n v="0"/>
    <n v="0"/>
    <x v="1"/>
  </r>
  <r>
    <x v="0"/>
    <x v="8"/>
    <d v="2020-09-05T00:00:00"/>
    <s v="DISSABTE"/>
    <s v="NO"/>
    <s v="NO"/>
    <d v="1899-12-30T21:30:00"/>
    <d v="1899-12-30T02:30:00"/>
    <x v="2"/>
    <n v="1"/>
    <x v="107"/>
    <m/>
    <m/>
    <m/>
    <m/>
    <n v="195"/>
    <n v="1"/>
    <n v="5"/>
    <n v="200"/>
    <x v="0"/>
    <n v="50"/>
    <n v="145"/>
    <n v="0"/>
    <n v="5"/>
    <x v="1"/>
  </r>
  <r>
    <x v="0"/>
    <x v="8"/>
    <d v="2020-09-10T00:00:00"/>
    <s v="DIJOUS"/>
    <s v="NO"/>
    <s v="NO"/>
    <d v="1899-12-30T21:30:00"/>
    <d v="1899-12-30T02:30:00"/>
    <x v="2"/>
    <n v="1"/>
    <x v="108"/>
    <m/>
    <m/>
    <m/>
    <m/>
    <n v="195"/>
    <n v="1"/>
    <n v="5"/>
    <n v="200"/>
    <x v="0"/>
    <n v="50"/>
    <n v="145"/>
    <n v="0"/>
    <n v="5"/>
    <x v="1"/>
  </r>
  <r>
    <x v="0"/>
    <x v="8"/>
    <d v="2020-09-12T00:00:00"/>
    <s v="DISSABTE"/>
    <s v="NO"/>
    <s v="NO"/>
    <d v="1899-12-30T21:30:00"/>
    <d v="1899-12-30T02:30:00"/>
    <x v="2"/>
    <n v="1"/>
    <x v="109"/>
    <m/>
    <m/>
    <m/>
    <m/>
    <n v="195"/>
    <n v="0"/>
    <n v="0"/>
    <n v="195"/>
    <x v="0"/>
    <n v="50"/>
    <n v="145"/>
    <n v="0"/>
    <n v="0"/>
    <x v="1"/>
  </r>
  <r>
    <x v="0"/>
    <x v="8"/>
    <d v="2020-09-19T00:00:00"/>
    <s v="DISSABTE"/>
    <s v="NO"/>
    <s v="NO"/>
    <d v="1899-12-30T09:30:00"/>
    <d v="1899-12-30T02:30:00"/>
    <x v="5"/>
    <n v="2"/>
    <x v="110"/>
    <m/>
    <m/>
    <m/>
    <m/>
    <n v="300"/>
    <n v="0"/>
    <n v="0"/>
    <n v="300"/>
    <x v="0"/>
    <n v="300"/>
    <n v="0"/>
    <n v="0"/>
    <n v="0"/>
    <x v="1"/>
  </r>
  <r>
    <x v="0"/>
    <x v="8"/>
    <d v="2020-09-19T00:00:00"/>
    <s v="DISSABTE"/>
    <s v="NO"/>
    <s v="NO"/>
    <d v="1899-12-30T21:30:00"/>
    <d v="1899-12-30T02:30:00"/>
    <x v="2"/>
    <n v="1"/>
    <x v="111"/>
    <m/>
    <m/>
    <m/>
    <m/>
    <n v="195"/>
    <n v="0"/>
    <n v="0"/>
    <n v="195"/>
    <x v="2"/>
    <n v="0"/>
    <n v="0"/>
    <n v="0"/>
    <n v="0"/>
    <x v="2"/>
  </r>
  <r>
    <x v="0"/>
    <x v="8"/>
    <d v="2020-09-20T00:00:00"/>
    <s v="DIUMENGE"/>
    <s v="NO"/>
    <s v="NO"/>
    <d v="1899-12-30T09:30:00"/>
    <d v="1899-12-30T02:30:00"/>
    <x v="5"/>
    <n v="2"/>
    <x v="110"/>
    <m/>
    <m/>
    <m/>
    <m/>
    <n v="249.99"/>
    <n v="0"/>
    <n v="0"/>
    <n v="249.99"/>
    <x v="0"/>
    <n v="249.99"/>
    <n v="0"/>
    <n v="0"/>
    <n v="0"/>
    <x v="1"/>
  </r>
  <r>
    <x v="0"/>
    <x v="8"/>
    <d v="2020-09-25T00:00:00"/>
    <s v="DIVENDRES"/>
    <s v="NO"/>
    <s v="NO"/>
    <d v="1899-12-30T21:30:00"/>
    <d v="1899-12-30T02:30:00"/>
    <x v="2"/>
    <n v="1"/>
    <x v="112"/>
    <m/>
    <m/>
    <m/>
    <m/>
    <n v="195"/>
    <n v="0"/>
    <n v="0"/>
    <n v="195"/>
    <x v="2"/>
    <n v="0"/>
    <n v="0"/>
    <n v="0"/>
    <n v="0"/>
    <x v="3"/>
  </r>
  <r>
    <x v="0"/>
    <x v="9"/>
    <d v="2020-10-01T00:00:00"/>
    <s v="DIJOUS"/>
    <s v="NO"/>
    <s v="NO"/>
    <m/>
    <m/>
    <x v="7"/>
    <n v="1"/>
    <x v="113"/>
    <m/>
    <m/>
    <m/>
    <m/>
    <n v="200"/>
    <n v="0"/>
    <n v="0"/>
    <n v="200"/>
    <x v="0"/>
    <n v="0"/>
    <n v="200"/>
    <n v="0"/>
    <n v="0"/>
    <x v="1"/>
  </r>
  <r>
    <x v="0"/>
    <x v="9"/>
    <d v="2020-10-02T00:00:00"/>
    <s v="DIVENDRES"/>
    <s v="NO"/>
    <s v="NO"/>
    <d v="1899-12-30T21:30:00"/>
    <d v="1899-12-30T02:30:00"/>
    <x v="2"/>
    <n v="1"/>
    <x v="114"/>
    <m/>
    <m/>
    <m/>
    <m/>
    <n v="195"/>
    <n v="0"/>
    <n v="0"/>
    <n v="195"/>
    <x v="2"/>
    <n v="0"/>
    <n v="0"/>
    <n v="0"/>
    <n v="0"/>
    <x v="2"/>
  </r>
  <r>
    <x v="0"/>
    <x v="9"/>
    <d v="2020-10-10T00:00:00"/>
    <s v="DISSABTE"/>
    <s v="NO"/>
    <s v="NO"/>
    <d v="1899-12-30T15:30:00"/>
    <d v="1899-12-30T20:30:00"/>
    <x v="1"/>
    <n v="1"/>
    <x v="115"/>
    <m/>
    <m/>
    <m/>
    <m/>
    <n v="145"/>
    <n v="0"/>
    <n v="0"/>
    <n v="145"/>
    <x v="0"/>
    <n v="50"/>
    <n v="95"/>
    <n v="0"/>
    <n v="0"/>
    <x v="1"/>
  </r>
  <r>
    <x v="0"/>
    <x v="9"/>
    <d v="2020-10-10T00:00:00"/>
    <s v="DISSABTE"/>
    <s v="NO"/>
    <s v="NO"/>
    <d v="1899-12-30T21:30:00"/>
    <d v="1899-12-30T02:30:00"/>
    <x v="2"/>
    <n v="1"/>
    <x v="116"/>
    <m/>
    <m/>
    <m/>
    <m/>
    <n v="195"/>
    <n v="0"/>
    <n v="0"/>
    <n v="195"/>
    <x v="2"/>
    <n v="0"/>
    <n v="0"/>
    <n v="0"/>
    <n v="0"/>
    <x v="7"/>
  </r>
  <r>
    <x v="0"/>
    <x v="9"/>
    <d v="2020-10-24T00:00:00"/>
    <s v="DISSABTE"/>
    <s v="NO"/>
    <s v="NO"/>
    <d v="1899-12-30T15:30:00"/>
    <d v="1899-12-30T20:30:00"/>
    <x v="1"/>
    <n v="1"/>
    <x v="117"/>
    <m/>
    <m/>
    <m/>
    <m/>
    <n v="145"/>
    <n v="0"/>
    <n v="0"/>
    <n v="145"/>
    <x v="2"/>
    <n v="0"/>
    <n v="0"/>
    <n v="0"/>
    <n v="0"/>
    <x v="2"/>
  </r>
  <r>
    <x v="0"/>
    <x v="9"/>
    <d v="2020-10-30T00:00:00"/>
    <s v="DIVENDRES"/>
    <s v="NO"/>
    <s v="NO"/>
    <m/>
    <m/>
    <x v="7"/>
    <m/>
    <x v="118"/>
    <m/>
    <m/>
    <m/>
    <m/>
    <n v="472.2"/>
    <n v="0"/>
    <n v="0"/>
    <n v="472.2"/>
    <x v="0"/>
    <n v="472.2"/>
    <n v="0"/>
    <n v="0"/>
    <n v="0"/>
    <x v="1"/>
  </r>
  <r>
    <x v="0"/>
    <x v="9"/>
    <d v="2020-10-31T00:00:00"/>
    <s v="DISSABTE"/>
    <s v="NO"/>
    <s v="SI"/>
    <d v="1899-12-30T21:30:00"/>
    <d v="1899-12-30T02:30:00"/>
    <x v="2"/>
    <n v="1"/>
    <x v="119"/>
    <m/>
    <m/>
    <m/>
    <m/>
    <n v="200"/>
    <n v="0"/>
    <n v="0"/>
    <n v="200"/>
    <x v="2"/>
    <n v="0"/>
    <n v="0"/>
    <n v="0"/>
    <n v="0"/>
    <x v="8"/>
  </r>
  <r>
    <x v="0"/>
    <x v="10"/>
    <d v="2020-11-07T00:00:00"/>
    <s v="DISSABTE"/>
    <s v="NO"/>
    <s v="NO"/>
    <d v="1899-12-30T21:30:00"/>
    <d v="1899-12-30T02:30:00"/>
    <x v="2"/>
    <n v="1"/>
    <x v="120"/>
    <m/>
    <m/>
    <m/>
    <m/>
    <n v="195"/>
    <n v="0"/>
    <n v="0"/>
    <n v="195"/>
    <x v="2"/>
    <n v="0"/>
    <n v="0"/>
    <n v="0"/>
    <n v="0"/>
    <x v="1"/>
  </r>
  <r>
    <x v="0"/>
    <x v="10"/>
    <d v="2020-11-14T00:00:00"/>
    <s v="DISSABTE"/>
    <s v="NO"/>
    <s v="NO"/>
    <d v="1899-12-30T21:30:00"/>
    <d v="1899-12-30T02:30:00"/>
    <x v="2"/>
    <n v="1"/>
    <x v="121"/>
    <m/>
    <m/>
    <m/>
    <m/>
    <n v="195"/>
    <n v="0"/>
    <n v="0"/>
    <n v="195"/>
    <x v="2"/>
    <n v="0"/>
    <n v="0"/>
    <n v="0"/>
    <n v="0"/>
    <x v="2"/>
  </r>
  <r>
    <x v="0"/>
    <x v="10"/>
    <d v="2020-11-30T00:00:00"/>
    <s v="DILLUNS"/>
    <s v="NO"/>
    <s v="NO"/>
    <m/>
    <m/>
    <x v="7"/>
    <m/>
    <x v="122"/>
    <m/>
    <m/>
    <m/>
    <m/>
    <n v="472.2"/>
    <n v="0"/>
    <n v="0"/>
    <n v="472.2"/>
    <x v="0"/>
    <n v="472.2"/>
    <n v="0"/>
    <n v="0"/>
    <n v="0"/>
    <x v="1"/>
  </r>
  <r>
    <x v="0"/>
    <x v="11"/>
    <d v="2020-12-01T00:00:00"/>
    <s v="DIMARTS"/>
    <s v="NO"/>
    <s v="NO"/>
    <m/>
    <m/>
    <x v="7"/>
    <n v="1"/>
    <x v="113"/>
    <m/>
    <m/>
    <m/>
    <m/>
    <n v="100"/>
    <n v="0"/>
    <n v="0"/>
    <n v="100"/>
    <x v="0"/>
    <n v="0"/>
    <n v="100"/>
    <n v="0"/>
    <n v="0"/>
    <x v="1"/>
  </r>
  <r>
    <x v="0"/>
    <x v="11"/>
    <d v="2020-12-21T00:00:00"/>
    <s v="DILLUNS"/>
    <s v="NO"/>
    <s v="NO"/>
    <m/>
    <m/>
    <x v="7"/>
    <m/>
    <x v="123"/>
    <m/>
    <m/>
    <m/>
    <m/>
    <n v="2000"/>
    <n v="0"/>
    <n v="0"/>
    <n v="2000"/>
    <x v="0"/>
    <n v="2000"/>
    <n v="0"/>
    <n v="0"/>
    <n v="0"/>
    <x v="1"/>
  </r>
  <r>
    <x v="0"/>
    <x v="11"/>
    <d v="2020-12-24T00:00:00"/>
    <s v="DIJOUS"/>
    <s v="NO"/>
    <s v="SI"/>
    <d v="1899-12-30T21:30:00"/>
    <d v="1899-12-30T02:30:00"/>
    <x v="2"/>
    <n v="1"/>
    <x v="106"/>
    <m/>
    <m/>
    <m/>
    <m/>
    <n v="300"/>
    <n v="0"/>
    <n v="0"/>
    <n v="300"/>
    <x v="1"/>
    <n v="50"/>
    <n v="0"/>
    <n v="0"/>
    <n v="0"/>
    <x v="9"/>
  </r>
  <r>
    <x v="0"/>
    <x v="11"/>
    <d v="2020-12-30T00:00:00"/>
    <s v="DIMECRES"/>
    <s v="NO"/>
    <s v="NO"/>
    <m/>
    <m/>
    <x v="7"/>
    <m/>
    <x v="124"/>
    <m/>
    <m/>
    <m/>
    <m/>
    <n v="472.2"/>
    <n v="0"/>
    <n v="0"/>
    <n v="472.2"/>
    <x v="0"/>
    <n v="472.2"/>
    <n v="0"/>
    <n v="0"/>
    <n v="0"/>
    <x v="1"/>
  </r>
  <r>
    <x v="1"/>
    <x v="0"/>
    <d v="2021-01-31T00:00:00"/>
    <s v="DIUMENGE"/>
    <s v="NO"/>
    <s v="NO"/>
    <m/>
    <m/>
    <x v="7"/>
    <m/>
    <x v="125"/>
    <m/>
    <m/>
    <m/>
    <m/>
    <n v="472.2"/>
    <n v="0"/>
    <n v="0"/>
    <n v="472.2"/>
    <x v="0"/>
    <n v="472.2"/>
    <n v="0"/>
    <n v="0"/>
    <n v="0"/>
    <x v="1"/>
  </r>
  <r>
    <x v="1"/>
    <x v="1"/>
    <d v="2021-02-26T00:00:00"/>
    <s v="DIVENDRES"/>
    <s v="NO"/>
    <s v="NO"/>
    <m/>
    <m/>
    <x v="7"/>
    <m/>
    <x v="126"/>
    <m/>
    <m/>
    <m/>
    <m/>
    <n v="472.2"/>
    <n v="0"/>
    <n v="0"/>
    <n v="472.2"/>
    <x v="0"/>
    <n v="472.2"/>
    <n v="0"/>
    <n v="0"/>
    <n v="0"/>
    <x v="1"/>
  </r>
  <r>
    <x v="1"/>
    <x v="2"/>
    <d v="2021-03-26T00:00:00"/>
    <s v="DIVENDRES"/>
    <s v="NO"/>
    <s v="NO"/>
    <m/>
    <m/>
    <x v="7"/>
    <m/>
    <x v="123"/>
    <m/>
    <m/>
    <m/>
    <m/>
    <n v="2000"/>
    <n v="0"/>
    <n v="0"/>
    <n v="2000"/>
    <x v="0"/>
    <n v="2000"/>
    <n v="0"/>
    <n v="0"/>
    <n v="0"/>
    <x v="1"/>
  </r>
  <r>
    <x v="1"/>
    <x v="2"/>
    <d v="2021-03-26T00:00:00"/>
    <s v="DIVENDRES"/>
    <s v="NO"/>
    <s v="NO"/>
    <m/>
    <m/>
    <x v="7"/>
    <m/>
    <x v="68"/>
    <m/>
    <m/>
    <m/>
    <m/>
    <n v="472.2"/>
    <n v="0"/>
    <n v="0"/>
    <n v="472.2"/>
    <x v="0"/>
    <n v="472.2"/>
    <n v="0"/>
    <n v="0"/>
    <n v="0"/>
    <x v="1"/>
  </r>
  <r>
    <x v="1"/>
    <x v="3"/>
    <d v="2021-04-30T00:00:00"/>
    <s v="DIVENDRES"/>
    <s v="NO"/>
    <s v="NO"/>
    <m/>
    <m/>
    <x v="7"/>
    <m/>
    <x v="60"/>
    <m/>
    <m/>
    <m/>
    <m/>
    <n v="472.2"/>
    <n v="0"/>
    <n v="0"/>
    <n v="472.2"/>
    <x v="0"/>
    <n v="472.2"/>
    <n v="0"/>
    <n v="0"/>
    <n v="0"/>
    <x v="1"/>
  </r>
  <r>
    <x v="1"/>
    <x v="4"/>
    <d v="2021-05-08T00:00:00"/>
    <s v="DISSABTE"/>
    <s v="NO"/>
    <s v="NO"/>
    <d v="1899-12-30T15:30:00"/>
    <d v="1899-12-30T20:30:00"/>
    <x v="1"/>
    <n v="1"/>
    <x v="127"/>
    <s v="SI"/>
    <s v="CORNELLA"/>
    <m/>
    <m/>
    <n v="145"/>
    <n v="0"/>
    <n v="0"/>
    <n v="145"/>
    <x v="0"/>
    <n v="0"/>
    <n v="145"/>
    <n v="0"/>
    <n v="0"/>
    <x v="1"/>
  </r>
  <r>
    <x v="1"/>
    <x v="4"/>
    <d v="2021-05-18T00:00:00"/>
    <s v="DIMARTS"/>
    <s v="NO"/>
    <s v="NO"/>
    <m/>
    <m/>
    <x v="7"/>
    <m/>
    <x v="128"/>
    <m/>
    <m/>
    <m/>
    <m/>
    <n v="182.93"/>
    <n v="0"/>
    <n v="0"/>
    <n v="182.93"/>
    <x v="0"/>
    <n v="182.93"/>
    <n v="0"/>
    <n v="0"/>
    <n v="0"/>
    <x v="1"/>
  </r>
  <r>
    <x v="1"/>
    <x v="4"/>
    <d v="2021-05-21T00:00:00"/>
    <s v="DIVENDRES"/>
    <s v="NO"/>
    <s v="NO"/>
    <d v="1899-12-30T15:30:00"/>
    <d v="1899-12-30T20:30:00"/>
    <x v="1"/>
    <n v="1"/>
    <x v="129"/>
    <m/>
    <m/>
    <m/>
    <m/>
    <n v="135"/>
    <n v="1"/>
    <n v="15"/>
    <n v="150"/>
    <x v="0"/>
    <n v="50"/>
    <n v="85"/>
    <n v="0"/>
    <n v="15"/>
    <x v="1"/>
  </r>
  <r>
    <x v="1"/>
    <x v="4"/>
    <d v="2021-05-23T00:00:00"/>
    <s v="DIUMENGE"/>
    <s v="NO"/>
    <s v="NO"/>
    <d v="1899-12-30T15:30:00"/>
    <d v="1899-12-30T20:30:00"/>
    <x v="1"/>
    <n v="1"/>
    <x v="130"/>
    <m/>
    <m/>
    <m/>
    <m/>
    <n v="145"/>
    <n v="0"/>
    <n v="0"/>
    <n v="145"/>
    <x v="0"/>
    <n v="145"/>
    <n v="0"/>
    <n v="0"/>
    <n v="0"/>
    <x v="1"/>
  </r>
  <r>
    <x v="1"/>
    <x v="4"/>
    <d v="2021-05-27T00:00:00"/>
    <s v="DIJOUS"/>
    <s v="NO"/>
    <s v="NO"/>
    <d v="1899-12-30T15:30:00"/>
    <d v="1899-12-30T20:30:00"/>
    <x v="1"/>
    <n v="1"/>
    <x v="131"/>
    <m/>
    <m/>
    <m/>
    <m/>
    <n v="50"/>
    <n v="0"/>
    <n v="0"/>
    <n v="50"/>
    <x v="0"/>
    <n v="50"/>
    <n v="0"/>
    <n v="0"/>
    <n v="0"/>
    <x v="1"/>
  </r>
  <r>
    <x v="1"/>
    <x v="4"/>
    <d v="2021-05-28T00:00:00"/>
    <s v="DIVENDRES"/>
    <s v="NO"/>
    <s v="NO"/>
    <d v="1899-12-30T09:30:00"/>
    <d v="1899-12-30T20:30:00"/>
    <x v="5"/>
    <n v="2"/>
    <x v="131"/>
    <m/>
    <m/>
    <m/>
    <m/>
    <n v="300"/>
    <n v="0"/>
    <n v="0"/>
    <n v="300"/>
    <x v="0"/>
    <n v="0"/>
    <n v="300"/>
    <n v="0"/>
    <n v="0"/>
    <x v="1"/>
  </r>
  <r>
    <x v="1"/>
    <x v="4"/>
    <d v="2021-05-31T00:00:00"/>
    <s v="DILLUNS"/>
    <s v="NO"/>
    <s v="NO"/>
    <m/>
    <m/>
    <x v="7"/>
    <m/>
    <x v="73"/>
    <m/>
    <m/>
    <m/>
    <m/>
    <n v="472.2"/>
    <n v="0"/>
    <n v="0"/>
    <n v="472.2"/>
    <x v="0"/>
    <n v="472.2"/>
    <n v="0"/>
    <n v="0"/>
    <n v="0"/>
    <x v="1"/>
  </r>
  <r>
    <x v="1"/>
    <x v="5"/>
    <d v="2021-06-04T00:00:00"/>
    <s v="DIVENDRES"/>
    <s v="NO"/>
    <s v="NO"/>
    <d v="1899-12-30T09:30:00"/>
    <d v="1899-12-30T23:00:00"/>
    <x v="5"/>
    <n v="2"/>
    <x v="132"/>
    <m/>
    <m/>
    <m/>
    <m/>
    <n v="190"/>
    <n v="1"/>
    <n v="50"/>
    <n v="240"/>
    <x v="0"/>
    <n v="50"/>
    <n v="140"/>
    <n v="0"/>
    <n v="50"/>
    <x v="1"/>
  </r>
  <r>
    <x v="1"/>
    <x v="5"/>
    <d v="2021-06-05T00:00:00"/>
    <s v="DISSABTE"/>
    <s v="NO"/>
    <s v="NO"/>
    <d v="1899-12-30T09:30:00"/>
    <d v="1899-12-30T23:00:00"/>
    <x v="5"/>
    <n v="2"/>
    <x v="36"/>
    <m/>
    <m/>
    <m/>
    <m/>
    <n v="168"/>
    <n v="0"/>
    <n v="0"/>
    <n v="168"/>
    <x v="0"/>
    <n v="133"/>
    <n v="35"/>
    <n v="0"/>
    <n v="0"/>
    <x v="10"/>
  </r>
  <r>
    <x v="1"/>
    <x v="5"/>
    <d v="2021-06-11T00:00:00"/>
    <s v="DIVENDRES"/>
    <s v="NO"/>
    <s v="NO"/>
    <d v="1899-12-30T15:30:00"/>
    <d v="1899-12-30T23:00:00"/>
    <x v="5"/>
    <n v="2"/>
    <x v="133"/>
    <m/>
    <m/>
    <m/>
    <m/>
    <n v="145"/>
    <n v="1"/>
    <n v="35"/>
    <n v="180"/>
    <x v="0"/>
    <n v="150"/>
    <n v="0"/>
    <n v="0"/>
    <n v="30"/>
    <x v="11"/>
  </r>
  <r>
    <x v="1"/>
    <x v="5"/>
    <d v="2021-06-12T00:00:00"/>
    <s v="DISSABTE"/>
    <s v="NO"/>
    <s v="NO"/>
    <d v="1899-12-30T09:30:00"/>
    <d v="1899-12-30T23:00:00"/>
    <x v="5"/>
    <n v="2"/>
    <x v="134"/>
    <m/>
    <m/>
    <m/>
    <m/>
    <n v="195"/>
    <n v="0"/>
    <n v="0"/>
    <n v="195"/>
    <x v="0"/>
    <n v="50"/>
    <n v="145"/>
    <n v="0"/>
    <n v="0"/>
    <x v="1"/>
  </r>
  <r>
    <x v="1"/>
    <x v="5"/>
    <d v="2021-06-13T00:00:00"/>
    <s v="DIUMENGE"/>
    <s v="NO"/>
    <s v="NO"/>
    <d v="1899-12-30T09:30:00"/>
    <d v="1899-12-30T14:30:00"/>
    <x v="3"/>
    <n v="1"/>
    <x v="135"/>
    <m/>
    <m/>
    <m/>
    <m/>
    <n v="145"/>
    <n v="0"/>
    <n v="0"/>
    <n v="145"/>
    <x v="0"/>
    <n v="50"/>
    <n v="95"/>
    <n v="0"/>
    <n v="0"/>
    <x v="1"/>
  </r>
  <r>
    <x v="1"/>
    <x v="5"/>
    <d v="2021-06-18T00:00:00"/>
    <s v="DIVENDRES"/>
    <s v="NO"/>
    <s v="NO"/>
    <d v="1899-12-30T15:30:00"/>
    <d v="1899-12-30T00:00:00"/>
    <x v="1"/>
    <n v="1"/>
    <x v="136"/>
    <m/>
    <m/>
    <m/>
    <m/>
    <n v="195"/>
    <n v="0"/>
    <n v="0"/>
    <n v="195"/>
    <x v="0"/>
    <n v="195"/>
    <n v="0"/>
    <n v="0"/>
    <n v="0"/>
    <x v="1"/>
  </r>
  <r>
    <x v="1"/>
    <x v="5"/>
    <d v="2021-06-19T00:00:00"/>
    <s v="DISSABTE"/>
    <s v="NO"/>
    <s v="NO"/>
    <d v="1899-12-30T15:30:00"/>
    <d v="1899-12-30T20:30:00"/>
    <x v="1"/>
    <n v="1"/>
    <x v="137"/>
    <m/>
    <m/>
    <m/>
    <m/>
    <n v="145"/>
    <n v="1"/>
    <n v="5"/>
    <n v="150"/>
    <x v="0"/>
    <n v="50"/>
    <n v="95"/>
    <n v="0"/>
    <n v="5"/>
    <x v="1"/>
  </r>
  <r>
    <x v="1"/>
    <x v="5"/>
    <d v="2021-06-20T00:00:00"/>
    <s v="DIUMENGE"/>
    <s v="NO"/>
    <s v="NO"/>
    <d v="1899-12-30T12:00:00"/>
    <d v="1899-12-30T18:00:00"/>
    <x v="5"/>
    <n v="2"/>
    <x v="138"/>
    <m/>
    <m/>
    <m/>
    <m/>
    <n v="195"/>
    <n v="0"/>
    <n v="0"/>
    <n v="195"/>
    <x v="0"/>
    <n v="50"/>
    <n v="145"/>
    <n v="0"/>
    <n v="0"/>
    <x v="1"/>
  </r>
  <r>
    <x v="1"/>
    <x v="5"/>
    <d v="2021-06-20T00:00:00"/>
    <s v="DIUMENGE"/>
    <s v="NO"/>
    <s v="NO"/>
    <m/>
    <m/>
    <x v="7"/>
    <m/>
    <x v="139"/>
    <m/>
    <m/>
    <m/>
    <m/>
    <n v="154.13"/>
    <n v="0"/>
    <n v="0"/>
    <n v="154.13"/>
    <x v="0"/>
    <n v="154.13"/>
    <n v="0"/>
    <n v="0"/>
    <n v="0"/>
    <x v="1"/>
  </r>
  <r>
    <x v="1"/>
    <x v="5"/>
    <d v="2021-06-22T00:00:00"/>
    <s v="DIMARTS"/>
    <s v="NO"/>
    <s v="NO"/>
    <d v="1899-12-30T21:30:00"/>
    <d v="1899-12-30T02:30:00"/>
    <x v="2"/>
    <n v="1"/>
    <x v="140"/>
    <m/>
    <m/>
    <m/>
    <m/>
    <n v="195"/>
    <n v="1"/>
    <n v="80"/>
    <n v="275"/>
    <x v="0"/>
    <n v="195"/>
    <n v="0"/>
    <n v="0"/>
    <n v="80"/>
    <x v="1"/>
  </r>
  <r>
    <x v="1"/>
    <x v="5"/>
    <d v="2021-06-23T00:00:00"/>
    <s v="DIMECRES"/>
    <s v="NO"/>
    <s v="NO"/>
    <d v="1899-12-30T15:30:00"/>
    <d v="1899-12-30T20:30:00"/>
    <x v="1"/>
    <n v="1"/>
    <x v="141"/>
    <m/>
    <m/>
    <m/>
    <m/>
    <n v="70"/>
    <n v="0"/>
    <n v="0"/>
    <n v="70"/>
    <x v="0"/>
    <n v="50"/>
    <n v="20"/>
    <n v="0"/>
    <n v="0"/>
    <x v="1"/>
  </r>
  <r>
    <x v="1"/>
    <x v="5"/>
    <d v="2021-06-26T00:00:00"/>
    <s v="DISSABTE"/>
    <s v="NO"/>
    <s v="NO"/>
    <d v="1899-12-30T15:30:00"/>
    <d v="1899-12-30T23:00:00"/>
    <x v="1"/>
    <n v="1"/>
    <x v="142"/>
    <m/>
    <m/>
    <m/>
    <m/>
    <n v="145"/>
    <n v="1"/>
    <n v="5"/>
    <n v="150"/>
    <x v="0"/>
    <n v="0"/>
    <n v="145"/>
    <n v="0"/>
    <n v="5"/>
    <x v="1"/>
  </r>
  <r>
    <x v="1"/>
    <x v="6"/>
    <d v="2021-07-03T00:00:00"/>
    <s v="DISSABTE"/>
    <s v="NO"/>
    <s v="NO"/>
    <d v="1899-12-30T09:30:00"/>
    <d v="1899-12-30T02:30:00"/>
    <x v="5"/>
    <n v="3"/>
    <x v="143"/>
    <m/>
    <m/>
    <m/>
    <m/>
    <n v="370"/>
    <n v="0"/>
    <n v="0"/>
    <n v="370"/>
    <x v="0"/>
    <n v="50"/>
    <n v="320"/>
    <n v="0"/>
    <n v="0"/>
    <x v="1"/>
  </r>
  <r>
    <x v="1"/>
    <x v="6"/>
    <d v="2021-07-10T00:00:00"/>
    <s v="DISSABTE"/>
    <s v="NO"/>
    <s v="NO"/>
    <d v="1899-12-30T15:30:00"/>
    <d v="1899-12-30T20:30:00"/>
    <x v="1"/>
    <n v="1"/>
    <x v="144"/>
    <m/>
    <m/>
    <m/>
    <m/>
    <n v="145"/>
    <n v="0"/>
    <n v="0"/>
    <n v="145"/>
    <x v="0"/>
    <n v="145"/>
    <n v="0"/>
    <n v="0"/>
    <n v="0"/>
    <x v="12"/>
  </r>
  <r>
    <x v="1"/>
    <x v="6"/>
    <d v="2021-07-11T00:00:00"/>
    <s v="DIUMENGE"/>
    <s v="NO"/>
    <s v="NO"/>
    <d v="1899-12-30T09:30:00"/>
    <d v="1899-12-30T14:30:00"/>
    <x v="3"/>
    <n v="1"/>
    <x v="145"/>
    <m/>
    <m/>
    <m/>
    <m/>
    <n v="145"/>
    <n v="0"/>
    <n v="0"/>
    <n v="145"/>
    <x v="0"/>
    <n v="145"/>
    <n v="0"/>
    <n v="0"/>
    <n v="0"/>
    <x v="1"/>
  </r>
  <r>
    <x v="1"/>
    <x v="6"/>
    <d v="2021-07-18T00:00:00"/>
    <s v="DIUMENGE"/>
    <s v="NO"/>
    <s v="NO"/>
    <d v="1899-12-30T09:30:00"/>
    <d v="1899-12-30T14:30:00"/>
    <x v="3"/>
    <n v="1"/>
    <x v="146"/>
    <m/>
    <m/>
    <m/>
    <m/>
    <n v="145"/>
    <n v="0"/>
    <n v="0"/>
    <n v="145"/>
    <x v="2"/>
    <n v="0"/>
    <n v="0"/>
    <n v="0"/>
    <n v="0"/>
    <x v="2"/>
  </r>
  <r>
    <x v="1"/>
    <x v="6"/>
    <d v="2021-07-21T00:00:00"/>
    <s v="DIMECRES"/>
    <s v="NO"/>
    <s v="NO"/>
    <d v="1899-12-30T09:30:00"/>
    <d v="1899-12-30T02:30:00"/>
    <x v="5"/>
    <n v="3"/>
    <x v="147"/>
    <m/>
    <m/>
    <m/>
    <m/>
    <n v="250"/>
    <n v="0"/>
    <n v="0"/>
    <n v="250"/>
    <x v="0"/>
    <n v="50"/>
    <n v="200"/>
    <n v="0"/>
    <n v="0"/>
    <x v="1"/>
  </r>
  <r>
    <x v="1"/>
    <x v="6"/>
    <d v="2021-07-22T00:00:00"/>
    <s v="DIJOUS"/>
    <s v="NO"/>
    <s v="NO"/>
    <d v="1899-12-30T09:30:00"/>
    <d v="1899-12-30T02:30:00"/>
    <x v="5"/>
    <n v="3"/>
    <x v="147"/>
    <m/>
    <m/>
    <m/>
    <m/>
    <n v="250"/>
    <n v="0"/>
    <n v="0"/>
    <n v="250"/>
    <x v="0"/>
    <n v="0"/>
    <n v="250"/>
    <n v="0"/>
    <n v="0"/>
    <x v="1"/>
  </r>
  <r>
    <x v="1"/>
    <x v="6"/>
    <d v="2021-07-25T00:00:00"/>
    <s v="DIUMENGE"/>
    <s v="NO"/>
    <s v="NO"/>
    <d v="1899-12-30T15:30:00"/>
    <d v="1899-12-30T00:30:00"/>
    <x v="1"/>
    <n v="1"/>
    <x v="148"/>
    <m/>
    <m/>
    <m/>
    <m/>
    <n v="195"/>
    <n v="0"/>
    <n v="0"/>
    <n v="195"/>
    <x v="2"/>
    <n v="0"/>
    <n v="0"/>
    <n v="0"/>
    <n v="0"/>
    <x v="2"/>
  </r>
  <r>
    <x v="1"/>
    <x v="7"/>
    <d v="2021-08-01T00:00:00"/>
    <s v="DIUMENGE"/>
    <s v="NO"/>
    <s v="NO"/>
    <d v="1899-12-30T15:30:00"/>
    <d v="1899-12-30T00:30:00"/>
    <x v="1"/>
    <n v="1"/>
    <x v="149"/>
    <m/>
    <m/>
    <m/>
    <m/>
    <n v="195"/>
    <n v="0"/>
    <n v="0"/>
    <n v="195"/>
    <x v="0"/>
    <n v="50"/>
    <n v="145"/>
    <n v="0"/>
    <n v="0"/>
    <x v="1"/>
  </r>
  <r>
    <x v="1"/>
    <x v="7"/>
    <d v="2021-08-07T00:00:00"/>
    <s v="DISSABTE"/>
    <s v="NO"/>
    <s v="NO"/>
    <d v="1899-12-30T15:30:00"/>
    <d v="1899-12-30T20:30:00"/>
    <x v="1"/>
    <n v="1"/>
    <x v="150"/>
    <m/>
    <m/>
    <m/>
    <m/>
    <n v="145"/>
    <n v="0"/>
    <n v="0"/>
    <n v="145"/>
    <x v="0"/>
    <n v="145"/>
    <n v="0"/>
    <n v="0"/>
    <n v="0"/>
    <x v="1"/>
  </r>
  <r>
    <x v="1"/>
    <x v="7"/>
    <d v="2021-08-08T00:00:00"/>
    <s v="DIUMENGE"/>
    <s v="NO"/>
    <s v="NO"/>
    <d v="1899-12-30T15:30:00"/>
    <d v="1899-12-30T20:30:00"/>
    <x v="1"/>
    <n v="1"/>
    <x v="151"/>
    <m/>
    <m/>
    <m/>
    <m/>
    <n v="145"/>
    <n v="0"/>
    <n v="0"/>
    <n v="145"/>
    <x v="0"/>
    <n v="50"/>
    <n v="95"/>
    <n v="0"/>
    <n v="0"/>
    <x v="1"/>
  </r>
  <r>
    <x v="1"/>
    <x v="7"/>
    <d v="2021-08-15T00:00:00"/>
    <s v="DIUMENGE"/>
    <s v="NO"/>
    <s v="NO"/>
    <d v="1899-12-30T15:30:00"/>
    <d v="1899-12-30T00:30:00"/>
    <x v="1"/>
    <n v="1"/>
    <x v="102"/>
    <m/>
    <m/>
    <m/>
    <m/>
    <n v="195"/>
    <n v="0"/>
    <n v="0"/>
    <n v="195"/>
    <x v="0"/>
    <n v="0"/>
    <n v="195"/>
    <n v="0"/>
    <n v="0"/>
    <x v="1"/>
  </r>
  <r>
    <x v="1"/>
    <x v="7"/>
    <d v="2021-08-19T00:00:00"/>
    <s v="DIJOUS"/>
    <s v="NO"/>
    <s v="NO"/>
    <d v="1899-12-30T19:00:00"/>
    <d v="1899-12-30T00:30:00"/>
    <x v="1"/>
    <n v="1"/>
    <x v="152"/>
    <m/>
    <m/>
    <m/>
    <m/>
    <n v="100"/>
    <n v="0"/>
    <n v="0"/>
    <n v="100"/>
    <x v="0"/>
    <n v="0"/>
    <n v="100"/>
    <n v="0"/>
    <n v="0"/>
    <x v="1"/>
  </r>
  <r>
    <x v="1"/>
    <x v="7"/>
    <d v="2021-08-28T00:00:00"/>
    <s v="DISSABTE"/>
    <s v="NO"/>
    <s v="NO"/>
    <d v="1899-12-30T15:30:00"/>
    <d v="1899-12-30T00:30:00"/>
    <x v="1"/>
    <n v="1"/>
    <x v="153"/>
    <m/>
    <m/>
    <m/>
    <m/>
    <n v="195"/>
    <n v="0"/>
    <n v="0"/>
    <n v="195"/>
    <x v="0"/>
    <n v="50"/>
    <n v="145"/>
    <n v="0"/>
    <n v="0"/>
    <x v="1"/>
  </r>
  <r>
    <x v="1"/>
    <x v="7"/>
    <d v="2021-08-29T00:00:00"/>
    <s v="DIUMENGE"/>
    <s v="NO"/>
    <s v="NO"/>
    <d v="1899-12-30T09:30:00"/>
    <d v="1899-12-30T14:30:00"/>
    <x v="3"/>
    <n v="1"/>
    <x v="154"/>
    <m/>
    <m/>
    <m/>
    <m/>
    <n v="145"/>
    <n v="0"/>
    <n v="0"/>
    <n v="145"/>
    <x v="0"/>
    <n v="50"/>
    <n v="95"/>
    <n v="0"/>
    <n v="0"/>
    <x v="1"/>
  </r>
  <r>
    <x v="1"/>
    <x v="8"/>
    <d v="2021-09-05T00:00:00"/>
    <s v="DIUMENGE"/>
    <s v="NO"/>
    <s v="NO"/>
    <d v="1899-12-30T15:30:00"/>
    <d v="1899-12-30T00:30:00"/>
    <x v="1"/>
    <n v="1"/>
    <x v="155"/>
    <m/>
    <m/>
    <m/>
    <m/>
    <n v="195"/>
    <n v="0"/>
    <n v="0"/>
    <n v="195"/>
    <x v="0"/>
    <n v="50"/>
    <n v="145"/>
    <n v="0"/>
    <n v="0"/>
    <x v="1"/>
  </r>
  <r>
    <x v="1"/>
    <x v="8"/>
    <d v="2021-09-11T00:00:00"/>
    <s v="DISSABTE"/>
    <s v="SI"/>
    <s v="NO"/>
    <d v="1899-12-30T15:30:00"/>
    <d v="1899-12-30T00:30:00"/>
    <x v="1"/>
    <n v="1"/>
    <x v="156"/>
    <m/>
    <m/>
    <m/>
    <m/>
    <n v="195"/>
    <n v="0"/>
    <n v="0"/>
    <n v="195"/>
    <x v="0"/>
    <n v="50"/>
    <n v="145"/>
    <n v="0"/>
    <n v="0"/>
    <x v="1"/>
  </r>
  <r>
    <x v="1"/>
    <x v="8"/>
    <d v="2021-09-12T00:00:00"/>
    <s v="DIUMENGE"/>
    <s v="NO"/>
    <s v="NO"/>
    <d v="1899-12-30T09:30:00"/>
    <d v="1899-12-30T20:30:00"/>
    <x v="5"/>
    <n v="2"/>
    <x v="157"/>
    <m/>
    <m/>
    <m/>
    <m/>
    <n v="160"/>
    <n v="0"/>
    <n v="0"/>
    <n v="160"/>
    <x v="0"/>
    <n v="0"/>
    <n v="160"/>
    <n v="0"/>
    <n v="0"/>
    <x v="13"/>
  </r>
  <r>
    <x v="1"/>
    <x v="8"/>
    <d v="2021-09-18T00:00:00"/>
    <s v="DISSABTE"/>
    <s v="NO"/>
    <s v="NO"/>
    <d v="1899-12-30T15:30:00"/>
    <d v="1899-12-30T20:30:00"/>
    <x v="1"/>
    <n v="1"/>
    <x v="158"/>
    <m/>
    <m/>
    <m/>
    <m/>
    <n v="145"/>
    <n v="0"/>
    <n v="0"/>
    <n v="145"/>
    <x v="0"/>
    <n v="145"/>
    <n v="0"/>
    <n v="0"/>
    <n v="0"/>
    <x v="1"/>
  </r>
  <r>
    <x v="1"/>
    <x v="8"/>
    <d v="2021-09-19T00:00:00"/>
    <s v="DIUMENGE"/>
    <s v="NO"/>
    <s v="NO"/>
    <d v="1899-12-30T15:30:00"/>
    <d v="1899-12-30T20:30:00"/>
    <x v="1"/>
    <n v="1"/>
    <x v="159"/>
    <m/>
    <m/>
    <m/>
    <m/>
    <n v="145"/>
    <n v="0"/>
    <n v="0"/>
    <n v="145"/>
    <x v="0"/>
    <n v="145"/>
    <n v="0"/>
    <n v="0"/>
    <n v="0"/>
    <x v="1"/>
  </r>
  <r>
    <x v="1"/>
    <x v="8"/>
    <d v="2021-09-24T00:00:00"/>
    <s v="DIVENDRES"/>
    <s v="NO"/>
    <s v="NO"/>
    <d v="1899-12-30T15:30:00"/>
    <d v="1899-12-30T00:30:00"/>
    <x v="1"/>
    <n v="1"/>
    <x v="160"/>
    <m/>
    <m/>
    <m/>
    <m/>
    <n v="195"/>
    <n v="0"/>
    <n v="0"/>
    <n v="200"/>
    <x v="0"/>
    <n v="50"/>
    <n v="145"/>
    <n v="0"/>
    <n v="5"/>
    <x v="1"/>
  </r>
  <r>
    <x v="1"/>
    <x v="8"/>
    <d v="2021-09-25T00:00:00"/>
    <s v="DISSABTE"/>
    <s v="NO"/>
    <s v="NO"/>
    <d v="1899-12-30T15:30:00"/>
    <d v="1899-12-30T00:30:00"/>
    <x v="1"/>
    <n v="1"/>
    <x v="161"/>
    <m/>
    <m/>
    <m/>
    <m/>
    <n v="195"/>
    <n v="0"/>
    <n v="0"/>
    <n v="195"/>
    <x v="0"/>
    <n v="50"/>
    <n v="145"/>
    <n v="0"/>
    <n v="0"/>
    <x v="1"/>
  </r>
  <r>
    <x v="1"/>
    <x v="8"/>
    <d v="2021-09-26T00:00:00"/>
    <s v="DIUMENGE"/>
    <s v="NO"/>
    <s v="NO"/>
    <d v="1899-12-30T13:00:00"/>
    <d v="1899-12-30T20:30:00"/>
    <x v="0"/>
    <n v="1"/>
    <x v="162"/>
    <m/>
    <m/>
    <m/>
    <m/>
    <n v="145"/>
    <n v="0"/>
    <n v="0"/>
    <n v="150"/>
    <x v="0"/>
    <n v="50"/>
    <n v="95"/>
    <n v="0"/>
    <n v="5"/>
    <x v="1"/>
  </r>
  <r>
    <x v="1"/>
    <x v="9"/>
    <d v="2021-10-02T00:00:00"/>
    <s v="DISSABTE"/>
    <s v="NO"/>
    <s v="NO"/>
    <d v="1899-12-30T09:30:00"/>
    <d v="1899-12-30T14:30:00"/>
    <x v="3"/>
    <n v="1"/>
    <x v="163"/>
    <m/>
    <m/>
    <m/>
    <m/>
    <n v="145"/>
    <n v="0"/>
    <n v="0"/>
    <n v="145"/>
    <x v="0"/>
    <n v="145"/>
    <n v="0"/>
    <n v="0"/>
    <n v="0"/>
    <x v="1"/>
  </r>
  <r>
    <x v="1"/>
    <x v="9"/>
    <d v="2021-10-03T00:00:00"/>
    <s v="DIUMENGE"/>
    <s v="NO"/>
    <s v="NO"/>
    <d v="1899-12-30T13:00:00"/>
    <d v="1899-12-30T20:30:00"/>
    <x v="1"/>
    <n v="1"/>
    <x v="164"/>
    <m/>
    <m/>
    <m/>
    <m/>
    <n v="145"/>
    <n v="0"/>
    <n v="0"/>
    <n v="145"/>
    <x v="0"/>
    <n v="145"/>
    <n v="0"/>
    <n v="0"/>
    <n v="0"/>
    <x v="1"/>
  </r>
  <r>
    <x v="1"/>
    <x v="9"/>
    <d v="2021-10-08T00:00:00"/>
    <s v="DIVENDRES"/>
    <s v="NO"/>
    <s v="NO"/>
    <d v="1899-12-30T15:30:00"/>
    <d v="1899-12-30T00:30:00"/>
    <x v="1"/>
    <n v="1"/>
    <x v="165"/>
    <m/>
    <m/>
    <m/>
    <m/>
    <n v="195"/>
    <n v="0"/>
    <n v="0"/>
    <n v="195"/>
    <x v="0"/>
    <n v="50"/>
    <n v="145"/>
    <n v="0"/>
    <n v="0"/>
    <x v="1"/>
  </r>
  <r>
    <x v="1"/>
    <x v="9"/>
    <d v="2021-10-09T00:00:00"/>
    <s v="DISSABTE"/>
    <s v="NO"/>
    <s v="NO"/>
    <d v="1899-12-30T15:30:00"/>
    <d v="1899-12-30T20:30:00"/>
    <x v="1"/>
    <n v="1"/>
    <x v="166"/>
    <m/>
    <m/>
    <m/>
    <m/>
    <n v="145"/>
    <n v="0"/>
    <n v="0"/>
    <n v="145"/>
    <x v="0"/>
    <n v="50"/>
    <n v="95"/>
    <n v="0"/>
    <n v="0"/>
    <x v="1"/>
  </r>
  <r>
    <x v="1"/>
    <x v="9"/>
    <d v="2021-10-09T00:00:00"/>
    <s v="DISSABTE"/>
    <s v="NO"/>
    <s v="NO"/>
    <d v="1899-12-30T21:30:00"/>
    <d v="1899-12-30T02:30:00"/>
    <x v="2"/>
    <n v="1"/>
    <x v="116"/>
    <m/>
    <m/>
    <m/>
    <m/>
    <n v="195"/>
    <n v="1"/>
    <n v="100"/>
    <n v="295"/>
    <x v="0"/>
    <n v="0"/>
    <n v="195"/>
    <n v="0"/>
    <n v="100"/>
    <x v="1"/>
  </r>
  <r>
    <x v="1"/>
    <x v="9"/>
    <d v="2021-10-12T00:00:00"/>
    <s v="DIMARTS"/>
    <s v="SI"/>
    <s v="NO"/>
    <d v="1899-12-30T15:30:00"/>
    <d v="1899-12-30T20:30:00"/>
    <x v="1"/>
    <n v="1"/>
    <x v="167"/>
    <m/>
    <m/>
    <m/>
    <m/>
    <n v="145"/>
    <n v="0"/>
    <n v="0"/>
    <n v="145"/>
    <x v="0"/>
    <n v="145"/>
    <n v="0"/>
    <n v="0"/>
    <n v="0"/>
    <x v="1"/>
  </r>
  <r>
    <x v="1"/>
    <x v="9"/>
    <d v="2021-10-15T00:00:00"/>
    <s v="DIVENDRES"/>
    <s v="NO"/>
    <s v="NO"/>
    <d v="1899-12-30T21:30:00"/>
    <d v="1899-12-30T02:30:00"/>
    <x v="2"/>
    <n v="1"/>
    <x v="168"/>
    <m/>
    <m/>
    <m/>
    <m/>
    <n v="195"/>
    <n v="1"/>
    <n v="50"/>
    <n v="245"/>
    <x v="0"/>
    <n v="145"/>
    <n v="0"/>
    <n v="0"/>
    <n v="50"/>
    <x v="1"/>
  </r>
  <r>
    <x v="1"/>
    <x v="9"/>
    <d v="2021-10-16T00:00:00"/>
    <s v="DISSABTE"/>
    <s v="NO"/>
    <s v="NO"/>
    <d v="1899-12-30T15:30:00"/>
    <d v="1899-12-30T00:30:00"/>
    <x v="1"/>
    <n v="1"/>
    <x v="169"/>
    <m/>
    <m/>
    <m/>
    <m/>
    <n v="195"/>
    <n v="0"/>
    <n v="0"/>
    <n v="195"/>
    <x v="0"/>
    <n v="50"/>
    <n v="145"/>
    <n v="0"/>
    <n v="0"/>
    <x v="14"/>
  </r>
  <r>
    <x v="1"/>
    <x v="9"/>
    <d v="2021-10-23T00:00:00"/>
    <s v="DISSABTE"/>
    <s v="NO"/>
    <s v="NO"/>
    <d v="1899-12-30T09:30:00"/>
    <d v="1899-12-30T14:30:00"/>
    <x v="3"/>
    <n v="1"/>
    <x v="170"/>
    <m/>
    <m/>
    <m/>
    <m/>
    <n v="145"/>
    <n v="0"/>
    <n v="0"/>
    <n v="145"/>
    <x v="0"/>
    <n v="145"/>
    <n v="0"/>
    <n v="0"/>
    <n v="0"/>
    <x v="1"/>
  </r>
  <r>
    <x v="1"/>
    <x v="9"/>
    <d v="2021-10-23T00:00:00"/>
    <s v="DISSABTE"/>
    <s v="NO"/>
    <s v="NO"/>
    <d v="1899-12-30T15:30:00"/>
    <d v="1899-12-30T20:30:00"/>
    <x v="1"/>
    <n v="1"/>
    <x v="56"/>
    <m/>
    <m/>
    <m/>
    <m/>
    <n v="145"/>
    <n v="1"/>
    <n v="5"/>
    <n v="150"/>
    <x v="0"/>
    <n v="50"/>
    <n v="95"/>
    <n v="0"/>
    <n v="5"/>
    <x v="1"/>
  </r>
  <r>
    <x v="1"/>
    <x v="9"/>
    <d v="2021-10-29T00:00:00"/>
    <s v="DIVENDRES"/>
    <s v="NO"/>
    <s v="NO"/>
    <d v="1899-12-30T15:30:00"/>
    <d v="1899-12-30T20:30:00"/>
    <x v="1"/>
    <n v="1"/>
    <x v="171"/>
    <m/>
    <m/>
    <m/>
    <m/>
    <n v="135"/>
    <n v="1"/>
    <n v="15"/>
    <n v="150"/>
    <x v="0"/>
    <n v="50"/>
    <n v="85"/>
    <n v="0"/>
    <n v="15"/>
    <x v="1"/>
  </r>
  <r>
    <x v="1"/>
    <x v="9"/>
    <d v="2021-10-30T00:00:00"/>
    <s v="DISSABTE"/>
    <s v="NO"/>
    <s v="NO"/>
    <d v="1899-12-30T09:30:00"/>
    <d v="1899-12-30T20:30:00"/>
    <x v="5"/>
    <n v="2"/>
    <x v="172"/>
    <m/>
    <m/>
    <m/>
    <m/>
    <n v="270"/>
    <n v="0"/>
    <n v="0"/>
    <n v="270"/>
    <x v="0"/>
    <n v="50"/>
    <n v="220"/>
    <n v="0"/>
    <n v="0"/>
    <x v="1"/>
  </r>
  <r>
    <x v="1"/>
    <x v="9"/>
    <d v="2021-10-31T00:00:00"/>
    <s v="DIUMENGE"/>
    <s v="NO"/>
    <s v="SI"/>
    <d v="1899-12-30T21:30:00"/>
    <d v="1899-12-30T02:30:00"/>
    <x v="2"/>
    <n v="1"/>
    <x v="111"/>
    <m/>
    <m/>
    <m/>
    <m/>
    <n v="250"/>
    <n v="0"/>
    <n v="0"/>
    <n v="250"/>
    <x v="0"/>
    <n v="250"/>
    <n v="0"/>
    <n v="0"/>
    <n v="0"/>
    <x v="15"/>
  </r>
  <r>
    <x v="1"/>
    <x v="10"/>
    <d v="2021-11-04T00:00:00"/>
    <s v="DIJOUS"/>
    <s v="NO"/>
    <s v="NO"/>
    <d v="1899-12-30T15:30:00"/>
    <d v="1899-12-30T20:30:00"/>
    <x v="1"/>
    <n v="1"/>
    <x v="173"/>
    <m/>
    <m/>
    <m/>
    <m/>
    <n v="95"/>
    <n v="0"/>
    <n v="0"/>
    <n v="95"/>
    <x v="0"/>
    <n v="95"/>
    <n v="0"/>
    <n v="0"/>
    <n v="0"/>
    <x v="1"/>
  </r>
  <r>
    <x v="1"/>
    <x v="10"/>
    <d v="2021-11-06T00:00:00"/>
    <s v="DISSABTE"/>
    <s v="NO"/>
    <s v="NO"/>
    <d v="1899-12-30T09:30:00"/>
    <d v="1899-12-30T14:30:00"/>
    <x v="3"/>
    <n v="1"/>
    <x v="174"/>
    <m/>
    <m/>
    <m/>
    <m/>
    <n v="145"/>
    <n v="0"/>
    <n v="0"/>
    <n v="145"/>
    <x v="0"/>
    <n v="50"/>
    <n v="95"/>
    <n v="0"/>
    <n v="0"/>
    <x v="1"/>
  </r>
  <r>
    <x v="1"/>
    <x v="10"/>
    <d v="2021-11-06T00:00:00"/>
    <s v="DISSABTE"/>
    <s v="NO"/>
    <s v="NO"/>
    <d v="1899-12-30T15:30:00"/>
    <d v="1899-12-30T02:30:00"/>
    <x v="5"/>
    <n v="2"/>
    <x v="175"/>
    <m/>
    <m/>
    <m/>
    <m/>
    <n v="300"/>
    <n v="0"/>
    <n v="0"/>
    <n v="300"/>
    <x v="0"/>
    <n v="50"/>
    <n v="250"/>
    <n v="0"/>
    <n v="0"/>
    <x v="1"/>
  </r>
  <r>
    <x v="1"/>
    <x v="10"/>
    <d v="2021-11-07T00:00:00"/>
    <s v="DIUMENGE"/>
    <s v="NO"/>
    <s v="NO"/>
    <d v="1899-12-30T15:30:00"/>
    <d v="1899-12-30T20:30:00"/>
    <x v="1"/>
    <n v="1"/>
    <x v="176"/>
    <m/>
    <m/>
    <m/>
    <m/>
    <n v="145"/>
    <n v="0"/>
    <n v="0"/>
    <n v="145"/>
    <x v="0"/>
    <n v="145"/>
    <n v="0"/>
    <n v="0"/>
    <n v="0"/>
    <x v="1"/>
  </r>
  <r>
    <x v="1"/>
    <x v="10"/>
    <d v="2021-11-13T00:00:00"/>
    <s v="DISSABTE"/>
    <s v="NO"/>
    <s v="NO"/>
    <d v="1899-12-30T15:30:00"/>
    <d v="1899-12-30T20:30:00"/>
    <x v="1"/>
    <n v="1"/>
    <x v="177"/>
    <m/>
    <m/>
    <m/>
    <m/>
    <n v="145"/>
    <n v="0"/>
    <n v="0"/>
    <n v="145"/>
    <x v="0"/>
    <n v="145"/>
    <n v="0"/>
    <n v="0"/>
    <n v="0"/>
    <x v="1"/>
  </r>
  <r>
    <x v="1"/>
    <x v="10"/>
    <d v="2021-11-13T00:00:00"/>
    <s v="DISSABTE"/>
    <s v="NO"/>
    <s v="NO"/>
    <d v="1899-12-30T21:30:00"/>
    <d v="1899-12-30T02:30:00"/>
    <x v="2"/>
    <n v="1"/>
    <x v="178"/>
    <m/>
    <m/>
    <m/>
    <m/>
    <n v="195"/>
    <n v="1"/>
    <n v="50"/>
    <n v="245"/>
    <x v="0"/>
    <n v="195"/>
    <n v="0"/>
    <n v="50"/>
    <n v="0"/>
    <x v="16"/>
  </r>
  <r>
    <x v="1"/>
    <x v="10"/>
    <d v="2021-11-14T00:00:00"/>
    <s v="DIUMENGE"/>
    <s v="NO"/>
    <s v="NO"/>
    <d v="1899-12-30T09:30:00"/>
    <d v="1899-12-30T14:30:00"/>
    <x v="3"/>
    <n v="1"/>
    <x v="179"/>
    <m/>
    <m/>
    <m/>
    <m/>
    <n v="145"/>
    <n v="0"/>
    <n v="0"/>
    <n v="145"/>
    <x v="0"/>
    <n v="50"/>
    <n v="95"/>
    <n v="0"/>
    <n v="0"/>
    <x v="1"/>
  </r>
  <r>
    <x v="1"/>
    <x v="10"/>
    <d v="2021-11-14T00:00:00"/>
    <s v="DIUMENGE"/>
    <s v="NO"/>
    <s v="NO"/>
    <d v="1899-12-30T15:30:00"/>
    <d v="1899-12-30T20:30:00"/>
    <x v="1"/>
    <n v="1"/>
    <x v="180"/>
    <m/>
    <m/>
    <m/>
    <m/>
    <n v="145"/>
    <n v="0"/>
    <n v="0"/>
    <n v="145"/>
    <x v="0"/>
    <n v="50"/>
    <n v="95"/>
    <n v="0"/>
    <n v="0"/>
    <x v="1"/>
  </r>
  <r>
    <x v="1"/>
    <x v="10"/>
    <d v="2021-11-21T00:00:00"/>
    <s v="DIVENDRES"/>
    <s v="NO"/>
    <s v="NO"/>
    <d v="1899-12-30T21:30:00"/>
    <d v="1899-12-30T02:30:00"/>
    <x v="2"/>
    <n v="1"/>
    <x v="181"/>
    <m/>
    <m/>
    <m/>
    <m/>
    <n v="195"/>
    <n v="1"/>
    <n v="50"/>
    <n v="245"/>
    <x v="0"/>
    <n v="195"/>
    <n v="0"/>
    <n v="50"/>
    <n v="0"/>
    <x v="1"/>
  </r>
  <r>
    <x v="1"/>
    <x v="10"/>
    <d v="2021-11-21T00:00:00"/>
    <s v="DIUMENGE"/>
    <s v="NO"/>
    <s v="NO"/>
    <d v="1899-12-30T09:30:00"/>
    <d v="1899-12-30T20:30:00"/>
    <x v="5"/>
    <n v="2"/>
    <x v="182"/>
    <m/>
    <m/>
    <m/>
    <m/>
    <n v="200"/>
    <n v="0"/>
    <n v="0"/>
    <n v="200"/>
    <x v="0"/>
    <n v="0"/>
    <n v="200"/>
    <n v="0"/>
    <n v="0"/>
    <x v="13"/>
  </r>
  <r>
    <x v="1"/>
    <x v="10"/>
    <d v="2021-11-26T00:00:00"/>
    <s v="DIVENDRES"/>
    <s v="NO"/>
    <s v="NO"/>
    <d v="1899-12-30T15:30:00"/>
    <d v="1899-12-30T20:30:00"/>
    <x v="1"/>
    <n v="1"/>
    <x v="183"/>
    <m/>
    <m/>
    <m/>
    <m/>
    <n v="135"/>
    <n v="0"/>
    <n v="0"/>
    <n v="135"/>
    <x v="0"/>
    <n v="135"/>
    <n v="0"/>
    <n v="0"/>
    <n v="0"/>
    <x v="1"/>
  </r>
  <r>
    <x v="1"/>
    <x v="10"/>
    <d v="2021-11-27T00:00:00"/>
    <s v="DISSABTE"/>
    <s v="NO"/>
    <s v="NO"/>
    <d v="1899-12-30T15:30:00"/>
    <d v="1899-12-30T20:30:00"/>
    <x v="1"/>
    <n v="1"/>
    <x v="184"/>
    <m/>
    <m/>
    <m/>
    <m/>
    <n v="145"/>
    <n v="0"/>
    <n v="0"/>
    <n v="145"/>
    <x v="2"/>
    <n v="0"/>
    <n v="0"/>
    <n v="0"/>
    <n v="0"/>
    <x v="2"/>
  </r>
  <r>
    <x v="1"/>
    <x v="10"/>
    <d v="2021-11-27T00:00:00"/>
    <s v="DISSABTE"/>
    <s v="NO"/>
    <s v="NO"/>
    <d v="1899-12-30T21:30:00"/>
    <d v="1899-12-30T02:30:00"/>
    <x v="2"/>
    <n v="1"/>
    <x v="185"/>
    <m/>
    <m/>
    <m/>
    <m/>
    <n v="195"/>
    <n v="1"/>
    <n v="5"/>
    <n v="200"/>
    <x v="0"/>
    <n v="50"/>
    <n v="145"/>
    <n v="0"/>
    <n v="5"/>
    <x v="1"/>
  </r>
  <r>
    <x v="1"/>
    <x v="11"/>
    <d v="2021-12-03T00:00:00"/>
    <s v="DIVENDRES"/>
    <s v="NO"/>
    <s v="NO"/>
    <d v="1899-12-30T09:30:00"/>
    <d v="1899-12-30T02:30:00"/>
    <x v="5"/>
    <n v="3"/>
    <x v="186"/>
    <m/>
    <m/>
    <m/>
    <m/>
    <n v="325"/>
    <n v="0"/>
    <n v="0"/>
    <n v="325"/>
    <x v="0"/>
    <n v="50"/>
    <n v="275"/>
    <n v="0"/>
    <n v="0"/>
    <x v="1"/>
  </r>
  <r>
    <x v="1"/>
    <x v="11"/>
    <d v="2021-12-04T00:00:00"/>
    <s v="DISSABTE"/>
    <s v="NO"/>
    <s v="NO"/>
    <d v="1899-12-30T09:30:00"/>
    <d v="1899-12-30T20:30:00"/>
    <x v="5"/>
    <n v="2"/>
    <x v="187"/>
    <m/>
    <m/>
    <m/>
    <m/>
    <n v="270"/>
    <n v="0"/>
    <n v="0"/>
    <n v="270"/>
    <x v="0"/>
    <n v="50"/>
    <n v="220"/>
    <n v="0"/>
    <n v="0"/>
    <x v="1"/>
  </r>
  <r>
    <x v="1"/>
    <x v="11"/>
    <d v="2021-12-04T00:00:00"/>
    <s v="DISSABTE"/>
    <s v="NO"/>
    <s v="NO"/>
    <d v="1899-12-30T21:30:00"/>
    <d v="1899-12-30T02:30:00"/>
    <x v="2"/>
    <n v="1"/>
    <x v="45"/>
    <m/>
    <m/>
    <m/>
    <m/>
    <n v="195"/>
    <n v="1"/>
    <n v="50"/>
    <n v="245"/>
    <x v="0"/>
    <n v="195"/>
    <n v="0"/>
    <n v="50"/>
    <n v="0"/>
    <x v="17"/>
  </r>
  <r>
    <x v="1"/>
    <x v="11"/>
    <d v="2021-12-05T00:00:00"/>
    <s v="DIUMENGE"/>
    <s v="NO"/>
    <s v="NO"/>
    <d v="1899-12-30T15:30:00"/>
    <d v="1899-12-30T20:30:00"/>
    <x v="1"/>
    <n v="1"/>
    <x v="38"/>
    <m/>
    <m/>
    <m/>
    <m/>
    <n v="145"/>
    <n v="0"/>
    <n v="0"/>
    <n v="145"/>
    <x v="0"/>
    <n v="50"/>
    <n v="95"/>
    <n v="0"/>
    <n v="0"/>
    <x v="1"/>
  </r>
  <r>
    <x v="1"/>
    <x v="11"/>
    <d v="2021-12-05T00:00:00"/>
    <s v="DIUMENGE"/>
    <s v="NO"/>
    <s v="NO"/>
    <d v="1899-12-30T21:30:00"/>
    <d v="1899-12-30T02:30:00"/>
    <x v="2"/>
    <n v="1"/>
    <x v="95"/>
    <m/>
    <m/>
    <m/>
    <m/>
    <n v="195"/>
    <n v="1"/>
    <n v="25"/>
    <n v="220"/>
    <x v="0"/>
    <n v="195"/>
    <n v="0"/>
    <n v="0"/>
    <n v="25"/>
    <x v="1"/>
  </r>
  <r>
    <x v="1"/>
    <x v="11"/>
    <d v="2021-12-08T00:00:00"/>
    <s v="DIMECRES"/>
    <s v="SI"/>
    <s v="NO"/>
    <d v="1899-12-30T09:30:00"/>
    <d v="1899-12-30T17:00:00"/>
    <x v="0"/>
    <n v="2"/>
    <x v="188"/>
    <m/>
    <m/>
    <m/>
    <m/>
    <n v="145"/>
    <n v="1"/>
    <n v="20"/>
    <n v="165"/>
    <x v="0"/>
    <n v="145"/>
    <n v="0"/>
    <n v="20"/>
    <n v="0"/>
    <x v="1"/>
  </r>
  <r>
    <x v="1"/>
    <x v="11"/>
    <d v="2021-12-10T00:00:00"/>
    <s v="DIVENDRES"/>
    <s v="NO"/>
    <s v="NO"/>
    <d v="1899-12-30T21:30:00"/>
    <d v="1899-12-30T02:30:00"/>
    <x v="2"/>
    <n v="1"/>
    <x v="189"/>
    <m/>
    <m/>
    <m/>
    <m/>
    <n v="195"/>
    <n v="1"/>
    <n v="50"/>
    <n v="245"/>
    <x v="0"/>
    <n v="195"/>
    <n v="0"/>
    <n v="50"/>
    <n v="0"/>
    <x v="1"/>
  </r>
  <r>
    <x v="1"/>
    <x v="11"/>
    <d v="2021-12-11T00:00:00"/>
    <s v="DISSABTE"/>
    <s v="NO"/>
    <s v="NO"/>
    <d v="1899-12-30T15:30:00"/>
    <d v="1899-12-30T20:30:00"/>
    <x v="1"/>
    <n v="1"/>
    <x v="190"/>
    <m/>
    <m/>
    <m/>
    <m/>
    <n v="145"/>
    <n v="0"/>
    <n v="0"/>
    <n v="145"/>
    <x v="0"/>
    <n v="50"/>
    <n v="95"/>
    <n v="0"/>
    <n v="0"/>
    <x v="1"/>
  </r>
  <r>
    <x v="1"/>
    <x v="11"/>
    <d v="2021-12-11T00:00:00"/>
    <s v="DISSABTE"/>
    <s v="NO"/>
    <s v="NO"/>
    <d v="1899-12-30T21:30:00"/>
    <d v="1899-12-30T02:30:00"/>
    <x v="2"/>
    <n v="1"/>
    <x v="191"/>
    <m/>
    <m/>
    <m/>
    <m/>
    <n v="195"/>
    <n v="0"/>
    <n v="0"/>
    <n v="195"/>
    <x v="0"/>
    <n v="195"/>
    <n v="0"/>
    <n v="0"/>
    <n v="0"/>
    <x v="1"/>
  </r>
  <r>
    <x v="1"/>
    <x v="11"/>
    <d v="2021-12-17T00:00:00"/>
    <s v="DIVENDRES"/>
    <s v="NO"/>
    <s v="NO"/>
    <d v="1899-12-30T15:30:00"/>
    <d v="1899-12-30T20:30:00"/>
    <x v="1"/>
    <n v="1"/>
    <x v="192"/>
    <m/>
    <m/>
    <m/>
    <m/>
    <n v="135"/>
    <n v="0"/>
    <n v="0"/>
    <n v="135"/>
    <x v="2"/>
    <n v="0"/>
    <n v="0"/>
    <n v="0"/>
    <n v="0"/>
    <x v="2"/>
  </r>
  <r>
    <x v="1"/>
    <x v="11"/>
    <d v="2021-12-17T00:00:00"/>
    <s v="DIVENDRES"/>
    <s v="NO"/>
    <s v="NO"/>
    <d v="1899-12-30T21:30:00"/>
    <d v="1899-12-30T02:30:00"/>
    <x v="2"/>
    <n v="1"/>
    <x v="193"/>
    <m/>
    <m/>
    <m/>
    <m/>
    <n v="195"/>
    <n v="1"/>
    <n v="50"/>
    <n v="245"/>
    <x v="0"/>
    <n v="50"/>
    <n v="145"/>
    <n v="0"/>
    <n v="50"/>
    <x v="1"/>
  </r>
  <r>
    <x v="1"/>
    <x v="11"/>
    <d v="2021-12-18T00:00:00"/>
    <s v="DISSABTE"/>
    <s v="NO"/>
    <s v="NO"/>
    <d v="1899-12-30T09:30:00"/>
    <d v="1899-12-30T20:30:00"/>
    <x v="5"/>
    <n v="2"/>
    <x v="194"/>
    <m/>
    <m/>
    <m/>
    <m/>
    <n v="270"/>
    <n v="0"/>
    <n v="0"/>
    <n v="270"/>
    <x v="0"/>
    <n v="50"/>
    <n v="220"/>
    <n v="0"/>
    <n v="0"/>
    <x v="1"/>
  </r>
  <r>
    <x v="1"/>
    <x v="11"/>
    <d v="2021-12-18T00:00:00"/>
    <s v="DISSABTE"/>
    <s v="NO"/>
    <s v="NO"/>
    <d v="1899-12-30T21:30:00"/>
    <d v="1899-12-30T02:30:00"/>
    <x v="2"/>
    <n v="1"/>
    <x v="153"/>
    <m/>
    <m/>
    <m/>
    <m/>
    <n v="195"/>
    <n v="0"/>
    <n v="0"/>
    <n v="195"/>
    <x v="1"/>
    <n v="50"/>
    <n v="0"/>
    <n v="0"/>
    <n v="0"/>
    <x v="3"/>
  </r>
  <r>
    <x v="1"/>
    <x v="11"/>
    <d v="2021-12-19T00:00:00"/>
    <s v="DIUMENGE"/>
    <s v="NO"/>
    <s v="NO"/>
    <d v="1899-12-30T09:30:00"/>
    <d v="1899-12-30T14:30:00"/>
    <x v="3"/>
    <n v="1"/>
    <x v="195"/>
    <m/>
    <m/>
    <m/>
    <m/>
    <n v="145"/>
    <n v="0"/>
    <n v="0"/>
    <n v="145"/>
    <x v="0"/>
    <n v="145"/>
    <n v="0"/>
    <n v="0"/>
    <n v="0"/>
    <x v="1"/>
  </r>
  <r>
    <x v="1"/>
    <x v="11"/>
    <d v="2021-12-19T00:00:00"/>
    <s v="DIUMENGE"/>
    <s v="NO"/>
    <s v="NO"/>
    <d v="1899-12-30T15:30:00"/>
    <d v="1899-12-30T20:30:00"/>
    <x v="1"/>
    <n v="1"/>
    <x v="196"/>
    <m/>
    <m/>
    <m/>
    <m/>
    <n v="145"/>
    <n v="1"/>
    <n v="5"/>
    <n v="150"/>
    <x v="0"/>
    <n v="50"/>
    <n v="95"/>
    <n v="0"/>
    <n v="5"/>
    <x v="1"/>
  </r>
  <r>
    <x v="1"/>
    <x v="11"/>
    <d v="2021-12-23T00:00:00"/>
    <s v="DIJOUS"/>
    <s v="NO"/>
    <s v="NO"/>
    <d v="1899-12-30T21:30:00"/>
    <d v="1899-12-30T05:30:00"/>
    <x v="2"/>
    <n v="1"/>
    <x v="197"/>
    <m/>
    <m/>
    <m/>
    <m/>
    <n v="195"/>
    <n v="1"/>
    <n v="50"/>
    <n v="245"/>
    <x v="1"/>
    <n v="50"/>
    <n v="0"/>
    <n v="0"/>
    <n v="0"/>
    <x v="3"/>
  </r>
  <r>
    <x v="1"/>
    <x v="11"/>
    <d v="2021-12-24T00:00:00"/>
    <s v="DIVENDRES"/>
    <s v="NO"/>
    <s v="SI"/>
    <d v="1899-12-30T21:30:00"/>
    <d v="1899-12-30T02:30:00"/>
    <x v="2"/>
    <n v="1"/>
    <x v="198"/>
    <m/>
    <m/>
    <m/>
    <m/>
    <n v="300"/>
    <n v="0"/>
    <n v="0"/>
    <n v="300"/>
    <x v="2"/>
    <n v="0"/>
    <n v="0"/>
    <n v="0"/>
    <n v="0"/>
    <x v="2"/>
  </r>
  <r>
    <x v="1"/>
    <x v="11"/>
    <d v="2021-12-25T00:00:00"/>
    <s v="DISSABTE"/>
    <s v="SI"/>
    <s v="SI"/>
    <d v="1899-12-30T11:00:00"/>
    <d v="1899-12-30T22:00:00"/>
    <x v="5"/>
    <n v="2"/>
    <x v="199"/>
    <m/>
    <m/>
    <m/>
    <m/>
    <n v="320"/>
    <n v="0"/>
    <n v="0"/>
    <n v="320"/>
    <x v="2"/>
    <n v="0"/>
    <n v="0"/>
    <n v="0"/>
    <n v="0"/>
    <x v="2"/>
  </r>
  <r>
    <x v="1"/>
    <x v="11"/>
    <d v="2021-12-26T00:00:00"/>
    <s v="DIUMENGE"/>
    <s v="SI"/>
    <s v="SI"/>
    <d v="1899-12-30T11:00:00"/>
    <d v="1899-12-30T20:30:00"/>
    <x v="5"/>
    <n v="2"/>
    <x v="200"/>
    <m/>
    <m/>
    <m/>
    <m/>
    <n v="250"/>
    <n v="0"/>
    <n v="0"/>
    <n v="250"/>
    <x v="2"/>
    <n v="0"/>
    <n v="0"/>
    <n v="0"/>
    <n v="0"/>
    <x v="2"/>
  </r>
  <r>
    <x v="1"/>
    <x v="11"/>
    <d v="2021-12-30T00:00:00"/>
    <s v="DIJOUS"/>
    <s v="NO"/>
    <s v="NO"/>
    <d v="1899-12-30T19:00:00"/>
    <d v="1899-12-30T23:00:00"/>
    <x v="1"/>
    <n v="1"/>
    <x v="201"/>
    <m/>
    <m/>
    <m/>
    <m/>
    <n v="95"/>
    <n v="0"/>
    <n v="0"/>
    <n v="95"/>
    <x v="0"/>
    <n v="50"/>
    <n v="45"/>
    <n v="0"/>
    <n v="0"/>
    <x v="1"/>
  </r>
  <r>
    <x v="1"/>
    <x v="11"/>
    <d v="2021-12-31T00:00:00"/>
    <s v="DIVENDRES"/>
    <s v="NO"/>
    <s v="SI"/>
    <d v="1899-12-30T15:30:00"/>
    <d v="1899-12-30T06:00:00"/>
    <x v="4"/>
    <n v="1"/>
    <x v="202"/>
    <m/>
    <m/>
    <m/>
    <m/>
    <n v="300"/>
    <n v="0"/>
    <n v="0"/>
    <n v="300"/>
    <x v="0"/>
    <n v="300"/>
    <n v="0"/>
    <n v="0"/>
    <n v="0"/>
    <x v="18"/>
  </r>
  <r>
    <x v="2"/>
    <x v="0"/>
    <d v="2022-01-01T00:00:00"/>
    <s v="DISSABTE"/>
    <s v="SI"/>
    <s v="NO"/>
    <d v="1899-12-30T12:30:00"/>
    <d v="1899-12-30T20:30:00"/>
    <x v="0"/>
    <n v="2"/>
    <x v="187"/>
    <n v="8170"/>
    <s v="MONTORNES DEL VALLES"/>
    <m/>
    <n v="657287882"/>
    <n v="145"/>
    <n v="0"/>
    <n v="0"/>
    <n v="145"/>
    <x v="0"/>
    <n v="50"/>
    <n v="95"/>
    <n v="0"/>
    <n v="0"/>
    <x v="1"/>
  </r>
  <r>
    <x v="2"/>
    <x v="0"/>
    <d v="2022-01-02T00:00:00"/>
    <s v="DIUMENGE"/>
    <s v="NO"/>
    <s v="NO"/>
    <d v="1899-12-30T15:30:00"/>
    <d v="1899-12-30T20:30:00"/>
    <x v="1"/>
    <n v="1"/>
    <x v="203"/>
    <m/>
    <m/>
    <m/>
    <m/>
    <n v="145"/>
    <n v="0"/>
    <n v="0"/>
    <n v="145"/>
    <x v="1"/>
    <n v="50"/>
    <n v="0"/>
    <n v="0"/>
    <n v="0"/>
    <x v="3"/>
  </r>
  <r>
    <x v="2"/>
    <x v="0"/>
    <d v="2022-01-04T00:00:00"/>
    <s v="DIMARTS"/>
    <s v="NO"/>
    <s v="NO"/>
    <d v="1899-12-30T15:30:00"/>
    <d v="1899-12-30T01:00:00"/>
    <x v="1"/>
    <n v="1"/>
    <x v="204"/>
    <m/>
    <m/>
    <m/>
    <m/>
    <n v="195"/>
    <n v="1"/>
    <n v="100"/>
    <n v="295"/>
    <x v="0"/>
    <n v="50"/>
    <n v="145"/>
    <n v="0"/>
    <n v="100"/>
    <x v="1"/>
  </r>
  <r>
    <x v="2"/>
    <x v="0"/>
    <d v="2022-01-05T00:00:00"/>
    <s v="DIMECRES"/>
    <s v="NO"/>
    <s v="SI"/>
    <d v="1899-12-30T17:00:00"/>
    <d v="1899-12-30T00:00:00"/>
    <x v="1"/>
    <n v="1"/>
    <x v="205"/>
    <m/>
    <m/>
    <m/>
    <m/>
    <n v="170"/>
    <n v="0"/>
    <n v="0"/>
    <n v="170"/>
    <x v="0"/>
    <n v="170"/>
    <n v="0"/>
    <n v="0"/>
    <n v="0"/>
    <x v="1"/>
  </r>
  <r>
    <x v="2"/>
    <x v="0"/>
    <d v="2022-01-06T00:00:00"/>
    <s v="DIJOUS"/>
    <s v="SI"/>
    <s v="NO"/>
    <d v="1899-12-30T15:00:00"/>
    <d v="1899-12-30T01:00:00"/>
    <x v="1"/>
    <n v="1"/>
    <x v="206"/>
    <m/>
    <m/>
    <m/>
    <m/>
    <n v="195"/>
    <n v="0"/>
    <n v="0"/>
    <n v="195"/>
    <x v="0"/>
    <n v="50"/>
    <n v="145"/>
    <n v="0"/>
    <n v="0"/>
    <x v="1"/>
  </r>
  <r>
    <x v="2"/>
    <x v="0"/>
    <d v="2022-01-07T00:00:00"/>
    <s v="DIVENDRES"/>
    <s v="NO"/>
    <s v="NO"/>
    <d v="1899-12-30T15:30:00"/>
    <d v="1899-12-30T20:30:00"/>
    <x v="1"/>
    <n v="1"/>
    <x v="207"/>
    <m/>
    <m/>
    <m/>
    <m/>
    <n v="135"/>
    <n v="0"/>
    <n v="0"/>
    <n v="135"/>
    <x v="0"/>
    <n v="50"/>
    <n v="85"/>
    <n v="0"/>
    <n v="0"/>
    <x v="1"/>
  </r>
  <r>
    <x v="2"/>
    <x v="0"/>
    <d v="2022-01-07T00:00:00"/>
    <s v="DIVENDRES"/>
    <s v="NO"/>
    <s v="NO"/>
    <d v="1899-12-30T21:30:00"/>
    <d v="1899-12-30T01:00:00"/>
    <x v="2"/>
    <n v="1"/>
    <x v="208"/>
    <m/>
    <m/>
    <m/>
    <m/>
    <n v="145"/>
    <n v="0"/>
    <n v="0"/>
    <n v="145"/>
    <x v="2"/>
    <n v="0"/>
    <n v="0"/>
    <n v="0"/>
    <n v="0"/>
    <x v="2"/>
  </r>
  <r>
    <x v="2"/>
    <x v="0"/>
    <d v="2022-01-08T00:00:00"/>
    <s v="DISSABTE"/>
    <s v="NO"/>
    <s v="NO"/>
    <d v="1899-12-30T15:30:00"/>
    <d v="1899-12-30T20:30:00"/>
    <x v="1"/>
    <n v="1"/>
    <x v="209"/>
    <m/>
    <m/>
    <m/>
    <m/>
    <n v="145"/>
    <n v="0"/>
    <n v="0"/>
    <n v="145"/>
    <x v="1"/>
    <n v="50"/>
    <n v="0"/>
    <n v="0"/>
    <n v="0"/>
    <x v="2"/>
  </r>
  <r>
    <x v="2"/>
    <x v="0"/>
    <d v="2022-01-08T00:00:00"/>
    <s v="DISSABTE"/>
    <s v="NO"/>
    <s v="NO"/>
    <d v="1899-12-30T21:30:00"/>
    <d v="1899-12-30T02:30:00"/>
    <x v="2"/>
    <n v="1"/>
    <x v="210"/>
    <m/>
    <m/>
    <m/>
    <m/>
    <n v="195"/>
    <n v="0"/>
    <n v="0"/>
    <n v="195"/>
    <x v="0"/>
    <n v="50"/>
    <n v="145"/>
    <n v="0"/>
    <n v="0"/>
    <x v="1"/>
  </r>
  <r>
    <x v="2"/>
    <x v="0"/>
    <d v="2022-01-15T00:00:00"/>
    <s v="DISSABTE"/>
    <s v="NO"/>
    <s v="NO"/>
    <d v="1899-12-30T21:30:00"/>
    <d v="1899-12-30T02:30:00"/>
    <x v="2"/>
    <n v="1"/>
    <x v="211"/>
    <m/>
    <m/>
    <m/>
    <m/>
    <n v="195"/>
    <n v="0"/>
    <n v="0"/>
    <n v="195"/>
    <x v="2"/>
    <n v="0"/>
    <n v="0"/>
    <n v="0"/>
    <n v="0"/>
    <x v="2"/>
  </r>
  <r>
    <x v="2"/>
    <x v="0"/>
    <d v="2022-01-28T00:00:00"/>
    <s v="DIVENDRES"/>
    <s v="NO"/>
    <s v="NO"/>
    <d v="1899-12-30T15:30:00"/>
    <d v="1899-12-30T00:30:00"/>
    <x v="2"/>
    <n v="1"/>
    <x v="212"/>
    <m/>
    <m/>
    <m/>
    <m/>
    <n v="195"/>
    <n v="0"/>
    <n v="0"/>
    <n v="195"/>
    <x v="0"/>
    <n v="50"/>
    <n v="145"/>
    <n v="0"/>
    <n v="0"/>
    <x v="1"/>
  </r>
  <r>
    <x v="2"/>
    <x v="1"/>
    <d v="2022-01-04T00:00:00"/>
    <s v="DIVENDRES"/>
    <s v="NO"/>
    <s v="NO"/>
    <d v="1899-12-30T15:30:00"/>
    <d v="1899-12-30T20:30:00"/>
    <x v="1"/>
    <n v="1"/>
    <x v="213"/>
    <m/>
    <m/>
    <m/>
    <m/>
    <n v="135"/>
    <n v="0"/>
    <n v="0"/>
    <n v="135"/>
    <x v="0"/>
    <n v="135"/>
    <n v="0"/>
    <n v="0"/>
    <n v="0"/>
    <x v="1"/>
  </r>
  <r>
    <x v="2"/>
    <x v="1"/>
    <d v="2022-02-05T00:00:00"/>
    <s v="DISSABTE"/>
    <s v="NO"/>
    <s v="NO"/>
    <d v="1899-12-30T09:30:00"/>
    <d v="1899-12-30T20:30:00"/>
    <x v="5"/>
    <n v="2"/>
    <x v="214"/>
    <m/>
    <m/>
    <m/>
    <m/>
    <n v="270"/>
    <n v="0"/>
    <n v="0"/>
    <n v="270"/>
    <x v="2"/>
    <n v="0"/>
    <n v="0"/>
    <n v="0"/>
    <n v="0"/>
    <x v="2"/>
  </r>
  <r>
    <x v="2"/>
    <x v="1"/>
    <d v="2022-02-05T00:00:00"/>
    <s v="DISSABTE"/>
    <s v="NO"/>
    <s v="NO"/>
    <d v="1899-12-30T15:30:00"/>
    <d v="1899-12-30T00:30:00"/>
    <x v="1"/>
    <n v="1"/>
    <x v="215"/>
    <m/>
    <m/>
    <m/>
    <m/>
    <n v="195"/>
    <n v="0"/>
    <n v="0"/>
    <n v="195"/>
    <x v="0"/>
    <n v="50"/>
    <n v="145"/>
    <n v="0"/>
    <n v="0"/>
    <x v="1"/>
  </r>
  <r>
    <x v="2"/>
    <x v="1"/>
    <d v="2022-02-12T00:00:00"/>
    <s v="DISSABTE"/>
    <s v="NO"/>
    <s v="NO"/>
    <d v="1899-12-30T15:30:00"/>
    <d v="1899-12-30T20:30:00"/>
    <x v="1"/>
    <n v="1"/>
    <x v="216"/>
    <m/>
    <m/>
    <m/>
    <m/>
    <n v="145"/>
    <n v="0"/>
    <n v="0"/>
    <n v="145"/>
    <x v="0"/>
    <n v="145"/>
    <n v="0"/>
    <n v="0"/>
    <n v="0"/>
    <x v="1"/>
  </r>
  <r>
    <x v="2"/>
    <x v="1"/>
    <d v="2022-02-15T00:00:00"/>
    <s v="DIMARTS"/>
    <s v="NO"/>
    <s v="NO"/>
    <d v="1899-12-30T15:30:00"/>
    <d v="1899-12-30T20:30:00"/>
    <x v="1"/>
    <n v="1"/>
    <x v="23"/>
    <m/>
    <m/>
    <m/>
    <m/>
    <n v="95"/>
    <n v="0"/>
    <n v="0"/>
    <n v="95"/>
    <x v="0"/>
    <n v="50"/>
    <n v="45"/>
    <n v="0"/>
    <n v="0"/>
    <x v="1"/>
  </r>
  <r>
    <x v="2"/>
    <x v="1"/>
    <d v="2022-02-18T00:00:00"/>
    <s v="DIVENDRES"/>
    <s v="NO"/>
    <s v="NO"/>
    <d v="1899-12-30T21:30:00"/>
    <d v="1899-12-30T02:30:00"/>
    <x v="2"/>
    <n v="1"/>
    <x v="217"/>
    <m/>
    <m/>
    <m/>
    <m/>
    <n v="195"/>
    <n v="1"/>
    <n v="50"/>
    <n v="245"/>
    <x v="0"/>
    <n v="50"/>
    <n v="145"/>
    <n v="0"/>
    <n v="50"/>
    <x v="1"/>
  </r>
  <r>
    <x v="2"/>
    <x v="1"/>
    <d v="2022-02-19T00:00:00"/>
    <s v="DISSABTE"/>
    <s v="NO"/>
    <s v="NO"/>
    <d v="1899-12-30T12:00:00"/>
    <d v="1899-12-30T18:00:00"/>
    <x v="5"/>
    <n v="1"/>
    <x v="218"/>
    <m/>
    <m/>
    <m/>
    <m/>
    <n v="145"/>
    <n v="1"/>
    <n v="20"/>
    <n v="165"/>
    <x v="0"/>
    <n v="50"/>
    <n v="95"/>
    <n v="0"/>
    <n v="20"/>
    <x v="1"/>
  </r>
  <r>
    <x v="2"/>
    <x v="1"/>
    <d v="2022-02-19T00:00:00"/>
    <s v="DISSABTE"/>
    <s v="NO"/>
    <s v="NO"/>
    <d v="1899-12-30T21:30:00"/>
    <d v="1899-12-30T02:30:00"/>
    <x v="2"/>
    <n v="1"/>
    <x v="219"/>
    <m/>
    <m/>
    <m/>
    <m/>
    <n v="195"/>
    <n v="1"/>
    <n v="50"/>
    <n v="245"/>
    <x v="0"/>
    <n v="195"/>
    <n v="0"/>
    <n v="50"/>
    <n v="0"/>
    <x v="1"/>
  </r>
  <r>
    <x v="2"/>
    <x v="1"/>
    <d v="2022-02-22T00:00:00"/>
    <s v="DIMARTS"/>
    <s v="NO"/>
    <s v="NO"/>
    <d v="1899-12-30T15:30:00"/>
    <d v="1899-12-30T20:30:00"/>
    <x v="1"/>
    <n v="1"/>
    <x v="220"/>
    <m/>
    <m/>
    <m/>
    <m/>
    <n v="95"/>
    <n v="0"/>
    <n v="0"/>
    <n v="95"/>
    <x v="0"/>
    <n v="95"/>
    <n v="0"/>
    <n v="0"/>
    <n v="0"/>
    <x v="19"/>
  </r>
  <r>
    <x v="2"/>
    <x v="1"/>
    <d v="2022-02-25T00:00:00"/>
    <s v="DIVENDRES"/>
    <s v="NO"/>
    <s v="NO"/>
    <d v="1899-12-30T21:30:00"/>
    <d v="1899-12-30T02:30:00"/>
    <x v="2"/>
    <n v="1"/>
    <x v="221"/>
    <m/>
    <m/>
    <m/>
    <m/>
    <n v="195"/>
    <n v="0"/>
    <n v="0"/>
    <n v="195"/>
    <x v="0"/>
    <n v="195"/>
    <n v="0"/>
    <n v="0"/>
    <n v="0"/>
    <x v="1"/>
  </r>
  <r>
    <x v="2"/>
    <x v="1"/>
    <d v="2022-02-26T00:00:00"/>
    <s v="DISSABTE"/>
    <s v="NO"/>
    <s v="NO"/>
    <d v="1899-12-30T21:30:00"/>
    <d v="1899-12-30T02:30:00"/>
    <x v="2"/>
    <n v="1"/>
    <x v="222"/>
    <m/>
    <m/>
    <m/>
    <m/>
    <n v="195"/>
    <n v="0"/>
    <n v="0"/>
    <n v="195"/>
    <x v="0"/>
    <n v="50"/>
    <n v="145"/>
    <n v="0"/>
    <n v="0"/>
    <x v="1"/>
  </r>
  <r>
    <x v="2"/>
    <x v="1"/>
    <d v="2022-02-27T00:00:00"/>
    <s v="DIUMENGE"/>
    <s v="NO"/>
    <s v="NO"/>
    <d v="1899-12-30T16:00:00"/>
    <d v="1899-12-30T23:00:00"/>
    <x v="1"/>
    <n v="1"/>
    <x v="223"/>
    <m/>
    <m/>
    <m/>
    <m/>
    <n v="145"/>
    <n v="0"/>
    <n v="0"/>
    <n v="145"/>
    <x v="0"/>
    <n v="50"/>
    <n v="95"/>
    <n v="0"/>
    <n v="0"/>
    <x v="1"/>
  </r>
  <r>
    <x v="2"/>
    <x v="2"/>
    <d v="2022-03-04T00:00:00"/>
    <s v="DIVENDRES"/>
    <s v="NO"/>
    <s v="NO"/>
    <d v="1899-12-30T21:30:00"/>
    <d v="1899-12-30T02:30:00"/>
    <x v="2"/>
    <n v="1"/>
    <x v="211"/>
    <m/>
    <m/>
    <m/>
    <m/>
    <n v="195"/>
    <n v="1"/>
    <n v="50"/>
    <n v="245"/>
    <x v="0"/>
    <n v="50"/>
    <n v="145"/>
    <n v="0"/>
    <n v="50"/>
    <x v="1"/>
  </r>
  <r>
    <x v="2"/>
    <x v="2"/>
    <d v="2022-03-05T00:00:00"/>
    <s v="DISSABTE"/>
    <s v="NO"/>
    <s v="NO"/>
    <d v="1899-12-30T09:30:00"/>
    <d v="1899-12-30T02:30:00"/>
    <x v="5"/>
    <n v="3"/>
    <x v="224"/>
    <m/>
    <m/>
    <m/>
    <m/>
    <n v="370"/>
    <n v="0"/>
    <n v="0"/>
    <n v="370"/>
    <x v="0"/>
    <n v="50"/>
    <n v="320"/>
    <n v="0"/>
    <n v="0"/>
    <x v="1"/>
  </r>
  <r>
    <x v="2"/>
    <x v="2"/>
    <d v="2022-03-06T00:00:00"/>
    <s v="DIUMENGE"/>
    <s v="NO"/>
    <s v="NO"/>
    <d v="1899-12-30T15:30:00"/>
    <d v="1899-12-30T20:30:00"/>
    <x v="1"/>
    <n v="1"/>
    <x v="225"/>
    <m/>
    <m/>
    <m/>
    <m/>
    <n v="145"/>
    <n v="0"/>
    <n v="0"/>
    <n v="145"/>
    <x v="0"/>
    <n v="50"/>
    <n v="95"/>
    <n v="0"/>
    <n v="0"/>
    <x v="1"/>
  </r>
  <r>
    <x v="2"/>
    <x v="2"/>
    <d v="2022-03-12T00:00:00"/>
    <s v="DISSABTE"/>
    <s v="NO"/>
    <s v="NO"/>
    <d v="1899-12-30T09:30:00"/>
    <d v="1899-12-30T14:30:00"/>
    <x v="3"/>
    <n v="1"/>
    <x v="226"/>
    <m/>
    <m/>
    <m/>
    <m/>
    <n v="145"/>
    <n v="0"/>
    <n v="0"/>
    <n v="145"/>
    <x v="0"/>
    <n v="50"/>
    <n v="95"/>
    <n v="0"/>
    <n v="0"/>
    <x v="1"/>
  </r>
  <r>
    <x v="2"/>
    <x v="2"/>
    <d v="2022-03-12T00:00:00"/>
    <s v="DISSABTE"/>
    <s v="NO"/>
    <s v="NO"/>
    <d v="1899-12-30T15:30:00"/>
    <d v="1899-12-30T20:30:00"/>
    <x v="1"/>
    <n v="1"/>
    <x v="227"/>
    <m/>
    <m/>
    <m/>
    <m/>
    <n v="145"/>
    <n v="0"/>
    <n v="0"/>
    <n v="145"/>
    <x v="0"/>
    <n v="145"/>
    <n v="0"/>
    <n v="0"/>
    <n v="0"/>
    <x v="1"/>
  </r>
  <r>
    <x v="2"/>
    <x v="2"/>
    <d v="2022-03-12T00:00:00"/>
    <s v="DISSABTE"/>
    <s v="NO"/>
    <s v="NO"/>
    <d v="1899-12-30T21:30:00"/>
    <d v="1899-12-30T02:30:00"/>
    <x v="2"/>
    <n v="1"/>
    <x v="228"/>
    <m/>
    <m/>
    <m/>
    <m/>
    <n v="0"/>
    <n v="0"/>
    <n v="0"/>
    <n v="0"/>
    <x v="2"/>
    <n v="0"/>
    <n v="0"/>
    <n v="0"/>
    <n v="0"/>
    <x v="1"/>
  </r>
  <r>
    <x v="2"/>
    <x v="2"/>
    <d v="2022-03-14T00:00:00"/>
    <s v="DILLUNS"/>
    <s v="NO"/>
    <s v="NO"/>
    <d v="1899-12-30T15:30:00"/>
    <d v="1899-12-30T20:30:00"/>
    <x v="1"/>
    <n v="1"/>
    <x v="229"/>
    <m/>
    <m/>
    <m/>
    <m/>
    <n v="95"/>
    <n v="0"/>
    <n v="0"/>
    <n v="95"/>
    <x v="0"/>
    <n v="50"/>
    <n v="45"/>
    <n v="0"/>
    <n v="0"/>
    <x v="1"/>
  </r>
  <r>
    <x v="2"/>
    <x v="2"/>
    <d v="2022-03-17T00:00:00"/>
    <s v="DIJOUS"/>
    <s v="NO"/>
    <s v="NO"/>
    <d v="1899-12-30T15:30:00"/>
    <d v="1899-12-30T20:30:00"/>
    <x v="1"/>
    <n v="1"/>
    <x v="230"/>
    <m/>
    <m/>
    <m/>
    <m/>
    <n v="95"/>
    <n v="0"/>
    <n v="0"/>
    <n v="95"/>
    <x v="0"/>
    <n v="95"/>
    <n v="0"/>
    <n v="0"/>
    <n v="0"/>
    <x v="1"/>
  </r>
  <r>
    <x v="2"/>
    <x v="2"/>
    <d v="2022-03-18T00:00:00"/>
    <s v="DIVENDRES"/>
    <s v="NO"/>
    <s v="NO"/>
    <d v="1899-12-30T15:30:00"/>
    <d v="1899-12-30T20:30:00"/>
    <x v="1"/>
    <n v="1"/>
    <x v="231"/>
    <m/>
    <m/>
    <m/>
    <m/>
    <n v="135"/>
    <n v="0"/>
    <n v="0"/>
    <n v="135"/>
    <x v="0"/>
    <n v="50"/>
    <n v="85"/>
    <n v="0"/>
    <n v="0"/>
    <x v="1"/>
  </r>
  <r>
    <x v="2"/>
    <x v="2"/>
    <d v="2022-03-19T00:00:00"/>
    <s v="DISSABTE"/>
    <s v="NO"/>
    <s v="NO"/>
    <d v="1899-12-30T09:30:00"/>
    <d v="1899-12-30T14:30:00"/>
    <x v="3"/>
    <n v="1"/>
    <x v="232"/>
    <m/>
    <m/>
    <m/>
    <m/>
    <n v="145"/>
    <n v="0"/>
    <n v="0"/>
    <n v="145"/>
    <x v="0"/>
    <n v="50"/>
    <n v="95"/>
    <n v="0"/>
    <n v="0"/>
    <x v="1"/>
  </r>
  <r>
    <x v="2"/>
    <x v="2"/>
    <d v="2022-03-19T00:00:00"/>
    <s v="DISSABTE"/>
    <s v="NO"/>
    <s v="NO"/>
    <d v="1899-12-30T15:30:00"/>
    <d v="1899-12-30T20:30:00"/>
    <x v="1"/>
    <n v="1"/>
    <x v="233"/>
    <m/>
    <m/>
    <m/>
    <m/>
    <n v="145"/>
    <n v="0"/>
    <n v="0"/>
    <n v="145"/>
    <x v="0"/>
    <n v="145"/>
    <n v="0"/>
    <n v="0"/>
    <n v="0"/>
    <x v="1"/>
  </r>
  <r>
    <x v="2"/>
    <x v="2"/>
    <d v="2022-03-19T00:00:00"/>
    <s v="DISSABTE"/>
    <s v="NO"/>
    <s v="NO"/>
    <d v="1899-12-30T21:30:00"/>
    <d v="1899-12-30T02:30:00"/>
    <x v="2"/>
    <n v="1"/>
    <x v="61"/>
    <m/>
    <m/>
    <m/>
    <m/>
    <n v="195"/>
    <n v="1"/>
    <n v="50"/>
    <n v="245"/>
    <x v="0"/>
    <n v="50"/>
    <n v="145"/>
    <n v="0"/>
    <n v="50"/>
    <x v="1"/>
  </r>
  <r>
    <x v="2"/>
    <x v="2"/>
    <d v="2022-03-20T00:00:00"/>
    <s v="DIUMENGE"/>
    <s v="NO"/>
    <s v="NO"/>
    <d v="1899-12-30T09:30:00"/>
    <d v="1899-12-30T14:30:00"/>
    <x v="3"/>
    <n v="1"/>
    <x v="234"/>
    <m/>
    <m/>
    <m/>
    <m/>
    <n v="145"/>
    <n v="0"/>
    <n v="0"/>
    <n v="145"/>
    <x v="0"/>
    <n v="145"/>
    <n v="0"/>
    <n v="0"/>
    <n v="0"/>
    <x v="1"/>
  </r>
  <r>
    <x v="2"/>
    <x v="2"/>
    <d v="2022-03-20T00:00:00"/>
    <s v="DIUMENGE"/>
    <s v="NO"/>
    <s v="NO"/>
    <d v="1899-12-30T15:30:00"/>
    <d v="1899-12-30T20:30:00"/>
    <x v="1"/>
    <n v="1"/>
    <x v="235"/>
    <m/>
    <m/>
    <m/>
    <m/>
    <n v="145"/>
    <n v="1"/>
    <n v="5"/>
    <n v="150"/>
    <x v="0"/>
    <n v="50"/>
    <n v="95"/>
    <n v="0"/>
    <n v="5"/>
    <x v="1"/>
  </r>
  <r>
    <x v="2"/>
    <x v="2"/>
    <d v="2022-03-25T00:00:00"/>
    <s v="DIVENDRES"/>
    <s v="NO"/>
    <s v="NO"/>
    <d v="1899-12-30T21:30:00"/>
    <d v="1899-12-30T02:30:00"/>
    <x v="2"/>
    <n v="1"/>
    <x v="236"/>
    <m/>
    <m/>
    <m/>
    <m/>
    <n v="195"/>
    <n v="1"/>
    <n v="50"/>
    <n v="245"/>
    <x v="0"/>
    <n v="195"/>
    <n v="0"/>
    <n v="50"/>
    <n v="0"/>
    <x v="1"/>
  </r>
  <r>
    <x v="2"/>
    <x v="2"/>
    <d v="2022-03-26T00:00:00"/>
    <s v="DISSABTE"/>
    <s v="NO"/>
    <s v="NO"/>
    <d v="1899-12-30T09:30:00"/>
    <d v="1899-12-30T02:30:00"/>
    <x v="5"/>
    <n v="3"/>
    <x v="237"/>
    <m/>
    <m/>
    <m/>
    <m/>
    <n v="370"/>
    <n v="0"/>
    <n v="0"/>
    <n v="370"/>
    <x v="0"/>
    <n v="370"/>
    <n v="0"/>
    <n v="0"/>
    <n v="0"/>
    <x v="1"/>
  </r>
  <r>
    <x v="2"/>
    <x v="2"/>
    <d v="2022-03-27T00:00:00"/>
    <s v="DIUMENGE"/>
    <s v="NO"/>
    <s v="NO"/>
    <d v="1899-12-30T15:30:00"/>
    <d v="1899-12-30T20:30:00"/>
    <x v="1"/>
    <n v="1"/>
    <x v="238"/>
    <m/>
    <m/>
    <m/>
    <m/>
    <n v="145"/>
    <n v="0"/>
    <n v="0"/>
    <n v="145"/>
    <x v="0"/>
    <n v="50"/>
    <n v="95"/>
    <n v="0"/>
    <n v="0"/>
    <x v="1"/>
  </r>
  <r>
    <x v="2"/>
    <x v="2"/>
    <d v="2022-03-29T00:00:00"/>
    <s v="DIMARTS"/>
    <s v="NO"/>
    <s v="NO"/>
    <d v="1899-12-30T16:00:00"/>
    <d v="1899-12-30T00:00:00"/>
    <x v="1"/>
    <n v="1"/>
    <x v="239"/>
    <m/>
    <m/>
    <m/>
    <m/>
    <n v="95"/>
    <n v="3"/>
    <n v="65"/>
    <n v="160"/>
    <x v="0"/>
    <n v="0"/>
    <n v="160"/>
    <n v="0"/>
    <n v="0"/>
    <x v="1"/>
  </r>
  <r>
    <x v="2"/>
    <x v="3"/>
    <d v="2022-04-01T00:00:00"/>
    <s v="DIVENDRES"/>
    <s v="NO"/>
    <s v="NO"/>
    <d v="1899-12-30T15:30:00"/>
    <d v="1899-12-30T20:30:00"/>
    <x v="1"/>
    <n v="1"/>
    <x v="54"/>
    <m/>
    <m/>
    <m/>
    <m/>
    <n v="135"/>
    <n v="0"/>
    <n v="0"/>
    <n v="135"/>
    <x v="0"/>
    <n v="135"/>
    <n v="0"/>
    <n v="0"/>
    <n v="0"/>
    <x v="1"/>
  </r>
  <r>
    <x v="2"/>
    <x v="3"/>
    <d v="2022-04-01T00:00:00"/>
    <s v="DIVENDRES"/>
    <s v="NO"/>
    <s v="NO"/>
    <d v="1899-12-30T21:30:00"/>
    <d v="1899-12-30T02:30:00"/>
    <x v="2"/>
    <n v="1"/>
    <x v="55"/>
    <m/>
    <m/>
    <m/>
    <m/>
    <n v="195"/>
    <n v="1"/>
    <n v="50"/>
    <n v="245"/>
    <x v="0"/>
    <n v="195"/>
    <n v="0"/>
    <n v="50"/>
    <n v="0"/>
    <x v="1"/>
  </r>
  <r>
    <x v="2"/>
    <x v="3"/>
    <d v="2022-04-02T00:00:00"/>
    <s v="DISSABTE"/>
    <s v="NO"/>
    <s v="NO"/>
    <d v="1899-12-30T09:30:00"/>
    <d v="1899-12-30T14:30:00"/>
    <x v="3"/>
    <n v="1"/>
    <x v="240"/>
    <m/>
    <m/>
    <m/>
    <m/>
    <n v="145"/>
    <n v="0"/>
    <n v="0"/>
    <n v="145"/>
    <x v="0"/>
    <n v="145"/>
    <n v="0"/>
    <n v="0"/>
    <n v="0"/>
    <x v="1"/>
  </r>
  <r>
    <x v="2"/>
    <x v="3"/>
    <d v="2022-04-02T00:00:00"/>
    <s v="DISSABTE"/>
    <s v="NO"/>
    <s v="NO"/>
    <d v="1899-12-30T15:30:00"/>
    <d v="1899-12-30T20:30:00"/>
    <x v="1"/>
    <n v="1"/>
    <x v="241"/>
    <m/>
    <m/>
    <m/>
    <m/>
    <n v="145"/>
    <n v="0"/>
    <n v="0"/>
    <n v="145"/>
    <x v="0"/>
    <n v="145"/>
    <n v="0"/>
    <n v="0"/>
    <n v="0"/>
    <x v="1"/>
  </r>
  <r>
    <x v="2"/>
    <x v="3"/>
    <d v="2022-04-02T00:00:00"/>
    <s v="DISSABTE"/>
    <s v="NO"/>
    <s v="NO"/>
    <d v="1899-12-30T21:30:00"/>
    <d v="1899-12-30T02:30:00"/>
    <x v="2"/>
    <n v="1"/>
    <x v="242"/>
    <m/>
    <m/>
    <m/>
    <m/>
    <n v="195"/>
    <n v="0"/>
    <n v="0"/>
    <n v="195"/>
    <x v="0"/>
    <n v="195"/>
    <n v="0"/>
    <n v="0"/>
    <n v="0"/>
    <x v="1"/>
  </r>
  <r>
    <x v="2"/>
    <x v="3"/>
    <d v="2022-04-03T00:00:00"/>
    <s v="DIUMENGE"/>
    <s v="NO"/>
    <s v="NO"/>
    <d v="1899-12-30T09:30:00"/>
    <d v="1899-12-30T14:30:00"/>
    <x v="3"/>
    <n v="1"/>
    <x v="243"/>
    <m/>
    <m/>
    <m/>
    <m/>
    <n v="145"/>
    <n v="0"/>
    <n v="0"/>
    <n v="145"/>
    <x v="0"/>
    <n v="145"/>
    <n v="0"/>
    <n v="0"/>
    <n v="0"/>
    <x v="1"/>
  </r>
  <r>
    <x v="2"/>
    <x v="3"/>
    <d v="2022-04-03T00:00:00"/>
    <s v="DIUMENGE"/>
    <s v="NO"/>
    <s v="NO"/>
    <d v="1899-12-30T15:30:00"/>
    <d v="1899-12-30T20:30:00"/>
    <x v="1"/>
    <n v="1"/>
    <x v="244"/>
    <m/>
    <m/>
    <m/>
    <m/>
    <n v="145"/>
    <n v="0"/>
    <n v="0"/>
    <n v="145"/>
    <x v="0"/>
    <n v="50"/>
    <n v="95"/>
    <n v="0"/>
    <n v="0"/>
    <x v="1"/>
  </r>
  <r>
    <x v="2"/>
    <x v="3"/>
    <d v="2022-04-05T00:00:00"/>
    <s v="DIMARTS"/>
    <s v="NO"/>
    <s v="NO"/>
    <d v="1899-12-30T15:30:00"/>
    <d v="1899-12-30T20:30:00"/>
    <x v="1"/>
    <n v="1"/>
    <x v="245"/>
    <m/>
    <m/>
    <m/>
    <m/>
    <n v="95"/>
    <n v="0"/>
    <n v="0"/>
    <n v="95"/>
    <x v="0"/>
    <n v="95"/>
    <n v="0"/>
    <n v="0"/>
    <n v="0"/>
    <x v="1"/>
  </r>
  <r>
    <x v="2"/>
    <x v="3"/>
    <d v="2022-04-08T00:00:00"/>
    <s v="DIVENDRES"/>
    <s v="NO"/>
    <s v="NO"/>
    <d v="1899-12-30T21:30:00"/>
    <d v="1899-12-30T02:30:00"/>
    <x v="2"/>
    <n v="1"/>
    <x v="246"/>
    <m/>
    <m/>
    <m/>
    <m/>
    <n v="195"/>
    <n v="0"/>
    <n v="0"/>
    <n v="195"/>
    <x v="0"/>
    <n v="195"/>
    <n v="0"/>
    <n v="0"/>
    <n v="0"/>
    <x v="1"/>
  </r>
  <r>
    <x v="2"/>
    <x v="3"/>
    <d v="2022-04-09T00:00:00"/>
    <s v="DISSABTE"/>
    <s v="NO"/>
    <s v="NO"/>
    <d v="1899-12-30T15:30:00"/>
    <d v="1899-12-30T20:30:00"/>
    <x v="1"/>
    <n v="1"/>
    <x v="247"/>
    <m/>
    <m/>
    <m/>
    <m/>
    <n v="145"/>
    <n v="0"/>
    <n v="0"/>
    <n v="145"/>
    <x v="0"/>
    <n v="50"/>
    <n v="95"/>
    <n v="0"/>
    <n v="0"/>
    <x v="1"/>
  </r>
  <r>
    <x v="2"/>
    <x v="3"/>
    <d v="2022-04-09T00:00:00"/>
    <s v="DISSABTE"/>
    <s v="NO"/>
    <s v="NO"/>
    <d v="1899-12-30T21:30:00"/>
    <d v="1899-12-30T02:30:00"/>
    <x v="2"/>
    <n v="1"/>
    <x v="248"/>
    <m/>
    <m/>
    <m/>
    <m/>
    <n v="195"/>
    <n v="1"/>
    <n v="50"/>
    <n v="245"/>
    <x v="0"/>
    <n v="50"/>
    <n v="145"/>
    <n v="0"/>
    <n v="50"/>
    <x v="1"/>
  </r>
  <r>
    <x v="2"/>
    <x v="3"/>
    <d v="2022-04-10T00:00:00"/>
    <s v="DIUMENGE"/>
    <s v="NO"/>
    <s v="NO"/>
    <d v="1899-12-30T15:30:00"/>
    <d v="1899-12-30T20:30:00"/>
    <x v="1"/>
    <n v="1"/>
    <x v="249"/>
    <m/>
    <m/>
    <m/>
    <m/>
    <n v="145"/>
    <n v="0"/>
    <n v="0"/>
    <n v="145"/>
    <x v="0"/>
    <n v="50"/>
    <n v="95"/>
    <n v="0"/>
    <n v="0"/>
    <x v="1"/>
  </r>
  <r>
    <x v="2"/>
    <x v="3"/>
    <d v="2022-04-10T00:00:00"/>
    <s v="DIUMENGE"/>
    <s v="NO"/>
    <s v="NO"/>
    <d v="1899-12-30T21:30:00"/>
    <d v="1899-12-30T02:30:00"/>
    <x v="2"/>
    <n v="1"/>
    <x v="250"/>
    <m/>
    <m/>
    <m/>
    <m/>
    <n v="195"/>
    <n v="1"/>
    <n v="65"/>
    <n v="260"/>
    <x v="0"/>
    <n v="0"/>
    <n v="195"/>
    <n v="0"/>
    <n v="65"/>
    <x v="1"/>
  </r>
  <r>
    <x v="2"/>
    <x v="3"/>
    <d v="2022-04-11T00:00:00"/>
    <s v="DILLUNS"/>
    <s v="NO"/>
    <s v="NO"/>
    <d v="1899-12-30T15:30:00"/>
    <d v="1899-12-30T20:30:00"/>
    <x v="1"/>
    <n v="1"/>
    <x v="251"/>
    <m/>
    <m/>
    <m/>
    <m/>
    <n v="95"/>
    <n v="1"/>
    <n v="5"/>
    <n v="100"/>
    <x v="0"/>
    <n v="50"/>
    <n v="45"/>
    <n v="0"/>
    <n v="5"/>
    <x v="1"/>
  </r>
  <r>
    <x v="2"/>
    <x v="3"/>
    <d v="2022-04-12T00:00:00"/>
    <s v="DIMARTS"/>
    <s v="NO"/>
    <s v="NO"/>
    <d v="1899-12-30T17:00:00"/>
    <d v="1899-12-30T22:00:00"/>
    <x v="1"/>
    <n v="1"/>
    <x v="252"/>
    <m/>
    <m/>
    <m/>
    <m/>
    <n v="95"/>
    <n v="0"/>
    <n v="0"/>
    <n v="95"/>
    <x v="0"/>
    <n v="50"/>
    <n v="45"/>
    <n v="0"/>
    <n v="0"/>
    <x v="1"/>
  </r>
  <r>
    <x v="2"/>
    <x v="3"/>
    <d v="2022-04-17T00:00:00"/>
    <s v="DIUMENGE"/>
    <s v="NO"/>
    <s v="NO"/>
    <d v="1899-12-30T21:30:00"/>
    <d v="1899-12-30T02:30:00"/>
    <x v="2"/>
    <n v="1"/>
    <x v="211"/>
    <m/>
    <m/>
    <m/>
    <m/>
    <n v="195"/>
    <n v="0"/>
    <n v="0"/>
    <n v="195"/>
    <x v="0"/>
    <n v="50"/>
    <n v="145"/>
    <n v="0"/>
    <n v="0"/>
    <x v="1"/>
  </r>
  <r>
    <x v="2"/>
    <x v="3"/>
    <d v="2022-04-22T00:00:00"/>
    <s v="DIVENDRES"/>
    <s v="NO"/>
    <s v="NO"/>
    <d v="1899-12-30T21:30:00"/>
    <d v="1899-12-30T02:30:00"/>
    <x v="2"/>
    <n v="1"/>
    <x v="253"/>
    <m/>
    <m/>
    <m/>
    <m/>
    <n v="195"/>
    <n v="0"/>
    <n v="0"/>
    <n v="195"/>
    <x v="0"/>
    <n v="50"/>
    <n v="145"/>
    <n v="0"/>
    <n v="0"/>
    <x v="1"/>
  </r>
  <r>
    <x v="2"/>
    <x v="3"/>
    <d v="2022-04-23T00:00:00"/>
    <s v="DISSABTE"/>
    <s v="NO"/>
    <s v="NO"/>
    <d v="1899-12-30T09:30:00"/>
    <d v="1899-12-30T14:30:00"/>
    <x v="3"/>
    <n v="1"/>
    <x v="254"/>
    <m/>
    <m/>
    <m/>
    <m/>
    <n v="145"/>
    <n v="0"/>
    <n v="0"/>
    <n v="145"/>
    <x v="0"/>
    <n v="50"/>
    <n v="95"/>
    <n v="0"/>
    <n v="0"/>
    <x v="1"/>
  </r>
  <r>
    <x v="2"/>
    <x v="3"/>
    <d v="2022-04-23T00:00:00"/>
    <s v="DISSABTE"/>
    <s v="NO"/>
    <s v="NO"/>
    <d v="1899-12-30T15:30:00"/>
    <d v="1899-12-30T20:30:00"/>
    <x v="1"/>
    <n v="1"/>
    <x v="159"/>
    <m/>
    <m/>
    <m/>
    <m/>
    <n v="150"/>
    <n v="0"/>
    <n v="0"/>
    <n v="150"/>
    <x v="0"/>
    <n v="50"/>
    <n v="100"/>
    <n v="0"/>
    <n v="0"/>
    <x v="1"/>
  </r>
  <r>
    <x v="2"/>
    <x v="3"/>
    <d v="2022-04-23T00:00:00"/>
    <s v="DISSABTE"/>
    <s v="NO"/>
    <s v="NO"/>
    <d v="1899-12-30T09:30:00"/>
    <d v="1899-12-30T14:30:00"/>
    <x v="3"/>
    <n v="1"/>
    <x v="255"/>
    <m/>
    <m/>
    <m/>
    <m/>
    <n v="200"/>
    <n v="1"/>
    <n v="60"/>
    <n v="260"/>
    <x v="0"/>
    <n v="200"/>
    <n v="0"/>
    <n v="60"/>
    <n v="0"/>
    <x v="20"/>
  </r>
  <r>
    <x v="2"/>
    <x v="3"/>
    <d v="2022-04-24T00:00:00"/>
    <s v="DIUMENGE"/>
    <s v="NO"/>
    <s v="NO"/>
    <d v="1899-12-30T09:30:00"/>
    <d v="1899-12-30T14:30:00"/>
    <x v="3"/>
    <n v="1"/>
    <x v="256"/>
    <m/>
    <m/>
    <m/>
    <m/>
    <n v="145"/>
    <n v="0"/>
    <n v="0"/>
    <n v="145"/>
    <x v="0"/>
    <n v="50"/>
    <n v="95"/>
    <n v="0"/>
    <n v="0"/>
    <x v="1"/>
  </r>
  <r>
    <x v="2"/>
    <x v="3"/>
    <d v="2022-04-24T00:00:00"/>
    <s v="DIUMENGE"/>
    <s v="NO"/>
    <s v="NO"/>
    <d v="1899-12-30T15:30:00"/>
    <d v="1899-12-30T20:30:00"/>
    <x v="1"/>
    <n v="1"/>
    <x v="257"/>
    <m/>
    <m/>
    <m/>
    <m/>
    <n v="145"/>
    <n v="1"/>
    <n v="5"/>
    <n v="150"/>
    <x v="0"/>
    <n v="50"/>
    <n v="95"/>
    <n v="0"/>
    <n v="5"/>
    <x v="1"/>
  </r>
  <r>
    <x v="2"/>
    <x v="3"/>
    <d v="2022-04-29T00:00:00"/>
    <s v="DIVENDRES"/>
    <s v="NO"/>
    <s v="NO"/>
    <d v="1899-12-30T21:30:00"/>
    <d v="1899-12-30T02:30:00"/>
    <x v="2"/>
    <n v="1"/>
    <x v="258"/>
    <m/>
    <m/>
    <m/>
    <m/>
    <n v="195"/>
    <n v="1"/>
    <n v="50"/>
    <n v="245"/>
    <x v="0"/>
    <n v="50"/>
    <n v="145"/>
    <n v="0"/>
    <n v="50"/>
    <x v="1"/>
  </r>
  <r>
    <x v="2"/>
    <x v="3"/>
    <d v="2022-04-30T00:00:00"/>
    <s v="DISSABTE"/>
    <s v="NO"/>
    <s v="NO"/>
    <d v="1899-12-30T15:30:00"/>
    <d v="1899-12-30T20:30:00"/>
    <x v="1"/>
    <n v="1"/>
    <x v="259"/>
    <m/>
    <m/>
    <m/>
    <m/>
    <n v="150"/>
    <n v="0"/>
    <n v="0"/>
    <n v="150"/>
    <x v="0"/>
    <n v="50"/>
    <n v="100"/>
    <n v="0"/>
    <n v="0"/>
    <x v="1"/>
  </r>
  <r>
    <x v="2"/>
    <x v="3"/>
    <d v="2022-04-30T00:00:00"/>
    <s v="DISSABTE"/>
    <s v="NO"/>
    <s v="NO"/>
    <d v="1899-12-30T21:30:00"/>
    <d v="1899-12-30T02:30:00"/>
    <x v="2"/>
    <n v="1"/>
    <x v="260"/>
    <m/>
    <m/>
    <m/>
    <m/>
    <n v="195"/>
    <n v="0"/>
    <n v="0"/>
    <n v="195"/>
    <x v="0"/>
    <n v="195"/>
    <n v="0"/>
    <n v="0"/>
    <n v="0"/>
    <x v="1"/>
  </r>
  <r>
    <x v="2"/>
    <x v="4"/>
    <d v="2022-05-01T00:00:00"/>
    <s v="DIUMENGE"/>
    <s v="NO"/>
    <s v="NO"/>
    <d v="1899-12-30T09:30:00"/>
    <d v="1899-12-30T14:30:00"/>
    <x v="3"/>
    <n v="1"/>
    <x v="261"/>
    <m/>
    <m/>
    <m/>
    <m/>
    <n v="145"/>
    <n v="1"/>
    <n v="40"/>
    <n v="185"/>
    <x v="0"/>
    <n v="145"/>
    <n v="0"/>
    <n v="40"/>
    <n v="0"/>
    <x v="1"/>
  </r>
  <r>
    <x v="2"/>
    <x v="4"/>
    <d v="2022-05-02T00:00:00"/>
    <s v="DILLUNS"/>
    <s v="NO"/>
    <s v="NO"/>
    <d v="1899-12-30T15:30:00"/>
    <d v="1899-12-30T20:30:00"/>
    <x v="1"/>
    <n v="1"/>
    <x v="262"/>
    <m/>
    <m/>
    <m/>
    <m/>
    <n v="95"/>
    <n v="0"/>
    <n v="0"/>
    <n v="95"/>
    <x v="0"/>
    <n v="95"/>
    <n v="0"/>
    <n v="0"/>
    <n v="0"/>
    <x v="1"/>
  </r>
  <r>
    <x v="2"/>
    <x v="4"/>
    <d v="2022-05-06T00:00:00"/>
    <s v="DISSABTE"/>
    <s v="NO"/>
    <s v="NO"/>
    <d v="1899-12-30T15:30:00"/>
    <d v="1899-12-30T20:30:00"/>
    <x v="1"/>
    <n v="1"/>
    <x v="263"/>
    <m/>
    <m/>
    <m/>
    <m/>
    <n v="140"/>
    <n v="0"/>
    <n v="0"/>
    <n v="140"/>
    <x v="0"/>
    <n v="140"/>
    <n v="0"/>
    <n v="0"/>
    <n v="0"/>
    <x v="1"/>
  </r>
  <r>
    <x v="2"/>
    <x v="4"/>
    <d v="2022-05-07T00:00:00"/>
    <s v="DISSABTE"/>
    <s v="NO"/>
    <s v="NO"/>
    <d v="1899-12-30T15:30:00"/>
    <d v="1899-12-30T20:30:00"/>
    <x v="1"/>
    <n v="1"/>
    <x v="264"/>
    <m/>
    <m/>
    <m/>
    <m/>
    <n v="150"/>
    <n v="0"/>
    <n v="0"/>
    <n v="150"/>
    <x v="0"/>
    <n v="0"/>
    <n v="150"/>
    <n v="0"/>
    <n v="0"/>
    <x v="6"/>
  </r>
  <r>
    <x v="2"/>
    <x v="4"/>
    <d v="2022-05-07T00:00:00"/>
    <s v="DISSABTE"/>
    <s v="NO"/>
    <s v="NO"/>
    <d v="1899-12-30T21:30:00"/>
    <d v="1899-12-30T02:30:00"/>
    <x v="2"/>
    <n v="1"/>
    <x v="218"/>
    <m/>
    <m/>
    <m/>
    <m/>
    <n v="195"/>
    <n v="1"/>
    <n v="50"/>
    <n v="245"/>
    <x v="0"/>
    <n v="50"/>
    <n v="145"/>
    <n v="0"/>
    <n v="50"/>
    <x v="1"/>
  </r>
  <r>
    <x v="2"/>
    <x v="4"/>
    <d v="2022-05-08T00:00:00"/>
    <s v="DIUMENGE"/>
    <s v="NO"/>
    <s v="NO"/>
    <d v="1899-12-30T15:30:00"/>
    <d v="1899-12-30T20:30:00"/>
    <x v="1"/>
    <n v="1"/>
    <x v="265"/>
    <m/>
    <m/>
    <m/>
    <m/>
    <n v="150"/>
    <n v="0"/>
    <n v="0"/>
    <n v="150"/>
    <x v="0"/>
    <n v="50"/>
    <n v="100"/>
    <n v="0"/>
    <n v="0"/>
    <x v="21"/>
  </r>
  <r>
    <x v="2"/>
    <x v="4"/>
    <d v="2022-05-13T00:00:00"/>
    <s v="DIVENDRES"/>
    <s v="NO"/>
    <s v="NO"/>
    <d v="1899-12-30T15:30:00"/>
    <d v="1899-12-30T02:30:00"/>
    <x v="4"/>
    <n v="2"/>
    <x v="266"/>
    <m/>
    <m/>
    <m/>
    <m/>
    <n v="275"/>
    <n v="1"/>
    <n v="50"/>
    <n v="325"/>
    <x v="0"/>
    <n v="50"/>
    <n v="225"/>
    <n v="0"/>
    <n v="50"/>
    <x v="1"/>
  </r>
  <r>
    <x v="2"/>
    <x v="4"/>
    <d v="2022-05-14T00:00:00"/>
    <s v="DISSABTE"/>
    <s v="NO"/>
    <s v="NO"/>
    <d v="1899-12-30T09:30:00"/>
    <d v="1899-12-30T14:30:00"/>
    <x v="3"/>
    <n v="1"/>
    <x v="267"/>
    <m/>
    <m/>
    <m/>
    <m/>
    <n v="150"/>
    <n v="0"/>
    <n v="0"/>
    <n v="150"/>
    <x v="0"/>
    <n v="50"/>
    <n v="100"/>
    <n v="0"/>
    <n v="0"/>
    <x v="1"/>
  </r>
  <r>
    <x v="2"/>
    <x v="4"/>
    <d v="2022-05-14T00:00:00"/>
    <s v="DISSABTE"/>
    <s v="NO"/>
    <s v="NO"/>
    <d v="1899-12-30T15:30:00"/>
    <d v="1899-12-30T20:30:00"/>
    <x v="1"/>
    <n v="1"/>
    <x v="268"/>
    <m/>
    <m/>
    <m/>
    <m/>
    <n v="150"/>
    <n v="0"/>
    <n v="0"/>
    <n v="150"/>
    <x v="0"/>
    <n v="50"/>
    <n v="100"/>
    <n v="0"/>
    <n v="0"/>
    <x v="1"/>
  </r>
  <r>
    <x v="2"/>
    <x v="4"/>
    <d v="2022-05-15T00:00:00"/>
    <s v="DIUMENGE"/>
    <s v="NO"/>
    <s v="NO"/>
    <d v="1899-12-30T09:30:00"/>
    <d v="1899-12-30T20:30:00"/>
    <x v="5"/>
    <n v="2"/>
    <x v="269"/>
    <m/>
    <m/>
    <m/>
    <m/>
    <n v="270"/>
    <n v="0"/>
    <n v="0"/>
    <n v="270"/>
    <x v="0"/>
    <n v="50"/>
    <n v="220"/>
    <n v="0"/>
    <n v="0"/>
    <x v="1"/>
  </r>
  <r>
    <x v="2"/>
    <x v="4"/>
    <d v="2022-05-17T00:00:00"/>
    <s v="DIMARTS"/>
    <s v="NO"/>
    <s v="NO"/>
    <d v="1899-12-30T15:30:00"/>
    <d v="1899-12-30T20:30:00"/>
    <x v="1"/>
    <n v="1"/>
    <x v="270"/>
    <m/>
    <m/>
    <m/>
    <m/>
    <n v="95"/>
    <n v="0"/>
    <n v="0"/>
    <n v="95"/>
    <x v="0"/>
    <n v="50"/>
    <n v="45"/>
    <n v="0"/>
    <n v="0"/>
    <x v="1"/>
  </r>
  <r>
    <x v="2"/>
    <x v="4"/>
    <d v="2022-05-19T00:00:00"/>
    <s v="DIJOUS"/>
    <s v="NO"/>
    <s v="NO"/>
    <d v="1899-12-30T15:30:00"/>
    <d v="1899-12-30T20:30:00"/>
    <x v="1"/>
    <n v="1"/>
    <x v="271"/>
    <m/>
    <m/>
    <m/>
    <m/>
    <n v="95"/>
    <n v="0"/>
    <n v="0"/>
    <n v="95"/>
    <x v="0"/>
    <n v="50"/>
    <n v="45"/>
    <n v="0"/>
    <n v="0"/>
    <x v="1"/>
  </r>
  <r>
    <x v="2"/>
    <x v="4"/>
    <d v="2022-05-20T00:00:00"/>
    <s v="DIVENDRES"/>
    <s v="NO"/>
    <s v="NO"/>
    <d v="1899-12-30T15:30:00"/>
    <d v="1899-12-30T20:30:00"/>
    <x v="1"/>
    <n v="1"/>
    <x v="272"/>
    <m/>
    <m/>
    <m/>
    <m/>
    <n v="140"/>
    <n v="0"/>
    <n v="0"/>
    <n v="140"/>
    <x v="0"/>
    <n v="50"/>
    <n v="90"/>
    <n v="0"/>
    <n v="0"/>
    <x v="1"/>
  </r>
  <r>
    <x v="2"/>
    <x v="4"/>
    <d v="2022-05-21T00:00:00"/>
    <s v="DISSABTE"/>
    <s v="NO"/>
    <s v="NO"/>
    <d v="1899-12-30T09:30:00"/>
    <d v="1899-12-30T20:30:00"/>
    <x v="5"/>
    <n v="2"/>
    <x v="273"/>
    <m/>
    <m/>
    <m/>
    <m/>
    <n v="290"/>
    <n v="0"/>
    <n v="0"/>
    <n v="290"/>
    <x v="0"/>
    <n v="50"/>
    <n v="240"/>
    <n v="0"/>
    <n v="0"/>
    <x v="1"/>
  </r>
  <r>
    <x v="2"/>
    <x v="4"/>
    <d v="2022-05-21T00:00:00"/>
    <s v="DISSABTE"/>
    <s v="NO"/>
    <s v="NO"/>
    <d v="1899-12-30T21:30:00"/>
    <d v="1899-12-30T02:30:00"/>
    <x v="2"/>
    <n v="1"/>
    <x v="112"/>
    <m/>
    <m/>
    <m/>
    <m/>
    <n v="195"/>
    <n v="1"/>
    <n v="50"/>
    <n v="245"/>
    <x v="0"/>
    <n v="195"/>
    <n v="0"/>
    <n v="50"/>
    <n v="0"/>
    <x v="1"/>
  </r>
  <r>
    <x v="2"/>
    <x v="4"/>
    <d v="2022-05-22T00:00:00"/>
    <s v="DIUMENGE"/>
    <s v="NO"/>
    <s v="NO"/>
    <d v="1899-12-30T15:30:00"/>
    <d v="1899-12-30T20:30:00"/>
    <x v="1"/>
    <n v="1"/>
    <x v="274"/>
    <m/>
    <m/>
    <m/>
    <m/>
    <n v="150"/>
    <n v="0"/>
    <n v="0"/>
    <n v="150"/>
    <x v="0"/>
    <n v="50"/>
    <n v="100"/>
    <n v="0"/>
    <n v="0"/>
    <x v="1"/>
  </r>
  <r>
    <x v="2"/>
    <x v="4"/>
    <d v="2022-05-27T00:00:00"/>
    <s v="DIVENDRES"/>
    <s v="NO"/>
    <s v="NO"/>
    <d v="1899-12-30T15:30:00"/>
    <d v="1899-12-30T20:30:00"/>
    <x v="1"/>
    <n v="1"/>
    <x v="275"/>
    <m/>
    <m/>
    <m/>
    <m/>
    <n v="140"/>
    <n v="0"/>
    <n v="0"/>
    <n v="140"/>
    <x v="0"/>
    <n v="140"/>
    <n v="0"/>
    <n v="0"/>
    <n v="0"/>
    <x v="22"/>
  </r>
  <r>
    <x v="2"/>
    <x v="4"/>
    <d v="2022-05-27T00:00:00"/>
    <s v="DIVENDRES"/>
    <s v="NO"/>
    <s v="NO"/>
    <d v="1899-12-30T21:30:00"/>
    <d v="1899-12-30T02:30:00"/>
    <x v="2"/>
    <n v="1"/>
    <x v="276"/>
    <m/>
    <m/>
    <m/>
    <m/>
    <n v="200"/>
    <n v="0"/>
    <n v="0"/>
    <n v="200"/>
    <x v="0"/>
    <n v="50"/>
    <n v="150"/>
    <n v="0"/>
    <n v="0"/>
    <x v="1"/>
  </r>
  <r>
    <x v="2"/>
    <x v="4"/>
    <d v="2022-05-28T00:00:00"/>
    <s v="DISSABTE"/>
    <s v="NO"/>
    <s v="NO"/>
    <d v="1899-12-30T09:30:00"/>
    <d v="1899-12-30T02:30:00"/>
    <x v="5"/>
    <n v="3"/>
    <x v="277"/>
    <m/>
    <m/>
    <m/>
    <m/>
    <n v="370"/>
    <n v="0"/>
    <n v="0"/>
    <n v="370"/>
    <x v="0"/>
    <n v="370"/>
    <n v="0"/>
    <n v="0"/>
    <n v="0"/>
    <x v="1"/>
  </r>
  <r>
    <x v="2"/>
    <x v="4"/>
    <d v="2022-05-29T00:00:00"/>
    <s v="DIUMENGE"/>
    <s v="NO"/>
    <s v="NO"/>
    <d v="1899-12-30T09:30:00"/>
    <d v="1899-12-30T14:30:00"/>
    <x v="3"/>
    <n v="1"/>
    <x v="278"/>
    <m/>
    <m/>
    <m/>
    <m/>
    <n v="145"/>
    <n v="0"/>
    <n v="0"/>
    <n v="145"/>
    <x v="0"/>
    <n v="50"/>
    <n v="95"/>
    <n v="0"/>
    <n v="0"/>
    <x v="1"/>
  </r>
  <r>
    <x v="2"/>
    <x v="4"/>
    <d v="2022-05-29T00:00:00"/>
    <s v="DIUMENGE"/>
    <s v="NO"/>
    <s v="NO"/>
    <d v="1899-12-30T15:30:00"/>
    <d v="1899-12-30T20:30:00"/>
    <x v="1"/>
    <n v="1"/>
    <x v="279"/>
    <m/>
    <m/>
    <m/>
    <m/>
    <n v="145"/>
    <n v="0"/>
    <n v="0"/>
    <n v="145"/>
    <x v="0"/>
    <n v="50"/>
    <n v="95"/>
    <n v="0"/>
    <n v="0"/>
    <x v="1"/>
  </r>
  <r>
    <x v="2"/>
    <x v="5"/>
    <d v="2022-06-04T00:00:00"/>
    <s v="DISSABTE"/>
    <s v="NO"/>
    <s v="NO"/>
    <d v="1899-12-30T09:30:00"/>
    <d v="1899-12-30T02:30:00"/>
    <x v="5"/>
    <n v="3"/>
    <x v="280"/>
    <m/>
    <m/>
    <m/>
    <m/>
    <n v="400"/>
    <n v="0"/>
    <n v="0"/>
    <n v="400"/>
    <x v="0"/>
    <n v="400"/>
    <n v="0"/>
    <n v="0"/>
    <n v="0"/>
    <x v="1"/>
  </r>
  <r>
    <x v="2"/>
    <x v="5"/>
    <d v="2022-06-05T00:00:00"/>
    <s v="DIUMENGE"/>
    <s v="NO"/>
    <s v="NO"/>
    <d v="1899-12-30T09:30:00"/>
    <d v="1899-12-30T14:30:00"/>
    <x v="3"/>
    <n v="1"/>
    <x v="281"/>
    <m/>
    <m/>
    <m/>
    <m/>
    <n v="145"/>
    <n v="0"/>
    <n v="0"/>
    <n v="145"/>
    <x v="0"/>
    <n v="145"/>
    <n v="0"/>
    <n v="0"/>
    <n v="0"/>
    <x v="1"/>
  </r>
  <r>
    <x v="2"/>
    <x v="5"/>
    <d v="2022-06-05T00:00:00"/>
    <s v="DIUMENGE"/>
    <s v="NO"/>
    <s v="NO"/>
    <d v="1899-12-30T15:30:00"/>
    <d v="1899-12-30T20:30:00"/>
    <x v="1"/>
    <n v="1"/>
    <x v="282"/>
    <m/>
    <m/>
    <m/>
    <m/>
    <n v="150"/>
    <n v="0"/>
    <n v="0"/>
    <n v="150"/>
    <x v="0"/>
    <n v="50"/>
    <n v="100"/>
    <n v="0"/>
    <n v="0"/>
    <x v="1"/>
  </r>
  <r>
    <x v="2"/>
    <x v="5"/>
    <d v="2022-06-10T00:00:00"/>
    <s v="DIVENDRES"/>
    <s v="NO"/>
    <s v="NO"/>
    <d v="1899-12-30T15:30:00"/>
    <d v="1899-12-30T20:30:00"/>
    <x v="1"/>
    <n v="1"/>
    <x v="283"/>
    <m/>
    <m/>
    <m/>
    <m/>
    <n v="140"/>
    <n v="0"/>
    <n v="0"/>
    <n v="140"/>
    <x v="0"/>
    <n v="140"/>
    <n v="0"/>
    <n v="0"/>
    <n v="0"/>
    <x v="1"/>
  </r>
  <r>
    <x v="2"/>
    <x v="5"/>
    <d v="2022-06-11T00:00:00"/>
    <s v="DISSABTE"/>
    <s v="NO"/>
    <s v="NO"/>
    <d v="1899-12-30T15:30:00"/>
    <d v="1899-12-30T02:30:00"/>
    <x v="5"/>
    <n v="2"/>
    <x v="284"/>
    <m/>
    <m/>
    <m/>
    <m/>
    <n v="320"/>
    <n v="0"/>
    <n v="0"/>
    <n v="320"/>
    <x v="0"/>
    <n v="50"/>
    <n v="270"/>
    <n v="0"/>
    <n v="0"/>
    <x v="1"/>
  </r>
  <r>
    <x v="2"/>
    <x v="5"/>
    <d v="2022-06-12T00:00:00"/>
    <s v="DIUMENGE"/>
    <s v="NO"/>
    <s v="NO"/>
    <d v="1899-12-30T09:30:00"/>
    <d v="1899-12-30T14:30:00"/>
    <x v="3"/>
    <n v="1"/>
    <x v="135"/>
    <m/>
    <m/>
    <m/>
    <m/>
    <n v="145"/>
    <n v="1"/>
    <n v="5"/>
    <n v="150"/>
    <x v="0"/>
    <n v="50"/>
    <n v="95"/>
    <n v="0"/>
    <n v="5"/>
    <x v="1"/>
  </r>
  <r>
    <x v="2"/>
    <x v="5"/>
    <d v="2022-06-13T00:00:00"/>
    <s v="DILLUNS"/>
    <s v="NO"/>
    <s v="NO"/>
    <d v="1899-12-30T15:30:00"/>
    <d v="1899-12-30T20:30:00"/>
    <x v="1"/>
    <n v="1"/>
    <x v="201"/>
    <m/>
    <m/>
    <m/>
    <m/>
    <n v="95"/>
    <n v="0"/>
    <n v="0"/>
    <n v="95"/>
    <x v="0"/>
    <n v="50"/>
    <n v="45"/>
    <n v="0"/>
    <n v="0"/>
    <x v="1"/>
  </r>
  <r>
    <x v="2"/>
    <x v="5"/>
    <d v="2022-06-17T00:00:00"/>
    <s v="DIVENDRES"/>
    <s v="NO"/>
    <s v="NO"/>
    <d v="1899-12-30T09:30:00"/>
    <d v="1899-12-30T02:30:00"/>
    <x v="5"/>
    <n v="3"/>
    <x v="285"/>
    <m/>
    <m/>
    <m/>
    <m/>
    <n v="350"/>
    <n v="0"/>
    <n v="0"/>
    <n v="350"/>
    <x v="0"/>
    <n v="50"/>
    <n v="250"/>
    <n v="0"/>
    <n v="0"/>
    <x v="1"/>
  </r>
  <r>
    <x v="2"/>
    <x v="5"/>
    <d v="2022-06-18T00:00:00"/>
    <s v="DISSABTE"/>
    <s v="NO"/>
    <s v="NO"/>
    <d v="1899-12-30T15:30:00"/>
    <d v="1899-12-30T20:30:00"/>
    <x v="1"/>
    <n v="1"/>
    <x v="286"/>
    <m/>
    <m/>
    <m/>
    <m/>
    <n v="150"/>
    <n v="0"/>
    <n v="0"/>
    <n v="150"/>
    <x v="0"/>
    <n v="50"/>
    <n v="100"/>
    <n v="0"/>
    <n v="0"/>
    <x v="1"/>
  </r>
  <r>
    <x v="2"/>
    <x v="5"/>
    <d v="2022-06-18T00:00:00"/>
    <s v="DISSABTE"/>
    <s v="NO"/>
    <s v="NO"/>
    <d v="1899-12-30T21:30:00"/>
    <d v="1899-12-30T02:30:00"/>
    <x v="2"/>
    <n v="1"/>
    <x v="287"/>
    <m/>
    <m/>
    <m/>
    <m/>
    <n v="200"/>
    <n v="1"/>
    <n v="60"/>
    <n v="260"/>
    <x v="0"/>
    <n v="50"/>
    <n v="150"/>
    <n v="0"/>
    <n v="60"/>
    <x v="1"/>
  </r>
  <r>
    <x v="2"/>
    <x v="5"/>
    <d v="2022-06-19T00:00:00"/>
    <s v="DIUMENGE"/>
    <s v="NO"/>
    <s v="NO"/>
    <d v="1899-12-30T09:30:00"/>
    <d v="1899-12-30T14:30:00"/>
    <x v="3"/>
    <n v="1"/>
    <x v="288"/>
    <m/>
    <m/>
    <m/>
    <m/>
    <n v="150"/>
    <n v="0"/>
    <n v="0"/>
    <n v="150"/>
    <x v="0"/>
    <n v="150"/>
    <n v="0"/>
    <n v="0"/>
    <n v="0"/>
    <x v="1"/>
  </r>
  <r>
    <x v="2"/>
    <x v="5"/>
    <d v="2022-06-19T00:00:00"/>
    <s v="DIUMENGE"/>
    <s v="NO"/>
    <s v="NO"/>
    <d v="1899-12-30T15:30:00"/>
    <d v="1899-12-30T20:30:00"/>
    <x v="1"/>
    <n v="1"/>
    <x v="289"/>
    <m/>
    <m/>
    <m/>
    <m/>
    <n v="150"/>
    <n v="0"/>
    <n v="20"/>
    <n v="170"/>
    <x v="0"/>
    <n v="50"/>
    <n v="100"/>
    <n v="0"/>
    <n v="20"/>
    <x v="1"/>
  </r>
  <r>
    <x v="2"/>
    <x v="5"/>
    <d v="2022-06-24T00:00:00"/>
    <s v="DIVENDRES"/>
    <s v="SI"/>
    <s v="NO"/>
    <d v="1899-12-30T15:30:00"/>
    <d v="1899-12-30T02:30:00"/>
    <x v="5"/>
    <n v="2"/>
    <x v="290"/>
    <m/>
    <m/>
    <m/>
    <m/>
    <n v="320"/>
    <n v="0"/>
    <n v="0"/>
    <n v="320"/>
    <x v="0"/>
    <n v="50"/>
    <n v="270"/>
    <n v="0"/>
    <n v="0"/>
    <x v="1"/>
  </r>
  <r>
    <x v="2"/>
    <x v="5"/>
    <d v="2022-06-25T00:00:00"/>
    <s v="DISSABTE"/>
    <s v="NO"/>
    <s v="NO"/>
    <d v="1899-12-30T15:30:00"/>
    <d v="1899-12-30T02:30:00"/>
    <x v="5"/>
    <n v="2"/>
    <x v="268"/>
    <m/>
    <m/>
    <m/>
    <m/>
    <n v="320"/>
    <n v="0"/>
    <n v="0"/>
    <n v="320"/>
    <x v="0"/>
    <n v="50"/>
    <n v="270"/>
    <n v="0"/>
    <n v="0"/>
    <x v="1"/>
  </r>
  <r>
    <x v="2"/>
    <x v="5"/>
    <d v="2022-06-26T00:00:00"/>
    <s v="DIUMENGE"/>
    <s v="NO"/>
    <s v="NO"/>
    <d v="1899-12-30T15:30:00"/>
    <d v="1899-12-30T02:30:00"/>
    <x v="5"/>
    <n v="2"/>
    <x v="291"/>
    <m/>
    <m/>
    <m/>
    <m/>
    <n v="320"/>
    <n v="1"/>
    <n v="60"/>
    <n v="380"/>
    <x v="0"/>
    <n v="320"/>
    <n v="0"/>
    <n v="0"/>
    <n v="60"/>
    <x v="1"/>
  </r>
  <r>
    <x v="2"/>
    <x v="6"/>
    <d v="2022-07-01T00:00:00"/>
    <s v="DIVENDRES"/>
    <s v="NO"/>
    <s v="NO"/>
    <d v="1899-12-30T21:30:00"/>
    <d v="1899-12-30T02:30:00"/>
    <x v="2"/>
    <n v="1"/>
    <x v="292"/>
    <m/>
    <m/>
    <m/>
    <m/>
    <n v="200"/>
    <n v="0"/>
    <n v="0"/>
    <n v="200"/>
    <x v="0"/>
    <n v="50"/>
    <n v="150"/>
    <n v="0"/>
    <n v="0"/>
    <x v="1"/>
  </r>
  <r>
    <x v="2"/>
    <x v="6"/>
    <d v="2022-07-02T00:00:00"/>
    <s v="DISSABTE"/>
    <s v="NO"/>
    <s v="NO"/>
    <d v="1899-12-30T15:30:00"/>
    <d v="1899-12-30T02:30:00"/>
    <x v="5"/>
    <n v="2"/>
    <x v="293"/>
    <m/>
    <m/>
    <m/>
    <m/>
    <n v="320"/>
    <n v="0"/>
    <n v="0"/>
    <n v="320"/>
    <x v="0"/>
    <n v="50"/>
    <n v="270"/>
    <n v="0"/>
    <n v="0"/>
    <x v="6"/>
  </r>
  <r>
    <x v="2"/>
    <x v="6"/>
    <d v="2022-06-03T00:00:00"/>
    <s v="DIUMENGE"/>
    <s v="NO"/>
    <s v="NO"/>
    <d v="1899-12-30T15:30:00"/>
    <d v="1899-12-30T20:30:00"/>
    <x v="1"/>
    <n v="1"/>
    <x v="294"/>
    <m/>
    <m/>
    <m/>
    <m/>
    <n v="150"/>
    <n v="0"/>
    <n v="0"/>
    <n v="150"/>
    <x v="0"/>
    <n v="50"/>
    <n v="100"/>
    <n v="0"/>
    <n v="0"/>
    <x v="1"/>
  </r>
  <r>
    <x v="2"/>
    <x v="6"/>
    <d v="2022-07-05T00:00:00"/>
    <s v="DIMARTS"/>
    <s v="NO"/>
    <s v="NO"/>
    <d v="1899-12-30T15:30:00"/>
    <d v="1899-12-30T20:30:00"/>
    <x v="1"/>
    <n v="1"/>
    <x v="295"/>
    <m/>
    <m/>
    <m/>
    <m/>
    <n v="95"/>
    <n v="1"/>
    <n v="10"/>
    <n v="105"/>
    <x v="0"/>
    <n v="50"/>
    <n v="45"/>
    <n v="0"/>
    <n v="10"/>
    <x v="1"/>
  </r>
  <r>
    <x v="2"/>
    <x v="6"/>
    <d v="2022-07-09T00:00:00"/>
    <s v="DISSABTE"/>
    <s v="NO"/>
    <s v="NO"/>
    <d v="1899-12-30T15:30:00"/>
    <d v="1899-12-30T02:30:00"/>
    <x v="4"/>
    <n v="2"/>
    <x v="296"/>
    <m/>
    <m/>
    <m/>
    <m/>
    <n v="320"/>
    <n v="0"/>
    <n v="0"/>
    <n v="320"/>
    <x v="0"/>
    <n v="0"/>
    <n v="320"/>
    <n v="0"/>
    <n v="0"/>
    <x v="1"/>
  </r>
  <r>
    <x v="2"/>
    <x v="6"/>
    <d v="2022-07-11T00:00:00"/>
    <s v="DILLUNS"/>
    <s v="NO"/>
    <s v="NO"/>
    <d v="1899-12-30T15:30:00"/>
    <d v="1899-12-30T20:30:00"/>
    <x v="1"/>
    <n v="1"/>
    <x v="297"/>
    <m/>
    <m/>
    <m/>
    <m/>
    <n v="95"/>
    <n v="0"/>
    <n v="0"/>
    <n v="95"/>
    <x v="0"/>
    <n v="50"/>
    <n v="45"/>
    <n v="0"/>
    <n v="0"/>
    <x v="1"/>
  </r>
  <r>
    <x v="2"/>
    <x v="6"/>
    <d v="2022-07-15T00:00:00"/>
    <s v="DIVENDRES"/>
    <s v="NO"/>
    <s v="NO"/>
    <d v="1899-12-30T15:30:00"/>
    <d v="1899-12-30T20:30:00"/>
    <x v="1"/>
    <n v="1"/>
    <x v="298"/>
    <m/>
    <m/>
    <m/>
    <m/>
    <n v="140"/>
    <n v="0"/>
    <n v="0"/>
    <n v="140"/>
    <x v="0"/>
    <n v="50"/>
    <n v="90"/>
    <n v="0"/>
    <n v="0"/>
    <x v="1"/>
  </r>
  <r>
    <x v="2"/>
    <x v="6"/>
    <d v="2022-07-16T00:00:00"/>
    <s v="DISSABTE"/>
    <s v="NO"/>
    <s v="NO"/>
    <d v="1899-12-30T15:30:00"/>
    <d v="1899-12-30T20:30:00"/>
    <x v="1"/>
    <n v="1"/>
    <x v="299"/>
    <m/>
    <m/>
    <m/>
    <m/>
    <n v="150"/>
    <n v="0"/>
    <n v="0"/>
    <n v="150"/>
    <x v="0"/>
    <n v="50"/>
    <n v="100"/>
    <n v="0"/>
    <n v="0"/>
    <x v="23"/>
  </r>
  <r>
    <x v="2"/>
    <x v="6"/>
    <d v="2022-07-16T00:00:00"/>
    <s v="DISSABTE"/>
    <s v="NO"/>
    <s v="NO"/>
    <d v="1899-12-30T21:30:00"/>
    <d v="1899-12-30T02:30:00"/>
    <x v="2"/>
    <n v="1"/>
    <x v="300"/>
    <m/>
    <m/>
    <m/>
    <m/>
    <n v="200"/>
    <n v="1"/>
    <n v="60"/>
    <n v="260"/>
    <x v="0"/>
    <n v="50"/>
    <n v="150"/>
    <n v="0"/>
    <n v="60"/>
    <x v="1"/>
  </r>
  <r>
    <x v="2"/>
    <x v="6"/>
    <d v="2022-07-23T00:00:00"/>
    <s v="DISSABTE"/>
    <s v="NO"/>
    <s v="NO"/>
    <d v="1899-12-30T15:30:00"/>
    <d v="1899-12-30T20:30:00"/>
    <x v="1"/>
    <n v="1"/>
    <x v="301"/>
    <m/>
    <m/>
    <m/>
    <m/>
    <n v="150"/>
    <n v="0"/>
    <n v="0"/>
    <n v="150"/>
    <x v="0"/>
    <n v="150"/>
    <n v="0"/>
    <n v="0"/>
    <n v="0"/>
    <x v="1"/>
  </r>
  <r>
    <x v="2"/>
    <x v="6"/>
    <d v="2022-07-24T00:00:00"/>
    <s v="DIUMENGE"/>
    <s v="NO"/>
    <s v="NO"/>
    <d v="1899-12-30T09:30:00"/>
    <d v="1899-12-30T20:30:00"/>
    <x v="5"/>
    <n v="2"/>
    <x v="169"/>
    <m/>
    <m/>
    <m/>
    <m/>
    <n v="270"/>
    <n v="0"/>
    <n v="0"/>
    <n v="270"/>
    <x v="0"/>
    <n v="50"/>
    <n v="240"/>
    <n v="0"/>
    <n v="0"/>
    <x v="14"/>
  </r>
  <r>
    <x v="2"/>
    <x v="6"/>
    <d v="2022-07-26T00:00:00"/>
    <s v="DIMARTS"/>
    <s v="NO"/>
    <s v="NO"/>
    <d v="1899-12-30T15:30:00"/>
    <d v="1899-12-30T20:30:00"/>
    <x v="1"/>
    <n v="1"/>
    <x v="302"/>
    <m/>
    <m/>
    <m/>
    <m/>
    <n v="95"/>
    <n v="0"/>
    <n v="0"/>
    <n v="95"/>
    <x v="0"/>
    <n v="0"/>
    <n v="95"/>
    <n v="0"/>
    <n v="0"/>
    <x v="1"/>
  </r>
  <r>
    <x v="2"/>
    <x v="6"/>
    <d v="2022-07-28T00:00:00"/>
    <s v="DIJOUS"/>
    <s v="NO"/>
    <s v="NO"/>
    <d v="1899-12-30T09:30:00"/>
    <d v="1899-12-30T02:30:00"/>
    <x v="5"/>
    <n v="3"/>
    <x v="303"/>
    <m/>
    <m/>
    <m/>
    <m/>
    <n v="280"/>
    <n v="0"/>
    <n v="0"/>
    <n v="280"/>
    <x v="0"/>
    <n v="50"/>
    <n v="230"/>
    <n v="0"/>
    <n v="0"/>
    <x v="1"/>
  </r>
  <r>
    <x v="2"/>
    <x v="6"/>
    <d v="2022-07-29T00:00:00"/>
    <s v="DIVENDRES"/>
    <s v="NO"/>
    <s v="NO"/>
    <d v="1899-12-30T21:30:00"/>
    <d v="1899-12-30T02:30:00"/>
    <x v="2"/>
    <n v="1"/>
    <x v="304"/>
    <m/>
    <m/>
    <m/>
    <m/>
    <n v="200"/>
    <n v="1"/>
    <n v="60"/>
    <n v="260"/>
    <x v="0"/>
    <n v="50"/>
    <n v="150"/>
    <n v="0"/>
    <n v="60"/>
    <x v="20"/>
  </r>
  <r>
    <x v="2"/>
    <x v="6"/>
    <d v="2022-07-30T00:00:00"/>
    <s v="DISSABTE"/>
    <s v="NO"/>
    <s v="NO"/>
    <d v="1899-12-30T21:30:00"/>
    <d v="1899-12-30T02:30:00"/>
    <x v="2"/>
    <n v="1"/>
    <x v="305"/>
    <m/>
    <m/>
    <m/>
    <m/>
    <n v="200"/>
    <n v="0"/>
    <n v="0"/>
    <n v="200"/>
    <x v="0"/>
    <n v="0"/>
    <n v="200"/>
    <n v="0"/>
    <n v="0"/>
    <x v="6"/>
  </r>
  <r>
    <x v="2"/>
    <x v="7"/>
    <d v="2022-08-06T00:00:00"/>
    <s v="DISSABTE"/>
    <s v="NO"/>
    <s v="NO"/>
    <d v="1899-12-30T15:30:00"/>
    <d v="1899-12-30T02:30:00"/>
    <x v="4"/>
    <n v="2"/>
    <x v="306"/>
    <m/>
    <m/>
    <m/>
    <m/>
    <n v="300"/>
    <n v="0"/>
    <n v="0"/>
    <n v="300"/>
    <x v="0"/>
    <n v="0"/>
    <n v="300"/>
    <n v="0"/>
    <n v="0"/>
    <x v="6"/>
  </r>
  <r>
    <x v="2"/>
    <x v="7"/>
    <d v="2022-08-07T00:00:00"/>
    <s v="DIUMENGE"/>
    <s v="NO"/>
    <s v="NO"/>
    <d v="1899-12-30T15:30:00"/>
    <d v="1899-12-30T20:30:00"/>
    <x v="1"/>
    <n v="1"/>
    <x v="307"/>
    <m/>
    <m/>
    <m/>
    <m/>
    <n v="150"/>
    <n v="0"/>
    <n v="0"/>
    <n v="150"/>
    <x v="0"/>
    <n v="50"/>
    <n v="100"/>
    <n v="0"/>
    <n v="0"/>
    <x v="1"/>
  </r>
  <r>
    <x v="2"/>
    <x v="7"/>
    <d v="2022-08-15T00:00:00"/>
    <s v="DILLUNS"/>
    <s v="SI"/>
    <s v="NO"/>
    <d v="1899-12-30T15:30:00"/>
    <d v="1899-12-30T02:30:00"/>
    <x v="4"/>
    <n v="2"/>
    <x v="308"/>
    <m/>
    <m/>
    <m/>
    <m/>
    <n v="320"/>
    <n v="0"/>
    <n v="0"/>
    <n v="320"/>
    <x v="0"/>
    <n v="50"/>
    <n v="270"/>
    <n v="0"/>
    <n v="0"/>
    <x v="1"/>
  </r>
  <r>
    <x v="2"/>
    <x v="7"/>
    <d v="2022-08-18T00:00:00"/>
    <s v="DIJOUS"/>
    <s v="NO"/>
    <s v="NO"/>
    <d v="1899-12-30T15:30:00"/>
    <d v="1899-12-30T20:30:00"/>
    <x v="1"/>
    <n v="1"/>
    <x v="309"/>
    <m/>
    <m/>
    <m/>
    <m/>
    <n v="95"/>
    <n v="0"/>
    <n v="0"/>
    <n v="95"/>
    <x v="0"/>
    <n v="95"/>
    <n v="0"/>
    <n v="0"/>
    <n v="0"/>
    <x v="1"/>
  </r>
  <r>
    <x v="2"/>
    <x v="7"/>
    <d v="2022-08-26T00:00:00"/>
    <s v="DIVENDRES"/>
    <s v="NO"/>
    <s v="NO"/>
    <d v="1899-12-30T21:30:00"/>
    <d v="1899-12-30T02:30:00"/>
    <x v="2"/>
    <n v="1"/>
    <x v="310"/>
    <m/>
    <m/>
    <m/>
    <m/>
    <n v="200"/>
    <n v="0"/>
    <n v="0"/>
    <n v="200"/>
    <x v="0"/>
    <n v="50"/>
    <n v="150"/>
    <n v="0"/>
    <n v="0"/>
    <x v="1"/>
  </r>
  <r>
    <x v="2"/>
    <x v="7"/>
    <d v="2022-08-27T00:00:00"/>
    <s v="DISSABTE"/>
    <s v="NO"/>
    <s v="NO"/>
    <d v="1899-12-30T15:30:00"/>
    <d v="1899-12-30T20:30:00"/>
    <x v="1"/>
    <n v="1"/>
    <x v="311"/>
    <m/>
    <m/>
    <m/>
    <m/>
    <n v="150"/>
    <n v="0"/>
    <n v="0"/>
    <n v="150"/>
    <x v="0"/>
    <n v="50"/>
    <n v="100"/>
    <n v="0"/>
    <n v="0"/>
    <x v="1"/>
  </r>
  <r>
    <x v="2"/>
    <x v="7"/>
    <d v="2022-08-27T00:00:00"/>
    <s v="DISSABTE"/>
    <s v="NO"/>
    <s v="NO"/>
    <d v="1899-12-30T21:30:00"/>
    <d v="1899-12-30T02:30:00"/>
    <x v="2"/>
    <n v="1"/>
    <x v="312"/>
    <m/>
    <m/>
    <m/>
    <m/>
    <n v="200"/>
    <n v="1"/>
    <n v="60"/>
    <n v="260"/>
    <x v="0"/>
    <n v="50"/>
    <n v="150"/>
    <n v="0"/>
    <n v="60"/>
    <x v="1"/>
  </r>
  <r>
    <x v="2"/>
    <x v="8"/>
    <d v="2022-09-02T00:00:00"/>
    <s v="DIVENDRES"/>
    <s v="NO"/>
    <s v="NO"/>
    <d v="1899-12-30T15:30:00"/>
    <d v="1899-12-30T20:30:00"/>
    <x v="1"/>
    <n v="1"/>
    <x v="302"/>
    <m/>
    <m/>
    <m/>
    <m/>
    <n v="140"/>
    <n v="1"/>
    <n v="10"/>
    <n v="150"/>
    <x v="0"/>
    <n v="0"/>
    <n v="140"/>
    <n v="0"/>
    <n v="10"/>
    <x v="1"/>
  </r>
  <r>
    <x v="2"/>
    <x v="8"/>
    <d v="2022-09-03T00:00:00"/>
    <s v="DISSABTE"/>
    <s v="NO"/>
    <s v="NO"/>
    <d v="1899-12-30T15:30:00"/>
    <d v="1899-12-30T20:30:00"/>
    <x v="1"/>
    <n v="1"/>
    <x v="313"/>
    <m/>
    <m/>
    <m/>
    <m/>
    <n v="150"/>
    <n v="0"/>
    <n v="0"/>
    <n v="150"/>
    <x v="0"/>
    <n v="50"/>
    <n v="100"/>
    <n v="0"/>
    <n v="0"/>
    <x v="1"/>
  </r>
  <r>
    <x v="2"/>
    <x v="8"/>
    <d v="2022-09-03T00:00:00"/>
    <s v="DISSABTE"/>
    <s v="NO"/>
    <s v="NO"/>
    <d v="1899-12-30T21:30:00"/>
    <d v="1899-12-30T02:30:00"/>
    <x v="2"/>
    <n v="1"/>
    <x v="314"/>
    <m/>
    <m/>
    <m/>
    <m/>
    <n v="200"/>
    <n v="1"/>
    <n v="60"/>
    <n v="260"/>
    <x v="0"/>
    <n v="50"/>
    <n v="150"/>
    <n v="0"/>
    <n v="60"/>
    <x v="1"/>
  </r>
  <r>
    <x v="2"/>
    <x v="8"/>
    <d v="2022-09-07T00:00:00"/>
    <s v="DIMECRES"/>
    <s v="NO"/>
    <s v="NO"/>
    <d v="1899-12-30T15:30:00"/>
    <d v="1899-12-30T20:30:00"/>
    <x v="1"/>
    <n v="1"/>
    <x v="315"/>
    <m/>
    <m/>
    <m/>
    <m/>
    <n v="95"/>
    <n v="0"/>
    <n v="0"/>
    <n v="95"/>
    <x v="0"/>
    <n v="95"/>
    <n v="0"/>
    <n v="0"/>
    <n v="0"/>
    <x v="1"/>
  </r>
  <r>
    <x v="2"/>
    <x v="8"/>
    <d v="2022-09-10T00:00:00"/>
    <s v="DISSABTE"/>
    <s v="NO"/>
    <s v="NO"/>
    <d v="1899-12-30T09:30:00"/>
    <d v="1899-12-30T14:30:00"/>
    <x v="3"/>
    <n v="1"/>
    <x v="316"/>
    <m/>
    <m/>
    <m/>
    <m/>
    <n v="150"/>
    <n v="0"/>
    <n v="0"/>
    <n v="150"/>
    <x v="0"/>
    <n v="50"/>
    <n v="100"/>
    <n v="0"/>
    <n v="0"/>
    <x v="1"/>
  </r>
  <r>
    <x v="2"/>
    <x v="8"/>
    <d v="2022-09-10T00:00:00"/>
    <s v="DISSABTE"/>
    <s v="NO"/>
    <s v="NO"/>
    <d v="1899-12-30T15:30:00"/>
    <d v="1899-12-30T20:30:00"/>
    <x v="1"/>
    <n v="1"/>
    <x v="317"/>
    <m/>
    <m/>
    <m/>
    <m/>
    <n v="150"/>
    <n v="0"/>
    <n v="0"/>
    <n v="150"/>
    <x v="0"/>
    <n v="150"/>
    <n v="0"/>
    <n v="0"/>
    <n v="0"/>
    <x v="1"/>
  </r>
  <r>
    <x v="2"/>
    <x v="8"/>
    <d v="2022-09-11T00:00:00"/>
    <s v="DIUMENGE"/>
    <s v="NO"/>
    <s v="NO"/>
    <d v="1899-12-30T09:30:00"/>
    <d v="1899-12-30T14:30:00"/>
    <x v="3"/>
    <n v="1"/>
    <x v="318"/>
    <m/>
    <m/>
    <m/>
    <m/>
    <n v="150"/>
    <n v="0"/>
    <n v="0"/>
    <n v="150"/>
    <x v="0"/>
    <n v="50"/>
    <n v="100"/>
    <n v="0"/>
    <n v="0"/>
    <x v="19"/>
  </r>
  <r>
    <x v="2"/>
    <x v="8"/>
    <d v="2022-09-11T00:00:00"/>
    <s v="DIUMENGE"/>
    <s v="NO"/>
    <s v="NO"/>
    <d v="1899-12-30T15:30:00"/>
    <d v="1899-12-30T20:30:00"/>
    <x v="1"/>
    <n v="1"/>
    <x v="319"/>
    <m/>
    <m/>
    <m/>
    <m/>
    <n v="150"/>
    <n v="1"/>
    <n v="20"/>
    <n v="170"/>
    <x v="0"/>
    <n v="0"/>
    <n v="150"/>
    <n v="0"/>
    <n v="20"/>
    <x v="6"/>
  </r>
  <r>
    <x v="2"/>
    <x v="8"/>
    <d v="2022-09-13T00:00:00"/>
    <s v="DIMARTS"/>
    <s v="NO"/>
    <s v="NO"/>
    <d v="1899-12-30T15:30:00"/>
    <d v="1899-12-30T20:30:00"/>
    <x v="1"/>
    <n v="1"/>
    <x v="320"/>
    <m/>
    <m/>
    <m/>
    <m/>
    <n v="95"/>
    <n v="0"/>
    <n v="0"/>
    <n v="95"/>
    <x v="0"/>
    <n v="50"/>
    <n v="45"/>
    <n v="0"/>
    <n v="0"/>
    <x v="1"/>
  </r>
  <r>
    <x v="2"/>
    <x v="8"/>
    <d v="2022-09-17T00:00:00"/>
    <s v="DISSABTE"/>
    <s v="NO"/>
    <s v="NO"/>
    <d v="1899-12-30T21:30:00"/>
    <d v="1899-12-30T02:30:00"/>
    <x v="2"/>
    <n v="1"/>
    <x v="321"/>
    <m/>
    <m/>
    <m/>
    <m/>
    <n v="200"/>
    <n v="0"/>
    <n v="0"/>
    <n v="200"/>
    <x v="0"/>
    <n v="200"/>
    <n v="0"/>
    <n v="0"/>
    <n v="0"/>
    <x v="1"/>
  </r>
  <r>
    <x v="2"/>
    <x v="8"/>
    <d v="2022-09-20T00:00:00"/>
    <s v="DIMARTS"/>
    <s v="NO"/>
    <s v="NO"/>
    <d v="1899-12-30T15:30:00"/>
    <d v="1899-12-30T20:30:00"/>
    <x v="1"/>
    <n v="1"/>
    <x v="322"/>
    <m/>
    <m/>
    <m/>
    <m/>
    <n v="95"/>
    <n v="0"/>
    <n v="0"/>
    <n v="95"/>
    <x v="0"/>
    <n v="0"/>
    <n v="95"/>
    <n v="0"/>
    <n v="0"/>
    <x v="24"/>
  </r>
  <r>
    <x v="2"/>
    <x v="8"/>
    <d v="2022-09-21T00:00:00"/>
    <s v="DIMECRES"/>
    <s v="NO"/>
    <s v="NO"/>
    <d v="1899-12-30T15:30:00"/>
    <d v="1899-12-30T20:30:00"/>
    <x v="1"/>
    <n v="1"/>
    <x v="323"/>
    <m/>
    <m/>
    <m/>
    <m/>
    <n v="95"/>
    <n v="0"/>
    <n v="0"/>
    <n v="95"/>
    <x v="0"/>
    <n v="50"/>
    <n v="45"/>
    <n v="0"/>
    <n v="0"/>
    <x v="1"/>
  </r>
  <r>
    <x v="2"/>
    <x v="8"/>
    <d v="2022-09-23T00:00:00"/>
    <s v="DIVENDRES"/>
    <s v="NO"/>
    <s v="NO"/>
    <d v="1899-12-30T15:30:00"/>
    <d v="1899-12-30T02:30:00"/>
    <x v="5"/>
    <n v="2"/>
    <x v="324"/>
    <m/>
    <m/>
    <m/>
    <m/>
    <n v="275"/>
    <n v="0"/>
    <n v="0"/>
    <n v="275"/>
    <x v="0"/>
    <n v="50"/>
    <n v="225"/>
    <n v="0"/>
    <n v="0"/>
    <x v="1"/>
  </r>
  <r>
    <x v="2"/>
    <x v="8"/>
    <d v="2022-09-24T00:00:00"/>
    <s v="DISSABTE"/>
    <s v="NO"/>
    <s v="NO"/>
    <d v="1899-12-30T09:30:00"/>
    <d v="1899-12-30T20:30:00"/>
    <x v="5"/>
    <n v="2"/>
    <x v="325"/>
    <m/>
    <m/>
    <m/>
    <m/>
    <n v="250"/>
    <n v="0"/>
    <n v="0"/>
    <n v="250"/>
    <x v="0"/>
    <n v="0"/>
    <n v="250"/>
    <n v="0"/>
    <n v="0"/>
    <x v="25"/>
  </r>
  <r>
    <x v="2"/>
    <x v="8"/>
    <d v="2022-09-24T00:00:00"/>
    <s v="DISSABTE"/>
    <s v="NO"/>
    <s v="NO"/>
    <d v="1899-12-30T21:30:00"/>
    <d v="1899-12-30T02:30:00"/>
    <x v="2"/>
    <n v="1"/>
    <x v="326"/>
    <m/>
    <m/>
    <m/>
    <m/>
    <n v="200"/>
    <n v="0"/>
    <n v="0"/>
    <n v="200"/>
    <x v="0"/>
    <n v="0"/>
    <n v="200"/>
    <n v="0"/>
    <n v="0"/>
    <x v="26"/>
  </r>
  <r>
    <x v="2"/>
    <x v="8"/>
    <d v="2022-09-25T00:00:00"/>
    <s v="DIUMENGE"/>
    <s v="NO"/>
    <s v="NO"/>
    <d v="1899-12-30T09:30:00"/>
    <d v="1899-12-30T14:30:00"/>
    <x v="3"/>
    <n v="1"/>
    <x v="327"/>
    <m/>
    <m/>
    <m/>
    <m/>
    <n v="150"/>
    <n v="0"/>
    <n v="0"/>
    <n v="150"/>
    <x v="0"/>
    <n v="50"/>
    <n v="100"/>
    <n v="0"/>
    <n v="0"/>
    <x v="1"/>
  </r>
  <r>
    <x v="2"/>
    <x v="8"/>
    <d v="2022-09-25T00:00:00"/>
    <s v="DIUMENGE"/>
    <s v="NO"/>
    <s v="NO"/>
    <d v="1899-12-30T15:30:00"/>
    <d v="1899-12-30T20:30:00"/>
    <x v="1"/>
    <n v="1"/>
    <x v="328"/>
    <m/>
    <m/>
    <m/>
    <m/>
    <n v="150"/>
    <n v="1"/>
    <n v="70"/>
    <n v="220"/>
    <x v="0"/>
    <n v="50"/>
    <n v="150"/>
    <n v="0"/>
    <n v="0"/>
    <x v="27"/>
  </r>
  <r>
    <x v="2"/>
    <x v="8"/>
    <d v="2022-09-25T00:00:00"/>
    <s v="DIUMENGE"/>
    <s v="NO"/>
    <s v="NO"/>
    <d v="1899-12-30T09:30:00"/>
    <d v="1899-12-30T20:30:00"/>
    <x v="5"/>
    <n v="2"/>
    <x v="329"/>
    <m/>
    <m/>
    <m/>
    <m/>
    <n v="290"/>
    <n v="0"/>
    <n v="0"/>
    <n v="290"/>
    <x v="1"/>
    <n v="50"/>
    <n v="0"/>
    <n v="0"/>
    <n v="0"/>
    <x v="1"/>
  </r>
  <r>
    <x v="2"/>
    <x v="8"/>
    <d v="2022-09-30T00:00:00"/>
    <s v="DIVENDRES"/>
    <s v="NO"/>
    <s v="NO"/>
    <d v="1899-12-30T15:30:00"/>
    <d v="1899-12-30T02:30:00"/>
    <x v="4"/>
    <n v="2"/>
    <x v="330"/>
    <m/>
    <m/>
    <m/>
    <m/>
    <n v="300"/>
    <n v="1"/>
    <n v="150"/>
    <n v="450"/>
    <x v="0"/>
    <n v="50"/>
    <n v="250"/>
    <n v="0"/>
    <n v="150"/>
    <x v="1"/>
  </r>
  <r>
    <x v="2"/>
    <x v="9"/>
    <d v="2022-10-01T00:00:00"/>
    <s v="DISSABTE"/>
    <s v="NO"/>
    <s v="NO"/>
    <d v="1899-12-30T09:30:00"/>
    <d v="1899-12-30T14:30:00"/>
    <x v="3"/>
    <n v="1"/>
    <x v="331"/>
    <n v="8170"/>
    <s v="MONTORNES DEL VALLES"/>
    <s v="C/ SANT LLUIS Nº11 - 2-1"/>
    <s v="47809762F"/>
    <n v="150"/>
    <n v="0"/>
    <n v="0"/>
    <n v="150"/>
    <x v="0"/>
    <n v="50"/>
    <n v="100"/>
    <n v="0"/>
    <n v="0"/>
    <x v="28"/>
  </r>
  <r>
    <x v="2"/>
    <x v="9"/>
    <d v="2022-10-01T00:00:00"/>
    <s v="DISSABTE"/>
    <s v="NO"/>
    <s v="NO"/>
    <d v="1899-12-30T15:30:00"/>
    <d v="1899-12-30T20:30:00"/>
    <x v="1"/>
    <n v="1"/>
    <x v="332"/>
    <n v="8170"/>
    <s v="MONTORNES DEL VALLES"/>
    <s v="Plaça Cultures nº3 8-1"/>
    <s v="53328703Y"/>
    <n v="150"/>
    <n v="0"/>
    <n v="0"/>
    <n v="150"/>
    <x v="0"/>
    <n v="150"/>
    <n v="0"/>
    <n v="0"/>
    <n v="0"/>
    <x v="1"/>
  </r>
  <r>
    <x v="2"/>
    <x v="9"/>
    <d v="2022-10-01T00:00:00"/>
    <s v="DISSABTE"/>
    <s v="NO"/>
    <s v="NO"/>
    <d v="1899-12-30T21:30:00"/>
    <d v="1899-12-30T02:30:00"/>
    <x v="2"/>
    <n v="1"/>
    <x v="333"/>
    <m/>
    <m/>
    <m/>
    <m/>
    <n v="200"/>
    <n v="1"/>
    <n v="20"/>
    <n v="220"/>
    <x v="0"/>
    <n v="50"/>
    <n v="150"/>
    <n v="0"/>
    <n v="20"/>
    <x v="1"/>
  </r>
  <r>
    <x v="2"/>
    <x v="9"/>
    <d v="2022-10-02T00:00:00"/>
    <s v="DIUMENGE"/>
    <s v="NO"/>
    <s v="NO"/>
    <d v="1899-12-30T15:30:00"/>
    <d v="1899-12-30T20:30:00"/>
    <x v="1"/>
    <n v="1"/>
    <x v="334"/>
    <n v="8107"/>
    <s v="MARTORELLES"/>
    <s v="C/ALZINAR N15 2-3"/>
    <s v="46763525V"/>
    <n v="150"/>
    <n v="0"/>
    <n v="0"/>
    <n v="150"/>
    <x v="0"/>
    <n v="50"/>
    <n v="100"/>
    <n v="0"/>
    <n v="0"/>
    <x v="1"/>
  </r>
  <r>
    <x v="2"/>
    <x v="9"/>
    <d v="2022-10-07T00:00:00"/>
    <s v="DIVENDRES"/>
    <s v="NO"/>
    <s v="NO"/>
    <d v="1899-12-30T21:30:00"/>
    <d v="1899-12-30T02:30:00"/>
    <x v="2"/>
    <n v="1"/>
    <x v="335"/>
    <m/>
    <m/>
    <m/>
    <m/>
    <n v="200"/>
    <n v="1"/>
    <n v="60"/>
    <n v="260"/>
    <x v="0"/>
    <n v="150"/>
    <n v="50"/>
    <n v="0"/>
    <n v="60"/>
    <x v="1"/>
  </r>
  <r>
    <x v="2"/>
    <x v="9"/>
    <d v="2022-10-08T00:00:00"/>
    <s v="DISSABTE"/>
    <s v="NO"/>
    <s v="NO"/>
    <d v="1899-12-30T15:30:00"/>
    <d v="1899-12-30T02:30:00"/>
    <x v="4"/>
    <n v="2"/>
    <x v="336"/>
    <n v="8170"/>
    <s v="MONTORNES DEL VALLES"/>
    <s v="C/NARCIS MONTURIOL 20 2N"/>
    <s v="52163406G"/>
    <n v="320"/>
    <n v="0"/>
    <n v="0"/>
    <n v="320"/>
    <x v="0"/>
    <n v="70"/>
    <n v="250"/>
    <n v="0"/>
    <n v="0"/>
    <x v="1"/>
  </r>
  <r>
    <x v="2"/>
    <x v="9"/>
    <d v="2022-10-12T00:00:00"/>
    <s v="DIMECRES"/>
    <s v="SI"/>
    <s v="NO"/>
    <d v="1899-12-30T15:30:00"/>
    <d v="1899-12-30T20:30:00"/>
    <x v="1"/>
    <n v="1"/>
    <x v="337"/>
    <m/>
    <m/>
    <m/>
    <m/>
    <n v="150"/>
    <n v="0"/>
    <n v="0"/>
    <n v="150"/>
    <x v="0"/>
    <n v="0"/>
    <n v="150"/>
    <n v="0"/>
    <n v="0"/>
    <x v="19"/>
  </r>
  <r>
    <x v="2"/>
    <x v="9"/>
    <d v="2022-10-15T00:00:00"/>
    <s v="DISSABTE"/>
    <s v="NO"/>
    <s v="NO"/>
    <d v="1899-12-30T15:30:00"/>
    <d v="1899-12-30T20:30:00"/>
    <x v="1"/>
    <n v="1"/>
    <x v="338"/>
    <m/>
    <m/>
    <m/>
    <m/>
    <n v="150"/>
    <n v="0"/>
    <n v="0"/>
    <n v="150"/>
    <x v="0"/>
    <n v="50"/>
    <n v="100"/>
    <n v="0"/>
    <n v="0"/>
    <x v="1"/>
  </r>
  <r>
    <x v="2"/>
    <x v="9"/>
    <d v="2022-10-15T00:00:00"/>
    <s v="DISSABTE"/>
    <s v="NO"/>
    <s v="NO"/>
    <d v="1899-12-30T21:30:00"/>
    <d v="1899-12-30T02:30:00"/>
    <x v="2"/>
    <n v="1"/>
    <x v="339"/>
    <m/>
    <m/>
    <m/>
    <m/>
    <n v="200"/>
    <n v="1"/>
    <n v="60"/>
    <n v="260"/>
    <x v="0"/>
    <n v="0"/>
    <n v="200"/>
    <n v="0"/>
    <n v="60"/>
    <x v="1"/>
  </r>
  <r>
    <x v="2"/>
    <x v="9"/>
    <d v="2022-10-21T00:00:00"/>
    <s v="DIVENDRES"/>
    <s v="NO"/>
    <s v="NO"/>
    <d v="1899-12-30T15:30:00"/>
    <d v="1899-12-30T02:30:00"/>
    <x v="4"/>
    <n v="2"/>
    <x v="340"/>
    <n v="8170"/>
    <s v="MONTORNES DEL VALLES"/>
    <s v="PLAZA DEL PUEBLO 21"/>
    <s v="49362274B"/>
    <n v="300"/>
    <n v="0"/>
    <n v="0"/>
    <n v="300"/>
    <x v="0"/>
    <n v="300"/>
    <n v="0"/>
    <n v="0"/>
    <n v="0"/>
    <x v="1"/>
  </r>
  <r>
    <x v="2"/>
    <x v="9"/>
    <d v="2022-10-22T00:00:00"/>
    <s v="DISSABTE"/>
    <s v="NO"/>
    <s v="NO"/>
    <d v="1899-12-30T09:30:00"/>
    <d v="1899-12-30T14:30:00"/>
    <x v="3"/>
    <n v="1"/>
    <x v="341"/>
    <n v="8410"/>
    <s v="VILANOVA DEL VALLES"/>
    <s v="JAUME GINESTI 44 BAJOS 3R"/>
    <s v="47707023D"/>
    <n v="150"/>
    <n v="0"/>
    <n v="0"/>
    <n v="150"/>
    <x v="0"/>
    <n v="50"/>
    <n v="100"/>
    <n v="0"/>
    <n v="0"/>
    <x v="1"/>
  </r>
  <r>
    <x v="2"/>
    <x v="9"/>
    <d v="2022-10-22T00:00:00"/>
    <s v="DISSABTE"/>
    <s v="NO"/>
    <s v="NO"/>
    <d v="1899-12-30T15:30:00"/>
    <d v="1899-12-30T20:30:00"/>
    <x v="1"/>
    <n v="1"/>
    <x v="342"/>
    <m/>
    <m/>
    <m/>
    <m/>
    <n v="150"/>
    <n v="0"/>
    <n v="0"/>
    <n v="150"/>
    <x v="0"/>
    <n v="150"/>
    <n v="0"/>
    <n v="0"/>
    <n v="0"/>
    <x v="1"/>
  </r>
  <r>
    <x v="2"/>
    <x v="9"/>
    <d v="2022-10-22T00:00:00"/>
    <s v="DISSABTE"/>
    <s v="NO"/>
    <s v="NO"/>
    <d v="1899-12-30T21:30:00"/>
    <d v="1899-12-30T02:30:00"/>
    <x v="2"/>
    <n v="1"/>
    <x v="343"/>
    <n v="8170"/>
    <s v="MONTORNES DEL VALLES"/>
    <s v="AV D'ERNEST LLUCH 11 3-1"/>
    <s v="52163074V"/>
    <n v="200"/>
    <n v="1"/>
    <n v="60"/>
    <n v="260"/>
    <x v="0"/>
    <n v="200"/>
    <n v="0"/>
    <n v="0"/>
    <n v="60"/>
    <x v="1"/>
  </r>
  <r>
    <x v="2"/>
    <x v="9"/>
    <d v="2022-10-23T00:00:00"/>
    <s v="DIUMENGE"/>
    <s v="NO"/>
    <s v="NO"/>
    <d v="1899-12-30T09:30:00"/>
    <d v="1899-12-30T14:30:00"/>
    <x v="3"/>
    <n v="1"/>
    <x v="344"/>
    <n v="8170"/>
    <s v="MONTORNES DEL VALLES"/>
    <s v="C/ DE LA CASA NOVA 12 BAJOS C"/>
    <s v="53333696P"/>
    <n v="150"/>
    <n v="0"/>
    <n v="0"/>
    <n v="150"/>
    <x v="0"/>
    <n v="150"/>
    <n v="0"/>
    <n v="0"/>
    <n v="0"/>
    <x v="1"/>
  </r>
  <r>
    <x v="2"/>
    <x v="9"/>
    <d v="2022-10-28T00:00:00"/>
    <s v="DIVENDRES"/>
    <s v="NO"/>
    <s v="NO"/>
    <d v="1899-12-30T21:30:00"/>
    <d v="1899-12-30T02:30:00"/>
    <x v="2"/>
    <n v="1"/>
    <x v="345"/>
    <n v="8410"/>
    <s v="VILANOVA DEL VALLES"/>
    <s v="C/ RONDA EIXAMPLE 19"/>
    <s v="46693981W"/>
    <n v="195"/>
    <n v="0"/>
    <n v="0"/>
    <n v="195"/>
    <x v="0"/>
    <n v="50"/>
    <n v="145"/>
    <n v="0"/>
    <n v="0"/>
    <x v="24"/>
  </r>
  <r>
    <x v="2"/>
    <x v="9"/>
    <d v="2022-10-29T00:00:00"/>
    <s v="DISSABTE"/>
    <s v="NO"/>
    <s v="NO"/>
    <d v="1899-12-30T15:30:00"/>
    <d v="1899-12-30T20:30:00"/>
    <x v="1"/>
    <n v="1"/>
    <x v="346"/>
    <m/>
    <m/>
    <m/>
    <m/>
    <n v="150"/>
    <n v="0"/>
    <n v="0"/>
    <n v="150"/>
    <x v="0"/>
    <n v="50"/>
    <n v="100"/>
    <n v="0"/>
    <n v="0"/>
    <x v="1"/>
  </r>
  <r>
    <x v="2"/>
    <x v="9"/>
    <d v="2022-10-29T00:00:00"/>
    <s v="DISSABTE"/>
    <s v="NO"/>
    <s v="NO"/>
    <d v="1899-12-30T21:30:00"/>
    <d v="1899-12-30T02:30:00"/>
    <x v="2"/>
    <n v="1"/>
    <x v="347"/>
    <m/>
    <m/>
    <m/>
    <m/>
    <n v="200"/>
    <n v="1"/>
    <n v="60"/>
    <n v="260"/>
    <x v="0"/>
    <n v="50"/>
    <n v="150"/>
    <n v="0"/>
    <n v="60"/>
    <x v="1"/>
  </r>
  <r>
    <x v="2"/>
    <x v="9"/>
    <d v="2022-10-30T00:00:00"/>
    <s v="DIUMENGE"/>
    <s v="NO"/>
    <s v="NO"/>
    <d v="1899-12-30T09:30:00"/>
    <d v="1899-12-30T14:30:00"/>
    <x v="3"/>
    <n v="1"/>
    <x v="348"/>
    <n v="8160"/>
    <s v="MONTMELÓ"/>
    <s v="PG LLEIDA 2, 2N 2A"/>
    <s v="47813367R"/>
    <n v="150"/>
    <n v="0"/>
    <n v="0"/>
    <n v="150"/>
    <x v="0"/>
    <n v="50"/>
    <n v="100"/>
    <n v="0"/>
    <n v="0"/>
    <x v="29"/>
  </r>
  <r>
    <x v="2"/>
    <x v="9"/>
    <d v="2022-10-30T00:00:00"/>
    <s v="DIUMENGE"/>
    <s v="NO"/>
    <s v="NO"/>
    <d v="1899-12-30T15:30:00"/>
    <d v="1899-12-30T20:30:00"/>
    <x v="1"/>
    <n v="1"/>
    <x v="349"/>
    <n v="8170"/>
    <s v="MONTORNES DEL VALLES"/>
    <s v="C/ VALLROMANES 83"/>
    <s v="47809763P"/>
    <n v="150"/>
    <n v="0"/>
    <n v="0"/>
    <n v="150"/>
    <x v="0"/>
    <n v="50"/>
    <n v="100"/>
    <n v="0"/>
    <n v="0"/>
    <x v="1"/>
  </r>
  <r>
    <x v="2"/>
    <x v="9"/>
    <d v="2022-10-31T00:00:00"/>
    <s v="DILLUNS"/>
    <s v="NO"/>
    <s v="SI"/>
    <d v="1899-12-30T15:30:00"/>
    <d v="1899-12-30T20:30:00"/>
    <x v="1"/>
    <n v="1"/>
    <x v="350"/>
    <n v="8170"/>
    <s v="MONTORNES DEL VALLES"/>
    <s v="C/ LA LIRA N2 1R 1A"/>
    <s v="48178637P"/>
    <n v="140"/>
    <n v="0"/>
    <n v="0"/>
    <n v="140"/>
    <x v="0"/>
    <n v="50"/>
    <n v="90"/>
    <n v="0"/>
    <n v="0"/>
    <x v="1"/>
  </r>
  <r>
    <x v="2"/>
    <x v="9"/>
    <d v="2022-10-31T00:00:00"/>
    <s v="DILLUNS"/>
    <s v="NO"/>
    <s v="SI"/>
    <d v="1899-12-30T21:30:00"/>
    <d v="1899-12-30T02:30:00"/>
    <x v="2"/>
    <n v="1"/>
    <x v="351"/>
    <n v="8170"/>
    <s v="MONTORNES DEL VALLES"/>
    <s v="PL MARGARITA XIRGU N2 2N1R"/>
    <s v="52162709C"/>
    <n v="250"/>
    <n v="0"/>
    <n v="0"/>
    <n v="250"/>
    <x v="0"/>
    <n v="250"/>
    <n v="0"/>
    <n v="0"/>
    <n v="0"/>
    <x v="15"/>
  </r>
  <r>
    <x v="2"/>
    <x v="10"/>
    <d v="2022-11-04T00:00:00"/>
    <s v="DIVENDRES"/>
    <s v="NO"/>
    <s v="NO"/>
    <d v="1899-12-30T15:30:00"/>
    <d v="1899-12-30T20:30:00"/>
    <x v="1"/>
    <n v="1"/>
    <x v="352"/>
    <m/>
    <m/>
    <m/>
    <m/>
    <n v="140"/>
    <n v="0"/>
    <n v="0"/>
    <n v="140"/>
    <x v="0"/>
    <n v="140"/>
    <n v="0"/>
    <n v="0"/>
    <n v="0"/>
    <x v="30"/>
  </r>
  <r>
    <x v="2"/>
    <x v="10"/>
    <d v="2022-11-05T00:00:00"/>
    <s v="DISSABTE"/>
    <s v="NO"/>
    <s v="NO"/>
    <d v="1899-12-30T09:30:00"/>
    <d v="1899-12-30T14:30:00"/>
    <x v="3"/>
    <n v="1"/>
    <x v="353"/>
    <m/>
    <m/>
    <m/>
    <s v="77118703W"/>
    <n v="150"/>
    <n v="0"/>
    <n v="0"/>
    <n v="150"/>
    <x v="0"/>
    <n v="50"/>
    <n v="100"/>
    <n v="0"/>
    <n v="0"/>
    <x v="1"/>
  </r>
  <r>
    <x v="2"/>
    <x v="10"/>
    <d v="2022-11-06T00:00:00"/>
    <s v="DIUMENGE"/>
    <s v="NO"/>
    <s v="NO"/>
    <d v="1899-12-30T09:30:00"/>
    <d v="1899-12-30T14:30:00"/>
    <x v="3"/>
    <n v="1"/>
    <x v="354"/>
    <m/>
    <m/>
    <m/>
    <s v="40446329R"/>
    <n v="150"/>
    <n v="0"/>
    <n v="0"/>
    <n v="150"/>
    <x v="0"/>
    <n v="50"/>
    <n v="100"/>
    <n v="0"/>
    <n v="0"/>
    <x v="19"/>
  </r>
  <r>
    <x v="2"/>
    <x v="10"/>
    <d v="2022-11-06T00:00:00"/>
    <s v="DIUMENGE"/>
    <s v="NO"/>
    <s v="NO"/>
    <d v="1899-12-30T15:30:00"/>
    <d v="1899-12-30T20:30:00"/>
    <x v="1"/>
    <n v="1"/>
    <x v="355"/>
    <m/>
    <m/>
    <m/>
    <m/>
    <n v="150"/>
    <n v="0"/>
    <n v="0"/>
    <n v="150"/>
    <x v="0"/>
    <n v="50"/>
    <n v="100"/>
    <n v="0"/>
    <n v="0"/>
    <x v="1"/>
  </r>
  <r>
    <x v="2"/>
    <x v="10"/>
    <d v="2022-11-11T00:00:00"/>
    <s v="DIVENDRES"/>
    <s v="NO"/>
    <s v="NO"/>
    <d v="1899-12-30T21:30:00"/>
    <d v="1899-12-30T02:30:00"/>
    <x v="2"/>
    <n v="1"/>
    <x v="356"/>
    <m/>
    <m/>
    <m/>
    <m/>
    <n v="200"/>
    <n v="1"/>
    <n v="60"/>
    <n v="260"/>
    <x v="0"/>
    <n v="50"/>
    <n v="150"/>
    <n v="0"/>
    <n v="60"/>
    <x v="1"/>
  </r>
  <r>
    <x v="2"/>
    <x v="10"/>
    <d v="2022-11-12T00:00:00"/>
    <s v="DISSABTE"/>
    <s v="NO"/>
    <s v="NO"/>
    <d v="1899-12-30T09:30:00"/>
    <d v="1899-12-30T14:30:00"/>
    <x v="3"/>
    <n v="1"/>
    <x v="357"/>
    <n v="8170"/>
    <s v="MONTORNES DEL VALLES"/>
    <s v="C/ SANT LLUIS Nº11 - 4O 4A"/>
    <s v="53089352Q"/>
    <n v="150"/>
    <n v="0"/>
    <n v="0"/>
    <n v="150"/>
    <x v="0"/>
    <n v="150"/>
    <n v="0"/>
    <n v="0"/>
    <n v="0"/>
    <x v="1"/>
  </r>
  <r>
    <x v="2"/>
    <x v="10"/>
    <d v="2022-11-12T00:00:00"/>
    <s v="DISSABTE"/>
    <s v="NO"/>
    <s v="NO"/>
    <d v="1899-12-30T15:30:00"/>
    <d v="1899-12-30T20:30:00"/>
    <x v="1"/>
    <n v="1"/>
    <x v="358"/>
    <n v="8170"/>
    <s v="MONTORNES DEL VALLES"/>
    <s v="PL MARGARITA XIRGU N1 1R 1A"/>
    <s v="20557014M"/>
    <n v="150"/>
    <n v="0"/>
    <n v="0"/>
    <n v="150"/>
    <x v="0"/>
    <n v="50"/>
    <n v="100"/>
    <n v="0"/>
    <n v="0"/>
    <x v="1"/>
  </r>
  <r>
    <x v="2"/>
    <x v="10"/>
    <d v="2022-11-12T00:00:00"/>
    <s v="DISSABTE"/>
    <s v="NO"/>
    <s v="NO"/>
    <d v="1899-12-30T21:30:00"/>
    <d v="1899-12-30T02:30:00"/>
    <x v="2"/>
    <n v="1"/>
    <x v="359"/>
    <n v="8170"/>
    <s v="MONTORNES DEL VALLES"/>
    <s v="C/ FEDERICO GARCIA LORCA 3RO 2NDA"/>
    <s v="40985574B"/>
    <n v="200"/>
    <n v="1"/>
    <n v="60"/>
    <n v="260"/>
    <x v="0"/>
    <n v="50"/>
    <n v="150"/>
    <n v="0"/>
    <n v="60"/>
    <x v="1"/>
  </r>
  <r>
    <x v="2"/>
    <x v="10"/>
    <d v="2022-11-18T00:00:00"/>
    <s v="DIVENDRES"/>
    <s v="NO"/>
    <s v="NO"/>
    <d v="1899-12-30T15:30:00"/>
    <d v="1899-12-30T20:30:00"/>
    <x v="1"/>
    <n v="1"/>
    <x v="360"/>
    <m/>
    <m/>
    <m/>
    <m/>
    <n v="140"/>
    <n v="0"/>
    <n v="0"/>
    <n v="140"/>
    <x v="0"/>
    <n v="140"/>
    <n v="0"/>
    <n v="0"/>
    <n v="0"/>
    <x v="1"/>
  </r>
  <r>
    <x v="2"/>
    <x v="10"/>
    <d v="2022-11-19T00:00:00"/>
    <s v="DISSABTE"/>
    <s v="NO"/>
    <s v="NO"/>
    <d v="1899-12-30T09:30:00"/>
    <d v="1899-12-30T14:30:00"/>
    <x v="3"/>
    <n v="1"/>
    <x v="361"/>
    <n v="8410"/>
    <s v="VILANOVA DEL VALLES"/>
    <s v="C/ JAUME LLINESTI 21 BAIXOS 4A"/>
    <s v="43516129Z"/>
    <n v="150"/>
    <n v="0"/>
    <n v="0"/>
    <n v="150"/>
    <x v="0"/>
    <n v="50"/>
    <n v="100"/>
    <n v="0"/>
    <n v="0"/>
    <x v="1"/>
  </r>
  <r>
    <x v="2"/>
    <x v="10"/>
    <d v="2022-11-19T00:00:00"/>
    <s v="DISSABTE"/>
    <s v="NO"/>
    <s v="NO"/>
    <d v="1899-12-30T15:30:00"/>
    <d v="1899-12-30T20:30:00"/>
    <x v="1"/>
    <n v="1"/>
    <x v="362"/>
    <n v="8170"/>
    <s v="MONTORNES DEL VALLES"/>
    <s v="C/ CAN PARERA 24 1RO 2NDA"/>
    <s v="53031307T"/>
    <n v="150"/>
    <n v="0"/>
    <n v="0"/>
    <n v="150"/>
    <x v="0"/>
    <n v="50"/>
    <n v="100"/>
    <n v="0"/>
    <n v="0"/>
    <x v="1"/>
  </r>
  <r>
    <x v="2"/>
    <x v="10"/>
    <d v="2022-11-19T00:00:00"/>
    <s v="DISSABTE"/>
    <s v="NO"/>
    <s v="NO"/>
    <d v="1899-12-30T21:30:00"/>
    <d v="1899-12-30T02:30:00"/>
    <x v="2"/>
    <n v="1"/>
    <x v="363"/>
    <n v="8130"/>
    <s v="SANTA PERPETUA MOGODA"/>
    <s v="C/ TARRAGONA 5 1RO 3RA"/>
    <s v="33888459Y"/>
    <n v="200"/>
    <n v="0"/>
    <n v="0"/>
    <n v="200"/>
    <x v="0"/>
    <n v="50"/>
    <n v="150"/>
    <n v="0"/>
    <n v="0"/>
    <x v="1"/>
  </r>
  <r>
    <x v="2"/>
    <x v="10"/>
    <d v="2022-11-20T00:00:00"/>
    <s v="DIUMENGE"/>
    <s v="NO"/>
    <s v="NO"/>
    <d v="1899-12-30T09:30:00"/>
    <d v="1899-12-30T20:30:00"/>
    <x v="5"/>
    <n v="2"/>
    <x v="364"/>
    <n v="8170"/>
    <s v="MONTORNES DEL VALLES"/>
    <s v="C/ MONTSENY N6 3RO 3RA"/>
    <s v="53336923S"/>
    <n v="290"/>
    <n v="0"/>
    <n v="0"/>
    <n v="290"/>
    <x v="0"/>
    <n v="50"/>
    <n v="240"/>
    <n v="0"/>
    <n v="0"/>
    <x v="1"/>
  </r>
  <r>
    <x v="2"/>
    <x v="10"/>
    <d v="2022-11-25T00:00:00"/>
    <s v="DIVENDRES"/>
    <s v="NO"/>
    <s v="NO"/>
    <d v="1899-12-30T15:30:00"/>
    <d v="1899-12-30T20:30:00"/>
    <x v="1"/>
    <n v="1"/>
    <x v="365"/>
    <m/>
    <m/>
    <m/>
    <m/>
    <n v="140"/>
    <n v="0"/>
    <n v="0"/>
    <n v="140"/>
    <x v="0"/>
    <n v="50"/>
    <n v="90"/>
    <n v="0"/>
    <n v="0"/>
    <x v="1"/>
  </r>
  <r>
    <x v="2"/>
    <x v="10"/>
    <d v="2022-11-26T00:00:00"/>
    <s v="DISSABTE"/>
    <s v="NO"/>
    <s v="NO"/>
    <d v="1899-12-30T15:30:00"/>
    <d v="1899-12-30T20:30:00"/>
    <x v="1"/>
    <n v="1"/>
    <x v="366"/>
    <n v="8186"/>
    <s v="LLIÇA D'AMUNT"/>
    <s v="C/ SAGUNT 13"/>
    <s v="47922772H"/>
    <n v="150"/>
    <n v="0"/>
    <n v="0"/>
    <n v="150"/>
    <x v="0"/>
    <n v="150"/>
    <n v="0"/>
    <n v="0"/>
    <n v="0"/>
    <x v="1"/>
  </r>
  <r>
    <x v="2"/>
    <x v="10"/>
    <d v="2022-11-26T00:00:00"/>
    <s v="DISSABTE"/>
    <s v="NO"/>
    <s v="NO"/>
    <d v="1899-12-30T21:30:00"/>
    <d v="1899-12-30T02:30:00"/>
    <x v="2"/>
    <n v="1"/>
    <x v="367"/>
    <n v="8160"/>
    <s v="MONTMELÓ"/>
    <s v="AV MILENARI 14 3R 5A"/>
    <s v="52155799X"/>
    <n v="200"/>
    <n v="1"/>
    <n v="60"/>
    <n v="260"/>
    <x v="0"/>
    <n v="200"/>
    <n v="0"/>
    <n v="60"/>
    <n v="0"/>
    <x v="1"/>
  </r>
  <r>
    <x v="2"/>
    <x v="11"/>
    <d v="2022-12-02T00:00:00"/>
    <s v="DIVENDRES"/>
    <s v="NO"/>
    <s v="NO"/>
    <d v="1899-12-30T21:30:00"/>
    <d v="1899-12-30T02:30:00"/>
    <x v="2"/>
    <n v="1"/>
    <x v="368"/>
    <m/>
    <m/>
    <m/>
    <m/>
    <n v="200"/>
    <n v="0"/>
    <n v="0"/>
    <n v="200"/>
    <x v="0"/>
    <n v="50"/>
    <n v="150"/>
    <n v="0"/>
    <n v="0"/>
    <x v="1"/>
  </r>
  <r>
    <x v="2"/>
    <x v="11"/>
    <d v="2022-12-03T00:00:00"/>
    <s v="DISSABTE"/>
    <s v="NO"/>
    <s v="NO"/>
    <d v="1899-12-30T15:30:00"/>
    <d v="1899-12-30T02:30:00"/>
    <x v="4"/>
    <n v="2"/>
    <x v="369"/>
    <m/>
    <m/>
    <m/>
    <s v="52403766Z"/>
    <n v="320"/>
    <n v="0"/>
    <n v="0"/>
    <n v="320"/>
    <x v="0"/>
    <n v="50"/>
    <n v="270"/>
    <n v="0"/>
    <n v="0"/>
    <x v="1"/>
  </r>
  <r>
    <x v="2"/>
    <x v="11"/>
    <d v="2022-12-06T00:00:00"/>
    <s v="DIMARTS"/>
    <s v="SI"/>
    <s v="NO"/>
    <d v="1899-12-30T09:30:00"/>
    <d v="1899-12-30T14:30:00"/>
    <x v="3"/>
    <n v="1"/>
    <x v="370"/>
    <m/>
    <m/>
    <m/>
    <s v="52401012C"/>
    <n v="150"/>
    <n v="0"/>
    <n v="0"/>
    <n v="150"/>
    <x v="0"/>
    <n v="150"/>
    <n v="0"/>
    <n v="0"/>
    <n v="0"/>
    <x v="1"/>
  </r>
  <r>
    <x v="2"/>
    <x v="11"/>
    <d v="2022-12-08T00:00:00"/>
    <s v="DIJOUS"/>
    <s v="SI"/>
    <s v="NO"/>
    <d v="1899-12-30T15:30:00"/>
    <d v="1899-12-30T20:30:00"/>
    <x v="1"/>
    <n v="1"/>
    <x v="371"/>
    <n v="8170"/>
    <s v="MONTORNES DEL VALLES"/>
    <s v="C/ SANT ISIDRE 2 2N 3RA"/>
    <s v="45539544T"/>
    <n v="150"/>
    <n v="0"/>
    <n v="0"/>
    <n v="150"/>
    <x v="0"/>
    <n v="150"/>
    <n v="0"/>
    <n v="0"/>
    <n v="0"/>
    <x v="1"/>
  </r>
  <r>
    <x v="2"/>
    <x v="11"/>
    <d v="2022-12-09T00:00:00"/>
    <s v="DIVENDRES"/>
    <s v="NO"/>
    <s v="NO"/>
    <d v="1899-12-30T21:30:00"/>
    <d v="1899-12-30T02:30:00"/>
    <x v="2"/>
    <n v="1"/>
    <x v="372"/>
    <m/>
    <m/>
    <m/>
    <m/>
    <n v="200"/>
    <n v="0"/>
    <n v="0"/>
    <n v="200"/>
    <x v="0"/>
    <n v="50"/>
    <n v="150"/>
    <n v="0"/>
    <n v="0"/>
    <x v="1"/>
  </r>
  <r>
    <x v="2"/>
    <x v="11"/>
    <d v="2022-12-10T00:00:00"/>
    <s v="DISSABTE"/>
    <s v="NO"/>
    <s v="NO"/>
    <d v="1899-12-30T15:30:00"/>
    <d v="1899-12-30T02:30:00"/>
    <x v="4"/>
    <n v="2"/>
    <x v="373"/>
    <m/>
    <m/>
    <m/>
    <m/>
    <n v="320"/>
    <n v="0"/>
    <n v="0"/>
    <n v="320"/>
    <x v="0"/>
    <n v="50"/>
    <n v="270"/>
    <n v="0"/>
    <n v="0"/>
    <x v="1"/>
  </r>
  <r>
    <x v="2"/>
    <x v="11"/>
    <d v="2022-12-11T00:00:00"/>
    <s v="DIUMENGE"/>
    <s v="NO"/>
    <s v="NO"/>
    <d v="1899-12-30T09:30:00"/>
    <d v="1899-12-30T14:30:00"/>
    <x v="3"/>
    <n v="1"/>
    <x v="374"/>
    <n v="8170"/>
    <s v="MONTORNES DEL VALLES"/>
    <s v="C/ CATALUNYA 28"/>
    <s v="47277974W"/>
    <n v="150"/>
    <n v="0"/>
    <n v="0"/>
    <n v="150"/>
    <x v="0"/>
    <n v="50"/>
    <n v="100"/>
    <n v="0"/>
    <n v="0"/>
    <x v="1"/>
  </r>
  <r>
    <x v="2"/>
    <x v="11"/>
    <d v="2022-12-11T00:00:00"/>
    <s v="DIUMENGE"/>
    <s v="NO"/>
    <s v="NO"/>
    <d v="1899-12-30T15:30:00"/>
    <d v="1899-12-30T20:30:00"/>
    <x v="1"/>
    <n v="1"/>
    <x v="375"/>
    <m/>
    <m/>
    <m/>
    <m/>
    <n v="150"/>
    <n v="0"/>
    <n v="0"/>
    <n v="150"/>
    <x v="0"/>
    <n v="50"/>
    <n v="100"/>
    <n v="0"/>
    <n v="0"/>
    <x v="1"/>
  </r>
  <r>
    <x v="2"/>
    <x v="11"/>
    <d v="2022-12-17T00:00:00"/>
    <s v="DISSABTE"/>
    <s v="NO"/>
    <s v="NO"/>
    <d v="1899-12-30T09:30:00"/>
    <d v="1899-12-30T14:30:00"/>
    <x v="3"/>
    <n v="1"/>
    <x v="376"/>
    <m/>
    <m/>
    <m/>
    <m/>
    <n v="150"/>
    <n v="0"/>
    <n v="0"/>
    <n v="150"/>
    <x v="0"/>
    <n v="50"/>
    <n v="100"/>
    <n v="0"/>
    <n v="0"/>
    <x v="31"/>
  </r>
  <r>
    <x v="2"/>
    <x v="11"/>
    <d v="2022-12-17T00:00:00"/>
    <s v="DISSABTE"/>
    <s v="NO"/>
    <s v="NO"/>
    <d v="1899-12-30T15:30:00"/>
    <d v="1899-12-30T02:30:00"/>
    <x v="4"/>
    <n v="2"/>
    <x v="377"/>
    <m/>
    <m/>
    <m/>
    <m/>
    <n v="0"/>
    <n v="0"/>
    <n v="0"/>
    <n v="0"/>
    <x v="1"/>
    <n v="50"/>
    <n v="0"/>
    <n v="0"/>
    <n v="0"/>
    <x v="1"/>
  </r>
  <r>
    <x v="2"/>
    <x v="11"/>
    <d v="2022-12-17T00:00:00"/>
    <s v="DISSABTE"/>
    <s v="NO"/>
    <s v="NO"/>
    <d v="1899-12-30T15:30:00"/>
    <d v="1899-12-30T20:30:00"/>
    <x v="1"/>
    <n v="1"/>
    <x v="378"/>
    <m/>
    <m/>
    <m/>
    <m/>
    <n v="150"/>
    <n v="1"/>
    <n v="20"/>
    <n v="170"/>
    <x v="0"/>
    <n v="50"/>
    <n v="100"/>
    <n v="0"/>
    <n v="20"/>
    <x v="32"/>
  </r>
  <r>
    <x v="2"/>
    <x v="11"/>
    <d v="2022-12-18T00:00:00"/>
    <s v="DIUMENGE"/>
    <s v="NO"/>
    <s v="NO"/>
    <d v="1899-12-30T09:30:00"/>
    <d v="1899-12-30T14:30:00"/>
    <x v="3"/>
    <n v="1"/>
    <x v="379"/>
    <n v="8170"/>
    <s v="MONTORNES DEL VALLES"/>
    <s v="C/ MAYOR 66 2N 3RA"/>
    <s v="47806955K"/>
    <n v="150"/>
    <n v="0"/>
    <n v="0"/>
    <n v="150"/>
    <x v="0"/>
    <n v="50"/>
    <n v="100"/>
    <n v="0"/>
    <n v="0"/>
    <x v="1"/>
  </r>
  <r>
    <x v="2"/>
    <x v="11"/>
    <d v="2022-12-18T00:00:00"/>
    <s v="DIUMENGE"/>
    <s v="NO"/>
    <s v="NO"/>
    <d v="1899-12-30T15:30:00"/>
    <d v="1899-12-30T20:30:00"/>
    <x v="1"/>
    <n v="1"/>
    <x v="380"/>
    <n v="8170"/>
    <s v="MONTORNES DEL VALLES"/>
    <s v="C/ PALAU ATMELLA N18 3R 3A"/>
    <s v="48174380Y"/>
    <n v="150"/>
    <n v="0"/>
    <n v="0"/>
    <n v="150"/>
    <x v="0"/>
    <n v="50"/>
    <n v="100"/>
    <n v="0"/>
    <n v="0"/>
    <x v="1"/>
  </r>
  <r>
    <x v="2"/>
    <x v="11"/>
    <d v="2022-12-22T00:00:00"/>
    <s v="DIJOUS"/>
    <s v="NO"/>
    <s v="NO"/>
    <d v="1899-12-30T15:30:00"/>
    <d v="1899-12-30T20:30:00"/>
    <x v="1"/>
    <n v="1"/>
    <x v="381"/>
    <m/>
    <m/>
    <m/>
    <m/>
    <n v="95"/>
    <n v="0"/>
    <n v="0"/>
    <n v="95"/>
    <x v="0"/>
    <n v="95"/>
    <n v="0"/>
    <n v="0"/>
    <n v="0"/>
    <x v="1"/>
  </r>
  <r>
    <x v="2"/>
    <x v="11"/>
    <d v="2022-12-23T00:00:00"/>
    <s v="DIVENDRES"/>
    <s v="NO"/>
    <s v="NO"/>
    <d v="1899-12-30T15:30:00"/>
    <d v="1899-12-30T20:30:00"/>
    <x v="1"/>
    <n v="1"/>
    <x v="382"/>
    <m/>
    <m/>
    <m/>
    <m/>
    <n v="140"/>
    <n v="0"/>
    <n v="0"/>
    <n v="140"/>
    <x v="0"/>
    <n v="140"/>
    <n v="0"/>
    <n v="0"/>
    <n v="0"/>
    <x v="19"/>
  </r>
  <r>
    <x v="2"/>
    <x v="11"/>
    <d v="2022-12-23T00:00:00"/>
    <s v="DIVENDRES"/>
    <s v="NO"/>
    <s v="NO"/>
    <d v="1899-12-30T21:30:00"/>
    <d v="1899-12-30T02:30:00"/>
    <x v="2"/>
    <n v="1"/>
    <x v="383"/>
    <m/>
    <m/>
    <m/>
    <m/>
    <n v="200"/>
    <n v="1"/>
    <n v="60"/>
    <n v="260"/>
    <x v="0"/>
    <n v="50"/>
    <n v="150"/>
    <n v="0"/>
    <n v="60"/>
    <x v="1"/>
  </r>
  <r>
    <x v="2"/>
    <x v="11"/>
    <d v="2022-12-24T00:00:00"/>
    <s v="DISSABTE"/>
    <s v="SI"/>
    <s v="SI"/>
    <d v="1899-12-30T20:30:00"/>
    <d v="1899-12-30T02:30:00"/>
    <x v="2"/>
    <n v="1"/>
    <x v="198"/>
    <m/>
    <m/>
    <m/>
    <m/>
    <n v="350"/>
    <n v="0"/>
    <n v="0"/>
    <n v="350"/>
    <x v="0"/>
    <n v="0"/>
    <n v="350"/>
    <n v="0"/>
    <n v="0"/>
    <x v="33"/>
  </r>
  <r>
    <x v="2"/>
    <x v="11"/>
    <d v="2022-12-25T00:00:00"/>
    <s v="DIUMENGE"/>
    <s v="SI"/>
    <s v="SI"/>
    <d v="1899-12-30T09:30:00"/>
    <d v="1899-12-30T20:30:00"/>
    <x v="5"/>
    <n v="2"/>
    <x v="229"/>
    <m/>
    <m/>
    <m/>
    <m/>
    <n v="320"/>
    <n v="0"/>
    <n v="0"/>
    <n v="320"/>
    <x v="0"/>
    <n v="50"/>
    <n v="270"/>
    <n v="0"/>
    <n v="0"/>
    <x v="34"/>
  </r>
  <r>
    <x v="2"/>
    <x v="11"/>
    <d v="2022-12-26T00:00:00"/>
    <s v="DIUMENGE"/>
    <s v="SI"/>
    <s v="SI"/>
    <d v="1899-12-30T11:00:00"/>
    <d v="1899-12-30T20:30:00"/>
    <x v="5"/>
    <n v="2"/>
    <x v="384"/>
    <m/>
    <m/>
    <m/>
    <m/>
    <n v="300"/>
    <n v="0"/>
    <n v="0"/>
    <n v="300"/>
    <x v="0"/>
    <n v="0"/>
    <n v="300"/>
    <n v="0"/>
    <n v="0"/>
    <x v="35"/>
  </r>
  <r>
    <x v="2"/>
    <x v="11"/>
    <d v="2022-12-26T00:00:00"/>
    <s v="DIUMENGE"/>
    <s v="SI"/>
    <s v="NO"/>
    <d v="1899-12-30T21:30:00"/>
    <d v="1899-12-30T02:30:00"/>
    <x v="2"/>
    <n v="1"/>
    <x v="385"/>
    <m/>
    <m/>
    <m/>
    <m/>
    <n v="200"/>
    <n v="1"/>
    <n v="60"/>
    <n v="260"/>
    <x v="0"/>
    <n v="50"/>
    <n v="150"/>
    <n v="0"/>
    <n v="60"/>
    <x v="1"/>
  </r>
  <r>
    <x v="2"/>
    <x v="11"/>
    <d v="2022-12-28T00:00:00"/>
    <s v="DIMECRES"/>
    <s v="NO"/>
    <s v="NO"/>
    <d v="1899-12-30T09:30:00"/>
    <d v="1899-12-30T14:30:00"/>
    <x v="3"/>
    <n v="1"/>
    <x v="386"/>
    <n v="8401"/>
    <s v="GRANOLLERS"/>
    <s v="PL JOSEP SERRAT I BONASTRE 10"/>
    <s v="46346890G"/>
    <n v="80"/>
    <n v="0"/>
    <n v="0"/>
    <n v="80"/>
    <x v="0"/>
    <n v="50"/>
    <n v="30"/>
    <n v="0"/>
    <n v="0"/>
    <x v="1"/>
  </r>
  <r>
    <x v="2"/>
    <x v="11"/>
    <d v="2022-12-29T00:00:00"/>
    <s v="DIJOUS"/>
    <s v="NO"/>
    <s v="NO"/>
    <d v="1899-12-30T15:30:00"/>
    <d v="1899-12-30T20:30:00"/>
    <x v="1"/>
    <n v="1"/>
    <x v="387"/>
    <m/>
    <m/>
    <m/>
    <m/>
    <n v="95"/>
    <n v="0"/>
    <n v="0"/>
    <n v="95"/>
    <x v="0"/>
    <n v="50"/>
    <n v="45"/>
    <n v="0"/>
    <n v="0"/>
    <x v="1"/>
  </r>
  <r>
    <x v="2"/>
    <x v="11"/>
    <d v="2022-12-30T00:00:00"/>
    <s v="DIVENDRES"/>
    <s v="NO"/>
    <s v="NO"/>
    <d v="1899-12-30T21:30:00"/>
    <d v="1899-12-30T02:30:00"/>
    <x v="2"/>
    <n v="1"/>
    <x v="388"/>
    <m/>
    <m/>
    <m/>
    <m/>
    <n v="200"/>
    <n v="0"/>
    <n v="0"/>
    <n v="200"/>
    <x v="0"/>
    <n v="50"/>
    <n v="150"/>
    <n v="0"/>
    <n v="0"/>
    <x v="36"/>
  </r>
  <r>
    <x v="2"/>
    <x v="11"/>
    <d v="2022-12-31T00:00:00"/>
    <s v="DISSABTE"/>
    <s v="NO"/>
    <s v="SI"/>
    <d v="1899-12-30T15:30:00"/>
    <d v="1899-12-30T05:30:00"/>
    <x v="4"/>
    <n v="2"/>
    <x v="39"/>
    <m/>
    <m/>
    <m/>
    <m/>
    <n v="600"/>
    <n v="0"/>
    <n v="0"/>
    <n v="600"/>
    <x v="0"/>
    <n v="50"/>
    <n v="550"/>
    <n v="0"/>
    <n v="0"/>
    <x v="37"/>
  </r>
  <r>
    <x v="3"/>
    <x v="0"/>
    <d v="2023-01-02T00:00:00"/>
    <s v="DILLUNS"/>
    <s v="NO"/>
    <s v="NO"/>
    <d v="1899-12-30T15:30:00"/>
    <d v="1899-12-30T20:30:00"/>
    <x v="1"/>
    <n v="1"/>
    <x v="389"/>
    <n v="8170"/>
    <s v="MONTORNES DEL VALLES"/>
    <s v="C/ MONTSENY N6C 3R 2N"/>
    <s v="46066971H"/>
    <n v="95"/>
    <n v="0"/>
    <n v="0"/>
    <n v="95"/>
    <x v="0"/>
    <n v="50"/>
    <n v="45"/>
    <n v="0"/>
    <n v="0"/>
    <x v="1"/>
  </r>
  <r>
    <x v="3"/>
    <x v="0"/>
    <d v="2023-01-03T00:00:00"/>
    <s v="DIMARTS"/>
    <s v="NO"/>
    <s v="NO"/>
    <d v="1899-12-30T21:30:00"/>
    <d v="1899-12-30T02:30:00"/>
    <x v="2"/>
    <n v="1"/>
    <x v="390"/>
    <m/>
    <m/>
    <m/>
    <m/>
    <n v="200"/>
    <n v="1"/>
    <n v="60"/>
    <n v="260"/>
    <x v="0"/>
    <n v="50"/>
    <n v="150"/>
    <n v="0"/>
    <n v="60"/>
    <x v="1"/>
  </r>
  <r>
    <x v="3"/>
    <x v="0"/>
    <d v="2023-01-04T00:00:00"/>
    <s v="DIMECRES"/>
    <s v="NO"/>
    <s v="NO"/>
    <d v="1899-12-30T15:30:00"/>
    <d v="1899-12-30T20:30:00"/>
    <x v="1"/>
    <n v="1"/>
    <x v="391"/>
    <m/>
    <m/>
    <m/>
    <m/>
    <n v="95"/>
    <n v="0"/>
    <n v="0"/>
    <n v="95"/>
    <x v="0"/>
    <n v="50"/>
    <n v="45"/>
    <n v="0"/>
    <n v="0"/>
    <x v="1"/>
  </r>
  <r>
    <x v="3"/>
    <x v="0"/>
    <d v="2023-01-05T00:00:00"/>
    <s v="DIJOUS"/>
    <s v="NO"/>
    <s v="NO"/>
    <d v="1899-12-30T21:30:00"/>
    <d v="1899-12-30T02:30:00"/>
    <x v="2"/>
    <n v="1"/>
    <x v="392"/>
    <m/>
    <m/>
    <m/>
    <m/>
    <n v="180"/>
    <n v="0"/>
    <n v="0"/>
    <n v="180"/>
    <x v="0"/>
    <n v="50"/>
    <n v="130"/>
    <n v="0"/>
    <n v="0"/>
    <x v="1"/>
  </r>
  <r>
    <x v="3"/>
    <x v="0"/>
    <d v="2023-01-06T00:00:00"/>
    <s v="DIVENDRES"/>
    <s v="SI"/>
    <s v="NO"/>
    <d v="1899-12-30T15:00:00"/>
    <d v="1899-12-30T20:00:00"/>
    <x v="0"/>
    <n v="1"/>
    <x v="393"/>
    <m/>
    <m/>
    <m/>
    <m/>
    <n v="150"/>
    <n v="0"/>
    <n v="0"/>
    <n v="150"/>
    <x v="0"/>
    <n v="0"/>
    <n v="150"/>
    <n v="0"/>
    <n v="0"/>
    <x v="38"/>
  </r>
  <r>
    <x v="3"/>
    <x v="0"/>
    <d v="2023-01-07T00:00:00"/>
    <s v="DISSABTE"/>
    <s v="NO"/>
    <s v="NO"/>
    <d v="1899-12-30T15:30:00"/>
    <d v="1899-12-30T20:30:00"/>
    <x v="1"/>
    <n v="1"/>
    <x v="394"/>
    <m/>
    <m/>
    <m/>
    <m/>
    <n v="150"/>
    <n v="0"/>
    <n v="0"/>
    <n v="150"/>
    <x v="0"/>
    <n v="50"/>
    <n v="100"/>
    <n v="0"/>
    <n v="0"/>
    <x v="1"/>
  </r>
  <r>
    <x v="3"/>
    <x v="0"/>
    <d v="2023-01-07T00:00:00"/>
    <s v="DISSABTE"/>
    <s v="NO"/>
    <s v="NO"/>
    <d v="1899-12-30T21:30:00"/>
    <d v="1899-12-30T02:30:00"/>
    <x v="2"/>
    <n v="1"/>
    <x v="395"/>
    <m/>
    <m/>
    <m/>
    <m/>
    <n v="0"/>
    <n v="0"/>
    <n v="0"/>
    <n v="0"/>
    <x v="2"/>
    <n v="0"/>
    <n v="0"/>
    <n v="0"/>
    <n v="0"/>
    <x v="1"/>
  </r>
  <r>
    <x v="3"/>
    <x v="0"/>
    <d v="2023-01-08T00:00:00"/>
    <s v="DIUMENGE"/>
    <s v="NO"/>
    <s v="NO"/>
    <d v="1899-12-30T09:30:00"/>
    <d v="1899-12-30T14:30:00"/>
    <x v="3"/>
    <n v="1"/>
    <x v="396"/>
    <m/>
    <m/>
    <m/>
    <m/>
    <n v="150"/>
    <n v="0"/>
    <n v="0"/>
    <n v="150"/>
    <x v="0"/>
    <n v="50"/>
    <n v="100"/>
    <n v="0"/>
    <n v="0"/>
    <x v="1"/>
  </r>
  <r>
    <x v="3"/>
    <x v="0"/>
    <d v="2023-01-13T00:00:00"/>
    <s v="DIVENDRES"/>
    <s v="NO"/>
    <s v="NO"/>
    <d v="1899-12-30T15:30:00"/>
    <d v="1899-12-30T02:30:00"/>
    <x v="4"/>
    <n v="1"/>
    <x v="397"/>
    <m/>
    <m/>
    <m/>
    <m/>
    <n v="300"/>
    <n v="0"/>
    <n v="0"/>
    <n v="300"/>
    <x v="0"/>
    <n v="50"/>
    <n v="250"/>
    <n v="0"/>
    <n v="0"/>
    <x v="1"/>
  </r>
  <r>
    <x v="3"/>
    <x v="0"/>
    <d v="2023-01-14T00:00:00"/>
    <s v="DISSABTE"/>
    <s v="NO"/>
    <s v="NO"/>
    <d v="1899-12-30T15:30:00"/>
    <d v="1899-12-30T20:30:00"/>
    <x v="1"/>
    <n v="1"/>
    <x v="398"/>
    <m/>
    <m/>
    <m/>
    <m/>
    <n v="150"/>
    <n v="0"/>
    <n v="0"/>
    <n v="150"/>
    <x v="0"/>
    <n v="50"/>
    <n v="100"/>
    <n v="0"/>
    <n v="0"/>
    <x v="1"/>
  </r>
  <r>
    <x v="3"/>
    <x v="0"/>
    <d v="2023-01-14T00:00:00"/>
    <s v="DISSABTE"/>
    <s v="NO"/>
    <s v="NO"/>
    <d v="1899-12-30T21:30:00"/>
    <d v="1899-12-30T02:30:00"/>
    <x v="2"/>
    <n v="1"/>
    <x v="32"/>
    <m/>
    <m/>
    <m/>
    <m/>
    <n v="200"/>
    <n v="0"/>
    <n v="0"/>
    <n v="200"/>
    <x v="0"/>
    <n v="50"/>
    <n v="150"/>
    <n v="0"/>
    <n v="0"/>
    <x v="1"/>
  </r>
  <r>
    <x v="3"/>
    <x v="0"/>
    <d v="2023-01-15T00:00:00"/>
    <s v="DIUMENGE"/>
    <s v="NO"/>
    <s v="NO"/>
    <d v="1899-12-30T09:30:00"/>
    <d v="1899-12-30T14:30:00"/>
    <x v="3"/>
    <n v="1"/>
    <x v="399"/>
    <m/>
    <m/>
    <m/>
    <m/>
    <n v="150"/>
    <n v="0"/>
    <n v="0"/>
    <n v="150"/>
    <x v="0"/>
    <n v="150"/>
    <n v="0"/>
    <n v="0"/>
    <n v="0"/>
    <x v="1"/>
  </r>
  <r>
    <x v="3"/>
    <x v="0"/>
    <d v="2023-01-15T00:00:00"/>
    <s v="DIUMENGE"/>
    <s v="NO"/>
    <s v="NO"/>
    <d v="1899-12-30T15:30:00"/>
    <d v="1899-12-30T20:30:00"/>
    <x v="1"/>
    <n v="1"/>
    <x v="400"/>
    <m/>
    <m/>
    <m/>
    <m/>
    <n v="150"/>
    <n v="0"/>
    <n v="0"/>
    <n v="150"/>
    <x v="0"/>
    <n v="0"/>
    <n v="150"/>
    <n v="0"/>
    <n v="0"/>
    <x v="39"/>
  </r>
  <r>
    <x v="3"/>
    <x v="0"/>
    <d v="2023-01-17T00:00:00"/>
    <s v="DIMARTS"/>
    <s v="NO"/>
    <s v="NO"/>
    <d v="1899-12-30T15:30:00"/>
    <d v="1899-12-30T20:30:00"/>
    <x v="1"/>
    <n v="1"/>
    <x v="401"/>
    <m/>
    <m/>
    <m/>
    <m/>
    <n v="95"/>
    <n v="0"/>
    <n v="0"/>
    <n v="95"/>
    <x v="0"/>
    <n v="50"/>
    <n v="45"/>
    <n v="0"/>
    <n v="0"/>
    <x v="1"/>
  </r>
  <r>
    <x v="3"/>
    <x v="0"/>
    <d v="2023-01-19T00:00:00"/>
    <s v="DIJOUS"/>
    <s v="NO"/>
    <s v="NO"/>
    <d v="1899-12-30T15:30:00"/>
    <d v="1899-12-30T20:30:00"/>
    <x v="1"/>
    <n v="1"/>
    <x v="402"/>
    <m/>
    <m/>
    <m/>
    <m/>
    <n v="95"/>
    <n v="0"/>
    <n v="0"/>
    <n v="95"/>
    <x v="0"/>
    <n v="50"/>
    <n v="45"/>
    <n v="0"/>
    <n v="0"/>
    <x v="40"/>
  </r>
  <r>
    <x v="3"/>
    <x v="0"/>
    <d v="2023-01-20T00:00:00"/>
    <s v="DIVENDRES"/>
    <s v="NO"/>
    <s v="NO"/>
    <d v="1899-12-30T21:30:00"/>
    <d v="1899-12-30T02:30:00"/>
    <x v="2"/>
    <n v="1"/>
    <x v="113"/>
    <m/>
    <m/>
    <m/>
    <m/>
    <n v="200"/>
    <n v="0"/>
    <n v="0"/>
    <n v="200"/>
    <x v="0"/>
    <n v="50"/>
    <n v="150"/>
    <n v="0"/>
    <n v="0"/>
    <x v="41"/>
  </r>
  <r>
    <x v="3"/>
    <x v="0"/>
    <d v="2023-01-21T00:00:00"/>
    <s v="DISSABTE"/>
    <s v="NO"/>
    <s v="NO"/>
    <d v="1899-12-30T15:30:00"/>
    <d v="1899-12-30T20:30:00"/>
    <x v="1"/>
    <n v="1"/>
    <x v="403"/>
    <m/>
    <m/>
    <m/>
    <m/>
    <n v="0"/>
    <n v="0"/>
    <n v="0"/>
    <n v="0"/>
    <x v="2"/>
    <n v="0"/>
    <n v="0"/>
    <n v="0"/>
    <n v="0"/>
    <x v="2"/>
  </r>
  <r>
    <x v="3"/>
    <x v="0"/>
    <d v="2023-01-21T00:00:00"/>
    <s v="DISSABTE"/>
    <s v="NO"/>
    <s v="NO"/>
    <d v="1899-12-30T21:30:00"/>
    <d v="1899-12-30T02:30:00"/>
    <x v="2"/>
    <n v="1"/>
    <x v="404"/>
    <m/>
    <m/>
    <m/>
    <m/>
    <n v="200"/>
    <n v="1"/>
    <n v="60"/>
    <n v="260"/>
    <x v="0"/>
    <n v="50"/>
    <n v="150"/>
    <n v="0"/>
    <n v="60"/>
    <x v="1"/>
  </r>
  <r>
    <x v="3"/>
    <x v="0"/>
    <d v="2023-01-22T00:00:00"/>
    <s v="DISSABTE"/>
    <s v="NO"/>
    <s v="NO"/>
    <d v="1899-12-30T09:30:00"/>
    <d v="1899-12-30T20:30:00"/>
    <x v="5"/>
    <n v="2"/>
    <x v="405"/>
    <m/>
    <m/>
    <m/>
    <m/>
    <n v="280"/>
    <n v="0"/>
    <n v="0"/>
    <n v="280"/>
    <x v="0"/>
    <n v="50"/>
    <n v="230"/>
    <n v="0"/>
    <n v="0"/>
    <x v="1"/>
  </r>
  <r>
    <x v="3"/>
    <x v="0"/>
    <d v="2023-01-27T00:00:00"/>
    <s v="DIVENDRES"/>
    <s v="NO"/>
    <s v="NO"/>
    <d v="1899-12-30T15:30:00"/>
    <d v="1899-12-30T20:30:00"/>
    <x v="1"/>
    <n v="1"/>
    <x v="406"/>
    <m/>
    <m/>
    <m/>
    <m/>
    <n v="140"/>
    <n v="0"/>
    <n v="0"/>
    <n v="140"/>
    <x v="1"/>
    <n v="50"/>
    <n v="0"/>
    <n v="0"/>
    <n v="0"/>
    <x v="1"/>
  </r>
  <r>
    <x v="3"/>
    <x v="0"/>
    <d v="2023-01-27T00:00:00"/>
    <s v="DIVENDRES"/>
    <s v="NO"/>
    <s v="NO"/>
    <d v="1899-12-30T21:30:00"/>
    <d v="1899-12-30T02:30:00"/>
    <x v="2"/>
    <n v="1"/>
    <x v="407"/>
    <m/>
    <m/>
    <m/>
    <m/>
    <n v="200"/>
    <n v="0"/>
    <n v="0"/>
    <n v="200"/>
    <x v="2"/>
    <n v="0"/>
    <n v="0"/>
    <n v="0"/>
    <n v="0"/>
    <x v="1"/>
  </r>
  <r>
    <x v="3"/>
    <x v="0"/>
    <d v="2023-01-28T00:00:00"/>
    <s v="DISSABTE"/>
    <s v="NO"/>
    <s v="NO"/>
    <d v="1899-12-30T15:30:00"/>
    <d v="1899-12-30T02:30:00"/>
    <x v="4"/>
    <n v="1"/>
    <x v="408"/>
    <m/>
    <m/>
    <m/>
    <m/>
    <n v="320"/>
    <n v="0"/>
    <n v="0"/>
    <n v="320"/>
    <x v="1"/>
    <n v="50"/>
    <n v="0"/>
    <n v="0"/>
    <n v="0"/>
    <x v="1"/>
  </r>
  <r>
    <x v="3"/>
    <x v="0"/>
    <d v="2023-01-29T00:00:00"/>
    <s v="DIUMENGE"/>
    <s v="NO"/>
    <s v="NO"/>
    <d v="1899-12-30T15:30:00"/>
    <d v="1899-12-30T20:30:00"/>
    <x v="1"/>
    <n v="1"/>
    <x v="409"/>
    <m/>
    <m/>
    <m/>
    <m/>
    <n v="150"/>
    <n v="0"/>
    <n v="0"/>
    <n v="150"/>
    <x v="2"/>
    <n v="0"/>
    <n v="0"/>
    <n v="0"/>
    <n v="0"/>
    <x v="1"/>
  </r>
  <r>
    <x v="3"/>
    <x v="1"/>
    <d v="2023-02-01T00:00:00"/>
    <s v="DIMECRES"/>
    <s v="NO"/>
    <s v="NO"/>
    <d v="1899-12-30T15:30:00"/>
    <d v="1899-12-30T20:30:00"/>
    <x v="1"/>
    <n v="1"/>
    <x v="410"/>
    <m/>
    <m/>
    <m/>
    <m/>
    <n v="95"/>
    <n v="0"/>
    <n v="0"/>
    <n v="95"/>
    <x v="2"/>
    <n v="0"/>
    <n v="0"/>
    <n v="0"/>
    <n v="0"/>
    <x v="1"/>
  </r>
  <r>
    <x v="3"/>
    <x v="1"/>
    <d v="2023-02-02T00:00:00"/>
    <s v="DIJOUS"/>
    <s v="NO"/>
    <s v="NO"/>
    <d v="1899-12-30T15:30:00"/>
    <d v="1899-12-30T20:30:00"/>
    <x v="1"/>
    <n v="1"/>
    <x v="411"/>
    <m/>
    <m/>
    <m/>
    <m/>
    <n v="95"/>
    <n v="0"/>
    <n v="0"/>
    <n v="95"/>
    <x v="2"/>
    <n v="0"/>
    <n v="0"/>
    <n v="0"/>
    <n v="0"/>
    <x v="1"/>
  </r>
  <r>
    <x v="3"/>
    <x v="1"/>
    <d v="2023-02-03T00:00:00"/>
    <s v="DIVENDRES"/>
    <s v="NO"/>
    <s v="NO"/>
    <d v="1899-12-30T15:30:00"/>
    <d v="1899-12-30T20:30:00"/>
    <x v="1"/>
    <n v="1"/>
    <x v="412"/>
    <m/>
    <m/>
    <m/>
    <m/>
    <n v="140"/>
    <n v="0"/>
    <n v="0"/>
    <n v="140"/>
    <x v="2"/>
    <n v="0"/>
    <n v="0"/>
    <n v="0"/>
    <n v="0"/>
    <x v="1"/>
  </r>
  <r>
    <x v="3"/>
    <x v="1"/>
    <d v="2023-02-03T00:00:00"/>
    <s v="DIVENDRES"/>
    <s v="NO"/>
    <s v="NO"/>
    <d v="1899-12-30T21:30:00"/>
    <d v="1899-12-30T02:30:00"/>
    <x v="2"/>
    <n v="1"/>
    <x v="413"/>
    <m/>
    <m/>
    <m/>
    <m/>
    <n v="200"/>
    <n v="0"/>
    <n v="0"/>
    <n v="200"/>
    <x v="2"/>
    <n v="0"/>
    <n v="0"/>
    <n v="0"/>
    <n v="0"/>
    <x v="1"/>
  </r>
  <r>
    <x v="3"/>
    <x v="1"/>
    <d v="2023-02-04T00:00:00"/>
    <s v="DISSABTE"/>
    <s v="NO"/>
    <s v="NO"/>
    <d v="1899-12-30T15:30:00"/>
    <d v="1899-12-30T20:30:00"/>
    <x v="1"/>
    <n v="1"/>
    <x v="414"/>
    <m/>
    <m/>
    <m/>
    <m/>
    <n v="150"/>
    <n v="0"/>
    <n v="0"/>
    <n v="150"/>
    <x v="1"/>
    <n v="50"/>
    <n v="0"/>
    <n v="0"/>
    <n v="0"/>
    <x v="1"/>
  </r>
  <r>
    <x v="3"/>
    <x v="1"/>
    <d v="2023-02-04T00:00:00"/>
    <s v="DISSABTE"/>
    <s v="NO"/>
    <s v="NO"/>
    <d v="1899-12-30T21:30:00"/>
    <d v="1899-12-30T02:30:00"/>
    <x v="2"/>
    <n v="1"/>
    <x v="415"/>
    <m/>
    <m/>
    <m/>
    <m/>
    <n v="200"/>
    <n v="0"/>
    <n v="0"/>
    <n v="200"/>
    <x v="2"/>
    <n v="0"/>
    <n v="0"/>
    <n v="0"/>
    <n v="0"/>
    <x v="1"/>
  </r>
  <r>
    <x v="3"/>
    <x v="1"/>
    <d v="2023-02-05T00:00:00"/>
    <s v="DIUMENGE"/>
    <s v="NO"/>
    <s v="NO"/>
    <d v="1899-12-30T15:30:00"/>
    <d v="1899-12-30T20:30:00"/>
    <x v="1"/>
    <n v="1"/>
    <x v="416"/>
    <m/>
    <m/>
    <m/>
    <m/>
    <n v="150"/>
    <n v="0"/>
    <n v="0"/>
    <n v="150"/>
    <x v="2"/>
    <n v="0"/>
    <n v="0"/>
    <n v="0"/>
    <n v="0"/>
    <x v="1"/>
  </r>
  <r>
    <x v="3"/>
    <x v="1"/>
    <d v="2023-02-10T00:00:00"/>
    <s v="DIVENDRES"/>
    <s v="NO"/>
    <s v="NO"/>
    <d v="1899-12-30T21:30:00"/>
    <d v="1899-12-30T02:30:00"/>
    <x v="2"/>
    <n v="1"/>
    <x v="407"/>
    <m/>
    <m/>
    <m/>
    <m/>
    <n v="200"/>
    <n v="0"/>
    <n v="0"/>
    <n v="200"/>
    <x v="2"/>
    <n v="0"/>
    <n v="0"/>
    <n v="0"/>
    <n v="0"/>
    <x v="1"/>
  </r>
  <r>
    <x v="3"/>
    <x v="1"/>
    <d v="2023-02-11T00:00:00"/>
    <s v="DISSABTE"/>
    <s v="NO"/>
    <s v="NO"/>
    <d v="1899-12-30T09:30:00"/>
    <d v="1899-12-30T14:30:00"/>
    <x v="3"/>
    <n v="1"/>
    <x v="417"/>
    <m/>
    <m/>
    <m/>
    <m/>
    <n v="150"/>
    <n v="0"/>
    <n v="0"/>
    <n v="150"/>
    <x v="2"/>
    <n v="0"/>
    <n v="0"/>
    <n v="0"/>
    <n v="0"/>
    <x v="1"/>
  </r>
  <r>
    <x v="3"/>
    <x v="1"/>
    <d v="2023-02-11T00:00:00"/>
    <s v="DISSABTE"/>
    <s v="NO"/>
    <s v="NO"/>
    <d v="1899-12-30T15:30:00"/>
    <d v="1899-12-30T20:30:00"/>
    <x v="1"/>
    <n v="1"/>
    <x v="418"/>
    <m/>
    <m/>
    <m/>
    <m/>
    <n v="150"/>
    <n v="0"/>
    <n v="0"/>
    <n v="150"/>
    <x v="2"/>
    <n v="0"/>
    <n v="0"/>
    <n v="0"/>
    <n v="0"/>
    <x v="1"/>
  </r>
  <r>
    <x v="3"/>
    <x v="1"/>
    <d v="2023-02-11T00:00:00"/>
    <s v="DISSABTE"/>
    <s v="NO"/>
    <s v="NO"/>
    <d v="1899-12-30T21:30:00"/>
    <d v="1899-12-30T02:30:00"/>
    <x v="2"/>
    <n v="1"/>
    <x v="419"/>
    <m/>
    <m/>
    <m/>
    <m/>
    <n v="200"/>
    <n v="0"/>
    <n v="0"/>
    <n v="200"/>
    <x v="2"/>
    <n v="0"/>
    <n v="0"/>
    <n v="0"/>
    <n v="0"/>
    <x v="1"/>
  </r>
  <r>
    <x v="3"/>
    <x v="1"/>
    <d v="2023-02-12T00:00:00"/>
    <s v="DIUMENGE"/>
    <s v="NO"/>
    <s v="NO"/>
    <d v="1899-12-30T09:30:00"/>
    <d v="1899-12-30T14:30:00"/>
    <x v="3"/>
    <n v="1"/>
    <x v="420"/>
    <m/>
    <m/>
    <m/>
    <m/>
    <n v="150"/>
    <n v="0"/>
    <n v="0"/>
    <n v="150"/>
    <x v="2"/>
    <n v="0"/>
    <n v="0"/>
    <n v="0"/>
    <n v="0"/>
    <x v="1"/>
  </r>
  <r>
    <x v="3"/>
    <x v="1"/>
    <d v="2023-02-17T00:00:00"/>
    <s v="DIVENDRES"/>
    <s v="NO"/>
    <s v="NO"/>
    <d v="1899-12-30T21:30:00"/>
    <d v="1899-12-30T02:30:00"/>
    <x v="2"/>
    <n v="1"/>
    <x v="102"/>
    <m/>
    <m/>
    <m/>
    <m/>
    <n v="200"/>
    <n v="0"/>
    <n v="0"/>
    <n v="200"/>
    <x v="2"/>
    <n v="0"/>
    <n v="0"/>
    <n v="0"/>
    <n v="0"/>
    <x v="1"/>
  </r>
  <r>
    <x v="3"/>
    <x v="1"/>
    <d v="2023-02-18T00:00:00"/>
    <s v="DIVENDRES"/>
    <s v="NO"/>
    <s v="SI"/>
    <d v="1899-12-30T09:30:00"/>
    <d v="1899-12-30T14:30:00"/>
    <x v="3"/>
    <n v="1"/>
    <x v="421"/>
    <m/>
    <m/>
    <m/>
    <m/>
    <n v="150"/>
    <n v="0"/>
    <n v="0"/>
    <n v="150"/>
    <x v="2"/>
    <n v="0"/>
    <n v="0"/>
    <n v="0"/>
    <n v="0"/>
    <x v="1"/>
  </r>
  <r>
    <x v="3"/>
    <x v="1"/>
    <d v="2023-02-18T00:00:00"/>
    <s v="DIVENDRES"/>
    <s v="NO"/>
    <s v="SI"/>
    <d v="1899-12-30T15:30:00"/>
    <d v="1899-12-30T20:30:00"/>
    <x v="1"/>
    <n v="1"/>
    <x v="422"/>
    <m/>
    <m/>
    <m/>
    <m/>
    <n v="150"/>
    <n v="0"/>
    <n v="0"/>
    <n v="150"/>
    <x v="2"/>
    <n v="0"/>
    <n v="0"/>
    <n v="0"/>
    <n v="0"/>
    <x v="1"/>
  </r>
  <r>
    <x v="3"/>
    <x v="1"/>
    <d v="2023-02-18T00:00:00"/>
    <s v="DIVENDRES"/>
    <s v="NO"/>
    <s v="SI"/>
    <d v="1899-12-30T21:30:00"/>
    <d v="1899-12-30T02:30:00"/>
    <x v="2"/>
    <n v="1"/>
    <x v="423"/>
    <m/>
    <m/>
    <m/>
    <m/>
    <n v="200"/>
    <n v="0"/>
    <n v="0"/>
    <n v="200"/>
    <x v="2"/>
    <n v="0"/>
    <n v="0"/>
    <n v="0"/>
    <n v="0"/>
    <x v="0"/>
  </r>
  <r>
    <x v="3"/>
    <x v="1"/>
    <d v="2023-02-19T00:00:00"/>
    <s v="DIVENDRES"/>
    <s v="NO"/>
    <s v="NO"/>
    <d v="1899-12-30T09:30:00"/>
    <d v="1899-12-30T20:30:00"/>
    <x v="5"/>
    <n v="1"/>
    <x v="330"/>
    <m/>
    <m/>
    <m/>
    <m/>
    <n v="280"/>
    <n v="0"/>
    <n v="0"/>
    <n v="280"/>
    <x v="2"/>
    <n v="0"/>
    <n v="0"/>
    <n v="0"/>
    <n v="0"/>
    <x v="1"/>
  </r>
  <r>
    <x v="3"/>
    <x v="1"/>
    <d v="2023-02-20T00:00:00"/>
    <s v="DILLUNS"/>
    <s v="NO"/>
    <s v="NO"/>
    <d v="1899-12-30T15:30:00"/>
    <d v="1899-12-30T20:30:00"/>
    <x v="1"/>
    <n v="1"/>
    <x v="424"/>
    <m/>
    <m/>
    <m/>
    <m/>
    <n v="95"/>
    <n v="0"/>
    <n v="0"/>
    <n v="95"/>
    <x v="2"/>
    <n v="0"/>
    <n v="0"/>
    <n v="0"/>
    <n v="0"/>
    <x v="1"/>
  </r>
  <r>
    <x v="3"/>
    <x v="1"/>
    <d v="2023-02-22T00:00:00"/>
    <s v="DIMECRES"/>
    <s v="NO"/>
    <s v="NO"/>
    <d v="1899-12-30T15:30:00"/>
    <d v="1899-12-30T20:30:00"/>
    <x v="1"/>
    <n v="1"/>
    <x v="29"/>
    <m/>
    <m/>
    <m/>
    <m/>
    <n v="95"/>
    <n v="0"/>
    <n v="0"/>
    <n v="95"/>
    <x v="2"/>
    <n v="0"/>
    <n v="0"/>
    <n v="0"/>
    <n v="0"/>
    <x v="1"/>
  </r>
  <r>
    <x v="3"/>
    <x v="1"/>
    <d v="2023-02-25T00:00:00"/>
    <s v="DISSABTE"/>
    <s v="NO"/>
    <s v="NO"/>
    <d v="1899-12-30T15:30:00"/>
    <d v="1899-12-30T20:30:00"/>
    <x v="1"/>
    <n v="1"/>
    <x v="425"/>
    <m/>
    <m/>
    <m/>
    <m/>
    <n v="150"/>
    <n v="0"/>
    <n v="0"/>
    <n v="150"/>
    <x v="2"/>
    <n v="0"/>
    <n v="0"/>
    <n v="0"/>
    <n v="0"/>
    <x v="1"/>
  </r>
  <r>
    <x v="3"/>
    <x v="1"/>
    <d v="2023-02-25T00:00:00"/>
    <s v="DISSABTE"/>
    <s v="NO"/>
    <s v="NO"/>
    <d v="1899-12-30T21:30:00"/>
    <d v="1899-12-30T02:30:00"/>
    <x v="2"/>
    <n v="1"/>
    <x v="426"/>
    <m/>
    <m/>
    <m/>
    <m/>
    <n v="200"/>
    <n v="0"/>
    <n v="0"/>
    <n v="200"/>
    <x v="2"/>
    <n v="0"/>
    <n v="0"/>
    <n v="0"/>
    <n v="0"/>
    <x v="1"/>
  </r>
  <r>
    <x v="3"/>
    <x v="1"/>
    <d v="2023-02-26T00:00:00"/>
    <s v="DIUMENGE"/>
    <s v="NO"/>
    <s v="NO"/>
    <d v="1899-12-30T15:30:00"/>
    <d v="1899-12-30T20:30:00"/>
    <x v="1"/>
    <n v="1"/>
    <x v="427"/>
    <m/>
    <m/>
    <m/>
    <m/>
    <n v="150"/>
    <n v="0"/>
    <n v="0"/>
    <n v="150"/>
    <x v="2"/>
    <n v="0"/>
    <n v="0"/>
    <n v="0"/>
    <n v="0"/>
    <x v="1"/>
  </r>
  <r>
    <x v="3"/>
    <x v="2"/>
    <d v="2023-03-04T00:00:00"/>
    <s v="DISSABTE"/>
    <s v="NO"/>
    <s v="NO"/>
    <d v="1899-12-30T15:30:00"/>
    <d v="1899-12-30T20:30:00"/>
    <x v="1"/>
    <n v="1"/>
    <x v="428"/>
    <m/>
    <m/>
    <m/>
    <m/>
    <n v="150"/>
    <n v="0"/>
    <n v="0"/>
    <n v="150"/>
    <x v="2"/>
    <n v="0"/>
    <n v="0"/>
    <n v="0"/>
    <n v="0"/>
    <x v="1"/>
  </r>
  <r>
    <x v="3"/>
    <x v="2"/>
    <d v="2023-03-11T00:00:00"/>
    <s v="DISSABTE"/>
    <s v="NO"/>
    <s v="NO"/>
    <d v="1899-12-30T21:30:00"/>
    <d v="1899-12-30T02:30:00"/>
    <x v="2"/>
    <n v="1"/>
    <x v="429"/>
    <m/>
    <m/>
    <m/>
    <m/>
    <n v="200"/>
    <n v="0"/>
    <n v="0"/>
    <n v="200"/>
    <x v="2"/>
    <n v="0"/>
    <n v="0"/>
    <n v="0"/>
    <n v="0"/>
    <x v="1"/>
  </r>
  <r>
    <x v="3"/>
    <x v="2"/>
    <d v="2023-03-17T00:00:00"/>
    <s v="DIVENDRES"/>
    <s v="NO"/>
    <s v="NO"/>
    <d v="1899-12-30T15:30:00"/>
    <d v="1899-12-30T20:30:00"/>
    <x v="1"/>
    <n v="1"/>
    <x v="230"/>
    <m/>
    <m/>
    <m/>
    <m/>
    <n v="140"/>
    <n v="0"/>
    <n v="0"/>
    <n v="140"/>
    <x v="2"/>
    <n v="0"/>
    <n v="0"/>
    <n v="0"/>
    <n v="0"/>
    <x v="1"/>
  </r>
  <r>
    <x v="3"/>
    <x v="2"/>
    <d v="2023-03-18T00:00:00"/>
    <s v="DISSABTE"/>
    <s v="NO"/>
    <s v="NO"/>
    <d v="1899-12-30T09:30:00"/>
    <d v="1899-12-30T14:30:00"/>
    <x v="3"/>
    <n v="1"/>
    <x v="430"/>
    <m/>
    <m/>
    <m/>
    <m/>
    <n v="150"/>
    <n v="0"/>
    <n v="0"/>
    <n v="150"/>
    <x v="1"/>
    <n v="50"/>
    <n v="0"/>
    <n v="0"/>
    <n v="0"/>
    <x v="42"/>
  </r>
  <r>
    <x v="3"/>
    <x v="2"/>
    <d v="2023-03-18T00:00:00"/>
    <s v="DISSABTE"/>
    <s v="NO"/>
    <s v="NO"/>
    <d v="1899-12-30T15:30:00"/>
    <d v="1899-12-30T20:30:00"/>
    <x v="1"/>
    <n v="1"/>
    <x v="431"/>
    <m/>
    <m/>
    <m/>
    <m/>
    <n v="150"/>
    <n v="0"/>
    <n v="0"/>
    <n v="150"/>
    <x v="2"/>
    <n v="0"/>
    <n v="0"/>
    <n v="0"/>
    <n v="0"/>
    <x v="1"/>
  </r>
  <r>
    <x v="3"/>
    <x v="2"/>
    <d v="2023-03-19T00:00:00"/>
    <s v="DIUMENGE"/>
    <s v="NO"/>
    <s v="NO"/>
    <d v="1899-12-30T15:30:00"/>
    <d v="1899-12-30T20:30:00"/>
    <x v="1"/>
    <n v="1"/>
    <x v="311"/>
    <m/>
    <m/>
    <m/>
    <m/>
    <n v="150"/>
    <n v="0"/>
    <n v="0"/>
    <n v="150"/>
    <x v="2"/>
    <n v="0"/>
    <n v="0"/>
    <n v="0"/>
    <n v="0"/>
    <x v="1"/>
  </r>
  <r>
    <x v="3"/>
    <x v="2"/>
    <d v="2023-03-25T00:00:00"/>
    <s v="DISSABTE"/>
    <s v="NO"/>
    <s v="NO"/>
    <d v="1899-12-30T09:30:00"/>
    <d v="1899-12-30T14:30:00"/>
    <x v="3"/>
    <n v="1"/>
    <x v="432"/>
    <m/>
    <m/>
    <m/>
    <m/>
    <n v="150"/>
    <n v="0"/>
    <n v="0"/>
    <n v="150"/>
    <x v="2"/>
    <n v="0"/>
    <n v="0"/>
    <n v="0"/>
    <n v="0"/>
    <x v="1"/>
  </r>
  <r>
    <x v="3"/>
    <x v="2"/>
    <d v="2023-03-25T00:00:00"/>
    <s v="DISSABTE"/>
    <s v="NO"/>
    <s v="NO"/>
    <d v="1899-12-30T15:30:00"/>
    <d v="1899-12-30T20:30:00"/>
    <x v="1"/>
    <n v="1"/>
    <x v="433"/>
    <m/>
    <m/>
    <m/>
    <m/>
    <n v="150"/>
    <n v="0"/>
    <n v="0"/>
    <n v="150"/>
    <x v="2"/>
    <n v="0"/>
    <n v="0"/>
    <n v="0"/>
    <n v="0"/>
    <x v="1"/>
  </r>
  <r>
    <x v="3"/>
    <x v="2"/>
    <d v="2023-03-31T00:00:00"/>
    <s v="DIVENDRES"/>
    <s v="NO"/>
    <s v="NO"/>
    <d v="1899-12-30T15:30:00"/>
    <d v="1899-12-30T20:30:00"/>
    <x v="1"/>
    <n v="1"/>
    <x v="430"/>
    <m/>
    <m/>
    <m/>
    <m/>
    <n v="140"/>
    <n v="0"/>
    <n v="0"/>
    <n v="140"/>
    <x v="1"/>
    <n v="50"/>
    <n v="0"/>
    <n v="0"/>
    <n v="0"/>
    <x v="42"/>
  </r>
  <r>
    <x v="3"/>
    <x v="3"/>
    <d v="2023-04-01T00:00:00"/>
    <s v="DISSABTE"/>
    <s v="NO"/>
    <s v="NO"/>
    <d v="1899-12-30T15:30:00"/>
    <d v="1899-12-30T20:30:00"/>
    <x v="1"/>
    <n v="1"/>
    <x v="434"/>
    <m/>
    <m/>
    <m/>
    <m/>
    <n v="150"/>
    <n v="0"/>
    <n v="0"/>
    <n v="150"/>
    <x v="2"/>
    <n v="0"/>
    <n v="0"/>
    <n v="0"/>
    <n v="0"/>
    <x v="1"/>
  </r>
  <r>
    <x v="3"/>
    <x v="3"/>
    <d v="2023-04-01T00:00:00"/>
    <s v="DISSABTE"/>
    <s v="NO"/>
    <s v="NO"/>
    <d v="1899-12-30T21:30:00"/>
    <d v="1899-12-30T02:30:00"/>
    <x v="2"/>
    <n v="1"/>
    <x v="435"/>
    <m/>
    <m/>
    <m/>
    <m/>
    <n v="200"/>
    <n v="0"/>
    <n v="0"/>
    <n v="200"/>
    <x v="2"/>
    <n v="0"/>
    <n v="0"/>
    <n v="0"/>
    <n v="0"/>
    <x v="1"/>
  </r>
  <r>
    <x v="3"/>
    <x v="3"/>
    <d v="2023-04-13T00:00:00"/>
    <s v="DIJOUS"/>
    <s v="NO"/>
    <s v="NO"/>
    <d v="1899-12-30T15:30:00"/>
    <d v="1899-12-30T20:30:00"/>
    <x v="1"/>
    <n v="1"/>
    <x v="428"/>
    <m/>
    <m/>
    <m/>
    <m/>
    <n v="95"/>
    <n v="0"/>
    <n v="0"/>
    <n v="95"/>
    <x v="2"/>
    <n v="0"/>
    <n v="0"/>
    <n v="0"/>
    <n v="0"/>
    <x v="1"/>
  </r>
  <r>
    <x v="3"/>
    <x v="3"/>
    <d v="2023-04-15T00:00:00"/>
    <s v="DISSABTE"/>
    <s v="NO"/>
    <s v="NO"/>
    <d v="1899-12-30T21:30:00"/>
    <d v="1899-12-30T02:30:00"/>
    <x v="2"/>
    <n v="1"/>
    <x v="111"/>
    <m/>
    <m/>
    <m/>
    <m/>
    <n v="200"/>
    <n v="0"/>
    <n v="0"/>
    <n v="200"/>
    <x v="2"/>
    <n v="0"/>
    <n v="0"/>
    <n v="0"/>
    <n v="0"/>
    <x v="1"/>
  </r>
  <r>
    <x v="3"/>
    <x v="3"/>
    <d v="2023-04-29T00:00:00"/>
    <s v="DISSABTE"/>
    <s v="NO"/>
    <s v="NO"/>
    <d v="1899-12-30T21:30:00"/>
    <d v="1899-12-30T02:30:00"/>
    <x v="2"/>
    <n v="1"/>
    <x v="436"/>
    <m/>
    <m/>
    <m/>
    <m/>
    <n v="200"/>
    <n v="0"/>
    <n v="0"/>
    <n v="200"/>
    <x v="2"/>
    <n v="0"/>
    <n v="0"/>
    <n v="0"/>
    <n v="0"/>
    <x v="1"/>
  </r>
  <r>
    <x v="3"/>
    <x v="4"/>
    <d v="2023-05-26T00:00:00"/>
    <s v="DIVENDRES"/>
    <s v="NO"/>
    <s v="NO"/>
    <d v="1899-12-30T09:30:00"/>
    <d v="1899-12-30T02:30:00"/>
    <x v="5"/>
    <n v="3"/>
    <x v="324"/>
    <m/>
    <m/>
    <m/>
    <m/>
    <n v="350"/>
    <n v="0"/>
    <n v="0"/>
    <n v="350"/>
    <x v="2"/>
    <n v="0"/>
    <n v="0"/>
    <n v="0"/>
    <n v="0"/>
    <x v="1"/>
  </r>
  <r>
    <x v="3"/>
    <x v="5"/>
    <d v="2023-06-09T00:00:00"/>
    <s v="DIVENDRES"/>
    <s v="NO"/>
    <s v="NO"/>
    <d v="1899-12-30T15:30:00"/>
    <d v="1899-12-30T02:30:00"/>
    <x v="4"/>
    <n v="2"/>
    <x v="437"/>
    <m/>
    <m/>
    <m/>
    <m/>
    <n v="300"/>
    <n v="0"/>
    <n v="0"/>
    <n v="300"/>
    <x v="2"/>
    <n v="0"/>
    <n v="0"/>
    <n v="0"/>
    <n v="0"/>
    <x v="1"/>
  </r>
  <r>
    <x v="3"/>
    <x v="5"/>
    <d v="2023-06-17T00:00:00"/>
    <s v="DISSABTE"/>
    <s v="NO"/>
    <s v="NO"/>
    <d v="1899-12-30T21:30:00"/>
    <d v="1899-12-30T02:30:00"/>
    <x v="2"/>
    <n v="1"/>
    <x v="438"/>
    <m/>
    <m/>
    <m/>
    <m/>
    <n v="200"/>
    <n v="0"/>
    <n v="0"/>
    <n v="200"/>
    <x v="2"/>
    <n v="0"/>
    <n v="0"/>
    <n v="0"/>
    <n v="0"/>
    <x v="1"/>
  </r>
  <r>
    <x v="3"/>
    <x v="5"/>
    <d v="2023-06-23T00:00:00"/>
    <s v="DIVENDRES"/>
    <s v="NO"/>
    <s v="SI"/>
    <d v="1899-12-30T15:30:00"/>
    <d v="1899-12-30T02:30:00"/>
    <x v="2"/>
    <n v="1"/>
    <x v="104"/>
    <m/>
    <m/>
    <m/>
    <m/>
    <n v="300"/>
    <n v="0"/>
    <n v="0"/>
    <n v="300"/>
    <x v="2"/>
    <n v="0"/>
    <n v="0"/>
    <n v="0"/>
    <n v="0"/>
    <x v="1"/>
  </r>
  <r>
    <x v="3"/>
    <x v="9"/>
    <d v="2023-10-31T00:00:00"/>
    <s v="DIMARTS"/>
    <s v="NO"/>
    <s v="SI"/>
    <d v="1899-12-30T21:30:00"/>
    <d v="1899-12-30T02:30:00"/>
    <x v="2"/>
    <n v="1"/>
    <x v="111"/>
    <m/>
    <m/>
    <m/>
    <m/>
    <n v="250"/>
    <n v="0"/>
    <n v="0"/>
    <n v="250"/>
    <x v="2"/>
    <n v="0"/>
    <n v="0"/>
    <n v="0"/>
    <n v="0"/>
    <x v="15"/>
  </r>
  <r>
    <x v="3"/>
    <x v="11"/>
    <d v="2023-12-24T00:00:00"/>
    <s v="DIUMENGE"/>
    <s v="SI"/>
    <s v="SI"/>
    <d v="1899-12-30T20:30:00"/>
    <d v="1899-12-30T02:30:00"/>
    <x v="2"/>
    <n v="1"/>
    <x v="198"/>
    <m/>
    <m/>
    <m/>
    <m/>
    <n v="350"/>
    <n v="0"/>
    <n v="0"/>
    <n v="350"/>
    <x v="2"/>
    <n v="0"/>
    <n v="0"/>
    <n v="0"/>
    <n v="0"/>
    <x v="33"/>
  </r>
  <r>
    <x v="3"/>
    <x v="11"/>
    <d v="2023-12-25T00:00:00"/>
    <s v="DILLUNS"/>
    <s v="SI"/>
    <s v="SI"/>
    <d v="1899-12-30T09:30:00"/>
    <d v="1899-12-30T20:30:00"/>
    <x v="5"/>
    <n v="2"/>
    <x v="229"/>
    <m/>
    <m/>
    <m/>
    <m/>
    <n v="320"/>
    <n v="0"/>
    <n v="0"/>
    <n v="320"/>
    <x v="2"/>
    <n v="0"/>
    <n v="0"/>
    <n v="0"/>
    <n v="0"/>
    <x v="1"/>
  </r>
  <r>
    <x v="3"/>
    <x v="11"/>
    <d v="2023-12-26T00:00:00"/>
    <s v="DIMARTS"/>
    <s v="SI"/>
    <s v="SI"/>
    <d v="1899-12-30T11:00:00"/>
    <d v="1899-12-30T20:30:00"/>
    <x v="5"/>
    <n v="2"/>
    <x v="384"/>
    <m/>
    <m/>
    <m/>
    <m/>
    <n v="300"/>
    <n v="0"/>
    <n v="0"/>
    <n v="300"/>
    <x v="2"/>
    <n v="0"/>
    <n v="0"/>
    <n v="0"/>
    <n v="0"/>
    <x v="35"/>
  </r>
  <r>
    <x v="3"/>
    <x v="11"/>
    <d v="2023-12-31T00:00:00"/>
    <s v="DIUMENGE"/>
    <s v="NO"/>
    <s v="SI"/>
    <d v="1899-12-30T15:30:00"/>
    <d v="1899-12-30T05:30:00"/>
    <x v="4"/>
    <n v="2"/>
    <x v="39"/>
    <m/>
    <m/>
    <m/>
    <m/>
    <n v="600"/>
    <n v="0"/>
    <n v="0"/>
    <n v="600"/>
    <x v="2"/>
    <n v="0"/>
    <n v="0"/>
    <n v="0"/>
    <n v="0"/>
    <x v="3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7">
  <r>
    <x v="0"/>
    <x v="0"/>
    <d v="2020-01-02T00:00:00"/>
    <x v="0"/>
    <x v="0"/>
    <s v="Anualitat Pàgina web - 2 anys"/>
    <n v="499"/>
    <n v="499"/>
    <n v="0"/>
    <m/>
  </r>
  <r>
    <x v="0"/>
    <x v="0"/>
    <d v="2020-01-07T00:00:00"/>
    <x v="1"/>
    <x v="0"/>
    <s v="Rebut anual assegurança"/>
    <n v="362.22"/>
    <n v="362.22"/>
    <n v="0"/>
    <m/>
  </r>
  <r>
    <x v="0"/>
    <x v="0"/>
    <d v="2020-01-10T00:00:00"/>
    <x v="2"/>
    <x v="1"/>
    <s v="Productes de neteja"/>
    <n v="36.03"/>
    <n v="36.03"/>
    <n v="0"/>
    <m/>
  </r>
  <r>
    <x v="0"/>
    <x v="0"/>
    <d v="2020-01-12T00:00:00"/>
    <x v="0"/>
    <x v="0"/>
    <s v="Logo"/>
    <n v="250"/>
    <n v="0"/>
    <n v="250"/>
    <m/>
  </r>
  <r>
    <x v="0"/>
    <x v="0"/>
    <d v="2020-01-18T00:00:00"/>
    <x v="3"/>
    <x v="1"/>
    <s v="Arreglo porta lavabo"/>
    <n v="35"/>
    <n v="0"/>
    <n v="35"/>
    <m/>
  </r>
  <r>
    <x v="0"/>
    <x v="0"/>
    <d v="2020-01-19T00:00:00"/>
    <x v="4"/>
    <x v="0"/>
    <s v="Lloguer gener 2020"/>
    <n v="506"/>
    <n v="306"/>
    <n v="200"/>
    <m/>
  </r>
  <r>
    <x v="0"/>
    <x v="0"/>
    <d v="2020-01-27T00:00:00"/>
    <x v="3"/>
    <x v="1"/>
    <s v="Arreglo porta principal"/>
    <n v="45"/>
    <n v="0"/>
    <n v="45"/>
    <m/>
  </r>
  <r>
    <x v="0"/>
    <x v="0"/>
    <d v="2020-01-28T00:00:00"/>
    <x v="4"/>
    <x v="0"/>
    <s v="INCASOL"/>
    <n v="600"/>
    <n v="600"/>
    <n v="0"/>
    <m/>
  </r>
  <r>
    <x v="0"/>
    <x v="0"/>
    <d v="2020-01-29T00:00:00"/>
    <x v="5"/>
    <x v="2"/>
    <s v="Nevera"/>
    <n v="377"/>
    <n v="377"/>
    <n v="0"/>
    <m/>
  </r>
  <r>
    <x v="0"/>
    <x v="0"/>
    <d v="2020-01-30T00:00:00"/>
    <x v="2"/>
    <x v="1"/>
    <s v="Flyers"/>
    <n v="64"/>
    <n v="0"/>
    <n v="64"/>
    <m/>
  </r>
  <r>
    <x v="0"/>
    <x v="0"/>
    <d v="2020-01-31T00:00:00"/>
    <x v="6"/>
    <x v="0"/>
    <s v="Qutoa Gener 2020"/>
    <n v="67.540000000000006"/>
    <n v="67.540000000000006"/>
    <n v="0"/>
    <m/>
  </r>
  <r>
    <x v="0"/>
    <x v="0"/>
    <d v="2020-01-31T00:00:00"/>
    <x v="7"/>
    <x v="0"/>
    <s v="Quota Gener 2020"/>
    <n v="25"/>
    <n v="25"/>
    <n v="0"/>
    <m/>
  </r>
  <r>
    <x v="0"/>
    <x v="0"/>
    <d v="2020-01-31T00:00:00"/>
    <x v="8"/>
    <x v="1"/>
    <s v="Netejes Gener 2020"/>
    <n v="150"/>
    <n v="0"/>
    <n v="150"/>
    <m/>
  </r>
  <r>
    <x v="0"/>
    <x v="0"/>
    <d v="2020-01-31T00:00:00"/>
    <x v="9"/>
    <x v="1"/>
    <s v="Quota Gener 2020"/>
    <n v="27.16"/>
    <n v="27.16"/>
    <n v="0"/>
    <m/>
  </r>
  <r>
    <x v="0"/>
    <x v="1"/>
    <d v="2020-02-17T00:00:00"/>
    <x v="4"/>
    <x v="0"/>
    <s v="Lloguer febrer 2020"/>
    <n v="506"/>
    <n v="306"/>
    <n v="200"/>
    <m/>
  </r>
  <r>
    <x v="0"/>
    <x v="1"/>
    <d v="2020-02-18T00:00:00"/>
    <x v="2"/>
    <x v="1"/>
    <s v="Lampara projector"/>
    <n v="90"/>
    <n v="0"/>
    <n v="90"/>
    <m/>
  </r>
  <r>
    <x v="0"/>
    <x v="1"/>
    <d v="2020-02-19T00:00:00"/>
    <x v="8"/>
    <x v="1"/>
    <s v="Ania febrer"/>
    <n v="120"/>
    <n v="0"/>
    <n v="120"/>
    <m/>
  </r>
  <r>
    <x v="0"/>
    <x v="1"/>
    <d v="2020-02-22T00:00:00"/>
    <x v="8"/>
    <x v="1"/>
    <s v="Netejes Febrer 2020"/>
    <n v="175"/>
    <n v="0"/>
    <n v="175"/>
    <m/>
  </r>
  <r>
    <x v="0"/>
    <x v="1"/>
    <d v="2020-02-22T00:00:00"/>
    <x v="5"/>
    <x v="2"/>
    <s v="Taules Leroy Merlin"/>
    <n v="131.53"/>
    <n v="131.53"/>
    <n v="0"/>
    <m/>
  </r>
  <r>
    <x v="0"/>
    <x v="1"/>
    <d v="2020-02-22T00:00:00"/>
    <x v="2"/>
    <x v="1"/>
    <s v="Draps Ikea"/>
    <n v="3"/>
    <n v="3"/>
    <n v="0"/>
    <m/>
  </r>
  <r>
    <x v="0"/>
    <x v="1"/>
    <d v="2020-02-22T00:00:00"/>
    <x v="5"/>
    <x v="2"/>
    <s v="Secamans Amazon"/>
    <n v="40.06"/>
    <n v="40.06"/>
    <n v="0"/>
    <m/>
  </r>
  <r>
    <x v="0"/>
    <x v="1"/>
    <d v="2020-02-28T00:00:00"/>
    <x v="6"/>
    <x v="0"/>
    <s v="Quota Febrer 2020"/>
    <n v="67.540000000000006"/>
    <n v="67.540000000000006"/>
    <n v="0"/>
    <m/>
  </r>
  <r>
    <x v="0"/>
    <x v="1"/>
    <d v="2020-02-28T00:00:00"/>
    <x v="7"/>
    <x v="0"/>
    <s v="Quota Febrer 2020"/>
    <n v="53.8"/>
    <n v="53.8"/>
    <n v="0"/>
    <m/>
  </r>
  <r>
    <x v="0"/>
    <x v="1"/>
    <d v="2020-02-28T00:00:00"/>
    <x v="9"/>
    <x v="1"/>
    <s v="Quota Febrer 2020"/>
    <n v="27.16"/>
    <n v="27.16"/>
    <n v="0"/>
    <m/>
  </r>
  <r>
    <x v="0"/>
    <x v="2"/>
    <d v="2020-03-06T00:00:00"/>
    <x v="4"/>
    <x v="0"/>
    <s v="Lloguer març 2020"/>
    <n v="506"/>
    <n v="306"/>
    <n v="200"/>
    <m/>
  </r>
  <r>
    <x v="0"/>
    <x v="2"/>
    <d v="2020-03-09T00:00:00"/>
    <x v="2"/>
    <x v="1"/>
    <s v="Pintures pel trono"/>
    <n v="18.61"/>
    <n v="18.61"/>
    <n v="0"/>
    <m/>
  </r>
  <r>
    <x v="0"/>
    <x v="3"/>
    <d v="2020-04-10T00:00:00"/>
    <x v="7"/>
    <x v="0"/>
    <s v="Quota Abril 2020"/>
    <n v="55.34"/>
    <n v="55.34"/>
    <n v="0"/>
    <m/>
  </r>
  <r>
    <x v="0"/>
    <x v="2"/>
    <d v="2020-03-31T00:00:00"/>
    <x v="6"/>
    <x v="0"/>
    <s v="Quota Març 2020"/>
    <n v="29.040000000000006"/>
    <n v="29.040000000000006"/>
    <n v="0"/>
    <m/>
  </r>
  <r>
    <x v="0"/>
    <x v="4"/>
    <d v="2020-05-04T00:00:00"/>
    <x v="7"/>
    <x v="0"/>
    <s v="Quota Maig 2020"/>
    <n v="57"/>
    <n v="57"/>
    <n v="0"/>
    <m/>
  </r>
  <r>
    <x v="0"/>
    <x v="4"/>
    <d v="2020-05-05T00:00:00"/>
    <x v="2"/>
    <x v="1"/>
    <s v="Revisió extintors"/>
    <n v="50.92"/>
    <n v="0"/>
    <n v="50.92"/>
    <m/>
  </r>
  <r>
    <x v="0"/>
    <x v="4"/>
    <d v="2020-05-05T00:00:00"/>
    <x v="2"/>
    <x v="1"/>
    <s v="Pintures de la sala"/>
    <n v="0"/>
    <n v="0"/>
    <n v="0"/>
    <m/>
  </r>
  <r>
    <x v="0"/>
    <x v="4"/>
    <d v="2020-05-05T00:00:00"/>
    <x v="2"/>
    <x v="1"/>
    <s v="Pintures de la sala"/>
    <n v="36.229999999999997"/>
    <n v="0"/>
    <n v="36.229999999999997"/>
    <m/>
  </r>
  <r>
    <x v="0"/>
    <x v="4"/>
    <d v="2020-05-15T00:00:00"/>
    <x v="2"/>
    <x v="1"/>
    <s v="Rètols"/>
    <n v="100"/>
    <n v="0"/>
    <n v="100"/>
    <m/>
  </r>
  <r>
    <x v="0"/>
    <x v="4"/>
    <d v="2020-05-25T00:00:00"/>
    <x v="10"/>
    <x v="0"/>
    <s v="Primer trimestre"/>
    <n v="90"/>
    <n v="0"/>
    <n v="90"/>
    <m/>
  </r>
  <r>
    <x v="0"/>
    <x v="4"/>
    <d v="2020-05-25T00:00:00"/>
    <x v="11"/>
    <x v="3"/>
    <s v="Primer trimestre IVA i IRPF"/>
    <n v="403.55"/>
    <n v="403.55"/>
    <n v="0"/>
    <m/>
  </r>
  <r>
    <x v="0"/>
    <x v="5"/>
    <d v="2020-06-04T00:00:00"/>
    <x v="7"/>
    <x v="0"/>
    <s v="Quota Juny 2020"/>
    <n v="57"/>
    <n v="57"/>
    <n v="0"/>
    <m/>
  </r>
  <r>
    <x v="0"/>
    <x v="5"/>
    <d v="2020-06-09T00:00:00"/>
    <x v="2"/>
    <x v="1"/>
    <s v="Rètols"/>
    <n v="125"/>
    <n v="0"/>
    <n v="125"/>
    <m/>
  </r>
  <r>
    <x v="0"/>
    <x v="5"/>
    <d v="2020-06-30T00:00:00"/>
    <x v="2"/>
    <x v="1"/>
    <s v="Leroy Merlin"/>
    <n v="19.079999999999998"/>
    <n v="19.079999999999998"/>
    <n v="0"/>
    <m/>
  </r>
  <r>
    <x v="0"/>
    <x v="5"/>
    <d v="2020-06-30T00:00:00"/>
    <x v="4"/>
    <x v="0"/>
    <s v="Lloguer juny 2020"/>
    <n v="152"/>
    <n v="0"/>
    <n v="152"/>
    <m/>
  </r>
  <r>
    <x v="0"/>
    <x v="6"/>
    <d v="2020-07-01T00:00:00"/>
    <x v="4"/>
    <x v="0"/>
    <s v="Lloguer juliol 2020"/>
    <n v="200"/>
    <n v="0"/>
    <n v="200"/>
    <m/>
  </r>
  <r>
    <x v="0"/>
    <x v="6"/>
    <d v="2020-07-06T00:00:00"/>
    <x v="7"/>
    <x v="0"/>
    <s v="Quota Juliol 2020"/>
    <n v="57"/>
    <n v="57"/>
    <n v="0"/>
    <m/>
  </r>
  <r>
    <x v="0"/>
    <x v="6"/>
    <d v="2020-07-22T00:00:00"/>
    <x v="2"/>
    <x v="1"/>
    <s v="Mercadona"/>
    <n v="5"/>
    <n v="0"/>
    <n v="5"/>
    <m/>
  </r>
  <r>
    <x v="0"/>
    <x v="6"/>
    <d v="2020-07-24T00:00:00"/>
    <x v="9"/>
    <x v="1"/>
    <s v="Llum segon trimestre"/>
    <n v="164.02"/>
    <n v="164.02"/>
    <n v="0"/>
    <m/>
  </r>
  <r>
    <x v="0"/>
    <x v="6"/>
    <d v="2020-07-28T00:00:00"/>
    <x v="12"/>
    <x v="1"/>
    <s v="Aigua segon trimestre"/>
    <n v="162.01"/>
    <n v="162.01"/>
    <n v="0"/>
    <m/>
  </r>
  <r>
    <x v="0"/>
    <x v="6"/>
    <d v="2020-07-28T00:00:00"/>
    <x v="4"/>
    <x v="0"/>
    <s v="Lloguer juliol 2020"/>
    <n v="306"/>
    <n v="306"/>
    <n v="0"/>
    <m/>
  </r>
  <r>
    <x v="0"/>
    <x v="6"/>
    <d v="2020-07-31T00:00:00"/>
    <x v="10"/>
    <x v="0"/>
    <s v="Segon trimestre"/>
    <n v="90"/>
    <n v="0"/>
    <n v="90"/>
    <m/>
  </r>
  <r>
    <x v="0"/>
    <x v="7"/>
    <d v="2020-08-06T00:00:00"/>
    <x v="7"/>
    <x v="0"/>
    <s v="Quota Agost 2020"/>
    <n v="60.21"/>
    <n v="60.21"/>
    <n v="0"/>
    <m/>
  </r>
  <r>
    <x v="0"/>
    <x v="7"/>
    <d v="2020-08-19T00:00:00"/>
    <x v="9"/>
    <x v="1"/>
    <s v="Prorrateig llum "/>
    <n v="130.21"/>
    <n v="130.21"/>
    <n v="0"/>
    <m/>
  </r>
  <r>
    <x v="0"/>
    <x v="7"/>
    <d v="2020-08-23T00:00:00"/>
    <x v="4"/>
    <x v="0"/>
    <s v="Lloguer agsot 2020"/>
    <n v="506"/>
    <n v="306"/>
    <n v="200"/>
    <m/>
  </r>
  <r>
    <x v="0"/>
    <x v="7"/>
    <d v="2020-08-31T00:00:00"/>
    <x v="6"/>
    <x v="0"/>
    <s v="Quota Agost 2020"/>
    <n v="33.78"/>
    <n v="33.78"/>
    <n v="0"/>
    <m/>
  </r>
  <r>
    <x v="0"/>
    <x v="7"/>
    <d v="2020-08-31T00:00:00"/>
    <x v="2"/>
    <x v="1"/>
    <s v="Gel mans"/>
    <n v="20.65"/>
    <n v="20.65"/>
    <n v="0"/>
    <m/>
  </r>
  <r>
    <x v="0"/>
    <x v="7"/>
    <d v="2020-08-31T00:00:00"/>
    <x v="2"/>
    <x v="1"/>
    <s v="mercadona"/>
    <n v="14.66"/>
    <n v="14.66"/>
    <n v="0"/>
    <m/>
  </r>
  <r>
    <x v="0"/>
    <x v="8"/>
    <d v="2020-09-04T00:00:00"/>
    <x v="7"/>
    <x v="0"/>
    <s v="Quota Setembre 2020"/>
    <n v="57"/>
    <n v="57"/>
    <n v="0"/>
    <m/>
  </r>
  <r>
    <x v="0"/>
    <x v="8"/>
    <d v="2020-09-10T00:00:00"/>
    <x v="4"/>
    <x v="0"/>
    <s v="Lloguer Setembre 2020"/>
    <n v="506"/>
    <n v="306"/>
    <n v="200"/>
    <m/>
  </r>
  <r>
    <x v="0"/>
    <x v="8"/>
    <d v="2020-09-10T00:00:00"/>
    <x v="9"/>
    <x v="1"/>
    <s v="Quota tercer trimestre 2020"/>
    <n v="81.93"/>
    <n v="81.93"/>
    <n v="0"/>
    <m/>
  </r>
  <r>
    <x v="0"/>
    <x v="8"/>
    <d v="2020-09-30T00:00:00"/>
    <x v="6"/>
    <x v="0"/>
    <s v="Quota setembre 2020"/>
    <n v="50.67"/>
    <n v="50.67"/>
    <n v="0"/>
    <m/>
  </r>
  <r>
    <x v="0"/>
    <x v="9"/>
    <d v="2020-10-06T00:00:00"/>
    <x v="7"/>
    <x v="0"/>
    <s v="Quota Octubre 2020"/>
    <n v="57"/>
    <n v="57"/>
    <n v="0"/>
    <m/>
  </r>
  <r>
    <x v="0"/>
    <x v="9"/>
    <d v="2020-10-09T00:00:00"/>
    <x v="4"/>
    <x v="0"/>
    <s v="Lloguer octubre 2020"/>
    <n v="506"/>
    <n v="306"/>
    <n v="200"/>
    <m/>
  </r>
  <r>
    <x v="0"/>
    <x v="9"/>
    <d v="2020-10-19T00:00:00"/>
    <x v="11"/>
    <x v="3"/>
    <s v="Tercer trimestre IVA i IRPF"/>
    <n v="422.99"/>
    <n v="422.99"/>
    <n v="0"/>
    <m/>
  </r>
  <r>
    <x v="0"/>
    <x v="9"/>
    <d v="2020-10-30T00:00:00"/>
    <x v="6"/>
    <x v="0"/>
    <s v="Quota octubre 2020"/>
    <n v="68.489999999999995"/>
    <n v="68.489999999999995"/>
    <n v="0"/>
    <m/>
  </r>
  <r>
    <x v="0"/>
    <x v="10"/>
    <d v="2020-11-05T00:00:00"/>
    <x v="7"/>
    <x v="0"/>
    <s v="Quota novembre 2020"/>
    <n v="57"/>
    <n v="57"/>
    <n v="0"/>
    <m/>
  </r>
  <r>
    <x v="0"/>
    <x v="11"/>
    <d v="2020-12-05T00:00:00"/>
    <x v="7"/>
    <x v="0"/>
    <s v="Quota desembre 2020"/>
    <n v="57"/>
    <n v="57"/>
    <n v="0"/>
    <m/>
  </r>
  <r>
    <x v="0"/>
    <x v="11"/>
    <d v="2020-12-28T00:00:00"/>
    <x v="10"/>
    <x v="0"/>
    <s v="Quota tercer i quart trimestre"/>
    <n v="180"/>
    <n v="0"/>
    <n v="180"/>
    <m/>
  </r>
  <r>
    <x v="0"/>
    <x v="11"/>
    <d v="2020-12-31T00:00:00"/>
    <x v="9"/>
    <x v="1"/>
    <s v="Quota quart trimestre 2020"/>
    <n v="77.94"/>
    <n v="77.94"/>
    <n v="0"/>
    <m/>
  </r>
  <r>
    <x v="0"/>
    <x v="11"/>
    <d v="2020-12-31T00:00:00"/>
    <x v="11"/>
    <x v="3"/>
    <s v="Quart trimestre IVA i IRPF"/>
    <n v="57"/>
    <n v="57"/>
    <n v="0"/>
    <m/>
  </r>
  <r>
    <x v="1"/>
    <x v="0"/>
    <d v="2021-01-05T00:00:00"/>
    <x v="7"/>
    <x v="0"/>
    <s v="Quota gener 2021"/>
    <n v="53.3"/>
    <n v="53.3"/>
    <n v="0"/>
    <m/>
  </r>
  <r>
    <x v="1"/>
    <x v="0"/>
    <d v="2021-01-10T00:00:00"/>
    <x v="4"/>
    <x v="0"/>
    <s v="Quota Gener 2021"/>
    <n v="204"/>
    <n v="204"/>
    <n v="0"/>
    <m/>
  </r>
  <r>
    <x v="1"/>
    <x v="0"/>
    <d v="2021-01-19T00:00:00"/>
    <x v="1"/>
    <x v="0"/>
    <s v="Quota 2021"/>
    <n v="382.66"/>
    <n v="382.66"/>
    <n v="0"/>
    <m/>
  </r>
  <r>
    <x v="1"/>
    <x v="1"/>
    <d v="2021-02-10T00:00:00"/>
    <x v="4"/>
    <x v="0"/>
    <s v="Quota Febrer 2021"/>
    <n v="204"/>
    <n v="204"/>
    <n v="0"/>
    <m/>
  </r>
  <r>
    <x v="1"/>
    <x v="1"/>
    <d v="2021-02-10T00:00:00"/>
    <x v="11"/>
    <x v="3"/>
    <s v="Comisió"/>
    <n v="3.07"/>
    <n v="3.07"/>
    <n v="0"/>
    <m/>
  </r>
  <r>
    <x v="1"/>
    <x v="1"/>
    <d v="2021-02-10T00:00:00"/>
    <x v="7"/>
    <x v="0"/>
    <s v="Quota Febrer 2021"/>
    <n v="55.58"/>
    <n v="55.58"/>
    <n v="0"/>
    <m/>
  </r>
  <r>
    <x v="1"/>
    <x v="1"/>
    <d v="2021-02-15T00:00:00"/>
    <x v="12"/>
    <x v="1"/>
    <s v="Llum gener i febrer"/>
    <n v="28.45"/>
    <n v="28.45"/>
    <n v="0"/>
    <m/>
  </r>
  <r>
    <x v="1"/>
    <x v="1"/>
    <d v="2021-02-26T00:00:00"/>
    <x v="6"/>
    <x v="0"/>
    <s v="Seguretat social"/>
    <n v="83.110000000000014"/>
    <n v="83.110000000000014"/>
    <n v="0"/>
    <m/>
  </r>
  <r>
    <x v="1"/>
    <x v="1"/>
    <d v="2021-02-26T00:00:00"/>
    <x v="6"/>
    <x v="0"/>
    <s v="Seguretat social"/>
    <n v="0.95"/>
    <n v="0.95"/>
    <n v="0"/>
    <m/>
  </r>
  <r>
    <x v="1"/>
    <x v="2"/>
    <d v="2021-03-04T00:00:00"/>
    <x v="7"/>
    <x v="0"/>
    <s v="Quota març 2021"/>
    <n v="59"/>
    <n v="59"/>
    <n v="0"/>
    <m/>
  </r>
  <r>
    <x v="1"/>
    <x v="2"/>
    <d v="2021-03-10T00:00:00"/>
    <x v="4"/>
    <x v="0"/>
    <s v="Quota Març 2021"/>
    <n v="204"/>
    <n v="204"/>
    <n v="0"/>
    <m/>
  </r>
  <r>
    <x v="1"/>
    <x v="2"/>
    <d v="2021-03-31T00:00:00"/>
    <x v="6"/>
    <x v="0"/>
    <s v="Seguretat social"/>
    <n v="0.95"/>
    <n v="0.95"/>
    <n v="0"/>
    <m/>
  </r>
  <r>
    <x v="1"/>
    <x v="3"/>
    <d v="2021-04-04T00:00:00"/>
    <x v="7"/>
    <x v="0"/>
    <s v="Quota ABRIL 2021"/>
    <n v="59"/>
    <n v="59"/>
    <n v="0"/>
    <m/>
  </r>
  <r>
    <x v="1"/>
    <x v="3"/>
    <d v="2021-04-10T00:00:00"/>
    <x v="4"/>
    <x v="0"/>
    <s v="Quota ABRIL 2021"/>
    <n v="204"/>
    <n v="204"/>
    <n v="0"/>
    <m/>
  </r>
  <r>
    <x v="1"/>
    <x v="3"/>
    <d v="2021-04-28T00:00:00"/>
    <x v="11"/>
    <x v="3"/>
    <s v="Primer trimestre IVA i IRPF"/>
    <n v="114"/>
    <n v="114"/>
    <n v="0"/>
    <m/>
  </r>
  <r>
    <x v="1"/>
    <x v="3"/>
    <d v="2021-04-28T00:00:00"/>
    <x v="10"/>
    <x v="0"/>
    <s v="Quota primer trimestre"/>
    <n v="90"/>
    <n v="0"/>
    <n v="90"/>
    <m/>
  </r>
  <r>
    <x v="1"/>
    <x v="4"/>
    <d v="2021-05-11T00:00:00"/>
    <x v="7"/>
    <x v="0"/>
    <s v="Quota MAIG 2021"/>
    <n v="59"/>
    <n v="59"/>
    <n v="0"/>
    <m/>
  </r>
  <r>
    <x v="1"/>
    <x v="4"/>
    <d v="2021-05-13T00:00:00"/>
    <x v="4"/>
    <x v="0"/>
    <s v="Quota MAIG 2021"/>
    <n v="204"/>
    <n v="204"/>
    <n v="0"/>
    <m/>
  </r>
  <r>
    <x v="1"/>
    <x v="4"/>
    <d v="2021-05-26T00:00:00"/>
    <x v="2"/>
    <x v="1"/>
    <s v="Revisió extintors"/>
    <n v="50.92"/>
    <n v="50.92"/>
    <n v="0"/>
    <m/>
  </r>
  <r>
    <x v="1"/>
    <x v="5"/>
    <d v="2021-06-01T00:00:00"/>
    <x v="2"/>
    <x v="1"/>
    <s v="Productes de neteja"/>
    <n v="14"/>
    <n v="14"/>
    <n v="0"/>
    <m/>
  </r>
  <r>
    <x v="1"/>
    <x v="5"/>
    <d v="2021-06-04T00:00:00"/>
    <x v="7"/>
    <x v="0"/>
    <s v="Quota JUNY 2021"/>
    <n v="59"/>
    <n v="59"/>
    <n v="0"/>
    <m/>
  </r>
  <r>
    <x v="1"/>
    <x v="5"/>
    <d v="2021-06-08T00:00:00"/>
    <x v="4"/>
    <x v="0"/>
    <s v="Quota juny 2021"/>
    <n v="204"/>
    <n v="204"/>
    <n v="0"/>
    <m/>
  </r>
  <r>
    <x v="1"/>
    <x v="5"/>
    <d v="2021-06-30T00:00:00"/>
    <x v="6"/>
    <x v="0"/>
    <s v="Quota juny 2021"/>
    <n v="15.24"/>
    <n v="15.24"/>
    <n v="0"/>
    <m/>
  </r>
  <r>
    <x v="1"/>
    <x v="6"/>
    <d v="2021-07-05T00:00:00"/>
    <x v="7"/>
    <x v="0"/>
    <s v="Quota Juliol 2021"/>
    <n v="59"/>
    <n v="59"/>
    <n v="0"/>
    <m/>
  </r>
  <r>
    <x v="1"/>
    <x v="6"/>
    <d v="2021-07-12T00:00:00"/>
    <x v="4"/>
    <x v="0"/>
    <s v="Quota Juliol 2021"/>
    <n v="204"/>
    <n v="204"/>
    <n v="0"/>
    <m/>
  </r>
  <r>
    <x v="1"/>
    <x v="6"/>
    <d v="2021-07-12T00:00:00"/>
    <x v="9"/>
    <x v="1"/>
    <s v="Llum i agua juliol"/>
    <n v="86.26"/>
    <n v="86.26"/>
    <n v="0"/>
    <m/>
  </r>
  <r>
    <x v="1"/>
    <x v="6"/>
    <d v="2021-07-17T00:00:00"/>
    <x v="5"/>
    <x v="2"/>
    <s v="Compra maquina fregadora"/>
    <n v="1593.28"/>
    <n v="1593.28"/>
    <n v="0"/>
    <m/>
  </r>
  <r>
    <x v="1"/>
    <x v="6"/>
    <d v="2021-07-20T00:00:00"/>
    <x v="11"/>
    <x v="3"/>
    <s v="Primer trimestre IVA i IRPF"/>
    <n v="114"/>
    <n v="114"/>
    <n v="0"/>
    <m/>
  </r>
  <r>
    <x v="1"/>
    <x v="6"/>
    <d v="2021-07-27T00:00:00"/>
    <x v="5"/>
    <x v="2"/>
    <s v="Venta maquina fregadora"/>
    <n v="-150"/>
    <n v="0"/>
    <n v="-150"/>
    <m/>
  </r>
  <r>
    <x v="1"/>
    <x v="6"/>
    <d v="2021-07-30T00:00:00"/>
    <x v="6"/>
    <x v="0"/>
    <s v="Quota juliol 2021"/>
    <n v="51.49"/>
    <n v="51.49"/>
    <n v="0"/>
    <m/>
  </r>
  <r>
    <x v="1"/>
    <x v="7"/>
    <d v="2021-08-05T00:00:00"/>
    <x v="7"/>
    <x v="0"/>
    <s v="Quota agost 2021"/>
    <n v="59"/>
    <n v="59"/>
    <n v="0"/>
    <m/>
  </r>
  <r>
    <x v="1"/>
    <x v="7"/>
    <d v="2021-08-10T00:00:00"/>
    <x v="4"/>
    <x v="0"/>
    <s v="Quota agost 2021"/>
    <n v="204"/>
    <n v="204"/>
    <n v="0"/>
    <m/>
  </r>
  <r>
    <x v="1"/>
    <x v="7"/>
    <d v="2021-08-31T00:00:00"/>
    <x v="6"/>
    <x v="0"/>
    <s v="Quota agost 2021"/>
    <n v="103"/>
    <n v="103"/>
    <n v="0"/>
    <m/>
  </r>
  <r>
    <x v="1"/>
    <x v="8"/>
    <d v="2021-09-06T00:00:00"/>
    <x v="7"/>
    <x v="0"/>
    <s v="Quota setembre 2021"/>
    <n v="59"/>
    <n v="59"/>
    <n v="0"/>
    <m/>
  </r>
  <r>
    <x v="1"/>
    <x v="8"/>
    <d v="2021-09-10T00:00:00"/>
    <x v="4"/>
    <x v="0"/>
    <s v="Quota setembre 2021"/>
    <n v="204"/>
    <n v="204"/>
    <n v="0"/>
    <m/>
  </r>
  <r>
    <x v="1"/>
    <x v="8"/>
    <d v="2021-09-10T00:00:00"/>
    <x v="11"/>
    <x v="3"/>
    <s v="Segon trimestre IVA IRPF"/>
    <n v="30.79"/>
    <n v="30.79"/>
    <n v="0"/>
    <m/>
  </r>
  <r>
    <x v="1"/>
    <x v="8"/>
    <d v="2021-09-16T00:00:00"/>
    <x v="10"/>
    <x v="0"/>
    <s v="Segon i tercer trimestre"/>
    <n v="180"/>
    <n v="0"/>
    <n v="180"/>
    <m/>
  </r>
  <r>
    <x v="1"/>
    <x v="8"/>
    <d v="2021-09-16T00:00:00"/>
    <x v="2"/>
    <x v="1"/>
    <s v="Productes neteja Mercadona"/>
    <n v="60"/>
    <n v="0"/>
    <n v="60"/>
    <m/>
  </r>
  <r>
    <x v="1"/>
    <x v="8"/>
    <d v="2021-09-26T00:00:00"/>
    <x v="2"/>
    <x v="1"/>
    <s v="Recanvis futbolin"/>
    <n v="72"/>
    <n v="72"/>
    <n v="0"/>
    <m/>
  </r>
  <r>
    <x v="1"/>
    <x v="8"/>
    <d v="2021-09-28T00:00:00"/>
    <x v="9"/>
    <x v="1"/>
    <s v="Llum i agua setembre"/>
    <n v="107.7"/>
    <n v="107.7"/>
    <n v="0"/>
    <m/>
  </r>
  <r>
    <x v="1"/>
    <x v="8"/>
    <d v="2021-09-30T00:00:00"/>
    <x v="6"/>
    <x v="0"/>
    <s v="Quota setembre 2021"/>
    <n v="154.97"/>
    <n v="154.97"/>
    <n v="0"/>
    <m/>
  </r>
  <r>
    <x v="1"/>
    <x v="9"/>
    <d v="2021-10-04T00:00:00"/>
    <x v="7"/>
    <x v="0"/>
    <s v="Quota octubre 2021"/>
    <n v="59.3"/>
    <n v="59.3"/>
    <n v="0"/>
    <s v="x"/>
  </r>
  <r>
    <x v="1"/>
    <x v="9"/>
    <d v="2021-10-12T00:00:00"/>
    <x v="4"/>
    <x v="0"/>
    <s v="Quota octubre 2021"/>
    <n v="204"/>
    <n v="204"/>
    <n v="0"/>
    <s v="x"/>
  </r>
  <r>
    <x v="1"/>
    <x v="9"/>
    <d v="2021-10-14T00:00:00"/>
    <x v="2"/>
    <x v="1"/>
    <s v="Mirall trencat"/>
    <n v="15.49"/>
    <n v="15.49"/>
    <n v="0"/>
    <s v="x"/>
  </r>
  <r>
    <x v="1"/>
    <x v="9"/>
    <d v="2021-10-20T00:00:00"/>
    <x v="11"/>
    <x v="3"/>
    <s v="TERCER trimestre IVA IRPF"/>
    <n v="130.07"/>
    <n v="130.07"/>
    <n v="0"/>
    <m/>
  </r>
  <r>
    <x v="1"/>
    <x v="9"/>
    <d v="2021-10-30T00:00:00"/>
    <x v="6"/>
    <x v="0"/>
    <s v="Quota octubre 2021"/>
    <n v="205.97"/>
    <n v="205.97"/>
    <n v="0"/>
    <s v="x"/>
  </r>
  <r>
    <x v="1"/>
    <x v="9"/>
    <d v="2021-10-30T00:00:00"/>
    <x v="2"/>
    <x v="1"/>
    <s v="Bombetes"/>
    <n v="20"/>
    <n v="0"/>
    <n v="20"/>
    <m/>
  </r>
  <r>
    <x v="1"/>
    <x v="10"/>
    <d v="2021-11-05T00:00:00"/>
    <x v="7"/>
    <x v="0"/>
    <s v="QUOTA NOVEMBRE 2021"/>
    <n v="59"/>
    <n v="59"/>
    <n v="0"/>
    <s v="x"/>
  </r>
  <r>
    <x v="1"/>
    <x v="10"/>
    <d v="2021-11-10T00:00:00"/>
    <x v="4"/>
    <x v="0"/>
    <s v="Quota Novembre 2021"/>
    <n v="204"/>
    <n v="204"/>
    <n v="0"/>
    <s v="x"/>
  </r>
  <r>
    <x v="1"/>
    <x v="10"/>
    <d v="2021-11-10T00:00:00"/>
    <x v="2"/>
    <x v="1"/>
    <s v="Paper mans lavabo"/>
    <n v="21.3"/>
    <n v="21.3"/>
    <n v="0"/>
    <m/>
  </r>
  <r>
    <x v="1"/>
    <x v="10"/>
    <d v="2021-11-27T00:00:00"/>
    <x v="2"/>
    <x v="1"/>
    <s v="Reparacio maquina neteja vella"/>
    <n v="72.599999999999994"/>
    <n v="72.599999999999994"/>
    <n v="0"/>
    <s v="x"/>
  </r>
  <r>
    <x v="1"/>
    <x v="10"/>
    <d v="2021-11-30T00:00:00"/>
    <x v="8"/>
    <x v="1"/>
    <s v="NOVEMBRE"/>
    <n v="90"/>
    <n v="0"/>
    <n v="90"/>
    <m/>
  </r>
  <r>
    <x v="1"/>
    <x v="10"/>
    <d v="2021-11-30T00:00:00"/>
    <x v="6"/>
    <x v="0"/>
    <s v="QUOTA NOVEMBRE 2021"/>
    <n v="205.97"/>
    <n v="205.97"/>
    <n v="0"/>
    <s v="x"/>
  </r>
  <r>
    <x v="1"/>
    <x v="11"/>
    <d v="2021-12-05T00:00:00"/>
    <x v="7"/>
    <x v="0"/>
    <s v="QUOTA DESEMBRE 2021"/>
    <n v="59"/>
    <n v="59"/>
    <n v="0"/>
    <s v="x"/>
  </r>
  <r>
    <x v="1"/>
    <x v="11"/>
    <d v="2021-12-07T00:00:00"/>
    <x v="2"/>
    <x v="1"/>
    <s v="Mercadona"/>
    <n v="48.64"/>
    <n v="48.64"/>
    <n v="0"/>
    <s v="x"/>
  </r>
  <r>
    <x v="1"/>
    <x v="11"/>
    <d v="2021-12-07T00:00:00"/>
    <x v="5"/>
    <x v="2"/>
    <s v="Cadires"/>
    <n v="210"/>
    <n v="0"/>
    <n v="210"/>
    <s v="x"/>
  </r>
  <r>
    <x v="1"/>
    <x v="11"/>
    <d v="2021-12-07T00:00:00"/>
    <x v="0"/>
    <x v="0"/>
    <s v="Contracte dos anys"/>
    <n v="499"/>
    <n v="499"/>
    <n v="0"/>
    <m/>
  </r>
  <r>
    <x v="1"/>
    <x v="11"/>
    <d v="2021-12-07T00:00:00"/>
    <x v="13"/>
    <x v="0"/>
    <s v="contracte un any"/>
    <n v="18"/>
    <n v="18"/>
    <n v="0"/>
    <m/>
  </r>
  <r>
    <x v="1"/>
    <x v="11"/>
    <d v="2021-12-14T00:00:00"/>
    <x v="8"/>
    <x v="1"/>
    <s v="Desembre"/>
    <n v="180"/>
    <n v="0"/>
    <n v="180"/>
    <m/>
  </r>
  <r>
    <x v="1"/>
    <x v="11"/>
    <d v="2021-12-27T00:00:00"/>
    <x v="4"/>
    <x v="0"/>
    <s v="Quota desembre 2021"/>
    <n v="204"/>
    <n v="204"/>
    <n v="0"/>
    <s v="x"/>
  </r>
  <r>
    <x v="1"/>
    <x v="11"/>
    <d v="2021-12-27T00:00:00"/>
    <x v="9"/>
    <x v="1"/>
    <s v="quart trimestre llum i aigua"/>
    <n v="254.43"/>
    <n v="254.43"/>
    <n v="0"/>
    <s v="x"/>
  </r>
  <r>
    <x v="1"/>
    <x v="11"/>
    <d v="2021-12-31T00:00:00"/>
    <x v="6"/>
    <x v="0"/>
    <s v="DESEMBRE 2021"/>
    <n v="208.79"/>
    <n v="208.79"/>
    <n v="0"/>
    <s v="x"/>
  </r>
  <r>
    <x v="1"/>
    <x v="11"/>
    <d v="2021-12-31T00:00:00"/>
    <x v="10"/>
    <x v="0"/>
    <s v="Quart trimestre"/>
    <n v="90"/>
    <n v="0"/>
    <n v="90"/>
    <m/>
  </r>
  <r>
    <x v="2"/>
    <x v="0"/>
    <d v="2022-01-04T00:00:00"/>
    <x v="7"/>
    <x v="0"/>
    <s v="Gener 2022"/>
    <n v="59"/>
    <n v="59"/>
    <n v="0"/>
    <m/>
  </r>
  <r>
    <x v="2"/>
    <x v="0"/>
    <d v="2022-01-04T00:00:00"/>
    <x v="1"/>
    <x v="0"/>
    <s v="QUOTA 2022"/>
    <n v="397.48"/>
    <n v="397.48"/>
    <n v="0"/>
    <m/>
  </r>
  <r>
    <x v="2"/>
    <x v="0"/>
    <d v="2022-01-13T00:00:00"/>
    <x v="4"/>
    <x v="0"/>
    <s v="Quota gener"/>
    <n v="204"/>
    <n v="204"/>
    <n v="0"/>
    <m/>
  </r>
  <r>
    <x v="2"/>
    <x v="0"/>
    <d v="2022-01-20T00:00:00"/>
    <x v="11"/>
    <x v="3"/>
    <s v="Quart trimestre IVA i IRPF"/>
    <n v="114"/>
    <n v="114"/>
    <n v="0"/>
    <m/>
  </r>
  <r>
    <x v="2"/>
    <x v="0"/>
    <d v="2022-01-31T00:00:00"/>
    <x v="11"/>
    <x v="3"/>
    <s v="Quart trimestre IVA i IRPF"/>
    <n v="188.14"/>
    <n v="188.14"/>
    <n v="0"/>
    <m/>
  </r>
  <r>
    <x v="2"/>
    <x v="0"/>
    <d v="2022-01-31T00:00:00"/>
    <x v="6"/>
    <x v="0"/>
    <s v="QUOTA GENER 2022"/>
    <n v="212.4"/>
    <n v="212.4"/>
    <n v="0"/>
    <m/>
  </r>
  <r>
    <x v="2"/>
    <x v="0"/>
    <d v="2022-01-31T00:00:00"/>
    <x v="6"/>
    <x v="0"/>
    <s v="REGULARITZACIÓ 2021"/>
    <n v="2.82"/>
    <n v="2.82"/>
    <n v="0"/>
    <m/>
  </r>
  <r>
    <x v="2"/>
    <x v="1"/>
    <d v="2022-02-04T00:00:00"/>
    <x v="7"/>
    <x v="0"/>
    <s v="QUOTA FEBRER 2022"/>
    <n v="64.95"/>
    <n v="64.95"/>
    <n v="0"/>
    <m/>
  </r>
  <r>
    <x v="2"/>
    <x v="1"/>
    <d v="2022-02-10T00:00:00"/>
    <x v="4"/>
    <x v="0"/>
    <s v="QUOTA FEBRER 2022"/>
    <n v="204"/>
    <n v="204"/>
    <n v="0"/>
    <m/>
  </r>
  <r>
    <x v="2"/>
    <x v="1"/>
    <d v="2022-02-28T00:00:00"/>
    <x v="6"/>
    <x v="0"/>
    <s v="Quota febrer 2022"/>
    <n v="212.4"/>
    <n v="212.4"/>
    <n v="0"/>
    <m/>
  </r>
  <r>
    <x v="2"/>
    <x v="1"/>
    <d v="2022-02-28T00:00:00"/>
    <x v="8"/>
    <x v="1"/>
    <s v="Lourdes"/>
    <n v="270"/>
    <n v="0"/>
    <n v="270"/>
    <m/>
  </r>
  <r>
    <x v="2"/>
    <x v="2"/>
    <d v="2022-03-04T00:00:00"/>
    <x v="7"/>
    <x v="0"/>
    <s v="Quota març 2022"/>
    <n v="68.22"/>
    <n v="68.22"/>
    <n v="0"/>
    <m/>
  </r>
  <r>
    <x v="2"/>
    <x v="2"/>
    <d v="2022-03-06T00:00:00"/>
    <x v="4"/>
    <x v="0"/>
    <s v="Lloguer Març 2022"/>
    <n v="204"/>
    <n v="204"/>
    <n v="0"/>
    <m/>
  </r>
  <r>
    <x v="2"/>
    <x v="2"/>
    <d v="2022-03-20T00:00:00"/>
    <x v="2"/>
    <x v="1"/>
    <s v="Leroy Merlin"/>
    <n v="19.260000000000002"/>
    <n v="19.260000000000002"/>
    <n v="0"/>
    <m/>
  </r>
  <r>
    <x v="2"/>
    <x v="2"/>
    <d v="2022-03-20T00:00:00"/>
    <x v="2"/>
    <x v="1"/>
    <s v="Taules Brico depot"/>
    <n v="126.75"/>
    <n v="126.75"/>
    <n v="0"/>
    <m/>
  </r>
  <r>
    <x v="2"/>
    <x v="2"/>
    <d v="2022-03-20T00:00:00"/>
    <x v="2"/>
    <x v="1"/>
    <s v="Bombetes"/>
    <n v="39"/>
    <n v="39"/>
    <n v="0"/>
    <m/>
  </r>
  <r>
    <x v="2"/>
    <x v="2"/>
    <d v="2022-03-20T00:00:00"/>
    <x v="2"/>
    <x v="1"/>
    <s v="Juanillo"/>
    <n v="40"/>
    <n v="0"/>
    <n v="40"/>
    <m/>
  </r>
  <r>
    <x v="2"/>
    <x v="2"/>
    <d v="2022-03-20T00:00:00"/>
    <x v="2"/>
    <x v="1"/>
    <s v="Llum Primer trimestre"/>
    <n v="121.75"/>
    <n v="121.75"/>
    <n v="0"/>
    <m/>
  </r>
  <r>
    <x v="2"/>
    <x v="2"/>
    <d v="2022-03-26T00:00:00"/>
    <x v="8"/>
    <x v="1"/>
    <s v="Marisol"/>
    <n v="120"/>
    <n v="0"/>
    <n v="120"/>
    <m/>
  </r>
  <r>
    <x v="2"/>
    <x v="2"/>
    <d v="2022-03-29T00:00:00"/>
    <x v="2"/>
    <x v="1"/>
    <s v="Proteccions parque"/>
    <n v="111.83"/>
    <n v="111.83"/>
    <n v="0"/>
    <m/>
  </r>
  <r>
    <x v="2"/>
    <x v="2"/>
    <d v="2022-03-31T00:00:00"/>
    <x v="6"/>
    <x v="0"/>
    <s v="Quota març 2022"/>
    <n v="212.4"/>
    <n v="212.4"/>
    <n v="0"/>
    <m/>
  </r>
  <r>
    <x v="2"/>
    <x v="3"/>
    <d v="2022-04-04T00:00:00"/>
    <x v="7"/>
    <x v="0"/>
    <s v="Quota abril 2022"/>
    <n v="54.06"/>
    <n v="54.06"/>
    <n v="0"/>
    <m/>
  </r>
  <r>
    <x v="2"/>
    <x v="3"/>
    <d v="2022-04-07T00:00:00"/>
    <x v="10"/>
    <x v="0"/>
    <s v="Primer trimestre"/>
    <n v="90"/>
    <n v="0"/>
    <n v="90"/>
    <m/>
  </r>
  <r>
    <x v="2"/>
    <x v="3"/>
    <d v="2022-04-08T00:00:00"/>
    <x v="2"/>
    <x v="1"/>
    <s v="Leroy Merlin"/>
    <n v="137.54"/>
    <n v="137.54"/>
    <n v="0"/>
    <m/>
  </r>
  <r>
    <x v="2"/>
    <x v="3"/>
    <d v="2022-04-11T00:00:00"/>
    <x v="2"/>
    <x v="1"/>
    <s v="Mercadona"/>
    <n v="29.05"/>
    <n v="29.05"/>
    <n v="0"/>
    <m/>
  </r>
  <r>
    <x v="2"/>
    <x v="3"/>
    <d v="2022-04-20T00:00:00"/>
    <x v="11"/>
    <x v="3"/>
    <s v="Primer trimestre IVA i IRPF"/>
    <n v="114"/>
    <n v="114"/>
    <n v="0"/>
    <m/>
  </r>
  <r>
    <x v="2"/>
    <x v="3"/>
    <d v="2022-04-20T00:00:00"/>
    <x v="11"/>
    <x v="3"/>
    <s v="Primer trimestre IVA i IRPF"/>
    <n v="195.11"/>
    <n v="195.11"/>
    <n v="0"/>
    <m/>
  </r>
  <r>
    <x v="2"/>
    <x v="3"/>
    <d v="2022-04-20T00:00:00"/>
    <x v="8"/>
    <x v="1"/>
    <s v="Marisol"/>
    <n v="120"/>
    <n v="0"/>
    <n v="120"/>
    <m/>
  </r>
  <r>
    <x v="2"/>
    <x v="3"/>
    <d v="2022-04-28T00:00:00"/>
    <x v="2"/>
    <x v="1"/>
    <s v="cables + paper lavabo"/>
    <n v="41.879999999999995"/>
    <n v="41.879999999999995"/>
    <n v="0"/>
    <m/>
  </r>
  <r>
    <x v="2"/>
    <x v="3"/>
    <d v="2022-04-28T00:00:00"/>
    <x v="2"/>
    <x v="1"/>
    <s v="Arreglo porta principal"/>
    <n v="30"/>
    <n v="0"/>
    <n v="30"/>
    <m/>
  </r>
  <r>
    <x v="2"/>
    <x v="3"/>
    <d v="2022-04-30T00:00:00"/>
    <x v="6"/>
    <x v="0"/>
    <s v="Quota abril 2022"/>
    <n v="212.4"/>
    <n v="212.4"/>
    <n v="0"/>
    <m/>
  </r>
  <r>
    <x v="2"/>
    <x v="4"/>
    <d v="2022-04-03T00:00:00"/>
    <x v="4"/>
    <x v="0"/>
    <s v="Quota maig 2022"/>
    <n v="204"/>
    <n v="204"/>
    <n v="0"/>
    <m/>
  </r>
  <r>
    <x v="2"/>
    <x v="4"/>
    <d v="2022-04-04T00:00:00"/>
    <x v="7"/>
    <x v="0"/>
    <s v="Quota maig 2022"/>
    <n v="62"/>
    <n v="62"/>
    <n v="0"/>
    <m/>
  </r>
  <r>
    <x v="2"/>
    <x v="4"/>
    <d v="2022-05-13T00:00:00"/>
    <x v="9"/>
    <x v="1"/>
    <s v="Primer trimestre"/>
    <n v="284.24"/>
    <n v="284.24"/>
    <n v="0"/>
    <m/>
  </r>
  <r>
    <x v="2"/>
    <x v="4"/>
    <d v="2022-05-28T00:00:00"/>
    <x v="8"/>
    <x v="1"/>
    <s v="Marisol"/>
    <n v="150"/>
    <n v="0"/>
    <n v="150"/>
    <m/>
  </r>
  <r>
    <x v="2"/>
    <x v="4"/>
    <d v="2022-05-28T00:00:00"/>
    <x v="1"/>
    <x v="0"/>
    <s v="Renovació canvi de nom"/>
    <n v="184.69"/>
    <n v="184.69"/>
    <n v="0"/>
    <m/>
  </r>
  <r>
    <x v="2"/>
    <x v="4"/>
    <d v="2022-05-31T00:00:00"/>
    <x v="1"/>
    <x v="0"/>
    <s v="Renovació canvi de nom"/>
    <n v="-239.59"/>
    <n v="-239.59"/>
    <n v="0"/>
    <m/>
  </r>
  <r>
    <x v="2"/>
    <x v="4"/>
    <d v="2022-05-31T00:00:00"/>
    <x v="6"/>
    <x v="0"/>
    <s v="Quota maig 2022"/>
    <n v="212.4"/>
    <n v="212.4"/>
    <n v="0"/>
    <m/>
  </r>
  <r>
    <x v="2"/>
    <x v="5"/>
    <d v="2022-06-06T00:00:00"/>
    <x v="4"/>
    <x v="0"/>
    <s v="INCASOL"/>
    <n v="200"/>
    <n v="200"/>
    <n v="0"/>
    <m/>
  </r>
  <r>
    <x v="2"/>
    <x v="5"/>
    <d v="2022-06-06T00:00:00"/>
    <x v="7"/>
    <x v="0"/>
    <s v="Quota juny 2022"/>
    <n v="62"/>
    <n v="62"/>
    <n v="0"/>
    <m/>
  </r>
  <r>
    <x v="2"/>
    <x v="5"/>
    <d v="2022-06-17T00:00:00"/>
    <x v="4"/>
    <x v="0"/>
    <s v="Quota juny 2022"/>
    <n v="594.12"/>
    <n v="594.12"/>
    <n v="0"/>
    <m/>
  </r>
  <r>
    <x v="2"/>
    <x v="5"/>
    <d v="2022-06-17T00:00:00"/>
    <x v="4"/>
    <x v="0"/>
    <s v="Quota juny 2022"/>
    <n v="150"/>
    <n v="0"/>
    <n v="150"/>
    <m/>
  </r>
  <r>
    <x v="2"/>
    <x v="5"/>
    <d v="2022-06-17T00:00:00"/>
    <x v="4"/>
    <x v="0"/>
    <s v="Quota abril 2022"/>
    <n v="0"/>
    <n v="0"/>
    <n v="0"/>
    <m/>
  </r>
  <r>
    <x v="2"/>
    <x v="5"/>
    <d v="2022-06-17T00:00:00"/>
    <x v="2"/>
    <x v="1"/>
    <s v="Mercadona"/>
    <n v="22.5"/>
    <n v="22.5"/>
    <n v="0"/>
    <m/>
  </r>
  <r>
    <x v="2"/>
    <x v="5"/>
    <d v="2022-06-29T00:00:00"/>
    <x v="8"/>
    <x v="1"/>
    <s v="Marisol"/>
    <n v="100"/>
    <n v="0"/>
    <n v="100"/>
    <m/>
  </r>
  <r>
    <x v="2"/>
    <x v="5"/>
    <d v="2022-06-29T00:00:00"/>
    <x v="2"/>
    <x v="1"/>
    <s v="Lloguer petit espai montmeló"/>
    <n v="150"/>
    <n v="150"/>
    <n v="0"/>
    <m/>
  </r>
  <r>
    <x v="2"/>
    <x v="6"/>
    <d v="2022-07-01T00:00:00"/>
    <x v="2"/>
    <x v="1"/>
    <s v="Mercadona"/>
    <n v="17.100000000000001"/>
    <n v="17.100000000000001"/>
    <n v="0"/>
    <m/>
  </r>
  <r>
    <x v="2"/>
    <x v="6"/>
    <d v="2022-07-08T00:00:00"/>
    <x v="2"/>
    <x v="1"/>
    <s v="Juanillo"/>
    <n v="35"/>
    <n v="0"/>
    <n v="35"/>
    <m/>
  </r>
  <r>
    <x v="2"/>
    <x v="6"/>
    <d v="2022-07-08T00:00:00"/>
    <x v="4"/>
    <x v="0"/>
    <s v="Quota juliol 2022"/>
    <n v="150"/>
    <n v="0"/>
    <n v="150"/>
    <m/>
  </r>
  <r>
    <x v="2"/>
    <x v="6"/>
    <d v="2022-07-04T00:00:00"/>
    <x v="7"/>
    <x v="0"/>
    <s v="No sabem"/>
    <n v="18"/>
    <n v="18"/>
    <n v="0"/>
    <m/>
  </r>
  <r>
    <x v="2"/>
    <x v="6"/>
    <d v="2022-07-14T00:00:00"/>
    <x v="4"/>
    <x v="0"/>
    <s v="Quota juliol 2022"/>
    <n v="408"/>
    <n v="408"/>
    <n v="0"/>
    <m/>
  </r>
  <r>
    <x v="2"/>
    <x v="6"/>
    <d v="2022-07-20T00:00:00"/>
    <x v="11"/>
    <x v="3"/>
    <s v="Segon trimestre IVA IRPF - Cristina"/>
    <n v="507.83"/>
    <n v="507.83"/>
    <n v="0"/>
    <m/>
  </r>
  <r>
    <x v="2"/>
    <x v="6"/>
    <d v="2022-07-20T00:00:00"/>
    <x v="11"/>
    <x v="3"/>
    <s v="Segon trimestre IVA IRPF - Leo"/>
    <n v="662.87"/>
    <n v="662.87"/>
    <n v="0"/>
    <m/>
  </r>
  <r>
    <x v="2"/>
    <x v="6"/>
    <d v="2022-07-25T00:00:00"/>
    <x v="7"/>
    <x v="0"/>
    <s v="QUOTA JULIOL 2022"/>
    <n v="62"/>
    <n v="62"/>
    <n v="0"/>
    <m/>
  </r>
  <r>
    <x v="2"/>
    <x v="6"/>
    <d v="2022-07-29T00:00:00"/>
    <x v="6"/>
    <x v="0"/>
    <s v="No sabem"/>
    <n v="2.82"/>
    <n v="2.82"/>
    <n v="0"/>
    <m/>
  </r>
  <r>
    <x v="2"/>
    <x v="6"/>
    <d v="2022-07-29T00:00:00"/>
    <x v="2"/>
    <x v="1"/>
    <s v="Revisió extintors"/>
    <n v="55.27"/>
    <n v="0"/>
    <n v="55.27"/>
    <m/>
  </r>
  <r>
    <x v="2"/>
    <x v="7"/>
    <d v="2022-08-10T00:00:00"/>
    <x v="4"/>
    <x v="0"/>
    <s v="Quota agost"/>
    <n v="558"/>
    <n v="408"/>
    <n v="150"/>
    <m/>
  </r>
  <r>
    <x v="2"/>
    <x v="7"/>
    <d v="2022-08-10T00:00:00"/>
    <x v="9"/>
    <x v="1"/>
    <s v="Segon trimestre"/>
    <n v="252.59000000000003"/>
    <n v="402.59000000000003"/>
    <n v="0"/>
    <m/>
  </r>
  <r>
    <x v="2"/>
    <x v="7"/>
    <d v="2022-08-10T00:00:00"/>
    <x v="2"/>
    <x v="1"/>
    <s v="Gastos devolució rebut"/>
    <n v="9.8099999999999454"/>
    <n v="9.8099999999999454"/>
    <n v="0"/>
    <m/>
  </r>
  <r>
    <x v="2"/>
    <x v="7"/>
    <d v="2022-08-25T00:00:00"/>
    <x v="7"/>
    <x v="0"/>
    <s v="Quota agost"/>
    <n v="62"/>
    <n v="62"/>
    <n v="0"/>
    <m/>
  </r>
  <r>
    <x v="2"/>
    <x v="8"/>
    <d v="2022-09-05T00:00:00"/>
    <x v="2"/>
    <x v="1"/>
    <s v="Mercadona"/>
    <n v="20.7"/>
    <n v="20.7"/>
    <n v="0"/>
    <m/>
  </r>
  <r>
    <x v="2"/>
    <x v="8"/>
    <d v="2022-09-12T00:00:00"/>
    <x v="4"/>
    <x v="0"/>
    <s v="Quota setembre 2022"/>
    <n v="558"/>
    <n v="408"/>
    <n v="150"/>
    <m/>
  </r>
  <r>
    <x v="2"/>
    <x v="8"/>
    <d v="2022-09-25T00:00:00"/>
    <x v="8"/>
    <x v="1"/>
    <s v="Lourdes"/>
    <n v="120"/>
    <n v="120"/>
    <n v="0"/>
    <m/>
  </r>
  <r>
    <x v="2"/>
    <x v="8"/>
    <d v="2022-09-27T00:00:00"/>
    <x v="2"/>
    <x v="1"/>
    <s v="Hidralair"/>
    <n v="77.37"/>
    <n v="77.37"/>
    <n v="0"/>
    <m/>
  </r>
  <r>
    <x v="2"/>
    <x v="8"/>
    <d v="2022-09-28T00:00:00"/>
    <x v="2"/>
    <x v="1"/>
    <s v="Taules"/>
    <n v="238.35"/>
    <n v="238.35"/>
    <n v="0"/>
    <m/>
  </r>
  <r>
    <x v="2"/>
    <x v="9"/>
    <d v="2022-10-12T00:00:00"/>
    <x v="4"/>
    <x v="0"/>
    <s v="Quota octubre 2022"/>
    <n v="558"/>
    <n v="408"/>
    <n v="150"/>
    <m/>
  </r>
  <r>
    <x v="2"/>
    <x v="9"/>
    <d v="2022-10-20T00:00:00"/>
    <x v="11"/>
    <x v="3"/>
    <s v="Tercer trimestre IVA i IRPF"/>
    <n v="605.01"/>
    <n v="605.01"/>
    <n v="0"/>
    <m/>
  </r>
  <r>
    <x v="2"/>
    <x v="9"/>
    <d v="2022-10-20T00:00:00"/>
    <x v="7"/>
    <x v="0"/>
    <s v="Quota octubre 2022"/>
    <n v="62"/>
    <n v="62"/>
    <n v="0"/>
    <m/>
  </r>
  <r>
    <x v="2"/>
    <x v="9"/>
    <d v="2022-10-31T00:00:00"/>
    <x v="8"/>
    <x v="1"/>
    <s v="lourdes"/>
    <n v="150"/>
    <n v="0"/>
    <n v="150"/>
    <m/>
  </r>
  <r>
    <x v="2"/>
    <x v="10"/>
    <d v="2022-11-14T00:00:00"/>
    <x v="4"/>
    <x v="0"/>
    <s v="Novembre 2022"/>
    <n v="558"/>
    <n v="408"/>
    <n v="150"/>
    <m/>
  </r>
  <r>
    <x v="2"/>
    <x v="10"/>
    <d v="2022-11-14T00:00:00"/>
    <x v="9"/>
    <x v="1"/>
    <s v="Tercer trimestre"/>
    <n v="818.43000000000006"/>
    <n v="818.43"/>
    <n v="0"/>
    <m/>
  </r>
  <r>
    <x v="2"/>
    <x v="10"/>
    <d v="2022-11-25T00:00:00"/>
    <x v="7"/>
    <x v="0"/>
    <s v="Quota novembre 2022"/>
    <n v="62.3"/>
    <n v="62.3"/>
    <n v="0"/>
    <m/>
  </r>
  <r>
    <x v="2"/>
    <x v="10"/>
    <d v="2022-11-25T00:00:00"/>
    <x v="8"/>
    <x v="1"/>
    <s v="Lourdes"/>
    <n v="160"/>
    <n v="160"/>
    <n v="0"/>
    <m/>
  </r>
  <r>
    <x v="2"/>
    <x v="10"/>
    <d v="2022-11-25T00:00:00"/>
    <x v="2"/>
    <x v="1"/>
    <s v="Hidralair"/>
    <n v="26.12"/>
    <n v="26.12"/>
    <n v="0"/>
    <m/>
  </r>
  <r>
    <x v="2"/>
    <x v="11"/>
    <d v="2022-12-13T00:00:00"/>
    <x v="4"/>
    <x v="0"/>
    <s v="quota desembre 2022"/>
    <n v="558"/>
    <n v="408"/>
    <n v="150"/>
    <m/>
  </r>
  <r>
    <x v="2"/>
    <x v="11"/>
    <d v="2022-12-13T00:00:00"/>
    <x v="7"/>
    <x v="0"/>
    <s v="QUOTA DESEMBRE "/>
    <n v="62"/>
    <n v="62"/>
    <n v="0"/>
    <m/>
  </r>
  <r>
    <x v="3"/>
    <x v="0"/>
    <d v="2023-01-04T00:00:00"/>
    <x v="8"/>
    <x v="1"/>
    <s v="Lourdes"/>
    <n v="260"/>
    <n v="0"/>
    <n v="260"/>
    <m/>
  </r>
  <r>
    <x v="3"/>
    <x v="0"/>
    <d v="2023-01-04T00:00:00"/>
    <x v="2"/>
    <x v="1"/>
    <s v="Mercadona"/>
    <n v="44"/>
    <n v="44"/>
    <n v="0"/>
    <m/>
  </r>
  <r>
    <x v="3"/>
    <x v="0"/>
    <d v="2023-01-10T00:00:00"/>
    <x v="4"/>
    <x v="0"/>
    <s v="Quota gener 2023"/>
    <n v="558"/>
    <n v="408"/>
    <n v="150"/>
    <m/>
  </r>
  <r>
    <x v="3"/>
    <x v="0"/>
    <d v="2023-01-10T00:00:00"/>
    <x v="9"/>
    <x v="1"/>
    <s v="Llum quart trimestre"/>
    <n v="328.57549999999998"/>
    <n v="328.57549999999998"/>
    <n v="0"/>
    <m/>
  </r>
  <r>
    <x v="3"/>
    <x v="0"/>
    <d v="2023-01-10T00:00:00"/>
    <x v="12"/>
    <x v="1"/>
    <s v="Aigua quart trimestre"/>
    <n v="134.0196"/>
    <n v="134.0196"/>
    <n v="0"/>
    <m/>
  </r>
  <r>
    <x v="3"/>
    <x v="0"/>
    <d v="2023-01-14T00:00:00"/>
    <x v="13"/>
    <x v="0"/>
    <s v="DOMINI"/>
    <n v="18"/>
    <n v="18"/>
    <n v="0"/>
    <m/>
  </r>
  <r>
    <x v="3"/>
    <x v="0"/>
    <d v="2023-01-14T00:00:00"/>
    <x v="2"/>
    <x v="1"/>
    <s v="Paper mans lavabo"/>
    <n v="26.61"/>
    <n v="26.61"/>
    <n v="0"/>
    <m/>
  </r>
  <r>
    <x v="3"/>
    <x v="0"/>
    <d v="2023-01-14T00:00:00"/>
    <x v="2"/>
    <x v="1"/>
    <s v="Sabó maquina neteja"/>
    <n v="31.82"/>
    <n v="31.82"/>
    <n v="0"/>
    <m/>
  </r>
  <r>
    <x v="3"/>
    <x v="0"/>
    <d v="2023-01-15T00:00:00"/>
    <x v="2"/>
    <x v="1"/>
    <s v="Llums sala"/>
    <n v="34"/>
    <n v="34"/>
    <n v="0"/>
    <m/>
  </r>
  <r>
    <x v="3"/>
    <x v="0"/>
    <d v="2023-01-17T00:00:00"/>
    <x v="2"/>
    <x v="1"/>
    <s v="Arreglo porta principal"/>
    <n v="35"/>
    <n v="0"/>
    <n v="35"/>
    <m/>
  </r>
  <r>
    <x v="3"/>
    <x v="0"/>
    <d v="2023-01-26T00:00:00"/>
    <x v="2"/>
    <x v="1"/>
    <s v="Guardallaves"/>
    <n v="159"/>
    <n v="159"/>
    <n v="0"/>
    <m/>
  </r>
  <r>
    <x v="3"/>
    <x v="0"/>
    <d v="2023-01-26T00:00:00"/>
    <x v="2"/>
    <x v="1"/>
    <s v="Endoll wifi"/>
    <n v="10.99"/>
    <n v="10.99"/>
    <n v="0"/>
    <m/>
  </r>
  <r>
    <x v="3"/>
    <x v="0"/>
    <d v="2023-01-26T00:00:00"/>
    <x v="7"/>
    <x v="0"/>
    <s v="Quota gener"/>
    <n v="62"/>
    <n v="62"/>
    <n v="0"/>
    <m/>
  </r>
  <r>
    <x v="3"/>
    <x v="0"/>
    <d v="2023-01-26T00:00:00"/>
    <x v="8"/>
    <x v="1"/>
    <s v="Lourdes"/>
    <n v="220"/>
    <n v="0"/>
    <n v="220"/>
    <m/>
  </r>
  <r>
    <x v="3"/>
    <x v="0"/>
    <d v="2023-01-30T00:00:00"/>
    <x v="11"/>
    <x v="3"/>
    <s v="IVA quart trimestre"/>
    <n v="1031.6600000000001"/>
    <n v="1031.6600000000001"/>
    <n v="0"/>
    <m/>
  </r>
  <r>
    <x v="3"/>
    <x v="0"/>
    <d v="2023-01-30T00:00:00"/>
    <x v="11"/>
    <x v="3"/>
    <s v="IRPF quart trimestre"/>
    <n v="199.67"/>
    <n v="199.67"/>
    <n v="0"/>
    <m/>
  </r>
  <r>
    <x v="3"/>
    <x v="1"/>
    <d v="2023-02-03T00:00:00"/>
    <x v="2"/>
    <x v="1"/>
    <s v="Mercadona"/>
    <n v="32.1"/>
    <n v="0"/>
    <n v="32.1"/>
    <m/>
  </r>
  <r>
    <x v="3"/>
    <x v="1"/>
    <d v="2023-02-11T00:00:00"/>
    <x v="4"/>
    <x v="0"/>
    <s v="Lloguer febrer 2023"/>
    <n v="558"/>
    <n v="408"/>
    <n v="150"/>
    <m/>
  </r>
  <r>
    <x v="3"/>
    <x v="1"/>
    <d v="2023-02-12T00:00:00"/>
    <x v="2"/>
    <x v="1"/>
    <s v="Sofà"/>
    <n v="60"/>
    <n v="0"/>
    <n v="60"/>
    <m/>
  </r>
  <r>
    <x v="3"/>
    <x v="1"/>
    <d v="2023-02-16T00:00:00"/>
    <x v="9"/>
    <x v="1"/>
    <s v="llum"/>
    <n v="196.09"/>
    <n v="196.09"/>
    <n v="0"/>
    <m/>
  </r>
  <r>
    <x v="3"/>
    <x v="1"/>
    <d v="2023-02-16T00:00:00"/>
    <x v="12"/>
    <x v="1"/>
    <s v="Aigua"/>
    <n v="99.08"/>
    <n v="99.08"/>
    <n v="0"/>
    <m/>
  </r>
  <r>
    <x v="3"/>
    <x v="1"/>
    <d v="2023-02-20T00:00:00"/>
    <x v="10"/>
    <x v="0"/>
    <s v="Últim trimestre 2022"/>
    <n v="60.5"/>
    <n v="60.5"/>
    <n v="0"/>
    <m/>
  </r>
  <r>
    <x v="3"/>
    <x v="1"/>
    <d v="2023-02-20T00:00:00"/>
    <x v="8"/>
    <x v="1"/>
    <s v="Lourdes"/>
    <n v="280"/>
    <n v="0"/>
    <n v="280"/>
    <m/>
  </r>
  <r>
    <x v="3"/>
    <x v="1"/>
    <d v="2023-02-24T00:00:00"/>
    <x v="2"/>
    <x v="1"/>
    <s v="Taules infantils"/>
    <n v="150"/>
    <n v="0"/>
    <n v="150"/>
    <m/>
  </r>
  <r>
    <x v="3"/>
    <x v="1"/>
    <d v="2023-02-20T00:00:00"/>
    <x v="8"/>
    <x v="1"/>
    <s v="Sandra i Eric"/>
    <n v="70"/>
    <n v="0"/>
    <n v="70"/>
    <m/>
  </r>
  <r>
    <x v="3"/>
    <x v="1"/>
    <d v="2023-02-27T00:00:00"/>
    <x v="7"/>
    <x v="0"/>
    <s v="Telèfon febrer"/>
    <n v="66.11"/>
    <n v="66.11"/>
    <n v="0"/>
    <m/>
  </r>
  <r>
    <x v="3"/>
    <x v="2"/>
    <d v="2023-03-01T00:00:00"/>
    <x v="10"/>
    <x v="0"/>
    <s v="març"/>
    <n v="60.5"/>
    <n v="60.5"/>
    <n v="0"/>
    <m/>
  </r>
  <r>
    <x v="3"/>
    <x v="2"/>
    <d v="2023-03-13T00:00:00"/>
    <x v="4"/>
    <x v="0"/>
    <s v="Març"/>
    <n v="558"/>
    <n v="408"/>
    <n v="150"/>
    <m/>
  </r>
  <r>
    <x v="3"/>
    <x v="2"/>
    <d v="2023-03-13T00:00:00"/>
    <x v="9"/>
    <x v="1"/>
    <s v="quota no sabem"/>
    <n v="141.26"/>
    <n v="141.26"/>
    <n v="0"/>
    <m/>
  </r>
  <r>
    <x v="3"/>
    <x v="2"/>
    <d v="2023-03-25T00:00:00"/>
    <x v="2"/>
    <x v="1"/>
    <s v="Mercadona"/>
    <n v="48.15"/>
    <n v="48.15"/>
    <n v="0"/>
    <m/>
  </r>
  <r>
    <x v="3"/>
    <x v="2"/>
    <d v="2023-03-26T00:00:00"/>
    <x v="8"/>
    <x v="1"/>
    <s v="Lourdes"/>
    <n v="150"/>
    <n v="0"/>
    <n v="150"/>
    <m/>
  </r>
  <r>
    <x v="3"/>
    <x v="2"/>
    <d v="2023-03-26T00:00:00"/>
    <x v="7"/>
    <x v="0"/>
    <s v="Març"/>
    <n v="66"/>
    <n v="66"/>
    <n v="0"/>
    <m/>
  </r>
  <r>
    <x v="3"/>
    <x v="3"/>
    <d v="2023-04-13T00:00:00"/>
    <x v="4"/>
    <x v="0"/>
    <s v="ABRIL"/>
    <n v="558"/>
    <n v="408"/>
    <n v="150"/>
    <m/>
  </r>
  <r>
    <x v="3"/>
    <x v="3"/>
    <d v="2023-04-13T00:00:00"/>
    <x v="9"/>
    <x v="1"/>
    <s v="ABRIL"/>
    <n v="199.40999999999997"/>
    <n v="199.41"/>
    <n v="0"/>
    <m/>
  </r>
  <r>
    <x v="3"/>
    <x v="3"/>
    <d v="2023-04-20T00:00:00"/>
    <x v="11"/>
    <x v="3"/>
    <s v="IVA primer trimestre"/>
    <n v="999.27"/>
    <n v="999.27"/>
    <n v="0"/>
    <m/>
  </r>
  <r>
    <x v="3"/>
    <x v="3"/>
    <d v="2023-04-20T00:00:00"/>
    <x v="11"/>
    <x v="3"/>
    <s v="IRPF primer trimestre"/>
    <n v="168.65"/>
    <n v="168.65"/>
    <n v="0"/>
    <m/>
  </r>
  <r>
    <x v="3"/>
    <x v="3"/>
    <d v="2023-04-27T00:00:00"/>
    <x v="8"/>
    <x v="1"/>
    <s v="Lourdes"/>
    <n v="240"/>
    <n v="0"/>
    <n v="240"/>
    <m/>
  </r>
  <r>
    <x v="3"/>
    <x v="3"/>
    <d v="2023-04-24T00:00:00"/>
    <x v="7"/>
    <x v="0"/>
    <s v="Abril"/>
    <n v="66"/>
    <n v="66"/>
    <n v="0"/>
    <m/>
  </r>
  <r>
    <x v="3"/>
    <x v="3"/>
    <d v="2023-04-30T00:00:00"/>
    <x v="2"/>
    <x v="1"/>
    <s v="Leroy Merlin"/>
    <n v="103.16"/>
    <n v="103.16"/>
    <n v="0"/>
    <m/>
  </r>
  <r>
    <x v="3"/>
    <x v="4"/>
    <d v="2023-05-07T00:00:00"/>
    <x v="4"/>
    <x v="0"/>
    <s v="MAIG"/>
    <n v="558"/>
    <n v="408"/>
    <n v="150"/>
    <m/>
  </r>
  <r>
    <x v="3"/>
    <x v="4"/>
    <d v="2023-05-07T00:00:00"/>
    <x v="2"/>
    <x v="1"/>
    <s v="JUANILLO"/>
    <n v="40"/>
    <n v="0"/>
    <n v="40"/>
    <m/>
  </r>
  <r>
    <x v="3"/>
    <x v="4"/>
    <d v="2023-05-07T00:00:00"/>
    <x v="10"/>
    <x v="0"/>
    <s v="GESTORIA"/>
    <n v="60.5"/>
    <n v="60.5"/>
    <n v="0"/>
    <m/>
  </r>
  <r>
    <x v="3"/>
    <x v="4"/>
    <d v="2023-05-13T00:00:00"/>
    <x v="9"/>
    <x v="1"/>
    <s v="JA NO SE…"/>
    <n v="189.94"/>
    <n v="189.94"/>
    <n v="0"/>
    <m/>
  </r>
  <r>
    <x v="3"/>
    <x v="4"/>
    <d v="2023-05-13T00:00:00"/>
    <x v="2"/>
    <x v="1"/>
    <s v="Paper mans lavabo"/>
    <n v="24.25"/>
    <n v="24.25"/>
    <n v="0"/>
    <m/>
  </r>
  <r>
    <x v="3"/>
    <x v="4"/>
    <d v="2023-05-31T00:00:00"/>
    <x v="8"/>
    <x v="1"/>
    <s v="Lourdes"/>
    <n v="225"/>
    <n v="0"/>
    <n v="225"/>
    <m/>
  </r>
  <r>
    <x v="3"/>
    <x v="4"/>
    <d v="2023-05-31T00:00:00"/>
    <x v="1"/>
    <x v="0"/>
    <s v="Assegurança"/>
    <n v="187.64"/>
    <n v="187.64"/>
    <n v="0"/>
    <m/>
  </r>
  <r>
    <x v="3"/>
    <x v="4"/>
    <d v="2023-05-31T00:00:00"/>
    <x v="7"/>
    <x v="0"/>
    <s v="MAIG"/>
    <n v="66"/>
    <n v="66"/>
    <n v="0"/>
    <m/>
  </r>
  <r>
    <x v="3"/>
    <x v="5"/>
    <d v="2023-06-05T00:00:00"/>
    <x v="2"/>
    <x v="1"/>
    <s v="Mercadona"/>
    <n v="38.950000000000003"/>
    <n v="38.950000000000003"/>
    <n v="0"/>
    <m/>
  </r>
  <r>
    <x v="3"/>
    <x v="5"/>
    <d v="2023-06-05T00:00:00"/>
    <x v="2"/>
    <x v="1"/>
    <s v="Sofa"/>
    <n v="75"/>
    <n v="0"/>
    <n v="75"/>
    <m/>
  </r>
  <r>
    <x v="3"/>
    <x v="5"/>
    <d v="2023-06-05T00:00:00"/>
    <x v="10"/>
    <x v="0"/>
    <s v="Juny"/>
    <n v="60.5"/>
    <n v="60.5"/>
    <n v="0"/>
    <m/>
  </r>
  <r>
    <x v="3"/>
    <x v="5"/>
    <d v="2023-05-12T00:00:00"/>
    <x v="4"/>
    <x v="0"/>
    <s v="Juny"/>
    <n v="558"/>
    <n v="408"/>
    <n v="150"/>
    <m/>
  </r>
  <r>
    <x v="3"/>
    <x v="5"/>
    <d v="2023-05-12T00:00:00"/>
    <x v="9"/>
    <x v="1"/>
    <s v="Juny"/>
    <n v="128.11000000000001"/>
    <n v="128.11000000000001"/>
    <n v="0"/>
    <m/>
  </r>
  <r>
    <x v="3"/>
    <x v="5"/>
    <d v="2023-06-30T00:00:00"/>
    <x v="8"/>
    <x v="1"/>
    <s v="LOurdes"/>
    <n v="150"/>
    <n v="0"/>
    <n v="150"/>
    <m/>
  </r>
  <r>
    <x v="3"/>
    <x v="5"/>
    <d v="2023-06-30T00:00:00"/>
    <x v="2"/>
    <x v="1"/>
    <s v="EXTINTORS"/>
    <n v="57.69"/>
    <n v="57.69"/>
    <n v="0"/>
    <m/>
  </r>
  <r>
    <x v="3"/>
    <x v="5"/>
    <d v="2023-06-30T00:00:00"/>
    <x v="2"/>
    <x v="1"/>
    <s v="REOMPLIR EXINTORS"/>
    <n v="60"/>
    <n v="60"/>
    <n v="0"/>
    <m/>
  </r>
  <r>
    <x v="3"/>
    <x v="5"/>
    <d v="2023-06-30T00:00:00"/>
    <x v="7"/>
    <x v="0"/>
    <s v="Juny"/>
    <n v="66"/>
    <n v="66"/>
    <n v="0"/>
    <m/>
  </r>
  <r>
    <x v="3"/>
    <x v="5"/>
    <d v="2023-06-30T00:00:00"/>
    <x v="2"/>
    <x v="1"/>
    <s v="Interessos compte corrent"/>
    <n v="10"/>
    <n v="10"/>
    <n v="0"/>
    <m/>
  </r>
  <r>
    <x v="3"/>
    <x v="6"/>
    <d v="2023-07-10T00:00:00"/>
    <x v="4"/>
    <x v="0"/>
    <s v="JULIO"/>
    <n v="558"/>
    <n v="408"/>
    <n v="150"/>
    <m/>
  </r>
  <r>
    <x v="3"/>
    <x v="6"/>
    <d v="2023-07-10T00:00:00"/>
    <x v="9"/>
    <x v="1"/>
    <s v="JULIO"/>
    <n v="126.48000000000002"/>
    <n v="126.48"/>
    <n v="0"/>
    <m/>
  </r>
  <r>
    <x v="3"/>
    <x v="6"/>
    <d v="2023-07-10T00:00:00"/>
    <x v="10"/>
    <x v="0"/>
    <s v="JULIO"/>
    <n v="60.5"/>
    <n v="60.5"/>
    <n v="0"/>
    <m/>
  </r>
  <r>
    <x v="3"/>
    <x v="6"/>
    <d v="2023-07-10T00:00:00"/>
    <x v="2"/>
    <x v="1"/>
    <s v="TAULES "/>
    <n v="170"/>
    <n v="0"/>
    <n v="170"/>
    <m/>
  </r>
  <r>
    <x v="3"/>
    <x v="6"/>
    <d v="2023-07-16T00:00:00"/>
    <x v="8"/>
    <x v="1"/>
    <s v="LOURDES"/>
    <n v="90"/>
    <n v="0"/>
    <n v="90"/>
    <m/>
  </r>
  <r>
    <x v="3"/>
    <x v="6"/>
    <d v="2023-07-16T00:00:00"/>
    <x v="2"/>
    <x v="1"/>
    <s v="Mercadona"/>
    <n v="19"/>
    <n v="19"/>
    <n v="0"/>
    <m/>
  </r>
  <r>
    <x v="3"/>
    <x v="6"/>
    <d v="2023-07-18T00:00:00"/>
    <x v="11"/>
    <x v="3"/>
    <s v="Segon trimestre IVA IRPF"/>
    <n v="1733.91"/>
    <n v="1733.91"/>
    <n v="0"/>
    <m/>
  </r>
  <r>
    <x v="3"/>
    <x v="6"/>
    <d v="2023-07-24T00:00:00"/>
    <x v="8"/>
    <x v="1"/>
    <s v="Eric sandra"/>
    <n v="100"/>
    <n v="0"/>
    <n v="100"/>
    <m/>
  </r>
  <r>
    <x v="3"/>
    <x v="6"/>
    <d v="2023-07-30T00:00:00"/>
    <x v="7"/>
    <x v="0"/>
    <s v="JULIOL"/>
    <n v="66"/>
    <n v="66"/>
    <n v="0"/>
    <m/>
  </r>
  <r>
    <x v="3"/>
    <x v="6"/>
    <d v="2023-07-30T00:00:00"/>
    <x v="2"/>
    <x v="1"/>
    <s v="LERoy Merlin"/>
    <n v="160.47999999999999"/>
    <n v="160.47999999999999"/>
    <n v="0"/>
    <m/>
  </r>
  <r>
    <x v="3"/>
    <x v="6"/>
    <d v="2023-07-30T00:00:00"/>
    <x v="2"/>
    <x v="1"/>
    <s v="VIDRE"/>
    <n v="231.64"/>
    <n v="231.64"/>
    <n v="0"/>
    <m/>
  </r>
  <r>
    <x v="3"/>
    <x v="7"/>
    <d v="2023-08-03T00:00:00"/>
    <x v="2"/>
    <x v="1"/>
    <s v="LERoy Merlin"/>
    <n v="37.96"/>
    <n v="37.96"/>
    <n v="0"/>
    <m/>
  </r>
  <r>
    <x v="3"/>
    <x v="7"/>
    <d v="2023-08-03T00:00:00"/>
    <x v="10"/>
    <x v="0"/>
    <s v="AGOST"/>
    <n v="60.5"/>
    <n v="60.5"/>
    <n v="0"/>
    <m/>
  </r>
  <r>
    <x v="3"/>
    <x v="7"/>
    <d v="2023-08-10T00:00:00"/>
    <x v="2"/>
    <x v="1"/>
    <s v="Pintura"/>
    <n v="27.23"/>
    <n v="27.23"/>
    <n v="0"/>
    <m/>
  </r>
  <r>
    <x v="3"/>
    <x v="7"/>
    <d v="2023-08-10T00:00:00"/>
    <x v="4"/>
    <x v="0"/>
    <s v="Agost"/>
    <n v="558"/>
    <n v="408"/>
    <n v="150"/>
    <m/>
  </r>
  <r>
    <x v="3"/>
    <x v="7"/>
    <d v="2023-08-10T00:00:00"/>
    <x v="9"/>
    <x v="1"/>
    <s v="Agost"/>
    <n v="226.19"/>
    <n v="226.19"/>
    <n v="0"/>
    <m/>
  </r>
  <r>
    <x v="3"/>
    <x v="7"/>
    <d v="2023-08-10T00:00:00"/>
    <x v="12"/>
    <x v="1"/>
    <s v="Agost"/>
    <n v="125.59"/>
    <n v="125.59"/>
    <n v="0"/>
    <m/>
  </r>
  <r>
    <x v="3"/>
    <x v="7"/>
    <d v="2023-08-17T00:00:00"/>
    <x v="2"/>
    <x v="1"/>
    <s v="Mercadona"/>
    <n v="30.65"/>
    <n v="30.65"/>
    <n v="0"/>
    <m/>
  </r>
  <r>
    <x v="3"/>
    <x v="7"/>
    <d v="2023-08-17T00:00:00"/>
    <x v="7"/>
    <x v="0"/>
    <s v="Agost"/>
    <n v="66.3"/>
    <n v="66.3"/>
    <n v="0"/>
    <m/>
  </r>
  <r>
    <x v="3"/>
    <x v="8"/>
    <d v="2023-09-01T00:00:00"/>
    <x v="10"/>
    <x v="0"/>
    <s v="Setembre"/>
    <n v="60.5"/>
    <n v="60.5"/>
    <n v="0"/>
    <m/>
  </r>
  <r>
    <x v="3"/>
    <x v="8"/>
    <d v="2023-09-03T00:00:00"/>
    <x v="4"/>
    <x v="0"/>
    <s v="Setembre"/>
    <n v="558"/>
    <n v="408"/>
    <n v="150"/>
    <m/>
  </r>
  <r>
    <x v="3"/>
    <x v="8"/>
    <d v="2023-09-03T00:00:00"/>
    <x v="9"/>
    <x v="1"/>
    <s v="Setembre"/>
    <n v="164.68"/>
    <n v="164.68"/>
    <n v="0"/>
    <m/>
  </r>
  <r>
    <x v="3"/>
    <x v="8"/>
    <d v="2023-09-05T00:00:00"/>
    <x v="8"/>
    <x v="1"/>
    <s v="Eric sandra"/>
    <n v="70"/>
    <n v="0"/>
    <n v="70"/>
    <m/>
  </r>
  <r>
    <x v="3"/>
    <x v="8"/>
    <d v="2023-09-07T00:00:00"/>
    <x v="2"/>
    <x v="1"/>
    <s v="Cafetera"/>
    <n v="39.9"/>
    <n v="39.9"/>
    <n v="0"/>
    <m/>
  </r>
  <r>
    <x v="3"/>
    <x v="8"/>
    <d v="2023-09-07T00:00:00"/>
    <x v="2"/>
    <x v="1"/>
    <s v="paper mans lavabo"/>
    <n v="24"/>
    <n v="24"/>
    <n v="0"/>
    <m/>
  </r>
  <r>
    <x v="3"/>
    <x v="8"/>
    <d v="2023-09-07T00:00:00"/>
    <x v="2"/>
    <x v="1"/>
    <s v="Comisions banc sabadell"/>
    <n v="0"/>
    <n v="0"/>
    <n v="0"/>
    <m/>
  </r>
  <r>
    <x v="3"/>
    <x v="8"/>
    <d v="2023-09-25T00:00:00"/>
    <x v="7"/>
    <x v="0"/>
    <s v="Setembre"/>
    <n v="16.670000000000002"/>
    <n v="16.670000000000002"/>
    <n v="0"/>
    <m/>
  </r>
  <r>
    <x v="3"/>
    <x v="8"/>
    <d v="2023-09-25T00:00:00"/>
    <x v="7"/>
    <x v="0"/>
    <s v="Setembre"/>
    <n v="70.78"/>
    <n v="70.78"/>
    <n v="0"/>
    <m/>
  </r>
  <r>
    <x v="3"/>
    <x v="8"/>
    <d v="2023-09-30T00:00:00"/>
    <x v="8"/>
    <x v="1"/>
    <s v="Lourdes"/>
    <n v="135"/>
    <n v="0"/>
    <n v="135"/>
    <m/>
  </r>
  <r>
    <x v="3"/>
    <x v="9"/>
    <d v="2023-10-01T00:00:00"/>
    <x v="10"/>
    <x v="0"/>
    <s v="Octubre"/>
    <n v="60.5"/>
    <n v="60.5"/>
    <n v="0"/>
    <m/>
  </r>
  <r>
    <x v="3"/>
    <x v="9"/>
    <d v="2023-10-06T00:00:00"/>
    <x v="2"/>
    <x v="1"/>
    <s v="Maquina inflar globus"/>
    <n v="16.989999999999998"/>
    <n v="16.989999999999998"/>
    <n v="0"/>
    <m/>
  </r>
  <r>
    <x v="3"/>
    <x v="9"/>
    <d v="2023-10-07T00:00:00"/>
    <x v="2"/>
    <x v="1"/>
    <s v="Mercadona"/>
    <n v="68.400000000000006"/>
    <n v="68.400000000000006"/>
    <n v="0"/>
    <m/>
  </r>
  <r>
    <x v="3"/>
    <x v="9"/>
    <d v="2023-10-07T00:00:00"/>
    <x v="4"/>
    <x v="0"/>
    <s v="Octubre"/>
    <n v="558"/>
    <n v="408"/>
    <n v="150"/>
    <m/>
  </r>
  <r>
    <x v="3"/>
    <x v="9"/>
    <d v="2023-10-14T00:00:00"/>
    <x v="5"/>
    <x v="2"/>
    <s v="40 Cadires"/>
    <n v="399.6"/>
    <n v="0"/>
    <n v="399.6"/>
    <m/>
  </r>
  <r>
    <x v="3"/>
    <x v="9"/>
    <d v="2023-10-14T00:00:00"/>
    <x v="2"/>
    <x v="1"/>
    <s v="Pulsador lavabo"/>
    <n v="17.95"/>
    <n v="17.95"/>
    <n v="0"/>
    <m/>
  </r>
  <r>
    <x v="3"/>
    <x v="9"/>
    <d v="2023-10-14T00:00:00"/>
    <x v="5"/>
    <x v="2"/>
    <s v="Leroy Merlin"/>
    <n v="55.41"/>
    <n v="0"/>
    <n v="55.41"/>
    <m/>
  </r>
  <r>
    <x v="3"/>
    <x v="9"/>
    <d v="2023-10-14T00:00:00"/>
    <x v="9"/>
    <x v="1"/>
    <s v="Octubre"/>
    <n v="127.54999999999995"/>
    <n v="127.55"/>
    <n v="0"/>
    <m/>
  </r>
  <r>
    <x v="3"/>
    <x v="9"/>
    <d v="2023-10-20T00:00:00"/>
    <x v="11"/>
    <x v="3"/>
    <s v="Tercer trimestre IVA i IRPF"/>
    <n v="1025.77"/>
    <n v="1025.77"/>
    <n v="0"/>
    <m/>
  </r>
  <r>
    <x v="3"/>
    <x v="9"/>
    <d v="2023-10-29T00:00:00"/>
    <x v="8"/>
    <x v="1"/>
    <s v="Eric sandra"/>
    <n v="50"/>
    <n v="0"/>
    <n v="50"/>
    <m/>
  </r>
  <r>
    <x v="3"/>
    <x v="9"/>
    <d v="2023-10-29T00:00:00"/>
    <x v="7"/>
    <x v="0"/>
    <s v="Octubre"/>
    <n v="77.400000000000006"/>
    <n v="77.400000000000006"/>
    <n v="0"/>
    <m/>
  </r>
  <r>
    <x v="3"/>
    <x v="9"/>
    <d v="2023-10-29T00:00:00"/>
    <x v="7"/>
    <x v="0"/>
    <s v="Octubre"/>
    <n v="40.9"/>
    <n v="40.9"/>
    <n v="0"/>
    <m/>
  </r>
  <r>
    <x v="3"/>
    <x v="9"/>
    <d v="2023-10-31T00:00:00"/>
    <x v="8"/>
    <x v="1"/>
    <s v="Lourdes"/>
    <n v="240"/>
    <n v="0"/>
    <n v="240"/>
    <m/>
  </r>
  <r>
    <x v="3"/>
    <x v="9"/>
    <d v="2023-10-31T00:00:00"/>
    <x v="2"/>
    <x v="1"/>
    <s v="Tapa vater"/>
    <n v="20"/>
    <n v="0"/>
    <n v="20"/>
    <m/>
  </r>
  <r>
    <x v="3"/>
    <x v="10"/>
    <d v="2023-11-01T00:00:00"/>
    <x v="7"/>
    <x v="0"/>
    <s v="Devolucions"/>
    <n v="-26.8"/>
    <n v="-26.8"/>
    <n v="0"/>
    <m/>
  </r>
  <r>
    <x v="3"/>
    <x v="10"/>
    <d v="2023-11-02T00:00:00"/>
    <x v="10"/>
    <x v="0"/>
    <s v="Novembre"/>
    <n v="60.5"/>
    <n v="60.5"/>
    <n v="0"/>
    <m/>
  </r>
  <r>
    <x v="3"/>
    <x v="10"/>
    <d v="2023-11-07T00:00:00"/>
    <x v="4"/>
    <x v="0"/>
    <s v="Novembre"/>
    <n v="558"/>
    <n v="408"/>
    <n v="150"/>
    <m/>
  </r>
  <r>
    <x v="3"/>
    <x v="10"/>
    <d v="2023-11-07T00:00:00"/>
    <x v="9"/>
    <x v="1"/>
    <s v="Novembre"/>
    <n v="168.95000000000005"/>
    <n v="168.95000000000005"/>
    <n v="0"/>
    <m/>
  </r>
  <r>
    <x v="3"/>
    <x v="10"/>
    <d v="2023-11-15T00:00:00"/>
    <x v="7"/>
    <x v="0"/>
    <s v="Devolucions"/>
    <n v="-40.78"/>
    <n v="-40.78"/>
    <n v="0"/>
    <m/>
  </r>
  <r>
    <x v="3"/>
    <x v="10"/>
    <d v="2023-11-27T00:00:00"/>
    <x v="7"/>
    <x v="0"/>
    <s v="Novembre"/>
    <n v="58.68"/>
    <n v="58.68"/>
    <n v="0"/>
    <m/>
  </r>
  <r>
    <x v="3"/>
    <x v="10"/>
    <d v="2023-11-27T00:00:00"/>
    <x v="7"/>
    <x v="0"/>
    <s v="Novembre"/>
    <n v="9.24"/>
    <n v="9.24"/>
    <n v="0"/>
    <m/>
  </r>
  <r>
    <x v="3"/>
    <x v="10"/>
    <d v="2023-11-30T00:00:00"/>
    <x v="8"/>
    <x v="1"/>
    <s v="Lourdes"/>
    <n v="210"/>
    <n v="0"/>
    <n v="210"/>
    <m/>
  </r>
  <r>
    <x v="3"/>
    <x v="11"/>
    <d v="2023-12-01T00:00:00"/>
    <x v="10"/>
    <x v="0"/>
    <s v="Desembre"/>
    <n v="60.5"/>
    <n v="60.5"/>
    <n v="0"/>
    <m/>
  </r>
  <r>
    <x v="3"/>
    <x v="11"/>
    <d v="2023-12-01T00:00:00"/>
    <x v="7"/>
    <x v="0"/>
    <s v="Devolucions"/>
    <n v="-11.52"/>
    <n v="-11.52"/>
    <n v="0"/>
    <m/>
  </r>
  <r>
    <x v="3"/>
    <x v="11"/>
    <d v="2023-12-03T00:00:00"/>
    <x v="8"/>
    <x v="1"/>
    <s v="Eric sandra"/>
    <n v="350"/>
    <n v="0"/>
    <n v="350"/>
    <m/>
  </r>
  <r>
    <x v="3"/>
    <x v="11"/>
    <d v="2023-12-03T00:00:00"/>
    <x v="2"/>
    <x v="1"/>
    <s v="JUANILLO"/>
    <n v="90"/>
    <n v="0"/>
    <n v="90"/>
    <m/>
  </r>
  <r>
    <x v="3"/>
    <x v="11"/>
    <d v="2023-12-04T00:00:00"/>
    <x v="0"/>
    <x v="0"/>
    <s v="Renovació"/>
    <n v="603.79"/>
    <n v="603.79"/>
    <n v="0"/>
    <m/>
  </r>
  <r>
    <x v="3"/>
    <x v="11"/>
    <d v="2023-12-04T00:00:00"/>
    <x v="0"/>
    <x v="0"/>
    <s v="Domini"/>
    <n v="22.99"/>
    <n v="22.99"/>
    <n v="0"/>
    <m/>
  </r>
  <r>
    <x v="3"/>
    <x v="11"/>
    <d v="2023-12-06T00:00:00"/>
    <x v="4"/>
    <x v="0"/>
    <s v="Desembre"/>
    <n v="558"/>
    <n v="408"/>
    <n v="150"/>
    <m/>
  </r>
  <r>
    <x v="3"/>
    <x v="11"/>
    <d v="2023-12-06T00:00:00"/>
    <x v="9"/>
    <x v="1"/>
    <s v="Desembre"/>
    <n v="174.28999999999996"/>
    <n v="174.28999999999996"/>
    <n v="0"/>
    <m/>
  </r>
  <r>
    <x v="3"/>
    <x v="11"/>
    <d v="2923-12-07T00:00:00"/>
    <x v="2"/>
    <x v="1"/>
    <s v="Mercadona"/>
    <n v="18.649999999999999"/>
    <n v="18.649999999999999"/>
    <n v="0"/>
    <m/>
  </r>
  <r>
    <x v="3"/>
    <x v="11"/>
    <d v="2023-12-07T00:00:00"/>
    <x v="5"/>
    <x v="2"/>
    <s v="Trono nou"/>
    <n v="99"/>
    <n v="0"/>
    <n v="99"/>
    <m/>
  </r>
  <r>
    <x v="3"/>
    <x v="11"/>
    <d v="2023-12-13T00:00:00"/>
    <x v="2"/>
    <x v="1"/>
    <s v="Paper mans lavabo"/>
    <n v="22"/>
    <n v="22"/>
    <n v="0"/>
    <m/>
  </r>
  <r>
    <x v="3"/>
    <x v="11"/>
    <d v="2023-12-13T00:00:00"/>
    <x v="2"/>
    <x v="1"/>
    <s v="Haragan"/>
    <n v="13.14"/>
    <n v="13.14"/>
    <n v="0"/>
    <m/>
  </r>
  <r>
    <x v="3"/>
    <x v="11"/>
    <d v="2023-12-13T00:00:00"/>
    <x v="2"/>
    <x v="1"/>
    <s v="Matarratas"/>
    <n v="11"/>
    <n v="11"/>
    <n v="0"/>
    <m/>
  </r>
  <r>
    <x v="3"/>
    <x v="11"/>
    <d v="2023-12-14T00:00:00"/>
    <x v="5"/>
    <x v="2"/>
    <s v="Aspiradora"/>
    <n v="73.98"/>
    <n v="73.98"/>
    <n v="0"/>
    <m/>
  </r>
  <r>
    <x v="3"/>
    <x v="11"/>
    <d v="2023-12-17T00:00:00"/>
    <x v="2"/>
    <x v="1"/>
    <s v="Lampara projector"/>
    <n v="82"/>
    <n v="82"/>
    <n v="0"/>
    <m/>
  </r>
  <r>
    <x v="3"/>
    <x v="11"/>
    <d v="2023-12-17T00:00:00"/>
    <x v="2"/>
    <x v="1"/>
    <s v="Sofas baixera"/>
    <n v="29.5"/>
    <n v="29.5"/>
    <n v="0"/>
    <m/>
  </r>
  <r>
    <x v="3"/>
    <x v="11"/>
    <d v="2023-12-24T00:00:00"/>
    <x v="8"/>
    <x v="1"/>
    <s v="Eric sandra"/>
    <n v="70"/>
    <n v="0"/>
    <n v="70"/>
    <m/>
  </r>
  <r>
    <x v="3"/>
    <x v="11"/>
    <d v="2023-12-28T00:00:00"/>
    <x v="2"/>
    <x v="1"/>
    <s v="Sabó maquina neteja"/>
    <n v="63.16"/>
    <n v="0"/>
    <n v="63.16"/>
    <m/>
  </r>
  <r>
    <x v="3"/>
    <x v="11"/>
    <d v="2023-12-28T00:00:00"/>
    <x v="2"/>
    <x v="1"/>
    <s v="Mercadona"/>
    <n v="24.75"/>
    <n v="24.75"/>
    <n v="0"/>
    <m/>
  </r>
  <r>
    <x v="3"/>
    <x v="11"/>
    <d v="2023-12-28T00:00:00"/>
    <x v="7"/>
    <x v="0"/>
    <s v="Desembre"/>
    <n v="53.21"/>
    <n v="53.21"/>
    <n v="0"/>
    <m/>
  </r>
  <r>
    <x v="3"/>
    <x v="11"/>
    <d v="2023-12-31T00:00:00"/>
    <x v="2"/>
    <x v="1"/>
    <s v="Lourdes"/>
    <n v="290"/>
    <n v="0"/>
    <n v="290"/>
    <m/>
  </r>
  <r>
    <x v="3"/>
    <x v="11"/>
    <d v="2023-12-31T00:00:00"/>
    <x v="5"/>
    <x v="2"/>
    <s v="Taules"/>
    <n v="229.36"/>
    <n v="229.36"/>
    <n v="0"/>
    <m/>
  </r>
  <r>
    <x v="4"/>
    <x v="0"/>
    <d v="2024-01-01T00:00:00"/>
    <x v="2"/>
    <x v="1"/>
    <s v="Boles futbolin i llums"/>
    <n v="45"/>
    <n v="45"/>
    <n v="0"/>
    <m/>
  </r>
  <r>
    <x v="4"/>
    <x v="0"/>
    <d v="2024-01-02T00:00:00"/>
    <x v="10"/>
    <x v="0"/>
    <s v="Gener 2024"/>
    <n v="60.5"/>
    <n v="60.5"/>
    <n v="0"/>
    <m/>
  </r>
  <r>
    <x v="4"/>
    <x v="0"/>
    <d v="2024-01-03T00:00:00"/>
    <x v="4"/>
    <x v="0"/>
    <s v="Gener 2024"/>
    <n v="150"/>
    <n v="0"/>
    <n v="150"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66">
  <r>
    <x v="0"/>
    <x v="0"/>
    <d v="2020-01-01T00:00:00"/>
    <s v="DIMECRES"/>
    <s v="SI"/>
    <s v="NO"/>
    <d v="1899-12-30T12:30:00"/>
    <d v="1899-12-30T20:30:00"/>
    <x v="0"/>
    <n v="2"/>
    <x v="0"/>
    <n v="8170"/>
    <s v="MONTORNES DEL VALLES"/>
    <m/>
    <n v="657287882"/>
    <n v="200"/>
    <n v="0"/>
    <n v="0"/>
    <n v="200"/>
    <x v="0"/>
    <n v="0"/>
    <n v="200"/>
    <n v="0"/>
    <n v="0"/>
    <s v="ANUAL"/>
  </r>
  <r>
    <x v="0"/>
    <x v="0"/>
    <d v="2020-01-02T00:00:00"/>
    <s v="DIJOUS"/>
    <s v="NO"/>
    <s v="NO"/>
    <d v="1899-12-30T15:30:00"/>
    <d v="1899-12-30T20:30:00"/>
    <x v="1"/>
    <n v="2"/>
    <x v="1"/>
    <m/>
    <m/>
    <m/>
    <m/>
    <n v="95"/>
    <n v="0"/>
    <n v="0"/>
    <n v="95"/>
    <x v="0"/>
    <n v="5"/>
    <n v="90"/>
    <n v="0"/>
    <n v="0"/>
    <m/>
  </r>
  <r>
    <x v="0"/>
    <x v="0"/>
    <d v="2020-01-03T00:00:00"/>
    <s v="DIVENDRES"/>
    <s v="NO"/>
    <s v="NO"/>
    <d v="1899-12-30T15:30:00"/>
    <d v="1899-12-30T20:30:00"/>
    <x v="1"/>
    <n v="1"/>
    <x v="2"/>
    <m/>
    <m/>
    <m/>
    <m/>
    <n v="135"/>
    <n v="0"/>
    <n v="0"/>
    <n v="135"/>
    <x v="0"/>
    <n v="135"/>
    <n v="0"/>
    <n v="0"/>
    <n v="0"/>
    <m/>
  </r>
  <r>
    <x v="0"/>
    <x v="0"/>
    <d v="2020-01-03T00:00:00"/>
    <s v="DIVENDRES"/>
    <s v="NO"/>
    <s v="NO"/>
    <d v="1899-12-30T21:30:00"/>
    <d v="1899-12-30T02:30:00"/>
    <x v="2"/>
    <n v="1"/>
    <x v="3"/>
    <m/>
    <s v="VILANOVA DEL VALLES"/>
    <m/>
    <m/>
    <n v="195"/>
    <n v="0"/>
    <n v="0"/>
    <n v="195"/>
    <x v="0"/>
    <n v="0"/>
    <n v="195"/>
    <n v="0"/>
    <n v="0"/>
    <m/>
  </r>
  <r>
    <x v="0"/>
    <x v="0"/>
    <d v="2020-01-04T00:00:00"/>
    <s v="DISSABTE"/>
    <s v="NO"/>
    <s v="NO"/>
    <d v="1899-12-30T09:30:00"/>
    <d v="1899-12-30T14:30:00"/>
    <x v="3"/>
    <n v="1"/>
    <x v="4"/>
    <m/>
    <m/>
    <m/>
    <m/>
    <n v="145"/>
    <n v="0"/>
    <n v="0"/>
    <n v="145"/>
    <x v="0"/>
    <n v="0"/>
    <n v="145"/>
    <n v="0"/>
    <n v="0"/>
    <m/>
  </r>
  <r>
    <x v="0"/>
    <x v="0"/>
    <d v="2020-01-04T00:00:00"/>
    <s v="DISSABTE"/>
    <s v="NO"/>
    <s v="NO"/>
    <d v="1899-12-30T15:30:00"/>
    <d v="1899-12-30T20:30:00"/>
    <x v="1"/>
    <n v="1"/>
    <x v="5"/>
    <n v="8170"/>
    <s v="MONTORNES DEL VALLES"/>
    <m/>
    <m/>
    <n v="145"/>
    <n v="0"/>
    <n v="0"/>
    <n v="145"/>
    <x v="0"/>
    <n v="145"/>
    <n v="0"/>
    <n v="0"/>
    <n v="0"/>
    <m/>
  </r>
  <r>
    <x v="0"/>
    <x v="0"/>
    <d v="2020-01-04T00:00:00"/>
    <s v="DISSABTE"/>
    <s v="NO"/>
    <s v="NO"/>
    <d v="1899-12-30T21:30:00"/>
    <d v="1899-12-30T02:30:00"/>
    <x v="2"/>
    <n v="1"/>
    <x v="6"/>
    <m/>
    <s v="VILANOVA DEL VALLES"/>
    <m/>
    <m/>
    <n v="195"/>
    <n v="0"/>
    <n v="0"/>
    <n v="195"/>
    <x v="0"/>
    <n v="195"/>
    <n v="0"/>
    <n v="0"/>
    <n v="0"/>
    <m/>
  </r>
  <r>
    <x v="0"/>
    <x v="0"/>
    <d v="2020-01-05T00:00:00"/>
    <s v="DIUMENGE"/>
    <s v="NO"/>
    <s v="SI"/>
    <d v="1899-12-30T09:30:00"/>
    <d v="1899-12-30T14:30:00"/>
    <x v="3"/>
    <n v="1"/>
    <x v="7"/>
    <m/>
    <s v="SENMENAT"/>
    <m/>
    <m/>
    <n v="145"/>
    <n v="0"/>
    <n v="0"/>
    <n v="145"/>
    <x v="0"/>
    <n v="145"/>
    <n v="0"/>
    <n v="0"/>
    <n v="0"/>
    <m/>
  </r>
  <r>
    <x v="0"/>
    <x v="0"/>
    <d v="2020-01-06T00:00:00"/>
    <s v="DILLUNS"/>
    <s v="SI"/>
    <s v="NO"/>
    <d v="1899-12-30T15:00:00"/>
    <d v="1899-12-30T20:00:00"/>
    <x v="0"/>
    <n v="1"/>
    <x v="8"/>
    <m/>
    <m/>
    <m/>
    <m/>
    <n v="145"/>
    <n v="0"/>
    <n v="0"/>
    <n v="145"/>
    <x v="0"/>
    <n v="145"/>
    <n v="0"/>
    <n v="0"/>
    <n v="0"/>
    <s v="ANUAL"/>
  </r>
  <r>
    <x v="0"/>
    <x v="0"/>
    <d v="2020-01-08T00:00:00"/>
    <s v="DIMECRES"/>
    <s v="NO"/>
    <s v="NO"/>
    <d v="1899-12-30T15:30:00"/>
    <d v="1899-12-30T20:30:00"/>
    <x v="1"/>
    <n v="1"/>
    <x v="9"/>
    <m/>
    <m/>
    <m/>
    <m/>
    <n v="95"/>
    <n v="0"/>
    <n v="0"/>
    <n v="95"/>
    <x v="0"/>
    <n v="0"/>
    <n v="95"/>
    <n v="0"/>
    <n v="0"/>
    <m/>
  </r>
  <r>
    <x v="0"/>
    <x v="0"/>
    <d v="2020-01-11T00:00:00"/>
    <s v="DISSABTE"/>
    <s v="NO"/>
    <s v="NO"/>
    <d v="1899-12-30T15:30:00"/>
    <d v="1899-12-30T02:30:00"/>
    <x v="4"/>
    <n v="2"/>
    <x v="9"/>
    <m/>
    <m/>
    <m/>
    <m/>
    <n v="300"/>
    <n v="0"/>
    <n v="0"/>
    <n v="300"/>
    <x v="0"/>
    <n v="300"/>
    <n v="0"/>
    <n v="0"/>
    <n v="0"/>
    <m/>
  </r>
  <r>
    <x v="0"/>
    <x v="0"/>
    <d v="2020-01-12T00:00:00"/>
    <s v="DIUMENGE"/>
    <s v="NO"/>
    <s v="NO"/>
    <d v="1899-12-30T09:30:00"/>
    <d v="1899-12-30T20:30:00"/>
    <x v="5"/>
    <n v="2"/>
    <x v="9"/>
    <m/>
    <m/>
    <m/>
    <m/>
    <n v="200"/>
    <n v="0"/>
    <n v="0"/>
    <n v="200"/>
    <x v="0"/>
    <n v="200"/>
    <n v="0"/>
    <n v="0"/>
    <n v="0"/>
    <m/>
  </r>
  <r>
    <x v="0"/>
    <x v="0"/>
    <d v="2020-01-17T00:00:00"/>
    <s v="DIVENDRES"/>
    <s v="NO"/>
    <s v="NO"/>
    <d v="1899-12-30T21:30:00"/>
    <d v="1899-12-30T02:30:00"/>
    <x v="2"/>
    <n v="1"/>
    <x v="10"/>
    <m/>
    <s v="VILANOVA DEL VALLES"/>
    <m/>
    <m/>
    <n v="195"/>
    <n v="1"/>
    <n v="50"/>
    <n v="245"/>
    <x v="0"/>
    <n v="195"/>
    <n v="0"/>
    <n v="0"/>
    <n v="50"/>
    <m/>
  </r>
  <r>
    <x v="0"/>
    <x v="0"/>
    <d v="2020-01-18T00:00:00"/>
    <s v="DISSABTE"/>
    <s v="NO"/>
    <s v="NO"/>
    <d v="1899-12-30T15:30:00"/>
    <d v="1899-12-30T20:30:00"/>
    <x v="1"/>
    <n v="1"/>
    <x v="9"/>
    <m/>
    <m/>
    <m/>
    <m/>
    <n v="145"/>
    <n v="0"/>
    <n v="0"/>
    <n v="145"/>
    <x v="0"/>
    <n v="100"/>
    <n v="45"/>
    <n v="0"/>
    <n v="0"/>
    <m/>
  </r>
  <r>
    <x v="0"/>
    <x v="0"/>
    <d v="2020-01-18T00:00:00"/>
    <s v="DISSABTE"/>
    <s v="NO"/>
    <s v="NO"/>
    <d v="1899-12-30T21:30:00"/>
    <d v="1899-12-30T02:30:00"/>
    <x v="2"/>
    <n v="1"/>
    <x v="11"/>
    <n v="8170"/>
    <s v="MONTORNES DEL VALLES"/>
    <m/>
    <m/>
    <n v="195"/>
    <n v="0"/>
    <n v="0"/>
    <n v="195"/>
    <x v="0"/>
    <n v="0"/>
    <n v="195"/>
    <n v="0"/>
    <n v="0"/>
    <m/>
  </r>
  <r>
    <x v="0"/>
    <x v="0"/>
    <d v="2020-01-19T00:00:00"/>
    <s v="DIUMENGE"/>
    <s v="NO"/>
    <s v="NO"/>
    <d v="1899-12-30T15:30:00"/>
    <d v="1899-12-30T20:30:00"/>
    <x v="1"/>
    <n v="1"/>
    <x v="12"/>
    <n v="8170"/>
    <s v="MONTORNES DEL VALLES"/>
    <m/>
    <m/>
    <n v="145"/>
    <n v="0"/>
    <n v="0"/>
    <n v="145"/>
    <x v="0"/>
    <n v="0"/>
    <n v="145"/>
    <n v="0"/>
    <n v="0"/>
    <m/>
  </r>
  <r>
    <x v="0"/>
    <x v="0"/>
    <d v="2020-01-25T00:00:00"/>
    <s v="DISSABTE"/>
    <s v="NO"/>
    <s v="NO"/>
    <d v="1899-12-30T09:30:00"/>
    <d v="1899-12-30T14:30:00"/>
    <x v="3"/>
    <n v="1"/>
    <x v="13"/>
    <m/>
    <m/>
    <m/>
    <m/>
    <n v="145"/>
    <n v="0"/>
    <n v="0"/>
    <n v="145"/>
    <x v="0"/>
    <n v="50"/>
    <n v="95"/>
    <n v="0"/>
    <n v="0"/>
    <m/>
  </r>
  <r>
    <x v="0"/>
    <x v="0"/>
    <d v="2020-01-25T00:00:00"/>
    <s v="DISSABTE"/>
    <s v="NO"/>
    <s v="NO"/>
    <d v="1899-12-30T21:30:00"/>
    <d v="1899-12-30T02:30:00"/>
    <x v="2"/>
    <n v="1"/>
    <x v="14"/>
    <m/>
    <m/>
    <m/>
    <m/>
    <n v="195"/>
    <n v="0"/>
    <n v="0"/>
    <n v="195"/>
    <x v="0"/>
    <n v="0"/>
    <n v="195"/>
    <n v="0"/>
    <n v="0"/>
    <m/>
  </r>
  <r>
    <x v="0"/>
    <x v="0"/>
    <d v="2020-01-26T00:00:00"/>
    <s v="DIUMENGE"/>
    <s v="NO"/>
    <s v="NO"/>
    <d v="1899-12-30T15:30:00"/>
    <d v="1899-12-30T20:30:00"/>
    <x v="1"/>
    <n v="1"/>
    <x v="15"/>
    <m/>
    <m/>
    <m/>
    <m/>
    <n v="145"/>
    <n v="0"/>
    <n v="0"/>
    <n v="145"/>
    <x v="0"/>
    <n v="50"/>
    <n v="95"/>
    <n v="0"/>
    <n v="0"/>
    <m/>
  </r>
  <r>
    <x v="0"/>
    <x v="0"/>
    <d v="2020-01-31T00:00:00"/>
    <s v="DIVENDRES"/>
    <s v="NO"/>
    <s v="NO"/>
    <d v="1899-12-30T15:30:00"/>
    <d v="1899-12-30T20:30:00"/>
    <x v="1"/>
    <n v="1"/>
    <x v="16"/>
    <m/>
    <m/>
    <m/>
    <m/>
    <n v="135"/>
    <n v="0"/>
    <n v="0"/>
    <n v="135"/>
    <x v="0"/>
    <n v="0"/>
    <n v="135"/>
    <n v="0"/>
    <n v="0"/>
    <m/>
  </r>
  <r>
    <x v="0"/>
    <x v="0"/>
    <d v="2020-01-31T00:00:00"/>
    <s v="DIVENDRES"/>
    <s v="NO"/>
    <s v="NO"/>
    <d v="1899-12-30T21:30:00"/>
    <d v="1899-12-30T02:30:00"/>
    <x v="2"/>
    <n v="1"/>
    <x v="17"/>
    <m/>
    <m/>
    <m/>
    <m/>
    <n v="195"/>
    <n v="0"/>
    <n v="0"/>
    <n v="195"/>
    <x v="0"/>
    <n v="50"/>
    <n v="145"/>
    <n v="0"/>
    <n v="0"/>
    <m/>
  </r>
  <r>
    <x v="0"/>
    <x v="1"/>
    <d v="2020-02-01T00:00:00"/>
    <s v="DISSABTE"/>
    <s v="NO"/>
    <s v="NO"/>
    <d v="1899-12-30T15:30:00"/>
    <d v="1899-12-30T20:30:00"/>
    <x v="1"/>
    <n v="1"/>
    <x v="18"/>
    <m/>
    <m/>
    <m/>
    <m/>
    <n v="145"/>
    <n v="1"/>
    <n v="5"/>
    <n v="150"/>
    <x v="0"/>
    <n v="0"/>
    <n v="145"/>
    <n v="0"/>
    <n v="5"/>
    <m/>
  </r>
  <r>
    <x v="0"/>
    <x v="1"/>
    <d v="2020-02-04T00:00:00"/>
    <s v="DIMARTS"/>
    <s v="NO"/>
    <s v="NO"/>
    <d v="1899-12-30T15:30:00"/>
    <d v="1899-12-30T20:30:00"/>
    <x v="1"/>
    <n v="1"/>
    <x v="19"/>
    <m/>
    <m/>
    <m/>
    <m/>
    <n v="65"/>
    <n v="0"/>
    <n v="0"/>
    <n v="65"/>
    <x v="0"/>
    <n v="50"/>
    <n v="15"/>
    <n v="0"/>
    <n v="0"/>
    <m/>
  </r>
  <r>
    <x v="0"/>
    <x v="1"/>
    <d v="2020-02-08T00:00:00"/>
    <s v="DISSABTE"/>
    <s v="NO"/>
    <s v="NO"/>
    <d v="1899-12-30T15:30:00"/>
    <d v="1899-12-30T20:30:00"/>
    <x v="1"/>
    <n v="1"/>
    <x v="20"/>
    <m/>
    <m/>
    <m/>
    <m/>
    <n v="145"/>
    <n v="0"/>
    <n v="0"/>
    <n v="145"/>
    <x v="0"/>
    <n v="0"/>
    <n v="145"/>
    <n v="0"/>
    <n v="0"/>
    <m/>
  </r>
  <r>
    <x v="0"/>
    <x v="1"/>
    <d v="2020-02-09T00:00:00"/>
    <s v="DIUMENGE"/>
    <s v="NO"/>
    <s v="NO"/>
    <d v="1899-12-30T09:30:00"/>
    <d v="1899-12-30T15:30:00"/>
    <x v="3"/>
    <n v="1"/>
    <x v="21"/>
    <m/>
    <m/>
    <m/>
    <m/>
    <n v="145"/>
    <n v="0"/>
    <n v="0"/>
    <n v="145"/>
    <x v="0"/>
    <n v="50"/>
    <n v="95"/>
    <n v="0"/>
    <n v="0"/>
    <m/>
  </r>
  <r>
    <x v="0"/>
    <x v="1"/>
    <d v="2020-02-10T00:00:00"/>
    <s v="DILLUNS"/>
    <s v="NO"/>
    <s v="NO"/>
    <d v="1899-12-30T15:30:00"/>
    <d v="1899-12-30T20:30:00"/>
    <x v="1"/>
    <n v="1"/>
    <x v="22"/>
    <m/>
    <m/>
    <m/>
    <m/>
    <n v="95"/>
    <n v="0"/>
    <n v="0"/>
    <n v="95"/>
    <x v="0"/>
    <n v="50"/>
    <n v="45"/>
    <n v="0"/>
    <n v="0"/>
    <m/>
  </r>
  <r>
    <x v="0"/>
    <x v="1"/>
    <d v="2020-02-15T00:00:00"/>
    <s v="DISSABTE"/>
    <s v="NO"/>
    <s v="NO"/>
    <d v="1899-12-30T09:30:00"/>
    <d v="1899-12-30T14:30:00"/>
    <x v="3"/>
    <n v="1"/>
    <x v="23"/>
    <m/>
    <m/>
    <m/>
    <m/>
    <n v="145"/>
    <n v="0"/>
    <n v="0"/>
    <n v="145"/>
    <x v="0"/>
    <n v="145"/>
    <n v="0"/>
    <n v="0"/>
    <n v="0"/>
    <m/>
  </r>
  <r>
    <x v="0"/>
    <x v="1"/>
    <d v="2020-02-15T00:00:00"/>
    <s v="DISSABTE"/>
    <s v="NO"/>
    <s v="NO"/>
    <d v="1899-12-30T15:30:00"/>
    <d v="1899-12-30T20:30:00"/>
    <x v="1"/>
    <n v="1"/>
    <x v="24"/>
    <m/>
    <m/>
    <m/>
    <m/>
    <n v="145"/>
    <n v="0"/>
    <n v="0"/>
    <n v="145"/>
    <x v="0"/>
    <n v="145"/>
    <n v="0"/>
    <n v="0"/>
    <n v="0"/>
    <m/>
  </r>
  <r>
    <x v="0"/>
    <x v="1"/>
    <d v="2020-02-15T00:00:00"/>
    <s v="DISSABTE"/>
    <s v="NO"/>
    <s v="NO"/>
    <d v="1899-12-30T21:30:00"/>
    <d v="1899-12-30T02:30:00"/>
    <x v="2"/>
    <n v="1"/>
    <x v="25"/>
    <m/>
    <m/>
    <m/>
    <m/>
    <n v="195"/>
    <n v="0"/>
    <n v="100"/>
    <n v="295"/>
    <x v="0"/>
    <n v="50"/>
    <n v="145"/>
    <n v="0"/>
    <n v="100"/>
    <m/>
  </r>
  <r>
    <x v="0"/>
    <x v="1"/>
    <d v="2020-02-16T00:00:00"/>
    <s v="DIUMENGE"/>
    <s v="NO"/>
    <s v="NO"/>
    <d v="1899-12-30T09:30:00"/>
    <d v="1899-12-30T14:30:00"/>
    <x v="3"/>
    <n v="1"/>
    <x v="26"/>
    <m/>
    <m/>
    <m/>
    <m/>
    <n v="145"/>
    <n v="0"/>
    <n v="0"/>
    <n v="145"/>
    <x v="0"/>
    <n v="0"/>
    <n v="145"/>
    <n v="0"/>
    <n v="0"/>
    <m/>
  </r>
  <r>
    <x v="0"/>
    <x v="1"/>
    <d v="2020-02-16T00:00:00"/>
    <s v="DIUMENGE"/>
    <s v="NO"/>
    <s v="NO"/>
    <d v="1899-12-30T15:30:00"/>
    <d v="1899-12-30T20:30:00"/>
    <x v="1"/>
    <n v="1"/>
    <x v="27"/>
    <m/>
    <m/>
    <m/>
    <m/>
    <n v="145"/>
    <n v="0"/>
    <n v="0"/>
    <n v="145"/>
    <x v="0"/>
    <n v="50"/>
    <n v="95"/>
    <n v="0"/>
    <n v="0"/>
    <m/>
  </r>
  <r>
    <x v="0"/>
    <x v="1"/>
    <d v="2020-02-21T00:00:00"/>
    <s v="DIVENDRES"/>
    <s v="NO"/>
    <s v="NO"/>
    <d v="1899-12-30T21:30:00"/>
    <d v="1899-12-30T02:30:00"/>
    <x v="2"/>
    <n v="1"/>
    <x v="28"/>
    <m/>
    <m/>
    <m/>
    <m/>
    <n v="195"/>
    <n v="1"/>
    <n v="5"/>
    <n v="200"/>
    <x v="0"/>
    <n v="0"/>
    <n v="195"/>
    <n v="0"/>
    <n v="5"/>
    <m/>
  </r>
  <r>
    <x v="0"/>
    <x v="1"/>
    <d v="2020-02-22T00:00:00"/>
    <s v="DISSABTE"/>
    <s v="NO"/>
    <s v="NO"/>
    <d v="1899-12-30T15:30:00"/>
    <d v="1899-12-30T20:30:00"/>
    <x v="1"/>
    <n v="1"/>
    <x v="29"/>
    <m/>
    <m/>
    <m/>
    <m/>
    <n v="145"/>
    <n v="1"/>
    <n v="5"/>
    <n v="150"/>
    <x v="0"/>
    <n v="0"/>
    <n v="145"/>
    <n v="0"/>
    <n v="5"/>
    <m/>
  </r>
  <r>
    <x v="0"/>
    <x v="1"/>
    <d v="2020-02-22T00:00:00"/>
    <s v="DISSABTE"/>
    <s v="NO"/>
    <s v="NO"/>
    <d v="1899-12-30T21:30:00"/>
    <d v="1899-12-30T02:30:00"/>
    <x v="2"/>
    <n v="1"/>
    <x v="30"/>
    <m/>
    <m/>
    <m/>
    <m/>
    <n v="195"/>
    <n v="1"/>
    <n v="5"/>
    <n v="200"/>
    <x v="0"/>
    <n v="0"/>
    <n v="195"/>
    <n v="0"/>
    <n v="5"/>
    <s v="ANUAL"/>
  </r>
  <r>
    <x v="0"/>
    <x v="1"/>
    <d v="2020-02-23T00:00:00"/>
    <s v="DIUMENGE"/>
    <s v="NO"/>
    <s v="NO"/>
    <d v="1899-12-30T09:30:00"/>
    <d v="1899-12-30T14:30:00"/>
    <x v="3"/>
    <n v="1"/>
    <x v="31"/>
    <m/>
    <m/>
    <m/>
    <m/>
    <n v="145"/>
    <n v="0"/>
    <n v="0"/>
    <n v="145"/>
    <x v="0"/>
    <n v="145"/>
    <n v="0"/>
    <n v="0"/>
    <n v="0"/>
    <m/>
  </r>
  <r>
    <x v="0"/>
    <x v="1"/>
    <d v="2020-02-23T00:00:00"/>
    <s v="DIUMENGE"/>
    <s v="NO"/>
    <s v="NO"/>
    <d v="1899-12-30T20:30:00"/>
    <d v="1899-12-30T02:30:00"/>
    <x v="2"/>
    <n v="1"/>
    <x v="32"/>
    <m/>
    <m/>
    <m/>
    <m/>
    <n v="195"/>
    <n v="0"/>
    <n v="0"/>
    <n v="195"/>
    <x v="0"/>
    <n v="100"/>
    <n v="95"/>
    <n v="0"/>
    <n v="0"/>
    <m/>
  </r>
  <r>
    <x v="0"/>
    <x v="1"/>
    <d v="2020-02-24T00:00:00"/>
    <s v="DILLUNS"/>
    <s v="NO"/>
    <s v="NO"/>
    <d v="1899-12-30T15:30:00"/>
    <d v="1899-12-30T20:30:00"/>
    <x v="1"/>
    <n v="1"/>
    <x v="33"/>
    <m/>
    <m/>
    <m/>
    <m/>
    <n v="95"/>
    <n v="0"/>
    <n v="0"/>
    <n v="95"/>
    <x v="0"/>
    <n v="50"/>
    <n v="45"/>
    <n v="0"/>
    <n v="0"/>
    <m/>
  </r>
  <r>
    <x v="0"/>
    <x v="1"/>
    <d v="2020-02-29T00:00:00"/>
    <s v="DISSABTE"/>
    <s v="NO"/>
    <s v="NO"/>
    <d v="1899-12-30T09:30:00"/>
    <d v="1899-12-30T14:30:00"/>
    <x v="3"/>
    <n v="1"/>
    <x v="34"/>
    <m/>
    <m/>
    <m/>
    <m/>
    <n v="145"/>
    <n v="0"/>
    <n v="0"/>
    <n v="145"/>
    <x v="0"/>
    <n v="50"/>
    <n v="95"/>
    <n v="0"/>
    <n v="0"/>
    <m/>
  </r>
  <r>
    <x v="0"/>
    <x v="1"/>
    <d v="2020-02-29T00:00:00"/>
    <s v="DISSABTE"/>
    <s v="NO"/>
    <s v="NO"/>
    <d v="1899-12-30T15:30:00"/>
    <d v="1899-12-30T20:30:00"/>
    <x v="1"/>
    <n v="1"/>
    <x v="35"/>
    <m/>
    <m/>
    <m/>
    <m/>
    <n v="145"/>
    <n v="0"/>
    <n v="0"/>
    <n v="145"/>
    <x v="0"/>
    <n v="50"/>
    <n v="95"/>
    <n v="0"/>
    <n v="0"/>
    <m/>
  </r>
  <r>
    <x v="0"/>
    <x v="1"/>
    <d v="2020-02-29T00:00:00"/>
    <s v="DISSABTE"/>
    <s v="NO"/>
    <s v="NO"/>
    <d v="1899-12-30T21:30:00"/>
    <d v="1899-12-30T02:30:00"/>
    <x v="2"/>
    <n v="1"/>
    <x v="36"/>
    <n v="8170"/>
    <s v="MONTORNES DEL VALLES"/>
    <m/>
    <m/>
    <n v="195"/>
    <n v="0"/>
    <n v="0"/>
    <n v="195"/>
    <x v="0"/>
    <n v="195"/>
    <n v="0"/>
    <n v="0"/>
    <n v="0"/>
    <m/>
  </r>
  <r>
    <x v="0"/>
    <x v="2"/>
    <d v="2020-03-06T00:00:00"/>
    <s v="DIVENDRES"/>
    <s v="NO"/>
    <s v="NO"/>
    <d v="1899-12-30T21:30:00"/>
    <d v="1899-12-30T02:30:00"/>
    <x v="2"/>
    <n v="1"/>
    <x v="37"/>
    <m/>
    <m/>
    <m/>
    <m/>
    <n v="195"/>
    <n v="1"/>
    <n v="50"/>
    <n v="245"/>
    <x v="0"/>
    <n v="50"/>
    <n v="145"/>
    <n v="0"/>
    <n v="50"/>
    <m/>
  </r>
  <r>
    <x v="0"/>
    <x v="2"/>
    <d v="2020-03-07T00:00:00"/>
    <s v="DISSABTE"/>
    <s v="NO"/>
    <s v="NO"/>
    <d v="1899-12-30T15:00:00"/>
    <d v="1899-12-30T20:30:00"/>
    <x v="1"/>
    <n v="1"/>
    <x v="38"/>
    <m/>
    <m/>
    <m/>
    <m/>
    <n v="145"/>
    <n v="0"/>
    <n v="0"/>
    <n v="145"/>
    <x v="0"/>
    <n v="50"/>
    <n v="95"/>
    <n v="0"/>
    <n v="0"/>
    <m/>
  </r>
  <r>
    <x v="0"/>
    <x v="2"/>
    <d v="2020-03-08T00:00:00"/>
    <s v="DIUMENGE"/>
    <s v="NO"/>
    <s v="NO"/>
    <d v="1899-12-30T09:30:00"/>
    <d v="1899-12-30T14:30:00"/>
    <x v="3"/>
    <n v="1"/>
    <x v="39"/>
    <m/>
    <m/>
    <m/>
    <m/>
    <n v="145"/>
    <n v="0"/>
    <n v="0"/>
    <n v="145"/>
    <x v="0"/>
    <n v="50"/>
    <n v="95"/>
    <n v="0"/>
    <n v="0"/>
    <m/>
  </r>
  <r>
    <x v="0"/>
    <x v="2"/>
    <d v="2020-03-08T00:00:00"/>
    <s v="DIUMENGE"/>
    <s v="NO"/>
    <s v="NO"/>
    <d v="1899-12-30T15:00:00"/>
    <d v="1899-12-30T20:30:00"/>
    <x v="1"/>
    <n v="1"/>
    <x v="40"/>
    <m/>
    <m/>
    <m/>
    <m/>
    <n v="145"/>
    <n v="1"/>
    <n v="20"/>
    <n v="165"/>
    <x v="0"/>
    <n v="50"/>
    <n v="95"/>
    <n v="0"/>
    <n v="20"/>
    <m/>
  </r>
  <r>
    <x v="0"/>
    <x v="2"/>
    <d v="2020-03-13T00:00:00"/>
    <s v="DIVENDRES"/>
    <s v="NO"/>
    <s v="NO"/>
    <d v="1899-12-30T15:00:00"/>
    <d v="1899-12-30T20:30:00"/>
    <x v="1"/>
    <n v="1"/>
    <x v="41"/>
    <m/>
    <m/>
    <m/>
    <m/>
    <n v="135"/>
    <n v="0"/>
    <n v="0"/>
    <n v="135"/>
    <x v="1"/>
    <n v="0"/>
    <n v="0"/>
    <n v="0"/>
    <n v="0"/>
    <s v="ANULAT"/>
  </r>
  <r>
    <x v="0"/>
    <x v="2"/>
    <d v="2020-03-13T00:00:00"/>
    <s v="DIVENDRES"/>
    <s v="NO"/>
    <s v="NO"/>
    <d v="1899-12-30T21:30:00"/>
    <d v="1899-12-30T02:30:00"/>
    <x v="2"/>
    <n v="1"/>
    <x v="42"/>
    <m/>
    <m/>
    <m/>
    <m/>
    <n v="195"/>
    <n v="0"/>
    <n v="0"/>
    <n v="195"/>
    <x v="1"/>
    <n v="0"/>
    <n v="0"/>
    <n v="0"/>
    <n v="0"/>
    <s v="ANULAT"/>
  </r>
  <r>
    <x v="0"/>
    <x v="2"/>
    <d v="2020-03-14T00:00:00"/>
    <s v="DISSABTE"/>
    <s v="NO"/>
    <s v="NO"/>
    <d v="1899-12-30T09:30:00"/>
    <d v="1899-12-30T20:30:00"/>
    <x v="5"/>
    <n v="2"/>
    <x v="43"/>
    <m/>
    <m/>
    <m/>
    <m/>
    <n v="270"/>
    <n v="0"/>
    <n v="0"/>
    <n v="270"/>
    <x v="1"/>
    <n v="0"/>
    <n v="0"/>
    <n v="0"/>
    <n v="0"/>
    <s v="ANULAT"/>
  </r>
  <r>
    <x v="0"/>
    <x v="2"/>
    <d v="2020-03-14T00:00:00"/>
    <s v="DISSABTE"/>
    <s v="NO"/>
    <s v="NO"/>
    <d v="1899-12-30T21:30:00"/>
    <d v="1899-12-30T02:30:00"/>
    <x v="2"/>
    <n v="1"/>
    <x v="44"/>
    <m/>
    <m/>
    <m/>
    <m/>
    <n v="195"/>
    <n v="0"/>
    <n v="0"/>
    <n v="195"/>
    <x v="1"/>
    <n v="0"/>
    <n v="0"/>
    <n v="0"/>
    <n v="0"/>
    <s v="APLAÇAT"/>
  </r>
  <r>
    <x v="0"/>
    <x v="2"/>
    <d v="2020-03-15T00:00:00"/>
    <s v="DIUMENGE"/>
    <s v="NO"/>
    <s v="NO"/>
    <d v="1899-12-30T09:30:00"/>
    <d v="1899-12-30T20:30:00"/>
    <x v="5"/>
    <n v="2"/>
    <x v="45"/>
    <m/>
    <m/>
    <m/>
    <m/>
    <n v="270"/>
    <n v="0"/>
    <n v="0"/>
    <n v="270"/>
    <x v="1"/>
    <n v="0"/>
    <n v="0"/>
    <n v="0"/>
    <n v="0"/>
    <s v="ANULAT"/>
  </r>
  <r>
    <x v="0"/>
    <x v="2"/>
    <d v="2020-03-20T00:00:00"/>
    <s v="DIVENDRES"/>
    <s v="NO"/>
    <s v="NO"/>
    <d v="1899-12-30T21:30:00"/>
    <d v="1899-12-30T02:30:00"/>
    <x v="2"/>
    <n v="1"/>
    <x v="46"/>
    <m/>
    <m/>
    <m/>
    <m/>
    <n v="195"/>
    <n v="0"/>
    <n v="0"/>
    <n v="195"/>
    <x v="1"/>
    <n v="0"/>
    <n v="0"/>
    <n v="0"/>
    <n v="0"/>
    <s v="APLAÇAT"/>
  </r>
  <r>
    <x v="0"/>
    <x v="2"/>
    <d v="2020-03-21T00:00:00"/>
    <s v="DISSABTE"/>
    <s v="NO"/>
    <s v="NO"/>
    <d v="1899-12-30T15:30:00"/>
    <d v="1899-12-30T02:30:00"/>
    <x v="6"/>
    <n v="2"/>
    <x v="47"/>
    <m/>
    <m/>
    <m/>
    <m/>
    <n v="300"/>
    <n v="0"/>
    <n v="0"/>
    <n v="300"/>
    <x v="1"/>
    <n v="0"/>
    <n v="0"/>
    <n v="0"/>
    <n v="0"/>
    <s v="ANULAT"/>
  </r>
  <r>
    <x v="0"/>
    <x v="2"/>
    <d v="2020-03-22T00:00:00"/>
    <s v="DIUMENGE"/>
    <s v="NO"/>
    <s v="NO"/>
    <d v="1899-12-30T09:30:00"/>
    <d v="1899-12-30T14:30:00"/>
    <x v="3"/>
    <n v="1"/>
    <x v="48"/>
    <m/>
    <m/>
    <m/>
    <m/>
    <n v="145"/>
    <n v="0"/>
    <n v="0"/>
    <n v="145"/>
    <x v="1"/>
    <n v="0"/>
    <n v="0"/>
    <n v="0"/>
    <n v="0"/>
    <s v="ANULAT"/>
  </r>
  <r>
    <x v="0"/>
    <x v="2"/>
    <d v="2020-03-22T00:00:00"/>
    <s v="DIUMENGE"/>
    <s v="NO"/>
    <s v="NO"/>
    <d v="1899-12-30T15:30:00"/>
    <d v="1899-12-30T20:30:00"/>
    <x v="1"/>
    <n v="1"/>
    <x v="49"/>
    <m/>
    <m/>
    <m/>
    <m/>
    <n v="145"/>
    <n v="0"/>
    <n v="0"/>
    <n v="145"/>
    <x v="1"/>
    <n v="0"/>
    <n v="0"/>
    <n v="0"/>
    <n v="0"/>
    <s v="APLAÇAT"/>
  </r>
  <r>
    <x v="0"/>
    <x v="2"/>
    <d v="2020-03-27T00:00:00"/>
    <s v="DIVENDRES"/>
    <s v="NO"/>
    <s v="NO"/>
    <d v="1899-12-30T21:30:00"/>
    <d v="1899-12-30T02:30:00"/>
    <x v="2"/>
    <n v="1"/>
    <x v="50"/>
    <m/>
    <m/>
    <m/>
    <m/>
    <n v="195"/>
    <n v="0"/>
    <n v="0"/>
    <n v="195"/>
    <x v="1"/>
    <n v="0"/>
    <n v="0"/>
    <n v="0"/>
    <n v="0"/>
    <s v="ANULAT"/>
  </r>
  <r>
    <x v="0"/>
    <x v="2"/>
    <d v="2020-03-28T00:00:00"/>
    <s v="DISSABTE"/>
    <s v="NO"/>
    <s v="NO"/>
    <d v="1899-12-30T15:30:00"/>
    <d v="1899-12-30T20:30:00"/>
    <x v="1"/>
    <n v="1"/>
    <x v="51"/>
    <m/>
    <m/>
    <m/>
    <m/>
    <n v="145"/>
    <n v="0"/>
    <n v="0"/>
    <n v="145"/>
    <x v="1"/>
    <n v="0"/>
    <n v="0"/>
    <n v="0"/>
    <n v="0"/>
    <s v="ANULAT"/>
  </r>
  <r>
    <x v="0"/>
    <x v="2"/>
    <d v="2020-03-28T00:00:00"/>
    <s v="DISSABTE"/>
    <s v="NO"/>
    <s v="NO"/>
    <d v="1899-12-30T21:30:00"/>
    <d v="1899-12-30T02:30:00"/>
    <x v="2"/>
    <n v="1"/>
    <x v="52"/>
    <m/>
    <m/>
    <m/>
    <m/>
    <n v="195"/>
    <n v="1"/>
    <n v="50"/>
    <n v="245"/>
    <x v="1"/>
    <n v="0"/>
    <n v="0"/>
    <n v="0"/>
    <n v="0"/>
    <s v="ANULAT"/>
  </r>
  <r>
    <x v="0"/>
    <x v="2"/>
    <d v="2020-03-29T00:00:00"/>
    <s v="DIUMENGE"/>
    <s v="NO"/>
    <s v="NO"/>
    <d v="1899-12-30T09:30:00"/>
    <d v="1899-12-30T20:30:00"/>
    <x v="5"/>
    <n v="2"/>
    <x v="53"/>
    <m/>
    <m/>
    <m/>
    <m/>
    <n v="270"/>
    <n v="0"/>
    <n v="0"/>
    <n v="270"/>
    <x v="1"/>
    <n v="50"/>
    <n v="0"/>
    <n v="0"/>
    <n v="0"/>
    <s v="APLAÇAT"/>
  </r>
  <r>
    <x v="0"/>
    <x v="3"/>
    <d v="2020-04-03T00:00:00"/>
    <s v="DIVENDRES"/>
    <s v="NO"/>
    <s v="NO"/>
    <d v="1899-12-30T15:30:00"/>
    <d v="1899-12-30T20:30:00"/>
    <x v="1"/>
    <n v="1"/>
    <x v="54"/>
    <m/>
    <m/>
    <m/>
    <m/>
    <n v="135"/>
    <n v="0"/>
    <n v="0"/>
    <n v="135"/>
    <x v="1"/>
    <n v="0"/>
    <n v="0"/>
    <n v="0"/>
    <n v="0"/>
    <s v="ANULAT"/>
  </r>
  <r>
    <x v="0"/>
    <x v="3"/>
    <d v="2020-04-03T00:00:00"/>
    <s v="DIVENDRES"/>
    <s v="NO"/>
    <s v="NO"/>
    <d v="1899-12-30T21:30:00"/>
    <d v="1899-12-30T02:30:00"/>
    <x v="2"/>
    <n v="1"/>
    <x v="55"/>
    <m/>
    <m/>
    <m/>
    <m/>
    <n v="195"/>
    <n v="0"/>
    <n v="0"/>
    <n v="195"/>
    <x v="1"/>
    <n v="0"/>
    <n v="0"/>
    <n v="0"/>
    <n v="0"/>
    <s v="ANULAT"/>
  </r>
  <r>
    <x v="0"/>
    <x v="3"/>
    <d v="2020-04-04T00:00:00"/>
    <s v="DISSABTE"/>
    <s v="NO"/>
    <s v="NO"/>
    <d v="1899-12-30T15:30:00"/>
    <d v="1899-12-30T20:30:00"/>
    <x v="1"/>
    <n v="1"/>
    <x v="56"/>
    <m/>
    <m/>
    <m/>
    <m/>
    <n v="145"/>
    <n v="0"/>
    <n v="0"/>
    <n v="145"/>
    <x v="1"/>
    <n v="0"/>
    <n v="0"/>
    <n v="0"/>
    <n v="0"/>
    <s v="ANULAT"/>
  </r>
  <r>
    <x v="0"/>
    <x v="3"/>
    <d v="2020-04-04T00:00:00"/>
    <s v="DISSABTE"/>
    <s v="NO"/>
    <s v="NO"/>
    <d v="1899-12-30T21:30:00"/>
    <d v="1899-12-30T02:30:00"/>
    <x v="2"/>
    <n v="1"/>
    <x v="57"/>
    <m/>
    <m/>
    <m/>
    <m/>
    <n v="195"/>
    <n v="0"/>
    <n v="0"/>
    <n v="195"/>
    <x v="1"/>
    <n v="0"/>
    <n v="0"/>
    <n v="0"/>
    <n v="0"/>
    <s v="APLAÇAT"/>
  </r>
  <r>
    <x v="0"/>
    <x v="3"/>
    <d v="2020-04-09T00:00:00"/>
    <s v="DIJOUS"/>
    <s v="NO"/>
    <s v="NO"/>
    <d v="1899-12-30T21:30:00"/>
    <d v="1899-12-30T02:30:00"/>
    <x v="2"/>
    <n v="1"/>
    <x v="58"/>
    <m/>
    <m/>
    <m/>
    <m/>
    <n v="195"/>
    <n v="0"/>
    <n v="0"/>
    <n v="195"/>
    <x v="1"/>
    <n v="0"/>
    <n v="0"/>
    <n v="0"/>
    <n v="0"/>
    <s v="ANULAT"/>
  </r>
  <r>
    <x v="0"/>
    <x v="3"/>
    <d v="2020-04-10T00:00:00"/>
    <s v="DIVENDRES"/>
    <s v="SI"/>
    <s v="NO"/>
    <d v="1899-12-30T21:30:00"/>
    <d v="1899-12-30T02:30:00"/>
    <x v="2"/>
    <n v="1"/>
    <x v="59"/>
    <m/>
    <m/>
    <m/>
    <m/>
    <n v="195"/>
    <n v="0"/>
    <n v="0"/>
    <n v="195"/>
    <x v="1"/>
    <n v="0"/>
    <n v="0"/>
    <n v="0"/>
    <n v="0"/>
    <s v="ANULAT"/>
  </r>
  <r>
    <x v="0"/>
    <x v="3"/>
    <d v="2020-04-17T00:00:00"/>
    <s v="DIVENDRES"/>
    <s v="NO"/>
    <s v="NO"/>
    <m/>
    <m/>
    <x v="7"/>
    <m/>
    <x v="60"/>
    <m/>
    <m/>
    <m/>
    <m/>
    <n v="661.2"/>
    <n v="0"/>
    <n v="0"/>
    <n v="661.2"/>
    <x v="0"/>
    <n v="661.2"/>
    <n v="0"/>
    <n v="0"/>
    <n v="0"/>
    <m/>
  </r>
  <r>
    <x v="0"/>
    <x v="3"/>
    <d v="2020-04-17T00:00:00"/>
    <s v="DIVENDRES"/>
    <s v="NO"/>
    <s v="NO"/>
    <d v="1899-12-30T21:30:00"/>
    <d v="1899-12-30T02:30:00"/>
    <x v="2"/>
    <n v="1"/>
    <x v="61"/>
    <m/>
    <m/>
    <m/>
    <m/>
    <n v="195"/>
    <n v="0"/>
    <n v="0"/>
    <n v="195"/>
    <x v="1"/>
    <n v="0"/>
    <n v="0"/>
    <n v="0"/>
    <n v="0"/>
    <s v="APLAÇAT"/>
  </r>
  <r>
    <x v="0"/>
    <x v="3"/>
    <d v="2020-04-18T00:00:00"/>
    <s v="DISSABTE"/>
    <s v="NO"/>
    <s v="NO"/>
    <d v="1899-12-30T09:30:00"/>
    <d v="1899-12-30T14:30:00"/>
    <x v="3"/>
    <n v="1"/>
    <x v="62"/>
    <m/>
    <m/>
    <m/>
    <m/>
    <n v="145"/>
    <n v="0"/>
    <n v="0"/>
    <n v="145"/>
    <x v="1"/>
    <n v="0"/>
    <n v="0"/>
    <n v="0"/>
    <n v="0"/>
    <s v="ANULAT"/>
  </r>
  <r>
    <x v="0"/>
    <x v="3"/>
    <d v="2020-04-18T00:00:00"/>
    <s v="DISSABTE"/>
    <s v="NO"/>
    <s v="NO"/>
    <d v="1899-12-30T15:30:00"/>
    <d v="1899-12-30T20:30:00"/>
    <x v="1"/>
    <n v="1"/>
    <x v="63"/>
    <m/>
    <m/>
    <m/>
    <m/>
    <n v="145"/>
    <n v="0"/>
    <n v="0"/>
    <n v="145"/>
    <x v="1"/>
    <n v="0"/>
    <n v="0"/>
    <n v="0"/>
    <n v="0"/>
    <s v="ANULAT"/>
  </r>
  <r>
    <x v="0"/>
    <x v="3"/>
    <d v="2020-04-19T00:00:00"/>
    <s v="DISSABTE"/>
    <s v="NO"/>
    <s v="NO"/>
    <d v="1899-12-30T09:30:00"/>
    <d v="1899-12-30T20:30:00"/>
    <x v="5"/>
    <n v="2"/>
    <x v="64"/>
    <m/>
    <m/>
    <m/>
    <m/>
    <n v="270"/>
    <n v="0"/>
    <n v="0"/>
    <n v="270"/>
    <x v="1"/>
    <n v="0"/>
    <n v="0"/>
    <n v="0"/>
    <n v="0"/>
    <s v="ANULAT"/>
  </r>
  <r>
    <x v="0"/>
    <x v="3"/>
    <d v="2020-04-25T00:00:00"/>
    <s v="DISSABTE"/>
    <s v="NO"/>
    <s v="NO"/>
    <d v="1899-12-30T09:30:00"/>
    <d v="1899-12-30T14:30:00"/>
    <x v="3"/>
    <n v="1"/>
    <x v="65"/>
    <m/>
    <m/>
    <m/>
    <m/>
    <n v="145"/>
    <n v="0"/>
    <n v="0"/>
    <n v="145"/>
    <x v="2"/>
    <n v="0"/>
    <n v="0"/>
    <n v="0"/>
    <n v="0"/>
    <s v="ANULAT"/>
  </r>
  <r>
    <x v="0"/>
    <x v="3"/>
    <d v="2020-04-25T00:00:00"/>
    <s v="DISSABTE"/>
    <s v="NO"/>
    <s v="NO"/>
    <d v="1899-12-30T15:30:00"/>
    <d v="1899-12-30T20:30:00"/>
    <x v="1"/>
    <n v="1"/>
    <x v="66"/>
    <m/>
    <m/>
    <m/>
    <m/>
    <n v="145"/>
    <n v="0"/>
    <n v="0"/>
    <n v="145"/>
    <x v="2"/>
    <n v="0"/>
    <n v="0"/>
    <n v="0"/>
    <n v="0"/>
    <s v="ANULAT"/>
  </r>
  <r>
    <x v="0"/>
    <x v="3"/>
    <d v="2020-04-26T00:00:00"/>
    <s v="DIUMENGE"/>
    <s v="NO"/>
    <s v="NO"/>
    <d v="1899-12-30T09:30:00"/>
    <d v="1899-12-30T14:30:00"/>
    <x v="3"/>
    <n v="1"/>
    <x v="67"/>
    <m/>
    <m/>
    <m/>
    <m/>
    <n v="145"/>
    <n v="0"/>
    <n v="0"/>
    <n v="145"/>
    <x v="1"/>
    <n v="0"/>
    <n v="0"/>
    <n v="0"/>
    <n v="0"/>
    <s v="ANULAT"/>
  </r>
  <r>
    <x v="0"/>
    <x v="4"/>
    <d v="2020-05-01T00:00:00"/>
    <s v="DIVENDRES"/>
    <s v="NO"/>
    <s v="NO"/>
    <m/>
    <m/>
    <x v="7"/>
    <m/>
    <x v="68"/>
    <m/>
    <m/>
    <m/>
    <m/>
    <n v="374.68"/>
    <n v="0"/>
    <n v="0"/>
    <n v="374.68"/>
    <x v="0"/>
    <n v="374.68"/>
    <n v="0"/>
    <n v="0"/>
    <n v="0"/>
    <m/>
  </r>
  <r>
    <x v="0"/>
    <x v="4"/>
    <d v="2020-05-03T00:00:00"/>
    <s v="DIUMENGE"/>
    <s v="NO"/>
    <s v="NO"/>
    <d v="1899-12-30T15:30:00"/>
    <d v="1899-12-30T20:30:00"/>
    <x v="1"/>
    <n v="1"/>
    <x v="49"/>
    <m/>
    <m/>
    <m/>
    <m/>
    <n v="145"/>
    <n v="0"/>
    <n v="0"/>
    <n v="145"/>
    <x v="1"/>
    <n v="0"/>
    <n v="0"/>
    <n v="0"/>
    <n v="0"/>
    <s v="ANULAT"/>
  </r>
  <r>
    <x v="0"/>
    <x v="4"/>
    <d v="2020-05-08T00:00:00"/>
    <s v="DIVENDRES"/>
    <s v="NO"/>
    <s v="NO"/>
    <d v="1899-12-30T21:30:00"/>
    <d v="1899-12-30T02:30:00"/>
    <x v="2"/>
    <n v="1"/>
    <x v="69"/>
    <m/>
    <m/>
    <m/>
    <m/>
    <n v="195"/>
    <n v="0"/>
    <n v="0"/>
    <n v="195"/>
    <x v="2"/>
    <n v="0"/>
    <n v="0"/>
    <n v="0"/>
    <n v="0"/>
    <s v="ANULAT"/>
  </r>
  <r>
    <x v="0"/>
    <x v="4"/>
    <d v="2020-05-15T00:00:00"/>
    <s v="DIVENDRES"/>
    <s v="NO"/>
    <s v="NO"/>
    <d v="1899-12-30T15:30:00"/>
    <d v="1899-12-30T20:30:00"/>
    <x v="1"/>
    <n v="1"/>
    <x v="70"/>
    <m/>
    <m/>
    <m/>
    <m/>
    <n v="135"/>
    <n v="0"/>
    <n v="0"/>
    <n v="135"/>
    <x v="1"/>
    <n v="0"/>
    <n v="0"/>
    <n v="0"/>
    <n v="0"/>
    <s v="ANULAT"/>
  </r>
  <r>
    <x v="0"/>
    <x v="4"/>
    <d v="2020-05-23T00:00:00"/>
    <s v="DISSABTE"/>
    <s v="NO"/>
    <s v="NO"/>
    <d v="1899-12-30T21:30:00"/>
    <d v="1899-12-30T02:30:00"/>
    <x v="2"/>
    <n v="1"/>
    <x v="71"/>
    <m/>
    <m/>
    <m/>
    <m/>
    <n v="195"/>
    <n v="0"/>
    <n v="0"/>
    <n v="195"/>
    <x v="1"/>
    <n v="0"/>
    <n v="0"/>
    <n v="0"/>
    <n v="0"/>
    <s v="ANULAT"/>
  </r>
  <r>
    <x v="0"/>
    <x v="4"/>
    <d v="2020-05-30T00:00:00"/>
    <s v="DISSABTE"/>
    <s v="NO"/>
    <s v="NO"/>
    <d v="1899-12-30T09:30:00"/>
    <d v="1899-12-30T20:30:00"/>
    <x v="5"/>
    <n v="2"/>
    <x v="72"/>
    <m/>
    <m/>
    <m/>
    <m/>
    <n v="270"/>
    <n v="0"/>
    <n v="0"/>
    <n v="270"/>
    <x v="1"/>
    <n v="0"/>
    <n v="0"/>
    <n v="0"/>
    <n v="0"/>
    <s v="ANULAT"/>
  </r>
  <r>
    <x v="0"/>
    <x v="4"/>
    <d v="2020-05-31T00:00:00"/>
    <s v="DIUMENGE"/>
    <s v="NO"/>
    <s v="NO"/>
    <m/>
    <m/>
    <x v="7"/>
    <m/>
    <x v="73"/>
    <m/>
    <m/>
    <m/>
    <m/>
    <n v="661.2"/>
    <m/>
    <m/>
    <n v="661.2"/>
    <x v="0"/>
    <n v="661.2"/>
    <n v="0"/>
    <n v="0"/>
    <n v="0"/>
    <m/>
  </r>
  <r>
    <x v="0"/>
    <x v="5"/>
    <d v="2020-06-06T00:00:00"/>
    <s v="DISSABTE"/>
    <s v="NO"/>
    <s v="NO"/>
    <d v="1899-12-30T15:30:00"/>
    <d v="1899-12-30T20:30:00"/>
    <x v="1"/>
    <n v="1"/>
    <x v="74"/>
    <m/>
    <m/>
    <m/>
    <m/>
    <n v="145"/>
    <n v="0"/>
    <n v="0"/>
    <n v="145"/>
    <x v="1"/>
    <n v="0"/>
    <n v="0"/>
    <n v="0"/>
    <n v="0"/>
    <s v="ANULAT"/>
  </r>
  <r>
    <x v="0"/>
    <x v="5"/>
    <d v="2020-06-16T00:00:00"/>
    <s v="DIMARTS"/>
    <s v="NO"/>
    <s v="NO"/>
    <d v="1899-12-30T15:30:00"/>
    <d v="1899-12-30T20:30:00"/>
    <x v="1"/>
    <n v="1"/>
    <x v="75"/>
    <m/>
    <m/>
    <m/>
    <m/>
    <n v="50"/>
    <n v="0"/>
    <n v="0"/>
    <n v="50"/>
    <x v="0"/>
    <n v="0"/>
    <n v="50"/>
    <n v="0"/>
    <n v="0"/>
    <m/>
  </r>
  <r>
    <x v="0"/>
    <x v="5"/>
    <d v="2020-06-18T00:00:00"/>
    <s v="DIJOUS"/>
    <s v="NO"/>
    <s v="NO"/>
    <d v="1899-12-30T15:30:00"/>
    <d v="1899-12-30T20:30:00"/>
    <x v="1"/>
    <n v="1"/>
    <x v="75"/>
    <m/>
    <m/>
    <m/>
    <m/>
    <n v="50"/>
    <n v="0"/>
    <n v="0"/>
    <n v="50"/>
    <x v="0"/>
    <n v="0"/>
    <n v="50"/>
    <n v="0"/>
    <n v="0"/>
    <m/>
  </r>
  <r>
    <x v="0"/>
    <x v="5"/>
    <d v="2020-06-19T00:00:00"/>
    <s v="DIVENDRES"/>
    <s v="NO"/>
    <s v="NO"/>
    <d v="1899-12-30T09:30:00"/>
    <d v="1899-12-30T20:30:00"/>
    <x v="5"/>
    <n v="2"/>
    <x v="76"/>
    <m/>
    <m/>
    <m/>
    <m/>
    <n v="190"/>
    <n v="0"/>
    <n v="0"/>
    <n v="190"/>
    <x v="0"/>
    <n v="0"/>
    <n v="190"/>
    <n v="0"/>
    <n v="0"/>
    <m/>
  </r>
  <r>
    <x v="0"/>
    <x v="5"/>
    <d v="2020-06-20T00:00:00"/>
    <s v="DISSABTE"/>
    <s v="NO"/>
    <s v="NO"/>
    <d v="1899-12-30T21:30:00"/>
    <d v="1899-12-30T02:30:00"/>
    <x v="2"/>
    <n v="1"/>
    <x v="77"/>
    <m/>
    <m/>
    <m/>
    <m/>
    <n v="195"/>
    <n v="1"/>
    <n v="55"/>
    <n v="250"/>
    <x v="0"/>
    <n v="50"/>
    <n v="145"/>
    <n v="0"/>
    <n v="55"/>
    <m/>
  </r>
  <r>
    <x v="0"/>
    <x v="5"/>
    <d v="2020-06-21T00:00:00"/>
    <s v="DIUMENGE"/>
    <s v="NO"/>
    <s v="NO"/>
    <d v="1899-12-30T21:30:00"/>
    <d v="1899-12-30T02:30:00"/>
    <x v="2"/>
    <n v="1"/>
    <x v="78"/>
    <m/>
    <m/>
    <m/>
    <m/>
    <n v="195"/>
    <n v="1"/>
    <n v="50"/>
    <n v="245"/>
    <x v="0"/>
    <n v="50"/>
    <n v="145"/>
    <n v="0"/>
    <n v="50"/>
    <m/>
  </r>
  <r>
    <x v="0"/>
    <x v="5"/>
    <d v="2020-06-23T00:00:00"/>
    <s v="DIMARTS"/>
    <s v="NO"/>
    <s v="SI"/>
    <d v="1899-12-30T21:30:00"/>
    <d v="1899-12-30T02:30:00"/>
    <x v="7"/>
    <n v="1"/>
    <x v="79"/>
    <m/>
    <m/>
    <m/>
    <m/>
    <n v="300"/>
    <n v="0"/>
    <n v="0"/>
    <n v="300"/>
    <x v="0"/>
    <n v="0"/>
    <n v="300"/>
    <n v="0"/>
    <n v="0"/>
    <m/>
  </r>
  <r>
    <x v="0"/>
    <x v="5"/>
    <d v="2020-06-25T00:00:00"/>
    <s v="DIMARTS"/>
    <s v="NO"/>
    <s v="NO"/>
    <d v="1899-12-30T15:30:00"/>
    <d v="1899-12-30T20:30:00"/>
    <x v="1"/>
    <n v="1"/>
    <x v="75"/>
    <m/>
    <m/>
    <m/>
    <m/>
    <n v="50"/>
    <n v="0"/>
    <n v="0"/>
    <n v="50"/>
    <x v="0"/>
    <n v="0"/>
    <n v="50"/>
    <n v="0"/>
    <n v="0"/>
    <m/>
  </r>
  <r>
    <x v="0"/>
    <x v="5"/>
    <d v="2020-06-30T00:00:00"/>
    <s v="DIMARTS"/>
    <s v="NO"/>
    <s v="NO"/>
    <d v="1899-12-30T15:30:00"/>
    <d v="1899-12-30T20:30:00"/>
    <x v="1"/>
    <n v="1"/>
    <x v="75"/>
    <m/>
    <m/>
    <m/>
    <m/>
    <n v="50"/>
    <n v="0"/>
    <n v="0"/>
    <n v="50"/>
    <x v="0"/>
    <n v="0"/>
    <n v="50"/>
    <n v="0"/>
    <n v="0"/>
    <m/>
  </r>
  <r>
    <x v="0"/>
    <x v="5"/>
    <d v="2020-06-30T00:00:00"/>
    <s v="DIMARTS"/>
    <s v="NO"/>
    <s v="NO"/>
    <m/>
    <m/>
    <x v="7"/>
    <m/>
    <x v="80"/>
    <m/>
    <m/>
    <m/>
    <m/>
    <n v="661.2"/>
    <m/>
    <m/>
    <n v="661.2"/>
    <x v="0"/>
    <n v="661.2"/>
    <n v="0"/>
    <n v="0"/>
    <n v="0"/>
    <m/>
  </r>
  <r>
    <x v="0"/>
    <x v="6"/>
    <d v="2020-07-01T00:00:00"/>
    <s v="DIMECRES"/>
    <s v="NO"/>
    <s v="NO"/>
    <m/>
    <m/>
    <x v="7"/>
    <m/>
    <x v="81"/>
    <m/>
    <m/>
    <m/>
    <m/>
    <n v="1400"/>
    <m/>
    <m/>
    <n v="1400"/>
    <x v="0"/>
    <n v="1400"/>
    <n v="0"/>
    <n v="0"/>
    <n v="0"/>
    <m/>
  </r>
  <r>
    <x v="0"/>
    <x v="6"/>
    <d v="2020-07-02T00:00:00"/>
    <s v="DIJOUS"/>
    <s v="NO"/>
    <s v="NO"/>
    <d v="1899-12-30T15:30:00"/>
    <d v="1899-12-30T20:30:00"/>
    <x v="1"/>
    <n v="1"/>
    <x v="75"/>
    <m/>
    <m/>
    <m/>
    <m/>
    <n v="50"/>
    <n v="0"/>
    <n v="0"/>
    <n v="50"/>
    <x v="0"/>
    <n v="0"/>
    <n v="50"/>
    <n v="0"/>
    <n v="0"/>
    <m/>
  </r>
  <r>
    <x v="0"/>
    <x v="6"/>
    <d v="2020-07-03T00:00:00"/>
    <s v="DIVENDRES"/>
    <s v="NO"/>
    <s v="NO"/>
    <d v="1899-12-30T21:30:00"/>
    <d v="1899-12-30T02:30:00"/>
    <x v="2"/>
    <n v="1"/>
    <x v="82"/>
    <m/>
    <m/>
    <m/>
    <m/>
    <n v="195"/>
    <n v="0"/>
    <n v="0"/>
    <n v="195"/>
    <x v="0"/>
    <n v="0"/>
    <n v="195"/>
    <n v="0"/>
    <n v="0"/>
    <m/>
  </r>
  <r>
    <x v="0"/>
    <x v="6"/>
    <d v="2020-07-04T00:00:00"/>
    <s v="DISSABTE"/>
    <s v="NO"/>
    <s v="NO"/>
    <d v="1899-12-30T21:30:00"/>
    <d v="1899-12-30T02:30:00"/>
    <x v="2"/>
    <n v="1"/>
    <x v="83"/>
    <m/>
    <m/>
    <m/>
    <m/>
    <n v="195"/>
    <n v="0"/>
    <n v="0"/>
    <n v="195"/>
    <x v="0"/>
    <n v="195"/>
    <n v="0"/>
    <n v="0"/>
    <n v="0"/>
    <s v="Venen sempre per Carnaval"/>
  </r>
  <r>
    <x v="0"/>
    <x v="6"/>
    <d v="2020-07-05T00:00:00"/>
    <s v="DIUMENGE"/>
    <s v="NO"/>
    <s v="NO"/>
    <d v="1899-12-30T15:30:00"/>
    <d v="1899-12-30T20:30:00"/>
    <x v="1"/>
    <n v="1"/>
    <x v="49"/>
    <m/>
    <m/>
    <m/>
    <m/>
    <n v="145"/>
    <n v="0"/>
    <n v="5"/>
    <n v="150"/>
    <x v="0"/>
    <n v="50"/>
    <n v="95"/>
    <n v="0"/>
    <n v="5"/>
    <m/>
  </r>
  <r>
    <x v="0"/>
    <x v="6"/>
    <d v="2020-07-07T00:00:00"/>
    <s v="DIMARTS"/>
    <s v="NO"/>
    <s v="NO"/>
    <d v="1899-12-30T15:30:00"/>
    <d v="1899-12-30T20:30:00"/>
    <x v="1"/>
    <n v="1"/>
    <x v="75"/>
    <m/>
    <m/>
    <m/>
    <m/>
    <n v="50"/>
    <n v="0"/>
    <n v="0"/>
    <n v="50"/>
    <x v="0"/>
    <n v="0"/>
    <n v="50"/>
    <n v="0"/>
    <n v="0"/>
    <m/>
  </r>
  <r>
    <x v="0"/>
    <x v="6"/>
    <d v="2020-07-09T00:00:00"/>
    <s v="DIJOUS"/>
    <s v="NO"/>
    <s v="NO"/>
    <d v="1899-12-30T15:30:00"/>
    <d v="1899-12-30T20:30:00"/>
    <x v="1"/>
    <n v="1"/>
    <x v="75"/>
    <m/>
    <m/>
    <m/>
    <m/>
    <n v="50"/>
    <n v="0"/>
    <n v="0"/>
    <n v="50"/>
    <x v="0"/>
    <n v="0"/>
    <n v="50"/>
    <n v="0"/>
    <n v="0"/>
    <m/>
  </r>
  <r>
    <x v="0"/>
    <x v="6"/>
    <d v="2020-07-10T00:00:00"/>
    <s v="DIVENDRES"/>
    <s v="NO"/>
    <s v="NO"/>
    <d v="1899-12-30T21:30:00"/>
    <d v="1899-12-30T02:30:00"/>
    <x v="2"/>
    <n v="1"/>
    <x v="84"/>
    <m/>
    <m/>
    <m/>
    <m/>
    <n v="0"/>
    <n v="0"/>
    <n v="0"/>
    <n v="0"/>
    <x v="2"/>
    <n v="0"/>
    <n v="0"/>
    <n v="0"/>
    <n v="0"/>
    <s v="Sorteig"/>
  </r>
  <r>
    <x v="0"/>
    <x v="6"/>
    <d v="2020-07-11T00:00:00"/>
    <s v="DISSABTE"/>
    <s v="NO"/>
    <s v="NO"/>
    <d v="1899-12-30T21:30:00"/>
    <d v="1899-12-30T02:30:00"/>
    <x v="2"/>
    <n v="1"/>
    <x v="85"/>
    <m/>
    <m/>
    <m/>
    <m/>
    <n v="195"/>
    <n v="1"/>
    <n v="55"/>
    <n v="250"/>
    <x v="0"/>
    <n v="50"/>
    <n v="145"/>
    <n v="0"/>
    <n v="55"/>
    <m/>
  </r>
  <r>
    <x v="0"/>
    <x v="6"/>
    <d v="2020-07-13T00:00:00"/>
    <s v="DILLUNS"/>
    <s v="NO"/>
    <s v="NO"/>
    <d v="1899-12-30T15:30:00"/>
    <d v="1899-12-30T20:30:00"/>
    <x v="1"/>
    <n v="1"/>
    <x v="75"/>
    <m/>
    <m/>
    <m/>
    <m/>
    <n v="50"/>
    <n v="0"/>
    <n v="0"/>
    <n v="50"/>
    <x v="0"/>
    <n v="0"/>
    <n v="50"/>
    <n v="0"/>
    <n v="0"/>
    <m/>
  </r>
  <r>
    <x v="0"/>
    <x v="6"/>
    <d v="2020-07-15T00:00:00"/>
    <s v="DIMECRES"/>
    <s v="NO"/>
    <s v="NO"/>
    <d v="1899-12-30T15:30:00"/>
    <d v="1899-12-30T20:30:00"/>
    <x v="1"/>
    <n v="1"/>
    <x v="75"/>
    <m/>
    <m/>
    <m/>
    <m/>
    <n v="50"/>
    <n v="0"/>
    <n v="0"/>
    <n v="50"/>
    <x v="0"/>
    <n v="0"/>
    <n v="50"/>
    <n v="0"/>
    <n v="0"/>
    <m/>
  </r>
  <r>
    <x v="0"/>
    <x v="6"/>
    <d v="2020-07-16T00:00:00"/>
    <s v="DIJOUS"/>
    <s v="NO"/>
    <s v="NO"/>
    <d v="1899-12-30T15:30:00"/>
    <d v="1899-12-30T20:30:00"/>
    <x v="1"/>
    <n v="1"/>
    <x v="86"/>
    <m/>
    <m/>
    <m/>
    <m/>
    <n v="50"/>
    <n v="0"/>
    <n v="0"/>
    <n v="50"/>
    <x v="0"/>
    <n v="50"/>
    <n v="0"/>
    <n v="0"/>
    <n v="0"/>
    <m/>
  </r>
  <r>
    <x v="0"/>
    <x v="6"/>
    <d v="2020-07-17T00:00:00"/>
    <s v="DIVENDRES"/>
    <s v="NO"/>
    <s v="NO"/>
    <d v="1899-12-30T21:30:00"/>
    <d v="1899-12-30T02:30:00"/>
    <x v="2"/>
    <n v="1"/>
    <x v="87"/>
    <m/>
    <m/>
    <m/>
    <m/>
    <n v="195"/>
    <n v="0"/>
    <n v="0"/>
    <n v="195"/>
    <x v="0"/>
    <n v="50"/>
    <n v="145"/>
    <n v="0"/>
    <n v="0"/>
    <m/>
  </r>
  <r>
    <x v="0"/>
    <x v="6"/>
    <d v="2020-07-18T00:00:00"/>
    <s v="DISSABTE"/>
    <s v="NO"/>
    <s v="NO"/>
    <d v="1899-12-30T21:30:00"/>
    <d v="1899-12-30T02:30:00"/>
    <x v="2"/>
    <n v="1"/>
    <x v="88"/>
    <m/>
    <m/>
    <m/>
    <m/>
    <n v="195"/>
    <n v="0"/>
    <n v="0"/>
    <n v="195"/>
    <x v="1"/>
    <n v="100"/>
    <n v="0"/>
    <n v="0"/>
    <n v="0"/>
    <s v="APLAÇAT"/>
  </r>
  <r>
    <x v="0"/>
    <x v="6"/>
    <d v="2020-07-19T00:00:00"/>
    <s v="DIUMENGE"/>
    <s v="NO"/>
    <s v="NO"/>
    <d v="1899-12-30T09:30:00"/>
    <d v="1899-12-30T14:30:00"/>
    <x v="3"/>
    <n v="1"/>
    <x v="89"/>
    <m/>
    <m/>
    <m/>
    <m/>
    <n v="145"/>
    <n v="1"/>
    <n v="5"/>
    <n v="150"/>
    <x v="0"/>
    <n v="50"/>
    <n v="95"/>
    <n v="0"/>
    <n v="5"/>
    <m/>
  </r>
  <r>
    <x v="0"/>
    <x v="6"/>
    <d v="2020-07-21T00:00:00"/>
    <s v="DIMARTS"/>
    <s v="NO"/>
    <s v="NO"/>
    <d v="1899-12-30T15:30:00"/>
    <d v="1899-12-30T20:30:00"/>
    <x v="1"/>
    <n v="1"/>
    <x v="48"/>
    <m/>
    <m/>
    <m/>
    <m/>
    <n v="50"/>
    <n v="0"/>
    <n v="0"/>
    <n v="50"/>
    <x v="0"/>
    <n v="50"/>
    <n v="0"/>
    <n v="0"/>
    <n v="0"/>
    <m/>
  </r>
  <r>
    <x v="0"/>
    <x v="6"/>
    <d v="2020-07-21T00:00:00"/>
    <s v="DIMARTS"/>
    <s v="NO"/>
    <s v="NO"/>
    <d v="1899-12-30T21:30:00"/>
    <d v="1899-12-30T02:30:00"/>
    <x v="2"/>
    <n v="1"/>
    <x v="90"/>
    <m/>
    <m/>
    <m/>
    <m/>
    <n v="195"/>
    <n v="0"/>
    <n v="0"/>
    <n v="195"/>
    <x v="0"/>
    <n v="195"/>
    <n v="0"/>
    <n v="0"/>
    <n v="0"/>
    <m/>
  </r>
  <r>
    <x v="0"/>
    <x v="6"/>
    <d v="2020-07-24T00:00:00"/>
    <s v="DIVENDRES"/>
    <s v="NO"/>
    <s v="NO"/>
    <d v="1899-12-30T21:30:00"/>
    <d v="1899-12-30T02:30:00"/>
    <x v="2"/>
    <n v="1"/>
    <x v="91"/>
    <m/>
    <m/>
    <m/>
    <m/>
    <n v="195"/>
    <n v="1"/>
    <n v="5"/>
    <n v="200"/>
    <x v="0"/>
    <n v="50"/>
    <n v="145"/>
    <n v="0"/>
    <n v="5"/>
    <m/>
  </r>
  <r>
    <x v="0"/>
    <x v="6"/>
    <d v="2020-07-25T00:00:00"/>
    <s v="DISSABTE"/>
    <s v="NO"/>
    <s v="NO"/>
    <d v="1899-12-30T21:30:00"/>
    <d v="1899-12-30T02:30:00"/>
    <x v="2"/>
    <n v="1"/>
    <x v="92"/>
    <m/>
    <m/>
    <m/>
    <m/>
    <n v="195"/>
    <n v="0"/>
    <n v="0"/>
    <n v="195"/>
    <x v="0"/>
    <n v="50"/>
    <n v="145"/>
    <n v="0"/>
    <n v="0"/>
    <m/>
  </r>
  <r>
    <x v="0"/>
    <x v="6"/>
    <d v="2020-07-26T00:00:00"/>
    <s v="DIUMENGE"/>
    <s v="NO"/>
    <s v="NO"/>
    <d v="1899-12-30T09:30:00"/>
    <d v="1899-12-30T14:30:00"/>
    <x v="3"/>
    <n v="1"/>
    <x v="93"/>
    <m/>
    <m/>
    <m/>
    <m/>
    <n v="145"/>
    <n v="0"/>
    <n v="0"/>
    <n v="145"/>
    <x v="2"/>
    <n v="0"/>
    <n v="0"/>
    <n v="0"/>
    <n v="0"/>
    <s v="ANULAT"/>
  </r>
  <r>
    <x v="0"/>
    <x v="6"/>
    <d v="2020-07-30T00:00:00"/>
    <s v="DIJOUS"/>
    <s v="NO"/>
    <s v="NO"/>
    <d v="1899-12-30T21:30:00"/>
    <d v="1899-12-30T02:30:00"/>
    <x v="2"/>
    <n v="1"/>
    <x v="94"/>
    <m/>
    <m/>
    <m/>
    <m/>
    <n v="195"/>
    <n v="0"/>
    <n v="0"/>
    <n v="195"/>
    <x v="0"/>
    <n v="195"/>
    <n v="0"/>
    <n v="0"/>
    <n v="0"/>
    <m/>
  </r>
  <r>
    <x v="0"/>
    <x v="6"/>
    <d v="2020-07-31T00:00:00"/>
    <s v="DIVENDRES"/>
    <s v="NO"/>
    <s v="NO"/>
    <d v="1899-12-30T21:30:00"/>
    <d v="1899-12-30T02:30:00"/>
    <x v="2"/>
    <n v="1"/>
    <x v="95"/>
    <m/>
    <m/>
    <m/>
    <m/>
    <n v="195"/>
    <n v="1"/>
    <n v="50"/>
    <n v="245"/>
    <x v="0"/>
    <n v="50"/>
    <n v="145"/>
    <n v="0"/>
    <n v="50"/>
    <m/>
  </r>
  <r>
    <x v="0"/>
    <x v="7"/>
    <d v="2020-08-01T00:00:00"/>
    <s v="DISSABTE"/>
    <s v="NO"/>
    <s v="NO"/>
    <d v="1899-12-30T15:30:00"/>
    <d v="1899-12-30T20:30:00"/>
    <x v="1"/>
    <n v="1"/>
    <x v="96"/>
    <m/>
    <m/>
    <m/>
    <m/>
    <n v="145"/>
    <n v="0"/>
    <n v="0"/>
    <n v="145"/>
    <x v="2"/>
    <n v="0"/>
    <n v="0"/>
    <n v="0"/>
    <n v="0"/>
    <s v="ANULAT"/>
  </r>
  <r>
    <x v="0"/>
    <x v="7"/>
    <d v="2020-08-01T00:00:00"/>
    <s v="DISSABTE"/>
    <s v="NO"/>
    <s v="NO"/>
    <d v="1899-12-30T21:30:00"/>
    <d v="1899-12-30T02:30:00"/>
    <x v="2"/>
    <n v="1"/>
    <x v="61"/>
    <m/>
    <m/>
    <m/>
    <m/>
    <n v="195"/>
    <n v="0"/>
    <n v="0"/>
    <n v="195"/>
    <x v="1"/>
    <n v="50"/>
    <n v="0"/>
    <n v="0"/>
    <n v="0"/>
    <s v="APLAÇAT"/>
  </r>
  <r>
    <x v="0"/>
    <x v="7"/>
    <d v="2020-08-01T00:00:00"/>
    <s v="DISSABTE"/>
    <s v="NO"/>
    <s v="NO"/>
    <d v="1899-12-30T21:30:00"/>
    <d v="1899-12-30T02:30:00"/>
    <x v="2"/>
    <n v="1"/>
    <x v="97"/>
    <m/>
    <m/>
    <m/>
    <m/>
    <n v="195"/>
    <n v="1"/>
    <n v="50"/>
    <n v="245"/>
    <x v="0"/>
    <n v="50"/>
    <n v="145"/>
    <n v="0"/>
    <n v="50"/>
    <m/>
  </r>
  <r>
    <x v="0"/>
    <x v="7"/>
    <d v="2020-08-07T00:00:00"/>
    <s v="DIVENDRES"/>
    <s v="NO"/>
    <s v="NO"/>
    <d v="1899-12-30T09:30:00"/>
    <d v="1899-12-30T02:30:00"/>
    <x v="5"/>
    <n v="3"/>
    <x v="98"/>
    <m/>
    <m/>
    <m/>
    <m/>
    <n v="300"/>
    <n v="0"/>
    <n v="0"/>
    <n v="300"/>
    <x v="0"/>
    <n v="50"/>
    <n v="250"/>
    <n v="0"/>
    <n v="0"/>
    <m/>
  </r>
  <r>
    <x v="0"/>
    <x v="7"/>
    <d v="2020-08-08T00:00:00"/>
    <s v="DISSABTE"/>
    <s v="NO"/>
    <s v="NO"/>
    <d v="1899-12-30T21:30:00"/>
    <d v="1899-12-30T02:30:00"/>
    <x v="2"/>
    <n v="1"/>
    <x v="99"/>
    <m/>
    <m/>
    <m/>
    <m/>
    <n v="195"/>
    <n v="0"/>
    <n v="0"/>
    <n v="195"/>
    <x v="2"/>
    <n v="0"/>
    <n v="0"/>
    <n v="0"/>
    <n v="0"/>
    <s v="ANULAT"/>
  </r>
  <r>
    <x v="0"/>
    <x v="7"/>
    <d v="2020-08-12T00:00:00"/>
    <s v="DIMECRES"/>
    <s v="NO"/>
    <s v="NO"/>
    <d v="1899-12-30T21:30:00"/>
    <d v="1899-12-30T02:30:00"/>
    <x v="2"/>
    <n v="1"/>
    <x v="100"/>
    <m/>
    <m/>
    <m/>
    <m/>
    <n v="195"/>
    <n v="1"/>
    <n v="55"/>
    <n v="250"/>
    <x v="0"/>
    <n v="50"/>
    <n v="145"/>
    <n v="0"/>
    <n v="55"/>
    <m/>
  </r>
  <r>
    <x v="0"/>
    <x v="7"/>
    <d v="2020-08-15T00:00:00"/>
    <s v="DISSABTE"/>
    <s v="NO"/>
    <s v="NO"/>
    <d v="1899-12-30T15:30:00"/>
    <d v="1899-12-30T20:30:00"/>
    <x v="1"/>
    <n v="1"/>
    <x v="101"/>
    <m/>
    <m/>
    <m/>
    <m/>
    <n v="145"/>
    <n v="1"/>
    <n v="25"/>
    <n v="170"/>
    <x v="0"/>
    <n v="0"/>
    <n v="145"/>
    <n v="0"/>
    <n v="25"/>
    <s v="EFECTIU"/>
  </r>
  <r>
    <x v="0"/>
    <x v="7"/>
    <d v="2020-08-15T00:00:00"/>
    <s v="DISSABTE"/>
    <s v="NO"/>
    <s v="NO"/>
    <d v="1899-12-30T21:30:00"/>
    <d v="1899-12-30T02:30:00"/>
    <x v="2"/>
    <n v="1"/>
    <x v="102"/>
    <m/>
    <m/>
    <m/>
    <m/>
    <n v="195"/>
    <n v="1"/>
    <n v="5"/>
    <n v="200"/>
    <x v="0"/>
    <n v="0"/>
    <n v="195"/>
    <n v="0"/>
    <n v="5"/>
    <s v="EFECTIU"/>
  </r>
  <r>
    <x v="0"/>
    <x v="7"/>
    <d v="2020-08-19T00:00:00"/>
    <s v="DIMECRES"/>
    <s v="NO"/>
    <s v="NO"/>
    <d v="1899-12-30T15:30:00"/>
    <d v="1899-12-30T20:30:00"/>
    <x v="1"/>
    <n v="1"/>
    <x v="103"/>
    <m/>
    <m/>
    <m/>
    <m/>
    <n v="50"/>
    <n v="0"/>
    <n v="0"/>
    <n v="50"/>
    <x v="0"/>
    <n v="50"/>
    <n v="0"/>
    <n v="0"/>
    <n v="0"/>
    <m/>
  </r>
  <r>
    <x v="0"/>
    <x v="7"/>
    <d v="2020-08-21T00:00:00"/>
    <s v="DIVENDRES"/>
    <s v="NO"/>
    <s v="NO"/>
    <d v="1899-12-30T21:30:00"/>
    <d v="1899-12-30T02:30:00"/>
    <x v="2"/>
    <n v="1"/>
    <x v="104"/>
    <m/>
    <m/>
    <m/>
    <m/>
    <n v="195"/>
    <n v="1"/>
    <n v="55"/>
    <n v="250"/>
    <x v="0"/>
    <n v="50"/>
    <n v="145"/>
    <n v="0"/>
    <n v="55"/>
    <m/>
  </r>
  <r>
    <x v="0"/>
    <x v="7"/>
    <d v="2020-08-22T00:00:00"/>
    <s v="DISSABTE"/>
    <s v="NO"/>
    <s v="NO"/>
    <d v="1899-12-30T21:30:00"/>
    <d v="1899-12-30T02:30:00"/>
    <x v="2"/>
    <n v="1"/>
    <x v="105"/>
    <m/>
    <m/>
    <m/>
    <m/>
    <n v="195"/>
    <n v="0"/>
    <n v="0"/>
    <n v="195"/>
    <x v="2"/>
    <n v="0"/>
    <n v="0"/>
    <n v="0"/>
    <n v="0"/>
    <s v="ANULAT"/>
  </r>
  <r>
    <x v="0"/>
    <x v="7"/>
    <d v="2020-08-29T00:00:00"/>
    <s v="DISSABTE"/>
    <s v="NO"/>
    <s v="NO"/>
    <d v="1899-12-30T21:30:00"/>
    <d v="1899-12-30T02:30:00"/>
    <x v="2"/>
    <n v="1"/>
    <x v="95"/>
    <m/>
    <m/>
    <m/>
    <m/>
    <n v="195"/>
    <n v="0"/>
    <n v="0"/>
    <n v="195"/>
    <x v="2"/>
    <n v="0"/>
    <n v="0"/>
    <n v="0"/>
    <n v="0"/>
    <s v="ANULAT"/>
  </r>
  <r>
    <x v="0"/>
    <x v="8"/>
    <d v="2020-09-01T00:00:00"/>
    <s v="DIMARTS"/>
    <s v="NO"/>
    <s v="NO"/>
    <d v="1899-12-30T15:30:00"/>
    <d v="1899-12-30T20:30:00"/>
    <x v="1"/>
    <n v="1"/>
    <x v="106"/>
    <m/>
    <m/>
    <m/>
    <m/>
    <n v="50"/>
    <n v="0"/>
    <n v="0"/>
    <n v="50"/>
    <x v="0"/>
    <n v="50"/>
    <n v="0"/>
    <n v="0"/>
    <n v="0"/>
    <m/>
  </r>
  <r>
    <x v="0"/>
    <x v="8"/>
    <d v="2020-09-05T00:00:00"/>
    <s v="DISSABTE"/>
    <s v="NO"/>
    <s v="NO"/>
    <d v="1899-12-30T21:30:00"/>
    <d v="1899-12-30T02:30:00"/>
    <x v="2"/>
    <n v="1"/>
    <x v="107"/>
    <m/>
    <m/>
    <m/>
    <m/>
    <n v="195"/>
    <n v="1"/>
    <n v="5"/>
    <n v="200"/>
    <x v="0"/>
    <n v="50"/>
    <n v="145"/>
    <n v="0"/>
    <n v="5"/>
    <m/>
  </r>
  <r>
    <x v="0"/>
    <x v="8"/>
    <d v="2020-09-10T00:00:00"/>
    <s v="DIJOUS"/>
    <s v="NO"/>
    <s v="NO"/>
    <d v="1899-12-30T21:30:00"/>
    <d v="1899-12-30T02:30:00"/>
    <x v="2"/>
    <n v="1"/>
    <x v="108"/>
    <m/>
    <m/>
    <m/>
    <m/>
    <n v="195"/>
    <n v="1"/>
    <n v="5"/>
    <n v="200"/>
    <x v="0"/>
    <n v="50"/>
    <n v="145"/>
    <n v="0"/>
    <n v="5"/>
    <m/>
  </r>
  <r>
    <x v="0"/>
    <x v="8"/>
    <d v="2020-09-12T00:00:00"/>
    <s v="DISSABTE"/>
    <s v="NO"/>
    <s v="NO"/>
    <d v="1899-12-30T21:30:00"/>
    <d v="1899-12-30T02:30:00"/>
    <x v="2"/>
    <n v="1"/>
    <x v="109"/>
    <m/>
    <m/>
    <m/>
    <m/>
    <n v="195"/>
    <n v="0"/>
    <n v="0"/>
    <n v="195"/>
    <x v="0"/>
    <n v="50"/>
    <n v="145"/>
    <n v="0"/>
    <n v="0"/>
    <m/>
  </r>
  <r>
    <x v="0"/>
    <x v="8"/>
    <d v="2020-09-19T00:00:00"/>
    <s v="DISSABTE"/>
    <s v="NO"/>
    <s v="NO"/>
    <d v="1899-12-30T09:30:00"/>
    <d v="1899-12-30T02:30:00"/>
    <x v="5"/>
    <n v="2"/>
    <x v="110"/>
    <m/>
    <m/>
    <m/>
    <m/>
    <n v="300"/>
    <n v="0"/>
    <n v="0"/>
    <n v="300"/>
    <x v="0"/>
    <n v="300"/>
    <n v="0"/>
    <n v="0"/>
    <n v="0"/>
    <m/>
  </r>
  <r>
    <x v="0"/>
    <x v="8"/>
    <d v="2020-09-19T00:00:00"/>
    <s v="DISSABTE"/>
    <s v="NO"/>
    <s v="NO"/>
    <d v="1899-12-30T21:30:00"/>
    <d v="1899-12-30T02:30:00"/>
    <x v="2"/>
    <n v="1"/>
    <x v="111"/>
    <m/>
    <m/>
    <m/>
    <m/>
    <n v="195"/>
    <n v="0"/>
    <n v="0"/>
    <n v="195"/>
    <x v="2"/>
    <n v="0"/>
    <n v="0"/>
    <n v="0"/>
    <n v="0"/>
    <s v="ANULAT"/>
  </r>
  <r>
    <x v="0"/>
    <x v="8"/>
    <d v="2020-09-20T00:00:00"/>
    <s v="DIUMENGE"/>
    <s v="NO"/>
    <s v="NO"/>
    <d v="1899-12-30T09:30:00"/>
    <d v="1899-12-30T02:30:00"/>
    <x v="5"/>
    <n v="2"/>
    <x v="110"/>
    <m/>
    <m/>
    <m/>
    <m/>
    <n v="249.99"/>
    <n v="0"/>
    <n v="0"/>
    <n v="249.99"/>
    <x v="0"/>
    <n v="249.99"/>
    <n v="0"/>
    <n v="0"/>
    <n v="0"/>
    <m/>
  </r>
  <r>
    <x v="0"/>
    <x v="8"/>
    <d v="2020-09-25T00:00:00"/>
    <s v="DIVENDRES"/>
    <s v="NO"/>
    <s v="NO"/>
    <d v="1899-12-30T21:30:00"/>
    <d v="1899-12-30T02:30:00"/>
    <x v="2"/>
    <n v="1"/>
    <x v="112"/>
    <m/>
    <m/>
    <m/>
    <m/>
    <n v="195"/>
    <n v="0"/>
    <n v="0"/>
    <n v="195"/>
    <x v="2"/>
    <n v="0"/>
    <n v="0"/>
    <n v="0"/>
    <n v="0"/>
    <s v="APLAÇAT"/>
  </r>
  <r>
    <x v="0"/>
    <x v="9"/>
    <d v="2020-10-01T00:00:00"/>
    <s v="DIJOUS"/>
    <s v="NO"/>
    <s v="NO"/>
    <m/>
    <m/>
    <x v="7"/>
    <n v="1"/>
    <x v="113"/>
    <m/>
    <m/>
    <m/>
    <m/>
    <n v="200"/>
    <n v="0"/>
    <n v="0"/>
    <n v="200"/>
    <x v="0"/>
    <n v="0"/>
    <n v="200"/>
    <n v="0"/>
    <n v="0"/>
    <m/>
  </r>
  <r>
    <x v="0"/>
    <x v="9"/>
    <d v="2020-10-02T00:00:00"/>
    <s v="DIVENDRES"/>
    <s v="NO"/>
    <s v="NO"/>
    <d v="1899-12-30T21:30:00"/>
    <d v="1899-12-30T02:30:00"/>
    <x v="2"/>
    <n v="1"/>
    <x v="114"/>
    <m/>
    <m/>
    <m/>
    <m/>
    <n v="195"/>
    <n v="0"/>
    <n v="0"/>
    <n v="195"/>
    <x v="2"/>
    <n v="0"/>
    <n v="0"/>
    <n v="0"/>
    <n v="0"/>
    <s v="ANULAT"/>
  </r>
  <r>
    <x v="0"/>
    <x v="9"/>
    <d v="2020-10-10T00:00:00"/>
    <s v="DISSABTE"/>
    <s v="NO"/>
    <s v="NO"/>
    <d v="1899-12-30T15:30:00"/>
    <d v="1899-12-30T20:30:00"/>
    <x v="1"/>
    <n v="1"/>
    <x v="115"/>
    <m/>
    <m/>
    <m/>
    <m/>
    <n v="145"/>
    <n v="0"/>
    <n v="0"/>
    <n v="145"/>
    <x v="0"/>
    <n v="50"/>
    <n v="95"/>
    <n v="0"/>
    <n v="0"/>
    <m/>
  </r>
  <r>
    <x v="0"/>
    <x v="9"/>
    <d v="2020-10-10T00:00:00"/>
    <s v="DISSABTE"/>
    <s v="NO"/>
    <s v="NO"/>
    <d v="1899-12-30T21:30:00"/>
    <d v="1899-12-30T02:30:00"/>
    <x v="2"/>
    <n v="1"/>
    <x v="116"/>
    <m/>
    <m/>
    <m/>
    <m/>
    <n v="195"/>
    <n v="0"/>
    <n v="0"/>
    <n v="195"/>
    <x v="2"/>
    <n v="0"/>
    <n v="0"/>
    <n v="0"/>
    <n v="0"/>
    <s v="NO VAN VENIR"/>
  </r>
  <r>
    <x v="0"/>
    <x v="9"/>
    <d v="2020-10-24T00:00:00"/>
    <s v="DISSABTE"/>
    <s v="NO"/>
    <s v="NO"/>
    <d v="1899-12-30T15:30:00"/>
    <d v="1899-12-30T20:30:00"/>
    <x v="1"/>
    <n v="1"/>
    <x v="117"/>
    <m/>
    <m/>
    <m/>
    <m/>
    <n v="145"/>
    <n v="0"/>
    <n v="0"/>
    <n v="145"/>
    <x v="2"/>
    <n v="0"/>
    <n v="0"/>
    <n v="0"/>
    <n v="0"/>
    <s v="ANULAT"/>
  </r>
  <r>
    <x v="0"/>
    <x v="9"/>
    <d v="2020-10-30T00:00:00"/>
    <s v="DIVENDRES"/>
    <s v="NO"/>
    <s v="NO"/>
    <m/>
    <m/>
    <x v="7"/>
    <m/>
    <x v="118"/>
    <m/>
    <m/>
    <m/>
    <m/>
    <n v="472.2"/>
    <n v="0"/>
    <n v="0"/>
    <n v="472.2"/>
    <x v="0"/>
    <n v="472.2"/>
    <n v="0"/>
    <n v="0"/>
    <n v="0"/>
    <m/>
  </r>
  <r>
    <x v="0"/>
    <x v="9"/>
    <d v="2020-10-31T00:00:00"/>
    <s v="DISSABTE"/>
    <s v="NO"/>
    <s v="SI"/>
    <d v="1899-12-30T21:30:00"/>
    <d v="1899-12-30T02:30:00"/>
    <x v="2"/>
    <n v="1"/>
    <x v="119"/>
    <m/>
    <m/>
    <m/>
    <m/>
    <n v="200"/>
    <n v="0"/>
    <n v="0"/>
    <n v="200"/>
    <x v="2"/>
    <n v="0"/>
    <n v="0"/>
    <n v="0"/>
    <n v="0"/>
    <s v="ANUAL ROCIO JORGE (TARIFA 250€ PAGATS 50€)"/>
  </r>
  <r>
    <x v="0"/>
    <x v="10"/>
    <d v="2020-11-07T00:00:00"/>
    <s v="DISSABTE"/>
    <s v="NO"/>
    <s v="NO"/>
    <d v="1899-12-30T21:30:00"/>
    <d v="1899-12-30T02:30:00"/>
    <x v="2"/>
    <n v="1"/>
    <x v="120"/>
    <m/>
    <m/>
    <m/>
    <m/>
    <n v="195"/>
    <n v="0"/>
    <n v="0"/>
    <n v="195"/>
    <x v="2"/>
    <n v="0"/>
    <n v="0"/>
    <n v="0"/>
    <n v="0"/>
    <m/>
  </r>
  <r>
    <x v="0"/>
    <x v="10"/>
    <d v="2020-11-14T00:00:00"/>
    <s v="DISSABTE"/>
    <s v="NO"/>
    <s v="NO"/>
    <d v="1899-12-30T21:30:00"/>
    <d v="1899-12-30T02:30:00"/>
    <x v="2"/>
    <n v="1"/>
    <x v="121"/>
    <m/>
    <m/>
    <m/>
    <m/>
    <n v="195"/>
    <n v="0"/>
    <n v="0"/>
    <n v="195"/>
    <x v="2"/>
    <n v="0"/>
    <n v="0"/>
    <n v="0"/>
    <n v="0"/>
    <s v="ANULAT"/>
  </r>
  <r>
    <x v="0"/>
    <x v="10"/>
    <d v="2020-11-30T00:00:00"/>
    <s v="DILLUNS"/>
    <s v="NO"/>
    <s v="NO"/>
    <m/>
    <m/>
    <x v="7"/>
    <m/>
    <x v="122"/>
    <m/>
    <m/>
    <m/>
    <m/>
    <n v="472.2"/>
    <n v="0"/>
    <n v="0"/>
    <n v="472.2"/>
    <x v="0"/>
    <n v="472.2"/>
    <n v="0"/>
    <n v="0"/>
    <n v="0"/>
    <m/>
  </r>
  <r>
    <x v="0"/>
    <x v="11"/>
    <d v="2020-12-01T00:00:00"/>
    <s v="DIMARTS"/>
    <s v="NO"/>
    <s v="NO"/>
    <m/>
    <m/>
    <x v="7"/>
    <n v="1"/>
    <x v="113"/>
    <m/>
    <m/>
    <m/>
    <m/>
    <n v="100"/>
    <n v="0"/>
    <n v="0"/>
    <n v="100"/>
    <x v="0"/>
    <n v="0"/>
    <n v="100"/>
    <n v="0"/>
    <n v="0"/>
    <m/>
  </r>
  <r>
    <x v="0"/>
    <x v="11"/>
    <d v="2020-12-21T00:00:00"/>
    <s v="DILLUNS"/>
    <s v="NO"/>
    <s v="NO"/>
    <m/>
    <m/>
    <x v="7"/>
    <m/>
    <x v="123"/>
    <m/>
    <m/>
    <m/>
    <m/>
    <n v="2000"/>
    <n v="0"/>
    <n v="0"/>
    <n v="2000"/>
    <x v="0"/>
    <n v="2000"/>
    <n v="0"/>
    <n v="0"/>
    <n v="0"/>
    <m/>
  </r>
  <r>
    <x v="0"/>
    <x v="11"/>
    <d v="2020-12-24T00:00:00"/>
    <s v="DIJOUS"/>
    <s v="NO"/>
    <s v="SI"/>
    <d v="1899-12-30T21:30:00"/>
    <d v="1899-12-30T02:30:00"/>
    <x v="2"/>
    <n v="1"/>
    <x v="106"/>
    <m/>
    <m/>
    <m/>
    <m/>
    <n v="300"/>
    <n v="0"/>
    <n v="0"/>
    <n v="300"/>
    <x v="1"/>
    <n v="50"/>
    <n v="0"/>
    <n v="0"/>
    <n v="0"/>
    <s v="ANUAL: REMEDIOS 300€"/>
  </r>
  <r>
    <x v="0"/>
    <x v="11"/>
    <d v="2020-12-30T00:00:00"/>
    <s v="DIMECRES"/>
    <s v="NO"/>
    <s v="NO"/>
    <m/>
    <m/>
    <x v="7"/>
    <m/>
    <x v="124"/>
    <m/>
    <m/>
    <m/>
    <m/>
    <n v="472.2"/>
    <n v="0"/>
    <n v="0"/>
    <n v="472.2"/>
    <x v="0"/>
    <n v="472.2"/>
    <n v="0"/>
    <n v="0"/>
    <n v="0"/>
    <m/>
  </r>
  <r>
    <x v="1"/>
    <x v="0"/>
    <d v="2021-01-31T00:00:00"/>
    <s v="DIUMENGE"/>
    <s v="NO"/>
    <s v="NO"/>
    <m/>
    <m/>
    <x v="7"/>
    <m/>
    <x v="125"/>
    <m/>
    <m/>
    <m/>
    <m/>
    <n v="472.2"/>
    <n v="0"/>
    <n v="0"/>
    <n v="472.2"/>
    <x v="0"/>
    <n v="472.2"/>
    <n v="0"/>
    <n v="0"/>
    <n v="0"/>
    <m/>
  </r>
  <r>
    <x v="1"/>
    <x v="1"/>
    <d v="2021-02-26T00:00:00"/>
    <s v="DIVENDRES"/>
    <s v="NO"/>
    <s v="NO"/>
    <m/>
    <m/>
    <x v="7"/>
    <m/>
    <x v="126"/>
    <m/>
    <m/>
    <m/>
    <m/>
    <n v="472.2"/>
    <n v="0"/>
    <n v="0"/>
    <n v="472.2"/>
    <x v="0"/>
    <n v="472.2"/>
    <n v="0"/>
    <n v="0"/>
    <n v="0"/>
    <m/>
  </r>
  <r>
    <x v="1"/>
    <x v="2"/>
    <d v="2021-03-26T00:00:00"/>
    <s v="DIVENDRES"/>
    <s v="NO"/>
    <s v="NO"/>
    <m/>
    <m/>
    <x v="7"/>
    <m/>
    <x v="123"/>
    <m/>
    <m/>
    <m/>
    <m/>
    <n v="2000"/>
    <n v="0"/>
    <n v="0"/>
    <n v="2000"/>
    <x v="0"/>
    <n v="2000"/>
    <n v="0"/>
    <n v="0"/>
    <n v="0"/>
    <m/>
  </r>
  <r>
    <x v="1"/>
    <x v="2"/>
    <d v="2021-03-26T00:00:00"/>
    <s v="DIVENDRES"/>
    <s v="NO"/>
    <s v="NO"/>
    <m/>
    <m/>
    <x v="7"/>
    <m/>
    <x v="68"/>
    <m/>
    <m/>
    <m/>
    <m/>
    <n v="472.2"/>
    <n v="0"/>
    <n v="0"/>
    <n v="472.2"/>
    <x v="0"/>
    <n v="472.2"/>
    <n v="0"/>
    <n v="0"/>
    <n v="0"/>
    <m/>
  </r>
  <r>
    <x v="1"/>
    <x v="3"/>
    <d v="2021-04-30T00:00:00"/>
    <s v="DIVENDRES"/>
    <s v="NO"/>
    <s v="NO"/>
    <m/>
    <m/>
    <x v="7"/>
    <m/>
    <x v="60"/>
    <m/>
    <m/>
    <m/>
    <m/>
    <n v="472.2"/>
    <n v="0"/>
    <n v="0"/>
    <n v="472.2"/>
    <x v="0"/>
    <n v="472.2"/>
    <n v="0"/>
    <n v="0"/>
    <n v="0"/>
    <m/>
  </r>
  <r>
    <x v="1"/>
    <x v="4"/>
    <d v="2021-05-08T00:00:00"/>
    <s v="DISSABTE"/>
    <s v="NO"/>
    <s v="NO"/>
    <d v="1899-12-30T15:30:00"/>
    <d v="1899-12-30T20:30:00"/>
    <x v="1"/>
    <n v="1"/>
    <x v="127"/>
    <s v="SI"/>
    <s v="CORNELLA"/>
    <m/>
    <m/>
    <n v="145"/>
    <n v="0"/>
    <n v="0"/>
    <n v="145"/>
    <x v="0"/>
    <n v="0"/>
    <n v="145"/>
    <n v="0"/>
    <n v="0"/>
    <m/>
  </r>
  <r>
    <x v="1"/>
    <x v="4"/>
    <d v="2021-05-18T00:00:00"/>
    <s v="DIMARTS"/>
    <s v="NO"/>
    <s v="NO"/>
    <m/>
    <m/>
    <x v="7"/>
    <m/>
    <x v="128"/>
    <m/>
    <m/>
    <m/>
    <m/>
    <n v="182.93"/>
    <n v="0"/>
    <n v="0"/>
    <n v="182.93"/>
    <x v="0"/>
    <n v="182.93"/>
    <n v="0"/>
    <n v="0"/>
    <n v="0"/>
    <m/>
  </r>
  <r>
    <x v="1"/>
    <x v="4"/>
    <d v="2021-05-21T00:00:00"/>
    <s v="DIVENDRES"/>
    <s v="NO"/>
    <s v="NO"/>
    <d v="1899-12-30T15:30:00"/>
    <d v="1899-12-30T20:30:00"/>
    <x v="1"/>
    <n v="1"/>
    <x v="129"/>
    <m/>
    <m/>
    <m/>
    <m/>
    <n v="135"/>
    <n v="1"/>
    <n v="15"/>
    <n v="150"/>
    <x v="0"/>
    <n v="50"/>
    <n v="85"/>
    <n v="0"/>
    <n v="15"/>
    <m/>
  </r>
  <r>
    <x v="1"/>
    <x v="4"/>
    <d v="2021-05-23T00:00:00"/>
    <s v="DIUMENGE"/>
    <s v="NO"/>
    <s v="NO"/>
    <d v="1899-12-30T15:30:00"/>
    <d v="1899-12-30T20:30:00"/>
    <x v="1"/>
    <n v="1"/>
    <x v="130"/>
    <m/>
    <m/>
    <m/>
    <m/>
    <n v="145"/>
    <n v="0"/>
    <n v="0"/>
    <n v="145"/>
    <x v="0"/>
    <n v="145"/>
    <n v="0"/>
    <n v="0"/>
    <n v="0"/>
    <m/>
  </r>
  <r>
    <x v="1"/>
    <x v="4"/>
    <d v="2021-05-27T00:00:00"/>
    <s v="DIJOUS"/>
    <s v="NO"/>
    <s v="NO"/>
    <d v="1899-12-30T15:30:00"/>
    <d v="1899-12-30T20:30:00"/>
    <x v="1"/>
    <n v="1"/>
    <x v="131"/>
    <m/>
    <m/>
    <m/>
    <m/>
    <n v="50"/>
    <n v="0"/>
    <n v="0"/>
    <n v="50"/>
    <x v="0"/>
    <n v="50"/>
    <n v="0"/>
    <n v="0"/>
    <n v="0"/>
    <m/>
  </r>
  <r>
    <x v="1"/>
    <x v="4"/>
    <d v="2021-05-28T00:00:00"/>
    <s v="DIVENDRES"/>
    <s v="NO"/>
    <s v="NO"/>
    <d v="1899-12-30T09:30:00"/>
    <d v="1899-12-30T20:30:00"/>
    <x v="5"/>
    <n v="2"/>
    <x v="131"/>
    <m/>
    <m/>
    <m/>
    <m/>
    <n v="300"/>
    <n v="0"/>
    <n v="0"/>
    <n v="300"/>
    <x v="0"/>
    <n v="0"/>
    <n v="300"/>
    <n v="0"/>
    <n v="0"/>
    <m/>
  </r>
  <r>
    <x v="1"/>
    <x v="4"/>
    <d v="2021-05-31T00:00:00"/>
    <s v="DILLUNS"/>
    <s v="NO"/>
    <s v="NO"/>
    <m/>
    <m/>
    <x v="7"/>
    <m/>
    <x v="73"/>
    <m/>
    <m/>
    <m/>
    <m/>
    <n v="472.2"/>
    <n v="0"/>
    <n v="0"/>
    <n v="472.2"/>
    <x v="0"/>
    <n v="472.2"/>
    <n v="0"/>
    <n v="0"/>
    <n v="0"/>
    <m/>
  </r>
  <r>
    <x v="1"/>
    <x v="5"/>
    <d v="2021-06-04T00:00:00"/>
    <s v="DIVENDRES"/>
    <s v="NO"/>
    <s v="NO"/>
    <d v="1899-12-30T09:30:00"/>
    <d v="1899-12-30T23:00:00"/>
    <x v="5"/>
    <n v="2"/>
    <x v="132"/>
    <m/>
    <m/>
    <m/>
    <m/>
    <n v="190"/>
    <n v="1"/>
    <n v="50"/>
    <n v="240"/>
    <x v="0"/>
    <n v="50"/>
    <n v="140"/>
    <n v="0"/>
    <n v="50"/>
    <m/>
  </r>
  <r>
    <x v="1"/>
    <x v="5"/>
    <d v="2021-06-05T00:00:00"/>
    <s v="DISSABTE"/>
    <s v="NO"/>
    <s v="NO"/>
    <d v="1899-12-30T09:30:00"/>
    <d v="1899-12-30T23:00:00"/>
    <x v="5"/>
    <n v="2"/>
    <x v="36"/>
    <m/>
    <m/>
    <m/>
    <m/>
    <n v="168"/>
    <n v="0"/>
    <n v="0"/>
    <n v="168"/>
    <x v="0"/>
    <n v="133"/>
    <n v="35"/>
    <n v="0"/>
    <n v="0"/>
    <s v="123€ COMPTE ORIOL"/>
  </r>
  <r>
    <x v="1"/>
    <x v="5"/>
    <d v="2021-06-11T00:00:00"/>
    <s v="DIVENDRES"/>
    <s v="NO"/>
    <s v="NO"/>
    <d v="1899-12-30T15:30:00"/>
    <d v="1899-12-30T23:00:00"/>
    <x v="5"/>
    <n v="2"/>
    <x v="133"/>
    <m/>
    <m/>
    <m/>
    <m/>
    <n v="145"/>
    <n v="1"/>
    <n v="35"/>
    <n v="180"/>
    <x v="0"/>
    <n v="150"/>
    <n v="0"/>
    <n v="0"/>
    <n v="30"/>
    <s v="150€ COMPTE MARTA"/>
  </r>
  <r>
    <x v="1"/>
    <x v="5"/>
    <d v="2021-06-12T00:00:00"/>
    <s v="DISSABTE"/>
    <s v="NO"/>
    <s v="NO"/>
    <d v="1899-12-30T09:30:00"/>
    <d v="1899-12-30T23:00:00"/>
    <x v="5"/>
    <n v="2"/>
    <x v="134"/>
    <m/>
    <m/>
    <m/>
    <m/>
    <n v="195"/>
    <n v="0"/>
    <n v="0"/>
    <n v="195"/>
    <x v="0"/>
    <n v="50"/>
    <n v="145"/>
    <n v="0"/>
    <n v="0"/>
    <m/>
  </r>
  <r>
    <x v="1"/>
    <x v="5"/>
    <d v="2021-06-13T00:00:00"/>
    <s v="DIUMENGE"/>
    <s v="NO"/>
    <s v="NO"/>
    <d v="1899-12-30T09:30:00"/>
    <d v="1899-12-30T14:30:00"/>
    <x v="3"/>
    <n v="1"/>
    <x v="135"/>
    <m/>
    <m/>
    <m/>
    <m/>
    <n v="145"/>
    <n v="0"/>
    <n v="0"/>
    <n v="145"/>
    <x v="0"/>
    <n v="50"/>
    <n v="95"/>
    <n v="0"/>
    <n v="0"/>
    <m/>
  </r>
  <r>
    <x v="1"/>
    <x v="5"/>
    <d v="2021-06-18T00:00:00"/>
    <s v="DIVENDRES"/>
    <s v="NO"/>
    <s v="NO"/>
    <d v="1899-12-30T15:30:00"/>
    <d v="1899-12-30T00:00:00"/>
    <x v="1"/>
    <n v="1"/>
    <x v="136"/>
    <m/>
    <m/>
    <m/>
    <m/>
    <n v="195"/>
    <n v="0"/>
    <n v="0"/>
    <n v="195"/>
    <x v="0"/>
    <n v="195"/>
    <n v="0"/>
    <n v="0"/>
    <n v="0"/>
    <m/>
  </r>
  <r>
    <x v="1"/>
    <x v="5"/>
    <d v="2021-06-19T00:00:00"/>
    <s v="DISSABTE"/>
    <s v="NO"/>
    <s v="NO"/>
    <d v="1899-12-30T15:30:00"/>
    <d v="1899-12-30T20:30:00"/>
    <x v="1"/>
    <n v="1"/>
    <x v="137"/>
    <m/>
    <m/>
    <m/>
    <m/>
    <n v="145"/>
    <n v="1"/>
    <n v="5"/>
    <n v="150"/>
    <x v="0"/>
    <n v="50"/>
    <n v="95"/>
    <n v="0"/>
    <n v="5"/>
    <m/>
  </r>
  <r>
    <x v="1"/>
    <x v="5"/>
    <d v="2021-06-20T00:00:00"/>
    <s v="DIUMENGE"/>
    <s v="NO"/>
    <s v="NO"/>
    <d v="1899-12-30T12:00:00"/>
    <d v="1899-12-30T18:00:00"/>
    <x v="5"/>
    <n v="2"/>
    <x v="138"/>
    <m/>
    <m/>
    <m/>
    <m/>
    <n v="195"/>
    <n v="0"/>
    <n v="0"/>
    <n v="195"/>
    <x v="0"/>
    <n v="50"/>
    <n v="145"/>
    <n v="0"/>
    <n v="0"/>
    <m/>
  </r>
  <r>
    <x v="1"/>
    <x v="5"/>
    <d v="2021-06-20T00:00:00"/>
    <s v="DIUMENGE"/>
    <s v="NO"/>
    <s v="NO"/>
    <m/>
    <m/>
    <x v="7"/>
    <m/>
    <x v="139"/>
    <m/>
    <m/>
    <m/>
    <m/>
    <n v="154.13"/>
    <n v="0"/>
    <n v="0"/>
    <n v="154.13"/>
    <x v="0"/>
    <n v="154.13"/>
    <n v="0"/>
    <n v="0"/>
    <n v="0"/>
    <m/>
  </r>
  <r>
    <x v="1"/>
    <x v="5"/>
    <d v="2021-06-22T00:00:00"/>
    <s v="DIMARTS"/>
    <s v="NO"/>
    <s v="NO"/>
    <d v="1899-12-30T21:30:00"/>
    <d v="1899-12-30T02:30:00"/>
    <x v="2"/>
    <n v="1"/>
    <x v="140"/>
    <m/>
    <m/>
    <m/>
    <m/>
    <n v="195"/>
    <n v="1"/>
    <n v="80"/>
    <n v="275"/>
    <x v="0"/>
    <n v="195"/>
    <n v="0"/>
    <n v="0"/>
    <n v="80"/>
    <m/>
  </r>
  <r>
    <x v="1"/>
    <x v="5"/>
    <d v="2021-06-23T00:00:00"/>
    <s v="DIMECRES"/>
    <s v="NO"/>
    <s v="NO"/>
    <d v="1899-12-30T15:30:00"/>
    <d v="1899-12-30T20:30:00"/>
    <x v="1"/>
    <n v="1"/>
    <x v="141"/>
    <m/>
    <m/>
    <m/>
    <m/>
    <n v="70"/>
    <n v="0"/>
    <n v="0"/>
    <n v="70"/>
    <x v="0"/>
    <n v="50"/>
    <n v="20"/>
    <n v="0"/>
    <n v="0"/>
    <m/>
  </r>
  <r>
    <x v="1"/>
    <x v="5"/>
    <d v="2021-06-26T00:00:00"/>
    <s v="DISSABTE"/>
    <s v="NO"/>
    <s v="NO"/>
    <d v="1899-12-30T15:30:00"/>
    <d v="1899-12-30T23:00:00"/>
    <x v="1"/>
    <n v="1"/>
    <x v="142"/>
    <m/>
    <m/>
    <m/>
    <m/>
    <n v="145"/>
    <n v="1"/>
    <n v="5"/>
    <n v="150"/>
    <x v="0"/>
    <n v="0"/>
    <n v="145"/>
    <n v="0"/>
    <n v="5"/>
    <m/>
  </r>
  <r>
    <x v="1"/>
    <x v="6"/>
    <d v="2021-07-03T00:00:00"/>
    <s v="DISSABTE"/>
    <s v="NO"/>
    <s v="NO"/>
    <d v="1899-12-30T09:30:00"/>
    <d v="1899-12-30T02:30:00"/>
    <x v="5"/>
    <n v="3"/>
    <x v="143"/>
    <m/>
    <m/>
    <m/>
    <m/>
    <n v="370"/>
    <n v="0"/>
    <n v="0"/>
    <n v="370"/>
    <x v="0"/>
    <n v="50"/>
    <n v="320"/>
    <n v="0"/>
    <n v="0"/>
    <m/>
  </r>
  <r>
    <x v="1"/>
    <x v="6"/>
    <d v="2021-07-10T00:00:00"/>
    <s v="DISSABTE"/>
    <s v="NO"/>
    <s v="NO"/>
    <d v="1899-12-30T15:30:00"/>
    <d v="1899-12-30T20:30:00"/>
    <x v="1"/>
    <n v="1"/>
    <x v="144"/>
    <m/>
    <m/>
    <m/>
    <m/>
    <n v="145"/>
    <n v="0"/>
    <n v="0"/>
    <n v="145"/>
    <x v="0"/>
    <n v="145"/>
    <n v="0"/>
    <n v="0"/>
    <n v="0"/>
    <s v="95€ COMPTE ORIOL"/>
  </r>
  <r>
    <x v="1"/>
    <x v="6"/>
    <d v="2021-07-11T00:00:00"/>
    <s v="DIUMENGE"/>
    <s v="NO"/>
    <s v="NO"/>
    <d v="1899-12-30T09:30:00"/>
    <d v="1899-12-30T14:30:00"/>
    <x v="3"/>
    <n v="1"/>
    <x v="145"/>
    <m/>
    <m/>
    <m/>
    <m/>
    <n v="145"/>
    <n v="0"/>
    <n v="0"/>
    <n v="145"/>
    <x v="0"/>
    <n v="145"/>
    <n v="0"/>
    <n v="0"/>
    <n v="0"/>
    <m/>
  </r>
  <r>
    <x v="1"/>
    <x v="6"/>
    <d v="2021-07-18T00:00:00"/>
    <s v="DIUMENGE"/>
    <s v="NO"/>
    <s v="NO"/>
    <d v="1899-12-30T09:30:00"/>
    <d v="1899-12-30T14:30:00"/>
    <x v="3"/>
    <n v="1"/>
    <x v="146"/>
    <m/>
    <m/>
    <m/>
    <m/>
    <n v="145"/>
    <n v="0"/>
    <n v="0"/>
    <n v="145"/>
    <x v="2"/>
    <n v="0"/>
    <n v="0"/>
    <n v="0"/>
    <n v="0"/>
    <s v="ANULAT"/>
  </r>
  <r>
    <x v="1"/>
    <x v="6"/>
    <d v="2021-07-21T00:00:00"/>
    <s v="DIMECRES"/>
    <s v="NO"/>
    <s v="NO"/>
    <d v="1899-12-30T09:30:00"/>
    <d v="1899-12-30T02:30:00"/>
    <x v="5"/>
    <n v="3"/>
    <x v="147"/>
    <m/>
    <m/>
    <m/>
    <m/>
    <n v="250"/>
    <n v="0"/>
    <n v="0"/>
    <n v="250"/>
    <x v="0"/>
    <n v="50"/>
    <n v="200"/>
    <n v="0"/>
    <n v="0"/>
    <m/>
  </r>
  <r>
    <x v="1"/>
    <x v="6"/>
    <d v="2021-07-22T00:00:00"/>
    <s v="DIJOUS"/>
    <s v="NO"/>
    <s v="NO"/>
    <d v="1899-12-30T09:30:00"/>
    <d v="1899-12-30T02:30:00"/>
    <x v="5"/>
    <n v="3"/>
    <x v="147"/>
    <m/>
    <m/>
    <m/>
    <m/>
    <n v="250"/>
    <n v="0"/>
    <n v="0"/>
    <n v="250"/>
    <x v="0"/>
    <n v="0"/>
    <n v="250"/>
    <n v="0"/>
    <n v="0"/>
    <m/>
  </r>
  <r>
    <x v="1"/>
    <x v="6"/>
    <d v="2021-07-25T00:00:00"/>
    <s v="DIUMENGE"/>
    <s v="NO"/>
    <s v="NO"/>
    <d v="1899-12-30T15:30:00"/>
    <d v="1899-12-30T00:30:00"/>
    <x v="1"/>
    <n v="1"/>
    <x v="148"/>
    <m/>
    <m/>
    <m/>
    <m/>
    <n v="195"/>
    <n v="0"/>
    <n v="0"/>
    <n v="195"/>
    <x v="2"/>
    <n v="0"/>
    <n v="0"/>
    <n v="0"/>
    <n v="0"/>
    <s v="ANULAT"/>
  </r>
  <r>
    <x v="1"/>
    <x v="7"/>
    <d v="2021-08-01T00:00:00"/>
    <s v="DIUMENGE"/>
    <s v="NO"/>
    <s v="NO"/>
    <d v="1899-12-30T15:30:00"/>
    <d v="1899-12-30T00:30:00"/>
    <x v="1"/>
    <n v="1"/>
    <x v="149"/>
    <m/>
    <m/>
    <m/>
    <m/>
    <n v="195"/>
    <n v="0"/>
    <n v="0"/>
    <n v="195"/>
    <x v="0"/>
    <n v="50"/>
    <n v="145"/>
    <n v="0"/>
    <n v="0"/>
    <m/>
  </r>
  <r>
    <x v="1"/>
    <x v="7"/>
    <d v="2021-08-07T00:00:00"/>
    <s v="DISSABTE"/>
    <s v="NO"/>
    <s v="NO"/>
    <d v="1899-12-30T15:30:00"/>
    <d v="1899-12-30T20:30:00"/>
    <x v="1"/>
    <n v="1"/>
    <x v="150"/>
    <m/>
    <m/>
    <m/>
    <m/>
    <n v="145"/>
    <n v="0"/>
    <n v="0"/>
    <n v="145"/>
    <x v="0"/>
    <n v="145"/>
    <n v="0"/>
    <n v="0"/>
    <n v="0"/>
    <m/>
  </r>
  <r>
    <x v="1"/>
    <x v="7"/>
    <d v="2021-08-08T00:00:00"/>
    <s v="DIUMENGE"/>
    <s v="NO"/>
    <s v="NO"/>
    <d v="1899-12-30T15:30:00"/>
    <d v="1899-12-30T20:30:00"/>
    <x v="1"/>
    <n v="1"/>
    <x v="151"/>
    <m/>
    <m/>
    <m/>
    <m/>
    <n v="145"/>
    <n v="0"/>
    <n v="0"/>
    <n v="145"/>
    <x v="0"/>
    <n v="50"/>
    <n v="95"/>
    <n v="0"/>
    <n v="0"/>
    <m/>
  </r>
  <r>
    <x v="1"/>
    <x v="7"/>
    <d v="2021-08-15T00:00:00"/>
    <s v="DIUMENGE"/>
    <s v="NO"/>
    <s v="NO"/>
    <d v="1899-12-30T15:30:00"/>
    <d v="1899-12-30T00:30:00"/>
    <x v="1"/>
    <n v="1"/>
    <x v="102"/>
    <m/>
    <m/>
    <m/>
    <m/>
    <n v="195"/>
    <n v="0"/>
    <n v="0"/>
    <n v="195"/>
    <x v="0"/>
    <n v="0"/>
    <n v="195"/>
    <n v="0"/>
    <n v="0"/>
    <m/>
  </r>
  <r>
    <x v="1"/>
    <x v="7"/>
    <d v="2021-08-19T00:00:00"/>
    <s v="DIJOUS"/>
    <s v="NO"/>
    <s v="NO"/>
    <d v="1899-12-30T19:00:00"/>
    <d v="1899-12-30T00:30:00"/>
    <x v="1"/>
    <n v="1"/>
    <x v="152"/>
    <m/>
    <m/>
    <m/>
    <m/>
    <n v="100"/>
    <n v="0"/>
    <n v="0"/>
    <n v="100"/>
    <x v="0"/>
    <n v="0"/>
    <n v="100"/>
    <n v="0"/>
    <n v="0"/>
    <m/>
  </r>
  <r>
    <x v="1"/>
    <x v="7"/>
    <d v="2021-08-28T00:00:00"/>
    <s v="DISSABTE"/>
    <s v="NO"/>
    <s v="NO"/>
    <d v="1899-12-30T15:30:00"/>
    <d v="1899-12-30T00:30:00"/>
    <x v="1"/>
    <n v="1"/>
    <x v="153"/>
    <m/>
    <m/>
    <m/>
    <m/>
    <n v="195"/>
    <n v="0"/>
    <n v="0"/>
    <n v="195"/>
    <x v="0"/>
    <n v="50"/>
    <n v="145"/>
    <n v="0"/>
    <n v="0"/>
    <m/>
  </r>
  <r>
    <x v="1"/>
    <x v="7"/>
    <d v="2021-08-29T00:00:00"/>
    <s v="DIUMENGE"/>
    <s v="NO"/>
    <s v="NO"/>
    <d v="1899-12-30T09:30:00"/>
    <d v="1899-12-30T14:30:00"/>
    <x v="3"/>
    <n v="1"/>
    <x v="154"/>
    <m/>
    <m/>
    <m/>
    <m/>
    <n v="145"/>
    <n v="0"/>
    <n v="0"/>
    <n v="145"/>
    <x v="0"/>
    <n v="50"/>
    <n v="95"/>
    <n v="0"/>
    <n v="0"/>
    <m/>
  </r>
  <r>
    <x v="1"/>
    <x v="8"/>
    <d v="2021-09-05T00:00:00"/>
    <s v="DIUMENGE"/>
    <s v="NO"/>
    <s v="NO"/>
    <d v="1899-12-30T15:30:00"/>
    <d v="1899-12-30T00:30:00"/>
    <x v="1"/>
    <n v="1"/>
    <x v="155"/>
    <m/>
    <m/>
    <m/>
    <m/>
    <n v="195"/>
    <n v="0"/>
    <n v="0"/>
    <n v="195"/>
    <x v="0"/>
    <n v="50"/>
    <n v="145"/>
    <n v="0"/>
    <n v="0"/>
    <m/>
  </r>
  <r>
    <x v="1"/>
    <x v="8"/>
    <d v="2021-09-11T00:00:00"/>
    <s v="DISSABTE"/>
    <s v="SI"/>
    <s v="NO"/>
    <d v="1899-12-30T15:30:00"/>
    <d v="1899-12-30T00:30:00"/>
    <x v="1"/>
    <n v="1"/>
    <x v="156"/>
    <m/>
    <m/>
    <m/>
    <m/>
    <n v="195"/>
    <n v="0"/>
    <n v="0"/>
    <n v="195"/>
    <x v="0"/>
    <n v="50"/>
    <n v="145"/>
    <n v="0"/>
    <n v="0"/>
    <m/>
  </r>
  <r>
    <x v="1"/>
    <x v="8"/>
    <d v="2021-09-12T00:00:00"/>
    <s v="DIUMENGE"/>
    <s v="NO"/>
    <s v="NO"/>
    <d v="1899-12-30T09:30:00"/>
    <d v="1899-12-30T20:30:00"/>
    <x v="5"/>
    <n v="2"/>
    <x v="157"/>
    <m/>
    <m/>
    <m/>
    <m/>
    <n v="160"/>
    <n v="0"/>
    <n v="0"/>
    <n v="160"/>
    <x v="0"/>
    <n v="0"/>
    <n v="160"/>
    <n v="0"/>
    <n v="0"/>
    <s v="COMPTE ORIOL"/>
  </r>
  <r>
    <x v="1"/>
    <x v="8"/>
    <d v="2021-09-18T00:00:00"/>
    <s v="DISSABTE"/>
    <s v="NO"/>
    <s v="NO"/>
    <d v="1899-12-30T15:30:00"/>
    <d v="1899-12-30T20:30:00"/>
    <x v="1"/>
    <n v="1"/>
    <x v="158"/>
    <m/>
    <m/>
    <m/>
    <m/>
    <n v="145"/>
    <n v="0"/>
    <n v="0"/>
    <n v="145"/>
    <x v="0"/>
    <n v="145"/>
    <n v="0"/>
    <n v="0"/>
    <n v="0"/>
    <m/>
  </r>
  <r>
    <x v="1"/>
    <x v="8"/>
    <d v="2021-09-19T00:00:00"/>
    <s v="DIUMENGE"/>
    <s v="NO"/>
    <s v="NO"/>
    <d v="1899-12-30T15:30:00"/>
    <d v="1899-12-30T20:30:00"/>
    <x v="1"/>
    <n v="1"/>
    <x v="159"/>
    <m/>
    <m/>
    <m/>
    <m/>
    <n v="145"/>
    <n v="0"/>
    <n v="0"/>
    <n v="145"/>
    <x v="0"/>
    <n v="145"/>
    <n v="0"/>
    <n v="0"/>
    <n v="0"/>
    <m/>
  </r>
  <r>
    <x v="1"/>
    <x v="8"/>
    <d v="2021-09-24T00:00:00"/>
    <s v="DIVENDRES"/>
    <s v="NO"/>
    <s v="NO"/>
    <d v="1899-12-30T15:30:00"/>
    <d v="1899-12-30T00:30:00"/>
    <x v="1"/>
    <n v="1"/>
    <x v="160"/>
    <m/>
    <m/>
    <m/>
    <m/>
    <n v="195"/>
    <n v="0"/>
    <n v="0"/>
    <n v="200"/>
    <x v="0"/>
    <n v="50"/>
    <n v="145"/>
    <n v="0"/>
    <n v="5"/>
    <m/>
  </r>
  <r>
    <x v="1"/>
    <x v="8"/>
    <d v="2021-09-25T00:00:00"/>
    <s v="DISSABTE"/>
    <s v="NO"/>
    <s v="NO"/>
    <d v="1899-12-30T15:30:00"/>
    <d v="1899-12-30T00:30:00"/>
    <x v="1"/>
    <n v="1"/>
    <x v="161"/>
    <m/>
    <m/>
    <m/>
    <m/>
    <n v="195"/>
    <n v="0"/>
    <n v="0"/>
    <n v="195"/>
    <x v="0"/>
    <n v="50"/>
    <n v="145"/>
    <n v="0"/>
    <n v="0"/>
    <m/>
  </r>
  <r>
    <x v="1"/>
    <x v="8"/>
    <d v="2021-09-26T00:00:00"/>
    <s v="DIUMENGE"/>
    <s v="NO"/>
    <s v="NO"/>
    <d v="1899-12-30T13:00:00"/>
    <d v="1899-12-30T20:30:00"/>
    <x v="0"/>
    <n v="1"/>
    <x v="162"/>
    <m/>
    <m/>
    <m/>
    <m/>
    <n v="145"/>
    <n v="0"/>
    <n v="0"/>
    <n v="150"/>
    <x v="0"/>
    <n v="50"/>
    <n v="95"/>
    <n v="0"/>
    <n v="5"/>
    <m/>
  </r>
  <r>
    <x v="1"/>
    <x v="9"/>
    <d v="2021-10-02T00:00:00"/>
    <s v="DISSABTE"/>
    <s v="NO"/>
    <s v="NO"/>
    <d v="1899-12-30T09:30:00"/>
    <d v="1899-12-30T14:30:00"/>
    <x v="3"/>
    <n v="1"/>
    <x v="163"/>
    <m/>
    <m/>
    <m/>
    <m/>
    <n v="145"/>
    <n v="0"/>
    <n v="0"/>
    <n v="145"/>
    <x v="0"/>
    <n v="145"/>
    <n v="0"/>
    <n v="0"/>
    <n v="0"/>
    <m/>
  </r>
  <r>
    <x v="1"/>
    <x v="9"/>
    <d v="2021-10-03T00:00:00"/>
    <s v="DIUMENGE"/>
    <s v="NO"/>
    <s v="NO"/>
    <d v="1899-12-30T13:00:00"/>
    <d v="1899-12-30T20:30:00"/>
    <x v="1"/>
    <n v="1"/>
    <x v="164"/>
    <m/>
    <m/>
    <m/>
    <m/>
    <n v="145"/>
    <n v="0"/>
    <n v="0"/>
    <n v="145"/>
    <x v="0"/>
    <n v="145"/>
    <n v="0"/>
    <n v="0"/>
    <n v="0"/>
    <m/>
  </r>
  <r>
    <x v="1"/>
    <x v="9"/>
    <d v="2021-10-08T00:00:00"/>
    <s v="DIVENDRES"/>
    <s v="NO"/>
    <s v="NO"/>
    <d v="1899-12-30T15:30:00"/>
    <d v="1899-12-30T00:30:00"/>
    <x v="1"/>
    <n v="1"/>
    <x v="165"/>
    <m/>
    <m/>
    <m/>
    <m/>
    <n v="195"/>
    <n v="0"/>
    <n v="0"/>
    <n v="195"/>
    <x v="0"/>
    <n v="50"/>
    <n v="145"/>
    <n v="0"/>
    <n v="0"/>
    <m/>
  </r>
  <r>
    <x v="1"/>
    <x v="9"/>
    <d v="2021-10-09T00:00:00"/>
    <s v="DISSABTE"/>
    <s v="NO"/>
    <s v="NO"/>
    <d v="1899-12-30T15:30:00"/>
    <d v="1899-12-30T20:30:00"/>
    <x v="1"/>
    <n v="1"/>
    <x v="166"/>
    <m/>
    <m/>
    <m/>
    <m/>
    <n v="145"/>
    <n v="0"/>
    <n v="0"/>
    <n v="145"/>
    <x v="0"/>
    <n v="50"/>
    <n v="95"/>
    <n v="0"/>
    <n v="0"/>
    <m/>
  </r>
  <r>
    <x v="1"/>
    <x v="9"/>
    <d v="2021-10-09T00:00:00"/>
    <s v="DISSABTE"/>
    <s v="NO"/>
    <s v="NO"/>
    <d v="1899-12-30T21:30:00"/>
    <d v="1899-12-30T02:30:00"/>
    <x v="2"/>
    <n v="1"/>
    <x v="116"/>
    <m/>
    <m/>
    <m/>
    <m/>
    <n v="195"/>
    <n v="1"/>
    <n v="100"/>
    <n v="295"/>
    <x v="0"/>
    <n v="0"/>
    <n v="195"/>
    <n v="0"/>
    <n v="100"/>
    <m/>
  </r>
  <r>
    <x v="1"/>
    <x v="9"/>
    <d v="2021-10-12T00:00:00"/>
    <s v="DIMARTS"/>
    <s v="SI"/>
    <s v="NO"/>
    <d v="1899-12-30T15:30:00"/>
    <d v="1899-12-30T20:30:00"/>
    <x v="1"/>
    <n v="1"/>
    <x v="167"/>
    <m/>
    <m/>
    <m/>
    <m/>
    <n v="145"/>
    <n v="0"/>
    <n v="0"/>
    <n v="145"/>
    <x v="0"/>
    <n v="145"/>
    <n v="0"/>
    <n v="0"/>
    <n v="0"/>
    <m/>
  </r>
  <r>
    <x v="1"/>
    <x v="9"/>
    <d v="2021-10-15T00:00:00"/>
    <s v="DIVENDRES"/>
    <s v="NO"/>
    <s v="NO"/>
    <d v="1899-12-30T21:30:00"/>
    <d v="1899-12-30T02:30:00"/>
    <x v="2"/>
    <n v="1"/>
    <x v="168"/>
    <m/>
    <m/>
    <m/>
    <m/>
    <n v="195"/>
    <n v="1"/>
    <n v="50"/>
    <n v="245"/>
    <x v="0"/>
    <n v="145"/>
    <n v="0"/>
    <n v="0"/>
    <n v="50"/>
    <m/>
  </r>
  <r>
    <x v="1"/>
    <x v="9"/>
    <d v="2021-10-16T00:00:00"/>
    <s v="DISSABTE"/>
    <s v="NO"/>
    <s v="NO"/>
    <d v="1899-12-30T15:30:00"/>
    <d v="1899-12-30T00:30:00"/>
    <x v="1"/>
    <n v="1"/>
    <x v="169"/>
    <m/>
    <m/>
    <m/>
    <m/>
    <n v="195"/>
    <n v="0"/>
    <n v="0"/>
    <n v="195"/>
    <x v="0"/>
    <n v="50"/>
    <n v="145"/>
    <n v="0"/>
    <n v="0"/>
    <s v="compte marta"/>
  </r>
  <r>
    <x v="1"/>
    <x v="9"/>
    <d v="2021-10-23T00:00:00"/>
    <s v="DISSABTE"/>
    <s v="NO"/>
    <s v="NO"/>
    <d v="1899-12-30T09:30:00"/>
    <d v="1899-12-30T14:30:00"/>
    <x v="3"/>
    <n v="1"/>
    <x v="170"/>
    <m/>
    <m/>
    <m/>
    <m/>
    <n v="145"/>
    <n v="0"/>
    <n v="0"/>
    <n v="145"/>
    <x v="0"/>
    <n v="145"/>
    <n v="0"/>
    <n v="0"/>
    <n v="0"/>
    <m/>
  </r>
  <r>
    <x v="1"/>
    <x v="9"/>
    <d v="2021-10-23T00:00:00"/>
    <s v="DISSABTE"/>
    <s v="NO"/>
    <s v="NO"/>
    <d v="1899-12-30T15:30:00"/>
    <d v="1899-12-30T20:30:00"/>
    <x v="1"/>
    <n v="1"/>
    <x v="56"/>
    <m/>
    <m/>
    <m/>
    <m/>
    <n v="145"/>
    <n v="1"/>
    <n v="5"/>
    <n v="150"/>
    <x v="0"/>
    <n v="50"/>
    <n v="95"/>
    <n v="0"/>
    <n v="5"/>
    <m/>
  </r>
  <r>
    <x v="1"/>
    <x v="9"/>
    <d v="2021-10-29T00:00:00"/>
    <s v="DIVENDRES"/>
    <s v="NO"/>
    <s v="NO"/>
    <d v="1899-12-30T15:30:00"/>
    <d v="1899-12-30T20:30:00"/>
    <x v="1"/>
    <n v="1"/>
    <x v="171"/>
    <m/>
    <m/>
    <m/>
    <m/>
    <n v="135"/>
    <n v="1"/>
    <n v="15"/>
    <n v="150"/>
    <x v="0"/>
    <n v="50"/>
    <n v="85"/>
    <n v="0"/>
    <n v="15"/>
    <m/>
  </r>
  <r>
    <x v="1"/>
    <x v="9"/>
    <d v="2021-10-30T00:00:00"/>
    <s v="DISSABTE"/>
    <s v="NO"/>
    <s v="NO"/>
    <d v="1899-12-30T09:30:00"/>
    <d v="1899-12-30T20:30:00"/>
    <x v="5"/>
    <n v="2"/>
    <x v="172"/>
    <m/>
    <m/>
    <m/>
    <m/>
    <n v="270"/>
    <n v="0"/>
    <n v="0"/>
    <n v="270"/>
    <x v="0"/>
    <n v="50"/>
    <n v="220"/>
    <n v="0"/>
    <n v="0"/>
    <m/>
  </r>
  <r>
    <x v="1"/>
    <x v="9"/>
    <d v="2021-10-31T00:00:00"/>
    <s v="DIUMENGE"/>
    <s v="NO"/>
    <s v="SI"/>
    <d v="1899-12-30T21:30:00"/>
    <d v="1899-12-30T02:30:00"/>
    <x v="2"/>
    <n v="1"/>
    <x v="111"/>
    <m/>
    <m/>
    <m/>
    <m/>
    <n v="250"/>
    <n v="0"/>
    <n v="0"/>
    <n v="250"/>
    <x v="0"/>
    <n v="250"/>
    <n v="0"/>
    <n v="0"/>
    <n v="0"/>
    <s v="ANUAL: 250"/>
  </r>
  <r>
    <x v="1"/>
    <x v="10"/>
    <d v="2021-11-04T00:00:00"/>
    <s v="DIJOUS"/>
    <s v="NO"/>
    <s v="NO"/>
    <d v="1899-12-30T15:30:00"/>
    <d v="1899-12-30T20:30:00"/>
    <x v="1"/>
    <n v="1"/>
    <x v="173"/>
    <m/>
    <m/>
    <m/>
    <m/>
    <n v="95"/>
    <n v="0"/>
    <n v="0"/>
    <n v="95"/>
    <x v="0"/>
    <n v="95"/>
    <n v="0"/>
    <n v="0"/>
    <n v="0"/>
    <m/>
  </r>
  <r>
    <x v="1"/>
    <x v="10"/>
    <d v="2021-11-06T00:00:00"/>
    <s v="DISSABTE"/>
    <s v="NO"/>
    <s v="NO"/>
    <d v="1899-12-30T09:30:00"/>
    <d v="1899-12-30T14:30:00"/>
    <x v="3"/>
    <n v="1"/>
    <x v="174"/>
    <m/>
    <m/>
    <m/>
    <m/>
    <n v="145"/>
    <n v="0"/>
    <n v="0"/>
    <n v="145"/>
    <x v="0"/>
    <n v="50"/>
    <n v="95"/>
    <n v="0"/>
    <n v="0"/>
    <m/>
  </r>
  <r>
    <x v="1"/>
    <x v="10"/>
    <d v="2021-11-06T00:00:00"/>
    <s v="DISSABTE"/>
    <s v="NO"/>
    <s v="NO"/>
    <d v="1899-12-30T15:30:00"/>
    <d v="1899-12-30T02:30:00"/>
    <x v="5"/>
    <n v="2"/>
    <x v="175"/>
    <m/>
    <m/>
    <m/>
    <m/>
    <n v="300"/>
    <n v="0"/>
    <n v="0"/>
    <n v="300"/>
    <x v="0"/>
    <n v="50"/>
    <n v="250"/>
    <n v="0"/>
    <n v="0"/>
    <m/>
  </r>
  <r>
    <x v="1"/>
    <x v="10"/>
    <d v="2021-11-07T00:00:00"/>
    <s v="DIUMENGE"/>
    <s v="NO"/>
    <s v="NO"/>
    <d v="1899-12-30T15:30:00"/>
    <d v="1899-12-30T20:30:00"/>
    <x v="1"/>
    <n v="1"/>
    <x v="176"/>
    <m/>
    <m/>
    <m/>
    <m/>
    <n v="145"/>
    <n v="0"/>
    <n v="0"/>
    <n v="145"/>
    <x v="0"/>
    <n v="145"/>
    <n v="0"/>
    <n v="0"/>
    <n v="0"/>
    <m/>
  </r>
  <r>
    <x v="1"/>
    <x v="10"/>
    <d v="2021-11-13T00:00:00"/>
    <s v="DISSABTE"/>
    <s v="NO"/>
    <s v="NO"/>
    <d v="1899-12-30T15:30:00"/>
    <d v="1899-12-30T20:30:00"/>
    <x v="1"/>
    <n v="1"/>
    <x v="177"/>
    <m/>
    <m/>
    <m/>
    <m/>
    <n v="145"/>
    <n v="0"/>
    <n v="0"/>
    <n v="145"/>
    <x v="0"/>
    <n v="145"/>
    <n v="0"/>
    <n v="0"/>
    <n v="0"/>
    <m/>
  </r>
  <r>
    <x v="1"/>
    <x v="10"/>
    <d v="2021-11-13T00:00:00"/>
    <s v="DISSABTE"/>
    <s v="NO"/>
    <s v="NO"/>
    <d v="1899-12-30T21:30:00"/>
    <d v="1899-12-30T02:30:00"/>
    <x v="2"/>
    <n v="1"/>
    <x v="178"/>
    <m/>
    <m/>
    <m/>
    <m/>
    <n v="195"/>
    <n v="1"/>
    <n v="50"/>
    <n v="245"/>
    <x v="0"/>
    <n v="195"/>
    <n v="0"/>
    <n v="50"/>
    <n v="0"/>
    <s v="compte marta 195"/>
  </r>
  <r>
    <x v="1"/>
    <x v="10"/>
    <d v="2021-11-14T00:00:00"/>
    <s v="DIUMENGE"/>
    <s v="NO"/>
    <s v="NO"/>
    <d v="1899-12-30T09:30:00"/>
    <d v="1899-12-30T14:30:00"/>
    <x v="3"/>
    <n v="1"/>
    <x v="179"/>
    <m/>
    <m/>
    <m/>
    <m/>
    <n v="145"/>
    <n v="0"/>
    <n v="0"/>
    <n v="145"/>
    <x v="0"/>
    <n v="50"/>
    <n v="95"/>
    <n v="0"/>
    <n v="0"/>
    <m/>
  </r>
  <r>
    <x v="1"/>
    <x v="10"/>
    <d v="2021-11-14T00:00:00"/>
    <s v="DIUMENGE"/>
    <s v="NO"/>
    <s v="NO"/>
    <d v="1899-12-30T15:30:00"/>
    <d v="1899-12-30T20:30:00"/>
    <x v="1"/>
    <n v="1"/>
    <x v="180"/>
    <m/>
    <m/>
    <m/>
    <m/>
    <n v="145"/>
    <n v="0"/>
    <n v="0"/>
    <n v="145"/>
    <x v="0"/>
    <n v="50"/>
    <n v="95"/>
    <n v="0"/>
    <n v="0"/>
    <m/>
  </r>
  <r>
    <x v="1"/>
    <x v="10"/>
    <d v="2021-11-21T00:00:00"/>
    <s v="DIVENDRES"/>
    <s v="NO"/>
    <s v="NO"/>
    <d v="1899-12-30T21:30:00"/>
    <d v="1899-12-30T02:30:00"/>
    <x v="2"/>
    <n v="1"/>
    <x v="181"/>
    <m/>
    <m/>
    <m/>
    <m/>
    <n v="195"/>
    <n v="1"/>
    <n v="50"/>
    <n v="245"/>
    <x v="0"/>
    <n v="195"/>
    <n v="0"/>
    <n v="50"/>
    <n v="0"/>
    <m/>
  </r>
  <r>
    <x v="1"/>
    <x v="10"/>
    <d v="2021-11-21T00:00:00"/>
    <s v="DIUMENGE"/>
    <s v="NO"/>
    <s v="NO"/>
    <d v="1899-12-30T09:30:00"/>
    <d v="1899-12-30T20:30:00"/>
    <x v="5"/>
    <n v="2"/>
    <x v="182"/>
    <m/>
    <m/>
    <m/>
    <m/>
    <n v="200"/>
    <n v="0"/>
    <n v="0"/>
    <n v="200"/>
    <x v="0"/>
    <n v="0"/>
    <n v="200"/>
    <n v="0"/>
    <n v="0"/>
    <s v="COMPTE ORIOL"/>
  </r>
  <r>
    <x v="1"/>
    <x v="10"/>
    <d v="2021-11-26T00:00:00"/>
    <s v="DIVENDRES"/>
    <s v="NO"/>
    <s v="NO"/>
    <d v="1899-12-30T15:30:00"/>
    <d v="1899-12-30T20:30:00"/>
    <x v="1"/>
    <n v="1"/>
    <x v="183"/>
    <m/>
    <m/>
    <m/>
    <m/>
    <n v="135"/>
    <n v="0"/>
    <n v="0"/>
    <n v="135"/>
    <x v="0"/>
    <n v="135"/>
    <n v="0"/>
    <n v="0"/>
    <n v="0"/>
    <m/>
  </r>
  <r>
    <x v="1"/>
    <x v="10"/>
    <d v="2021-11-27T00:00:00"/>
    <s v="DISSABTE"/>
    <s v="NO"/>
    <s v="NO"/>
    <d v="1899-12-30T15:30:00"/>
    <d v="1899-12-30T20:30:00"/>
    <x v="1"/>
    <n v="1"/>
    <x v="184"/>
    <m/>
    <m/>
    <m/>
    <m/>
    <n v="145"/>
    <n v="0"/>
    <n v="0"/>
    <n v="145"/>
    <x v="2"/>
    <n v="0"/>
    <n v="0"/>
    <n v="0"/>
    <n v="0"/>
    <s v="ANULAT"/>
  </r>
  <r>
    <x v="1"/>
    <x v="10"/>
    <d v="2021-11-27T00:00:00"/>
    <s v="DISSABTE"/>
    <s v="NO"/>
    <s v="NO"/>
    <d v="1899-12-30T21:30:00"/>
    <d v="1899-12-30T02:30:00"/>
    <x v="2"/>
    <n v="1"/>
    <x v="185"/>
    <m/>
    <m/>
    <m/>
    <m/>
    <n v="195"/>
    <n v="1"/>
    <n v="5"/>
    <n v="200"/>
    <x v="0"/>
    <n v="50"/>
    <n v="145"/>
    <n v="0"/>
    <n v="5"/>
    <m/>
  </r>
  <r>
    <x v="1"/>
    <x v="11"/>
    <d v="2021-12-03T00:00:00"/>
    <s v="DIVENDRES"/>
    <s v="NO"/>
    <s v="NO"/>
    <d v="1899-12-30T09:30:00"/>
    <d v="1899-12-30T02:30:00"/>
    <x v="5"/>
    <n v="3"/>
    <x v="186"/>
    <m/>
    <m/>
    <m/>
    <m/>
    <n v="325"/>
    <n v="0"/>
    <n v="0"/>
    <n v="325"/>
    <x v="0"/>
    <n v="50"/>
    <n v="275"/>
    <n v="0"/>
    <n v="0"/>
    <m/>
  </r>
  <r>
    <x v="1"/>
    <x v="11"/>
    <d v="2021-12-04T00:00:00"/>
    <s v="DISSABTE"/>
    <s v="NO"/>
    <s v="NO"/>
    <d v="1899-12-30T09:30:00"/>
    <d v="1899-12-30T20:30:00"/>
    <x v="5"/>
    <n v="2"/>
    <x v="187"/>
    <m/>
    <m/>
    <m/>
    <m/>
    <n v="270"/>
    <n v="0"/>
    <n v="0"/>
    <n v="270"/>
    <x v="0"/>
    <n v="50"/>
    <n v="220"/>
    <n v="0"/>
    <n v="0"/>
    <m/>
  </r>
  <r>
    <x v="1"/>
    <x v="11"/>
    <d v="2021-12-04T00:00:00"/>
    <s v="DISSABTE"/>
    <s v="NO"/>
    <s v="NO"/>
    <d v="1899-12-30T21:30:00"/>
    <d v="1899-12-30T02:30:00"/>
    <x v="2"/>
    <n v="1"/>
    <x v="45"/>
    <m/>
    <m/>
    <m/>
    <m/>
    <n v="195"/>
    <n v="1"/>
    <n v="50"/>
    <n v="245"/>
    <x v="0"/>
    <n v="195"/>
    <n v="0"/>
    <n v="50"/>
    <n v="0"/>
    <s v="195 compte oriol"/>
  </r>
  <r>
    <x v="1"/>
    <x v="11"/>
    <d v="2021-12-05T00:00:00"/>
    <s v="DIUMENGE"/>
    <s v="NO"/>
    <s v="NO"/>
    <d v="1899-12-30T15:30:00"/>
    <d v="1899-12-30T20:30:00"/>
    <x v="1"/>
    <n v="1"/>
    <x v="38"/>
    <m/>
    <m/>
    <m/>
    <m/>
    <n v="145"/>
    <n v="0"/>
    <n v="0"/>
    <n v="145"/>
    <x v="0"/>
    <n v="50"/>
    <n v="95"/>
    <n v="0"/>
    <n v="0"/>
    <m/>
  </r>
  <r>
    <x v="1"/>
    <x v="11"/>
    <d v="2021-12-05T00:00:00"/>
    <s v="DIUMENGE"/>
    <s v="NO"/>
    <s v="NO"/>
    <d v="1899-12-30T21:30:00"/>
    <d v="1899-12-30T02:30:00"/>
    <x v="2"/>
    <n v="1"/>
    <x v="95"/>
    <m/>
    <m/>
    <m/>
    <m/>
    <n v="195"/>
    <n v="1"/>
    <n v="25"/>
    <n v="220"/>
    <x v="0"/>
    <n v="195"/>
    <n v="0"/>
    <n v="0"/>
    <n v="25"/>
    <m/>
  </r>
  <r>
    <x v="1"/>
    <x v="11"/>
    <d v="2021-12-08T00:00:00"/>
    <s v="DIMECRES"/>
    <s v="SI"/>
    <s v="NO"/>
    <d v="1899-12-30T09:30:00"/>
    <d v="1899-12-30T17:00:00"/>
    <x v="0"/>
    <n v="2"/>
    <x v="188"/>
    <m/>
    <m/>
    <m/>
    <m/>
    <n v="145"/>
    <n v="1"/>
    <n v="20"/>
    <n v="165"/>
    <x v="0"/>
    <n v="145"/>
    <n v="0"/>
    <n v="20"/>
    <n v="0"/>
    <m/>
  </r>
  <r>
    <x v="1"/>
    <x v="11"/>
    <d v="2021-12-10T00:00:00"/>
    <s v="DIVENDRES"/>
    <s v="NO"/>
    <s v="NO"/>
    <d v="1899-12-30T21:30:00"/>
    <d v="1899-12-30T02:30:00"/>
    <x v="2"/>
    <n v="1"/>
    <x v="189"/>
    <m/>
    <m/>
    <m/>
    <m/>
    <n v="195"/>
    <n v="1"/>
    <n v="50"/>
    <n v="245"/>
    <x v="0"/>
    <n v="195"/>
    <n v="0"/>
    <n v="50"/>
    <n v="0"/>
    <m/>
  </r>
  <r>
    <x v="1"/>
    <x v="11"/>
    <d v="2021-12-11T00:00:00"/>
    <s v="DISSABTE"/>
    <s v="NO"/>
    <s v="NO"/>
    <d v="1899-12-30T15:30:00"/>
    <d v="1899-12-30T20:30:00"/>
    <x v="1"/>
    <n v="1"/>
    <x v="190"/>
    <m/>
    <m/>
    <m/>
    <m/>
    <n v="145"/>
    <n v="0"/>
    <n v="0"/>
    <n v="145"/>
    <x v="0"/>
    <n v="50"/>
    <n v="95"/>
    <n v="0"/>
    <n v="0"/>
    <m/>
  </r>
  <r>
    <x v="1"/>
    <x v="11"/>
    <d v="2021-12-11T00:00:00"/>
    <s v="DISSABTE"/>
    <s v="NO"/>
    <s v="NO"/>
    <d v="1899-12-30T21:30:00"/>
    <d v="1899-12-30T02:30:00"/>
    <x v="2"/>
    <n v="1"/>
    <x v="191"/>
    <m/>
    <m/>
    <m/>
    <m/>
    <n v="195"/>
    <n v="0"/>
    <n v="0"/>
    <n v="195"/>
    <x v="0"/>
    <n v="195"/>
    <n v="0"/>
    <n v="0"/>
    <n v="0"/>
    <m/>
  </r>
  <r>
    <x v="1"/>
    <x v="11"/>
    <d v="2021-12-17T00:00:00"/>
    <s v="DIVENDRES"/>
    <s v="NO"/>
    <s v="NO"/>
    <d v="1899-12-30T15:30:00"/>
    <d v="1899-12-30T20:30:00"/>
    <x v="1"/>
    <n v="1"/>
    <x v="192"/>
    <m/>
    <m/>
    <m/>
    <m/>
    <n v="135"/>
    <n v="0"/>
    <n v="0"/>
    <n v="135"/>
    <x v="2"/>
    <n v="0"/>
    <n v="0"/>
    <n v="0"/>
    <n v="0"/>
    <s v="ANULAT"/>
  </r>
  <r>
    <x v="1"/>
    <x v="11"/>
    <d v="2021-12-17T00:00:00"/>
    <s v="DIVENDRES"/>
    <s v="NO"/>
    <s v="NO"/>
    <d v="1899-12-30T21:30:00"/>
    <d v="1899-12-30T02:30:00"/>
    <x v="2"/>
    <n v="1"/>
    <x v="193"/>
    <m/>
    <m/>
    <m/>
    <m/>
    <n v="195"/>
    <n v="1"/>
    <n v="50"/>
    <n v="245"/>
    <x v="0"/>
    <n v="50"/>
    <n v="145"/>
    <n v="0"/>
    <n v="50"/>
    <m/>
  </r>
  <r>
    <x v="1"/>
    <x v="11"/>
    <d v="2021-12-18T00:00:00"/>
    <s v="DISSABTE"/>
    <s v="NO"/>
    <s v="NO"/>
    <d v="1899-12-30T09:30:00"/>
    <d v="1899-12-30T20:30:00"/>
    <x v="5"/>
    <n v="2"/>
    <x v="194"/>
    <m/>
    <m/>
    <m/>
    <m/>
    <n v="270"/>
    <n v="0"/>
    <n v="0"/>
    <n v="270"/>
    <x v="0"/>
    <n v="50"/>
    <n v="220"/>
    <n v="0"/>
    <n v="0"/>
    <m/>
  </r>
  <r>
    <x v="1"/>
    <x v="11"/>
    <d v="2021-12-18T00:00:00"/>
    <s v="DISSABTE"/>
    <s v="NO"/>
    <s v="NO"/>
    <d v="1899-12-30T21:30:00"/>
    <d v="1899-12-30T02:30:00"/>
    <x v="2"/>
    <n v="1"/>
    <x v="153"/>
    <m/>
    <m/>
    <m/>
    <m/>
    <n v="195"/>
    <n v="0"/>
    <n v="0"/>
    <n v="195"/>
    <x v="1"/>
    <n v="50"/>
    <n v="0"/>
    <n v="0"/>
    <n v="0"/>
    <s v="APLAÇAT"/>
  </r>
  <r>
    <x v="1"/>
    <x v="11"/>
    <d v="2021-12-19T00:00:00"/>
    <s v="DIUMENGE"/>
    <s v="NO"/>
    <s v="NO"/>
    <d v="1899-12-30T09:30:00"/>
    <d v="1899-12-30T14:30:00"/>
    <x v="3"/>
    <n v="1"/>
    <x v="195"/>
    <m/>
    <m/>
    <m/>
    <m/>
    <n v="145"/>
    <n v="0"/>
    <n v="0"/>
    <n v="145"/>
    <x v="0"/>
    <n v="145"/>
    <n v="0"/>
    <n v="0"/>
    <n v="0"/>
    <m/>
  </r>
  <r>
    <x v="1"/>
    <x v="11"/>
    <d v="2021-12-19T00:00:00"/>
    <s v="DIUMENGE"/>
    <s v="NO"/>
    <s v="NO"/>
    <d v="1899-12-30T15:30:00"/>
    <d v="1899-12-30T20:30:00"/>
    <x v="1"/>
    <n v="1"/>
    <x v="196"/>
    <m/>
    <m/>
    <m/>
    <m/>
    <n v="145"/>
    <n v="1"/>
    <n v="5"/>
    <n v="150"/>
    <x v="0"/>
    <n v="50"/>
    <n v="95"/>
    <n v="0"/>
    <n v="5"/>
    <m/>
  </r>
  <r>
    <x v="1"/>
    <x v="11"/>
    <d v="2021-12-23T00:00:00"/>
    <s v="DIJOUS"/>
    <s v="NO"/>
    <s v="NO"/>
    <d v="1899-12-30T21:30:00"/>
    <d v="1899-12-30T05:30:00"/>
    <x v="2"/>
    <n v="1"/>
    <x v="197"/>
    <m/>
    <m/>
    <m/>
    <m/>
    <n v="195"/>
    <n v="1"/>
    <n v="50"/>
    <n v="245"/>
    <x v="1"/>
    <n v="50"/>
    <n v="0"/>
    <n v="0"/>
    <n v="0"/>
    <s v="APLAÇAT"/>
  </r>
  <r>
    <x v="1"/>
    <x v="11"/>
    <d v="2021-12-24T00:00:00"/>
    <s v="DIVENDRES"/>
    <s v="NO"/>
    <s v="SI"/>
    <d v="1899-12-30T21:30:00"/>
    <d v="1899-12-30T02:30:00"/>
    <x v="2"/>
    <n v="1"/>
    <x v="198"/>
    <m/>
    <m/>
    <m/>
    <m/>
    <n v="300"/>
    <n v="0"/>
    <n v="0"/>
    <n v="300"/>
    <x v="2"/>
    <n v="0"/>
    <n v="0"/>
    <n v="0"/>
    <n v="0"/>
    <s v="ANULAT"/>
  </r>
  <r>
    <x v="1"/>
    <x v="11"/>
    <d v="2021-12-25T00:00:00"/>
    <s v="DISSABTE"/>
    <s v="SI"/>
    <s v="SI"/>
    <d v="1899-12-30T11:00:00"/>
    <d v="1899-12-30T22:00:00"/>
    <x v="5"/>
    <n v="2"/>
    <x v="199"/>
    <m/>
    <m/>
    <m/>
    <m/>
    <n v="320"/>
    <n v="0"/>
    <n v="0"/>
    <n v="320"/>
    <x v="2"/>
    <n v="0"/>
    <n v="0"/>
    <n v="0"/>
    <n v="0"/>
    <s v="ANULAT"/>
  </r>
  <r>
    <x v="1"/>
    <x v="11"/>
    <d v="2021-12-26T00:00:00"/>
    <s v="DIUMENGE"/>
    <s v="SI"/>
    <s v="SI"/>
    <d v="1899-12-30T11:00:00"/>
    <d v="1899-12-30T20:30:00"/>
    <x v="5"/>
    <n v="2"/>
    <x v="200"/>
    <m/>
    <m/>
    <m/>
    <m/>
    <n v="250"/>
    <n v="0"/>
    <n v="0"/>
    <n v="250"/>
    <x v="2"/>
    <n v="0"/>
    <n v="0"/>
    <n v="0"/>
    <n v="0"/>
    <s v="ANULAT"/>
  </r>
  <r>
    <x v="1"/>
    <x v="11"/>
    <d v="2021-12-30T00:00:00"/>
    <s v="DIJOUS"/>
    <s v="NO"/>
    <s v="NO"/>
    <d v="1899-12-30T19:00:00"/>
    <d v="1899-12-30T23:00:00"/>
    <x v="1"/>
    <n v="1"/>
    <x v="201"/>
    <m/>
    <m/>
    <m/>
    <m/>
    <n v="95"/>
    <n v="0"/>
    <n v="0"/>
    <n v="95"/>
    <x v="0"/>
    <n v="50"/>
    <n v="45"/>
    <n v="0"/>
    <n v="0"/>
    <m/>
  </r>
  <r>
    <x v="1"/>
    <x v="11"/>
    <d v="2021-12-31T00:00:00"/>
    <s v="DIVENDRES"/>
    <s v="NO"/>
    <s v="SI"/>
    <d v="1899-12-30T15:30:00"/>
    <d v="1899-12-30T06:00:00"/>
    <x v="4"/>
    <n v="1"/>
    <x v="202"/>
    <m/>
    <m/>
    <m/>
    <m/>
    <n v="300"/>
    <n v="0"/>
    <n v="0"/>
    <n v="300"/>
    <x v="0"/>
    <n v="300"/>
    <n v="0"/>
    <n v="0"/>
    <n v="0"/>
    <s v="ANUAL: 550"/>
  </r>
  <r>
    <x v="2"/>
    <x v="0"/>
    <d v="2022-01-01T00:00:00"/>
    <s v="DISSABTE"/>
    <s v="SI"/>
    <s v="NO"/>
    <d v="1899-12-30T12:30:00"/>
    <d v="1899-12-30T20:30:00"/>
    <x v="0"/>
    <n v="2"/>
    <x v="187"/>
    <n v="8170"/>
    <s v="MONTORNES DEL VALLES"/>
    <m/>
    <n v="657287882"/>
    <n v="145"/>
    <n v="0"/>
    <n v="0"/>
    <n v="145"/>
    <x v="0"/>
    <n v="50"/>
    <n v="95"/>
    <n v="0"/>
    <n v="0"/>
    <m/>
  </r>
  <r>
    <x v="2"/>
    <x v="0"/>
    <d v="2022-01-02T00:00:00"/>
    <s v="DIUMENGE"/>
    <s v="NO"/>
    <s v="NO"/>
    <d v="1899-12-30T15:30:00"/>
    <d v="1899-12-30T20:30:00"/>
    <x v="1"/>
    <n v="1"/>
    <x v="203"/>
    <m/>
    <m/>
    <m/>
    <m/>
    <n v="145"/>
    <n v="0"/>
    <n v="0"/>
    <n v="145"/>
    <x v="1"/>
    <n v="50"/>
    <n v="0"/>
    <n v="0"/>
    <n v="0"/>
    <s v="APLAÇAT"/>
  </r>
  <r>
    <x v="2"/>
    <x v="0"/>
    <d v="2022-01-04T00:00:00"/>
    <s v="DIMARTS"/>
    <s v="NO"/>
    <s v="NO"/>
    <d v="1899-12-30T15:30:00"/>
    <d v="1899-12-30T01:00:00"/>
    <x v="1"/>
    <n v="1"/>
    <x v="204"/>
    <m/>
    <m/>
    <m/>
    <m/>
    <n v="195"/>
    <n v="1"/>
    <n v="100"/>
    <n v="295"/>
    <x v="0"/>
    <n v="50"/>
    <n v="145"/>
    <n v="0"/>
    <n v="100"/>
    <m/>
  </r>
  <r>
    <x v="2"/>
    <x v="0"/>
    <d v="2022-01-05T00:00:00"/>
    <s v="DIMECRES"/>
    <s v="NO"/>
    <s v="SI"/>
    <d v="1899-12-30T17:00:00"/>
    <d v="1899-12-30T00:00:00"/>
    <x v="1"/>
    <n v="1"/>
    <x v="205"/>
    <m/>
    <m/>
    <m/>
    <m/>
    <n v="170"/>
    <n v="0"/>
    <n v="0"/>
    <n v="170"/>
    <x v="0"/>
    <n v="170"/>
    <n v="0"/>
    <n v="0"/>
    <n v="0"/>
    <m/>
  </r>
  <r>
    <x v="2"/>
    <x v="0"/>
    <d v="2022-01-06T00:00:00"/>
    <s v="DIJOUS"/>
    <s v="SI"/>
    <s v="NO"/>
    <d v="1899-12-30T15:00:00"/>
    <d v="1899-12-30T01:00:00"/>
    <x v="1"/>
    <n v="1"/>
    <x v="206"/>
    <m/>
    <m/>
    <m/>
    <m/>
    <n v="195"/>
    <n v="0"/>
    <n v="0"/>
    <n v="195"/>
    <x v="0"/>
    <n v="50"/>
    <n v="145"/>
    <n v="0"/>
    <n v="0"/>
    <m/>
  </r>
  <r>
    <x v="2"/>
    <x v="0"/>
    <d v="2022-01-07T00:00:00"/>
    <s v="DIVENDRES"/>
    <s v="NO"/>
    <s v="NO"/>
    <d v="1899-12-30T15:30:00"/>
    <d v="1899-12-30T20:30:00"/>
    <x v="1"/>
    <n v="1"/>
    <x v="207"/>
    <m/>
    <m/>
    <m/>
    <m/>
    <n v="135"/>
    <n v="0"/>
    <n v="0"/>
    <n v="135"/>
    <x v="0"/>
    <n v="50"/>
    <n v="85"/>
    <n v="0"/>
    <n v="0"/>
    <m/>
  </r>
  <r>
    <x v="2"/>
    <x v="0"/>
    <d v="2022-01-07T00:00:00"/>
    <s v="DIVENDRES"/>
    <s v="NO"/>
    <s v="NO"/>
    <d v="1899-12-30T21:30:00"/>
    <d v="1899-12-30T01:00:00"/>
    <x v="2"/>
    <n v="1"/>
    <x v="208"/>
    <m/>
    <m/>
    <m/>
    <m/>
    <n v="145"/>
    <n v="0"/>
    <n v="0"/>
    <n v="145"/>
    <x v="2"/>
    <n v="0"/>
    <n v="0"/>
    <n v="0"/>
    <n v="0"/>
    <s v="ANULAT"/>
  </r>
  <r>
    <x v="2"/>
    <x v="0"/>
    <d v="2022-01-08T00:00:00"/>
    <s v="DISSABTE"/>
    <s v="NO"/>
    <s v="NO"/>
    <d v="1899-12-30T15:30:00"/>
    <d v="1899-12-30T20:30:00"/>
    <x v="1"/>
    <n v="1"/>
    <x v="209"/>
    <m/>
    <m/>
    <m/>
    <m/>
    <n v="145"/>
    <n v="0"/>
    <n v="0"/>
    <n v="145"/>
    <x v="1"/>
    <n v="50"/>
    <n v="0"/>
    <n v="0"/>
    <n v="0"/>
    <s v="ANULAT"/>
  </r>
  <r>
    <x v="2"/>
    <x v="0"/>
    <d v="2022-01-08T00:00:00"/>
    <s v="DISSABTE"/>
    <s v="NO"/>
    <s v="NO"/>
    <d v="1899-12-30T21:30:00"/>
    <d v="1899-12-30T02:30:00"/>
    <x v="2"/>
    <n v="1"/>
    <x v="210"/>
    <m/>
    <m/>
    <m/>
    <m/>
    <n v="195"/>
    <n v="0"/>
    <n v="0"/>
    <n v="195"/>
    <x v="0"/>
    <n v="50"/>
    <n v="145"/>
    <n v="0"/>
    <n v="0"/>
    <m/>
  </r>
  <r>
    <x v="2"/>
    <x v="0"/>
    <d v="2022-01-15T00:00:00"/>
    <s v="DISSABTE"/>
    <s v="NO"/>
    <s v="NO"/>
    <d v="1899-12-30T21:30:00"/>
    <d v="1899-12-30T02:30:00"/>
    <x v="2"/>
    <n v="1"/>
    <x v="211"/>
    <m/>
    <m/>
    <m/>
    <m/>
    <n v="195"/>
    <n v="0"/>
    <n v="0"/>
    <n v="195"/>
    <x v="2"/>
    <n v="0"/>
    <n v="0"/>
    <n v="0"/>
    <n v="0"/>
    <s v="ANULAT"/>
  </r>
  <r>
    <x v="2"/>
    <x v="0"/>
    <d v="2022-01-28T00:00:00"/>
    <s v="DIVENDRES"/>
    <s v="NO"/>
    <s v="NO"/>
    <d v="1899-12-30T15:30:00"/>
    <d v="1899-12-30T00:30:00"/>
    <x v="2"/>
    <n v="1"/>
    <x v="212"/>
    <m/>
    <m/>
    <m/>
    <m/>
    <n v="195"/>
    <n v="0"/>
    <n v="0"/>
    <n v="195"/>
    <x v="0"/>
    <n v="50"/>
    <n v="145"/>
    <n v="0"/>
    <n v="0"/>
    <m/>
  </r>
  <r>
    <x v="2"/>
    <x v="1"/>
    <d v="2022-01-04T00:00:00"/>
    <s v="DIVENDRES"/>
    <s v="NO"/>
    <s v="NO"/>
    <d v="1899-12-30T15:30:00"/>
    <d v="1899-12-30T20:30:00"/>
    <x v="1"/>
    <n v="1"/>
    <x v="213"/>
    <m/>
    <m/>
    <m/>
    <m/>
    <n v="135"/>
    <n v="0"/>
    <n v="0"/>
    <n v="135"/>
    <x v="0"/>
    <n v="135"/>
    <n v="0"/>
    <n v="0"/>
    <n v="0"/>
    <m/>
  </r>
  <r>
    <x v="2"/>
    <x v="1"/>
    <d v="2022-02-05T00:00:00"/>
    <s v="DISSABTE"/>
    <s v="NO"/>
    <s v="NO"/>
    <d v="1899-12-30T09:30:00"/>
    <d v="1899-12-30T20:30:00"/>
    <x v="5"/>
    <n v="2"/>
    <x v="214"/>
    <m/>
    <m/>
    <m/>
    <m/>
    <n v="270"/>
    <n v="0"/>
    <n v="0"/>
    <n v="270"/>
    <x v="2"/>
    <n v="0"/>
    <n v="0"/>
    <n v="0"/>
    <n v="0"/>
    <s v="ANULAT"/>
  </r>
  <r>
    <x v="2"/>
    <x v="1"/>
    <d v="2022-02-05T00:00:00"/>
    <s v="DISSABTE"/>
    <s v="NO"/>
    <s v="NO"/>
    <d v="1899-12-30T15:30:00"/>
    <d v="1899-12-30T00:30:00"/>
    <x v="1"/>
    <n v="1"/>
    <x v="215"/>
    <m/>
    <m/>
    <m/>
    <m/>
    <n v="195"/>
    <n v="0"/>
    <n v="0"/>
    <n v="195"/>
    <x v="0"/>
    <n v="50"/>
    <n v="145"/>
    <n v="0"/>
    <n v="0"/>
    <m/>
  </r>
  <r>
    <x v="2"/>
    <x v="1"/>
    <d v="2022-02-12T00:00:00"/>
    <s v="DISSABTE"/>
    <s v="NO"/>
    <s v="NO"/>
    <d v="1899-12-30T15:30:00"/>
    <d v="1899-12-30T20:30:00"/>
    <x v="1"/>
    <n v="1"/>
    <x v="216"/>
    <m/>
    <m/>
    <m/>
    <m/>
    <n v="145"/>
    <n v="0"/>
    <n v="0"/>
    <n v="145"/>
    <x v="0"/>
    <n v="145"/>
    <n v="0"/>
    <n v="0"/>
    <n v="0"/>
    <m/>
  </r>
  <r>
    <x v="2"/>
    <x v="1"/>
    <d v="2022-02-15T00:00:00"/>
    <s v="DIMARTS"/>
    <s v="NO"/>
    <s v="NO"/>
    <d v="1899-12-30T15:30:00"/>
    <d v="1899-12-30T20:30:00"/>
    <x v="1"/>
    <n v="1"/>
    <x v="23"/>
    <m/>
    <m/>
    <m/>
    <m/>
    <n v="95"/>
    <n v="0"/>
    <n v="0"/>
    <n v="95"/>
    <x v="0"/>
    <n v="50"/>
    <n v="45"/>
    <n v="0"/>
    <n v="0"/>
    <m/>
  </r>
  <r>
    <x v="2"/>
    <x v="1"/>
    <d v="2022-02-18T00:00:00"/>
    <s v="DIVENDRES"/>
    <s v="NO"/>
    <s v="NO"/>
    <d v="1899-12-30T21:30:00"/>
    <d v="1899-12-30T02:30:00"/>
    <x v="2"/>
    <n v="1"/>
    <x v="217"/>
    <m/>
    <m/>
    <m/>
    <m/>
    <n v="195"/>
    <n v="1"/>
    <n v="50"/>
    <n v="245"/>
    <x v="0"/>
    <n v="50"/>
    <n v="145"/>
    <n v="0"/>
    <n v="50"/>
    <m/>
  </r>
  <r>
    <x v="2"/>
    <x v="1"/>
    <d v="2022-02-19T00:00:00"/>
    <s v="DISSABTE"/>
    <s v="NO"/>
    <s v="NO"/>
    <d v="1899-12-30T12:00:00"/>
    <d v="1899-12-30T18:00:00"/>
    <x v="5"/>
    <n v="1"/>
    <x v="218"/>
    <m/>
    <m/>
    <m/>
    <m/>
    <n v="145"/>
    <n v="1"/>
    <n v="20"/>
    <n v="165"/>
    <x v="0"/>
    <n v="50"/>
    <n v="95"/>
    <n v="0"/>
    <n v="20"/>
    <m/>
  </r>
  <r>
    <x v="2"/>
    <x v="1"/>
    <d v="2022-02-19T00:00:00"/>
    <s v="DISSABTE"/>
    <s v="NO"/>
    <s v="NO"/>
    <d v="1899-12-30T21:30:00"/>
    <d v="1899-12-30T02:30:00"/>
    <x v="2"/>
    <n v="1"/>
    <x v="219"/>
    <m/>
    <m/>
    <m/>
    <m/>
    <n v="195"/>
    <n v="1"/>
    <n v="50"/>
    <n v="245"/>
    <x v="0"/>
    <n v="195"/>
    <n v="0"/>
    <n v="50"/>
    <n v="0"/>
    <m/>
  </r>
  <r>
    <x v="2"/>
    <x v="1"/>
    <d v="2022-02-22T00:00:00"/>
    <s v="DIMARTS"/>
    <s v="NO"/>
    <s v="NO"/>
    <d v="1899-12-30T15:30:00"/>
    <d v="1899-12-30T20:30:00"/>
    <x v="1"/>
    <n v="1"/>
    <x v="220"/>
    <m/>
    <m/>
    <m/>
    <m/>
    <n v="95"/>
    <n v="0"/>
    <n v="0"/>
    <n v="95"/>
    <x v="0"/>
    <n v="95"/>
    <n v="0"/>
    <n v="0"/>
    <n v="0"/>
    <s v="BIZUM ORIOL"/>
  </r>
  <r>
    <x v="2"/>
    <x v="1"/>
    <d v="2022-02-25T00:00:00"/>
    <s v="DIVENDRES"/>
    <s v="NO"/>
    <s v="NO"/>
    <d v="1899-12-30T21:30:00"/>
    <d v="1899-12-30T02:30:00"/>
    <x v="2"/>
    <n v="1"/>
    <x v="221"/>
    <m/>
    <m/>
    <m/>
    <m/>
    <n v="195"/>
    <n v="0"/>
    <n v="0"/>
    <n v="195"/>
    <x v="0"/>
    <n v="195"/>
    <n v="0"/>
    <n v="0"/>
    <n v="0"/>
    <m/>
  </r>
  <r>
    <x v="2"/>
    <x v="1"/>
    <d v="2022-02-26T00:00:00"/>
    <s v="DISSABTE"/>
    <s v="NO"/>
    <s v="NO"/>
    <d v="1899-12-30T21:30:00"/>
    <d v="1899-12-30T02:30:00"/>
    <x v="2"/>
    <n v="1"/>
    <x v="222"/>
    <m/>
    <m/>
    <m/>
    <m/>
    <n v="195"/>
    <n v="0"/>
    <n v="0"/>
    <n v="195"/>
    <x v="0"/>
    <n v="50"/>
    <n v="145"/>
    <n v="0"/>
    <n v="0"/>
    <m/>
  </r>
  <r>
    <x v="2"/>
    <x v="1"/>
    <d v="2022-02-27T00:00:00"/>
    <s v="DIUMENGE"/>
    <s v="NO"/>
    <s v="NO"/>
    <d v="1899-12-30T16:00:00"/>
    <d v="1899-12-30T23:00:00"/>
    <x v="1"/>
    <n v="1"/>
    <x v="223"/>
    <m/>
    <m/>
    <m/>
    <m/>
    <n v="145"/>
    <n v="0"/>
    <n v="0"/>
    <n v="145"/>
    <x v="0"/>
    <n v="50"/>
    <n v="95"/>
    <n v="0"/>
    <n v="0"/>
    <m/>
  </r>
  <r>
    <x v="2"/>
    <x v="2"/>
    <d v="2022-03-04T00:00:00"/>
    <s v="DIVENDRES"/>
    <s v="NO"/>
    <s v="NO"/>
    <d v="1899-12-30T21:30:00"/>
    <d v="1899-12-30T02:30:00"/>
    <x v="2"/>
    <n v="1"/>
    <x v="211"/>
    <m/>
    <m/>
    <m/>
    <m/>
    <n v="195"/>
    <n v="1"/>
    <n v="50"/>
    <n v="245"/>
    <x v="0"/>
    <n v="50"/>
    <n v="145"/>
    <n v="0"/>
    <n v="50"/>
    <m/>
  </r>
  <r>
    <x v="2"/>
    <x v="2"/>
    <d v="2022-03-05T00:00:00"/>
    <s v="DISSABTE"/>
    <s v="NO"/>
    <s v="NO"/>
    <d v="1899-12-30T09:30:00"/>
    <d v="1899-12-30T02:30:00"/>
    <x v="5"/>
    <n v="3"/>
    <x v="224"/>
    <m/>
    <m/>
    <m/>
    <m/>
    <n v="370"/>
    <n v="0"/>
    <n v="0"/>
    <n v="370"/>
    <x v="0"/>
    <n v="50"/>
    <n v="320"/>
    <n v="0"/>
    <n v="0"/>
    <m/>
  </r>
  <r>
    <x v="2"/>
    <x v="2"/>
    <d v="2022-03-06T00:00:00"/>
    <s v="DIUMENGE"/>
    <s v="NO"/>
    <s v="NO"/>
    <d v="1899-12-30T15:30:00"/>
    <d v="1899-12-30T20:30:00"/>
    <x v="1"/>
    <n v="1"/>
    <x v="225"/>
    <m/>
    <m/>
    <m/>
    <m/>
    <n v="145"/>
    <n v="0"/>
    <n v="0"/>
    <n v="145"/>
    <x v="0"/>
    <n v="50"/>
    <n v="95"/>
    <n v="0"/>
    <n v="0"/>
    <m/>
  </r>
  <r>
    <x v="2"/>
    <x v="2"/>
    <d v="2022-03-12T00:00:00"/>
    <s v="DISSABTE"/>
    <s v="NO"/>
    <s v="NO"/>
    <d v="1899-12-30T09:30:00"/>
    <d v="1899-12-30T14:30:00"/>
    <x v="3"/>
    <n v="1"/>
    <x v="226"/>
    <m/>
    <m/>
    <m/>
    <m/>
    <n v="145"/>
    <n v="0"/>
    <n v="0"/>
    <n v="145"/>
    <x v="0"/>
    <n v="50"/>
    <n v="95"/>
    <n v="0"/>
    <n v="0"/>
    <m/>
  </r>
  <r>
    <x v="2"/>
    <x v="2"/>
    <d v="2022-03-12T00:00:00"/>
    <s v="DISSABTE"/>
    <s v="NO"/>
    <s v="NO"/>
    <d v="1899-12-30T15:30:00"/>
    <d v="1899-12-30T20:30:00"/>
    <x v="1"/>
    <n v="1"/>
    <x v="227"/>
    <m/>
    <m/>
    <m/>
    <m/>
    <n v="145"/>
    <n v="0"/>
    <n v="0"/>
    <n v="145"/>
    <x v="0"/>
    <n v="145"/>
    <n v="0"/>
    <n v="0"/>
    <n v="0"/>
    <m/>
  </r>
  <r>
    <x v="2"/>
    <x v="2"/>
    <d v="2022-03-12T00:00:00"/>
    <s v="DISSABTE"/>
    <s v="NO"/>
    <s v="NO"/>
    <d v="1899-12-30T21:30:00"/>
    <d v="1899-12-30T02:30:00"/>
    <x v="2"/>
    <n v="1"/>
    <x v="228"/>
    <m/>
    <m/>
    <m/>
    <m/>
    <n v="0"/>
    <n v="0"/>
    <n v="0"/>
    <n v="0"/>
    <x v="2"/>
    <n v="0"/>
    <n v="0"/>
    <n v="0"/>
    <n v="0"/>
    <m/>
  </r>
  <r>
    <x v="2"/>
    <x v="2"/>
    <d v="2022-03-14T00:00:00"/>
    <s v="DILLUNS"/>
    <s v="NO"/>
    <s v="NO"/>
    <d v="1899-12-30T15:30:00"/>
    <d v="1899-12-30T20:30:00"/>
    <x v="1"/>
    <n v="1"/>
    <x v="229"/>
    <m/>
    <m/>
    <m/>
    <m/>
    <n v="95"/>
    <n v="0"/>
    <n v="0"/>
    <n v="95"/>
    <x v="0"/>
    <n v="50"/>
    <n v="45"/>
    <n v="0"/>
    <n v="0"/>
    <m/>
  </r>
  <r>
    <x v="2"/>
    <x v="2"/>
    <d v="2022-03-17T00:00:00"/>
    <s v="DIJOUS"/>
    <s v="NO"/>
    <s v="NO"/>
    <d v="1899-12-30T15:30:00"/>
    <d v="1899-12-30T20:30:00"/>
    <x v="1"/>
    <n v="1"/>
    <x v="230"/>
    <m/>
    <m/>
    <m/>
    <m/>
    <n v="95"/>
    <n v="0"/>
    <n v="0"/>
    <n v="95"/>
    <x v="0"/>
    <n v="95"/>
    <n v="0"/>
    <n v="0"/>
    <n v="0"/>
    <m/>
  </r>
  <r>
    <x v="2"/>
    <x v="2"/>
    <d v="2022-03-18T00:00:00"/>
    <s v="DIVENDRES"/>
    <s v="NO"/>
    <s v="NO"/>
    <d v="1899-12-30T15:30:00"/>
    <d v="1899-12-30T20:30:00"/>
    <x v="1"/>
    <n v="1"/>
    <x v="231"/>
    <m/>
    <m/>
    <m/>
    <m/>
    <n v="135"/>
    <n v="0"/>
    <n v="0"/>
    <n v="135"/>
    <x v="0"/>
    <n v="50"/>
    <n v="85"/>
    <n v="0"/>
    <n v="0"/>
    <m/>
  </r>
  <r>
    <x v="2"/>
    <x v="2"/>
    <d v="2022-03-19T00:00:00"/>
    <s v="DISSABTE"/>
    <s v="NO"/>
    <s v="NO"/>
    <d v="1899-12-30T09:30:00"/>
    <d v="1899-12-30T14:30:00"/>
    <x v="3"/>
    <n v="1"/>
    <x v="232"/>
    <m/>
    <m/>
    <m/>
    <m/>
    <n v="145"/>
    <n v="0"/>
    <n v="0"/>
    <n v="145"/>
    <x v="0"/>
    <n v="50"/>
    <n v="95"/>
    <n v="0"/>
    <n v="0"/>
    <m/>
  </r>
  <r>
    <x v="2"/>
    <x v="2"/>
    <d v="2022-03-19T00:00:00"/>
    <s v="DISSABTE"/>
    <s v="NO"/>
    <s v="NO"/>
    <d v="1899-12-30T15:30:00"/>
    <d v="1899-12-30T20:30:00"/>
    <x v="1"/>
    <n v="1"/>
    <x v="233"/>
    <m/>
    <m/>
    <m/>
    <m/>
    <n v="145"/>
    <n v="0"/>
    <n v="0"/>
    <n v="145"/>
    <x v="0"/>
    <n v="145"/>
    <n v="0"/>
    <n v="0"/>
    <n v="0"/>
    <m/>
  </r>
  <r>
    <x v="2"/>
    <x v="2"/>
    <d v="2022-03-19T00:00:00"/>
    <s v="DISSABTE"/>
    <s v="NO"/>
    <s v="NO"/>
    <d v="1899-12-30T21:30:00"/>
    <d v="1899-12-30T02:30:00"/>
    <x v="2"/>
    <n v="1"/>
    <x v="61"/>
    <m/>
    <m/>
    <m/>
    <m/>
    <n v="195"/>
    <n v="1"/>
    <n v="50"/>
    <n v="245"/>
    <x v="0"/>
    <n v="50"/>
    <n v="145"/>
    <n v="0"/>
    <n v="50"/>
    <m/>
  </r>
  <r>
    <x v="2"/>
    <x v="2"/>
    <d v="2022-03-20T00:00:00"/>
    <s v="DIUMENGE"/>
    <s v="NO"/>
    <s v="NO"/>
    <d v="1899-12-30T09:30:00"/>
    <d v="1899-12-30T14:30:00"/>
    <x v="3"/>
    <n v="1"/>
    <x v="234"/>
    <m/>
    <m/>
    <m/>
    <m/>
    <n v="145"/>
    <n v="0"/>
    <n v="0"/>
    <n v="145"/>
    <x v="0"/>
    <n v="145"/>
    <n v="0"/>
    <n v="0"/>
    <n v="0"/>
    <m/>
  </r>
  <r>
    <x v="2"/>
    <x v="2"/>
    <d v="2022-03-20T00:00:00"/>
    <s v="DIUMENGE"/>
    <s v="NO"/>
    <s v="NO"/>
    <d v="1899-12-30T15:30:00"/>
    <d v="1899-12-30T20:30:00"/>
    <x v="1"/>
    <n v="1"/>
    <x v="235"/>
    <m/>
    <m/>
    <m/>
    <m/>
    <n v="145"/>
    <n v="1"/>
    <n v="5"/>
    <n v="150"/>
    <x v="0"/>
    <n v="50"/>
    <n v="95"/>
    <n v="0"/>
    <n v="5"/>
    <m/>
  </r>
  <r>
    <x v="2"/>
    <x v="2"/>
    <d v="2022-03-25T00:00:00"/>
    <s v="DIVENDRES"/>
    <s v="NO"/>
    <s v="NO"/>
    <d v="1899-12-30T21:30:00"/>
    <d v="1899-12-30T02:30:00"/>
    <x v="2"/>
    <n v="1"/>
    <x v="236"/>
    <m/>
    <m/>
    <m/>
    <m/>
    <n v="195"/>
    <n v="1"/>
    <n v="50"/>
    <n v="245"/>
    <x v="0"/>
    <n v="195"/>
    <n v="0"/>
    <n v="50"/>
    <n v="0"/>
    <m/>
  </r>
  <r>
    <x v="2"/>
    <x v="2"/>
    <d v="2022-03-26T00:00:00"/>
    <s v="DISSABTE"/>
    <s v="NO"/>
    <s v="NO"/>
    <d v="1899-12-30T09:30:00"/>
    <d v="1899-12-30T02:30:00"/>
    <x v="5"/>
    <n v="3"/>
    <x v="237"/>
    <m/>
    <m/>
    <m/>
    <m/>
    <n v="370"/>
    <n v="0"/>
    <n v="0"/>
    <n v="370"/>
    <x v="0"/>
    <n v="370"/>
    <n v="0"/>
    <n v="0"/>
    <n v="0"/>
    <m/>
  </r>
  <r>
    <x v="2"/>
    <x v="2"/>
    <d v="2022-03-27T00:00:00"/>
    <s v="DIUMENGE"/>
    <s v="NO"/>
    <s v="NO"/>
    <d v="1899-12-30T15:30:00"/>
    <d v="1899-12-30T20:30:00"/>
    <x v="1"/>
    <n v="1"/>
    <x v="238"/>
    <m/>
    <m/>
    <m/>
    <m/>
    <n v="145"/>
    <n v="0"/>
    <n v="0"/>
    <n v="145"/>
    <x v="0"/>
    <n v="50"/>
    <n v="95"/>
    <n v="0"/>
    <n v="0"/>
    <m/>
  </r>
  <r>
    <x v="2"/>
    <x v="2"/>
    <d v="2022-03-29T00:00:00"/>
    <s v="DIMARTS"/>
    <s v="NO"/>
    <s v="NO"/>
    <d v="1899-12-30T16:00:00"/>
    <d v="1899-12-30T00:00:00"/>
    <x v="1"/>
    <n v="1"/>
    <x v="239"/>
    <m/>
    <m/>
    <m/>
    <m/>
    <n v="95"/>
    <n v="3"/>
    <n v="65"/>
    <n v="160"/>
    <x v="0"/>
    <n v="0"/>
    <n v="160"/>
    <n v="0"/>
    <n v="0"/>
    <m/>
  </r>
  <r>
    <x v="2"/>
    <x v="3"/>
    <d v="2022-04-01T00:00:00"/>
    <s v="DIVENDRES"/>
    <s v="NO"/>
    <s v="NO"/>
    <d v="1899-12-30T15:30:00"/>
    <d v="1899-12-30T20:30:00"/>
    <x v="1"/>
    <n v="1"/>
    <x v="54"/>
    <m/>
    <m/>
    <m/>
    <m/>
    <n v="135"/>
    <n v="0"/>
    <n v="0"/>
    <n v="135"/>
    <x v="0"/>
    <n v="135"/>
    <n v="0"/>
    <n v="0"/>
    <n v="0"/>
    <m/>
  </r>
  <r>
    <x v="2"/>
    <x v="3"/>
    <d v="2022-04-01T00:00:00"/>
    <s v="DIVENDRES"/>
    <s v="NO"/>
    <s v="NO"/>
    <d v="1899-12-30T21:30:00"/>
    <d v="1899-12-30T02:30:00"/>
    <x v="2"/>
    <n v="1"/>
    <x v="55"/>
    <m/>
    <m/>
    <m/>
    <m/>
    <n v="195"/>
    <n v="1"/>
    <n v="50"/>
    <n v="245"/>
    <x v="0"/>
    <n v="195"/>
    <n v="0"/>
    <n v="50"/>
    <n v="0"/>
    <m/>
  </r>
  <r>
    <x v="2"/>
    <x v="3"/>
    <d v="2022-04-02T00:00:00"/>
    <s v="DISSABTE"/>
    <s v="NO"/>
    <s v="NO"/>
    <d v="1899-12-30T09:30:00"/>
    <d v="1899-12-30T14:30:00"/>
    <x v="3"/>
    <n v="1"/>
    <x v="240"/>
    <m/>
    <m/>
    <m/>
    <m/>
    <n v="145"/>
    <n v="0"/>
    <n v="0"/>
    <n v="145"/>
    <x v="0"/>
    <n v="145"/>
    <n v="0"/>
    <n v="0"/>
    <n v="0"/>
    <m/>
  </r>
  <r>
    <x v="2"/>
    <x v="3"/>
    <d v="2022-04-02T00:00:00"/>
    <s v="DISSABTE"/>
    <s v="NO"/>
    <s v="NO"/>
    <d v="1899-12-30T15:30:00"/>
    <d v="1899-12-30T20:30:00"/>
    <x v="1"/>
    <n v="1"/>
    <x v="241"/>
    <m/>
    <m/>
    <m/>
    <m/>
    <n v="145"/>
    <n v="0"/>
    <n v="0"/>
    <n v="145"/>
    <x v="0"/>
    <n v="145"/>
    <n v="0"/>
    <n v="0"/>
    <n v="0"/>
    <m/>
  </r>
  <r>
    <x v="2"/>
    <x v="3"/>
    <d v="2022-04-02T00:00:00"/>
    <s v="DISSABTE"/>
    <s v="NO"/>
    <s v="NO"/>
    <d v="1899-12-30T21:30:00"/>
    <d v="1899-12-30T02:30:00"/>
    <x v="2"/>
    <n v="1"/>
    <x v="242"/>
    <m/>
    <m/>
    <m/>
    <m/>
    <n v="195"/>
    <n v="0"/>
    <n v="0"/>
    <n v="195"/>
    <x v="0"/>
    <n v="195"/>
    <n v="0"/>
    <n v="0"/>
    <n v="0"/>
    <m/>
  </r>
  <r>
    <x v="2"/>
    <x v="3"/>
    <d v="2022-04-03T00:00:00"/>
    <s v="DIUMENGE"/>
    <s v="NO"/>
    <s v="NO"/>
    <d v="1899-12-30T09:30:00"/>
    <d v="1899-12-30T14:30:00"/>
    <x v="3"/>
    <n v="1"/>
    <x v="243"/>
    <m/>
    <m/>
    <m/>
    <m/>
    <n v="145"/>
    <n v="0"/>
    <n v="0"/>
    <n v="145"/>
    <x v="0"/>
    <n v="145"/>
    <n v="0"/>
    <n v="0"/>
    <n v="0"/>
    <m/>
  </r>
  <r>
    <x v="2"/>
    <x v="3"/>
    <d v="2022-04-03T00:00:00"/>
    <s v="DIUMENGE"/>
    <s v="NO"/>
    <s v="NO"/>
    <d v="1899-12-30T15:30:00"/>
    <d v="1899-12-30T20:30:00"/>
    <x v="1"/>
    <n v="1"/>
    <x v="244"/>
    <m/>
    <m/>
    <m/>
    <m/>
    <n v="145"/>
    <n v="0"/>
    <n v="0"/>
    <n v="145"/>
    <x v="0"/>
    <n v="50"/>
    <n v="95"/>
    <n v="0"/>
    <n v="0"/>
    <m/>
  </r>
  <r>
    <x v="2"/>
    <x v="3"/>
    <d v="2022-04-05T00:00:00"/>
    <s v="DIMARTS"/>
    <s v="NO"/>
    <s v="NO"/>
    <d v="1899-12-30T15:30:00"/>
    <d v="1899-12-30T20:30:00"/>
    <x v="1"/>
    <n v="1"/>
    <x v="245"/>
    <m/>
    <m/>
    <m/>
    <m/>
    <n v="95"/>
    <n v="0"/>
    <n v="0"/>
    <n v="95"/>
    <x v="0"/>
    <n v="95"/>
    <n v="0"/>
    <n v="0"/>
    <n v="0"/>
    <m/>
  </r>
  <r>
    <x v="2"/>
    <x v="3"/>
    <d v="2022-04-08T00:00:00"/>
    <s v="DIVENDRES"/>
    <s v="NO"/>
    <s v="NO"/>
    <d v="1899-12-30T21:30:00"/>
    <d v="1899-12-30T02:30:00"/>
    <x v="2"/>
    <n v="1"/>
    <x v="246"/>
    <m/>
    <m/>
    <m/>
    <m/>
    <n v="195"/>
    <n v="0"/>
    <n v="0"/>
    <n v="195"/>
    <x v="0"/>
    <n v="195"/>
    <n v="0"/>
    <n v="0"/>
    <n v="0"/>
    <m/>
  </r>
  <r>
    <x v="2"/>
    <x v="3"/>
    <d v="2022-04-09T00:00:00"/>
    <s v="DISSABTE"/>
    <s v="NO"/>
    <s v="NO"/>
    <d v="1899-12-30T15:30:00"/>
    <d v="1899-12-30T20:30:00"/>
    <x v="1"/>
    <n v="1"/>
    <x v="247"/>
    <m/>
    <m/>
    <m/>
    <m/>
    <n v="145"/>
    <n v="0"/>
    <n v="0"/>
    <n v="145"/>
    <x v="0"/>
    <n v="50"/>
    <n v="95"/>
    <n v="0"/>
    <n v="0"/>
    <m/>
  </r>
  <r>
    <x v="2"/>
    <x v="3"/>
    <d v="2022-04-09T00:00:00"/>
    <s v="DISSABTE"/>
    <s v="NO"/>
    <s v="NO"/>
    <d v="1899-12-30T21:30:00"/>
    <d v="1899-12-30T02:30:00"/>
    <x v="2"/>
    <n v="1"/>
    <x v="248"/>
    <m/>
    <m/>
    <m/>
    <m/>
    <n v="195"/>
    <n v="1"/>
    <n v="50"/>
    <n v="245"/>
    <x v="0"/>
    <n v="50"/>
    <n v="145"/>
    <n v="0"/>
    <n v="50"/>
    <m/>
  </r>
  <r>
    <x v="2"/>
    <x v="3"/>
    <d v="2022-04-10T00:00:00"/>
    <s v="DIUMENGE"/>
    <s v="NO"/>
    <s v="NO"/>
    <d v="1899-12-30T15:30:00"/>
    <d v="1899-12-30T20:30:00"/>
    <x v="1"/>
    <n v="1"/>
    <x v="249"/>
    <m/>
    <m/>
    <m/>
    <m/>
    <n v="145"/>
    <n v="0"/>
    <n v="0"/>
    <n v="145"/>
    <x v="0"/>
    <n v="50"/>
    <n v="95"/>
    <n v="0"/>
    <n v="0"/>
    <m/>
  </r>
  <r>
    <x v="2"/>
    <x v="3"/>
    <d v="2022-04-10T00:00:00"/>
    <s v="DIUMENGE"/>
    <s v="NO"/>
    <s v="NO"/>
    <d v="1899-12-30T21:30:00"/>
    <d v="1899-12-30T02:30:00"/>
    <x v="2"/>
    <n v="1"/>
    <x v="250"/>
    <m/>
    <m/>
    <m/>
    <m/>
    <n v="195"/>
    <n v="1"/>
    <n v="65"/>
    <n v="260"/>
    <x v="0"/>
    <n v="0"/>
    <n v="195"/>
    <n v="0"/>
    <n v="65"/>
    <m/>
  </r>
  <r>
    <x v="2"/>
    <x v="3"/>
    <d v="2022-04-11T00:00:00"/>
    <s v="DILLUNS"/>
    <s v="NO"/>
    <s v="NO"/>
    <d v="1899-12-30T15:30:00"/>
    <d v="1899-12-30T20:30:00"/>
    <x v="1"/>
    <n v="1"/>
    <x v="251"/>
    <m/>
    <m/>
    <m/>
    <m/>
    <n v="95"/>
    <n v="1"/>
    <n v="5"/>
    <n v="100"/>
    <x v="0"/>
    <n v="50"/>
    <n v="45"/>
    <n v="0"/>
    <n v="5"/>
    <m/>
  </r>
  <r>
    <x v="2"/>
    <x v="3"/>
    <d v="2022-04-12T00:00:00"/>
    <s v="DIMARTS"/>
    <s v="NO"/>
    <s v="NO"/>
    <d v="1899-12-30T17:00:00"/>
    <d v="1899-12-30T22:00:00"/>
    <x v="1"/>
    <n v="1"/>
    <x v="252"/>
    <m/>
    <m/>
    <m/>
    <m/>
    <n v="95"/>
    <n v="0"/>
    <n v="0"/>
    <n v="95"/>
    <x v="0"/>
    <n v="50"/>
    <n v="45"/>
    <n v="0"/>
    <n v="0"/>
    <m/>
  </r>
  <r>
    <x v="2"/>
    <x v="3"/>
    <d v="2022-04-17T00:00:00"/>
    <s v="DIUMENGE"/>
    <s v="NO"/>
    <s v="NO"/>
    <d v="1899-12-30T21:30:00"/>
    <d v="1899-12-30T02:30:00"/>
    <x v="2"/>
    <n v="1"/>
    <x v="211"/>
    <m/>
    <m/>
    <m/>
    <m/>
    <n v="195"/>
    <n v="0"/>
    <n v="0"/>
    <n v="195"/>
    <x v="0"/>
    <n v="50"/>
    <n v="145"/>
    <n v="0"/>
    <n v="0"/>
    <m/>
  </r>
  <r>
    <x v="2"/>
    <x v="3"/>
    <d v="2022-04-22T00:00:00"/>
    <s v="DIVENDRES"/>
    <s v="NO"/>
    <s v="NO"/>
    <d v="1899-12-30T21:30:00"/>
    <d v="1899-12-30T02:30:00"/>
    <x v="2"/>
    <n v="1"/>
    <x v="253"/>
    <m/>
    <m/>
    <m/>
    <m/>
    <n v="195"/>
    <n v="0"/>
    <n v="0"/>
    <n v="195"/>
    <x v="0"/>
    <n v="50"/>
    <n v="145"/>
    <n v="0"/>
    <n v="0"/>
    <m/>
  </r>
  <r>
    <x v="2"/>
    <x v="3"/>
    <d v="2022-04-23T00:00:00"/>
    <s v="DISSABTE"/>
    <s v="NO"/>
    <s v="NO"/>
    <d v="1899-12-30T09:30:00"/>
    <d v="1899-12-30T14:30:00"/>
    <x v="3"/>
    <n v="1"/>
    <x v="254"/>
    <m/>
    <m/>
    <m/>
    <m/>
    <n v="145"/>
    <n v="0"/>
    <n v="0"/>
    <n v="145"/>
    <x v="0"/>
    <n v="50"/>
    <n v="95"/>
    <n v="0"/>
    <n v="0"/>
    <m/>
  </r>
  <r>
    <x v="2"/>
    <x v="3"/>
    <d v="2022-04-23T00:00:00"/>
    <s v="DISSABTE"/>
    <s v="NO"/>
    <s v="NO"/>
    <d v="1899-12-30T15:30:00"/>
    <d v="1899-12-30T20:30:00"/>
    <x v="1"/>
    <n v="1"/>
    <x v="159"/>
    <m/>
    <m/>
    <m/>
    <m/>
    <n v="150"/>
    <n v="0"/>
    <n v="0"/>
    <n v="150"/>
    <x v="0"/>
    <n v="50"/>
    <n v="100"/>
    <n v="0"/>
    <n v="0"/>
    <m/>
  </r>
  <r>
    <x v="2"/>
    <x v="3"/>
    <d v="2022-04-23T00:00:00"/>
    <s v="DISSABTE"/>
    <s v="NO"/>
    <s v="NO"/>
    <d v="1899-12-30T09:30:00"/>
    <d v="1899-12-30T14:30:00"/>
    <x v="3"/>
    <n v="1"/>
    <x v="255"/>
    <m/>
    <m/>
    <m/>
    <m/>
    <n v="200"/>
    <n v="1"/>
    <n v="60"/>
    <n v="260"/>
    <x v="0"/>
    <n v="200"/>
    <n v="0"/>
    <n v="60"/>
    <n v="0"/>
    <s v="210 COMPTE MARTA"/>
  </r>
  <r>
    <x v="2"/>
    <x v="3"/>
    <d v="2022-04-24T00:00:00"/>
    <s v="DIUMENGE"/>
    <s v="NO"/>
    <s v="NO"/>
    <d v="1899-12-30T09:30:00"/>
    <d v="1899-12-30T14:30:00"/>
    <x v="3"/>
    <n v="1"/>
    <x v="256"/>
    <m/>
    <m/>
    <m/>
    <m/>
    <n v="145"/>
    <n v="0"/>
    <n v="0"/>
    <n v="145"/>
    <x v="0"/>
    <n v="50"/>
    <n v="95"/>
    <n v="0"/>
    <n v="0"/>
    <m/>
  </r>
  <r>
    <x v="2"/>
    <x v="3"/>
    <d v="2022-04-24T00:00:00"/>
    <s v="DIUMENGE"/>
    <s v="NO"/>
    <s v="NO"/>
    <d v="1899-12-30T15:30:00"/>
    <d v="1899-12-30T20:30:00"/>
    <x v="1"/>
    <n v="1"/>
    <x v="257"/>
    <m/>
    <m/>
    <m/>
    <m/>
    <n v="145"/>
    <n v="1"/>
    <n v="5"/>
    <n v="150"/>
    <x v="0"/>
    <n v="50"/>
    <n v="95"/>
    <n v="0"/>
    <n v="5"/>
    <m/>
  </r>
  <r>
    <x v="2"/>
    <x v="3"/>
    <d v="2022-04-29T00:00:00"/>
    <s v="DIVENDRES"/>
    <s v="NO"/>
    <s v="NO"/>
    <d v="1899-12-30T21:30:00"/>
    <d v="1899-12-30T02:30:00"/>
    <x v="2"/>
    <n v="1"/>
    <x v="258"/>
    <m/>
    <m/>
    <m/>
    <m/>
    <n v="195"/>
    <n v="1"/>
    <n v="50"/>
    <n v="245"/>
    <x v="0"/>
    <n v="50"/>
    <n v="145"/>
    <n v="0"/>
    <n v="50"/>
    <m/>
  </r>
  <r>
    <x v="2"/>
    <x v="3"/>
    <d v="2022-04-30T00:00:00"/>
    <s v="DISSABTE"/>
    <s v="NO"/>
    <s v="NO"/>
    <d v="1899-12-30T15:30:00"/>
    <d v="1899-12-30T20:30:00"/>
    <x v="1"/>
    <n v="1"/>
    <x v="259"/>
    <m/>
    <m/>
    <m/>
    <m/>
    <n v="150"/>
    <n v="0"/>
    <n v="0"/>
    <n v="150"/>
    <x v="0"/>
    <n v="50"/>
    <n v="100"/>
    <n v="0"/>
    <n v="0"/>
    <m/>
  </r>
  <r>
    <x v="2"/>
    <x v="3"/>
    <d v="2022-04-30T00:00:00"/>
    <s v="DISSABTE"/>
    <s v="NO"/>
    <s v="NO"/>
    <d v="1899-12-30T21:30:00"/>
    <d v="1899-12-30T02:30:00"/>
    <x v="2"/>
    <n v="1"/>
    <x v="260"/>
    <m/>
    <m/>
    <m/>
    <m/>
    <n v="195"/>
    <n v="0"/>
    <n v="0"/>
    <n v="195"/>
    <x v="0"/>
    <n v="195"/>
    <n v="0"/>
    <n v="0"/>
    <n v="0"/>
    <m/>
  </r>
  <r>
    <x v="2"/>
    <x v="4"/>
    <d v="2022-05-01T00:00:00"/>
    <s v="DIUMENGE"/>
    <s v="NO"/>
    <s v="NO"/>
    <d v="1899-12-30T09:30:00"/>
    <d v="1899-12-30T14:30:00"/>
    <x v="3"/>
    <n v="1"/>
    <x v="261"/>
    <m/>
    <m/>
    <m/>
    <m/>
    <n v="145"/>
    <n v="1"/>
    <n v="40"/>
    <n v="185"/>
    <x v="0"/>
    <n v="145"/>
    <n v="0"/>
    <n v="40"/>
    <n v="0"/>
    <m/>
  </r>
  <r>
    <x v="2"/>
    <x v="4"/>
    <d v="2022-05-02T00:00:00"/>
    <s v="DILLUNS"/>
    <s v="NO"/>
    <s v="NO"/>
    <d v="1899-12-30T15:30:00"/>
    <d v="1899-12-30T20:30:00"/>
    <x v="1"/>
    <n v="1"/>
    <x v="262"/>
    <m/>
    <m/>
    <m/>
    <m/>
    <n v="95"/>
    <n v="0"/>
    <n v="0"/>
    <n v="95"/>
    <x v="0"/>
    <n v="95"/>
    <n v="0"/>
    <n v="0"/>
    <n v="0"/>
    <m/>
  </r>
  <r>
    <x v="2"/>
    <x v="4"/>
    <d v="2022-05-06T00:00:00"/>
    <s v="DISSABTE"/>
    <s v="NO"/>
    <s v="NO"/>
    <d v="1899-12-30T15:30:00"/>
    <d v="1899-12-30T20:30:00"/>
    <x v="1"/>
    <n v="1"/>
    <x v="263"/>
    <m/>
    <m/>
    <m/>
    <m/>
    <n v="140"/>
    <n v="0"/>
    <n v="0"/>
    <n v="140"/>
    <x v="0"/>
    <n v="140"/>
    <n v="0"/>
    <n v="0"/>
    <n v="0"/>
    <m/>
  </r>
  <r>
    <x v="2"/>
    <x v="4"/>
    <d v="2022-05-07T00:00:00"/>
    <s v="DISSABTE"/>
    <s v="NO"/>
    <s v="NO"/>
    <d v="1899-12-30T15:30:00"/>
    <d v="1899-12-30T20:30:00"/>
    <x v="1"/>
    <n v="1"/>
    <x v="264"/>
    <m/>
    <m/>
    <m/>
    <m/>
    <n v="150"/>
    <n v="0"/>
    <n v="0"/>
    <n v="150"/>
    <x v="0"/>
    <n v="0"/>
    <n v="150"/>
    <n v="0"/>
    <n v="0"/>
    <s v="EFECTIU"/>
  </r>
  <r>
    <x v="2"/>
    <x v="4"/>
    <d v="2022-05-07T00:00:00"/>
    <s v="DISSABTE"/>
    <s v="NO"/>
    <s v="NO"/>
    <d v="1899-12-30T21:30:00"/>
    <d v="1899-12-30T02:30:00"/>
    <x v="2"/>
    <n v="1"/>
    <x v="218"/>
    <m/>
    <m/>
    <m/>
    <m/>
    <n v="195"/>
    <n v="1"/>
    <n v="50"/>
    <n v="245"/>
    <x v="0"/>
    <n v="50"/>
    <n v="145"/>
    <n v="0"/>
    <n v="50"/>
    <m/>
  </r>
  <r>
    <x v="2"/>
    <x v="4"/>
    <d v="2022-05-08T00:00:00"/>
    <s v="DIUMENGE"/>
    <s v="NO"/>
    <s v="NO"/>
    <d v="1899-12-30T15:30:00"/>
    <d v="1899-12-30T20:30:00"/>
    <x v="1"/>
    <n v="1"/>
    <x v="265"/>
    <m/>
    <m/>
    <m/>
    <m/>
    <n v="150"/>
    <n v="0"/>
    <n v="0"/>
    <n v="150"/>
    <x v="0"/>
    <n v="50"/>
    <n v="100"/>
    <n v="0"/>
    <n v="0"/>
    <s v="100 compte oriol"/>
  </r>
  <r>
    <x v="2"/>
    <x v="4"/>
    <d v="2022-05-13T00:00:00"/>
    <s v="DIVENDRES"/>
    <s v="NO"/>
    <s v="NO"/>
    <d v="1899-12-30T15:30:00"/>
    <d v="1899-12-30T02:30:00"/>
    <x v="4"/>
    <n v="2"/>
    <x v="266"/>
    <m/>
    <m/>
    <m/>
    <m/>
    <n v="275"/>
    <n v="1"/>
    <n v="50"/>
    <n v="325"/>
    <x v="0"/>
    <n v="50"/>
    <n v="225"/>
    <n v="0"/>
    <n v="50"/>
    <m/>
  </r>
  <r>
    <x v="2"/>
    <x v="4"/>
    <d v="2022-05-14T00:00:00"/>
    <s v="DISSABTE"/>
    <s v="NO"/>
    <s v="NO"/>
    <d v="1899-12-30T09:30:00"/>
    <d v="1899-12-30T14:30:00"/>
    <x v="3"/>
    <n v="1"/>
    <x v="267"/>
    <m/>
    <m/>
    <m/>
    <m/>
    <n v="150"/>
    <n v="0"/>
    <n v="0"/>
    <n v="150"/>
    <x v="0"/>
    <n v="50"/>
    <n v="100"/>
    <n v="0"/>
    <n v="0"/>
    <m/>
  </r>
  <r>
    <x v="2"/>
    <x v="4"/>
    <d v="2022-05-14T00:00:00"/>
    <s v="DISSABTE"/>
    <s v="NO"/>
    <s v="NO"/>
    <d v="1899-12-30T15:30:00"/>
    <d v="1899-12-30T20:30:00"/>
    <x v="1"/>
    <n v="1"/>
    <x v="268"/>
    <m/>
    <m/>
    <m/>
    <m/>
    <n v="150"/>
    <n v="0"/>
    <n v="0"/>
    <n v="150"/>
    <x v="0"/>
    <n v="50"/>
    <n v="100"/>
    <n v="0"/>
    <n v="0"/>
    <m/>
  </r>
  <r>
    <x v="2"/>
    <x v="4"/>
    <d v="2022-05-15T00:00:00"/>
    <s v="DIUMENGE"/>
    <s v="NO"/>
    <s v="NO"/>
    <d v="1899-12-30T09:30:00"/>
    <d v="1899-12-30T20:30:00"/>
    <x v="5"/>
    <n v="2"/>
    <x v="269"/>
    <m/>
    <m/>
    <m/>
    <m/>
    <n v="270"/>
    <n v="0"/>
    <n v="0"/>
    <n v="270"/>
    <x v="0"/>
    <n v="50"/>
    <n v="220"/>
    <n v="0"/>
    <n v="0"/>
    <m/>
  </r>
  <r>
    <x v="2"/>
    <x v="4"/>
    <d v="2022-05-17T00:00:00"/>
    <s v="DIMARTS"/>
    <s v="NO"/>
    <s v="NO"/>
    <d v="1899-12-30T15:30:00"/>
    <d v="1899-12-30T20:30:00"/>
    <x v="1"/>
    <n v="1"/>
    <x v="270"/>
    <m/>
    <m/>
    <m/>
    <m/>
    <n v="95"/>
    <n v="0"/>
    <n v="0"/>
    <n v="95"/>
    <x v="0"/>
    <n v="50"/>
    <n v="45"/>
    <n v="0"/>
    <n v="0"/>
    <m/>
  </r>
  <r>
    <x v="2"/>
    <x v="4"/>
    <d v="2022-05-19T00:00:00"/>
    <s v="DIJOUS"/>
    <s v="NO"/>
    <s v="NO"/>
    <d v="1899-12-30T15:30:00"/>
    <d v="1899-12-30T20:30:00"/>
    <x v="1"/>
    <n v="1"/>
    <x v="271"/>
    <m/>
    <m/>
    <m/>
    <m/>
    <n v="95"/>
    <n v="0"/>
    <n v="0"/>
    <n v="95"/>
    <x v="0"/>
    <n v="50"/>
    <n v="45"/>
    <n v="0"/>
    <n v="0"/>
    <m/>
  </r>
  <r>
    <x v="2"/>
    <x v="4"/>
    <d v="2022-05-20T00:00:00"/>
    <s v="DIVENDRES"/>
    <s v="NO"/>
    <s v="NO"/>
    <d v="1899-12-30T15:30:00"/>
    <d v="1899-12-30T20:30:00"/>
    <x v="1"/>
    <n v="1"/>
    <x v="272"/>
    <m/>
    <m/>
    <m/>
    <m/>
    <n v="140"/>
    <n v="0"/>
    <n v="0"/>
    <n v="140"/>
    <x v="0"/>
    <n v="50"/>
    <n v="90"/>
    <n v="0"/>
    <n v="0"/>
    <m/>
  </r>
  <r>
    <x v="2"/>
    <x v="4"/>
    <d v="2022-05-21T00:00:00"/>
    <s v="DISSABTE"/>
    <s v="NO"/>
    <s v="NO"/>
    <d v="1899-12-30T09:30:00"/>
    <d v="1899-12-30T20:30:00"/>
    <x v="5"/>
    <n v="2"/>
    <x v="273"/>
    <m/>
    <m/>
    <m/>
    <m/>
    <n v="290"/>
    <n v="0"/>
    <n v="0"/>
    <n v="290"/>
    <x v="0"/>
    <n v="50"/>
    <n v="240"/>
    <n v="0"/>
    <n v="0"/>
    <m/>
  </r>
  <r>
    <x v="2"/>
    <x v="4"/>
    <d v="2022-05-21T00:00:00"/>
    <s v="DISSABTE"/>
    <s v="NO"/>
    <s v="NO"/>
    <d v="1899-12-30T21:30:00"/>
    <d v="1899-12-30T02:30:00"/>
    <x v="2"/>
    <n v="1"/>
    <x v="112"/>
    <m/>
    <m/>
    <m/>
    <m/>
    <n v="195"/>
    <n v="1"/>
    <n v="50"/>
    <n v="245"/>
    <x v="0"/>
    <n v="195"/>
    <n v="0"/>
    <n v="50"/>
    <n v="0"/>
    <m/>
  </r>
  <r>
    <x v="2"/>
    <x v="4"/>
    <d v="2022-05-22T00:00:00"/>
    <s v="DIUMENGE"/>
    <s v="NO"/>
    <s v="NO"/>
    <d v="1899-12-30T15:30:00"/>
    <d v="1899-12-30T20:30:00"/>
    <x v="1"/>
    <n v="1"/>
    <x v="274"/>
    <m/>
    <m/>
    <m/>
    <m/>
    <n v="150"/>
    <n v="0"/>
    <n v="0"/>
    <n v="150"/>
    <x v="0"/>
    <n v="50"/>
    <n v="100"/>
    <n v="0"/>
    <n v="0"/>
    <m/>
  </r>
  <r>
    <x v="2"/>
    <x v="4"/>
    <d v="2022-05-27T00:00:00"/>
    <s v="DIVENDRES"/>
    <s v="NO"/>
    <s v="NO"/>
    <d v="1899-12-30T15:30:00"/>
    <d v="1899-12-30T20:30:00"/>
    <x v="1"/>
    <n v="1"/>
    <x v="275"/>
    <m/>
    <m/>
    <m/>
    <m/>
    <n v="140"/>
    <n v="0"/>
    <n v="0"/>
    <n v="140"/>
    <x v="0"/>
    <n v="140"/>
    <n v="0"/>
    <n v="0"/>
    <n v="0"/>
    <s v="90 compte oriol"/>
  </r>
  <r>
    <x v="2"/>
    <x v="4"/>
    <d v="2022-05-27T00:00:00"/>
    <s v="DIVENDRES"/>
    <s v="NO"/>
    <s v="NO"/>
    <d v="1899-12-30T21:30:00"/>
    <d v="1899-12-30T02:30:00"/>
    <x v="2"/>
    <n v="1"/>
    <x v="276"/>
    <m/>
    <m/>
    <m/>
    <m/>
    <n v="200"/>
    <n v="0"/>
    <n v="0"/>
    <n v="200"/>
    <x v="0"/>
    <n v="50"/>
    <n v="150"/>
    <n v="0"/>
    <n v="0"/>
    <m/>
  </r>
  <r>
    <x v="2"/>
    <x v="4"/>
    <d v="2022-05-28T00:00:00"/>
    <s v="DISSABTE"/>
    <s v="NO"/>
    <s v="NO"/>
    <d v="1899-12-30T09:30:00"/>
    <d v="1899-12-30T02:30:00"/>
    <x v="5"/>
    <n v="3"/>
    <x v="277"/>
    <m/>
    <m/>
    <m/>
    <m/>
    <n v="370"/>
    <n v="0"/>
    <n v="0"/>
    <n v="370"/>
    <x v="0"/>
    <n v="370"/>
    <n v="0"/>
    <n v="0"/>
    <n v="0"/>
    <m/>
  </r>
  <r>
    <x v="2"/>
    <x v="4"/>
    <d v="2022-05-29T00:00:00"/>
    <s v="DIUMENGE"/>
    <s v="NO"/>
    <s v="NO"/>
    <d v="1899-12-30T09:30:00"/>
    <d v="1899-12-30T14:30:00"/>
    <x v="3"/>
    <n v="1"/>
    <x v="278"/>
    <m/>
    <m/>
    <m/>
    <m/>
    <n v="145"/>
    <n v="0"/>
    <n v="0"/>
    <n v="145"/>
    <x v="0"/>
    <n v="50"/>
    <n v="95"/>
    <n v="0"/>
    <n v="0"/>
    <m/>
  </r>
  <r>
    <x v="2"/>
    <x v="4"/>
    <d v="2022-05-29T00:00:00"/>
    <s v="DIUMENGE"/>
    <s v="NO"/>
    <s v="NO"/>
    <d v="1899-12-30T15:30:00"/>
    <d v="1899-12-30T20:30:00"/>
    <x v="1"/>
    <n v="1"/>
    <x v="279"/>
    <m/>
    <m/>
    <m/>
    <m/>
    <n v="145"/>
    <n v="0"/>
    <n v="0"/>
    <n v="145"/>
    <x v="0"/>
    <n v="50"/>
    <n v="95"/>
    <n v="0"/>
    <n v="0"/>
    <m/>
  </r>
  <r>
    <x v="2"/>
    <x v="5"/>
    <d v="2022-06-04T00:00:00"/>
    <s v="DISSABTE"/>
    <s v="NO"/>
    <s v="NO"/>
    <d v="1899-12-30T09:30:00"/>
    <d v="1899-12-30T02:30:00"/>
    <x v="5"/>
    <n v="3"/>
    <x v="280"/>
    <m/>
    <m/>
    <m/>
    <m/>
    <n v="400"/>
    <n v="0"/>
    <n v="0"/>
    <n v="400"/>
    <x v="0"/>
    <n v="400"/>
    <n v="0"/>
    <n v="0"/>
    <n v="0"/>
    <m/>
  </r>
  <r>
    <x v="2"/>
    <x v="5"/>
    <d v="2022-06-05T00:00:00"/>
    <s v="DIUMENGE"/>
    <s v="NO"/>
    <s v="NO"/>
    <d v="1899-12-30T09:30:00"/>
    <d v="1899-12-30T14:30:00"/>
    <x v="3"/>
    <n v="1"/>
    <x v="281"/>
    <m/>
    <m/>
    <m/>
    <m/>
    <n v="145"/>
    <n v="0"/>
    <n v="0"/>
    <n v="145"/>
    <x v="0"/>
    <n v="145"/>
    <n v="0"/>
    <n v="0"/>
    <n v="0"/>
    <m/>
  </r>
  <r>
    <x v="2"/>
    <x v="5"/>
    <d v="2022-06-05T00:00:00"/>
    <s v="DIUMENGE"/>
    <s v="NO"/>
    <s v="NO"/>
    <d v="1899-12-30T15:30:00"/>
    <d v="1899-12-30T20:30:00"/>
    <x v="1"/>
    <n v="1"/>
    <x v="282"/>
    <m/>
    <m/>
    <m/>
    <m/>
    <n v="150"/>
    <n v="0"/>
    <n v="0"/>
    <n v="150"/>
    <x v="0"/>
    <n v="50"/>
    <n v="100"/>
    <n v="0"/>
    <n v="0"/>
    <m/>
  </r>
  <r>
    <x v="2"/>
    <x v="5"/>
    <d v="2022-06-10T00:00:00"/>
    <s v="DIVENDRES"/>
    <s v="NO"/>
    <s v="NO"/>
    <d v="1899-12-30T15:30:00"/>
    <d v="1899-12-30T20:30:00"/>
    <x v="1"/>
    <n v="1"/>
    <x v="283"/>
    <m/>
    <m/>
    <m/>
    <m/>
    <n v="140"/>
    <n v="0"/>
    <n v="0"/>
    <n v="140"/>
    <x v="0"/>
    <n v="140"/>
    <n v="0"/>
    <n v="0"/>
    <n v="0"/>
    <m/>
  </r>
  <r>
    <x v="2"/>
    <x v="5"/>
    <d v="2022-06-11T00:00:00"/>
    <s v="DISSABTE"/>
    <s v="NO"/>
    <s v="NO"/>
    <d v="1899-12-30T15:30:00"/>
    <d v="1899-12-30T02:30:00"/>
    <x v="5"/>
    <n v="2"/>
    <x v="284"/>
    <m/>
    <m/>
    <m/>
    <m/>
    <n v="320"/>
    <n v="0"/>
    <n v="0"/>
    <n v="320"/>
    <x v="0"/>
    <n v="50"/>
    <n v="270"/>
    <n v="0"/>
    <n v="0"/>
    <m/>
  </r>
  <r>
    <x v="2"/>
    <x v="5"/>
    <d v="2022-06-12T00:00:00"/>
    <s v="DIUMENGE"/>
    <s v="NO"/>
    <s v="NO"/>
    <d v="1899-12-30T09:30:00"/>
    <d v="1899-12-30T14:30:00"/>
    <x v="3"/>
    <n v="1"/>
    <x v="135"/>
    <m/>
    <m/>
    <m/>
    <m/>
    <n v="145"/>
    <n v="1"/>
    <n v="5"/>
    <n v="150"/>
    <x v="0"/>
    <n v="50"/>
    <n v="95"/>
    <n v="0"/>
    <n v="5"/>
    <m/>
  </r>
  <r>
    <x v="2"/>
    <x v="5"/>
    <d v="2022-06-13T00:00:00"/>
    <s v="DILLUNS"/>
    <s v="NO"/>
    <s v="NO"/>
    <d v="1899-12-30T15:30:00"/>
    <d v="1899-12-30T20:30:00"/>
    <x v="1"/>
    <n v="1"/>
    <x v="201"/>
    <m/>
    <m/>
    <m/>
    <m/>
    <n v="95"/>
    <n v="0"/>
    <n v="0"/>
    <n v="95"/>
    <x v="0"/>
    <n v="50"/>
    <n v="45"/>
    <n v="0"/>
    <n v="0"/>
    <m/>
  </r>
  <r>
    <x v="2"/>
    <x v="5"/>
    <d v="2022-06-17T00:00:00"/>
    <s v="DIVENDRES"/>
    <s v="NO"/>
    <s v="NO"/>
    <d v="1899-12-30T09:30:00"/>
    <d v="1899-12-30T02:30:00"/>
    <x v="5"/>
    <n v="3"/>
    <x v="285"/>
    <m/>
    <m/>
    <m/>
    <m/>
    <n v="350"/>
    <n v="0"/>
    <n v="0"/>
    <n v="350"/>
    <x v="0"/>
    <n v="50"/>
    <n v="250"/>
    <n v="0"/>
    <n v="0"/>
    <m/>
  </r>
  <r>
    <x v="2"/>
    <x v="5"/>
    <d v="2022-06-18T00:00:00"/>
    <s v="DISSABTE"/>
    <s v="NO"/>
    <s v="NO"/>
    <d v="1899-12-30T15:30:00"/>
    <d v="1899-12-30T20:30:00"/>
    <x v="1"/>
    <n v="1"/>
    <x v="286"/>
    <m/>
    <m/>
    <m/>
    <m/>
    <n v="150"/>
    <n v="0"/>
    <n v="0"/>
    <n v="150"/>
    <x v="0"/>
    <n v="50"/>
    <n v="100"/>
    <n v="0"/>
    <n v="0"/>
    <m/>
  </r>
  <r>
    <x v="2"/>
    <x v="5"/>
    <d v="2022-06-18T00:00:00"/>
    <s v="DISSABTE"/>
    <s v="NO"/>
    <s v="NO"/>
    <d v="1899-12-30T21:30:00"/>
    <d v="1899-12-30T02:30:00"/>
    <x v="2"/>
    <n v="1"/>
    <x v="287"/>
    <m/>
    <m/>
    <m/>
    <m/>
    <n v="200"/>
    <n v="1"/>
    <n v="60"/>
    <n v="260"/>
    <x v="0"/>
    <n v="50"/>
    <n v="150"/>
    <n v="0"/>
    <n v="60"/>
    <m/>
  </r>
  <r>
    <x v="2"/>
    <x v="5"/>
    <d v="2022-06-19T00:00:00"/>
    <s v="DIUMENGE"/>
    <s v="NO"/>
    <s v="NO"/>
    <d v="1899-12-30T09:30:00"/>
    <d v="1899-12-30T14:30:00"/>
    <x v="3"/>
    <n v="1"/>
    <x v="288"/>
    <m/>
    <m/>
    <m/>
    <m/>
    <n v="150"/>
    <n v="0"/>
    <n v="0"/>
    <n v="150"/>
    <x v="0"/>
    <n v="150"/>
    <n v="0"/>
    <n v="0"/>
    <n v="0"/>
    <m/>
  </r>
  <r>
    <x v="2"/>
    <x v="5"/>
    <d v="2022-06-19T00:00:00"/>
    <s v="DIUMENGE"/>
    <s v="NO"/>
    <s v="NO"/>
    <d v="1899-12-30T15:30:00"/>
    <d v="1899-12-30T20:30:00"/>
    <x v="1"/>
    <n v="1"/>
    <x v="289"/>
    <m/>
    <m/>
    <m/>
    <m/>
    <n v="150"/>
    <n v="0"/>
    <n v="20"/>
    <n v="170"/>
    <x v="0"/>
    <n v="50"/>
    <n v="100"/>
    <n v="0"/>
    <n v="20"/>
    <m/>
  </r>
  <r>
    <x v="2"/>
    <x v="5"/>
    <d v="2022-06-24T00:00:00"/>
    <s v="DIVENDRES"/>
    <s v="SI"/>
    <s v="NO"/>
    <d v="1899-12-30T15:30:00"/>
    <d v="1899-12-30T02:30:00"/>
    <x v="5"/>
    <n v="2"/>
    <x v="290"/>
    <m/>
    <m/>
    <m/>
    <m/>
    <n v="320"/>
    <n v="0"/>
    <n v="0"/>
    <n v="320"/>
    <x v="0"/>
    <n v="50"/>
    <n v="270"/>
    <n v="0"/>
    <n v="0"/>
    <m/>
  </r>
  <r>
    <x v="2"/>
    <x v="5"/>
    <d v="2022-06-25T00:00:00"/>
    <s v="DISSABTE"/>
    <s v="NO"/>
    <s v="NO"/>
    <d v="1899-12-30T15:30:00"/>
    <d v="1899-12-30T02:30:00"/>
    <x v="5"/>
    <n v="2"/>
    <x v="268"/>
    <m/>
    <m/>
    <m/>
    <m/>
    <n v="320"/>
    <n v="0"/>
    <n v="0"/>
    <n v="320"/>
    <x v="0"/>
    <n v="50"/>
    <n v="270"/>
    <n v="0"/>
    <n v="0"/>
    <m/>
  </r>
  <r>
    <x v="2"/>
    <x v="5"/>
    <d v="2022-06-26T00:00:00"/>
    <s v="DIUMENGE"/>
    <s v="NO"/>
    <s v="NO"/>
    <d v="1899-12-30T15:30:00"/>
    <d v="1899-12-30T02:30:00"/>
    <x v="5"/>
    <n v="2"/>
    <x v="291"/>
    <m/>
    <m/>
    <m/>
    <m/>
    <n v="320"/>
    <n v="1"/>
    <n v="60"/>
    <n v="380"/>
    <x v="0"/>
    <n v="320"/>
    <n v="0"/>
    <n v="0"/>
    <n v="60"/>
    <m/>
  </r>
  <r>
    <x v="2"/>
    <x v="6"/>
    <d v="2022-07-01T00:00:00"/>
    <s v="DIVENDRES"/>
    <s v="NO"/>
    <s v="NO"/>
    <d v="1899-12-30T21:30:00"/>
    <d v="1899-12-30T02:30:00"/>
    <x v="2"/>
    <n v="1"/>
    <x v="292"/>
    <m/>
    <m/>
    <m/>
    <m/>
    <n v="200"/>
    <n v="0"/>
    <n v="0"/>
    <n v="200"/>
    <x v="0"/>
    <n v="50"/>
    <n v="150"/>
    <n v="0"/>
    <n v="0"/>
    <m/>
  </r>
  <r>
    <x v="2"/>
    <x v="6"/>
    <d v="2022-07-02T00:00:00"/>
    <s v="DISSABTE"/>
    <s v="NO"/>
    <s v="NO"/>
    <d v="1899-12-30T15:30:00"/>
    <d v="1899-12-30T02:30:00"/>
    <x v="5"/>
    <n v="2"/>
    <x v="293"/>
    <m/>
    <m/>
    <m/>
    <m/>
    <n v="320"/>
    <n v="0"/>
    <n v="0"/>
    <n v="320"/>
    <x v="0"/>
    <n v="50"/>
    <n v="270"/>
    <n v="0"/>
    <n v="0"/>
    <s v="EFECTIU"/>
  </r>
  <r>
    <x v="2"/>
    <x v="6"/>
    <d v="2022-06-03T00:00:00"/>
    <s v="DIUMENGE"/>
    <s v="NO"/>
    <s v="NO"/>
    <d v="1899-12-30T15:30:00"/>
    <d v="1899-12-30T20:30:00"/>
    <x v="1"/>
    <n v="1"/>
    <x v="294"/>
    <m/>
    <m/>
    <m/>
    <m/>
    <n v="150"/>
    <n v="0"/>
    <n v="0"/>
    <n v="150"/>
    <x v="0"/>
    <n v="50"/>
    <n v="100"/>
    <n v="0"/>
    <n v="0"/>
    <m/>
  </r>
  <r>
    <x v="2"/>
    <x v="6"/>
    <d v="2022-07-05T00:00:00"/>
    <s v="DIMARTS"/>
    <s v="NO"/>
    <s v="NO"/>
    <d v="1899-12-30T15:30:00"/>
    <d v="1899-12-30T20:30:00"/>
    <x v="1"/>
    <n v="1"/>
    <x v="295"/>
    <m/>
    <m/>
    <m/>
    <m/>
    <n v="95"/>
    <n v="1"/>
    <n v="10"/>
    <n v="105"/>
    <x v="0"/>
    <n v="50"/>
    <n v="45"/>
    <n v="0"/>
    <n v="10"/>
    <m/>
  </r>
  <r>
    <x v="2"/>
    <x v="6"/>
    <d v="2022-07-09T00:00:00"/>
    <s v="DISSABTE"/>
    <s v="NO"/>
    <s v="NO"/>
    <d v="1899-12-30T15:30:00"/>
    <d v="1899-12-30T02:30:00"/>
    <x v="4"/>
    <n v="2"/>
    <x v="296"/>
    <m/>
    <m/>
    <m/>
    <m/>
    <n v="320"/>
    <n v="0"/>
    <n v="0"/>
    <n v="320"/>
    <x v="0"/>
    <n v="0"/>
    <n v="320"/>
    <n v="0"/>
    <n v="0"/>
    <m/>
  </r>
  <r>
    <x v="2"/>
    <x v="6"/>
    <d v="2022-07-11T00:00:00"/>
    <s v="DILLUNS"/>
    <s v="NO"/>
    <s v="NO"/>
    <d v="1899-12-30T15:30:00"/>
    <d v="1899-12-30T20:30:00"/>
    <x v="1"/>
    <n v="1"/>
    <x v="297"/>
    <m/>
    <m/>
    <m/>
    <m/>
    <n v="95"/>
    <n v="0"/>
    <n v="0"/>
    <n v="95"/>
    <x v="0"/>
    <n v="50"/>
    <n v="45"/>
    <n v="0"/>
    <n v="0"/>
    <m/>
  </r>
  <r>
    <x v="2"/>
    <x v="6"/>
    <d v="2022-07-15T00:00:00"/>
    <s v="DIVENDRES"/>
    <s v="NO"/>
    <s v="NO"/>
    <d v="1899-12-30T15:30:00"/>
    <d v="1899-12-30T20:30:00"/>
    <x v="1"/>
    <n v="1"/>
    <x v="298"/>
    <m/>
    <m/>
    <m/>
    <m/>
    <n v="140"/>
    <n v="0"/>
    <n v="0"/>
    <n v="140"/>
    <x v="0"/>
    <n v="50"/>
    <n v="90"/>
    <n v="0"/>
    <n v="0"/>
    <m/>
  </r>
  <r>
    <x v="2"/>
    <x v="6"/>
    <d v="2022-07-16T00:00:00"/>
    <s v="DISSABTE"/>
    <s v="NO"/>
    <s v="NO"/>
    <d v="1899-12-30T15:30:00"/>
    <d v="1899-12-30T20:30:00"/>
    <x v="1"/>
    <n v="1"/>
    <x v="299"/>
    <m/>
    <m/>
    <m/>
    <m/>
    <n v="150"/>
    <n v="0"/>
    <n v="0"/>
    <n v="150"/>
    <x v="0"/>
    <n v="50"/>
    <n v="100"/>
    <n v="0"/>
    <n v="0"/>
    <s v="100 bizum marta"/>
  </r>
  <r>
    <x v="2"/>
    <x v="6"/>
    <d v="2022-07-16T00:00:00"/>
    <s v="DISSABTE"/>
    <s v="NO"/>
    <s v="NO"/>
    <d v="1899-12-30T21:30:00"/>
    <d v="1899-12-30T02:30:00"/>
    <x v="2"/>
    <n v="1"/>
    <x v="300"/>
    <m/>
    <m/>
    <m/>
    <m/>
    <n v="200"/>
    <n v="1"/>
    <n v="60"/>
    <n v="260"/>
    <x v="0"/>
    <n v="50"/>
    <n v="150"/>
    <n v="0"/>
    <n v="60"/>
    <m/>
  </r>
  <r>
    <x v="2"/>
    <x v="6"/>
    <d v="2022-07-23T00:00:00"/>
    <s v="DISSABTE"/>
    <s v="NO"/>
    <s v="NO"/>
    <d v="1899-12-30T15:30:00"/>
    <d v="1899-12-30T20:30:00"/>
    <x v="1"/>
    <n v="1"/>
    <x v="301"/>
    <m/>
    <m/>
    <m/>
    <m/>
    <n v="150"/>
    <n v="0"/>
    <n v="0"/>
    <n v="150"/>
    <x v="0"/>
    <n v="150"/>
    <n v="0"/>
    <n v="0"/>
    <n v="0"/>
    <m/>
  </r>
  <r>
    <x v="2"/>
    <x v="6"/>
    <d v="2022-07-24T00:00:00"/>
    <s v="DIUMENGE"/>
    <s v="NO"/>
    <s v="NO"/>
    <d v="1899-12-30T09:30:00"/>
    <d v="1899-12-30T20:30:00"/>
    <x v="5"/>
    <n v="2"/>
    <x v="169"/>
    <m/>
    <m/>
    <m/>
    <m/>
    <n v="270"/>
    <n v="0"/>
    <n v="0"/>
    <n v="270"/>
    <x v="0"/>
    <n v="50"/>
    <n v="240"/>
    <n v="0"/>
    <n v="0"/>
    <s v="compte marta"/>
  </r>
  <r>
    <x v="2"/>
    <x v="6"/>
    <d v="2022-07-26T00:00:00"/>
    <s v="DIMARTS"/>
    <s v="NO"/>
    <s v="NO"/>
    <d v="1899-12-30T15:30:00"/>
    <d v="1899-12-30T20:30:00"/>
    <x v="1"/>
    <n v="1"/>
    <x v="302"/>
    <m/>
    <m/>
    <m/>
    <m/>
    <n v="95"/>
    <n v="0"/>
    <n v="0"/>
    <n v="95"/>
    <x v="0"/>
    <n v="0"/>
    <n v="95"/>
    <n v="0"/>
    <n v="0"/>
    <m/>
  </r>
  <r>
    <x v="2"/>
    <x v="6"/>
    <d v="2022-07-28T00:00:00"/>
    <s v="DIJOUS"/>
    <s v="NO"/>
    <s v="NO"/>
    <d v="1899-12-30T09:30:00"/>
    <d v="1899-12-30T02:30:00"/>
    <x v="5"/>
    <n v="3"/>
    <x v="303"/>
    <m/>
    <m/>
    <m/>
    <m/>
    <n v="280"/>
    <n v="0"/>
    <n v="0"/>
    <n v="280"/>
    <x v="0"/>
    <n v="50"/>
    <n v="230"/>
    <n v="0"/>
    <n v="0"/>
    <m/>
  </r>
  <r>
    <x v="2"/>
    <x v="6"/>
    <d v="2022-07-29T00:00:00"/>
    <s v="DIVENDRES"/>
    <s v="NO"/>
    <s v="NO"/>
    <d v="1899-12-30T21:30:00"/>
    <d v="1899-12-30T02:30:00"/>
    <x v="2"/>
    <n v="1"/>
    <x v="304"/>
    <m/>
    <m/>
    <m/>
    <m/>
    <n v="200"/>
    <n v="1"/>
    <n v="60"/>
    <n v="260"/>
    <x v="0"/>
    <n v="50"/>
    <n v="150"/>
    <n v="0"/>
    <n v="60"/>
    <s v="210 COMPTE MARTA"/>
  </r>
  <r>
    <x v="2"/>
    <x v="6"/>
    <d v="2022-07-30T00:00:00"/>
    <s v="DISSABTE"/>
    <s v="NO"/>
    <s v="NO"/>
    <d v="1899-12-30T21:30:00"/>
    <d v="1899-12-30T02:30:00"/>
    <x v="2"/>
    <n v="1"/>
    <x v="305"/>
    <m/>
    <m/>
    <m/>
    <m/>
    <n v="200"/>
    <n v="0"/>
    <n v="0"/>
    <n v="200"/>
    <x v="0"/>
    <n v="0"/>
    <n v="200"/>
    <n v="0"/>
    <n v="0"/>
    <s v="EFECTIU"/>
  </r>
  <r>
    <x v="2"/>
    <x v="7"/>
    <d v="2022-08-06T00:00:00"/>
    <s v="DISSABTE"/>
    <s v="NO"/>
    <s v="NO"/>
    <d v="1899-12-30T15:30:00"/>
    <d v="1899-12-30T02:30:00"/>
    <x v="4"/>
    <n v="2"/>
    <x v="306"/>
    <m/>
    <m/>
    <m/>
    <m/>
    <n v="300"/>
    <n v="0"/>
    <n v="0"/>
    <n v="300"/>
    <x v="0"/>
    <n v="0"/>
    <n v="300"/>
    <n v="0"/>
    <n v="0"/>
    <s v="EFECTIU"/>
  </r>
  <r>
    <x v="2"/>
    <x v="7"/>
    <d v="2022-08-07T00:00:00"/>
    <s v="DIUMENGE"/>
    <s v="NO"/>
    <s v="NO"/>
    <d v="1899-12-30T15:30:00"/>
    <d v="1899-12-30T20:30:00"/>
    <x v="1"/>
    <n v="1"/>
    <x v="307"/>
    <m/>
    <m/>
    <m/>
    <m/>
    <n v="150"/>
    <n v="0"/>
    <n v="0"/>
    <n v="150"/>
    <x v="0"/>
    <n v="50"/>
    <n v="100"/>
    <n v="0"/>
    <n v="0"/>
    <m/>
  </r>
  <r>
    <x v="2"/>
    <x v="7"/>
    <d v="2022-08-15T00:00:00"/>
    <s v="DILLUNS"/>
    <s v="SI"/>
    <s v="NO"/>
    <d v="1899-12-30T15:30:00"/>
    <d v="1899-12-30T02:30:00"/>
    <x v="4"/>
    <n v="2"/>
    <x v="308"/>
    <m/>
    <m/>
    <m/>
    <m/>
    <n v="320"/>
    <n v="0"/>
    <n v="0"/>
    <n v="320"/>
    <x v="0"/>
    <n v="50"/>
    <n v="270"/>
    <n v="0"/>
    <n v="0"/>
    <m/>
  </r>
  <r>
    <x v="2"/>
    <x v="7"/>
    <d v="2022-08-18T00:00:00"/>
    <s v="DIJOUS"/>
    <s v="NO"/>
    <s v="NO"/>
    <d v="1899-12-30T15:30:00"/>
    <d v="1899-12-30T20:30:00"/>
    <x v="1"/>
    <n v="1"/>
    <x v="309"/>
    <m/>
    <m/>
    <m/>
    <m/>
    <n v="95"/>
    <n v="0"/>
    <n v="0"/>
    <n v="95"/>
    <x v="0"/>
    <n v="95"/>
    <n v="0"/>
    <n v="0"/>
    <n v="0"/>
    <m/>
  </r>
  <r>
    <x v="2"/>
    <x v="7"/>
    <d v="2022-08-26T00:00:00"/>
    <s v="DIVENDRES"/>
    <s v="NO"/>
    <s v="NO"/>
    <d v="1899-12-30T21:30:00"/>
    <d v="1899-12-30T02:30:00"/>
    <x v="2"/>
    <n v="1"/>
    <x v="310"/>
    <m/>
    <m/>
    <m/>
    <m/>
    <n v="200"/>
    <n v="0"/>
    <n v="0"/>
    <n v="200"/>
    <x v="0"/>
    <n v="50"/>
    <n v="150"/>
    <n v="0"/>
    <n v="0"/>
    <m/>
  </r>
  <r>
    <x v="2"/>
    <x v="7"/>
    <d v="2022-08-27T00:00:00"/>
    <s v="DISSABTE"/>
    <s v="NO"/>
    <s v="NO"/>
    <d v="1899-12-30T15:30:00"/>
    <d v="1899-12-30T20:30:00"/>
    <x v="1"/>
    <n v="1"/>
    <x v="311"/>
    <m/>
    <m/>
    <m/>
    <m/>
    <n v="150"/>
    <n v="0"/>
    <n v="0"/>
    <n v="150"/>
    <x v="0"/>
    <n v="50"/>
    <n v="100"/>
    <n v="0"/>
    <n v="0"/>
    <m/>
  </r>
  <r>
    <x v="2"/>
    <x v="7"/>
    <d v="2022-08-27T00:00:00"/>
    <s v="DISSABTE"/>
    <s v="NO"/>
    <s v="NO"/>
    <d v="1899-12-30T21:30:00"/>
    <d v="1899-12-30T02:30:00"/>
    <x v="2"/>
    <n v="1"/>
    <x v="312"/>
    <m/>
    <m/>
    <m/>
    <m/>
    <n v="200"/>
    <n v="1"/>
    <n v="60"/>
    <n v="260"/>
    <x v="0"/>
    <n v="50"/>
    <n v="150"/>
    <n v="0"/>
    <n v="60"/>
    <m/>
  </r>
  <r>
    <x v="2"/>
    <x v="8"/>
    <d v="2022-09-02T00:00:00"/>
    <s v="DIVENDRES"/>
    <s v="NO"/>
    <s v="NO"/>
    <d v="1899-12-30T15:30:00"/>
    <d v="1899-12-30T20:30:00"/>
    <x v="1"/>
    <n v="1"/>
    <x v="302"/>
    <m/>
    <m/>
    <m/>
    <m/>
    <n v="140"/>
    <n v="1"/>
    <n v="10"/>
    <n v="150"/>
    <x v="0"/>
    <n v="0"/>
    <n v="140"/>
    <n v="0"/>
    <n v="10"/>
    <m/>
  </r>
  <r>
    <x v="2"/>
    <x v="8"/>
    <d v="2022-09-03T00:00:00"/>
    <s v="DISSABTE"/>
    <s v="NO"/>
    <s v="NO"/>
    <d v="1899-12-30T15:30:00"/>
    <d v="1899-12-30T20:30:00"/>
    <x v="1"/>
    <n v="1"/>
    <x v="313"/>
    <m/>
    <m/>
    <m/>
    <m/>
    <n v="150"/>
    <n v="0"/>
    <n v="0"/>
    <n v="150"/>
    <x v="0"/>
    <n v="50"/>
    <n v="100"/>
    <n v="0"/>
    <n v="0"/>
    <m/>
  </r>
  <r>
    <x v="2"/>
    <x v="8"/>
    <d v="2022-09-03T00:00:00"/>
    <s v="DISSABTE"/>
    <s v="NO"/>
    <s v="NO"/>
    <d v="1899-12-30T21:30:00"/>
    <d v="1899-12-30T02:30:00"/>
    <x v="2"/>
    <n v="1"/>
    <x v="314"/>
    <m/>
    <m/>
    <m/>
    <m/>
    <n v="200"/>
    <n v="1"/>
    <n v="60"/>
    <n v="260"/>
    <x v="0"/>
    <n v="50"/>
    <n v="150"/>
    <n v="0"/>
    <n v="60"/>
    <m/>
  </r>
  <r>
    <x v="2"/>
    <x v="8"/>
    <d v="2022-09-07T00:00:00"/>
    <s v="DIMECRES"/>
    <s v="NO"/>
    <s v="NO"/>
    <d v="1899-12-30T15:30:00"/>
    <d v="1899-12-30T20:30:00"/>
    <x v="1"/>
    <n v="1"/>
    <x v="315"/>
    <m/>
    <m/>
    <m/>
    <m/>
    <n v="95"/>
    <n v="0"/>
    <n v="0"/>
    <n v="95"/>
    <x v="0"/>
    <n v="95"/>
    <n v="0"/>
    <n v="0"/>
    <n v="0"/>
    <m/>
  </r>
  <r>
    <x v="2"/>
    <x v="8"/>
    <d v="2022-09-10T00:00:00"/>
    <s v="DISSABTE"/>
    <s v="NO"/>
    <s v="NO"/>
    <d v="1899-12-30T09:30:00"/>
    <d v="1899-12-30T14:30:00"/>
    <x v="3"/>
    <n v="1"/>
    <x v="316"/>
    <m/>
    <m/>
    <m/>
    <m/>
    <n v="150"/>
    <n v="0"/>
    <n v="0"/>
    <n v="150"/>
    <x v="0"/>
    <n v="50"/>
    <n v="100"/>
    <n v="0"/>
    <n v="0"/>
    <m/>
  </r>
  <r>
    <x v="2"/>
    <x v="8"/>
    <d v="2022-09-10T00:00:00"/>
    <s v="DISSABTE"/>
    <s v="NO"/>
    <s v="NO"/>
    <d v="1899-12-30T15:30:00"/>
    <d v="1899-12-30T20:30:00"/>
    <x v="1"/>
    <n v="1"/>
    <x v="317"/>
    <m/>
    <m/>
    <m/>
    <m/>
    <n v="150"/>
    <n v="0"/>
    <n v="0"/>
    <n v="150"/>
    <x v="0"/>
    <n v="150"/>
    <n v="0"/>
    <n v="0"/>
    <n v="0"/>
    <m/>
  </r>
  <r>
    <x v="2"/>
    <x v="8"/>
    <d v="2022-09-11T00:00:00"/>
    <s v="DIUMENGE"/>
    <s v="NO"/>
    <s v="NO"/>
    <d v="1899-12-30T09:30:00"/>
    <d v="1899-12-30T14:30:00"/>
    <x v="3"/>
    <n v="1"/>
    <x v="318"/>
    <m/>
    <m/>
    <m/>
    <m/>
    <n v="150"/>
    <n v="0"/>
    <n v="0"/>
    <n v="150"/>
    <x v="0"/>
    <n v="50"/>
    <n v="100"/>
    <n v="0"/>
    <n v="0"/>
    <s v="BIZUM ORIOL"/>
  </r>
  <r>
    <x v="2"/>
    <x v="8"/>
    <d v="2022-09-11T00:00:00"/>
    <s v="DIUMENGE"/>
    <s v="NO"/>
    <s v="NO"/>
    <d v="1899-12-30T15:30:00"/>
    <d v="1899-12-30T20:30:00"/>
    <x v="1"/>
    <n v="1"/>
    <x v="319"/>
    <m/>
    <m/>
    <m/>
    <m/>
    <n v="150"/>
    <n v="1"/>
    <n v="20"/>
    <n v="170"/>
    <x v="0"/>
    <n v="0"/>
    <n v="150"/>
    <n v="0"/>
    <n v="20"/>
    <s v="EFECTIU"/>
  </r>
  <r>
    <x v="2"/>
    <x v="8"/>
    <d v="2022-09-13T00:00:00"/>
    <s v="DIMARTS"/>
    <s v="NO"/>
    <s v="NO"/>
    <d v="1899-12-30T15:30:00"/>
    <d v="1899-12-30T20:30:00"/>
    <x v="1"/>
    <n v="1"/>
    <x v="320"/>
    <m/>
    <m/>
    <m/>
    <m/>
    <n v="95"/>
    <n v="0"/>
    <n v="0"/>
    <n v="95"/>
    <x v="0"/>
    <n v="50"/>
    <n v="45"/>
    <n v="0"/>
    <n v="0"/>
    <m/>
  </r>
  <r>
    <x v="2"/>
    <x v="8"/>
    <d v="2022-09-17T00:00:00"/>
    <s v="DISSABTE"/>
    <s v="NO"/>
    <s v="NO"/>
    <d v="1899-12-30T21:30:00"/>
    <d v="1899-12-30T02:30:00"/>
    <x v="2"/>
    <n v="1"/>
    <x v="321"/>
    <m/>
    <m/>
    <m/>
    <m/>
    <n v="200"/>
    <n v="0"/>
    <n v="0"/>
    <n v="200"/>
    <x v="0"/>
    <n v="200"/>
    <n v="0"/>
    <n v="0"/>
    <n v="0"/>
    <m/>
  </r>
  <r>
    <x v="2"/>
    <x v="8"/>
    <d v="2022-09-20T00:00:00"/>
    <s v="DIMARTS"/>
    <s v="NO"/>
    <s v="NO"/>
    <d v="1899-12-30T15:30:00"/>
    <d v="1899-12-30T20:30:00"/>
    <x v="1"/>
    <n v="1"/>
    <x v="322"/>
    <m/>
    <m/>
    <m/>
    <m/>
    <n v="95"/>
    <n v="0"/>
    <n v="0"/>
    <n v="95"/>
    <x v="0"/>
    <n v="0"/>
    <n v="95"/>
    <n v="0"/>
    <n v="0"/>
    <s v="45 BIZUM MARTA"/>
  </r>
  <r>
    <x v="2"/>
    <x v="8"/>
    <d v="2022-09-21T00:00:00"/>
    <s v="DIMECRES"/>
    <s v="NO"/>
    <s v="NO"/>
    <d v="1899-12-30T15:30:00"/>
    <d v="1899-12-30T20:30:00"/>
    <x v="1"/>
    <n v="1"/>
    <x v="323"/>
    <m/>
    <m/>
    <m/>
    <m/>
    <n v="95"/>
    <n v="0"/>
    <n v="0"/>
    <n v="95"/>
    <x v="0"/>
    <n v="50"/>
    <n v="45"/>
    <n v="0"/>
    <n v="0"/>
    <m/>
  </r>
  <r>
    <x v="2"/>
    <x v="8"/>
    <d v="2022-09-23T00:00:00"/>
    <s v="DIVENDRES"/>
    <s v="NO"/>
    <s v="NO"/>
    <d v="1899-12-30T15:30:00"/>
    <d v="1899-12-30T02:30:00"/>
    <x v="5"/>
    <n v="2"/>
    <x v="324"/>
    <m/>
    <m/>
    <m/>
    <m/>
    <n v="275"/>
    <n v="0"/>
    <n v="0"/>
    <n v="275"/>
    <x v="0"/>
    <n v="50"/>
    <n v="225"/>
    <n v="0"/>
    <n v="0"/>
    <m/>
  </r>
  <r>
    <x v="2"/>
    <x v="8"/>
    <d v="2022-09-24T00:00:00"/>
    <s v="DISSABTE"/>
    <s v="NO"/>
    <s v="NO"/>
    <d v="1899-12-30T09:30:00"/>
    <d v="1899-12-30T20:30:00"/>
    <x v="5"/>
    <n v="2"/>
    <x v="325"/>
    <m/>
    <m/>
    <m/>
    <m/>
    <n v="250"/>
    <n v="0"/>
    <n v="0"/>
    <n v="250"/>
    <x v="0"/>
    <n v="0"/>
    <n v="250"/>
    <n v="0"/>
    <n v="0"/>
    <s v="250 BIZUM MARTA"/>
  </r>
  <r>
    <x v="2"/>
    <x v="8"/>
    <d v="2022-09-24T00:00:00"/>
    <s v="DISSABTE"/>
    <s v="NO"/>
    <s v="NO"/>
    <d v="1899-12-30T21:30:00"/>
    <d v="1899-12-30T02:30:00"/>
    <x v="2"/>
    <n v="1"/>
    <x v="326"/>
    <m/>
    <m/>
    <m/>
    <m/>
    <n v="200"/>
    <n v="0"/>
    <n v="0"/>
    <n v="200"/>
    <x v="0"/>
    <n v="0"/>
    <n v="200"/>
    <n v="0"/>
    <n v="0"/>
    <s v="200 BIZUM ORIOL"/>
  </r>
  <r>
    <x v="2"/>
    <x v="8"/>
    <d v="2022-09-25T00:00:00"/>
    <s v="DIUMENGE"/>
    <s v="NO"/>
    <s v="NO"/>
    <d v="1899-12-30T09:30:00"/>
    <d v="1899-12-30T14:30:00"/>
    <x v="3"/>
    <n v="1"/>
    <x v="327"/>
    <m/>
    <m/>
    <m/>
    <m/>
    <n v="150"/>
    <n v="0"/>
    <n v="0"/>
    <n v="150"/>
    <x v="0"/>
    <n v="50"/>
    <n v="100"/>
    <n v="0"/>
    <n v="0"/>
    <m/>
  </r>
  <r>
    <x v="2"/>
    <x v="8"/>
    <d v="2022-09-25T00:00:00"/>
    <s v="DIUMENGE"/>
    <s v="NO"/>
    <s v="NO"/>
    <d v="1899-12-30T15:30:00"/>
    <d v="1899-12-30T20:30:00"/>
    <x v="1"/>
    <n v="1"/>
    <x v="328"/>
    <m/>
    <m/>
    <m/>
    <m/>
    <n v="150"/>
    <n v="1"/>
    <n v="70"/>
    <n v="220"/>
    <x v="0"/>
    <n v="50"/>
    <n v="150"/>
    <n v="0"/>
    <n v="0"/>
    <s v="150 bizum marta"/>
  </r>
  <r>
    <x v="2"/>
    <x v="8"/>
    <d v="2022-09-25T00:00:00"/>
    <s v="DIUMENGE"/>
    <s v="NO"/>
    <s v="NO"/>
    <d v="1899-12-30T09:30:00"/>
    <d v="1899-12-30T20:30:00"/>
    <x v="5"/>
    <n v="2"/>
    <x v="329"/>
    <m/>
    <m/>
    <m/>
    <m/>
    <n v="290"/>
    <n v="0"/>
    <n v="0"/>
    <n v="290"/>
    <x v="1"/>
    <n v="50"/>
    <n v="0"/>
    <n v="0"/>
    <n v="0"/>
    <m/>
  </r>
  <r>
    <x v="2"/>
    <x v="8"/>
    <d v="2022-09-30T00:00:00"/>
    <s v="DIVENDRES"/>
    <s v="NO"/>
    <s v="NO"/>
    <d v="1899-12-30T15:30:00"/>
    <d v="1899-12-30T02:30:00"/>
    <x v="4"/>
    <n v="2"/>
    <x v="330"/>
    <m/>
    <m/>
    <m/>
    <m/>
    <n v="300"/>
    <n v="1"/>
    <n v="150"/>
    <n v="450"/>
    <x v="0"/>
    <n v="50"/>
    <n v="250"/>
    <n v="0"/>
    <n v="150"/>
    <m/>
  </r>
  <r>
    <x v="2"/>
    <x v="9"/>
    <d v="2022-10-01T00:00:00"/>
    <s v="DISSABTE"/>
    <s v="NO"/>
    <s v="NO"/>
    <d v="1899-12-30T09:30:00"/>
    <d v="1899-12-30T14:30:00"/>
    <x v="3"/>
    <n v="1"/>
    <x v="331"/>
    <n v="8170"/>
    <s v="MONTORNES DEL VALLES"/>
    <s v="C/ SANT LLUIS Nº11 - 2-1"/>
    <s v="47809762F"/>
    <n v="150"/>
    <n v="0"/>
    <n v="0"/>
    <n v="150"/>
    <x v="0"/>
    <n v="50"/>
    <n v="100"/>
    <n v="0"/>
    <n v="0"/>
    <s v="bizum marta"/>
  </r>
  <r>
    <x v="2"/>
    <x v="9"/>
    <d v="2022-10-01T00:00:00"/>
    <s v="DISSABTE"/>
    <s v="NO"/>
    <s v="NO"/>
    <d v="1899-12-30T15:30:00"/>
    <d v="1899-12-30T20:30:00"/>
    <x v="1"/>
    <n v="1"/>
    <x v="332"/>
    <n v="8170"/>
    <s v="MONTORNES DEL VALLES"/>
    <s v="Plaça Cultures nº3 8-1"/>
    <s v="53328703Y"/>
    <n v="150"/>
    <n v="0"/>
    <n v="0"/>
    <n v="150"/>
    <x v="0"/>
    <n v="150"/>
    <n v="0"/>
    <n v="0"/>
    <n v="0"/>
    <m/>
  </r>
  <r>
    <x v="2"/>
    <x v="9"/>
    <d v="2022-10-01T00:00:00"/>
    <s v="DISSABTE"/>
    <s v="NO"/>
    <s v="NO"/>
    <d v="1899-12-30T21:30:00"/>
    <d v="1899-12-30T02:30:00"/>
    <x v="2"/>
    <n v="1"/>
    <x v="333"/>
    <m/>
    <m/>
    <m/>
    <m/>
    <n v="200"/>
    <n v="1"/>
    <n v="20"/>
    <n v="220"/>
    <x v="0"/>
    <n v="50"/>
    <n v="150"/>
    <n v="0"/>
    <n v="20"/>
    <m/>
  </r>
  <r>
    <x v="2"/>
    <x v="9"/>
    <d v="2022-10-02T00:00:00"/>
    <s v="DIUMENGE"/>
    <s v="NO"/>
    <s v="NO"/>
    <d v="1899-12-30T15:30:00"/>
    <d v="1899-12-30T20:30:00"/>
    <x v="1"/>
    <n v="1"/>
    <x v="334"/>
    <n v="8107"/>
    <s v="MARTORELLES"/>
    <s v="C/ALZINAR N15 2-3"/>
    <s v="46763525V"/>
    <n v="150"/>
    <n v="0"/>
    <n v="0"/>
    <n v="150"/>
    <x v="0"/>
    <n v="50"/>
    <n v="100"/>
    <n v="0"/>
    <n v="0"/>
    <m/>
  </r>
  <r>
    <x v="2"/>
    <x v="9"/>
    <d v="2022-10-07T00:00:00"/>
    <s v="DIVENDRES"/>
    <s v="NO"/>
    <s v="NO"/>
    <d v="1899-12-30T21:30:00"/>
    <d v="1899-12-30T02:30:00"/>
    <x v="2"/>
    <n v="1"/>
    <x v="335"/>
    <m/>
    <m/>
    <m/>
    <m/>
    <n v="200"/>
    <n v="1"/>
    <n v="60"/>
    <n v="260"/>
    <x v="0"/>
    <n v="150"/>
    <n v="50"/>
    <n v="0"/>
    <n v="60"/>
    <m/>
  </r>
  <r>
    <x v="2"/>
    <x v="9"/>
    <d v="2022-10-08T00:00:00"/>
    <s v="DISSABTE"/>
    <s v="NO"/>
    <s v="NO"/>
    <d v="1899-12-30T15:30:00"/>
    <d v="1899-12-30T02:30:00"/>
    <x v="4"/>
    <n v="2"/>
    <x v="336"/>
    <n v="8170"/>
    <s v="MONTORNES DEL VALLES"/>
    <s v="C/NARCIS MONTURIOL 20 2N"/>
    <s v="52163406G"/>
    <n v="320"/>
    <n v="0"/>
    <n v="0"/>
    <n v="320"/>
    <x v="0"/>
    <n v="70"/>
    <n v="250"/>
    <n v="0"/>
    <n v="0"/>
    <m/>
  </r>
  <r>
    <x v="2"/>
    <x v="9"/>
    <d v="2022-10-12T00:00:00"/>
    <s v="DIMECRES"/>
    <s v="SI"/>
    <s v="NO"/>
    <d v="1899-12-30T15:30:00"/>
    <d v="1899-12-30T20:30:00"/>
    <x v="1"/>
    <n v="1"/>
    <x v="337"/>
    <m/>
    <m/>
    <m/>
    <m/>
    <n v="150"/>
    <n v="0"/>
    <n v="0"/>
    <n v="150"/>
    <x v="0"/>
    <n v="0"/>
    <n v="150"/>
    <n v="0"/>
    <n v="0"/>
    <s v="BIZUM ORIOL"/>
  </r>
  <r>
    <x v="2"/>
    <x v="9"/>
    <d v="2022-10-15T00:00:00"/>
    <s v="DISSABTE"/>
    <s v="NO"/>
    <s v="NO"/>
    <d v="1899-12-30T15:30:00"/>
    <d v="1899-12-30T20:30:00"/>
    <x v="1"/>
    <n v="1"/>
    <x v="338"/>
    <m/>
    <m/>
    <m/>
    <m/>
    <n v="150"/>
    <n v="0"/>
    <n v="0"/>
    <n v="150"/>
    <x v="0"/>
    <n v="50"/>
    <n v="100"/>
    <n v="0"/>
    <n v="0"/>
    <m/>
  </r>
  <r>
    <x v="2"/>
    <x v="9"/>
    <d v="2022-10-15T00:00:00"/>
    <s v="DISSABTE"/>
    <s v="NO"/>
    <s v="NO"/>
    <d v="1899-12-30T21:30:00"/>
    <d v="1899-12-30T02:30:00"/>
    <x v="2"/>
    <n v="1"/>
    <x v="339"/>
    <m/>
    <m/>
    <m/>
    <m/>
    <n v="200"/>
    <n v="1"/>
    <n v="60"/>
    <n v="260"/>
    <x v="0"/>
    <n v="0"/>
    <n v="200"/>
    <n v="0"/>
    <n v="60"/>
    <m/>
  </r>
  <r>
    <x v="2"/>
    <x v="9"/>
    <d v="2022-10-21T00:00:00"/>
    <s v="DIVENDRES"/>
    <s v="NO"/>
    <s v="NO"/>
    <d v="1899-12-30T15:30:00"/>
    <d v="1899-12-30T02:30:00"/>
    <x v="4"/>
    <n v="2"/>
    <x v="340"/>
    <n v="8170"/>
    <s v="MONTORNES DEL VALLES"/>
    <s v="PLAZA DEL PUEBLO 21"/>
    <s v="49362274B"/>
    <n v="300"/>
    <n v="0"/>
    <n v="0"/>
    <n v="300"/>
    <x v="0"/>
    <n v="300"/>
    <n v="0"/>
    <n v="0"/>
    <n v="0"/>
    <m/>
  </r>
  <r>
    <x v="2"/>
    <x v="9"/>
    <d v="2022-10-22T00:00:00"/>
    <s v="DISSABTE"/>
    <s v="NO"/>
    <s v="NO"/>
    <d v="1899-12-30T09:30:00"/>
    <d v="1899-12-30T14:30:00"/>
    <x v="3"/>
    <n v="1"/>
    <x v="341"/>
    <n v="8410"/>
    <s v="VILANOVA DEL VALLES"/>
    <s v="JAUME GINESTI 44 BAJOS 3R"/>
    <s v="47707023D"/>
    <n v="150"/>
    <n v="0"/>
    <n v="0"/>
    <n v="150"/>
    <x v="0"/>
    <n v="50"/>
    <n v="100"/>
    <n v="0"/>
    <n v="0"/>
    <m/>
  </r>
  <r>
    <x v="2"/>
    <x v="9"/>
    <d v="2022-10-22T00:00:00"/>
    <s v="DISSABTE"/>
    <s v="NO"/>
    <s v="NO"/>
    <d v="1899-12-30T15:30:00"/>
    <d v="1899-12-30T20:30:00"/>
    <x v="1"/>
    <n v="1"/>
    <x v="342"/>
    <m/>
    <m/>
    <m/>
    <m/>
    <n v="150"/>
    <n v="0"/>
    <n v="0"/>
    <n v="150"/>
    <x v="0"/>
    <n v="150"/>
    <n v="0"/>
    <n v="0"/>
    <n v="0"/>
    <m/>
  </r>
  <r>
    <x v="2"/>
    <x v="9"/>
    <d v="2022-10-22T00:00:00"/>
    <s v="DISSABTE"/>
    <s v="NO"/>
    <s v="NO"/>
    <d v="1899-12-30T21:30:00"/>
    <d v="1899-12-30T02:30:00"/>
    <x v="2"/>
    <n v="1"/>
    <x v="343"/>
    <n v="8170"/>
    <s v="MONTORNES DEL VALLES"/>
    <s v="AV D'ERNEST LLUCH 11 3-1"/>
    <s v="52163074V"/>
    <n v="200"/>
    <n v="1"/>
    <n v="60"/>
    <n v="260"/>
    <x v="0"/>
    <n v="200"/>
    <n v="0"/>
    <n v="0"/>
    <n v="60"/>
    <m/>
  </r>
  <r>
    <x v="2"/>
    <x v="9"/>
    <d v="2022-10-23T00:00:00"/>
    <s v="DIUMENGE"/>
    <s v="NO"/>
    <s v="NO"/>
    <d v="1899-12-30T09:30:00"/>
    <d v="1899-12-30T14:30:00"/>
    <x v="3"/>
    <n v="1"/>
    <x v="344"/>
    <n v="8170"/>
    <s v="MONTORNES DEL VALLES"/>
    <s v="C/ DE LA CASA NOVA 12 BAJOS C"/>
    <s v="53333696P"/>
    <n v="150"/>
    <n v="0"/>
    <n v="0"/>
    <n v="150"/>
    <x v="0"/>
    <n v="150"/>
    <n v="0"/>
    <n v="0"/>
    <n v="0"/>
    <m/>
  </r>
  <r>
    <x v="2"/>
    <x v="9"/>
    <d v="2022-10-28T00:00:00"/>
    <s v="DIVENDRES"/>
    <s v="NO"/>
    <s v="NO"/>
    <d v="1899-12-30T21:30:00"/>
    <d v="1899-12-30T02:30:00"/>
    <x v="2"/>
    <n v="1"/>
    <x v="345"/>
    <n v="8410"/>
    <s v="VILANOVA DEL VALLES"/>
    <s v="C/ RONDA EIXAMPLE 19"/>
    <s v="46693981W"/>
    <n v="195"/>
    <n v="0"/>
    <n v="0"/>
    <n v="195"/>
    <x v="0"/>
    <n v="50"/>
    <n v="145"/>
    <n v="0"/>
    <n v="0"/>
    <s v="45 BIZUM MARTA"/>
  </r>
  <r>
    <x v="2"/>
    <x v="9"/>
    <d v="2022-10-29T00:00:00"/>
    <s v="DISSABTE"/>
    <s v="NO"/>
    <s v="NO"/>
    <d v="1899-12-30T15:30:00"/>
    <d v="1899-12-30T20:30:00"/>
    <x v="1"/>
    <n v="1"/>
    <x v="346"/>
    <m/>
    <m/>
    <m/>
    <m/>
    <n v="150"/>
    <n v="0"/>
    <n v="0"/>
    <n v="150"/>
    <x v="0"/>
    <n v="50"/>
    <n v="100"/>
    <n v="0"/>
    <n v="0"/>
    <m/>
  </r>
  <r>
    <x v="2"/>
    <x v="9"/>
    <d v="2022-10-29T00:00:00"/>
    <s v="DISSABTE"/>
    <s v="NO"/>
    <s v="NO"/>
    <d v="1899-12-30T21:30:00"/>
    <d v="1899-12-30T02:30:00"/>
    <x v="2"/>
    <n v="1"/>
    <x v="347"/>
    <m/>
    <m/>
    <m/>
    <m/>
    <n v="200"/>
    <n v="1"/>
    <n v="60"/>
    <n v="260"/>
    <x v="0"/>
    <n v="50"/>
    <n v="150"/>
    <n v="0"/>
    <n v="60"/>
    <m/>
  </r>
  <r>
    <x v="2"/>
    <x v="9"/>
    <d v="2022-10-30T00:00:00"/>
    <s v="DIUMENGE"/>
    <s v="NO"/>
    <s v="NO"/>
    <d v="1899-12-30T09:30:00"/>
    <d v="1899-12-30T14:30:00"/>
    <x v="3"/>
    <n v="1"/>
    <x v="348"/>
    <n v="8160"/>
    <s v="MONTMELÓ"/>
    <s v="PG LLEIDA 2, 2N 2A"/>
    <s v="47813367R"/>
    <n v="150"/>
    <n v="0"/>
    <n v="0"/>
    <n v="150"/>
    <x v="0"/>
    <n v="50"/>
    <n v="100"/>
    <n v="0"/>
    <n v="0"/>
    <s v="100 bizum oriol"/>
  </r>
  <r>
    <x v="2"/>
    <x v="9"/>
    <d v="2022-10-30T00:00:00"/>
    <s v="DIUMENGE"/>
    <s v="NO"/>
    <s v="NO"/>
    <d v="1899-12-30T15:30:00"/>
    <d v="1899-12-30T20:30:00"/>
    <x v="1"/>
    <n v="1"/>
    <x v="349"/>
    <n v="8170"/>
    <s v="MONTORNES DEL VALLES"/>
    <s v="C/ VALLROMANES 83"/>
    <s v="47809763P"/>
    <n v="150"/>
    <n v="0"/>
    <n v="0"/>
    <n v="150"/>
    <x v="0"/>
    <n v="50"/>
    <n v="100"/>
    <n v="0"/>
    <n v="0"/>
    <m/>
  </r>
  <r>
    <x v="2"/>
    <x v="9"/>
    <d v="2022-10-31T00:00:00"/>
    <s v="DILLUNS"/>
    <s v="NO"/>
    <s v="SI"/>
    <d v="1899-12-30T15:30:00"/>
    <d v="1899-12-30T20:30:00"/>
    <x v="1"/>
    <n v="1"/>
    <x v="350"/>
    <n v="8170"/>
    <s v="MONTORNES DEL VALLES"/>
    <s v="C/ LA LIRA N2 1R 1A"/>
    <s v="48178637P"/>
    <n v="140"/>
    <n v="0"/>
    <n v="0"/>
    <n v="140"/>
    <x v="0"/>
    <n v="50"/>
    <n v="90"/>
    <n v="0"/>
    <n v="0"/>
    <m/>
  </r>
  <r>
    <x v="2"/>
    <x v="9"/>
    <d v="2022-10-31T00:00:00"/>
    <s v="DILLUNS"/>
    <s v="NO"/>
    <s v="SI"/>
    <d v="1899-12-30T21:30:00"/>
    <d v="1899-12-30T02:30:00"/>
    <x v="2"/>
    <n v="1"/>
    <x v="351"/>
    <n v="8170"/>
    <s v="MONTORNES DEL VALLES"/>
    <s v="PL MARGARITA XIRGU N2 2N1R"/>
    <s v="52162709C"/>
    <n v="250"/>
    <n v="0"/>
    <n v="0"/>
    <n v="250"/>
    <x v="0"/>
    <n v="250"/>
    <n v="0"/>
    <n v="0"/>
    <n v="0"/>
    <s v="ANUAL: 250"/>
  </r>
  <r>
    <x v="2"/>
    <x v="10"/>
    <d v="2022-11-04T00:00:00"/>
    <s v="DIVENDRES"/>
    <s v="NO"/>
    <s v="NO"/>
    <d v="1899-12-30T15:30:00"/>
    <d v="1899-12-30T20:30:00"/>
    <x v="1"/>
    <n v="1"/>
    <x v="352"/>
    <m/>
    <m/>
    <m/>
    <m/>
    <n v="140"/>
    <n v="0"/>
    <n v="0"/>
    <n v="140"/>
    <x v="0"/>
    <n v="140"/>
    <n v="0"/>
    <n v="0"/>
    <n v="0"/>
    <s v=" BIZUM MARTA"/>
  </r>
  <r>
    <x v="2"/>
    <x v="10"/>
    <d v="2022-11-05T00:00:00"/>
    <s v="DISSABTE"/>
    <s v="NO"/>
    <s v="NO"/>
    <d v="1899-12-30T09:30:00"/>
    <d v="1899-12-30T14:30:00"/>
    <x v="3"/>
    <n v="1"/>
    <x v="353"/>
    <m/>
    <m/>
    <m/>
    <s v="77118703W"/>
    <n v="150"/>
    <n v="0"/>
    <n v="0"/>
    <n v="150"/>
    <x v="0"/>
    <n v="50"/>
    <n v="100"/>
    <n v="0"/>
    <n v="0"/>
    <m/>
  </r>
  <r>
    <x v="2"/>
    <x v="10"/>
    <d v="2022-11-06T00:00:00"/>
    <s v="DIUMENGE"/>
    <s v="NO"/>
    <s v="NO"/>
    <d v="1899-12-30T09:30:00"/>
    <d v="1899-12-30T14:30:00"/>
    <x v="3"/>
    <n v="1"/>
    <x v="354"/>
    <m/>
    <m/>
    <m/>
    <s v="40446329R"/>
    <n v="150"/>
    <n v="0"/>
    <n v="0"/>
    <n v="150"/>
    <x v="0"/>
    <n v="50"/>
    <n v="100"/>
    <n v="0"/>
    <n v="0"/>
    <s v="BIZUM ORIOL"/>
  </r>
  <r>
    <x v="2"/>
    <x v="10"/>
    <d v="2022-11-06T00:00:00"/>
    <s v="DIUMENGE"/>
    <s v="NO"/>
    <s v="NO"/>
    <d v="1899-12-30T15:30:00"/>
    <d v="1899-12-30T20:30:00"/>
    <x v="1"/>
    <n v="1"/>
    <x v="355"/>
    <m/>
    <m/>
    <m/>
    <m/>
    <n v="150"/>
    <n v="0"/>
    <n v="0"/>
    <n v="150"/>
    <x v="0"/>
    <n v="50"/>
    <n v="100"/>
    <n v="0"/>
    <n v="0"/>
    <m/>
  </r>
  <r>
    <x v="2"/>
    <x v="10"/>
    <d v="2022-11-11T00:00:00"/>
    <s v="DIVENDRES"/>
    <s v="NO"/>
    <s v="NO"/>
    <d v="1899-12-30T21:30:00"/>
    <d v="1899-12-30T02:30:00"/>
    <x v="2"/>
    <n v="1"/>
    <x v="356"/>
    <m/>
    <m/>
    <m/>
    <m/>
    <n v="200"/>
    <n v="1"/>
    <n v="60"/>
    <n v="260"/>
    <x v="0"/>
    <n v="50"/>
    <n v="150"/>
    <n v="0"/>
    <n v="60"/>
    <m/>
  </r>
  <r>
    <x v="2"/>
    <x v="10"/>
    <d v="2022-11-12T00:00:00"/>
    <s v="DISSABTE"/>
    <s v="NO"/>
    <s v="NO"/>
    <d v="1899-12-30T09:30:00"/>
    <d v="1899-12-30T14:30:00"/>
    <x v="3"/>
    <n v="1"/>
    <x v="357"/>
    <n v="8170"/>
    <s v="MONTORNES DEL VALLES"/>
    <s v="C/ SANT LLUIS Nº11 - 4O 4A"/>
    <s v="53089352Q"/>
    <n v="150"/>
    <n v="0"/>
    <n v="0"/>
    <n v="150"/>
    <x v="0"/>
    <n v="150"/>
    <n v="0"/>
    <n v="0"/>
    <n v="0"/>
    <m/>
  </r>
  <r>
    <x v="2"/>
    <x v="10"/>
    <d v="2022-11-12T00:00:00"/>
    <s v="DISSABTE"/>
    <s v="NO"/>
    <s v="NO"/>
    <d v="1899-12-30T15:30:00"/>
    <d v="1899-12-30T20:30:00"/>
    <x v="1"/>
    <n v="1"/>
    <x v="358"/>
    <n v="8170"/>
    <s v="MONTORNES DEL VALLES"/>
    <s v="PL MARGARITA XIRGU N1 1R 1A"/>
    <s v="20557014M"/>
    <n v="150"/>
    <n v="0"/>
    <n v="0"/>
    <n v="150"/>
    <x v="0"/>
    <n v="50"/>
    <n v="100"/>
    <n v="0"/>
    <n v="0"/>
    <m/>
  </r>
  <r>
    <x v="2"/>
    <x v="10"/>
    <d v="2022-11-12T00:00:00"/>
    <s v="DISSABTE"/>
    <s v="NO"/>
    <s v="NO"/>
    <d v="1899-12-30T21:30:00"/>
    <d v="1899-12-30T02:30:00"/>
    <x v="2"/>
    <n v="1"/>
    <x v="359"/>
    <n v="8170"/>
    <s v="MONTORNES DEL VALLES"/>
    <s v="C/ FEDERICO GARCIA LORCA 3RO 2NDA"/>
    <s v="40985574B"/>
    <n v="200"/>
    <n v="1"/>
    <n v="60"/>
    <n v="260"/>
    <x v="0"/>
    <n v="50"/>
    <n v="150"/>
    <n v="0"/>
    <n v="60"/>
    <m/>
  </r>
  <r>
    <x v="2"/>
    <x v="10"/>
    <d v="2022-11-18T00:00:00"/>
    <s v="DIVENDRES"/>
    <s v="NO"/>
    <s v="NO"/>
    <d v="1899-12-30T15:30:00"/>
    <d v="1899-12-30T20:30:00"/>
    <x v="1"/>
    <n v="1"/>
    <x v="360"/>
    <m/>
    <m/>
    <m/>
    <m/>
    <n v="140"/>
    <n v="0"/>
    <n v="0"/>
    <n v="140"/>
    <x v="0"/>
    <n v="140"/>
    <n v="0"/>
    <n v="0"/>
    <n v="0"/>
    <m/>
  </r>
  <r>
    <x v="2"/>
    <x v="10"/>
    <d v="2022-11-19T00:00:00"/>
    <s v="DISSABTE"/>
    <s v="NO"/>
    <s v="NO"/>
    <d v="1899-12-30T09:30:00"/>
    <d v="1899-12-30T14:30:00"/>
    <x v="3"/>
    <n v="1"/>
    <x v="361"/>
    <n v="8410"/>
    <s v="VILANOVA DEL VALLES"/>
    <s v="C/ JAUME LLINESTI 21 BAIXOS 4A"/>
    <s v="43516129Z"/>
    <n v="150"/>
    <n v="0"/>
    <n v="0"/>
    <n v="150"/>
    <x v="0"/>
    <n v="50"/>
    <n v="100"/>
    <n v="0"/>
    <n v="0"/>
    <m/>
  </r>
  <r>
    <x v="2"/>
    <x v="10"/>
    <d v="2022-11-19T00:00:00"/>
    <s v="DISSABTE"/>
    <s v="NO"/>
    <s v="NO"/>
    <d v="1899-12-30T15:30:00"/>
    <d v="1899-12-30T20:30:00"/>
    <x v="1"/>
    <n v="1"/>
    <x v="362"/>
    <n v="8170"/>
    <s v="MONTORNES DEL VALLES"/>
    <s v="C/ CAN PARERA 24 1RO 2NDA"/>
    <s v="53031307T"/>
    <n v="150"/>
    <n v="0"/>
    <n v="0"/>
    <n v="150"/>
    <x v="0"/>
    <n v="50"/>
    <n v="100"/>
    <n v="0"/>
    <n v="0"/>
    <m/>
  </r>
  <r>
    <x v="2"/>
    <x v="10"/>
    <d v="2022-11-19T00:00:00"/>
    <s v="DISSABTE"/>
    <s v="NO"/>
    <s v="NO"/>
    <d v="1899-12-30T21:30:00"/>
    <d v="1899-12-30T02:30:00"/>
    <x v="2"/>
    <n v="1"/>
    <x v="363"/>
    <n v="8130"/>
    <s v="SANTA PERPETUA MOGODA"/>
    <s v="C/ TARRAGONA 5 1RO 3RA"/>
    <s v="33888459Y"/>
    <n v="200"/>
    <n v="0"/>
    <n v="0"/>
    <n v="200"/>
    <x v="0"/>
    <n v="50"/>
    <n v="150"/>
    <n v="0"/>
    <n v="0"/>
    <m/>
  </r>
  <r>
    <x v="2"/>
    <x v="10"/>
    <d v="2022-11-20T00:00:00"/>
    <s v="DIUMENGE"/>
    <s v="NO"/>
    <s v="NO"/>
    <d v="1899-12-30T09:30:00"/>
    <d v="1899-12-30T20:30:00"/>
    <x v="5"/>
    <n v="2"/>
    <x v="364"/>
    <n v="8170"/>
    <s v="MONTORNES DEL VALLES"/>
    <s v="C/ MONTSENY N6 3RO 3RA"/>
    <s v="53336923S"/>
    <n v="290"/>
    <n v="0"/>
    <n v="0"/>
    <n v="290"/>
    <x v="0"/>
    <n v="50"/>
    <n v="240"/>
    <n v="0"/>
    <n v="0"/>
    <m/>
  </r>
  <r>
    <x v="2"/>
    <x v="10"/>
    <d v="2022-11-25T00:00:00"/>
    <s v="DIVENDRES"/>
    <s v="NO"/>
    <s v="NO"/>
    <d v="1899-12-30T15:30:00"/>
    <d v="1899-12-30T20:30:00"/>
    <x v="1"/>
    <n v="1"/>
    <x v="365"/>
    <m/>
    <m/>
    <m/>
    <m/>
    <n v="140"/>
    <n v="0"/>
    <n v="0"/>
    <n v="140"/>
    <x v="0"/>
    <n v="50"/>
    <n v="90"/>
    <n v="0"/>
    <n v="0"/>
    <m/>
  </r>
  <r>
    <x v="2"/>
    <x v="10"/>
    <d v="2022-11-26T00:00:00"/>
    <s v="DISSABTE"/>
    <s v="NO"/>
    <s v="NO"/>
    <d v="1899-12-30T15:30:00"/>
    <d v="1899-12-30T20:30:00"/>
    <x v="1"/>
    <n v="1"/>
    <x v="366"/>
    <n v="8186"/>
    <s v="LLIÇA D'AMUNT"/>
    <s v="C/ SAGUNT 13"/>
    <s v="47922772H"/>
    <n v="150"/>
    <n v="0"/>
    <n v="0"/>
    <n v="150"/>
    <x v="0"/>
    <n v="150"/>
    <n v="0"/>
    <n v="0"/>
    <n v="0"/>
    <m/>
  </r>
  <r>
    <x v="2"/>
    <x v="10"/>
    <d v="2022-11-26T00:00:00"/>
    <s v="DISSABTE"/>
    <s v="NO"/>
    <s v="NO"/>
    <d v="1899-12-30T21:30:00"/>
    <d v="1899-12-30T02:30:00"/>
    <x v="2"/>
    <n v="1"/>
    <x v="367"/>
    <n v="8160"/>
    <s v="MONTMELÓ"/>
    <s v="AV MILENARI 14 3R 5A"/>
    <s v="52155799X"/>
    <n v="200"/>
    <n v="1"/>
    <n v="60"/>
    <n v="260"/>
    <x v="0"/>
    <n v="200"/>
    <n v="0"/>
    <n v="60"/>
    <n v="0"/>
    <m/>
  </r>
  <r>
    <x v="2"/>
    <x v="11"/>
    <d v="2022-12-02T00:00:00"/>
    <s v="DIVENDRES"/>
    <s v="NO"/>
    <s v="NO"/>
    <d v="1899-12-30T21:30:00"/>
    <d v="1899-12-30T02:30:00"/>
    <x v="2"/>
    <n v="1"/>
    <x v="368"/>
    <m/>
    <m/>
    <m/>
    <m/>
    <n v="200"/>
    <n v="0"/>
    <n v="0"/>
    <n v="200"/>
    <x v="0"/>
    <n v="50"/>
    <n v="150"/>
    <n v="0"/>
    <n v="0"/>
    <m/>
  </r>
  <r>
    <x v="2"/>
    <x v="11"/>
    <d v="2022-12-03T00:00:00"/>
    <s v="DISSABTE"/>
    <s v="NO"/>
    <s v="NO"/>
    <d v="1899-12-30T15:30:00"/>
    <d v="1899-12-30T02:30:00"/>
    <x v="4"/>
    <n v="2"/>
    <x v="369"/>
    <m/>
    <m/>
    <m/>
    <s v="52403766Z"/>
    <n v="320"/>
    <n v="0"/>
    <n v="0"/>
    <n v="320"/>
    <x v="0"/>
    <n v="50"/>
    <n v="270"/>
    <n v="0"/>
    <n v="0"/>
    <m/>
  </r>
  <r>
    <x v="2"/>
    <x v="11"/>
    <d v="2022-12-06T00:00:00"/>
    <s v="DIMARTS"/>
    <s v="SI"/>
    <s v="NO"/>
    <d v="1899-12-30T09:30:00"/>
    <d v="1899-12-30T14:30:00"/>
    <x v="3"/>
    <n v="1"/>
    <x v="370"/>
    <m/>
    <m/>
    <m/>
    <s v="52401012C"/>
    <n v="150"/>
    <n v="0"/>
    <n v="0"/>
    <n v="150"/>
    <x v="0"/>
    <n v="150"/>
    <n v="0"/>
    <n v="0"/>
    <n v="0"/>
    <m/>
  </r>
  <r>
    <x v="2"/>
    <x v="11"/>
    <d v="2022-12-08T00:00:00"/>
    <s v="DIJOUS"/>
    <s v="SI"/>
    <s v="NO"/>
    <d v="1899-12-30T15:30:00"/>
    <d v="1899-12-30T20:30:00"/>
    <x v="1"/>
    <n v="1"/>
    <x v="371"/>
    <n v="8170"/>
    <s v="MONTORNES DEL VALLES"/>
    <s v="C/ SANT ISIDRE 2 2N 3RA"/>
    <s v="45539544T"/>
    <n v="150"/>
    <n v="0"/>
    <n v="0"/>
    <n v="150"/>
    <x v="0"/>
    <n v="150"/>
    <n v="0"/>
    <n v="0"/>
    <n v="0"/>
    <m/>
  </r>
  <r>
    <x v="2"/>
    <x v="11"/>
    <d v="2022-12-09T00:00:00"/>
    <s v="DIVENDRES"/>
    <s v="NO"/>
    <s v="NO"/>
    <d v="1899-12-30T21:30:00"/>
    <d v="1899-12-30T02:30:00"/>
    <x v="2"/>
    <n v="1"/>
    <x v="372"/>
    <m/>
    <m/>
    <m/>
    <m/>
    <n v="200"/>
    <n v="0"/>
    <n v="0"/>
    <n v="200"/>
    <x v="0"/>
    <n v="50"/>
    <n v="150"/>
    <n v="0"/>
    <n v="0"/>
    <m/>
  </r>
  <r>
    <x v="2"/>
    <x v="11"/>
    <d v="2022-12-10T00:00:00"/>
    <s v="DISSABTE"/>
    <s v="NO"/>
    <s v="NO"/>
    <d v="1899-12-30T15:30:00"/>
    <d v="1899-12-30T02:30:00"/>
    <x v="4"/>
    <n v="2"/>
    <x v="373"/>
    <m/>
    <m/>
    <m/>
    <m/>
    <n v="320"/>
    <n v="0"/>
    <n v="0"/>
    <n v="320"/>
    <x v="0"/>
    <n v="50"/>
    <n v="270"/>
    <n v="0"/>
    <n v="0"/>
    <m/>
  </r>
  <r>
    <x v="2"/>
    <x v="11"/>
    <d v="2022-12-11T00:00:00"/>
    <s v="DIUMENGE"/>
    <s v="NO"/>
    <s v="NO"/>
    <d v="1899-12-30T09:30:00"/>
    <d v="1899-12-30T14:30:00"/>
    <x v="3"/>
    <n v="1"/>
    <x v="374"/>
    <n v="8170"/>
    <s v="MONTORNES DEL VALLES"/>
    <s v="C/ CATALUNYA 28"/>
    <s v="47277974W"/>
    <n v="150"/>
    <n v="0"/>
    <n v="0"/>
    <n v="150"/>
    <x v="0"/>
    <n v="50"/>
    <n v="100"/>
    <n v="0"/>
    <n v="0"/>
    <m/>
  </r>
  <r>
    <x v="2"/>
    <x v="11"/>
    <d v="2022-12-11T00:00:00"/>
    <s v="DIUMENGE"/>
    <s v="NO"/>
    <s v="NO"/>
    <d v="1899-12-30T15:30:00"/>
    <d v="1899-12-30T20:30:00"/>
    <x v="1"/>
    <n v="1"/>
    <x v="375"/>
    <m/>
    <m/>
    <m/>
    <m/>
    <n v="150"/>
    <n v="0"/>
    <n v="0"/>
    <n v="150"/>
    <x v="0"/>
    <n v="50"/>
    <n v="100"/>
    <n v="0"/>
    <n v="0"/>
    <m/>
  </r>
  <r>
    <x v="2"/>
    <x v="11"/>
    <d v="2022-12-17T00:00:00"/>
    <s v="DISSABTE"/>
    <s v="NO"/>
    <s v="NO"/>
    <d v="1899-12-30T09:30:00"/>
    <d v="1899-12-30T14:30:00"/>
    <x v="3"/>
    <n v="1"/>
    <x v="376"/>
    <m/>
    <m/>
    <m/>
    <m/>
    <n v="150"/>
    <n v="0"/>
    <n v="0"/>
    <n v="150"/>
    <x v="0"/>
    <n v="50"/>
    <n v="100"/>
    <n v="0"/>
    <n v="0"/>
    <s v="bizum oriol 100"/>
  </r>
  <r>
    <x v="2"/>
    <x v="11"/>
    <d v="2022-12-17T00:00:00"/>
    <s v="DISSABTE"/>
    <s v="NO"/>
    <s v="NO"/>
    <d v="1899-12-30T15:30:00"/>
    <d v="1899-12-30T02:30:00"/>
    <x v="4"/>
    <n v="2"/>
    <x v="377"/>
    <m/>
    <m/>
    <m/>
    <m/>
    <n v="0"/>
    <n v="0"/>
    <n v="0"/>
    <n v="0"/>
    <x v="1"/>
    <n v="50"/>
    <n v="0"/>
    <n v="0"/>
    <n v="0"/>
    <m/>
  </r>
  <r>
    <x v="2"/>
    <x v="11"/>
    <d v="2022-12-17T00:00:00"/>
    <s v="DISSABTE"/>
    <s v="NO"/>
    <s v="NO"/>
    <d v="1899-12-30T15:30:00"/>
    <d v="1899-12-30T20:30:00"/>
    <x v="1"/>
    <n v="1"/>
    <x v="378"/>
    <m/>
    <m/>
    <m/>
    <m/>
    <n v="150"/>
    <n v="1"/>
    <n v="20"/>
    <n v="170"/>
    <x v="0"/>
    <n v="50"/>
    <n v="100"/>
    <n v="0"/>
    <n v="20"/>
    <s v="bizum oriol 120"/>
  </r>
  <r>
    <x v="2"/>
    <x v="11"/>
    <d v="2022-12-18T00:00:00"/>
    <s v="DIUMENGE"/>
    <s v="NO"/>
    <s v="NO"/>
    <d v="1899-12-30T09:30:00"/>
    <d v="1899-12-30T14:30:00"/>
    <x v="3"/>
    <n v="1"/>
    <x v="379"/>
    <n v="8170"/>
    <s v="MONTORNES DEL VALLES"/>
    <s v="C/ MAYOR 66 2N 3RA"/>
    <s v="47806955K"/>
    <n v="150"/>
    <n v="0"/>
    <n v="0"/>
    <n v="150"/>
    <x v="0"/>
    <n v="50"/>
    <n v="100"/>
    <n v="0"/>
    <n v="0"/>
    <m/>
  </r>
  <r>
    <x v="2"/>
    <x v="11"/>
    <d v="2022-12-18T00:00:00"/>
    <s v="DIUMENGE"/>
    <s v="NO"/>
    <s v="NO"/>
    <d v="1899-12-30T15:30:00"/>
    <d v="1899-12-30T20:30:00"/>
    <x v="1"/>
    <n v="1"/>
    <x v="380"/>
    <n v="8170"/>
    <s v="MONTORNES DEL VALLES"/>
    <s v="C/ PALAU ATMELLA N18 3R 3A"/>
    <s v="48174380Y"/>
    <n v="150"/>
    <n v="0"/>
    <n v="0"/>
    <n v="150"/>
    <x v="0"/>
    <n v="50"/>
    <n v="100"/>
    <n v="0"/>
    <n v="0"/>
    <m/>
  </r>
  <r>
    <x v="2"/>
    <x v="11"/>
    <d v="2022-12-22T00:00:00"/>
    <s v="DIJOUS"/>
    <s v="NO"/>
    <s v="NO"/>
    <d v="1899-12-30T15:30:00"/>
    <d v="1899-12-30T20:30:00"/>
    <x v="1"/>
    <n v="1"/>
    <x v="381"/>
    <m/>
    <m/>
    <m/>
    <m/>
    <n v="95"/>
    <n v="0"/>
    <n v="0"/>
    <n v="95"/>
    <x v="0"/>
    <n v="95"/>
    <n v="0"/>
    <n v="0"/>
    <n v="0"/>
    <m/>
  </r>
  <r>
    <x v="2"/>
    <x v="11"/>
    <d v="2022-12-23T00:00:00"/>
    <s v="DIVENDRES"/>
    <s v="NO"/>
    <s v="NO"/>
    <d v="1899-12-30T15:30:00"/>
    <d v="1899-12-30T20:30:00"/>
    <x v="1"/>
    <n v="1"/>
    <x v="382"/>
    <m/>
    <m/>
    <m/>
    <m/>
    <n v="140"/>
    <n v="0"/>
    <n v="0"/>
    <n v="140"/>
    <x v="0"/>
    <n v="140"/>
    <n v="0"/>
    <n v="0"/>
    <n v="0"/>
    <s v="BIZUM ORIOL"/>
  </r>
  <r>
    <x v="2"/>
    <x v="11"/>
    <d v="2022-12-23T00:00:00"/>
    <s v="DIVENDRES"/>
    <s v="NO"/>
    <s v="NO"/>
    <d v="1899-12-30T21:30:00"/>
    <d v="1899-12-30T02:30:00"/>
    <x v="2"/>
    <n v="1"/>
    <x v="383"/>
    <m/>
    <m/>
    <m/>
    <m/>
    <n v="200"/>
    <n v="1"/>
    <n v="60"/>
    <n v="260"/>
    <x v="0"/>
    <n v="50"/>
    <n v="150"/>
    <n v="0"/>
    <n v="60"/>
    <m/>
  </r>
  <r>
    <x v="2"/>
    <x v="11"/>
    <d v="2022-12-24T00:00:00"/>
    <s v="DISSABTE"/>
    <s v="SI"/>
    <s v="SI"/>
    <d v="1899-12-30T20:30:00"/>
    <d v="1899-12-30T02:30:00"/>
    <x v="2"/>
    <n v="1"/>
    <x v="198"/>
    <m/>
    <m/>
    <m/>
    <m/>
    <n v="350"/>
    <n v="0"/>
    <n v="0"/>
    <n v="350"/>
    <x v="0"/>
    <n v="0"/>
    <n v="350"/>
    <n v="0"/>
    <n v="0"/>
    <s v="ANUAL: 350"/>
  </r>
  <r>
    <x v="2"/>
    <x v="11"/>
    <d v="2022-12-25T00:00:00"/>
    <s v="DIUMENGE"/>
    <s v="SI"/>
    <s v="SI"/>
    <d v="1899-12-30T09:30:00"/>
    <d v="1899-12-30T20:30:00"/>
    <x v="5"/>
    <n v="2"/>
    <x v="229"/>
    <m/>
    <m/>
    <m/>
    <m/>
    <n v="320"/>
    <n v="0"/>
    <n v="0"/>
    <n v="320"/>
    <x v="0"/>
    <n v="50"/>
    <n v="270"/>
    <n v="0"/>
    <n v="0"/>
    <s v="bizum marta 270"/>
  </r>
  <r>
    <x v="2"/>
    <x v="11"/>
    <d v="2022-12-26T00:00:00"/>
    <s v="DIUMENGE"/>
    <s v="SI"/>
    <s v="SI"/>
    <d v="1899-12-30T11:00:00"/>
    <d v="1899-12-30T20:30:00"/>
    <x v="5"/>
    <n v="2"/>
    <x v="384"/>
    <m/>
    <m/>
    <m/>
    <m/>
    <n v="300"/>
    <n v="0"/>
    <n v="0"/>
    <n v="300"/>
    <x v="0"/>
    <n v="0"/>
    <n v="300"/>
    <n v="0"/>
    <n v="0"/>
    <s v="ANUAL: 300"/>
  </r>
  <r>
    <x v="2"/>
    <x v="11"/>
    <d v="2022-12-26T00:00:00"/>
    <s v="DIUMENGE"/>
    <s v="SI"/>
    <s v="NO"/>
    <d v="1899-12-30T21:30:00"/>
    <d v="1899-12-30T02:30:00"/>
    <x v="2"/>
    <n v="1"/>
    <x v="385"/>
    <m/>
    <m/>
    <m/>
    <m/>
    <n v="200"/>
    <n v="1"/>
    <n v="60"/>
    <n v="260"/>
    <x v="0"/>
    <n v="50"/>
    <n v="150"/>
    <n v="0"/>
    <n v="60"/>
    <m/>
  </r>
  <r>
    <x v="2"/>
    <x v="11"/>
    <d v="2022-12-28T00:00:00"/>
    <s v="DIMECRES"/>
    <s v="NO"/>
    <s v="NO"/>
    <d v="1899-12-30T09:30:00"/>
    <d v="1899-12-30T14:30:00"/>
    <x v="3"/>
    <n v="1"/>
    <x v="386"/>
    <n v="8401"/>
    <s v="GRANOLLERS"/>
    <s v="PL JOSEP SERRAT I BONASTRE 10"/>
    <s v="46346890G"/>
    <n v="80"/>
    <n v="0"/>
    <n v="0"/>
    <n v="80"/>
    <x v="0"/>
    <n v="50"/>
    <n v="30"/>
    <n v="0"/>
    <n v="0"/>
    <m/>
  </r>
  <r>
    <x v="2"/>
    <x v="11"/>
    <d v="2022-12-29T00:00:00"/>
    <s v="DIJOUS"/>
    <s v="NO"/>
    <s v="NO"/>
    <d v="1899-12-30T15:30:00"/>
    <d v="1899-12-30T20:30:00"/>
    <x v="1"/>
    <n v="1"/>
    <x v="387"/>
    <m/>
    <m/>
    <m/>
    <m/>
    <n v="95"/>
    <n v="0"/>
    <n v="0"/>
    <n v="95"/>
    <x v="0"/>
    <n v="50"/>
    <n v="45"/>
    <n v="0"/>
    <n v="0"/>
    <m/>
  </r>
  <r>
    <x v="2"/>
    <x v="11"/>
    <d v="2022-12-30T00:00:00"/>
    <s v="DIVENDRES"/>
    <s v="NO"/>
    <s v="NO"/>
    <d v="1899-12-30T21:30:00"/>
    <d v="1899-12-30T02:30:00"/>
    <x v="2"/>
    <n v="1"/>
    <x v="388"/>
    <m/>
    <m/>
    <m/>
    <m/>
    <n v="200"/>
    <n v="0"/>
    <n v="0"/>
    <n v="200"/>
    <x v="0"/>
    <n v="50"/>
    <n v="150"/>
    <n v="0"/>
    <n v="0"/>
    <s v="150 bizum oriol"/>
  </r>
  <r>
    <x v="2"/>
    <x v="11"/>
    <d v="2022-12-31T00:00:00"/>
    <s v="DISSABTE"/>
    <s v="NO"/>
    <s v="SI"/>
    <d v="1899-12-30T15:30:00"/>
    <d v="1899-12-30T05:30:00"/>
    <x v="4"/>
    <n v="2"/>
    <x v="39"/>
    <m/>
    <m/>
    <m/>
    <m/>
    <n v="600"/>
    <n v="0"/>
    <n v="0"/>
    <n v="600"/>
    <x v="0"/>
    <n v="50"/>
    <n v="550"/>
    <n v="0"/>
    <n v="0"/>
    <s v="ANUAL: 600"/>
  </r>
  <r>
    <x v="3"/>
    <x v="0"/>
    <d v="2023-01-02T00:00:00"/>
    <s v="DILLUNS"/>
    <s v="NO"/>
    <s v="NO"/>
    <d v="1899-12-30T15:30:00"/>
    <d v="1899-12-30T20:30:00"/>
    <x v="1"/>
    <n v="1"/>
    <x v="389"/>
    <n v="8170"/>
    <s v="MONTORNES DEL VALLES"/>
    <s v="C/ MONTSENY N6C 3R 2N"/>
    <s v="46066971H"/>
    <n v="95"/>
    <n v="0"/>
    <n v="0"/>
    <n v="95"/>
    <x v="0"/>
    <n v="50"/>
    <n v="45"/>
    <n v="0"/>
    <n v="0"/>
    <m/>
  </r>
  <r>
    <x v="3"/>
    <x v="0"/>
    <d v="2023-01-03T00:00:00"/>
    <s v="DIMARTS"/>
    <s v="NO"/>
    <s v="NO"/>
    <d v="1899-12-30T21:30:00"/>
    <d v="1899-12-30T02:30:00"/>
    <x v="2"/>
    <n v="1"/>
    <x v="390"/>
    <m/>
    <m/>
    <m/>
    <m/>
    <n v="200"/>
    <n v="1"/>
    <n v="60"/>
    <n v="260"/>
    <x v="0"/>
    <n v="50"/>
    <n v="150"/>
    <n v="0"/>
    <n v="60"/>
    <m/>
  </r>
  <r>
    <x v="3"/>
    <x v="0"/>
    <d v="2023-01-04T00:00:00"/>
    <s v="DIMECRES"/>
    <s v="NO"/>
    <s v="NO"/>
    <d v="1899-12-30T15:30:00"/>
    <d v="1899-12-30T20:30:00"/>
    <x v="1"/>
    <n v="1"/>
    <x v="391"/>
    <m/>
    <m/>
    <m/>
    <m/>
    <n v="95"/>
    <n v="0"/>
    <n v="0"/>
    <n v="95"/>
    <x v="0"/>
    <n v="50"/>
    <n v="45"/>
    <n v="0"/>
    <n v="0"/>
    <m/>
  </r>
  <r>
    <x v="3"/>
    <x v="0"/>
    <d v="2023-01-05T00:00:00"/>
    <s v="DIJOUS"/>
    <s v="NO"/>
    <s v="NO"/>
    <d v="1899-12-30T21:30:00"/>
    <d v="1899-12-30T02:30:00"/>
    <x v="2"/>
    <n v="1"/>
    <x v="392"/>
    <m/>
    <m/>
    <m/>
    <m/>
    <n v="180"/>
    <n v="0"/>
    <n v="0"/>
    <n v="180"/>
    <x v="0"/>
    <n v="50"/>
    <n v="130"/>
    <n v="0"/>
    <n v="0"/>
    <m/>
  </r>
  <r>
    <x v="3"/>
    <x v="0"/>
    <d v="2023-01-06T00:00:00"/>
    <s v="DIVENDRES"/>
    <s v="SI"/>
    <s v="NO"/>
    <d v="1899-12-30T15:00:00"/>
    <d v="1899-12-30T20:00:00"/>
    <x v="0"/>
    <n v="1"/>
    <x v="393"/>
    <m/>
    <m/>
    <m/>
    <m/>
    <n v="150"/>
    <n v="0"/>
    <n v="0"/>
    <n v="150"/>
    <x v="0"/>
    <n v="0"/>
    <n v="150"/>
    <n v="0"/>
    <n v="0"/>
    <s v="ANUAL: 145"/>
  </r>
  <r>
    <x v="3"/>
    <x v="0"/>
    <d v="2023-01-07T00:00:00"/>
    <s v="DISSABTE"/>
    <s v="NO"/>
    <s v="NO"/>
    <d v="1899-12-30T15:30:00"/>
    <d v="1899-12-30T20:30:00"/>
    <x v="1"/>
    <n v="1"/>
    <x v="394"/>
    <m/>
    <m/>
    <m/>
    <m/>
    <n v="150"/>
    <n v="0"/>
    <n v="0"/>
    <n v="150"/>
    <x v="0"/>
    <n v="50"/>
    <n v="100"/>
    <n v="0"/>
    <n v="0"/>
    <m/>
  </r>
  <r>
    <x v="3"/>
    <x v="0"/>
    <d v="2023-01-07T00:00:00"/>
    <s v="DISSABTE"/>
    <s v="NO"/>
    <s v="NO"/>
    <d v="1899-12-30T21:30:00"/>
    <d v="1899-12-30T02:30:00"/>
    <x v="2"/>
    <n v="1"/>
    <x v="395"/>
    <m/>
    <m/>
    <m/>
    <m/>
    <n v="0"/>
    <n v="0"/>
    <n v="0"/>
    <n v="0"/>
    <x v="2"/>
    <n v="0"/>
    <n v="0"/>
    <n v="0"/>
    <n v="0"/>
    <m/>
  </r>
  <r>
    <x v="3"/>
    <x v="0"/>
    <d v="2023-01-08T00:00:00"/>
    <s v="DIUMENGE"/>
    <s v="NO"/>
    <s v="NO"/>
    <d v="1899-12-30T09:30:00"/>
    <d v="1899-12-30T14:30:00"/>
    <x v="3"/>
    <n v="1"/>
    <x v="396"/>
    <n v="8170"/>
    <s v="MONTORNES DEL VALLES"/>
    <s v="AV ERNEST LLUCH N35 4-3"/>
    <s v="43554263Z"/>
    <n v="150"/>
    <n v="0"/>
    <n v="0"/>
    <n v="150"/>
    <x v="0"/>
    <n v="50"/>
    <n v="100"/>
    <n v="0"/>
    <n v="0"/>
    <m/>
  </r>
  <r>
    <x v="3"/>
    <x v="0"/>
    <d v="2023-01-13T00:00:00"/>
    <s v="DIVENDRES"/>
    <s v="NO"/>
    <s v="NO"/>
    <d v="1899-12-30T15:30:00"/>
    <d v="1899-12-30T02:30:00"/>
    <x v="4"/>
    <n v="1"/>
    <x v="397"/>
    <m/>
    <m/>
    <m/>
    <m/>
    <n v="300"/>
    <n v="0"/>
    <n v="0"/>
    <n v="300"/>
    <x v="0"/>
    <n v="50"/>
    <n v="250"/>
    <n v="0"/>
    <n v="0"/>
    <m/>
  </r>
  <r>
    <x v="3"/>
    <x v="0"/>
    <d v="2023-01-14T00:00:00"/>
    <s v="DISSABTE"/>
    <s v="NO"/>
    <s v="NO"/>
    <d v="1899-12-30T15:30:00"/>
    <d v="1899-12-30T20:30:00"/>
    <x v="1"/>
    <n v="1"/>
    <x v="398"/>
    <n v="8170"/>
    <s v="MONTORNES DEL VALLES"/>
    <s v="C/ EUSKADI 1 BAJOS 1RA"/>
    <s v="43505377A"/>
    <n v="150"/>
    <n v="0"/>
    <n v="0"/>
    <n v="150"/>
    <x v="0"/>
    <n v="50"/>
    <n v="100"/>
    <n v="0"/>
    <n v="0"/>
    <m/>
  </r>
  <r>
    <x v="3"/>
    <x v="0"/>
    <d v="2023-01-14T00:00:00"/>
    <s v="DISSABTE"/>
    <s v="NO"/>
    <s v="NO"/>
    <d v="1899-12-30T21:30:00"/>
    <d v="1899-12-30T02:30:00"/>
    <x v="2"/>
    <n v="1"/>
    <x v="32"/>
    <m/>
    <m/>
    <m/>
    <m/>
    <n v="200"/>
    <n v="0"/>
    <n v="0"/>
    <n v="200"/>
    <x v="0"/>
    <n v="50"/>
    <n v="150"/>
    <n v="0"/>
    <n v="0"/>
    <m/>
  </r>
  <r>
    <x v="3"/>
    <x v="0"/>
    <d v="2023-01-15T00:00:00"/>
    <s v="DIUMENGE"/>
    <s v="NO"/>
    <s v="NO"/>
    <d v="1899-12-30T09:30:00"/>
    <d v="1899-12-30T14:30:00"/>
    <x v="3"/>
    <n v="1"/>
    <x v="399"/>
    <n v="8170"/>
    <s v="MONTORNES DEL VALLES"/>
    <s v="AV ERNEST LLUCH N3 4-2"/>
    <s v="40998720R"/>
    <n v="150"/>
    <n v="0"/>
    <n v="0"/>
    <n v="150"/>
    <x v="0"/>
    <n v="150"/>
    <n v="0"/>
    <n v="0"/>
    <n v="0"/>
    <m/>
  </r>
  <r>
    <x v="3"/>
    <x v="0"/>
    <d v="2023-01-15T00:00:00"/>
    <s v="DIUMENGE"/>
    <s v="NO"/>
    <s v="NO"/>
    <d v="1899-12-30T15:30:00"/>
    <d v="1899-12-30T20:30:00"/>
    <x v="1"/>
    <n v="1"/>
    <x v="400"/>
    <n v="8170"/>
    <s v="MONTORNES DEL VALLES"/>
    <s v="C/ BLAS INFANTE 5 ATICO"/>
    <s v="47817473J"/>
    <n v="150"/>
    <n v="0"/>
    <n v="0"/>
    <n v="150"/>
    <x v="0"/>
    <n v="0"/>
    <n v="150"/>
    <n v="0"/>
    <n v="0"/>
    <s v="tot bizum"/>
  </r>
  <r>
    <x v="3"/>
    <x v="0"/>
    <d v="2023-01-17T00:00:00"/>
    <s v="DIMARTS"/>
    <s v="NO"/>
    <s v="NO"/>
    <d v="1899-12-30T15:30:00"/>
    <d v="1899-12-30T20:30:00"/>
    <x v="1"/>
    <n v="1"/>
    <x v="401"/>
    <n v="8170"/>
    <s v="MONTORNES DEL VALLES"/>
    <s v="C/ RIU MOGENT N4 2-2"/>
    <s v="52159928E"/>
    <n v="95"/>
    <n v="0"/>
    <n v="0"/>
    <n v="95"/>
    <x v="0"/>
    <n v="50"/>
    <n v="45"/>
    <n v="0"/>
    <n v="0"/>
    <m/>
  </r>
  <r>
    <x v="3"/>
    <x v="0"/>
    <d v="2023-01-19T00:00:00"/>
    <s v="DIJOUS"/>
    <s v="NO"/>
    <s v="NO"/>
    <d v="1899-12-30T15:30:00"/>
    <d v="1899-12-30T20:30:00"/>
    <x v="1"/>
    <n v="1"/>
    <x v="402"/>
    <n v="8170"/>
    <s v="MONTORNES DEL VALLES"/>
    <s v="C/ MAJOR 54 1-1"/>
    <s v="52438316H"/>
    <n v="95"/>
    <n v="0"/>
    <n v="0"/>
    <n v="95"/>
    <x v="0"/>
    <n v="50"/>
    <n v="45"/>
    <n v="0"/>
    <n v="0"/>
    <s v="45 bizum"/>
  </r>
  <r>
    <x v="3"/>
    <x v="0"/>
    <d v="2023-01-20T00:00:00"/>
    <s v="DIVENDRES"/>
    <s v="NO"/>
    <s v="NO"/>
    <d v="1899-12-30T21:30:00"/>
    <d v="1899-12-30T02:30:00"/>
    <x v="2"/>
    <n v="1"/>
    <x v="113"/>
    <n v="8170"/>
    <s v="MONTORNES DEL VALLES"/>
    <s v="AV ERNEST LLUCH N27 2-1"/>
    <s v="48133998N"/>
    <n v="200"/>
    <n v="0"/>
    <n v="0"/>
    <n v="200"/>
    <x v="0"/>
    <n v="50"/>
    <n v="150"/>
    <n v="0"/>
    <n v="0"/>
    <s v="150 bizum"/>
  </r>
  <r>
    <x v="3"/>
    <x v="0"/>
    <d v="2023-01-21T00:00:00"/>
    <s v="DISSABTE"/>
    <s v="NO"/>
    <s v="NO"/>
    <d v="1899-12-30T15:30:00"/>
    <d v="1899-12-30T20:30:00"/>
    <x v="1"/>
    <n v="1"/>
    <x v="403"/>
    <m/>
    <m/>
    <m/>
    <m/>
    <n v="0"/>
    <n v="0"/>
    <n v="0"/>
    <n v="0"/>
    <x v="2"/>
    <n v="0"/>
    <n v="0"/>
    <n v="0"/>
    <n v="0"/>
    <s v="anulat"/>
  </r>
  <r>
    <x v="3"/>
    <x v="0"/>
    <d v="2023-01-21T00:00:00"/>
    <s v="DISSABTE"/>
    <s v="NO"/>
    <s v="NO"/>
    <d v="1899-12-30T21:30:00"/>
    <d v="1899-12-30T02:30:00"/>
    <x v="2"/>
    <n v="1"/>
    <x v="404"/>
    <n v="8401"/>
    <s v="GRANOLLERS"/>
    <s v="C/ TRES TORRES 10 1-3"/>
    <s v="52165671S"/>
    <n v="200"/>
    <n v="1"/>
    <n v="60"/>
    <n v="260"/>
    <x v="0"/>
    <n v="50"/>
    <n v="150"/>
    <n v="0"/>
    <n v="60"/>
    <m/>
  </r>
  <r>
    <x v="3"/>
    <x v="0"/>
    <d v="2023-01-22T00:00:00"/>
    <s v="DISSABTE"/>
    <s v="NO"/>
    <s v="NO"/>
    <d v="1899-12-30T09:30:00"/>
    <d v="1899-12-30T20:30:00"/>
    <x v="5"/>
    <n v="2"/>
    <x v="405"/>
    <m/>
    <m/>
    <m/>
    <m/>
    <n v="280"/>
    <n v="0"/>
    <n v="0"/>
    <n v="280"/>
    <x v="0"/>
    <n v="50"/>
    <n v="230"/>
    <n v="0"/>
    <n v="0"/>
    <m/>
  </r>
  <r>
    <x v="3"/>
    <x v="0"/>
    <d v="2023-01-26T00:00:00"/>
    <s v="DIJOUS"/>
    <s v="NO"/>
    <s v="NO"/>
    <d v="1899-12-30T21:30:00"/>
    <d v="1899-12-30T02:30:00"/>
    <x v="2"/>
    <n v="1"/>
    <x v="406"/>
    <m/>
    <m/>
    <m/>
    <m/>
    <n v="180"/>
    <n v="0"/>
    <n v="0"/>
    <n v="180"/>
    <x v="0"/>
    <n v="0"/>
    <n v="180"/>
    <n v="0"/>
    <n v="0"/>
    <m/>
  </r>
  <r>
    <x v="3"/>
    <x v="0"/>
    <d v="2023-01-27T00:00:00"/>
    <s v="DIVENDRES"/>
    <s v="NO"/>
    <s v="NO"/>
    <d v="1899-12-30T15:30:00"/>
    <d v="1899-12-30T20:30:00"/>
    <x v="1"/>
    <n v="1"/>
    <x v="407"/>
    <m/>
    <m/>
    <m/>
    <m/>
    <n v="140"/>
    <n v="0"/>
    <n v="0"/>
    <n v="140"/>
    <x v="0"/>
    <n v="50"/>
    <n v="90"/>
    <n v="0"/>
    <n v="0"/>
    <m/>
  </r>
  <r>
    <x v="3"/>
    <x v="0"/>
    <d v="2023-01-27T00:00:00"/>
    <s v="DIVENDRES"/>
    <s v="NO"/>
    <s v="NO"/>
    <d v="1899-12-30T21:30:00"/>
    <d v="1899-12-30T02:30:00"/>
    <x v="2"/>
    <n v="1"/>
    <x v="408"/>
    <m/>
    <m/>
    <m/>
    <m/>
    <n v="200"/>
    <n v="1"/>
    <n v="130"/>
    <n v="330"/>
    <x v="0"/>
    <n v="50"/>
    <n v="150"/>
    <n v="0"/>
    <n v="130"/>
    <s v="280 bizum"/>
  </r>
  <r>
    <x v="3"/>
    <x v="0"/>
    <d v="2023-01-28T00:00:00"/>
    <s v="DISSABTE"/>
    <s v="NO"/>
    <s v="NO"/>
    <d v="1899-12-30T15:30:00"/>
    <d v="1899-12-30T02:30:00"/>
    <x v="4"/>
    <n v="2"/>
    <x v="409"/>
    <m/>
    <m/>
    <m/>
    <m/>
    <n v="320"/>
    <n v="1"/>
    <n v="60"/>
    <n v="380"/>
    <x v="0"/>
    <n v="50"/>
    <n v="270"/>
    <n v="0"/>
    <n v="60"/>
    <s v="50 reserva bizum"/>
  </r>
  <r>
    <x v="3"/>
    <x v="0"/>
    <d v="2023-01-29T00:00:00"/>
    <s v="DIUMENGE"/>
    <s v="NO"/>
    <s v="NO"/>
    <d v="1899-12-30T15:30:00"/>
    <d v="1899-12-30T20:30:00"/>
    <x v="1"/>
    <n v="1"/>
    <x v="410"/>
    <m/>
    <m/>
    <m/>
    <m/>
    <n v="150"/>
    <n v="0"/>
    <n v="0"/>
    <n v="150"/>
    <x v="0"/>
    <n v="0"/>
    <n v="150"/>
    <n v="0"/>
    <n v="0"/>
    <m/>
  </r>
  <r>
    <x v="3"/>
    <x v="1"/>
    <d v="2023-02-01T00:00:00"/>
    <s v="DIMECRES"/>
    <s v="NO"/>
    <s v="NO"/>
    <d v="1899-12-30T15:30:00"/>
    <d v="1899-12-30T20:30:00"/>
    <x v="1"/>
    <n v="1"/>
    <x v="411"/>
    <n v="8170"/>
    <s v="MONTORNES DEL VALLES"/>
    <s v="C/ CAN PARERA 24 4-1 IZQUIERDA"/>
    <s v="52169069D"/>
    <n v="95"/>
    <n v="0"/>
    <n v="0"/>
    <n v="95"/>
    <x v="0"/>
    <n v="50"/>
    <n v="45"/>
    <n v="0"/>
    <n v="0"/>
    <m/>
  </r>
  <r>
    <x v="3"/>
    <x v="1"/>
    <d v="2023-02-02T00:00:00"/>
    <s v="DIJOUS"/>
    <s v="NO"/>
    <s v="NO"/>
    <d v="1899-12-30T15:30:00"/>
    <d v="1899-12-30T20:30:00"/>
    <x v="1"/>
    <n v="1"/>
    <x v="412"/>
    <m/>
    <m/>
    <m/>
    <m/>
    <n v="95"/>
    <n v="0"/>
    <n v="0"/>
    <n v="95"/>
    <x v="0"/>
    <n v="50"/>
    <n v="45"/>
    <n v="0"/>
    <n v="0"/>
    <s v="45 bizum"/>
  </r>
  <r>
    <x v="3"/>
    <x v="1"/>
    <d v="2023-02-03T00:00:00"/>
    <s v="DIVENDRES"/>
    <s v="NO"/>
    <s v="NO"/>
    <d v="1899-12-30T15:30:00"/>
    <d v="1899-12-30T20:30:00"/>
    <x v="1"/>
    <n v="1"/>
    <x v="413"/>
    <n v="8170"/>
    <s v="MONTORNES DEL VALLES"/>
    <s v="C/ CAN PARERA 24 2-1 IZQUIERDA"/>
    <s v="Y5633900H"/>
    <n v="140"/>
    <n v="0"/>
    <n v="0"/>
    <n v="140"/>
    <x v="0"/>
    <n v="50"/>
    <n v="90"/>
    <n v="0"/>
    <n v="0"/>
    <s v="90 BIZUM"/>
  </r>
  <r>
    <x v="3"/>
    <x v="1"/>
    <d v="2023-02-03T00:00:00"/>
    <s v="DIVENDRES"/>
    <s v="NO"/>
    <s v="NO"/>
    <d v="1899-12-30T21:30:00"/>
    <d v="1899-12-30T02:30:00"/>
    <x v="2"/>
    <n v="1"/>
    <x v="414"/>
    <n v="8170"/>
    <s v="MONTORNES DEL VALLES"/>
    <s v="C/ BLAS INFANTE 10 1"/>
    <s v="52148039R"/>
    <n v="200"/>
    <n v="0"/>
    <n v="0"/>
    <n v="200"/>
    <x v="0"/>
    <n v="50"/>
    <n v="150"/>
    <n v="0"/>
    <n v="0"/>
    <m/>
  </r>
  <r>
    <x v="3"/>
    <x v="1"/>
    <d v="2023-02-04T00:00:00"/>
    <s v="DISSABTE"/>
    <s v="NO"/>
    <s v="NO"/>
    <d v="1899-12-30T09:30:00"/>
    <d v="1899-12-30T14:30:00"/>
    <x v="3"/>
    <n v="1"/>
    <x v="415"/>
    <m/>
    <m/>
    <m/>
    <m/>
    <n v="150"/>
    <n v="0"/>
    <n v="0"/>
    <n v="150"/>
    <x v="0"/>
    <n v="0"/>
    <n v="150"/>
    <n v="0"/>
    <n v="0"/>
    <s v="BIZUM"/>
  </r>
  <r>
    <x v="3"/>
    <x v="1"/>
    <d v="2023-02-04T00:00:00"/>
    <s v="DISSABTE"/>
    <s v="NO"/>
    <s v="NO"/>
    <d v="1899-12-30T15:30:00"/>
    <d v="1899-12-30T20:30:00"/>
    <x v="1"/>
    <n v="1"/>
    <x v="416"/>
    <m/>
    <m/>
    <m/>
    <m/>
    <n v="150"/>
    <n v="0"/>
    <n v="0"/>
    <n v="150"/>
    <x v="0"/>
    <n v="50"/>
    <n v="100"/>
    <n v="0"/>
    <n v="0"/>
    <m/>
  </r>
  <r>
    <x v="3"/>
    <x v="1"/>
    <d v="2023-02-04T00:00:00"/>
    <s v="DISSABTE"/>
    <s v="NO"/>
    <s v="NO"/>
    <d v="1899-12-30T21:30:00"/>
    <d v="1899-12-30T02:30:00"/>
    <x v="2"/>
    <n v="1"/>
    <x v="417"/>
    <n v="8170"/>
    <s v="MONTORNES DEL VALLES"/>
    <s v="C/ DELS CASTANYERS 1-3"/>
    <s v="52153889D"/>
    <n v="200"/>
    <n v="0"/>
    <n v="0"/>
    <n v="200"/>
    <x v="0"/>
    <n v="50"/>
    <n v="150"/>
    <n v="0"/>
    <n v="0"/>
    <m/>
  </r>
  <r>
    <x v="3"/>
    <x v="1"/>
    <d v="2023-02-05T00:00:00"/>
    <s v="DIUMENGE"/>
    <s v="NO"/>
    <s v="NO"/>
    <d v="1899-12-30T15:30:00"/>
    <d v="1899-12-30T20:30:00"/>
    <x v="1"/>
    <n v="1"/>
    <x v="418"/>
    <n v="8107"/>
    <s v="MARTORELLES"/>
    <s v="C/ ALZINAR 13 3-3 "/>
    <s v="44418069D"/>
    <n v="150"/>
    <n v="0"/>
    <n v="0"/>
    <n v="150"/>
    <x v="0"/>
    <n v="50"/>
    <n v="100"/>
    <n v="0"/>
    <n v="0"/>
    <m/>
  </r>
  <r>
    <x v="3"/>
    <x v="1"/>
    <d v="2023-02-10T00:00:00"/>
    <s v="DIVENDRES"/>
    <s v="NO"/>
    <s v="NO"/>
    <d v="1899-12-30T15:30:00"/>
    <d v="1899-12-30T20:30:00"/>
    <x v="1"/>
    <n v="1"/>
    <x v="419"/>
    <m/>
    <m/>
    <m/>
    <m/>
    <n v="140"/>
    <n v="0"/>
    <n v="0"/>
    <n v="140"/>
    <x v="0"/>
    <n v="50"/>
    <n v="90"/>
    <n v="0"/>
    <n v="0"/>
    <m/>
  </r>
  <r>
    <x v="3"/>
    <x v="1"/>
    <d v="2023-02-10T00:00:00"/>
    <s v="DIVENDRES"/>
    <s v="NO"/>
    <s v="NO"/>
    <d v="1899-12-30T21:30:00"/>
    <d v="1899-12-30T02:30:00"/>
    <x v="2"/>
    <n v="1"/>
    <x v="408"/>
    <n v="8170"/>
    <s v="MONTORNES DEL VALLES"/>
    <s v="C/ MILA I FONTALS 23"/>
    <s v="52157896Z"/>
    <n v="200"/>
    <n v="0"/>
    <n v="0"/>
    <n v="200"/>
    <x v="0"/>
    <n v="50"/>
    <n v="150"/>
    <n v="0"/>
    <n v="0"/>
    <s v="reserva bizum"/>
  </r>
  <r>
    <x v="3"/>
    <x v="1"/>
    <d v="2023-02-11T00:00:00"/>
    <s v="DISSABTE"/>
    <s v="NO"/>
    <s v="NO"/>
    <d v="1899-12-30T09:30:00"/>
    <d v="1899-12-30T14:30:00"/>
    <x v="3"/>
    <n v="1"/>
    <x v="420"/>
    <n v="8170"/>
    <s v="MONTORNES DEL VALLES"/>
    <s v="C/ DE LA PAU 4 3A"/>
    <s v="47819204L"/>
    <n v="150"/>
    <n v="0"/>
    <n v="0"/>
    <n v="150"/>
    <x v="0"/>
    <n v="50"/>
    <n v="100"/>
    <n v="0"/>
    <n v="0"/>
    <m/>
  </r>
  <r>
    <x v="3"/>
    <x v="1"/>
    <d v="2023-02-11T00:00:00"/>
    <s v="DISSABTE"/>
    <s v="NO"/>
    <s v="NO"/>
    <d v="1899-12-30T15:30:00"/>
    <d v="1899-12-30T20:30:00"/>
    <x v="1"/>
    <n v="1"/>
    <x v="421"/>
    <n v="8410"/>
    <s v="VILANOVA DEL VALLES"/>
    <s v="C/ JAUME LLINESTI N21 1-3"/>
    <s v="53127439S"/>
    <n v="150"/>
    <n v="0"/>
    <n v="0"/>
    <n v="150"/>
    <x v="0"/>
    <n v="50"/>
    <n v="100"/>
    <n v="0"/>
    <n v="0"/>
    <m/>
  </r>
  <r>
    <x v="3"/>
    <x v="1"/>
    <d v="2023-02-11T00:00:00"/>
    <s v="DISSABTE"/>
    <s v="NO"/>
    <s v="NO"/>
    <d v="1899-12-30T21:30:00"/>
    <d v="1899-12-30T02:30:00"/>
    <x v="2"/>
    <n v="1"/>
    <x v="422"/>
    <n v="8170"/>
    <s v="MONTORNES DEL VALLES"/>
    <s v="C/ JOAN XXIII 13 4-2"/>
    <s v="52404410Z"/>
    <n v="200"/>
    <n v="1"/>
    <n v="60"/>
    <n v="260"/>
    <x v="0"/>
    <n v="50"/>
    <n v="150"/>
    <n v="0"/>
    <n v="60"/>
    <s v="bizum marta210"/>
  </r>
  <r>
    <x v="3"/>
    <x v="1"/>
    <d v="2023-02-12T00:00:00"/>
    <s v="DIUMENGE"/>
    <s v="NO"/>
    <s v="NO"/>
    <d v="1899-12-30T09:30:00"/>
    <d v="1899-12-30T14:30:00"/>
    <x v="3"/>
    <n v="1"/>
    <x v="406"/>
    <m/>
    <m/>
    <m/>
    <m/>
    <n v="150"/>
    <n v="0"/>
    <n v="0"/>
    <n v="150"/>
    <x v="0"/>
    <n v="50"/>
    <n v="100"/>
    <n v="0"/>
    <n v="0"/>
    <s v="bizum 100"/>
  </r>
  <r>
    <x v="3"/>
    <x v="1"/>
    <d v="2023-02-12T00:00:00"/>
    <s v="DIUMENGE"/>
    <s v="NO"/>
    <s v="NO"/>
    <d v="1899-12-30T15:30:00"/>
    <d v="1899-12-30T20:30:00"/>
    <x v="1"/>
    <n v="1"/>
    <x v="423"/>
    <n v="8170"/>
    <s v="MONTORNES DEL VALLES"/>
    <s v="C/ VALENCIA 27"/>
    <s v="53128644R"/>
    <n v="150"/>
    <n v="0"/>
    <n v="0"/>
    <n v="150"/>
    <x v="0"/>
    <n v="50"/>
    <n v="100"/>
    <n v="0"/>
    <n v="0"/>
    <s v="bizum 100"/>
  </r>
  <r>
    <x v="3"/>
    <x v="1"/>
    <d v="2023-02-17T00:00:00"/>
    <s v="DIVENDRES"/>
    <s v="NO"/>
    <s v="NO"/>
    <d v="1899-12-30T21:30:00"/>
    <d v="1899-12-30T02:30:00"/>
    <x v="2"/>
    <n v="1"/>
    <x v="424"/>
    <n v="8170"/>
    <s v="MONTORNES DEL VALLES"/>
    <s v="C/ MONTSENY 21 3-1"/>
    <s v="52168647S"/>
    <n v="200"/>
    <n v="0"/>
    <n v="0"/>
    <n v="200"/>
    <x v="0"/>
    <n v="50"/>
    <n v="150"/>
    <n v="0"/>
    <n v="0"/>
    <s v="bizum 150"/>
  </r>
  <r>
    <x v="3"/>
    <x v="1"/>
    <d v="2023-02-18T00:00:00"/>
    <s v="DISSABTE"/>
    <s v="NO"/>
    <s v="SI"/>
    <d v="1899-12-30T09:30:00"/>
    <d v="1899-12-30T14:30:00"/>
    <x v="3"/>
    <n v="1"/>
    <x v="425"/>
    <n v="8104"/>
    <s v="PARETS"/>
    <s v="C/ALFONSO 12 N68"/>
    <s v="47920398J"/>
    <n v="150"/>
    <n v="0"/>
    <n v="0"/>
    <n v="150"/>
    <x v="0"/>
    <n v="150"/>
    <n v="0"/>
    <n v="0"/>
    <n v="0"/>
    <m/>
  </r>
  <r>
    <x v="3"/>
    <x v="1"/>
    <d v="2023-02-18T00:00:00"/>
    <s v="DISSABTE"/>
    <s v="NO"/>
    <s v="SI"/>
    <d v="1899-12-30T15:30:00"/>
    <d v="1899-12-30T20:30:00"/>
    <x v="1"/>
    <n v="1"/>
    <x v="426"/>
    <n v="8170"/>
    <s v="MONTORNES DEL VALLES"/>
    <s v="AV MARE DE DEU DEL CARME N6 A"/>
    <s v="47737117L"/>
    <n v="150"/>
    <n v="0"/>
    <n v="0"/>
    <n v="150"/>
    <x v="0"/>
    <n v="50"/>
    <n v="100"/>
    <n v="0"/>
    <n v="0"/>
    <s v="bizum 100"/>
  </r>
  <r>
    <x v="3"/>
    <x v="1"/>
    <d v="2023-02-18T00:00:00"/>
    <s v="DISSABTE"/>
    <s v="NO"/>
    <s v="SI"/>
    <d v="1899-12-30T21:30:00"/>
    <d v="1899-12-30T02:30:00"/>
    <x v="2"/>
    <n v="1"/>
    <x v="427"/>
    <m/>
    <m/>
    <m/>
    <m/>
    <n v="200"/>
    <n v="0"/>
    <n v="0"/>
    <n v="200"/>
    <x v="0"/>
    <n v="0"/>
    <n v="200"/>
    <n v="0"/>
    <n v="0"/>
    <s v="ANUAL"/>
  </r>
  <r>
    <x v="3"/>
    <x v="1"/>
    <d v="2023-02-19T00:00:00"/>
    <s v="DIUMENGE"/>
    <s v="NO"/>
    <s v="NO"/>
    <d v="1899-12-30T09:30:00"/>
    <d v="1899-12-30T20:30:00"/>
    <x v="5"/>
    <n v="3"/>
    <x v="330"/>
    <m/>
    <m/>
    <m/>
    <m/>
    <n v="290"/>
    <n v="1"/>
    <n v="210"/>
    <n v="500"/>
    <x v="0"/>
    <n v="290"/>
    <n v="0"/>
    <n v="60"/>
    <n v="150"/>
    <m/>
  </r>
  <r>
    <x v="3"/>
    <x v="1"/>
    <d v="2023-02-20T00:00:00"/>
    <s v="DILLUNS"/>
    <s v="NO"/>
    <s v="NO"/>
    <d v="1899-12-30T15:30:00"/>
    <d v="1899-12-30T20:30:00"/>
    <x v="1"/>
    <n v="1"/>
    <x v="428"/>
    <m/>
    <m/>
    <m/>
    <m/>
    <n v="95"/>
    <n v="0"/>
    <n v="0"/>
    <n v="95"/>
    <x v="0"/>
    <n v="50"/>
    <n v="45"/>
    <n v="0"/>
    <n v="0"/>
    <m/>
  </r>
  <r>
    <x v="3"/>
    <x v="1"/>
    <d v="2023-02-22T00:00:00"/>
    <s v="DIMECRES"/>
    <s v="NO"/>
    <s v="NO"/>
    <d v="1899-12-30T15:30:00"/>
    <d v="1899-12-30T20:30:00"/>
    <x v="1"/>
    <n v="1"/>
    <x v="29"/>
    <m/>
    <m/>
    <m/>
    <m/>
    <n v="95"/>
    <n v="0"/>
    <n v="0"/>
    <n v="95"/>
    <x v="0"/>
    <n v="50"/>
    <n v="45"/>
    <n v="0"/>
    <n v="0"/>
    <m/>
  </r>
  <r>
    <x v="3"/>
    <x v="1"/>
    <d v="2023-02-24T00:00:00"/>
    <s v="DIVENDRES"/>
    <s v="NO"/>
    <s v="NO"/>
    <d v="1899-12-30T21:30:00"/>
    <d v="1899-12-30T02:30:00"/>
    <x v="2"/>
    <n v="1"/>
    <x v="429"/>
    <n v="8160"/>
    <s v="MONTMELÓ"/>
    <s v="PG PINTOR MIR 9 5-1"/>
    <s v="77306193L"/>
    <n v="200"/>
    <n v="1"/>
    <n v="60"/>
    <n v="260"/>
    <x v="0"/>
    <n v="200"/>
    <n v="0"/>
    <n v="60"/>
    <n v="0"/>
    <m/>
  </r>
  <r>
    <x v="3"/>
    <x v="1"/>
    <d v="2023-02-25T00:00:00"/>
    <s v="DISSABTE"/>
    <s v="NO"/>
    <s v="NO"/>
    <d v="1899-12-30T15:30:00"/>
    <d v="1899-12-30T20:30:00"/>
    <x v="1"/>
    <n v="1"/>
    <x v="430"/>
    <n v="8170"/>
    <s v="MONTORNES DEL VALLES"/>
    <s v="C/SOL N2 ATIC "/>
    <s v="47921582R"/>
    <n v="150"/>
    <n v="0"/>
    <n v="0"/>
    <n v="150"/>
    <x v="0"/>
    <n v="50"/>
    <n v="100"/>
    <n v="0"/>
    <n v="0"/>
    <m/>
  </r>
  <r>
    <x v="3"/>
    <x v="1"/>
    <d v="2023-02-25T00:00:00"/>
    <s v="DISSABTE"/>
    <s v="NO"/>
    <s v="NO"/>
    <d v="1899-12-30T21:30:00"/>
    <d v="1899-12-30T02:30:00"/>
    <x v="2"/>
    <n v="1"/>
    <x v="431"/>
    <n v="8140"/>
    <s v="CALDES DE MONTBUI"/>
    <s v="C/ LLEIDA 38 2-1 "/>
    <s v="46561717A"/>
    <n v="200"/>
    <n v="0"/>
    <n v="0"/>
    <n v="200"/>
    <x v="0"/>
    <n v="50"/>
    <n v="150"/>
    <n v="0"/>
    <n v="0"/>
    <m/>
  </r>
  <r>
    <x v="3"/>
    <x v="1"/>
    <d v="2023-02-26T00:00:00"/>
    <s v="DIUMENGE"/>
    <s v="NO"/>
    <s v="NO"/>
    <d v="1899-12-30T09:30:00"/>
    <d v="1899-12-30T14:30:00"/>
    <x v="3"/>
    <n v="1"/>
    <x v="432"/>
    <m/>
    <m/>
    <m/>
    <m/>
    <n v="150"/>
    <n v="0"/>
    <n v="0"/>
    <n v="150"/>
    <x v="0"/>
    <n v="50"/>
    <n v="100"/>
    <n v="0"/>
    <n v="0"/>
    <s v="100 bizum oriol"/>
  </r>
  <r>
    <x v="3"/>
    <x v="1"/>
    <d v="2023-02-26T00:00:00"/>
    <s v="DIUMENGE"/>
    <s v="NO"/>
    <s v="NO"/>
    <d v="1899-12-30T15:30:00"/>
    <d v="1899-12-30T20:30:00"/>
    <x v="1"/>
    <n v="1"/>
    <x v="433"/>
    <m/>
    <m/>
    <m/>
    <m/>
    <n v="150"/>
    <n v="0"/>
    <n v="0"/>
    <n v="150"/>
    <x v="0"/>
    <n v="50"/>
    <n v="100"/>
    <n v="0"/>
    <n v="0"/>
    <m/>
  </r>
  <r>
    <x v="3"/>
    <x v="2"/>
    <d v="2023-03-04T00:00:00"/>
    <s v="DISSABTE"/>
    <s v="NO"/>
    <s v="NO"/>
    <d v="1899-12-30T09:30:00"/>
    <d v="1899-12-30T14:30:00"/>
    <x v="3"/>
    <n v="1"/>
    <x v="434"/>
    <m/>
    <m/>
    <m/>
    <m/>
    <n v="150"/>
    <n v="0"/>
    <n v="0"/>
    <n v="150"/>
    <x v="0"/>
    <n v="50"/>
    <n v="100"/>
    <n v="0"/>
    <n v="0"/>
    <m/>
  </r>
  <r>
    <x v="3"/>
    <x v="2"/>
    <d v="2023-03-04T00:00:00"/>
    <s v="DISSABTE"/>
    <s v="NO"/>
    <s v="NO"/>
    <d v="1899-12-30T15:30:00"/>
    <d v="1899-12-30T20:30:00"/>
    <x v="1"/>
    <n v="1"/>
    <x v="435"/>
    <n v="8170"/>
    <s v="MONTORNES DEL VALLES"/>
    <s v="C/ TORRENT DE TAPIOLES 25 1-1"/>
    <s v="43526167R"/>
    <n v="150"/>
    <n v="0"/>
    <n v="0"/>
    <n v="150"/>
    <x v="0"/>
    <n v="50"/>
    <n v="100"/>
    <n v="0"/>
    <n v="0"/>
    <m/>
  </r>
  <r>
    <x v="3"/>
    <x v="2"/>
    <d v="2023-03-04T00:00:00"/>
    <s v="DISSABTE"/>
    <s v="NO"/>
    <s v="NO"/>
    <d v="1899-12-30T21:30:00"/>
    <d v="1899-12-30T02:30:00"/>
    <x v="2"/>
    <n v="1"/>
    <x v="436"/>
    <n v="8170"/>
    <s v="MONTORNES DEL VALLES"/>
    <s v="C/ FERRER I GUARDIA 1"/>
    <s v="52399255B"/>
    <n v="200"/>
    <n v="1"/>
    <n v="60"/>
    <n v="260"/>
    <x v="0"/>
    <n v="50"/>
    <n v="150"/>
    <n v="0"/>
    <n v="60"/>
    <m/>
  </r>
  <r>
    <x v="3"/>
    <x v="2"/>
    <d v="2023-03-10T00:00:00"/>
    <s v="DIVENDRES"/>
    <s v="NO"/>
    <s v="NO"/>
    <d v="1899-12-30T15:30:00"/>
    <d v="1899-12-30T20:30:00"/>
    <x v="1"/>
    <n v="1"/>
    <x v="437"/>
    <n v="8192"/>
    <s v="SABADELL"/>
    <s v="C/ MANUEL FOLGUERA 39"/>
    <s v="48169112M"/>
    <n v="140"/>
    <n v="0"/>
    <n v="0"/>
    <n v="140"/>
    <x v="0"/>
    <n v="50"/>
    <n v="90"/>
    <n v="0"/>
    <n v="0"/>
    <m/>
  </r>
  <r>
    <x v="3"/>
    <x v="2"/>
    <d v="2023-03-10T00:00:00"/>
    <s v="DIVENDRES"/>
    <s v="NO"/>
    <s v="NO"/>
    <d v="1899-12-30T21:30:00"/>
    <d v="1899-12-30T02:30:00"/>
    <x v="2"/>
    <n v="1"/>
    <x v="438"/>
    <n v="8170"/>
    <s v="MONTORNES DEL VALLES"/>
    <s v="C/ MONTSENY 6A 1-3"/>
    <s v="46982522P"/>
    <n v="200"/>
    <n v="0"/>
    <n v="0"/>
    <n v="200"/>
    <x v="0"/>
    <n v="200"/>
    <n v="0"/>
    <n v="0"/>
    <n v="0"/>
    <m/>
  </r>
  <r>
    <x v="3"/>
    <x v="2"/>
    <d v="2023-03-11T00:00:00"/>
    <s v="DISSABTE"/>
    <s v="NO"/>
    <s v="NO"/>
    <d v="1899-12-30T09:30:00"/>
    <d v="1899-12-30T14:30:00"/>
    <x v="3"/>
    <n v="1"/>
    <x v="439"/>
    <n v="8170"/>
    <s v="MONTORNES DEL VALLES"/>
    <s v="C/ DEL SOL 29 1R"/>
    <s v="46944519R"/>
    <n v="150"/>
    <n v="0"/>
    <n v="0"/>
    <n v="150"/>
    <x v="0"/>
    <n v="50"/>
    <n v="100"/>
    <n v="0"/>
    <n v="0"/>
    <m/>
  </r>
  <r>
    <x v="3"/>
    <x v="2"/>
    <d v="2023-03-11T00:00:00"/>
    <s v="DISSABTE"/>
    <s v="NO"/>
    <s v="NO"/>
    <d v="1899-12-30T15:30:00"/>
    <d v="1899-12-30T20:30:00"/>
    <x v="1"/>
    <n v="1"/>
    <x v="440"/>
    <m/>
    <s v="FACTURA 2023-01"/>
    <m/>
    <m/>
    <n v="150"/>
    <n v="0"/>
    <n v="0"/>
    <n v="150"/>
    <x v="0"/>
    <n v="150"/>
    <n v="0"/>
    <n v="0"/>
    <n v="0"/>
    <m/>
  </r>
  <r>
    <x v="3"/>
    <x v="2"/>
    <d v="2023-03-11T00:00:00"/>
    <s v="DISSABTE"/>
    <s v="NO"/>
    <s v="NO"/>
    <d v="1899-12-30T21:30:00"/>
    <d v="1899-12-30T02:30:00"/>
    <x v="2"/>
    <n v="1"/>
    <x v="441"/>
    <m/>
    <m/>
    <m/>
    <m/>
    <n v="200"/>
    <n v="1"/>
    <n v="60"/>
    <n v="260"/>
    <x v="0"/>
    <n v="0"/>
    <n v="200"/>
    <n v="0"/>
    <n v="60"/>
    <s v="bizum marta"/>
  </r>
  <r>
    <x v="3"/>
    <x v="2"/>
    <d v="2023-03-12T00:00:00"/>
    <s v="DIUMENGE"/>
    <s v="NO"/>
    <s v="NO"/>
    <d v="1899-12-30T09:30:00"/>
    <d v="1899-12-30T14:30:00"/>
    <x v="3"/>
    <n v="1"/>
    <x v="442"/>
    <n v="8430"/>
    <s v="SANTA AGNES"/>
    <s v="C/ GINESTES 13"/>
    <s v="47705529X"/>
    <n v="150"/>
    <n v="0"/>
    <n v="0"/>
    <n v="150"/>
    <x v="0"/>
    <n v="50"/>
    <n v="100"/>
    <n v="0"/>
    <n v="0"/>
    <m/>
  </r>
  <r>
    <x v="3"/>
    <x v="2"/>
    <d v="2023-03-12T00:00:00"/>
    <s v="DIUMENGE"/>
    <s v="NO"/>
    <s v="NO"/>
    <d v="1899-12-30T15:30:00"/>
    <d v="1899-12-30T20:30:00"/>
    <x v="1"/>
    <n v="1"/>
    <x v="443"/>
    <n v="8520"/>
    <s v="LES FRANQUESES"/>
    <s v="C/ RONDA NORD N3 2-4"/>
    <s v="477733158Q"/>
    <n v="150"/>
    <n v="0"/>
    <n v="0"/>
    <n v="150"/>
    <x v="0"/>
    <n v="50"/>
    <n v="100"/>
    <n v="0"/>
    <n v="0"/>
    <s v="100 bizum"/>
  </r>
  <r>
    <x v="3"/>
    <x v="2"/>
    <d v="2023-03-17T00:00:00"/>
    <s v="DIVENDRES"/>
    <s v="NO"/>
    <s v="NO"/>
    <d v="1899-12-30T15:30:00"/>
    <d v="1899-12-30T20:30:00"/>
    <x v="1"/>
    <n v="1"/>
    <x v="444"/>
    <n v="8170"/>
    <s v="MONTORNES DEL VALLES"/>
    <s v="C/ CAN PARERA 24 1-2 IZQ"/>
    <s v="53033804J"/>
    <n v="140"/>
    <n v="0"/>
    <n v="0"/>
    <n v="140"/>
    <x v="0"/>
    <n v="50"/>
    <n v="90"/>
    <n v="0"/>
    <n v="0"/>
    <m/>
  </r>
  <r>
    <x v="3"/>
    <x v="2"/>
    <d v="2023-03-18T00:00:00"/>
    <s v="DISSABTE"/>
    <s v="NO"/>
    <s v="NO"/>
    <d v="1899-12-30T09:30:00"/>
    <d v="1899-12-30T14:30:00"/>
    <x v="3"/>
    <n v="1"/>
    <x v="445"/>
    <m/>
    <m/>
    <m/>
    <m/>
    <n v="150"/>
    <n v="0"/>
    <n v="0"/>
    <n v="150"/>
    <x v="0"/>
    <n v="50"/>
    <n v="100"/>
    <n v="0"/>
    <n v="0"/>
    <s v="BIZUM ORIOL 50"/>
  </r>
  <r>
    <x v="3"/>
    <x v="2"/>
    <d v="2023-03-18T00:00:00"/>
    <s v="DISSABTE"/>
    <s v="NO"/>
    <s v="NO"/>
    <d v="1899-12-30T15:30:00"/>
    <d v="1899-12-30T20:30:00"/>
    <x v="1"/>
    <n v="1"/>
    <x v="446"/>
    <n v="8410"/>
    <s v="VILANOVA DEL VALLES"/>
    <s v="C/ JAUME GINESTÍ N21 1-2 "/>
    <s v="47801870G"/>
    <n v="150"/>
    <n v="0"/>
    <n v="0"/>
    <n v="150"/>
    <x v="0"/>
    <n v="50"/>
    <n v="100"/>
    <n v="0"/>
    <n v="0"/>
    <s v="bizum oriol 100"/>
  </r>
  <r>
    <x v="3"/>
    <x v="2"/>
    <d v="2023-03-18T00:00:00"/>
    <s v="DISSABTE"/>
    <s v="NO"/>
    <s v="NO"/>
    <d v="1899-12-30T21:30:00"/>
    <d v="1899-12-30T02:30:00"/>
    <x v="2"/>
    <n v="1"/>
    <x v="447"/>
    <n v="8186"/>
    <s v="LLIÇA D'AMUNT"/>
    <s v="C/FRANCESC MACIA 35 3-3"/>
    <s v="46648417R"/>
    <n v="200"/>
    <n v="1"/>
    <n v="60"/>
    <n v="260"/>
    <x v="0"/>
    <n v="50"/>
    <n v="150"/>
    <n v="0"/>
    <n v="60"/>
    <s v="bizum oriol 210"/>
  </r>
  <r>
    <x v="3"/>
    <x v="2"/>
    <d v="2023-03-19T00:00:00"/>
    <s v="DIUMENGE"/>
    <s v="NO"/>
    <s v="NO"/>
    <d v="1899-12-30T09:30:00"/>
    <d v="1899-12-30T14:30:00"/>
    <x v="3"/>
    <n v="1"/>
    <x v="448"/>
    <n v="8170"/>
    <s v="MONTORNES DEL VALLES"/>
    <s v="PG CAN PRIMO 3 1-1"/>
    <s v="54930486T"/>
    <n v="150"/>
    <n v="0"/>
    <n v="0"/>
    <n v="150"/>
    <x v="0"/>
    <n v="50"/>
    <n v="100"/>
    <n v="0"/>
    <n v="0"/>
    <m/>
  </r>
  <r>
    <x v="3"/>
    <x v="2"/>
    <d v="2023-03-19T00:00:00"/>
    <s v="DIUMENGE"/>
    <s v="NO"/>
    <s v="NO"/>
    <d v="1899-12-30T15:30:00"/>
    <d v="1899-12-30T20:30:00"/>
    <x v="1"/>
    <n v="1"/>
    <x v="311"/>
    <n v="8170"/>
    <s v="MONTORNES DEL VALLES"/>
    <s v="C/ AMETLLER 38"/>
    <s v="77123975F"/>
    <n v="150"/>
    <n v="0"/>
    <n v="0"/>
    <n v="150"/>
    <x v="0"/>
    <n v="50"/>
    <n v="100"/>
    <n v="0"/>
    <n v="0"/>
    <m/>
  </r>
  <r>
    <x v="3"/>
    <x v="2"/>
    <d v="2023-03-20T00:00:00"/>
    <s v="DILLUNS"/>
    <s v="NO"/>
    <s v="NO"/>
    <d v="1899-12-30T15:30:00"/>
    <d v="1899-12-30T20:30:00"/>
    <x v="1"/>
    <n v="1"/>
    <x v="449"/>
    <n v="8170"/>
    <s v="MONTORNES DEL VALLES"/>
    <s v="C/ FEDERICO GARCIA LORCA 15 4A"/>
    <s v="X8905449X"/>
    <n v="95"/>
    <n v="0"/>
    <n v="0"/>
    <n v="95"/>
    <x v="0"/>
    <n v="0"/>
    <n v="95"/>
    <n v="0"/>
    <n v="0"/>
    <s v="BIZUM "/>
  </r>
  <r>
    <x v="3"/>
    <x v="2"/>
    <d v="2023-03-24T00:00:00"/>
    <s v="DIVENDRES"/>
    <s v="NO"/>
    <s v="NO"/>
    <d v="1899-12-30T15:30:00"/>
    <d v="1899-12-30T20:30:00"/>
    <x v="1"/>
    <n v="1"/>
    <x v="450"/>
    <n v="8170"/>
    <s v="MONTORNES DEL VALLES"/>
    <s v="C/ LA CASANOVA 6 2NB"/>
    <s v="52167276X"/>
    <n v="140"/>
    <n v="0"/>
    <n v="0"/>
    <n v="140"/>
    <x v="0"/>
    <n v="50"/>
    <n v="90"/>
    <n v="0"/>
    <n v="0"/>
    <s v="bizum 90"/>
  </r>
  <r>
    <x v="3"/>
    <x v="2"/>
    <d v="2023-03-25T00:00:00"/>
    <s v="DISSABTE"/>
    <s v="NO"/>
    <s v="NO"/>
    <d v="1899-12-30T09:30:00"/>
    <d v="1899-12-30T14:30:00"/>
    <x v="3"/>
    <n v="1"/>
    <x v="451"/>
    <n v="8170"/>
    <s v="MONTORNES DEL VALLES"/>
    <s v="C/ SANT SADURNI 13 A"/>
    <s v="10239229C"/>
    <n v="150"/>
    <n v="0"/>
    <n v="0"/>
    <n v="150"/>
    <x v="0"/>
    <n v="50"/>
    <n v="100"/>
    <n v="0"/>
    <n v="0"/>
    <m/>
  </r>
  <r>
    <x v="3"/>
    <x v="2"/>
    <d v="2023-03-25T00:00:00"/>
    <s v="DISSABTE"/>
    <s v="NO"/>
    <s v="NO"/>
    <d v="1899-12-30T15:30:00"/>
    <d v="1899-12-30T20:30:00"/>
    <x v="1"/>
    <n v="1"/>
    <x v="452"/>
    <n v="8106"/>
    <s v="SANTA MARIA MARTORELLES"/>
    <s v="C/ SAGRERA 24"/>
    <s v="77120787Q"/>
    <n v="150"/>
    <n v="0"/>
    <n v="0"/>
    <n v="150"/>
    <x v="0"/>
    <n v="150"/>
    <n v="0"/>
    <n v="0"/>
    <n v="0"/>
    <m/>
  </r>
  <r>
    <x v="3"/>
    <x v="2"/>
    <d v="2023-03-26T00:00:00"/>
    <s v="DIUMENGE"/>
    <s v="NO"/>
    <s v="NO"/>
    <d v="1899-12-30T09:30:00"/>
    <d v="1899-12-30T14:30:00"/>
    <x v="3"/>
    <n v="1"/>
    <x v="188"/>
    <n v="8410"/>
    <s v="VILANOVA DEL VALLES"/>
    <s v="C/ MARINADA 7"/>
    <s v="47278563Q"/>
    <n v="150"/>
    <n v="0"/>
    <n v="0"/>
    <n v="150"/>
    <x v="0"/>
    <n v="50"/>
    <n v="100"/>
    <n v="0"/>
    <n v="0"/>
    <m/>
  </r>
  <r>
    <x v="3"/>
    <x v="2"/>
    <d v="2023-03-26T00:00:00"/>
    <s v="DIUMENGE"/>
    <s v="NO"/>
    <s v="NO"/>
    <d v="1899-12-30T15:30:00"/>
    <d v="1899-12-30T20:30:00"/>
    <x v="1"/>
    <n v="1"/>
    <x v="453"/>
    <n v="8410"/>
    <s v="VILANOVA DEL VALLES"/>
    <s v="C/ CLAVELL N4"/>
    <s v="44023089P"/>
    <n v="150"/>
    <n v="0"/>
    <n v="0"/>
    <n v="150"/>
    <x v="0"/>
    <n v="50"/>
    <n v="100"/>
    <n v="0"/>
    <n v="0"/>
    <m/>
  </r>
  <r>
    <x v="3"/>
    <x v="2"/>
    <d v="2023-03-31T00:00:00"/>
    <s v="DIVENDRES"/>
    <s v="NO"/>
    <s v="NO"/>
    <d v="1899-12-30T15:30:00"/>
    <d v="1899-12-30T20:30:00"/>
    <x v="1"/>
    <n v="1"/>
    <x v="445"/>
    <m/>
    <m/>
    <m/>
    <m/>
    <n v="140"/>
    <n v="0"/>
    <n v="0"/>
    <n v="140"/>
    <x v="0"/>
    <n v="50"/>
    <n v="90"/>
    <n v="0"/>
    <n v="0"/>
    <s v="BIZUM ORIOL 50"/>
  </r>
  <r>
    <x v="3"/>
    <x v="2"/>
    <d v="2023-03-31T00:00:00"/>
    <s v="DIVENDRES"/>
    <s v="NO"/>
    <s v="NO"/>
    <d v="1899-12-30T21:30:00"/>
    <d v="1899-12-30T02:30:00"/>
    <x v="2"/>
    <n v="1"/>
    <x v="236"/>
    <m/>
    <m/>
    <m/>
    <m/>
    <n v="200"/>
    <n v="0"/>
    <n v="0"/>
    <n v="200"/>
    <x v="0"/>
    <n v="0"/>
    <n v="200"/>
    <n v="0"/>
    <n v="0"/>
    <s v="tot bizum"/>
  </r>
  <r>
    <x v="3"/>
    <x v="3"/>
    <d v="2023-04-01T00:00:00"/>
    <s v="DISSABTE"/>
    <s v="NO"/>
    <s v="NO"/>
    <d v="1899-12-30T09:30:00"/>
    <d v="1899-12-30T14:30:00"/>
    <x v="3"/>
    <n v="1"/>
    <x v="454"/>
    <n v="8170"/>
    <s v="MONTORNES DEL VALLES"/>
    <s v="C/ JOAN XXIII 17"/>
    <s v="49642139C"/>
    <n v="150"/>
    <n v="0"/>
    <n v="0"/>
    <n v="150"/>
    <x v="0"/>
    <n v="50"/>
    <n v="100"/>
    <n v="0"/>
    <n v="0"/>
    <m/>
  </r>
  <r>
    <x v="3"/>
    <x v="3"/>
    <d v="2023-04-01T00:00:00"/>
    <s v="DISSABTE"/>
    <s v="NO"/>
    <s v="NO"/>
    <d v="1899-12-30T15:30:00"/>
    <d v="1899-12-30T20:30:00"/>
    <x v="1"/>
    <n v="1"/>
    <x v="455"/>
    <n v="8170"/>
    <s v="MONTORNES DEL VALLES"/>
    <s v="AV ERNEST LLUCH 5 4-2"/>
    <s v="44195318J"/>
    <n v="150"/>
    <n v="0"/>
    <n v="0"/>
    <n v="150"/>
    <x v="0"/>
    <n v="50"/>
    <n v="100"/>
    <n v="0"/>
    <n v="0"/>
    <m/>
  </r>
  <r>
    <x v="3"/>
    <x v="3"/>
    <d v="2023-04-01T00:00:00"/>
    <s v="DISSABTE"/>
    <s v="NO"/>
    <s v="NO"/>
    <d v="1899-12-30T21:30:00"/>
    <d v="1899-12-30T02:30:00"/>
    <x v="2"/>
    <n v="1"/>
    <x v="456"/>
    <n v="8901"/>
    <s v="HOSPITALET"/>
    <s v="C/ IBERIA N22 2N"/>
    <s v="46764529D"/>
    <n v="200"/>
    <n v="0"/>
    <n v="0"/>
    <n v="200"/>
    <x v="0"/>
    <n v="50"/>
    <n v="150"/>
    <n v="0"/>
    <n v="0"/>
    <m/>
  </r>
  <r>
    <x v="3"/>
    <x v="3"/>
    <d v="2023-04-02T00:00:00"/>
    <s v="DIUMENGE"/>
    <s v="NO"/>
    <s v="NO"/>
    <d v="1899-12-30T09:30:00"/>
    <d v="1899-12-30T20:30:00"/>
    <x v="5"/>
    <n v="2"/>
    <x v="412"/>
    <n v="8170"/>
    <s v="MONTORNES DEL VALLES"/>
    <s v="PG CAN PRIMO 1 1-3"/>
    <s v="53084093R"/>
    <n v="290"/>
    <n v="0"/>
    <n v="0"/>
    <n v="290"/>
    <x v="0"/>
    <n v="50"/>
    <n v="240"/>
    <n v="0"/>
    <n v="0"/>
    <s v="240 bizum marta"/>
  </r>
  <r>
    <x v="3"/>
    <x v="3"/>
    <d v="2023-04-07T00:00:00"/>
    <s v="DIVENDRES"/>
    <s v="NO"/>
    <s v="NO"/>
    <d v="1899-12-30T15:30:00"/>
    <d v="1899-12-30T20:30:00"/>
    <x v="1"/>
    <n v="1"/>
    <x v="457"/>
    <n v="8185"/>
    <s v="LLIÇA DE VALL"/>
    <s v="C/ DEL PILAR 16"/>
    <s v="43455259W"/>
    <n v="150"/>
    <n v="0"/>
    <n v="0"/>
    <n v="150"/>
    <x v="0"/>
    <n v="50"/>
    <n v="100"/>
    <n v="0"/>
    <n v="0"/>
    <s v="100 bizum oriol"/>
  </r>
  <r>
    <x v="3"/>
    <x v="3"/>
    <d v="2023-04-07T00:00:00"/>
    <s v="DIVENDRES"/>
    <s v="NO"/>
    <s v="NO"/>
    <d v="1899-12-30T21:30:00"/>
    <d v="1899-12-30T02:30:00"/>
    <x v="2"/>
    <n v="1"/>
    <x v="458"/>
    <n v="8170"/>
    <s v="MONTORNES DEL VALLES"/>
    <s v="C/ DE CA L'ESPASELL 3 BAJOS 1"/>
    <s v="46057223R"/>
    <n v="200"/>
    <n v="0"/>
    <n v="0"/>
    <n v="200"/>
    <x v="0"/>
    <n v="50"/>
    <n v="150"/>
    <n v="0"/>
    <n v="0"/>
    <m/>
  </r>
  <r>
    <x v="3"/>
    <x v="3"/>
    <d v="2023-04-08T00:00:00"/>
    <s v="DISSABTE"/>
    <s v="NO"/>
    <s v="NO"/>
    <d v="1899-12-30T15:30:00"/>
    <d v="1899-12-30T02:30:00"/>
    <x v="4"/>
    <n v="2"/>
    <x v="459"/>
    <m/>
    <m/>
    <m/>
    <m/>
    <n v="320"/>
    <n v="0"/>
    <n v="0"/>
    <n v="320"/>
    <x v="0"/>
    <n v="50"/>
    <n v="270"/>
    <n v="0"/>
    <n v="0"/>
    <m/>
  </r>
  <r>
    <x v="3"/>
    <x v="3"/>
    <d v="2023-04-09T00:00:00"/>
    <s v="DIUMENGE"/>
    <s v="NO"/>
    <s v="NO"/>
    <d v="1899-12-30T15:30:00"/>
    <d v="1899-12-30T20:30:00"/>
    <x v="1"/>
    <n v="1"/>
    <x v="460"/>
    <n v="8170"/>
    <s v="MONTORNES DEL VALLES"/>
    <s v="AV MARE DE DEU DEL CARME N6 ATIC B"/>
    <s v="53650774P"/>
    <n v="150"/>
    <n v="0"/>
    <n v="0"/>
    <n v="150"/>
    <x v="0"/>
    <n v="50"/>
    <n v="100"/>
    <n v="0"/>
    <n v="0"/>
    <m/>
  </r>
  <r>
    <x v="3"/>
    <x v="3"/>
    <d v="2023-04-14T00:00:00"/>
    <s v="DIVENDRES"/>
    <s v="NO"/>
    <s v="NO"/>
    <d v="1899-12-30T15:30:00"/>
    <d v="1899-12-30T20:30:00"/>
    <x v="1"/>
    <n v="1"/>
    <x v="461"/>
    <m/>
    <m/>
    <m/>
    <m/>
    <n v="140"/>
    <n v="0"/>
    <n v="0"/>
    <n v="140"/>
    <x v="0"/>
    <n v="95"/>
    <n v="0"/>
    <n v="0"/>
    <n v="0"/>
    <m/>
  </r>
  <r>
    <x v="3"/>
    <x v="3"/>
    <d v="2023-04-15T00:00:00"/>
    <s v="DISSABTE"/>
    <s v="NO"/>
    <s v="NO"/>
    <d v="1899-12-30T09:30:00"/>
    <d v="1899-12-30T14:30:00"/>
    <x v="3"/>
    <n v="1"/>
    <x v="462"/>
    <n v="8170"/>
    <s v="MONTORNES DEL VALLES"/>
    <s v="C/ BRUC 6 2-1"/>
    <s v="47817969A"/>
    <n v="150"/>
    <n v="0"/>
    <n v="0"/>
    <n v="150"/>
    <x v="0"/>
    <n v="50"/>
    <n v="100"/>
    <n v="0"/>
    <n v="0"/>
    <m/>
  </r>
  <r>
    <x v="3"/>
    <x v="3"/>
    <d v="2023-04-15T00:00:00"/>
    <s v="DISSABTE"/>
    <s v="NO"/>
    <s v="NO"/>
    <d v="1899-12-30T15:30:00"/>
    <d v="1899-12-30T20:30:00"/>
    <x v="1"/>
    <n v="1"/>
    <x v="463"/>
    <n v="8104"/>
    <s v="PARETS"/>
    <s v="C/ BAILEN 13 C"/>
    <s v="46470293N"/>
    <n v="150"/>
    <n v="0"/>
    <n v="0"/>
    <n v="150"/>
    <x v="0"/>
    <n v="50"/>
    <n v="100"/>
    <n v="0"/>
    <n v="0"/>
    <m/>
  </r>
  <r>
    <x v="3"/>
    <x v="3"/>
    <d v="2023-04-15T00:00:00"/>
    <s v="DISSABTE"/>
    <s v="NO"/>
    <s v="NO"/>
    <d v="1899-12-30T21:30:00"/>
    <d v="1899-12-30T02:30:00"/>
    <x v="2"/>
    <n v="1"/>
    <x v="111"/>
    <m/>
    <m/>
    <m/>
    <m/>
    <n v="200"/>
    <n v="0"/>
    <n v="0"/>
    <n v="200"/>
    <x v="0"/>
    <n v="100"/>
    <n v="100"/>
    <n v="0"/>
    <n v="0"/>
    <s v="100 bizum oriol"/>
  </r>
  <r>
    <x v="3"/>
    <x v="3"/>
    <d v="2023-04-16T00:00:00"/>
    <s v="DIUMENGE"/>
    <s v="NO"/>
    <s v="NO"/>
    <d v="1899-12-30T09:30:00"/>
    <d v="1899-12-30T20:30:00"/>
    <x v="5"/>
    <n v="2"/>
    <x v="464"/>
    <n v="8170"/>
    <s v="MONTORNES DEL VALLES"/>
    <s v="C/ MAJOR 82 4-1"/>
    <s v="47817231R"/>
    <n v="220"/>
    <n v="0"/>
    <n v="0"/>
    <n v="220"/>
    <x v="0"/>
    <n v="50"/>
    <n v="170"/>
    <n v="0"/>
    <n v="0"/>
    <m/>
  </r>
  <r>
    <x v="3"/>
    <x v="3"/>
    <d v="2023-04-21T00:00:00"/>
    <s v="DIVENDRES"/>
    <s v="NO"/>
    <s v="NO"/>
    <d v="1899-12-30T15:30:00"/>
    <d v="1899-12-30T20:30:00"/>
    <x v="1"/>
    <n v="1"/>
    <x v="465"/>
    <n v="8410"/>
    <s v="VILANOVA DEL VALLES"/>
    <s v="C/ PALMA 31"/>
    <s v="53328548N"/>
    <n v="140"/>
    <n v="0"/>
    <n v="0"/>
    <n v="140"/>
    <x v="0"/>
    <n v="50"/>
    <n v="90"/>
    <n v="0"/>
    <n v="0"/>
    <m/>
  </r>
  <r>
    <x v="3"/>
    <x v="3"/>
    <d v="2023-04-22T00:00:00"/>
    <s v="DISSABTE"/>
    <s v="NO"/>
    <s v="NO"/>
    <d v="1899-12-30T09:30:00"/>
    <d v="1899-12-30T14:30:00"/>
    <x v="3"/>
    <n v="1"/>
    <x v="434"/>
    <m/>
    <m/>
    <m/>
    <m/>
    <n v="150"/>
    <n v="0"/>
    <n v="0"/>
    <n v="150"/>
    <x v="0"/>
    <n v="150"/>
    <n v="0"/>
    <n v="0"/>
    <n v="0"/>
    <s v="bizum marta tot"/>
  </r>
  <r>
    <x v="3"/>
    <x v="3"/>
    <d v="2023-04-22T00:00:00"/>
    <s v="DISSABTE"/>
    <s v="NO"/>
    <s v="NO"/>
    <d v="1899-12-30T15:30:00"/>
    <d v="1899-12-30T20:30:00"/>
    <x v="1"/>
    <n v="1"/>
    <x v="466"/>
    <n v="8170"/>
    <s v="MONTORNES DEL VALLES"/>
    <s v="AV ONZE DE SETEMBRE 32 4-1"/>
    <s v="47814270F"/>
    <n v="150"/>
    <n v="0"/>
    <n v="0"/>
    <n v="150"/>
    <x v="0"/>
    <n v="50"/>
    <n v="100"/>
    <n v="0"/>
    <n v="0"/>
    <s v="100 bizum oriol"/>
  </r>
  <r>
    <x v="3"/>
    <x v="3"/>
    <d v="2023-04-22T00:00:00"/>
    <s v="DISSABTE"/>
    <s v="NO"/>
    <s v="NO"/>
    <d v="1899-12-30T21:30:00"/>
    <d v="1899-12-30T02:30:00"/>
    <x v="2"/>
    <n v="1"/>
    <x v="467"/>
    <n v="8211"/>
    <s v="CASTELLAR DEL VALLES"/>
    <s v="CTRA SENTMENAT 74 1-1"/>
    <s v="44986326A"/>
    <n v="200"/>
    <n v="0"/>
    <n v="0"/>
    <n v="200"/>
    <x v="0"/>
    <n v="50"/>
    <n v="150"/>
    <n v="0"/>
    <n v="0"/>
    <m/>
  </r>
  <r>
    <x v="3"/>
    <x v="3"/>
    <d v="2023-04-23T00:00:00"/>
    <s v="DIUMENGE"/>
    <s v="NO"/>
    <s v="NO"/>
    <d v="1899-12-30T15:30:00"/>
    <d v="1899-12-30T20:30:00"/>
    <x v="1"/>
    <n v="1"/>
    <x v="468"/>
    <m/>
    <m/>
    <m/>
    <m/>
    <n v="150"/>
    <n v="0"/>
    <n v="0"/>
    <n v="150"/>
    <x v="0"/>
    <n v="50"/>
    <n v="100"/>
    <n v="0"/>
    <n v="0"/>
    <m/>
  </r>
  <r>
    <x v="3"/>
    <x v="3"/>
    <d v="2023-04-28T00:00:00"/>
    <s v="DIVENDRES"/>
    <s v="NO"/>
    <s v="NO"/>
    <d v="1899-12-30T21:30:00"/>
    <d v="1899-12-30T02:30:00"/>
    <x v="2"/>
    <n v="1"/>
    <x v="469"/>
    <m/>
    <m/>
    <m/>
    <m/>
    <n v="200"/>
    <n v="1"/>
    <n v="60"/>
    <n v="260"/>
    <x v="0"/>
    <n v="0"/>
    <n v="200"/>
    <n v="0"/>
    <n v="60"/>
    <s v="RESERVA EFECTIU"/>
  </r>
  <r>
    <x v="3"/>
    <x v="3"/>
    <d v="2023-04-29T00:00:00"/>
    <s v="DISSABTE"/>
    <s v="NO"/>
    <s v="NO"/>
    <d v="1899-12-30T09:30:00"/>
    <d v="1899-12-30T14:30:00"/>
    <x v="3"/>
    <n v="1"/>
    <x v="470"/>
    <n v="8104"/>
    <s v="MOLLET"/>
    <s v="RBLA POMPEU FABRA 75 1-3"/>
    <s v="48004947Z"/>
    <n v="150"/>
    <n v="0"/>
    <n v="0"/>
    <n v="150"/>
    <x v="0"/>
    <n v="50"/>
    <n v="100"/>
    <n v="0"/>
    <n v="0"/>
    <m/>
  </r>
  <r>
    <x v="3"/>
    <x v="3"/>
    <d v="2023-04-29T00:00:00"/>
    <s v="DISSABTE"/>
    <s v="NO"/>
    <s v="NO"/>
    <d v="1899-12-30T15:30:00"/>
    <d v="1899-12-30T20:30:00"/>
    <x v="1"/>
    <n v="1"/>
    <x v="471"/>
    <m/>
    <m/>
    <m/>
    <m/>
    <n v="150"/>
    <n v="0"/>
    <n v="0"/>
    <n v="150"/>
    <x v="0"/>
    <n v="50"/>
    <n v="100"/>
    <n v="0"/>
    <n v="0"/>
    <m/>
  </r>
  <r>
    <x v="3"/>
    <x v="3"/>
    <d v="2023-04-29T00:00:00"/>
    <s v="DISSABTE"/>
    <s v="NO"/>
    <s v="NO"/>
    <d v="1899-12-30T21:30:00"/>
    <d v="1899-12-30T02:30:00"/>
    <x v="2"/>
    <n v="1"/>
    <x v="472"/>
    <m/>
    <m/>
    <m/>
    <m/>
    <n v="200"/>
    <n v="1"/>
    <n v="60"/>
    <n v="260"/>
    <x v="0"/>
    <n v="0"/>
    <n v="200"/>
    <n v="0"/>
    <n v="60"/>
    <m/>
  </r>
  <r>
    <x v="3"/>
    <x v="3"/>
    <d v="2023-04-30T00:00:00"/>
    <s v="DIUMENGE"/>
    <s v="NO"/>
    <s v="NO"/>
    <d v="1899-12-30T09:30:00"/>
    <d v="1899-12-30T14:30:00"/>
    <x v="3"/>
    <n v="1"/>
    <x v="473"/>
    <n v="8170"/>
    <s v="MONTORNES DEL VALLES"/>
    <s v="C/ JAUME BALMES 12 3-1"/>
    <s v="48168152B"/>
    <n v="150"/>
    <n v="0"/>
    <n v="0"/>
    <n v="150"/>
    <x v="0"/>
    <n v="50"/>
    <n v="100"/>
    <n v="0"/>
    <n v="0"/>
    <m/>
  </r>
  <r>
    <x v="3"/>
    <x v="3"/>
    <d v="2023-04-30T00:00:00"/>
    <s v="DIUMENGE"/>
    <s v="NO"/>
    <s v="NO"/>
    <d v="1899-12-30T15:30:00"/>
    <d v="1899-12-30T20:30:00"/>
    <x v="1"/>
    <n v="1"/>
    <x v="474"/>
    <m/>
    <m/>
    <m/>
    <m/>
    <n v="150"/>
    <n v="0"/>
    <n v="0"/>
    <n v="150"/>
    <x v="0"/>
    <n v="0"/>
    <n v="150"/>
    <n v="0"/>
    <n v="0"/>
    <s v="RESERVA EFECTIU"/>
  </r>
  <r>
    <x v="3"/>
    <x v="3"/>
    <d v="2023-04-30T00:00:00"/>
    <s v="DIUMENGE"/>
    <s v="NO"/>
    <s v="NO"/>
    <d v="1899-12-30T21:30:00"/>
    <d v="1899-12-30T02:30:00"/>
    <x v="2"/>
    <n v="1"/>
    <x v="475"/>
    <n v="8170"/>
    <s v="MONTORNES DEL VALLES"/>
    <s v="C/ PI I MARGALL 14"/>
    <s v="52159747W"/>
    <n v="200"/>
    <n v="0"/>
    <n v="0"/>
    <n v="200"/>
    <x v="0"/>
    <n v="50"/>
    <n v="150"/>
    <n v="0"/>
    <n v="0"/>
    <m/>
  </r>
  <r>
    <x v="3"/>
    <x v="4"/>
    <d v="2023-05-02T00:00:00"/>
    <s v="DIMARTS"/>
    <s v="NO"/>
    <s v="NO"/>
    <d v="1899-12-30T15:30:00"/>
    <d v="1899-12-30T20:30:00"/>
    <x v="1"/>
    <n v="1"/>
    <x v="205"/>
    <n v="8170"/>
    <s v="MONTORNES DEL VALLES"/>
    <s v="PLAÇA MARGARIDA XIRGU 2 1-2"/>
    <s v="52169312E"/>
    <n v="95"/>
    <n v="0"/>
    <n v="0"/>
    <n v="95"/>
    <x v="0"/>
    <n v="50"/>
    <n v="45"/>
    <n v="0"/>
    <n v="0"/>
    <s v="BIZUM ORIOL 50"/>
  </r>
  <r>
    <x v="3"/>
    <x v="4"/>
    <d v="2023-05-05T00:00:00"/>
    <s v="DIVENDRES"/>
    <s v="NO"/>
    <s v="NO"/>
    <d v="1899-12-30T21:30:00"/>
    <d v="1899-12-30T02:30:00"/>
    <x v="2"/>
    <n v="1"/>
    <x v="476"/>
    <n v="8170"/>
    <s v="MONTORNES DEL VALLES"/>
    <s v="C/ ANSELM CLAVE 12 1-1"/>
    <s v="48133998N"/>
    <n v="200"/>
    <n v="0"/>
    <n v="0"/>
    <n v="200"/>
    <x v="0"/>
    <n v="50"/>
    <n v="150"/>
    <n v="0"/>
    <n v="0"/>
    <s v="bizum 150"/>
  </r>
  <r>
    <x v="3"/>
    <x v="4"/>
    <d v="2023-05-06T00:00:00"/>
    <s v="DISSABTE"/>
    <s v="NO"/>
    <s v="NO"/>
    <d v="1899-12-30T09:30:00"/>
    <d v="1899-12-30T20:30:00"/>
    <x v="5"/>
    <n v="3"/>
    <x v="477"/>
    <n v="8170"/>
    <s v="MONTORNES DEL VALLES"/>
    <s v="C/ JOAN XXIII 9 4C"/>
    <s v="53837068W"/>
    <n v="270"/>
    <n v="0"/>
    <n v="0"/>
    <n v="270"/>
    <x v="0"/>
    <n v="270"/>
    <n v="0"/>
    <n v="0"/>
    <n v="0"/>
    <m/>
  </r>
  <r>
    <x v="3"/>
    <x v="4"/>
    <d v="2023-05-10T00:00:00"/>
    <s v="DIMECRES"/>
    <s v="NO"/>
    <s v="NO"/>
    <d v="1899-12-30T15:30:00"/>
    <d v="1899-12-30T20:30:00"/>
    <x v="1"/>
    <n v="1"/>
    <x v="478"/>
    <n v="8170"/>
    <s v="MONTORNES DEL VALLES"/>
    <s v="C/ FRANCESC MACIA 45"/>
    <s v="39433575Y"/>
    <n v="95"/>
    <n v="0"/>
    <n v="0"/>
    <n v="95"/>
    <x v="0"/>
    <n v="50"/>
    <n v="45"/>
    <n v="0"/>
    <n v="0"/>
    <m/>
  </r>
  <r>
    <x v="3"/>
    <x v="4"/>
    <d v="2023-05-12T00:00:00"/>
    <s v="DIVENDRES"/>
    <s v="NO"/>
    <s v="NO"/>
    <d v="1899-12-30T21:30:00"/>
    <d v="1899-12-30T02:30:00"/>
    <x v="2"/>
    <n v="1"/>
    <x v="479"/>
    <n v="8410"/>
    <s v="VILANOVA DEL VALLES"/>
    <s v="PG JOSEP PLA 23"/>
    <s v="38082492N"/>
    <n v="200"/>
    <n v="1"/>
    <n v="60"/>
    <n v="260"/>
    <x v="0"/>
    <n v="50"/>
    <n v="150"/>
    <n v="0"/>
    <n v="60"/>
    <m/>
  </r>
  <r>
    <x v="3"/>
    <x v="4"/>
    <d v="2023-05-13T00:00:00"/>
    <s v="DISSABTE"/>
    <s v="NO"/>
    <s v="NO"/>
    <d v="1899-12-30T15:30:00"/>
    <d v="1899-12-30T02:30:00"/>
    <x v="4"/>
    <n v="2"/>
    <x v="480"/>
    <n v="8104"/>
    <s v="PARETS"/>
    <s v="C/ SALVADOR ESPRIU N16 2-2"/>
    <s v="36572829T"/>
    <n v="320"/>
    <n v="0"/>
    <n v="0"/>
    <n v="320"/>
    <x v="0"/>
    <n v="50"/>
    <n v="270"/>
    <n v="0"/>
    <n v="0"/>
    <m/>
  </r>
  <r>
    <x v="3"/>
    <x v="4"/>
    <d v="2023-05-14T00:00:00"/>
    <s v="DIUMENGE"/>
    <s v="NO"/>
    <s v="NO"/>
    <d v="1899-12-30T09:30:00"/>
    <d v="1899-12-30T14:30:00"/>
    <x v="3"/>
    <n v="1"/>
    <x v="70"/>
    <m/>
    <m/>
    <m/>
    <m/>
    <n v="150"/>
    <n v="0"/>
    <n v="0"/>
    <n v="150"/>
    <x v="0"/>
    <n v="50"/>
    <n v="100"/>
    <n v="0"/>
    <n v="0"/>
    <m/>
  </r>
  <r>
    <x v="3"/>
    <x v="4"/>
    <d v="2023-05-14T00:00:00"/>
    <s v="DIUMENGE"/>
    <s v="NO"/>
    <s v="NO"/>
    <d v="1899-12-30T15:30:00"/>
    <d v="1899-12-30T20:30:00"/>
    <x v="1"/>
    <n v="1"/>
    <x v="481"/>
    <m/>
    <m/>
    <m/>
    <m/>
    <n v="150"/>
    <n v="0"/>
    <n v="0"/>
    <n v="150"/>
    <x v="0"/>
    <n v="50"/>
    <n v="100"/>
    <n v="0"/>
    <n v="0"/>
    <m/>
  </r>
  <r>
    <x v="3"/>
    <x v="4"/>
    <d v="2023-05-16T00:00:00"/>
    <s v="DIMARTS"/>
    <s v="NO"/>
    <s v="NO"/>
    <d v="1899-12-30T15:30:00"/>
    <d v="1899-12-30T20:30:00"/>
    <x v="1"/>
    <n v="1"/>
    <x v="275"/>
    <m/>
    <m/>
    <m/>
    <m/>
    <n v="95"/>
    <n v="0"/>
    <n v="0"/>
    <n v="95"/>
    <x v="0"/>
    <n v="0"/>
    <n v="95"/>
    <n v="0"/>
    <n v="0"/>
    <s v="tot bizum"/>
  </r>
  <r>
    <x v="3"/>
    <x v="4"/>
    <d v="2023-05-19T00:00:00"/>
    <s v="DIVENDRES"/>
    <s v="NO"/>
    <s v="NO"/>
    <d v="1899-12-30T15:30:00"/>
    <d v="1899-12-30T20:30:00"/>
    <x v="1"/>
    <n v="1"/>
    <x v="482"/>
    <n v="8170"/>
    <s v="MONTORNES DEL VALLES"/>
    <s v="C/ DE LA PAU 10 B 3-2"/>
    <s v="47707641Y"/>
    <n v="140"/>
    <n v="0"/>
    <n v="0"/>
    <n v="140"/>
    <x v="0"/>
    <n v="50"/>
    <n v="90"/>
    <n v="0"/>
    <n v="0"/>
    <s v="bizum 90"/>
  </r>
  <r>
    <x v="3"/>
    <x v="4"/>
    <d v="2023-05-19T00:00:00"/>
    <s v="DIVENDRES"/>
    <s v="NO"/>
    <s v="NO"/>
    <d v="1899-12-30T21:30:00"/>
    <d v="1899-12-30T02:30:00"/>
    <x v="2"/>
    <n v="1"/>
    <x v="483"/>
    <n v="8170"/>
    <s v="MONTORNES DEL VALLES"/>
    <s v="C/ MOLI N2 ATIC"/>
    <s v="47809430Z"/>
    <n v="200"/>
    <n v="1"/>
    <n v="60"/>
    <n v="260"/>
    <x v="0"/>
    <n v="50"/>
    <n v="150"/>
    <n v="0"/>
    <n v="60"/>
    <m/>
  </r>
  <r>
    <x v="3"/>
    <x v="4"/>
    <d v="2023-05-20T00:00:00"/>
    <s v="DISSABTE"/>
    <s v="NO"/>
    <s v="NO"/>
    <d v="1899-12-30T09:30:00"/>
    <d v="1899-12-30T14:30:00"/>
    <x v="3"/>
    <n v="1"/>
    <x v="484"/>
    <n v="8521"/>
    <s v="LES FRANQUESES"/>
    <s v="C/ ROSELLO 6 "/>
    <s v="47812967S"/>
    <n v="150"/>
    <n v="0"/>
    <n v="0"/>
    <n v="150"/>
    <x v="0"/>
    <n v="50"/>
    <n v="100"/>
    <n v="0"/>
    <n v="0"/>
    <m/>
  </r>
  <r>
    <x v="3"/>
    <x v="4"/>
    <d v="2023-05-20T00:00:00"/>
    <s v="DISSABTE"/>
    <s v="NO"/>
    <s v="NO"/>
    <d v="1899-12-30T15:30:00"/>
    <d v="1899-12-30T20:30:00"/>
    <x v="1"/>
    <n v="1"/>
    <x v="485"/>
    <n v="8170"/>
    <s v="MONTORNES DEL VALLES"/>
    <s v="C/ FRANCESC MACIA 47"/>
    <s v="47812725A"/>
    <n v="150"/>
    <n v="0"/>
    <n v="0"/>
    <n v="150"/>
    <x v="0"/>
    <n v="0"/>
    <n v="150"/>
    <n v="0"/>
    <n v="0"/>
    <m/>
  </r>
  <r>
    <x v="3"/>
    <x v="4"/>
    <d v="2023-05-20T00:00:00"/>
    <s v="DISSABTE"/>
    <s v="NO"/>
    <s v="NO"/>
    <d v="1899-12-30T21:30:00"/>
    <d v="1899-12-30T02:30:00"/>
    <x v="2"/>
    <n v="1"/>
    <x v="486"/>
    <n v="8184"/>
    <s v="PALAU SOLITA I PLEGAMANS"/>
    <s v="C/ FILIPRIM 46"/>
    <s v="52158472S"/>
    <n v="200"/>
    <n v="1"/>
    <n v="60"/>
    <n v="260"/>
    <x v="0"/>
    <n v="50"/>
    <n v="150"/>
    <n v="0"/>
    <n v="60"/>
    <m/>
  </r>
  <r>
    <x v="3"/>
    <x v="4"/>
    <d v="2023-05-21T00:00:00"/>
    <s v="DIUMENGE"/>
    <s v="NO"/>
    <s v="NO"/>
    <d v="1899-12-30T09:30:00"/>
    <d v="1899-12-30T14:30:00"/>
    <x v="3"/>
    <n v="1"/>
    <x v="487"/>
    <n v="8170"/>
    <s v="MONTORNES DEL VALLES"/>
    <s v="C/ BARTOMEU SALA 315 1-5"/>
    <s v="Y4045100N"/>
    <n v="150"/>
    <n v="0"/>
    <n v="0"/>
    <n v="150"/>
    <x v="0"/>
    <n v="50"/>
    <n v="100"/>
    <n v="0"/>
    <n v="0"/>
    <m/>
  </r>
  <r>
    <x v="3"/>
    <x v="4"/>
    <d v="2023-05-21T00:00:00"/>
    <s v="DIUMENGE"/>
    <s v="NO"/>
    <s v="NO"/>
    <d v="1899-12-30T15:30:00"/>
    <d v="1899-12-30T20:30:00"/>
    <x v="1"/>
    <n v="1"/>
    <x v="488"/>
    <n v="8104"/>
    <s v="MOLLET"/>
    <s v="C/ FRANCESC FERRER I GUARDIA 44 3-1"/>
    <s v="46944300N"/>
    <n v="150"/>
    <n v="0"/>
    <n v="0"/>
    <n v="150"/>
    <x v="0"/>
    <n v="50"/>
    <n v="100"/>
    <n v="0"/>
    <n v="0"/>
    <m/>
  </r>
  <r>
    <x v="3"/>
    <x v="4"/>
    <d v="2023-05-26T00:00:00"/>
    <s v="DIVENDRES"/>
    <s v="NO"/>
    <s v="NO"/>
    <d v="1899-12-30T21:30:00"/>
    <d v="1899-12-30T02:30:00"/>
    <x v="2"/>
    <n v="1"/>
    <x v="489"/>
    <n v="8110"/>
    <s v="MONTCADA I REIXAC"/>
    <s v="C/ VALENCIA 27 3-3"/>
    <s v="46606787R"/>
    <n v="200"/>
    <n v="0"/>
    <n v="0"/>
    <n v="200"/>
    <x v="0"/>
    <n v="200"/>
    <n v="0"/>
    <n v="0"/>
    <n v="0"/>
    <m/>
  </r>
  <r>
    <x v="3"/>
    <x v="4"/>
    <d v="2023-05-27T00:00:00"/>
    <s v="DISSABTE"/>
    <s v="NO"/>
    <s v="NO"/>
    <d v="1899-12-30T09:30:00"/>
    <d v="1899-12-30T14:30:00"/>
    <x v="3"/>
    <n v="1"/>
    <x v="490"/>
    <n v="8170"/>
    <s v="MONTORNES DEL VALLES"/>
    <s v="C/ VALLROMANES 11"/>
    <s v="53034874W"/>
    <n v="150"/>
    <n v="0"/>
    <n v="0"/>
    <n v="150"/>
    <x v="0"/>
    <n v="50"/>
    <n v="100"/>
    <n v="0"/>
    <n v="0"/>
    <m/>
  </r>
  <r>
    <x v="3"/>
    <x v="4"/>
    <d v="2023-05-27T00:00:00"/>
    <s v="DISSABTE"/>
    <s v="NO"/>
    <s v="NO"/>
    <d v="1899-12-30T15:30:00"/>
    <d v="1899-12-30T20:30:00"/>
    <x v="1"/>
    <n v="1"/>
    <x v="491"/>
    <n v="8430"/>
    <s v="STA AGNES DE MALANYANES"/>
    <s v="C/ OMS 24"/>
    <s v="47971502B"/>
    <n v="150"/>
    <n v="0"/>
    <n v="0"/>
    <n v="150"/>
    <x v="0"/>
    <n v="50"/>
    <n v="100"/>
    <n v="0"/>
    <n v="0"/>
    <m/>
  </r>
  <r>
    <x v="3"/>
    <x v="4"/>
    <d v="2023-05-28T00:00:00"/>
    <s v="DIUMENGE"/>
    <s v="NO"/>
    <s v="NO"/>
    <d v="1899-12-30T09:30:00"/>
    <d v="1899-12-30T14:30:00"/>
    <x v="3"/>
    <n v="1"/>
    <x v="288"/>
    <m/>
    <m/>
    <m/>
    <m/>
    <n v="150"/>
    <n v="0"/>
    <n v="0"/>
    <n v="150"/>
    <x v="0"/>
    <n v="50"/>
    <n v="100"/>
    <n v="0"/>
    <n v="0"/>
    <m/>
  </r>
  <r>
    <x v="3"/>
    <x v="4"/>
    <d v="2023-05-31T00:00:00"/>
    <s v="DIMECRES"/>
    <s v="NO"/>
    <s v="NO"/>
    <d v="1899-12-30T15:30:00"/>
    <d v="1899-12-30T20:30:00"/>
    <x v="1"/>
    <n v="1"/>
    <x v="338"/>
    <m/>
    <m/>
    <m/>
    <m/>
    <n v="95"/>
    <n v="0"/>
    <n v="0"/>
    <n v="95"/>
    <x v="0"/>
    <n v="50"/>
    <n v="45"/>
    <n v="0"/>
    <n v="0"/>
    <s v="45 BIZUM"/>
  </r>
  <r>
    <x v="3"/>
    <x v="5"/>
    <d v="2023-06-01T00:00:00"/>
    <s v="DIJOUS"/>
    <s v="NO"/>
    <s v="NO"/>
    <d v="1899-12-30T15:30:00"/>
    <d v="1899-12-30T20:30:00"/>
    <x v="1"/>
    <n v="1"/>
    <x v="492"/>
    <n v="8170"/>
    <s v="MONTORNES DEL VALLES"/>
    <s v="C/ CASANOVA N8 BAJOS C"/>
    <s v="53065443G"/>
    <n v="95"/>
    <n v="0"/>
    <n v="0"/>
    <n v="95"/>
    <x v="0"/>
    <n v="50"/>
    <n v="45"/>
    <n v="0"/>
    <n v="0"/>
    <m/>
  </r>
  <r>
    <x v="3"/>
    <x v="5"/>
    <d v="2023-06-03T00:00:00"/>
    <s v="DISSABTE"/>
    <s v="NO"/>
    <s v="NO"/>
    <d v="1899-12-30T15:30:00"/>
    <d v="1899-12-30T20:30:00"/>
    <x v="1"/>
    <n v="1"/>
    <x v="493"/>
    <n v="8104"/>
    <s v="MOLLET"/>
    <s v="RBLA POMPEU FABRA 14 4-2"/>
    <s v="53122854F"/>
    <n v="150"/>
    <n v="0"/>
    <n v="0"/>
    <n v="150"/>
    <x v="0"/>
    <n v="0"/>
    <n v="150"/>
    <n v="0"/>
    <n v="0"/>
    <s v="150 bizum"/>
  </r>
  <r>
    <x v="3"/>
    <x v="5"/>
    <d v="2023-06-03T00:00:00"/>
    <s v="DISSABTE"/>
    <s v="NO"/>
    <s v="NO"/>
    <d v="1899-12-30T21:30:00"/>
    <d v="1899-12-30T02:30:00"/>
    <x v="2"/>
    <n v="1"/>
    <x v="494"/>
    <n v="8185"/>
    <s v="LLIÇA DE VALL"/>
    <s v="C/ RIPOLLES N32"/>
    <s v="52178149V"/>
    <n v="200"/>
    <n v="0"/>
    <n v="0"/>
    <n v="200"/>
    <x v="0"/>
    <n v="50"/>
    <n v="150"/>
    <n v="0"/>
    <n v="0"/>
    <s v="150 bizum"/>
  </r>
  <r>
    <x v="3"/>
    <x v="5"/>
    <d v="2023-06-04T00:00:00"/>
    <s v="DIUMENGE"/>
    <s v="NO"/>
    <s v="NO"/>
    <d v="1899-12-30T09:30:00"/>
    <d v="1899-12-30T20:30:00"/>
    <x v="5"/>
    <n v="2"/>
    <x v="495"/>
    <m/>
    <m/>
    <m/>
    <m/>
    <n v="150"/>
    <n v="0"/>
    <n v="0"/>
    <n v="150"/>
    <x v="0"/>
    <n v="0"/>
    <n v="150"/>
    <n v="0"/>
    <n v="0"/>
    <m/>
  </r>
  <r>
    <x v="3"/>
    <x v="5"/>
    <d v="2023-06-05T00:00:00"/>
    <s v="DILLUNS"/>
    <s v="NO"/>
    <s v="NO"/>
    <d v="1899-12-30T15:30:00"/>
    <d v="1899-12-30T20:30:00"/>
    <x v="1"/>
    <n v="1"/>
    <x v="496"/>
    <n v="8170"/>
    <s v="MONTORNES DEL VALLES"/>
    <s v="AV ERNEST LLUCH 31 1-1"/>
    <s v="52163638Y"/>
    <n v="95"/>
    <n v="0"/>
    <n v="0"/>
    <n v="95"/>
    <x v="0"/>
    <n v="50"/>
    <n v="45"/>
    <n v="0"/>
    <n v="0"/>
    <s v="45 bizum"/>
  </r>
  <r>
    <x v="3"/>
    <x v="5"/>
    <d v="2023-06-07T00:00:00"/>
    <s v="DIMECRES"/>
    <s v="NO"/>
    <s v="NO"/>
    <d v="1899-12-30T15:30:00"/>
    <d v="1899-12-30T20:30:00"/>
    <x v="1"/>
    <n v="1"/>
    <x v="497"/>
    <m/>
    <m/>
    <m/>
    <m/>
    <n v="95"/>
    <n v="0"/>
    <n v="0"/>
    <n v="95"/>
    <x v="0"/>
    <n v="50"/>
    <n v="45"/>
    <n v="0"/>
    <n v="0"/>
    <m/>
  </r>
  <r>
    <x v="3"/>
    <x v="5"/>
    <d v="2023-06-09T00:00:00"/>
    <s v="DIVENDRES"/>
    <s v="NO"/>
    <s v="NO"/>
    <d v="1899-12-30T15:30:00"/>
    <d v="1899-12-30T02:30:00"/>
    <x v="4"/>
    <n v="2"/>
    <x v="498"/>
    <n v="8170"/>
    <s v="MONTORNES DEL VALLES"/>
    <s v="C/ NOU D'ABRIL N9 1-1"/>
    <s v="54677495D"/>
    <n v="300"/>
    <n v="0"/>
    <n v="0"/>
    <n v="300"/>
    <x v="0"/>
    <n v="50"/>
    <n v="250"/>
    <n v="0"/>
    <n v="0"/>
    <m/>
  </r>
  <r>
    <x v="3"/>
    <x v="5"/>
    <d v="2023-06-10T00:00:00"/>
    <s v="DISSABTE"/>
    <s v="NO"/>
    <s v="NO"/>
    <d v="1899-12-30T09:30:00"/>
    <d v="1899-12-30T14:30:00"/>
    <x v="3"/>
    <n v="1"/>
    <x v="499"/>
    <n v="8170"/>
    <s v="MONTORNES DEL VALLES"/>
    <s v="C/ ESTRELLA 28 N1"/>
    <s v="52160759W"/>
    <n v="150"/>
    <n v="0"/>
    <n v="0"/>
    <n v="150"/>
    <x v="0"/>
    <n v="150"/>
    <n v="0"/>
    <n v="0"/>
    <n v="0"/>
    <m/>
  </r>
  <r>
    <x v="3"/>
    <x v="5"/>
    <d v="2023-06-10T00:00:00"/>
    <s v="DISSABTE"/>
    <s v="NO"/>
    <s v="NO"/>
    <d v="1899-12-30T15:30:00"/>
    <d v="1899-12-30T20:30:00"/>
    <x v="1"/>
    <n v="1"/>
    <x v="500"/>
    <n v="8188"/>
    <s v="VALLROMANES"/>
    <s v="C/ LA CARENA N16 "/>
    <s v="47270747C"/>
    <n v="150"/>
    <n v="0"/>
    <n v="0"/>
    <n v="150"/>
    <x v="0"/>
    <n v="0"/>
    <n v="150"/>
    <n v="0"/>
    <n v="0"/>
    <s v="150 bizum"/>
  </r>
  <r>
    <x v="3"/>
    <x v="5"/>
    <d v="2023-06-10T00:00:00"/>
    <s v="DISSABTE"/>
    <s v="NO"/>
    <s v="NO"/>
    <d v="1899-12-30T21:30:00"/>
    <d v="1899-12-30T02:30:00"/>
    <x v="2"/>
    <n v="1"/>
    <x v="501"/>
    <n v="8104"/>
    <s v="MOLLET"/>
    <s v="C/ SANT LLORENÇ N80 2"/>
    <s v="38088075Y"/>
    <n v="200"/>
    <n v="1"/>
    <n v="60"/>
    <n v="260"/>
    <x v="0"/>
    <n v="50"/>
    <n v="150"/>
    <n v="0"/>
    <n v="60"/>
    <m/>
  </r>
  <r>
    <x v="3"/>
    <x v="5"/>
    <d v="2023-06-11T00:00:00"/>
    <s v="DIUMENGE"/>
    <s v="NO"/>
    <s v="NO"/>
    <d v="1899-12-30T09:30:00"/>
    <d v="1899-12-30T14:30:00"/>
    <x v="3"/>
    <n v="1"/>
    <x v="135"/>
    <n v="8001"/>
    <s v="BARCELONA"/>
    <s v="C/ NOU PINS  109 ATIC 1"/>
    <s v="39439699N"/>
    <n v="145"/>
    <n v="0"/>
    <n v="0"/>
    <n v="145"/>
    <x v="0"/>
    <n v="50"/>
    <n v="95"/>
    <n v="0"/>
    <n v="0"/>
    <m/>
  </r>
  <r>
    <x v="3"/>
    <x v="5"/>
    <d v="2023-06-11T00:00:00"/>
    <s v="DIUMENGE"/>
    <s v="NO"/>
    <s v="NO"/>
    <d v="1899-12-30T15:30:00"/>
    <d v="1899-12-30T20:30:00"/>
    <x v="1"/>
    <n v="1"/>
    <x v="502"/>
    <n v="8170"/>
    <s v="MONTORNES DEL VALLES"/>
    <s v="C/ MONTSENY 1 5-3"/>
    <s v="53079247P"/>
    <n v="150"/>
    <n v="0"/>
    <n v="0"/>
    <n v="150"/>
    <x v="0"/>
    <n v="50"/>
    <n v="100"/>
    <n v="0"/>
    <n v="0"/>
    <m/>
  </r>
  <r>
    <x v="3"/>
    <x v="5"/>
    <d v="2023-06-12T00:00:00"/>
    <s v="DILLUNS"/>
    <s v="NO"/>
    <s v="NO"/>
    <d v="1899-12-30T15:30:00"/>
    <d v="1899-12-30T20:30:00"/>
    <x v="1"/>
    <n v="1"/>
    <x v="284"/>
    <m/>
    <m/>
    <m/>
    <m/>
    <n v="95"/>
    <n v="0"/>
    <n v="0"/>
    <n v="95"/>
    <x v="0"/>
    <n v="50"/>
    <n v="45"/>
    <n v="0"/>
    <n v="0"/>
    <m/>
  </r>
  <r>
    <x v="3"/>
    <x v="5"/>
    <d v="2023-06-16T00:00:00"/>
    <s v="DIVENDRES"/>
    <s v="NO"/>
    <s v="NO"/>
    <d v="1899-12-30T15:30:00"/>
    <d v="1899-12-30T20:30:00"/>
    <x v="1"/>
    <n v="1"/>
    <x v="503"/>
    <m/>
    <m/>
    <m/>
    <m/>
    <n v="140"/>
    <n v="0"/>
    <n v="0"/>
    <n v="140"/>
    <x v="0"/>
    <n v="50"/>
    <n v="90"/>
    <n v="0"/>
    <n v="0"/>
    <m/>
  </r>
  <r>
    <x v="3"/>
    <x v="5"/>
    <d v="2023-06-17T00:00:00"/>
    <s v="DISSABTE"/>
    <s v="NO"/>
    <s v="NO"/>
    <d v="1899-12-30T09:30:00"/>
    <d v="1899-12-30T14:30:00"/>
    <x v="3"/>
    <n v="1"/>
    <x v="504"/>
    <n v="8170"/>
    <s v="MONTORNES DEL VALLES"/>
    <s v="C/ FRANCESC MACIA 23-25 2-2"/>
    <s v="53084780K"/>
    <n v="150"/>
    <n v="0"/>
    <n v="0"/>
    <n v="150"/>
    <x v="0"/>
    <n v="50"/>
    <n v="100"/>
    <n v="0"/>
    <n v="0"/>
    <m/>
  </r>
  <r>
    <x v="3"/>
    <x v="5"/>
    <d v="2023-06-17T00:00:00"/>
    <s v="DISSABTE"/>
    <s v="NO"/>
    <s v="NO"/>
    <d v="1899-12-30T15:30:00"/>
    <d v="1899-12-30T20:30:00"/>
    <x v="1"/>
    <n v="1"/>
    <x v="505"/>
    <n v="8170"/>
    <s v="MONTORNES DEL VALLES"/>
    <s v="C/ CAN PARERA 30-32 4-2"/>
    <s v="47971124R"/>
    <n v="150"/>
    <n v="0"/>
    <n v="0"/>
    <n v="150"/>
    <x v="0"/>
    <n v="150"/>
    <n v="0"/>
    <n v="0"/>
    <n v="0"/>
    <m/>
  </r>
  <r>
    <x v="3"/>
    <x v="5"/>
    <d v="2023-06-18T00:00:00"/>
    <s v="DIUMENGE"/>
    <s v="NO"/>
    <s v="NO"/>
    <d v="1899-12-30T09:30:00"/>
    <d v="1899-12-30T20:30:00"/>
    <x v="5"/>
    <n v="2"/>
    <x v="506"/>
    <n v="8170"/>
    <s v="MONTORNES DEL VALLES"/>
    <s v="C/ BLAS INFANTE N10 2-1"/>
    <s v="47805567K"/>
    <n v="290"/>
    <n v="0"/>
    <n v="0"/>
    <n v="290"/>
    <x v="0"/>
    <n v="50"/>
    <n v="240"/>
    <n v="0"/>
    <n v="0"/>
    <s v="FRA 2023_02"/>
  </r>
  <r>
    <x v="3"/>
    <x v="5"/>
    <d v="2023-06-23T00:00:00"/>
    <s v="DIVENDRES"/>
    <s v="NO"/>
    <s v="SI"/>
    <d v="1899-12-30T15:30:00"/>
    <d v="1899-12-30T02:30:00"/>
    <x v="2"/>
    <n v="1"/>
    <x v="464"/>
    <n v="8170"/>
    <s v="MONTORNES DEL VALLES"/>
    <s v="C/ MAJOR 82 4-1"/>
    <s v="47817231R"/>
    <n v="300"/>
    <n v="0"/>
    <n v="0"/>
    <n v="300"/>
    <x v="0"/>
    <n v="50"/>
    <n v="250"/>
    <n v="0"/>
    <n v="0"/>
    <m/>
  </r>
  <r>
    <x v="3"/>
    <x v="5"/>
    <d v="2023-06-25T00:00:00"/>
    <s v="DIUMENGE"/>
    <s v="NO"/>
    <s v="NO"/>
    <d v="1899-12-30T15:30:00"/>
    <d v="1899-12-30T20:30:00"/>
    <x v="1"/>
    <n v="1"/>
    <x v="507"/>
    <n v="8170"/>
    <s v="MONTORNES DEL VALLES"/>
    <s v="C/ ELS PINS N2 5A "/>
    <s v="46697428E"/>
    <n v="150"/>
    <n v="0"/>
    <n v="0"/>
    <n v="150"/>
    <x v="0"/>
    <n v="50"/>
    <n v="100"/>
    <n v="0"/>
    <n v="0"/>
    <m/>
  </r>
  <r>
    <x v="3"/>
    <x v="5"/>
    <d v="2023-06-29T00:00:00"/>
    <s v="DIJOUS"/>
    <s v="NO"/>
    <s v="NO"/>
    <d v="1899-12-30T15:30:00"/>
    <d v="1899-12-30T20:30:00"/>
    <x v="1"/>
    <n v="1"/>
    <x v="508"/>
    <m/>
    <m/>
    <m/>
    <m/>
    <n v="95"/>
    <n v="0"/>
    <n v="0"/>
    <n v="95"/>
    <x v="0"/>
    <n v="95"/>
    <n v="0"/>
    <n v="0"/>
    <n v="0"/>
    <m/>
  </r>
  <r>
    <x v="3"/>
    <x v="5"/>
    <d v="2023-06-30T00:00:00"/>
    <s v="DIVENDRES"/>
    <s v="NO"/>
    <s v="NO"/>
    <d v="1899-12-30T21:30:00"/>
    <d v="1899-12-30T02:30:00"/>
    <x v="2"/>
    <n v="1"/>
    <x v="509"/>
    <n v="8170"/>
    <s v="MONTORNES DEL VALLES"/>
    <s v="AV MARE DE DEU MONTSERRAT N12"/>
    <s v="47701740Q"/>
    <n v="200"/>
    <n v="0"/>
    <n v="0"/>
    <n v="200"/>
    <x v="0"/>
    <n v="50"/>
    <n v="150"/>
    <n v="0"/>
    <n v="0"/>
    <s v="bizum marta"/>
  </r>
  <r>
    <x v="3"/>
    <x v="6"/>
    <d v="2023-07-01T00:00:00"/>
    <s v="DISSABTE"/>
    <s v="NO"/>
    <s v="NO"/>
    <d v="1899-12-30T09:30:00"/>
    <d v="1899-12-30T14:30:00"/>
    <x v="3"/>
    <n v="1"/>
    <x v="510"/>
    <n v="8410"/>
    <s v="VILANOVA DEL VALLES"/>
    <s v="PG JOAN COROMINES 24"/>
    <s v="47807640R"/>
    <n v="150"/>
    <n v="0"/>
    <n v="0"/>
    <n v="150"/>
    <x v="0"/>
    <n v="50"/>
    <n v="100"/>
    <n v="0"/>
    <n v="0"/>
    <m/>
  </r>
  <r>
    <x v="3"/>
    <x v="6"/>
    <d v="2023-07-01T00:00:00"/>
    <s v="DISSABTE"/>
    <s v="NO"/>
    <s v="NO"/>
    <d v="1899-12-30T15:30:00"/>
    <d v="1899-12-30T20:30:00"/>
    <x v="1"/>
    <n v="1"/>
    <x v="511"/>
    <n v="8107"/>
    <s v="MARTORELLES"/>
    <s v="C CAN SUÑER 16"/>
    <s v="33925834Y"/>
    <n v="150"/>
    <n v="0"/>
    <n v="0"/>
    <n v="150"/>
    <x v="0"/>
    <n v="150"/>
    <n v="0"/>
    <n v="0"/>
    <n v="0"/>
    <m/>
  </r>
  <r>
    <x v="3"/>
    <x v="6"/>
    <d v="2023-07-01T00:00:00"/>
    <s v="DISSABTE"/>
    <s v="NO"/>
    <s v="NO"/>
    <d v="1899-12-30T21:30:00"/>
    <d v="1899-12-30T02:30:00"/>
    <x v="2"/>
    <n v="1"/>
    <x v="512"/>
    <m/>
    <m/>
    <m/>
    <m/>
    <n v="200"/>
    <n v="1"/>
    <n v="110"/>
    <n v="310"/>
    <x v="0"/>
    <n v="50"/>
    <n v="260"/>
    <n v="0"/>
    <n v="0"/>
    <s v="bizum oriol"/>
  </r>
  <r>
    <x v="3"/>
    <x v="6"/>
    <d v="2023-07-02T00:00:00"/>
    <s v="DIUMENGE"/>
    <s v="NO"/>
    <s v="NO"/>
    <d v="1899-12-30T15:30:00"/>
    <d v="1899-12-30T20:30:00"/>
    <x v="1"/>
    <n v="1"/>
    <x v="513"/>
    <n v="8410"/>
    <s v="VILANOVA DEL VALLES"/>
    <s v="PG CENTENARI 27 1-2"/>
    <s v="X5549777S"/>
    <n v="150"/>
    <n v="0"/>
    <n v="0"/>
    <n v="150"/>
    <x v="0"/>
    <n v="50"/>
    <n v="100"/>
    <n v="0"/>
    <n v="0"/>
    <m/>
  </r>
  <r>
    <x v="3"/>
    <x v="6"/>
    <d v="2023-07-05T00:00:00"/>
    <s v="DIMECRES"/>
    <s v="NO"/>
    <s v="NO"/>
    <d v="1899-12-30T15:30:00"/>
    <d v="1899-12-30T20:30:00"/>
    <x v="1"/>
    <n v="1"/>
    <x v="514"/>
    <n v="8170"/>
    <s v="MONTORNES DEL VALLES"/>
    <s v="C DEL SOL N2 4-1"/>
    <s v="33899965N"/>
    <n v="95"/>
    <n v="1"/>
    <n v="55"/>
    <n v="150"/>
    <x v="0"/>
    <n v="50"/>
    <n v="45"/>
    <n v="0"/>
    <n v="55"/>
    <m/>
  </r>
  <r>
    <x v="3"/>
    <x v="6"/>
    <d v="2023-07-07T00:00:00"/>
    <s v="DIVENDRES"/>
    <s v="NO"/>
    <s v="NO"/>
    <d v="1899-12-30T15:30:00"/>
    <d v="1899-12-30T20:30:00"/>
    <x v="1"/>
    <n v="1"/>
    <x v="515"/>
    <n v="8104"/>
    <s v="MOLLET"/>
    <s v="C PAU CLARIS 40 2-2"/>
    <s v="53032796V"/>
    <n v="140"/>
    <n v="0"/>
    <n v="0"/>
    <n v="140"/>
    <x v="0"/>
    <n v="50"/>
    <n v="90"/>
    <n v="0"/>
    <n v="0"/>
    <s v="90 bizum"/>
  </r>
  <r>
    <x v="3"/>
    <x v="6"/>
    <d v="2023-07-07T00:00:00"/>
    <s v="DIVENDRES"/>
    <s v="NO"/>
    <s v="NO"/>
    <d v="1899-12-30T21:30:00"/>
    <d v="1899-12-30T02:30:00"/>
    <x v="2"/>
    <n v="1"/>
    <x v="516"/>
    <n v="8170"/>
    <s v="MONTORNES DEL VALLES"/>
    <s v="C MAJOR 45 2B"/>
    <s v="77310616A"/>
    <n v="200"/>
    <n v="0"/>
    <n v="0"/>
    <n v="200"/>
    <x v="0"/>
    <n v="50"/>
    <n v="150"/>
    <n v="0"/>
    <n v="0"/>
    <m/>
  </r>
  <r>
    <x v="3"/>
    <x v="6"/>
    <d v="2023-07-08T00:00:00"/>
    <s v="DISSABTE"/>
    <s v="NO"/>
    <s v="NO"/>
    <d v="1899-12-30T09:30:00"/>
    <d v="1899-12-30T20:30:00"/>
    <x v="5"/>
    <n v="2"/>
    <x v="517"/>
    <n v="8170"/>
    <s v="MONTORNES DEL VALLES"/>
    <s v="AV ONZE DE SETEMBRE 36 1-1"/>
    <s v="47919491A"/>
    <n v="290"/>
    <n v="0"/>
    <n v="0"/>
    <n v="290"/>
    <x v="0"/>
    <n v="50"/>
    <n v="240"/>
    <n v="0"/>
    <n v="0"/>
    <m/>
  </r>
  <r>
    <x v="3"/>
    <x v="6"/>
    <d v="2023-07-08T00:00:00"/>
    <s v="DISSABTE"/>
    <s v="NO"/>
    <s v="NO"/>
    <d v="1899-12-30T21:30:00"/>
    <d v="1899-12-30T02:30:00"/>
    <x v="2"/>
    <n v="1"/>
    <x v="518"/>
    <m/>
    <m/>
    <m/>
    <m/>
    <n v="180"/>
    <n v="0"/>
    <n v="0"/>
    <n v="180"/>
    <x v="0"/>
    <n v="0"/>
    <n v="180"/>
    <n v="0"/>
    <n v="0"/>
    <m/>
  </r>
  <r>
    <x v="3"/>
    <x v="6"/>
    <d v="2023-07-09T00:00:00"/>
    <s v="DIUMENGE"/>
    <s v="NO"/>
    <s v="NO"/>
    <d v="1899-12-30T15:30:00"/>
    <d v="1899-12-30T20:30:00"/>
    <x v="1"/>
    <n v="1"/>
    <x v="519"/>
    <n v="8170"/>
    <s v="MONTORNES DEL VALLES"/>
    <s v="C BLAS INFANTE 14-16 BAJO 3"/>
    <s v="54249136W"/>
    <n v="150"/>
    <n v="0"/>
    <n v="0"/>
    <n v="150"/>
    <x v="0"/>
    <n v="50"/>
    <n v="100"/>
    <n v="0"/>
    <n v="0"/>
    <m/>
  </r>
  <r>
    <x v="3"/>
    <x v="6"/>
    <d v="2023-07-14T00:00:00"/>
    <s v="DIVENDRES"/>
    <s v="NO"/>
    <s v="NO"/>
    <d v="1899-12-30T21:30:00"/>
    <d v="1899-12-30T02:30:00"/>
    <x v="2"/>
    <n v="1"/>
    <x v="520"/>
    <m/>
    <m/>
    <m/>
    <m/>
    <n v="50"/>
    <n v="0"/>
    <n v="0"/>
    <n v="50"/>
    <x v="0"/>
    <n v="50"/>
    <n v="0"/>
    <n v="0"/>
    <n v="0"/>
    <s v="ANULAT"/>
  </r>
  <r>
    <x v="3"/>
    <x v="6"/>
    <d v="2023-07-15T00:00:00"/>
    <s v="DISSABTE"/>
    <s v="NO"/>
    <s v="NO"/>
    <d v="1899-12-30T09:30:00"/>
    <d v="1899-12-30T02:30:00"/>
    <x v="5"/>
    <n v="3"/>
    <x v="521"/>
    <n v="8170"/>
    <s v="MONTORNES DEL VALLES"/>
    <s v="AV MARE DE DEU DEL CARME 23 BAJOS"/>
    <s v="47921957P"/>
    <n v="400"/>
    <n v="0"/>
    <n v="0"/>
    <n v="400"/>
    <x v="0"/>
    <n v="400"/>
    <n v="0"/>
    <n v="0"/>
    <n v="0"/>
    <m/>
  </r>
  <r>
    <x v="3"/>
    <x v="6"/>
    <d v="2023-07-16T00:00:00"/>
    <s v="DIUMENGE"/>
    <s v="NO"/>
    <s v="NO"/>
    <d v="1899-12-30T09:30:00"/>
    <d v="1899-12-30T14:30:00"/>
    <x v="3"/>
    <n v="1"/>
    <x v="522"/>
    <n v="8410"/>
    <s v="VILANOVA DEL VALLES"/>
    <s v="CAMI DE CAN NADAL 15"/>
    <s v="47918021M"/>
    <n v="150"/>
    <n v="0"/>
    <n v="0"/>
    <n v="150"/>
    <x v="0"/>
    <n v="50"/>
    <n v="100"/>
    <n v="0"/>
    <n v="0"/>
    <m/>
  </r>
  <r>
    <x v="3"/>
    <x v="6"/>
    <d v="2023-07-22T00:00:00"/>
    <s v="DISSABTE"/>
    <s v="NO"/>
    <s v="NO"/>
    <d v="1899-12-30T09:30:00"/>
    <d v="1899-12-30T20:30:00"/>
    <x v="5"/>
    <n v="2"/>
    <x v="523"/>
    <m/>
    <m/>
    <m/>
    <m/>
    <n v="290"/>
    <n v="0"/>
    <n v="0"/>
    <n v="290"/>
    <x v="0"/>
    <n v="50"/>
    <n v="240"/>
    <n v="0"/>
    <n v="0"/>
    <m/>
  </r>
  <r>
    <x v="3"/>
    <x v="6"/>
    <d v="2023-07-22T00:00:00"/>
    <s v="DISSABTE"/>
    <s v="NO"/>
    <s v="NO"/>
    <d v="1899-12-30T21:30:00"/>
    <d v="1899-12-30T02:30:00"/>
    <x v="2"/>
    <n v="1"/>
    <x v="524"/>
    <n v="8170"/>
    <s v="MONTORNES DEL VALLES"/>
    <s v="C LLEIDA 4 2"/>
    <s v="52165222A"/>
    <n v="200"/>
    <n v="1"/>
    <n v="170"/>
    <n v="370"/>
    <x v="0"/>
    <n v="50"/>
    <n v="150"/>
    <n v="0"/>
    <n v="170"/>
    <m/>
  </r>
  <r>
    <x v="3"/>
    <x v="6"/>
    <d v="2023-07-28T00:00:00"/>
    <s v="DIVENDRES"/>
    <s v="NO"/>
    <s v="NO"/>
    <d v="1899-12-30T21:30:00"/>
    <d v="1899-12-30T02:30:00"/>
    <x v="2"/>
    <n v="1"/>
    <x v="525"/>
    <n v="8170"/>
    <s v="MONTORNES DEL VALLES"/>
    <s v="C MIQUEL MARTI I POL 9"/>
    <s v="52167678K"/>
    <n v="200"/>
    <n v="0"/>
    <n v="0"/>
    <n v="200"/>
    <x v="0"/>
    <n v="50"/>
    <n v="150"/>
    <n v="0"/>
    <n v="0"/>
    <m/>
  </r>
  <r>
    <x v="3"/>
    <x v="6"/>
    <d v="2023-07-29T00:00:00"/>
    <s v="DISSABTE"/>
    <s v="NO"/>
    <s v="NO"/>
    <d v="1899-12-30T15:30:00"/>
    <d v="1899-12-30T02:30:00"/>
    <x v="2"/>
    <n v="1"/>
    <x v="526"/>
    <n v="8459"/>
    <s v="SANT ANTONI DE VILAMAJOR"/>
    <s v="AV ALFONS I 5 2-4"/>
    <s v="46138360S"/>
    <n v="320"/>
    <n v="1"/>
    <n v="60"/>
    <n v="380"/>
    <x v="0"/>
    <n v="50"/>
    <n v="270"/>
    <n v="0"/>
    <n v="60"/>
    <m/>
  </r>
  <r>
    <x v="3"/>
    <x v="7"/>
    <d v="2023-08-11T00:00:00"/>
    <s v="DIVENDRES"/>
    <s v="NO"/>
    <s v="NO"/>
    <d v="1899-12-30T21:30:00"/>
    <d v="1899-12-30T02:30:00"/>
    <x v="2"/>
    <n v="1"/>
    <x v="527"/>
    <m/>
    <m/>
    <m/>
    <m/>
    <n v="200"/>
    <n v="1"/>
    <n v="60"/>
    <n v="260"/>
    <x v="0"/>
    <n v="0"/>
    <n v="200"/>
    <n v="0"/>
    <n v="60"/>
    <s v="bizum oriol"/>
  </r>
  <r>
    <x v="3"/>
    <x v="7"/>
    <d v="2023-08-14T00:00:00"/>
    <s v="DISSABTE"/>
    <s v="NO"/>
    <s v="NO"/>
    <d v="1899-12-30T21:30:00"/>
    <d v="1899-12-30T02:30:00"/>
    <x v="2"/>
    <n v="1"/>
    <x v="528"/>
    <n v="8170"/>
    <s v="MONTORNES DEL VALLES"/>
    <s v="C NARCIS MONTURIOL 12 3-1"/>
    <s v="47809102Z"/>
    <n v="200"/>
    <n v="0"/>
    <n v="0"/>
    <n v="200"/>
    <x v="0"/>
    <n v="50"/>
    <n v="150"/>
    <n v="0"/>
    <n v="0"/>
    <m/>
  </r>
  <r>
    <x v="3"/>
    <x v="7"/>
    <d v="2023-08-15T00:00:00"/>
    <s v="DIMARTS"/>
    <s v="SI"/>
    <s v="NO"/>
    <d v="1899-12-30T15:30:00"/>
    <d v="1899-12-30T20:30:00"/>
    <x v="1"/>
    <n v="1"/>
    <x v="529"/>
    <n v="8186"/>
    <s v="LLIÇA D'AMUNT"/>
    <s v="C TORO DE LES PERDIUS 23"/>
    <s v="52166982S"/>
    <n v="150"/>
    <n v="0"/>
    <n v="0"/>
    <n v="150"/>
    <x v="0"/>
    <n v="50"/>
    <n v="100"/>
    <n v="0"/>
    <n v="0"/>
    <m/>
  </r>
  <r>
    <x v="3"/>
    <x v="7"/>
    <d v="2023-08-20T00:00:00"/>
    <s v="DIUMENGE"/>
    <s v="NO"/>
    <s v="NO"/>
    <d v="1899-12-30T15:30:00"/>
    <d v="1899-12-30T20:30:00"/>
    <x v="1"/>
    <n v="1"/>
    <x v="530"/>
    <m/>
    <m/>
    <m/>
    <m/>
    <n v="150"/>
    <n v="0"/>
    <n v="0"/>
    <n v="150"/>
    <x v="0"/>
    <n v="50"/>
    <n v="100"/>
    <n v="0"/>
    <n v="0"/>
    <m/>
  </r>
  <r>
    <x v="3"/>
    <x v="7"/>
    <d v="2023-08-26T00:00:00"/>
    <s v="DISSABTE"/>
    <s v="NO"/>
    <s v="NO"/>
    <d v="1899-12-30T09:30:00"/>
    <d v="1899-12-30T14:30:00"/>
    <x v="3"/>
    <n v="1"/>
    <x v="531"/>
    <n v="8120"/>
    <s v="LA LLAGOSTA"/>
    <s v="PZ CONCORDIA 8 5-3"/>
    <s v="46946151T"/>
    <n v="150"/>
    <n v="0"/>
    <n v="0"/>
    <n v="150"/>
    <x v="0"/>
    <n v="50"/>
    <n v="100"/>
    <n v="0"/>
    <n v="0"/>
    <m/>
  </r>
  <r>
    <x v="3"/>
    <x v="7"/>
    <d v="2023-08-26T00:00:00"/>
    <s v="DISSABTE"/>
    <s v="NO"/>
    <s v="NO"/>
    <d v="1899-12-30T15:30:00"/>
    <d v="1899-12-30T20:30:00"/>
    <x v="1"/>
    <n v="1"/>
    <x v="313"/>
    <n v="8170"/>
    <s v="MONTORNES DEL VALLES"/>
    <s v="C MONTSENY 6B 1-1"/>
    <s v="43699213H"/>
    <n v="150"/>
    <n v="0"/>
    <n v="0"/>
    <n v="150"/>
    <x v="0"/>
    <n v="50"/>
    <n v="100"/>
    <n v="0"/>
    <n v="0"/>
    <m/>
  </r>
  <r>
    <x v="3"/>
    <x v="7"/>
    <d v="2023-08-26T00:00:00"/>
    <s v="DISSABTE"/>
    <s v="NO"/>
    <s v="NO"/>
    <d v="1899-12-30T21:30:00"/>
    <d v="1899-12-30T02:30:00"/>
    <x v="2"/>
    <n v="1"/>
    <x v="532"/>
    <n v="8213"/>
    <s v="POLINYA"/>
    <s v="C MARGARIDA XIRGU 8 3-1"/>
    <s v="44987843G"/>
    <n v="200"/>
    <n v="1"/>
    <n v="20"/>
    <n v="220"/>
    <x v="0"/>
    <n v="50"/>
    <n v="150"/>
    <n v="0"/>
    <n v="20"/>
    <m/>
  </r>
  <r>
    <x v="3"/>
    <x v="7"/>
    <d v="2023-08-27T00:00:00"/>
    <s v="DIUMENGE"/>
    <s v="NO"/>
    <s v="NO"/>
    <d v="1899-12-30T15:30:00"/>
    <d v="1899-12-30T20:30:00"/>
    <x v="1"/>
    <n v="1"/>
    <x v="533"/>
    <n v="8186"/>
    <s v="LLIÇA D'AMUNT"/>
    <s v="C ROSELLES 110"/>
    <s v="43433153E"/>
    <n v="150"/>
    <n v="0"/>
    <n v="0"/>
    <n v="150"/>
    <x v="0"/>
    <n v="50"/>
    <n v="100"/>
    <n v="0"/>
    <n v="0"/>
    <m/>
  </r>
  <r>
    <x v="3"/>
    <x v="8"/>
    <d v="2023-09-01T00:00:00"/>
    <s v="DIVENDRES"/>
    <s v="NO"/>
    <s v="NO"/>
    <d v="1899-12-30T15:30:00"/>
    <d v="1899-12-30T02:30:00"/>
    <x v="4"/>
    <n v="2"/>
    <x v="534"/>
    <n v="8160"/>
    <s v="MONTMELÓ"/>
    <s v="JOAN MARAGALL 8 4-6"/>
    <s v="89273327D"/>
    <n v="300"/>
    <n v="1"/>
    <n v="70"/>
    <n v="370"/>
    <x v="0"/>
    <n v="50"/>
    <n v="250"/>
    <n v="0"/>
    <n v="70"/>
    <m/>
  </r>
  <r>
    <x v="3"/>
    <x v="8"/>
    <d v="2023-09-02T00:00:00"/>
    <s v="DISSABTE"/>
    <s v="NO"/>
    <s v="NO"/>
    <d v="1899-12-30T09:30:00"/>
    <d v="1899-12-30T14:30:00"/>
    <x v="3"/>
    <n v="1"/>
    <x v="535"/>
    <m/>
    <m/>
    <m/>
    <m/>
    <n v="150"/>
    <n v="0"/>
    <n v="0"/>
    <n v="150"/>
    <x v="0"/>
    <n v="0"/>
    <n v="150"/>
    <n v="0"/>
    <n v="0"/>
    <s v="Bizum"/>
  </r>
  <r>
    <x v="3"/>
    <x v="8"/>
    <d v="2023-09-02T00:00:00"/>
    <s v="DISSABTE"/>
    <s v="NO"/>
    <s v="NO"/>
    <d v="1899-12-30T15:30:00"/>
    <d v="1899-12-30T02:30:00"/>
    <x v="4"/>
    <n v="2"/>
    <x v="536"/>
    <m/>
    <m/>
    <m/>
    <m/>
    <n v="320"/>
    <n v="1"/>
    <n v="60"/>
    <n v="380"/>
    <x v="0"/>
    <n v="0"/>
    <n v="320"/>
    <n v="0"/>
    <n v="60"/>
    <s v="EFECTIU"/>
  </r>
  <r>
    <x v="3"/>
    <x v="8"/>
    <d v="2023-09-03T00:00:00"/>
    <s v="DIUMENGE"/>
    <s v="NO"/>
    <s v="NO"/>
    <d v="1899-12-30T15:30:00"/>
    <d v="1899-12-30T02:30:00"/>
    <x v="1"/>
    <n v="1"/>
    <x v="537"/>
    <n v="8186"/>
    <s v="LLIÇA D'AMUNT"/>
    <s v="ESTANY DE CERTESCAN 12"/>
    <s v="46945987Z"/>
    <n v="150"/>
    <n v="0"/>
    <n v="0"/>
    <n v="150"/>
    <x v="0"/>
    <n v="50"/>
    <n v="100"/>
    <n v="0"/>
    <n v="0"/>
    <m/>
  </r>
  <r>
    <x v="3"/>
    <x v="8"/>
    <d v="2023-09-07T00:00:00"/>
    <s v="DIJOUS"/>
    <s v="NO"/>
    <s v="NO"/>
    <d v="1899-12-30T15:30:00"/>
    <d v="1899-12-30T20:30:00"/>
    <x v="1"/>
    <n v="1"/>
    <x v="538"/>
    <n v="8170"/>
    <s v="MONTORNES DEL VALLES"/>
    <s v="C EUSKADI 6 3-3"/>
    <s v="47709403C"/>
    <n v="95"/>
    <n v="0"/>
    <n v="0"/>
    <n v="95"/>
    <x v="0"/>
    <n v="50"/>
    <n v="45"/>
    <n v="0"/>
    <n v="0"/>
    <m/>
  </r>
  <r>
    <x v="3"/>
    <x v="8"/>
    <d v="2023-09-08T00:00:00"/>
    <s v="DIVENDRES"/>
    <s v="NO"/>
    <s v="NO"/>
    <d v="1899-12-30T15:30:00"/>
    <d v="1899-12-30T20:30:00"/>
    <x v="1"/>
    <n v="1"/>
    <x v="539"/>
    <n v="8911"/>
    <s v="BADALONA"/>
    <s v="C SANT BARTOMEU 10-16 4-1"/>
    <s v="53331518S"/>
    <n v="140"/>
    <n v="0"/>
    <n v="0"/>
    <n v="140"/>
    <x v="0"/>
    <n v="140"/>
    <n v="0"/>
    <n v="0"/>
    <n v="0"/>
    <m/>
  </r>
  <r>
    <x v="3"/>
    <x v="8"/>
    <d v="2023-09-08T00:00:00"/>
    <s v="DIVENDRES"/>
    <s v="NO"/>
    <s v="NO"/>
    <d v="1899-12-30T21:30:00"/>
    <d v="1899-12-30T02:30:00"/>
    <x v="2"/>
    <n v="1"/>
    <x v="540"/>
    <n v="8170"/>
    <s v="MONTORNES DEL VALLES"/>
    <s v="C CASANOVA 4 5-B"/>
    <s v="40978708E"/>
    <n v="200"/>
    <n v="0"/>
    <n v="0"/>
    <n v="200"/>
    <x v="0"/>
    <n v="200"/>
    <n v="0"/>
    <n v="0"/>
    <n v="0"/>
    <m/>
  </r>
  <r>
    <x v="3"/>
    <x v="8"/>
    <d v="2023-09-09T00:00:00"/>
    <s v="DISSABTE"/>
    <s v="NO"/>
    <s v="NO"/>
    <d v="1899-12-30T15:30:00"/>
    <d v="1899-12-30T20:30:00"/>
    <x v="1"/>
    <n v="1"/>
    <x v="541"/>
    <n v="8170"/>
    <s v="MONTORNES DEL VALLES"/>
    <s v="PG BOBILA N2 ESCALA B 3A"/>
    <s v="54930765A"/>
    <n v="150"/>
    <n v="0"/>
    <n v="0"/>
    <n v="150"/>
    <x v="0"/>
    <n v="50"/>
    <n v="100"/>
    <n v="0"/>
    <n v="0"/>
    <m/>
  </r>
  <r>
    <x v="3"/>
    <x v="8"/>
    <d v="2023-09-10T00:00:00"/>
    <s v="DIUMENGE"/>
    <s v="NO"/>
    <s v="NO"/>
    <d v="1899-12-30T09:30:00"/>
    <d v="1899-12-30T14:30:00"/>
    <x v="3"/>
    <n v="1"/>
    <x v="542"/>
    <n v="8170"/>
    <s v="MONTORNES DEL VALLES"/>
    <s v="AV ONZE SETEMBRE 32 4-1"/>
    <s v="47814270F"/>
    <n v="150"/>
    <n v="0"/>
    <n v="0"/>
    <n v="150"/>
    <x v="0"/>
    <n v="50"/>
    <n v="100"/>
    <n v="0"/>
    <n v="0"/>
    <s v="bizum 100"/>
  </r>
  <r>
    <x v="3"/>
    <x v="8"/>
    <d v="2023-09-10T00:00:00"/>
    <s v="DIUMENGE"/>
    <s v="NO"/>
    <s v="NO"/>
    <d v="1899-12-30T15:30:00"/>
    <d v="1899-12-30T02:30:00"/>
    <x v="4"/>
    <n v="2"/>
    <x v="543"/>
    <n v="8110"/>
    <s v="MONTCADA I REIXAC"/>
    <s v="C GIRONA 37"/>
    <s v="52437022N"/>
    <n v="320"/>
    <n v="0"/>
    <n v="0"/>
    <n v="320"/>
    <x v="0"/>
    <n v="320"/>
    <n v="0"/>
    <n v="0"/>
    <n v="0"/>
    <m/>
  </r>
  <r>
    <x v="3"/>
    <x v="8"/>
    <d v="2023-09-11T00:00:00"/>
    <s v="DILLUNS"/>
    <s v="NO"/>
    <s v="SI"/>
    <d v="1899-12-30T15:30:00"/>
    <d v="1899-12-30T20:30:00"/>
    <x v="1"/>
    <n v="1"/>
    <x v="544"/>
    <n v="8170"/>
    <s v="MONTORNES DEL VALLES"/>
    <s v="C DEL SOL 16 1A"/>
    <s v="47814270F"/>
    <n v="150"/>
    <n v="0"/>
    <n v="0"/>
    <n v="150"/>
    <x v="0"/>
    <n v="50"/>
    <n v="100"/>
    <n v="0"/>
    <n v="0"/>
    <m/>
  </r>
  <r>
    <x v="3"/>
    <x v="8"/>
    <d v="2023-09-15T00:00:00"/>
    <s v="DIVENDRES"/>
    <s v="NO"/>
    <s v="NO"/>
    <d v="1899-12-30T15:30:00"/>
    <d v="1899-12-30T20:30:00"/>
    <x v="1"/>
    <n v="1"/>
    <x v="150"/>
    <n v="8410"/>
    <s v="VILANOVA DEL VALLES"/>
    <s v="C MONTORNES 19"/>
    <s v="Y4566496K"/>
    <n v="140"/>
    <n v="1"/>
    <n v="20"/>
    <n v="160"/>
    <x v="0"/>
    <n v="0"/>
    <n v="140"/>
    <n v="0"/>
    <n v="20"/>
    <s v="bizum"/>
  </r>
  <r>
    <x v="3"/>
    <x v="8"/>
    <d v="2023-09-15T00:00:00"/>
    <s v="DIVENDRES"/>
    <s v="NO"/>
    <s v="NO"/>
    <d v="1899-12-30T21:30:00"/>
    <d v="1899-12-30T02:30:00"/>
    <x v="2"/>
    <n v="1"/>
    <x v="545"/>
    <n v="8170"/>
    <s v="MONTORNES DEL VALLES"/>
    <s v="C JOAN XXII 12 3-B"/>
    <s v="52164440F"/>
    <n v="200"/>
    <n v="0"/>
    <n v="0"/>
    <n v="200"/>
    <x v="0"/>
    <n v="50"/>
    <n v="150"/>
    <n v="0"/>
    <n v="0"/>
    <s v="bizum 150"/>
  </r>
  <r>
    <x v="3"/>
    <x v="8"/>
    <d v="2023-09-16T00:00:00"/>
    <s v="DISSABTE"/>
    <s v="NO"/>
    <s v="NO"/>
    <d v="1899-12-30T09:30:00"/>
    <d v="1899-12-30T14:30:00"/>
    <x v="3"/>
    <n v="1"/>
    <x v="546"/>
    <n v="8105"/>
    <s v="SANT FOST"/>
    <s v="C JAUME PRIMER 11"/>
    <s v="38838394L"/>
    <n v="150"/>
    <n v="0"/>
    <n v="0"/>
    <n v="150"/>
    <x v="0"/>
    <n v="50"/>
    <n v="100"/>
    <n v="0"/>
    <n v="0"/>
    <m/>
  </r>
  <r>
    <x v="3"/>
    <x v="8"/>
    <d v="2023-09-16T00:00:00"/>
    <s v="DISSABTE"/>
    <s v="NO"/>
    <s v="NO"/>
    <d v="1899-12-30T15:30:00"/>
    <d v="1899-12-30T02:30:00"/>
    <x v="4"/>
    <n v="1"/>
    <x v="547"/>
    <n v="8185"/>
    <s v="LLIÇA DE VALL"/>
    <s v="C ANGEL GUIMERA N5"/>
    <s v="53030963R"/>
    <n v="250"/>
    <n v="1"/>
    <n v="45"/>
    <n v="295"/>
    <x v="0"/>
    <n v="50"/>
    <n v="200"/>
    <n v="0"/>
    <n v="45"/>
    <s v="200 bizum"/>
  </r>
  <r>
    <x v="3"/>
    <x v="8"/>
    <d v="2023-09-17T00:00:00"/>
    <s v="DIUMENGE"/>
    <s v="NO"/>
    <s v="NO"/>
    <d v="1899-12-30T15:30:00"/>
    <d v="1899-12-30T20:30:00"/>
    <x v="1"/>
    <n v="1"/>
    <x v="548"/>
    <n v="8160"/>
    <s v="MONTMELÓ"/>
    <s v="C FEDERICO GARCIA LORCA 49 ESCALERA A 1-3"/>
    <s v="79273123N"/>
    <n v="150"/>
    <n v="0"/>
    <n v="0"/>
    <n v="150"/>
    <x v="0"/>
    <n v="50"/>
    <n v="100"/>
    <n v="0"/>
    <n v="0"/>
    <s v="100 bizum"/>
  </r>
  <r>
    <x v="3"/>
    <x v="8"/>
    <d v="2023-09-22T00:00:00"/>
    <s v="DIVENDRES"/>
    <s v="NO"/>
    <s v="NO"/>
    <d v="1899-12-30T15:30:00"/>
    <d v="1899-12-30T20:30:00"/>
    <x v="1"/>
    <n v="1"/>
    <x v="549"/>
    <n v="8188"/>
    <s v="VALLROMANES"/>
    <s v="C COMPTE ALBA DE LISTE 33"/>
    <s v="53085831Z"/>
    <n v="140"/>
    <n v="0"/>
    <n v="0"/>
    <n v="140"/>
    <x v="0"/>
    <n v="50"/>
    <n v="90"/>
    <n v="0"/>
    <n v="0"/>
    <m/>
  </r>
  <r>
    <x v="3"/>
    <x v="8"/>
    <d v="2023-09-22T00:00:00"/>
    <s v="DIVENDRES"/>
    <s v="NO"/>
    <s v="NO"/>
    <d v="1899-12-30T21:30:00"/>
    <d v="1899-12-30T02:30:00"/>
    <x v="2"/>
    <n v="1"/>
    <x v="550"/>
    <m/>
    <m/>
    <m/>
    <m/>
    <n v="200"/>
    <n v="0"/>
    <n v="0"/>
    <n v="200"/>
    <x v="0"/>
    <n v="50"/>
    <n v="150"/>
    <n v="0"/>
    <n v="0"/>
    <m/>
  </r>
  <r>
    <x v="3"/>
    <x v="8"/>
    <d v="2023-09-23T00:00:00"/>
    <s v="DISSABTE"/>
    <s v="NO"/>
    <s v="NO"/>
    <d v="1899-12-30T15:30:00"/>
    <d v="1899-12-30T20:30:00"/>
    <x v="1"/>
    <n v="1"/>
    <x v="551"/>
    <n v="8104"/>
    <s v="MOLLET"/>
    <s v="C FRANCESC LAIRET 30 2C"/>
    <s v="40961491D"/>
    <n v="150"/>
    <n v="0"/>
    <n v="0"/>
    <n v="150"/>
    <x v="0"/>
    <n v="50"/>
    <n v="100"/>
    <n v="0"/>
    <n v="0"/>
    <m/>
  </r>
  <r>
    <x v="3"/>
    <x v="8"/>
    <d v="2023-09-24T00:00:00"/>
    <s v="DIUMENGE"/>
    <s v="NO"/>
    <s v="NO"/>
    <d v="1899-12-30T09:30:00"/>
    <d v="1899-12-30T20:30:00"/>
    <x v="5"/>
    <n v="2"/>
    <x v="552"/>
    <n v="8170"/>
    <s v="MONTORNES DEL VALLES"/>
    <s v="C GIRONA 18"/>
    <s v="37773893G"/>
    <n v="260"/>
    <n v="0"/>
    <n v="0"/>
    <n v="260"/>
    <x v="0"/>
    <n v="50"/>
    <n v="190"/>
    <n v="0"/>
    <n v="0"/>
    <m/>
  </r>
  <r>
    <x v="3"/>
    <x v="8"/>
    <d v="2023-09-29T00:00:00"/>
    <s v="DIVENDRES"/>
    <s v="NO"/>
    <s v="NO"/>
    <d v="1899-12-30T21:30:00"/>
    <d v="1899-12-30T02:30:00"/>
    <x v="2"/>
    <n v="1"/>
    <x v="553"/>
    <n v="8170"/>
    <s v="MONTORNES DEL VALLES"/>
    <s v="C EUSKADI 24 2-1"/>
    <s v="53078888J"/>
    <n v="200"/>
    <n v="0"/>
    <n v="0"/>
    <n v="200"/>
    <x v="0"/>
    <n v="50"/>
    <n v="150"/>
    <n v="0"/>
    <n v="0"/>
    <m/>
  </r>
  <r>
    <x v="3"/>
    <x v="8"/>
    <d v="2023-09-30T00:00:00"/>
    <s v="DISSABTE"/>
    <s v="NO"/>
    <s v="NO"/>
    <d v="1899-12-30T21:30:00"/>
    <d v="1899-12-30T02:30:00"/>
    <x v="2"/>
    <n v="1"/>
    <x v="554"/>
    <n v="8170"/>
    <s v="MONTORNES DEL VALLES"/>
    <s v="PG DE LA BOBILA 2 1"/>
    <s v="47978620P"/>
    <n v="200"/>
    <n v="1"/>
    <n v="160"/>
    <n v="360"/>
    <x v="0"/>
    <n v="200"/>
    <n v="0"/>
    <n v="160"/>
    <n v="0"/>
    <m/>
  </r>
  <r>
    <x v="3"/>
    <x v="9"/>
    <d v="2023-10-01T00:00:00"/>
    <s v="DIUMENGE"/>
    <s v="NO"/>
    <s v="NO"/>
    <d v="1899-12-30T09:30:00"/>
    <d v="1899-12-30T20:30:00"/>
    <x v="1"/>
    <n v="1"/>
    <x v="555"/>
    <m/>
    <m/>
    <m/>
    <m/>
    <n v="0"/>
    <n v="0"/>
    <n v="0"/>
    <n v="0"/>
    <x v="0"/>
    <n v="0"/>
    <n v="0"/>
    <n v="0"/>
    <n v="0"/>
    <m/>
  </r>
  <r>
    <x v="3"/>
    <x v="9"/>
    <d v="2023-10-06T00:00:00"/>
    <s v="DIVENDRES"/>
    <s v="NO"/>
    <s v="NO"/>
    <d v="1899-12-30T21:30:00"/>
    <d v="1899-12-30T02:30:00"/>
    <x v="2"/>
    <n v="1"/>
    <x v="556"/>
    <n v="8170"/>
    <s v="MONTORNES DEL VALLES"/>
    <s v="AV CAN VILARÓ 6 3-2"/>
    <s v="79277489P"/>
    <n v="200"/>
    <n v="0"/>
    <n v="0"/>
    <n v="200"/>
    <x v="0"/>
    <n v="50"/>
    <n v="150"/>
    <n v="0"/>
    <n v="0"/>
    <s v="bizum"/>
  </r>
  <r>
    <x v="3"/>
    <x v="9"/>
    <d v="2023-10-07T00:00:00"/>
    <s v="DISSABTE"/>
    <s v="NO"/>
    <s v="NO"/>
    <d v="1899-12-30T15:30:00"/>
    <d v="1899-12-30T20:30:00"/>
    <x v="1"/>
    <n v="1"/>
    <x v="557"/>
    <n v="8170"/>
    <s v="MONTORNES DEL VALLES"/>
    <s v="C LA LIRA 2 1-1"/>
    <s v="49360253E"/>
    <n v="150"/>
    <n v="0"/>
    <n v="0"/>
    <n v="150"/>
    <x v="0"/>
    <n v="50"/>
    <n v="100"/>
    <n v="0"/>
    <n v="0"/>
    <s v="bizum"/>
  </r>
  <r>
    <x v="3"/>
    <x v="9"/>
    <d v="2023-10-07T00:00:00"/>
    <s v="DISSABTE"/>
    <s v="NO"/>
    <s v="NO"/>
    <d v="1899-12-30T21:30:00"/>
    <d v="1899-12-30T02:30:00"/>
    <x v="2"/>
    <n v="1"/>
    <x v="558"/>
    <n v="8170"/>
    <s v="MONTORNES DEL VALLES"/>
    <s v="AV LLIBERTAT 10"/>
    <s v="48175805M"/>
    <n v="200"/>
    <n v="0"/>
    <n v="0"/>
    <n v="200"/>
    <x v="0"/>
    <n v="50"/>
    <n v="150"/>
    <n v="0"/>
    <n v="0"/>
    <m/>
  </r>
  <r>
    <x v="3"/>
    <x v="9"/>
    <d v="2023-10-08T00:00:00"/>
    <s v="DIUMENGE"/>
    <s v="NO"/>
    <s v="NO"/>
    <d v="1899-12-30T15:30:00"/>
    <d v="1899-12-30T20:30:00"/>
    <x v="1"/>
    <n v="1"/>
    <x v="559"/>
    <n v="8170"/>
    <s v="MONTORNES DEL VALLES"/>
    <s v="PG AMGALA DEL SAHARA 20"/>
    <s v="46799580P"/>
    <n v="150"/>
    <n v="0"/>
    <n v="0"/>
    <n v="150"/>
    <x v="0"/>
    <n v="150"/>
    <n v="0"/>
    <n v="0"/>
    <n v="0"/>
    <m/>
  </r>
  <r>
    <x v="3"/>
    <x v="9"/>
    <d v="2023-10-11T00:00:00"/>
    <s v="DIMECRES"/>
    <s v="NO"/>
    <s v="NO"/>
    <d v="1899-12-30T21:30:00"/>
    <d v="1899-12-30T02:30:00"/>
    <x v="2"/>
    <n v="1"/>
    <x v="560"/>
    <n v="8170"/>
    <s v="MONTORNES DEL VALLES"/>
    <s v="C JACINT VERDAGUER 5 3-2"/>
    <s v="47920799T"/>
    <n v="200"/>
    <n v="0"/>
    <n v="0"/>
    <n v="200"/>
    <x v="0"/>
    <n v="50"/>
    <n v="150"/>
    <n v="0"/>
    <n v="0"/>
    <m/>
  </r>
  <r>
    <x v="3"/>
    <x v="9"/>
    <d v="2023-10-12T00:00:00"/>
    <s v="DIJOUS"/>
    <s v="SI"/>
    <s v="NO"/>
    <d v="1899-12-30T15:30:00"/>
    <d v="1899-12-30T20:30:00"/>
    <x v="1"/>
    <n v="1"/>
    <x v="561"/>
    <n v="8170"/>
    <s v="MONTORNES DEL VALLES"/>
    <s v="C DEL SOL 17"/>
    <s v="46493999M"/>
    <n v="150"/>
    <n v="0"/>
    <n v="0"/>
    <n v="150"/>
    <x v="0"/>
    <n v="150"/>
    <n v="0"/>
    <n v="0"/>
    <n v="0"/>
    <m/>
  </r>
  <r>
    <x v="3"/>
    <x v="9"/>
    <d v="2023-10-14T00:00:00"/>
    <s v="DISSABTE"/>
    <s v="NO"/>
    <s v="NO"/>
    <d v="1899-12-30T15:30:00"/>
    <d v="1899-12-30T20:30:00"/>
    <x v="1"/>
    <n v="1"/>
    <x v="562"/>
    <n v="8170"/>
    <s v="MONTORNES DEL VALLES"/>
    <s v="C JOAN XXIII 17 1-1"/>
    <s v="77115872T"/>
    <n v="150"/>
    <n v="0"/>
    <n v="0"/>
    <n v="150"/>
    <x v="0"/>
    <n v="50"/>
    <n v="100"/>
    <n v="0"/>
    <n v="0"/>
    <m/>
  </r>
  <r>
    <x v="3"/>
    <x v="9"/>
    <d v="2023-10-14T00:00:00"/>
    <s v="DISSABTE"/>
    <s v="NO"/>
    <s v="NO"/>
    <d v="1899-12-30T21:30:00"/>
    <d v="1899-12-30T02:30:00"/>
    <x v="2"/>
    <n v="1"/>
    <x v="563"/>
    <n v="8104"/>
    <s v="PARETS"/>
    <s v="C BUTJOSA 70"/>
    <s v="77320773V"/>
    <n v="200"/>
    <n v="1"/>
    <n v="60"/>
    <n v="260"/>
    <x v="0"/>
    <n v="50"/>
    <n v="150"/>
    <n v="0"/>
    <n v="60"/>
    <m/>
  </r>
  <r>
    <x v="3"/>
    <x v="9"/>
    <d v="2023-10-15T00:00:00"/>
    <s v="DIUMENGE"/>
    <s v="NO"/>
    <s v="NO"/>
    <d v="1899-12-30T09:30:00"/>
    <d v="1899-12-30T14:30:00"/>
    <x v="3"/>
    <n v="1"/>
    <x v="564"/>
    <n v="8170"/>
    <s v="MONTORNES DEL VALLES"/>
    <s v="C SANT LLUIS 1"/>
    <s v="48176825J"/>
    <n v="150"/>
    <n v="0"/>
    <n v="0"/>
    <n v="150"/>
    <x v="0"/>
    <n v="50"/>
    <n v="100"/>
    <n v="0"/>
    <n v="0"/>
    <m/>
  </r>
  <r>
    <x v="3"/>
    <x v="9"/>
    <d v="2023-10-15T00:00:00"/>
    <s v="DIUMENGE"/>
    <s v="NO"/>
    <s v="NO"/>
    <d v="1899-12-30T15:30:00"/>
    <d v="1899-12-30T20:30:00"/>
    <x v="1"/>
    <n v="1"/>
    <x v="565"/>
    <m/>
    <m/>
    <m/>
    <m/>
    <n v="150"/>
    <n v="0"/>
    <n v="0"/>
    <n v="150"/>
    <x v="0"/>
    <n v="0"/>
    <n v="150"/>
    <n v="0"/>
    <n v="0"/>
    <m/>
  </r>
  <r>
    <x v="3"/>
    <x v="9"/>
    <d v="2023-10-16T00:00:00"/>
    <s v="DILLUNS"/>
    <s v="NO"/>
    <s v="NO"/>
    <d v="1899-12-30T15:30:00"/>
    <d v="1899-12-30T20:30:00"/>
    <x v="1"/>
    <n v="1"/>
    <x v="566"/>
    <n v="8188"/>
    <s v="VALLROMANES"/>
    <s v="C VISTA ALEGRE N17 1B"/>
    <s v="47814816R"/>
    <n v="95"/>
    <n v="0"/>
    <n v="0"/>
    <n v="95"/>
    <x v="0"/>
    <n v="95"/>
    <n v="0"/>
    <n v="0"/>
    <n v="0"/>
    <m/>
  </r>
  <r>
    <x v="3"/>
    <x v="9"/>
    <d v="2023-10-17T00:00:00"/>
    <s v="DIMARTS"/>
    <s v="NO"/>
    <s v="NO"/>
    <d v="1899-12-30T15:30:00"/>
    <d v="1899-12-30T20:30:00"/>
    <x v="1"/>
    <n v="1"/>
    <x v="567"/>
    <n v="8170"/>
    <s v="MONTORNES DEL VALLES"/>
    <s v="AV ERNEST LLUCH 29 5-2"/>
    <s v="53121371L"/>
    <n v="95"/>
    <n v="0"/>
    <n v="0"/>
    <n v="95"/>
    <x v="0"/>
    <n v="50"/>
    <n v="45"/>
    <n v="0"/>
    <n v="0"/>
    <m/>
  </r>
  <r>
    <x v="3"/>
    <x v="9"/>
    <d v="2023-10-20T00:00:00"/>
    <s v="DIVENDRES"/>
    <s v="NO"/>
    <s v="NO"/>
    <d v="1899-12-30T15:30:00"/>
    <d v="1899-12-30T20:30:00"/>
    <x v="1"/>
    <n v="1"/>
    <x v="568"/>
    <n v="8170"/>
    <s v="MONTORNES DEL VALLES"/>
    <s v="C DE LA PAU 1 1-1 "/>
    <s v="47816388D"/>
    <n v="140"/>
    <n v="0"/>
    <n v="0"/>
    <n v="140"/>
    <x v="0"/>
    <n v="50"/>
    <n v="90"/>
    <n v="0"/>
    <n v="0"/>
    <m/>
  </r>
  <r>
    <x v="3"/>
    <x v="9"/>
    <d v="2023-10-20T00:00:00"/>
    <s v="DIVENDRES"/>
    <s v="NO"/>
    <s v="NO"/>
    <d v="1899-12-30T21:30:00"/>
    <d v="1899-12-30T02:30:00"/>
    <x v="2"/>
    <n v="1"/>
    <x v="569"/>
    <n v="8107"/>
    <s v="MARTORELLES"/>
    <s v="C COLOM 4 1-2"/>
    <s v="46772505G"/>
    <n v="200"/>
    <n v="0"/>
    <n v="0"/>
    <n v="200"/>
    <x v="0"/>
    <n v="50"/>
    <n v="150"/>
    <n v="0"/>
    <n v="0"/>
    <m/>
  </r>
  <r>
    <x v="3"/>
    <x v="9"/>
    <d v="2023-10-21T00:00:00"/>
    <s v="DISSABTE"/>
    <s v="NO"/>
    <s v="NO"/>
    <d v="1899-12-30T09:30:00"/>
    <d v="1899-12-30T14:30:00"/>
    <x v="3"/>
    <n v="1"/>
    <x v="570"/>
    <n v="8410"/>
    <s v="VILANOVA DEL VALLES"/>
    <s v="PG SORRAL 3-5 2D"/>
    <s v="77119585X"/>
    <n v="150"/>
    <n v="0"/>
    <n v="0"/>
    <n v="150"/>
    <x v="0"/>
    <n v="50"/>
    <n v="100"/>
    <n v="0"/>
    <n v="0"/>
    <m/>
  </r>
  <r>
    <x v="3"/>
    <x v="9"/>
    <d v="2023-10-21T00:00:00"/>
    <s v="DISSABTE"/>
    <s v="NO"/>
    <s v="NO"/>
    <d v="1899-12-30T15:30:00"/>
    <d v="1899-12-30T20:30:00"/>
    <x v="1"/>
    <n v="1"/>
    <x v="571"/>
    <m/>
    <m/>
    <m/>
    <m/>
    <n v="0"/>
    <n v="0"/>
    <n v="0"/>
    <n v="0"/>
    <x v="0"/>
    <n v="0"/>
    <n v="0"/>
    <n v="0"/>
    <n v="0"/>
    <m/>
  </r>
  <r>
    <x v="3"/>
    <x v="9"/>
    <d v="2023-10-21T00:00:00"/>
    <s v="DISSABTE"/>
    <s v="NO"/>
    <s v="NO"/>
    <d v="1899-12-30T21:30:00"/>
    <d v="1899-12-30T02:30:00"/>
    <x v="2"/>
    <n v="1"/>
    <x v="572"/>
    <n v="8104"/>
    <s v="PARETS"/>
    <s v="C ONZE DE SETEMBRE 1"/>
    <s v="33920397C"/>
    <n v="200"/>
    <n v="0"/>
    <n v="0"/>
    <n v="200"/>
    <x v="0"/>
    <n v="200"/>
    <n v="0"/>
    <n v="0"/>
    <n v="0"/>
    <m/>
  </r>
  <r>
    <x v="3"/>
    <x v="9"/>
    <d v="2023-10-22T00:00:00"/>
    <s v="DIUMENGE"/>
    <s v="NO"/>
    <s v="NO"/>
    <d v="1899-12-30T09:30:00"/>
    <d v="1899-12-30T14:30:00"/>
    <x v="3"/>
    <n v="1"/>
    <x v="573"/>
    <n v="8410"/>
    <s v="VILANOVA DEL VALLES"/>
    <s v="CTRA VALLDORIOLF 3 "/>
    <s v="40962917D"/>
    <n v="150"/>
    <n v="0"/>
    <n v="0"/>
    <n v="150"/>
    <x v="0"/>
    <n v="150"/>
    <n v="0"/>
    <n v="0"/>
    <n v="0"/>
    <m/>
  </r>
  <r>
    <x v="3"/>
    <x v="9"/>
    <d v="2023-10-22T00:00:00"/>
    <s v="DIUMENGE"/>
    <s v="NO"/>
    <s v="NO"/>
    <d v="1899-12-30T15:30:00"/>
    <d v="1899-12-30T20:30:00"/>
    <x v="1"/>
    <n v="1"/>
    <x v="574"/>
    <m/>
    <m/>
    <m/>
    <m/>
    <n v="150"/>
    <n v="0"/>
    <n v="0"/>
    <n v="150"/>
    <x v="0"/>
    <n v="50"/>
    <n v="100"/>
    <n v="0"/>
    <n v="0"/>
    <m/>
  </r>
  <r>
    <x v="3"/>
    <x v="9"/>
    <d v="2023-10-27T00:00:00"/>
    <s v="DIVENDRES"/>
    <s v="NO"/>
    <s v="NO"/>
    <d v="1899-12-30T15:30:00"/>
    <d v="1899-12-30T20:30:00"/>
    <x v="1"/>
    <n v="1"/>
    <x v="106"/>
    <n v="8410"/>
    <s v="VILANOVA DEL VALLES"/>
    <s v="PLAZA ORIOL MARTORELL 5 2-4"/>
    <s v="Y4615429X"/>
    <n v="140"/>
    <n v="0"/>
    <n v="0"/>
    <n v="140"/>
    <x v="0"/>
    <n v="50"/>
    <n v="90"/>
    <n v="0"/>
    <n v="0"/>
    <m/>
  </r>
  <r>
    <x v="3"/>
    <x v="9"/>
    <d v="2023-10-27T00:00:00"/>
    <s v="DIVENDRES"/>
    <s v="NO"/>
    <s v="NO"/>
    <d v="1899-12-30T21:30:00"/>
    <d v="1899-12-30T02:30:00"/>
    <x v="2"/>
    <n v="1"/>
    <x v="575"/>
    <n v="8170"/>
    <s v="MONTORNES DEL VALLES"/>
    <s v="PG JOAN COROMINES 20 BIS"/>
    <s v="46693228A"/>
    <n v="200"/>
    <n v="1"/>
    <n v="50"/>
    <n v="250"/>
    <x v="0"/>
    <n v="50"/>
    <n v="150"/>
    <n v="0"/>
    <n v="50"/>
    <m/>
  </r>
  <r>
    <x v="3"/>
    <x v="9"/>
    <d v="2023-10-28T00:00:00"/>
    <s v="DISSABTE"/>
    <s v="NO"/>
    <s v="NO"/>
    <d v="1899-12-30T09:30:00"/>
    <d v="1899-12-30T14:30:00"/>
    <x v="3"/>
    <n v="1"/>
    <x v="576"/>
    <n v="8410"/>
    <s v="VILANOVA DEL VALLES"/>
    <s v="C VALLES N3 "/>
    <s v="46755489P"/>
    <n v="150"/>
    <n v="0"/>
    <n v="0"/>
    <n v="150"/>
    <x v="0"/>
    <n v="50"/>
    <n v="100"/>
    <n v="0"/>
    <n v="0"/>
    <m/>
  </r>
  <r>
    <x v="3"/>
    <x v="9"/>
    <d v="2023-10-28T00:00:00"/>
    <s v="DISSABTE"/>
    <s v="NO"/>
    <s v="NO"/>
    <d v="1899-12-30T15:30:00"/>
    <d v="1899-12-30T02:30:00"/>
    <x v="4"/>
    <n v="2"/>
    <x v="577"/>
    <m/>
    <m/>
    <m/>
    <m/>
    <n v="320"/>
    <n v="1"/>
    <n v="80"/>
    <n v="400"/>
    <x v="0"/>
    <n v="50"/>
    <n v="270"/>
    <n v="0"/>
    <n v="80"/>
    <m/>
  </r>
  <r>
    <x v="3"/>
    <x v="9"/>
    <d v="2023-10-29T00:00:00"/>
    <s v="DIUMENGE"/>
    <s v="NO"/>
    <s v="NO"/>
    <d v="1899-12-30T09:30:00"/>
    <d v="1899-12-30T14:30:00"/>
    <x v="3"/>
    <n v="1"/>
    <x v="578"/>
    <m/>
    <m/>
    <m/>
    <m/>
    <n v="150"/>
    <n v="0"/>
    <n v="0"/>
    <n v="150"/>
    <x v="0"/>
    <n v="150"/>
    <n v="0"/>
    <n v="0"/>
    <n v="0"/>
    <m/>
  </r>
  <r>
    <x v="3"/>
    <x v="9"/>
    <d v="2023-10-31T00:00:00"/>
    <s v="DIMARTS"/>
    <s v="NO"/>
    <s v="SI"/>
    <d v="1899-12-30T21:30:00"/>
    <d v="1899-12-30T02:30:00"/>
    <x v="2"/>
    <n v="1"/>
    <x v="579"/>
    <n v="8170"/>
    <s v="MONTORNES DEL VALLES"/>
    <s v="PZ MARGARIDA XIRGU 2 2-1"/>
    <s v="52162709C"/>
    <n v="200"/>
    <n v="0"/>
    <n v="0"/>
    <n v="200"/>
    <x v="0"/>
    <n v="200"/>
    <n v="0"/>
    <n v="0"/>
    <n v="0"/>
    <s v="ANUAL: 250"/>
  </r>
  <r>
    <x v="3"/>
    <x v="10"/>
    <d v="2023-11-03T00:00:00"/>
    <s v="DIVENDRES"/>
    <s v="NO"/>
    <s v="NO"/>
    <d v="1899-12-30T15:30:00"/>
    <d v="1899-12-30T02:30:00"/>
    <x v="4"/>
    <n v="2"/>
    <x v="580"/>
    <n v="8160"/>
    <s v="MONTMELÓ"/>
    <s v="C ENRIC GRANADOS 5"/>
    <s v="53129729L"/>
    <n v="300"/>
    <n v="0"/>
    <n v="0"/>
    <n v="300"/>
    <x v="0"/>
    <n v="300"/>
    <n v="0"/>
    <n v="0"/>
    <n v="0"/>
    <m/>
  </r>
  <r>
    <x v="3"/>
    <x v="10"/>
    <d v="2023-11-04T00:00:00"/>
    <s v="DISSABTE"/>
    <s v="NO"/>
    <s v="NO"/>
    <d v="1899-12-30T09:30:00"/>
    <d v="1899-12-30T14:30:00"/>
    <x v="3"/>
    <n v="1"/>
    <x v="581"/>
    <n v="8170"/>
    <s v="MONTORNES DEL VALLES"/>
    <s v="C PRAT DE LA RIBA 1 2-1"/>
    <s v="47571705T"/>
    <n v="150"/>
    <n v="0"/>
    <n v="0"/>
    <n v="150"/>
    <x v="0"/>
    <n v="50"/>
    <n v="100"/>
    <n v="0"/>
    <n v="0"/>
    <m/>
  </r>
  <r>
    <x v="3"/>
    <x v="10"/>
    <d v="2023-11-04T00:00:00"/>
    <s v="DISSABTE"/>
    <s v="NO"/>
    <s v="NO"/>
    <d v="1899-12-30T15:30:00"/>
    <d v="1899-12-30T20:30:00"/>
    <x v="1"/>
    <n v="1"/>
    <x v="582"/>
    <n v="8170"/>
    <s v="MONTORNES DEL VALLES"/>
    <s v="AV VERGE DE MONTSERRAT 34"/>
    <s v="47813751V"/>
    <n v="150"/>
    <n v="0"/>
    <n v="0"/>
    <n v="150"/>
    <x v="0"/>
    <n v="150"/>
    <n v="0"/>
    <n v="0"/>
    <n v="0"/>
    <m/>
  </r>
  <r>
    <x v="3"/>
    <x v="10"/>
    <d v="2023-11-04T00:00:00"/>
    <s v="DISSABTE"/>
    <s v="NO"/>
    <s v="NO"/>
    <d v="1899-12-30T21:30:00"/>
    <d v="1899-12-30T02:30:00"/>
    <x v="2"/>
    <n v="1"/>
    <x v="583"/>
    <n v="8170"/>
    <s v="MONTORNES DEL VALLES"/>
    <s v="C 9 D'ABRIL 26 4-1"/>
    <s v="53070099Z"/>
    <n v="200"/>
    <n v="0"/>
    <n v="0"/>
    <n v="200"/>
    <x v="0"/>
    <n v="50"/>
    <n v="150"/>
    <n v="0"/>
    <n v="0"/>
    <m/>
  </r>
  <r>
    <x v="3"/>
    <x v="10"/>
    <d v="2023-11-05T00:00:00"/>
    <s v="DIUMENGE"/>
    <s v="NO"/>
    <s v="NO"/>
    <d v="1899-12-30T09:30:00"/>
    <d v="1899-12-30T14:30:00"/>
    <x v="3"/>
    <n v="1"/>
    <x v="584"/>
    <n v="8170"/>
    <s v="MONTORNES DEL VALLES"/>
    <s v="C SAN LUIS 11 3-2"/>
    <s v="43553858T"/>
    <n v="150"/>
    <n v="0"/>
    <n v="0"/>
    <n v="150"/>
    <x v="0"/>
    <n v="50"/>
    <n v="100"/>
    <n v="0"/>
    <n v="0"/>
    <m/>
  </r>
  <r>
    <x v="3"/>
    <x v="10"/>
    <d v="2023-11-05T00:00:00"/>
    <s v="DIUMENGE"/>
    <s v="NO"/>
    <s v="NO"/>
    <d v="1899-12-30T15:30:00"/>
    <d v="1899-12-30T20:30:00"/>
    <x v="1"/>
    <n v="1"/>
    <x v="585"/>
    <n v="8170"/>
    <s v="MONTORNES DEL VALLES"/>
    <s v="C PALAU D'ATMELLA 13 ENTRESUELO 2"/>
    <s v="47814570P"/>
    <n v="150"/>
    <n v="0"/>
    <n v="0"/>
    <n v="150"/>
    <x v="0"/>
    <n v="50"/>
    <n v="100"/>
    <n v="0"/>
    <n v="0"/>
    <m/>
  </r>
  <r>
    <x v="3"/>
    <x v="10"/>
    <d v="2023-11-10T00:00:00"/>
    <s v="DIVENDRES"/>
    <s v="NO"/>
    <s v="NO"/>
    <d v="1899-12-30T21:30:00"/>
    <d v="1899-12-30T02:30:00"/>
    <x v="2"/>
    <n v="1"/>
    <x v="586"/>
    <n v="8170"/>
    <s v="MONTORNES DEL VALLES"/>
    <s v="C MIQUEL MARTI I POL 11"/>
    <s v="52145944E"/>
    <n v="200"/>
    <n v="1"/>
    <n v="60"/>
    <n v="260"/>
    <x v="0"/>
    <n v="200"/>
    <n v="0"/>
    <n v="0"/>
    <n v="60"/>
    <m/>
  </r>
  <r>
    <x v="3"/>
    <x v="10"/>
    <d v="2023-11-11T00:00:00"/>
    <s v="DISSABTE"/>
    <s v="NO"/>
    <s v="NO"/>
    <d v="1899-12-30T09:30:00"/>
    <d v="1899-12-30T14:30:00"/>
    <x v="3"/>
    <n v="1"/>
    <x v="587"/>
    <n v="8104"/>
    <s v="PARETS"/>
    <s v="C PRAT DE LA RIBA 10 ATICO 1"/>
    <s v="47155752W"/>
    <n v="150"/>
    <n v="0"/>
    <n v="0"/>
    <n v="150"/>
    <x v="0"/>
    <n v="50"/>
    <n v="100"/>
    <n v="0"/>
    <n v="0"/>
    <m/>
  </r>
  <r>
    <x v="3"/>
    <x v="10"/>
    <d v="2023-11-11T00:00:00"/>
    <s v="DISSABTE"/>
    <s v="NO"/>
    <s v="NO"/>
    <d v="1899-12-30T15:30:00"/>
    <d v="1899-12-30T20:30:00"/>
    <x v="1"/>
    <n v="1"/>
    <x v="588"/>
    <n v="8410"/>
    <s v="VILANOVA DEL VALLES"/>
    <s v="RONDA L'EIXAMPLE 5"/>
    <s v="44024217D"/>
    <n v="150"/>
    <n v="0"/>
    <n v="0"/>
    <n v="150"/>
    <x v="0"/>
    <n v="150"/>
    <n v="0"/>
    <n v="0"/>
    <n v="0"/>
    <m/>
  </r>
  <r>
    <x v="3"/>
    <x v="10"/>
    <d v="2023-11-11T00:00:00"/>
    <s v="DISSABTE"/>
    <s v="NO"/>
    <s v="NO"/>
    <d v="1899-12-30T21:30:00"/>
    <d v="1899-12-30T02:30:00"/>
    <x v="2"/>
    <n v="1"/>
    <x v="589"/>
    <m/>
    <m/>
    <m/>
    <m/>
    <n v="0"/>
    <n v="0"/>
    <n v="0"/>
    <n v="0"/>
    <x v="0"/>
    <n v="0"/>
    <n v="0"/>
    <n v="0"/>
    <n v="0"/>
    <m/>
  </r>
  <r>
    <x v="3"/>
    <x v="10"/>
    <d v="2023-11-12T00:00:00"/>
    <s v="DIUMENGE"/>
    <s v="NO"/>
    <s v="NO"/>
    <d v="1899-12-30T09:30:00"/>
    <d v="1899-12-30T14:30:00"/>
    <x v="3"/>
    <n v="1"/>
    <x v="590"/>
    <n v="8104"/>
    <s v="PARETS"/>
    <s v="C ALFONS XIII 40"/>
    <s v="53218364K"/>
    <n v="150"/>
    <n v="0"/>
    <n v="0"/>
    <n v="150"/>
    <x v="0"/>
    <n v="50"/>
    <n v="100"/>
    <n v="0"/>
    <n v="0"/>
    <m/>
  </r>
  <r>
    <x v="3"/>
    <x v="10"/>
    <d v="2023-11-12T00:00:00"/>
    <s v="DIUMENGE"/>
    <s v="NO"/>
    <s v="NO"/>
    <d v="1899-12-30T15:30:00"/>
    <d v="1899-12-30T20:30:00"/>
    <x v="1"/>
    <n v="1"/>
    <x v="591"/>
    <m/>
    <m/>
    <m/>
    <m/>
    <n v="150"/>
    <n v="0"/>
    <n v="0"/>
    <n v="150"/>
    <x v="0"/>
    <n v="50"/>
    <n v="100"/>
    <n v="0"/>
    <n v="0"/>
    <m/>
  </r>
  <r>
    <x v="3"/>
    <x v="10"/>
    <d v="2023-11-24T00:00:00"/>
    <s v="DISSABTE"/>
    <s v="NO"/>
    <s v="NO"/>
    <d v="1899-12-30T15:30:00"/>
    <d v="1899-12-30T20:30:00"/>
    <x v="1"/>
    <n v="1"/>
    <x v="592"/>
    <n v="8911"/>
    <s v="BADALONA"/>
    <s v="C SOLSONA 5 2N"/>
    <s v="52395979R"/>
    <n v="150"/>
    <n v="0"/>
    <n v="0"/>
    <n v="150"/>
    <x v="0"/>
    <n v="50"/>
    <n v="100"/>
    <n v="0"/>
    <n v="0"/>
    <m/>
  </r>
  <r>
    <x v="3"/>
    <x v="10"/>
    <d v="2023-11-25T00:00:00"/>
    <s v="DISSABTE"/>
    <s v="NO"/>
    <s v="NO"/>
    <d v="1899-12-30T09:30:00"/>
    <d v="1899-12-30T20:30:00"/>
    <x v="5"/>
    <n v="2"/>
    <x v="593"/>
    <m/>
    <m/>
    <m/>
    <m/>
    <n v="290"/>
    <n v="0"/>
    <n v="0"/>
    <n v="290"/>
    <x v="0"/>
    <n v="50"/>
    <n v="240"/>
    <n v="0"/>
    <n v="0"/>
    <m/>
  </r>
  <r>
    <x v="3"/>
    <x v="10"/>
    <d v="2023-11-25T00:00:00"/>
    <s v="DISSABTE"/>
    <s v="NO"/>
    <s v="NO"/>
    <d v="1899-12-30T21:30:00"/>
    <d v="1899-12-30T02:30:00"/>
    <x v="2"/>
    <n v="1"/>
    <x v="594"/>
    <m/>
    <m/>
    <m/>
    <m/>
    <n v="200"/>
    <n v="0"/>
    <n v="0"/>
    <n v="200"/>
    <x v="0"/>
    <n v="50"/>
    <n v="150"/>
    <n v="0"/>
    <n v="0"/>
    <m/>
  </r>
  <r>
    <x v="3"/>
    <x v="10"/>
    <d v="2023-11-26T00:00:00"/>
    <s v="DIUMENGE"/>
    <s v="NO"/>
    <s v="NO"/>
    <d v="1899-12-30T09:30:00"/>
    <d v="1899-12-30T20:30:00"/>
    <x v="5"/>
    <n v="2"/>
    <x v="595"/>
    <m/>
    <m/>
    <m/>
    <m/>
    <n v="290"/>
    <n v="0"/>
    <n v="0"/>
    <n v="290"/>
    <x v="0"/>
    <n v="50"/>
    <n v="240"/>
    <n v="0"/>
    <n v="0"/>
    <m/>
  </r>
  <r>
    <x v="3"/>
    <x v="10"/>
    <d v="2023-11-29T00:00:00"/>
    <s v="DIMECRES"/>
    <s v="SI"/>
    <s v="NO"/>
    <d v="1899-12-30T09:30:00"/>
    <d v="1899-12-30T20:30:00"/>
    <x v="5"/>
    <n v="2"/>
    <x v="596"/>
    <m/>
    <m/>
    <m/>
    <m/>
    <n v="290"/>
    <n v="0"/>
    <n v="0"/>
    <n v="290"/>
    <x v="0"/>
    <n v="290"/>
    <n v="0"/>
    <n v="0"/>
    <n v="0"/>
    <m/>
  </r>
  <r>
    <x v="3"/>
    <x v="11"/>
    <d v="2023-12-01T00:00:00"/>
    <s v="DIVENDRES"/>
    <s v="NO"/>
    <s v="NO"/>
    <d v="1899-12-30T21:30:00"/>
    <d v="1899-12-30T02:30:00"/>
    <x v="2"/>
    <n v="1"/>
    <x v="597"/>
    <m/>
    <m/>
    <m/>
    <m/>
    <n v="200"/>
    <n v="0"/>
    <n v="0"/>
    <n v="200"/>
    <x v="0"/>
    <n v="50"/>
    <n v="150"/>
    <n v="0"/>
    <n v="0"/>
    <m/>
  </r>
  <r>
    <x v="3"/>
    <x v="11"/>
    <d v="2023-12-02T00:00:00"/>
    <s v="DIUMENGE"/>
    <s v="NO"/>
    <s v="NO"/>
    <d v="1899-12-30T09:30:00"/>
    <d v="1899-12-30T02:30:00"/>
    <x v="5"/>
    <n v="3"/>
    <x v="598"/>
    <m/>
    <m/>
    <m/>
    <m/>
    <n v="400"/>
    <n v="0"/>
    <n v="0"/>
    <n v="400"/>
    <x v="0"/>
    <n v="400"/>
    <n v="0"/>
    <n v="0"/>
    <n v="0"/>
    <m/>
  </r>
  <r>
    <x v="3"/>
    <x v="11"/>
    <d v="2023-12-04T00:00:00"/>
    <s v="DILLUNS"/>
    <s v="NO"/>
    <s v="NO"/>
    <d v="1899-12-30T15:30:00"/>
    <d v="1899-12-30T20:30:00"/>
    <x v="1"/>
    <n v="1"/>
    <x v="599"/>
    <m/>
    <m/>
    <m/>
    <m/>
    <n v="95"/>
    <n v="0"/>
    <n v="0"/>
    <n v="95"/>
    <x v="0"/>
    <n v="50"/>
    <n v="45"/>
    <n v="0"/>
    <n v="0"/>
    <m/>
  </r>
  <r>
    <x v="3"/>
    <x v="11"/>
    <d v="2023-12-05T00:00:00"/>
    <s v="DIMARTS"/>
    <s v="NO"/>
    <s v="NO"/>
    <d v="1899-12-30T21:30:00"/>
    <d v="1899-12-30T02:30:00"/>
    <x v="2"/>
    <n v="1"/>
    <x v="600"/>
    <m/>
    <m/>
    <m/>
    <m/>
    <n v="0"/>
    <n v="0"/>
    <n v="0"/>
    <n v="0"/>
    <x v="0"/>
    <n v="0"/>
    <n v="0"/>
    <n v="0"/>
    <n v="0"/>
    <m/>
  </r>
  <r>
    <x v="3"/>
    <x v="11"/>
    <d v="2023-12-06T00:00:00"/>
    <s v="DIMECRES"/>
    <s v="SI"/>
    <s v="NO"/>
    <d v="1899-12-30T15:30:00"/>
    <d v="1899-12-30T20:30:00"/>
    <x v="1"/>
    <n v="1"/>
    <x v="601"/>
    <n v="8105"/>
    <s v="SANT FOST"/>
    <s v="AV CATALUNYA 95 BAJOS 1"/>
    <s v="46716534S"/>
    <n v="150"/>
    <n v="0"/>
    <n v="0"/>
    <n v="150"/>
    <x v="0"/>
    <n v="50"/>
    <n v="100"/>
    <n v="0"/>
    <n v="0"/>
    <m/>
  </r>
  <r>
    <x v="3"/>
    <x v="11"/>
    <d v="2023-12-07T00:00:00"/>
    <s v="DIJOUS"/>
    <s v="NO"/>
    <s v="NO"/>
    <d v="1899-12-30T21:30:00"/>
    <d v="1899-12-30T02:30:00"/>
    <x v="2"/>
    <n v="1"/>
    <x v="602"/>
    <n v="8458"/>
    <s v="SANT PERE DE VILAMAJOR"/>
    <s v="C VALENCIA 6"/>
    <s v="38102866P"/>
    <n v="200"/>
    <n v="1"/>
    <n v="60"/>
    <n v="260"/>
    <x v="0"/>
    <n v="50"/>
    <n v="150"/>
    <n v="0"/>
    <n v="60"/>
    <m/>
  </r>
  <r>
    <x v="3"/>
    <x v="11"/>
    <d v="2023-12-08T00:00:00"/>
    <s v="DIVENDRES"/>
    <s v="SI"/>
    <s v="NO"/>
    <d v="1899-12-30T15:30:00"/>
    <d v="1899-12-30T20:30:00"/>
    <x v="1"/>
    <n v="1"/>
    <x v="603"/>
    <m/>
    <m/>
    <m/>
    <m/>
    <n v="150"/>
    <n v="0"/>
    <n v="0"/>
    <n v="150"/>
    <x v="0"/>
    <n v="0"/>
    <n v="150"/>
    <n v="0"/>
    <n v="0"/>
    <s v="Efectiu"/>
  </r>
  <r>
    <x v="3"/>
    <x v="11"/>
    <d v="2023-12-08T00:00:00"/>
    <s v="DIVENDRES"/>
    <s v="NO"/>
    <s v="NO"/>
    <d v="1899-12-30T21:30:00"/>
    <d v="1899-12-30T02:30:00"/>
    <x v="2"/>
    <n v="1"/>
    <x v="604"/>
    <n v="8170"/>
    <s v="MONTORNES DEL VALLES"/>
    <s v="C SANT LLUIS 5 3-8"/>
    <s v="46700570S"/>
    <n v="200"/>
    <n v="1"/>
    <n v="60"/>
    <n v="260"/>
    <x v="0"/>
    <n v="50"/>
    <n v="150"/>
    <n v="0"/>
    <n v="60"/>
    <m/>
  </r>
  <r>
    <x v="3"/>
    <x v="11"/>
    <d v="2023-12-09T00:00:00"/>
    <s v="DISSABTE"/>
    <s v="NO"/>
    <s v="NO"/>
    <d v="1899-12-30T15:30:00"/>
    <d v="1899-12-30T20:30:00"/>
    <x v="1"/>
    <n v="1"/>
    <x v="38"/>
    <n v="8170"/>
    <s v="MONTORNES DEL VALLES"/>
    <s v="C LLIBERTAT N1"/>
    <s v="47835971L"/>
    <n v="150"/>
    <n v="0"/>
    <n v="0"/>
    <n v="150"/>
    <x v="0"/>
    <n v="50"/>
    <n v="100"/>
    <n v="0"/>
    <n v="0"/>
    <m/>
  </r>
  <r>
    <x v="3"/>
    <x v="11"/>
    <d v="2023-12-10T00:00:00"/>
    <s v="DIUMENGE"/>
    <s v="NO"/>
    <s v="NO"/>
    <d v="1899-12-30T09:30:00"/>
    <d v="1899-12-30T14:30:00"/>
    <x v="3"/>
    <n v="1"/>
    <x v="605"/>
    <n v="8170"/>
    <s v="MONTORNES DEL VALLES"/>
    <s v="C LLIBERTAT 5A 2-1"/>
    <s v="53081973C"/>
    <n v="150"/>
    <n v="0"/>
    <n v="0"/>
    <n v="150"/>
    <x v="0"/>
    <n v="50"/>
    <n v="100"/>
    <n v="0"/>
    <n v="0"/>
    <m/>
  </r>
  <r>
    <x v="3"/>
    <x v="11"/>
    <d v="2023-12-10T00:00:00"/>
    <s v="DIUMENGE"/>
    <s v="NO"/>
    <s v="NO"/>
    <d v="1899-12-30T15:30:00"/>
    <d v="1899-12-30T20:30:00"/>
    <x v="1"/>
    <n v="1"/>
    <x v="503"/>
    <n v="8170"/>
    <s v="MONTORNES DEL VALLES"/>
    <s v="C DEL SOL 26"/>
    <s v="53127624A"/>
    <n v="150"/>
    <n v="1"/>
    <n v="20"/>
    <n v="170"/>
    <x v="0"/>
    <n v="50"/>
    <n v="100"/>
    <n v="0"/>
    <n v="20"/>
    <m/>
  </r>
  <r>
    <x v="3"/>
    <x v="11"/>
    <d v="2023-12-11T00:00:00"/>
    <s v="DILLUNS"/>
    <s v="NO"/>
    <s v="NO"/>
    <d v="1899-12-30T15:30:00"/>
    <d v="1899-12-30T20:30:00"/>
    <x v="1"/>
    <n v="1"/>
    <x v="188"/>
    <n v="8410"/>
    <s v="VILANOVA DEL VALLES"/>
    <s v="C PONENT N3"/>
    <s v="47278563Q"/>
    <n v="95"/>
    <n v="0"/>
    <n v="0"/>
    <n v="95"/>
    <x v="0"/>
    <n v="50"/>
    <n v="45"/>
    <n v="0"/>
    <n v="0"/>
    <m/>
  </r>
  <r>
    <x v="3"/>
    <x v="11"/>
    <d v="2023-12-12T00:00:00"/>
    <s v="DIMARTS"/>
    <s v="NO"/>
    <s v="NO"/>
    <d v="1899-12-30T15:30:00"/>
    <d v="1899-12-30T20:30:00"/>
    <x v="1"/>
    <n v="1"/>
    <x v="606"/>
    <m/>
    <m/>
    <m/>
    <m/>
    <n v="95"/>
    <n v="0"/>
    <n v="0"/>
    <n v="95"/>
    <x v="0"/>
    <n v="95"/>
    <n v="0"/>
    <n v="0"/>
    <n v="0"/>
    <m/>
  </r>
  <r>
    <x v="3"/>
    <x v="11"/>
    <d v="2023-12-13T00:00:00"/>
    <s v="DIMECRES"/>
    <s v="NO"/>
    <s v="NO"/>
    <d v="1899-12-30T15:30:00"/>
    <d v="1899-12-30T20:30:00"/>
    <x v="1"/>
    <n v="1"/>
    <x v="352"/>
    <n v="8170"/>
    <s v="MONTORNES DEL VALLES"/>
    <s v="C MAJOR 42"/>
    <s v="47809627X"/>
    <n v="95"/>
    <n v="0"/>
    <n v="0"/>
    <n v="95"/>
    <x v="0"/>
    <n v="95"/>
    <n v="0"/>
    <n v="0"/>
    <n v="0"/>
    <m/>
  </r>
  <r>
    <x v="3"/>
    <x v="11"/>
    <d v="2023-12-14T00:00:00"/>
    <s v="DIJOUS"/>
    <s v="NO"/>
    <s v="NO"/>
    <d v="1899-12-30T15:30:00"/>
    <d v="1899-12-30T20:30:00"/>
    <x v="1"/>
    <n v="1"/>
    <x v="607"/>
    <n v="8170"/>
    <s v="MONTORNES DEL VALLES"/>
    <s v="AV 11 DE SETEMBRE 2 2A"/>
    <s v="47818341F"/>
    <n v="95"/>
    <n v="0"/>
    <n v="0"/>
    <n v="95"/>
    <x v="0"/>
    <n v="50"/>
    <n v="45"/>
    <n v="0"/>
    <n v="0"/>
    <m/>
  </r>
  <r>
    <x v="3"/>
    <x v="11"/>
    <d v="2023-12-15T00:00:00"/>
    <s v="DIVENDRES"/>
    <s v="NO"/>
    <s v="NO"/>
    <d v="1899-12-30T15:30:00"/>
    <d v="1899-12-30T20:30:00"/>
    <x v="1"/>
    <n v="1"/>
    <x v="608"/>
    <m/>
    <m/>
    <m/>
    <m/>
    <n v="140"/>
    <n v="0"/>
    <n v="0"/>
    <n v="140"/>
    <x v="0"/>
    <n v="50"/>
    <n v="90"/>
    <n v="0"/>
    <n v="0"/>
    <m/>
  </r>
  <r>
    <x v="3"/>
    <x v="11"/>
    <d v="2023-12-15T00:00:00"/>
    <s v="DIVENDRES"/>
    <s v="NO"/>
    <s v="NO"/>
    <d v="1899-12-30T21:30:00"/>
    <d v="1899-12-30T02:30:00"/>
    <x v="2"/>
    <n v="1"/>
    <x v="329"/>
    <m/>
    <m/>
    <s v="FACTURA 2023_03"/>
    <m/>
    <n v="150"/>
    <n v="1"/>
    <n v="60"/>
    <n v="210"/>
    <x v="0"/>
    <n v="150"/>
    <n v="0"/>
    <n v="60"/>
    <n v="0"/>
    <m/>
  </r>
  <r>
    <x v="3"/>
    <x v="11"/>
    <d v="2023-12-16T00:00:00"/>
    <s v="DISSABTE"/>
    <s v="NO"/>
    <s v="NO"/>
    <d v="1899-12-30T09:30:00"/>
    <d v="1899-12-30T14:30:00"/>
    <x v="3"/>
    <n v="1"/>
    <x v="376"/>
    <n v="8170"/>
    <s v="MONTORNES DEL VALLES"/>
    <s v="C ESTRELLA 14 1-1"/>
    <s v="53120320A"/>
    <n v="150"/>
    <n v="0"/>
    <n v="0"/>
    <n v="150"/>
    <x v="0"/>
    <n v="150"/>
    <n v="0"/>
    <n v="0"/>
    <n v="0"/>
    <s v="FACTURA 2023_03"/>
  </r>
  <r>
    <x v="3"/>
    <x v="11"/>
    <d v="2023-12-16T00:00:00"/>
    <s v="DISSABTE"/>
    <s v="NO"/>
    <s v="NO"/>
    <d v="1899-12-30T15:30:00"/>
    <d v="1899-12-30T20:30:00"/>
    <x v="1"/>
    <n v="1"/>
    <x v="609"/>
    <n v="8130"/>
    <s v="SANTA PERPETUA MOGODA"/>
    <s v="C LA FONT DELS ARCS 14"/>
    <s v="46540925B"/>
    <n v="150"/>
    <n v="0"/>
    <n v="0"/>
    <n v="150"/>
    <x v="0"/>
    <n v="50"/>
    <n v="100"/>
    <n v="0"/>
    <n v="0"/>
    <m/>
  </r>
  <r>
    <x v="3"/>
    <x v="11"/>
    <d v="2023-12-16T00:00:00"/>
    <s v="DISSABTE"/>
    <s v="NO"/>
    <s v="NO"/>
    <d v="1899-12-30T21:30:00"/>
    <d v="1899-12-30T02:30:00"/>
    <x v="2"/>
    <n v="1"/>
    <x v="610"/>
    <n v="8104"/>
    <s v="MOLLET"/>
    <s v="AV BADALONA 10 6-2"/>
    <s v="49364875K"/>
    <n v="200"/>
    <n v="1"/>
    <n v="60"/>
    <n v="260"/>
    <x v="0"/>
    <n v="200"/>
    <n v="0"/>
    <n v="60"/>
    <n v="0"/>
    <m/>
  </r>
  <r>
    <x v="3"/>
    <x v="11"/>
    <d v="2023-12-17T00:00:00"/>
    <s v="DIMECRES"/>
    <s v="SI"/>
    <s v="NO"/>
    <d v="1899-12-30T09:30:00"/>
    <d v="1899-12-30T20:30:00"/>
    <x v="5"/>
    <n v="2"/>
    <x v="611"/>
    <m/>
    <m/>
    <m/>
    <m/>
    <n v="290"/>
    <n v="0"/>
    <n v="0"/>
    <n v="290"/>
    <x v="0"/>
    <n v="50"/>
    <n v="240"/>
    <n v="0"/>
    <n v="0"/>
    <m/>
  </r>
  <r>
    <x v="3"/>
    <x v="11"/>
    <d v="2023-12-18T00:00:00"/>
    <s v="DILLUNS"/>
    <s v="NO"/>
    <s v="NO"/>
    <d v="1899-12-30T15:30:00"/>
    <d v="1899-12-30T20:30:00"/>
    <x v="1"/>
    <n v="1"/>
    <x v="612"/>
    <m/>
    <m/>
    <m/>
    <m/>
    <n v="95"/>
    <n v="0"/>
    <n v="0"/>
    <n v="95"/>
    <x v="0"/>
    <n v="95"/>
    <n v="0"/>
    <n v="0"/>
    <n v="0"/>
    <m/>
  </r>
  <r>
    <x v="3"/>
    <x v="11"/>
    <d v="2023-12-20T00:00:00"/>
    <s v="DIMECRES"/>
    <s v="NO"/>
    <s v="NO"/>
    <d v="1899-12-30T21:30:00"/>
    <d v="1899-12-30T02:30:00"/>
    <x v="2"/>
    <n v="1"/>
    <x v="613"/>
    <n v="8104"/>
    <s v="MOLLET"/>
    <s v="C CAN MOLLET 3 BAIXOS 1"/>
    <s v="46761002R"/>
    <n v="200"/>
    <n v="0"/>
    <n v="0"/>
    <n v="200"/>
    <x v="0"/>
    <n v="50"/>
    <n v="150"/>
    <n v="0"/>
    <n v="0"/>
    <m/>
  </r>
  <r>
    <x v="3"/>
    <x v="11"/>
    <d v="2023-12-21T00:00:00"/>
    <s v="DIJOUS"/>
    <s v="NO"/>
    <s v="NO"/>
    <d v="1899-12-30T15:30:00"/>
    <d v="1899-12-30T20:30:00"/>
    <x v="1"/>
    <n v="1"/>
    <x v="7"/>
    <m/>
    <m/>
    <m/>
    <m/>
    <n v="95"/>
    <n v="0"/>
    <n v="0"/>
    <n v="95"/>
    <x v="0"/>
    <n v="0"/>
    <n v="95"/>
    <n v="0"/>
    <n v="0"/>
    <m/>
  </r>
  <r>
    <x v="3"/>
    <x v="11"/>
    <d v="2023-12-22T00:00:00"/>
    <s v="DIVENDRES"/>
    <s v="NO"/>
    <s v="NO"/>
    <d v="1899-12-30T15:30:00"/>
    <d v="1899-12-30T20:30:00"/>
    <x v="1"/>
    <n v="1"/>
    <x v="614"/>
    <n v="8120"/>
    <s v="LA LLAGOSTA"/>
    <s v="AV ONZE DE SETEMBRE 55 1-2"/>
    <s v="47808784H"/>
    <n v="140"/>
    <n v="0"/>
    <n v="0"/>
    <n v="140"/>
    <x v="0"/>
    <n v="50"/>
    <n v="90"/>
    <n v="0"/>
    <n v="0"/>
    <m/>
  </r>
  <r>
    <x v="3"/>
    <x v="11"/>
    <d v="2023-12-22T00:00:00"/>
    <s v="DIVENDRES"/>
    <s v="NO"/>
    <s v="NO"/>
    <d v="1899-12-30T21:30:00"/>
    <d v="1899-12-30T02:30:00"/>
    <x v="2"/>
    <n v="1"/>
    <x v="615"/>
    <n v="8401"/>
    <s v="GRANOLLERS"/>
    <s v="C ROGER DE FLOR 6 1-1"/>
    <s v="52152670D"/>
    <n v="200"/>
    <n v="1"/>
    <n v="60"/>
    <n v="260"/>
    <x v="0"/>
    <n v="200"/>
    <n v="0"/>
    <n v="60"/>
    <n v="0"/>
    <m/>
  </r>
  <r>
    <x v="3"/>
    <x v="11"/>
    <d v="2023-12-23T00:00:00"/>
    <s v="DISSABTE"/>
    <s v="NO"/>
    <s v="NO"/>
    <d v="1899-12-30T15:30:00"/>
    <d v="1899-12-30T20:30:00"/>
    <x v="1"/>
    <n v="1"/>
    <x v="616"/>
    <n v="8170"/>
    <s v="MONTORNES DEL VALLES"/>
    <s v="C ESTRELLA 5 1-3"/>
    <s v="46416307F"/>
    <n v="150"/>
    <n v="0"/>
    <n v="0"/>
    <n v="150"/>
    <x v="0"/>
    <n v="50"/>
    <n v="100"/>
    <n v="0"/>
    <n v="0"/>
    <m/>
  </r>
  <r>
    <x v="3"/>
    <x v="11"/>
    <d v="2023-12-23T00:00:00"/>
    <s v="DISSABTE"/>
    <s v="NO"/>
    <s v="NO"/>
    <d v="1899-12-30T20:30:00"/>
    <d v="1899-12-30T02:30:00"/>
    <x v="2"/>
    <n v="1"/>
    <x v="617"/>
    <m/>
    <m/>
    <m/>
    <m/>
    <n v="200"/>
    <n v="1"/>
    <n v="60"/>
    <n v="260"/>
    <x v="0"/>
    <n v="50"/>
    <n v="150"/>
    <n v="0"/>
    <n v="60"/>
    <m/>
  </r>
  <r>
    <x v="3"/>
    <x v="11"/>
    <d v="2023-12-24T00:00:00"/>
    <s v="DIUMENGE"/>
    <s v="SI"/>
    <s v="SI"/>
    <d v="1899-12-30T20:30:00"/>
    <d v="1899-12-30T02:30:00"/>
    <x v="2"/>
    <n v="1"/>
    <x v="198"/>
    <m/>
    <m/>
    <m/>
    <m/>
    <n v="350"/>
    <n v="0"/>
    <n v="0"/>
    <n v="350"/>
    <x v="0"/>
    <n v="0"/>
    <n v="350"/>
    <n v="0"/>
    <n v="0"/>
    <s v="ANUAL: 350"/>
  </r>
  <r>
    <x v="3"/>
    <x v="11"/>
    <d v="2023-12-25T00:00:00"/>
    <s v="DILLUNS"/>
    <s v="SI"/>
    <s v="SI"/>
    <d v="1899-12-30T09:30:00"/>
    <d v="1899-12-30T20:30:00"/>
    <x v="5"/>
    <n v="2"/>
    <x v="618"/>
    <m/>
    <m/>
    <m/>
    <m/>
    <n v="350"/>
    <n v="0"/>
    <n v="0"/>
    <n v="350"/>
    <x v="0"/>
    <n v="50"/>
    <n v="300"/>
    <n v="0"/>
    <n v="0"/>
    <s v="ANUAL: 350"/>
  </r>
  <r>
    <x v="3"/>
    <x v="11"/>
    <d v="2023-12-26T00:00:00"/>
    <s v="DIMARTS"/>
    <s v="SI"/>
    <s v="SI"/>
    <d v="1899-12-30T11:00:00"/>
    <d v="1899-12-30T20:30:00"/>
    <x v="5"/>
    <n v="2"/>
    <x v="384"/>
    <m/>
    <m/>
    <m/>
    <m/>
    <n v="300"/>
    <n v="0"/>
    <n v="0"/>
    <n v="300"/>
    <x v="0"/>
    <n v="0"/>
    <n v="300"/>
    <n v="0"/>
    <n v="0"/>
    <s v="ANUAL: 300"/>
  </r>
  <r>
    <x v="3"/>
    <x v="11"/>
    <d v="2023-12-27T00:00:00"/>
    <s v="DIMECRES"/>
    <s v="NO"/>
    <s v="NO"/>
    <d v="1899-12-30T09:30:00"/>
    <d v="1899-12-30T14:30:00"/>
    <x v="3"/>
    <n v="1"/>
    <x v="619"/>
    <m/>
    <m/>
    <s v="FACTURA 2023_5"/>
    <m/>
    <n v="60"/>
    <n v="0"/>
    <n v="0"/>
    <n v="60"/>
    <x v="0"/>
    <n v="60"/>
    <n v="0"/>
    <n v="0"/>
    <n v="0"/>
    <s v="FACTURA 2023_5"/>
  </r>
  <r>
    <x v="3"/>
    <x v="11"/>
    <d v="2023-12-28T00:00:00"/>
    <s v="DIJOUS"/>
    <s v="NO"/>
    <s v="NO"/>
    <d v="1899-12-30T09:30:00"/>
    <d v="1899-12-30T14:30:00"/>
    <x v="3"/>
    <n v="1"/>
    <x v="620"/>
    <m/>
    <m/>
    <m/>
    <m/>
    <n v="80"/>
    <n v="0"/>
    <n v="0"/>
    <n v="80"/>
    <x v="0"/>
    <n v="0"/>
    <n v="80"/>
    <n v="0"/>
    <n v="0"/>
    <s v="BIzum"/>
  </r>
  <r>
    <x v="3"/>
    <x v="11"/>
    <d v="2023-12-28T00:00:00"/>
    <s v="DIJOUS"/>
    <s v="NO"/>
    <s v="NO"/>
    <d v="1899-12-30T15:30:00"/>
    <d v="1899-12-30T20:30:00"/>
    <x v="1"/>
    <n v="1"/>
    <x v="621"/>
    <m/>
    <m/>
    <m/>
    <m/>
    <n v="95"/>
    <n v="0"/>
    <n v="0"/>
    <n v="95"/>
    <x v="0"/>
    <n v="50"/>
    <n v="45"/>
    <n v="0"/>
    <n v="0"/>
    <m/>
  </r>
  <r>
    <x v="3"/>
    <x v="11"/>
    <d v="2023-12-29T00:00:00"/>
    <s v="DIVENDRES"/>
    <s v="NO"/>
    <s v="NO"/>
    <d v="1899-12-30T09:30:00"/>
    <d v="1899-12-30T14:30:00"/>
    <x v="3"/>
    <n v="1"/>
    <x v="619"/>
    <m/>
    <m/>
    <s v="FACTURA 2023_5"/>
    <m/>
    <n v="60"/>
    <n v="0"/>
    <n v="0"/>
    <n v="60"/>
    <x v="0"/>
    <n v="60"/>
    <n v="0"/>
    <n v="0"/>
    <n v="0"/>
    <s v="FACTURA 2023_5"/>
  </r>
  <r>
    <x v="3"/>
    <x v="11"/>
    <d v="2023-12-29T00:00:00"/>
    <s v="DIVENDRES"/>
    <s v="NO"/>
    <s v="NO"/>
    <d v="1899-12-30T15:30:00"/>
    <d v="1899-12-30T20:30:00"/>
    <x v="1"/>
    <n v="1"/>
    <x v="622"/>
    <n v="8170"/>
    <s v="MONTORNES DEL VALLES"/>
    <s v="C LLEIDA 2 B 3-3"/>
    <s v="79272272N"/>
    <n v="140"/>
    <n v="0"/>
    <n v="0"/>
    <n v="140"/>
    <x v="0"/>
    <n v="50"/>
    <n v="90"/>
    <n v="0"/>
    <n v="0"/>
    <m/>
  </r>
  <r>
    <x v="3"/>
    <x v="11"/>
    <d v="2023-12-29T00:00:00"/>
    <s v="DIVENDRES"/>
    <s v="NO"/>
    <s v="NO"/>
    <d v="1899-12-30T21:30:00"/>
    <d v="1899-12-30T02:30:00"/>
    <x v="2"/>
    <n v="1"/>
    <x v="623"/>
    <m/>
    <m/>
    <m/>
    <m/>
    <n v="200"/>
    <n v="0"/>
    <n v="0"/>
    <n v="200"/>
    <x v="0"/>
    <n v="200"/>
    <n v="0"/>
    <n v="0"/>
    <n v="0"/>
    <m/>
  </r>
  <r>
    <x v="3"/>
    <x v="11"/>
    <d v="2023-12-30T00:00:00"/>
    <s v="DISSABTE"/>
    <s v="NO"/>
    <s v="NO"/>
    <d v="1899-12-30T09:30:00"/>
    <d v="1899-12-30T14:30:00"/>
    <x v="3"/>
    <n v="1"/>
    <x v="619"/>
    <m/>
    <m/>
    <s v="FACTURA 2023_4"/>
    <m/>
    <n v="150"/>
    <n v="0"/>
    <n v="0"/>
    <n v="150"/>
    <x v="0"/>
    <n v="150"/>
    <n v="0"/>
    <n v="0"/>
    <n v="0"/>
    <s v="FACTURA 2023_4"/>
  </r>
  <r>
    <x v="3"/>
    <x v="11"/>
    <d v="2023-12-30T00:00:00"/>
    <s v="DISSABTE"/>
    <s v="NO"/>
    <s v="NO"/>
    <d v="1899-12-30T15:30:00"/>
    <d v="1899-12-30T20:30:00"/>
    <x v="1"/>
    <n v="1"/>
    <x v="624"/>
    <n v="8170"/>
    <s v="MONTORNES DEL VALLES"/>
    <s v="C MARTORELLES 14"/>
    <s v="53121335Y"/>
    <n v="150"/>
    <n v="0"/>
    <n v="0"/>
    <n v="150"/>
    <x v="0"/>
    <n v="50"/>
    <n v="100"/>
    <n v="0"/>
    <n v="0"/>
    <m/>
  </r>
  <r>
    <x v="3"/>
    <x v="11"/>
    <d v="2023-12-30T00:00:00"/>
    <s v="DISSABTE"/>
    <s v="NO"/>
    <s v="NO"/>
    <d v="1899-12-30T21:30:00"/>
    <d v="1899-12-30T02:30:00"/>
    <x v="2"/>
    <n v="1"/>
    <x v="625"/>
    <n v="8170"/>
    <s v="MONTORNES DEL VALLES"/>
    <s v="C PALAU D'ATMELLA 8 5-1"/>
    <s v="53340467V"/>
    <n v="200"/>
    <n v="0"/>
    <n v="0"/>
    <n v="200"/>
    <x v="0"/>
    <n v="50"/>
    <n v="150"/>
    <n v="0"/>
    <n v="0"/>
    <m/>
  </r>
  <r>
    <x v="3"/>
    <x v="11"/>
    <d v="2023-12-31T00:00:00"/>
    <s v="DIUMENGE"/>
    <s v="NO"/>
    <s v="SI"/>
    <d v="1899-12-30T15:30:00"/>
    <d v="1899-12-30T05:30:00"/>
    <x v="4"/>
    <n v="2"/>
    <x v="626"/>
    <n v="8105"/>
    <s v="SANT FOST"/>
    <s v="C LES PERDIUS 3"/>
    <s v="46527902Y"/>
    <n v="600"/>
    <n v="0"/>
    <n v="0"/>
    <n v="600"/>
    <x v="0"/>
    <n v="100"/>
    <n v="500"/>
    <n v="0"/>
    <n v="0"/>
    <s v="ANUAL: 600"/>
  </r>
  <r>
    <x v="4"/>
    <x v="0"/>
    <d v="2024-01-01T00:00:00"/>
    <s v="DILLUNS"/>
    <s v="SI"/>
    <s v="SI"/>
    <d v="1899-12-30T09:30:00"/>
    <d v="1899-12-30T20:30:00"/>
    <x v="5"/>
    <n v="2"/>
    <x v="627"/>
    <m/>
    <m/>
    <m/>
    <m/>
    <n v="200"/>
    <n v="0"/>
    <n v="0"/>
    <n v="200"/>
    <x v="0"/>
    <n v="50"/>
    <n v="150"/>
    <n v="0"/>
    <n v="0"/>
    <m/>
  </r>
  <r>
    <x v="4"/>
    <x v="0"/>
    <d v="2024-01-02T00:00:00"/>
    <s v="DIMARTS"/>
    <s v="NO"/>
    <s v="NO"/>
    <d v="1899-12-30T09:30:00"/>
    <d v="1899-12-30T14:30:00"/>
    <x v="3"/>
    <n v="1"/>
    <x v="619"/>
    <m/>
    <m/>
    <s v="FACTURA 2023_06"/>
    <m/>
    <n v="80"/>
    <n v="0"/>
    <n v="0"/>
    <n v="80"/>
    <x v="2"/>
    <n v="0"/>
    <n v="0"/>
    <n v="0"/>
    <n v="0"/>
    <s v="FACTURA 2023_6"/>
  </r>
  <r>
    <x v="4"/>
    <x v="0"/>
    <d v="2024-01-02T00:00:00"/>
    <s v="DIMARTS"/>
    <s v="NO"/>
    <s v="NO"/>
    <d v="1899-12-30T15:30:00"/>
    <d v="1899-12-30T20:30:00"/>
    <x v="1"/>
    <n v="1"/>
    <x v="628"/>
    <m/>
    <m/>
    <m/>
    <m/>
    <n v="95"/>
    <n v="0"/>
    <n v="0"/>
    <n v="95"/>
    <x v="0"/>
    <n v="50"/>
    <n v="45"/>
    <n v="0"/>
    <n v="0"/>
    <s v="45 bizum"/>
  </r>
  <r>
    <x v="4"/>
    <x v="0"/>
    <d v="2024-01-03T00:00:00"/>
    <s v="DIMECRES"/>
    <s v="NO"/>
    <s v="NO"/>
    <d v="1899-12-30T09:30:00"/>
    <d v="1899-12-30T14:30:00"/>
    <x v="3"/>
    <n v="1"/>
    <x v="619"/>
    <m/>
    <m/>
    <s v="FACTURA 2023_06"/>
    <m/>
    <n v="80"/>
    <n v="0"/>
    <n v="0"/>
    <n v="80"/>
    <x v="2"/>
    <n v="0"/>
    <n v="0"/>
    <n v="0"/>
    <n v="0"/>
    <s v="FACTURA 2023_6"/>
  </r>
  <r>
    <x v="4"/>
    <x v="0"/>
    <d v="2024-01-03T00:00:00"/>
    <s v="DIMECRES"/>
    <s v="NO"/>
    <s v="NO"/>
    <d v="1899-12-30T15:30:00"/>
    <d v="1899-12-30T20:30:00"/>
    <x v="1"/>
    <n v="1"/>
    <x v="629"/>
    <m/>
    <m/>
    <m/>
    <m/>
    <n v="95"/>
    <n v="0"/>
    <n v="0"/>
    <n v="95"/>
    <x v="0"/>
    <n v="50"/>
    <n v="45"/>
    <n v="0"/>
    <n v="0"/>
    <m/>
  </r>
  <r>
    <x v="4"/>
    <x v="0"/>
    <d v="2024-01-04T00:00:00"/>
    <s v="DIJOUS"/>
    <s v="NO"/>
    <s v="NO"/>
    <d v="1899-12-30T09:30:00"/>
    <d v="1899-12-30T14:30:00"/>
    <x v="3"/>
    <n v="1"/>
    <x v="619"/>
    <m/>
    <m/>
    <s v="FACTURA 2023_06"/>
    <m/>
    <n v="80"/>
    <n v="0"/>
    <n v="0"/>
    <n v="80"/>
    <x v="2"/>
    <n v="0"/>
    <n v="0"/>
    <n v="0"/>
    <n v="0"/>
    <s v="FACTURA 2023_6"/>
  </r>
  <r>
    <x v="4"/>
    <x v="0"/>
    <d v="2024-01-04T00:00:00"/>
    <s v="DIJOUS"/>
    <s v="NO"/>
    <s v="NO"/>
    <d v="1899-12-30T15:30:00"/>
    <d v="1899-12-30T20:30:00"/>
    <x v="1"/>
    <n v="1"/>
    <x v="391"/>
    <m/>
    <m/>
    <m/>
    <m/>
    <n v="95"/>
    <n v="0"/>
    <n v="0"/>
    <n v="95"/>
    <x v="0"/>
    <n v="50"/>
    <n v="45"/>
    <n v="0"/>
    <n v="0"/>
    <m/>
  </r>
  <r>
    <x v="4"/>
    <x v="0"/>
    <d v="2024-01-05T00:00:00"/>
    <s v="DIVENDRES"/>
    <s v="NO"/>
    <s v="NO"/>
    <d v="1899-12-30T09:30:00"/>
    <d v="1899-12-30T14:30:00"/>
    <x v="3"/>
    <n v="1"/>
    <x v="619"/>
    <m/>
    <m/>
    <m/>
    <m/>
    <n v="0"/>
    <n v="0"/>
    <n v="0"/>
    <n v="0"/>
    <x v="2"/>
    <n v="0"/>
    <n v="0"/>
    <n v="0"/>
    <n v="0"/>
    <m/>
  </r>
  <r>
    <x v="4"/>
    <x v="0"/>
    <d v="2024-01-05T00:00:00"/>
    <s v="DIVENDRES"/>
    <s v="NO"/>
    <s v="SI"/>
    <d v="1899-12-30T21:30:00"/>
    <d v="1899-12-30T02:30:00"/>
    <x v="2"/>
    <n v="1"/>
    <x v="630"/>
    <m/>
    <m/>
    <m/>
    <m/>
    <n v="180"/>
    <n v="0"/>
    <n v="0"/>
    <n v="180"/>
    <x v="2"/>
    <n v="0"/>
    <n v="0"/>
    <n v="0"/>
    <n v="0"/>
    <m/>
  </r>
  <r>
    <x v="4"/>
    <x v="0"/>
    <d v="2024-01-06T00:00:00"/>
    <s v="DISSABTE"/>
    <s v="SI"/>
    <s v="SI"/>
    <d v="1899-12-30T15:00:00"/>
    <d v="1899-12-30T20:00:00"/>
    <x v="1"/>
    <n v="1"/>
    <x v="393"/>
    <m/>
    <m/>
    <m/>
    <m/>
    <n v="150"/>
    <n v="0"/>
    <n v="0"/>
    <n v="150"/>
    <x v="2"/>
    <n v="0"/>
    <n v="0"/>
    <n v="0"/>
    <n v="0"/>
    <m/>
  </r>
  <r>
    <x v="4"/>
    <x v="0"/>
    <d v="2024-01-07T00:00:00"/>
    <s v="DIUMENGE"/>
    <s v="NO"/>
    <s v="NO"/>
    <d v="1899-12-30T15:30:00"/>
    <d v="1899-12-30T20:30:00"/>
    <x v="1"/>
    <n v="1"/>
    <x v="631"/>
    <m/>
    <m/>
    <m/>
    <m/>
    <n v="150"/>
    <n v="0"/>
    <n v="0"/>
    <n v="150"/>
    <x v="0"/>
    <n v="0"/>
    <n v="150"/>
    <n v="0"/>
    <n v="0"/>
    <m/>
  </r>
  <r>
    <x v="4"/>
    <x v="0"/>
    <d v="2024-01-10T00:00:00"/>
    <s v="DIMECRES"/>
    <s v="NO"/>
    <s v="NO"/>
    <d v="1899-12-30T15:30:00"/>
    <d v="1899-12-30T20:30:00"/>
    <x v="1"/>
    <n v="1"/>
    <x v="632"/>
    <m/>
    <m/>
    <m/>
    <m/>
    <n v="95"/>
    <n v="0"/>
    <n v="0"/>
    <n v="95"/>
    <x v="2"/>
    <n v="0"/>
    <n v="0"/>
    <n v="0"/>
    <n v="0"/>
    <m/>
  </r>
  <r>
    <x v="4"/>
    <x v="0"/>
    <d v="2024-01-11T00:00:00"/>
    <s v="DIJOUS"/>
    <s v="NO"/>
    <s v="NO"/>
    <d v="1899-12-30T15:30:00"/>
    <d v="1899-12-30T20:30:00"/>
    <x v="1"/>
    <n v="1"/>
    <x v="633"/>
    <m/>
    <m/>
    <m/>
    <m/>
    <n v="95"/>
    <n v="0"/>
    <n v="0"/>
    <n v="95"/>
    <x v="2"/>
    <n v="0"/>
    <n v="0"/>
    <n v="0"/>
    <n v="0"/>
    <m/>
  </r>
  <r>
    <x v="4"/>
    <x v="0"/>
    <d v="2024-01-12T00:00:00"/>
    <s v="DIVENDRES"/>
    <s v="NO"/>
    <s v="NO"/>
    <d v="1899-12-30T15:30:00"/>
    <d v="1899-12-30T20:30:00"/>
    <x v="1"/>
    <n v="1"/>
    <x v="634"/>
    <m/>
    <m/>
    <m/>
    <m/>
    <n v="140"/>
    <n v="0"/>
    <n v="0"/>
    <n v="140"/>
    <x v="2"/>
    <n v="0"/>
    <n v="0"/>
    <n v="0"/>
    <n v="0"/>
    <m/>
  </r>
  <r>
    <x v="4"/>
    <x v="0"/>
    <d v="2024-01-12T00:00:00"/>
    <s v="DIVENDRES"/>
    <s v="NO"/>
    <s v="NO"/>
    <d v="1899-12-30T21:30:00"/>
    <d v="1899-12-30T02:30:00"/>
    <x v="2"/>
    <n v="1"/>
    <x v="635"/>
    <m/>
    <m/>
    <m/>
    <m/>
    <n v="200"/>
    <n v="0"/>
    <n v="0"/>
    <n v="200"/>
    <x v="2"/>
    <n v="0"/>
    <n v="0"/>
    <n v="0"/>
    <n v="0"/>
    <m/>
  </r>
  <r>
    <x v="4"/>
    <x v="0"/>
    <d v="2024-01-13T00:00:00"/>
    <s v="DISSABTE"/>
    <s v="NO"/>
    <s v="NO"/>
    <d v="1899-12-30T09:30:00"/>
    <d v="1899-12-30T14:30:00"/>
    <x v="3"/>
    <n v="1"/>
    <x v="636"/>
    <m/>
    <m/>
    <m/>
    <m/>
    <n v="150"/>
    <n v="0"/>
    <n v="0"/>
    <n v="150"/>
    <x v="2"/>
    <n v="0"/>
    <n v="0"/>
    <n v="0"/>
    <n v="0"/>
    <m/>
  </r>
  <r>
    <x v="4"/>
    <x v="0"/>
    <d v="2024-01-13T00:00:00"/>
    <s v="DISSABTE"/>
    <s v="NO"/>
    <s v="NO"/>
    <d v="1899-12-30T15:30:00"/>
    <d v="1899-12-30T20:30:00"/>
    <x v="1"/>
    <n v="1"/>
    <x v="637"/>
    <m/>
    <m/>
    <m/>
    <m/>
    <n v="150"/>
    <n v="0"/>
    <n v="0"/>
    <n v="150"/>
    <x v="2"/>
    <n v="0"/>
    <n v="0"/>
    <n v="0"/>
    <n v="0"/>
    <m/>
  </r>
  <r>
    <x v="4"/>
    <x v="0"/>
    <d v="2024-01-13T00:00:00"/>
    <s v="DISSABTE"/>
    <s v="NO"/>
    <s v="NO"/>
    <d v="1899-12-30T21:30:00"/>
    <d v="1899-12-30T02:30:00"/>
    <x v="2"/>
    <n v="1"/>
    <x v="638"/>
    <m/>
    <m/>
    <m/>
    <m/>
    <n v="200"/>
    <n v="0"/>
    <n v="0"/>
    <n v="200"/>
    <x v="2"/>
    <n v="0"/>
    <n v="0"/>
    <n v="0"/>
    <n v="0"/>
    <m/>
  </r>
  <r>
    <x v="4"/>
    <x v="0"/>
    <d v="2024-01-14T00:00:00"/>
    <s v="DIUMENGE"/>
    <s v="NO"/>
    <s v="NO"/>
    <d v="1899-12-30T15:30:00"/>
    <d v="1899-12-30T20:30:00"/>
    <x v="1"/>
    <n v="1"/>
    <x v="639"/>
    <m/>
    <m/>
    <m/>
    <m/>
    <n v="150"/>
    <n v="0"/>
    <n v="0"/>
    <n v="150"/>
    <x v="2"/>
    <n v="0"/>
    <n v="0"/>
    <n v="0"/>
    <n v="0"/>
    <m/>
  </r>
  <r>
    <x v="4"/>
    <x v="0"/>
    <d v="2024-01-19T00:00:00"/>
    <s v="DIVENDRES"/>
    <s v="NO"/>
    <s v="NO"/>
    <d v="1899-12-30T15:30:00"/>
    <d v="1899-12-30T02:30:00"/>
    <x v="4"/>
    <n v="2"/>
    <x v="640"/>
    <m/>
    <m/>
    <m/>
    <m/>
    <n v="300"/>
    <n v="0"/>
    <n v="0"/>
    <n v="300"/>
    <x v="2"/>
    <n v="0"/>
    <n v="0"/>
    <n v="0"/>
    <n v="0"/>
    <m/>
  </r>
  <r>
    <x v="4"/>
    <x v="0"/>
    <d v="2024-01-20T00:00:00"/>
    <s v="DISSABTE"/>
    <s v="NO"/>
    <s v="NO"/>
    <d v="1899-12-30T09:30:00"/>
    <d v="1899-12-30T14:30:00"/>
    <x v="3"/>
    <n v="1"/>
    <x v="641"/>
    <m/>
    <m/>
    <m/>
    <m/>
    <n v="150"/>
    <n v="0"/>
    <n v="0"/>
    <n v="150"/>
    <x v="2"/>
    <n v="0"/>
    <n v="0"/>
    <n v="0"/>
    <n v="0"/>
    <m/>
  </r>
  <r>
    <x v="4"/>
    <x v="0"/>
    <d v="2024-01-20T00:00:00"/>
    <s v="DISSABTE"/>
    <s v="NO"/>
    <s v="NO"/>
    <d v="1899-12-30T15:30:00"/>
    <d v="1899-12-30T20:30:00"/>
    <x v="1"/>
    <n v="1"/>
    <x v="283"/>
    <m/>
    <m/>
    <m/>
    <m/>
    <n v="150"/>
    <n v="0"/>
    <n v="0"/>
    <n v="150"/>
    <x v="2"/>
    <n v="0"/>
    <n v="0"/>
    <n v="0"/>
    <n v="0"/>
    <m/>
  </r>
  <r>
    <x v="4"/>
    <x v="0"/>
    <d v="2024-01-21T00:00:00"/>
    <s v="DIUMENGE"/>
    <s v="NO"/>
    <s v="NO"/>
    <d v="1899-12-30T09:30:00"/>
    <d v="1899-12-30T14:30:00"/>
    <x v="3"/>
    <n v="1"/>
    <x v="642"/>
    <m/>
    <m/>
    <m/>
    <m/>
    <n v="150"/>
    <n v="0"/>
    <n v="0"/>
    <n v="150"/>
    <x v="2"/>
    <n v="0"/>
    <n v="0"/>
    <n v="0"/>
    <n v="0"/>
    <m/>
  </r>
  <r>
    <x v="4"/>
    <x v="0"/>
    <d v="2024-01-21T00:00:00"/>
    <s v="DIUMENGE"/>
    <s v="NO"/>
    <s v="NO"/>
    <d v="1899-12-30T15:30:00"/>
    <d v="1899-12-30T20:30:00"/>
    <x v="1"/>
    <n v="1"/>
    <x v="643"/>
    <m/>
    <m/>
    <m/>
    <m/>
    <n v="150"/>
    <n v="0"/>
    <n v="0"/>
    <n v="150"/>
    <x v="1"/>
    <n v="50"/>
    <n v="0"/>
    <n v="0"/>
    <n v="0"/>
    <s v="RESERVA BIZUM"/>
  </r>
  <r>
    <x v="4"/>
    <x v="0"/>
    <d v="2024-01-22T00:00:00"/>
    <s v="DILLUNS"/>
    <s v="NO"/>
    <s v="NO"/>
    <d v="1899-12-30T15:30:00"/>
    <d v="1899-12-30T20:30:00"/>
    <x v="1"/>
    <n v="1"/>
    <x v="644"/>
    <m/>
    <m/>
    <m/>
    <m/>
    <n v="95"/>
    <n v="0"/>
    <n v="0"/>
    <n v="95"/>
    <x v="2"/>
    <n v="0"/>
    <n v="0"/>
    <n v="0"/>
    <n v="0"/>
    <m/>
  </r>
  <r>
    <x v="4"/>
    <x v="0"/>
    <d v="2024-01-26T00:00:00"/>
    <s v="DIVENDRES"/>
    <s v="NO"/>
    <s v="NO"/>
    <d v="1899-12-30T15:30:00"/>
    <d v="1899-12-30T20:30:00"/>
    <x v="1"/>
    <n v="1"/>
    <x v="645"/>
    <m/>
    <m/>
    <m/>
    <m/>
    <n v="140"/>
    <n v="0"/>
    <n v="0"/>
    <n v="140"/>
    <x v="2"/>
    <n v="0"/>
    <n v="0"/>
    <n v="0"/>
    <n v="0"/>
    <m/>
  </r>
  <r>
    <x v="4"/>
    <x v="0"/>
    <d v="2024-01-26T00:00:00"/>
    <s v="DIVENDRES"/>
    <s v="NO"/>
    <s v="NO"/>
    <d v="1899-12-30T21:30:00"/>
    <d v="1899-12-30T02:30:00"/>
    <x v="2"/>
    <n v="1"/>
    <x v="646"/>
    <m/>
    <m/>
    <m/>
    <m/>
    <n v="200"/>
    <n v="0"/>
    <n v="0"/>
    <n v="200"/>
    <x v="2"/>
    <n v="0"/>
    <n v="0"/>
    <n v="0"/>
    <n v="0"/>
    <m/>
  </r>
  <r>
    <x v="4"/>
    <x v="0"/>
    <d v="2024-01-27T00:00:00"/>
    <s v="DISSABTE"/>
    <s v="NO"/>
    <s v="NO"/>
    <d v="1899-12-30T09:30:00"/>
    <d v="1899-12-30T14:30:00"/>
    <x v="3"/>
    <n v="1"/>
    <x v="647"/>
    <m/>
    <m/>
    <m/>
    <m/>
    <n v="150"/>
    <n v="0"/>
    <n v="0"/>
    <n v="150"/>
    <x v="2"/>
    <n v="0"/>
    <n v="0"/>
    <n v="0"/>
    <n v="0"/>
    <m/>
  </r>
  <r>
    <x v="4"/>
    <x v="0"/>
    <d v="2024-01-27T00:00:00"/>
    <s v="DISSABTE"/>
    <s v="NO"/>
    <s v="NO"/>
    <d v="1899-12-30T15:30:00"/>
    <d v="1899-12-30T02:30:00"/>
    <x v="4"/>
    <n v="2"/>
    <x v="648"/>
    <m/>
    <m/>
    <m/>
    <m/>
    <n v="320"/>
    <n v="0"/>
    <n v="0"/>
    <n v="320"/>
    <x v="2"/>
    <n v="0"/>
    <n v="0"/>
    <n v="0"/>
    <n v="0"/>
    <m/>
  </r>
  <r>
    <x v="4"/>
    <x v="0"/>
    <d v="2024-01-28T00:00:00"/>
    <s v="DIUMENGE"/>
    <s v="NO"/>
    <s v="NO"/>
    <d v="1899-12-30T09:30:00"/>
    <d v="1899-12-30T14:30:00"/>
    <x v="3"/>
    <n v="1"/>
    <x v="649"/>
    <m/>
    <m/>
    <m/>
    <m/>
    <n v="150"/>
    <n v="0"/>
    <n v="0"/>
    <n v="150"/>
    <x v="2"/>
    <n v="0"/>
    <n v="0"/>
    <n v="0"/>
    <n v="0"/>
    <m/>
  </r>
  <r>
    <x v="4"/>
    <x v="0"/>
    <d v="2024-01-28T00:00:00"/>
    <s v="DIUMENGE"/>
    <s v="NO"/>
    <s v="NO"/>
    <d v="1899-12-30T15:30:00"/>
    <d v="1899-12-30T20:30:00"/>
    <x v="1"/>
    <n v="1"/>
    <x v="650"/>
    <m/>
    <m/>
    <m/>
    <m/>
    <n v="150"/>
    <n v="0"/>
    <n v="0"/>
    <n v="150"/>
    <x v="2"/>
    <n v="0"/>
    <n v="0"/>
    <n v="0"/>
    <n v="0"/>
    <m/>
  </r>
  <r>
    <x v="4"/>
    <x v="1"/>
    <d v="2024-02-02T00:00:00"/>
    <s v="DIVENDRES"/>
    <s v="NO"/>
    <s v="NO"/>
    <d v="1899-12-30T21:30:00"/>
    <d v="1899-12-30T02:30:00"/>
    <x v="2"/>
    <n v="1"/>
    <x v="651"/>
    <m/>
    <m/>
    <m/>
    <m/>
    <n v="200"/>
    <n v="0"/>
    <n v="0"/>
    <n v="200"/>
    <x v="2"/>
    <n v="0"/>
    <n v="0"/>
    <n v="0"/>
    <n v="0"/>
    <m/>
  </r>
  <r>
    <x v="4"/>
    <x v="1"/>
    <d v="2024-02-03T00:00:00"/>
    <s v="DISSABTE"/>
    <s v="NO"/>
    <s v="NO"/>
    <d v="1899-12-30T09:30:00"/>
    <d v="1899-12-30T14:30:00"/>
    <x v="3"/>
    <n v="1"/>
    <x v="652"/>
    <m/>
    <m/>
    <m/>
    <m/>
    <n v="150"/>
    <n v="0"/>
    <n v="0"/>
    <n v="150"/>
    <x v="2"/>
    <n v="0"/>
    <n v="0"/>
    <n v="0"/>
    <n v="0"/>
    <m/>
  </r>
  <r>
    <x v="4"/>
    <x v="1"/>
    <d v="2024-02-03T00:00:00"/>
    <s v="DISSABTE"/>
    <s v="NO"/>
    <s v="NO"/>
    <d v="1899-12-30T21:30:00"/>
    <d v="1899-12-30T02:30:00"/>
    <x v="2"/>
    <n v="1"/>
    <x v="653"/>
    <m/>
    <m/>
    <m/>
    <m/>
    <n v="200"/>
    <n v="0"/>
    <n v="0"/>
    <n v="200"/>
    <x v="2"/>
    <n v="0"/>
    <n v="0"/>
    <n v="0"/>
    <n v="0"/>
    <m/>
  </r>
  <r>
    <x v="4"/>
    <x v="1"/>
    <d v="2024-02-04T00:00:00"/>
    <s v="DIUMENGE"/>
    <s v="NO"/>
    <s v="NO"/>
    <d v="1899-12-30T09:30:00"/>
    <d v="1899-12-30T14:30:00"/>
    <x v="3"/>
    <n v="1"/>
    <x v="654"/>
    <m/>
    <m/>
    <m/>
    <m/>
    <n v="150"/>
    <n v="0"/>
    <n v="0"/>
    <n v="150"/>
    <x v="2"/>
    <n v="0"/>
    <n v="0"/>
    <n v="0"/>
    <n v="0"/>
    <m/>
  </r>
  <r>
    <x v="4"/>
    <x v="1"/>
    <d v="2024-02-09T00:00:00"/>
    <s v="DIVENDRES"/>
    <s v="NO"/>
    <s v="NO"/>
    <d v="1899-12-30T21:30:00"/>
    <d v="1899-12-30T02:30:00"/>
    <x v="2"/>
    <n v="1"/>
    <x v="102"/>
    <m/>
    <m/>
    <m/>
    <m/>
    <n v="200"/>
    <n v="0"/>
    <n v="0"/>
    <n v="200"/>
    <x v="2"/>
    <n v="0"/>
    <n v="0"/>
    <n v="0"/>
    <n v="0"/>
    <m/>
  </r>
  <r>
    <x v="4"/>
    <x v="1"/>
    <d v="2024-02-10T00:00:00"/>
    <s v="DISSABTE"/>
    <s v="NO"/>
    <s v="SI"/>
    <d v="1899-12-30T21:30:00"/>
    <d v="1899-12-30T02:30:00"/>
    <x v="2"/>
    <n v="1"/>
    <x v="427"/>
    <m/>
    <m/>
    <m/>
    <m/>
    <n v="200"/>
    <n v="0"/>
    <n v="0"/>
    <n v="200"/>
    <x v="2"/>
    <n v="0"/>
    <n v="0"/>
    <n v="0"/>
    <n v="0"/>
    <s v="ANUAL"/>
  </r>
  <r>
    <x v="4"/>
    <x v="1"/>
    <d v="2024-02-16T00:00:00"/>
    <s v="DISSABTE"/>
    <s v="NO"/>
    <s v="SI"/>
    <d v="1899-12-30T21:30:00"/>
    <d v="1899-12-30T02:30:00"/>
    <x v="2"/>
    <n v="1"/>
    <x v="655"/>
    <m/>
    <m/>
    <m/>
    <m/>
    <n v="200"/>
    <n v="0"/>
    <n v="0"/>
    <n v="200"/>
    <x v="2"/>
    <n v="0"/>
    <n v="0"/>
    <n v="0"/>
    <n v="0"/>
    <m/>
  </r>
  <r>
    <x v="4"/>
    <x v="1"/>
    <d v="2024-02-17T00:00:00"/>
    <s v="DISSABTE"/>
    <s v="NO"/>
    <s v="NO"/>
    <d v="1899-12-30T15:30:00"/>
    <d v="1899-12-30T02:30:00"/>
    <x v="4"/>
    <n v="2"/>
    <x v="656"/>
    <m/>
    <m/>
    <m/>
    <m/>
    <n v="320"/>
    <n v="0"/>
    <n v="0"/>
    <n v="320"/>
    <x v="2"/>
    <n v="0"/>
    <n v="0"/>
    <n v="0"/>
    <n v="0"/>
    <m/>
  </r>
  <r>
    <x v="4"/>
    <x v="1"/>
    <d v="2024-02-23T00:00:00"/>
    <s v="DIVENDRES"/>
    <s v="NO"/>
    <s v="NO"/>
    <d v="1899-12-30T21:30:00"/>
    <d v="1899-12-30T02:30:00"/>
    <x v="2"/>
    <n v="1"/>
    <x v="657"/>
    <m/>
    <m/>
    <m/>
    <m/>
    <n v="200"/>
    <n v="0"/>
    <n v="0"/>
    <n v="200"/>
    <x v="2"/>
    <n v="0"/>
    <n v="0"/>
    <n v="0"/>
    <n v="0"/>
    <m/>
  </r>
  <r>
    <x v="4"/>
    <x v="1"/>
    <d v="2024-02-24T00:00:00"/>
    <s v="DISSABTE"/>
    <s v="NO"/>
    <s v="NO"/>
    <d v="1899-12-30T21:30:00"/>
    <d v="1899-12-30T02:30:00"/>
    <x v="2"/>
    <n v="1"/>
    <x v="658"/>
    <m/>
    <m/>
    <m/>
    <m/>
    <n v="200"/>
    <n v="0"/>
    <n v="0"/>
    <n v="200"/>
    <x v="2"/>
    <n v="0"/>
    <n v="0"/>
    <n v="0"/>
    <n v="0"/>
    <m/>
  </r>
  <r>
    <x v="4"/>
    <x v="2"/>
    <d v="2024-03-09T00:00:00"/>
    <s v="DISSABTE"/>
    <s v="NO"/>
    <s v="NO"/>
    <d v="1899-12-30T21:30:00"/>
    <d v="1899-12-30T02:30:00"/>
    <x v="2"/>
    <n v="1"/>
    <x v="659"/>
    <m/>
    <m/>
    <m/>
    <m/>
    <n v="200"/>
    <n v="0"/>
    <n v="0"/>
    <n v="200"/>
    <x v="2"/>
    <n v="0"/>
    <n v="0"/>
    <n v="0"/>
    <n v="0"/>
    <m/>
  </r>
  <r>
    <x v="4"/>
    <x v="2"/>
    <d v="2024-03-16T00:00:00"/>
    <s v="DISSABTE"/>
    <s v="NO"/>
    <s v="NO"/>
    <d v="1899-12-30T21:30:00"/>
    <d v="1899-12-30T02:30:00"/>
    <x v="2"/>
    <n v="1"/>
    <x v="660"/>
    <m/>
    <m/>
    <m/>
    <m/>
    <n v="200"/>
    <n v="0"/>
    <n v="0"/>
    <n v="200"/>
    <x v="2"/>
    <n v="0"/>
    <n v="0"/>
    <n v="0"/>
    <n v="0"/>
    <m/>
  </r>
  <r>
    <x v="4"/>
    <x v="5"/>
    <d v="2024-06-15T00:00:00"/>
    <s v="DISSABTE"/>
    <s v="NO"/>
    <s v="NO"/>
    <d v="1899-12-30T15:30:00"/>
    <d v="1899-12-30T02:30:00"/>
    <x v="4"/>
    <n v="2"/>
    <x v="661"/>
    <m/>
    <m/>
    <m/>
    <m/>
    <n v="320"/>
    <n v="0"/>
    <n v="0"/>
    <n v="320"/>
    <x v="1"/>
    <n v="50"/>
    <n v="0"/>
    <n v="0"/>
    <n v="0"/>
    <s v="Efectiu"/>
  </r>
  <r>
    <x v="4"/>
    <x v="6"/>
    <d v="2024-07-13T00:00:00"/>
    <s v="DISSABTE"/>
    <s v="NO"/>
    <s v="NO"/>
    <d v="1899-12-30T15:30:00"/>
    <d v="1899-12-30T02:30:00"/>
    <x v="4"/>
    <n v="2"/>
    <x v="662"/>
    <m/>
    <m/>
    <m/>
    <m/>
    <n v="320"/>
    <n v="0"/>
    <n v="0"/>
    <n v="320"/>
    <x v="2"/>
    <n v="0"/>
    <n v="0"/>
    <n v="0"/>
    <n v="0"/>
    <m/>
  </r>
  <r>
    <x v="4"/>
    <x v="7"/>
    <d v="2024-08-03T00:00:00"/>
    <s v="DISSABTE"/>
    <s v="NO"/>
    <s v="NO"/>
    <d v="1899-12-30T21:30:00"/>
    <d v="1899-12-30T02:30:00"/>
    <x v="2"/>
    <n v="1"/>
    <x v="663"/>
    <m/>
    <m/>
    <m/>
    <m/>
    <n v="200"/>
    <n v="0"/>
    <n v="0"/>
    <n v="200"/>
    <x v="2"/>
    <n v="0"/>
    <n v="0"/>
    <n v="0"/>
    <n v="0"/>
    <m/>
  </r>
  <r>
    <x v="4"/>
    <x v="9"/>
    <d v="2024-10-31T00:00:00"/>
    <s v="DIJOUS"/>
    <s v="NO"/>
    <s v="SI"/>
    <d v="1899-12-30T21:30:00"/>
    <d v="1899-12-30T02:30:00"/>
    <x v="2"/>
    <n v="1"/>
    <x v="111"/>
    <m/>
    <m/>
    <m/>
    <m/>
    <n v="250"/>
    <n v="0"/>
    <n v="0"/>
    <n v="250"/>
    <x v="2"/>
    <n v="0"/>
    <n v="0"/>
    <n v="0"/>
    <n v="0"/>
    <s v="ANUAL: 250"/>
  </r>
  <r>
    <x v="4"/>
    <x v="11"/>
    <d v="2024-12-24T00:00:00"/>
    <s v="DIMARTS"/>
    <s v="SI"/>
    <s v="SI"/>
    <d v="1899-12-30T20:30:00"/>
    <d v="1899-12-30T02:30:00"/>
    <x v="2"/>
    <n v="1"/>
    <x v="198"/>
    <m/>
    <m/>
    <m/>
    <m/>
    <n v="350"/>
    <n v="0"/>
    <n v="0"/>
    <n v="350"/>
    <x v="2"/>
    <n v="0"/>
    <n v="0"/>
    <n v="0"/>
    <n v="0"/>
    <s v="ANUAL: 350"/>
  </r>
  <r>
    <x v="4"/>
    <x v="11"/>
    <d v="2024-12-25T00:00:00"/>
    <s v="DIMECRES"/>
    <s v="SI"/>
    <s v="SI"/>
    <d v="1899-12-30T09:30:00"/>
    <d v="1899-12-30T20:30:00"/>
    <x v="5"/>
    <n v="2"/>
    <x v="618"/>
    <m/>
    <m/>
    <m/>
    <m/>
    <n v="350"/>
    <n v="0"/>
    <n v="0"/>
    <n v="350"/>
    <x v="2"/>
    <n v="0"/>
    <n v="0"/>
    <n v="0"/>
    <n v="0"/>
    <s v="ANUAL: 350"/>
  </r>
  <r>
    <x v="4"/>
    <x v="11"/>
    <d v="2024-12-26T00:00:00"/>
    <s v="DIJOUS"/>
    <s v="SI"/>
    <s v="SI"/>
    <d v="1899-12-30T11:00:00"/>
    <d v="1899-12-30T20:30:00"/>
    <x v="5"/>
    <n v="2"/>
    <x v="384"/>
    <m/>
    <m/>
    <m/>
    <m/>
    <n v="300"/>
    <n v="0"/>
    <n v="0"/>
    <n v="300"/>
    <x v="2"/>
    <n v="0"/>
    <n v="0"/>
    <n v="0"/>
    <n v="0"/>
    <s v="ANUAL: 300"/>
  </r>
  <r>
    <x v="5"/>
    <x v="12"/>
    <m/>
    <m/>
    <m/>
    <m/>
    <m/>
    <m/>
    <x v="8"/>
    <m/>
    <x v="9"/>
    <m/>
    <m/>
    <m/>
    <m/>
    <m/>
    <m/>
    <m/>
    <m/>
    <x v="3"/>
    <m/>
    <m/>
    <m/>
    <m/>
    <m/>
  </r>
  <r>
    <x v="5"/>
    <x v="12"/>
    <m/>
    <m/>
    <m/>
    <m/>
    <m/>
    <m/>
    <x v="8"/>
    <m/>
    <x v="9"/>
    <m/>
    <m/>
    <m/>
    <m/>
    <m/>
    <m/>
    <m/>
    <m/>
    <x v="3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95410A-2109-5947-B760-463FB8B204B8}" name="Tabla dinámica7" cacheId="1" applyNumberFormats="0" applyBorderFormats="0" applyFontFormats="0" applyPatternFormats="0" applyAlignmentFormats="0" applyWidthHeightFormats="1" dataCaption="Valores" updatedVersion="7" minRefreshableVersion="3" useAutoFormatting="1" itemPrintTitles="1" createdVersion="4" indent="0" outline="1" outlineData="1" multipleFieldFilters="0" rowHeaderCaption="TIPO DESPESA">
  <location ref="G19:H24" firstHeaderRow="1" firstDataRow="1" firstDataCol="1" rowPageCount="2" colPageCount="1"/>
  <pivotFields count="10">
    <pivotField axis="axisPage" multipleItemSelectionAllowed="1" showAll="0">
      <items count="6">
        <item h="1" x="0"/>
        <item h="1" x="1"/>
        <item h="1" x="2"/>
        <item x="3"/>
        <item h="1" x="4"/>
        <item t="default"/>
      </items>
    </pivotField>
    <pivotField axis="axisPage" showAll="0">
      <items count="13">
        <item x="3"/>
        <item x="7"/>
        <item x="1"/>
        <item x="0"/>
        <item x="6"/>
        <item x="5"/>
        <item x="4"/>
        <item x="2"/>
        <item x="8"/>
        <item x="9"/>
        <item x="10"/>
        <item x="11"/>
        <item t="default"/>
      </items>
    </pivotField>
    <pivotField numFmtId="164" showAll="0"/>
    <pivotField showAll="0"/>
    <pivotField axis="axisRow" showAll="0" defaultSubtotal="0">
      <items count="4">
        <item x="0"/>
        <item x="1"/>
        <item x="3"/>
        <item x="2"/>
      </items>
    </pivotField>
    <pivotField showAll="0"/>
    <pivotField dataField="1" showAll="0"/>
    <pivotField showAll="0"/>
    <pivotField showAll="0"/>
    <pivotField showAll="0" defaultSubtota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2">
    <pageField fld="0" hier="-1"/>
    <pageField fld="1" hier="-1"/>
  </pageFields>
  <dataFields count="1">
    <dataField name="DESPESES" fld="6" baseField="0" baseItem="0" numFmtId="4"/>
  </dataFields>
  <formats count="5">
    <format dxfId="1629">
      <pivotArea outline="0" collapsedLevelsAreSubtotals="1" fieldPosition="0"/>
    </format>
    <format dxfId="1628">
      <pivotArea field="4" type="button" dataOnly="0" labelOnly="1" outline="0" axis="axisRow" fieldPosition="0"/>
    </format>
    <format dxfId="1627">
      <pivotArea dataOnly="0" labelOnly="1" outline="0" axis="axisValues" fieldPosition="0"/>
    </format>
    <format dxfId="1626">
      <pivotArea field="4" type="button" dataOnly="0" labelOnly="1" outline="0" axis="axisRow" fieldPosition="0"/>
    </format>
    <format dxfId="1625">
      <pivotArea dataOnly="0" labelOnly="1" outline="0" axis="axisValues" fieldPosition="0"/>
    </format>
  </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7BE391-5782-FF41-89D0-09A0870C01C3}" name="Tabla dinámica3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4" indent="0" outline="1" outlineData="1" multipleFieldFilters="0">
  <location ref="A6:E13" firstHeaderRow="0" firstDataRow="1" firstDataCol="1" rowPageCount="4" colPageCount="1"/>
  <pivotFields count="25">
    <pivotField axis="axisPage" multipleItemSelectionAllowed="1" showAll="0">
      <items count="7">
        <item h="1" x="0"/>
        <item h="1" x="2"/>
        <item h="1" x="1"/>
        <item x="3"/>
        <item h="1" x="4"/>
        <item h="1" x="5"/>
        <item t="default"/>
      </items>
    </pivotField>
    <pivotField axis="axisPage" showAll="0">
      <items count="14">
        <item x="3"/>
        <item x="9"/>
        <item x="7"/>
        <item x="11"/>
        <item x="1"/>
        <item x="0"/>
        <item x="6"/>
        <item x="5"/>
        <item x="4"/>
        <item x="2"/>
        <item x="8"/>
        <item x="10"/>
        <item x="12"/>
        <item t="default"/>
      </items>
    </pivotField>
    <pivotField dataField="1" numFmtId="164" showAll="0"/>
    <pivotField showAll="0"/>
    <pivotField showAll="0"/>
    <pivotField showAll="0"/>
    <pivotField showAll="0"/>
    <pivotField showAll="0"/>
    <pivotField axis="axisRow" showAll="0">
      <items count="10">
        <item x="5"/>
        <item x="0"/>
        <item x="7"/>
        <item x="3"/>
        <item x="1"/>
        <item x="2"/>
        <item x="6"/>
        <item x="4"/>
        <item x="8"/>
        <item t="default"/>
      </items>
    </pivotField>
    <pivotField showAll="0"/>
    <pivotField axis="axisPage" showAll="0">
      <items count="665">
        <item x="62"/>
        <item x="38"/>
        <item x="60"/>
        <item x="80"/>
        <item x="73"/>
        <item x="68"/>
        <item x="81"/>
        <item x="110"/>
        <item x="40"/>
        <item x="11"/>
        <item x="112"/>
        <item x="37"/>
        <item x="92"/>
        <item x="87"/>
        <item x="16"/>
        <item x="25"/>
        <item x="39"/>
        <item x="109"/>
        <item x="26"/>
        <item x="41"/>
        <item x="24"/>
        <item x="91"/>
        <item x="72"/>
        <item x="54"/>
        <item x="53"/>
        <item x="100"/>
        <item x="2"/>
        <item x="67"/>
        <item x="61"/>
        <item x="15"/>
        <item x="94"/>
        <item x="32"/>
        <item x="104"/>
        <item x="93"/>
        <item x="43"/>
        <item x="63"/>
        <item x="70"/>
        <item x="12"/>
        <item x="71"/>
        <item x="96"/>
        <item x="105"/>
        <item x="45"/>
        <item x="99"/>
        <item x="52"/>
        <item x="98"/>
        <item x="47"/>
        <item x="85"/>
        <item x="18"/>
        <item x="28"/>
        <item x="8"/>
        <item x="65"/>
        <item x="30"/>
        <item x="78"/>
        <item x="17"/>
        <item x="90"/>
        <item x="35"/>
        <item x="49"/>
        <item x="95"/>
        <item x="117"/>
        <item x="101"/>
        <item x="58"/>
        <item x="108"/>
        <item x="42"/>
        <item x="97"/>
        <item x="57"/>
        <item x="76"/>
        <item x="84"/>
        <item x="48"/>
        <item x="56"/>
        <item x="82"/>
        <item x="21"/>
        <item x="44"/>
        <item x="7"/>
        <item x="83"/>
        <item x="20"/>
        <item x="228"/>
        <item x="46"/>
        <item x="77"/>
        <item x="103"/>
        <item x="59"/>
        <item x="3"/>
        <item x="31"/>
        <item x="10"/>
        <item x="102"/>
        <item x="69"/>
        <item x="79"/>
        <item x="1"/>
        <item x="50"/>
        <item x="88"/>
        <item x="74"/>
        <item x="14"/>
        <item x="33"/>
        <item x="34"/>
        <item x="6"/>
        <item x="198"/>
        <item x="111"/>
        <item x="86"/>
        <item x="29"/>
        <item x="13"/>
        <item x="4"/>
        <item x="5"/>
        <item x="19"/>
        <item x="0"/>
        <item x="64"/>
        <item x="36"/>
        <item x="66"/>
        <item x="75"/>
        <item x="23"/>
        <item x="89"/>
        <item x="55"/>
        <item x="106"/>
        <item x="27"/>
        <item x="22"/>
        <item x="51"/>
        <item x="9"/>
        <item x="107"/>
        <item x="115"/>
        <item x="113"/>
        <item x="114"/>
        <item x="116"/>
        <item x="118"/>
        <item x="119"/>
        <item x="120"/>
        <item x="121"/>
        <item x="131"/>
        <item x="122"/>
        <item x="123"/>
        <item x="124"/>
        <item x="125"/>
        <item x="126"/>
        <item x="127"/>
        <item x="128"/>
        <item x="129"/>
        <item x="130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67"/>
        <item x="158"/>
        <item x="159"/>
        <item x="160"/>
        <item x="161"/>
        <item x="162"/>
        <item x="164"/>
        <item x="165"/>
        <item x="166"/>
        <item x="168"/>
        <item x="169"/>
        <item x="175"/>
        <item x="176"/>
        <item x="180"/>
        <item x="184"/>
        <item x="186"/>
        <item x="200"/>
        <item x="163"/>
        <item x="170"/>
        <item x="171"/>
        <item x="172"/>
        <item x="177"/>
        <item x="178"/>
        <item x="181"/>
        <item x="185"/>
        <item x="194"/>
        <item x="199"/>
        <item x="173"/>
        <item x="174"/>
        <item x="182"/>
        <item x="189"/>
        <item x="190"/>
        <item x="196"/>
        <item x="202"/>
        <item x="210"/>
        <item x="179"/>
        <item x="187"/>
        <item x="193"/>
        <item x="204"/>
        <item x="183"/>
        <item x="188"/>
        <item x="191"/>
        <item x="192"/>
        <item x="195"/>
        <item x="197"/>
        <item x="213"/>
        <item x="205"/>
        <item x="208"/>
        <item x="209"/>
        <item x="211"/>
        <item x="214"/>
        <item x="201"/>
        <item x="203"/>
        <item x="206"/>
        <item x="207"/>
        <item x="212"/>
        <item x="215"/>
        <item x="216"/>
        <item x="217"/>
        <item x="218"/>
        <item x="219"/>
        <item x="220"/>
        <item x="221"/>
        <item x="222"/>
        <item x="223"/>
        <item x="224"/>
        <item x="231"/>
        <item x="232"/>
        <item x="233"/>
        <item x="234"/>
        <item x="235"/>
        <item x="237"/>
        <item x="238"/>
        <item x="241"/>
        <item x="247"/>
        <item x="248"/>
        <item x="249"/>
        <item x="251"/>
        <item x="254"/>
        <item x="257"/>
        <item x="260"/>
        <item x="266"/>
        <item x="277"/>
        <item x="225"/>
        <item x="226"/>
        <item x="227"/>
        <item x="229"/>
        <item x="230"/>
        <item x="236"/>
        <item x="239"/>
        <item x="240"/>
        <item x="242"/>
        <item x="243"/>
        <item x="244"/>
        <item x="245"/>
        <item x="246"/>
        <item x="250"/>
        <item x="252"/>
        <item x="253"/>
        <item x="255"/>
        <item x="256"/>
        <item x="258"/>
        <item x="259"/>
        <item x="261"/>
        <item x="262"/>
        <item x="263"/>
        <item x="264"/>
        <item x="265"/>
        <item x="267"/>
        <item x="268"/>
        <item x="269"/>
        <item x="270"/>
        <item x="271"/>
        <item x="272"/>
        <item x="273"/>
        <item x="274"/>
        <item x="275"/>
        <item x="278"/>
        <item x="279"/>
        <item x="280"/>
        <item x="281"/>
        <item x="283"/>
        <item x="284"/>
        <item x="289"/>
        <item x="293"/>
        <item x="295"/>
        <item x="296"/>
        <item x="299"/>
        <item x="324"/>
        <item x="276"/>
        <item x="282"/>
        <item x="285"/>
        <item x="286"/>
        <item x="287"/>
        <item x="288"/>
        <item x="290"/>
        <item x="291"/>
        <item x="292"/>
        <item x="294"/>
        <item x="297"/>
        <item x="298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6"/>
        <item x="347"/>
        <item x="349"/>
        <item x="352"/>
        <item x="355"/>
        <item x="359"/>
        <item x="360"/>
        <item x="363"/>
        <item x="364"/>
        <item x="365"/>
        <item x="367"/>
        <item x="368"/>
        <item x="372"/>
        <item x="373"/>
        <item x="376"/>
        <item x="377"/>
        <item x="381"/>
        <item x="384"/>
        <item x="394"/>
        <item x="345"/>
        <item x="348"/>
        <item x="350"/>
        <item x="351"/>
        <item x="353"/>
        <item x="354"/>
        <item x="356"/>
        <item x="357"/>
        <item x="358"/>
        <item x="361"/>
        <item x="362"/>
        <item x="366"/>
        <item x="369"/>
        <item x="370"/>
        <item x="371"/>
        <item x="374"/>
        <item x="375"/>
        <item x="378"/>
        <item x="379"/>
        <item x="380"/>
        <item x="382"/>
        <item x="383"/>
        <item x="385"/>
        <item x="386"/>
        <item x="387"/>
        <item x="388"/>
        <item x="389"/>
        <item x="390"/>
        <item x="391"/>
        <item x="392"/>
        <item x="393"/>
        <item x="395"/>
        <item x="397"/>
        <item x="398"/>
        <item x="403"/>
        <item x="404"/>
        <item x="405"/>
        <item x="407"/>
        <item x="408"/>
        <item x="409"/>
        <item x="410"/>
        <item x="411"/>
        <item x="412"/>
        <item x="413"/>
        <item x="414"/>
        <item x="416"/>
        <item x="417"/>
        <item x="422"/>
        <item x="406"/>
        <item x="425"/>
        <item x="426"/>
        <item x="427"/>
        <item x="428"/>
        <item x="431"/>
        <item x="433"/>
        <item x="441"/>
        <item x="445"/>
        <item x="451"/>
        <item x="452"/>
        <item x="456"/>
        <item x="472"/>
        <item x="396"/>
        <item x="399"/>
        <item x="400"/>
        <item x="401"/>
        <item x="402"/>
        <item x="415"/>
        <item x="418"/>
        <item x="419"/>
        <item x="420"/>
        <item x="421"/>
        <item x="423"/>
        <item x="424"/>
        <item x="429"/>
        <item x="430"/>
        <item x="432"/>
        <item x="434"/>
        <item x="435"/>
        <item x="436"/>
        <item x="437"/>
        <item x="438"/>
        <item x="439"/>
        <item x="440"/>
        <item x="442"/>
        <item x="443"/>
        <item x="444"/>
        <item x="446"/>
        <item x="447"/>
        <item x="448"/>
        <item x="449"/>
        <item x="450"/>
        <item x="453"/>
        <item x="454"/>
        <item x="455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t="default"/>
      </items>
    </pivotField>
    <pivotField showAll="0" defaultSubtotal="0"/>
    <pivotField showAll="0"/>
    <pivotField showAll="0" defaultSubtotal="0"/>
    <pivotField showAll="0" defaultSubtotal="0"/>
    <pivotField dataField="1" showAll="0"/>
    <pivotField showAll="0"/>
    <pivotField dataField="1" showAll="0"/>
    <pivotField dataField="1" showAll="0"/>
    <pivotField axis="axisPage" multipleItemSelectionAllowed="1" showAll="0">
      <items count="5">
        <item h="1" x="2"/>
        <item h="1" x="1"/>
        <item x="0"/>
        <item h="1" x="3"/>
        <item t="default"/>
      </items>
    </pivotField>
    <pivotField showAll="0"/>
    <pivotField showAll="0"/>
    <pivotField showAll="0"/>
    <pivotField showAll="0"/>
    <pivotField showAll="0"/>
  </pivotFields>
  <rowFields count="1">
    <field x="8"/>
  </rowFields>
  <rowItems count="7">
    <i>
      <x/>
    </i>
    <i>
      <x v="1"/>
    </i>
    <i>
      <x v="3"/>
    </i>
    <i>
      <x v="4"/>
    </i>
    <i>
      <x v="5"/>
    </i>
    <i>
      <x v="7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4">
    <pageField fld="0" hier="-1"/>
    <pageField fld="1" hier="-1"/>
    <pageField fld="19" hier="-1"/>
    <pageField fld="10" hier="-1"/>
  </pageFields>
  <dataFields count="4">
    <dataField name="Nº RESERVES" fld="2" subtotal="count" baseField="0" baseItem="0"/>
    <dataField name="IMPORT RESERVA" fld="15" baseField="0" baseItem="0" numFmtId="3"/>
    <dataField name="IMPORT HORES EXTRES" fld="17" baseField="0" baseItem="0" numFmtId="3"/>
    <dataField name="IMPORT TOTAL" fld="18" baseField="0" baseItem="0" numFmtId="3"/>
  </dataFields>
  <formats count="1">
    <format dxfId="1630">
      <pivotArea outline="0" collapsedLevelsAreSubtotals="1" fieldPosition="0">
        <references count="1">
          <reference field="4294967294" count="3" selected="0">
            <x v="1"/>
            <x v="2"/>
            <x v="3"/>
          </reference>
        </references>
      </pivotArea>
    </format>
  </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7C7198-3567-5743-9DE9-62E67BC84FE2}" name="Tabla dinámica1" cacheId="0" applyNumberFormats="0" applyBorderFormats="0" applyFontFormats="0" applyPatternFormats="0" applyAlignmentFormats="0" applyWidthHeightFormats="1" dataCaption="Valores" updatedVersion="4" minRefreshableVersion="3" useAutoFormatting="1" itemPrintTitles="1" createdVersion="4" indent="0" outline="1" outlineData="1" multipleFieldFilters="0" rowHeaderCaption="ANULACIONS COVID">
  <location ref="N4:O7" firstHeaderRow="1" firstDataRow="1" firstDataCol="1" rowPageCount="2" colPageCount="1"/>
  <pivotFields count="25">
    <pivotField axis="axisPage" multipleItemSelectionAllowed="1" showAll="0">
      <items count="5">
        <item h="1" x="0"/>
        <item x="2"/>
        <item h="1" x="1"/>
        <item h="1" x="3"/>
        <item t="default"/>
      </items>
    </pivotField>
    <pivotField axis="axisRow" showAll="0">
      <items count="13">
        <item x="2"/>
        <item x="3"/>
        <item x="9"/>
        <item x="4"/>
        <item x="5"/>
        <item x="6"/>
        <item x="7"/>
        <item x="11"/>
        <item x="1"/>
        <item x="0"/>
        <item x="8"/>
        <item x="10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 defaultSubtotal="0"/>
    <pivotField showAll="0" defaultSubtota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Page" multipleItemSelectionAllowed="1" showAll="0">
      <items count="46">
        <item h="1" x="0"/>
        <item x="2"/>
        <item x="3"/>
        <item h="1" x="6"/>
        <item h="1" x="5"/>
        <item h="1" x="4"/>
        <item h="1" x="1"/>
        <item h="1" x="7"/>
        <item h="1" x="8"/>
        <item h="1" x="9"/>
        <item h="1" x="10"/>
        <item h="1" x="11"/>
        <item h="1" x="12"/>
        <item h="1" x="13"/>
        <item h="1" x="15"/>
        <item h="1" x="35"/>
        <item h="1" x="18"/>
        <item h="1" m="1" x="44"/>
        <item h="1" x="38"/>
        <item h="1" x="14"/>
        <item h="1" x="16"/>
        <item h="1" x="17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m="1" x="43"/>
        <item h="1" x="33"/>
        <item h="1" x="37"/>
        <item h="1" x="30"/>
        <item h="1" x="31"/>
        <item h="1" x="32"/>
        <item h="1" x="34"/>
        <item h="1" x="36"/>
        <item h="1" x="39"/>
        <item h="1" x="40"/>
        <item h="1" x="41"/>
        <item h="1" x="42"/>
        <item t="default"/>
      </items>
    </pivotField>
  </pivotFields>
  <rowFields count="1">
    <field x="1"/>
  </rowFields>
  <rowItems count="3">
    <i>
      <x v="8"/>
    </i>
    <i>
      <x v="9"/>
    </i>
    <i t="grand">
      <x/>
    </i>
  </rowItems>
  <colItems count="1">
    <i/>
  </colItems>
  <pageFields count="2">
    <pageField fld="0" hier="-1"/>
    <pageField fld="24" hier="-1"/>
  </pageFields>
  <dataFields count="1">
    <dataField name="CANCELACIONS" fld="18" baseField="0" baseItem="0" numFmtId="3"/>
  </dataFields>
  <formats count="1">
    <format dxfId="1631">
      <pivotArea outline="0" collapsedLevelsAreSubtotals="1" fieldPosition="0"/>
    </format>
  </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206839-41C1-A942-8BAE-AB247C97132C}" name="Tabla dinámica4" cacheId="1" applyNumberFormats="0" applyBorderFormats="0" applyFontFormats="0" applyPatternFormats="0" applyAlignmentFormats="0" applyWidthHeightFormats="1" dataCaption="Valores" updatedVersion="7" minRefreshableVersion="3" useAutoFormatting="1" itemPrintTitles="1" createdVersion="4" indent="0" outline="1" outlineData="1" multipleFieldFilters="0" chartFormat="1" rowHeaderCaption="CATEGORIA">
  <location ref="A19:B29" firstHeaderRow="1" firstDataRow="1" firstDataCol="1" rowPageCount="2" colPageCount="1"/>
  <pivotFields count="10">
    <pivotField axis="axisPage" multipleItemSelectionAllowed="1" showAll="0">
      <items count="6">
        <item h="1" x="0"/>
        <item h="1" x="1"/>
        <item h="1" x="2"/>
        <item x="3"/>
        <item h="1" x="4"/>
        <item t="default"/>
      </items>
    </pivotField>
    <pivotField axis="axisPage" showAll="0">
      <items count="13">
        <item x="3"/>
        <item x="7"/>
        <item x="1"/>
        <item x="0"/>
        <item x="6"/>
        <item x="5"/>
        <item x="4"/>
        <item x="2"/>
        <item x="8"/>
        <item x="9"/>
        <item x="10"/>
        <item x="11"/>
        <item t="default"/>
      </items>
    </pivotField>
    <pivotField numFmtId="164" showAll="0"/>
    <pivotField axis="axisRow" showAll="0">
      <items count="15">
        <item x="12"/>
        <item x="1"/>
        <item x="6"/>
        <item x="2"/>
        <item x="8"/>
        <item x="10"/>
        <item h="1" x="11"/>
        <item h="1" x="5"/>
        <item x="4"/>
        <item x="9"/>
        <item x="3"/>
        <item x="0"/>
        <item x="7"/>
        <item h="1" x="13"/>
        <item t="default"/>
      </items>
    </pivotField>
    <pivotField showAll="0" defaultSubtotal="0"/>
    <pivotField showAll="0"/>
    <pivotField dataField="1" showAll="0"/>
    <pivotField showAll="0"/>
    <pivotField showAll="0"/>
    <pivotField showAll="0" defaultSubtotal="0"/>
  </pivotFields>
  <rowFields count="1">
    <field x="3"/>
  </rowFields>
  <rowItems count="10">
    <i>
      <x/>
    </i>
    <i>
      <x v="1"/>
    </i>
    <i>
      <x v="3"/>
    </i>
    <i>
      <x v="4"/>
    </i>
    <i>
      <x v="5"/>
    </i>
    <i>
      <x v="8"/>
    </i>
    <i>
      <x v="9"/>
    </i>
    <i>
      <x v="11"/>
    </i>
    <i>
      <x v="12"/>
    </i>
    <i t="grand">
      <x/>
    </i>
  </rowItems>
  <colItems count="1">
    <i/>
  </colItems>
  <pageFields count="2">
    <pageField fld="0" hier="-1"/>
    <pageField fld="1" hier="-1"/>
  </pageFields>
  <dataFields count="1">
    <dataField name="DESPESES" fld="6" baseField="0" baseItem="0" numFmtId="4"/>
  </dataFields>
  <formats count="5">
    <format dxfId="1636">
      <pivotArea outline="0" collapsedLevelsAreSubtotals="1" fieldPosition="0"/>
    </format>
    <format dxfId="1635">
      <pivotArea field="3" type="button" dataOnly="0" labelOnly="1" outline="0" axis="axisRow" fieldPosition="0"/>
    </format>
    <format dxfId="1634">
      <pivotArea dataOnly="0" labelOnly="1" outline="0" axis="axisValues" fieldPosition="0"/>
    </format>
    <format dxfId="1633">
      <pivotArea field="3" type="button" dataOnly="0" labelOnly="1" outline="0" axis="axisRow" fieldPosition="0"/>
    </format>
    <format dxfId="1632">
      <pivotArea dataOnly="0" labelOnly="1" outline="0" axis="axisValues" fieldPosition="0"/>
    </format>
  </format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12"/>
          </reference>
        </references>
      </pivotArea>
    </chartFormat>
  </chart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0000000}" name="Tabla dinámica1" cacheId="0" applyNumberFormats="0" applyBorderFormats="0" applyFontFormats="0" applyPatternFormats="0" applyAlignmentFormats="0" applyWidthHeightFormats="1" dataCaption="Valores" updatedVersion="4" minRefreshableVersion="3" useAutoFormatting="1" itemPrintTitles="1" createdVersion="4" indent="0" outline="1" outlineData="1" multipleFieldFilters="0" rowHeaderCaption="ANULACIONS COVID">
  <location ref="N4:O7" firstHeaderRow="1" firstDataRow="1" firstDataCol="1" rowPageCount="2" colPageCount="1"/>
  <pivotFields count="25">
    <pivotField axis="axisPage" multipleItemSelectionAllowed="1" showAll="0">
      <items count="5">
        <item h="1" x="0"/>
        <item x="2"/>
        <item h="1" x="1"/>
        <item h="1" x="3"/>
        <item t="default"/>
      </items>
    </pivotField>
    <pivotField axis="axisRow" showAll="0">
      <items count="13">
        <item x="2"/>
        <item x="3"/>
        <item x="9"/>
        <item x="4"/>
        <item x="5"/>
        <item x="6"/>
        <item x="7"/>
        <item x="11"/>
        <item x="1"/>
        <item x="0"/>
        <item x="8"/>
        <item x="10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 defaultSubtotal="0"/>
    <pivotField showAll="0" defaultSubtota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Page" multipleItemSelectionAllowed="1" showAll="0">
      <items count="46">
        <item h="1" x="0"/>
        <item x="2"/>
        <item x="3"/>
        <item h="1" x="6"/>
        <item h="1" x="5"/>
        <item h="1" x="4"/>
        <item h="1" x="1"/>
        <item h="1" x="7"/>
        <item h="1" x="8"/>
        <item h="1" x="9"/>
        <item h="1" x="10"/>
        <item h="1" x="11"/>
        <item h="1" x="12"/>
        <item h="1" x="13"/>
        <item h="1" x="15"/>
        <item h="1" x="35"/>
        <item h="1" x="18"/>
        <item h="1" m="1" x="44"/>
        <item h="1" x="38"/>
        <item h="1" x="14"/>
        <item h="1" x="16"/>
        <item h="1" x="17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m="1" x="43"/>
        <item h="1" x="33"/>
        <item h="1" x="37"/>
        <item h="1" x="30"/>
        <item h="1" x="31"/>
        <item h="1" x="32"/>
        <item h="1" x="34"/>
        <item h="1" x="36"/>
        <item h="1" x="39"/>
        <item h="1" x="40"/>
        <item h="1" x="41"/>
        <item h="1" x="42"/>
        <item t="default"/>
      </items>
    </pivotField>
  </pivotFields>
  <rowFields count="1">
    <field x="1"/>
  </rowFields>
  <rowItems count="3">
    <i>
      <x v="8"/>
    </i>
    <i>
      <x v="9"/>
    </i>
    <i t="grand">
      <x/>
    </i>
  </rowItems>
  <colItems count="1">
    <i/>
  </colItems>
  <pageFields count="2">
    <pageField fld="0" hier="-1"/>
    <pageField fld="24" hier="-1"/>
  </pageFields>
  <dataFields count="1">
    <dataField name="CANCELACIONS" fld="18" baseField="0" baseItem="0" numFmtId="3"/>
  </dataFields>
  <formats count="1">
    <format dxfId="1613">
      <pivotArea outline="0" collapsedLevelsAreSubtotals="1" fieldPosition="0"/>
    </format>
  </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1000000}" name="Tabla dinámica3" cacheId="0" applyNumberFormats="0" applyBorderFormats="0" applyFontFormats="0" applyPatternFormats="0" applyAlignmentFormats="0" applyWidthHeightFormats="1" dataCaption="Valores" updatedVersion="4" minRefreshableVersion="3" useAutoFormatting="1" itemPrintTitles="1" createdVersion="4" indent="0" outline="1" outlineData="1" multipleFieldFilters="0">
  <location ref="A6:E13" firstHeaderRow="0" firstDataRow="1" firstDataCol="1" rowPageCount="4" colPageCount="1"/>
  <pivotFields count="25">
    <pivotField axis="axisPage" multipleItemSelectionAllowed="1" showAll="0">
      <items count="5">
        <item h="1" x="0"/>
        <item x="2"/>
        <item h="1" x="1"/>
        <item h="1" x="3"/>
        <item t="default"/>
      </items>
    </pivotField>
    <pivotField axis="axisPage" showAll="0">
      <items count="13">
        <item x="3"/>
        <item x="9"/>
        <item x="7"/>
        <item x="11"/>
        <item x="1"/>
        <item x="0"/>
        <item x="6"/>
        <item x="5"/>
        <item x="4"/>
        <item x="2"/>
        <item x="8"/>
        <item x="10"/>
        <item t="default"/>
      </items>
    </pivotField>
    <pivotField dataField="1" numFmtId="164" showAll="0"/>
    <pivotField showAll="0"/>
    <pivotField showAll="0"/>
    <pivotField showAll="0"/>
    <pivotField showAll="0"/>
    <pivotField showAll="0"/>
    <pivotField axis="axisRow" showAll="0">
      <items count="9">
        <item x="5"/>
        <item x="0"/>
        <item x="7"/>
        <item x="3"/>
        <item x="1"/>
        <item x="2"/>
        <item x="6"/>
        <item x="4"/>
        <item t="default"/>
      </items>
    </pivotField>
    <pivotField showAll="0"/>
    <pivotField axis="axisPage" showAll="0">
      <items count="463">
        <item x="62"/>
        <item x="38"/>
        <item x="60"/>
        <item x="80"/>
        <item x="73"/>
        <item x="68"/>
        <item x="81"/>
        <item x="110"/>
        <item x="40"/>
        <item x="11"/>
        <item x="112"/>
        <item x="37"/>
        <item x="92"/>
        <item x="87"/>
        <item x="16"/>
        <item x="25"/>
        <item x="39"/>
        <item x="109"/>
        <item x="26"/>
        <item x="41"/>
        <item x="24"/>
        <item x="91"/>
        <item x="72"/>
        <item x="54"/>
        <item x="53"/>
        <item x="100"/>
        <item x="2"/>
        <item x="67"/>
        <item x="61"/>
        <item x="15"/>
        <item x="94"/>
        <item x="32"/>
        <item x="104"/>
        <item x="93"/>
        <item x="43"/>
        <item x="63"/>
        <item m="1" x="443"/>
        <item x="70"/>
        <item x="12"/>
        <item x="71"/>
        <item x="96"/>
        <item x="105"/>
        <item x="45"/>
        <item x="99"/>
        <item x="52"/>
        <item x="98"/>
        <item x="47"/>
        <item x="85"/>
        <item x="18"/>
        <item x="28"/>
        <item x="8"/>
        <item x="65"/>
        <item x="30"/>
        <item x="78"/>
        <item x="17"/>
        <item x="90"/>
        <item x="35"/>
        <item x="49"/>
        <item x="95"/>
        <item x="117"/>
        <item x="101"/>
        <item x="58"/>
        <item x="108"/>
        <item x="42"/>
        <item x="97"/>
        <item x="57"/>
        <item x="76"/>
        <item x="84"/>
        <item x="48"/>
        <item x="56"/>
        <item x="82"/>
        <item x="21"/>
        <item x="44"/>
        <item x="7"/>
        <item x="83"/>
        <item x="20"/>
        <item x="228"/>
        <item x="46"/>
        <item x="77"/>
        <item x="103"/>
        <item x="59"/>
        <item x="3"/>
        <item x="31"/>
        <item x="10"/>
        <item x="102"/>
        <item x="69"/>
        <item x="79"/>
        <item x="1"/>
        <item x="50"/>
        <item x="88"/>
        <item x="74"/>
        <item x="14"/>
        <item x="33"/>
        <item x="34"/>
        <item x="6"/>
        <item x="198"/>
        <item x="111"/>
        <item x="86"/>
        <item x="29"/>
        <item x="13"/>
        <item x="4"/>
        <item x="5"/>
        <item x="19"/>
        <item x="0"/>
        <item x="64"/>
        <item x="36"/>
        <item x="66"/>
        <item x="75"/>
        <item x="23"/>
        <item x="89"/>
        <item x="55"/>
        <item x="106"/>
        <item x="27"/>
        <item x="22"/>
        <item x="51"/>
        <item x="9"/>
        <item x="107"/>
        <item m="1" x="456"/>
        <item x="115"/>
        <item x="113"/>
        <item x="114"/>
        <item x="116"/>
        <item x="118"/>
        <item x="119"/>
        <item x="120"/>
        <item x="121"/>
        <item x="131"/>
        <item x="122"/>
        <item x="123"/>
        <item x="124"/>
        <item x="125"/>
        <item x="126"/>
        <item x="127"/>
        <item x="128"/>
        <item x="129"/>
        <item x="130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67"/>
        <item x="158"/>
        <item x="159"/>
        <item x="160"/>
        <item x="161"/>
        <item x="162"/>
        <item m="1" x="440"/>
        <item x="164"/>
        <item x="165"/>
        <item x="166"/>
        <item x="168"/>
        <item x="169"/>
        <item m="1" x="455"/>
        <item x="175"/>
        <item x="176"/>
        <item x="180"/>
        <item x="184"/>
        <item x="186"/>
        <item x="200"/>
        <item x="163"/>
        <item x="170"/>
        <item x="171"/>
        <item x="172"/>
        <item m="1" x="441"/>
        <item x="177"/>
        <item x="178"/>
        <item x="181"/>
        <item m="1" x="459"/>
        <item x="185"/>
        <item x="194"/>
        <item x="199"/>
        <item m="1" x="439"/>
        <item x="173"/>
        <item x="174"/>
        <item x="182"/>
        <item x="189"/>
        <item x="190"/>
        <item x="196"/>
        <item x="202"/>
        <item x="210"/>
        <item x="179"/>
        <item x="187"/>
        <item x="193"/>
        <item x="204"/>
        <item x="183"/>
        <item x="188"/>
        <item x="191"/>
        <item x="192"/>
        <item x="195"/>
        <item x="197"/>
        <item x="213"/>
        <item x="205"/>
        <item x="208"/>
        <item x="209"/>
        <item m="1" x="457"/>
        <item x="211"/>
        <item x="214"/>
        <item x="201"/>
        <item x="203"/>
        <item x="206"/>
        <item x="207"/>
        <item x="212"/>
        <item x="215"/>
        <item x="216"/>
        <item x="217"/>
        <item x="218"/>
        <item x="219"/>
        <item x="220"/>
        <item x="221"/>
        <item x="222"/>
        <item x="223"/>
        <item x="224"/>
        <item x="231"/>
        <item x="232"/>
        <item x="233"/>
        <item x="234"/>
        <item x="235"/>
        <item x="237"/>
        <item x="238"/>
        <item x="241"/>
        <item x="247"/>
        <item x="248"/>
        <item x="249"/>
        <item x="251"/>
        <item x="254"/>
        <item x="257"/>
        <item x="260"/>
        <item x="266"/>
        <item x="277"/>
        <item m="1" x="453"/>
        <item m="1" x="450"/>
        <item m="1" x="449"/>
        <item x="225"/>
        <item x="226"/>
        <item x="227"/>
        <item x="229"/>
        <item x="230"/>
        <item x="236"/>
        <item x="239"/>
        <item x="240"/>
        <item x="242"/>
        <item x="243"/>
        <item x="244"/>
        <item x="245"/>
        <item x="246"/>
        <item x="250"/>
        <item x="252"/>
        <item x="253"/>
        <item x="255"/>
        <item x="256"/>
        <item x="258"/>
        <item x="259"/>
        <item x="261"/>
        <item x="262"/>
        <item x="263"/>
        <item x="264"/>
        <item x="265"/>
        <item x="267"/>
        <item x="268"/>
        <item m="1" x="460"/>
        <item x="269"/>
        <item x="270"/>
        <item x="271"/>
        <item x="272"/>
        <item x="273"/>
        <item x="274"/>
        <item x="275"/>
        <item x="278"/>
        <item x="279"/>
        <item x="280"/>
        <item x="281"/>
        <item x="283"/>
        <item m="1" x="446"/>
        <item x="284"/>
        <item x="289"/>
        <item x="293"/>
        <item x="295"/>
        <item x="296"/>
        <item x="299"/>
        <item m="1" x="461"/>
        <item x="324"/>
        <item x="276"/>
        <item x="282"/>
        <item x="285"/>
        <item x="286"/>
        <item x="287"/>
        <item x="288"/>
        <item x="290"/>
        <item x="291"/>
        <item x="292"/>
        <item x="294"/>
        <item x="297"/>
        <item x="298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6"/>
        <item x="347"/>
        <item m="1" x="452"/>
        <item x="349"/>
        <item m="1" x="447"/>
        <item x="352"/>
        <item m="1" x="454"/>
        <item m="1" x="445"/>
        <item x="355"/>
        <item m="1" x="458"/>
        <item x="359"/>
        <item x="360"/>
        <item m="1" x="444"/>
        <item m="1" x="451"/>
        <item x="363"/>
        <item x="364"/>
        <item x="365"/>
        <item x="367"/>
        <item x="368"/>
        <item m="1" x="442"/>
        <item x="372"/>
        <item x="373"/>
        <item x="376"/>
        <item x="377"/>
        <item m="1" x="448"/>
        <item x="381"/>
        <item x="384"/>
        <item x="394"/>
        <item x="345"/>
        <item x="348"/>
        <item x="350"/>
        <item x="351"/>
        <item x="353"/>
        <item x="354"/>
        <item x="356"/>
        <item x="357"/>
        <item x="358"/>
        <item x="361"/>
        <item x="362"/>
        <item x="366"/>
        <item x="369"/>
        <item x="370"/>
        <item x="371"/>
        <item x="374"/>
        <item x="375"/>
        <item x="378"/>
        <item x="379"/>
        <item x="380"/>
        <item x="382"/>
        <item x="383"/>
        <item x="385"/>
        <item x="386"/>
        <item x="387"/>
        <item x="388"/>
        <item x="389"/>
        <item x="390"/>
        <item x="391"/>
        <item x="392"/>
        <item x="393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t="default"/>
      </items>
    </pivotField>
    <pivotField showAll="0" defaultSubtotal="0"/>
    <pivotField showAll="0"/>
    <pivotField showAll="0" defaultSubtotal="0"/>
    <pivotField showAll="0" defaultSubtotal="0"/>
    <pivotField dataField="1" showAll="0"/>
    <pivotField showAll="0"/>
    <pivotField dataField="1" showAll="0"/>
    <pivotField dataField="1" showAll="0"/>
    <pivotField axis="axisPage" multipleItemSelectionAllowed="1" showAll="0">
      <items count="4">
        <item h="1" x="2"/>
        <item h="1" x="1"/>
        <item x="0"/>
        <item t="default"/>
      </items>
    </pivotField>
    <pivotField showAll="0"/>
    <pivotField showAll="0"/>
    <pivotField showAll="0"/>
    <pivotField showAll="0"/>
    <pivotField showAll="0"/>
  </pivotFields>
  <rowFields count="1">
    <field x="8"/>
  </rowFields>
  <rowItems count="7">
    <i>
      <x/>
    </i>
    <i>
      <x v="1"/>
    </i>
    <i>
      <x v="3"/>
    </i>
    <i>
      <x v="4"/>
    </i>
    <i>
      <x v="5"/>
    </i>
    <i>
      <x v="7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4">
    <pageField fld="0" hier="-1"/>
    <pageField fld="1" hier="-1"/>
    <pageField fld="19" hier="-1"/>
    <pageField fld="10" hier="-1"/>
  </pageFields>
  <dataFields count="4">
    <dataField name="Nº RESERVES" fld="2" subtotal="count" baseField="0" baseItem="0"/>
    <dataField name="IMPORT RESERVA" fld="15" baseField="0" baseItem="0" numFmtId="3"/>
    <dataField name="IMPORT HORES EXTRES" fld="17" baseField="0" baseItem="0" numFmtId="3"/>
    <dataField name="IMPORT TOTAL" fld="18" baseField="0" baseItem="0" numFmtId="3"/>
  </dataFields>
  <formats count="1">
    <format dxfId="1614">
      <pivotArea outline="0" collapsedLevelsAreSubtotals="1" fieldPosition="0">
        <references count="1">
          <reference field="4294967294" count="3" selected="0">
            <x v="1"/>
            <x v="2"/>
            <x v="3"/>
          </reference>
        </references>
      </pivotArea>
    </format>
  </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3000000}" name="Tabla dinámica7" cacheId="1" applyNumberFormats="0" applyBorderFormats="0" applyFontFormats="0" applyPatternFormats="0" applyAlignmentFormats="0" applyWidthHeightFormats="1" dataCaption="Valores" updatedVersion="7" minRefreshableVersion="3" useAutoFormatting="1" itemPrintTitles="1" createdVersion="4" indent="0" outline="1" outlineData="1" multipleFieldFilters="0" rowHeaderCaption="TIPO DESPESA">
  <location ref="G19:H23" firstHeaderRow="1" firstDataRow="1" firstDataCol="1" rowPageCount="2" colPageCount="1"/>
  <pivotFields count="10">
    <pivotField axis="axisPage" multipleItemSelectionAllowed="1" showAll="0">
      <items count="6">
        <item h="1" x="0"/>
        <item h="1" x="1"/>
        <item x="2"/>
        <item h="1" x="3"/>
        <item h="1" x="4"/>
        <item t="default"/>
      </items>
    </pivotField>
    <pivotField axis="axisPage" showAll="0">
      <items count="13">
        <item x="3"/>
        <item x="7"/>
        <item x="1"/>
        <item x="0"/>
        <item x="6"/>
        <item x="5"/>
        <item x="4"/>
        <item x="2"/>
        <item x="8"/>
        <item x="9"/>
        <item x="10"/>
        <item x="11"/>
        <item t="default"/>
      </items>
    </pivotField>
    <pivotField numFmtId="164" showAll="0"/>
    <pivotField showAll="0"/>
    <pivotField axis="axisRow" showAll="0" defaultSubtotal="0">
      <items count="4">
        <item x="0"/>
        <item x="1"/>
        <item x="3"/>
        <item x="2"/>
      </items>
    </pivotField>
    <pivotField showAll="0"/>
    <pivotField dataField="1" showAll="0"/>
    <pivotField showAll="0"/>
    <pivotField showAll="0"/>
    <pivotField showAll="0" defaultSubtota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pageFields count="2">
    <pageField fld="0" hier="-1"/>
    <pageField fld="1" hier="-1"/>
  </pageFields>
  <dataFields count="1">
    <dataField name="DESPESES" fld="6" baseField="0" baseItem="0" numFmtId="4"/>
  </dataFields>
  <formats count="5">
    <format dxfId="1619">
      <pivotArea outline="0" collapsedLevelsAreSubtotals="1" fieldPosition="0"/>
    </format>
    <format dxfId="1618">
      <pivotArea field="4" type="button" dataOnly="0" labelOnly="1" outline="0" axis="axisRow" fieldPosition="0"/>
    </format>
    <format dxfId="1617">
      <pivotArea dataOnly="0" labelOnly="1" outline="0" axis="axisValues" fieldPosition="0"/>
    </format>
    <format dxfId="1616">
      <pivotArea field="4" type="button" dataOnly="0" labelOnly="1" outline="0" axis="axisRow" fieldPosition="0"/>
    </format>
    <format dxfId="1615">
      <pivotArea dataOnly="0" labelOnly="1" outline="0" axis="axisValues" fieldPosition="0"/>
    </format>
  </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2000000}" name="Tabla dinámica4" cacheId="1" applyNumberFormats="0" applyBorderFormats="0" applyFontFormats="0" applyPatternFormats="0" applyAlignmentFormats="0" applyWidthHeightFormats="1" dataCaption="Valores" updatedVersion="7" minRefreshableVersion="3" useAutoFormatting="1" itemPrintTitles="1" createdVersion="4" indent="0" outline="1" outlineData="1" multipleFieldFilters="0" rowHeaderCaption="CATEGORIA">
  <location ref="A19:B28" firstHeaderRow="1" firstDataRow="1" firstDataCol="1" rowPageCount="2" colPageCount="1"/>
  <pivotFields count="10">
    <pivotField axis="axisPage" multipleItemSelectionAllowed="1" showAll="0">
      <items count="6">
        <item h="1" x="0"/>
        <item h="1" x="1"/>
        <item x="2"/>
        <item h="1" x="3"/>
        <item h="1" x="4"/>
        <item t="default"/>
      </items>
    </pivotField>
    <pivotField axis="axisPage" showAll="0">
      <items count="13">
        <item x="3"/>
        <item x="7"/>
        <item x="1"/>
        <item x="0"/>
        <item x="6"/>
        <item x="5"/>
        <item x="4"/>
        <item x="2"/>
        <item x="8"/>
        <item x="9"/>
        <item x="10"/>
        <item x="11"/>
        <item t="default"/>
      </items>
    </pivotField>
    <pivotField numFmtId="164" showAll="0"/>
    <pivotField axis="axisRow" showAll="0">
      <items count="15">
        <item x="12"/>
        <item x="1"/>
        <item x="6"/>
        <item x="2"/>
        <item x="8"/>
        <item x="10"/>
        <item h="1" x="11"/>
        <item h="1" x="5"/>
        <item x="4"/>
        <item x="9"/>
        <item x="3"/>
        <item x="0"/>
        <item x="7"/>
        <item h="1" x="13"/>
        <item t="default"/>
      </items>
    </pivotField>
    <pivotField showAll="0" defaultSubtotal="0"/>
    <pivotField showAll="0"/>
    <pivotField dataField="1" showAll="0"/>
    <pivotField showAll="0"/>
    <pivotField showAll="0"/>
    <pivotField showAll="0" defaultSubtotal="0"/>
  </pivotFields>
  <rowFields count="1">
    <field x="3"/>
  </rowFields>
  <rowItems count="9">
    <i>
      <x v="1"/>
    </i>
    <i>
      <x v="2"/>
    </i>
    <i>
      <x v="3"/>
    </i>
    <i>
      <x v="4"/>
    </i>
    <i>
      <x v="5"/>
    </i>
    <i>
      <x v="8"/>
    </i>
    <i>
      <x v="9"/>
    </i>
    <i>
      <x v="12"/>
    </i>
    <i t="grand">
      <x/>
    </i>
  </rowItems>
  <colItems count="1">
    <i/>
  </colItems>
  <pageFields count="2">
    <pageField fld="0" hier="-1"/>
    <pageField fld="1" hier="-1"/>
  </pageFields>
  <dataFields count="1">
    <dataField name="DESPESES" fld="6" baseField="0" baseItem="0" numFmtId="4"/>
  </dataFields>
  <formats count="5">
    <format dxfId="1624">
      <pivotArea outline="0" collapsedLevelsAreSubtotals="1" fieldPosition="0"/>
    </format>
    <format dxfId="1623">
      <pivotArea field="3" type="button" dataOnly="0" labelOnly="1" outline="0" axis="axisRow" fieldPosition="0"/>
    </format>
    <format dxfId="1622">
      <pivotArea dataOnly="0" labelOnly="1" outline="0" axis="axisValues" fieldPosition="0"/>
    </format>
    <format dxfId="1621">
      <pivotArea field="3" type="button" dataOnly="0" labelOnly="1" outline="0" axis="axisRow" fieldPosition="0"/>
    </format>
    <format dxfId="1620">
      <pivotArea dataOnly="0" labelOnly="1" outline="0" axis="axisValues" fieldPosition="0"/>
    </format>
  </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B00-000000000000}" name="Tabla dinámica1" cacheId="0" applyNumberFormats="0" applyBorderFormats="0" applyFontFormats="0" applyPatternFormats="0" applyAlignmentFormats="0" applyWidthHeightFormats="1" dataCaption="Valores" updatedVersion="4" minRefreshableVersion="3" useAutoFormatting="1" itemPrintTitles="1" createdVersion="4" indent="0" outline="1" outlineData="1" multipleFieldFilters="0" rowHeaderCaption="ANULACIONS COVID">
  <location ref="N4:O8" firstHeaderRow="1" firstDataRow="1" firstDataCol="1" rowPageCount="2" colPageCount="1"/>
  <pivotFields count="25">
    <pivotField axis="axisPage" multipleItemSelectionAllowed="1" showAll="0">
      <items count="5">
        <item h="1" x="0"/>
        <item h="1" x="2"/>
        <item x="1"/>
        <item h="1" x="3"/>
        <item t="default"/>
      </items>
    </pivotField>
    <pivotField axis="axisRow" showAll="0">
      <items count="13">
        <item x="2"/>
        <item x="3"/>
        <item x="9"/>
        <item x="4"/>
        <item x="5"/>
        <item x="6"/>
        <item x="7"/>
        <item x="11"/>
        <item x="1"/>
        <item x="0"/>
        <item x="8"/>
        <item x="10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 defaultSubtotal="0"/>
    <pivotField showAll="0" defaultSubtota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Page" multipleItemSelectionAllowed="1" showAll="0">
      <items count="46">
        <item h="1" x="0"/>
        <item x="2"/>
        <item x="3"/>
        <item h="1" x="6"/>
        <item h="1" x="5"/>
        <item h="1" x="4"/>
        <item h="1" x="1"/>
        <item h="1" x="7"/>
        <item h="1" x="8"/>
        <item h="1" x="9"/>
        <item h="1" x="10"/>
        <item h="1" x="11"/>
        <item h="1" x="12"/>
        <item h="1" x="13"/>
        <item h="1" x="15"/>
        <item h="1" x="35"/>
        <item h="1" x="18"/>
        <item h="1" m="1" x="44"/>
        <item h="1" x="38"/>
        <item h="1" x="14"/>
        <item h="1" x="16"/>
        <item h="1" x="17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m="1" x="43"/>
        <item h="1" x="33"/>
        <item h="1" x="37"/>
        <item h="1" x="30"/>
        <item h="1" x="31"/>
        <item h="1" x="32"/>
        <item h="1" x="34"/>
        <item h="1" x="36"/>
        <item h="1" x="39"/>
        <item h="1" x="40"/>
        <item h="1" x="41"/>
        <item h="1" x="42"/>
        <item t="default"/>
      </items>
    </pivotField>
  </pivotFields>
  <rowFields count="1">
    <field x="1"/>
  </rowFields>
  <rowItems count="4">
    <i>
      <x v="5"/>
    </i>
    <i>
      <x v="7"/>
    </i>
    <i>
      <x v="11"/>
    </i>
    <i t="grand">
      <x/>
    </i>
  </rowItems>
  <colItems count="1">
    <i/>
  </colItems>
  <pageFields count="2">
    <pageField fld="0" hier="-1"/>
    <pageField fld="24" hier="-1"/>
  </pageFields>
  <dataFields count="1">
    <dataField name="CANCELACIONS" fld="18" baseField="0" baseItem="0" numFmtId="3"/>
  </dataFields>
  <formats count="1">
    <format dxfId="1593">
      <pivotArea outline="0" collapsedLevelsAreSubtotals="1" fieldPosition="0"/>
    </format>
  </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B00-000003000000}" name="Tabla dinámica6" cacheId="0" applyNumberFormats="0" applyBorderFormats="0" applyFontFormats="0" applyPatternFormats="0" applyAlignmentFormats="0" applyWidthHeightFormats="1" dataCaption="Valores" updatedVersion="4" minRefreshableVersion="3" useAutoFormatting="1" itemPrintTitles="1" createdVersion="4" indent="0" outline="1" outlineData="1" multipleFieldFilters="0" rowHeaderCaption="AJUDES COVID">
  <location ref="N20:O25" firstHeaderRow="1" firstDataRow="1" firstDataCol="1" rowPageCount="1" colPageCount="1"/>
  <pivotFields count="25">
    <pivotField axis="axisPage" multipleItemSelectionAllowed="1" showAll="0">
      <items count="5">
        <item h="1" x="0"/>
        <item h="1" x="2"/>
        <item x="1"/>
        <item h="1" x="3"/>
        <item t="default"/>
      </items>
    </pivotField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63">
        <item h="1" x="62"/>
        <item h="1" x="38"/>
        <item x="60"/>
        <item x="80"/>
        <item x="73"/>
        <item x="68"/>
        <item x="81"/>
        <item h="1" x="110"/>
        <item h="1" x="40"/>
        <item h="1" x="11"/>
        <item h="1" x="112"/>
        <item h="1" x="37"/>
        <item h="1" x="92"/>
        <item h="1" x="87"/>
        <item h="1" x="16"/>
        <item h="1" x="25"/>
        <item h="1" x="39"/>
        <item h="1" x="109"/>
        <item h="1" x="26"/>
        <item h="1" x="41"/>
        <item h="1" x="24"/>
        <item h="1" x="91"/>
        <item h="1" x="72"/>
        <item h="1" x="54"/>
        <item h="1" x="53"/>
        <item h="1" x="100"/>
        <item h="1" x="2"/>
        <item h="1" x="67"/>
        <item h="1" x="61"/>
        <item h="1" x="15"/>
        <item h="1" x="94"/>
        <item h="1" x="32"/>
        <item h="1" x="104"/>
        <item h="1" x="93"/>
        <item h="1" x="43"/>
        <item h="1" x="63"/>
        <item h="1" m="1" x="443"/>
        <item h="1" x="70"/>
        <item h="1" x="12"/>
        <item h="1" x="71"/>
        <item h="1" x="96"/>
        <item h="1" x="105"/>
        <item h="1" x="45"/>
        <item h="1" x="99"/>
        <item h="1" x="52"/>
        <item h="1" x="98"/>
        <item h="1" x="47"/>
        <item h="1" x="85"/>
        <item h="1" x="18"/>
        <item h="1" x="28"/>
        <item h="1" x="8"/>
        <item h="1" x="65"/>
        <item h="1" x="30"/>
        <item h="1" x="78"/>
        <item h="1" x="17"/>
        <item h="1" x="90"/>
        <item h="1" x="35"/>
        <item h="1" x="49"/>
        <item h="1" x="95"/>
        <item h="1" x="117"/>
        <item h="1" x="101"/>
        <item h="1" x="58"/>
        <item h="1" x="108"/>
        <item h="1" x="42"/>
        <item h="1" x="97"/>
        <item h="1" x="57"/>
        <item h="1" x="76"/>
        <item h="1" x="84"/>
        <item h="1" x="48"/>
        <item h="1" x="56"/>
        <item h="1" x="82"/>
        <item h="1" x="21"/>
        <item h="1" x="44"/>
        <item h="1" x="7"/>
        <item h="1" x="83"/>
        <item h="1" x="20"/>
        <item h="1" x="228"/>
        <item h="1" x="46"/>
        <item h="1" x="77"/>
        <item h="1" x="103"/>
        <item h="1" x="59"/>
        <item h="1" x="3"/>
        <item h="1" x="31"/>
        <item h="1" x="10"/>
        <item h="1" x="102"/>
        <item h="1" x="69"/>
        <item h="1" x="79"/>
        <item h="1" x="1"/>
        <item h="1" x="50"/>
        <item h="1" x="88"/>
        <item h="1" x="74"/>
        <item h="1" x="14"/>
        <item h="1" x="33"/>
        <item h="1" x="34"/>
        <item h="1" x="6"/>
        <item h="1" x="198"/>
        <item h="1" x="111"/>
        <item h="1" x="86"/>
        <item h="1" x="29"/>
        <item h="1" x="13"/>
        <item h="1" x="4"/>
        <item h="1" x="5"/>
        <item h="1" x="19"/>
        <item h="1" x="0"/>
        <item h="1" x="64"/>
        <item h="1" x="36"/>
        <item h="1" x="66"/>
        <item h="1" x="75"/>
        <item h="1" x="23"/>
        <item h="1" x="89"/>
        <item h="1" x="55"/>
        <item h="1" x="106"/>
        <item h="1" x="27"/>
        <item h="1" x="22"/>
        <item h="1" x="51"/>
        <item h="1" x="9"/>
        <item h="1" x="107"/>
        <item h="1" m="1" x="456"/>
        <item h="1" x="115"/>
        <item h="1" x="113"/>
        <item h="1" x="114"/>
        <item h="1" x="116"/>
        <item x="118"/>
        <item h="1" x="119"/>
        <item h="1" x="120"/>
        <item h="1" x="121"/>
        <item h="1" x="131"/>
        <item x="122"/>
        <item x="123"/>
        <item h="1" x="124"/>
        <item h="1" x="125"/>
        <item h="1" x="126"/>
        <item h="1" x="127"/>
        <item h="1" x="128"/>
        <item h="1" x="129"/>
        <item h="1" x="130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67"/>
        <item h="1" x="158"/>
        <item h="1" x="159"/>
        <item h="1" x="160"/>
        <item h="1" x="161"/>
        <item h="1" x="162"/>
        <item h="1" m="1" x="440"/>
        <item h="1" x="164"/>
        <item h="1" x="165"/>
        <item h="1" x="166"/>
        <item h="1" x="168"/>
        <item h="1" x="169"/>
        <item h="1" m="1" x="455"/>
        <item h="1" x="175"/>
        <item h="1" x="176"/>
        <item h="1" x="180"/>
        <item h="1" x="184"/>
        <item h="1" x="186"/>
        <item h="1" x="200"/>
        <item h="1" x="163"/>
        <item h="1" x="170"/>
        <item h="1" x="171"/>
        <item h="1" x="172"/>
        <item h="1" m="1" x="441"/>
        <item h="1" x="177"/>
        <item h="1" x="178"/>
        <item h="1" x="181"/>
        <item h="1" m="1" x="459"/>
        <item h="1" x="185"/>
        <item h="1" x="194"/>
        <item h="1" x="199"/>
        <item h="1" m="1" x="439"/>
        <item h="1" x="173"/>
        <item h="1" x="174"/>
        <item h="1" x="182"/>
        <item h="1" x="189"/>
        <item h="1" x="190"/>
        <item h="1" x="196"/>
        <item h="1" x="202"/>
        <item h="1" x="210"/>
        <item h="1" x="179"/>
        <item h="1" x="187"/>
        <item h="1" x="193"/>
        <item h="1" x="204"/>
        <item h="1" x="183"/>
        <item h="1" x="188"/>
        <item h="1" x="191"/>
        <item h="1" x="192"/>
        <item h="1" x="195"/>
        <item h="1" x="197"/>
        <item h="1" x="213"/>
        <item h="1" x="205"/>
        <item h="1" x="208"/>
        <item h="1" x="209"/>
        <item h="1" m="1" x="457"/>
        <item h="1" x="211"/>
        <item h="1" x="214"/>
        <item h="1" x="201"/>
        <item h="1" x="203"/>
        <item h="1" x="206"/>
        <item h="1" x="207"/>
        <item h="1" x="212"/>
        <item h="1" x="215"/>
        <item h="1" x="216"/>
        <item h="1" x="217"/>
        <item h="1" x="218"/>
        <item h="1" x="219"/>
        <item h="1" x="220"/>
        <item h="1" x="221"/>
        <item h="1" x="222"/>
        <item h="1" x="223"/>
        <item h="1" x="224"/>
        <item h="1" x="231"/>
        <item h="1" x="232"/>
        <item h="1" x="233"/>
        <item h="1" x="234"/>
        <item h="1" x="235"/>
        <item h="1" x="237"/>
        <item h="1" x="238"/>
        <item h="1" x="241"/>
        <item h="1" x="247"/>
        <item h="1" x="248"/>
        <item h="1" x="249"/>
        <item h="1" x="251"/>
        <item h="1" x="254"/>
        <item h="1" x="257"/>
        <item h="1" x="260"/>
        <item h="1" x="266"/>
        <item h="1" x="277"/>
        <item h="1" m="1" x="453"/>
        <item h="1" m="1" x="450"/>
        <item h="1" m="1" x="449"/>
        <item h="1" x="225"/>
        <item h="1" x="226"/>
        <item h="1" x="227"/>
        <item h="1" x="229"/>
        <item h="1" x="230"/>
        <item h="1" x="236"/>
        <item h="1" x="239"/>
        <item h="1" x="240"/>
        <item h="1" x="242"/>
        <item h="1" x="243"/>
        <item h="1" x="244"/>
        <item h="1" x="245"/>
        <item h="1" x="246"/>
        <item h="1" x="250"/>
        <item h="1" x="252"/>
        <item h="1" x="253"/>
        <item h="1" x="255"/>
        <item h="1" x="256"/>
        <item h="1" x="258"/>
        <item h="1" x="259"/>
        <item h="1" x="261"/>
        <item h="1" x="262"/>
        <item h="1" x="263"/>
        <item h="1" x="264"/>
        <item h="1" x="265"/>
        <item h="1" x="267"/>
        <item h="1" x="268"/>
        <item h="1" m="1" x="460"/>
        <item h="1" x="269"/>
        <item h="1" x="270"/>
        <item h="1" x="271"/>
        <item h="1" x="272"/>
        <item h="1" x="273"/>
        <item h="1" x="274"/>
        <item h="1" x="275"/>
        <item h="1" x="278"/>
        <item h="1" x="279"/>
        <item h="1" x="280"/>
        <item h="1" x="281"/>
        <item h="1" x="283"/>
        <item h="1" m="1" x="446"/>
        <item h="1" x="284"/>
        <item h="1" x="289"/>
        <item h="1" x="293"/>
        <item h="1" x="295"/>
        <item h="1" x="296"/>
        <item h="1" x="299"/>
        <item h="1" m="1" x="461"/>
        <item h="1" x="324"/>
        <item h="1" x="276"/>
        <item h="1" x="282"/>
        <item h="1" x="285"/>
        <item h="1" x="286"/>
        <item h="1" x="287"/>
        <item h="1" x="288"/>
        <item h="1" x="290"/>
        <item h="1" x="291"/>
        <item h="1" x="292"/>
        <item h="1" x="294"/>
        <item h="1" x="297"/>
        <item h="1" x="298"/>
        <item h="1" x="300"/>
        <item h="1" x="301"/>
        <item h="1" x="302"/>
        <item h="1" x="303"/>
        <item h="1" x="304"/>
        <item h="1" x="305"/>
        <item h="1" x="306"/>
        <item h="1" x="307"/>
        <item h="1" x="308"/>
        <item h="1" x="309"/>
        <item h="1" x="310"/>
        <item h="1" x="311"/>
        <item h="1" x="312"/>
        <item h="1" x="313"/>
        <item h="1" x="314"/>
        <item h="1" x="315"/>
        <item h="1" x="316"/>
        <item h="1" x="317"/>
        <item h="1" x="318"/>
        <item h="1" x="319"/>
        <item h="1" x="320"/>
        <item h="1" x="321"/>
        <item h="1" x="322"/>
        <item h="1" x="323"/>
        <item h="1" x="325"/>
        <item h="1" x="326"/>
        <item h="1" x="327"/>
        <item h="1" x="328"/>
        <item h="1" x="329"/>
        <item h="1" x="330"/>
        <item h="1" x="331"/>
        <item h="1" x="332"/>
        <item h="1" x="333"/>
        <item h="1" x="334"/>
        <item h="1" x="335"/>
        <item h="1" x="336"/>
        <item h="1" x="337"/>
        <item h="1" x="338"/>
        <item h="1" x="339"/>
        <item h="1" x="340"/>
        <item h="1" x="341"/>
        <item h="1" x="342"/>
        <item h="1" x="343"/>
        <item h="1" x="344"/>
        <item h="1" x="346"/>
        <item h="1" x="347"/>
        <item h="1" m="1" x="452"/>
        <item h="1" x="349"/>
        <item h="1" m="1" x="447"/>
        <item h="1" x="352"/>
        <item h="1" m="1" x="454"/>
        <item h="1" m="1" x="445"/>
        <item h="1" x="355"/>
        <item h="1" m="1" x="458"/>
        <item h="1" x="359"/>
        <item h="1" x="360"/>
        <item h="1" m="1" x="444"/>
        <item h="1" m="1" x="451"/>
        <item h="1" x="363"/>
        <item h="1" x="364"/>
        <item h="1" x="365"/>
        <item h="1" x="367"/>
        <item h="1" x="368"/>
        <item h="1" m="1" x="442"/>
        <item h="1" x="372"/>
        <item h="1" x="373"/>
        <item h="1" x="376"/>
        <item h="1" x="377"/>
        <item h="1" m="1" x="448"/>
        <item h="1" x="381"/>
        <item h="1" x="384"/>
        <item h="1" x="394"/>
        <item h="1" x="345"/>
        <item h="1" x="348"/>
        <item h="1" x="350"/>
        <item h="1" x="351"/>
        <item h="1" x="353"/>
        <item h="1" x="354"/>
        <item h="1" x="356"/>
        <item h="1" x="357"/>
        <item h="1" x="358"/>
        <item h="1" x="361"/>
        <item h="1" x="362"/>
        <item h="1" x="366"/>
        <item h="1" x="369"/>
        <item h="1" x="370"/>
        <item h="1" x="371"/>
        <item h="1" x="374"/>
        <item h="1" x="375"/>
        <item h="1" x="378"/>
        <item h="1" x="379"/>
        <item h="1" x="380"/>
        <item h="1" x="382"/>
        <item h="1" x="383"/>
        <item h="1" x="385"/>
        <item h="1" x="386"/>
        <item h="1" x="387"/>
        <item h="1" x="388"/>
        <item h="1" x="389"/>
        <item h="1" x="390"/>
        <item h="1" x="391"/>
        <item h="1" x="392"/>
        <item h="1" x="393"/>
        <item h="1" x="395"/>
        <item h="1" x="396"/>
        <item h="1" x="397"/>
        <item h="1" x="398"/>
        <item h="1" x="399"/>
        <item h="1" x="400"/>
        <item h="1" x="401"/>
        <item h="1" x="402"/>
        <item h="1" x="403"/>
        <item h="1" x="404"/>
        <item h="1" x="405"/>
        <item h="1" x="406"/>
        <item h="1" x="407"/>
        <item h="1" x="408"/>
        <item h="1" x="409"/>
        <item h="1" x="410"/>
        <item h="1" x="411"/>
        <item h="1" x="412"/>
        <item h="1" x="413"/>
        <item h="1" x="414"/>
        <item h="1" x="415"/>
        <item h="1" x="416"/>
        <item h="1" x="417"/>
        <item h="1" x="418"/>
        <item h="1" x="419"/>
        <item h="1" x="420"/>
        <item h="1" x="421"/>
        <item h="1" x="422"/>
        <item h="1" x="423"/>
        <item h="1" x="424"/>
        <item h="1" x="425"/>
        <item h="1" x="426"/>
        <item h="1" x="427"/>
        <item h="1" x="428"/>
        <item h="1" x="429"/>
        <item h="1" x="430"/>
        <item h="1" x="431"/>
        <item h="1" x="432"/>
        <item h="1" x="433"/>
        <item h="1" x="434"/>
        <item h="1" x="435"/>
        <item h="1" x="436"/>
        <item h="1" x="437"/>
        <item h="1" x="438"/>
        <item t="default"/>
      </items>
    </pivotField>
    <pivotField showAll="0" defaultSubtotal="0"/>
    <pivotField showAll="0"/>
    <pivotField showAll="0" defaultSubtotal="0"/>
    <pivotField showAll="0" defaultSubtota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5">
    <i>
      <x v="2"/>
    </i>
    <i>
      <x v="4"/>
    </i>
    <i>
      <x v="5"/>
    </i>
    <i>
      <x v="128"/>
    </i>
    <i t="grand">
      <x/>
    </i>
  </rowItems>
  <colItems count="1">
    <i/>
  </colItems>
  <pageFields count="1">
    <pageField fld="0" hier="-1"/>
  </pageFields>
  <dataFields count="1">
    <dataField name="AJUDES ESTATALS" fld="18" baseField="0" baseItem="0" numFmtId="3"/>
  </dataFields>
  <formats count="1">
    <format dxfId="1594">
      <pivotArea outline="0" collapsedLevelsAreSubtotals="1" fieldPosition="0"/>
    </format>
  </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B00-000002000000}" name="Tabla dinámica4" cacheId="1" applyNumberFormats="0" applyBorderFormats="0" applyFontFormats="0" applyPatternFormats="0" applyAlignmentFormats="0" applyWidthHeightFormats="1" dataCaption="Valores" updatedVersion="7" minRefreshableVersion="3" useAutoFormatting="1" itemPrintTitles="1" createdVersion="4" indent="0" outline="1" outlineData="1" multipleFieldFilters="0" rowHeaderCaption="CATEGORIA">
  <location ref="A19:B30" firstHeaderRow="1" firstDataRow="1" firstDataCol="1" rowPageCount="2" colPageCount="1"/>
  <pivotFields count="10">
    <pivotField axis="axisPage" multipleItemSelectionAllowed="1" showAll="0">
      <items count="6">
        <item h="1" x="0"/>
        <item x="1"/>
        <item h="1" x="2"/>
        <item h="1" x="3"/>
        <item h="1" x="4"/>
        <item t="default"/>
      </items>
    </pivotField>
    <pivotField axis="axisPage" showAll="0">
      <items count="13">
        <item x="3"/>
        <item x="7"/>
        <item x="1"/>
        <item x="0"/>
        <item x="6"/>
        <item x="5"/>
        <item x="4"/>
        <item x="2"/>
        <item x="8"/>
        <item x="9"/>
        <item x="10"/>
        <item x="11"/>
        <item t="default"/>
      </items>
    </pivotField>
    <pivotField numFmtId="164" showAll="0"/>
    <pivotField axis="axisRow" showAll="0">
      <items count="15">
        <item x="12"/>
        <item x="1"/>
        <item x="6"/>
        <item x="2"/>
        <item x="8"/>
        <item x="10"/>
        <item h="1" x="11"/>
        <item h="1" x="5"/>
        <item x="4"/>
        <item x="9"/>
        <item x="3"/>
        <item x="0"/>
        <item x="7"/>
        <item h="1" x="13"/>
        <item t="default"/>
      </items>
    </pivotField>
    <pivotField showAll="0" defaultSubtotal="0"/>
    <pivotField showAll="0"/>
    <pivotField dataField="1" showAll="0"/>
    <pivotField showAll="0"/>
    <pivotField showAll="0"/>
    <pivotField showAll="0" defaultSubtotal="0"/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8"/>
    </i>
    <i>
      <x v="9"/>
    </i>
    <i>
      <x v="11"/>
    </i>
    <i>
      <x v="12"/>
    </i>
    <i t="grand">
      <x/>
    </i>
  </rowItems>
  <colItems count="1">
    <i/>
  </colItems>
  <pageFields count="2">
    <pageField fld="0" hier="-1"/>
    <pageField fld="1" hier="-1"/>
  </pageFields>
  <dataFields count="1">
    <dataField name="DESPESES" fld="6" baseField="0" baseItem="0" numFmtId="4"/>
  </dataFields>
  <formats count="5">
    <format dxfId="1599">
      <pivotArea outline="0" collapsedLevelsAreSubtotals="1" fieldPosition="0"/>
    </format>
    <format dxfId="1598">
      <pivotArea field="3" type="button" dataOnly="0" labelOnly="1" outline="0" axis="axisRow" fieldPosition="0"/>
    </format>
    <format dxfId="1597">
      <pivotArea dataOnly="0" labelOnly="1" outline="0" axis="axisValues" fieldPosition="0"/>
    </format>
    <format dxfId="1596">
      <pivotArea field="3" type="button" dataOnly="0" labelOnly="1" outline="0" axis="axisRow" fieldPosition="0"/>
    </format>
    <format dxfId="1595">
      <pivotArea dataOnly="0" labelOnly="1" outline="0" axis="axisValues" fieldPosition="0"/>
    </format>
  </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B00-000004000000}" name="Tabla dinámica7" cacheId="1" applyNumberFormats="0" applyBorderFormats="0" applyFontFormats="0" applyPatternFormats="0" applyAlignmentFormats="0" applyWidthHeightFormats="1" dataCaption="Valores" updatedVersion="7" minRefreshableVersion="3" useAutoFormatting="1" itemPrintTitles="1" createdVersion="4" indent="0" outline="1" outlineData="1" multipleFieldFilters="0" rowHeaderCaption="TIPO DESPESA">
  <location ref="G19:H24" firstHeaderRow="1" firstDataRow="1" firstDataCol="1" rowPageCount="2" colPageCount="1"/>
  <pivotFields count="10">
    <pivotField axis="axisPage" multipleItemSelectionAllowed="1" showAll="0">
      <items count="6">
        <item h="1" x="0"/>
        <item x="1"/>
        <item h="1" x="2"/>
        <item h="1" x="3"/>
        <item h="1" x="4"/>
        <item t="default"/>
      </items>
    </pivotField>
    <pivotField axis="axisPage" showAll="0">
      <items count="13">
        <item x="3"/>
        <item x="7"/>
        <item x="1"/>
        <item x="0"/>
        <item x="6"/>
        <item x="5"/>
        <item x="4"/>
        <item x="2"/>
        <item x="8"/>
        <item x="9"/>
        <item x="10"/>
        <item x="11"/>
        <item t="default"/>
      </items>
    </pivotField>
    <pivotField numFmtId="164" showAll="0"/>
    <pivotField showAll="0"/>
    <pivotField axis="axisRow" showAll="0" defaultSubtotal="0">
      <items count="4">
        <item x="0"/>
        <item x="1"/>
        <item x="3"/>
        <item x="2"/>
      </items>
    </pivotField>
    <pivotField showAll="0"/>
    <pivotField dataField="1" showAll="0"/>
    <pivotField showAll="0"/>
    <pivotField showAll="0"/>
    <pivotField showAll="0" defaultSubtota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2">
    <pageField fld="0" hier="-1"/>
    <pageField fld="1" hier="-1"/>
  </pageFields>
  <dataFields count="1">
    <dataField name="DESPESES" fld="6" baseField="0" baseItem="0" numFmtId="4"/>
  </dataFields>
  <formats count="5">
    <format dxfId="1604">
      <pivotArea outline="0" collapsedLevelsAreSubtotals="1" fieldPosition="0"/>
    </format>
    <format dxfId="1603">
      <pivotArea field="4" type="button" dataOnly="0" labelOnly="1" outline="0" axis="axisRow" fieldPosition="0"/>
    </format>
    <format dxfId="1602">
      <pivotArea dataOnly="0" labelOnly="1" outline="0" axis="axisValues" fieldPosition="0"/>
    </format>
    <format dxfId="1601">
      <pivotArea field="4" type="button" dataOnly="0" labelOnly="1" outline="0" axis="axisRow" fieldPosition="0"/>
    </format>
    <format dxfId="1600">
      <pivotArea dataOnly="0" labelOnly="1" outline="0" axis="axisValues" fieldPosition="0"/>
    </format>
  </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B00-000001000000}" name="Tabla dinámica3" cacheId="0" applyNumberFormats="0" applyBorderFormats="0" applyFontFormats="0" applyPatternFormats="0" applyAlignmentFormats="0" applyWidthHeightFormats="1" dataCaption="Valores" updatedVersion="4" minRefreshableVersion="3" useAutoFormatting="1" itemPrintTitles="1" createdVersion="4" indent="0" outline="1" outlineData="1" multipleFieldFilters="0">
  <location ref="A6:E12" firstHeaderRow="0" firstDataRow="1" firstDataCol="1" rowPageCount="4" colPageCount="1"/>
  <pivotFields count="25">
    <pivotField axis="axisPage" multipleItemSelectionAllowed="1" showAll="0">
      <items count="5">
        <item h="1" x="0"/>
        <item h="1" x="2"/>
        <item x="1"/>
        <item h="1" x="3"/>
        <item t="default"/>
      </items>
    </pivotField>
    <pivotField axis="axisPage" showAll="0">
      <items count="13">
        <item x="3"/>
        <item x="9"/>
        <item x="7"/>
        <item x="11"/>
        <item x="1"/>
        <item x="0"/>
        <item x="6"/>
        <item x="5"/>
        <item x="4"/>
        <item x="2"/>
        <item x="8"/>
        <item x="10"/>
        <item t="default"/>
      </items>
    </pivotField>
    <pivotField dataField="1" numFmtId="164" showAll="0"/>
    <pivotField showAll="0"/>
    <pivotField showAll="0"/>
    <pivotField showAll="0"/>
    <pivotField showAll="0"/>
    <pivotField showAll="0"/>
    <pivotField axis="axisRow" showAll="0">
      <items count="9">
        <item x="5"/>
        <item x="0"/>
        <item x="7"/>
        <item x="3"/>
        <item x="1"/>
        <item x="2"/>
        <item x="6"/>
        <item x="4"/>
        <item t="default"/>
      </items>
    </pivotField>
    <pivotField showAll="0"/>
    <pivotField axis="axisPage" multipleItemSelectionAllowed="1" showAll="0">
      <items count="463">
        <item x="62"/>
        <item x="38"/>
        <item h="1" x="60"/>
        <item h="1" x="80"/>
        <item h="1" x="73"/>
        <item h="1" x="68"/>
        <item h="1" x="81"/>
        <item x="110"/>
        <item x="40"/>
        <item x="11"/>
        <item x="112"/>
        <item x="37"/>
        <item x="92"/>
        <item x="87"/>
        <item x="16"/>
        <item x="25"/>
        <item x="39"/>
        <item x="109"/>
        <item x="26"/>
        <item x="41"/>
        <item x="24"/>
        <item x="91"/>
        <item x="72"/>
        <item x="54"/>
        <item x="53"/>
        <item x="100"/>
        <item x="2"/>
        <item x="67"/>
        <item x="61"/>
        <item x="15"/>
        <item x="94"/>
        <item x="32"/>
        <item x="104"/>
        <item x="93"/>
        <item x="43"/>
        <item x="63"/>
        <item m="1" x="443"/>
        <item x="70"/>
        <item x="12"/>
        <item x="71"/>
        <item x="96"/>
        <item x="105"/>
        <item x="45"/>
        <item x="99"/>
        <item x="52"/>
        <item x="98"/>
        <item x="47"/>
        <item x="85"/>
        <item x="18"/>
        <item x="28"/>
        <item x="8"/>
        <item x="65"/>
        <item x="30"/>
        <item x="78"/>
        <item x="17"/>
        <item x="90"/>
        <item x="35"/>
        <item x="49"/>
        <item x="95"/>
        <item x="117"/>
        <item x="101"/>
        <item x="58"/>
        <item x="108"/>
        <item x="42"/>
        <item x="97"/>
        <item x="57"/>
        <item x="76"/>
        <item x="84"/>
        <item x="48"/>
        <item x="56"/>
        <item x="82"/>
        <item x="21"/>
        <item x="44"/>
        <item x="7"/>
        <item x="83"/>
        <item x="20"/>
        <item x="228"/>
        <item x="46"/>
        <item x="77"/>
        <item x="103"/>
        <item x="59"/>
        <item x="3"/>
        <item x="31"/>
        <item x="10"/>
        <item x="102"/>
        <item x="69"/>
        <item x="79"/>
        <item x="1"/>
        <item x="50"/>
        <item x="88"/>
        <item x="74"/>
        <item x="14"/>
        <item x="33"/>
        <item x="34"/>
        <item x="6"/>
        <item x="198"/>
        <item x="111"/>
        <item x="86"/>
        <item x="29"/>
        <item x="13"/>
        <item x="4"/>
        <item x="5"/>
        <item x="19"/>
        <item x="0"/>
        <item x="64"/>
        <item x="36"/>
        <item x="66"/>
        <item x="75"/>
        <item x="23"/>
        <item x="89"/>
        <item x="55"/>
        <item x="106"/>
        <item x="27"/>
        <item x="22"/>
        <item x="51"/>
        <item x="9"/>
        <item x="107"/>
        <item m="1" x="456"/>
        <item x="115"/>
        <item x="113"/>
        <item x="114"/>
        <item x="116"/>
        <item x="118"/>
        <item x="119"/>
        <item x="120"/>
        <item x="121"/>
        <item x="131"/>
        <item h="1" x="122"/>
        <item h="1" x="123"/>
        <item h="1" x="124"/>
        <item h="1" x="125"/>
        <item h="1" x="126"/>
        <item x="127"/>
        <item h="1" x="128"/>
        <item x="129"/>
        <item x="130"/>
        <item x="132"/>
        <item x="133"/>
        <item x="134"/>
        <item x="135"/>
        <item x="136"/>
        <item x="137"/>
        <item x="138"/>
        <item h="1"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67"/>
        <item x="158"/>
        <item x="159"/>
        <item x="160"/>
        <item x="161"/>
        <item x="162"/>
        <item m="1" x="440"/>
        <item x="164"/>
        <item x="165"/>
        <item x="166"/>
        <item x="168"/>
        <item x="169"/>
        <item m="1" x="455"/>
        <item x="175"/>
        <item x="176"/>
        <item x="180"/>
        <item x="184"/>
        <item x="186"/>
        <item x="200"/>
        <item h="1" x="163"/>
        <item h="1" x="170"/>
        <item h="1" x="171"/>
        <item h="1" x="172"/>
        <item h="1" m="1" x="441"/>
        <item h="1" x="177"/>
        <item h="1" x="178"/>
        <item h="1" x="181"/>
        <item h="1" m="1" x="459"/>
        <item h="1" x="185"/>
        <item h="1" x="194"/>
        <item h="1" x="199"/>
        <item h="1" m="1" x="439"/>
        <item h="1" x="173"/>
        <item h="1" x="174"/>
        <item h="1" x="182"/>
        <item h="1" x="189"/>
        <item h="1" x="190"/>
        <item h="1" x="196"/>
        <item h="1" x="202"/>
        <item h="1" x="210"/>
        <item h="1" x="179"/>
        <item h="1" x="187"/>
        <item h="1" x="193"/>
        <item h="1" x="204"/>
        <item h="1" x="183"/>
        <item h="1" x="188"/>
        <item h="1" x="191"/>
        <item h="1" x="192"/>
        <item h="1" x="195"/>
        <item h="1" x="197"/>
        <item h="1" x="213"/>
        <item h="1" x="205"/>
        <item h="1" x="208"/>
        <item h="1" x="209"/>
        <item h="1" m="1" x="457"/>
        <item h="1" x="211"/>
        <item h="1" x="214"/>
        <item h="1" x="201"/>
        <item h="1" x="203"/>
        <item h="1" x="206"/>
        <item h="1" x="207"/>
        <item h="1" x="212"/>
        <item h="1" x="215"/>
        <item h="1" x="216"/>
        <item h="1" x="217"/>
        <item h="1" x="218"/>
        <item h="1" x="219"/>
        <item h="1" x="220"/>
        <item h="1" x="221"/>
        <item h="1" x="222"/>
        <item h="1" x="223"/>
        <item h="1" x="224"/>
        <item h="1" x="231"/>
        <item h="1" x="232"/>
        <item h="1" x="233"/>
        <item h="1" x="234"/>
        <item h="1" x="235"/>
        <item h="1" x="237"/>
        <item h="1" x="238"/>
        <item h="1" x="241"/>
        <item h="1" x="247"/>
        <item h="1" x="248"/>
        <item h="1" x="249"/>
        <item h="1" x="251"/>
        <item h="1" x="254"/>
        <item h="1" x="257"/>
        <item h="1" x="260"/>
        <item h="1" x="266"/>
        <item h="1" x="277"/>
        <item h="1" m="1" x="453"/>
        <item h="1" m="1" x="450"/>
        <item h="1" m="1" x="449"/>
        <item h="1" x="225"/>
        <item h="1" x="226"/>
        <item h="1" x="227"/>
        <item h="1" x="229"/>
        <item h="1" x="230"/>
        <item h="1" x="236"/>
        <item h="1" x="239"/>
        <item h="1" x="240"/>
        <item h="1" x="242"/>
        <item h="1" x="243"/>
        <item h="1" x="244"/>
        <item h="1" x="245"/>
        <item h="1" x="246"/>
        <item h="1" x="250"/>
        <item h="1" x="252"/>
        <item h="1" x="253"/>
        <item h="1" x="255"/>
        <item h="1" x="256"/>
        <item h="1" x="258"/>
        <item h="1" x="259"/>
        <item h="1" x="261"/>
        <item h="1" x="262"/>
        <item h="1" x="263"/>
        <item h="1" x="264"/>
        <item h="1" x="265"/>
        <item h="1" x="267"/>
        <item h="1" x="268"/>
        <item h="1" m="1" x="460"/>
        <item h="1" x="269"/>
        <item h="1" x="270"/>
        <item h="1" x="271"/>
        <item h="1" x="272"/>
        <item h="1" x="273"/>
        <item h="1" x="274"/>
        <item h="1" x="275"/>
        <item h="1" x="278"/>
        <item h="1" x="279"/>
        <item h="1" x="280"/>
        <item h="1" x="281"/>
        <item h="1" x="283"/>
        <item h="1" m="1" x="446"/>
        <item h="1" x="284"/>
        <item h="1" x="289"/>
        <item h="1" x="293"/>
        <item h="1" x="295"/>
        <item h="1" x="296"/>
        <item h="1" x="299"/>
        <item h="1" m="1" x="461"/>
        <item h="1" x="324"/>
        <item h="1" x="276"/>
        <item h="1" x="282"/>
        <item h="1" x="285"/>
        <item h="1" x="286"/>
        <item h="1" x="287"/>
        <item h="1" x="288"/>
        <item h="1" x="290"/>
        <item h="1" x="291"/>
        <item h="1" x="292"/>
        <item h="1" x="294"/>
        <item h="1" x="297"/>
        <item h="1" x="298"/>
        <item h="1" x="300"/>
        <item h="1" x="301"/>
        <item h="1" x="302"/>
        <item h="1" x="303"/>
        <item h="1" x="304"/>
        <item h="1" x="305"/>
        <item h="1" x="306"/>
        <item h="1" x="307"/>
        <item h="1" x="308"/>
        <item h="1" x="309"/>
        <item h="1" x="310"/>
        <item h="1" x="311"/>
        <item h="1" x="312"/>
        <item h="1" x="313"/>
        <item h="1" x="314"/>
        <item h="1" x="315"/>
        <item h="1" x="316"/>
        <item h="1" x="317"/>
        <item h="1" x="318"/>
        <item h="1" x="319"/>
        <item h="1" x="320"/>
        <item h="1" x="321"/>
        <item h="1" x="322"/>
        <item h="1" x="323"/>
        <item h="1" x="325"/>
        <item h="1" x="326"/>
        <item h="1" x="327"/>
        <item h="1" x="328"/>
        <item h="1" x="329"/>
        <item h="1" x="330"/>
        <item h="1" x="331"/>
        <item h="1" x="332"/>
        <item h="1" x="333"/>
        <item h="1" x="334"/>
        <item h="1" x="335"/>
        <item h="1" x="336"/>
        <item h="1" x="337"/>
        <item h="1" x="338"/>
        <item h="1" x="339"/>
        <item h="1" x="340"/>
        <item h="1" x="341"/>
        <item h="1" x="342"/>
        <item h="1" x="343"/>
        <item h="1" x="344"/>
        <item h="1" x="346"/>
        <item h="1" x="347"/>
        <item h="1" m="1" x="452"/>
        <item h="1" x="349"/>
        <item h="1" m="1" x="447"/>
        <item h="1" x="352"/>
        <item h="1" m="1" x="454"/>
        <item h="1" m="1" x="445"/>
        <item h="1" x="355"/>
        <item h="1" m="1" x="458"/>
        <item h="1" x="359"/>
        <item h="1" x="360"/>
        <item h="1" m="1" x="444"/>
        <item h="1" m="1" x="451"/>
        <item h="1" x="363"/>
        <item h="1" x="364"/>
        <item h="1" x="365"/>
        <item h="1" x="367"/>
        <item h="1" x="368"/>
        <item h="1" m="1" x="442"/>
        <item h="1" x="372"/>
        <item h="1" x="373"/>
        <item h="1" x="376"/>
        <item h="1" x="377"/>
        <item h="1" m="1" x="448"/>
        <item h="1" x="381"/>
        <item h="1" x="384"/>
        <item h="1" x="394"/>
        <item h="1" x="345"/>
        <item h="1" x="348"/>
        <item h="1" x="350"/>
        <item h="1" x="351"/>
        <item h="1" x="353"/>
        <item h="1" x="354"/>
        <item h="1" x="356"/>
        <item h="1" x="357"/>
        <item h="1" x="358"/>
        <item h="1" x="361"/>
        <item h="1" x="362"/>
        <item h="1" x="366"/>
        <item h="1" x="369"/>
        <item h="1" x="370"/>
        <item h="1" x="371"/>
        <item h="1" x="374"/>
        <item h="1" x="375"/>
        <item h="1" x="378"/>
        <item h="1" x="379"/>
        <item h="1" x="380"/>
        <item h="1" x="382"/>
        <item h="1" x="383"/>
        <item h="1" x="385"/>
        <item h="1" x="386"/>
        <item h="1" x="387"/>
        <item h="1" x="388"/>
        <item h="1" x="389"/>
        <item h="1" x="390"/>
        <item h="1" x="391"/>
        <item h="1" x="392"/>
        <item h="1" x="393"/>
        <item h="1" x="395"/>
        <item h="1" x="396"/>
        <item h="1" x="397"/>
        <item h="1" x="398"/>
        <item h="1" x="399"/>
        <item h="1" x="400"/>
        <item h="1" x="401"/>
        <item h="1" x="402"/>
        <item h="1" x="403"/>
        <item h="1" x="404"/>
        <item h="1" x="405"/>
        <item h="1" x="406"/>
        <item h="1" x="407"/>
        <item h="1" x="408"/>
        <item h="1" x="409"/>
        <item h="1" x="410"/>
        <item h="1" x="411"/>
        <item h="1" x="412"/>
        <item h="1" x="413"/>
        <item h="1" x="414"/>
        <item h="1" x="415"/>
        <item h="1" x="416"/>
        <item h="1" x="417"/>
        <item h="1" x="418"/>
        <item h="1" x="419"/>
        <item h="1" x="420"/>
        <item h="1" x="421"/>
        <item h="1" x="422"/>
        <item h="1" x="423"/>
        <item h="1" x="424"/>
        <item h="1" x="425"/>
        <item h="1" x="426"/>
        <item h="1" x="427"/>
        <item h="1" x="428"/>
        <item h="1" x="429"/>
        <item h="1" x="430"/>
        <item h="1" x="431"/>
        <item h="1" x="432"/>
        <item h="1" x="433"/>
        <item h="1" x="434"/>
        <item h="1" x="435"/>
        <item h="1" x="436"/>
        <item h="1" x="437"/>
        <item h="1" x="438"/>
        <item t="default"/>
      </items>
    </pivotField>
    <pivotField showAll="0" defaultSubtotal="0"/>
    <pivotField showAll="0"/>
    <pivotField showAll="0" defaultSubtotal="0"/>
    <pivotField showAll="0" defaultSubtotal="0"/>
    <pivotField dataField="1" showAll="0"/>
    <pivotField showAll="0"/>
    <pivotField dataField="1" showAll="0"/>
    <pivotField dataField="1" showAll="0"/>
    <pivotField axis="axisPage" multipleItemSelectionAllowed="1" showAll="0">
      <items count="4">
        <item h="1" x="2"/>
        <item h="1" x="1"/>
        <item x="0"/>
        <item t="default"/>
      </items>
    </pivotField>
    <pivotField showAll="0"/>
    <pivotField showAll="0"/>
    <pivotField showAll="0"/>
    <pivotField showAll="0"/>
    <pivotField showAll="0"/>
  </pivotFields>
  <rowFields count="1">
    <field x="8"/>
  </rowFields>
  <rowItems count="6">
    <i>
      <x/>
    </i>
    <i>
      <x v="1"/>
    </i>
    <i>
      <x v="3"/>
    </i>
    <i>
      <x v="4"/>
    </i>
    <i>
      <x v="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4">
    <pageField fld="0" hier="-1"/>
    <pageField fld="1" hier="-1"/>
    <pageField fld="19" hier="-1"/>
    <pageField fld="10" hier="-1"/>
  </pageFields>
  <dataFields count="4">
    <dataField name="Nº RESERVES" fld="2" subtotal="count" baseField="0" baseItem="0"/>
    <dataField name="IMPORT RESERVA" fld="15" baseField="0" baseItem="0" numFmtId="3"/>
    <dataField name="IMPORT HORES EXTRES" fld="17" baseField="0" baseItem="0" numFmtId="3"/>
    <dataField name="IMPORT TOTAL" fld="18" baseField="0" baseItem="0" numFmtId="3"/>
  </dataFields>
  <formats count="1">
    <format dxfId="1605">
      <pivotArea outline="0" collapsedLevelsAreSubtotals="1" fieldPosition="0">
        <references count="1">
          <reference field="4294967294" count="3" selected="0">
            <x v="1"/>
            <x v="2"/>
            <x v="3"/>
          </reference>
        </references>
      </pivotArea>
    </format>
  </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01000000}" name="Tabla dinámica3" cacheId="0" applyNumberFormats="0" applyBorderFormats="0" applyFontFormats="0" applyPatternFormats="0" applyAlignmentFormats="0" applyWidthHeightFormats="1" dataCaption="Valores" updatedVersion="4" minRefreshableVersion="3" useAutoFormatting="1" itemPrintTitles="1" createdVersion="4" indent="0" outline="1" outlineData="1" multipleFieldFilters="0">
  <location ref="A6:E14" firstHeaderRow="0" firstDataRow="1" firstDataCol="1" rowPageCount="4" colPageCount="1"/>
  <pivotFields count="25">
    <pivotField axis="axisPage" multipleItemSelectionAllowed="1" showAll="0">
      <items count="5">
        <item x="0"/>
        <item h="1" x="2"/>
        <item h="1" x="1"/>
        <item h="1" x="3"/>
        <item t="default"/>
      </items>
    </pivotField>
    <pivotField axis="axisPage" showAll="0">
      <items count="13">
        <item x="3"/>
        <item x="9"/>
        <item x="7"/>
        <item x="11"/>
        <item x="1"/>
        <item x="0"/>
        <item x="6"/>
        <item x="5"/>
        <item x="4"/>
        <item x="2"/>
        <item x="8"/>
        <item x="10"/>
        <item t="default"/>
      </items>
    </pivotField>
    <pivotField dataField="1" numFmtId="164" showAll="0"/>
    <pivotField showAll="0"/>
    <pivotField showAll="0"/>
    <pivotField showAll="0"/>
    <pivotField showAll="0"/>
    <pivotField showAll="0"/>
    <pivotField axis="axisRow" showAll="0">
      <items count="9">
        <item x="5"/>
        <item x="0"/>
        <item x="7"/>
        <item x="3"/>
        <item x="1"/>
        <item x="2"/>
        <item x="6"/>
        <item x="4"/>
        <item t="default"/>
      </items>
    </pivotField>
    <pivotField showAll="0"/>
    <pivotField axis="axisPage" multipleItemSelectionAllowed="1" showAll="0">
      <items count="463">
        <item x="62"/>
        <item x="38"/>
        <item h="1" x="60"/>
        <item h="1" x="80"/>
        <item h="1" x="73"/>
        <item h="1" x="68"/>
        <item h="1" x="81"/>
        <item x="110"/>
        <item x="40"/>
        <item x="11"/>
        <item x="112"/>
        <item x="37"/>
        <item x="92"/>
        <item x="87"/>
        <item x="16"/>
        <item x="25"/>
        <item x="39"/>
        <item x="109"/>
        <item x="26"/>
        <item x="41"/>
        <item x="24"/>
        <item x="91"/>
        <item x="72"/>
        <item x="54"/>
        <item x="53"/>
        <item x="100"/>
        <item x="2"/>
        <item x="67"/>
        <item x="61"/>
        <item x="15"/>
        <item x="94"/>
        <item x="32"/>
        <item x="104"/>
        <item x="93"/>
        <item x="43"/>
        <item x="63"/>
        <item m="1" x="443"/>
        <item x="70"/>
        <item x="12"/>
        <item x="71"/>
        <item x="96"/>
        <item x="105"/>
        <item x="45"/>
        <item x="99"/>
        <item x="52"/>
        <item x="98"/>
        <item x="47"/>
        <item x="85"/>
        <item x="18"/>
        <item x="28"/>
        <item x="8"/>
        <item x="65"/>
        <item x="30"/>
        <item x="78"/>
        <item x="17"/>
        <item x="90"/>
        <item x="35"/>
        <item x="49"/>
        <item x="95"/>
        <item x="117"/>
        <item x="101"/>
        <item x="58"/>
        <item x="108"/>
        <item x="42"/>
        <item x="97"/>
        <item x="57"/>
        <item x="76"/>
        <item x="84"/>
        <item x="48"/>
        <item x="56"/>
        <item x="82"/>
        <item x="21"/>
        <item x="44"/>
        <item x="7"/>
        <item x="83"/>
        <item x="20"/>
        <item x="228"/>
        <item x="46"/>
        <item x="77"/>
        <item x="103"/>
        <item x="59"/>
        <item x="3"/>
        <item x="31"/>
        <item x="10"/>
        <item x="102"/>
        <item x="69"/>
        <item x="79"/>
        <item x="1"/>
        <item x="50"/>
        <item x="88"/>
        <item x="74"/>
        <item x="14"/>
        <item x="33"/>
        <item x="34"/>
        <item x="6"/>
        <item x="198"/>
        <item x="111"/>
        <item x="86"/>
        <item x="29"/>
        <item x="13"/>
        <item x="4"/>
        <item x="5"/>
        <item x="19"/>
        <item x="0"/>
        <item x="64"/>
        <item x="36"/>
        <item x="66"/>
        <item x="75"/>
        <item x="23"/>
        <item x="89"/>
        <item x="55"/>
        <item x="106"/>
        <item x="27"/>
        <item x="22"/>
        <item x="51"/>
        <item x="9"/>
        <item h="1" x="107"/>
        <item h="1" m="1" x="456"/>
        <item h="1" x="115"/>
        <item h="1" x="113"/>
        <item h="1" x="114"/>
        <item h="1" x="116"/>
        <item h="1" x="118"/>
        <item h="1" x="119"/>
        <item h="1" x="120"/>
        <item h="1" x="121"/>
        <item h="1" x="13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67"/>
        <item h="1" x="158"/>
        <item h="1" x="159"/>
        <item h="1" x="160"/>
        <item h="1" x="161"/>
        <item h="1" x="162"/>
        <item h="1" m="1" x="440"/>
        <item h="1" x="164"/>
        <item h="1" x="165"/>
        <item h="1" x="166"/>
        <item h="1" x="168"/>
        <item h="1" x="169"/>
        <item h="1" m="1" x="455"/>
        <item h="1" x="175"/>
        <item h="1" x="176"/>
        <item h="1" x="180"/>
        <item h="1" x="184"/>
        <item h="1" x="186"/>
        <item h="1" x="200"/>
        <item h="1" x="163"/>
        <item h="1" x="170"/>
        <item h="1" x="171"/>
        <item h="1" x="172"/>
        <item h="1" m="1" x="441"/>
        <item h="1" x="177"/>
        <item h="1" x="178"/>
        <item h="1" x="181"/>
        <item h="1" m="1" x="459"/>
        <item h="1" x="185"/>
        <item h="1" x="194"/>
        <item h="1" x="199"/>
        <item h="1" m="1" x="439"/>
        <item h="1" x="173"/>
        <item h="1" x="174"/>
        <item h="1" x="182"/>
        <item h="1" x="189"/>
        <item h="1" x="190"/>
        <item h="1" x="196"/>
        <item h="1" x="202"/>
        <item h="1" x="210"/>
        <item h="1" x="179"/>
        <item h="1" x="187"/>
        <item h="1" x="193"/>
        <item h="1" x="204"/>
        <item h="1" x="183"/>
        <item h="1" x="188"/>
        <item h="1" x="191"/>
        <item h="1" x="192"/>
        <item h="1" x="195"/>
        <item h="1" x="197"/>
        <item h="1" x="213"/>
        <item h="1" x="205"/>
        <item h="1" x="208"/>
        <item h="1" x="209"/>
        <item h="1" m="1" x="457"/>
        <item h="1" x="211"/>
        <item h="1" x="214"/>
        <item h="1" x="201"/>
        <item h="1" x="203"/>
        <item h="1" x="206"/>
        <item h="1" x="207"/>
        <item h="1" x="212"/>
        <item h="1" x="215"/>
        <item h="1" x="216"/>
        <item h="1" x="217"/>
        <item h="1" x="218"/>
        <item h="1" x="219"/>
        <item h="1" x="220"/>
        <item h="1" x="221"/>
        <item h="1" x="222"/>
        <item h="1" x="223"/>
        <item h="1" x="224"/>
        <item h="1" x="231"/>
        <item h="1" x="232"/>
        <item h="1" x="233"/>
        <item h="1" x="234"/>
        <item h="1" x="235"/>
        <item h="1" x="237"/>
        <item h="1" x="238"/>
        <item h="1" x="241"/>
        <item h="1" x="247"/>
        <item h="1" x="248"/>
        <item h="1" x="249"/>
        <item h="1" x="251"/>
        <item h="1" x="254"/>
        <item h="1" x="257"/>
        <item h="1" x="260"/>
        <item h="1" x="266"/>
        <item h="1" x="277"/>
        <item h="1" m="1" x="453"/>
        <item h="1" m="1" x="450"/>
        <item h="1" m="1" x="449"/>
        <item h="1" x="225"/>
        <item h="1" x="226"/>
        <item h="1" x="227"/>
        <item h="1" x="229"/>
        <item h="1" x="230"/>
        <item h="1" x="236"/>
        <item h="1" x="239"/>
        <item h="1" x="240"/>
        <item h="1" x="242"/>
        <item h="1" x="243"/>
        <item h="1" x="244"/>
        <item h="1" x="245"/>
        <item h="1" x="246"/>
        <item h="1" x="250"/>
        <item h="1" x="252"/>
        <item h="1" x="253"/>
        <item h="1" x="255"/>
        <item h="1" x="256"/>
        <item h="1" x="258"/>
        <item h="1" x="259"/>
        <item h="1" x="261"/>
        <item h="1" x="262"/>
        <item h="1" x="263"/>
        <item h="1" x="264"/>
        <item h="1" x="265"/>
        <item h="1" x="267"/>
        <item h="1" x="268"/>
        <item h="1" m="1" x="460"/>
        <item h="1" x="269"/>
        <item h="1" x="270"/>
        <item h="1" x="271"/>
        <item h="1" x="272"/>
        <item h="1" x="273"/>
        <item h="1" x="274"/>
        <item h="1" x="275"/>
        <item h="1" x="278"/>
        <item h="1" x="279"/>
        <item h="1" x="280"/>
        <item h="1" x="281"/>
        <item h="1" x="283"/>
        <item h="1" m="1" x="446"/>
        <item h="1" x="284"/>
        <item h="1" x="289"/>
        <item h="1" x="293"/>
        <item h="1" x="295"/>
        <item h="1" x="296"/>
        <item h="1" x="299"/>
        <item h="1" m="1" x="461"/>
        <item h="1" x="324"/>
        <item h="1" x="276"/>
        <item h="1" x="282"/>
        <item h="1" x="285"/>
        <item h="1" x="286"/>
        <item h="1" x="287"/>
        <item h="1" x="288"/>
        <item h="1" x="290"/>
        <item h="1" x="291"/>
        <item h="1" x="292"/>
        <item h="1" x="294"/>
        <item h="1" x="297"/>
        <item h="1" x="298"/>
        <item h="1" x="300"/>
        <item h="1" x="301"/>
        <item h="1" x="302"/>
        <item h="1" x="303"/>
        <item h="1" x="304"/>
        <item h="1" x="305"/>
        <item h="1" x="306"/>
        <item h="1" x="307"/>
        <item h="1" x="308"/>
        <item h="1" x="309"/>
        <item h="1" x="310"/>
        <item h="1" x="311"/>
        <item h="1" x="312"/>
        <item h="1" x="313"/>
        <item h="1" x="314"/>
        <item h="1" x="315"/>
        <item h="1" x="316"/>
        <item h="1" x="317"/>
        <item h="1" x="318"/>
        <item h="1" x="319"/>
        <item h="1" x="320"/>
        <item h="1" x="321"/>
        <item h="1" x="322"/>
        <item h="1" x="323"/>
        <item h="1" x="325"/>
        <item h="1" x="326"/>
        <item h="1" x="327"/>
        <item h="1" x="328"/>
        <item h="1" x="329"/>
        <item h="1" x="330"/>
        <item h="1" x="331"/>
        <item h="1" x="332"/>
        <item h="1" x="333"/>
        <item h="1" x="334"/>
        <item h="1" x="335"/>
        <item h="1" x="336"/>
        <item h="1" x="337"/>
        <item h="1" x="338"/>
        <item h="1" x="339"/>
        <item h="1" x="340"/>
        <item h="1" x="341"/>
        <item h="1" x="342"/>
        <item h="1" x="343"/>
        <item h="1" x="344"/>
        <item h="1" x="346"/>
        <item h="1" x="347"/>
        <item h="1" m="1" x="452"/>
        <item h="1" x="349"/>
        <item h="1" m="1" x="447"/>
        <item h="1" x="352"/>
        <item h="1" m="1" x="454"/>
        <item h="1" m="1" x="445"/>
        <item h="1" x="355"/>
        <item h="1" m="1" x="458"/>
        <item h="1" x="359"/>
        <item h="1" x="360"/>
        <item h="1" m="1" x="444"/>
        <item h="1" m="1" x="451"/>
        <item h="1" x="363"/>
        <item h="1" x="364"/>
        <item h="1" x="365"/>
        <item h="1" x="367"/>
        <item h="1" x="368"/>
        <item h="1" m="1" x="442"/>
        <item h="1" x="372"/>
        <item h="1" x="373"/>
        <item h="1" x="376"/>
        <item h="1" x="377"/>
        <item h="1" m="1" x="448"/>
        <item h="1" x="381"/>
        <item h="1" x="384"/>
        <item h="1" x="394"/>
        <item h="1" x="345"/>
        <item h="1" x="348"/>
        <item h="1" x="350"/>
        <item h="1" x="351"/>
        <item h="1" x="353"/>
        <item h="1" x="354"/>
        <item h="1" x="356"/>
        <item h="1" x="357"/>
        <item h="1" x="358"/>
        <item h="1" x="361"/>
        <item h="1" x="362"/>
        <item h="1" x="366"/>
        <item h="1" x="369"/>
        <item h="1" x="370"/>
        <item h="1" x="371"/>
        <item h="1" x="374"/>
        <item h="1" x="375"/>
        <item h="1" x="378"/>
        <item h="1" x="379"/>
        <item h="1" x="380"/>
        <item h="1" x="382"/>
        <item h="1" x="383"/>
        <item h="1" x="385"/>
        <item h="1" x="386"/>
        <item h="1" x="387"/>
        <item h="1" x="388"/>
        <item h="1" x="389"/>
        <item h="1" x="390"/>
        <item h="1" x="391"/>
        <item h="1" x="392"/>
        <item h="1" x="393"/>
        <item h="1" x="395"/>
        <item h="1" x="396"/>
        <item h="1" x="397"/>
        <item h="1" x="398"/>
        <item h="1" x="399"/>
        <item h="1" x="400"/>
        <item h="1" x="401"/>
        <item h="1" x="402"/>
        <item h="1" x="403"/>
        <item h="1" x="404"/>
        <item h="1" x="405"/>
        <item h="1" x="406"/>
        <item h="1" x="407"/>
        <item h="1" x="408"/>
        <item h="1" x="409"/>
        <item h="1" x="410"/>
        <item h="1" x="411"/>
        <item h="1" x="412"/>
        <item h="1" x="413"/>
        <item h="1" x="414"/>
        <item h="1" x="415"/>
        <item h="1" x="416"/>
        <item h="1" x="417"/>
        <item h="1" x="418"/>
        <item h="1" x="419"/>
        <item h="1" x="420"/>
        <item h="1" x="421"/>
        <item h="1" x="422"/>
        <item h="1" x="423"/>
        <item h="1" x="424"/>
        <item h="1" x="425"/>
        <item h="1" x="426"/>
        <item h="1" x="427"/>
        <item h="1" x="428"/>
        <item h="1" x="429"/>
        <item h="1" x="430"/>
        <item h="1" x="431"/>
        <item h="1" x="432"/>
        <item h="1" x="433"/>
        <item h="1" x="434"/>
        <item h="1" x="435"/>
        <item h="1" x="436"/>
        <item h="1" x="437"/>
        <item h="1" x="438"/>
        <item t="default"/>
      </items>
    </pivotField>
    <pivotField showAll="0" defaultSubtotal="0"/>
    <pivotField showAll="0"/>
    <pivotField showAll="0" defaultSubtotal="0"/>
    <pivotField showAll="0" defaultSubtotal="0"/>
    <pivotField dataField="1" showAll="0"/>
    <pivotField showAll="0"/>
    <pivotField dataField="1" showAll="0"/>
    <pivotField dataField="1" showAll="0"/>
    <pivotField axis="axisPage" multipleItemSelectionAllowed="1" showAll="0">
      <items count="4">
        <item h="1" x="2"/>
        <item h="1" x="1"/>
        <item x="0"/>
        <item t="default"/>
      </items>
    </pivotField>
    <pivotField showAll="0"/>
    <pivotField showAll="0"/>
    <pivotField showAll="0"/>
    <pivotField showAll="0"/>
    <pivotField showAll="0"/>
  </pivotFields>
  <rowFields count="1">
    <field x="8"/>
  </rowFields>
  <rowItems count="8">
    <i>
      <x/>
    </i>
    <i>
      <x v="1"/>
    </i>
    <i>
      <x v="2"/>
    </i>
    <i>
      <x v="3"/>
    </i>
    <i>
      <x v="4"/>
    </i>
    <i>
      <x v="5"/>
    </i>
    <i>
      <x v="7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4">
    <pageField fld="0" hier="-1"/>
    <pageField fld="1" hier="-1"/>
    <pageField fld="19" hier="-1"/>
    <pageField fld="10" hier="-1"/>
  </pageFields>
  <dataFields count="4">
    <dataField name="Nº RESERVES" fld="2" subtotal="count" baseField="0" baseItem="0"/>
    <dataField name="IMPORT RESERVA" fld="15" baseField="0" baseItem="0" numFmtId="3"/>
    <dataField name="IMPORT HORES EXTRES" fld="17" baseField="0" baseItem="0" numFmtId="3"/>
    <dataField name="IMPORT TOTAL" fld="18" baseField="0" baseItem="0" numFmtId="3"/>
  </dataFields>
  <formats count="1">
    <format dxfId="1584">
      <pivotArea outline="0" collapsedLevelsAreSubtotals="1" fieldPosition="0">
        <references count="1">
          <reference field="4294967294" count="3" selected="0">
            <x v="1"/>
            <x v="2"/>
            <x v="3"/>
          </reference>
        </references>
      </pivotArea>
    </format>
  </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04000000}" name="Tabla dinámica7" cacheId="1" applyNumberFormats="0" applyBorderFormats="0" applyFontFormats="0" applyPatternFormats="0" applyAlignmentFormats="0" applyWidthHeightFormats="1" dataCaption="Valores" updatedVersion="7" minRefreshableVersion="3" useAutoFormatting="1" itemPrintTitles="1" createdVersion="4" indent="0" outline="1" outlineData="1" multipleFieldFilters="0" rowHeaderCaption="TIPO DESPESA">
  <location ref="F19:G24" firstHeaderRow="1" firstDataRow="1" firstDataCol="1" rowPageCount="2" colPageCount="1"/>
  <pivotFields count="10">
    <pivotField axis="axisPage" multipleItemSelectionAllowed="1" showAll="0">
      <items count="6">
        <item x="0"/>
        <item h="1" x="1"/>
        <item h="1" x="2"/>
        <item h="1" x="3"/>
        <item h="1" x="4"/>
        <item t="default"/>
      </items>
    </pivotField>
    <pivotField axis="axisPage" showAll="0">
      <items count="13">
        <item x="3"/>
        <item x="7"/>
        <item x="1"/>
        <item x="0"/>
        <item x="6"/>
        <item x="5"/>
        <item x="4"/>
        <item x="2"/>
        <item x="8"/>
        <item x="9"/>
        <item x="10"/>
        <item x="11"/>
        <item t="default"/>
      </items>
    </pivotField>
    <pivotField numFmtId="164" showAll="0"/>
    <pivotField showAll="0"/>
    <pivotField axis="axisRow" showAll="0" defaultSubtotal="0">
      <items count="4">
        <item x="0"/>
        <item x="1"/>
        <item x="3"/>
        <item x="2"/>
      </items>
    </pivotField>
    <pivotField showAll="0"/>
    <pivotField dataField="1" showAll="0"/>
    <pivotField showAll="0"/>
    <pivotField showAll="0"/>
    <pivotField showAll="0" defaultSubtota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2">
    <pageField fld="0" hier="-1"/>
    <pageField fld="1" hier="-1"/>
  </pageFields>
  <dataFields count="1">
    <dataField name="DESPESES" fld="6" baseField="0" baseItem="0" numFmtId="4"/>
  </dataFields>
  <formats count="3">
    <format dxfId="1587">
      <pivotArea outline="0" collapsedLevelsAreSubtotals="1" fieldPosition="0"/>
    </format>
    <format dxfId="1586">
      <pivotArea field="4" type="button" dataOnly="0" labelOnly="1" outline="0" axis="axisRow" fieldPosition="0"/>
    </format>
    <format dxfId="1585">
      <pivotArea dataOnly="0" labelOnly="1" outline="0" axis="axisValues" fieldPosition="0"/>
    </format>
  </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02000000}" name="Tabla dinámica4" cacheId="1" applyNumberFormats="0" applyBorderFormats="0" applyFontFormats="0" applyPatternFormats="0" applyAlignmentFormats="0" applyWidthHeightFormats="1" dataCaption="Valores" updatedVersion="7" minRefreshableVersion="3" useAutoFormatting="1" itemPrintTitles="1" createdVersion="4" indent="0" outline="1" outlineData="1" multipleFieldFilters="0" rowHeaderCaption="CATEGORIA">
  <location ref="A19:B31" firstHeaderRow="1" firstDataRow="1" firstDataCol="1" rowPageCount="2" colPageCount="1"/>
  <pivotFields count="10">
    <pivotField axis="axisPage" multipleItemSelectionAllowed="1" showAll="0">
      <items count="6">
        <item x="0"/>
        <item h="1" x="1"/>
        <item h="1" x="2"/>
        <item h="1" x="3"/>
        <item h="1" x="4"/>
        <item t="default"/>
      </items>
    </pivotField>
    <pivotField axis="axisPage" showAll="0">
      <items count="13">
        <item x="3"/>
        <item x="7"/>
        <item x="1"/>
        <item x="0"/>
        <item x="6"/>
        <item x="5"/>
        <item x="4"/>
        <item x="2"/>
        <item x="8"/>
        <item x="9"/>
        <item x="10"/>
        <item x="11"/>
        <item t="default"/>
      </items>
    </pivotField>
    <pivotField numFmtId="164" showAll="0"/>
    <pivotField axis="axisRow" showAll="0">
      <items count="15">
        <item x="12"/>
        <item x="1"/>
        <item x="6"/>
        <item x="2"/>
        <item x="8"/>
        <item x="10"/>
        <item h="1" x="11"/>
        <item h="1" x="5"/>
        <item x="4"/>
        <item x="9"/>
        <item x="3"/>
        <item x="0"/>
        <item x="7"/>
        <item h="1" x="13"/>
        <item t="default"/>
      </items>
    </pivotField>
    <pivotField showAll="0" defaultSubtotal="0"/>
    <pivotField showAll="0"/>
    <pivotField dataField="1" showAll="0"/>
    <pivotField showAll="0"/>
    <pivotField showAll="0"/>
    <pivotField showAll="0" defaultSubtotal="0"/>
  </pivotFields>
  <rowFields count="1">
    <field x="3"/>
  </rowFields>
  <rowItems count="12">
    <i>
      <x/>
    </i>
    <i>
      <x v="1"/>
    </i>
    <i>
      <x v="2"/>
    </i>
    <i>
      <x v="3"/>
    </i>
    <i>
      <x v="4"/>
    </i>
    <i>
      <x v="5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pageFields count="2">
    <pageField fld="0" hier="-1"/>
    <pageField fld="1" hier="-1"/>
  </pageFields>
  <dataFields count="1">
    <dataField name="DESPESES" fld="6" baseField="0" baseItem="0" numFmtId="4"/>
  </dataFields>
  <formats count="3">
    <format dxfId="1590">
      <pivotArea outline="0" collapsedLevelsAreSubtotals="1" fieldPosition="0"/>
    </format>
    <format dxfId="1589">
      <pivotArea field="3" type="button" dataOnly="0" labelOnly="1" outline="0" axis="axisRow" fieldPosition="0"/>
    </format>
    <format dxfId="1588">
      <pivotArea dataOnly="0" labelOnly="1" outline="0" axis="axisValues" fieldPosition="0"/>
    </format>
  </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03000000}" name="Tabla dinámica6" cacheId="0" applyNumberFormats="0" applyBorderFormats="0" applyFontFormats="0" applyPatternFormats="0" applyAlignmentFormats="0" applyWidthHeightFormats="1" dataCaption="Valores" updatedVersion="4" minRefreshableVersion="3" useAutoFormatting="1" itemPrintTitles="1" createdVersion="4" indent="0" outline="1" outlineData="1" multipleFieldFilters="0" rowHeaderCaption="AJUDES COVID">
  <location ref="L20:M29" firstHeaderRow="1" firstDataRow="1" firstDataCol="1" rowPageCount="1" colPageCount="1"/>
  <pivotFields count="25">
    <pivotField axis="axisPage" multipleItemSelectionAllowed="1" showAll="0">
      <items count="5">
        <item x="0"/>
        <item h="1" x="2"/>
        <item h="1" x="1"/>
        <item h="1" x="3"/>
        <item t="default"/>
      </items>
    </pivotField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63">
        <item h="1" x="62"/>
        <item h="1" x="38"/>
        <item x="60"/>
        <item x="80"/>
        <item x="73"/>
        <item x="68"/>
        <item x="81"/>
        <item h="1" x="110"/>
        <item h="1" x="40"/>
        <item h="1" x="11"/>
        <item h="1" x="112"/>
        <item h="1" x="37"/>
        <item h="1" x="92"/>
        <item h="1" x="87"/>
        <item h="1" x="16"/>
        <item h="1" x="25"/>
        <item h="1" x="39"/>
        <item h="1" x="109"/>
        <item h="1" x="26"/>
        <item h="1" x="41"/>
        <item h="1" x="24"/>
        <item h="1" x="91"/>
        <item h="1" x="72"/>
        <item h="1" x="54"/>
        <item h="1" x="53"/>
        <item h="1" x="100"/>
        <item h="1" x="2"/>
        <item h="1" x="67"/>
        <item h="1" x="61"/>
        <item h="1" x="15"/>
        <item h="1" x="94"/>
        <item h="1" x="32"/>
        <item h="1" x="104"/>
        <item h="1" x="93"/>
        <item h="1" x="43"/>
        <item h="1" x="63"/>
        <item h="1" m="1" x="443"/>
        <item h="1" x="70"/>
        <item h="1" x="12"/>
        <item h="1" x="71"/>
        <item h="1" x="96"/>
        <item h="1" x="105"/>
        <item h="1" x="45"/>
        <item h="1" x="99"/>
        <item h="1" x="52"/>
        <item h="1" x="98"/>
        <item h="1" x="47"/>
        <item h="1" x="85"/>
        <item h="1" x="18"/>
        <item h="1" x="28"/>
        <item h="1" x="8"/>
        <item h="1" x="65"/>
        <item h="1" x="30"/>
        <item h="1" x="78"/>
        <item h="1" x="17"/>
        <item h="1" x="90"/>
        <item h="1" x="35"/>
        <item h="1" x="49"/>
        <item h="1" x="95"/>
        <item h="1" x="117"/>
        <item h="1" x="101"/>
        <item h="1" x="58"/>
        <item h="1" x="108"/>
        <item h="1" x="42"/>
        <item h="1" x="97"/>
        <item h="1" x="57"/>
        <item h="1" x="76"/>
        <item h="1" x="84"/>
        <item h="1" x="48"/>
        <item h="1" x="56"/>
        <item h="1" x="82"/>
        <item h="1" x="21"/>
        <item h="1" x="44"/>
        <item h="1" x="7"/>
        <item h="1" x="83"/>
        <item h="1" x="20"/>
        <item h="1" x="228"/>
        <item h="1" x="46"/>
        <item h="1" x="77"/>
        <item h="1" x="103"/>
        <item h="1" x="59"/>
        <item h="1" x="3"/>
        <item h="1" x="31"/>
        <item h="1" x="10"/>
        <item h="1" x="102"/>
        <item h="1" x="69"/>
        <item h="1" x="79"/>
        <item h="1" x="1"/>
        <item h="1" x="50"/>
        <item h="1" x="88"/>
        <item h="1" x="74"/>
        <item h="1" x="14"/>
        <item h="1" x="33"/>
        <item h="1" x="34"/>
        <item h="1" x="6"/>
        <item h="1" x="198"/>
        <item h="1" x="111"/>
        <item h="1" x="86"/>
        <item h="1" x="29"/>
        <item h="1" x="13"/>
        <item h="1" x="4"/>
        <item h="1" x="5"/>
        <item h="1" x="19"/>
        <item h="1" x="0"/>
        <item h="1" x="64"/>
        <item h="1" x="36"/>
        <item h="1" x="66"/>
        <item h="1" x="75"/>
        <item h="1" x="23"/>
        <item h="1" x="89"/>
        <item h="1" x="55"/>
        <item h="1" x="106"/>
        <item h="1" x="27"/>
        <item h="1" x="22"/>
        <item h="1" x="51"/>
        <item h="1" x="9"/>
        <item h="1" x="107"/>
        <item h="1" m="1" x="456"/>
        <item h="1" x="115"/>
        <item h="1" x="113"/>
        <item h="1" x="114"/>
        <item h="1" x="116"/>
        <item x="118"/>
        <item h="1" x="119"/>
        <item h="1" x="120"/>
        <item h="1" x="121"/>
        <item h="1" x="131"/>
        <item x="122"/>
        <item x="123"/>
        <item h="1" x="124"/>
        <item h="1" x="125"/>
        <item h="1" x="126"/>
        <item h="1" x="127"/>
        <item h="1" x="128"/>
        <item h="1" x="129"/>
        <item h="1" x="130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67"/>
        <item h="1" x="158"/>
        <item h="1" x="159"/>
        <item h="1" x="160"/>
        <item h="1" x="161"/>
        <item h="1" x="162"/>
        <item h="1" m="1" x="440"/>
        <item h="1" x="164"/>
        <item h="1" x="165"/>
        <item h="1" x="166"/>
        <item h="1" x="168"/>
        <item h="1" x="169"/>
        <item h="1" m="1" x="455"/>
        <item h="1" x="175"/>
        <item h="1" x="176"/>
        <item h="1" x="180"/>
        <item h="1" x="184"/>
        <item h="1" x="186"/>
        <item h="1" x="200"/>
        <item h="1" x="163"/>
        <item h="1" x="170"/>
        <item h="1" x="171"/>
        <item h="1" x="172"/>
        <item h="1" m="1" x="441"/>
        <item h="1" x="177"/>
        <item h="1" x="178"/>
        <item h="1" x="181"/>
        <item h="1" m="1" x="459"/>
        <item h="1" x="185"/>
        <item h="1" x="194"/>
        <item h="1" x="199"/>
        <item h="1" m="1" x="439"/>
        <item h="1" x="173"/>
        <item h="1" x="174"/>
        <item h="1" x="182"/>
        <item h="1" x="189"/>
        <item h="1" x="190"/>
        <item h="1" x="196"/>
        <item h="1" x="202"/>
        <item h="1" x="210"/>
        <item h="1" x="179"/>
        <item h="1" x="187"/>
        <item h="1" x="193"/>
        <item h="1" x="204"/>
        <item h="1" x="183"/>
        <item h="1" x="188"/>
        <item h="1" x="191"/>
        <item h="1" x="192"/>
        <item h="1" x="195"/>
        <item h="1" x="197"/>
        <item h="1" x="213"/>
        <item h="1" x="205"/>
        <item h="1" x="208"/>
        <item h="1" x="209"/>
        <item h="1" m="1" x="457"/>
        <item h="1" x="211"/>
        <item h="1" x="214"/>
        <item h="1" x="201"/>
        <item h="1" x="203"/>
        <item h="1" x="206"/>
        <item h="1" x="207"/>
        <item h="1" x="212"/>
        <item h="1" x="215"/>
        <item h="1" x="216"/>
        <item h="1" x="217"/>
        <item h="1" x="218"/>
        <item h="1" x="219"/>
        <item h="1" x="220"/>
        <item h="1" x="221"/>
        <item h="1" x="222"/>
        <item h="1" x="223"/>
        <item h="1" x="224"/>
        <item h="1" x="231"/>
        <item h="1" x="232"/>
        <item h="1" x="233"/>
        <item h="1" x="234"/>
        <item h="1" x="235"/>
        <item h="1" x="237"/>
        <item h="1" x="238"/>
        <item h="1" x="241"/>
        <item h="1" x="247"/>
        <item h="1" x="248"/>
        <item h="1" x="249"/>
        <item h="1" x="251"/>
        <item h="1" x="254"/>
        <item h="1" x="257"/>
        <item h="1" x="260"/>
        <item h="1" x="266"/>
        <item h="1" x="277"/>
        <item h="1" m="1" x="453"/>
        <item h="1" m="1" x="450"/>
        <item h="1" m="1" x="449"/>
        <item h="1" x="225"/>
        <item h="1" x="226"/>
        <item h="1" x="227"/>
        <item h="1" x="229"/>
        <item h="1" x="230"/>
        <item h="1" x="236"/>
        <item h="1" x="239"/>
        <item h="1" x="240"/>
        <item h="1" x="242"/>
        <item h="1" x="243"/>
        <item h="1" x="244"/>
        <item h="1" x="245"/>
        <item h="1" x="246"/>
        <item h="1" x="250"/>
        <item h="1" x="252"/>
        <item h="1" x="253"/>
        <item h="1" x="255"/>
        <item h="1" x="256"/>
        <item h="1" x="258"/>
        <item h="1" x="259"/>
        <item h="1" x="261"/>
        <item h="1" x="262"/>
        <item h="1" x="263"/>
        <item h="1" x="264"/>
        <item h="1" x="265"/>
        <item h="1" x="267"/>
        <item h="1" x="268"/>
        <item h="1" m="1" x="460"/>
        <item h="1" x="269"/>
        <item h="1" x="270"/>
        <item h="1" x="271"/>
        <item h="1" x="272"/>
        <item h="1" x="273"/>
        <item h="1" x="274"/>
        <item h="1" x="275"/>
        <item h="1" x="278"/>
        <item h="1" x="279"/>
        <item h="1" x="280"/>
        <item h="1" x="281"/>
        <item h="1" x="283"/>
        <item h="1" m="1" x="446"/>
        <item h="1" x="284"/>
        <item h="1" x="289"/>
        <item h="1" x="293"/>
        <item h="1" x="295"/>
        <item h="1" x="296"/>
        <item h="1" x="299"/>
        <item h="1" m="1" x="461"/>
        <item h="1" x="324"/>
        <item h="1" x="276"/>
        <item h="1" x="282"/>
        <item h="1" x="285"/>
        <item h="1" x="286"/>
        <item h="1" x="287"/>
        <item h="1" x="288"/>
        <item h="1" x="290"/>
        <item h="1" x="291"/>
        <item h="1" x="292"/>
        <item h="1" x="294"/>
        <item h="1" x="297"/>
        <item h="1" x="298"/>
        <item h="1" x="300"/>
        <item h="1" x="301"/>
        <item h="1" x="302"/>
        <item h="1" x="303"/>
        <item h="1" x="304"/>
        <item h="1" x="305"/>
        <item h="1" x="306"/>
        <item h="1" x="307"/>
        <item h="1" x="308"/>
        <item h="1" x="309"/>
        <item h="1" x="310"/>
        <item h="1" x="311"/>
        <item h="1" x="312"/>
        <item h="1" x="313"/>
        <item h="1" x="314"/>
        <item h="1" x="315"/>
        <item h="1" x="316"/>
        <item h="1" x="317"/>
        <item h="1" x="318"/>
        <item h="1" x="319"/>
        <item h="1" x="320"/>
        <item h="1" x="321"/>
        <item h="1" x="322"/>
        <item h="1" x="323"/>
        <item h="1" x="325"/>
        <item h="1" x="326"/>
        <item h="1" x="327"/>
        <item h="1" x="328"/>
        <item h="1" x="329"/>
        <item h="1" x="330"/>
        <item h="1" x="331"/>
        <item h="1" x="332"/>
        <item h="1" x="333"/>
        <item h="1" x="334"/>
        <item h="1" x="335"/>
        <item h="1" x="336"/>
        <item h="1" x="337"/>
        <item h="1" x="338"/>
        <item h="1" x="339"/>
        <item h="1" x="340"/>
        <item h="1" x="341"/>
        <item h="1" x="342"/>
        <item h="1" x="343"/>
        <item h="1" x="344"/>
        <item h="1" x="346"/>
        <item h="1" x="347"/>
        <item h="1" m="1" x="452"/>
        <item h="1" x="349"/>
        <item h="1" m="1" x="447"/>
        <item h="1" x="352"/>
        <item h="1" m="1" x="454"/>
        <item h="1" m="1" x="445"/>
        <item h="1" x="355"/>
        <item h="1" m="1" x="458"/>
        <item h="1" x="359"/>
        <item h="1" x="360"/>
        <item h="1" m="1" x="444"/>
        <item h="1" m="1" x="451"/>
        <item h="1" x="363"/>
        <item h="1" x="364"/>
        <item h="1" x="365"/>
        <item h="1" x="367"/>
        <item h="1" x="368"/>
        <item h="1" m="1" x="442"/>
        <item h="1" x="372"/>
        <item h="1" x="373"/>
        <item h="1" x="376"/>
        <item h="1" x="377"/>
        <item h="1" m="1" x="448"/>
        <item h="1" x="381"/>
        <item h="1" x="384"/>
        <item h="1" x="394"/>
        <item h="1" x="345"/>
        <item h="1" x="348"/>
        <item h="1" x="350"/>
        <item h="1" x="351"/>
        <item h="1" x="353"/>
        <item h="1" x="354"/>
        <item h="1" x="356"/>
        <item h="1" x="357"/>
        <item h="1" x="358"/>
        <item h="1" x="361"/>
        <item h="1" x="362"/>
        <item h="1" x="366"/>
        <item h="1" x="369"/>
        <item h="1" x="370"/>
        <item h="1" x="371"/>
        <item h="1" x="374"/>
        <item h="1" x="375"/>
        <item h="1" x="378"/>
        <item h="1" x="379"/>
        <item h="1" x="380"/>
        <item h="1" x="382"/>
        <item h="1" x="383"/>
        <item h="1" x="385"/>
        <item h="1" x="386"/>
        <item h="1" x="387"/>
        <item h="1" x="388"/>
        <item h="1" x="389"/>
        <item h="1" x="390"/>
        <item h="1" x="391"/>
        <item h="1" x="392"/>
        <item h="1" x="393"/>
        <item h="1" x="395"/>
        <item h="1" x="396"/>
        <item h="1" x="397"/>
        <item h="1" x="398"/>
        <item h="1" x="399"/>
        <item h="1" x="400"/>
        <item h="1" x="401"/>
        <item h="1" x="402"/>
        <item h="1" x="403"/>
        <item h="1" x="404"/>
        <item h="1" x="405"/>
        <item h="1" x="406"/>
        <item h="1" x="407"/>
        <item h="1" x="408"/>
        <item h="1" x="409"/>
        <item h="1" x="410"/>
        <item h="1" x="411"/>
        <item h="1" x="412"/>
        <item h="1" x="413"/>
        <item h="1" x="414"/>
        <item h="1" x="415"/>
        <item h="1" x="416"/>
        <item h="1" x="417"/>
        <item h="1" x="418"/>
        <item h="1" x="419"/>
        <item h="1" x="420"/>
        <item h="1" x="421"/>
        <item h="1" x="422"/>
        <item h="1" x="423"/>
        <item h="1" x="424"/>
        <item h="1" x="425"/>
        <item h="1" x="426"/>
        <item h="1" x="427"/>
        <item h="1" x="428"/>
        <item h="1" x="429"/>
        <item h="1" x="430"/>
        <item h="1" x="431"/>
        <item h="1" x="432"/>
        <item h="1" x="433"/>
        <item h="1" x="434"/>
        <item h="1" x="435"/>
        <item h="1" x="436"/>
        <item h="1" x="437"/>
        <item h="1" x="438"/>
        <item t="default"/>
      </items>
    </pivotField>
    <pivotField showAll="0" defaultSubtotal="0"/>
    <pivotField showAll="0"/>
    <pivotField showAll="0" defaultSubtotal="0"/>
    <pivotField showAll="0" defaultSubtota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9">
    <i>
      <x v="2"/>
    </i>
    <i>
      <x v="3"/>
    </i>
    <i>
      <x v="4"/>
    </i>
    <i>
      <x v="5"/>
    </i>
    <i>
      <x v="6"/>
    </i>
    <i>
      <x v="122"/>
    </i>
    <i>
      <x v="127"/>
    </i>
    <i>
      <x v="128"/>
    </i>
    <i t="grand">
      <x/>
    </i>
  </rowItems>
  <colItems count="1">
    <i/>
  </colItems>
  <pageFields count="1">
    <pageField fld="0" hier="-1"/>
  </pageFields>
  <dataFields count="1">
    <dataField name="AJUDES ESTATALS" fld="18" baseField="0" baseItem="0" numFmtId="3"/>
  </dataFields>
  <formats count="1">
    <format dxfId="1591">
      <pivotArea outline="0" collapsedLevelsAreSubtotals="1" fieldPosition="0"/>
    </format>
  </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00000000}" name="Tabla dinámica1" cacheId="0" applyNumberFormats="0" applyBorderFormats="0" applyFontFormats="0" applyPatternFormats="0" applyAlignmentFormats="0" applyWidthHeightFormats="1" dataCaption="Valores" updatedVersion="4" minRefreshableVersion="3" useAutoFormatting="1" itemPrintTitles="1" createdVersion="4" indent="0" outline="1" outlineData="1" multipleFieldFilters="0" rowHeaderCaption="ANULACIONS COVID">
  <location ref="L4:M14" firstHeaderRow="1" firstDataRow="1" firstDataCol="1" rowPageCount="2" colPageCount="1"/>
  <pivotFields count="25">
    <pivotField axis="axisPage" multipleItemSelectionAllowed="1" showAll="0">
      <items count="5">
        <item x="0"/>
        <item h="1" x="2"/>
        <item h="1" x="1"/>
        <item h="1" x="3"/>
        <item t="default"/>
      </items>
    </pivotField>
    <pivotField axis="axisRow" showAll="0">
      <items count="13">
        <item x="2"/>
        <item x="3"/>
        <item x="9"/>
        <item x="4"/>
        <item x="5"/>
        <item x="6"/>
        <item x="7"/>
        <item x="11"/>
        <item x="1"/>
        <item x="0"/>
        <item x="8"/>
        <item x="10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 defaultSubtotal="0"/>
    <pivotField showAll="0" defaultSubtota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Page" multipleItemSelectionAllowed="1" showAll="0">
      <items count="46">
        <item h="1" x="0"/>
        <item x="2"/>
        <item x="3"/>
        <item h="1" x="6"/>
        <item h="1" x="5"/>
        <item h="1" x="4"/>
        <item h="1" x="1"/>
        <item h="1" x="7"/>
        <item h="1" x="8"/>
        <item h="1" x="9"/>
        <item h="1" x="10"/>
        <item h="1" x="11"/>
        <item h="1" x="12"/>
        <item h="1" x="13"/>
        <item h="1" x="15"/>
        <item h="1" x="35"/>
        <item h="1" x="18"/>
        <item h="1" m="1" x="44"/>
        <item h="1" x="38"/>
        <item h="1" x="14"/>
        <item h="1" x="16"/>
        <item h="1" x="17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m="1" x="43"/>
        <item h="1" x="33"/>
        <item h="1" x="37"/>
        <item h="1" x="30"/>
        <item h="1" x="31"/>
        <item h="1" x="32"/>
        <item h="1" x="34"/>
        <item h="1" x="36"/>
        <item h="1" x="39"/>
        <item h="1" x="40"/>
        <item h="1" x="41"/>
        <item h="1" x="42"/>
        <item t="default"/>
      </items>
    </pivotField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10"/>
    </i>
    <i>
      <x v="11"/>
    </i>
    <i t="grand">
      <x/>
    </i>
  </rowItems>
  <colItems count="1">
    <i/>
  </colItems>
  <pageFields count="2">
    <pageField fld="0" hier="-1"/>
    <pageField fld="24" hier="-1"/>
  </pageFields>
  <dataFields count="1">
    <dataField name="CANCELACIONS" fld="18" baseField="0" baseItem="0" numFmtId="3"/>
  </dataFields>
  <formats count="1">
    <format dxfId="1592">
      <pivotArea outline="0" collapsedLevelsAreSubtotals="1" fieldPosition="0"/>
    </format>
  </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AA1178" totalsRowShown="0" headerRowDxfId="1650">
  <autoFilter ref="A1:AA1178" xr:uid="{00000000-0009-0000-0100-000001000000}"/>
  <tableColumns count="27">
    <tableColumn id="1" xr3:uid="{00000000-0010-0000-0000-000001000000}" name="ANY"/>
    <tableColumn id="2" xr3:uid="{00000000-0010-0000-0000-000002000000}" name="MES"/>
    <tableColumn id="3" xr3:uid="{00000000-0010-0000-0000-000003000000}" name="DATA" dataDxfId="1649"/>
    <tableColumn id="4" xr3:uid="{00000000-0010-0000-0000-000004000000}" name="DIA" dataDxfId="1648"/>
    <tableColumn id="5" xr3:uid="{00000000-0010-0000-0000-000005000000}" name="FESTIU" dataDxfId="1647"/>
    <tableColumn id="14" xr3:uid="{00000000-0010-0000-0000-00000E000000}" name="ESPECIAL" dataDxfId="1646"/>
    <tableColumn id="6" xr3:uid="{00000000-0010-0000-0000-000006000000}" name="HORA ENTRADA" dataDxfId="1645"/>
    <tableColumn id="7" xr3:uid="{00000000-0010-0000-0000-000007000000}" name="HORA SORTIDA" dataDxfId="1644"/>
    <tableColumn id="8" xr3:uid="{00000000-0010-0000-0000-000008000000}" name="HORARI"/>
    <tableColumn id="9" xr3:uid="{00000000-0010-0000-0000-000009000000}" name="TORNS"/>
    <tableColumn id="10" xr3:uid="{00000000-0010-0000-0000-00000A000000}" name="NOM CLIENT"/>
    <tableColumn id="11" xr3:uid="{00000000-0010-0000-0000-00000B000000}" name="CODI POSTAL" dataDxfId="1643"/>
    <tableColumn id="12" xr3:uid="{00000000-0010-0000-0000-00000C000000}" name="MUNICIPI"/>
    <tableColumn id="27" xr3:uid="{00000000-0010-0000-0000-00001B000000}" name="DIRECCIÓ"/>
    <tableColumn id="23" xr3:uid="{00000000-0010-0000-0000-000017000000}" name="DNI"/>
    <tableColumn id="13" xr3:uid="{00000000-0010-0000-0000-00000D000000}" name="TARIFA"/>
    <tableColumn id="15" xr3:uid="{00000000-0010-0000-0000-00000F000000}" name="HORAS EXTRAS"/>
    <tableColumn id="16" xr3:uid="{00000000-0010-0000-0000-000010000000}" name="IMPORTE EXTRAS"/>
    <tableColumn id="17" xr3:uid="{00000000-0010-0000-0000-000011000000}" name="IMPORTE TOTAL" dataDxfId="1642">
      <calculatedColumnFormula>Tabla1[[#This Row],[TARIFA]]+Tabla1[[#This Row],[IMPORTE EXTRAS]]</calculatedColumnFormula>
    </tableColumn>
    <tableColumn id="18" xr3:uid="{00000000-0010-0000-0000-000012000000}" name="COBRAT"/>
    <tableColumn id="19" xr3:uid="{00000000-0010-0000-0000-000013000000}" name="RES-A"/>
    <tableColumn id="20" xr3:uid="{00000000-0010-0000-0000-000014000000}" name="RES-B"/>
    <tableColumn id="21" xr3:uid="{00000000-0010-0000-0000-000015000000}" name="EXTR-A"/>
    <tableColumn id="22" xr3:uid="{00000000-0010-0000-0000-000016000000}" name="EXTR-B"/>
    <tableColumn id="24" xr3:uid="{00000000-0010-0000-0000-000018000000}" name="OBSERVACIONS"/>
    <tableColumn id="25" xr3:uid="{00000000-0010-0000-0000-000019000000}" name="Columna1" dataDxfId="1641">
      <calculatedColumnFormula>SUM(Tabla1[[#This Row],[RES-A]:[EXTR-B]])</calculatedColumnFormula>
    </tableColumn>
    <tableColumn id="26" xr3:uid="{00000000-0010-0000-0000-00001A000000}" name="Columna2" dataDxfId="1640">
      <calculatedColumnFormula>Tabla1[[#This Row],[Columna1]]-Tabla1[[#This Row],[IMPORTE TOTAL]]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2" displayName="Tabla2" ref="A1:J476" totalsRowShown="0">
  <autoFilter ref="A1:J476" xr:uid="{00000000-0009-0000-0100-000002000000}"/>
  <tableColumns count="10">
    <tableColumn id="1" xr3:uid="{00000000-0010-0000-0100-000001000000}" name="ANY"/>
    <tableColumn id="2" xr3:uid="{00000000-0010-0000-0100-000002000000}" name="MES"/>
    <tableColumn id="3" xr3:uid="{00000000-0010-0000-0100-000003000000}" name="DATA" dataDxfId="1639"/>
    <tableColumn id="8" xr3:uid="{00000000-0010-0000-0100-000008000000}" name="TIPUS" dataDxfId="1638"/>
    <tableColumn id="9" xr3:uid="{00000000-0010-0000-0100-000009000000}" name="TIPO DESPESA" dataDxfId="1637">
      <calculatedColumnFormula>VLOOKUP(Tabla2[[#This Row],[TIPUS]],Tarifas!$H$12:$I$26,2,0)</calculatedColumnFormula>
    </tableColumn>
    <tableColumn id="4" xr3:uid="{00000000-0010-0000-0100-000004000000}" name="CONCEPTE"/>
    <tableColumn id="5" xr3:uid="{00000000-0010-0000-0100-000005000000}" name="IMPORT"/>
    <tableColumn id="6" xr3:uid="{00000000-0010-0000-0100-000006000000}" name="A"/>
    <tableColumn id="7" xr3:uid="{00000000-0010-0000-0100-000007000000}" name="B"/>
    <tableColumn id="10" xr3:uid="{00000000-0010-0000-0100-00000A000000}" name="FACTURA TRIMESTR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a14" displayName="Tabla14" ref="A1:M241" totalsRowShown="0" headerRowDxfId="1612">
  <autoFilter ref="A1:M241" xr:uid="{00000000-0009-0000-0100-000003000000}"/>
  <tableColumns count="13">
    <tableColumn id="1" xr3:uid="{00000000-0010-0000-0200-000001000000}" name="ANY"/>
    <tableColumn id="2" xr3:uid="{00000000-0010-0000-0200-000002000000}" name="MES"/>
    <tableColumn id="3" xr3:uid="{00000000-0010-0000-0200-000003000000}" name="DATA" dataDxfId="1611"/>
    <tableColumn id="4" xr3:uid="{00000000-0010-0000-0200-000004000000}" name="DIA" dataDxfId="1610"/>
    <tableColumn id="6" xr3:uid="{00000000-0010-0000-0200-000006000000}" name="HORA ENTRADA" dataDxfId="1609"/>
    <tableColumn id="7" xr3:uid="{00000000-0010-0000-0200-000007000000}" name="HORA SORTIDA" dataDxfId="1608"/>
    <tableColumn id="8" xr3:uid="{00000000-0010-0000-0200-000008000000}" name="HORARI"/>
    <tableColumn id="9" xr3:uid="{00000000-0010-0000-0200-000009000000}" name="TORNS"/>
    <tableColumn id="13" xr3:uid="{00000000-0010-0000-0200-00000D000000}" name="TARIFA"/>
    <tableColumn id="5" xr3:uid="{00000000-0010-0000-0200-000005000000}" name="NOVA TARIFA" dataDxfId="1607">
      <calculatedColumnFormula>VLOOKUP(Tabla14[[#This Row],[TARIFA]],$P$2:$Q$5,2,0)</calculatedColumnFormula>
    </tableColumn>
    <tableColumn id="15" xr3:uid="{00000000-0010-0000-0200-00000F000000}" name="HORAS EXTRAS"/>
    <tableColumn id="16" xr3:uid="{00000000-0010-0000-0200-000010000000}" name="IMPORTE EXTRAS"/>
    <tableColumn id="17" xr3:uid="{00000000-0010-0000-0200-000011000000}" name="IMPORTE TOTAL" dataDxfId="1606">
      <calculatedColumnFormula>Tabla14[[#This Row],[TARIFA]]+Tabla14[[#This Row],[IMPORTE EXTRAS]]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2.xml"/><Relationship Id="rId4" Type="http://schemas.openxmlformats.org/officeDocument/2006/relationships/pivotTable" Target="../pivotTables/pivotTable4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5" Type="http://schemas.openxmlformats.org/officeDocument/2006/relationships/drawing" Target="../drawings/drawing3.xml"/><Relationship Id="rId4" Type="http://schemas.openxmlformats.org/officeDocument/2006/relationships/pivotTable" Target="../pivotTables/pivot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1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Relationship Id="rId6" Type="http://schemas.openxmlformats.org/officeDocument/2006/relationships/drawing" Target="../drawings/drawing4.xml"/><Relationship Id="rId5" Type="http://schemas.openxmlformats.org/officeDocument/2006/relationships/pivotTable" Target="../pivotTables/pivotTable13.xml"/><Relationship Id="rId4" Type="http://schemas.openxmlformats.org/officeDocument/2006/relationships/pivotTable" Target="../pivotTables/pivotTable1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6.xml"/><Relationship Id="rId2" Type="http://schemas.openxmlformats.org/officeDocument/2006/relationships/pivotTable" Target="../pivotTables/pivotTable15.xml"/><Relationship Id="rId1" Type="http://schemas.openxmlformats.org/officeDocument/2006/relationships/pivotTable" Target="../pivotTables/pivotTable14.xml"/><Relationship Id="rId6" Type="http://schemas.openxmlformats.org/officeDocument/2006/relationships/drawing" Target="../drawings/drawing5.xml"/><Relationship Id="rId5" Type="http://schemas.openxmlformats.org/officeDocument/2006/relationships/pivotTable" Target="../pivotTables/pivotTable18.xml"/><Relationship Id="rId4" Type="http://schemas.openxmlformats.org/officeDocument/2006/relationships/pivotTable" Target="../pivotTables/pivotTable17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/>
  </sheetPr>
  <dimension ref="A1:AB1179"/>
  <sheetViews>
    <sheetView showRuler="0" topLeftCell="N1" zoomScaleNormal="100" workbookViewId="0">
      <selection activeCell="Q1178" sqref="Q1178"/>
    </sheetView>
  </sheetViews>
  <sheetFormatPr defaultColWidth="10.8515625" defaultRowHeight="15" outlineLevelRow="1" outlineLevelCol="1" x14ac:dyDescent="0.2"/>
  <cols>
    <col min="1" max="1" width="7.64453125" bestFit="1" customWidth="1"/>
    <col min="3" max="3" width="10.48046875" bestFit="1" customWidth="1"/>
    <col min="4" max="6" width="10.8515625" customWidth="1" outlineLevel="1"/>
    <col min="7" max="7" width="17.140625" customWidth="1" outlineLevel="1"/>
    <col min="8" max="8" width="16.27734375" customWidth="1" outlineLevel="1"/>
    <col min="9" max="9" width="10.8515625" customWidth="1"/>
    <col min="10" max="10" width="9.4921875" customWidth="1"/>
    <col min="11" max="11" width="34.03125" customWidth="1"/>
    <col min="12" max="12" width="14.796875" customWidth="1" outlineLevel="1"/>
    <col min="13" max="13" width="21.82421875" customWidth="1" outlineLevel="1"/>
    <col min="14" max="14" width="27.62109375" customWidth="1" outlineLevel="1"/>
    <col min="16" max="16" width="16.5234375" bestFit="1" customWidth="1"/>
    <col min="17" max="17" width="18.37109375" bestFit="1" customWidth="1"/>
    <col min="18" max="18" width="17.38671875" bestFit="1" customWidth="1"/>
    <col min="25" max="25" width="10.8515625" customWidth="1"/>
    <col min="26" max="27" width="10.8515625" hidden="1" customWidth="1" outlineLevel="1"/>
    <col min="28" max="28" width="10.8515625" collapsed="1"/>
  </cols>
  <sheetData>
    <row r="1" spans="1:27" s="5" customFormat="1" x14ac:dyDescent="0.2">
      <c r="A1" s="5" t="s">
        <v>20</v>
      </c>
      <c r="B1" s="5" t="s">
        <v>47</v>
      </c>
      <c r="C1" s="5" t="s">
        <v>21</v>
      </c>
      <c r="D1" s="5" t="s">
        <v>36</v>
      </c>
      <c r="E1" s="5" t="s">
        <v>44</v>
      </c>
      <c r="F1" s="5" t="s">
        <v>49</v>
      </c>
      <c r="G1" s="5" t="s">
        <v>22</v>
      </c>
      <c r="H1" s="5" t="s">
        <v>23</v>
      </c>
      <c r="I1" s="5" t="s">
        <v>24</v>
      </c>
      <c r="J1" s="5" t="s">
        <v>25</v>
      </c>
      <c r="K1" s="5" t="s">
        <v>27</v>
      </c>
      <c r="L1" s="5" t="s">
        <v>445</v>
      </c>
      <c r="M1" s="5" t="s">
        <v>28</v>
      </c>
      <c r="N1" s="5" t="s">
        <v>447</v>
      </c>
      <c r="O1" s="5" t="s">
        <v>446</v>
      </c>
      <c r="P1" s="5" t="s">
        <v>26</v>
      </c>
      <c r="Q1" s="5" t="s">
        <v>50</v>
      </c>
      <c r="R1" s="5" t="s">
        <v>51</v>
      </c>
      <c r="S1" s="6" t="s">
        <v>52</v>
      </c>
      <c r="T1" s="6" t="s">
        <v>54</v>
      </c>
      <c r="U1" s="6" t="s">
        <v>137</v>
      </c>
      <c r="V1" s="6" t="s">
        <v>138</v>
      </c>
      <c r="W1" s="6" t="s">
        <v>139</v>
      </c>
      <c r="X1" s="6" t="s">
        <v>140</v>
      </c>
      <c r="Y1" s="5" t="s">
        <v>199</v>
      </c>
      <c r="Z1" s="5" t="s">
        <v>201</v>
      </c>
      <c r="AA1" s="5" t="s">
        <v>202</v>
      </c>
    </row>
    <row r="2" spans="1:27" outlineLevel="1" x14ac:dyDescent="0.2">
      <c r="A2">
        <v>2020</v>
      </c>
      <c r="B2" t="s">
        <v>48</v>
      </c>
      <c r="C2" s="3">
        <v>43831</v>
      </c>
      <c r="D2" s="3" t="s">
        <v>39</v>
      </c>
      <c r="E2" s="3" t="s">
        <v>45</v>
      </c>
      <c r="F2" s="3" t="s">
        <v>46</v>
      </c>
      <c r="G2" s="4">
        <v>0.52083333333333337</v>
      </c>
      <c r="H2" s="4">
        <v>0.85416666666666663</v>
      </c>
      <c r="I2" t="s">
        <v>33</v>
      </c>
      <c r="J2">
        <v>2</v>
      </c>
      <c r="L2" s="46"/>
      <c r="P2">
        <v>200</v>
      </c>
      <c r="Q2">
        <v>0</v>
      </c>
      <c r="R2">
        <v>0</v>
      </c>
      <c r="S2">
        <f>Tabla1[[#This Row],[TARIFA]]+Tabla1[[#This Row],[IMPORTE EXTRAS]]</f>
        <v>200</v>
      </c>
      <c r="T2" t="s">
        <v>45</v>
      </c>
      <c r="U2">
        <v>0</v>
      </c>
      <c r="V2">
        <v>200</v>
      </c>
      <c r="W2">
        <v>0</v>
      </c>
      <c r="X2">
        <v>0</v>
      </c>
      <c r="Y2" t="s">
        <v>208</v>
      </c>
      <c r="Z2">
        <f>SUM(Tabla1[[#This Row],[RES-A]:[EXTR-B]])</f>
        <v>200</v>
      </c>
      <c r="AA2">
        <f>Tabla1[[#This Row],[Columna1]]-Tabla1[[#This Row],[IMPORTE TOTAL]]</f>
        <v>0</v>
      </c>
    </row>
    <row r="3" spans="1:27" outlineLevel="1" x14ac:dyDescent="0.2">
      <c r="A3">
        <v>2020</v>
      </c>
      <c r="B3" t="s">
        <v>48</v>
      </c>
      <c r="C3" s="3">
        <v>43832</v>
      </c>
      <c r="D3" s="3" t="s">
        <v>40</v>
      </c>
      <c r="E3" s="3" t="s">
        <v>46</v>
      </c>
      <c r="F3" s="3" t="s">
        <v>46</v>
      </c>
      <c r="G3" s="4">
        <v>0.64583333333333337</v>
      </c>
      <c r="H3" s="4">
        <v>0.85416666666666663</v>
      </c>
      <c r="I3" t="s">
        <v>31</v>
      </c>
      <c r="J3">
        <v>2</v>
      </c>
      <c r="L3" s="46"/>
      <c r="P3">
        <v>95</v>
      </c>
      <c r="Q3">
        <v>0</v>
      </c>
      <c r="R3">
        <v>0</v>
      </c>
      <c r="S3">
        <f>Tabla1[[#This Row],[TARIFA]]+Tabla1[[#This Row],[IMPORTE EXTRAS]]</f>
        <v>95</v>
      </c>
      <c r="T3" t="s">
        <v>45</v>
      </c>
      <c r="U3">
        <v>5</v>
      </c>
      <c r="V3">
        <v>90</v>
      </c>
      <c r="W3">
        <v>0</v>
      </c>
      <c r="X3">
        <v>0</v>
      </c>
      <c r="Z3">
        <f>SUM(Tabla1[[#This Row],[RES-A]:[EXTR-B]])</f>
        <v>95</v>
      </c>
      <c r="AA3">
        <f>Tabla1[[#This Row],[Columna1]]-Tabla1[[#This Row],[IMPORTE TOTAL]]</f>
        <v>0</v>
      </c>
    </row>
    <row r="4" spans="1:27" outlineLevel="1" x14ac:dyDescent="0.2">
      <c r="A4">
        <v>2020</v>
      </c>
      <c r="B4" t="s">
        <v>48</v>
      </c>
      <c r="C4" s="3">
        <v>43833</v>
      </c>
      <c r="D4" s="3" t="s">
        <v>41</v>
      </c>
      <c r="E4" s="3" t="s">
        <v>46</v>
      </c>
      <c r="F4" s="3" t="s">
        <v>46</v>
      </c>
      <c r="G4" s="4">
        <v>0.64583333333333337</v>
      </c>
      <c r="H4" s="4">
        <v>0.85416666666666663</v>
      </c>
      <c r="I4" t="s">
        <v>31</v>
      </c>
      <c r="J4">
        <v>1</v>
      </c>
      <c r="L4" s="46"/>
      <c r="P4">
        <v>135</v>
      </c>
      <c r="Q4">
        <v>0</v>
      </c>
      <c r="R4">
        <v>0</v>
      </c>
      <c r="S4">
        <f>Tabla1[[#This Row],[TARIFA]]+Tabla1[[#This Row],[IMPORTE EXTRAS]]</f>
        <v>135</v>
      </c>
      <c r="T4" t="s">
        <v>45</v>
      </c>
      <c r="U4">
        <v>135</v>
      </c>
      <c r="V4">
        <v>0</v>
      </c>
      <c r="W4">
        <v>0</v>
      </c>
      <c r="X4">
        <v>0</v>
      </c>
      <c r="Z4">
        <f>SUM(Tabla1[[#This Row],[RES-A]:[EXTR-B]])</f>
        <v>135</v>
      </c>
      <c r="AA4">
        <f>Tabla1[[#This Row],[Columna1]]-Tabla1[[#This Row],[IMPORTE TOTAL]]</f>
        <v>0</v>
      </c>
    </row>
    <row r="5" spans="1:27" outlineLevel="1" x14ac:dyDescent="0.2">
      <c r="A5">
        <v>2020</v>
      </c>
      <c r="B5" t="s">
        <v>48</v>
      </c>
      <c r="C5" s="3">
        <v>43833</v>
      </c>
      <c r="D5" s="3" t="s">
        <v>41</v>
      </c>
      <c r="E5" s="3" t="s">
        <v>46</v>
      </c>
      <c r="F5" s="3" t="s">
        <v>46</v>
      </c>
      <c r="G5" s="4">
        <v>0.89583333333333337</v>
      </c>
      <c r="H5" s="4">
        <v>0.10416666666666667</v>
      </c>
      <c r="I5" t="s">
        <v>35</v>
      </c>
      <c r="J5">
        <v>1</v>
      </c>
      <c r="L5" s="46"/>
      <c r="P5">
        <v>195</v>
      </c>
      <c r="Q5">
        <v>0</v>
      </c>
      <c r="R5">
        <v>0</v>
      </c>
      <c r="S5">
        <f>Tabla1[[#This Row],[TARIFA]]+Tabla1[[#This Row],[IMPORTE EXTRAS]]</f>
        <v>195</v>
      </c>
      <c r="T5" t="s">
        <v>45</v>
      </c>
      <c r="U5">
        <v>0</v>
      </c>
      <c r="V5">
        <v>195</v>
      </c>
      <c r="W5">
        <v>0</v>
      </c>
      <c r="X5">
        <v>0</v>
      </c>
      <c r="Z5">
        <f>SUM(Tabla1[[#This Row],[RES-A]:[EXTR-B]])</f>
        <v>195</v>
      </c>
      <c r="AA5">
        <f>Tabla1[[#This Row],[Columna1]]-Tabla1[[#This Row],[IMPORTE TOTAL]]</f>
        <v>0</v>
      </c>
    </row>
    <row r="6" spans="1:27" outlineLevel="1" x14ac:dyDescent="0.2">
      <c r="A6">
        <v>2020</v>
      </c>
      <c r="B6" t="s">
        <v>48</v>
      </c>
      <c r="C6" s="3">
        <v>43834</v>
      </c>
      <c r="D6" s="3" t="s">
        <v>42</v>
      </c>
      <c r="E6" s="3" t="s">
        <v>46</v>
      </c>
      <c r="F6" s="3" t="s">
        <v>46</v>
      </c>
      <c r="G6" s="4">
        <v>0.39583333333333331</v>
      </c>
      <c r="H6" s="4">
        <v>0.60416666666666663</v>
      </c>
      <c r="I6" t="s">
        <v>30</v>
      </c>
      <c r="J6">
        <v>1</v>
      </c>
      <c r="L6" s="46"/>
      <c r="P6">
        <v>145</v>
      </c>
      <c r="Q6">
        <v>0</v>
      </c>
      <c r="R6">
        <v>0</v>
      </c>
      <c r="S6">
        <f>Tabla1[[#This Row],[TARIFA]]+Tabla1[[#This Row],[IMPORTE EXTRAS]]</f>
        <v>145</v>
      </c>
      <c r="T6" t="s">
        <v>45</v>
      </c>
      <c r="U6">
        <v>0</v>
      </c>
      <c r="V6">
        <v>145</v>
      </c>
      <c r="W6">
        <v>0</v>
      </c>
      <c r="X6">
        <v>0</v>
      </c>
      <c r="Z6">
        <f>SUM(Tabla1[[#This Row],[RES-A]:[EXTR-B]])</f>
        <v>145</v>
      </c>
      <c r="AA6">
        <f>Tabla1[[#This Row],[Columna1]]-Tabla1[[#This Row],[IMPORTE TOTAL]]</f>
        <v>0</v>
      </c>
    </row>
    <row r="7" spans="1:27" outlineLevel="1" x14ac:dyDescent="0.2">
      <c r="A7">
        <v>2020</v>
      </c>
      <c r="B7" t="s">
        <v>48</v>
      </c>
      <c r="C7" s="3">
        <v>43834</v>
      </c>
      <c r="D7" s="3" t="s">
        <v>42</v>
      </c>
      <c r="E7" s="3" t="s">
        <v>46</v>
      </c>
      <c r="F7" s="3" t="s">
        <v>46</v>
      </c>
      <c r="G7" s="4">
        <v>0.64583333333333337</v>
      </c>
      <c r="H7" s="4">
        <v>0.85416666666666663</v>
      </c>
      <c r="I7" t="s">
        <v>31</v>
      </c>
      <c r="J7">
        <v>1</v>
      </c>
      <c r="L7" s="46"/>
      <c r="P7">
        <v>145</v>
      </c>
      <c r="Q7">
        <v>0</v>
      </c>
      <c r="R7">
        <v>0</v>
      </c>
      <c r="S7">
        <f>Tabla1[[#This Row],[TARIFA]]+Tabla1[[#This Row],[IMPORTE EXTRAS]]</f>
        <v>145</v>
      </c>
      <c r="T7" t="s">
        <v>45</v>
      </c>
      <c r="U7">
        <v>145</v>
      </c>
      <c r="V7">
        <v>0</v>
      </c>
      <c r="W7">
        <v>0</v>
      </c>
      <c r="X7">
        <v>0</v>
      </c>
      <c r="Z7">
        <f>SUM(Tabla1[[#This Row],[RES-A]:[EXTR-B]])</f>
        <v>145</v>
      </c>
      <c r="AA7">
        <f>Tabla1[[#This Row],[Columna1]]-Tabla1[[#This Row],[IMPORTE TOTAL]]</f>
        <v>0</v>
      </c>
    </row>
    <row r="8" spans="1:27" outlineLevel="1" x14ac:dyDescent="0.2">
      <c r="A8">
        <v>2020</v>
      </c>
      <c r="B8" t="s">
        <v>48</v>
      </c>
      <c r="C8" s="3">
        <v>43834</v>
      </c>
      <c r="D8" s="3" t="s">
        <v>42</v>
      </c>
      <c r="E8" s="3" t="s">
        <v>46</v>
      </c>
      <c r="F8" s="3" t="s">
        <v>46</v>
      </c>
      <c r="G8" s="4">
        <v>0.89583333333333337</v>
      </c>
      <c r="H8" s="4">
        <v>0.10416666666666667</v>
      </c>
      <c r="I8" t="s">
        <v>35</v>
      </c>
      <c r="J8">
        <v>1</v>
      </c>
      <c r="L8" s="46"/>
      <c r="P8">
        <v>195</v>
      </c>
      <c r="Q8">
        <v>0</v>
      </c>
      <c r="R8">
        <v>0</v>
      </c>
      <c r="S8" s="7">
        <f>Tabla1[[#This Row],[TARIFA]]+Tabla1[[#This Row],[IMPORTE EXTRAS]]</f>
        <v>195</v>
      </c>
      <c r="T8" t="s">
        <v>45</v>
      </c>
      <c r="U8">
        <v>195</v>
      </c>
      <c r="V8">
        <v>0</v>
      </c>
      <c r="W8">
        <v>0</v>
      </c>
      <c r="X8">
        <v>0</v>
      </c>
      <c r="Z8">
        <f>SUM(Tabla1[[#This Row],[RES-A]:[EXTR-B]])</f>
        <v>195</v>
      </c>
      <c r="AA8">
        <f>Tabla1[[#This Row],[Columna1]]-Tabla1[[#This Row],[IMPORTE TOTAL]]</f>
        <v>0</v>
      </c>
    </row>
    <row r="9" spans="1:27" outlineLevel="1" x14ac:dyDescent="0.2">
      <c r="A9">
        <v>2020</v>
      </c>
      <c r="B9" t="s">
        <v>48</v>
      </c>
      <c r="C9" s="3">
        <v>43835</v>
      </c>
      <c r="D9" s="3" t="s">
        <v>43</v>
      </c>
      <c r="E9" s="3" t="s">
        <v>46</v>
      </c>
      <c r="F9" s="3" t="s">
        <v>45</v>
      </c>
      <c r="G9" s="4">
        <v>0.39583333333333331</v>
      </c>
      <c r="H9" s="4">
        <v>0.60416666666666663</v>
      </c>
      <c r="I9" t="s">
        <v>30</v>
      </c>
      <c r="J9">
        <v>1</v>
      </c>
      <c r="L9" s="46"/>
      <c r="P9">
        <v>145</v>
      </c>
      <c r="Q9">
        <v>0</v>
      </c>
      <c r="R9">
        <v>0</v>
      </c>
      <c r="S9">
        <f>Tabla1[[#This Row],[TARIFA]]+Tabla1[[#This Row],[IMPORTE EXTRAS]]</f>
        <v>145</v>
      </c>
      <c r="T9" t="s">
        <v>45</v>
      </c>
      <c r="U9">
        <v>145</v>
      </c>
      <c r="V9">
        <v>0</v>
      </c>
      <c r="W9">
        <v>0</v>
      </c>
      <c r="X9">
        <v>0</v>
      </c>
      <c r="Z9">
        <f>SUM(Tabla1[[#This Row],[RES-A]:[EXTR-B]])</f>
        <v>145</v>
      </c>
      <c r="AA9">
        <f>Tabla1[[#This Row],[Columna1]]-Tabla1[[#This Row],[IMPORTE TOTAL]]</f>
        <v>0</v>
      </c>
    </row>
    <row r="10" spans="1:27" outlineLevel="1" x14ac:dyDescent="0.2">
      <c r="A10">
        <v>2020</v>
      </c>
      <c r="B10" t="s">
        <v>48</v>
      </c>
      <c r="C10" s="3">
        <v>43836</v>
      </c>
      <c r="D10" s="3" t="s">
        <v>37</v>
      </c>
      <c r="E10" s="3" t="s">
        <v>45</v>
      </c>
      <c r="F10" s="3" t="s">
        <v>46</v>
      </c>
      <c r="G10" s="4">
        <v>0.625</v>
      </c>
      <c r="H10" s="4">
        <v>0.83333333333333337</v>
      </c>
      <c r="I10" t="s">
        <v>33</v>
      </c>
      <c r="J10">
        <v>1</v>
      </c>
      <c r="L10" s="46"/>
      <c r="P10">
        <v>145</v>
      </c>
      <c r="Q10">
        <v>0</v>
      </c>
      <c r="R10">
        <v>0</v>
      </c>
      <c r="S10" s="7">
        <f>Tabla1[[#This Row],[TARIFA]]+Tabla1[[#This Row],[IMPORTE EXTRAS]]</f>
        <v>145</v>
      </c>
      <c r="T10" t="s">
        <v>45</v>
      </c>
      <c r="U10">
        <v>145</v>
      </c>
      <c r="V10">
        <v>0</v>
      </c>
      <c r="W10">
        <v>0</v>
      </c>
      <c r="X10">
        <v>0</v>
      </c>
      <c r="Y10" t="s">
        <v>208</v>
      </c>
      <c r="Z10">
        <f>SUM(Tabla1[[#This Row],[RES-A]:[EXTR-B]])</f>
        <v>145</v>
      </c>
      <c r="AA10">
        <f>Tabla1[[#This Row],[Columna1]]-Tabla1[[#This Row],[IMPORTE TOTAL]]</f>
        <v>0</v>
      </c>
    </row>
    <row r="11" spans="1:27" outlineLevel="1" x14ac:dyDescent="0.2">
      <c r="A11">
        <v>2020</v>
      </c>
      <c r="B11" t="s">
        <v>48</v>
      </c>
      <c r="C11" s="3">
        <v>43838</v>
      </c>
      <c r="D11" s="3" t="s">
        <v>39</v>
      </c>
      <c r="E11" s="3" t="s">
        <v>46</v>
      </c>
      <c r="F11" s="3" t="s">
        <v>46</v>
      </c>
      <c r="G11" s="4">
        <v>0.64583333333333337</v>
      </c>
      <c r="H11" s="4">
        <v>0.85416666666666663</v>
      </c>
      <c r="I11" t="s">
        <v>31</v>
      </c>
      <c r="J11">
        <v>1</v>
      </c>
      <c r="L11" s="46"/>
      <c r="P11">
        <v>95</v>
      </c>
      <c r="Q11">
        <v>0</v>
      </c>
      <c r="R11">
        <v>0</v>
      </c>
      <c r="S11" s="7">
        <f>Tabla1[[#This Row],[TARIFA]]+Tabla1[[#This Row],[IMPORTE EXTRAS]]</f>
        <v>95</v>
      </c>
      <c r="T11" t="s">
        <v>45</v>
      </c>
      <c r="U11">
        <v>0</v>
      </c>
      <c r="V11">
        <v>95</v>
      </c>
      <c r="W11">
        <v>0</v>
      </c>
      <c r="X11">
        <v>0</v>
      </c>
      <c r="Z11">
        <f>SUM(Tabla1[[#This Row],[RES-A]:[EXTR-B]])</f>
        <v>95</v>
      </c>
      <c r="AA11">
        <f>Tabla1[[#This Row],[Columna1]]-Tabla1[[#This Row],[IMPORTE TOTAL]]</f>
        <v>0</v>
      </c>
    </row>
    <row r="12" spans="1:27" outlineLevel="1" x14ac:dyDescent="0.2">
      <c r="A12">
        <v>2020</v>
      </c>
      <c r="B12" t="s">
        <v>48</v>
      </c>
      <c r="C12" s="3">
        <v>43841</v>
      </c>
      <c r="D12" s="3" t="s">
        <v>42</v>
      </c>
      <c r="E12" s="3" t="s">
        <v>46</v>
      </c>
      <c r="F12" s="3" t="s">
        <v>46</v>
      </c>
      <c r="G12" s="4">
        <v>0.64583333333333337</v>
      </c>
      <c r="H12" s="4">
        <v>0.10416666666666667</v>
      </c>
      <c r="I12" t="s">
        <v>53</v>
      </c>
      <c r="J12">
        <v>2</v>
      </c>
      <c r="L12" s="46"/>
      <c r="P12">
        <v>300</v>
      </c>
      <c r="Q12">
        <v>0</v>
      </c>
      <c r="R12">
        <v>0</v>
      </c>
      <c r="S12" s="7">
        <f>Tabla1[[#This Row],[TARIFA]]+Tabla1[[#This Row],[IMPORTE EXTRAS]]</f>
        <v>300</v>
      </c>
      <c r="T12" t="s">
        <v>45</v>
      </c>
      <c r="U12">
        <v>300</v>
      </c>
      <c r="V12">
        <v>0</v>
      </c>
      <c r="W12">
        <v>0</v>
      </c>
      <c r="X12">
        <v>0</v>
      </c>
      <c r="Z12">
        <f>SUM(Tabla1[[#This Row],[RES-A]:[EXTR-B]])</f>
        <v>300</v>
      </c>
      <c r="AA12">
        <f>Tabla1[[#This Row],[Columna1]]-Tabla1[[#This Row],[IMPORTE TOTAL]]</f>
        <v>0</v>
      </c>
    </row>
    <row r="13" spans="1:27" outlineLevel="1" x14ac:dyDescent="0.2">
      <c r="A13">
        <v>2020</v>
      </c>
      <c r="B13" t="s">
        <v>48</v>
      </c>
      <c r="C13" s="3">
        <v>43842</v>
      </c>
      <c r="D13" s="3" t="s">
        <v>43</v>
      </c>
      <c r="E13" s="3" t="s">
        <v>46</v>
      </c>
      <c r="F13" s="3" t="s">
        <v>46</v>
      </c>
      <c r="G13" s="4">
        <v>0.39583333333333331</v>
      </c>
      <c r="H13" s="4">
        <v>0.85416666666666663</v>
      </c>
      <c r="I13" t="s">
        <v>32</v>
      </c>
      <c r="J13">
        <v>2</v>
      </c>
      <c r="L13" s="46"/>
      <c r="P13">
        <v>200</v>
      </c>
      <c r="Q13">
        <v>0</v>
      </c>
      <c r="R13">
        <v>0</v>
      </c>
      <c r="S13" s="7">
        <f>Tabla1[[#This Row],[TARIFA]]+Tabla1[[#This Row],[IMPORTE EXTRAS]]</f>
        <v>200</v>
      </c>
      <c r="T13" t="s">
        <v>45</v>
      </c>
      <c r="U13">
        <v>200</v>
      </c>
      <c r="V13">
        <v>0</v>
      </c>
      <c r="W13">
        <v>0</v>
      </c>
      <c r="X13">
        <v>0</v>
      </c>
      <c r="Z13">
        <f>SUM(Tabla1[[#This Row],[RES-A]:[EXTR-B]])</f>
        <v>200</v>
      </c>
      <c r="AA13">
        <f>Tabla1[[#This Row],[Columna1]]-Tabla1[[#This Row],[IMPORTE TOTAL]]</f>
        <v>0</v>
      </c>
    </row>
    <row r="14" spans="1:27" outlineLevel="1" x14ac:dyDescent="0.2">
      <c r="A14">
        <v>2020</v>
      </c>
      <c r="B14" t="s">
        <v>48</v>
      </c>
      <c r="C14" s="3">
        <v>43847</v>
      </c>
      <c r="D14" s="3" t="s">
        <v>41</v>
      </c>
      <c r="E14" s="3" t="s">
        <v>46</v>
      </c>
      <c r="F14" s="3" t="s">
        <v>46</v>
      </c>
      <c r="G14" s="4">
        <v>0.89583333333333337</v>
      </c>
      <c r="H14" s="4">
        <v>0.10416666666666667</v>
      </c>
      <c r="I14" t="s">
        <v>35</v>
      </c>
      <c r="J14">
        <v>1</v>
      </c>
      <c r="L14" s="46"/>
      <c r="P14">
        <v>195</v>
      </c>
      <c r="Q14">
        <v>1</v>
      </c>
      <c r="R14">
        <v>50</v>
      </c>
      <c r="S14" s="7">
        <f>Tabla1[[#This Row],[TARIFA]]+Tabla1[[#This Row],[IMPORTE EXTRAS]]</f>
        <v>245</v>
      </c>
      <c r="T14" t="s">
        <v>45</v>
      </c>
      <c r="U14">
        <v>195</v>
      </c>
      <c r="V14">
        <v>0</v>
      </c>
      <c r="W14">
        <v>0</v>
      </c>
      <c r="X14">
        <v>50</v>
      </c>
      <c r="Z14">
        <f>SUM(Tabla1[[#This Row],[RES-A]:[EXTR-B]])</f>
        <v>245</v>
      </c>
      <c r="AA14">
        <f>Tabla1[[#This Row],[Columna1]]-Tabla1[[#This Row],[IMPORTE TOTAL]]</f>
        <v>0</v>
      </c>
    </row>
    <row r="15" spans="1:27" outlineLevel="1" x14ac:dyDescent="0.2">
      <c r="A15">
        <v>2020</v>
      </c>
      <c r="B15" t="s">
        <v>48</v>
      </c>
      <c r="C15" s="3">
        <v>43848</v>
      </c>
      <c r="D15" s="3" t="s">
        <v>42</v>
      </c>
      <c r="E15" s="3" t="s">
        <v>46</v>
      </c>
      <c r="F15" s="3" t="s">
        <v>46</v>
      </c>
      <c r="G15" s="4">
        <v>0.64583333333333337</v>
      </c>
      <c r="H15" s="4">
        <v>0.85416666666666663</v>
      </c>
      <c r="I15" t="s">
        <v>31</v>
      </c>
      <c r="J15">
        <v>1</v>
      </c>
      <c r="L15" s="46"/>
      <c r="P15">
        <v>145</v>
      </c>
      <c r="Q15">
        <v>0</v>
      </c>
      <c r="R15">
        <v>0</v>
      </c>
      <c r="S15" s="7">
        <f>Tabla1[[#This Row],[TARIFA]]+Tabla1[[#This Row],[IMPORTE EXTRAS]]</f>
        <v>145</v>
      </c>
      <c r="T15" t="s">
        <v>45</v>
      </c>
      <c r="U15">
        <v>100</v>
      </c>
      <c r="V15">
        <v>45</v>
      </c>
      <c r="W15">
        <v>0</v>
      </c>
      <c r="X15">
        <v>0</v>
      </c>
      <c r="Z15">
        <f>SUM(Tabla1[[#This Row],[RES-A]:[EXTR-B]])</f>
        <v>145</v>
      </c>
      <c r="AA15">
        <f>Tabla1[[#This Row],[Columna1]]-Tabla1[[#This Row],[IMPORTE TOTAL]]</f>
        <v>0</v>
      </c>
    </row>
    <row r="16" spans="1:27" outlineLevel="1" x14ac:dyDescent="0.2">
      <c r="A16">
        <v>2020</v>
      </c>
      <c r="B16" t="s">
        <v>48</v>
      </c>
      <c r="C16" s="3">
        <v>43848</v>
      </c>
      <c r="D16" s="3" t="s">
        <v>42</v>
      </c>
      <c r="E16" s="3" t="s">
        <v>46</v>
      </c>
      <c r="F16" s="3" t="s">
        <v>46</v>
      </c>
      <c r="G16" s="4">
        <v>0.89583333333333337</v>
      </c>
      <c r="H16" s="4">
        <v>0.10416666666666667</v>
      </c>
      <c r="I16" t="s">
        <v>35</v>
      </c>
      <c r="J16">
        <v>1</v>
      </c>
      <c r="L16" s="46"/>
      <c r="P16">
        <v>195</v>
      </c>
      <c r="Q16">
        <v>0</v>
      </c>
      <c r="R16">
        <v>0</v>
      </c>
      <c r="S16" s="7">
        <f>Tabla1[[#This Row],[TARIFA]]+Tabla1[[#This Row],[IMPORTE EXTRAS]]</f>
        <v>195</v>
      </c>
      <c r="T16" t="s">
        <v>45</v>
      </c>
      <c r="U16">
        <v>0</v>
      </c>
      <c r="V16">
        <v>195</v>
      </c>
      <c r="W16">
        <v>0</v>
      </c>
      <c r="X16">
        <v>0</v>
      </c>
      <c r="Z16">
        <f>SUM(Tabla1[[#This Row],[RES-A]:[EXTR-B]])</f>
        <v>195</v>
      </c>
      <c r="AA16">
        <f>Tabla1[[#This Row],[Columna1]]-Tabla1[[#This Row],[IMPORTE TOTAL]]</f>
        <v>0</v>
      </c>
    </row>
    <row r="17" spans="1:27" outlineLevel="1" x14ac:dyDescent="0.2">
      <c r="A17">
        <v>2020</v>
      </c>
      <c r="B17" t="s">
        <v>48</v>
      </c>
      <c r="C17" s="3">
        <v>43849</v>
      </c>
      <c r="D17" s="3" t="s">
        <v>43</v>
      </c>
      <c r="E17" s="3" t="s">
        <v>46</v>
      </c>
      <c r="F17" s="3" t="s">
        <v>46</v>
      </c>
      <c r="G17" s="4">
        <v>0.64583333333333337</v>
      </c>
      <c r="H17" s="4">
        <v>0.85416666666666663</v>
      </c>
      <c r="I17" t="s">
        <v>31</v>
      </c>
      <c r="J17">
        <v>1</v>
      </c>
      <c r="L17" s="46"/>
      <c r="P17">
        <v>145</v>
      </c>
      <c r="Q17">
        <v>0</v>
      </c>
      <c r="R17">
        <v>0</v>
      </c>
      <c r="S17" s="7">
        <f>Tabla1[[#This Row],[TARIFA]]+Tabla1[[#This Row],[IMPORTE EXTRAS]]</f>
        <v>145</v>
      </c>
      <c r="T17" t="s">
        <v>45</v>
      </c>
      <c r="U17">
        <v>0</v>
      </c>
      <c r="V17">
        <v>145</v>
      </c>
      <c r="W17">
        <v>0</v>
      </c>
      <c r="X17">
        <v>0</v>
      </c>
      <c r="Z17">
        <f>SUM(Tabla1[[#This Row],[RES-A]:[EXTR-B]])</f>
        <v>145</v>
      </c>
      <c r="AA17">
        <f>Tabla1[[#This Row],[Columna1]]-Tabla1[[#This Row],[IMPORTE TOTAL]]</f>
        <v>0</v>
      </c>
    </row>
    <row r="18" spans="1:27" outlineLevel="1" x14ac:dyDescent="0.2">
      <c r="A18">
        <v>2020</v>
      </c>
      <c r="B18" t="s">
        <v>48</v>
      </c>
      <c r="C18" s="3">
        <v>43855</v>
      </c>
      <c r="D18" s="3" t="s">
        <v>42</v>
      </c>
      <c r="E18" s="3" t="s">
        <v>46</v>
      </c>
      <c r="F18" s="3" t="s">
        <v>46</v>
      </c>
      <c r="G18" s="4">
        <v>0.39583333333333331</v>
      </c>
      <c r="H18" s="4">
        <v>0.60416666666666663</v>
      </c>
      <c r="I18" t="s">
        <v>30</v>
      </c>
      <c r="J18">
        <v>1</v>
      </c>
      <c r="L18" s="46"/>
      <c r="P18">
        <v>145</v>
      </c>
      <c r="Q18">
        <v>0</v>
      </c>
      <c r="R18">
        <v>0</v>
      </c>
      <c r="S18" s="7">
        <f>Tabla1[[#This Row],[TARIFA]]+Tabla1[[#This Row],[IMPORTE EXTRAS]]</f>
        <v>145</v>
      </c>
      <c r="T18" t="s">
        <v>45</v>
      </c>
      <c r="U18">
        <v>50</v>
      </c>
      <c r="V18">
        <v>95</v>
      </c>
      <c r="W18">
        <v>0</v>
      </c>
      <c r="X18">
        <v>0</v>
      </c>
      <c r="Z18">
        <f>SUM(Tabla1[[#This Row],[RES-A]:[EXTR-B]])</f>
        <v>145</v>
      </c>
      <c r="AA18">
        <f>Tabla1[[#This Row],[Columna1]]-Tabla1[[#This Row],[IMPORTE TOTAL]]</f>
        <v>0</v>
      </c>
    </row>
    <row r="19" spans="1:27" outlineLevel="1" x14ac:dyDescent="0.2">
      <c r="A19">
        <v>2020</v>
      </c>
      <c r="B19" t="s">
        <v>48</v>
      </c>
      <c r="C19" s="3">
        <v>43855</v>
      </c>
      <c r="D19" s="3" t="s">
        <v>42</v>
      </c>
      <c r="E19" s="3" t="s">
        <v>46</v>
      </c>
      <c r="F19" s="3" t="s">
        <v>46</v>
      </c>
      <c r="G19" s="4">
        <v>0.89583333333333337</v>
      </c>
      <c r="H19" s="4">
        <v>0.10416666666666667</v>
      </c>
      <c r="I19" t="s">
        <v>35</v>
      </c>
      <c r="J19">
        <v>1</v>
      </c>
      <c r="L19" s="46"/>
      <c r="P19">
        <v>195</v>
      </c>
      <c r="Q19">
        <v>0</v>
      </c>
      <c r="R19">
        <v>0</v>
      </c>
      <c r="S19" s="7">
        <f>Tabla1[[#This Row],[TARIFA]]+Tabla1[[#This Row],[IMPORTE EXTRAS]]</f>
        <v>195</v>
      </c>
      <c r="T19" t="s">
        <v>45</v>
      </c>
      <c r="U19">
        <v>0</v>
      </c>
      <c r="V19">
        <v>195</v>
      </c>
      <c r="W19">
        <v>0</v>
      </c>
      <c r="X19">
        <v>0</v>
      </c>
      <c r="Z19">
        <f>SUM(Tabla1[[#This Row],[RES-A]:[EXTR-B]])</f>
        <v>195</v>
      </c>
      <c r="AA19">
        <f>Tabla1[[#This Row],[Columna1]]-Tabla1[[#This Row],[IMPORTE TOTAL]]</f>
        <v>0</v>
      </c>
    </row>
    <row r="20" spans="1:27" outlineLevel="1" x14ac:dyDescent="0.2">
      <c r="A20">
        <v>2020</v>
      </c>
      <c r="B20" t="s">
        <v>48</v>
      </c>
      <c r="C20" s="3">
        <v>43856</v>
      </c>
      <c r="D20" s="3" t="s">
        <v>43</v>
      </c>
      <c r="E20" s="3" t="s">
        <v>46</v>
      </c>
      <c r="F20" s="3" t="s">
        <v>46</v>
      </c>
      <c r="G20" s="4">
        <v>0.64583333333333337</v>
      </c>
      <c r="H20" s="4">
        <v>0.85416666666666663</v>
      </c>
      <c r="I20" t="s">
        <v>31</v>
      </c>
      <c r="J20">
        <v>1</v>
      </c>
      <c r="L20" s="46"/>
      <c r="P20">
        <v>145</v>
      </c>
      <c r="Q20">
        <v>0</v>
      </c>
      <c r="R20">
        <v>0</v>
      </c>
      <c r="S20" s="7">
        <f>Tabla1[[#This Row],[TARIFA]]+Tabla1[[#This Row],[IMPORTE EXTRAS]]</f>
        <v>145</v>
      </c>
      <c r="T20" t="s">
        <v>45</v>
      </c>
      <c r="U20">
        <v>50</v>
      </c>
      <c r="V20">
        <v>95</v>
      </c>
      <c r="W20">
        <v>0</v>
      </c>
      <c r="X20">
        <v>0</v>
      </c>
      <c r="Z20">
        <f>SUM(Tabla1[[#This Row],[RES-A]:[EXTR-B]])</f>
        <v>145</v>
      </c>
      <c r="AA20">
        <f>Tabla1[[#This Row],[Columna1]]-Tabla1[[#This Row],[IMPORTE TOTAL]]</f>
        <v>0</v>
      </c>
    </row>
    <row r="21" spans="1:27" outlineLevel="1" x14ac:dyDescent="0.2">
      <c r="A21">
        <v>2020</v>
      </c>
      <c r="B21" t="s">
        <v>48</v>
      </c>
      <c r="C21" s="3">
        <v>43861</v>
      </c>
      <c r="D21" s="3" t="s">
        <v>41</v>
      </c>
      <c r="E21" s="3" t="s">
        <v>46</v>
      </c>
      <c r="F21" s="3" t="s">
        <v>46</v>
      </c>
      <c r="G21" s="4">
        <v>0.64583333333333337</v>
      </c>
      <c r="H21" s="4">
        <v>0.85416666666666663</v>
      </c>
      <c r="I21" t="s">
        <v>31</v>
      </c>
      <c r="J21">
        <v>1</v>
      </c>
      <c r="L21" s="46"/>
      <c r="P21">
        <v>135</v>
      </c>
      <c r="Q21">
        <v>0</v>
      </c>
      <c r="R21">
        <v>0</v>
      </c>
      <c r="S21" s="7">
        <f>Tabla1[[#This Row],[TARIFA]]+Tabla1[[#This Row],[IMPORTE EXTRAS]]</f>
        <v>135</v>
      </c>
      <c r="T21" t="s">
        <v>45</v>
      </c>
      <c r="U21">
        <v>0</v>
      </c>
      <c r="V21">
        <v>135</v>
      </c>
      <c r="W21">
        <v>0</v>
      </c>
      <c r="X21">
        <v>0</v>
      </c>
      <c r="Z21">
        <f>SUM(Tabla1[[#This Row],[RES-A]:[EXTR-B]])</f>
        <v>135</v>
      </c>
      <c r="AA21">
        <f>Tabla1[[#This Row],[Columna1]]-Tabla1[[#This Row],[IMPORTE TOTAL]]</f>
        <v>0</v>
      </c>
    </row>
    <row r="22" spans="1:27" outlineLevel="1" x14ac:dyDescent="0.2">
      <c r="A22">
        <v>2020</v>
      </c>
      <c r="B22" t="s">
        <v>48</v>
      </c>
      <c r="C22" s="3">
        <v>43861</v>
      </c>
      <c r="D22" s="3" t="s">
        <v>41</v>
      </c>
      <c r="E22" s="3" t="s">
        <v>46</v>
      </c>
      <c r="F22" s="3" t="s">
        <v>46</v>
      </c>
      <c r="G22" s="4">
        <v>0.89583333333333337</v>
      </c>
      <c r="H22" s="4">
        <v>0.10416666666666667</v>
      </c>
      <c r="I22" t="s">
        <v>35</v>
      </c>
      <c r="J22">
        <v>1</v>
      </c>
      <c r="L22" s="46"/>
      <c r="P22">
        <v>195</v>
      </c>
      <c r="Q22">
        <v>0</v>
      </c>
      <c r="R22">
        <v>0</v>
      </c>
      <c r="S22" s="7">
        <f>Tabla1[[#This Row],[TARIFA]]+Tabla1[[#This Row],[IMPORTE EXTRAS]]</f>
        <v>195</v>
      </c>
      <c r="T22" t="s">
        <v>45</v>
      </c>
      <c r="U22">
        <v>50</v>
      </c>
      <c r="V22">
        <v>145</v>
      </c>
      <c r="W22">
        <v>0</v>
      </c>
      <c r="X22">
        <v>0</v>
      </c>
      <c r="Z22">
        <f>SUM(Tabla1[[#This Row],[RES-A]:[EXTR-B]])</f>
        <v>195</v>
      </c>
      <c r="AA22">
        <f>Tabla1[[#This Row],[Columna1]]-Tabla1[[#This Row],[IMPORTE TOTAL]]</f>
        <v>0</v>
      </c>
    </row>
    <row r="23" spans="1:27" outlineLevel="1" x14ac:dyDescent="0.2">
      <c r="A23">
        <v>2020</v>
      </c>
      <c r="B23" t="s">
        <v>56</v>
      </c>
      <c r="C23" s="3">
        <v>43862</v>
      </c>
      <c r="D23" s="3" t="s">
        <v>42</v>
      </c>
      <c r="E23" s="3" t="s">
        <v>46</v>
      </c>
      <c r="F23" s="3" t="s">
        <v>46</v>
      </c>
      <c r="G23" s="4">
        <v>0.64583333333333337</v>
      </c>
      <c r="H23" s="4">
        <v>0.85416666666666663</v>
      </c>
      <c r="I23" t="s">
        <v>31</v>
      </c>
      <c r="J23">
        <v>1</v>
      </c>
      <c r="L23" s="46"/>
      <c r="P23">
        <v>145</v>
      </c>
      <c r="Q23">
        <v>1</v>
      </c>
      <c r="R23">
        <v>5</v>
      </c>
      <c r="S23" s="7">
        <f>Tabla1[[#This Row],[TARIFA]]+Tabla1[[#This Row],[IMPORTE EXTRAS]]</f>
        <v>150</v>
      </c>
      <c r="T23" t="s">
        <v>45</v>
      </c>
      <c r="U23">
        <v>0</v>
      </c>
      <c r="V23">
        <v>145</v>
      </c>
      <c r="W23">
        <v>0</v>
      </c>
      <c r="X23">
        <v>5</v>
      </c>
      <c r="Z23">
        <f>SUM(Tabla1[[#This Row],[RES-A]:[EXTR-B]])</f>
        <v>150</v>
      </c>
      <c r="AA23">
        <f>Tabla1[[#This Row],[Columna1]]-Tabla1[[#This Row],[IMPORTE TOTAL]]</f>
        <v>0</v>
      </c>
    </row>
    <row r="24" spans="1:27" outlineLevel="1" x14ac:dyDescent="0.2">
      <c r="A24">
        <v>2020</v>
      </c>
      <c r="B24" t="s">
        <v>56</v>
      </c>
      <c r="C24" s="3">
        <v>43865</v>
      </c>
      <c r="D24" s="3" t="s">
        <v>38</v>
      </c>
      <c r="E24" s="3" t="s">
        <v>46</v>
      </c>
      <c r="F24" s="3" t="s">
        <v>46</v>
      </c>
      <c r="G24" s="4">
        <v>0.64583333333333337</v>
      </c>
      <c r="H24" s="4">
        <v>0.85416666666666663</v>
      </c>
      <c r="I24" t="s">
        <v>31</v>
      </c>
      <c r="J24">
        <v>1</v>
      </c>
      <c r="L24" s="46"/>
      <c r="P24">
        <v>65</v>
      </c>
      <c r="Q24">
        <v>0</v>
      </c>
      <c r="R24">
        <v>0</v>
      </c>
      <c r="S24" s="7">
        <f>Tabla1[[#This Row],[TARIFA]]+Tabla1[[#This Row],[IMPORTE EXTRAS]]</f>
        <v>65</v>
      </c>
      <c r="T24" t="s">
        <v>45</v>
      </c>
      <c r="U24">
        <v>50</v>
      </c>
      <c r="V24">
        <v>15</v>
      </c>
      <c r="W24">
        <v>0</v>
      </c>
      <c r="X24">
        <v>0</v>
      </c>
      <c r="Z24">
        <f>SUM(Tabla1[[#This Row],[RES-A]:[EXTR-B]])</f>
        <v>65</v>
      </c>
      <c r="AA24">
        <f>Tabla1[[#This Row],[Columna1]]-Tabla1[[#This Row],[IMPORTE TOTAL]]</f>
        <v>0</v>
      </c>
    </row>
    <row r="25" spans="1:27" outlineLevel="1" x14ac:dyDescent="0.2">
      <c r="A25">
        <v>2020</v>
      </c>
      <c r="B25" t="s">
        <v>56</v>
      </c>
      <c r="C25" s="3">
        <v>43869</v>
      </c>
      <c r="D25" s="3" t="s">
        <v>42</v>
      </c>
      <c r="E25" s="3" t="s">
        <v>46</v>
      </c>
      <c r="F25" s="3" t="s">
        <v>46</v>
      </c>
      <c r="G25" s="4">
        <v>0.64583333333333337</v>
      </c>
      <c r="H25" s="4">
        <v>0.85416666666666663</v>
      </c>
      <c r="I25" t="s">
        <v>31</v>
      </c>
      <c r="J25">
        <v>1</v>
      </c>
      <c r="L25" s="46"/>
      <c r="P25">
        <v>145</v>
      </c>
      <c r="Q25">
        <v>0</v>
      </c>
      <c r="R25">
        <v>0</v>
      </c>
      <c r="S25" s="7">
        <f>Tabla1[[#This Row],[TARIFA]]+Tabla1[[#This Row],[IMPORTE EXTRAS]]</f>
        <v>145</v>
      </c>
      <c r="T25" t="s">
        <v>45</v>
      </c>
      <c r="U25">
        <v>0</v>
      </c>
      <c r="V25">
        <v>145</v>
      </c>
      <c r="W25">
        <v>0</v>
      </c>
      <c r="X25">
        <v>0</v>
      </c>
      <c r="Z25">
        <f>SUM(Tabla1[[#This Row],[RES-A]:[EXTR-B]])</f>
        <v>145</v>
      </c>
      <c r="AA25">
        <f>Tabla1[[#This Row],[Columna1]]-Tabla1[[#This Row],[IMPORTE TOTAL]]</f>
        <v>0</v>
      </c>
    </row>
    <row r="26" spans="1:27" outlineLevel="1" x14ac:dyDescent="0.2">
      <c r="A26">
        <v>2020</v>
      </c>
      <c r="B26" t="s">
        <v>56</v>
      </c>
      <c r="C26" s="3">
        <v>43870</v>
      </c>
      <c r="D26" s="3" t="s">
        <v>43</v>
      </c>
      <c r="E26" s="3" t="s">
        <v>46</v>
      </c>
      <c r="F26" s="3" t="s">
        <v>46</v>
      </c>
      <c r="G26" s="4">
        <v>0.39583333333333331</v>
      </c>
      <c r="H26" s="4">
        <v>0.64583333333333337</v>
      </c>
      <c r="I26" t="s">
        <v>30</v>
      </c>
      <c r="J26">
        <v>1</v>
      </c>
      <c r="L26" s="46"/>
      <c r="P26">
        <v>145</v>
      </c>
      <c r="Q26">
        <v>0</v>
      </c>
      <c r="R26">
        <v>0</v>
      </c>
      <c r="S26" s="7">
        <f>Tabla1[[#This Row],[TARIFA]]+Tabla1[[#This Row],[IMPORTE EXTRAS]]</f>
        <v>145</v>
      </c>
      <c r="T26" t="s">
        <v>45</v>
      </c>
      <c r="U26">
        <v>50</v>
      </c>
      <c r="V26">
        <v>95</v>
      </c>
      <c r="W26">
        <v>0</v>
      </c>
      <c r="X26">
        <v>0</v>
      </c>
      <c r="Z26">
        <f>SUM(Tabla1[[#This Row],[RES-A]:[EXTR-B]])</f>
        <v>145</v>
      </c>
      <c r="AA26">
        <f>Tabla1[[#This Row],[Columna1]]-Tabla1[[#This Row],[IMPORTE TOTAL]]</f>
        <v>0</v>
      </c>
    </row>
    <row r="27" spans="1:27" outlineLevel="1" x14ac:dyDescent="0.2">
      <c r="A27">
        <v>2020</v>
      </c>
      <c r="B27" t="s">
        <v>56</v>
      </c>
      <c r="C27" s="3">
        <v>43871</v>
      </c>
      <c r="D27" s="3" t="s">
        <v>37</v>
      </c>
      <c r="E27" s="3" t="s">
        <v>46</v>
      </c>
      <c r="F27" s="3" t="s">
        <v>46</v>
      </c>
      <c r="G27" s="4">
        <v>0.64583333333333337</v>
      </c>
      <c r="H27" s="4">
        <v>0.85416666666666663</v>
      </c>
      <c r="I27" t="s">
        <v>31</v>
      </c>
      <c r="J27">
        <v>1</v>
      </c>
      <c r="L27" s="46"/>
      <c r="P27">
        <v>95</v>
      </c>
      <c r="Q27">
        <v>0</v>
      </c>
      <c r="R27">
        <v>0</v>
      </c>
      <c r="S27" s="7">
        <f>Tabla1[[#This Row],[TARIFA]]+Tabla1[[#This Row],[IMPORTE EXTRAS]]</f>
        <v>95</v>
      </c>
      <c r="T27" t="s">
        <v>45</v>
      </c>
      <c r="U27">
        <v>50</v>
      </c>
      <c r="V27">
        <v>45</v>
      </c>
      <c r="W27">
        <v>0</v>
      </c>
      <c r="X27">
        <v>0</v>
      </c>
      <c r="Z27">
        <f>SUM(Tabla1[[#This Row],[RES-A]:[EXTR-B]])</f>
        <v>95</v>
      </c>
      <c r="AA27">
        <f>Tabla1[[#This Row],[Columna1]]-Tabla1[[#This Row],[IMPORTE TOTAL]]</f>
        <v>0</v>
      </c>
    </row>
    <row r="28" spans="1:27" outlineLevel="1" x14ac:dyDescent="0.2">
      <c r="A28">
        <v>2020</v>
      </c>
      <c r="B28" t="s">
        <v>56</v>
      </c>
      <c r="C28" s="3">
        <v>43876</v>
      </c>
      <c r="D28" s="3" t="s">
        <v>42</v>
      </c>
      <c r="E28" s="3" t="s">
        <v>46</v>
      </c>
      <c r="F28" s="3" t="s">
        <v>46</v>
      </c>
      <c r="G28" s="4">
        <v>0.39583333333333331</v>
      </c>
      <c r="H28" s="4">
        <v>0.60416666666666663</v>
      </c>
      <c r="I28" t="s">
        <v>30</v>
      </c>
      <c r="J28">
        <v>1</v>
      </c>
      <c r="K28" s="49"/>
      <c r="L28" s="46"/>
      <c r="P28">
        <v>145</v>
      </c>
      <c r="Q28">
        <v>0</v>
      </c>
      <c r="R28">
        <v>0</v>
      </c>
      <c r="S28" s="7">
        <f>Tabla1[[#This Row],[TARIFA]]+Tabla1[[#This Row],[IMPORTE EXTRAS]]</f>
        <v>145</v>
      </c>
      <c r="T28" t="s">
        <v>45</v>
      </c>
      <c r="U28">
        <v>145</v>
      </c>
      <c r="V28">
        <v>0</v>
      </c>
      <c r="W28">
        <v>0</v>
      </c>
      <c r="X28">
        <v>0</v>
      </c>
      <c r="Z28">
        <f>SUM(Tabla1[[#This Row],[RES-A]:[EXTR-B]])</f>
        <v>145</v>
      </c>
      <c r="AA28">
        <f>Tabla1[[#This Row],[Columna1]]-Tabla1[[#This Row],[IMPORTE TOTAL]]</f>
        <v>0</v>
      </c>
    </row>
    <row r="29" spans="1:27" outlineLevel="1" x14ac:dyDescent="0.2">
      <c r="A29">
        <v>2020</v>
      </c>
      <c r="B29" t="s">
        <v>56</v>
      </c>
      <c r="C29" s="3">
        <v>43876</v>
      </c>
      <c r="D29" s="3" t="s">
        <v>42</v>
      </c>
      <c r="E29" s="3" t="s">
        <v>46</v>
      </c>
      <c r="F29" s="3" t="s">
        <v>46</v>
      </c>
      <c r="G29" s="4">
        <v>0.64583333333333337</v>
      </c>
      <c r="H29" s="4">
        <v>0.85416666666666663</v>
      </c>
      <c r="I29" t="s">
        <v>31</v>
      </c>
      <c r="J29">
        <v>1</v>
      </c>
      <c r="L29" s="46"/>
      <c r="P29">
        <v>145</v>
      </c>
      <c r="Q29">
        <v>0</v>
      </c>
      <c r="R29">
        <v>0</v>
      </c>
      <c r="S29" s="7">
        <f>Tabla1[[#This Row],[TARIFA]]+Tabla1[[#This Row],[IMPORTE EXTRAS]]</f>
        <v>145</v>
      </c>
      <c r="T29" t="s">
        <v>45</v>
      </c>
      <c r="U29">
        <v>145</v>
      </c>
      <c r="V29">
        <v>0</v>
      </c>
      <c r="W29">
        <v>0</v>
      </c>
      <c r="X29">
        <v>0</v>
      </c>
      <c r="Z29">
        <f>SUM(Tabla1[[#This Row],[RES-A]:[EXTR-B]])</f>
        <v>145</v>
      </c>
      <c r="AA29">
        <f>Tabla1[[#This Row],[Columna1]]-Tabla1[[#This Row],[IMPORTE TOTAL]]</f>
        <v>0</v>
      </c>
    </row>
    <row r="30" spans="1:27" outlineLevel="1" x14ac:dyDescent="0.2">
      <c r="A30">
        <v>2020</v>
      </c>
      <c r="B30" t="s">
        <v>56</v>
      </c>
      <c r="C30" s="3">
        <v>43876</v>
      </c>
      <c r="D30" s="3" t="s">
        <v>42</v>
      </c>
      <c r="E30" s="3" t="s">
        <v>46</v>
      </c>
      <c r="F30" s="3" t="s">
        <v>46</v>
      </c>
      <c r="G30" s="4">
        <v>0.89583333333333337</v>
      </c>
      <c r="H30" s="4">
        <v>0.10416666666666667</v>
      </c>
      <c r="I30" t="s">
        <v>35</v>
      </c>
      <c r="J30">
        <v>1</v>
      </c>
      <c r="L30" s="46"/>
      <c r="P30">
        <v>195</v>
      </c>
      <c r="Q30">
        <v>0</v>
      </c>
      <c r="R30">
        <v>100</v>
      </c>
      <c r="S30" s="7">
        <f>Tabla1[[#This Row],[TARIFA]]+Tabla1[[#This Row],[IMPORTE EXTRAS]]</f>
        <v>295</v>
      </c>
      <c r="T30" t="s">
        <v>45</v>
      </c>
      <c r="U30">
        <v>50</v>
      </c>
      <c r="V30">
        <v>145</v>
      </c>
      <c r="W30">
        <v>0</v>
      </c>
      <c r="X30">
        <v>100</v>
      </c>
      <c r="Z30">
        <f>SUM(Tabla1[[#This Row],[RES-A]:[EXTR-B]])</f>
        <v>295</v>
      </c>
      <c r="AA30">
        <f>Tabla1[[#This Row],[Columna1]]-Tabla1[[#This Row],[IMPORTE TOTAL]]</f>
        <v>0</v>
      </c>
    </row>
    <row r="31" spans="1:27" outlineLevel="1" x14ac:dyDescent="0.2">
      <c r="A31">
        <v>2020</v>
      </c>
      <c r="B31" t="s">
        <v>56</v>
      </c>
      <c r="C31" s="3">
        <v>43877</v>
      </c>
      <c r="D31" s="3" t="s">
        <v>43</v>
      </c>
      <c r="E31" s="3" t="s">
        <v>46</v>
      </c>
      <c r="F31" s="3" t="s">
        <v>46</v>
      </c>
      <c r="G31" s="4">
        <v>0.39583333333333331</v>
      </c>
      <c r="H31" s="4">
        <v>0.60416666666666663</v>
      </c>
      <c r="I31" t="s">
        <v>30</v>
      </c>
      <c r="J31">
        <v>1</v>
      </c>
      <c r="L31" s="46"/>
      <c r="P31">
        <v>145</v>
      </c>
      <c r="Q31">
        <v>0</v>
      </c>
      <c r="R31">
        <v>0</v>
      </c>
      <c r="S31" s="7">
        <f>Tabla1[[#This Row],[TARIFA]]+Tabla1[[#This Row],[IMPORTE EXTRAS]]</f>
        <v>145</v>
      </c>
      <c r="T31" t="s">
        <v>45</v>
      </c>
      <c r="U31">
        <v>0</v>
      </c>
      <c r="V31">
        <v>145</v>
      </c>
      <c r="W31">
        <v>0</v>
      </c>
      <c r="X31">
        <v>0</v>
      </c>
      <c r="Z31">
        <f>SUM(Tabla1[[#This Row],[RES-A]:[EXTR-B]])</f>
        <v>145</v>
      </c>
      <c r="AA31">
        <f>Tabla1[[#This Row],[Columna1]]-Tabla1[[#This Row],[IMPORTE TOTAL]]</f>
        <v>0</v>
      </c>
    </row>
    <row r="32" spans="1:27" outlineLevel="1" x14ac:dyDescent="0.2">
      <c r="A32">
        <v>2020</v>
      </c>
      <c r="B32" t="s">
        <v>56</v>
      </c>
      <c r="C32" s="3">
        <v>43877</v>
      </c>
      <c r="D32" s="3" t="s">
        <v>43</v>
      </c>
      <c r="E32" s="3" t="s">
        <v>46</v>
      </c>
      <c r="F32" s="3" t="s">
        <v>46</v>
      </c>
      <c r="G32" s="4">
        <v>0.64583333333333337</v>
      </c>
      <c r="H32" s="4">
        <v>0.85416666666666663</v>
      </c>
      <c r="I32" t="s">
        <v>31</v>
      </c>
      <c r="J32">
        <v>1</v>
      </c>
      <c r="L32" s="46"/>
      <c r="P32">
        <v>145</v>
      </c>
      <c r="Q32">
        <v>0</v>
      </c>
      <c r="R32">
        <v>0</v>
      </c>
      <c r="S32" s="7">
        <f>Tabla1[[#This Row],[TARIFA]]+Tabla1[[#This Row],[IMPORTE EXTRAS]]</f>
        <v>145</v>
      </c>
      <c r="T32" t="s">
        <v>45</v>
      </c>
      <c r="U32">
        <v>50</v>
      </c>
      <c r="V32">
        <v>95</v>
      </c>
      <c r="W32">
        <v>0</v>
      </c>
      <c r="X32">
        <v>0</v>
      </c>
      <c r="Z32">
        <f>SUM(Tabla1[[#This Row],[RES-A]:[EXTR-B]])</f>
        <v>145</v>
      </c>
      <c r="AA32">
        <f>Tabla1[[#This Row],[Columna1]]-Tabla1[[#This Row],[IMPORTE TOTAL]]</f>
        <v>0</v>
      </c>
    </row>
    <row r="33" spans="1:27" outlineLevel="1" x14ac:dyDescent="0.2">
      <c r="A33">
        <v>2020</v>
      </c>
      <c r="B33" t="s">
        <v>56</v>
      </c>
      <c r="C33" s="3">
        <v>43882</v>
      </c>
      <c r="D33" s="3" t="s">
        <v>41</v>
      </c>
      <c r="E33" s="3" t="s">
        <v>46</v>
      </c>
      <c r="F33" s="3" t="s">
        <v>46</v>
      </c>
      <c r="G33" s="4">
        <v>0.89583333333333337</v>
      </c>
      <c r="H33" s="4">
        <v>0.10416666666666667</v>
      </c>
      <c r="I33" t="s">
        <v>35</v>
      </c>
      <c r="J33">
        <v>1</v>
      </c>
      <c r="L33" s="46"/>
      <c r="P33">
        <v>195</v>
      </c>
      <c r="Q33">
        <v>1</v>
      </c>
      <c r="R33">
        <v>5</v>
      </c>
      <c r="S33" s="7">
        <f>Tabla1[[#This Row],[TARIFA]]+Tabla1[[#This Row],[IMPORTE EXTRAS]]</f>
        <v>200</v>
      </c>
      <c r="T33" t="s">
        <v>45</v>
      </c>
      <c r="U33">
        <v>0</v>
      </c>
      <c r="V33">
        <v>195</v>
      </c>
      <c r="W33">
        <v>0</v>
      </c>
      <c r="X33">
        <v>5</v>
      </c>
      <c r="Z33">
        <f>SUM(Tabla1[[#This Row],[RES-A]:[EXTR-B]])</f>
        <v>200</v>
      </c>
      <c r="AA33">
        <f>Tabla1[[#This Row],[Columna1]]-Tabla1[[#This Row],[IMPORTE TOTAL]]</f>
        <v>0</v>
      </c>
    </row>
    <row r="34" spans="1:27" outlineLevel="1" x14ac:dyDescent="0.2">
      <c r="A34">
        <v>2020</v>
      </c>
      <c r="B34" t="s">
        <v>56</v>
      </c>
      <c r="C34" s="3">
        <v>43883</v>
      </c>
      <c r="D34" s="3" t="s">
        <v>42</v>
      </c>
      <c r="E34" s="3" t="s">
        <v>46</v>
      </c>
      <c r="F34" s="3" t="s">
        <v>46</v>
      </c>
      <c r="G34" s="4">
        <v>0.64583333333333337</v>
      </c>
      <c r="H34" s="4">
        <v>0.85416666666666663</v>
      </c>
      <c r="I34" t="s">
        <v>31</v>
      </c>
      <c r="J34">
        <v>1</v>
      </c>
      <c r="L34" s="46"/>
      <c r="P34">
        <v>145</v>
      </c>
      <c r="Q34">
        <v>1</v>
      </c>
      <c r="R34">
        <v>5</v>
      </c>
      <c r="S34" s="7">
        <f>Tabla1[[#This Row],[TARIFA]]+Tabla1[[#This Row],[IMPORTE EXTRAS]]</f>
        <v>150</v>
      </c>
      <c r="T34" t="s">
        <v>45</v>
      </c>
      <c r="U34">
        <v>0</v>
      </c>
      <c r="V34">
        <v>145</v>
      </c>
      <c r="W34">
        <v>0</v>
      </c>
      <c r="X34">
        <v>5</v>
      </c>
      <c r="Z34">
        <f>SUM(Tabla1[[#This Row],[RES-A]:[EXTR-B]])</f>
        <v>150</v>
      </c>
      <c r="AA34">
        <f>Tabla1[[#This Row],[Columna1]]-Tabla1[[#This Row],[IMPORTE TOTAL]]</f>
        <v>0</v>
      </c>
    </row>
    <row r="35" spans="1:27" outlineLevel="1" x14ac:dyDescent="0.2">
      <c r="A35">
        <v>2020</v>
      </c>
      <c r="B35" t="s">
        <v>56</v>
      </c>
      <c r="C35" s="3">
        <v>43883</v>
      </c>
      <c r="D35" s="3" t="s">
        <v>42</v>
      </c>
      <c r="E35" s="3" t="s">
        <v>46</v>
      </c>
      <c r="F35" s="3" t="s">
        <v>46</v>
      </c>
      <c r="G35" s="4">
        <v>0.89583333333333337</v>
      </c>
      <c r="H35" s="4">
        <v>0.10416666666666667</v>
      </c>
      <c r="I35" t="s">
        <v>35</v>
      </c>
      <c r="J35">
        <v>1</v>
      </c>
      <c r="L35" s="46"/>
      <c r="P35">
        <v>195</v>
      </c>
      <c r="Q35">
        <v>1</v>
      </c>
      <c r="R35">
        <v>5</v>
      </c>
      <c r="S35" s="7">
        <f>Tabla1[[#This Row],[TARIFA]]+Tabla1[[#This Row],[IMPORTE EXTRAS]]</f>
        <v>200</v>
      </c>
      <c r="T35" t="s">
        <v>45</v>
      </c>
      <c r="U35">
        <v>0</v>
      </c>
      <c r="V35">
        <v>195</v>
      </c>
      <c r="W35">
        <v>0</v>
      </c>
      <c r="X35">
        <v>5</v>
      </c>
      <c r="Y35" t="s">
        <v>208</v>
      </c>
      <c r="Z35">
        <f>SUM(Tabla1[[#This Row],[RES-A]:[EXTR-B]])</f>
        <v>200</v>
      </c>
      <c r="AA35">
        <f>Tabla1[[#This Row],[Columna1]]-Tabla1[[#This Row],[IMPORTE TOTAL]]</f>
        <v>0</v>
      </c>
    </row>
    <row r="36" spans="1:27" outlineLevel="1" x14ac:dyDescent="0.2">
      <c r="A36">
        <v>2020</v>
      </c>
      <c r="B36" t="s">
        <v>56</v>
      </c>
      <c r="C36" s="3">
        <v>43884</v>
      </c>
      <c r="D36" s="3" t="s">
        <v>43</v>
      </c>
      <c r="E36" s="3" t="s">
        <v>46</v>
      </c>
      <c r="F36" s="3" t="s">
        <v>46</v>
      </c>
      <c r="G36" s="4">
        <v>0.39583333333333331</v>
      </c>
      <c r="H36" s="4">
        <v>0.60416666666666663</v>
      </c>
      <c r="I36" t="s">
        <v>30</v>
      </c>
      <c r="J36">
        <v>1</v>
      </c>
      <c r="L36" s="46"/>
      <c r="P36">
        <v>145</v>
      </c>
      <c r="Q36">
        <v>0</v>
      </c>
      <c r="R36">
        <v>0</v>
      </c>
      <c r="S36" s="7">
        <f>Tabla1[[#This Row],[TARIFA]]+Tabla1[[#This Row],[IMPORTE EXTRAS]]</f>
        <v>145</v>
      </c>
      <c r="T36" t="s">
        <v>45</v>
      </c>
      <c r="U36">
        <v>145</v>
      </c>
      <c r="V36">
        <v>0</v>
      </c>
      <c r="W36">
        <v>0</v>
      </c>
      <c r="X36">
        <v>0</v>
      </c>
      <c r="Z36">
        <f>SUM(Tabla1[[#This Row],[RES-A]:[EXTR-B]])</f>
        <v>145</v>
      </c>
      <c r="AA36">
        <f>Tabla1[[#This Row],[Columna1]]-Tabla1[[#This Row],[IMPORTE TOTAL]]</f>
        <v>0</v>
      </c>
    </row>
    <row r="37" spans="1:27" outlineLevel="1" x14ac:dyDescent="0.2">
      <c r="A37">
        <v>2020</v>
      </c>
      <c r="B37" t="s">
        <v>56</v>
      </c>
      <c r="C37" s="3">
        <v>43884</v>
      </c>
      <c r="D37" s="3" t="s">
        <v>43</v>
      </c>
      <c r="E37" s="3" t="s">
        <v>46</v>
      </c>
      <c r="F37" s="3" t="s">
        <v>46</v>
      </c>
      <c r="G37" s="4">
        <v>0.85416666666666663</v>
      </c>
      <c r="H37" s="4">
        <v>0.10416666666666667</v>
      </c>
      <c r="I37" t="s">
        <v>35</v>
      </c>
      <c r="J37">
        <v>1</v>
      </c>
      <c r="L37" s="46"/>
      <c r="P37">
        <v>195</v>
      </c>
      <c r="Q37">
        <v>0</v>
      </c>
      <c r="R37">
        <v>0</v>
      </c>
      <c r="S37" s="7">
        <f>Tabla1[[#This Row],[TARIFA]]+Tabla1[[#This Row],[IMPORTE EXTRAS]]</f>
        <v>195</v>
      </c>
      <c r="T37" t="s">
        <v>45</v>
      </c>
      <c r="U37">
        <v>100</v>
      </c>
      <c r="V37">
        <v>95</v>
      </c>
      <c r="W37">
        <v>0</v>
      </c>
      <c r="X37">
        <v>0</v>
      </c>
      <c r="Z37">
        <f>SUM(Tabla1[[#This Row],[RES-A]:[EXTR-B]])</f>
        <v>195</v>
      </c>
      <c r="AA37">
        <f>Tabla1[[#This Row],[Columna1]]-Tabla1[[#This Row],[IMPORTE TOTAL]]</f>
        <v>0</v>
      </c>
    </row>
    <row r="38" spans="1:27" outlineLevel="1" x14ac:dyDescent="0.2">
      <c r="A38">
        <v>2020</v>
      </c>
      <c r="B38" t="s">
        <v>56</v>
      </c>
      <c r="C38" s="3">
        <v>43885</v>
      </c>
      <c r="D38" s="3" t="s">
        <v>37</v>
      </c>
      <c r="E38" s="3" t="s">
        <v>46</v>
      </c>
      <c r="F38" s="3" t="s">
        <v>46</v>
      </c>
      <c r="G38" s="4">
        <v>0.64583333333333337</v>
      </c>
      <c r="H38" s="4">
        <v>0.85416666666666663</v>
      </c>
      <c r="I38" t="s">
        <v>31</v>
      </c>
      <c r="J38">
        <v>1</v>
      </c>
      <c r="L38" s="46"/>
      <c r="P38">
        <v>95</v>
      </c>
      <c r="Q38">
        <v>0</v>
      </c>
      <c r="R38">
        <v>0</v>
      </c>
      <c r="S38" s="7">
        <f>Tabla1[[#This Row],[TARIFA]]+Tabla1[[#This Row],[IMPORTE EXTRAS]]</f>
        <v>95</v>
      </c>
      <c r="T38" t="s">
        <v>45</v>
      </c>
      <c r="U38">
        <v>50</v>
      </c>
      <c r="V38">
        <v>45</v>
      </c>
      <c r="W38">
        <v>0</v>
      </c>
      <c r="X38">
        <v>0</v>
      </c>
      <c r="Z38">
        <f>SUM(Tabla1[[#This Row],[RES-A]:[EXTR-B]])</f>
        <v>95</v>
      </c>
      <c r="AA38">
        <f>Tabla1[[#This Row],[Columna1]]-Tabla1[[#This Row],[IMPORTE TOTAL]]</f>
        <v>0</v>
      </c>
    </row>
    <row r="39" spans="1:27" outlineLevel="1" x14ac:dyDescent="0.2">
      <c r="A39">
        <v>2020</v>
      </c>
      <c r="B39" t="s">
        <v>56</v>
      </c>
      <c r="C39" s="3">
        <v>43890</v>
      </c>
      <c r="D39" s="3" t="s">
        <v>42</v>
      </c>
      <c r="E39" s="3" t="s">
        <v>46</v>
      </c>
      <c r="F39" s="3" t="s">
        <v>46</v>
      </c>
      <c r="G39" s="4">
        <v>0.39583333333333331</v>
      </c>
      <c r="H39" s="4">
        <v>0.60416666666666663</v>
      </c>
      <c r="I39" t="s">
        <v>30</v>
      </c>
      <c r="J39">
        <v>1</v>
      </c>
      <c r="L39" s="46"/>
      <c r="P39">
        <v>145</v>
      </c>
      <c r="Q39">
        <v>0</v>
      </c>
      <c r="R39">
        <v>0</v>
      </c>
      <c r="S39" s="7">
        <f>Tabla1[[#This Row],[TARIFA]]+Tabla1[[#This Row],[IMPORTE EXTRAS]]</f>
        <v>145</v>
      </c>
      <c r="T39" t="s">
        <v>45</v>
      </c>
      <c r="U39">
        <v>50</v>
      </c>
      <c r="V39">
        <v>95</v>
      </c>
      <c r="W39">
        <v>0</v>
      </c>
      <c r="X39">
        <v>0</v>
      </c>
      <c r="Z39">
        <f>SUM(Tabla1[[#This Row],[RES-A]:[EXTR-B]])</f>
        <v>145</v>
      </c>
      <c r="AA39">
        <f>Tabla1[[#This Row],[Columna1]]-Tabla1[[#This Row],[IMPORTE TOTAL]]</f>
        <v>0</v>
      </c>
    </row>
    <row r="40" spans="1:27" outlineLevel="1" x14ac:dyDescent="0.2">
      <c r="A40">
        <v>2020</v>
      </c>
      <c r="B40" t="s">
        <v>56</v>
      </c>
      <c r="C40" s="3">
        <v>43890</v>
      </c>
      <c r="D40" s="3" t="s">
        <v>42</v>
      </c>
      <c r="E40" s="3" t="s">
        <v>46</v>
      </c>
      <c r="F40" s="3" t="s">
        <v>46</v>
      </c>
      <c r="G40" s="4">
        <v>0.64583333333333337</v>
      </c>
      <c r="H40" s="4">
        <v>0.85416666666666663</v>
      </c>
      <c r="I40" t="s">
        <v>31</v>
      </c>
      <c r="J40">
        <v>1</v>
      </c>
      <c r="L40" s="46"/>
      <c r="P40">
        <v>145</v>
      </c>
      <c r="Q40">
        <v>0</v>
      </c>
      <c r="R40">
        <v>0</v>
      </c>
      <c r="S40" s="7">
        <f>Tabla1[[#This Row],[TARIFA]]+Tabla1[[#This Row],[IMPORTE EXTRAS]]</f>
        <v>145</v>
      </c>
      <c r="T40" t="s">
        <v>45</v>
      </c>
      <c r="U40">
        <v>50</v>
      </c>
      <c r="V40">
        <v>95</v>
      </c>
      <c r="W40">
        <v>0</v>
      </c>
      <c r="X40">
        <v>0</v>
      </c>
      <c r="Z40">
        <f>SUM(Tabla1[[#This Row],[RES-A]:[EXTR-B]])</f>
        <v>145</v>
      </c>
      <c r="AA40">
        <f>Tabla1[[#This Row],[Columna1]]-Tabla1[[#This Row],[IMPORTE TOTAL]]</f>
        <v>0</v>
      </c>
    </row>
    <row r="41" spans="1:27" outlineLevel="1" x14ac:dyDescent="0.2">
      <c r="A41">
        <v>2020</v>
      </c>
      <c r="B41" t="s">
        <v>56</v>
      </c>
      <c r="C41" s="3">
        <v>43890</v>
      </c>
      <c r="D41" s="3" t="s">
        <v>42</v>
      </c>
      <c r="E41" s="3" t="s">
        <v>46</v>
      </c>
      <c r="F41" s="3" t="s">
        <v>46</v>
      </c>
      <c r="G41" s="4">
        <v>0.89583333333333337</v>
      </c>
      <c r="H41" s="4">
        <v>0.10416666666666667</v>
      </c>
      <c r="I41" t="s">
        <v>35</v>
      </c>
      <c r="J41">
        <v>1</v>
      </c>
      <c r="L41" s="46"/>
      <c r="P41">
        <v>195</v>
      </c>
      <c r="Q41">
        <v>0</v>
      </c>
      <c r="R41">
        <v>0</v>
      </c>
      <c r="S41" s="7">
        <f>Tabla1[[#This Row],[TARIFA]]+Tabla1[[#This Row],[IMPORTE EXTRAS]]</f>
        <v>195</v>
      </c>
      <c r="T41" t="s">
        <v>45</v>
      </c>
      <c r="U41">
        <v>195</v>
      </c>
      <c r="V41">
        <v>0</v>
      </c>
      <c r="W41">
        <v>0</v>
      </c>
      <c r="X41">
        <v>0</v>
      </c>
      <c r="Z41">
        <f>SUM(Tabla1[[#This Row],[RES-A]:[EXTR-B]])</f>
        <v>195</v>
      </c>
      <c r="AA41">
        <f>Tabla1[[#This Row],[Columna1]]-Tabla1[[#This Row],[IMPORTE TOTAL]]</f>
        <v>0</v>
      </c>
    </row>
    <row r="42" spans="1:27" outlineLevel="1" x14ac:dyDescent="0.2">
      <c r="A42">
        <v>2020</v>
      </c>
      <c r="B42" t="s">
        <v>57</v>
      </c>
      <c r="C42" s="3">
        <v>43896</v>
      </c>
      <c r="D42" s="3" t="s">
        <v>41</v>
      </c>
      <c r="E42" s="3" t="s">
        <v>46</v>
      </c>
      <c r="F42" s="3" t="s">
        <v>46</v>
      </c>
      <c r="G42" s="4">
        <v>0.89583333333333337</v>
      </c>
      <c r="H42" s="4">
        <v>0.10416666666666667</v>
      </c>
      <c r="I42" t="s">
        <v>35</v>
      </c>
      <c r="J42">
        <v>1</v>
      </c>
      <c r="L42" s="46"/>
      <c r="P42">
        <v>195</v>
      </c>
      <c r="Q42">
        <v>1</v>
      </c>
      <c r="R42">
        <v>50</v>
      </c>
      <c r="S42" s="7">
        <f>Tabla1[[#This Row],[TARIFA]]+Tabla1[[#This Row],[IMPORTE EXTRAS]]</f>
        <v>245</v>
      </c>
      <c r="T42" t="s">
        <v>45</v>
      </c>
      <c r="U42">
        <v>50</v>
      </c>
      <c r="V42">
        <v>145</v>
      </c>
      <c r="W42">
        <v>0</v>
      </c>
      <c r="X42">
        <v>50</v>
      </c>
      <c r="Z42">
        <f>SUM(Tabla1[[#This Row],[RES-A]:[EXTR-B]])</f>
        <v>245</v>
      </c>
      <c r="AA42">
        <f>Tabla1[[#This Row],[Columna1]]-Tabla1[[#This Row],[IMPORTE TOTAL]]</f>
        <v>0</v>
      </c>
    </row>
    <row r="43" spans="1:27" outlineLevel="1" x14ac:dyDescent="0.2">
      <c r="A43">
        <v>2020</v>
      </c>
      <c r="B43" t="s">
        <v>57</v>
      </c>
      <c r="C43" s="3">
        <v>43897</v>
      </c>
      <c r="D43" s="3" t="s">
        <v>42</v>
      </c>
      <c r="E43" s="3" t="s">
        <v>46</v>
      </c>
      <c r="F43" s="3" t="s">
        <v>46</v>
      </c>
      <c r="G43" s="4">
        <v>0.625</v>
      </c>
      <c r="H43" s="4">
        <v>0.85416666666666663</v>
      </c>
      <c r="I43" t="s">
        <v>31</v>
      </c>
      <c r="J43">
        <v>1</v>
      </c>
      <c r="L43" s="46"/>
      <c r="P43">
        <v>145</v>
      </c>
      <c r="Q43">
        <v>0</v>
      </c>
      <c r="R43">
        <v>0</v>
      </c>
      <c r="S43" s="7">
        <f>Tabla1[[#This Row],[TARIFA]]+Tabla1[[#This Row],[IMPORTE EXTRAS]]</f>
        <v>145</v>
      </c>
      <c r="T43" t="s">
        <v>45</v>
      </c>
      <c r="U43">
        <v>50</v>
      </c>
      <c r="V43">
        <v>95</v>
      </c>
      <c r="W43">
        <v>0</v>
      </c>
      <c r="X43">
        <v>0</v>
      </c>
      <c r="Z43">
        <f>SUM(Tabla1[[#This Row],[RES-A]:[EXTR-B]])</f>
        <v>145</v>
      </c>
      <c r="AA43">
        <f>Tabla1[[#This Row],[Columna1]]-Tabla1[[#This Row],[IMPORTE TOTAL]]</f>
        <v>0</v>
      </c>
    </row>
    <row r="44" spans="1:27" outlineLevel="1" x14ac:dyDescent="0.2">
      <c r="A44">
        <v>2020</v>
      </c>
      <c r="B44" t="s">
        <v>57</v>
      </c>
      <c r="C44" s="3">
        <v>43898</v>
      </c>
      <c r="D44" s="3" t="s">
        <v>43</v>
      </c>
      <c r="E44" s="3" t="s">
        <v>46</v>
      </c>
      <c r="F44" s="3" t="s">
        <v>46</v>
      </c>
      <c r="G44" s="4">
        <v>0.39583333333333331</v>
      </c>
      <c r="H44" s="4">
        <v>0.60416666666666663</v>
      </c>
      <c r="I44" t="s">
        <v>30</v>
      </c>
      <c r="J44">
        <v>1</v>
      </c>
      <c r="L44" s="46"/>
      <c r="P44">
        <v>145</v>
      </c>
      <c r="Q44">
        <v>0</v>
      </c>
      <c r="R44">
        <v>0</v>
      </c>
      <c r="S44" s="7">
        <f>Tabla1[[#This Row],[TARIFA]]+Tabla1[[#This Row],[IMPORTE EXTRAS]]</f>
        <v>145</v>
      </c>
      <c r="T44" t="s">
        <v>45</v>
      </c>
      <c r="U44">
        <v>50</v>
      </c>
      <c r="V44">
        <v>95</v>
      </c>
      <c r="W44">
        <v>0</v>
      </c>
      <c r="X44">
        <v>0</v>
      </c>
      <c r="Z44">
        <f>SUM(Tabla1[[#This Row],[RES-A]:[EXTR-B]])</f>
        <v>145</v>
      </c>
      <c r="AA44">
        <f>Tabla1[[#This Row],[Columna1]]-Tabla1[[#This Row],[IMPORTE TOTAL]]</f>
        <v>0</v>
      </c>
    </row>
    <row r="45" spans="1:27" outlineLevel="1" x14ac:dyDescent="0.2">
      <c r="A45">
        <v>2020</v>
      </c>
      <c r="B45" t="s">
        <v>57</v>
      </c>
      <c r="C45" s="3">
        <v>43898</v>
      </c>
      <c r="D45" s="3" t="s">
        <v>43</v>
      </c>
      <c r="E45" s="3" t="s">
        <v>46</v>
      </c>
      <c r="F45" s="3" t="s">
        <v>46</v>
      </c>
      <c r="G45" s="4">
        <v>0.625</v>
      </c>
      <c r="H45" s="4">
        <v>0.85416666666666663</v>
      </c>
      <c r="I45" t="s">
        <v>31</v>
      </c>
      <c r="J45">
        <v>1</v>
      </c>
      <c r="L45" s="46"/>
      <c r="P45">
        <v>145</v>
      </c>
      <c r="Q45">
        <v>1</v>
      </c>
      <c r="R45">
        <v>20</v>
      </c>
      <c r="S45" s="7">
        <f>Tabla1[[#This Row],[TARIFA]]+Tabla1[[#This Row],[IMPORTE EXTRAS]]</f>
        <v>165</v>
      </c>
      <c r="T45" t="s">
        <v>45</v>
      </c>
      <c r="U45">
        <v>50</v>
      </c>
      <c r="V45">
        <v>95</v>
      </c>
      <c r="W45">
        <v>0</v>
      </c>
      <c r="X45">
        <v>20</v>
      </c>
      <c r="Z45">
        <f>SUM(Tabla1[[#This Row],[RES-A]:[EXTR-B]])</f>
        <v>165</v>
      </c>
      <c r="AA45">
        <f>Tabla1[[#This Row],[Columna1]]-Tabla1[[#This Row],[IMPORTE TOTAL]]</f>
        <v>0</v>
      </c>
    </row>
    <row r="46" spans="1:27" outlineLevel="1" x14ac:dyDescent="0.2">
      <c r="A46">
        <v>2020</v>
      </c>
      <c r="B46" t="s">
        <v>57</v>
      </c>
      <c r="C46" s="50">
        <v>43903</v>
      </c>
      <c r="D46" s="3" t="s">
        <v>41</v>
      </c>
      <c r="E46" s="3" t="s">
        <v>46</v>
      </c>
      <c r="F46" s="3" t="s">
        <v>46</v>
      </c>
      <c r="G46" s="4">
        <v>0.625</v>
      </c>
      <c r="H46" s="4">
        <v>0.85416666666666663</v>
      </c>
      <c r="I46" t="s">
        <v>31</v>
      </c>
      <c r="J46">
        <v>1</v>
      </c>
      <c r="L46" s="46"/>
      <c r="P46">
        <v>135</v>
      </c>
      <c r="Q46">
        <v>0</v>
      </c>
      <c r="R46">
        <v>0</v>
      </c>
      <c r="S46" s="7">
        <f>Tabla1[[#This Row],[TARIFA]]+Tabla1[[#This Row],[IMPORTE EXTRAS]]</f>
        <v>135</v>
      </c>
      <c r="T46" t="s">
        <v>55</v>
      </c>
      <c r="U46">
        <v>0</v>
      </c>
      <c r="V46">
        <v>0</v>
      </c>
      <c r="W46">
        <v>0</v>
      </c>
      <c r="X46">
        <v>0</v>
      </c>
      <c r="Y46" s="52" t="s">
        <v>177</v>
      </c>
      <c r="Z46">
        <f>SUM(Tabla1[[#This Row],[RES-A]:[EXTR-B]])</f>
        <v>0</v>
      </c>
      <c r="AA46">
        <f>Tabla1[[#This Row],[Columna1]]-Tabla1[[#This Row],[IMPORTE TOTAL]]</f>
        <v>-135</v>
      </c>
    </row>
    <row r="47" spans="1:27" outlineLevel="1" x14ac:dyDescent="0.2">
      <c r="A47">
        <v>2020</v>
      </c>
      <c r="B47" t="s">
        <v>57</v>
      </c>
      <c r="C47" s="50">
        <v>43903</v>
      </c>
      <c r="D47" s="3" t="s">
        <v>41</v>
      </c>
      <c r="E47" s="3" t="s">
        <v>46</v>
      </c>
      <c r="F47" s="3" t="s">
        <v>46</v>
      </c>
      <c r="G47" s="4">
        <v>0.89583333333333337</v>
      </c>
      <c r="H47" s="4">
        <v>0.10416666666666667</v>
      </c>
      <c r="I47" t="s">
        <v>35</v>
      </c>
      <c r="J47">
        <v>1</v>
      </c>
      <c r="L47" s="46"/>
      <c r="P47">
        <v>195</v>
      </c>
      <c r="Q47">
        <v>0</v>
      </c>
      <c r="R47">
        <v>0</v>
      </c>
      <c r="S47" s="7">
        <f>Tabla1[[#This Row],[TARIFA]]+Tabla1[[#This Row],[IMPORTE EXTRAS]]</f>
        <v>195</v>
      </c>
      <c r="T47" t="s">
        <v>55</v>
      </c>
      <c r="U47">
        <v>0</v>
      </c>
      <c r="V47">
        <v>0</v>
      </c>
      <c r="W47">
        <v>0</v>
      </c>
      <c r="X47">
        <v>0</v>
      </c>
      <c r="Y47" s="52" t="s">
        <v>177</v>
      </c>
      <c r="Z47">
        <f>SUM(Tabla1[[#This Row],[RES-A]:[EXTR-B]])</f>
        <v>0</v>
      </c>
      <c r="AA47">
        <f>Tabla1[[#This Row],[Columna1]]-Tabla1[[#This Row],[IMPORTE TOTAL]]</f>
        <v>-195</v>
      </c>
    </row>
    <row r="48" spans="1:27" outlineLevel="1" x14ac:dyDescent="0.2">
      <c r="A48">
        <v>2020</v>
      </c>
      <c r="B48" t="s">
        <v>57</v>
      </c>
      <c r="C48" s="50">
        <v>43904</v>
      </c>
      <c r="D48" s="3" t="s">
        <v>42</v>
      </c>
      <c r="E48" s="3" t="s">
        <v>46</v>
      </c>
      <c r="F48" s="3" t="s">
        <v>46</v>
      </c>
      <c r="G48" s="4">
        <v>0.39583333333333331</v>
      </c>
      <c r="H48" s="4">
        <v>0.85416666666666663</v>
      </c>
      <c r="I48" t="s">
        <v>32</v>
      </c>
      <c r="J48">
        <v>2</v>
      </c>
      <c r="L48" s="46"/>
      <c r="P48">
        <v>270</v>
      </c>
      <c r="Q48">
        <v>0</v>
      </c>
      <c r="R48">
        <v>0</v>
      </c>
      <c r="S48" s="7">
        <f>Tabla1[[#This Row],[TARIFA]]+Tabla1[[#This Row],[IMPORTE EXTRAS]]</f>
        <v>270</v>
      </c>
      <c r="T48" t="s">
        <v>55</v>
      </c>
      <c r="U48">
        <v>0</v>
      </c>
      <c r="V48">
        <v>0</v>
      </c>
      <c r="W48">
        <v>0</v>
      </c>
      <c r="X48">
        <v>0</v>
      </c>
      <c r="Y48" s="52" t="s">
        <v>177</v>
      </c>
      <c r="Z48">
        <f>SUM(Tabla1[[#This Row],[RES-A]:[EXTR-B]])</f>
        <v>0</v>
      </c>
      <c r="AA48">
        <f>Tabla1[[#This Row],[Columna1]]-Tabla1[[#This Row],[IMPORTE TOTAL]]</f>
        <v>-270</v>
      </c>
    </row>
    <row r="49" spans="1:27" outlineLevel="1" x14ac:dyDescent="0.2">
      <c r="A49">
        <v>2020</v>
      </c>
      <c r="B49" t="s">
        <v>57</v>
      </c>
      <c r="C49" s="50">
        <v>43904</v>
      </c>
      <c r="D49" s="3" t="s">
        <v>42</v>
      </c>
      <c r="E49" s="3" t="s">
        <v>46</v>
      </c>
      <c r="F49" s="3" t="s">
        <v>46</v>
      </c>
      <c r="G49" s="4">
        <v>0.89583333333333337</v>
      </c>
      <c r="H49" s="4">
        <v>0.10416666666666667</v>
      </c>
      <c r="I49" t="s">
        <v>35</v>
      </c>
      <c r="J49">
        <v>1</v>
      </c>
      <c r="L49" s="46"/>
      <c r="P49">
        <v>195</v>
      </c>
      <c r="Q49">
        <v>0</v>
      </c>
      <c r="R49">
        <v>0</v>
      </c>
      <c r="S49" s="7">
        <f>Tabla1[[#This Row],[TARIFA]]+Tabla1[[#This Row],[IMPORTE EXTRAS]]</f>
        <v>195</v>
      </c>
      <c r="T49" t="s">
        <v>55</v>
      </c>
      <c r="U49">
        <v>0</v>
      </c>
      <c r="V49">
        <v>0</v>
      </c>
      <c r="W49">
        <v>0</v>
      </c>
      <c r="X49">
        <v>0</v>
      </c>
      <c r="Y49" s="52" t="s">
        <v>178</v>
      </c>
      <c r="Z49">
        <f>SUM(Tabla1[[#This Row],[RES-A]:[EXTR-B]])</f>
        <v>0</v>
      </c>
      <c r="AA49">
        <f>Tabla1[[#This Row],[Columna1]]-Tabla1[[#This Row],[IMPORTE TOTAL]]</f>
        <v>-195</v>
      </c>
    </row>
    <row r="50" spans="1:27" outlineLevel="1" x14ac:dyDescent="0.2">
      <c r="A50">
        <v>2020</v>
      </c>
      <c r="B50" t="s">
        <v>57</v>
      </c>
      <c r="C50" s="50">
        <v>43905</v>
      </c>
      <c r="D50" s="3" t="s">
        <v>43</v>
      </c>
      <c r="E50" s="3" t="s">
        <v>46</v>
      </c>
      <c r="F50" s="3" t="s">
        <v>46</v>
      </c>
      <c r="G50" s="4">
        <v>0.39583333333333331</v>
      </c>
      <c r="H50" s="4">
        <v>0.85416666666666663</v>
      </c>
      <c r="I50" t="s">
        <v>32</v>
      </c>
      <c r="J50">
        <v>2</v>
      </c>
      <c r="L50" s="46"/>
      <c r="P50">
        <v>270</v>
      </c>
      <c r="Q50">
        <v>0</v>
      </c>
      <c r="R50">
        <v>0</v>
      </c>
      <c r="S50" s="7">
        <f>Tabla1[[#This Row],[TARIFA]]+Tabla1[[#This Row],[IMPORTE EXTRAS]]</f>
        <v>270</v>
      </c>
      <c r="T50" t="s">
        <v>55</v>
      </c>
      <c r="U50">
        <v>0</v>
      </c>
      <c r="V50">
        <v>0</v>
      </c>
      <c r="W50">
        <v>0</v>
      </c>
      <c r="X50">
        <v>0</v>
      </c>
      <c r="Y50" s="52" t="s">
        <v>177</v>
      </c>
      <c r="Z50">
        <f>SUM(Tabla1[[#This Row],[RES-A]:[EXTR-B]])</f>
        <v>0</v>
      </c>
      <c r="AA50">
        <f>Tabla1[[#This Row],[Columna1]]-Tabla1[[#This Row],[IMPORTE TOTAL]]</f>
        <v>-270</v>
      </c>
    </row>
    <row r="51" spans="1:27" outlineLevel="1" x14ac:dyDescent="0.2">
      <c r="A51">
        <v>2020</v>
      </c>
      <c r="B51" t="s">
        <v>57</v>
      </c>
      <c r="C51" s="50">
        <v>43910</v>
      </c>
      <c r="D51" s="3" t="s">
        <v>41</v>
      </c>
      <c r="E51" s="3" t="s">
        <v>46</v>
      </c>
      <c r="F51" s="3" t="s">
        <v>46</v>
      </c>
      <c r="G51" s="4">
        <v>0.89583333333333337</v>
      </c>
      <c r="H51" s="4">
        <v>0.10416666666666667</v>
      </c>
      <c r="I51" t="s">
        <v>35</v>
      </c>
      <c r="J51">
        <v>1</v>
      </c>
      <c r="L51" s="46"/>
      <c r="P51">
        <v>195</v>
      </c>
      <c r="Q51">
        <v>0</v>
      </c>
      <c r="R51">
        <v>0</v>
      </c>
      <c r="S51" s="7">
        <f>Tabla1[[#This Row],[TARIFA]]+Tabla1[[#This Row],[IMPORTE EXTRAS]]</f>
        <v>195</v>
      </c>
      <c r="T51" t="s">
        <v>55</v>
      </c>
      <c r="U51">
        <v>0</v>
      </c>
      <c r="V51">
        <v>0</v>
      </c>
      <c r="W51">
        <v>0</v>
      </c>
      <c r="X51">
        <v>0</v>
      </c>
      <c r="Y51" s="52" t="s">
        <v>178</v>
      </c>
      <c r="Z51">
        <f>SUM(Tabla1[[#This Row],[RES-A]:[EXTR-B]])</f>
        <v>0</v>
      </c>
      <c r="AA51">
        <f>Tabla1[[#This Row],[Columna1]]-Tabla1[[#This Row],[IMPORTE TOTAL]]</f>
        <v>-195</v>
      </c>
    </row>
    <row r="52" spans="1:27" outlineLevel="1" x14ac:dyDescent="0.2">
      <c r="A52">
        <v>2020</v>
      </c>
      <c r="B52" t="s">
        <v>57</v>
      </c>
      <c r="C52" s="50">
        <v>43911</v>
      </c>
      <c r="D52" s="3" t="s">
        <v>42</v>
      </c>
      <c r="E52" s="3" t="s">
        <v>46</v>
      </c>
      <c r="F52" s="3" t="s">
        <v>46</v>
      </c>
      <c r="G52" s="4">
        <v>0.64583333333333337</v>
      </c>
      <c r="H52" s="4">
        <v>0.10416666666666667</v>
      </c>
      <c r="I52" t="s">
        <v>34</v>
      </c>
      <c r="J52">
        <v>2</v>
      </c>
      <c r="L52" s="46"/>
      <c r="P52">
        <v>300</v>
      </c>
      <c r="Q52">
        <v>0</v>
      </c>
      <c r="R52">
        <v>0</v>
      </c>
      <c r="S52" s="7">
        <f>Tabla1[[#This Row],[TARIFA]]+Tabla1[[#This Row],[IMPORTE EXTRAS]]</f>
        <v>300</v>
      </c>
      <c r="T52" t="s">
        <v>55</v>
      </c>
      <c r="U52">
        <v>0</v>
      </c>
      <c r="V52">
        <v>0</v>
      </c>
      <c r="W52">
        <v>0</v>
      </c>
      <c r="X52">
        <v>0</v>
      </c>
      <c r="Y52" s="52" t="s">
        <v>177</v>
      </c>
      <c r="Z52">
        <f>SUM(Tabla1[[#This Row],[RES-A]:[EXTR-B]])</f>
        <v>0</v>
      </c>
      <c r="AA52">
        <f>Tabla1[[#This Row],[Columna1]]-Tabla1[[#This Row],[IMPORTE TOTAL]]</f>
        <v>-300</v>
      </c>
    </row>
    <row r="53" spans="1:27" outlineLevel="1" x14ac:dyDescent="0.2">
      <c r="A53">
        <v>2020</v>
      </c>
      <c r="B53" t="s">
        <v>57</v>
      </c>
      <c r="C53" s="50">
        <v>43912</v>
      </c>
      <c r="D53" s="3" t="s">
        <v>43</v>
      </c>
      <c r="E53" s="3" t="s">
        <v>46</v>
      </c>
      <c r="F53" s="3" t="s">
        <v>46</v>
      </c>
      <c r="G53" s="4">
        <v>0.39583333333333331</v>
      </c>
      <c r="H53" s="4">
        <v>0.60416666666666663</v>
      </c>
      <c r="I53" t="s">
        <v>30</v>
      </c>
      <c r="J53">
        <v>1</v>
      </c>
      <c r="L53" s="46"/>
      <c r="P53">
        <v>145</v>
      </c>
      <c r="Q53">
        <v>0</v>
      </c>
      <c r="R53">
        <v>0</v>
      </c>
      <c r="S53" s="7">
        <f>Tabla1[[#This Row],[TARIFA]]+Tabla1[[#This Row],[IMPORTE EXTRAS]]</f>
        <v>145</v>
      </c>
      <c r="T53" t="s">
        <v>55</v>
      </c>
      <c r="U53">
        <v>0</v>
      </c>
      <c r="V53">
        <v>0</v>
      </c>
      <c r="W53">
        <v>0</v>
      </c>
      <c r="X53">
        <v>0</v>
      </c>
      <c r="Y53" s="52" t="s">
        <v>177</v>
      </c>
      <c r="Z53">
        <f>SUM(Tabla1[[#This Row],[RES-A]:[EXTR-B]])</f>
        <v>0</v>
      </c>
      <c r="AA53">
        <f>Tabla1[[#This Row],[Columna1]]-Tabla1[[#This Row],[IMPORTE TOTAL]]</f>
        <v>-145</v>
      </c>
    </row>
    <row r="54" spans="1:27" outlineLevel="1" x14ac:dyDescent="0.2">
      <c r="A54">
        <v>2020</v>
      </c>
      <c r="B54" t="s">
        <v>57</v>
      </c>
      <c r="C54" s="50">
        <v>43912</v>
      </c>
      <c r="D54" s="3" t="s">
        <v>43</v>
      </c>
      <c r="E54" s="3" t="s">
        <v>46</v>
      </c>
      <c r="F54" s="3" t="s">
        <v>46</v>
      </c>
      <c r="G54" s="4">
        <v>0.64583333333333337</v>
      </c>
      <c r="H54" s="4">
        <v>0.85416666666666663</v>
      </c>
      <c r="I54" t="s">
        <v>31</v>
      </c>
      <c r="J54">
        <v>1</v>
      </c>
      <c r="L54" s="46"/>
      <c r="P54">
        <v>145</v>
      </c>
      <c r="Q54">
        <v>0</v>
      </c>
      <c r="R54">
        <v>0</v>
      </c>
      <c r="S54" s="7">
        <f>Tabla1[[#This Row],[TARIFA]]+Tabla1[[#This Row],[IMPORTE EXTRAS]]</f>
        <v>145</v>
      </c>
      <c r="T54" t="s">
        <v>55</v>
      </c>
      <c r="U54" s="49">
        <v>0</v>
      </c>
      <c r="V54">
        <v>0</v>
      </c>
      <c r="W54">
        <v>0</v>
      </c>
      <c r="X54">
        <v>0</v>
      </c>
      <c r="Y54" s="52" t="s">
        <v>178</v>
      </c>
      <c r="Z54">
        <f>SUM(Tabla1[[#This Row],[RES-A]:[EXTR-B]])</f>
        <v>0</v>
      </c>
      <c r="AA54">
        <f>Tabla1[[#This Row],[Columna1]]-Tabla1[[#This Row],[IMPORTE TOTAL]]</f>
        <v>-145</v>
      </c>
    </row>
    <row r="55" spans="1:27" outlineLevel="1" x14ac:dyDescent="0.2">
      <c r="A55">
        <v>2020</v>
      </c>
      <c r="B55" t="s">
        <v>57</v>
      </c>
      <c r="C55" s="50">
        <v>43917</v>
      </c>
      <c r="D55" s="3" t="s">
        <v>41</v>
      </c>
      <c r="E55" s="3" t="s">
        <v>46</v>
      </c>
      <c r="F55" s="3" t="s">
        <v>46</v>
      </c>
      <c r="G55" s="4">
        <v>0.89583333333333337</v>
      </c>
      <c r="H55" s="4">
        <v>0.10416666666666667</v>
      </c>
      <c r="I55" t="s">
        <v>35</v>
      </c>
      <c r="J55">
        <v>1</v>
      </c>
      <c r="K55" s="49"/>
      <c r="L55" s="46"/>
      <c r="P55">
        <v>195</v>
      </c>
      <c r="Q55">
        <v>0</v>
      </c>
      <c r="R55">
        <v>0</v>
      </c>
      <c r="S55" s="7">
        <f>Tabla1[[#This Row],[TARIFA]]+Tabla1[[#This Row],[IMPORTE EXTRAS]]</f>
        <v>195</v>
      </c>
      <c r="T55" s="49" t="s">
        <v>55</v>
      </c>
      <c r="U55">
        <v>0</v>
      </c>
      <c r="V55">
        <v>0</v>
      </c>
      <c r="W55">
        <v>0</v>
      </c>
      <c r="X55">
        <v>0</v>
      </c>
      <c r="Y55" s="52" t="s">
        <v>177</v>
      </c>
      <c r="Z55">
        <f>SUM(Tabla1[[#This Row],[RES-A]:[EXTR-B]])</f>
        <v>0</v>
      </c>
      <c r="AA55">
        <f>Tabla1[[#This Row],[Columna1]]-Tabla1[[#This Row],[IMPORTE TOTAL]]</f>
        <v>-195</v>
      </c>
    </row>
    <row r="56" spans="1:27" outlineLevel="1" x14ac:dyDescent="0.2">
      <c r="A56">
        <v>2020</v>
      </c>
      <c r="B56" t="s">
        <v>57</v>
      </c>
      <c r="C56" s="50">
        <v>43918</v>
      </c>
      <c r="D56" s="3" t="s">
        <v>42</v>
      </c>
      <c r="E56" s="3" t="s">
        <v>46</v>
      </c>
      <c r="F56" s="3" t="s">
        <v>46</v>
      </c>
      <c r="G56" s="4">
        <v>0.64583333333333337</v>
      </c>
      <c r="H56" s="4">
        <v>0.85416666666666663</v>
      </c>
      <c r="I56" t="s">
        <v>31</v>
      </c>
      <c r="J56">
        <v>1</v>
      </c>
      <c r="L56" s="46"/>
      <c r="P56">
        <v>145</v>
      </c>
      <c r="Q56">
        <v>0</v>
      </c>
      <c r="R56">
        <v>0</v>
      </c>
      <c r="S56" s="7">
        <f>Tabla1[[#This Row],[TARIFA]]+Tabla1[[#This Row],[IMPORTE EXTRAS]]</f>
        <v>145</v>
      </c>
      <c r="T56" t="s">
        <v>55</v>
      </c>
      <c r="U56">
        <v>0</v>
      </c>
      <c r="V56">
        <v>0</v>
      </c>
      <c r="W56">
        <v>0</v>
      </c>
      <c r="X56">
        <v>0</v>
      </c>
      <c r="Y56" s="52" t="s">
        <v>177</v>
      </c>
      <c r="Z56">
        <f>SUM(Tabla1[[#This Row],[RES-A]:[EXTR-B]])</f>
        <v>0</v>
      </c>
      <c r="AA56">
        <f>Tabla1[[#This Row],[Columna1]]-Tabla1[[#This Row],[IMPORTE TOTAL]]</f>
        <v>-145</v>
      </c>
    </row>
    <row r="57" spans="1:27" outlineLevel="1" x14ac:dyDescent="0.2">
      <c r="A57">
        <v>2020</v>
      </c>
      <c r="B57" t="s">
        <v>57</v>
      </c>
      <c r="C57" s="50">
        <v>43918</v>
      </c>
      <c r="D57" s="3" t="s">
        <v>42</v>
      </c>
      <c r="E57" s="3" t="s">
        <v>46</v>
      </c>
      <c r="F57" s="3" t="s">
        <v>46</v>
      </c>
      <c r="G57" s="4">
        <v>0.89583333333333337</v>
      </c>
      <c r="H57" s="4">
        <v>0.10416666666666667</v>
      </c>
      <c r="I57" t="s">
        <v>35</v>
      </c>
      <c r="J57">
        <v>1</v>
      </c>
      <c r="L57" s="46"/>
      <c r="P57">
        <v>195</v>
      </c>
      <c r="Q57">
        <v>1</v>
      </c>
      <c r="R57">
        <v>50</v>
      </c>
      <c r="S57" s="7">
        <f>Tabla1[[#This Row],[TARIFA]]+Tabla1[[#This Row],[IMPORTE EXTRAS]]</f>
        <v>245</v>
      </c>
      <c r="T57" t="s">
        <v>55</v>
      </c>
      <c r="U57">
        <v>0</v>
      </c>
      <c r="V57">
        <v>0</v>
      </c>
      <c r="W57">
        <v>0</v>
      </c>
      <c r="X57">
        <v>0</v>
      </c>
      <c r="Y57" s="52" t="s">
        <v>177</v>
      </c>
      <c r="Z57">
        <f>SUM(Tabla1[[#This Row],[RES-A]:[EXTR-B]])</f>
        <v>0</v>
      </c>
      <c r="AA57">
        <f>Tabla1[[#This Row],[Columna1]]-Tabla1[[#This Row],[IMPORTE TOTAL]]</f>
        <v>-245</v>
      </c>
    </row>
    <row r="58" spans="1:27" outlineLevel="1" x14ac:dyDescent="0.2">
      <c r="A58">
        <v>2020</v>
      </c>
      <c r="B58" t="s">
        <v>57</v>
      </c>
      <c r="C58" s="50">
        <v>43919</v>
      </c>
      <c r="D58" s="3" t="s">
        <v>43</v>
      </c>
      <c r="E58" s="3" t="s">
        <v>46</v>
      </c>
      <c r="F58" s="3" t="s">
        <v>46</v>
      </c>
      <c r="G58" s="4">
        <v>0.39583333333333331</v>
      </c>
      <c r="H58" s="4">
        <v>0.85416666666666663</v>
      </c>
      <c r="I58" t="s">
        <v>32</v>
      </c>
      <c r="J58">
        <v>2</v>
      </c>
      <c r="L58" s="46"/>
      <c r="P58">
        <v>270</v>
      </c>
      <c r="Q58">
        <v>0</v>
      </c>
      <c r="R58">
        <v>0</v>
      </c>
      <c r="S58" s="7">
        <f>Tabla1[[#This Row],[TARIFA]]+Tabla1[[#This Row],[IMPORTE EXTRAS]]</f>
        <v>270</v>
      </c>
      <c r="T58" t="s">
        <v>55</v>
      </c>
      <c r="U58">
        <v>50</v>
      </c>
      <c r="V58">
        <v>0</v>
      </c>
      <c r="W58">
        <v>0</v>
      </c>
      <c r="X58">
        <v>0</v>
      </c>
      <c r="Y58" s="52" t="s">
        <v>178</v>
      </c>
      <c r="Z58">
        <f>SUM(Tabla1[[#This Row],[RES-A]:[EXTR-B]])</f>
        <v>50</v>
      </c>
      <c r="AA58">
        <f>Tabla1[[#This Row],[Columna1]]-Tabla1[[#This Row],[IMPORTE TOTAL]]</f>
        <v>-220</v>
      </c>
    </row>
    <row r="59" spans="1:27" outlineLevel="1" x14ac:dyDescent="0.2">
      <c r="A59">
        <v>2020</v>
      </c>
      <c r="B59" t="s">
        <v>58</v>
      </c>
      <c r="C59" s="50">
        <v>43924</v>
      </c>
      <c r="D59" s="3" t="s">
        <v>41</v>
      </c>
      <c r="E59" s="3" t="s">
        <v>46</v>
      </c>
      <c r="F59" s="3" t="s">
        <v>46</v>
      </c>
      <c r="G59" s="4">
        <v>0.64583333333333337</v>
      </c>
      <c r="H59" s="4">
        <v>0.85416666666666663</v>
      </c>
      <c r="I59" t="s">
        <v>31</v>
      </c>
      <c r="J59">
        <v>1</v>
      </c>
      <c r="L59" s="46"/>
      <c r="P59">
        <v>135</v>
      </c>
      <c r="Q59">
        <v>0</v>
      </c>
      <c r="R59">
        <v>0</v>
      </c>
      <c r="S59" s="7">
        <f>Tabla1[[#This Row],[TARIFA]]+Tabla1[[#This Row],[IMPORTE EXTRAS]]</f>
        <v>135</v>
      </c>
      <c r="T59" t="s">
        <v>55</v>
      </c>
      <c r="U59">
        <v>0</v>
      </c>
      <c r="V59">
        <v>0</v>
      </c>
      <c r="W59">
        <v>0</v>
      </c>
      <c r="X59">
        <v>0</v>
      </c>
      <c r="Y59" s="52" t="s">
        <v>177</v>
      </c>
      <c r="Z59">
        <f>SUM(Tabla1[[#This Row],[RES-A]:[EXTR-B]])</f>
        <v>0</v>
      </c>
      <c r="AA59">
        <f>Tabla1[[#This Row],[Columna1]]-Tabla1[[#This Row],[IMPORTE TOTAL]]</f>
        <v>-135</v>
      </c>
    </row>
    <row r="60" spans="1:27" outlineLevel="1" x14ac:dyDescent="0.2">
      <c r="A60">
        <v>2020</v>
      </c>
      <c r="B60" t="s">
        <v>58</v>
      </c>
      <c r="C60" s="50">
        <v>43924</v>
      </c>
      <c r="D60" s="3" t="s">
        <v>41</v>
      </c>
      <c r="E60" s="3" t="s">
        <v>46</v>
      </c>
      <c r="F60" s="3" t="s">
        <v>46</v>
      </c>
      <c r="G60" s="4">
        <v>0.89583333333333337</v>
      </c>
      <c r="H60" s="4">
        <v>0.10416666666666667</v>
      </c>
      <c r="I60" t="s">
        <v>35</v>
      </c>
      <c r="J60">
        <v>1</v>
      </c>
      <c r="L60" s="46"/>
      <c r="P60">
        <v>195</v>
      </c>
      <c r="Q60">
        <v>0</v>
      </c>
      <c r="R60">
        <v>0</v>
      </c>
      <c r="S60" s="7">
        <f>Tabla1[[#This Row],[TARIFA]]+Tabla1[[#This Row],[IMPORTE EXTRAS]]</f>
        <v>195</v>
      </c>
      <c r="T60" t="s">
        <v>55</v>
      </c>
      <c r="U60">
        <v>0</v>
      </c>
      <c r="V60">
        <v>0</v>
      </c>
      <c r="W60">
        <v>0</v>
      </c>
      <c r="X60">
        <v>0</v>
      </c>
      <c r="Y60" s="52" t="s">
        <v>177</v>
      </c>
      <c r="Z60">
        <f>SUM(Tabla1[[#This Row],[RES-A]:[EXTR-B]])</f>
        <v>0</v>
      </c>
      <c r="AA60">
        <f>Tabla1[[#This Row],[Columna1]]-Tabla1[[#This Row],[IMPORTE TOTAL]]</f>
        <v>-195</v>
      </c>
    </row>
    <row r="61" spans="1:27" outlineLevel="1" x14ac:dyDescent="0.2">
      <c r="A61">
        <v>2020</v>
      </c>
      <c r="B61" t="s">
        <v>58</v>
      </c>
      <c r="C61" s="50">
        <v>43925</v>
      </c>
      <c r="D61" s="3" t="s">
        <v>42</v>
      </c>
      <c r="E61" s="3" t="s">
        <v>46</v>
      </c>
      <c r="F61" s="3" t="s">
        <v>46</v>
      </c>
      <c r="G61" s="4">
        <v>0.64583333333333337</v>
      </c>
      <c r="H61" s="4">
        <v>0.85416666666666663</v>
      </c>
      <c r="I61" t="s">
        <v>31</v>
      </c>
      <c r="J61">
        <v>1</v>
      </c>
      <c r="L61" s="46"/>
      <c r="P61">
        <v>145</v>
      </c>
      <c r="Q61">
        <v>0</v>
      </c>
      <c r="R61">
        <v>0</v>
      </c>
      <c r="S61" s="7">
        <f>Tabla1[[#This Row],[TARIFA]]+Tabla1[[#This Row],[IMPORTE EXTRAS]]</f>
        <v>145</v>
      </c>
      <c r="T61" t="s">
        <v>55</v>
      </c>
      <c r="U61">
        <v>0</v>
      </c>
      <c r="V61">
        <v>0</v>
      </c>
      <c r="W61">
        <v>0</v>
      </c>
      <c r="X61">
        <v>0</v>
      </c>
      <c r="Y61" s="52" t="s">
        <v>177</v>
      </c>
      <c r="Z61">
        <f>SUM(Tabla1[[#This Row],[RES-A]:[EXTR-B]])</f>
        <v>0</v>
      </c>
      <c r="AA61">
        <f>Tabla1[[#This Row],[Columna1]]-Tabla1[[#This Row],[IMPORTE TOTAL]]</f>
        <v>-145</v>
      </c>
    </row>
    <row r="62" spans="1:27" outlineLevel="1" x14ac:dyDescent="0.2">
      <c r="A62">
        <v>2020</v>
      </c>
      <c r="B62" t="s">
        <v>58</v>
      </c>
      <c r="C62" s="50">
        <v>43925</v>
      </c>
      <c r="D62" s="3" t="s">
        <v>42</v>
      </c>
      <c r="E62" s="3" t="s">
        <v>46</v>
      </c>
      <c r="F62" s="3" t="s">
        <v>46</v>
      </c>
      <c r="G62" s="4">
        <v>0.89583333333333337</v>
      </c>
      <c r="H62" s="4">
        <v>0.10416666666666667</v>
      </c>
      <c r="I62" t="s">
        <v>35</v>
      </c>
      <c r="J62">
        <v>1</v>
      </c>
      <c r="L62" s="46"/>
      <c r="P62">
        <v>195</v>
      </c>
      <c r="Q62">
        <v>0</v>
      </c>
      <c r="R62">
        <v>0</v>
      </c>
      <c r="S62" s="7">
        <f>Tabla1[[#This Row],[TARIFA]]+Tabla1[[#This Row],[IMPORTE EXTRAS]]</f>
        <v>195</v>
      </c>
      <c r="T62" t="s">
        <v>55</v>
      </c>
      <c r="U62">
        <v>0</v>
      </c>
      <c r="V62">
        <v>0</v>
      </c>
      <c r="W62">
        <v>0</v>
      </c>
      <c r="X62">
        <v>0</v>
      </c>
      <c r="Y62" s="52" t="s">
        <v>178</v>
      </c>
      <c r="Z62">
        <f>SUM(Tabla1[[#This Row],[RES-A]:[EXTR-B]])</f>
        <v>0</v>
      </c>
      <c r="AA62">
        <f>Tabla1[[#This Row],[Columna1]]-Tabla1[[#This Row],[IMPORTE TOTAL]]</f>
        <v>-195</v>
      </c>
    </row>
    <row r="63" spans="1:27" outlineLevel="1" x14ac:dyDescent="0.2">
      <c r="A63">
        <v>2020</v>
      </c>
      <c r="B63" t="s">
        <v>58</v>
      </c>
      <c r="C63" s="50">
        <v>43930</v>
      </c>
      <c r="D63" s="3" t="s">
        <v>40</v>
      </c>
      <c r="E63" s="3" t="s">
        <v>46</v>
      </c>
      <c r="F63" s="3" t="s">
        <v>46</v>
      </c>
      <c r="G63" s="4">
        <v>0.89583333333333337</v>
      </c>
      <c r="H63" s="4">
        <v>0.10416666666666667</v>
      </c>
      <c r="I63" t="s">
        <v>35</v>
      </c>
      <c r="J63">
        <v>1</v>
      </c>
      <c r="L63" s="46"/>
      <c r="P63">
        <v>195</v>
      </c>
      <c r="Q63">
        <v>0</v>
      </c>
      <c r="R63">
        <v>0</v>
      </c>
      <c r="S63" s="7">
        <f>Tabla1[[#This Row],[TARIFA]]+Tabla1[[#This Row],[IMPORTE EXTRAS]]</f>
        <v>195</v>
      </c>
      <c r="T63" t="s">
        <v>55</v>
      </c>
      <c r="U63">
        <v>0</v>
      </c>
      <c r="V63">
        <v>0</v>
      </c>
      <c r="W63">
        <v>0</v>
      </c>
      <c r="X63">
        <v>0</v>
      </c>
      <c r="Y63" s="52" t="s">
        <v>177</v>
      </c>
      <c r="Z63">
        <f>SUM(Tabla1[[#This Row],[RES-A]:[EXTR-B]])</f>
        <v>0</v>
      </c>
      <c r="AA63">
        <f>Tabla1[[#This Row],[Columna1]]-Tabla1[[#This Row],[IMPORTE TOTAL]]</f>
        <v>-195</v>
      </c>
    </row>
    <row r="64" spans="1:27" outlineLevel="1" x14ac:dyDescent="0.2">
      <c r="A64">
        <v>2020</v>
      </c>
      <c r="B64" t="s">
        <v>58</v>
      </c>
      <c r="C64" s="50">
        <v>43931</v>
      </c>
      <c r="D64" s="3" t="s">
        <v>41</v>
      </c>
      <c r="E64" s="3" t="s">
        <v>45</v>
      </c>
      <c r="F64" s="3" t="s">
        <v>46</v>
      </c>
      <c r="G64" s="4">
        <v>0.89583333333333337</v>
      </c>
      <c r="H64" s="4">
        <v>0.10416666666666667</v>
      </c>
      <c r="I64" t="s">
        <v>35</v>
      </c>
      <c r="J64">
        <v>1</v>
      </c>
      <c r="L64" s="46"/>
      <c r="P64">
        <v>195</v>
      </c>
      <c r="Q64">
        <v>0</v>
      </c>
      <c r="R64">
        <v>0</v>
      </c>
      <c r="S64" s="7">
        <f>Tabla1[[#This Row],[TARIFA]]+Tabla1[[#This Row],[IMPORTE EXTRAS]]</f>
        <v>195</v>
      </c>
      <c r="T64" t="s">
        <v>55</v>
      </c>
      <c r="U64">
        <v>0</v>
      </c>
      <c r="V64">
        <v>0</v>
      </c>
      <c r="W64">
        <v>0</v>
      </c>
      <c r="X64">
        <v>0</v>
      </c>
      <c r="Y64" s="52" t="s">
        <v>177</v>
      </c>
      <c r="Z64">
        <f>SUM(Tabla1[[#This Row],[RES-A]:[EXTR-B]])</f>
        <v>0</v>
      </c>
      <c r="AA64">
        <f>Tabla1[[#This Row],[Columna1]]-Tabla1[[#This Row],[IMPORTE TOTAL]]</f>
        <v>-195</v>
      </c>
    </row>
    <row r="65" spans="1:27" outlineLevel="1" x14ac:dyDescent="0.2">
      <c r="A65">
        <v>2020</v>
      </c>
      <c r="B65" t="s">
        <v>58</v>
      </c>
      <c r="C65" s="50">
        <v>43938</v>
      </c>
      <c r="D65" s="3" t="s">
        <v>41</v>
      </c>
      <c r="E65" s="3" t="s">
        <v>46</v>
      </c>
      <c r="F65" s="3" t="s">
        <v>46</v>
      </c>
      <c r="G65" s="4"/>
      <c r="H65" s="4"/>
      <c r="I65" t="s">
        <v>49</v>
      </c>
      <c r="L65" s="46"/>
      <c r="P65">
        <v>661.2</v>
      </c>
      <c r="Q65">
        <v>0</v>
      </c>
      <c r="R65">
        <v>0</v>
      </c>
      <c r="S65" s="7">
        <f>Tabla1[[#This Row],[TARIFA]]+Tabla1[[#This Row],[IMPORTE EXTRAS]]</f>
        <v>661.2</v>
      </c>
      <c r="T65" t="s">
        <v>45</v>
      </c>
      <c r="U65">
        <v>661.2</v>
      </c>
      <c r="V65">
        <v>0</v>
      </c>
      <c r="W65">
        <v>0</v>
      </c>
      <c r="X65">
        <v>0</v>
      </c>
      <c r="Y65" s="52"/>
      <c r="Z65">
        <f>SUM(Tabla1[[#This Row],[RES-A]:[EXTR-B]])</f>
        <v>661.2</v>
      </c>
      <c r="AA65">
        <f>Tabla1[[#This Row],[Columna1]]-Tabla1[[#This Row],[IMPORTE TOTAL]]</f>
        <v>0</v>
      </c>
    </row>
    <row r="66" spans="1:27" outlineLevel="1" x14ac:dyDescent="0.2">
      <c r="A66">
        <v>2020</v>
      </c>
      <c r="B66" t="s">
        <v>58</v>
      </c>
      <c r="C66" s="50">
        <v>43938</v>
      </c>
      <c r="D66" s="3" t="s">
        <v>41</v>
      </c>
      <c r="E66" s="3" t="s">
        <v>46</v>
      </c>
      <c r="F66" s="3" t="s">
        <v>46</v>
      </c>
      <c r="G66" s="4">
        <v>0.89583333333333337</v>
      </c>
      <c r="H66" s="4">
        <v>0.10416666666666667</v>
      </c>
      <c r="I66" t="s">
        <v>35</v>
      </c>
      <c r="J66">
        <v>1</v>
      </c>
      <c r="L66" s="46"/>
      <c r="P66">
        <v>195</v>
      </c>
      <c r="Q66">
        <v>0</v>
      </c>
      <c r="R66">
        <v>0</v>
      </c>
      <c r="S66" s="7">
        <f>Tabla1[[#This Row],[TARIFA]]+Tabla1[[#This Row],[IMPORTE EXTRAS]]</f>
        <v>195</v>
      </c>
      <c r="T66" t="s">
        <v>55</v>
      </c>
      <c r="U66">
        <v>0</v>
      </c>
      <c r="V66">
        <v>0</v>
      </c>
      <c r="W66">
        <v>0</v>
      </c>
      <c r="X66">
        <v>0</v>
      </c>
      <c r="Y66" s="52" t="s">
        <v>178</v>
      </c>
      <c r="Z66">
        <f>SUM(Tabla1[[#This Row],[RES-A]:[EXTR-B]])</f>
        <v>0</v>
      </c>
      <c r="AA66">
        <f>Tabla1[[#This Row],[Columna1]]-Tabla1[[#This Row],[IMPORTE TOTAL]]</f>
        <v>-195</v>
      </c>
    </row>
    <row r="67" spans="1:27" outlineLevel="1" x14ac:dyDescent="0.2">
      <c r="A67">
        <v>2020</v>
      </c>
      <c r="B67" t="s">
        <v>58</v>
      </c>
      <c r="C67" s="50">
        <v>43939</v>
      </c>
      <c r="D67" s="3" t="s">
        <v>42</v>
      </c>
      <c r="E67" s="3" t="s">
        <v>46</v>
      </c>
      <c r="F67" s="3" t="s">
        <v>46</v>
      </c>
      <c r="G67" s="4">
        <v>0.39583333333333331</v>
      </c>
      <c r="H67" s="4">
        <v>0.60416666666666663</v>
      </c>
      <c r="I67" t="s">
        <v>30</v>
      </c>
      <c r="J67">
        <v>1</v>
      </c>
      <c r="L67" s="46"/>
      <c r="P67">
        <v>145</v>
      </c>
      <c r="Q67">
        <v>0</v>
      </c>
      <c r="R67">
        <v>0</v>
      </c>
      <c r="S67" s="7">
        <f>Tabla1[[#This Row],[TARIFA]]+Tabla1[[#This Row],[IMPORTE EXTRAS]]</f>
        <v>145</v>
      </c>
      <c r="T67" t="s">
        <v>55</v>
      </c>
      <c r="U67">
        <v>0</v>
      </c>
      <c r="V67">
        <v>0</v>
      </c>
      <c r="W67">
        <v>0</v>
      </c>
      <c r="X67">
        <v>0</v>
      </c>
      <c r="Y67" s="52" t="s">
        <v>177</v>
      </c>
      <c r="Z67">
        <f>SUM(Tabla1[[#This Row],[RES-A]:[EXTR-B]])</f>
        <v>0</v>
      </c>
      <c r="AA67">
        <f>Tabla1[[#This Row],[Columna1]]-Tabla1[[#This Row],[IMPORTE TOTAL]]</f>
        <v>-145</v>
      </c>
    </row>
    <row r="68" spans="1:27" outlineLevel="1" x14ac:dyDescent="0.2">
      <c r="A68">
        <v>2020</v>
      </c>
      <c r="B68" t="s">
        <v>58</v>
      </c>
      <c r="C68" s="50">
        <v>43939</v>
      </c>
      <c r="D68" s="3" t="s">
        <v>42</v>
      </c>
      <c r="E68" s="3" t="s">
        <v>46</v>
      </c>
      <c r="F68" s="3" t="s">
        <v>46</v>
      </c>
      <c r="G68" s="4">
        <v>0.64583333333333337</v>
      </c>
      <c r="H68" s="4">
        <v>0.85416666666666663</v>
      </c>
      <c r="I68" t="s">
        <v>31</v>
      </c>
      <c r="J68">
        <v>1</v>
      </c>
      <c r="L68" s="46"/>
      <c r="P68">
        <v>145</v>
      </c>
      <c r="Q68">
        <v>0</v>
      </c>
      <c r="R68">
        <v>0</v>
      </c>
      <c r="S68" s="7">
        <f>Tabla1[[#This Row],[TARIFA]]+Tabla1[[#This Row],[IMPORTE EXTRAS]]</f>
        <v>145</v>
      </c>
      <c r="T68" t="s">
        <v>55</v>
      </c>
      <c r="U68">
        <v>0</v>
      </c>
      <c r="V68">
        <v>0</v>
      </c>
      <c r="W68">
        <v>0</v>
      </c>
      <c r="X68">
        <v>0</v>
      </c>
      <c r="Y68" s="52" t="s">
        <v>177</v>
      </c>
      <c r="Z68">
        <f>SUM(Tabla1[[#This Row],[RES-A]:[EXTR-B]])</f>
        <v>0</v>
      </c>
      <c r="AA68">
        <f>Tabla1[[#This Row],[Columna1]]-Tabla1[[#This Row],[IMPORTE TOTAL]]</f>
        <v>-145</v>
      </c>
    </row>
    <row r="69" spans="1:27" outlineLevel="1" x14ac:dyDescent="0.2">
      <c r="A69">
        <v>2020</v>
      </c>
      <c r="B69" t="s">
        <v>58</v>
      </c>
      <c r="C69" s="50">
        <v>43940</v>
      </c>
      <c r="D69" s="3" t="s">
        <v>42</v>
      </c>
      <c r="E69" s="3" t="s">
        <v>46</v>
      </c>
      <c r="F69" s="3" t="s">
        <v>46</v>
      </c>
      <c r="G69" s="4">
        <v>0.39583333333333331</v>
      </c>
      <c r="H69" s="4">
        <v>0.85416666666666663</v>
      </c>
      <c r="I69" t="s">
        <v>32</v>
      </c>
      <c r="J69">
        <v>2</v>
      </c>
      <c r="L69" s="46"/>
      <c r="P69">
        <v>270</v>
      </c>
      <c r="Q69">
        <v>0</v>
      </c>
      <c r="R69">
        <v>0</v>
      </c>
      <c r="S69" s="7">
        <f>Tabla1[[#This Row],[TARIFA]]+Tabla1[[#This Row],[IMPORTE EXTRAS]]</f>
        <v>270</v>
      </c>
      <c r="T69" t="s">
        <v>55</v>
      </c>
      <c r="U69">
        <v>0</v>
      </c>
      <c r="V69">
        <v>0</v>
      </c>
      <c r="W69">
        <v>0</v>
      </c>
      <c r="X69">
        <v>0</v>
      </c>
      <c r="Y69" s="52" t="s">
        <v>177</v>
      </c>
      <c r="Z69">
        <f>SUM(Tabla1[[#This Row],[RES-A]:[EXTR-B]])</f>
        <v>0</v>
      </c>
      <c r="AA69">
        <f>Tabla1[[#This Row],[Columna1]]-Tabla1[[#This Row],[IMPORTE TOTAL]]</f>
        <v>-270</v>
      </c>
    </row>
    <row r="70" spans="1:27" outlineLevel="1" x14ac:dyDescent="0.2">
      <c r="A70">
        <v>2020</v>
      </c>
      <c r="B70" t="s">
        <v>58</v>
      </c>
      <c r="C70" s="50">
        <v>43946</v>
      </c>
      <c r="D70" s="3" t="s">
        <v>42</v>
      </c>
      <c r="E70" s="3" t="s">
        <v>46</v>
      </c>
      <c r="F70" s="3" t="s">
        <v>46</v>
      </c>
      <c r="G70" s="4">
        <v>0.39583333333333331</v>
      </c>
      <c r="H70" s="4">
        <v>0.60416666666666663</v>
      </c>
      <c r="I70" t="s">
        <v>30</v>
      </c>
      <c r="J70">
        <v>1</v>
      </c>
      <c r="L70" s="46"/>
      <c r="P70">
        <v>145</v>
      </c>
      <c r="Q70">
        <v>0</v>
      </c>
      <c r="R70">
        <v>0</v>
      </c>
      <c r="S70" s="7">
        <f>Tabla1[[#This Row],[TARIFA]]+Tabla1[[#This Row],[IMPORTE EXTRAS]]</f>
        <v>145</v>
      </c>
      <c r="T70" t="s">
        <v>46</v>
      </c>
      <c r="U70">
        <v>0</v>
      </c>
      <c r="V70">
        <v>0</v>
      </c>
      <c r="W70">
        <v>0</v>
      </c>
      <c r="X70">
        <v>0</v>
      </c>
      <c r="Y70" s="52" t="s">
        <v>177</v>
      </c>
      <c r="Z70">
        <f>SUM(Tabla1[[#This Row],[RES-A]:[EXTR-B]])</f>
        <v>0</v>
      </c>
      <c r="AA70">
        <f>Tabla1[[#This Row],[Columna1]]-Tabla1[[#This Row],[IMPORTE TOTAL]]</f>
        <v>-145</v>
      </c>
    </row>
    <row r="71" spans="1:27" outlineLevel="1" x14ac:dyDescent="0.2">
      <c r="A71">
        <v>2020</v>
      </c>
      <c r="B71" t="s">
        <v>58</v>
      </c>
      <c r="C71" s="50">
        <v>43946</v>
      </c>
      <c r="D71" s="3" t="s">
        <v>42</v>
      </c>
      <c r="E71" s="3" t="s">
        <v>46</v>
      </c>
      <c r="F71" s="3" t="s">
        <v>46</v>
      </c>
      <c r="G71" s="4">
        <v>0.64583333333333337</v>
      </c>
      <c r="H71" s="4">
        <v>0.85416666666666663</v>
      </c>
      <c r="I71" t="s">
        <v>31</v>
      </c>
      <c r="J71">
        <v>1</v>
      </c>
      <c r="L71" s="46"/>
      <c r="P71">
        <v>145</v>
      </c>
      <c r="Q71">
        <v>0</v>
      </c>
      <c r="R71">
        <v>0</v>
      </c>
      <c r="S71" s="7">
        <f>Tabla1[[#This Row],[TARIFA]]+Tabla1[[#This Row],[IMPORTE EXTRAS]]</f>
        <v>145</v>
      </c>
      <c r="T71" t="s">
        <v>46</v>
      </c>
      <c r="U71">
        <v>0</v>
      </c>
      <c r="V71">
        <v>0</v>
      </c>
      <c r="W71">
        <v>0</v>
      </c>
      <c r="X71">
        <v>0</v>
      </c>
      <c r="Y71" s="52" t="s">
        <v>177</v>
      </c>
      <c r="Z71">
        <f>SUM(Tabla1[[#This Row],[RES-A]:[EXTR-B]])</f>
        <v>0</v>
      </c>
      <c r="AA71">
        <f>Tabla1[[#This Row],[Columna1]]-Tabla1[[#This Row],[IMPORTE TOTAL]]</f>
        <v>-145</v>
      </c>
    </row>
    <row r="72" spans="1:27" outlineLevel="1" x14ac:dyDescent="0.2">
      <c r="A72">
        <v>2020</v>
      </c>
      <c r="B72" t="s">
        <v>58</v>
      </c>
      <c r="C72" s="50">
        <v>43947</v>
      </c>
      <c r="D72" s="3" t="s">
        <v>43</v>
      </c>
      <c r="E72" s="3" t="s">
        <v>46</v>
      </c>
      <c r="F72" s="3" t="s">
        <v>46</v>
      </c>
      <c r="G72" s="4">
        <v>0.39583333333333331</v>
      </c>
      <c r="H72" s="4">
        <v>0.60416666666666663</v>
      </c>
      <c r="I72" t="s">
        <v>30</v>
      </c>
      <c r="J72">
        <v>1</v>
      </c>
      <c r="L72" s="46"/>
      <c r="P72">
        <v>145</v>
      </c>
      <c r="Q72">
        <v>0</v>
      </c>
      <c r="R72">
        <v>0</v>
      </c>
      <c r="S72" s="7">
        <f>Tabla1[[#This Row],[TARIFA]]+Tabla1[[#This Row],[IMPORTE EXTRAS]]</f>
        <v>145</v>
      </c>
      <c r="T72" t="s">
        <v>55</v>
      </c>
      <c r="U72">
        <v>0</v>
      </c>
      <c r="V72">
        <v>0</v>
      </c>
      <c r="W72">
        <v>0</v>
      </c>
      <c r="X72">
        <v>0</v>
      </c>
      <c r="Y72" s="52" t="s">
        <v>177</v>
      </c>
      <c r="Z72">
        <f>SUM(Tabla1[[#This Row],[RES-A]:[EXTR-B]])</f>
        <v>0</v>
      </c>
      <c r="AA72">
        <f>Tabla1[[#This Row],[Columna1]]-Tabla1[[#This Row],[IMPORTE TOTAL]]</f>
        <v>-145</v>
      </c>
    </row>
    <row r="73" spans="1:27" outlineLevel="1" x14ac:dyDescent="0.2">
      <c r="A73">
        <v>2020</v>
      </c>
      <c r="B73" t="s">
        <v>59</v>
      </c>
      <c r="C73" s="50">
        <v>43952</v>
      </c>
      <c r="D73" s="3" t="s">
        <v>41</v>
      </c>
      <c r="E73" s="3" t="s">
        <v>46</v>
      </c>
      <c r="F73" s="3" t="s">
        <v>46</v>
      </c>
      <c r="G73" s="4"/>
      <c r="H73" s="4"/>
      <c r="I73" t="s">
        <v>49</v>
      </c>
      <c r="L73" s="46"/>
      <c r="P73">
        <v>374.68</v>
      </c>
      <c r="Q73">
        <v>0</v>
      </c>
      <c r="R73">
        <v>0</v>
      </c>
      <c r="S73" s="7">
        <f>Tabla1[[#This Row],[TARIFA]]+Tabla1[[#This Row],[IMPORTE EXTRAS]]</f>
        <v>374.68</v>
      </c>
      <c r="T73" t="s">
        <v>45</v>
      </c>
      <c r="U73">
        <v>374.68</v>
      </c>
      <c r="V73">
        <v>0</v>
      </c>
      <c r="W73">
        <v>0</v>
      </c>
      <c r="X73">
        <v>0</v>
      </c>
      <c r="Y73" s="52"/>
      <c r="Z73">
        <f>SUM(Tabla1[[#This Row],[RES-A]:[EXTR-B]])</f>
        <v>374.68</v>
      </c>
      <c r="AA73">
        <f>Tabla1[[#This Row],[Columna1]]-Tabla1[[#This Row],[IMPORTE TOTAL]]</f>
        <v>0</v>
      </c>
    </row>
    <row r="74" spans="1:27" outlineLevel="1" x14ac:dyDescent="0.2">
      <c r="A74">
        <v>2020</v>
      </c>
      <c r="B74" t="s">
        <v>59</v>
      </c>
      <c r="C74" s="50">
        <v>43954</v>
      </c>
      <c r="D74" s="3" t="s">
        <v>43</v>
      </c>
      <c r="E74" s="3" t="s">
        <v>46</v>
      </c>
      <c r="F74" s="3" t="s">
        <v>46</v>
      </c>
      <c r="G74" s="4">
        <v>0.64583333333333337</v>
      </c>
      <c r="H74" s="4">
        <v>0.85416666666666663</v>
      </c>
      <c r="I74" t="s">
        <v>31</v>
      </c>
      <c r="J74">
        <v>1</v>
      </c>
      <c r="L74" s="46"/>
      <c r="P74">
        <v>145</v>
      </c>
      <c r="Q74">
        <v>0</v>
      </c>
      <c r="R74">
        <v>0</v>
      </c>
      <c r="S74" s="7">
        <f>Tabla1[[#This Row],[TARIFA]]+Tabla1[[#This Row],[IMPORTE EXTRAS]]</f>
        <v>145</v>
      </c>
      <c r="T74" t="s">
        <v>55</v>
      </c>
      <c r="U74">
        <v>0</v>
      </c>
      <c r="V74">
        <v>0</v>
      </c>
      <c r="W74">
        <v>0</v>
      </c>
      <c r="X74">
        <v>0</v>
      </c>
      <c r="Y74" s="52" t="s">
        <v>177</v>
      </c>
      <c r="Z74">
        <f>SUM(Tabla1[[#This Row],[RES-A]:[EXTR-B]])</f>
        <v>0</v>
      </c>
      <c r="AA74">
        <f>Tabla1[[#This Row],[Columna1]]-Tabla1[[#This Row],[IMPORTE TOTAL]]</f>
        <v>-145</v>
      </c>
    </row>
    <row r="75" spans="1:27" outlineLevel="1" x14ac:dyDescent="0.2">
      <c r="A75">
        <v>2020</v>
      </c>
      <c r="B75" t="s">
        <v>59</v>
      </c>
      <c r="C75" s="50">
        <v>43959</v>
      </c>
      <c r="D75" s="3" t="s">
        <v>41</v>
      </c>
      <c r="E75" s="3" t="s">
        <v>46</v>
      </c>
      <c r="F75" s="3" t="s">
        <v>46</v>
      </c>
      <c r="G75" s="4">
        <v>0.89583333333333337</v>
      </c>
      <c r="H75" s="4">
        <v>0.10416666666666667</v>
      </c>
      <c r="I75" t="s">
        <v>35</v>
      </c>
      <c r="J75">
        <v>1</v>
      </c>
      <c r="L75" s="46"/>
      <c r="P75">
        <v>195</v>
      </c>
      <c r="Q75">
        <v>0</v>
      </c>
      <c r="R75">
        <v>0</v>
      </c>
      <c r="S75" s="7">
        <f>Tabla1[[#This Row],[TARIFA]]+Tabla1[[#This Row],[IMPORTE EXTRAS]]</f>
        <v>195</v>
      </c>
      <c r="T75" t="s">
        <v>46</v>
      </c>
      <c r="U75">
        <v>0</v>
      </c>
      <c r="V75">
        <v>0</v>
      </c>
      <c r="W75">
        <v>0</v>
      </c>
      <c r="X75">
        <v>0</v>
      </c>
      <c r="Y75" s="52" t="s">
        <v>177</v>
      </c>
      <c r="Z75">
        <f>SUM(Tabla1[[#This Row],[RES-A]:[EXTR-B]])</f>
        <v>0</v>
      </c>
      <c r="AA75">
        <f>Tabla1[[#This Row],[Columna1]]-Tabla1[[#This Row],[IMPORTE TOTAL]]</f>
        <v>-195</v>
      </c>
    </row>
    <row r="76" spans="1:27" outlineLevel="1" x14ac:dyDescent="0.2">
      <c r="A76">
        <v>2020</v>
      </c>
      <c r="B76" t="s">
        <v>59</v>
      </c>
      <c r="C76" s="50">
        <v>43966</v>
      </c>
      <c r="D76" s="3" t="s">
        <v>41</v>
      </c>
      <c r="E76" s="3" t="s">
        <v>46</v>
      </c>
      <c r="F76" s="3" t="s">
        <v>46</v>
      </c>
      <c r="G76" s="4">
        <v>0.64583333333333337</v>
      </c>
      <c r="H76" s="4">
        <v>0.85416666666666663</v>
      </c>
      <c r="I76" t="s">
        <v>31</v>
      </c>
      <c r="J76">
        <v>1</v>
      </c>
      <c r="L76" s="46"/>
      <c r="P76">
        <v>135</v>
      </c>
      <c r="Q76">
        <v>0</v>
      </c>
      <c r="R76">
        <v>0</v>
      </c>
      <c r="S76" s="7">
        <f>Tabla1[[#This Row],[TARIFA]]+Tabla1[[#This Row],[IMPORTE EXTRAS]]</f>
        <v>135</v>
      </c>
      <c r="T76" t="s">
        <v>55</v>
      </c>
      <c r="U76">
        <v>0</v>
      </c>
      <c r="V76">
        <v>0</v>
      </c>
      <c r="W76">
        <v>0</v>
      </c>
      <c r="X76">
        <v>0</v>
      </c>
      <c r="Y76" s="52" t="s">
        <v>177</v>
      </c>
      <c r="Z76">
        <f>SUM(Tabla1[[#This Row],[RES-A]:[EXTR-B]])</f>
        <v>0</v>
      </c>
      <c r="AA76">
        <f>Tabla1[[#This Row],[Columna1]]-Tabla1[[#This Row],[IMPORTE TOTAL]]</f>
        <v>-135</v>
      </c>
    </row>
    <row r="77" spans="1:27" outlineLevel="1" x14ac:dyDescent="0.2">
      <c r="A77">
        <v>2020</v>
      </c>
      <c r="B77" t="s">
        <v>59</v>
      </c>
      <c r="C77" s="50">
        <v>43974</v>
      </c>
      <c r="D77" s="3" t="s">
        <v>42</v>
      </c>
      <c r="E77" s="3" t="s">
        <v>46</v>
      </c>
      <c r="F77" s="3" t="s">
        <v>46</v>
      </c>
      <c r="G77" s="4">
        <v>0.89583333333333337</v>
      </c>
      <c r="H77" s="4">
        <v>0.10416666666666667</v>
      </c>
      <c r="I77" t="s">
        <v>35</v>
      </c>
      <c r="J77">
        <v>1</v>
      </c>
      <c r="L77" s="46"/>
      <c r="P77">
        <v>195</v>
      </c>
      <c r="Q77">
        <v>0</v>
      </c>
      <c r="R77">
        <v>0</v>
      </c>
      <c r="S77" s="7">
        <f>Tabla1[[#This Row],[TARIFA]]+Tabla1[[#This Row],[IMPORTE EXTRAS]]</f>
        <v>195</v>
      </c>
      <c r="T77" t="s">
        <v>55</v>
      </c>
      <c r="U77">
        <v>0</v>
      </c>
      <c r="V77">
        <v>0</v>
      </c>
      <c r="W77">
        <v>0</v>
      </c>
      <c r="X77">
        <v>0</v>
      </c>
      <c r="Y77" s="52" t="s">
        <v>177</v>
      </c>
      <c r="Z77">
        <f>SUM(Tabla1[[#This Row],[RES-A]:[EXTR-B]])</f>
        <v>0</v>
      </c>
      <c r="AA77">
        <f>Tabla1[[#This Row],[Columna1]]-Tabla1[[#This Row],[IMPORTE TOTAL]]</f>
        <v>-195</v>
      </c>
    </row>
    <row r="78" spans="1:27" outlineLevel="1" x14ac:dyDescent="0.2">
      <c r="A78">
        <v>2020</v>
      </c>
      <c r="B78" t="s">
        <v>59</v>
      </c>
      <c r="C78" s="50">
        <v>43981</v>
      </c>
      <c r="D78" s="3" t="s">
        <v>42</v>
      </c>
      <c r="E78" s="3" t="s">
        <v>46</v>
      </c>
      <c r="F78" s="3" t="s">
        <v>46</v>
      </c>
      <c r="G78" s="4">
        <v>0.39583333333333331</v>
      </c>
      <c r="H78" s="4">
        <v>0.85416666666666663</v>
      </c>
      <c r="I78" t="s">
        <v>32</v>
      </c>
      <c r="J78">
        <v>2</v>
      </c>
      <c r="L78" s="46"/>
      <c r="P78">
        <v>270</v>
      </c>
      <c r="Q78">
        <v>0</v>
      </c>
      <c r="R78">
        <v>0</v>
      </c>
      <c r="S78" s="7">
        <f>Tabla1[[#This Row],[TARIFA]]+Tabla1[[#This Row],[IMPORTE EXTRAS]]</f>
        <v>270</v>
      </c>
      <c r="T78" t="s">
        <v>55</v>
      </c>
      <c r="U78">
        <v>0</v>
      </c>
      <c r="V78">
        <v>0</v>
      </c>
      <c r="W78">
        <v>0</v>
      </c>
      <c r="X78">
        <v>0</v>
      </c>
      <c r="Y78" s="52" t="s">
        <v>177</v>
      </c>
      <c r="Z78">
        <f>SUM(Tabla1[[#This Row],[RES-A]:[EXTR-B]])</f>
        <v>0</v>
      </c>
      <c r="AA78">
        <f>Tabla1[[#This Row],[Columna1]]-Tabla1[[#This Row],[IMPORTE TOTAL]]</f>
        <v>-270</v>
      </c>
    </row>
    <row r="79" spans="1:27" outlineLevel="1" x14ac:dyDescent="0.2">
      <c r="A79">
        <v>2020</v>
      </c>
      <c r="B79" t="s">
        <v>59</v>
      </c>
      <c r="C79" s="50">
        <v>43982</v>
      </c>
      <c r="D79" s="3" t="s">
        <v>43</v>
      </c>
      <c r="E79" s="3" t="s">
        <v>46</v>
      </c>
      <c r="F79" s="3" t="s">
        <v>46</v>
      </c>
      <c r="G79" s="4"/>
      <c r="H79" s="4"/>
      <c r="I79" t="s">
        <v>49</v>
      </c>
      <c r="L79" s="46"/>
      <c r="P79">
        <v>661.2</v>
      </c>
      <c r="S79" s="7">
        <f>Tabla1[[#This Row],[TARIFA]]+Tabla1[[#This Row],[IMPORTE EXTRAS]]</f>
        <v>661.2</v>
      </c>
      <c r="T79" t="s">
        <v>45</v>
      </c>
      <c r="U79">
        <v>661.2</v>
      </c>
      <c r="V79">
        <v>0</v>
      </c>
      <c r="W79">
        <v>0</v>
      </c>
      <c r="X79">
        <v>0</v>
      </c>
      <c r="Y79" s="52"/>
      <c r="Z79">
        <f>SUM(Tabla1[[#This Row],[RES-A]:[EXTR-B]])</f>
        <v>661.2</v>
      </c>
      <c r="AA79">
        <f>Tabla1[[#This Row],[Columna1]]-Tabla1[[#This Row],[IMPORTE TOTAL]]</f>
        <v>0</v>
      </c>
    </row>
    <row r="80" spans="1:27" outlineLevel="1" x14ac:dyDescent="0.2">
      <c r="A80">
        <v>2020</v>
      </c>
      <c r="B80" t="s">
        <v>60</v>
      </c>
      <c r="C80" s="50">
        <v>43988</v>
      </c>
      <c r="D80" s="3" t="s">
        <v>42</v>
      </c>
      <c r="E80" s="3" t="s">
        <v>46</v>
      </c>
      <c r="F80" s="3" t="s">
        <v>46</v>
      </c>
      <c r="G80" s="4">
        <v>0.64583333333333337</v>
      </c>
      <c r="H80" s="4">
        <v>0.85416666666666663</v>
      </c>
      <c r="I80" t="s">
        <v>31</v>
      </c>
      <c r="J80">
        <v>1</v>
      </c>
      <c r="L80" s="46"/>
      <c r="P80">
        <v>145</v>
      </c>
      <c r="Q80">
        <v>0</v>
      </c>
      <c r="R80">
        <v>0</v>
      </c>
      <c r="S80" s="7">
        <f>Tabla1[[#This Row],[TARIFA]]+Tabla1[[#This Row],[IMPORTE EXTRAS]]</f>
        <v>145</v>
      </c>
      <c r="T80" t="s">
        <v>55</v>
      </c>
      <c r="U80">
        <v>0</v>
      </c>
      <c r="V80">
        <v>0</v>
      </c>
      <c r="W80">
        <v>0</v>
      </c>
      <c r="X80">
        <v>0</v>
      </c>
      <c r="Y80" s="52" t="s">
        <v>177</v>
      </c>
      <c r="Z80">
        <f>SUM(Tabla1[[#This Row],[RES-A]:[EXTR-B]])</f>
        <v>0</v>
      </c>
      <c r="AA80">
        <f>Tabla1[[#This Row],[Columna1]]-Tabla1[[#This Row],[IMPORTE TOTAL]]</f>
        <v>-145</v>
      </c>
    </row>
    <row r="81" spans="1:27" outlineLevel="1" x14ac:dyDescent="0.2">
      <c r="A81">
        <v>2020</v>
      </c>
      <c r="B81" t="s">
        <v>60</v>
      </c>
      <c r="C81" s="51">
        <v>43998</v>
      </c>
      <c r="D81" s="3" t="s">
        <v>38</v>
      </c>
      <c r="E81" s="3" t="s">
        <v>46</v>
      </c>
      <c r="F81" s="3" t="s">
        <v>46</v>
      </c>
      <c r="G81" s="4">
        <v>0.64583333333333337</v>
      </c>
      <c r="H81" s="4">
        <v>0.85416666666666663</v>
      </c>
      <c r="I81" t="s">
        <v>31</v>
      </c>
      <c r="J81">
        <v>1</v>
      </c>
      <c r="L81" s="46"/>
      <c r="P81">
        <v>50</v>
      </c>
      <c r="Q81">
        <v>0</v>
      </c>
      <c r="R81">
        <v>0</v>
      </c>
      <c r="S81" s="7">
        <f>Tabla1[[#This Row],[TARIFA]]+Tabla1[[#This Row],[IMPORTE EXTRAS]]</f>
        <v>50</v>
      </c>
      <c r="T81" t="s">
        <v>45</v>
      </c>
      <c r="U81">
        <v>0</v>
      </c>
      <c r="V81">
        <v>50</v>
      </c>
      <c r="W81">
        <v>0</v>
      </c>
      <c r="X81">
        <v>0</v>
      </c>
      <c r="Z81">
        <f>SUM(Tabla1[[#This Row],[RES-A]:[EXTR-B]])</f>
        <v>50</v>
      </c>
      <c r="AA81">
        <f>Tabla1[[#This Row],[Columna1]]-Tabla1[[#This Row],[IMPORTE TOTAL]]</f>
        <v>0</v>
      </c>
    </row>
    <row r="82" spans="1:27" outlineLevel="1" x14ac:dyDescent="0.2">
      <c r="A82">
        <v>2020</v>
      </c>
      <c r="B82" t="s">
        <v>60</v>
      </c>
      <c r="C82" s="51">
        <v>44000</v>
      </c>
      <c r="D82" s="3" t="s">
        <v>40</v>
      </c>
      <c r="E82" s="3" t="s">
        <v>46</v>
      </c>
      <c r="F82" s="3" t="s">
        <v>46</v>
      </c>
      <c r="G82" s="4">
        <v>0.64583333333333337</v>
      </c>
      <c r="H82" s="4">
        <v>0.85416666666666663</v>
      </c>
      <c r="I82" t="s">
        <v>31</v>
      </c>
      <c r="J82">
        <v>1</v>
      </c>
      <c r="L82" s="46"/>
      <c r="P82">
        <v>50</v>
      </c>
      <c r="Q82">
        <v>0</v>
      </c>
      <c r="R82">
        <v>0</v>
      </c>
      <c r="S82" s="7">
        <f>Tabla1[[#This Row],[TARIFA]]+Tabla1[[#This Row],[IMPORTE EXTRAS]]</f>
        <v>50</v>
      </c>
      <c r="T82" t="s">
        <v>45</v>
      </c>
      <c r="U82">
        <v>0</v>
      </c>
      <c r="V82">
        <v>50</v>
      </c>
      <c r="W82">
        <v>0</v>
      </c>
      <c r="X82">
        <v>0</v>
      </c>
      <c r="Z82">
        <f>SUM(Tabla1[[#This Row],[RES-A]:[EXTR-B]])</f>
        <v>50</v>
      </c>
      <c r="AA82">
        <f>Tabla1[[#This Row],[Columna1]]-Tabla1[[#This Row],[IMPORTE TOTAL]]</f>
        <v>0</v>
      </c>
    </row>
    <row r="83" spans="1:27" outlineLevel="1" x14ac:dyDescent="0.2">
      <c r="A83">
        <v>2020</v>
      </c>
      <c r="B83" t="s">
        <v>60</v>
      </c>
      <c r="C83" s="51">
        <v>44001</v>
      </c>
      <c r="D83" s="3" t="s">
        <v>41</v>
      </c>
      <c r="E83" s="3" t="s">
        <v>46</v>
      </c>
      <c r="F83" s="3" t="s">
        <v>46</v>
      </c>
      <c r="G83" s="4">
        <v>0.39583333333333331</v>
      </c>
      <c r="H83" s="4">
        <v>0.85416666666666663</v>
      </c>
      <c r="I83" t="s">
        <v>32</v>
      </c>
      <c r="J83">
        <v>2</v>
      </c>
      <c r="L83" s="46"/>
      <c r="P83">
        <v>190</v>
      </c>
      <c r="Q83">
        <v>0</v>
      </c>
      <c r="R83">
        <v>0</v>
      </c>
      <c r="S83" s="7">
        <f>Tabla1[[#This Row],[TARIFA]]+Tabla1[[#This Row],[IMPORTE EXTRAS]]</f>
        <v>190</v>
      </c>
      <c r="T83" t="s">
        <v>45</v>
      </c>
      <c r="U83">
        <v>0</v>
      </c>
      <c r="V83">
        <v>190</v>
      </c>
      <c r="W83">
        <v>0</v>
      </c>
      <c r="X83">
        <v>0</v>
      </c>
      <c r="Z83">
        <f>SUM(Tabla1[[#This Row],[RES-A]:[EXTR-B]])</f>
        <v>190</v>
      </c>
      <c r="AA83">
        <f>Tabla1[[#This Row],[Columna1]]-Tabla1[[#This Row],[IMPORTE TOTAL]]</f>
        <v>0</v>
      </c>
    </row>
    <row r="84" spans="1:27" outlineLevel="1" x14ac:dyDescent="0.2">
      <c r="A84">
        <v>2020</v>
      </c>
      <c r="B84" t="s">
        <v>60</v>
      </c>
      <c r="C84" s="51">
        <v>44002</v>
      </c>
      <c r="D84" s="3" t="s">
        <v>42</v>
      </c>
      <c r="E84" s="3" t="s">
        <v>46</v>
      </c>
      <c r="F84" s="3" t="s">
        <v>46</v>
      </c>
      <c r="G84" s="4">
        <v>0.89583333333333337</v>
      </c>
      <c r="H84" s="4">
        <v>0.10416666666666667</v>
      </c>
      <c r="I84" t="s">
        <v>35</v>
      </c>
      <c r="J84">
        <v>1</v>
      </c>
      <c r="L84" s="46"/>
      <c r="P84">
        <v>195</v>
      </c>
      <c r="Q84">
        <v>1</v>
      </c>
      <c r="R84">
        <v>55</v>
      </c>
      <c r="S84" s="7">
        <f>Tabla1[[#This Row],[TARIFA]]+Tabla1[[#This Row],[IMPORTE EXTRAS]]</f>
        <v>250</v>
      </c>
      <c r="T84" t="s">
        <v>45</v>
      </c>
      <c r="U84">
        <v>50</v>
      </c>
      <c r="V84">
        <v>145</v>
      </c>
      <c r="W84">
        <v>0</v>
      </c>
      <c r="X84">
        <v>55</v>
      </c>
      <c r="Z84">
        <f>SUM(Tabla1[[#This Row],[RES-A]:[EXTR-B]])</f>
        <v>250</v>
      </c>
      <c r="AA84">
        <f>Tabla1[[#This Row],[Columna1]]-Tabla1[[#This Row],[IMPORTE TOTAL]]</f>
        <v>0</v>
      </c>
    </row>
    <row r="85" spans="1:27" outlineLevel="1" x14ac:dyDescent="0.2">
      <c r="A85">
        <v>2020</v>
      </c>
      <c r="B85" t="s">
        <v>60</v>
      </c>
      <c r="C85" s="51">
        <v>44003</v>
      </c>
      <c r="D85" s="3" t="s">
        <v>43</v>
      </c>
      <c r="E85" s="3" t="s">
        <v>46</v>
      </c>
      <c r="F85" s="3" t="s">
        <v>46</v>
      </c>
      <c r="G85" s="4">
        <v>0.89583333333333337</v>
      </c>
      <c r="H85" s="4">
        <v>0.10416666666666667</v>
      </c>
      <c r="I85" t="s">
        <v>35</v>
      </c>
      <c r="J85">
        <v>1</v>
      </c>
      <c r="L85" s="46"/>
      <c r="P85">
        <v>195</v>
      </c>
      <c r="Q85">
        <v>1</v>
      </c>
      <c r="R85">
        <v>50</v>
      </c>
      <c r="S85" s="7">
        <f>Tabla1[[#This Row],[TARIFA]]+Tabla1[[#This Row],[IMPORTE EXTRAS]]</f>
        <v>245</v>
      </c>
      <c r="T85" t="s">
        <v>45</v>
      </c>
      <c r="U85">
        <v>50</v>
      </c>
      <c r="V85">
        <v>145</v>
      </c>
      <c r="W85">
        <v>0</v>
      </c>
      <c r="X85">
        <v>50</v>
      </c>
      <c r="Z85">
        <f>SUM(Tabla1[[#This Row],[RES-A]:[EXTR-B]])</f>
        <v>245</v>
      </c>
      <c r="AA85">
        <f>Tabla1[[#This Row],[Columna1]]-Tabla1[[#This Row],[IMPORTE TOTAL]]</f>
        <v>0</v>
      </c>
    </row>
    <row r="86" spans="1:27" outlineLevel="1" x14ac:dyDescent="0.2">
      <c r="A86">
        <v>2020</v>
      </c>
      <c r="B86" t="s">
        <v>60</v>
      </c>
      <c r="C86" s="51">
        <v>44005</v>
      </c>
      <c r="D86" s="3" t="s">
        <v>38</v>
      </c>
      <c r="E86" s="3" t="s">
        <v>46</v>
      </c>
      <c r="F86" s="3" t="s">
        <v>45</v>
      </c>
      <c r="G86" s="4">
        <v>0.89583333333333337</v>
      </c>
      <c r="H86" s="4">
        <v>0.10416666666666667</v>
      </c>
      <c r="I86" t="s">
        <v>49</v>
      </c>
      <c r="J86">
        <v>1</v>
      </c>
      <c r="L86" s="46"/>
      <c r="P86">
        <v>300</v>
      </c>
      <c r="Q86">
        <v>0</v>
      </c>
      <c r="R86">
        <v>0</v>
      </c>
      <c r="S86" s="7">
        <f>Tabla1[[#This Row],[TARIFA]]+Tabla1[[#This Row],[IMPORTE EXTRAS]]</f>
        <v>300</v>
      </c>
      <c r="T86" t="s">
        <v>45</v>
      </c>
      <c r="U86">
        <v>0</v>
      </c>
      <c r="V86">
        <v>300</v>
      </c>
      <c r="W86">
        <v>0</v>
      </c>
      <c r="X86">
        <v>0</v>
      </c>
      <c r="Z86">
        <f>SUM(Tabla1[[#This Row],[RES-A]:[EXTR-B]])</f>
        <v>300</v>
      </c>
      <c r="AA86">
        <f>Tabla1[[#This Row],[Columna1]]-Tabla1[[#This Row],[IMPORTE TOTAL]]</f>
        <v>0</v>
      </c>
    </row>
    <row r="87" spans="1:27" outlineLevel="1" x14ac:dyDescent="0.2">
      <c r="A87">
        <v>2020</v>
      </c>
      <c r="B87" t="s">
        <v>60</v>
      </c>
      <c r="C87" s="51">
        <v>44007</v>
      </c>
      <c r="D87" s="3" t="s">
        <v>38</v>
      </c>
      <c r="E87" s="3" t="s">
        <v>46</v>
      </c>
      <c r="F87" s="3" t="s">
        <v>46</v>
      </c>
      <c r="G87" s="4">
        <v>0.64583333333333337</v>
      </c>
      <c r="H87" s="4">
        <v>0.85416666666666663</v>
      </c>
      <c r="I87" t="s">
        <v>31</v>
      </c>
      <c r="J87">
        <v>1</v>
      </c>
      <c r="L87" s="46"/>
      <c r="P87">
        <v>50</v>
      </c>
      <c r="Q87">
        <v>0</v>
      </c>
      <c r="R87">
        <v>0</v>
      </c>
      <c r="S87" s="7">
        <f>Tabla1[[#This Row],[TARIFA]]+Tabla1[[#This Row],[IMPORTE EXTRAS]]</f>
        <v>50</v>
      </c>
      <c r="T87" t="s">
        <v>45</v>
      </c>
      <c r="U87">
        <v>0</v>
      </c>
      <c r="V87">
        <v>50</v>
      </c>
      <c r="W87">
        <v>0</v>
      </c>
      <c r="X87">
        <v>0</v>
      </c>
      <c r="Z87">
        <f>SUM(Tabla1[[#This Row],[RES-A]:[EXTR-B]])</f>
        <v>50</v>
      </c>
      <c r="AA87">
        <f>Tabla1[[#This Row],[Columna1]]-Tabla1[[#This Row],[IMPORTE TOTAL]]</f>
        <v>0</v>
      </c>
    </row>
    <row r="88" spans="1:27" outlineLevel="1" x14ac:dyDescent="0.2">
      <c r="A88">
        <v>2020</v>
      </c>
      <c r="B88" t="s">
        <v>60</v>
      </c>
      <c r="C88" s="51">
        <v>44012</v>
      </c>
      <c r="D88" s="3" t="s">
        <v>38</v>
      </c>
      <c r="E88" s="3" t="s">
        <v>46</v>
      </c>
      <c r="F88" s="3" t="s">
        <v>46</v>
      </c>
      <c r="G88" s="4">
        <v>0.64583333333333337</v>
      </c>
      <c r="H88" s="4">
        <v>0.85416666666666663</v>
      </c>
      <c r="I88" t="s">
        <v>31</v>
      </c>
      <c r="J88">
        <v>1</v>
      </c>
      <c r="L88" s="46"/>
      <c r="P88">
        <v>50</v>
      </c>
      <c r="Q88">
        <v>0</v>
      </c>
      <c r="R88">
        <v>0</v>
      </c>
      <c r="S88" s="7">
        <f>Tabla1[[#This Row],[TARIFA]]+Tabla1[[#This Row],[IMPORTE EXTRAS]]</f>
        <v>50</v>
      </c>
      <c r="T88" t="s">
        <v>45</v>
      </c>
      <c r="U88">
        <v>0</v>
      </c>
      <c r="V88">
        <v>50</v>
      </c>
      <c r="W88">
        <v>0</v>
      </c>
      <c r="X88">
        <v>0</v>
      </c>
      <c r="Z88">
        <f>SUM(Tabla1[[#This Row],[RES-A]:[EXTR-B]])</f>
        <v>50</v>
      </c>
      <c r="AA88">
        <f>Tabla1[[#This Row],[Columna1]]-Tabla1[[#This Row],[IMPORTE TOTAL]]</f>
        <v>0</v>
      </c>
    </row>
    <row r="89" spans="1:27" outlineLevel="1" x14ac:dyDescent="0.2">
      <c r="A89">
        <v>2020</v>
      </c>
      <c r="B89" t="s">
        <v>60</v>
      </c>
      <c r="C89" s="51">
        <v>44012</v>
      </c>
      <c r="D89" s="3" t="s">
        <v>38</v>
      </c>
      <c r="E89" s="3" t="s">
        <v>46</v>
      </c>
      <c r="F89" s="3" t="s">
        <v>46</v>
      </c>
      <c r="G89" s="4"/>
      <c r="H89" s="4"/>
      <c r="I89" t="s">
        <v>49</v>
      </c>
      <c r="L89" s="46"/>
      <c r="P89">
        <v>661.2</v>
      </c>
      <c r="S89" s="7">
        <f>Tabla1[[#This Row],[TARIFA]]+Tabla1[[#This Row],[IMPORTE EXTRAS]]</f>
        <v>661.2</v>
      </c>
      <c r="T89" t="s">
        <v>45</v>
      </c>
      <c r="U89">
        <v>661.2</v>
      </c>
      <c r="V89">
        <v>0</v>
      </c>
      <c r="W89">
        <v>0</v>
      </c>
      <c r="X89">
        <v>0</v>
      </c>
      <c r="Z89">
        <f>SUM(Tabla1[[#This Row],[RES-A]:[EXTR-B]])</f>
        <v>661.2</v>
      </c>
      <c r="AA89">
        <f>Tabla1[[#This Row],[Columna1]]-Tabla1[[#This Row],[IMPORTE TOTAL]]</f>
        <v>0</v>
      </c>
    </row>
    <row r="90" spans="1:27" outlineLevel="1" x14ac:dyDescent="0.2">
      <c r="A90">
        <v>2020</v>
      </c>
      <c r="B90" t="s">
        <v>61</v>
      </c>
      <c r="C90" s="51">
        <v>44013</v>
      </c>
      <c r="D90" s="3" t="s">
        <v>39</v>
      </c>
      <c r="E90" s="3" t="s">
        <v>46</v>
      </c>
      <c r="F90" s="3" t="s">
        <v>46</v>
      </c>
      <c r="G90" s="4"/>
      <c r="H90" s="4"/>
      <c r="I90" t="s">
        <v>49</v>
      </c>
      <c r="L90" s="46"/>
      <c r="P90">
        <v>1400</v>
      </c>
      <c r="S90" s="7">
        <f>Tabla1[[#This Row],[TARIFA]]+Tabla1[[#This Row],[IMPORTE EXTRAS]]</f>
        <v>1400</v>
      </c>
      <c r="T90" t="s">
        <v>45</v>
      </c>
      <c r="U90">
        <v>1400</v>
      </c>
      <c r="V90">
        <v>0</v>
      </c>
      <c r="W90">
        <v>0</v>
      </c>
      <c r="X90">
        <v>0</v>
      </c>
      <c r="Z90">
        <f>SUM(Tabla1[[#This Row],[RES-A]:[EXTR-B]])</f>
        <v>1400</v>
      </c>
      <c r="AA90">
        <f>Tabla1[[#This Row],[Columna1]]-Tabla1[[#This Row],[IMPORTE TOTAL]]</f>
        <v>0</v>
      </c>
    </row>
    <row r="91" spans="1:27" outlineLevel="1" x14ac:dyDescent="0.2">
      <c r="A91">
        <v>2020</v>
      </c>
      <c r="B91" t="s">
        <v>61</v>
      </c>
      <c r="C91" s="51">
        <v>44014</v>
      </c>
      <c r="D91" s="3" t="s">
        <v>40</v>
      </c>
      <c r="E91" s="3" t="s">
        <v>46</v>
      </c>
      <c r="F91" s="3" t="s">
        <v>46</v>
      </c>
      <c r="G91" s="4">
        <v>0.64583333333333337</v>
      </c>
      <c r="H91" s="4">
        <v>0.85416666666666663</v>
      </c>
      <c r="I91" t="s">
        <v>31</v>
      </c>
      <c r="J91">
        <v>1</v>
      </c>
      <c r="L91" s="46"/>
      <c r="P91">
        <v>50</v>
      </c>
      <c r="Q91">
        <v>0</v>
      </c>
      <c r="R91">
        <v>0</v>
      </c>
      <c r="S91" s="7">
        <f>Tabla1[[#This Row],[TARIFA]]+Tabla1[[#This Row],[IMPORTE EXTRAS]]</f>
        <v>50</v>
      </c>
      <c r="T91" t="s">
        <v>45</v>
      </c>
      <c r="U91">
        <v>0</v>
      </c>
      <c r="V91">
        <v>50</v>
      </c>
      <c r="W91">
        <v>0</v>
      </c>
      <c r="X91">
        <v>0</v>
      </c>
      <c r="Z91">
        <f>SUM(Tabla1[[#This Row],[RES-A]:[EXTR-B]])</f>
        <v>50</v>
      </c>
      <c r="AA91">
        <f>Tabla1[[#This Row],[Columna1]]-Tabla1[[#This Row],[IMPORTE TOTAL]]</f>
        <v>0</v>
      </c>
    </row>
    <row r="92" spans="1:27" outlineLevel="1" x14ac:dyDescent="0.2">
      <c r="A92">
        <v>2020</v>
      </c>
      <c r="B92" t="s">
        <v>61</v>
      </c>
      <c r="C92" s="51">
        <v>44015</v>
      </c>
      <c r="D92" s="3" t="s">
        <v>41</v>
      </c>
      <c r="E92" s="3" t="s">
        <v>46</v>
      </c>
      <c r="F92" s="3" t="s">
        <v>46</v>
      </c>
      <c r="G92" s="4">
        <v>0.89583333333333337</v>
      </c>
      <c r="H92" s="4">
        <v>0.10416666666666667</v>
      </c>
      <c r="I92" t="s">
        <v>35</v>
      </c>
      <c r="J92">
        <v>1</v>
      </c>
      <c r="L92" s="46"/>
      <c r="P92">
        <v>195</v>
      </c>
      <c r="Q92">
        <v>0</v>
      </c>
      <c r="R92">
        <v>0</v>
      </c>
      <c r="S92" s="7">
        <f>Tabla1[[#This Row],[TARIFA]]+Tabla1[[#This Row],[IMPORTE EXTRAS]]</f>
        <v>195</v>
      </c>
      <c r="T92" t="s">
        <v>45</v>
      </c>
      <c r="U92">
        <v>0</v>
      </c>
      <c r="V92">
        <v>195</v>
      </c>
      <c r="W92">
        <v>0</v>
      </c>
      <c r="X92">
        <v>0</v>
      </c>
      <c r="Z92">
        <f>SUM(Tabla1[[#This Row],[RES-A]:[EXTR-B]])</f>
        <v>195</v>
      </c>
      <c r="AA92">
        <f>Tabla1[[#This Row],[Columna1]]-Tabla1[[#This Row],[IMPORTE TOTAL]]</f>
        <v>0</v>
      </c>
    </row>
    <row r="93" spans="1:27" outlineLevel="1" x14ac:dyDescent="0.2">
      <c r="A93">
        <v>2020</v>
      </c>
      <c r="B93" t="s">
        <v>61</v>
      </c>
      <c r="C93" s="51">
        <v>44016</v>
      </c>
      <c r="D93" s="3" t="s">
        <v>42</v>
      </c>
      <c r="E93" s="3" t="s">
        <v>46</v>
      </c>
      <c r="F93" s="3" t="s">
        <v>46</v>
      </c>
      <c r="G93" s="4">
        <v>0.89583333333333337</v>
      </c>
      <c r="H93" s="4">
        <v>0.10416666666666667</v>
      </c>
      <c r="I93" t="s">
        <v>35</v>
      </c>
      <c r="J93">
        <v>1</v>
      </c>
      <c r="L93" s="46"/>
      <c r="P93">
        <v>195</v>
      </c>
      <c r="Q93">
        <v>0</v>
      </c>
      <c r="R93">
        <v>0</v>
      </c>
      <c r="S93" s="7">
        <f>Tabla1[[#This Row],[TARIFA]]+Tabla1[[#This Row],[IMPORTE EXTRAS]]</f>
        <v>195</v>
      </c>
      <c r="T93" t="s">
        <v>45</v>
      </c>
      <c r="U93">
        <v>195</v>
      </c>
      <c r="V93">
        <v>0</v>
      </c>
      <c r="W93">
        <v>0</v>
      </c>
      <c r="X93">
        <v>0</v>
      </c>
      <c r="Y93" t="s">
        <v>200</v>
      </c>
      <c r="Z93">
        <f>SUM(Tabla1[[#This Row],[RES-A]:[EXTR-B]])</f>
        <v>195</v>
      </c>
      <c r="AA93">
        <f>Tabla1[[#This Row],[Columna1]]-Tabla1[[#This Row],[IMPORTE TOTAL]]</f>
        <v>0</v>
      </c>
    </row>
    <row r="94" spans="1:27" outlineLevel="1" x14ac:dyDescent="0.2">
      <c r="A94">
        <v>2020</v>
      </c>
      <c r="B94" t="s">
        <v>61</v>
      </c>
      <c r="C94" s="3">
        <v>44017</v>
      </c>
      <c r="D94" s="3" t="s">
        <v>43</v>
      </c>
      <c r="E94" s="3" t="s">
        <v>46</v>
      </c>
      <c r="F94" s="3" t="s">
        <v>46</v>
      </c>
      <c r="G94" s="4">
        <v>0.64583333333333337</v>
      </c>
      <c r="H94" s="4">
        <v>0.85416666666666663</v>
      </c>
      <c r="I94" t="s">
        <v>31</v>
      </c>
      <c r="J94">
        <v>1</v>
      </c>
      <c r="L94" s="46"/>
      <c r="P94">
        <v>145</v>
      </c>
      <c r="Q94">
        <v>0</v>
      </c>
      <c r="R94">
        <v>5</v>
      </c>
      <c r="S94" s="7">
        <f>Tabla1[[#This Row],[TARIFA]]+Tabla1[[#This Row],[IMPORTE EXTRAS]]</f>
        <v>150</v>
      </c>
      <c r="T94" t="s">
        <v>45</v>
      </c>
      <c r="U94">
        <v>50</v>
      </c>
      <c r="V94">
        <v>95</v>
      </c>
      <c r="W94">
        <v>0</v>
      </c>
      <c r="X94">
        <v>5</v>
      </c>
      <c r="Z94">
        <f>SUM(Tabla1[[#This Row],[RES-A]:[EXTR-B]])</f>
        <v>150</v>
      </c>
      <c r="AA94">
        <f>Tabla1[[#This Row],[Columna1]]-Tabla1[[#This Row],[IMPORTE TOTAL]]</f>
        <v>0</v>
      </c>
    </row>
    <row r="95" spans="1:27" outlineLevel="1" x14ac:dyDescent="0.2">
      <c r="A95">
        <v>2020</v>
      </c>
      <c r="B95" t="s">
        <v>61</v>
      </c>
      <c r="C95" s="51">
        <v>44019</v>
      </c>
      <c r="D95" s="3" t="s">
        <v>38</v>
      </c>
      <c r="E95" s="3" t="s">
        <v>46</v>
      </c>
      <c r="F95" s="3" t="s">
        <v>46</v>
      </c>
      <c r="G95" s="4">
        <v>0.64583333333333337</v>
      </c>
      <c r="H95" s="4">
        <v>0.85416666666666663</v>
      </c>
      <c r="I95" t="s">
        <v>31</v>
      </c>
      <c r="J95">
        <v>1</v>
      </c>
      <c r="L95" s="46"/>
      <c r="P95">
        <v>50</v>
      </c>
      <c r="Q95">
        <v>0</v>
      </c>
      <c r="R95">
        <v>0</v>
      </c>
      <c r="S95" s="7">
        <f>Tabla1[[#This Row],[TARIFA]]+Tabla1[[#This Row],[IMPORTE EXTRAS]]</f>
        <v>50</v>
      </c>
      <c r="T95" t="s">
        <v>45</v>
      </c>
      <c r="U95">
        <v>0</v>
      </c>
      <c r="V95">
        <v>50</v>
      </c>
      <c r="W95">
        <v>0</v>
      </c>
      <c r="X95">
        <v>0</v>
      </c>
      <c r="Z95">
        <f>SUM(Tabla1[[#This Row],[RES-A]:[EXTR-B]])</f>
        <v>50</v>
      </c>
      <c r="AA95">
        <f>Tabla1[[#This Row],[Columna1]]-Tabla1[[#This Row],[IMPORTE TOTAL]]</f>
        <v>0</v>
      </c>
    </row>
    <row r="96" spans="1:27" outlineLevel="1" x14ac:dyDescent="0.2">
      <c r="A96">
        <v>2020</v>
      </c>
      <c r="B96" t="s">
        <v>61</v>
      </c>
      <c r="C96" s="51">
        <v>44021</v>
      </c>
      <c r="D96" s="3" t="s">
        <v>40</v>
      </c>
      <c r="E96" s="3" t="s">
        <v>46</v>
      </c>
      <c r="F96" s="3" t="s">
        <v>46</v>
      </c>
      <c r="G96" s="4">
        <v>0.64583333333333337</v>
      </c>
      <c r="H96" s="4">
        <v>0.85416666666666663</v>
      </c>
      <c r="I96" t="s">
        <v>31</v>
      </c>
      <c r="J96">
        <v>1</v>
      </c>
      <c r="L96" s="46"/>
      <c r="P96">
        <v>50</v>
      </c>
      <c r="Q96">
        <v>0</v>
      </c>
      <c r="R96">
        <v>0</v>
      </c>
      <c r="S96" s="7">
        <f>Tabla1[[#This Row],[TARIFA]]+Tabla1[[#This Row],[IMPORTE EXTRAS]]</f>
        <v>50</v>
      </c>
      <c r="T96" t="s">
        <v>45</v>
      </c>
      <c r="U96">
        <v>0</v>
      </c>
      <c r="V96">
        <v>50</v>
      </c>
      <c r="W96">
        <v>0</v>
      </c>
      <c r="X96">
        <v>0</v>
      </c>
      <c r="Z96">
        <f>SUM(Tabla1[[#This Row],[RES-A]:[EXTR-B]])</f>
        <v>50</v>
      </c>
      <c r="AA96">
        <f>Tabla1[[#This Row],[Columna1]]-Tabla1[[#This Row],[IMPORTE TOTAL]]</f>
        <v>0</v>
      </c>
    </row>
    <row r="97" spans="1:27" outlineLevel="1" x14ac:dyDescent="0.2">
      <c r="A97">
        <v>2020</v>
      </c>
      <c r="B97" t="s">
        <v>61</v>
      </c>
      <c r="C97" s="51">
        <v>44022</v>
      </c>
      <c r="D97" s="3" t="s">
        <v>41</v>
      </c>
      <c r="E97" s="3" t="s">
        <v>46</v>
      </c>
      <c r="F97" s="3" t="s">
        <v>46</v>
      </c>
      <c r="G97" s="4">
        <v>0.89583333333333337</v>
      </c>
      <c r="H97" s="4">
        <v>0.10416666666666667</v>
      </c>
      <c r="I97" t="s">
        <v>35</v>
      </c>
      <c r="J97">
        <v>1</v>
      </c>
      <c r="L97" s="46"/>
      <c r="P97">
        <v>0</v>
      </c>
      <c r="Q97">
        <v>0</v>
      </c>
      <c r="R97">
        <v>0</v>
      </c>
      <c r="S97" s="7">
        <f>Tabla1[[#This Row],[TARIFA]]+Tabla1[[#This Row],[IMPORTE EXTRAS]]</f>
        <v>0</v>
      </c>
      <c r="T97" t="s">
        <v>46</v>
      </c>
      <c r="U97">
        <v>0</v>
      </c>
      <c r="V97">
        <v>0</v>
      </c>
      <c r="W97">
        <v>0</v>
      </c>
      <c r="X97">
        <v>0</v>
      </c>
      <c r="Y97" t="s">
        <v>204</v>
      </c>
      <c r="Z97" s="7">
        <f>SUM(Tabla1[[#This Row],[RES-A]:[EXTR-B]])</f>
        <v>0</v>
      </c>
      <c r="AA97" s="7">
        <f>Tabla1[[#This Row],[Columna1]]-Tabla1[[#This Row],[IMPORTE TOTAL]]</f>
        <v>0</v>
      </c>
    </row>
    <row r="98" spans="1:27" outlineLevel="1" x14ac:dyDescent="0.2">
      <c r="A98">
        <v>2020</v>
      </c>
      <c r="B98" t="s">
        <v>61</v>
      </c>
      <c r="C98" s="3">
        <v>44023</v>
      </c>
      <c r="D98" s="3" t="s">
        <v>42</v>
      </c>
      <c r="E98" s="3" t="s">
        <v>46</v>
      </c>
      <c r="F98" s="3" t="s">
        <v>46</v>
      </c>
      <c r="G98" s="4">
        <v>0.89583333333333337</v>
      </c>
      <c r="H98" s="4">
        <v>0.10416666666666667</v>
      </c>
      <c r="I98" t="s">
        <v>35</v>
      </c>
      <c r="J98">
        <v>1</v>
      </c>
      <c r="L98" s="46"/>
      <c r="P98">
        <v>195</v>
      </c>
      <c r="Q98">
        <v>1</v>
      </c>
      <c r="R98">
        <v>55</v>
      </c>
      <c r="S98" s="7">
        <f>Tabla1[[#This Row],[TARIFA]]+Tabla1[[#This Row],[IMPORTE EXTRAS]]</f>
        <v>250</v>
      </c>
      <c r="T98" t="s">
        <v>45</v>
      </c>
      <c r="U98">
        <v>50</v>
      </c>
      <c r="V98">
        <v>145</v>
      </c>
      <c r="W98">
        <v>0</v>
      </c>
      <c r="X98">
        <v>55</v>
      </c>
      <c r="Z98">
        <f>SUM(Tabla1[[#This Row],[RES-A]:[EXTR-B]])</f>
        <v>250</v>
      </c>
      <c r="AA98">
        <f>Tabla1[[#This Row],[Columna1]]-Tabla1[[#This Row],[IMPORTE TOTAL]]</f>
        <v>0</v>
      </c>
    </row>
    <row r="99" spans="1:27" outlineLevel="1" x14ac:dyDescent="0.2">
      <c r="A99">
        <v>2020</v>
      </c>
      <c r="B99" t="s">
        <v>61</v>
      </c>
      <c r="C99" s="51">
        <v>44025</v>
      </c>
      <c r="D99" s="3" t="s">
        <v>37</v>
      </c>
      <c r="E99" s="3" t="s">
        <v>46</v>
      </c>
      <c r="F99" s="3" t="s">
        <v>46</v>
      </c>
      <c r="G99" s="4">
        <v>0.64583333333333337</v>
      </c>
      <c r="H99" s="4">
        <v>0.85416666666666663</v>
      </c>
      <c r="I99" t="s">
        <v>31</v>
      </c>
      <c r="J99">
        <v>1</v>
      </c>
      <c r="L99" s="46"/>
      <c r="P99">
        <v>50</v>
      </c>
      <c r="Q99">
        <v>0</v>
      </c>
      <c r="R99">
        <v>0</v>
      </c>
      <c r="S99" s="7">
        <f>Tabla1[[#This Row],[TARIFA]]+Tabla1[[#This Row],[IMPORTE EXTRAS]]</f>
        <v>50</v>
      </c>
      <c r="T99" t="s">
        <v>45</v>
      </c>
      <c r="U99">
        <v>0</v>
      </c>
      <c r="V99">
        <v>50</v>
      </c>
      <c r="W99">
        <v>0</v>
      </c>
      <c r="X99">
        <v>0</v>
      </c>
      <c r="Z99">
        <f>SUM(Tabla1[[#This Row],[RES-A]:[EXTR-B]])</f>
        <v>50</v>
      </c>
      <c r="AA99">
        <f>Tabla1[[#This Row],[Columna1]]-Tabla1[[#This Row],[IMPORTE TOTAL]]</f>
        <v>0</v>
      </c>
    </row>
    <row r="100" spans="1:27" outlineLevel="1" x14ac:dyDescent="0.2">
      <c r="A100">
        <v>2020</v>
      </c>
      <c r="B100" t="s">
        <v>61</v>
      </c>
      <c r="C100" s="51">
        <v>44027</v>
      </c>
      <c r="D100" s="3" t="s">
        <v>39</v>
      </c>
      <c r="E100" s="3" t="s">
        <v>46</v>
      </c>
      <c r="F100" s="3" t="s">
        <v>46</v>
      </c>
      <c r="G100" s="4">
        <v>0.64583333333333337</v>
      </c>
      <c r="H100" s="4">
        <v>0.85416666666666663</v>
      </c>
      <c r="I100" t="s">
        <v>31</v>
      </c>
      <c r="J100">
        <v>1</v>
      </c>
      <c r="L100" s="46"/>
      <c r="P100">
        <v>50</v>
      </c>
      <c r="Q100">
        <v>0</v>
      </c>
      <c r="R100">
        <v>0</v>
      </c>
      <c r="S100" s="7">
        <f>Tabla1[[#This Row],[TARIFA]]+Tabla1[[#This Row],[IMPORTE EXTRAS]]</f>
        <v>50</v>
      </c>
      <c r="T100" t="s">
        <v>45</v>
      </c>
      <c r="U100">
        <v>0</v>
      </c>
      <c r="V100">
        <v>50</v>
      </c>
      <c r="W100">
        <v>0</v>
      </c>
      <c r="X100">
        <v>0</v>
      </c>
      <c r="Z100">
        <f>SUM(Tabla1[[#This Row],[RES-A]:[EXTR-B]])</f>
        <v>50</v>
      </c>
      <c r="AA100">
        <f>Tabla1[[#This Row],[Columna1]]-Tabla1[[#This Row],[IMPORTE TOTAL]]</f>
        <v>0</v>
      </c>
    </row>
    <row r="101" spans="1:27" outlineLevel="1" x14ac:dyDescent="0.2">
      <c r="A101">
        <v>2020</v>
      </c>
      <c r="B101" t="s">
        <v>61</v>
      </c>
      <c r="C101" s="3">
        <v>44028</v>
      </c>
      <c r="D101" s="3" t="s">
        <v>40</v>
      </c>
      <c r="E101" s="3" t="s">
        <v>46</v>
      </c>
      <c r="F101" s="3" t="s">
        <v>46</v>
      </c>
      <c r="G101" s="4">
        <v>0.64583333333333337</v>
      </c>
      <c r="H101" s="4">
        <v>0.85416666666666663</v>
      </c>
      <c r="I101" t="s">
        <v>31</v>
      </c>
      <c r="J101">
        <v>1</v>
      </c>
      <c r="L101" s="46"/>
      <c r="P101">
        <v>50</v>
      </c>
      <c r="Q101">
        <v>0</v>
      </c>
      <c r="R101">
        <v>0</v>
      </c>
      <c r="S101" s="7">
        <f>Tabla1[[#This Row],[TARIFA]]+Tabla1[[#This Row],[IMPORTE EXTRAS]]</f>
        <v>50</v>
      </c>
      <c r="T101" t="s">
        <v>45</v>
      </c>
      <c r="U101">
        <v>50</v>
      </c>
      <c r="V101">
        <v>0</v>
      </c>
      <c r="W101">
        <v>0</v>
      </c>
      <c r="X101">
        <v>0</v>
      </c>
      <c r="Z101">
        <f>SUM(Tabla1[[#This Row],[RES-A]:[EXTR-B]])</f>
        <v>50</v>
      </c>
      <c r="AA101">
        <f>Tabla1[[#This Row],[Columna1]]-Tabla1[[#This Row],[IMPORTE TOTAL]]</f>
        <v>0</v>
      </c>
    </row>
    <row r="102" spans="1:27" outlineLevel="1" x14ac:dyDescent="0.2">
      <c r="A102">
        <v>2020</v>
      </c>
      <c r="B102" t="s">
        <v>61</v>
      </c>
      <c r="C102" s="3">
        <v>44029</v>
      </c>
      <c r="D102" s="3" t="s">
        <v>41</v>
      </c>
      <c r="E102" s="3" t="s">
        <v>46</v>
      </c>
      <c r="F102" s="3" t="s">
        <v>46</v>
      </c>
      <c r="G102" s="4">
        <v>0.89583333333333337</v>
      </c>
      <c r="H102" s="4">
        <v>0.10416666666666667</v>
      </c>
      <c r="I102" t="s">
        <v>35</v>
      </c>
      <c r="J102">
        <v>1</v>
      </c>
      <c r="L102" s="46"/>
      <c r="P102">
        <v>195</v>
      </c>
      <c r="Q102">
        <v>0</v>
      </c>
      <c r="R102">
        <v>0</v>
      </c>
      <c r="S102" s="7">
        <f>Tabla1[[#This Row],[TARIFA]]+Tabla1[[#This Row],[IMPORTE EXTRAS]]</f>
        <v>195</v>
      </c>
      <c r="T102" t="s">
        <v>45</v>
      </c>
      <c r="U102">
        <v>50</v>
      </c>
      <c r="V102">
        <v>145</v>
      </c>
      <c r="W102">
        <v>0</v>
      </c>
      <c r="X102">
        <v>0</v>
      </c>
      <c r="Z102">
        <f>SUM(Tabla1[[#This Row],[RES-A]:[EXTR-B]])</f>
        <v>195</v>
      </c>
      <c r="AA102">
        <f>Tabla1[[#This Row],[Columna1]]-Tabla1[[#This Row],[IMPORTE TOTAL]]</f>
        <v>0</v>
      </c>
    </row>
    <row r="103" spans="1:27" outlineLevel="1" x14ac:dyDescent="0.2">
      <c r="A103">
        <v>2020</v>
      </c>
      <c r="B103" t="s">
        <v>61</v>
      </c>
      <c r="C103" s="50">
        <v>44030</v>
      </c>
      <c r="D103" s="3" t="s">
        <v>42</v>
      </c>
      <c r="E103" s="3" t="s">
        <v>46</v>
      </c>
      <c r="F103" s="3" t="s">
        <v>46</v>
      </c>
      <c r="G103" s="4">
        <v>0.89583333333333337</v>
      </c>
      <c r="H103" s="4">
        <v>0.10416666666666667</v>
      </c>
      <c r="I103" t="s">
        <v>35</v>
      </c>
      <c r="J103">
        <v>1</v>
      </c>
      <c r="L103" s="46"/>
      <c r="P103">
        <v>195</v>
      </c>
      <c r="Q103">
        <v>0</v>
      </c>
      <c r="R103">
        <v>0</v>
      </c>
      <c r="S103" s="7">
        <f>Tabla1[[#This Row],[TARIFA]]+Tabla1[[#This Row],[IMPORTE EXTRAS]]</f>
        <v>195</v>
      </c>
      <c r="T103" t="s">
        <v>55</v>
      </c>
      <c r="U103">
        <v>100</v>
      </c>
      <c r="V103">
        <v>0</v>
      </c>
      <c r="W103">
        <v>0</v>
      </c>
      <c r="X103">
        <v>0</v>
      </c>
      <c r="Y103" s="52" t="s">
        <v>178</v>
      </c>
      <c r="Z103">
        <f>SUM(Tabla1[[#This Row],[RES-A]:[EXTR-B]])</f>
        <v>100</v>
      </c>
      <c r="AA103">
        <f>Tabla1[[#This Row],[Columna1]]-Tabla1[[#This Row],[IMPORTE TOTAL]]</f>
        <v>-95</v>
      </c>
    </row>
    <row r="104" spans="1:27" outlineLevel="1" x14ac:dyDescent="0.2">
      <c r="A104">
        <v>2020</v>
      </c>
      <c r="B104" t="s">
        <v>61</v>
      </c>
      <c r="C104" s="3">
        <v>44031</v>
      </c>
      <c r="D104" s="3" t="s">
        <v>43</v>
      </c>
      <c r="E104" s="3" t="s">
        <v>46</v>
      </c>
      <c r="F104" s="3" t="s">
        <v>46</v>
      </c>
      <c r="G104" s="4">
        <v>0.39583333333333331</v>
      </c>
      <c r="H104" s="4">
        <v>0.60416666666666663</v>
      </c>
      <c r="I104" t="s">
        <v>30</v>
      </c>
      <c r="J104">
        <v>1</v>
      </c>
      <c r="L104" s="46"/>
      <c r="P104">
        <v>145</v>
      </c>
      <c r="Q104">
        <v>1</v>
      </c>
      <c r="R104">
        <v>5</v>
      </c>
      <c r="S104" s="7">
        <f>Tabla1[[#This Row],[TARIFA]]+Tabla1[[#This Row],[IMPORTE EXTRAS]]</f>
        <v>150</v>
      </c>
      <c r="T104" t="s">
        <v>45</v>
      </c>
      <c r="U104">
        <v>50</v>
      </c>
      <c r="V104">
        <v>95</v>
      </c>
      <c r="W104">
        <v>0</v>
      </c>
      <c r="X104">
        <v>5</v>
      </c>
      <c r="Z104">
        <f>SUM(Tabla1[[#This Row],[RES-A]:[EXTR-B]])</f>
        <v>150</v>
      </c>
      <c r="AA104">
        <f>Tabla1[[#This Row],[Columna1]]-Tabla1[[#This Row],[IMPORTE TOTAL]]</f>
        <v>0</v>
      </c>
    </row>
    <row r="105" spans="1:27" outlineLevel="1" x14ac:dyDescent="0.2">
      <c r="A105">
        <v>2020</v>
      </c>
      <c r="B105" t="s">
        <v>61</v>
      </c>
      <c r="C105" s="3">
        <v>44033</v>
      </c>
      <c r="D105" s="3" t="s">
        <v>38</v>
      </c>
      <c r="E105" s="3" t="s">
        <v>46</v>
      </c>
      <c r="F105" s="3" t="s">
        <v>46</v>
      </c>
      <c r="G105" s="4">
        <v>0.64583333333333337</v>
      </c>
      <c r="H105" s="4">
        <v>0.85416666666666663</v>
      </c>
      <c r="I105" t="s">
        <v>31</v>
      </c>
      <c r="J105">
        <v>1</v>
      </c>
      <c r="L105" s="46"/>
      <c r="P105">
        <v>50</v>
      </c>
      <c r="Q105">
        <v>0</v>
      </c>
      <c r="R105">
        <v>0</v>
      </c>
      <c r="S105" s="7">
        <f>Tabla1[[#This Row],[TARIFA]]+Tabla1[[#This Row],[IMPORTE EXTRAS]]</f>
        <v>50</v>
      </c>
      <c r="T105" t="s">
        <v>45</v>
      </c>
      <c r="U105">
        <v>50</v>
      </c>
      <c r="V105">
        <v>0</v>
      </c>
      <c r="W105">
        <v>0</v>
      </c>
      <c r="X105">
        <v>0</v>
      </c>
      <c r="Z105">
        <f>SUM(Tabla1[[#This Row],[RES-A]:[EXTR-B]])</f>
        <v>50</v>
      </c>
      <c r="AA105">
        <f>Tabla1[[#This Row],[Columna1]]-Tabla1[[#This Row],[IMPORTE TOTAL]]</f>
        <v>0</v>
      </c>
    </row>
    <row r="106" spans="1:27" outlineLevel="1" x14ac:dyDescent="0.2">
      <c r="A106">
        <v>2020</v>
      </c>
      <c r="B106" t="s">
        <v>61</v>
      </c>
      <c r="C106" s="3">
        <v>44033</v>
      </c>
      <c r="D106" s="3" t="s">
        <v>38</v>
      </c>
      <c r="E106" s="3" t="s">
        <v>46</v>
      </c>
      <c r="F106" s="3" t="s">
        <v>46</v>
      </c>
      <c r="G106" s="4">
        <v>0.89583333333333337</v>
      </c>
      <c r="H106" s="4">
        <v>0.10416666666666667</v>
      </c>
      <c r="I106" t="s">
        <v>35</v>
      </c>
      <c r="J106">
        <v>1</v>
      </c>
      <c r="L106" s="46"/>
      <c r="P106">
        <v>195</v>
      </c>
      <c r="Q106">
        <v>0</v>
      </c>
      <c r="R106">
        <v>0</v>
      </c>
      <c r="S106" s="7">
        <f>Tabla1[[#This Row],[TARIFA]]+Tabla1[[#This Row],[IMPORTE EXTRAS]]</f>
        <v>195</v>
      </c>
      <c r="T106" t="s">
        <v>45</v>
      </c>
      <c r="U106">
        <v>195</v>
      </c>
      <c r="V106">
        <v>0</v>
      </c>
      <c r="W106">
        <v>0</v>
      </c>
      <c r="X106">
        <v>0</v>
      </c>
      <c r="Z106" s="7">
        <f>SUM(Tabla1[[#This Row],[RES-A]:[EXTR-B]])</f>
        <v>195</v>
      </c>
      <c r="AA106" s="7">
        <f>Tabla1[[#This Row],[Columna1]]-Tabla1[[#This Row],[IMPORTE TOTAL]]</f>
        <v>0</v>
      </c>
    </row>
    <row r="107" spans="1:27" outlineLevel="1" x14ac:dyDescent="0.2">
      <c r="A107">
        <v>2020</v>
      </c>
      <c r="B107" t="s">
        <v>61</v>
      </c>
      <c r="C107" s="3">
        <v>44036</v>
      </c>
      <c r="D107" s="3" t="s">
        <v>41</v>
      </c>
      <c r="E107" s="3" t="s">
        <v>46</v>
      </c>
      <c r="F107" s="3" t="s">
        <v>46</v>
      </c>
      <c r="G107" s="4">
        <v>0.89583333333333337</v>
      </c>
      <c r="H107" s="4">
        <v>0.10416666666666667</v>
      </c>
      <c r="I107" t="s">
        <v>35</v>
      </c>
      <c r="J107">
        <v>1</v>
      </c>
      <c r="L107" s="46"/>
      <c r="P107">
        <v>195</v>
      </c>
      <c r="Q107">
        <v>1</v>
      </c>
      <c r="R107">
        <v>5</v>
      </c>
      <c r="S107" s="7">
        <f>Tabla1[[#This Row],[TARIFA]]+Tabla1[[#This Row],[IMPORTE EXTRAS]]</f>
        <v>200</v>
      </c>
      <c r="T107" t="s">
        <v>45</v>
      </c>
      <c r="U107">
        <v>50</v>
      </c>
      <c r="V107">
        <v>145</v>
      </c>
      <c r="W107">
        <v>0</v>
      </c>
      <c r="X107">
        <v>5</v>
      </c>
      <c r="Z107">
        <f>SUM(Tabla1[[#This Row],[RES-A]:[EXTR-B]])</f>
        <v>200</v>
      </c>
      <c r="AA107">
        <f>Tabla1[[#This Row],[Columna1]]-Tabla1[[#This Row],[IMPORTE TOTAL]]</f>
        <v>0</v>
      </c>
    </row>
    <row r="108" spans="1:27" outlineLevel="1" x14ac:dyDescent="0.2">
      <c r="A108">
        <v>2020</v>
      </c>
      <c r="B108" t="s">
        <v>61</v>
      </c>
      <c r="C108" s="3">
        <v>44037</v>
      </c>
      <c r="D108" s="3" t="s">
        <v>42</v>
      </c>
      <c r="E108" s="3" t="s">
        <v>46</v>
      </c>
      <c r="F108" s="3" t="s">
        <v>46</v>
      </c>
      <c r="G108" s="4">
        <v>0.89583333333333337</v>
      </c>
      <c r="H108" s="4">
        <v>0.10416666666666667</v>
      </c>
      <c r="I108" t="s">
        <v>35</v>
      </c>
      <c r="J108">
        <v>1</v>
      </c>
      <c r="L108" s="46"/>
      <c r="P108">
        <v>195</v>
      </c>
      <c r="Q108">
        <v>0</v>
      </c>
      <c r="R108">
        <v>0</v>
      </c>
      <c r="S108" s="7">
        <f>Tabla1[[#This Row],[TARIFA]]+Tabla1[[#This Row],[IMPORTE EXTRAS]]</f>
        <v>195</v>
      </c>
      <c r="T108" t="s">
        <v>45</v>
      </c>
      <c r="U108">
        <v>50</v>
      </c>
      <c r="V108">
        <v>145</v>
      </c>
      <c r="W108">
        <v>0</v>
      </c>
      <c r="X108">
        <v>0</v>
      </c>
      <c r="Z108">
        <f>SUM(Tabla1[[#This Row],[RES-A]:[EXTR-B]])</f>
        <v>195</v>
      </c>
      <c r="AA108">
        <f>Tabla1[[#This Row],[Columna1]]-Tabla1[[#This Row],[IMPORTE TOTAL]]</f>
        <v>0</v>
      </c>
    </row>
    <row r="109" spans="1:27" outlineLevel="1" x14ac:dyDescent="0.2">
      <c r="A109">
        <v>2020</v>
      </c>
      <c r="B109" t="s">
        <v>61</v>
      </c>
      <c r="C109" s="50">
        <v>44038</v>
      </c>
      <c r="D109" s="3" t="s">
        <v>43</v>
      </c>
      <c r="E109" s="3" t="s">
        <v>46</v>
      </c>
      <c r="F109" s="3" t="s">
        <v>46</v>
      </c>
      <c r="G109" s="4">
        <v>0.39583333333333331</v>
      </c>
      <c r="H109" s="4">
        <v>0.60416666666666663</v>
      </c>
      <c r="I109" t="s">
        <v>30</v>
      </c>
      <c r="J109">
        <v>1</v>
      </c>
      <c r="L109" s="46"/>
      <c r="P109">
        <v>145</v>
      </c>
      <c r="Q109">
        <v>0</v>
      </c>
      <c r="R109">
        <v>0</v>
      </c>
      <c r="S109" s="7">
        <f>Tabla1[[#This Row],[TARIFA]]+Tabla1[[#This Row],[IMPORTE EXTRAS]]</f>
        <v>145</v>
      </c>
      <c r="T109" t="s">
        <v>46</v>
      </c>
      <c r="U109">
        <v>0</v>
      </c>
      <c r="V109">
        <v>0</v>
      </c>
      <c r="W109">
        <v>0</v>
      </c>
      <c r="X109">
        <v>0</v>
      </c>
      <c r="Y109" s="52" t="s">
        <v>177</v>
      </c>
      <c r="Z109">
        <f>SUM(Tabla1[[#This Row],[RES-A]:[EXTR-B]])</f>
        <v>0</v>
      </c>
      <c r="AA109">
        <f>Tabla1[[#This Row],[Columna1]]-Tabla1[[#This Row],[IMPORTE TOTAL]]</f>
        <v>-145</v>
      </c>
    </row>
    <row r="110" spans="1:27" outlineLevel="1" x14ac:dyDescent="0.2">
      <c r="A110">
        <v>2020</v>
      </c>
      <c r="B110" t="s">
        <v>61</v>
      </c>
      <c r="C110" s="3">
        <v>44042</v>
      </c>
      <c r="D110" s="3" t="s">
        <v>40</v>
      </c>
      <c r="E110" s="3" t="s">
        <v>46</v>
      </c>
      <c r="F110" s="3" t="s">
        <v>46</v>
      </c>
      <c r="G110" s="4">
        <v>0.89583333333333337</v>
      </c>
      <c r="H110" s="4">
        <v>0.10416666666666667</v>
      </c>
      <c r="I110" t="s">
        <v>35</v>
      </c>
      <c r="J110">
        <v>1</v>
      </c>
      <c r="L110" s="46"/>
      <c r="P110">
        <v>195</v>
      </c>
      <c r="Q110">
        <v>0</v>
      </c>
      <c r="R110">
        <v>0</v>
      </c>
      <c r="S110" s="7">
        <f>Tabla1[[#This Row],[TARIFA]]+Tabla1[[#This Row],[IMPORTE EXTRAS]]</f>
        <v>195</v>
      </c>
      <c r="T110" t="s">
        <v>45</v>
      </c>
      <c r="U110">
        <v>195</v>
      </c>
      <c r="V110">
        <v>0</v>
      </c>
      <c r="W110">
        <v>0</v>
      </c>
      <c r="X110">
        <v>0</v>
      </c>
      <c r="Z110" s="7">
        <f>SUM(Tabla1[[#This Row],[RES-A]:[EXTR-B]])</f>
        <v>195</v>
      </c>
      <c r="AA110" s="7">
        <f>Tabla1[[#This Row],[Columna1]]-Tabla1[[#This Row],[IMPORTE TOTAL]]</f>
        <v>0</v>
      </c>
    </row>
    <row r="111" spans="1:27" outlineLevel="1" x14ac:dyDescent="0.2">
      <c r="A111">
        <v>2020</v>
      </c>
      <c r="B111" t="s">
        <v>61</v>
      </c>
      <c r="C111" s="51">
        <v>44043</v>
      </c>
      <c r="D111" s="3" t="s">
        <v>41</v>
      </c>
      <c r="E111" s="3" t="s">
        <v>46</v>
      </c>
      <c r="F111" s="3" t="s">
        <v>46</v>
      </c>
      <c r="G111" s="4">
        <v>0.89583333333333337</v>
      </c>
      <c r="H111" s="4">
        <v>0.10416666666666667</v>
      </c>
      <c r="I111" t="s">
        <v>35</v>
      </c>
      <c r="J111">
        <v>1</v>
      </c>
      <c r="L111" s="46"/>
      <c r="P111">
        <v>195</v>
      </c>
      <c r="Q111">
        <v>1</v>
      </c>
      <c r="R111">
        <v>50</v>
      </c>
      <c r="S111" s="7">
        <f>Tabla1[[#This Row],[TARIFA]]+Tabla1[[#This Row],[IMPORTE EXTRAS]]</f>
        <v>245</v>
      </c>
      <c r="T111" t="s">
        <v>45</v>
      </c>
      <c r="U111">
        <v>50</v>
      </c>
      <c r="V111">
        <v>145</v>
      </c>
      <c r="W111">
        <v>0</v>
      </c>
      <c r="X111">
        <v>50</v>
      </c>
      <c r="Z111">
        <f>SUM(Tabla1[[#This Row],[RES-A]:[EXTR-B]])</f>
        <v>245</v>
      </c>
      <c r="AA111">
        <f>Tabla1[[#This Row],[Columna1]]-Tabla1[[#This Row],[IMPORTE TOTAL]]</f>
        <v>0</v>
      </c>
    </row>
    <row r="112" spans="1:27" outlineLevel="1" x14ac:dyDescent="0.2">
      <c r="A112">
        <v>2020</v>
      </c>
      <c r="B112" t="s">
        <v>62</v>
      </c>
      <c r="C112" s="50">
        <v>44044</v>
      </c>
      <c r="D112" s="3" t="s">
        <v>42</v>
      </c>
      <c r="E112" s="3" t="s">
        <v>46</v>
      </c>
      <c r="F112" s="3" t="s">
        <v>46</v>
      </c>
      <c r="G112" s="4">
        <v>0.64583333333333337</v>
      </c>
      <c r="H112" s="4">
        <v>0.85416666666666663</v>
      </c>
      <c r="I112" t="s">
        <v>31</v>
      </c>
      <c r="J112">
        <v>1</v>
      </c>
      <c r="L112" s="46"/>
      <c r="P112">
        <v>145</v>
      </c>
      <c r="Q112">
        <v>0</v>
      </c>
      <c r="R112">
        <v>0</v>
      </c>
      <c r="S112" s="7">
        <f>Tabla1[[#This Row],[TARIFA]]+Tabla1[[#This Row],[IMPORTE EXTRAS]]</f>
        <v>145</v>
      </c>
      <c r="T112" t="s">
        <v>46</v>
      </c>
      <c r="U112">
        <v>0</v>
      </c>
      <c r="V112">
        <v>0</v>
      </c>
      <c r="W112">
        <v>0</v>
      </c>
      <c r="X112">
        <v>0</v>
      </c>
      <c r="Y112" s="52" t="s">
        <v>177</v>
      </c>
      <c r="Z112" s="7">
        <f>SUM(Tabla1[[#This Row],[RES-A]:[EXTR-B]])</f>
        <v>0</v>
      </c>
      <c r="AA112" s="7">
        <f>Tabla1[[#This Row],[Columna1]]-Tabla1[[#This Row],[IMPORTE TOTAL]]</f>
        <v>-145</v>
      </c>
    </row>
    <row r="113" spans="1:27" outlineLevel="1" x14ac:dyDescent="0.2">
      <c r="A113">
        <v>2020</v>
      </c>
      <c r="B113" t="s">
        <v>62</v>
      </c>
      <c r="C113" s="50">
        <v>44044</v>
      </c>
      <c r="D113" s="3" t="s">
        <v>42</v>
      </c>
      <c r="E113" s="3" t="s">
        <v>46</v>
      </c>
      <c r="F113" s="3" t="s">
        <v>46</v>
      </c>
      <c r="G113" s="4">
        <v>0.89583333333333337</v>
      </c>
      <c r="H113" s="4">
        <v>0.10416666666666667</v>
      </c>
      <c r="I113" t="s">
        <v>35</v>
      </c>
      <c r="J113">
        <v>1</v>
      </c>
      <c r="L113" s="46"/>
      <c r="P113">
        <v>195</v>
      </c>
      <c r="Q113">
        <v>0</v>
      </c>
      <c r="R113">
        <v>0</v>
      </c>
      <c r="S113" s="7">
        <f>Tabla1[[#This Row],[TARIFA]]+Tabla1[[#This Row],[IMPORTE EXTRAS]]</f>
        <v>195</v>
      </c>
      <c r="T113" t="s">
        <v>55</v>
      </c>
      <c r="U113">
        <v>50</v>
      </c>
      <c r="V113">
        <v>0</v>
      </c>
      <c r="W113">
        <v>0</v>
      </c>
      <c r="X113">
        <v>0</v>
      </c>
      <c r="Y113" s="52" t="s">
        <v>178</v>
      </c>
      <c r="Z113" s="7">
        <f>SUM(Tabla1[[#This Row],[RES-A]:[EXTR-B]])</f>
        <v>50</v>
      </c>
      <c r="AA113" s="7">
        <f>Tabla1[[#This Row],[Columna1]]-Tabla1[[#This Row],[IMPORTE TOTAL]]</f>
        <v>-145</v>
      </c>
    </row>
    <row r="114" spans="1:27" outlineLevel="1" x14ac:dyDescent="0.2">
      <c r="A114">
        <v>2020</v>
      </c>
      <c r="B114" t="s">
        <v>62</v>
      </c>
      <c r="C114" s="51">
        <v>44044</v>
      </c>
      <c r="D114" s="3" t="s">
        <v>42</v>
      </c>
      <c r="E114" s="3" t="s">
        <v>46</v>
      </c>
      <c r="F114" s="3" t="s">
        <v>46</v>
      </c>
      <c r="G114" s="4">
        <v>0.89583333333333337</v>
      </c>
      <c r="H114" s="4">
        <v>0.10416666666666667</v>
      </c>
      <c r="I114" t="s">
        <v>35</v>
      </c>
      <c r="J114">
        <v>1</v>
      </c>
      <c r="L114" s="46"/>
      <c r="P114">
        <v>195</v>
      </c>
      <c r="Q114">
        <v>1</v>
      </c>
      <c r="R114">
        <v>50</v>
      </c>
      <c r="S114" s="7">
        <f>Tabla1[[#This Row],[TARIFA]]+Tabla1[[#This Row],[IMPORTE EXTRAS]]</f>
        <v>245</v>
      </c>
      <c r="T114" t="s">
        <v>45</v>
      </c>
      <c r="U114">
        <v>50</v>
      </c>
      <c r="V114">
        <v>145</v>
      </c>
      <c r="W114">
        <v>0</v>
      </c>
      <c r="X114">
        <v>50</v>
      </c>
      <c r="Y114" s="52"/>
      <c r="Z114" s="7">
        <f>SUM(Tabla1[[#This Row],[RES-A]:[EXTR-B]])</f>
        <v>245</v>
      </c>
      <c r="AA114" s="7">
        <f>Tabla1[[#This Row],[Columna1]]-Tabla1[[#This Row],[IMPORTE TOTAL]]</f>
        <v>0</v>
      </c>
    </row>
    <row r="115" spans="1:27" outlineLevel="1" x14ac:dyDescent="0.2">
      <c r="A115">
        <v>2020</v>
      </c>
      <c r="B115" t="s">
        <v>62</v>
      </c>
      <c r="C115" s="3">
        <v>44050</v>
      </c>
      <c r="D115" s="3" t="s">
        <v>41</v>
      </c>
      <c r="E115" s="3" t="s">
        <v>46</v>
      </c>
      <c r="F115" s="3" t="s">
        <v>46</v>
      </c>
      <c r="G115" s="4">
        <v>0.39583333333333331</v>
      </c>
      <c r="H115" s="4">
        <v>0.10416666666666667</v>
      </c>
      <c r="I115" t="s">
        <v>32</v>
      </c>
      <c r="J115">
        <v>3</v>
      </c>
      <c r="L115" s="46"/>
      <c r="P115">
        <v>300</v>
      </c>
      <c r="Q115">
        <v>0</v>
      </c>
      <c r="R115">
        <v>0</v>
      </c>
      <c r="S115" s="7">
        <f>Tabla1[[#This Row],[TARIFA]]+Tabla1[[#This Row],[IMPORTE EXTRAS]]</f>
        <v>300</v>
      </c>
      <c r="T115" t="s">
        <v>45</v>
      </c>
      <c r="U115">
        <v>50</v>
      </c>
      <c r="V115">
        <v>250</v>
      </c>
      <c r="W115">
        <v>0</v>
      </c>
      <c r="X115">
        <v>0</v>
      </c>
      <c r="Z115">
        <f>SUM(Tabla1[[#This Row],[RES-A]:[EXTR-B]])</f>
        <v>300</v>
      </c>
      <c r="AA115">
        <f>Tabla1[[#This Row],[Columna1]]-Tabla1[[#This Row],[IMPORTE TOTAL]]</f>
        <v>0</v>
      </c>
    </row>
    <row r="116" spans="1:27" outlineLevel="1" x14ac:dyDescent="0.2">
      <c r="A116">
        <v>2020</v>
      </c>
      <c r="B116" t="s">
        <v>62</v>
      </c>
      <c r="C116" s="50">
        <v>44051</v>
      </c>
      <c r="D116" s="3" t="s">
        <v>42</v>
      </c>
      <c r="E116" s="3" t="s">
        <v>46</v>
      </c>
      <c r="F116" s="3" t="s">
        <v>46</v>
      </c>
      <c r="G116" s="4">
        <v>0.89583333333333337</v>
      </c>
      <c r="H116" s="4">
        <v>0.10416666666666667</v>
      </c>
      <c r="I116" t="s">
        <v>35</v>
      </c>
      <c r="J116">
        <v>1</v>
      </c>
      <c r="L116" s="46"/>
      <c r="P116">
        <v>195</v>
      </c>
      <c r="Q116">
        <v>0</v>
      </c>
      <c r="R116">
        <v>0</v>
      </c>
      <c r="S116" s="7">
        <f>Tabla1[[#This Row],[TARIFA]]+Tabla1[[#This Row],[IMPORTE EXTRAS]]</f>
        <v>195</v>
      </c>
      <c r="T116" t="s">
        <v>46</v>
      </c>
      <c r="U116">
        <v>0</v>
      </c>
      <c r="V116">
        <v>0</v>
      </c>
      <c r="W116">
        <v>0</v>
      </c>
      <c r="X116">
        <v>0</v>
      </c>
      <c r="Y116" s="52" t="s">
        <v>177</v>
      </c>
      <c r="Z116">
        <f>SUM(Tabla1[[#This Row],[RES-A]:[EXTR-B]])</f>
        <v>0</v>
      </c>
      <c r="AA116">
        <f>Tabla1[[#This Row],[Columna1]]-Tabla1[[#This Row],[IMPORTE TOTAL]]</f>
        <v>-195</v>
      </c>
    </row>
    <row r="117" spans="1:27" outlineLevel="1" x14ac:dyDescent="0.2">
      <c r="A117">
        <v>2020</v>
      </c>
      <c r="B117" t="s">
        <v>62</v>
      </c>
      <c r="C117" s="51">
        <v>44055</v>
      </c>
      <c r="D117" s="3" t="s">
        <v>39</v>
      </c>
      <c r="E117" s="3" t="s">
        <v>46</v>
      </c>
      <c r="F117" s="3" t="s">
        <v>46</v>
      </c>
      <c r="G117" s="4">
        <v>0.89583333333333337</v>
      </c>
      <c r="H117" s="4">
        <v>0.10416666666666667</v>
      </c>
      <c r="I117" t="s">
        <v>35</v>
      </c>
      <c r="J117">
        <v>1</v>
      </c>
      <c r="L117" s="46"/>
      <c r="P117">
        <v>195</v>
      </c>
      <c r="Q117">
        <v>1</v>
      </c>
      <c r="R117">
        <v>55</v>
      </c>
      <c r="S117" s="7">
        <f>Tabla1[[#This Row],[TARIFA]]+Tabla1[[#This Row],[IMPORTE EXTRAS]]</f>
        <v>250</v>
      </c>
      <c r="T117" t="s">
        <v>45</v>
      </c>
      <c r="U117">
        <v>50</v>
      </c>
      <c r="V117">
        <v>145</v>
      </c>
      <c r="W117">
        <v>0</v>
      </c>
      <c r="X117">
        <v>55</v>
      </c>
      <c r="Y117" s="52"/>
      <c r="Z117" s="7">
        <f>SUM(Tabla1[[#This Row],[RES-A]:[EXTR-B]])</f>
        <v>250</v>
      </c>
      <c r="AA117" s="7">
        <f>Tabla1[[#This Row],[Columna1]]-Tabla1[[#This Row],[IMPORTE TOTAL]]</f>
        <v>0</v>
      </c>
    </row>
    <row r="118" spans="1:27" outlineLevel="1" x14ac:dyDescent="0.2">
      <c r="A118">
        <v>2020</v>
      </c>
      <c r="B118" t="s">
        <v>62</v>
      </c>
      <c r="C118" s="3">
        <v>44058</v>
      </c>
      <c r="D118" s="3" t="s">
        <v>42</v>
      </c>
      <c r="E118" s="3" t="s">
        <v>46</v>
      </c>
      <c r="F118" s="3" t="s">
        <v>46</v>
      </c>
      <c r="G118" s="4">
        <v>0.64583333333333337</v>
      </c>
      <c r="H118" s="4">
        <v>0.85416666666666663</v>
      </c>
      <c r="I118" t="s">
        <v>31</v>
      </c>
      <c r="J118">
        <v>1</v>
      </c>
      <c r="L118" s="46"/>
      <c r="P118">
        <v>145</v>
      </c>
      <c r="Q118">
        <v>1</v>
      </c>
      <c r="R118">
        <v>25</v>
      </c>
      <c r="S118" s="7">
        <f>Tabla1[[#This Row],[TARIFA]]+Tabla1[[#This Row],[IMPORTE EXTRAS]]</f>
        <v>170</v>
      </c>
      <c r="T118" t="s">
        <v>45</v>
      </c>
      <c r="U118">
        <v>0</v>
      </c>
      <c r="V118">
        <v>145</v>
      </c>
      <c r="W118">
        <v>0</v>
      </c>
      <c r="X118">
        <v>25</v>
      </c>
      <c r="Y118" s="49" t="s">
        <v>209</v>
      </c>
      <c r="Z118" s="7">
        <f>SUM(Tabla1[[#This Row],[RES-A]:[EXTR-B]])</f>
        <v>170</v>
      </c>
      <c r="AA118" s="7">
        <f>Tabla1[[#This Row],[Columna1]]-Tabla1[[#This Row],[IMPORTE TOTAL]]</f>
        <v>0</v>
      </c>
    </row>
    <row r="119" spans="1:27" outlineLevel="1" x14ac:dyDescent="0.2">
      <c r="A119">
        <v>2020</v>
      </c>
      <c r="B119" t="s">
        <v>62</v>
      </c>
      <c r="C119" s="3">
        <v>44058</v>
      </c>
      <c r="D119" s="3" t="s">
        <v>42</v>
      </c>
      <c r="E119" s="3" t="s">
        <v>46</v>
      </c>
      <c r="F119" s="3" t="s">
        <v>46</v>
      </c>
      <c r="G119" s="4">
        <v>0.89583333333333337</v>
      </c>
      <c r="H119" s="4">
        <v>0.10416666666666667</v>
      </c>
      <c r="I119" t="s">
        <v>35</v>
      </c>
      <c r="J119">
        <v>1</v>
      </c>
      <c r="L119" s="46"/>
      <c r="P119">
        <v>195</v>
      </c>
      <c r="Q119">
        <v>1</v>
      </c>
      <c r="R119">
        <v>5</v>
      </c>
      <c r="S119" s="7">
        <f>Tabla1[[#This Row],[TARIFA]]+Tabla1[[#This Row],[IMPORTE EXTRAS]]</f>
        <v>200</v>
      </c>
      <c r="T119" t="s">
        <v>45</v>
      </c>
      <c r="U119">
        <v>0</v>
      </c>
      <c r="V119">
        <v>195</v>
      </c>
      <c r="W119">
        <v>0</v>
      </c>
      <c r="X119">
        <v>5</v>
      </c>
      <c r="Y119" t="s">
        <v>209</v>
      </c>
      <c r="Z119" s="7">
        <f>SUM(Tabla1[[#This Row],[RES-A]:[EXTR-B]])</f>
        <v>200</v>
      </c>
      <c r="AA119" s="7">
        <f>Tabla1[[#This Row],[Columna1]]-Tabla1[[#This Row],[IMPORTE TOTAL]]</f>
        <v>0</v>
      </c>
    </row>
    <row r="120" spans="1:27" outlineLevel="1" x14ac:dyDescent="0.2">
      <c r="A120">
        <v>2020</v>
      </c>
      <c r="B120" t="s">
        <v>62</v>
      </c>
      <c r="C120" s="3">
        <v>44062</v>
      </c>
      <c r="D120" s="3" t="s">
        <v>39</v>
      </c>
      <c r="E120" s="3" t="s">
        <v>46</v>
      </c>
      <c r="F120" s="3" t="s">
        <v>46</v>
      </c>
      <c r="G120" s="4">
        <v>0.64583333333333337</v>
      </c>
      <c r="H120" s="4">
        <v>0.85416666666666663</v>
      </c>
      <c r="I120" t="s">
        <v>31</v>
      </c>
      <c r="J120">
        <v>1</v>
      </c>
      <c r="L120" s="46"/>
      <c r="P120">
        <v>50</v>
      </c>
      <c r="Q120">
        <v>0</v>
      </c>
      <c r="R120">
        <v>0</v>
      </c>
      <c r="S120" s="7">
        <f>Tabla1[[#This Row],[TARIFA]]+Tabla1[[#This Row],[IMPORTE EXTRAS]]</f>
        <v>50</v>
      </c>
      <c r="T120" t="s">
        <v>45</v>
      </c>
      <c r="U120">
        <v>50</v>
      </c>
      <c r="V120">
        <v>0</v>
      </c>
      <c r="W120">
        <v>0</v>
      </c>
      <c r="X120">
        <v>0</v>
      </c>
      <c r="Z120" s="7">
        <f>SUM(Tabla1[[#This Row],[RES-A]:[EXTR-B]])</f>
        <v>50</v>
      </c>
      <c r="AA120" s="7">
        <f>Tabla1[[#This Row],[Columna1]]-Tabla1[[#This Row],[IMPORTE TOTAL]]</f>
        <v>0</v>
      </c>
    </row>
    <row r="121" spans="1:27" outlineLevel="1" x14ac:dyDescent="0.2">
      <c r="A121">
        <v>2020</v>
      </c>
      <c r="B121" t="s">
        <v>62</v>
      </c>
      <c r="C121" s="3">
        <v>44064</v>
      </c>
      <c r="D121" s="3" t="s">
        <v>41</v>
      </c>
      <c r="E121" s="3" t="s">
        <v>46</v>
      </c>
      <c r="F121" s="3" t="s">
        <v>46</v>
      </c>
      <c r="G121" s="4">
        <v>0.89583333333333337</v>
      </c>
      <c r="H121" s="4">
        <v>0.10416666666666667</v>
      </c>
      <c r="I121" t="s">
        <v>35</v>
      </c>
      <c r="J121">
        <v>1</v>
      </c>
      <c r="L121" s="46"/>
      <c r="P121">
        <v>195</v>
      </c>
      <c r="Q121">
        <v>1</v>
      </c>
      <c r="R121">
        <v>55</v>
      </c>
      <c r="S121" s="7">
        <f>Tabla1[[#This Row],[TARIFA]]+Tabla1[[#This Row],[IMPORTE EXTRAS]]</f>
        <v>250</v>
      </c>
      <c r="T121" t="s">
        <v>45</v>
      </c>
      <c r="U121">
        <v>50</v>
      </c>
      <c r="V121">
        <v>145</v>
      </c>
      <c r="W121">
        <v>0</v>
      </c>
      <c r="X121">
        <v>55</v>
      </c>
      <c r="Z121" s="7">
        <f>SUM(Tabla1[[#This Row],[RES-A]:[EXTR-B]])</f>
        <v>250</v>
      </c>
      <c r="AA121" s="7">
        <f>Tabla1[[#This Row],[Columna1]]-Tabla1[[#This Row],[IMPORTE TOTAL]]</f>
        <v>0</v>
      </c>
    </row>
    <row r="122" spans="1:27" outlineLevel="1" x14ac:dyDescent="0.2">
      <c r="A122">
        <v>2020</v>
      </c>
      <c r="B122" t="s">
        <v>62</v>
      </c>
      <c r="C122" s="50">
        <v>44065</v>
      </c>
      <c r="D122" s="3" t="s">
        <v>42</v>
      </c>
      <c r="E122" s="3" t="s">
        <v>46</v>
      </c>
      <c r="F122" s="3" t="s">
        <v>46</v>
      </c>
      <c r="G122" s="4">
        <v>0.89583333333333337</v>
      </c>
      <c r="H122" s="4">
        <v>0.10416666666666667</v>
      </c>
      <c r="I122" t="s">
        <v>35</v>
      </c>
      <c r="J122">
        <v>1</v>
      </c>
      <c r="L122" s="46"/>
      <c r="P122">
        <v>195</v>
      </c>
      <c r="Q122">
        <v>0</v>
      </c>
      <c r="R122">
        <v>0</v>
      </c>
      <c r="S122" s="7">
        <f>Tabla1[[#This Row],[TARIFA]]+Tabla1[[#This Row],[IMPORTE EXTRAS]]</f>
        <v>195</v>
      </c>
      <c r="T122" t="s">
        <v>46</v>
      </c>
      <c r="U122">
        <v>0</v>
      </c>
      <c r="V122">
        <v>0</v>
      </c>
      <c r="W122">
        <v>0</v>
      </c>
      <c r="X122">
        <v>0</v>
      </c>
      <c r="Y122" s="52" t="s">
        <v>177</v>
      </c>
      <c r="Z122" s="7">
        <f>SUM(Tabla1[[#This Row],[RES-A]:[EXTR-B]])</f>
        <v>0</v>
      </c>
      <c r="AA122" s="7">
        <f>Tabla1[[#This Row],[Columna1]]-Tabla1[[#This Row],[IMPORTE TOTAL]]</f>
        <v>-195</v>
      </c>
    </row>
    <row r="123" spans="1:27" outlineLevel="1" x14ac:dyDescent="0.2">
      <c r="A123">
        <v>2020</v>
      </c>
      <c r="B123" t="s">
        <v>62</v>
      </c>
      <c r="C123" s="50">
        <v>44072</v>
      </c>
      <c r="D123" s="3" t="s">
        <v>42</v>
      </c>
      <c r="E123" s="3" t="s">
        <v>46</v>
      </c>
      <c r="F123" s="3" t="s">
        <v>46</v>
      </c>
      <c r="G123" s="4">
        <v>0.89583333333333337</v>
      </c>
      <c r="H123" s="4">
        <v>0.10416666666666667</v>
      </c>
      <c r="I123" t="s">
        <v>35</v>
      </c>
      <c r="J123">
        <v>1</v>
      </c>
      <c r="L123" s="46"/>
      <c r="P123">
        <v>195</v>
      </c>
      <c r="Q123">
        <v>0</v>
      </c>
      <c r="R123">
        <v>0</v>
      </c>
      <c r="S123" s="7">
        <f>Tabla1[[#This Row],[TARIFA]]+Tabla1[[#This Row],[IMPORTE EXTRAS]]</f>
        <v>195</v>
      </c>
      <c r="T123" t="s">
        <v>46</v>
      </c>
      <c r="U123">
        <v>0</v>
      </c>
      <c r="V123">
        <v>0</v>
      </c>
      <c r="W123">
        <v>0</v>
      </c>
      <c r="X123">
        <v>0</v>
      </c>
      <c r="Y123" s="52" t="s">
        <v>177</v>
      </c>
      <c r="Z123" s="7">
        <f>SUM(Tabla1[[#This Row],[RES-A]:[EXTR-B]])</f>
        <v>0</v>
      </c>
      <c r="AA123" s="7">
        <f>Tabla1[[#This Row],[Columna1]]-Tabla1[[#This Row],[IMPORTE TOTAL]]</f>
        <v>-195</v>
      </c>
    </row>
    <row r="124" spans="1:27" outlineLevel="1" x14ac:dyDescent="0.2">
      <c r="A124">
        <v>2020</v>
      </c>
      <c r="B124" t="s">
        <v>236</v>
      </c>
      <c r="C124" s="3">
        <v>44075</v>
      </c>
      <c r="D124" s="3" t="s">
        <v>38</v>
      </c>
      <c r="E124" s="3" t="s">
        <v>46</v>
      </c>
      <c r="F124" s="3" t="s">
        <v>46</v>
      </c>
      <c r="G124" s="4">
        <v>0.64583333333333337</v>
      </c>
      <c r="H124" s="4">
        <v>0.85416666666666663</v>
      </c>
      <c r="I124" t="s">
        <v>31</v>
      </c>
      <c r="J124">
        <v>1</v>
      </c>
      <c r="L124" s="46"/>
      <c r="P124">
        <v>50</v>
      </c>
      <c r="Q124">
        <v>0</v>
      </c>
      <c r="R124">
        <v>0</v>
      </c>
      <c r="S124" s="7">
        <f>Tabla1[[#This Row],[TARIFA]]+Tabla1[[#This Row],[IMPORTE EXTRAS]]</f>
        <v>50</v>
      </c>
      <c r="T124" t="s">
        <v>45</v>
      </c>
      <c r="U124">
        <v>50</v>
      </c>
      <c r="V124">
        <v>0</v>
      </c>
      <c r="W124">
        <v>0</v>
      </c>
      <c r="X124">
        <v>0</v>
      </c>
      <c r="Z124" s="7">
        <f>SUM(Tabla1[[#This Row],[RES-A]:[EXTR-B]])</f>
        <v>50</v>
      </c>
      <c r="AA124" s="7">
        <f>Tabla1[[#This Row],[Columna1]]-Tabla1[[#This Row],[IMPORTE TOTAL]]</f>
        <v>0</v>
      </c>
    </row>
    <row r="125" spans="1:27" outlineLevel="1" x14ac:dyDescent="0.2">
      <c r="A125">
        <v>2020</v>
      </c>
      <c r="B125" t="s">
        <v>236</v>
      </c>
      <c r="C125" s="3">
        <v>44079</v>
      </c>
      <c r="D125" s="3" t="s">
        <v>42</v>
      </c>
      <c r="E125" s="3" t="s">
        <v>46</v>
      </c>
      <c r="F125" s="3" t="s">
        <v>46</v>
      </c>
      <c r="G125" s="4">
        <v>0.89583333333333337</v>
      </c>
      <c r="H125" s="4">
        <v>0.10416666666666667</v>
      </c>
      <c r="I125" t="s">
        <v>35</v>
      </c>
      <c r="J125">
        <v>1</v>
      </c>
      <c r="L125" s="46"/>
      <c r="P125">
        <v>195</v>
      </c>
      <c r="Q125">
        <v>1</v>
      </c>
      <c r="R125">
        <v>5</v>
      </c>
      <c r="S125" s="7">
        <f>Tabla1[[#This Row],[TARIFA]]+Tabla1[[#This Row],[IMPORTE EXTRAS]]</f>
        <v>200</v>
      </c>
      <c r="T125" t="s">
        <v>45</v>
      </c>
      <c r="U125">
        <v>50</v>
      </c>
      <c r="V125">
        <v>145</v>
      </c>
      <c r="W125">
        <v>0</v>
      </c>
      <c r="X125">
        <v>5</v>
      </c>
      <c r="Z125" s="7">
        <f>SUM(Tabla1[[#This Row],[RES-A]:[EXTR-B]])</f>
        <v>200</v>
      </c>
      <c r="AA125" s="7">
        <f>Tabla1[[#This Row],[Columna1]]-Tabla1[[#This Row],[IMPORTE TOTAL]]</f>
        <v>0</v>
      </c>
    </row>
    <row r="126" spans="1:27" outlineLevel="1" x14ac:dyDescent="0.2">
      <c r="A126">
        <v>2020</v>
      </c>
      <c r="B126" t="s">
        <v>236</v>
      </c>
      <c r="C126" s="3">
        <v>44084</v>
      </c>
      <c r="D126" s="3" t="s">
        <v>40</v>
      </c>
      <c r="E126" s="3" t="s">
        <v>46</v>
      </c>
      <c r="F126" s="3" t="s">
        <v>46</v>
      </c>
      <c r="G126" s="4">
        <v>0.89583333333333337</v>
      </c>
      <c r="H126" s="4">
        <v>0.10416666666666667</v>
      </c>
      <c r="I126" t="s">
        <v>35</v>
      </c>
      <c r="J126">
        <v>1</v>
      </c>
      <c r="L126" s="46"/>
      <c r="P126">
        <v>195</v>
      </c>
      <c r="Q126">
        <v>1</v>
      </c>
      <c r="R126">
        <v>5</v>
      </c>
      <c r="S126" s="7">
        <f>Tabla1[[#This Row],[TARIFA]]+Tabla1[[#This Row],[IMPORTE EXTRAS]]</f>
        <v>200</v>
      </c>
      <c r="T126" t="s">
        <v>45</v>
      </c>
      <c r="U126">
        <v>50</v>
      </c>
      <c r="V126">
        <v>145</v>
      </c>
      <c r="W126">
        <v>0</v>
      </c>
      <c r="X126">
        <v>5</v>
      </c>
      <c r="Z126" s="7">
        <f>SUM(Tabla1[[#This Row],[RES-A]:[EXTR-B]])</f>
        <v>200</v>
      </c>
      <c r="AA126" s="7">
        <f>Tabla1[[#This Row],[Columna1]]-Tabla1[[#This Row],[IMPORTE TOTAL]]</f>
        <v>0</v>
      </c>
    </row>
    <row r="127" spans="1:27" outlineLevel="1" x14ac:dyDescent="0.2">
      <c r="A127">
        <v>2020</v>
      </c>
      <c r="B127" t="s">
        <v>236</v>
      </c>
      <c r="C127" s="3">
        <v>44086</v>
      </c>
      <c r="D127" s="3" t="s">
        <v>42</v>
      </c>
      <c r="E127" s="3" t="s">
        <v>46</v>
      </c>
      <c r="F127" s="3" t="s">
        <v>46</v>
      </c>
      <c r="G127" s="4">
        <v>0.89583333333333337</v>
      </c>
      <c r="H127" s="4">
        <v>0.10416666666666667</v>
      </c>
      <c r="I127" t="s">
        <v>35</v>
      </c>
      <c r="J127">
        <v>1</v>
      </c>
      <c r="L127" s="46"/>
      <c r="P127">
        <v>195</v>
      </c>
      <c r="Q127">
        <v>0</v>
      </c>
      <c r="R127">
        <v>0</v>
      </c>
      <c r="S127" s="7">
        <f>Tabla1[[#This Row],[TARIFA]]+Tabla1[[#This Row],[IMPORTE EXTRAS]]</f>
        <v>195</v>
      </c>
      <c r="T127" t="s">
        <v>45</v>
      </c>
      <c r="U127">
        <v>50</v>
      </c>
      <c r="V127">
        <v>145</v>
      </c>
      <c r="W127">
        <v>0</v>
      </c>
      <c r="X127">
        <v>0</v>
      </c>
      <c r="Z127">
        <f>SUM(Tabla1[[#This Row],[RES-A]:[EXTR-B]])</f>
        <v>195</v>
      </c>
      <c r="AA127">
        <f>Tabla1[[#This Row],[Columna1]]-Tabla1[[#This Row],[IMPORTE TOTAL]]</f>
        <v>0</v>
      </c>
    </row>
    <row r="128" spans="1:27" outlineLevel="1" x14ac:dyDescent="0.2">
      <c r="A128">
        <v>2020</v>
      </c>
      <c r="B128" t="s">
        <v>236</v>
      </c>
      <c r="C128" s="3">
        <v>44093</v>
      </c>
      <c r="D128" s="3" t="s">
        <v>42</v>
      </c>
      <c r="E128" s="3" t="s">
        <v>46</v>
      </c>
      <c r="F128" s="3" t="s">
        <v>46</v>
      </c>
      <c r="G128" s="4">
        <v>0.39583333333333331</v>
      </c>
      <c r="H128" s="4">
        <v>0.10416666666666667</v>
      </c>
      <c r="I128" t="s">
        <v>32</v>
      </c>
      <c r="J128">
        <v>2</v>
      </c>
      <c r="L128" s="46"/>
      <c r="P128">
        <v>300</v>
      </c>
      <c r="Q128">
        <v>0</v>
      </c>
      <c r="R128">
        <v>0</v>
      </c>
      <c r="S128" s="7">
        <f>Tabla1[[#This Row],[TARIFA]]+Tabla1[[#This Row],[IMPORTE EXTRAS]]</f>
        <v>300</v>
      </c>
      <c r="T128" t="s">
        <v>45</v>
      </c>
      <c r="U128">
        <v>300</v>
      </c>
      <c r="V128">
        <v>0</v>
      </c>
      <c r="W128">
        <v>0</v>
      </c>
      <c r="X128">
        <v>0</v>
      </c>
      <c r="Z128" s="7">
        <f>SUM(Tabla1[[#This Row],[RES-A]:[EXTR-B]])</f>
        <v>300</v>
      </c>
      <c r="AA128" s="7">
        <f>Tabla1[[#This Row],[Columna1]]-Tabla1[[#This Row],[IMPORTE TOTAL]]</f>
        <v>0</v>
      </c>
    </row>
    <row r="129" spans="1:27" outlineLevel="1" x14ac:dyDescent="0.2">
      <c r="A129">
        <v>2020</v>
      </c>
      <c r="B129" t="s">
        <v>236</v>
      </c>
      <c r="C129" s="50">
        <v>44093</v>
      </c>
      <c r="D129" s="3" t="s">
        <v>42</v>
      </c>
      <c r="E129" s="3" t="s">
        <v>46</v>
      </c>
      <c r="F129" s="3" t="s">
        <v>46</v>
      </c>
      <c r="G129" s="4">
        <v>0.89583333333333337</v>
      </c>
      <c r="H129" s="4">
        <v>0.10416666666666667</v>
      </c>
      <c r="I129" t="s">
        <v>35</v>
      </c>
      <c r="J129">
        <v>1</v>
      </c>
      <c r="L129" s="46"/>
      <c r="P129">
        <v>195</v>
      </c>
      <c r="Q129">
        <v>0</v>
      </c>
      <c r="R129">
        <v>0</v>
      </c>
      <c r="S129" s="7">
        <f>Tabla1[[#This Row],[TARIFA]]+Tabla1[[#This Row],[IMPORTE EXTRAS]]</f>
        <v>195</v>
      </c>
      <c r="T129" t="s">
        <v>46</v>
      </c>
      <c r="U129">
        <v>0</v>
      </c>
      <c r="V129">
        <v>0</v>
      </c>
      <c r="W129">
        <v>0</v>
      </c>
      <c r="X129">
        <v>0</v>
      </c>
      <c r="Y129" s="52" t="s">
        <v>177</v>
      </c>
      <c r="Z129" s="7">
        <f>SUM(Tabla1[[#This Row],[RES-A]:[EXTR-B]])</f>
        <v>0</v>
      </c>
      <c r="AA129" s="7">
        <f>Tabla1[[#This Row],[Columna1]]-Tabla1[[#This Row],[IMPORTE TOTAL]]</f>
        <v>-195</v>
      </c>
    </row>
    <row r="130" spans="1:27" outlineLevel="1" x14ac:dyDescent="0.2">
      <c r="A130">
        <v>2020</v>
      </c>
      <c r="B130" t="s">
        <v>236</v>
      </c>
      <c r="C130" s="3">
        <v>44094</v>
      </c>
      <c r="D130" s="3" t="s">
        <v>43</v>
      </c>
      <c r="E130" s="3" t="s">
        <v>46</v>
      </c>
      <c r="F130" s="3" t="s">
        <v>46</v>
      </c>
      <c r="G130" s="4">
        <v>0.39583333333333331</v>
      </c>
      <c r="H130" s="4">
        <v>0.10416666666666667</v>
      </c>
      <c r="I130" t="s">
        <v>32</v>
      </c>
      <c r="J130">
        <v>2</v>
      </c>
      <c r="L130" s="46"/>
      <c r="P130">
        <v>249.99</v>
      </c>
      <c r="Q130">
        <v>0</v>
      </c>
      <c r="R130">
        <v>0</v>
      </c>
      <c r="S130" s="7">
        <f>Tabla1[[#This Row],[TARIFA]]+Tabla1[[#This Row],[IMPORTE EXTRAS]]</f>
        <v>249.99</v>
      </c>
      <c r="T130" t="s">
        <v>45</v>
      </c>
      <c r="U130">
        <v>249.99</v>
      </c>
      <c r="V130">
        <v>0</v>
      </c>
      <c r="W130">
        <v>0</v>
      </c>
      <c r="X130">
        <v>0</v>
      </c>
      <c r="Z130" s="7">
        <f>SUM(Tabla1[[#This Row],[RES-A]:[EXTR-B]])</f>
        <v>249.99</v>
      </c>
      <c r="AA130" s="7">
        <f>Tabla1[[#This Row],[Columna1]]-Tabla1[[#This Row],[IMPORTE TOTAL]]</f>
        <v>0</v>
      </c>
    </row>
    <row r="131" spans="1:27" outlineLevel="1" x14ac:dyDescent="0.2">
      <c r="A131">
        <v>2020</v>
      </c>
      <c r="B131" t="s">
        <v>236</v>
      </c>
      <c r="C131" s="50">
        <v>44099</v>
      </c>
      <c r="D131" s="3" t="s">
        <v>41</v>
      </c>
      <c r="E131" s="3" t="s">
        <v>46</v>
      </c>
      <c r="F131" s="3" t="s">
        <v>46</v>
      </c>
      <c r="G131" s="4">
        <v>0.89583333333333337</v>
      </c>
      <c r="H131" s="4">
        <v>0.10416666666666667</v>
      </c>
      <c r="I131" t="s">
        <v>35</v>
      </c>
      <c r="J131">
        <v>1</v>
      </c>
      <c r="L131" s="46"/>
      <c r="P131">
        <v>195</v>
      </c>
      <c r="Q131">
        <v>0</v>
      </c>
      <c r="R131">
        <v>0</v>
      </c>
      <c r="S131" s="7">
        <f>Tabla1[[#This Row],[TARIFA]]+Tabla1[[#This Row],[IMPORTE EXTRAS]]</f>
        <v>195</v>
      </c>
      <c r="T131" t="s">
        <v>46</v>
      </c>
      <c r="U131">
        <v>0</v>
      </c>
      <c r="V131">
        <v>0</v>
      </c>
      <c r="W131">
        <v>0</v>
      </c>
      <c r="X131">
        <v>0</v>
      </c>
      <c r="Y131" s="52" t="s">
        <v>178</v>
      </c>
      <c r="Z131" s="7">
        <f>SUM(Tabla1[[#This Row],[RES-A]:[EXTR-B]])</f>
        <v>0</v>
      </c>
      <c r="AA131" s="7">
        <f>Tabla1[[#This Row],[Columna1]]-Tabla1[[#This Row],[IMPORTE TOTAL]]</f>
        <v>-195</v>
      </c>
    </row>
    <row r="132" spans="1:27" outlineLevel="1" x14ac:dyDescent="0.2">
      <c r="A132">
        <v>2020</v>
      </c>
      <c r="B132" t="s">
        <v>63</v>
      </c>
      <c r="C132" s="51">
        <v>44105</v>
      </c>
      <c r="D132" s="3" t="s">
        <v>40</v>
      </c>
      <c r="E132" s="3" t="s">
        <v>46</v>
      </c>
      <c r="F132" s="3" t="s">
        <v>46</v>
      </c>
      <c r="G132" s="4"/>
      <c r="H132" s="4"/>
      <c r="I132" t="s">
        <v>49</v>
      </c>
      <c r="J132">
        <v>1</v>
      </c>
      <c r="L132" s="46"/>
      <c r="P132">
        <v>200</v>
      </c>
      <c r="Q132">
        <v>0</v>
      </c>
      <c r="R132">
        <v>0</v>
      </c>
      <c r="S132" s="7">
        <f>Tabla1[[#This Row],[TARIFA]]+Tabla1[[#This Row],[IMPORTE EXTRAS]]</f>
        <v>200</v>
      </c>
      <c r="T132" t="s">
        <v>45</v>
      </c>
      <c r="U132">
        <v>0</v>
      </c>
      <c r="V132">
        <v>200</v>
      </c>
      <c r="W132">
        <v>0</v>
      </c>
      <c r="X132">
        <v>0</v>
      </c>
      <c r="Y132" s="52"/>
      <c r="Z132" s="7">
        <f>SUM(Tabla1[[#This Row],[RES-A]:[EXTR-B]])</f>
        <v>200</v>
      </c>
      <c r="AA132" s="7">
        <f>Tabla1[[#This Row],[Columna1]]-Tabla1[[#This Row],[IMPORTE TOTAL]]</f>
        <v>0</v>
      </c>
    </row>
    <row r="133" spans="1:27" outlineLevel="1" x14ac:dyDescent="0.2">
      <c r="A133">
        <v>2020</v>
      </c>
      <c r="B133" t="s">
        <v>63</v>
      </c>
      <c r="C133" s="50">
        <v>44106</v>
      </c>
      <c r="D133" s="3" t="s">
        <v>41</v>
      </c>
      <c r="E133" s="3" t="s">
        <v>46</v>
      </c>
      <c r="F133" s="3" t="s">
        <v>46</v>
      </c>
      <c r="G133" s="4">
        <v>0.89583333333333337</v>
      </c>
      <c r="H133" s="4">
        <v>0.10416666666666667</v>
      </c>
      <c r="I133" t="s">
        <v>35</v>
      </c>
      <c r="J133">
        <v>1</v>
      </c>
      <c r="L133" s="46"/>
      <c r="P133">
        <v>195</v>
      </c>
      <c r="Q133">
        <v>0</v>
      </c>
      <c r="R133">
        <v>0</v>
      </c>
      <c r="S133" s="7">
        <f>Tabla1[[#This Row],[TARIFA]]+Tabla1[[#This Row],[IMPORTE EXTRAS]]</f>
        <v>195</v>
      </c>
      <c r="T133" t="s">
        <v>46</v>
      </c>
      <c r="U133">
        <v>0</v>
      </c>
      <c r="V133">
        <v>0</v>
      </c>
      <c r="W133">
        <v>0</v>
      </c>
      <c r="X133">
        <v>0</v>
      </c>
      <c r="Y133" s="52" t="s">
        <v>177</v>
      </c>
      <c r="Z133" s="7">
        <f>SUM(Tabla1[[#This Row],[RES-A]:[EXTR-B]])</f>
        <v>0</v>
      </c>
      <c r="AA133" s="7">
        <f>Tabla1[[#This Row],[Columna1]]-Tabla1[[#This Row],[IMPORTE TOTAL]]</f>
        <v>-195</v>
      </c>
    </row>
    <row r="134" spans="1:27" outlineLevel="1" x14ac:dyDescent="0.2">
      <c r="A134">
        <v>2020</v>
      </c>
      <c r="B134" t="s">
        <v>63</v>
      </c>
      <c r="C134" s="51">
        <v>44114</v>
      </c>
      <c r="D134" s="3" t="s">
        <v>42</v>
      </c>
      <c r="E134" s="3" t="s">
        <v>46</v>
      </c>
      <c r="F134" s="3" t="s">
        <v>46</v>
      </c>
      <c r="G134" s="4">
        <v>0.64583333333333337</v>
      </c>
      <c r="H134" s="4">
        <v>0.85416666666666663</v>
      </c>
      <c r="I134" t="s">
        <v>31</v>
      </c>
      <c r="J134">
        <v>1</v>
      </c>
      <c r="L134" s="46"/>
      <c r="P134">
        <v>145</v>
      </c>
      <c r="Q134">
        <v>0</v>
      </c>
      <c r="R134">
        <v>0</v>
      </c>
      <c r="S134" s="7">
        <f>Tabla1[[#This Row],[TARIFA]]+Tabla1[[#This Row],[IMPORTE EXTRAS]]</f>
        <v>145</v>
      </c>
      <c r="T134" t="s">
        <v>45</v>
      </c>
      <c r="U134">
        <v>50</v>
      </c>
      <c r="V134">
        <v>95</v>
      </c>
      <c r="W134">
        <v>0</v>
      </c>
      <c r="X134">
        <v>0</v>
      </c>
      <c r="Y134" s="52"/>
      <c r="Z134" s="7">
        <f>SUM(Tabla1[[#This Row],[RES-A]:[EXTR-B]])</f>
        <v>145</v>
      </c>
      <c r="AA134" s="7">
        <f>Tabla1[[#This Row],[Columna1]]-Tabla1[[#This Row],[IMPORTE TOTAL]]</f>
        <v>0</v>
      </c>
    </row>
    <row r="135" spans="1:27" outlineLevel="1" x14ac:dyDescent="0.2">
      <c r="A135">
        <v>2020</v>
      </c>
      <c r="B135" t="s">
        <v>63</v>
      </c>
      <c r="C135" s="50">
        <v>44114</v>
      </c>
      <c r="D135" s="3" t="s">
        <v>42</v>
      </c>
      <c r="E135" s="3" t="s">
        <v>46</v>
      </c>
      <c r="F135" s="3" t="s">
        <v>46</v>
      </c>
      <c r="G135" s="4">
        <v>0.89583333333333337</v>
      </c>
      <c r="H135" s="4">
        <v>0.10416666666666667</v>
      </c>
      <c r="I135" t="s">
        <v>35</v>
      </c>
      <c r="J135">
        <v>1</v>
      </c>
      <c r="L135" s="46"/>
      <c r="P135">
        <v>195</v>
      </c>
      <c r="Q135">
        <v>0</v>
      </c>
      <c r="R135">
        <v>0</v>
      </c>
      <c r="S135" s="7">
        <f>Tabla1[[#This Row],[TARIFA]]+Tabla1[[#This Row],[IMPORTE EXTRAS]]</f>
        <v>195</v>
      </c>
      <c r="T135" t="s">
        <v>46</v>
      </c>
      <c r="U135">
        <v>0</v>
      </c>
      <c r="V135">
        <v>0</v>
      </c>
      <c r="W135">
        <v>0</v>
      </c>
      <c r="X135">
        <v>0</v>
      </c>
      <c r="Y135" s="52" t="s">
        <v>315</v>
      </c>
      <c r="Z135" s="7">
        <f>SUM(Tabla1[[#This Row],[RES-A]:[EXTR-B]])</f>
        <v>0</v>
      </c>
      <c r="AA135" s="7">
        <f>Tabla1[[#This Row],[Columna1]]-Tabla1[[#This Row],[IMPORTE TOTAL]]</f>
        <v>-195</v>
      </c>
    </row>
    <row r="136" spans="1:27" outlineLevel="1" x14ac:dyDescent="0.2">
      <c r="A136">
        <v>2020</v>
      </c>
      <c r="B136" t="s">
        <v>63</v>
      </c>
      <c r="C136" s="50">
        <v>44128</v>
      </c>
      <c r="D136" s="3" t="s">
        <v>42</v>
      </c>
      <c r="E136" s="3" t="s">
        <v>46</v>
      </c>
      <c r="F136" s="3" t="s">
        <v>46</v>
      </c>
      <c r="G136" s="4">
        <v>0.64583333333333337</v>
      </c>
      <c r="H136" s="4">
        <v>0.85416666666666663</v>
      </c>
      <c r="I136" t="s">
        <v>31</v>
      </c>
      <c r="J136">
        <v>1</v>
      </c>
      <c r="L136" s="46"/>
      <c r="P136">
        <v>145</v>
      </c>
      <c r="Q136">
        <v>0</v>
      </c>
      <c r="R136">
        <v>0</v>
      </c>
      <c r="S136" s="7">
        <f>Tabla1[[#This Row],[TARIFA]]+Tabla1[[#This Row],[IMPORTE EXTRAS]]</f>
        <v>145</v>
      </c>
      <c r="T136" t="s">
        <v>46</v>
      </c>
      <c r="U136">
        <v>0</v>
      </c>
      <c r="V136">
        <v>0</v>
      </c>
      <c r="W136">
        <v>0</v>
      </c>
      <c r="X136">
        <v>0</v>
      </c>
      <c r="Y136" s="52" t="s">
        <v>177</v>
      </c>
      <c r="Z136" s="7">
        <f>SUM(Tabla1[[#This Row],[RES-A]:[EXTR-B]])</f>
        <v>0</v>
      </c>
      <c r="AA136" s="7">
        <f>Tabla1[[#This Row],[Columna1]]-Tabla1[[#This Row],[IMPORTE TOTAL]]</f>
        <v>-145</v>
      </c>
    </row>
    <row r="137" spans="1:27" outlineLevel="1" x14ac:dyDescent="0.2">
      <c r="A137">
        <v>2020</v>
      </c>
      <c r="B137" t="s">
        <v>63</v>
      </c>
      <c r="C137" s="3">
        <v>44134</v>
      </c>
      <c r="D137" s="3" t="s">
        <v>41</v>
      </c>
      <c r="E137" s="3" t="s">
        <v>46</v>
      </c>
      <c r="F137" s="3" t="s">
        <v>46</v>
      </c>
      <c r="G137" s="4"/>
      <c r="H137" s="4"/>
      <c r="I137" t="s">
        <v>49</v>
      </c>
      <c r="L137" s="46"/>
      <c r="P137">
        <v>472.2</v>
      </c>
      <c r="Q137">
        <v>0</v>
      </c>
      <c r="R137">
        <v>0</v>
      </c>
      <c r="S137" s="7">
        <f>Tabla1[[#This Row],[TARIFA]]+Tabla1[[#This Row],[IMPORTE EXTRAS]]</f>
        <v>472.2</v>
      </c>
      <c r="T137" t="s">
        <v>45</v>
      </c>
      <c r="U137">
        <v>472.2</v>
      </c>
      <c r="V137">
        <v>0</v>
      </c>
      <c r="W137">
        <v>0</v>
      </c>
      <c r="X137">
        <v>0</v>
      </c>
      <c r="Z137" s="7">
        <f>SUM(Tabla1[[#This Row],[RES-A]:[EXTR-B]])</f>
        <v>472.2</v>
      </c>
      <c r="AA137" s="7">
        <f>Tabla1[[#This Row],[Columna1]]-Tabla1[[#This Row],[IMPORTE TOTAL]]</f>
        <v>0</v>
      </c>
    </row>
    <row r="138" spans="1:27" outlineLevel="1" x14ac:dyDescent="0.2">
      <c r="A138">
        <v>2020</v>
      </c>
      <c r="B138" t="s">
        <v>63</v>
      </c>
      <c r="C138" s="50">
        <v>44135</v>
      </c>
      <c r="D138" s="3" t="s">
        <v>42</v>
      </c>
      <c r="E138" s="3" t="s">
        <v>46</v>
      </c>
      <c r="F138" s="3" t="s">
        <v>45</v>
      </c>
      <c r="G138" s="4">
        <v>0.89583333333333337</v>
      </c>
      <c r="H138" s="4">
        <v>0.10416666666666667</v>
      </c>
      <c r="I138" t="s">
        <v>35</v>
      </c>
      <c r="J138">
        <v>1</v>
      </c>
      <c r="L138" s="46"/>
      <c r="P138">
        <v>200</v>
      </c>
      <c r="Q138">
        <v>0</v>
      </c>
      <c r="R138">
        <v>0</v>
      </c>
      <c r="S138" s="7">
        <f>Tabla1[[#This Row],[TARIFA]]+Tabla1[[#This Row],[IMPORTE EXTRAS]]</f>
        <v>200</v>
      </c>
      <c r="T138" t="s">
        <v>46</v>
      </c>
      <c r="U138">
        <v>0</v>
      </c>
      <c r="V138">
        <v>0</v>
      </c>
      <c r="W138">
        <v>0</v>
      </c>
      <c r="X138">
        <v>0</v>
      </c>
      <c r="Y138" s="52" t="s">
        <v>310</v>
      </c>
      <c r="Z138">
        <f>SUM(Tabla1[[#This Row],[RES-A]:[EXTR-B]])</f>
        <v>0</v>
      </c>
      <c r="AA138">
        <f>Tabla1[[#This Row],[Columna1]]-Tabla1[[#This Row],[IMPORTE TOTAL]]</f>
        <v>-200</v>
      </c>
    </row>
    <row r="139" spans="1:27" outlineLevel="1" x14ac:dyDescent="0.2">
      <c r="A139">
        <v>2020</v>
      </c>
      <c r="B139" t="s">
        <v>64</v>
      </c>
      <c r="C139" s="50">
        <v>44142</v>
      </c>
      <c r="D139" s="3" t="s">
        <v>42</v>
      </c>
      <c r="E139" s="3" t="s">
        <v>46</v>
      </c>
      <c r="F139" s="3" t="s">
        <v>46</v>
      </c>
      <c r="G139" s="4">
        <v>0.89583333333333337</v>
      </c>
      <c r="H139" s="4">
        <v>0.10416666666666667</v>
      </c>
      <c r="I139" t="s">
        <v>35</v>
      </c>
      <c r="J139">
        <v>1</v>
      </c>
      <c r="L139" s="46"/>
      <c r="P139">
        <v>195</v>
      </c>
      <c r="Q139">
        <v>0</v>
      </c>
      <c r="R139">
        <v>0</v>
      </c>
      <c r="S139" s="7">
        <f>Tabla1[[#This Row],[TARIFA]]+Tabla1[[#This Row],[IMPORTE EXTRAS]]</f>
        <v>195</v>
      </c>
      <c r="T139" t="s">
        <v>46</v>
      </c>
      <c r="U139">
        <v>0</v>
      </c>
      <c r="V139">
        <v>0</v>
      </c>
      <c r="W139">
        <v>0</v>
      </c>
      <c r="X139">
        <v>0</v>
      </c>
      <c r="Z139" s="7">
        <f>SUM(Tabla1[[#This Row],[RES-A]:[EXTR-B]])</f>
        <v>0</v>
      </c>
      <c r="AA139" s="7">
        <f>Tabla1[[#This Row],[Columna1]]-Tabla1[[#This Row],[IMPORTE TOTAL]]</f>
        <v>-195</v>
      </c>
    </row>
    <row r="140" spans="1:27" outlineLevel="1" x14ac:dyDescent="0.2">
      <c r="A140">
        <v>2020</v>
      </c>
      <c r="B140" t="s">
        <v>64</v>
      </c>
      <c r="C140" s="50">
        <v>44149</v>
      </c>
      <c r="D140" s="3" t="s">
        <v>42</v>
      </c>
      <c r="E140" s="3" t="s">
        <v>46</v>
      </c>
      <c r="F140" s="3" t="s">
        <v>46</v>
      </c>
      <c r="G140" s="4">
        <v>0.89583333333333337</v>
      </c>
      <c r="H140" s="4">
        <v>0.10416666666666667</v>
      </c>
      <c r="I140" t="s">
        <v>35</v>
      </c>
      <c r="J140">
        <v>1</v>
      </c>
      <c r="L140" s="46"/>
      <c r="P140">
        <v>195</v>
      </c>
      <c r="Q140">
        <v>0</v>
      </c>
      <c r="R140">
        <v>0</v>
      </c>
      <c r="S140" s="7">
        <f>Tabla1[[#This Row],[TARIFA]]+Tabla1[[#This Row],[IMPORTE EXTRAS]]</f>
        <v>195</v>
      </c>
      <c r="T140" t="s">
        <v>46</v>
      </c>
      <c r="U140">
        <v>0</v>
      </c>
      <c r="V140">
        <v>0</v>
      </c>
      <c r="W140">
        <v>0</v>
      </c>
      <c r="X140">
        <v>0</v>
      </c>
      <c r="Y140" s="52" t="s">
        <v>177</v>
      </c>
      <c r="Z140" s="7">
        <f>SUM(Tabla1[[#This Row],[RES-A]:[EXTR-B]])</f>
        <v>0</v>
      </c>
      <c r="AA140" s="7">
        <f>Tabla1[[#This Row],[Columna1]]-Tabla1[[#This Row],[IMPORTE TOTAL]]</f>
        <v>-195</v>
      </c>
    </row>
    <row r="141" spans="1:27" outlineLevel="1" x14ac:dyDescent="0.2">
      <c r="A141">
        <v>2020</v>
      </c>
      <c r="B141" t="s">
        <v>64</v>
      </c>
      <c r="C141" s="51">
        <v>44165</v>
      </c>
      <c r="D141" s="3" t="s">
        <v>37</v>
      </c>
      <c r="E141" s="3" t="s">
        <v>46</v>
      </c>
      <c r="F141" s="3" t="s">
        <v>46</v>
      </c>
      <c r="G141" s="4"/>
      <c r="H141" s="4"/>
      <c r="I141" t="s">
        <v>49</v>
      </c>
      <c r="L141" s="46"/>
      <c r="P141">
        <v>472.2</v>
      </c>
      <c r="Q141">
        <v>0</v>
      </c>
      <c r="R141">
        <v>0</v>
      </c>
      <c r="S141" s="7">
        <f>Tabla1[[#This Row],[TARIFA]]+Tabla1[[#This Row],[IMPORTE EXTRAS]]</f>
        <v>472.2</v>
      </c>
      <c r="T141" t="s">
        <v>45</v>
      </c>
      <c r="U141">
        <v>472.2</v>
      </c>
      <c r="V141">
        <v>0</v>
      </c>
      <c r="W141">
        <v>0</v>
      </c>
      <c r="X141">
        <v>0</v>
      </c>
      <c r="Y141" s="52"/>
      <c r="Z141" s="7">
        <f>SUM(Tabla1[[#This Row],[RES-A]:[EXTR-B]])</f>
        <v>472.2</v>
      </c>
      <c r="AA141" s="7">
        <f>Tabla1[[#This Row],[Columna1]]-Tabla1[[#This Row],[IMPORTE TOTAL]]</f>
        <v>0</v>
      </c>
    </row>
    <row r="142" spans="1:27" outlineLevel="1" x14ac:dyDescent="0.2">
      <c r="A142">
        <v>2020</v>
      </c>
      <c r="B142" t="s">
        <v>65</v>
      </c>
      <c r="C142" s="51">
        <v>44166</v>
      </c>
      <c r="D142" s="3" t="s">
        <v>38</v>
      </c>
      <c r="E142" s="3" t="s">
        <v>46</v>
      </c>
      <c r="F142" s="3" t="s">
        <v>46</v>
      </c>
      <c r="G142" s="4"/>
      <c r="H142" s="4"/>
      <c r="I142" t="s">
        <v>49</v>
      </c>
      <c r="J142">
        <v>1</v>
      </c>
      <c r="L142" s="46"/>
      <c r="P142">
        <v>100</v>
      </c>
      <c r="Q142">
        <v>0</v>
      </c>
      <c r="R142">
        <v>0</v>
      </c>
      <c r="S142" s="7">
        <f>Tabla1[[#This Row],[TARIFA]]+Tabla1[[#This Row],[IMPORTE EXTRAS]]</f>
        <v>100</v>
      </c>
      <c r="T142" t="s">
        <v>45</v>
      </c>
      <c r="U142">
        <v>0</v>
      </c>
      <c r="V142">
        <v>100</v>
      </c>
      <c r="W142">
        <v>0</v>
      </c>
      <c r="X142">
        <v>0</v>
      </c>
      <c r="Y142" s="52"/>
      <c r="Z142" s="7">
        <f>SUM(Tabla1[[#This Row],[RES-A]:[EXTR-B]])</f>
        <v>100</v>
      </c>
      <c r="AA142" s="7">
        <f>Tabla1[[#This Row],[Columna1]]-Tabla1[[#This Row],[IMPORTE TOTAL]]</f>
        <v>0</v>
      </c>
    </row>
    <row r="143" spans="1:27" outlineLevel="1" x14ac:dyDescent="0.2">
      <c r="A143">
        <v>2020</v>
      </c>
      <c r="B143" t="s">
        <v>65</v>
      </c>
      <c r="C143" s="51">
        <v>44186</v>
      </c>
      <c r="D143" s="3" t="s">
        <v>37</v>
      </c>
      <c r="E143" s="3" t="s">
        <v>46</v>
      </c>
      <c r="F143" s="3" t="s">
        <v>46</v>
      </c>
      <c r="G143" s="4"/>
      <c r="H143" s="4"/>
      <c r="I143" t="s">
        <v>49</v>
      </c>
      <c r="L143" s="46"/>
      <c r="P143">
        <v>2000</v>
      </c>
      <c r="Q143">
        <v>0</v>
      </c>
      <c r="R143">
        <v>0</v>
      </c>
      <c r="S143" s="7">
        <f>Tabla1[[#This Row],[TARIFA]]+Tabla1[[#This Row],[IMPORTE EXTRAS]]</f>
        <v>2000</v>
      </c>
      <c r="T143" t="s">
        <v>45</v>
      </c>
      <c r="U143">
        <v>2000</v>
      </c>
      <c r="V143">
        <v>0</v>
      </c>
      <c r="W143">
        <v>0</v>
      </c>
      <c r="X143">
        <v>0</v>
      </c>
      <c r="Y143" s="52"/>
      <c r="Z143" s="7">
        <f>SUM(Tabla1[[#This Row],[RES-A]:[EXTR-B]])</f>
        <v>2000</v>
      </c>
      <c r="AA143" s="7">
        <f>Tabla1[[#This Row],[Columna1]]-Tabla1[[#This Row],[IMPORTE TOTAL]]</f>
        <v>0</v>
      </c>
    </row>
    <row r="144" spans="1:27" outlineLevel="1" x14ac:dyDescent="0.2">
      <c r="A144">
        <v>2020</v>
      </c>
      <c r="B144" t="s">
        <v>65</v>
      </c>
      <c r="C144" s="3">
        <v>44189</v>
      </c>
      <c r="D144" s="3" t="s">
        <v>40</v>
      </c>
      <c r="E144" s="3" t="s">
        <v>46</v>
      </c>
      <c r="F144" s="3" t="s">
        <v>45</v>
      </c>
      <c r="G144" s="4">
        <v>0.89583333333333337</v>
      </c>
      <c r="H144" s="4">
        <v>0.10416666666666667</v>
      </c>
      <c r="I144" t="s">
        <v>35</v>
      </c>
      <c r="J144">
        <v>1</v>
      </c>
      <c r="L144" s="46"/>
      <c r="P144">
        <v>300</v>
      </c>
      <c r="Q144">
        <v>0</v>
      </c>
      <c r="R144">
        <v>0</v>
      </c>
      <c r="S144" s="7">
        <f>Tabla1[[#This Row],[TARIFA]]+Tabla1[[#This Row],[IMPORTE EXTRAS]]</f>
        <v>300</v>
      </c>
      <c r="T144" t="s">
        <v>55</v>
      </c>
      <c r="U144">
        <v>50</v>
      </c>
      <c r="V144">
        <v>0</v>
      </c>
      <c r="W144">
        <v>0</v>
      </c>
      <c r="X144">
        <v>0</v>
      </c>
      <c r="Y144" t="s">
        <v>314</v>
      </c>
      <c r="Z144">
        <f>SUM(Tabla1[[#This Row],[RES-A]:[EXTR-B]])</f>
        <v>50</v>
      </c>
      <c r="AA144">
        <f>Tabla1[[#This Row],[Columna1]]-Tabla1[[#This Row],[IMPORTE TOTAL]]</f>
        <v>-250</v>
      </c>
    </row>
    <row r="145" spans="1:27" outlineLevel="1" x14ac:dyDescent="0.2">
      <c r="A145">
        <v>2020</v>
      </c>
      <c r="B145" t="s">
        <v>65</v>
      </c>
      <c r="C145" s="51">
        <v>44195</v>
      </c>
      <c r="D145" s="3" t="s">
        <v>39</v>
      </c>
      <c r="E145" s="3" t="s">
        <v>46</v>
      </c>
      <c r="F145" s="3" t="s">
        <v>46</v>
      </c>
      <c r="G145" s="4"/>
      <c r="H145" s="4"/>
      <c r="I145" t="s">
        <v>49</v>
      </c>
      <c r="L145" s="46"/>
      <c r="P145">
        <v>472.2</v>
      </c>
      <c r="Q145">
        <v>0</v>
      </c>
      <c r="R145">
        <v>0</v>
      </c>
      <c r="S145" s="7">
        <f>Tabla1[[#This Row],[TARIFA]]+Tabla1[[#This Row],[IMPORTE EXTRAS]]</f>
        <v>472.2</v>
      </c>
      <c r="T145" t="s">
        <v>45</v>
      </c>
      <c r="U145">
        <v>472.2</v>
      </c>
      <c r="V145">
        <v>0</v>
      </c>
      <c r="W145">
        <v>0</v>
      </c>
      <c r="X145">
        <v>0</v>
      </c>
      <c r="Y145" s="52"/>
      <c r="Z145" s="7">
        <f>SUM(Tabla1[[#This Row],[RES-A]:[EXTR-B]])</f>
        <v>472.2</v>
      </c>
      <c r="AA145" s="7">
        <f>Tabla1[[#This Row],[Columna1]]-Tabla1[[#This Row],[IMPORTE TOTAL]]</f>
        <v>0</v>
      </c>
    </row>
    <row r="146" spans="1:27" x14ac:dyDescent="0.2">
      <c r="A146">
        <v>2021</v>
      </c>
      <c r="B146" t="s">
        <v>48</v>
      </c>
      <c r="C146" s="51">
        <v>44227</v>
      </c>
      <c r="D146" s="3" t="s">
        <v>43</v>
      </c>
      <c r="E146" s="3" t="s">
        <v>46</v>
      </c>
      <c r="F146" s="3" t="s">
        <v>46</v>
      </c>
      <c r="G146" s="4"/>
      <c r="H146" s="4"/>
      <c r="I146" t="s">
        <v>49</v>
      </c>
      <c r="L146" s="46"/>
      <c r="P146">
        <v>472.2</v>
      </c>
      <c r="Q146">
        <v>0</v>
      </c>
      <c r="R146">
        <v>0</v>
      </c>
      <c r="S146" s="7">
        <f>Tabla1[[#This Row],[TARIFA]]+Tabla1[[#This Row],[IMPORTE EXTRAS]]</f>
        <v>472.2</v>
      </c>
      <c r="T146" t="s">
        <v>45</v>
      </c>
      <c r="U146">
        <v>472.2</v>
      </c>
      <c r="V146">
        <v>0</v>
      </c>
      <c r="W146">
        <v>0</v>
      </c>
      <c r="X146">
        <v>0</v>
      </c>
      <c r="Y146" s="52"/>
      <c r="Z146" s="7">
        <f>SUM(Tabla1[[#This Row],[RES-A]:[EXTR-B]])</f>
        <v>472.2</v>
      </c>
      <c r="AA146" s="7">
        <f>Tabla1[[#This Row],[Columna1]]-Tabla1[[#This Row],[IMPORTE TOTAL]]</f>
        <v>0</v>
      </c>
    </row>
    <row r="147" spans="1:27" x14ac:dyDescent="0.2">
      <c r="A147">
        <v>2021</v>
      </c>
      <c r="B147" t="s">
        <v>56</v>
      </c>
      <c r="C147" s="51">
        <v>44253</v>
      </c>
      <c r="D147" s="3" t="s">
        <v>41</v>
      </c>
      <c r="E147" s="3" t="s">
        <v>46</v>
      </c>
      <c r="F147" s="3" t="s">
        <v>46</v>
      </c>
      <c r="G147" s="4"/>
      <c r="H147" s="4"/>
      <c r="I147" t="s">
        <v>49</v>
      </c>
      <c r="L147" s="46"/>
      <c r="P147">
        <v>472.2</v>
      </c>
      <c r="Q147">
        <v>0</v>
      </c>
      <c r="R147">
        <v>0</v>
      </c>
      <c r="S147" s="7">
        <f>Tabla1[[#This Row],[TARIFA]]+Tabla1[[#This Row],[IMPORTE EXTRAS]]</f>
        <v>472.2</v>
      </c>
      <c r="T147" t="s">
        <v>45</v>
      </c>
      <c r="U147" s="7">
        <f>Tabla1[[#This Row],[TARIFA]]+Tabla1[[#This Row],[IMPORTE EXTRAS]]</f>
        <v>472.2</v>
      </c>
      <c r="V147">
        <v>0</v>
      </c>
      <c r="W147">
        <v>0</v>
      </c>
      <c r="X147">
        <v>0</v>
      </c>
      <c r="Y147" s="52"/>
      <c r="Z147" s="7">
        <f>SUM(Tabla1[[#This Row],[RES-A]:[EXTR-B]])</f>
        <v>472.2</v>
      </c>
      <c r="AA147" s="7">
        <f>Tabla1[[#This Row],[Columna1]]-Tabla1[[#This Row],[IMPORTE TOTAL]]</f>
        <v>0</v>
      </c>
    </row>
    <row r="148" spans="1:27" x14ac:dyDescent="0.2">
      <c r="A148">
        <v>2021</v>
      </c>
      <c r="B148" t="s">
        <v>57</v>
      </c>
      <c r="C148" s="51">
        <v>44281</v>
      </c>
      <c r="D148" s="3" t="s">
        <v>41</v>
      </c>
      <c r="E148" s="3" t="s">
        <v>46</v>
      </c>
      <c r="F148" s="3" t="s">
        <v>46</v>
      </c>
      <c r="G148" s="4"/>
      <c r="H148" s="4"/>
      <c r="I148" t="s">
        <v>49</v>
      </c>
      <c r="L148" s="46"/>
      <c r="P148">
        <v>2000</v>
      </c>
      <c r="Q148">
        <v>0</v>
      </c>
      <c r="R148">
        <v>0</v>
      </c>
      <c r="S148" s="7">
        <f>Tabla1[[#This Row],[TARIFA]]+Tabla1[[#This Row],[IMPORTE EXTRAS]]</f>
        <v>2000</v>
      </c>
      <c r="T148" t="s">
        <v>45</v>
      </c>
      <c r="U148" s="7">
        <v>2000</v>
      </c>
      <c r="V148">
        <v>0</v>
      </c>
      <c r="W148">
        <v>0</v>
      </c>
      <c r="X148">
        <v>0</v>
      </c>
      <c r="Y148" s="52"/>
      <c r="Z148" s="7">
        <f>SUM(Tabla1[[#This Row],[RES-A]:[EXTR-B]])</f>
        <v>2000</v>
      </c>
      <c r="AA148" s="7">
        <f>Tabla1[[#This Row],[Columna1]]-Tabla1[[#This Row],[IMPORTE TOTAL]]</f>
        <v>0</v>
      </c>
    </row>
    <row r="149" spans="1:27" x14ac:dyDescent="0.2">
      <c r="A149">
        <v>2021</v>
      </c>
      <c r="B149" t="s">
        <v>57</v>
      </c>
      <c r="C149" s="51">
        <v>44281</v>
      </c>
      <c r="D149" s="3" t="s">
        <v>41</v>
      </c>
      <c r="E149" s="3" t="s">
        <v>46</v>
      </c>
      <c r="F149" s="3" t="s">
        <v>46</v>
      </c>
      <c r="G149" s="4"/>
      <c r="H149" s="4"/>
      <c r="I149" t="s">
        <v>49</v>
      </c>
      <c r="L149" s="46"/>
      <c r="P149">
        <v>472.2</v>
      </c>
      <c r="Q149">
        <v>0</v>
      </c>
      <c r="R149">
        <v>0</v>
      </c>
      <c r="S149" s="7">
        <f>Tabla1[[#This Row],[TARIFA]]+Tabla1[[#This Row],[IMPORTE EXTRAS]]</f>
        <v>472.2</v>
      </c>
      <c r="T149" t="s">
        <v>45</v>
      </c>
      <c r="U149" s="7">
        <f>Tabla1[[#This Row],[TARIFA]]+Tabla1[[#This Row],[IMPORTE EXTRAS]]</f>
        <v>472.2</v>
      </c>
      <c r="V149">
        <v>0</v>
      </c>
      <c r="W149">
        <v>0</v>
      </c>
      <c r="X149">
        <v>0</v>
      </c>
      <c r="Y149" s="52"/>
      <c r="Z149" s="7">
        <f>SUM(Tabla1[[#This Row],[RES-A]:[EXTR-B]])</f>
        <v>472.2</v>
      </c>
      <c r="AA149" s="7">
        <f>Tabla1[[#This Row],[Columna1]]-Tabla1[[#This Row],[IMPORTE TOTAL]]</f>
        <v>0</v>
      </c>
    </row>
    <row r="150" spans="1:27" x14ac:dyDescent="0.2">
      <c r="A150">
        <v>2021</v>
      </c>
      <c r="B150" t="s">
        <v>58</v>
      </c>
      <c r="C150" s="51">
        <v>44316</v>
      </c>
      <c r="D150" s="3" t="s">
        <v>41</v>
      </c>
      <c r="E150" s="3" t="s">
        <v>46</v>
      </c>
      <c r="F150" s="3" t="s">
        <v>46</v>
      </c>
      <c r="G150" s="4"/>
      <c r="H150" s="4"/>
      <c r="I150" t="s">
        <v>49</v>
      </c>
      <c r="L150" s="46"/>
      <c r="P150">
        <v>472.2</v>
      </c>
      <c r="Q150">
        <v>0</v>
      </c>
      <c r="R150">
        <v>0</v>
      </c>
      <c r="S150" s="7">
        <f>Tabla1[[#This Row],[TARIFA]]+Tabla1[[#This Row],[IMPORTE EXTRAS]]</f>
        <v>472.2</v>
      </c>
      <c r="T150" t="s">
        <v>45</v>
      </c>
      <c r="U150" s="7">
        <f>Tabla1[[#This Row],[TARIFA]]+Tabla1[[#This Row],[IMPORTE EXTRAS]]</f>
        <v>472.2</v>
      </c>
      <c r="V150">
        <v>0</v>
      </c>
      <c r="W150">
        <v>0</v>
      </c>
      <c r="X150">
        <v>0</v>
      </c>
      <c r="Y150" s="52"/>
      <c r="Z150" s="7">
        <f>SUM(Tabla1[[#This Row],[RES-A]:[EXTR-B]])</f>
        <v>472.2</v>
      </c>
      <c r="AA150" s="7">
        <f>Tabla1[[#This Row],[Columna1]]-Tabla1[[#This Row],[IMPORTE TOTAL]]</f>
        <v>0</v>
      </c>
    </row>
    <row r="151" spans="1:27" x14ac:dyDescent="0.2">
      <c r="A151">
        <v>2021</v>
      </c>
      <c r="B151" t="s">
        <v>59</v>
      </c>
      <c r="C151" s="51">
        <v>44324</v>
      </c>
      <c r="D151" s="3" t="s">
        <v>42</v>
      </c>
      <c r="E151" s="3" t="s">
        <v>46</v>
      </c>
      <c r="F151" s="3" t="s">
        <v>46</v>
      </c>
      <c r="G151" s="4">
        <v>0.64583333333333337</v>
      </c>
      <c r="H151" s="4">
        <v>0.85416666666666663</v>
      </c>
      <c r="I151" t="s">
        <v>31</v>
      </c>
      <c r="J151">
        <v>1</v>
      </c>
      <c r="L151" s="46"/>
      <c r="P151">
        <v>145</v>
      </c>
      <c r="Q151">
        <v>0</v>
      </c>
      <c r="R151">
        <v>0</v>
      </c>
      <c r="S151" s="7">
        <f>Tabla1[[#This Row],[TARIFA]]+Tabla1[[#This Row],[IMPORTE EXTRAS]]</f>
        <v>145</v>
      </c>
      <c r="T151" t="s">
        <v>45</v>
      </c>
      <c r="U151" s="7">
        <v>0</v>
      </c>
      <c r="V151">
        <v>145</v>
      </c>
      <c r="W151">
        <v>0</v>
      </c>
      <c r="X151">
        <v>0</v>
      </c>
      <c r="Y151" s="52"/>
      <c r="Z151" s="7">
        <f>SUM(Tabla1[[#This Row],[RES-A]:[EXTR-B]])</f>
        <v>145</v>
      </c>
      <c r="AA151" s="7">
        <f>Tabla1[[#This Row],[Columna1]]-Tabla1[[#This Row],[IMPORTE TOTAL]]</f>
        <v>0</v>
      </c>
    </row>
    <row r="152" spans="1:27" x14ac:dyDescent="0.2">
      <c r="A152">
        <v>2021</v>
      </c>
      <c r="B152" t="s">
        <v>59</v>
      </c>
      <c r="C152" s="51">
        <v>44334</v>
      </c>
      <c r="D152" s="3" t="s">
        <v>38</v>
      </c>
      <c r="E152" s="3" t="s">
        <v>46</v>
      </c>
      <c r="F152" s="3" t="s">
        <v>46</v>
      </c>
      <c r="G152" s="4"/>
      <c r="H152" s="4"/>
      <c r="I152" t="s">
        <v>49</v>
      </c>
      <c r="L152" s="46"/>
      <c r="P152">
        <v>182.93</v>
      </c>
      <c r="Q152">
        <v>0</v>
      </c>
      <c r="R152">
        <v>0</v>
      </c>
      <c r="S152" s="7">
        <f>Tabla1[[#This Row],[TARIFA]]+Tabla1[[#This Row],[IMPORTE EXTRAS]]</f>
        <v>182.93</v>
      </c>
      <c r="T152" t="s">
        <v>45</v>
      </c>
      <c r="U152" s="7">
        <v>182.93</v>
      </c>
      <c r="V152">
        <v>0</v>
      </c>
      <c r="W152">
        <v>0</v>
      </c>
      <c r="X152">
        <v>0</v>
      </c>
      <c r="Y152" s="52"/>
      <c r="Z152" s="7">
        <f>SUM(Tabla1[[#This Row],[RES-A]:[EXTR-B]])</f>
        <v>182.93</v>
      </c>
      <c r="AA152" s="7">
        <f>Tabla1[[#This Row],[Columna1]]-Tabla1[[#This Row],[IMPORTE TOTAL]]</f>
        <v>0</v>
      </c>
    </row>
    <row r="153" spans="1:27" x14ac:dyDescent="0.2">
      <c r="A153">
        <v>2021</v>
      </c>
      <c r="B153" t="s">
        <v>59</v>
      </c>
      <c r="C153" s="51">
        <v>44337</v>
      </c>
      <c r="D153" s="3" t="s">
        <v>41</v>
      </c>
      <c r="E153" s="3" t="s">
        <v>46</v>
      </c>
      <c r="F153" s="3" t="s">
        <v>46</v>
      </c>
      <c r="G153" s="4">
        <v>0.64583333333333337</v>
      </c>
      <c r="H153" s="4">
        <v>0.85416666666666663</v>
      </c>
      <c r="I153" t="s">
        <v>31</v>
      </c>
      <c r="J153">
        <v>1</v>
      </c>
      <c r="L153" s="46"/>
      <c r="P153">
        <v>135</v>
      </c>
      <c r="Q153">
        <v>1</v>
      </c>
      <c r="R153">
        <v>15</v>
      </c>
      <c r="S153" s="7">
        <f>Tabla1[[#This Row],[TARIFA]]+Tabla1[[#This Row],[IMPORTE EXTRAS]]</f>
        <v>150</v>
      </c>
      <c r="T153" t="s">
        <v>45</v>
      </c>
      <c r="U153" s="7">
        <v>50</v>
      </c>
      <c r="V153">
        <v>85</v>
      </c>
      <c r="W153">
        <v>0</v>
      </c>
      <c r="X153">
        <v>15</v>
      </c>
      <c r="Y153" s="52"/>
      <c r="Z153" s="7">
        <f>SUM(Tabla1[[#This Row],[RES-A]:[EXTR-B]])</f>
        <v>150</v>
      </c>
      <c r="AA153" s="7">
        <f>Tabla1[[#This Row],[Columna1]]-Tabla1[[#This Row],[IMPORTE TOTAL]]</f>
        <v>0</v>
      </c>
    </row>
    <row r="154" spans="1:27" x14ac:dyDescent="0.2">
      <c r="A154">
        <v>2021</v>
      </c>
      <c r="B154" t="s">
        <v>59</v>
      </c>
      <c r="C154" s="51">
        <v>44339</v>
      </c>
      <c r="D154" s="3" t="s">
        <v>43</v>
      </c>
      <c r="E154" s="3" t="s">
        <v>46</v>
      </c>
      <c r="F154" s="3" t="s">
        <v>46</v>
      </c>
      <c r="G154" s="4">
        <v>0.64583333333333337</v>
      </c>
      <c r="H154" s="4">
        <v>0.85416666666666663</v>
      </c>
      <c r="I154" t="s">
        <v>31</v>
      </c>
      <c r="J154">
        <v>1</v>
      </c>
      <c r="L154" s="46"/>
      <c r="P154">
        <v>145</v>
      </c>
      <c r="Q154">
        <v>0</v>
      </c>
      <c r="R154">
        <v>0</v>
      </c>
      <c r="S154" s="7">
        <f>Tabla1[[#This Row],[TARIFA]]+Tabla1[[#This Row],[IMPORTE EXTRAS]]</f>
        <v>145</v>
      </c>
      <c r="T154" t="s">
        <v>45</v>
      </c>
      <c r="U154" s="7">
        <v>145</v>
      </c>
      <c r="V154">
        <v>0</v>
      </c>
      <c r="W154">
        <v>0</v>
      </c>
      <c r="X154">
        <v>0</v>
      </c>
      <c r="Y154" s="52"/>
      <c r="Z154" s="7">
        <f>SUM(Tabla1[[#This Row],[RES-A]:[EXTR-B]])</f>
        <v>145</v>
      </c>
      <c r="AA154" s="7">
        <f>Tabla1[[#This Row],[Columna1]]-Tabla1[[#This Row],[IMPORTE TOTAL]]</f>
        <v>0</v>
      </c>
    </row>
    <row r="155" spans="1:27" x14ac:dyDescent="0.2">
      <c r="A155">
        <v>2021</v>
      </c>
      <c r="B155" t="s">
        <v>59</v>
      </c>
      <c r="C155" s="3">
        <v>44343</v>
      </c>
      <c r="D155" s="3" t="s">
        <v>40</v>
      </c>
      <c r="E155" s="3" t="s">
        <v>46</v>
      </c>
      <c r="F155" s="3" t="s">
        <v>46</v>
      </c>
      <c r="G155" s="4">
        <v>0.64583333333333337</v>
      </c>
      <c r="H155" s="4">
        <v>0.85416666666666663</v>
      </c>
      <c r="I155" t="s">
        <v>31</v>
      </c>
      <c r="J155">
        <v>1</v>
      </c>
      <c r="L155" s="46"/>
      <c r="P155">
        <v>50</v>
      </c>
      <c r="Q155">
        <v>0</v>
      </c>
      <c r="R155">
        <v>0</v>
      </c>
      <c r="S155" s="7">
        <f>Tabla1[[#This Row],[TARIFA]]+Tabla1[[#This Row],[IMPORTE EXTRAS]]</f>
        <v>50</v>
      </c>
      <c r="T155" t="s">
        <v>45</v>
      </c>
      <c r="U155">
        <v>50</v>
      </c>
      <c r="V155">
        <v>0</v>
      </c>
      <c r="W155">
        <v>0</v>
      </c>
      <c r="X155">
        <v>0</v>
      </c>
      <c r="Z155" s="7">
        <f>SUM(Tabla1[[#This Row],[RES-A]:[EXTR-B]])</f>
        <v>50</v>
      </c>
      <c r="AA155" s="7">
        <f>Tabla1[[#This Row],[Columna1]]-Tabla1[[#This Row],[IMPORTE TOTAL]]</f>
        <v>0</v>
      </c>
    </row>
    <row r="156" spans="1:27" x14ac:dyDescent="0.2">
      <c r="A156">
        <v>2021</v>
      </c>
      <c r="B156" t="s">
        <v>59</v>
      </c>
      <c r="C156" s="3">
        <v>44344</v>
      </c>
      <c r="D156" s="3" t="s">
        <v>41</v>
      </c>
      <c r="E156" s="3" t="s">
        <v>46</v>
      </c>
      <c r="F156" s="3" t="s">
        <v>46</v>
      </c>
      <c r="G156" s="4">
        <v>0.39583333333333331</v>
      </c>
      <c r="H156" s="4">
        <v>0.85416666666666663</v>
      </c>
      <c r="I156" t="s">
        <v>32</v>
      </c>
      <c r="J156">
        <v>2</v>
      </c>
      <c r="L156" s="46"/>
      <c r="P156">
        <v>300</v>
      </c>
      <c r="Q156">
        <v>0</v>
      </c>
      <c r="R156">
        <v>0</v>
      </c>
      <c r="S156" s="7">
        <f>Tabla1[[#This Row],[TARIFA]]+Tabla1[[#This Row],[IMPORTE EXTRAS]]</f>
        <v>300</v>
      </c>
      <c r="T156" t="s">
        <v>45</v>
      </c>
      <c r="U156">
        <v>0</v>
      </c>
      <c r="V156">
        <v>300</v>
      </c>
      <c r="W156">
        <v>0</v>
      </c>
      <c r="X156">
        <v>0</v>
      </c>
      <c r="Z156" s="7">
        <f>SUM(Tabla1[[#This Row],[RES-A]:[EXTR-B]])</f>
        <v>300</v>
      </c>
      <c r="AA156" s="7">
        <f>Tabla1[[#This Row],[Columna1]]-Tabla1[[#This Row],[IMPORTE TOTAL]]</f>
        <v>0</v>
      </c>
    </row>
    <row r="157" spans="1:27" x14ac:dyDescent="0.2">
      <c r="A157">
        <v>2021</v>
      </c>
      <c r="B157" t="s">
        <v>59</v>
      </c>
      <c r="C157" s="3">
        <v>44347</v>
      </c>
      <c r="D157" s="3" t="s">
        <v>37</v>
      </c>
      <c r="E157" s="3" t="s">
        <v>46</v>
      </c>
      <c r="F157" s="3" t="s">
        <v>46</v>
      </c>
      <c r="G157" s="4"/>
      <c r="H157" s="4"/>
      <c r="I157" t="s">
        <v>49</v>
      </c>
      <c r="L157" s="46"/>
      <c r="P157">
        <v>472.2</v>
      </c>
      <c r="Q157">
        <v>0</v>
      </c>
      <c r="R157">
        <v>0</v>
      </c>
      <c r="S157" s="7">
        <f>Tabla1[[#This Row],[TARIFA]]+Tabla1[[#This Row],[IMPORTE EXTRAS]]</f>
        <v>472.2</v>
      </c>
      <c r="T157" t="s">
        <v>45</v>
      </c>
      <c r="U157">
        <v>472.2</v>
      </c>
      <c r="V157">
        <v>0</v>
      </c>
      <c r="W157">
        <v>0</v>
      </c>
      <c r="X157">
        <v>0</v>
      </c>
      <c r="Z157" s="7">
        <f>SUM(Tabla1[[#This Row],[RES-A]:[EXTR-B]])</f>
        <v>472.2</v>
      </c>
      <c r="AA157" s="7">
        <f>Tabla1[[#This Row],[Columna1]]-Tabla1[[#This Row],[IMPORTE TOTAL]]</f>
        <v>0</v>
      </c>
    </row>
    <row r="158" spans="1:27" x14ac:dyDescent="0.2">
      <c r="A158">
        <v>2021</v>
      </c>
      <c r="B158" t="s">
        <v>60</v>
      </c>
      <c r="C158" s="3">
        <v>44351</v>
      </c>
      <c r="D158" s="3" t="s">
        <v>41</v>
      </c>
      <c r="E158" s="3" t="s">
        <v>46</v>
      </c>
      <c r="F158" s="3" t="s">
        <v>46</v>
      </c>
      <c r="G158" s="4">
        <v>0.39583333333333331</v>
      </c>
      <c r="H158" s="4">
        <v>0.95833333333333337</v>
      </c>
      <c r="I158" t="s">
        <v>32</v>
      </c>
      <c r="J158">
        <v>2</v>
      </c>
      <c r="L158" s="46"/>
      <c r="P158">
        <v>190</v>
      </c>
      <c r="Q158">
        <v>1</v>
      </c>
      <c r="R158">
        <v>50</v>
      </c>
      <c r="S158" s="7">
        <f>Tabla1[[#This Row],[TARIFA]]+Tabla1[[#This Row],[IMPORTE EXTRAS]]</f>
        <v>240</v>
      </c>
      <c r="T158" t="s">
        <v>45</v>
      </c>
      <c r="U158">
        <v>50</v>
      </c>
      <c r="V158">
        <v>140</v>
      </c>
      <c r="W158">
        <v>0</v>
      </c>
      <c r="X158">
        <v>50</v>
      </c>
      <c r="Z158" s="7">
        <f>SUM(Tabla1[[#This Row],[RES-A]:[EXTR-B]])</f>
        <v>240</v>
      </c>
      <c r="AA158" s="7">
        <f>Tabla1[[#This Row],[Columna1]]-Tabla1[[#This Row],[IMPORTE TOTAL]]</f>
        <v>0</v>
      </c>
    </row>
    <row r="159" spans="1:27" x14ac:dyDescent="0.2">
      <c r="A159">
        <v>2021</v>
      </c>
      <c r="B159" t="s">
        <v>60</v>
      </c>
      <c r="C159" s="3">
        <v>44352</v>
      </c>
      <c r="D159" s="3" t="s">
        <v>42</v>
      </c>
      <c r="E159" s="3" t="s">
        <v>46</v>
      </c>
      <c r="F159" s="3" t="s">
        <v>46</v>
      </c>
      <c r="G159" s="4">
        <v>0.39583333333333331</v>
      </c>
      <c r="H159" s="4">
        <v>0.95833333333333337</v>
      </c>
      <c r="I159" t="s">
        <v>32</v>
      </c>
      <c r="J159">
        <v>2</v>
      </c>
      <c r="L159" s="46"/>
      <c r="P159">
        <f>123+45</f>
        <v>168</v>
      </c>
      <c r="Q159">
        <v>0</v>
      </c>
      <c r="R159">
        <v>0</v>
      </c>
      <c r="S159" s="7">
        <f>Tabla1[[#This Row],[TARIFA]]+Tabla1[[#This Row],[IMPORTE EXTRAS]]</f>
        <v>168</v>
      </c>
      <c r="T159" t="s">
        <v>45</v>
      </c>
      <c r="U159">
        <v>133</v>
      </c>
      <c r="V159">
        <v>35</v>
      </c>
      <c r="W159">
        <v>0</v>
      </c>
      <c r="X159">
        <v>0</v>
      </c>
      <c r="Y159" t="s">
        <v>344</v>
      </c>
      <c r="Z159" s="7">
        <f>SUM(Tabla1[[#This Row],[RES-A]:[EXTR-B]])</f>
        <v>168</v>
      </c>
      <c r="AA159" s="7">
        <f>Tabla1[[#This Row],[Columna1]]-Tabla1[[#This Row],[IMPORTE TOTAL]]</f>
        <v>0</v>
      </c>
    </row>
    <row r="160" spans="1:27" x14ac:dyDescent="0.2">
      <c r="A160">
        <v>2021</v>
      </c>
      <c r="B160" t="s">
        <v>60</v>
      </c>
      <c r="C160" s="3">
        <v>44358</v>
      </c>
      <c r="D160" s="3" t="s">
        <v>41</v>
      </c>
      <c r="E160" s="3" t="s">
        <v>46</v>
      </c>
      <c r="F160" s="3" t="s">
        <v>46</v>
      </c>
      <c r="G160" s="4">
        <v>0.64583333333333337</v>
      </c>
      <c r="H160" s="4">
        <v>0.95833333333333337</v>
      </c>
      <c r="I160" t="s">
        <v>32</v>
      </c>
      <c r="J160">
        <v>2</v>
      </c>
      <c r="L160" s="46"/>
      <c r="P160">
        <v>145</v>
      </c>
      <c r="Q160">
        <v>1</v>
      </c>
      <c r="R160">
        <v>35</v>
      </c>
      <c r="S160" s="7">
        <f>Tabla1[[#This Row],[TARIFA]]+Tabla1[[#This Row],[IMPORTE EXTRAS]]</f>
        <v>180</v>
      </c>
      <c r="T160" t="s">
        <v>45</v>
      </c>
      <c r="U160">
        <v>150</v>
      </c>
      <c r="V160">
        <v>0</v>
      </c>
      <c r="W160">
        <v>0</v>
      </c>
      <c r="X160">
        <v>30</v>
      </c>
      <c r="Y160" t="s">
        <v>346</v>
      </c>
      <c r="Z160" s="7">
        <f>SUM(Tabla1[[#This Row],[RES-A]:[EXTR-B]])</f>
        <v>180</v>
      </c>
      <c r="AA160" s="7">
        <f>Tabla1[[#This Row],[Columna1]]-Tabla1[[#This Row],[IMPORTE TOTAL]]</f>
        <v>0</v>
      </c>
    </row>
    <row r="161" spans="1:27" x14ac:dyDescent="0.2">
      <c r="A161">
        <v>2021</v>
      </c>
      <c r="B161" t="s">
        <v>60</v>
      </c>
      <c r="C161" s="3">
        <v>44359</v>
      </c>
      <c r="D161" s="3" t="s">
        <v>42</v>
      </c>
      <c r="E161" s="3" t="s">
        <v>46</v>
      </c>
      <c r="F161" s="3" t="s">
        <v>46</v>
      </c>
      <c r="G161" s="4">
        <v>0.39583333333333331</v>
      </c>
      <c r="H161" s="4">
        <v>0.95833333333333337</v>
      </c>
      <c r="I161" t="s">
        <v>32</v>
      </c>
      <c r="J161">
        <v>2</v>
      </c>
      <c r="L161" s="46"/>
      <c r="P161">
        <v>195</v>
      </c>
      <c r="Q161">
        <v>0</v>
      </c>
      <c r="R161">
        <v>0</v>
      </c>
      <c r="S161" s="7">
        <f>Tabla1[[#This Row],[TARIFA]]+Tabla1[[#This Row],[IMPORTE EXTRAS]]</f>
        <v>195</v>
      </c>
      <c r="T161" t="s">
        <v>45</v>
      </c>
      <c r="U161">
        <v>50</v>
      </c>
      <c r="V161">
        <v>145</v>
      </c>
      <c r="W161">
        <v>0</v>
      </c>
      <c r="X161">
        <v>0</v>
      </c>
      <c r="Z161" s="7">
        <f>SUM(Tabla1[[#This Row],[RES-A]:[EXTR-B]])</f>
        <v>195</v>
      </c>
      <c r="AA161" s="7">
        <f>Tabla1[[#This Row],[Columna1]]-Tabla1[[#This Row],[IMPORTE TOTAL]]</f>
        <v>0</v>
      </c>
    </row>
    <row r="162" spans="1:27" x14ac:dyDescent="0.2">
      <c r="A162">
        <v>2021</v>
      </c>
      <c r="B162" t="s">
        <v>60</v>
      </c>
      <c r="C162" s="3">
        <v>44360</v>
      </c>
      <c r="D162" s="3" t="s">
        <v>43</v>
      </c>
      <c r="E162" s="3" t="s">
        <v>46</v>
      </c>
      <c r="F162" s="3" t="s">
        <v>46</v>
      </c>
      <c r="G162" s="4">
        <v>0.39583333333333331</v>
      </c>
      <c r="H162" s="4">
        <v>0.60416666666666663</v>
      </c>
      <c r="I162" t="s">
        <v>30</v>
      </c>
      <c r="J162">
        <v>1</v>
      </c>
      <c r="L162" s="46"/>
      <c r="P162">
        <v>145</v>
      </c>
      <c r="Q162">
        <v>0</v>
      </c>
      <c r="R162">
        <v>0</v>
      </c>
      <c r="S162" s="7">
        <f>Tabla1[[#This Row],[TARIFA]]+Tabla1[[#This Row],[IMPORTE EXTRAS]]</f>
        <v>145</v>
      </c>
      <c r="T162" t="s">
        <v>45</v>
      </c>
      <c r="U162">
        <v>50</v>
      </c>
      <c r="V162">
        <v>95</v>
      </c>
      <c r="W162">
        <v>0</v>
      </c>
      <c r="X162">
        <v>0</v>
      </c>
      <c r="Z162" s="7">
        <f>SUM(Tabla1[[#This Row],[RES-A]:[EXTR-B]])</f>
        <v>145</v>
      </c>
      <c r="AA162" s="7">
        <f>Tabla1[[#This Row],[Columna1]]-Tabla1[[#This Row],[IMPORTE TOTAL]]</f>
        <v>0</v>
      </c>
    </row>
    <row r="163" spans="1:27" x14ac:dyDescent="0.2">
      <c r="A163">
        <v>2021</v>
      </c>
      <c r="B163" t="s">
        <v>60</v>
      </c>
      <c r="C163" s="3">
        <v>44365</v>
      </c>
      <c r="D163" s="3" t="s">
        <v>41</v>
      </c>
      <c r="E163" s="3" t="s">
        <v>46</v>
      </c>
      <c r="F163" s="3" t="s">
        <v>46</v>
      </c>
      <c r="G163" s="4">
        <v>0.64583333333333337</v>
      </c>
      <c r="H163" s="4">
        <v>0</v>
      </c>
      <c r="I163" t="s">
        <v>31</v>
      </c>
      <c r="J163">
        <v>1</v>
      </c>
      <c r="L163" s="46"/>
      <c r="P163">
        <v>195</v>
      </c>
      <c r="Q163">
        <v>0</v>
      </c>
      <c r="R163">
        <v>0</v>
      </c>
      <c r="S163" s="7">
        <f>Tabla1[[#This Row],[TARIFA]]+Tabla1[[#This Row],[IMPORTE EXTRAS]]</f>
        <v>195</v>
      </c>
      <c r="T163" t="s">
        <v>45</v>
      </c>
      <c r="U163">
        <v>195</v>
      </c>
      <c r="V163">
        <v>0</v>
      </c>
      <c r="W163">
        <v>0</v>
      </c>
      <c r="X163">
        <v>0</v>
      </c>
      <c r="Z163" s="7">
        <f>SUM(Tabla1[[#This Row],[RES-A]:[EXTR-B]])</f>
        <v>195</v>
      </c>
      <c r="AA163" s="7">
        <f>Tabla1[[#This Row],[Columna1]]-Tabla1[[#This Row],[IMPORTE TOTAL]]</f>
        <v>0</v>
      </c>
    </row>
    <row r="164" spans="1:27" x14ac:dyDescent="0.2">
      <c r="A164">
        <v>2021</v>
      </c>
      <c r="B164" t="s">
        <v>60</v>
      </c>
      <c r="C164" s="3">
        <v>44366</v>
      </c>
      <c r="D164" s="3" t="s">
        <v>42</v>
      </c>
      <c r="E164" s="3" t="s">
        <v>46</v>
      </c>
      <c r="F164" s="3" t="s">
        <v>46</v>
      </c>
      <c r="G164" s="4">
        <v>0.64583333333333337</v>
      </c>
      <c r="H164" s="4">
        <v>0.85416666666666663</v>
      </c>
      <c r="I164" t="s">
        <v>31</v>
      </c>
      <c r="J164">
        <v>1</v>
      </c>
      <c r="L164" s="46"/>
      <c r="P164">
        <v>145</v>
      </c>
      <c r="Q164">
        <v>1</v>
      </c>
      <c r="R164">
        <v>5</v>
      </c>
      <c r="S164" s="7">
        <f>Tabla1[[#This Row],[TARIFA]]+Tabla1[[#This Row],[IMPORTE EXTRAS]]</f>
        <v>150</v>
      </c>
      <c r="T164" t="s">
        <v>45</v>
      </c>
      <c r="U164">
        <v>50</v>
      </c>
      <c r="V164">
        <v>95</v>
      </c>
      <c r="W164">
        <v>0</v>
      </c>
      <c r="X164">
        <v>5</v>
      </c>
      <c r="Z164" s="7">
        <f>SUM(Tabla1[[#This Row],[RES-A]:[EXTR-B]])</f>
        <v>150</v>
      </c>
      <c r="AA164" s="7">
        <f>Tabla1[[#This Row],[Columna1]]-Tabla1[[#This Row],[IMPORTE TOTAL]]</f>
        <v>0</v>
      </c>
    </row>
    <row r="165" spans="1:27" x14ac:dyDescent="0.2">
      <c r="A165">
        <v>2021</v>
      </c>
      <c r="B165" t="s">
        <v>60</v>
      </c>
      <c r="C165" s="3">
        <v>44367</v>
      </c>
      <c r="D165" s="3" t="s">
        <v>43</v>
      </c>
      <c r="E165" s="3" t="s">
        <v>46</v>
      </c>
      <c r="F165" s="3" t="s">
        <v>46</v>
      </c>
      <c r="G165" s="4">
        <v>0.5</v>
      </c>
      <c r="H165" s="4">
        <v>0.75</v>
      </c>
      <c r="I165" t="s">
        <v>32</v>
      </c>
      <c r="J165">
        <v>2</v>
      </c>
      <c r="L165" s="46"/>
      <c r="P165">
        <v>195</v>
      </c>
      <c r="Q165">
        <v>0</v>
      </c>
      <c r="R165">
        <v>0</v>
      </c>
      <c r="S165" s="7">
        <f>Tabla1[[#This Row],[TARIFA]]+Tabla1[[#This Row],[IMPORTE EXTRAS]]</f>
        <v>195</v>
      </c>
      <c r="T165" t="s">
        <v>45</v>
      </c>
      <c r="U165">
        <v>50</v>
      </c>
      <c r="V165">
        <v>145</v>
      </c>
      <c r="W165">
        <v>0</v>
      </c>
      <c r="X165">
        <v>0</v>
      </c>
      <c r="Z165" s="7">
        <f>SUM(Tabla1[[#This Row],[RES-A]:[EXTR-B]])</f>
        <v>195</v>
      </c>
      <c r="AA165" s="7">
        <f>Tabla1[[#This Row],[Columna1]]-Tabla1[[#This Row],[IMPORTE TOTAL]]</f>
        <v>0</v>
      </c>
    </row>
    <row r="166" spans="1:27" x14ac:dyDescent="0.2">
      <c r="A166">
        <v>2021</v>
      </c>
      <c r="B166" t="s">
        <v>60</v>
      </c>
      <c r="C166" s="3">
        <v>44367</v>
      </c>
      <c r="D166" s="3" t="s">
        <v>43</v>
      </c>
      <c r="E166" s="3" t="s">
        <v>46</v>
      </c>
      <c r="F166" s="3" t="s">
        <v>46</v>
      </c>
      <c r="G166" s="4"/>
      <c r="H166" s="4"/>
      <c r="I166" t="s">
        <v>49</v>
      </c>
      <c r="L166" s="46"/>
      <c r="P166">
        <v>154.13</v>
      </c>
      <c r="Q166">
        <v>0</v>
      </c>
      <c r="R166">
        <v>0</v>
      </c>
      <c r="S166" s="7">
        <f>Tabla1[[#This Row],[TARIFA]]+Tabla1[[#This Row],[IMPORTE EXTRAS]]</f>
        <v>154.13</v>
      </c>
      <c r="T166" t="s">
        <v>45</v>
      </c>
      <c r="U166">
        <v>154.13</v>
      </c>
      <c r="V166">
        <v>0</v>
      </c>
      <c r="W166">
        <v>0</v>
      </c>
      <c r="X166">
        <v>0</v>
      </c>
      <c r="Z166" s="7">
        <f>SUM(Tabla1[[#This Row],[RES-A]:[EXTR-B]])</f>
        <v>154.13</v>
      </c>
      <c r="AA166" s="7">
        <f>Tabla1[[#This Row],[Columna1]]-Tabla1[[#This Row],[IMPORTE TOTAL]]</f>
        <v>0</v>
      </c>
    </row>
    <row r="167" spans="1:27" x14ac:dyDescent="0.2">
      <c r="A167">
        <v>2021</v>
      </c>
      <c r="B167" t="s">
        <v>60</v>
      </c>
      <c r="C167" s="3">
        <v>44369</v>
      </c>
      <c r="D167" s="3" t="s">
        <v>38</v>
      </c>
      <c r="E167" s="3" t="s">
        <v>46</v>
      </c>
      <c r="F167" s="3" t="s">
        <v>46</v>
      </c>
      <c r="G167" s="4">
        <v>0.89583333333333337</v>
      </c>
      <c r="H167" s="4">
        <v>0.10416666666666667</v>
      </c>
      <c r="I167" t="s">
        <v>35</v>
      </c>
      <c r="J167">
        <v>1</v>
      </c>
      <c r="L167" s="46"/>
      <c r="P167">
        <v>195</v>
      </c>
      <c r="Q167">
        <v>1</v>
      </c>
      <c r="R167">
        <v>80</v>
      </c>
      <c r="S167" s="7">
        <f>Tabla1[[#This Row],[TARIFA]]+Tabla1[[#This Row],[IMPORTE EXTRAS]]</f>
        <v>275</v>
      </c>
      <c r="T167" t="s">
        <v>45</v>
      </c>
      <c r="U167">
        <v>195</v>
      </c>
      <c r="V167">
        <v>0</v>
      </c>
      <c r="W167">
        <v>0</v>
      </c>
      <c r="X167">
        <v>80</v>
      </c>
      <c r="Z167" s="7">
        <f>SUM(Tabla1[[#This Row],[RES-A]:[EXTR-B]])</f>
        <v>275</v>
      </c>
      <c r="AA167" s="7">
        <f>Tabla1[[#This Row],[Columna1]]-Tabla1[[#This Row],[IMPORTE TOTAL]]</f>
        <v>0</v>
      </c>
    </row>
    <row r="168" spans="1:27" x14ac:dyDescent="0.2">
      <c r="A168">
        <v>2021</v>
      </c>
      <c r="B168" t="s">
        <v>60</v>
      </c>
      <c r="C168" s="3">
        <v>44370</v>
      </c>
      <c r="D168" s="3" t="s">
        <v>39</v>
      </c>
      <c r="E168" s="3" t="s">
        <v>46</v>
      </c>
      <c r="F168" s="3" t="s">
        <v>46</v>
      </c>
      <c r="G168" s="4">
        <v>0.64583333333333337</v>
      </c>
      <c r="H168" s="4">
        <v>0.85416666666666663</v>
      </c>
      <c r="I168" t="s">
        <v>31</v>
      </c>
      <c r="J168">
        <v>1</v>
      </c>
      <c r="L168" s="46"/>
      <c r="P168">
        <v>70</v>
      </c>
      <c r="Q168">
        <v>0</v>
      </c>
      <c r="R168">
        <v>0</v>
      </c>
      <c r="S168" s="7">
        <f>Tabla1[[#This Row],[TARIFA]]+Tabla1[[#This Row],[IMPORTE EXTRAS]]</f>
        <v>70</v>
      </c>
      <c r="T168" t="s">
        <v>45</v>
      </c>
      <c r="U168">
        <v>50</v>
      </c>
      <c r="V168">
        <v>20</v>
      </c>
      <c r="W168">
        <v>0</v>
      </c>
      <c r="X168">
        <v>0</v>
      </c>
      <c r="Z168" s="7">
        <f>SUM(Tabla1[[#This Row],[RES-A]:[EXTR-B]])</f>
        <v>70</v>
      </c>
      <c r="AA168" s="7">
        <f>Tabla1[[#This Row],[Columna1]]-Tabla1[[#This Row],[IMPORTE TOTAL]]</f>
        <v>0</v>
      </c>
    </row>
    <row r="169" spans="1:27" x14ac:dyDescent="0.2">
      <c r="A169">
        <v>2021</v>
      </c>
      <c r="B169" t="s">
        <v>60</v>
      </c>
      <c r="C169" s="3">
        <v>44373</v>
      </c>
      <c r="D169" s="3" t="s">
        <v>42</v>
      </c>
      <c r="E169" s="3" t="s">
        <v>46</v>
      </c>
      <c r="F169" s="3" t="s">
        <v>46</v>
      </c>
      <c r="G169" s="4">
        <v>0.64583333333333337</v>
      </c>
      <c r="H169" s="4">
        <v>0.95833333333333337</v>
      </c>
      <c r="I169" t="s">
        <v>31</v>
      </c>
      <c r="J169">
        <v>1</v>
      </c>
      <c r="L169" s="46"/>
      <c r="P169">
        <v>145</v>
      </c>
      <c r="Q169">
        <v>1</v>
      </c>
      <c r="R169">
        <v>5</v>
      </c>
      <c r="S169" s="7">
        <f>Tabla1[[#This Row],[TARIFA]]+Tabla1[[#This Row],[IMPORTE EXTRAS]]</f>
        <v>150</v>
      </c>
      <c r="T169" t="s">
        <v>45</v>
      </c>
      <c r="U169">
        <v>0</v>
      </c>
      <c r="V169">
        <v>145</v>
      </c>
      <c r="W169">
        <v>0</v>
      </c>
      <c r="X169">
        <v>5</v>
      </c>
      <c r="Z169" s="7">
        <f>SUM(Tabla1[[#This Row],[RES-A]:[EXTR-B]])</f>
        <v>150</v>
      </c>
      <c r="AA169" s="7">
        <f>Tabla1[[#This Row],[Columna1]]-Tabla1[[#This Row],[IMPORTE TOTAL]]</f>
        <v>0</v>
      </c>
    </row>
    <row r="170" spans="1:27" x14ac:dyDescent="0.2">
      <c r="A170">
        <v>2021</v>
      </c>
      <c r="B170" t="s">
        <v>61</v>
      </c>
      <c r="C170" s="3">
        <v>44380</v>
      </c>
      <c r="D170" s="3" t="s">
        <v>42</v>
      </c>
      <c r="E170" s="3" t="s">
        <v>46</v>
      </c>
      <c r="F170" s="3" t="s">
        <v>46</v>
      </c>
      <c r="G170" s="4">
        <v>0.39583333333333331</v>
      </c>
      <c r="H170" s="4">
        <v>0.10416666666666667</v>
      </c>
      <c r="I170" t="s">
        <v>32</v>
      </c>
      <c r="J170">
        <v>3</v>
      </c>
      <c r="L170" s="46"/>
      <c r="P170">
        <v>370</v>
      </c>
      <c r="Q170">
        <v>0</v>
      </c>
      <c r="R170">
        <v>0</v>
      </c>
      <c r="S170" s="7">
        <f>Tabla1[[#This Row],[TARIFA]]+Tabla1[[#This Row],[IMPORTE EXTRAS]]</f>
        <v>370</v>
      </c>
      <c r="T170" t="s">
        <v>45</v>
      </c>
      <c r="U170">
        <v>50</v>
      </c>
      <c r="V170">
        <v>320</v>
      </c>
      <c r="W170">
        <v>0</v>
      </c>
      <c r="X170">
        <v>0</v>
      </c>
      <c r="Z170" s="7">
        <f>SUM(Tabla1[[#This Row],[RES-A]:[EXTR-B]])</f>
        <v>370</v>
      </c>
      <c r="AA170" s="7">
        <f>Tabla1[[#This Row],[Columna1]]-Tabla1[[#This Row],[IMPORTE TOTAL]]</f>
        <v>0</v>
      </c>
    </row>
    <row r="171" spans="1:27" x14ac:dyDescent="0.2">
      <c r="A171">
        <v>2021</v>
      </c>
      <c r="B171" t="s">
        <v>61</v>
      </c>
      <c r="C171" s="3">
        <v>44387</v>
      </c>
      <c r="D171" s="3" t="s">
        <v>42</v>
      </c>
      <c r="E171" s="3" t="s">
        <v>46</v>
      </c>
      <c r="F171" s="3" t="s">
        <v>46</v>
      </c>
      <c r="G171" s="4">
        <v>0.64583333333333337</v>
      </c>
      <c r="H171" s="4">
        <v>0.85416666666666663</v>
      </c>
      <c r="I171" t="s">
        <v>31</v>
      </c>
      <c r="J171">
        <v>1</v>
      </c>
      <c r="L171" s="46"/>
      <c r="P171">
        <v>145</v>
      </c>
      <c r="Q171">
        <v>0</v>
      </c>
      <c r="R171">
        <v>0</v>
      </c>
      <c r="S171" s="7">
        <f>Tabla1[[#This Row],[TARIFA]]+Tabla1[[#This Row],[IMPORTE EXTRAS]]</f>
        <v>145</v>
      </c>
      <c r="T171" t="s">
        <v>45</v>
      </c>
      <c r="U171">
        <v>145</v>
      </c>
      <c r="V171">
        <v>0</v>
      </c>
      <c r="W171">
        <v>0</v>
      </c>
      <c r="X171">
        <v>0</v>
      </c>
      <c r="Y171" t="s">
        <v>348</v>
      </c>
      <c r="Z171" s="7">
        <f>SUM(Tabla1[[#This Row],[RES-A]:[EXTR-B]])</f>
        <v>145</v>
      </c>
      <c r="AA171" s="7">
        <f>Tabla1[[#This Row],[Columna1]]-Tabla1[[#This Row],[IMPORTE TOTAL]]</f>
        <v>0</v>
      </c>
    </row>
    <row r="172" spans="1:27" x14ac:dyDescent="0.2">
      <c r="A172">
        <v>2021</v>
      </c>
      <c r="B172" t="s">
        <v>61</v>
      </c>
      <c r="C172" s="3">
        <v>44388</v>
      </c>
      <c r="D172" s="3" t="s">
        <v>43</v>
      </c>
      <c r="E172" s="3" t="s">
        <v>46</v>
      </c>
      <c r="F172" s="3" t="s">
        <v>46</v>
      </c>
      <c r="G172" s="4">
        <v>0.39583333333333331</v>
      </c>
      <c r="H172" s="4">
        <v>0.60416666666666663</v>
      </c>
      <c r="I172" t="s">
        <v>30</v>
      </c>
      <c r="J172">
        <v>1</v>
      </c>
      <c r="L172" s="46"/>
      <c r="P172">
        <v>145</v>
      </c>
      <c r="Q172">
        <v>0</v>
      </c>
      <c r="R172">
        <v>0</v>
      </c>
      <c r="S172" s="7">
        <f>Tabla1[[#This Row],[TARIFA]]+Tabla1[[#This Row],[IMPORTE EXTRAS]]</f>
        <v>145</v>
      </c>
      <c r="T172" t="s">
        <v>45</v>
      </c>
      <c r="U172">
        <v>145</v>
      </c>
      <c r="V172">
        <v>0</v>
      </c>
      <c r="W172">
        <v>0</v>
      </c>
      <c r="X172">
        <v>0</v>
      </c>
      <c r="Z172" s="7">
        <f>SUM(Tabla1[[#This Row],[RES-A]:[EXTR-B]])</f>
        <v>145</v>
      </c>
      <c r="AA172" s="7">
        <f>Tabla1[[#This Row],[Columna1]]-Tabla1[[#This Row],[IMPORTE TOTAL]]</f>
        <v>0</v>
      </c>
    </row>
    <row r="173" spans="1:27" x14ac:dyDescent="0.2">
      <c r="A173">
        <v>2021</v>
      </c>
      <c r="B173" t="s">
        <v>61</v>
      </c>
      <c r="C173" s="3">
        <v>44395</v>
      </c>
      <c r="D173" s="3" t="s">
        <v>43</v>
      </c>
      <c r="E173" s="3" t="s">
        <v>46</v>
      </c>
      <c r="F173" s="3" t="s">
        <v>46</v>
      </c>
      <c r="G173" s="4">
        <v>0.39583333333333331</v>
      </c>
      <c r="H173" s="4">
        <v>0.60416666666666663</v>
      </c>
      <c r="I173" t="s">
        <v>30</v>
      </c>
      <c r="J173">
        <v>1</v>
      </c>
      <c r="L173" s="46"/>
      <c r="P173">
        <v>145</v>
      </c>
      <c r="Q173">
        <v>0</v>
      </c>
      <c r="R173">
        <v>0</v>
      </c>
      <c r="S173" s="7">
        <f>Tabla1[[#This Row],[TARIFA]]+Tabla1[[#This Row],[IMPORTE EXTRAS]]</f>
        <v>145</v>
      </c>
      <c r="T173" t="s">
        <v>46</v>
      </c>
      <c r="U173">
        <v>0</v>
      </c>
      <c r="V173">
        <v>0</v>
      </c>
      <c r="W173">
        <v>0</v>
      </c>
      <c r="X173">
        <v>0</v>
      </c>
      <c r="Y173" t="s">
        <v>177</v>
      </c>
      <c r="Z173" s="7">
        <f>SUM(Tabla1[[#This Row],[RES-A]:[EXTR-B]])</f>
        <v>0</v>
      </c>
      <c r="AA173" s="7">
        <f>Tabla1[[#This Row],[Columna1]]-Tabla1[[#This Row],[IMPORTE TOTAL]]</f>
        <v>-145</v>
      </c>
    </row>
    <row r="174" spans="1:27" x14ac:dyDescent="0.2">
      <c r="A174">
        <v>2021</v>
      </c>
      <c r="B174" t="s">
        <v>61</v>
      </c>
      <c r="C174" s="3">
        <v>44398</v>
      </c>
      <c r="D174" s="3" t="s">
        <v>39</v>
      </c>
      <c r="E174" s="3" t="s">
        <v>46</v>
      </c>
      <c r="F174" s="3" t="s">
        <v>46</v>
      </c>
      <c r="G174" s="4">
        <v>0.39583333333333331</v>
      </c>
      <c r="H174" s="4">
        <v>0.10416666666666667</v>
      </c>
      <c r="I174" t="s">
        <v>32</v>
      </c>
      <c r="J174">
        <v>3</v>
      </c>
      <c r="L174" s="46"/>
      <c r="P174">
        <v>250</v>
      </c>
      <c r="Q174">
        <v>0</v>
      </c>
      <c r="R174">
        <v>0</v>
      </c>
      <c r="S174" s="7">
        <f>Tabla1[[#This Row],[TARIFA]]+Tabla1[[#This Row],[IMPORTE EXTRAS]]</f>
        <v>250</v>
      </c>
      <c r="T174" t="s">
        <v>45</v>
      </c>
      <c r="U174">
        <v>50</v>
      </c>
      <c r="V174">
        <v>200</v>
      </c>
      <c r="W174">
        <v>0</v>
      </c>
      <c r="X174">
        <v>0</v>
      </c>
      <c r="Z174" s="7">
        <f>SUM(Tabla1[[#This Row],[RES-A]:[EXTR-B]])</f>
        <v>250</v>
      </c>
      <c r="AA174" s="7">
        <f>Tabla1[[#This Row],[Columna1]]-Tabla1[[#This Row],[IMPORTE TOTAL]]</f>
        <v>0</v>
      </c>
    </row>
    <row r="175" spans="1:27" x14ac:dyDescent="0.2">
      <c r="A175">
        <v>2021</v>
      </c>
      <c r="B175" t="s">
        <v>61</v>
      </c>
      <c r="C175" s="3">
        <v>44399</v>
      </c>
      <c r="D175" s="3" t="s">
        <v>40</v>
      </c>
      <c r="E175" s="3" t="s">
        <v>46</v>
      </c>
      <c r="F175" s="3" t="s">
        <v>46</v>
      </c>
      <c r="G175" s="4">
        <v>0.39583333333333331</v>
      </c>
      <c r="H175" s="4">
        <v>0.10416666666666667</v>
      </c>
      <c r="I175" t="s">
        <v>32</v>
      </c>
      <c r="J175">
        <v>3</v>
      </c>
      <c r="L175" s="46"/>
      <c r="P175">
        <v>250</v>
      </c>
      <c r="Q175">
        <v>0</v>
      </c>
      <c r="R175">
        <v>0</v>
      </c>
      <c r="S175" s="7">
        <f>Tabla1[[#This Row],[TARIFA]]+Tabla1[[#This Row],[IMPORTE EXTRAS]]</f>
        <v>250</v>
      </c>
      <c r="T175" t="s">
        <v>45</v>
      </c>
      <c r="U175">
        <v>0</v>
      </c>
      <c r="V175">
        <v>250</v>
      </c>
      <c r="W175">
        <v>0</v>
      </c>
      <c r="X175">
        <v>0</v>
      </c>
      <c r="Z175" s="7">
        <f>SUM(Tabla1[[#This Row],[RES-A]:[EXTR-B]])</f>
        <v>250</v>
      </c>
      <c r="AA175" s="7">
        <f>Tabla1[[#This Row],[Columna1]]-Tabla1[[#This Row],[IMPORTE TOTAL]]</f>
        <v>0</v>
      </c>
    </row>
    <row r="176" spans="1:27" x14ac:dyDescent="0.2">
      <c r="A176">
        <v>2021</v>
      </c>
      <c r="B176" t="s">
        <v>61</v>
      </c>
      <c r="C176" s="3">
        <v>44402</v>
      </c>
      <c r="D176" s="3" t="s">
        <v>43</v>
      </c>
      <c r="E176" s="3" t="s">
        <v>46</v>
      </c>
      <c r="F176" s="3" t="s">
        <v>46</v>
      </c>
      <c r="G176" s="4">
        <v>0.64583333333333337</v>
      </c>
      <c r="H176" s="4">
        <v>2.0833333333333332E-2</v>
      </c>
      <c r="I176" t="s">
        <v>31</v>
      </c>
      <c r="J176">
        <v>1</v>
      </c>
      <c r="L176" s="46"/>
      <c r="P176">
        <v>195</v>
      </c>
      <c r="Q176">
        <v>0</v>
      </c>
      <c r="R176">
        <v>0</v>
      </c>
      <c r="S176" s="7">
        <f>Tabla1[[#This Row],[TARIFA]]+Tabla1[[#This Row],[IMPORTE EXTRAS]]</f>
        <v>195</v>
      </c>
      <c r="T176" t="s">
        <v>46</v>
      </c>
      <c r="U176">
        <v>0</v>
      </c>
      <c r="V176">
        <v>0</v>
      </c>
      <c r="W176">
        <v>0</v>
      </c>
      <c r="X176">
        <v>0</v>
      </c>
      <c r="Y176" t="s">
        <v>177</v>
      </c>
      <c r="Z176" s="7">
        <f>SUM(Tabla1[[#This Row],[RES-A]:[EXTR-B]])</f>
        <v>0</v>
      </c>
      <c r="AA176" s="7">
        <f>Tabla1[[#This Row],[Columna1]]-Tabla1[[#This Row],[IMPORTE TOTAL]]</f>
        <v>-195</v>
      </c>
    </row>
    <row r="177" spans="1:27" x14ac:dyDescent="0.2">
      <c r="A177">
        <v>2021</v>
      </c>
      <c r="B177" t="s">
        <v>62</v>
      </c>
      <c r="C177" s="3">
        <v>44409</v>
      </c>
      <c r="D177" s="3" t="s">
        <v>43</v>
      </c>
      <c r="E177" s="3" t="s">
        <v>46</v>
      </c>
      <c r="F177" s="3" t="s">
        <v>46</v>
      </c>
      <c r="G177" s="4">
        <v>0.64583333333333337</v>
      </c>
      <c r="H177" s="4">
        <v>2.0833333333333332E-2</v>
      </c>
      <c r="I177" t="s">
        <v>31</v>
      </c>
      <c r="J177">
        <v>1</v>
      </c>
      <c r="L177" s="46"/>
      <c r="P177">
        <v>195</v>
      </c>
      <c r="Q177">
        <v>0</v>
      </c>
      <c r="R177">
        <v>0</v>
      </c>
      <c r="S177" s="7">
        <f>Tabla1[[#This Row],[TARIFA]]+Tabla1[[#This Row],[IMPORTE EXTRAS]]</f>
        <v>195</v>
      </c>
      <c r="T177" t="s">
        <v>45</v>
      </c>
      <c r="U177">
        <v>50</v>
      </c>
      <c r="V177">
        <v>145</v>
      </c>
      <c r="W177">
        <v>0</v>
      </c>
      <c r="X177">
        <v>0</v>
      </c>
      <c r="Z177" s="7">
        <f>SUM(Tabla1[[#This Row],[RES-A]:[EXTR-B]])</f>
        <v>195</v>
      </c>
      <c r="AA177" s="7">
        <f>Tabla1[[#This Row],[Columna1]]-Tabla1[[#This Row],[IMPORTE TOTAL]]</f>
        <v>0</v>
      </c>
    </row>
    <row r="178" spans="1:27" x14ac:dyDescent="0.2">
      <c r="A178">
        <v>2021</v>
      </c>
      <c r="B178" t="s">
        <v>62</v>
      </c>
      <c r="C178" s="3">
        <v>44415</v>
      </c>
      <c r="D178" s="3" t="s">
        <v>42</v>
      </c>
      <c r="E178" s="3" t="s">
        <v>46</v>
      </c>
      <c r="F178" s="3" t="s">
        <v>46</v>
      </c>
      <c r="G178" s="4">
        <v>0.64583333333333337</v>
      </c>
      <c r="H178" s="4">
        <v>0.85416666666666663</v>
      </c>
      <c r="I178" t="s">
        <v>31</v>
      </c>
      <c r="J178">
        <v>1</v>
      </c>
      <c r="L178" s="46"/>
      <c r="P178">
        <v>145</v>
      </c>
      <c r="Q178">
        <v>0</v>
      </c>
      <c r="R178">
        <v>0</v>
      </c>
      <c r="S178" s="7">
        <f>Tabla1[[#This Row],[TARIFA]]+Tabla1[[#This Row],[IMPORTE EXTRAS]]</f>
        <v>145</v>
      </c>
      <c r="T178" t="s">
        <v>45</v>
      </c>
      <c r="U178">
        <v>145</v>
      </c>
      <c r="V178">
        <v>0</v>
      </c>
      <c r="W178">
        <v>0</v>
      </c>
      <c r="X178">
        <v>0</v>
      </c>
      <c r="Z178" s="7">
        <f>SUM(Tabla1[[#This Row],[RES-A]:[EXTR-B]])</f>
        <v>145</v>
      </c>
      <c r="AA178" s="7">
        <f>Tabla1[[#This Row],[Columna1]]-Tabla1[[#This Row],[IMPORTE TOTAL]]</f>
        <v>0</v>
      </c>
    </row>
    <row r="179" spans="1:27" x14ac:dyDescent="0.2">
      <c r="A179">
        <v>2021</v>
      </c>
      <c r="B179" t="s">
        <v>62</v>
      </c>
      <c r="C179" s="3">
        <v>44416</v>
      </c>
      <c r="D179" s="3" t="s">
        <v>43</v>
      </c>
      <c r="E179" s="3" t="s">
        <v>46</v>
      </c>
      <c r="F179" s="3" t="s">
        <v>46</v>
      </c>
      <c r="G179" s="4">
        <v>0.64583333333333337</v>
      </c>
      <c r="H179" s="4">
        <v>0.85416666666666663</v>
      </c>
      <c r="I179" t="s">
        <v>31</v>
      </c>
      <c r="J179">
        <v>1</v>
      </c>
      <c r="L179" s="46"/>
      <c r="P179">
        <v>145</v>
      </c>
      <c r="Q179">
        <v>0</v>
      </c>
      <c r="R179">
        <v>0</v>
      </c>
      <c r="S179" s="7">
        <f>Tabla1[[#This Row],[TARIFA]]+Tabla1[[#This Row],[IMPORTE EXTRAS]]</f>
        <v>145</v>
      </c>
      <c r="T179" t="s">
        <v>45</v>
      </c>
      <c r="U179">
        <v>50</v>
      </c>
      <c r="V179">
        <v>95</v>
      </c>
      <c r="W179">
        <v>0</v>
      </c>
      <c r="X179">
        <v>0</v>
      </c>
      <c r="Z179" s="7">
        <f>SUM(Tabla1[[#This Row],[RES-A]:[EXTR-B]])</f>
        <v>145</v>
      </c>
      <c r="AA179" s="7">
        <f>Tabla1[[#This Row],[Columna1]]-Tabla1[[#This Row],[IMPORTE TOTAL]]</f>
        <v>0</v>
      </c>
    </row>
    <row r="180" spans="1:27" x14ac:dyDescent="0.2">
      <c r="A180">
        <v>2021</v>
      </c>
      <c r="B180" t="s">
        <v>62</v>
      </c>
      <c r="C180" s="3">
        <v>44423</v>
      </c>
      <c r="D180" s="3" t="s">
        <v>43</v>
      </c>
      <c r="E180" s="3" t="s">
        <v>46</v>
      </c>
      <c r="F180" s="3" t="s">
        <v>46</v>
      </c>
      <c r="G180" s="4">
        <v>0.64583333333333337</v>
      </c>
      <c r="H180" s="4">
        <v>2.0833333333333332E-2</v>
      </c>
      <c r="I180" t="s">
        <v>31</v>
      </c>
      <c r="J180">
        <v>1</v>
      </c>
      <c r="L180" s="46"/>
      <c r="P180">
        <v>195</v>
      </c>
      <c r="Q180">
        <v>0</v>
      </c>
      <c r="R180">
        <v>0</v>
      </c>
      <c r="S180" s="7">
        <f>Tabla1[[#This Row],[TARIFA]]+Tabla1[[#This Row],[IMPORTE EXTRAS]]</f>
        <v>195</v>
      </c>
      <c r="T180" t="s">
        <v>45</v>
      </c>
      <c r="U180">
        <v>0</v>
      </c>
      <c r="V180">
        <v>195</v>
      </c>
      <c r="W180">
        <v>0</v>
      </c>
      <c r="X180">
        <v>0</v>
      </c>
      <c r="Z180" s="7">
        <f>SUM(Tabla1[[#This Row],[RES-A]:[EXTR-B]])</f>
        <v>195</v>
      </c>
      <c r="AA180" s="7">
        <f>Tabla1[[#This Row],[Columna1]]-Tabla1[[#This Row],[IMPORTE TOTAL]]</f>
        <v>0</v>
      </c>
    </row>
    <row r="181" spans="1:27" x14ac:dyDescent="0.2">
      <c r="A181">
        <v>2021</v>
      </c>
      <c r="B181" t="s">
        <v>62</v>
      </c>
      <c r="C181" s="3">
        <v>44427</v>
      </c>
      <c r="D181" s="3" t="s">
        <v>40</v>
      </c>
      <c r="E181" s="3" t="s">
        <v>46</v>
      </c>
      <c r="F181" s="3" t="s">
        <v>46</v>
      </c>
      <c r="G181" s="4">
        <v>0.79166666666666663</v>
      </c>
      <c r="H181" s="4">
        <v>2.0833333333333332E-2</v>
      </c>
      <c r="I181" t="s">
        <v>31</v>
      </c>
      <c r="J181">
        <v>1</v>
      </c>
      <c r="L181" s="46"/>
      <c r="P181">
        <v>100</v>
      </c>
      <c r="Q181">
        <v>0</v>
      </c>
      <c r="R181">
        <v>0</v>
      </c>
      <c r="S181" s="7">
        <f>Tabla1[[#This Row],[TARIFA]]+Tabla1[[#This Row],[IMPORTE EXTRAS]]</f>
        <v>100</v>
      </c>
      <c r="T181" t="s">
        <v>45</v>
      </c>
      <c r="U181">
        <v>0</v>
      </c>
      <c r="V181">
        <v>100</v>
      </c>
      <c r="W181">
        <v>0</v>
      </c>
      <c r="X181">
        <v>0</v>
      </c>
      <c r="Z181" s="7">
        <f>SUM(Tabla1[[#This Row],[RES-A]:[EXTR-B]])</f>
        <v>100</v>
      </c>
      <c r="AA181" s="7">
        <f>Tabla1[[#This Row],[Columna1]]-Tabla1[[#This Row],[IMPORTE TOTAL]]</f>
        <v>0</v>
      </c>
    </row>
    <row r="182" spans="1:27" x14ac:dyDescent="0.2">
      <c r="A182">
        <v>2021</v>
      </c>
      <c r="B182" t="s">
        <v>62</v>
      </c>
      <c r="C182" s="3">
        <v>44436</v>
      </c>
      <c r="D182" s="3" t="s">
        <v>42</v>
      </c>
      <c r="E182" s="3" t="s">
        <v>46</v>
      </c>
      <c r="F182" s="3" t="s">
        <v>46</v>
      </c>
      <c r="G182" s="4">
        <v>0.64583333333333337</v>
      </c>
      <c r="H182" s="4">
        <v>2.0833333333333332E-2</v>
      </c>
      <c r="I182" t="s">
        <v>31</v>
      </c>
      <c r="J182">
        <v>1</v>
      </c>
      <c r="L182" s="46"/>
      <c r="P182">
        <v>195</v>
      </c>
      <c r="Q182">
        <v>0</v>
      </c>
      <c r="R182">
        <v>0</v>
      </c>
      <c r="S182" s="7">
        <f>Tabla1[[#This Row],[TARIFA]]+Tabla1[[#This Row],[IMPORTE EXTRAS]]</f>
        <v>195</v>
      </c>
      <c r="T182" t="s">
        <v>45</v>
      </c>
      <c r="U182">
        <v>50</v>
      </c>
      <c r="V182">
        <v>145</v>
      </c>
      <c r="W182">
        <v>0</v>
      </c>
      <c r="X182">
        <v>0</v>
      </c>
      <c r="Z182" s="7">
        <f>SUM(Tabla1[[#This Row],[RES-A]:[EXTR-B]])</f>
        <v>195</v>
      </c>
      <c r="AA182" s="7">
        <f>Tabla1[[#This Row],[Columna1]]-Tabla1[[#This Row],[IMPORTE TOTAL]]</f>
        <v>0</v>
      </c>
    </row>
    <row r="183" spans="1:27" x14ac:dyDescent="0.2">
      <c r="A183">
        <v>2021</v>
      </c>
      <c r="B183" t="s">
        <v>62</v>
      </c>
      <c r="C183" s="3">
        <v>44437</v>
      </c>
      <c r="D183" s="3" t="s">
        <v>43</v>
      </c>
      <c r="E183" s="3" t="s">
        <v>46</v>
      </c>
      <c r="F183" s="3" t="s">
        <v>46</v>
      </c>
      <c r="G183" s="4">
        <v>0.39583333333333331</v>
      </c>
      <c r="H183" s="4">
        <v>0.60416666666666663</v>
      </c>
      <c r="I183" t="s">
        <v>30</v>
      </c>
      <c r="J183">
        <v>1</v>
      </c>
      <c r="L183" s="46"/>
      <c r="P183">
        <v>145</v>
      </c>
      <c r="Q183">
        <v>0</v>
      </c>
      <c r="R183">
        <v>0</v>
      </c>
      <c r="S183" s="7">
        <f>Tabla1[[#This Row],[TARIFA]]+Tabla1[[#This Row],[IMPORTE EXTRAS]]</f>
        <v>145</v>
      </c>
      <c r="T183" t="s">
        <v>45</v>
      </c>
      <c r="U183">
        <v>50</v>
      </c>
      <c r="V183">
        <v>95</v>
      </c>
      <c r="W183">
        <v>0</v>
      </c>
      <c r="X183">
        <v>0</v>
      </c>
      <c r="Z183" s="7">
        <f>SUM(Tabla1[[#This Row],[RES-A]:[EXTR-B]])</f>
        <v>145</v>
      </c>
      <c r="AA183" s="7">
        <f>Tabla1[[#This Row],[Columna1]]-Tabla1[[#This Row],[IMPORTE TOTAL]]</f>
        <v>0</v>
      </c>
    </row>
    <row r="184" spans="1:27" x14ac:dyDescent="0.2">
      <c r="A184">
        <v>2021</v>
      </c>
      <c r="B184" t="s">
        <v>236</v>
      </c>
      <c r="C184" s="3">
        <v>44444</v>
      </c>
      <c r="D184" s="3" t="s">
        <v>43</v>
      </c>
      <c r="E184" s="3" t="s">
        <v>46</v>
      </c>
      <c r="F184" s="3" t="s">
        <v>46</v>
      </c>
      <c r="G184" s="4">
        <v>0.64583333333333337</v>
      </c>
      <c r="H184" s="4">
        <v>2.0833333333333332E-2</v>
      </c>
      <c r="I184" t="s">
        <v>31</v>
      </c>
      <c r="J184">
        <v>1</v>
      </c>
      <c r="L184" s="46"/>
      <c r="P184">
        <v>195</v>
      </c>
      <c r="Q184">
        <v>0</v>
      </c>
      <c r="R184">
        <v>0</v>
      </c>
      <c r="S184" s="7">
        <f>Tabla1[[#This Row],[TARIFA]]+Tabla1[[#This Row],[IMPORTE EXTRAS]]</f>
        <v>195</v>
      </c>
      <c r="T184" t="s">
        <v>45</v>
      </c>
      <c r="U184">
        <v>50</v>
      </c>
      <c r="V184">
        <v>145</v>
      </c>
      <c r="W184">
        <v>0</v>
      </c>
      <c r="X184">
        <v>0</v>
      </c>
      <c r="Z184" s="7">
        <f>SUM(Tabla1[[#This Row],[RES-A]:[EXTR-B]])</f>
        <v>195</v>
      </c>
      <c r="AA184" s="7">
        <f>Tabla1[[#This Row],[Columna1]]-Tabla1[[#This Row],[IMPORTE TOTAL]]</f>
        <v>0</v>
      </c>
    </row>
    <row r="185" spans="1:27" x14ac:dyDescent="0.2">
      <c r="A185">
        <v>2021</v>
      </c>
      <c r="B185" t="s">
        <v>236</v>
      </c>
      <c r="C185" s="3">
        <v>44450</v>
      </c>
      <c r="D185" s="3" t="s">
        <v>42</v>
      </c>
      <c r="E185" s="3" t="s">
        <v>45</v>
      </c>
      <c r="F185" s="3" t="s">
        <v>46</v>
      </c>
      <c r="G185" s="4">
        <v>0.64583333333333337</v>
      </c>
      <c r="H185" s="4">
        <v>2.0833333333333332E-2</v>
      </c>
      <c r="I185" t="s">
        <v>31</v>
      </c>
      <c r="J185">
        <v>1</v>
      </c>
      <c r="L185" s="46"/>
      <c r="P185">
        <v>195</v>
      </c>
      <c r="Q185">
        <v>0</v>
      </c>
      <c r="R185">
        <v>0</v>
      </c>
      <c r="S185" s="7">
        <f>Tabla1[[#This Row],[TARIFA]]+Tabla1[[#This Row],[IMPORTE EXTRAS]]</f>
        <v>195</v>
      </c>
      <c r="T185" t="s">
        <v>45</v>
      </c>
      <c r="U185">
        <v>50</v>
      </c>
      <c r="V185">
        <v>145</v>
      </c>
      <c r="W185">
        <v>0</v>
      </c>
      <c r="X185">
        <v>0</v>
      </c>
      <c r="Z185" s="7">
        <f>SUM(Tabla1[[#This Row],[RES-A]:[EXTR-B]])</f>
        <v>195</v>
      </c>
      <c r="AA185" s="7">
        <f>Tabla1[[#This Row],[Columna1]]-Tabla1[[#This Row],[IMPORTE TOTAL]]</f>
        <v>0</v>
      </c>
    </row>
    <row r="186" spans="1:27" x14ac:dyDescent="0.2">
      <c r="A186">
        <v>2021</v>
      </c>
      <c r="B186" t="s">
        <v>236</v>
      </c>
      <c r="C186" s="3">
        <v>44451</v>
      </c>
      <c r="D186" s="3" t="s">
        <v>43</v>
      </c>
      <c r="E186" s="3" t="s">
        <v>46</v>
      </c>
      <c r="F186" s="3" t="s">
        <v>46</v>
      </c>
      <c r="G186" s="4">
        <v>0.39583333333333331</v>
      </c>
      <c r="H186" s="4">
        <v>0.85416666666666663</v>
      </c>
      <c r="I186" t="s">
        <v>32</v>
      </c>
      <c r="J186">
        <v>2</v>
      </c>
      <c r="L186" s="46"/>
      <c r="P186">
        <v>160</v>
      </c>
      <c r="Q186">
        <v>0</v>
      </c>
      <c r="R186">
        <v>0</v>
      </c>
      <c r="S186" s="7">
        <f>Tabla1[[#This Row],[TARIFA]]+Tabla1[[#This Row],[IMPORTE EXTRAS]]</f>
        <v>160</v>
      </c>
      <c r="T186" t="s">
        <v>45</v>
      </c>
      <c r="U186">
        <v>0</v>
      </c>
      <c r="V186">
        <v>160</v>
      </c>
      <c r="W186">
        <v>0</v>
      </c>
      <c r="X186">
        <v>0</v>
      </c>
      <c r="Y186" t="s">
        <v>357</v>
      </c>
      <c r="Z186" s="7">
        <f>SUM(Tabla1[[#This Row],[RES-A]:[EXTR-B]])</f>
        <v>160</v>
      </c>
      <c r="AA186" s="7">
        <f>Tabla1[[#This Row],[Columna1]]-Tabla1[[#This Row],[IMPORTE TOTAL]]</f>
        <v>0</v>
      </c>
    </row>
    <row r="187" spans="1:27" x14ac:dyDescent="0.2">
      <c r="A187">
        <v>2021</v>
      </c>
      <c r="B187" t="s">
        <v>236</v>
      </c>
      <c r="C187" s="3">
        <v>44457</v>
      </c>
      <c r="D187" s="3" t="s">
        <v>42</v>
      </c>
      <c r="E187" s="3" t="s">
        <v>46</v>
      </c>
      <c r="F187" s="3" t="s">
        <v>46</v>
      </c>
      <c r="G187" s="4">
        <v>0.64583333333333337</v>
      </c>
      <c r="H187" s="4">
        <v>0.85416666666666663</v>
      </c>
      <c r="I187" t="s">
        <v>31</v>
      </c>
      <c r="J187">
        <v>1</v>
      </c>
      <c r="L187" s="46"/>
      <c r="P187">
        <v>145</v>
      </c>
      <c r="Q187">
        <v>0</v>
      </c>
      <c r="R187">
        <v>0</v>
      </c>
      <c r="S187" s="7">
        <f>Tabla1[[#This Row],[TARIFA]]+Tabla1[[#This Row],[IMPORTE EXTRAS]]</f>
        <v>145</v>
      </c>
      <c r="T187" t="s">
        <v>45</v>
      </c>
      <c r="U187">
        <v>145</v>
      </c>
      <c r="V187">
        <v>0</v>
      </c>
      <c r="W187">
        <v>0</v>
      </c>
      <c r="X187">
        <v>0</v>
      </c>
      <c r="Z187" s="7">
        <f>SUM(Tabla1[[#This Row],[RES-A]:[EXTR-B]])</f>
        <v>145</v>
      </c>
      <c r="AA187" s="7">
        <f>Tabla1[[#This Row],[Columna1]]-Tabla1[[#This Row],[IMPORTE TOTAL]]</f>
        <v>0</v>
      </c>
    </row>
    <row r="188" spans="1:27" x14ac:dyDescent="0.2">
      <c r="A188">
        <v>2021</v>
      </c>
      <c r="B188" t="s">
        <v>236</v>
      </c>
      <c r="C188" s="3">
        <v>44458</v>
      </c>
      <c r="D188" s="3" t="s">
        <v>43</v>
      </c>
      <c r="E188" s="3" t="s">
        <v>46</v>
      </c>
      <c r="F188" s="3" t="s">
        <v>46</v>
      </c>
      <c r="G188" s="4">
        <v>0.64583333333333337</v>
      </c>
      <c r="H188" s="4">
        <v>0.85416666666666663</v>
      </c>
      <c r="I188" t="s">
        <v>31</v>
      </c>
      <c r="J188">
        <v>1</v>
      </c>
      <c r="L188" s="46"/>
      <c r="P188">
        <v>145</v>
      </c>
      <c r="Q188">
        <v>0</v>
      </c>
      <c r="R188">
        <v>0</v>
      </c>
      <c r="S188" s="7">
        <f>Tabla1[[#This Row],[TARIFA]]+Tabla1[[#This Row],[IMPORTE EXTRAS]]</f>
        <v>145</v>
      </c>
      <c r="T188" t="s">
        <v>45</v>
      </c>
      <c r="U188">
        <v>145</v>
      </c>
      <c r="V188">
        <v>0</v>
      </c>
      <c r="W188">
        <v>0</v>
      </c>
      <c r="X188">
        <v>0</v>
      </c>
      <c r="Z188" s="7">
        <f>SUM(Tabla1[[#This Row],[RES-A]:[EXTR-B]])</f>
        <v>145</v>
      </c>
      <c r="AA188" s="7">
        <f>Tabla1[[#This Row],[Columna1]]-Tabla1[[#This Row],[IMPORTE TOTAL]]</f>
        <v>0</v>
      </c>
    </row>
    <row r="189" spans="1:27" x14ac:dyDescent="0.2">
      <c r="A189">
        <v>2021</v>
      </c>
      <c r="B189" t="s">
        <v>236</v>
      </c>
      <c r="C189" s="3">
        <v>44463</v>
      </c>
      <c r="D189" s="3" t="s">
        <v>41</v>
      </c>
      <c r="E189" s="3" t="s">
        <v>46</v>
      </c>
      <c r="F189" s="3" t="s">
        <v>46</v>
      </c>
      <c r="G189" s="4">
        <v>0.64583333333333337</v>
      </c>
      <c r="H189" s="4">
        <v>2.0833333333333332E-2</v>
      </c>
      <c r="I189" t="s">
        <v>31</v>
      </c>
      <c r="J189">
        <v>1</v>
      </c>
      <c r="L189" s="46"/>
      <c r="P189">
        <v>195</v>
      </c>
      <c r="Q189">
        <v>0</v>
      </c>
      <c r="R189">
        <v>0</v>
      </c>
      <c r="S189" s="7">
        <v>200</v>
      </c>
      <c r="T189" t="s">
        <v>45</v>
      </c>
      <c r="U189">
        <v>50</v>
      </c>
      <c r="V189">
        <v>145</v>
      </c>
      <c r="W189">
        <v>0</v>
      </c>
      <c r="X189">
        <v>5</v>
      </c>
      <c r="Z189" s="7">
        <f>SUM(Tabla1[[#This Row],[RES-A]:[EXTR-B]])</f>
        <v>200</v>
      </c>
      <c r="AA189" s="7">
        <f>Tabla1[[#This Row],[Columna1]]-Tabla1[[#This Row],[IMPORTE TOTAL]]</f>
        <v>0</v>
      </c>
    </row>
    <row r="190" spans="1:27" x14ac:dyDescent="0.2">
      <c r="A190">
        <v>2021</v>
      </c>
      <c r="B190" t="s">
        <v>236</v>
      </c>
      <c r="C190" s="3">
        <v>44464</v>
      </c>
      <c r="D190" s="3" t="s">
        <v>42</v>
      </c>
      <c r="E190" s="3" t="s">
        <v>46</v>
      </c>
      <c r="F190" s="3" t="s">
        <v>46</v>
      </c>
      <c r="G190" s="4">
        <v>0.64583333333333337</v>
      </c>
      <c r="H190" s="4">
        <v>2.0833333333333332E-2</v>
      </c>
      <c r="I190" t="s">
        <v>31</v>
      </c>
      <c r="J190">
        <v>1</v>
      </c>
      <c r="L190" s="46"/>
      <c r="P190">
        <v>195</v>
      </c>
      <c r="Q190">
        <v>0</v>
      </c>
      <c r="R190">
        <v>0</v>
      </c>
      <c r="S190" s="7">
        <f>Tabla1[[#This Row],[TARIFA]]+Tabla1[[#This Row],[IMPORTE EXTRAS]]</f>
        <v>195</v>
      </c>
      <c r="T190" t="s">
        <v>45</v>
      </c>
      <c r="U190">
        <v>50</v>
      </c>
      <c r="V190">
        <v>145</v>
      </c>
      <c r="W190">
        <v>0</v>
      </c>
      <c r="X190">
        <v>0</v>
      </c>
      <c r="Z190" s="7">
        <f>SUM(Tabla1[[#This Row],[RES-A]:[EXTR-B]])</f>
        <v>195</v>
      </c>
      <c r="AA190" s="7">
        <f>Tabla1[[#This Row],[Columna1]]-Tabla1[[#This Row],[IMPORTE TOTAL]]</f>
        <v>0</v>
      </c>
    </row>
    <row r="191" spans="1:27" x14ac:dyDescent="0.2">
      <c r="A191">
        <v>2021</v>
      </c>
      <c r="B191" t="s">
        <v>236</v>
      </c>
      <c r="C191" s="3">
        <v>44465</v>
      </c>
      <c r="D191" s="3" t="s">
        <v>43</v>
      </c>
      <c r="E191" s="3" t="s">
        <v>46</v>
      </c>
      <c r="F191" s="3" t="s">
        <v>46</v>
      </c>
      <c r="G191" s="4">
        <v>0.54166666666666663</v>
      </c>
      <c r="H191" s="4">
        <v>0.85416666666666663</v>
      </c>
      <c r="I191" t="s">
        <v>33</v>
      </c>
      <c r="J191">
        <v>1</v>
      </c>
      <c r="L191" s="46"/>
      <c r="P191">
        <v>145</v>
      </c>
      <c r="Q191">
        <v>0</v>
      </c>
      <c r="R191">
        <v>0</v>
      </c>
      <c r="S191" s="7">
        <v>150</v>
      </c>
      <c r="T191" t="s">
        <v>45</v>
      </c>
      <c r="U191">
        <v>50</v>
      </c>
      <c r="V191">
        <v>95</v>
      </c>
      <c r="W191">
        <v>0</v>
      </c>
      <c r="X191">
        <v>5</v>
      </c>
      <c r="Z191" s="7">
        <f>SUM(Tabla1[[#This Row],[RES-A]:[EXTR-B]])</f>
        <v>150</v>
      </c>
      <c r="AA191" s="7">
        <f>Tabla1[[#This Row],[Columna1]]-Tabla1[[#This Row],[IMPORTE TOTAL]]</f>
        <v>0</v>
      </c>
    </row>
    <row r="192" spans="1:27" x14ac:dyDescent="0.2">
      <c r="A192">
        <v>2021</v>
      </c>
      <c r="B192" t="s">
        <v>63</v>
      </c>
      <c r="C192" s="3">
        <v>44471</v>
      </c>
      <c r="D192" s="3" t="s">
        <v>42</v>
      </c>
      <c r="E192" s="3" t="s">
        <v>46</v>
      </c>
      <c r="F192" s="3" t="s">
        <v>46</v>
      </c>
      <c r="G192" s="4">
        <v>0.39583333333333331</v>
      </c>
      <c r="H192" s="4">
        <v>0.60416666666666663</v>
      </c>
      <c r="I192" t="s">
        <v>30</v>
      </c>
      <c r="J192">
        <v>1</v>
      </c>
      <c r="L192" s="46"/>
      <c r="P192">
        <v>145</v>
      </c>
      <c r="Q192">
        <v>0</v>
      </c>
      <c r="R192">
        <v>0</v>
      </c>
      <c r="S192" s="7">
        <f>Tabla1[[#This Row],[TARIFA]]+Tabla1[[#This Row],[IMPORTE EXTRAS]]</f>
        <v>145</v>
      </c>
      <c r="T192" t="s">
        <v>45</v>
      </c>
      <c r="U192">
        <v>145</v>
      </c>
      <c r="V192">
        <v>0</v>
      </c>
      <c r="W192">
        <v>0</v>
      </c>
      <c r="X192">
        <v>0</v>
      </c>
      <c r="Z192" s="7">
        <f>SUM(Tabla1[[#This Row],[RES-A]:[EXTR-B]])</f>
        <v>145</v>
      </c>
      <c r="AA192" s="7">
        <f>Tabla1[[#This Row],[Columna1]]-Tabla1[[#This Row],[IMPORTE TOTAL]]</f>
        <v>0</v>
      </c>
    </row>
    <row r="193" spans="1:27" x14ac:dyDescent="0.2">
      <c r="A193">
        <v>2021</v>
      </c>
      <c r="B193" t="s">
        <v>63</v>
      </c>
      <c r="C193" s="3">
        <v>44472</v>
      </c>
      <c r="D193" s="3" t="s">
        <v>43</v>
      </c>
      <c r="E193" s="3" t="s">
        <v>46</v>
      </c>
      <c r="F193" s="3" t="s">
        <v>46</v>
      </c>
      <c r="G193" s="4">
        <v>0.54166666666666663</v>
      </c>
      <c r="H193" s="4">
        <v>0.85416666666666663</v>
      </c>
      <c r="I193" t="s">
        <v>31</v>
      </c>
      <c r="J193">
        <v>1</v>
      </c>
      <c r="L193" s="46"/>
      <c r="P193">
        <v>145</v>
      </c>
      <c r="Q193">
        <v>0</v>
      </c>
      <c r="R193">
        <v>0</v>
      </c>
      <c r="S193" s="7">
        <f>Tabla1[[#This Row],[TARIFA]]+Tabla1[[#This Row],[IMPORTE EXTRAS]]</f>
        <v>145</v>
      </c>
      <c r="T193" t="s">
        <v>45</v>
      </c>
      <c r="U193">
        <v>145</v>
      </c>
      <c r="V193">
        <v>0</v>
      </c>
      <c r="W193">
        <v>0</v>
      </c>
      <c r="X193">
        <v>0</v>
      </c>
      <c r="Z193" s="7">
        <f>SUM(Tabla1[[#This Row],[RES-A]:[EXTR-B]])</f>
        <v>145</v>
      </c>
      <c r="AA193" s="7">
        <f>Tabla1[[#This Row],[Columna1]]-Tabla1[[#This Row],[IMPORTE TOTAL]]</f>
        <v>0</v>
      </c>
    </row>
    <row r="194" spans="1:27" x14ac:dyDescent="0.2">
      <c r="A194">
        <v>2021</v>
      </c>
      <c r="B194" t="s">
        <v>63</v>
      </c>
      <c r="C194" s="3">
        <v>44477</v>
      </c>
      <c r="D194" s="3" t="s">
        <v>41</v>
      </c>
      <c r="E194" s="3" t="s">
        <v>46</v>
      </c>
      <c r="F194" s="3" t="s">
        <v>46</v>
      </c>
      <c r="G194" s="4">
        <v>0.64583333333333337</v>
      </c>
      <c r="H194" s="4">
        <v>2.0833333333333332E-2</v>
      </c>
      <c r="I194" t="s">
        <v>31</v>
      </c>
      <c r="J194">
        <v>1</v>
      </c>
      <c r="L194" s="46"/>
      <c r="P194">
        <v>195</v>
      </c>
      <c r="Q194">
        <v>0</v>
      </c>
      <c r="R194">
        <v>0</v>
      </c>
      <c r="S194" s="7">
        <f>Tabla1[[#This Row],[TARIFA]]+Tabla1[[#This Row],[IMPORTE EXTRAS]]</f>
        <v>195</v>
      </c>
      <c r="T194" t="s">
        <v>45</v>
      </c>
      <c r="U194">
        <v>50</v>
      </c>
      <c r="V194">
        <v>145</v>
      </c>
      <c r="W194">
        <v>0</v>
      </c>
      <c r="X194">
        <v>0</v>
      </c>
      <c r="Z194" s="7">
        <f>SUM(Tabla1[[#This Row],[RES-A]:[EXTR-B]])</f>
        <v>195</v>
      </c>
      <c r="AA194" s="7">
        <f>Tabla1[[#This Row],[Columna1]]-Tabla1[[#This Row],[IMPORTE TOTAL]]</f>
        <v>0</v>
      </c>
    </row>
    <row r="195" spans="1:27" x14ac:dyDescent="0.2">
      <c r="A195">
        <v>2021</v>
      </c>
      <c r="B195" t="s">
        <v>63</v>
      </c>
      <c r="C195" s="3">
        <v>44478</v>
      </c>
      <c r="D195" s="3" t="s">
        <v>42</v>
      </c>
      <c r="E195" s="3" t="s">
        <v>46</v>
      </c>
      <c r="F195" s="3" t="s">
        <v>46</v>
      </c>
      <c r="G195" s="4">
        <v>0.64583333333333337</v>
      </c>
      <c r="H195" s="4">
        <v>0.85416666666666663</v>
      </c>
      <c r="I195" t="s">
        <v>31</v>
      </c>
      <c r="J195">
        <v>1</v>
      </c>
      <c r="L195" s="46"/>
      <c r="P195">
        <v>145</v>
      </c>
      <c r="Q195">
        <v>0</v>
      </c>
      <c r="R195">
        <v>0</v>
      </c>
      <c r="S195" s="7">
        <f>Tabla1[[#This Row],[TARIFA]]+Tabla1[[#This Row],[IMPORTE EXTRAS]]</f>
        <v>145</v>
      </c>
      <c r="T195" t="s">
        <v>45</v>
      </c>
      <c r="U195">
        <v>50</v>
      </c>
      <c r="V195">
        <v>95</v>
      </c>
      <c r="W195">
        <v>0</v>
      </c>
      <c r="X195">
        <v>0</v>
      </c>
      <c r="Z195" s="7">
        <f>SUM(Tabla1[[#This Row],[RES-A]:[EXTR-B]])</f>
        <v>145</v>
      </c>
      <c r="AA195" s="7">
        <f>Tabla1[[#This Row],[Columna1]]-Tabla1[[#This Row],[IMPORTE TOTAL]]</f>
        <v>0</v>
      </c>
    </row>
    <row r="196" spans="1:27" x14ac:dyDescent="0.2">
      <c r="A196">
        <v>2021</v>
      </c>
      <c r="B196" t="s">
        <v>63</v>
      </c>
      <c r="C196" s="3">
        <v>44478</v>
      </c>
      <c r="D196" s="3" t="s">
        <v>42</v>
      </c>
      <c r="E196" s="3" t="s">
        <v>46</v>
      </c>
      <c r="F196" s="3" t="s">
        <v>46</v>
      </c>
      <c r="G196" s="4">
        <v>0.89583333333333337</v>
      </c>
      <c r="H196" s="4">
        <v>0.10416666666666667</v>
      </c>
      <c r="I196" t="s">
        <v>35</v>
      </c>
      <c r="J196">
        <v>1</v>
      </c>
      <c r="L196" s="46"/>
      <c r="P196">
        <v>195</v>
      </c>
      <c r="Q196">
        <v>1</v>
      </c>
      <c r="R196">
        <v>100</v>
      </c>
      <c r="S196" s="7">
        <f>Tabla1[[#This Row],[TARIFA]]+Tabla1[[#This Row],[IMPORTE EXTRAS]]</f>
        <v>295</v>
      </c>
      <c r="T196" t="s">
        <v>45</v>
      </c>
      <c r="U196">
        <v>0</v>
      </c>
      <c r="V196">
        <v>195</v>
      </c>
      <c r="W196">
        <v>0</v>
      </c>
      <c r="X196">
        <v>100</v>
      </c>
      <c r="Y196" s="56"/>
      <c r="Z196" s="7">
        <f>SUM(Tabla1[[#This Row],[RES-A]:[EXTR-B]])</f>
        <v>295</v>
      </c>
      <c r="AA196" s="7">
        <f>Tabla1[[#This Row],[Columna1]]-Tabla1[[#This Row],[IMPORTE TOTAL]]</f>
        <v>0</v>
      </c>
    </row>
    <row r="197" spans="1:27" x14ac:dyDescent="0.2">
      <c r="A197">
        <v>2021</v>
      </c>
      <c r="B197" t="s">
        <v>63</v>
      </c>
      <c r="C197" s="3">
        <v>44481</v>
      </c>
      <c r="D197" s="3" t="s">
        <v>38</v>
      </c>
      <c r="E197" s="3" t="s">
        <v>45</v>
      </c>
      <c r="F197" s="3" t="s">
        <v>46</v>
      </c>
      <c r="G197" s="4">
        <v>0.64583333333333337</v>
      </c>
      <c r="H197" s="4">
        <v>0.85416666666666663</v>
      </c>
      <c r="I197" t="s">
        <v>31</v>
      </c>
      <c r="J197">
        <v>1</v>
      </c>
      <c r="L197" s="46"/>
      <c r="P197">
        <v>145</v>
      </c>
      <c r="Q197">
        <v>0</v>
      </c>
      <c r="R197">
        <v>0</v>
      </c>
      <c r="S197" s="7">
        <f>Tabla1[[#This Row],[TARIFA]]+Tabla1[[#This Row],[IMPORTE EXTRAS]]</f>
        <v>145</v>
      </c>
      <c r="T197" t="s">
        <v>45</v>
      </c>
      <c r="U197">
        <v>145</v>
      </c>
      <c r="V197">
        <v>0</v>
      </c>
      <c r="W197">
        <v>0</v>
      </c>
      <c r="X197">
        <v>0</v>
      </c>
      <c r="Z197" s="7">
        <f>SUM(Tabla1[[#This Row],[RES-A]:[EXTR-B]])</f>
        <v>145</v>
      </c>
      <c r="AA197" s="7">
        <f>Tabla1[[#This Row],[Columna1]]-Tabla1[[#This Row],[IMPORTE TOTAL]]</f>
        <v>0</v>
      </c>
    </row>
    <row r="198" spans="1:27" x14ac:dyDescent="0.2">
      <c r="A198">
        <v>2021</v>
      </c>
      <c r="B198" t="s">
        <v>63</v>
      </c>
      <c r="C198" s="3">
        <v>44484</v>
      </c>
      <c r="D198" s="3" t="s">
        <v>41</v>
      </c>
      <c r="E198" s="3" t="s">
        <v>46</v>
      </c>
      <c r="F198" s="3" t="s">
        <v>46</v>
      </c>
      <c r="G198" s="4">
        <v>0.89583333333333337</v>
      </c>
      <c r="H198" s="4">
        <v>0.10416666666666667</v>
      </c>
      <c r="I198" t="s">
        <v>35</v>
      </c>
      <c r="J198">
        <v>1</v>
      </c>
      <c r="L198" s="46"/>
      <c r="P198">
        <v>195</v>
      </c>
      <c r="Q198">
        <v>1</v>
      </c>
      <c r="R198">
        <v>50</v>
      </c>
      <c r="S198" s="7">
        <f>Tabla1[[#This Row],[TARIFA]]+Tabla1[[#This Row],[IMPORTE EXTRAS]]</f>
        <v>245</v>
      </c>
      <c r="T198" t="s">
        <v>45</v>
      </c>
      <c r="U198">
        <v>145</v>
      </c>
      <c r="V198">
        <v>0</v>
      </c>
      <c r="W198">
        <v>0</v>
      </c>
      <c r="X198">
        <v>50</v>
      </c>
      <c r="Z198" s="7">
        <f>SUM(Tabla1[[#This Row],[RES-A]:[EXTR-B]])</f>
        <v>195</v>
      </c>
      <c r="AA198" s="7">
        <f>Tabla1[[#This Row],[Columna1]]-Tabla1[[#This Row],[IMPORTE TOTAL]]</f>
        <v>-50</v>
      </c>
    </row>
    <row r="199" spans="1:27" x14ac:dyDescent="0.2">
      <c r="A199">
        <v>2021</v>
      </c>
      <c r="B199" t="s">
        <v>63</v>
      </c>
      <c r="C199" s="3">
        <v>44485</v>
      </c>
      <c r="D199" s="3" t="s">
        <v>42</v>
      </c>
      <c r="E199" s="3" t="s">
        <v>46</v>
      </c>
      <c r="F199" s="3" t="s">
        <v>46</v>
      </c>
      <c r="G199" s="4">
        <v>0.64583333333333337</v>
      </c>
      <c r="H199" s="4">
        <v>2.0833333333333332E-2</v>
      </c>
      <c r="I199" t="s">
        <v>31</v>
      </c>
      <c r="J199">
        <v>1</v>
      </c>
      <c r="L199" s="46"/>
      <c r="P199">
        <v>195</v>
      </c>
      <c r="Q199">
        <v>0</v>
      </c>
      <c r="R199">
        <v>0</v>
      </c>
      <c r="S199" s="7">
        <f>Tabla1[[#This Row],[TARIFA]]+Tabla1[[#This Row],[IMPORTE EXTRAS]]</f>
        <v>195</v>
      </c>
      <c r="T199" t="s">
        <v>45</v>
      </c>
      <c r="U199">
        <v>50</v>
      </c>
      <c r="V199">
        <v>145</v>
      </c>
      <c r="W199">
        <v>0</v>
      </c>
      <c r="X199">
        <v>0</v>
      </c>
      <c r="Y199" t="s">
        <v>369</v>
      </c>
      <c r="Z199" s="7">
        <f>SUM(Tabla1[[#This Row],[RES-A]:[EXTR-B]])</f>
        <v>195</v>
      </c>
      <c r="AA199" s="7">
        <f>Tabla1[[#This Row],[Columna1]]-Tabla1[[#This Row],[IMPORTE TOTAL]]</f>
        <v>0</v>
      </c>
    </row>
    <row r="200" spans="1:27" x14ac:dyDescent="0.2">
      <c r="A200">
        <v>2021</v>
      </c>
      <c r="B200" t="s">
        <v>63</v>
      </c>
      <c r="C200" s="3">
        <v>44492</v>
      </c>
      <c r="D200" s="3" t="s">
        <v>42</v>
      </c>
      <c r="E200" s="3" t="s">
        <v>46</v>
      </c>
      <c r="F200" s="3" t="s">
        <v>46</v>
      </c>
      <c r="G200" s="4">
        <v>0.39583333333333331</v>
      </c>
      <c r="H200" s="4">
        <v>0.60416666666666663</v>
      </c>
      <c r="I200" t="s">
        <v>30</v>
      </c>
      <c r="J200">
        <v>1</v>
      </c>
      <c r="L200" s="46"/>
      <c r="P200">
        <v>145</v>
      </c>
      <c r="Q200">
        <v>0</v>
      </c>
      <c r="R200">
        <v>0</v>
      </c>
      <c r="S200" s="7">
        <f>Tabla1[[#This Row],[TARIFA]]+Tabla1[[#This Row],[IMPORTE EXTRAS]]</f>
        <v>145</v>
      </c>
      <c r="T200" t="s">
        <v>45</v>
      </c>
      <c r="U200">
        <v>145</v>
      </c>
      <c r="V200">
        <v>0</v>
      </c>
      <c r="W200">
        <v>0</v>
      </c>
      <c r="X200">
        <v>0</v>
      </c>
      <c r="Z200" s="7">
        <f>SUM(Tabla1[[#This Row],[RES-A]:[EXTR-B]])</f>
        <v>145</v>
      </c>
      <c r="AA200" s="7">
        <f>Tabla1[[#This Row],[Columna1]]-Tabla1[[#This Row],[IMPORTE TOTAL]]</f>
        <v>0</v>
      </c>
    </row>
    <row r="201" spans="1:27" x14ac:dyDescent="0.2">
      <c r="A201">
        <v>2021</v>
      </c>
      <c r="B201" t="s">
        <v>63</v>
      </c>
      <c r="C201" s="3">
        <v>44492</v>
      </c>
      <c r="D201" s="3" t="s">
        <v>42</v>
      </c>
      <c r="E201" s="3" t="s">
        <v>46</v>
      </c>
      <c r="F201" s="3" t="s">
        <v>46</v>
      </c>
      <c r="G201" s="4">
        <v>0.64583333333333337</v>
      </c>
      <c r="H201" s="4">
        <v>0.85416666666666663</v>
      </c>
      <c r="I201" t="s">
        <v>31</v>
      </c>
      <c r="J201">
        <v>1</v>
      </c>
      <c r="L201" s="46"/>
      <c r="P201">
        <v>145</v>
      </c>
      <c r="Q201">
        <v>1</v>
      </c>
      <c r="R201">
        <v>5</v>
      </c>
      <c r="S201" s="7">
        <f>Tabla1[[#This Row],[TARIFA]]+Tabla1[[#This Row],[IMPORTE EXTRAS]]</f>
        <v>150</v>
      </c>
      <c r="T201" t="s">
        <v>45</v>
      </c>
      <c r="U201">
        <v>50</v>
      </c>
      <c r="V201">
        <v>95</v>
      </c>
      <c r="W201">
        <v>0</v>
      </c>
      <c r="X201">
        <v>5</v>
      </c>
      <c r="Z201" s="7">
        <f>SUM(Tabla1[[#This Row],[RES-A]:[EXTR-B]])</f>
        <v>150</v>
      </c>
      <c r="AA201" s="7">
        <f>Tabla1[[#This Row],[Columna1]]-Tabla1[[#This Row],[IMPORTE TOTAL]]</f>
        <v>0</v>
      </c>
    </row>
    <row r="202" spans="1:27" x14ac:dyDescent="0.2">
      <c r="A202">
        <v>2021</v>
      </c>
      <c r="B202" t="s">
        <v>63</v>
      </c>
      <c r="C202" s="3">
        <v>44498</v>
      </c>
      <c r="D202" s="3" t="s">
        <v>41</v>
      </c>
      <c r="E202" s="3" t="s">
        <v>46</v>
      </c>
      <c r="F202" s="3" t="s">
        <v>46</v>
      </c>
      <c r="G202" s="4">
        <v>0.64583333333333337</v>
      </c>
      <c r="H202" s="4">
        <v>0.85416666666666663</v>
      </c>
      <c r="I202" t="s">
        <v>31</v>
      </c>
      <c r="J202">
        <v>1</v>
      </c>
      <c r="L202" s="46"/>
      <c r="P202">
        <v>135</v>
      </c>
      <c r="Q202">
        <v>1</v>
      </c>
      <c r="R202">
        <v>15</v>
      </c>
      <c r="S202" s="7">
        <f>Tabla1[[#This Row],[TARIFA]]+Tabla1[[#This Row],[IMPORTE EXTRAS]]</f>
        <v>150</v>
      </c>
      <c r="T202" t="s">
        <v>45</v>
      </c>
      <c r="U202">
        <v>50</v>
      </c>
      <c r="V202">
        <v>85</v>
      </c>
      <c r="W202">
        <v>0</v>
      </c>
      <c r="X202">
        <v>15</v>
      </c>
      <c r="Z202" s="7">
        <f>SUM(Tabla1[[#This Row],[RES-A]:[EXTR-B]])</f>
        <v>150</v>
      </c>
      <c r="AA202" s="7">
        <f>Tabla1[[#This Row],[Columna1]]-Tabla1[[#This Row],[IMPORTE TOTAL]]</f>
        <v>0</v>
      </c>
    </row>
    <row r="203" spans="1:27" x14ac:dyDescent="0.2">
      <c r="A203">
        <v>2021</v>
      </c>
      <c r="B203" t="s">
        <v>63</v>
      </c>
      <c r="C203" s="3">
        <v>44499</v>
      </c>
      <c r="D203" s="3" t="s">
        <v>42</v>
      </c>
      <c r="E203" s="3" t="s">
        <v>46</v>
      </c>
      <c r="F203" s="3" t="s">
        <v>46</v>
      </c>
      <c r="G203" s="4">
        <v>0.39583333333333331</v>
      </c>
      <c r="H203" s="4">
        <v>0.85416666666666663</v>
      </c>
      <c r="I203" t="s">
        <v>32</v>
      </c>
      <c r="J203">
        <v>2</v>
      </c>
      <c r="L203" s="46"/>
      <c r="P203">
        <v>270</v>
      </c>
      <c r="Q203">
        <v>0</v>
      </c>
      <c r="R203">
        <v>0</v>
      </c>
      <c r="S203" s="7">
        <f>Tabla1[[#This Row],[TARIFA]]+Tabla1[[#This Row],[IMPORTE EXTRAS]]</f>
        <v>270</v>
      </c>
      <c r="T203" t="s">
        <v>45</v>
      </c>
      <c r="U203">
        <v>50</v>
      </c>
      <c r="V203">
        <v>220</v>
      </c>
      <c r="W203">
        <v>0</v>
      </c>
      <c r="X203">
        <v>0</v>
      </c>
      <c r="Z203" s="7">
        <f>SUM(Tabla1[[#This Row],[RES-A]:[EXTR-B]])</f>
        <v>270</v>
      </c>
      <c r="AA203" s="7">
        <f>Tabla1[[#This Row],[Columna1]]-Tabla1[[#This Row],[IMPORTE TOTAL]]</f>
        <v>0</v>
      </c>
    </row>
    <row r="204" spans="1:27" x14ac:dyDescent="0.2">
      <c r="A204">
        <v>2021</v>
      </c>
      <c r="B204" t="s">
        <v>63</v>
      </c>
      <c r="C204" s="51">
        <v>44500</v>
      </c>
      <c r="D204" s="3" t="s">
        <v>43</v>
      </c>
      <c r="E204" s="3" t="s">
        <v>46</v>
      </c>
      <c r="F204" s="3" t="s">
        <v>45</v>
      </c>
      <c r="G204" s="4">
        <v>0.89583333333333337</v>
      </c>
      <c r="H204" s="4">
        <v>0.10416666666666667</v>
      </c>
      <c r="I204" t="s">
        <v>35</v>
      </c>
      <c r="J204">
        <v>1</v>
      </c>
      <c r="L204" s="46"/>
      <c r="P204">
        <v>250</v>
      </c>
      <c r="Q204">
        <v>0</v>
      </c>
      <c r="R204">
        <v>0</v>
      </c>
      <c r="S204" s="7">
        <f>Tabla1[[#This Row],[TARIFA]]+Tabla1[[#This Row],[IMPORTE EXTRAS]]</f>
        <v>250</v>
      </c>
      <c r="T204" t="s">
        <v>45</v>
      </c>
      <c r="U204">
        <v>250</v>
      </c>
      <c r="V204">
        <v>0</v>
      </c>
      <c r="W204">
        <v>0</v>
      </c>
      <c r="X204">
        <v>0</v>
      </c>
      <c r="Y204" s="49" t="s">
        <v>326</v>
      </c>
      <c r="Z204">
        <f>SUM(Tabla1[[#This Row],[RES-A]:[EXTR-B]])</f>
        <v>250</v>
      </c>
      <c r="AA204">
        <f>Tabla1[[#This Row],[Columna1]]-Tabla1[[#This Row],[IMPORTE TOTAL]]</f>
        <v>0</v>
      </c>
    </row>
    <row r="205" spans="1:27" x14ac:dyDescent="0.2">
      <c r="A205">
        <v>2021</v>
      </c>
      <c r="B205" t="s">
        <v>64</v>
      </c>
      <c r="C205" s="51">
        <v>44504</v>
      </c>
      <c r="D205" s="3" t="s">
        <v>40</v>
      </c>
      <c r="E205" s="3" t="s">
        <v>46</v>
      </c>
      <c r="F205" s="3" t="s">
        <v>46</v>
      </c>
      <c r="G205" s="4">
        <v>0.64583333333333337</v>
      </c>
      <c r="H205" s="4">
        <v>0.85416666666666663</v>
      </c>
      <c r="I205" t="s">
        <v>31</v>
      </c>
      <c r="J205">
        <v>1</v>
      </c>
      <c r="L205" s="46"/>
      <c r="P205">
        <v>95</v>
      </c>
      <c r="Q205">
        <v>0</v>
      </c>
      <c r="R205">
        <v>0</v>
      </c>
      <c r="S205" s="7">
        <f>Tabla1[[#This Row],[TARIFA]]+Tabla1[[#This Row],[IMPORTE EXTRAS]]</f>
        <v>95</v>
      </c>
      <c r="T205" t="s">
        <v>45</v>
      </c>
      <c r="U205">
        <v>95</v>
      </c>
      <c r="V205">
        <v>0</v>
      </c>
      <c r="W205">
        <v>0</v>
      </c>
      <c r="X205">
        <v>0</v>
      </c>
      <c r="Y205" s="49"/>
      <c r="Z205" s="7">
        <f>SUM(Tabla1[[#This Row],[RES-A]:[EXTR-B]])</f>
        <v>95</v>
      </c>
      <c r="AA205" s="7">
        <f>Tabla1[[#This Row],[Columna1]]-Tabla1[[#This Row],[IMPORTE TOTAL]]</f>
        <v>0</v>
      </c>
    </row>
    <row r="206" spans="1:27" x14ac:dyDescent="0.2">
      <c r="A206">
        <v>2021</v>
      </c>
      <c r="B206" t="s">
        <v>64</v>
      </c>
      <c r="C206" s="51">
        <v>44506</v>
      </c>
      <c r="D206" s="3" t="s">
        <v>42</v>
      </c>
      <c r="E206" s="3" t="s">
        <v>46</v>
      </c>
      <c r="F206" s="3" t="s">
        <v>46</v>
      </c>
      <c r="G206" s="4">
        <v>0.39583333333333331</v>
      </c>
      <c r="H206" s="4">
        <v>0.60416666666666663</v>
      </c>
      <c r="I206" t="s">
        <v>30</v>
      </c>
      <c r="J206">
        <v>1</v>
      </c>
      <c r="L206" s="46"/>
      <c r="P206">
        <v>145</v>
      </c>
      <c r="Q206">
        <v>0</v>
      </c>
      <c r="R206">
        <v>0</v>
      </c>
      <c r="S206" s="7">
        <f>Tabla1[[#This Row],[TARIFA]]+Tabla1[[#This Row],[IMPORTE EXTRAS]]</f>
        <v>145</v>
      </c>
      <c r="T206" t="s">
        <v>45</v>
      </c>
      <c r="U206">
        <v>50</v>
      </c>
      <c r="V206">
        <v>95</v>
      </c>
      <c r="W206">
        <v>0</v>
      </c>
      <c r="X206">
        <v>0</v>
      </c>
      <c r="Y206" s="49"/>
      <c r="Z206" s="7">
        <f>SUM(Tabla1[[#This Row],[RES-A]:[EXTR-B]])</f>
        <v>145</v>
      </c>
      <c r="AA206" s="7">
        <f>Tabla1[[#This Row],[Columna1]]-Tabla1[[#This Row],[IMPORTE TOTAL]]</f>
        <v>0</v>
      </c>
    </row>
    <row r="207" spans="1:27" x14ac:dyDescent="0.2">
      <c r="A207">
        <v>2021</v>
      </c>
      <c r="B207" t="s">
        <v>64</v>
      </c>
      <c r="C207" s="51">
        <v>44506</v>
      </c>
      <c r="D207" s="3" t="s">
        <v>42</v>
      </c>
      <c r="E207" s="3" t="s">
        <v>46</v>
      </c>
      <c r="F207" s="3" t="s">
        <v>46</v>
      </c>
      <c r="G207" s="4">
        <v>0.64583333333333337</v>
      </c>
      <c r="H207" s="4">
        <v>0.10416666666666667</v>
      </c>
      <c r="I207" t="s">
        <v>32</v>
      </c>
      <c r="J207">
        <v>2</v>
      </c>
      <c r="L207" s="46"/>
      <c r="P207">
        <v>300</v>
      </c>
      <c r="Q207">
        <v>0</v>
      </c>
      <c r="R207">
        <v>0</v>
      </c>
      <c r="S207" s="7">
        <f>Tabla1[[#This Row],[TARIFA]]+Tabla1[[#This Row],[IMPORTE EXTRAS]]</f>
        <v>300</v>
      </c>
      <c r="T207" t="s">
        <v>45</v>
      </c>
      <c r="U207">
        <v>50</v>
      </c>
      <c r="V207">
        <v>250</v>
      </c>
      <c r="W207">
        <v>0</v>
      </c>
      <c r="X207">
        <v>0</v>
      </c>
      <c r="Y207" s="49"/>
      <c r="Z207" s="7">
        <f>SUM(Tabla1[[#This Row],[RES-A]:[EXTR-B]])</f>
        <v>300</v>
      </c>
      <c r="AA207" s="7">
        <f>Tabla1[[#This Row],[Columna1]]-Tabla1[[#This Row],[IMPORTE TOTAL]]</f>
        <v>0</v>
      </c>
    </row>
    <row r="208" spans="1:27" x14ac:dyDescent="0.2">
      <c r="A208">
        <v>2021</v>
      </c>
      <c r="B208" t="s">
        <v>64</v>
      </c>
      <c r="C208" s="51">
        <v>44507</v>
      </c>
      <c r="D208" s="3" t="s">
        <v>43</v>
      </c>
      <c r="E208" s="3" t="s">
        <v>46</v>
      </c>
      <c r="F208" s="3" t="s">
        <v>46</v>
      </c>
      <c r="G208" s="4">
        <v>0.64583333333333337</v>
      </c>
      <c r="H208" s="4">
        <v>0.85416666666666663</v>
      </c>
      <c r="I208" t="s">
        <v>31</v>
      </c>
      <c r="J208">
        <v>1</v>
      </c>
      <c r="L208" s="46"/>
      <c r="P208">
        <v>145</v>
      </c>
      <c r="Q208">
        <v>0</v>
      </c>
      <c r="R208">
        <v>0</v>
      </c>
      <c r="S208" s="7">
        <f>Tabla1[[#This Row],[TARIFA]]+Tabla1[[#This Row],[IMPORTE EXTRAS]]</f>
        <v>145</v>
      </c>
      <c r="T208" t="s">
        <v>45</v>
      </c>
      <c r="U208">
        <v>145</v>
      </c>
      <c r="V208">
        <v>0</v>
      </c>
      <c r="W208">
        <v>0</v>
      </c>
      <c r="X208">
        <v>0</v>
      </c>
      <c r="Y208" s="49"/>
      <c r="Z208" s="7">
        <f>SUM(Tabla1[[#This Row],[RES-A]:[EXTR-B]])</f>
        <v>145</v>
      </c>
      <c r="AA208" s="7">
        <f>Tabla1[[#This Row],[Columna1]]-Tabla1[[#This Row],[IMPORTE TOTAL]]</f>
        <v>0</v>
      </c>
    </row>
    <row r="209" spans="1:27" x14ac:dyDescent="0.2">
      <c r="A209">
        <v>2021</v>
      </c>
      <c r="B209" t="s">
        <v>64</v>
      </c>
      <c r="C209" s="51">
        <v>44513</v>
      </c>
      <c r="D209" s="3" t="s">
        <v>42</v>
      </c>
      <c r="E209" s="3" t="s">
        <v>46</v>
      </c>
      <c r="F209" s="3" t="s">
        <v>46</v>
      </c>
      <c r="G209" s="4">
        <v>0.64583333333333337</v>
      </c>
      <c r="H209" s="4">
        <v>0.85416666666666663</v>
      </c>
      <c r="I209" t="s">
        <v>31</v>
      </c>
      <c r="J209">
        <v>1</v>
      </c>
      <c r="L209" s="46"/>
      <c r="P209">
        <v>145</v>
      </c>
      <c r="Q209">
        <v>0</v>
      </c>
      <c r="R209">
        <v>0</v>
      </c>
      <c r="S209" s="7">
        <f>Tabla1[[#This Row],[TARIFA]]+Tabla1[[#This Row],[IMPORTE EXTRAS]]</f>
        <v>145</v>
      </c>
      <c r="T209" t="s">
        <v>45</v>
      </c>
      <c r="U209">
        <v>145</v>
      </c>
      <c r="V209">
        <v>0</v>
      </c>
      <c r="W209">
        <v>0</v>
      </c>
      <c r="X209">
        <v>0</v>
      </c>
      <c r="Y209" s="49"/>
      <c r="Z209" s="7">
        <f>SUM(Tabla1[[#This Row],[RES-A]:[EXTR-B]])</f>
        <v>145</v>
      </c>
      <c r="AA209" s="7">
        <f>Tabla1[[#This Row],[Columna1]]-Tabla1[[#This Row],[IMPORTE TOTAL]]</f>
        <v>0</v>
      </c>
    </row>
    <row r="210" spans="1:27" x14ac:dyDescent="0.2">
      <c r="A210">
        <v>2021</v>
      </c>
      <c r="B210" t="s">
        <v>64</v>
      </c>
      <c r="C210" s="51">
        <v>44513</v>
      </c>
      <c r="D210" s="3" t="s">
        <v>42</v>
      </c>
      <c r="E210" s="3" t="s">
        <v>46</v>
      </c>
      <c r="F210" s="3" t="s">
        <v>46</v>
      </c>
      <c r="G210" s="4">
        <v>0.89583333333333337</v>
      </c>
      <c r="H210" s="4">
        <v>0.10416666666666667</v>
      </c>
      <c r="I210" t="s">
        <v>35</v>
      </c>
      <c r="J210">
        <v>1</v>
      </c>
      <c r="L210" s="46"/>
      <c r="P210">
        <v>195</v>
      </c>
      <c r="Q210">
        <v>1</v>
      </c>
      <c r="R210">
        <v>50</v>
      </c>
      <c r="S210" s="7">
        <f>Tabla1[[#This Row],[TARIFA]]+Tabla1[[#This Row],[IMPORTE EXTRAS]]</f>
        <v>245</v>
      </c>
      <c r="T210" t="s">
        <v>45</v>
      </c>
      <c r="U210">
        <v>195</v>
      </c>
      <c r="V210">
        <v>0</v>
      </c>
      <c r="W210">
        <v>50</v>
      </c>
      <c r="X210">
        <v>0</v>
      </c>
      <c r="Y210" s="49" t="s">
        <v>376</v>
      </c>
      <c r="Z210" s="7">
        <f>SUM(Tabla1[[#This Row],[RES-A]:[EXTR-B]])</f>
        <v>245</v>
      </c>
      <c r="AA210" s="7">
        <f>Tabla1[[#This Row],[Columna1]]-Tabla1[[#This Row],[IMPORTE TOTAL]]</f>
        <v>0</v>
      </c>
    </row>
    <row r="211" spans="1:27" x14ac:dyDescent="0.2">
      <c r="A211">
        <v>2021</v>
      </c>
      <c r="B211" t="s">
        <v>64</v>
      </c>
      <c r="C211" s="51">
        <v>44514</v>
      </c>
      <c r="D211" s="3" t="s">
        <v>43</v>
      </c>
      <c r="E211" s="3" t="s">
        <v>46</v>
      </c>
      <c r="F211" s="3" t="s">
        <v>46</v>
      </c>
      <c r="G211" s="4">
        <v>0.39583333333333331</v>
      </c>
      <c r="H211" s="4">
        <v>0.60416666666666663</v>
      </c>
      <c r="I211" t="s">
        <v>30</v>
      </c>
      <c r="J211">
        <v>1</v>
      </c>
      <c r="L211" s="46"/>
      <c r="P211">
        <v>145</v>
      </c>
      <c r="Q211">
        <v>0</v>
      </c>
      <c r="R211">
        <v>0</v>
      </c>
      <c r="S211" s="7">
        <f>Tabla1[[#This Row],[TARIFA]]+Tabla1[[#This Row],[IMPORTE EXTRAS]]</f>
        <v>145</v>
      </c>
      <c r="T211" t="s">
        <v>45</v>
      </c>
      <c r="U211">
        <v>50</v>
      </c>
      <c r="V211">
        <v>95</v>
      </c>
      <c r="W211">
        <v>0</v>
      </c>
      <c r="X211">
        <v>0</v>
      </c>
      <c r="Y211" s="49"/>
      <c r="Z211" s="7">
        <f>SUM(Tabla1[[#This Row],[RES-A]:[EXTR-B]])</f>
        <v>145</v>
      </c>
      <c r="AA211" s="7">
        <f>Tabla1[[#This Row],[Columna1]]-Tabla1[[#This Row],[IMPORTE TOTAL]]</f>
        <v>0</v>
      </c>
    </row>
    <row r="212" spans="1:27" x14ac:dyDescent="0.2">
      <c r="A212">
        <v>2021</v>
      </c>
      <c r="B212" t="s">
        <v>64</v>
      </c>
      <c r="C212" s="51">
        <v>44514</v>
      </c>
      <c r="D212" s="3" t="s">
        <v>43</v>
      </c>
      <c r="E212" s="3" t="s">
        <v>46</v>
      </c>
      <c r="F212" s="3" t="s">
        <v>46</v>
      </c>
      <c r="G212" s="4">
        <v>0.64583333333333337</v>
      </c>
      <c r="H212" s="4">
        <v>0.85416666666666663</v>
      </c>
      <c r="I212" t="s">
        <v>31</v>
      </c>
      <c r="J212">
        <v>1</v>
      </c>
      <c r="L212" s="46"/>
      <c r="P212">
        <v>145</v>
      </c>
      <c r="Q212">
        <v>0</v>
      </c>
      <c r="R212">
        <v>0</v>
      </c>
      <c r="S212" s="7">
        <f>Tabla1[[#This Row],[TARIFA]]+Tabla1[[#This Row],[IMPORTE EXTRAS]]</f>
        <v>145</v>
      </c>
      <c r="T212" t="s">
        <v>45</v>
      </c>
      <c r="U212">
        <v>50</v>
      </c>
      <c r="V212">
        <v>95</v>
      </c>
      <c r="W212">
        <v>0</v>
      </c>
      <c r="X212">
        <v>0</v>
      </c>
      <c r="Y212" s="49"/>
      <c r="Z212" s="7">
        <f>SUM(Tabla1[[#This Row],[RES-A]:[EXTR-B]])</f>
        <v>145</v>
      </c>
      <c r="AA212" s="7">
        <f>Tabla1[[#This Row],[Columna1]]-Tabla1[[#This Row],[IMPORTE TOTAL]]</f>
        <v>0</v>
      </c>
    </row>
    <row r="213" spans="1:27" x14ac:dyDescent="0.2">
      <c r="A213">
        <v>2021</v>
      </c>
      <c r="B213" t="s">
        <v>64</v>
      </c>
      <c r="C213" s="51">
        <v>44521</v>
      </c>
      <c r="D213" s="3" t="s">
        <v>41</v>
      </c>
      <c r="E213" s="3" t="s">
        <v>46</v>
      </c>
      <c r="F213" s="3" t="s">
        <v>46</v>
      </c>
      <c r="G213" s="4">
        <v>0.89583333333333337</v>
      </c>
      <c r="H213" s="4">
        <v>0.10416666666666667</v>
      </c>
      <c r="I213" t="s">
        <v>35</v>
      </c>
      <c r="J213">
        <v>1</v>
      </c>
      <c r="L213" s="46"/>
      <c r="P213">
        <v>195</v>
      </c>
      <c r="Q213">
        <v>1</v>
      </c>
      <c r="R213">
        <v>50</v>
      </c>
      <c r="S213" s="7">
        <f>Tabla1[[#This Row],[TARIFA]]+Tabla1[[#This Row],[IMPORTE EXTRAS]]</f>
        <v>245</v>
      </c>
      <c r="T213" t="s">
        <v>45</v>
      </c>
      <c r="U213">
        <v>195</v>
      </c>
      <c r="V213">
        <v>0</v>
      </c>
      <c r="W213">
        <v>50</v>
      </c>
      <c r="X213">
        <v>0</v>
      </c>
      <c r="Y213" s="49"/>
      <c r="Z213" s="7">
        <f>SUM(Tabla1[[#This Row],[RES-A]:[EXTR-B]])</f>
        <v>245</v>
      </c>
      <c r="AA213" s="7">
        <f>Tabla1[[#This Row],[Columna1]]-Tabla1[[#This Row],[IMPORTE TOTAL]]</f>
        <v>0</v>
      </c>
    </row>
    <row r="214" spans="1:27" x14ac:dyDescent="0.2">
      <c r="A214">
        <v>2021</v>
      </c>
      <c r="B214" t="s">
        <v>64</v>
      </c>
      <c r="C214" s="51">
        <v>44521</v>
      </c>
      <c r="D214" s="3" t="s">
        <v>43</v>
      </c>
      <c r="E214" s="3" t="s">
        <v>46</v>
      </c>
      <c r="F214" s="3" t="s">
        <v>46</v>
      </c>
      <c r="G214" s="4">
        <v>0.39583333333333331</v>
      </c>
      <c r="H214" s="4">
        <v>0.85416666666666663</v>
      </c>
      <c r="I214" t="s">
        <v>32</v>
      </c>
      <c r="J214">
        <v>2</v>
      </c>
      <c r="L214" s="46"/>
      <c r="P214">
        <v>200</v>
      </c>
      <c r="Q214">
        <v>0</v>
      </c>
      <c r="R214">
        <v>0</v>
      </c>
      <c r="S214" s="7">
        <f>Tabla1[[#This Row],[TARIFA]]+Tabla1[[#This Row],[IMPORTE EXTRAS]]</f>
        <v>200</v>
      </c>
      <c r="T214" t="s">
        <v>45</v>
      </c>
      <c r="U214">
        <v>0</v>
      </c>
      <c r="V214">
        <v>200</v>
      </c>
      <c r="W214">
        <v>0</v>
      </c>
      <c r="X214">
        <v>0</v>
      </c>
      <c r="Y214" s="49" t="s">
        <v>377</v>
      </c>
      <c r="Z214" s="7">
        <f>SUM(Tabla1[[#This Row],[RES-A]:[EXTR-B]])</f>
        <v>200</v>
      </c>
      <c r="AA214" s="7">
        <f>Tabla1[[#This Row],[Columna1]]-Tabla1[[#This Row],[IMPORTE TOTAL]]</f>
        <v>0</v>
      </c>
    </row>
    <row r="215" spans="1:27" x14ac:dyDescent="0.2">
      <c r="A215">
        <v>2021</v>
      </c>
      <c r="B215" t="s">
        <v>64</v>
      </c>
      <c r="C215" s="51">
        <v>44526</v>
      </c>
      <c r="D215" s="3" t="s">
        <v>41</v>
      </c>
      <c r="E215" s="3" t="s">
        <v>46</v>
      </c>
      <c r="F215" s="3" t="s">
        <v>46</v>
      </c>
      <c r="G215" s="4">
        <v>0.64583333333333337</v>
      </c>
      <c r="H215" s="4">
        <v>0.85416666666666663</v>
      </c>
      <c r="I215" t="s">
        <v>31</v>
      </c>
      <c r="J215">
        <v>1</v>
      </c>
      <c r="L215" s="46"/>
      <c r="P215">
        <v>135</v>
      </c>
      <c r="Q215">
        <v>0</v>
      </c>
      <c r="R215">
        <v>0</v>
      </c>
      <c r="S215" s="7">
        <f>Tabla1[[#This Row],[TARIFA]]+Tabla1[[#This Row],[IMPORTE EXTRAS]]</f>
        <v>135</v>
      </c>
      <c r="T215" t="s">
        <v>45</v>
      </c>
      <c r="U215">
        <v>135</v>
      </c>
      <c r="V215">
        <v>0</v>
      </c>
      <c r="W215">
        <v>0</v>
      </c>
      <c r="X215">
        <v>0</v>
      </c>
      <c r="Y215" s="49"/>
      <c r="Z215" s="7">
        <f>SUM(Tabla1[[#This Row],[RES-A]:[EXTR-B]])</f>
        <v>135</v>
      </c>
      <c r="AA215" s="7">
        <f>Tabla1[[#This Row],[Columna1]]-Tabla1[[#This Row],[IMPORTE TOTAL]]</f>
        <v>0</v>
      </c>
    </row>
    <row r="216" spans="1:27" x14ac:dyDescent="0.2">
      <c r="A216">
        <v>2021</v>
      </c>
      <c r="B216" t="s">
        <v>64</v>
      </c>
      <c r="C216" s="51">
        <v>44527</v>
      </c>
      <c r="D216" s="3" t="s">
        <v>42</v>
      </c>
      <c r="E216" s="3" t="s">
        <v>46</v>
      </c>
      <c r="F216" s="3" t="s">
        <v>46</v>
      </c>
      <c r="G216" s="4">
        <v>0.64583333333333337</v>
      </c>
      <c r="H216" s="4">
        <v>0.85416666666666663</v>
      </c>
      <c r="I216" t="s">
        <v>31</v>
      </c>
      <c r="J216">
        <v>1</v>
      </c>
      <c r="L216" s="46"/>
      <c r="P216">
        <v>145</v>
      </c>
      <c r="Q216">
        <v>0</v>
      </c>
      <c r="R216">
        <v>0</v>
      </c>
      <c r="S216" s="7">
        <f>Tabla1[[#This Row],[TARIFA]]+Tabla1[[#This Row],[IMPORTE EXTRAS]]</f>
        <v>145</v>
      </c>
      <c r="T216" t="s">
        <v>46</v>
      </c>
      <c r="U216">
        <v>0</v>
      </c>
      <c r="V216">
        <v>0</v>
      </c>
      <c r="W216">
        <v>0</v>
      </c>
      <c r="X216">
        <v>0</v>
      </c>
      <c r="Y216" s="49" t="s">
        <v>177</v>
      </c>
      <c r="Z216" s="7">
        <f>SUM(Tabla1[[#This Row],[RES-A]:[EXTR-B]])</f>
        <v>0</v>
      </c>
      <c r="AA216" s="7">
        <f>Tabla1[[#This Row],[Columna1]]-Tabla1[[#This Row],[IMPORTE TOTAL]]</f>
        <v>-145</v>
      </c>
    </row>
    <row r="217" spans="1:27" x14ac:dyDescent="0.2">
      <c r="A217">
        <v>2021</v>
      </c>
      <c r="B217" t="s">
        <v>64</v>
      </c>
      <c r="C217" s="51">
        <v>44527</v>
      </c>
      <c r="D217" s="3" t="s">
        <v>42</v>
      </c>
      <c r="E217" s="3" t="s">
        <v>46</v>
      </c>
      <c r="F217" s="3" t="s">
        <v>46</v>
      </c>
      <c r="G217" s="4">
        <v>0.89583333333333337</v>
      </c>
      <c r="H217" s="4">
        <v>0.10416666666666667</v>
      </c>
      <c r="I217" t="s">
        <v>35</v>
      </c>
      <c r="J217">
        <v>1</v>
      </c>
      <c r="L217" s="46"/>
      <c r="P217">
        <v>195</v>
      </c>
      <c r="Q217">
        <v>1</v>
      </c>
      <c r="R217">
        <v>5</v>
      </c>
      <c r="S217" s="7">
        <f>Tabla1[[#This Row],[TARIFA]]+Tabla1[[#This Row],[IMPORTE EXTRAS]]</f>
        <v>200</v>
      </c>
      <c r="T217" t="s">
        <v>45</v>
      </c>
      <c r="U217">
        <v>50</v>
      </c>
      <c r="V217">
        <v>145</v>
      </c>
      <c r="W217">
        <v>0</v>
      </c>
      <c r="X217">
        <v>5</v>
      </c>
      <c r="Y217" s="49"/>
      <c r="Z217" s="7">
        <f>SUM(Tabla1[[#This Row],[RES-A]:[EXTR-B]])</f>
        <v>200</v>
      </c>
      <c r="AA217" s="7">
        <f>Tabla1[[#This Row],[Columna1]]-Tabla1[[#This Row],[IMPORTE TOTAL]]</f>
        <v>0</v>
      </c>
    </row>
    <row r="218" spans="1:27" x14ac:dyDescent="0.2">
      <c r="A218">
        <v>2021</v>
      </c>
      <c r="B218" t="s">
        <v>65</v>
      </c>
      <c r="C218" s="51">
        <v>44533</v>
      </c>
      <c r="D218" s="3" t="s">
        <v>41</v>
      </c>
      <c r="E218" s="3" t="s">
        <v>46</v>
      </c>
      <c r="F218" s="3" t="s">
        <v>46</v>
      </c>
      <c r="G218" s="4">
        <v>0.39583333333333331</v>
      </c>
      <c r="H218" s="4">
        <v>0.10416666666666667</v>
      </c>
      <c r="I218" t="s">
        <v>32</v>
      </c>
      <c r="J218">
        <v>3</v>
      </c>
      <c r="L218" s="46"/>
      <c r="P218">
        <v>325</v>
      </c>
      <c r="Q218">
        <v>0</v>
      </c>
      <c r="R218">
        <v>0</v>
      </c>
      <c r="S218" s="7">
        <f>Tabla1[[#This Row],[TARIFA]]+Tabla1[[#This Row],[IMPORTE EXTRAS]]</f>
        <v>325</v>
      </c>
      <c r="T218" t="s">
        <v>45</v>
      </c>
      <c r="U218">
        <v>50</v>
      </c>
      <c r="V218">
        <v>275</v>
      </c>
      <c r="W218">
        <v>0</v>
      </c>
      <c r="X218">
        <v>0</v>
      </c>
      <c r="Y218" s="49"/>
      <c r="Z218" s="7">
        <f>SUM(Tabla1[[#This Row],[RES-A]:[EXTR-B]])</f>
        <v>325</v>
      </c>
      <c r="AA218" s="7">
        <f>Tabla1[[#This Row],[Columna1]]-Tabla1[[#This Row],[IMPORTE TOTAL]]</f>
        <v>0</v>
      </c>
    </row>
    <row r="219" spans="1:27" x14ac:dyDescent="0.2">
      <c r="A219">
        <v>2021</v>
      </c>
      <c r="B219" t="s">
        <v>65</v>
      </c>
      <c r="C219" s="51">
        <v>44534</v>
      </c>
      <c r="D219" s="3" t="s">
        <v>42</v>
      </c>
      <c r="E219" s="3" t="s">
        <v>46</v>
      </c>
      <c r="F219" s="3" t="s">
        <v>46</v>
      </c>
      <c r="G219" s="4">
        <v>0.39583333333333331</v>
      </c>
      <c r="H219" s="4">
        <v>0.85416666666666663</v>
      </c>
      <c r="I219" t="s">
        <v>32</v>
      </c>
      <c r="J219">
        <v>2</v>
      </c>
      <c r="L219" s="46"/>
      <c r="P219">
        <v>270</v>
      </c>
      <c r="Q219">
        <v>0</v>
      </c>
      <c r="R219">
        <v>0</v>
      </c>
      <c r="S219" s="7">
        <f>Tabla1[[#This Row],[TARIFA]]+Tabla1[[#This Row],[IMPORTE EXTRAS]]</f>
        <v>270</v>
      </c>
      <c r="T219" t="s">
        <v>45</v>
      </c>
      <c r="U219">
        <v>50</v>
      </c>
      <c r="V219">
        <v>220</v>
      </c>
      <c r="W219">
        <v>0</v>
      </c>
      <c r="X219">
        <v>0</v>
      </c>
      <c r="Y219" s="49"/>
      <c r="Z219" s="7">
        <f>SUM(Tabla1[[#This Row],[RES-A]:[EXTR-B]])</f>
        <v>270</v>
      </c>
      <c r="AA219" s="7">
        <f>Tabla1[[#This Row],[Columna1]]-Tabla1[[#This Row],[IMPORTE TOTAL]]</f>
        <v>0</v>
      </c>
    </row>
    <row r="220" spans="1:27" x14ac:dyDescent="0.2">
      <c r="A220">
        <v>2021</v>
      </c>
      <c r="B220" t="s">
        <v>65</v>
      </c>
      <c r="C220" s="51">
        <v>44534</v>
      </c>
      <c r="D220" s="3" t="s">
        <v>42</v>
      </c>
      <c r="E220" s="3" t="s">
        <v>46</v>
      </c>
      <c r="F220" s="3" t="s">
        <v>46</v>
      </c>
      <c r="G220" s="4">
        <v>0.89583333333333337</v>
      </c>
      <c r="H220" s="4">
        <v>0.10416666666666667</v>
      </c>
      <c r="I220" t="s">
        <v>35</v>
      </c>
      <c r="J220">
        <v>1</v>
      </c>
      <c r="L220" s="46"/>
      <c r="P220">
        <v>195</v>
      </c>
      <c r="Q220">
        <v>1</v>
      </c>
      <c r="R220">
        <v>50</v>
      </c>
      <c r="S220" s="7">
        <f>Tabla1[[#This Row],[TARIFA]]+Tabla1[[#This Row],[IMPORTE EXTRAS]]</f>
        <v>245</v>
      </c>
      <c r="T220" t="s">
        <v>45</v>
      </c>
      <c r="U220">
        <v>195</v>
      </c>
      <c r="V220">
        <v>0</v>
      </c>
      <c r="W220">
        <v>50</v>
      </c>
      <c r="X220">
        <v>0</v>
      </c>
      <c r="Y220" s="49" t="s">
        <v>378</v>
      </c>
      <c r="Z220" s="7">
        <f>SUM(Tabla1[[#This Row],[RES-A]:[EXTR-B]])</f>
        <v>245</v>
      </c>
      <c r="AA220" s="7">
        <f>Tabla1[[#This Row],[Columna1]]-Tabla1[[#This Row],[IMPORTE TOTAL]]</f>
        <v>0</v>
      </c>
    </row>
    <row r="221" spans="1:27" x14ac:dyDescent="0.2">
      <c r="A221">
        <v>2021</v>
      </c>
      <c r="B221" t="s">
        <v>65</v>
      </c>
      <c r="C221" s="51">
        <v>44535</v>
      </c>
      <c r="D221" s="3" t="s">
        <v>43</v>
      </c>
      <c r="E221" s="3" t="s">
        <v>46</v>
      </c>
      <c r="F221" s="3" t="s">
        <v>46</v>
      </c>
      <c r="G221" s="4">
        <v>0.64583333333333337</v>
      </c>
      <c r="H221" s="4">
        <v>0.85416666666666663</v>
      </c>
      <c r="I221" t="s">
        <v>31</v>
      </c>
      <c r="J221">
        <v>1</v>
      </c>
      <c r="L221" s="46"/>
      <c r="P221">
        <v>145</v>
      </c>
      <c r="Q221">
        <v>0</v>
      </c>
      <c r="R221">
        <v>0</v>
      </c>
      <c r="S221" s="7">
        <f>Tabla1[[#This Row],[TARIFA]]+Tabla1[[#This Row],[IMPORTE EXTRAS]]</f>
        <v>145</v>
      </c>
      <c r="T221" t="s">
        <v>45</v>
      </c>
      <c r="U221">
        <v>50</v>
      </c>
      <c r="V221">
        <v>95</v>
      </c>
      <c r="W221">
        <v>0</v>
      </c>
      <c r="X221">
        <v>0</v>
      </c>
      <c r="Y221" s="49"/>
      <c r="Z221" s="7">
        <f>SUM(Tabla1[[#This Row],[RES-A]:[EXTR-B]])</f>
        <v>145</v>
      </c>
      <c r="AA221" s="7">
        <f>Tabla1[[#This Row],[Columna1]]-Tabla1[[#This Row],[IMPORTE TOTAL]]</f>
        <v>0</v>
      </c>
    </row>
    <row r="222" spans="1:27" x14ac:dyDescent="0.2">
      <c r="A222">
        <v>2021</v>
      </c>
      <c r="B222" t="s">
        <v>65</v>
      </c>
      <c r="C222" s="51">
        <v>44535</v>
      </c>
      <c r="D222" s="3" t="s">
        <v>43</v>
      </c>
      <c r="E222" s="3" t="s">
        <v>46</v>
      </c>
      <c r="F222" s="3" t="s">
        <v>46</v>
      </c>
      <c r="G222" s="4">
        <v>0.89583333333333337</v>
      </c>
      <c r="H222" s="4">
        <v>0.10416666666666667</v>
      </c>
      <c r="I222" t="s">
        <v>35</v>
      </c>
      <c r="J222">
        <v>1</v>
      </c>
      <c r="L222" s="46"/>
      <c r="P222">
        <v>195</v>
      </c>
      <c r="Q222">
        <v>1</v>
      </c>
      <c r="R222">
        <v>25</v>
      </c>
      <c r="S222" s="7">
        <f>Tabla1[[#This Row],[TARIFA]]+Tabla1[[#This Row],[IMPORTE EXTRAS]]</f>
        <v>220</v>
      </c>
      <c r="T222" t="s">
        <v>45</v>
      </c>
      <c r="U222">
        <v>195</v>
      </c>
      <c r="V222">
        <v>0</v>
      </c>
      <c r="W222">
        <v>0</v>
      </c>
      <c r="X222">
        <v>25</v>
      </c>
      <c r="Y222" s="49"/>
      <c r="Z222" s="7">
        <f>SUM(Tabla1[[#This Row],[RES-A]:[EXTR-B]])</f>
        <v>220</v>
      </c>
      <c r="AA222" s="7">
        <f>Tabla1[[#This Row],[Columna1]]-Tabla1[[#This Row],[IMPORTE TOTAL]]</f>
        <v>0</v>
      </c>
    </row>
    <row r="223" spans="1:27" x14ac:dyDescent="0.2">
      <c r="A223">
        <v>2021</v>
      </c>
      <c r="B223" t="s">
        <v>65</v>
      </c>
      <c r="C223" s="51">
        <v>44538</v>
      </c>
      <c r="D223" s="3" t="s">
        <v>39</v>
      </c>
      <c r="E223" s="3" t="s">
        <v>45</v>
      </c>
      <c r="F223" s="3" t="s">
        <v>46</v>
      </c>
      <c r="G223" s="4">
        <v>0.39583333333333331</v>
      </c>
      <c r="H223" s="4">
        <v>0.70833333333333337</v>
      </c>
      <c r="I223" t="s">
        <v>33</v>
      </c>
      <c r="J223">
        <v>2</v>
      </c>
      <c r="L223" s="46"/>
      <c r="P223">
        <v>145</v>
      </c>
      <c r="Q223">
        <v>1</v>
      </c>
      <c r="R223">
        <v>20</v>
      </c>
      <c r="S223" s="7">
        <f>Tabla1[[#This Row],[TARIFA]]+Tabla1[[#This Row],[IMPORTE EXTRAS]]</f>
        <v>165</v>
      </c>
      <c r="T223" t="s">
        <v>45</v>
      </c>
      <c r="U223">
        <v>145</v>
      </c>
      <c r="V223">
        <v>0</v>
      </c>
      <c r="W223">
        <v>20</v>
      </c>
      <c r="X223">
        <v>0</v>
      </c>
      <c r="Y223" s="49"/>
      <c r="Z223" s="7">
        <f>SUM(Tabla1[[#This Row],[RES-A]:[EXTR-B]])</f>
        <v>165</v>
      </c>
      <c r="AA223" s="7">
        <f>Tabla1[[#This Row],[Columna1]]-Tabla1[[#This Row],[IMPORTE TOTAL]]</f>
        <v>0</v>
      </c>
    </row>
    <row r="224" spans="1:27" x14ac:dyDescent="0.2">
      <c r="A224">
        <v>2021</v>
      </c>
      <c r="B224" t="s">
        <v>65</v>
      </c>
      <c r="C224" s="51">
        <v>44540</v>
      </c>
      <c r="D224" s="3" t="s">
        <v>41</v>
      </c>
      <c r="E224" s="3" t="s">
        <v>46</v>
      </c>
      <c r="F224" s="3" t="s">
        <v>46</v>
      </c>
      <c r="G224" s="4">
        <v>0.89583333333333337</v>
      </c>
      <c r="H224" s="4">
        <v>0.10416666666666667</v>
      </c>
      <c r="I224" t="s">
        <v>35</v>
      </c>
      <c r="J224">
        <v>1</v>
      </c>
      <c r="L224" s="46"/>
      <c r="P224">
        <v>195</v>
      </c>
      <c r="Q224">
        <v>1</v>
      </c>
      <c r="R224">
        <v>50</v>
      </c>
      <c r="S224" s="7">
        <f>Tabla1[[#This Row],[TARIFA]]+Tabla1[[#This Row],[IMPORTE EXTRAS]]</f>
        <v>245</v>
      </c>
      <c r="T224" t="s">
        <v>45</v>
      </c>
      <c r="U224">
        <v>195</v>
      </c>
      <c r="V224">
        <v>0</v>
      </c>
      <c r="W224">
        <v>50</v>
      </c>
      <c r="X224">
        <v>0</v>
      </c>
      <c r="Y224" s="49"/>
      <c r="Z224" s="7">
        <f>SUM(Tabla1[[#This Row],[RES-A]:[EXTR-B]])</f>
        <v>245</v>
      </c>
      <c r="AA224" s="7">
        <f>Tabla1[[#This Row],[Columna1]]-Tabla1[[#This Row],[IMPORTE TOTAL]]</f>
        <v>0</v>
      </c>
    </row>
    <row r="225" spans="1:27" x14ac:dyDescent="0.2">
      <c r="A225">
        <v>2021</v>
      </c>
      <c r="B225" t="s">
        <v>65</v>
      </c>
      <c r="C225" s="51">
        <v>44541</v>
      </c>
      <c r="D225" s="3" t="s">
        <v>42</v>
      </c>
      <c r="E225" s="3" t="s">
        <v>46</v>
      </c>
      <c r="F225" s="3" t="s">
        <v>46</v>
      </c>
      <c r="G225" s="4">
        <v>0.64583333333333337</v>
      </c>
      <c r="H225" s="4">
        <v>0.85416666666666663</v>
      </c>
      <c r="I225" t="s">
        <v>31</v>
      </c>
      <c r="J225">
        <v>1</v>
      </c>
      <c r="L225" s="46"/>
      <c r="P225">
        <v>145</v>
      </c>
      <c r="Q225">
        <v>0</v>
      </c>
      <c r="R225">
        <v>0</v>
      </c>
      <c r="S225" s="7">
        <f>Tabla1[[#This Row],[TARIFA]]+Tabla1[[#This Row],[IMPORTE EXTRAS]]</f>
        <v>145</v>
      </c>
      <c r="T225" t="s">
        <v>45</v>
      </c>
      <c r="U225">
        <v>50</v>
      </c>
      <c r="V225">
        <v>95</v>
      </c>
      <c r="W225">
        <v>0</v>
      </c>
      <c r="X225">
        <v>0</v>
      </c>
      <c r="Y225" s="49"/>
      <c r="Z225" s="7">
        <f>SUM(Tabla1[[#This Row],[RES-A]:[EXTR-B]])</f>
        <v>145</v>
      </c>
      <c r="AA225" s="7">
        <f>Tabla1[[#This Row],[Columna1]]-Tabla1[[#This Row],[IMPORTE TOTAL]]</f>
        <v>0</v>
      </c>
    </row>
    <row r="226" spans="1:27" x14ac:dyDescent="0.2">
      <c r="A226">
        <v>2021</v>
      </c>
      <c r="B226" t="s">
        <v>65</v>
      </c>
      <c r="C226" s="51">
        <v>44541</v>
      </c>
      <c r="D226" s="3" t="s">
        <v>42</v>
      </c>
      <c r="E226" s="3" t="s">
        <v>46</v>
      </c>
      <c r="F226" s="3" t="s">
        <v>46</v>
      </c>
      <c r="G226" s="4">
        <v>0.89583333333333337</v>
      </c>
      <c r="H226" s="4">
        <v>0.10416666666666667</v>
      </c>
      <c r="I226" t="s">
        <v>35</v>
      </c>
      <c r="J226">
        <v>1</v>
      </c>
      <c r="L226" s="46"/>
      <c r="P226">
        <v>195</v>
      </c>
      <c r="Q226">
        <v>0</v>
      </c>
      <c r="R226">
        <v>0</v>
      </c>
      <c r="S226" s="7">
        <f>Tabla1[[#This Row],[TARIFA]]+Tabla1[[#This Row],[IMPORTE EXTRAS]]</f>
        <v>195</v>
      </c>
      <c r="T226" t="s">
        <v>45</v>
      </c>
      <c r="U226">
        <v>195</v>
      </c>
      <c r="V226">
        <v>0</v>
      </c>
      <c r="W226">
        <v>0</v>
      </c>
      <c r="X226">
        <v>0</v>
      </c>
      <c r="Y226" s="49"/>
      <c r="Z226" s="7">
        <f>SUM(Tabla1[[#This Row],[RES-A]:[EXTR-B]])</f>
        <v>195</v>
      </c>
      <c r="AA226" s="7">
        <f>Tabla1[[#This Row],[Columna1]]-Tabla1[[#This Row],[IMPORTE TOTAL]]</f>
        <v>0</v>
      </c>
    </row>
    <row r="227" spans="1:27" x14ac:dyDescent="0.2">
      <c r="A227">
        <v>2021</v>
      </c>
      <c r="B227" t="s">
        <v>65</v>
      </c>
      <c r="C227" s="51">
        <v>44547</v>
      </c>
      <c r="D227" s="3" t="s">
        <v>41</v>
      </c>
      <c r="E227" s="3" t="s">
        <v>46</v>
      </c>
      <c r="F227" s="3" t="s">
        <v>46</v>
      </c>
      <c r="G227" s="4">
        <v>0.64583333333333337</v>
      </c>
      <c r="H227" s="4">
        <v>0.85416666666666663</v>
      </c>
      <c r="I227" t="s">
        <v>31</v>
      </c>
      <c r="J227">
        <v>1</v>
      </c>
      <c r="L227" s="46"/>
      <c r="P227">
        <v>135</v>
      </c>
      <c r="Q227">
        <v>0</v>
      </c>
      <c r="R227">
        <v>0</v>
      </c>
      <c r="S227" s="7">
        <f>Tabla1[[#This Row],[TARIFA]]+Tabla1[[#This Row],[IMPORTE EXTRAS]]</f>
        <v>135</v>
      </c>
      <c r="T227" t="s">
        <v>46</v>
      </c>
      <c r="U227">
        <v>0</v>
      </c>
      <c r="V227">
        <v>0</v>
      </c>
      <c r="W227">
        <v>0</v>
      </c>
      <c r="X227">
        <v>0</v>
      </c>
      <c r="Y227" s="49" t="s">
        <v>177</v>
      </c>
      <c r="Z227" s="7">
        <f>SUM(Tabla1[[#This Row],[RES-A]:[EXTR-B]])</f>
        <v>0</v>
      </c>
      <c r="AA227" s="7">
        <f>Tabla1[[#This Row],[Columna1]]-Tabla1[[#This Row],[IMPORTE TOTAL]]</f>
        <v>-135</v>
      </c>
    </row>
    <row r="228" spans="1:27" x14ac:dyDescent="0.2">
      <c r="A228">
        <v>2021</v>
      </c>
      <c r="B228" t="s">
        <v>65</v>
      </c>
      <c r="C228" s="51">
        <v>44547</v>
      </c>
      <c r="D228" s="3" t="s">
        <v>41</v>
      </c>
      <c r="E228" s="3" t="s">
        <v>46</v>
      </c>
      <c r="F228" s="3" t="s">
        <v>46</v>
      </c>
      <c r="G228" s="4">
        <v>0.89583333333333337</v>
      </c>
      <c r="H228" s="4">
        <v>0.10416666666666667</v>
      </c>
      <c r="I228" t="s">
        <v>35</v>
      </c>
      <c r="J228">
        <v>1</v>
      </c>
      <c r="L228" s="46"/>
      <c r="P228">
        <v>195</v>
      </c>
      <c r="Q228">
        <v>1</v>
      </c>
      <c r="R228">
        <v>50</v>
      </c>
      <c r="S228" s="7">
        <f>Tabla1[[#This Row],[TARIFA]]+Tabla1[[#This Row],[IMPORTE EXTRAS]]</f>
        <v>245</v>
      </c>
      <c r="T228" t="s">
        <v>45</v>
      </c>
      <c r="U228">
        <v>50</v>
      </c>
      <c r="V228">
        <v>145</v>
      </c>
      <c r="W228">
        <v>0</v>
      </c>
      <c r="X228">
        <v>50</v>
      </c>
      <c r="Y228" s="49"/>
      <c r="Z228" s="7">
        <f>SUM(Tabla1[[#This Row],[RES-A]:[EXTR-B]])</f>
        <v>245</v>
      </c>
      <c r="AA228" s="7">
        <f>Tabla1[[#This Row],[Columna1]]-Tabla1[[#This Row],[IMPORTE TOTAL]]</f>
        <v>0</v>
      </c>
    </row>
    <row r="229" spans="1:27" x14ac:dyDescent="0.2">
      <c r="A229">
        <v>2021</v>
      </c>
      <c r="B229" t="s">
        <v>65</v>
      </c>
      <c r="C229" s="51">
        <v>44548</v>
      </c>
      <c r="D229" s="3" t="s">
        <v>42</v>
      </c>
      <c r="E229" s="3" t="s">
        <v>46</v>
      </c>
      <c r="F229" s="3" t="s">
        <v>46</v>
      </c>
      <c r="G229" s="4">
        <v>0.39583333333333331</v>
      </c>
      <c r="H229" s="4">
        <v>0.85416666666666663</v>
      </c>
      <c r="I229" t="s">
        <v>32</v>
      </c>
      <c r="J229">
        <v>2</v>
      </c>
      <c r="L229" s="46"/>
      <c r="P229">
        <v>270</v>
      </c>
      <c r="Q229">
        <v>0</v>
      </c>
      <c r="R229">
        <v>0</v>
      </c>
      <c r="S229" s="7">
        <f>Tabla1[[#This Row],[TARIFA]]+Tabla1[[#This Row],[IMPORTE EXTRAS]]</f>
        <v>270</v>
      </c>
      <c r="T229" t="s">
        <v>45</v>
      </c>
      <c r="U229">
        <v>50</v>
      </c>
      <c r="V229">
        <v>220</v>
      </c>
      <c r="W229">
        <v>0</v>
      </c>
      <c r="X229">
        <v>0</v>
      </c>
      <c r="Y229" s="49"/>
      <c r="Z229" s="7">
        <f>SUM(Tabla1[[#This Row],[RES-A]:[EXTR-B]])</f>
        <v>270</v>
      </c>
      <c r="AA229" s="7">
        <f>Tabla1[[#This Row],[Columna1]]-Tabla1[[#This Row],[IMPORTE TOTAL]]</f>
        <v>0</v>
      </c>
    </row>
    <row r="230" spans="1:27" x14ac:dyDescent="0.2">
      <c r="A230">
        <v>2021</v>
      </c>
      <c r="B230" t="s">
        <v>65</v>
      </c>
      <c r="C230" s="51">
        <v>44548</v>
      </c>
      <c r="D230" s="3" t="s">
        <v>42</v>
      </c>
      <c r="E230" s="3" t="s">
        <v>46</v>
      </c>
      <c r="F230" s="3" t="s">
        <v>46</v>
      </c>
      <c r="G230" s="4">
        <v>0.89583333333333337</v>
      </c>
      <c r="H230" s="4">
        <v>0.10416666666666667</v>
      </c>
      <c r="I230" t="s">
        <v>35</v>
      </c>
      <c r="J230">
        <v>1</v>
      </c>
      <c r="L230" s="46"/>
      <c r="P230">
        <v>195</v>
      </c>
      <c r="Q230">
        <v>0</v>
      </c>
      <c r="R230">
        <v>0</v>
      </c>
      <c r="S230" s="7">
        <f>Tabla1[[#This Row],[TARIFA]]+Tabla1[[#This Row],[IMPORTE EXTRAS]]</f>
        <v>195</v>
      </c>
      <c r="T230" t="s">
        <v>55</v>
      </c>
      <c r="U230">
        <v>50</v>
      </c>
      <c r="V230">
        <v>0</v>
      </c>
      <c r="W230">
        <v>0</v>
      </c>
      <c r="X230">
        <v>0</v>
      </c>
      <c r="Y230" s="49" t="s">
        <v>178</v>
      </c>
      <c r="Z230" s="7">
        <f>SUM(Tabla1[[#This Row],[RES-A]:[EXTR-B]])</f>
        <v>50</v>
      </c>
      <c r="AA230" s="7">
        <f>Tabla1[[#This Row],[Columna1]]-Tabla1[[#This Row],[IMPORTE TOTAL]]</f>
        <v>-145</v>
      </c>
    </row>
    <row r="231" spans="1:27" x14ac:dyDescent="0.2">
      <c r="A231">
        <v>2021</v>
      </c>
      <c r="B231" t="s">
        <v>65</v>
      </c>
      <c r="C231" s="51">
        <v>44549</v>
      </c>
      <c r="D231" s="3" t="s">
        <v>43</v>
      </c>
      <c r="E231" s="3" t="s">
        <v>46</v>
      </c>
      <c r="F231" s="3" t="s">
        <v>46</v>
      </c>
      <c r="G231" s="4">
        <v>0.39583333333333331</v>
      </c>
      <c r="H231" s="4">
        <v>0.60416666666666663</v>
      </c>
      <c r="I231" t="s">
        <v>30</v>
      </c>
      <c r="J231">
        <v>1</v>
      </c>
      <c r="L231" s="46"/>
      <c r="P231">
        <v>145</v>
      </c>
      <c r="Q231">
        <v>0</v>
      </c>
      <c r="R231">
        <v>0</v>
      </c>
      <c r="S231" s="7">
        <f>Tabla1[[#This Row],[TARIFA]]+Tabla1[[#This Row],[IMPORTE EXTRAS]]</f>
        <v>145</v>
      </c>
      <c r="T231" t="s">
        <v>45</v>
      </c>
      <c r="U231">
        <v>145</v>
      </c>
      <c r="V231">
        <v>0</v>
      </c>
      <c r="W231">
        <v>0</v>
      </c>
      <c r="X231">
        <v>0</v>
      </c>
      <c r="Y231" s="49"/>
      <c r="Z231" s="7">
        <f>SUM(Tabla1[[#This Row],[RES-A]:[EXTR-B]])</f>
        <v>145</v>
      </c>
      <c r="AA231" s="7">
        <f>Tabla1[[#This Row],[Columna1]]-Tabla1[[#This Row],[IMPORTE TOTAL]]</f>
        <v>0</v>
      </c>
    </row>
    <row r="232" spans="1:27" x14ac:dyDescent="0.2">
      <c r="A232">
        <v>2021</v>
      </c>
      <c r="B232" t="s">
        <v>65</v>
      </c>
      <c r="C232" s="51">
        <v>44549</v>
      </c>
      <c r="D232" s="3" t="s">
        <v>43</v>
      </c>
      <c r="E232" s="3" t="s">
        <v>46</v>
      </c>
      <c r="F232" s="3" t="s">
        <v>46</v>
      </c>
      <c r="G232" s="4">
        <v>0.64583333333333337</v>
      </c>
      <c r="H232" s="4">
        <v>0.85416666666666663</v>
      </c>
      <c r="I232" t="s">
        <v>31</v>
      </c>
      <c r="J232">
        <v>1</v>
      </c>
      <c r="L232" s="46"/>
      <c r="P232">
        <v>145</v>
      </c>
      <c r="Q232">
        <v>1</v>
      </c>
      <c r="R232">
        <v>5</v>
      </c>
      <c r="S232" s="7">
        <f>Tabla1[[#This Row],[TARIFA]]+Tabla1[[#This Row],[IMPORTE EXTRAS]]</f>
        <v>150</v>
      </c>
      <c r="T232" t="s">
        <v>45</v>
      </c>
      <c r="U232">
        <v>50</v>
      </c>
      <c r="V232">
        <v>95</v>
      </c>
      <c r="W232">
        <v>0</v>
      </c>
      <c r="X232">
        <v>5</v>
      </c>
      <c r="Y232" s="49"/>
      <c r="Z232" s="7">
        <f>SUM(Tabla1[[#This Row],[RES-A]:[EXTR-B]])</f>
        <v>150</v>
      </c>
      <c r="AA232" s="7">
        <f>Tabla1[[#This Row],[Columna1]]-Tabla1[[#This Row],[IMPORTE TOTAL]]</f>
        <v>0</v>
      </c>
    </row>
    <row r="233" spans="1:27" x14ac:dyDescent="0.2">
      <c r="A233">
        <v>2021</v>
      </c>
      <c r="B233" t="s">
        <v>65</v>
      </c>
      <c r="C233" s="3">
        <v>44553</v>
      </c>
      <c r="D233" s="3" t="s">
        <v>40</v>
      </c>
      <c r="E233" s="3" t="s">
        <v>46</v>
      </c>
      <c r="F233" s="3" t="s">
        <v>46</v>
      </c>
      <c r="G233" s="4">
        <v>0.89583333333333337</v>
      </c>
      <c r="H233" s="4">
        <v>0.22916666666666666</v>
      </c>
      <c r="I233" t="s">
        <v>35</v>
      </c>
      <c r="J233">
        <v>1</v>
      </c>
      <c r="L233" s="46"/>
      <c r="P233">
        <v>195</v>
      </c>
      <c r="Q233">
        <v>1</v>
      </c>
      <c r="R233">
        <v>50</v>
      </c>
      <c r="S233" s="7">
        <f>Tabla1[[#This Row],[TARIFA]]+Tabla1[[#This Row],[IMPORTE EXTRAS]]</f>
        <v>245</v>
      </c>
      <c r="T233" t="s">
        <v>55</v>
      </c>
      <c r="U233">
        <v>50</v>
      </c>
      <c r="V233">
        <v>0</v>
      </c>
      <c r="W233">
        <v>0</v>
      </c>
      <c r="X233">
        <v>0</v>
      </c>
      <c r="Y233" s="49" t="s">
        <v>178</v>
      </c>
      <c r="Z233" s="7">
        <f>SUM(Tabla1[[#This Row],[RES-A]:[EXTR-B]])</f>
        <v>50</v>
      </c>
      <c r="AA233" s="7">
        <f>Tabla1[[#This Row],[Columna1]]-Tabla1[[#This Row],[IMPORTE TOTAL]]</f>
        <v>-195</v>
      </c>
    </row>
    <row r="234" spans="1:27" x14ac:dyDescent="0.2">
      <c r="A234">
        <v>2021</v>
      </c>
      <c r="B234" t="s">
        <v>65</v>
      </c>
      <c r="C234" s="3">
        <v>44554</v>
      </c>
      <c r="D234" s="3" t="s">
        <v>41</v>
      </c>
      <c r="E234" s="3" t="s">
        <v>46</v>
      </c>
      <c r="F234" s="3" t="s">
        <v>45</v>
      </c>
      <c r="G234" s="4">
        <v>0.89583333333333337</v>
      </c>
      <c r="H234" s="4">
        <v>0.10416666666666667</v>
      </c>
      <c r="I234" t="s">
        <v>35</v>
      </c>
      <c r="J234">
        <v>1</v>
      </c>
      <c r="L234" s="46"/>
      <c r="P234">
        <v>300</v>
      </c>
      <c r="Q234">
        <v>0</v>
      </c>
      <c r="R234">
        <v>0</v>
      </c>
      <c r="S234" s="7">
        <f>Tabla1[[#This Row],[TARIFA]]+Tabla1[[#This Row],[IMPORTE EXTRAS]]</f>
        <v>300</v>
      </c>
      <c r="T234" t="s">
        <v>46</v>
      </c>
      <c r="U234">
        <v>0</v>
      </c>
      <c r="V234">
        <v>0</v>
      </c>
      <c r="W234">
        <v>0</v>
      </c>
      <c r="X234">
        <v>0</v>
      </c>
      <c r="Y234" t="s">
        <v>177</v>
      </c>
      <c r="Z234">
        <f>SUM(Tabla1[[#This Row],[RES-A]:[EXTR-B]])</f>
        <v>0</v>
      </c>
      <c r="AA234">
        <f>Tabla1[[#This Row],[Columna1]]-Tabla1[[#This Row],[IMPORTE TOTAL]]</f>
        <v>-300</v>
      </c>
    </row>
    <row r="235" spans="1:27" x14ac:dyDescent="0.2">
      <c r="A235">
        <v>2021</v>
      </c>
      <c r="B235" t="s">
        <v>65</v>
      </c>
      <c r="C235" s="3">
        <v>44555</v>
      </c>
      <c r="D235" s="3" t="s">
        <v>42</v>
      </c>
      <c r="E235" s="3" t="s">
        <v>45</v>
      </c>
      <c r="F235" s="3" t="s">
        <v>45</v>
      </c>
      <c r="G235" s="4">
        <v>0.45833333333333331</v>
      </c>
      <c r="H235" s="4">
        <v>0.91666666666666663</v>
      </c>
      <c r="I235" t="s">
        <v>32</v>
      </c>
      <c r="J235">
        <v>2</v>
      </c>
      <c r="L235" s="46"/>
      <c r="P235">
        <v>320</v>
      </c>
      <c r="Q235">
        <v>0</v>
      </c>
      <c r="R235">
        <v>0</v>
      </c>
      <c r="S235" s="7">
        <f>Tabla1[[#This Row],[TARIFA]]+Tabla1[[#This Row],[IMPORTE EXTRAS]]</f>
        <v>320</v>
      </c>
      <c r="T235" t="s">
        <v>46</v>
      </c>
      <c r="U235">
        <v>0</v>
      </c>
      <c r="V235">
        <v>0</v>
      </c>
      <c r="W235">
        <v>0</v>
      </c>
      <c r="X235">
        <v>0</v>
      </c>
      <c r="Y235" t="s">
        <v>177</v>
      </c>
      <c r="Z235" s="7">
        <f>SUM(Tabla1[[#This Row],[RES-A]:[EXTR-B]])</f>
        <v>0</v>
      </c>
      <c r="AA235" s="7">
        <f>Tabla1[[#This Row],[Columna1]]-Tabla1[[#This Row],[IMPORTE TOTAL]]</f>
        <v>-320</v>
      </c>
    </row>
    <row r="236" spans="1:27" x14ac:dyDescent="0.2">
      <c r="A236">
        <v>2021</v>
      </c>
      <c r="B236" t="s">
        <v>65</v>
      </c>
      <c r="C236" s="3">
        <v>44556</v>
      </c>
      <c r="D236" s="3" t="s">
        <v>43</v>
      </c>
      <c r="E236" s="3" t="s">
        <v>45</v>
      </c>
      <c r="F236" s="3" t="s">
        <v>45</v>
      </c>
      <c r="G236" s="4">
        <v>0.45833333333333331</v>
      </c>
      <c r="H236" s="4">
        <v>0.85416666666666663</v>
      </c>
      <c r="I236" t="s">
        <v>32</v>
      </c>
      <c r="J236">
        <v>2</v>
      </c>
      <c r="L236" s="46"/>
      <c r="P236">
        <v>250</v>
      </c>
      <c r="Q236">
        <v>0</v>
      </c>
      <c r="R236">
        <v>0</v>
      </c>
      <c r="S236" s="7">
        <f>Tabla1[[#This Row],[TARIFA]]+Tabla1[[#This Row],[IMPORTE EXTRAS]]</f>
        <v>250</v>
      </c>
      <c r="T236" t="s">
        <v>46</v>
      </c>
      <c r="U236">
        <v>0</v>
      </c>
      <c r="V236">
        <v>0</v>
      </c>
      <c r="W236">
        <v>0</v>
      </c>
      <c r="X236">
        <v>0</v>
      </c>
      <c r="Y236" t="s">
        <v>177</v>
      </c>
      <c r="Z236" s="7">
        <f>SUM(Tabla1[[#This Row],[RES-A]:[EXTR-B]])</f>
        <v>0</v>
      </c>
      <c r="AA236" s="7">
        <f>Tabla1[[#This Row],[Columna1]]-Tabla1[[#This Row],[IMPORTE TOTAL]]</f>
        <v>-250</v>
      </c>
    </row>
    <row r="237" spans="1:27" x14ac:dyDescent="0.2">
      <c r="A237">
        <v>2021</v>
      </c>
      <c r="B237" t="s">
        <v>65</v>
      </c>
      <c r="C237" s="3">
        <v>44560</v>
      </c>
      <c r="D237" s="3" t="s">
        <v>40</v>
      </c>
      <c r="E237" s="3" t="s">
        <v>46</v>
      </c>
      <c r="F237" s="3" t="s">
        <v>46</v>
      </c>
      <c r="G237" s="4">
        <v>0.79166666666666663</v>
      </c>
      <c r="H237" s="4">
        <v>0.95833333333333337</v>
      </c>
      <c r="I237" t="s">
        <v>31</v>
      </c>
      <c r="J237">
        <v>1</v>
      </c>
      <c r="L237" s="46"/>
      <c r="P237">
        <v>95</v>
      </c>
      <c r="Q237">
        <v>0</v>
      </c>
      <c r="R237">
        <v>0</v>
      </c>
      <c r="S237" s="7">
        <f>Tabla1[[#This Row],[TARIFA]]+Tabla1[[#This Row],[IMPORTE EXTRAS]]</f>
        <v>95</v>
      </c>
      <c r="T237" t="s">
        <v>45</v>
      </c>
      <c r="U237">
        <v>50</v>
      </c>
      <c r="V237">
        <v>45</v>
      </c>
      <c r="W237">
        <v>0</v>
      </c>
      <c r="X237">
        <v>0</v>
      </c>
      <c r="Z237" s="7">
        <f>SUM(Tabla1[[#This Row],[RES-A]:[EXTR-B]])</f>
        <v>95</v>
      </c>
      <c r="AA237" s="7">
        <f>Tabla1[[#This Row],[Columna1]]-Tabla1[[#This Row],[IMPORTE TOTAL]]</f>
        <v>0</v>
      </c>
    </row>
    <row r="238" spans="1:27" x14ac:dyDescent="0.2">
      <c r="A238">
        <v>2021</v>
      </c>
      <c r="B238" t="s">
        <v>65</v>
      </c>
      <c r="C238" s="3">
        <v>44561</v>
      </c>
      <c r="D238" s="3" t="s">
        <v>41</v>
      </c>
      <c r="E238" s="3" t="s">
        <v>46</v>
      </c>
      <c r="F238" s="3" t="s">
        <v>45</v>
      </c>
      <c r="G238" s="4">
        <v>0.64583333333333337</v>
      </c>
      <c r="H238" s="4">
        <v>0.25</v>
      </c>
      <c r="I238" t="s">
        <v>53</v>
      </c>
      <c r="J238">
        <v>1</v>
      </c>
      <c r="L238" s="46"/>
      <c r="P238">
        <v>300</v>
      </c>
      <c r="Q238">
        <v>0</v>
      </c>
      <c r="R238">
        <v>0</v>
      </c>
      <c r="S238" s="7">
        <f>Tabla1[[#This Row],[TARIFA]]+Tabla1[[#This Row],[IMPORTE EXTRAS]]</f>
        <v>300</v>
      </c>
      <c r="T238" t="s">
        <v>45</v>
      </c>
      <c r="U238">
        <v>300</v>
      </c>
      <c r="V238">
        <v>0</v>
      </c>
      <c r="W238">
        <v>0</v>
      </c>
      <c r="X238">
        <v>0</v>
      </c>
      <c r="Y238" t="s">
        <v>324</v>
      </c>
      <c r="Z238" s="7">
        <f>SUM(Tabla1[[#This Row],[RES-A]:[EXTR-B]])</f>
        <v>300</v>
      </c>
      <c r="AA238" s="7">
        <f>Tabla1[[#This Row],[Columna1]]-Tabla1[[#This Row],[IMPORTE TOTAL]]</f>
        <v>0</v>
      </c>
    </row>
    <row r="239" spans="1:27" x14ac:dyDescent="0.2">
      <c r="A239">
        <v>2022</v>
      </c>
      <c r="B239" t="s">
        <v>48</v>
      </c>
      <c r="C239" s="3">
        <v>44562</v>
      </c>
      <c r="D239" s="3" t="s">
        <v>42</v>
      </c>
      <c r="E239" s="3" t="s">
        <v>45</v>
      </c>
      <c r="F239" s="3" t="s">
        <v>46</v>
      </c>
      <c r="G239" s="4">
        <v>0.52083333333333337</v>
      </c>
      <c r="H239" s="4">
        <v>0.85416666666666663</v>
      </c>
      <c r="I239" t="s">
        <v>33</v>
      </c>
      <c r="J239">
        <v>2</v>
      </c>
      <c r="L239" s="46"/>
      <c r="P239">
        <v>145</v>
      </c>
      <c r="Q239">
        <v>0</v>
      </c>
      <c r="R239">
        <v>0</v>
      </c>
      <c r="S239">
        <f>Tabla1[[#This Row],[TARIFA]]+Tabla1[[#This Row],[IMPORTE EXTRAS]]</f>
        <v>145</v>
      </c>
      <c r="T239" t="s">
        <v>45</v>
      </c>
      <c r="U239">
        <v>50</v>
      </c>
      <c r="V239">
        <v>95</v>
      </c>
      <c r="W239">
        <v>0</v>
      </c>
      <c r="X239">
        <v>0</v>
      </c>
      <c r="Z239">
        <f>SUM(Tabla1[[#This Row],[RES-A]:[EXTR-B]])</f>
        <v>145</v>
      </c>
      <c r="AA239">
        <f>Tabla1[[#This Row],[Columna1]]-Tabla1[[#This Row],[IMPORTE TOTAL]]</f>
        <v>0</v>
      </c>
    </row>
    <row r="240" spans="1:27" x14ac:dyDescent="0.2">
      <c r="A240">
        <v>2022</v>
      </c>
      <c r="B240" t="s">
        <v>48</v>
      </c>
      <c r="C240" s="3">
        <v>44563</v>
      </c>
      <c r="D240" s="3" t="s">
        <v>43</v>
      </c>
      <c r="E240" s="3" t="s">
        <v>46</v>
      </c>
      <c r="F240" s="3" t="s">
        <v>46</v>
      </c>
      <c r="G240" s="4">
        <v>0.64583333333333337</v>
      </c>
      <c r="H240" s="4">
        <v>0.85416666666666663</v>
      </c>
      <c r="I240" t="s">
        <v>31</v>
      </c>
      <c r="J240">
        <v>1</v>
      </c>
      <c r="L240" s="46"/>
      <c r="P240">
        <v>145</v>
      </c>
      <c r="Q240">
        <v>0</v>
      </c>
      <c r="R240">
        <v>0</v>
      </c>
      <c r="S240" s="7">
        <f>Tabla1[[#This Row],[TARIFA]]+Tabla1[[#This Row],[IMPORTE EXTRAS]]</f>
        <v>145</v>
      </c>
      <c r="T240" t="s">
        <v>55</v>
      </c>
      <c r="U240">
        <v>50</v>
      </c>
      <c r="V240">
        <v>0</v>
      </c>
      <c r="W240">
        <v>0</v>
      </c>
      <c r="X240">
        <v>0</v>
      </c>
      <c r="Y240" t="s">
        <v>178</v>
      </c>
      <c r="Z240" s="7">
        <f>SUM(Tabla1[[#This Row],[RES-A]:[EXTR-B]])</f>
        <v>50</v>
      </c>
      <c r="AA240" s="7">
        <f>Tabla1[[#This Row],[Columna1]]-Tabla1[[#This Row],[IMPORTE TOTAL]]</f>
        <v>-95</v>
      </c>
    </row>
    <row r="241" spans="1:27" x14ac:dyDescent="0.2">
      <c r="A241">
        <v>2022</v>
      </c>
      <c r="B241" t="s">
        <v>48</v>
      </c>
      <c r="C241" s="3">
        <v>44565</v>
      </c>
      <c r="D241" s="3" t="s">
        <v>38</v>
      </c>
      <c r="E241" s="3" t="s">
        <v>46</v>
      </c>
      <c r="F241" s="3" t="s">
        <v>46</v>
      </c>
      <c r="G241" s="4">
        <v>0.64583333333333337</v>
      </c>
      <c r="H241" s="4">
        <v>4.1666666666666664E-2</v>
      </c>
      <c r="I241" t="s">
        <v>31</v>
      </c>
      <c r="J241">
        <v>1</v>
      </c>
      <c r="L241" s="46"/>
      <c r="P241">
        <v>195</v>
      </c>
      <c r="Q241">
        <v>1</v>
      </c>
      <c r="R241">
        <v>100</v>
      </c>
      <c r="S241" s="7">
        <f>Tabla1[[#This Row],[TARIFA]]+Tabla1[[#This Row],[IMPORTE EXTRAS]]</f>
        <v>295</v>
      </c>
      <c r="T241" t="s">
        <v>45</v>
      </c>
      <c r="U241">
        <v>50</v>
      </c>
      <c r="V241">
        <v>145</v>
      </c>
      <c r="W241">
        <v>0</v>
      </c>
      <c r="X241">
        <v>100</v>
      </c>
      <c r="Z241" s="7">
        <f>SUM(Tabla1[[#This Row],[RES-A]:[EXTR-B]])</f>
        <v>295</v>
      </c>
      <c r="AA241" s="7">
        <f>Tabla1[[#This Row],[Columna1]]-Tabla1[[#This Row],[IMPORTE TOTAL]]</f>
        <v>0</v>
      </c>
    </row>
    <row r="242" spans="1:27" x14ac:dyDescent="0.2">
      <c r="A242">
        <v>2022</v>
      </c>
      <c r="B242" t="s">
        <v>48</v>
      </c>
      <c r="C242" s="3">
        <v>44566</v>
      </c>
      <c r="D242" s="3" t="s">
        <v>39</v>
      </c>
      <c r="E242" s="3" t="s">
        <v>46</v>
      </c>
      <c r="F242" s="3" t="s">
        <v>45</v>
      </c>
      <c r="G242" s="4">
        <v>0.70833333333333337</v>
      </c>
      <c r="H242" s="4">
        <v>0</v>
      </c>
      <c r="I242" t="s">
        <v>31</v>
      </c>
      <c r="J242">
        <v>1</v>
      </c>
      <c r="L242" s="46"/>
      <c r="P242">
        <v>170</v>
      </c>
      <c r="Q242">
        <v>0</v>
      </c>
      <c r="R242">
        <v>0</v>
      </c>
      <c r="S242" s="7">
        <f>Tabla1[[#This Row],[TARIFA]]+Tabla1[[#This Row],[IMPORTE EXTRAS]]</f>
        <v>170</v>
      </c>
      <c r="T242" t="s">
        <v>45</v>
      </c>
      <c r="U242">
        <v>170</v>
      </c>
      <c r="V242">
        <v>0</v>
      </c>
      <c r="W242">
        <v>0</v>
      </c>
      <c r="X242">
        <v>0</v>
      </c>
      <c r="Z242" s="7">
        <f>SUM(Tabla1[[#This Row],[RES-A]:[EXTR-B]])</f>
        <v>170</v>
      </c>
      <c r="AA242" s="7">
        <f>Tabla1[[#This Row],[Columna1]]-Tabla1[[#This Row],[IMPORTE TOTAL]]</f>
        <v>0</v>
      </c>
    </row>
    <row r="243" spans="1:27" x14ac:dyDescent="0.2">
      <c r="A243">
        <v>2022</v>
      </c>
      <c r="B243" t="s">
        <v>48</v>
      </c>
      <c r="C243" s="3">
        <v>44567</v>
      </c>
      <c r="D243" s="3" t="s">
        <v>40</v>
      </c>
      <c r="E243" s="3" t="s">
        <v>45</v>
      </c>
      <c r="F243" s="3" t="s">
        <v>46</v>
      </c>
      <c r="G243" s="4">
        <v>0.625</v>
      </c>
      <c r="H243" s="4">
        <v>4.1666666666666664E-2</v>
      </c>
      <c r="I243" t="s">
        <v>31</v>
      </c>
      <c r="J243">
        <v>1</v>
      </c>
      <c r="L243" s="46"/>
      <c r="P243">
        <v>195</v>
      </c>
      <c r="Q243">
        <v>0</v>
      </c>
      <c r="R243">
        <v>0</v>
      </c>
      <c r="S243" s="7">
        <f>Tabla1[[#This Row],[TARIFA]]+Tabla1[[#This Row],[IMPORTE EXTRAS]]</f>
        <v>195</v>
      </c>
      <c r="T243" t="s">
        <v>45</v>
      </c>
      <c r="U243">
        <v>50</v>
      </c>
      <c r="V243">
        <v>145</v>
      </c>
      <c r="W243">
        <v>0</v>
      </c>
      <c r="X243">
        <v>0</v>
      </c>
      <c r="Z243">
        <f>SUM(Tabla1[[#This Row],[RES-A]:[EXTR-B]])</f>
        <v>195</v>
      </c>
      <c r="AA243">
        <f>Tabla1[[#This Row],[Columna1]]-Tabla1[[#This Row],[IMPORTE TOTAL]]</f>
        <v>0</v>
      </c>
    </row>
    <row r="244" spans="1:27" x14ac:dyDescent="0.2">
      <c r="A244">
        <v>2022</v>
      </c>
      <c r="B244" t="s">
        <v>48</v>
      </c>
      <c r="C244" s="3">
        <v>44568</v>
      </c>
      <c r="D244" s="3" t="s">
        <v>41</v>
      </c>
      <c r="E244" s="3" t="s">
        <v>46</v>
      </c>
      <c r="F244" s="3" t="s">
        <v>46</v>
      </c>
      <c r="G244" s="4">
        <v>0.64583333333333337</v>
      </c>
      <c r="H244" s="4">
        <v>0.85416666666666663</v>
      </c>
      <c r="I244" t="s">
        <v>31</v>
      </c>
      <c r="J244">
        <v>1</v>
      </c>
      <c r="L244" s="46"/>
      <c r="P244">
        <v>135</v>
      </c>
      <c r="Q244">
        <v>0</v>
      </c>
      <c r="R244">
        <v>0</v>
      </c>
      <c r="S244" s="7">
        <f>Tabla1[[#This Row],[TARIFA]]+Tabla1[[#This Row],[IMPORTE EXTRAS]]</f>
        <v>135</v>
      </c>
      <c r="T244" t="s">
        <v>45</v>
      </c>
      <c r="U244">
        <v>50</v>
      </c>
      <c r="V244">
        <v>85</v>
      </c>
      <c r="W244">
        <v>0</v>
      </c>
      <c r="X244">
        <v>0</v>
      </c>
      <c r="Z244" s="7">
        <f>SUM(Tabla1[[#This Row],[RES-A]:[EXTR-B]])</f>
        <v>135</v>
      </c>
      <c r="AA244" s="7">
        <f>Tabla1[[#This Row],[Columna1]]-Tabla1[[#This Row],[IMPORTE TOTAL]]</f>
        <v>0</v>
      </c>
    </row>
    <row r="245" spans="1:27" x14ac:dyDescent="0.2">
      <c r="A245">
        <v>2022</v>
      </c>
      <c r="B245" t="s">
        <v>48</v>
      </c>
      <c r="C245" s="3">
        <v>44568</v>
      </c>
      <c r="D245" s="3" t="s">
        <v>41</v>
      </c>
      <c r="E245" s="3" t="s">
        <v>46</v>
      </c>
      <c r="F245" s="3" t="s">
        <v>46</v>
      </c>
      <c r="G245" s="4">
        <v>0.89583333333333337</v>
      </c>
      <c r="H245" s="4">
        <v>4.1666666666666664E-2</v>
      </c>
      <c r="I245" t="s">
        <v>35</v>
      </c>
      <c r="J245">
        <v>1</v>
      </c>
      <c r="L245" s="46"/>
      <c r="P245">
        <v>145</v>
      </c>
      <c r="Q245">
        <v>0</v>
      </c>
      <c r="R245">
        <v>0</v>
      </c>
      <c r="S245" s="7">
        <f>Tabla1[[#This Row],[TARIFA]]+Tabla1[[#This Row],[IMPORTE EXTRAS]]</f>
        <v>145</v>
      </c>
      <c r="T245" t="s">
        <v>46</v>
      </c>
      <c r="U245">
        <v>0</v>
      </c>
      <c r="V245">
        <v>0</v>
      </c>
      <c r="W245">
        <v>0</v>
      </c>
      <c r="X245">
        <v>0</v>
      </c>
      <c r="Y245" t="s">
        <v>177</v>
      </c>
      <c r="Z245" s="7">
        <f>SUM(Tabla1[[#This Row],[RES-A]:[EXTR-B]])</f>
        <v>0</v>
      </c>
      <c r="AA245" s="7">
        <f>Tabla1[[#This Row],[Columna1]]-Tabla1[[#This Row],[IMPORTE TOTAL]]</f>
        <v>-145</v>
      </c>
    </row>
    <row r="246" spans="1:27" x14ac:dyDescent="0.2">
      <c r="A246">
        <v>2022</v>
      </c>
      <c r="B246" t="s">
        <v>48</v>
      </c>
      <c r="C246" s="3">
        <v>44569</v>
      </c>
      <c r="D246" s="3" t="s">
        <v>42</v>
      </c>
      <c r="E246" s="3" t="s">
        <v>46</v>
      </c>
      <c r="F246" s="3" t="s">
        <v>46</v>
      </c>
      <c r="G246" s="4">
        <v>0.64583333333333337</v>
      </c>
      <c r="H246" s="4">
        <v>0.85416666666666663</v>
      </c>
      <c r="I246" t="s">
        <v>31</v>
      </c>
      <c r="J246">
        <v>1</v>
      </c>
      <c r="L246" s="46"/>
      <c r="P246">
        <v>145</v>
      </c>
      <c r="Q246">
        <v>0</v>
      </c>
      <c r="R246">
        <v>0</v>
      </c>
      <c r="S246" s="7">
        <f>Tabla1[[#This Row],[TARIFA]]+Tabla1[[#This Row],[IMPORTE EXTRAS]]</f>
        <v>145</v>
      </c>
      <c r="T246" t="s">
        <v>55</v>
      </c>
      <c r="U246">
        <v>50</v>
      </c>
      <c r="V246">
        <v>0</v>
      </c>
      <c r="W246">
        <v>0</v>
      </c>
      <c r="X246">
        <v>0</v>
      </c>
      <c r="Y246" t="s">
        <v>177</v>
      </c>
      <c r="Z246" s="7">
        <f>SUM(Tabla1[[#This Row],[RES-A]:[EXTR-B]])</f>
        <v>50</v>
      </c>
      <c r="AA246" s="7">
        <f>Tabla1[[#This Row],[Columna1]]-Tabla1[[#This Row],[IMPORTE TOTAL]]</f>
        <v>-95</v>
      </c>
    </row>
    <row r="247" spans="1:27" x14ac:dyDescent="0.2">
      <c r="A247">
        <v>2022</v>
      </c>
      <c r="B247" t="s">
        <v>48</v>
      </c>
      <c r="C247" s="3">
        <v>44569</v>
      </c>
      <c r="D247" s="3" t="s">
        <v>42</v>
      </c>
      <c r="E247" s="3" t="s">
        <v>46</v>
      </c>
      <c r="F247" s="3" t="s">
        <v>46</v>
      </c>
      <c r="G247" s="4">
        <v>0.89583333333333337</v>
      </c>
      <c r="H247" s="4">
        <v>0.10416666666666667</v>
      </c>
      <c r="I247" t="s">
        <v>35</v>
      </c>
      <c r="J247">
        <v>1</v>
      </c>
      <c r="L247" s="46"/>
      <c r="P247">
        <v>195</v>
      </c>
      <c r="Q247">
        <v>0</v>
      </c>
      <c r="R247">
        <v>0</v>
      </c>
      <c r="S247" s="7">
        <f>Tabla1[[#This Row],[TARIFA]]+Tabla1[[#This Row],[IMPORTE EXTRAS]]</f>
        <v>195</v>
      </c>
      <c r="T247" t="s">
        <v>45</v>
      </c>
      <c r="U247">
        <v>50</v>
      </c>
      <c r="V247">
        <v>145</v>
      </c>
      <c r="W247">
        <v>0</v>
      </c>
      <c r="X247">
        <v>0</v>
      </c>
      <c r="Z247" s="7">
        <f>SUM(Tabla1[[#This Row],[RES-A]:[EXTR-B]])</f>
        <v>195</v>
      </c>
      <c r="AA247" s="7">
        <f>Tabla1[[#This Row],[Columna1]]-Tabla1[[#This Row],[IMPORTE TOTAL]]</f>
        <v>0</v>
      </c>
    </row>
    <row r="248" spans="1:27" x14ac:dyDescent="0.2">
      <c r="A248">
        <v>2022</v>
      </c>
      <c r="B248" t="s">
        <v>48</v>
      </c>
      <c r="C248" s="3">
        <v>44576</v>
      </c>
      <c r="D248" s="3" t="s">
        <v>42</v>
      </c>
      <c r="E248" s="3" t="s">
        <v>46</v>
      </c>
      <c r="F248" s="3" t="s">
        <v>46</v>
      </c>
      <c r="G248" s="4">
        <v>0.89583333333333337</v>
      </c>
      <c r="H248" s="4">
        <v>0.10416666666666667</v>
      </c>
      <c r="I248" t="s">
        <v>35</v>
      </c>
      <c r="J248">
        <v>1</v>
      </c>
      <c r="L248" s="46"/>
      <c r="P248">
        <v>195</v>
      </c>
      <c r="Q248">
        <v>0</v>
      </c>
      <c r="R248">
        <v>0</v>
      </c>
      <c r="S248" s="7">
        <f>Tabla1[[#This Row],[TARIFA]]+Tabla1[[#This Row],[IMPORTE EXTRAS]]</f>
        <v>195</v>
      </c>
      <c r="T248" t="s">
        <v>46</v>
      </c>
      <c r="U248">
        <v>0</v>
      </c>
      <c r="V248">
        <v>0</v>
      </c>
      <c r="W248">
        <v>0</v>
      </c>
      <c r="X248">
        <v>0</v>
      </c>
      <c r="Y248" t="s">
        <v>177</v>
      </c>
      <c r="Z248" s="7">
        <f>SUM(Tabla1[[#This Row],[RES-A]:[EXTR-B]])</f>
        <v>0</v>
      </c>
      <c r="AA248" s="7">
        <f>Tabla1[[#This Row],[Columna1]]-Tabla1[[#This Row],[IMPORTE TOTAL]]</f>
        <v>-195</v>
      </c>
    </row>
    <row r="249" spans="1:27" x14ac:dyDescent="0.2">
      <c r="A249">
        <v>2022</v>
      </c>
      <c r="B249" t="s">
        <v>48</v>
      </c>
      <c r="C249" s="3">
        <v>44589</v>
      </c>
      <c r="D249" s="3" t="s">
        <v>41</v>
      </c>
      <c r="E249" s="3" t="s">
        <v>46</v>
      </c>
      <c r="F249" s="3" t="s">
        <v>46</v>
      </c>
      <c r="G249" s="4">
        <v>0.64583333333333337</v>
      </c>
      <c r="H249" s="4">
        <v>2.0833333333333332E-2</v>
      </c>
      <c r="I249" t="s">
        <v>35</v>
      </c>
      <c r="J249">
        <v>1</v>
      </c>
      <c r="L249" s="46"/>
      <c r="P249">
        <v>195</v>
      </c>
      <c r="Q249">
        <v>0</v>
      </c>
      <c r="R249">
        <v>0</v>
      </c>
      <c r="S249" s="7">
        <f>Tabla1[[#This Row],[TARIFA]]+Tabla1[[#This Row],[IMPORTE EXTRAS]]</f>
        <v>195</v>
      </c>
      <c r="T249" t="s">
        <v>45</v>
      </c>
      <c r="U249">
        <v>50</v>
      </c>
      <c r="V249">
        <v>145</v>
      </c>
      <c r="W249">
        <v>0</v>
      </c>
      <c r="X249">
        <v>0</v>
      </c>
      <c r="Z249" s="7">
        <f>SUM(Tabla1[[#This Row],[RES-A]:[EXTR-B]])</f>
        <v>195</v>
      </c>
      <c r="AA249" s="7">
        <f>Tabla1[[#This Row],[Columna1]]-Tabla1[[#This Row],[IMPORTE TOTAL]]</f>
        <v>0</v>
      </c>
    </row>
    <row r="250" spans="1:27" x14ac:dyDescent="0.2">
      <c r="A250">
        <v>2022</v>
      </c>
      <c r="B250" t="s">
        <v>56</v>
      </c>
      <c r="C250" s="3">
        <v>44565</v>
      </c>
      <c r="D250" s="3" t="s">
        <v>41</v>
      </c>
      <c r="E250" s="3" t="s">
        <v>46</v>
      </c>
      <c r="F250" s="3" t="s">
        <v>46</v>
      </c>
      <c r="G250" s="4">
        <v>0.64583333333333337</v>
      </c>
      <c r="H250" s="4">
        <v>0.85416666666666663</v>
      </c>
      <c r="I250" t="s">
        <v>31</v>
      </c>
      <c r="J250">
        <v>1</v>
      </c>
      <c r="L250" s="46"/>
      <c r="P250">
        <v>135</v>
      </c>
      <c r="Q250">
        <v>0</v>
      </c>
      <c r="R250">
        <v>0</v>
      </c>
      <c r="S250" s="7">
        <f>Tabla1[[#This Row],[TARIFA]]+Tabla1[[#This Row],[IMPORTE EXTRAS]]</f>
        <v>135</v>
      </c>
      <c r="T250" t="s">
        <v>45</v>
      </c>
      <c r="U250">
        <v>135</v>
      </c>
      <c r="V250">
        <v>0</v>
      </c>
      <c r="W250">
        <v>0</v>
      </c>
      <c r="X250">
        <v>0</v>
      </c>
      <c r="Z250" s="7">
        <f>SUM(Tabla1[[#This Row],[RES-A]:[EXTR-B]])</f>
        <v>135</v>
      </c>
      <c r="AA250" s="7">
        <f>Tabla1[[#This Row],[Columna1]]-Tabla1[[#This Row],[IMPORTE TOTAL]]</f>
        <v>0</v>
      </c>
    </row>
    <row r="251" spans="1:27" x14ac:dyDescent="0.2">
      <c r="A251">
        <v>2022</v>
      </c>
      <c r="B251" t="s">
        <v>56</v>
      </c>
      <c r="C251" s="3">
        <v>44597</v>
      </c>
      <c r="D251" s="3" t="s">
        <v>42</v>
      </c>
      <c r="E251" s="3" t="s">
        <v>46</v>
      </c>
      <c r="F251" s="3" t="s">
        <v>46</v>
      </c>
      <c r="G251" s="4">
        <v>0.39583333333333331</v>
      </c>
      <c r="H251" s="4">
        <v>0.85416666666666663</v>
      </c>
      <c r="I251" t="s">
        <v>32</v>
      </c>
      <c r="J251">
        <v>2</v>
      </c>
      <c r="L251" s="46"/>
      <c r="P251">
        <v>270</v>
      </c>
      <c r="Q251">
        <v>0</v>
      </c>
      <c r="R251">
        <v>0</v>
      </c>
      <c r="S251" s="7">
        <f>Tabla1[[#This Row],[TARIFA]]+Tabla1[[#This Row],[IMPORTE EXTRAS]]</f>
        <v>270</v>
      </c>
      <c r="T251" t="s">
        <v>46</v>
      </c>
      <c r="U251">
        <v>0</v>
      </c>
      <c r="V251">
        <v>0</v>
      </c>
      <c r="W251">
        <v>0</v>
      </c>
      <c r="X251">
        <v>0</v>
      </c>
      <c r="Y251" t="s">
        <v>177</v>
      </c>
      <c r="Z251" s="7">
        <f>SUM(Tabla1[[#This Row],[RES-A]:[EXTR-B]])</f>
        <v>0</v>
      </c>
      <c r="AA251" s="7">
        <f>Tabla1[[#This Row],[Columna1]]-Tabla1[[#This Row],[IMPORTE TOTAL]]</f>
        <v>-270</v>
      </c>
    </row>
    <row r="252" spans="1:27" x14ac:dyDescent="0.2">
      <c r="A252">
        <v>2022</v>
      </c>
      <c r="B252" t="s">
        <v>56</v>
      </c>
      <c r="C252" s="3">
        <v>44597</v>
      </c>
      <c r="D252" s="3" t="s">
        <v>42</v>
      </c>
      <c r="E252" s="3" t="s">
        <v>46</v>
      </c>
      <c r="F252" s="3" t="s">
        <v>46</v>
      </c>
      <c r="G252" s="4">
        <v>0.64583333333333337</v>
      </c>
      <c r="H252" s="4">
        <v>2.0833333333333332E-2</v>
      </c>
      <c r="I252" t="s">
        <v>31</v>
      </c>
      <c r="J252">
        <v>1</v>
      </c>
      <c r="L252" s="46"/>
      <c r="P252">
        <v>195</v>
      </c>
      <c r="Q252">
        <v>0</v>
      </c>
      <c r="R252">
        <v>0</v>
      </c>
      <c r="S252" s="7">
        <f>Tabla1[[#This Row],[TARIFA]]+Tabla1[[#This Row],[IMPORTE EXTRAS]]</f>
        <v>195</v>
      </c>
      <c r="T252" t="s">
        <v>45</v>
      </c>
      <c r="U252">
        <v>50</v>
      </c>
      <c r="V252">
        <v>145</v>
      </c>
      <c r="W252">
        <v>0</v>
      </c>
      <c r="X252">
        <v>0</v>
      </c>
      <c r="Z252" s="7">
        <f>SUM(Tabla1[[#This Row],[RES-A]:[EXTR-B]])</f>
        <v>195</v>
      </c>
      <c r="AA252" s="7">
        <f>Tabla1[[#This Row],[Columna1]]-Tabla1[[#This Row],[IMPORTE TOTAL]]</f>
        <v>0</v>
      </c>
    </row>
    <row r="253" spans="1:27" x14ac:dyDescent="0.2">
      <c r="A253">
        <v>2022</v>
      </c>
      <c r="B253" t="s">
        <v>56</v>
      </c>
      <c r="C253" s="3">
        <v>44604</v>
      </c>
      <c r="D253" s="3" t="s">
        <v>42</v>
      </c>
      <c r="E253" s="3" t="s">
        <v>46</v>
      </c>
      <c r="F253" s="3" t="s">
        <v>46</v>
      </c>
      <c r="G253" s="4">
        <v>0.64583333333333337</v>
      </c>
      <c r="H253" s="4">
        <v>0.85416666666666663</v>
      </c>
      <c r="I253" t="s">
        <v>31</v>
      </c>
      <c r="J253">
        <v>1</v>
      </c>
      <c r="L253" s="46"/>
      <c r="P253">
        <v>145</v>
      </c>
      <c r="Q253">
        <v>0</v>
      </c>
      <c r="R253">
        <v>0</v>
      </c>
      <c r="S253" s="7">
        <f>Tabla1[[#This Row],[TARIFA]]+Tabla1[[#This Row],[IMPORTE EXTRAS]]</f>
        <v>145</v>
      </c>
      <c r="T253" t="s">
        <v>45</v>
      </c>
      <c r="U253">
        <v>145</v>
      </c>
      <c r="V253">
        <v>0</v>
      </c>
      <c r="W253">
        <v>0</v>
      </c>
      <c r="X253">
        <v>0</v>
      </c>
      <c r="Z253" s="7">
        <f>SUM(Tabla1[[#This Row],[RES-A]:[EXTR-B]])</f>
        <v>145</v>
      </c>
      <c r="AA253" s="7">
        <f>Tabla1[[#This Row],[Columna1]]-Tabla1[[#This Row],[IMPORTE TOTAL]]</f>
        <v>0</v>
      </c>
    </row>
    <row r="254" spans="1:27" x14ac:dyDescent="0.2">
      <c r="A254">
        <v>2022</v>
      </c>
      <c r="B254" t="s">
        <v>56</v>
      </c>
      <c r="C254" s="3">
        <v>44607</v>
      </c>
      <c r="D254" s="3" t="s">
        <v>38</v>
      </c>
      <c r="E254" s="3" t="s">
        <v>46</v>
      </c>
      <c r="F254" s="3" t="s">
        <v>46</v>
      </c>
      <c r="G254" s="4">
        <v>0.64583333333333337</v>
      </c>
      <c r="H254" s="4">
        <v>0.85416666666666663</v>
      </c>
      <c r="I254" t="s">
        <v>31</v>
      </c>
      <c r="J254">
        <v>1</v>
      </c>
      <c r="L254" s="46"/>
      <c r="P254">
        <v>95</v>
      </c>
      <c r="Q254">
        <v>0</v>
      </c>
      <c r="R254">
        <v>0</v>
      </c>
      <c r="S254" s="7">
        <f>Tabla1[[#This Row],[TARIFA]]+Tabla1[[#This Row],[IMPORTE EXTRAS]]</f>
        <v>95</v>
      </c>
      <c r="T254" t="s">
        <v>45</v>
      </c>
      <c r="U254">
        <v>50</v>
      </c>
      <c r="V254">
        <v>45</v>
      </c>
      <c r="W254">
        <v>0</v>
      </c>
      <c r="X254">
        <v>0</v>
      </c>
      <c r="Z254" s="7">
        <f>SUM(Tabla1[[#This Row],[RES-A]:[EXTR-B]])</f>
        <v>95</v>
      </c>
      <c r="AA254" s="7">
        <f>Tabla1[[#This Row],[Columna1]]-Tabla1[[#This Row],[IMPORTE TOTAL]]</f>
        <v>0</v>
      </c>
    </row>
    <row r="255" spans="1:27" x14ac:dyDescent="0.2">
      <c r="A255">
        <v>2022</v>
      </c>
      <c r="B255" t="s">
        <v>56</v>
      </c>
      <c r="C255" s="3">
        <v>44610</v>
      </c>
      <c r="D255" s="3" t="s">
        <v>41</v>
      </c>
      <c r="E255" s="3" t="s">
        <v>46</v>
      </c>
      <c r="F255" s="3" t="s">
        <v>46</v>
      </c>
      <c r="G255" s="4">
        <v>0.89583333333333337</v>
      </c>
      <c r="H255" s="4">
        <v>0.10416666666666667</v>
      </c>
      <c r="I255" t="s">
        <v>35</v>
      </c>
      <c r="J255">
        <v>1</v>
      </c>
      <c r="L255" s="46"/>
      <c r="P255">
        <v>195</v>
      </c>
      <c r="Q255">
        <v>1</v>
      </c>
      <c r="R255">
        <v>50</v>
      </c>
      <c r="S255" s="7">
        <f>Tabla1[[#This Row],[TARIFA]]+Tabla1[[#This Row],[IMPORTE EXTRAS]]</f>
        <v>245</v>
      </c>
      <c r="T255" t="s">
        <v>45</v>
      </c>
      <c r="U255">
        <v>50</v>
      </c>
      <c r="V255">
        <v>145</v>
      </c>
      <c r="W255">
        <v>0</v>
      </c>
      <c r="X255">
        <v>50</v>
      </c>
      <c r="Z255" s="7">
        <f>SUM(Tabla1[[#This Row],[RES-A]:[EXTR-B]])</f>
        <v>245</v>
      </c>
      <c r="AA255" s="7">
        <f>Tabla1[[#This Row],[Columna1]]-Tabla1[[#This Row],[IMPORTE TOTAL]]</f>
        <v>0</v>
      </c>
    </row>
    <row r="256" spans="1:27" x14ac:dyDescent="0.2">
      <c r="A256">
        <v>2022</v>
      </c>
      <c r="B256" t="s">
        <v>56</v>
      </c>
      <c r="C256" s="3">
        <v>44611</v>
      </c>
      <c r="D256" s="3" t="s">
        <v>42</v>
      </c>
      <c r="E256" s="3" t="s">
        <v>46</v>
      </c>
      <c r="F256" s="3" t="s">
        <v>46</v>
      </c>
      <c r="G256" s="4">
        <v>0.5</v>
      </c>
      <c r="H256" s="4">
        <v>0.75</v>
      </c>
      <c r="I256" t="s">
        <v>32</v>
      </c>
      <c r="J256">
        <v>1</v>
      </c>
      <c r="L256" s="46"/>
      <c r="P256">
        <v>145</v>
      </c>
      <c r="Q256">
        <v>1</v>
      </c>
      <c r="R256">
        <v>20</v>
      </c>
      <c r="S256" s="7">
        <f>Tabla1[[#This Row],[TARIFA]]+Tabla1[[#This Row],[IMPORTE EXTRAS]]</f>
        <v>165</v>
      </c>
      <c r="T256" t="s">
        <v>45</v>
      </c>
      <c r="U256">
        <v>50</v>
      </c>
      <c r="V256">
        <v>95</v>
      </c>
      <c r="W256">
        <v>0</v>
      </c>
      <c r="X256">
        <v>20</v>
      </c>
      <c r="Z256" s="7">
        <f>SUM(Tabla1[[#This Row],[RES-A]:[EXTR-B]])</f>
        <v>165</v>
      </c>
      <c r="AA256" s="7">
        <f>Tabla1[[#This Row],[Columna1]]-Tabla1[[#This Row],[IMPORTE TOTAL]]</f>
        <v>0</v>
      </c>
    </row>
    <row r="257" spans="1:27" x14ac:dyDescent="0.2">
      <c r="A257">
        <v>2022</v>
      </c>
      <c r="B257" t="s">
        <v>56</v>
      </c>
      <c r="C257" s="3">
        <v>44611</v>
      </c>
      <c r="D257" s="3" t="s">
        <v>42</v>
      </c>
      <c r="E257" s="3" t="s">
        <v>46</v>
      </c>
      <c r="F257" s="3" t="s">
        <v>46</v>
      </c>
      <c r="G257" s="4">
        <v>0.89583333333333337</v>
      </c>
      <c r="H257" s="4">
        <v>0.10416666666666667</v>
      </c>
      <c r="I257" t="s">
        <v>35</v>
      </c>
      <c r="J257">
        <v>1</v>
      </c>
      <c r="L257" s="46"/>
      <c r="P257">
        <v>195</v>
      </c>
      <c r="Q257">
        <v>1</v>
      </c>
      <c r="R257">
        <v>50</v>
      </c>
      <c r="S257" s="7">
        <f>Tabla1[[#This Row],[TARIFA]]+Tabla1[[#This Row],[IMPORTE EXTRAS]]</f>
        <v>245</v>
      </c>
      <c r="T257" t="s">
        <v>45</v>
      </c>
      <c r="U257">
        <v>195</v>
      </c>
      <c r="V257">
        <v>0</v>
      </c>
      <c r="W257">
        <v>50</v>
      </c>
      <c r="X257">
        <v>0</v>
      </c>
      <c r="Z257" s="7">
        <f>SUM(Tabla1[[#This Row],[RES-A]:[EXTR-B]])</f>
        <v>245</v>
      </c>
      <c r="AA257" s="7">
        <f>Tabla1[[#This Row],[Columna1]]-Tabla1[[#This Row],[IMPORTE TOTAL]]</f>
        <v>0</v>
      </c>
    </row>
    <row r="258" spans="1:27" x14ac:dyDescent="0.2">
      <c r="A258">
        <v>2022</v>
      </c>
      <c r="B258" t="s">
        <v>56</v>
      </c>
      <c r="C258" s="3">
        <v>44614</v>
      </c>
      <c r="D258" s="3" t="s">
        <v>38</v>
      </c>
      <c r="E258" s="3" t="s">
        <v>46</v>
      </c>
      <c r="F258" s="3" t="s">
        <v>46</v>
      </c>
      <c r="G258" s="4">
        <v>0.64583333333333337</v>
      </c>
      <c r="H258" s="4">
        <v>0.85416666666666663</v>
      </c>
      <c r="I258" t="s">
        <v>31</v>
      </c>
      <c r="J258">
        <v>1</v>
      </c>
      <c r="L258" s="46"/>
      <c r="P258">
        <v>95</v>
      </c>
      <c r="Q258">
        <v>0</v>
      </c>
      <c r="R258">
        <v>0</v>
      </c>
      <c r="S258" s="7">
        <f>Tabla1[[#This Row],[TARIFA]]+Tabla1[[#This Row],[IMPORTE EXTRAS]]</f>
        <v>95</v>
      </c>
      <c r="T258" t="s">
        <v>45</v>
      </c>
      <c r="U258">
        <v>95</v>
      </c>
      <c r="V258">
        <v>0</v>
      </c>
      <c r="W258">
        <v>0</v>
      </c>
      <c r="X258">
        <v>0</v>
      </c>
      <c r="Y258" t="s">
        <v>397</v>
      </c>
      <c r="Z258">
        <f>SUM(Tabla1[[#This Row],[RES-A]:[EXTR-B]])</f>
        <v>95</v>
      </c>
      <c r="AA258">
        <f>Tabla1[[#This Row],[Columna1]]-Tabla1[[#This Row],[IMPORTE TOTAL]]</f>
        <v>0</v>
      </c>
    </row>
    <row r="259" spans="1:27" x14ac:dyDescent="0.2">
      <c r="A259">
        <v>2022</v>
      </c>
      <c r="B259" t="s">
        <v>56</v>
      </c>
      <c r="C259" s="3">
        <v>44617</v>
      </c>
      <c r="D259" s="3" t="s">
        <v>41</v>
      </c>
      <c r="E259" s="3" t="s">
        <v>46</v>
      </c>
      <c r="F259" s="3" t="s">
        <v>46</v>
      </c>
      <c r="G259" s="4">
        <v>0.89583333333333337</v>
      </c>
      <c r="H259" s="4">
        <v>0.10416666666666667</v>
      </c>
      <c r="I259" t="s">
        <v>35</v>
      </c>
      <c r="J259">
        <v>1</v>
      </c>
      <c r="L259" s="46"/>
      <c r="P259">
        <v>195</v>
      </c>
      <c r="Q259">
        <v>0</v>
      </c>
      <c r="R259">
        <v>0</v>
      </c>
      <c r="S259" s="7">
        <f>Tabla1[[#This Row],[TARIFA]]+Tabla1[[#This Row],[IMPORTE EXTRAS]]</f>
        <v>195</v>
      </c>
      <c r="T259" t="s">
        <v>45</v>
      </c>
      <c r="U259">
        <v>195</v>
      </c>
      <c r="V259">
        <v>0</v>
      </c>
      <c r="W259">
        <v>0</v>
      </c>
      <c r="X259">
        <v>0</v>
      </c>
      <c r="Z259" s="7">
        <f>SUM(Tabla1[[#This Row],[RES-A]:[EXTR-B]])</f>
        <v>195</v>
      </c>
      <c r="AA259" s="7">
        <f>Tabla1[[#This Row],[Columna1]]-Tabla1[[#This Row],[IMPORTE TOTAL]]</f>
        <v>0</v>
      </c>
    </row>
    <row r="260" spans="1:27" x14ac:dyDescent="0.2">
      <c r="A260">
        <v>2022</v>
      </c>
      <c r="B260" t="s">
        <v>56</v>
      </c>
      <c r="C260" s="3">
        <v>44618</v>
      </c>
      <c r="D260" s="3" t="s">
        <v>42</v>
      </c>
      <c r="E260" s="3" t="s">
        <v>46</v>
      </c>
      <c r="F260" s="3" t="s">
        <v>46</v>
      </c>
      <c r="G260" s="4">
        <v>0.89583333333333337</v>
      </c>
      <c r="H260" s="4">
        <v>0.10416666666666667</v>
      </c>
      <c r="I260" t="s">
        <v>35</v>
      </c>
      <c r="J260">
        <v>1</v>
      </c>
      <c r="L260" s="46"/>
      <c r="P260">
        <v>195</v>
      </c>
      <c r="Q260">
        <v>0</v>
      </c>
      <c r="R260">
        <v>0</v>
      </c>
      <c r="S260" s="7">
        <f>Tabla1[[#This Row],[TARIFA]]+Tabla1[[#This Row],[IMPORTE EXTRAS]]</f>
        <v>195</v>
      </c>
      <c r="T260" t="s">
        <v>45</v>
      </c>
      <c r="U260">
        <v>50</v>
      </c>
      <c r="V260">
        <v>145</v>
      </c>
      <c r="W260">
        <v>0</v>
      </c>
      <c r="X260">
        <v>0</v>
      </c>
      <c r="Z260" s="7">
        <f>SUM(Tabla1[[#This Row],[RES-A]:[EXTR-B]])</f>
        <v>195</v>
      </c>
      <c r="AA260" s="7">
        <f>Tabla1[[#This Row],[Columna1]]-Tabla1[[#This Row],[IMPORTE TOTAL]]</f>
        <v>0</v>
      </c>
    </row>
    <row r="261" spans="1:27" x14ac:dyDescent="0.2">
      <c r="A261">
        <v>2022</v>
      </c>
      <c r="B261" t="s">
        <v>56</v>
      </c>
      <c r="C261" s="3">
        <v>44619</v>
      </c>
      <c r="D261" s="3" t="s">
        <v>43</v>
      </c>
      <c r="E261" s="3" t="s">
        <v>46</v>
      </c>
      <c r="F261" s="3" t="s">
        <v>46</v>
      </c>
      <c r="G261" s="4">
        <v>0.66666666666666663</v>
      </c>
      <c r="H261" s="4">
        <v>0.95833333333333337</v>
      </c>
      <c r="I261" t="s">
        <v>31</v>
      </c>
      <c r="J261">
        <v>1</v>
      </c>
      <c r="L261" s="46"/>
      <c r="P261">
        <v>145</v>
      </c>
      <c r="Q261">
        <v>0</v>
      </c>
      <c r="R261">
        <v>0</v>
      </c>
      <c r="S261" s="7">
        <f>Tabla1[[#This Row],[TARIFA]]+Tabla1[[#This Row],[IMPORTE EXTRAS]]</f>
        <v>145</v>
      </c>
      <c r="T261" t="s">
        <v>45</v>
      </c>
      <c r="U261">
        <v>50</v>
      </c>
      <c r="V261">
        <v>95</v>
      </c>
      <c r="W261">
        <v>0</v>
      </c>
      <c r="X261">
        <v>0</v>
      </c>
      <c r="Z261">
        <f>SUM(Tabla1[[#This Row],[RES-A]:[EXTR-B]])</f>
        <v>145</v>
      </c>
      <c r="AA261">
        <f>Tabla1[[#This Row],[Columna1]]-Tabla1[[#This Row],[IMPORTE TOTAL]]</f>
        <v>0</v>
      </c>
    </row>
    <row r="262" spans="1:27" x14ac:dyDescent="0.2">
      <c r="A262">
        <v>2022</v>
      </c>
      <c r="B262" t="s">
        <v>57</v>
      </c>
      <c r="C262" s="3">
        <v>44624</v>
      </c>
      <c r="D262" s="3" t="s">
        <v>41</v>
      </c>
      <c r="E262" s="3" t="s">
        <v>46</v>
      </c>
      <c r="F262" s="3" t="s">
        <v>46</v>
      </c>
      <c r="G262" s="4">
        <v>0.89583333333333337</v>
      </c>
      <c r="H262" s="4">
        <v>0.10416666666666667</v>
      </c>
      <c r="I262" t="s">
        <v>35</v>
      </c>
      <c r="J262">
        <v>1</v>
      </c>
      <c r="L262" s="46"/>
      <c r="P262">
        <v>195</v>
      </c>
      <c r="Q262">
        <v>1</v>
      </c>
      <c r="R262">
        <v>50</v>
      </c>
      <c r="S262" s="7">
        <f>Tabla1[[#This Row],[TARIFA]]+Tabla1[[#This Row],[IMPORTE EXTRAS]]</f>
        <v>245</v>
      </c>
      <c r="T262" t="s">
        <v>45</v>
      </c>
      <c r="U262">
        <v>50</v>
      </c>
      <c r="V262">
        <v>145</v>
      </c>
      <c r="W262">
        <v>0</v>
      </c>
      <c r="X262">
        <v>50</v>
      </c>
      <c r="Z262" s="7">
        <f>SUM(Tabla1[[#This Row],[RES-A]:[EXTR-B]])</f>
        <v>245</v>
      </c>
      <c r="AA262" s="7">
        <f>Tabla1[[#This Row],[Columna1]]-Tabla1[[#This Row],[IMPORTE TOTAL]]</f>
        <v>0</v>
      </c>
    </row>
    <row r="263" spans="1:27" x14ac:dyDescent="0.2">
      <c r="A263">
        <v>2022</v>
      </c>
      <c r="B263" t="s">
        <v>57</v>
      </c>
      <c r="C263" s="3">
        <v>44625</v>
      </c>
      <c r="D263" s="3" t="s">
        <v>42</v>
      </c>
      <c r="E263" s="3" t="s">
        <v>46</v>
      </c>
      <c r="F263" s="3" t="s">
        <v>46</v>
      </c>
      <c r="G263" s="4">
        <v>0.39583333333333331</v>
      </c>
      <c r="H263" s="4">
        <v>0.10416666666666667</v>
      </c>
      <c r="I263" t="s">
        <v>32</v>
      </c>
      <c r="J263">
        <v>3</v>
      </c>
      <c r="L263" s="46"/>
      <c r="P263">
        <v>370</v>
      </c>
      <c r="Q263">
        <v>0</v>
      </c>
      <c r="R263">
        <v>0</v>
      </c>
      <c r="S263" s="7">
        <f>Tabla1[[#This Row],[TARIFA]]+Tabla1[[#This Row],[IMPORTE EXTRAS]]</f>
        <v>370</v>
      </c>
      <c r="T263" t="s">
        <v>45</v>
      </c>
      <c r="U263">
        <v>50</v>
      </c>
      <c r="V263">
        <v>320</v>
      </c>
      <c r="W263">
        <v>0</v>
      </c>
      <c r="X263">
        <v>0</v>
      </c>
      <c r="Z263" s="7">
        <f>SUM(Tabla1[[#This Row],[RES-A]:[EXTR-B]])</f>
        <v>370</v>
      </c>
      <c r="AA263" s="7">
        <f>Tabla1[[#This Row],[Columna1]]-Tabla1[[#This Row],[IMPORTE TOTAL]]</f>
        <v>0</v>
      </c>
    </row>
    <row r="264" spans="1:27" x14ac:dyDescent="0.2">
      <c r="A264">
        <v>2022</v>
      </c>
      <c r="B264" t="s">
        <v>57</v>
      </c>
      <c r="C264" s="3">
        <v>44626</v>
      </c>
      <c r="D264" s="3" t="s">
        <v>43</v>
      </c>
      <c r="E264" s="3" t="s">
        <v>46</v>
      </c>
      <c r="F264" s="3" t="s">
        <v>46</v>
      </c>
      <c r="G264" s="4">
        <v>0.64583333333333337</v>
      </c>
      <c r="H264" s="4">
        <v>0.85416666666666663</v>
      </c>
      <c r="I264" t="s">
        <v>31</v>
      </c>
      <c r="J264">
        <v>1</v>
      </c>
      <c r="L264" s="46"/>
      <c r="P264">
        <v>145</v>
      </c>
      <c r="Q264">
        <v>0</v>
      </c>
      <c r="R264">
        <v>0</v>
      </c>
      <c r="S264" s="7">
        <f>Tabla1[[#This Row],[TARIFA]]+Tabla1[[#This Row],[IMPORTE EXTRAS]]</f>
        <v>145</v>
      </c>
      <c r="T264" t="s">
        <v>45</v>
      </c>
      <c r="U264">
        <v>50</v>
      </c>
      <c r="V264">
        <v>95</v>
      </c>
      <c r="W264">
        <v>0</v>
      </c>
      <c r="X264">
        <v>0</v>
      </c>
      <c r="Z264" s="7">
        <f>SUM(Tabla1[[#This Row],[RES-A]:[EXTR-B]])</f>
        <v>145</v>
      </c>
      <c r="AA264" s="7">
        <f>Tabla1[[#This Row],[Columna1]]-Tabla1[[#This Row],[IMPORTE TOTAL]]</f>
        <v>0</v>
      </c>
    </row>
    <row r="265" spans="1:27" x14ac:dyDescent="0.2">
      <c r="A265">
        <v>2022</v>
      </c>
      <c r="B265" t="s">
        <v>57</v>
      </c>
      <c r="C265" s="3">
        <v>44632</v>
      </c>
      <c r="D265" s="3" t="s">
        <v>42</v>
      </c>
      <c r="E265" s="3" t="s">
        <v>46</v>
      </c>
      <c r="F265" s="3" t="s">
        <v>46</v>
      </c>
      <c r="G265" s="4">
        <v>0.39583333333333331</v>
      </c>
      <c r="H265" s="4">
        <v>0.60416666666666663</v>
      </c>
      <c r="I265" t="s">
        <v>30</v>
      </c>
      <c r="J265">
        <v>1</v>
      </c>
      <c r="L265" s="46"/>
      <c r="P265">
        <v>145</v>
      </c>
      <c r="Q265">
        <v>0</v>
      </c>
      <c r="R265">
        <v>0</v>
      </c>
      <c r="S265" s="7">
        <f>Tabla1[[#This Row],[TARIFA]]+Tabla1[[#This Row],[IMPORTE EXTRAS]]</f>
        <v>145</v>
      </c>
      <c r="T265" t="s">
        <v>45</v>
      </c>
      <c r="U265">
        <v>50</v>
      </c>
      <c r="V265">
        <v>95</v>
      </c>
      <c r="W265">
        <v>0</v>
      </c>
      <c r="X265">
        <v>0</v>
      </c>
      <c r="Z265" s="7">
        <f>SUM(Tabla1[[#This Row],[RES-A]:[EXTR-B]])</f>
        <v>145</v>
      </c>
      <c r="AA265" s="7">
        <f>Tabla1[[#This Row],[Columna1]]-Tabla1[[#This Row],[IMPORTE TOTAL]]</f>
        <v>0</v>
      </c>
    </row>
    <row r="266" spans="1:27" x14ac:dyDescent="0.2">
      <c r="A266">
        <v>2022</v>
      </c>
      <c r="B266" t="s">
        <v>57</v>
      </c>
      <c r="C266" s="3">
        <v>44632</v>
      </c>
      <c r="D266" s="3" t="s">
        <v>42</v>
      </c>
      <c r="E266" s="3" t="s">
        <v>46</v>
      </c>
      <c r="F266" s="3" t="s">
        <v>46</v>
      </c>
      <c r="G266" s="4">
        <v>0.64583333333333337</v>
      </c>
      <c r="H266" s="4">
        <v>0.85416666666666663</v>
      </c>
      <c r="I266" t="s">
        <v>31</v>
      </c>
      <c r="J266">
        <v>1</v>
      </c>
      <c r="L266" s="46"/>
      <c r="P266">
        <v>145</v>
      </c>
      <c r="Q266">
        <v>0</v>
      </c>
      <c r="R266">
        <v>0</v>
      </c>
      <c r="S266" s="7">
        <f>Tabla1[[#This Row],[TARIFA]]+Tabla1[[#This Row],[IMPORTE EXTRAS]]</f>
        <v>145</v>
      </c>
      <c r="T266" t="s">
        <v>45</v>
      </c>
      <c r="U266">
        <v>145</v>
      </c>
      <c r="V266">
        <v>0</v>
      </c>
      <c r="W266">
        <v>0</v>
      </c>
      <c r="X266">
        <v>0</v>
      </c>
      <c r="Z266" s="7">
        <f>SUM(Tabla1[[#This Row],[RES-A]:[EXTR-B]])</f>
        <v>145</v>
      </c>
      <c r="AA266" s="7">
        <f>Tabla1[[#This Row],[Columna1]]-Tabla1[[#This Row],[IMPORTE TOTAL]]</f>
        <v>0</v>
      </c>
    </row>
    <row r="267" spans="1:27" x14ac:dyDescent="0.2">
      <c r="A267">
        <v>2022</v>
      </c>
      <c r="B267" t="s">
        <v>57</v>
      </c>
      <c r="C267" s="3">
        <v>44632</v>
      </c>
      <c r="D267" s="3" t="s">
        <v>42</v>
      </c>
      <c r="E267" s="3" t="s">
        <v>46</v>
      </c>
      <c r="F267" s="3" t="s">
        <v>46</v>
      </c>
      <c r="G267" s="4">
        <v>0.89583333333333337</v>
      </c>
      <c r="H267" s="4">
        <v>0.10416666666666667</v>
      </c>
      <c r="I267" t="s">
        <v>35</v>
      </c>
      <c r="J267">
        <v>1</v>
      </c>
      <c r="L267" s="46"/>
      <c r="P267">
        <v>0</v>
      </c>
      <c r="Q267">
        <v>0</v>
      </c>
      <c r="R267">
        <v>0</v>
      </c>
      <c r="S267" s="7">
        <f>Tabla1[[#This Row],[TARIFA]]+Tabla1[[#This Row],[IMPORTE EXTRAS]]</f>
        <v>0</v>
      </c>
      <c r="T267" t="s">
        <v>46</v>
      </c>
      <c r="U267">
        <v>0</v>
      </c>
      <c r="V267">
        <v>0</v>
      </c>
      <c r="W267">
        <v>0</v>
      </c>
      <c r="X267">
        <v>0</v>
      </c>
      <c r="Z267" s="7">
        <f>SUM(Tabla1[[#This Row],[RES-A]:[EXTR-B]])</f>
        <v>0</v>
      </c>
      <c r="AA267" s="7">
        <f>Tabla1[[#This Row],[Columna1]]-Tabla1[[#This Row],[IMPORTE TOTAL]]</f>
        <v>0</v>
      </c>
    </row>
    <row r="268" spans="1:27" x14ac:dyDescent="0.2">
      <c r="A268">
        <v>2022</v>
      </c>
      <c r="B268" t="s">
        <v>57</v>
      </c>
      <c r="C268" s="3">
        <v>44634</v>
      </c>
      <c r="D268" s="3" t="s">
        <v>37</v>
      </c>
      <c r="E268" s="3" t="s">
        <v>46</v>
      </c>
      <c r="F268" s="3" t="s">
        <v>46</v>
      </c>
      <c r="G268" s="4">
        <v>0.64583333333333337</v>
      </c>
      <c r="H268" s="4">
        <v>0.85416666666666663</v>
      </c>
      <c r="I268" t="s">
        <v>31</v>
      </c>
      <c r="J268">
        <v>1</v>
      </c>
      <c r="L268" s="46"/>
      <c r="P268">
        <v>95</v>
      </c>
      <c r="Q268">
        <v>0</v>
      </c>
      <c r="R268">
        <v>0</v>
      </c>
      <c r="S268" s="7">
        <f>Tabla1[[#This Row],[TARIFA]]+Tabla1[[#This Row],[IMPORTE EXTRAS]]</f>
        <v>95</v>
      </c>
      <c r="T268" t="s">
        <v>45</v>
      </c>
      <c r="U268">
        <v>50</v>
      </c>
      <c r="V268">
        <v>45</v>
      </c>
      <c r="W268">
        <v>0</v>
      </c>
      <c r="X268">
        <v>0</v>
      </c>
      <c r="Z268" s="7">
        <f>SUM(Tabla1[[#This Row],[RES-A]:[EXTR-B]])</f>
        <v>95</v>
      </c>
      <c r="AA268" s="7">
        <f>Tabla1[[#This Row],[Columna1]]-Tabla1[[#This Row],[IMPORTE TOTAL]]</f>
        <v>0</v>
      </c>
    </row>
    <row r="269" spans="1:27" x14ac:dyDescent="0.2">
      <c r="A269">
        <v>2022</v>
      </c>
      <c r="B269" t="s">
        <v>57</v>
      </c>
      <c r="C269" s="3">
        <v>44637</v>
      </c>
      <c r="D269" s="3" t="s">
        <v>40</v>
      </c>
      <c r="E269" s="3" t="s">
        <v>46</v>
      </c>
      <c r="F269" s="3" t="s">
        <v>46</v>
      </c>
      <c r="G269" s="4">
        <v>0.64583333333333337</v>
      </c>
      <c r="H269" s="4">
        <v>0.85416666666666663</v>
      </c>
      <c r="I269" t="s">
        <v>31</v>
      </c>
      <c r="J269">
        <v>1</v>
      </c>
      <c r="L269" s="46"/>
      <c r="P269">
        <v>95</v>
      </c>
      <c r="Q269">
        <v>0</v>
      </c>
      <c r="R269">
        <v>0</v>
      </c>
      <c r="S269" s="7">
        <f>Tabla1[[#This Row],[TARIFA]]+Tabla1[[#This Row],[IMPORTE EXTRAS]]</f>
        <v>95</v>
      </c>
      <c r="T269" t="s">
        <v>45</v>
      </c>
      <c r="U269">
        <v>95</v>
      </c>
      <c r="V269">
        <v>0</v>
      </c>
      <c r="W269">
        <v>0</v>
      </c>
      <c r="X269">
        <v>0</v>
      </c>
      <c r="Z269" s="7">
        <f>SUM(Tabla1[[#This Row],[RES-A]:[EXTR-B]])</f>
        <v>95</v>
      </c>
      <c r="AA269" s="7">
        <f>Tabla1[[#This Row],[Columna1]]-Tabla1[[#This Row],[IMPORTE TOTAL]]</f>
        <v>0</v>
      </c>
    </row>
    <row r="270" spans="1:27" x14ac:dyDescent="0.2">
      <c r="A270">
        <v>2022</v>
      </c>
      <c r="B270" t="s">
        <v>57</v>
      </c>
      <c r="C270" s="3">
        <v>44638</v>
      </c>
      <c r="D270" s="3" t="s">
        <v>41</v>
      </c>
      <c r="E270" s="3" t="s">
        <v>46</v>
      </c>
      <c r="F270" s="3" t="s">
        <v>46</v>
      </c>
      <c r="G270" s="4">
        <v>0.64583333333333337</v>
      </c>
      <c r="H270" s="4">
        <v>0.85416666666666663</v>
      </c>
      <c r="I270" t="s">
        <v>31</v>
      </c>
      <c r="J270">
        <v>1</v>
      </c>
      <c r="L270" s="46"/>
      <c r="P270">
        <v>135</v>
      </c>
      <c r="Q270">
        <v>0</v>
      </c>
      <c r="R270">
        <v>0</v>
      </c>
      <c r="S270" s="7">
        <f>Tabla1[[#This Row],[TARIFA]]+Tabla1[[#This Row],[IMPORTE EXTRAS]]</f>
        <v>135</v>
      </c>
      <c r="T270" t="s">
        <v>45</v>
      </c>
      <c r="U270">
        <v>50</v>
      </c>
      <c r="V270">
        <v>85</v>
      </c>
      <c r="W270">
        <v>0</v>
      </c>
      <c r="X270">
        <v>0</v>
      </c>
      <c r="Z270" s="7">
        <f>SUM(Tabla1[[#This Row],[RES-A]:[EXTR-B]])</f>
        <v>135</v>
      </c>
      <c r="AA270" s="7">
        <f>Tabla1[[#This Row],[Columna1]]-Tabla1[[#This Row],[IMPORTE TOTAL]]</f>
        <v>0</v>
      </c>
    </row>
    <row r="271" spans="1:27" x14ac:dyDescent="0.2">
      <c r="A271">
        <v>2022</v>
      </c>
      <c r="B271" t="s">
        <v>57</v>
      </c>
      <c r="C271" s="3">
        <v>44639</v>
      </c>
      <c r="D271" s="3" t="s">
        <v>42</v>
      </c>
      <c r="E271" s="3" t="s">
        <v>46</v>
      </c>
      <c r="F271" s="3" t="s">
        <v>46</v>
      </c>
      <c r="G271" s="4">
        <v>0.39583333333333331</v>
      </c>
      <c r="H271" s="4">
        <v>0.60416666666666663</v>
      </c>
      <c r="I271" t="s">
        <v>30</v>
      </c>
      <c r="J271">
        <v>1</v>
      </c>
      <c r="L271" s="46"/>
      <c r="P271">
        <v>145</v>
      </c>
      <c r="Q271">
        <v>0</v>
      </c>
      <c r="R271">
        <v>0</v>
      </c>
      <c r="S271" s="7">
        <f>Tabla1[[#This Row],[TARIFA]]+Tabla1[[#This Row],[IMPORTE EXTRAS]]</f>
        <v>145</v>
      </c>
      <c r="T271" t="s">
        <v>45</v>
      </c>
      <c r="U271">
        <v>50</v>
      </c>
      <c r="V271">
        <v>95</v>
      </c>
      <c r="W271">
        <v>0</v>
      </c>
      <c r="X271">
        <v>0</v>
      </c>
      <c r="Z271" s="7">
        <f>SUM(Tabla1[[#This Row],[RES-A]:[EXTR-B]])</f>
        <v>145</v>
      </c>
      <c r="AA271" s="7">
        <f>Tabla1[[#This Row],[Columna1]]-Tabla1[[#This Row],[IMPORTE TOTAL]]</f>
        <v>0</v>
      </c>
    </row>
    <row r="272" spans="1:27" x14ac:dyDescent="0.2">
      <c r="A272">
        <v>2022</v>
      </c>
      <c r="B272" t="s">
        <v>57</v>
      </c>
      <c r="C272" s="3">
        <v>44639</v>
      </c>
      <c r="D272" s="3" t="s">
        <v>42</v>
      </c>
      <c r="E272" s="3" t="s">
        <v>46</v>
      </c>
      <c r="F272" s="3" t="s">
        <v>46</v>
      </c>
      <c r="G272" s="4">
        <v>0.64583333333333337</v>
      </c>
      <c r="H272" s="4">
        <v>0.85416666666666663</v>
      </c>
      <c r="I272" t="s">
        <v>31</v>
      </c>
      <c r="J272">
        <v>1</v>
      </c>
      <c r="L272" s="46"/>
      <c r="P272">
        <v>145</v>
      </c>
      <c r="Q272">
        <v>0</v>
      </c>
      <c r="R272">
        <v>0</v>
      </c>
      <c r="S272" s="7">
        <f>Tabla1[[#This Row],[TARIFA]]+Tabla1[[#This Row],[IMPORTE EXTRAS]]</f>
        <v>145</v>
      </c>
      <c r="T272" t="s">
        <v>45</v>
      </c>
      <c r="U272">
        <v>145</v>
      </c>
      <c r="V272">
        <v>0</v>
      </c>
      <c r="W272">
        <v>0</v>
      </c>
      <c r="X272">
        <v>0</v>
      </c>
      <c r="Z272" s="7">
        <f>SUM(Tabla1[[#This Row],[RES-A]:[EXTR-B]])</f>
        <v>145</v>
      </c>
      <c r="AA272" s="7">
        <f>Tabla1[[#This Row],[Columna1]]-Tabla1[[#This Row],[IMPORTE TOTAL]]</f>
        <v>0</v>
      </c>
    </row>
    <row r="273" spans="1:27" x14ac:dyDescent="0.2">
      <c r="A273">
        <v>2022</v>
      </c>
      <c r="B273" t="s">
        <v>57</v>
      </c>
      <c r="C273" s="3">
        <v>44639</v>
      </c>
      <c r="D273" s="3" t="s">
        <v>42</v>
      </c>
      <c r="E273" s="3" t="s">
        <v>46</v>
      </c>
      <c r="F273" s="3" t="s">
        <v>46</v>
      </c>
      <c r="G273" s="4">
        <v>0.89583333333333337</v>
      </c>
      <c r="H273" s="4">
        <v>0.10416666666666667</v>
      </c>
      <c r="I273" t="s">
        <v>35</v>
      </c>
      <c r="J273">
        <v>1</v>
      </c>
      <c r="L273" s="46"/>
      <c r="P273">
        <v>195</v>
      </c>
      <c r="Q273">
        <v>1</v>
      </c>
      <c r="R273">
        <v>50</v>
      </c>
      <c r="S273" s="7">
        <f>Tabla1[[#This Row],[TARIFA]]+Tabla1[[#This Row],[IMPORTE EXTRAS]]</f>
        <v>245</v>
      </c>
      <c r="T273" t="s">
        <v>45</v>
      </c>
      <c r="U273">
        <v>50</v>
      </c>
      <c r="V273">
        <v>145</v>
      </c>
      <c r="W273">
        <v>0</v>
      </c>
      <c r="X273">
        <v>50</v>
      </c>
      <c r="Z273" s="7">
        <f>SUM(Tabla1[[#This Row],[RES-A]:[EXTR-B]])</f>
        <v>245</v>
      </c>
      <c r="AA273" s="7">
        <f>Tabla1[[#This Row],[Columna1]]-Tabla1[[#This Row],[IMPORTE TOTAL]]</f>
        <v>0</v>
      </c>
    </row>
    <row r="274" spans="1:27" x14ac:dyDescent="0.2">
      <c r="A274">
        <v>2022</v>
      </c>
      <c r="B274" t="s">
        <v>57</v>
      </c>
      <c r="C274" s="3">
        <v>44640</v>
      </c>
      <c r="D274" s="3" t="s">
        <v>43</v>
      </c>
      <c r="E274" s="3" t="s">
        <v>46</v>
      </c>
      <c r="F274" s="3" t="s">
        <v>46</v>
      </c>
      <c r="G274" s="4">
        <v>0.39583333333333331</v>
      </c>
      <c r="H274" s="4">
        <v>0.60416666666666663</v>
      </c>
      <c r="I274" t="s">
        <v>30</v>
      </c>
      <c r="J274">
        <v>1</v>
      </c>
      <c r="L274" s="46"/>
      <c r="P274">
        <v>145</v>
      </c>
      <c r="Q274">
        <v>0</v>
      </c>
      <c r="R274">
        <v>0</v>
      </c>
      <c r="S274" s="7">
        <f>Tabla1[[#This Row],[TARIFA]]+Tabla1[[#This Row],[IMPORTE EXTRAS]]</f>
        <v>145</v>
      </c>
      <c r="T274" t="s">
        <v>45</v>
      </c>
      <c r="U274">
        <v>145</v>
      </c>
      <c r="V274">
        <v>0</v>
      </c>
      <c r="W274">
        <v>0</v>
      </c>
      <c r="X274">
        <v>0</v>
      </c>
      <c r="Z274" s="7">
        <f>SUM(Tabla1[[#This Row],[RES-A]:[EXTR-B]])</f>
        <v>145</v>
      </c>
      <c r="AA274" s="7">
        <f>Tabla1[[#This Row],[Columna1]]-Tabla1[[#This Row],[IMPORTE TOTAL]]</f>
        <v>0</v>
      </c>
    </row>
    <row r="275" spans="1:27" x14ac:dyDescent="0.2">
      <c r="A275">
        <v>2022</v>
      </c>
      <c r="B275" t="s">
        <v>57</v>
      </c>
      <c r="C275" s="3">
        <v>44640</v>
      </c>
      <c r="D275" s="3" t="s">
        <v>43</v>
      </c>
      <c r="E275" s="3" t="s">
        <v>46</v>
      </c>
      <c r="F275" s="3" t="s">
        <v>46</v>
      </c>
      <c r="G275" s="4">
        <v>0.64583333333333337</v>
      </c>
      <c r="H275" s="4">
        <v>0.85416666666666663</v>
      </c>
      <c r="I275" t="s">
        <v>31</v>
      </c>
      <c r="J275">
        <v>1</v>
      </c>
      <c r="L275" s="46"/>
      <c r="P275">
        <v>145</v>
      </c>
      <c r="Q275">
        <v>1</v>
      </c>
      <c r="R275">
        <v>5</v>
      </c>
      <c r="S275" s="7">
        <f>Tabla1[[#This Row],[TARIFA]]+Tabla1[[#This Row],[IMPORTE EXTRAS]]</f>
        <v>150</v>
      </c>
      <c r="T275" t="s">
        <v>45</v>
      </c>
      <c r="U275">
        <v>50</v>
      </c>
      <c r="V275">
        <v>95</v>
      </c>
      <c r="W275">
        <v>0</v>
      </c>
      <c r="X275">
        <v>5</v>
      </c>
      <c r="Z275" s="7">
        <f>SUM(Tabla1[[#This Row],[RES-A]:[EXTR-B]])</f>
        <v>150</v>
      </c>
      <c r="AA275" s="7">
        <f>Tabla1[[#This Row],[Columna1]]-Tabla1[[#This Row],[IMPORTE TOTAL]]</f>
        <v>0</v>
      </c>
    </row>
    <row r="276" spans="1:27" x14ac:dyDescent="0.2">
      <c r="A276">
        <v>2022</v>
      </c>
      <c r="B276" t="s">
        <v>57</v>
      </c>
      <c r="C276" s="3">
        <v>44645</v>
      </c>
      <c r="D276" s="3" t="s">
        <v>41</v>
      </c>
      <c r="E276" s="3" t="s">
        <v>46</v>
      </c>
      <c r="F276" s="3" t="s">
        <v>46</v>
      </c>
      <c r="G276" s="4">
        <v>0.89583333333333337</v>
      </c>
      <c r="H276" s="4">
        <v>0.10416666666666667</v>
      </c>
      <c r="I276" t="s">
        <v>35</v>
      </c>
      <c r="J276">
        <v>1</v>
      </c>
      <c r="L276" s="46"/>
      <c r="P276">
        <v>195</v>
      </c>
      <c r="Q276">
        <v>1</v>
      </c>
      <c r="R276">
        <v>50</v>
      </c>
      <c r="S276" s="7">
        <f>Tabla1[[#This Row],[TARIFA]]+Tabla1[[#This Row],[IMPORTE EXTRAS]]</f>
        <v>245</v>
      </c>
      <c r="T276" t="s">
        <v>45</v>
      </c>
      <c r="U276">
        <v>195</v>
      </c>
      <c r="V276">
        <v>0</v>
      </c>
      <c r="W276">
        <v>50</v>
      </c>
      <c r="X276">
        <v>0</v>
      </c>
      <c r="Z276" s="7">
        <f>SUM(Tabla1[[#This Row],[RES-A]:[EXTR-B]])</f>
        <v>245</v>
      </c>
      <c r="AA276" s="7">
        <f>Tabla1[[#This Row],[Columna1]]-Tabla1[[#This Row],[IMPORTE TOTAL]]</f>
        <v>0</v>
      </c>
    </row>
    <row r="277" spans="1:27" x14ac:dyDescent="0.2">
      <c r="A277">
        <v>2022</v>
      </c>
      <c r="B277" t="s">
        <v>57</v>
      </c>
      <c r="C277" s="3">
        <v>44646</v>
      </c>
      <c r="D277" s="3" t="s">
        <v>42</v>
      </c>
      <c r="E277" s="3" t="s">
        <v>46</v>
      </c>
      <c r="F277" s="3" t="s">
        <v>46</v>
      </c>
      <c r="G277" s="4">
        <v>0.39583333333333331</v>
      </c>
      <c r="H277" s="4">
        <v>0.10416666666666667</v>
      </c>
      <c r="I277" t="s">
        <v>32</v>
      </c>
      <c r="J277">
        <v>3</v>
      </c>
      <c r="L277" s="46"/>
      <c r="P277">
        <v>370</v>
      </c>
      <c r="Q277">
        <v>0</v>
      </c>
      <c r="R277">
        <v>0</v>
      </c>
      <c r="S277" s="7">
        <f>Tabla1[[#This Row],[TARIFA]]+Tabla1[[#This Row],[IMPORTE EXTRAS]]</f>
        <v>370</v>
      </c>
      <c r="T277" t="s">
        <v>45</v>
      </c>
      <c r="U277">
        <v>370</v>
      </c>
      <c r="V277">
        <v>0</v>
      </c>
      <c r="W277">
        <v>0</v>
      </c>
      <c r="X277">
        <v>0</v>
      </c>
      <c r="Z277" s="7">
        <f>SUM(Tabla1[[#This Row],[RES-A]:[EXTR-B]])</f>
        <v>370</v>
      </c>
      <c r="AA277" s="7">
        <f>Tabla1[[#This Row],[Columna1]]-Tabla1[[#This Row],[IMPORTE TOTAL]]</f>
        <v>0</v>
      </c>
    </row>
    <row r="278" spans="1:27" x14ac:dyDescent="0.2">
      <c r="A278">
        <v>2022</v>
      </c>
      <c r="B278" t="s">
        <v>57</v>
      </c>
      <c r="C278" s="3">
        <v>44647</v>
      </c>
      <c r="D278" s="3" t="s">
        <v>43</v>
      </c>
      <c r="E278" s="3" t="s">
        <v>46</v>
      </c>
      <c r="F278" s="3" t="s">
        <v>46</v>
      </c>
      <c r="G278" s="4">
        <v>0.64583333333333337</v>
      </c>
      <c r="H278" s="4">
        <v>0.85416666666666663</v>
      </c>
      <c r="I278" t="s">
        <v>31</v>
      </c>
      <c r="J278">
        <v>1</v>
      </c>
      <c r="L278" s="46"/>
      <c r="P278">
        <v>145</v>
      </c>
      <c r="Q278">
        <v>0</v>
      </c>
      <c r="R278">
        <v>0</v>
      </c>
      <c r="S278" s="7">
        <f>Tabla1[[#This Row],[TARIFA]]+Tabla1[[#This Row],[IMPORTE EXTRAS]]</f>
        <v>145</v>
      </c>
      <c r="T278" t="s">
        <v>45</v>
      </c>
      <c r="U278">
        <v>50</v>
      </c>
      <c r="V278">
        <v>95</v>
      </c>
      <c r="W278">
        <v>0</v>
      </c>
      <c r="X278">
        <v>0</v>
      </c>
      <c r="Z278" s="7">
        <f>SUM(Tabla1[[#This Row],[RES-A]:[EXTR-B]])</f>
        <v>145</v>
      </c>
      <c r="AA278" s="7">
        <f>Tabla1[[#This Row],[Columna1]]-Tabla1[[#This Row],[IMPORTE TOTAL]]</f>
        <v>0</v>
      </c>
    </row>
    <row r="279" spans="1:27" x14ac:dyDescent="0.2">
      <c r="A279">
        <v>2022</v>
      </c>
      <c r="B279" t="s">
        <v>57</v>
      </c>
      <c r="C279" s="3">
        <v>44649</v>
      </c>
      <c r="D279" s="3" t="s">
        <v>38</v>
      </c>
      <c r="E279" s="3" t="s">
        <v>46</v>
      </c>
      <c r="F279" s="3" t="s">
        <v>46</v>
      </c>
      <c r="G279" s="4">
        <v>0.66666666666666663</v>
      </c>
      <c r="H279" s="4">
        <v>0</v>
      </c>
      <c r="I279" t="s">
        <v>31</v>
      </c>
      <c r="J279">
        <v>1</v>
      </c>
      <c r="L279" s="46"/>
      <c r="P279">
        <v>95</v>
      </c>
      <c r="Q279">
        <v>3</v>
      </c>
      <c r="R279">
        <v>65</v>
      </c>
      <c r="S279" s="7">
        <f>Tabla1[[#This Row],[TARIFA]]+Tabla1[[#This Row],[IMPORTE EXTRAS]]</f>
        <v>160</v>
      </c>
      <c r="T279" t="s">
        <v>45</v>
      </c>
      <c r="U279">
        <v>0</v>
      </c>
      <c r="V279">
        <v>160</v>
      </c>
      <c r="W279">
        <v>0</v>
      </c>
      <c r="X279">
        <v>0</v>
      </c>
      <c r="Z279" s="7">
        <f>SUM(Tabla1[[#This Row],[RES-A]:[EXTR-B]])</f>
        <v>160</v>
      </c>
      <c r="AA279" s="7">
        <f>Tabla1[[#This Row],[Columna1]]-Tabla1[[#This Row],[IMPORTE TOTAL]]</f>
        <v>0</v>
      </c>
    </row>
    <row r="280" spans="1:27" x14ac:dyDescent="0.2">
      <c r="A280">
        <v>2022</v>
      </c>
      <c r="B280" t="s">
        <v>58</v>
      </c>
      <c r="C280" s="3">
        <v>44652</v>
      </c>
      <c r="D280" s="3" t="s">
        <v>41</v>
      </c>
      <c r="E280" s="3" t="s">
        <v>46</v>
      </c>
      <c r="F280" s="3" t="s">
        <v>46</v>
      </c>
      <c r="G280" s="4">
        <v>0.64583333333333337</v>
      </c>
      <c r="H280" s="4">
        <v>0.85416666666666663</v>
      </c>
      <c r="I280" t="s">
        <v>31</v>
      </c>
      <c r="J280">
        <v>1</v>
      </c>
      <c r="L280" s="46"/>
      <c r="P280">
        <v>135</v>
      </c>
      <c r="Q280">
        <v>0</v>
      </c>
      <c r="R280">
        <v>0</v>
      </c>
      <c r="S280" s="7">
        <f>Tabla1[[#This Row],[TARIFA]]+Tabla1[[#This Row],[IMPORTE EXTRAS]]</f>
        <v>135</v>
      </c>
      <c r="T280" t="s">
        <v>45</v>
      </c>
      <c r="U280">
        <v>135</v>
      </c>
      <c r="V280">
        <v>0</v>
      </c>
      <c r="W280">
        <v>0</v>
      </c>
      <c r="X280">
        <v>0</v>
      </c>
      <c r="Z280" s="7">
        <f>SUM(Tabla1[[#This Row],[RES-A]:[EXTR-B]])</f>
        <v>135</v>
      </c>
      <c r="AA280" s="7">
        <f>Tabla1[[#This Row],[Columna1]]-Tabla1[[#This Row],[IMPORTE TOTAL]]</f>
        <v>0</v>
      </c>
    </row>
    <row r="281" spans="1:27" x14ac:dyDescent="0.2">
      <c r="A281">
        <v>2022</v>
      </c>
      <c r="B281" t="s">
        <v>58</v>
      </c>
      <c r="C281" s="3">
        <v>44652</v>
      </c>
      <c r="D281" s="3" t="s">
        <v>41</v>
      </c>
      <c r="E281" s="3" t="s">
        <v>46</v>
      </c>
      <c r="F281" s="3" t="s">
        <v>46</v>
      </c>
      <c r="G281" s="4">
        <v>0.89583333333333337</v>
      </c>
      <c r="H281" s="4">
        <v>0.10416666666666667</v>
      </c>
      <c r="I281" t="s">
        <v>35</v>
      </c>
      <c r="J281">
        <v>1</v>
      </c>
      <c r="L281" s="46"/>
      <c r="P281">
        <v>195</v>
      </c>
      <c r="Q281">
        <v>1</v>
      </c>
      <c r="R281">
        <v>50</v>
      </c>
      <c r="S281" s="7">
        <f>Tabla1[[#This Row],[TARIFA]]+Tabla1[[#This Row],[IMPORTE EXTRAS]]</f>
        <v>245</v>
      </c>
      <c r="T281" t="s">
        <v>45</v>
      </c>
      <c r="U281">
        <v>195</v>
      </c>
      <c r="V281">
        <v>0</v>
      </c>
      <c r="W281">
        <v>50</v>
      </c>
      <c r="X281">
        <v>0</v>
      </c>
      <c r="Z281" s="7">
        <f>SUM(Tabla1[[#This Row],[RES-A]:[EXTR-B]])</f>
        <v>245</v>
      </c>
      <c r="AA281" s="7">
        <f>Tabla1[[#This Row],[Columna1]]-Tabla1[[#This Row],[IMPORTE TOTAL]]</f>
        <v>0</v>
      </c>
    </row>
    <row r="282" spans="1:27" x14ac:dyDescent="0.2">
      <c r="A282">
        <v>2022</v>
      </c>
      <c r="B282" t="s">
        <v>58</v>
      </c>
      <c r="C282" s="3">
        <v>44653</v>
      </c>
      <c r="D282" s="3" t="s">
        <v>42</v>
      </c>
      <c r="E282" s="3" t="s">
        <v>46</v>
      </c>
      <c r="F282" s="3" t="s">
        <v>46</v>
      </c>
      <c r="G282" s="4">
        <v>0.39583333333333331</v>
      </c>
      <c r="H282" s="4">
        <v>0.60416666666666663</v>
      </c>
      <c r="I282" t="s">
        <v>30</v>
      </c>
      <c r="J282">
        <v>1</v>
      </c>
      <c r="L282" s="46"/>
      <c r="P282">
        <v>145</v>
      </c>
      <c r="Q282">
        <v>0</v>
      </c>
      <c r="R282">
        <v>0</v>
      </c>
      <c r="S282" s="7">
        <f>Tabla1[[#This Row],[TARIFA]]+Tabla1[[#This Row],[IMPORTE EXTRAS]]</f>
        <v>145</v>
      </c>
      <c r="T282" t="s">
        <v>45</v>
      </c>
      <c r="U282">
        <v>145</v>
      </c>
      <c r="V282">
        <v>0</v>
      </c>
      <c r="W282">
        <v>0</v>
      </c>
      <c r="X282">
        <v>0</v>
      </c>
      <c r="Z282" s="7">
        <f>SUM(Tabla1[[#This Row],[RES-A]:[EXTR-B]])</f>
        <v>145</v>
      </c>
      <c r="AA282" s="7">
        <f>Tabla1[[#This Row],[Columna1]]-Tabla1[[#This Row],[IMPORTE TOTAL]]</f>
        <v>0</v>
      </c>
    </row>
    <row r="283" spans="1:27" x14ac:dyDescent="0.2">
      <c r="A283">
        <v>2022</v>
      </c>
      <c r="B283" t="s">
        <v>58</v>
      </c>
      <c r="C283" s="3">
        <v>44653</v>
      </c>
      <c r="D283" s="3" t="s">
        <v>42</v>
      </c>
      <c r="E283" s="3" t="s">
        <v>46</v>
      </c>
      <c r="F283" s="3" t="s">
        <v>46</v>
      </c>
      <c r="G283" s="4">
        <v>0.64583333333333337</v>
      </c>
      <c r="H283" s="4">
        <v>0.85416666666666663</v>
      </c>
      <c r="I283" t="s">
        <v>31</v>
      </c>
      <c r="J283">
        <v>1</v>
      </c>
      <c r="L283" s="46"/>
      <c r="P283">
        <v>145</v>
      </c>
      <c r="Q283">
        <v>0</v>
      </c>
      <c r="R283">
        <v>0</v>
      </c>
      <c r="S283" s="7">
        <f>Tabla1[[#This Row],[TARIFA]]+Tabla1[[#This Row],[IMPORTE EXTRAS]]</f>
        <v>145</v>
      </c>
      <c r="T283" t="s">
        <v>45</v>
      </c>
      <c r="U283">
        <v>145</v>
      </c>
      <c r="V283">
        <v>0</v>
      </c>
      <c r="W283">
        <v>0</v>
      </c>
      <c r="X283">
        <v>0</v>
      </c>
      <c r="Z283" s="7">
        <f>SUM(Tabla1[[#This Row],[RES-A]:[EXTR-B]])</f>
        <v>145</v>
      </c>
      <c r="AA283" s="7">
        <f>Tabla1[[#This Row],[Columna1]]-Tabla1[[#This Row],[IMPORTE TOTAL]]</f>
        <v>0</v>
      </c>
    </row>
    <row r="284" spans="1:27" x14ac:dyDescent="0.2">
      <c r="A284">
        <v>2022</v>
      </c>
      <c r="B284" t="s">
        <v>58</v>
      </c>
      <c r="C284" s="3">
        <v>44653</v>
      </c>
      <c r="D284" s="3" t="s">
        <v>42</v>
      </c>
      <c r="E284" s="3" t="s">
        <v>46</v>
      </c>
      <c r="F284" s="3" t="s">
        <v>46</v>
      </c>
      <c r="G284" s="4">
        <v>0.89583333333333337</v>
      </c>
      <c r="H284" s="4">
        <v>0.10416666666666667</v>
      </c>
      <c r="I284" t="s">
        <v>35</v>
      </c>
      <c r="J284">
        <v>1</v>
      </c>
      <c r="L284" s="46"/>
      <c r="P284">
        <v>195</v>
      </c>
      <c r="Q284">
        <v>0</v>
      </c>
      <c r="R284">
        <v>0</v>
      </c>
      <c r="S284" s="7">
        <f>Tabla1[[#This Row],[TARIFA]]+Tabla1[[#This Row],[IMPORTE EXTRAS]]</f>
        <v>195</v>
      </c>
      <c r="T284" t="s">
        <v>45</v>
      </c>
      <c r="U284">
        <v>195</v>
      </c>
      <c r="V284">
        <v>0</v>
      </c>
      <c r="W284">
        <v>0</v>
      </c>
      <c r="X284">
        <v>0</v>
      </c>
      <c r="Z284" s="7">
        <f>SUM(Tabla1[[#This Row],[RES-A]:[EXTR-B]])</f>
        <v>195</v>
      </c>
      <c r="AA284" s="7">
        <f>Tabla1[[#This Row],[Columna1]]-Tabla1[[#This Row],[IMPORTE TOTAL]]</f>
        <v>0</v>
      </c>
    </row>
    <row r="285" spans="1:27" x14ac:dyDescent="0.2">
      <c r="A285">
        <v>2022</v>
      </c>
      <c r="B285" t="s">
        <v>58</v>
      </c>
      <c r="C285" s="3">
        <v>44654</v>
      </c>
      <c r="D285" s="3" t="s">
        <v>43</v>
      </c>
      <c r="E285" s="3" t="s">
        <v>46</v>
      </c>
      <c r="F285" s="3" t="s">
        <v>46</v>
      </c>
      <c r="G285" s="4">
        <v>0.39583333333333331</v>
      </c>
      <c r="H285" s="4">
        <v>0.60416666666666663</v>
      </c>
      <c r="I285" t="s">
        <v>30</v>
      </c>
      <c r="J285">
        <v>1</v>
      </c>
      <c r="L285" s="46"/>
      <c r="P285">
        <v>145</v>
      </c>
      <c r="Q285">
        <v>0</v>
      </c>
      <c r="R285">
        <v>0</v>
      </c>
      <c r="S285" s="7">
        <f>Tabla1[[#This Row],[TARIFA]]+Tabla1[[#This Row],[IMPORTE EXTRAS]]</f>
        <v>145</v>
      </c>
      <c r="T285" t="s">
        <v>45</v>
      </c>
      <c r="U285">
        <v>145</v>
      </c>
      <c r="V285">
        <v>0</v>
      </c>
      <c r="W285">
        <v>0</v>
      </c>
      <c r="X285">
        <v>0</v>
      </c>
      <c r="Z285" s="7">
        <f>SUM(Tabla1[[#This Row],[RES-A]:[EXTR-B]])</f>
        <v>145</v>
      </c>
      <c r="AA285" s="7">
        <f>Tabla1[[#This Row],[Columna1]]-Tabla1[[#This Row],[IMPORTE TOTAL]]</f>
        <v>0</v>
      </c>
    </row>
    <row r="286" spans="1:27" x14ac:dyDescent="0.2">
      <c r="A286">
        <v>2022</v>
      </c>
      <c r="B286" t="s">
        <v>58</v>
      </c>
      <c r="C286" s="3">
        <v>44654</v>
      </c>
      <c r="D286" s="3" t="s">
        <v>43</v>
      </c>
      <c r="E286" s="3" t="s">
        <v>46</v>
      </c>
      <c r="F286" s="3" t="s">
        <v>46</v>
      </c>
      <c r="G286" s="4">
        <v>0.64583333333333337</v>
      </c>
      <c r="H286" s="4">
        <v>0.85416666666666663</v>
      </c>
      <c r="I286" t="s">
        <v>31</v>
      </c>
      <c r="J286">
        <v>1</v>
      </c>
      <c r="L286" s="46"/>
      <c r="P286">
        <v>145</v>
      </c>
      <c r="Q286">
        <v>0</v>
      </c>
      <c r="R286">
        <v>0</v>
      </c>
      <c r="S286" s="7">
        <f>Tabla1[[#This Row],[TARIFA]]+Tabla1[[#This Row],[IMPORTE EXTRAS]]</f>
        <v>145</v>
      </c>
      <c r="T286" t="s">
        <v>45</v>
      </c>
      <c r="U286">
        <v>50</v>
      </c>
      <c r="V286">
        <v>95</v>
      </c>
      <c r="W286">
        <v>0</v>
      </c>
      <c r="X286">
        <v>0</v>
      </c>
      <c r="Z286" s="7">
        <f>SUM(Tabla1[[#This Row],[RES-A]:[EXTR-B]])</f>
        <v>145</v>
      </c>
      <c r="AA286" s="7">
        <f>Tabla1[[#This Row],[Columna1]]-Tabla1[[#This Row],[IMPORTE TOTAL]]</f>
        <v>0</v>
      </c>
    </row>
    <row r="287" spans="1:27" x14ac:dyDescent="0.2">
      <c r="A287">
        <v>2022</v>
      </c>
      <c r="B287" t="s">
        <v>58</v>
      </c>
      <c r="C287" s="3">
        <v>44656</v>
      </c>
      <c r="D287" s="3" t="s">
        <v>38</v>
      </c>
      <c r="E287" s="3" t="s">
        <v>46</v>
      </c>
      <c r="F287" s="3" t="s">
        <v>46</v>
      </c>
      <c r="G287" s="4">
        <v>0.64583333333333337</v>
      </c>
      <c r="H287" s="4">
        <v>0.85416666666666663</v>
      </c>
      <c r="I287" t="s">
        <v>31</v>
      </c>
      <c r="J287">
        <v>1</v>
      </c>
      <c r="L287" s="46"/>
      <c r="P287">
        <v>95</v>
      </c>
      <c r="Q287">
        <v>0</v>
      </c>
      <c r="R287">
        <v>0</v>
      </c>
      <c r="S287" s="7">
        <f>Tabla1[[#This Row],[TARIFA]]+Tabla1[[#This Row],[IMPORTE EXTRAS]]</f>
        <v>95</v>
      </c>
      <c r="T287" t="s">
        <v>45</v>
      </c>
      <c r="U287">
        <v>95</v>
      </c>
      <c r="V287">
        <v>0</v>
      </c>
      <c r="W287">
        <v>0</v>
      </c>
      <c r="X287">
        <v>0</v>
      </c>
      <c r="Z287" s="7">
        <f>SUM(Tabla1[[#This Row],[RES-A]:[EXTR-B]])</f>
        <v>95</v>
      </c>
      <c r="AA287" s="7">
        <f>Tabla1[[#This Row],[Columna1]]-Tabla1[[#This Row],[IMPORTE TOTAL]]</f>
        <v>0</v>
      </c>
    </row>
    <row r="288" spans="1:27" x14ac:dyDescent="0.2">
      <c r="A288">
        <v>2022</v>
      </c>
      <c r="B288" t="s">
        <v>58</v>
      </c>
      <c r="C288" s="3">
        <v>44659</v>
      </c>
      <c r="D288" s="3" t="s">
        <v>41</v>
      </c>
      <c r="E288" s="3" t="s">
        <v>46</v>
      </c>
      <c r="F288" s="3" t="s">
        <v>46</v>
      </c>
      <c r="G288" s="4">
        <v>0.89583333333333337</v>
      </c>
      <c r="H288" s="4">
        <v>0.10416666666666667</v>
      </c>
      <c r="I288" t="s">
        <v>35</v>
      </c>
      <c r="J288">
        <v>1</v>
      </c>
      <c r="L288" s="46"/>
      <c r="P288">
        <v>195</v>
      </c>
      <c r="Q288">
        <v>0</v>
      </c>
      <c r="R288">
        <v>0</v>
      </c>
      <c r="S288" s="7">
        <f>Tabla1[[#This Row],[TARIFA]]+Tabla1[[#This Row],[IMPORTE EXTRAS]]</f>
        <v>195</v>
      </c>
      <c r="T288" t="s">
        <v>45</v>
      </c>
      <c r="U288">
        <v>195</v>
      </c>
      <c r="V288">
        <v>0</v>
      </c>
      <c r="W288">
        <v>0</v>
      </c>
      <c r="X288">
        <v>0</v>
      </c>
      <c r="Z288" s="7">
        <f>SUM(Tabla1[[#This Row],[RES-A]:[EXTR-B]])</f>
        <v>195</v>
      </c>
      <c r="AA288" s="7">
        <f>Tabla1[[#This Row],[Columna1]]-Tabla1[[#This Row],[IMPORTE TOTAL]]</f>
        <v>0</v>
      </c>
    </row>
    <row r="289" spans="1:27" x14ac:dyDescent="0.2">
      <c r="A289">
        <v>2022</v>
      </c>
      <c r="B289" t="s">
        <v>58</v>
      </c>
      <c r="C289" s="3">
        <v>44660</v>
      </c>
      <c r="D289" s="3" t="s">
        <v>42</v>
      </c>
      <c r="E289" s="3" t="s">
        <v>46</v>
      </c>
      <c r="F289" s="3" t="s">
        <v>46</v>
      </c>
      <c r="G289" s="4">
        <v>0.64583333333333337</v>
      </c>
      <c r="H289" s="4">
        <v>0.85416666666666663</v>
      </c>
      <c r="I289" t="s">
        <v>31</v>
      </c>
      <c r="J289">
        <v>1</v>
      </c>
      <c r="L289" s="46"/>
      <c r="P289">
        <v>145</v>
      </c>
      <c r="Q289">
        <v>0</v>
      </c>
      <c r="R289">
        <v>0</v>
      </c>
      <c r="S289" s="7">
        <f>Tabla1[[#This Row],[TARIFA]]+Tabla1[[#This Row],[IMPORTE EXTRAS]]</f>
        <v>145</v>
      </c>
      <c r="T289" t="s">
        <v>45</v>
      </c>
      <c r="U289">
        <v>50</v>
      </c>
      <c r="V289">
        <v>95</v>
      </c>
      <c r="W289">
        <v>0</v>
      </c>
      <c r="X289">
        <v>0</v>
      </c>
      <c r="Z289" s="7">
        <f>SUM(Tabla1[[#This Row],[RES-A]:[EXTR-B]])</f>
        <v>145</v>
      </c>
      <c r="AA289" s="7">
        <f>Tabla1[[#This Row],[Columna1]]-Tabla1[[#This Row],[IMPORTE TOTAL]]</f>
        <v>0</v>
      </c>
    </row>
    <row r="290" spans="1:27" x14ac:dyDescent="0.2">
      <c r="A290">
        <v>2022</v>
      </c>
      <c r="B290" t="s">
        <v>58</v>
      </c>
      <c r="C290" s="3">
        <v>44660</v>
      </c>
      <c r="D290" s="3" t="s">
        <v>42</v>
      </c>
      <c r="E290" s="3" t="s">
        <v>46</v>
      </c>
      <c r="F290" s="3" t="s">
        <v>46</v>
      </c>
      <c r="G290" s="4">
        <v>0.89583333333333337</v>
      </c>
      <c r="H290" s="4">
        <v>0.10416666666666667</v>
      </c>
      <c r="I290" t="s">
        <v>35</v>
      </c>
      <c r="J290">
        <v>1</v>
      </c>
      <c r="L290" s="46"/>
      <c r="P290">
        <v>195</v>
      </c>
      <c r="Q290">
        <v>1</v>
      </c>
      <c r="R290">
        <v>50</v>
      </c>
      <c r="S290" s="7">
        <f>Tabla1[[#This Row],[TARIFA]]+Tabla1[[#This Row],[IMPORTE EXTRAS]]</f>
        <v>245</v>
      </c>
      <c r="T290" t="s">
        <v>45</v>
      </c>
      <c r="U290">
        <v>50</v>
      </c>
      <c r="V290">
        <v>145</v>
      </c>
      <c r="W290">
        <v>0</v>
      </c>
      <c r="X290">
        <v>50</v>
      </c>
      <c r="Z290" s="7">
        <f>SUM(Tabla1[[#This Row],[RES-A]:[EXTR-B]])</f>
        <v>245</v>
      </c>
      <c r="AA290" s="7">
        <f>Tabla1[[#This Row],[Columna1]]-Tabla1[[#This Row],[IMPORTE TOTAL]]</f>
        <v>0</v>
      </c>
    </row>
    <row r="291" spans="1:27" x14ac:dyDescent="0.2">
      <c r="A291">
        <v>2022</v>
      </c>
      <c r="B291" t="s">
        <v>58</v>
      </c>
      <c r="C291" s="3">
        <v>44661</v>
      </c>
      <c r="D291" s="3" t="s">
        <v>43</v>
      </c>
      <c r="E291" s="3" t="s">
        <v>46</v>
      </c>
      <c r="F291" s="3" t="s">
        <v>46</v>
      </c>
      <c r="G291" s="4">
        <v>0.64583333333333337</v>
      </c>
      <c r="H291" s="4">
        <v>0.85416666666666663</v>
      </c>
      <c r="I291" t="s">
        <v>31</v>
      </c>
      <c r="J291">
        <v>1</v>
      </c>
      <c r="L291" s="46"/>
      <c r="P291">
        <v>145</v>
      </c>
      <c r="Q291">
        <v>0</v>
      </c>
      <c r="R291">
        <v>0</v>
      </c>
      <c r="S291" s="7">
        <f>Tabla1[[#This Row],[TARIFA]]+Tabla1[[#This Row],[IMPORTE EXTRAS]]</f>
        <v>145</v>
      </c>
      <c r="T291" t="s">
        <v>45</v>
      </c>
      <c r="U291">
        <v>50</v>
      </c>
      <c r="V291">
        <v>95</v>
      </c>
      <c r="W291">
        <v>0</v>
      </c>
      <c r="X291">
        <v>0</v>
      </c>
      <c r="Z291" s="7">
        <f>SUM(Tabla1[[#This Row],[RES-A]:[EXTR-B]])</f>
        <v>145</v>
      </c>
      <c r="AA291" s="7">
        <f>Tabla1[[#This Row],[Columna1]]-Tabla1[[#This Row],[IMPORTE TOTAL]]</f>
        <v>0</v>
      </c>
    </row>
    <row r="292" spans="1:27" x14ac:dyDescent="0.2">
      <c r="A292">
        <v>2022</v>
      </c>
      <c r="B292" t="s">
        <v>58</v>
      </c>
      <c r="C292" s="3">
        <v>44661</v>
      </c>
      <c r="D292" s="3" t="s">
        <v>43</v>
      </c>
      <c r="E292" s="3" t="s">
        <v>46</v>
      </c>
      <c r="F292" s="3" t="s">
        <v>46</v>
      </c>
      <c r="G292" s="4">
        <v>0.89583333333333337</v>
      </c>
      <c r="H292" s="4">
        <v>0.10416666666666667</v>
      </c>
      <c r="I292" t="s">
        <v>35</v>
      </c>
      <c r="J292">
        <v>1</v>
      </c>
      <c r="L292" s="46"/>
      <c r="P292">
        <v>195</v>
      </c>
      <c r="Q292">
        <v>1</v>
      </c>
      <c r="R292">
        <v>65</v>
      </c>
      <c r="S292" s="7">
        <f>Tabla1[[#This Row],[TARIFA]]+Tabla1[[#This Row],[IMPORTE EXTRAS]]</f>
        <v>260</v>
      </c>
      <c r="T292" t="s">
        <v>45</v>
      </c>
      <c r="U292">
        <v>0</v>
      </c>
      <c r="V292">
        <v>195</v>
      </c>
      <c r="W292">
        <v>0</v>
      </c>
      <c r="X292">
        <v>65</v>
      </c>
      <c r="Z292" s="7">
        <f>SUM(Tabla1[[#This Row],[RES-A]:[EXTR-B]])</f>
        <v>260</v>
      </c>
      <c r="AA292" s="7">
        <f>Tabla1[[#This Row],[Columna1]]-Tabla1[[#This Row],[IMPORTE TOTAL]]</f>
        <v>0</v>
      </c>
    </row>
    <row r="293" spans="1:27" x14ac:dyDescent="0.2">
      <c r="A293">
        <v>2022</v>
      </c>
      <c r="B293" t="s">
        <v>58</v>
      </c>
      <c r="C293" s="3">
        <v>44662</v>
      </c>
      <c r="D293" s="3" t="s">
        <v>37</v>
      </c>
      <c r="E293" s="3" t="s">
        <v>46</v>
      </c>
      <c r="F293" s="3" t="s">
        <v>46</v>
      </c>
      <c r="G293" s="4">
        <v>0.64583333333333337</v>
      </c>
      <c r="H293" s="4">
        <v>0.85416666666666663</v>
      </c>
      <c r="I293" t="s">
        <v>31</v>
      </c>
      <c r="J293">
        <v>1</v>
      </c>
      <c r="L293" s="46"/>
      <c r="P293">
        <v>95</v>
      </c>
      <c r="Q293">
        <v>1</v>
      </c>
      <c r="R293">
        <v>5</v>
      </c>
      <c r="S293" s="7">
        <f>Tabla1[[#This Row],[TARIFA]]+Tabla1[[#This Row],[IMPORTE EXTRAS]]</f>
        <v>100</v>
      </c>
      <c r="T293" t="s">
        <v>45</v>
      </c>
      <c r="U293">
        <v>50</v>
      </c>
      <c r="V293">
        <v>45</v>
      </c>
      <c r="W293">
        <v>0</v>
      </c>
      <c r="X293">
        <v>5</v>
      </c>
      <c r="Z293" s="7">
        <f>SUM(Tabla1[[#This Row],[RES-A]:[EXTR-B]])</f>
        <v>100</v>
      </c>
      <c r="AA293" s="7">
        <f>Tabla1[[#This Row],[Columna1]]-Tabla1[[#This Row],[IMPORTE TOTAL]]</f>
        <v>0</v>
      </c>
    </row>
    <row r="294" spans="1:27" x14ac:dyDescent="0.2">
      <c r="A294">
        <v>2022</v>
      </c>
      <c r="B294" t="s">
        <v>58</v>
      </c>
      <c r="C294" s="3">
        <v>44663</v>
      </c>
      <c r="D294" s="3" t="s">
        <v>38</v>
      </c>
      <c r="E294" s="3" t="s">
        <v>46</v>
      </c>
      <c r="F294" s="3" t="s">
        <v>46</v>
      </c>
      <c r="G294" s="4">
        <v>0.70833333333333337</v>
      </c>
      <c r="H294" s="4">
        <v>0.91666666666666663</v>
      </c>
      <c r="I294" t="s">
        <v>31</v>
      </c>
      <c r="J294">
        <v>1</v>
      </c>
      <c r="L294" s="46"/>
      <c r="P294">
        <v>95</v>
      </c>
      <c r="Q294">
        <v>0</v>
      </c>
      <c r="R294">
        <v>0</v>
      </c>
      <c r="S294" s="7">
        <f>Tabla1[[#This Row],[TARIFA]]+Tabla1[[#This Row],[IMPORTE EXTRAS]]</f>
        <v>95</v>
      </c>
      <c r="T294" t="s">
        <v>45</v>
      </c>
      <c r="U294">
        <v>50</v>
      </c>
      <c r="V294">
        <v>45</v>
      </c>
      <c r="W294">
        <v>0</v>
      </c>
      <c r="X294">
        <v>0</v>
      </c>
      <c r="Z294" s="7">
        <f>SUM(Tabla1[[#This Row],[RES-A]:[EXTR-B]])</f>
        <v>95</v>
      </c>
      <c r="AA294" s="7">
        <f>Tabla1[[#This Row],[Columna1]]-Tabla1[[#This Row],[IMPORTE TOTAL]]</f>
        <v>0</v>
      </c>
    </row>
    <row r="295" spans="1:27" x14ac:dyDescent="0.2">
      <c r="A295">
        <v>2022</v>
      </c>
      <c r="B295" t="s">
        <v>58</v>
      </c>
      <c r="C295" s="3">
        <v>44668</v>
      </c>
      <c r="D295" s="3" t="s">
        <v>43</v>
      </c>
      <c r="E295" s="3" t="s">
        <v>46</v>
      </c>
      <c r="F295" s="3" t="s">
        <v>46</v>
      </c>
      <c r="G295" s="4">
        <v>0.89583333333333337</v>
      </c>
      <c r="H295" s="4">
        <v>0.10416666666666667</v>
      </c>
      <c r="I295" t="s">
        <v>35</v>
      </c>
      <c r="J295">
        <v>1</v>
      </c>
      <c r="L295" s="46"/>
      <c r="P295">
        <v>195</v>
      </c>
      <c r="Q295">
        <v>0</v>
      </c>
      <c r="R295">
        <v>0</v>
      </c>
      <c r="S295" s="7">
        <f>Tabla1[[#This Row],[TARIFA]]+Tabla1[[#This Row],[IMPORTE EXTRAS]]</f>
        <v>195</v>
      </c>
      <c r="T295" t="s">
        <v>45</v>
      </c>
      <c r="U295">
        <v>50</v>
      </c>
      <c r="V295">
        <v>145</v>
      </c>
      <c r="W295">
        <v>0</v>
      </c>
      <c r="X295">
        <v>0</v>
      </c>
      <c r="Z295" s="7">
        <f>SUM(Tabla1[[#This Row],[RES-A]:[EXTR-B]])</f>
        <v>195</v>
      </c>
      <c r="AA295" s="7">
        <f>Tabla1[[#This Row],[Columna1]]-Tabla1[[#This Row],[IMPORTE TOTAL]]</f>
        <v>0</v>
      </c>
    </row>
    <row r="296" spans="1:27" x14ac:dyDescent="0.2">
      <c r="A296">
        <v>2022</v>
      </c>
      <c r="B296" t="s">
        <v>58</v>
      </c>
      <c r="C296" s="3">
        <v>44673</v>
      </c>
      <c r="D296" s="3" t="s">
        <v>41</v>
      </c>
      <c r="E296" s="3" t="s">
        <v>46</v>
      </c>
      <c r="F296" s="3" t="s">
        <v>46</v>
      </c>
      <c r="G296" s="4">
        <v>0.89583333333333337</v>
      </c>
      <c r="H296" s="4">
        <v>0.10416666666666667</v>
      </c>
      <c r="I296" t="s">
        <v>35</v>
      </c>
      <c r="J296">
        <v>1</v>
      </c>
      <c r="L296" s="46"/>
      <c r="P296">
        <v>195</v>
      </c>
      <c r="Q296">
        <v>0</v>
      </c>
      <c r="R296">
        <v>0</v>
      </c>
      <c r="S296" s="7">
        <f>Tabla1[[#This Row],[TARIFA]]+Tabla1[[#This Row],[IMPORTE EXTRAS]]</f>
        <v>195</v>
      </c>
      <c r="T296" t="s">
        <v>45</v>
      </c>
      <c r="U296">
        <v>50</v>
      </c>
      <c r="V296">
        <v>145</v>
      </c>
      <c r="W296">
        <v>0</v>
      </c>
      <c r="X296">
        <v>0</v>
      </c>
      <c r="Z296" s="7">
        <f>SUM(Tabla1[[#This Row],[RES-A]:[EXTR-B]])</f>
        <v>195</v>
      </c>
      <c r="AA296" s="7">
        <f>Tabla1[[#This Row],[Columna1]]-Tabla1[[#This Row],[IMPORTE TOTAL]]</f>
        <v>0</v>
      </c>
    </row>
    <row r="297" spans="1:27" x14ac:dyDescent="0.2">
      <c r="A297">
        <v>2022</v>
      </c>
      <c r="B297" t="s">
        <v>58</v>
      </c>
      <c r="C297" s="3">
        <v>44674</v>
      </c>
      <c r="D297" s="3" t="s">
        <v>42</v>
      </c>
      <c r="E297" s="3" t="s">
        <v>46</v>
      </c>
      <c r="F297" s="3" t="s">
        <v>46</v>
      </c>
      <c r="G297" s="4">
        <v>0.39583333333333331</v>
      </c>
      <c r="H297" s="4">
        <v>0.60416666666666663</v>
      </c>
      <c r="I297" t="s">
        <v>30</v>
      </c>
      <c r="J297">
        <v>1</v>
      </c>
      <c r="L297" s="46"/>
      <c r="P297">
        <v>145</v>
      </c>
      <c r="Q297">
        <v>0</v>
      </c>
      <c r="R297">
        <v>0</v>
      </c>
      <c r="S297" s="7">
        <f>Tabla1[[#This Row],[TARIFA]]+Tabla1[[#This Row],[IMPORTE EXTRAS]]</f>
        <v>145</v>
      </c>
      <c r="T297" t="s">
        <v>45</v>
      </c>
      <c r="U297">
        <v>50</v>
      </c>
      <c r="V297">
        <v>95</v>
      </c>
      <c r="W297">
        <v>0</v>
      </c>
      <c r="X297">
        <v>0</v>
      </c>
      <c r="Z297" s="7">
        <f>SUM(Tabla1[[#This Row],[RES-A]:[EXTR-B]])</f>
        <v>145</v>
      </c>
      <c r="AA297" s="7">
        <f>Tabla1[[#This Row],[Columna1]]-Tabla1[[#This Row],[IMPORTE TOTAL]]</f>
        <v>0</v>
      </c>
    </row>
    <row r="298" spans="1:27" x14ac:dyDescent="0.2">
      <c r="A298">
        <v>2022</v>
      </c>
      <c r="B298" t="s">
        <v>58</v>
      </c>
      <c r="C298" s="3">
        <v>44674</v>
      </c>
      <c r="D298" s="3" t="s">
        <v>42</v>
      </c>
      <c r="E298" s="3" t="s">
        <v>46</v>
      </c>
      <c r="F298" s="3" t="s">
        <v>46</v>
      </c>
      <c r="G298" s="4">
        <v>0.64583333333333337</v>
      </c>
      <c r="H298" s="4">
        <v>0.85416666666666663</v>
      </c>
      <c r="I298" t="s">
        <v>31</v>
      </c>
      <c r="J298">
        <v>1</v>
      </c>
      <c r="L298" s="46"/>
      <c r="P298">
        <v>150</v>
      </c>
      <c r="Q298">
        <v>0</v>
      </c>
      <c r="R298">
        <v>0</v>
      </c>
      <c r="S298" s="7">
        <f>Tabla1[[#This Row],[TARIFA]]+Tabla1[[#This Row],[IMPORTE EXTRAS]]</f>
        <v>150</v>
      </c>
      <c r="T298" t="s">
        <v>45</v>
      </c>
      <c r="U298">
        <v>50</v>
      </c>
      <c r="V298">
        <v>100</v>
      </c>
      <c r="W298">
        <v>0</v>
      </c>
      <c r="X298">
        <v>0</v>
      </c>
      <c r="Z298" s="7">
        <f>SUM(Tabla1[[#This Row],[RES-A]:[EXTR-B]])</f>
        <v>150</v>
      </c>
      <c r="AA298" s="7">
        <f>Tabla1[[#This Row],[Columna1]]-Tabla1[[#This Row],[IMPORTE TOTAL]]</f>
        <v>0</v>
      </c>
    </row>
    <row r="299" spans="1:27" x14ac:dyDescent="0.2">
      <c r="A299">
        <v>2022</v>
      </c>
      <c r="B299" t="s">
        <v>58</v>
      </c>
      <c r="C299" s="3">
        <v>44674</v>
      </c>
      <c r="D299" s="3" t="s">
        <v>42</v>
      </c>
      <c r="E299" s="3" t="s">
        <v>46</v>
      </c>
      <c r="F299" s="3" t="s">
        <v>46</v>
      </c>
      <c r="G299" s="4">
        <v>0.39583333333333331</v>
      </c>
      <c r="H299" s="4">
        <v>0.60416666666666663</v>
      </c>
      <c r="I299" t="s">
        <v>30</v>
      </c>
      <c r="J299">
        <v>1</v>
      </c>
      <c r="L299" s="46"/>
      <c r="P299">
        <v>200</v>
      </c>
      <c r="Q299">
        <v>1</v>
      </c>
      <c r="R299">
        <v>60</v>
      </c>
      <c r="S299" s="7">
        <f>Tabla1[[#This Row],[TARIFA]]+Tabla1[[#This Row],[IMPORTE EXTRAS]]</f>
        <v>260</v>
      </c>
      <c r="T299" t="s">
        <v>45</v>
      </c>
      <c r="U299">
        <v>200</v>
      </c>
      <c r="V299">
        <v>0</v>
      </c>
      <c r="W299">
        <v>60</v>
      </c>
      <c r="X299">
        <v>0</v>
      </c>
      <c r="Y299" t="s">
        <v>414</v>
      </c>
      <c r="Z299" s="7">
        <f>SUM(Tabla1[[#This Row],[RES-A]:[EXTR-B]])</f>
        <v>260</v>
      </c>
      <c r="AA299" s="7">
        <f>Tabla1[[#This Row],[Columna1]]-Tabla1[[#This Row],[IMPORTE TOTAL]]</f>
        <v>0</v>
      </c>
    </row>
    <row r="300" spans="1:27" x14ac:dyDescent="0.2">
      <c r="A300">
        <v>2022</v>
      </c>
      <c r="B300" t="s">
        <v>58</v>
      </c>
      <c r="C300" s="3">
        <v>44675</v>
      </c>
      <c r="D300" s="3" t="s">
        <v>43</v>
      </c>
      <c r="E300" s="3" t="s">
        <v>46</v>
      </c>
      <c r="F300" s="3" t="s">
        <v>46</v>
      </c>
      <c r="G300" s="4">
        <v>0.39583333333333331</v>
      </c>
      <c r="H300" s="4">
        <v>0.60416666666666663</v>
      </c>
      <c r="I300" t="s">
        <v>30</v>
      </c>
      <c r="J300">
        <v>1</v>
      </c>
      <c r="L300" s="46"/>
      <c r="P300">
        <v>145</v>
      </c>
      <c r="Q300">
        <v>0</v>
      </c>
      <c r="R300">
        <v>0</v>
      </c>
      <c r="S300" s="7">
        <f>Tabla1[[#This Row],[TARIFA]]+Tabla1[[#This Row],[IMPORTE EXTRAS]]</f>
        <v>145</v>
      </c>
      <c r="T300" t="s">
        <v>45</v>
      </c>
      <c r="U300">
        <v>50</v>
      </c>
      <c r="V300">
        <v>95</v>
      </c>
      <c r="W300">
        <v>0</v>
      </c>
      <c r="X300">
        <v>0</v>
      </c>
      <c r="Z300" s="7">
        <f>SUM(Tabla1[[#This Row],[RES-A]:[EXTR-B]])</f>
        <v>145</v>
      </c>
      <c r="AA300" s="7">
        <f>Tabla1[[#This Row],[Columna1]]-Tabla1[[#This Row],[IMPORTE TOTAL]]</f>
        <v>0</v>
      </c>
    </row>
    <row r="301" spans="1:27" x14ac:dyDescent="0.2">
      <c r="A301">
        <v>2022</v>
      </c>
      <c r="B301" t="s">
        <v>58</v>
      </c>
      <c r="C301" s="3">
        <v>44675</v>
      </c>
      <c r="D301" s="3" t="s">
        <v>43</v>
      </c>
      <c r="E301" s="3" t="s">
        <v>46</v>
      </c>
      <c r="F301" s="3" t="s">
        <v>46</v>
      </c>
      <c r="G301" s="4">
        <v>0.64583333333333337</v>
      </c>
      <c r="H301" s="4">
        <v>0.85416666666666663</v>
      </c>
      <c r="I301" t="s">
        <v>31</v>
      </c>
      <c r="J301">
        <v>1</v>
      </c>
      <c r="L301" s="46"/>
      <c r="P301">
        <v>145</v>
      </c>
      <c r="Q301">
        <v>1</v>
      </c>
      <c r="R301">
        <v>5</v>
      </c>
      <c r="S301" s="7">
        <f>Tabla1[[#This Row],[TARIFA]]+Tabla1[[#This Row],[IMPORTE EXTRAS]]</f>
        <v>150</v>
      </c>
      <c r="T301" t="s">
        <v>45</v>
      </c>
      <c r="U301">
        <v>50</v>
      </c>
      <c r="V301">
        <v>95</v>
      </c>
      <c r="W301">
        <v>0</v>
      </c>
      <c r="X301">
        <v>5</v>
      </c>
      <c r="Z301" s="7">
        <f>SUM(Tabla1[[#This Row],[RES-A]:[EXTR-B]])</f>
        <v>150</v>
      </c>
      <c r="AA301" s="7">
        <f>Tabla1[[#This Row],[Columna1]]-Tabla1[[#This Row],[IMPORTE TOTAL]]</f>
        <v>0</v>
      </c>
    </row>
    <row r="302" spans="1:27" x14ac:dyDescent="0.2">
      <c r="A302">
        <v>2022</v>
      </c>
      <c r="B302" t="s">
        <v>58</v>
      </c>
      <c r="C302" s="3">
        <v>44680</v>
      </c>
      <c r="D302" s="3" t="s">
        <v>41</v>
      </c>
      <c r="E302" s="3" t="s">
        <v>46</v>
      </c>
      <c r="F302" s="3" t="s">
        <v>46</v>
      </c>
      <c r="G302" s="4">
        <v>0.89583333333333337</v>
      </c>
      <c r="H302" s="4">
        <v>0.10416666666666667</v>
      </c>
      <c r="I302" t="s">
        <v>35</v>
      </c>
      <c r="J302">
        <v>1</v>
      </c>
      <c r="L302" s="46"/>
      <c r="P302">
        <v>195</v>
      </c>
      <c r="Q302">
        <v>1</v>
      </c>
      <c r="R302">
        <v>50</v>
      </c>
      <c r="S302" s="7">
        <f>Tabla1[[#This Row],[TARIFA]]+Tabla1[[#This Row],[IMPORTE EXTRAS]]</f>
        <v>245</v>
      </c>
      <c r="T302" t="s">
        <v>45</v>
      </c>
      <c r="U302">
        <v>50</v>
      </c>
      <c r="V302">
        <v>145</v>
      </c>
      <c r="W302">
        <v>0</v>
      </c>
      <c r="X302">
        <v>50</v>
      </c>
      <c r="Z302" s="7">
        <f>SUM(Tabla1[[#This Row],[RES-A]:[EXTR-B]])</f>
        <v>245</v>
      </c>
      <c r="AA302" s="7">
        <f>Tabla1[[#This Row],[Columna1]]-Tabla1[[#This Row],[IMPORTE TOTAL]]</f>
        <v>0</v>
      </c>
    </row>
    <row r="303" spans="1:27" x14ac:dyDescent="0.2">
      <c r="A303">
        <v>2022</v>
      </c>
      <c r="B303" t="s">
        <v>58</v>
      </c>
      <c r="C303" s="3">
        <v>44681</v>
      </c>
      <c r="D303" s="3" t="s">
        <v>42</v>
      </c>
      <c r="E303" s="3" t="s">
        <v>46</v>
      </c>
      <c r="F303" s="3" t="s">
        <v>46</v>
      </c>
      <c r="G303" s="4">
        <v>0.64583333333333337</v>
      </c>
      <c r="H303" s="4">
        <v>0.85416666666666663</v>
      </c>
      <c r="I303" t="s">
        <v>31</v>
      </c>
      <c r="J303">
        <v>1</v>
      </c>
      <c r="L303" s="46"/>
      <c r="P303">
        <v>150</v>
      </c>
      <c r="Q303">
        <v>0</v>
      </c>
      <c r="R303">
        <v>0</v>
      </c>
      <c r="S303" s="7">
        <f>Tabla1[[#This Row],[TARIFA]]+Tabla1[[#This Row],[IMPORTE EXTRAS]]</f>
        <v>150</v>
      </c>
      <c r="T303" t="s">
        <v>45</v>
      </c>
      <c r="U303">
        <v>50</v>
      </c>
      <c r="V303">
        <v>100</v>
      </c>
      <c r="W303">
        <v>0</v>
      </c>
      <c r="X303">
        <v>0</v>
      </c>
      <c r="Z303" s="7">
        <f>SUM(Tabla1[[#This Row],[RES-A]:[EXTR-B]])</f>
        <v>150</v>
      </c>
      <c r="AA303" s="7">
        <f>Tabla1[[#This Row],[Columna1]]-Tabla1[[#This Row],[IMPORTE TOTAL]]</f>
        <v>0</v>
      </c>
    </row>
    <row r="304" spans="1:27" x14ac:dyDescent="0.2">
      <c r="A304">
        <v>2022</v>
      </c>
      <c r="B304" t="s">
        <v>58</v>
      </c>
      <c r="C304" s="3">
        <v>44681</v>
      </c>
      <c r="D304" s="3" t="s">
        <v>42</v>
      </c>
      <c r="E304" s="3" t="s">
        <v>46</v>
      </c>
      <c r="F304" s="3" t="s">
        <v>46</v>
      </c>
      <c r="G304" s="4">
        <v>0.89583333333333337</v>
      </c>
      <c r="H304" s="4">
        <v>0.10416666666666667</v>
      </c>
      <c r="I304" t="s">
        <v>35</v>
      </c>
      <c r="J304">
        <v>1</v>
      </c>
      <c r="L304" s="46"/>
      <c r="P304">
        <v>195</v>
      </c>
      <c r="Q304">
        <v>0</v>
      </c>
      <c r="R304">
        <v>0</v>
      </c>
      <c r="S304" s="7">
        <f>Tabla1[[#This Row],[TARIFA]]+Tabla1[[#This Row],[IMPORTE EXTRAS]]</f>
        <v>195</v>
      </c>
      <c r="T304" t="s">
        <v>45</v>
      </c>
      <c r="U304">
        <v>195</v>
      </c>
      <c r="V304">
        <v>0</v>
      </c>
      <c r="W304">
        <v>0</v>
      </c>
      <c r="X304">
        <v>0</v>
      </c>
      <c r="Z304" s="7">
        <f>SUM(Tabla1[[#This Row],[RES-A]:[EXTR-B]])</f>
        <v>195</v>
      </c>
      <c r="AA304" s="7">
        <f>Tabla1[[#This Row],[Columna1]]-Tabla1[[#This Row],[IMPORTE TOTAL]]</f>
        <v>0</v>
      </c>
    </row>
    <row r="305" spans="1:27" x14ac:dyDescent="0.2">
      <c r="A305">
        <v>2022</v>
      </c>
      <c r="B305" t="s">
        <v>59</v>
      </c>
      <c r="C305" s="3">
        <v>44682</v>
      </c>
      <c r="D305" s="3" t="s">
        <v>43</v>
      </c>
      <c r="E305" s="3" t="s">
        <v>46</v>
      </c>
      <c r="F305" s="3" t="s">
        <v>46</v>
      </c>
      <c r="G305" s="4">
        <v>0.39583333333333331</v>
      </c>
      <c r="H305" s="4">
        <v>0.60416666666666663</v>
      </c>
      <c r="I305" t="s">
        <v>30</v>
      </c>
      <c r="J305">
        <v>1</v>
      </c>
      <c r="L305" s="46"/>
      <c r="P305">
        <v>145</v>
      </c>
      <c r="Q305">
        <v>1</v>
      </c>
      <c r="R305">
        <v>40</v>
      </c>
      <c r="S305" s="7">
        <f>Tabla1[[#This Row],[TARIFA]]+Tabla1[[#This Row],[IMPORTE EXTRAS]]</f>
        <v>185</v>
      </c>
      <c r="T305" t="s">
        <v>45</v>
      </c>
      <c r="U305">
        <v>145</v>
      </c>
      <c r="V305">
        <v>0</v>
      </c>
      <c r="W305">
        <v>40</v>
      </c>
      <c r="X305">
        <v>0</v>
      </c>
      <c r="Z305" s="7">
        <f>SUM(Tabla1[[#This Row],[RES-A]:[EXTR-B]])</f>
        <v>185</v>
      </c>
      <c r="AA305" s="7">
        <f>Tabla1[[#This Row],[Columna1]]-Tabla1[[#This Row],[IMPORTE TOTAL]]</f>
        <v>0</v>
      </c>
    </row>
    <row r="306" spans="1:27" x14ac:dyDescent="0.2">
      <c r="A306">
        <v>2022</v>
      </c>
      <c r="B306" t="s">
        <v>59</v>
      </c>
      <c r="C306" s="3">
        <v>44683</v>
      </c>
      <c r="D306" s="3" t="s">
        <v>37</v>
      </c>
      <c r="E306" s="3" t="s">
        <v>46</v>
      </c>
      <c r="F306" s="3" t="s">
        <v>46</v>
      </c>
      <c r="G306" s="4">
        <v>0.64583333333333337</v>
      </c>
      <c r="H306" s="4">
        <v>0.85416666666666663</v>
      </c>
      <c r="I306" t="s">
        <v>31</v>
      </c>
      <c r="J306">
        <v>1</v>
      </c>
      <c r="L306" s="46"/>
      <c r="P306">
        <v>95</v>
      </c>
      <c r="Q306">
        <v>0</v>
      </c>
      <c r="R306">
        <v>0</v>
      </c>
      <c r="S306" s="7">
        <f>Tabla1[[#This Row],[TARIFA]]+Tabla1[[#This Row],[IMPORTE EXTRAS]]</f>
        <v>95</v>
      </c>
      <c r="T306" t="s">
        <v>45</v>
      </c>
      <c r="U306">
        <v>95</v>
      </c>
      <c r="V306">
        <v>0</v>
      </c>
      <c r="W306">
        <v>0</v>
      </c>
      <c r="X306">
        <v>0</v>
      </c>
      <c r="Z306" s="7">
        <f>SUM(Tabla1[[#This Row],[RES-A]:[EXTR-B]])</f>
        <v>95</v>
      </c>
      <c r="AA306" s="7">
        <f>Tabla1[[#This Row],[Columna1]]-Tabla1[[#This Row],[IMPORTE TOTAL]]</f>
        <v>0</v>
      </c>
    </row>
    <row r="307" spans="1:27" x14ac:dyDescent="0.2">
      <c r="A307">
        <v>2022</v>
      </c>
      <c r="B307" t="s">
        <v>59</v>
      </c>
      <c r="C307" s="3">
        <v>44687</v>
      </c>
      <c r="D307" s="3" t="s">
        <v>42</v>
      </c>
      <c r="E307" s="3" t="s">
        <v>46</v>
      </c>
      <c r="F307" s="3" t="s">
        <v>46</v>
      </c>
      <c r="G307" s="4">
        <v>0.64583333333333337</v>
      </c>
      <c r="H307" s="4">
        <v>0.85416666666666663</v>
      </c>
      <c r="I307" t="s">
        <v>31</v>
      </c>
      <c r="J307">
        <v>1</v>
      </c>
      <c r="L307" s="46"/>
      <c r="P307">
        <v>140</v>
      </c>
      <c r="Q307">
        <v>0</v>
      </c>
      <c r="R307">
        <v>0</v>
      </c>
      <c r="S307" s="7">
        <f>Tabla1[[#This Row],[TARIFA]]+Tabla1[[#This Row],[IMPORTE EXTRAS]]</f>
        <v>140</v>
      </c>
      <c r="T307" t="s">
        <v>45</v>
      </c>
      <c r="U307">
        <v>140</v>
      </c>
      <c r="V307">
        <v>0</v>
      </c>
      <c r="W307">
        <v>0</v>
      </c>
      <c r="X307">
        <v>0</v>
      </c>
      <c r="Z307" s="7">
        <f>SUM(Tabla1[[#This Row],[RES-A]:[EXTR-B]])</f>
        <v>140</v>
      </c>
      <c r="AA307" s="7">
        <f>Tabla1[[#This Row],[Columna1]]-Tabla1[[#This Row],[IMPORTE TOTAL]]</f>
        <v>0</v>
      </c>
    </row>
    <row r="308" spans="1:27" x14ac:dyDescent="0.2">
      <c r="A308">
        <v>2022</v>
      </c>
      <c r="B308" t="s">
        <v>59</v>
      </c>
      <c r="C308" s="3">
        <v>44688</v>
      </c>
      <c r="D308" s="3" t="s">
        <v>42</v>
      </c>
      <c r="E308" s="3" t="s">
        <v>46</v>
      </c>
      <c r="F308" s="3" t="s">
        <v>46</v>
      </c>
      <c r="G308" s="4">
        <v>0.64583333333333337</v>
      </c>
      <c r="H308" s="4">
        <v>0.85416666666666663</v>
      </c>
      <c r="I308" t="s">
        <v>31</v>
      </c>
      <c r="J308">
        <v>1</v>
      </c>
      <c r="L308" s="46"/>
      <c r="P308">
        <v>150</v>
      </c>
      <c r="Q308">
        <v>0</v>
      </c>
      <c r="R308">
        <v>0</v>
      </c>
      <c r="S308" s="7">
        <f>Tabla1[[#This Row],[TARIFA]]+Tabla1[[#This Row],[IMPORTE EXTRAS]]</f>
        <v>150</v>
      </c>
      <c r="T308" t="s">
        <v>45</v>
      </c>
      <c r="U308">
        <v>0</v>
      </c>
      <c r="V308">
        <v>150</v>
      </c>
      <c r="W308">
        <v>0</v>
      </c>
      <c r="X308">
        <v>0</v>
      </c>
      <c r="Y308" t="s">
        <v>413</v>
      </c>
      <c r="Z308" s="7">
        <f>SUM(Tabla1[[#This Row],[RES-A]:[EXTR-B]])</f>
        <v>150</v>
      </c>
      <c r="AA308" s="7">
        <f>Tabla1[[#This Row],[Columna1]]-Tabla1[[#This Row],[IMPORTE TOTAL]]</f>
        <v>0</v>
      </c>
    </row>
    <row r="309" spans="1:27" x14ac:dyDescent="0.2">
      <c r="A309">
        <v>2022</v>
      </c>
      <c r="B309" t="s">
        <v>59</v>
      </c>
      <c r="C309" s="3">
        <v>44688</v>
      </c>
      <c r="D309" s="3" t="s">
        <v>42</v>
      </c>
      <c r="E309" s="3" t="s">
        <v>46</v>
      </c>
      <c r="F309" s="3" t="s">
        <v>46</v>
      </c>
      <c r="G309" s="4">
        <v>0.89583333333333337</v>
      </c>
      <c r="H309" s="4">
        <v>0.10416666666666667</v>
      </c>
      <c r="I309" t="s">
        <v>35</v>
      </c>
      <c r="J309">
        <v>1</v>
      </c>
      <c r="L309" s="46"/>
      <c r="P309">
        <v>195</v>
      </c>
      <c r="Q309">
        <v>1</v>
      </c>
      <c r="R309">
        <v>50</v>
      </c>
      <c r="S309" s="7">
        <f>Tabla1[[#This Row],[TARIFA]]+Tabla1[[#This Row],[IMPORTE EXTRAS]]</f>
        <v>245</v>
      </c>
      <c r="T309" t="s">
        <v>45</v>
      </c>
      <c r="U309">
        <v>50</v>
      </c>
      <c r="V309">
        <v>145</v>
      </c>
      <c r="W309">
        <v>0</v>
      </c>
      <c r="X309">
        <v>50</v>
      </c>
      <c r="Z309" s="7">
        <f>SUM(Tabla1[[#This Row],[RES-A]:[EXTR-B]])</f>
        <v>245</v>
      </c>
      <c r="AA309" s="7">
        <f>Tabla1[[#This Row],[Columna1]]-Tabla1[[#This Row],[IMPORTE TOTAL]]</f>
        <v>0</v>
      </c>
    </row>
    <row r="310" spans="1:27" x14ac:dyDescent="0.2">
      <c r="A310">
        <v>2022</v>
      </c>
      <c r="B310" t="s">
        <v>59</v>
      </c>
      <c r="C310" s="3">
        <v>44689</v>
      </c>
      <c r="D310" s="3" t="s">
        <v>43</v>
      </c>
      <c r="E310" s="3" t="s">
        <v>46</v>
      </c>
      <c r="F310" s="3" t="s">
        <v>46</v>
      </c>
      <c r="G310" s="4">
        <v>0.64583333333333337</v>
      </c>
      <c r="H310" s="4">
        <v>0.85416666666666663</v>
      </c>
      <c r="I310" t="s">
        <v>31</v>
      </c>
      <c r="J310">
        <v>1</v>
      </c>
      <c r="L310" s="46"/>
      <c r="P310">
        <v>150</v>
      </c>
      <c r="Q310">
        <v>0</v>
      </c>
      <c r="R310">
        <v>0</v>
      </c>
      <c r="S310" s="7">
        <f>Tabla1[[#This Row],[TARIFA]]+Tabla1[[#This Row],[IMPORTE EXTRAS]]</f>
        <v>150</v>
      </c>
      <c r="T310" t="s">
        <v>45</v>
      </c>
      <c r="U310">
        <v>50</v>
      </c>
      <c r="V310">
        <v>100</v>
      </c>
      <c r="W310">
        <v>0</v>
      </c>
      <c r="X310">
        <v>0</v>
      </c>
      <c r="Y310" t="s">
        <v>416</v>
      </c>
      <c r="Z310" s="7">
        <f>SUM(Tabla1[[#This Row],[RES-A]:[EXTR-B]])</f>
        <v>150</v>
      </c>
      <c r="AA310" s="7">
        <f>Tabla1[[#This Row],[Columna1]]-Tabla1[[#This Row],[IMPORTE TOTAL]]</f>
        <v>0</v>
      </c>
    </row>
    <row r="311" spans="1:27" x14ac:dyDescent="0.2">
      <c r="A311">
        <v>2022</v>
      </c>
      <c r="B311" t="s">
        <v>59</v>
      </c>
      <c r="C311" s="3">
        <v>44694</v>
      </c>
      <c r="D311" s="3" t="s">
        <v>41</v>
      </c>
      <c r="E311" s="3" t="s">
        <v>46</v>
      </c>
      <c r="F311" s="3" t="s">
        <v>46</v>
      </c>
      <c r="G311" s="4">
        <v>0.64583333333333337</v>
      </c>
      <c r="H311" s="4">
        <v>0.10416666666666667</v>
      </c>
      <c r="I311" t="s">
        <v>53</v>
      </c>
      <c r="J311">
        <v>2</v>
      </c>
      <c r="L311" s="46"/>
      <c r="P311">
        <v>275</v>
      </c>
      <c r="Q311">
        <v>1</v>
      </c>
      <c r="R311">
        <v>50</v>
      </c>
      <c r="S311" s="7">
        <f>Tabla1[[#This Row],[TARIFA]]+Tabla1[[#This Row],[IMPORTE EXTRAS]]</f>
        <v>325</v>
      </c>
      <c r="T311" t="s">
        <v>45</v>
      </c>
      <c r="U311">
        <v>50</v>
      </c>
      <c r="V311">
        <v>225</v>
      </c>
      <c r="W311">
        <v>0</v>
      </c>
      <c r="X311">
        <v>50</v>
      </c>
      <c r="Z311" s="7">
        <f>SUM(Tabla1[[#This Row],[RES-A]:[EXTR-B]])</f>
        <v>325</v>
      </c>
      <c r="AA311" s="7">
        <f>Tabla1[[#This Row],[Columna1]]-Tabla1[[#This Row],[IMPORTE TOTAL]]</f>
        <v>0</v>
      </c>
    </row>
    <row r="312" spans="1:27" x14ac:dyDescent="0.2">
      <c r="A312">
        <v>2022</v>
      </c>
      <c r="B312" t="s">
        <v>59</v>
      </c>
      <c r="C312" s="3">
        <v>44695</v>
      </c>
      <c r="D312" s="3" t="s">
        <v>42</v>
      </c>
      <c r="E312" s="3" t="s">
        <v>46</v>
      </c>
      <c r="F312" s="3" t="s">
        <v>46</v>
      </c>
      <c r="G312" s="4">
        <v>0.39583333333333331</v>
      </c>
      <c r="H312" s="4">
        <v>0.60416666666666663</v>
      </c>
      <c r="I312" t="s">
        <v>30</v>
      </c>
      <c r="J312">
        <v>1</v>
      </c>
      <c r="L312" s="46"/>
      <c r="P312">
        <v>150</v>
      </c>
      <c r="Q312">
        <v>0</v>
      </c>
      <c r="R312">
        <v>0</v>
      </c>
      <c r="S312" s="7">
        <f>Tabla1[[#This Row],[TARIFA]]+Tabla1[[#This Row],[IMPORTE EXTRAS]]</f>
        <v>150</v>
      </c>
      <c r="T312" t="s">
        <v>45</v>
      </c>
      <c r="U312">
        <v>50</v>
      </c>
      <c r="V312">
        <v>100</v>
      </c>
      <c r="W312">
        <v>0</v>
      </c>
      <c r="X312">
        <v>0</v>
      </c>
      <c r="Z312" s="7">
        <f>SUM(Tabla1[[#This Row],[RES-A]:[EXTR-B]])</f>
        <v>150</v>
      </c>
      <c r="AA312" s="7">
        <f>Tabla1[[#This Row],[Columna1]]-Tabla1[[#This Row],[IMPORTE TOTAL]]</f>
        <v>0</v>
      </c>
    </row>
    <row r="313" spans="1:27" x14ac:dyDescent="0.2">
      <c r="A313">
        <v>2022</v>
      </c>
      <c r="B313" t="s">
        <v>59</v>
      </c>
      <c r="C313" s="3">
        <v>44695</v>
      </c>
      <c r="D313" s="3" t="s">
        <v>42</v>
      </c>
      <c r="E313" s="3" t="s">
        <v>46</v>
      </c>
      <c r="F313" s="3" t="s">
        <v>46</v>
      </c>
      <c r="G313" s="4">
        <v>0.64583333333333337</v>
      </c>
      <c r="H313" s="4">
        <v>0.85416666666666663</v>
      </c>
      <c r="I313" t="s">
        <v>31</v>
      </c>
      <c r="J313">
        <v>1</v>
      </c>
      <c r="L313" s="46"/>
      <c r="P313">
        <v>150</v>
      </c>
      <c r="Q313">
        <v>0</v>
      </c>
      <c r="R313">
        <v>0</v>
      </c>
      <c r="S313" s="7">
        <f>Tabla1[[#This Row],[TARIFA]]+Tabla1[[#This Row],[IMPORTE EXTRAS]]</f>
        <v>150</v>
      </c>
      <c r="T313" t="s">
        <v>45</v>
      </c>
      <c r="U313">
        <v>50</v>
      </c>
      <c r="V313">
        <v>100</v>
      </c>
      <c r="W313">
        <v>0</v>
      </c>
      <c r="X313">
        <v>0</v>
      </c>
      <c r="Z313" s="7">
        <f>SUM(Tabla1[[#This Row],[RES-A]:[EXTR-B]])</f>
        <v>150</v>
      </c>
      <c r="AA313" s="7">
        <f>Tabla1[[#This Row],[Columna1]]-Tabla1[[#This Row],[IMPORTE TOTAL]]</f>
        <v>0</v>
      </c>
    </row>
    <row r="314" spans="1:27" x14ac:dyDescent="0.2">
      <c r="A314">
        <v>2022</v>
      </c>
      <c r="B314" t="s">
        <v>59</v>
      </c>
      <c r="C314" s="3">
        <v>44696</v>
      </c>
      <c r="D314" s="3" t="s">
        <v>43</v>
      </c>
      <c r="E314" s="3" t="s">
        <v>46</v>
      </c>
      <c r="F314" s="3" t="s">
        <v>46</v>
      </c>
      <c r="G314" s="4">
        <v>0.39583333333333331</v>
      </c>
      <c r="H314" s="4">
        <v>0.85416666666666663</v>
      </c>
      <c r="I314" t="s">
        <v>32</v>
      </c>
      <c r="J314">
        <v>2</v>
      </c>
      <c r="L314" s="46"/>
      <c r="P314">
        <v>270</v>
      </c>
      <c r="Q314">
        <v>0</v>
      </c>
      <c r="R314">
        <v>0</v>
      </c>
      <c r="S314" s="7">
        <f>Tabla1[[#This Row],[TARIFA]]+Tabla1[[#This Row],[IMPORTE EXTRAS]]</f>
        <v>270</v>
      </c>
      <c r="T314" t="s">
        <v>45</v>
      </c>
      <c r="U314">
        <v>50</v>
      </c>
      <c r="V314">
        <v>220</v>
      </c>
      <c r="W314">
        <v>0</v>
      </c>
      <c r="X314">
        <v>0</v>
      </c>
      <c r="Z314" s="7">
        <f>SUM(Tabla1[[#This Row],[RES-A]:[EXTR-B]])</f>
        <v>270</v>
      </c>
      <c r="AA314" s="7">
        <f>Tabla1[[#This Row],[Columna1]]-Tabla1[[#This Row],[IMPORTE TOTAL]]</f>
        <v>0</v>
      </c>
    </row>
    <row r="315" spans="1:27" x14ac:dyDescent="0.2">
      <c r="A315">
        <v>2022</v>
      </c>
      <c r="B315" t="s">
        <v>59</v>
      </c>
      <c r="C315" s="3">
        <v>44698</v>
      </c>
      <c r="D315" s="3" t="s">
        <v>38</v>
      </c>
      <c r="E315" s="3" t="s">
        <v>46</v>
      </c>
      <c r="F315" s="3" t="s">
        <v>46</v>
      </c>
      <c r="G315" s="4">
        <v>0.64583333333333337</v>
      </c>
      <c r="H315" s="4">
        <v>0.85416666666666663</v>
      </c>
      <c r="I315" t="s">
        <v>31</v>
      </c>
      <c r="J315">
        <v>1</v>
      </c>
      <c r="L315" s="46"/>
      <c r="P315">
        <v>95</v>
      </c>
      <c r="Q315">
        <v>0</v>
      </c>
      <c r="R315">
        <v>0</v>
      </c>
      <c r="S315" s="7">
        <f>Tabla1[[#This Row],[TARIFA]]+Tabla1[[#This Row],[IMPORTE EXTRAS]]</f>
        <v>95</v>
      </c>
      <c r="T315" t="s">
        <v>45</v>
      </c>
      <c r="U315">
        <v>50</v>
      </c>
      <c r="V315">
        <v>45</v>
      </c>
      <c r="W315">
        <v>0</v>
      </c>
      <c r="X315">
        <v>0</v>
      </c>
      <c r="Z315" s="7">
        <f>SUM(Tabla1[[#This Row],[RES-A]:[EXTR-B]])</f>
        <v>95</v>
      </c>
      <c r="AA315" s="7">
        <f>Tabla1[[#This Row],[Columna1]]-Tabla1[[#This Row],[IMPORTE TOTAL]]</f>
        <v>0</v>
      </c>
    </row>
    <row r="316" spans="1:27" x14ac:dyDescent="0.2">
      <c r="A316">
        <v>2022</v>
      </c>
      <c r="B316" t="s">
        <v>59</v>
      </c>
      <c r="C316" s="3">
        <v>44700</v>
      </c>
      <c r="D316" s="3" t="s">
        <v>40</v>
      </c>
      <c r="E316" s="3" t="s">
        <v>46</v>
      </c>
      <c r="F316" s="3" t="s">
        <v>46</v>
      </c>
      <c r="G316" s="4">
        <v>0.64583333333333337</v>
      </c>
      <c r="H316" s="4">
        <v>0.85416666666666663</v>
      </c>
      <c r="I316" t="s">
        <v>31</v>
      </c>
      <c r="J316">
        <v>1</v>
      </c>
      <c r="L316" s="46"/>
      <c r="P316">
        <v>95</v>
      </c>
      <c r="Q316">
        <v>0</v>
      </c>
      <c r="R316">
        <v>0</v>
      </c>
      <c r="S316" s="7">
        <f>Tabla1[[#This Row],[TARIFA]]+Tabla1[[#This Row],[IMPORTE EXTRAS]]</f>
        <v>95</v>
      </c>
      <c r="T316" t="s">
        <v>45</v>
      </c>
      <c r="U316">
        <v>50</v>
      </c>
      <c r="V316">
        <v>45</v>
      </c>
      <c r="W316">
        <v>0</v>
      </c>
      <c r="X316">
        <v>0</v>
      </c>
      <c r="Z316" s="7">
        <f>SUM(Tabla1[[#This Row],[RES-A]:[EXTR-B]])</f>
        <v>95</v>
      </c>
      <c r="AA316" s="7">
        <f>Tabla1[[#This Row],[Columna1]]-Tabla1[[#This Row],[IMPORTE TOTAL]]</f>
        <v>0</v>
      </c>
    </row>
    <row r="317" spans="1:27" x14ac:dyDescent="0.2">
      <c r="A317">
        <v>2022</v>
      </c>
      <c r="B317" t="s">
        <v>59</v>
      </c>
      <c r="C317" s="3">
        <v>44701</v>
      </c>
      <c r="D317" s="3" t="s">
        <v>41</v>
      </c>
      <c r="E317" s="3" t="s">
        <v>46</v>
      </c>
      <c r="F317" s="3" t="s">
        <v>46</v>
      </c>
      <c r="G317" s="4">
        <v>0.64583333333333337</v>
      </c>
      <c r="H317" s="4">
        <v>0.85416666666666663</v>
      </c>
      <c r="I317" t="s">
        <v>31</v>
      </c>
      <c r="J317">
        <v>1</v>
      </c>
      <c r="L317" s="46"/>
      <c r="P317">
        <v>140</v>
      </c>
      <c r="Q317">
        <v>0</v>
      </c>
      <c r="R317">
        <v>0</v>
      </c>
      <c r="S317" s="7">
        <f>Tabla1[[#This Row],[TARIFA]]+Tabla1[[#This Row],[IMPORTE EXTRAS]]</f>
        <v>140</v>
      </c>
      <c r="T317" t="s">
        <v>45</v>
      </c>
      <c r="U317">
        <v>50</v>
      </c>
      <c r="V317">
        <v>90</v>
      </c>
      <c r="W317">
        <v>0</v>
      </c>
      <c r="X317">
        <v>0</v>
      </c>
      <c r="Z317" s="7">
        <f>SUM(Tabla1[[#This Row],[RES-A]:[EXTR-B]])</f>
        <v>140</v>
      </c>
      <c r="AA317" s="7">
        <f>Tabla1[[#This Row],[Columna1]]-Tabla1[[#This Row],[IMPORTE TOTAL]]</f>
        <v>0</v>
      </c>
    </row>
    <row r="318" spans="1:27" x14ac:dyDescent="0.2">
      <c r="A318">
        <v>2022</v>
      </c>
      <c r="B318" t="s">
        <v>59</v>
      </c>
      <c r="C318" s="3">
        <v>44702</v>
      </c>
      <c r="D318" s="3" t="s">
        <v>42</v>
      </c>
      <c r="E318" s="3" t="s">
        <v>46</v>
      </c>
      <c r="F318" s="3" t="s">
        <v>46</v>
      </c>
      <c r="G318" s="4">
        <v>0.39583333333333331</v>
      </c>
      <c r="H318" s="4">
        <v>0.85416666666666663</v>
      </c>
      <c r="I318" t="s">
        <v>32</v>
      </c>
      <c r="J318">
        <v>2</v>
      </c>
      <c r="L318" s="46"/>
      <c r="P318">
        <v>290</v>
      </c>
      <c r="Q318">
        <v>0</v>
      </c>
      <c r="R318">
        <v>0</v>
      </c>
      <c r="S318" s="7">
        <f>Tabla1[[#This Row],[TARIFA]]+Tabla1[[#This Row],[IMPORTE EXTRAS]]</f>
        <v>290</v>
      </c>
      <c r="T318" t="s">
        <v>45</v>
      </c>
      <c r="U318">
        <v>50</v>
      </c>
      <c r="V318">
        <v>240</v>
      </c>
      <c r="W318">
        <v>0</v>
      </c>
      <c r="X318">
        <v>0</v>
      </c>
      <c r="Z318" s="7">
        <f>SUM(Tabla1[[#This Row],[RES-A]:[EXTR-B]])</f>
        <v>290</v>
      </c>
      <c r="AA318" s="7">
        <f>Tabla1[[#This Row],[Columna1]]-Tabla1[[#This Row],[IMPORTE TOTAL]]</f>
        <v>0</v>
      </c>
    </row>
    <row r="319" spans="1:27" x14ac:dyDescent="0.2">
      <c r="A319">
        <v>2022</v>
      </c>
      <c r="B319" t="s">
        <v>59</v>
      </c>
      <c r="C319" s="3">
        <v>44702</v>
      </c>
      <c r="D319" s="3" t="s">
        <v>42</v>
      </c>
      <c r="E319" s="3" t="s">
        <v>46</v>
      </c>
      <c r="F319" s="3" t="s">
        <v>46</v>
      </c>
      <c r="G319" s="4">
        <v>0.89583333333333337</v>
      </c>
      <c r="H319" s="4">
        <v>0.10416666666666667</v>
      </c>
      <c r="I319" t="s">
        <v>35</v>
      </c>
      <c r="J319">
        <v>1</v>
      </c>
      <c r="L319" s="46"/>
      <c r="P319">
        <v>195</v>
      </c>
      <c r="Q319">
        <v>1</v>
      </c>
      <c r="R319">
        <v>50</v>
      </c>
      <c r="S319" s="7">
        <f>Tabla1[[#This Row],[TARIFA]]+Tabla1[[#This Row],[IMPORTE EXTRAS]]</f>
        <v>245</v>
      </c>
      <c r="T319" t="s">
        <v>45</v>
      </c>
      <c r="U319">
        <v>195</v>
      </c>
      <c r="V319">
        <v>0</v>
      </c>
      <c r="W319">
        <v>50</v>
      </c>
      <c r="X319">
        <v>0</v>
      </c>
      <c r="Z319" s="7">
        <f>SUM(Tabla1[[#This Row],[RES-A]:[EXTR-B]])</f>
        <v>245</v>
      </c>
      <c r="AA319" s="7">
        <f>Tabla1[[#This Row],[Columna1]]-Tabla1[[#This Row],[IMPORTE TOTAL]]</f>
        <v>0</v>
      </c>
    </row>
    <row r="320" spans="1:27" x14ac:dyDescent="0.2">
      <c r="A320">
        <v>2022</v>
      </c>
      <c r="B320" t="s">
        <v>59</v>
      </c>
      <c r="C320" s="3">
        <v>44703</v>
      </c>
      <c r="D320" s="3" t="s">
        <v>43</v>
      </c>
      <c r="E320" s="3" t="s">
        <v>46</v>
      </c>
      <c r="F320" s="3" t="s">
        <v>46</v>
      </c>
      <c r="G320" s="4">
        <v>0.64583333333333337</v>
      </c>
      <c r="H320" s="4">
        <v>0.85416666666666663</v>
      </c>
      <c r="I320" t="s">
        <v>31</v>
      </c>
      <c r="J320">
        <v>1</v>
      </c>
      <c r="L320" s="46"/>
      <c r="P320">
        <v>150</v>
      </c>
      <c r="Q320">
        <v>0</v>
      </c>
      <c r="R320">
        <v>0</v>
      </c>
      <c r="S320" s="7">
        <f>Tabla1[[#This Row],[TARIFA]]+Tabla1[[#This Row],[IMPORTE EXTRAS]]</f>
        <v>150</v>
      </c>
      <c r="T320" t="s">
        <v>45</v>
      </c>
      <c r="U320">
        <v>50</v>
      </c>
      <c r="V320">
        <v>100</v>
      </c>
      <c r="W320">
        <v>0</v>
      </c>
      <c r="X320">
        <v>0</v>
      </c>
      <c r="Z320" s="7">
        <f>SUM(Tabla1[[#This Row],[RES-A]:[EXTR-B]])</f>
        <v>150</v>
      </c>
      <c r="AA320" s="7">
        <f>Tabla1[[#This Row],[Columna1]]-Tabla1[[#This Row],[IMPORTE TOTAL]]</f>
        <v>0</v>
      </c>
    </row>
    <row r="321" spans="1:27" x14ac:dyDescent="0.2">
      <c r="A321">
        <v>2022</v>
      </c>
      <c r="B321" t="s">
        <v>59</v>
      </c>
      <c r="C321" s="3">
        <v>44708</v>
      </c>
      <c r="D321" s="3" t="s">
        <v>41</v>
      </c>
      <c r="E321" s="3" t="s">
        <v>46</v>
      </c>
      <c r="F321" s="3" t="s">
        <v>46</v>
      </c>
      <c r="G321" s="4">
        <v>0.64583333333333337</v>
      </c>
      <c r="H321" s="4">
        <v>0.85416666666666663</v>
      </c>
      <c r="I321" t="s">
        <v>31</v>
      </c>
      <c r="J321">
        <v>1</v>
      </c>
      <c r="L321" s="46"/>
      <c r="P321">
        <v>140</v>
      </c>
      <c r="Q321">
        <v>0</v>
      </c>
      <c r="R321">
        <v>0</v>
      </c>
      <c r="S321" s="7">
        <f>Tabla1[[#This Row],[TARIFA]]+Tabla1[[#This Row],[IMPORTE EXTRAS]]</f>
        <v>140</v>
      </c>
      <c r="T321" t="s">
        <v>45</v>
      </c>
      <c r="U321">
        <v>140</v>
      </c>
      <c r="V321">
        <v>0</v>
      </c>
      <c r="W321">
        <v>0</v>
      </c>
      <c r="X321">
        <v>0</v>
      </c>
      <c r="Y321" t="s">
        <v>419</v>
      </c>
      <c r="Z321" s="7">
        <f>SUM(Tabla1[[#This Row],[RES-A]:[EXTR-B]])</f>
        <v>140</v>
      </c>
      <c r="AA321" s="7">
        <f>Tabla1[[#This Row],[Columna1]]-Tabla1[[#This Row],[IMPORTE TOTAL]]</f>
        <v>0</v>
      </c>
    </row>
    <row r="322" spans="1:27" x14ac:dyDescent="0.2">
      <c r="A322">
        <v>2022</v>
      </c>
      <c r="B322" t="s">
        <v>59</v>
      </c>
      <c r="C322" s="3">
        <v>44708</v>
      </c>
      <c r="D322" s="3" t="s">
        <v>41</v>
      </c>
      <c r="E322" s="3" t="s">
        <v>46</v>
      </c>
      <c r="F322" s="3" t="s">
        <v>46</v>
      </c>
      <c r="G322" s="4">
        <v>0.89583333333333337</v>
      </c>
      <c r="H322" s="4">
        <v>0.10416666666666667</v>
      </c>
      <c r="I322" t="s">
        <v>35</v>
      </c>
      <c r="J322">
        <v>1</v>
      </c>
      <c r="L322" s="46"/>
      <c r="P322">
        <v>200</v>
      </c>
      <c r="Q322">
        <v>0</v>
      </c>
      <c r="R322">
        <v>0</v>
      </c>
      <c r="S322" s="7">
        <f>Tabla1[[#This Row],[TARIFA]]+Tabla1[[#This Row],[IMPORTE EXTRAS]]</f>
        <v>200</v>
      </c>
      <c r="T322" t="s">
        <v>45</v>
      </c>
      <c r="U322">
        <v>50</v>
      </c>
      <c r="V322">
        <v>150</v>
      </c>
      <c r="W322">
        <v>0</v>
      </c>
      <c r="X322">
        <v>0</v>
      </c>
      <c r="Z322" s="7">
        <f>SUM(Tabla1[[#This Row],[RES-A]:[EXTR-B]])</f>
        <v>200</v>
      </c>
      <c r="AA322" s="7">
        <f>Tabla1[[#This Row],[Columna1]]-Tabla1[[#This Row],[IMPORTE TOTAL]]</f>
        <v>0</v>
      </c>
    </row>
    <row r="323" spans="1:27" x14ac:dyDescent="0.2">
      <c r="A323">
        <v>2022</v>
      </c>
      <c r="B323" t="s">
        <v>59</v>
      </c>
      <c r="C323" s="3">
        <v>44709</v>
      </c>
      <c r="D323" s="3" t="s">
        <v>42</v>
      </c>
      <c r="E323" s="3" t="s">
        <v>46</v>
      </c>
      <c r="F323" s="3" t="s">
        <v>46</v>
      </c>
      <c r="G323" s="4">
        <v>0.39583333333333331</v>
      </c>
      <c r="H323" s="4">
        <v>0.10416666666666667</v>
      </c>
      <c r="I323" t="s">
        <v>32</v>
      </c>
      <c r="J323">
        <v>3</v>
      </c>
      <c r="L323" s="46"/>
      <c r="P323">
        <v>370</v>
      </c>
      <c r="Q323">
        <v>0</v>
      </c>
      <c r="R323">
        <v>0</v>
      </c>
      <c r="S323" s="7">
        <f>Tabla1[[#This Row],[TARIFA]]+Tabla1[[#This Row],[IMPORTE EXTRAS]]</f>
        <v>370</v>
      </c>
      <c r="T323" t="s">
        <v>45</v>
      </c>
      <c r="U323">
        <v>370</v>
      </c>
      <c r="V323">
        <v>0</v>
      </c>
      <c r="W323">
        <v>0</v>
      </c>
      <c r="X323">
        <v>0</v>
      </c>
      <c r="Z323" s="7">
        <f>SUM(Tabla1[[#This Row],[RES-A]:[EXTR-B]])</f>
        <v>370</v>
      </c>
      <c r="AA323" s="7">
        <f>Tabla1[[#This Row],[Columna1]]-Tabla1[[#This Row],[IMPORTE TOTAL]]</f>
        <v>0</v>
      </c>
    </row>
    <row r="324" spans="1:27" x14ac:dyDescent="0.2">
      <c r="A324">
        <v>2022</v>
      </c>
      <c r="B324" t="s">
        <v>59</v>
      </c>
      <c r="C324" s="3">
        <v>44710</v>
      </c>
      <c r="D324" s="3" t="s">
        <v>43</v>
      </c>
      <c r="E324" s="3" t="s">
        <v>46</v>
      </c>
      <c r="F324" s="3" t="s">
        <v>46</v>
      </c>
      <c r="G324" s="4">
        <v>0.39583333333333331</v>
      </c>
      <c r="H324" s="4">
        <v>0.60416666666666663</v>
      </c>
      <c r="I324" t="s">
        <v>30</v>
      </c>
      <c r="J324">
        <v>1</v>
      </c>
      <c r="L324" s="46"/>
      <c r="P324">
        <v>145</v>
      </c>
      <c r="Q324">
        <v>0</v>
      </c>
      <c r="R324">
        <v>0</v>
      </c>
      <c r="S324" s="7">
        <f>Tabla1[[#This Row],[TARIFA]]+Tabla1[[#This Row],[IMPORTE EXTRAS]]</f>
        <v>145</v>
      </c>
      <c r="T324" t="s">
        <v>45</v>
      </c>
      <c r="U324">
        <v>50</v>
      </c>
      <c r="V324">
        <v>95</v>
      </c>
      <c r="W324">
        <v>0</v>
      </c>
      <c r="X324">
        <v>0</v>
      </c>
      <c r="Z324" s="7">
        <f>SUM(Tabla1[[#This Row],[RES-A]:[EXTR-B]])</f>
        <v>145</v>
      </c>
      <c r="AA324" s="7">
        <f>Tabla1[[#This Row],[Columna1]]-Tabla1[[#This Row],[IMPORTE TOTAL]]</f>
        <v>0</v>
      </c>
    </row>
    <row r="325" spans="1:27" x14ac:dyDescent="0.2">
      <c r="A325">
        <v>2022</v>
      </c>
      <c r="B325" t="s">
        <v>59</v>
      </c>
      <c r="C325" s="3">
        <v>44710</v>
      </c>
      <c r="D325" s="3" t="s">
        <v>43</v>
      </c>
      <c r="E325" s="3" t="s">
        <v>46</v>
      </c>
      <c r="F325" s="3" t="s">
        <v>46</v>
      </c>
      <c r="G325" s="4">
        <v>0.64583333333333337</v>
      </c>
      <c r="H325" s="4">
        <v>0.85416666666666663</v>
      </c>
      <c r="I325" t="s">
        <v>31</v>
      </c>
      <c r="J325">
        <v>1</v>
      </c>
      <c r="L325" s="46"/>
      <c r="P325">
        <v>145</v>
      </c>
      <c r="Q325">
        <v>0</v>
      </c>
      <c r="R325">
        <v>0</v>
      </c>
      <c r="S325" s="7">
        <f>Tabla1[[#This Row],[TARIFA]]+Tabla1[[#This Row],[IMPORTE EXTRAS]]</f>
        <v>145</v>
      </c>
      <c r="T325" t="s">
        <v>45</v>
      </c>
      <c r="U325">
        <v>50</v>
      </c>
      <c r="V325">
        <v>95</v>
      </c>
      <c r="W325">
        <v>0</v>
      </c>
      <c r="X325">
        <v>0</v>
      </c>
      <c r="Z325" s="7">
        <f>SUM(Tabla1[[#This Row],[RES-A]:[EXTR-B]])</f>
        <v>145</v>
      </c>
      <c r="AA325" s="7">
        <f>Tabla1[[#This Row],[Columna1]]-Tabla1[[#This Row],[IMPORTE TOTAL]]</f>
        <v>0</v>
      </c>
    </row>
    <row r="326" spans="1:27" x14ac:dyDescent="0.2">
      <c r="A326">
        <v>2022</v>
      </c>
      <c r="B326" t="s">
        <v>60</v>
      </c>
      <c r="C326" s="3">
        <v>44716</v>
      </c>
      <c r="D326" s="3" t="s">
        <v>42</v>
      </c>
      <c r="E326" s="3" t="s">
        <v>46</v>
      </c>
      <c r="F326" s="3" t="s">
        <v>46</v>
      </c>
      <c r="G326" s="4">
        <v>0.39583333333333331</v>
      </c>
      <c r="H326" s="4">
        <v>0.10416666666666667</v>
      </c>
      <c r="I326" t="s">
        <v>32</v>
      </c>
      <c r="J326">
        <v>3</v>
      </c>
      <c r="L326" s="46"/>
      <c r="P326">
        <v>400</v>
      </c>
      <c r="Q326">
        <v>0</v>
      </c>
      <c r="R326">
        <v>0</v>
      </c>
      <c r="S326" s="7">
        <f>Tabla1[[#This Row],[TARIFA]]+Tabla1[[#This Row],[IMPORTE EXTRAS]]</f>
        <v>400</v>
      </c>
      <c r="T326" t="s">
        <v>45</v>
      </c>
      <c r="U326">
        <v>400</v>
      </c>
      <c r="V326">
        <v>0</v>
      </c>
      <c r="W326">
        <v>0</v>
      </c>
      <c r="X326">
        <v>0</v>
      </c>
      <c r="Z326" s="7">
        <f>SUM(Tabla1[[#This Row],[RES-A]:[EXTR-B]])</f>
        <v>400</v>
      </c>
      <c r="AA326" s="7">
        <f>Tabla1[[#This Row],[Columna1]]-Tabla1[[#This Row],[IMPORTE TOTAL]]</f>
        <v>0</v>
      </c>
    </row>
    <row r="327" spans="1:27" x14ac:dyDescent="0.2">
      <c r="A327">
        <v>2022</v>
      </c>
      <c r="B327" t="s">
        <v>60</v>
      </c>
      <c r="C327" s="3">
        <v>44717</v>
      </c>
      <c r="D327" s="3" t="s">
        <v>43</v>
      </c>
      <c r="E327" s="3" t="s">
        <v>46</v>
      </c>
      <c r="F327" s="3" t="s">
        <v>46</v>
      </c>
      <c r="G327" s="4">
        <v>0.39583333333333331</v>
      </c>
      <c r="H327" s="4">
        <v>0.60416666666666663</v>
      </c>
      <c r="I327" t="s">
        <v>30</v>
      </c>
      <c r="J327">
        <v>1</v>
      </c>
      <c r="L327" s="46"/>
      <c r="P327">
        <v>145</v>
      </c>
      <c r="Q327">
        <v>0</v>
      </c>
      <c r="R327">
        <v>0</v>
      </c>
      <c r="S327" s="7">
        <f>Tabla1[[#This Row],[TARIFA]]+Tabla1[[#This Row],[IMPORTE EXTRAS]]</f>
        <v>145</v>
      </c>
      <c r="T327" t="s">
        <v>45</v>
      </c>
      <c r="U327">
        <v>145</v>
      </c>
      <c r="V327">
        <v>0</v>
      </c>
      <c r="W327">
        <v>0</v>
      </c>
      <c r="X327">
        <v>0</v>
      </c>
      <c r="Z327" s="7">
        <f>SUM(Tabla1[[#This Row],[RES-A]:[EXTR-B]])</f>
        <v>145</v>
      </c>
      <c r="AA327" s="7">
        <f>Tabla1[[#This Row],[Columna1]]-Tabla1[[#This Row],[IMPORTE TOTAL]]</f>
        <v>0</v>
      </c>
    </row>
    <row r="328" spans="1:27" x14ac:dyDescent="0.2">
      <c r="A328">
        <v>2022</v>
      </c>
      <c r="B328" t="s">
        <v>60</v>
      </c>
      <c r="C328" s="3">
        <v>44717</v>
      </c>
      <c r="D328" s="3" t="s">
        <v>43</v>
      </c>
      <c r="E328" s="3" t="s">
        <v>46</v>
      </c>
      <c r="F328" s="3" t="s">
        <v>46</v>
      </c>
      <c r="G328" s="4">
        <v>0.64583333333333337</v>
      </c>
      <c r="H328" s="4">
        <v>0.85416666666666663</v>
      </c>
      <c r="I328" t="s">
        <v>31</v>
      </c>
      <c r="J328">
        <v>1</v>
      </c>
      <c r="L328" s="46"/>
      <c r="P328">
        <v>150</v>
      </c>
      <c r="Q328">
        <v>0</v>
      </c>
      <c r="R328">
        <v>0</v>
      </c>
      <c r="S328" s="7">
        <f>Tabla1[[#This Row],[TARIFA]]+Tabla1[[#This Row],[IMPORTE EXTRAS]]</f>
        <v>150</v>
      </c>
      <c r="T328" t="s">
        <v>45</v>
      </c>
      <c r="U328">
        <v>50</v>
      </c>
      <c r="V328">
        <v>100</v>
      </c>
      <c r="W328">
        <v>0</v>
      </c>
      <c r="X328">
        <v>0</v>
      </c>
      <c r="Z328" s="7">
        <f>SUM(Tabla1[[#This Row],[RES-A]:[EXTR-B]])</f>
        <v>150</v>
      </c>
      <c r="AA328" s="7">
        <f>Tabla1[[#This Row],[Columna1]]-Tabla1[[#This Row],[IMPORTE TOTAL]]</f>
        <v>0</v>
      </c>
    </row>
    <row r="329" spans="1:27" x14ac:dyDescent="0.2">
      <c r="A329">
        <v>2022</v>
      </c>
      <c r="B329" t="s">
        <v>60</v>
      </c>
      <c r="C329" s="3">
        <v>44722</v>
      </c>
      <c r="D329" s="3" t="s">
        <v>41</v>
      </c>
      <c r="E329" s="3" t="s">
        <v>46</v>
      </c>
      <c r="F329" s="3" t="s">
        <v>46</v>
      </c>
      <c r="G329" s="4">
        <v>0.64583333333333337</v>
      </c>
      <c r="H329" s="4">
        <v>0.85416666666666663</v>
      </c>
      <c r="I329" t="s">
        <v>31</v>
      </c>
      <c r="J329">
        <v>1</v>
      </c>
      <c r="L329" s="46"/>
      <c r="P329">
        <v>140</v>
      </c>
      <c r="Q329">
        <v>0</v>
      </c>
      <c r="R329">
        <v>0</v>
      </c>
      <c r="S329" s="7">
        <f>Tabla1[[#This Row],[TARIFA]]+Tabla1[[#This Row],[IMPORTE EXTRAS]]</f>
        <v>140</v>
      </c>
      <c r="T329" t="s">
        <v>45</v>
      </c>
      <c r="U329">
        <v>140</v>
      </c>
      <c r="V329">
        <v>0</v>
      </c>
      <c r="W329">
        <v>0</v>
      </c>
      <c r="X329">
        <v>0</v>
      </c>
      <c r="Z329" s="7">
        <f>SUM(Tabla1[[#This Row],[RES-A]:[EXTR-B]])</f>
        <v>140</v>
      </c>
      <c r="AA329" s="7">
        <f>Tabla1[[#This Row],[Columna1]]-Tabla1[[#This Row],[IMPORTE TOTAL]]</f>
        <v>0</v>
      </c>
    </row>
    <row r="330" spans="1:27" x14ac:dyDescent="0.2">
      <c r="A330">
        <v>2022</v>
      </c>
      <c r="B330" t="s">
        <v>60</v>
      </c>
      <c r="C330" s="3">
        <v>44723</v>
      </c>
      <c r="D330" s="3" t="s">
        <v>42</v>
      </c>
      <c r="E330" s="3" t="s">
        <v>46</v>
      </c>
      <c r="F330" s="3" t="s">
        <v>46</v>
      </c>
      <c r="G330" s="4">
        <v>0.64583333333333337</v>
      </c>
      <c r="H330" s="4">
        <v>0.10416666666666667</v>
      </c>
      <c r="I330" t="s">
        <v>32</v>
      </c>
      <c r="J330">
        <v>2</v>
      </c>
      <c r="L330" s="46"/>
      <c r="P330">
        <v>320</v>
      </c>
      <c r="Q330">
        <v>0</v>
      </c>
      <c r="R330">
        <v>0</v>
      </c>
      <c r="S330" s="7">
        <f>Tabla1[[#This Row],[TARIFA]]+Tabla1[[#This Row],[IMPORTE EXTRAS]]</f>
        <v>320</v>
      </c>
      <c r="T330" t="s">
        <v>45</v>
      </c>
      <c r="U330">
        <v>50</v>
      </c>
      <c r="V330">
        <v>270</v>
      </c>
      <c r="W330">
        <v>0</v>
      </c>
      <c r="X330">
        <v>0</v>
      </c>
      <c r="Z330" s="7">
        <f>SUM(Tabla1[[#This Row],[RES-A]:[EXTR-B]])</f>
        <v>320</v>
      </c>
      <c r="AA330" s="7">
        <f>Tabla1[[#This Row],[Columna1]]-Tabla1[[#This Row],[IMPORTE TOTAL]]</f>
        <v>0</v>
      </c>
    </row>
    <row r="331" spans="1:27" x14ac:dyDescent="0.2">
      <c r="A331">
        <v>2022</v>
      </c>
      <c r="B331" t="s">
        <v>60</v>
      </c>
      <c r="C331" s="3">
        <v>44724</v>
      </c>
      <c r="D331" s="3" t="s">
        <v>43</v>
      </c>
      <c r="E331" s="3" t="s">
        <v>46</v>
      </c>
      <c r="F331" s="3" t="s">
        <v>46</v>
      </c>
      <c r="G331" s="4">
        <v>0.39583333333333331</v>
      </c>
      <c r="H331" s="4">
        <v>0.60416666666666663</v>
      </c>
      <c r="I331" t="s">
        <v>30</v>
      </c>
      <c r="J331">
        <v>1</v>
      </c>
      <c r="L331" s="46"/>
      <c r="P331">
        <v>145</v>
      </c>
      <c r="Q331">
        <v>1</v>
      </c>
      <c r="R331">
        <v>5</v>
      </c>
      <c r="S331" s="7">
        <f>Tabla1[[#This Row],[TARIFA]]+Tabla1[[#This Row],[IMPORTE EXTRAS]]</f>
        <v>150</v>
      </c>
      <c r="T331" t="s">
        <v>45</v>
      </c>
      <c r="U331">
        <v>50</v>
      </c>
      <c r="V331">
        <v>95</v>
      </c>
      <c r="W331">
        <v>0</v>
      </c>
      <c r="X331">
        <v>5</v>
      </c>
      <c r="Z331" s="7">
        <f>SUM(Tabla1[[#This Row],[RES-A]:[EXTR-B]])</f>
        <v>150</v>
      </c>
      <c r="AA331" s="7">
        <f>Tabla1[[#This Row],[Columna1]]-Tabla1[[#This Row],[IMPORTE TOTAL]]</f>
        <v>0</v>
      </c>
    </row>
    <row r="332" spans="1:27" x14ac:dyDescent="0.2">
      <c r="A332">
        <v>2022</v>
      </c>
      <c r="B332" t="s">
        <v>60</v>
      </c>
      <c r="C332" s="3">
        <v>44725</v>
      </c>
      <c r="D332" s="3" t="s">
        <v>37</v>
      </c>
      <c r="E332" s="3" t="s">
        <v>46</v>
      </c>
      <c r="F332" s="3" t="s">
        <v>46</v>
      </c>
      <c r="G332" s="4">
        <v>0.64583333333333337</v>
      </c>
      <c r="H332" s="4">
        <v>0.85416666666666663</v>
      </c>
      <c r="I332" t="s">
        <v>31</v>
      </c>
      <c r="J332">
        <v>1</v>
      </c>
      <c r="L332" s="46"/>
      <c r="P332">
        <v>95</v>
      </c>
      <c r="Q332">
        <v>0</v>
      </c>
      <c r="R332">
        <v>0</v>
      </c>
      <c r="S332" s="7">
        <f>Tabla1[[#This Row],[TARIFA]]+Tabla1[[#This Row],[IMPORTE EXTRAS]]</f>
        <v>95</v>
      </c>
      <c r="T332" t="s">
        <v>45</v>
      </c>
      <c r="U332">
        <v>50</v>
      </c>
      <c r="V332">
        <v>45</v>
      </c>
      <c r="W332">
        <v>0</v>
      </c>
      <c r="X332">
        <v>0</v>
      </c>
      <c r="Z332" s="7">
        <f>SUM(Tabla1[[#This Row],[RES-A]:[EXTR-B]])</f>
        <v>95</v>
      </c>
      <c r="AA332" s="7">
        <f>Tabla1[[#This Row],[Columna1]]-Tabla1[[#This Row],[IMPORTE TOTAL]]</f>
        <v>0</v>
      </c>
    </row>
    <row r="333" spans="1:27" x14ac:dyDescent="0.2">
      <c r="A333">
        <v>2022</v>
      </c>
      <c r="B333" t="s">
        <v>60</v>
      </c>
      <c r="C333" s="3">
        <v>44729</v>
      </c>
      <c r="D333" s="3" t="s">
        <v>41</v>
      </c>
      <c r="E333" s="3" t="s">
        <v>46</v>
      </c>
      <c r="F333" s="3" t="s">
        <v>46</v>
      </c>
      <c r="G333" s="4">
        <v>0.39583333333333331</v>
      </c>
      <c r="H333" s="4">
        <v>0.10416666666666667</v>
      </c>
      <c r="I333" t="s">
        <v>32</v>
      </c>
      <c r="J333">
        <v>3</v>
      </c>
      <c r="L333" s="46"/>
      <c r="P333">
        <v>350</v>
      </c>
      <c r="Q333">
        <v>0</v>
      </c>
      <c r="R333">
        <v>0</v>
      </c>
      <c r="S333" s="7">
        <f>Tabla1[[#This Row],[TARIFA]]+Tabla1[[#This Row],[IMPORTE EXTRAS]]</f>
        <v>350</v>
      </c>
      <c r="T333" t="s">
        <v>45</v>
      </c>
      <c r="U333">
        <v>50</v>
      </c>
      <c r="V333">
        <v>250</v>
      </c>
      <c r="W333">
        <v>0</v>
      </c>
      <c r="X333">
        <v>0</v>
      </c>
      <c r="Z333" s="7">
        <f>SUM(Tabla1[[#This Row],[RES-A]:[EXTR-B]])</f>
        <v>300</v>
      </c>
      <c r="AA333" s="7">
        <f>Tabla1[[#This Row],[Columna1]]-Tabla1[[#This Row],[IMPORTE TOTAL]]</f>
        <v>-50</v>
      </c>
    </row>
    <row r="334" spans="1:27" x14ac:dyDescent="0.2">
      <c r="A334">
        <v>2022</v>
      </c>
      <c r="B334" t="s">
        <v>60</v>
      </c>
      <c r="C334" s="3">
        <v>44730</v>
      </c>
      <c r="D334" s="3" t="s">
        <v>42</v>
      </c>
      <c r="E334" s="3" t="s">
        <v>46</v>
      </c>
      <c r="F334" s="3" t="s">
        <v>46</v>
      </c>
      <c r="G334" s="4">
        <v>0.64583333333333337</v>
      </c>
      <c r="H334" s="4">
        <v>0.85416666666666663</v>
      </c>
      <c r="I334" t="s">
        <v>31</v>
      </c>
      <c r="J334">
        <v>1</v>
      </c>
      <c r="L334" s="46"/>
      <c r="P334">
        <v>150</v>
      </c>
      <c r="Q334">
        <v>0</v>
      </c>
      <c r="R334">
        <v>0</v>
      </c>
      <c r="S334" s="7">
        <f>Tabla1[[#This Row],[TARIFA]]+Tabla1[[#This Row],[IMPORTE EXTRAS]]</f>
        <v>150</v>
      </c>
      <c r="T334" t="s">
        <v>45</v>
      </c>
      <c r="U334">
        <v>50</v>
      </c>
      <c r="V334">
        <v>100</v>
      </c>
      <c r="W334">
        <v>0</v>
      </c>
      <c r="X334">
        <v>0</v>
      </c>
      <c r="Z334" s="7">
        <f>SUM(Tabla1[[#This Row],[RES-A]:[EXTR-B]])</f>
        <v>150</v>
      </c>
      <c r="AA334" s="7">
        <f>Tabla1[[#This Row],[Columna1]]-Tabla1[[#This Row],[IMPORTE TOTAL]]</f>
        <v>0</v>
      </c>
    </row>
    <row r="335" spans="1:27" x14ac:dyDescent="0.2">
      <c r="A335">
        <v>2022</v>
      </c>
      <c r="B335" t="s">
        <v>60</v>
      </c>
      <c r="C335" s="3">
        <v>44730</v>
      </c>
      <c r="D335" s="3" t="s">
        <v>42</v>
      </c>
      <c r="E335" s="3" t="s">
        <v>46</v>
      </c>
      <c r="F335" s="3" t="s">
        <v>46</v>
      </c>
      <c r="G335" s="4">
        <v>0.89583333333333337</v>
      </c>
      <c r="H335" s="4">
        <v>0.10416666666666667</v>
      </c>
      <c r="I335" t="s">
        <v>35</v>
      </c>
      <c r="J335">
        <v>1</v>
      </c>
      <c r="L335" s="46"/>
      <c r="P335">
        <v>200</v>
      </c>
      <c r="Q335">
        <v>1</v>
      </c>
      <c r="R335">
        <v>60</v>
      </c>
      <c r="S335" s="7">
        <f>Tabla1[[#This Row],[TARIFA]]+Tabla1[[#This Row],[IMPORTE EXTRAS]]</f>
        <v>260</v>
      </c>
      <c r="T335" t="s">
        <v>45</v>
      </c>
      <c r="U335">
        <v>50</v>
      </c>
      <c r="V335">
        <v>150</v>
      </c>
      <c r="W335">
        <v>0</v>
      </c>
      <c r="X335">
        <v>60</v>
      </c>
      <c r="Z335" s="7">
        <f>SUM(Tabla1[[#This Row],[RES-A]:[EXTR-B]])</f>
        <v>260</v>
      </c>
      <c r="AA335" s="7">
        <f>Tabla1[[#This Row],[Columna1]]-Tabla1[[#This Row],[IMPORTE TOTAL]]</f>
        <v>0</v>
      </c>
    </row>
    <row r="336" spans="1:27" x14ac:dyDescent="0.2">
      <c r="A336">
        <v>2022</v>
      </c>
      <c r="B336" t="s">
        <v>60</v>
      </c>
      <c r="C336" s="3">
        <v>44731</v>
      </c>
      <c r="D336" s="3" t="s">
        <v>43</v>
      </c>
      <c r="E336" s="3" t="s">
        <v>46</v>
      </c>
      <c r="F336" s="3" t="s">
        <v>46</v>
      </c>
      <c r="G336" s="4">
        <v>0.39583333333333331</v>
      </c>
      <c r="H336" s="4">
        <v>0.60416666666666663</v>
      </c>
      <c r="I336" t="s">
        <v>30</v>
      </c>
      <c r="J336">
        <v>1</v>
      </c>
      <c r="L336" s="46"/>
      <c r="P336">
        <v>150</v>
      </c>
      <c r="Q336">
        <v>0</v>
      </c>
      <c r="R336">
        <v>0</v>
      </c>
      <c r="S336" s="7">
        <f>Tabla1[[#This Row],[TARIFA]]+Tabla1[[#This Row],[IMPORTE EXTRAS]]</f>
        <v>150</v>
      </c>
      <c r="T336" t="s">
        <v>45</v>
      </c>
      <c r="U336">
        <v>150</v>
      </c>
      <c r="V336">
        <v>0</v>
      </c>
      <c r="W336">
        <v>0</v>
      </c>
      <c r="X336">
        <v>0</v>
      </c>
      <c r="Z336" s="7">
        <f>SUM(Tabla1[[#This Row],[RES-A]:[EXTR-B]])</f>
        <v>150</v>
      </c>
      <c r="AA336" s="7">
        <f>Tabla1[[#This Row],[Columna1]]-Tabla1[[#This Row],[IMPORTE TOTAL]]</f>
        <v>0</v>
      </c>
    </row>
    <row r="337" spans="1:27" x14ac:dyDescent="0.2">
      <c r="A337">
        <v>2022</v>
      </c>
      <c r="B337" t="s">
        <v>60</v>
      </c>
      <c r="C337" s="3">
        <v>44731</v>
      </c>
      <c r="D337" s="3" t="s">
        <v>43</v>
      </c>
      <c r="E337" s="3" t="s">
        <v>46</v>
      </c>
      <c r="F337" s="3" t="s">
        <v>46</v>
      </c>
      <c r="G337" s="4">
        <v>0.64583333333333337</v>
      </c>
      <c r="H337" s="4">
        <v>0.85416666666666663</v>
      </c>
      <c r="I337" t="s">
        <v>31</v>
      </c>
      <c r="J337">
        <v>1</v>
      </c>
      <c r="L337" s="46"/>
      <c r="P337">
        <v>150</v>
      </c>
      <c r="Q337">
        <v>0</v>
      </c>
      <c r="R337">
        <v>20</v>
      </c>
      <c r="S337" s="7">
        <f>Tabla1[[#This Row],[TARIFA]]+Tabla1[[#This Row],[IMPORTE EXTRAS]]</f>
        <v>170</v>
      </c>
      <c r="T337" t="s">
        <v>45</v>
      </c>
      <c r="U337">
        <v>50</v>
      </c>
      <c r="V337">
        <v>100</v>
      </c>
      <c r="W337">
        <v>0</v>
      </c>
      <c r="X337">
        <v>20</v>
      </c>
      <c r="Z337" s="7">
        <f>SUM(Tabla1[[#This Row],[RES-A]:[EXTR-B]])</f>
        <v>170</v>
      </c>
      <c r="AA337" s="7">
        <f>Tabla1[[#This Row],[Columna1]]-Tabla1[[#This Row],[IMPORTE TOTAL]]</f>
        <v>0</v>
      </c>
    </row>
    <row r="338" spans="1:27" x14ac:dyDescent="0.2">
      <c r="A338">
        <v>2022</v>
      </c>
      <c r="B338" t="s">
        <v>60</v>
      </c>
      <c r="C338" s="3">
        <v>44736</v>
      </c>
      <c r="D338" s="3" t="s">
        <v>41</v>
      </c>
      <c r="E338" s="3" t="s">
        <v>45</v>
      </c>
      <c r="F338" s="3" t="s">
        <v>46</v>
      </c>
      <c r="G338" s="4">
        <v>0.64583333333333337</v>
      </c>
      <c r="H338" s="4">
        <v>0.10416666666666667</v>
      </c>
      <c r="I338" t="s">
        <v>32</v>
      </c>
      <c r="J338">
        <v>2</v>
      </c>
      <c r="L338" s="46"/>
      <c r="P338">
        <v>320</v>
      </c>
      <c r="Q338">
        <v>0</v>
      </c>
      <c r="R338">
        <v>0</v>
      </c>
      <c r="S338" s="7">
        <f>Tabla1[[#This Row],[TARIFA]]+Tabla1[[#This Row],[IMPORTE EXTRAS]]</f>
        <v>320</v>
      </c>
      <c r="T338" t="s">
        <v>45</v>
      </c>
      <c r="U338">
        <v>50</v>
      </c>
      <c r="V338">
        <v>270</v>
      </c>
      <c r="W338">
        <v>0</v>
      </c>
      <c r="X338">
        <v>0</v>
      </c>
      <c r="Z338" s="7">
        <f>SUM(Tabla1[[#This Row],[RES-A]:[EXTR-B]])</f>
        <v>320</v>
      </c>
      <c r="AA338" s="7">
        <f>Tabla1[[#This Row],[Columna1]]-Tabla1[[#This Row],[IMPORTE TOTAL]]</f>
        <v>0</v>
      </c>
    </row>
    <row r="339" spans="1:27" x14ac:dyDescent="0.2">
      <c r="A339">
        <v>2022</v>
      </c>
      <c r="B339" t="s">
        <v>60</v>
      </c>
      <c r="C339" s="3">
        <v>44737</v>
      </c>
      <c r="D339" s="3" t="s">
        <v>42</v>
      </c>
      <c r="E339" s="3" t="s">
        <v>46</v>
      </c>
      <c r="F339" s="3" t="s">
        <v>46</v>
      </c>
      <c r="G339" s="4">
        <v>0.64583333333333337</v>
      </c>
      <c r="H339" s="4">
        <v>0.10416666666666667</v>
      </c>
      <c r="I339" t="s">
        <v>32</v>
      </c>
      <c r="J339">
        <v>2</v>
      </c>
      <c r="L339" s="46"/>
      <c r="P339">
        <v>320</v>
      </c>
      <c r="Q339">
        <v>0</v>
      </c>
      <c r="R339">
        <v>0</v>
      </c>
      <c r="S339" s="7">
        <f>Tabla1[[#This Row],[TARIFA]]+Tabla1[[#This Row],[IMPORTE EXTRAS]]</f>
        <v>320</v>
      </c>
      <c r="T339" t="s">
        <v>45</v>
      </c>
      <c r="U339">
        <v>50</v>
      </c>
      <c r="V339">
        <v>270</v>
      </c>
      <c r="W339">
        <v>0</v>
      </c>
      <c r="X339">
        <v>0</v>
      </c>
      <c r="Z339" s="7">
        <f>SUM(Tabla1[[#This Row],[RES-A]:[EXTR-B]])</f>
        <v>320</v>
      </c>
      <c r="AA339" s="7">
        <f>Tabla1[[#This Row],[Columna1]]-Tabla1[[#This Row],[IMPORTE TOTAL]]</f>
        <v>0</v>
      </c>
    </row>
    <row r="340" spans="1:27" x14ac:dyDescent="0.2">
      <c r="A340">
        <v>2022</v>
      </c>
      <c r="B340" t="s">
        <v>60</v>
      </c>
      <c r="C340" s="3">
        <v>44738</v>
      </c>
      <c r="D340" s="3" t="s">
        <v>43</v>
      </c>
      <c r="E340" s="3" t="s">
        <v>46</v>
      </c>
      <c r="F340" s="3" t="s">
        <v>46</v>
      </c>
      <c r="G340" s="4">
        <v>0.64583333333333337</v>
      </c>
      <c r="H340" s="4">
        <v>0.10416666666666667</v>
      </c>
      <c r="I340" t="s">
        <v>32</v>
      </c>
      <c r="J340">
        <v>2</v>
      </c>
      <c r="L340" s="46"/>
      <c r="P340">
        <v>320</v>
      </c>
      <c r="Q340">
        <v>1</v>
      </c>
      <c r="R340">
        <v>60</v>
      </c>
      <c r="S340" s="7">
        <f>Tabla1[[#This Row],[TARIFA]]+Tabla1[[#This Row],[IMPORTE EXTRAS]]</f>
        <v>380</v>
      </c>
      <c r="T340" t="s">
        <v>45</v>
      </c>
      <c r="U340">
        <v>320</v>
      </c>
      <c r="V340">
        <v>0</v>
      </c>
      <c r="W340">
        <v>0</v>
      </c>
      <c r="X340">
        <v>60</v>
      </c>
      <c r="Z340" s="7">
        <f>SUM(Tabla1[[#This Row],[RES-A]:[EXTR-B]])</f>
        <v>380</v>
      </c>
      <c r="AA340" s="7">
        <f>Tabla1[[#This Row],[Columna1]]-Tabla1[[#This Row],[IMPORTE TOTAL]]</f>
        <v>0</v>
      </c>
    </row>
    <row r="341" spans="1:27" x14ac:dyDescent="0.2">
      <c r="A341">
        <v>2022</v>
      </c>
      <c r="B341" t="s">
        <v>61</v>
      </c>
      <c r="C341" s="3">
        <v>44743</v>
      </c>
      <c r="D341" s="3" t="s">
        <v>41</v>
      </c>
      <c r="E341" s="3" t="s">
        <v>46</v>
      </c>
      <c r="F341" s="3" t="s">
        <v>46</v>
      </c>
      <c r="G341" s="4">
        <v>0.89583333333333337</v>
      </c>
      <c r="H341" s="4">
        <v>0.10416666666666667</v>
      </c>
      <c r="I341" t="s">
        <v>35</v>
      </c>
      <c r="J341">
        <v>1</v>
      </c>
      <c r="L341" s="46"/>
      <c r="P341">
        <v>200</v>
      </c>
      <c r="Q341">
        <v>0</v>
      </c>
      <c r="R341">
        <v>0</v>
      </c>
      <c r="S341" s="7">
        <f>Tabla1[[#This Row],[TARIFA]]+Tabla1[[#This Row],[IMPORTE EXTRAS]]</f>
        <v>200</v>
      </c>
      <c r="T341" t="s">
        <v>45</v>
      </c>
      <c r="U341">
        <v>50</v>
      </c>
      <c r="V341">
        <v>150</v>
      </c>
      <c r="W341">
        <v>0</v>
      </c>
      <c r="X341">
        <v>0</v>
      </c>
      <c r="Z341" s="7">
        <f>SUM(Tabla1[[#This Row],[RES-A]:[EXTR-B]])</f>
        <v>200</v>
      </c>
      <c r="AA341" s="7">
        <f>Tabla1[[#This Row],[Columna1]]-Tabla1[[#This Row],[IMPORTE TOTAL]]</f>
        <v>0</v>
      </c>
    </row>
    <row r="342" spans="1:27" x14ac:dyDescent="0.2">
      <c r="A342">
        <v>2022</v>
      </c>
      <c r="B342" t="s">
        <v>61</v>
      </c>
      <c r="C342" s="3">
        <v>44744</v>
      </c>
      <c r="D342" s="3" t="s">
        <v>42</v>
      </c>
      <c r="E342" s="3" t="s">
        <v>46</v>
      </c>
      <c r="F342" s="3" t="s">
        <v>46</v>
      </c>
      <c r="G342" s="4">
        <v>0.64583333333333337</v>
      </c>
      <c r="H342" s="4">
        <v>0.10416666666666667</v>
      </c>
      <c r="I342" t="s">
        <v>32</v>
      </c>
      <c r="J342">
        <v>2</v>
      </c>
      <c r="L342" s="46"/>
      <c r="P342">
        <v>320</v>
      </c>
      <c r="Q342">
        <v>0</v>
      </c>
      <c r="R342">
        <v>0</v>
      </c>
      <c r="S342" s="7">
        <f>Tabla1[[#This Row],[TARIFA]]+Tabla1[[#This Row],[IMPORTE EXTRAS]]</f>
        <v>320</v>
      </c>
      <c r="T342" t="s">
        <v>45</v>
      </c>
      <c r="U342">
        <v>50</v>
      </c>
      <c r="V342">
        <v>270</v>
      </c>
      <c r="W342">
        <v>0</v>
      </c>
      <c r="X342">
        <v>0</v>
      </c>
      <c r="Y342" t="s">
        <v>418</v>
      </c>
      <c r="Z342" s="7">
        <f>SUM(Tabla1[[#This Row],[RES-A]:[EXTR-B]])</f>
        <v>320</v>
      </c>
      <c r="AA342" s="7">
        <f>Tabla1[[#This Row],[Columna1]]-Tabla1[[#This Row],[IMPORTE TOTAL]]</f>
        <v>0</v>
      </c>
    </row>
    <row r="343" spans="1:27" x14ac:dyDescent="0.2">
      <c r="A343">
        <v>2022</v>
      </c>
      <c r="B343" t="s">
        <v>61</v>
      </c>
      <c r="C343" s="3">
        <v>44715</v>
      </c>
      <c r="D343" s="3" t="s">
        <v>43</v>
      </c>
      <c r="E343" s="3" t="s">
        <v>46</v>
      </c>
      <c r="F343" s="3" t="s">
        <v>46</v>
      </c>
      <c r="G343" s="4">
        <v>0.64583333333333337</v>
      </c>
      <c r="H343" s="4">
        <v>0.85416666666666663</v>
      </c>
      <c r="I343" t="s">
        <v>31</v>
      </c>
      <c r="J343">
        <v>1</v>
      </c>
      <c r="L343" s="46"/>
      <c r="P343">
        <v>150</v>
      </c>
      <c r="Q343">
        <v>0</v>
      </c>
      <c r="R343">
        <v>0</v>
      </c>
      <c r="S343" s="7">
        <f>Tabla1[[#This Row],[TARIFA]]+Tabla1[[#This Row],[IMPORTE EXTRAS]]</f>
        <v>150</v>
      </c>
      <c r="T343" t="s">
        <v>45</v>
      </c>
      <c r="U343">
        <v>50</v>
      </c>
      <c r="V343">
        <v>100</v>
      </c>
      <c r="W343">
        <v>0</v>
      </c>
      <c r="X343">
        <v>0</v>
      </c>
      <c r="Z343" s="7">
        <f>SUM(Tabla1[[#This Row],[RES-A]:[EXTR-B]])</f>
        <v>150</v>
      </c>
      <c r="AA343" s="7">
        <f>Tabla1[[#This Row],[Columna1]]-Tabla1[[#This Row],[IMPORTE TOTAL]]</f>
        <v>0</v>
      </c>
    </row>
    <row r="344" spans="1:27" x14ac:dyDescent="0.2">
      <c r="A344">
        <v>2022</v>
      </c>
      <c r="B344" t="s">
        <v>61</v>
      </c>
      <c r="C344" s="3">
        <v>44747</v>
      </c>
      <c r="D344" s="3" t="s">
        <v>38</v>
      </c>
      <c r="E344" s="3" t="s">
        <v>46</v>
      </c>
      <c r="F344" s="3" t="s">
        <v>46</v>
      </c>
      <c r="G344" s="4">
        <v>0.64583333333333337</v>
      </c>
      <c r="H344" s="4">
        <v>0.85416666666666663</v>
      </c>
      <c r="I344" t="s">
        <v>31</v>
      </c>
      <c r="J344">
        <v>1</v>
      </c>
      <c r="L344" s="46"/>
      <c r="P344">
        <v>95</v>
      </c>
      <c r="Q344">
        <v>1</v>
      </c>
      <c r="R344">
        <v>10</v>
      </c>
      <c r="S344" s="7">
        <f>Tabla1[[#This Row],[TARIFA]]+Tabla1[[#This Row],[IMPORTE EXTRAS]]</f>
        <v>105</v>
      </c>
      <c r="T344" t="s">
        <v>45</v>
      </c>
      <c r="U344">
        <v>50</v>
      </c>
      <c r="V344">
        <v>45</v>
      </c>
      <c r="W344">
        <v>0</v>
      </c>
      <c r="X344">
        <v>10</v>
      </c>
      <c r="Z344" s="7">
        <f>SUM(Tabla1[[#This Row],[RES-A]:[EXTR-B]])</f>
        <v>105</v>
      </c>
      <c r="AA344" s="7">
        <f>Tabla1[[#This Row],[Columna1]]-Tabla1[[#This Row],[IMPORTE TOTAL]]</f>
        <v>0</v>
      </c>
    </row>
    <row r="345" spans="1:27" x14ac:dyDescent="0.2">
      <c r="A345">
        <v>2022</v>
      </c>
      <c r="B345" t="s">
        <v>61</v>
      </c>
      <c r="C345" s="3">
        <v>44751</v>
      </c>
      <c r="D345" s="3" t="s">
        <v>42</v>
      </c>
      <c r="E345" s="3" t="s">
        <v>46</v>
      </c>
      <c r="F345" s="3" t="s">
        <v>46</v>
      </c>
      <c r="G345" s="4">
        <v>0.64583333333333337</v>
      </c>
      <c r="H345" s="4">
        <v>0.10416666666666667</v>
      </c>
      <c r="I345" t="s">
        <v>53</v>
      </c>
      <c r="J345">
        <v>2</v>
      </c>
      <c r="L345" s="46"/>
      <c r="P345">
        <v>320</v>
      </c>
      <c r="Q345">
        <v>0</v>
      </c>
      <c r="R345">
        <v>0</v>
      </c>
      <c r="S345" s="7">
        <f>Tabla1[[#This Row],[TARIFA]]+Tabla1[[#This Row],[IMPORTE EXTRAS]]</f>
        <v>320</v>
      </c>
      <c r="T345" t="s">
        <v>45</v>
      </c>
      <c r="U345">
        <v>0</v>
      </c>
      <c r="V345">
        <v>320</v>
      </c>
      <c r="W345">
        <v>0</v>
      </c>
      <c r="X345">
        <v>0</v>
      </c>
      <c r="Z345" s="7">
        <f>SUM(Tabla1[[#This Row],[RES-A]:[EXTR-B]])</f>
        <v>320</v>
      </c>
      <c r="AA345" s="7">
        <f>Tabla1[[#This Row],[Columna1]]-Tabla1[[#This Row],[IMPORTE TOTAL]]</f>
        <v>0</v>
      </c>
    </row>
    <row r="346" spans="1:27" x14ac:dyDescent="0.2">
      <c r="A346">
        <v>2022</v>
      </c>
      <c r="B346" t="s">
        <v>61</v>
      </c>
      <c r="C346" s="3">
        <v>44753</v>
      </c>
      <c r="D346" s="3" t="s">
        <v>37</v>
      </c>
      <c r="E346" s="3" t="s">
        <v>46</v>
      </c>
      <c r="F346" s="3" t="s">
        <v>46</v>
      </c>
      <c r="G346" s="4">
        <v>0.64583333333333337</v>
      </c>
      <c r="H346" s="4">
        <v>0.85416666666666663</v>
      </c>
      <c r="I346" t="s">
        <v>31</v>
      </c>
      <c r="J346">
        <v>1</v>
      </c>
      <c r="L346" s="46"/>
      <c r="P346">
        <v>95</v>
      </c>
      <c r="Q346">
        <v>0</v>
      </c>
      <c r="R346">
        <v>0</v>
      </c>
      <c r="S346" s="7">
        <f>Tabla1[[#This Row],[TARIFA]]+Tabla1[[#This Row],[IMPORTE EXTRAS]]</f>
        <v>95</v>
      </c>
      <c r="T346" t="s">
        <v>45</v>
      </c>
      <c r="U346">
        <v>50</v>
      </c>
      <c r="V346">
        <v>45</v>
      </c>
      <c r="W346">
        <v>0</v>
      </c>
      <c r="X346">
        <v>0</v>
      </c>
      <c r="Z346" s="7">
        <f>SUM(Tabla1[[#This Row],[RES-A]:[EXTR-B]])</f>
        <v>95</v>
      </c>
      <c r="AA346" s="7">
        <f>Tabla1[[#This Row],[Columna1]]-Tabla1[[#This Row],[IMPORTE TOTAL]]</f>
        <v>0</v>
      </c>
    </row>
    <row r="347" spans="1:27" x14ac:dyDescent="0.2">
      <c r="A347">
        <v>2022</v>
      </c>
      <c r="B347" t="s">
        <v>61</v>
      </c>
      <c r="C347" s="3">
        <v>44757</v>
      </c>
      <c r="D347" s="3" t="s">
        <v>41</v>
      </c>
      <c r="E347" s="3" t="s">
        <v>46</v>
      </c>
      <c r="F347" s="3" t="s">
        <v>46</v>
      </c>
      <c r="G347" s="4">
        <v>0.64583333333333337</v>
      </c>
      <c r="H347" s="4">
        <v>0.85416666666666663</v>
      </c>
      <c r="I347" t="s">
        <v>31</v>
      </c>
      <c r="J347">
        <v>1</v>
      </c>
      <c r="L347" s="46"/>
      <c r="P347">
        <v>140</v>
      </c>
      <c r="Q347">
        <v>0</v>
      </c>
      <c r="R347">
        <v>0</v>
      </c>
      <c r="S347" s="7">
        <f>Tabla1[[#This Row],[TARIFA]]+Tabla1[[#This Row],[IMPORTE EXTRAS]]</f>
        <v>140</v>
      </c>
      <c r="T347" t="s">
        <v>45</v>
      </c>
      <c r="U347">
        <v>50</v>
      </c>
      <c r="V347">
        <v>90</v>
      </c>
      <c r="W347">
        <v>0</v>
      </c>
      <c r="X347">
        <v>0</v>
      </c>
      <c r="Z347" s="7">
        <f>SUM(Tabla1[[#This Row],[RES-A]:[EXTR-B]])</f>
        <v>140</v>
      </c>
      <c r="AA347" s="7">
        <f>Tabla1[[#This Row],[Columna1]]-Tabla1[[#This Row],[IMPORTE TOTAL]]</f>
        <v>0</v>
      </c>
    </row>
    <row r="348" spans="1:27" x14ac:dyDescent="0.2">
      <c r="A348">
        <v>2022</v>
      </c>
      <c r="B348" t="s">
        <v>61</v>
      </c>
      <c r="C348" s="3">
        <v>44758</v>
      </c>
      <c r="D348" s="3" t="s">
        <v>42</v>
      </c>
      <c r="E348" s="3" t="s">
        <v>46</v>
      </c>
      <c r="F348" s="3" t="s">
        <v>46</v>
      </c>
      <c r="G348" s="4">
        <v>0.64583333333333337</v>
      </c>
      <c r="H348" s="4">
        <v>0.85416666666666663</v>
      </c>
      <c r="I348" t="s">
        <v>31</v>
      </c>
      <c r="J348">
        <v>1</v>
      </c>
      <c r="L348" s="46"/>
      <c r="P348">
        <v>150</v>
      </c>
      <c r="Q348">
        <v>0</v>
      </c>
      <c r="R348">
        <v>0</v>
      </c>
      <c r="S348" s="7">
        <f>Tabla1[[#This Row],[TARIFA]]+Tabla1[[#This Row],[IMPORTE EXTRAS]]</f>
        <v>150</v>
      </c>
      <c r="T348" t="s">
        <v>45</v>
      </c>
      <c r="U348">
        <v>50</v>
      </c>
      <c r="V348">
        <v>100</v>
      </c>
      <c r="W348">
        <v>0</v>
      </c>
      <c r="X348">
        <v>0</v>
      </c>
      <c r="Y348" t="s">
        <v>424</v>
      </c>
      <c r="Z348" s="7">
        <f>SUM(Tabla1[[#This Row],[RES-A]:[EXTR-B]])</f>
        <v>150</v>
      </c>
      <c r="AA348" s="7">
        <f>Tabla1[[#This Row],[Columna1]]-Tabla1[[#This Row],[IMPORTE TOTAL]]</f>
        <v>0</v>
      </c>
    </row>
    <row r="349" spans="1:27" x14ac:dyDescent="0.2">
      <c r="A349">
        <v>2022</v>
      </c>
      <c r="B349" t="s">
        <v>61</v>
      </c>
      <c r="C349" s="3">
        <v>44758</v>
      </c>
      <c r="D349" s="3" t="s">
        <v>42</v>
      </c>
      <c r="E349" s="3" t="s">
        <v>46</v>
      </c>
      <c r="F349" s="3" t="s">
        <v>46</v>
      </c>
      <c r="G349" s="4">
        <v>0.89583333333333337</v>
      </c>
      <c r="H349" s="4">
        <v>0.10416666666666667</v>
      </c>
      <c r="I349" t="s">
        <v>35</v>
      </c>
      <c r="J349">
        <v>1</v>
      </c>
      <c r="L349" s="46"/>
      <c r="P349">
        <v>200</v>
      </c>
      <c r="Q349">
        <v>1</v>
      </c>
      <c r="R349">
        <v>60</v>
      </c>
      <c r="S349" s="7">
        <f>Tabla1[[#This Row],[TARIFA]]+Tabla1[[#This Row],[IMPORTE EXTRAS]]</f>
        <v>260</v>
      </c>
      <c r="T349" t="s">
        <v>45</v>
      </c>
      <c r="U349">
        <v>50</v>
      </c>
      <c r="V349">
        <v>150</v>
      </c>
      <c r="W349">
        <v>0</v>
      </c>
      <c r="X349">
        <v>60</v>
      </c>
      <c r="Z349" s="7">
        <f>SUM(Tabla1[[#This Row],[RES-A]:[EXTR-B]])</f>
        <v>260</v>
      </c>
      <c r="AA349" s="7">
        <f>Tabla1[[#This Row],[Columna1]]-Tabla1[[#This Row],[IMPORTE TOTAL]]</f>
        <v>0</v>
      </c>
    </row>
    <row r="350" spans="1:27" x14ac:dyDescent="0.2">
      <c r="A350">
        <v>2022</v>
      </c>
      <c r="B350" t="s">
        <v>61</v>
      </c>
      <c r="C350" s="3">
        <v>44765</v>
      </c>
      <c r="D350" s="3" t="s">
        <v>42</v>
      </c>
      <c r="E350" s="3" t="s">
        <v>46</v>
      </c>
      <c r="F350" s="3" t="s">
        <v>46</v>
      </c>
      <c r="G350" s="4">
        <v>0.64583333333333337</v>
      </c>
      <c r="H350" s="4">
        <v>0.85416666666666663</v>
      </c>
      <c r="I350" t="s">
        <v>31</v>
      </c>
      <c r="J350">
        <v>1</v>
      </c>
      <c r="L350" s="46"/>
      <c r="P350">
        <v>150</v>
      </c>
      <c r="Q350">
        <v>0</v>
      </c>
      <c r="R350">
        <v>0</v>
      </c>
      <c r="S350" s="7">
        <f>Tabla1[[#This Row],[TARIFA]]+Tabla1[[#This Row],[IMPORTE EXTRAS]]</f>
        <v>150</v>
      </c>
      <c r="T350" t="s">
        <v>45</v>
      </c>
      <c r="U350">
        <v>150</v>
      </c>
      <c r="V350">
        <v>0</v>
      </c>
      <c r="W350">
        <v>0</v>
      </c>
      <c r="X350">
        <v>0</v>
      </c>
      <c r="Z350" s="7">
        <f>SUM(Tabla1[[#This Row],[RES-A]:[EXTR-B]])</f>
        <v>150</v>
      </c>
      <c r="AA350" s="7">
        <f>Tabla1[[#This Row],[Columna1]]-Tabla1[[#This Row],[IMPORTE TOTAL]]</f>
        <v>0</v>
      </c>
    </row>
    <row r="351" spans="1:27" x14ac:dyDescent="0.2">
      <c r="A351">
        <v>2022</v>
      </c>
      <c r="B351" t="s">
        <v>61</v>
      </c>
      <c r="C351" s="3">
        <v>44766</v>
      </c>
      <c r="D351" s="3" t="s">
        <v>43</v>
      </c>
      <c r="E351" s="3" t="s">
        <v>46</v>
      </c>
      <c r="F351" s="3" t="s">
        <v>46</v>
      </c>
      <c r="G351" s="4">
        <v>0.39583333333333331</v>
      </c>
      <c r="H351" s="4">
        <v>0.85416666666666663</v>
      </c>
      <c r="I351" t="s">
        <v>32</v>
      </c>
      <c r="J351">
        <v>2</v>
      </c>
      <c r="L351" s="46"/>
      <c r="P351">
        <v>270</v>
      </c>
      <c r="Q351">
        <v>0</v>
      </c>
      <c r="R351">
        <v>0</v>
      </c>
      <c r="S351" s="7">
        <f>Tabla1[[#This Row],[TARIFA]]+Tabla1[[#This Row],[IMPORTE EXTRAS]]</f>
        <v>270</v>
      </c>
      <c r="T351" t="s">
        <v>45</v>
      </c>
      <c r="U351">
        <v>50</v>
      </c>
      <c r="V351">
        <v>240</v>
      </c>
      <c r="W351">
        <v>0</v>
      </c>
      <c r="X351">
        <v>0</v>
      </c>
      <c r="Y351" t="s">
        <v>369</v>
      </c>
      <c r="Z351" s="7">
        <f>SUM(Tabla1[[#This Row],[RES-A]:[EXTR-B]])</f>
        <v>290</v>
      </c>
      <c r="AA351" s="7">
        <f>Tabla1[[#This Row],[Columna1]]-Tabla1[[#This Row],[IMPORTE TOTAL]]</f>
        <v>20</v>
      </c>
    </row>
    <row r="352" spans="1:27" x14ac:dyDescent="0.2">
      <c r="A352">
        <v>2022</v>
      </c>
      <c r="B352" t="s">
        <v>61</v>
      </c>
      <c r="C352" s="3">
        <v>44768</v>
      </c>
      <c r="D352" s="3" t="s">
        <v>38</v>
      </c>
      <c r="E352" s="3" t="s">
        <v>46</v>
      </c>
      <c r="F352" s="3" t="s">
        <v>46</v>
      </c>
      <c r="G352" s="4">
        <v>0.64583333333333337</v>
      </c>
      <c r="H352" s="4">
        <v>0.85416666666666663</v>
      </c>
      <c r="I352" t="s">
        <v>31</v>
      </c>
      <c r="J352">
        <v>1</v>
      </c>
      <c r="L352" s="46"/>
      <c r="P352">
        <v>95</v>
      </c>
      <c r="Q352">
        <v>0</v>
      </c>
      <c r="R352">
        <v>0</v>
      </c>
      <c r="S352" s="7">
        <f>Tabla1[[#This Row],[TARIFA]]+Tabla1[[#This Row],[IMPORTE EXTRAS]]</f>
        <v>95</v>
      </c>
      <c r="T352" t="s">
        <v>45</v>
      </c>
      <c r="U352">
        <v>0</v>
      </c>
      <c r="V352">
        <v>95</v>
      </c>
      <c r="W352">
        <v>0</v>
      </c>
      <c r="X352">
        <v>0</v>
      </c>
      <c r="Z352" s="7">
        <f>SUM(Tabla1[[#This Row],[RES-A]:[EXTR-B]])</f>
        <v>95</v>
      </c>
      <c r="AA352" s="7">
        <f>Tabla1[[#This Row],[Columna1]]-Tabla1[[#This Row],[IMPORTE TOTAL]]</f>
        <v>0</v>
      </c>
    </row>
    <row r="353" spans="1:27" x14ac:dyDescent="0.2">
      <c r="A353">
        <v>2022</v>
      </c>
      <c r="B353" t="s">
        <v>61</v>
      </c>
      <c r="C353" s="3">
        <v>44770</v>
      </c>
      <c r="D353" s="3" t="s">
        <v>40</v>
      </c>
      <c r="E353" s="3" t="s">
        <v>46</v>
      </c>
      <c r="F353" s="3" t="s">
        <v>46</v>
      </c>
      <c r="G353" s="4">
        <v>0.39583333333333331</v>
      </c>
      <c r="H353" s="4">
        <v>0.10416666666666667</v>
      </c>
      <c r="I353" t="s">
        <v>32</v>
      </c>
      <c r="J353">
        <v>3</v>
      </c>
      <c r="L353" s="46"/>
      <c r="P353">
        <v>280</v>
      </c>
      <c r="Q353">
        <v>0</v>
      </c>
      <c r="R353">
        <v>0</v>
      </c>
      <c r="S353" s="7">
        <f>Tabla1[[#This Row],[TARIFA]]+Tabla1[[#This Row],[IMPORTE EXTRAS]]</f>
        <v>280</v>
      </c>
      <c r="T353" t="s">
        <v>45</v>
      </c>
      <c r="U353">
        <v>50</v>
      </c>
      <c r="V353">
        <v>230</v>
      </c>
      <c r="W353">
        <v>0</v>
      </c>
      <c r="X353">
        <v>0</v>
      </c>
      <c r="Z353" s="7">
        <f>SUM(Tabla1[[#This Row],[RES-A]:[EXTR-B]])</f>
        <v>280</v>
      </c>
      <c r="AA353" s="7">
        <f>Tabla1[[#This Row],[Columna1]]-Tabla1[[#This Row],[IMPORTE TOTAL]]</f>
        <v>0</v>
      </c>
    </row>
    <row r="354" spans="1:27" x14ac:dyDescent="0.2">
      <c r="A354">
        <v>2022</v>
      </c>
      <c r="B354" t="s">
        <v>61</v>
      </c>
      <c r="C354" s="3">
        <v>44771</v>
      </c>
      <c r="D354" s="3" t="s">
        <v>41</v>
      </c>
      <c r="E354" s="3" t="s">
        <v>46</v>
      </c>
      <c r="F354" s="3" t="s">
        <v>46</v>
      </c>
      <c r="G354" s="4">
        <v>0.89583333333333337</v>
      </c>
      <c r="H354" s="4">
        <v>0.10416666666666667</v>
      </c>
      <c r="I354" t="s">
        <v>35</v>
      </c>
      <c r="J354">
        <v>1</v>
      </c>
      <c r="L354" s="46"/>
      <c r="P354">
        <v>200</v>
      </c>
      <c r="Q354">
        <v>1</v>
      </c>
      <c r="R354">
        <v>60</v>
      </c>
      <c r="S354" s="7">
        <f>Tabla1[[#This Row],[TARIFA]]+Tabla1[[#This Row],[IMPORTE EXTRAS]]</f>
        <v>260</v>
      </c>
      <c r="T354" t="s">
        <v>45</v>
      </c>
      <c r="U354">
        <v>50</v>
      </c>
      <c r="V354">
        <v>150</v>
      </c>
      <c r="W354">
        <v>0</v>
      </c>
      <c r="X354">
        <v>60</v>
      </c>
      <c r="Y354" t="s">
        <v>414</v>
      </c>
      <c r="Z354" s="7">
        <f>SUM(Tabla1[[#This Row],[RES-A]:[EXTR-B]])</f>
        <v>260</v>
      </c>
      <c r="AA354" s="7">
        <f>Tabla1[[#This Row],[Columna1]]-Tabla1[[#This Row],[IMPORTE TOTAL]]</f>
        <v>0</v>
      </c>
    </row>
    <row r="355" spans="1:27" x14ac:dyDescent="0.2">
      <c r="A355">
        <v>2022</v>
      </c>
      <c r="B355" t="s">
        <v>61</v>
      </c>
      <c r="C355" s="3">
        <v>44772</v>
      </c>
      <c r="D355" s="3" t="s">
        <v>42</v>
      </c>
      <c r="E355" s="3" t="s">
        <v>46</v>
      </c>
      <c r="F355" s="3" t="s">
        <v>46</v>
      </c>
      <c r="G355" s="4">
        <v>0.89583333333333337</v>
      </c>
      <c r="H355" s="4">
        <v>0.10416666666666667</v>
      </c>
      <c r="I355" t="s">
        <v>35</v>
      </c>
      <c r="J355">
        <v>1</v>
      </c>
      <c r="L355" s="46"/>
      <c r="P355">
        <v>200</v>
      </c>
      <c r="Q355">
        <v>0</v>
      </c>
      <c r="R355">
        <v>0</v>
      </c>
      <c r="S355" s="7">
        <f>Tabla1[[#This Row],[TARIFA]]+Tabla1[[#This Row],[IMPORTE EXTRAS]]</f>
        <v>200</v>
      </c>
      <c r="T355" t="s">
        <v>45</v>
      </c>
      <c r="U355">
        <v>0</v>
      </c>
      <c r="V355">
        <v>200</v>
      </c>
      <c r="W355">
        <v>0</v>
      </c>
      <c r="X355">
        <v>0</v>
      </c>
      <c r="Y355" t="s">
        <v>413</v>
      </c>
      <c r="Z355" s="7">
        <f>SUM(Tabla1[[#This Row],[RES-A]:[EXTR-B]])</f>
        <v>200</v>
      </c>
      <c r="AA355" s="7">
        <f>Tabla1[[#This Row],[Columna1]]-Tabla1[[#This Row],[IMPORTE TOTAL]]</f>
        <v>0</v>
      </c>
    </row>
    <row r="356" spans="1:27" x14ac:dyDescent="0.2">
      <c r="A356">
        <v>2022</v>
      </c>
      <c r="B356" t="s">
        <v>62</v>
      </c>
      <c r="C356" s="3">
        <v>44779</v>
      </c>
      <c r="D356" s="3" t="s">
        <v>42</v>
      </c>
      <c r="E356" s="3" t="s">
        <v>46</v>
      </c>
      <c r="F356" s="3" t="s">
        <v>46</v>
      </c>
      <c r="G356" s="4">
        <v>0.64583333333333337</v>
      </c>
      <c r="H356" s="4">
        <v>0.10416666666666667</v>
      </c>
      <c r="I356" t="s">
        <v>53</v>
      </c>
      <c r="J356">
        <v>2</v>
      </c>
      <c r="L356" s="46"/>
      <c r="P356">
        <v>300</v>
      </c>
      <c r="Q356">
        <v>0</v>
      </c>
      <c r="R356">
        <v>0</v>
      </c>
      <c r="S356" s="7">
        <f>Tabla1[[#This Row],[TARIFA]]+Tabla1[[#This Row],[IMPORTE EXTRAS]]</f>
        <v>300</v>
      </c>
      <c r="T356" t="s">
        <v>45</v>
      </c>
      <c r="U356">
        <v>0</v>
      </c>
      <c r="V356">
        <v>300</v>
      </c>
      <c r="W356">
        <v>0</v>
      </c>
      <c r="X356">
        <v>0</v>
      </c>
      <c r="Y356" t="s">
        <v>209</v>
      </c>
      <c r="Z356" s="7">
        <f>SUM(Tabla1[[#This Row],[RES-A]:[EXTR-B]])</f>
        <v>300</v>
      </c>
      <c r="AA356" s="7">
        <f>Tabla1[[#This Row],[Columna1]]-Tabla1[[#This Row],[IMPORTE TOTAL]]</f>
        <v>0</v>
      </c>
    </row>
    <row r="357" spans="1:27" x14ac:dyDescent="0.2">
      <c r="A357">
        <v>2022</v>
      </c>
      <c r="B357" t="s">
        <v>62</v>
      </c>
      <c r="C357" s="3">
        <v>44780</v>
      </c>
      <c r="D357" s="3" t="s">
        <v>43</v>
      </c>
      <c r="E357" s="3" t="s">
        <v>46</v>
      </c>
      <c r="F357" s="3" t="s">
        <v>46</v>
      </c>
      <c r="G357" s="4">
        <v>0.64583333333333337</v>
      </c>
      <c r="H357" s="4">
        <v>0.85416666666666663</v>
      </c>
      <c r="I357" t="s">
        <v>31</v>
      </c>
      <c r="J357">
        <v>1</v>
      </c>
      <c r="L357" s="46"/>
      <c r="P357">
        <v>150</v>
      </c>
      <c r="Q357">
        <v>0</v>
      </c>
      <c r="R357">
        <v>0</v>
      </c>
      <c r="S357" s="7">
        <f>Tabla1[[#This Row],[TARIFA]]+Tabla1[[#This Row],[IMPORTE EXTRAS]]</f>
        <v>150</v>
      </c>
      <c r="T357" t="s">
        <v>45</v>
      </c>
      <c r="U357">
        <v>50</v>
      </c>
      <c r="V357">
        <v>100</v>
      </c>
      <c r="W357">
        <v>0</v>
      </c>
      <c r="X357">
        <v>0</v>
      </c>
      <c r="Z357" s="7">
        <f>SUM(Tabla1[[#This Row],[RES-A]:[EXTR-B]])</f>
        <v>150</v>
      </c>
      <c r="AA357" s="7">
        <f>Tabla1[[#This Row],[Columna1]]-Tabla1[[#This Row],[IMPORTE TOTAL]]</f>
        <v>0</v>
      </c>
    </row>
    <row r="358" spans="1:27" x14ac:dyDescent="0.2">
      <c r="A358">
        <v>2022</v>
      </c>
      <c r="B358" t="s">
        <v>62</v>
      </c>
      <c r="C358" s="3">
        <v>44788</v>
      </c>
      <c r="D358" s="3" t="s">
        <v>37</v>
      </c>
      <c r="E358" s="3" t="s">
        <v>45</v>
      </c>
      <c r="F358" s="3" t="s">
        <v>46</v>
      </c>
      <c r="G358" s="4">
        <v>0.64583333333333337</v>
      </c>
      <c r="H358" s="4">
        <v>0.10416666666666667</v>
      </c>
      <c r="I358" t="s">
        <v>53</v>
      </c>
      <c r="J358">
        <v>2</v>
      </c>
      <c r="L358" s="46"/>
      <c r="P358">
        <v>320</v>
      </c>
      <c r="Q358">
        <v>0</v>
      </c>
      <c r="R358">
        <v>0</v>
      </c>
      <c r="S358" s="7">
        <f>Tabla1[[#This Row],[TARIFA]]+Tabla1[[#This Row],[IMPORTE EXTRAS]]</f>
        <v>320</v>
      </c>
      <c r="T358" t="s">
        <v>45</v>
      </c>
      <c r="U358">
        <v>50</v>
      </c>
      <c r="V358">
        <v>270</v>
      </c>
      <c r="W358">
        <v>0</v>
      </c>
      <c r="X358">
        <v>0</v>
      </c>
      <c r="Z358" s="7">
        <f>SUM(Tabla1[[#This Row],[RES-A]:[EXTR-B]])</f>
        <v>320</v>
      </c>
      <c r="AA358" s="7">
        <f>Tabla1[[#This Row],[Columna1]]-Tabla1[[#This Row],[IMPORTE TOTAL]]</f>
        <v>0</v>
      </c>
    </row>
    <row r="359" spans="1:27" x14ac:dyDescent="0.2">
      <c r="A359">
        <v>2022</v>
      </c>
      <c r="B359" t="s">
        <v>62</v>
      </c>
      <c r="C359" s="3">
        <v>44791</v>
      </c>
      <c r="D359" s="3" t="s">
        <v>40</v>
      </c>
      <c r="E359" s="3" t="s">
        <v>46</v>
      </c>
      <c r="F359" s="3" t="s">
        <v>46</v>
      </c>
      <c r="G359" s="4">
        <v>0.64583333333333337</v>
      </c>
      <c r="H359" s="4">
        <v>0.85416666666666663</v>
      </c>
      <c r="I359" t="s">
        <v>31</v>
      </c>
      <c r="J359">
        <v>1</v>
      </c>
      <c r="L359" s="46"/>
      <c r="P359">
        <v>95</v>
      </c>
      <c r="Q359">
        <v>0</v>
      </c>
      <c r="R359">
        <v>0</v>
      </c>
      <c r="S359" s="7">
        <f>Tabla1[[#This Row],[TARIFA]]+Tabla1[[#This Row],[IMPORTE EXTRAS]]</f>
        <v>95</v>
      </c>
      <c r="T359" t="s">
        <v>45</v>
      </c>
      <c r="U359">
        <v>95</v>
      </c>
      <c r="V359">
        <v>0</v>
      </c>
      <c r="W359">
        <v>0</v>
      </c>
      <c r="X359">
        <v>0</v>
      </c>
      <c r="Z359" s="7">
        <f>SUM(Tabla1[[#This Row],[RES-A]:[EXTR-B]])</f>
        <v>95</v>
      </c>
      <c r="AA359" s="7">
        <f>Tabla1[[#This Row],[Columna1]]-Tabla1[[#This Row],[IMPORTE TOTAL]]</f>
        <v>0</v>
      </c>
    </row>
    <row r="360" spans="1:27" x14ac:dyDescent="0.2">
      <c r="A360">
        <v>2022</v>
      </c>
      <c r="B360" t="s">
        <v>62</v>
      </c>
      <c r="C360" s="3">
        <v>44799</v>
      </c>
      <c r="D360" s="3" t="s">
        <v>41</v>
      </c>
      <c r="E360" s="3" t="s">
        <v>46</v>
      </c>
      <c r="F360" s="3" t="s">
        <v>46</v>
      </c>
      <c r="G360" s="4">
        <v>0.89583333333333337</v>
      </c>
      <c r="H360" s="4">
        <v>0.10416666666666667</v>
      </c>
      <c r="I360" t="s">
        <v>35</v>
      </c>
      <c r="J360">
        <v>1</v>
      </c>
      <c r="L360" s="46"/>
      <c r="P360">
        <v>200</v>
      </c>
      <c r="Q360">
        <v>0</v>
      </c>
      <c r="R360">
        <v>0</v>
      </c>
      <c r="S360" s="7">
        <f>Tabla1[[#This Row],[TARIFA]]+Tabla1[[#This Row],[IMPORTE EXTRAS]]</f>
        <v>200</v>
      </c>
      <c r="T360" t="s">
        <v>45</v>
      </c>
      <c r="U360">
        <v>50</v>
      </c>
      <c r="V360">
        <v>150</v>
      </c>
      <c r="W360">
        <v>0</v>
      </c>
      <c r="X360">
        <v>0</v>
      </c>
      <c r="Z360" s="7">
        <f>SUM(Tabla1[[#This Row],[RES-A]:[EXTR-B]])</f>
        <v>200</v>
      </c>
      <c r="AA360" s="7">
        <f>Tabla1[[#This Row],[Columna1]]-Tabla1[[#This Row],[IMPORTE TOTAL]]</f>
        <v>0</v>
      </c>
    </row>
    <row r="361" spans="1:27" x14ac:dyDescent="0.2">
      <c r="A361">
        <v>2022</v>
      </c>
      <c r="B361" t="s">
        <v>62</v>
      </c>
      <c r="C361" s="3">
        <v>44800</v>
      </c>
      <c r="D361" s="3" t="s">
        <v>42</v>
      </c>
      <c r="E361" s="3" t="s">
        <v>46</v>
      </c>
      <c r="F361" s="3" t="s">
        <v>46</v>
      </c>
      <c r="G361" s="4">
        <v>0.64583333333333337</v>
      </c>
      <c r="H361" s="4">
        <v>0.85416666666666663</v>
      </c>
      <c r="I361" t="s">
        <v>31</v>
      </c>
      <c r="J361">
        <v>1</v>
      </c>
      <c r="L361" s="46"/>
      <c r="P361">
        <v>150</v>
      </c>
      <c r="Q361">
        <v>0</v>
      </c>
      <c r="R361">
        <v>0</v>
      </c>
      <c r="S361" s="7">
        <f>Tabla1[[#This Row],[TARIFA]]+Tabla1[[#This Row],[IMPORTE EXTRAS]]</f>
        <v>150</v>
      </c>
      <c r="T361" t="s">
        <v>45</v>
      </c>
      <c r="U361">
        <v>50</v>
      </c>
      <c r="V361">
        <v>100</v>
      </c>
      <c r="W361">
        <v>0</v>
      </c>
      <c r="X361">
        <v>0</v>
      </c>
      <c r="Z361" s="7">
        <f>SUM(Tabla1[[#This Row],[RES-A]:[EXTR-B]])</f>
        <v>150</v>
      </c>
      <c r="AA361" s="7">
        <f>Tabla1[[#This Row],[Columna1]]-Tabla1[[#This Row],[IMPORTE TOTAL]]</f>
        <v>0</v>
      </c>
    </row>
    <row r="362" spans="1:27" x14ac:dyDescent="0.2">
      <c r="A362">
        <v>2022</v>
      </c>
      <c r="B362" t="s">
        <v>62</v>
      </c>
      <c r="C362" s="3">
        <v>44800</v>
      </c>
      <c r="D362" s="3" t="s">
        <v>42</v>
      </c>
      <c r="E362" s="3" t="s">
        <v>46</v>
      </c>
      <c r="F362" s="3" t="s">
        <v>46</v>
      </c>
      <c r="G362" s="4">
        <v>0.89583333333333337</v>
      </c>
      <c r="H362" s="4">
        <v>0.10416666666666667</v>
      </c>
      <c r="I362" t="s">
        <v>35</v>
      </c>
      <c r="J362">
        <v>1</v>
      </c>
      <c r="L362" s="46"/>
      <c r="P362">
        <v>200</v>
      </c>
      <c r="Q362">
        <v>1</v>
      </c>
      <c r="R362">
        <v>60</v>
      </c>
      <c r="S362" s="7">
        <f>Tabla1[[#This Row],[TARIFA]]+Tabla1[[#This Row],[IMPORTE EXTRAS]]</f>
        <v>260</v>
      </c>
      <c r="T362" t="s">
        <v>45</v>
      </c>
      <c r="U362">
        <v>50</v>
      </c>
      <c r="V362">
        <v>150</v>
      </c>
      <c r="W362">
        <v>0</v>
      </c>
      <c r="X362">
        <v>60</v>
      </c>
      <c r="Z362" s="7">
        <f>SUM(Tabla1[[#This Row],[RES-A]:[EXTR-B]])</f>
        <v>260</v>
      </c>
      <c r="AA362" s="7">
        <f>Tabla1[[#This Row],[Columna1]]-Tabla1[[#This Row],[IMPORTE TOTAL]]</f>
        <v>0</v>
      </c>
    </row>
    <row r="363" spans="1:27" x14ac:dyDescent="0.2">
      <c r="A363">
        <v>2022</v>
      </c>
      <c r="B363" t="s">
        <v>236</v>
      </c>
      <c r="C363" s="3">
        <v>44806</v>
      </c>
      <c r="D363" s="3" t="s">
        <v>41</v>
      </c>
      <c r="E363" s="3" t="s">
        <v>46</v>
      </c>
      <c r="F363" s="3" t="s">
        <v>46</v>
      </c>
      <c r="G363" s="4">
        <v>0.64583333333333337</v>
      </c>
      <c r="H363" s="4">
        <v>0.85416666666666663</v>
      </c>
      <c r="I363" t="s">
        <v>31</v>
      </c>
      <c r="J363">
        <v>1</v>
      </c>
      <c r="L363" s="46"/>
      <c r="P363">
        <v>140</v>
      </c>
      <c r="Q363">
        <v>1</v>
      </c>
      <c r="R363">
        <v>10</v>
      </c>
      <c r="S363" s="7">
        <f>Tabla1[[#This Row],[TARIFA]]+Tabla1[[#This Row],[IMPORTE EXTRAS]]</f>
        <v>150</v>
      </c>
      <c r="T363" t="s">
        <v>45</v>
      </c>
      <c r="U363">
        <v>0</v>
      </c>
      <c r="V363">
        <v>140</v>
      </c>
      <c r="W363">
        <v>0</v>
      </c>
      <c r="X363">
        <v>10</v>
      </c>
      <c r="Z363" s="7">
        <f>SUM(Tabla1[[#This Row],[RES-A]:[EXTR-B]])</f>
        <v>150</v>
      </c>
      <c r="AA363" s="7">
        <f>Tabla1[[#This Row],[Columna1]]-Tabla1[[#This Row],[IMPORTE TOTAL]]</f>
        <v>0</v>
      </c>
    </row>
    <row r="364" spans="1:27" x14ac:dyDescent="0.2">
      <c r="A364">
        <v>2022</v>
      </c>
      <c r="B364" t="s">
        <v>236</v>
      </c>
      <c r="C364" s="3">
        <v>44807</v>
      </c>
      <c r="D364" s="3" t="s">
        <v>42</v>
      </c>
      <c r="E364" s="3" t="s">
        <v>46</v>
      </c>
      <c r="F364" s="3" t="s">
        <v>46</v>
      </c>
      <c r="G364" s="4">
        <v>0.64583333333333337</v>
      </c>
      <c r="H364" s="4">
        <v>0.85416666666666663</v>
      </c>
      <c r="I364" t="s">
        <v>31</v>
      </c>
      <c r="J364">
        <v>1</v>
      </c>
      <c r="L364" s="46"/>
      <c r="P364">
        <v>150</v>
      </c>
      <c r="Q364">
        <v>0</v>
      </c>
      <c r="R364">
        <v>0</v>
      </c>
      <c r="S364" s="7">
        <f>Tabla1[[#This Row],[TARIFA]]+Tabla1[[#This Row],[IMPORTE EXTRAS]]</f>
        <v>150</v>
      </c>
      <c r="T364" t="s">
        <v>45</v>
      </c>
      <c r="U364">
        <v>50</v>
      </c>
      <c r="V364">
        <v>100</v>
      </c>
      <c r="W364">
        <v>0</v>
      </c>
      <c r="X364">
        <v>0</v>
      </c>
      <c r="Z364" s="7">
        <f>SUM(Tabla1[[#This Row],[RES-A]:[EXTR-B]])</f>
        <v>150</v>
      </c>
      <c r="AA364" s="7">
        <f>Tabla1[[#This Row],[Columna1]]-Tabla1[[#This Row],[IMPORTE TOTAL]]</f>
        <v>0</v>
      </c>
    </row>
    <row r="365" spans="1:27" x14ac:dyDescent="0.2">
      <c r="A365">
        <v>2022</v>
      </c>
      <c r="B365" t="s">
        <v>236</v>
      </c>
      <c r="C365" s="3">
        <v>44807</v>
      </c>
      <c r="D365" s="3" t="s">
        <v>42</v>
      </c>
      <c r="E365" s="3" t="s">
        <v>46</v>
      </c>
      <c r="F365" s="3" t="s">
        <v>46</v>
      </c>
      <c r="G365" s="4">
        <v>0.89583333333333337</v>
      </c>
      <c r="H365" s="4">
        <v>0.10416666666666667</v>
      </c>
      <c r="I365" t="s">
        <v>35</v>
      </c>
      <c r="J365">
        <v>1</v>
      </c>
      <c r="L365" s="46"/>
      <c r="P365">
        <v>200</v>
      </c>
      <c r="Q365">
        <v>1</v>
      </c>
      <c r="R365">
        <v>60</v>
      </c>
      <c r="S365" s="7">
        <f>Tabla1[[#This Row],[TARIFA]]+Tabla1[[#This Row],[IMPORTE EXTRAS]]</f>
        <v>260</v>
      </c>
      <c r="T365" t="s">
        <v>45</v>
      </c>
      <c r="U365">
        <v>50</v>
      </c>
      <c r="V365">
        <v>150</v>
      </c>
      <c r="W365">
        <v>0</v>
      </c>
      <c r="X365">
        <v>60</v>
      </c>
      <c r="Z365" s="7">
        <f>SUM(Tabla1[[#This Row],[RES-A]:[EXTR-B]])</f>
        <v>260</v>
      </c>
      <c r="AA365" s="7">
        <f>Tabla1[[#This Row],[Columna1]]-Tabla1[[#This Row],[IMPORTE TOTAL]]</f>
        <v>0</v>
      </c>
    </row>
    <row r="366" spans="1:27" x14ac:dyDescent="0.2">
      <c r="A366">
        <v>2022</v>
      </c>
      <c r="B366" t="s">
        <v>236</v>
      </c>
      <c r="C366" s="3">
        <v>44811</v>
      </c>
      <c r="D366" s="3" t="s">
        <v>39</v>
      </c>
      <c r="E366" s="3" t="s">
        <v>46</v>
      </c>
      <c r="F366" s="3" t="s">
        <v>46</v>
      </c>
      <c r="G366" s="4">
        <v>0.64583333333333337</v>
      </c>
      <c r="H366" s="4">
        <v>0.85416666666666663</v>
      </c>
      <c r="I366" t="s">
        <v>31</v>
      </c>
      <c r="J366">
        <v>1</v>
      </c>
      <c r="L366" s="46"/>
      <c r="P366">
        <v>95</v>
      </c>
      <c r="Q366">
        <v>0</v>
      </c>
      <c r="R366">
        <v>0</v>
      </c>
      <c r="S366" s="7">
        <f>Tabla1[[#This Row],[TARIFA]]+Tabla1[[#This Row],[IMPORTE EXTRAS]]</f>
        <v>95</v>
      </c>
      <c r="T366" t="s">
        <v>45</v>
      </c>
      <c r="U366">
        <v>95</v>
      </c>
      <c r="V366">
        <v>0</v>
      </c>
      <c r="W366">
        <v>0</v>
      </c>
      <c r="X366">
        <v>0</v>
      </c>
      <c r="Z366" s="7">
        <f>SUM(Tabla1[[#This Row],[RES-A]:[EXTR-B]])</f>
        <v>95</v>
      </c>
      <c r="AA366" s="7">
        <f>Tabla1[[#This Row],[Columna1]]-Tabla1[[#This Row],[IMPORTE TOTAL]]</f>
        <v>0</v>
      </c>
    </row>
    <row r="367" spans="1:27" x14ac:dyDescent="0.2">
      <c r="A367">
        <v>2022</v>
      </c>
      <c r="B367" t="s">
        <v>236</v>
      </c>
      <c r="C367" s="3">
        <v>44814</v>
      </c>
      <c r="D367" s="3" t="s">
        <v>42</v>
      </c>
      <c r="E367" s="3" t="s">
        <v>46</v>
      </c>
      <c r="F367" s="3" t="s">
        <v>46</v>
      </c>
      <c r="G367" s="4">
        <v>0.39583333333333331</v>
      </c>
      <c r="H367" s="4">
        <v>0.60416666666666663</v>
      </c>
      <c r="I367" t="s">
        <v>30</v>
      </c>
      <c r="J367">
        <v>1</v>
      </c>
      <c r="L367" s="46"/>
      <c r="P367">
        <v>150</v>
      </c>
      <c r="Q367">
        <v>0</v>
      </c>
      <c r="R367">
        <v>0</v>
      </c>
      <c r="S367" s="7">
        <f>Tabla1[[#This Row],[TARIFA]]+Tabla1[[#This Row],[IMPORTE EXTRAS]]</f>
        <v>150</v>
      </c>
      <c r="T367" t="s">
        <v>45</v>
      </c>
      <c r="U367">
        <v>50</v>
      </c>
      <c r="V367">
        <v>100</v>
      </c>
      <c r="W367">
        <v>0</v>
      </c>
      <c r="X367">
        <v>0</v>
      </c>
      <c r="Z367" s="7">
        <f>SUM(Tabla1[[#This Row],[RES-A]:[EXTR-B]])</f>
        <v>150</v>
      </c>
      <c r="AA367" s="7">
        <f>Tabla1[[#This Row],[Columna1]]-Tabla1[[#This Row],[IMPORTE TOTAL]]</f>
        <v>0</v>
      </c>
    </row>
    <row r="368" spans="1:27" x14ac:dyDescent="0.2">
      <c r="A368">
        <v>2022</v>
      </c>
      <c r="B368" t="s">
        <v>236</v>
      </c>
      <c r="C368" s="3">
        <v>44814</v>
      </c>
      <c r="D368" s="3" t="s">
        <v>42</v>
      </c>
      <c r="E368" s="3" t="s">
        <v>46</v>
      </c>
      <c r="F368" s="3" t="s">
        <v>46</v>
      </c>
      <c r="G368" s="4">
        <v>0.64583333333333337</v>
      </c>
      <c r="H368" s="4">
        <v>0.85416666666666663</v>
      </c>
      <c r="I368" t="s">
        <v>31</v>
      </c>
      <c r="J368">
        <v>1</v>
      </c>
      <c r="L368" s="46"/>
      <c r="P368">
        <v>150</v>
      </c>
      <c r="Q368">
        <v>0</v>
      </c>
      <c r="R368">
        <v>0</v>
      </c>
      <c r="S368" s="7">
        <f>Tabla1[[#This Row],[TARIFA]]+Tabla1[[#This Row],[IMPORTE EXTRAS]]</f>
        <v>150</v>
      </c>
      <c r="T368" t="s">
        <v>45</v>
      </c>
      <c r="U368">
        <v>150</v>
      </c>
      <c r="V368">
        <v>0</v>
      </c>
      <c r="W368">
        <v>0</v>
      </c>
      <c r="X368">
        <v>0</v>
      </c>
      <c r="Z368" s="7">
        <f>SUM(Tabla1[[#This Row],[RES-A]:[EXTR-B]])</f>
        <v>150</v>
      </c>
      <c r="AA368" s="7">
        <f>Tabla1[[#This Row],[Columna1]]-Tabla1[[#This Row],[IMPORTE TOTAL]]</f>
        <v>0</v>
      </c>
    </row>
    <row r="369" spans="1:27" x14ac:dyDescent="0.2">
      <c r="A369">
        <v>2022</v>
      </c>
      <c r="B369" t="s">
        <v>236</v>
      </c>
      <c r="C369" s="3">
        <v>44815</v>
      </c>
      <c r="D369" s="3" t="s">
        <v>43</v>
      </c>
      <c r="E369" s="3" t="s">
        <v>46</v>
      </c>
      <c r="F369" s="3" t="s">
        <v>46</v>
      </c>
      <c r="G369" s="4">
        <v>0.39583333333333331</v>
      </c>
      <c r="H369" s="4">
        <v>0.60416666666666663</v>
      </c>
      <c r="I369" t="s">
        <v>30</v>
      </c>
      <c r="J369">
        <v>1</v>
      </c>
      <c r="L369" s="46"/>
      <c r="P369">
        <v>150</v>
      </c>
      <c r="Q369">
        <v>0</v>
      </c>
      <c r="R369">
        <v>0</v>
      </c>
      <c r="S369" s="7">
        <f>Tabla1[[#This Row],[TARIFA]]+Tabla1[[#This Row],[IMPORTE EXTRAS]]</f>
        <v>150</v>
      </c>
      <c r="T369" t="s">
        <v>45</v>
      </c>
      <c r="U369">
        <v>50</v>
      </c>
      <c r="V369">
        <v>100</v>
      </c>
      <c r="W369">
        <v>0</v>
      </c>
      <c r="X369">
        <v>0</v>
      </c>
      <c r="Y369" t="s">
        <v>397</v>
      </c>
      <c r="Z369" s="7">
        <f>SUM(Tabla1[[#This Row],[RES-A]:[EXTR-B]])</f>
        <v>150</v>
      </c>
      <c r="AA369" s="7">
        <f>Tabla1[[#This Row],[Columna1]]-Tabla1[[#This Row],[IMPORTE TOTAL]]</f>
        <v>0</v>
      </c>
    </row>
    <row r="370" spans="1:27" x14ac:dyDescent="0.2">
      <c r="A370">
        <v>2022</v>
      </c>
      <c r="B370" t="s">
        <v>236</v>
      </c>
      <c r="C370" s="3">
        <v>44815</v>
      </c>
      <c r="D370" s="3" t="s">
        <v>43</v>
      </c>
      <c r="E370" s="3" t="s">
        <v>46</v>
      </c>
      <c r="F370" s="3" t="s">
        <v>46</v>
      </c>
      <c r="G370" s="4">
        <v>0.64583333333333337</v>
      </c>
      <c r="H370" s="4">
        <v>0.85416666666666663</v>
      </c>
      <c r="I370" t="s">
        <v>31</v>
      </c>
      <c r="J370">
        <v>1</v>
      </c>
      <c r="L370" s="46"/>
      <c r="P370">
        <v>150</v>
      </c>
      <c r="Q370">
        <v>1</v>
      </c>
      <c r="R370">
        <v>20</v>
      </c>
      <c r="S370" s="7">
        <f>Tabla1[[#This Row],[TARIFA]]+Tabla1[[#This Row],[IMPORTE EXTRAS]]</f>
        <v>170</v>
      </c>
      <c r="T370" t="s">
        <v>45</v>
      </c>
      <c r="U370">
        <v>0</v>
      </c>
      <c r="V370">
        <v>150</v>
      </c>
      <c r="W370">
        <v>0</v>
      </c>
      <c r="X370">
        <v>20</v>
      </c>
      <c r="Y370" t="s">
        <v>418</v>
      </c>
      <c r="Z370" s="7">
        <f>SUM(Tabla1[[#This Row],[RES-A]:[EXTR-B]])</f>
        <v>170</v>
      </c>
      <c r="AA370" s="7">
        <f>Tabla1[[#This Row],[Columna1]]-Tabla1[[#This Row],[IMPORTE TOTAL]]</f>
        <v>0</v>
      </c>
    </row>
    <row r="371" spans="1:27" x14ac:dyDescent="0.2">
      <c r="A371">
        <v>2022</v>
      </c>
      <c r="B371" t="s">
        <v>236</v>
      </c>
      <c r="C371" s="3">
        <v>44817</v>
      </c>
      <c r="D371" s="3" t="s">
        <v>38</v>
      </c>
      <c r="E371" s="3" t="s">
        <v>46</v>
      </c>
      <c r="F371" s="3" t="s">
        <v>46</v>
      </c>
      <c r="G371" s="4">
        <v>0.64583333333333337</v>
      </c>
      <c r="H371" s="4">
        <v>0.85416666666666663</v>
      </c>
      <c r="I371" t="s">
        <v>31</v>
      </c>
      <c r="J371">
        <v>1</v>
      </c>
      <c r="L371" s="46"/>
      <c r="P371">
        <v>95</v>
      </c>
      <c r="Q371">
        <v>0</v>
      </c>
      <c r="R371">
        <v>0</v>
      </c>
      <c r="S371" s="7">
        <f>Tabla1[[#This Row],[TARIFA]]+Tabla1[[#This Row],[IMPORTE EXTRAS]]</f>
        <v>95</v>
      </c>
      <c r="T371" t="s">
        <v>45</v>
      </c>
      <c r="U371">
        <v>50</v>
      </c>
      <c r="V371">
        <v>45</v>
      </c>
      <c r="W371">
        <v>0</v>
      </c>
      <c r="X371">
        <v>0</v>
      </c>
      <c r="Z371" s="7">
        <f>SUM(Tabla1[[#This Row],[RES-A]:[EXTR-B]])</f>
        <v>95</v>
      </c>
      <c r="AA371" s="7">
        <f>Tabla1[[#This Row],[Columna1]]-Tabla1[[#This Row],[IMPORTE TOTAL]]</f>
        <v>0</v>
      </c>
    </row>
    <row r="372" spans="1:27" x14ac:dyDescent="0.2">
      <c r="A372">
        <v>2022</v>
      </c>
      <c r="B372" t="s">
        <v>236</v>
      </c>
      <c r="C372" s="3">
        <v>44821</v>
      </c>
      <c r="D372" s="3" t="s">
        <v>42</v>
      </c>
      <c r="E372" s="3" t="s">
        <v>46</v>
      </c>
      <c r="F372" s="3" t="s">
        <v>46</v>
      </c>
      <c r="G372" s="4">
        <v>0.89583333333333337</v>
      </c>
      <c r="H372" s="4">
        <v>0.10416666666666667</v>
      </c>
      <c r="I372" t="s">
        <v>35</v>
      </c>
      <c r="J372">
        <v>1</v>
      </c>
      <c r="L372" s="46"/>
      <c r="P372">
        <v>200</v>
      </c>
      <c r="Q372">
        <v>0</v>
      </c>
      <c r="R372">
        <v>0</v>
      </c>
      <c r="S372" s="7">
        <f>Tabla1[[#This Row],[TARIFA]]+Tabla1[[#This Row],[IMPORTE EXTRAS]]</f>
        <v>200</v>
      </c>
      <c r="T372" t="s">
        <v>45</v>
      </c>
      <c r="U372">
        <v>200</v>
      </c>
      <c r="V372">
        <v>0</v>
      </c>
      <c r="W372">
        <v>0</v>
      </c>
      <c r="X372">
        <v>0</v>
      </c>
      <c r="Z372" s="7">
        <f>SUM(Tabla1[[#This Row],[RES-A]:[EXTR-B]])</f>
        <v>200</v>
      </c>
      <c r="AA372" s="7">
        <f>Tabla1[[#This Row],[Columna1]]-Tabla1[[#This Row],[IMPORTE TOTAL]]</f>
        <v>0</v>
      </c>
    </row>
    <row r="373" spans="1:27" x14ac:dyDescent="0.2">
      <c r="A373">
        <v>2022</v>
      </c>
      <c r="B373" t="s">
        <v>236</v>
      </c>
      <c r="C373" s="3">
        <v>44824</v>
      </c>
      <c r="D373" s="3" t="s">
        <v>38</v>
      </c>
      <c r="E373" s="3" t="s">
        <v>46</v>
      </c>
      <c r="F373" s="3" t="s">
        <v>46</v>
      </c>
      <c r="G373" s="4">
        <v>0.64583333333333337</v>
      </c>
      <c r="H373" s="4">
        <v>0.85416666666666663</v>
      </c>
      <c r="I373" t="s">
        <v>31</v>
      </c>
      <c r="J373">
        <v>1</v>
      </c>
      <c r="L373" s="46"/>
      <c r="P373">
        <v>95</v>
      </c>
      <c r="Q373">
        <v>0</v>
      </c>
      <c r="R373">
        <v>0</v>
      </c>
      <c r="S373" s="7">
        <f>Tabla1[[#This Row],[TARIFA]]+Tabla1[[#This Row],[IMPORTE EXTRAS]]</f>
        <v>95</v>
      </c>
      <c r="T373" t="s">
        <v>45</v>
      </c>
      <c r="U373">
        <v>0</v>
      </c>
      <c r="V373">
        <v>95</v>
      </c>
      <c r="W373">
        <v>0</v>
      </c>
      <c r="X373">
        <v>0</v>
      </c>
      <c r="Y373" t="s">
        <v>437</v>
      </c>
      <c r="Z373" s="7">
        <f>SUM(Tabla1[[#This Row],[RES-A]:[EXTR-B]])</f>
        <v>95</v>
      </c>
      <c r="AA373" s="7">
        <f>Tabla1[[#This Row],[Columna1]]-Tabla1[[#This Row],[IMPORTE TOTAL]]</f>
        <v>0</v>
      </c>
    </row>
    <row r="374" spans="1:27" x14ac:dyDescent="0.2">
      <c r="A374">
        <v>2022</v>
      </c>
      <c r="B374" t="s">
        <v>236</v>
      </c>
      <c r="C374" s="3">
        <v>44825</v>
      </c>
      <c r="D374" s="3" t="s">
        <v>39</v>
      </c>
      <c r="E374" s="3" t="s">
        <v>46</v>
      </c>
      <c r="F374" s="3" t="s">
        <v>46</v>
      </c>
      <c r="G374" s="4">
        <v>0.64583333333333337</v>
      </c>
      <c r="H374" s="4">
        <v>0.85416666666666663</v>
      </c>
      <c r="I374" t="s">
        <v>31</v>
      </c>
      <c r="J374">
        <v>1</v>
      </c>
      <c r="L374" s="46"/>
      <c r="P374">
        <v>95</v>
      </c>
      <c r="Q374">
        <v>0</v>
      </c>
      <c r="R374">
        <v>0</v>
      </c>
      <c r="S374" s="7">
        <f>Tabla1[[#This Row],[TARIFA]]+Tabla1[[#This Row],[IMPORTE EXTRAS]]</f>
        <v>95</v>
      </c>
      <c r="T374" t="s">
        <v>45</v>
      </c>
      <c r="U374">
        <v>50</v>
      </c>
      <c r="V374">
        <v>45</v>
      </c>
      <c r="W374">
        <v>0</v>
      </c>
      <c r="X374">
        <v>0</v>
      </c>
      <c r="Z374" s="7">
        <f>SUM(Tabla1[[#This Row],[RES-A]:[EXTR-B]])</f>
        <v>95</v>
      </c>
      <c r="AA374" s="7">
        <f>Tabla1[[#This Row],[Columna1]]-Tabla1[[#This Row],[IMPORTE TOTAL]]</f>
        <v>0</v>
      </c>
    </row>
    <row r="375" spans="1:27" x14ac:dyDescent="0.2">
      <c r="A375">
        <v>2022</v>
      </c>
      <c r="B375" t="s">
        <v>236</v>
      </c>
      <c r="C375" s="3">
        <v>44827</v>
      </c>
      <c r="D375" s="3" t="s">
        <v>41</v>
      </c>
      <c r="E375" s="3" t="s">
        <v>46</v>
      </c>
      <c r="F375" s="3" t="s">
        <v>46</v>
      </c>
      <c r="G375" s="4">
        <v>0.64583333333333337</v>
      </c>
      <c r="H375" s="4">
        <v>0.10416666666666667</v>
      </c>
      <c r="I375" t="s">
        <v>32</v>
      </c>
      <c r="J375">
        <v>2</v>
      </c>
      <c r="L375" s="46"/>
      <c r="P375">
        <v>275</v>
      </c>
      <c r="Q375">
        <v>0</v>
      </c>
      <c r="R375">
        <v>0</v>
      </c>
      <c r="S375" s="7">
        <f>Tabla1[[#This Row],[TARIFA]]+Tabla1[[#This Row],[IMPORTE EXTRAS]]</f>
        <v>275</v>
      </c>
      <c r="T375" t="s">
        <v>45</v>
      </c>
      <c r="U375">
        <v>50</v>
      </c>
      <c r="V375">
        <v>225</v>
      </c>
      <c r="W375">
        <v>0</v>
      </c>
      <c r="X375">
        <v>0</v>
      </c>
      <c r="Z375" s="7">
        <f>SUM(Tabla1[[#This Row],[RES-A]:[EXTR-B]])</f>
        <v>275</v>
      </c>
      <c r="AA375" s="7">
        <f>Tabla1[[#This Row],[Columna1]]-Tabla1[[#This Row],[IMPORTE TOTAL]]</f>
        <v>0</v>
      </c>
    </row>
    <row r="376" spans="1:27" x14ac:dyDescent="0.2">
      <c r="A376">
        <v>2022</v>
      </c>
      <c r="B376" t="s">
        <v>236</v>
      </c>
      <c r="C376" s="3">
        <v>44828</v>
      </c>
      <c r="D376" s="3" t="s">
        <v>42</v>
      </c>
      <c r="E376" s="3" t="s">
        <v>46</v>
      </c>
      <c r="F376" s="3" t="s">
        <v>46</v>
      </c>
      <c r="G376" s="4">
        <v>0.39583333333333331</v>
      </c>
      <c r="H376" s="4">
        <v>0.85416666666666663</v>
      </c>
      <c r="I376" t="s">
        <v>32</v>
      </c>
      <c r="J376">
        <v>2</v>
      </c>
      <c r="L376" s="46"/>
      <c r="P376">
        <v>250</v>
      </c>
      <c r="Q376">
        <v>0</v>
      </c>
      <c r="R376">
        <v>0</v>
      </c>
      <c r="S376" s="7">
        <f>Tabla1[[#This Row],[TARIFA]]+Tabla1[[#This Row],[IMPORTE EXTRAS]]</f>
        <v>250</v>
      </c>
      <c r="T376" t="s">
        <v>45</v>
      </c>
      <c r="U376">
        <v>0</v>
      </c>
      <c r="V376">
        <v>250</v>
      </c>
      <c r="W376">
        <v>0</v>
      </c>
      <c r="X376">
        <v>0</v>
      </c>
      <c r="Y376" t="s">
        <v>439</v>
      </c>
      <c r="Z376" s="7">
        <f>SUM(Tabla1[[#This Row],[RES-A]:[EXTR-B]])</f>
        <v>250</v>
      </c>
      <c r="AA376" s="7">
        <f>Tabla1[[#This Row],[Columna1]]-Tabla1[[#This Row],[IMPORTE TOTAL]]</f>
        <v>0</v>
      </c>
    </row>
    <row r="377" spans="1:27" x14ac:dyDescent="0.2">
      <c r="A377">
        <v>2022</v>
      </c>
      <c r="B377" t="s">
        <v>236</v>
      </c>
      <c r="C377" s="3">
        <v>44828</v>
      </c>
      <c r="D377" s="3" t="s">
        <v>42</v>
      </c>
      <c r="E377" s="3" t="s">
        <v>46</v>
      </c>
      <c r="F377" s="3" t="s">
        <v>46</v>
      </c>
      <c r="G377" s="4">
        <v>0.89583333333333337</v>
      </c>
      <c r="H377" s="4">
        <v>0.10416666666666667</v>
      </c>
      <c r="I377" t="s">
        <v>35</v>
      </c>
      <c r="J377">
        <v>1</v>
      </c>
      <c r="L377" s="46"/>
      <c r="P377">
        <v>200</v>
      </c>
      <c r="Q377">
        <v>0</v>
      </c>
      <c r="R377">
        <v>0</v>
      </c>
      <c r="S377" s="7">
        <f>Tabla1[[#This Row],[TARIFA]]+Tabla1[[#This Row],[IMPORTE EXTRAS]]</f>
        <v>200</v>
      </c>
      <c r="T377" t="s">
        <v>45</v>
      </c>
      <c r="U377">
        <v>0</v>
      </c>
      <c r="V377">
        <v>200</v>
      </c>
      <c r="W377">
        <v>0</v>
      </c>
      <c r="X377">
        <v>0</v>
      </c>
      <c r="Y377" t="s">
        <v>440</v>
      </c>
      <c r="Z377" s="7">
        <f>SUM(Tabla1[[#This Row],[RES-A]:[EXTR-B]])</f>
        <v>200</v>
      </c>
      <c r="AA377" s="7">
        <f>Tabla1[[#This Row],[Columna1]]-Tabla1[[#This Row],[IMPORTE TOTAL]]</f>
        <v>0</v>
      </c>
    </row>
    <row r="378" spans="1:27" x14ac:dyDescent="0.2">
      <c r="A378">
        <v>2022</v>
      </c>
      <c r="B378" t="s">
        <v>236</v>
      </c>
      <c r="C378" s="3">
        <v>44829</v>
      </c>
      <c r="D378" s="3" t="s">
        <v>43</v>
      </c>
      <c r="E378" s="3" t="s">
        <v>46</v>
      </c>
      <c r="F378" s="3" t="s">
        <v>46</v>
      </c>
      <c r="G378" s="4">
        <v>0.39583333333333331</v>
      </c>
      <c r="H378" s="4">
        <v>0.60416666666666663</v>
      </c>
      <c r="I378" t="s">
        <v>30</v>
      </c>
      <c r="J378">
        <v>1</v>
      </c>
      <c r="L378" s="46"/>
      <c r="P378">
        <v>150</v>
      </c>
      <c r="Q378">
        <v>0</v>
      </c>
      <c r="R378">
        <v>0</v>
      </c>
      <c r="S378" s="7">
        <f>Tabla1[[#This Row],[TARIFA]]+Tabla1[[#This Row],[IMPORTE EXTRAS]]</f>
        <v>150</v>
      </c>
      <c r="T378" t="s">
        <v>45</v>
      </c>
      <c r="U378">
        <v>50</v>
      </c>
      <c r="V378">
        <v>100</v>
      </c>
      <c r="W378">
        <v>0</v>
      </c>
      <c r="X378">
        <v>0</v>
      </c>
      <c r="Z378" s="7">
        <f>SUM(Tabla1[[#This Row],[RES-A]:[EXTR-B]])</f>
        <v>150</v>
      </c>
      <c r="AA378" s="7">
        <f>Tabla1[[#This Row],[Columna1]]-Tabla1[[#This Row],[IMPORTE TOTAL]]</f>
        <v>0</v>
      </c>
    </row>
    <row r="379" spans="1:27" x14ac:dyDescent="0.2">
      <c r="A379">
        <v>2022</v>
      </c>
      <c r="B379" t="s">
        <v>236</v>
      </c>
      <c r="C379" s="3">
        <v>44829</v>
      </c>
      <c r="D379" s="3" t="s">
        <v>43</v>
      </c>
      <c r="E379" s="3" t="s">
        <v>46</v>
      </c>
      <c r="F379" s="3" t="s">
        <v>46</v>
      </c>
      <c r="G379" s="4">
        <v>0.64583333333333337</v>
      </c>
      <c r="H379" s="4">
        <v>0.85416666666666663</v>
      </c>
      <c r="I379" t="s">
        <v>31</v>
      </c>
      <c r="J379">
        <v>1</v>
      </c>
      <c r="L379" s="46"/>
      <c r="P379">
        <v>150</v>
      </c>
      <c r="Q379">
        <v>1</v>
      </c>
      <c r="R379">
        <v>70</v>
      </c>
      <c r="S379" s="7">
        <f>Tabla1[[#This Row],[TARIFA]]+Tabla1[[#This Row],[IMPORTE EXTRAS]]</f>
        <v>220</v>
      </c>
      <c r="T379" t="s">
        <v>45</v>
      </c>
      <c r="U379">
        <v>50</v>
      </c>
      <c r="V379">
        <v>150</v>
      </c>
      <c r="W379">
        <v>0</v>
      </c>
      <c r="X379">
        <v>0</v>
      </c>
      <c r="Y379" t="s">
        <v>441</v>
      </c>
      <c r="Z379" s="7">
        <f>SUM(Tabla1[[#This Row],[RES-A]:[EXTR-B]])</f>
        <v>200</v>
      </c>
      <c r="AA379" s="7">
        <f>Tabla1[[#This Row],[Columna1]]-Tabla1[[#This Row],[IMPORTE TOTAL]]</f>
        <v>-20</v>
      </c>
    </row>
    <row r="380" spans="1:27" x14ac:dyDescent="0.2">
      <c r="A380">
        <v>2022</v>
      </c>
      <c r="B380" t="s">
        <v>236</v>
      </c>
      <c r="C380" s="3">
        <v>44829</v>
      </c>
      <c r="D380" s="3" t="s">
        <v>43</v>
      </c>
      <c r="E380" s="3" t="s">
        <v>46</v>
      </c>
      <c r="F380" s="3" t="s">
        <v>46</v>
      </c>
      <c r="G380" s="4">
        <v>0.39583333333333331</v>
      </c>
      <c r="H380" s="4">
        <v>0.85416666666666663</v>
      </c>
      <c r="I380" t="s">
        <v>32</v>
      </c>
      <c r="J380">
        <v>2</v>
      </c>
      <c r="L380" s="46"/>
      <c r="P380">
        <v>290</v>
      </c>
      <c r="Q380">
        <v>0</v>
      </c>
      <c r="R380">
        <v>0</v>
      </c>
      <c r="S380" s="7">
        <f>Tabla1[[#This Row],[TARIFA]]+Tabla1[[#This Row],[IMPORTE EXTRAS]]</f>
        <v>290</v>
      </c>
      <c r="T380" t="s">
        <v>55</v>
      </c>
      <c r="U380">
        <v>50</v>
      </c>
      <c r="V380">
        <v>0</v>
      </c>
      <c r="W380">
        <v>0</v>
      </c>
      <c r="X380">
        <v>0</v>
      </c>
      <c r="Z380" s="7">
        <f>SUM(Tabla1[[#This Row],[RES-A]:[EXTR-B]])</f>
        <v>50</v>
      </c>
      <c r="AA380" s="7">
        <f>Tabla1[[#This Row],[Columna1]]-Tabla1[[#This Row],[IMPORTE TOTAL]]</f>
        <v>-240</v>
      </c>
    </row>
    <row r="381" spans="1:27" x14ac:dyDescent="0.2">
      <c r="A381">
        <v>2022</v>
      </c>
      <c r="B381" t="s">
        <v>236</v>
      </c>
      <c r="C381" s="3">
        <v>44834</v>
      </c>
      <c r="D381" s="3" t="s">
        <v>41</v>
      </c>
      <c r="E381" s="3" t="s">
        <v>46</v>
      </c>
      <c r="F381" s="3" t="s">
        <v>46</v>
      </c>
      <c r="G381" s="4">
        <v>0.64583333333333337</v>
      </c>
      <c r="H381" s="4">
        <v>0.10416666666666667</v>
      </c>
      <c r="I381" t="s">
        <v>53</v>
      </c>
      <c r="J381">
        <v>2</v>
      </c>
      <c r="L381" s="46"/>
      <c r="P381">
        <v>300</v>
      </c>
      <c r="Q381">
        <v>1</v>
      </c>
      <c r="R381">
        <v>150</v>
      </c>
      <c r="S381" s="7">
        <f>Tabla1[[#This Row],[TARIFA]]+Tabla1[[#This Row],[IMPORTE EXTRAS]]</f>
        <v>450</v>
      </c>
      <c r="T381" t="s">
        <v>45</v>
      </c>
      <c r="U381">
        <v>50</v>
      </c>
      <c r="V381">
        <v>250</v>
      </c>
      <c r="W381">
        <v>0</v>
      </c>
      <c r="X381">
        <v>150</v>
      </c>
      <c r="Z381" s="7">
        <f>SUM(Tabla1[[#This Row],[RES-A]:[EXTR-B]])</f>
        <v>450</v>
      </c>
      <c r="AA381" s="7">
        <f>Tabla1[[#This Row],[Columna1]]-Tabla1[[#This Row],[IMPORTE TOTAL]]</f>
        <v>0</v>
      </c>
    </row>
    <row r="382" spans="1:27" x14ac:dyDescent="0.2">
      <c r="A382">
        <v>2022</v>
      </c>
      <c r="B382" t="s">
        <v>63</v>
      </c>
      <c r="C382" s="3">
        <v>44835</v>
      </c>
      <c r="D382" s="3" t="s">
        <v>42</v>
      </c>
      <c r="E382" s="3" t="s">
        <v>46</v>
      </c>
      <c r="F382" s="3" t="s">
        <v>46</v>
      </c>
      <c r="G382" s="4">
        <v>0.39583333333333331</v>
      </c>
      <c r="H382" s="4">
        <v>0.60416666666666663</v>
      </c>
      <c r="I382" t="s">
        <v>30</v>
      </c>
      <c r="J382">
        <v>1</v>
      </c>
      <c r="L382" s="46"/>
      <c r="P382">
        <v>150</v>
      </c>
      <c r="Q382">
        <v>0</v>
      </c>
      <c r="R382">
        <v>0</v>
      </c>
      <c r="S382" s="7">
        <f>Tabla1[[#This Row],[TARIFA]]+Tabla1[[#This Row],[IMPORTE EXTRAS]]</f>
        <v>150</v>
      </c>
      <c r="T382" t="s">
        <v>45</v>
      </c>
      <c r="U382">
        <v>50</v>
      </c>
      <c r="V382">
        <v>100</v>
      </c>
      <c r="W382">
        <v>0</v>
      </c>
      <c r="X382">
        <v>0</v>
      </c>
      <c r="Y382" t="s">
        <v>444</v>
      </c>
      <c r="Z382" s="7">
        <f>SUM(Tabla1[[#This Row],[RES-A]:[EXTR-B]])</f>
        <v>150</v>
      </c>
      <c r="AA382" s="7">
        <f>Tabla1[[#This Row],[Columna1]]-Tabla1[[#This Row],[IMPORTE TOTAL]]</f>
        <v>0</v>
      </c>
    </row>
    <row r="383" spans="1:27" x14ac:dyDescent="0.2">
      <c r="A383">
        <v>2022</v>
      </c>
      <c r="B383" t="s">
        <v>63</v>
      </c>
      <c r="C383" s="3">
        <v>44835</v>
      </c>
      <c r="D383" s="3" t="s">
        <v>42</v>
      </c>
      <c r="E383" s="3" t="s">
        <v>46</v>
      </c>
      <c r="F383" s="3" t="s">
        <v>46</v>
      </c>
      <c r="G383" s="4">
        <v>0.64583333333333337</v>
      </c>
      <c r="H383" s="4">
        <v>0.85416666666666663</v>
      </c>
      <c r="I383" t="s">
        <v>31</v>
      </c>
      <c r="J383">
        <v>1</v>
      </c>
      <c r="L383" s="46"/>
      <c r="P383">
        <v>150</v>
      </c>
      <c r="Q383">
        <v>0</v>
      </c>
      <c r="R383">
        <v>0</v>
      </c>
      <c r="S383" s="7">
        <f>Tabla1[[#This Row],[TARIFA]]+Tabla1[[#This Row],[IMPORTE EXTRAS]]</f>
        <v>150</v>
      </c>
      <c r="T383" t="s">
        <v>45</v>
      </c>
      <c r="U383">
        <v>150</v>
      </c>
      <c r="V383">
        <v>0</v>
      </c>
      <c r="W383">
        <v>0</v>
      </c>
      <c r="X383">
        <v>0</v>
      </c>
      <c r="Z383" s="7">
        <f>SUM(Tabla1[[#This Row],[RES-A]:[EXTR-B]])</f>
        <v>150</v>
      </c>
      <c r="AA383" s="7">
        <f>Tabla1[[#This Row],[Columna1]]-Tabla1[[#This Row],[IMPORTE TOTAL]]</f>
        <v>0</v>
      </c>
    </row>
    <row r="384" spans="1:27" x14ac:dyDescent="0.2">
      <c r="A384">
        <v>2022</v>
      </c>
      <c r="B384" t="s">
        <v>63</v>
      </c>
      <c r="C384" s="3">
        <v>44835</v>
      </c>
      <c r="D384" s="3" t="s">
        <v>42</v>
      </c>
      <c r="E384" s="3" t="s">
        <v>46</v>
      </c>
      <c r="F384" s="3" t="s">
        <v>46</v>
      </c>
      <c r="G384" s="4">
        <v>0.89583333333333337</v>
      </c>
      <c r="H384" s="4">
        <v>0.10416666666666667</v>
      </c>
      <c r="I384" t="s">
        <v>35</v>
      </c>
      <c r="J384">
        <v>1</v>
      </c>
      <c r="L384" s="46"/>
      <c r="P384">
        <v>200</v>
      </c>
      <c r="Q384">
        <v>1</v>
      </c>
      <c r="R384">
        <v>20</v>
      </c>
      <c r="S384" s="7">
        <f>Tabla1[[#This Row],[TARIFA]]+Tabla1[[#This Row],[IMPORTE EXTRAS]]</f>
        <v>220</v>
      </c>
      <c r="T384" t="s">
        <v>45</v>
      </c>
      <c r="U384">
        <v>50</v>
      </c>
      <c r="V384">
        <v>150</v>
      </c>
      <c r="W384">
        <v>0</v>
      </c>
      <c r="X384">
        <v>20</v>
      </c>
      <c r="Z384" s="7">
        <f>SUM(Tabla1[[#This Row],[RES-A]:[EXTR-B]])</f>
        <v>220</v>
      </c>
      <c r="AA384" s="7">
        <f>Tabla1[[#This Row],[Columna1]]-Tabla1[[#This Row],[IMPORTE TOTAL]]</f>
        <v>0</v>
      </c>
    </row>
    <row r="385" spans="1:27" x14ac:dyDescent="0.2">
      <c r="A385">
        <v>2022</v>
      </c>
      <c r="B385" t="s">
        <v>63</v>
      </c>
      <c r="C385" s="3">
        <v>44836</v>
      </c>
      <c r="D385" s="3" t="s">
        <v>43</v>
      </c>
      <c r="E385" s="3" t="s">
        <v>46</v>
      </c>
      <c r="F385" s="3" t="s">
        <v>46</v>
      </c>
      <c r="G385" s="4">
        <v>0.64583333333333337</v>
      </c>
      <c r="H385" s="4">
        <v>0.85416666666666663</v>
      </c>
      <c r="I385" t="s">
        <v>31</v>
      </c>
      <c r="J385">
        <v>1</v>
      </c>
      <c r="L385" s="46"/>
      <c r="P385">
        <v>150</v>
      </c>
      <c r="Q385">
        <v>0</v>
      </c>
      <c r="R385">
        <v>0</v>
      </c>
      <c r="S385" s="7">
        <f>Tabla1[[#This Row],[TARIFA]]+Tabla1[[#This Row],[IMPORTE EXTRAS]]</f>
        <v>150</v>
      </c>
      <c r="T385" t="s">
        <v>45</v>
      </c>
      <c r="U385">
        <v>50</v>
      </c>
      <c r="V385">
        <v>100</v>
      </c>
      <c r="W385">
        <v>0</v>
      </c>
      <c r="X385">
        <v>0</v>
      </c>
      <c r="Z385" s="7">
        <f>SUM(Tabla1[[#This Row],[RES-A]:[EXTR-B]])</f>
        <v>150</v>
      </c>
      <c r="AA385" s="7">
        <f>Tabla1[[#This Row],[Columna1]]-Tabla1[[#This Row],[IMPORTE TOTAL]]</f>
        <v>0</v>
      </c>
    </row>
    <row r="386" spans="1:27" x14ac:dyDescent="0.2">
      <c r="A386">
        <v>2022</v>
      </c>
      <c r="B386" t="s">
        <v>63</v>
      </c>
      <c r="C386" s="3">
        <v>44841</v>
      </c>
      <c r="D386" s="3" t="s">
        <v>41</v>
      </c>
      <c r="E386" s="3" t="s">
        <v>46</v>
      </c>
      <c r="F386" s="3" t="s">
        <v>46</v>
      </c>
      <c r="G386" s="4">
        <v>0.89583333333333337</v>
      </c>
      <c r="H386" s="4">
        <v>0.10416666666666667</v>
      </c>
      <c r="I386" t="s">
        <v>35</v>
      </c>
      <c r="J386">
        <v>1</v>
      </c>
      <c r="L386" s="46"/>
      <c r="P386">
        <v>200</v>
      </c>
      <c r="Q386">
        <v>1</v>
      </c>
      <c r="R386">
        <v>60</v>
      </c>
      <c r="S386" s="7">
        <f>Tabla1[[#This Row],[TARIFA]]+Tabla1[[#This Row],[IMPORTE EXTRAS]]</f>
        <v>260</v>
      </c>
      <c r="T386" t="s">
        <v>45</v>
      </c>
      <c r="U386">
        <v>150</v>
      </c>
      <c r="V386">
        <v>50</v>
      </c>
      <c r="W386">
        <v>0</v>
      </c>
      <c r="X386">
        <v>60</v>
      </c>
      <c r="Y386" s="49"/>
      <c r="Z386" s="7">
        <f>SUM(Tabla1[[#This Row],[RES-A]:[EXTR-B]])</f>
        <v>260</v>
      </c>
      <c r="AA386" s="7">
        <f>Tabla1[[#This Row],[Columna1]]-Tabla1[[#This Row],[IMPORTE TOTAL]]</f>
        <v>0</v>
      </c>
    </row>
    <row r="387" spans="1:27" x14ac:dyDescent="0.2">
      <c r="A387">
        <v>2022</v>
      </c>
      <c r="B387" t="s">
        <v>63</v>
      </c>
      <c r="C387" s="3">
        <v>44842</v>
      </c>
      <c r="D387" s="3" t="s">
        <v>42</v>
      </c>
      <c r="E387" s="3" t="s">
        <v>46</v>
      </c>
      <c r="F387" s="3" t="s">
        <v>46</v>
      </c>
      <c r="G387" s="4">
        <v>0.64583333333333337</v>
      </c>
      <c r="H387" s="4">
        <v>0.10416666666666667</v>
      </c>
      <c r="I387" t="s">
        <v>53</v>
      </c>
      <c r="J387">
        <v>2</v>
      </c>
      <c r="L387" s="46"/>
      <c r="P387">
        <v>320</v>
      </c>
      <c r="Q387">
        <v>0</v>
      </c>
      <c r="R387">
        <v>0</v>
      </c>
      <c r="S387" s="7">
        <f>Tabla1[[#This Row],[TARIFA]]+Tabla1[[#This Row],[IMPORTE EXTRAS]]</f>
        <v>320</v>
      </c>
      <c r="T387" t="s">
        <v>45</v>
      </c>
      <c r="U387">
        <v>70</v>
      </c>
      <c r="V387">
        <v>250</v>
      </c>
      <c r="W387">
        <v>0</v>
      </c>
      <c r="X387">
        <v>0</v>
      </c>
      <c r="Y387" s="49"/>
      <c r="Z387" s="7">
        <f>SUM(Tabla1[[#This Row],[RES-A]:[EXTR-B]])</f>
        <v>320</v>
      </c>
      <c r="AA387" s="7">
        <f>Tabla1[[#This Row],[Columna1]]-Tabla1[[#This Row],[IMPORTE TOTAL]]</f>
        <v>0</v>
      </c>
    </row>
    <row r="388" spans="1:27" x14ac:dyDescent="0.2">
      <c r="A388">
        <v>2022</v>
      </c>
      <c r="B388" t="s">
        <v>63</v>
      </c>
      <c r="C388" s="3">
        <v>44846</v>
      </c>
      <c r="D388" s="3" t="s">
        <v>39</v>
      </c>
      <c r="E388" s="3" t="s">
        <v>45</v>
      </c>
      <c r="F388" s="3" t="s">
        <v>46</v>
      </c>
      <c r="G388" s="4">
        <v>0.64583333333333337</v>
      </c>
      <c r="H388" s="4">
        <v>0.85416666666666663</v>
      </c>
      <c r="I388" t="s">
        <v>31</v>
      </c>
      <c r="J388">
        <v>1</v>
      </c>
      <c r="L388" s="46"/>
      <c r="P388">
        <v>150</v>
      </c>
      <c r="Q388">
        <v>0</v>
      </c>
      <c r="R388">
        <v>0</v>
      </c>
      <c r="S388" s="7">
        <f>Tabla1[[#This Row],[TARIFA]]+Tabla1[[#This Row],[IMPORTE EXTRAS]]</f>
        <v>150</v>
      </c>
      <c r="T388" t="s">
        <v>45</v>
      </c>
      <c r="U388">
        <v>0</v>
      </c>
      <c r="V388">
        <v>150</v>
      </c>
      <c r="W388">
        <v>0</v>
      </c>
      <c r="X388">
        <v>0</v>
      </c>
      <c r="Y388" s="49" t="s">
        <v>397</v>
      </c>
      <c r="Z388" s="7">
        <f>SUM(Tabla1[[#This Row],[RES-A]:[EXTR-B]])</f>
        <v>150</v>
      </c>
      <c r="AA388" s="7">
        <f>Tabla1[[#This Row],[Columna1]]-Tabla1[[#This Row],[IMPORTE TOTAL]]</f>
        <v>0</v>
      </c>
    </row>
    <row r="389" spans="1:27" x14ac:dyDescent="0.2">
      <c r="A389">
        <v>2022</v>
      </c>
      <c r="B389" t="s">
        <v>63</v>
      </c>
      <c r="C389" s="3">
        <v>44849</v>
      </c>
      <c r="D389" s="3" t="s">
        <v>42</v>
      </c>
      <c r="E389" s="3" t="s">
        <v>46</v>
      </c>
      <c r="F389" s="3" t="s">
        <v>46</v>
      </c>
      <c r="G389" s="4">
        <v>0.64583333333333337</v>
      </c>
      <c r="H389" s="4">
        <v>0.85416666666666663</v>
      </c>
      <c r="I389" t="s">
        <v>31</v>
      </c>
      <c r="J389">
        <v>1</v>
      </c>
      <c r="L389" s="46"/>
      <c r="P389">
        <v>150</v>
      </c>
      <c r="Q389">
        <v>0</v>
      </c>
      <c r="R389">
        <v>0</v>
      </c>
      <c r="S389" s="7">
        <f>Tabla1[[#This Row],[TARIFA]]+Tabla1[[#This Row],[IMPORTE EXTRAS]]</f>
        <v>150</v>
      </c>
      <c r="T389" t="s">
        <v>45</v>
      </c>
      <c r="U389">
        <v>50</v>
      </c>
      <c r="V389">
        <v>100</v>
      </c>
      <c r="W389">
        <v>0</v>
      </c>
      <c r="X389">
        <v>0</v>
      </c>
      <c r="Y389" s="49"/>
      <c r="Z389" s="7">
        <f>SUM(Tabla1[[#This Row],[RES-A]:[EXTR-B]])</f>
        <v>150</v>
      </c>
      <c r="AA389" s="7">
        <f>Tabla1[[#This Row],[Columna1]]-Tabla1[[#This Row],[IMPORTE TOTAL]]</f>
        <v>0</v>
      </c>
    </row>
    <row r="390" spans="1:27" x14ac:dyDescent="0.2">
      <c r="A390">
        <v>2022</v>
      </c>
      <c r="B390" t="s">
        <v>63</v>
      </c>
      <c r="C390" s="3">
        <v>44849</v>
      </c>
      <c r="D390" s="3" t="s">
        <v>42</v>
      </c>
      <c r="E390" s="3" t="s">
        <v>46</v>
      </c>
      <c r="F390" s="3" t="s">
        <v>46</v>
      </c>
      <c r="G390" s="4">
        <v>0.89583333333333337</v>
      </c>
      <c r="H390" s="4">
        <v>0.10416666666666667</v>
      </c>
      <c r="I390" t="s">
        <v>35</v>
      </c>
      <c r="J390">
        <v>1</v>
      </c>
      <c r="L390" s="46"/>
      <c r="P390">
        <v>200</v>
      </c>
      <c r="Q390">
        <v>1</v>
      </c>
      <c r="R390">
        <v>60</v>
      </c>
      <c r="S390" s="7">
        <f>Tabla1[[#This Row],[TARIFA]]+Tabla1[[#This Row],[IMPORTE EXTRAS]]</f>
        <v>260</v>
      </c>
      <c r="T390" t="s">
        <v>45</v>
      </c>
      <c r="U390">
        <v>0</v>
      </c>
      <c r="V390">
        <v>200</v>
      </c>
      <c r="W390">
        <v>0</v>
      </c>
      <c r="X390">
        <v>60</v>
      </c>
      <c r="Z390" s="7">
        <f>SUM(Tabla1[[#This Row],[RES-A]:[EXTR-B]])</f>
        <v>260</v>
      </c>
      <c r="AA390" s="7">
        <f>Tabla1[[#This Row],[Columna1]]-Tabla1[[#This Row],[IMPORTE TOTAL]]</f>
        <v>0</v>
      </c>
    </row>
    <row r="391" spans="1:27" x14ac:dyDescent="0.2">
      <c r="A391">
        <v>2022</v>
      </c>
      <c r="B391" t="s">
        <v>63</v>
      </c>
      <c r="C391" s="3">
        <v>44855</v>
      </c>
      <c r="D391" s="3" t="s">
        <v>41</v>
      </c>
      <c r="E391" s="3" t="s">
        <v>46</v>
      </c>
      <c r="F391" s="3" t="s">
        <v>46</v>
      </c>
      <c r="G391" s="4">
        <v>0.64583333333333337</v>
      </c>
      <c r="H391" s="4">
        <v>0.10416666666666667</v>
      </c>
      <c r="I391" t="s">
        <v>53</v>
      </c>
      <c r="J391">
        <v>2</v>
      </c>
      <c r="L391" s="46"/>
      <c r="P391">
        <v>300</v>
      </c>
      <c r="Q391">
        <v>0</v>
      </c>
      <c r="R391">
        <v>0</v>
      </c>
      <c r="S391" s="7">
        <f>Tabla1[[#This Row],[TARIFA]]+Tabla1[[#This Row],[IMPORTE EXTRAS]]</f>
        <v>300</v>
      </c>
      <c r="T391" t="s">
        <v>45</v>
      </c>
      <c r="U391">
        <v>300</v>
      </c>
      <c r="V391">
        <v>0</v>
      </c>
      <c r="W391">
        <v>0</v>
      </c>
      <c r="X391">
        <v>0</v>
      </c>
      <c r="Z391" s="7">
        <f>SUM(Tabla1[[#This Row],[RES-A]:[EXTR-B]])</f>
        <v>300</v>
      </c>
      <c r="AA391" s="7">
        <f>Tabla1[[#This Row],[Columna1]]-Tabla1[[#This Row],[IMPORTE TOTAL]]</f>
        <v>0</v>
      </c>
    </row>
    <row r="392" spans="1:27" x14ac:dyDescent="0.2">
      <c r="A392">
        <v>2022</v>
      </c>
      <c r="B392" t="s">
        <v>63</v>
      </c>
      <c r="C392" s="3">
        <v>44856</v>
      </c>
      <c r="D392" s="3" t="s">
        <v>42</v>
      </c>
      <c r="E392" s="3" t="s">
        <v>46</v>
      </c>
      <c r="F392" s="3" t="s">
        <v>46</v>
      </c>
      <c r="G392" s="4">
        <v>0.39583333333333331</v>
      </c>
      <c r="H392" s="4">
        <v>0.60416666666666663</v>
      </c>
      <c r="I392" t="s">
        <v>30</v>
      </c>
      <c r="J392">
        <v>1</v>
      </c>
      <c r="L392" s="46"/>
      <c r="P392">
        <v>150</v>
      </c>
      <c r="Q392">
        <v>0</v>
      </c>
      <c r="R392">
        <v>0</v>
      </c>
      <c r="S392" s="7">
        <f>Tabla1[[#This Row],[TARIFA]]+Tabla1[[#This Row],[IMPORTE EXTRAS]]</f>
        <v>150</v>
      </c>
      <c r="T392" t="s">
        <v>45</v>
      </c>
      <c r="U392">
        <v>50</v>
      </c>
      <c r="V392">
        <v>100</v>
      </c>
      <c r="W392">
        <v>0</v>
      </c>
      <c r="X392">
        <v>0</v>
      </c>
      <c r="Z392" s="7">
        <f>SUM(Tabla1[[#This Row],[RES-A]:[EXTR-B]])</f>
        <v>150</v>
      </c>
      <c r="AA392" s="7">
        <f>Tabla1[[#This Row],[Columna1]]-Tabla1[[#This Row],[IMPORTE TOTAL]]</f>
        <v>0</v>
      </c>
    </row>
    <row r="393" spans="1:27" x14ac:dyDescent="0.2">
      <c r="A393">
        <v>2022</v>
      </c>
      <c r="B393" t="s">
        <v>63</v>
      </c>
      <c r="C393" s="3">
        <v>44856</v>
      </c>
      <c r="D393" s="3" t="s">
        <v>42</v>
      </c>
      <c r="E393" s="3" t="s">
        <v>46</v>
      </c>
      <c r="F393" s="3" t="s">
        <v>46</v>
      </c>
      <c r="G393" s="4">
        <v>0.64583333333333337</v>
      </c>
      <c r="H393" s="4">
        <v>0.85416666666666663</v>
      </c>
      <c r="I393" t="s">
        <v>31</v>
      </c>
      <c r="J393">
        <v>1</v>
      </c>
      <c r="L393" s="46"/>
      <c r="P393">
        <v>150</v>
      </c>
      <c r="Q393">
        <v>0</v>
      </c>
      <c r="R393">
        <v>0</v>
      </c>
      <c r="S393" s="7">
        <f>Tabla1[[#This Row],[TARIFA]]+Tabla1[[#This Row],[IMPORTE EXTRAS]]</f>
        <v>150</v>
      </c>
      <c r="T393" t="s">
        <v>45</v>
      </c>
      <c r="U393">
        <v>150</v>
      </c>
      <c r="V393">
        <v>0</v>
      </c>
      <c r="W393">
        <v>0</v>
      </c>
      <c r="X393">
        <v>0</v>
      </c>
      <c r="Z393" s="7">
        <f>SUM(Tabla1[[#This Row],[RES-A]:[EXTR-B]])</f>
        <v>150</v>
      </c>
      <c r="AA393" s="7">
        <f>Tabla1[[#This Row],[Columna1]]-Tabla1[[#This Row],[IMPORTE TOTAL]]</f>
        <v>0</v>
      </c>
    </row>
    <row r="394" spans="1:27" x14ac:dyDescent="0.2">
      <c r="A394">
        <v>2022</v>
      </c>
      <c r="B394" t="s">
        <v>63</v>
      </c>
      <c r="C394" s="3">
        <v>44856</v>
      </c>
      <c r="D394" s="3" t="s">
        <v>42</v>
      </c>
      <c r="E394" s="3" t="s">
        <v>46</v>
      </c>
      <c r="F394" s="3" t="s">
        <v>46</v>
      </c>
      <c r="G394" s="4">
        <v>0.89583333333333337</v>
      </c>
      <c r="H394" s="4">
        <v>0.10416666666666667</v>
      </c>
      <c r="I394" t="s">
        <v>35</v>
      </c>
      <c r="J394">
        <v>1</v>
      </c>
      <c r="L394" s="46"/>
      <c r="P394">
        <v>200</v>
      </c>
      <c r="Q394">
        <v>1</v>
      </c>
      <c r="R394">
        <v>60</v>
      </c>
      <c r="S394" s="7">
        <f>Tabla1[[#This Row],[TARIFA]]+Tabla1[[#This Row],[IMPORTE EXTRAS]]</f>
        <v>260</v>
      </c>
      <c r="T394" t="s">
        <v>45</v>
      </c>
      <c r="U394">
        <v>200</v>
      </c>
      <c r="V394">
        <v>0</v>
      </c>
      <c r="W394">
        <v>0</v>
      </c>
      <c r="X394">
        <v>60</v>
      </c>
      <c r="Z394" s="7">
        <f>SUM(Tabla1[[#This Row],[RES-A]:[EXTR-B]])</f>
        <v>260</v>
      </c>
      <c r="AA394" s="7">
        <f>Tabla1[[#This Row],[Columna1]]-Tabla1[[#This Row],[IMPORTE TOTAL]]</f>
        <v>0</v>
      </c>
    </row>
    <row r="395" spans="1:27" x14ac:dyDescent="0.2">
      <c r="A395">
        <v>2022</v>
      </c>
      <c r="B395" t="s">
        <v>63</v>
      </c>
      <c r="C395" s="3">
        <v>44857</v>
      </c>
      <c r="D395" s="3" t="s">
        <v>43</v>
      </c>
      <c r="E395" s="3" t="s">
        <v>46</v>
      </c>
      <c r="F395" s="3" t="s">
        <v>46</v>
      </c>
      <c r="G395" s="4">
        <v>0.39583333333333331</v>
      </c>
      <c r="H395" s="4">
        <v>0.60416666666666663</v>
      </c>
      <c r="I395" t="s">
        <v>30</v>
      </c>
      <c r="J395">
        <v>1</v>
      </c>
      <c r="L395" s="46"/>
      <c r="P395">
        <v>150</v>
      </c>
      <c r="Q395">
        <v>0</v>
      </c>
      <c r="R395">
        <v>0</v>
      </c>
      <c r="S395" s="7">
        <f>Tabla1[[#This Row],[TARIFA]]+Tabla1[[#This Row],[IMPORTE EXTRAS]]</f>
        <v>150</v>
      </c>
      <c r="T395" t="s">
        <v>45</v>
      </c>
      <c r="U395">
        <v>150</v>
      </c>
      <c r="V395">
        <v>0</v>
      </c>
      <c r="W395">
        <v>0</v>
      </c>
      <c r="X395">
        <v>0</v>
      </c>
      <c r="Z395" s="7">
        <f>SUM(Tabla1[[#This Row],[RES-A]:[EXTR-B]])</f>
        <v>150</v>
      </c>
      <c r="AA395" s="7">
        <f>Tabla1[[#This Row],[Columna1]]-Tabla1[[#This Row],[IMPORTE TOTAL]]</f>
        <v>0</v>
      </c>
    </row>
    <row r="396" spans="1:27" x14ac:dyDescent="0.2">
      <c r="A396">
        <v>2022</v>
      </c>
      <c r="B396" t="s">
        <v>63</v>
      </c>
      <c r="C396" s="3">
        <v>44862</v>
      </c>
      <c r="D396" s="3" t="s">
        <v>41</v>
      </c>
      <c r="E396" s="3" t="s">
        <v>46</v>
      </c>
      <c r="F396" s="3" t="s">
        <v>46</v>
      </c>
      <c r="G396" s="4">
        <v>0.89583333333333337</v>
      </c>
      <c r="H396" s="4">
        <v>0.10416666666666667</v>
      </c>
      <c r="I396" t="s">
        <v>35</v>
      </c>
      <c r="J396">
        <v>1</v>
      </c>
      <c r="L396" s="46"/>
      <c r="P396">
        <v>195</v>
      </c>
      <c r="Q396">
        <v>0</v>
      </c>
      <c r="R396">
        <v>0</v>
      </c>
      <c r="S396" s="7">
        <f>Tabla1[[#This Row],[TARIFA]]+Tabla1[[#This Row],[IMPORTE EXTRAS]]</f>
        <v>195</v>
      </c>
      <c r="T396" t="s">
        <v>45</v>
      </c>
      <c r="U396">
        <v>50</v>
      </c>
      <c r="V396">
        <v>145</v>
      </c>
      <c r="W396">
        <v>0</v>
      </c>
      <c r="X396">
        <v>0</v>
      </c>
      <c r="Y396" t="s">
        <v>450</v>
      </c>
      <c r="Z396" s="7">
        <f>SUM(Tabla1[[#This Row],[RES-A]:[EXTR-B]])</f>
        <v>195</v>
      </c>
      <c r="AA396" s="7">
        <f>Tabla1[[#This Row],[Columna1]]-Tabla1[[#This Row],[IMPORTE TOTAL]]</f>
        <v>0</v>
      </c>
    </row>
    <row r="397" spans="1:27" x14ac:dyDescent="0.2">
      <c r="A397">
        <v>2022</v>
      </c>
      <c r="B397" t="s">
        <v>63</v>
      </c>
      <c r="C397" s="3">
        <v>44863</v>
      </c>
      <c r="D397" s="3" t="s">
        <v>42</v>
      </c>
      <c r="E397" s="3" t="s">
        <v>46</v>
      </c>
      <c r="F397" s="3" t="s">
        <v>46</v>
      </c>
      <c r="G397" s="4">
        <v>0.64583333333333337</v>
      </c>
      <c r="H397" s="4">
        <v>0.85416666666666663</v>
      </c>
      <c r="I397" t="s">
        <v>31</v>
      </c>
      <c r="J397">
        <v>1</v>
      </c>
      <c r="L397" s="46"/>
      <c r="P397">
        <v>150</v>
      </c>
      <c r="Q397">
        <v>0</v>
      </c>
      <c r="R397">
        <v>0</v>
      </c>
      <c r="S397" s="7">
        <f>Tabla1[[#This Row],[TARIFA]]+Tabla1[[#This Row],[IMPORTE EXTRAS]]</f>
        <v>150</v>
      </c>
      <c r="T397" t="s">
        <v>45</v>
      </c>
      <c r="U397">
        <v>50</v>
      </c>
      <c r="V397">
        <v>100</v>
      </c>
      <c r="W397">
        <v>0</v>
      </c>
      <c r="X397">
        <v>0</v>
      </c>
      <c r="Z397" s="7">
        <f>SUM(Tabla1[[#This Row],[RES-A]:[EXTR-B]])</f>
        <v>150</v>
      </c>
      <c r="AA397" s="7">
        <f>Tabla1[[#This Row],[Columna1]]-Tabla1[[#This Row],[IMPORTE TOTAL]]</f>
        <v>0</v>
      </c>
    </row>
    <row r="398" spans="1:27" x14ac:dyDescent="0.2">
      <c r="A398">
        <v>2022</v>
      </c>
      <c r="B398" t="s">
        <v>63</v>
      </c>
      <c r="C398" s="3">
        <v>44863</v>
      </c>
      <c r="D398" s="3" t="s">
        <v>42</v>
      </c>
      <c r="E398" s="3" t="s">
        <v>46</v>
      </c>
      <c r="F398" s="3" t="s">
        <v>46</v>
      </c>
      <c r="G398" s="4">
        <v>0.89583333333333337</v>
      </c>
      <c r="H398" s="4">
        <v>0.10416666666666667</v>
      </c>
      <c r="I398" t="s">
        <v>35</v>
      </c>
      <c r="J398">
        <v>1</v>
      </c>
      <c r="L398" s="46"/>
      <c r="P398">
        <v>200</v>
      </c>
      <c r="Q398">
        <v>1</v>
      </c>
      <c r="R398">
        <v>60</v>
      </c>
      <c r="S398" s="7">
        <f>Tabla1[[#This Row],[TARIFA]]+Tabla1[[#This Row],[IMPORTE EXTRAS]]</f>
        <v>260</v>
      </c>
      <c r="T398" t="s">
        <v>45</v>
      </c>
      <c r="U398">
        <v>50</v>
      </c>
      <c r="V398">
        <v>150</v>
      </c>
      <c r="W398">
        <v>0</v>
      </c>
      <c r="X398">
        <v>60</v>
      </c>
      <c r="Z398" s="7">
        <f>SUM(Tabla1[[#This Row],[RES-A]:[EXTR-B]])</f>
        <v>260</v>
      </c>
      <c r="AA398" s="7">
        <f>Tabla1[[#This Row],[Columna1]]-Tabla1[[#This Row],[IMPORTE TOTAL]]</f>
        <v>0</v>
      </c>
    </row>
    <row r="399" spans="1:27" x14ac:dyDescent="0.2">
      <c r="A399">
        <v>2022</v>
      </c>
      <c r="B399" t="s">
        <v>63</v>
      </c>
      <c r="C399" s="3">
        <v>44864</v>
      </c>
      <c r="D399" s="3" t="s">
        <v>43</v>
      </c>
      <c r="E399" s="3" t="s">
        <v>46</v>
      </c>
      <c r="F399" s="3" t="s">
        <v>46</v>
      </c>
      <c r="G399" s="4">
        <v>0.39583333333333331</v>
      </c>
      <c r="H399" s="4">
        <v>0.60416666666666663</v>
      </c>
      <c r="I399" t="s">
        <v>30</v>
      </c>
      <c r="J399">
        <v>1</v>
      </c>
      <c r="L399" s="46"/>
      <c r="P399">
        <v>150</v>
      </c>
      <c r="Q399">
        <v>0</v>
      </c>
      <c r="R399">
        <v>0</v>
      </c>
      <c r="S399" s="7">
        <f>Tabla1[[#This Row],[TARIFA]]+Tabla1[[#This Row],[IMPORTE EXTRAS]]</f>
        <v>150</v>
      </c>
      <c r="T399" t="s">
        <v>45</v>
      </c>
      <c r="U399">
        <v>50</v>
      </c>
      <c r="V399">
        <v>100</v>
      </c>
      <c r="W399">
        <v>0</v>
      </c>
      <c r="X399">
        <v>0</v>
      </c>
      <c r="Y399" t="s">
        <v>451</v>
      </c>
      <c r="Z399" s="7">
        <f>SUM(Tabla1[[#This Row],[RES-A]:[EXTR-B]])</f>
        <v>150</v>
      </c>
      <c r="AA399" s="7">
        <f>Tabla1[[#This Row],[Columna1]]-Tabla1[[#This Row],[IMPORTE TOTAL]]</f>
        <v>0</v>
      </c>
    </row>
    <row r="400" spans="1:27" x14ac:dyDescent="0.2">
      <c r="A400">
        <v>2022</v>
      </c>
      <c r="B400" t="s">
        <v>63</v>
      </c>
      <c r="C400" s="3">
        <v>44864</v>
      </c>
      <c r="D400" s="3" t="s">
        <v>43</v>
      </c>
      <c r="E400" s="3" t="s">
        <v>46</v>
      </c>
      <c r="F400" s="3" t="s">
        <v>46</v>
      </c>
      <c r="G400" s="4">
        <v>0.64583333333333337</v>
      </c>
      <c r="H400" s="4">
        <v>0.85416666666666663</v>
      </c>
      <c r="I400" t="s">
        <v>31</v>
      </c>
      <c r="J400">
        <v>1</v>
      </c>
      <c r="L400" s="46"/>
      <c r="P400">
        <v>150</v>
      </c>
      <c r="Q400">
        <v>0</v>
      </c>
      <c r="R400">
        <v>0</v>
      </c>
      <c r="S400" s="7">
        <f>Tabla1[[#This Row],[TARIFA]]+Tabla1[[#This Row],[IMPORTE EXTRAS]]</f>
        <v>150</v>
      </c>
      <c r="T400" t="s">
        <v>45</v>
      </c>
      <c r="U400">
        <v>50</v>
      </c>
      <c r="V400">
        <v>100</v>
      </c>
      <c r="W400">
        <v>0</v>
      </c>
      <c r="X400">
        <v>0</v>
      </c>
      <c r="Z400" s="7">
        <f>SUM(Tabla1[[#This Row],[RES-A]:[EXTR-B]])</f>
        <v>150</v>
      </c>
      <c r="AA400" s="7">
        <f>Tabla1[[#This Row],[Columna1]]-Tabla1[[#This Row],[IMPORTE TOTAL]]</f>
        <v>0</v>
      </c>
    </row>
    <row r="401" spans="1:27" x14ac:dyDescent="0.2">
      <c r="A401">
        <v>2022</v>
      </c>
      <c r="B401" t="s">
        <v>63</v>
      </c>
      <c r="C401" s="51">
        <v>44865</v>
      </c>
      <c r="D401" s="3" t="s">
        <v>37</v>
      </c>
      <c r="E401" s="3" t="s">
        <v>46</v>
      </c>
      <c r="F401" s="3" t="s">
        <v>45</v>
      </c>
      <c r="G401" s="4">
        <v>0.64583333333333337</v>
      </c>
      <c r="H401" s="4">
        <v>0.85416666666666663</v>
      </c>
      <c r="I401" t="s">
        <v>31</v>
      </c>
      <c r="J401">
        <v>1</v>
      </c>
      <c r="L401" s="46"/>
      <c r="P401">
        <v>140</v>
      </c>
      <c r="Q401">
        <v>0</v>
      </c>
      <c r="R401">
        <v>0</v>
      </c>
      <c r="S401" s="7">
        <f>Tabla1[[#This Row],[TARIFA]]+Tabla1[[#This Row],[IMPORTE EXTRAS]]</f>
        <v>140</v>
      </c>
      <c r="T401" t="s">
        <v>45</v>
      </c>
      <c r="U401">
        <v>50</v>
      </c>
      <c r="V401">
        <v>90</v>
      </c>
      <c r="W401">
        <v>0</v>
      </c>
      <c r="X401">
        <v>0</v>
      </c>
      <c r="Z401" s="7">
        <f>SUM(Tabla1[[#This Row],[RES-A]:[EXTR-B]])</f>
        <v>140</v>
      </c>
      <c r="AA401" s="7">
        <f>Tabla1[[#This Row],[Columna1]]-Tabla1[[#This Row],[IMPORTE TOTAL]]</f>
        <v>0</v>
      </c>
    </row>
    <row r="402" spans="1:27" x14ac:dyDescent="0.2">
      <c r="A402">
        <v>2022</v>
      </c>
      <c r="B402" t="s">
        <v>63</v>
      </c>
      <c r="C402" s="51">
        <v>44865</v>
      </c>
      <c r="D402" s="3" t="s">
        <v>37</v>
      </c>
      <c r="E402" s="3" t="s">
        <v>46</v>
      </c>
      <c r="F402" s="3" t="s">
        <v>45</v>
      </c>
      <c r="G402" s="4">
        <v>0.89583333333333337</v>
      </c>
      <c r="H402" s="4">
        <v>0.10416666666666667</v>
      </c>
      <c r="I402" t="s">
        <v>35</v>
      </c>
      <c r="J402">
        <v>1</v>
      </c>
      <c r="L402" s="46"/>
      <c r="P402">
        <v>250</v>
      </c>
      <c r="Q402">
        <v>0</v>
      </c>
      <c r="R402">
        <v>0</v>
      </c>
      <c r="S402" s="7">
        <f>Tabla1[[#This Row],[TARIFA]]+Tabla1[[#This Row],[IMPORTE EXTRAS]]</f>
        <v>250</v>
      </c>
      <c r="T402" t="s">
        <v>45</v>
      </c>
      <c r="U402">
        <v>250</v>
      </c>
      <c r="V402">
        <v>0</v>
      </c>
      <c r="W402">
        <v>0</v>
      </c>
      <c r="X402" s="49">
        <v>0</v>
      </c>
      <c r="Y402" s="49" t="s">
        <v>326</v>
      </c>
      <c r="Z402" s="7">
        <f>SUM(Tabla1[[#This Row],[RES-A]:[EXTR-B]])</f>
        <v>250</v>
      </c>
      <c r="AA402" s="7">
        <f>Tabla1[[#This Row],[Columna1]]-Tabla1[[#This Row],[IMPORTE TOTAL]]</f>
        <v>0</v>
      </c>
    </row>
    <row r="403" spans="1:27" x14ac:dyDescent="0.2">
      <c r="A403">
        <v>2022</v>
      </c>
      <c r="B403" t="s">
        <v>64</v>
      </c>
      <c r="C403" s="51">
        <v>44869</v>
      </c>
      <c r="D403" s="3" t="s">
        <v>41</v>
      </c>
      <c r="E403" s="3" t="s">
        <v>46</v>
      </c>
      <c r="F403" s="3" t="s">
        <v>46</v>
      </c>
      <c r="G403" s="4">
        <v>0.64583333333333337</v>
      </c>
      <c r="H403" s="4">
        <v>0.85416666666666663</v>
      </c>
      <c r="I403" t="s">
        <v>31</v>
      </c>
      <c r="J403">
        <v>1</v>
      </c>
      <c r="L403" s="46"/>
      <c r="P403">
        <v>140</v>
      </c>
      <c r="Q403">
        <v>0</v>
      </c>
      <c r="R403">
        <v>0</v>
      </c>
      <c r="S403" s="7">
        <f>Tabla1[[#This Row],[TARIFA]]+Tabla1[[#This Row],[IMPORTE EXTRAS]]</f>
        <v>140</v>
      </c>
      <c r="T403" t="s">
        <v>45</v>
      </c>
      <c r="U403">
        <v>140</v>
      </c>
      <c r="V403">
        <v>0</v>
      </c>
      <c r="W403">
        <v>0</v>
      </c>
      <c r="X403" s="49">
        <v>0</v>
      </c>
      <c r="Y403" s="49" t="s">
        <v>452</v>
      </c>
      <c r="Z403" s="7">
        <f>SUM(Tabla1[[#This Row],[RES-A]:[EXTR-B]])</f>
        <v>140</v>
      </c>
      <c r="AA403" s="7">
        <f>Tabla1[[#This Row],[Columna1]]-Tabla1[[#This Row],[IMPORTE TOTAL]]</f>
        <v>0</v>
      </c>
    </row>
    <row r="404" spans="1:27" x14ac:dyDescent="0.2">
      <c r="A404">
        <v>2022</v>
      </c>
      <c r="B404" t="s">
        <v>64</v>
      </c>
      <c r="C404" s="51">
        <v>44870</v>
      </c>
      <c r="D404" s="3" t="s">
        <v>42</v>
      </c>
      <c r="E404" s="3" t="s">
        <v>46</v>
      </c>
      <c r="F404" s="3" t="s">
        <v>46</v>
      </c>
      <c r="G404" s="4">
        <v>0.39583333333333331</v>
      </c>
      <c r="H404" s="4">
        <v>0.60416666666666663</v>
      </c>
      <c r="I404" t="s">
        <v>30</v>
      </c>
      <c r="J404">
        <v>1</v>
      </c>
      <c r="L404" s="46"/>
      <c r="P404">
        <v>150</v>
      </c>
      <c r="Q404">
        <v>0</v>
      </c>
      <c r="R404">
        <v>0</v>
      </c>
      <c r="S404" s="7">
        <f>Tabla1[[#This Row],[TARIFA]]+Tabla1[[#This Row],[IMPORTE EXTRAS]]</f>
        <v>150</v>
      </c>
      <c r="T404" t="s">
        <v>45</v>
      </c>
      <c r="U404">
        <v>50</v>
      </c>
      <c r="V404">
        <v>100</v>
      </c>
      <c r="W404">
        <v>0</v>
      </c>
      <c r="X404" s="49">
        <v>0</v>
      </c>
      <c r="Y404" s="49"/>
      <c r="Z404" s="7">
        <f>SUM(Tabla1[[#This Row],[RES-A]:[EXTR-B]])</f>
        <v>150</v>
      </c>
      <c r="AA404" s="7">
        <f>Tabla1[[#This Row],[Columna1]]-Tabla1[[#This Row],[IMPORTE TOTAL]]</f>
        <v>0</v>
      </c>
    </row>
    <row r="405" spans="1:27" x14ac:dyDescent="0.2">
      <c r="A405">
        <v>2022</v>
      </c>
      <c r="B405" t="s">
        <v>64</v>
      </c>
      <c r="C405" s="51">
        <v>44871</v>
      </c>
      <c r="D405" s="3" t="s">
        <v>43</v>
      </c>
      <c r="E405" s="3" t="s">
        <v>46</v>
      </c>
      <c r="F405" s="3" t="s">
        <v>46</v>
      </c>
      <c r="G405" s="4">
        <v>0.39583333333333331</v>
      </c>
      <c r="H405" s="4">
        <v>0.60416666666666663</v>
      </c>
      <c r="I405" t="s">
        <v>30</v>
      </c>
      <c r="J405">
        <v>1</v>
      </c>
      <c r="L405" s="46"/>
      <c r="P405">
        <v>150</v>
      </c>
      <c r="Q405">
        <v>0</v>
      </c>
      <c r="R405">
        <v>0</v>
      </c>
      <c r="S405" s="7">
        <f>Tabla1[[#This Row],[TARIFA]]+Tabla1[[#This Row],[IMPORTE EXTRAS]]</f>
        <v>150</v>
      </c>
      <c r="T405" t="s">
        <v>45</v>
      </c>
      <c r="U405">
        <v>50</v>
      </c>
      <c r="V405">
        <v>100</v>
      </c>
      <c r="W405">
        <v>0</v>
      </c>
      <c r="X405" s="49">
        <v>0</v>
      </c>
      <c r="Y405" s="49" t="s">
        <v>397</v>
      </c>
      <c r="Z405" s="7">
        <f>SUM(Tabla1[[#This Row],[RES-A]:[EXTR-B]])</f>
        <v>150</v>
      </c>
      <c r="AA405" s="7">
        <f>Tabla1[[#This Row],[Columna1]]-Tabla1[[#This Row],[IMPORTE TOTAL]]</f>
        <v>0</v>
      </c>
    </row>
    <row r="406" spans="1:27" x14ac:dyDescent="0.2">
      <c r="A406">
        <v>2022</v>
      </c>
      <c r="B406" t="s">
        <v>64</v>
      </c>
      <c r="C406" s="51">
        <v>44871</v>
      </c>
      <c r="D406" s="3" t="s">
        <v>43</v>
      </c>
      <c r="E406" s="3" t="s">
        <v>46</v>
      </c>
      <c r="F406" s="3" t="s">
        <v>46</v>
      </c>
      <c r="G406" s="4">
        <v>0.64583333333333337</v>
      </c>
      <c r="H406" s="4">
        <v>0.85416666666666663</v>
      </c>
      <c r="I406" t="s">
        <v>31</v>
      </c>
      <c r="J406">
        <v>1</v>
      </c>
      <c r="L406" s="46"/>
      <c r="P406">
        <v>150</v>
      </c>
      <c r="Q406">
        <v>0</v>
      </c>
      <c r="R406">
        <v>0</v>
      </c>
      <c r="S406" s="7">
        <f>Tabla1[[#This Row],[TARIFA]]+Tabla1[[#This Row],[IMPORTE EXTRAS]]</f>
        <v>150</v>
      </c>
      <c r="T406" t="s">
        <v>45</v>
      </c>
      <c r="U406">
        <v>50</v>
      </c>
      <c r="V406">
        <v>100</v>
      </c>
      <c r="W406">
        <v>0</v>
      </c>
      <c r="X406" s="49">
        <v>0</v>
      </c>
      <c r="Y406" s="49"/>
      <c r="Z406" s="7">
        <f>SUM(Tabla1[[#This Row],[RES-A]:[EXTR-B]])</f>
        <v>150</v>
      </c>
      <c r="AA406" s="7">
        <f>Tabla1[[#This Row],[Columna1]]-Tabla1[[#This Row],[IMPORTE TOTAL]]</f>
        <v>0</v>
      </c>
    </row>
    <row r="407" spans="1:27" x14ac:dyDescent="0.2">
      <c r="A407">
        <v>2022</v>
      </c>
      <c r="B407" t="s">
        <v>64</v>
      </c>
      <c r="C407" s="51">
        <v>44876</v>
      </c>
      <c r="D407" s="3" t="s">
        <v>41</v>
      </c>
      <c r="E407" s="3" t="s">
        <v>46</v>
      </c>
      <c r="F407" s="3" t="s">
        <v>46</v>
      </c>
      <c r="G407" s="4">
        <v>0.89583333333333337</v>
      </c>
      <c r="H407" s="4">
        <v>0.10416666666666667</v>
      </c>
      <c r="I407" t="s">
        <v>35</v>
      </c>
      <c r="J407">
        <v>1</v>
      </c>
      <c r="L407" s="46"/>
      <c r="P407">
        <v>200</v>
      </c>
      <c r="Q407">
        <v>1</v>
      </c>
      <c r="R407">
        <v>60</v>
      </c>
      <c r="S407" s="7">
        <f>Tabla1[[#This Row],[TARIFA]]+Tabla1[[#This Row],[IMPORTE EXTRAS]]</f>
        <v>260</v>
      </c>
      <c r="T407" t="s">
        <v>45</v>
      </c>
      <c r="U407">
        <v>50</v>
      </c>
      <c r="V407">
        <v>150</v>
      </c>
      <c r="W407">
        <v>0</v>
      </c>
      <c r="X407" s="49">
        <v>60</v>
      </c>
      <c r="Y407" s="49"/>
      <c r="Z407" s="7">
        <f>SUM(Tabla1[[#This Row],[RES-A]:[EXTR-B]])</f>
        <v>260</v>
      </c>
      <c r="AA407" s="7">
        <f>Tabla1[[#This Row],[Columna1]]-Tabla1[[#This Row],[IMPORTE TOTAL]]</f>
        <v>0</v>
      </c>
    </row>
    <row r="408" spans="1:27" x14ac:dyDescent="0.2">
      <c r="A408">
        <v>2022</v>
      </c>
      <c r="B408" t="s">
        <v>64</v>
      </c>
      <c r="C408" s="51">
        <v>44877</v>
      </c>
      <c r="D408" s="3" t="s">
        <v>42</v>
      </c>
      <c r="E408" s="3" t="s">
        <v>46</v>
      </c>
      <c r="F408" s="3" t="s">
        <v>46</v>
      </c>
      <c r="G408" s="4">
        <v>0.39583333333333331</v>
      </c>
      <c r="H408" s="4">
        <v>0.60416666666666663</v>
      </c>
      <c r="I408" t="s">
        <v>30</v>
      </c>
      <c r="J408">
        <v>1</v>
      </c>
      <c r="L408" s="46"/>
      <c r="P408">
        <v>150</v>
      </c>
      <c r="Q408">
        <v>0</v>
      </c>
      <c r="R408">
        <v>0</v>
      </c>
      <c r="S408" s="7">
        <f>Tabla1[[#This Row],[TARIFA]]+Tabla1[[#This Row],[IMPORTE EXTRAS]]</f>
        <v>150</v>
      </c>
      <c r="T408" t="s">
        <v>45</v>
      </c>
      <c r="U408">
        <v>150</v>
      </c>
      <c r="V408">
        <v>0</v>
      </c>
      <c r="W408">
        <v>0</v>
      </c>
      <c r="X408" s="49">
        <v>0</v>
      </c>
      <c r="Y408" s="49"/>
      <c r="Z408" s="7">
        <f>SUM(Tabla1[[#This Row],[RES-A]:[EXTR-B]])</f>
        <v>150</v>
      </c>
      <c r="AA408" s="7">
        <f>Tabla1[[#This Row],[Columna1]]-Tabla1[[#This Row],[IMPORTE TOTAL]]</f>
        <v>0</v>
      </c>
    </row>
    <row r="409" spans="1:27" x14ac:dyDescent="0.2">
      <c r="A409">
        <v>2022</v>
      </c>
      <c r="B409" t="s">
        <v>64</v>
      </c>
      <c r="C409" s="51">
        <v>44877</v>
      </c>
      <c r="D409" s="3" t="s">
        <v>42</v>
      </c>
      <c r="E409" s="3" t="s">
        <v>46</v>
      </c>
      <c r="F409" s="3" t="s">
        <v>46</v>
      </c>
      <c r="G409" s="4">
        <v>0.64583333333333337</v>
      </c>
      <c r="H409" s="4">
        <v>0.85416666666666663</v>
      </c>
      <c r="I409" t="s">
        <v>31</v>
      </c>
      <c r="J409">
        <v>1</v>
      </c>
      <c r="L409" s="46"/>
      <c r="P409">
        <v>150</v>
      </c>
      <c r="Q409">
        <v>0</v>
      </c>
      <c r="R409">
        <v>0</v>
      </c>
      <c r="S409" s="7">
        <f>Tabla1[[#This Row],[TARIFA]]+Tabla1[[#This Row],[IMPORTE EXTRAS]]</f>
        <v>150</v>
      </c>
      <c r="T409" t="s">
        <v>45</v>
      </c>
      <c r="U409">
        <v>50</v>
      </c>
      <c r="V409">
        <v>100</v>
      </c>
      <c r="W409">
        <v>0</v>
      </c>
      <c r="X409" s="49">
        <v>0</v>
      </c>
      <c r="Y409" s="49"/>
      <c r="Z409" s="7">
        <f>SUM(Tabla1[[#This Row],[RES-A]:[EXTR-B]])</f>
        <v>150</v>
      </c>
      <c r="AA409" s="7">
        <f>Tabla1[[#This Row],[Columna1]]-Tabla1[[#This Row],[IMPORTE TOTAL]]</f>
        <v>0</v>
      </c>
    </row>
    <row r="410" spans="1:27" x14ac:dyDescent="0.2">
      <c r="A410">
        <v>2022</v>
      </c>
      <c r="B410" t="s">
        <v>64</v>
      </c>
      <c r="C410" s="51">
        <v>44877</v>
      </c>
      <c r="D410" s="3" t="s">
        <v>42</v>
      </c>
      <c r="E410" s="3" t="s">
        <v>46</v>
      </c>
      <c r="F410" s="3" t="s">
        <v>46</v>
      </c>
      <c r="G410" s="4">
        <v>0.89583333333333337</v>
      </c>
      <c r="H410" s="4">
        <v>0.10416666666666667</v>
      </c>
      <c r="I410" t="s">
        <v>35</v>
      </c>
      <c r="J410">
        <v>1</v>
      </c>
      <c r="L410" s="46"/>
      <c r="P410">
        <v>200</v>
      </c>
      <c r="Q410">
        <v>1</v>
      </c>
      <c r="R410">
        <v>60</v>
      </c>
      <c r="S410" s="7">
        <f>Tabla1[[#This Row],[TARIFA]]+Tabla1[[#This Row],[IMPORTE EXTRAS]]</f>
        <v>260</v>
      </c>
      <c r="T410" t="s">
        <v>45</v>
      </c>
      <c r="U410">
        <v>50</v>
      </c>
      <c r="V410">
        <v>150</v>
      </c>
      <c r="W410">
        <v>0</v>
      </c>
      <c r="X410" s="49">
        <v>60</v>
      </c>
      <c r="Y410" s="49"/>
      <c r="Z410" s="7">
        <f>SUM(Tabla1[[#This Row],[RES-A]:[EXTR-B]])</f>
        <v>260</v>
      </c>
      <c r="AA410" s="7">
        <f>Tabla1[[#This Row],[Columna1]]-Tabla1[[#This Row],[IMPORTE TOTAL]]</f>
        <v>0</v>
      </c>
    </row>
    <row r="411" spans="1:27" x14ac:dyDescent="0.2">
      <c r="A411">
        <v>2022</v>
      </c>
      <c r="B411" t="s">
        <v>64</v>
      </c>
      <c r="C411" s="51">
        <v>44883</v>
      </c>
      <c r="D411" s="3" t="s">
        <v>41</v>
      </c>
      <c r="E411" s="3" t="s">
        <v>46</v>
      </c>
      <c r="F411" s="3" t="s">
        <v>46</v>
      </c>
      <c r="G411" s="4">
        <v>0.64583333333333337</v>
      </c>
      <c r="H411" s="4">
        <v>0.85416666666666663</v>
      </c>
      <c r="I411" t="s">
        <v>31</v>
      </c>
      <c r="J411">
        <v>1</v>
      </c>
      <c r="L411" s="46"/>
      <c r="P411">
        <v>140</v>
      </c>
      <c r="Q411">
        <v>0</v>
      </c>
      <c r="R411">
        <v>0</v>
      </c>
      <c r="S411" s="7">
        <f>Tabla1[[#This Row],[TARIFA]]+Tabla1[[#This Row],[IMPORTE EXTRAS]]</f>
        <v>140</v>
      </c>
      <c r="T411" t="s">
        <v>45</v>
      </c>
      <c r="U411">
        <v>140</v>
      </c>
      <c r="V411">
        <v>0</v>
      </c>
      <c r="W411">
        <v>0</v>
      </c>
      <c r="X411" s="49">
        <v>0</v>
      </c>
      <c r="Y411" s="49"/>
      <c r="Z411" s="7">
        <f>SUM(Tabla1[[#This Row],[RES-A]:[EXTR-B]])</f>
        <v>140</v>
      </c>
      <c r="AA411" s="7">
        <f>Tabla1[[#This Row],[Columna1]]-Tabla1[[#This Row],[IMPORTE TOTAL]]</f>
        <v>0</v>
      </c>
    </row>
    <row r="412" spans="1:27" x14ac:dyDescent="0.2">
      <c r="A412">
        <v>2022</v>
      </c>
      <c r="B412" t="s">
        <v>64</v>
      </c>
      <c r="C412" s="51">
        <v>44884</v>
      </c>
      <c r="D412" s="3" t="s">
        <v>42</v>
      </c>
      <c r="E412" s="3" t="s">
        <v>46</v>
      </c>
      <c r="F412" s="3" t="s">
        <v>46</v>
      </c>
      <c r="G412" s="4">
        <v>0.39583333333333331</v>
      </c>
      <c r="H412" s="4">
        <v>0.60416666666666663</v>
      </c>
      <c r="I412" t="s">
        <v>30</v>
      </c>
      <c r="J412">
        <v>1</v>
      </c>
      <c r="L412" s="46"/>
      <c r="P412">
        <v>150</v>
      </c>
      <c r="Q412">
        <v>0</v>
      </c>
      <c r="R412">
        <v>0</v>
      </c>
      <c r="S412" s="7">
        <f>Tabla1[[#This Row],[TARIFA]]+Tabla1[[#This Row],[IMPORTE EXTRAS]]</f>
        <v>150</v>
      </c>
      <c r="T412" t="s">
        <v>45</v>
      </c>
      <c r="U412">
        <v>50</v>
      </c>
      <c r="V412">
        <v>100</v>
      </c>
      <c r="W412">
        <v>0</v>
      </c>
      <c r="X412" s="49">
        <v>0</v>
      </c>
      <c r="Y412" s="49"/>
      <c r="Z412" s="7">
        <f>SUM(Tabla1[[#This Row],[RES-A]:[EXTR-B]])</f>
        <v>150</v>
      </c>
      <c r="AA412" s="7">
        <f>Tabla1[[#This Row],[Columna1]]-Tabla1[[#This Row],[IMPORTE TOTAL]]</f>
        <v>0</v>
      </c>
    </row>
    <row r="413" spans="1:27" x14ac:dyDescent="0.2">
      <c r="A413">
        <v>2022</v>
      </c>
      <c r="B413" t="s">
        <v>64</v>
      </c>
      <c r="C413" s="51">
        <v>44884</v>
      </c>
      <c r="D413" s="3" t="s">
        <v>42</v>
      </c>
      <c r="E413" s="3" t="s">
        <v>46</v>
      </c>
      <c r="F413" s="3" t="s">
        <v>46</v>
      </c>
      <c r="G413" s="4">
        <v>0.64583333333333337</v>
      </c>
      <c r="H413" s="4">
        <v>0.85416666666666663</v>
      </c>
      <c r="I413" t="s">
        <v>31</v>
      </c>
      <c r="J413">
        <v>1</v>
      </c>
      <c r="L413" s="46"/>
      <c r="P413">
        <v>150</v>
      </c>
      <c r="Q413">
        <v>0</v>
      </c>
      <c r="R413">
        <v>0</v>
      </c>
      <c r="S413" s="7">
        <f>Tabla1[[#This Row],[TARIFA]]+Tabla1[[#This Row],[IMPORTE EXTRAS]]</f>
        <v>150</v>
      </c>
      <c r="T413" t="s">
        <v>45</v>
      </c>
      <c r="U413">
        <v>50</v>
      </c>
      <c r="V413">
        <v>100</v>
      </c>
      <c r="W413">
        <v>0</v>
      </c>
      <c r="X413" s="49">
        <v>0</v>
      </c>
      <c r="Y413" s="49"/>
      <c r="Z413" s="7">
        <f>SUM(Tabla1[[#This Row],[RES-A]:[EXTR-B]])</f>
        <v>150</v>
      </c>
      <c r="AA413" s="7">
        <f>Tabla1[[#This Row],[Columna1]]-Tabla1[[#This Row],[IMPORTE TOTAL]]</f>
        <v>0</v>
      </c>
    </row>
    <row r="414" spans="1:27" x14ac:dyDescent="0.2">
      <c r="A414">
        <v>2022</v>
      </c>
      <c r="B414" t="s">
        <v>64</v>
      </c>
      <c r="C414" s="51">
        <v>44884</v>
      </c>
      <c r="D414" s="3" t="s">
        <v>42</v>
      </c>
      <c r="E414" s="3" t="s">
        <v>46</v>
      </c>
      <c r="F414" s="3" t="s">
        <v>46</v>
      </c>
      <c r="G414" s="4">
        <v>0.89583333333333337</v>
      </c>
      <c r="H414" s="4">
        <v>0.10416666666666667</v>
      </c>
      <c r="I414" t="s">
        <v>35</v>
      </c>
      <c r="J414">
        <v>1</v>
      </c>
      <c r="L414" s="46"/>
      <c r="P414">
        <v>200</v>
      </c>
      <c r="Q414">
        <v>0</v>
      </c>
      <c r="R414">
        <v>0</v>
      </c>
      <c r="S414" s="7">
        <f>Tabla1[[#This Row],[TARIFA]]+Tabla1[[#This Row],[IMPORTE EXTRAS]]</f>
        <v>200</v>
      </c>
      <c r="T414" t="s">
        <v>45</v>
      </c>
      <c r="U414">
        <v>50</v>
      </c>
      <c r="V414">
        <v>150</v>
      </c>
      <c r="W414">
        <v>0</v>
      </c>
      <c r="X414" s="49">
        <v>0</v>
      </c>
      <c r="Y414" s="49"/>
      <c r="Z414" s="7">
        <f>SUM(Tabla1[[#This Row],[RES-A]:[EXTR-B]])</f>
        <v>200</v>
      </c>
      <c r="AA414" s="7">
        <f>Tabla1[[#This Row],[Columna1]]-Tabla1[[#This Row],[IMPORTE TOTAL]]</f>
        <v>0</v>
      </c>
    </row>
    <row r="415" spans="1:27" x14ac:dyDescent="0.2">
      <c r="A415">
        <v>2022</v>
      </c>
      <c r="B415" t="s">
        <v>64</v>
      </c>
      <c r="C415" s="51">
        <v>44885</v>
      </c>
      <c r="D415" s="3" t="s">
        <v>43</v>
      </c>
      <c r="E415" s="3" t="s">
        <v>46</v>
      </c>
      <c r="F415" s="3" t="s">
        <v>46</v>
      </c>
      <c r="G415" s="4">
        <v>0.39583333333333331</v>
      </c>
      <c r="H415" s="4">
        <v>0.85416666666666663</v>
      </c>
      <c r="I415" t="s">
        <v>32</v>
      </c>
      <c r="J415">
        <v>2</v>
      </c>
      <c r="L415" s="46"/>
      <c r="P415">
        <v>290</v>
      </c>
      <c r="Q415">
        <v>0</v>
      </c>
      <c r="R415">
        <v>0</v>
      </c>
      <c r="S415" s="7">
        <f>Tabla1[[#This Row],[TARIFA]]+Tabla1[[#This Row],[IMPORTE EXTRAS]]</f>
        <v>290</v>
      </c>
      <c r="T415" t="s">
        <v>45</v>
      </c>
      <c r="U415">
        <v>50</v>
      </c>
      <c r="V415">
        <v>240</v>
      </c>
      <c r="W415">
        <v>0</v>
      </c>
      <c r="X415" s="49">
        <v>0</v>
      </c>
      <c r="Y415" s="49"/>
      <c r="Z415" s="7">
        <f>SUM(Tabla1[[#This Row],[RES-A]:[EXTR-B]])</f>
        <v>290</v>
      </c>
      <c r="AA415" s="7">
        <f>Tabla1[[#This Row],[Columna1]]-Tabla1[[#This Row],[IMPORTE TOTAL]]</f>
        <v>0</v>
      </c>
    </row>
    <row r="416" spans="1:27" x14ac:dyDescent="0.2">
      <c r="A416">
        <v>2022</v>
      </c>
      <c r="B416" t="s">
        <v>64</v>
      </c>
      <c r="C416" s="51">
        <v>44890</v>
      </c>
      <c r="D416" s="3" t="s">
        <v>41</v>
      </c>
      <c r="E416" s="3" t="s">
        <v>46</v>
      </c>
      <c r="F416" s="3" t="s">
        <v>46</v>
      </c>
      <c r="G416" s="4">
        <v>0.64583333333333337</v>
      </c>
      <c r="H416" s="4">
        <v>0.85416666666666663</v>
      </c>
      <c r="I416" t="s">
        <v>31</v>
      </c>
      <c r="J416">
        <v>1</v>
      </c>
      <c r="L416" s="46"/>
      <c r="P416">
        <v>140</v>
      </c>
      <c r="Q416">
        <v>0</v>
      </c>
      <c r="R416">
        <v>0</v>
      </c>
      <c r="S416" s="7">
        <f>Tabla1[[#This Row],[TARIFA]]+Tabla1[[#This Row],[IMPORTE EXTRAS]]</f>
        <v>140</v>
      </c>
      <c r="T416" t="s">
        <v>45</v>
      </c>
      <c r="U416">
        <v>50</v>
      </c>
      <c r="V416">
        <v>90</v>
      </c>
      <c r="W416">
        <v>0</v>
      </c>
      <c r="X416" s="49">
        <v>0</v>
      </c>
      <c r="Y416" s="49"/>
      <c r="Z416" s="7">
        <f>SUM(Tabla1[[#This Row],[RES-A]:[EXTR-B]])</f>
        <v>140</v>
      </c>
      <c r="AA416" s="7">
        <f>Tabla1[[#This Row],[Columna1]]-Tabla1[[#This Row],[IMPORTE TOTAL]]</f>
        <v>0</v>
      </c>
    </row>
    <row r="417" spans="1:27" x14ac:dyDescent="0.2">
      <c r="A417">
        <v>2022</v>
      </c>
      <c r="B417" t="s">
        <v>64</v>
      </c>
      <c r="C417" s="51">
        <v>44891</v>
      </c>
      <c r="D417" s="3" t="s">
        <v>42</v>
      </c>
      <c r="E417" s="3" t="s">
        <v>46</v>
      </c>
      <c r="F417" s="3" t="s">
        <v>46</v>
      </c>
      <c r="G417" s="4">
        <v>0.64583333333333337</v>
      </c>
      <c r="H417" s="4">
        <v>0.85416666666666663</v>
      </c>
      <c r="I417" t="s">
        <v>31</v>
      </c>
      <c r="J417">
        <v>1</v>
      </c>
      <c r="L417" s="46"/>
      <c r="P417">
        <v>150</v>
      </c>
      <c r="Q417">
        <v>0</v>
      </c>
      <c r="R417">
        <v>0</v>
      </c>
      <c r="S417" s="7">
        <f>Tabla1[[#This Row],[TARIFA]]+Tabla1[[#This Row],[IMPORTE EXTRAS]]</f>
        <v>150</v>
      </c>
      <c r="T417" t="s">
        <v>45</v>
      </c>
      <c r="U417">
        <v>150</v>
      </c>
      <c r="V417">
        <v>0</v>
      </c>
      <c r="W417">
        <v>0</v>
      </c>
      <c r="X417" s="49">
        <v>0</v>
      </c>
      <c r="Y417" s="49"/>
      <c r="Z417" s="7">
        <f>SUM(Tabla1[[#This Row],[RES-A]:[EXTR-B]])</f>
        <v>150</v>
      </c>
      <c r="AA417" s="7">
        <f>Tabla1[[#This Row],[Columna1]]-Tabla1[[#This Row],[IMPORTE TOTAL]]</f>
        <v>0</v>
      </c>
    </row>
    <row r="418" spans="1:27" x14ac:dyDescent="0.2">
      <c r="A418">
        <v>2022</v>
      </c>
      <c r="B418" t="s">
        <v>64</v>
      </c>
      <c r="C418" s="51">
        <v>44891</v>
      </c>
      <c r="D418" s="3" t="s">
        <v>42</v>
      </c>
      <c r="E418" s="3" t="s">
        <v>46</v>
      </c>
      <c r="F418" s="3" t="s">
        <v>46</v>
      </c>
      <c r="G418" s="4">
        <v>0.89583333333333337</v>
      </c>
      <c r="H418" s="4">
        <v>0.10416666666666667</v>
      </c>
      <c r="I418" t="s">
        <v>35</v>
      </c>
      <c r="J418">
        <v>1</v>
      </c>
      <c r="L418" s="46"/>
      <c r="P418">
        <v>200</v>
      </c>
      <c r="Q418">
        <v>1</v>
      </c>
      <c r="R418">
        <v>60</v>
      </c>
      <c r="S418" s="7">
        <f>Tabla1[[#This Row],[TARIFA]]+Tabla1[[#This Row],[IMPORTE EXTRAS]]</f>
        <v>260</v>
      </c>
      <c r="T418" t="s">
        <v>45</v>
      </c>
      <c r="U418">
        <v>200</v>
      </c>
      <c r="V418">
        <v>0</v>
      </c>
      <c r="W418">
        <v>60</v>
      </c>
      <c r="X418" s="49">
        <v>0</v>
      </c>
      <c r="Y418" s="49"/>
      <c r="Z418" s="7">
        <f>SUM(Tabla1[[#This Row],[RES-A]:[EXTR-B]])</f>
        <v>260</v>
      </c>
      <c r="AA418" s="7">
        <f>Tabla1[[#This Row],[Columna1]]-Tabla1[[#This Row],[IMPORTE TOTAL]]</f>
        <v>0</v>
      </c>
    </row>
    <row r="419" spans="1:27" x14ac:dyDescent="0.2">
      <c r="A419">
        <v>2022</v>
      </c>
      <c r="B419" t="s">
        <v>65</v>
      </c>
      <c r="C419" s="51">
        <v>44897</v>
      </c>
      <c r="D419" s="3" t="s">
        <v>41</v>
      </c>
      <c r="E419" s="3" t="s">
        <v>46</v>
      </c>
      <c r="F419" s="3" t="s">
        <v>46</v>
      </c>
      <c r="G419" s="4">
        <v>0.89583333333333337</v>
      </c>
      <c r="H419" s="4">
        <v>0.10416666666666667</v>
      </c>
      <c r="I419" t="s">
        <v>35</v>
      </c>
      <c r="J419">
        <v>1</v>
      </c>
      <c r="L419" s="46"/>
      <c r="P419">
        <v>200</v>
      </c>
      <c r="Q419">
        <v>0</v>
      </c>
      <c r="R419">
        <v>0</v>
      </c>
      <c r="S419" s="7">
        <f>Tabla1[[#This Row],[TARIFA]]+Tabla1[[#This Row],[IMPORTE EXTRAS]]</f>
        <v>200</v>
      </c>
      <c r="T419" t="s">
        <v>45</v>
      </c>
      <c r="U419">
        <v>50</v>
      </c>
      <c r="V419">
        <v>150</v>
      </c>
      <c r="W419">
        <v>0</v>
      </c>
      <c r="X419" s="49">
        <v>0</v>
      </c>
      <c r="Y419" s="49"/>
      <c r="Z419" s="7">
        <f>SUM(Tabla1[[#This Row],[RES-A]:[EXTR-B]])</f>
        <v>200</v>
      </c>
      <c r="AA419" s="7">
        <f>Tabla1[[#This Row],[Columna1]]-Tabla1[[#This Row],[IMPORTE TOTAL]]</f>
        <v>0</v>
      </c>
    </row>
    <row r="420" spans="1:27" x14ac:dyDescent="0.2">
      <c r="A420">
        <v>2022</v>
      </c>
      <c r="B420" t="s">
        <v>65</v>
      </c>
      <c r="C420" s="51">
        <v>44898</v>
      </c>
      <c r="D420" s="3" t="s">
        <v>42</v>
      </c>
      <c r="E420" s="3" t="s">
        <v>46</v>
      </c>
      <c r="F420" s="3" t="s">
        <v>46</v>
      </c>
      <c r="G420" s="4">
        <v>0.64583333333333337</v>
      </c>
      <c r="H420" s="4">
        <v>0.10416666666666667</v>
      </c>
      <c r="I420" t="s">
        <v>53</v>
      </c>
      <c r="J420">
        <v>2</v>
      </c>
      <c r="L420" s="46"/>
      <c r="P420">
        <v>320</v>
      </c>
      <c r="Q420">
        <v>0</v>
      </c>
      <c r="R420">
        <v>0</v>
      </c>
      <c r="S420" s="7">
        <f>Tabla1[[#This Row],[TARIFA]]+Tabla1[[#This Row],[IMPORTE EXTRAS]]</f>
        <v>320</v>
      </c>
      <c r="T420" t="s">
        <v>45</v>
      </c>
      <c r="U420">
        <v>50</v>
      </c>
      <c r="V420">
        <v>270</v>
      </c>
      <c r="W420">
        <v>0</v>
      </c>
      <c r="X420" s="49">
        <v>0</v>
      </c>
      <c r="Y420" s="49"/>
      <c r="Z420" s="7">
        <f>SUM(Tabla1[[#This Row],[RES-A]:[EXTR-B]])</f>
        <v>320</v>
      </c>
      <c r="AA420" s="7">
        <f>Tabla1[[#This Row],[Columna1]]-Tabla1[[#This Row],[IMPORTE TOTAL]]</f>
        <v>0</v>
      </c>
    </row>
    <row r="421" spans="1:27" x14ac:dyDescent="0.2">
      <c r="A421">
        <v>2022</v>
      </c>
      <c r="B421" t="s">
        <v>65</v>
      </c>
      <c r="C421" s="51">
        <v>44901</v>
      </c>
      <c r="D421" s="3" t="s">
        <v>38</v>
      </c>
      <c r="E421" s="3" t="s">
        <v>45</v>
      </c>
      <c r="F421" s="3" t="s">
        <v>46</v>
      </c>
      <c r="G421" s="4">
        <v>0.39583333333333331</v>
      </c>
      <c r="H421" s="4">
        <v>0.60416666666666663</v>
      </c>
      <c r="I421" t="s">
        <v>30</v>
      </c>
      <c r="J421">
        <v>1</v>
      </c>
      <c r="L421" s="46"/>
      <c r="P421">
        <v>150</v>
      </c>
      <c r="Q421">
        <v>0</v>
      </c>
      <c r="R421">
        <v>0</v>
      </c>
      <c r="S421" s="7">
        <f>Tabla1[[#This Row],[TARIFA]]+Tabla1[[#This Row],[IMPORTE EXTRAS]]</f>
        <v>150</v>
      </c>
      <c r="T421" t="s">
        <v>45</v>
      </c>
      <c r="U421">
        <v>150</v>
      </c>
      <c r="V421">
        <v>0</v>
      </c>
      <c r="W421">
        <v>0</v>
      </c>
      <c r="X421" s="49">
        <v>0</v>
      </c>
      <c r="Y421" s="49"/>
      <c r="Z421" s="7">
        <f>SUM(Tabla1[[#This Row],[RES-A]:[EXTR-B]])</f>
        <v>150</v>
      </c>
      <c r="AA421" s="7">
        <f>Tabla1[[#This Row],[Columna1]]-Tabla1[[#This Row],[IMPORTE TOTAL]]</f>
        <v>0</v>
      </c>
    </row>
    <row r="422" spans="1:27" x14ac:dyDescent="0.2">
      <c r="A422">
        <v>2022</v>
      </c>
      <c r="B422" t="s">
        <v>65</v>
      </c>
      <c r="C422" s="51">
        <v>44903</v>
      </c>
      <c r="D422" s="3" t="s">
        <v>40</v>
      </c>
      <c r="E422" s="3" t="s">
        <v>45</v>
      </c>
      <c r="F422" s="3" t="s">
        <v>46</v>
      </c>
      <c r="G422" s="4">
        <v>0.64583333333333337</v>
      </c>
      <c r="H422" s="4">
        <v>0.85416666666666663</v>
      </c>
      <c r="I422" t="s">
        <v>31</v>
      </c>
      <c r="J422">
        <v>1</v>
      </c>
      <c r="L422" s="46"/>
      <c r="P422">
        <v>150</v>
      </c>
      <c r="Q422">
        <v>0</v>
      </c>
      <c r="R422">
        <v>0</v>
      </c>
      <c r="S422" s="7">
        <f>Tabla1[[#This Row],[TARIFA]]+Tabla1[[#This Row],[IMPORTE EXTRAS]]</f>
        <v>150</v>
      </c>
      <c r="T422" t="s">
        <v>45</v>
      </c>
      <c r="U422">
        <v>150</v>
      </c>
      <c r="V422">
        <v>0</v>
      </c>
      <c r="W422">
        <v>0</v>
      </c>
      <c r="X422" s="49">
        <v>0</v>
      </c>
      <c r="Y422" s="49"/>
      <c r="Z422" s="7">
        <f>SUM(Tabla1[[#This Row],[RES-A]:[EXTR-B]])</f>
        <v>150</v>
      </c>
      <c r="AA422" s="7">
        <f>Tabla1[[#This Row],[Columna1]]-Tabla1[[#This Row],[IMPORTE TOTAL]]</f>
        <v>0</v>
      </c>
    </row>
    <row r="423" spans="1:27" x14ac:dyDescent="0.2">
      <c r="A423">
        <v>2022</v>
      </c>
      <c r="B423" t="s">
        <v>65</v>
      </c>
      <c r="C423" s="51">
        <v>44904</v>
      </c>
      <c r="D423" s="3" t="s">
        <v>41</v>
      </c>
      <c r="E423" s="3" t="s">
        <v>46</v>
      </c>
      <c r="F423" s="3" t="s">
        <v>46</v>
      </c>
      <c r="G423" s="4">
        <v>0.89583333333333337</v>
      </c>
      <c r="H423" s="4">
        <v>0.10416666666666667</v>
      </c>
      <c r="I423" t="s">
        <v>35</v>
      </c>
      <c r="J423">
        <v>1</v>
      </c>
      <c r="L423" s="46"/>
      <c r="P423">
        <v>200</v>
      </c>
      <c r="Q423">
        <v>0</v>
      </c>
      <c r="R423">
        <v>0</v>
      </c>
      <c r="S423" s="7">
        <f>Tabla1[[#This Row],[TARIFA]]+Tabla1[[#This Row],[IMPORTE EXTRAS]]</f>
        <v>200</v>
      </c>
      <c r="T423" t="s">
        <v>45</v>
      </c>
      <c r="U423">
        <v>50</v>
      </c>
      <c r="V423">
        <v>150</v>
      </c>
      <c r="W423">
        <v>0</v>
      </c>
      <c r="X423" s="49">
        <v>0</v>
      </c>
      <c r="Y423" s="49"/>
      <c r="Z423" s="7">
        <f>SUM(Tabla1[[#This Row],[RES-A]:[EXTR-B]])</f>
        <v>200</v>
      </c>
      <c r="AA423" s="7">
        <f>Tabla1[[#This Row],[Columna1]]-Tabla1[[#This Row],[IMPORTE TOTAL]]</f>
        <v>0</v>
      </c>
    </row>
    <row r="424" spans="1:27" x14ac:dyDescent="0.2">
      <c r="A424">
        <v>2022</v>
      </c>
      <c r="B424" t="s">
        <v>65</v>
      </c>
      <c r="C424" s="51">
        <v>44905</v>
      </c>
      <c r="D424" s="3" t="s">
        <v>42</v>
      </c>
      <c r="E424" s="3" t="s">
        <v>46</v>
      </c>
      <c r="F424" s="3" t="s">
        <v>46</v>
      </c>
      <c r="G424" s="4">
        <v>0.64583333333333337</v>
      </c>
      <c r="H424" s="4">
        <v>0.10416666666666667</v>
      </c>
      <c r="I424" t="s">
        <v>53</v>
      </c>
      <c r="J424">
        <v>2</v>
      </c>
      <c r="L424" s="46"/>
      <c r="P424">
        <v>320</v>
      </c>
      <c r="Q424">
        <v>0</v>
      </c>
      <c r="R424">
        <v>0</v>
      </c>
      <c r="S424" s="7">
        <f>Tabla1[[#This Row],[TARIFA]]+Tabla1[[#This Row],[IMPORTE EXTRAS]]</f>
        <v>320</v>
      </c>
      <c r="T424" t="s">
        <v>45</v>
      </c>
      <c r="U424">
        <v>50</v>
      </c>
      <c r="V424">
        <v>270</v>
      </c>
      <c r="W424">
        <v>0</v>
      </c>
      <c r="X424" s="49">
        <v>0</v>
      </c>
      <c r="Y424" s="49"/>
      <c r="Z424" s="7">
        <f>SUM(Tabla1[[#This Row],[RES-A]:[EXTR-B]])</f>
        <v>320</v>
      </c>
      <c r="AA424" s="7">
        <f>Tabla1[[#This Row],[Columna1]]-Tabla1[[#This Row],[IMPORTE TOTAL]]</f>
        <v>0</v>
      </c>
    </row>
    <row r="425" spans="1:27" x14ac:dyDescent="0.2">
      <c r="A425">
        <v>2022</v>
      </c>
      <c r="B425" t="s">
        <v>65</v>
      </c>
      <c r="C425" s="51">
        <v>44906</v>
      </c>
      <c r="D425" s="3" t="s">
        <v>43</v>
      </c>
      <c r="E425" s="3" t="s">
        <v>46</v>
      </c>
      <c r="F425" s="3" t="s">
        <v>46</v>
      </c>
      <c r="G425" s="4">
        <v>0.39583333333333331</v>
      </c>
      <c r="H425" s="4">
        <v>0.60416666666666663</v>
      </c>
      <c r="I425" t="s">
        <v>30</v>
      </c>
      <c r="J425">
        <v>1</v>
      </c>
      <c r="L425" s="46"/>
      <c r="P425">
        <v>150</v>
      </c>
      <c r="Q425">
        <v>0</v>
      </c>
      <c r="R425">
        <v>0</v>
      </c>
      <c r="S425" s="7">
        <f>Tabla1[[#This Row],[TARIFA]]+Tabla1[[#This Row],[IMPORTE EXTRAS]]</f>
        <v>150</v>
      </c>
      <c r="T425" t="s">
        <v>45</v>
      </c>
      <c r="U425">
        <v>50</v>
      </c>
      <c r="V425">
        <v>100</v>
      </c>
      <c r="W425">
        <v>0</v>
      </c>
      <c r="X425" s="49">
        <v>0</v>
      </c>
      <c r="Y425" s="49"/>
      <c r="Z425" s="7">
        <f>SUM(Tabla1[[#This Row],[RES-A]:[EXTR-B]])</f>
        <v>150</v>
      </c>
      <c r="AA425" s="7">
        <f>Tabla1[[#This Row],[Columna1]]-Tabla1[[#This Row],[IMPORTE TOTAL]]</f>
        <v>0</v>
      </c>
    </row>
    <row r="426" spans="1:27" x14ac:dyDescent="0.2">
      <c r="A426">
        <v>2022</v>
      </c>
      <c r="B426" t="s">
        <v>65</v>
      </c>
      <c r="C426" s="51">
        <v>44906</v>
      </c>
      <c r="D426" s="3" t="s">
        <v>43</v>
      </c>
      <c r="E426" s="3" t="s">
        <v>46</v>
      </c>
      <c r="F426" s="3" t="s">
        <v>46</v>
      </c>
      <c r="G426" s="4">
        <v>0.64583333333333337</v>
      </c>
      <c r="H426" s="4">
        <v>0.85416666666666663</v>
      </c>
      <c r="I426" t="s">
        <v>31</v>
      </c>
      <c r="J426">
        <v>1</v>
      </c>
      <c r="L426" s="46"/>
      <c r="P426">
        <v>150</v>
      </c>
      <c r="Q426">
        <v>0</v>
      </c>
      <c r="R426">
        <v>0</v>
      </c>
      <c r="S426" s="7">
        <f>Tabla1[[#This Row],[TARIFA]]+Tabla1[[#This Row],[IMPORTE EXTRAS]]</f>
        <v>150</v>
      </c>
      <c r="T426" t="s">
        <v>45</v>
      </c>
      <c r="U426">
        <v>50</v>
      </c>
      <c r="V426">
        <v>100</v>
      </c>
      <c r="W426">
        <v>0</v>
      </c>
      <c r="X426" s="49">
        <v>0</v>
      </c>
      <c r="Y426" s="49"/>
      <c r="Z426" s="7">
        <f>SUM(Tabla1[[#This Row],[RES-A]:[EXTR-B]])</f>
        <v>150</v>
      </c>
      <c r="AA426" s="7">
        <f>Tabla1[[#This Row],[Columna1]]-Tabla1[[#This Row],[IMPORTE TOTAL]]</f>
        <v>0</v>
      </c>
    </row>
    <row r="427" spans="1:27" x14ac:dyDescent="0.2">
      <c r="A427">
        <v>2022</v>
      </c>
      <c r="B427" t="s">
        <v>65</v>
      </c>
      <c r="C427" s="51">
        <v>44912</v>
      </c>
      <c r="D427" s="3" t="s">
        <v>42</v>
      </c>
      <c r="E427" s="3" t="s">
        <v>46</v>
      </c>
      <c r="F427" s="3" t="s">
        <v>46</v>
      </c>
      <c r="G427" s="4">
        <v>0.39583333333333331</v>
      </c>
      <c r="H427" s="4">
        <v>0.60416666666666663</v>
      </c>
      <c r="I427" t="s">
        <v>30</v>
      </c>
      <c r="J427">
        <v>1</v>
      </c>
      <c r="L427" s="46"/>
      <c r="P427">
        <v>150</v>
      </c>
      <c r="Q427">
        <v>0</v>
      </c>
      <c r="R427">
        <v>0</v>
      </c>
      <c r="S427" s="7">
        <f>Tabla1[[#This Row],[TARIFA]]+Tabla1[[#This Row],[IMPORTE EXTRAS]]</f>
        <v>150</v>
      </c>
      <c r="T427" t="s">
        <v>45</v>
      </c>
      <c r="U427">
        <v>50</v>
      </c>
      <c r="V427">
        <v>100</v>
      </c>
      <c r="W427">
        <v>0</v>
      </c>
      <c r="X427" s="49">
        <v>0</v>
      </c>
      <c r="Y427" s="49" t="s">
        <v>459</v>
      </c>
      <c r="Z427" s="7">
        <f>SUM(Tabla1[[#This Row],[RES-A]:[EXTR-B]])</f>
        <v>150</v>
      </c>
      <c r="AA427" s="7">
        <f>Tabla1[[#This Row],[Columna1]]-Tabla1[[#This Row],[IMPORTE TOTAL]]</f>
        <v>0</v>
      </c>
    </row>
    <row r="428" spans="1:27" x14ac:dyDescent="0.2">
      <c r="A428">
        <v>2022</v>
      </c>
      <c r="B428" t="s">
        <v>65</v>
      </c>
      <c r="C428" s="51">
        <v>44912</v>
      </c>
      <c r="D428" s="3" t="s">
        <v>42</v>
      </c>
      <c r="E428" s="3" t="s">
        <v>46</v>
      </c>
      <c r="F428" s="3" t="s">
        <v>46</v>
      </c>
      <c r="G428" s="4">
        <v>0.64583333333333337</v>
      </c>
      <c r="H428" s="4">
        <v>0.10416666666666667</v>
      </c>
      <c r="I428" t="s">
        <v>53</v>
      </c>
      <c r="J428">
        <v>2</v>
      </c>
      <c r="L428" s="46"/>
      <c r="P428">
        <v>0</v>
      </c>
      <c r="Q428">
        <v>0</v>
      </c>
      <c r="R428">
        <v>0</v>
      </c>
      <c r="S428" s="7">
        <v>0</v>
      </c>
      <c r="T428" t="s">
        <v>55</v>
      </c>
      <c r="U428">
        <v>50</v>
      </c>
      <c r="V428">
        <v>0</v>
      </c>
      <c r="W428">
        <v>0</v>
      </c>
      <c r="X428" s="49">
        <v>0</v>
      </c>
      <c r="Y428" s="49"/>
      <c r="Z428" s="7">
        <f>SUM(Tabla1[[#This Row],[RES-A]:[EXTR-B]])</f>
        <v>50</v>
      </c>
      <c r="AA428" s="7">
        <f>Tabla1[[#This Row],[Columna1]]-Tabla1[[#This Row],[IMPORTE TOTAL]]</f>
        <v>50</v>
      </c>
    </row>
    <row r="429" spans="1:27" x14ac:dyDescent="0.2">
      <c r="A429">
        <v>2022</v>
      </c>
      <c r="B429" t="s">
        <v>65</v>
      </c>
      <c r="C429" s="51">
        <v>44912</v>
      </c>
      <c r="D429" s="3" t="s">
        <v>42</v>
      </c>
      <c r="E429" s="3" t="s">
        <v>46</v>
      </c>
      <c r="F429" s="3" t="s">
        <v>46</v>
      </c>
      <c r="G429" s="4">
        <v>0.64583333333333337</v>
      </c>
      <c r="H429" s="4">
        <v>0.85416666666666663</v>
      </c>
      <c r="I429" t="s">
        <v>31</v>
      </c>
      <c r="J429">
        <v>1</v>
      </c>
      <c r="L429" s="46"/>
      <c r="P429">
        <v>150</v>
      </c>
      <c r="Q429">
        <v>1</v>
      </c>
      <c r="R429">
        <v>20</v>
      </c>
      <c r="S429" s="7">
        <f>Tabla1[[#This Row],[TARIFA]]+Tabla1[[#This Row],[IMPORTE EXTRAS]]</f>
        <v>170</v>
      </c>
      <c r="T429" t="s">
        <v>45</v>
      </c>
      <c r="U429">
        <v>50</v>
      </c>
      <c r="V429">
        <v>100</v>
      </c>
      <c r="W429">
        <v>0</v>
      </c>
      <c r="X429" s="49">
        <v>20</v>
      </c>
      <c r="Y429" s="49" t="s">
        <v>460</v>
      </c>
      <c r="Z429" s="7">
        <f>SUM(Tabla1[[#This Row],[RES-A]:[EXTR-B]])</f>
        <v>170</v>
      </c>
      <c r="AA429" s="7">
        <f>Tabla1[[#This Row],[Columna1]]-Tabla1[[#This Row],[IMPORTE TOTAL]]</f>
        <v>0</v>
      </c>
    </row>
    <row r="430" spans="1:27" x14ac:dyDescent="0.2">
      <c r="A430">
        <v>2022</v>
      </c>
      <c r="B430" t="s">
        <v>65</v>
      </c>
      <c r="C430" s="51">
        <v>44913</v>
      </c>
      <c r="D430" s="3" t="s">
        <v>43</v>
      </c>
      <c r="E430" s="3" t="s">
        <v>46</v>
      </c>
      <c r="F430" s="3" t="s">
        <v>46</v>
      </c>
      <c r="G430" s="4">
        <v>0.39583333333333331</v>
      </c>
      <c r="H430" s="4">
        <v>0.60416666666666663</v>
      </c>
      <c r="I430" t="s">
        <v>30</v>
      </c>
      <c r="J430">
        <v>1</v>
      </c>
      <c r="L430" s="46"/>
      <c r="P430">
        <v>150</v>
      </c>
      <c r="Q430">
        <v>0</v>
      </c>
      <c r="R430">
        <v>0</v>
      </c>
      <c r="S430" s="7">
        <f>Tabla1[[#This Row],[TARIFA]]+Tabla1[[#This Row],[IMPORTE EXTRAS]]</f>
        <v>150</v>
      </c>
      <c r="T430" t="s">
        <v>45</v>
      </c>
      <c r="U430">
        <v>50</v>
      </c>
      <c r="V430">
        <v>100</v>
      </c>
      <c r="W430">
        <v>0</v>
      </c>
      <c r="X430" s="49">
        <v>0</v>
      </c>
      <c r="Y430" s="49"/>
      <c r="Z430" s="7">
        <f>SUM(Tabla1[[#This Row],[RES-A]:[EXTR-B]])</f>
        <v>150</v>
      </c>
      <c r="AA430" s="7">
        <f>Tabla1[[#This Row],[Columna1]]-Tabla1[[#This Row],[IMPORTE TOTAL]]</f>
        <v>0</v>
      </c>
    </row>
    <row r="431" spans="1:27" x14ac:dyDescent="0.2">
      <c r="A431">
        <v>2022</v>
      </c>
      <c r="B431" t="s">
        <v>65</v>
      </c>
      <c r="C431" s="51">
        <v>44913</v>
      </c>
      <c r="D431" s="3" t="s">
        <v>43</v>
      </c>
      <c r="E431" s="3" t="s">
        <v>46</v>
      </c>
      <c r="F431" s="3" t="s">
        <v>46</v>
      </c>
      <c r="G431" s="4">
        <v>0.64583333333333337</v>
      </c>
      <c r="H431" s="4">
        <v>0.85416666666666663</v>
      </c>
      <c r="I431" t="s">
        <v>31</v>
      </c>
      <c r="J431">
        <v>1</v>
      </c>
      <c r="L431" s="46"/>
      <c r="P431">
        <v>150</v>
      </c>
      <c r="Q431">
        <v>0</v>
      </c>
      <c r="R431">
        <v>0</v>
      </c>
      <c r="S431" s="7">
        <f>Tabla1[[#This Row],[TARIFA]]+Tabla1[[#This Row],[IMPORTE EXTRAS]]</f>
        <v>150</v>
      </c>
      <c r="T431" t="s">
        <v>45</v>
      </c>
      <c r="U431">
        <v>50</v>
      </c>
      <c r="V431">
        <v>100</v>
      </c>
      <c r="W431">
        <v>0</v>
      </c>
      <c r="X431" s="49">
        <v>0</v>
      </c>
      <c r="Y431" s="49"/>
      <c r="Z431" s="7">
        <f>SUM(Tabla1[[#This Row],[RES-A]:[EXTR-B]])</f>
        <v>150</v>
      </c>
      <c r="AA431" s="7">
        <f>Tabla1[[#This Row],[Columna1]]-Tabla1[[#This Row],[IMPORTE TOTAL]]</f>
        <v>0</v>
      </c>
    </row>
    <row r="432" spans="1:27" x14ac:dyDescent="0.2">
      <c r="A432">
        <v>2022</v>
      </c>
      <c r="B432" t="s">
        <v>65</v>
      </c>
      <c r="C432" s="51">
        <v>44917</v>
      </c>
      <c r="D432" s="3" t="s">
        <v>40</v>
      </c>
      <c r="E432" s="3" t="s">
        <v>46</v>
      </c>
      <c r="F432" s="3" t="s">
        <v>46</v>
      </c>
      <c r="G432" s="4">
        <v>0.64583333333333337</v>
      </c>
      <c r="H432" s="4">
        <v>0.85416666666666663</v>
      </c>
      <c r="I432" t="s">
        <v>31</v>
      </c>
      <c r="J432">
        <v>1</v>
      </c>
      <c r="L432" s="46"/>
      <c r="P432">
        <v>95</v>
      </c>
      <c r="Q432">
        <v>0</v>
      </c>
      <c r="R432">
        <v>0</v>
      </c>
      <c r="S432" s="7">
        <f>Tabla1[[#This Row],[TARIFA]]+Tabla1[[#This Row],[IMPORTE EXTRAS]]</f>
        <v>95</v>
      </c>
      <c r="T432" t="s">
        <v>45</v>
      </c>
      <c r="U432">
        <v>95</v>
      </c>
      <c r="V432">
        <v>0</v>
      </c>
      <c r="W432">
        <v>0</v>
      </c>
      <c r="X432" s="49">
        <v>0</v>
      </c>
      <c r="Y432" s="49"/>
      <c r="Z432" s="7">
        <f>SUM(Tabla1[[#This Row],[RES-A]:[EXTR-B]])</f>
        <v>95</v>
      </c>
      <c r="AA432" s="7">
        <f>Tabla1[[#This Row],[Columna1]]-Tabla1[[#This Row],[IMPORTE TOTAL]]</f>
        <v>0</v>
      </c>
    </row>
    <row r="433" spans="1:27" x14ac:dyDescent="0.2">
      <c r="A433">
        <v>2022</v>
      </c>
      <c r="B433" t="s">
        <v>65</v>
      </c>
      <c r="C433" s="51">
        <v>44918</v>
      </c>
      <c r="D433" s="3" t="s">
        <v>41</v>
      </c>
      <c r="E433" s="3" t="s">
        <v>46</v>
      </c>
      <c r="F433" s="3" t="s">
        <v>46</v>
      </c>
      <c r="G433" s="4">
        <v>0.64583333333333337</v>
      </c>
      <c r="H433" s="4">
        <v>0.85416666666666663</v>
      </c>
      <c r="I433" t="s">
        <v>31</v>
      </c>
      <c r="J433">
        <v>1</v>
      </c>
      <c r="L433" s="46"/>
      <c r="P433">
        <v>140</v>
      </c>
      <c r="Q433">
        <v>0</v>
      </c>
      <c r="R433">
        <v>0</v>
      </c>
      <c r="S433" s="7">
        <f>Tabla1[[#This Row],[TARIFA]]+Tabla1[[#This Row],[IMPORTE EXTRAS]]</f>
        <v>140</v>
      </c>
      <c r="T433" t="s">
        <v>45</v>
      </c>
      <c r="U433">
        <v>140</v>
      </c>
      <c r="V433">
        <v>0</v>
      </c>
      <c r="W433">
        <v>0</v>
      </c>
      <c r="X433" s="49">
        <v>0</v>
      </c>
      <c r="Y433" s="49" t="s">
        <v>397</v>
      </c>
      <c r="Z433" s="7">
        <f>SUM(Tabla1[[#This Row],[RES-A]:[EXTR-B]])</f>
        <v>140</v>
      </c>
      <c r="AA433" s="7">
        <f>Tabla1[[#This Row],[Columna1]]-Tabla1[[#This Row],[IMPORTE TOTAL]]</f>
        <v>0</v>
      </c>
    </row>
    <row r="434" spans="1:27" x14ac:dyDescent="0.2">
      <c r="A434">
        <v>2022</v>
      </c>
      <c r="B434" t="s">
        <v>65</v>
      </c>
      <c r="C434" s="51">
        <v>44918</v>
      </c>
      <c r="D434" s="3" t="s">
        <v>41</v>
      </c>
      <c r="E434" s="3" t="s">
        <v>46</v>
      </c>
      <c r="F434" s="3" t="s">
        <v>46</v>
      </c>
      <c r="G434" s="4">
        <v>0.89583333333333337</v>
      </c>
      <c r="H434" s="4">
        <v>0.10416666666666667</v>
      </c>
      <c r="I434" t="s">
        <v>35</v>
      </c>
      <c r="J434">
        <v>1</v>
      </c>
      <c r="L434" s="46"/>
      <c r="P434">
        <v>200</v>
      </c>
      <c r="Q434">
        <v>1</v>
      </c>
      <c r="R434">
        <v>60</v>
      </c>
      <c r="S434" s="7">
        <f>Tabla1[[#This Row],[TARIFA]]+Tabla1[[#This Row],[IMPORTE EXTRAS]]</f>
        <v>260</v>
      </c>
      <c r="T434" t="s">
        <v>45</v>
      </c>
      <c r="U434">
        <v>50</v>
      </c>
      <c r="V434">
        <v>150</v>
      </c>
      <c r="W434">
        <v>0</v>
      </c>
      <c r="X434" s="49">
        <v>60</v>
      </c>
      <c r="Y434" s="49"/>
      <c r="Z434" s="7">
        <f>SUM(Tabla1[[#This Row],[RES-A]:[EXTR-B]])</f>
        <v>260</v>
      </c>
      <c r="AA434" s="7">
        <f>Tabla1[[#This Row],[Columna1]]-Tabla1[[#This Row],[IMPORTE TOTAL]]</f>
        <v>0</v>
      </c>
    </row>
    <row r="435" spans="1:27" x14ac:dyDescent="0.2">
      <c r="A435">
        <v>2022</v>
      </c>
      <c r="B435" t="s">
        <v>65</v>
      </c>
      <c r="C435" s="51">
        <v>44919</v>
      </c>
      <c r="D435" s="3" t="s">
        <v>42</v>
      </c>
      <c r="E435" s="3" t="s">
        <v>45</v>
      </c>
      <c r="F435" s="3" t="s">
        <v>45</v>
      </c>
      <c r="G435" s="4">
        <v>0.85416666666666663</v>
      </c>
      <c r="H435" s="4">
        <v>0.10416666666666667</v>
      </c>
      <c r="I435" t="s">
        <v>35</v>
      </c>
      <c r="J435">
        <v>1</v>
      </c>
      <c r="L435" s="46"/>
      <c r="P435">
        <v>350</v>
      </c>
      <c r="Q435">
        <v>0</v>
      </c>
      <c r="R435">
        <v>0</v>
      </c>
      <c r="S435" s="7">
        <f>Tabla1[[#This Row],[TARIFA]]+Tabla1[[#This Row],[IMPORTE EXTRAS]]</f>
        <v>350</v>
      </c>
      <c r="T435" t="s">
        <v>45</v>
      </c>
      <c r="U435">
        <v>0</v>
      </c>
      <c r="V435">
        <v>350</v>
      </c>
      <c r="W435">
        <v>0</v>
      </c>
      <c r="X435" s="49">
        <v>0</v>
      </c>
      <c r="Y435" s="49" t="s">
        <v>434</v>
      </c>
      <c r="Z435" s="7">
        <f>SUM(Tabla1[[#This Row],[RES-A]:[EXTR-B]])</f>
        <v>350</v>
      </c>
      <c r="AA435" s="7">
        <f>Tabla1[[#This Row],[Columna1]]-Tabla1[[#This Row],[IMPORTE TOTAL]]</f>
        <v>0</v>
      </c>
    </row>
    <row r="436" spans="1:27" x14ac:dyDescent="0.2">
      <c r="A436">
        <v>2022</v>
      </c>
      <c r="B436" t="s">
        <v>65</v>
      </c>
      <c r="C436" s="51">
        <v>44920</v>
      </c>
      <c r="D436" s="3" t="s">
        <v>43</v>
      </c>
      <c r="E436" s="3" t="s">
        <v>45</v>
      </c>
      <c r="F436" s="3" t="s">
        <v>45</v>
      </c>
      <c r="G436" s="4">
        <v>0.39583333333333331</v>
      </c>
      <c r="H436" s="4">
        <v>0.85416666666666663</v>
      </c>
      <c r="I436" t="s">
        <v>32</v>
      </c>
      <c r="J436">
        <v>2</v>
      </c>
      <c r="L436" s="46"/>
      <c r="P436">
        <v>320</v>
      </c>
      <c r="Q436">
        <v>0</v>
      </c>
      <c r="R436">
        <v>0</v>
      </c>
      <c r="S436" s="7">
        <f>Tabla1[[#This Row],[TARIFA]]+Tabla1[[#This Row],[IMPORTE EXTRAS]]</f>
        <v>320</v>
      </c>
      <c r="T436" t="s">
        <v>45</v>
      </c>
      <c r="U436">
        <v>50</v>
      </c>
      <c r="V436">
        <v>270</v>
      </c>
      <c r="W436">
        <v>0</v>
      </c>
      <c r="X436" s="49">
        <v>0</v>
      </c>
      <c r="Y436" s="49" t="s">
        <v>462</v>
      </c>
      <c r="Z436" s="7">
        <f>SUM(Tabla1[[#This Row],[RES-A]:[EXTR-B]])</f>
        <v>320</v>
      </c>
      <c r="AA436" s="7">
        <f>Tabla1[[#This Row],[Columna1]]-Tabla1[[#This Row],[IMPORTE TOTAL]]</f>
        <v>0</v>
      </c>
    </row>
    <row r="437" spans="1:27" x14ac:dyDescent="0.2">
      <c r="A437">
        <v>2022</v>
      </c>
      <c r="B437" t="s">
        <v>65</v>
      </c>
      <c r="C437" s="51">
        <v>44921</v>
      </c>
      <c r="D437" s="3" t="s">
        <v>43</v>
      </c>
      <c r="E437" s="3" t="s">
        <v>45</v>
      </c>
      <c r="F437" s="3" t="s">
        <v>45</v>
      </c>
      <c r="G437" s="4">
        <v>0.45833333333333331</v>
      </c>
      <c r="H437" s="4">
        <v>0.85416666666666663</v>
      </c>
      <c r="I437" t="s">
        <v>32</v>
      </c>
      <c r="J437">
        <v>2</v>
      </c>
      <c r="L437" s="46"/>
      <c r="P437">
        <v>300</v>
      </c>
      <c r="Q437">
        <v>0</v>
      </c>
      <c r="R437">
        <v>0</v>
      </c>
      <c r="S437" s="7">
        <f>Tabla1[[#This Row],[TARIFA]]+Tabla1[[#This Row],[IMPORTE EXTRAS]]</f>
        <v>300</v>
      </c>
      <c r="T437" t="s">
        <v>45</v>
      </c>
      <c r="U437">
        <v>0</v>
      </c>
      <c r="V437">
        <v>300</v>
      </c>
      <c r="W437">
        <v>0</v>
      </c>
      <c r="X437" s="49">
        <v>0</v>
      </c>
      <c r="Y437" s="49" t="s">
        <v>435</v>
      </c>
      <c r="Z437" s="7">
        <f>SUM(Tabla1[[#This Row],[RES-A]:[EXTR-B]])</f>
        <v>300</v>
      </c>
      <c r="AA437" s="7">
        <f>Tabla1[[#This Row],[Columna1]]-Tabla1[[#This Row],[IMPORTE TOTAL]]</f>
        <v>0</v>
      </c>
    </row>
    <row r="438" spans="1:27" x14ac:dyDescent="0.2">
      <c r="A438">
        <v>2022</v>
      </c>
      <c r="B438" t="s">
        <v>65</v>
      </c>
      <c r="C438" s="51">
        <v>44921</v>
      </c>
      <c r="D438" s="3" t="s">
        <v>43</v>
      </c>
      <c r="E438" s="3" t="s">
        <v>45</v>
      </c>
      <c r="F438" s="3" t="s">
        <v>46</v>
      </c>
      <c r="G438" s="4">
        <v>0.89583333333333337</v>
      </c>
      <c r="H438" s="4">
        <v>0.10416666666666667</v>
      </c>
      <c r="I438" t="s">
        <v>35</v>
      </c>
      <c r="J438">
        <v>1</v>
      </c>
      <c r="L438" s="46"/>
      <c r="P438">
        <v>200</v>
      </c>
      <c r="Q438">
        <v>1</v>
      </c>
      <c r="R438">
        <v>60</v>
      </c>
      <c r="S438" s="7">
        <f>Tabla1[[#This Row],[TARIFA]]+Tabla1[[#This Row],[IMPORTE EXTRAS]]</f>
        <v>260</v>
      </c>
      <c r="T438" t="s">
        <v>45</v>
      </c>
      <c r="U438">
        <v>50</v>
      </c>
      <c r="V438">
        <v>150</v>
      </c>
      <c r="W438">
        <v>0</v>
      </c>
      <c r="X438" s="49">
        <v>60</v>
      </c>
      <c r="Y438" s="49"/>
      <c r="Z438" s="7">
        <f>SUM(Tabla1[[#This Row],[RES-A]:[EXTR-B]])</f>
        <v>260</v>
      </c>
      <c r="AA438" s="7">
        <f>Tabla1[[#This Row],[Columna1]]-Tabla1[[#This Row],[IMPORTE TOTAL]]</f>
        <v>0</v>
      </c>
    </row>
    <row r="439" spans="1:27" x14ac:dyDescent="0.2">
      <c r="A439">
        <v>2022</v>
      </c>
      <c r="B439" t="s">
        <v>65</v>
      </c>
      <c r="C439" s="51">
        <v>44923</v>
      </c>
      <c r="D439" s="3" t="s">
        <v>39</v>
      </c>
      <c r="E439" s="3" t="s">
        <v>46</v>
      </c>
      <c r="F439" s="3" t="s">
        <v>46</v>
      </c>
      <c r="G439" s="4">
        <v>0.39583333333333331</v>
      </c>
      <c r="H439" s="4">
        <v>0.60416666666666663</v>
      </c>
      <c r="I439" t="s">
        <v>30</v>
      </c>
      <c r="J439">
        <v>1</v>
      </c>
      <c r="L439" s="46"/>
      <c r="P439">
        <v>80</v>
      </c>
      <c r="Q439">
        <v>0</v>
      </c>
      <c r="R439">
        <v>0</v>
      </c>
      <c r="S439" s="7">
        <f>Tabla1[[#This Row],[TARIFA]]+Tabla1[[#This Row],[IMPORTE EXTRAS]]</f>
        <v>80</v>
      </c>
      <c r="T439" t="s">
        <v>45</v>
      </c>
      <c r="U439">
        <v>50</v>
      </c>
      <c r="V439">
        <v>30</v>
      </c>
      <c r="W439">
        <v>0</v>
      </c>
      <c r="X439" s="49">
        <v>0</v>
      </c>
      <c r="Y439" s="49"/>
      <c r="Z439" s="7">
        <f>SUM(Tabla1[[#This Row],[RES-A]:[EXTR-B]])</f>
        <v>80</v>
      </c>
      <c r="AA439" s="7">
        <f>Tabla1[[#This Row],[Columna1]]-Tabla1[[#This Row],[IMPORTE TOTAL]]</f>
        <v>0</v>
      </c>
    </row>
    <row r="440" spans="1:27" x14ac:dyDescent="0.2">
      <c r="A440">
        <v>2022</v>
      </c>
      <c r="B440" t="s">
        <v>65</v>
      </c>
      <c r="C440" s="51">
        <v>44924</v>
      </c>
      <c r="D440" s="3" t="s">
        <v>40</v>
      </c>
      <c r="E440" s="3" t="s">
        <v>46</v>
      </c>
      <c r="F440" s="3" t="s">
        <v>46</v>
      </c>
      <c r="G440" s="4">
        <v>0.64583333333333337</v>
      </c>
      <c r="H440" s="4">
        <v>0.85416666666666663</v>
      </c>
      <c r="I440" t="s">
        <v>31</v>
      </c>
      <c r="J440">
        <v>1</v>
      </c>
      <c r="L440" s="46"/>
      <c r="P440">
        <v>95</v>
      </c>
      <c r="Q440">
        <v>0</v>
      </c>
      <c r="R440">
        <v>0</v>
      </c>
      <c r="S440" s="7">
        <f>Tabla1[[#This Row],[TARIFA]]+Tabla1[[#This Row],[IMPORTE EXTRAS]]</f>
        <v>95</v>
      </c>
      <c r="T440" t="s">
        <v>45</v>
      </c>
      <c r="U440">
        <v>50</v>
      </c>
      <c r="V440">
        <v>45</v>
      </c>
      <c r="W440">
        <v>0</v>
      </c>
      <c r="X440" s="49">
        <v>0</v>
      </c>
      <c r="Y440" s="49"/>
      <c r="Z440" s="7">
        <f>SUM(Tabla1[[#This Row],[RES-A]:[EXTR-B]])</f>
        <v>95</v>
      </c>
      <c r="AA440" s="7">
        <f>Tabla1[[#This Row],[Columna1]]-Tabla1[[#This Row],[IMPORTE TOTAL]]</f>
        <v>0</v>
      </c>
    </row>
    <row r="441" spans="1:27" x14ac:dyDescent="0.2">
      <c r="A441">
        <v>2022</v>
      </c>
      <c r="B441" t="s">
        <v>65</v>
      </c>
      <c r="C441" s="51">
        <v>44925</v>
      </c>
      <c r="D441" s="3" t="s">
        <v>41</v>
      </c>
      <c r="E441" s="3" t="s">
        <v>46</v>
      </c>
      <c r="F441" s="3" t="s">
        <v>46</v>
      </c>
      <c r="G441" s="4">
        <v>0.89583333333333337</v>
      </c>
      <c r="H441" s="4">
        <v>0.10416666666666667</v>
      </c>
      <c r="I441" t="s">
        <v>35</v>
      </c>
      <c r="J441">
        <v>1</v>
      </c>
      <c r="L441" s="46"/>
      <c r="P441">
        <v>200</v>
      </c>
      <c r="Q441">
        <v>0</v>
      </c>
      <c r="R441">
        <v>0</v>
      </c>
      <c r="S441" s="7">
        <f>Tabla1[[#This Row],[TARIFA]]+Tabla1[[#This Row],[IMPORTE EXTRAS]]</f>
        <v>200</v>
      </c>
      <c r="T441" t="s">
        <v>45</v>
      </c>
      <c r="U441">
        <v>50</v>
      </c>
      <c r="V441">
        <v>150</v>
      </c>
      <c r="W441">
        <v>0</v>
      </c>
      <c r="X441" s="49">
        <v>0</v>
      </c>
      <c r="Y441" s="49" t="s">
        <v>463</v>
      </c>
      <c r="Z441" s="7">
        <f>SUM(Tabla1[[#This Row],[RES-A]:[EXTR-B]])</f>
        <v>200</v>
      </c>
      <c r="AA441" s="7">
        <f>Tabla1[[#This Row],[Columna1]]-Tabla1[[#This Row],[IMPORTE TOTAL]]</f>
        <v>0</v>
      </c>
    </row>
    <row r="442" spans="1:27" x14ac:dyDescent="0.2">
      <c r="A442">
        <v>2022</v>
      </c>
      <c r="B442" t="s">
        <v>65</v>
      </c>
      <c r="C442" s="51">
        <v>44926</v>
      </c>
      <c r="D442" s="3" t="s">
        <v>42</v>
      </c>
      <c r="E442" s="3" t="s">
        <v>46</v>
      </c>
      <c r="F442" s="3" t="s">
        <v>45</v>
      </c>
      <c r="G442" s="4">
        <v>0.64583333333333337</v>
      </c>
      <c r="H442" s="4">
        <v>0.22916666666666666</v>
      </c>
      <c r="I442" t="s">
        <v>53</v>
      </c>
      <c r="J442">
        <v>2</v>
      </c>
      <c r="L442" s="46"/>
      <c r="P442">
        <v>600</v>
      </c>
      <c r="Q442">
        <v>0</v>
      </c>
      <c r="R442">
        <v>0</v>
      </c>
      <c r="S442" s="7">
        <f>Tabla1[[#This Row],[TARIFA]]+Tabla1[[#This Row],[IMPORTE EXTRAS]]</f>
        <v>600</v>
      </c>
      <c r="T442" t="s">
        <v>45</v>
      </c>
      <c r="U442">
        <v>50</v>
      </c>
      <c r="V442">
        <v>550</v>
      </c>
      <c r="W442">
        <v>0</v>
      </c>
      <c r="X442" s="49">
        <v>0</v>
      </c>
      <c r="Y442" s="49" t="s">
        <v>436</v>
      </c>
      <c r="Z442" s="7">
        <f>SUM(Tabla1[[#This Row],[RES-A]:[EXTR-B]])</f>
        <v>600</v>
      </c>
      <c r="AA442" s="7">
        <f>Tabla1[[#This Row],[Columna1]]-Tabla1[[#This Row],[IMPORTE TOTAL]]</f>
        <v>0</v>
      </c>
    </row>
    <row r="443" spans="1:27" x14ac:dyDescent="0.2">
      <c r="A443">
        <v>2023</v>
      </c>
      <c r="B443" t="s">
        <v>48</v>
      </c>
      <c r="C443" s="3">
        <v>44928</v>
      </c>
      <c r="D443" s="3" t="s">
        <v>37</v>
      </c>
      <c r="E443" s="3" t="s">
        <v>46</v>
      </c>
      <c r="F443" s="3" t="s">
        <v>46</v>
      </c>
      <c r="G443" s="4">
        <v>0.64583333333333337</v>
      </c>
      <c r="H443" s="4">
        <v>0.85416666666666663</v>
      </c>
      <c r="I443" t="s">
        <v>31</v>
      </c>
      <c r="J443">
        <v>1</v>
      </c>
      <c r="L443" s="46"/>
      <c r="P443">
        <v>95</v>
      </c>
      <c r="Q443">
        <v>0</v>
      </c>
      <c r="R443">
        <v>0</v>
      </c>
      <c r="S443" s="7">
        <f>Tabla1[[#This Row],[TARIFA]]+Tabla1[[#This Row],[IMPORTE EXTRAS]]</f>
        <v>95</v>
      </c>
      <c r="T443" t="s">
        <v>45</v>
      </c>
      <c r="U443">
        <v>50</v>
      </c>
      <c r="V443">
        <v>45</v>
      </c>
      <c r="W443">
        <v>0</v>
      </c>
      <c r="X443">
        <v>0</v>
      </c>
      <c r="Z443" s="7">
        <f>SUM(Tabla1[[#This Row],[RES-A]:[EXTR-B]])</f>
        <v>95</v>
      </c>
      <c r="AA443" s="7">
        <f>Tabla1[[#This Row],[Columna1]]-Tabla1[[#This Row],[IMPORTE TOTAL]]</f>
        <v>0</v>
      </c>
    </row>
    <row r="444" spans="1:27" x14ac:dyDescent="0.2">
      <c r="A444">
        <v>2023</v>
      </c>
      <c r="B444" t="s">
        <v>48</v>
      </c>
      <c r="C444" s="3">
        <v>44929</v>
      </c>
      <c r="D444" s="3" t="s">
        <v>38</v>
      </c>
      <c r="E444" s="3" t="s">
        <v>46</v>
      </c>
      <c r="F444" s="3" t="s">
        <v>46</v>
      </c>
      <c r="G444" s="4">
        <v>0.89583333333333337</v>
      </c>
      <c r="H444" s="4">
        <v>0.10416666666666667</v>
      </c>
      <c r="I444" t="s">
        <v>35</v>
      </c>
      <c r="J444">
        <v>1</v>
      </c>
      <c r="L444" s="46"/>
      <c r="P444">
        <v>200</v>
      </c>
      <c r="Q444">
        <v>1</v>
      </c>
      <c r="R444">
        <v>60</v>
      </c>
      <c r="S444" s="7">
        <f>Tabla1[[#This Row],[TARIFA]]+Tabla1[[#This Row],[IMPORTE EXTRAS]]</f>
        <v>260</v>
      </c>
      <c r="T444" t="s">
        <v>45</v>
      </c>
      <c r="U444">
        <v>50</v>
      </c>
      <c r="V444">
        <v>150</v>
      </c>
      <c r="W444">
        <v>0</v>
      </c>
      <c r="X444">
        <v>60</v>
      </c>
      <c r="Z444" s="7">
        <f>SUM(Tabla1[[#This Row],[RES-A]:[EXTR-B]])</f>
        <v>260</v>
      </c>
      <c r="AA444" s="7">
        <f>Tabla1[[#This Row],[Columna1]]-Tabla1[[#This Row],[IMPORTE TOTAL]]</f>
        <v>0</v>
      </c>
    </row>
    <row r="445" spans="1:27" x14ac:dyDescent="0.2">
      <c r="A445">
        <v>2023</v>
      </c>
      <c r="B445" t="s">
        <v>48</v>
      </c>
      <c r="C445" s="3">
        <v>44930</v>
      </c>
      <c r="D445" s="3" t="s">
        <v>39</v>
      </c>
      <c r="E445" s="3" t="s">
        <v>46</v>
      </c>
      <c r="F445" s="3" t="s">
        <v>46</v>
      </c>
      <c r="G445" s="4">
        <v>0.64583333333333337</v>
      </c>
      <c r="H445" s="4">
        <v>0.85416666666666663</v>
      </c>
      <c r="I445" t="s">
        <v>31</v>
      </c>
      <c r="J445">
        <v>1</v>
      </c>
      <c r="L445" s="46"/>
      <c r="P445">
        <v>95</v>
      </c>
      <c r="Q445">
        <v>0</v>
      </c>
      <c r="R445">
        <v>0</v>
      </c>
      <c r="S445" s="7">
        <f>Tabla1[[#This Row],[TARIFA]]+Tabla1[[#This Row],[IMPORTE EXTRAS]]</f>
        <v>95</v>
      </c>
      <c r="T445" t="s">
        <v>45</v>
      </c>
      <c r="U445">
        <v>50</v>
      </c>
      <c r="V445">
        <v>45</v>
      </c>
      <c r="W445">
        <v>0</v>
      </c>
      <c r="X445">
        <v>0</v>
      </c>
      <c r="Z445" s="7">
        <f>SUM(Tabla1[[#This Row],[RES-A]:[EXTR-B]])</f>
        <v>95</v>
      </c>
      <c r="AA445" s="7">
        <f>Tabla1[[#This Row],[Columna1]]-Tabla1[[#This Row],[IMPORTE TOTAL]]</f>
        <v>0</v>
      </c>
    </row>
    <row r="446" spans="1:27" x14ac:dyDescent="0.2">
      <c r="A446">
        <v>2023</v>
      </c>
      <c r="B446" t="s">
        <v>48</v>
      </c>
      <c r="C446" s="3">
        <v>44931</v>
      </c>
      <c r="D446" s="3" t="s">
        <v>40</v>
      </c>
      <c r="E446" s="3" t="s">
        <v>46</v>
      </c>
      <c r="F446" s="3" t="s">
        <v>46</v>
      </c>
      <c r="G446" s="4">
        <v>0.89583333333333337</v>
      </c>
      <c r="H446" s="4">
        <v>0.10416666666666667</v>
      </c>
      <c r="I446" t="s">
        <v>35</v>
      </c>
      <c r="J446">
        <v>1</v>
      </c>
      <c r="L446" s="46"/>
      <c r="P446">
        <v>180</v>
      </c>
      <c r="Q446">
        <v>0</v>
      </c>
      <c r="R446">
        <v>0</v>
      </c>
      <c r="S446" s="7">
        <f>Tabla1[[#This Row],[TARIFA]]+Tabla1[[#This Row],[IMPORTE EXTRAS]]</f>
        <v>180</v>
      </c>
      <c r="T446" t="s">
        <v>45</v>
      </c>
      <c r="U446">
        <v>50</v>
      </c>
      <c r="V446">
        <v>130</v>
      </c>
      <c r="W446">
        <v>0</v>
      </c>
      <c r="X446">
        <v>0</v>
      </c>
      <c r="Z446" s="7">
        <f>SUM(Tabla1[[#This Row],[RES-A]:[EXTR-B]])</f>
        <v>180</v>
      </c>
      <c r="AA446" s="7">
        <f>Tabla1[[#This Row],[Columna1]]-Tabla1[[#This Row],[IMPORTE TOTAL]]</f>
        <v>0</v>
      </c>
    </row>
    <row r="447" spans="1:27" x14ac:dyDescent="0.2">
      <c r="A447">
        <v>2023</v>
      </c>
      <c r="B447" t="s">
        <v>48</v>
      </c>
      <c r="C447" s="3">
        <v>44932</v>
      </c>
      <c r="D447" s="3" t="s">
        <v>41</v>
      </c>
      <c r="E447" s="3" t="s">
        <v>45</v>
      </c>
      <c r="F447" s="3" t="s">
        <v>46</v>
      </c>
      <c r="G447" s="4">
        <v>0.625</v>
      </c>
      <c r="H447" s="4">
        <v>0.83333333333333337</v>
      </c>
      <c r="I447" t="s">
        <v>33</v>
      </c>
      <c r="J447">
        <v>1</v>
      </c>
      <c r="L447" s="46"/>
      <c r="P447">
        <v>150</v>
      </c>
      <c r="Q447">
        <v>0</v>
      </c>
      <c r="R447">
        <v>0</v>
      </c>
      <c r="S447" s="7">
        <f>Tabla1[[#This Row],[TARIFA]]+Tabla1[[#This Row],[IMPORTE EXTRAS]]</f>
        <v>150</v>
      </c>
      <c r="T447" t="s">
        <v>45</v>
      </c>
      <c r="U447">
        <v>0</v>
      </c>
      <c r="V447">
        <v>150</v>
      </c>
      <c r="W447">
        <v>0</v>
      </c>
      <c r="X447">
        <v>0</v>
      </c>
      <c r="Y447" t="s">
        <v>325</v>
      </c>
      <c r="Z447">
        <f>SUM(Tabla1[[#This Row],[RES-A]:[EXTR-B]])</f>
        <v>150</v>
      </c>
      <c r="AA447">
        <f>Tabla1[[#This Row],[Columna1]]-Tabla1[[#This Row],[IMPORTE TOTAL]]</f>
        <v>0</v>
      </c>
    </row>
    <row r="448" spans="1:27" x14ac:dyDescent="0.2">
      <c r="A448">
        <v>2023</v>
      </c>
      <c r="B448" t="s">
        <v>48</v>
      </c>
      <c r="C448" s="3">
        <v>44933</v>
      </c>
      <c r="D448" s="3" t="s">
        <v>42</v>
      </c>
      <c r="E448" s="3" t="s">
        <v>46</v>
      </c>
      <c r="F448" s="3" t="s">
        <v>46</v>
      </c>
      <c r="G448" s="4">
        <v>0.64583333333333337</v>
      </c>
      <c r="H448" s="4">
        <v>0.85416666666666663</v>
      </c>
      <c r="I448" t="s">
        <v>31</v>
      </c>
      <c r="J448">
        <v>1</v>
      </c>
      <c r="L448" s="46"/>
      <c r="P448">
        <v>150</v>
      </c>
      <c r="Q448">
        <v>0</v>
      </c>
      <c r="R448">
        <v>0</v>
      </c>
      <c r="S448" s="7">
        <f>Tabla1[[#This Row],[TARIFA]]+Tabla1[[#This Row],[IMPORTE EXTRAS]]</f>
        <v>150</v>
      </c>
      <c r="T448" t="s">
        <v>45</v>
      </c>
      <c r="U448">
        <v>50</v>
      </c>
      <c r="V448">
        <v>100</v>
      </c>
      <c r="W448">
        <v>0</v>
      </c>
      <c r="X448">
        <v>0</v>
      </c>
      <c r="Z448" s="7">
        <f>SUM(Tabla1[[#This Row],[RES-A]:[EXTR-B]])</f>
        <v>150</v>
      </c>
      <c r="AA448" s="7">
        <f>Tabla1[[#This Row],[Columna1]]-Tabla1[[#This Row],[IMPORTE TOTAL]]</f>
        <v>0</v>
      </c>
    </row>
    <row r="449" spans="1:27" x14ac:dyDescent="0.2">
      <c r="A449">
        <v>2023</v>
      </c>
      <c r="B449" t="s">
        <v>48</v>
      </c>
      <c r="C449" s="3">
        <v>44933</v>
      </c>
      <c r="D449" s="3" t="s">
        <v>42</v>
      </c>
      <c r="E449" s="3" t="s">
        <v>46</v>
      </c>
      <c r="F449" s="3" t="s">
        <v>46</v>
      </c>
      <c r="G449" s="4">
        <v>0.89583333333333337</v>
      </c>
      <c r="H449" s="4">
        <v>0.10416666666666667</v>
      </c>
      <c r="I449" t="s">
        <v>35</v>
      </c>
      <c r="J449">
        <v>1</v>
      </c>
      <c r="L449" s="46"/>
      <c r="P449">
        <v>0</v>
      </c>
      <c r="Q449">
        <v>0</v>
      </c>
      <c r="R449">
        <v>0</v>
      </c>
      <c r="S449" s="7">
        <f>Tabla1[[#This Row],[TARIFA]]+Tabla1[[#This Row],[IMPORTE EXTRAS]]</f>
        <v>0</v>
      </c>
      <c r="T449" t="s">
        <v>46</v>
      </c>
      <c r="U449">
        <v>0</v>
      </c>
      <c r="V449">
        <v>0</v>
      </c>
      <c r="W449">
        <v>0</v>
      </c>
      <c r="X449">
        <v>0</v>
      </c>
      <c r="Z449" s="7">
        <f>SUM(Tabla1[[#This Row],[RES-A]:[EXTR-B]])</f>
        <v>0</v>
      </c>
      <c r="AA449" s="7">
        <f>Tabla1[[#This Row],[Columna1]]-Tabla1[[#This Row],[IMPORTE TOTAL]]</f>
        <v>0</v>
      </c>
    </row>
    <row r="450" spans="1:27" x14ac:dyDescent="0.2">
      <c r="A450">
        <v>2023</v>
      </c>
      <c r="B450" t="s">
        <v>48</v>
      </c>
      <c r="C450" s="3">
        <v>44934</v>
      </c>
      <c r="D450" s="3" t="s">
        <v>43</v>
      </c>
      <c r="E450" s="3" t="s">
        <v>46</v>
      </c>
      <c r="F450" s="3" t="s">
        <v>46</v>
      </c>
      <c r="G450" s="4">
        <v>0.39583333333333331</v>
      </c>
      <c r="H450" s="4">
        <v>0.60416666666666663</v>
      </c>
      <c r="I450" t="s">
        <v>30</v>
      </c>
      <c r="J450">
        <v>1</v>
      </c>
      <c r="L450" s="46"/>
      <c r="P450">
        <v>150</v>
      </c>
      <c r="Q450">
        <v>0</v>
      </c>
      <c r="R450">
        <v>0</v>
      </c>
      <c r="S450" s="7">
        <f>Tabla1[[#This Row],[TARIFA]]+Tabla1[[#This Row],[IMPORTE EXTRAS]]</f>
        <v>150</v>
      </c>
      <c r="T450" t="s">
        <v>45</v>
      </c>
      <c r="U450">
        <v>50</v>
      </c>
      <c r="V450">
        <v>100</v>
      </c>
      <c r="W450">
        <v>0</v>
      </c>
      <c r="X450">
        <v>0</v>
      </c>
      <c r="Z450" s="7">
        <f>SUM(Tabla1[[#This Row],[RES-A]:[EXTR-B]])</f>
        <v>150</v>
      </c>
      <c r="AA450" s="7">
        <f>Tabla1[[#This Row],[Columna1]]-Tabla1[[#This Row],[IMPORTE TOTAL]]</f>
        <v>0</v>
      </c>
    </row>
    <row r="451" spans="1:27" x14ac:dyDescent="0.2">
      <c r="A451">
        <v>2023</v>
      </c>
      <c r="B451" t="s">
        <v>48</v>
      </c>
      <c r="C451" s="3">
        <v>44939</v>
      </c>
      <c r="D451" s="3" t="s">
        <v>41</v>
      </c>
      <c r="E451" s="3" t="s">
        <v>46</v>
      </c>
      <c r="F451" s="3" t="s">
        <v>46</v>
      </c>
      <c r="G451" s="4">
        <v>0.64583333333333337</v>
      </c>
      <c r="H451" s="4">
        <v>0.10416666666666667</v>
      </c>
      <c r="I451" t="s">
        <v>53</v>
      </c>
      <c r="J451">
        <v>1</v>
      </c>
      <c r="L451" s="46"/>
      <c r="P451">
        <v>300</v>
      </c>
      <c r="Q451">
        <v>0</v>
      </c>
      <c r="R451">
        <v>0</v>
      </c>
      <c r="S451" s="7">
        <f>Tabla1[[#This Row],[TARIFA]]+Tabla1[[#This Row],[IMPORTE EXTRAS]]</f>
        <v>300</v>
      </c>
      <c r="T451" t="s">
        <v>45</v>
      </c>
      <c r="U451">
        <v>50</v>
      </c>
      <c r="V451">
        <v>250</v>
      </c>
      <c r="W451">
        <v>0</v>
      </c>
      <c r="X451">
        <v>0</v>
      </c>
      <c r="Z451" s="7">
        <f>SUM(Tabla1[[#This Row],[RES-A]:[EXTR-B]])</f>
        <v>300</v>
      </c>
      <c r="AA451" s="7">
        <f>Tabla1[[#This Row],[Columna1]]-Tabla1[[#This Row],[IMPORTE TOTAL]]</f>
        <v>0</v>
      </c>
    </row>
    <row r="452" spans="1:27" x14ac:dyDescent="0.2">
      <c r="A452">
        <v>2023</v>
      </c>
      <c r="B452" t="s">
        <v>48</v>
      </c>
      <c r="C452" s="3">
        <v>44940</v>
      </c>
      <c r="D452" s="3" t="s">
        <v>42</v>
      </c>
      <c r="E452" s="3" t="s">
        <v>46</v>
      </c>
      <c r="F452" s="3" t="s">
        <v>46</v>
      </c>
      <c r="G452" s="4">
        <v>0.64583333333333337</v>
      </c>
      <c r="H452" s="4">
        <v>0.85416666666666663</v>
      </c>
      <c r="I452" t="s">
        <v>31</v>
      </c>
      <c r="J452">
        <v>1</v>
      </c>
      <c r="L452" s="46"/>
      <c r="P452">
        <v>150</v>
      </c>
      <c r="Q452">
        <v>0</v>
      </c>
      <c r="R452">
        <v>0</v>
      </c>
      <c r="S452" s="7">
        <f>Tabla1[[#This Row],[TARIFA]]+Tabla1[[#This Row],[IMPORTE EXTRAS]]</f>
        <v>150</v>
      </c>
      <c r="T452" t="s">
        <v>45</v>
      </c>
      <c r="U452">
        <v>50</v>
      </c>
      <c r="V452">
        <v>100</v>
      </c>
      <c r="W452">
        <v>0</v>
      </c>
      <c r="X452">
        <v>0</v>
      </c>
      <c r="Z452" s="7">
        <f>SUM(Tabla1[[#This Row],[RES-A]:[EXTR-B]])</f>
        <v>150</v>
      </c>
      <c r="AA452" s="7">
        <f>Tabla1[[#This Row],[Columna1]]-Tabla1[[#This Row],[IMPORTE TOTAL]]</f>
        <v>0</v>
      </c>
    </row>
    <row r="453" spans="1:27" x14ac:dyDescent="0.2">
      <c r="A453">
        <v>2023</v>
      </c>
      <c r="B453" t="s">
        <v>48</v>
      </c>
      <c r="C453" s="3">
        <v>44940</v>
      </c>
      <c r="D453" s="3" t="s">
        <v>42</v>
      </c>
      <c r="E453" s="3" t="s">
        <v>46</v>
      </c>
      <c r="F453" s="3" t="s">
        <v>46</v>
      </c>
      <c r="G453" s="4">
        <v>0.89583333333333337</v>
      </c>
      <c r="H453" s="4">
        <v>0.10416666666666667</v>
      </c>
      <c r="I453" t="s">
        <v>35</v>
      </c>
      <c r="J453">
        <v>1</v>
      </c>
      <c r="L453" s="46"/>
      <c r="P453">
        <v>200</v>
      </c>
      <c r="Q453">
        <v>0</v>
      </c>
      <c r="R453">
        <v>0</v>
      </c>
      <c r="S453" s="7">
        <f>Tabla1[[#This Row],[TARIFA]]+Tabla1[[#This Row],[IMPORTE EXTRAS]]</f>
        <v>200</v>
      </c>
      <c r="T453" t="s">
        <v>45</v>
      </c>
      <c r="U453">
        <v>50</v>
      </c>
      <c r="V453">
        <v>150</v>
      </c>
      <c r="W453">
        <v>0</v>
      </c>
      <c r="X453">
        <v>0</v>
      </c>
      <c r="Z453" s="7">
        <f>SUM(Tabla1[[#This Row],[RES-A]:[EXTR-B]])</f>
        <v>200</v>
      </c>
      <c r="AA453" s="7">
        <f>Tabla1[[#This Row],[Columna1]]-Tabla1[[#This Row],[IMPORTE TOTAL]]</f>
        <v>0</v>
      </c>
    </row>
    <row r="454" spans="1:27" x14ac:dyDescent="0.2">
      <c r="A454">
        <v>2023</v>
      </c>
      <c r="B454" t="s">
        <v>48</v>
      </c>
      <c r="C454" s="3">
        <v>44941</v>
      </c>
      <c r="D454" s="3" t="s">
        <v>43</v>
      </c>
      <c r="E454" s="3" t="s">
        <v>46</v>
      </c>
      <c r="F454" s="3" t="s">
        <v>46</v>
      </c>
      <c r="G454" s="4">
        <v>0.39583333333333331</v>
      </c>
      <c r="H454" s="4">
        <v>0.60416666666666663</v>
      </c>
      <c r="I454" t="s">
        <v>30</v>
      </c>
      <c r="J454">
        <v>1</v>
      </c>
      <c r="L454" s="46"/>
      <c r="P454">
        <v>150</v>
      </c>
      <c r="Q454">
        <v>0</v>
      </c>
      <c r="R454">
        <v>0</v>
      </c>
      <c r="S454" s="7">
        <f>Tabla1[[#This Row],[TARIFA]]+Tabla1[[#This Row],[IMPORTE EXTRAS]]</f>
        <v>150</v>
      </c>
      <c r="T454" t="s">
        <v>45</v>
      </c>
      <c r="U454">
        <v>150</v>
      </c>
      <c r="V454">
        <v>0</v>
      </c>
      <c r="W454">
        <v>0</v>
      </c>
      <c r="X454">
        <v>0</v>
      </c>
      <c r="Z454" s="7">
        <f>SUM(Tabla1[[#This Row],[RES-A]:[EXTR-B]])</f>
        <v>150</v>
      </c>
      <c r="AA454" s="7">
        <f>Tabla1[[#This Row],[Columna1]]-Tabla1[[#This Row],[IMPORTE TOTAL]]</f>
        <v>0</v>
      </c>
    </row>
    <row r="455" spans="1:27" x14ac:dyDescent="0.2">
      <c r="A455">
        <v>2023</v>
      </c>
      <c r="B455" t="s">
        <v>48</v>
      </c>
      <c r="C455" s="3">
        <v>44941</v>
      </c>
      <c r="D455" s="3" t="s">
        <v>43</v>
      </c>
      <c r="E455" s="3" t="s">
        <v>46</v>
      </c>
      <c r="F455" s="3" t="s">
        <v>46</v>
      </c>
      <c r="G455" s="4">
        <v>0.64583333333333337</v>
      </c>
      <c r="H455" s="4">
        <v>0.85416666666666663</v>
      </c>
      <c r="I455" t="s">
        <v>31</v>
      </c>
      <c r="J455">
        <v>1</v>
      </c>
      <c r="L455" s="46"/>
      <c r="P455">
        <v>150</v>
      </c>
      <c r="Q455">
        <v>0</v>
      </c>
      <c r="R455">
        <v>0</v>
      </c>
      <c r="S455" s="7">
        <f>Tabla1[[#This Row],[TARIFA]]+Tabla1[[#This Row],[IMPORTE EXTRAS]]</f>
        <v>150</v>
      </c>
      <c r="T455" t="s">
        <v>45</v>
      </c>
      <c r="U455">
        <v>0</v>
      </c>
      <c r="V455">
        <v>150</v>
      </c>
      <c r="W455">
        <v>0</v>
      </c>
      <c r="X455">
        <v>0</v>
      </c>
      <c r="Y455" t="s">
        <v>473</v>
      </c>
      <c r="Z455" s="7">
        <f>SUM(Tabla1[[#This Row],[RES-A]:[EXTR-B]])</f>
        <v>150</v>
      </c>
      <c r="AA455" s="7">
        <f>Tabla1[[#This Row],[Columna1]]-Tabla1[[#This Row],[IMPORTE TOTAL]]</f>
        <v>0</v>
      </c>
    </row>
    <row r="456" spans="1:27" x14ac:dyDescent="0.2">
      <c r="A456">
        <v>2023</v>
      </c>
      <c r="B456" t="s">
        <v>48</v>
      </c>
      <c r="C456" s="3">
        <v>44943</v>
      </c>
      <c r="D456" s="3" t="s">
        <v>38</v>
      </c>
      <c r="E456" s="3" t="s">
        <v>46</v>
      </c>
      <c r="F456" s="3" t="s">
        <v>46</v>
      </c>
      <c r="G456" s="4">
        <v>0.64583333333333337</v>
      </c>
      <c r="H456" s="4">
        <v>0.85416666666666663</v>
      </c>
      <c r="I456" t="s">
        <v>31</v>
      </c>
      <c r="J456">
        <v>1</v>
      </c>
      <c r="L456" s="46"/>
      <c r="P456">
        <v>95</v>
      </c>
      <c r="Q456">
        <v>0</v>
      </c>
      <c r="R456">
        <v>0</v>
      </c>
      <c r="S456" s="7">
        <f>Tabla1[[#This Row],[TARIFA]]+Tabla1[[#This Row],[IMPORTE EXTRAS]]</f>
        <v>95</v>
      </c>
      <c r="T456" t="s">
        <v>45</v>
      </c>
      <c r="U456">
        <v>50</v>
      </c>
      <c r="V456">
        <v>45</v>
      </c>
      <c r="W456">
        <v>0</v>
      </c>
      <c r="X456">
        <v>0</v>
      </c>
      <c r="Z456" s="7">
        <f>SUM(Tabla1[[#This Row],[RES-A]:[EXTR-B]])</f>
        <v>95</v>
      </c>
      <c r="AA456" s="7">
        <f>Tabla1[[#This Row],[Columna1]]-Tabla1[[#This Row],[IMPORTE TOTAL]]</f>
        <v>0</v>
      </c>
    </row>
    <row r="457" spans="1:27" x14ac:dyDescent="0.2">
      <c r="A457">
        <v>2023</v>
      </c>
      <c r="B457" t="s">
        <v>48</v>
      </c>
      <c r="C457" s="3">
        <v>44945</v>
      </c>
      <c r="D457" s="3" t="s">
        <v>40</v>
      </c>
      <c r="E457" s="3" t="s">
        <v>46</v>
      </c>
      <c r="F457" s="3" t="s">
        <v>46</v>
      </c>
      <c r="G457" s="4">
        <v>0.64583333333333337</v>
      </c>
      <c r="H457" s="4">
        <v>0.85416666666666663</v>
      </c>
      <c r="I457" t="s">
        <v>31</v>
      </c>
      <c r="J457">
        <v>1</v>
      </c>
      <c r="L457" s="46"/>
      <c r="P457">
        <v>95</v>
      </c>
      <c r="Q457">
        <v>0</v>
      </c>
      <c r="R457">
        <v>0</v>
      </c>
      <c r="S457" s="7">
        <f>Tabla1[[#This Row],[TARIFA]]+Tabla1[[#This Row],[IMPORTE EXTRAS]]</f>
        <v>95</v>
      </c>
      <c r="T457" t="s">
        <v>45</v>
      </c>
      <c r="U457">
        <v>50</v>
      </c>
      <c r="V457">
        <v>45</v>
      </c>
      <c r="W457">
        <v>0</v>
      </c>
      <c r="X457">
        <v>0</v>
      </c>
      <c r="Y457" t="s">
        <v>475</v>
      </c>
      <c r="Z457" s="7">
        <f>SUM(Tabla1[[#This Row],[RES-A]:[EXTR-B]])</f>
        <v>95</v>
      </c>
      <c r="AA457" s="7">
        <f>Tabla1[[#This Row],[Columna1]]-Tabla1[[#This Row],[IMPORTE TOTAL]]</f>
        <v>0</v>
      </c>
    </row>
    <row r="458" spans="1:27" x14ac:dyDescent="0.2">
      <c r="A458">
        <v>2023</v>
      </c>
      <c r="B458" t="s">
        <v>48</v>
      </c>
      <c r="C458" s="3">
        <v>44946</v>
      </c>
      <c r="D458" s="3" t="s">
        <v>41</v>
      </c>
      <c r="E458" s="3" t="s">
        <v>46</v>
      </c>
      <c r="F458" s="3" t="s">
        <v>46</v>
      </c>
      <c r="G458" s="4">
        <v>0.89583333333333337</v>
      </c>
      <c r="H458" s="4">
        <v>0.10416666666666667</v>
      </c>
      <c r="I458" t="s">
        <v>35</v>
      </c>
      <c r="J458">
        <v>1</v>
      </c>
      <c r="L458" s="46"/>
      <c r="P458">
        <v>200</v>
      </c>
      <c r="Q458">
        <v>0</v>
      </c>
      <c r="R458">
        <v>0</v>
      </c>
      <c r="S458" s="7">
        <f>Tabla1[[#This Row],[TARIFA]]+Tabla1[[#This Row],[IMPORTE EXTRAS]]</f>
        <v>200</v>
      </c>
      <c r="T458" t="s">
        <v>45</v>
      </c>
      <c r="U458">
        <v>50</v>
      </c>
      <c r="V458">
        <v>150</v>
      </c>
      <c r="W458">
        <v>0</v>
      </c>
      <c r="X458">
        <v>0</v>
      </c>
      <c r="Y458" t="s">
        <v>476</v>
      </c>
      <c r="Z458" s="7">
        <f>SUM(Tabla1[[#This Row],[RES-A]:[EXTR-B]])</f>
        <v>200</v>
      </c>
      <c r="AA458" s="7">
        <f>Tabla1[[#This Row],[Columna1]]-Tabla1[[#This Row],[IMPORTE TOTAL]]</f>
        <v>0</v>
      </c>
    </row>
    <row r="459" spans="1:27" x14ac:dyDescent="0.2">
      <c r="A459">
        <v>2023</v>
      </c>
      <c r="B459" t="s">
        <v>48</v>
      </c>
      <c r="C459" s="3">
        <v>44947</v>
      </c>
      <c r="D459" s="3" t="s">
        <v>42</v>
      </c>
      <c r="E459" s="3" t="s">
        <v>46</v>
      </c>
      <c r="F459" s="3" t="s">
        <v>46</v>
      </c>
      <c r="G459" s="4">
        <v>0.64583333333333337</v>
      </c>
      <c r="H459" s="4">
        <v>0.85416666666666663</v>
      </c>
      <c r="I459" t="s">
        <v>31</v>
      </c>
      <c r="J459">
        <v>1</v>
      </c>
      <c r="L459" s="46"/>
      <c r="P459">
        <v>0</v>
      </c>
      <c r="Q459">
        <v>0</v>
      </c>
      <c r="R459">
        <v>0</v>
      </c>
      <c r="S459" s="7">
        <f>Tabla1[[#This Row],[TARIFA]]+Tabla1[[#This Row],[IMPORTE EXTRAS]]</f>
        <v>0</v>
      </c>
      <c r="T459" t="s">
        <v>46</v>
      </c>
      <c r="U459">
        <v>0</v>
      </c>
      <c r="V459">
        <v>0</v>
      </c>
      <c r="W459">
        <v>0</v>
      </c>
      <c r="X459">
        <v>0</v>
      </c>
      <c r="Y459" t="s">
        <v>477</v>
      </c>
      <c r="Z459" s="7">
        <f>SUM(Tabla1[[#This Row],[RES-A]:[EXTR-B]])</f>
        <v>0</v>
      </c>
      <c r="AA459" s="7">
        <f>Tabla1[[#This Row],[Columna1]]-Tabla1[[#This Row],[IMPORTE TOTAL]]</f>
        <v>0</v>
      </c>
    </row>
    <row r="460" spans="1:27" x14ac:dyDescent="0.2">
      <c r="A460">
        <v>2023</v>
      </c>
      <c r="B460" t="s">
        <v>48</v>
      </c>
      <c r="C460" s="3">
        <v>44947</v>
      </c>
      <c r="D460" s="3" t="s">
        <v>42</v>
      </c>
      <c r="E460" s="3" t="s">
        <v>46</v>
      </c>
      <c r="F460" s="3" t="s">
        <v>46</v>
      </c>
      <c r="G460" s="4">
        <v>0.89583333333333337</v>
      </c>
      <c r="H460" s="4">
        <v>0.10416666666666667</v>
      </c>
      <c r="I460" t="s">
        <v>35</v>
      </c>
      <c r="J460">
        <v>1</v>
      </c>
      <c r="L460" s="46"/>
      <c r="P460">
        <v>200</v>
      </c>
      <c r="Q460">
        <v>1</v>
      </c>
      <c r="R460">
        <v>60</v>
      </c>
      <c r="S460" s="7">
        <f>Tabla1[[#This Row],[TARIFA]]+Tabla1[[#This Row],[IMPORTE EXTRAS]]</f>
        <v>260</v>
      </c>
      <c r="T460" t="s">
        <v>45</v>
      </c>
      <c r="U460">
        <v>50</v>
      </c>
      <c r="V460">
        <v>150</v>
      </c>
      <c r="W460">
        <v>0</v>
      </c>
      <c r="X460">
        <v>60</v>
      </c>
      <c r="Z460" s="7">
        <f>SUM(Tabla1[[#This Row],[RES-A]:[EXTR-B]])</f>
        <v>260</v>
      </c>
      <c r="AA460" s="7">
        <f>Tabla1[[#This Row],[Columna1]]-Tabla1[[#This Row],[IMPORTE TOTAL]]</f>
        <v>0</v>
      </c>
    </row>
    <row r="461" spans="1:27" x14ac:dyDescent="0.2">
      <c r="A461">
        <v>2023</v>
      </c>
      <c r="B461" t="s">
        <v>48</v>
      </c>
      <c r="C461" s="3">
        <v>44948</v>
      </c>
      <c r="D461" s="3" t="s">
        <v>42</v>
      </c>
      <c r="E461" s="3" t="s">
        <v>46</v>
      </c>
      <c r="F461" s="3" t="s">
        <v>46</v>
      </c>
      <c r="G461" s="4">
        <v>0.39583333333333331</v>
      </c>
      <c r="H461" s="4">
        <v>0.85416666666666663</v>
      </c>
      <c r="I461" t="s">
        <v>32</v>
      </c>
      <c r="J461">
        <v>2</v>
      </c>
      <c r="L461" s="46"/>
      <c r="P461">
        <v>280</v>
      </c>
      <c r="Q461">
        <v>0</v>
      </c>
      <c r="R461">
        <v>0</v>
      </c>
      <c r="S461" s="7">
        <f>Tabla1[[#This Row],[TARIFA]]+Tabla1[[#This Row],[IMPORTE EXTRAS]]</f>
        <v>280</v>
      </c>
      <c r="T461" t="s">
        <v>45</v>
      </c>
      <c r="U461">
        <v>50</v>
      </c>
      <c r="V461">
        <v>230</v>
      </c>
      <c r="W461">
        <v>0</v>
      </c>
      <c r="X461">
        <v>0</v>
      </c>
      <c r="Z461" s="7">
        <f>SUM(Tabla1[[#This Row],[RES-A]:[EXTR-B]])</f>
        <v>280</v>
      </c>
      <c r="AA461" s="7">
        <f>Tabla1[[#This Row],[Columna1]]-Tabla1[[#This Row],[IMPORTE TOTAL]]</f>
        <v>0</v>
      </c>
    </row>
    <row r="462" spans="1:27" x14ac:dyDescent="0.2">
      <c r="A462">
        <v>2023</v>
      </c>
      <c r="B462" t="s">
        <v>48</v>
      </c>
      <c r="C462" s="3">
        <v>44952</v>
      </c>
      <c r="D462" s="3" t="s">
        <v>40</v>
      </c>
      <c r="E462" s="3" t="s">
        <v>46</v>
      </c>
      <c r="F462" s="3" t="s">
        <v>46</v>
      </c>
      <c r="G462" s="4">
        <v>0.89583333333333337</v>
      </c>
      <c r="H462" s="4">
        <v>0.10416666666666667</v>
      </c>
      <c r="I462" t="s">
        <v>35</v>
      </c>
      <c r="J462">
        <v>1</v>
      </c>
      <c r="L462" s="46"/>
      <c r="P462">
        <v>180</v>
      </c>
      <c r="Q462">
        <v>0</v>
      </c>
      <c r="R462">
        <v>0</v>
      </c>
      <c r="S462" s="7">
        <f>Tabla1[[#This Row],[TARIFA]]+Tabla1[[#This Row],[IMPORTE EXTRAS]]</f>
        <v>180</v>
      </c>
      <c r="T462" t="s">
        <v>45</v>
      </c>
      <c r="U462">
        <v>0</v>
      </c>
      <c r="V462">
        <v>180</v>
      </c>
      <c r="W462">
        <v>0</v>
      </c>
      <c r="X462">
        <v>0</v>
      </c>
      <c r="Z462" s="7">
        <f>SUM(Tabla1[[#This Row],[RES-A]:[EXTR-B]])</f>
        <v>180</v>
      </c>
      <c r="AA462" s="7">
        <f>Tabla1[[#This Row],[Columna1]]-Tabla1[[#This Row],[IMPORTE TOTAL]]</f>
        <v>0</v>
      </c>
    </row>
    <row r="463" spans="1:27" x14ac:dyDescent="0.2">
      <c r="A463">
        <v>2023</v>
      </c>
      <c r="B463" t="s">
        <v>48</v>
      </c>
      <c r="C463" s="3">
        <v>44953</v>
      </c>
      <c r="D463" s="3" t="s">
        <v>41</v>
      </c>
      <c r="E463" s="3" t="s">
        <v>46</v>
      </c>
      <c r="F463" s="3" t="s">
        <v>46</v>
      </c>
      <c r="G463" s="4">
        <v>0.64583333333333337</v>
      </c>
      <c r="H463" s="4">
        <v>0.85416666666666663</v>
      </c>
      <c r="I463" t="s">
        <v>31</v>
      </c>
      <c r="J463">
        <v>1</v>
      </c>
      <c r="L463" s="46"/>
      <c r="P463">
        <v>140</v>
      </c>
      <c r="Q463">
        <v>0</v>
      </c>
      <c r="R463">
        <v>0</v>
      </c>
      <c r="S463" s="7">
        <f>Tabla1[[#This Row],[TARIFA]]+Tabla1[[#This Row],[IMPORTE EXTRAS]]</f>
        <v>140</v>
      </c>
      <c r="T463" t="s">
        <v>45</v>
      </c>
      <c r="U463">
        <v>50</v>
      </c>
      <c r="V463">
        <v>90</v>
      </c>
      <c r="W463">
        <v>0</v>
      </c>
      <c r="X463">
        <v>0</v>
      </c>
      <c r="Z463" s="7">
        <f>SUM(Tabla1[[#This Row],[RES-A]:[EXTR-B]])</f>
        <v>140</v>
      </c>
      <c r="AA463" s="7">
        <f>Tabla1[[#This Row],[Columna1]]-Tabla1[[#This Row],[IMPORTE TOTAL]]</f>
        <v>0</v>
      </c>
    </row>
    <row r="464" spans="1:27" x14ac:dyDescent="0.2">
      <c r="A464">
        <v>2023</v>
      </c>
      <c r="B464" t="s">
        <v>48</v>
      </c>
      <c r="C464" s="3">
        <v>44953</v>
      </c>
      <c r="D464" s="3" t="s">
        <v>41</v>
      </c>
      <c r="E464" s="3" t="s">
        <v>46</v>
      </c>
      <c r="F464" s="3" t="s">
        <v>46</v>
      </c>
      <c r="G464" s="4">
        <v>0.89583333333333337</v>
      </c>
      <c r="H464" s="4">
        <v>0.10416666666666667</v>
      </c>
      <c r="I464" t="s">
        <v>35</v>
      </c>
      <c r="J464">
        <v>1</v>
      </c>
      <c r="L464" s="46"/>
      <c r="P464">
        <v>200</v>
      </c>
      <c r="Q464">
        <v>1</v>
      </c>
      <c r="R464">
        <v>130</v>
      </c>
      <c r="S464" s="7">
        <f>Tabla1[[#This Row],[TARIFA]]+Tabla1[[#This Row],[IMPORTE EXTRAS]]</f>
        <v>330</v>
      </c>
      <c r="T464" t="s">
        <v>45</v>
      </c>
      <c r="U464">
        <v>50</v>
      </c>
      <c r="V464">
        <v>150</v>
      </c>
      <c r="W464">
        <v>0</v>
      </c>
      <c r="X464">
        <v>130</v>
      </c>
      <c r="Y464" t="s">
        <v>481</v>
      </c>
      <c r="Z464" s="7">
        <f>SUM(Tabla1[[#This Row],[RES-A]:[EXTR-B]])</f>
        <v>330</v>
      </c>
      <c r="AA464" s="7">
        <f>Tabla1[[#This Row],[Columna1]]-Tabla1[[#This Row],[IMPORTE TOTAL]]</f>
        <v>0</v>
      </c>
    </row>
    <row r="465" spans="1:27" x14ac:dyDescent="0.2">
      <c r="A465">
        <v>2023</v>
      </c>
      <c r="B465" t="s">
        <v>48</v>
      </c>
      <c r="C465" s="3">
        <v>44954</v>
      </c>
      <c r="D465" s="3" t="s">
        <v>42</v>
      </c>
      <c r="E465" s="3" t="s">
        <v>46</v>
      </c>
      <c r="F465" s="3" t="s">
        <v>46</v>
      </c>
      <c r="G465" s="4">
        <v>0.64583333333333337</v>
      </c>
      <c r="H465" s="4">
        <v>0.10416666666666667</v>
      </c>
      <c r="I465" t="s">
        <v>53</v>
      </c>
      <c r="J465">
        <v>2</v>
      </c>
      <c r="L465" s="46"/>
      <c r="P465">
        <v>320</v>
      </c>
      <c r="Q465">
        <v>1</v>
      </c>
      <c r="R465">
        <v>60</v>
      </c>
      <c r="S465" s="7">
        <f>Tabla1[[#This Row],[TARIFA]]+Tabla1[[#This Row],[IMPORTE EXTRAS]]</f>
        <v>380</v>
      </c>
      <c r="T465" t="s">
        <v>45</v>
      </c>
      <c r="U465">
        <v>50</v>
      </c>
      <c r="V465">
        <v>270</v>
      </c>
      <c r="W465">
        <v>0</v>
      </c>
      <c r="X465">
        <v>60</v>
      </c>
      <c r="Y465" t="s">
        <v>482</v>
      </c>
      <c r="Z465" s="7">
        <f>SUM(Tabla1[[#This Row],[RES-A]:[EXTR-B]])</f>
        <v>380</v>
      </c>
      <c r="AA465" s="7">
        <f>Tabla1[[#This Row],[Columna1]]-Tabla1[[#This Row],[IMPORTE TOTAL]]</f>
        <v>0</v>
      </c>
    </row>
    <row r="466" spans="1:27" x14ac:dyDescent="0.2">
      <c r="A466">
        <v>2023</v>
      </c>
      <c r="B466" t="s">
        <v>48</v>
      </c>
      <c r="C466" s="3">
        <v>44955</v>
      </c>
      <c r="D466" s="3" t="s">
        <v>43</v>
      </c>
      <c r="E466" s="3" t="s">
        <v>46</v>
      </c>
      <c r="F466" s="3" t="s">
        <v>46</v>
      </c>
      <c r="G466" s="4">
        <v>0.64583333333333337</v>
      </c>
      <c r="H466" s="4">
        <v>0.85416666666666663</v>
      </c>
      <c r="I466" t="s">
        <v>31</v>
      </c>
      <c r="J466">
        <v>1</v>
      </c>
      <c r="L466" s="46"/>
      <c r="P466">
        <v>150</v>
      </c>
      <c r="Q466">
        <v>0</v>
      </c>
      <c r="R466">
        <v>0</v>
      </c>
      <c r="S466" s="7">
        <f>Tabla1[[#This Row],[TARIFA]]+Tabla1[[#This Row],[IMPORTE EXTRAS]]</f>
        <v>150</v>
      </c>
      <c r="T466" t="s">
        <v>45</v>
      </c>
      <c r="U466">
        <v>0</v>
      </c>
      <c r="V466">
        <v>150</v>
      </c>
      <c r="W466">
        <v>0</v>
      </c>
      <c r="X466">
        <v>0</v>
      </c>
      <c r="Z466" s="7">
        <f>SUM(Tabla1[[#This Row],[RES-A]:[EXTR-B]])</f>
        <v>150</v>
      </c>
      <c r="AA466" s="7">
        <f>Tabla1[[#This Row],[Columna1]]-Tabla1[[#This Row],[IMPORTE TOTAL]]</f>
        <v>0</v>
      </c>
    </row>
    <row r="467" spans="1:27" x14ac:dyDescent="0.2">
      <c r="A467">
        <v>2023</v>
      </c>
      <c r="B467" t="s">
        <v>56</v>
      </c>
      <c r="C467" s="3">
        <v>44958</v>
      </c>
      <c r="D467" s="3" t="s">
        <v>39</v>
      </c>
      <c r="E467" s="3" t="s">
        <v>46</v>
      </c>
      <c r="F467" s="3" t="s">
        <v>46</v>
      </c>
      <c r="G467" s="4">
        <v>0.64583333333333337</v>
      </c>
      <c r="H467" s="4">
        <v>0.85416666666666663</v>
      </c>
      <c r="I467" t="s">
        <v>31</v>
      </c>
      <c r="J467">
        <v>1</v>
      </c>
      <c r="L467" s="46"/>
      <c r="P467">
        <v>95</v>
      </c>
      <c r="Q467">
        <v>0</v>
      </c>
      <c r="R467">
        <v>0</v>
      </c>
      <c r="S467" s="7">
        <f>Tabla1[[#This Row],[TARIFA]]+Tabla1[[#This Row],[IMPORTE EXTRAS]]</f>
        <v>95</v>
      </c>
      <c r="T467" t="s">
        <v>45</v>
      </c>
      <c r="U467">
        <v>50</v>
      </c>
      <c r="V467">
        <v>45</v>
      </c>
      <c r="W467">
        <v>0</v>
      </c>
      <c r="X467">
        <v>0</v>
      </c>
      <c r="Z467" s="7">
        <f>SUM(Tabla1[[#This Row],[RES-A]:[EXTR-B]])</f>
        <v>95</v>
      </c>
      <c r="AA467" s="7">
        <f>Tabla1[[#This Row],[Columna1]]-Tabla1[[#This Row],[IMPORTE TOTAL]]</f>
        <v>0</v>
      </c>
    </row>
    <row r="468" spans="1:27" x14ac:dyDescent="0.2">
      <c r="A468">
        <v>2023</v>
      </c>
      <c r="B468" t="s">
        <v>56</v>
      </c>
      <c r="C468" s="3">
        <v>44959</v>
      </c>
      <c r="D468" s="3" t="s">
        <v>40</v>
      </c>
      <c r="E468" s="3" t="s">
        <v>46</v>
      </c>
      <c r="F468" s="3" t="s">
        <v>46</v>
      </c>
      <c r="G468" s="4">
        <v>0.64583333333333337</v>
      </c>
      <c r="H468" s="4">
        <v>0.85416666666666663</v>
      </c>
      <c r="I468" t="s">
        <v>31</v>
      </c>
      <c r="J468">
        <v>1</v>
      </c>
      <c r="L468" s="46"/>
      <c r="P468">
        <v>95</v>
      </c>
      <c r="Q468">
        <v>0</v>
      </c>
      <c r="R468">
        <v>0</v>
      </c>
      <c r="S468" s="7">
        <f>Tabla1[[#This Row],[TARIFA]]+Tabla1[[#This Row],[IMPORTE EXTRAS]]</f>
        <v>95</v>
      </c>
      <c r="T468" t="s">
        <v>45</v>
      </c>
      <c r="U468">
        <v>50</v>
      </c>
      <c r="V468">
        <v>45</v>
      </c>
      <c r="W468">
        <v>0</v>
      </c>
      <c r="X468">
        <v>0</v>
      </c>
      <c r="Y468" t="s">
        <v>475</v>
      </c>
      <c r="Z468" s="7">
        <f>SUM(Tabla1[[#This Row],[RES-A]:[EXTR-B]])</f>
        <v>95</v>
      </c>
      <c r="AA468" s="7">
        <f>Tabla1[[#This Row],[Columna1]]-Tabla1[[#This Row],[IMPORTE TOTAL]]</f>
        <v>0</v>
      </c>
    </row>
    <row r="469" spans="1:27" x14ac:dyDescent="0.2">
      <c r="A469">
        <v>2023</v>
      </c>
      <c r="B469" t="s">
        <v>56</v>
      </c>
      <c r="C469" s="3">
        <v>44960</v>
      </c>
      <c r="D469" s="3" t="s">
        <v>41</v>
      </c>
      <c r="E469" s="3" t="s">
        <v>46</v>
      </c>
      <c r="F469" s="3" t="s">
        <v>46</v>
      </c>
      <c r="G469" s="4">
        <v>0.64583333333333337</v>
      </c>
      <c r="H469" s="4">
        <v>0.85416666666666663</v>
      </c>
      <c r="I469" t="s">
        <v>31</v>
      </c>
      <c r="J469">
        <v>1</v>
      </c>
      <c r="L469" s="46"/>
      <c r="P469">
        <v>140</v>
      </c>
      <c r="Q469">
        <v>0</v>
      </c>
      <c r="R469">
        <v>0</v>
      </c>
      <c r="S469" s="7">
        <f>Tabla1[[#This Row],[TARIFA]]+Tabla1[[#This Row],[IMPORTE EXTRAS]]</f>
        <v>140</v>
      </c>
      <c r="T469" t="s">
        <v>45</v>
      </c>
      <c r="U469">
        <v>50</v>
      </c>
      <c r="V469">
        <v>90</v>
      </c>
      <c r="W469">
        <v>0</v>
      </c>
      <c r="X469">
        <v>0</v>
      </c>
      <c r="Y469" t="s">
        <v>486</v>
      </c>
      <c r="Z469" s="7">
        <f>SUM(Tabla1[[#This Row],[RES-A]:[EXTR-B]])</f>
        <v>140</v>
      </c>
      <c r="AA469" s="7">
        <f>Tabla1[[#This Row],[Columna1]]-Tabla1[[#This Row],[IMPORTE TOTAL]]</f>
        <v>0</v>
      </c>
    </row>
    <row r="470" spans="1:27" x14ac:dyDescent="0.2">
      <c r="A470">
        <v>2023</v>
      </c>
      <c r="B470" t="s">
        <v>56</v>
      </c>
      <c r="C470" s="3">
        <v>44960</v>
      </c>
      <c r="D470" s="3" t="s">
        <v>41</v>
      </c>
      <c r="E470" s="3" t="s">
        <v>46</v>
      </c>
      <c r="F470" s="3" t="s">
        <v>46</v>
      </c>
      <c r="G470" s="4">
        <v>0.89583333333333337</v>
      </c>
      <c r="H470" s="4">
        <v>0.10416666666666667</v>
      </c>
      <c r="I470" t="s">
        <v>35</v>
      </c>
      <c r="J470">
        <v>1</v>
      </c>
      <c r="L470" s="46"/>
      <c r="P470">
        <v>200</v>
      </c>
      <c r="Q470">
        <v>0</v>
      </c>
      <c r="R470">
        <v>0</v>
      </c>
      <c r="S470" s="7">
        <f>Tabla1[[#This Row],[TARIFA]]+Tabla1[[#This Row],[IMPORTE EXTRAS]]</f>
        <v>200</v>
      </c>
      <c r="T470" t="s">
        <v>45</v>
      </c>
      <c r="U470">
        <v>50</v>
      </c>
      <c r="V470">
        <v>150</v>
      </c>
      <c r="W470">
        <v>0</v>
      </c>
      <c r="X470">
        <v>0</v>
      </c>
      <c r="Z470" s="7">
        <f>SUM(Tabla1[[#This Row],[RES-A]:[EXTR-B]])</f>
        <v>200</v>
      </c>
      <c r="AA470" s="7">
        <f>Tabla1[[#This Row],[Columna1]]-Tabla1[[#This Row],[IMPORTE TOTAL]]</f>
        <v>0</v>
      </c>
    </row>
    <row r="471" spans="1:27" x14ac:dyDescent="0.2">
      <c r="A471">
        <v>2023</v>
      </c>
      <c r="B471" t="s">
        <v>56</v>
      </c>
      <c r="C471" s="3">
        <v>44961</v>
      </c>
      <c r="D471" s="3" t="s">
        <v>42</v>
      </c>
      <c r="E471" s="3" t="s">
        <v>46</v>
      </c>
      <c r="F471" s="3" t="s">
        <v>46</v>
      </c>
      <c r="G471" s="4">
        <v>0.39583333333333331</v>
      </c>
      <c r="H471" s="4">
        <v>0.60416666666666663</v>
      </c>
      <c r="I471" t="s">
        <v>30</v>
      </c>
      <c r="J471">
        <v>1</v>
      </c>
      <c r="L471" s="46"/>
      <c r="P471">
        <v>150</v>
      </c>
      <c r="Q471">
        <v>0</v>
      </c>
      <c r="R471">
        <v>0</v>
      </c>
      <c r="S471" s="7">
        <f>Tabla1[[#This Row],[TARIFA]]+Tabla1[[#This Row],[IMPORTE EXTRAS]]</f>
        <v>150</v>
      </c>
      <c r="T471" t="s">
        <v>45</v>
      </c>
      <c r="U471">
        <v>0</v>
      </c>
      <c r="V471">
        <v>150</v>
      </c>
      <c r="W471">
        <v>0</v>
      </c>
      <c r="X471">
        <v>0</v>
      </c>
      <c r="Y471" t="s">
        <v>485</v>
      </c>
      <c r="Z471" s="7">
        <f>SUM(Tabla1[[#This Row],[RES-A]:[EXTR-B]])</f>
        <v>150</v>
      </c>
      <c r="AA471" s="7">
        <f>Tabla1[[#This Row],[Columna1]]-Tabla1[[#This Row],[IMPORTE TOTAL]]</f>
        <v>0</v>
      </c>
    </row>
    <row r="472" spans="1:27" x14ac:dyDescent="0.2">
      <c r="A472">
        <v>2023</v>
      </c>
      <c r="B472" t="s">
        <v>56</v>
      </c>
      <c r="C472" s="3">
        <v>44961</v>
      </c>
      <c r="D472" s="3" t="s">
        <v>42</v>
      </c>
      <c r="E472" s="3" t="s">
        <v>46</v>
      </c>
      <c r="F472" s="3" t="s">
        <v>46</v>
      </c>
      <c r="G472" s="4">
        <v>0.64583333333333337</v>
      </c>
      <c r="H472" s="4">
        <v>0.85416666666666663</v>
      </c>
      <c r="I472" t="s">
        <v>31</v>
      </c>
      <c r="J472">
        <v>1</v>
      </c>
      <c r="L472" s="46"/>
      <c r="P472">
        <v>150</v>
      </c>
      <c r="Q472">
        <v>0</v>
      </c>
      <c r="R472">
        <v>0</v>
      </c>
      <c r="S472" s="7">
        <f>Tabla1[[#This Row],[TARIFA]]+Tabla1[[#This Row],[IMPORTE EXTRAS]]</f>
        <v>150</v>
      </c>
      <c r="T472" t="s">
        <v>45</v>
      </c>
      <c r="U472">
        <v>50</v>
      </c>
      <c r="V472">
        <v>100</v>
      </c>
      <c r="W472">
        <v>0</v>
      </c>
      <c r="X472">
        <v>0</v>
      </c>
      <c r="Z472" s="7">
        <f>SUM(Tabla1[[#This Row],[RES-A]:[EXTR-B]])</f>
        <v>150</v>
      </c>
      <c r="AA472" s="7">
        <f>Tabla1[[#This Row],[Columna1]]-Tabla1[[#This Row],[IMPORTE TOTAL]]</f>
        <v>0</v>
      </c>
    </row>
    <row r="473" spans="1:27" x14ac:dyDescent="0.2">
      <c r="A473">
        <v>2023</v>
      </c>
      <c r="B473" t="s">
        <v>56</v>
      </c>
      <c r="C473" s="3">
        <v>44961</v>
      </c>
      <c r="D473" s="3" t="s">
        <v>42</v>
      </c>
      <c r="E473" s="3" t="s">
        <v>46</v>
      </c>
      <c r="F473" s="3" t="s">
        <v>46</v>
      </c>
      <c r="G473" s="4">
        <v>0.89583333333333337</v>
      </c>
      <c r="H473" s="4">
        <v>0.10416666666666667</v>
      </c>
      <c r="I473" t="s">
        <v>35</v>
      </c>
      <c r="J473">
        <v>1</v>
      </c>
      <c r="L473" s="46"/>
      <c r="P473">
        <v>200</v>
      </c>
      <c r="Q473">
        <v>0</v>
      </c>
      <c r="R473">
        <v>0</v>
      </c>
      <c r="S473" s="7">
        <f>Tabla1[[#This Row],[TARIFA]]+Tabla1[[#This Row],[IMPORTE EXTRAS]]</f>
        <v>200</v>
      </c>
      <c r="T473" t="s">
        <v>45</v>
      </c>
      <c r="U473">
        <v>50</v>
      </c>
      <c r="V473">
        <v>150</v>
      </c>
      <c r="W473">
        <v>0</v>
      </c>
      <c r="X473">
        <v>0</v>
      </c>
      <c r="Z473" s="7">
        <f>SUM(Tabla1[[#This Row],[RES-A]:[EXTR-B]])</f>
        <v>200</v>
      </c>
      <c r="AA473" s="7">
        <f>Tabla1[[#This Row],[Columna1]]-Tabla1[[#This Row],[IMPORTE TOTAL]]</f>
        <v>0</v>
      </c>
    </row>
    <row r="474" spans="1:27" x14ac:dyDescent="0.2">
      <c r="A474">
        <v>2023</v>
      </c>
      <c r="B474" t="s">
        <v>56</v>
      </c>
      <c r="C474" s="3">
        <v>44962</v>
      </c>
      <c r="D474" s="3" t="s">
        <v>43</v>
      </c>
      <c r="E474" s="3" t="s">
        <v>46</v>
      </c>
      <c r="F474" s="3" t="s">
        <v>46</v>
      </c>
      <c r="G474" s="4">
        <v>0.64583333333333337</v>
      </c>
      <c r="H474" s="4">
        <v>0.85416666666666663</v>
      </c>
      <c r="I474" t="s">
        <v>31</v>
      </c>
      <c r="J474">
        <v>1</v>
      </c>
      <c r="L474" s="46"/>
      <c r="P474">
        <v>150</v>
      </c>
      <c r="Q474">
        <v>0</v>
      </c>
      <c r="R474">
        <v>0</v>
      </c>
      <c r="S474" s="7">
        <f>Tabla1[[#This Row],[TARIFA]]+Tabla1[[#This Row],[IMPORTE EXTRAS]]</f>
        <v>150</v>
      </c>
      <c r="T474" t="s">
        <v>45</v>
      </c>
      <c r="U474">
        <v>50</v>
      </c>
      <c r="V474">
        <v>100</v>
      </c>
      <c r="W474">
        <v>0</v>
      </c>
      <c r="X474">
        <v>0</v>
      </c>
      <c r="Z474" s="7">
        <f>SUM(Tabla1[[#This Row],[RES-A]:[EXTR-B]])</f>
        <v>150</v>
      </c>
      <c r="AA474" s="7">
        <f>Tabla1[[#This Row],[Columna1]]-Tabla1[[#This Row],[IMPORTE TOTAL]]</f>
        <v>0</v>
      </c>
    </row>
    <row r="475" spans="1:27" x14ac:dyDescent="0.2">
      <c r="A475">
        <v>2023</v>
      </c>
      <c r="B475" t="s">
        <v>56</v>
      </c>
      <c r="C475" s="3">
        <v>44967</v>
      </c>
      <c r="D475" s="3" t="s">
        <v>41</v>
      </c>
      <c r="E475" s="3" t="s">
        <v>46</v>
      </c>
      <c r="F475" s="3" t="s">
        <v>46</v>
      </c>
      <c r="G475" s="4">
        <v>0.64583333333333337</v>
      </c>
      <c r="H475" s="4">
        <v>0.85416666666666663</v>
      </c>
      <c r="I475" t="s">
        <v>31</v>
      </c>
      <c r="J475">
        <v>1</v>
      </c>
      <c r="L475" s="46"/>
      <c r="P475">
        <v>140</v>
      </c>
      <c r="Q475">
        <v>0</v>
      </c>
      <c r="R475">
        <v>0</v>
      </c>
      <c r="S475" s="7">
        <f>Tabla1[[#This Row],[TARIFA]]+Tabla1[[#This Row],[IMPORTE EXTRAS]]</f>
        <v>140</v>
      </c>
      <c r="T475" t="s">
        <v>45</v>
      </c>
      <c r="U475">
        <v>50</v>
      </c>
      <c r="V475">
        <v>90</v>
      </c>
      <c r="W475">
        <v>0</v>
      </c>
      <c r="X475">
        <v>0</v>
      </c>
      <c r="Z475" s="7">
        <f>SUM(Tabla1[[#This Row],[RES-A]:[EXTR-B]])</f>
        <v>140</v>
      </c>
      <c r="AA475" s="7">
        <f>Tabla1[[#This Row],[Columna1]]-Tabla1[[#This Row],[IMPORTE TOTAL]]</f>
        <v>0</v>
      </c>
    </row>
    <row r="476" spans="1:27" x14ac:dyDescent="0.2">
      <c r="A476">
        <v>2023</v>
      </c>
      <c r="B476" t="s">
        <v>56</v>
      </c>
      <c r="C476" s="3">
        <v>44967</v>
      </c>
      <c r="D476" s="3" t="s">
        <v>41</v>
      </c>
      <c r="E476" s="3" t="s">
        <v>46</v>
      </c>
      <c r="F476" s="3" t="s">
        <v>46</v>
      </c>
      <c r="G476" s="4">
        <v>0.89583333333333337</v>
      </c>
      <c r="H476" s="4">
        <v>0.10416666666666667</v>
      </c>
      <c r="I476" t="s">
        <v>35</v>
      </c>
      <c r="J476">
        <v>1</v>
      </c>
      <c r="L476" s="46"/>
      <c r="P476">
        <v>200</v>
      </c>
      <c r="Q476">
        <v>0</v>
      </c>
      <c r="R476">
        <v>0</v>
      </c>
      <c r="S476" s="7">
        <f>Tabla1[[#This Row],[TARIFA]]+Tabla1[[#This Row],[IMPORTE EXTRAS]]</f>
        <v>200</v>
      </c>
      <c r="T476" t="s">
        <v>45</v>
      </c>
      <c r="U476">
        <v>50</v>
      </c>
      <c r="V476">
        <v>150</v>
      </c>
      <c r="W476">
        <v>0</v>
      </c>
      <c r="X476">
        <v>0</v>
      </c>
      <c r="Y476" t="s">
        <v>489</v>
      </c>
      <c r="Z476" s="7">
        <f>SUM(Tabla1[[#This Row],[RES-A]:[EXTR-B]])</f>
        <v>200</v>
      </c>
      <c r="AA476" s="7">
        <f>Tabla1[[#This Row],[Columna1]]-Tabla1[[#This Row],[IMPORTE TOTAL]]</f>
        <v>0</v>
      </c>
    </row>
    <row r="477" spans="1:27" x14ac:dyDescent="0.2">
      <c r="A477">
        <v>2023</v>
      </c>
      <c r="B477" t="s">
        <v>56</v>
      </c>
      <c r="C477" s="3">
        <v>44968</v>
      </c>
      <c r="D477" s="3" t="s">
        <v>42</v>
      </c>
      <c r="E477" s="3" t="s">
        <v>46</v>
      </c>
      <c r="F477" s="3" t="s">
        <v>46</v>
      </c>
      <c r="G477" s="4">
        <v>0.39583333333333331</v>
      </c>
      <c r="H477" s="4">
        <v>0.60416666666666663</v>
      </c>
      <c r="I477" t="s">
        <v>30</v>
      </c>
      <c r="J477">
        <v>1</v>
      </c>
      <c r="L477" s="46"/>
      <c r="P477">
        <v>150</v>
      </c>
      <c r="Q477">
        <v>0</v>
      </c>
      <c r="R477">
        <v>0</v>
      </c>
      <c r="S477" s="7">
        <f>Tabla1[[#This Row],[TARIFA]]+Tabla1[[#This Row],[IMPORTE EXTRAS]]</f>
        <v>150</v>
      </c>
      <c r="T477" t="s">
        <v>45</v>
      </c>
      <c r="U477">
        <v>50</v>
      </c>
      <c r="V477">
        <v>100</v>
      </c>
      <c r="W477">
        <v>0</v>
      </c>
      <c r="X477">
        <v>0</v>
      </c>
      <c r="Z477" s="7">
        <f>SUM(Tabla1[[#This Row],[RES-A]:[EXTR-B]])</f>
        <v>150</v>
      </c>
      <c r="AA477" s="7">
        <f>Tabla1[[#This Row],[Columna1]]-Tabla1[[#This Row],[IMPORTE TOTAL]]</f>
        <v>0</v>
      </c>
    </row>
    <row r="478" spans="1:27" x14ac:dyDescent="0.2">
      <c r="A478">
        <v>2023</v>
      </c>
      <c r="B478" t="s">
        <v>56</v>
      </c>
      <c r="C478" s="3">
        <v>44968</v>
      </c>
      <c r="D478" s="3" t="s">
        <v>42</v>
      </c>
      <c r="E478" s="3" t="s">
        <v>46</v>
      </c>
      <c r="F478" s="3" t="s">
        <v>46</v>
      </c>
      <c r="G478" s="4">
        <v>0.64583333333333337</v>
      </c>
      <c r="H478" s="4">
        <v>0.85416666666666663</v>
      </c>
      <c r="I478" t="s">
        <v>31</v>
      </c>
      <c r="J478">
        <v>1</v>
      </c>
      <c r="L478" s="46"/>
      <c r="P478">
        <v>150</v>
      </c>
      <c r="Q478">
        <v>0</v>
      </c>
      <c r="R478">
        <v>0</v>
      </c>
      <c r="S478" s="7">
        <f>Tabla1[[#This Row],[TARIFA]]+Tabla1[[#This Row],[IMPORTE EXTRAS]]</f>
        <v>150</v>
      </c>
      <c r="T478" t="s">
        <v>45</v>
      </c>
      <c r="U478">
        <v>50</v>
      </c>
      <c r="V478">
        <v>100</v>
      </c>
      <c r="W478">
        <v>0</v>
      </c>
      <c r="X478">
        <v>0</v>
      </c>
      <c r="Z478" s="7">
        <f>SUM(Tabla1[[#This Row],[RES-A]:[EXTR-B]])</f>
        <v>150</v>
      </c>
      <c r="AA478" s="7">
        <f>Tabla1[[#This Row],[Columna1]]-Tabla1[[#This Row],[IMPORTE TOTAL]]</f>
        <v>0</v>
      </c>
    </row>
    <row r="479" spans="1:27" x14ac:dyDescent="0.2">
      <c r="A479">
        <v>2023</v>
      </c>
      <c r="B479" t="s">
        <v>56</v>
      </c>
      <c r="C479" s="3">
        <v>44968</v>
      </c>
      <c r="D479" s="3" t="s">
        <v>42</v>
      </c>
      <c r="E479" s="3" t="s">
        <v>46</v>
      </c>
      <c r="F479" s="3" t="s">
        <v>46</v>
      </c>
      <c r="G479" s="4">
        <v>0.89583333333333337</v>
      </c>
      <c r="H479" s="4">
        <v>0.10416666666666667</v>
      </c>
      <c r="I479" t="s">
        <v>35</v>
      </c>
      <c r="J479">
        <v>1</v>
      </c>
      <c r="L479" s="46"/>
      <c r="P479">
        <v>200</v>
      </c>
      <c r="Q479">
        <v>1</v>
      </c>
      <c r="R479">
        <v>60</v>
      </c>
      <c r="S479" s="7">
        <f>Tabla1[[#This Row],[TARIFA]]+Tabla1[[#This Row],[IMPORTE EXTRAS]]</f>
        <v>260</v>
      </c>
      <c r="T479" t="s">
        <v>45</v>
      </c>
      <c r="U479">
        <v>50</v>
      </c>
      <c r="V479">
        <v>150</v>
      </c>
      <c r="W479">
        <v>0</v>
      </c>
      <c r="X479">
        <v>60</v>
      </c>
      <c r="Y479" t="s">
        <v>488</v>
      </c>
      <c r="Z479" s="7">
        <f>SUM(Tabla1[[#This Row],[RES-A]:[EXTR-B]])</f>
        <v>260</v>
      </c>
      <c r="AA479" s="7">
        <f>Tabla1[[#This Row],[Columna1]]-Tabla1[[#This Row],[IMPORTE TOTAL]]</f>
        <v>0</v>
      </c>
    </row>
    <row r="480" spans="1:27" x14ac:dyDescent="0.2">
      <c r="A480">
        <v>2023</v>
      </c>
      <c r="B480" t="s">
        <v>56</v>
      </c>
      <c r="C480" s="3">
        <v>44969</v>
      </c>
      <c r="D480" s="3" t="s">
        <v>43</v>
      </c>
      <c r="E480" s="3" t="s">
        <v>46</v>
      </c>
      <c r="F480" s="3" t="s">
        <v>46</v>
      </c>
      <c r="G480" s="4">
        <v>0.39583333333333331</v>
      </c>
      <c r="H480" s="4">
        <v>0.60416666666666663</v>
      </c>
      <c r="I480" t="s">
        <v>30</v>
      </c>
      <c r="J480">
        <v>1</v>
      </c>
      <c r="L480" s="46"/>
      <c r="P480">
        <v>150</v>
      </c>
      <c r="Q480">
        <v>0</v>
      </c>
      <c r="R480">
        <v>0</v>
      </c>
      <c r="S480" s="7">
        <f>Tabla1[[#This Row],[TARIFA]]+Tabla1[[#This Row],[IMPORTE EXTRAS]]</f>
        <v>150</v>
      </c>
      <c r="T480" t="s">
        <v>45</v>
      </c>
      <c r="U480">
        <v>50</v>
      </c>
      <c r="V480">
        <v>100</v>
      </c>
      <c r="W480">
        <v>0</v>
      </c>
      <c r="X480">
        <v>0</v>
      </c>
      <c r="Y480" t="s">
        <v>490</v>
      </c>
      <c r="Z480" s="7">
        <f>SUM(Tabla1[[#This Row],[RES-A]:[EXTR-B]])</f>
        <v>150</v>
      </c>
      <c r="AA480" s="7">
        <f>Tabla1[[#This Row],[Columna1]]-Tabla1[[#This Row],[IMPORTE TOTAL]]</f>
        <v>0</v>
      </c>
    </row>
    <row r="481" spans="1:27" x14ac:dyDescent="0.2">
      <c r="A481">
        <v>2023</v>
      </c>
      <c r="B481" t="s">
        <v>56</v>
      </c>
      <c r="C481" s="3">
        <v>44969</v>
      </c>
      <c r="D481" s="3" t="s">
        <v>43</v>
      </c>
      <c r="E481" s="3" t="s">
        <v>46</v>
      </c>
      <c r="F481" s="3" t="s">
        <v>46</v>
      </c>
      <c r="G481" s="4">
        <v>0.64583333333333337</v>
      </c>
      <c r="H481" s="4">
        <v>0.85416666666666663</v>
      </c>
      <c r="I481" t="s">
        <v>31</v>
      </c>
      <c r="J481">
        <v>1</v>
      </c>
      <c r="L481" s="46"/>
      <c r="P481">
        <v>150</v>
      </c>
      <c r="Q481">
        <v>0</v>
      </c>
      <c r="R481">
        <v>0</v>
      </c>
      <c r="S481" s="7">
        <f>Tabla1[[#This Row],[TARIFA]]+Tabla1[[#This Row],[IMPORTE EXTRAS]]</f>
        <v>150</v>
      </c>
      <c r="T481" t="s">
        <v>45</v>
      </c>
      <c r="U481">
        <v>50</v>
      </c>
      <c r="V481">
        <v>100</v>
      </c>
      <c r="W481">
        <v>0</v>
      </c>
      <c r="X481">
        <v>0</v>
      </c>
      <c r="Y481" t="s">
        <v>490</v>
      </c>
      <c r="Z481" s="7">
        <f>SUM(Tabla1[[#This Row],[RES-A]:[EXTR-B]])</f>
        <v>150</v>
      </c>
      <c r="AA481" s="7">
        <f>Tabla1[[#This Row],[Columna1]]-Tabla1[[#This Row],[IMPORTE TOTAL]]</f>
        <v>0</v>
      </c>
    </row>
    <row r="482" spans="1:27" x14ac:dyDescent="0.2">
      <c r="A482">
        <v>2023</v>
      </c>
      <c r="B482" t="s">
        <v>56</v>
      </c>
      <c r="C482" s="3">
        <v>44974</v>
      </c>
      <c r="D482" s="3" t="s">
        <v>41</v>
      </c>
      <c r="E482" s="3" t="s">
        <v>46</v>
      </c>
      <c r="F482" s="3" t="s">
        <v>46</v>
      </c>
      <c r="G482" s="4">
        <v>0.89583333333333337</v>
      </c>
      <c r="H482" s="4">
        <v>0.10416666666666667</v>
      </c>
      <c r="I482" t="s">
        <v>35</v>
      </c>
      <c r="J482">
        <v>1</v>
      </c>
      <c r="L482" s="46"/>
      <c r="P482">
        <v>200</v>
      </c>
      <c r="Q482">
        <v>0</v>
      </c>
      <c r="R482">
        <v>0</v>
      </c>
      <c r="S482" s="7">
        <f>Tabla1[[#This Row],[TARIFA]]+Tabla1[[#This Row],[IMPORTE EXTRAS]]</f>
        <v>200</v>
      </c>
      <c r="T482" t="s">
        <v>45</v>
      </c>
      <c r="U482">
        <v>50</v>
      </c>
      <c r="V482">
        <v>150</v>
      </c>
      <c r="W482">
        <v>0</v>
      </c>
      <c r="X482">
        <v>0</v>
      </c>
      <c r="Y482" t="s">
        <v>493</v>
      </c>
      <c r="Z482" s="7">
        <f>SUM(Tabla1[[#This Row],[RES-A]:[EXTR-B]])</f>
        <v>200</v>
      </c>
      <c r="AA482" s="7">
        <f>Tabla1[[#This Row],[Columna1]]-Tabla1[[#This Row],[IMPORTE TOTAL]]</f>
        <v>0</v>
      </c>
    </row>
    <row r="483" spans="1:27" x14ac:dyDescent="0.2">
      <c r="A483">
        <v>2023</v>
      </c>
      <c r="B483" t="s">
        <v>56</v>
      </c>
      <c r="C483" s="3">
        <v>44975</v>
      </c>
      <c r="D483" s="3" t="s">
        <v>42</v>
      </c>
      <c r="E483" s="3" t="s">
        <v>46</v>
      </c>
      <c r="F483" s="3" t="s">
        <v>45</v>
      </c>
      <c r="G483" s="4">
        <v>0.39583333333333331</v>
      </c>
      <c r="H483" s="4">
        <v>0.60416666666666663</v>
      </c>
      <c r="I483" t="s">
        <v>30</v>
      </c>
      <c r="J483">
        <v>1</v>
      </c>
      <c r="L483" s="46"/>
      <c r="P483">
        <v>150</v>
      </c>
      <c r="Q483">
        <v>0</v>
      </c>
      <c r="R483">
        <v>0</v>
      </c>
      <c r="S483" s="7">
        <f>Tabla1[[#This Row],[TARIFA]]+Tabla1[[#This Row],[IMPORTE EXTRAS]]</f>
        <v>150</v>
      </c>
      <c r="T483" t="s">
        <v>45</v>
      </c>
      <c r="U483">
        <v>150</v>
      </c>
      <c r="V483">
        <v>0</v>
      </c>
      <c r="W483">
        <v>0</v>
      </c>
      <c r="X483">
        <v>0</v>
      </c>
      <c r="Z483" s="7">
        <f>SUM(Tabla1[[#This Row],[RES-A]:[EXTR-B]])</f>
        <v>150</v>
      </c>
      <c r="AA483" s="7">
        <f>Tabla1[[#This Row],[Columna1]]-Tabla1[[#This Row],[IMPORTE TOTAL]]</f>
        <v>0</v>
      </c>
    </row>
    <row r="484" spans="1:27" x14ac:dyDescent="0.2">
      <c r="A484">
        <v>2023</v>
      </c>
      <c r="B484" t="s">
        <v>56</v>
      </c>
      <c r="C484" s="3">
        <v>44975</v>
      </c>
      <c r="D484" s="3" t="s">
        <v>42</v>
      </c>
      <c r="E484" s="3" t="s">
        <v>46</v>
      </c>
      <c r="F484" s="3" t="s">
        <v>45</v>
      </c>
      <c r="G484" s="4">
        <v>0.64583333333333337</v>
      </c>
      <c r="H484" s="4">
        <v>0.85416666666666663</v>
      </c>
      <c r="I484" t="s">
        <v>31</v>
      </c>
      <c r="J484">
        <v>1</v>
      </c>
      <c r="L484" s="46"/>
      <c r="P484">
        <v>150</v>
      </c>
      <c r="Q484">
        <v>0</v>
      </c>
      <c r="R484">
        <v>0</v>
      </c>
      <c r="S484" s="7">
        <f>Tabla1[[#This Row],[TARIFA]]+Tabla1[[#This Row],[IMPORTE EXTRAS]]</f>
        <v>150</v>
      </c>
      <c r="T484" t="s">
        <v>45</v>
      </c>
      <c r="U484">
        <v>50</v>
      </c>
      <c r="V484">
        <v>100</v>
      </c>
      <c r="W484">
        <v>0</v>
      </c>
      <c r="X484">
        <v>0</v>
      </c>
      <c r="Y484" t="s">
        <v>490</v>
      </c>
      <c r="Z484" s="7">
        <f>SUM(Tabla1[[#This Row],[RES-A]:[EXTR-B]])</f>
        <v>150</v>
      </c>
      <c r="AA484" s="7">
        <f>Tabla1[[#This Row],[Columna1]]-Tabla1[[#This Row],[IMPORTE TOTAL]]</f>
        <v>0</v>
      </c>
    </row>
    <row r="485" spans="1:27" x14ac:dyDescent="0.2">
      <c r="A485">
        <v>2023</v>
      </c>
      <c r="B485" t="s">
        <v>56</v>
      </c>
      <c r="C485" s="3">
        <v>44975</v>
      </c>
      <c r="D485" s="3" t="s">
        <v>42</v>
      </c>
      <c r="E485" s="3" t="s">
        <v>46</v>
      </c>
      <c r="F485" s="3" t="s">
        <v>45</v>
      </c>
      <c r="G485" s="4">
        <v>0.89583333333333337</v>
      </c>
      <c r="H485" s="4">
        <v>0.10416666666666667</v>
      </c>
      <c r="I485" t="s">
        <v>35</v>
      </c>
      <c r="J485">
        <v>1</v>
      </c>
      <c r="L485" s="46"/>
      <c r="P485">
        <v>200</v>
      </c>
      <c r="Q485">
        <v>0</v>
      </c>
      <c r="R485">
        <v>0</v>
      </c>
      <c r="S485" s="7">
        <f>Tabla1[[#This Row],[TARIFA]]+Tabla1[[#This Row],[IMPORTE EXTRAS]]</f>
        <v>200</v>
      </c>
      <c r="T485" t="s">
        <v>45</v>
      </c>
      <c r="U485">
        <v>0</v>
      </c>
      <c r="V485">
        <v>200</v>
      </c>
      <c r="W485">
        <v>0</v>
      </c>
      <c r="X485">
        <v>0</v>
      </c>
      <c r="Y485" t="s">
        <v>208</v>
      </c>
      <c r="Z485" s="7">
        <f>SUM(Tabla1[[#This Row],[RES-A]:[EXTR-B]])</f>
        <v>200</v>
      </c>
      <c r="AA485" s="7">
        <f>Tabla1[[#This Row],[Columna1]]-Tabla1[[#This Row],[IMPORTE TOTAL]]</f>
        <v>0</v>
      </c>
    </row>
    <row r="486" spans="1:27" x14ac:dyDescent="0.2">
      <c r="A486">
        <v>2023</v>
      </c>
      <c r="B486" t="s">
        <v>56</v>
      </c>
      <c r="C486" s="3">
        <v>44976</v>
      </c>
      <c r="D486" s="3" t="s">
        <v>43</v>
      </c>
      <c r="E486" s="3" t="s">
        <v>46</v>
      </c>
      <c r="F486" s="3" t="s">
        <v>46</v>
      </c>
      <c r="G486" s="4">
        <v>0.39583333333333331</v>
      </c>
      <c r="H486" s="4">
        <v>0.85416666666666663</v>
      </c>
      <c r="I486" t="s">
        <v>32</v>
      </c>
      <c r="J486">
        <v>3</v>
      </c>
      <c r="L486" s="46"/>
      <c r="P486">
        <v>290</v>
      </c>
      <c r="Q486">
        <v>1</v>
      </c>
      <c r="R486">
        <v>210</v>
      </c>
      <c r="S486" s="7">
        <f>Tabla1[[#This Row],[TARIFA]]+Tabla1[[#This Row],[IMPORTE EXTRAS]]</f>
        <v>500</v>
      </c>
      <c r="T486" t="s">
        <v>45</v>
      </c>
      <c r="U486">
        <v>290</v>
      </c>
      <c r="V486">
        <v>0</v>
      </c>
      <c r="W486">
        <v>60</v>
      </c>
      <c r="X486">
        <v>150</v>
      </c>
      <c r="Z486" s="7">
        <f>SUM(Tabla1[[#This Row],[RES-A]:[EXTR-B]])</f>
        <v>500</v>
      </c>
      <c r="AA486" s="7">
        <f>Tabla1[[#This Row],[Columna1]]-Tabla1[[#This Row],[IMPORTE TOTAL]]</f>
        <v>0</v>
      </c>
    </row>
    <row r="487" spans="1:27" x14ac:dyDescent="0.2">
      <c r="A487">
        <v>2023</v>
      </c>
      <c r="B487" t="s">
        <v>56</v>
      </c>
      <c r="C487" s="3">
        <v>44977</v>
      </c>
      <c r="D487" s="3" t="s">
        <v>37</v>
      </c>
      <c r="E487" s="3" t="s">
        <v>46</v>
      </c>
      <c r="F487" s="3" t="s">
        <v>46</v>
      </c>
      <c r="G487" s="4">
        <v>0.64583333333333337</v>
      </c>
      <c r="H487" s="4">
        <v>0.85416666666666663</v>
      </c>
      <c r="I487" t="s">
        <v>31</v>
      </c>
      <c r="J487">
        <v>1</v>
      </c>
      <c r="L487" s="46"/>
      <c r="P487">
        <v>95</v>
      </c>
      <c r="Q487">
        <v>0</v>
      </c>
      <c r="R487">
        <v>0</v>
      </c>
      <c r="S487" s="7">
        <f>Tabla1[[#This Row],[TARIFA]]+Tabla1[[#This Row],[IMPORTE EXTRAS]]</f>
        <v>95</v>
      </c>
      <c r="T487" t="s">
        <v>45</v>
      </c>
      <c r="U487">
        <v>50</v>
      </c>
      <c r="V487">
        <v>45</v>
      </c>
      <c r="W487">
        <v>0</v>
      </c>
      <c r="X487">
        <v>0</v>
      </c>
      <c r="Z487" s="7">
        <f>SUM(Tabla1[[#This Row],[RES-A]:[EXTR-B]])</f>
        <v>95</v>
      </c>
      <c r="AA487" s="7">
        <f>Tabla1[[#This Row],[Columna1]]-Tabla1[[#This Row],[IMPORTE TOTAL]]</f>
        <v>0</v>
      </c>
    </row>
    <row r="488" spans="1:27" x14ac:dyDescent="0.2">
      <c r="A488">
        <v>2023</v>
      </c>
      <c r="B488" t="s">
        <v>56</v>
      </c>
      <c r="C488" s="3">
        <v>44979</v>
      </c>
      <c r="D488" s="3" t="s">
        <v>39</v>
      </c>
      <c r="E488" s="3" t="s">
        <v>46</v>
      </c>
      <c r="F488" s="3" t="s">
        <v>46</v>
      </c>
      <c r="G488" s="4">
        <v>0.64583333333333337</v>
      </c>
      <c r="H488" s="4">
        <v>0.85416666666666663</v>
      </c>
      <c r="I488" t="s">
        <v>31</v>
      </c>
      <c r="J488">
        <v>1</v>
      </c>
      <c r="L488" s="46"/>
      <c r="P488">
        <v>95</v>
      </c>
      <c r="Q488">
        <v>0</v>
      </c>
      <c r="R488">
        <v>0</v>
      </c>
      <c r="S488" s="7">
        <f>Tabla1[[#This Row],[TARIFA]]+Tabla1[[#This Row],[IMPORTE EXTRAS]]</f>
        <v>95</v>
      </c>
      <c r="T488" t="s">
        <v>45</v>
      </c>
      <c r="U488">
        <v>50</v>
      </c>
      <c r="V488">
        <v>45</v>
      </c>
      <c r="W488">
        <v>0</v>
      </c>
      <c r="X488">
        <v>0</v>
      </c>
      <c r="Z488" s="7">
        <f>SUM(Tabla1[[#This Row],[RES-A]:[EXTR-B]])</f>
        <v>95</v>
      </c>
      <c r="AA488" s="7">
        <f>Tabla1[[#This Row],[Columna1]]-Tabla1[[#This Row],[IMPORTE TOTAL]]</f>
        <v>0</v>
      </c>
    </row>
    <row r="489" spans="1:27" x14ac:dyDescent="0.2">
      <c r="A489">
        <v>2023</v>
      </c>
      <c r="B489" t="s">
        <v>56</v>
      </c>
      <c r="C489" s="3">
        <v>44981</v>
      </c>
      <c r="D489" s="3" t="s">
        <v>41</v>
      </c>
      <c r="E489" s="3" t="s">
        <v>46</v>
      </c>
      <c r="F489" s="3" t="s">
        <v>46</v>
      </c>
      <c r="G489" s="4">
        <v>0.89583333333333337</v>
      </c>
      <c r="H489" s="4">
        <v>0.10416666666666667</v>
      </c>
      <c r="I489" t="s">
        <v>35</v>
      </c>
      <c r="J489">
        <v>1</v>
      </c>
      <c r="L489" s="46"/>
      <c r="P489">
        <v>200</v>
      </c>
      <c r="Q489">
        <v>1</v>
      </c>
      <c r="R489">
        <v>60</v>
      </c>
      <c r="S489" s="7">
        <f>Tabla1[[#This Row],[TARIFA]]+Tabla1[[#This Row],[IMPORTE EXTRAS]]</f>
        <v>260</v>
      </c>
      <c r="T489" t="s">
        <v>45</v>
      </c>
      <c r="U489">
        <v>200</v>
      </c>
      <c r="V489">
        <v>0</v>
      </c>
      <c r="W489">
        <v>60</v>
      </c>
      <c r="X489">
        <v>0</v>
      </c>
      <c r="Z489" s="7">
        <f>SUM(Tabla1[[#This Row],[RES-A]:[EXTR-B]])</f>
        <v>260</v>
      </c>
      <c r="AA489" s="7">
        <f>Tabla1[[#This Row],[Columna1]]-Tabla1[[#This Row],[IMPORTE TOTAL]]</f>
        <v>0</v>
      </c>
    </row>
    <row r="490" spans="1:27" x14ac:dyDescent="0.2">
      <c r="A490">
        <v>2023</v>
      </c>
      <c r="B490" t="s">
        <v>56</v>
      </c>
      <c r="C490" s="3">
        <v>44982</v>
      </c>
      <c r="D490" s="3" t="s">
        <v>42</v>
      </c>
      <c r="E490" s="3" t="s">
        <v>46</v>
      </c>
      <c r="F490" s="3" t="s">
        <v>46</v>
      </c>
      <c r="G490" s="4">
        <v>0.64583333333333337</v>
      </c>
      <c r="H490" s="4">
        <v>0.85416666666666663</v>
      </c>
      <c r="I490" t="s">
        <v>31</v>
      </c>
      <c r="J490">
        <v>1</v>
      </c>
      <c r="L490" s="46"/>
      <c r="P490">
        <v>150</v>
      </c>
      <c r="Q490">
        <v>0</v>
      </c>
      <c r="R490">
        <v>0</v>
      </c>
      <c r="S490" s="7">
        <f>Tabla1[[#This Row],[TARIFA]]+Tabla1[[#This Row],[IMPORTE EXTRAS]]</f>
        <v>150</v>
      </c>
      <c r="T490" t="s">
        <v>45</v>
      </c>
      <c r="U490">
        <v>50</v>
      </c>
      <c r="V490">
        <v>100</v>
      </c>
      <c r="W490">
        <v>0</v>
      </c>
      <c r="X490">
        <v>0</v>
      </c>
      <c r="Z490" s="7">
        <f>SUM(Tabla1[[#This Row],[RES-A]:[EXTR-B]])</f>
        <v>150</v>
      </c>
      <c r="AA490" s="7">
        <f>Tabla1[[#This Row],[Columna1]]-Tabla1[[#This Row],[IMPORTE TOTAL]]</f>
        <v>0</v>
      </c>
    </row>
    <row r="491" spans="1:27" x14ac:dyDescent="0.2">
      <c r="A491">
        <v>2023</v>
      </c>
      <c r="B491" t="s">
        <v>56</v>
      </c>
      <c r="C491" s="3">
        <v>44982</v>
      </c>
      <c r="D491" s="3" t="s">
        <v>42</v>
      </c>
      <c r="E491" s="3" t="s">
        <v>46</v>
      </c>
      <c r="F491" s="3" t="s">
        <v>46</v>
      </c>
      <c r="G491" s="4">
        <v>0.89583333333333337</v>
      </c>
      <c r="H491" s="4">
        <v>0.10416666666666667</v>
      </c>
      <c r="I491" t="s">
        <v>35</v>
      </c>
      <c r="J491">
        <v>1</v>
      </c>
      <c r="L491" s="46"/>
      <c r="P491">
        <v>200</v>
      </c>
      <c r="Q491">
        <v>0</v>
      </c>
      <c r="R491">
        <v>0</v>
      </c>
      <c r="S491" s="7">
        <f>Tabla1[[#This Row],[TARIFA]]+Tabla1[[#This Row],[IMPORTE EXTRAS]]</f>
        <v>200</v>
      </c>
      <c r="T491" t="s">
        <v>45</v>
      </c>
      <c r="U491">
        <v>50</v>
      </c>
      <c r="V491">
        <v>150</v>
      </c>
      <c r="W491">
        <v>0</v>
      </c>
      <c r="X491">
        <v>0</v>
      </c>
      <c r="Z491" s="7">
        <f>SUM(Tabla1[[#This Row],[RES-A]:[EXTR-B]])</f>
        <v>200</v>
      </c>
      <c r="AA491" s="7">
        <f>Tabla1[[#This Row],[Columna1]]-Tabla1[[#This Row],[IMPORTE TOTAL]]</f>
        <v>0</v>
      </c>
    </row>
    <row r="492" spans="1:27" x14ac:dyDescent="0.2">
      <c r="A492">
        <v>2023</v>
      </c>
      <c r="B492" t="s">
        <v>56</v>
      </c>
      <c r="C492" s="3">
        <v>44983</v>
      </c>
      <c r="D492" s="3" t="s">
        <v>43</v>
      </c>
      <c r="E492" s="3" t="s">
        <v>46</v>
      </c>
      <c r="F492" s="3" t="s">
        <v>46</v>
      </c>
      <c r="G492" s="4">
        <v>0.39583333333333331</v>
      </c>
      <c r="H492" s="4">
        <v>0.60416666666666663</v>
      </c>
      <c r="I492" t="s">
        <v>30</v>
      </c>
      <c r="J492">
        <v>1</v>
      </c>
      <c r="L492" s="46"/>
      <c r="P492">
        <v>150</v>
      </c>
      <c r="Q492">
        <v>0</v>
      </c>
      <c r="R492">
        <v>0</v>
      </c>
      <c r="S492" s="7">
        <f>Tabla1[[#This Row],[TARIFA]]+Tabla1[[#This Row],[IMPORTE EXTRAS]]</f>
        <v>150</v>
      </c>
      <c r="T492" t="s">
        <v>45</v>
      </c>
      <c r="U492">
        <v>50</v>
      </c>
      <c r="V492">
        <v>100</v>
      </c>
      <c r="W492">
        <v>0</v>
      </c>
      <c r="X492">
        <v>0</v>
      </c>
      <c r="Y492" t="s">
        <v>451</v>
      </c>
      <c r="Z492" s="7">
        <f>SUM(Tabla1[[#This Row],[RES-A]:[EXTR-B]])</f>
        <v>150</v>
      </c>
      <c r="AA492" s="7">
        <f>Tabla1[[#This Row],[Columna1]]-Tabla1[[#This Row],[IMPORTE TOTAL]]</f>
        <v>0</v>
      </c>
    </row>
    <row r="493" spans="1:27" x14ac:dyDescent="0.2">
      <c r="A493">
        <v>2023</v>
      </c>
      <c r="B493" t="s">
        <v>56</v>
      </c>
      <c r="C493" s="3">
        <v>44983</v>
      </c>
      <c r="D493" s="3" t="s">
        <v>43</v>
      </c>
      <c r="E493" s="3" t="s">
        <v>46</v>
      </c>
      <c r="F493" s="3" t="s">
        <v>46</v>
      </c>
      <c r="G493" s="4">
        <v>0.64583333333333337</v>
      </c>
      <c r="H493" s="4">
        <v>0.85416666666666663</v>
      </c>
      <c r="I493" t="s">
        <v>31</v>
      </c>
      <c r="J493">
        <v>1</v>
      </c>
      <c r="L493" s="46"/>
      <c r="P493">
        <v>150</v>
      </c>
      <c r="Q493">
        <v>0</v>
      </c>
      <c r="R493">
        <v>0</v>
      </c>
      <c r="S493" s="7">
        <f>Tabla1[[#This Row],[TARIFA]]+Tabla1[[#This Row],[IMPORTE EXTRAS]]</f>
        <v>150</v>
      </c>
      <c r="T493" t="s">
        <v>45</v>
      </c>
      <c r="U493">
        <v>50</v>
      </c>
      <c r="V493">
        <v>100</v>
      </c>
      <c r="W493">
        <v>0</v>
      </c>
      <c r="X493">
        <v>0</v>
      </c>
      <c r="Z493" s="7">
        <f>SUM(Tabla1[[#This Row],[RES-A]:[EXTR-B]])</f>
        <v>150</v>
      </c>
      <c r="AA493" s="7">
        <f>Tabla1[[#This Row],[Columna1]]-Tabla1[[#This Row],[IMPORTE TOTAL]]</f>
        <v>0</v>
      </c>
    </row>
    <row r="494" spans="1:27" x14ac:dyDescent="0.2">
      <c r="A494">
        <v>2023</v>
      </c>
      <c r="B494" t="s">
        <v>57</v>
      </c>
      <c r="C494" s="3">
        <v>44989</v>
      </c>
      <c r="D494" s="3" t="s">
        <v>42</v>
      </c>
      <c r="E494" s="3" t="s">
        <v>46</v>
      </c>
      <c r="F494" s="3" t="s">
        <v>46</v>
      </c>
      <c r="G494" s="4">
        <v>0.39583333333333331</v>
      </c>
      <c r="H494" s="4">
        <v>0.60416666666666663</v>
      </c>
      <c r="I494" t="s">
        <v>30</v>
      </c>
      <c r="J494">
        <v>1</v>
      </c>
      <c r="L494" s="46"/>
      <c r="P494">
        <v>150</v>
      </c>
      <c r="Q494">
        <v>0</v>
      </c>
      <c r="R494">
        <v>0</v>
      </c>
      <c r="S494" s="7">
        <f>Tabla1[[#This Row],[TARIFA]]+Tabla1[[#This Row],[IMPORTE EXTRAS]]</f>
        <v>150</v>
      </c>
      <c r="T494" t="s">
        <v>45</v>
      </c>
      <c r="U494">
        <v>50</v>
      </c>
      <c r="V494">
        <v>100</v>
      </c>
      <c r="W494">
        <v>0</v>
      </c>
      <c r="X494">
        <v>0</v>
      </c>
      <c r="Z494" s="7">
        <f>SUM(Tabla1[[#This Row],[RES-A]:[EXTR-B]])</f>
        <v>150</v>
      </c>
      <c r="AA494" s="7">
        <f>Tabla1[[#This Row],[Columna1]]-Tabla1[[#This Row],[IMPORTE TOTAL]]</f>
        <v>0</v>
      </c>
    </row>
    <row r="495" spans="1:27" x14ac:dyDescent="0.2">
      <c r="A495">
        <v>2023</v>
      </c>
      <c r="B495" t="s">
        <v>57</v>
      </c>
      <c r="C495" s="3">
        <v>44989</v>
      </c>
      <c r="D495" s="3" t="s">
        <v>42</v>
      </c>
      <c r="E495" s="3" t="s">
        <v>46</v>
      </c>
      <c r="F495" s="3" t="s">
        <v>46</v>
      </c>
      <c r="G495" s="4">
        <v>0.64583333333333337</v>
      </c>
      <c r="H495" s="4">
        <v>0.85416666666666663</v>
      </c>
      <c r="I495" t="s">
        <v>31</v>
      </c>
      <c r="J495">
        <v>1</v>
      </c>
      <c r="L495" s="46"/>
      <c r="P495">
        <v>150</v>
      </c>
      <c r="Q495">
        <v>0</v>
      </c>
      <c r="R495">
        <v>0</v>
      </c>
      <c r="S495" s="7">
        <f>Tabla1[[#This Row],[TARIFA]]+Tabla1[[#This Row],[IMPORTE EXTRAS]]</f>
        <v>150</v>
      </c>
      <c r="T495" t="s">
        <v>45</v>
      </c>
      <c r="U495">
        <v>50</v>
      </c>
      <c r="V495">
        <v>100</v>
      </c>
      <c r="W495">
        <v>0</v>
      </c>
      <c r="X495">
        <v>0</v>
      </c>
      <c r="Z495" s="7">
        <f>SUM(Tabla1[[#This Row],[RES-A]:[EXTR-B]])</f>
        <v>150</v>
      </c>
      <c r="AA495" s="7">
        <f>Tabla1[[#This Row],[Columna1]]-Tabla1[[#This Row],[IMPORTE TOTAL]]</f>
        <v>0</v>
      </c>
    </row>
    <row r="496" spans="1:27" x14ac:dyDescent="0.2">
      <c r="A496">
        <v>2023</v>
      </c>
      <c r="B496" t="s">
        <v>57</v>
      </c>
      <c r="C496" s="3">
        <v>44989</v>
      </c>
      <c r="D496" s="3" t="s">
        <v>42</v>
      </c>
      <c r="E496" s="3" t="s">
        <v>46</v>
      </c>
      <c r="F496" s="3" t="s">
        <v>46</v>
      </c>
      <c r="G496" s="4">
        <v>0.89583333333333337</v>
      </c>
      <c r="H496" s="4">
        <v>0.10416666666666667</v>
      </c>
      <c r="I496" t="s">
        <v>35</v>
      </c>
      <c r="J496">
        <v>1</v>
      </c>
      <c r="L496" s="46"/>
      <c r="P496">
        <v>200</v>
      </c>
      <c r="Q496">
        <v>1</v>
      </c>
      <c r="R496">
        <v>60</v>
      </c>
      <c r="S496" s="7">
        <f>Tabla1[[#This Row],[TARIFA]]+Tabla1[[#This Row],[IMPORTE EXTRAS]]</f>
        <v>260</v>
      </c>
      <c r="T496" t="s">
        <v>45</v>
      </c>
      <c r="U496">
        <v>50</v>
      </c>
      <c r="V496">
        <v>150</v>
      </c>
      <c r="W496">
        <v>0</v>
      </c>
      <c r="X496">
        <v>60</v>
      </c>
      <c r="Z496" s="7">
        <f>SUM(Tabla1[[#This Row],[RES-A]:[EXTR-B]])</f>
        <v>260</v>
      </c>
      <c r="AA496" s="7">
        <f>Tabla1[[#This Row],[Columna1]]-Tabla1[[#This Row],[IMPORTE TOTAL]]</f>
        <v>0</v>
      </c>
    </row>
    <row r="497" spans="1:27" x14ac:dyDescent="0.2">
      <c r="A497">
        <v>2023</v>
      </c>
      <c r="B497" t="s">
        <v>57</v>
      </c>
      <c r="C497" s="3">
        <v>44995</v>
      </c>
      <c r="D497" s="3" t="s">
        <v>41</v>
      </c>
      <c r="E497" s="3" t="s">
        <v>46</v>
      </c>
      <c r="F497" s="3" t="s">
        <v>46</v>
      </c>
      <c r="G497" s="4">
        <v>0.64583333333333337</v>
      </c>
      <c r="H497" s="4">
        <v>0.85416666666666663</v>
      </c>
      <c r="I497" t="s">
        <v>31</v>
      </c>
      <c r="J497">
        <v>1</v>
      </c>
      <c r="L497" s="46"/>
      <c r="P497">
        <v>140</v>
      </c>
      <c r="Q497">
        <v>0</v>
      </c>
      <c r="R497">
        <v>0</v>
      </c>
      <c r="S497" s="7">
        <f>Tabla1[[#This Row],[TARIFA]]+Tabla1[[#This Row],[IMPORTE EXTRAS]]</f>
        <v>140</v>
      </c>
      <c r="T497" t="s">
        <v>45</v>
      </c>
      <c r="U497">
        <v>50</v>
      </c>
      <c r="V497">
        <v>90</v>
      </c>
      <c r="W497">
        <v>0</v>
      </c>
      <c r="X497">
        <v>0</v>
      </c>
      <c r="Z497" s="7">
        <f>SUM(Tabla1[[#This Row],[RES-A]:[EXTR-B]])</f>
        <v>140</v>
      </c>
      <c r="AA497" s="7">
        <f>Tabla1[[#This Row],[Columna1]]-Tabla1[[#This Row],[IMPORTE TOTAL]]</f>
        <v>0</v>
      </c>
    </row>
    <row r="498" spans="1:27" x14ac:dyDescent="0.2">
      <c r="A498">
        <v>2023</v>
      </c>
      <c r="B498" t="s">
        <v>57</v>
      </c>
      <c r="C498" s="3">
        <v>44995</v>
      </c>
      <c r="D498" s="3" t="s">
        <v>41</v>
      </c>
      <c r="E498" s="3" t="s">
        <v>46</v>
      </c>
      <c r="F498" s="3" t="s">
        <v>46</v>
      </c>
      <c r="G498" s="4">
        <v>0.89583333333333337</v>
      </c>
      <c r="H498" s="4">
        <v>0.10416666666666667</v>
      </c>
      <c r="I498" t="s">
        <v>35</v>
      </c>
      <c r="J498">
        <v>1</v>
      </c>
      <c r="L498" s="46"/>
      <c r="P498">
        <v>200</v>
      </c>
      <c r="Q498">
        <v>0</v>
      </c>
      <c r="R498">
        <v>0</v>
      </c>
      <c r="S498" s="7">
        <f>Tabla1[[#This Row],[TARIFA]]+Tabla1[[#This Row],[IMPORTE EXTRAS]]</f>
        <v>200</v>
      </c>
      <c r="T498" t="s">
        <v>45</v>
      </c>
      <c r="U498">
        <v>200</v>
      </c>
      <c r="V498">
        <v>0</v>
      </c>
      <c r="W498">
        <v>0</v>
      </c>
      <c r="X498">
        <v>0</v>
      </c>
      <c r="Z498" s="7">
        <f>SUM(Tabla1[[#This Row],[RES-A]:[EXTR-B]])</f>
        <v>200</v>
      </c>
      <c r="AA498" s="7">
        <f>Tabla1[[#This Row],[Columna1]]-Tabla1[[#This Row],[IMPORTE TOTAL]]</f>
        <v>0</v>
      </c>
    </row>
    <row r="499" spans="1:27" x14ac:dyDescent="0.2">
      <c r="A499">
        <v>2023</v>
      </c>
      <c r="B499" t="s">
        <v>57</v>
      </c>
      <c r="C499" s="3">
        <v>44996</v>
      </c>
      <c r="D499" s="3" t="s">
        <v>42</v>
      </c>
      <c r="E499" s="3" t="s">
        <v>46</v>
      </c>
      <c r="F499" s="3" t="s">
        <v>46</v>
      </c>
      <c r="G499" s="4">
        <v>0.39583333333333331</v>
      </c>
      <c r="H499" s="4">
        <v>0.60416666666666663</v>
      </c>
      <c r="I499" t="s">
        <v>30</v>
      </c>
      <c r="J499">
        <v>1</v>
      </c>
      <c r="L499" s="46"/>
      <c r="P499">
        <v>150</v>
      </c>
      <c r="Q499">
        <v>0</v>
      </c>
      <c r="R499">
        <v>0</v>
      </c>
      <c r="S499" s="7">
        <f>Tabla1[[#This Row],[TARIFA]]+Tabla1[[#This Row],[IMPORTE EXTRAS]]</f>
        <v>150</v>
      </c>
      <c r="T499" t="s">
        <v>45</v>
      </c>
      <c r="U499">
        <v>50</v>
      </c>
      <c r="V499">
        <v>100</v>
      </c>
      <c r="W499">
        <v>0</v>
      </c>
      <c r="X499">
        <v>0</v>
      </c>
      <c r="Z499" s="7">
        <f>SUM(Tabla1[[#This Row],[RES-A]:[EXTR-B]])</f>
        <v>150</v>
      </c>
      <c r="AA499" s="7">
        <f>Tabla1[[#This Row],[Columna1]]-Tabla1[[#This Row],[IMPORTE TOTAL]]</f>
        <v>0</v>
      </c>
    </row>
    <row r="500" spans="1:27" x14ac:dyDescent="0.2">
      <c r="A500">
        <v>2023</v>
      </c>
      <c r="B500" t="s">
        <v>57</v>
      </c>
      <c r="C500" s="3">
        <v>44996</v>
      </c>
      <c r="D500" s="3" t="s">
        <v>42</v>
      </c>
      <c r="E500" s="3" t="s">
        <v>46</v>
      </c>
      <c r="F500" s="3" t="s">
        <v>46</v>
      </c>
      <c r="G500" s="4">
        <v>0.64583333333333337</v>
      </c>
      <c r="H500" s="4">
        <v>0.85416666666666663</v>
      </c>
      <c r="I500" t="s">
        <v>31</v>
      </c>
      <c r="J500">
        <v>1</v>
      </c>
      <c r="L500" s="46"/>
      <c r="P500">
        <v>150</v>
      </c>
      <c r="Q500">
        <v>0</v>
      </c>
      <c r="R500">
        <v>0</v>
      </c>
      <c r="S500" s="7">
        <f>Tabla1[[#This Row],[TARIFA]]+Tabla1[[#This Row],[IMPORTE EXTRAS]]</f>
        <v>150</v>
      </c>
      <c r="T500" t="s">
        <v>45</v>
      </c>
      <c r="U500">
        <v>150</v>
      </c>
      <c r="V500">
        <v>0</v>
      </c>
      <c r="W500">
        <v>0</v>
      </c>
      <c r="X500">
        <v>0</v>
      </c>
      <c r="Z500" s="7">
        <f>SUM(Tabla1[[#This Row],[RES-A]:[EXTR-B]])</f>
        <v>150</v>
      </c>
      <c r="AA500" s="7">
        <f>Tabla1[[#This Row],[Columna1]]-Tabla1[[#This Row],[IMPORTE TOTAL]]</f>
        <v>0</v>
      </c>
    </row>
    <row r="501" spans="1:27" x14ac:dyDescent="0.2">
      <c r="A501">
        <v>2023</v>
      </c>
      <c r="B501" t="s">
        <v>57</v>
      </c>
      <c r="C501" s="3">
        <v>44996</v>
      </c>
      <c r="D501" s="3" t="s">
        <v>42</v>
      </c>
      <c r="E501" s="3" t="s">
        <v>46</v>
      </c>
      <c r="F501" s="3" t="s">
        <v>46</v>
      </c>
      <c r="G501" s="4">
        <v>0.89583333333333337</v>
      </c>
      <c r="H501" s="4">
        <v>0.10416666666666667</v>
      </c>
      <c r="I501" t="s">
        <v>35</v>
      </c>
      <c r="J501">
        <v>1</v>
      </c>
      <c r="L501" s="46"/>
      <c r="P501">
        <v>200</v>
      </c>
      <c r="Q501">
        <v>1</v>
      </c>
      <c r="R501">
        <v>60</v>
      </c>
      <c r="S501" s="7">
        <f>Tabla1[[#This Row],[TARIFA]]+Tabla1[[#This Row],[IMPORTE EXTRAS]]</f>
        <v>260</v>
      </c>
      <c r="T501" t="s">
        <v>45</v>
      </c>
      <c r="U501">
        <v>0</v>
      </c>
      <c r="V501">
        <v>200</v>
      </c>
      <c r="W501">
        <v>0</v>
      </c>
      <c r="X501">
        <v>60</v>
      </c>
      <c r="Y501" t="s">
        <v>444</v>
      </c>
      <c r="Z501" s="7">
        <f>SUM(Tabla1[[#This Row],[RES-A]:[EXTR-B]])</f>
        <v>260</v>
      </c>
      <c r="AA501" s="7">
        <f>Tabla1[[#This Row],[Columna1]]-Tabla1[[#This Row],[IMPORTE TOTAL]]</f>
        <v>0</v>
      </c>
    </row>
    <row r="502" spans="1:27" x14ac:dyDescent="0.2">
      <c r="A502">
        <v>2023</v>
      </c>
      <c r="B502" t="s">
        <v>57</v>
      </c>
      <c r="C502" s="3">
        <v>44997</v>
      </c>
      <c r="D502" s="3" t="s">
        <v>43</v>
      </c>
      <c r="E502" s="3" t="s">
        <v>46</v>
      </c>
      <c r="F502" s="3" t="s">
        <v>46</v>
      </c>
      <c r="G502" s="4">
        <v>0.39583333333333331</v>
      </c>
      <c r="H502" s="4">
        <v>0.60416666666666663</v>
      </c>
      <c r="I502" t="s">
        <v>30</v>
      </c>
      <c r="J502">
        <v>1</v>
      </c>
      <c r="L502" s="46"/>
      <c r="P502">
        <v>150</v>
      </c>
      <c r="Q502">
        <v>0</v>
      </c>
      <c r="R502">
        <v>0</v>
      </c>
      <c r="S502" s="7">
        <f>Tabla1[[#This Row],[TARIFA]]+Tabla1[[#This Row],[IMPORTE EXTRAS]]</f>
        <v>150</v>
      </c>
      <c r="T502" t="s">
        <v>45</v>
      </c>
      <c r="U502">
        <v>50</v>
      </c>
      <c r="V502">
        <v>100</v>
      </c>
      <c r="W502">
        <v>0</v>
      </c>
      <c r="X502">
        <v>0</v>
      </c>
      <c r="Z502" s="7">
        <f>SUM(Tabla1[[#This Row],[RES-A]:[EXTR-B]])</f>
        <v>150</v>
      </c>
      <c r="AA502" s="7">
        <f>Tabla1[[#This Row],[Columna1]]-Tabla1[[#This Row],[IMPORTE TOTAL]]</f>
        <v>0</v>
      </c>
    </row>
    <row r="503" spans="1:27" x14ac:dyDescent="0.2">
      <c r="A503">
        <v>2023</v>
      </c>
      <c r="B503" t="s">
        <v>57</v>
      </c>
      <c r="C503" s="3">
        <v>44997</v>
      </c>
      <c r="D503" s="3" t="s">
        <v>43</v>
      </c>
      <c r="E503" s="3" t="s">
        <v>46</v>
      </c>
      <c r="F503" s="3" t="s">
        <v>46</v>
      </c>
      <c r="G503" s="4">
        <v>0.64583333333333337</v>
      </c>
      <c r="H503" s="4">
        <v>0.85416666666666663</v>
      </c>
      <c r="I503" t="s">
        <v>31</v>
      </c>
      <c r="J503">
        <v>1</v>
      </c>
      <c r="L503" s="46"/>
      <c r="P503">
        <v>150</v>
      </c>
      <c r="Q503">
        <v>0</v>
      </c>
      <c r="R503">
        <v>0</v>
      </c>
      <c r="S503" s="7">
        <f>Tabla1[[#This Row],[TARIFA]]+Tabla1[[#This Row],[IMPORTE EXTRAS]]</f>
        <v>150</v>
      </c>
      <c r="T503" t="s">
        <v>45</v>
      </c>
      <c r="U503">
        <v>50</v>
      </c>
      <c r="V503">
        <v>100</v>
      </c>
      <c r="W503">
        <v>0</v>
      </c>
      <c r="X503">
        <v>0</v>
      </c>
      <c r="Y503" t="s">
        <v>505</v>
      </c>
      <c r="Z503" s="7">
        <f>SUM(Tabla1[[#This Row],[RES-A]:[EXTR-B]])</f>
        <v>150</v>
      </c>
      <c r="AA503" s="7">
        <f>Tabla1[[#This Row],[Columna1]]-Tabla1[[#This Row],[IMPORTE TOTAL]]</f>
        <v>0</v>
      </c>
    </row>
    <row r="504" spans="1:27" x14ac:dyDescent="0.2">
      <c r="A504">
        <v>2023</v>
      </c>
      <c r="B504" t="s">
        <v>57</v>
      </c>
      <c r="C504" s="3">
        <v>45002</v>
      </c>
      <c r="D504" s="3" t="s">
        <v>41</v>
      </c>
      <c r="E504" s="3" t="s">
        <v>46</v>
      </c>
      <c r="F504" s="3" t="s">
        <v>46</v>
      </c>
      <c r="G504" s="4">
        <v>0.64583333333333337</v>
      </c>
      <c r="H504" s="4">
        <v>0.85416666666666663</v>
      </c>
      <c r="I504" t="s">
        <v>31</v>
      </c>
      <c r="J504">
        <v>1</v>
      </c>
      <c r="L504" s="46"/>
      <c r="P504">
        <v>140</v>
      </c>
      <c r="Q504">
        <v>0</v>
      </c>
      <c r="R504">
        <v>0</v>
      </c>
      <c r="S504" s="7">
        <f>Tabla1[[#This Row],[TARIFA]]+Tabla1[[#This Row],[IMPORTE EXTRAS]]</f>
        <v>140</v>
      </c>
      <c r="T504" t="s">
        <v>45</v>
      </c>
      <c r="U504">
        <v>50</v>
      </c>
      <c r="V504">
        <v>90</v>
      </c>
      <c r="W504">
        <v>0</v>
      </c>
      <c r="X504">
        <v>0</v>
      </c>
      <c r="Z504" s="7">
        <f>SUM(Tabla1[[#This Row],[RES-A]:[EXTR-B]])</f>
        <v>140</v>
      </c>
      <c r="AA504" s="7">
        <f>Tabla1[[#This Row],[Columna1]]-Tabla1[[#This Row],[IMPORTE TOTAL]]</f>
        <v>0</v>
      </c>
    </row>
    <row r="505" spans="1:27" x14ac:dyDescent="0.2">
      <c r="A505">
        <v>2023</v>
      </c>
      <c r="B505" t="s">
        <v>57</v>
      </c>
      <c r="C505" s="3">
        <v>45003</v>
      </c>
      <c r="D505" s="3" t="s">
        <v>42</v>
      </c>
      <c r="E505" s="3" t="s">
        <v>46</v>
      </c>
      <c r="F505" s="3" t="s">
        <v>46</v>
      </c>
      <c r="G505" s="4">
        <v>0.39583333333333331</v>
      </c>
      <c r="H505" s="4">
        <v>0.60416666666666663</v>
      </c>
      <c r="I505" t="s">
        <v>30</v>
      </c>
      <c r="J505">
        <v>1</v>
      </c>
      <c r="L505" s="46"/>
      <c r="P505">
        <v>150</v>
      </c>
      <c r="Q505">
        <v>0</v>
      </c>
      <c r="R505">
        <v>0</v>
      </c>
      <c r="S505" s="7">
        <f>Tabla1[[#This Row],[TARIFA]]+Tabla1[[#This Row],[IMPORTE EXTRAS]]</f>
        <v>150</v>
      </c>
      <c r="T505" t="s">
        <v>45</v>
      </c>
      <c r="U505">
        <v>50</v>
      </c>
      <c r="V505">
        <v>100</v>
      </c>
      <c r="W505">
        <v>0</v>
      </c>
      <c r="X505">
        <v>0</v>
      </c>
      <c r="Y505" t="s">
        <v>471</v>
      </c>
      <c r="Z505" s="7">
        <f>SUM(Tabla1[[#This Row],[RES-A]:[EXTR-B]])</f>
        <v>150</v>
      </c>
      <c r="AA505" s="7">
        <f>Tabla1[[#This Row],[Columna1]]-Tabla1[[#This Row],[IMPORTE TOTAL]]</f>
        <v>0</v>
      </c>
    </row>
    <row r="506" spans="1:27" x14ac:dyDescent="0.2">
      <c r="A506">
        <v>2023</v>
      </c>
      <c r="B506" t="s">
        <v>57</v>
      </c>
      <c r="C506" s="3">
        <v>45003</v>
      </c>
      <c r="D506" s="3" t="s">
        <v>42</v>
      </c>
      <c r="E506" s="3" t="s">
        <v>46</v>
      </c>
      <c r="F506" s="3" t="s">
        <v>46</v>
      </c>
      <c r="G506" s="4">
        <v>0.64583333333333337</v>
      </c>
      <c r="H506" s="4">
        <v>0.85416666666666663</v>
      </c>
      <c r="I506" t="s">
        <v>31</v>
      </c>
      <c r="J506">
        <v>1</v>
      </c>
      <c r="L506" s="46"/>
      <c r="P506">
        <v>150</v>
      </c>
      <c r="Q506">
        <v>0</v>
      </c>
      <c r="R506">
        <v>0</v>
      </c>
      <c r="S506" s="7">
        <f>Tabla1[[#This Row],[TARIFA]]+Tabla1[[#This Row],[IMPORTE EXTRAS]]</f>
        <v>150</v>
      </c>
      <c r="T506" t="s">
        <v>45</v>
      </c>
      <c r="U506">
        <v>50</v>
      </c>
      <c r="V506">
        <v>100</v>
      </c>
      <c r="W506">
        <v>0</v>
      </c>
      <c r="X506">
        <v>0</v>
      </c>
      <c r="Y506" t="s">
        <v>459</v>
      </c>
      <c r="Z506" s="7">
        <f>SUM(Tabla1[[#This Row],[RES-A]:[EXTR-B]])</f>
        <v>150</v>
      </c>
      <c r="AA506" s="7">
        <f>Tabla1[[#This Row],[Columna1]]-Tabla1[[#This Row],[IMPORTE TOTAL]]</f>
        <v>0</v>
      </c>
    </row>
    <row r="507" spans="1:27" x14ac:dyDescent="0.2">
      <c r="A507">
        <v>2023</v>
      </c>
      <c r="B507" t="s">
        <v>57</v>
      </c>
      <c r="C507" s="3">
        <v>45003</v>
      </c>
      <c r="D507" s="3" t="s">
        <v>42</v>
      </c>
      <c r="E507" s="3" t="s">
        <v>46</v>
      </c>
      <c r="F507" s="3" t="s">
        <v>46</v>
      </c>
      <c r="G507" s="4">
        <v>0.89583333333333337</v>
      </c>
      <c r="H507" s="4">
        <v>0.10416666666666667</v>
      </c>
      <c r="I507" t="s">
        <v>35</v>
      </c>
      <c r="J507">
        <v>1</v>
      </c>
      <c r="L507" s="46"/>
      <c r="P507">
        <v>200</v>
      </c>
      <c r="Q507">
        <v>1</v>
      </c>
      <c r="R507">
        <v>60</v>
      </c>
      <c r="S507" s="7">
        <f>Tabla1[[#This Row],[TARIFA]]+Tabla1[[#This Row],[IMPORTE EXTRAS]]</f>
        <v>260</v>
      </c>
      <c r="T507" t="s">
        <v>45</v>
      </c>
      <c r="U507">
        <v>50</v>
      </c>
      <c r="V507">
        <v>150</v>
      </c>
      <c r="W507">
        <v>0</v>
      </c>
      <c r="X507">
        <v>60</v>
      </c>
      <c r="Y507" t="s">
        <v>508</v>
      </c>
      <c r="Z507" s="7">
        <f>SUM(Tabla1[[#This Row],[RES-A]:[EXTR-B]])</f>
        <v>260</v>
      </c>
      <c r="AA507" s="7">
        <f>Tabla1[[#This Row],[Columna1]]-Tabla1[[#This Row],[IMPORTE TOTAL]]</f>
        <v>0</v>
      </c>
    </row>
    <row r="508" spans="1:27" x14ac:dyDescent="0.2">
      <c r="A508">
        <v>2023</v>
      </c>
      <c r="B508" t="s">
        <v>57</v>
      </c>
      <c r="C508" s="3">
        <v>45004</v>
      </c>
      <c r="D508" s="3" t="s">
        <v>43</v>
      </c>
      <c r="E508" s="3" t="s">
        <v>46</v>
      </c>
      <c r="F508" s="3" t="s">
        <v>46</v>
      </c>
      <c r="G508" s="4">
        <v>0.39583333333333331</v>
      </c>
      <c r="H508" s="4">
        <v>0.60416666666666663</v>
      </c>
      <c r="I508" t="s">
        <v>30</v>
      </c>
      <c r="J508">
        <v>1</v>
      </c>
      <c r="L508" s="46"/>
      <c r="P508">
        <v>150</v>
      </c>
      <c r="Q508">
        <v>0</v>
      </c>
      <c r="R508">
        <v>0</v>
      </c>
      <c r="S508" s="7">
        <f>Tabla1[[#This Row],[TARIFA]]+Tabla1[[#This Row],[IMPORTE EXTRAS]]</f>
        <v>150</v>
      </c>
      <c r="T508" t="s">
        <v>45</v>
      </c>
      <c r="U508">
        <v>50</v>
      </c>
      <c r="V508">
        <v>100</v>
      </c>
      <c r="W508">
        <v>0</v>
      </c>
      <c r="X508">
        <v>0</v>
      </c>
      <c r="Z508" s="7">
        <f>SUM(Tabla1[[#This Row],[RES-A]:[EXTR-B]])</f>
        <v>150</v>
      </c>
      <c r="AA508" s="7">
        <f>Tabla1[[#This Row],[Columna1]]-Tabla1[[#This Row],[IMPORTE TOTAL]]</f>
        <v>0</v>
      </c>
    </row>
    <row r="509" spans="1:27" x14ac:dyDescent="0.2">
      <c r="A509">
        <v>2023</v>
      </c>
      <c r="B509" t="s">
        <v>57</v>
      </c>
      <c r="C509" s="3">
        <v>45004</v>
      </c>
      <c r="D509" s="3" t="s">
        <v>43</v>
      </c>
      <c r="E509" s="3" t="s">
        <v>46</v>
      </c>
      <c r="F509" s="3" t="s">
        <v>46</v>
      </c>
      <c r="G509" s="4">
        <v>0.64583333333333337</v>
      </c>
      <c r="H509" s="4">
        <v>0.85416666666666663</v>
      </c>
      <c r="I509" t="s">
        <v>31</v>
      </c>
      <c r="J509">
        <v>1</v>
      </c>
      <c r="L509" s="46"/>
      <c r="P509">
        <v>150</v>
      </c>
      <c r="Q509">
        <v>0</v>
      </c>
      <c r="R509">
        <v>0</v>
      </c>
      <c r="S509" s="7">
        <f>Tabla1[[#This Row],[TARIFA]]+Tabla1[[#This Row],[IMPORTE EXTRAS]]</f>
        <v>150</v>
      </c>
      <c r="T509" t="s">
        <v>45</v>
      </c>
      <c r="U509">
        <v>50</v>
      </c>
      <c r="V509">
        <v>100</v>
      </c>
      <c r="W509">
        <v>0</v>
      </c>
      <c r="X509">
        <v>0</v>
      </c>
      <c r="Z509" s="7">
        <f>SUM(Tabla1[[#This Row],[RES-A]:[EXTR-B]])</f>
        <v>150</v>
      </c>
      <c r="AA509" s="7">
        <f>Tabla1[[#This Row],[Columna1]]-Tabla1[[#This Row],[IMPORTE TOTAL]]</f>
        <v>0</v>
      </c>
    </row>
    <row r="510" spans="1:27" x14ac:dyDescent="0.2">
      <c r="A510">
        <v>2023</v>
      </c>
      <c r="B510" t="s">
        <v>57</v>
      </c>
      <c r="C510" s="3">
        <v>45005</v>
      </c>
      <c r="D510" s="3" t="s">
        <v>37</v>
      </c>
      <c r="E510" s="3" t="s">
        <v>46</v>
      </c>
      <c r="F510" s="3" t="s">
        <v>46</v>
      </c>
      <c r="G510" s="4">
        <v>0.64583333333333337</v>
      </c>
      <c r="H510" s="4">
        <v>0.85416666666666663</v>
      </c>
      <c r="I510" t="s">
        <v>31</v>
      </c>
      <c r="J510">
        <v>1</v>
      </c>
      <c r="L510" s="46"/>
      <c r="P510">
        <v>95</v>
      </c>
      <c r="Q510">
        <v>0</v>
      </c>
      <c r="R510">
        <v>0</v>
      </c>
      <c r="S510" s="7">
        <f>Tabla1[[#This Row],[TARIFA]]+Tabla1[[#This Row],[IMPORTE EXTRAS]]</f>
        <v>95</v>
      </c>
      <c r="T510" t="s">
        <v>45</v>
      </c>
      <c r="U510">
        <v>0</v>
      </c>
      <c r="V510">
        <v>95</v>
      </c>
      <c r="W510">
        <v>0</v>
      </c>
      <c r="X510">
        <v>0</v>
      </c>
      <c r="Y510" t="s">
        <v>512</v>
      </c>
      <c r="Z510" s="7">
        <f>SUM(Tabla1[[#This Row],[RES-A]:[EXTR-B]])</f>
        <v>95</v>
      </c>
      <c r="AA510" s="7">
        <f>Tabla1[[#This Row],[Columna1]]-Tabla1[[#This Row],[IMPORTE TOTAL]]</f>
        <v>0</v>
      </c>
    </row>
    <row r="511" spans="1:27" x14ac:dyDescent="0.2">
      <c r="A511">
        <v>2023</v>
      </c>
      <c r="B511" t="s">
        <v>57</v>
      </c>
      <c r="C511" s="3">
        <v>45009</v>
      </c>
      <c r="D511" s="3" t="s">
        <v>41</v>
      </c>
      <c r="E511" s="3" t="s">
        <v>46</v>
      </c>
      <c r="F511" s="3" t="s">
        <v>46</v>
      </c>
      <c r="G511" s="4">
        <v>0.64583333333333337</v>
      </c>
      <c r="H511" s="4">
        <v>0.85416666666666663</v>
      </c>
      <c r="I511" t="s">
        <v>31</v>
      </c>
      <c r="J511">
        <v>1</v>
      </c>
      <c r="L511" s="46"/>
      <c r="P511">
        <v>140</v>
      </c>
      <c r="Q511">
        <v>0</v>
      </c>
      <c r="R511">
        <v>0</v>
      </c>
      <c r="S511" s="7">
        <f>Tabla1[[#This Row],[TARIFA]]+Tabla1[[#This Row],[IMPORTE EXTRAS]]</f>
        <v>140</v>
      </c>
      <c r="T511" t="s">
        <v>45</v>
      </c>
      <c r="U511">
        <v>50</v>
      </c>
      <c r="V511">
        <v>90</v>
      </c>
      <c r="W511">
        <v>0</v>
      </c>
      <c r="X511">
        <v>0</v>
      </c>
      <c r="Y511" t="s">
        <v>513</v>
      </c>
      <c r="Z511" s="7">
        <f>SUM(Tabla1[[#This Row],[RES-A]:[EXTR-B]])</f>
        <v>140</v>
      </c>
      <c r="AA511" s="7">
        <f>Tabla1[[#This Row],[Columna1]]-Tabla1[[#This Row],[IMPORTE TOTAL]]</f>
        <v>0</v>
      </c>
    </row>
    <row r="512" spans="1:27" x14ac:dyDescent="0.2">
      <c r="A512">
        <v>2023</v>
      </c>
      <c r="B512" t="s">
        <v>57</v>
      </c>
      <c r="C512" s="3">
        <v>45010</v>
      </c>
      <c r="D512" s="3" t="s">
        <v>42</v>
      </c>
      <c r="E512" s="3" t="s">
        <v>46</v>
      </c>
      <c r="F512" s="3" t="s">
        <v>46</v>
      </c>
      <c r="G512" s="4">
        <v>0.39583333333333331</v>
      </c>
      <c r="H512" s="4">
        <v>0.60416666666666663</v>
      </c>
      <c r="I512" t="s">
        <v>30</v>
      </c>
      <c r="J512">
        <v>1</v>
      </c>
      <c r="L512" s="46"/>
      <c r="P512">
        <v>150</v>
      </c>
      <c r="Q512">
        <v>0</v>
      </c>
      <c r="R512">
        <v>0</v>
      </c>
      <c r="S512" s="7">
        <f>Tabla1[[#This Row],[TARIFA]]+Tabla1[[#This Row],[IMPORTE EXTRAS]]</f>
        <v>150</v>
      </c>
      <c r="T512" t="s">
        <v>45</v>
      </c>
      <c r="U512">
        <v>50</v>
      </c>
      <c r="V512">
        <v>100</v>
      </c>
      <c r="W512">
        <v>0</v>
      </c>
      <c r="X512">
        <v>0</v>
      </c>
      <c r="Z512" s="7">
        <f>SUM(Tabla1[[#This Row],[RES-A]:[EXTR-B]])</f>
        <v>150</v>
      </c>
      <c r="AA512" s="7">
        <f>Tabla1[[#This Row],[Columna1]]-Tabla1[[#This Row],[IMPORTE TOTAL]]</f>
        <v>0</v>
      </c>
    </row>
    <row r="513" spans="1:27" x14ac:dyDescent="0.2">
      <c r="A513">
        <v>2023</v>
      </c>
      <c r="B513" t="s">
        <v>57</v>
      </c>
      <c r="C513" s="3">
        <v>45010</v>
      </c>
      <c r="D513" s="3" t="s">
        <v>42</v>
      </c>
      <c r="E513" s="3" t="s">
        <v>46</v>
      </c>
      <c r="F513" s="3" t="s">
        <v>46</v>
      </c>
      <c r="G513" s="4">
        <v>0.64583333333333337</v>
      </c>
      <c r="H513" s="4">
        <v>0.85416666666666663</v>
      </c>
      <c r="I513" t="s">
        <v>31</v>
      </c>
      <c r="J513">
        <v>1</v>
      </c>
      <c r="L513" s="46"/>
      <c r="P513">
        <v>150</v>
      </c>
      <c r="Q513">
        <v>0</v>
      </c>
      <c r="R513">
        <v>0</v>
      </c>
      <c r="S513" s="7">
        <f>Tabla1[[#This Row],[TARIFA]]+Tabla1[[#This Row],[IMPORTE EXTRAS]]</f>
        <v>150</v>
      </c>
      <c r="T513" t="s">
        <v>45</v>
      </c>
      <c r="U513">
        <v>150</v>
      </c>
      <c r="V513">
        <v>0</v>
      </c>
      <c r="W513">
        <v>0</v>
      </c>
      <c r="X513">
        <v>0</v>
      </c>
      <c r="Z513" s="7">
        <f>SUM(Tabla1[[#This Row],[RES-A]:[EXTR-B]])</f>
        <v>150</v>
      </c>
      <c r="AA513" s="7">
        <f>Tabla1[[#This Row],[Columna1]]-Tabla1[[#This Row],[IMPORTE TOTAL]]</f>
        <v>0</v>
      </c>
    </row>
    <row r="514" spans="1:27" x14ac:dyDescent="0.2">
      <c r="A514">
        <v>2023</v>
      </c>
      <c r="B514" t="s">
        <v>57</v>
      </c>
      <c r="C514" s="3">
        <v>45011</v>
      </c>
      <c r="D514" s="3" t="s">
        <v>43</v>
      </c>
      <c r="E514" s="3" t="s">
        <v>46</v>
      </c>
      <c r="F514" s="3" t="s">
        <v>46</v>
      </c>
      <c r="G514" s="4">
        <v>0.39583333333333331</v>
      </c>
      <c r="H514" s="4">
        <v>0.60416666666666663</v>
      </c>
      <c r="I514" t="s">
        <v>30</v>
      </c>
      <c r="J514">
        <v>1</v>
      </c>
      <c r="L514" s="46"/>
      <c r="P514">
        <v>150</v>
      </c>
      <c r="Q514">
        <v>0</v>
      </c>
      <c r="R514">
        <v>0</v>
      </c>
      <c r="S514" s="7">
        <f>Tabla1[[#This Row],[TARIFA]]+Tabla1[[#This Row],[IMPORTE EXTRAS]]</f>
        <v>150</v>
      </c>
      <c r="T514" t="s">
        <v>45</v>
      </c>
      <c r="U514">
        <v>50</v>
      </c>
      <c r="V514">
        <v>100</v>
      </c>
      <c r="W514">
        <v>0</v>
      </c>
      <c r="X514">
        <v>0</v>
      </c>
      <c r="Z514" s="7">
        <f>SUM(Tabla1[[#This Row],[RES-A]:[EXTR-B]])</f>
        <v>150</v>
      </c>
      <c r="AA514" s="7">
        <f>Tabla1[[#This Row],[Columna1]]-Tabla1[[#This Row],[IMPORTE TOTAL]]</f>
        <v>0</v>
      </c>
    </row>
    <row r="515" spans="1:27" x14ac:dyDescent="0.2">
      <c r="A515">
        <v>2023</v>
      </c>
      <c r="B515" t="s">
        <v>57</v>
      </c>
      <c r="C515" s="3">
        <v>45011</v>
      </c>
      <c r="D515" s="3" t="s">
        <v>43</v>
      </c>
      <c r="E515" s="3" t="s">
        <v>46</v>
      </c>
      <c r="F515" s="3" t="s">
        <v>46</v>
      </c>
      <c r="G515" s="4">
        <v>0.64583333333333337</v>
      </c>
      <c r="H515" s="4">
        <v>0.85416666666666663</v>
      </c>
      <c r="I515" t="s">
        <v>31</v>
      </c>
      <c r="J515">
        <v>1</v>
      </c>
      <c r="L515" s="46"/>
      <c r="P515">
        <v>150</v>
      </c>
      <c r="Q515">
        <v>0</v>
      </c>
      <c r="R515">
        <v>0</v>
      </c>
      <c r="S515" s="7">
        <f>Tabla1[[#This Row],[TARIFA]]+Tabla1[[#This Row],[IMPORTE EXTRAS]]</f>
        <v>150</v>
      </c>
      <c r="T515" t="s">
        <v>45</v>
      </c>
      <c r="U515">
        <v>50</v>
      </c>
      <c r="V515">
        <v>100</v>
      </c>
      <c r="W515">
        <v>0</v>
      </c>
      <c r="X515">
        <v>0</v>
      </c>
      <c r="Z515" s="7">
        <f>SUM(Tabla1[[#This Row],[RES-A]:[EXTR-B]])</f>
        <v>150</v>
      </c>
      <c r="AA515" s="7">
        <f>Tabla1[[#This Row],[Columna1]]-Tabla1[[#This Row],[IMPORTE TOTAL]]</f>
        <v>0</v>
      </c>
    </row>
    <row r="516" spans="1:27" x14ac:dyDescent="0.2">
      <c r="A516">
        <v>2023</v>
      </c>
      <c r="B516" t="s">
        <v>57</v>
      </c>
      <c r="C516" s="3">
        <v>45016</v>
      </c>
      <c r="D516" s="3" t="s">
        <v>41</v>
      </c>
      <c r="E516" s="3" t="s">
        <v>46</v>
      </c>
      <c r="F516" s="3" t="s">
        <v>46</v>
      </c>
      <c r="G516" s="4">
        <v>0.64583333333333337</v>
      </c>
      <c r="H516" s="4">
        <v>0.85416666666666663</v>
      </c>
      <c r="I516" t="s">
        <v>31</v>
      </c>
      <c r="J516">
        <v>1</v>
      </c>
      <c r="L516" s="46"/>
      <c r="P516">
        <v>140</v>
      </c>
      <c r="Q516">
        <v>0</v>
      </c>
      <c r="R516">
        <v>0</v>
      </c>
      <c r="S516" s="7">
        <f>Tabla1[[#This Row],[TARIFA]]+Tabla1[[#This Row],[IMPORTE EXTRAS]]</f>
        <v>140</v>
      </c>
      <c r="T516" t="s">
        <v>45</v>
      </c>
      <c r="U516">
        <v>50</v>
      </c>
      <c r="V516">
        <v>90</v>
      </c>
      <c r="W516">
        <v>0</v>
      </c>
      <c r="X516">
        <v>0</v>
      </c>
      <c r="Y516" t="s">
        <v>471</v>
      </c>
      <c r="Z516" s="7">
        <f>SUM(Tabla1[[#This Row],[RES-A]:[EXTR-B]])</f>
        <v>140</v>
      </c>
      <c r="AA516" s="7">
        <f>Tabla1[[#This Row],[Columna1]]-Tabla1[[#This Row],[IMPORTE TOTAL]]</f>
        <v>0</v>
      </c>
    </row>
    <row r="517" spans="1:27" x14ac:dyDescent="0.2">
      <c r="A517">
        <v>2023</v>
      </c>
      <c r="B517" t="s">
        <v>57</v>
      </c>
      <c r="C517" s="3">
        <v>45016</v>
      </c>
      <c r="D517" s="3" t="s">
        <v>41</v>
      </c>
      <c r="E517" s="3" t="s">
        <v>46</v>
      </c>
      <c r="F517" s="3" t="s">
        <v>46</v>
      </c>
      <c r="G517" s="4">
        <v>0.89583333333333337</v>
      </c>
      <c r="H517" s="4">
        <v>0.10416666666666667</v>
      </c>
      <c r="I517" t="s">
        <v>35</v>
      </c>
      <c r="J517">
        <v>1</v>
      </c>
      <c r="L517" s="46"/>
      <c r="P517">
        <v>200</v>
      </c>
      <c r="Q517">
        <v>0</v>
      </c>
      <c r="R517">
        <v>0</v>
      </c>
      <c r="S517" s="7">
        <f>Tabla1[[#This Row],[TARIFA]]+Tabla1[[#This Row],[IMPORTE EXTRAS]]</f>
        <v>200</v>
      </c>
      <c r="T517" t="s">
        <v>45</v>
      </c>
      <c r="U517">
        <v>0</v>
      </c>
      <c r="V517">
        <v>200</v>
      </c>
      <c r="W517">
        <v>0</v>
      </c>
      <c r="X517">
        <v>0</v>
      </c>
      <c r="Y517" t="s">
        <v>473</v>
      </c>
      <c r="Z517" s="7">
        <f>SUM(Tabla1[[#This Row],[RES-A]:[EXTR-B]])</f>
        <v>200</v>
      </c>
      <c r="AA517" s="7">
        <f>Tabla1[[#This Row],[Columna1]]-Tabla1[[#This Row],[IMPORTE TOTAL]]</f>
        <v>0</v>
      </c>
    </row>
    <row r="518" spans="1:27" x14ac:dyDescent="0.2">
      <c r="A518">
        <v>2023</v>
      </c>
      <c r="B518" t="s">
        <v>58</v>
      </c>
      <c r="C518" s="3">
        <v>45017</v>
      </c>
      <c r="D518" s="3" t="s">
        <v>42</v>
      </c>
      <c r="E518" s="3" t="s">
        <v>46</v>
      </c>
      <c r="F518" s="3" t="s">
        <v>46</v>
      </c>
      <c r="G518" s="4">
        <v>0.39583333333333331</v>
      </c>
      <c r="H518" s="4">
        <v>0.60416666666666663</v>
      </c>
      <c r="I518" t="s">
        <v>30</v>
      </c>
      <c r="J518">
        <v>1</v>
      </c>
      <c r="L518" s="46"/>
      <c r="P518">
        <v>150</v>
      </c>
      <c r="Q518">
        <v>0</v>
      </c>
      <c r="R518">
        <v>0</v>
      </c>
      <c r="S518" s="7">
        <f>Tabla1[[#This Row],[TARIFA]]+Tabla1[[#This Row],[IMPORTE EXTRAS]]</f>
        <v>150</v>
      </c>
      <c r="T518" t="s">
        <v>45</v>
      </c>
      <c r="U518">
        <v>50</v>
      </c>
      <c r="V518">
        <v>100</v>
      </c>
      <c r="W518">
        <v>0</v>
      </c>
      <c r="X518">
        <v>0</v>
      </c>
      <c r="Z518" s="7">
        <f>SUM(Tabla1[[#This Row],[RES-A]:[EXTR-B]])</f>
        <v>150</v>
      </c>
      <c r="AA518" s="7">
        <f>Tabla1[[#This Row],[Columna1]]-Tabla1[[#This Row],[IMPORTE TOTAL]]</f>
        <v>0</v>
      </c>
    </row>
    <row r="519" spans="1:27" x14ac:dyDescent="0.2">
      <c r="A519">
        <v>2023</v>
      </c>
      <c r="B519" t="s">
        <v>58</v>
      </c>
      <c r="C519" s="3">
        <v>45017</v>
      </c>
      <c r="D519" s="3" t="s">
        <v>42</v>
      </c>
      <c r="E519" s="3" t="s">
        <v>46</v>
      </c>
      <c r="F519" s="3" t="s">
        <v>46</v>
      </c>
      <c r="G519" s="4">
        <v>0.64583333333333337</v>
      </c>
      <c r="H519" s="4">
        <v>0.85416666666666663</v>
      </c>
      <c r="I519" t="s">
        <v>31</v>
      </c>
      <c r="J519">
        <v>1</v>
      </c>
      <c r="L519" s="46"/>
      <c r="P519">
        <v>150</v>
      </c>
      <c r="Q519">
        <v>0</v>
      </c>
      <c r="R519">
        <v>0</v>
      </c>
      <c r="S519" s="7">
        <f>Tabla1[[#This Row],[TARIFA]]+Tabla1[[#This Row],[IMPORTE EXTRAS]]</f>
        <v>150</v>
      </c>
      <c r="T519" t="s">
        <v>45</v>
      </c>
      <c r="U519">
        <v>50</v>
      </c>
      <c r="V519">
        <v>100</v>
      </c>
      <c r="W519">
        <v>0</v>
      </c>
      <c r="X519">
        <v>0</v>
      </c>
      <c r="Z519" s="7">
        <f>SUM(Tabla1[[#This Row],[RES-A]:[EXTR-B]])</f>
        <v>150</v>
      </c>
      <c r="AA519" s="7">
        <f>Tabla1[[#This Row],[Columna1]]-Tabla1[[#This Row],[IMPORTE TOTAL]]</f>
        <v>0</v>
      </c>
    </row>
    <row r="520" spans="1:27" x14ac:dyDescent="0.2">
      <c r="A520">
        <v>2023</v>
      </c>
      <c r="B520" t="s">
        <v>58</v>
      </c>
      <c r="C520" s="3">
        <v>45017</v>
      </c>
      <c r="D520" s="3" t="s">
        <v>42</v>
      </c>
      <c r="E520" s="3" t="s">
        <v>46</v>
      </c>
      <c r="F520" s="3" t="s">
        <v>46</v>
      </c>
      <c r="G520" s="4">
        <v>0.89583333333333337</v>
      </c>
      <c r="H520" s="4">
        <v>0.10416666666666667</v>
      </c>
      <c r="I520" t="s">
        <v>35</v>
      </c>
      <c r="J520">
        <v>1</v>
      </c>
      <c r="L520" s="46"/>
      <c r="P520">
        <v>200</v>
      </c>
      <c r="Q520">
        <v>0</v>
      </c>
      <c r="R520">
        <v>0</v>
      </c>
      <c r="S520" s="7">
        <f>Tabla1[[#This Row],[TARIFA]]+Tabla1[[#This Row],[IMPORTE EXTRAS]]</f>
        <v>200</v>
      </c>
      <c r="T520" t="s">
        <v>45</v>
      </c>
      <c r="U520">
        <v>50</v>
      </c>
      <c r="V520">
        <v>150</v>
      </c>
      <c r="W520">
        <v>0</v>
      </c>
      <c r="X520">
        <v>0</v>
      </c>
      <c r="Z520" s="7">
        <f>SUM(Tabla1[[#This Row],[RES-A]:[EXTR-B]])</f>
        <v>200</v>
      </c>
      <c r="AA520" s="7">
        <f>Tabla1[[#This Row],[Columna1]]-Tabla1[[#This Row],[IMPORTE TOTAL]]</f>
        <v>0</v>
      </c>
    </row>
    <row r="521" spans="1:27" x14ac:dyDescent="0.2">
      <c r="A521">
        <v>2023</v>
      </c>
      <c r="B521" t="s">
        <v>58</v>
      </c>
      <c r="C521" s="3">
        <v>45018</v>
      </c>
      <c r="D521" s="3" t="s">
        <v>43</v>
      </c>
      <c r="E521" s="3" t="s">
        <v>46</v>
      </c>
      <c r="F521" s="3" t="s">
        <v>46</v>
      </c>
      <c r="G521" s="4">
        <v>0.39583333333333331</v>
      </c>
      <c r="H521" s="4">
        <v>0.85416666666666663</v>
      </c>
      <c r="I521" t="s">
        <v>32</v>
      </c>
      <c r="J521">
        <v>2</v>
      </c>
      <c r="L521" s="46"/>
      <c r="P521">
        <v>290</v>
      </c>
      <c r="Q521">
        <v>0</v>
      </c>
      <c r="R521">
        <v>0</v>
      </c>
      <c r="S521" s="7">
        <f>Tabla1[[#This Row],[TARIFA]]+Tabla1[[#This Row],[IMPORTE EXTRAS]]</f>
        <v>290</v>
      </c>
      <c r="T521" t="s">
        <v>45</v>
      </c>
      <c r="U521">
        <v>50</v>
      </c>
      <c r="V521">
        <v>240</v>
      </c>
      <c r="W521">
        <v>0</v>
      </c>
      <c r="X521">
        <v>0</v>
      </c>
      <c r="Y521" t="s">
        <v>519</v>
      </c>
      <c r="Z521" s="7">
        <f>SUM(Tabla1[[#This Row],[RES-A]:[EXTR-B]])</f>
        <v>290</v>
      </c>
      <c r="AA521" s="7">
        <f>Tabla1[[#This Row],[Columna1]]-Tabla1[[#This Row],[IMPORTE TOTAL]]</f>
        <v>0</v>
      </c>
    </row>
    <row r="522" spans="1:27" x14ac:dyDescent="0.2">
      <c r="A522">
        <v>2023</v>
      </c>
      <c r="B522" t="s">
        <v>58</v>
      </c>
      <c r="C522" s="3">
        <v>45023</v>
      </c>
      <c r="D522" s="3" t="s">
        <v>41</v>
      </c>
      <c r="E522" s="3" t="s">
        <v>46</v>
      </c>
      <c r="F522" s="3" t="s">
        <v>46</v>
      </c>
      <c r="G522" s="4">
        <v>0.64583333333333337</v>
      </c>
      <c r="H522" s="4">
        <v>0.85416666666666663</v>
      </c>
      <c r="I522" t="s">
        <v>31</v>
      </c>
      <c r="J522">
        <v>1</v>
      </c>
      <c r="L522" s="46"/>
      <c r="P522">
        <v>150</v>
      </c>
      <c r="Q522">
        <v>0</v>
      </c>
      <c r="R522">
        <v>0</v>
      </c>
      <c r="S522" s="7">
        <f>Tabla1[[#This Row],[TARIFA]]+Tabla1[[#This Row],[IMPORTE EXTRAS]]</f>
        <v>150</v>
      </c>
      <c r="T522" t="s">
        <v>45</v>
      </c>
      <c r="U522">
        <v>50</v>
      </c>
      <c r="V522">
        <v>100</v>
      </c>
      <c r="W522">
        <v>0</v>
      </c>
      <c r="X522">
        <v>0</v>
      </c>
      <c r="Y522" t="s">
        <v>451</v>
      </c>
      <c r="Z522" s="7">
        <f>SUM(Tabla1[[#This Row],[RES-A]:[EXTR-B]])</f>
        <v>150</v>
      </c>
      <c r="AA522" s="7">
        <f>Tabla1[[#This Row],[Columna1]]-Tabla1[[#This Row],[IMPORTE TOTAL]]</f>
        <v>0</v>
      </c>
    </row>
    <row r="523" spans="1:27" x14ac:dyDescent="0.2">
      <c r="A523">
        <v>2023</v>
      </c>
      <c r="B523" t="s">
        <v>58</v>
      </c>
      <c r="C523" s="3">
        <v>45023</v>
      </c>
      <c r="D523" s="3" t="s">
        <v>41</v>
      </c>
      <c r="E523" s="3" t="s">
        <v>46</v>
      </c>
      <c r="F523" s="3" t="s">
        <v>46</v>
      </c>
      <c r="G523" s="4">
        <v>0.89583333333333337</v>
      </c>
      <c r="H523" s="4">
        <v>0.10416666666666667</v>
      </c>
      <c r="I523" t="s">
        <v>35</v>
      </c>
      <c r="J523">
        <v>1</v>
      </c>
      <c r="L523" s="46"/>
      <c r="P523">
        <v>200</v>
      </c>
      <c r="Q523">
        <v>0</v>
      </c>
      <c r="R523">
        <v>0</v>
      </c>
      <c r="S523" s="7">
        <f>Tabla1[[#This Row],[TARIFA]]+Tabla1[[#This Row],[IMPORTE EXTRAS]]</f>
        <v>200</v>
      </c>
      <c r="T523" t="s">
        <v>45</v>
      </c>
      <c r="U523">
        <v>50</v>
      </c>
      <c r="V523">
        <v>150</v>
      </c>
      <c r="W523">
        <v>0</v>
      </c>
      <c r="X523">
        <v>0</v>
      </c>
      <c r="Z523" s="7">
        <f>SUM(Tabla1[[#This Row],[RES-A]:[EXTR-B]])</f>
        <v>200</v>
      </c>
      <c r="AA523" s="7">
        <f>Tabla1[[#This Row],[Columna1]]-Tabla1[[#This Row],[IMPORTE TOTAL]]</f>
        <v>0</v>
      </c>
    </row>
    <row r="524" spans="1:27" x14ac:dyDescent="0.2">
      <c r="A524">
        <v>2023</v>
      </c>
      <c r="B524" t="s">
        <v>58</v>
      </c>
      <c r="C524" s="3">
        <v>45024</v>
      </c>
      <c r="D524" s="3" t="s">
        <v>42</v>
      </c>
      <c r="E524" s="3" t="s">
        <v>46</v>
      </c>
      <c r="F524" s="3" t="s">
        <v>46</v>
      </c>
      <c r="G524" s="4">
        <v>0.64583333333333337</v>
      </c>
      <c r="H524" s="4">
        <v>0.10416666666666667</v>
      </c>
      <c r="I524" t="s">
        <v>53</v>
      </c>
      <c r="J524">
        <v>2</v>
      </c>
      <c r="L524" s="46"/>
      <c r="P524">
        <v>320</v>
      </c>
      <c r="Q524">
        <v>0</v>
      </c>
      <c r="R524">
        <v>0</v>
      </c>
      <c r="S524" s="7">
        <f>Tabla1[[#This Row],[TARIFA]]+Tabla1[[#This Row],[IMPORTE EXTRAS]]</f>
        <v>320</v>
      </c>
      <c r="T524" t="s">
        <v>45</v>
      </c>
      <c r="U524">
        <v>50</v>
      </c>
      <c r="V524">
        <v>270</v>
      </c>
      <c r="W524">
        <v>0</v>
      </c>
      <c r="X524">
        <v>0</v>
      </c>
      <c r="Z524" s="7">
        <f>SUM(Tabla1[[#This Row],[RES-A]:[EXTR-B]])</f>
        <v>320</v>
      </c>
      <c r="AA524" s="7">
        <f>Tabla1[[#This Row],[Columna1]]-Tabla1[[#This Row],[IMPORTE TOTAL]]</f>
        <v>0</v>
      </c>
    </row>
    <row r="525" spans="1:27" x14ac:dyDescent="0.2">
      <c r="A525">
        <v>2023</v>
      </c>
      <c r="B525" t="s">
        <v>58</v>
      </c>
      <c r="C525" s="3">
        <v>45025</v>
      </c>
      <c r="D525" s="3" t="s">
        <v>43</v>
      </c>
      <c r="E525" s="3" t="s">
        <v>46</v>
      </c>
      <c r="F525" s="3" t="s">
        <v>46</v>
      </c>
      <c r="G525" s="4">
        <v>0.64583333333333337</v>
      </c>
      <c r="H525" s="4">
        <v>0.85416666666666663</v>
      </c>
      <c r="I525" t="s">
        <v>31</v>
      </c>
      <c r="J525">
        <v>1</v>
      </c>
      <c r="L525" s="46"/>
      <c r="P525">
        <v>150</v>
      </c>
      <c r="Q525">
        <v>0</v>
      </c>
      <c r="R525">
        <v>0</v>
      </c>
      <c r="S525" s="7">
        <f>Tabla1[[#This Row],[TARIFA]]+Tabla1[[#This Row],[IMPORTE EXTRAS]]</f>
        <v>150</v>
      </c>
      <c r="T525" t="s">
        <v>45</v>
      </c>
      <c r="U525">
        <v>50</v>
      </c>
      <c r="V525">
        <v>100</v>
      </c>
      <c r="W525">
        <v>0</v>
      </c>
      <c r="X525">
        <v>0</v>
      </c>
      <c r="Z525" s="7">
        <f>SUM(Tabla1[[#This Row],[RES-A]:[EXTR-B]])</f>
        <v>150</v>
      </c>
      <c r="AA525" s="7">
        <f>Tabla1[[#This Row],[Columna1]]-Tabla1[[#This Row],[IMPORTE TOTAL]]</f>
        <v>0</v>
      </c>
    </row>
    <row r="526" spans="1:27" x14ac:dyDescent="0.2">
      <c r="A526">
        <v>2023</v>
      </c>
      <c r="B526" t="s">
        <v>58</v>
      </c>
      <c r="C526" s="3">
        <v>45030</v>
      </c>
      <c r="D526" s="3" t="s">
        <v>41</v>
      </c>
      <c r="E526" s="3" t="s">
        <v>46</v>
      </c>
      <c r="F526" s="3" t="s">
        <v>46</v>
      </c>
      <c r="G526" s="4">
        <v>0.64583333333333337</v>
      </c>
      <c r="H526" s="4">
        <v>0.85416666666666663</v>
      </c>
      <c r="I526" t="s">
        <v>31</v>
      </c>
      <c r="J526">
        <v>1</v>
      </c>
      <c r="L526" s="46"/>
      <c r="P526">
        <v>140</v>
      </c>
      <c r="Q526">
        <v>0</v>
      </c>
      <c r="R526">
        <v>0</v>
      </c>
      <c r="S526" s="7">
        <f>Tabla1[[#This Row],[TARIFA]]+Tabla1[[#This Row],[IMPORTE EXTRAS]]</f>
        <v>140</v>
      </c>
      <c r="T526" t="s">
        <v>45</v>
      </c>
      <c r="U526">
        <v>95</v>
      </c>
      <c r="V526">
        <v>0</v>
      </c>
      <c r="W526">
        <v>0</v>
      </c>
      <c r="X526">
        <v>0</v>
      </c>
      <c r="Z526" s="7">
        <f>SUM(Tabla1[[#This Row],[RES-A]:[EXTR-B]])</f>
        <v>95</v>
      </c>
      <c r="AA526" s="7">
        <f>Tabla1[[#This Row],[Columna1]]-Tabla1[[#This Row],[IMPORTE TOTAL]]</f>
        <v>-45</v>
      </c>
    </row>
    <row r="527" spans="1:27" x14ac:dyDescent="0.2">
      <c r="A527">
        <v>2023</v>
      </c>
      <c r="B527" t="s">
        <v>58</v>
      </c>
      <c r="C527" s="3">
        <v>45031</v>
      </c>
      <c r="D527" s="3" t="s">
        <v>42</v>
      </c>
      <c r="E527" s="3" t="s">
        <v>46</v>
      </c>
      <c r="F527" s="3" t="s">
        <v>46</v>
      </c>
      <c r="G527" s="4">
        <v>0.39583333333333331</v>
      </c>
      <c r="H527" s="4">
        <v>0.60416666666666663</v>
      </c>
      <c r="I527" t="s">
        <v>30</v>
      </c>
      <c r="J527">
        <v>1</v>
      </c>
      <c r="L527" s="46"/>
      <c r="P527">
        <v>150</v>
      </c>
      <c r="Q527">
        <v>0</v>
      </c>
      <c r="R527">
        <v>0</v>
      </c>
      <c r="S527" s="7">
        <f>Tabla1[[#This Row],[TARIFA]]+Tabla1[[#This Row],[IMPORTE EXTRAS]]</f>
        <v>150</v>
      </c>
      <c r="T527" t="s">
        <v>45</v>
      </c>
      <c r="U527">
        <v>50</v>
      </c>
      <c r="V527">
        <v>100</v>
      </c>
      <c r="W527">
        <v>0</v>
      </c>
      <c r="X527">
        <v>0</v>
      </c>
      <c r="Z527" s="7">
        <f>SUM(Tabla1[[#This Row],[RES-A]:[EXTR-B]])</f>
        <v>150</v>
      </c>
      <c r="AA527" s="7">
        <f>Tabla1[[#This Row],[Columna1]]-Tabla1[[#This Row],[IMPORTE TOTAL]]</f>
        <v>0</v>
      </c>
    </row>
    <row r="528" spans="1:27" x14ac:dyDescent="0.2">
      <c r="A528">
        <v>2023</v>
      </c>
      <c r="B528" t="s">
        <v>58</v>
      </c>
      <c r="C528" s="3">
        <v>45031</v>
      </c>
      <c r="D528" s="3" t="s">
        <v>42</v>
      </c>
      <c r="E528" s="3" t="s">
        <v>46</v>
      </c>
      <c r="F528" s="3" t="s">
        <v>46</v>
      </c>
      <c r="G528" s="4">
        <v>0.64583333333333337</v>
      </c>
      <c r="H528" s="4">
        <v>0.85416666666666663</v>
      </c>
      <c r="I528" t="s">
        <v>31</v>
      </c>
      <c r="J528">
        <v>1</v>
      </c>
      <c r="L528" s="46"/>
      <c r="P528">
        <v>150</v>
      </c>
      <c r="Q528">
        <v>0</v>
      </c>
      <c r="R528">
        <v>0</v>
      </c>
      <c r="S528" s="7">
        <f>Tabla1[[#This Row],[TARIFA]]+Tabla1[[#This Row],[IMPORTE EXTRAS]]</f>
        <v>150</v>
      </c>
      <c r="T528" t="s">
        <v>45</v>
      </c>
      <c r="U528">
        <v>50</v>
      </c>
      <c r="V528">
        <v>100</v>
      </c>
      <c r="W528">
        <v>0</v>
      </c>
      <c r="X528">
        <v>0</v>
      </c>
      <c r="Z528" s="7">
        <f>SUM(Tabla1[[#This Row],[RES-A]:[EXTR-B]])</f>
        <v>150</v>
      </c>
      <c r="AA528" s="7">
        <f>Tabla1[[#This Row],[Columna1]]-Tabla1[[#This Row],[IMPORTE TOTAL]]</f>
        <v>0</v>
      </c>
    </row>
    <row r="529" spans="1:27" x14ac:dyDescent="0.2">
      <c r="A529">
        <v>2023</v>
      </c>
      <c r="B529" t="s">
        <v>58</v>
      </c>
      <c r="C529" s="3">
        <v>45031</v>
      </c>
      <c r="D529" s="3" t="s">
        <v>42</v>
      </c>
      <c r="E529" s="3" t="s">
        <v>46</v>
      </c>
      <c r="F529" s="3" t="s">
        <v>46</v>
      </c>
      <c r="G529" s="4">
        <v>0.89583333333333337</v>
      </c>
      <c r="H529" s="4">
        <v>0.10416666666666667</v>
      </c>
      <c r="I529" t="s">
        <v>35</v>
      </c>
      <c r="J529">
        <v>1</v>
      </c>
      <c r="L529" s="46"/>
      <c r="P529">
        <v>200</v>
      </c>
      <c r="Q529">
        <v>0</v>
      </c>
      <c r="R529">
        <v>0</v>
      </c>
      <c r="S529" s="7">
        <f>Tabla1[[#This Row],[TARIFA]]+Tabla1[[#This Row],[IMPORTE EXTRAS]]</f>
        <v>200</v>
      </c>
      <c r="T529" t="s">
        <v>45</v>
      </c>
      <c r="U529">
        <v>100</v>
      </c>
      <c r="V529">
        <v>100</v>
      </c>
      <c r="W529">
        <v>0</v>
      </c>
      <c r="X529">
        <v>0</v>
      </c>
      <c r="Y529" t="s">
        <v>451</v>
      </c>
      <c r="Z529" s="7">
        <f>SUM(Tabla1[[#This Row],[RES-A]:[EXTR-B]])</f>
        <v>200</v>
      </c>
      <c r="AA529" s="7">
        <f>Tabla1[[#This Row],[Columna1]]-Tabla1[[#This Row],[IMPORTE TOTAL]]</f>
        <v>0</v>
      </c>
    </row>
    <row r="530" spans="1:27" x14ac:dyDescent="0.2">
      <c r="A530">
        <v>2023</v>
      </c>
      <c r="B530" t="s">
        <v>58</v>
      </c>
      <c r="C530" s="3">
        <v>45032</v>
      </c>
      <c r="D530" s="3" t="s">
        <v>43</v>
      </c>
      <c r="E530" s="3" t="s">
        <v>46</v>
      </c>
      <c r="F530" s="3" t="s">
        <v>46</v>
      </c>
      <c r="G530" s="4">
        <v>0.39583333333333331</v>
      </c>
      <c r="H530" s="4">
        <v>0.85416666666666663</v>
      </c>
      <c r="I530" t="s">
        <v>32</v>
      </c>
      <c r="J530">
        <v>2</v>
      </c>
      <c r="L530" s="46"/>
      <c r="P530">
        <v>220</v>
      </c>
      <c r="Q530">
        <v>0</v>
      </c>
      <c r="R530">
        <v>0</v>
      </c>
      <c r="S530" s="7">
        <f>Tabla1[[#This Row],[TARIFA]]+Tabla1[[#This Row],[IMPORTE EXTRAS]]</f>
        <v>220</v>
      </c>
      <c r="T530" t="s">
        <v>45</v>
      </c>
      <c r="U530">
        <v>50</v>
      </c>
      <c r="V530">
        <v>170</v>
      </c>
      <c r="W530">
        <v>0</v>
      </c>
      <c r="X530">
        <v>0</v>
      </c>
      <c r="Z530" s="7">
        <f>SUM(Tabla1[[#This Row],[RES-A]:[EXTR-B]])</f>
        <v>220</v>
      </c>
      <c r="AA530" s="7">
        <f>Tabla1[[#This Row],[Columna1]]-Tabla1[[#This Row],[IMPORTE TOTAL]]</f>
        <v>0</v>
      </c>
    </row>
    <row r="531" spans="1:27" x14ac:dyDescent="0.2">
      <c r="A531">
        <v>2023</v>
      </c>
      <c r="B531" t="s">
        <v>58</v>
      </c>
      <c r="C531" s="3">
        <v>45037</v>
      </c>
      <c r="D531" s="3" t="s">
        <v>41</v>
      </c>
      <c r="E531" s="3" t="s">
        <v>46</v>
      </c>
      <c r="F531" s="3" t="s">
        <v>46</v>
      </c>
      <c r="G531" s="4">
        <v>0.64583333333333337</v>
      </c>
      <c r="H531" s="4">
        <v>0.85416666666666663</v>
      </c>
      <c r="I531" t="s">
        <v>31</v>
      </c>
      <c r="J531">
        <v>1</v>
      </c>
      <c r="L531" s="46"/>
      <c r="P531">
        <v>140</v>
      </c>
      <c r="Q531">
        <v>0</v>
      </c>
      <c r="R531">
        <v>0</v>
      </c>
      <c r="S531" s="7">
        <f>Tabla1[[#This Row],[TARIFA]]+Tabla1[[#This Row],[IMPORTE EXTRAS]]</f>
        <v>140</v>
      </c>
      <c r="T531" t="s">
        <v>45</v>
      </c>
      <c r="U531">
        <v>50</v>
      </c>
      <c r="V531">
        <v>90</v>
      </c>
      <c r="W531">
        <v>0</v>
      </c>
      <c r="X531">
        <v>0</v>
      </c>
      <c r="Z531" s="7">
        <f>SUM(Tabla1[[#This Row],[RES-A]:[EXTR-B]])</f>
        <v>140</v>
      </c>
      <c r="AA531" s="7">
        <f>Tabla1[[#This Row],[Columna1]]-Tabla1[[#This Row],[IMPORTE TOTAL]]</f>
        <v>0</v>
      </c>
    </row>
    <row r="532" spans="1:27" x14ac:dyDescent="0.2">
      <c r="A532">
        <v>2023</v>
      </c>
      <c r="B532" t="s">
        <v>58</v>
      </c>
      <c r="C532" s="3">
        <v>45038</v>
      </c>
      <c r="D532" s="3" t="s">
        <v>42</v>
      </c>
      <c r="E532" s="3" t="s">
        <v>46</v>
      </c>
      <c r="F532" s="3" t="s">
        <v>46</v>
      </c>
      <c r="G532" s="4">
        <v>0.39583333333333331</v>
      </c>
      <c r="H532" s="4">
        <v>0.60416666666666663</v>
      </c>
      <c r="I532" t="s">
        <v>30</v>
      </c>
      <c r="J532">
        <v>1</v>
      </c>
      <c r="L532" s="46"/>
      <c r="P532">
        <v>150</v>
      </c>
      <c r="Q532">
        <v>0</v>
      </c>
      <c r="R532">
        <v>0</v>
      </c>
      <c r="S532" s="7">
        <f>Tabla1[[#This Row],[TARIFA]]+Tabla1[[#This Row],[IMPORTE EXTRAS]]</f>
        <v>150</v>
      </c>
      <c r="T532" t="s">
        <v>45</v>
      </c>
      <c r="U532">
        <v>150</v>
      </c>
      <c r="V532">
        <v>0</v>
      </c>
      <c r="W532">
        <v>0</v>
      </c>
      <c r="X532">
        <v>0</v>
      </c>
      <c r="Y532" t="s">
        <v>523</v>
      </c>
      <c r="Z532" s="7">
        <f>SUM(Tabla1[[#This Row],[RES-A]:[EXTR-B]])</f>
        <v>150</v>
      </c>
      <c r="AA532" s="7">
        <f>Tabla1[[#This Row],[Columna1]]-Tabla1[[#This Row],[IMPORTE TOTAL]]</f>
        <v>0</v>
      </c>
    </row>
    <row r="533" spans="1:27" x14ac:dyDescent="0.2">
      <c r="A533">
        <v>2023</v>
      </c>
      <c r="B533" t="s">
        <v>58</v>
      </c>
      <c r="C533" s="3">
        <v>45038</v>
      </c>
      <c r="D533" s="3" t="s">
        <v>42</v>
      </c>
      <c r="E533" s="3" t="s">
        <v>46</v>
      </c>
      <c r="F533" s="3" t="s">
        <v>46</v>
      </c>
      <c r="G533" s="4">
        <v>0.64583333333333337</v>
      </c>
      <c r="H533" s="4">
        <v>0.85416666666666663</v>
      </c>
      <c r="I533" t="s">
        <v>31</v>
      </c>
      <c r="J533">
        <v>1</v>
      </c>
      <c r="L533" s="46"/>
      <c r="P533">
        <v>150</v>
      </c>
      <c r="Q533">
        <v>0</v>
      </c>
      <c r="R533">
        <v>0</v>
      </c>
      <c r="S533" s="7">
        <f>Tabla1[[#This Row],[TARIFA]]+Tabla1[[#This Row],[IMPORTE EXTRAS]]</f>
        <v>150</v>
      </c>
      <c r="T533" t="s">
        <v>45</v>
      </c>
      <c r="U533">
        <v>50</v>
      </c>
      <c r="V533">
        <v>100</v>
      </c>
      <c r="W533">
        <v>0</v>
      </c>
      <c r="X533">
        <v>0</v>
      </c>
      <c r="Y533" t="s">
        <v>451</v>
      </c>
      <c r="Z533" s="7">
        <f>SUM(Tabla1[[#This Row],[RES-A]:[EXTR-B]])</f>
        <v>150</v>
      </c>
      <c r="AA533" s="7">
        <f>Tabla1[[#This Row],[Columna1]]-Tabla1[[#This Row],[IMPORTE TOTAL]]</f>
        <v>0</v>
      </c>
    </row>
    <row r="534" spans="1:27" x14ac:dyDescent="0.2">
      <c r="A534">
        <v>2023</v>
      </c>
      <c r="B534" t="s">
        <v>58</v>
      </c>
      <c r="C534" s="3">
        <v>45038</v>
      </c>
      <c r="D534" s="3" t="s">
        <v>42</v>
      </c>
      <c r="E534" s="3" t="s">
        <v>46</v>
      </c>
      <c r="F534" s="3" t="s">
        <v>46</v>
      </c>
      <c r="G534" s="4">
        <v>0.89583333333333337</v>
      </c>
      <c r="H534" s="4">
        <v>0.10416666666666667</v>
      </c>
      <c r="I534" t="s">
        <v>35</v>
      </c>
      <c r="J534">
        <v>1</v>
      </c>
      <c r="L534" s="46"/>
      <c r="P534">
        <v>200</v>
      </c>
      <c r="Q534">
        <v>0</v>
      </c>
      <c r="R534">
        <v>0</v>
      </c>
      <c r="S534" s="7">
        <f>Tabla1[[#This Row],[TARIFA]]+Tabla1[[#This Row],[IMPORTE EXTRAS]]</f>
        <v>200</v>
      </c>
      <c r="T534" t="s">
        <v>45</v>
      </c>
      <c r="U534">
        <v>50</v>
      </c>
      <c r="V534">
        <v>150</v>
      </c>
      <c r="W534">
        <v>0</v>
      </c>
      <c r="X534">
        <v>0</v>
      </c>
      <c r="Z534" s="7">
        <f>SUM(Tabla1[[#This Row],[RES-A]:[EXTR-B]])</f>
        <v>200</v>
      </c>
      <c r="AA534" s="7">
        <f>Tabla1[[#This Row],[Columna1]]-Tabla1[[#This Row],[IMPORTE TOTAL]]</f>
        <v>0</v>
      </c>
    </row>
    <row r="535" spans="1:27" x14ac:dyDescent="0.2">
      <c r="A535">
        <v>2023</v>
      </c>
      <c r="B535" t="s">
        <v>58</v>
      </c>
      <c r="C535" s="3">
        <v>45039</v>
      </c>
      <c r="D535" s="3" t="s">
        <v>43</v>
      </c>
      <c r="E535" s="3" t="s">
        <v>46</v>
      </c>
      <c r="F535" s="3" t="s">
        <v>46</v>
      </c>
      <c r="G535" s="4">
        <v>0.64583333333333337</v>
      </c>
      <c r="H535" s="4">
        <v>0.85416666666666663</v>
      </c>
      <c r="I535" t="s">
        <v>31</v>
      </c>
      <c r="J535">
        <v>1</v>
      </c>
      <c r="L535" s="46"/>
      <c r="P535">
        <v>150</v>
      </c>
      <c r="Q535">
        <v>0</v>
      </c>
      <c r="R535">
        <v>0</v>
      </c>
      <c r="S535" s="7">
        <f>Tabla1[[#This Row],[TARIFA]]+Tabla1[[#This Row],[IMPORTE EXTRAS]]</f>
        <v>150</v>
      </c>
      <c r="T535" t="s">
        <v>45</v>
      </c>
      <c r="U535">
        <v>50</v>
      </c>
      <c r="V535">
        <v>100</v>
      </c>
      <c r="W535">
        <v>0</v>
      </c>
      <c r="X535">
        <v>0</v>
      </c>
      <c r="Z535" s="7">
        <f>SUM(Tabla1[[#This Row],[RES-A]:[EXTR-B]])</f>
        <v>150</v>
      </c>
      <c r="AA535" s="7">
        <f>Tabla1[[#This Row],[Columna1]]-Tabla1[[#This Row],[IMPORTE TOTAL]]</f>
        <v>0</v>
      </c>
    </row>
    <row r="536" spans="1:27" x14ac:dyDescent="0.2">
      <c r="A536">
        <v>2023</v>
      </c>
      <c r="B536" t="s">
        <v>58</v>
      </c>
      <c r="C536" s="3">
        <v>45044</v>
      </c>
      <c r="D536" s="3" t="s">
        <v>41</v>
      </c>
      <c r="E536" s="3" t="s">
        <v>46</v>
      </c>
      <c r="F536" s="3" t="s">
        <v>46</v>
      </c>
      <c r="G536" s="4">
        <v>0.89583333333333337</v>
      </c>
      <c r="H536" s="4">
        <v>0.10416666666666667</v>
      </c>
      <c r="I536" t="s">
        <v>35</v>
      </c>
      <c r="J536">
        <v>1</v>
      </c>
      <c r="L536" s="46"/>
      <c r="P536">
        <v>200</v>
      </c>
      <c r="Q536">
        <v>1</v>
      </c>
      <c r="R536">
        <v>60</v>
      </c>
      <c r="S536" s="7">
        <f>Tabla1[[#This Row],[TARIFA]]+Tabla1[[#This Row],[IMPORTE EXTRAS]]</f>
        <v>260</v>
      </c>
      <c r="T536" t="s">
        <v>45</v>
      </c>
      <c r="U536">
        <v>0</v>
      </c>
      <c r="V536">
        <v>200</v>
      </c>
      <c r="W536">
        <v>0</v>
      </c>
      <c r="X536">
        <v>60</v>
      </c>
      <c r="Y536" t="s">
        <v>497</v>
      </c>
      <c r="Z536" s="7">
        <f>SUM(Tabla1[[#This Row],[RES-A]:[EXTR-B]])</f>
        <v>260</v>
      </c>
      <c r="AA536" s="7">
        <f>Tabla1[[#This Row],[Columna1]]-Tabla1[[#This Row],[IMPORTE TOTAL]]</f>
        <v>0</v>
      </c>
    </row>
    <row r="537" spans="1:27" x14ac:dyDescent="0.2">
      <c r="A537">
        <v>2023</v>
      </c>
      <c r="B537" t="s">
        <v>58</v>
      </c>
      <c r="C537" s="3">
        <v>45045</v>
      </c>
      <c r="D537" s="3" t="s">
        <v>42</v>
      </c>
      <c r="E537" s="3" t="s">
        <v>46</v>
      </c>
      <c r="F537" s="3" t="s">
        <v>46</v>
      </c>
      <c r="G537" s="4">
        <v>0.39583333333333331</v>
      </c>
      <c r="H537" s="4">
        <v>0.60416666666666663</v>
      </c>
      <c r="I537" t="s">
        <v>30</v>
      </c>
      <c r="J537">
        <v>1</v>
      </c>
      <c r="L537" s="46"/>
      <c r="P537">
        <v>150</v>
      </c>
      <c r="Q537">
        <v>0</v>
      </c>
      <c r="R537">
        <v>0</v>
      </c>
      <c r="S537" s="7">
        <f>Tabla1[[#This Row],[TARIFA]]+Tabla1[[#This Row],[IMPORTE EXTRAS]]</f>
        <v>150</v>
      </c>
      <c r="T537" t="s">
        <v>45</v>
      </c>
      <c r="U537">
        <v>50</v>
      </c>
      <c r="V537">
        <v>100</v>
      </c>
      <c r="W537">
        <v>0</v>
      </c>
      <c r="X537">
        <v>0</v>
      </c>
      <c r="Z537" s="7">
        <f>SUM(Tabla1[[#This Row],[RES-A]:[EXTR-B]])</f>
        <v>150</v>
      </c>
      <c r="AA537" s="7">
        <f>Tabla1[[#This Row],[Columna1]]-Tabla1[[#This Row],[IMPORTE TOTAL]]</f>
        <v>0</v>
      </c>
    </row>
    <row r="538" spans="1:27" x14ac:dyDescent="0.2">
      <c r="A538">
        <v>2023</v>
      </c>
      <c r="B538" t="s">
        <v>58</v>
      </c>
      <c r="C538" s="3">
        <v>45045</v>
      </c>
      <c r="D538" s="3" t="s">
        <v>42</v>
      </c>
      <c r="E538" s="3" t="s">
        <v>46</v>
      </c>
      <c r="F538" s="3" t="s">
        <v>46</v>
      </c>
      <c r="G538" s="4">
        <v>0.64583333333333337</v>
      </c>
      <c r="H538" s="4">
        <v>0.85416666666666663</v>
      </c>
      <c r="I538" t="s">
        <v>31</v>
      </c>
      <c r="J538">
        <v>1</v>
      </c>
      <c r="L538" s="46"/>
      <c r="P538">
        <v>150</v>
      </c>
      <c r="Q538">
        <v>0</v>
      </c>
      <c r="R538">
        <v>0</v>
      </c>
      <c r="S538" s="7">
        <f>Tabla1[[#This Row],[TARIFA]]+Tabla1[[#This Row],[IMPORTE EXTRAS]]</f>
        <v>150</v>
      </c>
      <c r="T538" t="s">
        <v>45</v>
      </c>
      <c r="U538">
        <v>50</v>
      </c>
      <c r="V538">
        <v>100</v>
      </c>
      <c r="W538">
        <v>0</v>
      </c>
      <c r="X538">
        <v>0</v>
      </c>
      <c r="Z538" s="7">
        <f>SUM(Tabla1[[#This Row],[RES-A]:[EXTR-B]])</f>
        <v>150</v>
      </c>
      <c r="AA538" s="7">
        <f>Tabla1[[#This Row],[Columna1]]-Tabla1[[#This Row],[IMPORTE TOTAL]]</f>
        <v>0</v>
      </c>
    </row>
    <row r="539" spans="1:27" x14ac:dyDescent="0.2">
      <c r="A539">
        <v>2023</v>
      </c>
      <c r="B539" t="s">
        <v>58</v>
      </c>
      <c r="C539" s="3">
        <v>45045</v>
      </c>
      <c r="D539" s="3" t="s">
        <v>42</v>
      </c>
      <c r="E539" s="3" t="s">
        <v>46</v>
      </c>
      <c r="F539" s="3" t="s">
        <v>46</v>
      </c>
      <c r="G539" s="4">
        <v>0.89583333333333337</v>
      </c>
      <c r="H539" s="4">
        <v>0.10416666666666667</v>
      </c>
      <c r="I539" t="s">
        <v>35</v>
      </c>
      <c r="J539">
        <v>1</v>
      </c>
      <c r="L539" s="46"/>
      <c r="P539">
        <v>200</v>
      </c>
      <c r="Q539">
        <v>1</v>
      </c>
      <c r="R539">
        <v>60</v>
      </c>
      <c r="S539" s="7">
        <f>Tabla1[[#This Row],[TARIFA]]+Tabla1[[#This Row],[IMPORTE EXTRAS]]</f>
        <v>260</v>
      </c>
      <c r="T539" t="s">
        <v>45</v>
      </c>
      <c r="U539">
        <v>0</v>
      </c>
      <c r="V539">
        <v>200</v>
      </c>
      <c r="W539">
        <v>0</v>
      </c>
      <c r="X539">
        <v>60</v>
      </c>
      <c r="Z539" s="7">
        <f>SUM(Tabla1[[#This Row],[RES-A]:[EXTR-B]])</f>
        <v>260</v>
      </c>
      <c r="AA539" s="7">
        <f>Tabla1[[#This Row],[Columna1]]-Tabla1[[#This Row],[IMPORTE TOTAL]]</f>
        <v>0</v>
      </c>
    </row>
    <row r="540" spans="1:27" x14ac:dyDescent="0.2">
      <c r="A540">
        <v>2023</v>
      </c>
      <c r="B540" t="s">
        <v>58</v>
      </c>
      <c r="C540" s="3">
        <v>45046</v>
      </c>
      <c r="D540" s="3" t="s">
        <v>43</v>
      </c>
      <c r="E540" s="3" t="s">
        <v>46</v>
      </c>
      <c r="F540" s="3" t="s">
        <v>46</v>
      </c>
      <c r="G540" s="4">
        <v>0.39583333333333331</v>
      </c>
      <c r="H540" s="4">
        <v>0.60416666666666663</v>
      </c>
      <c r="I540" t="s">
        <v>30</v>
      </c>
      <c r="J540">
        <v>1</v>
      </c>
      <c r="L540" s="46"/>
      <c r="P540">
        <v>150</v>
      </c>
      <c r="Q540">
        <v>0</v>
      </c>
      <c r="R540">
        <v>0</v>
      </c>
      <c r="S540" s="7">
        <f>Tabla1[[#This Row],[TARIFA]]+Tabla1[[#This Row],[IMPORTE EXTRAS]]</f>
        <v>150</v>
      </c>
      <c r="T540" t="s">
        <v>45</v>
      </c>
      <c r="U540">
        <v>50</v>
      </c>
      <c r="V540">
        <v>100</v>
      </c>
      <c r="W540">
        <v>0</v>
      </c>
      <c r="X540">
        <v>0</v>
      </c>
      <c r="Z540" s="7">
        <f>SUM(Tabla1[[#This Row],[RES-A]:[EXTR-B]])</f>
        <v>150</v>
      </c>
      <c r="AA540" s="7">
        <f>Tabla1[[#This Row],[Columna1]]-Tabla1[[#This Row],[IMPORTE TOTAL]]</f>
        <v>0</v>
      </c>
    </row>
    <row r="541" spans="1:27" x14ac:dyDescent="0.2">
      <c r="A541">
        <v>2023</v>
      </c>
      <c r="B541" t="s">
        <v>58</v>
      </c>
      <c r="C541" s="3">
        <v>45046</v>
      </c>
      <c r="D541" s="3" t="s">
        <v>43</v>
      </c>
      <c r="E541" s="3" t="s">
        <v>46</v>
      </c>
      <c r="F541" s="3" t="s">
        <v>46</v>
      </c>
      <c r="G541" s="4">
        <v>0.64583333333333337</v>
      </c>
      <c r="H541" s="4">
        <v>0.85416666666666663</v>
      </c>
      <c r="I541" t="s">
        <v>31</v>
      </c>
      <c r="J541">
        <v>1</v>
      </c>
      <c r="L541" s="46"/>
      <c r="P541">
        <v>150</v>
      </c>
      <c r="Q541">
        <v>0</v>
      </c>
      <c r="R541">
        <v>0</v>
      </c>
      <c r="S541" s="7">
        <f>Tabla1[[#This Row],[TARIFA]]+Tabla1[[#This Row],[IMPORTE EXTRAS]]</f>
        <v>150</v>
      </c>
      <c r="T541" t="s">
        <v>45</v>
      </c>
      <c r="U541">
        <v>0</v>
      </c>
      <c r="V541">
        <v>150</v>
      </c>
      <c r="W541">
        <v>0</v>
      </c>
      <c r="X541">
        <v>0</v>
      </c>
      <c r="Y541" t="s">
        <v>497</v>
      </c>
      <c r="Z541" s="7">
        <f>SUM(Tabla1[[#This Row],[RES-A]:[EXTR-B]])</f>
        <v>150</v>
      </c>
      <c r="AA541" s="7">
        <f>Tabla1[[#This Row],[Columna1]]-Tabla1[[#This Row],[IMPORTE TOTAL]]</f>
        <v>0</v>
      </c>
    </row>
    <row r="542" spans="1:27" x14ac:dyDescent="0.2">
      <c r="A542">
        <v>2023</v>
      </c>
      <c r="B542" t="s">
        <v>58</v>
      </c>
      <c r="C542" s="3">
        <v>45046</v>
      </c>
      <c r="D542" s="3" t="s">
        <v>43</v>
      </c>
      <c r="E542" s="3" t="s">
        <v>46</v>
      </c>
      <c r="F542" s="3" t="s">
        <v>46</v>
      </c>
      <c r="G542" s="4">
        <v>0.89583333333333337</v>
      </c>
      <c r="H542" s="4">
        <v>0.10416666666666667</v>
      </c>
      <c r="I542" t="s">
        <v>35</v>
      </c>
      <c r="J542">
        <v>1</v>
      </c>
      <c r="L542" s="46"/>
      <c r="P542">
        <v>200</v>
      </c>
      <c r="Q542">
        <v>0</v>
      </c>
      <c r="R542">
        <v>0</v>
      </c>
      <c r="S542" s="7">
        <f>Tabla1[[#This Row],[TARIFA]]+Tabla1[[#This Row],[IMPORTE EXTRAS]]</f>
        <v>200</v>
      </c>
      <c r="T542" t="s">
        <v>45</v>
      </c>
      <c r="U542">
        <v>50</v>
      </c>
      <c r="V542">
        <v>150</v>
      </c>
      <c r="W542">
        <v>0</v>
      </c>
      <c r="X542">
        <v>0</v>
      </c>
      <c r="Z542" s="7">
        <f>SUM(Tabla1[[#This Row],[RES-A]:[EXTR-B]])</f>
        <v>200</v>
      </c>
      <c r="AA542" s="7">
        <f>Tabla1[[#This Row],[Columna1]]-Tabla1[[#This Row],[IMPORTE TOTAL]]</f>
        <v>0</v>
      </c>
    </row>
    <row r="543" spans="1:27" x14ac:dyDescent="0.2">
      <c r="A543">
        <v>2023</v>
      </c>
      <c r="B543" t="s">
        <v>59</v>
      </c>
      <c r="C543" s="3">
        <v>45048</v>
      </c>
      <c r="D543" s="3" t="s">
        <v>38</v>
      </c>
      <c r="E543" s="3" t="s">
        <v>46</v>
      </c>
      <c r="F543" s="3" t="s">
        <v>46</v>
      </c>
      <c r="G543" s="4">
        <v>0.64583333333333337</v>
      </c>
      <c r="H543" s="4">
        <v>0.85416666666666663</v>
      </c>
      <c r="I543" t="s">
        <v>31</v>
      </c>
      <c r="J543">
        <v>1</v>
      </c>
      <c r="L543" s="46"/>
      <c r="P543">
        <v>95</v>
      </c>
      <c r="Q543">
        <v>0</v>
      </c>
      <c r="R543">
        <v>0</v>
      </c>
      <c r="S543" s="7">
        <f>Tabla1[[#This Row],[TARIFA]]+Tabla1[[#This Row],[IMPORTE EXTRAS]]</f>
        <v>95</v>
      </c>
      <c r="T543" t="s">
        <v>45</v>
      </c>
      <c r="U543">
        <v>50</v>
      </c>
      <c r="V543">
        <v>45</v>
      </c>
      <c r="W543">
        <v>0</v>
      </c>
      <c r="X543">
        <v>0</v>
      </c>
      <c r="Y543" t="s">
        <v>471</v>
      </c>
      <c r="Z543" s="7">
        <f>SUM(Tabla1[[#This Row],[RES-A]:[EXTR-B]])</f>
        <v>95</v>
      </c>
      <c r="AA543" s="7">
        <f>Tabla1[[#This Row],[Columna1]]-Tabla1[[#This Row],[IMPORTE TOTAL]]</f>
        <v>0</v>
      </c>
    </row>
    <row r="544" spans="1:27" x14ac:dyDescent="0.2">
      <c r="A544">
        <v>2023</v>
      </c>
      <c r="B544" t="s">
        <v>59</v>
      </c>
      <c r="C544" s="3">
        <v>45051</v>
      </c>
      <c r="D544" s="3" t="s">
        <v>41</v>
      </c>
      <c r="E544" s="3" t="s">
        <v>46</v>
      </c>
      <c r="F544" s="3" t="s">
        <v>46</v>
      </c>
      <c r="G544" s="4">
        <v>0.89583333333333337</v>
      </c>
      <c r="H544" s="4">
        <v>0.10416666666666667</v>
      </c>
      <c r="I544" t="s">
        <v>35</v>
      </c>
      <c r="J544">
        <v>1</v>
      </c>
      <c r="L544" s="46"/>
      <c r="P544">
        <v>200</v>
      </c>
      <c r="Q544">
        <v>0</v>
      </c>
      <c r="R544">
        <v>0</v>
      </c>
      <c r="S544" s="7">
        <f>Tabla1[[#This Row],[TARIFA]]+Tabla1[[#This Row],[IMPORTE EXTRAS]]</f>
        <v>200</v>
      </c>
      <c r="T544" t="s">
        <v>45</v>
      </c>
      <c r="U544">
        <v>50</v>
      </c>
      <c r="V544">
        <v>150</v>
      </c>
      <c r="W544">
        <v>0</v>
      </c>
      <c r="X544">
        <v>0</v>
      </c>
      <c r="Y544" t="s">
        <v>493</v>
      </c>
      <c r="Z544" s="7">
        <f>SUM(Tabla1[[#This Row],[RES-A]:[EXTR-B]])</f>
        <v>200</v>
      </c>
      <c r="AA544" s="7">
        <f>Tabla1[[#This Row],[Columna1]]-Tabla1[[#This Row],[IMPORTE TOTAL]]</f>
        <v>0</v>
      </c>
    </row>
    <row r="545" spans="1:27" x14ac:dyDescent="0.2">
      <c r="A545">
        <v>2023</v>
      </c>
      <c r="B545" t="s">
        <v>59</v>
      </c>
      <c r="C545" s="3">
        <v>45052</v>
      </c>
      <c r="D545" s="3" t="s">
        <v>42</v>
      </c>
      <c r="E545" s="3" t="s">
        <v>46</v>
      </c>
      <c r="F545" s="3" t="s">
        <v>46</v>
      </c>
      <c r="G545" s="4">
        <v>0.39583333333333331</v>
      </c>
      <c r="H545" s="4">
        <v>0.85416666666666663</v>
      </c>
      <c r="I545" t="s">
        <v>32</v>
      </c>
      <c r="J545">
        <v>3</v>
      </c>
      <c r="L545" s="46"/>
      <c r="P545">
        <v>270</v>
      </c>
      <c r="Q545">
        <v>0</v>
      </c>
      <c r="R545">
        <v>0</v>
      </c>
      <c r="S545" s="7">
        <f>Tabla1[[#This Row],[TARIFA]]+Tabla1[[#This Row],[IMPORTE EXTRAS]]</f>
        <v>270</v>
      </c>
      <c r="T545" t="s">
        <v>45</v>
      </c>
      <c r="U545">
        <v>270</v>
      </c>
      <c r="V545">
        <v>0</v>
      </c>
      <c r="W545">
        <v>0</v>
      </c>
      <c r="X545">
        <v>0</v>
      </c>
      <c r="Z545" s="7">
        <f>SUM(Tabla1[[#This Row],[RES-A]:[EXTR-B]])</f>
        <v>270</v>
      </c>
      <c r="AA545" s="7">
        <f>Tabla1[[#This Row],[Columna1]]-Tabla1[[#This Row],[IMPORTE TOTAL]]</f>
        <v>0</v>
      </c>
    </row>
    <row r="546" spans="1:27" x14ac:dyDescent="0.2">
      <c r="A546">
        <v>2023</v>
      </c>
      <c r="B546" t="s">
        <v>59</v>
      </c>
      <c r="C546" s="3">
        <v>45056</v>
      </c>
      <c r="D546" s="3" t="s">
        <v>39</v>
      </c>
      <c r="E546" s="3" t="s">
        <v>46</v>
      </c>
      <c r="F546" s="3" t="s">
        <v>46</v>
      </c>
      <c r="G546" s="4">
        <v>0.64583333333333337</v>
      </c>
      <c r="H546" s="4">
        <v>0.85416666666666663</v>
      </c>
      <c r="I546" t="s">
        <v>31</v>
      </c>
      <c r="J546">
        <v>1</v>
      </c>
      <c r="L546" s="46"/>
      <c r="P546">
        <v>95</v>
      </c>
      <c r="Q546">
        <v>0</v>
      </c>
      <c r="R546">
        <v>0</v>
      </c>
      <c r="S546" s="7">
        <f>Tabla1[[#This Row],[TARIFA]]+Tabla1[[#This Row],[IMPORTE EXTRAS]]</f>
        <v>95</v>
      </c>
      <c r="T546" t="s">
        <v>45</v>
      </c>
      <c r="U546">
        <v>50</v>
      </c>
      <c r="V546">
        <v>45</v>
      </c>
      <c r="W546">
        <v>0</v>
      </c>
      <c r="X546">
        <v>0</v>
      </c>
      <c r="Z546" s="7">
        <f>SUM(Tabla1[[#This Row],[RES-A]:[EXTR-B]])</f>
        <v>95</v>
      </c>
      <c r="AA546" s="7">
        <f>Tabla1[[#This Row],[Columna1]]-Tabla1[[#This Row],[IMPORTE TOTAL]]</f>
        <v>0</v>
      </c>
    </row>
    <row r="547" spans="1:27" x14ac:dyDescent="0.2">
      <c r="A547">
        <v>2023</v>
      </c>
      <c r="B547" t="s">
        <v>59</v>
      </c>
      <c r="C547" s="3">
        <v>45058</v>
      </c>
      <c r="D547" s="3" t="s">
        <v>41</v>
      </c>
      <c r="E547" s="3" t="s">
        <v>46</v>
      </c>
      <c r="F547" s="3" t="s">
        <v>46</v>
      </c>
      <c r="G547" s="4">
        <v>0.89583333333333337</v>
      </c>
      <c r="H547" s="4">
        <v>0.10416666666666667</v>
      </c>
      <c r="I547" t="s">
        <v>35</v>
      </c>
      <c r="J547">
        <v>1</v>
      </c>
      <c r="L547" s="46"/>
      <c r="P547">
        <v>200</v>
      </c>
      <c r="Q547">
        <v>1</v>
      </c>
      <c r="R547">
        <v>60</v>
      </c>
      <c r="S547" s="7">
        <f>Tabla1[[#This Row],[TARIFA]]+Tabla1[[#This Row],[IMPORTE EXTRAS]]</f>
        <v>260</v>
      </c>
      <c r="T547" t="s">
        <v>45</v>
      </c>
      <c r="U547">
        <v>50</v>
      </c>
      <c r="V547">
        <v>150</v>
      </c>
      <c r="W547">
        <v>0</v>
      </c>
      <c r="X547">
        <v>60</v>
      </c>
      <c r="Z547" s="7">
        <f>SUM(Tabla1[[#This Row],[RES-A]:[EXTR-B]])</f>
        <v>260</v>
      </c>
      <c r="AA547" s="7">
        <f>Tabla1[[#This Row],[Columna1]]-Tabla1[[#This Row],[IMPORTE TOTAL]]</f>
        <v>0</v>
      </c>
    </row>
    <row r="548" spans="1:27" x14ac:dyDescent="0.2">
      <c r="A548">
        <v>2023</v>
      </c>
      <c r="B548" t="s">
        <v>59</v>
      </c>
      <c r="C548" s="3">
        <v>45059</v>
      </c>
      <c r="D548" s="3" t="s">
        <v>42</v>
      </c>
      <c r="E548" s="3" t="s">
        <v>46</v>
      </c>
      <c r="F548" s="3" t="s">
        <v>46</v>
      </c>
      <c r="G548" s="4">
        <v>0.64583333333333337</v>
      </c>
      <c r="H548" s="4">
        <v>0.10416666666666667</v>
      </c>
      <c r="I548" t="s">
        <v>53</v>
      </c>
      <c r="J548">
        <v>2</v>
      </c>
      <c r="L548" s="46"/>
      <c r="P548">
        <v>320</v>
      </c>
      <c r="Q548">
        <v>0</v>
      </c>
      <c r="R548">
        <v>0</v>
      </c>
      <c r="S548" s="7">
        <f>Tabla1[[#This Row],[TARIFA]]+Tabla1[[#This Row],[IMPORTE EXTRAS]]</f>
        <v>320</v>
      </c>
      <c r="T548" t="s">
        <v>45</v>
      </c>
      <c r="U548">
        <v>50</v>
      </c>
      <c r="V548">
        <v>270</v>
      </c>
      <c r="W548">
        <v>0</v>
      </c>
      <c r="X548">
        <v>0</v>
      </c>
      <c r="Z548" s="7">
        <f>SUM(Tabla1[[#This Row],[RES-A]:[EXTR-B]])</f>
        <v>320</v>
      </c>
      <c r="AA548" s="7">
        <f>Tabla1[[#This Row],[Columna1]]-Tabla1[[#This Row],[IMPORTE TOTAL]]</f>
        <v>0</v>
      </c>
    </row>
    <row r="549" spans="1:27" x14ac:dyDescent="0.2">
      <c r="A549">
        <v>2023</v>
      </c>
      <c r="B549" t="s">
        <v>59</v>
      </c>
      <c r="C549" s="3">
        <v>45060</v>
      </c>
      <c r="D549" s="3" t="s">
        <v>43</v>
      </c>
      <c r="E549" s="3" t="s">
        <v>46</v>
      </c>
      <c r="F549" s="3" t="s">
        <v>46</v>
      </c>
      <c r="G549" s="4">
        <v>0.39583333333333331</v>
      </c>
      <c r="H549" s="4">
        <v>0.60416666666666663</v>
      </c>
      <c r="I549" t="s">
        <v>30</v>
      </c>
      <c r="J549">
        <v>1</v>
      </c>
      <c r="L549" s="46"/>
      <c r="P549">
        <v>150</v>
      </c>
      <c r="Q549">
        <v>0</v>
      </c>
      <c r="R549">
        <v>0</v>
      </c>
      <c r="S549" s="7">
        <f>Tabla1[[#This Row],[TARIFA]]+Tabla1[[#This Row],[IMPORTE EXTRAS]]</f>
        <v>150</v>
      </c>
      <c r="T549" t="s">
        <v>45</v>
      </c>
      <c r="U549">
        <v>50</v>
      </c>
      <c r="V549">
        <v>100</v>
      </c>
      <c r="W549">
        <v>0</v>
      </c>
      <c r="X549">
        <v>0</v>
      </c>
      <c r="Z549" s="7">
        <f>SUM(Tabla1[[#This Row],[RES-A]:[EXTR-B]])</f>
        <v>150</v>
      </c>
      <c r="AA549" s="7">
        <f>Tabla1[[#This Row],[Columna1]]-Tabla1[[#This Row],[IMPORTE TOTAL]]</f>
        <v>0</v>
      </c>
    </row>
    <row r="550" spans="1:27" x14ac:dyDescent="0.2">
      <c r="A550">
        <v>2023</v>
      </c>
      <c r="B550" t="s">
        <v>59</v>
      </c>
      <c r="C550" s="3">
        <v>45060</v>
      </c>
      <c r="D550" s="3" t="s">
        <v>43</v>
      </c>
      <c r="E550" s="3" t="s">
        <v>46</v>
      </c>
      <c r="F550" s="3" t="s">
        <v>46</v>
      </c>
      <c r="G550" s="4">
        <v>0.64583333333333337</v>
      </c>
      <c r="H550" s="4">
        <v>0.85416666666666663</v>
      </c>
      <c r="I550" t="s">
        <v>31</v>
      </c>
      <c r="J550">
        <v>1</v>
      </c>
      <c r="L550" s="46"/>
      <c r="P550">
        <v>150</v>
      </c>
      <c r="Q550">
        <v>0</v>
      </c>
      <c r="R550">
        <v>0</v>
      </c>
      <c r="S550" s="7">
        <f>Tabla1[[#This Row],[TARIFA]]+Tabla1[[#This Row],[IMPORTE EXTRAS]]</f>
        <v>150</v>
      </c>
      <c r="T550" t="s">
        <v>45</v>
      </c>
      <c r="U550">
        <v>50</v>
      </c>
      <c r="V550">
        <v>100</v>
      </c>
      <c r="W550">
        <v>0</v>
      </c>
      <c r="X550">
        <v>0</v>
      </c>
      <c r="Z550" s="7">
        <f>SUM(Tabla1[[#This Row],[RES-A]:[EXTR-B]])</f>
        <v>150</v>
      </c>
      <c r="AA550" s="7">
        <f>Tabla1[[#This Row],[Columna1]]-Tabla1[[#This Row],[IMPORTE TOTAL]]</f>
        <v>0</v>
      </c>
    </row>
    <row r="551" spans="1:27" x14ac:dyDescent="0.2">
      <c r="A551">
        <v>2023</v>
      </c>
      <c r="B551" t="s">
        <v>59</v>
      </c>
      <c r="C551" s="3">
        <v>45062</v>
      </c>
      <c r="D551" s="3" t="s">
        <v>38</v>
      </c>
      <c r="E551" s="3" t="s">
        <v>46</v>
      </c>
      <c r="F551" s="3" t="s">
        <v>46</v>
      </c>
      <c r="G551" s="4">
        <v>0.64583333333333337</v>
      </c>
      <c r="H551" s="4">
        <v>0.85416666666666663</v>
      </c>
      <c r="I551" t="s">
        <v>31</v>
      </c>
      <c r="J551">
        <v>1</v>
      </c>
      <c r="L551" s="46"/>
      <c r="P551">
        <v>95</v>
      </c>
      <c r="Q551">
        <v>0</v>
      </c>
      <c r="R551">
        <v>0</v>
      </c>
      <c r="S551" s="7">
        <f>Tabla1[[#This Row],[TARIFA]]+Tabla1[[#This Row],[IMPORTE EXTRAS]]</f>
        <v>95</v>
      </c>
      <c r="T551" t="s">
        <v>45</v>
      </c>
      <c r="U551">
        <v>0</v>
      </c>
      <c r="V551">
        <v>95</v>
      </c>
      <c r="W551">
        <v>0</v>
      </c>
      <c r="X551">
        <v>0</v>
      </c>
      <c r="Y551" t="s">
        <v>473</v>
      </c>
      <c r="Z551" s="7">
        <f>SUM(Tabla1[[#This Row],[RES-A]:[EXTR-B]])</f>
        <v>95</v>
      </c>
      <c r="AA551" s="7">
        <f>Tabla1[[#This Row],[Columna1]]-Tabla1[[#This Row],[IMPORTE TOTAL]]</f>
        <v>0</v>
      </c>
    </row>
    <row r="552" spans="1:27" x14ac:dyDescent="0.2">
      <c r="A552">
        <v>2023</v>
      </c>
      <c r="B552" t="s">
        <v>59</v>
      </c>
      <c r="C552" s="3">
        <v>45065</v>
      </c>
      <c r="D552" s="3" t="s">
        <v>41</v>
      </c>
      <c r="E552" s="3" t="s">
        <v>46</v>
      </c>
      <c r="F552" s="3" t="s">
        <v>46</v>
      </c>
      <c r="G552" s="4">
        <v>0.64583333333333337</v>
      </c>
      <c r="H552" s="4">
        <v>0.85416666666666663</v>
      </c>
      <c r="I552" t="s">
        <v>31</v>
      </c>
      <c r="J552">
        <v>1</v>
      </c>
      <c r="L552" s="46"/>
      <c r="P552">
        <v>140</v>
      </c>
      <c r="Q552">
        <v>0</v>
      </c>
      <c r="R552">
        <v>0</v>
      </c>
      <c r="S552" s="7">
        <f>Tabla1[[#This Row],[TARIFA]]+Tabla1[[#This Row],[IMPORTE EXTRAS]]</f>
        <v>140</v>
      </c>
      <c r="T552" t="s">
        <v>45</v>
      </c>
      <c r="U552">
        <v>50</v>
      </c>
      <c r="V552">
        <v>90</v>
      </c>
      <c r="W552">
        <v>0</v>
      </c>
      <c r="X552">
        <v>0</v>
      </c>
      <c r="Y552" t="s">
        <v>513</v>
      </c>
      <c r="Z552" s="7">
        <f>SUM(Tabla1[[#This Row],[RES-A]:[EXTR-B]])</f>
        <v>140</v>
      </c>
      <c r="AA552" s="7">
        <f>Tabla1[[#This Row],[Columna1]]-Tabla1[[#This Row],[IMPORTE TOTAL]]</f>
        <v>0</v>
      </c>
    </row>
    <row r="553" spans="1:27" x14ac:dyDescent="0.2">
      <c r="A553">
        <v>2023</v>
      </c>
      <c r="B553" t="s">
        <v>59</v>
      </c>
      <c r="C553" s="3">
        <v>45065</v>
      </c>
      <c r="D553" s="3" t="s">
        <v>41</v>
      </c>
      <c r="E553" s="3" t="s">
        <v>46</v>
      </c>
      <c r="F553" s="3" t="s">
        <v>46</v>
      </c>
      <c r="G553" s="4">
        <v>0.89583333333333337</v>
      </c>
      <c r="H553" s="4">
        <v>0.10416666666666667</v>
      </c>
      <c r="I553" t="s">
        <v>35</v>
      </c>
      <c r="J553">
        <v>1</v>
      </c>
      <c r="L553" s="46"/>
      <c r="P553">
        <v>200</v>
      </c>
      <c r="Q553">
        <v>1</v>
      </c>
      <c r="R553">
        <v>60</v>
      </c>
      <c r="S553" s="7">
        <f>Tabla1[[#This Row],[TARIFA]]+Tabla1[[#This Row],[IMPORTE EXTRAS]]</f>
        <v>260</v>
      </c>
      <c r="T553" t="s">
        <v>45</v>
      </c>
      <c r="U553">
        <v>50</v>
      </c>
      <c r="V553">
        <v>150</v>
      </c>
      <c r="W553">
        <v>0</v>
      </c>
      <c r="X553">
        <v>60</v>
      </c>
      <c r="Z553" s="7">
        <f>SUM(Tabla1[[#This Row],[RES-A]:[EXTR-B]])</f>
        <v>260</v>
      </c>
      <c r="AA553" s="7">
        <f>Tabla1[[#This Row],[Columna1]]-Tabla1[[#This Row],[IMPORTE TOTAL]]</f>
        <v>0</v>
      </c>
    </row>
    <row r="554" spans="1:27" x14ac:dyDescent="0.2">
      <c r="A554">
        <v>2023</v>
      </c>
      <c r="B554" t="s">
        <v>59</v>
      </c>
      <c r="C554" s="3">
        <v>45066</v>
      </c>
      <c r="D554" s="3" t="s">
        <v>42</v>
      </c>
      <c r="E554" s="3" t="s">
        <v>46</v>
      </c>
      <c r="F554" s="3" t="s">
        <v>46</v>
      </c>
      <c r="G554" s="4">
        <v>0.39583333333333331</v>
      </c>
      <c r="H554" s="4">
        <v>0.60416666666666663</v>
      </c>
      <c r="I554" t="s">
        <v>30</v>
      </c>
      <c r="J554">
        <v>1</v>
      </c>
      <c r="L554" s="46"/>
      <c r="P554">
        <v>150</v>
      </c>
      <c r="Q554">
        <v>0</v>
      </c>
      <c r="R554">
        <v>0</v>
      </c>
      <c r="S554" s="7">
        <f>Tabla1[[#This Row],[TARIFA]]+Tabla1[[#This Row],[IMPORTE EXTRAS]]</f>
        <v>150</v>
      </c>
      <c r="T554" t="s">
        <v>45</v>
      </c>
      <c r="U554">
        <v>50</v>
      </c>
      <c r="V554">
        <v>100</v>
      </c>
      <c r="W554">
        <v>0</v>
      </c>
      <c r="X554">
        <v>0</v>
      </c>
      <c r="Z554" s="7">
        <f>SUM(Tabla1[[#This Row],[RES-A]:[EXTR-B]])</f>
        <v>150</v>
      </c>
      <c r="AA554" s="7">
        <f>Tabla1[[#This Row],[Columna1]]-Tabla1[[#This Row],[IMPORTE TOTAL]]</f>
        <v>0</v>
      </c>
    </row>
    <row r="555" spans="1:27" x14ac:dyDescent="0.2">
      <c r="A555">
        <v>2023</v>
      </c>
      <c r="B555" t="s">
        <v>59</v>
      </c>
      <c r="C555" s="3">
        <v>45066</v>
      </c>
      <c r="D555" s="3" t="s">
        <v>42</v>
      </c>
      <c r="E555" s="3" t="s">
        <v>46</v>
      </c>
      <c r="F555" s="3" t="s">
        <v>46</v>
      </c>
      <c r="G555" s="4">
        <v>0.64583333333333337</v>
      </c>
      <c r="H555" s="4">
        <v>0.85416666666666663</v>
      </c>
      <c r="I555" t="s">
        <v>31</v>
      </c>
      <c r="J555">
        <v>1</v>
      </c>
      <c r="L555" s="46"/>
      <c r="P555">
        <v>150</v>
      </c>
      <c r="Q555">
        <v>0</v>
      </c>
      <c r="R555">
        <v>0</v>
      </c>
      <c r="S555" s="7">
        <f>Tabla1[[#This Row],[TARIFA]]+Tabla1[[#This Row],[IMPORTE EXTRAS]]</f>
        <v>150</v>
      </c>
      <c r="T555" t="s">
        <v>45</v>
      </c>
      <c r="U555">
        <v>0</v>
      </c>
      <c r="V555">
        <v>150</v>
      </c>
      <c r="W555">
        <v>0</v>
      </c>
      <c r="X555">
        <v>0</v>
      </c>
      <c r="Z555" s="7">
        <f>SUM(Tabla1[[#This Row],[RES-A]:[EXTR-B]])</f>
        <v>150</v>
      </c>
      <c r="AA555" s="7">
        <f>Tabla1[[#This Row],[Columna1]]-Tabla1[[#This Row],[IMPORTE TOTAL]]</f>
        <v>0</v>
      </c>
    </row>
    <row r="556" spans="1:27" x14ac:dyDescent="0.2">
      <c r="A556">
        <v>2023</v>
      </c>
      <c r="B556" t="s">
        <v>59</v>
      </c>
      <c r="C556" s="3">
        <v>45066</v>
      </c>
      <c r="D556" s="3" t="s">
        <v>42</v>
      </c>
      <c r="E556" s="3" t="s">
        <v>46</v>
      </c>
      <c r="F556" s="3" t="s">
        <v>46</v>
      </c>
      <c r="G556" s="4">
        <v>0.89583333333333337</v>
      </c>
      <c r="H556" s="4">
        <v>0.10416666666666667</v>
      </c>
      <c r="I556" t="s">
        <v>35</v>
      </c>
      <c r="J556">
        <v>1</v>
      </c>
      <c r="L556" s="46"/>
      <c r="P556">
        <v>200</v>
      </c>
      <c r="Q556">
        <v>1</v>
      </c>
      <c r="R556">
        <v>60</v>
      </c>
      <c r="S556" s="7">
        <f>Tabla1[[#This Row],[TARIFA]]+Tabla1[[#This Row],[IMPORTE EXTRAS]]</f>
        <v>260</v>
      </c>
      <c r="T556" t="s">
        <v>45</v>
      </c>
      <c r="U556">
        <v>50</v>
      </c>
      <c r="V556">
        <v>150</v>
      </c>
      <c r="W556">
        <v>0</v>
      </c>
      <c r="X556">
        <v>60</v>
      </c>
      <c r="Z556" s="7">
        <f>SUM(Tabla1[[#This Row],[RES-A]:[EXTR-B]])</f>
        <v>260</v>
      </c>
      <c r="AA556" s="7">
        <f>Tabla1[[#This Row],[Columna1]]-Tabla1[[#This Row],[IMPORTE TOTAL]]</f>
        <v>0</v>
      </c>
    </row>
    <row r="557" spans="1:27" x14ac:dyDescent="0.2">
      <c r="A557">
        <v>2023</v>
      </c>
      <c r="B557" t="s">
        <v>59</v>
      </c>
      <c r="C557" s="3">
        <v>45067</v>
      </c>
      <c r="D557" s="3" t="s">
        <v>43</v>
      </c>
      <c r="E557" s="3" t="s">
        <v>46</v>
      </c>
      <c r="F557" s="3" t="s">
        <v>46</v>
      </c>
      <c r="G557" s="4">
        <v>0.39583333333333331</v>
      </c>
      <c r="H557" s="4">
        <v>0.60416666666666663</v>
      </c>
      <c r="I557" t="s">
        <v>30</v>
      </c>
      <c r="J557">
        <v>1</v>
      </c>
      <c r="L557" s="46"/>
      <c r="P557">
        <v>150</v>
      </c>
      <c r="Q557">
        <v>0</v>
      </c>
      <c r="R557">
        <v>0</v>
      </c>
      <c r="S557" s="7">
        <f>Tabla1[[#This Row],[TARIFA]]+Tabla1[[#This Row],[IMPORTE EXTRAS]]</f>
        <v>150</v>
      </c>
      <c r="T557" t="s">
        <v>45</v>
      </c>
      <c r="U557">
        <v>50</v>
      </c>
      <c r="V557">
        <v>100</v>
      </c>
      <c r="W557">
        <v>0</v>
      </c>
      <c r="X557">
        <v>0</v>
      </c>
      <c r="Z557" s="7">
        <f>SUM(Tabla1[[#This Row],[RES-A]:[EXTR-B]])</f>
        <v>150</v>
      </c>
      <c r="AA557" s="7">
        <f>Tabla1[[#This Row],[Columna1]]-Tabla1[[#This Row],[IMPORTE TOTAL]]</f>
        <v>0</v>
      </c>
    </row>
    <row r="558" spans="1:27" x14ac:dyDescent="0.2">
      <c r="A558">
        <v>2023</v>
      </c>
      <c r="B558" t="s">
        <v>59</v>
      </c>
      <c r="C558" s="3">
        <v>45067</v>
      </c>
      <c r="D558" s="3" t="s">
        <v>43</v>
      </c>
      <c r="E558" s="3" t="s">
        <v>46</v>
      </c>
      <c r="F558" s="3" t="s">
        <v>46</v>
      </c>
      <c r="G558" s="4">
        <v>0.64583333333333337</v>
      </c>
      <c r="H558" s="4">
        <v>0.85416666666666663</v>
      </c>
      <c r="I558" t="s">
        <v>31</v>
      </c>
      <c r="J558">
        <v>1</v>
      </c>
      <c r="L558" s="46"/>
      <c r="P558">
        <v>150</v>
      </c>
      <c r="Q558">
        <v>0</v>
      </c>
      <c r="R558">
        <v>0</v>
      </c>
      <c r="S558" s="7">
        <f>Tabla1[[#This Row],[TARIFA]]+Tabla1[[#This Row],[IMPORTE EXTRAS]]</f>
        <v>150</v>
      </c>
      <c r="T558" t="s">
        <v>45</v>
      </c>
      <c r="U558">
        <v>50</v>
      </c>
      <c r="V558">
        <v>100</v>
      </c>
      <c r="W558">
        <v>0</v>
      </c>
      <c r="X558">
        <v>0</v>
      </c>
      <c r="Z558" s="7">
        <f>SUM(Tabla1[[#This Row],[RES-A]:[EXTR-B]])</f>
        <v>150</v>
      </c>
      <c r="AA558" s="7">
        <f>Tabla1[[#This Row],[Columna1]]-Tabla1[[#This Row],[IMPORTE TOTAL]]</f>
        <v>0</v>
      </c>
    </row>
    <row r="559" spans="1:27" x14ac:dyDescent="0.2">
      <c r="A559">
        <v>2023</v>
      </c>
      <c r="B559" t="s">
        <v>59</v>
      </c>
      <c r="C559" s="3">
        <v>45072</v>
      </c>
      <c r="D559" s="3" t="s">
        <v>41</v>
      </c>
      <c r="E559" s="3" t="s">
        <v>46</v>
      </c>
      <c r="F559" s="3" t="s">
        <v>46</v>
      </c>
      <c r="G559" s="4">
        <v>0.89583333333333337</v>
      </c>
      <c r="H559" s="4">
        <v>0.10416666666666667</v>
      </c>
      <c r="I559" t="s">
        <v>35</v>
      </c>
      <c r="J559">
        <v>1</v>
      </c>
      <c r="L559" s="46"/>
      <c r="P559">
        <v>200</v>
      </c>
      <c r="Q559">
        <v>0</v>
      </c>
      <c r="R559">
        <v>0</v>
      </c>
      <c r="S559" s="7">
        <f>Tabla1[[#This Row],[TARIFA]]+Tabla1[[#This Row],[IMPORTE EXTRAS]]</f>
        <v>200</v>
      </c>
      <c r="T559" t="s">
        <v>45</v>
      </c>
      <c r="U559">
        <v>200</v>
      </c>
      <c r="V559">
        <v>0</v>
      </c>
      <c r="W559">
        <v>0</v>
      </c>
      <c r="X559">
        <v>0</v>
      </c>
      <c r="Z559" s="7">
        <f>SUM(Tabla1[[#This Row],[RES-A]:[EXTR-B]])</f>
        <v>200</v>
      </c>
      <c r="AA559" s="7">
        <f>Tabla1[[#This Row],[Columna1]]-Tabla1[[#This Row],[IMPORTE TOTAL]]</f>
        <v>0</v>
      </c>
    </row>
    <row r="560" spans="1:27" x14ac:dyDescent="0.2">
      <c r="A560">
        <v>2023</v>
      </c>
      <c r="B560" t="s">
        <v>59</v>
      </c>
      <c r="C560" s="3">
        <v>45073</v>
      </c>
      <c r="D560" s="3" t="s">
        <v>42</v>
      </c>
      <c r="E560" s="3" t="s">
        <v>46</v>
      </c>
      <c r="F560" s="3" t="s">
        <v>46</v>
      </c>
      <c r="G560" s="4">
        <v>0.39583333333333331</v>
      </c>
      <c r="H560" s="4">
        <v>0.60416666666666663</v>
      </c>
      <c r="I560" t="s">
        <v>30</v>
      </c>
      <c r="J560">
        <v>1</v>
      </c>
      <c r="L560" s="46"/>
      <c r="P560">
        <v>150</v>
      </c>
      <c r="Q560">
        <v>0</v>
      </c>
      <c r="R560">
        <v>0</v>
      </c>
      <c r="S560" s="7">
        <f>Tabla1[[#This Row],[TARIFA]]+Tabla1[[#This Row],[IMPORTE EXTRAS]]</f>
        <v>150</v>
      </c>
      <c r="T560" t="s">
        <v>45</v>
      </c>
      <c r="U560">
        <v>50</v>
      </c>
      <c r="V560">
        <v>100</v>
      </c>
      <c r="W560">
        <v>0</v>
      </c>
      <c r="X560">
        <v>0</v>
      </c>
      <c r="Z560" s="7">
        <f>SUM(Tabla1[[#This Row],[RES-A]:[EXTR-B]])</f>
        <v>150</v>
      </c>
      <c r="AA560" s="7">
        <f>Tabla1[[#This Row],[Columna1]]-Tabla1[[#This Row],[IMPORTE TOTAL]]</f>
        <v>0</v>
      </c>
    </row>
    <row r="561" spans="1:27" x14ac:dyDescent="0.2">
      <c r="A561">
        <v>2023</v>
      </c>
      <c r="B561" t="s">
        <v>59</v>
      </c>
      <c r="C561" s="3">
        <v>45073</v>
      </c>
      <c r="D561" s="3" t="s">
        <v>42</v>
      </c>
      <c r="E561" s="3" t="s">
        <v>46</v>
      </c>
      <c r="F561" s="3" t="s">
        <v>46</v>
      </c>
      <c r="G561" s="4">
        <v>0.64583333333333337</v>
      </c>
      <c r="H561" s="4">
        <v>0.85416666666666663</v>
      </c>
      <c r="I561" t="s">
        <v>31</v>
      </c>
      <c r="J561">
        <v>1</v>
      </c>
      <c r="L561" s="46"/>
      <c r="P561">
        <v>150</v>
      </c>
      <c r="Q561">
        <v>0</v>
      </c>
      <c r="R561">
        <v>0</v>
      </c>
      <c r="S561" s="7">
        <f>Tabla1[[#This Row],[TARIFA]]+Tabla1[[#This Row],[IMPORTE EXTRAS]]</f>
        <v>150</v>
      </c>
      <c r="T561" t="s">
        <v>45</v>
      </c>
      <c r="U561">
        <v>50</v>
      </c>
      <c r="V561">
        <v>100</v>
      </c>
      <c r="W561">
        <v>0</v>
      </c>
      <c r="X561">
        <v>0</v>
      </c>
      <c r="Z561" s="7">
        <f>SUM(Tabla1[[#This Row],[RES-A]:[EXTR-B]])</f>
        <v>150</v>
      </c>
      <c r="AA561" s="7">
        <f>Tabla1[[#This Row],[Columna1]]-Tabla1[[#This Row],[IMPORTE TOTAL]]</f>
        <v>0</v>
      </c>
    </row>
    <row r="562" spans="1:27" x14ac:dyDescent="0.2">
      <c r="A562">
        <v>2023</v>
      </c>
      <c r="B562" t="s">
        <v>59</v>
      </c>
      <c r="C562" s="3">
        <v>45074</v>
      </c>
      <c r="D562" s="3" t="s">
        <v>43</v>
      </c>
      <c r="E562" s="3" t="s">
        <v>46</v>
      </c>
      <c r="F562" s="3" t="s">
        <v>46</v>
      </c>
      <c r="G562" s="4">
        <v>0.39583333333333331</v>
      </c>
      <c r="H562" s="4">
        <v>0.60416666666666663</v>
      </c>
      <c r="I562" t="s">
        <v>30</v>
      </c>
      <c r="J562">
        <v>1</v>
      </c>
      <c r="L562" s="46"/>
      <c r="P562">
        <v>150</v>
      </c>
      <c r="Q562">
        <v>0</v>
      </c>
      <c r="R562">
        <v>0</v>
      </c>
      <c r="S562" s="7">
        <f>Tabla1[[#This Row],[TARIFA]]+Tabla1[[#This Row],[IMPORTE EXTRAS]]</f>
        <v>150</v>
      </c>
      <c r="T562" t="s">
        <v>45</v>
      </c>
      <c r="U562">
        <v>50</v>
      </c>
      <c r="V562">
        <v>100</v>
      </c>
      <c r="W562">
        <v>0</v>
      </c>
      <c r="X562">
        <v>0</v>
      </c>
      <c r="Z562" s="7">
        <f>SUM(Tabla1[[#This Row],[RES-A]:[EXTR-B]])</f>
        <v>150</v>
      </c>
      <c r="AA562" s="7">
        <f>Tabla1[[#This Row],[Columna1]]-Tabla1[[#This Row],[IMPORTE TOTAL]]</f>
        <v>0</v>
      </c>
    </row>
    <row r="563" spans="1:27" x14ac:dyDescent="0.2">
      <c r="A563">
        <v>2023</v>
      </c>
      <c r="B563" t="s">
        <v>59</v>
      </c>
      <c r="C563" s="3">
        <v>45077</v>
      </c>
      <c r="D563" s="3" t="s">
        <v>39</v>
      </c>
      <c r="E563" s="3" t="s">
        <v>46</v>
      </c>
      <c r="F563" s="3" t="s">
        <v>46</v>
      </c>
      <c r="G563" s="4">
        <v>0.64583333333333337</v>
      </c>
      <c r="H563" s="4">
        <v>0.85416666666666663</v>
      </c>
      <c r="I563" t="s">
        <v>31</v>
      </c>
      <c r="J563">
        <v>1</v>
      </c>
      <c r="L563" s="46"/>
      <c r="P563">
        <v>95</v>
      </c>
      <c r="Q563">
        <v>0</v>
      </c>
      <c r="R563">
        <v>0</v>
      </c>
      <c r="S563" s="7">
        <f>Tabla1[[#This Row],[TARIFA]]+Tabla1[[#This Row],[IMPORTE EXTRAS]]</f>
        <v>95</v>
      </c>
      <c r="T563" t="s">
        <v>45</v>
      </c>
      <c r="U563">
        <v>50</v>
      </c>
      <c r="V563">
        <v>45</v>
      </c>
      <c r="W563">
        <v>0</v>
      </c>
      <c r="X563">
        <v>0</v>
      </c>
      <c r="Y563" t="s">
        <v>528</v>
      </c>
      <c r="Z563" s="7">
        <f>SUM(Tabla1[[#This Row],[RES-A]:[EXTR-B]])</f>
        <v>95</v>
      </c>
      <c r="AA563" s="7">
        <f>Tabla1[[#This Row],[Columna1]]-Tabla1[[#This Row],[IMPORTE TOTAL]]</f>
        <v>0</v>
      </c>
    </row>
    <row r="564" spans="1:27" x14ac:dyDescent="0.2">
      <c r="A564">
        <v>2023</v>
      </c>
      <c r="B564" t="s">
        <v>60</v>
      </c>
      <c r="C564" s="3">
        <v>45078</v>
      </c>
      <c r="D564" s="3" t="s">
        <v>40</v>
      </c>
      <c r="E564" s="3" t="s">
        <v>46</v>
      </c>
      <c r="F564" s="3" t="s">
        <v>46</v>
      </c>
      <c r="G564" s="4">
        <v>0.64583333333333337</v>
      </c>
      <c r="H564" s="4">
        <v>0.85416666666666663</v>
      </c>
      <c r="I564" t="s">
        <v>31</v>
      </c>
      <c r="J564">
        <v>1</v>
      </c>
      <c r="L564" s="46"/>
      <c r="P564">
        <v>95</v>
      </c>
      <c r="Q564">
        <v>0</v>
      </c>
      <c r="R564">
        <v>0</v>
      </c>
      <c r="S564" s="7">
        <f>Tabla1[[#This Row],[TARIFA]]+Tabla1[[#This Row],[IMPORTE EXTRAS]]</f>
        <v>95</v>
      </c>
      <c r="T564" t="s">
        <v>45</v>
      </c>
      <c r="U564">
        <v>50</v>
      </c>
      <c r="V564">
        <v>45</v>
      </c>
      <c r="W564">
        <v>0</v>
      </c>
      <c r="X564">
        <v>0</v>
      </c>
      <c r="Z564" s="7">
        <f>SUM(Tabla1[[#This Row],[RES-A]:[EXTR-B]])</f>
        <v>95</v>
      </c>
      <c r="AA564" s="7">
        <f>Tabla1[[#This Row],[Columna1]]-Tabla1[[#This Row],[IMPORTE TOTAL]]</f>
        <v>0</v>
      </c>
    </row>
    <row r="565" spans="1:27" x14ac:dyDescent="0.2">
      <c r="A565">
        <v>2023</v>
      </c>
      <c r="B565" t="s">
        <v>60</v>
      </c>
      <c r="C565" s="3">
        <v>45080</v>
      </c>
      <c r="D565" s="3" t="s">
        <v>42</v>
      </c>
      <c r="E565" s="3" t="s">
        <v>46</v>
      </c>
      <c r="F565" s="3" t="s">
        <v>46</v>
      </c>
      <c r="G565" s="4">
        <v>0.64583333333333337</v>
      </c>
      <c r="H565" s="4">
        <v>0.85416666666666663</v>
      </c>
      <c r="I565" t="s">
        <v>31</v>
      </c>
      <c r="J565">
        <v>1</v>
      </c>
      <c r="L565" s="46"/>
      <c r="P565">
        <v>150</v>
      </c>
      <c r="Q565">
        <v>0</v>
      </c>
      <c r="R565">
        <v>0</v>
      </c>
      <c r="S565" s="7">
        <f>Tabla1[[#This Row],[TARIFA]]+Tabla1[[#This Row],[IMPORTE EXTRAS]]</f>
        <v>150</v>
      </c>
      <c r="T565" t="s">
        <v>45</v>
      </c>
      <c r="U565">
        <v>0</v>
      </c>
      <c r="V565">
        <v>150</v>
      </c>
      <c r="W565">
        <v>0</v>
      </c>
      <c r="X565">
        <v>0</v>
      </c>
      <c r="Y565" t="s">
        <v>476</v>
      </c>
      <c r="Z565" s="7">
        <f>SUM(Tabla1[[#This Row],[RES-A]:[EXTR-B]])</f>
        <v>150</v>
      </c>
      <c r="AA565" s="7">
        <f>Tabla1[[#This Row],[Columna1]]-Tabla1[[#This Row],[IMPORTE TOTAL]]</f>
        <v>0</v>
      </c>
    </row>
    <row r="566" spans="1:27" x14ac:dyDescent="0.2">
      <c r="A566">
        <v>2023</v>
      </c>
      <c r="B566" t="s">
        <v>60</v>
      </c>
      <c r="C566" s="3">
        <v>45080</v>
      </c>
      <c r="D566" s="3" t="s">
        <v>42</v>
      </c>
      <c r="E566" s="3" t="s">
        <v>46</v>
      </c>
      <c r="F566" s="3" t="s">
        <v>46</v>
      </c>
      <c r="G566" s="4">
        <v>0.89583333333333337</v>
      </c>
      <c r="H566" s="4">
        <v>0.10416666666666667</v>
      </c>
      <c r="I566" t="s">
        <v>35</v>
      </c>
      <c r="J566">
        <v>1</v>
      </c>
      <c r="L566" s="46"/>
      <c r="P566">
        <v>200</v>
      </c>
      <c r="Q566">
        <v>0</v>
      </c>
      <c r="R566">
        <v>0</v>
      </c>
      <c r="S566" s="7">
        <f>Tabla1[[#This Row],[TARIFA]]+Tabla1[[#This Row],[IMPORTE EXTRAS]]</f>
        <v>200</v>
      </c>
      <c r="T566" t="s">
        <v>45</v>
      </c>
      <c r="U566">
        <v>50</v>
      </c>
      <c r="V566">
        <v>150</v>
      </c>
      <c r="W566">
        <v>0</v>
      </c>
      <c r="X566">
        <v>0</v>
      </c>
      <c r="Y566" t="s">
        <v>476</v>
      </c>
      <c r="Z566" s="7">
        <f>SUM(Tabla1[[#This Row],[RES-A]:[EXTR-B]])</f>
        <v>200</v>
      </c>
      <c r="AA566" s="7">
        <f>Tabla1[[#This Row],[Columna1]]-Tabla1[[#This Row],[IMPORTE TOTAL]]</f>
        <v>0</v>
      </c>
    </row>
    <row r="567" spans="1:27" x14ac:dyDescent="0.2">
      <c r="A567">
        <v>2023</v>
      </c>
      <c r="B567" t="s">
        <v>60</v>
      </c>
      <c r="C567" s="3">
        <v>45081</v>
      </c>
      <c r="D567" s="3" t="s">
        <v>43</v>
      </c>
      <c r="E567" s="3" t="s">
        <v>46</v>
      </c>
      <c r="F567" s="3" t="s">
        <v>46</v>
      </c>
      <c r="G567" s="4">
        <v>0.39583333333333331</v>
      </c>
      <c r="H567" s="4">
        <v>0.85416666666666663</v>
      </c>
      <c r="I567" t="s">
        <v>32</v>
      </c>
      <c r="J567">
        <v>2</v>
      </c>
      <c r="L567" s="46"/>
      <c r="P567">
        <v>150</v>
      </c>
      <c r="Q567">
        <v>0</v>
      </c>
      <c r="R567">
        <v>0</v>
      </c>
      <c r="S567" s="7">
        <f>Tabla1[[#This Row],[TARIFA]]+Tabla1[[#This Row],[IMPORTE EXTRAS]]</f>
        <v>150</v>
      </c>
      <c r="T567" t="s">
        <v>45</v>
      </c>
      <c r="U567">
        <v>0</v>
      </c>
      <c r="V567">
        <v>150</v>
      </c>
      <c r="W567">
        <v>0</v>
      </c>
      <c r="X567">
        <v>0</v>
      </c>
      <c r="Z567" s="7">
        <f>SUM(Tabla1[[#This Row],[RES-A]:[EXTR-B]])</f>
        <v>150</v>
      </c>
      <c r="AA567" s="7">
        <f>Tabla1[[#This Row],[Columna1]]-Tabla1[[#This Row],[IMPORTE TOTAL]]</f>
        <v>0</v>
      </c>
    </row>
    <row r="568" spans="1:27" x14ac:dyDescent="0.2">
      <c r="A568">
        <v>2023</v>
      </c>
      <c r="B568" t="s">
        <v>60</v>
      </c>
      <c r="C568" s="3">
        <v>45082</v>
      </c>
      <c r="D568" s="3" t="s">
        <v>37</v>
      </c>
      <c r="E568" s="3" t="s">
        <v>46</v>
      </c>
      <c r="F568" s="3" t="s">
        <v>46</v>
      </c>
      <c r="G568" s="4">
        <v>0.64583333333333337</v>
      </c>
      <c r="H568" s="4">
        <v>0.85416666666666663</v>
      </c>
      <c r="I568" t="s">
        <v>31</v>
      </c>
      <c r="J568">
        <v>1</v>
      </c>
      <c r="L568" s="46"/>
      <c r="P568">
        <v>95</v>
      </c>
      <c r="Q568">
        <v>0</v>
      </c>
      <c r="R568">
        <v>0</v>
      </c>
      <c r="S568" s="7">
        <f>Tabla1[[#This Row],[TARIFA]]+Tabla1[[#This Row],[IMPORTE EXTRAS]]</f>
        <v>95</v>
      </c>
      <c r="T568" t="s">
        <v>45</v>
      </c>
      <c r="U568">
        <v>50</v>
      </c>
      <c r="V568">
        <v>45</v>
      </c>
      <c r="W568">
        <v>0</v>
      </c>
      <c r="X568">
        <v>0</v>
      </c>
      <c r="Y568" t="s">
        <v>475</v>
      </c>
      <c r="Z568" s="7">
        <f>SUM(Tabla1[[#This Row],[RES-A]:[EXTR-B]])</f>
        <v>95</v>
      </c>
      <c r="AA568" s="7">
        <f>Tabla1[[#This Row],[Columna1]]-Tabla1[[#This Row],[IMPORTE TOTAL]]</f>
        <v>0</v>
      </c>
    </row>
    <row r="569" spans="1:27" x14ac:dyDescent="0.2">
      <c r="A569">
        <v>2023</v>
      </c>
      <c r="B569" t="s">
        <v>60</v>
      </c>
      <c r="C569" s="3">
        <v>45084</v>
      </c>
      <c r="D569" s="3" t="s">
        <v>39</v>
      </c>
      <c r="E569" s="3" t="s">
        <v>46</v>
      </c>
      <c r="F569" s="3" t="s">
        <v>46</v>
      </c>
      <c r="G569" s="4">
        <v>0.64583333333333337</v>
      </c>
      <c r="H569" s="4">
        <v>0.85416666666666663</v>
      </c>
      <c r="I569" t="s">
        <v>31</v>
      </c>
      <c r="J569">
        <v>1</v>
      </c>
      <c r="L569" s="46"/>
      <c r="P569">
        <v>95</v>
      </c>
      <c r="Q569">
        <v>0</v>
      </c>
      <c r="R569">
        <v>0</v>
      </c>
      <c r="S569" s="7">
        <f>Tabla1[[#This Row],[TARIFA]]+Tabla1[[#This Row],[IMPORTE EXTRAS]]</f>
        <v>95</v>
      </c>
      <c r="T569" t="s">
        <v>45</v>
      </c>
      <c r="U569">
        <v>50</v>
      </c>
      <c r="V569">
        <v>45</v>
      </c>
      <c r="W569">
        <v>0</v>
      </c>
      <c r="X569">
        <v>0</v>
      </c>
      <c r="Z569" s="7">
        <f>SUM(Tabla1[[#This Row],[RES-A]:[EXTR-B]])</f>
        <v>95</v>
      </c>
      <c r="AA569" s="7">
        <f>Tabla1[[#This Row],[Columna1]]-Tabla1[[#This Row],[IMPORTE TOTAL]]</f>
        <v>0</v>
      </c>
    </row>
    <row r="570" spans="1:27" x14ac:dyDescent="0.2">
      <c r="A570">
        <v>2023</v>
      </c>
      <c r="B570" t="s">
        <v>60</v>
      </c>
      <c r="C570" s="3">
        <v>45086</v>
      </c>
      <c r="D570" s="3" t="s">
        <v>41</v>
      </c>
      <c r="E570" s="3" t="s">
        <v>46</v>
      </c>
      <c r="F570" s="3" t="s">
        <v>46</v>
      </c>
      <c r="G570" s="4">
        <v>0.64583333333333337</v>
      </c>
      <c r="H570" s="4">
        <v>0.10416666666666667</v>
      </c>
      <c r="I570" t="s">
        <v>53</v>
      </c>
      <c r="J570">
        <v>2</v>
      </c>
      <c r="L570" s="46"/>
      <c r="P570">
        <v>300</v>
      </c>
      <c r="Q570">
        <v>0</v>
      </c>
      <c r="R570">
        <v>0</v>
      </c>
      <c r="S570" s="7">
        <f>Tabla1[[#This Row],[TARIFA]]+Tabla1[[#This Row],[IMPORTE EXTRAS]]</f>
        <v>300</v>
      </c>
      <c r="T570" t="s">
        <v>45</v>
      </c>
      <c r="U570">
        <v>50</v>
      </c>
      <c r="V570">
        <v>250</v>
      </c>
      <c r="W570">
        <v>0</v>
      </c>
      <c r="X570">
        <v>0</v>
      </c>
      <c r="Z570" s="7">
        <f>SUM(Tabla1[[#This Row],[RES-A]:[EXTR-B]])</f>
        <v>300</v>
      </c>
      <c r="AA570" s="7">
        <f>Tabla1[[#This Row],[Columna1]]-Tabla1[[#This Row],[IMPORTE TOTAL]]</f>
        <v>0</v>
      </c>
    </row>
    <row r="571" spans="1:27" x14ac:dyDescent="0.2">
      <c r="A571">
        <v>2023</v>
      </c>
      <c r="B571" t="s">
        <v>60</v>
      </c>
      <c r="C571" s="3">
        <v>45087</v>
      </c>
      <c r="D571" s="3" t="s">
        <v>42</v>
      </c>
      <c r="E571" s="3" t="s">
        <v>46</v>
      </c>
      <c r="F571" s="3" t="s">
        <v>46</v>
      </c>
      <c r="G571" s="4">
        <v>0.39583333333333331</v>
      </c>
      <c r="H571" s="4">
        <v>0.60416666666666663</v>
      </c>
      <c r="I571" t="s">
        <v>30</v>
      </c>
      <c r="J571">
        <v>1</v>
      </c>
      <c r="L571" s="46"/>
      <c r="P571">
        <v>150</v>
      </c>
      <c r="Q571">
        <v>0</v>
      </c>
      <c r="R571">
        <v>0</v>
      </c>
      <c r="S571" s="7">
        <f>Tabla1[[#This Row],[TARIFA]]+Tabla1[[#This Row],[IMPORTE EXTRAS]]</f>
        <v>150</v>
      </c>
      <c r="T571" t="s">
        <v>45</v>
      </c>
      <c r="U571">
        <v>150</v>
      </c>
      <c r="V571">
        <v>0</v>
      </c>
      <c r="W571">
        <v>0</v>
      </c>
      <c r="X571">
        <v>0</v>
      </c>
      <c r="Z571" s="7">
        <f>SUM(Tabla1[[#This Row],[RES-A]:[EXTR-B]])</f>
        <v>150</v>
      </c>
      <c r="AA571" s="7">
        <f>Tabla1[[#This Row],[Columna1]]-Tabla1[[#This Row],[IMPORTE TOTAL]]</f>
        <v>0</v>
      </c>
    </row>
    <row r="572" spans="1:27" x14ac:dyDescent="0.2">
      <c r="A572">
        <v>2023</v>
      </c>
      <c r="B572" t="s">
        <v>60</v>
      </c>
      <c r="C572" s="3">
        <v>45087</v>
      </c>
      <c r="D572" s="3" t="s">
        <v>42</v>
      </c>
      <c r="E572" s="3" t="s">
        <v>46</v>
      </c>
      <c r="F572" s="3" t="s">
        <v>46</v>
      </c>
      <c r="G572" s="4">
        <v>0.64583333333333337</v>
      </c>
      <c r="H572" s="4">
        <v>0.85416666666666663</v>
      </c>
      <c r="I572" t="s">
        <v>31</v>
      </c>
      <c r="J572">
        <v>1</v>
      </c>
      <c r="L572" s="46"/>
      <c r="P572">
        <v>150</v>
      </c>
      <c r="Q572">
        <v>0</v>
      </c>
      <c r="R572">
        <v>0</v>
      </c>
      <c r="S572" s="7">
        <f>Tabla1[[#This Row],[TARIFA]]+Tabla1[[#This Row],[IMPORTE EXTRAS]]</f>
        <v>150</v>
      </c>
      <c r="T572" t="s">
        <v>45</v>
      </c>
      <c r="U572">
        <v>0</v>
      </c>
      <c r="V572">
        <v>150</v>
      </c>
      <c r="W572">
        <v>0</v>
      </c>
      <c r="X572">
        <v>0</v>
      </c>
      <c r="Y572" t="s">
        <v>476</v>
      </c>
      <c r="Z572" s="7">
        <f>SUM(Tabla1[[#This Row],[RES-A]:[EXTR-B]])</f>
        <v>150</v>
      </c>
      <c r="AA572" s="7">
        <f>Tabla1[[#This Row],[Columna1]]-Tabla1[[#This Row],[IMPORTE TOTAL]]</f>
        <v>0</v>
      </c>
    </row>
    <row r="573" spans="1:27" x14ac:dyDescent="0.2">
      <c r="A573">
        <v>2023</v>
      </c>
      <c r="B573" t="s">
        <v>60</v>
      </c>
      <c r="C573" s="3">
        <v>45087</v>
      </c>
      <c r="D573" s="3" t="s">
        <v>42</v>
      </c>
      <c r="E573" s="3" t="s">
        <v>46</v>
      </c>
      <c r="F573" s="3" t="s">
        <v>46</v>
      </c>
      <c r="G573" s="4">
        <v>0.89583333333333337</v>
      </c>
      <c r="H573" s="4">
        <v>0.10416666666666667</v>
      </c>
      <c r="I573" t="s">
        <v>35</v>
      </c>
      <c r="J573">
        <v>1</v>
      </c>
      <c r="L573" s="46"/>
      <c r="P573">
        <v>200</v>
      </c>
      <c r="Q573">
        <v>1</v>
      </c>
      <c r="R573">
        <v>60</v>
      </c>
      <c r="S573" s="7">
        <f>Tabla1[[#This Row],[TARIFA]]+Tabla1[[#This Row],[IMPORTE EXTRAS]]</f>
        <v>260</v>
      </c>
      <c r="T573" t="s">
        <v>45</v>
      </c>
      <c r="U573">
        <v>50</v>
      </c>
      <c r="V573">
        <v>150</v>
      </c>
      <c r="W573">
        <v>0</v>
      </c>
      <c r="X573">
        <v>60</v>
      </c>
      <c r="Z573" s="7">
        <f>SUM(Tabla1[[#This Row],[RES-A]:[EXTR-B]])</f>
        <v>260</v>
      </c>
      <c r="AA573" s="7">
        <f>Tabla1[[#This Row],[Columna1]]-Tabla1[[#This Row],[IMPORTE TOTAL]]</f>
        <v>0</v>
      </c>
    </row>
    <row r="574" spans="1:27" x14ac:dyDescent="0.2">
      <c r="A574">
        <v>2023</v>
      </c>
      <c r="B574" t="s">
        <v>60</v>
      </c>
      <c r="C574" s="3">
        <v>45088</v>
      </c>
      <c r="D574" s="3" t="s">
        <v>43</v>
      </c>
      <c r="E574" s="3" t="s">
        <v>46</v>
      </c>
      <c r="F574" s="3" t="s">
        <v>46</v>
      </c>
      <c r="G574" s="4">
        <v>0.39583333333333331</v>
      </c>
      <c r="H574" s="4">
        <v>0.60416666666666663</v>
      </c>
      <c r="I574" t="s">
        <v>30</v>
      </c>
      <c r="J574">
        <v>1</v>
      </c>
      <c r="L574" s="46"/>
      <c r="P574">
        <v>145</v>
      </c>
      <c r="Q574">
        <v>0</v>
      </c>
      <c r="R574">
        <v>0</v>
      </c>
      <c r="S574" s="7">
        <f>Tabla1[[#This Row],[TARIFA]]+Tabla1[[#This Row],[IMPORTE EXTRAS]]</f>
        <v>145</v>
      </c>
      <c r="T574" t="s">
        <v>45</v>
      </c>
      <c r="U574">
        <v>50</v>
      </c>
      <c r="V574">
        <v>95</v>
      </c>
      <c r="W574">
        <v>0</v>
      </c>
      <c r="X574">
        <v>0</v>
      </c>
      <c r="Z574" s="7">
        <f>SUM(Tabla1[[#This Row],[RES-A]:[EXTR-B]])</f>
        <v>145</v>
      </c>
      <c r="AA574" s="7">
        <f>Tabla1[[#This Row],[Columna1]]-Tabla1[[#This Row],[IMPORTE TOTAL]]</f>
        <v>0</v>
      </c>
    </row>
    <row r="575" spans="1:27" x14ac:dyDescent="0.2">
      <c r="A575">
        <v>2023</v>
      </c>
      <c r="B575" t="s">
        <v>60</v>
      </c>
      <c r="C575" s="3">
        <v>45088</v>
      </c>
      <c r="D575" s="3" t="s">
        <v>43</v>
      </c>
      <c r="E575" s="3" t="s">
        <v>46</v>
      </c>
      <c r="F575" s="3" t="s">
        <v>46</v>
      </c>
      <c r="G575" s="4">
        <v>0.64583333333333337</v>
      </c>
      <c r="H575" s="4">
        <v>0.85416666666666663</v>
      </c>
      <c r="I575" t="s">
        <v>31</v>
      </c>
      <c r="J575">
        <v>1</v>
      </c>
      <c r="L575" s="46"/>
      <c r="P575">
        <v>150</v>
      </c>
      <c r="Q575">
        <v>0</v>
      </c>
      <c r="R575">
        <v>0</v>
      </c>
      <c r="S575" s="7">
        <f>Tabla1[[#This Row],[TARIFA]]+Tabla1[[#This Row],[IMPORTE EXTRAS]]</f>
        <v>150</v>
      </c>
      <c r="T575" t="s">
        <v>45</v>
      </c>
      <c r="U575">
        <v>50</v>
      </c>
      <c r="V575">
        <v>100</v>
      </c>
      <c r="W575">
        <v>0</v>
      </c>
      <c r="X575">
        <v>0</v>
      </c>
      <c r="Z575" s="7">
        <f>SUM(Tabla1[[#This Row],[RES-A]:[EXTR-B]])</f>
        <v>150</v>
      </c>
      <c r="AA575" s="7">
        <f>Tabla1[[#This Row],[Columna1]]-Tabla1[[#This Row],[IMPORTE TOTAL]]</f>
        <v>0</v>
      </c>
    </row>
    <row r="576" spans="1:27" x14ac:dyDescent="0.2">
      <c r="A576">
        <v>2023</v>
      </c>
      <c r="B576" t="s">
        <v>60</v>
      </c>
      <c r="C576" s="3">
        <v>45089</v>
      </c>
      <c r="D576" s="3" t="s">
        <v>37</v>
      </c>
      <c r="E576" s="3" t="s">
        <v>46</v>
      </c>
      <c r="F576" s="3" t="s">
        <v>46</v>
      </c>
      <c r="G576" s="4">
        <v>0.64583333333333337</v>
      </c>
      <c r="H576" s="4">
        <v>0.85416666666666663</v>
      </c>
      <c r="I576" t="s">
        <v>31</v>
      </c>
      <c r="J576">
        <v>1</v>
      </c>
      <c r="L576" s="46"/>
      <c r="P576">
        <v>95</v>
      </c>
      <c r="Q576">
        <v>0</v>
      </c>
      <c r="R576">
        <v>0</v>
      </c>
      <c r="S576" s="7">
        <f>Tabla1[[#This Row],[TARIFA]]+Tabla1[[#This Row],[IMPORTE EXTRAS]]</f>
        <v>95</v>
      </c>
      <c r="T576" t="s">
        <v>45</v>
      </c>
      <c r="U576">
        <v>50</v>
      </c>
      <c r="V576">
        <v>45</v>
      </c>
      <c r="W576">
        <v>0</v>
      </c>
      <c r="X576">
        <v>0</v>
      </c>
      <c r="Z576" s="7">
        <f>SUM(Tabla1[[#This Row],[RES-A]:[EXTR-B]])</f>
        <v>95</v>
      </c>
      <c r="AA576" s="7">
        <f>Tabla1[[#This Row],[Columna1]]-Tabla1[[#This Row],[IMPORTE TOTAL]]</f>
        <v>0</v>
      </c>
    </row>
    <row r="577" spans="1:27" x14ac:dyDescent="0.2">
      <c r="A577">
        <v>2023</v>
      </c>
      <c r="B577" t="s">
        <v>60</v>
      </c>
      <c r="C577" s="3">
        <v>45093</v>
      </c>
      <c r="D577" s="3" t="s">
        <v>41</v>
      </c>
      <c r="E577" s="3" t="s">
        <v>46</v>
      </c>
      <c r="F577" s="3" t="s">
        <v>46</v>
      </c>
      <c r="G577" s="4">
        <v>0.64583333333333337</v>
      </c>
      <c r="H577" s="4">
        <v>0.85416666666666663</v>
      </c>
      <c r="I577" t="s">
        <v>31</v>
      </c>
      <c r="J577">
        <v>1</v>
      </c>
      <c r="L577" s="46"/>
      <c r="P577">
        <v>140</v>
      </c>
      <c r="Q577">
        <v>0</v>
      </c>
      <c r="R577">
        <v>0</v>
      </c>
      <c r="S577" s="7">
        <f>Tabla1[[#This Row],[TARIFA]]+Tabla1[[#This Row],[IMPORTE EXTRAS]]</f>
        <v>140</v>
      </c>
      <c r="T577" t="s">
        <v>45</v>
      </c>
      <c r="U577">
        <v>50</v>
      </c>
      <c r="V577">
        <v>90</v>
      </c>
      <c r="W577">
        <v>0</v>
      </c>
      <c r="X577">
        <v>0</v>
      </c>
      <c r="Z577" s="7">
        <f>SUM(Tabla1[[#This Row],[RES-A]:[EXTR-B]])</f>
        <v>140</v>
      </c>
      <c r="AA577" s="7">
        <f>Tabla1[[#This Row],[Columna1]]-Tabla1[[#This Row],[IMPORTE TOTAL]]</f>
        <v>0</v>
      </c>
    </row>
    <row r="578" spans="1:27" x14ac:dyDescent="0.2">
      <c r="A578">
        <v>2023</v>
      </c>
      <c r="B578" t="s">
        <v>60</v>
      </c>
      <c r="C578" s="3">
        <v>45094</v>
      </c>
      <c r="D578" s="3" t="s">
        <v>42</v>
      </c>
      <c r="E578" s="3" t="s">
        <v>46</v>
      </c>
      <c r="F578" s="3" t="s">
        <v>46</v>
      </c>
      <c r="G578" s="4">
        <v>0.39583333333333331</v>
      </c>
      <c r="H578" s="4">
        <v>0.60416666666666663</v>
      </c>
      <c r="I578" t="s">
        <v>30</v>
      </c>
      <c r="J578">
        <v>1</v>
      </c>
      <c r="L578" s="46"/>
      <c r="P578">
        <v>150</v>
      </c>
      <c r="Q578">
        <v>0</v>
      </c>
      <c r="R578">
        <v>0</v>
      </c>
      <c r="S578" s="7">
        <f>Tabla1[[#This Row],[TARIFA]]+Tabla1[[#This Row],[IMPORTE EXTRAS]]</f>
        <v>150</v>
      </c>
      <c r="T578" t="s">
        <v>45</v>
      </c>
      <c r="U578">
        <v>50</v>
      </c>
      <c r="V578">
        <v>100</v>
      </c>
      <c r="W578">
        <v>0</v>
      </c>
      <c r="X578">
        <v>0</v>
      </c>
      <c r="Z578" s="7">
        <f>SUM(Tabla1[[#This Row],[RES-A]:[EXTR-B]])</f>
        <v>150</v>
      </c>
      <c r="AA578" s="7">
        <f>Tabla1[[#This Row],[Columna1]]-Tabla1[[#This Row],[IMPORTE TOTAL]]</f>
        <v>0</v>
      </c>
    </row>
    <row r="579" spans="1:27" x14ac:dyDescent="0.2">
      <c r="A579">
        <v>2023</v>
      </c>
      <c r="B579" t="s">
        <v>60</v>
      </c>
      <c r="C579" s="3">
        <v>45094</v>
      </c>
      <c r="D579" s="3" t="s">
        <v>42</v>
      </c>
      <c r="E579" s="3" t="s">
        <v>46</v>
      </c>
      <c r="F579" s="3" t="s">
        <v>46</v>
      </c>
      <c r="G579" s="4">
        <v>0.64583333333333337</v>
      </c>
      <c r="H579" s="4">
        <v>0.85416666666666663</v>
      </c>
      <c r="I579" t="s">
        <v>31</v>
      </c>
      <c r="J579">
        <v>1</v>
      </c>
      <c r="L579" s="46"/>
      <c r="P579">
        <v>150</v>
      </c>
      <c r="Q579">
        <v>0</v>
      </c>
      <c r="R579">
        <v>0</v>
      </c>
      <c r="S579" s="7">
        <f>Tabla1[[#This Row],[TARIFA]]+Tabla1[[#This Row],[IMPORTE EXTRAS]]</f>
        <v>150</v>
      </c>
      <c r="T579" t="s">
        <v>45</v>
      </c>
      <c r="U579">
        <v>150</v>
      </c>
      <c r="V579">
        <v>0</v>
      </c>
      <c r="W579">
        <v>0</v>
      </c>
      <c r="X579">
        <v>0</v>
      </c>
      <c r="Z579" s="7">
        <f>SUM(Tabla1[[#This Row],[RES-A]:[EXTR-B]])</f>
        <v>150</v>
      </c>
      <c r="AA579" s="7">
        <f>Tabla1[[#This Row],[Columna1]]-Tabla1[[#This Row],[IMPORTE TOTAL]]</f>
        <v>0</v>
      </c>
    </row>
    <row r="580" spans="1:27" x14ac:dyDescent="0.2">
      <c r="A580">
        <v>2023</v>
      </c>
      <c r="B580" t="s">
        <v>60</v>
      </c>
      <c r="C580" s="3">
        <v>45095</v>
      </c>
      <c r="D580" s="3" t="s">
        <v>43</v>
      </c>
      <c r="E580" s="3" t="s">
        <v>46</v>
      </c>
      <c r="F580" s="3" t="s">
        <v>46</v>
      </c>
      <c r="G580" s="4">
        <v>0.39583333333333331</v>
      </c>
      <c r="H580" s="4">
        <v>0.85416666666666663</v>
      </c>
      <c r="I580" t="s">
        <v>32</v>
      </c>
      <c r="J580">
        <v>2</v>
      </c>
      <c r="L580" s="46"/>
      <c r="P580">
        <v>290</v>
      </c>
      <c r="Q580">
        <v>0</v>
      </c>
      <c r="R580">
        <v>0</v>
      </c>
      <c r="S580" s="7">
        <f>Tabla1[[#This Row],[TARIFA]]+Tabla1[[#This Row],[IMPORTE EXTRAS]]</f>
        <v>290</v>
      </c>
      <c r="T580" t="s">
        <v>45</v>
      </c>
      <c r="U580">
        <v>50</v>
      </c>
      <c r="V580">
        <v>240</v>
      </c>
      <c r="W580">
        <v>0</v>
      </c>
      <c r="X580">
        <v>0</v>
      </c>
      <c r="Y580" t="s">
        <v>535</v>
      </c>
      <c r="Z580" s="7">
        <f>SUM(Tabla1[[#This Row],[RES-A]:[EXTR-B]])</f>
        <v>290</v>
      </c>
      <c r="AA580" s="7">
        <f>Tabla1[[#This Row],[Columna1]]-Tabla1[[#This Row],[IMPORTE TOTAL]]</f>
        <v>0</v>
      </c>
    </row>
    <row r="581" spans="1:27" x14ac:dyDescent="0.2">
      <c r="A581">
        <v>2023</v>
      </c>
      <c r="B581" t="s">
        <v>60</v>
      </c>
      <c r="C581" s="3">
        <v>45100</v>
      </c>
      <c r="D581" s="3" t="s">
        <v>41</v>
      </c>
      <c r="E581" s="3" t="s">
        <v>46</v>
      </c>
      <c r="F581" s="3" t="s">
        <v>45</v>
      </c>
      <c r="G581" s="4">
        <v>0.64583333333333337</v>
      </c>
      <c r="H581" s="4">
        <v>0.10416666666666667</v>
      </c>
      <c r="I581" t="s">
        <v>35</v>
      </c>
      <c r="J581">
        <v>1</v>
      </c>
      <c r="L581" s="46"/>
      <c r="P581">
        <v>300</v>
      </c>
      <c r="Q581">
        <v>0</v>
      </c>
      <c r="R581">
        <v>0</v>
      </c>
      <c r="S581" s="7">
        <f>Tabla1[[#This Row],[TARIFA]]+Tabla1[[#This Row],[IMPORTE EXTRAS]]</f>
        <v>300</v>
      </c>
      <c r="T581" t="s">
        <v>45</v>
      </c>
      <c r="U581">
        <v>50</v>
      </c>
      <c r="V581">
        <v>250</v>
      </c>
      <c r="W581">
        <v>0</v>
      </c>
      <c r="X581">
        <v>0</v>
      </c>
      <c r="Z581" s="7">
        <f>SUM(Tabla1[[#This Row],[RES-A]:[EXTR-B]])</f>
        <v>300</v>
      </c>
      <c r="AA581" s="7">
        <f>Tabla1[[#This Row],[Columna1]]-Tabla1[[#This Row],[IMPORTE TOTAL]]</f>
        <v>0</v>
      </c>
    </row>
    <row r="582" spans="1:27" x14ac:dyDescent="0.2">
      <c r="A582">
        <v>2023</v>
      </c>
      <c r="B582" t="s">
        <v>60</v>
      </c>
      <c r="C582" s="3">
        <v>45102</v>
      </c>
      <c r="D582" s="3" t="s">
        <v>43</v>
      </c>
      <c r="E582" s="3" t="s">
        <v>46</v>
      </c>
      <c r="F582" s="3" t="s">
        <v>46</v>
      </c>
      <c r="G582" s="4">
        <v>0.64583333333333337</v>
      </c>
      <c r="H582" s="4">
        <v>0.85416666666666663</v>
      </c>
      <c r="I582" t="s">
        <v>31</v>
      </c>
      <c r="J582">
        <v>1</v>
      </c>
      <c r="L582" s="46"/>
      <c r="P582">
        <v>150</v>
      </c>
      <c r="Q582">
        <v>0</v>
      </c>
      <c r="R582">
        <v>0</v>
      </c>
      <c r="S582" s="7">
        <f>Tabla1[[#This Row],[TARIFA]]+Tabla1[[#This Row],[IMPORTE EXTRAS]]</f>
        <v>150</v>
      </c>
      <c r="T582" t="s">
        <v>45</v>
      </c>
      <c r="U582">
        <v>50</v>
      </c>
      <c r="V582">
        <v>100</v>
      </c>
      <c r="W582">
        <v>0</v>
      </c>
      <c r="X582">
        <v>0</v>
      </c>
      <c r="Z582" s="7">
        <f>SUM(Tabla1[[#This Row],[RES-A]:[EXTR-B]])</f>
        <v>150</v>
      </c>
      <c r="AA582" s="7">
        <f>Tabla1[[#This Row],[Columna1]]-Tabla1[[#This Row],[IMPORTE TOTAL]]</f>
        <v>0</v>
      </c>
    </row>
    <row r="583" spans="1:27" x14ac:dyDescent="0.2">
      <c r="A583">
        <v>2023</v>
      </c>
      <c r="B583" t="s">
        <v>60</v>
      </c>
      <c r="C583" s="3">
        <v>45106</v>
      </c>
      <c r="D583" s="3" t="s">
        <v>40</v>
      </c>
      <c r="E583" s="3" t="s">
        <v>46</v>
      </c>
      <c r="F583" s="3" t="s">
        <v>46</v>
      </c>
      <c r="G583" s="4">
        <v>0.64583333333333337</v>
      </c>
      <c r="H583" s="4">
        <v>0.85416666666666663</v>
      </c>
      <c r="I583" t="s">
        <v>31</v>
      </c>
      <c r="J583">
        <v>1</v>
      </c>
      <c r="L583" s="46"/>
      <c r="P583">
        <v>95</v>
      </c>
      <c r="Q583">
        <v>0</v>
      </c>
      <c r="R583">
        <v>0</v>
      </c>
      <c r="S583" s="7">
        <f>Tabla1[[#This Row],[TARIFA]]+Tabla1[[#This Row],[IMPORTE EXTRAS]]</f>
        <v>95</v>
      </c>
      <c r="T583" t="s">
        <v>45</v>
      </c>
      <c r="U583">
        <v>95</v>
      </c>
      <c r="V583">
        <v>0</v>
      </c>
      <c r="W583">
        <v>0</v>
      </c>
      <c r="X583">
        <v>0</v>
      </c>
      <c r="Z583" s="7">
        <f>SUM(Tabla1[[#This Row],[RES-A]:[EXTR-B]])</f>
        <v>95</v>
      </c>
      <c r="AA583" s="7">
        <f>Tabla1[[#This Row],[Columna1]]-Tabla1[[#This Row],[IMPORTE TOTAL]]</f>
        <v>0</v>
      </c>
    </row>
    <row r="584" spans="1:27" x14ac:dyDescent="0.2">
      <c r="A584">
        <v>2023</v>
      </c>
      <c r="B584" t="s">
        <v>60</v>
      </c>
      <c r="C584" s="3">
        <v>45107</v>
      </c>
      <c r="D584" s="3" t="s">
        <v>41</v>
      </c>
      <c r="E584" s="3" t="s">
        <v>46</v>
      </c>
      <c r="F584" s="3" t="s">
        <v>46</v>
      </c>
      <c r="G584" s="4">
        <v>0.89583333333333337</v>
      </c>
      <c r="H584" s="4">
        <v>0.10416666666666667</v>
      </c>
      <c r="I584" t="s">
        <v>35</v>
      </c>
      <c r="J584">
        <v>1</v>
      </c>
      <c r="L584" s="46"/>
      <c r="P584">
        <v>200</v>
      </c>
      <c r="Q584">
        <v>0</v>
      </c>
      <c r="R584">
        <v>0</v>
      </c>
      <c r="S584" s="7">
        <f>Tabla1[[#This Row],[TARIFA]]+Tabla1[[#This Row],[IMPORTE EXTRAS]]</f>
        <v>200</v>
      </c>
      <c r="T584" t="s">
        <v>45</v>
      </c>
      <c r="U584">
        <v>50</v>
      </c>
      <c r="V584">
        <v>150</v>
      </c>
      <c r="W584">
        <v>0</v>
      </c>
      <c r="X584">
        <v>0</v>
      </c>
      <c r="Y584" t="s">
        <v>444</v>
      </c>
      <c r="Z584" s="7">
        <f>SUM(Tabla1[[#This Row],[RES-A]:[EXTR-B]])</f>
        <v>200</v>
      </c>
      <c r="AA584" s="7">
        <f>Tabla1[[#This Row],[Columna1]]-Tabla1[[#This Row],[IMPORTE TOTAL]]</f>
        <v>0</v>
      </c>
    </row>
    <row r="585" spans="1:27" x14ac:dyDescent="0.2">
      <c r="A585">
        <v>2023</v>
      </c>
      <c r="B585" t="s">
        <v>61</v>
      </c>
      <c r="C585" s="3">
        <v>45108</v>
      </c>
      <c r="D585" s="3" t="s">
        <v>42</v>
      </c>
      <c r="E585" s="3" t="s">
        <v>46</v>
      </c>
      <c r="F585" s="3" t="s">
        <v>46</v>
      </c>
      <c r="G585" s="4">
        <v>0.39583333333333331</v>
      </c>
      <c r="H585" s="4">
        <v>0.60416666666666663</v>
      </c>
      <c r="I585" t="s">
        <v>30</v>
      </c>
      <c r="J585">
        <v>1</v>
      </c>
      <c r="L585" s="46"/>
      <c r="P585">
        <v>150</v>
      </c>
      <c r="Q585">
        <v>0</v>
      </c>
      <c r="R585">
        <v>0</v>
      </c>
      <c r="S585" s="7">
        <f>Tabla1[[#This Row],[TARIFA]]+Tabla1[[#This Row],[IMPORTE EXTRAS]]</f>
        <v>150</v>
      </c>
      <c r="T585" t="s">
        <v>45</v>
      </c>
      <c r="U585">
        <v>50</v>
      </c>
      <c r="V585">
        <v>100</v>
      </c>
      <c r="W585">
        <v>0</v>
      </c>
      <c r="X585">
        <v>0</v>
      </c>
      <c r="Z585" s="7">
        <f>SUM(Tabla1[[#This Row],[RES-A]:[EXTR-B]])</f>
        <v>150</v>
      </c>
      <c r="AA585" s="7">
        <f>Tabla1[[#This Row],[Columna1]]-Tabla1[[#This Row],[IMPORTE TOTAL]]</f>
        <v>0</v>
      </c>
    </row>
    <row r="586" spans="1:27" x14ac:dyDescent="0.2">
      <c r="A586">
        <v>2023</v>
      </c>
      <c r="B586" t="s">
        <v>61</v>
      </c>
      <c r="C586" s="3">
        <v>45108</v>
      </c>
      <c r="D586" s="3" t="s">
        <v>42</v>
      </c>
      <c r="E586" s="3" t="s">
        <v>46</v>
      </c>
      <c r="F586" s="3" t="s">
        <v>46</v>
      </c>
      <c r="G586" s="4">
        <v>0.64583333333333337</v>
      </c>
      <c r="H586" s="4">
        <v>0.85416666666666663</v>
      </c>
      <c r="I586" t="s">
        <v>31</v>
      </c>
      <c r="J586">
        <v>1</v>
      </c>
      <c r="L586" s="46"/>
      <c r="P586">
        <v>150</v>
      </c>
      <c r="Q586">
        <v>0</v>
      </c>
      <c r="R586">
        <v>0</v>
      </c>
      <c r="S586" s="7">
        <f>Tabla1[[#This Row],[TARIFA]]+Tabla1[[#This Row],[IMPORTE EXTRAS]]</f>
        <v>150</v>
      </c>
      <c r="T586" t="s">
        <v>45</v>
      </c>
      <c r="U586">
        <v>150</v>
      </c>
      <c r="V586">
        <v>0</v>
      </c>
      <c r="W586">
        <v>0</v>
      </c>
      <c r="X586">
        <v>0</v>
      </c>
      <c r="Z586" s="7">
        <f>SUM(Tabla1[[#This Row],[RES-A]:[EXTR-B]])</f>
        <v>150</v>
      </c>
      <c r="AA586" s="7">
        <f>Tabla1[[#This Row],[Columna1]]-Tabla1[[#This Row],[IMPORTE TOTAL]]</f>
        <v>0</v>
      </c>
    </row>
    <row r="587" spans="1:27" x14ac:dyDescent="0.2">
      <c r="A587">
        <v>2023</v>
      </c>
      <c r="B587" t="s">
        <v>61</v>
      </c>
      <c r="C587" s="3">
        <v>45108</v>
      </c>
      <c r="D587" s="3" t="s">
        <v>42</v>
      </c>
      <c r="E587" s="3" t="s">
        <v>46</v>
      </c>
      <c r="F587" s="3" t="s">
        <v>46</v>
      </c>
      <c r="G587" s="4">
        <v>0.89583333333333337</v>
      </c>
      <c r="H587" s="4">
        <v>0.10416666666666667</v>
      </c>
      <c r="I587" t="s">
        <v>35</v>
      </c>
      <c r="J587">
        <v>1</v>
      </c>
      <c r="L587" s="46"/>
      <c r="P587">
        <v>200</v>
      </c>
      <c r="Q587">
        <v>1</v>
      </c>
      <c r="R587">
        <v>110</v>
      </c>
      <c r="S587" s="7">
        <f>Tabla1[[#This Row],[TARIFA]]+Tabla1[[#This Row],[IMPORTE EXTRAS]]</f>
        <v>310</v>
      </c>
      <c r="T587" t="s">
        <v>45</v>
      </c>
      <c r="U587">
        <v>50</v>
      </c>
      <c r="V587">
        <v>260</v>
      </c>
      <c r="W587">
        <v>0</v>
      </c>
      <c r="X587">
        <v>0</v>
      </c>
      <c r="Y587" t="s">
        <v>531</v>
      </c>
      <c r="Z587" s="7">
        <f>SUM(Tabla1[[#This Row],[RES-A]:[EXTR-B]])</f>
        <v>310</v>
      </c>
      <c r="AA587" s="7">
        <f>Tabla1[[#This Row],[Columna1]]-Tabla1[[#This Row],[IMPORTE TOTAL]]</f>
        <v>0</v>
      </c>
    </row>
    <row r="588" spans="1:27" x14ac:dyDescent="0.2">
      <c r="A588">
        <v>2023</v>
      </c>
      <c r="B588" t="s">
        <v>61</v>
      </c>
      <c r="C588" s="3">
        <v>45109</v>
      </c>
      <c r="D588" s="3" t="s">
        <v>43</v>
      </c>
      <c r="E588" s="3" t="s">
        <v>46</v>
      </c>
      <c r="F588" s="3" t="s">
        <v>46</v>
      </c>
      <c r="G588" s="4">
        <v>0.64583333333333337</v>
      </c>
      <c r="H588" s="4">
        <v>0.85416666666666663</v>
      </c>
      <c r="I588" t="s">
        <v>31</v>
      </c>
      <c r="J588">
        <v>1</v>
      </c>
      <c r="L588" s="46"/>
      <c r="P588">
        <v>150</v>
      </c>
      <c r="Q588">
        <v>0</v>
      </c>
      <c r="R588">
        <v>0</v>
      </c>
      <c r="S588" s="7">
        <f>Tabla1[[#This Row],[TARIFA]]+Tabla1[[#This Row],[IMPORTE EXTRAS]]</f>
        <v>150</v>
      </c>
      <c r="T588" t="s">
        <v>45</v>
      </c>
      <c r="U588">
        <v>50</v>
      </c>
      <c r="V588">
        <v>100</v>
      </c>
      <c r="W588">
        <v>0</v>
      </c>
      <c r="X588">
        <v>0</v>
      </c>
      <c r="Z588" s="7">
        <f>SUM(Tabla1[[#This Row],[RES-A]:[EXTR-B]])</f>
        <v>150</v>
      </c>
      <c r="AA588" s="7">
        <f>Tabla1[[#This Row],[Columna1]]-Tabla1[[#This Row],[IMPORTE TOTAL]]</f>
        <v>0</v>
      </c>
    </row>
    <row r="589" spans="1:27" x14ac:dyDescent="0.2">
      <c r="A589">
        <v>2023</v>
      </c>
      <c r="B589" t="s">
        <v>61</v>
      </c>
      <c r="C589" s="3">
        <v>45112</v>
      </c>
      <c r="D589" s="3" t="s">
        <v>39</v>
      </c>
      <c r="E589" s="3" t="s">
        <v>46</v>
      </c>
      <c r="F589" s="3" t="s">
        <v>46</v>
      </c>
      <c r="G589" s="4">
        <v>0.64583333333333337</v>
      </c>
      <c r="H589" s="4">
        <v>0.85416666666666663</v>
      </c>
      <c r="I589" t="s">
        <v>31</v>
      </c>
      <c r="J589">
        <v>1</v>
      </c>
      <c r="L589" s="46"/>
      <c r="P589">
        <v>95</v>
      </c>
      <c r="Q589">
        <v>1</v>
      </c>
      <c r="R589">
        <v>55</v>
      </c>
      <c r="S589" s="7">
        <f>Tabla1[[#This Row],[TARIFA]]+Tabla1[[#This Row],[IMPORTE EXTRAS]]</f>
        <v>150</v>
      </c>
      <c r="T589" t="s">
        <v>45</v>
      </c>
      <c r="U589">
        <v>50</v>
      </c>
      <c r="V589">
        <v>45</v>
      </c>
      <c r="W589">
        <v>0</v>
      </c>
      <c r="X589">
        <v>55</v>
      </c>
      <c r="Z589" s="7">
        <f>SUM(Tabla1[[#This Row],[RES-A]:[EXTR-B]])</f>
        <v>150</v>
      </c>
      <c r="AA589" s="7">
        <f>Tabla1[[#This Row],[Columna1]]-Tabla1[[#This Row],[IMPORTE TOTAL]]</f>
        <v>0</v>
      </c>
    </row>
    <row r="590" spans="1:27" x14ac:dyDescent="0.2">
      <c r="A590">
        <v>2023</v>
      </c>
      <c r="B590" t="s">
        <v>61</v>
      </c>
      <c r="C590" s="3">
        <v>45114</v>
      </c>
      <c r="D590" s="3" t="s">
        <v>41</v>
      </c>
      <c r="E590" s="3" t="s">
        <v>46</v>
      </c>
      <c r="F590" s="3" t="s">
        <v>46</v>
      </c>
      <c r="G590" s="4">
        <v>0.64583333333333337</v>
      </c>
      <c r="H590" s="4">
        <v>0.85416666666666663</v>
      </c>
      <c r="I590" t="s">
        <v>31</v>
      </c>
      <c r="J590">
        <v>1</v>
      </c>
      <c r="L590" s="46"/>
      <c r="P590">
        <v>140</v>
      </c>
      <c r="Q590">
        <v>0</v>
      </c>
      <c r="R590">
        <v>0</v>
      </c>
      <c r="S590" s="7">
        <f>Tabla1[[#This Row],[TARIFA]]+Tabla1[[#This Row],[IMPORTE EXTRAS]]</f>
        <v>140</v>
      </c>
      <c r="T590" t="s">
        <v>45</v>
      </c>
      <c r="U590">
        <v>50</v>
      </c>
      <c r="V590">
        <v>90</v>
      </c>
      <c r="W590">
        <v>0</v>
      </c>
      <c r="X590">
        <v>0</v>
      </c>
      <c r="Y590" t="s">
        <v>543</v>
      </c>
      <c r="Z590" s="7">
        <f>SUM(Tabla1[[#This Row],[RES-A]:[EXTR-B]])</f>
        <v>140</v>
      </c>
      <c r="AA590" s="7">
        <f>Tabla1[[#This Row],[Columna1]]-Tabla1[[#This Row],[IMPORTE TOTAL]]</f>
        <v>0</v>
      </c>
    </row>
    <row r="591" spans="1:27" x14ac:dyDescent="0.2">
      <c r="A591">
        <v>2023</v>
      </c>
      <c r="B591" t="s">
        <v>61</v>
      </c>
      <c r="C591" s="3">
        <v>45114</v>
      </c>
      <c r="D591" s="3" t="s">
        <v>41</v>
      </c>
      <c r="E591" s="3" t="s">
        <v>46</v>
      </c>
      <c r="F591" s="3" t="s">
        <v>46</v>
      </c>
      <c r="G591" s="4">
        <v>0.89583333333333337</v>
      </c>
      <c r="H591" s="4">
        <v>0.10416666666666667</v>
      </c>
      <c r="I591" t="s">
        <v>35</v>
      </c>
      <c r="J591">
        <v>1</v>
      </c>
      <c r="L591" s="46"/>
      <c r="P591">
        <v>200</v>
      </c>
      <c r="Q591">
        <v>0</v>
      </c>
      <c r="R591">
        <v>0</v>
      </c>
      <c r="S591" s="7">
        <f>Tabla1[[#This Row],[TARIFA]]+Tabla1[[#This Row],[IMPORTE EXTRAS]]</f>
        <v>200</v>
      </c>
      <c r="T591" t="s">
        <v>45</v>
      </c>
      <c r="U591">
        <v>50</v>
      </c>
      <c r="V591">
        <v>150</v>
      </c>
      <c r="W591">
        <v>0</v>
      </c>
      <c r="X591">
        <v>0</v>
      </c>
      <c r="Z591" s="7">
        <f>SUM(Tabla1[[#This Row],[RES-A]:[EXTR-B]])</f>
        <v>200</v>
      </c>
      <c r="AA591" s="7">
        <f>Tabla1[[#This Row],[Columna1]]-Tabla1[[#This Row],[IMPORTE TOTAL]]</f>
        <v>0</v>
      </c>
    </row>
    <row r="592" spans="1:27" x14ac:dyDescent="0.2">
      <c r="A592">
        <v>2023</v>
      </c>
      <c r="B592" t="s">
        <v>61</v>
      </c>
      <c r="C592" s="3">
        <v>45115</v>
      </c>
      <c r="D592" s="3" t="s">
        <v>42</v>
      </c>
      <c r="E592" s="3" t="s">
        <v>46</v>
      </c>
      <c r="F592" s="3" t="s">
        <v>46</v>
      </c>
      <c r="G592" s="4">
        <v>0.39583333333333331</v>
      </c>
      <c r="H592" s="4">
        <v>0.85416666666666663</v>
      </c>
      <c r="I592" t="s">
        <v>32</v>
      </c>
      <c r="J592">
        <v>2</v>
      </c>
      <c r="L592" s="46"/>
      <c r="P592">
        <v>290</v>
      </c>
      <c r="Q592">
        <v>0</v>
      </c>
      <c r="R592">
        <v>0</v>
      </c>
      <c r="S592" s="7">
        <f>Tabla1[[#This Row],[TARIFA]]+Tabla1[[#This Row],[IMPORTE EXTRAS]]</f>
        <v>290</v>
      </c>
      <c r="T592" t="s">
        <v>45</v>
      </c>
      <c r="U592">
        <v>50</v>
      </c>
      <c r="V592">
        <v>240</v>
      </c>
      <c r="W592">
        <v>0</v>
      </c>
      <c r="X592">
        <v>0</v>
      </c>
      <c r="Z592" s="7">
        <f>SUM(Tabla1[[#This Row],[RES-A]:[EXTR-B]])</f>
        <v>290</v>
      </c>
      <c r="AA592" s="7">
        <f>Tabla1[[#This Row],[Columna1]]-Tabla1[[#This Row],[IMPORTE TOTAL]]</f>
        <v>0</v>
      </c>
    </row>
    <row r="593" spans="1:27" x14ac:dyDescent="0.2">
      <c r="A593">
        <v>2023</v>
      </c>
      <c r="B593" t="s">
        <v>61</v>
      </c>
      <c r="C593" s="3">
        <v>45115</v>
      </c>
      <c r="D593" s="3" t="s">
        <v>42</v>
      </c>
      <c r="E593" s="3" t="s">
        <v>46</v>
      </c>
      <c r="F593" s="3" t="s">
        <v>46</v>
      </c>
      <c r="G593" s="4">
        <v>0.89583333333333337</v>
      </c>
      <c r="H593" s="4">
        <v>0.10416666666666667</v>
      </c>
      <c r="I593" t="s">
        <v>35</v>
      </c>
      <c r="J593">
        <v>1</v>
      </c>
      <c r="L593" s="46"/>
      <c r="P593">
        <v>180</v>
      </c>
      <c r="Q593">
        <v>0</v>
      </c>
      <c r="R593">
        <v>0</v>
      </c>
      <c r="S593" s="7">
        <f>Tabla1[[#This Row],[TARIFA]]+Tabla1[[#This Row],[IMPORTE EXTRAS]]</f>
        <v>180</v>
      </c>
      <c r="T593" t="s">
        <v>45</v>
      </c>
      <c r="U593">
        <v>0</v>
      </c>
      <c r="V593">
        <v>180</v>
      </c>
      <c r="W593">
        <v>0</v>
      </c>
      <c r="X593">
        <v>0</v>
      </c>
      <c r="Z593" s="7">
        <f>SUM(Tabla1[[#This Row],[RES-A]:[EXTR-B]])</f>
        <v>180</v>
      </c>
      <c r="AA593" s="7">
        <f>Tabla1[[#This Row],[Columna1]]-Tabla1[[#This Row],[IMPORTE TOTAL]]</f>
        <v>0</v>
      </c>
    </row>
    <row r="594" spans="1:27" x14ac:dyDescent="0.2">
      <c r="A594">
        <v>2023</v>
      </c>
      <c r="B594" t="s">
        <v>61</v>
      </c>
      <c r="C594" s="3">
        <v>45116</v>
      </c>
      <c r="D594" s="3" t="s">
        <v>43</v>
      </c>
      <c r="E594" s="3" t="s">
        <v>46</v>
      </c>
      <c r="F594" s="3" t="s">
        <v>46</v>
      </c>
      <c r="G594" s="4">
        <v>0.64583333333333337</v>
      </c>
      <c r="H594" s="4">
        <v>0.85416666666666663</v>
      </c>
      <c r="I594" t="s">
        <v>31</v>
      </c>
      <c r="J594">
        <v>1</v>
      </c>
      <c r="L594" s="46"/>
      <c r="P594">
        <v>150</v>
      </c>
      <c r="Q594">
        <v>0</v>
      </c>
      <c r="R594">
        <v>0</v>
      </c>
      <c r="S594" s="7">
        <f>Tabla1[[#This Row],[TARIFA]]+Tabla1[[#This Row],[IMPORTE EXTRAS]]</f>
        <v>150</v>
      </c>
      <c r="T594" t="s">
        <v>45</v>
      </c>
      <c r="U594">
        <v>50</v>
      </c>
      <c r="V594">
        <v>100</v>
      </c>
      <c r="W594">
        <v>0</v>
      </c>
      <c r="X594">
        <v>0</v>
      </c>
      <c r="Z594" s="7">
        <f>SUM(Tabla1[[#This Row],[RES-A]:[EXTR-B]])</f>
        <v>150</v>
      </c>
      <c r="AA594" s="7">
        <f>Tabla1[[#This Row],[Columna1]]-Tabla1[[#This Row],[IMPORTE TOTAL]]</f>
        <v>0</v>
      </c>
    </row>
    <row r="595" spans="1:27" x14ac:dyDescent="0.2">
      <c r="A595">
        <v>2023</v>
      </c>
      <c r="B595" t="s">
        <v>61</v>
      </c>
      <c r="C595" s="3">
        <v>45121</v>
      </c>
      <c r="D595" s="3" t="s">
        <v>41</v>
      </c>
      <c r="E595" s="3" t="s">
        <v>46</v>
      </c>
      <c r="F595" s="3" t="s">
        <v>46</v>
      </c>
      <c r="G595" s="4">
        <v>0.89583333333333337</v>
      </c>
      <c r="H595" s="4">
        <v>0.10416666666666667</v>
      </c>
      <c r="I595" t="s">
        <v>35</v>
      </c>
      <c r="J595">
        <v>1</v>
      </c>
      <c r="L595" s="46"/>
      <c r="P595">
        <v>50</v>
      </c>
      <c r="Q595">
        <v>0</v>
      </c>
      <c r="R595">
        <v>0</v>
      </c>
      <c r="S595" s="7">
        <f>Tabla1[[#This Row],[TARIFA]]+Tabla1[[#This Row],[IMPORTE EXTRAS]]</f>
        <v>50</v>
      </c>
      <c r="T595" t="s">
        <v>45</v>
      </c>
      <c r="U595">
        <v>50</v>
      </c>
      <c r="V595">
        <v>0</v>
      </c>
      <c r="W595">
        <v>0</v>
      </c>
      <c r="X595">
        <v>0</v>
      </c>
      <c r="Y595" t="s">
        <v>177</v>
      </c>
      <c r="Z595" s="7">
        <f>SUM(Tabla1[[#This Row],[RES-A]:[EXTR-B]])</f>
        <v>50</v>
      </c>
      <c r="AA595" s="7">
        <f>Tabla1[[#This Row],[Columna1]]-Tabla1[[#This Row],[IMPORTE TOTAL]]</f>
        <v>0</v>
      </c>
    </row>
    <row r="596" spans="1:27" x14ac:dyDescent="0.2">
      <c r="A596">
        <v>2023</v>
      </c>
      <c r="B596" t="s">
        <v>61</v>
      </c>
      <c r="C596" s="3">
        <v>45122</v>
      </c>
      <c r="D596" s="3" t="s">
        <v>42</v>
      </c>
      <c r="E596" s="3" t="s">
        <v>46</v>
      </c>
      <c r="F596" s="3" t="s">
        <v>46</v>
      </c>
      <c r="G596" s="4">
        <v>0.39583333333333331</v>
      </c>
      <c r="H596" s="4">
        <v>0.10416666666666667</v>
      </c>
      <c r="I596" t="s">
        <v>32</v>
      </c>
      <c r="J596">
        <v>3</v>
      </c>
      <c r="L596" s="46"/>
      <c r="P596">
        <v>400</v>
      </c>
      <c r="Q596">
        <v>0</v>
      </c>
      <c r="R596">
        <v>0</v>
      </c>
      <c r="S596" s="7">
        <f>Tabla1[[#This Row],[TARIFA]]+Tabla1[[#This Row],[IMPORTE EXTRAS]]</f>
        <v>400</v>
      </c>
      <c r="T596" t="s">
        <v>45</v>
      </c>
      <c r="U596">
        <v>400</v>
      </c>
      <c r="V596">
        <v>0</v>
      </c>
      <c r="W596">
        <v>0</v>
      </c>
      <c r="X596">
        <v>0</v>
      </c>
      <c r="Z596" s="7">
        <f>SUM(Tabla1[[#This Row],[RES-A]:[EXTR-B]])</f>
        <v>400</v>
      </c>
      <c r="AA596" s="7">
        <f>Tabla1[[#This Row],[Columna1]]-Tabla1[[#This Row],[IMPORTE TOTAL]]</f>
        <v>0</v>
      </c>
    </row>
    <row r="597" spans="1:27" x14ac:dyDescent="0.2">
      <c r="A597">
        <v>2023</v>
      </c>
      <c r="B597" t="s">
        <v>61</v>
      </c>
      <c r="C597" s="3">
        <v>45123</v>
      </c>
      <c r="D597" s="3" t="s">
        <v>43</v>
      </c>
      <c r="E597" s="3" t="s">
        <v>46</v>
      </c>
      <c r="F597" s="3" t="s">
        <v>46</v>
      </c>
      <c r="G597" s="4">
        <v>0.39583333333333331</v>
      </c>
      <c r="H597" s="4">
        <v>0.60416666666666663</v>
      </c>
      <c r="I597" t="s">
        <v>30</v>
      </c>
      <c r="J597">
        <v>1</v>
      </c>
      <c r="L597" s="46"/>
      <c r="P597">
        <v>150</v>
      </c>
      <c r="Q597">
        <v>0</v>
      </c>
      <c r="R597">
        <v>0</v>
      </c>
      <c r="S597" s="7">
        <f>Tabla1[[#This Row],[TARIFA]]+Tabla1[[#This Row],[IMPORTE EXTRAS]]</f>
        <v>150</v>
      </c>
      <c r="T597" t="s">
        <v>45</v>
      </c>
      <c r="U597">
        <v>50</v>
      </c>
      <c r="V597">
        <v>100</v>
      </c>
      <c r="W597">
        <v>0</v>
      </c>
      <c r="X597">
        <v>0</v>
      </c>
      <c r="Z597" s="7">
        <f>SUM(Tabla1[[#This Row],[RES-A]:[EXTR-B]])</f>
        <v>150</v>
      </c>
      <c r="AA597" s="7">
        <f>Tabla1[[#This Row],[Columna1]]-Tabla1[[#This Row],[IMPORTE TOTAL]]</f>
        <v>0</v>
      </c>
    </row>
    <row r="598" spans="1:27" x14ac:dyDescent="0.2">
      <c r="A598">
        <v>2023</v>
      </c>
      <c r="B598" t="s">
        <v>61</v>
      </c>
      <c r="C598" s="3">
        <v>45129</v>
      </c>
      <c r="D598" s="3" t="s">
        <v>42</v>
      </c>
      <c r="E598" s="3" t="s">
        <v>46</v>
      </c>
      <c r="F598" s="3" t="s">
        <v>46</v>
      </c>
      <c r="G598" s="4">
        <v>0.39583333333333331</v>
      </c>
      <c r="H598" s="4">
        <v>0.85416666666666663</v>
      </c>
      <c r="I598" t="s">
        <v>32</v>
      </c>
      <c r="J598">
        <v>2</v>
      </c>
      <c r="L598" s="46"/>
      <c r="P598">
        <v>290</v>
      </c>
      <c r="Q598">
        <v>0</v>
      </c>
      <c r="R598">
        <v>0</v>
      </c>
      <c r="S598" s="7">
        <f>Tabla1[[#This Row],[TARIFA]]+Tabla1[[#This Row],[IMPORTE EXTRAS]]</f>
        <v>290</v>
      </c>
      <c r="T598" t="s">
        <v>45</v>
      </c>
      <c r="U598">
        <v>50</v>
      </c>
      <c r="V598">
        <v>240</v>
      </c>
      <c r="W598">
        <v>0</v>
      </c>
      <c r="X598">
        <v>0</v>
      </c>
      <c r="Z598" s="7">
        <f>SUM(Tabla1[[#This Row],[RES-A]:[EXTR-B]])</f>
        <v>290</v>
      </c>
      <c r="AA598" s="7">
        <f>Tabla1[[#This Row],[Columna1]]-Tabla1[[#This Row],[IMPORTE TOTAL]]</f>
        <v>0</v>
      </c>
    </row>
    <row r="599" spans="1:27" x14ac:dyDescent="0.2">
      <c r="A599">
        <v>2023</v>
      </c>
      <c r="B599" t="s">
        <v>61</v>
      </c>
      <c r="C599" s="3">
        <v>45129</v>
      </c>
      <c r="D599" s="3" t="s">
        <v>42</v>
      </c>
      <c r="E599" s="3" t="s">
        <v>46</v>
      </c>
      <c r="F599" s="3" t="s">
        <v>46</v>
      </c>
      <c r="G599" s="4">
        <v>0.89583333333333337</v>
      </c>
      <c r="H599" s="4">
        <v>0.10416666666666667</v>
      </c>
      <c r="I599" t="s">
        <v>35</v>
      </c>
      <c r="J599">
        <v>1</v>
      </c>
      <c r="L599" s="46"/>
      <c r="P599">
        <v>200</v>
      </c>
      <c r="Q599">
        <v>1</v>
      </c>
      <c r="R599">
        <v>170</v>
      </c>
      <c r="S599" s="7">
        <f>Tabla1[[#This Row],[TARIFA]]+Tabla1[[#This Row],[IMPORTE EXTRAS]]</f>
        <v>370</v>
      </c>
      <c r="T599" t="s">
        <v>45</v>
      </c>
      <c r="U599">
        <v>50</v>
      </c>
      <c r="V599">
        <v>150</v>
      </c>
      <c r="W599">
        <v>0</v>
      </c>
      <c r="X599">
        <v>170</v>
      </c>
      <c r="Z599" s="7">
        <f>SUM(Tabla1[[#This Row],[RES-A]:[EXTR-B]])</f>
        <v>370</v>
      </c>
      <c r="AA599" s="7">
        <f>Tabla1[[#This Row],[Columna1]]-Tabla1[[#This Row],[IMPORTE TOTAL]]</f>
        <v>0</v>
      </c>
    </row>
    <row r="600" spans="1:27" x14ac:dyDescent="0.2">
      <c r="A600">
        <v>2023</v>
      </c>
      <c r="B600" t="s">
        <v>61</v>
      </c>
      <c r="C600" s="3">
        <v>45135</v>
      </c>
      <c r="D600" s="3" t="s">
        <v>41</v>
      </c>
      <c r="E600" s="3" t="s">
        <v>46</v>
      </c>
      <c r="F600" s="3" t="s">
        <v>46</v>
      </c>
      <c r="G600" s="4">
        <v>0.89583333333333337</v>
      </c>
      <c r="H600" s="4">
        <v>0.10416666666666667</v>
      </c>
      <c r="I600" t="s">
        <v>35</v>
      </c>
      <c r="J600">
        <v>1</v>
      </c>
      <c r="L600" s="46"/>
      <c r="P600">
        <v>200</v>
      </c>
      <c r="Q600">
        <v>0</v>
      </c>
      <c r="R600">
        <v>0</v>
      </c>
      <c r="S600" s="7">
        <f>Tabla1[[#This Row],[TARIFA]]+Tabla1[[#This Row],[IMPORTE EXTRAS]]</f>
        <v>200</v>
      </c>
      <c r="T600" t="s">
        <v>45</v>
      </c>
      <c r="U600">
        <v>50</v>
      </c>
      <c r="V600">
        <v>150</v>
      </c>
      <c r="W600">
        <v>0</v>
      </c>
      <c r="X600">
        <v>0</v>
      </c>
      <c r="Z600" s="7">
        <f>SUM(Tabla1[[#This Row],[RES-A]:[EXTR-B]])</f>
        <v>200</v>
      </c>
      <c r="AA600" s="7">
        <f>Tabla1[[#This Row],[Columna1]]-Tabla1[[#This Row],[IMPORTE TOTAL]]</f>
        <v>0</v>
      </c>
    </row>
    <row r="601" spans="1:27" x14ac:dyDescent="0.2">
      <c r="A601">
        <v>2023</v>
      </c>
      <c r="B601" t="s">
        <v>61</v>
      </c>
      <c r="C601" s="3">
        <v>45136</v>
      </c>
      <c r="D601" s="3" t="s">
        <v>42</v>
      </c>
      <c r="E601" s="3" t="s">
        <v>46</v>
      </c>
      <c r="F601" s="3" t="s">
        <v>46</v>
      </c>
      <c r="G601" s="4">
        <v>0.64583333333333337</v>
      </c>
      <c r="H601" s="4">
        <v>0.10416666666666667</v>
      </c>
      <c r="I601" t="s">
        <v>35</v>
      </c>
      <c r="J601">
        <v>1</v>
      </c>
      <c r="L601" s="46"/>
      <c r="P601">
        <v>320</v>
      </c>
      <c r="Q601">
        <v>1</v>
      </c>
      <c r="R601">
        <v>60</v>
      </c>
      <c r="S601" s="7">
        <f>Tabla1[[#This Row],[TARIFA]]+Tabla1[[#This Row],[IMPORTE EXTRAS]]</f>
        <v>380</v>
      </c>
      <c r="T601" t="s">
        <v>45</v>
      </c>
      <c r="U601">
        <v>50</v>
      </c>
      <c r="V601">
        <v>270</v>
      </c>
      <c r="W601">
        <v>0</v>
      </c>
      <c r="X601">
        <v>60</v>
      </c>
      <c r="Z601" s="7">
        <f>SUM(Tabla1[[#This Row],[RES-A]:[EXTR-B]])</f>
        <v>380</v>
      </c>
      <c r="AA601" s="7">
        <f>Tabla1[[#This Row],[Columna1]]-Tabla1[[#This Row],[IMPORTE TOTAL]]</f>
        <v>0</v>
      </c>
    </row>
    <row r="602" spans="1:27" x14ac:dyDescent="0.2">
      <c r="A602">
        <v>2023</v>
      </c>
      <c r="B602" t="s">
        <v>62</v>
      </c>
      <c r="C602" s="3">
        <v>45149</v>
      </c>
      <c r="D602" s="3" t="s">
        <v>41</v>
      </c>
      <c r="E602" s="3" t="s">
        <v>46</v>
      </c>
      <c r="F602" s="3" t="s">
        <v>46</v>
      </c>
      <c r="G602" s="4">
        <v>0.89583333333333337</v>
      </c>
      <c r="H602" s="4">
        <v>0.10416666666666667</v>
      </c>
      <c r="I602" t="s">
        <v>35</v>
      </c>
      <c r="J602">
        <v>1</v>
      </c>
      <c r="L602" s="46"/>
      <c r="P602">
        <v>200</v>
      </c>
      <c r="Q602">
        <v>1</v>
      </c>
      <c r="R602">
        <v>60</v>
      </c>
      <c r="S602" s="7">
        <f>Tabla1[[#This Row],[TARIFA]]+Tabla1[[#This Row],[IMPORTE EXTRAS]]</f>
        <v>260</v>
      </c>
      <c r="T602" t="s">
        <v>45</v>
      </c>
      <c r="U602">
        <v>0</v>
      </c>
      <c r="V602">
        <v>200</v>
      </c>
      <c r="W602">
        <v>0</v>
      </c>
      <c r="X602">
        <v>60</v>
      </c>
      <c r="Y602" t="s">
        <v>531</v>
      </c>
      <c r="Z602" s="7">
        <f>SUM(Tabla1[[#This Row],[RES-A]:[EXTR-B]])</f>
        <v>260</v>
      </c>
      <c r="AA602" s="7">
        <f>Tabla1[[#This Row],[Columna1]]-Tabla1[[#This Row],[IMPORTE TOTAL]]</f>
        <v>0</v>
      </c>
    </row>
    <row r="603" spans="1:27" x14ac:dyDescent="0.2">
      <c r="A603">
        <v>2023</v>
      </c>
      <c r="B603" t="s">
        <v>62</v>
      </c>
      <c r="C603" s="3">
        <v>45152</v>
      </c>
      <c r="D603" s="3" t="s">
        <v>42</v>
      </c>
      <c r="E603" s="3" t="s">
        <v>46</v>
      </c>
      <c r="F603" s="3" t="s">
        <v>46</v>
      </c>
      <c r="G603" s="4">
        <v>0.89583333333333337</v>
      </c>
      <c r="H603" s="4">
        <v>0.10416666666666667</v>
      </c>
      <c r="I603" t="s">
        <v>35</v>
      </c>
      <c r="J603">
        <v>1</v>
      </c>
      <c r="L603" s="46"/>
      <c r="P603">
        <v>200</v>
      </c>
      <c r="Q603">
        <v>0</v>
      </c>
      <c r="R603">
        <v>0</v>
      </c>
      <c r="S603" s="7">
        <f>Tabla1[[#This Row],[TARIFA]]+Tabla1[[#This Row],[IMPORTE EXTRAS]]</f>
        <v>200</v>
      </c>
      <c r="T603" t="s">
        <v>45</v>
      </c>
      <c r="U603">
        <v>50</v>
      </c>
      <c r="V603">
        <v>150</v>
      </c>
      <c r="W603">
        <v>0</v>
      </c>
      <c r="X603">
        <v>0</v>
      </c>
      <c r="Z603" s="7">
        <f>SUM(Tabla1[[#This Row],[RES-A]:[EXTR-B]])</f>
        <v>200</v>
      </c>
      <c r="AA603" s="7">
        <f>Tabla1[[#This Row],[Columna1]]-Tabla1[[#This Row],[IMPORTE TOTAL]]</f>
        <v>0</v>
      </c>
    </row>
    <row r="604" spans="1:27" x14ac:dyDescent="0.2">
      <c r="A604">
        <v>2023</v>
      </c>
      <c r="B604" t="s">
        <v>62</v>
      </c>
      <c r="C604" s="3">
        <v>45153</v>
      </c>
      <c r="D604" s="3" t="s">
        <v>38</v>
      </c>
      <c r="E604" s="3" t="s">
        <v>45</v>
      </c>
      <c r="F604" s="3" t="s">
        <v>46</v>
      </c>
      <c r="G604" s="4">
        <v>0.64583333333333337</v>
      </c>
      <c r="H604" s="4">
        <v>0.85416666666666663</v>
      </c>
      <c r="I604" t="s">
        <v>31</v>
      </c>
      <c r="J604">
        <v>1</v>
      </c>
      <c r="L604" s="46"/>
      <c r="P604">
        <v>150</v>
      </c>
      <c r="Q604">
        <v>0</v>
      </c>
      <c r="R604">
        <v>0</v>
      </c>
      <c r="S604" s="7">
        <f>Tabla1[[#This Row],[TARIFA]]+Tabla1[[#This Row],[IMPORTE EXTRAS]]</f>
        <v>150</v>
      </c>
      <c r="T604" t="s">
        <v>45</v>
      </c>
      <c r="U604">
        <v>50</v>
      </c>
      <c r="V604">
        <v>100</v>
      </c>
      <c r="W604">
        <v>0</v>
      </c>
      <c r="X604">
        <v>0</v>
      </c>
      <c r="Z604" s="7">
        <f>SUM(Tabla1[[#This Row],[RES-A]:[EXTR-B]])</f>
        <v>150</v>
      </c>
      <c r="AA604" s="7">
        <f>Tabla1[[#This Row],[Columna1]]-Tabla1[[#This Row],[IMPORTE TOTAL]]</f>
        <v>0</v>
      </c>
    </row>
    <row r="605" spans="1:27" x14ac:dyDescent="0.2">
      <c r="A605">
        <v>2023</v>
      </c>
      <c r="B605" t="s">
        <v>62</v>
      </c>
      <c r="C605" s="3">
        <v>45158</v>
      </c>
      <c r="D605" s="3" t="s">
        <v>43</v>
      </c>
      <c r="E605" s="3" t="s">
        <v>46</v>
      </c>
      <c r="F605" s="3" t="s">
        <v>46</v>
      </c>
      <c r="G605" s="4">
        <v>0.64583333333333337</v>
      </c>
      <c r="H605" s="4">
        <v>0.85416666666666663</v>
      </c>
      <c r="I605" t="s">
        <v>31</v>
      </c>
      <c r="J605">
        <v>1</v>
      </c>
      <c r="L605" s="46"/>
      <c r="P605">
        <v>150</v>
      </c>
      <c r="Q605">
        <v>0</v>
      </c>
      <c r="R605">
        <v>0</v>
      </c>
      <c r="S605" s="7">
        <f>Tabla1[[#This Row],[TARIFA]]+Tabla1[[#This Row],[IMPORTE EXTRAS]]</f>
        <v>150</v>
      </c>
      <c r="T605" t="s">
        <v>45</v>
      </c>
      <c r="U605">
        <v>50</v>
      </c>
      <c r="V605">
        <v>100</v>
      </c>
      <c r="W605">
        <v>0</v>
      </c>
      <c r="X605">
        <v>0</v>
      </c>
      <c r="Z605" s="7">
        <f>SUM(Tabla1[[#This Row],[RES-A]:[EXTR-B]])</f>
        <v>150</v>
      </c>
      <c r="AA605" s="7">
        <f>Tabla1[[#This Row],[Columna1]]-Tabla1[[#This Row],[IMPORTE TOTAL]]</f>
        <v>0</v>
      </c>
    </row>
    <row r="606" spans="1:27" x14ac:dyDescent="0.2">
      <c r="A606">
        <v>2023</v>
      </c>
      <c r="B606" t="s">
        <v>62</v>
      </c>
      <c r="C606" s="3">
        <v>45164</v>
      </c>
      <c r="D606" s="3" t="s">
        <v>42</v>
      </c>
      <c r="E606" s="3" t="s">
        <v>46</v>
      </c>
      <c r="F606" s="3" t="s">
        <v>46</v>
      </c>
      <c r="G606" s="4">
        <v>0.39583333333333331</v>
      </c>
      <c r="H606" s="4">
        <v>0.60416666666666663</v>
      </c>
      <c r="I606" t="s">
        <v>30</v>
      </c>
      <c r="J606">
        <v>1</v>
      </c>
      <c r="L606" s="46"/>
      <c r="P606">
        <v>150</v>
      </c>
      <c r="Q606">
        <v>0</v>
      </c>
      <c r="R606">
        <v>0</v>
      </c>
      <c r="S606" s="7">
        <f>Tabla1[[#This Row],[TARIFA]]+Tabla1[[#This Row],[IMPORTE EXTRAS]]</f>
        <v>150</v>
      </c>
      <c r="T606" t="s">
        <v>45</v>
      </c>
      <c r="U606">
        <v>50</v>
      </c>
      <c r="V606">
        <v>100</v>
      </c>
      <c r="W606">
        <v>0</v>
      </c>
      <c r="X606">
        <v>0</v>
      </c>
      <c r="Z606" s="7">
        <f>SUM(Tabla1[[#This Row],[RES-A]:[EXTR-B]])</f>
        <v>150</v>
      </c>
      <c r="AA606" s="7">
        <f>Tabla1[[#This Row],[Columna1]]-Tabla1[[#This Row],[IMPORTE TOTAL]]</f>
        <v>0</v>
      </c>
    </row>
    <row r="607" spans="1:27" x14ac:dyDescent="0.2">
      <c r="A607">
        <v>2023</v>
      </c>
      <c r="B607" t="s">
        <v>62</v>
      </c>
      <c r="C607" s="3">
        <v>45164</v>
      </c>
      <c r="D607" s="3" t="s">
        <v>42</v>
      </c>
      <c r="E607" s="3" t="s">
        <v>46</v>
      </c>
      <c r="F607" s="3" t="s">
        <v>46</v>
      </c>
      <c r="G607" s="4">
        <v>0.64583333333333337</v>
      </c>
      <c r="H607" s="4">
        <v>0.85416666666666663</v>
      </c>
      <c r="I607" t="s">
        <v>31</v>
      </c>
      <c r="J607">
        <v>1</v>
      </c>
      <c r="L607" s="46"/>
      <c r="P607">
        <v>150</v>
      </c>
      <c r="Q607">
        <v>0</v>
      </c>
      <c r="R607">
        <v>0</v>
      </c>
      <c r="S607" s="7">
        <f>Tabla1[[#This Row],[TARIFA]]+Tabla1[[#This Row],[IMPORTE EXTRAS]]</f>
        <v>150</v>
      </c>
      <c r="T607" t="s">
        <v>45</v>
      </c>
      <c r="U607">
        <v>50</v>
      </c>
      <c r="V607">
        <v>100</v>
      </c>
      <c r="W607">
        <v>0</v>
      </c>
      <c r="X607">
        <v>0</v>
      </c>
      <c r="Z607" s="7">
        <f>SUM(Tabla1[[#This Row],[RES-A]:[EXTR-B]])</f>
        <v>150</v>
      </c>
      <c r="AA607" s="7">
        <f>Tabla1[[#This Row],[Columna1]]-Tabla1[[#This Row],[IMPORTE TOTAL]]</f>
        <v>0</v>
      </c>
    </row>
    <row r="608" spans="1:27" x14ac:dyDescent="0.2">
      <c r="A608">
        <v>2023</v>
      </c>
      <c r="B608" t="s">
        <v>62</v>
      </c>
      <c r="C608" s="3">
        <v>45164</v>
      </c>
      <c r="D608" s="3" t="s">
        <v>42</v>
      </c>
      <c r="E608" s="3" t="s">
        <v>46</v>
      </c>
      <c r="F608" s="3" t="s">
        <v>46</v>
      </c>
      <c r="G608" s="4">
        <v>0.89583333333333337</v>
      </c>
      <c r="H608" s="4">
        <v>0.10416666666666667</v>
      </c>
      <c r="I608" t="s">
        <v>35</v>
      </c>
      <c r="J608">
        <v>1</v>
      </c>
      <c r="L608" s="46"/>
      <c r="P608">
        <v>200</v>
      </c>
      <c r="Q608">
        <v>1</v>
      </c>
      <c r="R608">
        <v>20</v>
      </c>
      <c r="S608" s="7">
        <f>Tabla1[[#This Row],[TARIFA]]+Tabla1[[#This Row],[IMPORTE EXTRAS]]</f>
        <v>220</v>
      </c>
      <c r="T608" t="s">
        <v>45</v>
      </c>
      <c r="U608">
        <v>50</v>
      </c>
      <c r="V608">
        <v>150</v>
      </c>
      <c r="W608">
        <v>0</v>
      </c>
      <c r="X608">
        <v>20</v>
      </c>
      <c r="Z608" s="7">
        <f>SUM(Tabla1[[#This Row],[RES-A]:[EXTR-B]])</f>
        <v>220</v>
      </c>
      <c r="AA608" s="7">
        <f>Tabla1[[#This Row],[Columna1]]-Tabla1[[#This Row],[IMPORTE TOTAL]]</f>
        <v>0</v>
      </c>
    </row>
    <row r="609" spans="1:27" x14ac:dyDescent="0.2">
      <c r="A609">
        <v>2023</v>
      </c>
      <c r="B609" t="s">
        <v>62</v>
      </c>
      <c r="C609" s="3">
        <v>45165</v>
      </c>
      <c r="D609" s="3" t="s">
        <v>43</v>
      </c>
      <c r="E609" s="3" t="s">
        <v>46</v>
      </c>
      <c r="F609" s="3" t="s">
        <v>46</v>
      </c>
      <c r="G609" s="4">
        <v>0.64583333333333337</v>
      </c>
      <c r="H609" s="4">
        <v>0.85416666666666663</v>
      </c>
      <c r="I609" t="s">
        <v>31</v>
      </c>
      <c r="J609">
        <v>1</v>
      </c>
      <c r="L609" s="46"/>
      <c r="P609">
        <v>150</v>
      </c>
      <c r="Q609">
        <v>0</v>
      </c>
      <c r="R609">
        <v>0</v>
      </c>
      <c r="S609" s="7">
        <f>Tabla1[[#This Row],[TARIFA]]+Tabla1[[#This Row],[IMPORTE EXTRAS]]</f>
        <v>150</v>
      </c>
      <c r="T609" t="s">
        <v>45</v>
      </c>
      <c r="U609">
        <v>50</v>
      </c>
      <c r="V609">
        <v>100</v>
      </c>
      <c r="W609">
        <v>0</v>
      </c>
      <c r="X609">
        <v>0</v>
      </c>
      <c r="Z609" s="7">
        <f>SUM(Tabla1[[#This Row],[RES-A]:[EXTR-B]])</f>
        <v>150</v>
      </c>
      <c r="AA609" s="7">
        <f>Tabla1[[#This Row],[Columna1]]-Tabla1[[#This Row],[IMPORTE TOTAL]]</f>
        <v>0</v>
      </c>
    </row>
    <row r="610" spans="1:27" x14ac:dyDescent="0.2">
      <c r="A610">
        <v>2023</v>
      </c>
      <c r="B610" t="s">
        <v>236</v>
      </c>
      <c r="C610" s="3">
        <v>45170</v>
      </c>
      <c r="D610" s="3" t="s">
        <v>41</v>
      </c>
      <c r="E610" s="3" t="s">
        <v>46</v>
      </c>
      <c r="F610" s="3" t="s">
        <v>46</v>
      </c>
      <c r="G610" s="4">
        <v>0.64583333333333337</v>
      </c>
      <c r="H610" s="4">
        <v>0.10416666666666667</v>
      </c>
      <c r="I610" t="s">
        <v>53</v>
      </c>
      <c r="J610">
        <v>2</v>
      </c>
      <c r="L610" s="46"/>
      <c r="P610">
        <v>300</v>
      </c>
      <c r="Q610">
        <v>1</v>
      </c>
      <c r="R610">
        <v>70</v>
      </c>
      <c r="S610" s="7">
        <f>Tabla1[[#This Row],[TARIFA]]+Tabla1[[#This Row],[IMPORTE EXTRAS]]</f>
        <v>370</v>
      </c>
      <c r="T610" t="s">
        <v>45</v>
      </c>
      <c r="U610">
        <v>50</v>
      </c>
      <c r="V610">
        <v>250</v>
      </c>
      <c r="W610">
        <v>0</v>
      </c>
      <c r="X610">
        <v>70</v>
      </c>
      <c r="Z610" s="7">
        <f>SUM(Tabla1[[#This Row],[RES-A]:[EXTR-B]])</f>
        <v>370</v>
      </c>
      <c r="AA610" s="7">
        <f>Tabla1[[#This Row],[Columna1]]-Tabla1[[#This Row],[IMPORTE TOTAL]]</f>
        <v>0</v>
      </c>
    </row>
    <row r="611" spans="1:27" x14ac:dyDescent="0.2">
      <c r="A611">
        <v>2023</v>
      </c>
      <c r="B611" t="s">
        <v>236</v>
      </c>
      <c r="C611" s="3">
        <v>45171</v>
      </c>
      <c r="D611" s="3" t="s">
        <v>42</v>
      </c>
      <c r="E611" s="3" t="s">
        <v>46</v>
      </c>
      <c r="F611" s="3" t="s">
        <v>46</v>
      </c>
      <c r="G611" s="4">
        <v>0.39583333333333331</v>
      </c>
      <c r="H611" s="4">
        <v>0.60416666666666663</v>
      </c>
      <c r="I611" t="s">
        <v>30</v>
      </c>
      <c r="J611">
        <v>1</v>
      </c>
      <c r="L611" s="46"/>
      <c r="P611">
        <v>150</v>
      </c>
      <c r="Q611">
        <v>0</v>
      </c>
      <c r="R611">
        <v>0</v>
      </c>
      <c r="S611" s="7">
        <f>Tabla1[[#This Row],[TARIFA]]+Tabla1[[#This Row],[IMPORTE EXTRAS]]</f>
        <v>150</v>
      </c>
      <c r="T611" t="s">
        <v>45</v>
      </c>
      <c r="U611">
        <v>0</v>
      </c>
      <c r="V611">
        <v>150</v>
      </c>
      <c r="W611">
        <v>0</v>
      </c>
      <c r="X611">
        <v>0</v>
      </c>
      <c r="Y611" t="s">
        <v>556</v>
      </c>
      <c r="Z611" s="7">
        <f>SUM(Tabla1[[#This Row],[RES-A]:[EXTR-B]])</f>
        <v>150</v>
      </c>
      <c r="AA611" s="7">
        <f>Tabla1[[#This Row],[Columna1]]-Tabla1[[#This Row],[IMPORTE TOTAL]]</f>
        <v>0</v>
      </c>
    </row>
    <row r="612" spans="1:27" x14ac:dyDescent="0.2">
      <c r="A612">
        <v>2023</v>
      </c>
      <c r="B612" t="s">
        <v>236</v>
      </c>
      <c r="C612" s="3">
        <v>45171</v>
      </c>
      <c r="D612" s="3" t="s">
        <v>42</v>
      </c>
      <c r="E612" s="3" t="s">
        <v>46</v>
      </c>
      <c r="F612" s="3" t="s">
        <v>46</v>
      </c>
      <c r="G612" s="4">
        <v>0.64583333333333337</v>
      </c>
      <c r="H612" s="4">
        <v>0.10416666666666667</v>
      </c>
      <c r="I612" t="s">
        <v>53</v>
      </c>
      <c r="J612">
        <v>2</v>
      </c>
      <c r="L612" s="46"/>
      <c r="P612">
        <v>320</v>
      </c>
      <c r="Q612">
        <v>1</v>
      </c>
      <c r="R612">
        <v>60</v>
      </c>
      <c r="S612" s="7">
        <f>Tabla1[[#This Row],[TARIFA]]+Tabla1[[#This Row],[IMPORTE EXTRAS]]</f>
        <v>380</v>
      </c>
      <c r="T612" t="s">
        <v>45</v>
      </c>
      <c r="U612">
        <v>0</v>
      </c>
      <c r="V612">
        <v>320</v>
      </c>
      <c r="W612">
        <v>0</v>
      </c>
      <c r="X612">
        <v>60</v>
      </c>
      <c r="Y612" t="s">
        <v>209</v>
      </c>
      <c r="Z612" s="7">
        <f>SUM(Tabla1[[#This Row],[RES-A]:[EXTR-B]])</f>
        <v>380</v>
      </c>
      <c r="AA612" s="7">
        <f>Tabla1[[#This Row],[Columna1]]-Tabla1[[#This Row],[IMPORTE TOTAL]]</f>
        <v>0</v>
      </c>
    </row>
    <row r="613" spans="1:27" x14ac:dyDescent="0.2">
      <c r="A613">
        <v>2023</v>
      </c>
      <c r="B613" t="s">
        <v>236</v>
      </c>
      <c r="C613" s="3">
        <v>45172</v>
      </c>
      <c r="D613" s="3" t="s">
        <v>43</v>
      </c>
      <c r="E613" s="3" t="s">
        <v>46</v>
      </c>
      <c r="F613" s="3" t="s">
        <v>46</v>
      </c>
      <c r="G613" s="4">
        <v>0.64583333333333337</v>
      </c>
      <c r="H613" s="4">
        <v>0.10416666666666667</v>
      </c>
      <c r="I613" t="s">
        <v>31</v>
      </c>
      <c r="J613">
        <v>1</v>
      </c>
      <c r="L613" s="46"/>
      <c r="P613">
        <v>150</v>
      </c>
      <c r="Q613">
        <v>0</v>
      </c>
      <c r="R613">
        <v>0</v>
      </c>
      <c r="S613" s="7">
        <f>Tabla1[[#This Row],[TARIFA]]+Tabla1[[#This Row],[IMPORTE EXTRAS]]</f>
        <v>150</v>
      </c>
      <c r="T613" t="s">
        <v>45</v>
      </c>
      <c r="U613">
        <v>50</v>
      </c>
      <c r="V613">
        <v>100</v>
      </c>
      <c r="W613">
        <v>0</v>
      </c>
      <c r="X613">
        <v>0</v>
      </c>
      <c r="Z613" s="7">
        <f>SUM(Tabla1[[#This Row],[RES-A]:[EXTR-B]])</f>
        <v>150</v>
      </c>
      <c r="AA613" s="7">
        <f>Tabla1[[#This Row],[Columna1]]-Tabla1[[#This Row],[IMPORTE TOTAL]]</f>
        <v>0</v>
      </c>
    </row>
    <row r="614" spans="1:27" x14ac:dyDescent="0.2">
      <c r="A614">
        <v>2023</v>
      </c>
      <c r="B614" t="s">
        <v>236</v>
      </c>
      <c r="C614" s="3">
        <v>45176</v>
      </c>
      <c r="D614" s="3" t="s">
        <v>40</v>
      </c>
      <c r="E614" s="3" t="s">
        <v>46</v>
      </c>
      <c r="F614" s="3" t="s">
        <v>46</v>
      </c>
      <c r="G614" s="4">
        <v>0.64583333333333337</v>
      </c>
      <c r="H614" s="4">
        <v>0.85416666666666663</v>
      </c>
      <c r="I614" t="s">
        <v>31</v>
      </c>
      <c r="J614">
        <v>1</v>
      </c>
      <c r="L614" s="46"/>
      <c r="P614">
        <v>95</v>
      </c>
      <c r="Q614">
        <v>0</v>
      </c>
      <c r="R614">
        <v>0</v>
      </c>
      <c r="S614" s="7">
        <f>Tabla1[[#This Row],[TARIFA]]+Tabla1[[#This Row],[IMPORTE EXTRAS]]</f>
        <v>95</v>
      </c>
      <c r="T614" t="s">
        <v>45</v>
      </c>
      <c r="U614">
        <v>50</v>
      </c>
      <c r="V614">
        <v>45</v>
      </c>
      <c r="W614">
        <v>0</v>
      </c>
      <c r="X614">
        <v>0</v>
      </c>
      <c r="Z614" s="7">
        <f>SUM(Tabla1[[#This Row],[RES-A]:[EXTR-B]])</f>
        <v>95</v>
      </c>
      <c r="AA614" s="7">
        <f>Tabla1[[#This Row],[Columna1]]-Tabla1[[#This Row],[IMPORTE TOTAL]]</f>
        <v>0</v>
      </c>
    </row>
    <row r="615" spans="1:27" x14ac:dyDescent="0.2">
      <c r="A615">
        <v>2023</v>
      </c>
      <c r="B615" t="s">
        <v>236</v>
      </c>
      <c r="C615" s="3">
        <v>45177</v>
      </c>
      <c r="D615" s="3" t="s">
        <v>41</v>
      </c>
      <c r="E615" s="3" t="s">
        <v>46</v>
      </c>
      <c r="F615" s="3" t="s">
        <v>46</v>
      </c>
      <c r="G615" s="4">
        <v>0.64583333333333337</v>
      </c>
      <c r="H615" s="4">
        <v>0.85416666666666663</v>
      </c>
      <c r="I615" t="s">
        <v>31</v>
      </c>
      <c r="J615">
        <v>1</v>
      </c>
      <c r="L615" s="46"/>
      <c r="P615">
        <v>140</v>
      </c>
      <c r="Q615">
        <v>0</v>
      </c>
      <c r="R615">
        <v>0</v>
      </c>
      <c r="S615" s="7">
        <f>Tabla1[[#This Row],[TARIFA]]+Tabla1[[#This Row],[IMPORTE EXTRAS]]</f>
        <v>140</v>
      </c>
      <c r="T615" t="s">
        <v>45</v>
      </c>
      <c r="U615">
        <v>140</v>
      </c>
      <c r="V615">
        <v>0</v>
      </c>
      <c r="W615">
        <v>0</v>
      </c>
      <c r="X615">
        <v>0</v>
      </c>
      <c r="Z615" s="7">
        <f>SUM(Tabla1[[#This Row],[RES-A]:[EXTR-B]])</f>
        <v>140</v>
      </c>
      <c r="AA615" s="7">
        <f>Tabla1[[#This Row],[Columna1]]-Tabla1[[#This Row],[IMPORTE TOTAL]]</f>
        <v>0</v>
      </c>
    </row>
    <row r="616" spans="1:27" x14ac:dyDescent="0.2">
      <c r="A616">
        <v>2023</v>
      </c>
      <c r="B616" t="s">
        <v>236</v>
      </c>
      <c r="C616" s="3">
        <v>45177</v>
      </c>
      <c r="D616" s="3" t="s">
        <v>41</v>
      </c>
      <c r="E616" s="3" t="s">
        <v>46</v>
      </c>
      <c r="F616" s="3" t="s">
        <v>46</v>
      </c>
      <c r="G616" s="4">
        <v>0.89583333333333337</v>
      </c>
      <c r="H616" s="4">
        <v>0.10416666666666667</v>
      </c>
      <c r="I616" t="s">
        <v>35</v>
      </c>
      <c r="J616">
        <v>1</v>
      </c>
      <c r="L616" s="46"/>
      <c r="P616">
        <v>200</v>
      </c>
      <c r="Q616">
        <v>0</v>
      </c>
      <c r="R616">
        <v>0</v>
      </c>
      <c r="S616" s="7">
        <f>Tabla1[[#This Row],[TARIFA]]+Tabla1[[#This Row],[IMPORTE EXTRAS]]</f>
        <v>200</v>
      </c>
      <c r="T616" t="s">
        <v>45</v>
      </c>
      <c r="U616">
        <v>200</v>
      </c>
      <c r="V616">
        <v>0</v>
      </c>
      <c r="W616">
        <v>0</v>
      </c>
      <c r="X616">
        <v>0</v>
      </c>
      <c r="Z616" s="7">
        <f>SUM(Tabla1[[#This Row],[RES-A]:[EXTR-B]])</f>
        <v>200</v>
      </c>
      <c r="AA616" s="7">
        <f>Tabla1[[#This Row],[Columna1]]-Tabla1[[#This Row],[IMPORTE TOTAL]]</f>
        <v>0</v>
      </c>
    </row>
    <row r="617" spans="1:27" x14ac:dyDescent="0.2">
      <c r="A617">
        <v>2023</v>
      </c>
      <c r="B617" t="s">
        <v>236</v>
      </c>
      <c r="C617" s="3">
        <v>45178</v>
      </c>
      <c r="D617" s="3" t="s">
        <v>42</v>
      </c>
      <c r="E617" s="3" t="s">
        <v>46</v>
      </c>
      <c r="F617" s="3" t="s">
        <v>46</v>
      </c>
      <c r="G617" s="4">
        <v>0.64583333333333337</v>
      </c>
      <c r="H617" s="4">
        <v>0.85416666666666663</v>
      </c>
      <c r="I617" t="s">
        <v>31</v>
      </c>
      <c r="J617">
        <v>1</v>
      </c>
      <c r="L617" s="46"/>
      <c r="P617">
        <v>150</v>
      </c>
      <c r="Q617">
        <v>0</v>
      </c>
      <c r="R617">
        <v>0</v>
      </c>
      <c r="S617" s="7">
        <f>Tabla1[[#This Row],[TARIFA]]+Tabla1[[#This Row],[IMPORTE EXTRAS]]</f>
        <v>150</v>
      </c>
      <c r="T617" t="s">
        <v>45</v>
      </c>
      <c r="U617">
        <v>50</v>
      </c>
      <c r="V617">
        <v>100</v>
      </c>
      <c r="W617">
        <v>0</v>
      </c>
      <c r="X617">
        <v>0</v>
      </c>
      <c r="Z617" s="7">
        <f>SUM(Tabla1[[#This Row],[RES-A]:[EXTR-B]])</f>
        <v>150</v>
      </c>
      <c r="AA617" s="7">
        <f>Tabla1[[#This Row],[Columna1]]-Tabla1[[#This Row],[IMPORTE TOTAL]]</f>
        <v>0</v>
      </c>
    </row>
    <row r="618" spans="1:27" x14ac:dyDescent="0.2">
      <c r="A618">
        <v>2023</v>
      </c>
      <c r="B618" t="s">
        <v>236</v>
      </c>
      <c r="C618" s="3">
        <v>45179</v>
      </c>
      <c r="D618" s="3" t="s">
        <v>43</v>
      </c>
      <c r="E618" s="3" t="s">
        <v>46</v>
      </c>
      <c r="F618" s="3" t="s">
        <v>46</v>
      </c>
      <c r="G618" s="4">
        <v>0.39583333333333331</v>
      </c>
      <c r="H618" s="4">
        <v>0.60416666666666663</v>
      </c>
      <c r="I618" t="s">
        <v>30</v>
      </c>
      <c r="J618">
        <v>1</v>
      </c>
      <c r="L618" s="46"/>
      <c r="P618">
        <v>150</v>
      </c>
      <c r="Q618">
        <v>0</v>
      </c>
      <c r="R618">
        <v>0</v>
      </c>
      <c r="S618" s="7">
        <f>Tabla1[[#This Row],[TARIFA]]+Tabla1[[#This Row],[IMPORTE EXTRAS]]</f>
        <v>150</v>
      </c>
      <c r="T618" t="s">
        <v>45</v>
      </c>
      <c r="U618">
        <v>50</v>
      </c>
      <c r="V618">
        <v>100</v>
      </c>
      <c r="W618">
        <v>0</v>
      </c>
      <c r="X618">
        <v>0</v>
      </c>
      <c r="Y618" t="s">
        <v>490</v>
      </c>
      <c r="Z618" s="7">
        <f>SUM(Tabla1[[#This Row],[RES-A]:[EXTR-B]])</f>
        <v>150</v>
      </c>
      <c r="AA618" s="7">
        <f>Tabla1[[#This Row],[Columna1]]-Tabla1[[#This Row],[IMPORTE TOTAL]]</f>
        <v>0</v>
      </c>
    </row>
    <row r="619" spans="1:27" x14ac:dyDescent="0.2">
      <c r="A619">
        <v>2023</v>
      </c>
      <c r="B619" t="s">
        <v>236</v>
      </c>
      <c r="C619" s="3">
        <v>45179</v>
      </c>
      <c r="D619" s="3" t="s">
        <v>43</v>
      </c>
      <c r="E619" s="3" t="s">
        <v>46</v>
      </c>
      <c r="F619" s="3" t="s">
        <v>46</v>
      </c>
      <c r="G619" s="4">
        <v>0.64583333333333337</v>
      </c>
      <c r="H619" s="4">
        <v>0.10416666666666667</v>
      </c>
      <c r="I619" t="s">
        <v>53</v>
      </c>
      <c r="J619">
        <v>2</v>
      </c>
      <c r="L619" s="46"/>
      <c r="P619">
        <v>320</v>
      </c>
      <c r="Q619">
        <v>0</v>
      </c>
      <c r="R619">
        <v>0</v>
      </c>
      <c r="S619" s="7">
        <f>Tabla1[[#This Row],[TARIFA]]+Tabla1[[#This Row],[IMPORTE EXTRAS]]</f>
        <v>320</v>
      </c>
      <c r="T619" t="s">
        <v>45</v>
      </c>
      <c r="U619">
        <v>320</v>
      </c>
      <c r="V619">
        <v>0</v>
      </c>
      <c r="W619">
        <v>0</v>
      </c>
      <c r="X619">
        <v>0</v>
      </c>
      <c r="Z619" s="7">
        <f>SUM(Tabla1[[#This Row],[RES-A]:[EXTR-B]])</f>
        <v>320</v>
      </c>
      <c r="AA619" s="7">
        <f>Tabla1[[#This Row],[Columna1]]-Tabla1[[#This Row],[IMPORTE TOTAL]]</f>
        <v>0</v>
      </c>
    </row>
    <row r="620" spans="1:27" x14ac:dyDescent="0.2">
      <c r="A620">
        <v>2023</v>
      </c>
      <c r="B620" t="s">
        <v>236</v>
      </c>
      <c r="C620" s="3">
        <v>45180</v>
      </c>
      <c r="D620" s="3" t="s">
        <v>37</v>
      </c>
      <c r="E620" s="3" t="s">
        <v>46</v>
      </c>
      <c r="F620" s="3" t="s">
        <v>45</v>
      </c>
      <c r="G620" s="4">
        <v>0.64583333333333337</v>
      </c>
      <c r="H620" s="4">
        <v>0.85416666666666663</v>
      </c>
      <c r="I620" t="s">
        <v>31</v>
      </c>
      <c r="J620">
        <v>1</v>
      </c>
      <c r="L620" s="46"/>
      <c r="P620">
        <v>150</v>
      </c>
      <c r="Q620">
        <v>0</v>
      </c>
      <c r="R620">
        <v>0</v>
      </c>
      <c r="S620" s="7">
        <f>Tabla1[[#This Row],[TARIFA]]+Tabla1[[#This Row],[IMPORTE EXTRAS]]</f>
        <v>150</v>
      </c>
      <c r="T620" t="s">
        <v>45</v>
      </c>
      <c r="U620">
        <v>50</v>
      </c>
      <c r="V620">
        <v>100</v>
      </c>
      <c r="W620">
        <v>0</v>
      </c>
      <c r="X620">
        <v>0</v>
      </c>
      <c r="Z620" s="7">
        <f>SUM(Tabla1[[#This Row],[RES-A]:[EXTR-B]])</f>
        <v>150</v>
      </c>
      <c r="AA620" s="7">
        <f>Tabla1[[#This Row],[Columna1]]-Tabla1[[#This Row],[IMPORTE TOTAL]]</f>
        <v>0</v>
      </c>
    </row>
    <row r="621" spans="1:27" x14ac:dyDescent="0.2">
      <c r="A621">
        <v>2023</v>
      </c>
      <c r="B621" t="s">
        <v>236</v>
      </c>
      <c r="C621" s="3">
        <v>45184</v>
      </c>
      <c r="D621" s="3" t="s">
        <v>41</v>
      </c>
      <c r="E621" s="3" t="s">
        <v>46</v>
      </c>
      <c r="F621" s="3" t="s">
        <v>46</v>
      </c>
      <c r="G621" s="4">
        <v>0.64583333333333337</v>
      </c>
      <c r="H621" s="4">
        <v>0.85416666666666663</v>
      </c>
      <c r="I621" t="s">
        <v>31</v>
      </c>
      <c r="J621">
        <v>1</v>
      </c>
      <c r="L621" s="46"/>
      <c r="P621">
        <v>140</v>
      </c>
      <c r="Q621">
        <v>1</v>
      </c>
      <c r="R621">
        <v>20</v>
      </c>
      <c r="S621" s="7">
        <f>Tabla1[[#This Row],[TARIFA]]+Tabla1[[#This Row],[IMPORTE EXTRAS]]</f>
        <v>160</v>
      </c>
      <c r="T621" t="s">
        <v>45</v>
      </c>
      <c r="U621">
        <v>0</v>
      </c>
      <c r="V621">
        <v>140</v>
      </c>
      <c r="W621">
        <v>0</v>
      </c>
      <c r="X621">
        <v>20</v>
      </c>
      <c r="Y621" t="s">
        <v>560</v>
      </c>
      <c r="Z621" s="7">
        <f>SUM(Tabla1[[#This Row],[RES-A]:[EXTR-B]])</f>
        <v>160</v>
      </c>
      <c r="AA621" s="7">
        <f>Tabla1[[#This Row],[Columna1]]-Tabla1[[#This Row],[IMPORTE TOTAL]]</f>
        <v>0</v>
      </c>
    </row>
    <row r="622" spans="1:27" x14ac:dyDescent="0.2">
      <c r="A622">
        <v>2023</v>
      </c>
      <c r="B622" t="s">
        <v>236</v>
      </c>
      <c r="C622" s="3">
        <v>45184</v>
      </c>
      <c r="D622" s="3" t="s">
        <v>41</v>
      </c>
      <c r="E622" s="3" t="s">
        <v>46</v>
      </c>
      <c r="F622" s="3" t="s">
        <v>46</v>
      </c>
      <c r="G622" s="4">
        <v>0.89583333333333337</v>
      </c>
      <c r="H622" s="4">
        <v>0.10416666666666667</v>
      </c>
      <c r="I622" t="s">
        <v>35</v>
      </c>
      <c r="J622">
        <v>1</v>
      </c>
      <c r="L622" s="46"/>
      <c r="P622">
        <v>200</v>
      </c>
      <c r="Q622">
        <v>0</v>
      </c>
      <c r="R622">
        <v>0</v>
      </c>
      <c r="S622" s="7">
        <f>Tabla1[[#This Row],[TARIFA]]+Tabla1[[#This Row],[IMPORTE EXTRAS]]</f>
        <v>200</v>
      </c>
      <c r="T622" t="s">
        <v>45</v>
      </c>
      <c r="U622">
        <v>50</v>
      </c>
      <c r="V622">
        <v>150</v>
      </c>
      <c r="W622">
        <v>0</v>
      </c>
      <c r="X622">
        <v>0</v>
      </c>
      <c r="Y622" t="s">
        <v>493</v>
      </c>
      <c r="Z622" s="7">
        <f>SUM(Tabla1[[#This Row],[RES-A]:[EXTR-B]])</f>
        <v>200</v>
      </c>
      <c r="AA622" s="7">
        <f>Tabla1[[#This Row],[Columna1]]-Tabla1[[#This Row],[IMPORTE TOTAL]]</f>
        <v>0</v>
      </c>
    </row>
    <row r="623" spans="1:27" x14ac:dyDescent="0.2">
      <c r="A623">
        <v>2023</v>
      </c>
      <c r="B623" t="s">
        <v>236</v>
      </c>
      <c r="C623" s="3">
        <v>45185</v>
      </c>
      <c r="D623" s="3" t="s">
        <v>42</v>
      </c>
      <c r="E623" s="3" t="s">
        <v>46</v>
      </c>
      <c r="F623" s="3" t="s">
        <v>46</v>
      </c>
      <c r="G623" s="4">
        <v>0.39583333333333331</v>
      </c>
      <c r="H623" s="4">
        <v>0.60416666666666663</v>
      </c>
      <c r="I623" t="s">
        <v>30</v>
      </c>
      <c r="J623">
        <v>1</v>
      </c>
      <c r="L623" s="46"/>
      <c r="P623">
        <v>150</v>
      </c>
      <c r="Q623">
        <v>0</v>
      </c>
      <c r="R623">
        <v>0</v>
      </c>
      <c r="S623" s="7">
        <f>Tabla1[[#This Row],[TARIFA]]+Tabla1[[#This Row],[IMPORTE EXTRAS]]</f>
        <v>150</v>
      </c>
      <c r="T623" t="s">
        <v>45</v>
      </c>
      <c r="U623">
        <v>50</v>
      </c>
      <c r="V623">
        <v>100</v>
      </c>
      <c r="W623">
        <v>0</v>
      </c>
      <c r="X623">
        <v>0</v>
      </c>
      <c r="Z623" s="7">
        <f>SUM(Tabla1[[#This Row],[RES-A]:[EXTR-B]])</f>
        <v>150</v>
      </c>
      <c r="AA623" s="7">
        <f>Tabla1[[#This Row],[Columna1]]-Tabla1[[#This Row],[IMPORTE TOTAL]]</f>
        <v>0</v>
      </c>
    </row>
    <row r="624" spans="1:27" x14ac:dyDescent="0.2">
      <c r="A624">
        <v>2023</v>
      </c>
      <c r="B624" t="s">
        <v>236</v>
      </c>
      <c r="C624" s="3">
        <v>45185</v>
      </c>
      <c r="D624" s="3" t="s">
        <v>42</v>
      </c>
      <c r="E624" s="3" t="s">
        <v>46</v>
      </c>
      <c r="F624" s="3" t="s">
        <v>46</v>
      </c>
      <c r="G624" s="4">
        <v>0.64583333333333337</v>
      </c>
      <c r="H624" s="4">
        <v>0.10416666666666667</v>
      </c>
      <c r="I624" t="s">
        <v>53</v>
      </c>
      <c r="J624">
        <v>1</v>
      </c>
      <c r="L624" s="46"/>
      <c r="P624">
        <v>250</v>
      </c>
      <c r="Q624">
        <v>1</v>
      </c>
      <c r="R624">
        <v>45</v>
      </c>
      <c r="S624" s="7">
        <f>Tabla1[[#This Row],[TARIFA]]+Tabla1[[#This Row],[IMPORTE EXTRAS]]</f>
        <v>295</v>
      </c>
      <c r="T624" t="s">
        <v>45</v>
      </c>
      <c r="U624">
        <v>50</v>
      </c>
      <c r="V624">
        <v>200</v>
      </c>
      <c r="W624">
        <v>0</v>
      </c>
      <c r="X624">
        <v>45</v>
      </c>
      <c r="Y624" t="s">
        <v>561</v>
      </c>
      <c r="Z624" s="7">
        <f>SUM(Tabla1[[#This Row],[RES-A]:[EXTR-B]])</f>
        <v>295</v>
      </c>
      <c r="AA624" s="7">
        <f>Tabla1[[#This Row],[Columna1]]-Tabla1[[#This Row],[IMPORTE TOTAL]]</f>
        <v>0</v>
      </c>
    </row>
    <row r="625" spans="1:27" x14ac:dyDescent="0.2">
      <c r="A625">
        <v>2023</v>
      </c>
      <c r="B625" t="s">
        <v>236</v>
      </c>
      <c r="C625" s="3">
        <v>45186</v>
      </c>
      <c r="D625" s="3" t="s">
        <v>43</v>
      </c>
      <c r="E625" s="3" t="s">
        <v>46</v>
      </c>
      <c r="F625" s="3" t="s">
        <v>46</v>
      </c>
      <c r="G625" s="4">
        <v>0.64583333333333337</v>
      </c>
      <c r="H625" s="4">
        <v>0.85416666666666663</v>
      </c>
      <c r="I625" t="s">
        <v>31</v>
      </c>
      <c r="J625">
        <v>1</v>
      </c>
      <c r="L625" s="46"/>
      <c r="P625">
        <v>150</v>
      </c>
      <c r="Q625">
        <v>0</v>
      </c>
      <c r="R625">
        <v>0</v>
      </c>
      <c r="S625" s="7">
        <f>Tabla1[[#This Row],[TARIFA]]+Tabla1[[#This Row],[IMPORTE EXTRAS]]</f>
        <v>150</v>
      </c>
      <c r="T625" t="s">
        <v>45</v>
      </c>
      <c r="U625">
        <v>50</v>
      </c>
      <c r="V625">
        <v>100</v>
      </c>
      <c r="W625">
        <v>0</v>
      </c>
      <c r="X625">
        <v>0</v>
      </c>
      <c r="Y625" t="s">
        <v>505</v>
      </c>
      <c r="Z625" s="7">
        <f>SUM(Tabla1[[#This Row],[RES-A]:[EXTR-B]])</f>
        <v>150</v>
      </c>
      <c r="AA625" s="7">
        <f>Tabla1[[#This Row],[Columna1]]-Tabla1[[#This Row],[IMPORTE TOTAL]]</f>
        <v>0</v>
      </c>
    </row>
    <row r="626" spans="1:27" x14ac:dyDescent="0.2">
      <c r="A626">
        <v>2023</v>
      </c>
      <c r="B626" t="s">
        <v>236</v>
      </c>
      <c r="C626" s="3">
        <v>45191</v>
      </c>
      <c r="D626" s="3" t="s">
        <v>41</v>
      </c>
      <c r="E626" s="3" t="s">
        <v>46</v>
      </c>
      <c r="F626" s="3" t="s">
        <v>46</v>
      </c>
      <c r="G626" s="4">
        <v>0.64583333333333337</v>
      </c>
      <c r="H626" s="4">
        <v>0.85416666666666663</v>
      </c>
      <c r="I626" t="s">
        <v>31</v>
      </c>
      <c r="J626">
        <v>1</v>
      </c>
      <c r="L626" s="46"/>
      <c r="P626">
        <v>140</v>
      </c>
      <c r="Q626">
        <v>0</v>
      </c>
      <c r="R626">
        <v>0</v>
      </c>
      <c r="S626" s="7">
        <f>Tabla1[[#This Row],[TARIFA]]+Tabla1[[#This Row],[IMPORTE EXTRAS]]</f>
        <v>140</v>
      </c>
      <c r="T626" t="s">
        <v>45</v>
      </c>
      <c r="U626">
        <v>50</v>
      </c>
      <c r="V626">
        <v>90</v>
      </c>
      <c r="W626">
        <v>0</v>
      </c>
      <c r="X626">
        <v>0</v>
      </c>
      <c r="Z626" s="7">
        <f>SUM(Tabla1[[#This Row],[RES-A]:[EXTR-B]])</f>
        <v>140</v>
      </c>
      <c r="AA626" s="7">
        <f>Tabla1[[#This Row],[Columna1]]-Tabla1[[#This Row],[IMPORTE TOTAL]]</f>
        <v>0</v>
      </c>
    </row>
    <row r="627" spans="1:27" x14ac:dyDescent="0.2">
      <c r="A627">
        <v>2023</v>
      </c>
      <c r="B627" t="s">
        <v>236</v>
      </c>
      <c r="C627" s="3">
        <v>45191</v>
      </c>
      <c r="D627" s="3" t="s">
        <v>41</v>
      </c>
      <c r="E627" s="3" t="s">
        <v>46</v>
      </c>
      <c r="F627" s="3" t="s">
        <v>46</v>
      </c>
      <c r="G627" s="4">
        <v>0.89583333333333337</v>
      </c>
      <c r="H627" s="4">
        <v>0.10416666666666667</v>
      </c>
      <c r="I627" t="s">
        <v>35</v>
      </c>
      <c r="J627">
        <v>1</v>
      </c>
      <c r="L627" s="46"/>
      <c r="P627">
        <v>200</v>
      </c>
      <c r="Q627">
        <v>0</v>
      </c>
      <c r="R627">
        <v>0</v>
      </c>
      <c r="S627" s="7">
        <f>Tabla1[[#This Row],[TARIFA]]+Tabla1[[#This Row],[IMPORTE EXTRAS]]</f>
        <v>200</v>
      </c>
      <c r="T627" t="s">
        <v>45</v>
      </c>
      <c r="U627">
        <v>50</v>
      </c>
      <c r="V627">
        <v>150</v>
      </c>
      <c r="W627">
        <v>0</v>
      </c>
      <c r="X627">
        <v>0</v>
      </c>
      <c r="Z627" s="7">
        <f>SUM(Tabla1[[#This Row],[RES-A]:[EXTR-B]])</f>
        <v>200</v>
      </c>
      <c r="AA627" s="7">
        <f>Tabla1[[#This Row],[Columna1]]-Tabla1[[#This Row],[IMPORTE TOTAL]]</f>
        <v>0</v>
      </c>
    </row>
    <row r="628" spans="1:27" x14ac:dyDescent="0.2">
      <c r="A628">
        <v>2023</v>
      </c>
      <c r="B628" t="s">
        <v>236</v>
      </c>
      <c r="C628" s="3">
        <v>45192</v>
      </c>
      <c r="D628" s="3" t="s">
        <v>42</v>
      </c>
      <c r="E628" s="3" t="s">
        <v>46</v>
      </c>
      <c r="F628" s="3" t="s">
        <v>46</v>
      </c>
      <c r="G628" s="4">
        <v>0.64583333333333337</v>
      </c>
      <c r="H628" s="4">
        <v>0.85416666666666663</v>
      </c>
      <c r="I628" t="s">
        <v>31</v>
      </c>
      <c r="J628">
        <v>1</v>
      </c>
      <c r="L628" s="46"/>
      <c r="P628">
        <v>150</v>
      </c>
      <c r="Q628">
        <v>0</v>
      </c>
      <c r="R628">
        <v>0</v>
      </c>
      <c r="S628" s="7">
        <f>Tabla1[[#This Row],[TARIFA]]+Tabla1[[#This Row],[IMPORTE EXTRAS]]</f>
        <v>150</v>
      </c>
      <c r="T628" t="s">
        <v>45</v>
      </c>
      <c r="U628">
        <v>50</v>
      </c>
      <c r="V628">
        <v>100</v>
      </c>
      <c r="W628">
        <v>0</v>
      </c>
      <c r="X628">
        <v>0</v>
      </c>
      <c r="Z628" s="7">
        <f>SUM(Tabla1[[#This Row],[RES-A]:[EXTR-B]])</f>
        <v>150</v>
      </c>
      <c r="AA628" s="7">
        <f>Tabla1[[#This Row],[Columna1]]-Tabla1[[#This Row],[IMPORTE TOTAL]]</f>
        <v>0</v>
      </c>
    </row>
    <row r="629" spans="1:27" x14ac:dyDescent="0.2">
      <c r="A629">
        <v>2023</v>
      </c>
      <c r="B629" t="s">
        <v>236</v>
      </c>
      <c r="C629" s="3">
        <v>45193</v>
      </c>
      <c r="D629" s="3" t="s">
        <v>43</v>
      </c>
      <c r="E629" s="3" t="s">
        <v>46</v>
      </c>
      <c r="F629" s="3" t="s">
        <v>46</v>
      </c>
      <c r="G629" s="4">
        <v>0.39583333333333331</v>
      </c>
      <c r="H629" s="4">
        <v>0.85416666666666663</v>
      </c>
      <c r="I629" t="s">
        <v>32</v>
      </c>
      <c r="J629">
        <v>2</v>
      </c>
      <c r="L629" s="46"/>
      <c r="P629">
        <v>260</v>
      </c>
      <c r="Q629">
        <v>0</v>
      </c>
      <c r="R629">
        <v>0</v>
      </c>
      <c r="S629" s="7">
        <f>Tabla1[[#This Row],[TARIFA]]+Tabla1[[#This Row],[IMPORTE EXTRAS]]</f>
        <v>260</v>
      </c>
      <c r="T629" t="s">
        <v>45</v>
      </c>
      <c r="U629">
        <v>50</v>
      </c>
      <c r="V629">
        <v>190</v>
      </c>
      <c r="W629">
        <v>0</v>
      </c>
      <c r="X629">
        <v>0</v>
      </c>
      <c r="Z629" s="7">
        <f>SUM(Tabla1[[#This Row],[RES-A]:[EXTR-B]])</f>
        <v>240</v>
      </c>
      <c r="AA629" s="7">
        <f>Tabla1[[#This Row],[Columna1]]-Tabla1[[#This Row],[IMPORTE TOTAL]]</f>
        <v>-20</v>
      </c>
    </row>
    <row r="630" spans="1:27" x14ac:dyDescent="0.2">
      <c r="A630">
        <v>2023</v>
      </c>
      <c r="B630" t="s">
        <v>236</v>
      </c>
      <c r="C630" s="3">
        <v>45198</v>
      </c>
      <c r="D630" s="3" t="s">
        <v>41</v>
      </c>
      <c r="E630" s="3" t="s">
        <v>46</v>
      </c>
      <c r="F630" s="3" t="s">
        <v>46</v>
      </c>
      <c r="G630" s="4">
        <v>0.89583333333333337</v>
      </c>
      <c r="H630" s="4">
        <v>0.10416666666666667</v>
      </c>
      <c r="I630" t="s">
        <v>35</v>
      </c>
      <c r="J630">
        <v>1</v>
      </c>
      <c r="L630" s="46"/>
      <c r="P630">
        <v>200</v>
      </c>
      <c r="Q630">
        <v>0</v>
      </c>
      <c r="R630">
        <v>0</v>
      </c>
      <c r="S630" s="7">
        <f>Tabla1[[#This Row],[TARIFA]]+Tabla1[[#This Row],[IMPORTE EXTRAS]]</f>
        <v>200</v>
      </c>
      <c r="T630" t="s">
        <v>45</v>
      </c>
      <c r="U630">
        <v>50</v>
      </c>
      <c r="V630">
        <v>150</v>
      </c>
      <c r="W630">
        <v>0</v>
      </c>
      <c r="X630">
        <v>0</v>
      </c>
      <c r="Z630" s="7">
        <f>SUM(Tabla1[[#This Row],[RES-A]:[EXTR-B]])</f>
        <v>200</v>
      </c>
      <c r="AA630" s="7">
        <f>Tabla1[[#This Row],[Columna1]]-Tabla1[[#This Row],[IMPORTE TOTAL]]</f>
        <v>0</v>
      </c>
    </row>
    <row r="631" spans="1:27" x14ac:dyDescent="0.2">
      <c r="A631">
        <v>2023</v>
      </c>
      <c r="B631" t="s">
        <v>236</v>
      </c>
      <c r="C631" s="3">
        <v>45199</v>
      </c>
      <c r="D631" s="3" t="s">
        <v>42</v>
      </c>
      <c r="E631" s="3" t="s">
        <v>46</v>
      </c>
      <c r="F631" s="3" t="s">
        <v>46</v>
      </c>
      <c r="G631" s="4">
        <v>0.89583333333333337</v>
      </c>
      <c r="H631" s="4">
        <v>0.10416666666666667</v>
      </c>
      <c r="I631" t="s">
        <v>35</v>
      </c>
      <c r="J631">
        <v>1</v>
      </c>
      <c r="L631" s="46"/>
      <c r="P631">
        <v>200</v>
      </c>
      <c r="Q631">
        <v>1</v>
      </c>
      <c r="R631">
        <v>160</v>
      </c>
      <c r="S631" s="7">
        <f>Tabla1[[#This Row],[TARIFA]]+Tabla1[[#This Row],[IMPORTE EXTRAS]]</f>
        <v>360</v>
      </c>
      <c r="T631" t="s">
        <v>45</v>
      </c>
      <c r="U631">
        <v>200</v>
      </c>
      <c r="V631">
        <v>0</v>
      </c>
      <c r="W631">
        <v>160</v>
      </c>
      <c r="X631">
        <v>0</v>
      </c>
      <c r="Z631" s="7">
        <f>SUM(Tabla1[[#This Row],[RES-A]:[EXTR-B]])</f>
        <v>360</v>
      </c>
      <c r="AA631" s="7">
        <f>Tabla1[[#This Row],[Columna1]]-Tabla1[[#This Row],[IMPORTE TOTAL]]</f>
        <v>0</v>
      </c>
    </row>
    <row r="632" spans="1:27" x14ac:dyDescent="0.2">
      <c r="A632">
        <v>2023</v>
      </c>
      <c r="B632" t="s">
        <v>63</v>
      </c>
      <c r="C632" s="51">
        <v>45200</v>
      </c>
      <c r="D632" s="3" t="s">
        <v>43</v>
      </c>
      <c r="E632" s="3" t="s">
        <v>46</v>
      </c>
      <c r="F632" s="3" t="s">
        <v>46</v>
      </c>
      <c r="G632" s="4">
        <v>0.39583333333333331</v>
      </c>
      <c r="H632" s="4">
        <v>0.85416666666666663</v>
      </c>
      <c r="I632" t="s">
        <v>31</v>
      </c>
      <c r="J632">
        <v>1</v>
      </c>
      <c r="L632" s="46"/>
      <c r="P632">
        <v>0</v>
      </c>
      <c r="Q632">
        <v>0</v>
      </c>
      <c r="R632">
        <v>0</v>
      </c>
      <c r="S632" s="7">
        <f>Tabla1[[#This Row],[TARIFA]]+Tabla1[[#This Row],[IMPORTE EXTRAS]]</f>
        <v>0</v>
      </c>
      <c r="T632" t="s">
        <v>45</v>
      </c>
      <c r="U632">
        <v>0</v>
      </c>
      <c r="V632">
        <v>0</v>
      </c>
      <c r="W632">
        <v>0</v>
      </c>
      <c r="X632">
        <v>0</v>
      </c>
      <c r="Z632" s="7">
        <f>SUM(Tabla1[[#This Row],[RES-A]:[EXTR-B]])</f>
        <v>0</v>
      </c>
      <c r="AA632" s="7">
        <f>Tabla1[[#This Row],[Columna1]]-Tabla1[[#This Row],[IMPORTE TOTAL]]</f>
        <v>0</v>
      </c>
    </row>
    <row r="633" spans="1:27" x14ac:dyDescent="0.2">
      <c r="A633">
        <v>2023</v>
      </c>
      <c r="B633" t="s">
        <v>63</v>
      </c>
      <c r="C633" s="51">
        <v>45205</v>
      </c>
      <c r="D633" s="3" t="s">
        <v>41</v>
      </c>
      <c r="E633" s="3" t="s">
        <v>46</v>
      </c>
      <c r="F633" s="3" t="s">
        <v>46</v>
      </c>
      <c r="G633" s="4">
        <v>0.89583333333333337</v>
      </c>
      <c r="H633" s="4">
        <v>0.10416666666666667</v>
      </c>
      <c r="I633" t="s">
        <v>35</v>
      </c>
      <c r="J633">
        <v>1</v>
      </c>
      <c r="L633" s="46"/>
      <c r="P633">
        <v>200</v>
      </c>
      <c r="Q633">
        <v>0</v>
      </c>
      <c r="R633">
        <v>0</v>
      </c>
      <c r="S633" s="7">
        <f>Tabla1[[#This Row],[TARIFA]]+Tabla1[[#This Row],[IMPORTE EXTRAS]]</f>
        <v>200</v>
      </c>
      <c r="T633" t="s">
        <v>45</v>
      </c>
      <c r="U633">
        <v>50</v>
      </c>
      <c r="V633">
        <v>150</v>
      </c>
      <c r="W633">
        <v>0</v>
      </c>
      <c r="X633">
        <v>0</v>
      </c>
      <c r="Y633" t="s">
        <v>560</v>
      </c>
      <c r="Z633" s="7">
        <f>SUM(Tabla1[[#This Row],[RES-A]:[EXTR-B]])</f>
        <v>200</v>
      </c>
      <c r="AA633" s="7">
        <f>Tabla1[[#This Row],[Columna1]]-Tabla1[[#This Row],[IMPORTE TOTAL]]</f>
        <v>0</v>
      </c>
    </row>
    <row r="634" spans="1:27" x14ac:dyDescent="0.2">
      <c r="A634">
        <v>2023</v>
      </c>
      <c r="B634" t="s">
        <v>63</v>
      </c>
      <c r="C634" s="51">
        <v>45206</v>
      </c>
      <c r="D634" s="3" t="s">
        <v>42</v>
      </c>
      <c r="E634" s="3" t="s">
        <v>46</v>
      </c>
      <c r="F634" s="3" t="s">
        <v>46</v>
      </c>
      <c r="G634" s="4">
        <v>0.64583333333333337</v>
      </c>
      <c r="H634" s="4">
        <v>0.85416666666666663</v>
      </c>
      <c r="I634" t="s">
        <v>31</v>
      </c>
      <c r="J634">
        <v>1</v>
      </c>
      <c r="L634" s="46"/>
      <c r="P634">
        <v>150</v>
      </c>
      <c r="Q634">
        <v>0</v>
      </c>
      <c r="R634">
        <v>0</v>
      </c>
      <c r="S634" s="7">
        <f>Tabla1[[#This Row],[TARIFA]]+Tabla1[[#This Row],[IMPORTE EXTRAS]]</f>
        <v>150</v>
      </c>
      <c r="T634" t="s">
        <v>45</v>
      </c>
      <c r="U634">
        <v>50</v>
      </c>
      <c r="V634">
        <v>100</v>
      </c>
      <c r="W634">
        <v>0</v>
      </c>
      <c r="X634">
        <v>0</v>
      </c>
      <c r="Y634" t="s">
        <v>560</v>
      </c>
      <c r="Z634" s="7">
        <f>SUM(Tabla1[[#This Row],[RES-A]:[EXTR-B]])</f>
        <v>150</v>
      </c>
      <c r="AA634" s="7">
        <f>Tabla1[[#This Row],[Columna1]]-Tabla1[[#This Row],[IMPORTE TOTAL]]</f>
        <v>0</v>
      </c>
    </row>
    <row r="635" spans="1:27" x14ac:dyDescent="0.2">
      <c r="A635">
        <v>2023</v>
      </c>
      <c r="B635" t="s">
        <v>63</v>
      </c>
      <c r="C635" s="51">
        <v>45206</v>
      </c>
      <c r="D635" s="3" t="s">
        <v>42</v>
      </c>
      <c r="E635" s="3" t="s">
        <v>46</v>
      </c>
      <c r="F635" s="3" t="s">
        <v>46</v>
      </c>
      <c r="G635" s="4">
        <v>0.89583333333333337</v>
      </c>
      <c r="H635" s="4">
        <v>0.10416666666666667</v>
      </c>
      <c r="I635" t="s">
        <v>35</v>
      </c>
      <c r="J635">
        <v>1</v>
      </c>
      <c r="L635" s="46"/>
      <c r="P635">
        <v>200</v>
      </c>
      <c r="Q635">
        <v>0</v>
      </c>
      <c r="R635">
        <v>0</v>
      </c>
      <c r="S635" s="7">
        <f>Tabla1[[#This Row],[TARIFA]]+Tabla1[[#This Row],[IMPORTE EXTRAS]]</f>
        <v>200</v>
      </c>
      <c r="T635" t="s">
        <v>45</v>
      </c>
      <c r="U635">
        <v>50</v>
      </c>
      <c r="V635">
        <v>150</v>
      </c>
      <c r="W635">
        <v>0</v>
      </c>
      <c r="X635">
        <v>0</v>
      </c>
      <c r="Z635" s="7">
        <f>SUM(Tabla1[[#This Row],[RES-A]:[EXTR-B]])</f>
        <v>200</v>
      </c>
      <c r="AA635" s="7">
        <f>Tabla1[[#This Row],[Columna1]]-Tabla1[[#This Row],[IMPORTE TOTAL]]</f>
        <v>0</v>
      </c>
    </row>
    <row r="636" spans="1:27" x14ac:dyDescent="0.2">
      <c r="A636">
        <v>2023</v>
      </c>
      <c r="B636" t="s">
        <v>63</v>
      </c>
      <c r="C636" s="51">
        <v>45207</v>
      </c>
      <c r="D636" s="3" t="s">
        <v>43</v>
      </c>
      <c r="E636" s="3" t="s">
        <v>46</v>
      </c>
      <c r="F636" s="3" t="s">
        <v>46</v>
      </c>
      <c r="G636" s="4">
        <v>0.64583333333333337</v>
      </c>
      <c r="H636" s="4">
        <v>0.85416666666666663</v>
      </c>
      <c r="I636" t="s">
        <v>31</v>
      </c>
      <c r="J636">
        <v>1</v>
      </c>
      <c r="L636" s="46"/>
      <c r="P636">
        <v>150</v>
      </c>
      <c r="Q636">
        <v>0</v>
      </c>
      <c r="R636">
        <v>0</v>
      </c>
      <c r="S636" s="7">
        <f>Tabla1[[#This Row],[TARIFA]]+Tabla1[[#This Row],[IMPORTE EXTRAS]]</f>
        <v>150</v>
      </c>
      <c r="T636" t="s">
        <v>45</v>
      </c>
      <c r="U636">
        <v>150</v>
      </c>
      <c r="V636">
        <v>0</v>
      </c>
      <c r="W636">
        <v>0</v>
      </c>
      <c r="X636">
        <v>0</v>
      </c>
      <c r="Z636" s="7">
        <f>SUM(Tabla1[[#This Row],[RES-A]:[EXTR-B]])</f>
        <v>150</v>
      </c>
      <c r="AA636" s="7">
        <f>Tabla1[[#This Row],[Columna1]]-Tabla1[[#This Row],[IMPORTE TOTAL]]</f>
        <v>0</v>
      </c>
    </row>
    <row r="637" spans="1:27" x14ac:dyDescent="0.2">
      <c r="A637">
        <v>2023</v>
      </c>
      <c r="B637" t="s">
        <v>63</v>
      </c>
      <c r="C637" s="51">
        <v>45210</v>
      </c>
      <c r="D637" s="3" t="s">
        <v>39</v>
      </c>
      <c r="E637" s="3" t="s">
        <v>46</v>
      </c>
      <c r="F637" s="3" t="s">
        <v>46</v>
      </c>
      <c r="G637" s="4">
        <v>0.89583333333333337</v>
      </c>
      <c r="H637" s="4">
        <v>0.10416666666666667</v>
      </c>
      <c r="I637" t="s">
        <v>35</v>
      </c>
      <c r="J637">
        <v>1</v>
      </c>
      <c r="L637" s="46"/>
      <c r="P637">
        <v>200</v>
      </c>
      <c r="Q637">
        <v>0</v>
      </c>
      <c r="R637">
        <v>0</v>
      </c>
      <c r="S637" s="7">
        <f>Tabla1[[#This Row],[TARIFA]]+Tabla1[[#This Row],[IMPORTE EXTRAS]]</f>
        <v>200</v>
      </c>
      <c r="T637" t="s">
        <v>45</v>
      </c>
      <c r="U637">
        <v>50</v>
      </c>
      <c r="V637">
        <v>150</v>
      </c>
      <c r="W637">
        <v>0</v>
      </c>
      <c r="X637">
        <v>0</v>
      </c>
      <c r="Z637" s="7">
        <f>SUM(Tabla1[[#This Row],[RES-A]:[EXTR-B]])</f>
        <v>200</v>
      </c>
      <c r="AA637" s="7">
        <f>Tabla1[[#This Row],[Columna1]]-Tabla1[[#This Row],[IMPORTE TOTAL]]</f>
        <v>0</v>
      </c>
    </row>
    <row r="638" spans="1:27" x14ac:dyDescent="0.2">
      <c r="A638">
        <v>2023</v>
      </c>
      <c r="B638" t="s">
        <v>63</v>
      </c>
      <c r="C638" s="51">
        <v>45211</v>
      </c>
      <c r="D638" s="3" t="s">
        <v>40</v>
      </c>
      <c r="E638" s="3" t="s">
        <v>45</v>
      </c>
      <c r="F638" s="3" t="s">
        <v>46</v>
      </c>
      <c r="G638" s="4">
        <v>0.64583333333333337</v>
      </c>
      <c r="H638" s="4">
        <v>0.85416666666666663</v>
      </c>
      <c r="I638" t="s">
        <v>31</v>
      </c>
      <c r="J638">
        <v>1</v>
      </c>
      <c r="L638" s="46"/>
      <c r="P638">
        <v>150</v>
      </c>
      <c r="Q638">
        <v>0</v>
      </c>
      <c r="R638">
        <v>0</v>
      </c>
      <c r="S638" s="7">
        <f>Tabla1[[#This Row],[TARIFA]]+Tabla1[[#This Row],[IMPORTE EXTRAS]]</f>
        <v>150</v>
      </c>
      <c r="T638" t="s">
        <v>45</v>
      </c>
      <c r="U638">
        <v>150</v>
      </c>
      <c r="V638">
        <v>0</v>
      </c>
      <c r="W638">
        <v>0</v>
      </c>
      <c r="X638">
        <v>0</v>
      </c>
      <c r="Z638" s="7">
        <f>SUM(Tabla1[[#This Row],[RES-A]:[EXTR-B]])</f>
        <v>150</v>
      </c>
      <c r="AA638" s="7">
        <f>Tabla1[[#This Row],[Columna1]]-Tabla1[[#This Row],[IMPORTE TOTAL]]</f>
        <v>0</v>
      </c>
    </row>
    <row r="639" spans="1:27" x14ac:dyDescent="0.2">
      <c r="A639">
        <v>2023</v>
      </c>
      <c r="B639" t="s">
        <v>63</v>
      </c>
      <c r="C639" s="51">
        <v>45213</v>
      </c>
      <c r="D639" s="3" t="s">
        <v>42</v>
      </c>
      <c r="E639" s="3" t="s">
        <v>46</v>
      </c>
      <c r="F639" s="3" t="s">
        <v>46</v>
      </c>
      <c r="G639" s="4">
        <v>0.64583333333333337</v>
      </c>
      <c r="H639" s="4">
        <v>0.85416666666666663</v>
      </c>
      <c r="I639" t="s">
        <v>31</v>
      </c>
      <c r="J639">
        <v>1</v>
      </c>
      <c r="L639" s="46"/>
      <c r="P639">
        <v>150</v>
      </c>
      <c r="Q639">
        <v>0</v>
      </c>
      <c r="R639">
        <v>0</v>
      </c>
      <c r="S639" s="7">
        <f>Tabla1[[#This Row],[TARIFA]]+Tabla1[[#This Row],[IMPORTE EXTRAS]]</f>
        <v>150</v>
      </c>
      <c r="T639" t="s">
        <v>45</v>
      </c>
      <c r="U639">
        <v>50</v>
      </c>
      <c r="V639">
        <v>100</v>
      </c>
      <c r="W639">
        <v>0</v>
      </c>
      <c r="X639">
        <v>0</v>
      </c>
      <c r="Z639" s="7">
        <f>SUM(Tabla1[[#This Row],[RES-A]:[EXTR-B]])</f>
        <v>150</v>
      </c>
      <c r="AA639" s="7">
        <f>Tabla1[[#This Row],[Columna1]]-Tabla1[[#This Row],[IMPORTE TOTAL]]</f>
        <v>0</v>
      </c>
    </row>
    <row r="640" spans="1:27" x14ac:dyDescent="0.2">
      <c r="A640">
        <v>2023</v>
      </c>
      <c r="B640" t="s">
        <v>63</v>
      </c>
      <c r="C640" s="51">
        <v>45213</v>
      </c>
      <c r="D640" s="3" t="s">
        <v>42</v>
      </c>
      <c r="E640" s="3" t="s">
        <v>46</v>
      </c>
      <c r="F640" s="3" t="s">
        <v>46</v>
      </c>
      <c r="G640" s="4">
        <v>0.89583333333333337</v>
      </c>
      <c r="H640" s="4">
        <v>0.10416666666666667</v>
      </c>
      <c r="I640" t="s">
        <v>35</v>
      </c>
      <c r="J640">
        <v>1</v>
      </c>
      <c r="L640" s="46"/>
      <c r="P640">
        <v>200</v>
      </c>
      <c r="Q640">
        <v>1</v>
      </c>
      <c r="R640">
        <v>60</v>
      </c>
      <c r="S640" s="7">
        <f>Tabla1[[#This Row],[TARIFA]]+Tabla1[[#This Row],[IMPORTE EXTRAS]]</f>
        <v>260</v>
      </c>
      <c r="T640" t="s">
        <v>45</v>
      </c>
      <c r="U640">
        <v>50</v>
      </c>
      <c r="V640">
        <v>150</v>
      </c>
      <c r="W640">
        <v>0</v>
      </c>
      <c r="X640">
        <v>60</v>
      </c>
      <c r="Z640" s="7">
        <f>SUM(Tabla1[[#This Row],[RES-A]:[EXTR-B]])</f>
        <v>260</v>
      </c>
      <c r="AA640" s="7">
        <f>Tabla1[[#This Row],[Columna1]]-Tabla1[[#This Row],[IMPORTE TOTAL]]</f>
        <v>0</v>
      </c>
    </row>
    <row r="641" spans="1:27" x14ac:dyDescent="0.2">
      <c r="A641">
        <v>2023</v>
      </c>
      <c r="B641" t="s">
        <v>63</v>
      </c>
      <c r="C641" s="51">
        <v>45214</v>
      </c>
      <c r="D641" s="3" t="s">
        <v>43</v>
      </c>
      <c r="E641" s="3" t="s">
        <v>46</v>
      </c>
      <c r="F641" s="3" t="s">
        <v>46</v>
      </c>
      <c r="G641" s="4">
        <v>0.39583333333333331</v>
      </c>
      <c r="H641" s="4">
        <v>0.60416666666666663</v>
      </c>
      <c r="I641" t="s">
        <v>30</v>
      </c>
      <c r="J641">
        <v>1</v>
      </c>
      <c r="L641" s="46"/>
      <c r="P641">
        <v>150</v>
      </c>
      <c r="Q641">
        <v>0</v>
      </c>
      <c r="R641">
        <v>0</v>
      </c>
      <c r="S641" s="7">
        <f>Tabla1[[#This Row],[TARIFA]]+Tabla1[[#This Row],[IMPORTE EXTRAS]]</f>
        <v>150</v>
      </c>
      <c r="T641" t="s">
        <v>45</v>
      </c>
      <c r="U641">
        <v>50</v>
      </c>
      <c r="V641">
        <v>100</v>
      </c>
      <c r="W641">
        <v>0</v>
      </c>
      <c r="X641">
        <v>0</v>
      </c>
      <c r="Z641" s="7">
        <f>SUM(Tabla1[[#This Row],[RES-A]:[EXTR-B]])</f>
        <v>150</v>
      </c>
      <c r="AA641" s="7">
        <f>Tabla1[[#This Row],[Columna1]]-Tabla1[[#This Row],[IMPORTE TOTAL]]</f>
        <v>0</v>
      </c>
    </row>
    <row r="642" spans="1:27" x14ac:dyDescent="0.2">
      <c r="A642">
        <v>2023</v>
      </c>
      <c r="B642" t="s">
        <v>63</v>
      </c>
      <c r="C642" s="51">
        <v>45214</v>
      </c>
      <c r="D642" s="3" t="s">
        <v>43</v>
      </c>
      <c r="E642" s="3" t="s">
        <v>46</v>
      </c>
      <c r="F642" s="3" t="s">
        <v>46</v>
      </c>
      <c r="G642" s="4">
        <v>0.64583333333333337</v>
      </c>
      <c r="H642" s="4">
        <v>0.85416666666666663</v>
      </c>
      <c r="I642" t="s">
        <v>31</v>
      </c>
      <c r="J642">
        <v>1</v>
      </c>
      <c r="L642" s="46"/>
      <c r="P642">
        <v>150</v>
      </c>
      <c r="Q642">
        <v>0</v>
      </c>
      <c r="R642">
        <v>0</v>
      </c>
      <c r="S642" s="7">
        <f>Tabla1[[#This Row],[TARIFA]]+Tabla1[[#This Row],[IMPORTE EXTRAS]]</f>
        <v>150</v>
      </c>
      <c r="T642" t="s">
        <v>45</v>
      </c>
      <c r="U642">
        <v>0</v>
      </c>
      <c r="V642">
        <v>150</v>
      </c>
      <c r="W642">
        <v>0</v>
      </c>
      <c r="X642">
        <v>0</v>
      </c>
      <c r="Z642" s="7">
        <f>SUM(Tabla1[[#This Row],[RES-A]:[EXTR-B]])</f>
        <v>150</v>
      </c>
      <c r="AA642" s="7">
        <f>Tabla1[[#This Row],[Columna1]]-Tabla1[[#This Row],[IMPORTE TOTAL]]</f>
        <v>0</v>
      </c>
    </row>
    <row r="643" spans="1:27" x14ac:dyDescent="0.2">
      <c r="A643">
        <v>2023</v>
      </c>
      <c r="B643" t="s">
        <v>63</v>
      </c>
      <c r="C643" s="51">
        <v>45215</v>
      </c>
      <c r="D643" s="3" t="s">
        <v>37</v>
      </c>
      <c r="E643" s="3" t="s">
        <v>46</v>
      </c>
      <c r="F643" s="3" t="s">
        <v>46</v>
      </c>
      <c r="G643" s="4">
        <v>0.64583333333333337</v>
      </c>
      <c r="H643" s="4">
        <v>0.85416666666666663</v>
      </c>
      <c r="I643" t="s">
        <v>31</v>
      </c>
      <c r="J643">
        <v>1</v>
      </c>
      <c r="L643" s="46"/>
      <c r="P643">
        <v>95</v>
      </c>
      <c r="Q643">
        <v>0</v>
      </c>
      <c r="R643">
        <v>0</v>
      </c>
      <c r="S643" s="7">
        <f>Tabla1[[#This Row],[TARIFA]]+Tabla1[[#This Row],[IMPORTE EXTRAS]]</f>
        <v>95</v>
      </c>
      <c r="T643" t="s">
        <v>45</v>
      </c>
      <c r="U643">
        <v>95</v>
      </c>
      <c r="V643">
        <v>0</v>
      </c>
      <c r="W643">
        <v>0</v>
      </c>
      <c r="X643">
        <v>0</v>
      </c>
      <c r="Z643" s="7">
        <f>SUM(Tabla1[[#This Row],[RES-A]:[EXTR-B]])</f>
        <v>95</v>
      </c>
      <c r="AA643" s="7">
        <f>Tabla1[[#This Row],[Columna1]]-Tabla1[[#This Row],[IMPORTE TOTAL]]</f>
        <v>0</v>
      </c>
    </row>
    <row r="644" spans="1:27" x14ac:dyDescent="0.2">
      <c r="A644">
        <v>2023</v>
      </c>
      <c r="B644" t="s">
        <v>63</v>
      </c>
      <c r="C644" s="51">
        <v>45216</v>
      </c>
      <c r="D644" s="3" t="s">
        <v>38</v>
      </c>
      <c r="E644" s="3" t="s">
        <v>46</v>
      </c>
      <c r="F644" s="3" t="s">
        <v>46</v>
      </c>
      <c r="G644" s="4">
        <v>0.64583333333333337</v>
      </c>
      <c r="H644" s="4">
        <v>0.85416666666666663</v>
      </c>
      <c r="I644" t="s">
        <v>31</v>
      </c>
      <c r="J644">
        <v>1</v>
      </c>
      <c r="L644" s="46"/>
      <c r="P644">
        <v>95</v>
      </c>
      <c r="Q644">
        <v>0</v>
      </c>
      <c r="R644">
        <v>0</v>
      </c>
      <c r="S644" s="7">
        <f>Tabla1[[#This Row],[TARIFA]]+Tabla1[[#This Row],[IMPORTE EXTRAS]]</f>
        <v>95</v>
      </c>
      <c r="T644" t="s">
        <v>45</v>
      </c>
      <c r="U644">
        <v>50</v>
      </c>
      <c r="V644">
        <v>45</v>
      </c>
      <c r="W644">
        <v>0</v>
      </c>
      <c r="X644">
        <v>0</v>
      </c>
      <c r="Z644" s="7">
        <f>SUM(Tabla1[[#This Row],[RES-A]:[EXTR-B]])</f>
        <v>95</v>
      </c>
      <c r="AA644" s="7">
        <f>Tabla1[[#This Row],[Columna1]]-Tabla1[[#This Row],[IMPORTE TOTAL]]</f>
        <v>0</v>
      </c>
    </row>
    <row r="645" spans="1:27" x14ac:dyDescent="0.2">
      <c r="A645">
        <v>2023</v>
      </c>
      <c r="B645" t="s">
        <v>63</v>
      </c>
      <c r="C645" s="51">
        <v>45219</v>
      </c>
      <c r="D645" s="3" t="s">
        <v>41</v>
      </c>
      <c r="E645" s="3" t="s">
        <v>46</v>
      </c>
      <c r="F645" s="3" t="s">
        <v>46</v>
      </c>
      <c r="G645" s="4">
        <v>0.64583333333333337</v>
      </c>
      <c r="H645" s="4">
        <v>0.85416666666666663</v>
      </c>
      <c r="I645" t="s">
        <v>31</v>
      </c>
      <c r="J645">
        <v>1</v>
      </c>
      <c r="L645" s="46"/>
      <c r="P645">
        <v>140</v>
      </c>
      <c r="Q645">
        <v>0</v>
      </c>
      <c r="R645">
        <v>0</v>
      </c>
      <c r="S645" s="7">
        <f>Tabla1[[#This Row],[TARIFA]]+Tabla1[[#This Row],[IMPORTE EXTRAS]]</f>
        <v>140</v>
      </c>
      <c r="T645" t="s">
        <v>45</v>
      </c>
      <c r="U645">
        <v>50</v>
      </c>
      <c r="V645">
        <v>90</v>
      </c>
      <c r="W645">
        <v>0</v>
      </c>
      <c r="X645">
        <v>0</v>
      </c>
      <c r="Z645" s="7">
        <f>SUM(Tabla1[[#This Row],[RES-A]:[EXTR-B]])</f>
        <v>140</v>
      </c>
      <c r="AA645" s="7">
        <f>Tabla1[[#This Row],[Columna1]]-Tabla1[[#This Row],[IMPORTE TOTAL]]</f>
        <v>0</v>
      </c>
    </row>
    <row r="646" spans="1:27" x14ac:dyDescent="0.2">
      <c r="A646">
        <v>2023</v>
      </c>
      <c r="B646" t="s">
        <v>63</v>
      </c>
      <c r="C646" s="51">
        <v>45219</v>
      </c>
      <c r="D646" s="3" t="s">
        <v>41</v>
      </c>
      <c r="E646" s="3" t="s">
        <v>46</v>
      </c>
      <c r="F646" s="3" t="s">
        <v>46</v>
      </c>
      <c r="G646" s="4">
        <v>0.89583333333333337</v>
      </c>
      <c r="H646" s="4">
        <v>0.10416666666666667</v>
      </c>
      <c r="I646" t="s">
        <v>35</v>
      </c>
      <c r="J646">
        <v>1</v>
      </c>
      <c r="L646" s="46"/>
      <c r="P646">
        <v>200</v>
      </c>
      <c r="Q646">
        <v>0</v>
      </c>
      <c r="R646">
        <v>0</v>
      </c>
      <c r="S646" s="7">
        <f>Tabla1[[#This Row],[TARIFA]]+Tabla1[[#This Row],[IMPORTE EXTRAS]]</f>
        <v>200</v>
      </c>
      <c r="T646" t="s">
        <v>45</v>
      </c>
      <c r="U646">
        <v>50</v>
      </c>
      <c r="V646">
        <v>150</v>
      </c>
      <c r="W646">
        <v>0</v>
      </c>
      <c r="X646">
        <v>0</v>
      </c>
      <c r="Z646" s="7">
        <f>SUM(Tabla1[[#This Row],[RES-A]:[EXTR-B]])</f>
        <v>200</v>
      </c>
      <c r="AA646" s="7">
        <f>Tabla1[[#This Row],[Columna1]]-Tabla1[[#This Row],[IMPORTE TOTAL]]</f>
        <v>0</v>
      </c>
    </row>
    <row r="647" spans="1:27" x14ac:dyDescent="0.2">
      <c r="A647">
        <v>2023</v>
      </c>
      <c r="B647" t="s">
        <v>63</v>
      </c>
      <c r="C647" s="51">
        <v>45220</v>
      </c>
      <c r="D647" s="3" t="s">
        <v>42</v>
      </c>
      <c r="E647" s="3" t="s">
        <v>46</v>
      </c>
      <c r="F647" s="3" t="s">
        <v>46</v>
      </c>
      <c r="G647" s="4">
        <v>0.39583333333333331</v>
      </c>
      <c r="H647" s="4">
        <v>0.60416666666666663</v>
      </c>
      <c r="I647" t="s">
        <v>30</v>
      </c>
      <c r="J647">
        <v>1</v>
      </c>
      <c r="L647" s="46"/>
      <c r="P647">
        <v>150</v>
      </c>
      <c r="Q647">
        <v>0</v>
      </c>
      <c r="R647">
        <v>0</v>
      </c>
      <c r="S647" s="7">
        <f>Tabla1[[#This Row],[TARIFA]]+Tabla1[[#This Row],[IMPORTE EXTRAS]]</f>
        <v>150</v>
      </c>
      <c r="T647" t="s">
        <v>45</v>
      </c>
      <c r="U647">
        <v>50</v>
      </c>
      <c r="V647">
        <v>100</v>
      </c>
      <c r="W647">
        <v>0</v>
      </c>
      <c r="X647">
        <v>0</v>
      </c>
      <c r="Z647" s="7">
        <f>SUM(Tabla1[[#This Row],[RES-A]:[EXTR-B]])</f>
        <v>150</v>
      </c>
      <c r="AA647" s="7">
        <f>Tabla1[[#This Row],[Columna1]]-Tabla1[[#This Row],[IMPORTE TOTAL]]</f>
        <v>0</v>
      </c>
    </row>
    <row r="648" spans="1:27" x14ac:dyDescent="0.2">
      <c r="A648">
        <v>2023</v>
      </c>
      <c r="B648" t="s">
        <v>63</v>
      </c>
      <c r="C648" s="51">
        <v>45220</v>
      </c>
      <c r="D648" s="3" t="s">
        <v>42</v>
      </c>
      <c r="E648" s="3" t="s">
        <v>46</v>
      </c>
      <c r="F648" s="3" t="s">
        <v>46</v>
      </c>
      <c r="G648" s="4">
        <v>0.64583333333333337</v>
      </c>
      <c r="H648" s="4">
        <v>0.85416666666666663</v>
      </c>
      <c r="I648" t="s">
        <v>31</v>
      </c>
      <c r="J648">
        <v>1</v>
      </c>
      <c r="L648" s="46"/>
      <c r="P648">
        <v>0</v>
      </c>
      <c r="Q648">
        <v>0</v>
      </c>
      <c r="R648">
        <v>0</v>
      </c>
      <c r="S648" s="7">
        <f>Tabla1[[#This Row],[TARIFA]]+Tabla1[[#This Row],[IMPORTE EXTRAS]]</f>
        <v>0</v>
      </c>
      <c r="T648" t="s">
        <v>45</v>
      </c>
      <c r="U648">
        <v>0</v>
      </c>
      <c r="V648">
        <v>0</v>
      </c>
      <c r="W648">
        <v>0</v>
      </c>
      <c r="X648">
        <v>0</v>
      </c>
      <c r="Z648" s="7">
        <f>SUM(Tabla1[[#This Row],[RES-A]:[EXTR-B]])</f>
        <v>0</v>
      </c>
      <c r="AA648" s="7">
        <f>Tabla1[[#This Row],[Columna1]]-Tabla1[[#This Row],[IMPORTE TOTAL]]</f>
        <v>0</v>
      </c>
    </row>
    <row r="649" spans="1:27" x14ac:dyDescent="0.2">
      <c r="A649">
        <v>2023</v>
      </c>
      <c r="B649" t="s">
        <v>63</v>
      </c>
      <c r="C649" s="51">
        <v>45220</v>
      </c>
      <c r="D649" s="3" t="s">
        <v>42</v>
      </c>
      <c r="E649" s="3" t="s">
        <v>46</v>
      </c>
      <c r="F649" s="3" t="s">
        <v>46</v>
      </c>
      <c r="G649" s="4">
        <v>0.89583333333333337</v>
      </c>
      <c r="H649" s="4">
        <v>0.10416666666666667</v>
      </c>
      <c r="I649" t="s">
        <v>35</v>
      </c>
      <c r="J649">
        <v>1</v>
      </c>
      <c r="L649" s="46"/>
      <c r="P649">
        <v>200</v>
      </c>
      <c r="Q649">
        <v>0</v>
      </c>
      <c r="R649">
        <v>0</v>
      </c>
      <c r="S649" s="7">
        <f>Tabla1[[#This Row],[TARIFA]]+Tabla1[[#This Row],[IMPORTE EXTRAS]]</f>
        <v>200</v>
      </c>
      <c r="T649" t="s">
        <v>45</v>
      </c>
      <c r="U649">
        <v>200</v>
      </c>
      <c r="V649">
        <v>0</v>
      </c>
      <c r="W649">
        <v>0</v>
      </c>
      <c r="X649">
        <v>0</v>
      </c>
      <c r="Z649" s="7">
        <f>SUM(Tabla1[[#This Row],[RES-A]:[EXTR-B]])</f>
        <v>200</v>
      </c>
      <c r="AA649" s="7">
        <f>Tabla1[[#This Row],[Columna1]]-Tabla1[[#This Row],[IMPORTE TOTAL]]</f>
        <v>0</v>
      </c>
    </row>
    <row r="650" spans="1:27" x14ac:dyDescent="0.2">
      <c r="A650">
        <v>2023</v>
      </c>
      <c r="B650" t="s">
        <v>63</v>
      </c>
      <c r="C650" s="51">
        <v>45221</v>
      </c>
      <c r="D650" s="3" t="s">
        <v>43</v>
      </c>
      <c r="E650" s="3" t="s">
        <v>46</v>
      </c>
      <c r="F650" s="3" t="s">
        <v>46</v>
      </c>
      <c r="G650" s="4">
        <v>0.39583333333333331</v>
      </c>
      <c r="H650" s="4">
        <v>0.60416666666666663</v>
      </c>
      <c r="I650" t="s">
        <v>30</v>
      </c>
      <c r="J650">
        <v>1</v>
      </c>
      <c r="L650" s="46"/>
      <c r="P650">
        <v>150</v>
      </c>
      <c r="Q650">
        <v>0</v>
      </c>
      <c r="R650">
        <v>0</v>
      </c>
      <c r="S650" s="7">
        <f>Tabla1[[#This Row],[TARIFA]]+Tabla1[[#This Row],[IMPORTE EXTRAS]]</f>
        <v>150</v>
      </c>
      <c r="T650" t="s">
        <v>45</v>
      </c>
      <c r="U650">
        <v>150</v>
      </c>
      <c r="V650">
        <v>0</v>
      </c>
      <c r="W650">
        <v>0</v>
      </c>
      <c r="X650">
        <v>0</v>
      </c>
      <c r="Z650" s="7">
        <f>SUM(Tabla1[[#This Row],[RES-A]:[EXTR-B]])</f>
        <v>150</v>
      </c>
      <c r="AA650" s="7">
        <f>Tabla1[[#This Row],[Columna1]]-Tabla1[[#This Row],[IMPORTE TOTAL]]</f>
        <v>0</v>
      </c>
    </row>
    <row r="651" spans="1:27" x14ac:dyDescent="0.2">
      <c r="A651">
        <v>2023</v>
      </c>
      <c r="B651" t="s">
        <v>63</v>
      </c>
      <c r="C651" s="51">
        <v>45221</v>
      </c>
      <c r="D651" s="3" t="s">
        <v>43</v>
      </c>
      <c r="E651" s="3" t="s">
        <v>46</v>
      </c>
      <c r="F651" s="3" t="s">
        <v>46</v>
      </c>
      <c r="G651" s="4">
        <v>0.64583333333333337</v>
      </c>
      <c r="H651" s="4">
        <v>0.85416666666666663</v>
      </c>
      <c r="I651" t="s">
        <v>31</v>
      </c>
      <c r="J651">
        <v>1</v>
      </c>
      <c r="L651" s="46"/>
      <c r="P651">
        <v>150</v>
      </c>
      <c r="Q651">
        <v>0</v>
      </c>
      <c r="R651">
        <v>0</v>
      </c>
      <c r="S651" s="7">
        <f>Tabla1[[#This Row],[TARIFA]]+Tabla1[[#This Row],[IMPORTE EXTRAS]]</f>
        <v>150</v>
      </c>
      <c r="T651" t="s">
        <v>45</v>
      </c>
      <c r="U651">
        <v>50</v>
      </c>
      <c r="V651">
        <v>100</v>
      </c>
      <c r="W651">
        <v>0</v>
      </c>
      <c r="X651">
        <v>0</v>
      </c>
      <c r="Z651" s="7">
        <f>SUM(Tabla1[[#This Row],[RES-A]:[EXTR-B]])</f>
        <v>150</v>
      </c>
      <c r="AA651" s="7">
        <f>Tabla1[[#This Row],[Columna1]]-Tabla1[[#This Row],[IMPORTE TOTAL]]</f>
        <v>0</v>
      </c>
    </row>
    <row r="652" spans="1:27" x14ac:dyDescent="0.2">
      <c r="A652">
        <v>2023</v>
      </c>
      <c r="B652" t="s">
        <v>63</v>
      </c>
      <c r="C652" s="51">
        <v>45226</v>
      </c>
      <c r="D652" s="3" t="s">
        <v>41</v>
      </c>
      <c r="E652" s="3" t="s">
        <v>46</v>
      </c>
      <c r="F652" s="3" t="s">
        <v>46</v>
      </c>
      <c r="G652" s="4">
        <v>0.64583333333333337</v>
      </c>
      <c r="H652" s="4">
        <v>0.85416666666666663</v>
      </c>
      <c r="I652" t="s">
        <v>31</v>
      </c>
      <c r="J652">
        <v>1</v>
      </c>
      <c r="L652" s="46"/>
      <c r="P652">
        <v>140</v>
      </c>
      <c r="Q652">
        <v>0</v>
      </c>
      <c r="R652">
        <v>0</v>
      </c>
      <c r="S652" s="7">
        <f>Tabla1[[#This Row],[TARIFA]]+Tabla1[[#This Row],[IMPORTE EXTRAS]]</f>
        <v>140</v>
      </c>
      <c r="T652" t="s">
        <v>45</v>
      </c>
      <c r="U652">
        <v>50</v>
      </c>
      <c r="V652">
        <v>90</v>
      </c>
      <c r="W652">
        <v>0</v>
      </c>
      <c r="X652">
        <v>0</v>
      </c>
      <c r="Z652" s="7">
        <f>SUM(Tabla1[[#This Row],[RES-A]:[EXTR-B]])</f>
        <v>140</v>
      </c>
      <c r="AA652" s="7">
        <f>Tabla1[[#This Row],[Columna1]]-Tabla1[[#This Row],[IMPORTE TOTAL]]</f>
        <v>0</v>
      </c>
    </row>
    <row r="653" spans="1:27" x14ac:dyDescent="0.2">
      <c r="A653">
        <v>2023</v>
      </c>
      <c r="B653" t="s">
        <v>63</v>
      </c>
      <c r="C653" s="51">
        <v>45226</v>
      </c>
      <c r="D653" s="3" t="s">
        <v>41</v>
      </c>
      <c r="E653" s="3" t="s">
        <v>46</v>
      </c>
      <c r="F653" s="3" t="s">
        <v>46</v>
      </c>
      <c r="G653" s="4">
        <v>0.89583333333333337</v>
      </c>
      <c r="H653" s="4">
        <v>0.10416666666666667</v>
      </c>
      <c r="I653" t="s">
        <v>35</v>
      </c>
      <c r="J653">
        <v>1</v>
      </c>
      <c r="L653" s="46"/>
      <c r="P653">
        <v>200</v>
      </c>
      <c r="Q653">
        <v>1</v>
      </c>
      <c r="R653">
        <v>50</v>
      </c>
      <c r="S653" s="7">
        <f>Tabla1[[#This Row],[TARIFA]]+Tabla1[[#This Row],[IMPORTE EXTRAS]]</f>
        <v>250</v>
      </c>
      <c r="T653" t="s">
        <v>45</v>
      </c>
      <c r="U653">
        <v>50</v>
      </c>
      <c r="V653">
        <v>150</v>
      </c>
      <c r="W653">
        <v>0</v>
      </c>
      <c r="X653">
        <v>50</v>
      </c>
      <c r="Z653" s="7">
        <f>SUM(Tabla1[[#This Row],[RES-A]:[EXTR-B]])</f>
        <v>250</v>
      </c>
      <c r="AA653" s="7">
        <f>Tabla1[[#This Row],[Columna1]]-Tabla1[[#This Row],[IMPORTE TOTAL]]</f>
        <v>0</v>
      </c>
    </row>
    <row r="654" spans="1:27" x14ac:dyDescent="0.2">
      <c r="A654">
        <v>2023</v>
      </c>
      <c r="B654" t="s">
        <v>63</v>
      </c>
      <c r="C654" s="51">
        <v>45227</v>
      </c>
      <c r="D654" s="3" t="s">
        <v>42</v>
      </c>
      <c r="E654" s="3" t="s">
        <v>46</v>
      </c>
      <c r="F654" s="3" t="s">
        <v>46</v>
      </c>
      <c r="G654" s="4">
        <v>0.39583333333333331</v>
      </c>
      <c r="H654" s="4">
        <v>0.60416666666666663</v>
      </c>
      <c r="I654" t="s">
        <v>30</v>
      </c>
      <c r="J654">
        <v>1</v>
      </c>
      <c r="L654" s="46"/>
      <c r="P654">
        <v>150</v>
      </c>
      <c r="Q654">
        <v>0</v>
      </c>
      <c r="R654">
        <v>0</v>
      </c>
      <c r="S654" s="7">
        <f>Tabla1[[#This Row],[TARIFA]]+Tabla1[[#This Row],[IMPORTE EXTRAS]]</f>
        <v>150</v>
      </c>
      <c r="T654" t="s">
        <v>45</v>
      </c>
      <c r="U654">
        <v>50</v>
      </c>
      <c r="V654">
        <v>100</v>
      </c>
      <c r="W654">
        <v>0</v>
      </c>
      <c r="X654">
        <v>0</v>
      </c>
      <c r="Z654" s="7">
        <f>SUM(Tabla1[[#This Row],[RES-A]:[EXTR-B]])</f>
        <v>150</v>
      </c>
      <c r="AA654" s="7">
        <f>Tabla1[[#This Row],[Columna1]]-Tabla1[[#This Row],[IMPORTE TOTAL]]</f>
        <v>0</v>
      </c>
    </row>
    <row r="655" spans="1:27" x14ac:dyDescent="0.2">
      <c r="A655">
        <v>2023</v>
      </c>
      <c r="B655" t="s">
        <v>63</v>
      </c>
      <c r="C655" s="51">
        <v>45227</v>
      </c>
      <c r="D655" s="3" t="s">
        <v>42</v>
      </c>
      <c r="E655" s="3" t="s">
        <v>46</v>
      </c>
      <c r="F655" s="3" t="s">
        <v>46</v>
      </c>
      <c r="G655" s="4">
        <v>0.64583333333333337</v>
      </c>
      <c r="H655" s="4">
        <v>0.10416666666666667</v>
      </c>
      <c r="I655" t="s">
        <v>53</v>
      </c>
      <c r="J655">
        <v>2</v>
      </c>
      <c r="L655" s="46"/>
      <c r="P655">
        <v>320</v>
      </c>
      <c r="Q655">
        <v>1</v>
      </c>
      <c r="R655">
        <v>80</v>
      </c>
      <c r="S655" s="7">
        <f>Tabla1[[#This Row],[TARIFA]]+Tabla1[[#This Row],[IMPORTE EXTRAS]]</f>
        <v>400</v>
      </c>
      <c r="T655" t="s">
        <v>45</v>
      </c>
      <c r="U655">
        <v>50</v>
      </c>
      <c r="V655">
        <v>270</v>
      </c>
      <c r="W655">
        <v>0</v>
      </c>
      <c r="X655">
        <v>80</v>
      </c>
      <c r="Z655" s="7">
        <f>SUM(Tabla1[[#This Row],[RES-A]:[EXTR-B]])</f>
        <v>400</v>
      </c>
      <c r="AA655" s="7">
        <f>Tabla1[[#This Row],[Columna1]]-Tabla1[[#This Row],[IMPORTE TOTAL]]</f>
        <v>0</v>
      </c>
    </row>
    <row r="656" spans="1:27" x14ac:dyDescent="0.2">
      <c r="A656">
        <v>2023</v>
      </c>
      <c r="B656" t="s">
        <v>63</v>
      </c>
      <c r="C656" s="51">
        <v>45228</v>
      </c>
      <c r="D656" s="3" t="s">
        <v>43</v>
      </c>
      <c r="E656" s="3" t="s">
        <v>46</v>
      </c>
      <c r="F656" s="3" t="s">
        <v>46</v>
      </c>
      <c r="G656" s="4">
        <v>0.39583333333333331</v>
      </c>
      <c r="H656" s="4">
        <v>0.60416666666666663</v>
      </c>
      <c r="I656" t="s">
        <v>30</v>
      </c>
      <c r="J656">
        <v>1</v>
      </c>
      <c r="L656" s="46"/>
      <c r="P656">
        <v>150</v>
      </c>
      <c r="Q656">
        <v>0</v>
      </c>
      <c r="R656">
        <v>0</v>
      </c>
      <c r="S656" s="7">
        <f>Tabla1[[#This Row],[TARIFA]]+Tabla1[[#This Row],[IMPORTE EXTRAS]]</f>
        <v>150</v>
      </c>
      <c r="T656" t="s">
        <v>45</v>
      </c>
      <c r="U656">
        <v>150</v>
      </c>
      <c r="V656">
        <v>0</v>
      </c>
      <c r="W656">
        <v>0</v>
      </c>
      <c r="X656">
        <v>0</v>
      </c>
      <c r="Z656" s="7">
        <f>SUM(Tabla1[[#This Row],[RES-A]:[EXTR-B]])</f>
        <v>150</v>
      </c>
      <c r="AA656" s="7">
        <f>Tabla1[[#This Row],[Columna1]]-Tabla1[[#This Row],[IMPORTE TOTAL]]</f>
        <v>0</v>
      </c>
    </row>
    <row r="657" spans="1:27" x14ac:dyDescent="0.2">
      <c r="A657">
        <v>2023</v>
      </c>
      <c r="B657" t="s">
        <v>63</v>
      </c>
      <c r="C657" s="51">
        <v>45230</v>
      </c>
      <c r="D657" s="3" t="s">
        <v>38</v>
      </c>
      <c r="E657" s="3" t="s">
        <v>46</v>
      </c>
      <c r="F657" s="3" t="s">
        <v>45</v>
      </c>
      <c r="G657" s="4">
        <v>0.89583333333333337</v>
      </c>
      <c r="H657" s="4">
        <v>0.10416666666666667</v>
      </c>
      <c r="I657" t="s">
        <v>35</v>
      </c>
      <c r="J657">
        <v>1</v>
      </c>
      <c r="L657" s="46"/>
      <c r="P657">
        <v>200</v>
      </c>
      <c r="Q657">
        <v>0</v>
      </c>
      <c r="R657">
        <v>0</v>
      </c>
      <c r="S657" s="7">
        <f>Tabla1[[#This Row],[TARIFA]]+Tabla1[[#This Row],[IMPORTE EXTRAS]]</f>
        <v>200</v>
      </c>
      <c r="T657" t="s">
        <v>45</v>
      </c>
      <c r="U657">
        <v>200</v>
      </c>
      <c r="V657">
        <v>0</v>
      </c>
      <c r="W657">
        <v>0</v>
      </c>
      <c r="X657" s="49">
        <v>0</v>
      </c>
      <c r="Y657" s="49" t="s">
        <v>326</v>
      </c>
      <c r="Z657" s="7">
        <f>SUM(Tabla1[[#This Row],[RES-A]:[EXTR-B]])</f>
        <v>200</v>
      </c>
      <c r="AA657" s="7">
        <f>Tabla1[[#This Row],[Columna1]]-Tabla1[[#This Row],[IMPORTE TOTAL]]</f>
        <v>0</v>
      </c>
    </row>
    <row r="658" spans="1:27" x14ac:dyDescent="0.2">
      <c r="A658">
        <v>2023</v>
      </c>
      <c r="B658" t="s">
        <v>64</v>
      </c>
      <c r="C658" s="51">
        <v>45233</v>
      </c>
      <c r="D658" s="3" t="s">
        <v>41</v>
      </c>
      <c r="E658" s="3" t="s">
        <v>46</v>
      </c>
      <c r="F658" s="3" t="s">
        <v>46</v>
      </c>
      <c r="G658" s="4">
        <v>0.64583333333333337</v>
      </c>
      <c r="H658" s="4">
        <v>0.10416666666666667</v>
      </c>
      <c r="I658" t="s">
        <v>53</v>
      </c>
      <c r="J658">
        <v>2</v>
      </c>
      <c r="L658" s="46"/>
      <c r="P658">
        <v>300</v>
      </c>
      <c r="Q658">
        <v>0</v>
      </c>
      <c r="R658">
        <v>0</v>
      </c>
      <c r="S658" s="7">
        <f>Tabla1[[#This Row],[TARIFA]]+Tabla1[[#This Row],[IMPORTE EXTRAS]]</f>
        <v>300</v>
      </c>
      <c r="T658" t="s">
        <v>45</v>
      </c>
      <c r="U658">
        <v>300</v>
      </c>
      <c r="V658">
        <v>0</v>
      </c>
      <c r="W658">
        <v>0</v>
      </c>
      <c r="X658" s="49">
        <v>0</v>
      </c>
      <c r="Y658" s="49"/>
      <c r="Z658" s="7">
        <f>SUM(Tabla1[[#This Row],[RES-A]:[EXTR-B]])</f>
        <v>300</v>
      </c>
      <c r="AA658" s="7">
        <f>Tabla1[[#This Row],[Columna1]]-Tabla1[[#This Row],[IMPORTE TOTAL]]</f>
        <v>0</v>
      </c>
    </row>
    <row r="659" spans="1:27" x14ac:dyDescent="0.2">
      <c r="A659">
        <v>2023</v>
      </c>
      <c r="B659" t="s">
        <v>64</v>
      </c>
      <c r="C659" s="51">
        <v>45234</v>
      </c>
      <c r="D659" s="3" t="s">
        <v>42</v>
      </c>
      <c r="E659" s="3" t="s">
        <v>46</v>
      </c>
      <c r="F659" s="3" t="s">
        <v>46</v>
      </c>
      <c r="G659" s="4">
        <v>0.39583333333333331</v>
      </c>
      <c r="H659" s="4">
        <v>0.60416666666666663</v>
      </c>
      <c r="I659" t="s">
        <v>30</v>
      </c>
      <c r="J659">
        <v>1</v>
      </c>
      <c r="L659" s="46"/>
      <c r="P659">
        <v>150</v>
      </c>
      <c r="Q659">
        <v>0</v>
      </c>
      <c r="R659">
        <v>0</v>
      </c>
      <c r="S659" s="7">
        <f>Tabla1[[#This Row],[TARIFA]]+Tabla1[[#This Row],[IMPORTE EXTRAS]]</f>
        <v>150</v>
      </c>
      <c r="T659" t="s">
        <v>45</v>
      </c>
      <c r="U659">
        <v>50</v>
      </c>
      <c r="V659">
        <v>100</v>
      </c>
      <c r="W659">
        <v>0</v>
      </c>
      <c r="X659" s="49">
        <v>0</v>
      </c>
      <c r="Y659" s="49"/>
      <c r="Z659" s="7">
        <f>SUM(Tabla1[[#This Row],[RES-A]:[EXTR-B]])</f>
        <v>150</v>
      </c>
      <c r="AA659" s="7">
        <f>Tabla1[[#This Row],[Columna1]]-Tabla1[[#This Row],[IMPORTE TOTAL]]</f>
        <v>0</v>
      </c>
    </row>
    <row r="660" spans="1:27" x14ac:dyDescent="0.2">
      <c r="A660">
        <v>2023</v>
      </c>
      <c r="B660" t="s">
        <v>64</v>
      </c>
      <c r="C660" s="51">
        <v>45234</v>
      </c>
      <c r="D660" s="3" t="s">
        <v>42</v>
      </c>
      <c r="E660" s="3" t="s">
        <v>46</v>
      </c>
      <c r="F660" s="3" t="s">
        <v>46</v>
      </c>
      <c r="G660" s="4">
        <v>0.64583333333333337</v>
      </c>
      <c r="H660" s="4">
        <v>0.85416666666666663</v>
      </c>
      <c r="I660" t="s">
        <v>31</v>
      </c>
      <c r="J660">
        <v>1</v>
      </c>
      <c r="L660" s="46"/>
      <c r="P660">
        <v>150</v>
      </c>
      <c r="Q660">
        <v>0</v>
      </c>
      <c r="R660">
        <v>0</v>
      </c>
      <c r="S660" s="7">
        <f>Tabla1[[#This Row],[TARIFA]]+Tabla1[[#This Row],[IMPORTE EXTRAS]]</f>
        <v>150</v>
      </c>
      <c r="T660" t="s">
        <v>45</v>
      </c>
      <c r="U660">
        <v>150</v>
      </c>
      <c r="V660">
        <v>0</v>
      </c>
      <c r="W660">
        <v>0</v>
      </c>
      <c r="X660" s="49">
        <v>0</v>
      </c>
      <c r="Y660" s="49"/>
      <c r="Z660" s="7">
        <f>SUM(Tabla1[[#This Row],[RES-A]:[EXTR-B]])</f>
        <v>150</v>
      </c>
      <c r="AA660" s="7">
        <f>Tabla1[[#This Row],[Columna1]]-Tabla1[[#This Row],[IMPORTE TOTAL]]</f>
        <v>0</v>
      </c>
    </row>
    <row r="661" spans="1:27" x14ac:dyDescent="0.2">
      <c r="A661">
        <v>2023</v>
      </c>
      <c r="B661" t="s">
        <v>64</v>
      </c>
      <c r="C661" s="51">
        <v>45234</v>
      </c>
      <c r="D661" s="3" t="s">
        <v>42</v>
      </c>
      <c r="E661" s="3" t="s">
        <v>46</v>
      </c>
      <c r="F661" s="3" t="s">
        <v>46</v>
      </c>
      <c r="G661" s="4">
        <v>0.89583333333333337</v>
      </c>
      <c r="H661" s="4">
        <v>0.10416666666666667</v>
      </c>
      <c r="I661" t="s">
        <v>35</v>
      </c>
      <c r="J661">
        <v>1</v>
      </c>
      <c r="L661" s="189"/>
      <c r="M661" s="190"/>
      <c r="P661">
        <v>200</v>
      </c>
      <c r="Q661">
        <v>0</v>
      </c>
      <c r="R661">
        <v>0</v>
      </c>
      <c r="S661" s="7">
        <f>Tabla1[[#This Row],[TARIFA]]+Tabla1[[#This Row],[IMPORTE EXTRAS]]</f>
        <v>200</v>
      </c>
      <c r="T661" t="s">
        <v>45</v>
      </c>
      <c r="U661">
        <v>50</v>
      </c>
      <c r="V661">
        <v>150</v>
      </c>
      <c r="W661">
        <v>0</v>
      </c>
      <c r="X661" s="49">
        <v>0</v>
      </c>
      <c r="Y661" s="49"/>
      <c r="Z661" s="7">
        <f>SUM(Tabla1[[#This Row],[RES-A]:[EXTR-B]])</f>
        <v>200</v>
      </c>
      <c r="AA661" s="7">
        <f>Tabla1[[#This Row],[Columna1]]-Tabla1[[#This Row],[IMPORTE TOTAL]]</f>
        <v>0</v>
      </c>
    </row>
    <row r="662" spans="1:27" x14ac:dyDescent="0.2">
      <c r="A662">
        <v>2023</v>
      </c>
      <c r="B662" t="s">
        <v>64</v>
      </c>
      <c r="C662" s="51">
        <v>45235</v>
      </c>
      <c r="D662" s="3" t="s">
        <v>43</v>
      </c>
      <c r="E662" s="3" t="s">
        <v>46</v>
      </c>
      <c r="F662" s="3" t="s">
        <v>46</v>
      </c>
      <c r="G662" s="4">
        <v>0.39583333333333331</v>
      </c>
      <c r="H662" s="4">
        <v>0.60416666666666663</v>
      </c>
      <c r="I662" t="s">
        <v>30</v>
      </c>
      <c r="J662">
        <v>1</v>
      </c>
      <c r="L662" s="46"/>
      <c r="P662">
        <v>150</v>
      </c>
      <c r="Q662">
        <v>0</v>
      </c>
      <c r="R662">
        <v>0</v>
      </c>
      <c r="S662" s="7">
        <f>Tabla1[[#This Row],[TARIFA]]+Tabla1[[#This Row],[IMPORTE EXTRAS]]</f>
        <v>150</v>
      </c>
      <c r="T662" t="s">
        <v>45</v>
      </c>
      <c r="U662">
        <v>50</v>
      </c>
      <c r="V662">
        <v>100</v>
      </c>
      <c r="W662">
        <v>0</v>
      </c>
      <c r="X662" s="49">
        <v>0</v>
      </c>
      <c r="Y662" s="49"/>
      <c r="Z662" s="7">
        <f>SUM(Tabla1[[#This Row],[RES-A]:[EXTR-B]])</f>
        <v>150</v>
      </c>
      <c r="AA662" s="7">
        <f>Tabla1[[#This Row],[Columna1]]-Tabla1[[#This Row],[IMPORTE TOTAL]]</f>
        <v>0</v>
      </c>
    </row>
    <row r="663" spans="1:27" x14ac:dyDescent="0.2">
      <c r="A663">
        <v>2023</v>
      </c>
      <c r="B663" t="s">
        <v>64</v>
      </c>
      <c r="C663" s="51">
        <v>45235</v>
      </c>
      <c r="D663" s="3" t="s">
        <v>43</v>
      </c>
      <c r="E663" s="3" t="s">
        <v>46</v>
      </c>
      <c r="F663" s="3" t="s">
        <v>46</v>
      </c>
      <c r="G663" s="4">
        <v>0.64583333333333337</v>
      </c>
      <c r="H663" s="4">
        <v>0.85416666666666663</v>
      </c>
      <c r="I663" t="s">
        <v>31</v>
      </c>
      <c r="J663">
        <v>1</v>
      </c>
      <c r="L663" s="46"/>
      <c r="P663">
        <v>150</v>
      </c>
      <c r="Q663">
        <v>0</v>
      </c>
      <c r="R663">
        <v>0</v>
      </c>
      <c r="S663" s="7">
        <f>Tabla1[[#This Row],[TARIFA]]+Tabla1[[#This Row],[IMPORTE EXTRAS]]</f>
        <v>150</v>
      </c>
      <c r="T663" t="s">
        <v>45</v>
      </c>
      <c r="U663">
        <v>50</v>
      </c>
      <c r="V663">
        <v>100</v>
      </c>
      <c r="W663">
        <v>0</v>
      </c>
      <c r="X663" s="49">
        <v>0</v>
      </c>
      <c r="Y663" s="49"/>
      <c r="Z663" s="7">
        <f>SUM(Tabla1[[#This Row],[RES-A]:[EXTR-B]])</f>
        <v>150</v>
      </c>
      <c r="AA663" s="7">
        <f>Tabla1[[#This Row],[Columna1]]-Tabla1[[#This Row],[IMPORTE TOTAL]]</f>
        <v>0</v>
      </c>
    </row>
    <row r="664" spans="1:27" x14ac:dyDescent="0.2">
      <c r="A664">
        <v>2023</v>
      </c>
      <c r="B664" t="s">
        <v>64</v>
      </c>
      <c r="C664" s="51">
        <v>45240</v>
      </c>
      <c r="D664" s="3" t="s">
        <v>41</v>
      </c>
      <c r="E664" s="3" t="s">
        <v>46</v>
      </c>
      <c r="F664" s="3" t="s">
        <v>46</v>
      </c>
      <c r="G664" s="4">
        <v>0.89583333333333337</v>
      </c>
      <c r="H664" s="4">
        <v>0.10416666666666667</v>
      </c>
      <c r="I664" t="s">
        <v>35</v>
      </c>
      <c r="J664">
        <v>1</v>
      </c>
      <c r="L664" s="46"/>
      <c r="P664">
        <v>200</v>
      </c>
      <c r="Q664">
        <v>1</v>
      </c>
      <c r="R664">
        <v>60</v>
      </c>
      <c r="S664" s="7">
        <f>Tabla1[[#This Row],[TARIFA]]+Tabla1[[#This Row],[IMPORTE EXTRAS]]</f>
        <v>260</v>
      </c>
      <c r="T664" t="s">
        <v>45</v>
      </c>
      <c r="U664">
        <v>200</v>
      </c>
      <c r="V664">
        <v>0</v>
      </c>
      <c r="W664">
        <v>0</v>
      </c>
      <c r="X664" s="49">
        <v>60</v>
      </c>
      <c r="Y664" s="49"/>
      <c r="Z664" s="7">
        <f>SUM(Tabla1[[#This Row],[RES-A]:[EXTR-B]])</f>
        <v>260</v>
      </c>
      <c r="AA664" s="7">
        <f>Tabla1[[#This Row],[Columna1]]-Tabla1[[#This Row],[IMPORTE TOTAL]]</f>
        <v>0</v>
      </c>
    </row>
    <row r="665" spans="1:27" x14ac:dyDescent="0.2">
      <c r="A665">
        <v>2023</v>
      </c>
      <c r="B665" t="s">
        <v>64</v>
      </c>
      <c r="C665" s="51">
        <v>45241</v>
      </c>
      <c r="D665" s="3" t="s">
        <v>42</v>
      </c>
      <c r="E665" s="3" t="s">
        <v>46</v>
      </c>
      <c r="F665" s="3" t="s">
        <v>46</v>
      </c>
      <c r="G665" s="4">
        <v>0.39583333333333331</v>
      </c>
      <c r="H665" s="4">
        <v>0.60416666666666663</v>
      </c>
      <c r="I665" t="s">
        <v>30</v>
      </c>
      <c r="J665">
        <v>1</v>
      </c>
      <c r="L665" s="46"/>
      <c r="P665">
        <v>150</v>
      </c>
      <c r="Q665">
        <v>0</v>
      </c>
      <c r="R665">
        <v>0</v>
      </c>
      <c r="S665" s="7">
        <f>Tabla1[[#This Row],[TARIFA]]+Tabla1[[#This Row],[IMPORTE EXTRAS]]</f>
        <v>150</v>
      </c>
      <c r="T665" t="s">
        <v>45</v>
      </c>
      <c r="U665">
        <v>50</v>
      </c>
      <c r="V665">
        <v>100</v>
      </c>
      <c r="W665">
        <v>0</v>
      </c>
      <c r="X665" s="49">
        <v>0</v>
      </c>
      <c r="Y665" s="49"/>
      <c r="Z665" s="7">
        <f>SUM(Tabla1[[#This Row],[RES-A]:[EXTR-B]])</f>
        <v>150</v>
      </c>
      <c r="AA665" s="7">
        <f>Tabla1[[#This Row],[Columna1]]-Tabla1[[#This Row],[IMPORTE TOTAL]]</f>
        <v>0</v>
      </c>
    </row>
    <row r="666" spans="1:27" x14ac:dyDescent="0.2">
      <c r="A666">
        <v>2023</v>
      </c>
      <c r="B666" t="s">
        <v>64</v>
      </c>
      <c r="C666" s="51">
        <v>45241</v>
      </c>
      <c r="D666" s="3" t="s">
        <v>42</v>
      </c>
      <c r="E666" s="3" t="s">
        <v>46</v>
      </c>
      <c r="F666" s="3" t="s">
        <v>46</v>
      </c>
      <c r="G666" s="4">
        <v>0.64583333333333337</v>
      </c>
      <c r="H666" s="4">
        <v>0.85416666666666663</v>
      </c>
      <c r="I666" t="s">
        <v>31</v>
      </c>
      <c r="J666">
        <v>1</v>
      </c>
      <c r="L666" s="46"/>
      <c r="P666">
        <v>150</v>
      </c>
      <c r="Q666">
        <v>0</v>
      </c>
      <c r="R666">
        <v>0</v>
      </c>
      <c r="S666" s="7">
        <f>Tabla1[[#This Row],[TARIFA]]+Tabla1[[#This Row],[IMPORTE EXTRAS]]</f>
        <v>150</v>
      </c>
      <c r="T666" t="s">
        <v>45</v>
      </c>
      <c r="U666">
        <v>150</v>
      </c>
      <c r="V666">
        <v>0</v>
      </c>
      <c r="W666">
        <v>0</v>
      </c>
      <c r="X666" s="49">
        <v>0</v>
      </c>
      <c r="Y666" s="49"/>
      <c r="Z666" s="7">
        <f>SUM(Tabla1[[#This Row],[RES-A]:[EXTR-B]])</f>
        <v>150</v>
      </c>
      <c r="AA666" s="7">
        <f>Tabla1[[#This Row],[Columna1]]-Tabla1[[#This Row],[IMPORTE TOTAL]]</f>
        <v>0</v>
      </c>
    </row>
    <row r="667" spans="1:27" x14ac:dyDescent="0.2">
      <c r="A667">
        <v>2023</v>
      </c>
      <c r="B667" t="s">
        <v>64</v>
      </c>
      <c r="C667" s="51">
        <v>45241</v>
      </c>
      <c r="D667" s="3" t="s">
        <v>42</v>
      </c>
      <c r="E667" s="3" t="s">
        <v>46</v>
      </c>
      <c r="F667" s="3" t="s">
        <v>46</v>
      </c>
      <c r="G667" s="4">
        <v>0.89583333333333337</v>
      </c>
      <c r="H667" s="4">
        <v>0.10416666666666667</v>
      </c>
      <c r="I667" t="s">
        <v>35</v>
      </c>
      <c r="J667">
        <v>1</v>
      </c>
      <c r="L667" s="46"/>
      <c r="P667">
        <v>0</v>
      </c>
      <c r="Q667">
        <v>0</v>
      </c>
      <c r="R667">
        <v>0</v>
      </c>
      <c r="S667" s="7">
        <f>Tabla1[[#This Row],[TARIFA]]+Tabla1[[#This Row],[IMPORTE EXTRAS]]</f>
        <v>0</v>
      </c>
      <c r="T667" t="s">
        <v>45</v>
      </c>
      <c r="U667">
        <v>0</v>
      </c>
      <c r="V667">
        <v>0</v>
      </c>
      <c r="W667">
        <v>0</v>
      </c>
      <c r="X667" s="49">
        <v>0</v>
      </c>
      <c r="Y667" s="49"/>
      <c r="Z667" s="7">
        <f>SUM(Tabla1[[#This Row],[RES-A]:[EXTR-B]])</f>
        <v>0</v>
      </c>
      <c r="AA667" s="7">
        <f>Tabla1[[#This Row],[Columna1]]-Tabla1[[#This Row],[IMPORTE TOTAL]]</f>
        <v>0</v>
      </c>
    </row>
    <row r="668" spans="1:27" x14ac:dyDescent="0.2">
      <c r="A668">
        <v>2023</v>
      </c>
      <c r="B668" t="s">
        <v>64</v>
      </c>
      <c r="C668" s="51">
        <v>45242</v>
      </c>
      <c r="D668" s="3" t="s">
        <v>43</v>
      </c>
      <c r="E668" s="3" t="s">
        <v>46</v>
      </c>
      <c r="F668" s="3" t="s">
        <v>46</v>
      </c>
      <c r="G668" s="4">
        <v>0.39583333333333331</v>
      </c>
      <c r="H668" s="4">
        <v>0.60416666666666663</v>
      </c>
      <c r="I668" t="s">
        <v>30</v>
      </c>
      <c r="J668">
        <v>1</v>
      </c>
      <c r="L668" s="46"/>
      <c r="P668">
        <v>150</v>
      </c>
      <c r="Q668">
        <v>0</v>
      </c>
      <c r="R668">
        <v>0</v>
      </c>
      <c r="S668" s="7">
        <f>Tabla1[[#This Row],[TARIFA]]+Tabla1[[#This Row],[IMPORTE EXTRAS]]</f>
        <v>150</v>
      </c>
      <c r="T668" t="s">
        <v>45</v>
      </c>
      <c r="U668">
        <v>50</v>
      </c>
      <c r="V668">
        <v>100</v>
      </c>
      <c r="W668">
        <v>0</v>
      </c>
      <c r="X668" s="49">
        <v>0</v>
      </c>
      <c r="Y668" s="49"/>
      <c r="Z668" s="7">
        <f>SUM(Tabla1[[#This Row],[RES-A]:[EXTR-B]])</f>
        <v>150</v>
      </c>
      <c r="AA668" s="7">
        <f>Tabla1[[#This Row],[Columna1]]-Tabla1[[#This Row],[IMPORTE TOTAL]]</f>
        <v>0</v>
      </c>
    </row>
    <row r="669" spans="1:27" x14ac:dyDescent="0.2">
      <c r="A669">
        <v>2023</v>
      </c>
      <c r="B669" t="s">
        <v>64</v>
      </c>
      <c r="C669" s="51">
        <v>45242</v>
      </c>
      <c r="D669" s="3" t="s">
        <v>43</v>
      </c>
      <c r="E669" s="3" t="s">
        <v>46</v>
      </c>
      <c r="F669" s="3" t="s">
        <v>46</v>
      </c>
      <c r="G669" s="4">
        <v>0.64583333333333337</v>
      </c>
      <c r="H669" s="4">
        <v>0.85416666666666663</v>
      </c>
      <c r="I669" t="s">
        <v>31</v>
      </c>
      <c r="J669">
        <v>1</v>
      </c>
      <c r="L669" s="46"/>
      <c r="P669">
        <v>150</v>
      </c>
      <c r="Q669">
        <v>0</v>
      </c>
      <c r="R669">
        <v>0</v>
      </c>
      <c r="S669" s="7">
        <f>Tabla1[[#This Row],[TARIFA]]+Tabla1[[#This Row],[IMPORTE EXTRAS]]</f>
        <v>150</v>
      </c>
      <c r="T669" t="s">
        <v>45</v>
      </c>
      <c r="U669">
        <v>50</v>
      </c>
      <c r="V669">
        <v>100</v>
      </c>
      <c r="W669">
        <v>0</v>
      </c>
      <c r="X669" s="49">
        <v>0</v>
      </c>
      <c r="Y669" s="49"/>
      <c r="Z669" s="7">
        <f>SUM(Tabla1[[#This Row],[RES-A]:[EXTR-B]])</f>
        <v>150</v>
      </c>
      <c r="AA669" s="7">
        <f>Tabla1[[#This Row],[Columna1]]-Tabla1[[#This Row],[IMPORTE TOTAL]]</f>
        <v>0</v>
      </c>
    </row>
    <row r="670" spans="1:27" x14ac:dyDescent="0.2">
      <c r="A670">
        <v>2023</v>
      </c>
      <c r="B670" t="s">
        <v>64</v>
      </c>
      <c r="C670" s="51">
        <v>45254</v>
      </c>
      <c r="D670" s="3" t="s">
        <v>42</v>
      </c>
      <c r="E670" s="3" t="s">
        <v>46</v>
      </c>
      <c r="F670" s="3" t="s">
        <v>46</v>
      </c>
      <c r="G670" s="4">
        <v>0.64583333333333337</v>
      </c>
      <c r="H670" s="4">
        <v>0.85416666666666663</v>
      </c>
      <c r="I670" t="s">
        <v>31</v>
      </c>
      <c r="J670">
        <v>1</v>
      </c>
      <c r="L670" s="46"/>
      <c r="P670">
        <v>150</v>
      </c>
      <c r="Q670">
        <v>0</v>
      </c>
      <c r="R670">
        <v>0</v>
      </c>
      <c r="S670" s="7">
        <f>Tabla1[[#This Row],[TARIFA]]+Tabla1[[#This Row],[IMPORTE EXTRAS]]</f>
        <v>150</v>
      </c>
      <c r="T670" t="s">
        <v>45</v>
      </c>
      <c r="U670">
        <v>50</v>
      </c>
      <c r="V670">
        <v>100</v>
      </c>
      <c r="W670">
        <v>0</v>
      </c>
      <c r="X670" s="49">
        <v>0</v>
      </c>
      <c r="Y670" s="49"/>
      <c r="Z670" s="7">
        <f>SUM(Tabla1[[#This Row],[RES-A]:[EXTR-B]])</f>
        <v>150</v>
      </c>
      <c r="AA670" s="7">
        <f>Tabla1[[#This Row],[Columna1]]-Tabla1[[#This Row],[IMPORTE TOTAL]]</f>
        <v>0</v>
      </c>
    </row>
    <row r="671" spans="1:27" x14ac:dyDescent="0.2">
      <c r="A671">
        <v>2023</v>
      </c>
      <c r="B671" t="s">
        <v>64</v>
      </c>
      <c r="C671" s="51">
        <v>45255</v>
      </c>
      <c r="D671" s="3" t="s">
        <v>42</v>
      </c>
      <c r="E671" s="3" t="s">
        <v>46</v>
      </c>
      <c r="F671" s="3" t="s">
        <v>46</v>
      </c>
      <c r="G671" s="4">
        <v>0.39583333333333331</v>
      </c>
      <c r="H671" s="4">
        <v>0.85416666666666663</v>
      </c>
      <c r="I671" t="s">
        <v>32</v>
      </c>
      <c r="J671">
        <v>2</v>
      </c>
      <c r="L671" s="46"/>
      <c r="P671">
        <v>290</v>
      </c>
      <c r="Q671">
        <v>0</v>
      </c>
      <c r="R671">
        <v>0</v>
      </c>
      <c r="S671" s="7">
        <f>Tabla1[[#This Row],[TARIFA]]+Tabla1[[#This Row],[IMPORTE EXTRAS]]</f>
        <v>290</v>
      </c>
      <c r="T671" t="s">
        <v>45</v>
      </c>
      <c r="U671">
        <v>50</v>
      </c>
      <c r="V671">
        <v>240</v>
      </c>
      <c r="W671">
        <v>0</v>
      </c>
      <c r="X671" s="49">
        <v>0</v>
      </c>
      <c r="Y671" s="49"/>
      <c r="Z671" s="7">
        <f>SUM(Tabla1[[#This Row],[RES-A]:[EXTR-B]])</f>
        <v>290</v>
      </c>
      <c r="AA671" s="7">
        <f>Tabla1[[#This Row],[Columna1]]-Tabla1[[#This Row],[IMPORTE TOTAL]]</f>
        <v>0</v>
      </c>
    </row>
    <row r="672" spans="1:27" x14ac:dyDescent="0.2">
      <c r="A672">
        <v>2023</v>
      </c>
      <c r="B672" t="s">
        <v>64</v>
      </c>
      <c r="C672" s="51">
        <v>45255</v>
      </c>
      <c r="D672" s="3" t="s">
        <v>42</v>
      </c>
      <c r="E672" s="3" t="s">
        <v>46</v>
      </c>
      <c r="F672" s="3" t="s">
        <v>46</v>
      </c>
      <c r="G672" s="4">
        <v>0.89583333333333337</v>
      </c>
      <c r="H672" s="4">
        <v>0.10416666666666667</v>
      </c>
      <c r="I672" t="s">
        <v>35</v>
      </c>
      <c r="J672">
        <v>1</v>
      </c>
      <c r="L672" s="46"/>
      <c r="P672">
        <v>200</v>
      </c>
      <c r="Q672">
        <v>0</v>
      </c>
      <c r="R672">
        <v>0</v>
      </c>
      <c r="S672" s="7">
        <f>Tabla1[[#This Row],[TARIFA]]+Tabla1[[#This Row],[IMPORTE EXTRAS]]</f>
        <v>200</v>
      </c>
      <c r="T672" t="s">
        <v>45</v>
      </c>
      <c r="U672">
        <v>50</v>
      </c>
      <c r="V672">
        <v>150</v>
      </c>
      <c r="W672">
        <v>0</v>
      </c>
      <c r="X672" s="49">
        <v>0</v>
      </c>
      <c r="Y672" s="49"/>
      <c r="Z672" s="7">
        <f>SUM(Tabla1[[#This Row],[RES-A]:[EXTR-B]])</f>
        <v>200</v>
      </c>
      <c r="AA672" s="7">
        <f>Tabla1[[#This Row],[Columna1]]-Tabla1[[#This Row],[IMPORTE TOTAL]]</f>
        <v>0</v>
      </c>
    </row>
    <row r="673" spans="1:27" x14ac:dyDescent="0.2">
      <c r="A673">
        <v>2023</v>
      </c>
      <c r="B673" t="s">
        <v>64</v>
      </c>
      <c r="C673" s="51">
        <v>45256</v>
      </c>
      <c r="D673" s="3" t="s">
        <v>43</v>
      </c>
      <c r="E673" s="3" t="s">
        <v>46</v>
      </c>
      <c r="F673" s="3" t="s">
        <v>46</v>
      </c>
      <c r="G673" s="4">
        <v>0.39583333333333331</v>
      </c>
      <c r="H673" s="4">
        <v>0.85416666666666663</v>
      </c>
      <c r="I673" t="s">
        <v>32</v>
      </c>
      <c r="J673">
        <v>2</v>
      </c>
      <c r="L673" s="46"/>
      <c r="P673">
        <v>290</v>
      </c>
      <c r="Q673">
        <v>0</v>
      </c>
      <c r="R673">
        <v>0</v>
      </c>
      <c r="S673" s="7">
        <f>Tabla1[[#This Row],[TARIFA]]+Tabla1[[#This Row],[IMPORTE EXTRAS]]</f>
        <v>290</v>
      </c>
      <c r="T673" t="s">
        <v>45</v>
      </c>
      <c r="U673">
        <v>50</v>
      </c>
      <c r="V673">
        <v>240</v>
      </c>
      <c r="W673">
        <v>0</v>
      </c>
      <c r="X673" s="49">
        <v>0</v>
      </c>
      <c r="Y673" s="49"/>
      <c r="Z673" s="7">
        <f>SUM(Tabla1[[#This Row],[RES-A]:[EXTR-B]])</f>
        <v>290</v>
      </c>
      <c r="AA673" s="7">
        <f>Tabla1[[#This Row],[Columna1]]-Tabla1[[#This Row],[IMPORTE TOTAL]]</f>
        <v>0</v>
      </c>
    </row>
    <row r="674" spans="1:27" x14ac:dyDescent="0.2">
      <c r="A674">
        <v>2023</v>
      </c>
      <c r="B674" t="s">
        <v>64</v>
      </c>
      <c r="C674" s="51">
        <v>45259</v>
      </c>
      <c r="D674" s="3" t="s">
        <v>39</v>
      </c>
      <c r="E674" s="3" t="s">
        <v>45</v>
      </c>
      <c r="F674" s="3" t="s">
        <v>46</v>
      </c>
      <c r="G674" s="4">
        <v>0.39583333333333331</v>
      </c>
      <c r="H674" s="4">
        <v>0.85416666666666663</v>
      </c>
      <c r="I674" t="s">
        <v>32</v>
      </c>
      <c r="J674">
        <v>2</v>
      </c>
      <c r="L674" s="46"/>
      <c r="P674">
        <v>290</v>
      </c>
      <c r="Q674">
        <v>0</v>
      </c>
      <c r="R674">
        <v>0</v>
      </c>
      <c r="S674" s="7">
        <f>Tabla1[[#This Row],[TARIFA]]+Tabla1[[#This Row],[IMPORTE EXTRAS]]</f>
        <v>290</v>
      </c>
      <c r="T674" t="s">
        <v>45</v>
      </c>
      <c r="U674">
        <v>290</v>
      </c>
      <c r="V674">
        <v>0</v>
      </c>
      <c r="W674">
        <v>0</v>
      </c>
      <c r="X674" s="49">
        <v>0</v>
      </c>
      <c r="Y674" s="49"/>
      <c r="Z674" s="7">
        <f>SUM(Tabla1[[#This Row],[RES-A]:[EXTR-B]])</f>
        <v>290</v>
      </c>
      <c r="AA674" s="7">
        <f>Tabla1[[#This Row],[Columna1]]-Tabla1[[#This Row],[IMPORTE TOTAL]]</f>
        <v>0</v>
      </c>
    </row>
    <row r="675" spans="1:27" x14ac:dyDescent="0.2">
      <c r="A675">
        <v>2023</v>
      </c>
      <c r="B675" t="s">
        <v>65</v>
      </c>
      <c r="C675" s="51">
        <v>45261</v>
      </c>
      <c r="D675" s="3" t="s">
        <v>41</v>
      </c>
      <c r="E675" s="3" t="s">
        <v>46</v>
      </c>
      <c r="F675" s="3" t="s">
        <v>46</v>
      </c>
      <c r="G675" s="4">
        <v>0.89583333333333337</v>
      </c>
      <c r="H675" s="4">
        <v>0.10416666666666667</v>
      </c>
      <c r="I675" t="s">
        <v>35</v>
      </c>
      <c r="J675">
        <v>1</v>
      </c>
      <c r="L675" s="46"/>
      <c r="P675">
        <v>200</v>
      </c>
      <c r="Q675">
        <v>0</v>
      </c>
      <c r="R675">
        <v>0</v>
      </c>
      <c r="S675" s="7">
        <f>Tabla1[[#This Row],[TARIFA]]+Tabla1[[#This Row],[IMPORTE EXTRAS]]</f>
        <v>200</v>
      </c>
      <c r="T675" t="s">
        <v>45</v>
      </c>
      <c r="U675">
        <v>50</v>
      </c>
      <c r="V675">
        <v>150</v>
      </c>
      <c r="W675">
        <v>0</v>
      </c>
      <c r="X675" s="49">
        <v>0</v>
      </c>
      <c r="Y675" s="49"/>
      <c r="Z675" s="7">
        <f>SUM(Tabla1[[#This Row],[RES-A]:[EXTR-B]])</f>
        <v>200</v>
      </c>
      <c r="AA675" s="7">
        <f>Tabla1[[#This Row],[Columna1]]-Tabla1[[#This Row],[IMPORTE TOTAL]]</f>
        <v>0</v>
      </c>
    </row>
    <row r="676" spans="1:27" x14ac:dyDescent="0.2">
      <c r="A676">
        <v>2023</v>
      </c>
      <c r="B676" t="s">
        <v>65</v>
      </c>
      <c r="C676" s="51">
        <v>45262</v>
      </c>
      <c r="D676" s="3" t="s">
        <v>43</v>
      </c>
      <c r="E676" s="3" t="s">
        <v>46</v>
      </c>
      <c r="F676" s="3" t="s">
        <v>46</v>
      </c>
      <c r="G676" s="4">
        <v>0.39583333333333331</v>
      </c>
      <c r="H676" s="4">
        <v>0.10416666666666667</v>
      </c>
      <c r="I676" t="s">
        <v>32</v>
      </c>
      <c r="J676">
        <v>3</v>
      </c>
      <c r="L676" s="46"/>
      <c r="P676">
        <v>400</v>
      </c>
      <c r="Q676">
        <v>0</v>
      </c>
      <c r="R676">
        <v>0</v>
      </c>
      <c r="S676" s="7">
        <f>Tabla1[[#This Row],[TARIFA]]+Tabla1[[#This Row],[IMPORTE EXTRAS]]</f>
        <v>400</v>
      </c>
      <c r="T676" t="s">
        <v>45</v>
      </c>
      <c r="U676">
        <v>400</v>
      </c>
      <c r="V676">
        <v>0</v>
      </c>
      <c r="W676">
        <v>0</v>
      </c>
      <c r="X676" s="49">
        <v>0</v>
      </c>
      <c r="Y676" s="49"/>
      <c r="Z676" s="7">
        <f>SUM(Tabla1[[#This Row],[RES-A]:[EXTR-B]])</f>
        <v>400</v>
      </c>
      <c r="AA676" s="7">
        <f>Tabla1[[#This Row],[Columna1]]-Tabla1[[#This Row],[IMPORTE TOTAL]]</f>
        <v>0</v>
      </c>
    </row>
    <row r="677" spans="1:27" x14ac:dyDescent="0.2">
      <c r="A677">
        <v>2023</v>
      </c>
      <c r="B677" t="s">
        <v>65</v>
      </c>
      <c r="C677" s="51">
        <v>45264</v>
      </c>
      <c r="D677" s="3" t="s">
        <v>37</v>
      </c>
      <c r="E677" s="3" t="s">
        <v>46</v>
      </c>
      <c r="F677" s="3" t="s">
        <v>46</v>
      </c>
      <c r="G677" s="4">
        <v>0.64583333333333337</v>
      </c>
      <c r="H677" s="4">
        <v>0.85416666666666663</v>
      </c>
      <c r="I677" t="s">
        <v>31</v>
      </c>
      <c r="J677">
        <v>1</v>
      </c>
      <c r="L677" s="46"/>
      <c r="P677">
        <v>95</v>
      </c>
      <c r="Q677">
        <v>0</v>
      </c>
      <c r="R677">
        <v>0</v>
      </c>
      <c r="S677" s="7">
        <f>Tabla1[[#This Row],[TARIFA]]+Tabla1[[#This Row],[IMPORTE EXTRAS]]</f>
        <v>95</v>
      </c>
      <c r="T677" t="s">
        <v>45</v>
      </c>
      <c r="U677">
        <v>50</v>
      </c>
      <c r="V677">
        <v>45</v>
      </c>
      <c r="W677">
        <v>0</v>
      </c>
      <c r="X677" s="49">
        <v>0</v>
      </c>
      <c r="Y677" s="49"/>
      <c r="Z677" s="7">
        <f>SUM(Tabla1[[#This Row],[RES-A]:[EXTR-B]])</f>
        <v>95</v>
      </c>
      <c r="AA677" s="7">
        <f>Tabla1[[#This Row],[Columna1]]-Tabla1[[#This Row],[IMPORTE TOTAL]]</f>
        <v>0</v>
      </c>
    </row>
    <row r="678" spans="1:27" x14ac:dyDescent="0.2">
      <c r="A678">
        <v>2023</v>
      </c>
      <c r="B678" t="s">
        <v>65</v>
      </c>
      <c r="C678" s="51">
        <v>45265</v>
      </c>
      <c r="D678" s="3" t="s">
        <v>38</v>
      </c>
      <c r="E678" s="3" t="s">
        <v>46</v>
      </c>
      <c r="F678" s="3" t="s">
        <v>46</v>
      </c>
      <c r="G678" s="4">
        <v>0.89583333333333337</v>
      </c>
      <c r="H678" s="4">
        <v>0.10416666666666667</v>
      </c>
      <c r="I678" t="s">
        <v>35</v>
      </c>
      <c r="J678">
        <v>1</v>
      </c>
      <c r="L678" s="46"/>
      <c r="P678">
        <v>0</v>
      </c>
      <c r="Q678">
        <v>0</v>
      </c>
      <c r="R678">
        <v>0</v>
      </c>
      <c r="S678" s="7">
        <f>Tabla1[[#This Row],[TARIFA]]+Tabla1[[#This Row],[IMPORTE EXTRAS]]</f>
        <v>0</v>
      </c>
      <c r="T678" t="s">
        <v>45</v>
      </c>
      <c r="U678">
        <v>0</v>
      </c>
      <c r="V678">
        <v>0</v>
      </c>
      <c r="W678">
        <v>0</v>
      </c>
      <c r="X678" s="49">
        <v>0</v>
      </c>
      <c r="Y678" s="49"/>
      <c r="Z678" s="7">
        <f>SUM(Tabla1[[#This Row],[RES-A]:[EXTR-B]])</f>
        <v>0</v>
      </c>
      <c r="AA678" s="7">
        <f>Tabla1[[#This Row],[Columna1]]-Tabla1[[#This Row],[IMPORTE TOTAL]]</f>
        <v>0</v>
      </c>
    </row>
    <row r="679" spans="1:27" x14ac:dyDescent="0.2">
      <c r="A679">
        <v>2023</v>
      </c>
      <c r="B679" t="s">
        <v>65</v>
      </c>
      <c r="C679" s="51">
        <v>45266</v>
      </c>
      <c r="D679" s="3" t="s">
        <v>39</v>
      </c>
      <c r="E679" s="3" t="s">
        <v>45</v>
      </c>
      <c r="F679" s="3" t="s">
        <v>46</v>
      </c>
      <c r="G679" s="4">
        <v>0.64583333333333337</v>
      </c>
      <c r="H679" s="4">
        <v>0.85416666666666663</v>
      </c>
      <c r="I679" t="s">
        <v>31</v>
      </c>
      <c r="J679">
        <v>1</v>
      </c>
      <c r="L679" s="46"/>
      <c r="P679">
        <v>150</v>
      </c>
      <c r="Q679">
        <v>0</v>
      </c>
      <c r="R679">
        <v>0</v>
      </c>
      <c r="S679" s="7">
        <f>Tabla1[[#This Row],[TARIFA]]+Tabla1[[#This Row],[IMPORTE EXTRAS]]</f>
        <v>150</v>
      </c>
      <c r="T679" t="s">
        <v>45</v>
      </c>
      <c r="U679">
        <v>50</v>
      </c>
      <c r="V679">
        <v>100</v>
      </c>
      <c r="W679">
        <v>0</v>
      </c>
      <c r="X679" s="49">
        <v>0</v>
      </c>
      <c r="Y679" s="49"/>
      <c r="Z679" s="7">
        <f>SUM(Tabla1[[#This Row],[RES-A]:[EXTR-B]])</f>
        <v>150</v>
      </c>
      <c r="AA679" s="7">
        <f>Tabla1[[#This Row],[Columna1]]-Tabla1[[#This Row],[IMPORTE TOTAL]]</f>
        <v>0</v>
      </c>
    </row>
    <row r="680" spans="1:27" x14ac:dyDescent="0.2">
      <c r="A680">
        <v>2023</v>
      </c>
      <c r="B680" t="s">
        <v>65</v>
      </c>
      <c r="C680" s="51">
        <v>45267</v>
      </c>
      <c r="D680" s="3" t="s">
        <v>40</v>
      </c>
      <c r="E680" s="3" t="s">
        <v>46</v>
      </c>
      <c r="F680" s="3" t="s">
        <v>46</v>
      </c>
      <c r="G680" s="4">
        <v>0.89583333333333337</v>
      </c>
      <c r="H680" s="4">
        <v>0.10416666666666667</v>
      </c>
      <c r="I680" t="s">
        <v>35</v>
      </c>
      <c r="J680">
        <v>1</v>
      </c>
      <c r="L680" s="46"/>
      <c r="P680">
        <v>200</v>
      </c>
      <c r="Q680">
        <v>1</v>
      </c>
      <c r="R680">
        <v>60</v>
      </c>
      <c r="S680" s="7">
        <f>Tabla1[[#This Row],[TARIFA]]+Tabla1[[#This Row],[IMPORTE EXTRAS]]</f>
        <v>260</v>
      </c>
      <c r="T680" t="s">
        <v>45</v>
      </c>
      <c r="U680">
        <v>50</v>
      </c>
      <c r="V680">
        <v>150</v>
      </c>
      <c r="W680">
        <v>0</v>
      </c>
      <c r="X680" s="49">
        <v>60</v>
      </c>
      <c r="Y680" s="49"/>
      <c r="Z680" s="7">
        <f>SUM(Tabla1[[#This Row],[RES-A]:[EXTR-B]])</f>
        <v>260</v>
      </c>
      <c r="AA680" s="7">
        <f>Tabla1[[#This Row],[Columna1]]-Tabla1[[#This Row],[IMPORTE TOTAL]]</f>
        <v>0</v>
      </c>
    </row>
    <row r="681" spans="1:27" x14ac:dyDescent="0.2">
      <c r="A681">
        <v>2023</v>
      </c>
      <c r="B681" t="s">
        <v>65</v>
      </c>
      <c r="C681" s="51">
        <v>45268</v>
      </c>
      <c r="D681" s="3" t="s">
        <v>41</v>
      </c>
      <c r="E681" s="3" t="s">
        <v>45</v>
      </c>
      <c r="F681" s="3" t="s">
        <v>46</v>
      </c>
      <c r="G681" s="4">
        <v>0.64583333333333337</v>
      </c>
      <c r="H681" s="4">
        <v>0.85416666666666663</v>
      </c>
      <c r="I681" t="s">
        <v>31</v>
      </c>
      <c r="J681">
        <v>1</v>
      </c>
      <c r="L681" s="46"/>
      <c r="P681">
        <v>150</v>
      </c>
      <c r="Q681">
        <v>0</v>
      </c>
      <c r="R681">
        <v>0</v>
      </c>
      <c r="S681" s="7">
        <f>Tabla1[[#This Row],[TARIFA]]+Tabla1[[#This Row],[IMPORTE EXTRAS]]</f>
        <v>150</v>
      </c>
      <c r="T681" t="s">
        <v>45</v>
      </c>
      <c r="U681">
        <v>0</v>
      </c>
      <c r="V681">
        <v>150</v>
      </c>
      <c r="W681">
        <v>0</v>
      </c>
      <c r="X681" s="49">
        <v>0</v>
      </c>
      <c r="Y681" s="49" t="s">
        <v>595</v>
      </c>
      <c r="Z681" s="7">
        <f>SUM(Tabla1[[#This Row],[RES-A]:[EXTR-B]])</f>
        <v>150</v>
      </c>
      <c r="AA681" s="7">
        <f>Tabla1[[#This Row],[Columna1]]-Tabla1[[#This Row],[IMPORTE TOTAL]]</f>
        <v>0</v>
      </c>
    </row>
    <row r="682" spans="1:27" x14ac:dyDescent="0.2">
      <c r="A682">
        <v>2023</v>
      </c>
      <c r="B682" t="s">
        <v>65</v>
      </c>
      <c r="C682" s="51">
        <v>45268</v>
      </c>
      <c r="D682" s="3" t="s">
        <v>41</v>
      </c>
      <c r="E682" s="3" t="s">
        <v>46</v>
      </c>
      <c r="F682" s="3" t="s">
        <v>46</v>
      </c>
      <c r="G682" s="4">
        <v>0.89583333333333337</v>
      </c>
      <c r="H682" s="4">
        <v>0.10416666666666667</v>
      </c>
      <c r="I682" t="s">
        <v>35</v>
      </c>
      <c r="J682">
        <v>1</v>
      </c>
      <c r="L682" s="46"/>
      <c r="P682">
        <v>200</v>
      </c>
      <c r="Q682">
        <v>1</v>
      </c>
      <c r="R682">
        <v>60</v>
      </c>
      <c r="S682" s="7">
        <f>Tabla1[[#This Row],[TARIFA]]+Tabla1[[#This Row],[IMPORTE EXTRAS]]</f>
        <v>260</v>
      </c>
      <c r="T682" t="s">
        <v>45</v>
      </c>
      <c r="U682">
        <v>50</v>
      </c>
      <c r="V682">
        <v>150</v>
      </c>
      <c r="W682">
        <v>0</v>
      </c>
      <c r="X682" s="49">
        <v>60</v>
      </c>
      <c r="Y682" s="49"/>
      <c r="Z682" s="7">
        <f>SUM(Tabla1[[#This Row],[RES-A]:[EXTR-B]])</f>
        <v>260</v>
      </c>
      <c r="AA682" s="7">
        <f>Tabla1[[#This Row],[Columna1]]-Tabla1[[#This Row],[IMPORTE TOTAL]]</f>
        <v>0</v>
      </c>
    </row>
    <row r="683" spans="1:27" x14ac:dyDescent="0.2">
      <c r="A683">
        <v>2023</v>
      </c>
      <c r="B683" t="s">
        <v>65</v>
      </c>
      <c r="C683" s="51">
        <v>45269</v>
      </c>
      <c r="D683" s="3" t="s">
        <v>42</v>
      </c>
      <c r="E683" s="3" t="s">
        <v>46</v>
      </c>
      <c r="F683" s="3" t="s">
        <v>46</v>
      </c>
      <c r="G683" s="4">
        <v>0.64583333333333337</v>
      </c>
      <c r="H683" s="4">
        <v>0.85416666666666663</v>
      </c>
      <c r="I683" t="s">
        <v>31</v>
      </c>
      <c r="J683">
        <v>1</v>
      </c>
      <c r="L683" s="46"/>
      <c r="P683">
        <v>150</v>
      </c>
      <c r="Q683">
        <v>0</v>
      </c>
      <c r="R683">
        <v>0</v>
      </c>
      <c r="S683" s="7">
        <f>Tabla1[[#This Row],[TARIFA]]+Tabla1[[#This Row],[IMPORTE EXTRAS]]</f>
        <v>150</v>
      </c>
      <c r="T683" t="s">
        <v>45</v>
      </c>
      <c r="U683">
        <v>50</v>
      </c>
      <c r="V683">
        <v>100</v>
      </c>
      <c r="W683">
        <v>0</v>
      </c>
      <c r="X683" s="49">
        <v>0</v>
      </c>
      <c r="Y683" s="49"/>
      <c r="Z683" s="7">
        <f>SUM(Tabla1[[#This Row],[RES-A]:[EXTR-B]])</f>
        <v>150</v>
      </c>
      <c r="AA683" s="7">
        <f>Tabla1[[#This Row],[Columna1]]-Tabla1[[#This Row],[IMPORTE TOTAL]]</f>
        <v>0</v>
      </c>
    </row>
    <row r="684" spans="1:27" x14ac:dyDescent="0.2">
      <c r="A684">
        <v>2023</v>
      </c>
      <c r="B684" t="s">
        <v>65</v>
      </c>
      <c r="C684" s="51">
        <v>45270</v>
      </c>
      <c r="D684" s="3" t="s">
        <v>43</v>
      </c>
      <c r="E684" s="3" t="s">
        <v>46</v>
      </c>
      <c r="F684" s="3" t="s">
        <v>46</v>
      </c>
      <c r="G684" s="4">
        <v>0.39583333333333331</v>
      </c>
      <c r="H684" s="4">
        <v>0.60416666666666663</v>
      </c>
      <c r="I684" t="s">
        <v>30</v>
      </c>
      <c r="J684">
        <v>1</v>
      </c>
      <c r="L684" s="46"/>
      <c r="P684">
        <v>150</v>
      </c>
      <c r="Q684">
        <v>0</v>
      </c>
      <c r="R684">
        <v>0</v>
      </c>
      <c r="S684" s="7">
        <f>Tabla1[[#This Row],[TARIFA]]+Tabla1[[#This Row],[IMPORTE EXTRAS]]</f>
        <v>150</v>
      </c>
      <c r="T684" t="s">
        <v>45</v>
      </c>
      <c r="U684">
        <v>50</v>
      </c>
      <c r="V684">
        <v>100</v>
      </c>
      <c r="W684">
        <v>0</v>
      </c>
      <c r="X684" s="49">
        <v>0</v>
      </c>
      <c r="Y684" s="49"/>
      <c r="Z684" s="7">
        <f>SUM(Tabla1[[#This Row],[RES-A]:[EXTR-B]])</f>
        <v>150</v>
      </c>
      <c r="AA684" s="7">
        <f>Tabla1[[#This Row],[Columna1]]-Tabla1[[#This Row],[IMPORTE TOTAL]]</f>
        <v>0</v>
      </c>
    </row>
    <row r="685" spans="1:27" x14ac:dyDescent="0.2">
      <c r="A685">
        <v>2023</v>
      </c>
      <c r="B685" t="s">
        <v>65</v>
      </c>
      <c r="C685" s="51">
        <v>45270</v>
      </c>
      <c r="D685" s="3" t="s">
        <v>43</v>
      </c>
      <c r="E685" s="3" t="s">
        <v>46</v>
      </c>
      <c r="F685" s="3" t="s">
        <v>46</v>
      </c>
      <c r="G685" s="4">
        <v>0.64583333333333337</v>
      </c>
      <c r="H685" s="4">
        <v>0.85416666666666663</v>
      </c>
      <c r="I685" t="s">
        <v>31</v>
      </c>
      <c r="J685">
        <v>1</v>
      </c>
      <c r="L685" s="46"/>
      <c r="P685">
        <v>150</v>
      </c>
      <c r="Q685">
        <v>1</v>
      </c>
      <c r="R685">
        <v>20</v>
      </c>
      <c r="S685" s="7">
        <f>Tabla1[[#This Row],[TARIFA]]+Tabla1[[#This Row],[IMPORTE EXTRAS]]</f>
        <v>170</v>
      </c>
      <c r="T685" t="s">
        <v>45</v>
      </c>
      <c r="U685">
        <v>50</v>
      </c>
      <c r="V685">
        <v>100</v>
      </c>
      <c r="W685">
        <v>0</v>
      </c>
      <c r="X685" s="49">
        <v>20</v>
      </c>
      <c r="Y685" s="49"/>
      <c r="Z685" s="7">
        <f>SUM(Tabla1[[#This Row],[RES-A]:[EXTR-B]])</f>
        <v>170</v>
      </c>
      <c r="AA685" s="7">
        <f>Tabla1[[#This Row],[Columna1]]-Tabla1[[#This Row],[IMPORTE TOTAL]]</f>
        <v>0</v>
      </c>
    </row>
    <row r="686" spans="1:27" x14ac:dyDescent="0.2">
      <c r="A686">
        <v>2023</v>
      </c>
      <c r="B686" t="s">
        <v>65</v>
      </c>
      <c r="C686" s="51">
        <v>45271</v>
      </c>
      <c r="D686" s="3" t="s">
        <v>37</v>
      </c>
      <c r="E686" s="3" t="s">
        <v>46</v>
      </c>
      <c r="F686" s="3" t="s">
        <v>46</v>
      </c>
      <c r="G686" s="4">
        <v>0.64583333333333337</v>
      </c>
      <c r="H686" s="4">
        <v>0.85416666666666663</v>
      </c>
      <c r="I686" t="s">
        <v>31</v>
      </c>
      <c r="J686">
        <v>1</v>
      </c>
      <c r="L686" s="46"/>
      <c r="P686">
        <v>95</v>
      </c>
      <c r="Q686">
        <v>0</v>
      </c>
      <c r="R686">
        <v>0</v>
      </c>
      <c r="S686" s="7">
        <f>Tabla1[[#This Row],[TARIFA]]+Tabla1[[#This Row],[IMPORTE EXTRAS]]</f>
        <v>95</v>
      </c>
      <c r="T686" t="s">
        <v>45</v>
      </c>
      <c r="U686">
        <v>50</v>
      </c>
      <c r="V686">
        <v>45</v>
      </c>
      <c r="W686">
        <v>0</v>
      </c>
      <c r="X686" s="49">
        <v>0</v>
      </c>
      <c r="Y686" s="49"/>
      <c r="Z686" s="7">
        <f>SUM(Tabla1[[#This Row],[RES-A]:[EXTR-B]])</f>
        <v>95</v>
      </c>
      <c r="AA686" s="7">
        <f>Tabla1[[#This Row],[Columna1]]-Tabla1[[#This Row],[IMPORTE TOTAL]]</f>
        <v>0</v>
      </c>
    </row>
    <row r="687" spans="1:27" x14ac:dyDescent="0.2">
      <c r="A687">
        <v>2023</v>
      </c>
      <c r="B687" t="s">
        <v>65</v>
      </c>
      <c r="C687" s="51">
        <v>45272</v>
      </c>
      <c r="D687" s="3" t="s">
        <v>38</v>
      </c>
      <c r="E687" s="3" t="s">
        <v>46</v>
      </c>
      <c r="F687" s="3" t="s">
        <v>46</v>
      </c>
      <c r="G687" s="4">
        <v>0.64583333333333337</v>
      </c>
      <c r="H687" s="4">
        <v>0.85416666666666663</v>
      </c>
      <c r="I687" t="s">
        <v>31</v>
      </c>
      <c r="J687">
        <v>1</v>
      </c>
      <c r="L687" s="46"/>
      <c r="P687">
        <v>95</v>
      </c>
      <c r="Q687">
        <v>0</v>
      </c>
      <c r="R687">
        <v>0</v>
      </c>
      <c r="S687" s="7">
        <f>Tabla1[[#This Row],[TARIFA]]+Tabla1[[#This Row],[IMPORTE EXTRAS]]</f>
        <v>95</v>
      </c>
      <c r="T687" t="s">
        <v>45</v>
      </c>
      <c r="U687">
        <v>95</v>
      </c>
      <c r="V687">
        <v>0</v>
      </c>
      <c r="W687">
        <v>0</v>
      </c>
      <c r="X687" s="49">
        <v>0</v>
      </c>
      <c r="Y687" s="49"/>
      <c r="Z687" s="7">
        <f>SUM(Tabla1[[#This Row],[RES-A]:[EXTR-B]])</f>
        <v>95</v>
      </c>
      <c r="AA687" s="7">
        <f>Tabla1[[#This Row],[Columna1]]-Tabla1[[#This Row],[IMPORTE TOTAL]]</f>
        <v>0</v>
      </c>
    </row>
    <row r="688" spans="1:27" x14ac:dyDescent="0.2">
      <c r="A688">
        <v>2023</v>
      </c>
      <c r="B688" t="s">
        <v>65</v>
      </c>
      <c r="C688" s="51">
        <v>45273</v>
      </c>
      <c r="D688" s="3" t="s">
        <v>39</v>
      </c>
      <c r="E688" s="3" t="s">
        <v>46</v>
      </c>
      <c r="F688" s="3" t="s">
        <v>46</v>
      </c>
      <c r="G688" s="4">
        <v>0.64583333333333337</v>
      </c>
      <c r="H688" s="4">
        <v>0.85416666666666663</v>
      </c>
      <c r="I688" t="s">
        <v>31</v>
      </c>
      <c r="J688">
        <v>1</v>
      </c>
      <c r="L688" s="46"/>
      <c r="P688">
        <v>95</v>
      </c>
      <c r="Q688">
        <v>0</v>
      </c>
      <c r="R688">
        <v>0</v>
      </c>
      <c r="S688" s="7">
        <f>Tabla1[[#This Row],[TARIFA]]+Tabla1[[#This Row],[IMPORTE EXTRAS]]</f>
        <v>95</v>
      </c>
      <c r="T688" t="s">
        <v>45</v>
      </c>
      <c r="U688">
        <v>95</v>
      </c>
      <c r="V688">
        <v>0</v>
      </c>
      <c r="W688">
        <v>0</v>
      </c>
      <c r="X688" s="49">
        <v>0</v>
      </c>
      <c r="Y688" s="49"/>
      <c r="Z688" s="7">
        <f>SUM(Tabla1[[#This Row],[RES-A]:[EXTR-B]])</f>
        <v>95</v>
      </c>
      <c r="AA688" s="7">
        <f>Tabla1[[#This Row],[Columna1]]-Tabla1[[#This Row],[IMPORTE TOTAL]]</f>
        <v>0</v>
      </c>
    </row>
    <row r="689" spans="1:27" x14ac:dyDescent="0.2">
      <c r="A689">
        <v>2023</v>
      </c>
      <c r="B689" t="s">
        <v>65</v>
      </c>
      <c r="C689" s="51">
        <v>45274</v>
      </c>
      <c r="D689" s="3" t="s">
        <v>40</v>
      </c>
      <c r="E689" s="3" t="s">
        <v>46</v>
      </c>
      <c r="F689" s="3" t="s">
        <v>46</v>
      </c>
      <c r="G689" s="4">
        <v>0.64583333333333337</v>
      </c>
      <c r="H689" s="4">
        <v>0.85416666666666663</v>
      </c>
      <c r="I689" t="s">
        <v>31</v>
      </c>
      <c r="J689">
        <v>1</v>
      </c>
      <c r="L689" s="46"/>
      <c r="P689">
        <v>95</v>
      </c>
      <c r="Q689">
        <v>0</v>
      </c>
      <c r="R689">
        <v>0</v>
      </c>
      <c r="S689" s="7">
        <f>Tabla1[[#This Row],[TARIFA]]+Tabla1[[#This Row],[IMPORTE EXTRAS]]</f>
        <v>95</v>
      </c>
      <c r="T689" t="s">
        <v>45</v>
      </c>
      <c r="U689">
        <v>50</v>
      </c>
      <c r="V689">
        <v>45</v>
      </c>
      <c r="W689">
        <v>0</v>
      </c>
      <c r="X689" s="49">
        <v>0</v>
      </c>
      <c r="Y689" s="49"/>
      <c r="Z689" s="7">
        <f>SUM(Tabla1[[#This Row],[RES-A]:[EXTR-B]])</f>
        <v>95</v>
      </c>
      <c r="AA689" s="7">
        <f>Tabla1[[#This Row],[Columna1]]-Tabla1[[#This Row],[IMPORTE TOTAL]]</f>
        <v>0</v>
      </c>
    </row>
    <row r="690" spans="1:27" x14ac:dyDescent="0.2">
      <c r="A690">
        <v>2023</v>
      </c>
      <c r="B690" t="s">
        <v>65</v>
      </c>
      <c r="C690" s="51">
        <v>45275</v>
      </c>
      <c r="D690" s="3" t="s">
        <v>41</v>
      </c>
      <c r="E690" s="3" t="s">
        <v>46</v>
      </c>
      <c r="F690" s="3" t="s">
        <v>46</v>
      </c>
      <c r="G690" s="4">
        <v>0.64583333333333337</v>
      </c>
      <c r="H690" s="4">
        <v>0.85416666666666663</v>
      </c>
      <c r="I690" t="s">
        <v>31</v>
      </c>
      <c r="J690">
        <v>1</v>
      </c>
      <c r="L690" s="46"/>
      <c r="P690">
        <v>140</v>
      </c>
      <c r="Q690">
        <v>0</v>
      </c>
      <c r="R690">
        <v>0</v>
      </c>
      <c r="S690" s="7">
        <f>Tabla1[[#This Row],[TARIFA]]+Tabla1[[#This Row],[IMPORTE EXTRAS]]</f>
        <v>140</v>
      </c>
      <c r="T690" t="s">
        <v>45</v>
      </c>
      <c r="U690">
        <v>50</v>
      </c>
      <c r="V690">
        <v>90</v>
      </c>
      <c r="W690">
        <v>0</v>
      </c>
      <c r="X690" s="49">
        <v>0</v>
      </c>
      <c r="Y690" s="49"/>
      <c r="Z690" s="7">
        <f>SUM(Tabla1[[#This Row],[RES-A]:[EXTR-B]])</f>
        <v>140</v>
      </c>
      <c r="AA690" s="7">
        <f>Tabla1[[#This Row],[Columna1]]-Tabla1[[#This Row],[IMPORTE TOTAL]]</f>
        <v>0</v>
      </c>
    </row>
    <row r="691" spans="1:27" x14ac:dyDescent="0.2">
      <c r="A691">
        <v>2023</v>
      </c>
      <c r="B691" t="s">
        <v>65</v>
      </c>
      <c r="C691" s="51">
        <v>45275</v>
      </c>
      <c r="D691" s="3" t="s">
        <v>41</v>
      </c>
      <c r="E691" s="3" t="s">
        <v>46</v>
      </c>
      <c r="F691" s="3" t="s">
        <v>46</v>
      </c>
      <c r="G691" s="4">
        <v>0.89583333333333337</v>
      </c>
      <c r="H691" s="4">
        <v>0.10416666666666667</v>
      </c>
      <c r="I691" t="s">
        <v>35</v>
      </c>
      <c r="J691">
        <v>1</v>
      </c>
      <c r="L691" s="46"/>
      <c r="P691">
        <v>150</v>
      </c>
      <c r="Q691">
        <v>1</v>
      </c>
      <c r="R691">
        <v>60</v>
      </c>
      <c r="S691" s="7">
        <f>Tabla1[[#This Row],[TARIFA]]+Tabla1[[#This Row],[IMPORTE EXTRAS]]</f>
        <v>210</v>
      </c>
      <c r="T691" t="s">
        <v>45</v>
      </c>
      <c r="U691">
        <v>150</v>
      </c>
      <c r="V691">
        <v>0</v>
      </c>
      <c r="W691">
        <v>60</v>
      </c>
      <c r="X691" s="49">
        <v>0</v>
      </c>
      <c r="Y691" s="49"/>
      <c r="Z691" s="7">
        <f>SUM(Tabla1[[#This Row],[RES-A]:[EXTR-B]])</f>
        <v>210</v>
      </c>
      <c r="AA691" s="7">
        <f>Tabla1[[#This Row],[Columna1]]-Tabla1[[#This Row],[IMPORTE TOTAL]]</f>
        <v>0</v>
      </c>
    </row>
    <row r="692" spans="1:27" x14ac:dyDescent="0.2">
      <c r="A692">
        <v>2023</v>
      </c>
      <c r="B692" t="s">
        <v>65</v>
      </c>
      <c r="C692" s="51">
        <v>45276</v>
      </c>
      <c r="D692" s="3" t="s">
        <v>42</v>
      </c>
      <c r="E692" s="3" t="s">
        <v>46</v>
      </c>
      <c r="F692" s="3" t="s">
        <v>46</v>
      </c>
      <c r="G692" s="4">
        <v>0.39583333333333331</v>
      </c>
      <c r="H692" s="4">
        <v>0.60416666666666663</v>
      </c>
      <c r="I692" t="s">
        <v>30</v>
      </c>
      <c r="J692">
        <v>1</v>
      </c>
      <c r="L692" s="187"/>
      <c r="M692" s="188"/>
      <c r="P692">
        <v>150</v>
      </c>
      <c r="Q692">
        <v>0</v>
      </c>
      <c r="R692">
        <v>0</v>
      </c>
      <c r="S692" s="7">
        <f>Tabla1[[#This Row],[TARIFA]]+Tabla1[[#This Row],[IMPORTE EXTRAS]]</f>
        <v>150</v>
      </c>
      <c r="T692" t="s">
        <v>45</v>
      </c>
      <c r="U692">
        <v>150</v>
      </c>
      <c r="V692">
        <v>0</v>
      </c>
      <c r="W692">
        <v>0</v>
      </c>
      <c r="X692" s="49">
        <v>0</v>
      </c>
      <c r="Y692" s="49" t="s">
        <v>614</v>
      </c>
      <c r="Z692" s="7">
        <f>SUM(Tabla1[[#This Row],[RES-A]:[EXTR-B]])</f>
        <v>150</v>
      </c>
      <c r="AA692" s="7">
        <f>Tabla1[[#This Row],[Columna1]]-Tabla1[[#This Row],[IMPORTE TOTAL]]</f>
        <v>0</v>
      </c>
    </row>
    <row r="693" spans="1:27" x14ac:dyDescent="0.2">
      <c r="A693">
        <v>2023</v>
      </c>
      <c r="B693" t="s">
        <v>65</v>
      </c>
      <c r="C693" s="51">
        <v>45276</v>
      </c>
      <c r="D693" s="3" t="s">
        <v>42</v>
      </c>
      <c r="E693" s="3" t="s">
        <v>46</v>
      </c>
      <c r="F693" s="3" t="s">
        <v>46</v>
      </c>
      <c r="G693" s="4">
        <v>0.64583333333333337</v>
      </c>
      <c r="H693" s="4">
        <v>0.85416666666666663</v>
      </c>
      <c r="I693" t="s">
        <v>31</v>
      </c>
      <c r="J693">
        <v>1</v>
      </c>
      <c r="L693" s="46"/>
      <c r="P693">
        <v>150</v>
      </c>
      <c r="Q693">
        <v>0</v>
      </c>
      <c r="R693">
        <v>0</v>
      </c>
      <c r="S693" s="7">
        <f>Tabla1[[#This Row],[TARIFA]]+Tabla1[[#This Row],[IMPORTE EXTRAS]]</f>
        <v>150</v>
      </c>
      <c r="T693" t="s">
        <v>45</v>
      </c>
      <c r="U693">
        <v>50</v>
      </c>
      <c r="V693">
        <v>100</v>
      </c>
      <c r="W693">
        <v>0</v>
      </c>
      <c r="X693" s="49">
        <v>0</v>
      </c>
      <c r="Y693" s="49"/>
      <c r="Z693" s="7">
        <f>SUM(Tabla1[[#This Row],[RES-A]:[EXTR-B]])</f>
        <v>150</v>
      </c>
      <c r="AA693" s="7">
        <f>Tabla1[[#This Row],[Columna1]]-Tabla1[[#This Row],[IMPORTE TOTAL]]</f>
        <v>0</v>
      </c>
    </row>
    <row r="694" spans="1:27" x14ac:dyDescent="0.2">
      <c r="A694">
        <v>2023</v>
      </c>
      <c r="B694" t="s">
        <v>65</v>
      </c>
      <c r="C694" s="51">
        <v>45276</v>
      </c>
      <c r="D694" s="3" t="s">
        <v>42</v>
      </c>
      <c r="E694" s="3" t="s">
        <v>46</v>
      </c>
      <c r="F694" s="3" t="s">
        <v>46</v>
      </c>
      <c r="G694" s="4">
        <v>0.89583333333333337</v>
      </c>
      <c r="H694" s="4">
        <v>0.10416666666666667</v>
      </c>
      <c r="I694" t="s">
        <v>35</v>
      </c>
      <c r="J694">
        <v>1</v>
      </c>
      <c r="L694" s="46"/>
      <c r="P694">
        <v>200</v>
      </c>
      <c r="Q694">
        <v>1</v>
      </c>
      <c r="R694">
        <v>60</v>
      </c>
      <c r="S694" s="7">
        <f>Tabla1[[#This Row],[TARIFA]]+Tabla1[[#This Row],[IMPORTE EXTRAS]]</f>
        <v>260</v>
      </c>
      <c r="T694" t="s">
        <v>45</v>
      </c>
      <c r="U694">
        <v>200</v>
      </c>
      <c r="V694">
        <v>0</v>
      </c>
      <c r="W694">
        <v>60</v>
      </c>
      <c r="X694" s="49">
        <v>0</v>
      </c>
      <c r="Y694" s="49"/>
      <c r="Z694" s="7">
        <f>SUM(Tabla1[[#This Row],[RES-A]:[EXTR-B]])</f>
        <v>260</v>
      </c>
      <c r="AA694" s="7">
        <f>Tabla1[[#This Row],[Columna1]]-Tabla1[[#This Row],[IMPORTE TOTAL]]</f>
        <v>0</v>
      </c>
    </row>
    <row r="695" spans="1:27" x14ac:dyDescent="0.2">
      <c r="A695">
        <v>2023</v>
      </c>
      <c r="B695" t="s">
        <v>65</v>
      </c>
      <c r="C695" s="51">
        <v>45277</v>
      </c>
      <c r="D695" s="3" t="s">
        <v>39</v>
      </c>
      <c r="E695" s="3" t="s">
        <v>45</v>
      </c>
      <c r="F695" s="3" t="s">
        <v>46</v>
      </c>
      <c r="G695" s="4">
        <v>0.39583333333333331</v>
      </c>
      <c r="H695" s="4">
        <v>0.85416666666666663</v>
      </c>
      <c r="I695" t="s">
        <v>32</v>
      </c>
      <c r="J695">
        <v>2</v>
      </c>
      <c r="L695" s="46"/>
      <c r="P695">
        <v>290</v>
      </c>
      <c r="Q695">
        <v>0</v>
      </c>
      <c r="R695">
        <v>0</v>
      </c>
      <c r="S695" s="7">
        <f>Tabla1[[#This Row],[TARIFA]]+Tabla1[[#This Row],[IMPORTE EXTRAS]]</f>
        <v>290</v>
      </c>
      <c r="T695" t="s">
        <v>45</v>
      </c>
      <c r="U695">
        <v>50</v>
      </c>
      <c r="V695">
        <v>240</v>
      </c>
      <c r="W695">
        <v>0</v>
      </c>
      <c r="X695" s="49">
        <v>0</v>
      </c>
      <c r="Y695" s="49"/>
      <c r="Z695" s="7">
        <f>SUM(Tabla1[[#This Row],[RES-A]:[EXTR-B]])</f>
        <v>290</v>
      </c>
      <c r="AA695" s="7">
        <f>Tabla1[[#This Row],[Columna1]]-Tabla1[[#This Row],[IMPORTE TOTAL]]</f>
        <v>0</v>
      </c>
    </row>
    <row r="696" spans="1:27" x14ac:dyDescent="0.2">
      <c r="A696">
        <v>2023</v>
      </c>
      <c r="B696" t="s">
        <v>65</v>
      </c>
      <c r="C696" s="51">
        <v>45278</v>
      </c>
      <c r="D696" s="3" t="s">
        <v>37</v>
      </c>
      <c r="E696" s="3" t="s">
        <v>46</v>
      </c>
      <c r="F696" s="3" t="s">
        <v>46</v>
      </c>
      <c r="G696" s="4">
        <v>0.64583333333333337</v>
      </c>
      <c r="H696" s="4">
        <v>0.85416666666666663</v>
      </c>
      <c r="I696" t="s">
        <v>31</v>
      </c>
      <c r="J696">
        <v>1</v>
      </c>
      <c r="L696" s="46"/>
      <c r="P696">
        <v>95</v>
      </c>
      <c r="Q696">
        <v>0</v>
      </c>
      <c r="R696">
        <v>0</v>
      </c>
      <c r="S696" s="7">
        <f>Tabla1[[#This Row],[TARIFA]]+Tabla1[[#This Row],[IMPORTE EXTRAS]]</f>
        <v>95</v>
      </c>
      <c r="T696" t="s">
        <v>45</v>
      </c>
      <c r="U696">
        <v>95</v>
      </c>
      <c r="V696">
        <v>0</v>
      </c>
      <c r="W696">
        <v>0</v>
      </c>
      <c r="X696" s="49">
        <v>0</v>
      </c>
      <c r="Y696" s="49"/>
      <c r="Z696" s="7">
        <f>SUM(Tabla1[[#This Row],[RES-A]:[EXTR-B]])</f>
        <v>95</v>
      </c>
      <c r="AA696" s="7">
        <f>Tabla1[[#This Row],[Columna1]]-Tabla1[[#This Row],[IMPORTE TOTAL]]</f>
        <v>0</v>
      </c>
    </row>
    <row r="697" spans="1:27" x14ac:dyDescent="0.2">
      <c r="A697">
        <v>2023</v>
      </c>
      <c r="B697" t="s">
        <v>65</v>
      </c>
      <c r="C697" s="51">
        <v>45280</v>
      </c>
      <c r="D697" s="3" t="s">
        <v>39</v>
      </c>
      <c r="E697" s="3" t="s">
        <v>46</v>
      </c>
      <c r="F697" s="3" t="s">
        <v>46</v>
      </c>
      <c r="G697" s="4">
        <v>0.89583333333333337</v>
      </c>
      <c r="H697" s="4">
        <v>0.10416666666666667</v>
      </c>
      <c r="I697" t="s">
        <v>35</v>
      </c>
      <c r="J697">
        <v>1</v>
      </c>
      <c r="L697" s="46"/>
      <c r="P697">
        <v>200</v>
      </c>
      <c r="Q697">
        <v>0</v>
      </c>
      <c r="R697">
        <v>0</v>
      </c>
      <c r="S697" s="7">
        <f>Tabla1[[#This Row],[TARIFA]]+Tabla1[[#This Row],[IMPORTE EXTRAS]]</f>
        <v>200</v>
      </c>
      <c r="T697" t="s">
        <v>45</v>
      </c>
      <c r="U697">
        <v>50</v>
      </c>
      <c r="V697">
        <v>150</v>
      </c>
      <c r="W697">
        <v>0</v>
      </c>
      <c r="X697" s="49">
        <v>0</v>
      </c>
      <c r="Y697" s="49"/>
      <c r="Z697" s="7">
        <f>SUM(Tabla1[[#This Row],[RES-A]:[EXTR-B]])</f>
        <v>200</v>
      </c>
      <c r="AA697" s="7">
        <f>Tabla1[[#This Row],[Columna1]]-Tabla1[[#This Row],[IMPORTE TOTAL]]</f>
        <v>0</v>
      </c>
    </row>
    <row r="698" spans="1:27" x14ac:dyDescent="0.2">
      <c r="A698">
        <v>2023</v>
      </c>
      <c r="B698" t="s">
        <v>65</v>
      </c>
      <c r="C698" s="51">
        <v>45281</v>
      </c>
      <c r="D698" s="3" t="s">
        <v>40</v>
      </c>
      <c r="E698" s="3" t="s">
        <v>46</v>
      </c>
      <c r="F698" s="3" t="s">
        <v>46</v>
      </c>
      <c r="G698" s="4">
        <v>0.64583333333333337</v>
      </c>
      <c r="H698" s="4">
        <v>0.85416666666666663</v>
      </c>
      <c r="I698" t="s">
        <v>31</v>
      </c>
      <c r="J698">
        <v>1</v>
      </c>
      <c r="L698" s="46"/>
      <c r="P698">
        <v>95</v>
      </c>
      <c r="Q698">
        <v>0</v>
      </c>
      <c r="R698">
        <v>0</v>
      </c>
      <c r="S698" s="7">
        <f>Tabla1[[#This Row],[TARIFA]]+Tabla1[[#This Row],[IMPORTE EXTRAS]]</f>
        <v>95</v>
      </c>
      <c r="T698" t="s">
        <v>45</v>
      </c>
      <c r="U698">
        <v>0</v>
      </c>
      <c r="V698">
        <v>95</v>
      </c>
      <c r="W698">
        <v>0</v>
      </c>
      <c r="X698" s="49">
        <v>0</v>
      </c>
      <c r="Y698" s="49"/>
      <c r="Z698" s="7">
        <f>SUM(Tabla1[[#This Row],[RES-A]:[EXTR-B]])</f>
        <v>95</v>
      </c>
      <c r="AA698" s="7">
        <f>Tabla1[[#This Row],[Columna1]]-Tabla1[[#This Row],[IMPORTE TOTAL]]</f>
        <v>0</v>
      </c>
    </row>
    <row r="699" spans="1:27" x14ac:dyDescent="0.2">
      <c r="A699">
        <v>2023</v>
      </c>
      <c r="B699" t="s">
        <v>65</v>
      </c>
      <c r="C699" s="51">
        <v>45282</v>
      </c>
      <c r="D699" s="3" t="s">
        <v>41</v>
      </c>
      <c r="E699" s="3" t="s">
        <v>46</v>
      </c>
      <c r="F699" s="3" t="s">
        <v>46</v>
      </c>
      <c r="G699" s="4">
        <v>0.64583333333333337</v>
      </c>
      <c r="H699" s="4">
        <v>0.85416666666666663</v>
      </c>
      <c r="I699" t="s">
        <v>31</v>
      </c>
      <c r="J699">
        <v>1</v>
      </c>
      <c r="L699" s="46"/>
      <c r="P699">
        <v>140</v>
      </c>
      <c r="Q699">
        <v>0</v>
      </c>
      <c r="R699">
        <v>0</v>
      </c>
      <c r="S699" s="7">
        <f>Tabla1[[#This Row],[TARIFA]]+Tabla1[[#This Row],[IMPORTE EXTRAS]]</f>
        <v>140</v>
      </c>
      <c r="T699" t="s">
        <v>45</v>
      </c>
      <c r="U699">
        <v>50</v>
      </c>
      <c r="V699">
        <v>90</v>
      </c>
      <c r="W699">
        <v>0</v>
      </c>
      <c r="X699" s="49">
        <v>0</v>
      </c>
      <c r="Y699" s="49"/>
      <c r="Z699" s="7">
        <f>SUM(Tabla1[[#This Row],[RES-A]:[EXTR-B]])</f>
        <v>140</v>
      </c>
      <c r="AA699" s="7">
        <f>Tabla1[[#This Row],[Columna1]]-Tabla1[[#This Row],[IMPORTE TOTAL]]</f>
        <v>0</v>
      </c>
    </row>
    <row r="700" spans="1:27" x14ac:dyDescent="0.2">
      <c r="A700">
        <v>2023</v>
      </c>
      <c r="B700" t="s">
        <v>65</v>
      </c>
      <c r="C700" s="51">
        <v>45282</v>
      </c>
      <c r="D700" s="3" t="s">
        <v>41</v>
      </c>
      <c r="E700" s="3" t="s">
        <v>46</v>
      </c>
      <c r="F700" s="3" t="s">
        <v>46</v>
      </c>
      <c r="G700" s="4">
        <v>0.89583333333333337</v>
      </c>
      <c r="H700" s="4">
        <v>0.10416666666666667</v>
      </c>
      <c r="I700" t="s">
        <v>35</v>
      </c>
      <c r="J700">
        <v>1</v>
      </c>
      <c r="L700" s="46"/>
      <c r="P700">
        <v>200</v>
      </c>
      <c r="Q700">
        <v>1</v>
      </c>
      <c r="R700">
        <v>60</v>
      </c>
      <c r="S700" s="7">
        <f>Tabla1[[#This Row],[TARIFA]]+Tabla1[[#This Row],[IMPORTE EXTRAS]]</f>
        <v>260</v>
      </c>
      <c r="T700" t="s">
        <v>45</v>
      </c>
      <c r="U700">
        <v>200</v>
      </c>
      <c r="V700">
        <v>0</v>
      </c>
      <c r="W700">
        <v>60</v>
      </c>
      <c r="X700" s="49">
        <v>0</v>
      </c>
      <c r="Y700" s="49"/>
      <c r="Z700" s="7">
        <f>SUM(Tabla1[[#This Row],[RES-A]:[EXTR-B]])</f>
        <v>260</v>
      </c>
      <c r="AA700" s="7">
        <f>Tabla1[[#This Row],[Columna1]]-Tabla1[[#This Row],[IMPORTE TOTAL]]</f>
        <v>0</v>
      </c>
    </row>
    <row r="701" spans="1:27" x14ac:dyDescent="0.2">
      <c r="A701">
        <v>2023</v>
      </c>
      <c r="B701" t="s">
        <v>65</v>
      </c>
      <c r="C701" s="51">
        <v>45283</v>
      </c>
      <c r="D701" s="3" t="s">
        <v>42</v>
      </c>
      <c r="E701" s="3" t="s">
        <v>46</v>
      </c>
      <c r="F701" s="3" t="s">
        <v>46</v>
      </c>
      <c r="G701" s="4">
        <v>0.64583333333333337</v>
      </c>
      <c r="H701" s="4">
        <v>0.85416666666666663</v>
      </c>
      <c r="I701" t="s">
        <v>31</v>
      </c>
      <c r="J701">
        <v>1</v>
      </c>
      <c r="L701" s="46"/>
      <c r="P701">
        <v>150</v>
      </c>
      <c r="Q701">
        <v>0</v>
      </c>
      <c r="R701">
        <v>0</v>
      </c>
      <c r="S701" s="7">
        <f>Tabla1[[#This Row],[TARIFA]]+Tabla1[[#This Row],[IMPORTE EXTRAS]]</f>
        <v>150</v>
      </c>
      <c r="T701" t="s">
        <v>45</v>
      </c>
      <c r="U701">
        <v>50</v>
      </c>
      <c r="V701">
        <v>100</v>
      </c>
      <c r="W701">
        <v>0</v>
      </c>
      <c r="X701" s="49">
        <v>0</v>
      </c>
      <c r="Y701" s="49"/>
      <c r="Z701" s="7">
        <f>SUM(Tabla1[[#This Row],[RES-A]:[EXTR-B]])</f>
        <v>150</v>
      </c>
      <c r="AA701" s="7">
        <f>Tabla1[[#This Row],[Columna1]]-Tabla1[[#This Row],[IMPORTE TOTAL]]</f>
        <v>0</v>
      </c>
    </row>
    <row r="702" spans="1:27" x14ac:dyDescent="0.2">
      <c r="A702">
        <v>2023</v>
      </c>
      <c r="B702" t="s">
        <v>65</v>
      </c>
      <c r="C702" s="51">
        <v>45283</v>
      </c>
      <c r="D702" s="3" t="s">
        <v>42</v>
      </c>
      <c r="E702" s="3" t="s">
        <v>46</v>
      </c>
      <c r="F702" s="3" t="s">
        <v>46</v>
      </c>
      <c r="G702" s="4">
        <v>0.85416666666666663</v>
      </c>
      <c r="H702" s="4">
        <v>0.10416666666666667</v>
      </c>
      <c r="I702" t="s">
        <v>35</v>
      </c>
      <c r="J702">
        <v>1</v>
      </c>
      <c r="L702" s="46"/>
      <c r="P702">
        <v>200</v>
      </c>
      <c r="Q702">
        <v>1</v>
      </c>
      <c r="R702">
        <v>60</v>
      </c>
      <c r="S702" s="7">
        <f>Tabla1[[#This Row],[TARIFA]]+Tabla1[[#This Row],[IMPORTE EXTRAS]]</f>
        <v>260</v>
      </c>
      <c r="T702" t="s">
        <v>45</v>
      </c>
      <c r="U702">
        <v>50</v>
      </c>
      <c r="V702">
        <v>150</v>
      </c>
      <c r="W702">
        <v>0</v>
      </c>
      <c r="X702" s="49">
        <v>60</v>
      </c>
      <c r="Y702" s="49"/>
      <c r="Z702" s="7">
        <f>SUM(Tabla1[[#This Row],[RES-A]:[EXTR-B]])</f>
        <v>260</v>
      </c>
      <c r="AA702" s="7">
        <f>Tabla1[[#This Row],[Columna1]]-Tabla1[[#This Row],[IMPORTE TOTAL]]</f>
        <v>0</v>
      </c>
    </row>
    <row r="703" spans="1:27" x14ac:dyDescent="0.2">
      <c r="A703">
        <v>2023</v>
      </c>
      <c r="B703" t="s">
        <v>65</v>
      </c>
      <c r="C703" s="51">
        <v>45284</v>
      </c>
      <c r="D703" s="3" t="s">
        <v>43</v>
      </c>
      <c r="E703" s="3" t="s">
        <v>45</v>
      </c>
      <c r="F703" s="3" t="s">
        <v>45</v>
      </c>
      <c r="G703" s="4">
        <v>0.85416666666666663</v>
      </c>
      <c r="H703" s="4">
        <v>0.10416666666666667</v>
      </c>
      <c r="I703" t="s">
        <v>35</v>
      </c>
      <c r="J703">
        <v>1</v>
      </c>
      <c r="L703" s="46"/>
      <c r="P703">
        <v>350</v>
      </c>
      <c r="Q703">
        <v>0</v>
      </c>
      <c r="R703">
        <v>0</v>
      </c>
      <c r="S703" s="7">
        <f>Tabla1[[#This Row],[TARIFA]]+Tabla1[[#This Row],[IMPORTE EXTRAS]]</f>
        <v>350</v>
      </c>
      <c r="T703" t="s">
        <v>45</v>
      </c>
      <c r="U703">
        <v>0</v>
      </c>
      <c r="V703">
        <v>350</v>
      </c>
      <c r="W703">
        <v>0</v>
      </c>
      <c r="X703" s="49">
        <v>0</v>
      </c>
      <c r="Y703" s="49" t="s">
        <v>434</v>
      </c>
      <c r="Z703" s="7">
        <f>SUM(Tabla1[[#This Row],[RES-A]:[EXTR-B]])</f>
        <v>350</v>
      </c>
      <c r="AA703" s="7">
        <f>Tabla1[[#This Row],[Columna1]]-Tabla1[[#This Row],[IMPORTE TOTAL]]</f>
        <v>0</v>
      </c>
    </row>
    <row r="704" spans="1:27" x14ac:dyDescent="0.2">
      <c r="A704">
        <v>2023</v>
      </c>
      <c r="B704" t="s">
        <v>65</v>
      </c>
      <c r="C704" s="51">
        <v>45285</v>
      </c>
      <c r="D704" s="3" t="s">
        <v>37</v>
      </c>
      <c r="E704" s="3" t="s">
        <v>45</v>
      </c>
      <c r="F704" s="3" t="s">
        <v>45</v>
      </c>
      <c r="G704" s="4">
        <v>0.39583333333333331</v>
      </c>
      <c r="H704" s="4">
        <v>0.85416666666666663</v>
      </c>
      <c r="I704" t="s">
        <v>32</v>
      </c>
      <c r="J704">
        <v>2</v>
      </c>
      <c r="L704" s="46"/>
      <c r="P704">
        <v>350</v>
      </c>
      <c r="Q704">
        <v>0</v>
      </c>
      <c r="R704">
        <v>0</v>
      </c>
      <c r="S704" s="7">
        <f>Tabla1[[#This Row],[TARIFA]]+Tabla1[[#This Row],[IMPORTE EXTRAS]]</f>
        <v>350</v>
      </c>
      <c r="T704" t="s">
        <v>45</v>
      </c>
      <c r="U704">
        <v>50</v>
      </c>
      <c r="V704">
        <v>300</v>
      </c>
      <c r="W704">
        <v>0</v>
      </c>
      <c r="X704" s="49">
        <v>0</v>
      </c>
      <c r="Y704" s="49" t="s">
        <v>434</v>
      </c>
      <c r="Z704" s="7">
        <f>SUM(Tabla1[[#This Row],[RES-A]:[EXTR-B]])</f>
        <v>350</v>
      </c>
      <c r="AA704" s="7">
        <f>Tabla1[[#This Row],[Columna1]]-Tabla1[[#This Row],[IMPORTE TOTAL]]</f>
        <v>0</v>
      </c>
    </row>
    <row r="705" spans="1:27" x14ac:dyDescent="0.2">
      <c r="A705">
        <v>2023</v>
      </c>
      <c r="B705" t="s">
        <v>65</v>
      </c>
      <c r="C705" s="51">
        <v>45286</v>
      </c>
      <c r="D705" s="3" t="s">
        <v>38</v>
      </c>
      <c r="E705" s="3" t="s">
        <v>45</v>
      </c>
      <c r="F705" s="3" t="s">
        <v>45</v>
      </c>
      <c r="G705" s="4">
        <v>0.45833333333333331</v>
      </c>
      <c r="H705" s="4">
        <v>0.85416666666666663</v>
      </c>
      <c r="I705" t="s">
        <v>32</v>
      </c>
      <c r="J705">
        <v>2</v>
      </c>
      <c r="L705" s="46"/>
      <c r="P705">
        <v>300</v>
      </c>
      <c r="Q705">
        <v>0</v>
      </c>
      <c r="R705">
        <v>0</v>
      </c>
      <c r="S705" s="7">
        <f>Tabla1[[#This Row],[TARIFA]]+Tabla1[[#This Row],[IMPORTE EXTRAS]]</f>
        <v>300</v>
      </c>
      <c r="T705" t="s">
        <v>45</v>
      </c>
      <c r="U705">
        <v>0</v>
      </c>
      <c r="V705">
        <v>300</v>
      </c>
      <c r="W705">
        <v>0</v>
      </c>
      <c r="X705" s="49">
        <v>0</v>
      </c>
      <c r="Y705" s="49" t="s">
        <v>435</v>
      </c>
      <c r="Z705" s="7">
        <f>SUM(Tabla1[[#This Row],[RES-A]:[EXTR-B]])</f>
        <v>300</v>
      </c>
      <c r="AA705" s="7">
        <f>Tabla1[[#This Row],[Columna1]]-Tabla1[[#This Row],[IMPORTE TOTAL]]</f>
        <v>0</v>
      </c>
    </row>
    <row r="706" spans="1:27" x14ac:dyDescent="0.2">
      <c r="A706">
        <v>2023</v>
      </c>
      <c r="B706" t="s">
        <v>65</v>
      </c>
      <c r="C706" s="51">
        <v>45287</v>
      </c>
      <c r="D706" s="3" t="s">
        <v>39</v>
      </c>
      <c r="E706" s="3" t="s">
        <v>46</v>
      </c>
      <c r="F706" s="3" t="s">
        <v>46</v>
      </c>
      <c r="G706" s="4">
        <v>0.39583333333333331</v>
      </c>
      <c r="H706" s="4">
        <v>0.60416666666666663</v>
      </c>
      <c r="I706" t="s">
        <v>30</v>
      </c>
      <c r="J706">
        <v>1</v>
      </c>
      <c r="L706" s="46"/>
      <c r="P706">
        <v>60</v>
      </c>
      <c r="Q706">
        <v>0</v>
      </c>
      <c r="R706">
        <v>0</v>
      </c>
      <c r="S706" s="7">
        <f>Tabla1[[#This Row],[TARIFA]]+Tabla1[[#This Row],[IMPORTE EXTRAS]]</f>
        <v>60</v>
      </c>
      <c r="T706" t="s">
        <v>45</v>
      </c>
      <c r="U706">
        <v>60</v>
      </c>
      <c r="V706">
        <v>0</v>
      </c>
      <c r="W706">
        <v>0</v>
      </c>
      <c r="X706" s="49">
        <v>0</v>
      </c>
      <c r="Y706" s="49" t="s">
        <v>610</v>
      </c>
      <c r="Z706" s="7">
        <f>SUM(Tabla1[[#This Row],[RES-A]:[EXTR-B]])</f>
        <v>60</v>
      </c>
      <c r="AA706" s="7">
        <f>Tabla1[[#This Row],[Columna1]]-Tabla1[[#This Row],[IMPORTE TOTAL]]</f>
        <v>0</v>
      </c>
    </row>
    <row r="707" spans="1:27" x14ac:dyDescent="0.2">
      <c r="A707">
        <v>2023</v>
      </c>
      <c r="B707" t="s">
        <v>65</v>
      </c>
      <c r="C707" s="51">
        <v>45288</v>
      </c>
      <c r="D707" s="3" t="s">
        <v>40</v>
      </c>
      <c r="E707" s="3" t="s">
        <v>46</v>
      </c>
      <c r="F707" s="3" t="s">
        <v>46</v>
      </c>
      <c r="G707" s="4">
        <v>0.39583333333333331</v>
      </c>
      <c r="H707" s="4">
        <v>0.60416666666666663</v>
      </c>
      <c r="I707" t="s">
        <v>30</v>
      </c>
      <c r="J707">
        <v>1</v>
      </c>
      <c r="L707" s="46"/>
      <c r="P707">
        <v>80</v>
      </c>
      <c r="Q707">
        <v>0</v>
      </c>
      <c r="R707">
        <v>0</v>
      </c>
      <c r="S707" s="7">
        <f>Tabla1[[#This Row],[TARIFA]]+Tabla1[[#This Row],[IMPORTE EXTRAS]]</f>
        <v>80</v>
      </c>
      <c r="T707" t="s">
        <v>45</v>
      </c>
      <c r="U707">
        <v>0</v>
      </c>
      <c r="V707">
        <v>80</v>
      </c>
      <c r="W707">
        <v>0</v>
      </c>
      <c r="X707" s="49">
        <v>0</v>
      </c>
      <c r="Y707" s="49" t="s">
        <v>611</v>
      </c>
      <c r="Z707" s="7">
        <f>SUM(Tabla1[[#This Row],[RES-A]:[EXTR-B]])</f>
        <v>80</v>
      </c>
      <c r="AA707" s="7">
        <f>Tabla1[[#This Row],[Columna1]]-Tabla1[[#This Row],[IMPORTE TOTAL]]</f>
        <v>0</v>
      </c>
    </row>
    <row r="708" spans="1:27" x14ac:dyDescent="0.2">
      <c r="A708">
        <v>2023</v>
      </c>
      <c r="B708" t="s">
        <v>65</v>
      </c>
      <c r="C708" s="51">
        <v>45288</v>
      </c>
      <c r="D708" s="3" t="s">
        <v>40</v>
      </c>
      <c r="E708" s="3" t="s">
        <v>46</v>
      </c>
      <c r="F708" s="3" t="s">
        <v>46</v>
      </c>
      <c r="G708" s="4">
        <v>0.64583333333333337</v>
      </c>
      <c r="H708" s="4">
        <v>0.85416666666666663</v>
      </c>
      <c r="I708" t="s">
        <v>31</v>
      </c>
      <c r="J708">
        <v>1</v>
      </c>
      <c r="L708" s="46"/>
      <c r="P708">
        <v>95</v>
      </c>
      <c r="Q708">
        <v>0</v>
      </c>
      <c r="R708">
        <v>0</v>
      </c>
      <c r="S708" s="7">
        <f>Tabla1[[#This Row],[TARIFA]]+Tabla1[[#This Row],[IMPORTE EXTRAS]]</f>
        <v>95</v>
      </c>
      <c r="T708" t="s">
        <v>45</v>
      </c>
      <c r="U708">
        <v>50</v>
      </c>
      <c r="V708">
        <v>45</v>
      </c>
      <c r="W708">
        <v>0</v>
      </c>
      <c r="X708" s="49">
        <v>0</v>
      </c>
      <c r="Y708" s="49"/>
      <c r="Z708" s="7">
        <f>SUM(Tabla1[[#This Row],[RES-A]:[EXTR-B]])</f>
        <v>95</v>
      </c>
      <c r="AA708" s="7">
        <f>Tabla1[[#This Row],[Columna1]]-Tabla1[[#This Row],[IMPORTE TOTAL]]</f>
        <v>0</v>
      </c>
    </row>
    <row r="709" spans="1:27" x14ac:dyDescent="0.2">
      <c r="A709">
        <v>2023</v>
      </c>
      <c r="B709" t="s">
        <v>65</v>
      </c>
      <c r="C709" s="51">
        <v>45289</v>
      </c>
      <c r="D709" s="3" t="s">
        <v>41</v>
      </c>
      <c r="E709" s="3" t="s">
        <v>46</v>
      </c>
      <c r="F709" s="3" t="s">
        <v>46</v>
      </c>
      <c r="G709" s="4">
        <v>0.39583333333333331</v>
      </c>
      <c r="H709" s="4">
        <v>0.60416666666666663</v>
      </c>
      <c r="I709" t="s">
        <v>30</v>
      </c>
      <c r="J709">
        <v>1</v>
      </c>
      <c r="L709" s="46"/>
      <c r="P709">
        <v>60</v>
      </c>
      <c r="Q709">
        <v>0</v>
      </c>
      <c r="R709">
        <v>0</v>
      </c>
      <c r="S709" s="7">
        <f>Tabla1[[#This Row],[TARIFA]]+Tabla1[[#This Row],[IMPORTE EXTRAS]]</f>
        <v>60</v>
      </c>
      <c r="T709" t="s">
        <v>45</v>
      </c>
      <c r="U709">
        <v>60</v>
      </c>
      <c r="V709">
        <v>0</v>
      </c>
      <c r="W709">
        <v>0</v>
      </c>
      <c r="X709" s="49">
        <v>0</v>
      </c>
      <c r="Y709" s="49" t="s">
        <v>610</v>
      </c>
      <c r="Z709" s="7">
        <f>SUM(Tabla1[[#This Row],[RES-A]:[EXTR-B]])</f>
        <v>60</v>
      </c>
      <c r="AA709" s="7">
        <f>Tabla1[[#This Row],[Columna1]]-Tabla1[[#This Row],[IMPORTE TOTAL]]</f>
        <v>0</v>
      </c>
    </row>
    <row r="710" spans="1:27" x14ac:dyDescent="0.2">
      <c r="A710">
        <v>2023</v>
      </c>
      <c r="B710" t="s">
        <v>65</v>
      </c>
      <c r="C710" s="51">
        <v>45289</v>
      </c>
      <c r="D710" s="3" t="s">
        <v>41</v>
      </c>
      <c r="E710" s="3" t="s">
        <v>46</v>
      </c>
      <c r="F710" s="3" t="s">
        <v>46</v>
      </c>
      <c r="G710" s="4">
        <v>0.64583333333333337</v>
      </c>
      <c r="H710" s="4">
        <v>0.85416666666666663</v>
      </c>
      <c r="I710" t="s">
        <v>31</v>
      </c>
      <c r="J710">
        <v>1</v>
      </c>
      <c r="L710" s="187"/>
      <c r="M710" s="188"/>
      <c r="P710">
        <v>140</v>
      </c>
      <c r="Q710">
        <v>0</v>
      </c>
      <c r="R710">
        <v>0</v>
      </c>
      <c r="S710" s="7">
        <f>Tabla1[[#This Row],[TARIFA]]+Tabla1[[#This Row],[IMPORTE EXTRAS]]</f>
        <v>140</v>
      </c>
      <c r="T710" t="s">
        <v>45</v>
      </c>
      <c r="U710">
        <v>50</v>
      </c>
      <c r="V710">
        <v>90</v>
      </c>
      <c r="W710">
        <v>0</v>
      </c>
      <c r="X710" s="49">
        <v>0</v>
      </c>
      <c r="Y710" s="49"/>
      <c r="Z710" s="7">
        <f>SUM(Tabla1[[#This Row],[RES-A]:[EXTR-B]])</f>
        <v>140</v>
      </c>
      <c r="AA710" s="7">
        <f>Tabla1[[#This Row],[Columna1]]-Tabla1[[#This Row],[IMPORTE TOTAL]]</f>
        <v>0</v>
      </c>
    </row>
    <row r="711" spans="1:27" x14ac:dyDescent="0.2">
      <c r="A711">
        <v>2023</v>
      </c>
      <c r="B711" t="s">
        <v>65</v>
      </c>
      <c r="C711" s="51">
        <v>45289</v>
      </c>
      <c r="D711" s="3" t="s">
        <v>41</v>
      </c>
      <c r="E711" s="3" t="s">
        <v>46</v>
      </c>
      <c r="F711" s="3" t="s">
        <v>46</v>
      </c>
      <c r="G711" s="4">
        <v>0.89583333333333337</v>
      </c>
      <c r="H711" s="4">
        <v>0.10416666666666667</v>
      </c>
      <c r="I711" t="s">
        <v>35</v>
      </c>
      <c r="J711">
        <v>1</v>
      </c>
      <c r="L711" s="46"/>
      <c r="P711">
        <v>200</v>
      </c>
      <c r="Q711">
        <v>0</v>
      </c>
      <c r="R711">
        <v>0</v>
      </c>
      <c r="S711" s="7">
        <f>Tabla1[[#This Row],[TARIFA]]+Tabla1[[#This Row],[IMPORTE EXTRAS]]</f>
        <v>200</v>
      </c>
      <c r="T711" t="s">
        <v>45</v>
      </c>
      <c r="U711">
        <v>200</v>
      </c>
      <c r="V711">
        <v>0</v>
      </c>
      <c r="W711">
        <v>0</v>
      </c>
      <c r="X711" s="49">
        <v>0</v>
      </c>
      <c r="Y711" s="49"/>
      <c r="Z711" s="7">
        <f>SUM(Tabla1[[#This Row],[RES-A]:[EXTR-B]])</f>
        <v>200</v>
      </c>
      <c r="AA711" s="7">
        <f>Tabla1[[#This Row],[Columna1]]-Tabla1[[#This Row],[IMPORTE TOTAL]]</f>
        <v>0</v>
      </c>
    </row>
    <row r="712" spans="1:27" x14ac:dyDescent="0.2">
      <c r="A712">
        <v>2023</v>
      </c>
      <c r="B712" t="s">
        <v>65</v>
      </c>
      <c r="C712" s="51">
        <v>45290</v>
      </c>
      <c r="D712" s="3" t="s">
        <v>42</v>
      </c>
      <c r="E712" s="3" t="s">
        <v>46</v>
      </c>
      <c r="F712" s="3" t="s">
        <v>46</v>
      </c>
      <c r="G712" s="4">
        <v>0.39583333333333331</v>
      </c>
      <c r="H712" s="4">
        <v>0.60416666666666663</v>
      </c>
      <c r="I712" t="s">
        <v>30</v>
      </c>
      <c r="J712">
        <v>1</v>
      </c>
      <c r="L712" s="46"/>
      <c r="P712">
        <v>150</v>
      </c>
      <c r="Q712">
        <v>0</v>
      </c>
      <c r="R712">
        <v>0</v>
      </c>
      <c r="S712" s="7">
        <f>Tabla1[[#This Row],[TARIFA]]+Tabla1[[#This Row],[IMPORTE EXTRAS]]</f>
        <v>150</v>
      </c>
      <c r="T712" t="s">
        <v>45</v>
      </c>
      <c r="U712">
        <v>150</v>
      </c>
      <c r="V712">
        <v>0</v>
      </c>
      <c r="W712">
        <v>0</v>
      </c>
      <c r="X712" s="49">
        <v>0</v>
      </c>
      <c r="Y712" s="49" t="s">
        <v>609</v>
      </c>
      <c r="Z712" s="7">
        <f>SUM(Tabla1[[#This Row],[RES-A]:[EXTR-B]])</f>
        <v>150</v>
      </c>
      <c r="AA712" s="7">
        <f>Tabla1[[#This Row],[Columna1]]-Tabla1[[#This Row],[IMPORTE TOTAL]]</f>
        <v>0</v>
      </c>
    </row>
    <row r="713" spans="1:27" x14ac:dyDescent="0.2">
      <c r="A713">
        <v>2023</v>
      </c>
      <c r="B713" t="s">
        <v>65</v>
      </c>
      <c r="C713" s="51">
        <v>45290</v>
      </c>
      <c r="D713" s="3" t="s">
        <v>42</v>
      </c>
      <c r="E713" s="3" t="s">
        <v>46</v>
      </c>
      <c r="F713" s="3" t="s">
        <v>46</v>
      </c>
      <c r="G713" s="4">
        <v>0.64583333333333337</v>
      </c>
      <c r="H713" s="4">
        <v>0.85416666666666663</v>
      </c>
      <c r="I713" t="s">
        <v>31</v>
      </c>
      <c r="J713">
        <v>1</v>
      </c>
      <c r="L713" s="187"/>
      <c r="M713" s="188"/>
      <c r="P713">
        <v>150</v>
      </c>
      <c r="Q713">
        <v>0</v>
      </c>
      <c r="R713">
        <v>0</v>
      </c>
      <c r="S713" s="7">
        <f>Tabla1[[#This Row],[TARIFA]]+Tabla1[[#This Row],[IMPORTE EXTRAS]]</f>
        <v>150</v>
      </c>
      <c r="T713" t="s">
        <v>45</v>
      </c>
      <c r="U713">
        <v>50</v>
      </c>
      <c r="V713">
        <v>100</v>
      </c>
      <c r="W713">
        <v>0</v>
      </c>
      <c r="X713" s="49">
        <v>0</v>
      </c>
      <c r="Y713" s="49"/>
      <c r="Z713" s="7">
        <f>SUM(Tabla1[[#This Row],[RES-A]:[EXTR-B]])</f>
        <v>150</v>
      </c>
      <c r="AA713" s="7">
        <f>Tabla1[[#This Row],[Columna1]]-Tabla1[[#This Row],[IMPORTE TOTAL]]</f>
        <v>0</v>
      </c>
    </row>
    <row r="714" spans="1:27" x14ac:dyDescent="0.2">
      <c r="A714">
        <v>2023</v>
      </c>
      <c r="B714" t="s">
        <v>65</v>
      </c>
      <c r="C714" s="51">
        <v>45290</v>
      </c>
      <c r="D714" s="3" t="s">
        <v>42</v>
      </c>
      <c r="E714" s="3" t="s">
        <v>46</v>
      </c>
      <c r="F714" s="3" t="s">
        <v>46</v>
      </c>
      <c r="G714" s="4">
        <v>0.89583333333333337</v>
      </c>
      <c r="H714" s="4">
        <v>0.10416666666666667</v>
      </c>
      <c r="I714" t="s">
        <v>35</v>
      </c>
      <c r="J714">
        <v>1</v>
      </c>
      <c r="L714" s="187"/>
      <c r="M714" s="188"/>
      <c r="P714">
        <v>200</v>
      </c>
      <c r="Q714">
        <v>0</v>
      </c>
      <c r="R714">
        <v>0</v>
      </c>
      <c r="S714" s="7">
        <f>Tabla1[[#This Row],[TARIFA]]+Tabla1[[#This Row],[IMPORTE EXTRAS]]</f>
        <v>200</v>
      </c>
      <c r="T714" t="s">
        <v>45</v>
      </c>
      <c r="U714">
        <v>50</v>
      </c>
      <c r="V714">
        <v>150</v>
      </c>
      <c r="W714">
        <v>0</v>
      </c>
      <c r="X714" s="49">
        <v>0</v>
      </c>
      <c r="Y714" s="49"/>
      <c r="Z714" s="7">
        <f>SUM(Tabla1[[#This Row],[RES-A]:[EXTR-B]])</f>
        <v>200</v>
      </c>
      <c r="AA714" s="7">
        <f>Tabla1[[#This Row],[Columna1]]-Tabla1[[#This Row],[IMPORTE TOTAL]]</f>
        <v>0</v>
      </c>
    </row>
    <row r="715" spans="1:27" x14ac:dyDescent="0.2">
      <c r="A715">
        <v>2023</v>
      </c>
      <c r="B715" t="s">
        <v>65</v>
      </c>
      <c r="C715" s="51">
        <v>45291</v>
      </c>
      <c r="D715" s="3" t="s">
        <v>43</v>
      </c>
      <c r="E715" s="3" t="s">
        <v>46</v>
      </c>
      <c r="F715" s="3" t="s">
        <v>45</v>
      </c>
      <c r="G715" s="4">
        <v>0.64583333333333337</v>
      </c>
      <c r="H715" s="4">
        <v>0.22916666666666666</v>
      </c>
      <c r="I715" t="s">
        <v>53</v>
      </c>
      <c r="J715">
        <v>2</v>
      </c>
      <c r="L715" s="46"/>
      <c r="P715">
        <v>600</v>
      </c>
      <c r="Q715">
        <v>0</v>
      </c>
      <c r="R715">
        <v>0</v>
      </c>
      <c r="S715" s="7">
        <f>Tabla1[[#This Row],[TARIFA]]+Tabla1[[#This Row],[IMPORTE EXTRAS]]</f>
        <v>600</v>
      </c>
      <c r="T715" t="s">
        <v>45</v>
      </c>
      <c r="U715">
        <v>100</v>
      </c>
      <c r="V715">
        <v>500</v>
      </c>
      <c r="W715">
        <v>0</v>
      </c>
      <c r="X715" s="49">
        <v>0</v>
      </c>
      <c r="Y715" s="49" t="s">
        <v>436</v>
      </c>
      <c r="Z715" s="7">
        <f>SUM(Tabla1[[#This Row],[RES-A]:[EXTR-B]])</f>
        <v>600</v>
      </c>
      <c r="AA715" s="7">
        <f>Tabla1[[#This Row],[Columna1]]-Tabla1[[#This Row],[IMPORTE TOTAL]]</f>
        <v>0</v>
      </c>
    </row>
    <row r="716" spans="1:27" x14ac:dyDescent="0.2">
      <c r="A716">
        <v>2024</v>
      </c>
      <c r="B716" t="s">
        <v>48</v>
      </c>
      <c r="C716" s="51">
        <v>45292</v>
      </c>
      <c r="D716" s="3" t="s">
        <v>37</v>
      </c>
      <c r="E716" s="3" t="s">
        <v>45</v>
      </c>
      <c r="F716" s="3" t="s">
        <v>45</v>
      </c>
      <c r="G716" s="4">
        <v>0.39583333333333331</v>
      </c>
      <c r="H716" s="4">
        <v>0.85416666666666663</v>
      </c>
      <c r="I716" t="s">
        <v>32</v>
      </c>
      <c r="J716">
        <v>2</v>
      </c>
      <c r="L716" s="46"/>
      <c r="P716">
        <v>200</v>
      </c>
      <c r="Q716">
        <v>0</v>
      </c>
      <c r="R716">
        <v>0</v>
      </c>
      <c r="S716" s="7">
        <f>Tabla1[[#This Row],[TARIFA]]+Tabla1[[#This Row],[IMPORTE EXTRAS]]</f>
        <v>200</v>
      </c>
      <c r="T716" t="s">
        <v>45</v>
      </c>
      <c r="U716">
        <v>50</v>
      </c>
      <c r="V716">
        <v>150</v>
      </c>
      <c r="W716">
        <v>0</v>
      </c>
      <c r="X716" s="49">
        <v>0</v>
      </c>
      <c r="Y716" s="49"/>
      <c r="Z716" s="7">
        <f>SUM(Tabla1[[#This Row],[RES-A]:[EXTR-B]])</f>
        <v>200</v>
      </c>
      <c r="AA716" s="7">
        <f>Tabla1[[#This Row],[Columna1]]-Tabla1[[#This Row],[IMPORTE TOTAL]]</f>
        <v>0</v>
      </c>
    </row>
    <row r="717" spans="1:27" x14ac:dyDescent="0.2">
      <c r="A717">
        <v>2024</v>
      </c>
      <c r="B717" t="s">
        <v>48</v>
      </c>
      <c r="C717" s="51">
        <v>45293</v>
      </c>
      <c r="D717" s="3" t="s">
        <v>38</v>
      </c>
      <c r="E717" s="3" t="s">
        <v>46</v>
      </c>
      <c r="F717" s="3" t="s">
        <v>46</v>
      </c>
      <c r="G717" s="4">
        <v>0.39583333333333331</v>
      </c>
      <c r="H717" s="4">
        <v>0.60416666666666663</v>
      </c>
      <c r="I717" t="s">
        <v>30</v>
      </c>
      <c r="J717">
        <v>1</v>
      </c>
      <c r="L717" s="46"/>
      <c r="P717">
        <v>80</v>
      </c>
      <c r="Q717">
        <v>0</v>
      </c>
      <c r="R717">
        <v>0</v>
      </c>
      <c r="S717" s="7">
        <f>Tabla1[[#This Row],[TARIFA]]+Tabla1[[#This Row],[IMPORTE EXTRAS]]</f>
        <v>80</v>
      </c>
      <c r="T717" t="s">
        <v>45</v>
      </c>
      <c r="U717">
        <v>80</v>
      </c>
      <c r="V717">
        <v>0</v>
      </c>
      <c r="W717">
        <v>0</v>
      </c>
      <c r="X717" s="49">
        <v>0</v>
      </c>
      <c r="Y717" s="49" t="s">
        <v>613</v>
      </c>
      <c r="Z717" s="7">
        <f>SUM(Tabla1[[#This Row],[RES-A]:[EXTR-B]])</f>
        <v>80</v>
      </c>
      <c r="AA717" s="7">
        <f>Tabla1[[#This Row],[Columna1]]-Tabla1[[#This Row],[IMPORTE TOTAL]]</f>
        <v>0</v>
      </c>
    </row>
    <row r="718" spans="1:27" x14ac:dyDescent="0.2">
      <c r="A718">
        <v>2024</v>
      </c>
      <c r="B718" t="s">
        <v>48</v>
      </c>
      <c r="C718" s="51">
        <v>45293</v>
      </c>
      <c r="D718" s="3" t="s">
        <v>38</v>
      </c>
      <c r="E718" s="3" t="s">
        <v>46</v>
      </c>
      <c r="F718" s="3" t="s">
        <v>46</v>
      </c>
      <c r="G718" s="4">
        <v>0.64583333333333337</v>
      </c>
      <c r="H718" s="4">
        <v>0.85416666666666663</v>
      </c>
      <c r="I718" t="s">
        <v>31</v>
      </c>
      <c r="J718">
        <v>1</v>
      </c>
      <c r="L718" s="46"/>
      <c r="P718">
        <v>95</v>
      </c>
      <c r="Q718">
        <v>0</v>
      </c>
      <c r="R718">
        <v>0</v>
      </c>
      <c r="S718" s="7">
        <f>Tabla1[[#This Row],[TARIFA]]+Tabla1[[#This Row],[IMPORTE EXTRAS]]</f>
        <v>95</v>
      </c>
      <c r="T718" t="s">
        <v>45</v>
      </c>
      <c r="U718">
        <v>50</v>
      </c>
      <c r="V718">
        <v>45</v>
      </c>
      <c r="W718">
        <v>0</v>
      </c>
      <c r="X718" s="49">
        <v>0</v>
      </c>
      <c r="Y718" s="49" t="s">
        <v>475</v>
      </c>
      <c r="Z718" s="7">
        <f>SUM(Tabla1[[#This Row],[RES-A]:[EXTR-B]])</f>
        <v>95</v>
      </c>
      <c r="AA718" s="7">
        <f>Tabla1[[#This Row],[Columna1]]-Tabla1[[#This Row],[IMPORTE TOTAL]]</f>
        <v>0</v>
      </c>
    </row>
    <row r="719" spans="1:27" x14ac:dyDescent="0.2">
      <c r="A719">
        <v>2024</v>
      </c>
      <c r="B719" t="s">
        <v>48</v>
      </c>
      <c r="C719" s="51">
        <v>45294</v>
      </c>
      <c r="D719" s="3" t="s">
        <v>39</v>
      </c>
      <c r="E719" s="3" t="s">
        <v>46</v>
      </c>
      <c r="F719" s="3" t="s">
        <v>46</v>
      </c>
      <c r="G719" s="4">
        <v>0.39583333333333331</v>
      </c>
      <c r="H719" s="4">
        <v>0.60416666666666663</v>
      </c>
      <c r="I719" t="s">
        <v>30</v>
      </c>
      <c r="J719">
        <v>1</v>
      </c>
      <c r="L719" s="46"/>
      <c r="P719">
        <v>80</v>
      </c>
      <c r="Q719">
        <v>0</v>
      </c>
      <c r="R719">
        <v>0</v>
      </c>
      <c r="S719" s="7">
        <f>Tabla1[[#This Row],[TARIFA]]+Tabla1[[#This Row],[IMPORTE EXTRAS]]</f>
        <v>80</v>
      </c>
      <c r="T719" t="s">
        <v>45</v>
      </c>
      <c r="U719">
        <v>80</v>
      </c>
      <c r="V719">
        <v>0</v>
      </c>
      <c r="W719">
        <v>0</v>
      </c>
      <c r="X719" s="49">
        <v>0</v>
      </c>
      <c r="Y719" s="49" t="s">
        <v>613</v>
      </c>
      <c r="Z719" s="7">
        <f>SUM(Tabla1[[#This Row],[RES-A]:[EXTR-B]])</f>
        <v>80</v>
      </c>
      <c r="AA719" s="7">
        <f>Tabla1[[#This Row],[Columna1]]-Tabla1[[#This Row],[IMPORTE TOTAL]]</f>
        <v>0</v>
      </c>
    </row>
    <row r="720" spans="1:27" x14ac:dyDescent="0.2">
      <c r="A720">
        <v>2024</v>
      </c>
      <c r="B720" t="s">
        <v>48</v>
      </c>
      <c r="C720" s="51">
        <v>45294</v>
      </c>
      <c r="D720" s="3" t="s">
        <v>39</v>
      </c>
      <c r="E720" s="3" t="s">
        <v>46</v>
      </c>
      <c r="F720" s="3" t="s">
        <v>46</v>
      </c>
      <c r="G720" s="4">
        <v>0.64583333333333337</v>
      </c>
      <c r="H720" s="4">
        <v>0.85416666666666663</v>
      </c>
      <c r="I720" t="s">
        <v>31</v>
      </c>
      <c r="J720">
        <v>1</v>
      </c>
      <c r="L720" s="46"/>
      <c r="P720">
        <v>95</v>
      </c>
      <c r="Q720">
        <v>0</v>
      </c>
      <c r="R720">
        <v>0</v>
      </c>
      <c r="S720" s="7">
        <f>Tabla1[[#This Row],[TARIFA]]+Tabla1[[#This Row],[IMPORTE EXTRAS]]</f>
        <v>95</v>
      </c>
      <c r="T720" t="s">
        <v>45</v>
      </c>
      <c r="U720">
        <v>50</v>
      </c>
      <c r="V720">
        <v>45</v>
      </c>
      <c r="W720">
        <v>0</v>
      </c>
      <c r="X720" s="49">
        <v>0</v>
      </c>
      <c r="Y720" s="49"/>
      <c r="Z720" s="7">
        <f>SUM(Tabla1[[#This Row],[RES-A]:[EXTR-B]])</f>
        <v>95</v>
      </c>
      <c r="AA720" s="7">
        <f>Tabla1[[#This Row],[Columna1]]-Tabla1[[#This Row],[IMPORTE TOTAL]]</f>
        <v>0</v>
      </c>
    </row>
    <row r="721" spans="1:27" x14ac:dyDescent="0.2">
      <c r="A721">
        <v>2024</v>
      </c>
      <c r="B721" t="s">
        <v>48</v>
      </c>
      <c r="C721" s="51">
        <v>45295</v>
      </c>
      <c r="D721" s="3" t="s">
        <v>40</v>
      </c>
      <c r="E721" s="3" t="s">
        <v>46</v>
      </c>
      <c r="F721" s="3" t="s">
        <v>46</v>
      </c>
      <c r="G721" s="4">
        <v>0.39583333333333331</v>
      </c>
      <c r="H721" s="4">
        <v>0.60416666666666663</v>
      </c>
      <c r="I721" t="s">
        <v>30</v>
      </c>
      <c r="J721">
        <v>1</v>
      </c>
      <c r="L721" s="46"/>
      <c r="P721">
        <v>80</v>
      </c>
      <c r="Q721">
        <v>0</v>
      </c>
      <c r="R721">
        <v>0</v>
      </c>
      <c r="S721" s="7">
        <f>Tabla1[[#This Row],[TARIFA]]+Tabla1[[#This Row],[IMPORTE EXTRAS]]</f>
        <v>80</v>
      </c>
      <c r="T721" t="s">
        <v>45</v>
      </c>
      <c r="U721">
        <v>80</v>
      </c>
      <c r="V721">
        <v>0</v>
      </c>
      <c r="W721">
        <v>0</v>
      </c>
      <c r="X721" s="49">
        <v>0</v>
      </c>
      <c r="Y721" s="49" t="s">
        <v>613</v>
      </c>
      <c r="Z721" s="7">
        <f>SUM(Tabla1[[#This Row],[RES-A]:[EXTR-B]])</f>
        <v>80</v>
      </c>
      <c r="AA721" s="7">
        <f>Tabla1[[#This Row],[Columna1]]-Tabla1[[#This Row],[IMPORTE TOTAL]]</f>
        <v>0</v>
      </c>
    </row>
    <row r="722" spans="1:27" x14ac:dyDescent="0.2">
      <c r="A722">
        <v>2024</v>
      </c>
      <c r="B722" t="s">
        <v>48</v>
      </c>
      <c r="C722" s="51">
        <v>45295</v>
      </c>
      <c r="D722" s="3" t="s">
        <v>40</v>
      </c>
      <c r="E722" s="3" t="s">
        <v>46</v>
      </c>
      <c r="F722" s="3" t="s">
        <v>46</v>
      </c>
      <c r="G722" s="4">
        <v>0.64583333333333337</v>
      </c>
      <c r="H722" s="4">
        <v>0.85416666666666663</v>
      </c>
      <c r="I722" t="s">
        <v>31</v>
      </c>
      <c r="J722">
        <v>1</v>
      </c>
      <c r="L722" s="46"/>
      <c r="P722">
        <v>95</v>
      </c>
      <c r="Q722">
        <v>0</v>
      </c>
      <c r="R722">
        <v>0</v>
      </c>
      <c r="S722" s="7">
        <f>Tabla1[[#This Row],[TARIFA]]+Tabla1[[#This Row],[IMPORTE EXTRAS]]</f>
        <v>95</v>
      </c>
      <c r="T722" t="s">
        <v>45</v>
      </c>
      <c r="U722">
        <v>50</v>
      </c>
      <c r="V722">
        <v>45</v>
      </c>
      <c r="W722">
        <v>0</v>
      </c>
      <c r="X722" s="49">
        <v>0</v>
      </c>
      <c r="Y722" s="49"/>
      <c r="Z722" s="7">
        <f>SUM(Tabla1[[#This Row],[RES-A]:[EXTR-B]])</f>
        <v>95</v>
      </c>
      <c r="AA722" s="7">
        <f>Tabla1[[#This Row],[Columna1]]-Tabla1[[#This Row],[IMPORTE TOTAL]]</f>
        <v>0</v>
      </c>
    </row>
    <row r="723" spans="1:27" x14ac:dyDescent="0.2">
      <c r="A723">
        <v>2024</v>
      </c>
      <c r="B723" t="s">
        <v>48</v>
      </c>
      <c r="C723" s="51">
        <v>45296</v>
      </c>
      <c r="D723" s="3" t="s">
        <v>41</v>
      </c>
      <c r="E723" s="3" t="s">
        <v>46</v>
      </c>
      <c r="F723" s="3" t="s">
        <v>46</v>
      </c>
      <c r="G723" s="4">
        <v>0.39583333333333331</v>
      </c>
      <c r="H723" s="4">
        <v>0.60416666666666663</v>
      </c>
      <c r="I723" t="s">
        <v>30</v>
      </c>
      <c r="J723">
        <v>1</v>
      </c>
      <c r="L723" s="46"/>
      <c r="P723">
        <v>0</v>
      </c>
      <c r="Q723">
        <v>0</v>
      </c>
      <c r="R723">
        <v>0</v>
      </c>
      <c r="S723" s="7">
        <f>Tabla1[[#This Row],[TARIFA]]+Tabla1[[#This Row],[IMPORTE EXTRAS]]</f>
        <v>0</v>
      </c>
      <c r="T723" t="s">
        <v>45</v>
      </c>
      <c r="U723">
        <v>0</v>
      </c>
      <c r="V723">
        <v>0</v>
      </c>
      <c r="W723">
        <v>0</v>
      </c>
      <c r="X723" s="49">
        <v>0</v>
      </c>
      <c r="Y723" s="49"/>
      <c r="Z723" s="7">
        <f>SUM(Tabla1[[#This Row],[RES-A]:[EXTR-B]])</f>
        <v>0</v>
      </c>
      <c r="AA723" s="7">
        <f>Tabla1[[#This Row],[Columna1]]-Tabla1[[#This Row],[IMPORTE TOTAL]]</f>
        <v>0</v>
      </c>
    </row>
    <row r="724" spans="1:27" x14ac:dyDescent="0.2">
      <c r="A724">
        <v>2024</v>
      </c>
      <c r="B724" t="s">
        <v>48</v>
      </c>
      <c r="C724" s="51">
        <v>45296</v>
      </c>
      <c r="D724" s="3" t="s">
        <v>41</v>
      </c>
      <c r="E724" s="3" t="s">
        <v>46</v>
      </c>
      <c r="F724" s="3" t="s">
        <v>45</v>
      </c>
      <c r="G724" s="4">
        <v>0.89583333333333337</v>
      </c>
      <c r="H724" s="4">
        <v>0.10416666666666667</v>
      </c>
      <c r="I724" t="s">
        <v>35</v>
      </c>
      <c r="J724">
        <v>1</v>
      </c>
      <c r="L724" s="46"/>
      <c r="P724">
        <v>180</v>
      </c>
      <c r="Q724">
        <v>0</v>
      </c>
      <c r="R724">
        <v>0</v>
      </c>
      <c r="S724" s="7">
        <f>Tabla1[[#This Row],[TARIFA]]+Tabla1[[#This Row],[IMPORTE EXTRAS]]</f>
        <v>180</v>
      </c>
      <c r="T724" t="s">
        <v>45</v>
      </c>
      <c r="U724">
        <v>50</v>
      </c>
      <c r="V724">
        <v>130</v>
      </c>
      <c r="W724">
        <v>0</v>
      </c>
      <c r="X724" s="49">
        <v>0</v>
      </c>
      <c r="Y724" s="49"/>
      <c r="Z724" s="7">
        <f>SUM(Tabla1[[#This Row],[RES-A]:[EXTR-B]])</f>
        <v>180</v>
      </c>
      <c r="AA724" s="7">
        <f>Tabla1[[#This Row],[Columna1]]-Tabla1[[#This Row],[IMPORTE TOTAL]]</f>
        <v>0</v>
      </c>
    </row>
    <row r="725" spans="1:27" x14ac:dyDescent="0.2">
      <c r="A725">
        <v>2024</v>
      </c>
      <c r="B725" t="s">
        <v>48</v>
      </c>
      <c r="C725" s="51">
        <v>45297</v>
      </c>
      <c r="D725" s="3" t="s">
        <v>42</v>
      </c>
      <c r="E725" s="3" t="s">
        <v>45</v>
      </c>
      <c r="F725" s="3" t="s">
        <v>45</v>
      </c>
      <c r="G725" s="4">
        <v>0.625</v>
      </c>
      <c r="H725" s="4">
        <v>0.83333333333333337</v>
      </c>
      <c r="I725" t="s">
        <v>31</v>
      </c>
      <c r="J725">
        <v>1</v>
      </c>
      <c r="L725" s="46"/>
      <c r="P725">
        <v>150</v>
      </c>
      <c r="Q725">
        <v>0</v>
      </c>
      <c r="R725">
        <v>0</v>
      </c>
      <c r="S725" s="7">
        <f>Tabla1[[#This Row],[TARIFA]]+Tabla1[[#This Row],[IMPORTE EXTRAS]]</f>
        <v>150</v>
      </c>
      <c r="T725" t="s">
        <v>45</v>
      </c>
      <c r="U725">
        <v>0</v>
      </c>
      <c r="V725">
        <v>150</v>
      </c>
      <c r="W725">
        <v>0</v>
      </c>
      <c r="X725" s="49">
        <v>0</v>
      </c>
      <c r="Y725" s="49"/>
      <c r="Z725" s="7">
        <f>SUM(Tabla1[[#This Row],[RES-A]:[EXTR-B]])</f>
        <v>150</v>
      </c>
      <c r="AA725" s="7">
        <f>Tabla1[[#This Row],[Columna1]]-Tabla1[[#This Row],[IMPORTE TOTAL]]</f>
        <v>0</v>
      </c>
    </row>
    <row r="726" spans="1:27" x14ac:dyDescent="0.2">
      <c r="A726">
        <v>2024</v>
      </c>
      <c r="B726" t="s">
        <v>48</v>
      </c>
      <c r="C726" s="51">
        <v>45298</v>
      </c>
      <c r="D726" s="3" t="s">
        <v>43</v>
      </c>
      <c r="E726" s="3" t="s">
        <v>46</v>
      </c>
      <c r="F726" s="3" t="s">
        <v>46</v>
      </c>
      <c r="G726" s="4">
        <v>0.64583333333333337</v>
      </c>
      <c r="H726" s="4">
        <v>0.85416666666666663</v>
      </c>
      <c r="I726" t="s">
        <v>31</v>
      </c>
      <c r="J726">
        <v>1</v>
      </c>
      <c r="L726" s="46"/>
      <c r="P726">
        <v>150</v>
      </c>
      <c r="Q726">
        <v>0</v>
      </c>
      <c r="R726">
        <v>0</v>
      </c>
      <c r="S726" s="7">
        <f>Tabla1[[#This Row],[TARIFA]]+Tabla1[[#This Row],[IMPORTE EXTRAS]]</f>
        <v>150</v>
      </c>
      <c r="T726" t="s">
        <v>45</v>
      </c>
      <c r="U726">
        <v>0</v>
      </c>
      <c r="V726">
        <v>150</v>
      </c>
      <c r="W726">
        <v>0</v>
      </c>
      <c r="X726" s="49">
        <v>0</v>
      </c>
      <c r="Y726" s="49"/>
      <c r="Z726" s="7">
        <f>SUM(Tabla1[[#This Row],[RES-A]:[EXTR-B]])</f>
        <v>150</v>
      </c>
      <c r="AA726" s="7">
        <f>Tabla1[[#This Row],[Columna1]]-Tabla1[[#This Row],[IMPORTE TOTAL]]</f>
        <v>0</v>
      </c>
    </row>
    <row r="727" spans="1:27" x14ac:dyDescent="0.2">
      <c r="A727">
        <v>2024</v>
      </c>
      <c r="B727" t="s">
        <v>48</v>
      </c>
      <c r="C727" s="51">
        <v>45301</v>
      </c>
      <c r="D727" s="3" t="s">
        <v>39</v>
      </c>
      <c r="E727" s="3" t="s">
        <v>46</v>
      </c>
      <c r="F727" s="3" t="s">
        <v>46</v>
      </c>
      <c r="G727" s="4">
        <v>0.64583333333333337</v>
      </c>
      <c r="H727" s="4">
        <v>0.85416666666666663</v>
      </c>
      <c r="I727" t="s">
        <v>31</v>
      </c>
      <c r="J727">
        <v>1</v>
      </c>
      <c r="L727" s="46"/>
      <c r="P727">
        <v>95</v>
      </c>
      <c r="Q727">
        <v>0</v>
      </c>
      <c r="R727">
        <v>0</v>
      </c>
      <c r="S727" s="7">
        <f>Tabla1[[#This Row],[TARIFA]]+Tabla1[[#This Row],[IMPORTE EXTRAS]]</f>
        <v>95</v>
      </c>
      <c r="T727" t="s">
        <v>45</v>
      </c>
      <c r="U727">
        <v>95</v>
      </c>
      <c r="V727">
        <v>0</v>
      </c>
      <c r="W727">
        <v>0</v>
      </c>
      <c r="X727" s="49">
        <v>0</v>
      </c>
      <c r="Y727" s="49"/>
      <c r="Z727" s="7">
        <f>SUM(Tabla1[[#This Row],[RES-A]:[EXTR-B]])</f>
        <v>95</v>
      </c>
      <c r="AA727" s="7">
        <f>Tabla1[[#This Row],[Columna1]]-Tabla1[[#This Row],[IMPORTE TOTAL]]</f>
        <v>0</v>
      </c>
    </row>
    <row r="728" spans="1:27" x14ac:dyDescent="0.2">
      <c r="A728">
        <v>2024</v>
      </c>
      <c r="B728" t="s">
        <v>48</v>
      </c>
      <c r="C728" s="51">
        <v>45302</v>
      </c>
      <c r="D728" s="3" t="s">
        <v>40</v>
      </c>
      <c r="E728" s="3" t="s">
        <v>46</v>
      </c>
      <c r="F728" s="3" t="s">
        <v>46</v>
      </c>
      <c r="G728" s="4">
        <v>0.64583333333333337</v>
      </c>
      <c r="H728" s="4">
        <v>0.85416666666666663</v>
      </c>
      <c r="I728" t="s">
        <v>31</v>
      </c>
      <c r="J728">
        <v>1</v>
      </c>
      <c r="L728" s="46"/>
      <c r="P728">
        <v>95</v>
      </c>
      <c r="Q728">
        <v>0</v>
      </c>
      <c r="R728">
        <v>0</v>
      </c>
      <c r="S728" s="7">
        <f>Tabla1[[#This Row],[TARIFA]]+Tabla1[[#This Row],[IMPORTE EXTRAS]]</f>
        <v>95</v>
      </c>
      <c r="T728" t="s">
        <v>45</v>
      </c>
      <c r="U728">
        <v>50</v>
      </c>
      <c r="V728">
        <v>45</v>
      </c>
      <c r="W728">
        <v>0</v>
      </c>
      <c r="X728" s="49">
        <v>0</v>
      </c>
      <c r="Y728" s="49"/>
      <c r="Z728" s="7">
        <f>SUM(Tabla1[[#This Row],[RES-A]:[EXTR-B]])</f>
        <v>95</v>
      </c>
      <c r="AA728" s="7">
        <f>Tabla1[[#This Row],[Columna1]]-Tabla1[[#This Row],[IMPORTE TOTAL]]</f>
        <v>0</v>
      </c>
    </row>
    <row r="729" spans="1:27" x14ac:dyDescent="0.2">
      <c r="A729">
        <v>2024</v>
      </c>
      <c r="B729" t="s">
        <v>48</v>
      </c>
      <c r="C729" s="51">
        <v>45303</v>
      </c>
      <c r="D729" s="3" t="s">
        <v>41</v>
      </c>
      <c r="E729" s="3" t="s">
        <v>46</v>
      </c>
      <c r="F729" s="3" t="s">
        <v>46</v>
      </c>
      <c r="G729" s="4">
        <v>0.64583333333333337</v>
      </c>
      <c r="H729" s="4">
        <v>0.85416666666666663</v>
      </c>
      <c r="I729" t="s">
        <v>31</v>
      </c>
      <c r="J729">
        <v>1</v>
      </c>
      <c r="L729" s="46"/>
      <c r="P729">
        <v>140</v>
      </c>
      <c r="Q729">
        <v>0</v>
      </c>
      <c r="R729">
        <v>0</v>
      </c>
      <c r="S729" s="7">
        <f>Tabla1[[#This Row],[TARIFA]]+Tabla1[[#This Row],[IMPORTE EXTRAS]]</f>
        <v>140</v>
      </c>
      <c r="T729" t="s">
        <v>45</v>
      </c>
      <c r="U729">
        <v>50</v>
      </c>
      <c r="V729">
        <v>90</v>
      </c>
      <c r="W729">
        <v>0</v>
      </c>
      <c r="X729" s="49">
        <v>0</v>
      </c>
      <c r="Y729" s="49" t="s">
        <v>543</v>
      </c>
      <c r="Z729" s="7">
        <f>SUM(Tabla1[[#This Row],[RES-A]:[EXTR-B]])</f>
        <v>140</v>
      </c>
      <c r="AA729" s="7">
        <f>Tabla1[[#This Row],[Columna1]]-Tabla1[[#This Row],[IMPORTE TOTAL]]</f>
        <v>0</v>
      </c>
    </row>
    <row r="730" spans="1:27" x14ac:dyDescent="0.2">
      <c r="A730">
        <v>2024</v>
      </c>
      <c r="B730" t="s">
        <v>48</v>
      </c>
      <c r="C730" s="51">
        <v>45303</v>
      </c>
      <c r="D730" s="3" t="s">
        <v>41</v>
      </c>
      <c r="E730" s="3" t="s">
        <v>46</v>
      </c>
      <c r="F730" s="3" t="s">
        <v>46</v>
      </c>
      <c r="G730" s="4">
        <v>0.89583333333333337</v>
      </c>
      <c r="H730" s="4">
        <v>0.10416666666666667</v>
      </c>
      <c r="I730" t="s">
        <v>35</v>
      </c>
      <c r="J730">
        <v>1</v>
      </c>
      <c r="L730" s="46"/>
      <c r="P730">
        <v>200</v>
      </c>
      <c r="Q730">
        <v>1</v>
      </c>
      <c r="R730">
        <v>60</v>
      </c>
      <c r="S730" s="7">
        <f>Tabla1[[#This Row],[TARIFA]]+Tabla1[[#This Row],[IMPORTE EXTRAS]]</f>
        <v>260</v>
      </c>
      <c r="T730" t="s">
        <v>45</v>
      </c>
      <c r="U730">
        <v>50</v>
      </c>
      <c r="V730">
        <v>150</v>
      </c>
      <c r="W730">
        <v>0</v>
      </c>
      <c r="X730" s="49">
        <v>60</v>
      </c>
      <c r="Y730" s="49"/>
      <c r="Z730" s="7">
        <f>SUM(Tabla1[[#This Row],[RES-A]:[EXTR-B]])</f>
        <v>260</v>
      </c>
      <c r="AA730" s="7">
        <f>Tabla1[[#This Row],[Columna1]]-Tabla1[[#This Row],[IMPORTE TOTAL]]</f>
        <v>0</v>
      </c>
    </row>
    <row r="731" spans="1:27" x14ac:dyDescent="0.2">
      <c r="A731">
        <v>2024</v>
      </c>
      <c r="B731" t="s">
        <v>48</v>
      </c>
      <c r="C731" s="51">
        <v>45304</v>
      </c>
      <c r="D731" s="3" t="s">
        <v>42</v>
      </c>
      <c r="E731" s="3" t="s">
        <v>46</v>
      </c>
      <c r="F731" s="3" t="s">
        <v>46</v>
      </c>
      <c r="G731" s="4">
        <v>0.39583333333333331</v>
      </c>
      <c r="H731" s="4">
        <v>0.60416666666666663</v>
      </c>
      <c r="I731" t="s">
        <v>30</v>
      </c>
      <c r="J731">
        <v>1</v>
      </c>
      <c r="L731" s="46"/>
      <c r="P731">
        <v>150</v>
      </c>
      <c r="Q731">
        <v>0</v>
      </c>
      <c r="R731">
        <v>0</v>
      </c>
      <c r="S731" s="7">
        <f>Tabla1[[#This Row],[TARIFA]]+Tabla1[[#This Row],[IMPORTE EXTRAS]]</f>
        <v>150</v>
      </c>
      <c r="T731" t="s">
        <v>45</v>
      </c>
      <c r="U731">
        <v>50</v>
      </c>
      <c r="V731">
        <v>100</v>
      </c>
      <c r="W731">
        <v>0</v>
      </c>
      <c r="X731" s="49">
        <v>0</v>
      </c>
      <c r="Y731" s="49"/>
      <c r="Z731" s="7">
        <f>SUM(Tabla1[[#This Row],[RES-A]:[EXTR-B]])</f>
        <v>150</v>
      </c>
      <c r="AA731" s="7">
        <f>Tabla1[[#This Row],[Columna1]]-Tabla1[[#This Row],[IMPORTE TOTAL]]</f>
        <v>0</v>
      </c>
    </row>
    <row r="732" spans="1:27" x14ac:dyDescent="0.2">
      <c r="A732">
        <v>2024</v>
      </c>
      <c r="B732" t="s">
        <v>48</v>
      </c>
      <c r="C732" s="51">
        <v>45304</v>
      </c>
      <c r="D732" s="3" t="s">
        <v>42</v>
      </c>
      <c r="E732" s="3" t="s">
        <v>46</v>
      </c>
      <c r="F732" s="3" t="s">
        <v>46</v>
      </c>
      <c r="G732" s="4">
        <v>0.64583333333333337</v>
      </c>
      <c r="H732" s="4">
        <v>0.85416666666666663</v>
      </c>
      <c r="I732" t="s">
        <v>31</v>
      </c>
      <c r="J732">
        <v>1</v>
      </c>
      <c r="L732" s="46"/>
      <c r="P732">
        <v>150</v>
      </c>
      <c r="Q732">
        <v>0</v>
      </c>
      <c r="R732">
        <v>0</v>
      </c>
      <c r="S732" s="7">
        <f>Tabla1[[#This Row],[TARIFA]]+Tabla1[[#This Row],[IMPORTE EXTRAS]]</f>
        <v>150</v>
      </c>
      <c r="T732" t="s">
        <v>45</v>
      </c>
      <c r="U732">
        <v>50</v>
      </c>
      <c r="V732">
        <v>100</v>
      </c>
      <c r="W732">
        <v>0</v>
      </c>
      <c r="X732" s="49">
        <v>0</v>
      </c>
      <c r="Y732" s="49"/>
      <c r="Z732" s="7">
        <f>SUM(Tabla1[[#This Row],[RES-A]:[EXTR-B]])</f>
        <v>150</v>
      </c>
      <c r="AA732" s="7">
        <f>Tabla1[[#This Row],[Columna1]]-Tabla1[[#This Row],[IMPORTE TOTAL]]</f>
        <v>0</v>
      </c>
    </row>
    <row r="733" spans="1:27" x14ac:dyDescent="0.2">
      <c r="A733">
        <v>2024</v>
      </c>
      <c r="B733" t="s">
        <v>48</v>
      </c>
      <c r="C733" s="51">
        <v>45304</v>
      </c>
      <c r="D733" s="3" t="s">
        <v>42</v>
      </c>
      <c r="E733" s="3" t="s">
        <v>46</v>
      </c>
      <c r="F733" s="3" t="s">
        <v>46</v>
      </c>
      <c r="G733" s="4">
        <v>0.89583333333333337</v>
      </c>
      <c r="H733" s="4">
        <v>0.10416666666666667</v>
      </c>
      <c r="I733" t="s">
        <v>35</v>
      </c>
      <c r="J733">
        <v>1</v>
      </c>
      <c r="L733" s="46"/>
      <c r="P733">
        <v>200</v>
      </c>
      <c r="Q733">
        <v>1</v>
      </c>
      <c r="R733">
        <v>60</v>
      </c>
      <c r="S733" s="7">
        <f>Tabla1[[#This Row],[TARIFA]]+Tabla1[[#This Row],[IMPORTE EXTRAS]]</f>
        <v>260</v>
      </c>
      <c r="T733" t="s">
        <v>45</v>
      </c>
      <c r="U733">
        <v>200</v>
      </c>
      <c r="V733">
        <v>0</v>
      </c>
      <c r="W733">
        <v>60</v>
      </c>
      <c r="X733" s="49">
        <v>0</v>
      </c>
      <c r="Y733" s="49"/>
      <c r="Z733" s="7">
        <f>SUM(Tabla1[[#This Row],[RES-A]:[EXTR-B]])</f>
        <v>260</v>
      </c>
      <c r="AA733" s="7">
        <f>Tabla1[[#This Row],[Columna1]]-Tabla1[[#This Row],[IMPORTE TOTAL]]</f>
        <v>0</v>
      </c>
    </row>
    <row r="734" spans="1:27" x14ac:dyDescent="0.2">
      <c r="A734">
        <v>2024</v>
      </c>
      <c r="B734" t="s">
        <v>48</v>
      </c>
      <c r="C734" s="51">
        <v>45305</v>
      </c>
      <c r="D734" s="3" t="s">
        <v>43</v>
      </c>
      <c r="E734" s="3" t="s">
        <v>46</v>
      </c>
      <c r="F734" s="3" t="s">
        <v>46</v>
      </c>
      <c r="G734" s="4">
        <v>0.64583333333333337</v>
      </c>
      <c r="H734" s="4">
        <v>0.85416666666666663</v>
      </c>
      <c r="I734" t="s">
        <v>31</v>
      </c>
      <c r="J734">
        <v>1</v>
      </c>
      <c r="L734" s="46"/>
      <c r="P734">
        <v>150</v>
      </c>
      <c r="Q734">
        <v>0</v>
      </c>
      <c r="R734">
        <v>0</v>
      </c>
      <c r="S734" s="7">
        <f>Tabla1[[#This Row],[TARIFA]]+Tabla1[[#This Row],[IMPORTE EXTRAS]]</f>
        <v>150</v>
      </c>
      <c r="T734" t="s">
        <v>45</v>
      </c>
      <c r="U734">
        <v>50</v>
      </c>
      <c r="V734">
        <v>100</v>
      </c>
      <c r="W734">
        <v>0</v>
      </c>
      <c r="X734" s="49">
        <v>0</v>
      </c>
      <c r="Y734" s="49"/>
      <c r="Z734" s="7">
        <f>SUM(Tabla1[[#This Row],[RES-A]:[EXTR-B]])</f>
        <v>150</v>
      </c>
      <c r="AA734" s="7">
        <f>Tabla1[[#This Row],[Columna1]]-Tabla1[[#This Row],[IMPORTE TOTAL]]</f>
        <v>0</v>
      </c>
    </row>
    <row r="735" spans="1:27" x14ac:dyDescent="0.2">
      <c r="A735">
        <v>2024</v>
      </c>
      <c r="B735" t="s">
        <v>48</v>
      </c>
      <c r="C735" s="51">
        <v>45310</v>
      </c>
      <c r="D735" s="3" t="s">
        <v>41</v>
      </c>
      <c r="E735" s="3" t="s">
        <v>46</v>
      </c>
      <c r="F735" s="3" t="s">
        <v>46</v>
      </c>
      <c r="G735" s="4">
        <v>0.64583333333333337</v>
      </c>
      <c r="H735" s="4">
        <v>0.10416666666666667</v>
      </c>
      <c r="I735" t="s">
        <v>53</v>
      </c>
      <c r="J735">
        <v>2</v>
      </c>
      <c r="L735" s="46"/>
      <c r="P735">
        <v>300</v>
      </c>
      <c r="Q735">
        <v>0</v>
      </c>
      <c r="R735">
        <v>0</v>
      </c>
      <c r="S735" s="7">
        <f>Tabla1[[#This Row],[TARIFA]]+Tabla1[[#This Row],[IMPORTE EXTRAS]]</f>
        <v>300</v>
      </c>
      <c r="T735" t="s">
        <v>45</v>
      </c>
      <c r="U735">
        <v>50</v>
      </c>
      <c r="V735">
        <v>250</v>
      </c>
      <c r="W735">
        <v>0</v>
      </c>
      <c r="X735" s="49">
        <v>0</v>
      </c>
      <c r="Y735" s="49"/>
      <c r="Z735" s="7">
        <f>SUM(Tabla1[[#This Row],[RES-A]:[EXTR-B]])</f>
        <v>300</v>
      </c>
      <c r="AA735" s="7">
        <f>Tabla1[[#This Row],[Columna1]]-Tabla1[[#This Row],[IMPORTE TOTAL]]</f>
        <v>0</v>
      </c>
    </row>
    <row r="736" spans="1:27" x14ac:dyDescent="0.2">
      <c r="A736">
        <v>2024</v>
      </c>
      <c r="B736" t="s">
        <v>48</v>
      </c>
      <c r="C736" s="51">
        <v>45311</v>
      </c>
      <c r="D736" s="3" t="s">
        <v>42</v>
      </c>
      <c r="E736" s="3" t="s">
        <v>46</v>
      </c>
      <c r="F736" s="3" t="s">
        <v>46</v>
      </c>
      <c r="G736" s="4">
        <v>0.39583333333333331</v>
      </c>
      <c r="H736" s="4">
        <v>0.60416666666666663</v>
      </c>
      <c r="I736" t="s">
        <v>30</v>
      </c>
      <c r="J736">
        <v>1</v>
      </c>
      <c r="L736" s="46"/>
      <c r="P736">
        <v>150</v>
      </c>
      <c r="Q736">
        <v>0</v>
      </c>
      <c r="R736">
        <v>0</v>
      </c>
      <c r="S736" s="7">
        <f>Tabla1[[#This Row],[TARIFA]]+Tabla1[[#This Row],[IMPORTE EXTRAS]]</f>
        <v>150</v>
      </c>
      <c r="T736" t="s">
        <v>45</v>
      </c>
      <c r="U736">
        <v>150</v>
      </c>
      <c r="V736">
        <v>0</v>
      </c>
      <c r="W736">
        <v>0</v>
      </c>
      <c r="X736" s="49">
        <v>0</v>
      </c>
      <c r="Y736" s="49"/>
      <c r="Z736" s="7">
        <f>SUM(Tabla1[[#This Row],[RES-A]:[EXTR-B]])</f>
        <v>150</v>
      </c>
      <c r="AA736" s="7">
        <f>Tabla1[[#This Row],[Columna1]]-Tabla1[[#This Row],[IMPORTE TOTAL]]</f>
        <v>0</v>
      </c>
    </row>
    <row r="737" spans="1:27" x14ac:dyDescent="0.2">
      <c r="A737">
        <v>2024</v>
      </c>
      <c r="B737" t="s">
        <v>48</v>
      </c>
      <c r="C737" s="51">
        <v>45311</v>
      </c>
      <c r="D737" s="3" t="s">
        <v>42</v>
      </c>
      <c r="E737" s="3" t="s">
        <v>46</v>
      </c>
      <c r="F737" s="3" t="s">
        <v>46</v>
      </c>
      <c r="G737" s="4">
        <v>0.64583333333333337</v>
      </c>
      <c r="H737" s="4">
        <v>0.85416666666666663</v>
      </c>
      <c r="I737" t="s">
        <v>31</v>
      </c>
      <c r="J737">
        <v>1</v>
      </c>
      <c r="L737" s="46"/>
      <c r="P737">
        <v>150</v>
      </c>
      <c r="Q737">
        <v>0</v>
      </c>
      <c r="R737">
        <v>0</v>
      </c>
      <c r="S737" s="7">
        <f>Tabla1[[#This Row],[TARIFA]]+Tabla1[[#This Row],[IMPORTE EXTRAS]]</f>
        <v>150</v>
      </c>
      <c r="T737" t="s">
        <v>45</v>
      </c>
      <c r="U737">
        <v>50</v>
      </c>
      <c r="V737">
        <v>100</v>
      </c>
      <c r="W737">
        <v>0</v>
      </c>
      <c r="X737" s="49">
        <v>0</v>
      </c>
      <c r="Y737" s="49"/>
      <c r="Z737" s="7">
        <f>SUM(Tabla1[[#This Row],[RES-A]:[EXTR-B]])</f>
        <v>150</v>
      </c>
      <c r="AA737" s="7">
        <f>Tabla1[[#This Row],[Columna1]]-Tabla1[[#This Row],[IMPORTE TOTAL]]</f>
        <v>0</v>
      </c>
    </row>
    <row r="738" spans="1:27" x14ac:dyDescent="0.2">
      <c r="A738">
        <v>2024</v>
      </c>
      <c r="B738" t="s">
        <v>48</v>
      </c>
      <c r="C738" s="51">
        <v>45311</v>
      </c>
      <c r="D738" s="3" t="s">
        <v>42</v>
      </c>
      <c r="E738" s="3" t="s">
        <v>46</v>
      </c>
      <c r="F738" s="3" t="s">
        <v>46</v>
      </c>
      <c r="G738" s="4">
        <v>0.89583333333333337</v>
      </c>
      <c r="H738" s="4">
        <v>0.10416666666666667</v>
      </c>
      <c r="I738" t="s">
        <v>35</v>
      </c>
      <c r="J738">
        <v>1</v>
      </c>
      <c r="L738" s="46"/>
      <c r="P738">
        <v>200</v>
      </c>
      <c r="Q738">
        <v>1</v>
      </c>
      <c r="R738">
        <v>60</v>
      </c>
      <c r="S738" s="7">
        <f>Tabla1[[#This Row],[TARIFA]]+Tabla1[[#This Row],[IMPORTE EXTRAS]]</f>
        <v>260</v>
      </c>
      <c r="T738" t="s">
        <v>45</v>
      </c>
      <c r="U738">
        <v>50</v>
      </c>
      <c r="V738">
        <v>150</v>
      </c>
      <c r="W738">
        <v>0</v>
      </c>
      <c r="X738" s="49">
        <v>60</v>
      </c>
      <c r="Y738" s="49"/>
      <c r="Z738" s="7">
        <f>SUM(Tabla1[[#This Row],[RES-A]:[EXTR-B]])</f>
        <v>260</v>
      </c>
      <c r="AA738" s="7">
        <f>Tabla1[[#This Row],[Columna1]]-Tabla1[[#This Row],[IMPORTE TOTAL]]</f>
        <v>0</v>
      </c>
    </row>
    <row r="739" spans="1:27" x14ac:dyDescent="0.2">
      <c r="A739">
        <v>2024</v>
      </c>
      <c r="B739" t="s">
        <v>48</v>
      </c>
      <c r="C739" s="51">
        <v>45312</v>
      </c>
      <c r="D739" s="3" t="s">
        <v>43</v>
      </c>
      <c r="E739" s="3" t="s">
        <v>46</v>
      </c>
      <c r="F739" s="3" t="s">
        <v>46</v>
      </c>
      <c r="G739" s="4">
        <v>0.39583333333333331</v>
      </c>
      <c r="H739" s="4">
        <v>0.60416666666666663</v>
      </c>
      <c r="I739" t="s">
        <v>30</v>
      </c>
      <c r="J739">
        <v>1</v>
      </c>
      <c r="L739" s="46"/>
      <c r="P739">
        <v>150</v>
      </c>
      <c r="Q739">
        <v>0</v>
      </c>
      <c r="R739">
        <v>0</v>
      </c>
      <c r="S739" s="7">
        <f>Tabla1[[#This Row],[TARIFA]]+Tabla1[[#This Row],[IMPORTE EXTRAS]]</f>
        <v>150</v>
      </c>
      <c r="T739" t="s">
        <v>45</v>
      </c>
      <c r="U739">
        <v>50</v>
      </c>
      <c r="V739">
        <v>100</v>
      </c>
      <c r="W739">
        <v>0</v>
      </c>
      <c r="X739" s="49">
        <v>0</v>
      </c>
      <c r="Y739" s="49"/>
      <c r="Z739" s="7">
        <f>SUM(Tabla1[[#This Row],[RES-A]:[EXTR-B]])</f>
        <v>150</v>
      </c>
      <c r="AA739" s="7">
        <f>Tabla1[[#This Row],[Columna1]]-Tabla1[[#This Row],[IMPORTE TOTAL]]</f>
        <v>0</v>
      </c>
    </row>
    <row r="740" spans="1:27" x14ac:dyDescent="0.2">
      <c r="A740">
        <v>2024</v>
      </c>
      <c r="B740" t="s">
        <v>48</v>
      </c>
      <c r="C740" s="51">
        <v>45312</v>
      </c>
      <c r="D740" s="3" t="s">
        <v>43</v>
      </c>
      <c r="E740" s="3" t="s">
        <v>46</v>
      </c>
      <c r="F740" s="3" t="s">
        <v>46</v>
      </c>
      <c r="G740" s="4">
        <v>0.64583333333333337</v>
      </c>
      <c r="H740" s="4">
        <v>0.85416666666666663</v>
      </c>
      <c r="I740" t="s">
        <v>31</v>
      </c>
      <c r="J740">
        <v>1</v>
      </c>
      <c r="L740" s="46"/>
      <c r="P740">
        <v>150</v>
      </c>
      <c r="Q740">
        <v>0</v>
      </c>
      <c r="R740">
        <v>0</v>
      </c>
      <c r="S740" s="7">
        <f>Tabla1[[#This Row],[TARIFA]]+Tabla1[[#This Row],[IMPORTE EXTRAS]]</f>
        <v>150</v>
      </c>
      <c r="T740" t="s">
        <v>45</v>
      </c>
      <c r="U740">
        <v>0</v>
      </c>
      <c r="V740">
        <v>150</v>
      </c>
      <c r="W740">
        <v>0</v>
      </c>
      <c r="X740" s="49">
        <v>0</v>
      </c>
      <c r="Y740" s="49" t="s">
        <v>560</v>
      </c>
      <c r="Z740" s="7">
        <f>SUM(Tabla1[[#This Row],[RES-A]:[EXTR-B]])</f>
        <v>150</v>
      </c>
      <c r="AA740" s="7">
        <f>Tabla1[[#This Row],[Columna1]]-Tabla1[[#This Row],[IMPORTE TOTAL]]</f>
        <v>0</v>
      </c>
    </row>
    <row r="741" spans="1:27" x14ac:dyDescent="0.2">
      <c r="A741">
        <v>2024</v>
      </c>
      <c r="B741" t="s">
        <v>48</v>
      </c>
      <c r="C741" s="51">
        <v>45313</v>
      </c>
      <c r="D741" s="3" t="s">
        <v>37</v>
      </c>
      <c r="E741" s="3" t="s">
        <v>46</v>
      </c>
      <c r="F741" s="3" t="s">
        <v>46</v>
      </c>
      <c r="G741" s="4">
        <v>0.64583333333333337</v>
      </c>
      <c r="H741" s="4">
        <v>0.85416666666666663</v>
      </c>
      <c r="I741" t="s">
        <v>31</v>
      </c>
      <c r="J741">
        <v>1</v>
      </c>
      <c r="L741" s="46"/>
      <c r="P741">
        <v>95</v>
      </c>
      <c r="Q741">
        <v>0</v>
      </c>
      <c r="R741">
        <v>0</v>
      </c>
      <c r="S741" s="7">
        <f>Tabla1[[#This Row],[TARIFA]]+Tabla1[[#This Row],[IMPORTE EXTRAS]]</f>
        <v>95</v>
      </c>
      <c r="T741" t="s">
        <v>45</v>
      </c>
      <c r="U741">
        <v>50</v>
      </c>
      <c r="V741">
        <v>45</v>
      </c>
      <c r="W741">
        <v>0</v>
      </c>
      <c r="X741" s="49">
        <v>0</v>
      </c>
      <c r="Y741" s="49"/>
      <c r="Z741" s="7">
        <f>SUM(Tabla1[[#This Row],[RES-A]:[EXTR-B]])</f>
        <v>95</v>
      </c>
      <c r="AA741" s="7">
        <f>Tabla1[[#This Row],[Columna1]]-Tabla1[[#This Row],[IMPORTE TOTAL]]</f>
        <v>0</v>
      </c>
    </row>
    <row r="742" spans="1:27" x14ac:dyDescent="0.2">
      <c r="A742">
        <v>2024</v>
      </c>
      <c r="B742" t="s">
        <v>48</v>
      </c>
      <c r="C742" s="51">
        <v>45316</v>
      </c>
      <c r="D742" s="3" t="s">
        <v>40</v>
      </c>
      <c r="E742" s="3" t="s">
        <v>46</v>
      </c>
      <c r="F742" s="3" t="s">
        <v>46</v>
      </c>
      <c r="G742" s="4">
        <v>0.64583333333333337</v>
      </c>
      <c r="H742" s="4">
        <v>0.85416666666666663</v>
      </c>
      <c r="I742" t="s">
        <v>31</v>
      </c>
      <c r="J742">
        <v>1</v>
      </c>
      <c r="L742" s="46"/>
      <c r="P742">
        <v>95</v>
      </c>
      <c r="Q742">
        <v>0</v>
      </c>
      <c r="R742">
        <v>0</v>
      </c>
      <c r="S742" s="7">
        <f>Tabla1[[#This Row],[TARIFA]]+Tabla1[[#This Row],[IMPORTE EXTRAS]]</f>
        <v>95</v>
      </c>
      <c r="T742" t="s">
        <v>45</v>
      </c>
      <c r="U742">
        <v>50</v>
      </c>
      <c r="V742">
        <v>45</v>
      </c>
      <c r="W742">
        <v>0</v>
      </c>
      <c r="X742" s="49">
        <v>0</v>
      </c>
      <c r="Y742" s="49"/>
      <c r="Z742" s="7">
        <f>SUM(Tabla1[[#This Row],[RES-A]:[EXTR-B]])</f>
        <v>95</v>
      </c>
      <c r="AA742" s="7">
        <f>Tabla1[[#This Row],[Columna1]]-Tabla1[[#This Row],[IMPORTE TOTAL]]</f>
        <v>0</v>
      </c>
    </row>
    <row r="743" spans="1:27" x14ac:dyDescent="0.2">
      <c r="A743">
        <v>2024</v>
      </c>
      <c r="B743" t="s">
        <v>48</v>
      </c>
      <c r="C743" s="51">
        <v>45317</v>
      </c>
      <c r="D743" s="3" t="s">
        <v>41</v>
      </c>
      <c r="E743" s="3" t="s">
        <v>46</v>
      </c>
      <c r="F743" s="3" t="s">
        <v>46</v>
      </c>
      <c r="G743" s="4">
        <v>0.64583333333333337</v>
      </c>
      <c r="H743" s="4">
        <v>0.85416666666666663</v>
      </c>
      <c r="I743" t="s">
        <v>31</v>
      </c>
      <c r="J743">
        <v>1</v>
      </c>
      <c r="L743" s="46"/>
      <c r="P743">
        <v>140</v>
      </c>
      <c r="Q743">
        <v>0</v>
      </c>
      <c r="R743">
        <v>0</v>
      </c>
      <c r="S743" s="7">
        <f>Tabla1[[#This Row],[TARIFA]]+Tabla1[[#This Row],[IMPORTE EXTRAS]]</f>
        <v>140</v>
      </c>
      <c r="T743" t="s">
        <v>45</v>
      </c>
      <c r="U743">
        <v>50</v>
      </c>
      <c r="V743">
        <v>90</v>
      </c>
      <c r="W743">
        <v>0</v>
      </c>
      <c r="X743" s="49">
        <v>0</v>
      </c>
      <c r="Y743" s="49"/>
      <c r="Z743" s="7">
        <f>SUM(Tabla1[[#This Row],[RES-A]:[EXTR-B]])</f>
        <v>140</v>
      </c>
      <c r="AA743" s="7">
        <f>Tabla1[[#This Row],[Columna1]]-Tabla1[[#This Row],[IMPORTE TOTAL]]</f>
        <v>0</v>
      </c>
    </row>
    <row r="744" spans="1:27" x14ac:dyDescent="0.2">
      <c r="A744">
        <v>2024</v>
      </c>
      <c r="B744" t="s">
        <v>48</v>
      </c>
      <c r="C744" s="51">
        <v>45317</v>
      </c>
      <c r="D744" s="3" t="s">
        <v>41</v>
      </c>
      <c r="E744" s="3" t="s">
        <v>46</v>
      </c>
      <c r="F744" s="3" t="s">
        <v>46</v>
      </c>
      <c r="G744" s="4">
        <v>0.89583333333333337</v>
      </c>
      <c r="H744" s="4">
        <v>0.10416666666666667</v>
      </c>
      <c r="I744" t="s">
        <v>35</v>
      </c>
      <c r="J744">
        <v>1</v>
      </c>
      <c r="L744" s="46"/>
      <c r="P744">
        <v>200</v>
      </c>
      <c r="Q744">
        <v>1</v>
      </c>
      <c r="R744">
        <v>60</v>
      </c>
      <c r="S744" s="7">
        <f>Tabla1[[#This Row],[TARIFA]]+Tabla1[[#This Row],[IMPORTE EXTRAS]]</f>
        <v>260</v>
      </c>
      <c r="T744" t="s">
        <v>45</v>
      </c>
      <c r="U744">
        <v>200</v>
      </c>
      <c r="V744">
        <v>0</v>
      </c>
      <c r="W744">
        <v>60</v>
      </c>
      <c r="X744" s="49">
        <v>0</v>
      </c>
      <c r="Y744" s="49"/>
      <c r="Z744" s="7">
        <f>SUM(Tabla1[[#This Row],[RES-A]:[EXTR-B]])</f>
        <v>260</v>
      </c>
      <c r="AA744" s="7">
        <f>Tabla1[[#This Row],[Columna1]]-Tabla1[[#This Row],[IMPORTE TOTAL]]</f>
        <v>0</v>
      </c>
    </row>
    <row r="745" spans="1:27" x14ac:dyDescent="0.2">
      <c r="A745">
        <v>2024</v>
      </c>
      <c r="B745" t="s">
        <v>48</v>
      </c>
      <c r="C745" s="51">
        <v>45318</v>
      </c>
      <c r="D745" s="3" t="s">
        <v>42</v>
      </c>
      <c r="E745" s="3" t="s">
        <v>46</v>
      </c>
      <c r="F745" s="3" t="s">
        <v>46</v>
      </c>
      <c r="G745" s="4">
        <v>0.39583333333333331</v>
      </c>
      <c r="H745" s="4">
        <v>0.60416666666666663</v>
      </c>
      <c r="I745" t="s">
        <v>30</v>
      </c>
      <c r="J745">
        <v>1</v>
      </c>
      <c r="L745" s="46"/>
      <c r="P745">
        <v>150</v>
      </c>
      <c r="Q745">
        <v>0</v>
      </c>
      <c r="R745">
        <v>0</v>
      </c>
      <c r="S745" s="7">
        <f>Tabla1[[#This Row],[TARIFA]]+Tabla1[[#This Row],[IMPORTE EXTRAS]]</f>
        <v>150</v>
      </c>
      <c r="T745" t="s">
        <v>45</v>
      </c>
      <c r="U745">
        <v>50</v>
      </c>
      <c r="V745">
        <v>100</v>
      </c>
      <c r="W745">
        <v>0</v>
      </c>
      <c r="X745" s="49">
        <v>0</v>
      </c>
      <c r="Y745" s="49"/>
      <c r="Z745" s="7">
        <f>SUM(Tabla1[[#This Row],[RES-A]:[EXTR-B]])</f>
        <v>150</v>
      </c>
      <c r="AA745" s="7">
        <f>Tabla1[[#This Row],[Columna1]]-Tabla1[[#This Row],[IMPORTE TOTAL]]</f>
        <v>0</v>
      </c>
    </row>
    <row r="746" spans="1:27" x14ac:dyDescent="0.2">
      <c r="A746">
        <v>2024</v>
      </c>
      <c r="B746" t="s">
        <v>48</v>
      </c>
      <c r="C746" s="51">
        <v>45318</v>
      </c>
      <c r="D746" s="3" t="s">
        <v>42</v>
      </c>
      <c r="E746" s="3" t="s">
        <v>46</v>
      </c>
      <c r="F746" s="3" t="s">
        <v>46</v>
      </c>
      <c r="G746" s="4">
        <v>0.64583333333333337</v>
      </c>
      <c r="H746" s="4">
        <v>0.10416666666666667</v>
      </c>
      <c r="I746" t="s">
        <v>53</v>
      </c>
      <c r="J746">
        <v>2</v>
      </c>
      <c r="L746" s="46"/>
      <c r="P746">
        <v>320</v>
      </c>
      <c r="Q746">
        <v>1</v>
      </c>
      <c r="R746">
        <v>60</v>
      </c>
      <c r="S746" s="7">
        <f>Tabla1[[#This Row],[TARIFA]]+Tabla1[[#This Row],[IMPORTE EXTRAS]]</f>
        <v>380</v>
      </c>
      <c r="T746" t="s">
        <v>45</v>
      </c>
      <c r="U746">
        <v>50</v>
      </c>
      <c r="V746">
        <v>270</v>
      </c>
      <c r="W746">
        <v>0</v>
      </c>
      <c r="X746" s="49">
        <v>60</v>
      </c>
      <c r="Y746" s="49"/>
      <c r="Z746" s="7">
        <f>SUM(Tabla1[[#This Row],[RES-A]:[EXTR-B]])</f>
        <v>380</v>
      </c>
      <c r="AA746" s="7">
        <f>Tabla1[[#This Row],[Columna1]]-Tabla1[[#This Row],[IMPORTE TOTAL]]</f>
        <v>0</v>
      </c>
    </row>
    <row r="747" spans="1:27" x14ac:dyDescent="0.2">
      <c r="A747">
        <v>2024</v>
      </c>
      <c r="B747" t="s">
        <v>48</v>
      </c>
      <c r="C747" s="51">
        <v>45319</v>
      </c>
      <c r="D747" s="3" t="s">
        <v>43</v>
      </c>
      <c r="E747" s="3" t="s">
        <v>46</v>
      </c>
      <c r="F747" s="3" t="s">
        <v>46</v>
      </c>
      <c r="G747" s="4">
        <v>0.39583333333333331</v>
      </c>
      <c r="H747" s="4">
        <v>0.60416666666666663</v>
      </c>
      <c r="I747" t="s">
        <v>30</v>
      </c>
      <c r="J747">
        <v>1</v>
      </c>
      <c r="L747" s="46"/>
      <c r="P747">
        <v>150</v>
      </c>
      <c r="Q747">
        <v>0</v>
      </c>
      <c r="R747">
        <v>0</v>
      </c>
      <c r="S747" s="7">
        <f>Tabla1[[#This Row],[TARIFA]]+Tabla1[[#This Row],[IMPORTE EXTRAS]]</f>
        <v>150</v>
      </c>
      <c r="T747" t="s">
        <v>45</v>
      </c>
      <c r="U747">
        <v>50</v>
      </c>
      <c r="V747">
        <v>100</v>
      </c>
      <c r="W747">
        <v>0</v>
      </c>
      <c r="X747" s="49">
        <v>0</v>
      </c>
      <c r="Y747" s="49"/>
      <c r="Z747" s="7">
        <f>SUM(Tabla1[[#This Row],[RES-A]:[EXTR-B]])</f>
        <v>150</v>
      </c>
      <c r="AA747" s="7">
        <f>Tabla1[[#This Row],[Columna1]]-Tabla1[[#This Row],[IMPORTE TOTAL]]</f>
        <v>0</v>
      </c>
    </row>
    <row r="748" spans="1:27" x14ac:dyDescent="0.2">
      <c r="A748">
        <v>2024</v>
      </c>
      <c r="B748" t="s">
        <v>48</v>
      </c>
      <c r="C748" s="51">
        <v>45319</v>
      </c>
      <c r="D748" s="3" t="s">
        <v>43</v>
      </c>
      <c r="E748" s="3" t="s">
        <v>46</v>
      </c>
      <c r="F748" s="3" t="s">
        <v>46</v>
      </c>
      <c r="G748" s="4">
        <v>0.64583333333333337</v>
      </c>
      <c r="H748" s="4">
        <v>0.85416666666666663</v>
      </c>
      <c r="I748" t="s">
        <v>31</v>
      </c>
      <c r="J748">
        <v>1</v>
      </c>
      <c r="L748" s="46"/>
      <c r="P748">
        <v>150</v>
      </c>
      <c r="Q748">
        <v>1</v>
      </c>
      <c r="R748">
        <v>20</v>
      </c>
      <c r="S748" s="7">
        <f>Tabla1[[#This Row],[TARIFA]]+Tabla1[[#This Row],[IMPORTE EXTRAS]]</f>
        <v>170</v>
      </c>
      <c r="T748" t="s">
        <v>45</v>
      </c>
      <c r="U748">
        <v>0</v>
      </c>
      <c r="V748">
        <v>150</v>
      </c>
      <c r="W748">
        <v>0</v>
      </c>
      <c r="X748" s="49">
        <v>20</v>
      </c>
      <c r="Y748" s="49"/>
      <c r="Z748" s="7">
        <f>SUM(Tabla1[[#This Row],[RES-A]:[EXTR-B]])</f>
        <v>170</v>
      </c>
      <c r="AA748" s="7">
        <f>Tabla1[[#This Row],[Columna1]]-Tabla1[[#This Row],[IMPORTE TOTAL]]</f>
        <v>0</v>
      </c>
    </row>
    <row r="749" spans="1:27" x14ac:dyDescent="0.2">
      <c r="A749">
        <v>2024</v>
      </c>
      <c r="B749" t="s">
        <v>48</v>
      </c>
      <c r="C749" s="51">
        <v>45322</v>
      </c>
      <c r="D749" s="3" t="s">
        <v>39</v>
      </c>
      <c r="E749" s="3" t="s">
        <v>46</v>
      </c>
      <c r="F749" s="3" t="s">
        <v>46</v>
      </c>
      <c r="G749" s="4">
        <v>0.64583333333333337</v>
      </c>
      <c r="H749" s="4">
        <v>0.85416666666666663</v>
      </c>
      <c r="I749" t="s">
        <v>31</v>
      </c>
      <c r="J749">
        <v>1</v>
      </c>
      <c r="L749" s="46"/>
      <c r="P749">
        <v>95</v>
      </c>
      <c r="Q749">
        <v>0</v>
      </c>
      <c r="R749">
        <v>0</v>
      </c>
      <c r="S749" s="7">
        <f>Tabla1[[#This Row],[TARIFA]]+Tabla1[[#This Row],[IMPORTE EXTRAS]]</f>
        <v>95</v>
      </c>
      <c r="T749" t="s">
        <v>45</v>
      </c>
      <c r="U749">
        <v>50</v>
      </c>
      <c r="V749">
        <v>45</v>
      </c>
      <c r="W749">
        <v>0</v>
      </c>
      <c r="X749" s="49">
        <v>0</v>
      </c>
      <c r="Y749" s="49"/>
      <c r="Z749" s="7">
        <f>SUM(Tabla1[[#This Row],[RES-A]:[EXTR-B]])</f>
        <v>95</v>
      </c>
      <c r="AA749" s="7">
        <f>Tabla1[[#This Row],[Columna1]]-Tabla1[[#This Row],[IMPORTE TOTAL]]</f>
        <v>0</v>
      </c>
    </row>
    <row r="750" spans="1:27" x14ac:dyDescent="0.2">
      <c r="A750">
        <v>2024</v>
      </c>
      <c r="B750" t="s">
        <v>56</v>
      </c>
      <c r="C750" s="51">
        <v>45324</v>
      </c>
      <c r="D750" s="3" t="s">
        <v>41</v>
      </c>
      <c r="E750" s="3" t="s">
        <v>46</v>
      </c>
      <c r="F750" s="3" t="s">
        <v>46</v>
      </c>
      <c r="G750" s="4">
        <v>0.89583333333333337</v>
      </c>
      <c r="H750" s="4">
        <v>0.10416666666666667</v>
      </c>
      <c r="I750" t="s">
        <v>35</v>
      </c>
      <c r="J750">
        <v>1</v>
      </c>
      <c r="L750" s="46"/>
      <c r="P750">
        <v>200</v>
      </c>
      <c r="Q750">
        <v>1</v>
      </c>
      <c r="R750">
        <v>40</v>
      </c>
      <c r="S750" s="7">
        <f>Tabla1[[#This Row],[TARIFA]]+Tabla1[[#This Row],[IMPORTE EXTRAS]]</f>
        <v>240</v>
      </c>
      <c r="T750" t="s">
        <v>45</v>
      </c>
      <c r="U750">
        <v>100</v>
      </c>
      <c r="V750">
        <v>100</v>
      </c>
      <c r="W750">
        <v>0</v>
      </c>
      <c r="X750" s="49">
        <v>40</v>
      </c>
      <c r="Y750" s="49"/>
      <c r="Z750" s="7">
        <f>SUM(Tabla1[[#This Row],[RES-A]:[EXTR-B]])</f>
        <v>240</v>
      </c>
      <c r="AA750" s="7">
        <f>Tabla1[[#This Row],[Columna1]]-Tabla1[[#This Row],[IMPORTE TOTAL]]</f>
        <v>0</v>
      </c>
    </row>
    <row r="751" spans="1:27" x14ac:dyDescent="0.2">
      <c r="A751">
        <v>2024</v>
      </c>
      <c r="B751" t="s">
        <v>56</v>
      </c>
      <c r="C751" s="51">
        <v>45325</v>
      </c>
      <c r="D751" s="3" t="s">
        <v>42</v>
      </c>
      <c r="E751" s="3" t="s">
        <v>46</v>
      </c>
      <c r="F751" s="3" t="s">
        <v>46</v>
      </c>
      <c r="G751" s="4">
        <v>0.39583333333333331</v>
      </c>
      <c r="H751" s="4">
        <v>0.60416666666666663</v>
      </c>
      <c r="I751" t="s">
        <v>30</v>
      </c>
      <c r="J751">
        <v>1</v>
      </c>
      <c r="L751" s="46"/>
      <c r="P751">
        <v>150</v>
      </c>
      <c r="Q751">
        <v>0</v>
      </c>
      <c r="R751">
        <v>0</v>
      </c>
      <c r="S751" s="7">
        <f>Tabla1[[#This Row],[TARIFA]]+Tabla1[[#This Row],[IMPORTE EXTRAS]]</f>
        <v>150</v>
      </c>
      <c r="T751" t="s">
        <v>45</v>
      </c>
      <c r="U751">
        <v>50</v>
      </c>
      <c r="V751">
        <v>100</v>
      </c>
      <c r="W751">
        <v>0</v>
      </c>
      <c r="X751" s="49">
        <v>0</v>
      </c>
      <c r="Y751" s="49"/>
      <c r="Z751" s="7">
        <f>SUM(Tabla1[[#This Row],[RES-A]:[EXTR-B]])</f>
        <v>150</v>
      </c>
      <c r="AA751" s="7">
        <f>Tabla1[[#This Row],[Columna1]]-Tabla1[[#This Row],[IMPORTE TOTAL]]</f>
        <v>0</v>
      </c>
    </row>
    <row r="752" spans="1:27" x14ac:dyDescent="0.2">
      <c r="A752">
        <v>2024</v>
      </c>
      <c r="B752" t="s">
        <v>56</v>
      </c>
      <c r="C752" s="51">
        <v>45325</v>
      </c>
      <c r="D752" s="3" t="s">
        <v>42</v>
      </c>
      <c r="E752" s="3" t="s">
        <v>46</v>
      </c>
      <c r="F752" s="3" t="s">
        <v>46</v>
      </c>
      <c r="G752" s="4">
        <v>0.89583333333333337</v>
      </c>
      <c r="H752" s="4">
        <v>0.10416666666666667</v>
      </c>
      <c r="I752" t="s">
        <v>35</v>
      </c>
      <c r="J752">
        <v>1</v>
      </c>
      <c r="L752" s="46"/>
      <c r="P752">
        <v>200</v>
      </c>
      <c r="Q752">
        <v>1</v>
      </c>
      <c r="R752">
        <v>60</v>
      </c>
      <c r="S752" s="7">
        <f>Tabla1[[#This Row],[TARIFA]]+Tabla1[[#This Row],[IMPORTE EXTRAS]]</f>
        <v>260</v>
      </c>
      <c r="T752" t="s">
        <v>45</v>
      </c>
      <c r="U752">
        <v>50</v>
      </c>
      <c r="V752">
        <v>150</v>
      </c>
      <c r="W752">
        <v>0</v>
      </c>
      <c r="X752" s="49">
        <v>60</v>
      </c>
      <c r="Y752" s="49"/>
      <c r="Z752" s="7">
        <f>SUM(Tabla1[[#This Row],[RES-A]:[EXTR-B]])</f>
        <v>260</v>
      </c>
      <c r="AA752" s="7">
        <f>Tabla1[[#This Row],[Columna1]]-Tabla1[[#This Row],[IMPORTE TOTAL]]</f>
        <v>0</v>
      </c>
    </row>
    <row r="753" spans="1:27" x14ac:dyDescent="0.2">
      <c r="A753">
        <v>2024</v>
      </c>
      <c r="B753" t="s">
        <v>56</v>
      </c>
      <c r="C753" s="51">
        <v>45326</v>
      </c>
      <c r="D753" s="3" t="s">
        <v>43</v>
      </c>
      <c r="E753" s="3" t="s">
        <v>46</v>
      </c>
      <c r="F753" s="3" t="s">
        <v>46</v>
      </c>
      <c r="G753" s="4">
        <v>0.39583333333333331</v>
      </c>
      <c r="H753" s="4">
        <v>0.60416666666666663</v>
      </c>
      <c r="I753" t="s">
        <v>30</v>
      </c>
      <c r="J753">
        <v>1</v>
      </c>
      <c r="L753" s="46"/>
      <c r="P753">
        <v>150</v>
      </c>
      <c r="Q753">
        <v>0</v>
      </c>
      <c r="R753">
        <v>0</v>
      </c>
      <c r="S753" s="7">
        <f>Tabla1[[#This Row],[TARIFA]]+Tabla1[[#This Row],[IMPORTE EXTRAS]]</f>
        <v>150</v>
      </c>
      <c r="T753" t="s">
        <v>45</v>
      </c>
      <c r="U753">
        <v>150</v>
      </c>
      <c r="V753">
        <v>0</v>
      </c>
      <c r="W753">
        <v>0</v>
      </c>
      <c r="X753" s="49">
        <v>0</v>
      </c>
      <c r="Y753" s="49"/>
      <c r="Z753" s="7">
        <f>SUM(Tabla1[[#This Row],[RES-A]:[EXTR-B]])</f>
        <v>150</v>
      </c>
      <c r="AA753" s="7">
        <f>Tabla1[[#This Row],[Columna1]]-Tabla1[[#This Row],[IMPORTE TOTAL]]</f>
        <v>0</v>
      </c>
    </row>
    <row r="754" spans="1:27" x14ac:dyDescent="0.2">
      <c r="A754">
        <v>2024</v>
      </c>
      <c r="B754" t="s">
        <v>56</v>
      </c>
      <c r="C754" s="51">
        <v>45326</v>
      </c>
      <c r="D754" s="3" t="s">
        <v>43</v>
      </c>
      <c r="E754" s="3" t="s">
        <v>46</v>
      </c>
      <c r="F754" s="3" t="s">
        <v>46</v>
      </c>
      <c r="G754" s="4">
        <v>0.64583333333333337</v>
      </c>
      <c r="H754" s="4">
        <v>0.85416666666666663</v>
      </c>
      <c r="I754" t="s">
        <v>31</v>
      </c>
      <c r="J754">
        <v>1</v>
      </c>
      <c r="L754" s="46"/>
      <c r="P754">
        <v>150</v>
      </c>
      <c r="Q754">
        <v>0</v>
      </c>
      <c r="R754">
        <v>0</v>
      </c>
      <c r="S754" s="7">
        <f>Tabla1[[#This Row],[TARIFA]]+Tabla1[[#This Row],[IMPORTE EXTRAS]]</f>
        <v>150</v>
      </c>
      <c r="T754" t="s">
        <v>45</v>
      </c>
      <c r="U754">
        <v>50</v>
      </c>
      <c r="V754">
        <v>100</v>
      </c>
      <c r="W754">
        <v>0</v>
      </c>
      <c r="X754" s="49">
        <v>0</v>
      </c>
      <c r="Y754" s="49"/>
      <c r="Z754" s="7">
        <f>SUM(Tabla1[[#This Row],[RES-A]:[EXTR-B]])</f>
        <v>150</v>
      </c>
      <c r="AA754" s="7">
        <f>Tabla1[[#This Row],[Columna1]]-Tabla1[[#This Row],[IMPORTE TOTAL]]</f>
        <v>0</v>
      </c>
    </row>
    <row r="755" spans="1:27" x14ac:dyDescent="0.2">
      <c r="A755">
        <v>2024</v>
      </c>
      <c r="B755" t="s">
        <v>56</v>
      </c>
      <c r="C755" s="51">
        <v>45331</v>
      </c>
      <c r="D755" s="3" t="s">
        <v>41</v>
      </c>
      <c r="E755" s="3" t="s">
        <v>46</v>
      </c>
      <c r="F755" s="3" t="s">
        <v>46</v>
      </c>
      <c r="G755" s="4">
        <v>0.89583333333333337</v>
      </c>
      <c r="H755" s="4">
        <v>0.10416666666666667</v>
      </c>
      <c r="I755" t="s">
        <v>35</v>
      </c>
      <c r="J755">
        <v>1</v>
      </c>
      <c r="L755" s="46"/>
      <c r="P755">
        <v>200</v>
      </c>
      <c r="Q755">
        <v>0</v>
      </c>
      <c r="R755">
        <v>0</v>
      </c>
      <c r="S755" s="7">
        <f>Tabla1[[#This Row],[TARIFA]]+Tabla1[[#This Row],[IMPORTE EXTRAS]]</f>
        <v>200</v>
      </c>
      <c r="T755" t="s">
        <v>45</v>
      </c>
      <c r="U755">
        <v>50</v>
      </c>
      <c r="V755">
        <v>150</v>
      </c>
      <c r="W755">
        <v>0</v>
      </c>
      <c r="X755" s="49">
        <v>0</v>
      </c>
      <c r="Y755" s="49"/>
      <c r="Z755" s="7">
        <f>SUM(Tabla1[[#This Row],[RES-A]:[EXTR-B]])</f>
        <v>200</v>
      </c>
      <c r="AA755" s="7">
        <f>Tabla1[[#This Row],[Columna1]]-Tabla1[[#This Row],[IMPORTE TOTAL]]</f>
        <v>0</v>
      </c>
    </row>
    <row r="756" spans="1:27" x14ac:dyDescent="0.2">
      <c r="A756">
        <v>2024</v>
      </c>
      <c r="B756" t="s">
        <v>56</v>
      </c>
      <c r="C756" s="3">
        <v>45332</v>
      </c>
      <c r="D756" s="3" t="s">
        <v>42</v>
      </c>
      <c r="E756" s="3" t="s">
        <v>46</v>
      </c>
      <c r="F756" s="3" t="s">
        <v>46</v>
      </c>
      <c r="G756" s="4">
        <v>0.39583333333333331</v>
      </c>
      <c r="H756" s="4">
        <v>0.60416666666666663</v>
      </c>
      <c r="I756" t="s">
        <v>30</v>
      </c>
      <c r="J756">
        <v>1</v>
      </c>
      <c r="L756" s="46"/>
      <c r="P756">
        <v>150</v>
      </c>
      <c r="Q756">
        <v>0</v>
      </c>
      <c r="R756">
        <v>0</v>
      </c>
      <c r="S756" s="7">
        <f>Tabla1[[#This Row],[TARIFA]]+Tabla1[[#This Row],[IMPORTE EXTRAS]]</f>
        <v>150</v>
      </c>
      <c r="T756" t="s">
        <v>45</v>
      </c>
      <c r="U756">
        <v>50</v>
      </c>
      <c r="V756">
        <v>100</v>
      </c>
      <c r="W756">
        <v>0</v>
      </c>
      <c r="X756" s="49">
        <v>0</v>
      </c>
      <c r="Y756" s="49" t="s">
        <v>505</v>
      </c>
      <c r="Z756" s="7">
        <f>SUM(Tabla1[[#This Row],[RES-A]:[EXTR-B]])</f>
        <v>150</v>
      </c>
      <c r="AA756" s="7">
        <f>Tabla1[[#This Row],[Columna1]]-Tabla1[[#This Row],[IMPORTE TOTAL]]</f>
        <v>0</v>
      </c>
    </row>
    <row r="757" spans="1:27" x14ac:dyDescent="0.2">
      <c r="A757">
        <v>2024</v>
      </c>
      <c r="B757" t="s">
        <v>56</v>
      </c>
      <c r="C757" s="3">
        <v>45332</v>
      </c>
      <c r="D757" s="3" t="s">
        <v>42</v>
      </c>
      <c r="E757" s="3" t="s">
        <v>46</v>
      </c>
      <c r="F757" s="3" t="s">
        <v>46</v>
      </c>
      <c r="G757" s="4">
        <v>0.64583333333333337</v>
      </c>
      <c r="H757" s="4">
        <v>0.85416666666666663</v>
      </c>
      <c r="I757" t="s">
        <v>31</v>
      </c>
      <c r="J757">
        <v>1</v>
      </c>
      <c r="L757" s="46"/>
      <c r="P757">
        <v>150</v>
      </c>
      <c r="Q757">
        <v>0</v>
      </c>
      <c r="R757">
        <v>0</v>
      </c>
      <c r="S757" s="7">
        <f>Tabla1[[#This Row],[TARIFA]]+Tabla1[[#This Row],[IMPORTE EXTRAS]]</f>
        <v>150</v>
      </c>
      <c r="T757" t="s">
        <v>45</v>
      </c>
      <c r="U757">
        <v>0</v>
      </c>
      <c r="V757">
        <v>150</v>
      </c>
      <c r="W757">
        <v>0</v>
      </c>
      <c r="X757" s="49">
        <v>0</v>
      </c>
      <c r="Y757" s="49" t="s">
        <v>476</v>
      </c>
      <c r="Z757" s="7">
        <f>SUM(Tabla1[[#This Row],[RES-A]:[EXTR-B]])</f>
        <v>150</v>
      </c>
      <c r="AA757" s="7">
        <f>Tabla1[[#This Row],[Columna1]]-Tabla1[[#This Row],[IMPORTE TOTAL]]</f>
        <v>0</v>
      </c>
    </row>
    <row r="758" spans="1:27" x14ac:dyDescent="0.2">
      <c r="A758">
        <v>2024</v>
      </c>
      <c r="B758" t="s">
        <v>56</v>
      </c>
      <c r="C758" s="3">
        <v>45332</v>
      </c>
      <c r="D758" s="3" t="s">
        <v>42</v>
      </c>
      <c r="E758" s="3" t="s">
        <v>46</v>
      </c>
      <c r="F758" s="3" t="s">
        <v>45</v>
      </c>
      <c r="G758" s="4">
        <v>0.89583333333333337</v>
      </c>
      <c r="H758" s="4">
        <v>0.10416666666666667</v>
      </c>
      <c r="I758" t="s">
        <v>35</v>
      </c>
      <c r="J758">
        <v>1</v>
      </c>
      <c r="L758" s="46"/>
      <c r="P758">
        <v>200</v>
      </c>
      <c r="Q758">
        <v>1</v>
      </c>
      <c r="R758">
        <v>160</v>
      </c>
      <c r="S758" s="7">
        <f>Tabla1[[#This Row],[TARIFA]]+Tabla1[[#This Row],[IMPORTE EXTRAS]]</f>
        <v>360</v>
      </c>
      <c r="T758" t="s">
        <v>45</v>
      </c>
      <c r="U758">
        <v>50</v>
      </c>
      <c r="V758">
        <v>150</v>
      </c>
      <c r="W758">
        <v>0</v>
      </c>
      <c r="X758">
        <v>160</v>
      </c>
      <c r="Y758" t="s">
        <v>208</v>
      </c>
      <c r="Z758" s="7">
        <f>SUM(Tabla1[[#This Row],[RES-A]:[EXTR-B]])</f>
        <v>360</v>
      </c>
      <c r="AA758" s="7">
        <f>Tabla1[[#This Row],[Columna1]]-Tabla1[[#This Row],[IMPORTE TOTAL]]</f>
        <v>0</v>
      </c>
    </row>
    <row r="759" spans="1:27" x14ac:dyDescent="0.2">
      <c r="A759">
        <v>2024</v>
      </c>
      <c r="B759" t="s">
        <v>56</v>
      </c>
      <c r="C759" s="3">
        <v>45333</v>
      </c>
      <c r="D759" s="3" t="s">
        <v>43</v>
      </c>
      <c r="E759" s="3" t="s">
        <v>46</v>
      </c>
      <c r="F759" s="3" t="s">
        <v>46</v>
      </c>
      <c r="G759" s="4">
        <v>0.39583333333333331</v>
      </c>
      <c r="H759" s="4">
        <v>0.60416666666666663</v>
      </c>
      <c r="I759" t="s">
        <v>30</v>
      </c>
      <c r="J759">
        <v>1</v>
      </c>
      <c r="L759" s="46"/>
      <c r="P759">
        <v>150</v>
      </c>
      <c r="Q759">
        <v>0</v>
      </c>
      <c r="R759">
        <v>0</v>
      </c>
      <c r="S759" s="7">
        <f>Tabla1[[#This Row],[TARIFA]]+Tabla1[[#This Row],[IMPORTE EXTRAS]]</f>
        <v>150</v>
      </c>
      <c r="T759" t="s">
        <v>45</v>
      </c>
      <c r="U759">
        <v>50</v>
      </c>
      <c r="V759">
        <v>100</v>
      </c>
      <c r="W759">
        <v>0</v>
      </c>
      <c r="X759" s="49">
        <v>0</v>
      </c>
      <c r="Y759" s="49"/>
      <c r="Z759" s="7">
        <f>SUM(Tabla1[[#This Row],[RES-A]:[EXTR-B]])</f>
        <v>150</v>
      </c>
      <c r="AA759" s="7">
        <f>Tabla1[[#This Row],[Columna1]]-Tabla1[[#This Row],[IMPORTE TOTAL]]</f>
        <v>0</v>
      </c>
    </row>
    <row r="760" spans="1:27" x14ac:dyDescent="0.2">
      <c r="A760">
        <v>2024</v>
      </c>
      <c r="B760" t="s">
        <v>56</v>
      </c>
      <c r="C760" s="3">
        <v>45333</v>
      </c>
      <c r="D760" s="3" t="s">
        <v>43</v>
      </c>
      <c r="E760" s="3" t="s">
        <v>46</v>
      </c>
      <c r="F760" s="3" t="s">
        <v>46</v>
      </c>
      <c r="G760" s="4">
        <v>0.64583333333333337</v>
      </c>
      <c r="H760" s="4">
        <v>0.85416666666666663</v>
      </c>
      <c r="I760" t="s">
        <v>31</v>
      </c>
      <c r="J760">
        <v>1</v>
      </c>
      <c r="L760" s="46"/>
      <c r="P760">
        <v>150</v>
      </c>
      <c r="Q760">
        <v>0</v>
      </c>
      <c r="R760">
        <v>0</v>
      </c>
      <c r="S760" s="7">
        <f>Tabla1[[#This Row],[TARIFA]]+Tabla1[[#This Row],[IMPORTE EXTRAS]]</f>
        <v>150</v>
      </c>
      <c r="T760" t="s">
        <v>45</v>
      </c>
      <c r="U760">
        <v>50</v>
      </c>
      <c r="V760">
        <v>100</v>
      </c>
      <c r="W760">
        <v>0</v>
      </c>
      <c r="X760" s="49">
        <v>0</v>
      </c>
      <c r="Y760" s="49"/>
      <c r="Z760" s="7">
        <f>SUM(Tabla1[[#This Row],[RES-A]:[EXTR-B]])</f>
        <v>150</v>
      </c>
      <c r="AA760" s="7">
        <f>Tabla1[[#This Row],[Columna1]]-Tabla1[[#This Row],[IMPORTE TOTAL]]</f>
        <v>0</v>
      </c>
    </row>
    <row r="761" spans="1:27" x14ac:dyDescent="0.2">
      <c r="A761">
        <v>2024</v>
      </c>
      <c r="B761" t="s">
        <v>56</v>
      </c>
      <c r="C761" s="3">
        <v>45338</v>
      </c>
      <c r="D761" s="3" t="s">
        <v>41</v>
      </c>
      <c r="E761" s="3" t="s">
        <v>46</v>
      </c>
      <c r="F761" s="3" t="s">
        <v>46</v>
      </c>
      <c r="G761" s="4">
        <v>0.64583333333333337</v>
      </c>
      <c r="H761" s="4">
        <v>0.85416666666666663</v>
      </c>
      <c r="I761" t="s">
        <v>31</v>
      </c>
      <c r="J761">
        <v>1</v>
      </c>
      <c r="L761" s="46"/>
      <c r="P761">
        <v>140</v>
      </c>
      <c r="Q761">
        <v>0</v>
      </c>
      <c r="R761">
        <v>0</v>
      </c>
      <c r="S761" s="7">
        <f>Tabla1[[#This Row],[TARIFA]]+Tabla1[[#This Row],[IMPORTE EXTRAS]]</f>
        <v>140</v>
      </c>
      <c r="T761" t="s">
        <v>45</v>
      </c>
      <c r="U761">
        <v>50</v>
      </c>
      <c r="V761">
        <v>90</v>
      </c>
      <c r="W761">
        <v>0</v>
      </c>
      <c r="X761">
        <v>0</v>
      </c>
      <c r="Z761" s="7">
        <f>SUM(Tabla1[[#This Row],[RES-A]:[EXTR-B]])</f>
        <v>140</v>
      </c>
      <c r="AA761" s="7">
        <f>Tabla1[[#This Row],[Columna1]]-Tabla1[[#This Row],[IMPORTE TOTAL]]</f>
        <v>0</v>
      </c>
    </row>
    <row r="762" spans="1:27" x14ac:dyDescent="0.2">
      <c r="A762">
        <v>2024</v>
      </c>
      <c r="B762" t="s">
        <v>56</v>
      </c>
      <c r="C762" s="3">
        <v>45338</v>
      </c>
      <c r="D762" s="3" t="s">
        <v>41</v>
      </c>
      <c r="E762" s="3" t="s">
        <v>46</v>
      </c>
      <c r="F762" s="3" t="s">
        <v>46</v>
      </c>
      <c r="G762" s="4">
        <v>0.89583333333333337</v>
      </c>
      <c r="H762" s="4">
        <v>0.10416666666666667</v>
      </c>
      <c r="I762" t="s">
        <v>35</v>
      </c>
      <c r="J762">
        <v>1</v>
      </c>
      <c r="L762" s="46"/>
      <c r="P762">
        <v>200</v>
      </c>
      <c r="Q762">
        <v>1</v>
      </c>
      <c r="R762">
        <v>60</v>
      </c>
      <c r="S762" s="7">
        <f>Tabla1[[#This Row],[TARIFA]]+Tabla1[[#This Row],[IMPORTE EXTRAS]]</f>
        <v>260</v>
      </c>
      <c r="T762" t="s">
        <v>45</v>
      </c>
      <c r="U762">
        <v>50</v>
      </c>
      <c r="V762">
        <v>150</v>
      </c>
      <c r="W762">
        <v>0</v>
      </c>
      <c r="X762">
        <v>60</v>
      </c>
      <c r="Z762" s="7">
        <f>SUM(Tabla1[[#This Row],[RES-A]:[EXTR-B]])</f>
        <v>260</v>
      </c>
      <c r="AA762" s="7">
        <f>Tabla1[[#This Row],[Columna1]]-Tabla1[[#This Row],[IMPORTE TOTAL]]</f>
        <v>0</v>
      </c>
    </row>
    <row r="763" spans="1:27" x14ac:dyDescent="0.2">
      <c r="A763">
        <v>2024</v>
      </c>
      <c r="B763" t="s">
        <v>56</v>
      </c>
      <c r="C763" s="51">
        <v>45339</v>
      </c>
      <c r="D763" s="3" t="s">
        <v>42</v>
      </c>
      <c r="E763" s="3" t="s">
        <v>46</v>
      </c>
      <c r="F763" s="3" t="s">
        <v>46</v>
      </c>
      <c r="G763" s="4">
        <v>0.39583333333333331</v>
      </c>
      <c r="H763" s="4">
        <v>0.60416666666666663</v>
      </c>
      <c r="I763" t="s">
        <v>30</v>
      </c>
      <c r="J763">
        <v>1</v>
      </c>
      <c r="L763" s="46"/>
      <c r="P763">
        <v>150</v>
      </c>
      <c r="Q763">
        <v>0</v>
      </c>
      <c r="R763">
        <v>0</v>
      </c>
      <c r="S763" s="7">
        <f>Tabla1[[#This Row],[TARIFA]]+Tabla1[[#This Row],[IMPORTE EXTRAS]]</f>
        <v>150</v>
      </c>
      <c r="T763" t="s">
        <v>45</v>
      </c>
      <c r="U763">
        <v>50</v>
      </c>
      <c r="V763">
        <v>100</v>
      </c>
      <c r="W763">
        <v>0</v>
      </c>
      <c r="X763" s="49">
        <v>0</v>
      </c>
      <c r="Y763" s="49"/>
      <c r="Z763" s="7">
        <f>SUM(Tabla1[[#This Row],[RES-A]:[EXTR-B]])</f>
        <v>150</v>
      </c>
      <c r="AA763" s="7">
        <f>Tabla1[[#This Row],[Columna1]]-Tabla1[[#This Row],[IMPORTE TOTAL]]</f>
        <v>0</v>
      </c>
    </row>
    <row r="764" spans="1:27" x14ac:dyDescent="0.2">
      <c r="A764">
        <v>2024</v>
      </c>
      <c r="B764" t="s">
        <v>56</v>
      </c>
      <c r="C764" s="51">
        <v>45339</v>
      </c>
      <c r="D764" s="3" t="s">
        <v>42</v>
      </c>
      <c r="E764" s="3" t="s">
        <v>46</v>
      </c>
      <c r="F764" s="3" t="s">
        <v>46</v>
      </c>
      <c r="G764" s="4">
        <v>0.64583333333333337</v>
      </c>
      <c r="H764" s="4">
        <v>0.85416666666666663</v>
      </c>
      <c r="I764" t="s">
        <v>31</v>
      </c>
      <c r="J764">
        <v>1</v>
      </c>
      <c r="L764" s="46"/>
      <c r="P764">
        <v>150</v>
      </c>
      <c r="Q764">
        <v>0</v>
      </c>
      <c r="R764">
        <v>0</v>
      </c>
      <c r="S764" s="7">
        <f>Tabla1[[#This Row],[TARIFA]]+Tabla1[[#This Row],[IMPORTE EXTRAS]]</f>
        <v>150</v>
      </c>
      <c r="T764" t="s">
        <v>45</v>
      </c>
      <c r="U764">
        <v>50</v>
      </c>
      <c r="V764">
        <v>100</v>
      </c>
      <c r="W764">
        <v>0</v>
      </c>
      <c r="X764" s="49">
        <v>0</v>
      </c>
      <c r="Y764" s="49"/>
      <c r="Z764" s="7">
        <f>SUM(Tabla1[[#This Row],[RES-A]:[EXTR-B]])</f>
        <v>150</v>
      </c>
      <c r="AA764" s="7">
        <f>Tabla1[[#This Row],[Columna1]]-Tabla1[[#This Row],[IMPORTE TOTAL]]</f>
        <v>0</v>
      </c>
    </row>
    <row r="765" spans="1:27" x14ac:dyDescent="0.2">
      <c r="A765">
        <v>2024</v>
      </c>
      <c r="B765" t="s">
        <v>56</v>
      </c>
      <c r="C765" s="51">
        <v>45339</v>
      </c>
      <c r="D765" s="3" t="s">
        <v>42</v>
      </c>
      <c r="E765" s="3" t="s">
        <v>46</v>
      </c>
      <c r="F765" s="3" t="s">
        <v>46</v>
      </c>
      <c r="G765" s="4">
        <v>0.89583333333333337</v>
      </c>
      <c r="H765" s="4">
        <v>0.10416666666666667</v>
      </c>
      <c r="I765" t="s">
        <v>35</v>
      </c>
      <c r="J765">
        <v>1</v>
      </c>
      <c r="L765" s="46"/>
      <c r="P765">
        <v>200</v>
      </c>
      <c r="Q765">
        <v>1</v>
      </c>
      <c r="R765">
        <v>160</v>
      </c>
      <c r="S765" s="7">
        <f>Tabla1[[#This Row],[TARIFA]]+Tabla1[[#This Row],[IMPORTE EXTRAS]]</f>
        <v>360</v>
      </c>
      <c r="T765" t="s">
        <v>45</v>
      </c>
      <c r="U765">
        <v>50</v>
      </c>
      <c r="V765">
        <v>150</v>
      </c>
      <c r="W765">
        <v>0</v>
      </c>
      <c r="X765" s="49">
        <v>160</v>
      </c>
      <c r="Y765" s="49"/>
      <c r="Z765" s="7">
        <f>SUM(Tabla1[[#This Row],[RES-A]:[EXTR-B]])</f>
        <v>360</v>
      </c>
      <c r="AA765" s="7">
        <f>Tabla1[[#This Row],[Columna1]]-Tabla1[[#This Row],[IMPORTE TOTAL]]</f>
        <v>0</v>
      </c>
    </row>
    <row r="766" spans="1:27" x14ac:dyDescent="0.2">
      <c r="A766">
        <v>2024</v>
      </c>
      <c r="B766" t="s">
        <v>56</v>
      </c>
      <c r="C766" s="51">
        <v>45340</v>
      </c>
      <c r="D766" s="3" t="s">
        <v>43</v>
      </c>
      <c r="E766" s="3" t="s">
        <v>46</v>
      </c>
      <c r="F766" s="3" t="s">
        <v>46</v>
      </c>
      <c r="G766" s="4">
        <v>0.64583333333333337</v>
      </c>
      <c r="H766" s="4">
        <v>0.85416666666666663</v>
      </c>
      <c r="I766" t="s">
        <v>31</v>
      </c>
      <c r="J766">
        <v>1</v>
      </c>
      <c r="L766" s="46"/>
      <c r="P766">
        <v>150</v>
      </c>
      <c r="Q766">
        <v>0</v>
      </c>
      <c r="R766">
        <v>0</v>
      </c>
      <c r="S766" s="7">
        <f>Tabla1[[#This Row],[TARIFA]]+Tabla1[[#This Row],[IMPORTE EXTRAS]]</f>
        <v>150</v>
      </c>
      <c r="T766" t="s">
        <v>45</v>
      </c>
      <c r="U766">
        <v>0</v>
      </c>
      <c r="V766">
        <v>150</v>
      </c>
      <c r="W766">
        <v>0</v>
      </c>
      <c r="X766" s="49">
        <v>0</v>
      </c>
      <c r="Y766" s="49" t="s">
        <v>626</v>
      </c>
      <c r="Z766" s="7">
        <f>SUM(Tabla1[[#This Row],[RES-A]:[EXTR-B]])</f>
        <v>150</v>
      </c>
      <c r="AA766" s="7">
        <f>Tabla1[[#This Row],[Columna1]]-Tabla1[[#This Row],[IMPORTE TOTAL]]</f>
        <v>0</v>
      </c>
    </row>
    <row r="767" spans="1:27" x14ac:dyDescent="0.2">
      <c r="A767">
        <v>2024</v>
      </c>
      <c r="B767" t="s">
        <v>56</v>
      </c>
      <c r="C767" s="51">
        <v>45343</v>
      </c>
      <c r="D767" s="3" t="s">
        <v>39</v>
      </c>
      <c r="E767" s="3" t="s">
        <v>46</v>
      </c>
      <c r="F767" s="3" t="s">
        <v>46</v>
      </c>
      <c r="G767" s="4">
        <v>0.64583333333333337</v>
      </c>
      <c r="H767" s="4">
        <v>0.85416666666666663</v>
      </c>
      <c r="I767" t="s">
        <v>31</v>
      </c>
      <c r="J767">
        <v>1</v>
      </c>
      <c r="L767" s="46"/>
      <c r="P767">
        <v>95</v>
      </c>
      <c r="Q767">
        <v>1</v>
      </c>
      <c r="R767">
        <v>10</v>
      </c>
      <c r="S767" s="7">
        <f>Tabla1[[#This Row],[TARIFA]]+Tabla1[[#This Row],[IMPORTE EXTRAS]]</f>
        <v>105</v>
      </c>
      <c r="T767" t="s">
        <v>45</v>
      </c>
      <c r="U767">
        <v>50</v>
      </c>
      <c r="V767">
        <v>45</v>
      </c>
      <c r="W767">
        <v>0</v>
      </c>
      <c r="X767" s="49">
        <v>10</v>
      </c>
      <c r="Y767" s="49"/>
      <c r="Z767" s="7">
        <f>SUM(Tabla1[[#This Row],[RES-A]:[EXTR-B]])</f>
        <v>105</v>
      </c>
      <c r="AA767" s="7">
        <f>Tabla1[[#This Row],[Columna1]]-Tabla1[[#This Row],[IMPORTE TOTAL]]</f>
        <v>0</v>
      </c>
    </row>
    <row r="768" spans="1:27" x14ac:dyDescent="0.2">
      <c r="A768">
        <v>2024</v>
      </c>
      <c r="B768" t="s">
        <v>56</v>
      </c>
      <c r="C768" s="51">
        <v>45345</v>
      </c>
      <c r="D768" s="3" t="s">
        <v>41</v>
      </c>
      <c r="E768" s="3" t="s">
        <v>46</v>
      </c>
      <c r="F768" s="3" t="s">
        <v>46</v>
      </c>
      <c r="G768" s="4">
        <v>0.64583333333333337</v>
      </c>
      <c r="H768" s="4">
        <v>0.85416666666666663</v>
      </c>
      <c r="I768" t="s">
        <v>31</v>
      </c>
      <c r="J768">
        <v>1</v>
      </c>
      <c r="L768" s="46"/>
      <c r="P768">
        <v>140</v>
      </c>
      <c r="Q768">
        <v>0</v>
      </c>
      <c r="R768">
        <v>0</v>
      </c>
      <c r="S768" s="7">
        <f>Tabla1[[#This Row],[TARIFA]]+Tabla1[[#This Row],[IMPORTE EXTRAS]]</f>
        <v>140</v>
      </c>
      <c r="T768" t="s">
        <v>45</v>
      </c>
      <c r="U768">
        <v>50</v>
      </c>
      <c r="V768">
        <v>90</v>
      </c>
      <c r="W768">
        <v>0</v>
      </c>
      <c r="X768" s="49">
        <v>0</v>
      </c>
      <c r="Y768" s="49"/>
      <c r="Z768" s="7">
        <f>SUM(Tabla1[[#This Row],[RES-A]:[EXTR-B]])</f>
        <v>140</v>
      </c>
      <c r="AA768" s="7">
        <f>Tabla1[[#This Row],[Columna1]]-Tabla1[[#This Row],[IMPORTE TOTAL]]</f>
        <v>0</v>
      </c>
    </row>
    <row r="769" spans="1:27" x14ac:dyDescent="0.2">
      <c r="A769">
        <v>2024</v>
      </c>
      <c r="B769" t="s">
        <v>56</v>
      </c>
      <c r="C769" s="51">
        <v>45345</v>
      </c>
      <c r="D769" s="3" t="s">
        <v>41</v>
      </c>
      <c r="E769" s="3" t="s">
        <v>46</v>
      </c>
      <c r="F769" s="3" t="s">
        <v>46</v>
      </c>
      <c r="G769" s="4">
        <v>0.89583333333333337</v>
      </c>
      <c r="H769" s="4">
        <v>0.10416666666666667</v>
      </c>
      <c r="I769" t="s">
        <v>35</v>
      </c>
      <c r="J769">
        <v>1</v>
      </c>
      <c r="L769" s="46"/>
      <c r="P769">
        <v>200</v>
      </c>
      <c r="Q769">
        <v>1</v>
      </c>
      <c r="R769">
        <v>60</v>
      </c>
      <c r="S769" s="7">
        <f>Tabla1[[#This Row],[TARIFA]]+Tabla1[[#This Row],[IMPORTE EXTRAS]]</f>
        <v>260</v>
      </c>
      <c r="T769" t="s">
        <v>45</v>
      </c>
      <c r="U769">
        <v>50</v>
      </c>
      <c r="V769">
        <v>150</v>
      </c>
      <c r="W769">
        <v>0</v>
      </c>
      <c r="X769" s="49">
        <v>60</v>
      </c>
      <c r="Y769" s="49"/>
      <c r="Z769" s="7">
        <f>SUM(Tabla1[[#This Row],[RES-A]:[EXTR-B]])</f>
        <v>260</v>
      </c>
      <c r="AA769" s="7">
        <f>Tabla1[[#This Row],[Columna1]]-Tabla1[[#This Row],[IMPORTE TOTAL]]</f>
        <v>0</v>
      </c>
    </row>
    <row r="770" spans="1:27" x14ac:dyDescent="0.2">
      <c r="A770">
        <v>2024</v>
      </c>
      <c r="B770" t="s">
        <v>56</v>
      </c>
      <c r="C770" s="51">
        <v>45346</v>
      </c>
      <c r="D770" s="3" t="s">
        <v>42</v>
      </c>
      <c r="E770" s="3" t="s">
        <v>46</v>
      </c>
      <c r="F770" s="3" t="s">
        <v>46</v>
      </c>
      <c r="G770" s="4">
        <v>0.39583333333333331</v>
      </c>
      <c r="H770" s="4">
        <v>0.60416666666666663</v>
      </c>
      <c r="I770" t="s">
        <v>30</v>
      </c>
      <c r="J770">
        <v>1</v>
      </c>
      <c r="L770" s="46"/>
      <c r="P770">
        <v>150</v>
      </c>
      <c r="Q770">
        <v>0</v>
      </c>
      <c r="R770">
        <v>0</v>
      </c>
      <c r="S770" s="7">
        <f>Tabla1[[#This Row],[TARIFA]]+Tabla1[[#This Row],[IMPORTE EXTRAS]]</f>
        <v>150</v>
      </c>
      <c r="T770" t="s">
        <v>45</v>
      </c>
      <c r="U770">
        <v>50</v>
      </c>
      <c r="V770">
        <v>100</v>
      </c>
      <c r="W770">
        <v>0</v>
      </c>
      <c r="X770" s="49">
        <v>0</v>
      </c>
      <c r="Y770" s="49"/>
      <c r="Z770" s="7">
        <f>SUM(Tabla1[[#This Row],[RES-A]:[EXTR-B]])</f>
        <v>150</v>
      </c>
      <c r="AA770" s="7">
        <f>Tabla1[[#This Row],[Columna1]]-Tabla1[[#This Row],[IMPORTE TOTAL]]</f>
        <v>0</v>
      </c>
    </row>
    <row r="771" spans="1:27" x14ac:dyDescent="0.2">
      <c r="A771">
        <v>2024</v>
      </c>
      <c r="B771" t="s">
        <v>56</v>
      </c>
      <c r="C771" s="51">
        <v>45346</v>
      </c>
      <c r="D771" s="3" t="s">
        <v>42</v>
      </c>
      <c r="E771" s="3" t="s">
        <v>46</v>
      </c>
      <c r="F771" s="3" t="s">
        <v>46</v>
      </c>
      <c r="G771" s="4">
        <v>0.64583333333333337</v>
      </c>
      <c r="H771" s="4">
        <v>0.85416666666666663</v>
      </c>
      <c r="I771" t="s">
        <v>31</v>
      </c>
      <c r="J771">
        <v>1</v>
      </c>
      <c r="L771" s="46"/>
      <c r="P771">
        <v>150</v>
      </c>
      <c r="Q771">
        <v>0</v>
      </c>
      <c r="R771">
        <v>0</v>
      </c>
      <c r="S771" s="7">
        <f>Tabla1[[#This Row],[TARIFA]]+Tabla1[[#This Row],[IMPORTE EXTRAS]]</f>
        <v>150</v>
      </c>
      <c r="T771" t="s">
        <v>45</v>
      </c>
      <c r="U771">
        <v>50</v>
      </c>
      <c r="V771">
        <v>100</v>
      </c>
      <c r="W771">
        <v>0</v>
      </c>
      <c r="X771" s="49">
        <v>0</v>
      </c>
      <c r="Y771" s="49"/>
      <c r="Z771" s="7">
        <f>SUM(Tabla1[[#This Row],[RES-A]:[EXTR-B]])</f>
        <v>150</v>
      </c>
      <c r="AA771" s="7">
        <f>Tabla1[[#This Row],[Columna1]]-Tabla1[[#This Row],[IMPORTE TOTAL]]</f>
        <v>0</v>
      </c>
    </row>
    <row r="772" spans="1:27" x14ac:dyDescent="0.2">
      <c r="A772">
        <v>2024</v>
      </c>
      <c r="B772" t="s">
        <v>56</v>
      </c>
      <c r="C772" s="51">
        <v>45346</v>
      </c>
      <c r="D772" s="3" t="s">
        <v>42</v>
      </c>
      <c r="E772" s="3" t="s">
        <v>46</v>
      </c>
      <c r="F772" s="3" t="s">
        <v>46</v>
      </c>
      <c r="G772" s="4">
        <v>0.89583333333333337</v>
      </c>
      <c r="H772" s="4">
        <v>0.10416666666666667</v>
      </c>
      <c r="I772" t="s">
        <v>35</v>
      </c>
      <c r="J772">
        <v>1</v>
      </c>
      <c r="L772" s="46"/>
      <c r="P772">
        <v>200</v>
      </c>
      <c r="Q772">
        <v>1</v>
      </c>
      <c r="R772">
        <v>60</v>
      </c>
      <c r="S772" s="7">
        <f>Tabla1[[#This Row],[TARIFA]]+Tabla1[[#This Row],[IMPORTE EXTRAS]]</f>
        <v>260</v>
      </c>
      <c r="T772" t="s">
        <v>45</v>
      </c>
      <c r="U772">
        <v>50</v>
      </c>
      <c r="V772">
        <v>150</v>
      </c>
      <c r="W772">
        <v>0</v>
      </c>
      <c r="X772" s="49">
        <v>60</v>
      </c>
      <c r="Y772" s="49"/>
      <c r="Z772" s="7">
        <f>SUM(Tabla1[[#This Row],[RES-A]:[EXTR-B]])</f>
        <v>260</v>
      </c>
      <c r="AA772" s="7">
        <f>Tabla1[[#This Row],[Columna1]]-Tabla1[[#This Row],[IMPORTE TOTAL]]</f>
        <v>0</v>
      </c>
    </row>
    <row r="773" spans="1:27" x14ac:dyDescent="0.2">
      <c r="A773">
        <v>2024</v>
      </c>
      <c r="B773" t="s">
        <v>57</v>
      </c>
      <c r="C773" s="51">
        <v>45352</v>
      </c>
      <c r="D773" s="3" t="s">
        <v>41</v>
      </c>
      <c r="E773" s="3" t="s">
        <v>46</v>
      </c>
      <c r="F773" s="3" t="s">
        <v>46</v>
      </c>
      <c r="G773" s="4">
        <v>0.64583333333333337</v>
      </c>
      <c r="H773" s="4">
        <v>0.85416666666666663</v>
      </c>
      <c r="I773" t="s">
        <v>31</v>
      </c>
      <c r="J773">
        <v>1</v>
      </c>
      <c r="L773" s="46"/>
      <c r="P773">
        <v>140</v>
      </c>
      <c r="Q773">
        <v>0</v>
      </c>
      <c r="R773">
        <v>0</v>
      </c>
      <c r="S773" s="7">
        <f>Tabla1[[#This Row],[TARIFA]]+Tabla1[[#This Row],[IMPORTE EXTRAS]]</f>
        <v>140</v>
      </c>
      <c r="T773" t="s">
        <v>45</v>
      </c>
      <c r="U773">
        <v>140</v>
      </c>
      <c r="V773">
        <v>0</v>
      </c>
      <c r="W773">
        <v>0</v>
      </c>
      <c r="X773" s="49">
        <v>0</v>
      </c>
      <c r="Y773" s="49"/>
      <c r="Z773" s="7">
        <f>SUM(Tabla1[[#This Row],[RES-A]:[EXTR-B]])</f>
        <v>140</v>
      </c>
      <c r="AA773" s="7">
        <f>Tabla1[[#This Row],[Columna1]]-Tabla1[[#This Row],[IMPORTE TOTAL]]</f>
        <v>0</v>
      </c>
    </row>
    <row r="774" spans="1:27" x14ac:dyDescent="0.2">
      <c r="A774">
        <v>2024</v>
      </c>
      <c r="B774" t="s">
        <v>57</v>
      </c>
      <c r="C774" s="51">
        <v>45352</v>
      </c>
      <c r="D774" s="3" t="s">
        <v>41</v>
      </c>
      <c r="E774" s="3" t="s">
        <v>46</v>
      </c>
      <c r="F774" s="3" t="s">
        <v>46</v>
      </c>
      <c r="G774" s="4">
        <v>0.89583333333333337</v>
      </c>
      <c r="H774" s="4">
        <v>0.10416666666666667</v>
      </c>
      <c r="I774" t="s">
        <v>35</v>
      </c>
      <c r="J774">
        <v>1</v>
      </c>
      <c r="L774" s="46"/>
      <c r="P774">
        <v>200</v>
      </c>
      <c r="Q774">
        <v>1</v>
      </c>
      <c r="R774">
        <v>60</v>
      </c>
      <c r="S774" s="7">
        <f>Tabla1[[#This Row],[TARIFA]]+Tabla1[[#This Row],[IMPORTE EXTRAS]]</f>
        <v>260</v>
      </c>
      <c r="T774" t="s">
        <v>45</v>
      </c>
      <c r="U774">
        <v>50</v>
      </c>
      <c r="V774">
        <v>150</v>
      </c>
      <c r="W774">
        <v>0</v>
      </c>
      <c r="X774" s="49">
        <v>60</v>
      </c>
      <c r="Y774" s="49"/>
      <c r="Z774" s="7">
        <f>SUM(Tabla1[[#This Row],[RES-A]:[EXTR-B]])</f>
        <v>260</v>
      </c>
      <c r="AA774" s="7">
        <f>Tabla1[[#This Row],[Columna1]]-Tabla1[[#This Row],[IMPORTE TOTAL]]</f>
        <v>0</v>
      </c>
    </row>
    <row r="775" spans="1:27" x14ac:dyDescent="0.2">
      <c r="A775">
        <v>2024</v>
      </c>
      <c r="B775" t="s">
        <v>57</v>
      </c>
      <c r="C775" s="51">
        <v>45353</v>
      </c>
      <c r="D775" s="3" t="s">
        <v>42</v>
      </c>
      <c r="E775" s="3" t="s">
        <v>46</v>
      </c>
      <c r="F775" s="3" t="s">
        <v>46</v>
      </c>
      <c r="G775" s="4">
        <v>0.89583333333333337</v>
      </c>
      <c r="H775" s="4">
        <v>0.10416666666666667</v>
      </c>
      <c r="I775" t="s">
        <v>35</v>
      </c>
      <c r="J775">
        <v>1</v>
      </c>
      <c r="L775" s="46"/>
      <c r="P775">
        <v>200</v>
      </c>
      <c r="Q775">
        <v>1</v>
      </c>
      <c r="R775">
        <v>60</v>
      </c>
      <c r="S775" s="7">
        <f>Tabla1[[#This Row],[TARIFA]]+Tabla1[[#This Row],[IMPORTE EXTRAS]]</f>
        <v>260</v>
      </c>
      <c r="T775" t="s">
        <v>45</v>
      </c>
      <c r="U775">
        <v>50</v>
      </c>
      <c r="V775">
        <v>150</v>
      </c>
      <c r="W775">
        <v>0</v>
      </c>
      <c r="X775" s="49">
        <v>60</v>
      </c>
      <c r="Y775" s="49"/>
      <c r="Z775" s="7">
        <f>SUM(Tabla1[[#This Row],[RES-A]:[EXTR-B]])</f>
        <v>260</v>
      </c>
      <c r="AA775" s="7">
        <f>Tabla1[[#This Row],[Columna1]]-Tabla1[[#This Row],[IMPORTE TOTAL]]</f>
        <v>0</v>
      </c>
    </row>
    <row r="776" spans="1:27" x14ac:dyDescent="0.2">
      <c r="A776">
        <v>2024</v>
      </c>
      <c r="B776" t="s">
        <v>57</v>
      </c>
      <c r="C776" s="51">
        <v>45354</v>
      </c>
      <c r="D776" s="3" t="s">
        <v>43</v>
      </c>
      <c r="E776" s="3" t="s">
        <v>46</v>
      </c>
      <c r="F776" s="3" t="s">
        <v>46</v>
      </c>
      <c r="G776" s="4">
        <v>0.64583333333333337</v>
      </c>
      <c r="H776" s="4">
        <v>0.85416666666666663</v>
      </c>
      <c r="I776" t="s">
        <v>31</v>
      </c>
      <c r="J776">
        <v>1</v>
      </c>
      <c r="L776" s="46"/>
      <c r="P776">
        <v>150</v>
      </c>
      <c r="Q776">
        <v>0</v>
      </c>
      <c r="R776">
        <v>0</v>
      </c>
      <c r="S776" s="7">
        <f>Tabla1[[#This Row],[TARIFA]]+Tabla1[[#This Row],[IMPORTE EXTRAS]]</f>
        <v>150</v>
      </c>
      <c r="T776" t="s">
        <v>45</v>
      </c>
      <c r="U776">
        <v>150</v>
      </c>
      <c r="V776">
        <v>0</v>
      </c>
      <c r="W776">
        <v>0</v>
      </c>
      <c r="X776" s="49">
        <v>0</v>
      </c>
      <c r="Y776" s="49"/>
      <c r="Z776" s="7">
        <f>SUM(Tabla1[[#This Row],[RES-A]:[EXTR-B]])</f>
        <v>150</v>
      </c>
      <c r="AA776" s="7">
        <f>Tabla1[[#This Row],[Columna1]]-Tabla1[[#This Row],[IMPORTE TOTAL]]</f>
        <v>0</v>
      </c>
    </row>
    <row r="777" spans="1:27" x14ac:dyDescent="0.2">
      <c r="A777">
        <v>2024</v>
      </c>
      <c r="B777" t="s">
        <v>57</v>
      </c>
      <c r="C777" s="51">
        <v>45356</v>
      </c>
      <c r="D777" s="3" t="s">
        <v>38</v>
      </c>
      <c r="E777" s="3" t="s">
        <v>46</v>
      </c>
      <c r="F777" s="3" t="s">
        <v>46</v>
      </c>
      <c r="G777" s="4">
        <v>0.64583333333333337</v>
      </c>
      <c r="H777" s="4">
        <v>0.85416666666666663</v>
      </c>
      <c r="I777" t="s">
        <v>31</v>
      </c>
      <c r="J777">
        <v>1</v>
      </c>
      <c r="L777" s="46"/>
      <c r="P777">
        <v>95</v>
      </c>
      <c r="Q777">
        <v>0</v>
      </c>
      <c r="R777">
        <v>0</v>
      </c>
      <c r="S777" s="7">
        <f>Tabla1[[#This Row],[TARIFA]]+Tabla1[[#This Row],[IMPORTE EXTRAS]]</f>
        <v>95</v>
      </c>
      <c r="T777" t="s">
        <v>45</v>
      </c>
      <c r="U777">
        <v>50</v>
      </c>
      <c r="V777">
        <v>45</v>
      </c>
      <c r="W777">
        <v>0</v>
      </c>
      <c r="X777" s="49">
        <v>0</v>
      </c>
      <c r="Y777" s="49"/>
      <c r="Z777" s="7">
        <f>SUM(Tabla1[[#This Row],[RES-A]:[EXTR-B]])</f>
        <v>95</v>
      </c>
      <c r="AA777" s="7">
        <f>Tabla1[[#This Row],[Columna1]]-Tabla1[[#This Row],[IMPORTE TOTAL]]</f>
        <v>0</v>
      </c>
    </row>
    <row r="778" spans="1:27" x14ac:dyDescent="0.2">
      <c r="A778">
        <v>2024</v>
      </c>
      <c r="B778" t="s">
        <v>57</v>
      </c>
      <c r="C778" s="51">
        <v>45357</v>
      </c>
      <c r="D778" s="3" t="s">
        <v>39</v>
      </c>
      <c r="E778" s="3" t="s">
        <v>46</v>
      </c>
      <c r="F778" s="3" t="s">
        <v>46</v>
      </c>
      <c r="G778" s="4">
        <v>0.64583333333333337</v>
      </c>
      <c r="H778" s="4">
        <v>0.85416666666666663</v>
      </c>
      <c r="I778" t="s">
        <v>31</v>
      </c>
      <c r="J778">
        <v>1</v>
      </c>
      <c r="L778" s="46"/>
      <c r="P778">
        <v>95</v>
      </c>
      <c r="Q778">
        <v>0</v>
      </c>
      <c r="R778">
        <v>0</v>
      </c>
      <c r="S778" s="7">
        <f>Tabla1[[#This Row],[TARIFA]]+Tabla1[[#This Row],[IMPORTE EXTRAS]]</f>
        <v>95</v>
      </c>
      <c r="T778" t="s">
        <v>45</v>
      </c>
      <c r="U778">
        <v>50</v>
      </c>
      <c r="V778">
        <v>45</v>
      </c>
      <c r="W778">
        <v>0</v>
      </c>
      <c r="X778" s="49">
        <v>0</v>
      </c>
      <c r="Y778" s="49"/>
      <c r="Z778" s="7">
        <f>SUM(Tabla1[[#This Row],[RES-A]:[EXTR-B]])</f>
        <v>95</v>
      </c>
      <c r="AA778" s="7">
        <f>Tabla1[[#This Row],[Columna1]]-Tabla1[[#This Row],[IMPORTE TOTAL]]</f>
        <v>0</v>
      </c>
    </row>
    <row r="779" spans="1:27" x14ac:dyDescent="0.2">
      <c r="A779">
        <v>2024</v>
      </c>
      <c r="B779" t="s">
        <v>57</v>
      </c>
      <c r="C779" s="51">
        <v>45359</v>
      </c>
      <c r="D779" s="3" t="s">
        <v>41</v>
      </c>
      <c r="E779" s="3" t="s">
        <v>46</v>
      </c>
      <c r="F779" s="3" t="s">
        <v>46</v>
      </c>
      <c r="G779" s="4">
        <v>0.64583333333333337</v>
      </c>
      <c r="H779" s="4">
        <v>0.85416666666666663</v>
      </c>
      <c r="I779" t="s">
        <v>31</v>
      </c>
      <c r="J779">
        <v>1</v>
      </c>
      <c r="L779" s="46"/>
      <c r="P779">
        <v>140</v>
      </c>
      <c r="Q779">
        <v>0</v>
      </c>
      <c r="R779">
        <v>0</v>
      </c>
      <c r="S779" s="7">
        <f>Tabla1[[#This Row],[TARIFA]]+Tabla1[[#This Row],[IMPORTE EXTRAS]]</f>
        <v>140</v>
      </c>
      <c r="T779" t="s">
        <v>45</v>
      </c>
      <c r="U779">
        <v>140</v>
      </c>
      <c r="V779">
        <v>0</v>
      </c>
      <c r="W779">
        <v>0</v>
      </c>
      <c r="X779" s="49">
        <v>0</v>
      </c>
      <c r="Y779" s="49"/>
      <c r="Z779" s="7">
        <f>SUM(Tabla1[[#This Row],[RES-A]:[EXTR-B]])</f>
        <v>140</v>
      </c>
      <c r="AA779" s="7">
        <f>Tabla1[[#This Row],[Columna1]]-Tabla1[[#This Row],[IMPORTE TOTAL]]</f>
        <v>0</v>
      </c>
    </row>
    <row r="780" spans="1:27" x14ac:dyDescent="0.2">
      <c r="A780">
        <v>2024</v>
      </c>
      <c r="B780" t="s">
        <v>57</v>
      </c>
      <c r="C780" s="51">
        <v>45359</v>
      </c>
      <c r="D780" s="3" t="s">
        <v>41</v>
      </c>
      <c r="E780" s="3" t="s">
        <v>46</v>
      </c>
      <c r="F780" s="3" t="s">
        <v>46</v>
      </c>
      <c r="G780" s="4">
        <v>0.89583333333333337</v>
      </c>
      <c r="H780" s="4">
        <v>0.10416666666666667</v>
      </c>
      <c r="I780" t="s">
        <v>35</v>
      </c>
      <c r="J780">
        <v>1</v>
      </c>
      <c r="L780" s="46"/>
      <c r="P780">
        <v>200</v>
      </c>
      <c r="Q780">
        <v>0</v>
      </c>
      <c r="R780">
        <v>0</v>
      </c>
      <c r="S780" s="7">
        <f>Tabla1[[#This Row],[TARIFA]]+Tabla1[[#This Row],[IMPORTE EXTRAS]]</f>
        <v>200</v>
      </c>
      <c r="T780" t="s">
        <v>45</v>
      </c>
      <c r="U780">
        <v>50</v>
      </c>
      <c r="V780">
        <v>150</v>
      </c>
      <c r="W780">
        <v>0</v>
      </c>
      <c r="X780" s="49">
        <v>0</v>
      </c>
      <c r="Y780" s="49" t="s">
        <v>476</v>
      </c>
      <c r="Z780" s="7">
        <f>SUM(Tabla1[[#This Row],[RES-A]:[EXTR-B]])</f>
        <v>200</v>
      </c>
      <c r="AA780" s="7">
        <f>Tabla1[[#This Row],[Columna1]]-Tabla1[[#This Row],[IMPORTE TOTAL]]</f>
        <v>0</v>
      </c>
    </row>
    <row r="781" spans="1:27" x14ac:dyDescent="0.2">
      <c r="A781">
        <v>2024</v>
      </c>
      <c r="B781" t="s">
        <v>57</v>
      </c>
      <c r="C781" s="51">
        <v>45360</v>
      </c>
      <c r="D781" s="3" t="s">
        <v>42</v>
      </c>
      <c r="E781" s="3" t="s">
        <v>46</v>
      </c>
      <c r="F781" s="3" t="s">
        <v>46</v>
      </c>
      <c r="G781" s="4">
        <v>0.39583333333333331</v>
      </c>
      <c r="H781" s="4">
        <v>0.60416666666666663</v>
      </c>
      <c r="I781" t="s">
        <v>30</v>
      </c>
      <c r="J781">
        <v>1</v>
      </c>
      <c r="L781" s="46"/>
      <c r="P781">
        <v>150</v>
      </c>
      <c r="Q781">
        <v>0</v>
      </c>
      <c r="R781">
        <v>0</v>
      </c>
      <c r="S781" s="7">
        <f>Tabla1[[#This Row],[TARIFA]]+Tabla1[[#This Row],[IMPORTE EXTRAS]]</f>
        <v>150</v>
      </c>
      <c r="T781" t="s">
        <v>45</v>
      </c>
      <c r="U781">
        <v>50</v>
      </c>
      <c r="V781">
        <v>100</v>
      </c>
      <c r="W781">
        <v>0</v>
      </c>
      <c r="X781" s="49">
        <v>0</v>
      </c>
      <c r="Y781" s="49"/>
      <c r="Z781" s="7">
        <f>SUM(Tabla1[[#This Row],[RES-A]:[EXTR-B]])</f>
        <v>150</v>
      </c>
      <c r="AA781" s="7">
        <f>Tabla1[[#This Row],[Columna1]]-Tabla1[[#This Row],[IMPORTE TOTAL]]</f>
        <v>0</v>
      </c>
    </row>
    <row r="782" spans="1:27" x14ac:dyDescent="0.2">
      <c r="A782">
        <v>2024</v>
      </c>
      <c r="B782" t="s">
        <v>57</v>
      </c>
      <c r="C782" s="51">
        <v>45360</v>
      </c>
      <c r="D782" s="3" t="s">
        <v>42</v>
      </c>
      <c r="E782" s="3" t="s">
        <v>46</v>
      </c>
      <c r="F782" s="3" t="s">
        <v>46</v>
      </c>
      <c r="G782" s="4">
        <v>0.64583333333333337</v>
      </c>
      <c r="H782" s="4">
        <v>0.85416666666666663</v>
      </c>
      <c r="I782" t="s">
        <v>31</v>
      </c>
      <c r="J782">
        <v>1</v>
      </c>
      <c r="L782" s="46"/>
      <c r="P782">
        <v>150</v>
      </c>
      <c r="Q782">
        <v>0</v>
      </c>
      <c r="R782">
        <v>0</v>
      </c>
      <c r="S782" s="7">
        <f>Tabla1[[#This Row],[TARIFA]]+Tabla1[[#This Row],[IMPORTE EXTRAS]]</f>
        <v>150</v>
      </c>
      <c r="T782" t="s">
        <v>45</v>
      </c>
      <c r="U782">
        <v>150</v>
      </c>
      <c r="V782">
        <v>0</v>
      </c>
      <c r="W782">
        <v>0</v>
      </c>
      <c r="X782" s="49">
        <v>0</v>
      </c>
      <c r="Y782" s="49"/>
      <c r="Z782" s="7">
        <f>SUM(Tabla1[[#This Row],[RES-A]:[EXTR-B]])</f>
        <v>150</v>
      </c>
      <c r="AA782" s="7">
        <f>Tabla1[[#This Row],[Columna1]]-Tabla1[[#This Row],[IMPORTE TOTAL]]</f>
        <v>0</v>
      </c>
    </row>
    <row r="783" spans="1:27" x14ac:dyDescent="0.2">
      <c r="A783">
        <v>2024</v>
      </c>
      <c r="B783" t="s">
        <v>57</v>
      </c>
      <c r="C783" s="51">
        <v>45360</v>
      </c>
      <c r="D783" s="3" t="s">
        <v>42</v>
      </c>
      <c r="E783" s="3" t="s">
        <v>46</v>
      </c>
      <c r="F783" s="3" t="s">
        <v>46</v>
      </c>
      <c r="G783" s="4">
        <v>0.89583333333333337</v>
      </c>
      <c r="H783" s="4">
        <v>0.10416666666666667</v>
      </c>
      <c r="I783" t="s">
        <v>35</v>
      </c>
      <c r="J783">
        <v>1</v>
      </c>
      <c r="L783" s="46"/>
      <c r="P783">
        <v>200</v>
      </c>
      <c r="Q783">
        <v>0</v>
      </c>
      <c r="R783">
        <v>0</v>
      </c>
      <c r="S783" s="7">
        <f>Tabla1[[#This Row],[TARIFA]]+Tabla1[[#This Row],[IMPORTE EXTRAS]]</f>
        <v>200</v>
      </c>
      <c r="T783" t="s">
        <v>45</v>
      </c>
      <c r="U783">
        <v>50</v>
      </c>
      <c r="V783">
        <v>150</v>
      </c>
      <c r="W783">
        <v>0</v>
      </c>
      <c r="X783" s="49">
        <v>0</v>
      </c>
      <c r="Y783" s="49"/>
      <c r="Z783" s="7">
        <f>SUM(Tabla1[[#This Row],[RES-A]:[EXTR-B]])</f>
        <v>200</v>
      </c>
      <c r="AA783" s="7">
        <f>Tabla1[[#This Row],[Columna1]]-Tabla1[[#This Row],[IMPORTE TOTAL]]</f>
        <v>0</v>
      </c>
    </row>
    <row r="784" spans="1:27" x14ac:dyDescent="0.2">
      <c r="A784">
        <v>2024</v>
      </c>
      <c r="B784" t="s">
        <v>57</v>
      </c>
      <c r="C784" s="51">
        <v>45361</v>
      </c>
      <c r="D784" s="3" t="s">
        <v>43</v>
      </c>
      <c r="E784" s="3" t="s">
        <v>46</v>
      </c>
      <c r="F784" s="3" t="s">
        <v>46</v>
      </c>
      <c r="G784" s="4">
        <v>0.39583333333333331</v>
      </c>
      <c r="H784" s="4">
        <v>0.85416666666666663</v>
      </c>
      <c r="I784" t="s">
        <v>32</v>
      </c>
      <c r="J784">
        <v>2</v>
      </c>
      <c r="L784" s="46"/>
      <c r="P784">
        <v>290</v>
      </c>
      <c r="Q784">
        <v>0</v>
      </c>
      <c r="R784">
        <v>0</v>
      </c>
      <c r="S784" s="7">
        <f>Tabla1[[#This Row],[TARIFA]]+Tabla1[[#This Row],[IMPORTE EXTRAS]]</f>
        <v>290</v>
      </c>
      <c r="T784" t="s">
        <v>45</v>
      </c>
      <c r="U784">
        <v>290</v>
      </c>
      <c r="V784">
        <v>0</v>
      </c>
      <c r="W784">
        <v>0</v>
      </c>
      <c r="X784" s="49">
        <v>0</v>
      </c>
      <c r="Y784" s="49"/>
      <c r="Z784" s="7">
        <f>SUM(Tabla1[[#This Row],[RES-A]:[EXTR-B]])</f>
        <v>290</v>
      </c>
      <c r="AA784" s="7">
        <f>Tabla1[[#This Row],[Columna1]]-Tabla1[[#This Row],[IMPORTE TOTAL]]</f>
        <v>0</v>
      </c>
    </row>
    <row r="785" spans="1:27" x14ac:dyDescent="0.2">
      <c r="A785">
        <v>2024</v>
      </c>
      <c r="B785" t="s">
        <v>57</v>
      </c>
      <c r="C785" s="51">
        <v>45363</v>
      </c>
      <c r="D785" s="3" t="s">
        <v>38</v>
      </c>
      <c r="E785" s="3" t="s">
        <v>46</v>
      </c>
      <c r="F785" s="3" t="s">
        <v>46</v>
      </c>
      <c r="G785" s="4">
        <v>0.64583333333333337</v>
      </c>
      <c r="H785" s="4">
        <v>0.85416666666666663</v>
      </c>
      <c r="I785" t="s">
        <v>31</v>
      </c>
      <c r="J785">
        <v>1</v>
      </c>
      <c r="L785" s="46"/>
      <c r="P785">
        <v>95</v>
      </c>
      <c r="Q785">
        <v>0</v>
      </c>
      <c r="R785">
        <v>0</v>
      </c>
      <c r="S785" s="7">
        <f>Tabla1[[#This Row],[TARIFA]]+Tabla1[[#This Row],[IMPORTE EXTRAS]]</f>
        <v>95</v>
      </c>
      <c r="T785" t="s">
        <v>45</v>
      </c>
      <c r="U785">
        <v>50</v>
      </c>
      <c r="V785">
        <v>45</v>
      </c>
      <c r="W785">
        <v>0</v>
      </c>
      <c r="X785" s="49">
        <v>0</v>
      </c>
      <c r="Y785" s="49"/>
      <c r="Z785" s="7">
        <f>SUM(Tabla1[[#This Row],[RES-A]:[EXTR-B]])</f>
        <v>95</v>
      </c>
      <c r="AA785" s="7">
        <f>Tabla1[[#This Row],[Columna1]]-Tabla1[[#This Row],[IMPORTE TOTAL]]</f>
        <v>0</v>
      </c>
    </row>
    <row r="786" spans="1:27" x14ac:dyDescent="0.2">
      <c r="A786">
        <v>2024</v>
      </c>
      <c r="B786" t="s">
        <v>57</v>
      </c>
      <c r="C786" s="51">
        <v>45364</v>
      </c>
      <c r="D786" s="3" t="s">
        <v>39</v>
      </c>
      <c r="E786" s="3" t="s">
        <v>46</v>
      </c>
      <c r="F786" s="3" t="s">
        <v>46</v>
      </c>
      <c r="G786" s="4">
        <v>0.64583333333333337</v>
      </c>
      <c r="H786" s="4">
        <v>0.85416666666666663</v>
      </c>
      <c r="I786" t="s">
        <v>31</v>
      </c>
      <c r="J786">
        <v>1</v>
      </c>
      <c r="L786" s="46"/>
      <c r="P786">
        <v>95</v>
      </c>
      <c r="Q786">
        <v>0</v>
      </c>
      <c r="R786">
        <v>0</v>
      </c>
      <c r="S786" s="7">
        <f>Tabla1[[#This Row],[TARIFA]]+Tabla1[[#This Row],[IMPORTE EXTRAS]]</f>
        <v>95</v>
      </c>
      <c r="T786" t="s">
        <v>45</v>
      </c>
      <c r="U786">
        <v>95</v>
      </c>
      <c r="V786">
        <v>0</v>
      </c>
      <c r="W786">
        <v>0</v>
      </c>
      <c r="X786" s="49">
        <v>0</v>
      </c>
      <c r="Y786" s="49" t="s">
        <v>628</v>
      </c>
      <c r="Z786" s="7">
        <f>SUM(Tabla1[[#This Row],[RES-A]:[EXTR-B]])</f>
        <v>95</v>
      </c>
      <c r="AA786" s="7">
        <f>Tabla1[[#This Row],[Columna1]]-Tabla1[[#This Row],[IMPORTE TOTAL]]</f>
        <v>0</v>
      </c>
    </row>
    <row r="787" spans="1:27" x14ac:dyDescent="0.2">
      <c r="A787">
        <v>2024</v>
      </c>
      <c r="B787" t="s">
        <v>57</v>
      </c>
      <c r="C787" s="51">
        <v>45366</v>
      </c>
      <c r="D787" s="3" t="s">
        <v>41</v>
      </c>
      <c r="E787" s="3" t="s">
        <v>46</v>
      </c>
      <c r="F787" s="3" t="s">
        <v>46</v>
      </c>
      <c r="G787" s="4">
        <v>0.89583333333333337</v>
      </c>
      <c r="H787" s="4">
        <v>0.10416666666666667</v>
      </c>
      <c r="I787" t="s">
        <v>35</v>
      </c>
      <c r="J787">
        <v>1</v>
      </c>
      <c r="L787" s="46"/>
      <c r="P787">
        <v>200</v>
      </c>
      <c r="Q787">
        <v>1</v>
      </c>
      <c r="R787">
        <v>60</v>
      </c>
      <c r="S787" s="7">
        <f>Tabla1[[#This Row],[TARIFA]]+Tabla1[[#This Row],[IMPORTE EXTRAS]]</f>
        <v>260</v>
      </c>
      <c r="T787" t="s">
        <v>45</v>
      </c>
      <c r="U787">
        <v>50</v>
      </c>
      <c r="V787">
        <v>150</v>
      </c>
      <c r="W787">
        <v>0</v>
      </c>
      <c r="X787" s="49">
        <v>60</v>
      </c>
      <c r="Y787" s="49"/>
      <c r="Z787" s="7">
        <f>SUM(Tabla1[[#This Row],[RES-A]:[EXTR-B]])</f>
        <v>260</v>
      </c>
      <c r="AA787" s="7">
        <f>Tabla1[[#This Row],[Columna1]]-Tabla1[[#This Row],[IMPORTE TOTAL]]</f>
        <v>0</v>
      </c>
    </row>
    <row r="788" spans="1:27" x14ac:dyDescent="0.2">
      <c r="A788">
        <v>2024</v>
      </c>
      <c r="B788" t="s">
        <v>57</v>
      </c>
      <c r="C788" s="51">
        <v>45367</v>
      </c>
      <c r="D788" s="3" t="s">
        <v>42</v>
      </c>
      <c r="E788" s="3" t="s">
        <v>46</v>
      </c>
      <c r="F788" s="3" t="s">
        <v>46</v>
      </c>
      <c r="G788" s="4">
        <v>0.64583333333333337</v>
      </c>
      <c r="H788" s="4">
        <v>0.85416666666666663</v>
      </c>
      <c r="I788" t="s">
        <v>31</v>
      </c>
      <c r="J788">
        <v>1</v>
      </c>
      <c r="L788" s="46"/>
      <c r="P788">
        <v>150</v>
      </c>
      <c r="Q788">
        <v>0</v>
      </c>
      <c r="R788">
        <v>0</v>
      </c>
      <c r="S788" s="7">
        <f>Tabla1[[#This Row],[TARIFA]]+Tabla1[[#This Row],[IMPORTE EXTRAS]]</f>
        <v>150</v>
      </c>
      <c r="T788" t="s">
        <v>45</v>
      </c>
      <c r="U788">
        <v>50</v>
      </c>
      <c r="V788">
        <v>100</v>
      </c>
      <c r="W788">
        <v>0</v>
      </c>
      <c r="X788" s="49">
        <v>0</v>
      </c>
      <c r="Y788" s="49"/>
      <c r="Z788" s="7">
        <f>SUM(Tabla1[[#This Row],[RES-A]:[EXTR-B]])</f>
        <v>150</v>
      </c>
      <c r="AA788" s="7">
        <f>Tabla1[[#This Row],[Columna1]]-Tabla1[[#This Row],[IMPORTE TOTAL]]</f>
        <v>0</v>
      </c>
    </row>
    <row r="789" spans="1:27" x14ac:dyDescent="0.2">
      <c r="A789">
        <v>2024</v>
      </c>
      <c r="B789" t="s">
        <v>57</v>
      </c>
      <c r="C789" s="51">
        <v>45367</v>
      </c>
      <c r="D789" s="3" t="s">
        <v>42</v>
      </c>
      <c r="E789" s="3" t="s">
        <v>46</v>
      </c>
      <c r="F789" s="3" t="s">
        <v>46</v>
      </c>
      <c r="G789" s="4">
        <v>0.89583333333333337</v>
      </c>
      <c r="H789" s="4">
        <v>0.10416666666666667</v>
      </c>
      <c r="I789" t="s">
        <v>35</v>
      </c>
      <c r="J789">
        <v>1</v>
      </c>
      <c r="L789" s="46"/>
      <c r="P789">
        <v>200</v>
      </c>
      <c r="Q789">
        <v>0</v>
      </c>
      <c r="R789">
        <v>0</v>
      </c>
      <c r="S789" s="7">
        <f>Tabla1[[#This Row],[TARIFA]]+Tabla1[[#This Row],[IMPORTE EXTRAS]]</f>
        <v>200</v>
      </c>
      <c r="T789" t="s">
        <v>45</v>
      </c>
      <c r="U789">
        <v>200</v>
      </c>
      <c r="V789">
        <v>0</v>
      </c>
      <c r="W789">
        <v>0</v>
      </c>
      <c r="X789" s="49">
        <v>0</v>
      </c>
      <c r="Y789" s="49"/>
      <c r="Z789" s="7">
        <f>SUM(Tabla1[[#This Row],[RES-A]:[EXTR-B]])</f>
        <v>200</v>
      </c>
      <c r="AA789" s="7">
        <f>Tabla1[[#This Row],[Columna1]]-Tabla1[[#This Row],[IMPORTE TOTAL]]</f>
        <v>0</v>
      </c>
    </row>
    <row r="790" spans="1:27" x14ac:dyDescent="0.2">
      <c r="A790">
        <v>2024</v>
      </c>
      <c r="B790" t="s">
        <v>57</v>
      </c>
      <c r="C790" s="51">
        <v>45368</v>
      </c>
      <c r="D790" s="3" t="s">
        <v>43</v>
      </c>
      <c r="E790" s="3" t="s">
        <v>46</v>
      </c>
      <c r="F790" s="3" t="s">
        <v>46</v>
      </c>
      <c r="G790" s="4">
        <v>0.39583333333333331</v>
      </c>
      <c r="H790" s="4">
        <v>0.60416666666666663</v>
      </c>
      <c r="I790" t="s">
        <v>30</v>
      </c>
      <c r="J790">
        <v>1</v>
      </c>
      <c r="L790" s="46"/>
      <c r="P790">
        <v>150</v>
      </c>
      <c r="Q790">
        <v>0</v>
      </c>
      <c r="R790">
        <v>0</v>
      </c>
      <c r="S790" s="7">
        <f>Tabla1[[#This Row],[TARIFA]]+Tabla1[[#This Row],[IMPORTE EXTRAS]]</f>
        <v>150</v>
      </c>
      <c r="T790" t="s">
        <v>45</v>
      </c>
      <c r="U790">
        <v>150</v>
      </c>
      <c r="V790">
        <v>0</v>
      </c>
      <c r="W790">
        <v>0</v>
      </c>
      <c r="X790" s="49">
        <v>0</v>
      </c>
      <c r="Y790" s="49"/>
      <c r="Z790" s="7">
        <f>SUM(Tabla1[[#This Row],[RES-A]:[EXTR-B]])</f>
        <v>150</v>
      </c>
      <c r="AA790" s="7">
        <f>Tabla1[[#This Row],[Columna1]]-Tabla1[[#This Row],[IMPORTE TOTAL]]</f>
        <v>0</v>
      </c>
    </row>
    <row r="791" spans="1:27" x14ac:dyDescent="0.2">
      <c r="A791">
        <v>2024</v>
      </c>
      <c r="B791" t="s">
        <v>57</v>
      </c>
      <c r="C791" s="51">
        <v>45368</v>
      </c>
      <c r="D791" s="3" t="s">
        <v>43</v>
      </c>
      <c r="E791" s="3" t="s">
        <v>46</v>
      </c>
      <c r="F791" s="3" t="s">
        <v>46</v>
      </c>
      <c r="G791" s="4">
        <v>0.64583333333333337</v>
      </c>
      <c r="H791" s="4">
        <v>0.85416666666666663</v>
      </c>
      <c r="I791" t="s">
        <v>31</v>
      </c>
      <c r="J791">
        <v>1</v>
      </c>
      <c r="L791" s="46"/>
      <c r="P791">
        <v>150</v>
      </c>
      <c r="Q791">
        <v>0</v>
      </c>
      <c r="R791">
        <v>0</v>
      </c>
      <c r="S791" s="7">
        <f>Tabla1[[#This Row],[TARIFA]]+Tabla1[[#This Row],[IMPORTE EXTRAS]]</f>
        <v>150</v>
      </c>
      <c r="T791" t="s">
        <v>45</v>
      </c>
      <c r="U791">
        <v>150</v>
      </c>
      <c r="V791">
        <v>0</v>
      </c>
      <c r="W791">
        <v>0</v>
      </c>
      <c r="X791" s="49">
        <v>0</v>
      </c>
      <c r="Y791" s="49"/>
      <c r="Z791" s="7">
        <f>SUM(Tabla1[[#This Row],[RES-A]:[EXTR-B]])</f>
        <v>150</v>
      </c>
      <c r="AA791" s="7">
        <f>Tabla1[[#This Row],[Columna1]]-Tabla1[[#This Row],[IMPORTE TOTAL]]</f>
        <v>0</v>
      </c>
    </row>
    <row r="792" spans="1:27" x14ac:dyDescent="0.2">
      <c r="A792">
        <v>2024</v>
      </c>
      <c r="B792" t="s">
        <v>57</v>
      </c>
      <c r="C792" s="51">
        <v>45370</v>
      </c>
      <c r="D792" s="3" t="s">
        <v>38</v>
      </c>
      <c r="E792" s="3" t="s">
        <v>46</v>
      </c>
      <c r="F792" s="3" t="s">
        <v>46</v>
      </c>
      <c r="G792" s="4">
        <v>0.64583333333333337</v>
      </c>
      <c r="H792" s="4">
        <v>0.85416666666666663</v>
      </c>
      <c r="I792" t="s">
        <v>31</v>
      </c>
      <c r="J792">
        <v>1</v>
      </c>
      <c r="L792" s="46"/>
      <c r="P792">
        <v>95</v>
      </c>
      <c r="Q792">
        <v>0</v>
      </c>
      <c r="R792">
        <v>0</v>
      </c>
      <c r="S792" s="7">
        <f>Tabla1[[#This Row],[TARIFA]]+Tabla1[[#This Row],[IMPORTE EXTRAS]]</f>
        <v>95</v>
      </c>
      <c r="T792" t="s">
        <v>45</v>
      </c>
      <c r="U792">
        <v>95</v>
      </c>
      <c r="V792">
        <v>0</v>
      </c>
      <c r="W792">
        <v>0</v>
      </c>
      <c r="X792" s="49">
        <v>0</v>
      </c>
      <c r="Y792" s="49"/>
      <c r="Z792" s="7">
        <f>SUM(Tabla1[[#This Row],[RES-A]:[EXTR-B]])</f>
        <v>95</v>
      </c>
      <c r="AA792" s="7">
        <f>Tabla1[[#This Row],[Columna1]]-Tabla1[[#This Row],[IMPORTE TOTAL]]</f>
        <v>0</v>
      </c>
    </row>
    <row r="793" spans="1:27" x14ac:dyDescent="0.2">
      <c r="A793">
        <v>2024</v>
      </c>
      <c r="B793" t="s">
        <v>57</v>
      </c>
      <c r="C793" s="51">
        <v>45373</v>
      </c>
      <c r="D793" s="3" t="s">
        <v>41</v>
      </c>
      <c r="E793" s="3" t="s">
        <v>46</v>
      </c>
      <c r="F793" s="3" t="s">
        <v>46</v>
      </c>
      <c r="G793" s="4">
        <v>0.89583333333333337</v>
      </c>
      <c r="H793" s="4">
        <v>0.10416666666666667</v>
      </c>
      <c r="I793" t="s">
        <v>35</v>
      </c>
      <c r="J793">
        <v>1</v>
      </c>
      <c r="L793" s="46"/>
      <c r="P793">
        <v>200</v>
      </c>
      <c r="Q793">
        <v>0</v>
      </c>
      <c r="R793">
        <v>0</v>
      </c>
      <c r="S793" s="7">
        <f>Tabla1[[#This Row],[TARIFA]]+Tabla1[[#This Row],[IMPORTE EXTRAS]]</f>
        <v>200</v>
      </c>
      <c r="T793" t="s">
        <v>45</v>
      </c>
      <c r="U793">
        <v>50</v>
      </c>
      <c r="V793">
        <v>150</v>
      </c>
      <c r="W793">
        <v>0</v>
      </c>
      <c r="X793" s="49">
        <v>0</v>
      </c>
      <c r="Y793" s="49"/>
      <c r="Z793" s="7">
        <f>SUM(Tabla1[[#This Row],[RES-A]:[EXTR-B]])</f>
        <v>200</v>
      </c>
      <c r="AA793" s="7">
        <f>Tabla1[[#This Row],[Columna1]]-Tabla1[[#This Row],[IMPORTE TOTAL]]</f>
        <v>0</v>
      </c>
    </row>
    <row r="794" spans="1:27" x14ac:dyDescent="0.2">
      <c r="A794">
        <v>2024</v>
      </c>
      <c r="B794" t="s">
        <v>57</v>
      </c>
      <c r="C794" s="51">
        <v>45374</v>
      </c>
      <c r="D794" s="3" t="s">
        <v>42</v>
      </c>
      <c r="E794" s="3" t="s">
        <v>46</v>
      </c>
      <c r="F794" s="3" t="s">
        <v>46</v>
      </c>
      <c r="G794" s="4">
        <v>0.64583333333333337</v>
      </c>
      <c r="H794" s="4">
        <v>0.85416666666666663</v>
      </c>
      <c r="I794" t="s">
        <v>31</v>
      </c>
      <c r="J794">
        <v>1</v>
      </c>
      <c r="L794" s="46"/>
      <c r="P794">
        <v>150</v>
      </c>
      <c r="Q794">
        <v>0</v>
      </c>
      <c r="R794">
        <v>0</v>
      </c>
      <c r="S794" s="7">
        <f>Tabla1[[#This Row],[TARIFA]]+Tabla1[[#This Row],[IMPORTE EXTRAS]]</f>
        <v>150</v>
      </c>
      <c r="T794" t="s">
        <v>45</v>
      </c>
      <c r="U794">
        <v>50</v>
      </c>
      <c r="V794">
        <v>100</v>
      </c>
      <c r="W794">
        <v>0</v>
      </c>
      <c r="X794" s="49">
        <v>0</v>
      </c>
      <c r="Y794" s="49"/>
      <c r="Z794" s="7">
        <f>SUM(Tabla1[[#This Row],[RES-A]:[EXTR-B]])</f>
        <v>150</v>
      </c>
      <c r="AA794" s="7">
        <f>Tabla1[[#This Row],[Columna1]]-Tabla1[[#This Row],[IMPORTE TOTAL]]</f>
        <v>0</v>
      </c>
    </row>
    <row r="795" spans="1:27" x14ac:dyDescent="0.2">
      <c r="A795">
        <v>2024</v>
      </c>
      <c r="B795" t="s">
        <v>57</v>
      </c>
      <c r="C795" s="51">
        <v>45374</v>
      </c>
      <c r="D795" s="3" t="s">
        <v>42</v>
      </c>
      <c r="E795" s="3" t="s">
        <v>46</v>
      </c>
      <c r="F795" s="3" t="s">
        <v>46</v>
      </c>
      <c r="G795" s="4">
        <v>0.89583333333333337</v>
      </c>
      <c r="H795" s="4">
        <v>0.10416666666666667</v>
      </c>
      <c r="I795" t="s">
        <v>35</v>
      </c>
      <c r="J795">
        <v>1</v>
      </c>
      <c r="L795" s="46"/>
      <c r="P795">
        <v>200</v>
      </c>
      <c r="Q795">
        <v>1</v>
      </c>
      <c r="R795">
        <v>60</v>
      </c>
      <c r="S795" s="7">
        <f>Tabla1[[#This Row],[TARIFA]]+Tabla1[[#This Row],[IMPORTE EXTRAS]]</f>
        <v>260</v>
      </c>
      <c r="T795" t="s">
        <v>45</v>
      </c>
      <c r="U795">
        <v>200</v>
      </c>
      <c r="V795">
        <v>0</v>
      </c>
      <c r="W795">
        <v>60</v>
      </c>
      <c r="X795" s="49">
        <v>0</v>
      </c>
      <c r="Y795" s="49"/>
      <c r="Z795" s="7">
        <f>SUM(Tabla1[[#This Row],[RES-A]:[EXTR-B]])</f>
        <v>260</v>
      </c>
      <c r="AA795" s="7">
        <f>Tabla1[[#This Row],[Columna1]]-Tabla1[[#This Row],[IMPORTE TOTAL]]</f>
        <v>0</v>
      </c>
    </row>
    <row r="796" spans="1:27" x14ac:dyDescent="0.2">
      <c r="A796">
        <v>2024</v>
      </c>
      <c r="B796" t="s">
        <v>57</v>
      </c>
      <c r="C796" s="51">
        <v>45375</v>
      </c>
      <c r="D796" s="3" t="s">
        <v>43</v>
      </c>
      <c r="E796" s="3" t="s">
        <v>46</v>
      </c>
      <c r="F796" s="3" t="s">
        <v>46</v>
      </c>
      <c r="G796" s="4">
        <v>0.39583333333333331</v>
      </c>
      <c r="H796" s="4">
        <v>0.60416666666666663</v>
      </c>
      <c r="I796" t="s">
        <v>30</v>
      </c>
      <c r="J796">
        <v>1</v>
      </c>
      <c r="L796" s="46"/>
      <c r="P796">
        <v>150</v>
      </c>
      <c r="Q796">
        <v>0</v>
      </c>
      <c r="R796">
        <v>0</v>
      </c>
      <c r="S796" s="7">
        <f>Tabla1[[#This Row],[TARIFA]]+Tabla1[[#This Row],[IMPORTE EXTRAS]]</f>
        <v>150</v>
      </c>
      <c r="T796" t="s">
        <v>45</v>
      </c>
      <c r="U796">
        <v>50</v>
      </c>
      <c r="V796">
        <v>100</v>
      </c>
      <c r="W796">
        <v>0</v>
      </c>
      <c r="X796" s="49">
        <v>0</v>
      </c>
      <c r="Y796" s="49"/>
      <c r="Z796" s="7">
        <f>SUM(Tabla1[[#This Row],[RES-A]:[EXTR-B]])</f>
        <v>150</v>
      </c>
      <c r="AA796" s="7">
        <f>Tabla1[[#This Row],[Columna1]]-Tabla1[[#This Row],[IMPORTE TOTAL]]</f>
        <v>0</v>
      </c>
    </row>
    <row r="797" spans="1:27" x14ac:dyDescent="0.2">
      <c r="A797">
        <v>2024</v>
      </c>
      <c r="B797" t="s">
        <v>57</v>
      </c>
      <c r="C797" s="51">
        <v>45375</v>
      </c>
      <c r="D797" s="3" t="s">
        <v>43</v>
      </c>
      <c r="E797" s="3" t="s">
        <v>46</v>
      </c>
      <c r="F797" s="3" t="s">
        <v>46</v>
      </c>
      <c r="G797" s="4">
        <v>0.64583333333333337</v>
      </c>
      <c r="H797" s="4">
        <v>0.85416666666666663</v>
      </c>
      <c r="I797" t="s">
        <v>31</v>
      </c>
      <c r="J797">
        <v>1</v>
      </c>
      <c r="L797" s="46"/>
      <c r="P797">
        <v>150</v>
      </c>
      <c r="Q797">
        <v>0</v>
      </c>
      <c r="R797">
        <v>0</v>
      </c>
      <c r="S797" s="7">
        <f>Tabla1[[#This Row],[TARIFA]]+Tabla1[[#This Row],[IMPORTE EXTRAS]]</f>
        <v>150</v>
      </c>
      <c r="T797" t="s">
        <v>45</v>
      </c>
      <c r="U797">
        <v>50</v>
      </c>
      <c r="V797">
        <v>100</v>
      </c>
      <c r="W797">
        <v>0</v>
      </c>
      <c r="X797" s="49">
        <v>0</v>
      </c>
      <c r="Y797" s="49"/>
      <c r="Z797" s="7">
        <f>SUM(Tabla1[[#This Row],[RES-A]:[EXTR-B]])</f>
        <v>150</v>
      </c>
      <c r="AA797" s="7">
        <f>Tabla1[[#This Row],[Columna1]]-Tabla1[[#This Row],[IMPORTE TOTAL]]</f>
        <v>0</v>
      </c>
    </row>
    <row r="798" spans="1:27" x14ac:dyDescent="0.2">
      <c r="A798">
        <v>2024</v>
      </c>
      <c r="B798" t="s">
        <v>57</v>
      </c>
      <c r="C798" s="51">
        <v>45376</v>
      </c>
      <c r="D798" s="3" t="s">
        <v>37</v>
      </c>
      <c r="E798" s="3" t="s">
        <v>46</v>
      </c>
      <c r="F798" s="3" t="s">
        <v>46</v>
      </c>
      <c r="G798" s="4">
        <v>0.64583333333333337</v>
      </c>
      <c r="H798" s="4">
        <v>0.85416666666666663</v>
      </c>
      <c r="I798" t="s">
        <v>31</v>
      </c>
      <c r="J798">
        <v>1</v>
      </c>
      <c r="L798" s="46"/>
      <c r="P798">
        <v>95</v>
      </c>
      <c r="Q798">
        <v>0</v>
      </c>
      <c r="R798">
        <v>0</v>
      </c>
      <c r="S798" s="7">
        <f>Tabla1[[#This Row],[TARIFA]]+Tabla1[[#This Row],[IMPORTE EXTRAS]]</f>
        <v>95</v>
      </c>
      <c r="T798" t="s">
        <v>45</v>
      </c>
      <c r="U798">
        <v>50</v>
      </c>
      <c r="V798">
        <v>45</v>
      </c>
      <c r="W798">
        <v>0</v>
      </c>
      <c r="X798" s="49">
        <v>0</v>
      </c>
      <c r="Y798" s="49"/>
      <c r="Z798" s="7">
        <f>SUM(Tabla1[[#This Row],[RES-A]:[EXTR-B]])</f>
        <v>95</v>
      </c>
      <c r="AA798" s="7">
        <f>Tabla1[[#This Row],[Columna1]]-Tabla1[[#This Row],[IMPORTE TOTAL]]</f>
        <v>0</v>
      </c>
    </row>
    <row r="799" spans="1:27" x14ac:dyDescent="0.2">
      <c r="A799">
        <v>2024</v>
      </c>
      <c r="B799" t="s">
        <v>57</v>
      </c>
      <c r="C799" s="51">
        <v>45378</v>
      </c>
      <c r="D799" s="3" t="s">
        <v>39</v>
      </c>
      <c r="E799" s="3" t="s">
        <v>46</v>
      </c>
      <c r="F799" s="3" t="s">
        <v>46</v>
      </c>
      <c r="G799" s="4">
        <v>0.64583333333333337</v>
      </c>
      <c r="H799" s="4">
        <v>0.85416666666666663</v>
      </c>
      <c r="I799" t="s">
        <v>31</v>
      </c>
      <c r="J799">
        <v>1</v>
      </c>
      <c r="L799" s="46"/>
      <c r="P799">
        <v>95</v>
      </c>
      <c r="Q799">
        <v>0</v>
      </c>
      <c r="R799">
        <v>0</v>
      </c>
      <c r="S799" s="7">
        <f>Tabla1[[#This Row],[TARIFA]]+Tabla1[[#This Row],[IMPORTE EXTRAS]]</f>
        <v>95</v>
      </c>
      <c r="T799" t="s">
        <v>45</v>
      </c>
      <c r="U799">
        <v>50</v>
      </c>
      <c r="V799">
        <v>45</v>
      </c>
      <c r="W799">
        <v>0</v>
      </c>
      <c r="X799" s="49">
        <v>0</v>
      </c>
      <c r="Y799" s="49"/>
      <c r="Z799" s="7">
        <f>SUM(Tabla1[[#This Row],[RES-A]:[EXTR-B]])</f>
        <v>95</v>
      </c>
      <c r="AA799" s="7">
        <f>Tabla1[[#This Row],[Columna1]]-Tabla1[[#This Row],[IMPORTE TOTAL]]</f>
        <v>0</v>
      </c>
    </row>
    <row r="800" spans="1:27" x14ac:dyDescent="0.2">
      <c r="A800">
        <v>2024</v>
      </c>
      <c r="B800" t="s">
        <v>57</v>
      </c>
      <c r="C800" s="51">
        <v>45381</v>
      </c>
      <c r="D800" s="3" t="s">
        <v>42</v>
      </c>
      <c r="E800" s="3" t="s">
        <v>46</v>
      </c>
      <c r="F800" s="3" t="s">
        <v>46</v>
      </c>
      <c r="G800" s="4">
        <v>0.39583333333333331</v>
      </c>
      <c r="H800" s="4">
        <v>0.60416666666666663</v>
      </c>
      <c r="I800" t="s">
        <v>30</v>
      </c>
      <c r="J800">
        <v>1</v>
      </c>
      <c r="L800" s="46"/>
      <c r="P800">
        <v>150</v>
      </c>
      <c r="Q800">
        <v>0</v>
      </c>
      <c r="R800">
        <v>0</v>
      </c>
      <c r="S800" s="7">
        <f>Tabla1[[#This Row],[TARIFA]]+Tabla1[[#This Row],[IMPORTE EXTRAS]]</f>
        <v>150</v>
      </c>
      <c r="T800" t="s">
        <v>45</v>
      </c>
      <c r="U800">
        <v>50</v>
      </c>
      <c r="V800">
        <v>100</v>
      </c>
      <c r="W800">
        <v>0</v>
      </c>
      <c r="X800" s="49">
        <v>0</v>
      </c>
      <c r="Y800" s="49"/>
      <c r="Z800" s="7">
        <f>SUM(Tabla1[[#This Row],[RES-A]:[EXTR-B]])</f>
        <v>150</v>
      </c>
      <c r="AA800" s="7">
        <f>Tabla1[[#This Row],[Columna1]]-Tabla1[[#This Row],[IMPORTE TOTAL]]</f>
        <v>0</v>
      </c>
    </row>
    <row r="801" spans="1:27" x14ac:dyDescent="0.2">
      <c r="A801">
        <v>2024</v>
      </c>
      <c r="B801" t="s">
        <v>57</v>
      </c>
      <c r="C801" s="51">
        <v>45381</v>
      </c>
      <c r="D801" s="3" t="s">
        <v>42</v>
      </c>
      <c r="E801" s="3" t="s">
        <v>46</v>
      </c>
      <c r="F801" s="3" t="s">
        <v>46</v>
      </c>
      <c r="G801" s="4">
        <v>0.64583333333333337</v>
      </c>
      <c r="H801" s="4">
        <v>0.10416666666666667</v>
      </c>
      <c r="I801" t="s">
        <v>53</v>
      </c>
      <c r="J801">
        <v>2</v>
      </c>
      <c r="L801" s="46"/>
      <c r="P801">
        <v>50</v>
      </c>
      <c r="Q801">
        <v>0</v>
      </c>
      <c r="R801">
        <v>0</v>
      </c>
      <c r="S801" s="7">
        <f>Tabla1[[#This Row],[TARIFA]]+Tabla1[[#This Row],[IMPORTE EXTRAS]]</f>
        <v>50</v>
      </c>
      <c r="T801" t="s">
        <v>55</v>
      </c>
      <c r="U801">
        <v>50</v>
      </c>
      <c r="V801">
        <v>0</v>
      </c>
      <c r="W801">
        <v>0</v>
      </c>
      <c r="X801" s="49">
        <v>0</v>
      </c>
      <c r="Y801" s="49"/>
      <c r="Z801" s="7">
        <f>SUM(Tabla1[[#This Row],[RES-A]:[EXTR-B]])</f>
        <v>50</v>
      </c>
      <c r="AA801" s="7">
        <f>Tabla1[[#This Row],[Columna1]]-Tabla1[[#This Row],[IMPORTE TOTAL]]</f>
        <v>0</v>
      </c>
    </row>
    <row r="802" spans="1:27" x14ac:dyDescent="0.2">
      <c r="A802">
        <v>2024</v>
      </c>
      <c r="B802" t="s">
        <v>57</v>
      </c>
      <c r="C802" s="51">
        <v>45382</v>
      </c>
      <c r="D802" s="3" t="s">
        <v>43</v>
      </c>
      <c r="E802" s="3" t="s">
        <v>46</v>
      </c>
      <c r="F802" s="3" t="s">
        <v>46</v>
      </c>
      <c r="G802" s="4">
        <v>0.64583333333333337</v>
      </c>
      <c r="H802" s="4">
        <v>0.10416666666666667</v>
      </c>
      <c r="I802" t="s">
        <v>53</v>
      </c>
      <c r="J802">
        <v>2</v>
      </c>
      <c r="L802" s="46"/>
      <c r="P802">
        <v>320</v>
      </c>
      <c r="Q802">
        <v>0</v>
      </c>
      <c r="R802">
        <v>0</v>
      </c>
      <c r="S802" s="7">
        <f>Tabla1[[#This Row],[TARIFA]]+Tabla1[[#This Row],[IMPORTE EXTRAS]]</f>
        <v>320</v>
      </c>
      <c r="T802" t="s">
        <v>45</v>
      </c>
      <c r="U802">
        <v>320</v>
      </c>
      <c r="V802">
        <v>0</v>
      </c>
      <c r="W802">
        <v>0</v>
      </c>
      <c r="X802" s="49">
        <v>0</v>
      </c>
      <c r="Y802" s="49"/>
      <c r="Z802" s="7">
        <f>SUM(Tabla1[[#This Row],[RES-A]:[EXTR-B]])</f>
        <v>320</v>
      </c>
      <c r="AA802" s="7">
        <f>Tabla1[[#This Row],[Columna1]]-Tabla1[[#This Row],[IMPORTE TOTAL]]</f>
        <v>0</v>
      </c>
    </row>
    <row r="803" spans="1:27" x14ac:dyDescent="0.2">
      <c r="A803">
        <v>2024</v>
      </c>
      <c r="B803" t="s">
        <v>58</v>
      </c>
      <c r="C803" s="51">
        <v>45385</v>
      </c>
      <c r="D803" s="3" t="s">
        <v>39</v>
      </c>
      <c r="E803" s="3" t="s">
        <v>46</v>
      </c>
      <c r="F803" s="3" t="s">
        <v>46</v>
      </c>
      <c r="G803" s="4">
        <v>0.64583333333333337</v>
      </c>
      <c r="H803" s="4">
        <v>0.85416666666666663</v>
      </c>
      <c r="I803" t="s">
        <v>31</v>
      </c>
      <c r="J803">
        <v>1</v>
      </c>
      <c r="L803" s="46"/>
      <c r="P803">
        <v>95</v>
      </c>
      <c r="Q803">
        <v>0</v>
      </c>
      <c r="R803">
        <v>0</v>
      </c>
      <c r="S803" s="7">
        <f>Tabla1[[#This Row],[TARIFA]]+Tabla1[[#This Row],[IMPORTE EXTRAS]]</f>
        <v>95</v>
      </c>
      <c r="T803" t="s">
        <v>45</v>
      </c>
      <c r="U803">
        <v>95</v>
      </c>
      <c r="V803">
        <v>0</v>
      </c>
      <c r="W803">
        <v>0</v>
      </c>
      <c r="X803" s="49">
        <v>0</v>
      </c>
      <c r="Y803" s="49"/>
      <c r="Z803" s="7">
        <f>SUM(Tabla1[[#This Row],[RES-A]:[EXTR-B]])</f>
        <v>95</v>
      </c>
      <c r="AA803" s="7">
        <f>Tabla1[[#This Row],[Columna1]]-Tabla1[[#This Row],[IMPORTE TOTAL]]</f>
        <v>0</v>
      </c>
    </row>
    <row r="804" spans="1:27" x14ac:dyDescent="0.2">
      <c r="A804">
        <v>2024</v>
      </c>
      <c r="B804" t="s">
        <v>58</v>
      </c>
      <c r="C804" s="51">
        <v>45387</v>
      </c>
      <c r="D804" s="3" t="s">
        <v>41</v>
      </c>
      <c r="E804" s="3" t="s">
        <v>46</v>
      </c>
      <c r="F804" s="3" t="s">
        <v>46</v>
      </c>
      <c r="G804" s="4">
        <v>0.89583333333333337</v>
      </c>
      <c r="H804" s="4">
        <v>0.10416666666666667</v>
      </c>
      <c r="I804" t="s">
        <v>35</v>
      </c>
      <c r="J804">
        <v>1</v>
      </c>
      <c r="L804" s="46"/>
      <c r="P804">
        <v>200</v>
      </c>
      <c r="Q804">
        <v>0</v>
      </c>
      <c r="R804">
        <v>0</v>
      </c>
      <c r="S804" s="7">
        <f>Tabla1[[#This Row],[TARIFA]]+Tabla1[[#This Row],[IMPORTE EXTRAS]]</f>
        <v>200</v>
      </c>
      <c r="T804" t="s">
        <v>45</v>
      </c>
      <c r="U804">
        <v>0</v>
      </c>
      <c r="V804">
        <v>200</v>
      </c>
      <c r="W804">
        <v>0</v>
      </c>
      <c r="X804" s="49">
        <v>0</v>
      </c>
      <c r="Y804" s="49" t="s">
        <v>560</v>
      </c>
      <c r="Z804" s="7">
        <f>SUM(Tabla1[[#This Row],[RES-A]:[EXTR-B]])</f>
        <v>200</v>
      </c>
      <c r="AA804" s="7">
        <f>Tabla1[[#This Row],[Columna1]]-Tabla1[[#This Row],[IMPORTE TOTAL]]</f>
        <v>0</v>
      </c>
    </row>
    <row r="805" spans="1:27" x14ac:dyDescent="0.2">
      <c r="A805">
        <v>2024</v>
      </c>
      <c r="B805" t="s">
        <v>58</v>
      </c>
      <c r="C805" s="51">
        <v>45388</v>
      </c>
      <c r="D805" s="3" t="s">
        <v>42</v>
      </c>
      <c r="E805" s="3" t="s">
        <v>46</v>
      </c>
      <c r="F805" s="3" t="s">
        <v>46</v>
      </c>
      <c r="G805" s="4">
        <v>0.39583333333333331</v>
      </c>
      <c r="H805" s="4">
        <v>0.85416666666666663</v>
      </c>
      <c r="I805" t="s">
        <v>32</v>
      </c>
      <c r="J805">
        <v>2</v>
      </c>
      <c r="L805" s="46"/>
      <c r="P805">
        <v>290</v>
      </c>
      <c r="Q805">
        <v>0</v>
      </c>
      <c r="R805">
        <v>0</v>
      </c>
      <c r="S805" s="7">
        <f>Tabla1[[#This Row],[TARIFA]]+Tabla1[[#This Row],[IMPORTE EXTRAS]]</f>
        <v>290</v>
      </c>
      <c r="T805" t="s">
        <v>45</v>
      </c>
      <c r="U805">
        <v>50</v>
      </c>
      <c r="V805">
        <v>240</v>
      </c>
      <c r="W805">
        <v>0</v>
      </c>
      <c r="X805" s="49">
        <v>0</v>
      </c>
      <c r="Y805" s="49"/>
      <c r="Z805" s="7">
        <f>SUM(Tabla1[[#This Row],[RES-A]:[EXTR-B]])</f>
        <v>290</v>
      </c>
      <c r="AA805" s="7">
        <f>Tabla1[[#This Row],[Columna1]]-Tabla1[[#This Row],[IMPORTE TOTAL]]</f>
        <v>0</v>
      </c>
    </row>
    <row r="806" spans="1:27" x14ac:dyDescent="0.2">
      <c r="A806">
        <v>2024</v>
      </c>
      <c r="B806" t="s">
        <v>58</v>
      </c>
      <c r="C806" s="51">
        <v>45388</v>
      </c>
      <c r="D806" s="3" t="s">
        <v>42</v>
      </c>
      <c r="E806" s="3" t="s">
        <v>46</v>
      </c>
      <c r="F806" s="3" t="s">
        <v>46</v>
      </c>
      <c r="G806" s="4">
        <v>0.89583333333333337</v>
      </c>
      <c r="H806" s="4">
        <v>0.10416666666666667</v>
      </c>
      <c r="I806" t="s">
        <v>35</v>
      </c>
      <c r="J806">
        <v>1</v>
      </c>
      <c r="L806" s="46"/>
      <c r="P806">
        <v>200</v>
      </c>
      <c r="Q806">
        <v>1</v>
      </c>
      <c r="R806">
        <v>60</v>
      </c>
      <c r="S806" s="7">
        <f>Tabla1[[#This Row],[TARIFA]]+Tabla1[[#This Row],[IMPORTE EXTRAS]]</f>
        <v>260</v>
      </c>
      <c r="T806" t="s">
        <v>45</v>
      </c>
      <c r="U806">
        <v>200</v>
      </c>
      <c r="V806">
        <v>0</v>
      </c>
      <c r="W806">
        <v>60</v>
      </c>
      <c r="X806" s="49">
        <v>0</v>
      </c>
      <c r="Y806" s="49"/>
      <c r="Z806" s="7">
        <f>SUM(Tabla1[[#This Row],[RES-A]:[EXTR-B]])</f>
        <v>260</v>
      </c>
      <c r="AA806" s="7">
        <f>Tabla1[[#This Row],[Columna1]]-Tabla1[[#This Row],[IMPORTE TOTAL]]</f>
        <v>0</v>
      </c>
    </row>
    <row r="807" spans="1:27" x14ac:dyDescent="0.2">
      <c r="A807">
        <v>2024</v>
      </c>
      <c r="B807" t="s">
        <v>58</v>
      </c>
      <c r="C807" s="51">
        <v>45389</v>
      </c>
      <c r="D807" s="3" t="s">
        <v>43</v>
      </c>
      <c r="E807" s="3" t="s">
        <v>46</v>
      </c>
      <c r="F807" s="3" t="s">
        <v>46</v>
      </c>
      <c r="G807" s="4">
        <v>0.39583333333333331</v>
      </c>
      <c r="H807" s="4">
        <v>0.60416666666666663</v>
      </c>
      <c r="I807" t="s">
        <v>30</v>
      </c>
      <c r="J807">
        <v>1</v>
      </c>
      <c r="L807" s="46"/>
      <c r="P807">
        <v>150</v>
      </c>
      <c r="Q807">
        <v>0</v>
      </c>
      <c r="R807">
        <v>0</v>
      </c>
      <c r="S807" s="7">
        <f>Tabla1[[#This Row],[TARIFA]]+Tabla1[[#This Row],[IMPORTE EXTRAS]]</f>
        <v>150</v>
      </c>
      <c r="T807" t="s">
        <v>45</v>
      </c>
      <c r="U807">
        <v>50</v>
      </c>
      <c r="V807">
        <v>100</v>
      </c>
      <c r="W807">
        <v>0</v>
      </c>
      <c r="X807" s="49">
        <v>0</v>
      </c>
      <c r="Y807" s="49"/>
      <c r="Z807" s="7">
        <f>SUM(Tabla1[[#This Row],[RES-A]:[EXTR-B]])</f>
        <v>150</v>
      </c>
      <c r="AA807" s="7">
        <f>Tabla1[[#This Row],[Columna1]]-Tabla1[[#This Row],[IMPORTE TOTAL]]</f>
        <v>0</v>
      </c>
    </row>
    <row r="808" spans="1:27" x14ac:dyDescent="0.2">
      <c r="A808">
        <v>2024</v>
      </c>
      <c r="B808" t="s">
        <v>58</v>
      </c>
      <c r="C808" s="51">
        <v>45389</v>
      </c>
      <c r="D808" s="3" t="s">
        <v>43</v>
      </c>
      <c r="E808" s="3" t="s">
        <v>46</v>
      </c>
      <c r="F808" s="3" t="s">
        <v>46</v>
      </c>
      <c r="G808" s="4">
        <v>0.64583333333333337</v>
      </c>
      <c r="H808" s="4">
        <v>0.85416666666666663</v>
      </c>
      <c r="I808" t="s">
        <v>31</v>
      </c>
      <c r="J808">
        <v>1</v>
      </c>
      <c r="L808" s="46"/>
      <c r="P808">
        <v>150</v>
      </c>
      <c r="Q808">
        <v>0</v>
      </c>
      <c r="R808">
        <v>0</v>
      </c>
      <c r="S808" s="7">
        <f>Tabla1[[#This Row],[TARIFA]]+Tabla1[[#This Row],[IMPORTE EXTRAS]]</f>
        <v>150</v>
      </c>
      <c r="T808" t="s">
        <v>45</v>
      </c>
      <c r="U808">
        <v>150</v>
      </c>
      <c r="V808">
        <v>0</v>
      </c>
      <c r="W808">
        <v>0</v>
      </c>
      <c r="X808" s="49">
        <v>0</v>
      </c>
      <c r="Y808" s="49"/>
      <c r="Z808" s="7">
        <f>SUM(Tabla1[[#This Row],[RES-A]:[EXTR-B]])</f>
        <v>150</v>
      </c>
      <c r="AA808" s="7">
        <f>Tabla1[[#This Row],[Columna1]]-Tabla1[[#This Row],[IMPORTE TOTAL]]</f>
        <v>0</v>
      </c>
    </row>
    <row r="809" spans="1:27" x14ac:dyDescent="0.2">
      <c r="A809">
        <v>2024</v>
      </c>
      <c r="B809" t="s">
        <v>58</v>
      </c>
      <c r="C809" s="51">
        <v>45394</v>
      </c>
      <c r="D809" s="3" t="s">
        <v>41</v>
      </c>
      <c r="E809" s="3" t="s">
        <v>46</v>
      </c>
      <c r="F809" s="3" t="s">
        <v>46</v>
      </c>
      <c r="G809" s="4">
        <v>0.89583333333333337</v>
      </c>
      <c r="H809" s="4">
        <v>0.10416666666666667</v>
      </c>
      <c r="I809" t="s">
        <v>35</v>
      </c>
      <c r="J809">
        <v>1</v>
      </c>
      <c r="L809" s="46"/>
      <c r="P809">
        <v>200</v>
      </c>
      <c r="Q809">
        <v>0</v>
      </c>
      <c r="R809">
        <v>0</v>
      </c>
      <c r="S809" s="7">
        <f>Tabla1[[#This Row],[TARIFA]]+Tabla1[[#This Row],[IMPORTE EXTRAS]]</f>
        <v>200</v>
      </c>
      <c r="T809" t="s">
        <v>45</v>
      </c>
      <c r="U809">
        <v>50</v>
      </c>
      <c r="V809">
        <v>150</v>
      </c>
      <c r="W809">
        <v>0</v>
      </c>
      <c r="X809" s="49">
        <v>0</v>
      </c>
      <c r="Y809" s="49"/>
      <c r="Z809" s="7">
        <f>SUM(Tabla1[[#This Row],[RES-A]:[EXTR-B]])</f>
        <v>200</v>
      </c>
      <c r="AA809" s="7">
        <f>Tabla1[[#This Row],[Columna1]]-Tabla1[[#This Row],[IMPORTE TOTAL]]</f>
        <v>0</v>
      </c>
    </row>
    <row r="810" spans="1:27" x14ac:dyDescent="0.2">
      <c r="A810">
        <v>2024</v>
      </c>
      <c r="B810" t="s">
        <v>58</v>
      </c>
      <c r="C810" s="51">
        <v>45395</v>
      </c>
      <c r="D810" s="3" t="s">
        <v>42</v>
      </c>
      <c r="E810" s="3" t="s">
        <v>46</v>
      </c>
      <c r="F810" s="3" t="s">
        <v>46</v>
      </c>
      <c r="G810" s="4">
        <v>0.64583333333333337</v>
      </c>
      <c r="H810" s="4">
        <v>0.85416666666666663</v>
      </c>
      <c r="I810" t="s">
        <v>31</v>
      </c>
      <c r="J810">
        <v>1</v>
      </c>
      <c r="L810" s="46"/>
      <c r="P810">
        <v>150</v>
      </c>
      <c r="Q810">
        <v>0</v>
      </c>
      <c r="R810">
        <v>0</v>
      </c>
      <c r="S810" s="7">
        <f>Tabla1[[#This Row],[TARIFA]]+Tabla1[[#This Row],[IMPORTE EXTRAS]]</f>
        <v>150</v>
      </c>
      <c r="T810" t="s">
        <v>45</v>
      </c>
      <c r="U810">
        <v>50</v>
      </c>
      <c r="V810">
        <v>100</v>
      </c>
      <c r="W810">
        <v>0</v>
      </c>
      <c r="X810" s="49">
        <v>0</v>
      </c>
      <c r="Y810" s="49" t="s">
        <v>637</v>
      </c>
      <c r="Z810" s="7">
        <f>SUM(Tabla1[[#This Row],[RES-A]:[EXTR-B]])</f>
        <v>150</v>
      </c>
      <c r="AA810" s="7">
        <f>Tabla1[[#This Row],[Columna1]]-Tabla1[[#This Row],[IMPORTE TOTAL]]</f>
        <v>0</v>
      </c>
    </row>
    <row r="811" spans="1:27" x14ac:dyDescent="0.2">
      <c r="A811">
        <v>2024</v>
      </c>
      <c r="B811" t="s">
        <v>58</v>
      </c>
      <c r="C811" s="51">
        <v>45395</v>
      </c>
      <c r="D811" s="3" t="s">
        <v>42</v>
      </c>
      <c r="E811" s="3" t="s">
        <v>46</v>
      </c>
      <c r="F811" s="3" t="s">
        <v>46</v>
      </c>
      <c r="G811" s="4">
        <v>0.89583333333333337</v>
      </c>
      <c r="H811" s="4">
        <v>0.10416666666666667</v>
      </c>
      <c r="I811" t="s">
        <v>35</v>
      </c>
      <c r="J811">
        <v>1</v>
      </c>
      <c r="L811" s="46"/>
      <c r="P811">
        <v>200</v>
      </c>
      <c r="Q811">
        <v>1</v>
      </c>
      <c r="R811">
        <v>160</v>
      </c>
      <c r="S811" s="7">
        <f>Tabla1[[#This Row],[TARIFA]]+Tabla1[[#This Row],[IMPORTE EXTRAS]]</f>
        <v>360</v>
      </c>
      <c r="T811" t="s">
        <v>45</v>
      </c>
      <c r="U811">
        <v>200</v>
      </c>
      <c r="V811">
        <v>0</v>
      </c>
      <c r="W811">
        <v>160</v>
      </c>
      <c r="X811" s="49">
        <v>0</v>
      </c>
      <c r="Y811" s="49"/>
      <c r="Z811" s="7">
        <f>SUM(Tabla1[[#This Row],[RES-A]:[EXTR-B]])</f>
        <v>360</v>
      </c>
      <c r="AA811" s="7">
        <f>Tabla1[[#This Row],[Columna1]]-Tabla1[[#This Row],[IMPORTE TOTAL]]</f>
        <v>0</v>
      </c>
    </row>
    <row r="812" spans="1:27" x14ac:dyDescent="0.2">
      <c r="A812">
        <v>2024</v>
      </c>
      <c r="B812" t="s">
        <v>58</v>
      </c>
      <c r="C812" s="51">
        <v>45396</v>
      </c>
      <c r="D812" s="3" t="s">
        <v>43</v>
      </c>
      <c r="E812" s="3" t="s">
        <v>46</v>
      </c>
      <c r="F812" s="3" t="s">
        <v>46</v>
      </c>
      <c r="G812" s="4">
        <v>0.64583333333333337</v>
      </c>
      <c r="H812" s="4">
        <v>0.85416666666666663</v>
      </c>
      <c r="I812" t="s">
        <v>31</v>
      </c>
      <c r="J812">
        <v>1</v>
      </c>
      <c r="L812" s="46"/>
      <c r="P812">
        <v>150</v>
      </c>
      <c r="Q812">
        <v>1</v>
      </c>
      <c r="R812">
        <v>10</v>
      </c>
      <c r="S812" s="7">
        <f>Tabla1[[#This Row],[TARIFA]]+Tabla1[[#This Row],[IMPORTE EXTRAS]]</f>
        <v>160</v>
      </c>
      <c r="T812" t="s">
        <v>45</v>
      </c>
      <c r="U812">
        <v>50</v>
      </c>
      <c r="V812">
        <v>100</v>
      </c>
      <c r="W812">
        <v>0</v>
      </c>
      <c r="X812" s="49">
        <v>10</v>
      </c>
      <c r="Y812" s="49" t="s">
        <v>638</v>
      </c>
      <c r="Z812" s="7">
        <f>SUM(Tabla1[[#This Row],[RES-A]:[EXTR-B]])</f>
        <v>160</v>
      </c>
      <c r="AA812" s="7">
        <f>Tabla1[[#This Row],[Columna1]]-Tabla1[[#This Row],[IMPORTE TOTAL]]</f>
        <v>0</v>
      </c>
    </row>
    <row r="813" spans="1:27" x14ac:dyDescent="0.2">
      <c r="A813">
        <v>2024</v>
      </c>
      <c r="B813" t="s">
        <v>58</v>
      </c>
      <c r="C813" s="51">
        <v>45397</v>
      </c>
      <c r="D813" s="3" t="s">
        <v>37</v>
      </c>
      <c r="E813" s="3" t="s">
        <v>46</v>
      </c>
      <c r="F813" s="3" t="s">
        <v>46</v>
      </c>
      <c r="G813" s="4">
        <v>0.64583333333333337</v>
      </c>
      <c r="H813" s="4">
        <v>0.85416666666666663</v>
      </c>
      <c r="I813" t="s">
        <v>31</v>
      </c>
      <c r="J813">
        <v>1</v>
      </c>
      <c r="L813" s="46"/>
      <c r="P813">
        <v>95</v>
      </c>
      <c r="Q813">
        <v>0</v>
      </c>
      <c r="R813">
        <v>0</v>
      </c>
      <c r="S813" s="7">
        <f>Tabla1[[#This Row],[TARIFA]]+Tabla1[[#This Row],[IMPORTE EXTRAS]]</f>
        <v>95</v>
      </c>
      <c r="T813" t="s">
        <v>45</v>
      </c>
      <c r="U813">
        <v>95</v>
      </c>
      <c r="V813">
        <v>0</v>
      </c>
      <c r="W813">
        <v>0</v>
      </c>
      <c r="X813" s="49">
        <v>0</v>
      </c>
      <c r="Y813" s="49"/>
      <c r="Z813" s="7">
        <f>SUM(Tabla1[[#This Row],[RES-A]:[EXTR-B]])</f>
        <v>95</v>
      </c>
      <c r="AA813" s="7">
        <f>Tabla1[[#This Row],[Columna1]]-Tabla1[[#This Row],[IMPORTE TOTAL]]</f>
        <v>0</v>
      </c>
    </row>
    <row r="814" spans="1:27" x14ac:dyDescent="0.2">
      <c r="A814">
        <v>2024</v>
      </c>
      <c r="B814" t="s">
        <v>58</v>
      </c>
      <c r="C814" s="51">
        <v>45401</v>
      </c>
      <c r="D814" s="3" t="s">
        <v>41</v>
      </c>
      <c r="E814" s="3" t="s">
        <v>46</v>
      </c>
      <c r="F814" s="3" t="s">
        <v>46</v>
      </c>
      <c r="G814" s="4">
        <v>0.89583333333333337</v>
      </c>
      <c r="H814" s="4">
        <v>0.10416666666666667</v>
      </c>
      <c r="I814" t="s">
        <v>35</v>
      </c>
      <c r="J814">
        <v>1</v>
      </c>
      <c r="L814" s="46"/>
      <c r="P814">
        <v>200</v>
      </c>
      <c r="Q814">
        <v>1</v>
      </c>
      <c r="R814">
        <v>290</v>
      </c>
      <c r="S814" s="7">
        <f>Tabla1[[#This Row],[TARIFA]]+Tabla1[[#This Row],[IMPORTE EXTRAS]]</f>
        <v>490</v>
      </c>
      <c r="T814" t="s">
        <v>45</v>
      </c>
      <c r="U814">
        <v>50</v>
      </c>
      <c r="V814">
        <v>150</v>
      </c>
      <c r="W814">
        <v>0</v>
      </c>
      <c r="X814" s="49">
        <v>290</v>
      </c>
      <c r="Y814" s="49"/>
      <c r="Z814" s="7">
        <f>SUM(Tabla1[[#This Row],[RES-A]:[EXTR-B]])</f>
        <v>490</v>
      </c>
      <c r="AA814" s="7">
        <f>Tabla1[[#This Row],[Columna1]]-Tabla1[[#This Row],[IMPORTE TOTAL]]</f>
        <v>0</v>
      </c>
    </row>
    <row r="815" spans="1:27" x14ac:dyDescent="0.2">
      <c r="A815">
        <v>2024</v>
      </c>
      <c r="B815" t="s">
        <v>58</v>
      </c>
      <c r="C815" s="51">
        <v>45402</v>
      </c>
      <c r="D815" s="3" t="s">
        <v>42</v>
      </c>
      <c r="E815" s="3" t="s">
        <v>46</v>
      </c>
      <c r="F815" s="3" t="s">
        <v>46</v>
      </c>
      <c r="G815" s="4">
        <v>0.39583333333333331</v>
      </c>
      <c r="H815" s="4">
        <v>0.60416666666666663</v>
      </c>
      <c r="I815" t="s">
        <v>30</v>
      </c>
      <c r="J815">
        <v>1</v>
      </c>
      <c r="L815" s="46"/>
      <c r="P815">
        <v>150</v>
      </c>
      <c r="Q815">
        <v>0</v>
      </c>
      <c r="R815">
        <v>0</v>
      </c>
      <c r="S815" s="7">
        <f>Tabla1[[#This Row],[TARIFA]]+Tabla1[[#This Row],[IMPORTE EXTRAS]]</f>
        <v>150</v>
      </c>
      <c r="T815" t="s">
        <v>45</v>
      </c>
      <c r="U815">
        <v>150</v>
      </c>
      <c r="V815">
        <v>0</v>
      </c>
      <c r="W815">
        <v>0</v>
      </c>
      <c r="X815" s="49">
        <v>0</v>
      </c>
      <c r="Y815" s="49"/>
      <c r="Z815" s="7">
        <f>SUM(Tabla1[[#This Row],[RES-A]:[EXTR-B]])</f>
        <v>150</v>
      </c>
      <c r="AA815" s="7">
        <f>Tabla1[[#This Row],[Columna1]]-Tabla1[[#This Row],[IMPORTE TOTAL]]</f>
        <v>0</v>
      </c>
    </row>
    <row r="816" spans="1:27" x14ac:dyDescent="0.2">
      <c r="A816">
        <v>2024</v>
      </c>
      <c r="B816" t="s">
        <v>58</v>
      </c>
      <c r="C816" s="51">
        <v>45402</v>
      </c>
      <c r="D816" s="3" t="s">
        <v>42</v>
      </c>
      <c r="E816" s="3" t="s">
        <v>46</v>
      </c>
      <c r="F816" s="3" t="s">
        <v>46</v>
      </c>
      <c r="G816" s="4">
        <v>0.64583333333333337</v>
      </c>
      <c r="H816" s="4">
        <v>0.10416666666666667</v>
      </c>
      <c r="I816" t="s">
        <v>53</v>
      </c>
      <c r="J816">
        <v>2</v>
      </c>
      <c r="L816" s="46"/>
      <c r="P816">
        <v>320</v>
      </c>
      <c r="Q816">
        <v>0</v>
      </c>
      <c r="R816">
        <v>0</v>
      </c>
      <c r="S816" s="7">
        <f>Tabla1[[#This Row],[TARIFA]]+Tabla1[[#This Row],[IMPORTE EXTRAS]]</f>
        <v>320</v>
      </c>
      <c r="T816" t="s">
        <v>45</v>
      </c>
      <c r="U816">
        <v>320</v>
      </c>
      <c r="V816">
        <v>0</v>
      </c>
      <c r="W816">
        <v>0</v>
      </c>
      <c r="X816" s="49">
        <v>0</v>
      </c>
      <c r="Y816" s="49"/>
      <c r="Z816" s="7">
        <f>SUM(Tabla1[[#This Row],[RES-A]:[EXTR-B]])</f>
        <v>320</v>
      </c>
      <c r="AA816" s="7">
        <f>Tabla1[[#This Row],[Columna1]]-Tabla1[[#This Row],[IMPORTE TOTAL]]</f>
        <v>0</v>
      </c>
    </row>
    <row r="817" spans="1:27" x14ac:dyDescent="0.2">
      <c r="A817">
        <v>2024</v>
      </c>
      <c r="B817" t="s">
        <v>58</v>
      </c>
      <c r="C817" s="51">
        <v>45403</v>
      </c>
      <c r="D817" s="3" t="s">
        <v>43</v>
      </c>
      <c r="E817" s="3" t="s">
        <v>46</v>
      </c>
      <c r="F817" s="3" t="s">
        <v>46</v>
      </c>
      <c r="G817" s="4">
        <v>0.39583333333333331</v>
      </c>
      <c r="H817" s="4">
        <v>0.60416666666666663</v>
      </c>
      <c r="I817" t="s">
        <v>30</v>
      </c>
      <c r="J817">
        <v>1</v>
      </c>
      <c r="L817" s="46"/>
      <c r="P817">
        <v>150</v>
      </c>
      <c r="Q817">
        <v>0</v>
      </c>
      <c r="R817">
        <v>0</v>
      </c>
      <c r="S817" s="194">
        <f>Tabla1[[#This Row],[TARIFA]]+Tabla1[[#This Row],[IMPORTE EXTRAS]]</f>
        <v>150</v>
      </c>
      <c r="T817" t="s">
        <v>45</v>
      </c>
      <c r="U817">
        <v>100</v>
      </c>
      <c r="V817">
        <v>50</v>
      </c>
      <c r="W817">
        <v>0</v>
      </c>
      <c r="X817" s="49">
        <v>0</v>
      </c>
      <c r="Y817" s="52" t="s">
        <v>641</v>
      </c>
      <c r="Z817" s="7">
        <f>SUM(Tabla1[[#This Row],[RES-A]:[EXTR-B]])</f>
        <v>150</v>
      </c>
      <c r="AA817" s="7">
        <f>Tabla1[[#This Row],[Columna1]]-Tabla1[[#This Row],[IMPORTE TOTAL]]</f>
        <v>0</v>
      </c>
    </row>
    <row r="818" spans="1:27" x14ac:dyDescent="0.2">
      <c r="A818">
        <v>2024</v>
      </c>
      <c r="B818" t="s">
        <v>58</v>
      </c>
      <c r="C818" s="51">
        <v>45404</v>
      </c>
      <c r="D818" s="3" t="s">
        <v>37</v>
      </c>
      <c r="E818" s="3" t="s">
        <v>46</v>
      </c>
      <c r="F818" s="3" t="s">
        <v>46</v>
      </c>
      <c r="G818" s="4">
        <v>0.64583333333333337</v>
      </c>
      <c r="H818" s="4">
        <v>0.85416666666666663</v>
      </c>
      <c r="I818" t="s">
        <v>31</v>
      </c>
      <c r="J818">
        <v>1</v>
      </c>
      <c r="L818" s="46"/>
      <c r="P818">
        <v>95</v>
      </c>
      <c r="Q818">
        <v>0</v>
      </c>
      <c r="R818">
        <v>0</v>
      </c>
      <c r="S818" s="7">
        <f>Tabla1[[#This Row],[TARIFA]]+Tabla1[[#This Row],[IMPORTE EXTRAS]]</f>
        <v>95</v>
      </c>
      <c r="T818" t="s">
        <v>45</v>
      </c>
      <c r="U818">
        <v>95</v>
      </c>
      <c r="V818">
        <v>0</v>
      </c>
      <c r="W818">
        <v>0</v>
      </c>
      <c r="X818" s="49">
        <v>0</v>
      </c>
      <c r="Y818" s="49"/>
      <c r="Z818" s="7">
        <f>SUM(Tabla1[[#This Row],[RES-A]:[EXTR-B]])</f>
        <v>95</v>
      </c>
      <c r="AA818" s="7">
        <f>Tabla1[[#This Row],[Columna1]]-Tabla1[[#This Row],[IMPORTE TOTAL]]</f>
        <v>0</v>
      </c>
    </row>
    <row r="819" spans="1:27" x14ac:dyDescent="0.2">
      <c r="A819">
        <v>2024</v>
      </c>
      <c r="B819" t="s">
        <v>58</v>
      </c>
      <c r="C819" s="51">
        <v>45408</v>
      </c>
      <c r="D819" s="3" t="s">
        <v>41</v>
      </c>
      <c r="E819" s="3" t="s">
        <v>46</v>
      </c>
      <c r="F819" s="3" t="s">
        <v>46</v>
      </c>
      <c r="G819" s="4">
        <v>0.64583333333333337</v>
      </c>
      <c r="H819" s="4">
        <v>0.85416666666666663</v>
      </c>
      <c r="I819" t="s">
        <v>31</v>
      </c>
      <c r="J819">
        <v>1</v>
      </c>
      <c r="L819" s="46"/>
      <c r="P819">
        <v>140</v>
      </c>
      <c r="Q819">
        <v>0</v>
      </c>
      <c r="R819">
        <v>0</v>
      </c>
      <c r="S819" s="7">
        <f>Tabla1[[#This Row],[TARIFA]]+Tabla1[[#This Row],[IMPORTE EXTRAS]]</f>
        <v>140</v>
      </c>
      <c r="T819" t="s">
        <v>45</v>
      </c>
      <c r="U819">
        <v>50</v>
      </c>
      <c r="V819">
        <v>90</v>
      </c>
      <c r="W819">
        <v>0</v>
      </c>
      <c r="X819" s="49">
        <v>0</v>
      </c>
      <c r="Y819" s="49"/>
      <c r="Z819" s="7">
        <f>SUM(Tabla1[[#This Row],[RES-A]:[EXTR-B]])</f>
        <v>140</v>
      </c>
      <c r="AA819" s="7">
        <f>Tabla1[[#This Row],[Columna1]]-Tabla1[[#This Row],[IMPORTE TOTAL]]</f>
        <v>0</v>
      </c>
    </row>
    <row r="820" spans="1:27" x14ac:dyDescent="0.2">
      <c r="A820">
        <v>2024</v>
      </c>
      <c r="B820" t="s">
        <v>58</v>
      </c>
      <c r="C820" s="51">
        <v>45408</v>
      </c>
      <c r="D820" s="3" t="s">
        <v>41</v>
      </c>
      <c r="E820" s="3" t="s">
        <v>46</v>
      </c>
      <c r="F820" s="3" t="s">
        <v>46</v>
      </c>
      <c r="G820" s="4">
        <v>0.89583333333333337</v>
      </c>
      <c r="H820" s="4">
        <v>0.10416666666666667</v>
      </c>
      <c r="I820" t="s">
        <v>35</v>
      </c>
      <c r="J820">
        <v>1</v>
      </c>
      <c r="L820" s="46"/>
      <c r="P820">
        <v>200</v>
      </c>
      <c r="Q820">
        <v>1</v>
      </c>
      <c r="R820">
        <v>60</v>
      </c>
      <c r="S820" s="7">
        <f>Tabla1[[#This Row],[TARIFA]]+Tabla1[[#This Row],[IMPORTE EXTRAS]]</f>
        <v>260</v>
      </c>
      <c r="T820" t="s">
        <v>45</v>
      </c>
      <c r="U820">
        <v>50</v>
      </c>
      <c r="V820">
        <v>150</v>
      </c>
      <c r="W820">
        <v>0</v>
      </c>
      <c r="X820" s="49">
        <v>60</v>
      </c>
      <c r="Y820" s="49" t="s">
        <v>640</v>
      </c>
      <c r="Z820" s="7">
        <f>SUM(Tabla1[[#This Row],[RES-A]:[EXTR-B]])</f>
        <v>260</v>
      </c>
      <c r="AA820" s="7">
        <f>Tabla1[[#This Row],[Columna1]]-Tabla1[[#This Row],[IMPORTE TOTAL]]</f>
        <v>0</v>
      </c>
    </row>
    <row r="821" spans="1:27" x14ac:dyDescent="0.2">
      <c r="A821">
        <v>2024</v>
      </c>
      <c r="B821" t="s">
        <v>58</v>
      </c>
      <c r="C821" s="51">
        <v>45409</v>
      </c>
      <c r="D821" s="3" t="s">
        <v>42</v>
      </c>
      <c r="E821" s="3" t="s">
        <v>46</v>
      </c>
      <c r="F821" s="3" t="s">
        <v>46</v>
      </c>
      <c r="G821" s="4">
        <v>0.39583333333333331</v>
      </c>
      <c r="H821" s="4">
        <v>0.60416666666666663</v>
      </c>
      <c r="I821" t="s">
        <v>30</v>
      </c>
      <c r="J821">
        <v>1</v>
      </c>
      <c r="L821" s="46"/>
      <c r="P821">
        <v>150</v>
      </c>
      <c r="Q821">
        <v>0</v>
      </c>
      <c r="R821">
        <v>0</v>
      </c>
      <c r="S821" s="7">
        <f>Tabla1[[#This Row],[TARIFA]]+Tabla1[[#This Row],[IMPORTE EXTRAS]]</f>
        <v>150</v>
      </c>
      <c r="T821" t="s">
        <v>45</v>
      </c>
      <c r="U821">
        <v>50</v>
      </c>
      <c r="V821">
        <v>100</v>
      </c>
      <c r="W821">
        <v>0</v>
      </c>
      <c r="X821" s="49">
        <v>0</v>
      </c>
      <c r="Y821" s="49"/>
      <c r="Z821" s="7">
        <f>SUM(Tabla1[[#This Row],[RES-A]:[EXTR-B]])</f>
        <v>150</v>
      </c>
      <c r="AA821" s="7">
        <f>Tabla1[[#This Row],[Columna1]]-Tabla1[[#This Row],[IMPORTE TOTAL]]</f>
        <v>0</v>
      </c>
    </row>
    <row r="822" spans="1:27" x14ac:dyDescent="0.2">
      <c r="A822">
        <v>2024</v>
      </c>
      <c r="B822" t="s">
        <v>58</v>
      </c>
      <c r="C822" s="51">
        <v>45409</v>
      </c>
      <c r="D822" s="3" t="s">
        <v>42</v>
      </c>
      <c r="E822" s="3" t="s">
        <v>46</v>
      </c>
      <c r="F822" s="3" t="s">
        <v>46</v>
      </c>
      <c r="G822" s="4">
        <v>0.64583333333333337</v>
      </c>
      <c r="H822" s="4">
        <v>0.85416666666666663</v>
      </c>
      <c r="I822" t="s">
        <v>31</v>
      </c>
      <c r="J822">
        <v>1</v>
      </c>
      <c r="L822" s="46"/>
      <c r="P822">
        <v>150</v>
      </c>
      <c r="Q822">
        <v>0</v>
      </c>
      <c r="R822">
        <v>0</v>
      </c>
      <c r="S822" s="7">
        <f>Tabla1[[#This Row],[TARIFA]]+Tabla1[[#This Row],[IMPORTE EXTRAS]]</f>
        <v>150</v>
      </c>
      <c r="T822" t="s">
        <v>45</v>
      </c>
      <c r="U822">
        <v>50</v>
      </c>
      <c r="V822">
        <v>100</v>
      </c>
      <c r="W822">
        <v>0</v>
      </c>
      <c r="X822" s="49">
        <v>0</v>
      </c>
      <c r="Y822" s="49" t="s">
        <v>505</v>
      </c>
      <c r="Z822" s="7">
        <f>SUM(Tabla1[[#This Row],[RES-A]:[EXTR-B]])</f>
        <v>150</v>
      </c>
      <c r="AA822" s="7">
        <f>Tabla1[[#This Row],[Columna1]]-Tabla1[[#This Row],[IMPORTE TOTAL]]</f>
        <v>0</v>
      </c>
    </row>
    <row r="823" spans="1:27" x14ac:dyDescent="0.2">
      <c r="A823">
        <v>2024</v>
      </c>
      <c r="B823" t="s">
        <v>58</v>
      </c>
      <c r="C823" s="51">
        <v>45409</v>
      </c>
      <c r="D823" s="3" t="s">
        <v>42</v>
      </c>
      <c r="E823" s="3" t="s">
        <v>46</v>
      </c>
      <c r="F823" s="3" t="s">
        <v>46</v>
      </c>
      <c r="G823" s="4">
        <v>0.89583333333333337</v>
      </c>
      <c r="H823" s="4">
        <v>0.10416666666666667</v>
      </c>
      <c r="I823" t="s">
        <v>35</v>
      </c>
      <c r="J823">
        <v>1</v>
      </c>
      <c r="L823" s="46"/>
      <c r="P823">
        <v>200</v>
      </c>
      <c r="Q823">
        <v>0</v>
      </c>
      <c r="R823">
        <v>0</v>
      </c>
      <c r="S823" s="7">
        <f>Tabla1[[#This Row],[TARIFA]]+Tabla1[[#This Row],[IMPORTE EXTRAS]]</f>
        <v>200</v>
      </c>
      <c r="T823" t="s">
        <v>45</v>
      </c>
      <c r="U823">
        <v>50</v>
      </c>
      <c r="V823">
        <v>150</v>
      </c>
      <c r="W823">
        <v>0</v>
      </c>
      <c r="X823" s="49">
        <v>0</v>
      </c>
      <c r="Y823" s="49"/>
      <c r="Z823" s="7">
        <f>SUM(Tabla1[[#This Row],[RES-A]:[EXTR-B]])</f>
        <v>200</v>
      </c>
      <c r="AA823" s="7">
        <f>Tabla1[[#This Row],[Columna1]]-Tabla1[[#This Row],[IMPORTE TOTAL]]</f>
        <v>0</v>
      </c>
    </row>
    <row r="824" spans="1:27" x14ac:dyDescent="0.2">
      <c r="A824">
        <v>2024</v>
      </c>
      <c r="B824" t="s">
        <v>58</v>
      </c>
      <c r="C824" s="51">
        <v>45410</v>
      </c>
      <c r="D824" s="3" t="s">
        <v>43</v>
      </c>
      <c r="E824" s="3" t="s">
        <v>46</v>
      </c>
      <c r="F824" s="3" t="s">
        <v>46</v>
      </c>
      <c r="G824" s="4">
        <v>0.39583333333333331</v>
      </c>
      <c r="H824" s="4">
        <v>0.60416666666666663</v>
      </c>
      <c r="I824" t="s">
        <v>30</v>
      </c>
      <c r="J824">
        <v>1</v>
      </c>
      <c r="L824" s="46"/>
      <c r="P824">
        <v>150</v>
      </c>
      <c r="Q824">
        <v>0</v>
      </c>
      <c r="R824">
        <v>0</v>
      </c>
      <c r="S824" s="7">
        <f>Tabla1[[#This Row],[TARIFA]]+Tabla1[[#This Row],[IMPORTE EXTRAS]]</f>
        <v>150</v>
      </c>
      <c r="T824" t="s">
        <v>45</v>
      </c>
      <c r="U824">
        <v>50</v>
      </c>
      <c r="V824">
        <v>100</v>
      </c>
      <c r="W824">
        <v>0</v>
      </c>
      <c r="X824" s="49">
        <v>0</v>
      </c>
      <c r="Y824" s="49"/>
      <c r="Z824" s="7">
        <f>SUM(Tabla1[[#This Row],[RES-A]:[EXTR-B]])</f>
        <v>150</v>
      </c>
      <c r="AA824" s="7">
        <f>Tabla1[[#This Row],[Columna1]]-Tabla1[[#This Row],[IMPORTE TOTAL]]</f>
        <v>0</v>
      </c>
    </row>
    <row r="825" spans="1:27" x14ac:dyDescent="0.2">
      <c r="A825">
        <v>2024</v>
      </c>
      <c r="B825" t="s">
        <v>58</v>
      </c>
      <c r="C825" s="51">
        <v>45410</v>
      </c>
      <c r="D825" s="3" t="s">
        <v>43</v>
      </c>
      <c r="E825" s="3" t="s">
        <v>46</v>
      </c>
      <c r="F825" s="3" t="s">
        <v>46</v>
      </c>
      <c r="G825" s="4">
        <v>0.64583333333333337</v>
      </c>
      <c r="H825" s="4">
        <v>0.85416666666666663</v>
      </c>
      <c r="I825" t="s">
        <v>31</v>
      </c>
      <c r="J825">
        <v>1</v>
      </c>
      <c r="L825" s="46"/>
      <c r="P825">
        <v>150</v>
      </c>
      <c r="Q825">
        <v>0</v>
      </c>
      <c r="R825">
        <v>0</v>
      </c>
      <c r="S825" s="7">
        <f>Tabla1[[#This Row],[TARIFA]]+Tabla1[[#This Row],[IMPORTE EXTRAS]]</f>
        <v>150</v>
      </c>
      <c r="T825" t="s">
        <v>45</v>
      </c>
      <c r="U825">
        <v>50</v>
      </c>
      <c r="V825">
        <v>100</v>
      </c>
      <c r="W825">
        <v>0</v>
      </c>
      <c r="X825" s="49">
        <v>0</v>
      </c>
      <c r="Y825" s="49"/>
      <c r="Z825" s="7">
        <f>SUM(Tabla1[[#This Row],[RES-A]:[EXTR-B]])</f>
        <v>150</v>
      </c>
      <c r="AA825" s="7">
        <f>Tabla1[[#This Row],[Columna1]]-Tabla1[[#This Row],[IMPORTE TOTAL]]</f>
        <v>0</v>
      </c>
    </row>
    <row r="826" spans="1:27" x14ac:dyDescent="0.2">
      <c r="A826">
        <v>2024</v>
      </c>
      <c r="B826" t="s">
        <v>58</v>
      </c>
      <c r="C826" s="51">
        <v>45411</v>
      </c>
      <c r="D826" s="3" t="s">
        <v>37</v>
      </c>
      <c r="E826" s="3" t="s">
        <v>46</v>
      </c>
      <c r="F826" s="3" t="s">
        <v>46</v>
      </c>
      <c r="G826" s="4">
        <v>0.64583333333333337</v>
      </c>
      <c r="H826" s="4">
        <v>0.85416666666666663</v>
      </c>
      <c r="I826" t="s">
        <v>31</v>
      </c>
      <c r="J826">
        <v>1</v>
      </c>
      <c r="L826" s="46"/>
      <c r="P826">
        <v>95</v>
      </c>
      <c r="Q826">
        <v>0</v>
      </c>
      <c r="R826">
        <v>0</v>
      </c>
      <c r="S826" s="7">
        <f>Tabla1[[#This Row],[TARIFA]]+Tabla1[[#This Row],[IMPORTE EXTRAS]]</f>
        <v>95</v>
      </c>
      <c r="T826" t="s">
        <v>45</v>
      </c>
      <c r="U826">
        <v>50</v>
      </c>
      <c r="V826">
        <v>45</v>
      </c>
      <c r="W826">
        <v>0</v>
      </c>
      <c r="X826" s="49">
        <v>0</v>
      </c>
      <c r="Y826" s="49"/>
      <c r="Z826" s="7">
        <f>SUM(Tabla1[[#This Row],[RES-A]:[EXTR-B]])</f>
        <v>95</v>
      </c>
      <c r="AA826" s="7">
        <f>Tabla1[[#This Row],[Columna1]]-Tabla1[[#This Row],[IMPORTE TOTAL]]</f>
        <v>0</v>
      </c>
    </row>
    <row r="827" spans="1:27" x14ac:dyDescent="0.2">
      <c r="A827">
        <v>2024</v>
      </c>
      <c r="B827" t="s">
        <v>59</v>
      </c>
      <c r="C827" s="51">
        <v>45413</v>
      </c>
      <c r="D827" s="3" t="s">
        <v>39</v>
      </c>
      <c r="E827" s="3" t="s">
        <v>46</v>
      </c>
      <c r="F827" s="3" t="s">
        <v>46</v>
      </c>
      <c r="G827" s="4">
        <v>0.64583333333333337</v>
      </c>
      <c r="H827" s="4">
        <v>0.85416666666666663</v>
      </c>
      <c r="I827" t="s">
        <v>31</v>
      </c>
      <c r="J827">
        <v>1</v>
      </c>
      <c r="L827" s="46"/>
      <c r="P827">
        <v>150</v>
      </c>
      <c r="Q827">
        <v>0</v>
      </c>
      <c r="R827">
        <v>0</v>
      </c>
      <c r="S827" s="7">
        <f>Tabla1[[#This Row],[TARIFA]]+Tabla1[[#This Row],[IMPORTE EXTRAS]]</f>
        <v>150</v>
      </c>
      <c r="T827" t="s">
        <v>45</v>
      </c>
      <c r="U827">
        <v>50</v>
      </c>
      <c r="V827">
        <v>100</v>
      </c>
      <c r="W827">
        <v>0</v>
      </c>
      <c r="X827" s="49">
        <v>0</v>
      </c>
      <c r="Y827" s="49"/>
      <c r="Z827" s="7">
        <f>SUM(Tabla1[[#This Row],[RES-A]:[EXTR-B]])</f>
        <v>150</v>
      </c>
      <c r="AA827" s="7">
        <f>Tabla1[[#This Row],[Columna1]]-Tabla1[[#This Row],[IMPORTE TOTAL]]</f>
        <v>0</v>
      </c>
    </row>
    <row r="828" spans="1:27" x14ac:dyDescent="0.2">
      <c r="A828">
        <v>2024</v>
      </c>
      <c r="B828" t="s">
        <v>59</v>
      </c>
      <c r="C828" s="51">
        <v>45415</v>
      </c>
      <c r="D828" s="3" t="s">
        <v>41</v>
      </c>
      <c r="E828" s="3" t="s">
        <v>46</v>
      </c>
      <c r="F828" s="3" t="s">
        <v>46</v>
      </c>
      <c r="G828" s="4">
        <v>0.89583333333333337</v>
      </c>
      <c r="H828" s="4">
        <v>0.10416666666666667</v>
      </c>
      <c r="I828" t="s">
        <v>35</v>
      </c>
      <c r="J828">
        <v>1</v>
      </c>
      <c r="L828" s="46"/>
      <c r="P828">
        <v>200</v>
      </c>
      <c r="Q828">
        <v>0</v>
      </c>
      <c r="R828">
        <v>0</v>
      </c>
      <c r="S828" s="7">
        <f>Tabla1[[#This Row],[TARIFA]]+Tabla1[[#This Row],[IMPORTE EXTRAS]]</f>
        <v>200</v>
      </c>
      <c r="T828" t="s">
        <v>45</v>
      </c>
      <c r="U828">
        <v>50</v>
      </c>
      <c r="V828">
        <v>150</v>
      </c>
      <c r="W828">
        <v>0</v>
      </c>
      <c r="X828" s="49">
        <v>0</v>
      </c>
      <c r="Y828" s="49" t="s">
        <v>493</v>
      </c>
      <c r="Z828" s="7">
        <f>SUM(Tabla1[[#This Row],[RES-A]:[EXTR-B]])</f>
        <v>200</v>
      </c>
      <c r="AA828" s="7">
        <f>Tabla1[[#This Row],[Columna1]]-Tabla1[[#This Row],[IMPORTE TOTAL]]</f>
        <v>0</v>
      </c>
    </row>
    <row r="829" spans="1:27" x14ac:dyDescent="0.2">
      <c r="A829">
        <v>2024</v>
      </c>
      <c r="B829" t="s">
        <v>59</v>
      </c>
      <c r="C829" s="51">
        <v>45416</v>
      </c>
      <c r="D829" s="3" t="s">
        <v>42</v>
      </c>
      <c r="E829" s="3" t="s">
        <v>46</v>
      </c>
      <c r="F829" s="3" t="s">
        <v>46</v>
      </c>
      <c r="G829" s="4">
        <v>0.39583333333333331</v>
      </c>
      <c r="H829" s="4">
        <v>0.60416666666666663</v>
      </c>
      <c r="I829" t="s">
        <v>30</v>
      </c>
      <c r="J829">
        <v>1</v>
      </c>
      <c r="L829" s="46"/>
      <c r="P829">
        <v>150</v>
      </c>
      <c r="Q829">
        <v>0</v>
      </c>
      <c r="R829">
        <v>0</v>
      </c>
      <c r="S829" s="7">
        <f>Tabla1[[#This Row],[TARIFA]]+Tabla1[[#This Row],[IMPORTE EXTRAS]]</f>
        <v>150</v>
      </c>
      <c r="T829" t="s">
        <v>45</v>
      </c>
      <c r="U829">
        <v>50</v>
      </c>
      <c r="V829">
        <v>100</v>
      </c>
      <c r="W829">
        <v>0</v>
      </c>
      <c r="X829" s="49">
        <v>0</v>
      </c>
      <c r="Y829" s="49" t="s">
        <v>490</v>
      </c>
      <c r="Z829" s="7">
        <f>SUM(Tabla1[[#This Row],[RES-A]:[EXTR-B]])</f>
        <v>150</v>
      </c>
      <c r="AA829" s="7">
        <f>Tabla1[[#This Row],[Columna1]]-Tabla1[[#This Row],[IMPORTE TOTAL]]</f>
        <v>0</v>
      </c>
    </row>
    <row r="830" spans="1:27" x14ac:dyDescent="0.2">
      <c r="A830">
        <v>2024</v>
      </c>
      <c r="B830" t="s">
        <v>59</v>
      </c>
      <c r="C830" s="51">
        <v>45416</v>
      </c>
      <c r="D830" s="3" t="s">
        <v>42</v>
      </c>
      <c r="E830" s="3" t="s">
        <v>46</v>
      </c>
      <c r="F830" s="3" t="s">
        <v>46</v>
      </c>
      <c r="G830" s="4">
        <v>0.64583333333333337</v>
      </c>
      <c r="H830" s="4">
        <v>0.85416666666666663</v>
      </c>
      <c r="I830" t="s">
        <v>31</v>
      </c>
      <c r="J830">
        <v>1</v>
      </c>
      <c r="L830" s="46"/>
      <c r="P830">
        <v>150</v>
      </c>
      <c r="Q830">
        <v>0</v>
      </c>
      <c r="R830">
        <v>0</v>
      </c>
      <c r="S830" s="7">
        <f>Tabla1[[#This Row],[TARIFA]]+Tabla1[[#This Row],[IMPORTE EXTRAS]]</f>
        <v>150</v>
      </c>
      <c r="T830" t="s">
        <v>45</v>
      </c>
      <c r="U830">
        <v>50</v>
      </c>
      <c r="V830">
        <v>100</v>
      </c>
      <c r="W830">
        <v>0</v>
      </c>
      <c r="X830" s="49">
        <v>0</v>
      </c>
      <c r="Y830" s="49"/>
      <c r="Z830" s="7">
        <f>SUM(Tabla1[[#This Row],[RES-A]:[EXTR-B]])</f>
        <v>150</v>
      </c>
      <c r="AA830" s="7">
        <f>Tabla1[[#This Row],[Columna1]]-Tabla1[[#This Row],[IMPORTE TOTAL]]</f>
        <v>0</v>
      </c>
    </row>
    <row r="831" spans="1:27" x14ac:dyDescent="0.2">
      <c r="A831">
        <v>2024</v>
      </c>
      <c r="B831" t="s">
        <v>59</v>
      </c>
      <c r="C831" s="51">
        <v>45416</v>
      </c>
      <c r="D831" s="3" t="s">
        <v>42</v>
      </c>
      <c r="E831" s="3" t="s">
        <v>46</v>
      </c>
      <c r="F831" s="3" t="s">
        <v>46</v>
      </c>
      <c r="G831" s="4">
        <v>0.89583333333333337</v>
      </c>
      <c r="H831" s="4">
        <v>0.10416666666666667</v>
      </c>
      <c r="I831" t="s">
        <v>35</v>
      </c>
      <c r="J831">
        <v>1</v>
      </c>
      <c r="L831" s="46"/>
      <c r="P831">
        <v>200</v>
      </c>
      <c r="Q831">
        <v>1</v>
      </c>
      <c r="R831">
        <v>60</v>
      </c>
      <c r="S831" s="7">
        <f>Tabla1[[#This Row],[TARIFA]]+Tabla1[[#This Row],[IMPORTE EXTRAS]]</f>
        <v>260</v>
      </c>
      <c r="T831" t="s">
        <v>45</v>
      </c>
      <c r="U831">
        <v>50</v>
      </c>
      <c r="V831">
        <v>150</v>
      </c>
      <c r="W831">
        <v>0</v>
      </c>
      <c r="X831" s="49">
        <v>60</v>
      </c>
      <c r="Y831" s="49"/>
      <c r="Z831" s="7">
        <f>SUM(Tabla1[[#This Row],[RES-A]:[EXTR-B]])</f>
        <v>260</v>
      </c>
      <c r="AA831" s="7">
        <f>Tabla1[[#This Row],[Columna1]]-Tabla1[[#This Row],[IMPORTE TOTAL]]</f>
        <v>0</v>
      </c>
    </row>
    <row r="832" spans="1:27" x14ac:dyDescent="0.2">
      <c r="A832">
        <v>2024</v>
      </c>
      <c r="B832" t="s">
        <v>59</v>
      </c>
      <c r="C832" s="51">
        <v>45417</v>
      </c>
      <c r="D832" s="3" t="s">
        <v>43</v>
      </c>
      <c r="E832" s="3" t="s">
        <v>46</v>
      </c>
      <c r="F832" s="3" t="s">
        <v>46</v>
      </c>
      <c r="G832" s="4">
        <v>0.39583333333333331</v>
      </c>
      <c r="H832" s="4">
        <v>0.60416666666666663</v>
      </c>
      <c r="I832" t="s">
        <v>30</v>
      </c>
      <c r="J832">
        <v>1</v>
      </c>
      <c r="L832" s="46"/>
      <c r="P832">
        <v>150</v>
      </c>
      <c r="Q832">
        <v>0</v>
      </c>
      <c r="R832">
        <v>0</v>
      </c>
      <c r="S832" s="7">
        <f>Tabla1[[#This Row],[TARIFA]]+Tabla1[[#This Row],[IMPORTE EXTRAS]]</f>
        <v>150</v>
      </c>
      <c r="T832" t="s">
        <v>45</v>
      </c>
      <c r="U832">
        <v>50</v>
      </c>
      <c r="V832">
        <v>100</v>
      </c>
      <c r="W832">
        <v>0</v>
      </c>
      <c r="X832" s="49">
        <v>0</v>
      </c>
      <c r="Y832" s="49"/>
      <c r="Z832" s="7">
        <f>SUM(Tabla1[[#This Row],[RES-A]:[EXTR-B]])</f>
        <v>150</v>
      </c>
      <c r="AA832" s="7">
        <f>Tabla1[[#This Row],[Columna1]]-Tabla1[[#This Row],[IMPORTE TOTAL]]</f>
        <v>0</v>
      </c>
    </row>
    <row r="833" spans="1:27" x14ac:dyDescent="0.2">
      <c r="A833">
        <v>2024</v>
      </c>
      <c r="B833" t="s">
        <v>59</v>
      </c>
      <c r="C833" s="51">
        <v>45418</v>
      </c>
      <c r="D833" s="3" t="s">
        <v>37</v>
      </c>
      <c r="E833" s="3" t="s">
        <v>46</v>
      </c>
      <c r="F833" s="3" t="s">
        <v>46</v>
      </c>
      <c r="G833" s="4">
        <v>0.64583333333333337</v>
      </c>
      <c r="H833" s="4">
        <v>0.85416666666666663</v>
      </c>
      <c r="I833" t="s">
        <v>31</v>
      </c>
      <c r="J833">
        <v>1</v>
      </c>
      <c r="L833" s="46"/>
      <c r="P833">
        <v>95</v>
      </c>
      <c r="Q833">
        <v>0</v>
      </c>
      <c r="R833">
        <v>0</v>
      </c>
      <c r="S833" s="7">
        <f>Tabla1[[#This Row],[TARIFA]]+Tabla1[[#This Row],[IMPORTE EXTRAS]]</f>
        <v>95</v>
      </c>
      <c r="T833" t="s">
        <v>45</v>
      </c>
      <c r="U833">
        <v>95</v>
      </c>
      <c r="V833">
        <v>0</v>
      </c>
      <c r="W833">
        <v>0</v>
      </c>
      <c r="X833" s="49">
        <v>0</v>
      </c>
      <c r="Y833" s="49"/>
      <c r="Z833" s="7">
        <f>SUM(Tabla1[[#This Row],[RES-A]:[EXTR-B]])</f>
        <v>95</v>
      </c>
      <c r="AA833" s="7">
        <f>Tabla1[[#This Row],[Columna1]]-Tabla1[[#This Row],[IMPORTE TOTAL]]</f>
        <v>0</v>
      </c>
    </row>
    <row r="834" spans="1:27" x14ac:dyDescent="0.2">
      <c r="A834">
        <v>2024</v>
      </c>
      <c r="B834" t="s">
        <v>59</v>
      </c>
      <c r="C834" s="51">
        <v>45421</v>
      </c>
      <c r="D834" s="3" t="s">
        <v>40</v>
      </c>
      <c r="E834" s="3" t="s">
        <v>46</v>
      </c>
      <c r="F834" s="3" t="s">
        <v>46</v>
      </c>
      <c r="G834" s="4">
        <v>0.64583333333333337</v>
      </c>
      <c r="H834" s="4">
        <v>0.85416666666666663</v>
      </c>
      <c r="I834" t="s">
        <v>31</v>
      </c>
      <c r="J834">
        <v>1</v>
      </c>
      <c r="L834" s="46"/>
      <c r="P834">
        <v>95</v>
      </c>
      <c r="Q834">
        <v>0</v>
      </c>
      <c r="R834">
        <v>0</v>
      </c>
      <c r="S834" s="7">
        <f>Tabla1[[#This Row],[TARIFA]]+Tabla1[[#This Row],[IMPORTE EXTRAS]]</f>
        <v>95</v>
      </c>
      <c r="T834" t="s">
        <v>45</v>
      </c>
      <c r="U834">
        <v>50</v>
      </c>
      <c r="V834">
        <v>45</v>
      </c>
      <c r="W834">
        <v>0</v>
      </c>
      <c r="X834" s="49">
        <v>0</v>
      </c>
      <c r="Y834" s="49"/>
      <c r="Z834" s="7">
        <f>SUM(Tabla1[[#This Row],[RES-A]:[EXTR-B]])</f>
        <v>95</v>
      </c>
      <c r="AA834" s="7">
        <f>Tabla1[[#This Row],[Columna1]]-Tabla1[[#This Row],[IMPORTE TOTAL]]</f>
        <v>0</v>
      </c>
    </row>
    <row r="835" spans="1:27" x14ac:dyDescent="0.2">
      <c r="A835">
        <v>2024</v>
      </c>
      <c r="B835" t="s">
        <v>59</v>
      </c>
      <c r="C835" s="51">
        <v>45422</v>
      </c>
      <c r="D835" s="3" t="s">
        <v>41</v>
      </c>
      <c r="E835" s="3" t="s">
        <v>46</v>
      </c>
      <c r="F835" s="3" t="s">
        <v>46</v>
      </c>
      <c r="G835" s="4">
        <v>0.89583333333333337</v>
      </c>
      <c r="H835" s="4">
        <v>0.10416666666666667</v>
      </c>
      <c r="I835" t="s">
        <v>35</v>
      </c>
      <c r="J835">
        <v>1</v>
      </c>
      <c r="L835" s="46"/>
      <c r="P835">
        <v>200</v>
      </c>
      <c r="Q835">
        <v>0</v>
      </c>
      <c r="R835">
        <v>0</v>
      </c>
      <c r="S835" s="7">
        <f>Tabla1[[#This Row],[TARIFA]]+Tabla1[[#This Row],[IMPORTE EXTRAS]]</f>
        <v>200</v>
      </c>
      <c r="T835" t="s">
        <v>45</v>
      </c>
      <c r="U835">
        <v>50</v>
      </c>
      <c r="V835">
        <v>150</v>
      </c>
      <c r="W835">
        <v>0</v>
      </c>
      <c r="X835" s="49">
        <v>0</v>
      </c>
      <c r="Y835" s="49" t="s">
        <v>476</v>
      </c>
      <c r="Z835" s="7">
        <f>SUM(Tabla1[[#This Row],[RES-A]:[EXTR-B]])</f>
        <v>200</v>
      </c>
      <c r="AA835" s="7">
        <f>Tabla1[[#This Row],[Columna1]]-Tabla1[[#This Row],[IMPORTE TOTAL]]</f>
        <v>0</v>
      </c>
    </row>
    <row r="836" spans="1:27" x14ac:dyDescent="0.2">
      <c r="A836">
        <v>2024</v>
      </c>
      <c r="B836" t="s">
        <v>59</v>
      </c>
      <c r="C836" s="51">
        <v>45423</v>
      </c>
      <c r="D836" s="3" t="s">
        <v>42</v>
      </c>
      <c r="E836" s="3" t="s">
        <v>46</v>
      </c>
      <c r="F836" s="3" t="s">
        <v>46</v>
      </c>
      <c r="G836" s="4">
        <v>0.39583333333333331</v>
      </c>
      <c r="H836" s="4">
        <v>0.60416666666666663</v>
      </c>
      <c r="I836" t="s">
        <v>30</v>
      </c>
      <c r="J836">
        <v>1</v>
      </c>
      <c r="L836" s="46"/>
      <c r="M836" s="188"/>
      <c r="P836">
        <v>150</v>
      </c>
      <c r="Q836">
        <v>0</v>
      </c>
      <c r="R836">
        <v>0</v>
      </c>
      <c r="S836" s="7">
        <f>Tabla1[[#This Row],[TARIFA]]+Tabla1[[#This Row],[IMPORTE EXTRAS]]</f>
        <v>150</v>
      </c>
      <c r="T836" t="s">
        <v>45</v>
      </c>
      <c r="U836">
        <v>50</v>
      </c>
      <c r="V836">
        <v>100</v>
      </c>
      <c r="W836">
        <v>0</v>
      </c>
      <c r="X836" s="49">
        <v>0</v>
      </c>
      <c r="Y836" s="49"/>
      <c r="Z836" s="7">
        <f>SUM(Tabla1[[#This Row],[RES-A]:[EXTR-B]])</f>
        <v>150</v>
      </c>
      <c r="AA836" s="7">
        <f>Tabla1[[#This Row],[Columna1]]-Tabla1[[#This Row],[IMPORTE TOTAL]]</f>
        <v>0</v>
      </c>
    </row>
    <row r="837" spans="1:27" x14ac:dyDescent="0.2">
      <c r="A837">
        <v>2024</v>
      </c>
      <c r="B837" t="s">
        <v>59</v>
      </c>
      <c r="C837" s="51">
        <v>45423</v>
      </c>
      <c r="D837" s="3" t="s">
        <v>42</v>
      </c>
      <c r="E837" s="3" t="s">
        <v>46</v>
      </c>
      <c r="F837" s="3" t="s">
        <v>46</v>
      </c>
      <c r="G837" s="4">
        <v>0.64583333333333337</v>
      </c>
      <c r="H837" s="4">
        <v>0.85416666666666663</v>
      </c>
      <c r="I837" t="s">
        <v>31</v>
      </c>
      <c r="J837">
        <v>1</v>
      </c>
      <c r="L837" s="46"/>
      <c r="M837" s="188"/>
      <c r="P837">
        <v>150</v>
      </c>
      <c r="Q837">
        <v>0</v>
      </c>
      <c r="R837">
        <v>0</v>
      </c>
      <c r="S837" s="7">
        <f>Tabla1[[#This Row],[TARIFA]]+Tabla1[[#This Row],[IMPORTE EXTRAS]]</f>
        <v>150</v>
      </c>
      <c r="T837" t="s">
        <v>45</v>
      </c>
      <c r="U837">
        <v>150</v>
      </c>
      <c r="V837">
        <v>0</v>
      </c>
      <c r="W837">
        <v>0</v>
      </c>
      <c r="X837" s="49">
        <v>0</v>
      </c>
      <c r="Y837" s="49"/>
      <c r="Z837" s="7">
        <f>SUM(Tabla1[[#This Row],[RES-A]:[EXTR-B]])</f>
        <v>150</v>
      </c>
      <c r="AA837" s="7">
        <f>Tabla1[[#This Row],[Columna1]]-Tabla1[[#This Row],[IMPORTE TOTAL]]</f>
        <v>0</v>
      </c>
    </row>
    <row r="838" spans="1:27" x14ac:dyDescent="0.2">
      <c r="A838">
        <v>2024</v>
      </c>
      <c r="B838" t="s">
        <v>59</v>
      </c>
      <c r="C838" s="51">
        <v>45423</v>
      </c>
      <c r="D838" s="3" t="s">
        <v>42</v>
      </c>
      <c r="E838" s="3" t="s">
        <v>46</v>
      </c>
      <c r="F838" s="3" t="s">
        <v>46</v>
      </c>
      <c r="G838" s="4">
        <v>0.89583333333333337</v>
      </c>
      <c r="H838" s="4">
        <v>0.10416666666666667</v>
      </c>
      <c r="I838" t="s">
        <v>35</v>
      </c>
      <c r="J838">
        <v>1</v>
      </c>
      <c r="L838" s="46"/>
      <c r="P838">
        <v>200</v>
      </c>
      <c r="Q838">
        <v>0</v>
      </c>
      <c r="R838">
        <v>0</v>
      </c>
      <c r="S838" s="7">
        <f>Tabla1[[#This Row],[TARIFA]]+Tabla1[[#This Row],[IMPORTE EXTRAS]]</f>
        <v>200</v>
      </c>
      <c r="T838" t="s">
        <v>45</v>
      </c>
      <c r="U838">
        <v>50</v>
      </c>
      <c r="V838">
        <v>150</v>
      </c>
      <c r="W838">
        <v>0</v>
      </c>
      <c r="X838" s="49">
        <v>0</v>
      </c>
      <c r="Y838" s="49"/>
      <c r="Z838" s="7">
        <f>SUM(Tabla1[[#This Row],[RES-A]:[EXTR-B]])</f>
        <v>200</v>
      </c>
      <c r="AA838" s="7">
        <f>Tabla1[[#This Row],[Columna1]]-Tabla1[[#This Row],[IMPORTE TOTAL]]</f>
        <v>0</v>
      </c>
    </row>
    <row r="839" spans="1:27" x14ac:dyDescent="0.2">
      <c r="A839">
        <v>2024</v>
      </c>
      <c r="B839" t="s">
        <v>59</v>
      </c>
      <c r="C839" s="51">
        <v>45424</v>
      </c>
      <c r="D839" s="3" t="s">
        <v>43</v>
      </c>
      <c r="E839" s="3" t="s">
        <v>46</v>
      </c>
      <c r="F839" s="3" t="s">
        <v>46</v>
      </c>
      <c r="G839" s="4">
        <v>0.39583333333333331</v>
      </c>
      <c r="H839" s="4">
        <v>0.60416666666666663</v>
      </c>
      <c r="I839" t="s">
        <v>30</v>
      </c>
      <c r="J839">
        <v>1</v>
      </c>
      <c r="L839" s="46"/>
      <c r="P839">
        <v>150</v>
      </c>
      <c r="Q839">
        <v>0</v>
      </c>
      <c r="R839">
        <v>0</v>
      </c>
      <c r="S839" s="7">
        <f>Tabla1[[#This Row],[TARIFA]]+Tabla1[[#This Row],[IMPORTE EXTRAS]]</f>
        <v>150</v>
      </c>
      <c r="T839" t="s">
        <v>45</v>
      </c>
      <c r="U839">
        <v>50</v>
      </c>
      <c r="V839">
        <v>100</v>
      </c>
      <c r="W839">
        <v>0</v>
      </c>
      <c r="X839" s="49">
        <v>0</v>
      </c>
      <c r="Y839" s="49"/>
      <c r="Z839" s="7">
        <f>SUM(Tabla1[[#This Row],[RES-A]:[EXTR-B]])</f>
        <v>150</v>
      </c>
      <c r="AA839" s="7">
        <f>Tabla1[[#This Row],[Columna1]]-Tabla1[[#This Row],[IMPORTE TOTAL]]</f>
        <v>0</v>
      </c>
    </row>
    <row r="840" spans="1:27" x14ac:dyDescent="0.2">
      <c r="A840">
        <v>2024</v>
      </c>
      <c r="B840" t="s">
        <v>59</v>
      </c>
      <c r="C840" s="51">
        <v>45424</v>
      </c>
      <c r="D840" s="3" t="s">
        <v>43</v>
      </c>
      <c r="E840" s="3" t="s">
        <v>46</v>
      </c>
      <c r="F840" s="3" t="s">
        <v>46</v>
      </c>
      <c r="G840" s="4">
        <v>0.64583333333333337</v>
      </c>
      <c r="H840" s="4">
        <v>0.85416666666666663</v>
      </c>
      <c r="I840" t="s">
        <v>31</v>
      </c>
      <c r="J840">
        <v>1</v>
      </c>
      <c r="L840" s="46"/>
      <c r="P840">
        <v>150</v>
      </c>
      <c r="Q840">
        <v>0</v>
      </c>
      <c r="R840">
        <v>0</v>
      </c>
      <c r="S840" s="7">
        <f>Tabla1[[#This Row],[TARIFA]]+Tabla1[[#This Row],[IMPORTE EXTRAS]]</f>
        <v>150</v>
      </c>
      <c r="T840" t="s">
        <v>45</v>
      </c>
      <c r="U840">
        <v>50</v>
      </c>
      <c r="V840">
        <v>100</v>
      </c>
      <c r="W840">
        <v>0</v>
      </c>
      <c r="X840" s="49">
        <v>0</v>
      </c>
      <c r="Y840" s="49"/>
      <c r="Z840" s="7">
        <f>SUM(Tabla1[[#This Row],[RES-A]:[EXTR-B]])</f>
        <v>150</v>
      </c>
      <c r="AA840" s="7">
        <f>Tabla1[[#This Row],[Columna1]]-Tabla1[[#This Row],[IMPORTE TOTAL]]</f>
        <v>0</v>
      </c>
    </row>
    <row r="841" spans="1:27" x14ac:dyDescent="0.2">
      <c r="A841">
        <v>2024</v>
      </c>
      <c r="B841" t="s">
        <v>59</v>
      </c>
      <c r="C841" s="51">
        <v>45429</v>
      </c>
      <c r="D841" s="3" t="s">
        <v>41</v>
      </c>
      <c r="E841" s="3" t="s">
        <v>46</v>
      </c>
      <c r="F841" s="3" t="s">
        <v>46</v>
      </c>
      <c r="G841" s="4">
        <v>0.89583333333333337</v>
      </c>
      <c r="H841" s="4">
        <v>0.10416666666666667</v>
      </c>
      <c r="I841" t="s">
        <v>35</v>
      </c>
      <c r="J841">
        <v>1</v>
      </c>
      <c r="L841" s="46"/>
      <c r="P841">
        <v>200</v>
      </c>
      <c r="Q841">
        <v>1</v>
      </c>
      <c r="R841">
        <v>60</v>
      </c>
      <c r="S841" s="7">
        <f>Tabla1[[#This Row],[TARIFA]]+Tabla1[[#This Row],[IMPORTE EXTRAS]]</f>
        <v>260</v>
      </c>
      <c r="T841" t="s">
        <v>45</v>
      </c>
      <c r="U841">
        <v>50</v>
      </c>
      <c r="V841">
        <v>150</v>
      </c>
      <c r="W841">
        <v>0</v>
      </c>
      <c r="X841" s="49">
        <v>60</v>
      </c>
      <c r="Y841" s="49"/>
      <c r="Z841" s="7">
        <f>SUM(Tabla1[[#This Row],[RES-A]:[EXTR-B]])</f>
        <v>260</v>
      </c>
      <c r="AA841" s="7">
        <f>Tabla1[[#This Row],[Columna1]]-Tabla1[[#This Row],[IMPORTE TOTAL]]</f>
        <v>0</v>
      </c>
    </row>
    <row r="842" spans="1:27" x14ac:dyDescent="0.2">
      <c r="A842">
        <v>2024</v>
      </c>
      <c r="B842" t="s">
        <v>59</v>
      </c>
      <c r="C842" s="51">
        <v>45430</v>
      </c>
      <c r="D842" s="3" t="s">
        <v>42</v>
      </c>
      <c r="E842" s="3" t="s">
        <v>46</v>
      </c>
      <c r="F842" s="3" t="s">
        <v>46</v>
      </c>
      <c r="G842" s="4">
        <v>0.39583333333333331</v>
      </c>
      <c r="H842" s="4">
        <v>0.85416666666666663</v>
      </c>
      <c r="I842" t="s">
        <v>32</v>
      </c>
      <c r="J842">
        <v>2</v>
      </c>
      <c r="L842" s="46"/>
      <c r="P842">
        <v>290</v>
      </c>
      <c r="Q842">
        <v>0</v>
      </c>
      <c r="R842">
        <v>0</v>
      </c>
      <c r="S842" s="7">
        <f>Tabla1[[#This Row],[TARIFA]]+Tabla1[[#This Row],[IMPORTE EXTRAS]]</f>
        <v>290</v>
      </c>
      <c r="T842" t="s">
        <v>45</v>
      </c>
      <c r="U842">
        <v>50</v>
      </c>
      <c r="V842">
        <v>240</v>
      </c>
      <c r="W842">
        <v>0</v>
      </c>
      <c r="X842" s="49">
        <v>0</v>
      </c>
      <c r="Y842" s="49"/>
      <c r="Z842" s="7">
        <f>SUM(Tabla1[[#This Row],[RES-A]:[EXTR-B]])</f>
        <v>290</v>
      </c>
      <c r="AA842" s="7">
        <f>Tabla1[[#This Row],[Columna1]]-Tabla1[[#This Row],[IMPORTE TOTAL]]</f>
        <v>0</v>
      </c>
    </row>
    <row r="843" spans="1:27" x14ac:dyDescent="0.2">
      <c r="A843">
        <v>2024</v>
      </c>
      <c r="B843" t="s">
        <v>59</v>
      </c>
      <c r="C843" s="51">
        <v>45431</v>
      </c>
      <c r="D843" s="3" t="s">
        <v>43</v>
      </c>
      <c r="E843" s="3" t="s">
        <v>46</v>
      </c>
      <c r="F843" s="3" t="s">
        <v>46</v>
      </c>
      <c r="G843" s="4">
        <v>0.64583333333333337</v>
      </c>
      <c r="H843" s="4">
        <v>0.85416666666666663</v>
      </c>
      <c r="I843" t="s">
        <v>31</v>
      </c>
      <c r="J843">
        <v>1</v>
      </c>
      <c r="L843" s="46"/>
      <c r="P843">
        <v>150</v>
      </c>
      <c r="Q843">
        <v>0</v>
      </c>
      <c r="R843">
        <v>0</v>
      </c>
      <c r="S843" s="7">
        <f>Tabla1[[#This Row],[TARIFA]]+Tabla1[[#This Row],[IMPORTE EXTRAS]]</f>
        <v>150</v>
      </c>
      <c r="T843" t="s">
        <v>45</v>
      </c>
      <c r="U843">
        <v>150</v>
      </c>
      <c r="V843">
        <v>0</v>
      </c>
      <c r="W843">
        <v>0</v>
      </c>
      <c r="X843" s="49">
        <v>0</v>
      </c>
      <c r="Y843" s="49"/>
      <c r="Z843" s="7">
        <f>SUM(Tabla1[[#This Row],[RES-A]:[EXTR-B]])</f>
        <v>150</v>
      </c>
      <c r="AA843" s="7">
        <f>Tabla1[[#This Row],[Columna1]]-Tabla1[[#This Row],[IMPORTE TOTAL]]</f>
        <v>0</v>
      </c>
    </row>
    <row r="844" spans="1:27" x14ac:dyDescent="0.2">
      <c r="A844">
        <v>2024</v>
      </c>
      <c r="B844" t="s">
        <v>59</v>
      </c>
      <c r="C844" s="51">
        <v>45431</v>
      </c>
      <c r="D844" s="3" t="s">
        <v>43</v>
      </c>
      <c r="E844" s="3" t="s">
        <v>46</v>
      </c>
      <c r="F844" s="3" t="s">
        <v>46</v>
      </c>
      <c r="G844" s="4">
        <v>0.89583333333333337</v>
      </c>
      <c r="H844" s="4">
        <v>0.10416666666666667</v>
      </c>
      <c r="I844" t="s">
        <v>35</v>
      </c>
      <c r="J844">
        <v>1</v>
      </c>
      <c r="L844" s="46"/>
      <c r="P844">
        <v>200</v>
      </c>
      <c r="Q844">
        <v>0</v>
      </c>
      <c r="R844">
        <v>0</v>
      </c>
      <c r="S844" s="7">
        <f>Tabla1[[#This Row],[TARIFA]]+Tabla1[[#This Row],[IMPORTE EXTRAS]]</f>
        <v>200</v>
      </c>
      <c r="T844" t="s">
        <v>45</v>
      </c>
      <c r="U844">
        <v>200</v>
      </c>
      <c r="V844">
        <v>0</v>
      </c>
      <c r="W844">
        <v>0</v>
      </c>
      <c r="X844" s="49">
        <v>0</v>
      </c>
      <c r="Y844" s="49" t="s">
        <v>646</v>
      </c>
      <c r="Z844" s="7">
        <f>SUM(Tabla1[[#This Row],[RES-A]:[EXTR-B]])</f>
        <v>200</v>
      </c>
      <c r="AA844" s="7">
        <f>Tabla1[[#This Row],[Columna1]]-Tabla1[[#This Row],[IMPORTE TOTAL]]</f>
        <v>0</v>
      </c>
    </row>
    <row r="845" spans="1:27" x14ac:dyDescent="0.2">
      <c r="A845">
        <v>2024</v>
      </c>
      <c r="B845" t="s">
        <v>59</v>
      </c>
      <c r="C845" s="51">
        <v>45436</v>
      </c>
      <c r="D845" s="3" t="s">
        <v>41</v>
      </c>
      <c r="E845" s="3" t="s">
        <v>46</v>
      </c>
      <c r="F845" s="3" t="s">
        <v>46</v>
      </c>
      <c r="G845" s="4">
        <v>0.64583333333333337</v>
      </c>
      <c r="H845" s="4">
        <v>0.10416666666666667</v>
      </c>
      <c r="I845" t="s">
        <v>53</v>
      </c>
      <c r="J845">
        <v>2</v>
      </c>
      <c r="L845" s="46"/>
      <c r="P845">
        <v>300</v>
      </c>
      <c r="Q845">
        <v>1</v>
      </c>
      <c r="R845">
        <v>160</v>
      </c>
      <c r="S845" s="7">
        <f>Tabla1[[#This Row],[TARIFA]]+Tabla1[[#This Row],[IMPORTE EXTRAS]]</f>
        <v>460</v>
      </c>
      <c r="T845" t="s">
        <v>45</v>
      </c>
      <c r="U845">
        <v>460</v>
      </c>
      <c r="V845">
        <v>0</v>
      </c>
      <c r="W845">
        <v>0</v>
      </c>
      <c r="X845" s="49">
        <v>0</v>
      </c>
      <c r="Y845" s="49"/>
      <c r="Z845" s="7">
        <f>SUM(Tabla1[[#This Row],[RES-A]:[EXTR-B]])</f>
        <v>460</v>
      </c>
      <c r="AA845" s="7">
        <f>Tabla1[[#This Row],[Columna1]]-Tabla1[[#This Row],[IMPORTE TOTAL]]</f>
        <v>0</v>
      </c>
    </row>
    <row r="846" spans="1:27" x14ac:dyDescent="0.2">
      <c r="A846">
        <v>2024</v>
      </c>
      <c r="B846" t="s">
        <v>59</v>
      </c>
      <c r="C846" s="51">
        <v>45437</v>
      </c>
      <c r="D846" s="3" t="s">
        <v>42</v>
      </c>
      <c r="E846" s="3" t="s">
        <v>46</v>
      </c>
      <c r="F846" s="3" t="s">
        <v>46</v>
      </c>
      <c r="G846" s="4">
        <v>0.39583333333333331</v>
      </c>
      <c r="H846" s="4">
        <v>0.85416666666666663</v>
      </c>
      <c r="I846" t="s">
        <v>32</v>
      </c>
      <c r="J846">
        <v>2</v>
      </c>
      <c r="L846" s="46"/>
      <c r="P846">
        <v>290</v>
      </c>
      <c r="Q846">
        <v>0</v>
      </c>
      <c r="R846">
        <v>0</v>
      </c>
      <c r="S846" s="7">
        <f>Tabla1[[#This Row],[TARIFA]]+Tabla1[[#This Row],[IMPORTE EXTRAS]]</f>
        <v>290</v>
      </c>
      <c r="T846" t="s">
        <v>45</v>
      </c>
      <c r="U846">
        <v>50</v>
      </c>
      <c r="V846">
        <v>240</v>
      </c>
      <c r="W846">
        <v>0</v>
      </c>
      <c r="X846" s="49">
        <v>0</v>
      </c>
      <c r="Y846" s="49"/>
      <c r="Z846" s="7">
        <f>SUM(Tabla1[[#This Row],[RES-A]:[EXTR-B]])</f>
        <v>290</v>
      </c>
      <c r="AA846" s="7">
        <f>Tabla1[[#This Row],[Columna1]]-Tabla1[[#This Row],[IMPORTE TOTAL]]</f>
        <v>0</v>
      </c>
    </row>
    <row r="847" spans="1:27" x14ac:dyDescent="0.2">
      <c r="A847">
        <v>2024</v>
      </c>
      <c r="B847" t="s">
        <v>59</v>
      </c>
      <c r="C847" s="51">
        <v>45438</v>
      </c>
      <c r="D847" s="3" t="s">
        <v>43</v>
      </c>
      <c r="E847" s="3" t="s">
        <v>46</v>
      </c>
      <c r="F847" s="3" t="s">
        <v>46</v>
      </c>
      <c r="G847" s="4">
        <v>0.39583333333333331</v>
      </c>
      <c r="H847" s="4">
        <v>0.60416666666666663</v>
      </c>
      <c r="I847" t="s">
        <v>30</v>
      </c>
      <c r="J847">
        <v>1</v>
      </c>
      <c r="L847" s="46"/>
      <c r="M847" s="188"/>
      <c r="P847">
        <v>150</v>
      </c>
      <c r="Q847">
        <v>0</v>
      </c>
      <c r="R847">
        <v>0</v>
      </c>
      <c r="S847" s="7">
        <f>Tabla1[[#This Row],[TARIFA]]+Tabla1[[#This Row],[IMPORTE EXTRAS]]</f>
        <v>150</v>
      </c>
      <c r="T847" t="s">
        <v>45</v>
      </c>
      <c r="U847">
        <v>50</v>
      </c>
      <c r="V847">
        <v>100</v>
      </c>
      <c r="W847">
        <v>0</v>
      </c>
      <c r="X847" s="49">
        <v>0</v>
      </c>
      <c r="Y847" s="49"/>
      <c r="Z847" s="7">
        <f>SUM(Tabla1[[#This Row],[RES-A]:[EXTR-B]])</f>
        <v>150</v>
      </c>
      <c r="AA847" s="7">
        <f>Tabla1[[#This Row],[Columna1]]-Tabla1[[#This Row],[IMPORTE TOTAL]]</f>
        <v>0</v>
      </c>
    </row>
    <row r="848" spans="1:27" x14ac:dyDescent="0.2">
      <c r="A848">
        <v>2024</v>
      </c>
      <c r="B848" t="s">
        <v>59</v>
      </c>
      <c r="C848" s="51">
        <v>45438</v>
      </c>
      <c r="D848" s="3" t="s">
        <v>43</v>
      </c>
      <c r="E848" s="3" t="s">
        <v>46</v>
      </c>
      <c r="F848" s="3" t="s">
        <v>46</v>
      </c>
      <c r="G848" s="4">
        <v>0.64583333333333337</v>
      </c>
      <c r="H848" s="4">
        <v>0.85416666666666663</v>
      </c>
      <c r="I848" t="s">
        <v>31</v>
      </c>
      <c r="J848">
        <v>1</v>
      </c>
      <c r="L848" s="46"/>
      <c r="P848">
        <v>150</v>
      </c>
      <c r="Q848">
        <v>0</v>
      </c>
      <c r="R848">
        <v>0</v>
      </c>
      <c r="S848" s="7">
        <f>Tabla1[[#This Row],[TARIFA]]+Tabla1[[#This Row],[IMPORTE EXTRAS]]</f>
        <v>150</v>
      </c>
      <c r="T848" t="s">
        <v>45</v>
      </c>
      <c r="U848">
        <v>50</v>
      </c>
      <c r="V848">
        <v>100</v>
      </c>
      <c r="W848">
        <v>0</v>
      </c>
      <c r="X848" s="49">
        <v>0</v>
      </c>
      <c r="Y848" s="49"/>
      <c r="Z848" s="7">
        <f>SUM(Tabla1[[#This Row],[RES-A]:[EXTR-B]])</f>
        <v>150</v>
      </c>
      <c r="AA848" s="7">
        <f>Tabla1[[#This Row],[Columna1]]-Tabla1[[#This Row],[IMPORTE TOTAL]]</f>
        <v>0</v>
      </c>
    </row>
    <row r="849" spans="1:27" x14ac:dyDescent="0.2">
      <c r="A849">
        <v>2024</v>
      </c>
      <c r="B849" t="s">
        <v>59</v>
      </c>
      <c r="C849" s="51">
        <v>45443</v>
      </c>
      <c r="D849" s="3" t="s">
        <v>41</v>
      </c>
      <c r="E849" s="3" t="s">
        <v>46</v>
      </c>
      <c r="F849" s="3" t="s">
        <v>46</v>
      </c>
      <c r="G849" s="4">
        <v>0.64583333333333337</v>
      </c>
      <c r="H849" s="4">
        <v>0.85416666666666663</v>
      </c>
      <c r="I849" t="s">
        <v>31</v>
      </c>
      <c r="J849">
        <v>1</v>
      </c>
      <c r="L849" s="46"/>
      <c r="P849">
        <v>140</v>
      </c>
      <c r="Q849">
        <v>0</v>
      </c>
      <c r="R849">
        <v>0</v>
      </c>
      <c r="S849" s="7">
        <f>Tabla1[[#This Row],[TARIFA]]+Tabla1[[#This Row],[IMPORTE EXTRAS]]</f>
        <v>140</v>
      </c>
      <c r="T849" t="s">
        <v>45</v>
      </c>
      <c r="U849">
        <v>50</v>
      </c>
      <c r="V849">
        <v>90</v>
      </c>
      <c r="W849">
        <v>0</v>
      </c>
      <c r="X849" s="49">
        <v>0</v>
      </c>
      <c r="Y849" s="49"/>
      <c r="Z849" s="7">
        <f>SUM(Tabla1[[#This Row],[RES-A]:[EXTR-B]])</f>
        <v>140</v>
      </c>
      <c r="AA849" s="7">
        <f>Tabla1[[#This Row],[Columna1]]-Tabla1[[#This Row],[IMPORTE TOTAL]]</f>
        <v>0</v>
      </c>
    </row>
    <row r="850" spans="1:27" x14ac:dyDescent="0.2">
      <c r="A850">
        <v>2024</v>
      </c>
      <c r="B850" t="s">
        <v>59</v>
      </c>
      <c r="C850" s="51">
        <v>45443</v>
      </c>
      <c r="D850" s="3" t="s">
        <v>41</v>
      </c>
      <c r="E850" s="3" t="s">
        <v>46</v>
      </c>
      <c r="F850" s="3" t="s">
        <v>46</v>
      </c>
      <c r="G850" s="4">
        <v>0.89583333333333337</v>
      </c>
      <c r="H850" s="4">
        <v>0.10416666666666667</v>
      </c>
      <c r="I850" t="s">
        <v>35</v>
      </c>
      <c r="J850">
        <v>1</v>
      </c>
      <c r="L850" s="46"/>
      <c r="P850">
        <v>200</v>
      </c>
      <c r="Q850">
        <v>1</v>
      </c>
      <c r="R850">
        <v>60</v>
      </c>
      <c r="S850" s="7">
        <f>Tabla1[[#This Row],[TARIFA]]+Tabla1[[#This Row],[IMPORTE EXTRAS]]</f>
        <v>260</v>
      </c>
      <c r="T850" t="s">
        <v>45</v>
      </c>
      <c r="U850">
        <v>50</v>
      </c>
      <c r="V850">
        <v>150</v>
      </c>
      <c r="W850">
        <v>0</v>
      </c>
      <c r="X850" s="49">
        <v>60</v>
      </c>
      <c r="Y850" s="49"/>
      <c r="Z850" s="7">
        <f>SUM(Tabla1[[#This Row],[RES-A]:[EXTR-B]])</f>
        <v>260</v>
      </c>
      <c r="AA850" s="7">
        <f>Tabla1[[#This Row],[Columna1]]-Tabla1[[#This Row],[IMPORTE TOTAL]]</f>
        <v>0</v>
      </c>
    </row>
    <row r="851" spans="1:27" x14ac:dyDescent="0.2">
      <c r="A851">
        <v>2024</v>
      </c>
      <c r="B851" t="s">
        <v>60</v>
      </c>
      <c r="C851" s="51">
        <v>45444</v>
      </c>
      <c r="D851" s="3" t="s">
        <v>42</v>
      </c>
      <c r="E851" s="3" t="s">
        <v>46</v>
      </c>
      <c r="F851" s="3" t="s">
        <v>46</v>
      </c>
      <c r="G851" s="4">
        <v>0.64583333333333337</v>
      </c>
      <c r="H851" s="4">
        <v>0.10416666666666667</v>
      </c>
      <c r="I851" t="s">
        <v>53</v>
      </c>
      <c r="J851">
        <v>2</v>
      </c>
      <c r="L851" s="46"/>
      <c r="P851">
        <v>320</v>
      </c>
      <c r="Q851">
        <v>1</v>
      </c>
      <c r="R851">
        <v>60</v>
      </c>
      <c r="S851" s="7">
        <f>Tabla1[[#This Row],[TARIFA]]+Tabla1[[#This Row],[IMPORTE EXTRAS]]</f>
        <v>380</v>
      </c>
      <c r="T851" t="s">
        <v>45</v>
      </c>
      <c r="U851">
        <v>320</v>
      </c>
      <c r="V851">
        <v>0</v>
      </c>
      <c r="W851">
        <v>60</v>
      </c>
      <c r="X851" s="49">
        <v>0</v>
      </c>
      <c r="Y851" s="49" t="s">
        <v>595</v>
      </c>
      <c r="Z851" s="7">
        <f>SUM(Tabla1[[#This Row],[RES-A]:[EXTR-B]])</f>
        <v>380</v>
      </c>
      <c r="AA851" s="7">
        <f>Tabla1[[#This Row],[Columna1]]-Tabla1[[#This Row],[IMPORTE TOTAL]]</f>
        <v>0</v>
      </c>
    </row>
    <row r="852" spans="1:27" x14ac:dyDescent="0.2">
      <c r="A852">
        <v>2024</v>
      </c>
      <c r="B852" t="s">
        <v>60</v>
      </c>
      <c r="C852" s="51">
        <v>45445</v>
      </c>
      <c r="D852" s="3" t="s">
        <v>43</v>
      </c>
      <c r="E852" s="3" t="s">
        <v>46</v>
      </c>
      <c r="F852" s="3" t="s">
        <v>46</v>
      </c>
      <c r="G852" s="4">
        <v>0.39583333333333331</v>
      </c>
      <c r="H852" s="4">
        <v>0.60416666666666663</v>
      </c>
      <c r="I852" t="s">
        <v>30</v>
      </c>
      <c r="J852">
        <v>1</v>
      </c>
      <c r="L852" s="46"/>
      <c r="M852" s="188"/>
      <c r="P852">
        <v>150</v>
      </c>
      <c r="Q852">
        <v>0</v>
      </c>
      <c r="R852">
        <v>0</v>
      </c>
      <c r="S852" s="7">
        <f>Tabla1[[#This Row],[TARIFA]]+Tabla1[[#This Row],[IMPORTE EXTRAS]]</f>
        <v>150</v>
      </c>
      <c r="T852" t="s">
        <v>45</v>
      </c>
      <c r="U852">
        <v>50</v>
      </c>
      <c r="V852">
        <v>100</v>
      </c>
      <c r="W852">
        <v>0</v>
      </c>
      <c r="X852" s="49">
        <v>0</v>
      </c>
      <c r="Y852" s="49"/>
      <c r="Z852" s="7">
        <f>SUM(Tabla1[[#This Row],[RES-A]:[EXTR-B]])</f>
        <v>150</v>
      </c>
      <c r="AA852" s="7">
        <f>Tabla1[[#This Row],[Columna1]]-Tabla1[[#This Row],[IMPORTE TOTAL]]</f>
        <v>0</v>
      </c>
    </row>
    <row r="853" spans="1:27" x14ac:dyDescent="0.2">
      <c r="A853">
        <v>2024</v>
      </c>
      <c r="B853" t="s">
        <v>60</v>
      </c>
      <c r="C853" s="51">
        <v>45445</v>
      </c>
      <c r="D853" s="3" t="s">
        <v>43</v>
      </c>
      <c r="E853" s="3" t="s">
        <v>46</v>
      </c>
      <c r="F853" s="3" t="s">
        <v>46</v>
      </c>
      <c r="G853" s="4">
        <v>0.64583333333333337</v>
      </c>
      <c r="H853" s="4">
        <v>0.85416666666666663</v>
      </c>
      <c r="I853" t="s">
        <v>31</v>
      </c>
      <c r="J853">
        <v>1</v>
      </c>
      <c r="L853" s="46"/>
      <c r="P853">
        <v>150</v>
      </c>
      <c r="Q853">
        <v>1</v>
      </c>
      <c r="R853">
        <v>20</v>
      </c>
      <c r="S853" s="7">
        <f>Tabla1[[#This Row],[TARIFA]]+Tabla1[[#This Row],[IMPORTE EXTRAS]]</f>
        <v>170</v>
      </c>
      <c r="T853" t="s">
        <v>45</v>
      </c>
      <c r="U853">
        <v>50</v>
      </c>
      <c r="V853">
        <v>100</v>
      </c>
      <c r="W853">
        <v>0</v>
      </c>
      <c r="X853" s="49">
        <v>20</v>
      </c>
      <c r="Y853" s="49"/>
      <c r="Z853" s="7">
        <f>SUM(Tabla1[[#This Row],[RES-A]:[EXTR-B]])</f>
        <v>170</v>
      </c>
      <c r="AA853" s="7">
        <f>Tabla1[[#This Row],[Columna1]]-Tabla1[[#This Row],[IMPORTE TOTAL]]</f>
        <v>0</v>
      </c>
    </row>
    <row r="854" spans="1:27" x14ac:dyDescent="0.2">
      <c r="A854">
        <v>2024</v>
      </c>
      <c r="B854" t="s">
        <v>60</v>
      </c>
      <c r="C854" s="51">
        <v>45448</v>
      </c>
      <c r="D854" s="3" t="s">
        <v>39</v>
      </c>
      <c r="E854" s="3" t="s">
        <v>46</v>
      </c>
      <c r="F854" s="3" t="s">
        <v>46</v>
      </c>
      <c r="G854" s="4">
        <v>0.64583333333333337</v>
      </c>
      <c r="H854" s="4">
        <v>0.85416666666666663</v>
      </c>
      <c r="I854" t="s">
        <v>31</v>
      </c>
      <c r="J854">
        <v>1</v>
      </c>
      <c r="L854" s="46"/>
      <c r="M854" s="188"/>
      <c r="P854">
        <v>95</v>
      </c>
      <c r="Q854">
        <v>0</v>
      </c>
      <c r="R854">
        <v>0</v>
      </c>
      <c r="S854" s="7">
        <f>Tabla1[[#This Row],[TARIFA]]+Tabla1[[#This Row],[IMPORTE EXTRAS]]</f>
        <v>95</v>
      </c>
      <c r="T854" t="s">
        <v>45</v>
      </c>
      <c r="U854">
        <v>50</v>
      </c>
      <c r="V854">
        <v>45</v>
      </c>
      <c r="W854">
        <v>0</v>
      </c>
      <c r="X854" s="49">
        <v>0</v>
      </c>
      <c r="Y854" s="49"/>
      <c r="Z854" s="7">
        <f>SUM(Tabla1[[#This Row],[RES-A]:[EXTR-B]])</f>
        <v>95</v>
      </c>
      <c r="AA854" s="7">
        <f>Tabla1[[#This Row],[Columna1]]-Tabla1[[#This Row],[IMPORTE TOTAL]]</f>
        <v>0</v>
      </c>
    </row>
    <row r="855" spans="1:27" x14ac:dyDescent="0.2">
      <c r="A855">
        <v>2024</v>
      </c>
      <c r="B855" t="s">
        <v>60</v>
      </c>
      <c r="C855" s="51">
        <v>45450</v>
      </c>
      <c r="D855" s="3" t="s">
        <v>41</v>
      </c>
      <c r="E855" s="3" t="s">
        <v>46</v>
      </c>
      <c r="F855" s="3" t="s">
        <v>46</v>
      </c>
      <c r="G855" s="4">
        <v>0.89583333333333337</v>
      </c>
      <c r="H855" s="4">
        <v>0.10416666666666667</v>
      </c>
      <c r="I855" t="s">
        <v>35</v>
      </c>
      <c r="J855">
        <v>1</v>
      </c>
      <c r="L855" s="46"/>
      <c r="P855">
        <v>200</v>
      </c>
      <c r="Q855">
        <v>0</v>
      </c>
      <c r="R855">
        <v>0</v>
      </c>
      <c r="S855" s="7">
        <f>Tabla1[[#This Row],[TARIFA]]+Tabla1[[#This Row],[IMPORTE EXTRAS]]</f>
        <v>200</v>
      </c>
      <c r="T855" t="s">
        <v>45</v>
      </c>
      <c r="U855">
        <v>50</v>
      </c>
      <c r="V855">
        <v>150</v>
      </c>
      <c r="W855">
        <v>0</v>
      </c>
      <c r="X855" s="49">
        <v>0</v>
      </c>
      <c r="Y855" s="49" t="s">
        <v>626</v>
      </c>
      <c r="Z855" s="7">
        <f>SUM(Tabla1[[#This Row],[RES-A]:[EXTR-B]])</f>
        <v>200</v>
      </c>
      <c r="AA855" s="7">
        <f>Tabla1[[#This Row],[Columna1]]-Tabla1[[#This Row],[IMPORTE TOTAL]]</f>
        <v>0</v>
      </c>
    </row>
    <row r="856" spans="1:27" x14ac:dyDescent="0.2">
      <c r="A856">
        <v>2024</v>
      </c>
      <c r="B856" t="s">
        <v>60</v>
      </c>
      <c r="C856" s="51">
        <v>45451</v>
      </c>
      <c r="D856" s="3" t="s">
        <v>42</v>
      </c>
      <c r="E856" s="3" t="s">
        <v>46</v>
      </c>
      <c r="F856" s="3" t="s">
        <v>46</v>
      </c>
      <c r="G856" s="4">
        <v>0.64583333333333337</v>
      </c>
      <c r="H856" s="4">
        <v>0.10416666666666667</v>
      </c>
      <c r="I856" t="s">
        <v>53</v>
      </c>
      <c r="J856">
        <v>2</v>
      </c>
      <c r="L856" s="46"/>
      <c r="P856">
        <v>320</v>
      </c>
      <c r="Q856">
        <v>0</v>
      </c>
      <c r="R856">
        <v>0</v>
      </c>
      <c r="S856" s="7">
        <f>Tabla1[[#This Row],[TARIFA]]+Tabla1[[#This Row],[IMPORTE EXTRAS]]</f>
        <v>320</v>
      </c>
      <c r="T856" t="s">
        <v>45</v>
      </c>
      <c r="U856">
        <v>0</v>
      </c>
      <c r="V856">
        <v>320</v>
      </c>
      <c r="W856">
        <v>0</v>
      </c>
      <c r="X856" s="49">
        <v>0</v>
      </c>
      <c r="Y856" s="49" t="s">
        <v>595</v>
      </c>
      <c r="Z856" s="7">
        <f>SUM(Tabla1[[#This Row],[RES-A]:[EXTR-B]])</f>
        <v>320</v>
      </c>
      <c r="AA856" s="7">
        <f>Tabla1[[#This Row],[Columna1]]-Tabla1[[#This Row],[IMPORTE TOTAL]]</f>
        <v>0</v>
      </c>
    </row>
    <row r="857" spans="1:27" x14ac:dyDescent="0.2">
      <c r="A857">
        <v>2024</v>
      </c>
      <c r="B857" t="s">
        <v>60</v>
      </c>
      <c r="C857" s="51">
        <v>45452</v>
      </c>
      <c r="D857" s="3" t="s">
        <v>43</v>
      </c>
      <c r="E857" s="3" t="s">
        <v>46</v>
      </c>
      <c r="F857" s="3" t="s">
        <v>46</v>
      </c>
      <c r="G857" s="4">
        <v>0.39583333333333331</v>
      </c>
      <c r="H857" s="4">
        <v>0.60416666666666663</v>
      </c>
      <c r="I857" t="s">
        <v>30</v>
      </c>
      <c r="J857">
        <v>1</v>
      </c>
      <c r="L857" s="46"/>
      <c r="P857">
        <v>50</v>
      </c>
      <c r="Q857">
        <v>0</v>
      </c>
      <c r="R857">
        <v>0</v>
      </c>
      <c r="S857" s="7">
        <f>Tabla1[[#This Row],[TARIFA]]+Tabla1[[#This Row],[IMPORTE EXTRAS]]</f>
        <v>50</v>
      </c>
      <c r="T857" t="s">
        <v>45</v>
      </c>
      <c r="U857">
        <v>0</v>
      </c>
      <c r="V857">
        <v>0</v>
      </c>
      <c r="W857">
        <v>0</v>
      </c>
      <c r="X857" s="49">
        <v>0</v>
      </c>
      <c r="Y857" s="49"/>
      <c r="Z857" s="7">
        <f>SUM(Tabla1[[#This Row],[RES-A]:[EXTR-B]])</f>
        <v>0</v>
      </c>
      <c r="AA857" s="7">
        <f>Tabla1[[#This Row],[Columna1]]-Tabla1[[#This Row],[IMPORTE TOTAL]]</f>
        <v>-50</v>
      </c>
    </row>
    <row r="858" spans="1:27" x14ac:dyDescent="0.2">
      <c r="A858">
        <v>2024</v>
      </c>
      <c r="B858" t="s">
        <v>60</v>
      </c>
      <c r="C858" s="51">
        <v>45452</v>
      </c>
      <c r="D858" s="3" t="s">
        <v>43</v>
      </c>
      <c r="E858" s="3" t="s">
        <v>46</v>
      </c>
      <c r="F858" s="3" t="s">
        <v>46</v>
      </c>
      <c r="G858" s="4">
        <v>0.64583333333333337</v>
      </c>
      <c r="H858" s="4">
        <v>0.85416666666666663</v>
      </c>
      <c r="I858" t="s">
        <v>31</v>
      </c>
      <c r="J858">
        <v>1</v>
      </c>
      <c r="L858" s="46"/>
      <c r="M858" s="188"/>
      <c r="P858">
        <v>150</v>
      </c>
      <c r="Q858">
        <v>0</v>
      </c>
      <c r="R858">
        <v>0</v>
      </c>
      <c r="S858" s="7">
        <f>Tabla1[[#This Row],[TARIFA]]+Tabla1[[#This Row],[IMPORTE EXTRAS]]</f>
        <v>150</v>
      </c>
      <c r="T858" t="s">
        <v>45</v>
      </c>
      <c r="U858">
        <v>150</v>
      </c>
      <c r="V858">
        <v>0</v>
      </c>
      <c r="W858">
        <v>0</v>
      </c>
      <c r="X858" s="49">
        <v>0</v>
      </c>
      <c r="Y858" s="49"/>
      <c r="Z858" s="7">
        <f>SUM(Tabla1[[#This Row],[RES-A]:[EXTR-B]])</f>
        <v>150</v>
      </c>
      <c r="AA858" s="7">
        <f>Tabla1[[#This Row],[Columna1]]-Tabla1[[#This Row],[IMPORTE TOTAL]]</f>
        <v>0</v>
      </c>
    </row>
    <row r="859" spans="1:27" x14ac:dyDescent="0.2">
      <c r="A859">
        <v>2024</v>
      </c>
      <c r="B859" t="s">
        <v>60</v>
      </c>
      <c r="C859" s="51">
        <v>45453</v>
      </c>
      <c r="D859" s="3" t="s">
        <v>37</v>
      </c>
      <c r="E859" s="3" t="s">
        <v>46</v>
      </c>
      <c r="F859" s="3" t="s">
        <v>46</v>
      </c>
      <c r="G859" s="4">
        <v>0.64583333333333337</v>
      </c>
      <c r="H859" s="4">
        <v>0.85416666666666663</v>
      </c>
      <c r="I859" t="s">
        <v>31</v>
      </c>
      <c r="J859">
        <v>1</v>
      </c>
      <c r="L859" s="46"/>
      <c r="P859">
        <v>95</v>
      </c>
      <c r="Q859">
        <v>0</v>
      </c>
      <c r="R859">
        <v>0</v>
      </c>
      <c r="S859" s="7">
        <f>Tabla1[[#This Row],[TARIFA]]+Tabla1[[#This Row],[IMPORTE EXTRAS]]</f>
        <v>95</v>
      </c>
      <c r="T859" t="s">
        <v>45</v>
      </c>
      <c r="U859">
        <v>50</v>
      </c>
      <c r="V859">
        <v>45</v>
      </c>
      <c r="W859">
        <v>0</v>
      </c>
      <c r="X859" s="49">
        <v>0</v>
      </c>
      <c r="Y859" s="49" t="s">
        <v>475</v>
      </c>
      <c r="Z859" s="7">
        <f>SUM(Tabla1[[#This Row],[RES-A]:[EXTR-B]])</f>
        <v>95</v>
      </c>
      <c r="AA859" s="7">
        <f>Tabla1[[#This Row],[Columna1]]-Tabla1[[#This Row],[IMPORTE TOTAL]]</f>
        <v>0</v>
      </c>
    </row>
    <row r="860" spans="1:27" x14ac:dyDescent="0.2">
      <c r="A860">
        <v>2024</v>
      </c>
      <c r="B860" t="s">
        <v>60</v>
      </c>
      <c r="C860" s="51">
        <v>45454</v>
      </c>
      <c r="D860" s="3" t="s">
        <v>38</v>
      </c>
      <c r="E860" s="3" t="s">
        <v>46</v>
      </c>
      <c r="F860" s="3" t="s">
        <v>46</v>
      </c>
      <c r="G860" s="4">
        <v>0.64583333333333337</v>
      </c>
      <c r="H860" s="4">
        <v>0.85416666666666663</v>
      </c>
      <c r="I860" t="s">
        <v>31</v>
      </c>
      <c r="J860">
        <v>1</v>
      </c>
      <c r="L860" s="46"/>
      <c r="P860">
        <v>95</v>
      </c>
      <c r="Q860">
        <v>0</v>
      </c>
      <c r="R860">
        <v>0</v>
      </c>
      <c r="S860" s="7">
        <f>Tabla1[[#This Row],[TARIFA]]+Tabla1[[#This Row],[IMPORTE EXTRAS]]</f>
        <v>95</v>
      </c>
      <c r="T860" t="s">
        <v>45</v>
      </c>
      <c r="U860">
        <v>50</v>
      </c>
      <c r="V860">
        <v>45</v>
      </c>
      <c r="W860">
        <v>0</v>
      </c>
      <c r="X860" s="49">
        <v>0</v>
      </c>
      <c r="Y860" s="49"/>
      <c r="Z860" s="7">
        <f>SUM(Tabla1[[#This Row],[RES-A]:[EXTR-B]])</f>
        <v>95</v>
      </c>
      <c r="AA860" s="7">
        <f>Tabla1[[#This Row],[Columna1]]-Tabla1[[#This Row],[IMPORTE TOTAL]]</f>
        <v>0</v>
      </c>
    </row>
    <row r="861" spans="1:27" x14ac:dyDescent="0.2">
      <c r="A861">
        <v>2024</v>
      </c>
      <c r="B861" t="s">
        <v>60</v>
      </c>
      <c r="C861" s="51">
        <v>45456</v>
      </c>
      <c r="D861" s="3" t="s">
        <v>40</v>
      </c>
      <c r="E861" s="3" t="s">
        <v>46</v>
      </c>
      <c r="F861" s="3" t="s">
        <v>46</v>
      </c>
      <c r="G861" s="4">
        <v>0.64583333333333337</v>
      </c>
      <c r="H861" s="4">
        <v>0.85416666666666663</v>
      </c>
      <c r="I861" t="s">
        <v>31</v>
      </c>
      <c r="J861">
        <v>1</v>
      </c>
      <c r="L861" s="46"/>
      <c r="P861">
        <v>95</v>
      </c>
      <c r="Q861">
        <v>0</v>
      </c>
      <c r="R861">
        <v>0</v>
      </c>
      <c r="S861" s="7">
        <f>Tabla1[[#This Row],[TARIFA]]+Tabla1[[#This Row],[IMPORTE EXTRAS]]</f>
        <v>95</v>
      </c>
      <c r="T861" t="s">
        <v>45</v>
      </c>
      <c r="U861">
        <v>50</v>
      </c>
      <c r="V861">
        <v>45</v>
      </c>
      <c r="W861">
        <v>0</v>
      </c>
      <c r="X861" s="49">
        <v>0</v>
      </c>
      <c r="Y861" s="49"/>
      <c r="Z861" s="7">
        <f>SUM(Tabla1[[#This Row],[RES-A]:[EXTR-B]])</f>
        <v>95</v>
      </c>
      <c r="AA861" s="7">
        <f>Tabla1[[#This Row],[Columna1]]-Tabla1[[#This Row],[IMPORTE TOTAL]]</f>
        <v>0</v>
      </c>
    </row>
    <row r="862" spans="1:27" x14ac:dyDescent="0.2">
      <c r="A862">
        <v>2024</v>
      </c>
      <c r="B862" t="s">
        <v>60</v>
      </c>
      <c r="C862" s="51">
        <v>45458</v>
      </c>
      <c r="D862" s="3" t="s">
        <v>42</v>
      </c>
      <c r="E862" s="3" t="s">
        <v>46</v>
      </c>
      <c r="F862" s="3" t="s">
        <v>46</v>
      </c>
      <c r="G862" s="4">
        <v>0.39583333333333331</v>
      </c>
      <c r="H862" s="4">
        <v>0.60416666666666663</v>
      </c>
      <c r="I862" t="s">
        <v>30</v>
      </c>
      <c r="J862">
        <v>1</v>
      </c>
      <c r="L862" s="46"/>
      <c r="M862" s="188"/>
      <c r="P862">
        <v>150</v>
      </c>
      <c r="Q862">
        <v>0</v>
      </c>
      <c r="R862">
        <v>0</v>
      </c>
      <c r="S862" s="7">
        <f>Tabla1[[#This Row],[TARIFA]]+Tabla1[[#This Row],[IMPORTE EXTRAS]]</f>
        <v>150</v>
      </c>
      <c r="T862" t="s">
        <v>45</v>
      </c>
      <c r="U862">
        <v>50</v>
      </c>
      <c r="V862">
        <v>100</v>
      </c>
      <c r="W862">
        <v>0</v>
      </c>
      <c r="X862" s="49">
        <v>0</v>
      </c>
      <c r="Y862" s="49"/>
      <c r="Z862" s="7">
        <f>SUM(Tabla1[[#This Row],[RES-A]:[EXTR-B]])</f>
        <v>150</v>
      </c>
      <c r="AA862" s="7">
        <f>Tabla1[[#This Row],[Columna1]]-Tabla1[[#This Row],[IMPORTE TOTAL]]</f>
        <v>0</v>
      </c>
    </row>
    <row r="863" spans="1:27" x14ac:dyDescent="0.2">
      <c r="A863">
        <v>2024</v>
      </c>
      <c r="B863" t="s">
        <v>60</v>
      </c>
      <c r="C863" s="51">
        <v>45458</v>
      </c>
      <c r="D863" s="3" t="s">
        <v>42</v>
      </c>
      <c r="E863" s="3" t="s">
        <v>46</v>
      </c>
      <c r="F863" s="3" t="s">
        <v>46</v>
      </c>
      <c r="G863" s="4">
        <v>0.64583333333333337</v>
      </c>
      <c r="H863" s="4">
        <v>0.85416666666666663</v>
      </c>
      <c r="I863" t="s">
        <v>31</v>
      </c>
      <c r="J863">
        <v>1</v>
      </c>
      <c r="L863" s="46"/>
      <c r="P863">
        <v>150</v>
      </c>
      <c r="Q863">
        <v>0</v>
      </c>
      <c r="R863">
        <v>0</v>
      </c>
      <c r="S863" s="7">
        <f>Tabla1[[#This Row],[TARIFA]]+Tabla1[[#This Row],[IMPORTE EXTRAS]]</f>
        <v>150</v>
      </c>
      <c r="T863" t="s">
        <v>45</v>
      </c>
      <c r="U863">
        <v>50</v>
      </c>
      <c r="V863">
        <v>100</v>
      </c>
      <c r="W863">
        <v>0</v>
      </c>
      <c r="X863" s="49">
        <v>0</v>
      </c>
      <c r="Y863" s="49" t="s">
        <v>505</v>
      </c>
      <c r="Z863" s="7">
        <f>SUM(Tabla1[[#This Row],[RES-A]:[EXTR-B]])</f>
        <v>150</v>
      </c>
      <c r="AA863" s="7">
        <f>Tabla1[[#This Row],[Columna1]]-Tabla1[[#This Row],[IMPORTE TOTAL]]</f>
        <v>0</v>
      </c>
    </row>
    <row r="864" spans="1:27" x14ac:dyDescent="0.2">
      <c r="A864">
        <v>2024</v>
      </c>
      <c r="B864" t="s">
        <v>60</v>
      </c>
      <c r="C864" s="51">
        <v>45458</v>
      </c>
      <c r="D864" s="3" t="s">
        <v>42</v>
      </c>
      <c r="E864" s="3" t="s">
        <v>46</v>
      </c>
      <c r="F864" s="3" t="s">
        <v>46</v>
      </c>
      <c r="G864" s="4">
        <v>0.89583333333333337</v>
      </c>
      <c r="H864" s="4">
        <v>0.10416666666666667</v>
      </c>
      <c r="I864" t="s">
        <v>35</v>
      </c>
      <c r="J864">
        <v>1</v>
      </c>
      <c r="K864" s="49"/>
      <c r="L864" s="46"/>
      <c r="P864">
        <v>200</v>
      </c>
      <c r="Q864">
        <v>0</v>
      </c>
      <c r="R864">
        <v>0</v>
      </c>
      <c r="S864" s="7">
        <f>Tabla1[[#This Row],[TARIFA]]+Tabla1[[#This Row],[IMPORTE EXTRAS]]</f>
        <v>200</v>
      </c>
      <c r="T864" t="s">
        <v>45</v>
      </c>
      <c r="U864">
        <v>50</v>
      </c>
      <c r="V864">
        <v>150</v>
      </c>
      <c r="W864">
        <v>0</v>
      </c>
      <c r="X864" s="49">
        <v>0</v>
      </c>
      <c r="Y864" s="49"/>
      <c r="Z864" s="7">
        <f>SUM(Tabla1[[#This Row],[RES-A]:[EXTR-B]])</f>
        <v>200</v>
      </c>
      <c r="AA864" s="7">
        <f>Tabla1[[#This Row],[Columna1]]-Tabla1[[#This Row],[IMPORTE TOTAL]]</f>
        <v>0</v>
      </c>
    </row>
    <row r="865" spans="1:27" x14ac:dyDescent="0.2">
      <c r="A865">
        <v>2024</v>
      </c>
      <c r="B865" t="s">
        <v>60</v>
      </c>
      <c r="C865" s="51">
        <v>45459</v>
      </c>
      <c r="D865" s="3" t="s">
        <v>43</v>
      </c>
      <c r="E865" s="3" t="s">
        <v>46</v>
      </c>
      <c r="F865" s="3" t="s">
        <v>46</v>
      </c>
      <c r="G865" s="4">
        <v>0.39583333333333331</v>
      </c>
      <c r="H865" s="4">
        <v>0.85416666666666663</v>
      </c>
      <c r="I865" t="s">
        <v>32</v>
      </c>
      <c r="J865">
        <v>2</v>
      </c>
      <c r="K865" s="49"/>
      <c r="L865" s="46"/>
      <c r="P865">
        <v>290</v>
      </c>
      <c r="Q865">
        <v>0</v>
      </c>
      <c r="R865">
        <v>0</v>
      </c>
      <c r="S865" s="7">
        <f>Tabla1[[#This Row],[TARIFA]]+Tabla1[[#This Row],[IMPORTE EXTRAS]]</f>
        <v>290</v>
      </c>
      <c r="T865" t="s">
        <v>45</v>
      </c>
      <c r="U865">
        <v>290</v>
      </c>
      <c r="V865">
        <v>0</v>
      </c>
      <c r="W865">
        <v>0</v>
      </c>
      <c r="X865" s="49">
        <v>0</v>
      </c>
      <c r="Y865" s="49"/>
      <c r="Z865" s="7">
        <f>SUM(Tabla1[[#This Row],[RES-A]:[EXTR-B]])</f>
        <v>290</v>
      </c>
      <c r="AA865" s="7">
        <f>Tabla1[[#This Row],[Columna1]]-Tabla1[[#This Row],[IMPORTE TOTAL]]</f>
        <v>0</v>
      </c>
    </row>
    <row r="866" spans="1:27" x14ac:dyDescent="0.2">
      <c r="A866">
        <v>2024</v>
      </c>
      <c r="B866" t="s">
        <v>60</v>
      </c>
      <c r="C866" s="51">
        <v>45464</v>
      </c>
      <c r="D866" s="3" t="s">
        <v>41</v>
      </c>
      <c r="E866" s="3" t="s">
        <v>46</v>
      </c>
      <c r="F866" s="3" t="s">
        <v>46</v>
      </c>
      <c r="G866" s="4">
        <v>0.64583333333333337</v>
      </c>
      <c r="H866" s="4">
        <v>0.10416666666666667</v>
      </c>
      <c r="I866" t="s">
        <v>53</v>
      </c>
      <c r="J866">
        <v>2</v>
      </c>
      <c r="K866" s="49"/>
      <c r="L866" s="46"/>
      <c r="P866">
        <v>300</v>
      </c>
      <c r="Q866">
        <v>0</v>
      </c>
      <c r="R866">
        <v>0</v>
      </c>
      <c r="S866" s="7">
        <f>Tabla1[[#This Row],[TARIFA]]+Tabla1[[#This Row],[IMPORTE EXTRAS]]</f>
        <v>300</v>
      </c>
      <c r="T866" t="s">
        <v>45</v>
      </c>
      <c r="U866">
        <v>50</v>
      </c>
      <c r="V866">
        <v>250</v>
      </c>
      <c r="W866">
        <v>0</v>
      </c>
      <c r="X866" s="49">
        <v>0</v>
      </c>
      <c r="Y866" s="49"/>
      <c r="Z866" s="7">
        <f>SUM(Tabla1[[#This Row],[RES-A]:[EXTR-B]])</f>
        <v>300</v>
      </c>
      <c r="AA866" s="7">
        <f>Tabla1[[#This Row],[Columna1]]-Tabla1[[#This Row],[IMPORTE TOTAL]]</f>
        <v>0</v>
      </c>
    </row>
    <row r="867" spans="1:27" x14ac:dyDescent="0.2">
      <c r="A867">
        <v>2024</v>
      </c>
      <c r="B867" t="s">
        <v>60</v>
      </c>
      <c r="C867" s="51">
        <v>45465</v>
      </c>
      <c r="D867" s="3" t="s">
        <v>42</v>
      </c>
      <c r="E867" s="3" t="s">
        <v>46</v>
      </c>
      <c r="F867" s="3" t="s">
        <v>46</v>
      </c>
      <c r="G867" s="4">
        <v>0.39583333333333331</v>
      </c>
      <c r="H867" s="4">
        <v>0.60416666666666663</v>
      </c>
      <c r="I867" t="s">
        <v>30</v>
      </c>
      <c r="J867">
        <v>1</v>
      </c>
      <c r="K867" s="49"/>
      <c r="L867" s="46"/>
      <c r="P867">
        <v>150</v>
      </c>
      <c r="Q867">
        <v>0</v>
      </c>
      <c r="R867">
        <v>0</v>
      </c>
      <c r="S867" s="7">
        <f>Tabla1[[#This Row],[TARIFA]]+Tabla1[[#This Row],[IMPORTE EXTRAS]]</f>
        <v>150</v>
      </c>
      <c r="T867" t="s">
        <v>45</v>
      </c>
      <c r="U867">
        <v>50</v>
      </c>
      <c r="V867">
        <v>100</v>
      </c>
      <c r="W867">
        <v>0</v>
      </c>
      <c r="X867" s="49">
        <v>0</v>
      </c>
      <c r="Y867" s="49" t="s">
        <v>505</v>
      </c>
      <c r="Z867" s="7">
        <f>SUM(Tabla1[[#This Row],[RES-A]:[EXTR-B]])</f>
        <v>150</v>
      </c>
      <c r="AA867" s="7">
        <f>Tabla1[[#This Row],[Columna1]]-Tabla1[[#This Row],[IMPORTE TOTAL]]</f>
        <v>0</v>
      </c>
    </row>
    <row r="868" spans="1:27" x14ac:dyDescent="0.2">
      <c r="A868">
        <v>2024</v>
      </c>
      <c r="B868" t="s">
        <v>60</v>
      </c>
      <c r="C868" s="51">
        <v>45465</v>
      </c>
      <c r="D868" s="3" t="s">
        <v>42</v>
      </c>
      <c r="E868" s="3" t="s">
        <v>46</v>
      </c>
      <c r="F868" s="3" t="s">
        <v>46</v>
      </c>
      <c r="G868" s="4">
        <v>0.64583333333333337</v>
      </c>
      <c r="H868" s="4">
        <v>0.10416666666666667</v>
      </c>
      <c r="I868" t="s">
        <v>53</v>
      </c>
      <c r="J868">
        <v>2</v>
      </c>
      <c r="K868" s="49"/>
      <c r="L868" s="46"/>
      <c r="P868">
        <v>230</v>
      </c>
      <c r="Q868">
        <v>1</v>
      </c>
      <c r="R868">
        <v>60</v>
      </c>
      <c r="S868" s="7">
        <f>Tabla1[[#This Row],[TARIFA]]+Tabla1[[#This Row],[IMPORTE EXTRAS]]</f>
        <v>290</v>
      </c>
      <c r="T868" t="s">
        <v>45</v>
      </c>
      <c r="U868">
        <v>50</v>
      </c>
      <c r="V868">
        <v>180</v>
      </c>
      <c r="W868">
        <v>0</v>
      </c>
      <c r="X868" s="49">
        <v>60</v>
      </c>
      <c r="Y868" s="49"/>
      <c r="Z868" s="7">
        <f>SUM(Tabla1[[#This Row],[RES-A]:[EXTR-B]])</f>
        <v>290</v>
      </c>
      <c r="AA868" s="7">
        <f>Tabla1[[#This Row],[Columna1]]-Tabla1[[#This Row],[IMPORTE TOTAL]]</f>
        <v>0</v>
      </c>
    </row>
    <row r="869" spans="1:27" x14ac:dyDescent="0.2">
      <c r="A869">
        <v>2024</v>
      </c>
      <c r="B869" t="s">
        <v>60</v>
      </c>
      <c r="C869" s="51">
        <v>45466</v>
      </c>
      <c r="D869" s="3" t="s">
        <v>43</v>
      </c>
      <c r="E869" s="3" t="s">
        <v>46</v>
      </c>
      <c r="F869" s="3" t="s">
        <v>45</v>
      </c>
      <c r="G869" s="4">
        <v>0.64583333333333337</v>
      </c>
      <c r="H869" s="4">
        <v>0.10416666666666667</v>
      </c>
      <c r="I869" t="s">
        <v>49</v>
      </c>
      <c r="J869">
        <v>1</v>
      </c>
      <c r="K869" s="49"/>
      <c r="L869" s="46"/>
      <c r="M869" s="188"/>
      <c r="P869">
        <v>200</v>
      </c>
      <c r="Q869">
        <v>1</v>
      </c>
      <c r="R869">
        <v>20</v>
      </c>
      <c r="S869" s="7">
        <f>Tabla1[[#This Row],[TARIFA]]+Tabla1[[#This Row],[IMPORTE EXTRAS]]</f>
        <v>220</v>
      </c>
      <c r="T869" t="s">
        <v>45</v>
      </c>
      <c r="U869">
        <v>50</v>
      </c>
      <c r="V869">
        <v>150</v>
      </c>
      <c r="W869">
        <v>0</v>
      </c>
      <c r="X869" s="49">
        <v>20</v>
      </c>
      <c r="Y869" s="49" t="s">
        <v>648</v>
      </c>
      <c r="Z869" s="7">
        <f>SUM(Tabla1[[#This Row],[RES-A]:[EXTR-B]])</f>
        <v>220</v>
      </c>
      <c r="AA869" s="7">
        <f>Tabla1[[#This Row],[Columna1]]-Tabla1[[#This Row],[IMPORTE TOTAL]]</f>
        <v>0</v>
      </c>
    </row>
    <row r="870" spans="1:27" x14ac:dyDescent="0.2">
      <c r="A870">
        <v>2024</v>
      </c>
      <c r="B870" t="s">
        <v>60</v>
      </c>
      <c r="C870" s="51">
        <v>45471</v>
      </c>
      <c r="D870" s="3" t="s">
        <v>41</v>
      </c>
      <c r="E870" s="3" t="s">
        <v>46</v>
      </c>
      <c r="F870" s="3" t="s">
        <v>46</v>
      </c>
      <c r="G870" s="4">
        <v>0.64583333333333337</v>
      </c>
      <c r="H870" s="4">
        <v>0.85416666666666663</v>
      </c>
      <c r="I870" t="s">
        <v>31</v>
      </c>
      <c r="J870">
        <v>1</v>
      </c>
      <c r="K870" s="49"/>
      <c r="L870" s="46"/>
      <c r="P870">
        <v>140</v>
      </c>
      <c r="Q870">
        <v>0</v>
      </c>
      <c r="R870">
        <v>0</v>
      </c>
      <c r="S870" s="7">
        <f>Tabla1[[#This Row],[TARIFA]]+Tabla1[[#This Row],[IMPORTE EXTRAS]]</f>
        <v>140</v>
      </c>
      <c r="T870" t="s">
        <v>45</v>
      </c>
      <c r="U870">
        <v>50</v>
      </c>
      <c r="V870">
        <v>90</v>
      </c>
      <c r="W870">
        <v>0</v>
      </c>
      <c r="X870" s="49">
        <v>0</v>
      </c>
      <c r="Y870" s="49" t="s">
        <v>543</v>
      </c>
      <c r="Z870" s="7">
        <f>SUM(Tabla1[[#This Row],[RES-A]:[EXTR-B]])</f>
        <v>140</v>
      </c>
      <c r="AA870" s="7">
        <f>Tabla1[[#This Row],[Columna1]]-Tabla1[[#This Row],[IMPORTE TOTAL]]</f>
        <v>0</v>
      </c>
    </row>
    <row r="871" spans="1:27" x14ac:dyDescent="0.2">
      <c r="A871">
        <v>2024</v>
      </c>
      <c r="B871" t="s">
        <v>60</v>
      </c>
      <c r="C871" s="51">
        <v>45471</v>
      </c>
      <c r="D871" s="3" t="s">
        <v>41</v>
      </c>
      <c r="E871" s="3" t="s">
        <v>46</v>
      </c>
      <c r="F871" s="3" t="s">
        <v>46</v>
      </c>
      <c r="G871" s="4">
        <v>0.89583333333333337</v>
      </c>
      <c r="H871" s="4">
        <v>0.10416666666666667</v>
      </c>
      <c r="I871" t="s">
        <v>35</v>
      </c>
      <c r="J871">
        <v>1</v>
      </c>
      <c r="K871" s="49"/>
      <c r="L871" s="46"/>
      <c r="M871" s="188"/>
      <c r="P871">
        <v>200</v>
      </c>
      <c r="Q871">
        <v>0</v>
      </c>
      <c r="R871">
        <v>0</v>
      </c>
      <c r="S871" s="7">
        <f>Tabla1[[#This Row],[TARIFA]]+Tabla1[[#This Row],[IMPORTE EXTRAS]]</f>
        <v>200</v>
      </c>
      <c r="T871" t="s">
        <v>45</v>
      </c>
      <c r="U871">
        <v>50</v>
      </c>
      <c r="V871">
        <v>150</v>
      </c>
      <c r="W871">
        <v>0</v>
      </c>
      <c r="X871" s="49">
        <v>0</v>
      </c>
      <c r="Y871" s="49"/>
      <c r="Z871" s="7">
        <f>SUM(Tabla1[[#This Row],[RES-A]:[EXTR-B]])</f>
        <v>200</v>
      </c>
      <c r="AA871" s="7">
        <f>Tabla1[[#This Row],[Columna1]]-Tabla1[[#This Row],[IMPORTE TOTAL]]</f>
        <v>0</v>
      </c>
    </row>
    <row r="872" spans="1:27" x14ac:dyDescent="0.2">
      <c r="A872">
        <v>2024</v>
      </c>
      <c r="B872" t="s">
        <v>60</v>
      </c>
      <c r="C872" s="51">
        <v>45472</v>
      </c>
      <c r="D872" s="3" t="s">
        <v>42</v>
      </c>
      <c r="E872" s="3" t="s">
        <v>46</v>
      </c>
      <c r="F872" s="3" t="s">
        <v>46</v>
      </c>
      <c r="G872" s="4">
        <v>0.39583333333333331</v>
      </c>
      <c r="H872" s="4">
        <v>0.60416666666666663</v>
      </c>
      <c r="I872" t="s">
        <v>30</v>
      </c>
      <c r="J872">
        <v>1</v>
      </c>
      <c r="K872" s="49"/>
      <c r="L872" s="46"/>
      <c r="P872">
        <v>150</v>
      </c>
      <c r="Q872">
        <v>0</v>
      </c>
      <c r="R872">
        <v>0</v>
      </c>
      <c r="S872" s="7">
        <f>Tabla1[[#This Row],[TARIFA]]+Tabla1[[#This Row],[IMPORTE EXTRAS]]</f>
        <v>150</v>
      </c>
      <c r="T872" t="s">
        <v>45</v>
      </c>
      <c r="U872">
        <v>50</v>
      </c>
      <c r="V872">
        <v>100</v>
      </c>
      <c r="W872">
        <v>0</v>
      </c>
      <c r="X872" s="49">
        <v>0</v>
      </c>
      <c r="Y872" s="49"/>
      <c r="Z872" s="7">
        <f>SUM(Tabla1[[#This Row],[RES-A]:[EXTR-B]])</f>
        <v>150</v>
      </c>
      <c r="AA872" s="7">
        <f>Tabla1[[#This Row],[Columna1]]-Tabla1[[#This Row],[IMPORTE TOTAL]]</f>
        <v>0</v>
      </c>
    </row>
    <row r="873" spans="1:27" x14ac:dyDescent="0.2">
      <c r="A873">
        <v>2024</v>
      </c>
      <c r="B873" t="s">
        <v>60</v>
      </c>
      <c r="C873" s="51">
        <v>45472</v>
      </c>
      <c r="D873" s="3" t="s">
        <v>42</v>
      </c>
      <c r="E873" s="3" t="s">
        <v>46</v>
      </c>
      <c r="F873" s="3" t="s">
        <v>46</v>
      </c>
      <c r="G873" s="4">
        <v>0.64583333333333337</v>
      </c>
      <c r="H873" s="4">
        <v>0.85416666666666663</v>
      </c>
      <c r="I873" t="s">
        <v>31</v>
      </c>
      <c r="J873">
        <v>1</v>
      </c>
      <c r="L873" s="46"/>
      <c r="P873">
        <v>150</v>
      </c>
      <c r="Q873">
        <v>0</v>
      </c>
      <c r="R873">
        <v>0</v>
      </c>
      <c r="S873" s="7">
        <f>Tabla1[[#This Row],[TARIFA]]+Tabla1[[#This Row],[IMPORTE EXTRAS]]</f>
        <v>150</v>
      </c>
      <c r="T873" t="s">
        <v>45</v>
      </c>
      <c r="U873">
        <v>150</v>
      </c>
      <c r="V873">
        <v>0</v>
      </c>
      <c r="W873">
        <v>0</v>
      </c>
      <c r="X873" s="49">
        <v>0</v>
      </c>
      <c r="Y873" s="49"/>
      <c r="Z873" s="7">
        <f>SUM(Tabla1[[#This Row],[RES-A]:[EXTR-B]])</f>
        <v>150</v>
      </c>
      <c r="AA873" s="7">
        <f>Tabla1[[#This Row],[Columna1]]-Tabla1[[#This Row],[IMPORTE TOTAL]]</f>
        <v>0</v>
      </c>
    </row>
    <row r="874" spans="1:27" x14ac:dyDescent="0.2">
      <c r="A874">
        <v>2024</v>
      </c>
      <c r="B874" t="s">
        <v>60</v>
      </c>
      <c r="C874" s="51">
        <v>45472</v>
      </c>
      <c r="D874" s="3" t="s">
        <v>42</v>
      </c>
      <c r="E874" s="3" t="s">
        <v>46</v>
      </c>
      <c r="F874" s="3" t="s">
        <v>46</v>
      </c>
      <c r="G874" s="4">
        <v>0.89583333333333337</v>
      </c>
      <c r="H874" s="4">
        <v>0.10416666666666667</v>
      </c>
      <c r="I874" t="s">
        <v>35</v>
      </c>
      <c r="J874">
        <v>1</v>
      </c>
      <c r="L874" s="46"/>
      <c r="P874">
        <v>180</v>
      </c>
      <c r="Q874">
        <v>0</v>
      </c>
      <c r="R874">
        <v>0</v>
      </c>
      <c r="S874" s="7">
        <f>Tabla1[[#This Row],[TARIFA]]+Tabla1[[#This Row],[IMPORTE EXTRAS]]</f>
        <v>180</v>
      </c>
      <c r="T874" t="s">
        <v>45</v>
      </c>
      <c r="U874">
        <v>0</v>
      </c>
      <c r="V874">
        <v>180</v>
      </c>
      <c r="W874">
        <v>0</v>
      </c>
      <c r="X874" s="49">
        <v>0</v>
      </c>
      <c r="Y874" s="49"/>
      <c r="Z874" s="7">
        <f>SUM(Tabla1[[#This Row],[RES-A]:[EXTR-B]])</f>
        <v>180</v>
      </c>
      <c r="AA874" s="7">
        <f>Tabla1[[#This Row],[Columna1]]-Tabla1[[#This Row],[IMPORTE TOTAL]]</f>
        <v>0</v>
      </c>
    </row>
    <row r="875" spans="1:27" x14ac:dyDescent="0.2">
      <c r="A875">
        <v>2024</v>
      </c>
      <c r="B875" t="s">
        <v>60</v>
      </c>
      <c r="C875" s="51">
        <v>45473</v>
      </c>
      <c r="D875" s="3" t="s">
        <v>43</v>
      </c>
      <c r="E875" s="3" t="s">
        <v>46</v>
      </c>
      <c r="F875" s="3" t="s">
        <v>46</v>
      </c>
      <c r="G875" s="4">
        <v>0.39583333333333331</v>
      </c>
      <c r="H875" s="4">
        <v>0.60416666666666663</v>
      </c>
      <c r="I875" t="s">
        <v>30</v>
      </c>
      <c r="J875">
        <v>1</v>
      </c>
      <c r="K875" s="49"/>
      <c r="L875" s="46"/>
      <c r="P875">
        <v>150</v>
      </c>
      <c r="Q875">
        <v>0</v>
      </c>
      <c r="R875">
        <v>0</v>
      </c>
      <c r="S875" s="7">
        <f>Tabla1[[#This Row],[TARIFA]]+Tabla1[[#This Row],[IMPORTE EXTRAS]]</f>
        <v>150</v>
      </c>
      <c r="T875" t="s">
        <v>45</v>
      </c>
      <c r="U875">
        <v>50</v>
      </c>
      <c r="V875">
        <v>100</v>
      </c>
      <c r="W875">
        <v>0</v>
      </c>
      <c r="X875" s="49">
        <v>0</v>
      </c>
      <c r="Y875" s="49"/>
      <c r="Z875" s="7">
        <f>SUM(Tabla1[[#This Row],[RES-A]:[EXTR-B]])</f>
        <v>150</v>
      </c>
      <c r="AA875" s="7">
        <f>Tabla1[[#This Row],[Columna1]]-Tabla1[[#This Row],[IMPORTE TOTAL]]</f>
        <v>0</v>
      </c>
    </row>
    <row r="876" spans="1:27" x14ac:dyDescent="0.2">
      <c r="A876">
        <v>2024</v>
      </c>
      <c r="B876" t="s">
        <v>61</v>
      </c>
      <c r="C876" s="51">
        <v>45478</v>
      </c>
      <c r="D876" s="3" t="s">
        <v>41</v>
      </c>
      <c r="E876" s="3" t="s">
        <v>46</v>
      </c>
      <c r="F876" s="3" t="s">
        <v>46</v>
      </c>
      <c r="G876" s="4">
        <v>0.64583333333333337</v>
      </c>
      <c r="H876" s="4">
        <v>0.85416666666666663</v>
      </c>
      <c r="I876" t="s">
        <v>31</v>
      </c>
      <c r="J876">
        <v>1</v>
      </c>
      <c r="L876" s="46"/>
      <c r="P876">
        <v>140</v>
      </c>
      <c r="Q876">
        <v>0</v>
      </c>
      <c r="R876">
        <v>0</v>
      </c>
      <c r="S876" s="7">
        <f>Tabla1[[#This Row],[TARIFA]]+Tabla1[[#This Row],[IMPORTE EXTRAS]]</f>
        <v>140</v>
      </c>
      <c r="T876" t="s">
        <v>45</v>
      </c>
      <c r="U876">
        <v>50</v>
      </c>
      <c r="V876">
        <v>90</v>
      </c>
      <c r="W876">
        <v>0</v>
      </c>
      <c r="X876" s="49">
        <v>0</v>
      </c>
      <c r="Y876" s="49" t="s">
        <v>543</v>
      </c>
      <c r="Z876" s="7">
        <f>SUM(Tabla1[[#This Row],[RES-A]:[EXTR-B]])</f>
        <v>140</v>
      </c>
      <c r="AA876" s="7">
        <f>Tabla1[[#This Row],[Columna1]]-Tabla1[[#This Row],[IMPORTE TOTAL]]</f>
        <v>0</v>
      </c>
    </row>
    <row r="877" spans="1:27" x14ac:dyDescent="0.2">
      <c r="A877">
        <v>2024</v>
      </c>
      <c r="B877" t="s">
        <v>61</v>
      </c>
      <c r="C877" s="51">
        <v>45478</v>
      </c>
      <c r="D877" s="3" t="s">
        <v>41</v>
      </c>
      <c r="E877" s="3" t="s">
        <v>46</v>
      </c>
      <c r="F877" s="3" t="s">
        <v>46</v>
      </c>
      <c r="G877" s="4">
        <v>0.89583333333333337</v>
      </c>
      <c r="H877" s="4">
        <v>0.10416666666666667</v>
      </c>
      <c r="I877" t="s">
        <v>35</v>
      </c>
      <c r="J877">
        <v>1</v>
      </c>
      <c r="L877" s="46"/>
      <c r="P877">
        <v>200</v>
      </c>
      <c r="Q877">
        <v>0</v>
      </c>
      <c r="R877">
        <v>0</v>
      </c>
      <c r="S877" s="7">
        <f>Tabla1[[#This Row],[TARIFA]]+Tabla1[[#This Row],[IMPORTE EXTRAS]]</f>
        <v>200</v>
      </c>
      <c r="T877" t="s">
        <v>45</v>
      </c>
      <c r="U877">
        <v>50</v>
      </c>
      <c r="V877">
        <v>150</v>
      </c>
      <c r="W877">
        <v>0</v>
      </c>
      <c r="X877" s="49">
        <v>0</v>
      </c>
      <c r="Y877" s="49"/>
      <c r="Z877" s="7">
        <f>SUM(Tabla1[[#This Row],[RES-A]:[EXTR-B]])</f>
        <v>200</v>
      </c>
      <c r="AA877" s="7">
        <f>Tabla1[[#This Row],[Columna1]]-Tabla1[[#This Row],[IMPORTE TOTAL]]</f>
        <v>0</v>
      </c>
    </row>
    <row r="878" spans="1:27" x14ac:dyDescent="0.2">
      <c r="A878">
        <v>2024</v>
      </c>
      <c r="B878" t="s">
        <v>61</v>
      </c>
      <c r="C878" s="51">
        <v>45479</v>
      </c>
      <c r="D878" s="3" t="s">
        <v>42</v>
      </c>
      <c r="E878" s="3" t="s">
        <v>46</v>
      </c>
      <c r="F878" s="3" t="s">
        <v>46</v>
      </c>
      <c r="G878" s="4">
        <v>0.89583333333333337</v>
      </c>
      <c r="H878" s="4">
        <v>0.10416666666666667</v>
      </c>
      <c r="I878" t="s">
        <v>35</v>
      </c>
      <c r="J878">
        <v>1</v>
      </c>
      <c r="L878" s="46"/>
      <c r="P878">
        <v>200</v>
      </c>
      <c r="Q878">
        <v>1</v>
      </c>
      <c r="R878">
        <v>60</v>
      </c>
      <c r="S878" s="7">
        <f>Tabla1[[#This Row],[TARIFA]]+Tabla1[[#This Row],[IMPORTE EXTRAS]]</f>
        <v>260</v>
      </c>
      <c r="T878" t="s">
        <v>45</v>
      </c>
      <c r="U878">
        <v>50</v>
      </c>
      <c r="V878">
        <v>150</v>
      </c>
      <c r="W878">
        <v>0</v>
      </c>
      <c r="X878" s="49">
        <v>60</v>
      </c>
      <c r="Y878" s="49" t="s">
        <v>651</v>
      </c>
      <c r="Z878" s="7">
        <f>SUM(Tabla1[[#This Row],[RES-A]:[EXTR-B]])</f>
        <v>260</v>
      </c>
      <c r="AA878" s="7">
        <f>Tabla1[[#This Row],[Columna1]]-Tabla1[[#This Row],[IMPORTE TOTAL]]</f>
        <v>0</v>
      </c>
    </row>
    <row r="879" spans="1:27" x14ac:dyDescent="0.2">
      <c r="A879">
        <v>2024</v>
      </c>
      <c r="B879" t="s">
        <v>61</v>
      </c>
      <c r="C879" s="51">
        <v>45480</v>
      </c>
      <c r="D879" s="3" t="s">
        <v>43</v>
      </c>
      <c r="E879" s="3" t="s">
        <v>46</v>
      </c>
      <c r="F879" s="3" t="s">
        <v>46</v>
      </c>
      <c r="G879" s="4">
        <v>0.39583333333333331</v>
      </c>
      <c r="H879" s="4">
        <v>0.60416666666666663</v>
      </c>
      <c r="I879" t="s">
        <v>30</v>
      </c>
      <c r="J879">
        <v>1</v>
      </c>
      <c r="L879" s="46"/>
      <c r="P879">
        <v>150</v>
      </c>
      <c r="Q879">
        <v>0</v>
      </c>
      <c r="R879">
        <v>0</v>
      </c>
      <c r="S879" s="7">
        <f>Tabla1[[#This Row],[TARIFA]]+Tabla1[[#This Row],[IMPORTE EXTRAS]]</f>
        <v>150</v>
      </c>
      <c r="T879" t="s">
        <v>45</v>
      </c>
      <c r="U879">
        <v>0</v>
      </c>
      <c r="V879">
        <v>150</v>
      </c>
      <c r="W879">
        <v>0</v>
      </c>
      <c r="X879" s="49">
        <v>0</v>
      </c>
      <c r="Y879" s="49" t="s">
        <v>647</v>
      </c>
      <c r="Z879" s="7">
        <f>SUM(Tabla1[[#This Row],[RES-A]:[EXTR-B]])</f>
        <v>150</v>
      </c>
      <c r="AA879" s="7">
        <f>Tabla1[[#This Row],[Columna1]]-Tabla1[[#This Row],[IMPORTE TOTAL]]</f>
        <v>0</v>
      </c>
    </row>
    <row r="880" spans="1:27" x14ac:dyDescent="0.2">
      <c r="A880">
        <v>2024</v>
      </c>
      <c r="B880" t="s">
        <v>61</v>
      </c>
      <c r="C880" s="51">
        <v>45480</v>
      </c>
      <c r="D880" s="3" t="s">
        <v>43</v>
      </c>
      <c r="E880" s="3" t="s">
        <v>46</v>
      </c>
      <c r="F880" s="3" t="s">
        <v>46</v>
      </c>
      <c r="G880" s="4">
        <v>0.64583333333333337</v>
      </c>
      <c r="H880" s="4">
        <v>0.85416666666666663</v>
      </c>
      <c r="I880" t="s">
        <v>31</v>
      </c>
      <c r="J880">
        <v>1</v>
      </c>
      <c r="L880" s="46"/>
      <c r="P880">
        <v>150</v>
      </c>
      <c r="Q880">
        <v>0</v>
      </c>
      <c r="R880">
        <v>0</v>
      </c>
      <c r="S880" s="7">
        <f>Tabla1[[#This Row],[TARIFA]]+Tabla1[[#This Row],[IMPORTE EXTRAS]]</f>
        <v>150</v>
      </c>
      <c r="T880" t="s">
        <v>45</v>
      </c>
      <c r="U880">
        <v>50</v>
      </c>
      <c r="V880">
        <v>100</v>
      </c>
      <c r="W880">
        <v>0</v>
      </c>
      <c r="X880" s="49">
        <v>0</v>
      </c>
      <c r="Y880" s="49"/>
      <c r="Z880" s="7">
        <f>SUM(Tabla1[[#This Row],[RES-A]:[EXTR-B]])</f>
        <v>150</v>
      </c>
      <c r="AA880" s="7">
        <f>Tabla1[[#This Row],[Columna1]]-Tabla1[[#This Row],[IMPORTE TOTAL]]</f>
        <v>0</v>
      </c>
    </row>
    <row r="881" spans="1:27" x14ac:dyDescent="0.2">
      <c r="A881">
        <v>2024</v>
      </c>
      <c r="B881" t="s">
        <v>61</v>
      </c>
      <c r="C881" s="51">
        <v>45482</v>
      </c>
      <c r="D881" s="3" t="s">
        <v>38</v>
      </c>
      <c r="E881" s="3" t="s">
        <v>46</v>
      </c>
      <c r="F881" s="3" t="s">
        <v>46</v>
      </c>
      <c r="G881" s="4">
        <v>0.64583333333333337</v>
      </c>
      <c r="H881" s="4">
        <v>0.85416666666666663</v>
      </c>
      <c r="I881" t="s">
        <v>31</v>
      </c>
      <c r="J881">
        <v>1</v>
      </c>
      <c r="L881" s="46"/>
      <c r="P881">
        <v>95</v>
      </c>
      <c r="Q881">
        <v>0</v>
      </c>
      <c r="R881">
        <v>0</v>
      </c>
      <c r="S881" s="7">
        <f>Tabla1[[#This Row],[TARIFA]]+Tabla1[[#This Row],[IMPORTE EXTRAS]]</f>
        <v>95</v>
      </c>
      <c r="T881" t="s">
        <v>45</v>
      </c>
      <c r="U881">
        <v>50</v>
      </c>
      <c r="V881">
        <v>45</v>
      </c>
      <c r="W881">
        <v>0</v>
      </c>
      <c r="X881" s="49">
        <v>0</v>
      </c>
      <c r="Y881" s="49" t="s">
        <v>475</v>
      </c>
      <c r="Z881" s="7">
        <f>SUM(Tabla1[[#This Row],[RES-A]:[EXTR-B]])</f>
        <v>95</v>
      </c>
      <c r="AA881" s="7">
        <f>Tabla1[[#This Row],[Columna1]]-Tabla1[[#This Row],[IMPORTE TOTAL]]</f>
        <v>0</v>
      </c>
    </row>
    <row r="882" spans="1:27" x14ac:dyDescent="0.2">
      <c r="A882">
        <v>2024</v>
      </c>
      <c r="B882" t="s">
        <v>61</v>
      </c>
      <c r="C882" s="51">
        <v>45485</v>
      </c>
      <c r="D882" s="3" t="s">
        <v>41</v>
      </c>
      <c r="E882" s="3" t="s">
        <v>46</v>
      </c>
      <c r="F882" s="3" t="s">
        <v>46</v>
      </c>
      <c r="G882" s="4">
        <v>0.89583333333333337</v>
      </c>
      <c r="H882" s="4">
        <v>0.10416666666666667</v>
      </c>
      <c r="I882" t="s">
        <v>35</v>
      </c>
      <c r="J882">
        <v>1</v>
      </c>
      <c r="L882" s="46"/>
      <c r="P882">
        <v>200</v>
      </c>
      <c r="Q882">
        <v>1</v>
      </c>
      <c r="R882">
        <v>60</v>
      </c>
      <c r="S882" s="7">
        <f>Tabla1[[#This Row],[TARIFA]]+Tabla1[[#This Row],[IMPORTE EXTRAS]]</f>
        <v>260</v>
      </c>
      <c r="T882" t="s">
        <v>45</v>
      </c>
      <c r="U882">
        <v>200</v>
      </c>
      <c r="V882">
        <v>0</v>
      </c>
      <c r="W882">
        <v>60</v>
      </c>
      <c r="X882" s="49">
        <v>0</v>
      </c>
      <c r="Y882" s="49"/>
      <c r="Z882" s="7">
        <f>SUM(Tabla1[[#This Row],[RES-A]:[EXTR-B]])</f>
        <v>260</v>
      </c>
      <c r="AA882" s="7">
        <f>Tabla1[[#This Row],[Columna1]]-Tabla1[[#This Row],[IMPORTE TOTAL]]</f>
        <v>0</v>
      </c>
    </row>
    <row r="883" spans="1:27" x14ac:dyDescent="0.2">
      <c r="A883">
        <v>2024</v>
      </c>
      <c r="B883" t="s">
        <v>61</v>
      </c>
      <c r="C883" s="51">
        <v>45486</v>
      </c>
      <c r="D883" s="3" t="s">
        <v>42</v>
      </c>
      <c r="E883" s="3" t="s">
        <v>46</v>
      </c>
      <c r="F883" s="3" t="s">
        <v>46</v>
      </c>
      <c r="G883" s="4">
        <v>0.39583333333333331</v>
      </c>
      <c r="H883" s="4">
        <v>0.60416666666666663</v>
      </c>
      <c r="I883" t="s">
        <v>30</v>
      </c>
      <c r="J883">
        <v>1</v>
      </c>
      <c r="L883" s="46"/>
      <c r="P883">
        <v>150</v>
      </c>
      <c r="Q883">
        <v>0</v>
      </c>
      <c r="R883">
        <v>0</v>
      </c>
      <c r="S883" s="7">
        <f>Tabla1[[#This Row],[TARIFA]]+Tabla1[[#This Row],[IMPORTE EXTRAS]]</f>
        <v>150</v>
      </c>
      <c r="T883" t="s">
        <v>45</v>
      </c>
      <c r="U883">
        <v>50</v>
      </c>
      <c r="V883">
        <v>100</v>
      </c>
      <c r="W883">
        <v>0</v>
      </c>
      <c r="X883" s="49">
        <v>0</v>
      </c>
      <c r="Y883" s="49"/>
      <c r="Z883" s="7">
        <f>SUM(Tabla1[[#This Row],[RES-A]:[EXTR-B]])</f>
        <v>150</v>
      </c>
      <c r="AA883" s="7">
        <f>Tabla1[[#This Row],[Columna1]]-Tabla1[[#This Row],[IMPORTE TOTAL]]</f>
        <v>0</v>
      </c>
    </row>
    <row r="884" spans="1:27" x14ac:dyDescent="0.2">
      <c r="A884">
        <v>2024</v>
      </c>
      <c r="B884" t="s">
        <v>61</v>
      </c>
      <c r="C884" s="51">
        <v>45486</v>
      </c>
      <c r="D884" s="3" t="s">
        <v>42</v>
      </c>
      <c r="E884" s="3" t="s">
        <v>46</v>
      </c>
      <c r="F884" s="3" t="s">
        <v>46</v>
      </c>
      <c r="G884" s="4">
        <v>0.64583333333333337</v>
      </c>
      <c r="H884" s="4">
        <v>0.10416666666666667</v>
      </c>
      <c r="I884" t="s">
        <v>53</v>
      </c>
      <c r="J884">
        <v>2</v>
      </c>
      <c r="L884" s="46"/>
      <c r="P884">
        <v>320</v>
      </c>
      <c r="Q884">
        <v>0</v>
      </c>
      <c r="R884">
        <v>0</v>
      </c>
      <c r="S884" s="7">
        <f>Tabla1[[#This Row],[TARIFA]]+Tabla1[[#This Row],[IMPORTE EXTRAS]]</f>
        <v>320</v>
      </c>
      <c r="T884" t="s">
        <v>45</v>
      </c>
      <c r="U884">
        <v>50</v>
      </c>
      <c r="V884">
        <v>270</v>
      </c>
      <c r="W884">
        <v>0</v>
      </c>
      <c r="X884" s="49">
        <v>0</v>
      </c>
      <c r="Y884" s="49"/>
      <c r="Z884" s="7">
        <f>SUM(Tabla1[[#This Row],[RES-A]:[EXTR-B]])</f>
        <v>320</v>
      </c>
      <c r="AA884" s="7">
        <f>Tabla1[[#This Row],[Columna1]]-Tabla1[[#This Row],[IMPORTE TOTAL]]</f>
        <v>0</v>
      </c>
    </row>
    <row r="885" spans="1:27" x14ac:dyDescent="0.2">
      <c r="A885">
        <v>2024</v>
      </c>
      <c r="B885" t="s">
        <v>61</v>
      </c>
      <c r="C885" s="51">
        <v>45487</v>
      </c>
      <c r="D885" s="3" t="s">
        <v>43</v>
      </c>
      <c r="E885" s="3" t="s">
        <v>46</v>
      </c>
      <c r="F885" s="3" t="s">
        <v>46</v>
      </c>
      <c r="G885" s="4">
        <v>0.39583333333333331</v>
      </c>
      <c r="H885" s="4">
        <v>0.85416666666666663</v>
      </c>
      <c r="I885" t="s">
        <v>32</v>
      </c>
      <c r="J885">
        <v>2</v>
      </c>
      <c r="L885" s="46"/>
      <c r="P885">
        <v>290</v>
      </c>
      <c r="Q885">
        <v>0</v>
      </c>
      <c r="R885">
        <v>0</v>
      </c>
      <c r="S885" s="7">
        <f>Tabla1[[#This Row],[TARIFA]]+Tabla1[[#This Row],[IMPORTE EXTRAS]]</f>
        <v>290</v>
      </c>
      <c r="T885" t="s">
        <v>45</v>
      </c>
      <c r="U885">
        <v>290</v>
      </c>
      <c r="V885">
        <v>0</v>
      </c>
      <c r="W885">
        <v>0</v>
      </c>
      <c r="X885" s="49">
        <v>0</v>
      </c>
      <c r="Y885" s="49"/>
      <c r="Z885" s="7">
        <f>SUM(Tabla1[[#This Row],[RES-A]:[EXTR-B]])</f>
        <v>290</v>
      </c>
      <c r="AA885" s="7">
        <f>Tabla1[[#This Row],[Columna1]]-Tabla1[[#This Row],[IMPORTE TOTAL]]</f>
        <v>0</v>
      </c>
    </row>
    <row r="886" spans="1:27" x14ac:dyDescent="0.2">
      <c r="A886">
        <v>2024</v>
      </c>
      <c r="B886" t="s">
        <v>61</v>
      </c>
      <c r="C886" s="51">
        <v>45487</v>
      </c>
      <c r="D886" s="3" t="s">
        <v>43</v>
      </c>
      <c r="E886" s="3" t="s">
        <v>46</v>
      </c>
      <c r="F886" s="3" t="s">
        <v>46</v>
      </c>
      <c r="G886" s="4">
        <v>0.89583333333333337</v>
      </c>
      <c r="H886" s="4">
        <v>0.10416666666666667</v>
      </c>
      <c r="I886" t="s">
        <v>35</v>
      </c>
      <c r="J886">
        <v>1</v>
      </c>
      <c r="L886" s="46"/>
      <c r="P886">
        <v>150</v>
      </c>
      <c r="Q886">
        <v>0</v>
      </c>
      <c r="R886">
        <v>0</v>
      </c>
      <c r="S886" s="7">
        <f>Tabla1[[#This Row],[TARIFA]]+Tabla1[[#This Row],[IMPORTE EXTRAS]]</f>
        <v>150</v>
      </c>
      <c r="T886" t="s">
        <v>45</v>
      </c>
      <c r="U886">
        <v>0</v>
      </c>
      <c r="V886">
        <v>150</v>
      </c>
      <c r="W886">
        <v>0</v>
      </c>
      <c r="X886" s="49">
        <v>0</v>
      </c>
      <c r="Y886" s="49"/>
      <c r="Z886" s="7">
        <f>SUM(Tabla1[[#This Row],[RES-A]:[EXTR-B]])</f>
        <v>150</v>
      </c>
      <c r="AA886" s="7">
        <f>Tabla1[[#This Row],[Columna1]]-Tabla1[[#This Row],[IMPORTE TOTAL]]</f>
        <v>0</v>
      </c>
    </row>
    <row r="887" spans="1:27" x14ac:dyDescent="0.2">
      <c r="A887">
        <v>2024</v>
      </c>
      <c r="B887" t="s">
        <v>61</v>
      </c>
      <c r="C887" s="51">
        <v>45488</v>
      </c>
      <c r="D887" s="3" t="s">
        <v>37</v>
      </c>
      <c r="E887" s="3" t="s">
        <v>46</v>
      </c>
      <c r="F887" s="3" t="s">
        <v>46</v>
      </c>
      <c r="G887" s="4">
        <v>0.64583333333333337</v>
      </c>
      <c r="H887" s="4">
        <v>0.85416666666666663</v>
      </c>
      <c r="I887" t="s">
        <v>31</v>
      </c>
      <c r="J887">
        <v>1</v>
      </c>
      <c r="L887" s="46"/>
      <c r="P887">
        <v>95</v>
      </c>
      <c r="Q887">
        <v>0</v>
      </c>
      <c r="R887">
        <v>0</v>
      </c>
      <c r="S887" s="7">
        <f>Tabla1[[#This Row],[TARIFA]]+Tabla1[[#This Row],[IMPORTE EXTRAS]]</f>
        <v>95</v>
      </c>
      <c r="T887" t="s">
        <v>45</v>
      </c>
      <c r="U887">
        <v>50</v>
      </c>
      <c r="V887">
        <v>45</v>
      </c>
      <c r="W887">
        <v>0</v>
      </c>
      <c r="X887" s="49">
        <v>0</v>
      </c>
      <c r="Y887" s="49"/>
      <c r="Z887" s="7">
        <f>SUM(Tabla1[[#This Row],[RES-A]:[EXTR-B]])</f>
        <v>95</v>
      </c>
      <c r="AA887" s="7">
        <f>Tabla1[[#This Row],[Columna1]]-Tabla1[[#This Row],[IMPORTE TOTAL]]</f>
        <v>0</v>
      </c>
    </row>
    <row r="888" spans="1:27" x14ac:dyDescent="0.2">
      <c r="A888">
        <v>2024</v>
      </c>
      <c r="B888" t="s">
        <v>61</v>
      </c>
      <c r="C888" s="51">
        <v>45491</v>
      </c>
      <c r="D888" s="3" t="s">
        <v>40</v>
      </c>
      <c r="E888" s="3" t="s">
        <v>46</v>
      </c>
      <c r="F888" s="3" t="s">
        <v>46</v>
      </c>
      <c r="G888" s="4">
        <v>0.64583333333333337</v>
      </c>
      <c r="H888" s="4">
        <v>0.85416666666666663</v>
      </c>
      <c r="I888" t="s">
        <v>31</v>
      </c>
      <c r="J888">
        <v>1</v>
      </c>
      <c r="L888" s="46"/>
      <c r="P888">
        <v>95</v>
      </c>
      <c r="Q888">
        <v>0</v>
      </c>
      <c r="R888">
        <v>0</v>
      </c>
      <c r="S888" s="7">
        <f>Tabla1[[#This Row],[TARIFA]]+Tabla1[[#This Row],[IMPORTE EXTRAS]]</f>
        <v>95</v>
      </c>
      <c r="T888" t="s">
        <v>45</v>
      </c>
      <c r="U888">
        <v>50</v>
      </c>
      <c r="V888">
        <v>45</v>
      </c>
      <c r="W888">
        <v>0</v>
      </c>
      <c r="X888" s="49">
        <v>0</v>
      </c>
      <c r="Y888" s="49"/>
      <c r="Z888" s="7">
        <f>SUM(Tabla1[[#This Row],[RES-A]:[EXTR-B]])</f>
        <v>95</v>
      </c>
      <c r="AA888" s="7">
        <f>Tabla1[[#This Row],[Columna1]]-Tabla1[[#This Row],[IMPORTE TOTAL]]</f>
        <v>0</v>
      </c>
    </row>
    <row r="889" spans="1:27" x14ac:dyDescent="0.2">
      <c r="A889">
        <v>2024</v>
      </c>
      <c r="B889" t="s">
        <v>61</v>
      </c>
      <c r="C889" s="51">
        <v>45492</v>
      </c>
      <c r="D889" s="3" t="s">
        <v>41</v>
      </c>
      <c r="E889" s="3" t="s">
        <v>46</v>
      </c>
      <c r="F889" s="3" t="s">
        <v>46</v>
      </c>
      <c r="G889" s="4">
        <v>0.89583333333333337</v>
      </c>
      <c r="H889" s="4">
        <v>0.10416666666666667</v>
      </c>
      <c r="I889" t="s">
        <v>35</v>
      </c>
      <c r="J889">
        <v>1</v>
      </c>
      <c r="L889" s="46"/>
      <c r="P889">
        <v>200</v>
      </c>
      <c r="Q889">
        <v>1</v>
      </c>
      <c r="R889">
        <v>60</v>
      </c>
      <c r="S889" s="7">
        <f>Tabla1[[#This Row],[TARIFA]]+Tabla1[[#This Row],[IMPORTE EXTRAS]]</f>
        <v>260</v>
      </c>
      <c r="T889" t="s">
        <v>45</v>
      </c>
      <c r="U889">
        <v>50</v>
      </c>
      <c r="V889">
        <v>150</v>
      </c>
      <c r="W889">
        <v>0</v>
      </c>
      <c r="X889" s="49">
        <v>60</v>
      </c>
      <c r="Y889" s="49"/>
      <c r="Z889" s="7">
        <f>SUM(Tabla1[[#This Row],[RES-A]:[EXTR-B]])</f>
        <v>260</v>
      </c>
      <c r="AA889" s="7">
        <f>Tabla1[[#This Row],[Columna1]]-Tabla1[[#This Row],[IMPORTE TOTAL]]</f>
        <v>0</v>
      </c>
    </row>
    <row r="890" spans="1:27" x14ac:dyDescent="0.2">
      <c r="A890">
        <v>2024</v>
      </c>
      <c r="B890" t="s">
        <v>61</v>
      </c>
      <c r="C890" s="51">
        <v>45493</v>
      </c>
      <c r="D890" s="3" t="s">
        <v>42</v>
      </c>
      <c r="E890" s="3" t="s">
        <v>46</v>
      </c>
      <c r="F890" s="3" t="s">
        <v>46</v>
      </c>
      <c r="G890" s="4">
        <v>0.39583333333333331</v>
      </c>
      <c r="H890" s="4">
        <v>0.85416666666666663</v>
      </c>
      <c r="I890" t="s">
        <v>32</v>
      </c>
      <c r="J890">
        <v>2</v>
      </c>
      <c r="L890" s="46"/>
      <c r="P890">
        <v>290</v>
      </c>
      <c r="Q890">
        <v>0</v>
      </c>
      <c r="R890">
        <v>0</v>
      </c>
      <c r="S890" s="7">
        <f>Tabla1[[#This Row],[TARIFA]]+Tabla1[[#This Row],[IMPORTE EXTRAS]]</f>
        <v>290</v>
      </c>
      <c r="T890" t="s">
        <v>45</v>
      </c>
      <c r="U890">
        <v>50</v>
      </c>
      <c r="V890">
        <v>240</v>
      </c>
      <c r="W890">
        <v>0</v>
      </c>
      <c r="X890" s="49">
        <v>0</v>
      </c>
      <c r="Y890" s="49"/>
      <c r="Z890" s="7">
        <f>SUM(Tabla1[[#This Row],[RES-A]:[EXTR-B]])</f>
        <v>290</v>
      </c>
      <c r="AA890" s="7">
        <f>Tabla1[[#This Row],[Columna1]]-Tabla1[[#This Row],[IMPORTE TOTAL]]</f>
        <v>0</v>
      </c>
    </row>
    <row r="891" spans="1:27" x14ac:dyDescent="0.2">
      <c r="A891">
        <v>2024</v>
      </c>
      <c r="B891" t="s">
        <v>61</v>
      </c>
      <c r="C891" s="51">
        <v>45494</v>
      </c>
      <c r="D891" s="3" t="s">
        <v>43</v>
      </c>
      <c r="E891" s="3" t="s">
        <v>46</v>
      </c>
      <c r="F891" s="3" t="s">
        <v>46</v>
      </c>
      <c r="G891" s="4">
        <v>0.39583333333333331</v>
      </c>
      <c r="H891" s="4">
        <v>0.60416666666666663</v>
      </c>
      <c r="I891" t="s">
        <v>30</v>
      </c>
      <c r="J891">
        <v>1</v>
      </c>
      <c r="L891" s="46"/>
      <c r="P891">
        <v>150</v>
      </c>
      <c r="Q891">
        <v>0</v>
      </c>
      <c r="R891">
        <v>0</v>
      </c>
      <c r="S891" s="7">
        <f>Tabla1[[#This Row],[TARIFA]]+Tabla1[[#This Row],[IMPORTE EXTRAS]]</f>
        <v>150</v>
      </c>
      <c r="T891" t="s">
        <v>45</v>
      </c>
      <c r="U891">
        <v>50</v>
      </c>
      <c r="V891">
        <v>100</v>
      </c>
      <c r="W891">
        <v>0</v>
      </c>
      <c r="X891" s="49">
        <v>0</v>
      </c>
      <c r="Y891" s="49"/>
      <c r="Z891" s="7">
        <f>SUM(Tabla1[[#This Row],[RES-A]:[EXTR-B]])</f>
        <v>150</v>
      </c>
      <c r="AA891" s="7">
        <f>Tabla1[[#This Row],[Columna1]]-Tabla1[[#This Row],[IMPORTE TOTAL]]</f>
        <v>0</v>
      </c>
    </row>
    <row r="892" spans="1:27" x14ac:dyDescent="0.2">
      <c r="A892">
        <v>2024</v>
      </c>
      <c r="B892" t="s">
        <v>61</v>
      </c>
      <c r="C892" s="51">
        <v>45494</v>
      </c>
      <c r="D892" s="3" t="s">
        <v>43</v>
      </c>
      <c r="E892" s="3" t="s">
        <v>46</v>
      </c>
      <c r="F892" s="3" t="s">
        <v>46</v>
      </c>
      <c r="G892" s="4">
        <v>0.64583333333333337</v>
      </c>
      <c r="H892" s="4">
        <v>0.85416666666666663</v>
      </c>
      <c r="I892" t="s">
        <v>31</v>
      </c>
      <c r="J892">
        <v>1</v>
      </c>
      <c r="L892" s="46"/>
      <c r="P892">
        <v>150</v>
      </c>
      <c r="Q892">
        <v>0</v>
      </c>
      <c r="R892">
        <v>0</v>
      </c>
      <c r="S892" s="7">
        <f>Tabla1[[#This Row],[TARIFA]]+Tabla1[[#This Row],[IMPORTE EXTRAS]]</f>
        <v>150</v>
      </c>
      <c r="T892" t="s">
        <v>45</v>
      </c>
      <c r="U892">
        <v>0</v>
      </c>
      <c r="V892">
        <v>150</v>
      </c>
      <c r="W892">
        <v>0</v>
      </c>
      <c r="X892" s="49">
        <v>0</v>
      </c>
      <c r="Y892" s="49"/>
      <c r="Z892" s="7">
        <f>SUM(Tabla1[[#This Row],[RES-A]:[EXTR-B]])</f>
        <v>150</v>
      </c>
      <c r="AA892" s="7">
        <f>Tabla1[[#This Row],[Columna1]]-Tabla1[[#This Row],[IMPORTE TOTAL]]</f>
        <v>0</v>
      </c>
    </row>
    <row r="893" spans="1:27" x14ac:dyDescent="0.2">
      <c r="A893">
        <v>2024</v>
      </c>
      <c r="B893" t="s">
        <v>61</v>
      </c>
      <c r="C893" s="51">
        <v>45495</v>
      </c>
      <c r="D893" s="3" t="s">
        <v>37</v>
      </c>
      <c r="E893" s="3" t="s">
        <v>46</v>
      </c>
      <c r="F893" s="3" t="s">
        <v>46</v>
      </c>
      <c r="G893" s="4">
        <v>0.64583333333333337</v>
      </c>
      <c r="H893" s="4">
        <v>0.85416666666666663</v>
      </c>
      <c r="I893" t="s">
        <v>31</v>
      </c>
      <c r="J893" s="49">
        <v>1</v>
      </c>
      <c r="L893" s="46"/>
      <c r="P893">
        <v>95</v>
      </c>
      <c r="Q893">
        <v>0</v>
      </c>
      <c r="R893">
        <v>0</v>
      </c>
      <c r="S893" s="7">
        <f>Tabla1[[#This Row],[TARIFA]]+Tabla1[[#This Row],[IMPORTE EXTRAS]]</f>
        <v>95</v>
      </c>
      <c r="T893" t="s">
        <v>45</v>
      </c>
      <c r="U893">
        <v>50</v>
      </c>
      <c r="V893">
        <v>45</v>
      </c>
      <c r="W893">
        <v>0</v>
      </c>
      <c r="X893" s="49">
        <v>0</v>
      </c>
      <c r="Y893" s="49"/>
      <c r="Z893" s="7">
        <f>SUM(Tabla1[[#This Row],[RES-A]:[EXTR-B]])</f>
        <v>95</v>
      </c>
      <c r="AA893" s="7">
        <f>Tabla1[[#This Row],[Columna1]]-Tabla1[[#This Row],[IMPORTE TOTAL]]</f>
        <v>0</v>
      </c>
    </row>
    <row r="894" spans="1:27" x14ac:dyDescent="0.2">
      <c r="A894">
        <v>2024</v>
      </c>
      <c r="B894" t="s">
        <v>61</v>
      </c>
      <c r="C894" s="51">
        <v>45498</v>
      </c>
      <c r="D894" s="3" t="s">
        <v>40</v>
      </c>
      <c r="E894" s="3" t="s">
        <v>46</v>
      </c>
      <c r="F894" s="3" t="s">
        <v>46</v>
      </c>
      <c r="G894" s="4">
        <v>0.64583333333333337</v>
      </c>
      <c r="H894" s="4">
        <v>0.85416666666666663</v>
      </c>
      <c r="I894" t="s">
        <v>31</v>
      </c>
      <c r="J894">
        <v>1</v>
      </c>
      <c r="L894" s="46"/>
      <c r="P894">
        <v>95</v>
      </c>
      <c r="Q894">
        <v>0</v>
      </c>
      <c r="R894">
        <v>0</v>
      </c>
      <c r="S894" s="7">
        <f>Tabla1[[#This Row],[TARIFA]]+Tabla1[[#This Row],[IMPORTE EXTRAS]]</f>
        <v>95</v>
      </c>
      <c r="T894" t="s">
        <v>45</v>
      </c>
      <c r="U894">
        <v>50</v>
      </c>
      <c r="V894">
        <v>45</v>
      </c>
      <c r="W894">
        <v>0</v>
      </c>
      <c r="X894" s="49">
        <v>0</v>
      </c>
      <c r="Y894" s="49"/>
      <c r="Z894" s="7">
        <f>SUM(Tabla1[[#This Row],[RES-A]:[EXTR-B]])</f>
        <v>95</v>
      </c>
      <c r="AA894" s="7">
        <f>Tabla1[[#This Row],[Columna1]]-Tabla1[[#This Row],[IMPORTE TOTAL]]</f>
        <v>0</v>
      </c>
    </row>
    <row r="895" spans="1:27" x14ac:dyDescent="0.2">
      <c r="A895">
        <v>2024</v>
      </c>
      <c r="B895" t="s">
        <v>61</v>
      </c>
      <c r="C895" s="51">
        <v>45500</v>
      </c>
      <c r="D895" s="3" t="s">
        <v>42</v>
      </c>
      <c r="E895" s="3" t="s">
        <v>46</v>
      </c>
      <c r="F895" s="3" t="s">
        <v>46</v>
      </c>
      <c r="G895" s="4">
        <v>0.64583333333333337</v>
      </c>
      <c r="H895" s="4">
        <v>0.85416666666666663</v>
      </c>
      <c r="I895" t="s">
        <v>31</v>
      </c>
      <c r="J895">
        <v>1</v>
      </c>
      <c r="K895" s="49"/>
      <c r="L895" s="46"/>
      <c r="P895">
        <v>150</v>
      </c>
      <c r="Q895">
        <v>0</v>
      </c>
      <c r="R895">
        <v>0</v>
      </c>
      <c r="S895" s="7">
        <f>Tabla1[[#This Row],[TARIFA]]+Tabla1[[#This Row],[IMPORTE EXTRAS]]</f>
        <v>150</v>
      </c>
      <c r="T895" t="s">
        <v>45</v>
      </c>
      <c r="U895">
        <v>50</v>
      </c>
      <c r="V895">
        <v>100</v>
      </c>
      <c r="W895">
        <v>0</v>
      </c>
      <c r="X895" s="49">
        <v>0</v>
      </c>
      <c r="Y895" s="49"/>
      <c r="Z895" s="7">
        <f>SUM(Tabla1[[#This Row],[RES-A]:[EXTR-B]])</f>
        <v>150</v>
      </c>
      <c r="AA895" s="7">
        <f>Tabla1[[#This Row],[Columna1]]-Tabla1[[#This Row],[IMPORTE TOTAL]]</f>
        <v>0</v>
      </c>
    </row>
    <row r="896" spans="1:27" x14ac:dyDescent="0.2">
      <c r="A896">
        <v>2024</v>
      </c>
      <c r="B896" t="s">
        <v>61</v>
      </c>
      <c r="C896" s="51">
        <v>45500</v>
      </c>
      <c r="D896" s="3" t="s">
        <v>42</v>
      </c>
      <c r="E896" s="3" t="s">
        <v>46</v>
      </c>
      <c r="F896" s="3" t="s">
        <v>46</v>
      </c>
      <c r="G896" s="4">
        <v>0.89583333333333337</v>
      </c>
      <c r="H896" s="4">
        <v>0.10416666666666667</v>
      </c>
      <c r="I896" t="s">
        <v>35</v>
      </c>
      <c r="J896">
        <v>1</v>
      </c>
      <c r="K896" s="49"/>
      <c r="L896" s="46"/>
      <c r="P896">
        <v>0</v>
      </c>
      <c r="Q896">
        <v>0</v>
      </c>
      <c r="R896">
        <v>0</v>
      </c>
      <c r="S896" s="7">
        <f>Tabla1[[#This Row],[TARIFA]]+Tabla1[[#This Row],[IMPORTE EXTRAS]]</f>
        <v>0</v>
      </c>
      <c r="T896" t="s">
        <v>46</v>
      </c>
      <c r="U896">
        <v>0</v>
      </c>
      <c r="V896">
        <v>0</v>
      </c>
      <c r="W896">
        <v>0</v>
      </c>
      <c r="X896" s="49">
        <v>0</v>
      </c>
      <c r="Y896" s="49" t="s">
        <v>660</v>
      </c>
      <c r="Z896" s="7">
        <f>SUM(Tabla1[[#This Row],[RES-A]:[EXTR-B]])</f>
        <v>0</v>
      </c>
      <c r="AA896" s="7">
        <f>Tabla1[[#This Row],[Columna1]]-Tabla1[[#This Row],[IMPORTE TOTAL]]</f>
        <v>0</v>
      </c>
    </row>
    <row r="897" spans="1:27" x14ac:dyDescent="0.2">
      <c r="A897">
        <v>2024</v>
      </c>
      <c r="B897" t="s">
        <v>62</v>
      </c>
      <c r="C897" s="51">
        <v>45507</v>
      </c>
      <c r="D897" s="3" t="s">
        <v>42</v>
      </c>
      <c r="E897" s="3" t="s">
        <v>46</v>
      </c>
      <c r="F897" s="3" t="s">
        <v>46</v>
      </c>
      <c r="G897" s="4">
        <v>0.39583333333333331</v>
      </c>
      <c r="H897" s="4">
        <v>0.85416666666666663</v>
      </c>
      <c r="I897" t="s">
        <v>32</v>
      </c>
      <c r="J897">
        <v>2</v>
      </c>
      <c r="L897" s="46"/>
      <c r="P897">
        <v>290</v>
      </c>
      <c r="Q897">
        <v>0</v>
      </c>
      <c r="R897">
        <v>0</v>
      </c>
      <c r="S897" s="7">
        <f>Tabla1[[#This Row],[TARIFA]]+Tabla1[[#This Row],[IMPORTE EXTRAS]]</f>
        <v>290</v>
      </c>
      <c r="T897" t="s">
        <v>45</v>
      </c>
      <c r="U897">
        <v>290</v>
      </c>
      <c r="V897">
        <v>0</v>
      </c>
      <c r="W897">
        <v>0</v>
      </c>
      <c r="X897" s="49">
        <v>0</v>
      </c>
      <c r="Y897" s="49"/>
      <c r="Z897" s="7">
        <f>SUM(Tabla1[[#This Row],[RES-A]:[EXTR-B]])</f>
        <v>290</v>
      </c>
      <c r="AA897" s="7">
        <f>Tabla1[[#This Row],[Columna1]]-Tabla1[[#This Row],[IMPORTE TOTAL]]</f>
        <v>0</v>
      </c>
    </row>
    <row r="898" spans="1:27" x14ac:dyDescent="0.2">
      <c r="A898">
        <v>2024</v>
      </c>
      <c r="B898" t="s">
        <v>62</v>
      </c>
      <c r="C898" s="51">
        <v>45508</v>
      </c>
      <c r="D898" s="3" t="s">
        <v>43</v>
      </c>
      <c r="E898" s="3" t="s">
        <v>46</v>
      </c>
      <c r="F898" s="3" t="s">
        <v>46</v>
      </c>
      <c r="G898" s="4">
        <v>0.64583333333333337</v>
      </c>
      <c r="H898" s="4">
        <v>0.85416666666666663</v>
      </c>
      <c r="I898" t="s">
        <v>31</v>
      </c>
      <c r="J898">
        <v>1</v>
      </c>
      <c r="L898" s="46"/>
      <c r="P898">
        <v>150</v>
      </c>
      <c r="Q898">
        <v>0</v>
      </c>
      <c r="R898">
        <v>0</v>
      </c>
      <c r="S898" s="7">
        <f>Tabla1[[#This Row],[TARIFA]]+Tabla1[[#This Row],[IMPORTE EXTRAS]]</f>
        <v>150</v>
      </c>
      <c r="T898" t="s">
        <v>45</v>
      </c>
      <c r="U898">
        <v>50</v>
      </c>
      <c r="V898">
        <v>100</v>
      </c>
      <c r="W898">
        <v>0</v>
      </c>
      <c r="X898" s="49">
        <v>0</v>
      </c>
      <c r="Y898" s="49"/>
      <c r="Z898" s="7">
        <f>SUM(Tabla1[[#This Row],[RES-A]:[EXTR-B]])</f>
        <v>150</v>
      </c>
      <c r="AA898" s="7">
        <f>Tabla1[[#This Row],[Columna1]]-Tabla1[[#This Row],[IMPORTE TOTAL]]</f>
        <v>0</v>
      </c>
    </row>
    <row r="899" spans="1:27" x14ac:dyDescent="0.2">
      <c r="A899">
        <v>2024</v>
      </c>
      <c r="B899" t="s">
        <v>62</v>
      </c>
      <c r="C899" s="51">
        <v>45511</v>
      </c>
      <c r="D899" s="3" t="s">
        <v>39</v>
      </c>
      <c r="E899" s="3" t="s">
        <v>46</v>
      </c>
      <c r="F899" s="3" t="s">
        <v>46</v>
      </c>
      <c r="G899" s="4">
        <v>0.64583333333333337</v>
      </c>
      <c r="H899" s="4">
        <v>0.85416666666666663</v>
      </c>
      <c r="I899" t="s">
        <v>31</v>
      </c>
      <c r="J899">
        <v>1</v>
      </c>
      <c r="L899" s="46"/>
      <c r="P899">
        <v>95</v>
      </c>
      <c r="Q899">
        <v>0</v>
      </c>
      <c r="R899">
        <v>0</v>
      </c>
      <c r="S899" s="7">
        <f>Tabla1[[#This Row],[TARIFA]]+Tabla1[[#This Row],[IMPORTE EXTRAS]]</f>
        <v>95</v>
      </c>
      <c r="T899" t="s">
        <v>45</v>
      </c>
      <c r="U899">
        <v>50</v>
      </c>
      <c r="V899">
        <v>45</v>
      </c>
      <c r="W899">
        <v>0</v>
      </c>
      <c r="X899" s="49">
        <v>0</v>
      </c>
      <c r="Y899" s="49"/>
      <c r="Z899" s="7">
        <f>SUM(Tabla1[[#This Row],[RES-A]:[EXTR-B]])</f>
        <v>95</v>
      </c>
      <c r="AA899" s="7">
        <f>Tabla1[[#This Row],[Columna1]]-Tabla1[[#This Row],[IMPORTE TOTAL]]</f>
        <v>0</v>
      </c>
    </row>
    <row r="900" spans="1:27" x14ac:dyDescent="0.2">
      <c r="A900">
        <v>2024</v>
      </c>
      <c r="B900" t="s">
        <v>62</v>
      </c>
      <c r="C900" s="51">
        <v>45514</v>
      </c>
      <c r="D900" s="3" t="s">
        <v>42</v>
      </c>
      <c r="E900" s="3" t="s">
        <v>46</v>
      </c>
      <c r="F900" s="3" t="s">
        <v>46</v>
      </c>
      <c r="G900" s="4">
        <v>0.39583333333333331</v>
      </c>
      <c r="H900" s="4">
        <v>0.10416666666666667</v>
      </c>
      <c r="I900" t="s">
        <v>32</v>
      </c>
      <c r="J900">
        <v>3</v>
      </c>
      <c r="L900" s="46"/>
      <c r="P900">
        <v>300</v>
      </c>
      <c r="Q900">
        <v>0</v>
      </c>
      <c r="R900">
        <v>0</v>
      </c>
      <c r="S900" s="7">
        <f>Tabla1[[#This Row],[TARIFA]]+Tabla1[[#This Row],[IMPORTE EXTRAS]]</f>
        <v>300</v>
      </c>
      <c r="T900" t="s">
        <v>45</v>
      </c>
      <c r="U900">
        <v>0</v>
      </c>
      <c r="V900">
        <v>300</v>
      </c>
      <c r="W900">
        <v>0</v>
      </c>
      <c r="X900" s="49">
        <v>0</v>
      </c>
      <c r="Y900" s="49" t="s">
        <v>444</v>
      </c>
      <c r="Z900" s="7">
        <f>SUM(Tabla1[[#This Row],[RES-A]:[EXTR-B]])</f>
        <v>300</v>
      </c>
      <c r="AA900" s="7">
        <f>Tabla1[[#This Row],[Columna1]]-Tabla1[[#This Row],[IMPORTE TOTAL]]</f>
        <v>0</v>
      </c>
    </row>
    <row r="901" spans="1:27" x14ac:dyDescent="0.2">
      <c r="A901">
        <v>2024</v>
      </c>
      <c r="B901" t="s">
        <v>62</v>
      </c>
      <c r="C901" s="51">
        <v>45520</v>
      </c>
      <c r="D901" s="3" t="s">
        <v>41</v>
      </c>
      <c r="E901" s="3" t="s">
        <v>46</v>
      </c>
      <c r="F901" s="3" t="s">
        <v>46</v>
      </c>
      <c r="G901" s="4">
        <v>0.89583333333333337</v>
      </c>
      <c r="H901" s="4">
        <v>0.10416666666666667</v>
      </c>
      <c r="I901" t="s">
        <v>35</v>
      </c>
      <c r="J901">
        <v>1</v>
      </c>
      <c r="L901" s="46"/>
      <c r="P901">
        <v>200</v>
      </c>
      <c r="Q901">
        <v>1</v>
      </c>
      <c r="R901">
        <v>60</v>
      </c>
      <c r="S901" s="7">
        <f>Tabla1[[#This Row],[TARIFA]]+Tabla1[[#This Row],[IMPORTE EXTRAS]]</f>
        <v>260</v>
      </c>
      <c r="T901" t="s">
        <v>45</v>
      </c>
      <c r="U901">
        <v>150</v>
      </c>
      <c r="V901">
        <v>50</v>
      </c>
      <c r="W901">
        <v>0</v>
      </c>
      <c r="X901" s="49">
        <v>60</v>
      </c>
      <c r="Y901" s="49"/>
      <c r="Z901" s="7">
        <f>SUM(Tabla1[[#This Row],[RES-A]:[EXTR-B]])</f>
        <v>260</v>
      </c>
      <c r="AA901" s="7">
        <f>Tabla1[[#This Row],[Columna1]]-Tabla1[[#This Row],[IMPORTE TOTAL]]</f>
        <v>0</v>
      </c>
    </row>
    <row r="902" spans="1:27" x14ac:dyDescent="0.2">
      <c r="A902">
        <v>2024</v>
      </c>
      <c r="B902" t="s">
        <v>62</v>
      </c>
      <c r="C902" s="51">
        <v>45521</v>
      </c>
      <c r="D902" s="3" t="s">
        <v>42</v>
      </c>
      <c r="E902" s="3" t="s">
        <v>46</v>
      </c>
      <c r="F902" s="3" t="s">
        <v>46</v>
      </c>
      <c r="G902" s="4">
        <v>0.89583333333333337</v>
      </c>
      <c r="H902" s="4">
        <v>0.10416666666666667</v>
      </c>
      <c r="I902" t="s">
        <v>35</v>
      </c>
      <c r="J902">
        <v>1</v>
      </c>
      <c r="L902" s="46"/>
      <c r="P902">
        <v>200</v>
      </c>
      <c r="Q902">
        <v>0</v>
      </c>
      <c r="R902">
        <v>0</v>
      </c>
      <c r="S902" s="7">
        <f>Tabla1[[#This Row],[TARIFA]]+Tabla1[[#This Row],[IMPORTE EXTRAS]]</f>
        <v>200</v>
      </c>
      <c r="T902" t="s">
        <v>45</v>
      </c>
      <c r="U902">
        <v>50</v>
      </c>
      <c r="V902">
        <v>150</v>
      </c>
      <c r="W902">
        <v>0</v>
      </c>
      <c r="X902" s="49">
        <v>0</v>
      </c>
      <c r="Y902" s="49"/>
      <c r="Z902" s="7">
        <f>SUM(Tabla1[[#This Row],[RES-A]:[EXTR-B]])</f>
        <v>200</v>
      </c>
      <c r="AA902" s="7">
        <f>Tabla1[[#This Row],[Columna1]]-Tabla1[[#This Row],[IMPORTE TOTAL]]</f>
        <v>0</v>
      </c>
    </row>
    <row r="903" spans="1:27" x14ac:dyDescent="0.2">
      <c r="A903">
        <v>2024</v>
      </c>
      <c r="B903" t="s">
        <v>62</v>
      </c>
      <c r="C903" s="51">
        <v>45527</v>
      </c>
      <c r="D903" s="3" t="s">
        <v>41</v>
      </c>
      <c r="E903" s="3" t="s">
        <v>46</v>
      </c>
      <c r="F903" s="3" t="s">
        <v>46</v>
      </c>
      <c r="G903" s="4">
        <v>0.64583333333333337</v>
      </c>
      <c r="H903" s="4">
        <v>0.85416666666666663</v>
      </c>
      <c r="I903" t="s">
        <v>31</v>
      </c>
      <c r="J903">
        <v>1</v>
      </c>
      <c r="L903" s="46"/>
      <c r="P903">
        <v>140</v>
      </c>
      <c r="Q903">
        <v>0</v>
      </c>
      <c r="R903">
        <v>0</v>
      </c>
      <c r="S903" s="7">
        <f>Tabla1[[#This Row],[TARIFA]]+Tabla1[[#This Row],[IMPORTE EXTRAS]]</f>
        <v>140</v>
      </c>
      <c r="T903" t="s">
        <v>45</v>
      </c>
      <c r="U903">
        <v>50</v>
      </c>
      <c r="V903">
        <v>90</v>
      </c>
      <c r="W903">
        <v>0</v>
      </c>
      <c r="X903" s="49">
        <v>0</v>
      </c>
      <c r="Y903" s="49" t="s">
        <v>543</v>
      </c>
      <c r="Z903" s="7">
        <f>SUM(Tabla1[[#This Row],[RES-A]:[EXTR-B]])</f>
        <v>140</v>
      </c>
      <c r="AA903" s="7">
        <f>Tabla1[[#This Row],[Columna1]]-Tabla1[[#This Row],[IMPORTE TOTAL]]</f>
        <v>0</v>
      </c>
    </row>
    <row r="904" spans="1:27" x14ac:dyDescent="0.2">
      <c r="A904">
        <v>2024</v>
      </c>
      <c r="B904" t="s">
        <v>62</v>
      </c>
      <c r="C904" s="51">
        <v>45528</v>
      </c>
      <c r="D904" s="3" t="s">
        <v>42</v>
      </c>
      <c r="E904" s="3" t="s">
        <v>46</v>
      </c>
      <c r="F904" s="3" t="s">
        <v>46</v>
      </c>
      <c r="G904" s="4">
        <v>0.64583333333333337</v>
      </c>
      <c r="H904" s="4">
        <v>0.85416666666666663</v>
      </c>
      <c r="I904" t="s">
        <v>31</v>
      </c>
      <c r="J904">
        <v>1</v>
      </c>
      <c r="L904" s="46"/>
      <c r="P904">
        <v>150</v>
      </c>
      <c r="Q904">
        <v>0</v>
      </c>
      <c r="R904">
        <v>0</v>
      </c>
      <c r="S904" s="7">
        <f>Tabla1[[#This Row],[TARIFA]]+Tabla1[[#This Row],[IMPORTE EXTRAS]]</f>
        <v>150</v>
      </c>
      <c r="T904" t="s">
        <v>45</v>
      </c>
      <c r="U904">
        <v>50</v>
      </c>
      <c r="V904">
        <v>100</v>
      </c>
      <c r="W904">
        <v>0</v>
      </c>
      <c r="X904" s="49">
        <v>0</v>
      </c>
      <c r="Y904" s="49"/>
      <c r="Z904" s="7">
        <f>SUM(Tabla1[[#This Row],[RES-A]:[EXTR-B]])</f>
        <v>150</v>
      </c>
      <c r="AA904" s="7">
        <f>Tabla1[[#This Row],[Columna1]]-Tabla1[[#This Row],[IMPORTE TOTAL]]</f>
        <v>0</v>
      </c>
    </row>
    <row r="905" spans="1:27" x14ac:dyDescent="0.2">
      <c r="A905">
        <v>2024</v>
      </c>
      <c r="B905" t="s">
        <v>62</v>
      </c>
      <c r="C905" s="51">
        <v>45529</v>
      </c>
      <c r="D905" s="3" t="s">
        <v>43</v>
      </c>
      <c r="E905" s="3" t="s">
        <v>46</v>
      </c>
      <c r="F905" s="3" t="s">
        <v>46</v>
      </c>
      <c r="G905" s="4">
        <v>0.64583333333333337</v>
      </c>
      <c r="H905" s="4">
        <v>0.85416666666666663</v>
      </c>
      <c r="I905" t="s">
        <v>31</v>
      </c>
      <c r="J905">
        <v>1</v>
      </c>
      <c r="L905" s="46"/>
      <c r="P905">
        <v>150</v>
      </c>
      <c r="Q905">
        <v>0</v>
      </c>
      <c r="R905">
        <v>0</v>
      </c>
      <c r="S905" s="7">
        <f>Tabla1[[#This Row],[TARIFA]]+Tabla1[[#This Row],[IMPORTE EXTRAS]]</f>
        <v>150</v>
      </c>
      <c r="T905" t="s">
        <v>45</v>
      </c>
      <c r="U905">
        <v>0</v>
      </c>
      <c r="V905">
        <v>150</v>
      </c>
      <c r="W905">
        <v>0</v>
      </c>
      <c r="X905" s="49">
        <v>0</v>
      </c>
      <c r="Y905" s="49"/>
      <c r="Z905" s="7">
        <f>SUM(Tabla1[[#This Row],[RES-A]:[EXTR-B]])</f>
        <v>150</v>
      </c>
      <c r="AA905" s="7">
        <f>Tabla1[[#This Row],[Columna1]]-Tabla1[[#This Row],[IMPORTE TOTAL]]</f>
        <v>0</v>
      </c>
    </row>
    <row r="906" spans="1:27" x14ac:dyDescent="0.2">
      <c r="A906">
        <v>2024</v>
      </c>
      <c r="B906" t="s">
        <v>62</v>
      </c>
      <c r="C906" s="51">
        <v>45530</v>
      </c>
      <c r="D906" s="3" t="s">
        <v>37</v>
      </c>
      <c r="E906" s="3" t="s">
        <v>46</v>
      </c>
      <c r="F906" s="3" t="s">
        <v>46</v>
      </c>
      <c r="G906" s="4">
        <v>0.64583333333333337</v>
      </c>
      <c r="H906" s="4">
        <v>0.85416666666666663</v>
      </c>
      <c r="I906" t="s">
        <v>31</v>
      </c>
      <c r="J906">
        <v>1</v>
      </c>
      <c r="L906" s="46"/>
      <c r="P906">
        <v>95</v>
      </c>
      <c r="Q906">
        <v>1</v>
      </c>
      <c r="R906">
        <v>20</v>
      </c>
      <c r="S906" s="7">
        <f>Tabla1[[#This Row],[TARIFA]]+Tabla1[[#This Row],[IMPORTE EXTRAS]]</f>
        <v>115</v>
      </c>
      <c r="T906" t="s">
        <v>45</v>
      </c>
      <c r="U906">
        <v>50</v>
      </c>
      <c r="V906">
        <v>45</v>
      </c>
      <c r="W906">
        <v>0</v>
      </c>
      <c r="X906" s="49">
        <v>20</v>
      </c>
      <c r="Y906" s="49"/>
      <c r="Z906" s="7">
        <f>SUM(Tabla1[[#This Row],[RES-A]:[EXTR-B]])</f>
        <v>115</v>
      </c>
      <c r="AA906" s="7">
        <f>Tabla1[[#This Row],[Columna1]]-Tabla1[[#This Row],[IMPORTE TOTAL]]</f>
        <v>0</v>
      </c>
    </row>
    <row r="907" spans="1:27" x14ac:dyDescent="0.2">
      <c r="A907">
        <v>2024</v>
      </c>
      <c r="B907" t="s">
        <v>62</v>
      </c>
      <c r="C907" s="51">
        <v>45534</v>
      </c>
      <c r="D907" s="3" t="s">
        <v>41</v>
      </c>
      <c r="E907" s="3" t="s">
        <v>46</v>
      </c>
      <c r="F907" s="3" t="s">
        <v>46</v>
      </c>
      <c r="G907" s="4">
        <v>0.89583333333333337</v>
      </c>
      <c r="H907" s="4">
        <v>0.10416666666666667</v>
      </c>
      <c r="I907" t="s">
        <v>35</v>
      </c>
      <c r="J907">
        <v>1</v>
      </c>
      <c r="L907" s="46"/>
      <c r="P907">
        <v>200</v>
      </c>
      <c r="Q907">
        <v>0</v>
      </c>
      <c r="R907">
        <v>0</v>
      </c>
      <c r="S907" s="7">
        <f>Tabla1[[#This Row],[TARIFA]]+Tabla1[[#This Row],[IMPORTE EXTRAS]]</f>
        <v>200</v>
      </c>
      <c r="T907" t="s">
        <v>45</v>
      </c>
      <c r="U907">
        <v>50</v>
      </c>
      <c r="V907">
        <v>150</v>
      </c>
      <c r="W907">
        <v>0</v>
      </c>
      <c r="X907" s="49">
        <v>0</v>
      </c>
      <c r="Y907" s="49"/>
      <c r="Z907" s="7">
        <f>SUM(Tabla1[[#This Row],[RES-A]:[EXTR-B]])</f>
        <v>200</v>
      </c>
      <c r="AA907" s="7">
        <f>Tabla1[[#This Row],[Columna1]]-Tabla1[[#This Row],[IMPORTE TOTAL]]</f>
        <v>0</v>
      </c>
    </row>
    <row r="908" spans="1:27" x14ac:dyDescent="0.2">
      <c r="A908">
        <v>2024</v>
      </c>
      <c r="B908" t="s">
        <v>62</v>
      </c>
      <c r="C908" s="51">
        <v>45535</v>
      </c>
      <c r="D908" s="3" t="s">
        <v>42</v>
      </c>
      <c r="E908" s="3" t="s">
        <v>46</v>
      </c>
      <c r="F908" s="3" t="s">
        <v>46</v>
      </c>
      <c r="G908" s="4">
        <v>0.39583333333333331</v>
      </c>
      <c r="H908" s="4">
        <v>0.85416666666666663</v>
      </c>
      <c r="I908" t="s">
        <v>32</v>
      </c>
      <c r="J908">
        <v>2</v>
      </c>
      <c r="L908" s="46"/>
      <c r="P908">
        <v>300</v>
      </c>
      <c r="Q908">
        <v>0</v>
      </c>
      <c r="R908">
        <v>0</v>
      </c>
      <c r="S908" s="7">
        <f>Tabla1[[#This Row],[TARIFA]]+Tabla1[[#This Row],[IMPORTE EXTRAS]]</f>
        <v>300</v>
      </c>
      <c r="T908" t="s">
        <v>45</v>
      </c>
      <c r="U908">
        <v>50</v>
      </c>
      <c r="V908">
        <v>250</v>
      </c>
      <c r="W908">
        <v>0</v>
      </c>
      <c r="X908" s="49">
        <v>0</v>
      </c>
      <c r="Y908" s="49"/>
      <c r="Z908" s="7">
        <f>SUM(Tabla1[[#This Row],[RES-A]:[EXTR-B]])</f>
        <v>300</v>
      </c>
      <c r="AA908" s="7">
        <f>Tabla1[[#This Row],[Columna1]]-Tabla1[[#This Row],[IMPORTE TOTAL]]</f>
        <v>0</v>
      </c>
    </row>
    <row r="909" spans="1:27" x14ac:dyDescent="0.2">
      <c r="A909">
        <v>2024</v>
      </c>
      <c r="B909" t="s">
        <v>62</v>
      </c>
      <c r="C909" s="51">
        <v>45535</v>
      </c>
      <c r="D909" s="3" t="s">
        <v>42</v>
      </c>
      <c r="E909" s="3" t="s">
        <v>46</v>
      </c>
      <c r="F909" s="3" t="s">
        <v>46</v>
      </c>
      <c r="G909" s="4">
        <v>0.89583333333333337</v>
      </c>
      <c r="H909" s="4">
        <v>0.10416666666666667</v>
      </c>
      <c r="I909" t="s">
        <v>35</v>
      </c>
      <c r="J909">
        <v>1</v>
      </c>
      <c r="L909" s="46"/>
      <c r="P909">
        <v>200</v>
      </c>
      <c r="Q909">
        <v>0</v>
      </c>
      <c r="R909">
        <v>0</v>
      </c>
      <c r="S909" s="7">
        <f>Tabla1[[#This Row],[TARIFA]]+Tabla1[[#This Row],[IMPORTE EXTRAS]]</f>
        <v>200</v>
      </c>
      <c r="T909" t="s">
        <v>45</v>
      </c>
      <c r="U909">
        <v>50</v>
      </c>
      <c r="V909">
        <v>150</v>
      </c>
      <c r="W909">
        <v>0</v>
      </c>
      <c r="X909" s="49">
        <v>0</v>
      </c>
      <c r="Y909" s="49"/>
      <c r="Z909" s="7">
        <f>SUM(Tabla1[[#This Row],[RES-A]:[EXTR-B]])</f>
        <v>200</v>
      </c>
      <c r="AA909" s="7">
        <f>Tabla1[[#This Row],[Columna1]]-Tabla1[[#This Row],[IMPORTE TOTAL]]</f>
        <v>0</v>
      </c>
    </row>
    <row r="910" spans="1:27" x14ac:dyDescent="0.2">
      <c r="A910">
        <v>2024</v>
      </c>
      <c r="B910" t="s">
        <v>236</v>
      </c>
      <c r="C910" s="51">
        <v>45536</v>
      </c>
      <c r="D910" s="3" t="s">
        <v>43</v>
      </c>
      <c r="E910" s="3" t="s">
        <v>46</v>
      </c>
      <c r="F910" s="3" t="s">
        <v>46</v>
      </c>
      <c r="G910" s="4">
        <v>0.64583333333333337</v>
      </c>
      <c r="H910" s="4">
        <v>0.85416666666666663</v>
      </c>
      <c r="I910" t="s">
        <v>31</v>
      </c>
      <c r="J910">
        <v>1</v>
      </c>
      <c r="L910" s="46"/>
      <c r="P910">
        <v>150</v>
      </c>
      <c r="Q910">
        <v>0</v>
      </c>
      <c r="R910">
        <v>0</v>
      </c>
      <c r="S910" s="7">
        <f>Tabla1[[#This Row],[TARIFA]]+Tabla1[[#This Row],[IMPORTE EXTRAS]]</f>
        <v>150</v>
      </c>
      <c r="T910" t="s">
        <v>45</v>
      </c>
      <c r="U910">
        <v>150</v>
      </c>
      <c r="V910">
        <v>0</v>
      </c>
      <c r="W910">
        <v>0</v>
      </c>
      <c r="X910" s="49">
        <v>0</v>
      </c>
      <c r="Y910" s="49"/>
      <c r="Z910" s="7">
        <f>SUM(Tabla1[[#This Row],[RES-A]:[EXTR-B]])</f>
        <v>150</v>
      </c>
      <c r="AA910" s="7">
        <f>Tabla1[[#This Row],[Columna1]]-Tabla1[[#This Row],[IMPORTE TOTAL]]</f>
        <v>0</v>
      </c>
    </row>
    <row r="911" spans="1:27" x14ac:dyDescent="0.2">
      <c r="A911">
        <v>2024</v>
      </c>
      <c r="B911" t="s">
        <v>236</v>
      </c>
      <c r="C911" s="51">
        <v>45539</v>
      </c>
      <c r="D911" s="3" t="s">
        <v>39</v>
      </c>
      <c r="E911" s="3" t="s">
        <v>46</v>
      </c>
      <c r="F911" s="3" t="s">
        <v>46</v>
      </c>
      <c r="G911" s="4">
        <v>0.64583333333333337</v>
      </c>
      <c r="H911" s="4">
        <v>0.85416666666666663</v>
      </c>
      <c r="I911" t="s">
        <v>31</v>
      </c>
      <c r="J911">
        <v>1</v>
      </c>
      <c r="L911" s="46"/>
      <c r="P911">
        <v>95</v>
      </c>
      <c r="Q911">
        <v>0</v>
      </c>
      <c r="R911">
        <v>0</v>
      </c>
      <c r="S911" s="7">
        <f>Tabla1[[#This Row],[TARIFA]]+Tabla1[[#This Row],[IMPORTE EXTRAS]]</f>
        <v>95</v>
      </c>
      <c r="T911" t="s">
        <v>45</v>
      </c>
      <c r="U911">
        <v>95</v>
      </c>
      <c r="V911">
        <v>0</v>
      </c>
      <c r="W911">
        <v>0</v>
      </c>
      <c r="X911" s="49">
        <v>0</v>
      </c>
      <c r="Y911" s="49"/>
      <c r="Z911" s="7">
        <f>SUM(Tabla1[[#This Row],[RES-A]:[EXTR-B]])</f>
        <v>95</v>
      </c>
      <c r="AA911" s="7">
        <f>Tabla1[[#This Row],[Columna1]]-Tabla1[[#This Row],[IMPORTE TOTAL]]</f>
        <v>0</v>
      </c>
    </row>
    <row r="912" spans="1:27" x14ac:dyDescent="0.2">
      <c r="A912">
        <v>2024</v>
      </c>
      <c r="B912" t="s">
        <v>236</v>
      </c>
      <c r="C912" s="51">
        <v>45542</v>
      </c>
      <c r="D912" s="3" t="s">
        <v>42</v>
      </c>
      <c r="E912" s="3" t="s">
        <v>46</v>
      </c>
      <c r="F912" s="3" t="s">
        <v>46</v>
      </c>
      <c r="G912" s="4">
        <v>0.39583333333333331</v>
      </c>
      <c r="H912" s="4">
        <v>0.60416666666666663</v>
      </c>
      <c r="I912" t="s">
        <v>30</v>
      </c>
      <c r="J912">
        <v>1</v>
      </c>
      <c r="L912" s="46"/>
      <c r="P912">
        <v>150</v>
      </c>
      <c r="Q912">
        <v>0</v>
      </c>
      <c r="R912">
        <v>0</v>
      </c>
      <c r="S912" s="7">
        <f>Tabla1[[#This Row],[TARIFA]]+Tabla1[[#This Row],[IMPORTE EXTRAS]]</f>
        <v>150</v>
      </c>
      <c r="T912" t="s">
        <v>45</v>
      </c>
      <c r="U912">
        <v>50</v>
      </c>
      <c r="V912">
        <v>100</v>
      </c>
      <c r="W912">
        <v>0</v>
      </c>
      <c r="X912" s="49">
        <v>0</v>
      </c>
      <c r="Y912" s="49"/>
      <c r="Z912" s="7">
        <f>SUM(Tabla1[[#This Row],[RES-A]:[EXTR-B]])</f>
        <v>150</v>
      </c>
      <c r="AA912" s="7">
        <f>Tabla1[[#This Row],[Columna1]]-Tabla1[[#This Row],[IMPORTE TOTAL]]</f>
        <v>0</v>
      </c>
    </row>
    <row r="913" spans="1:27" x14ac:dyDescent="0.2">
      <c r="A913">
        <v>2024</v>
      </c>
      <c r="B913" t="s">
        <v>236</v>
      </c>
      <c r="C913" s="51">
        <v>45542</v>
      </c>
      <c r="D913" s="3" t="s">
        <v>42</v>
      </c>
      <c r="E913" s="3" t="s">
        <v>46</v>
      </c>
      <c r="F913" s="3" t="s">
        <v>46</v>
      </c>
      <c r="G913" s="4">
        <v>0.64583333333333337</v>
      </c>
      <c r="H913" s="4">
        <v>0.85416666666666663</v>
      </c>
      <c r="I913" t="s">
        <v>31</v>
      </c>
      <c r="J913">
        <v>1</v>
      </c>
      <c r="L913" s="46"/>
      <c r="P913">
        <v>150</v>
      </c>
      <c r="Q913">
        <v>0</v>
      </c>
      <c r="R913">
        <v>0</v>
      </c>
      <c r="S913" s="7">
        <f>Tabla1[[#This Row],[TARIFA]]+Tabla1[[#This Row],[IMPORTE EXTRAS]]</f>
        <v>150</v>
      </c>
      <c r="T913" t="s">
        <v>45</v>
      </c>
      <c r="U913">
        <v>50</v>
      </c>
      <c r="V913">
        <v>100</v>
      </c>
      <c r="W913">
        <v>0</v>
      </c>
      <c r="X913" s="49">
        <v>0</v>
      </c>
      <c r="Y913" s="49"/>
      <c r="Z913" s="7">
        <f>SUM(Tabla1[[#This Row],[RES-A]:[EXTR-B]])</f>
        <v>150</v>
      </c>
      <c r="AA913" s="7">
        <f>Tabla1[[#This Row],[Columna1]]-Tabla1[[#This Row],[IMPORTE TOTAL]]</f>
        <v>0</v>
      </c>
    </row>
    <row r="914" spans="1:27" x14ac:dyDescent="0.2">
      <c r="A914">
        <v>2024</v>
      </c>
      <c r="B914" t="s">
        <v>236</v>
      </c>
      <c r="C914" s="51">
        <v>45542</v>
      </c>
      <c r="D914" s="3" t="s">
        <v>42</v>
      </c>
      <c r="E914" s="3" t="s">
        <v>46</v>
      </c>
      <c r="F914" s="3" t="s">
        <v>46</v>
      </c>
      <c r="G914" s="4">
        <v>0.89583333333333337</v>
      </c>
      <c r="H914" s="4">
        <v>0.10416666666666667</v>
      </c>
      <c r="I914" t="s">
        <v>35</v>
      </c>
      <c r="J914">
        <v>1</v>
      </c>
      <c r="L914" s="46"/>
      <c r="P914">
        <v>200</v>
      </c>
      <c r="Q914">
        <v>0</v>
      </c>
      <c r="R914">
        <v>0</v>
      </c>
      <c r="S914" s="7">
        <f>Tabla1[[#This Row],[TARIFA]]+Tabla1[[#This Row],[IMPORTE EXTRAS]]</f>
        <v>200</v>
      </c>
      <c r="T914" t="s">
        <v>45</v>
      </c>
      <c r="U914">
        <v>200</v>
      </c>
      <c r="V914">
        <v>0</v>
      </c>
      <c r="W914">
        <v>0</v>
      </c>
      <c r="X914" s="49">
        <v>0</v>
      </c>
      <c r="Y914" s="49"/>
      <c r="Z914" s="7">
        <f>SUM(Tabla1[[#This Row],[RES-A]:[EXTR-B]])</f>
        <v>200</v>
      </c>
      <c r="AA914" s="7">
        <f>Tabla1[[#This Row],[Columna1]]-Tabla1[[#This Row],[IMPORTE TOTAL]]</f>
        <v>0</v>
      </c>
    </row>
    <row r="915" spans="1:27" x14ac:dyDescent="0.2">
      <c r="A915">
        <v>2024</v>
      </c>
      <c r="B915" t="s">
        <v>236</v>
      </c>
      <c r="C915" s="51">
        <v>45543</v>
      </c>
      <c r="D915" s="3" t="s">
        <v>43</v>
      </c>
      <c r="E915" s="3" t="s">
        <v>46</v>
      </c>
      <c r="F915" s="3" t="s">
        <v>46</v>
      </c>
      <c r="G915" s="4">
        <v>0.39583333333333331</v>
      </c>
      <c r="H915" s="4">
        <v>0.60416666666666663</v>
      </c>
      <c r="I915" t="s">
        <v>30</v>
      </c>
      <c r="J915">
        <v>1</v>
      </c>
      <c r="L915" s="46"/>
      <c r="P915">
        <v>150</v>
      </c>
      <c r="Q915">
        <v>0</v>
      </c>
      <c r="R915">
        <v>0</v>
      </c>
      <c r="S915" s="7">
        <f>Tabla1[[#This Row],[TARIFA]]+Tabla1[[#This Row],[IMPORTE EXTRAS]]</f>
        <v>150</v>
      </c>
      <c r="T915" t="s">
        <v>45</v>
      </c>
      <c r="U915">
        <v>50</v>
      </c>
      <c r="V915">
        <v>100</v>
      </c>
      <c r="W915">
        <v>0</v>
      </c>
      <c r="X915" s="49">
        <v>0</v>
      </c>
      <c r="Y915" s="49"/>
      <c r="Z915" s="7">
        <f>SUM(Tabla1[[#This Row],[RES-A]:[EXTR-B]])</f>
        <v>150</v>
      </c>
      <c r="AA915" s="7">
        <f>Tabla1[[#This Row],[Columna1]]-Tabla1[[#This Row],[IMPORTE TOTAL]]</f>
        <v>0</v>
      </c>
    </row>
    <row r="916" spans="1:27" x14ac:dyDescent="0.2">
      <c r="A916">
        <v>2024</v>
      </c>
      <c r="B916" t="s">
        <v>236</v>
      </c>
      <c r="C916" s="51">
        <v>45545</v>
      </c>
      <c r="D916" s="3" t="s">
        <v>38</v>
      </c>
      <c r="E916" s="3" t="s">
        <v>46</v>
      </c>
      <c r="F916" s="3" t="s">
        <v>46</v>
      </c>
      <c r="G916" s="4">
        <v>0.89583333333333337</v>
      </c>
      <c r="H916" s="4">
        <v>0.10416666666666667</v>
      </c>
      <c r="I916" t="s">
        <v>35</v>
      </c>
      <c r="J916">
        <v>1</v>
      </c>
      <c r="L916" s="46"/>
      <c r="P916">
        <v>200</v>
      </c>
      <c r="Q916">
        <v>1</v>
      </c>
      <c r="R916">
        <v>60</v>
      </c>
      <c r="S916" s="7">
        <f>Tabla1[[#This Row],[TARIFA]]+Tabla1[[#This Row],[IMPORTE EXTRAS]]</f>
        <v>260</v>
      </c>
      <c r="T916" t="s">
        <v>45</v>
      </c>
      <c r="U916">
        <v>200</v>
      </c>
      <c r="V916">
        <v>0</v>
      </c>
      <c r="W916">
        <v>60</v>
      </c>
      <c r="X916" s="49">
        <v>0</v>
      </c>
      <c r="Y916" s="49"/>
      <c r="Z916" s="7">
        <f>SUM(Tabla1[[#This Row],[RES-A]:[EXTR-B]])</f>
        <v>260</v>
      </c>
      <c r="AA916" s="7">
        <f>Tabla1[[#This Row],[Columna1]]-Tabla1[[#This Row],[IMPORTE TOTAL]]</f>
        <v>0</v>
      </c>
    </row>
    <row r="917" spans="1:27" x14ac:dyDescent="0.2">
      <c r="A917">
        <v>2024</v>
      </c>
      <c r="B917" t="s">
        <v>236</v>
      </c>
      <c r="C917" s="51">
        <v>45546</v>
      </c>
      <c r="D917" s="3" t="s">
        <v>39</v>
      </c>
      <c r="E917" s="3" t="s">
        <v>46</v>
      </c>
      <c r="F917" s="3" t="s">
        <v>46</v>
      </c>
      <c r="G917" s="4">
        <v>0.39583333333333331</v>
      </c>
      <c r="H917" s="4">
        <v>0.85416666666666663</v>
      </c>
      <c r="I917" t="s">
        <v>32</v>
      </c>
      <c r="J917">
        <v>2</v>
      </c>
      <c r="L917" s="46"/>
      <c r="P917">
        <v>290</v>
      </c>
      <c r="Q917">
        <v>0</v>
      </c>
      <c r="R917">
        <v>0</v>
      </c>
      <c r="S917" s="7">
        <f>Tabla1[[#This Row],[TARIFA]]+Tabla1[[#This Row],[IMPORTE EXTRAS]]</f>
        <v>290</v>
      </c>
      <c r="T917" t="s">
        <v>45</v>
      </c>
      <c r="U917">
        <v>290</v>
      </c>
      <c r="V917">
        <v>0</v>
      </c>
      <c r="W917">
        <v>0</v>
      </c>
      <c r="X917" s="49">
        <v>0</v>
      </c>
      <c r="Y917" s="49"/>
      <c r="Z917" s="7">
        <f>SUM(Tabla1[[#This Row],[RES-A]:[EXTR-B]])</f>
        <v>290</v>
      </c>
      <c r="AA917" s="7">
        <f>Tabla1[[#This Row],[Columna1]]-Tabla1[[#This Row],[IMPORTE TOTAL]]</f>
        <v>0</v>
      </c>
    </row>
    <row r="918" spans="1:27" x14ac:dyDescent="0.2">
      <c r="A918">
        <v>2024</v>
      </c>
      <c r="B918" t="s">
        <v>236</v>
      </c>
      <c r="C918" s="51">
        <v>45548</v>
      </c>
      <c r="D918" s="3" t="s">
        <v>41</v>
      </c>
      <c r="E918" s="3" t="s">
        <v>46</v>
      </c>
      <c r="F918" s="3" t="s">
        <v>46</v>
      </c>
      <c r="G918" s="4">
        <v>0.64583333333333337</v>
      </c>
      <c r="H918" s="4">
        <v>0.10416666666666667</v>
      </c>
      <c r="I918" t="s">
        <v>53</v>
      </c>
      <c r="J918">
        <v>2</v>
      </c>
      <c r="L918" s="46"/>
      <c r="P918">
        <v>300</v>
      </c>
      <c r="Q918">
        <v>0</v>
      </c>
      <c r="R918">
        <v>0</v>
      </c>
      <c r="S918" s="7">
        <f>Tabla1[[#This Row],[TARIFA]]+Tabla1[[#This Row],[IMPORTE EXTRAS]]</f>
        <v>300</v>
      </c>
      <c r="T918" t="s">
        <v>45</v>
      </c>
      <c r="U918">
        <v>50</v>
      </c>
      <c r="V918">
        <v>0</v>
      </c>
      <c r="W918">
        <v>250</v>
      </c>
      <c r="X918" s="49">
        <v>0</v>
      </c>
      <c r="Y918" s="49" t="s">
        <v>560</v>
      </c>
      <c r="Z918" s="7">
        <f>SUM(Tabla1[[#This Row],[RES-A]:[EXTR-B]])</f>
        <v>300</v>
      </c>
      <c r="AA918" s="7">
        <f>Tabla1[[#This Row],[Columna1]]-Tabla1[[#This Row],[IMPORTE TOTAL]]</f>
        <v>0</v>
      </c>
    </row>
    <row r="919" spans="1:27" x14ac:dyDescent="0.2">
      <c r="A919">
        <v>2024</v>
      </c>
      <c r="B919" t="s">
        <v>236</v>
      </c>
      <c r="C919" s="51">
        <v>45549</v>
      </c>
      <c r="D919" s="3" t="s">
        <v>42</v>
      </c>
      <c r="E919" s="3" t="s">
        <v>46</v>
      </c>
      <c r="F919" s="3" t="s">
        <v>46</v>
      </c>
      <c r="G919" s="4">
        <v>0.64583333333333337</v>
      </c>
      <c r="H919" s="4">
        <v>0.85416666666666663</v>
      </c>
      <c r="I919" t="s">
        <v>31</v>
      </c>
      <c r="J919">
        <v>1</v>
      </c>
      <c r="L919" s="46"/>
      <c r="P919">
        <v>150</v>
      </c>
      <c r="Q919">
        <v>0</v>
      </c>
      <c r="R919">
        <v>0</v>
      </c>
      <c r="S919" s="7">
        <f>Tabla1[[#This Row],[TARIFA]]+Tabla1[[#This Row],[IMPORTE EXTRAS]]</f>
        <v>150</v>
      </c>
      <c r="T919" t="s">
        <v>45</v>
      </c>
      <c r="U919">
        <v>50</v>
      </c>
      <c r="V919">
        <v>100</v>
      </c>
      <c r="W919">
        <v>0</v>
      </c>
      <c r="X919" s="49">
        <v>0</v>
      </c>
      <c r="Y919" s="49"/>
      <c r="Z919" s="7">
        <f>SUM(Tabla1[[#This Row],[RES-A]:[EXTR-B]])</f>
        <v>150</v>
      </c>
      <c r="AA919" s="7">
        <f>Tabla1[[#This Row],[Columna1]]-Tabla1[[#This Row],[IMPORTE TOTAL]]</f>
        <v>0</v>
      </c>
    </row>
    <row r="920" spans="1:27" x14ac:dyDescent="0.2">
      <c r="A920">
        <v>2024</v>
      </c>
      <c r="B920" t="s">
        <v>236</v>
      </c>
      <c r="C920" s="51">
        <v>45549</v>
      </c>
      <c r="D920" s="3" t="s">
        <v>42</v>
      </c>
      <c r="E920" s="3" t="s">
        <v>46</v>
      </c>
      <c r="F920" s="3" t="s">
        <v>46</v>
      </c>
      <c r="G920" s="4">
        <v>0.89583333333333337</v>
      </c>
      <c r="H920" s="4">
        <v>0.10416666666666667</v>
      </c>
      <c r="I920" t="s">
        <v>35</v>
      </c>
      <c r="J920">
        <v>1</v>
      </c>
      <c r="L920" s="46"/>
      <c r="P920">
        <v>200</v>
      </c>
      <c r="Q920">
        <v>0</v>
      </c>
      <c r="R920">
        <v>0</v>
      </c>
      <c r="S920" s="7">
        <f>Tabla1[[#This Row],[TARIFA]]+Tabla1[[#This Row],[IMPORTE EXTRAS]]</f>
        <v>200</v>
      </c>
      <c r="T920" t="s">
        <v>45</v>
      </c>
      <c r="U920">
        <v>50</v>
      </c>
      <c r="V920">
        <v>150</v>
      </c>
      <c r="W920">
        <v>0</v>
      </c>
      <c r="X920" s="49">
        <v>0</v>
      </c>
      <c r="Y920" s="49"/>
      <c r="Z920" s="7">
        <f>SUM(Tabla1[[#This Row],[RES-A]:[EXTR-B]])</f>
        <v>200</v>
      </c>
      <c r="AA920" s="7">
        <f>Tabla1[[#This Row],[Columna1]]-Tabla1[[#This Row],[IMPORTE TOTAL]]</f>
        <v>0</v>
      </c>
    </row>
    <row r="921" spans="1:27" x14ac:dyDescent="0.2">
      <c r="A921">
        <v>2024</v>
      </c>
      <c r="B921" t="s">
        <v>236</v>
      </c>
      <c r="C921" s="51">
        <v>45550</v>
      </c>
      <c r="D921" s="3" t="s">
        <v>43</v>
      </c>
      <c r="E921" s="3" t="s">
        <v>46</v>
      </c>
      <c r="F921" s="3" t="s">
        <v>46</v>
      </c>
      <c r="G921" s="4">
        <v>0.39583333333333331</v>
      </c>
      <c r="H921" s="4">
        <v>0.60416666666666663</v>
      </c>
      <c r="I921" t="s">
        <v>30</v>
      </c>
      <c r="J921">
        <v>1</v>
      </c>
      <c r="L921" s="46"/>
      <c r="P921">
        <v>150</v>
      </c>
      <c r="Q921">
        <v>0</v>
      </c>
      <c r="R921">
        <v>0</v>
      </c>
      <c r="S921" s="7">
        <f>Tabla1[[#This Row],[TARIFA]]+Tabla1[[#This Row],[IMPORTE EXTRAS]]</f>
        <v>150</v>
      </c>
      <c r="T921" t="s">
        <v>45</v>
      </c>
      <c r="U921">
        <v>50</v>
      </c>
      <c r="V921">
        <v>100</v>
      </c>
      <c r="W921">
        <v>0</v>
      </c>
      <c r="X921" s="49">
        <v>0</v>
      </c>
      <c r="Y921" s="49"/>
      <c r="Z921" s="7">
        <f>SUM(Tabla1[[#This Row],[RES-A]:[EXTR-B]])</f>
        <v>150</v>
      </c>
      <c r="AA921" s="7">
        <f>Tabla1[[#This Row],[Columna1]]-Tabla1[[#This Row],[IMPORTE TOTAL]]</f>
        <v>0</v>
      </c>
    </row>
    <row r="922" spans="1:27" x14ac:dyDescent="0.2">
      <c r="A922">
        <v>2024</v>
      </c>
      <c r="B922" t="s">
        <v>236</v>
      </c>
      <c r="C922" s="51">
        <v>45556</v>
      </c>
      <c r="D922" s="3" t="s">
        <v>42</v>
      </c>
      <c r="E922" s="3" t="s">
        <v>46</v>
      </c>
      <c r="F922" s="3" t="s">
        <v>46</v>
      </c>
      <c r="G922" s="4">
        <v>0.39583333333333331</v>
      </c>
      <c r="H922" s="4">
        <v>0.60416666666666663</v>
      </c>
      <c r="I922" t="s">
        <v>30</v>
      </c>
      <c r="J922">
        <v>1</v>
      </c>
      <c r="L922" s="46"/>
      <c r="P922">
        <v>150</v>
      </c>
      <c r="Q922">
        <v>0</v>
      </c>
      <c r="R922">
        <v>0</v>
      </c>
      <c r="S922" s="7">
        <f>Tabla1[[#This Row],[TARIFA]]+Tabla1[[#This Row],[IMPORTE EXTRAS]]</f>
        <v>150</v>
      </c>
      <c r="T922" t="s">
        <v>45</v>
      </c>
      <c r="U922">
        <v>50</v>
      </c>
      <c r="V922">
        <v>100</v>
      </c>
      <c r="W922">
        <v>0</v>
      </c>
      <c r="X922" s="49">
        <v>0</v>
      </c>
      <c r="Y922" s="49"/>
      <c r="Z922" s="7">
        <f>SUM(Tabla1[[#This Row],[RES-A]:[EXTR-B]])</f>
        <v>150</v>
      </c>
      <c r="AA922" s="7">
        <f>Tabla1[[#This Row],[Columna1]]-Tabla1[[#This Row],[IMPORTE TOTAL]]</f>
        <v>0</v>
      </c>
    </row>
    <row r="923" spans="1:27" x14ac:dyDescent="0.2">
      <c r="A923">
        <v>2024</v>
      </c>
      <c r="B923" t="s">
        <v>236</v>
      </c>
      <c r="C923" s="51">
        <v>45556</v>
      </c>
      <c r="D923" s="3" t="s">
        <v>42</v>
      </c>
      <c r="E923" s="3" t="s">
        <v>46</v>
      </c>
      <c r="F923" s="3" t="s">
        <v>46</v>
      </c>
      <c r="G923" s="4">
        <v>0.64583333333333337</v>
      </c>
      <c r="H923" s="4">
        <v>0.85416666666666663</v>
      </c>
      <c r="I923" t="s">
        <v>31</v>
      </c>
      <c r="J923">
        <v>1</v>
      </c>
      <c r="L923" s="46"/>
      <c r="P923">
        <v>150</v>
      </c>
      <c r="Q923">
        <v>0</v>
      </c>
      <c r="R923">
        <v>0</v>
      </c>
      <c r="S923" s="7">
        <f>Tabla1[[#This Row],[TARIFA]]+Tabla1[[#This Row],[IMPORTE EXTRAS]]</f>
        <v>150</v>
      </c>
      <c r="T923" t="s">
        <v>45</v>
      </c>
      <c r="U923">
        <v>50</v>
      </c>
      <c r="V923">
        <v>100</v>
      </c>
      <c r="W923">
        <v>0</v>
      </c>
      <c r="X923" s="49">
        <v>0</v>
      </c>
      <c r="Y923" s="49"/>
      <c r="Z923" s="7">
        <f>SUM(Tabla1[[#This Row],[RES-A]:[EXTR-B]])</f>
        <v>150</v>
      </c>
      <c r="AA923" s="7">
        <f>Tabla1[[#This Row],[Columna1]]-Tabla1[[#This Row],[IMPORTE TOTAL]]</f>
        <v>0</v>
      </c>
    </row>
    <row r="924" spans="1:27" x14ac:dyDescent="0.2">
      <c r="A924">
        <v>2024</v>
      </c>
      <c r="B924" t="s">
        <v>236</v>
      </c>
      <c r="C924" s="51">
        <v>45556</v>
      </c>
      <c r="D924" s="3" t="s">
        <v>42</v>
      </c>
      <c r="E924" s="3" t="s">
        <v>46</v>
      </c>
      <c r="F924" s="3" t="s">
        <v>46</v>
      </c>
      <c r="G924" s="4">
        <v>0.89583333333333337</v>
      </c>
      <c r="H924" s="4">
        <v>0.10416666666666667</v>
      </c>
      <c r="I924" t="s">
        <v>35</v>
      </c>
      <c r="J924">
        <v>1</v>
      </c>
      <c r="L924" s="46"/>
      <c r="P924">
        <v>200</v>
      </c>
      <c r="Q924">
        <v>1</v>
      </c>
      <c r="R924">
        <v>60</v>
      </c>
      <c r="S924" s="7">
        <f>Tabla1[[#This Row],[TARIFA]]+Tabla1[[#This Row],[IMPORTE EXTRAS]]</f>
        <v>260</v>
      </c>
      <c r="T924" t="s">
        <v>45</v>
      </c>
      <c r="U924">
        <v>200</v>
      </c>
      <c r="V924">
        <v>0</v>
      </c>
      <c r="W924">
        <v>60</v>
      </c>
      <c r="X924" s="49">
        <v>0</v>
      </c>
      <c r="Y924" s="49"/>
      <c r="Z924" s="7">
        <f>SUM(Tabla1[[#This Row],[RES-A]:[EXTR-B]])</f>
        <v>260</v>
      </c>
      <c r="AA924" s="7">
        <f>Tabla1[[#This Row],[Columna1]]-Tabla1[[#This Row],[IMPORTE TOTAL]]</f>
        <v>0</v>
      </c>
    </row>
    <row r="925" spans="1:27" x14ac:dyDescent="0.2">
      <c r="A925">
        <v>2024</v>
      </c>
      <c r="B925" t="s">
        <v>236</v>
      </c>
      <c r="C925" s="51">
        <v>45557</v>
      </c>
      <c r="D925" s="3" t="s">
        <v>43</v>
      </c>
      <c r="E925" s="3" t="s">
        <v>46</v>
      </c>
      <c r="F925" s="3" t="s">
        <v>46</v>
      </c>
      <c r="G925" s="4">
        <v>0.39583333333333331</v>
      </c>
      <c r="H925" s="4">
        <v>0.85416666666666663</v>
      </c>
      <c r="I925" t="s">
        <v>32</v>
      </c>
      <c r="J925">
        <v>2</v>
      </c>
      <c r="L925" s="46"/>
      <c r="P925">
        <v>290</v>
      </c>
      <c r="Q925">
        <v>0</v>
      </c>
      <c r="R925">
        <v>0</v>
      </c>
      <c r="S925" s="7">
        <f>Tabla1[[#This Row],[TARIFA]]+Tabla1[[#This Row],[IMPORTE EXTRAS]]</f>
        <v>290</v>
      </c>
      <c r="T925" t="s">
        <v>45</v>
      </c>
      <c r="U925">
        <v>0</v>
      </c>
      <c r="V925">
        <v>290</v>
      </c>
      <c r="W925">
        <v>0</v>
      </c>
      <c r="X925" s="49">
        <v>0</v>
      </c>
      <c r="Y925" s="49"/>
      <c r="Z925" s="7">
        <f>SUM(Tabla1[[#This Row],[RES-A]:[EXTR-B]])</f>
        <v>290</v>
      </c>
      <c r="AA925" s="7">
        <f>Tabla1[[#This Row],[Columna1]]-Tabla1[[#This Row],[IMPORTE TOTAL]]</f>
        <v>0</v>
      </c>
    </row>
    <row r="926" spans="1:27" x14ac:dyDescent="0.2">
      <c r="A926">
        <v>2024</v>
      </c>
      <c r="B926" t="s">
        <v>236</v>
      </c>
      <c r="C926" s="51">
        <v>45562</v>
      </c>
      <c r="D926" s="3" t="s">
        <v>41</v>
      </c>
      <c r="E926" s="3" t="s">
        <v>46</v>
      </c>
      <c r="F926" s="3" t="s">
        <v>46</v>
      </c>
      <c r="G926" s="4">
        <v>0.64583333333333337</v>
      </c>
      <c r="H926" s="4">
        <v>0.85416666666666663</v>
      </c>
      <c r="I926" t="s">
        <v>31</v>
      </c>
      <c r="J926">
        <v>1</v>
      </c>
      <c r="L926" s="46"/>
      <c r="P926">
        <v>140</v>
      </c>
      <c r="Q926">
        <v>0</v>
      </c>
      <c r="R926">
        <v>0</v>
      </c>
      <c r="S926" s="7">
        <f>Tabla1[[#This Row],[TARIFA]]+Tabla1[[#This Row],[IMPORTE EXTRAS]]</f>
        <v>140</v>
      </c>
      <c r="T926" t="s">
        <v>45</v>
      </c>
      <c r="U926">
        <v>50</v>
      </c>
      <c r="V926">
        <v>90</v>
      </c>
      <c r="W926">
        <v>0</v>
      </c>
      <c r="X926" s="49">
        <v>0</v>
      </c>
      <c r="Y926" s="49"/>
      <c r="Z926" s="7">
        <f>SUM(Tabla1[[#This Row],[RES-A]:[EXTR-B]])</f>
        <v>140</v>
      </c>
      <c r="AA926" s="7">
        <f>Tabla1[[#This Row],[Columna1]]-Tabla1[[#This Row],[IMPORTE TOTAL]]</f>
        <v>0</v>
      </c>
    </row>
    <row r="927" spans="1:27" x14ac:dyDescent="0.2">
      <c r="A927">
        <v>2024</v>
      </c>
      <c r="B927" t="s">
        <v>236</v>
      </c>
      <c r="C927" s="51">
        <v>45562</v>
      </c>
      <c r="D927" s="3" t="s">
        <v>41</v>
      </c>
      <c r="E927" s="3" t="s">
        <v>46</v>
      </c>
      <c r="F927" s="3" t="s">
        <v>46</v>
      </c>
      <c r="G927" s="4">
        <v>0.89583333333333337</v>
      </c>
      <c r="H927" s="4">
        <v>0.10416666666666667</v>
      </c>
      <c r="I927" t="s">
        <v>35</v>
      </c>
      <c r="J927">
        <v>1</v>
      </c>
      <c r="L927" s="46"/>
      <c r="P927">
        <v>200</v>
      </c>
      <c r="Q927">
        <v>0</v>
      </c>
      <c r="R927">
        <v>0</v>
      </c>
      <c r="S927" s="7">
        <f>Tabla1[[#This Row],[TARIFA]]+Tabla1[[#This Row],[IMPORTE EXTRAS]]</f>
        <v>200</v>
      </c>
      <c r="T927" t="s">
        <v>45</v>
      </c>
      <c r="U927">
        <v>200</v>
      </c>
      <c r="V927">
        <v>0</v>
      </c>
      <c r="W927">
        <v>0</v>
      </c>
      <c r="X927" s="49">
        <v>0</v>
      </c>
      <c r="Y927" s="49"/>
      <c r="Z927" s="7">
        <f>SUM(Tabla1[[#This Row],[RES-A]:[EXTR-B]])</f>
        <v>200</v>
      </c>
      <c r="AA927" s="7">
        <f>Tabla1[[#This Row],[Columna1]]-Tabla1[[#This Row],[IMPORTE TOTAL]]</f>
        <v>0</v>
      </c>
    </row>
    <row r="928" spans="1:27" x14ac:dyDescent="0.2">
      <c r="A928">
        <v>2024</v>
      </c>
      <c r="B928" t="s">
        <v>236</v>
      </c>
      <c r="C928" s="51">
        <v>45563</v>
      </c>
      <c r="D928" s="3" t="s">
        <v>42</v>
      </c>
      <c r="E928" s="3" t="s">
        <v>46</v>
      </c>
      <c r="F928" s="3" t="s">
        <v>46</v>
      </c>
      <c r="G928" s="4">
        <v>0.64583333333333337</v>
      </c>
      <c r="H928" s="4">
        <v>0.85416666666666663</v>
      </c>
      <c r="I928" t="s">
        <v>31</v>
      </c>
      <c r="J928">
        <v>1</v>
      </c>
      <c r="L928" s="46"/>
      <c r="P928">
        <v>150</v>
      </c>
      <c r="Q928">
        <v>0</v>
      </c>
      <c r="R928">
        <v>0</v>
      </c>
      <c r="S928" s="7">
        <f>Tabla1[[#This Row],[TARIFA]]+Tabla1[[#This Row],[IMPORTE EXTRAS]]</f>
        <v>150</v>
      </c>
      <c r="T928" t="s">
        <v>45</v>
      </c>
      <c r="U928">
        <v>50</v>
      </c>
      <c r="V928">
        <v>100</v>
      </c>
      <c r="W928">
        <v>0</v>
      </c>
      <c r="X928" s="49">
        <v>0</v>
      </c>
      <c r="Y928" s="49" t="s">
        <v>505</v>
      </c>
      <c r="Z928" s="7">
        <f>SUM(Tabla1[[#This Row],[RES-A]:[EXTR-B]])</f>
        <v>150</v>
      </c>
      <c r="AA928" s="7">
        <f>Tabla1[[#This Row],[Columna1]]-Tabla1[[#This Row],[IMPORTE TOTAL]]</f>
        <v>0</v>
      </c>
    </row>
    <row r="929" spans="1:27" x14ac:dyDescent="0.2">
      <c r="A929">
        <v>2024</v>
      </c>
      <c r="B929" t="s">
        <v>236</v>
      </c>
      <c r="C929" s="51">
        <v>45563</v>
      </c>
      <c r="D929" s="3" t="s">
        <v>42</v>
      </c>
      <c r="E929" s="3" t="s">
        <v>46</v>
      </c>
      <c r="F929" s="3" t="s">
        <v>46</v>
      </c>
      <c r="G929" s="4">
        <v>0.89583333333333337</v>
      </c>
      <c r="H929" s="4">
        <v>0.10416666666666667</v>
      </c>
      <c r="I929" t="s">
        <v>35</v>
      </c>
      <c r="J929">
        <v>1</v>
      </c>
      <c r="L929" s="46"/>
      <c r="P929">
        <v>200</v>
      </c>
      <c r="Q929">
        <v>1</v>
      </c>
      <c r="R929">
        <v>60</v>
      </c>
      <c r="S929" s="7">
        <f>Tabla1[[#This Row],[TARIFA]]+Tabla1[[#This Row],[IMPORTE EXTRAS]]</f>
        <v>260</v>
      </c>
      <c r="T929" t="s">
        <v>45</v>
      </c>
      <c r="U929">
        <v>50</v>
      </c>
      <c r="V929">
        <v>150</v>
      </c>
      <c r="W929">
        <v>0</v>
      </c>
      <c r="X929" s="49">
        <v>60</v>
      </c>
      <c r="Y929" s="49"/>
      <c r="Z929" s="7">
        <f>SUM(Tabla1[[#This Row],[RES-A]:[EXTR-B]])</f>
        <v>260</v>
      </c>
      <c r="AA929" s="7">
        <f>Tabla1[[#This Row],[Columna1]]-Tabla1[[#This Row],[IMPORTE TOTAL]]</f>
        <v>0</v>
      </c>
    </row>
    <row r="930" spans="1:27" x14ac:dyDescent="0.2">
      <c r="A930">
        <v>2024</v>
      </c>
      <c r="B930" t="s">
        <v>236</v>
      </c>
      <c r="C930" s="51">
        <v>45564</v>
      </c>
      <c r="D930" s="3" t="s">
        <v>43</v>
      </c>
      <c r="E930" s="3" t="s">
        <v>46</v>
      </c>
      <c r="F930" s="3" t="s">
        <v>46</v>
      </c>
      <c r="G930" s="4">
        <v>0.39583333333333331</v>
      </c>
      <c r="H930" s="4">
        <v>0.85416666666666663</v>
      </c>
      <c r="I930" t="s">
        <v>32</v>
      </c>
      <c r="J930">
        <v>2</v>
      </c>
      <c r="L930" s="46"/>
      <c r="P930">
        <v>290</v>
      </c>
      <c r="Q930">
        <v>0</v>
      </c>
      <c r="R930">
        <v>0</v>
      </c>
      <c r="S930" s="7">
        <f>Tabla1[[#This Row],[TARIFA]]+Tabla1[[#This Row],[IMPORTE EXTRAS]]</f>
        <v>290</v>
      </c>
      <c r="T930" t="s">
        <v>45</v>
      </c>
      <c r="U930">
        <v>50</v>
      </c>
      <c r="V930">
        <v>240</v>
      </c>
      <c r="W930">
        <v>0</v>
      </c>
      <c r="X930" s="49">
        <v>0</v>
      </c>
      <c r="Y930" s="49"/>
      <c r="Z930" s="7">
        <f>SUM(Tabla1[[#This Row],[RES-A]:[EXTR-B]])</f>
        <v>290</v>
      </c>
      <c r="AA930" s="7">
        <f>Tabla1[[#This Row],[Columna1]]-Tabla1[[#This Row],[IMPORTE TOTAL]]</f>
        <v>0</v>
      </c>
    </row>
    <row r="931" spans="1:27" x14ac:dyDescent="0.2">
      <c r="A931">
        <v>2024</v>
      </c>
      <c r="B931" t="s">
        <v>63</v>
      </c>
      <c r="C931" s="51">
        <v>45569</v>
      </c>
      <c r="D931" s="3" t="s">
        <v>41</v>
      </c>
      <c r="E931" s="3" t="s">
        <v>46</v>
      </c>
      <c r="F931" s="3" t="s">
        <v>46</v>
      </c>
      <c r="G931" s="4">
        <v>0.64583333333333337</v>
      </c>
      <c r="H931" s="4">
        <v>0.85416666666666663</v>
      </c>
      <c r="I931" t="s">
        <v>31</v>
      </c>
      <c r="J931">
        <v>1</v>
      </c>
      <c r="K931" s="49"/>
      <c r="L931" s="46"/>
      <c r="P931">
        <v>140</v>
      </c>
      <c r="Q931">
        <v>0</v>
      </c>
      <c r="R931">
        <v>0</v>
      </c>
      <c r="S931" s="7">
        <f>Tabla1[[#This Row],[TARIFA]]+Tabla1[[#This Row],[IMPORTE EXTRAS]]</f>
        <v>140</v>
      </c>
      <c r="T931" t="s">
        <v>45</v>
      </c>
      <c r="U931">
        <v>50</v>
      </c>
      <c r="V931">
        <v>90</v>
      </c>
      <c r="W931">
        <v>0</v>
      </c>
      <c r="X931" s="49">
        <v>0</v>
      </c>
      <c r="Y931" s="49"/>
      <c r="Z931" s="7">
        <f>SUM(Tabla1[[#This Row],[RES-A]:[EXTR-B]])</f>
        <v>140</v>
      </c>
      <c r="AA931" s="7">
        <f>Tabla1[[#This Row],[Columna1]]-Tabla1[[#This Row],[IMPORTE TOTAL]]</f>
        <v>0</v>
      </c>
    </row>
    <row r="932" spans="1:27" x14ac:dyDescent="0.2">
      <c r="A932">
        <v>2024</v>
      </c>
      <c r="B932" t="s">
        <v>63</v>
      </c>
      <c r="C932" s="51">
        <v>45570</v>
      </c>
      <c r="D932" s="3" t="s">
        <v>42</v>
      </c>
      <c r="E932" s="3" t="s">
        <v>46</v>
      </c>
      <c r="F932" s="3" t="s">
        <v>46</v>
      </c>
      <c r="G932" s="4">
        <v>0.89583333333333337</v>
      </c>
      <c r="H932" s="4">
        <v>0.10416666666666667</v>
      </c>
      <c r="I932" t="s">
        <v>35</v>
      </c>
      <c r="J932">
        <v>1</v>
      </c>
      <c r="K932" s="49"/>
      <c r="L932" s="46"/>
      <c r="P932">
        <v>200</v>
      </c>
      <c r="Q932">
        <v>0</v>
      </c>
      <c r="R932">
        <v>0</v>
      </c>
      <c r="S932" s="7">
        <f>Tabla1[[#This Row],[TARIFA]]+Tabla1[[#This Row],[IMPORTE EXTRAS]]</f>
        <v>200</v>
      </c>
      <c r="T932" t="s">
        <v>45</v>
      </c>
      <c r="U932">
        <v>0</v>
      </c>
      <c r="V932">
        <v>200</v>
      </c>
      <c r="W932">
        <v>0</v>
      </c>
      <c r="X932" s="49">
        <v>0</v>
      </c>
      <c r="Y932" s="49"/>
      <c r="Z932" s="7">
        <f>SUM(Tabla1[[#This Row],[RES-A]:[EXTR-B]])</f>
        <v>200</v>
      </c>
      <c r="AA932" s="7">
        <f>Tabla1[[#This Row],[Columna1]]-Tabla1[[#This Row],[IMPORTE TOTAL]]</f>
        <v>0</v>
      </c>
    </row>
    <row r="933" spans="1:27" x14ac:dyDescent="0.2">
      <c r="A933">
        <v>2024</v>
      </c>
      <c r="B933" t="s">
        <v>63</v>
      </c>
      <c r="C933" s="51">
        <v>45575</v>
      </c>
      <c r="D933" s="3" t="s">
        <v>40</v>
      </c>
      <c r="E933" s="3" t="s">
        <v>46</v>
      </c>
      <c r="F933" s="3" t="s">
        <v>46</v>
      </c>
      <c r="G933" s="4">
        <v>0.64583333333333337</v>
      </c>
      <c r="H933" s="4">
        <v>0.85416666666666663</v>
      </c>
      <c r="I933" t="s">
        <v>31</v>
      </c>
      <c r="J933">
        <v>1</v>
      </c>
      <c r="K933" s="49"/>
      <c r="L933" s="46"/>
      <c r="P933">
        <v>95</v>
      </c>
      <c r="Q933">
        <v>0</v>
      </c>
      <c r="R933">
        <v>0</v>
      </c>
      <c r="S933" s="7">
        <f>Tabla1[[#This Row],[TARIFA]]+Tabla1[[#This Row],[IMPORTE EXTRAS]]</f>
        <v>95</v>
      </c>
      <c r="T933" t="s">
        <v>45</v>
      </c>
      <c r="U933">
        <v>50</v>
      </c>
      <c r="V933">
        <v>45</v>
      </c>
      <c r="W933">
        <v>0</v>
      </c>
      <c r="X933" s="49">
        <v>0</v>
      </c>
      <c r="Y933" s="49"/>
      <c r="Z933" s="7">
        <f>SUM(Tabla1[[#This Row],[RES-A]:[EXTR-B]])</f>
        <v>95</v>
      </c>
      <c r="AA933" s="7">
        <f>Tabla1[[#This Row],[Columna1]]-Tabla1[[#This Row],[IMPORTE TOTAL]]</f>
        <v>0</v>
      </c>
    </row>
    <row r="934" spans="1:27" x14ac:dyDescent="0.2">
      <c r="A934">
        <v>2024</v>
      </c>
      <c r="B934" t="s">
        <v>63</v>
      </c>
      <c r="C934" s="51">
        <v>45576</v>
      </c>
      <c r="D934" s="3" t="s">
        <v>41</v>
      </c>
      <c r="E934" s="3" t="s">
        <v>46</v>
      </c>
      <c r="F934" s="3" t="s">
        <v>46</v>
      </c>
      <c r="G934" s="4">
        <v>0.89583333333333337</v>
      </c>
      <c r="H934" s="4">
        <v>0.10416666666666667</v>
      </c>
      <c r="I934" t="s">
        <v>35</v>
      </c>
      <c r="J934">
        <v>1</v>
      </c>
      <c r="K934" s="49"/>
      <c r="L934" s="46"/>
      <c r="P934">
        <v>200</v>
      </c>
      <c r="Q934">
        <v>1</v>
      </c>
      <c r="R934">
        <v>60</v>
      </c>
      <c r="S934" s="7">
        <f>Tabla1[[#This Row],[TARIFA]]+Tabla1[[#This Row],[IMPORTE EXTRAS]]</f>
        <v>260</v>
      </c>
      <c r="T934" t="s">
        <v>45</v>
      </c>
      <c r="U934">
        <v>0</v>
      </c>
      <c r="V934">
        <v>200</v>
      </c>
      <c r="W934">
        <v>0</v>
      </c>
      <c r="X934" s="49">
        <v>60</v>
      </c>
      <c r="Y934" s="49"/>
      <c r="Z934" s="7">
        <f>SUM(Tabla1[[#This Row],[RES-A]:[EXTR-B]])</f>
        <v>260</v>
      </c>
      <c r="AA934" s="7">
        <f>Tabla1[[#This Row],[Columna1]]-Tabla1[[#This Row],[IMPORTE TOTAL]]</f>
        <v>0</v>
      </c>
    </row>
    <row r="935" spans="1:27" x14ac:dyDescent="0.2">
      <c r="A935">
        <v>2024</v>
      </c>
      <c r="B935" t="s">
        <v>63</v>
      </c>
      <c r="C935" s="51">
        <v>45577</v>
      </c>
      <c r="D935" s="3" t="s">
        <v>42</v>
      </c>
      <c r="E935" s="3" t="s">
        <v>46</v>
      </c>
      <c r="F935" s="3" t="s">
        <v>46</v>
      </c>
      <c r="G935" s="4">
        <v>0.39583333333333331</v>
      </c>
      <c r="H935" s="4">
        <v>0.60416666666666663</v>
      </c>
      <c r="I935" t="s">
        <v>30</v>
      </c>
      <c r="J935">
        <v>1</v>
      </c>
      <c r="K935" s="49"/>
      <c r="L935" s="46"/>
      <c r="P935">
        <v>150</v>
      </c>
      <c r="Q935">
        <v>0</v>
      </c>
      <c r="R935">
        <v>0</v>
      </c>
      <c r="S935" s="7">
        <f>Tabla1[[#This Row],[TARIFA]]+Tabla1[[#This Row],[IMPORTE EXTRAS]]</f>
        <v>150</v>
      </c>
      <c r="T935" t="s">
        <v>45</v>
      </c>
      <c r="U935">
        <v>50</v>
      </c>
      <c r="V935">
        <v>100</v>
      </c>
      <c r="W935">
        <v>0</v>
      </c>
      <c r="X935" s="49">
        <v>0</v>
      </c>
      <c r="Y935" s="49"/>
      <c r="Z935" s="7">
        <f>SUM(Tabla1[[#This Row],[RES-A]:[EXTR-B]])</f>
        <v>150</v>
      </c>
      <c r="AA935" s="7">
        <f>Tabla1[[#This Row],[Columna1]]-Tabla1[[#This Row],[IMPORTE TOTAL]]</f>
        <v>0</v>
      </c>
    </row>
    <row r="936" spans="1:27" x14ac:dyDescent="0.2">
      <c r="A936">
        <v>2024</v>
      </c>
      <c r="B936" t="s">
        <v>63</v>
      </c>
      <c r="C936" s="51">
        <v>45577</v>
      </c>
      <c r="D936" s="3" t="s">
        <v>42</v>
      </c>
      <c r="E936" s="3" t="s">
        <v>46</v>
      </c>
      <c r="F936" s="3" t="s">
        <v>46</v>
      </c>
      <c r="G936" s="4">
        <v>0.64583333333333337</v>
      </c>
      <c r="H936" s="4">
        <v>0.85416666666666663</v>
      </c>
      <c r="I936" t="s">
        <v>31</v>
      </c>
      <c r="J936">
        <v>1</v>
      </c>
      <c r="K936" s="49"/>
      <c r="L936" s="46"/>
      <c r="P936">
        <v>150</v>
      </c>
      <c r="Q936">
        <v>0</v>
      </c>
      <c r="R936">
        <v>0</v>
      </c>
      <c r="S936" s="7">
        <f>Tabla1[[#This Row],[TARIFA]]+Tabla1[[#This Row],[IMPORTE EXTRAS]]</f>
        <v>150</v>
      </c>
      <c r="T936" t="s">
        <v>45</v>
      </c>
      <c r="U936">
        <v>50</v>
      </c>
      <c r="V936">
        <v>100</v>
      </c>
      <c r="W936">
        <v>0</v>
      </c>
      <c r="X936" s="49">
        <v>0</v>
      </c>
      <c r="Y936" s="49"/>
      <c r="Z936" s="7">
        <f>SUM(Tabla1[[#This Row],[RES-A]:[EXTR-B]])</f>
        <v>150</v>
      </c>
      <c r="AA936" s="7">
        <f>Tabla1[[#This Row],[Columna1]]-Tabla1[[#This Row],[IMPORTE TOTAL]]</f>
        <v>0</v>
      </c>
    </row>
    <row r="937" spans="1:27" x14ac:dyDescent="0.2">
      <c r="A937">
        <v>2024</v>
      </c>
      <c r="B937" t="s">
        <v>63</v>
      </c>
      <c r="C937" s="51">
        <v>45578</v>
      </c>
      <c r="D937" s="3" t="s">
        <v>43</v>
      </c>
      <c r="E937" s="3" t="s">
        <v>46</v>
      </c>
      <c r="F937" s="3" t="s">
        <v>46</v>
      </c>
      <c r="G937" s="4">
        <v>0.39583333333333331</v>
      </c>
      <c r="H937" s="4">
        <v>0.85416666666666663</v>
      </c>
      <c r="I937" t="s">
        <v>32</v>
      </c>
      <c r="J937">
        <v>2</v>
      </c>
      <c r="L937" s="46"/>
      <c r="P937">
        <v>290</v>
      </c>
      <c r="Q937">
        <v>0</v>
      </c>
      <c r="R937">
        <v>0</v>
      </c>
      <c r="S937" s="7">
        <f>Tabla1[[#This Row],[TARIFA]]+Tabla1[[#This Row],[IMPORTE EXTRAS]]</f>
        <v>290</v>
      </c>
      <c r="T937" t="s">
        <v>45</v>
      </c>
      <c r="U937">
        <v>290</v>
      </c>
      <c r="V937">
        <v>0</v>
      </c>
      <c r="W937">
        <v>0</v>
      </c>
      <c r="X937" s="49">
        <v>0</v>
      </c>
      <c r="Y937" s="49"/>
      <c r="Z937" s="7">
        <f>SUM(Tabla1[[#This Row],[RES-A]:[EXTR-B]])</f>
        <v>290</v>
      </c>
      <c r="AA937" s="7">
        <f>Tabla1[[#This Row],[Columna1]]-Tabla1[[#This Row],[IMPORTE TOTAL]]</f>
        <v>0</v>
      </c>
    </row>
    <row r="938" spans="1:27" x14ac:dyDescent="0.2">
      <c r="A938">
        <v>2024</v>
      </c>
      <c r="B938" t="s">
        <v>63</v>
      </c>
      <c r="C938" s="51">
        <v>45583</v>
      </c>
      <c r="D938" s="3" t="s">
        <v>41</v>
      </c>
      <c r="E938" s="3" t="s">
        <v>46</v>
      </c>
      <c r="F938" s="3" t="s">
        <v>46</v>
      </c>
      <c r="G938" s="4">
        <v>0.89583333333333337</v>
      </c>
      <c r="H938" s="4">
        <v>0.10416666666666667</v>
      </c>
      <c r="I938" t="s">
        <v>35</v>
      </c>
      <c r="J938">
        <v>1</v>
      </c>
      <c r="K938" s="49"/>
      <c r="L938" s="46"/>
      <c r="P938">
        <v>200</v>
      </c>
      <c r="Q938">
        <v>0</v>
      </c>
      <c r="R938">
        <v>0</v>
      </c>
      <c r="S938" s="7">
        <f>Tabla1[[#This Row],[TARIFA]]+Tabla1[[#This Row],[IMPORTE EXTRAS]]</f>
        <v>200</v>
      </c>
      <c r="T938" t="s">
        <v>45</v>
      </c>
      <c r="U938">
        <v>50</v>
      </c>
      <c r="V938">
        <v>150</v>
      </c>
      <c r="W938">
        <v>0</v>
      </c>
      <c r="X938" s="49">
        <v>0</v>
      </c>
      <c r="Y938" s="49"/>
      <c r="Z938" s="7">
        <f>SUM(Tabla1[[#This Row],[RES-A]:[EXTR-B]])</f>
        <v>200</v>
      </c>
      <c r="AA938" s="7">
        <f>Tabla1[[#This Row],[Columna1]]-Tabla1[[#This Row],[IMPORTE TOTAL]]</f>
        <v>0</v>
      </c>
    </row>
    <row r="939" spans="1:27" x14ac:dyDescent="0.2">
      <c r="A939">
        <v>2024</v>
      </c>
      <c r="B939" t="s">
        <v>63</v>
      </c>
      <c r="C939" s="51">
        <v>45584</v>
      </c>
      <c r="D939" s="3" t="s">
        <v>42</v>
      </c>
      <c r="E939" s="3" t="s">
        <v>46</v>
      </c>
      <c r="F939" s="3" t="s">
        <v>46</v>
      </c>
      <c r="G939" s="4">
        <v>0.39583333333333331</v>
      </c>
      <c r="H939" s="4">
        <v>0.60416666666666663</v>
      </c>
      <c r="I939" t="s">
        <v>30</v>
      </c>
      <c r="J939">
        <v>1</v>
      </c>
      <c r="K939" s="49"/>
      <c r="L939" s="46"/>
      <c r="P939">
        <v>150</v>
      </c>
      <c r="Q939">
        <v>0</v>
      </c>
      <c r="R939">
        <v>0</v>
      </c>
      <c r="S939" s="7">
        <f>Tabla1[[#This Row],[TARIFA]]+Tabla1[[#This Row],[IMPORTE EXTRAS]]</f>
        <v>150</v>
      </c>
      <c r="T939" t="s">
        <v>45</v>
      </c>
      <c r="U939">
        <v>50</v>
      </c>
      <c r="V939">
        <v>100</v>
      </c>
      <c r="W939">
        <v>0</v>
      </c>
      <c r="X939" s="49">
        <v>0</v>
      </c>
      <c r="Y939" s="49"/>
      <c r="Z939" s="7">
        <f>SUM(Tabla1[[#This Row],[RES-A]:[EXTR-B]])</f>
        <v>150</v>
      </c>
      <c r="AA939" s="7">
        <f>Tabla1[[#This Row],[Columna1]]-Tabla1[[#This Row],[IMPORTE TOTAL]]</f>
        <v>0</v>
      </c>
    </row>
    <row r="940" spans="1:27" x14ac:dyDescent="0.2">
      <c r="A940">
        <v>2024</v>
      </c>
      <c r="B940" t="s">
        <v>63</v>
      </c>
      <c r="C940" s="51">
        <v>45584</v>
      </c>
      <c r="D940" s="3" t="s">
        <v>42</v>
      </c>
      <c r="E940" s="3" t="s">
        <v>46</v>
      </c>
      <c r="F940" s="3" t="s">
        <v>46</v>
      </c>
      <c r="G940" s="4">
        <v>0.64583333333333337</v>
      </c>
      <c r="H940" s="4">
        <v>0.10416666666666667</v>
      </c>
      <c r="I940" t="s">
        <v>53</v>
      </c>
      <c r="J940">
        <v>2</v>
      </c>
      <c r="K940" s="49"/>
      <c r="L940" s="46"/>
      <c r="P940">
        <v>320</v>
      </c>
      <c r="Q940">
        <v>0</v>
      </c>
      <c r="R940">
        <v>0</v>
      </c>
      <c r="S940" s="7">
        <f>Tabla1[[#This Row],[TARIFA]]+Tabla1[[#This Row],[IMPORTE EXTRAS]]</f>
        <v>320</v>
      </c>
      <c r="T940" t="s">
        <v>45</v>
      </c>
      <c r="U940">
        <v>50</v>
      </c>
      <c r="V940">
        <v>270</v>
      </c>
      <c r="W940">
        <v>0</v>
      </c>
      <c r="X940" s="49">
        <v>0</v>
      </c>
      <c r="Y940" s="49"/>
      <c r="Z940" s="7">
        <f>SUM(Tabla1[[#This Row],[RES-A]:[EXTR-B]])</f>
        <v>320</v>
      </c>
      <c r="AA940" s="7">
        <f>Tabla1[[#This Row],[Columna1]]-Tabla1[[#This Row],[IMPORTE TOTAL]]</f>
        <v>0</v>
      </c>
    </row>
    <row r="941" spans="1:27" x14ac:dyDescent="0.2">
      <c r="A941">
        <v>2024</v>
      </c>
      <c r="B941" t="s">
        <v>63</v>
      </c>
      <c r="C941" s="51">
        <v>45585</v>
      </c>
      <c r="D941" s="3" t="s">
        <v>43</v>
      </c>
      <c r="E941" s="3" t="s">
        <v>46</v>
      </c>
      <c r="F941" s="3" t="s">
        <v>46</v>
      </c>
      <c r="G941" s="4">
        <v>0.39583333333333331</v>
      </c>
      <c r="H941" s="4">
        <v>0.60416666666666663</v>
      </c>
      <c r="I941" t="s">
        <v>30</v>
      </c>
      <c r="J941">
        <v>1</v>
      </c>
      <c r="K941" s="49"/>
      <c r="L941" s="46"/>
      <c r="P941">
        <v>150</v>
      </c>
      <c r="Q941">
        <v>0</v>
      </c>
      <c r="R941">
        <v>0</v>
      </c>
      <c r="S941" s="7">
        <f>Tabla1[[#This Row],[TARIFA]]+Tabla1[[#This Row],[IMPORTE EXTRAS]]</f>
        <v>150</v>
      </c>
      <c r="T941" t="s">
        <v>45</v>
      </c>
      <c r="U941">
        <v>50</v>
      </c>
      <c r="V941">
        <v>100</v>
      </c>
      <c r="W941">
        <v>0</v>
      </c>
      <c r="X941" s="49">
        <v>0</v>
      </c>
      <c r="Y941" s="49"/>
      <c r="Z941" s="7">
        <f>SUM(Tabla1[[#This Row],[RES-A]:[EXTR-B]])</f>
        <v>150</v>
      </c>
      <c r="AA941" s="7">
        <f>Tabla1[[#This Row],[Columna1]]-Tabla1[[#This Row],[IMPORTE TOTAL]]</f>
        <v>0</v>
      </c>
    </row>
    <row r="942" spans="1:27" x14ac:dyDescent="0.2">
      <c r="A942">
        <v>2024</v>
      </c>
      <c r="B942" t="s">
        <v>63</v>
      </c>
      <c r="C942" s="51">
        <v>45585</v>
      </c>
      <c r="D942" s="3" t="s">
        <v>43</v>
      </c>
      <c r="E942" s="3" t="s">
        <v>46</v>
      </c>
      <c r="F942" s="3" t="s">
        <v>46</v>
      </c>
      <c r="G942" s="4">
        <v>0.64583333333333337</v>
      </c>
      <c r="H942" s="4">
        <v>0.85416666666666663</v>
      </c>
      <c r="I942" t="s">
        <v>31</v>
      </c>
      <c r="J942">
        <v>1</v>
      </c>
      <c r="K942" s="49"/>
      <c r="L942" s="46"/>
      <c r="P942">
        <v>150</v>
      </c>
      <c r="Q942">
        <v>0</v>
      </c>
      <c r="R942">
        <v>0</v>
      </c>
      <c r="S942" s="7">
        <f>Tabla1[[#This Row],[TARIFA]]+Tabla1[[#This Row],[IMPORTE EXTRAS]]</f>
        <v>150</v>
      </c>
      <c r="T942" t="s">
        <v>45</v>
      </c>
      <c r="U942">
        <v>50</v>
      </c>
      <c r="V942">
        <v>100</v>
      </c>
      <c r="W942">
        <v>0</v>
      </c>
      <c r="X942" s="49">
        <v>0</v>
      </c>
      <c r="Y942" s="49"/>
      <c r="Z942" s="7">
        <f>SUM(Tabla1[[#This Row],[RES-A]:[EXTR-B]])</f>
        <v>150</v>
      </c>
      <c r="AA942" s="7">
        <f>Tabla1[[#This Row],[Columna1]]-Tabla1[[#This Row],[IMPORTE TOTAL]]</f>
        <v>0</v>
      </c>
    </row>
    <row r="943" spans="1:27" x14ac:dyDescent="0.2">
      <c r="A943">
        <v>2024</v>
      </c>
      <c r="B943" t="s">
        <v>63</v>
      </c>
      <c r="C943" s="51">
        <v>45588</v>
      </c>
      <c r="D943" s="3" t="s">
        <v>39</v>
      </c>
      <c r="E943" s="3" t="s">
        <v>46</v>
      </c>
      <c r="F943" s="3" t="s">
        <v>46</v>
      </c>
      <c r="G943" s="4">
        <v>0.64583333333333337</v>
      </c>
      <c r="H943" s="4">
        <v>0.85416666666666663</v>
      </c>
      <c r="I943" t="s">
        <v>31</v>
      </c>
      <c r="J943">
        <v>1</v>
      </c>
      <c r="K943" s="49"/>
      <c r="L943" s="46"/>
      <c r="P943">
        <v>95</v>
      </c>
      <c r="Q943">
        <v>0</v>
      </c>
      <c r="R943">
        <v>0</v>
      </c>
      <c r="S943" s="7">
        <f>Tabla1[[#This Row],[TARIFA]]+Tabla1[[#This Row],[IMPORTE EXTRAS]]</f>
        <v>95</v>
      </c>
      <c r="T943" t="s">
        <v>45</v>
      </c>
      <c r="U943">
        <v>50</v>
      </c>
      <c r="V943">
        <v>45</v>
      </c>
      <c r="W943">
        <v>0</v>
      </c>
      <c r="X943" s="49">
        <v>0</v>
      </c>
      <c r="Y943" s="49" t="s">
        <v>475</v>
      </c>
      <c r="Z943" s="7">
        <f>SUM(Tabla1[[#This Row],[RES-A]:[EXTR-B]])</f>
        <v>95</v>
      </c>
      <c r="AA943" s="7">
        <f>Tabla1[[#This Row],[Columna1]]-Tabla1[[#This Row],[IMPORTE TOTAL]]</f>
        <v>0</v>
      </c>
    </row>
    <row r="944" spans="1:27" x14ac:dyDescent="0.2">
      <c r="A944">
        <v>2024</v>
      </c>
      <c r="B944" t="s">
        <v>63</v>
      </c>
      <c r="C944" s="51">
        <v>45590</v>
      </c>
      <c r="D944" s="3" t="s">
        <v>41</v>
      </c>
      <c r="E944" s="3" t="s">
        <v>46</v>
      </c>
      <c r="F944" s="3" t="s">
        <v>46</v>
      </c>
      <c r="G944" s="4">
        <v>0.64583333333333337</v>
      </c>
      <c r="H944" s="4">
        <v>0.85416666666666663</v>
      </c>
      <c r="I944" t="s">
        <v>31</v>
      </c>
      <c r="J944">
        <v>1</v>
      </c>
      <c r="K944" s="49"/>
      <c r="L944" s="46"/>
      <c r="P944">
        <v>140</v>
      </c>
      <c r="Q944">
        <v>0</v>
      </c>
      <c r="R944">
        <v>0</v>
      </c>
      <c r="S944" s="7">
        <f>Tabla1[[#This Row],[TARIFA]]+Tabla1[[#This Row],[IMPORTE EXTRAS]]</f>
        <v>140</v>
      </c>
      <c r="T944" t="s">
        <v>45</v>
      </c>
      <c r="U944">
        <v>140</v>
      </c>
      <c r="V944">
        <v>0</v>
      </c>
      <c r="W944">
        <v>0</v>
      </c>
      <c r="X944" s="49">
        <v>0</v>
      </c>
      <c r="Y944" s="49"/>
      <c r="Z944" s="7">
        <f>SUM(Tabla1[[#This Row],[RES-A]:[EXTR-B]])</f>
        <v>140</v>
      </c>
      <c r="AA944" s="7">
        <f>Tabla1[[#This Row],[Columna1]]-Tabla1[[#This Row],[IMPORTE TOTAL]]</f>
        <v>0</v>
      </c>
    </row>
    <row r="945" spans="1:27" x14ac:dyDescent="0.2">
      <c r="A945">
        <v>2024</v>
      </c>
      <c r="B945" t="s">
        <v>63</v>
      </c>
      <c r="C945" s="51">
        <v>45590</v>
      </c>
      <c r="D945" s="3" t="s">
        <v>41</v>
      </c>
      <c r="E945" s="3" t="s">
        <v>46</v>
      </c>
      <c r="F945" s="3" t="s">
        <v>46</v>
      </c>
      <c r="G945" s="4">
        <v>0.89583333333333337</v>
      </c>
      <c r="H945" s="4">
        <v>0.10416666666666667</v>
      </c>
      <c r="I945" t="s">
        <v>35</v>
      </c>
      <c r="J945">
        <v>1</v>
      </c>
      <c r="K945" s="49"/>
      <c r="L945" s="46"/>
      <c r="P945">
        <v>200</v>
      </c>
      <c r="Q945">
        <v>1</v>
      </c>
      <c r="R945">
        <v>60</v>
      </c>
      <c r="S945" s="7">
        <f>Tabla1[[#This Row],[TARIFA]]+Tabla1[[#This Row],[IMPORTE EXTRAS]]</f>
        <v>260</v>
      </c>
      <c r="T945" t="s">
        <v>45</v>
      </c>
      <c r="U945">
        <v>50</v>
      </c>
      <c r="V945">
        <v>150</v>
      </c>
      <c r="W945">
        <v>0</v>
      </c>
      <c r="X945" s="49">
        <v>60</v>
      </c>
      <c r="Y945" s="49"/>
      <c r="Z945" s="7">
        <f>SUM(Tabla1[[#This Row],[RES-A]:[EXTR-B]])</f>
        <v>260</v>
      </c>
      <c r="AA945" s="7">
        <f>Tabla1[[#This Row],[Columna1]]-Tabla1[[#This Row],[IMPORTE TOTAL]]</f>
        <v>0</v>
      </c>
    </row>
    <row r="946" spans="1:27" x14ac:dyDescent="0.2">
      <c r="A946">
        <v>2024</v>
      </c>
      <c r="B946" t="s">
        <v>63</v>
      </c>
      <c r="C946" s="51">
        <v>45591</v>
      </c>
      <c r="D946" s="3" t="s">
        <v>42</v>
      </c>
      <c r="E946" s="3" t="s">
        <v>46</v>
      </c>
      <c r="F946" s="3" t="s">
        <v>46</v>
      </c>
      <c r="G946" s="4">
        <v>0.39583333333333331</v>
      </c>
      <c r="H946" s="4">
        <v>0.60416666666666663</v>
      </c>
      <c r="I946" t="s">
        <v>30</v>
      </c>
      <c r="J946">
        <v>1</v>
      </c>
      <c r="L946" s="46"/>
      <c r="P946">
        <v>150</v>
      </c>
      <c r="Q946">
        <v>0</v>
      </c>
      <c r="R946">
        <v>0</v>
      </c>
      <c r="S946" s="7">
        <f>Tabla1[[#This Row],[TARIFA]]+Tabla1[[#This Row],[IMPORTE EXTRAS]]</f>
        <v>150</v>
      </c>
      <c r="T946" t="s">
        <v>45</v>
      </c>
      <c r="U946">
        <v>50</v>
      </c>
      <c r="V946">
        <v>100</v>
      </c>
      <c r="W946">
        <v>0</v>
      </c>
      <c r="X946" s="49">
        <v>0</v>
      </c>
      <c r="Y946" s="49"/>
      <c r="Z946" s="7">
        <f>SUM(Tabla1[[#This Row],[RES-A]:[EXTR-B]])</f>
        <v>150</v>
      </c>
      <c r="AA946" s="7">
        <f>Tabla1[[#This Row],[Columna1]]-Tabla1[[#This Row],[IMPORTE TOTAL]]</f>
        <v>0</v>
      </c>
    </row>
    <row r="947" spans="1:27" x14ac:dyDescent="0.2">
      <c r="A947">
        <v>2024</v>
      </c>
      <c r="B947" t="s">
        <v>63</v>
      </c>
      <c r="C947" s="51">
        <v>45591</v>
      </c>
      <c r="D947" s="3" t="s">
        <v>42</v>
      </c>
      <c r="E947" s="3" t="s">
        <v>46</v>
      </c>
      <c r="F947" s="3" t="s">
        <v>46</v>
      </c>
      <c r="G947" s="4">
        <v>0.62708333333333333</v>
      </c>
      <c r="H947" s="4">
        <v>0.85416666666666663</v>
      </c>
      <c r="I947" t="s">
        <v>31</v>
      </c>
      <c r="J947">
        <v>1</v>
      </c>
      <c r="L947" s="46"/>
      <c r="P947">
        <v>150</v>
      </c>
      <c r="Q947">
        <v>0</v>
      </c>
      <c r="R947">
        <v>0</v>
      </c>
      <c r="S947" s="7">
        <f>Tabla1[[#This Row],[TARIFA]]+Tabla1[[#This Row],[IMPORTE EXTRAS]]</f>
        <v>150</v>
      </c>
      <c r="T947" t="s">
        <v>45</v>
      </c>
      <c r="U947">
        <v>50</v>
      </c>
      <c r="V947">
        <v>100</v>
      </c>
      <c r="W947">
        <v>0</v>
      </c>
      <c r="X947" s="49">
        <v>0</v>
      </c>
      <c r="Y947" s="49"/>
      <c r="Z947" s="7">
        <f>SUM(Tabla1[[#This Row],[RES-A]:[EXTR-B]])</f>
        <v>150</v>
      </c>
      <c r="AA947" s="7">
        <f>Tabla1[[#This Row],[Columna1]]-Tabla1[[#This Row],[IMPORTE TOTAL]]</f>
        <v>0</v>
      </c>
    </row>
    <row r="948" spans="1:27" x14ac:dyDescent="0.2">
      <c r="A948">
        <v>2024</v>
      </c>
      <c r="B948" t="s">
        <v>63</v>
      </c>
      <c r="C948" s="51">
        <v>45591</v>
      </c>
      <c r="D948" s="3" t="s">
        <v>42</v>
      </c>
      <c r="E948" s="3" t="s">
        <v>46</v>
      </c>
      <c r="F948" s="3" t="s">
        <v>46</v>
      </c>
      <c r="G948" s="4">
        <v>0.89583333333333337</v>
      </c>
      <c r="H948" s="4">
        <v>0.10416666666666667</v>
      </c>
      <c r="I948" t="s">
        <v>35</v>
      </c>
      <c r="J948">
        <v>1</v>
      </c>
      <c r="K948" s="49"/>
      <c r="L948" s="46"/>
      <c r="P948">
        <v>200</v>
      </c>
      <c r="Q948">
        <v>0</v>
      </c>
      <c r="R948">
        <v>0</v>
      </c>
      <c r="S948" s="7">
        <f>Tabla1[[#This Row],[TARIFA]]+Tabla1[[#This Row],[IMPORTE EXTRAS]]</f>
        <v>200</v>
      </c>
      <c r="T948" t="s">
        <v>45</v>
      </c>
      <c r="U948">
        <v>50</v>
      </c>
      <c r="V948">
        <v>150</v>
      </c>
      <c r="W948">
        <v>0</v>
      </c>
      <c r="X948" s="49">
        <v>0</v>
      </c>
      <c r="Y948" s="49"/>
      <c r="Z948" s="7">
        <f>SUM(Tabla1[[#This Row],[RES-A]:[EXTR-B]])</f>
        <v>200</v>
      </c>
      <c r="AA948" s="7">
        <f>Tabla1[[#This Row],[Columna1]]-Tabla1[[#This Row],[IMPORTE TOTAL]]</f>
        <v>0</v>
      </c>
    </row>
    <row r="949" spans="1:27" x14ac:dyDescent="0.2">
      <c r="A949">
        <v>2024</v>
      </c>
      <c r="B949" t="s">
        <v>63</v>
      </c>
      <c r="C949" s="51">
        <v>45592</v>
      </c>
      <c r="D949" s="3" t="s">
        <v>43</v>
      </c>
      <c r="E949" s="3" t="s">
        <v>46</v>
      </c>
      <c r="F949" s="3" t="s">
        <v>46</v>
      </c>
      <c r="G949" s="4">
        <v>0.39583333333333331</v>
      </c>
      <c r="H949" s="4">
        <v>0.60416666666666663</v>
      </c>
      <c r="I949" t="s">
        <v>30</v>
      </c>
      <c r="J949">
        <v>1</v>
      </c>
      <c r="K949" s="49"/>
      <c r="L949" s="46"/>
      <c r="P949">
        <v>150</v>
      </c>
      <c r="Q949">
        <v>0</v>
      </c>
      <c r="R949">
        <v>0</v>
      </c>
      <c r="S949" s="7">
        <f>Tabla1[[#This Row],[TARIFA]]+Tabla1[[#This Row],[IMPORTE EXTRAS]]</f>
        <v>150</v>
      </c>
      <c r="T949" t="s">
        <v>45</v>
      </c>
      <c r="U949">
        <v>50</v>
      </c>
      <c r="V949">
        <v>100</v>
      </c>
      <c r="W949">
        <v>0</v>
      </c>
      <c r="X949" s="49">
        <v>0</v>
      </c>
      <c r="Y949" s="49" t="s">
        <v>560</v>
      </c>
      <c r="Z949" s="7">
        <f>SUM(Tabla1[[#This Row],[RES-A]:[EXTR-B]])</f>
        <v>150</v>
      </c>
      <c r="AA949" s="7">
        <f>Tabla1[[#This Row],[Columna1]]-Tabla1[[#This Row],[IMPORTE TOTAL]]</f>
        <v>0</v>
      </c>
    </row>
    <row r="950" spans="1:27" x14ac:dyDescent="0.2">
      <c r="A950">
        <v>2024</v>
      </c>
      <c r="B950" t="s">
        <v>63</v>
      </c>
      <c r="C950" s="51">
        <v>45592</v>
      </c>
      <c r="D950" s="3" t="s">
        <v>43</v>
      </c>
      <c r="E950" s="3" t="s">
        <v>46</v>
      </c>
      <c r="F950" s="3" t="s">
        <v>46</v>
      </c>
      <c r="G950" s="4">
        <v>0.64583333333333337</v>
      </c>
      <c r="H950" s="4">
        <v>0.85416666666666663</v>
      </c>
      <c r="I950" t="s">
        <v>31</v>
      </c>
      <c r="J950">
        <v>1</v>
      </c>
      <c r="K950" s="49"/>
      <c r="L950" s="46"/>
      <c r="P950">
        <v>150</v>
      </c>
      <c r="Q950">
        <v>0</v>
      </c>
      <c r="R950">
        <v>0</v>
      </c>
      <c r="S950" s="7">
        <f>Tabla1[[#This Row],[TARIFA]]+Tabla1[[#This Row],[IMPORTE EXTRAS]]</f>
        <v>150</v>
      </c>
      <c r="T950" t="s">
        <v>45</v>
      </c>
      <c r="U950">
        <v>50</v>
      </c>
      <c r="V950">
        <v>100</v>
      </c>
      <c r="W950">
        <v>0</v>
      </c>
      <c r="X950" s="49">
        <v>0</v>
      </c>
      <c r="Y950" s="49"/>
      <c r="Z950" s="7">
        <f>SUM(Tabla1[[#This Row],[RES-A]:[EXTR-B]])</f>
        <v>150</v>
      </c>
      <c r="AA950" s="7">
        <f>Tabla1[[#This Row],[Columna1]]-Tabla1[[#This Row],[IMPORTE TOTAL]]</f>
        <v>0</v>
      </c>
    </row>
    <row r="951" spans="1:27" x14ac:dyDescent="0.2">
      <c r="A951">
        <v>2024</v>
      </c>
      <c r="B951" t="s">
        <v>63</v>
      </c>
      <c r="C951" s="51">
        <v>45596</v>
      </c>
      <c r="D951" s="3" t="s">
        <v>40</v>
      </c>
      <c r="E951" s="3" t="s">
        <v>46</v>
      </c>
      <c r="F951" s="3" t="s">
        <v>45</v>
      </c>
      <c r="G951" s="4">
        <v>0.89583333333333337</v>
      </c>
      <c r="H951" s="4">
        <v>0.10416666666666667</v>
      </c>
      <c r="I951" t="s">
        <v>35</v>
      </c>
      <c r="J951">
        <v>1</v>
      </c>
      <c r="L951" s="46"/>
      <c r="P951">
        <v>250</v>
      </c>
      <c r="Q951">
        <v>0</v>
      </c>
      <c r="R951">
        <v>0</v>
      </c>
      <c r="S951" s="7">
        <f>Tabla1[[#This Row],[TARIFA]]+Tabla1[[#This Row],[IMPORTE EXTRAS]]</f>
        <v>250</v>
      </c>
      <c r="T951" t="s">
        <v>45</v>
      </c>
      <c r="U951">
        <v>250</v>
      </c>
      <c r="V951">
        <v>0</v>
      </c>
      <c r="W951">
        <v>0</v>
      </c>
      <c r="X951" s="49">
        <v>0</v>
      </c>
      <c r="Y951" s="49" t="s">
        <v>326</v>
      </c>
      <c r="Z951" s="7">
        <f>SUM(Tabla1[[#This Row],[RES-A]:[EXTR-B]])</f>
        <v>250</v>
      </c>
      <c r="AA951" s="7">
        <f>Tabla1[[#This Row],[Columna1]]-Tabla1[[#This Row],[IMPORTE TOTAL]]</f>
        <v>0</v>
      </c>
    </row>
    <row r="952" spans="1:27" x14ac:dyDescent="0.2">
      <c r="A952">
        <v>2024</v>
      </c>
      <c r="B952" t="s">
        <v>64</v>
      </c>
      <c r="C952" s="51">
        <v>45597</v>
      </c>
      <c r="D952" s="3" t="s">
        <v>41</v>
      </c>
      <c r="E952" s="3" t="s">
        <v>46</v>
      </c>
      <c r="F952" s="3" t="s">
        <v>46</v>
      </c>
      <c r="G952" s="4">
        <v>0.39583333333333331</v>
      </c>
      <c r="H952" s="4">
        <v>0.60416666666666663</v>
      </c>
      <c r="I952" t="s">
        <v>30</v>
      </c>
      <c r="J952">
        <v>1</v>
      </c>
      <c r="L952" s="46"/>
      <c r="P952">
        <v>150</v>
      </c>
      <c r="Q952">
        <v>0</v>
      </c>
      <c r="R952">
        <v>0</v>
      </c>
      <c r="S952" s="7">
        <f>Tabla1[[#This Row],[TARIFA]]+Tabla1[[#This Row],[IMPORTE EXTRAS]]</f>
        <v>150</v>
      </c>
      <c r="T952" t="s">
        <v>45</v>
      </c>
      <c r="U952">
        <v>50</v>
      </c>
      <c r="V952">
        <v>100</v>
      </c>
      <c r="W952">
        <v>0</v>
      </c>
      <c r="X952" s="49">
        <v>0</v>
      </c>
      <c r="Y952" s="49"/>
      <c r="Z952" s="7">
        <f>SUM(Tabla1[[#This Row],[RES-A]:[EXTR-B]])</f>
        <v>150</v>
      </c>
      <c r="AA952" s="7">
        <f>Tabla1[[#This Row],[Columna1]]-Tabla1[[#This Row],[IMPORTE TOTAL]]</f>
        <v>0</v>
      </c>
    </row>
    <row r="953" spans="1:27" x14ac:dyDescent="0.2">
      <c r="A953">
        <v>2024</v>
      </c>
      <c r="B953" t="s">
        <v>64</v>
      </c>
      <c r="C953" s="51">
        <v>45597</v>
      </c>
      <c r="D953" s="3" t="s">
        <v>41</v>
      </c>
      <c r="E953" s="3" t="s">
        <v>46</v>
      </c>
      <c r="F953" s="3" t="s">
        <v>46</v>
      </c>
      <c r="G953" s="4">
        <v>0.89583333333333337</v>
      </c>
      <c r="H953" s="4">
        <v>0.10416666666666667</v>
      </c>
      <c r="I953" t="s">
        <v>35</v>
      </c>
      <c r="J953">
        <v>1</v>
      </c>
      <c r="L953" s="46"/>
      <c r="P953">
        <v>200</v>
      </c>
      <c r="Q953">
        <v>1</v>
      </c>
      <c r="R953">
        <v>60</v>
      </c>
      <c r="S953" s="7">
        <f>Tabla1[[#This Row],[TARIFA]]+Tabla1[[#This Row],[IMPORTE EXTRAS]]</f>
        <v>260</v>
      </c>
      <c r="T953" t="s">
        <v>45</v>
      </c>
      <c r="U953">
        <v>200</v>
      </c>
      <c r="V953">
        <v>0</v>
      </c>
      <c r="W953">
        <v>60</v>
      </c>
      <c r="X953" s="49">
        <v>0</v>
      </c>
      <c r="Y953" s="49"/>
      <c r="Z953" s="7">
        <f>SUM(Tabla1[[#This Row],[RES-A]:[EXTR-B]])</f>
        <v>260</v>
      </c>
      <c r="AA953" s="7">
        <f>Tabla1[[#This Row],[Columna1]]-Tabla1[[#This Row],[IMPORTE TOTAL]]</f>
        <v>0</v>
      </c>
    </row>
    <row r="954" spans="1:27" x14ac:dyDescent="0.2">
      <c r="A954">
        <v>2024</v>
      </c>
      <c r="B954" t="s">
        <v>64</v>
      </c>
      <c r="C954" s="51">
        <v>45598</v>
      </c>
      <c r="D954" s="3" t="s">
        <v>42</v>
      </c>
      <c r="E954" s="3" t="s">
        <v>46</v>
      </c>
      <c r="F954" s="3" t="s">
        <v>46</v>
      </c>
      <c r="G954" s="4">
        <v>0.39583333333333331</v>
      </c>
      <c r="H954" s="4">
        <v>0.85416666666666663</v>
      </c>
      <c r="I954" t="s">
        <v>32</v>
      </c>
      <c r="J954">
        <v>2</v>
      </c>
      <c r="L954" s="46"/>
      <c r="P954">
        <v>290</v>
      </c>
      <c r="Q954">
        <v>0</v>
      </c>
      <c r="R954">
        <v>0</v>
      </c>
      <c r="S954" s="7">
        <f>Tabla1[[#This Row],[TARIFA]]+Tabla1[[#This Row],[IMPORTE EXTRAS]]</f>
        <v>290</v>
      </c>
      <c r="T954" t="s">
        <v>45</v>
      </c>
      <c r="U954">
        <v>290</v>
      </c>
      <c r="V954">
        <v>0</v>
      </c>
      <c r="W954">
        <v>0</v>
      </c>
      <c r="X954" s="49">
        <v>0</v>
      </c>
      <c r="Y954" s="49"/>
      <c r="Z954" s="7">
        <f>SUM(Tabla1[[#This Row],[RES-A]:[EXTR-B]])</f>
        <v>290</v>
      </c>
      <c r="AA954" s="7">
        <f>Tabla1[[#This Row],[Columna1]]-Tabla1[[#This Row],[IMPORTE TOTAL]]</f>
        <v>0</v>
      </c>
    </row>
    <row r="955" spans="1:27" x14ac:dyDescent="0.2">
      <c r="A955">
        <v>2024</v>
      </c>
      <c r="B955" t="s">
        <v>64</v>
      </c>
      <c r="C955" s="51">
        <v>45599</v>
      </c>
      <c r="D955" s="3" t="s">
        <v>43</v>
      </c>
      <c r="E955" s="3" t="s">
        <v>46</v>
      </c>
      <c r="F955" s="3" t="s">
        <v>46</v>
      </c>
      <c r="G955" s="4">
        <v>0.39583333333333331</v>
      </c>
      <c r="H955" s="4">
        <v>0.60416666666666663</v>
      </c>
      <c r="I955" t="s">
        <v>30</v>
      </c>
      <c r="J955">
        <v>1</v>
      </c>
      <c r="L955" s="46"/>
      <c r="P955">
        <v>150</v>
      </c>
      <c r="Q955">
        <v>0</v>
      </c>
      <c r="R955">
        <v>0</v>
      </c>
      <c r="S955" s="7">
        <f>Tabla1[[#This Row],[TARIFA]]+Tabla1[[#This Row],[IMPORTE EXTRAS]]</f>
        <v>150</v>
      </c>
      <c r="T955" t="s">
        <v>45</v>
      </c>
      <c r="U955">
        <v>50</v>
      </c>
      <c r="V955">
        <v>100</v>
      </c>
      <c r="W955">
        <v>0</v>
      </c>
      <c r="X955" s="49">
        <v>0</v>
      </c>
      <c r="Y955" s="49"/>
      <c r="Z955" s="7">
        <f>SUM(Tabla1[[#This Row],[RES-A]:[EXTR-B]])</f>
        <v>150</v>
      </c>
      <c r="AA955" s="7">
        <f>Tabla1[[#This Row],[Columna1]]-Tabla1[[#This Row],[IMPORTE TOTAL]]</f>
        <v>0</v>
      </c>
    </row>
    <row r="956" spans="1:27" x14ac:dyDescent="0.2">
      <c r="A956">
        <v>2024</v>
      </c>
      <c r="B956" t="s">
        <v>64</v>
      </c>
      <c r="C956" s="51">
        <v>45599</v>
      </c>
      <c r="D956" s="3" t="s">
        <v>43</v>
      </c>
      <c r="E956" s="3" t="s">
        <v>46</v>
      </c>
      <c r="F956" s="3" t="s">
        <v>46</v>
      </c>
      <c r="G956" s="4">
        <v>0.64583333333333337</v>
      </c>
      <c r="H956" s="4">
        <v>0.85416666666666663</v>
      </c>
      <c r="I956" t="s">
        <v>31</v>
      </c>
      <c r="J956">
        <v>1</v>
      </c>
      <c r="L956" s="46"/>
      <c r="P956">
        <v>150</v>
      </c>
      <c r="Q956">
        <v>0</v>
      </c>
      <c r="R956">
        <v>0</v>
      </c>
      <c r="S956" s="7">
        <f>Tabla1[[#This Row],[TARIFA]]+Tabla1[[#This Row],[IMPORTE EXTRAS]]</f>
        <v>150</v>
      </c>
      <c r="T956" t="s">
        <v>45</v>
      </c>
      <c r="U956">
        <v>50</v>
      </c>
      <c r="V956">
        <v>100</v>
      </c>
      <c r="W956">
        <v>0</v>
      </c>
      <c r="X956" s="49">
        <v>0</v>
      </c>
      <c r="Y956" s="49" t="s">
        <v>560</v>
      </c>
      <c r="Z956" s="7">
        <f>SUM(Tabla1[[#This Row],[RES-A]:[EXTR-B]])</f>
        <v>150</v>
      </c>
      <c r="AA956" s="7">
        <f>Tabla1[[#This Row],[Columna1]]-Tabla1[[#This Row],[IMPORTE TOTAL]]</f>
        <v>0</v>
      </c>
    </row>
    <row r="957" spans="1:27" x14ac:dyDescent="0.2">
      <c r="A957">
        <v>2024</v>
      </c>
      <c r="B957" t="s">
        <v>64</v>
      </c>
      <c r="C957" s="51">
        <v>45604</v>
      </c>
      <c r="D957" s="3" t="s">
        <v>41</v>
      </c>
      <c r="E957" s="3" t="s">
        <v>46</v>
      </c>
      <c r="F957" s="3" t="s">
        <v>46</v>
      </c>
      <c r="G957" s="4">
        <v>0.89583333333333337</v>
      </c>
      <c r="H957" s="4">
        <v>0.10416666666666667</v>
      </c>
      <c r="I957" t="s">
        <v>35</v>
      </c>
      <c r="J957">
        <v>1</v>
      </c>
      <c r="L957" s="46"/>
      <c r="P957">
        <v>200</v>
      </c>
      <c r="Q957">
        <v>1</v>
      </c>
      <c r="R957">
        <v>60</v>
      </c>
      <c r="S957" s="7">
        <f>Tabla1[[#This Row],[TARIFA]]+Tabla1[[#This Row],[IMPORTE EXTRAS]]</f>
        <v>260</v>
      </c>
      <c r="T957" t="s">
        <v>45</v>
      </c>
      <c r="U957">
        <v>50</v>
      </c>
      <c r="V957">
        <v>150</v>
      </c>
      <c r="W957">
        <v>0</v>
      </c>
      <c r="X957" s="49">
        <v>60</v>
      </c>
      <c r="Y957" s="49"/>
      <c r="Z957" s="7">
        <f>SUM(Tabla1[[#This Row],[RES-A]:[EXTR-B]])</f>
        <v>260</v>
      </c>
      <c r="AA957" s="7">
        <f>Tabla1[[#This Row],[Columna1]]-Tabla1[[#This Row],[IMPORTE TOTAL]]</f>
        <v>0</v>
      </c>
    </row>
    <row r="958" spans="1:27" x14ac:dyDescent="0.2">
      <c r="A958">
        <v>2024</v>
      </c>
      <c r="B958" t="s">
        <v>64</v>
      </c>
      <c r="C958" s="51">
        <v>45605</v>
      </c>
      <c r="D958" s="3" t="s">
        <v>42</v>
      </c>
      <c r="E958" s="3" t="s">
        <v>46</v>
      </c>
      <c r="F958" s="3" t="s">
        <v>46</v>
      </c>
      <c r="G958" s="4">
        <v>0.39583333333333331</v>
      </c>
      <c r="H958" s="4">
        <v>0.60416666666666663</v>
      </c>
      <c r="I958" t="s">
        <v>30</v>
      </c>
      <c r="J958">
        <v>1</v>
      </c>
      <c r="L958" s="46"/>
      <c r="P958">
        <v>150</v>
      </c>
      <c r="Q958">
        <v>0</v>
      </c>
      <c r="R958">
        <v>0</v>
      </c>
      <c r="S958" s="7">
        <f>Tabla1[[#This Row],[TARIFA]]+Tabla1[[#This Row],[IMPORTE EXTRAS]]</f>
        <v>150</v>
      </c>
      <c r="T958" t="s">
        <v>45</v>
      </c>
      <c r="U958">
        <v>50</v>
      </c>
      <c r="V958">
        <v>100</v>
      </c>
      <c r="W958">
        <v>0</v>
      </c>
      <c r="X958" s="49">
        <v>0</v>
      </c>
      <c r="Y958" s="49"/>
      <c r="Z958" s="7">
        <f>SUM(Tabla1[[#This Row],[RES-A]:[EXTR-B]])</f>
        <v>150</v>
      </c>
      <c r="AA958" s="7">
        <f>Tabla1[[#This Row],[Columna1]]-Tabla1[[#This Row],[IMPORTE TOTAL]]</f>
        <v>0</v>
      </c>
    </row>
    <row r="959" spans="1:27" x14ac:dyDescent="0.2">
      <c r="A959">
        <v>2024</v>
      </c>
      <c r="B959" t="s">
        <v>64</v>
      </c>
      <c r="C959" s="51">
        <v>45605</v>
      </c>
      <c r="D959" s="3" t="s">
        <v>42</v>
      </c>
      <c r="E959" s="3" t="s">
        <v>46</v>
      </c>
      <c r="F959" s="3" t="s">
        <v>46</v>
      </c>
      <c r="G959" s="4">
        <v>0.64583333333333337</v>
      </c>
      <c r="H959" s="4">
        <v>0.85416666666666663</v>
      </c>
      <c r="I959" t="s">
        <v>31</v>
      </c>
      <c r="J959">
        <v>1</v>
      </c>
      <c r="L959" s="46"/>
      <c r="P959">
        <v>150</v>
      </c>
      <c r="Q959">
        <v>0</v>
      </c>
      <c r="R959">
        <v>0</v>
      </c>
      <c r="S959" s="7">
        <f>Tabla1[[#This Row],[TARIFA]]+Tabla1[[#This Row],[IMPORTE EXTRAS]]</f>
        <v>150</v>
      </c>
      <c r="T959" t="s">
        <v>45</v>
      </c>
      <c r="U959">
        <v>150</v>
      </c>
      <c r="V959">
        <v>0</v>
      </c>
      <c r="W959">
        <v>0</v>
      </c>
      <c r="X959" s="49">
        <v>0</v>
      </c>
      <c r="Y959" s="49"/>
      <c r="Z959" s="7">
        <f>SUM(Tabla1[[#This Row],[RES-A]:[EXTR-B]])</f>
        <v>150</v>
      </c>
      <c r="AA959" s="7">
        <f>Tabla1[[#This Row],[Columna1]]-Tabla1[[#This Row],[IMPORTE TOTAL]]</f>
        <v>0</v>
      </c>
    </row>
    <row r="960" spans="1:27" x14ac:dyDescent="0.2">
      <c r="A960">
        <v>2024</v>
      </c>
      <c r="B960" t="s">
        <v>64</v>
      </c>
      <c r="C960" s="51">
        <v>45605</v>
      </c>
      <c r="D960" s="3" t="s">
        <v>42</v>
      </c>
      <c r="E960" s="3" t="s">
        <v>46</v>
      </c>
      <c r="F960" s="3" t="s">
        <v>46</v>
      </c>
      <c r="G960" s="4">
        <v>0.89583333333333337</v>
      </c>
      <c r="H960" s="4">
        <v>0.10416666666666667</v>
      </c>
      <c r="I960" t="s">
        <v>35</v>
      </c>
      <c r="J960">
        <v>1</v>
      </c>
      <c r="L960" s="46"/>
      <c r="P960">
        <v>200</v>
      </c>
      <c r="Q960">
        <v>0</v>
      </c>
      <c r="R960">
        <v>0</v>
      </c>
      <c r="S960" s="7">
        <f>Tabla1[[#This Row],[TARIFA]]+Tabla1[[#This Row],[IMPORTE EXTRAS]]</f>
        <v>200</v>
      </c>
      <c r="T960" t="s">
        <v>45</v>
      </c>
      <c r="U960">
        <v>200</v>
      </c>
      <c r="V960">
        <v>0</v>
      </c>
      <c r="W960">
        <v>0</v>
      </c>
      <c r="X960" s="49">
        <v>0</v>
      </c>
      <c r="Y960" s="49" t="s">
        <v>561</v>
      </c>
      <c r="Z960" s="7">
        <f>SUM(Tabla1[[#This Row],[RES-A]:[EXTR-B]])</f>
        <v>200</v>
      </c>
      <c r="AA960" s="7">
        <f>Tabla1[[#This Row],[Columna1]]-Tabla1[[#This Row],[IMPORTE TOTAL]]</f>
        <v>0</v>
      </c>
    </row>
    <row r="961" spans="1:27" x14ac:dyDescent="0.2">
      <c r="A961">
        <v>2024</v>
      </c>
      <c r="B961" t="s">
        <v>64</v>
      </c>
      <c r="C961" s="51">
        <v>45606</v>
      </c>
      <c r="D961" s="3" t="s">
        <v>43</v>
      </c>
      <c r="E961" s="3" t="s">
        <v>46</v>
      </c>
      <c r="F961" s="3" t="s">
        <v>46</v>
      </c>
      <c r="G961" s="4">
        <v>0.39583333333333331</v>
      </c>
      <c r="H961" s="4">
        <v>0.85416666666666663</v>
      </c>
      <c r="I961" t="s">
        <v>32</v>
      </c>
      <c r="J961">
        <v>2</v>
      </c>
      <c r="L961" s="46"/>
      <c r="P961">
        <v>290</v>
      </c>
      <c r="Q961">
        <v>0</v>
      </c>
      <c r="R961">
        <v>0</v>
      </c>
      <c r="S961" s="7">
        <f>Tabla1[[#This Row],[TARIFA]]+Tabla1[[#This Row],[IMPORTE EXTRAS]]</f>
        <v>290</v>
      </c>
      <c r="T961" t="s">
        <v>45</v>
      </c>
      <c r="U961">
        <v>290</v>
      </c>
      <c r="V961">
        <v>0</v>
      </c>
      <c r="W961">
        <v>0</v>
      </c>
      <c r="X961" s="49">
        <v>0</v>
      </c>
      <c r="Y961" s="49"/>
      <c r="Z961" s="7">
        <f>SUM(Tabla1[[#This Row],[RES-A]:[EXTR-B]])</f>
        <v>290</v>
      </c>
      <c r="AA961" s="7">
        <f>Tabla1[[#This Row],[Columna1]]-Tabla1[[#This Row],[IMPORTE TOTAL]]</f>
        <v>0</v>
      </c>
    </row>
    <row r="962" spans="1:27" x14ac:dyDescent="0.2">
      <c r="A962">
        <v>2024</v>
      </c>
      <c r="B962" t="s">
        <v>64</v>
      </c>
      <c r="C962" s="51">
        <v>45608</v>
      </c>
      <c r="D962" s="3" t="s">
        <v>38</v>
      </c>
      <c r="E962" s="3" t="s">
        <v>46</v>
      </c>
      <c r="F962" s="3" t="s">
        <v>46</v>
      </c>
      <c r="G962" s="4">
        <v>0.39583333333333331</v>
      </c>
      <c r="H962" s="4">
        <v>0.85416666666666663</v>
      </c>
      <c r="I962" t="s">
        <v>32</v>
      </c>
      <c r="J962">
        <v>2</v>
      </c>
      <c r="L962" s="46"/>
      <c r="P962">
        <v>150</v>
      </c>
      <c r="Q962">
        <v>0</v>
      </c>
      <c r="R962">
        <v>0</v>
      </c>
      <c r="S962" s="7">
        <f>Tabla1[[#This Row],[TARIFA]]+Tabla1[[#This Row],[IMPORTE EXTRAS]]</f>
        <v>150</v>
      </c>
      <c r="T962" t="s">
        <v>45</v>
      </c>
      <c r="U962">
        <v>50</v>
      </c>
      <c r="V962">
        <v>100</v>
      </c>
      <c r="W962">
        <v>0</v>
      </c>
      <c r="X962" s="49">
        <v>0</v>
      </c>
      <c r="Y962" s="49"/>
      <c r="Z962" s="7">
        <f>SUM(Tabla1[[#This Row],[RES-A]:[EXTR-B]])</f>
        <v>150</v>
      </c>
      <c r="AA962" s="7">
        <f>Tabla1[[#This Row],[Columna1]]-Tabla1[[#This Row],[IMPORTE TOTAL]]</f>
        <v>0</v>
      </c>
    </row>
    <row r="963" spans="1:27" x14ac:dyDescent="0.2">
      <c r="A963">
        <v>2024</v>
      </c>
      <c r="B963" t="s">
        <v>64</v>
      </c>
      <c r="C963" s="51">
        <v>45611</v>
      </c>
      <c r="D963" s="3" t="s">
        <v>41</v>
      </c>
      <c r="E963" s="3" t="s">
        <v>46</v>
      </c>
      <c r="F963" s="3" t="s">
        <v>46</v>
      </c>
      <c r="G963" s="4">
        <v>0.89583333333333337</v>
      </c>
      <c r="H963" s="4">
        <v>0.10416666666666667</v>
      </c>
      <c r="I963" t="s">
        <v>35</v>
      </c>
      <c r="J963">
        <v>1</v>
      </c>
      <c r="L963" s="46"/>
      <c r="P963">
        <v>200</v>
      </c>
      <c r="Q963">
        <v>0</v>
      </c>
      <c r="R963">
        <v>0</v>
      </c>
      <c r="S963" s="7">
        <f>Tabla1[[#This Row],[TARIFA]]+Tabla1[[#This Row],[IMPORTE EXTRAS]]</f>
        <v>200</v>
      </c>
      <c r="T963" t="s">
        <v>45</v>
      </c>
      <c r="U963">
        <v>50</v>
      </c>
      <c r="V963">
        <v>150</v>
      </c>
      <c r="W963">
        <v>0</v>
      </c>
      <c r="X963" s="49">
        <v>0</v>
      </c>
      <c r="Y963" s="49"/>
      <c r="Z963" s="7">
        <f>SUM(Tabla1[[#This Row],[RES-A]:[EXTR-B]])</f>
        <v>200</v>
      </c>
      <c r="AA963" s="7">
        <f>Tabla1[[#This Row],[Columna1]]-Tabla1[[#This Row],[IMPORTE TOTAL]]</f>
        <v>0</v>
      </c>
    </row>
    <row r="964" spans="1:27" x14ac:dyDescent="0.2">
      <c r="A964">
        <v>2024</v>
      </c>
      <c r="B964" t="s">
        <v>64</v>
      </c>
      <c r="C964" s="51">
        <v>45612</v>
      </c>
      <c r="D964" s="3" t="s">
        <v>42</v>
      </c>
      <c r="E964" s="3" t="s">
        <v>46</v>
      </c>
      <c r="F964" s="3" t="s">
        <v>46</v>
      </c>
      <c r="G964" s="4">
        <v>0.39583333333333331</v>
      </c>
      <c r="H964" s="4">
        <v>0.60416666666666663</v>
      </c>
      <c r="I964" t="s">
        <v>30</v>
      </c>
      <c r="J964">
        <v>1</v>
      </c>
      <c r="L964" s="46"/>
      <c r="P964">
        <v>150</v>
      </c>
      <c r="Q964">
        <v>0</v>
      </c>
      <c r="R964">
        <v>0</v>
      </c>
      <c r="S964" s="7">
        <f>Tabla1[[#This Row],[TARIFA]]+Tabla1[[#This Row],[IMPORTE EXTRAS]]</f>
        <v>150</v>
      </c>
      <c r="T964" t="s">
        <v>45</v>
      </c>
      <c r="U964">
        <v>50</v>
      </c>
      <c r="V964">
        <v>100</v>
      </c>
      <c r="W964">
        <v>0</v>
      </c>
      <c r="X964" s="49">
        <v>0</v>
      </c>
      <c r="Y964" s="49"/>
      <c r="Z964" s="7">
        <f>SUM(Tabla1[[#This Row],[RES-A]:[EXTR-B]])</f>
        <v>150</v>
      </c>
      <c r="AA964" s="7">
        <f>Tabla1[[#This Row],[Columna1]]-Tabla1[[#This Row],[IMPORTE TOTAL]]</f>
        <v>0</v>
      </c>
    </row>
    <row r="965" spans="1:27" x14ac:dyDescent="0.2">
      <c r="A965">
        <v>2024</v>
      </c>
      <c r="B965" t="s">
        <v>64</v>
      </c>
      <c r="C965" s="51">
        <v>45612</v>
      </c>
      <c r="D965" s="3" t="s">
        <v>42</v>
      </c>
      <c r="E965" s="3" t="s">
        <v>46</v>
      </c>
      <c r="F965" s="3" t="s">
        <v>46</v>
      </c>
      <c r="G965" s="4">
        <v>0.64583333333333337</v>
      </c>
      <c r="H965" s="4">
        <v>0.85416666666666663</v>
      </c>
      <c r="I965" t="s">
        <v>31</v>
      </c>
      <c r="J965">
        <v>1</v>
      </c>
      <c r="L965" s="46"/>
      <c r="P965">
        <v>150</v>
      </c>
      <c r="Q965">
        <v>0</v>
      </c>
      <c r="R965">
        <v>0</v>
      </c>
      <c r="S965" s="7">
        <f>Tabla1[[#This Row],[TARIFA]]+Tabla1[[#This Row],[IMPORTE EXTRAS]]</f>
        <v>150</v>
      </c>
      <c r="T965" t="s">
        <v>45</v>
      </c>
      <c r="U965">
        <v>50</v>
      </c>
      <c r="V965">
        <v>100</v>
      </c>
      <c r="W965">
        <v>0</v>
      </c>
      <c r="X965" s="49">
        <v>0</v>
      </c>
      <c r="Y965" s="49"/>
      <c r="Z965" s="7">
        <f>SUM(Tabla1[[#This Row],[RES-A]:[EXTR-B]])</f>
        <v>150</v>
      </c>
      <c r="AA965" s="7">
        <f>Tabla1[[#This Row],[Columna1]]-Tabla1[[#This Row],[IMPORTE TOTAL]]</f>
        <v>0</v>
      </c>
    </row>
    <row r="966" spans="1:27" x14ac:dyDescent="0.2">
      <c r="A966">
        <v>2024</v>
      </c>
      <c r="B966" t="s">
        <v>64</v>
      </c>
      <c r="C966" s="51">
        <v>45612</v>
      </c>
      <c r="D966" s="3" t="s">
        <v>42</v>
      </c>
      <c r="E966" s="3" t="s">
        <v>46</v>
      </c>
      <c r="F966" s="3" t="s">
        <v>46</v>
      </c>
      <c r="G966" s="4">
        <v>0.89583333333333337</v>
      </c>
      <c r="H966" s="4">
        <v>0.10416666666666667</v>
      </c>
      <c r="I966" t="s">
        <v>35</v>
      </c>
      <c r="J966">
        <v>1</v>
      </c>
      <c r="L966" s="46"/>
      <c r="P966">
        <v>200</v>
      </c>
      <c r="Q966">
        <v>1</v>
      </c>
      <c r="R966">
        <v>60</v>
      </c>
      <c r="S966" s="7">
        <f>Tabla1[[#This Row],[TARIFA]]+Tabla1[[#This Row],[IMPORTE EXTRAS]]</f>
        <v>260</v>
      </c>
      <c r="T966" t="s">
        <v>45</v>
      </c>
      <c r="U966">
        <v>50</v>
      </c>
      <c r="V966">
        <v>150</v>
      </c>
      <c r="W966">
        <v>0</v>
      </c>
      <c r="X966" s="49">
        <v>60</v>
      </c>
      <c r="Y966" s="49"/>
      <c r="Z966" s="7">
        <f>SUM(Tabla1[[#This Row],[RES-A]:[EXTR-B]])</f>
        <v>260</v>
      </c>
      <c r="AA966" s="7">
        <f>Tabla1[[#This Row],[Columna1]]-Tabla1[[#This Row],[IMPORTE TOTAL]]</f>
        <v>0</v>
      </c>
    </row>
    <row r="967" spans="1:27" x14ac:dyDescent="0.2">
      <c r="A967">
        <v>2024</v>
      </c>
      <c r="B967" t="s">
        <v>64</v>
      </c>
      <c r="C967" s="51">
        <v>45613</v>
      </c>
      <c r="D967" s="3" t="s">
        <v>43</v>
      </c>
      <c r="E967" s="3" t="s">
        <v>46</v>
      </c>
      <c r="F967" s="3" t="s">
        <v>46</v>
      </c>
      <c r="G967" s="4">
        <v>0.39583333333333331</v>
      </c>
      <c r="H967" s="4">
        <v>0.85416666666666663</v>
      </c>
      <c r="I967" t="s">
        <v>32</v>
      </c>
      <c r="J967">
        <v>2</v>
      </c>
      <c r="L967" s="46"/>
      <c r="P967">
        <v>290</v>
      </c>
      <c r="Q967">
        <v>0</v>
      </c>
      <c r="R967">
        <v>0</v>
      </c>
      <c r="S967" s="7">
        <f>Tabla1[[#This Row],[TARIFA]]+Tabla1[[#This Row],[IMPORTE EXTRAS]]</f>
        <v>290</v>
      </c>
      <c r="T967" t="s">
        <v>45</v>
      </c>
      <c r="U967">
        <v>50</v>
      </c>
      <c r="V967">
        <v>240</v>
      </c>
      <c r="W967">
        <v>0</v>
      </c>
      <c r="X967" s="49">
        <v>0</v>
      </c>
      <c r="Y967" s="49"/>
      <c r="Z967" s="7">
        <f>SUM(Tabla1[[#This Row],[RES-A]:[EXTR-B]])</f>
        <v>290</v>
      </c>
      <c r="AA967" s="7">
        <f>Tabla1[[#This Row],[Columna1]]-Tabla1[[#This Row],[IMPORTE TOTAL]]</f>
        <v>0</v>
      </c>
    </row>
    <row r="968" spans="1:27" x14ac:dyDescent="0.2">
      <c r="A968">
        <v>2024</v>
      </c>
      <c r="B968" t="s">
        <v>64</v>
      </c>
      <c r="C968" s="51">
        <v>45618</v>
      </c>
      <c r="D968" s="3" t="s">
        <v>41</v>
      </c>
      <c r="E968" s="3" t="s">
        <v>46</v>
      </c>
      <c r="F968" s="3" t="s">
        <v>46</v>
      </c>
      <c r="G968" s="4">
        <v>0.64583333333333337</v>
      </c>
      <c r="H968" s="4">
        <v>0.85416666666666663</v>
      </c>
      <c r="I968" t="s">
        <v>31</v>
      </c>
      <c r="J968">
        <v>1</v>
      </c>
      <c r="L968" s="46"/>
      <c r="P968">
        <v>140</v>
      </c>
      <c r="Q968">
        <v>0</v>
      </c>
      <c r="R968">
        <v>0</v>
      </c>
      <c r="S968" s="7">
        <f>Tabla1[[#This Row],[TARIFA]]+Tabla1[[#This Row],[IMPORTE EXTRAS]]</f>
        <v>140</v>
      </c>
      <c r="T968" t="s">
        <v>45</v>
      </c>
      <c r="U968">
        <v>50</v>
      </c>
      <c r="V968">
        <v>90</v>
      </c>
      <c r="W968">
        <v>0</v>
      </c>
      <c r="X968" s="49">
        <v>0</v>
      </c>
      <c r="Y968" s="49"/>
      <c r="Z968" s="7">
        <f>SUM(Tabla1[[#This Row],[RES-A]:[EXTR-B]])</f>
        <v>140</v>
      </c>
      <c r="AA968" s="7">
        <f>Tabla1[[#This Row],[Columna1]]-Tabla1[[#This Row],[IMPORTE TOTAL]]</f>
        <v>0</v>
      </c>
    </row>
    <row r="969" spans="1:27" x14ac:dyDescent="0.2">
      <c r="A969">
        <v>2024</v>
      </c>
      <c r="B969" t="s">
        <v>64</v>
      </c>
      <c r="C969" s="51">
        <v>45618</v>
      </c>
      <c r="D969" s="3" t="s">
        <v>41</v>
      </c>
      <c r="E969" s="3" t="s">
        <v>46</v>
      </c>
      <c r="F969" s="3" t="s">
        <v>46</v>
      </c>
      <c r="G969" s="4">
        <v>0.89583333333333337</v>
      </c>
      <c r="H969" s="4">
        <v>0.10416666666666667</v>
      </c>
      <c r="I969" t="s">
        <v>35</v>
      </c>
      <c r="J969">
        <v>1</v>
      </c>
      <c r="L969" s="46"/>
      <c r="P969">
        <v>200</v>
      </c>
      <c r="Q969">
        <v>0</v>
      </c>
      <c r="R969">
        <v>0</v>
      </c>
      <c r="S969" s="7">
        <f>Tabla1[[#This Row],[TARIFA]]+Tabla1[[#This Row],[IMPORTE EXTRAS]]</f>
        <v>200</v>
      </c>
      <c r="T969" t="s">
        <v>45</v>
      </c>
      <c r="U969">
        <v>0</v>
      </c>
      <c r="V969">
        <v>200</v>
      </c>
      <c r="W969">
        <v>0</v>
      </c>
      <c r="X969" s="49">
        <v>0</v>
      </c>
      <c r="Y969" s="49" t="s">
        <v>560</v>
      </c>
      <c r="Z969" s="7">
        <f>SUM(Tabla1[[#This Row],[RES-A]:[EXTR-B]])</f>
        <v>200</v>
      </c>
      <c r="AA969" s="7">
        <f>Tabla1[[#This Row],[Columna1]]-Tabla1[[#This Row],[IMPORTE TOTAL]]</f>
        <v>0</v>
      </c>
    </row>
    <row r="970" spans="1:27" x14ac:dyDescent="0.2">
      <c r="A970">
        <v>2024</v>
      </c>
      <c r="B970" t="s">
        <v>64</v>
      </c>
      <c r="C970" s="51">
        <v>45619</v>
      </c>
      <c r="D970" s="3" t="s">
        <v>42</v>
      </c>
      <c r="E970" s="3" t="s">
        <v>46</v>
      </c>
      <c r="F970" s="3" t="s">
        <v>46</v>
      </c>
      <c r="G970" s="4">
        <v>0.39583333333333331</v>
      </c>
      <c r="H970" s="4">
        <v>0.60416666666666663</v>
      </c>
      <c r="I970" t="s">
        <v>30</v>
      </c>
      <c r="J970">
        <v>1</v>
      </c>
      <c r="L970" s="46"/>
      <c r="P970">
        <v>150</v>
      </c>
      <c r="Q970">
        <v>0</v>
      </c>
      <c r="R970">
        <v>0</v>
      </c>
      <c r="S970" s="7">
        <f>Tabla1[[#This Row],[TARIFA]]+Tabla1[[#This Row],[IMPORTE EXTRAS]]</f>
        <v>150</v>
      </c>
      <c r="T970" t="s">
        <v>45</v>
      </c>
      <c r="U970">
        <v>50</v>
      </c>
      <c r="V970">
        <v>100</v>
      </c>
      <c r="W970">
        <v>0</v>
      </c>
      <c r="X970" s="49">
        <v>0</v>
      </c>
      <c r="Y970" s="49"/>
      <c r="Z970" s="7">
        <f>SUM(Tabla1[[#This Row],[RES-A]:[EXTR-B]])</f>
        <v>150</v>
      </c>
      <c r="AA970" s="7">
        <f>Tabla1[[#This Row],[Columna1]]-Tabla1[[#This Row],[IMPORTE TOTAL]]</f>
        <v>0</v>
      </c>
    </row>
    <row r="971" spans="1:27" x14ac:dyDescent="0.2">
      <c r="A971">
        <v>2024</v>
      </c>
      <c r="B971" t="s">
        <v>64</v>
      </c>
      <c r="C971" s="51">
        <v>45619</v>
      </c>
      <c r="D971" s="3" t="s">
        <v>42</v>
      </c>
      <c r="E971" s="3" t="s">
        <v>46</v>
      </c>
      <c r="F971" s="3" t="s">
        <v>46</v>
      </c>
      <c r="G971" s="4">
        <v>0.64583333333333337</v>
      </c>
      <c r="H971" s="4">
        <v>0.85416666666666663</v>
      </c>
      <c r="I971" t="s">
        <v>31</v>
      </c>
      <c r="J971">
        <v>1</v>
      </c>
      <c r="L971" s="46"/>
      <c r="P971">
        <v>150</v>
      </c>
      <c r="Q971">
        <v>0</v>
      </c>
      <c r="R971">
        <v>0</v>
      </c>
      <c r="S971" s="7">
        <f>Tabla1[[#This Row],[TARIFA]]+Tabla1[[#This Row],[IMPORTE EXTRAS]]</f>
        <v>150</v>
      </c>
      <c r="T971" t="s">
        <v>45</v>
      </c>
      <c r="U971">
        <v>50</v>
      </c>
      <c r="V971">
        <v>100</v>
      </c>
      <c r="W971">
        <v>0</v>
      </c>
      <c r="X971" s="49">
        <v>0</v>
      </c>
      <c r="Y971" s="49"/>
      <c r="Z971" s="7">
        <f>SUM(Tabla1[[#This Row],[RES-A]:[EXTR-B]])</f>
        <v>150</v>
      </c>
      <c r="AA971" s="7">
        <f>Tabla1[[#This Row],[Columna1]]-Tabla1[[#This Row],[IMPORTE TOTAL]]</f>
        <v>0</v>
      </c>
    </row>
    <row r="972" spans="1:27" x14ac:dyDescent="0.2">
      <c r="A972">
        <v>2024</v>
      </c>
      <c r="B972" t="s">
        <v>64</v>
      </c>
      <c r="C972" s="51">
        <v>45619</v>
      </c>
      <c r="D972" s="3" t="s">
        <v>42</v>
      </c>
      <c r="E972" s="3" t="s">
        <v>46</v>
      </c>
      <c r="F972" s="3" t="s">
        <v>46</v>
      </c>
      <c r="G972" s="4">
        <v>0.89583333333333337</v>
      </c>
      <c r="H972" s="4">
        <v>0.10416666666666667</v>
      </c>
      <c r="I972" t="s">
        <v>35</v>
      </c>
      <c r="J972">
        <v>1</v>
      </c>
      <c r="L972" s="46"/>
      <c r="P972">
        <v>200</v>
      </c>
      <c r="Q972">
        <v>0</v>
      </c>
      <c r="R972">
        <v>0</v>
      </c>
      <c r="S972" s="7">
        <f>Tabla1[[#This Row],[TARIFA]]+Tabla1[[#This Row],[IMPORTE EXTRAS]]</f>
        <v>200</v>
      </c>
      <c r="T972" t="s">
        <v>45</v>
      </c>
      <c r="U972">
        <v>0</v>
      </c>
      <c r="V972">
        <v>200</v>
      </c>
      <c r="W972">
        <v>0</v>
      </c>
      <c r="X972" s="49">
        <v>0</v>
      </c>
      <c r="Y972" s="49" t="s">
        <v>560</v>
      </c>
      <c r="Z972" s="7">
        <f>SUM(Tabla1[[#This Row],[RES-A]:[EXTR-B]])</f>
        <v>200</v>
      </c>
      <c r="AA972" s="7">
        <f>Tabla1[[#This Row],[Columna1]]-Tabla1[[#This Row],[IMPORTE TOTAL]]</f>
        <v>0</v>
      </c>
    </row>
    <row r="973" spans="1:27" x14ac:dyDescent="0.2">
      <c r="A973">
        <v>2024</v>
      </c>
      <c r="B973" t="s">
        <v>64</v>
      </c>
      <c r="C973" s="51">
        <v>45620</v>
      </c>
      <c r="D973" s="3" t="s">
        <v>43</v>
      </c>
      <c r="E973" s="3" t="s">
        <v>46</v>
      </c>
      <c r="F973" s="3" t="s">
        <v>46</v>
      </c>
      <c r="G973" s="4">
        <v>0.39583333333333331</v>
      </c>
      <c r="H973" s="4">
        <v>0.60416666666666663</v>
      </c>
      <c r="I973" t="s">
        <v>30</v>
      </c>
      <c r="J973">
        <v>1</v>
      </c>
      <c r="L973" s="46"/>
      <c r="P973">
        <v>150</v>
      </c>
      <c r="Q973">
        <v>0</v>
      </c>
      <c r="R973">
        <v>0</v>
      </c>
      <c r="S973" s="7">
        <v>150</v>
      </c>
      <c r="T973" t="s">
        <v>45</v>
      </c>
      <c r="U973">
        <v>50</v>
      </c>
      <c r="V973">
        <v>100</v>
      </c>
      <c r="W973">
        <v>0</v>
      </c>
      <c r="X973" s="49">
        <v>0</v>
      </c>
      <c r="Y973" s="49"/>
      <c r="Z973" s="7">
        <f>SUM(Tabla1[[#This Row],[RES-A]:[EXTR-B]])</f>
        <v>150</v>
      </c>
      <c r="AA973" s="7">
        <f>Tabla1[[#This Row],[Columna1]]-Tabla1[[#This Row],[IMPORTE TOTAL]]</f>
        <v>0</v>
      </c>
    </row>
    <row r="974" spans="1:27" x14ac:dyDescent="0.2">
      <c r="A974">
        <v>2024</v>
      </c>
      <c r="B974" t="s">
        <v>64</v>
      </c>
      <c r="C974" s="51">
        <v>45620</v>
      </c>
      <c r="D974" s="3" t="s">
        <v>43</v>
      </c>
      <c r="E974" s="3" t="s">
        <v>46</v>
      </c>
      <c r="F974" s="3" t="s">
        <v>46</v>
      </c>
      <c r="G974" s="4">
        <v>0.64583333333333337</v>
      </c>
      <c r="H974" s="4">
        <v>0.85416666666666663</v>
      </c>
      <c r="I974" t="s">
        <v>31</v>
      </c>
      <c r="J974">
        <v>1</v>
      </c>
      <c r="L974" s="46"/>
      <c r="P974">
        <v>150</v>
      </c>
      <c r="Q974">
        <v>0</v>
      </c>
      <c r="R974">
        <v>0</v>
      </c>
      <c r="S974" s="7">
        <f>Tabla1[[#This Row],[TARIFA]]+Tabla1[[#This Row],[IMPORTE EXTRAS]]</f>
        <v>150</v>
      </c>
      <c r="T974" t="s">
        <v>45</v>
      </c>
      <c r="U974">
        <v>50</v>
      </c>
      <c r="V974">
        <v>100</v>
      </c>
      <c r="W974">
        <v>0</v>
      </c>
      <c r="X974" s="49">
        <v>0</v>
      </c>
      <c r="Y974" s="49"/>
      <c r="Z974" s="7">
        <f>SUM(Tabla1[[#This Row],[RES-A]:[EXTR-B]])</f>
        <v>150</v>
      </c>
      <c r="AA974" s="7">
        <f>Tabla1[[#This Row],[Columna1]]-Tabla1[[#This Row],[IMPORTE TOTAL]]</f>
        <v>0</v>
      </c>
    </row>
    <row r="975" spans="1:27" x14ac:dyDescent="0.2">
      <c r="A975">
        <v>2024</v>
      </c>
      <c r="B975" t="s">
        <v>64</v>
      </c>
      <c r="C975" s="51">
        <v>45624</v>
      </c>
      <c r="D975" s="3" t="s">
        <v>40</v>
      </c>
      <c r="E975" s="3" t="s">
        <v>46</v>
      </c>
      <c r="F975" s="3" t="s">
        <v>46</v>
      </c>
      <c r="G975" s="4">
        <v>0.89583333333333337</v>
      </c>
      <c r="H975" s="4">
        <v>0.10416666666666667</v>
      </c>
      <c r="I975" t="s">
        <v>35</v>
      </c>
      <c r="J975">
        <v>1</v>
      </c>
      <c r="L975" s="46"/>
      <c r="P975">
        <v>200</v>
      </c>
      <c r="Q975">
        <v>0</v>
      </c>
      <c r="R975">
        <v>0</v>
      </c>
      <c r="S975" s="7">
        <f>Tabla1[[#This Row],[TARIFA]]+Tabla1[[#This Row],[IMPORTE EXTRAS]]</f>
        <v>200</v>
      </c>
      <c r="T975" t="s">
        <v>45</v>
      </c>
      <c r="U975">
        <v>200</v>
      </c>
      <c r="V975">
        <v>0</v>
      </c>
      <c r="W975">
        <v>0</v>
      </c>
      <c r="X975" s="49">
        <v>0</v>
      </c>
      <c r="Y975" s="49"/>
      <c r="Z975" s="7">
        <f>SUM(Tabla1[[#This Row],[RES-A]:[EXTR-B]])</f>
        <v>200</v>
      </c>
      <c r="AA975" s="7">
        <f>Tabla1[[#This Row],[Columna1]]-Tabla1[[#This Row],[IMPORTE TOTAL]]</f>
        <v>0</v>
      </c>
    </row>
    <row r="976" spans="1:27" x14ac:dyDescent="0.2">
      <c r="A976">
        <v>2024</v>
      </c>
      <c r="B976" t="s">
        <v>64</v>
      </c>
      <c r="C976" s="51">
        <v>45625</v>
      </c>
      <c r="D976" s="3" t="s">
        <v>41</v>
      </c>
      <c r="E976" s="3" t="s">
        <v>46</v>
      </c>
      <c r="F976" s="3" t="s">
        <v>46</v>
      </c>
      <c r="G976" s="4">
        <v>0.64583333333333337</v>
      </c>
      <c r="H976" s="4">
        <v>0.85416666666666663</v>
      </c>
      <c r="I976" t="s">
        <v>31</v>
      </c>
      <c r="J976">
        <v>1</v>
      </c>
      <c r="L976" s="46"/>
      <c r="P976">
        <v>140</v>
      </c>
      <c r="Q976">
        <v>0</v>
      </c>
      <c r="R976">
        <v>0</v>
      </c>
      <c r="S976" s="7">
        <f>Tabla1[[#This Row],[TARIFA]]+Tabla1[[#This Row],[IMPORTE EXTRAS]]</f>
        <v>140</v>
      </c>
      <c r="T976" t="s">
        <v>45</v>
      </c>
      <c r="U976">
        <v>50</v>
      </c>
      <c r="V976">
        <v>90</v>
      </c>
      <c r="W976">
        <v>0</v>
      </c>
      <c r="X976" s="49">
        <v>0</v>
      </c>
      <c r="Y976" s="49" t="s">
        <v>543</v>
      </c>
      <c r="Z976" s="7">
        <f>SUM(Tabla1[[#This Row],[RES-A]:[EXTR-B]])</f>
        <v>140</v>
      </c>
      <c r="AA976" s="7">
        <f>Tabla1[[#This Row],[Columna1]]-Tabla1[[#This Row],[IMPORTE TOTAL]]</f>
        <v>0</v>
      </c>
    </row>
    <row r="977" spans="1:27" x14ac:dyDescent="0.2">
      <c r="A977">
        <v>2024</v>
      </c>
      <c r="B977" t="s">
        <v>64</v>
      </c>
      <c r="C977" s="51">
        <v>45625</v>
      </c>
      <c r="D977" s="3" t="s">
        <v>41</v>
      </c>
      <c r="E977" s="3" t="s">
        <v>46</v>
      </c>
      <c r="F977" s="3" t="s">
        <v>46</v>
      </c>
      <c r="G977" s="4">
        <v>0.89583333333333337</v>
      </c>
      <c r="H977" s="4">
        <v>0.10416666666666667</v>
      </c>
      <c r="I977" t="s">
        <v>35</v>
      </c>
      <c r="J977">
        <v>1</v>
      </c>
      <c r="L977" s="46"/>
      <c r="P977">
        <v>200</v>
      </c>
      <c r="Q977">
        <v>1</v>
      </c>
      <c r="R977">
        <v>160</v>
      </c>
      <c r="S977" s="7">
        <f>Tabla1[[#This Row],[TARIFA]]+Tabla1[[#This Row],[IMPORTE EXTRAS]]</f>
        <v>360</v>
      </c>
      <c r="T977" t="s">
        <v>45</v>
      </c>
      <c r="U977">
        <v>200</v>
      </c>
      <c r="V977">
        <v>0</v>
      </c>
      <c r="W977">
        <v>100</v>
      </c>
      <c r="X977" s="49">
        <v>60</v>
      </c>
      <c r="Y977" s="49" t="s">
        <v>560</v>
      </c>
      <c r="Z977" s="7">
        <f>SUM(Tabla1[[#This Row],[RES-A]:[EXTR-B]])</f>
        <v>360</v>
      </c>
      <c r="AA977" s="7">
        <f>Tabla1[[#This Row],[Columna1]]-Tabla1[[#This Row],[IMPORTE TOTAL]]</f>
        <v>0</v>
      </c>
    </row>
    <row r="978" spans="1:27" x14ac:dyDescent="0.2">
      <c r="A978">
        <v>2024</v>
      </c>
      <c r="B978" t="s">
        <v>64</v>
      </c>
      <c r="C978" s="51">
        <v>45626</v>
      </c>
      <c r="D978" s="3" t="s">
        <v>42</v>
      </c>
      <c r="E978" s="3" t="s">
        <v>46</v>
      </c>
      <c r="F978" s="3" t="s">
        <v>46</v>
      </c>
      <c r="G978" s="4">
        <v>0.39583333333333331</v>
      </c>
      <c r="H978" s="4">
        <v>0.60416666666666663</v>
      </c>
      <c r="I978" t="s">
        <v>30</v>
      </c>
      <c r="J978">
        <v>1</v>
      </c>
      <c r="L978" s="46"/>
      <c r="P978">
        <v>150</v>
      </c>
      <c r="Q978">
        <v>1</v>
      </c>
      <c r="R978">
        <v>20</v>
      </c>
      <c r="S978" s="7">
        <f>Tabla1[[#This Row],[TARIFA]]+Tabla1[[#This Row],[IMPORTE EXTRAS]]</f>
        <v>170</v>
      </c>
      <c r="T978" t="s">
        <v>45</v>
      </c>
      <c r="U978">
        <v>50</v>
      </c>
      <c r="V978">
        <v>100</v>
      </c>
      <c r="W978">
        <v>0</v>
      </c>
      <c r="X978" s="49">
        <v>20</v>
      </c>
      <c r="Y978" s="49" t="s">
        <v>665</v>
      </c>
      <c r="Z978" s="7">
        <f>SUM(Tabla1[[#This Row],[RES-A]:[EXTR-B]])</f>
        <v>170</v>
      </c>
      <c r="AA978" s="7">
        <f>Tabla1[[#This Row],[Columna1]]-Tabla1[[#This Row],[IMPORTE TOTAL]]</f>
        <v>0</v>
      </c>
    </row>
    <row r="979" spans="1:27" x14ac:dyDescent="0.2">
      <c r="A979">
        <v>2024</v>
      </c>
      <c r="B979" t="s">
        <v>64</v>
      </c>
      <c r="C979" s="51">
        <v>45626</v>
      </c>
      <c r="D979" s="3" t="s">
        <v>42</v>
      </c>
      <c r="E979" s="3" t="s">
        <v>46</v>
      </c>
      <c r="F979" s="3" t="s">
        <v>46</v>
      </c>
      <c r="G979" s="4">
        <v>0.89583333333333337</v>
      </c>
      <c r="H979" s="4">
        <v>0.10416666666666667</v>
      </c>
      <c r="I979" t="s">
        <v>35</v>
      </c>
      <c r="J979">
        <v>1</v>
      </c>
      <c r="L979" s="46"/>
      <c r="P979">
        <v>200</v>
      </c>
      <c r="Q979">
        <v>1</v>
      </c>
      <c r="R979">
        <v>110</v>
      </c>
      <c r="S979" s="7">
        <f>Tabla1[[#This Row],[TARIFA]]+Tabla1[[#This Row],[IMPORTE EXTRAS]]</f>
        <v>310</v>
      </c>
      <c r="T979" t="s">
        <v>45</v>
      </c>
      <c r="U979">
        <v>200</v>
      </c>
      <c r="V979">
        <v>0</v>
      </c>
      <c r="W979">
        <v>110</v>
      </c>
      <c r="X979" s="49">
        <v>0</v>
      </c>
      <c r="Y979" s="49"/>
      <c r="Z979" s="7">
        <f>SUM(Tabla1[[#This Row],[RES-A]:[EXTR-B]])</f>
        <v>310</v>
      </c>
      <c r="AA979" s="7">
        <f>Tabla1[[#This Row],[Columna1]]-Tabla1[[#This Row],[IMPORTE TOTAL]]</f>
        <v>0</v>
      </c>
    </row>
    <row r="980" spans="1:27" x14ac:dyDescent="0.2">
      <c r="A980">
        <v>2024</v>
      </c>
      <c r="B980" t="s">
        <v>65</v>
      </c>
      <c r="C980" s="51">
        <v>41976</v>
      </c>
      <c r="D980" s="3" t="s">
        <v>38</v>
      </c>
      <c r="E980" s="3" t="s">
        <v>46</v>
      </c>
      <c r="F980" s="3" t="s">
        <v>46</v>
      </c>
      <c r="G980" s="4">
        <v>0.64583333333333337</v>
      </c>
      <c r="H980" s="4">
        <v>0.85416666666666663</v>
      </c>
      <c r="I980" t="s">
        <v>31</v>
      </c>
      <c r="J980">
        <v>1</v>
      </c>
      <c r="L980" s="46"/>
      <c r="P980">
        <v>95</v>
      </c>
      <c r="Q980">
        <v>0</v>
      </c>
      <c r="R980">
        <v>0</v>
      </c>
      <c r="S980" s="7">
        <f>Tabla1[[#This Row],[TARIFA]]+Tabla1[[#This Row],[IMPORTE EXTRAS]]</f>
        <v>95</v>
      </c>
      <c r="T980" t="s">
        <v>45</v>
      </c>
      <c r="U980">
        <v>50</v>
      </c>
      <c r="V980">
        <v>45</v>
      </c>
      <c r="W980">
        <v>0</v>
      </c>
      <c r="X980" s="49">
        <v>0</v>
      </c>
      <c r="Y980" s="49"/>
      <c r="Z980" s="7">
        <f>SUM(Tabla1[[#This Row],[RES-A]:[EXTR-B]])</f>
        <v>95</v>
      </c>
      <c r="AA980" s="7">
        <f>Tabla1[[#This Row],[Columna1]]-Tabla1[[#This Row],[IMPORTE TOTAL]]</f>
        <v>0</v>
      </c>
    </row>
    <row r="981" spans="1:27" x14ac:dyDescent="0.2">
      <c r="A981">
        <v>2024</v>
      </c>
      <c r="B981" t="s">
        <v>65</v>
      </c>
      <c r="C981" s="51">
        <v>45630</v>
      </c>
      <c r="D981" s="3" t="s">
        <v>39</v>
      </c>
      <c r="E981" s="3" t="s">
        <v>46</v>
      </c>
      <c r="F981" s="3" t="s">
        <v>46</v>
      </c>
      <c r="G981" s="4">
        <v>0.64583333333333337</v>
      </c>
      <c r="H981" s="4">
        <v>0.85416666666666663</v>
      </c>
      <c r="I981" t="s">
        <v>31</v>
      </c>
      <c r="J981">
        <v>1</v>
      </c>
      <c r="L981" s="46"/>
      <c r="P981">
        <v>95</v>
      </c>
      <c r="Q981">
        <v>0</v>
      </c>
      <c r="R981">
        <v>0</v>
      </c>
      <c r="S981" s="7">
        <f>Tabla1[[#This Row],[TARIFA]]+Tabla1[[#This Row],[IMPORTE EXTRAS]]</f>
        <v>95</v>
      </c>
      <c r="T981" t="s">
        <v>45</v>
      </c>
      <c r="U981">
        <v>50</v>
      </c>
      <c r="V981">
        <v>45</v>
      </c>
      <c r="W981">
        <v>0</v>
      </c>
      <c r="X981" s="49">
        <v>0</v>
      </c>
      <c r="Y981" s="49"/>
      <c r="Z981" s="7">
        <f>SUM(Tabla1[[#This Row],[RES-A]:[EXTR-B]])</f>
        <v>95</v>
      </c>
      <c r="AA981" s="7">
        <f>Tabla1[[#This Row],[Columna1]]-Tabla1[[#This Row],[IMPORTE TOTAL]]</f>
        <v>0</v>
      </c>
    </row>
    <row r="982" spans="1:27" x14ac:dyDescent="0.2">
      <c r="A982">
        <v>2024</v>
      </c>
      <c r="B982" t="s">
        <v>65</v>
      </c>
      <c r="C982" s="51">
        <v>45631</v>
      </c>
      <c r="D982" s="3" t="s">
        <v>40</v>
      </c>
      <c r="E982" s="3" t="s">
        <v>46</v>
      </c>
      <c r="F982" s="3" t="s">
        <v>46</v>
      </c>
      <c r="G982" s="4">
        <v>0.64583333333333337</v>
      </c>
      <c r="H982" s="4">
        <v>0.85416666666666663</v>
      </c>
      <c r="I982" t="s">
        <v>31</v>
      </c>
      <c r="J982">
        <v>1</v>
      </c>
      <c r="L982" s="46"/>
      <c r="P982">
        <v>140</v>
      </c>
      <c r="Q982">
        <v>0</v>
      </c>
      <c r="R982">
        <v>0</v>
      </c>
      <c r="S982" s="7">
        <f>Tabla1[[#This Row],[TARIFA]]+Tabla1[[#This Row],[IMPORTE EXTRAS]]</f>
        <v>140</v>
      </c>
      <c r="T982" t="s">
        <v>45</v>
      </c>
      <c r="U982">
        <v>50</v>
      </c>
      <c r="V982">
        <v>90</v>
      </c>
      <c r="W982">
        <v>0</v>
      </c>
      <c r="X982" s="49">
        <v>0</v>
      </c>
      <c r="Y982" s="49"/>
      <c r="Z982" s="7">
        <f>SUM(Tabla1[[#This Row],[RES-A]:[EXTR-B]])</f>
        <v>140</v>
      </c>
      <c r="AA982" s="7">
        <f>Tabla1[[#This Row],[Columna1]]-Tabla1[[#This Row],[IMPORTE TOTAL]]</f>
        <v>0</v>
      </c>
    </row>
    <row r="983" spans="1:27" x14ac:dyDescent="0.2">
      <c r="A983">
        <v>2024</v>
      </c>
      <c r="B983" t="s">
        <v>65</v>
      </c>
      <c r="C983" s="51">
        <v>45631</v>
      </c>
      <c r="D983" s="3" t="s">
        <v>40</v>
      </c>
      <c r="E983" s="3" t="s">
        <v>46</v>
      </c>
      <c r="F983" s="3" t="s">
        <v>46</v>
      </c>
      <c r="G983" s="4">
        <v>0.89583333333333337</v>
      </c>
      <c r="H983" s="4">
        <v>0.10416666666666667</v>
      </c>
      <c r="I983" t="s">
        <v>35</v>
      </c>
      <c r="J983">
        <v>1</v>
      </c>
      <c r="L983" s="46"/>
      <c r="P983">
        <v>200</v>
      </c>
      <c r="Q983">
        <v>0</v>
      </c>
      <c r="R983">
        <v>0</v>
      </c>
      <c r="S983" s="7">
        <f>Tabla1[[#This Row],[TARIFA]]+Tabla1[[#This Row],[IMPORTE EXTRAS]]</f>
        <v>200</v>
      </c>
      <c r="T983" t="s">
        <v>45</v>
      </c>
      <c r="U983">
        <v>50</v>
      </c>
      <c r="V983">
        <v>150</v>
      </c>
      <c r="W983">
        <v>0</v>
      </c>
      <c r="X983" s="49">
        <v>0</v>
      </c>
      <c r="Y983" s="49" t="s">
        <v>666</v>
      </c>
      <c r="Z983" s="7">
        <f>SUM(Tabla1[[#This Row],[RES-A]:[EXTR-B]])</f>
        <v>200</v>
      </c>
      <c r="AA983" s="7">
        <f>Tabla1[[#This Row],[Columna1]]-Tabla1[[#This Row],[IMPORTE TOTAL]]</f>
        <v>0</v>
      </c>
    </row>
    <row r="984" spans="1:27" x14ac:dyDescent="0.2">
      <c r="A984">
        <v>2024</v>
      </c>
      <c r="B984" t="s">
        <v>65</v>
      </c>
      <c r="C984" s="51">
        <v>45632</v>
      </c>
      <c r="D984" s="3" t="s">
        <v>41</v>
      </c>
      <c r="E984" s="3" t="s">
        <v>45</v>
      </c>
      <c r="F984" s="3" t="s">
        <v>46</v>
      </c>
      <c r="G984" s="4">
        <v>0.39583333333333331</v>
      </c>
      <c r="H984" s="4">
        <v>0.85416666666666663</v>
      </c>
      <c r="I984" t="s">
        <v>32</v>
      </c>
      <c r="J984">
        <v>2</v>
      </c>
      <c r="L984" s="46"/>
      <c r="P984">
        <v>290</v>
      </c>
      <c r="Q984">
        <v>0</v>
      </c>
      <c r="R984">
        <v>0</v>
      </c>
      <c r="S984" s="7">
        <f>Tabla1[[#This Row],[TARIFA]]+Tabla1[[#This Row],[IMPORTE EXTRAS]]</f>
        <v>290</v>
      </c>
      <c r="T984" t="s">
        <v>45</v>
      </c>
      <c r="U984">
        <v>50</v>
      </c>
      <c r="V984">
        <v>240</v>
      </c>
      <c r="W984">
        <v>0</v>
      </c>
      <c r="X984" s="49">
        <v>0</v>
      </c>
      <c r="Y984" s="49"/>
      <c r="Z984" s="7">
        <f>SUM(Tabla1[[#This Row],[RES-A]:[EXTR-B]])</f>
        <v>290</v>
      </c>
      <c r="AA984" s="7">
        <f>Tabla1[[#This Row],[Columna1]]-Tabla1[[#This Row],[IMPORTE TOTAL]]</f>
        <v>0</v>
      </c>
    </row>
    <row r="985" spans="1:27" x14ac:dyDescent="0.2">
      <c r="A985">
        <v>2024</v>
      </c>
      <c r="B985" t="s">
        <v>65</v>
      </c>
      <c r="C985" s="51">
        <v>45632</v>
      </c>
      <c r="D985" s="3" t="s">
        <v>41</v>
      </c>
      <c r="E985" s="3" t="s">
        <v>45</v>
      </c>
      <c r="F985" s="3" t="s">
        <v>46</v>
      </c>
      <c r="G985" s="4">
        <v>0.89583333333333337</v>
      </c>
      <c r="H985" s="4">
        <v>0.10416666666666667</v>
      </c>
      <c r="I985" t="s">
        <v>35</v>
      </c>
      <c r="J985">
        <v>1</v>
      </c>
      <c r="L985" s="46"/>
      <c r="P985">
        <v>200</v>
      </c>
      <c r="Q985">
        <v>1</v>
      </c>
      <c r="R985">
        <v>60</v>
      </c>
      <c r="S985" s="7">
        <f>Tabla1[[#This Row],[TARIFA]]+Tabla1[[#This Row],[IMPORTE EXTRAS]]</f>
        <v>260</v>
      </c>
      <c r="T985" t="s">
        <v>45</v>
      </c>
      <c r="U985">
        <v>200</v>
      </c>
      <c r="V985">
        <v>0</v>
      </c>
      <c r="W985">
        <v>60</v>
      </c>
      <c r="X985" s="49">
        <v>0</v>
      </c>
      <c r="Y985" s="49"/>
      <c r="Z985" s="7">
        <f>SUM(Tabla1[[#This Row],[RES-A]:[EXTR-B]])</f>
        <v>260</v>
      </c>
      <c r="AA985" s="7">
        <f>Tabla1[[#This Row],[Columna1]]-Tabla1[[#This Row],[IMPORTE TOTAL]]</f>
        <v>0</v>
      </c>
    </row>
    <row r="986" spans="1:27" x14ac:dyDescent="0.2">
      <c r="A986">
        <v>2024</v>
      </c>
      <c r="B986" t="s">
        <v>65</v>
      </c>
      <c r="C986" s="51">
        <v>45633</v>
      </c>
      <c r="D986" s="3" t="s">
        <v>42</v>
      </c>
      <c r="E986" s="3" t="s">
        <v>46</v>
      </c>
      <c r="F986" s="3" t="s">
        <v>46</v>
      </c>
      <c r="G986" s="4">
        <v>0.39583333333333331</v>
      </c>
      <c r="H986" s="4">
        <v>0.60416666666666663</v>
      </c>
      <c r="I986" t="s">
        <v>30</v>
      </c>
      <c r="J986">
        <v>1</v>
      </c>
      <c r="L986" s="46"/>
      <c r="P986">
        <v>150</v>
      </c>
      <c r="Q986">
        <v>0</v>
      </c>
      <c r="R986">
        <v>0</v>
      </c>
      <c r="S986" s="7">
        <f>Tabla1[[#This Row],[TARIFA]]+Tabla1[[#This Row],[IMPORTE EXTRAS]]</f>
        <v>150</v>
      </c>
      <c r="T986" t="s">
        <v>45</v>
      </c>
      <c r="U986">
        <v>150</v>
      </c>
      <c r="V986">
        <v>0</v>
      </c>
      <c r="W986">
        <v>0</v>
      </c>
      <c r="X986" s="49">
        <v>0</v>
      </c>
      <c r="Y986" s="49"/>
      <c r="Z986" s="7">
        <f>SUM(Tabla1[[#This Row],[RES-A]:[EXTR-B]])</f>
        <v>150</v>
      </c>
      <c r="AA986" s="7">
        <f>Tabla1[[#This Row],[Columna1]]-Tabla1[[#This Row],[IMPORTE TOTAL]]</f>
        <v>0</v>
      </c>
    </row>
    <row r="987" spans="1:27" x14ac:dyDescent="0.2">
      <c r="A987">
        <v>2024</v>
      </c>
      <c r="B987" t="s">
        <v>65</v>
      </c>
      <c r="C987" s="51">
        <v>45633</v>
      </c>
      <c r="D987" s="3" t="s">
        <v>42</v>
      </c>
      <c r="E987" s="3" t="s">
        <v>46</v>
      </c>
      <c r="F987" s="3" t="s">
        <v>46</v>
      </c>
      <c r="G987" s="4">
        <v>0.64583333333333337</v>
      </c>
      <c r="H987" s="4">
        <v>0.85416666666666663</v>
      </c>
      <c r="I987" t="s">
        <v>31</v>
      </c>
      <c r="J987">
        <v>1</v>
      </c>
      <c r="L987" s="46"/>
      <c r="P987">
        <v>150</v>
      </c>
      <c r="Q987">
        <v>0</v>
      </c>
      <c r="R987">
        <v>0</v>
      </c>
      <c r="S987" s="7">
        <f>Tabla1[[#This Row],[TARIFA]]+Tabla1[[#This Row],[IMPORTE EXTRAS]]</f>
        <v>150</v>
      </c>
      <c r="T987" t="s">
        <v>45</v>
      </c>
      <c r="U987">
        <v>50</v>
      </c>
      <c r="V987">
        <v>100</v>
      </c>
      <c r="W987">
        <v>0</v>
      </c>
      <c r="X987" s="49">
        <v>0</v>
      </c>
      <c r="Y987" s="49"/>
      <c r="Z987" s="7">
        <f>SUM(Tabla1[[#This Row],[RES-A]:[EXTR-B]])</f>
        <v>150</v>
      </c>
      <c r="AA987" s="7">
        <f>Tabla1[[#This Row],[Columna1]]-Tabla1[[#This Row],[IMPORTE TOTAL]]</f>
        <v>0</v>
      </c>
    </row>
    <row r="988" spans="1:27" x14ac:dyDescent="0.2">
      <c r="A988">
        <v>2024</v>
      </c>
      <c r="B988" t="s">
        <v>65</v>
      </c>
      <c r="C988" s="51">
        <v>45633</v>
      </c>
      <c r="D988" s="3" t="s">
        <v>42</v>
      </c>
      <c r="E988" s="3" t="s">
        <v>46</v>
      </c>
      <c r="F988" s="3" t="s">
        <v>46</v>
      </c>
      <c r="G988" s="4">
        <v>0.89583333333333337</v>
      </c>
      <c r="H988" s="4">
        <v>0.10416666666666667</v>
      </c>
      <c r="I988" t="s">
        <v>35</v>
      </c>
      <c r="J988">
        <v>1</v>
      </c>
      <c r="L988" s="46"/>
      <c r="P988">
        <v>200</v>
      </c>
      <c r="Q988">
        <v>0</v>
      </c>
      <c r="R988">
        <v>0</v>
      </c>
      <c r="S988" s="7">
        <f>Tabla1[[#This Row],[TARIFA]]+Tabla1[[#This Row],[IMPORTE EXTRAS]]</f>
        <v>200</v>
      </c>
      <c r="T988" t="s">
        <v>45</v>
      </c>
      <c r="U988">
        <v>50</v>
      </c>
      <c r="V988">
        <v>150</v>
      </c>
      <c r="W988">
        <v>0</v>
      </c>
      <c r="X988" s="49">
        <v>0</v>
      </c>
      <c r="Y988" s="49"/>
      <c r="Z988" s="7">
        <f>SUM(Tabla1[[#This Row],[RES-A]:[EXTR-B]])</f>
        <v>200</v>
      </c>
      <c r="AA988" s="7">
        <f>Tabla1[[#This Row],[Columna1]]-Tabla1[[#This Row],[IMPORTE TOTAL]]</f>
        <v>0</v>
      </c>
    </row>
    <row r="989" spans="1:27" x14ac:dyDescent="0.2">
      <c r="A989">
        <v>2024</v>
      </c>
      <c r="B989" t="s">
        <v>65</v>
      </c>
      <c r="C989" s="51">
        <v>45634</v>
      </c>
      <c r="D989" s="3" t="s">
        <v>43</v>
      </c>
      <c r="E989" s="3" t="s">
        <v>45</v>
      </c>
      <c r="F989" s="3" t="s">
        <v>46</v>
      </c>
      <c r="G989" s="4">
        <v>0.39583333333333331</v>
      </c>
      <c r="H989" s="4">
        <v>0.85416666666666663</v>
      </c>
      <c r="I989" t="s">
        <v>32</v>
      </c>
      <c r="J989">
        <v>2</v>
      </c>
      <c r="L989" s="46"/>
      <c r="P989">
        <v>290</v>
      </c>
      <c r="Q989">
        <v>0</v>
      </c>
      <c r="R989">
        <v>0</v>
      </c>
      <c r="S989" s="7">
        <f>Tabla1[[#This Row],[TARIFA]]+Tabla1[[#This Row],[IMPORTE EXTRAS]]</f>
        <v>290</v>
      </c>
      <c r="T989" t="s">
        <v>45</v>
      </c>
      <c r="U989">
        <v>50</v>
      </c>
      <c r="V989">
        <v>240</v>
      </c>
      <c r="W989">
        <v>0</v>
      </c>
      <c r="X989" s="49">
        <v>0</v>
      </c>
      <c r="Y989" s="49"/>
      <c r="Z989" s="7">
        <f>SUM(Tabla1[[#This Row],[RES-A]:[EXTR-B]])</f>
        <v>290</v>
      </c>
      <c r="AA989" s="7">
        <f>Tabla1[[#This Row],[Columna1]]-Tabla1[[#This Row],[IMPORTE TOTAL]]</f>
        <v>0</v>
      </c>
    </row>
    <row r="990" spans="1:27" x14ac:dyDescent="0.2">
      <c r="A990">
        <v>2024</v>
      </c>
      <c r="B990" t="s">
        <v>65</v>
      </c>
      <c r="C990" s="51">
        <v>45635</v>
      </c>
      <c r="D990" s="3" t="s">
        <v>37</v>
      </c>
      <c r="E990" s="3" t="s">
        <v>46</v>
      </c>
      <c r="F990" s="3" t="s">
        <v>46</v>
      </c>
      <c r="G990" s="4">
        <v>0.39583333333333331</v>
      </c>
      <c r="H990" s="4">
        <v>0.60416666666666663</v>
      </c>
      <c r="I990" t="s">
        <v>30</v>
      </c>
      <c r="J990">
        <v>1</v>
      </c>
      <c r="L990" s="46"/>
      <c r="P990">
        <v>80</v>
      </c>
      <c r="Q990">
        <v>0</v>
      </c>
      <c r="R990">
        <v>0</v>
      </c>
      <c r="S990" s="7">
        <f>Tabla1[[#This Row],[TARIFA]]+Tabla1[[#This Row],[IMPORTE EXTRAS]]</f>
        <v>80</v>
      </c>
      <c r="T990" t="s">
        <v>45</v>
      </c>
      <c r="U990">
        <v>80</v>
      </c>
      <c r="V990">
        <v>0</v>
      </c>
      <c r="W990">
        <v>0</v>
      </c>
      <c r="X990" s="49">
        <v>0</v>
      </c>
      <c r="Y990" s="49"/>
      <c r="Z990" s="7">
        <f>SUM(Tabla1[[#This Row],[RES-A]:[EXTR-B]])</f>
        <v>80</v>
      </c>
      <c r="AA990" s="7">
        <f>Tabla1[[#This Row],[Columna1]]-Tabla1[[#This Row],[IMPORTE TOTAL]]</f>
        <v>0</v>
      </c>
    </row>
    <row r="991" spans="1:27" x14ac:dyDescent="0.2">
      <c r="A991">
        <v>2024</v>
      </c>
      <c r="B991" t="s">
        <v>65</v>
      </c>
      <c r="C991" s="51">
        <v>45639</v>
      </c>
      <c r="D991" s="3" t="s">
        <v>41</v>
      </c>
      <c r="E991" s="3" t="s">
        <v>46</v>
      </c>
      <c r="F991" s="3" t="s">
        <v>46</v>
      </c>
      <c r="G991" s="4">
        <v>0.64583333333333337</v>
      </c>
      <c r="H991" s="4">
        <v>0.85416666666666663</v>
      </c>
      <c r="I991" t="s">
        <v>31</v>
      </c>
      <c r="J991">
        <v>1</v>
      </c>
      <c r="L991" s="46"/>
      <c r="P991">
        <v>140</v>
      </c>
      <c r="Q991">
        <v>0</v>
      </c>
      <c r="R991">
        <v>0</v>
      </c>
      <c r="S991" s="7">
        <f>Tabla1[[#This Row],[TARIFA]]+Tabla1[[#This Row],[IMPORTE EXTRAS]]</f>
        <v>140</v>
      </c>
      <c r="T991" t="s">
        <v>45</v>
      </c>
      <c r="U991">
        <v>140</v>
      </c>
      <c r="V991">
        <v>0</v>
      </c>
      <c r="W991">
        <v>0</v>
      </c>
      <c r="X991" s="49">
        <v>0</v>
      </c>
      <c r="Y991" s="49"/>
      <c r="Z991" s="7">
        <f>SUM(Tabla1[[#This Row],[RES-A]:[EXTR-B]])</f>
        <v>140</v>
      </c>
      <c r="AA991" s="7">
        <f>Tabla1[[#This Row],[Columna1]]-Tabla1[[#This Row],[IMPORTE TOTAL]]</f>
        <v>0</v>
      </c>
    </row>
    <row r="992" spans="1:27" x14ac:dyDescent="0.2">
      <c r="A992">
        <v>2024</v>
      </c>
      <c r="B992" t="s">
        <v>65</v>
      </c>
      <c r="C992" s="51">
        <v>45639</v>
      </c>
      <c r="D992" s="3" t="s">
        <v>41</v>
      </c>
      <c r="E992" s="3" t="s">
        <v>46</v>
      </c>
      <c r="F992" s="3" t="s">
        <v>46</v>
      </c>
      <c r="G992" s="4">
        <v>0.89583333333333337</v>
      </c>
      <c r="H992" s="4">
        <v>0.10416666666666667</v>
      </c>
      <c r="I992" t="s">
        <v>35</v>
      </c>
      <c r="J992">
        <v>1</v>
      </c>
      <c r="L992" s="46"/>
      <c r="P992">
        <v>200</v>
      </c>
      <c r="Q992">
        <v>1</v>
      </c>
      <c r="R992">
        <v>60</v>
      </c>
      <c r="S992" s="7">
        <f>Tabla1[[#This Row],[TARIFA]]+Tabla1[[#This Row],[IMPORTE EXTRAS]]</f>
        <v>260</v>
      </c>
      <c r="T992" t="s">
        <v>45</v>
      </c>
      <c r="U992">
        <v>0</v>
      </c>
      <c r="V992">
        <v>200</v>
      </c>
      <c r="W992">
        <v>0</v>
      </c>
      <c r="X992" s="49">
        <v>60</v>
      </c>
      <c r="Y992" s="49"/>
      <c r="Z992" s="7">
        <f>SUM(Tabla1[[#This Row],[RES-A]:[EXTR-B]])</f>
        <v>260</v>
      </c>
      <c r="AA992" s="7">
        <f>Tabla1[[#This Row],[Columna1]]-Tabla1[[#This Row],[IMPORTE TOTAL]]</f>
        <v>0</v>
      </c>
    </row>
    <row r="993" spans="1:27" x14ac:dyDescent="0.2">
      <c r="A993">
        <v>2024</v>
      </c>
      <c r="B993" t="s">
        <v>65</v>
      </c>
      <c r="C993" s="51">
        <v>45640</v>
      </c>
      <c r="D993" s="3" t="s">
        <v>42</v>
      </c>
      <c r="E993" s="3" t="s">
        <v>46</v>
      </c>
      <c r="F993" s="3" t="s">
        <v>46</v>
      </c>
      <c r="G993" s="4">
        <v>0.39583333333333331</v>
      </c>
      <c r="H993" s="4">
        <v>0.60416666666666663</v>
      </c>
      <c r="I993" t="s">
        <v>30</v>
      </c>
      <c r="J993">
        <v>1</v>
      </c>
      <c r="L993" s="46"/>
      <c r="P993">
        <v>150</v>
      </c>
      <c r="Q993">
        <v>0</v>
      </c>
      <c r="R993">
        <v>0</v>
      </c>
      <c r="S993" s="7">
        <f>Tabla1[[#This Row],[TARIFA]]+Tabla1[[#This Row],[IMPORTE EXTRAS]]</f>
        <v>150</v>
      </c>
      <c r="T993" t="s">
        <v>45</v>
      </c>
      <c r="U993">
        <v>50</v>
      </c>
      <c r="V993">
        <v>100</v>
      </c>
      <c r="W993">
        <v>0</v>
      </c>
      <c r="X993" s="49">
        <v>0</v>
      </c>
      <c r="Y993" s="49"/>
      <c r="Z993" s="7">
        <f>SUM(Tabla1[[#This Row],[RES-A]:[EXTR-B]])</f>
        <v>150</v>
      </c>
      <c r="AA993" s="7">
        <f>Tabla1[[#This Row],[Columna1]]-Tabla1[[#This Row],[IMPORTE TOTAL]]</f>
        <v>0</v>
      </c>
    </row>
    <row r="994" spans="1:27" x14ac:dyDescent="0.2">
      <c r="A994">
        <v>2024</v>
      </c>
      <c r="B994" t="s">
        <v>65</v>
      </c>
      <c r="C994" s="51">
        <v>45640</v>
      </c>
      <c r="D994" s="3" t="s">
        <v>42</v>
      </c>
      <c r="E994" s="3" t="s">
        <v>46</v>
      </c>
      <c r="F994" s="3" t="s">
        <v>46</v>
      </c>
      <c r="G994" s="4">
        <v>0.64583333333333337</v>
      </c>
      <c r="H994" s="4">
        <v>0.85416666666666663</v>
      </c>
      <c r="I994" t="s">
        <v>31</v>
      </c>
      <c r="J994">
        <v>1</v>
      </c>
      <c r="L994" s="46"/>
      <c r="P994">
        <v>75</v>
      </c>
      <c r="Q994">
        <v>0</v>
      </c>
      <c r="R994">
        <v>0</v>
      </c>
      <c r="S994" s="7">
        <f>Tabla1[[#This Row],[TARIFA]]+Tabla1[[#This Row],[IMPORTE EXTRAS]]</f>
        <v>75</v>
      </c>
      <c r="T994" t="s">
        <v>45</v>
      </c>
      <c r="U994">
        <v>50</v>
      </c>
      <c r="V994">
        <v>25</v>
      </c>
      <c r="W994">
        <v>0</v>
      </c>
      <c r="X994" s="49">
        <v>0</v>
      </c>
      <c r="Y994" s="49"/>
      <c r="Z994" s="7">
        <f>SUM(Tabla1[[#This Row],[RES-A]:[EXTR-B]])</f>
        <v>75</v>
      </c>
      <c r="AA994" s="7">
        <f>Tabla1[[#This Row],[Columna1]]-Tabla1[[#This Row],[IMPORTE TOTAL]]</f>
        <v>0</v>
      </c>
    </row>
    <row r="995" spans="1:27" x14ac:dyDescent="0.2">
      <c r="A995">
        <v>2024</v>
      </c>
      <c r="B995" t="s">
        <v>65</v>
      </c>
      <c r="C995" s="51">
        <v>45640</v>
      </c>
      <c r="D995" s="3" t="s">
        <v>42</v>
      </c>
      <c r="E995" s="3" t="s">
        <v>46</v>
      </c>
      <c r="F995" s="3" t="s">
        <v>46</v>
      </c>
      <c r="G995" s="4">
        <v>0.89583333333333337</v>
      </c>
      <c r="H995" s="4">
        <v>0.10416666666666667</v>
      </c>
      <c r="I995" t="s">
        <v>35</v>
      </c>
      <c r="J995">
        <v>1</v>
      </c>
      <c r="L995" s="46"/>
      <c r="P995">
        <v>200</v>
      </c>
      <c r="Q995">
        <v>1</v>
      </c>
      <c r="R995">
        <v>60</v>
      </c>
      <c r="S995" s="7">
        <f>Tabla1[[#This Row],[TARIFA]]+Tabla1[[#This Row],[IMPORTE EXTRAS]]</f>
        <v>260</v>
      </c>
      <c r="T995" t="s">
        <v>45</v>
      </c>
      <c r="U995">
        <v>200</v>
      </c>
      <c r="V995">
        <v>0</v>
      </c>
      <c r="W995">
        <v>60</v>
      </c>
      <c r="X995" s="49">
        <v>0</v>
      </c>
      <c r="Y995" s="49"/>
      <c r="Z995" s="7">
        <f>SUM(Tabla1[[#This Row],[RES-A]:[EXTR-B]])</f>
        <v>260</v>
      </c>
      <c r="AA995" s="7">
        <f>Tabla1[[#This Row],[Columna1]]-Tabla1[[#This Row],[IMPORTE TOTAL]]</f>
        <v>0</v>
      </c>
    </row>
    <row r="996" spans="1:27" x14ac:dyDescent="0.2">
      <c r="A996">
        <v>2024</v>
      </c>
      <c r="B996" t="s">
        <v>65</v>
      </c>
      <c r="C996" s="51">
        <v>45641</v>
      </c>
      <c r="D996" s="3" t="s">
        <v>43</v>
      </c>
      <c r="E996" s="3" t="s">
        <v>46</v>
      </c>
      <c r="F996" s="3" t="s">
        <v>46</v>
      </c>
      <c r="G996" s="4">
        <v>0.39583333333333331</v>
      </c>
      <c r="H996" s="4">
        <v>0.60416666666666663</v>
      </c>
      <c r="I996" t="s">
        <v>30</v>
      </c>
      <c r="J996">
        <v>1</v>
      </c>
      <c r="L996" s="46"/>
      <c r="P996">
        <v>150</v>
      </c>
      <c r="Q996">
        <v>0</v>
      </c>
      <c r="R996">
        <v>0</v>
      </c>
      <c r="S996" s="7">
        <f>Tabla1[[#This Row],[TARIFA]]+Tabla1[[#This Row],[IMPORTE EXTRAS]]</f>
        <v>150</v>
      </c>
      <c r="T996" t="s">
        <v>45</v>
      </c>
      <c r="U996">
        <v>50</v>
      </c>
      <c r="V996">
        <v>100</v>
      </c>
      <c r="W996">
        <v>0</v>
      </c>
      <c r="X996" s="49">
        <v>0</v>
      </c>
      <c r="Y996" s="49"/>
      <c r="Z996" s="7">
        <f>SUM(Tabla1[[#This Row],[RES-A]:[EXTR-B]])</f>
        <v>150</v>
      </c>
      <c r="AA996" s="7">
        <f>Tabla1[[#This Row],[Columna1]]-Tabla1[[#This Row],[IMPORTE TOTAL]]</f>
        <v>0</v>
      </c>
    </row>
    <row r="997" spans="1:27" x14ac:dyDescent="0.2">
      <c r="A997">
        <v>2024</v>
      </c>
      <c r="B997" t="s">
        <v>65</v>
      </c>
      <c r="C997" s="51">
        <v>45641</v>
      </c>
      <c r="D997" s="3" t="s">
        <v>43</v>
      </c>
      <c r="E997" s="3" t="s">
        <v>46</v>
      </c>
      <c r="F997" s="3" t="s">
        <v>46</v>
      </c>
      <c r="G997" s="4">
        <v>0.64583333333333337</v>
      </c>
      <c r="H997" s="4">
        <v>0.85416666666666663</v>
      </c>
      <c r="I997" t="s">
        <v>31</v>
      </c>
      <c r="J997">
        <v>1</v>
      </c>
      <c r="L997" s="46"/>
      <c r="P997">
        <v>150</v>
      </c>
      <c r="Q997">
        <v>0</v>
      </c>
      <c r="R997">
        <v>0</v>
      </c>
      <c r="S997" s="7">
        <f>Tabla1[[#This Row],[TARIFA]]+Tabla1[[#This Row],[IMPORTE EXTRAS]]</f>
        <v>150</v>
      </c>
      <c r="T997" t="s">
        <v>45</v>
      </c>
      <c r="U997">
        <v>50</v>
      </c>
      <c r="V997">
        <v>100</v>
      </c>
      <c r="W997">
        <v>0</v>
      </c>
      <c r="X997" s="49">
        <v>0</v>
      </c>
      <c r="Y997" s="49"/>
      <c r="Z997" s="7">
        <f>SUM(Tabla1[[#This Row],[RES-A]:[EXTR-B]])</f>
        <v>150</v>
      </c>
      <c r="AA997" s="7">
        <f>Tabla1[[#This Row],[Columna1]]-Tabla1[[#This Row],[IMPORTE TOTAL]]</f>
        <v>0</v>
      </c>
    </row>
    <row r="998" spans="1:27" x14ac:dyDescent="0.2">
      <c r="A998">
        <v>2024</v>
      </c>
      <c r="B998" t="s">
        <v>65</v>
      </c>
      <c r="C998" s="51">
        <v>45646</v>
      </c>
      <c r="D998" s="3" t="s">
        <v>41</v>
      </c>
      <c r="E998" s="3" t="s">
        <v>46</v>
      </c>
      <c r="F998" s="3" t="s">
        <v>46</v>
      </c>
      <c r="G998" s="4">
        <v>0.89583333333333337</v>
      </c>
      <c r="H998" s="4">
        <v>0.10416666666666667</v>
      </c>
      <c r="I998" t="s">
        <v>35</v>
      </c>
      <c r="J998">
        <v>1</v>
      </c>
      <c r="L998" s="46"/>
      <c r="P998">
        <v>200</v>
      </c>
      <c r="Q998">
        <v>0</v>
      </c>
      <c r="R998">
        <v>0</v>
      </c>
      <c r="S998" s="7">
        <f>Tabla1[[#This Row],[TARIFA]]+Tabla1[[#This Row],[IMPORTE EXTRAS]]</f>
        <v>200</v>
      </c>
      <c r="T998" t="s">
        <v>45</v>
      </c>
      <c r="U998">
        <v>50</v>
      </c>
      <c r="V998">
        <v>150</v>
      </c>
      <c r="W998">
        <v>0</v>
      </c>
      <c r="X998" s="49">
        <v>0</v>
      </c>
      <c r="Y998" s="49"/>
      <c r="Z998" s="7">
        <f>SUM(Tabla1[[#This Row],[RES-A]:[EXTR-B]])</f>
        <v>200</v>
      </c>
      <c r="AA998" s="7">
        <f>Tabla1[[#This Row],[Columna1]]-Tabla1[[#This Row],[IMPORTE TOTAL]]</f>
        <v>0</v>
      </c>
    </row>
    <row r="999" spans="1:27" x14ac:dyDescent="0.2">
      <c r="A999">
        <v>2024</v>
      </c>
      <c r="B999" t="s">
        <v>65</v>
      </c>
      <c r="C999" s="51">
        <v>45647</v>
      </c>
      <c r="D999" s="3" t="s">
        <v>42</v>
      </c>
      <c r="E999" s="3" t="s">
        <v>46</v>
      </c>
      <c r="F999" s="3" t="s">
        <v>46</v>
      </c>
      <c r="G999" s="4">
        <v>0.39583333333333331</v>
      </c>
      <c r="H999" s="4">
        <v>0.60416666666666663</v>
      </c>
      <c r="I999" t="s">
        <v>30</v>
      </c>
      <c r="J999">
        <v>1</v>
      </c>
      <c r="L999" s="46"/>
      <c r="P999">
        <v>150</v>
      </c>
      <c r="Q999">
        <v>0</v>
      </c>
      <c r="R999">
        <v>0</v>
      </c>
      <c r="S999" s="7">
        <f>Tabla1[[#This Row],[TARIFA]]+Tabla1[[#This Row],[IMPORTE EXTRAS]]</f>
        <v>150</v>
      </c>
      <c r="T999" t="s">
        <v>45</v>
      </c>
      <c r="U999">
        <v>50</v>
      </c>
      <c r="V999">
        <v>100</v>
      </c>
      <c r="W999">
        <v>0</v>
      </c>
      <c r="X999" s="49">
        <v>0</v>
      </c>
      <c r="Y999" s="49"/>
      <c r="Z999" s="7">
        <f>SUM(Tabla1[[#This Row],[RES-A]:[EXTR-B]])</f>
        <v>150</v>
      </c>
      <c r="AA999" s="7">
        <f>Tabla1[[#This Row],[Columna1]]-Tabla1[[#This Row],[IMPORTE TOTAL]]</f>
        <v>0</v>
      </c>
    </row>
    <row r="1000" spans="1:27" x14ac:dyDescent="0.2">
      <c r="A1000">
        <v>2024</v>
      </c>
      <c r="B1000" t="s">
        <v>65</v>
      </c>
      <c r="C1000" s="51">
        <v>45647</v>
      </c>
      <c r="D1000" s="3" t="s">
        <v>42</v>
      </c>
      <c r="E1000" s="3" t="s">
        <v>46</v>
      </c>
      <c r="F1000" s="3" t="s">
        <v>46</v>
      </c>
      <c r="G1000" s="4">
        <v>0.64583333333333337</v>
      </c>
      <c r="H1000" s="4">
        <v>0.85416666666666663</v>
      </c>
      <c r="I1000" t="s">
        <v>31</v>
      </c>
      <c r="J1000">
        <v>1</v>
      </c>
      <c r="L1000" s="46"/>
      <c r="P1000">
        <v>150</v>
      </c>
      <c r="Q1000">
        <v>0</v>
      </c>
      <c r="R1000">
        <v>0</v>
      </c>
      <c r="S1000" s="7">
        <f>Tabla1[[#This Row],[TARIFA]]+Tabla1[[#This Row],[IMPORTE EXTRAS]]</f>
        <v>150</v>
      </c>
      <c r="T1000" t="s">
        <v>45</v>
      </c>
      <c r="U1000">
        <v>0</v>
      </c>
      <c r="V1000">
        <v>150</v>
      </c>
      <c r="W1000">
        <v>0</v>
      </c>
      <c r="X1000" s="49">
        <v>0</v>
      </c>
      <c r="Y1000" s="49" t="s">
        <v>560</v>
      </c>
      <c r="Z1000" s="7">
        <f>SUM(Tabla1[[#This Row],[RES-A]:[EXTR-B]])</f>
        <v>150</v>
      </c>
      <c r="AA1000" s="7">
        <f>Tabla1[[#This Row],[Columna1]]-Tabla1[[#This Row],[IMPORTE TOTAL]]</f>
        <v>0</v>
      </c>
    </row>
    <row r="1001" spans="1:27" x14ac:dyDescent="0.2">
      <c r="A1001">
        <v>2024</v>
      </c>
      <c r="B1001" t="s">
        <v>65</v>
      </c>
      <c r="C1001" s="51">
        <v>45647</v>
      </c>
      <c r="D1001" s="3" t="s">
        <v>42</v>
      </c>
      <c r="E1001" s="3" t="s">
        <v>46</v>
      </c>
      <c r="F1001" s="3" t="s">
        <v>46</v>
      </c>
      <c r="G1001" s="4">
        <v>0.85416666666666663</v>
      </c>
      <c r="H1001" s="4">
        <v>0.10416666666666667</v>
      </c>
      <c r="I1001" t="s">
        <v>35</v>
      </c>
      <c r="J1001">
        <v>1</v>
      </c>
      <c r="L1001" s="46"/>
      <c r="P1001">
        <v>200</v>
      </c>
      <c r="Q1001">
        <v>1</v>
      </c>
      <c r="R1001">
        <v>160</v>
      </c>
      <c r="S1001" s="7">
        <f>Tabla1[[#This Row],[TARIFA]]+Tabla1[[#This Row],[IMPORTE EXTRAS]]</f>
        <v>360</v>
      </c>
      <c r="T1001" t="s">
        <v>45</v>
      </c>
      <c r="U1001">
        <v>50</v>
      </c>
      <c r="V1001">
        <v>150</v>
      </c>
      <c r="W1001">
        <v>0</v>
      </c>
      <c r="X1001" s="49">
        <v>160</v>
      </c>
      <c r="Y1001" s="49"/>
      <c r="Z1001" s="7">
        <f>SUM(Tabla1[[#This Row],[RES-A]:[EXTR-B]])</f>
        <v>360</v>
      </c>
      <c r="AA1001" s="7">
        <f>Tabla1[[#This Row],[Columna1]]-Tabla1[[#This Row],[IMPORTE TOTAL]]</f>
        <v>0</v>
      </c>
    </row>
    <row r="1002" spans="1:27" x14ac:dyDescent="0.2">
      <c r="A1002">
        <v>2024</v>
      </c>
      <c r="B1002" t="s">
        <v>65</v>
      </c>
      <c r="C1002" s="51">
        <v>45648</v>
      </c>
      <c r="D1002" s="3" t="s">
        <v>43</v>
      </c>
      <c r="E1002" s="3" t="s">
        <v>46</v>
      </c>
      <c r="F1002" s="3" t="s">
        <v>46</v>
      </c>
      <c r="G1002" s="4">
        <v>0.39583333333333331</v>
      </c>
      <c r="H1002" s="4">
        <v>0.60416666666666663</v>
      </c>
      <c r="I1002" t="s">
        <v>30</v>
      </c>
      <c r="J1002">
        <v>1</v>
      </c>
      <c r="L1002" s="46"/>
      <c r="P1002">
        <v>150</v>
      </c>
      <c r="Q1002">
        <v>0</v>
      </c>
      <c r="R1002">
        <v>0</v>
      </c>
      <c r="S1002" s="7">
        <f>Tabla1[[#This Row],[TARIFA]]+Tabla1[[#This Row],[IMPORTE EXTRAS]]</f>
        <v>150</v>
      </c>
      <c r="T1002" t="s">
        <v>45</v>
      </c>
      <c r="U1002">
        <v>50</v>
      </c>
      <c r="V1002">
        <v>100</v>
      </c>
      <c r="W1002">
        <v>0</v>
      </c>
      <c r="X1002" s="49">
        <v>0</v>
      </c>
      <c r="Y1002" s="49"/>
      <c r="Z1002" s="7">
        <f>SUM(Tabla1[[#This Row],[RES-A]:[EXTR-B]])</f>
        <v>150</v>
      </c>
      <c r="AA1002" s="7">
        <f>Tabla1[[#This Row],[Columna1]]-Tabla1[[#This Row],[IMPORTE TOTAL]]</f>
        <v>0</v>
      </c>
    </row>
    <row r="1003" spans="1:27" x14ac:dyDescent="0.2">
      <c r="A1003">
        <v>2024</v>
      </c>
      <c r="B1003" t="s">
        <v>65</v>
      </c>
      <c r="C1003" s="51">
        <v>45648</v>
      </c>
      <c r="D1003" s="3" t="s">
        <v>43</v>
      </c>
      <c r="E1003" s="3" t="s">
        <v>46</v>
      </c>
      <c r="F1003" s="3" t="s">
        <v>46</v>
      </c>
      <c r="G1003" s="4">
        <v>0.64583333333333337</v>
      </c>
      <c r="H1003" s="4">
        <v>0.85416666666666663</v>
      </c>
      <c r="I1003" t="s">
        <v>31</v>
      </c>
      <c r="J1003">
        <v>1</v>
      </c>
      <c r="L1003" s="46"/>
      <c r="P1003">
        <v>150</v>
      </c>
      <c r="Q1003">
        <v>0</v>
      </c>
      <c r="R1003">
        <v>0</v>
      </c>
      <c r="S1003" s="7">
        <f>Tabla1[[#This Row],[TARIFA]]+Tabla1[[#This Row],[IMPORTE EXTRAS]]</f>
        <v>150</v>
      </c>
      <c r="T1003" t="s">
        <v>45</v>
      </c>
      <c r="U1003">
        <v>150</v>
      </c>
      <c r="V1003">
        <v>0</v>
      </c>
      <c r="W1003">
        <v>0</v>
      </c>
      <c r="X1003" s="49">
        <v>0</v>
      </c>
      <c r="Y1003" s="49"/>
      <c r="Z1003" s="7">
        <f>SUM(Tabla1[[#This Row],[RES-A]:[EXTR-B]])</f>
        <v>150</v>
      </c>
      <c r="AA1003" s="7">
        <f>Tabla1[[#This Row],[Columna1]]-Tabla1[[#This Row],[IMPORTE TOTAL]]</f>
        <v>0</v>
      </c>
    </row>
    <row r="1004" spans="1:27" x14ac:dyDescent="0.2">
      <c r="A1004">
        <v>2024</v>
      </c>
      <c r="B1004" t="s">
        <v>65</v>
      </c>
      <c r="C1004" s="51">
        <v>45649</v>
      </c>
      <c r="D1004" s="3" t="s">
        <v>37</v>
      </c>
      <c r="E1004" s="3" t="s">
        <v>46</v>
      </c>
      <c r="F1004" s="3" t="s">
        <v>46</v>
      </c>
      <c r="G1004" s="4">
        <v>0.64583333333333337</v>
      </c>
      <c r="H1004" s="4">
        <v>0.85416666666666663</v>
      </c>
      <c r="I1004" t="s">
        <v>31</v>
      </c>
      <c r="J1004">
        <v>1</v>
      </c>
      <c r="L1004" s="46"/>
      <c r="P1004">
        <v>95</v>
      </c>
      <c r="Q1004">
        <v>0</v>
      </c>
      <c r="R1004">
        <v>0</v>
      </c>
      <c r="S1004" s="7">
        <f>Tabla1[[#This Row],[TARIFA]]+Tabla1[[#This Row],[IMPORTE EXTRAS]]</f>
        <v>95</v>
      </c>
      <c r="T1004" t="s">
        <v>45</v>
      </c>
      <c r="U1004">
        <v>50</v>
      </c>
      <c r="V1004">
        <v>45</v>
      </c>
      <c r="W1004">
        <v>0</v>
      </c>
      <c r="X1004" s="49">
        <v>0</v>
      </c>
      <c r="Y1004" s="49"/>
      <c r="Z1004" s="7">
        <f>SUM(Tabla1[[#This Row],[RES-A]:[EXTR-B]])</f>
        <v>95</v>
      </c>
      <c r="AA1004" s="7">
        <f>Tabla1[[#This Row],[Columna1]]-Tabla1[[#This Row],[IMPORTE TOTAL]]</f>
        <v>0</v>
      </c>
    </row>
    <row r="1005" spans="1:27" x14ac:dyDescent="0.2">
      <c r="A1005">
        <v>2024</v>
      </c>
      <c r="B1005" t="s">
        <v>65</v>
      </c>
      <c r="C1005" s="51">
        <v>45650</v>
      </c>
      <c r="D1005" s="3" t="s">
        <v>38</v>
      </c>
      <c r="E1005" s="3" t="s">
        <v>45</v>
      </c>
      <c r="F1005" s="3" t="s">
        <v>45</v>
      </c>
      <c r="G1005" s="4">
        <v>0.85416666666666663</v>
      </c>
      <c r="H1005" s="4">
        <v>0.10416666666666667</v>
      </c>
      <c r="I1005" t="s">
        <v>35</v>
      </c>
      <c r="J1005">
        <v>1</v>
      </c>
      <c r="L1005" s="46"/>
      <c r="P1005">
        <v>350</v>
      </c>
      <c r="Q1005">
        <v>0</v>
      </c>
      <c r="R1005">
        <v>0</v>
      </c>
      <c r="S1005" s="7">
        <f>Tabla1[[#This Row],[TARIFA]]+Tabla1[[#This Row],[IMPORTE EXTRAS]]</f>
        <v>350</v>
      </c>
      <c r="T1005" t="s">
        <v>45</v>
      </c>
      <c r="U1005">
        <v>0</v>
      </c>
      <c r="V1005">
        <v>350</v>
      </c>
      <c r="W1005">
        <v>0</v>
      </c>
      <c r="X1005" s="49">
        <v>0</v>
      </c>
      <c r="Y1005" s="49" t="s">
        <v>434</v>
      </c>
      <c r="Z1005" s="7">
        <f>SUM(Tabla1[[#This Row],[RES-A]:[EXTR-B]])</f>
        <v>350</v>
      </c>
      <c r="AA1005" s="7">
        <f>Tabla1[[#This Row],[Columna1]]-Tabla1[[#This Row],[IMPORTE TOTAL]]</f>
        <v>0</v>
      </c>
    </row>
    <row r="1006" spans="1:27" x14ac:dyDescent="0.2">
      <c r="A1006">
        <v>2024</v>
      </c>
      <c r="B1006" t="s">
        <v>65</v>
      </c>
      <c r="C1006" s="51">
        <v>45651</v>
      </c>
      <c r="D1006" s="3" t="s">
        <v>39</v>
      </c>
      <c r="E1006" s="3" t="s">
        <v>45</v>
      </c>
      <c r="F1006" s="3" t="s">
        <v>45</v>
      </c>
      <c r="G1006" s="4">
        <v>0.39583333333333331</v>
      </c>
      <c r="H1006" s="4">
        <v>0.85416666666666663</v>
      </c>
      <c r="I1006" t="s">
        <v>32</v>
      </c>
      <c r="J1006">
        <v>2</v>
      </c>
      <c r="L1006" s="46"/>
      <c r="P1006">
        <v>380</v>
      </c>
      <c r="Q1006">
        <v>0</v>
      </c>
      <c r="R1006">
        <v>0</v>
      </c>
      <c r="S1006" s="7">
        <f>Tabla1[[#This Row],[TARIFA]]+Tabla1[[#This Row],[IMPORTE EXTRAS]]</f>
        <v>380</v>
      </c>
      <c r="T1006" t="s">
        <v>45</v>
      </c>
      <c r="U1006">
        <v>50</v>
      </c>
      <c r="V1006">
        <v>330</v>
      </c>
      <c r="W1006">
        <v>0</v>
      </c>
      <c r="X1006" s="49">
        <v>0</v>
      </c>
      <c r="Y1006" s="49" t="s">
        <v>434</v>
      </c>
      <c r="Z1006" s="7">
        <f>SUM(Tabla1[[#This Row],[RES-A]:[EXTR-B]])</f>
        <v>380</v>
      </c>
      <c r="AA1006" s="7">
        <f>Tabla1[[#This Row],[Columna1]]-Tabla1[[#This Row],[IMPORTE TOTAL]]</f>
        <v>0</v>
      </c>
    </row>
    <row r="1007" spans="1:27" x14ac:dyDescent="0.2">
      <c r="A1007">
        <v>2024</v>
      </c>
      <c r="B1007" t="s">
        <v>65</v>
      </c>
      <c r="C1007" s="51">
        <v>45652</v>
      </c>
      <c r="D1007" s="3" t="s">
        <v>40</v>
      </c>
      <c r="E1007" s="3" t="s">
        <v>45</v>
      </c>
      <c r="F1007" s="3" t="s">
        <v>45</v>
      </c>
      <c r="G1007" s="4">
        <v>0.45833333333333331</v>
      </c>
      <c r="H1007" s="4">
        <v>0.85416666666666663</v>
      </c>
      <c r="I1007" t="s">
        <v>32</v>
      </c>
      <c r="J1007">
        <v>2</v>
      </c>
      <c r="L1007" s="46"/>
      <c r="P1007">
        <v>300</v>
      </c>
      <c r="Q1007">
        <v>0</v>
      </c>
      <c r="R1007">
        <v>0</v>
      </c>
      <c r="S1007" s="7">
        <f>Tabla1[[#This Row],[TARIFA]]+Tabla1[[#This Row],[IMPORTE EXTRAS]]</f>
        <v>300</v>
      </c>
      <c r="T1007" t="s">
        <v>45</v>
      </c>
      <c r="U1007">
        <v>0</v>
      </c>
      <c r="V1007">
        <v>300</v>
      </c>
      <c r="W1007">
        <v>0</v>
      </c>
      <c r="X1007" s="49">
        <v>0</v>
      </c>
      <c r="Y1007" s="49" t="s">
        <v>435</v>
      </c>
      <c r="Z1007" s="7">
        <f>SUM(Tabla1[[#This Row],[RES-A]:[EXTR-B]])</f>
        <v>300</v>
      </c>
      <c r="AA1007" s="7">
        <f>Tabla1[[#This Row],[Columna1]]-Tabla1[[#This Row],[IMPORTE TOTAL]]</f>
        <v>0</v>
      </c>
    </row>
    <row r="1008" spans="1:27" x14ac:dyDescent="0.2">
      <c r="A1008">
        <v>2024</v>
      </c>
      <c r="B1008" t="s">
        <v>65</v>
      </c>
      <c r="C1008" s="51">
        <v>45653</v>
      </c>
      <c r="D1008" s="3" t="s">
        <v>41</v>
      </c>
      <c r="E1008" s="3" t="s">
        <v>46</v>
      </c>
      <c r="F1008" s="3" t="s">
        <v>46</v>
      </c>
      <c r="G1008" s="4">
        <v>0.64583333333333337</v>
      </c>
      <c r="H1008" s="4">
        <v>0.85416666666666663</v>
      </c>
      <c r="I1008" t="s">
        <v>31</v>
      </c>
      <c r="J1008">
        <v>1</v>
      </c>
      <c r="L1008" s="46"/>
      <c r="P1008">
        <v>140</v>
      </c>
      <c r="Q1008">
        <v>0</v>
      </c>
      <c r="R1008">
        <v>0</v>
      </c>
      <c r="S1008" s="7">
        <f>Tabla1[[#This Row],[TARIFA]]+Tabla1[[#This Row],[IMPORTE EXTRAS]]</f>
        <v>140</v>
      </c>
      <c r="T1008" t="s">
        <v>45</v>
      </c>
      <c r="U1008">
        <v>50</v>
      </c>
      <c r="V1008">
        <v>90</v>
      </c>
      <c r="W1008">
        <v>0</v>
      </c>
      <c r="X1008" s="49">
        <v>0</v>
      </c>
      <c r="Y1008" s="49"/>
      <c r="Z1008" s="7">
        <f>SUM(Tabla1[[#This Row],[RES-A]:[EXTR-B]])</f>
        <v>140</v>
      </c>
      <c r="AA1008" s="7">
        <f>Tabla1[[#This Row],[Columna1]]-Tabla1[[#This Row],[IMPORTE TOTAL]]</f>
        <v>0</v>
      </c>
    </row>
    <row r="1009" spans="1:27" x14ac:dyDescent="0.2">
      <c r="A1009">
        <v>2024</v>
      </c>
      <c r="B1009" t="s">
        <v>65</v>
      </c>
      <c r="C1009" s="51">
        <v>45653</v>
      </c>
      <c r="D1009" s="3" t="s">
        <v>41</v>
      </c>
      <c r="E1009" s="3" t="s">
        <v>46</v>
      </c>
      <c r="F1009" s="3" t="s">
        <v>46</v>
      </c>
      <c r="G1009" s="4">
        <v>0.85416666666666663</v>
      </c>
      <c r="H1009" s="4">
        <v>0.10416666666666667</v>
      </c>
      <c r="I1009" t="s">
        <v>35</v>
      </c>
      <c r="J1009">
        <v>1</v>
      </c>
      <c r="L1009" s="46"/>
      <c r="P1009">
        <v>200</v>
      </c>
      <c r="Q1009">
        <v>0</v>
      </c>
      <c r="R1009">
        <v>0</v>
      </c>
      <c r="S1009" s="7">
        <f>Tabla1[[#This Row],[TARIFA]]+Tabla1[[#This Row],[IMPORTE EXTRAS]]</f>
        <v>200</v>
      </c>
      <c r="T1009" t="s">
        <v>45</v>
      </c>
      <c r="U1009">
        <v>50</v>
      </c>
      <c r="V1009">
        <v>150</v>
      </c>
      <c r="W1009">
        <v>0</v>
      </c>
      <c r="X1009" s="49">
        <v>0</v>
      </c>
      <c r="Y1009" s="49"/>
      <c r="Z1009" s="7">
        <f>SUM(Tabla1[[#This Row],[RES-A]:[EXTR-B]])</f>
        <v>200</v>
      </c>
      <c r="AA1009" s="7">
        <f>Tabla1[[#This Row],[Columna1]]-Tabla1[[#This Row],[IMPORTE TOTAL]]</f>
        <v>0</v>
      </c>
    </row>
    <row r="1010" spans="1:27" x14ac:dyDescent="0.2">
      <c r="A1010">
        <v>2024</v>
      </c>
      <c r="B1010" t="s">
        <v>65</v>
      </c>
      <c r="C1010" s="51">
        <v>45654</v>
      </c>
      <c r="D1010" s="3" t="s">
        <v>42</v>
      </c>
      <c r="E1010" s="3" t="s">
        <v>46</v>
      </c>
      <c r="F1010" s="3" t="s">
        <v>46</v>
      </c>
      <c r="G1010" s="4">
        <v>0.64583333333333337</v>
      </c>
      <c r="H1010" s="4">
        <v>0.85416666666666663</v>
      </c>
      <c r="I1010" t="s">
        <v>31</v>
      </c>
      <c r="J1010">
        <v>1</v>
      </c>
      <c r="L1010" s="46"/>
      <c r="P1010">
        <v>150</v>
      </c>
      <c r="Q1010">
        <v>0</v>
      </c>
      <c r="R1010">
        <v>0</v>
      </c>
      <c r="S1010" s="7">
        <f>Tabla1[[#This Row],[TARIFA]]+Tabla1[[#This Row],[IMPORTE EXTRAS]]</f>
        <v>150</v>
      </c>
      <c r="T1010" t="s">
        <v>45</v>
      </c>
      <c r="U1010">
        <v>50</v>
      </c>
      <c r="V1010">
        <v>100</v>
      </c>
      <c r="W1010">
        <v>0</v>
      </c>
      <c r="X1010" s="49">
        <v>0</v>
      </c>
      <c r="Y1010" s="49"/>
      <c r="Z1010" s="7">
        <f>SUM(Tabla1[[#This Row],[RES-A]:[EXTR-B]])</f>
        <v>150</v>
      </c>
      <c r="AA1010" s="7">
        <f>Tabla1[[#This Row],[Columna1]]-Tabla1[[#This Row],[IMPORTE TOTAL]]</f>
        <v>0</v>
      </c>
    </row>
    <row r="1011" spans="1:27" x14ac:dyDescent="0.2">
      <c r="A1011">
        <v>2024</v>
      </c>
      <c r="B1011" t="s">
        <v>65</v>
      </c>
      <c r="C1011" s="51">
        <v>45654</v>
      </c>
      <c r="D1011" s="3" t="s">
        <v>42</v>
      </c>
      <c r="E1011" s="3" t="s">
        <v>46</v>
      </c>
      <c r="F1011" s="3" t="s">
        <v>46</v>
      </c>
      <c r="G1011" s="4">
        <v>0.89583333333333337</v>
      </c>
      <c r="H1011" s="4">
        <v>0.10416666666666667</v>
      </c>
      <c r="I1011" t="s">
        <v>35</v>
      </c>
      <c r="J1011">
        <v>1</v>
      </c>
      <c r="L1011" s="46"/>
      <c r="P1011">
        <v>200</v>
      </c>
      <c r="Q1011">
        <v>0</v>
      </c>
      <c r="R1011">
        <v>0</v>
      </c>
      <c r="S1011" s="7">
        <f>Tabla1[[#This Row],[TARIFA]]+Tabla1[[#This Row],[IMPORTE EXTRAS]]</f>
        <v>200</v>
      </c>
      <c r="T1011" t="s">
        <v>45</v>
      </c>
      <c r="U1011">
        <v>50</v>
      </c>
      <c r="V1011">
        <v>150</v>
      </c>
      <c r="W1011">
        <v>0</v>
      </c>
      <c r="X1011" s="49">
        <v>0</v>
      </c>
      <c r="Y1011" s="49"/>
      <c r="Z1011" s="7">
        <f>SUM(Tabla1[[#This Row],[RES-A]:[EXTR-B]])</f>
        <v>200</v>
      </c>
      <c r="AA1011" s="7">
        <f>Tabla1[[#This Row],[Columna1]]-Tabla1[[#This Row],[IMPORTE TOTAL]]</f>
        <v>0</v>
      </c>
    </row>
    <row r="1012" spans="1:27" x14ac:dyDescent="0.2">
      <c r="A1012">
        <v>2024</v>
      </c>
      <c r="B1012" t="s">
        <v>65</v>
      </c>
      <c r="C1012" s="51">
        <v>45655</v>
      </c>
      <c r="D1012" s="3" t="s">
        <v>43</v>
      </c>
      <c r="E1012" s="3" t="s">
        <v>46</v>
      </c>
      <c r="F1012" s="3" t="s">
        <v>46</v>
      </c>
      <c r="G1012" s="4">
        <v>0.39583333333333331</v>
      </c>
      <c r="H1012" s="4">
        <v>0.60416666666666663</v>
      </c>
      <c r="I1012" t="s">
        <v>30</v>
      </c>
      <c r="J1012">
        <v>1</v>
      </c>
      <c r="L1012" s="46"/>
      <c r="P1012">
        <v>150</v>
      </c>
      <c r="Q1012">
        <v>0</v>
      </c>
      <c r="R1012">
        <v>0</v>
      </c>
      <c r="S1012" s="7">
        <f>Tabla1[[#This Row],[TARIFA]]+Tabla1[[#This Row],[IMPORTE EXTRAS]]</f>
        <v>150</v>
      </c>
      <c r="T1012" t="s">
        <v>45</v>
      </c>
      <c r="U1012">
        <v>50</v>
      </c>
      <c r="V1012">
        <v>100</v>
      </c>
      <c r="W1012">
        <v>0</v>
      </c>
      <c r="X1012" s="49">
        <v>0</v>
      </c>
      <c r="Y1012" s="49" t="s">
        <v>505</v>
      </c>
      <c r="Z1012" s="7">
        <f>SUM(Tabla1[[#This Row],[RES-A]:[EXTR-B]])</f>
        <v>150</v>
      </c>
      <c r="AA1012" s="7">
        <f>Tabla1[[#This Row],[Columna1]]-Tabla1[[#This Row],[IMPORTE TOTAL]]</f>
        <v>0</v>
      </c>
    </row>
    <row r="1013" spans="1:27" x14ac:dyDescent="0.2">
      <c r="A1013">
        <v>2024</v>
      </c>
      <c r="B1013" t="s">
        <v>65</v>
      </c>
      <c r="C1013" s="51">
        <v>45655</v>
      </c>
      <c r="D1013" s="3" t="s">
        <v>43</v>
      </c>
      <c r="E1013" s="3" t="s">
        <v>46</v>
      </c>
      <c r="F1013" s="3" t="s">
        <v>46</v>
      </c>
      <c r="G1013" s="4">
        <v>0.64583333333333337</v>
      </c>
      <c r="H1013" s="4">
        <v>0.85416666666666663</v>
      </c>
      <c r="I1013" t="s">
        <v>31</v>
      </c>
      <c r="J1013">
        <v>1</v>
      </c>
      <c r="L1013" s="46"/>
      <c r="P1013">
        <v>150</v>
      </c>
      <c r="Q1013">
        <v>0</v>
      </c>
      <c r="R1013">
        <v>0</v>
      </c>
      <c r="S1013" s="7">
        <f>Tabla1[[#This Row],[TARIFA]]+Tabla1[[#This Row],[IMPORTE EXTRAS]]</f>
        <v>150</v>
      </c>
      <c r="T1013" t="s">
        <v>45</v>
      </c>
      <c r="U1013">
        <v>50</v>
      </c>
      <c r="V1013">
        <v>100</v>
      </c>
      <c r="W1013">
        <v>0</v>
      </c>
      <c r="X1013" s="49">
        <v>0</v>
      </c>
      <c r="Y1013" s="49"/>
      <c r="Z1013" s="7">
        <f>SUM(Tabla1[[#This Row],[RES-A]:[EXTR-B]])</f>
        <v>150</v>
      </c>
      <c r="AA1013" s="7">
        <f>Tabla1[[#This Row],[Columna1]]-Tabla1[[#This Row],[IMPORTE TOTAL]]</f>
        <v>0</v>
      </c>
    </row>
    <row r="1014" spans="1:27" x14ac:dyDescent="0.2">
      <c r="A1014">
        <v>2024</v>
      </c>
      <c r="B1014" t="s">
        <v>65</v>
      </c>
      <c r="C1014" s="51">
        <v>45655</v>
      </c>
      <c r="D1014" s="3" t="s">
        <v>43</v>
      </c>
      <c r="E1014" s="3" t="s">
        <v>46</v>
      </c>
      <c r="F1014" s="3" t="s">
        <v>46</v>
      </c>
      <c r="G1014" s="4">
        <v>0.89583333333333337</v>
      </c>
      <c r="H1014" s="4">
        <v>0.10416666666666667</v>
      </c>
      <c r="I1014" t="s">
        <v>35</v>
      </c>
      <c r="J1014">
        <v>1</v>
      </c>
      <c r="L1014" s="46"/>
      <c r="P1014">
        <v>200</v>
      </c>
      <c r="Q1014">
        <v>0</v>
      </c>
      <c r="R1014">
        <v>0</v>
      </c>
      <c r="S1014" s="7">
        <f>Tabla1[[#This Row],[TARIFA]]+Tabla1[[#This Row],[IMPORTE EXTRAS]]</f>
        <v>200</v>
      </c>
      <c r="T1014" t="s">
        <v>45</v>
      </c>
      <c r="U1014">
        <v>0</v>
      </c>
      <c r="V1014">
        <v>200</v>
      </c>
      <c r="W1014">
        <v>0</v>
      </c>
      <c r="X1014" s="49">
        <v>0</v>
      </c>
      <c r="Y1014" s="49" t="s">
        <v>560</v>
      </c>
      <c r="Z1014" s="7">
        <f>SUM(Tabla1[[#This Row],[RES-A]:[EXTR-B]])</f>
        <v>200</v>
      </c>
      <c r="AA1014" s="7">
        <f>Tabla1[[#This Row],[Columna1]]-Tabla1[[#This Row],[IMPORTE TOTAL]]</f>
        <v>0</v>
      </c>
    </row>
    <row r="1015" spans="1:27" x14ac:dyDescent="0.2">
      <c r="A1015">
        <v>2024</v>
      </c>
      <c r="B1015" t="s">
        <v>65</v>
      </c>
      <c r="C1015" s="51">
        <v>45656</v>
      </c>
      <c r="D1015" s="3" t="s">
        <v>37</v>
      </c>
      <c r="E1015" s="3" t="s">
        <v>46</v>
      </c>
      <c r="F1015" s="3" t="s">
        <v>46</v>
      </c>
      <c r="G1015" s="4">
        <v>0.64583333333333337</v>
      </c>
      <c r="H1015" s="4">
        <v>0.85416666666666663</v>
      </c>
      <c r="I1015" t="s">
        <v>31</v>
      </c>
      <c r="J1015">
        <v>1</v>
      </c>
      <c r="L1015" s="46"/>
      <c r="P1015">
        <v>95</v>
      </c>
      <c r="Q1015">
        <v>0</v>
      </c>
      <c r="R1015">
        <v>0</v>
      </c>
      <c r="S1015" s="7">
        <f>Tabla1[[#This Row],[TARIFA]]+Tabla1[[#This Row],[IMPORTE EXTRAS]]</f>
        <v>95</v>
      </c>
      <c r="T1015" t="s">
        <v>45</v>
      </c>
      <c r="U1015">
        <v>95</v>
      </c>
      <c r="V1015">
        <v>0</v>
      </c>
      <c r="W1015">
        <v>0</v>
      </c>
      <c r="X1015" s="49">
        <v>0</v>
      </c>
      <c r="Y1015" s="49" t="s">
        <v>670</v>
      </c>
      <c r="Z1015" s="7">
        <f>SUM(Tabla1[[#This Row],[RES-A]:[EXTR-B]])</f>
        <v>95</v>
      </c>
      <c r="AA1015" s="7">
        <f>Tabla1[[#This Row],[Columna1]]-Tabla1[[#This Row],[IMPORTE TOTAL]]</f>
        <v>0</v>
      </c>
    </row>
    <row r="1016" spans="1:27" x14ac:dyDescent="0.2">
      <c r="A1016">
        <v>2024</v>
      </c>
      <c r="B1016" t="s">
        <v>65</v>
      </c>
      <c r="C1016" s="51">
        <v>45657</v>
      </c>
      <c r="D1016" s="3" t="s">
        <v>38</v>
      </c>
      <c r="E1016" s="3" t="s">
        <v>46</v>
      </c>
      <c r="F1016" s="3" t="s">
        <v>45</v>
      </c>
      <c r="G1016" s="4">
        <v>0.64583333333333337</v>
      </c>
      <c r="H1016" s="4">
        <v>0.22916666666666666</v>
      </c>
      <c r="I1016" t="s">
        <v>53</v>
      </c>
      <c r="J1016">
        <v>2</v>
      </c>
      <c r="L1016" s="46"/>
      <c r="P1016">
        <v>600</v>
      </c>
      <c r="Q1016">
        <v>0</v>
      </c>
      <c r="R1016">
        <v>0</v>
      </c>
      <c r="S1016" s="7">
        <f>Tabla1[[#This Row],[TARIFA]]+Tabla1[[#This Row],[IMPORTE EXTRAS]]</f>
        <v>600</v>
      </c>
      <c r="T1016" t="s">
        <v>45</v>
      </c>
      <c r="U1016">
        <v>50</v>
      </c>
      <c r="V1016">
        <v>550</v>
      </c>
      <c r="W1016">
        <v>0</v>
      </c>
      <c r="X1016" s="49">
        <v>0</v>
      </c>
      <c r="Y1016" s="49" t="s">
        <v>436</v>
      </c>
      <c r="Z1016" s="7">
        <f>SUM(Tabla1[[#This Row],[RES-A]:[EXTR-B]])</f>
        <v>600</v>
      </c>
      <c r="AA1016" s="7">
        <f>Tabla1[[#This Row],[Columna1]]-Tabla1[[#This Row],[IMPORTE TOTAL]]</f>
        <v>0</v>
      </c>
    </row>
    <row r="1017" spans="1:27" x14ac:dyDescent="0.2">
      <c r="A1017">
        <v>2025</v>
      </c>
      <c r="B1017" t="s">
        <v>48</v>
      </c>
      <c r="C1017" s="51">
        <v>45658</v>
      </c>
      <c r="D1017" s="3" t="s">
        <v>39</v>
      </c>
      <c r="E1017" s="3" t="s">
        <v>46</v>
      </c>
      <c r="F1017" s="3" t="s">
        <v>46</v>
      </c>
      <c r="G1017" s="4">
        <v>0.5</v>
      </c>
      <c r="H1017" s="4">
        <v>0.85416666666666663</v>
      </c>
      <c r="I1017" t="s">
        <v>31</v>
      </c>
      <c r="J1017">
        <v>1</v>
      </c>
      <c r="L1017" s="46"/>
      <c r="P1017">
        <v>200</v>
      </c>
      <c r="Q1017">
        <v>0</v>
      </c>
      <c r="R1017">
        <v>0</v>
      </c>
      <c r="S1017" s="7">
        <f>Tabla1[[#This Row],[TARIFA]]+Tabla1[[#This Row],[IMPORTE EXTRAS]]</f>
        <v>200</v>
      </c>
      <c r="T1017" t="s">
        <v>45</v>
      </c>
      <c r="U1017">
        <v>0</v>
      </c>
      <c r="V1017">
        <v>200</v>
      </c>
      <c r="W1017">
        <v>0</v>
      </c>
      <c r="X1017" s="49">
        <v>0</v>
      </c>
      <c r="Y1017" s="49"/>
      <c r="Z1017" s="7">
        <f>SUM(Tabla1[[#This Row],[RES-A]:[EXTR-B]])</f>
        <v>200</v>
      </c>
      <c r="AA1017" s="7">
        <f>Tabla1[[#This Row],[Columna1]]-Tabla1[[#This Row],[IMPORTE TOTAL]]</f>
        <v>0</v>
      </c>
    </row>
    <row r="1018" spans="1:27" x14ac:dyDescent="0.2">
      <c r="A1018">
        <v>2025</v>
      </c>
      <c r="B1018" t="s">
        <v>48</v>
      </c>
      <c r="C1018" s="51">
        <v>45659</v>
      </c>
      <c r="D1018" s="3" t="s">
        <v>40</v>
      </c>
      <c r="E1018" s="3" t="s">
        <v>46</v>
      </c>
      <c r="F1018" s="3" t="s">
        <v>46</v>
      </c>
      <c r="G1018" s="4">
        <v>0.64583333333333337</v>
      </c>
      <c r="H1018" s="4">
        <v>0.85416666666666663</v>
      </c>
      <c r="I1018" t="s">
        <v>31</v>
      </c>
      <c r="J1018">
        <v>1</v>
      </c>
      <c r="L1018" s="46"/>
      <c r="P1018">
        <v>95</v>
      </c>
      <c r="Q1018">
        <v>0</v>
      </c>
      <c r="R1018">
        <v>0</v>
      </c>
      <c r="S1018" s="7">
        <f>Tabla1[[#This Row],[TARIFA]]+Tabla1[[#This Row],[IMPORTE EXTRAS]]</f>
        <v>95</v>
      </c>
      <c r="T1018" t="s">
        <v>45</v>
      </c>
      <c r="U1018">
        <v>0</v>
      </c>
      <c r="V1018">
        <v>95</v>
      </c>
      <c r="W1018">
        <v>0</v>
      </c>
      <c r="X1018" s="49">
        <v>0</v>
      </c>
      <c r="Y1018" s="49" t="s">
        <v>560</v>
      </c>
      <c r="Z1018" s="7">
        <f>SUM(Tabla1[[#This Row],[RES-A]:[EXTR-B]])</f>
        <v>95</v>
      </c>
      <c r="AA1018" s="7">
        <f>Tabla1[[#This Row],[Columna1]]-Tabla1[[#This Row],[IMPORTE TOTAL]]</f>
        <v>0</v>
      </c>
    </row>
    <row r="1019" spans="1:27" x14ac:dyDescent="0.2">
      <c r="A1019">
        <v>2025</v>
      </c>
      <c r="B1019" t="s">
        <v>48</v>
      </c>
      <c r="C1019" s="51">
        <v>45661</v>
      </c>
      <c r="D1019" s="3" t="s">
        <v>42</v>
      </c>
      <c r="E1019" s="3" t="s">
        <v>46</v>
      </c>
      <c r="F1019" s="3" t="s">
        <v>46</v>
      </c>
      <c r="G1019" s="4">
        <v>0.64583333333333337</v>
      </c>
      <c r="H1019" s="4">
        <v>0.85416666666666663</v>
      </c>
      <c r="I1019" t="s">
        <v>31</v>
      </c>
      <c r="J1019">
        <v>1</v>
      </c>
      <c r="L1019" s="46"/>
      <c r="P1019">
        <v>150</v>
      </c>
      <c r="Q1019">
        <v>0</v>
      </c>
      <c r="R1019">
        <v>0</v>
      </c>
      <c r="S1019" s="7">
        <f>Tabla1[[#This Row],[TARIFA]]+Tabla1[[#This Row],[IMPORTE EXTRAS]]</f>
        <v>150</v>
      </c>
      <c r="T1019" t="s">
        <v>45</v>
      </c>
      <c r="U1019">
        <v>150</v>
      </c>
      <c r="V1019">
        <v>0</v>
      </c>
      <c r="W1019">
        <v>0</v>
      </c>
      <c r="X1019" s="49">
        <v>0</v>
      </c>
      <c r="Y1019" s="49"/>
      <c r="Z1019" s="7">
        <f>SUM(Tabla1[[#This Row],[RES-A]:[EXTR-B]])</f>
        <v>150</v>
      </c>
      <c r="AA1019" s="7">
        <f>Tabla1[[#This Row],[Columna1]]-Tabla1[[#This Row],[IMPORTE TOTAL]]</f>
        <v>0</v>
      </c>
    </row>
    <row r="1020" spans="1:27" x14ac:dyDescent="0.2">
      <c r="A1020">
        <v>2025</v>
      </c>
      <c r="B1020" t="s">
        <v>48</v>
      </c>
      <c r="C1020" s="51">
        <v>45661</v>
      </c>
      <c r="D1020" s="3" t="s">
        <v>42</v>
      </c>
      <c r="E1020" s="3" t="s">
        <v>46</v>
      </c>
      <c r="F1020" s="3" t="s">
        <v>46</v>
      </c>
      <c r="G1020" s="4">
        <v>0.89583333333333337</v>
      </c>
      <c r="H1020" s="4">
        <v>0.10416666666666667</v>
      </c>
      <c r="I1020" t="s">
        <v>35</v>
      </c>
      <c r="J1020">
        <v>1</v>
      </c>
      <c r="L1020" s="46"/>
      <c r="P1020">
        <v>200</v>
      </c>
      <c r="Q1020">
        <v>1</v>
      </c>
      <c r="R1020">
        <v>60</v>
      </c>
      <c r="S1020" s="7">
        <f>Tabla1[[#This Row],[TARIFA]]+Tabla1[[#This Row],[IMPORTE EXTRAS]]</f>
        <v>260</v>
      </c>
      <c r="T1020" t="s">
        <v>45</v>
      </c>
      <c r="U1020">
        <v>200</v>
      </c>
      <c r="V1020">
        <v>0</v>
      </c>
      <c r="W1020">
        <v>60</v>
      </c>
      <c r="X1020" s="49">
        <v>0</v>
      </c>
      <c r="Y1020" s="49"/>
      <c r="Z1020" s="7">
        <f>SUM(Tabla1[[#This Row],[RES-A]:[EXTR-B]])</f>
        <v>260</v>
      </c>
      <c r="AA1020" s="7">
        <f>Tabla1[[#This Row],[Columna1]]-Tabla1[[#This Row],[IMPORTE TOTAL]]</f>
        <v>0</v>
      </c>
    </row>
    <row r="1021" spans="1:27" x14ac:dyDescent="0.2">
      <c r="A1021">
        <v>2025</v>
      </c>
      <c r="B1021" t="s">
        <v>48</v>
      </c>
      <c r="C1021" s="51">
        <v>45662</v>
      </c>
      <c r="D1021" s="3" t="s">
        <v>43</v>
      </c>
      <c r="E1021" s="3" t="s">
        <v>46</v>
      </c>
      <c r="F1021" s="3" t="s">
        <v>46</v>
      </c>
      <c r="G1021" s="4">
        <v>0.89583333333333337</v>
      </c>
      <c r="H1021" s="4">
        <v>0.10416666666666667</v>
      </c>
      <c r="I1021" t="s">
        <v>35</v>
      </c>
      <c r="J1021">
        <v>1</v>
      </c>
      <c r="L1021" s="46"/>
      <c r="P1021">
        <v>200</v>
      </c>
      <c r="Q1021">
        <v>0</v>
      </c>
      <c r="R1021">
        <v>0</v>
      </c>
      <c r="S1021" s="7">
        <f>Tabla1[[#This Row],[TARIFA]]+Tabla1[[#This Row],[IMPORTE EXTRAS]]</f>
        <v>200</v>
      </c>
      <c r="T1021" t="s">
        <v>45</v>
      </c>
      <c r="U1021">
        <v>50</v>
      </c>
      <c r="V1021">
        <v>150</v>
      </c>
      <c r="W1021">
        <v>0</v>
      </c>
      <c r="X1021" s="49">
        <v>0</v>
      </c>
      <c r="Y1021" s="49"/>
      <c r="Z1021" s="7">
        <f>SUM(Tabla1[[#This Row],[RES-A]:[EXTR-B]])</f>
        <v>200</v>
      </c>
      <c r="AA1021" s="7">
        <f>Tabla1[[#This Row],[Columna1]]-Tabla1[[#This Row],[IMPORTE TOTAL]]</f>
        <v>0</v>
      </c>
    </row>
    <row r="1022" spans="1:27" x14ac:dyDescent="0.2">
      <c r="A1022">
        <v>2025</v>
      </c>
      <c r="B1022" t="s">
        <v>48</v>
      </c>
      <c r="C1022" s="51">
        <v>45663</v>
      </c>
      <c r="D1022" s="3" t="s">
        <v>37</v>
      </c>
      <c r="E1022" s="3" t="s">
        <v>45</v>
      </c>
      <c r="F1022" s="3" t="s">
        <v>45</v>
      </c>
      <c r="G1022" s="4">
        <v>0.625</v>
      </c>
      <c r="H1022" s="4">
        <v>0.83333333333333337</v>
      </c>
      <c r="I1022" t="s">
        <v>31</v>
      </c>
      <c r="J1022">
        <v>1</v>
      </c>
      <c r="L1022" s="46"/>
      <c r="P1022">
        <v>200</v>
      </c>
      <c r="Q1022">
        <v>0</v>
      </c>
      <c r="R1022">
        <v>0</v>
      </c>
      <c r="S1022" s="7">
        <f>Tabla1[[#This Row],[TARIFA]]+Tabla1[[#This Row],[IMPORTE EXTRAS]]</f>
        <v>200</v>
      </c>
      <c r="T1022" t="s">
        <v>45</v>
      </c>
      <c r="U1022">
        <v>50</v>
      </c>
      <c r="V1022">
        <v>150</v>
      </c>
      <c r="W1022">
        <v>0</v>
      </c>
      <c r="X1022" s="49">
        <v>0</v>
      </c>
      <c r="Y1022" s="49"/>
      <c r="Z1022" s="7">
        <f>SUM(Tabla1[[#This Row],[RES-A]:[EXTR-B]])</f>
        <v>200</v>
      </c>
      <c r="AA1022" s="7">
        <f>Tabla1[[#This Row],[Columna1]]-Tabla1[[#This Row],[IMPORTE TOTAL]]</f>
        <v>0</v>
      </c>
    </row>
    <row r="1023" spans="1:27" x14ac:dyDescent="0.2">
      <c r="A1023">
        <v>2025</v>
      </c>
      <c r="B1023" t="s">
        <v>48</v>
      </c>
      <c r="C1023" s="51">
        <v>45666</v>
      </c>
      <c r="D1023" s="3" t="s">
        <v>40</v>
      </c>
      <c r="E1023" s="3" t="s">
        <v>46</v>
      </c>
      <c r="F1023" s="3" t="s">
        <v>46</v>
      </c>
      <c r="G1023" s="4">
        <v>0.64583333333333337</v>
      </c>
      <c r="H1023" s="4">
        <v>0.85416666666666663</v>
      </c>
      <c r="I1023" t="s">
        <v>31</v>
      </c>
      <c r="J1023">
        <v>1</v>
      </c>
      <c r="L1023" s="46"/>
      <c r="P1023">
        <v>95</v>
      </c>
      <c r="Q1023">
        <v>0</v>
      </c>
      <c r="R1023">
        <v>0</v>
      </c>
      <c r="S1023" s="7">
        <f>Tabla1[[#This Row],[TARIFA]]+Tabla1[[#This Row],[IMPORTE EXTRAS]]</f>
        <v>95</v>
      </c>
      <c r="T1023" t="s">
        <v>45</v>
      </c>
      <c r="U1023">
        <v>0</v>
      </c>
      <c r="V1023">
        <v>95</v>
      </c>
      <c r="W1023">
        <v>0</v>
      </c>
      <c r="X1023" s="49">
        <v>0</v>
      </c>
      <c r="Y1023" s="49" t="s">
        <v>560</v>
      </c>
      <c r="Z1023" s="7">
        <f>SUM(Tabla1[[#This Row],[RES-A]:[EXTR-B]])</f>
        <v>95</v>
      </c>
      <c r="AA1023" s="7">
        <f>Tabla1[[#This Row],[Columna1]]-Tabla1[[#This Row],[IMPORTE TOTAL]]</f>
        <v>0</v>
      </c>
    </row>
    <row r="1024" spans="1:27" x14ac:dyDescent="0.2">
      <c r="A1024">
        <v>2025</v>
      </c>
      <c r="B1024" t="s">
        <v>48</v>
      </c>
      <c r="C1024" s="51">
        <v>45667</v>
      </c>
      <c r="D1024" s="3" t="s">
        <v>41</v>
      </c>
      <c r="E1024" s="3" t="s">
        <v>46</v>
      </c>
      <c r="F1024" s="3" t="s">
        <v>46</v>
      </c>
      <c r="G1024" s="4">
        <v>0.64583333333333337</v>
      </c>
      <c r="H1024" s="4">
        <v>0.83333333333333337</v>
      </c>
      <c r="I1024" t="s">
        <v>31</v>
      </c>
      <c r="J1024">
        <v>1</v>
      </c>
      <c r="L1024" s="46"/>
      <c r="P1024">
        <v>140</v>
      </c>
      <c r="Q1024">
        <v>0</v>
      </c>
      <c r="R1024">
        <v>0</v>
      </c>
      <c r="S1024" s="7">
        <f>Tabla1[[#This Row],[TARIFA]]+Tabla1[[#This Row],[IMPORTE EXTRAS]]</f>
        <v>140</v>
      </c>
      <c r="T1024" t="s">
        <v>45</v>
      </c>
      <c r="U1024">
        <v>50</v>
      </c>
      <c r="V1024">
        <v>90</v>
      </c>
      <c r="W1024">
        <v>0</v>
      </c>
      <c r="X1024" s="49">
        <v>0</v>
      </c>
      <c r="Y1024" s="49"/>
      <c r="Z1024" s="7">
        <f>SUM(Tabla1[[#This Row],[RES-A]:[EXTR-B]])</f>
        <v>140</v>
      </c>
      <c r="AA1024" s="7">
        <f>Tabla1[[#This Row],[Columna1]]-Tabla1[[#This Row],[IMPORTE TOTAL]]</f>
        <v>0</v>
      </c>
    </row>
    <row r="1025" spans="1:27" x14ac:dyDescent="0.2">
      <c r="A1025">
        <v>2025</v>
      </c>
      <c r="B1025" t="s">
        <v>48</v>
      </c>
      <c r="C1025" s="51">
        <v>45668</v>
      </c>
      <c r="D1025" s="3" t="s">
        <v>42</v>
      </c>
      <c r="E1025" s="3" t="s">
        <v>46</v>
      </c>
      <c r="F1025" s="3" t="s">
        <v>46</v>
      </c>
      <c r="G1025" s="4">
        <v>0.39583333333333331</v>
      </c>
      <c r="H1025" s="4">
        <v>0.85416666666666663</v>
      </c>
      <c r="I1025" t="s">
        <v>32</v>
      </c>
      <c r="J1025">
        <v>2</v>
      </c>
      <c r="L1025" s="46"/>
      <c r="P1025">
        <v>290</v>
      </c>
      <c r="Q1025">
        <v>0</v>
      </c>
      <c r="R1025">
        <v>0</v>
      </c>
      <c r="S1025" s="7">
        <f>Tabla1[[#This Row],[TARIFA]]+Tabla1[[#This Row],[IMPORTE EXTRAS]]</f>
        <v>290</v>
      </c>
      <c r="T1025" t="s">
        <v>45</v>
      </c>
      <c r="U1025">
        <v>50</v>
      </c>
      <c r="V1025">
        <v>240</v>
      </c>
      <c r="W1025">
        <v>0</v>
      </c>
      <c r="X1025" s="49">
        <v>0</v>
      </c>
      <c r="Y1025" s="49" t="s">
        <v>560</v>
      </c>
      <c r="Z1025" s="7">
        <f>SUM(Tabla1[[#This Row],[RES-A]:[EXTR-B]])</f>
        <v>290</v>
      </c>
      <c r="AA1025" s="7">
        <f>Tabla1[[#This Row],[Columna1]]-Tabla1[[#This Row],[IMPORTE TOTAL]]</f>
        <v>0</v>
      </c>
    </row>
    <row r="1026" spans="1:27" x14ac:dyDescent="0.2">
      <c r="A1026">
        <v>2025</v>
      </c>
      <c r="B1026" t="s">
        <v>48</v>
      </c>
      <c r="C1026" s="51">
        <v>45668</v>
      </c>
      <c r="D1026" s="3" t="s">
        <v>42</v>
      </c>
      <c r="E1026" s="3" t="s">
        <v>46</v>
      </c>
      <c r="F1026" s="3" t="s">
        <v>46</v>
      </c>
      <c r="G1026" s="4">
        <v>0.89583333333333337</v>
      </c>
      <c r="H1026" s="4">
        <v>0.10416666666666667</v>
      </c>
      <c r="I1026" t="s">
        <v>35</v>
      </c>
      <c r="J1026">
        <v>1</v>
      </c>
      <c r="L1026" s="46"/>
      <c r="P1026">
        <v>200</v>
      </c>
      <c r="Q1026">
        <v>0</v>
      </c>
      <c r="R1026">
        <v>0</v>
      </c>
      <c r="S1026" s="7">
        <f>Tabla1[[#This Row],[TARIFA]]+Tabla1[[#This Row],[IMPORTE EXTRAS]]</f>
        <v>200</v>
      </c>
      <c r="T1026" t="s">
        <v>45</v>
      </c>
      <c r="U1026">
        <v>200</v>
      </c>
      <c r="V1026">
        <v>0</v>
      </c>
      <c r="W1026">
        <v>0</v>
      </c>
      <c r="X1026" s="49">
        <v>0</v>
      </c>
      <c r="Y1026" s="49"/>
      <c r="Z1026" s="7">
        <f>SUM(Tabla1[[#This Row],[RES-A]:[EXTR-B]])</f>
        <v>200</v>
      </c>
      <c r="AA1026" s="7">
        <f>Tabla1[[#This Row],[Columna1]]-Tabla1[[#This Row],[IMPORTE TOTAL]]</f>
        <v>0</v>
      </c>
    </row>
    <row r="1027" spans="1:27" x14ac:dyDescent="0.2">
      <c r="A1027">
        <v>2025</v>
      </c>
      <c r="B1027" t="s">
        <v>48</v>
      </c>
      <c r="C1027" s="51">
        <v>45669</v>
      </c>
      <c r="D1027" s="3" t="s">
        <v>43</v>
      </c>
      <c r="E1027" s="3" t="s">
        <v>46</v>
      </c>
      <c r="F1027" s="3" t="s">
        <v>46</v>
      </c>
      <c r="G1027" s="4">
        <v>0.39583333333333331</v>
      </c>
      <c r="H1027" s="4">
        <v>0.60416666666666663</v>
      </c>
      <c r="I1027" t="s">
        <v>30</v>
      </c>
      <c r="J1027">
        <v>1</v>
      </c>
      <c r="L1027" s="46"/>
      <c r="P1027">
        <v>150</v>
      </c>
      <c r="Q1027">
        <v>0</v>
      </c>
      <c r="R1027">
        <v>0</v>
      </c>
      <c r="S1027" s="7">
        <f>Tabla1[[#This Row],[TARIFA]]+Tabla1[[#This Row],[IMPORTE EXTRAS]]</f>
        <v>150</v>
      </c>
      <c r="T1027" t="s">
        <v>45</v>
      </c>
      <c r="U1027">
        <v>50</v>
      </c>
      <c r="V1027">
        <v>100</v>
      </c>
      <c r="W1027">
        <v>0</v>
      </c>
      <c r="X1027" s="49">
        <v>0</v>
      </c>
      <c r="Y1027" s="49"/>
      <c r="Z1027" s="7">
        <f>SUM(Tabla1[[#This Row],[RES-A]:[EXTR-B]])</f>
        <v>150</v>
      </c>
      <c r="AA1027" s="7">
        <f>Tabla1[[#This Row],[Columna1]]-Tabla1[[#This Row],[IMPORTE TOTAL]]</f>
        <v>0</v>
      </c>
    </row>
    <row r="1028" spans="1:27" x14ac:dyDescent="0.2">
      <c r="A1028">
        <v>2025</v>
      </c>
      <c r="B1028" t="s">
        <v>48</v>
      </c>
      <c r="C1028" s="51">
        <v>45669</v>
      </c>
      <c r="D1028" s="3" t="s">
        <v>43</v>
      </c>
      <c r="E1028" s="3" t="s">
        <v>46</v>
      </c>
      <c r="F1028" s="3" t="s">
        <v>46</v>
      </c>
      <c r="G1028" s="4">
        <v>0.64583333333333337</v>
      </c>
      <c r="H1028" s="4">
        <v>0.85416666666666663</v>
      </c>
      <c r="I1028" t="s">
        <v>31</v>
      </c>
      <c r="J1028">
        <v>1</v>
      </c>
      <c r="L1028" s="46"/>
      <c r="P1028">
        <v>150</v>
      </c>
      <c r="Q1028">
        <v>0</v>
      </c>
      <c r="R1028">
        <v>0</v>
      </c>
      <c r="S1028" s="7">
        <f>Tabla1[[#This Row],[TARIFA]]+Tabla1[[#This Row],[IMPORTE EXTRAS]]</f>
        <v>150</v>
      </c>
      <c r="T1028" t="s">
        <v>45</v>
      </c>
      <c r="U1028">
        <v>50</v>
      </c>
      <c r="V1028">
        <v>100</v>
      </c>
      <c r="W1028">
        <v>0</v>
      </c>
      <c r="X1028" s="49">
        <v>0</v>
      </c>
      <c r="Y1028" s="49"/>
      <c r="Z1028" s="7">
        <f>SUM(Tabla1[[#This Row],[RES-A]:[EXTR-B]])</f>
        <v>150</v>
      </c>
      <c r="AA1028" s="7">
        <f>Tabla1[[#This Row],[Columna1]]-Tabla1[[#This Row],[IMPORTE TOTAL]]</f>
        <v>0</v>
      </c>
    </row>
    <row r="1029" spans="1:27" x14ac:dyDescent="0.2">
      <c r="A1029">
        <v>2025</v>
      </c>
      <c r="B1029" t="s">
        <v>48</v>
      </c>
      <c r="C1029" s="51">
        <v>45671</v>
      </c>
      <c r="D1029" s="3" t="s">
        <v>38</v>
      </c>
      <c r="E1029" s="3" t="s">
        <v>46</v>
      </c>
      <c r="F1029" s="3" t="s">
        <v>46</v>
      </c>
      <c r="G1029" s="4">
        <v>0.64583333333333337</v>
      </c>
      <c r="H1029" s="4">
        <v>0.85416666666666663</v>
      </c>
      <c r="I1029" t="s">
        <v>31</v>
      </c>
      <c r="J1029">
        <v>1</v>
      </c>
      <c r="L1029" s="46"/>
      <c r="P1029">
        <v>95</v>
      </c>
      <c r="Q1029">
        <v>0</v>
      </c>
      <c r="R1029">
        <v>0</v>
      </c>
      <c r="S1029" s="7">
        <f>Tabla1[[#This Row],[TARIFA]]+Tabla1[[#This Row],[IMPORTE EXTRAS]]</f>
        <v>95</v>
      </c>
      <c r="T1029" t="s">
        <v>45</v>
      </c>
      <c r="U1029">
        <v>0</v>
      </c>
      <c r="V1029">
        <v>95</v>
      </c>
      <c r="W1029">
        <v>0</v>
      </c>
      <c r="X1029" s="49">
        <v>0</v>
      </c>
      <c r="Y1029" s="49" t="s">
        <v>560</v>
      </c>
      <c r="Z1029" s="7">
        <f>SUM(Tabla1[[#This Row],[RES-A]:[EXTR-B]])</f>
        <v>95</v>
      </c>
      <c r="AA1029" s="7">
        <f>Tabla1[[#This Row],[Columna1]]-Tabla1[[#This Row],[IMPORTE TOTAL]]</f>
        <v>0</v>
      </c>
    </row>
    <row r="1030" spans="1:27" x14ac:dyDescent="0.2">
      <c r="A1030">
        <v>2025</v>
      </c>
      <c r="B1030" t="s">
        <v>48</v>
      </c>
      <c r="C1030" s="51">
        <v>45308</v>
      </c>
      <c r="D1030" s="3" t="s">
        <v>41</v>
      </c>
      <c r="E1030" s="3" t="s">
        <v>46</v>
      </c>
      <c r="F1030" s="3" t="s">
        <v>46</v>
      </c>
      <c r="G1030" s="4">
        <v>0.64583333333333337</v>
      </c>
      <c r="H1030" s="4">
        <v>0.10416666666666667</v>
      </c>
      <c r="I1030" t="s">
        <v>32</v>
      </c>
      <c r="J1030">
        <v>2</v>
      </c>
      <c r="L1030" s="46"/>
      <c r="P1030">
        <v>300</v>
      </c>
      <c r="Q1030">
        <v>1</v>
      </c>
      <c r="R1030">
        <v>60</v>
      </c>
      <c r="S1030" s="7">
        <f>Tabla1[[#This Row],[TARIFA]]+Tabla1[[#This Row],[IMPORTE EXTRAS]]</f>
        <v>360</v>
      </c>
      <c r="T1030" t="s">
        <v>45</v>
      </c>
      <c r="U1030">
        <v>50</v>
      </c>
      <c r="V1030">
        <v>250</v>
      </c>
      <c r="W1030">
        <v>0</v>
      </c>
      <c r="X1030" s="49">
        <v>60</v>
      </c>
      <c r="Y1030" s="49"/>
      <c r="Z1030" s="7">
        <f>SUM(Tabla1[[#This Row],[RES-A]:[EXTR-B]])</f>
        <v>360</v>
      </c>
      <c r="AA1030" s="7">
        <f>Tabla1[[#This Row],[Columna1]]-Tabla1[[#This Row],[IMPORTE TOTAL]]</f>
        <v>0</v>
      </c>
    </row>
    <row r="1031" spans="1:27" x14ac:dyDescent="0.2">
      <c r="A1031">
        <v>2025</v>
      </c>
      <c r="B1031" t="s">
        <v>48</v>
      </c>
      <c r="C1031" s="51">
        <v>45309</v>
      </c>
      <c r="D1031" s="3" t="s">
        <v>42</v>
      </c>
      <c r="E1031" s="3" t="s">
        <v>46</v>
      </c>
      <c r="F1031" s="3" t="s">
        <v>46</v>
      </c>
      <c r="G1031" s="4">
        <v>0.39583333333333331</v>
      </c>
      <c r="H1031" s="4">
        <v>0.60416666666666663</v>
      </c>
      <c r="I1031" t="s">
        <v>30</v>
      </c>
      <c r="J1031">
        <v>1</v>
      </c>
      <c r="L1031" s="46"/>
      <c r="P1031">
        <v>150</v>
      </c>
      <c r="Q1031">
        <v>0</v>
      </c>
      <c r="R1031">
        <v>0</v>
      </c>
      <c r="S1031" s="7">
        <f>Tabla1[[#This Row],[TARIFA]]+Tabla1[[#This Row],[IMPORTE EXTRAS]]</f>
        <v>150</v>
      </c>
      <c r="T1031" t="s">
        <v>45</v>
      </c>
      <c r="U1031">
        <v>50</v>
      </c>
      <c r="V1031">
        <v>100</v>
      </c>
      <c r="W1031">
        <v>0</v>
      </c>
      <c r="X1031" s="49">
        <v>0</v>
      </c>
      <c r="Y1031" s="49"/>
      <c r="Z1031" s="7">
        <f>SUM(Tabla1[[#This Row],[RES-A]:[EXTR-B]])</f>
        <v>150</v>
      </c>
      <c r="AA1031" s="7">
        <f>Tabla1[[#This Row],[Columna1]]-Tabla1[[#This Row],[IMPORTE TOTAL]]</f>
        <v>0</v>
      </c>
    </row>
    <row r="1032" spans="1:27" x14ac:dyDescent="0.2">
      <c r="A1032">
        <v>2025</v>
      </c>
      <c r="B1032" t="s">
        <v>48</v>
      </c>
      <c r="C1032" s="51">
        <v>45309</v>
      </c>
      <c r="D1032" s="3" t="s">
        <v>42</v>
      </c>
      <c r="E1032" s="3" t="s">
        <v>46</v>
      </c>
      <c r="F1032" s="3" t="s">
        <v>46</v>
      </c>
      <c r="G1032" s="4">
        <v>0.64583333333333337</v>
      </c>
      <c r="H1032" s="4">
        <v>0.85416666666666663</v>
      </c>
      <c r="I1032" t="s">
        <v>31</v>
      </c>
      <c r="J1032">
        <v>1</v>
      </c>
      <c r="L1032" s="46"/>
      <c r="P1032">
        <v>150</v>
      </c>
      <c r="Q1032">
        <v>0</v>
      </c>
      <c r="R1032">
        <v>0</v>
      </c>
      <c r="S1032" s="7">
        <f>Tabla1[[#This Row],[TARIFA]]+Tabla1[[#This Row],[IMPORTE EXTRAS]]</f>
        <v>150</v>
      </c>
      <c r="T1032" t="s">
        <v>45</v>
      </c>
      <c r="U1032">
        <v>50</v>
      </c>
      <c r="V1032">
        <v>100</v>
      </c>
      <c r="W1032">
        <v>0</v>
      </c>
      <c r="X1032" s="49">
        <v>0</v>
      </c>
      <c r="Y1032" s="49"/>
      <c r="Z1032" s="7">
        <f>SUM(Tabla1[[#This Row],[RES-A]:[EXTR-B]])</f>
        <v>150</v>
      </c>
      <c r="AA1032" s="7">
        <f>Tabla1[[#This Row],[Columna1]]-Tabla1[[#This Row],[IMPORTE TOTAL]]</f>
        <v>0</v>
      </c>
    </row>
    <row r="1033" spans="1:27" x14ac:dyDescent="0.2">
      <c r="A1033">
        <v>2025</v>
      </c>
      <c r="B1033" t="s">
        <v>48</v>
      </c>
      <c r="C1033" s="51">
        <v>45309</v>
      </c>
      <c r="D1033" s="3" t="s">
        <v>42</v>
      </c>
      <c r="E1033" s="3" t="s">
        <v>46</v>
      </c>
      <c r="F1033" s="3" t="s">
        <v>46</v>
      </c>
      <c r="G1033" s="4">
        <v>0.89583333333333337</v>
      </c>
      <c r="H1033" s="4">
        <v>0.10416666666666667</v>
      </c>
      <c r="I1033" t="s">
        <v>35</v>
      </c>
      <c r="J1033">
        <v>1</v>
      </c>
      <c r="L1033" s="46"/>
      <c r="P1033">
        <v>200</v>
      </c>
      <c r="Q1033">
        <v>1</v>
      </c>
      <c r="R1033">
        <v>60</v>
      </c>
      <c r="S1033" s="7">
        <f>Tabla1[[#This Row],[TARIFA]]+Tabla1[[#This Row],[IMPORTE EXTRAS]]</f>
        <v>260</v>
      </c>
      <c r="T1033" t="s">
        <v>45</v>
      </c>
      <c r="U1033">
        <v>50</v>
      </c>
      <c r="V1033">
        <v>150</v>
      </c>
      <c r="W1033">
        <v>0</v>
      </c>
      <c r="X1033" s="49">
        <v>60</v>
      </c>
      <c r="Y1033" s="49" t="s">
        <v>560</v>
      </c>
      <c r="Z1033" s="7">
        <f>SUM(Tabla1[[#This Row],[RES-A]:[EXTR-B]])</f>
        <v>260</v>
      </c>
      <c r="AA1033" s="7">
        <f>Tabla1[[#This Row],[Columna1]]-Tabla1[[#This Row],[IMPORTE TOTAL]]</f>
        <v>0</v>
      </c>
    </row>
    <row r="1034" spans="1:27" x14ac:dyDescent="0.2">
      <c r="A1034">
        <v>2025</v>
      </c>
      <c r="B1034" t="s">
        <v>48</v>
      </c>
      <c r="C1034" s="51">
        <v>45310</v>
      </c>
      <c r="D1034" s="3" t="s">
        <v>43</v>
      </c>
      <c r="E1034" s="3" t="s">
        <v>46</v>
      </c>
      <c r="F1034" s="3" t="s">
        <v>46</v>
      </c>
      <c r="G1034" s="4">
        <v>0.39583333333333331</v>
      </c>
      <c r="H1034" s="4">
        <v>0.60416666666666663</v>
      </c>
      <c r="I1034" t="s">
        <v>30</v>
      </c>
      <c r="J1034">
        <v>1</v>
      </c>
      <c r="L1034" s="46"/>
      <c r="P1034">
        <v>150</v>
      </c>
      <c r="Q1034">
        <v>0</v>
      </c>
      <c r="R1034">
        <v>0</v>
      </c>
      <c r="S1034" s="7">
        <f>Tabla1[[#This Row],[TARIFA]]+Tabla1[[#This Row],[IMPORTE EXTRAS]]</f>
        <v>150</v>
      </c>
      <c r="T1034" t="s">
        <v>45</v>
      </c>
      <c r="U1034">
        <v>50</v>
      </c>
      <c r="V1034">
        <v>100</v>
      </c>
      <c r="W1034">
        <v>0</v>
      </c>
      <c r="X1034" s="49">
        <v>0</v>
      </c>
      <c r="Y1034" s="49"/>
      <c r="Z1034" s="7">
        <f>SUM(Tabla1[[#This Row],[RES-A]:[EXTR-B]])</f>
        <v>150</v>
      </c>
      <c r="AA1034" s="7">
        <f>Tabla1[[#This Row],[Columna1]]-Tabla1[[#This Row],[IMPORTE TOTAL]]</f>
        <v>0</v>
      </c>
    </row>
    <row r="1035" spans="1:27" x14ac:dyDescent="0.2">
      <c r="A1035">
        <v>2025</v>
      </c>
      <c r="B1035" t="s">
        <v>48</v>
      </c>
      <c r="C1035" s="51">
        <v>45310</v>
      </c>
      <c r="D1035" s="3" t="s">
        <v>43</v>
      </c>
      <c r="E1035" s="3" t="s">
        <v>46</v>
      </c>
      <c r="F1035" s="3" t="s">
        <v>46</v>
      </c>
      <c r="G1035" s="4">
        <v>0.64583333333333337</v>
      </c>
      <c r="H1035" s="4">
        <v>0.85416666666666663</v>
      </c>
      <c r="I1035" t="s">
        <v>31</v>
      </c>
      <c r="J1035">
        <v>1</v>
      </c>
      <c r="L1035" s="46"/>
      <c r="P1035">
        <v>150</v>
      </c>
      <c r="Q1035">
        <v>0</v>
      </c>
      <c r="R1035">
        <v>0</v>
      </c>
      <c r="S1035" s="7">
        <f>Tabla1[[#This Row],[TARIFA]]+Tabla1[[#This Row],[IMPORTE EXTRAS]]</f>
        <v>150</v>
      </c>
      <c r="T1035" t="s">
        <v>45</v>
      </c>
      <c r="U1035">
        <v>50</v>
      </c>
      <c r="V1035">
        <v>100</v>
      </c>
      <c r="W1035">
        <v>0</v>
      </c>
      <c r="X1035" s="49">
        <v>0</v>
      </c>
      <c r="Y1035" s="49"/>
      <c r="Z1035" s="7">
        <f>SUM(Tabla1[[#This Row],[RES-A]:[EXTR-B]])</f>
        <v>150</v>
      </c>
      <c r="AA1035" s="7">
        <f>Tabla1[[#This Row],[Columna1]]-Tabla1[[#This Row],[IMPORTE TOTAL]]</f>
        <v>0</v>
      </c>
    </row>
    <row r="1036" spans="1:27" x14ac:dyDescent="0.2">
      <c r="A1036">
        <v>2025</v>
      </c>
      <c r="B1036" t="s">
        <v>48</v>
      </c>
      <c r="C1036" s="51">
        <v>45315</v>
      </c>
      <c r="D1036" s="3" t="s">
        <v>41</v>
      </c>
      <c r="E1036" s="3" t="s">
        <v>46</v>
      </c>
      <c r="F1036" s="3" t="s">
        <v>46</v>
      </c>
      <c r="G1036" s="4">
        <v>0.64583333333333337</v>
      </c>
      <c r="H1036" s="4">
        <v>0.85416666666666663</v>
      </c>
      <c r="I1036" t="s">
        <v>31</v>
      </c>
      <c r="J1036">
        <v>1</v>
      </c>
      <c r="L1036" s="46"/>
      <c r="P1036">
        <v>140</v>
      </c>
      <c r="Q1036">
        <v>0</v>
      </c>
      <c r="R1036">
        <v>0</v>
      </c>
      <c r="S1036" s="7">
        <f>Tabla1[[#This Row],[TARIFA]]+Tabla1[[#This Row],[IMPORTE EXTRAS]]</f>
        <v>140</v>
      </c>
      <c r="T1036" t="s">
        <v>45</v>
      </c>
      <c r="U1036">
        <v>50</v>
      </c>
      <c r="V1036">
        <v>90</v>
      </c>
      <c r="W1036">
        <v>0</v>
      </c>
      <c r="X1036" s="49">
        <v>0</v>
      </c>
      <c r="Y1036" s="49" t="s">
        <v>560</v>
      </c>
      <c r="Z1036" s="7">
        <f>SUM(Tabla1[[#This Row],[RES-A]:[EXTR-B]])</f>
        <v>140</v>
      </c>
      <c r="AA1036" s="7">
        <f>Tabla1[[#This Row],[Columna1]]-Tabla1[[#This Row],[IMPORTE TOTAL]]</f>
        <v>0</v>
      </c>
    </row>
    <row r="1037" spans="1:27" x14ac:dyDescent="0.2">
      <c r="A1037">
        <v>2025</v>
      </c>
      <c r="B1037" t="s">
        <v>48</v>
      </c>
      <c r="C1037" s="51">
        <v>45315</v>
      </c>
      <c r="D1037" s="3" t="s">
        <v>41</v>
      </c>
      <c r="E1037" s="3" t="s">
        <v>46</v>
      </c>
      <c r="F1037" s="3" t="s">
        <v>46</v>
      </c>
      <c r="G1037" s="4">
        <v>0.89583333333333337</v>
      </c>
      <c r="H1037" s="4">
        <v>0.10416666666666667</v>
      </c>
      <c r="I1037" t="s">
        <v>35</v>
      </c>
      <c r="J1037">
        <v>1</v>
      </c>
      <c r="L1037" s="46"/>
      <c r="P1037">
        <v>200</v>
      </c>
      <c r="Q1037">
        <v>1</v>
      </c>
      <c r="R1037">
        <v>60</v>
      </c>
      <c r="S1037" s="7">
        <f>Tabla1[[#This Row],[TARIFA]]+Tabla1[[#This Row],[IMPORTE EXTRAS]]</f>
        <v>260</v>
      </c>
      <c r="T1037" t="s">
        <v>45</v>
      </c>
      <c r="U1037">
        <v>200</v>
      </c>
      <c r="V1037">
        <v>0</v>
      </c>
      <c r="W1037">
        <v>60</v>
      </c>
      <c r="X1037" s="49">
        <v>0</v>
      </c>
      <c r="Y1037" s="49"/>
      <c r="Z1037" s="7">
        <f>SUM(Tabla1[[#This Row],[RES-A]:[EXTR-B]])</f>
        <v>260</v>
      </c>
      <c r="AA1037" s="7">
        <f>Tabla1[[#This Row],[Columna1]]-Tabla1[[#This Row],[IMPORTE TOTAL]]</f>
        <v>0</v>
      </c>
    </row>
    <row r="1038" spans="1:27" x14ac:dyDescent="0.2">
      <c r="A1038">
        <v>2025</v>
      </c>
      <c r="B1038" t="s">
        <v>48</v>
      </c>
      <c r="C1038" s="51">
        <v>45316</v>
      </c>
      <c r="D1038" s="3" t="s">
        <v>42</v>
      </c>
      <c r="E1038" s="3" t="s">
        <v>46</v>
      </c>
      <c r="F1038" s="3" t="s">
        <v>46</v>
      </c>
      <c r="G1038" s="4">
        <v>0.39583333333333331</v>
      </c>
      <c r="H1038" s="4">
        <v>0.60416666666666663</v>
      </c>
      <c r="I1038" t="s">
        <v>30</v>
      </c>
      <c r="J1038">
        <v>1</v>
      </c>
      <c r="L1038" s="46"/>
      <c r="P1038">
        <v>150</v>
      </c>
      <c r="Q1038">
        <v>0</v>
      </c>
      <c r="R1038">
        <v>0</v>
      </c>
      <c r="S1038" s="7">
        <f>Tabla1[[#This Row],[TARIFA]]+Tabla1[[#This Row],[IMPORTE EXTRAS]]</f>
        <v>150</v>
      </c>
      <c r="T1038" t="s">
        <v>45</v>
      </c>
      <c r="U1038">
        <v>50</v>
      </c>
      <c r="V1038">
        <v>100</v>
      </c>
      <c r="W1038">
        <v>0</v>
      </c>
      <c r="X1038" s="49">
        <v>0</v>
      </c>
      <c r="Y1038" s="49"/>
      <c r="Z1038" s="7">
        <f>SUM(Tabla1[[#This Row],[RES-A]:[EXTR-B]])</f>
        <v>150</v>
      </c>
      <c r="AA1038" s="7">
        <f>Tabla1[[#This Row],[Columna1]]-Tabla1[[#This Row],[IMPORTE TOTAL]]</f>
        <v>0</v>
      </c>
    </row>
    <row r="1039" spans="1:27" x14ac:dyDescent="0.2">
      <c r="A1039">
        <v>2025</v>
      </c>
      <c r="B1039" t="s">
        <v>48</v>
      </c>
      <c r="C1039" s="51">
        <v>45316</v>
      </c>
      <c r="D1039" s="3" t="s">
        <v>42</v>
      </c>
      <c r="E1039" s="3" t="s">
        <v>46</v>
      </c>
      <c r="F1039" s="3" t="s">
        <v>46</v>
      </c>
      <c r="G1039" s="4">
        <v>0.64583333333333337</v>
      </c>
      <c r="H1039" s="4">
        <v>0.10416666666666667</v>
      </c>
      <c r="I1039" t="s">
        <v>32</v>
      </c>
      <c r="J1039">
        <v>2</v>
      </c>
      <c r="L1039" s="46"/>
      <c r="P1039">
        <v>320</v>
      </c>
      <c r="Q1039">
        <v>0</v>
      </c>
      <c r="R1039">
        <v>0</v>
      </c>
      <c r="S1039" s="7">
        <f>Tabla1[[#This Row],[TARIFA]]+Tabla1[[#This Row],[IMPORTE EXTRAS]]</f>
        <v>320</v>
      </c>
      <c r="T1039" t="s">
        <v>45</v>
      </c>
      <c r="U1039">
        <v>50</v>
      </c>
      <c r="V1039">
        <v>270</v>
      </c>
      <c r="W1039">
        <v>0</v>
      </c>
      <c r="X1039" s="49">
        <v>0</v>
      </c>
      <c r="Y1039" s="49"/>
      <c r="Z1039" s="7">
        <f>SUM(Tabla1[[#This Row],[RES-A]:[EXTR-B]])</f>
        <v>320</v>
      </c>
      <c r="AA1039" s="7">
        <f>Tabla1[[#This Row],[Columna1]]-Tabla1[[#This Row],[IMPORTE TOTAL]]</f>
        <v>0</v>
      </c>
    </row>
    <row r="1040" spans="1:27" x14ac:dyDescent="0.2">
      <c r="A1040">
        <v>2025</v>
      </c>
      <c r="B1040" t="s">
        <v>48</v>
      </c>
      <c r="C1040" s="51">
        <v>45317</v>
      </c>
      <c r="D1040" s="3" t="s">
        <v>43</v>
      </c>
      <c r="E1040" s="3" t="s">
        <v>46</v>
      </c>
      <c r="F1040" s="3" t="s">
        <v>46</v>
      </c>
      <c r="G1040" s="4">
        <v>0.64583333333333337</v>
      </c>
      <c r="H1040" s="4">
        <v>0.85416666666666663</v>
      </c>
      <c r="I1040" t="s">
        <v>31</v>
      </c>
      <c r="J1040">
        <v>1</v>
      </c>
      <c r="L1040" s="46"/>
      <c r="P1040">
        <v>150</v>
      </c>
      <c r="Q1040">
        <v>0</v>
      </c>
      <c r="R1040">
        <v>0</v>
      </c>
      <c r="S1040" s="7">
        <f>Tabla1[[#This Row],[TARIFA]]+Tabla1[[#This Row],[IMPORTE EXTRAS]]</f>
        <v>150</v>
      </c>
      <c r="T1040" t="s">
        <v>45</v>
      </c>
      <c r="U1040">
        <v>50</v>
      </c>
      <c r="V1040">
        <v>100</v>
      </c>
      <c r="W1040">
        <v>0</v>
      </c>
      <c r="X1040" s="49">
        <v>0</v>
      </c>
      <c r="Y1040" s="49"/>
      <c r="Z1040" s="7">
        <f>SUM(Tabla1[[#This Row],[RES-A]:[EXTR-B]])</f>
        <v>150</v>
      </c>
      <c r="AA1040" s="7">
        <f>Tabla1[[#This Row],[Columna1]]-Tabla1[[#This Row],[IMPORTE TOTAL]]</f>
        <v>0</v>
      </c>
    </row>
    <row r="1041" spans="1:27" x14ac:dyDescent="0.2">
      <c r="A1041">
        <v>2025</v>
      </c>
      <c r="B1041" t="s">
        <v>48</v>
      </c>
      <c r="C1041" s="51">
        <v>45322</v>
      </c>
      <c r="D1041" s="3" t="s">
        <v>41</v>
      </c>
      <c r="E1041" s="3" t="s">
        <v>46</v>
      </c>
      <c r="F1041" s="3" t="s">
        <v>46</v>
      </c>
      <c r="G1041" s="4">
        <v>0.64583333333333337</v>
      </c>
      <c r="H1041" s="4">
        <v>0.85416666666666663</v>
      </c>
      <c r="I1041" t="s">
        <v>31</v>
      </c>
      <c r="J1041">
        <v>1</v>
      </c>
      <c r="L1041" s="46"/>
      <c r="P1041">
        <v>140</v>
      </c>
      <c r="Q1041">
        <v>0</v>
      </c>
      <c r="R1041">
        <v>0</v>
      </c>
      <c r="S1041" s="7">
        <f>Tabla1[[#This Row],[TARIFA]]+Tabla1[[#This Row],[IMPORTE EXTRAS]]</f>
        <v>140</v>
      </c>
      <c r="T1041" t="s">
        <v>45</v>
      </c>
      <c r="U1041">
        <v>50</v>
      </c>
      <c r="V1041">
        <v>90</v>
      </c>
      <c r="W1041">
        <v>0</v>
      </c>
      <c r="X1041" s="49">
        <v>0</v>
      </c>
      <c r="Y1041" s="49"/>
      <c r="Z1041" s="7">
        <f>SUM(Tabla1[[#This Row],[RES-A]:[EXTR-B]])</f>
        <v>140</v>
      </c>
      <c r="AA1041" s="7">
        <f>Tabla1[[#This Row],[Columna1]]-Tabla1[[#This Row],[IMPORTE TOTAL]]</f>
        <v>0</v>
      </c>
    </row>
    <row r="1042" spans="1:27" x14ac:dyDescent="0.2">
      <c r="A1042">
        <v>2025</v>
      </c>
      <c r="B1042" t="s">
        <v>48</v>
      </c>
      <c r="C1042" s="51">
        <v>45322</v>
      </c>
      <c r="D1042" s="3" t="s">
        <v>41</v>
      </c>
      <c r="E1042" s="3" t="s">
        <v>46</v>
      </c>
      <c r="F1042" s="3" t="s">
        <v>46</v>
      </c>
      <c r="G1042" s="4">
        <v>0.89583333333333337</v>
      </c>
      <c r="H1042" s="4">
        <v>0.10416666666666667</v>
      </c>
      <c r="I1042" t="s">
        <v>35</v>
      </c>
      <c r="J1042">
        <v>1</v>
      </c>
      <c r="L1042" s="46"/>
      <c r="P1042">
        <v>200</v>
      </c>
      <c r="Q1042">
        <v>1</v>
      </c>
      <c r="R1042">
        <v>60</v>
      </c>
      <c r="S1042" s="7">
        <f>Tabla1[[#This Row],[TARIFA]]+Tabla1[[#This Row],[IMPORTE EXTRAS]]</f>
        <v>260</v>
      </c>
      <c r="T1042" t="s">
        <v>45</v>
      </c>
      <c r="U1042">
        <v>50</v>
      </c>
      <c r="V1042">
        <v>150</v>
      </c>
      <c r="W1042">
        <v>0</v>
      </c>
      <c r="X1042" s="49">
        <v>60</v>
      </c>
      <c r="Y1042" s="49"/>
      <c r="Z1042" s="7">
        <f>SUM(Tabla1[[#This Row],[RES-A]:[EXTR-B]])</f>
        <v>260</v>
      </c>
      <c r="AA1042" s="7">
        <f>Tabla1[[#This Row],[Columna1]]-Tabla1[[#This Row],[IMPORTE TOTAL]]</f>
        <v>0</v>
      </c>
    </row>
    <row r="1043" spans="1:27" x14ac:dyDescent="0.2">
      <c r="A1043">
        <v>2025</v>
      </c>
      <c r="B1043" t="s">
        <v>56</v>
      </c>
      <c r="C1043" s="51">
        <v>45689</v>
      </c>
      <c r="D1043" s="3" t="s">
        <v>42</v>
      </c>
      <c r="E1043" s="3" t="s">
        <v>46</v>
      </c>
      <c r="F1043" s="3" t="s">
        <v>46</v>
      </c>
      <c r="G1043" s="4">
        <v>0.64583333333333337</v>
      </c>
      <c r="H1043" s="4">
        <v>0.85416666666666663</v>
      </c>
      <c r="I1043" t="s">
        <v>31</v>
      </c>
      <c r="J1043">
        <v>1</v>
      </c>
      <c r="L1043" s="46"/>
      <c r="P1043">
        <v>150</v>
      </c>
      <c r="Q1043">
        <v>0</v>
      </c>
      <c r="R1043">
        <v>0</v>
      </c>
      <c r="S1043" s="7">
        <f>Tabla1[[#This Row],[TARIFA]]+Tabla1[[#This Row],[IMPORTE EXTRAS]]</f>
        <v>150</v>
      </c>
      <c r="T1043" t="s">
        <v>45</v>
      </c>
      <c r="U1043">
        <v>50</v>
      </c>
      <c r="V1043">
        <v>100</v>
      </c>
      <c r="W1043">
        <v>0</v>
      </c>
      <c r="X1043" s="49">
        <v>0</v>
      </c>
      <c r="Y1043" s="49"/>
      <c r="Z1043" s="7">
        <f>SUM(Tabla1[[#This Row],[RES-A]:[EXTR-B]])</f>
        <v>150</v>
      </c>
      <c r="AA1043" s="7">
        <f>Tabla1[[#This Row],[Columna1]]-Tabla1[[#This Row],[IMPORTE TOTAL]]</f>
        <v>0</v>
      </c>
    </row>
    <row r="1044" spans="1:27" x14ac:dyDescent="0.2">
      <c r="A1044">
        <v>2025</v>
      </c>
      <c r="B1044" t="s">
        <v>56</v>
      </c>
      <c r="C1044" s="51">
        <v>45689</v>
      </c>
      <c r="D1044" s="3" t="s">
        <v>42</v>
      </c>
      <c r="E1044" s="3" t="s">
        <v>46</v>
      </c>
      <c r="F1044" s="3" t="s">
        <v>46</v>
      </c>
      <c r="G1044" s="4">
        <v>0.89583333333333337</v>
      </c>
      <c r="H1044" s="4">
        <v>0.10416666666666667</v>
      </c>
      <c r="I1044" t="s">
        <v>35</v>
      </c>
      <c r="J1044">
        <v>1</v>
      </c>
      <c r="L1044" s="46"/>
      <c r="P1044">
        <v>200</v>
      </c>
      <c r="Q1044">
        <v>0</v>
      </c>
      <c r="R1044">
        <v>0</v>
      </c>
      <c r="S1044" s="7">
        <f>Tabla1[[#This Row],[TARIFA]]+Tabla1[[#This Row],[IMPORTE EXTRAS]]</f>
        <v>200</v>
      </c>
      <c r="T1044" t="s">
        <v>45</v>
      </c>
      <c r="U1044">
        <v>50</v>
      </c>
      <c r="V1044">
        <v>150</v>
      </c>
      <c r="W1044">
        <v>0</v>
      </c>
      <c r="X1044" s="49">
        <v>0</v>
      </c>
      <c r="Y1044" s="49"/>
      <c r="Z1044" s="7">
        <f>SUM(Tabla1[[#This Row],[RES-A]:[EXTR-B]])</f>
        <v>200</v>
      </c>
      <c r="AA1044" s="7">
        <f>Tabla1[[#This Row],[Columna1]]-Tabla1[[#This Row],[IMPORTE TOTAL]]</f>
        <v>0</v>
      </c>
    </row>
    <row r="1045" spans="1:27" x14ac:dyDescent="0.2">
      <c r="A1045">
        <v>2025</v>
      </c>
      <c r="B1045" t="s">
        <v>56</v>
      </c>
      <c r="C1045" s="51">
        <v>45690</v>
      </c>
      <c r="D1045" s="3" t="s">
        <v>43</v>
      </c>
      <c r="E1045" s="3" t="s">
        <v>46</v>
      </c>
      <c r="F1045" s="3" t="s">
        <v>46</v>
      </c>
      <c r="G1045" s="4">
        <v>0.39583333333333331</v>
      </c>
      <c r="H1045" s="4">
        <v>0.60416666666666663</v>
      </c>
      <c r="I1045" t="s">
        <v>30</v>
      </c>
      <c r="J1045">
        <v>1</v>
      </c>
      <c r="L1045" s="46"/>
      <c r="P1045">
        <v>150</v>
      </c>
      <c r="Q1045">
        <v>0</v>
      </c>
      <c r="R1045">
        <v>0</v>
      </c>
      <c r="S1045" s="7">
        <f>Tabla1[[#This Row],[TARIFA]]+Tabla1[[#This Row],[IMPORTE EXTRAS]]</f>
        <v>150</v>
      </c>
      <c r="T1045" t="s">
        <v>45</v>
      </c>
      <c r="U1045">
        <v>50</v>
      </c>
      <c r="V1045">
        <v>100</v>
      </c>
      <c r="W1045">
        <v>0</v>
      </c>
      <c r="X1045" s="49">
        <v>0</v>
      </c>
      <c r="Y1045" s="49"/>
      <c r="Z1045" s="7">
        <f>SUM(Tabla1[[#This Row],[RES-A]:[EXTR-B]])</f>
        <v>150</v>
      </c>
      <c r="AA1045" s="7">
        <f>Tabla1[[#This Row],[Columna1]]-Tabla1[[#This Row],[IMPORTE TOTAL]]</f>
        <v>0</v>
      </c>
    </row>
    <row r="1046" spans="1:27" x14ac:dyDescent="0.2">
      <c r="A1046">
        <v>2025</v>
      </c>
      <c r="B1046" t="s">
        <v>56</v>
      </c>
      <c r="C1046" s="51">
        <v>45695</v>
      </c>
      <c r="D1046" s="3" t="s">
        <v>41</v>
      </c>
      <c r="E1046" s="3" t="s">
        <v>46</v>
      </c>
      <c r="F1046" s="3" t="s">
        <v>46</v>
      </c>
      <c r="G1046" s="4">
        <v>0.64583333333333337</v>
      </c>
      <c r="H1046" s="4">
        <v>0.10416666666666667</v>
      </c>
      <c r="I1046" t="s">
        <v>32</v>
      </c>
      <c r="J1046">
        <v>2</v>
      </c>
      <c r="L1046" s="46"/>
      <c r="P1046">
        <v>320</v>
      </c>
      <c r="Q1046">
        <v>0</v>
      </c>
      <c r="R1046">
        <v>0</v>
      </c>
      <c r="S1046" s="7">
        <f>Tabla1[[#This Row],[TARIFA]]+Tabla1[[#This Row],[IMPORTE EXTRAS]]</f>
        <v>320</v>
      </c>
      <c r="T1046" t="s">
        <v>45</v>
      </c>
      <c r="U1046">
        <v>50</v>
      </c>
      <c r="V1046">
        <v>270</v>
      </c>
      <c r="W1046">
        <v>0</v>
      </c>
      <c r="X1046" s="49">
        <v>0</v>
      </c>
      <c r="Y1046" s="49" t="s">
        <v>560</v>
      </c>
      <c r="Z1046" s="7">
        <f>SUM(Tabla1[[#This Row],[RES-A]:[EXTR-B]])</f>
        <v>320</v>
      </c>
      <c r="AA1046" s="7">
        <f>Tabla1[[#This Row],[Columna1]]-Tabla1[[#This Row],[IMPORTE TOTAL]]</f>
        <v>0</v>
      </c>
    </row>
    <row r="1047" spans="1:27" x14ac:dyDescent="0.2">
      <c r="A1047">
        <v>2025</v>
      </c>
      <c r="B1047" t="s">
        <v>56</v>
      </c>
      <c r="C1047" s="51">
        <v>45696</v>
      </c>
      <c r="D1047" s="3" t="s">
        <v>42</v>
      </c>
      <c r="E1047" s="3" t="s">
        <v>46</v>
      </c>
      <c r="F1047" s="3" t="s">
        <v>46</v>
      </c>
      <c r="G1047" s="4">
        <v>0.39583333333333331</v>
      </c>
      <c r="H1047" s="4">
        <v>0.60416666666666663</v>
      </c>
      <c r="I1047" t="s">
        <v>30</v>
      </c>
      <c r="J1047">
        <v>1</v>
      </c>
      <c r="L1047" s="46"/>
      <c r="P1047">
        <v>150</v>
      </c>
      <c r="Q1047">
        <v>0</v>
      </c>
      <c r="R1047">
        <v>0</v>
      </c>
      <c r="S1047" s="7">
        <f>Tabla1[[#This Row],[TARIFA]]+Tabla1[[#This Row],[IMPORTE EXTRAS]]</f>
        <v>150</v>
      </c>
      <c r="T1047" t="s">
        <v>45</v>
      </c>
      <c r="U1047">
        <v>50</v>
      </c>
      <c r="V1047">
        <v>100</v>
      </c>
      <c r="W1047">
        <v>0</v>
      </c>
      <c r="X1047" s="49">
        <v>0</v>
      </c>
      <c r="Y1047" s="49"/>
      <c r="Z1047" s="7">
        <f>SUM(Tabla1[[#This Row],[RES-A]:[EXTR-B]])</f>
        <v>150</v>
      </c>
      <c r="AA1047" s="7">
        <f>Tabla1[[#This Row],[Columna1]]-Tabla1[[#This Row],[IMPORTE TOTAL]]</f>
        <v>0</v>
      </c>
    </row>
    <row r="1048" spans="1:27" x14ac:dyDescent="0.2">
      <c r="A1048">
        <v>2025</v>
      </c>
      <c r="B1048" t="s">
        <v>56</v>
      </c>
      <c r="C1048" s="51">
        <v>45696</v>
      </c>
      <c r="D1048" s="3" t="s">
        <v>42</v>
      </c>
      <c r="E1048" s="3" t="s">
        <v>46</v>
      </c>
      <c r="F1048" s="3" t="s">
        <v>46</v>
      </c>
      <c r="G1048" s="4">
        <v>0.64583333333333337</v>
      </c>
      <c r="H1048" s="4">
        <v>0.85416666666666663</v>
      </c>
      <c r="I1048" t="s">
        <v>31</v>
      </c>
      <c r="J1048">
        <v>1</v>
      </c>
      <c r="L1048" s="46"/>
      <c r="P1048">
        <v>150</v>
      </c>
      <c r="Q1048">
        <v>0</v>
      </c>
      <c r="R1048">
        <v>0</v>
      </c>
      <c r="S1048" s="7">
        <f>Tabla1[[#This Row],[TARIFA]]+Tabla1[[#This Row],[IMPORTE EXTRAS]]</f>
        <v>150</v>
      </c>
      <c r="T1048" t="s">
        <v>45</v>
      </c>
      <c r="U1048">
        <v>50</v>
      </c>
      <c r="V1048">
        <v>100</v>
      </c>
      <c r="W1048">
        <v>0</v>
      </c>
      <c r="X1048" s="49">
        <v>0</v>
      </c>
      <c r="Y1048" s="49"/>
      <c r="Z1048" s="7">
        <f>SUM(Tabla1[[#This Row],[RES-A]:[EXTR-B]])</f>
        <v>150</v>
      </c>
      <c r="AA1048" s="7">
        <f>Tabla1[[#This Row],[Columna1]]-Tabla1[[#This Row],[IMPORTE TOTAL]]</f>
        <v>0</v>
      </c>
    </row>
    <row r="1049" spans="1:27" x14ac:dyDescent="0.2">
      <c r="A1049">
        <v>2025</v>
      </c>
      <c r="B1049" t="s">
        <v>56</v>
      </c>
      <c r="C1049" s="51">
        <v>45696</v>
      </c>
      <c r="D1049" s="3" t="s">
        <v>42</v>
      </c>
      <c r="E1049" s="3" t="s">
        <v>46</v>
      </c>
      <c r="F1049" s="3" t="s">
        <v>46</v>
      </c>
      <c r="G1049" s="4">
        <v>0.89583333333333337</v>
      </c>
      <c r="H1049" s="4">
        <v>0.10416666666666667</v>
      </c>
      <c r="I1049" t="s">
        <v>35</v>
      </c>
      <c r="J1049">
        <v>1</v>
      </c>
      <c r="L1049" s="46"/>
      <c r="P1049">
        <v>200</v>
      </c>
      <c r="Q1049">
        <v>0</v>
      </c>
      <c r="R1049">
        <v>0</v>
      </c>
      <c r="S1049" s="7">
        <f>Tabla1[[#This Row],[TARIFA]]+Tabla1[[#This Row],[IMPORTE EXTRAS]]</f>
        <v>200</v>
      </c>
      <c r="T1049" t="s">
        <v>45</v>
      </c>
      <c r="U1049">
        <v>50</v>
      </c>
      <c r="V1049">
        <v>150</v>
      </c>
      <c r="W1049">
        <v>0</v>
      </c>
      <c r="X1049" s="49">
        <v>0</v>
      </c>
      <c r="Y1049" s="49"/>
      <c r="Z1049" s="7">
        <f>SUM(Tabla1[[#This Row],[RES-A]:[EXTR-B]])</f>
        <v>200</v>
      </c>
      <c r="AA1049" s="7">
        <f>Tabla1[[#This Row],[Columna1]]-Tabla1[[#This Row],[IMPORTE TOTAL]]</f>
        <v>0</v>
      </c>
    </row>
    <row r="1050" spans="1:27" x14ac:dyDescent="0.2">
      <c r="A1050">
        <v>2025</v>
      </c>
      <c r="B1050" t="s">
        <v>56</v>
      </c>
      <c r="C1050" s="51">
        <v>45697</v>
      </c>
      <c r="D1050" s="3" t="s">
        <v>43</v>
      </c>
      <c r="E1050" s="3" t="s">
        <v>46</v>
      </c>
      <c r="F1050" s="3" t="s">
        <v>46</v>
      </c>
      <c r="G1050" s="4">
        <v>0.39583333333333331</v>
      </c>
      <c r="H1050" s="4">
        <v>0.60416666666666663</v>
      </c>
      <c r="I1050" t="s">
        <v>30</v>
      </c>
      <c r="J1050">
        <v>1</v>
      </c>
      <c r="L1050" s="46"/>
      <c r="P1050">
        <v>150</v>
      </c>
      <c r="Q1050">
        <v>1</v>
      </c>
      <c r="R1050">
        <v>20</v>
      </c>
      <c r="S1050" s="7">
        <f>Tabla1[[#This Row],[TARIFA]]+Tabla1[[#This Row],[IMPORTE EXTRAS]]</f>
        <v>170</v>
      </c>
      <c r="T1050" t="s">
        <v>45</v>
      </c>
      <c r="U1050">
        <v>50</v>
      </c>
      <c r="V1050">
        <v>100</v>
      </c>
      <c r="W1050">
        <v>0</v>
      </c>
      <c r="X1050" s="49">
        <v>20</v>
      </c>
      <c r="Y1050" s="49"/>
      <c r="Z1050" s="7">
        <f>SUM(Tabla1[[#This Row],[RES-A]:[EXTR-B]])</f>
        <v>170</v>
      </c>
      <c r="AA1050" s="7">
        <f>Tabla1[[#This Row],[Columna1]]-Tabla1[[#This Row],[IMPORTE TOTAL]]</f>
        <v>0</v>
      </c>
    </row>
    <row r="1051" spans="1:27" x14ac:dyDescent="0.2">
      <c r="A1051">
        <v>2025</v>
      </c>
      <c r="B1051" t="s">
        <v>56</v>
      </c>
      <c r="C1051" s="51">
        <v>45702</v>
      </c>
      <c r="D1051" s="3" t="s">
        <v>41</v>
      </c>
      <c r="E1051" s="3" t="s">
        <v>46</v>
      </c>
      <c r="F1051" s="3" t="s">
        <v>46</v>
      </c>
      <c r="G1051" s="4">
        <v>0.64583333333333337</v>
      </c>
      <c r="H1051" s="4">
        <v>0.85416666666666663</v>
      </c>
      <c r="I1051" t="s">
        <v>31</v>
      </c>
      <c r="J1051">
        <v>1</v>
      </c>
      <c r="L1051" s="46"/>
      <c r="P1051">
        <v>140</v>
      </c>
      <c r="Q1051">
        <v>0</v>
      </c>
      <c r="R1051">
        <v>0</v>
      </c>
      <c r="S1051" s="7">
        <f>Tabla1[[#This Row],[TARIFA]]+Tabla1[[#This Row],[IMPORTE EXTRAS]]</f>
        <v>140</v>
      </c>
      <c r="T1051" t="s">
        <v>45</v>
      </c>
      <c r="U1051">
        <v>140</v>
      </c>
      <c r="V1051">
        <v>0</v>
      </c>
      <c r="W1051">
        <v>0</v>
      </c>
      <c r="X1051" s="49">
        <v>0</v>
      </c>
      <c r="Y1051" s="49"/>
      <c r="Z1051" s="7">
        <f>SUM(Tabla1[[#This Row],[RES-A]:[EXTR-B]])</f>
        <v>140</v>
      </c>
      <c r="AA1051" s="7">
        <f>Tabla1[[#This Row],[Columna1]]-Tabla1[[#This Row],[IMPORTE TOTAL]]</f>
        <v>0</v>
      </c>
    </row>
    <row r="1052" spans="1:27" x14ac:dyDescent="0.2">
      <c r="A1052">
        <v>2025</v>
      </c>
      <c r="B1052" t="s">
        <v>56</v>
      </c>
      <c r="C1052" s="51">
        <v>45702</v>
      </c>
      <c r="D1052" s="3" t="s">
        <v>41</v>
      </c>
      <c r="E1052" s="3" t="s">
        <v>46</v>
      </c>
      <c r="F1052" s="3" t="s">
        <v>46</v>
      </c>
      <c r="G1052" s="4">
        <v>0.89583333333333337</v>
      </c>
      <c r="H1052" s="4">
        <v>0.10416666666666667</v>
      </c>
      <c r="I1052" t="s">
        <v>35</v>
      </c>
      <c r="J1052">
        <v>1</v>
      </c>
      <c r="L1052" s="46"/>
      <c r="P1052">
        <v>200</v>
      </c>
      <c r="Q1052">
        <v>1</v>
      </c>
      <c r="R1052">
        <v>60</v>
      </c>
      <c r="S1052" s="7">
        <f>Tabla1[[#This Row],[TARIFA]]+Tabla1[[#This Row],[IMPORTE EXTRAS]]</f>
        <v>260</v>
      </c>
      <c r="T1052" t="s">
        <v>45</v>
      </c>
      <c r="U1052">
        <v>200</v>
      </c>
      <c r="V1052">
        <v>0</v>
      </c>
      <c r="W1052">
        <v>60</v>
      </c>
      <c r="X1052" s="49">
        <v>0</v>
      </c>
      <c r="Y1052" s="49"/>
      <c r="Z1052" s="7">
        <f>SUM(Tabla1[[#This Row],[RES-A]:[EXTR-B]])</f>
        <v>260</v>
      </c>
      <c r="AA1052" s="7">
        <f>Tabla1[[#This Row],[Columna1]]-Tabla1[[#This Row],[IMPORTE TOTAL]]</f>
        <v>0</v>
      </c>
    </row>
    <row r="1053" spans="1:27" x14ac:dyDescent="0.2">
      <c r="A1053">
        <v>2025</v>
      </c>
      <c r="B1053" t="s">
        <v>56</v>
      </c>
      <c r="C1053" s="51">
        <v>45703</v>
      </c>
      <c r="D1053" s="3" t="s">
        <v>42</v>
      </c>
      <c r="E1053" s="3" t="s">
        <v>46</v>
      </c>
      <c r="F1053" s="3" t="s">
        <v>46</v>
      </c>
      <c r="G1053" s="4">
        <v>0.39583333333333331</v>
      </c>
      <c r="H1053" s="4">
        <v>0.60416666666666663</v>
      </c>
      <c r="I1053" t="s">
        <v>30</v>
      </c>
      <c r="J1053">
        <v>1</v>
      </c>
      <c r="L1053" s="46"/>
      <c r="P1053">
        <v>150</v>
      </c>
      <c r="Q1053">
        <v>0</v>
      </c>
      <c r="R1053">
        <v>0</v>
      </c>
      <c r="S1053" s="7">
        <f>Tabla1[[#This Row],[TARIFA]]+Tabla1[[#This Row],[IMPORTE EXTRAS]]</f>
        <v>150</v>
      </c>
      <c r="T1053" t="s">
        <v>45</v>
      </c>
      <c r="U1053">
        <v>50</v>
      </c>
      <c r="V1053">
        <v>100</v>
      </c>
      <c r="W1053">
        <v>0</v>
      </c>
      <c r="X1053" s="49">
        <v>0</v>
      </c>
      <c r="Y1053" s="49" t="s">
        <v>505</v>
      </c>
      <c r="Z1053" s="7">
        <f>SUM(Tabla1[[#This Row],[RES-A]:[EXTR-B]])</f>
        <v>150</v>
      </c>
      <c r="AA1053" s="7">
        <f>Tabla1[[#This Row],[Columna1]]-Tabla1[[#This Row],[IMPORTE TOTAL]]</f>
        <v>0</v>
      </c>
    </row>
    <row r="1054" spans="1:27" x14ac:dyDescent="0.2">
      <c r="A1054">
        <v>2025</v>
      </c>
      <c r="B1054" t="s">
        <v>56</v>
      </c>
      <c r="C1054" s="51">
        <v>45703</v>
      </c>
      <c r="D1054" s="3" t="s">
        <v>42</v>
      </c>
      <c r="E1054" s="3" t="s">
        <v>46</v>
      </c>
      <c r="F1054" s="3" t="s">
        <v>46</v>
      </c>
      <c r="G1054" s="4">
        <v>0.64583333333333337</v>
      </c>
      <c r="H1054" s="4">
        <v>0.85416666666666663</v>
      </c>
      <c r="I1054" t="s">
        <v>31</v>
      </c>
      <c r="J1054">
        <v>1</v>
      </c>
      <c r="L1054" s="46"/>
      <c r="P1054">
        <v>150</v>
      </c>
      <c r="Q1054">
        <v>0</v>
      </c>
      <c r="R1054">
        <v>0</v>
      </c>
      <c r="S1054" s="7">
        <f>Tabla1[[#This Row],[TARIFA]]+Tabla1[[#This Row],[IMPORTE EXTRAS]]</f>
        <v>150</v>
      </c>
      <c r="T1054" t="s">
        <v>45</v>
      </c>
      <c r="U1054">
        <v>50</v>
      </c>
      <c r="V1054">
        <v>100</v>
      </c>
      <c r="W1054">
        <v>0</v>
      </c>
      <c r="X1054" s="49">
        <v>0</v>
      </c>
      <c r="Y1054" s="49"/>
      <c r="Z1054" s="7">
        <f>SUM(Tabla1[[#This Row],[RES-A]:[EXTR-B]])</f>
        <v>150</v>
      </c>
      <c r="AA1054" s="7">
        <f>Tabla1[[#This Row],[Columna1]]-Tabla1[[#This Row],[IMPORTE TOTAL]]</f>
        <v>0</v>
      </c>
    </row>
    <row r="1055" spans="1:27" x14ac:dyDescent="0.2">
      <c r="A1055">
        <v>2025</v>
      </c>
      <c r="B1055" t="s">
        <v>56</v>
      </c>
      <c r="C1055" s="51">
        <v>45703</v>
      </c>
      <c r="D1055" s="3" t="s">
        <v>42</v>
      </c>
      <c r="E1055" s="3" t="s">
        <v>46</v>
      </c>
      <c r="F1055" s="3" t="s">
        <v>46</v>
      </c>
      <c r="G1055" s="4">
        <v>0.89583333333333337</v>
      </c>
      <c r="H1055" s="4">
        <v>0.10416666666666667</v>
      </c>
      <c r="I1055" t="s">
        <v>35</v>
      </c>
      <c r="J1055">
        <v>1</v>
      </c>
      <c r="L1055" s="46"/>
      <c r="P1055">
        <v>200</v>
      </c>
      <c r="Q1055">
        <v>0</v>
      </c>
      <c r="R1055">
        <v>0</v>
      </c>
      <c r="S1055" s="7">
        <f>Tabla1[[#This Row],[TARIFA]]+Tabla1[[#This Row],[IMPORTE EXTRAS]]</f>
        <v>200</v>
      </c>
      <c r="T1055" t="s">
        <v>45</v>
      </c>
      <c r="U1055">
        <v>50</v>
      </c>
      <c r="V1055">
        <v>150</v>
      </c>
      <c r="W1055">
        <v>0</v>
      </c>
      <c r="X1055" s="49">
        <v>0</v>
      </c>
      <c r="Y1055" s="49"/>
      <c r="Z1055" s="7">
        <f>SUM(Tabla1[[#This Row],[RES-A]:[EXTR-B]])</f>
        <v>200</v>
      </c>
      <c r="AA1055" s="7">
        <f>Tabla1[[#This Row],[Columna1]]-Tabla1[[#This Row],[IMPORTE TOTAL]]</f>
        <v>0</v>
      </c>
    </row>
    <row r="1056" spans="1:27" x14ac:dyDescent="0.2">
      <c r="A1056">
        <v>2025</v>
      </c>
      <c r="B1056" t="s">
        <v>56</v>
      </c>
      <c r="C1056" s="51">
        <v>45704</v>
      </c>
      <c r="D1056" s="3" t="s">
        <v>43</v>
      </c>
      <c r="E1056" s="3" t="s">
        <v>46</v>
      </c>
      <c r="F1056" s="3" t="s">
        <v>46</v>
      </c>
      <c r="G1056" s="4">
        <v>0.39583333333333331</v>
      </c>
      <c r="H1056" s="4">
        <v>0.60416666666666663</v>
      </c>
      <c r="I1056" t="s">
        <v>30</v>
      </c>
      <c r="J1056">
        <v>1</v>
      </c>
      <c r="L1056" s="46"/>
      <c r="P1056">
        <v>150</v>
      </c>
      <c r="Q1056">
        <v>0</v>
      </c>
      <c r="R1056">
        <v>0</v>
      </c>
      <c r="S1056" s="7">
        <f>Tabla1[[#This Row],[TARIFA]]+Tabla1[[#This Row],[IMPORTE EXTRAS]]</f>
        <v>150</v>
      </c>
      <c r="T1056" t="s">
        <v>45</v>
      </c>
      <c r="U1056">
        <v>50</v>
      </c>
      <c r="V1056">
        <v>100</v>
      </c>
      <c r="W1056">
        <v>0</v>
      </c>
      <c r="X1056" s="49">
        <v>0</v>
      </c>
      <c r="Y1056" s="49"/>
      <c r="Z1056" s="7">
        <f>SUM(Tabla1[[#This Row],[RES-A]:[EXTR-B]])</f>
        <v>150</v>
      </c>
      <c r="AA1056" s="7">
        <f>Tabla1[[#This Row],[Columna1]]-Tabla1[[#This Row],[IMPORTE TOTAL]]</f>
        <v>0</v>
      </c>
    </row>
    <row r="1057" spans="1:27" x14ac:dyDescent="0.2">
      <c r="A1057">
        <v>2025</v>
      </c>
      <c r="B1057" t="s">
        <v>56</v>
      </c>
      <c r="C1057" s="51">
        <v>45704</v>
      </c>
      <c r="D1057" s="3" t="s">
        <v>43</v>
      </c>
      <c r="E1057" s="3" t="s">
        <v>46</v>
      </c>
      <c r="F1057" s="3" t="s">
        <v>46</v>
      </c>
      <c r="G1057" s="4">
        <v>0.64583333333333337</v>
      </c>
      <c r="H1057" s="4">
        <v>0.85416666666666663</v>
      </c>
      <c r="I1057" t="s">
        <v>31</v>
      </c>
      <c r="J1057">
        <v>1</v>
      </c>
      <c r="L1057" s="46"/>
      <c r="P1057">
        <v>150</v>
      </c>
      <c r="Q1057">
        <v>0</v>
      </c>
      <c r="R1057">
        <v>0</v>
      </c>
      <c r="S1057" s="7">
        <f>Tabla1[[#This Row],[TARIFA]]+Tabla1[[#This Row],[IMPORTE EXTRAS]]</f>
        <v>150</v>
      </c>
      <c r="T1057" t="s">
        <v>45</v>
      </c>
      <c r="U1057">
        <v>50</v>
      </c>
      <c r="V1057">
        <v>100</v>
      </c>
      <c r="W1057">
        <v>0</v>
      </c>
      <c r="X1057" s="49">
        <v>0</v>
      </c>
      <c r="Y1057" s="49"/>
      <c r="Z1057" s="7">
        <f>SUM(Tabla1[[#This Row],[RES-A]:[EXTR-B]])</f>
        <v>150</v>
      </c>
      <c r="AA1057" s="7">
        <f>Tabla1[[#This Row],[Columna1]]-Tabla1[[#This Row],[IMPORTE TOTAL]]</f>
        <v>0</v>
      </c>
    </row>
    <row r="1058" spans="1:27" x14ac:dyDescent="0.2">
      <c r="A1058">
        <v>2025</v>
      </c>
      <c r="B1058" t="s">
        <v>56</v>
      </c>
      <c r="C1058" s="51">
        <v>45709</v>
      </c>
      <c r="D1058" s="3" t="s">
        <v>41</v>
      </c>
      <c r="E1058" s="3" t="s">
        <v>46</v>
      </c>
      <c r="F1058" s="3" t="s">
        <v>46</v>
      </c>
      <c r="G1058" s="4">
        <v>0.64583333333333337</v>
      </c>
      <c r="H1058" s="4">
        <v>0.85416666666666663</v>
      </c>
      <c r="I1058" t="s">
        <v>31</v>
      </c>
      <c r="J1058">
        <v>1</v>
      </c>
      <c r="L1058" s="46"/>
      <c r="P1058">
        <v>140</v>
      </c>
      <c r="Q1058">
        <v>0</v>
      </c>
      <c r="R1058">
        <v>0</v>
      </c>
      <c r="S1058" s="7">
        <f>Tabla1[[#This Row],[TARIFA]]+Tabla1[[#This Row],[IMPORTE EXTRAS]]</f>
        <v>140</v>
      </c>
      <c r="T1058" t="s">
        <v>45</v>
      </c>
      <c r="U1058">
        <v>140</v>
      </c>
      <c r="V1058">
        <v>0</v>
      </c>
      <c r="W1058">
        <v>0</v>
      </c>
      <c r="X1058" s="49">
        <v>0</v>
      </c>
      <c r="Y1058" s="49"/>
      <c r="Z1058" s="7">
        <f>SUM(Tabla1[[#This Row],[RES-A]:[EXTR-B]])</f>
        <v>140</v>
      </c>
      <c r="AA1058" s="7">
        <f>Tabla1[[#This Row],[Columna1]]-Tabla1[[#This Row],[IMPORTE TOTAL]]</f>
        <v>0</v>
      </c>
    </row>
    <row r="1059" spans="1:27" x14ac:dyDescent="0.2">
      <c r="A1059">
        <v>2025</v>
      </c>
      <c r="B1059" t="s">
        <v>56</v>
      </c>
      <c r="C1059" s="51">
        <v>45710</v>
      </c>
      <c r="D1059" s="3" t="s">
        <v>42</v>
      </c>
      <c r="E1059" s="3" t="s">
        <v>46</v>
      </c>
      <c r="F1059" s="3" t="s">
        <v>46</v>
      </c>
      <c r="G1059" s="4">
        <v>0.39583333333333331</v>
      </c>
      <c r="H1059" s="4">
        <v>0.60416666666666663</v>
      </c>
      <c r="I1059" t="s">
        <v>30</v>
      </c>
      <c r="J1059">
        <v>1</v>
      </c>
      <c r="L1059" s="46"/>
      <c r="P1059">
        <v>150</v>
      </c>
      <c r="Q1059">
        <v>0</v>
      </c>
      <c r="R1059">
        <v>0</v>
      </c>
      <c r="S1059" s="7">
        <f>Tabla1[[#This Row],[TARIFA]]+Tabla1[[#This Row],[IMPORTE EXTRAS]]</f>
        <v>150</v>
      </c>
      <c r="T1059" t="s">
        <v>45</v>
      </c>
      <c r="U1059">
        <v>50</v>
      </c>
      <c r="V1059">
        <v>100</v>
      </c>
      <c r="W1059">
        <v>0</v>
      </c>
      <c r="X1059" s="49">
        <v>0</v>
      </c>
      <c r="Y1059" s="49"/>
      <c r="Z1059" s="7">
        <f>SUM(Tabla1[[#This Row],[RES-A]:[EXTR-B]])</f>
        <v>150</v>
      </c>
      <c r="AA1059" s="7">
        <f>Tabla1[[#This Row],[Columna1]]-Tabla1[[#This Row],[IMPORTE TOTAL]]</f>
        <v>0</v>
      </c>
    </row>
    <row r="1060" spans="1:27" x14ac:dyDescent="0.2">
      <c r="A1060">
        <v>2025</v>
      </c>
      <c r="B1060" t="s">
        <v>56</v>
      </c>
      <c r="C1060" s="51">
        <v>45710</v>
      </c>
      <c r="D1060" s="3" t="s">
        <v>42</v>
      </c>
      <c r="E1060" s="3" t="s">
        <v>46</v>
      </c>
      <c r="F1060" s="3" t="s">
        <v>46</v>
      </c>
      <c r="G1060" s="4">
        <v>0.64583333333333337</v>
      </c>
      <c r="H1060" s="4">
        <v>0.85416666666666663</v>
      </c>
      <c r="I1060" t="s">
        <v>31</v>
      </c>
      <c r="J1060">
        <v>1</v>
      </c>
      <c r="L1060" s="46"/>
      <c r="P1060">
        <v>150</v>
      </c>
      <c r="Q1060">
        <v>0</v>
      </c>
      <c r="R1060">
        <v>0</v>
      </c>
      <c r="S1060" s="7">
        <f>Tabla1[[#This Row],[TARIFA]]+Tabla1[[#This Row],[IMPORTE EXTRAS]]</f>
        <v>150</v>
      </c>
      <c r="T1060" t="s">
        <v>45</v>
      </c>
      <c r="U1060">
        <v>50</v>
      </c>
      <c r="V1060">
        <v>100</v>
      </c>
      <c r="W1060">
        <v>0</v>
      </c>
      <c r="X1060" s="49">
        <v>0</v>
      </c>
      <c r="Y1060" s="49"/>
      <c r="Z1060" s="7">
        <f>SUM(Tabla1[[#This Row],[RES-A]:[EXTR-B]])</f>
        <v>150</v>
      </c>
      <c r="AA1060" s="7">
        <f>Tabla1[[#This Row],[Columna1]]-Tabla1[[#This Row],[IMPORTE TOTAL]]</f>
        <v>0</v>
      </c>
    </row>
    <row r="1061" spans="1:27" x14ac:dyDescent="0.2">
      <c r="A1061">
        <v>2025</v>
      </c>
      <c r="B1061" t="s">
        <v>56</v>
      </c>
      <c r="C1061" s="51">
        <v>45711</v>
      </c>
      <c r="D1061" s="3" t="s">
        <v>43</v>
      </c>
      <c r="E1061" s="3" t="s">
        <v>46</v>
      </c>
      <c r="F1061" s="3" t="s">
        <v>46</v>
      </c>
      <c r="G1061" s="4">
        <v>0.39583333333333331</v>
      </c>
      <c r="H1061" s="4">
        <v>0.60416666666666663</v>
      </c>
      <c r="I1061" t="s">
        <v>30</v>
      </c>
      <c r="J1061">
        <v>1</v>
      </c>
      <c r="L1061" s="46"/>
      <c r="P1061">
        <v>150</v>
      </c>
      <c r="Q1061">
        <v>0</v>
      </c>
      <c r="R1061">
        <v>0</v>
      </c>
      <c r="S1061" s="7">
        <f>Tabla1[[#This Row],[TARIFA]]+Tabla1[[#This Row],[IMPORTE EXTRAS]]</f>
        <v>150</v>
      </c>
      <c r="T1061" t="s">
        <v>45</v>
      </c>
      <c r="U1061">
        <v>50</v>
      </c>
      <c r="V1061">
        <v>100</v>
      </c>
      <c r="W1061">
        <v>0</v>
      </c>
      <c r="X1061" s="49">
        <v>0</v>
      </c>
      <c r="Y1061" s="49"/>
      <c r="Z1061" s="7">
        <f>SUM(Tabla1[[#This Row],[RES-A]:[EXTR-B]])</f>
        <v>150</v>
      </c>
      <c r="AA1061" s="7">
        <f>Tabla1[[#This Row],[Columna1]]-Tabla1[[#This Row],[IMPORTE TOTAL]]</f>
        <v>0</v>
      </c>
    </row>
    <row r="1062" spans="1:27" x14ac:dyDescent="0.2">
      <c r="A1062">
        <v>2025</v>
      </c>
      <c r="B1062" t="s">
        <v>56</v>
      </c>
      <c r="C1062" s="51">
        <v>45711</v>
      </c>
      <c r="D1062" s="3" t="s">
        <v>43</v>
      </c>
      <c r="E1062" s="3" t="s">
        <v>46</v>
      </c>
      <c r="F1062" s="3" t="s">
        <v>46</v>
      </c>
      <c r="G1062" s="4">
        <v>0.64583333333333337</v>
      </c>
      <c r="H1062" s="4">
        <v>0.85416666666666663</v>
      </c>
      <c r="I1062" t="s">
        <v>31</v>
      </c>
      <c r="J1062">
        <v>1</v>
      </c>
      <c r="L1062" s="46"/>
      <c r="P1062">
        <v>150</v>
      </c>
      <c r="Q1062">
        <v>0</v>
      </c>
      <c r="R1062">
        <v>0</v>
      </c>
      <c r="S1062" s="7">
        <f>Tabla1[[#This Row],[TARIFA]]+Tabla1[[#This Row],[IMPORTE EXTRAS]]</f>
        <v>150</v>
      </c>
      <c r="T1062" t="s">
        <v>45</v>
      </c>
      <c r="U1062">
        <v>50</v>
      </c>
      <c r="V1062">
        <v>100</v>
      </c>
      <c r="W1062">
        <v>0</v>
      </c>
      <c r="X1062" s="49">
        <v>0</v>
      </c>
      <c r="Y1062" s="49"/>
      <c r="Z1062" s="7">
        <f>SUM(Tabla1[[#This Row],[RES-A]:[EXTR-B]])</f>
        <v>150</v>
      </c>
      <c r="AA1062" s="7">
        <f>Tabla1[[#This Row],[Columna1]]-Tabla1[[#This Row],[IMPORTE TOTAL]]</f>
        <v>0</v>
      </c>
    </row>
    <row r="1063" spans="1:27" x14ac:dyDescent="0.2">
      <c r="A1063">
        <v>2025</v>
      </c>
      <c r="B1063" t="s">
        <v>56</v>
      </c>
      <c r="C1063" s="51">
        <v>45715</v>
      </c>
      <c r="D1063" s="3" t="s">
        <v>40</v>
      </c>
      <c r="E1063" s="3" t="s">
        <v>46</v>
      </c>
      <c r="F1063" s="3" t="s">
        <v>46</v>
      </c>
      <c r="G1063" s="4">
        <v>0.64583333333333337</v>
      </c>
      <c r="H1063" s="4">
        <v>0.85416666666666663</v>
      </c>
      <c r="I1063" t="s">
        <v>31</v>
      </c>
      <c r="J1063">
        <v>1</v>
      </c>
      <c r="L1063" s="46"/>
      <c r="P1063">
        <v>95</v>
      </c>
      <c r="Q1063">
        <v>0</v>
      </c>
      <c r="R1063">
        <v>0</v>
      </c>
      <c r="S1063" s="7">
        <f>Tabla1[[#This Row],[TARIFA]]+Tabla1[[#This Row],[IMPORTE EXTRAS]]</f>
        <v>95</v>
      </c>
      <c r="T1063" t="s">
        <v>45</v>
      </c>
      <c r="U1063">
        <v>50</v>
      </c>
      <c r="V1063">
        <v>45</v>
      </c>
      <c r="W1063">
        <v>0</v>
      </c>
      <c r="X1063" s="49">
        <v>0</v>
      </c>
      <c r="Y1063" s="49"/>
      <c r="Z1063" s="7">
        <f>SUM(Tabla1[[#This Row],[RES-A]:[EXTR-B]])</f>
        <v>95</v>
      </c>
      <c r="AA1063" s="7">
        <f>Tabla1[[#This Row],[Columna1]]-Tabla1[[#This Row],[IMPORTE TOTAL]]</f>
        <v>0</v>
      </c>
    </row>
    <row r="1064" spans="1:27" x14ac:dyDescent="0.2">
      <c r="A1064">
        <v>2025</v>
      </c>
      <c r="B1064" t="s">
        <v>56</v>
      </c>
      <c r="C1064" s="51">
        <v>45716</v>
      </c>
      <c r="D1064" s="3" t="s">
        <v>41</v>
      </c>
      <c r="E1064" s="3" t="s">
        <v>46</v>
      </c>
      <c r="F1064" s="3" t="s">
        <v>46</v>
      </c>
      <c r="G1064" s="4">
        <v>0.64583333333333337</v>
      </c>
      <c r="H1064" s="4">
        <v>0.85416666666666663</v>
      </c>
      <c r="I1064" t="s">
        <v>31</v>
      </c>
      <c r="J1064">
        <v>1</v>
      </c>
      <c r="L1064" s="46"/>
      <c r="P1064">
        <v>140</v>
      </c>
      <c r="Q1064">
        <v>0</v>
      </c>
      <c r="R1064">
        <v>0</v>
      </c>
      <c r="S1064" s="7">
        <f>Tabla1[[#This Row],[TARIFA]]+Tabla1[[#This Row],[IMPORTE EXTRAS]]</f>
        <v>140</v>
      </c>
      <c r="T1064" t="s">
        <v>45</v>
      </c>
      <c r="U1064">
        <v>50</v>
      </c>
      <c r="V1064">
        <v>90</v>
      </c>
      <c r="W1064">
        <v>0</v>
      </c>
      <c r="X1064" s="49">
        <v>0</v>
      </c>
      <c r="Y1064" s="49"/>
      <c r="Z1064" s="7">
        <f>SUM(Tabla1[[#This Row],[RES-A]:[EXTR-B]])</f>
        <v>140</v>
      </c>
      <c r="AA1064" s="7">
        <f>Tabla1[[#This Row],[Columna1]]-Tabla1[[#This Row],[IMPORTE TOTAL]]</f>
        <v>0</v>
      </c>
    </row>
    <row r="1065" spans="1:27" x14ac:dyDescent="0.2">
      <c r="A1065">
        <v>2025</v>
      </c>
      <c r="B1065" t="s">
        <v>57</v>
      </c>
      <c r="C1065" s="51">
        <v>45717</v>
      </c>
      <c r="D1065" s="3" t="s">
        <v>42</v>
      </c>
      <c r="E1065" s="3" t="s">
        <v>46</v>
      </c>
      <c r="F1065" s="3" t="s">
        <v>46</v>
      </c>
      <c r="G1065" s="4">
        <v>0.39583333333333331</v>
      </c>
      <c r="H1065" s="4">
        <v>0.60416666666666663</v>
      </c>
      <c r="I1065" t="s">
        <v>30</v>
      </c>
      <c r="J1065">
        <v>1</v>
      </c>
      <c r="L1065" s="46"/>
      <c r="P1065">
        <v>150</v>
      </c>
      <c r="Q1065">
        <v>0</v>
      </c>
      <c r="R1065">
        <v>0</v>
      </c>
      <c r="S1065" s="7">
        <f>Tabla1[[#This Row],[TARIFA]]+Tabla1[[#This Row],[IMPORTE EXTRAS]]</f>
        <v>150</v>
      </c>
      <c r="T1065" t="s">
        <v>45</v>
      </c>
      <c r="U1065">
        <v>50</v>
      </c>
      <c r="V1065">
        <v>100</v>
      </c>
      <c r="W1065">
        <v>0</v>
      </c>
      <c r="X1065" s="49">
        <v>0</v>
      </c>
      <c r="Y1065" s="49"/>
      <c r="Z1065" s="7">
        <f>SUM(Tabla1[[#This Row],[RES-A]:[EXTR-B]])</f>
        <v>150</v>
      </c>
      <c r="AA1065" s="7">
        <f>Tabla1[[#This Row],[Columna1]]-Tabla1[[#This Row],[IMPORTE TOTAL]]</f>
        <v>0</v>
      </c>
    </row>
    <row r="1066" spans="1:27" x14ac:dyDescent="0.2">
      <c r="A1066">
        <v>2025</v>
      </c>
      <c r="B1066" t="s">
        <v>57</v>
      </c>
      <c r="C1066" s="51">
        <v>45717</v>
      </c>
      <c r="D1066" s="3" t="s">
        <v>42</v>
      </c>
      <c r="E1066" s="3" t="s">
        <v>46</v>
      </c>
      <c r="F1066" s="3" t="s">
        <v>46</v>
      </c>
      <c r="G1066" s="4">
        <v>0.64583333333333337</v>
      </c>
      <c r="H1066" s="4">
        <v>0.85416666666666663</v>
      </c>
      <c r="I1066" t="s">
        <v>31</v>
      </c>
      <c r="J1066">
        <v>1</v>
      </c>
      <c r="L1066" s="46"/>
      <c r="P1066">
        <v>150</v>
      </c>
      <c r="Q1066">
        <v>0</v>
      </c>
      <c r="R1066">
        <v>0</v>
      </c>
      <c r="S1066" s="7">
        <f>Tabla1[[#This Row],[TARIFA]]+Tabla1[[#This Row],[IMPORTE EXTRAS]]</f>
        <v>150</v>
      </c>
      <c r="T1066" t="s">
        <v>45</v>
      </c>
      <c r="U1066">
        <v>50</v>
      </c>
      <c r="V1066">
        <v>100</v>
      </c>
      <c r="W1066">
        <v>0</v>
      </c>
      <c r="X1066" s="49">
        <v>0</v>
      </c>
      <c r="Y1066" s="49"/>
      <c r="Z1066" s="7">
        <f>SUM(Tabla1[[#This Row],[RES-A]:[EXTR-B]])</f>
        <v>150</v>
      </c>
      <c r="AA1066" s="7">
        <f>Tabla1[[#This Row],[Columna1]]-Tabla1[[#This Row],[IMPORTE TOTAL]]</f>
        <v>0</v>
      </c>
    </row>
    <row r="1067" spans="1:27" x14ac:dyDescent="0.2">
      <c r="A1067">
        <v>2025</v>
      </c>
      <c r="B1067" t="s">
        <v>57</v>
      </c>
      <c r="C1067" s="51">
        <v>45717</v>
      </c>
      <c r="D1067" s="3" t="s">
        <v>42</v>
      </c>
      <c r="E1067" s="3" t="s">
        <v>46</v>
      </c>
      <c r="F1067" s="3" t="s">
        <v>46</v>
      </c>
      <c r="G1067" s="4">
        <v>0.89583333333333337</v>
      </c>
      <c r="H1067" s="4">
        <v>0.10416666666666667</v>
      </c>
      <c r="I1067" t="s">
        <v>35</v>
      </c>
      <c r="J1067">
        <v>1</v>
      </c>
      <c r="L1067" s="46"/>
      <c r="P1067">
        <v>200</v>
      </c>
      <c r="Q1067">
        <v>0</v>
      </c>
      <c r="R1067">
        <v>0</v>
      </c>
      <c r="S1067" s="7">
        <f>Tabla1[[#This Row],[TARIFA]]+Tabla1[[#This Row],[IMPORTE EXTRAS]]</f>
        <v>200</v>
      </c>
      <c r="T1067" t="s">
        <v>45</v>
      </c>
      <c r="U1067">
        <v>50</v>
      </c>
      <c r="V1067">
        <v>150</v>
      </c>
      <c r="W1067">
        <v>0</v>
      </c>
      <c r="X1067" s="49">
        <v>0</v>
      </c>
      <c r="Y1067" s="49"/>
      <c r="Z1067" s="7">
        <f>SUM(Tabla1[[#This Row],[RES-A]:[EXTR-B]])</f>
        <v>200</v>
      </c>
      <c r="AA1067" s="7">
        <f>Tabla1[[#This Row],[Columna1]]-Tabla1[[#This Row],[IMPORTE TOTAL]]</f>
        <v>0</v>
      </c>
    </row>
    <row r="1068" spans="1:27" x14ac:dyDescent="0.2">
      <c r="A1068">
        <v>2025</v>
      </c>
      <c r="B1068" t="s">
        <v>57</v>
      </c>
      <c r="C1068" s="51">
        <v>45718</v>
      </c>
      <c r="D1068" s="3" t="s">
        <v>43</v>
      </c>
      <c r="E1068" s="3" t="s">
        <v>46</v>
      </c>
      <c r="F1068" s="3" t="s">
        <v>46</v>
      </c>
      <c r="G1068" s="4">
        <v>0.39583333333333331</v>
      </c>
      <c r="H1068" s="4">
        <v>0.60416666666666663</v>
      </c>
      <c r="I1068" t="s">
        <v>30</v>
      </c>
      <c r="J1068">
        <v>1</v>
      </c>
      <c r="L1068" s="46"/>
      <c r="P1068">
        <v>150</v>
      </c>
      <c r="Q1068">
        <v>0</v>
      </c>
      <c r="R1068">
        <v>0</v>
      </c>
      <c r="S1068" s="7">
        <f>Tabla1[[#This Row],[TARIFA]]+Tabla1[[#This Row],[IMPORTE EXTRAS]]</f>
        <v>150</v>
      </c>
      <c r="T1068" t="s">
        <v>45</v>
      </c>
      <c r="U1068">
        <v>50</v>
      </c>
      <c r="V1068">
        <v>100</v>
      </c>
      <c r="W1068">
        <v>0</v>
      </c>
      <c r="X1068" s="49">
        <v>0</v>
      </c>
      <c r="Y1068" s="49"/>
      <c r="Z1068" s="7">
        <f>SUM(Tabla1[[#This Row],[RES-A]:[EXTR-B]])</f>
        <v>150</v>
      </c>
      <c r="AA1068" s="7">
        <f>Tabla1[[#This Row],[Columna1]]-Tabla1[[#This Row],[IMPORTE TOTAL]]</f>
        <v>0</v>
      </c>
    </row>
    <row r="1069" spans="1:27" x14ac:dyDescent="0.2">
      <c r="A1069">
        <v>2025</v>
      </c>
      <c r="B1069" t="s">
        <v>57</v>
      </c>
      <c r="C1069" s="51">
        <v>45718</v>
      </c>
      <c r="D1069" s="3" t="s">
        <v>43</v>
      </c>
      <c r="E1069" s="3" t="s">
        <v>46</v>
      </c>
      <c r="F1069" s="3" t="s">
        <v>46</v>
      </c>
      <c r="G1069" s="4">
        <v>0.64583333333333337</v>
      </c>
      <c r="H1069" s="4">
        <v>0.85416666666666663</v>
      </c>
      <c r="I1069" t="s">
        <v>31</v>
      </c>
      <c r="J1069">
        <v>1</v>
      </c>
      <c r="L1069" s="46"/>
      <c r="P1069">
        <v>150</v>
      </c>
      <c r="Q1069">
        <v>0</v>
      </c>
      <c r="R1069">
        <v>0</v>
      </c>
      <c r="S1069" s="7">
        <f>Tabla1[[#This Row],[TARIFA]]+Tabla1[[#This Row],[IMPORTE EXTRAS]]</f>
        <v>150</v>
      </c>
      <c r="T1069" t="s">
        <v>45</v>
      </c>
      <c r="U1069">
        <v>50</v>
      </c>
      <c r="V1069">
        <v>100</v>
      </c>
      <c r="W1069">
        <v>0</v>
      </c>
      <c r="X1069" s="49">
        <v>0</v>
      </c>
      <c r="Y1069" s="49"/>
      <c r="Z1069" s="7">
        <f>SUM(Tabla1[[#This Row],[RES-A]:[EXTR-B]])</f>
        <v>150</v>
      </c>
      <c r="AA1069" s="7">
        <f>Tabla1[[#This Row],[Columna1]]-Tabla1[[#This Row],[IMPORTE TOTAL]]</f>
        <v>0</v>
      </c>
    </row>
    <row r="1070" spans="1:27" x14ac:dyDescent="0.2">
      <c r="A1070">
        <v>2025</v>
      </c>
      <c r="B1070" t="s">
        <v>57</v>
      </c>
      <c r="C1070" s="51">
        <v>45719</v>
      </c>
      <c r="D1070" s="3" t="s">
        <v>37</v>
      </c>
      <c r="E1070" s="3" t="s">
        <v>46</v>
      </c>
      <c r="F1070" s="3" t="s">
        <v>46</v>
      </c>
      <c r="G1070" s="4">
        <v>0.64583333333333337</v>
      </c>
      <c r="H1070" s="4">
        <v>0.85416666666666663</v>
      </c>
      <c r="I1070" t="s">
        <v>31</v>
      </c>
      <c r="J1070">
        <v>1</v>
      </c>
      <c r="L1070" s="46"/>
      <c r="P1070">
        <v>95</v>
      </c>
      <c r="Q1070">
        <v>0</v>
      </c>
      <c r="R1070">
        <v>0</v>
      </c>
      <c r="S1070" s="7">
        <f>Tabla1[[#This Row],[TARIFA]]+Tabla1[[#This Row],[IMPORTE EXTRAS]]</f>
        <v>95</v>
      </c>
      <c r="T1070" t="s">
        <v>45</v>
      </c>
      <c r="U1070">
        <v>50</v>
      </c>
      <c r="V1070">
        <v>45</v>
      </c>
      <c r="W1070">
        <v>0</v>
      </c>
      <c r="X1070" s="49">
        <v>0</v>
      </c>
      <c r="Y1070" s="49"/>
      <c r="Z1070" s="7">
        <f>SUM(Tabla1[[#This Row],[RES-A]:[EXTR-B]])</f>
        <v>95</v>
      </c>
      <c r="AA1070" s="7">
        <f>Tabla1[[#This Row],[Columna1]]-Tabla1[[#This Row],[IMPORTE TOTAL]]</f>
        <v>0</v>
      </c>
    </row>
    <row r="1071" spans="1:27" x14ac:dyDescent="0.2">
      <c r="A1071">
        <v>2025</v>
      </c>
      <c r="B1071" t="s">
        <v>57</v>
      </c>
      <c r="C1071" s="51">
        <v>45723</v>
      </c>
      <c r="D1071" s="3" t="s">
        <v>41</v>
      </c>
      <c r="E1071" s="3" t="s">
        <v>46</v>
      </c>
      <c r="F1071" s="3" t="s">
        <v>46</v>
      </c>
      <c r="G1071" s="4">
        <v>0.64583333333333337</v>
      </c>
      <c r="H1071" s="4">
        <v>0.10416666666666667</v>
      </c>
      <c r="I1071" t="s">
        <v>53</v>
      </c>
      <c r="J1071">
        <v>2</v>
      </c>
      <c r="L1071" s="46"/>
      <c r="P1071">
        <v>300</v>
      </c>
      <c r="Q1071">
        <v>0</v>
      </c>
      <c r="R1071">
        <v>0</v>
      </c>
      <c r="S1071" s="7">
        <f>Tabla1[[#This Row],[TARIFA]]+Tabla1[[#This Row],[IMPORTE EXTRAS]]</f>
        <v>300</v>
      </c>
      <c r="T1071" t="s">
        <v>45</v>
      </c>
      <c r="U1071">
        <v>300</v>
      </c>
      <c r="V1071">
        <v>0</v>
      </c>
      <c r="W1071">
        <v>0</v>
      </c>
      <c r="X1071" s="49">
        <v>0</v>
      </c>
      <c r="Y1071" s="49"/>
      <c r="Z1071" s="7">
        <f>SUM(Tabla1[[#This Row],[RES-A]:[EXTR-B]])</f>
        <v>300</v>
      </c>
      <c r="AA1071" s="7">
        <f>Tabla1[[#This Row],[Columna1]]-Tabla1[[#This Row],[IMPORTE TOTAL]]</f>
        <v>0</v>
      </c>
    </row>
    <row r="1072" spans="1:27" x14ac:dyDescent="0.2">
      <c r="A1072">
        <v>2025</v>
      </c>
      <c r="B1072" t="s">
        <v>57</v>
      </c>
      <c r="C1072" s="51">
        <v>45724</v>
      </c>
      <c r="D1072" s="3" t="s">
        <v>42</v>
      </c>
      <c r="E1072" s="3" t="s">
        <v>46</v>
      </c>
      <c r="F1072" s="3" t="s">
        <v>46</v>
      </c>
      <c r="G1072" s="4">
        <v>0.64583333333333337</v>
      </c>
      <c r="H1072" s="4">
        <v>0.85416666666666663</v>
      </c>
      <c r="I1072" t="s">
        <v>31</v>
      </c>
      <c r="J1072">
        <v>1</v>
      </c>
      <c r="L1072" s="46"/>
      <c r="P1072">
        <v>150</v>
      </c>
      <c r="Q1072">
        <v>0</v>
      </c>
      <c r="R1072">
        <v>0</v>
      </c>
      <c r="S1072" s="7">
        <f>Tabla1[[#This Row],[TARIFA]]+Tabla1[[#This Row],[IMPORTE EXTRAS]]</f>
        <v>150</v>
      </c>
      <c r="T1072" t="s">
        <v>45</v>
      </c>
      <c r="U1072">
        <v>50</v>
      </c>
      <c r="V1072">
        <v>100</v>
      </c>
      <c r="W1072">
        <v>0</v>
      </c>
      <c r="X1072" s="49">
        <v>0</v>
      </c>
      <c r="Y1072" s="49"/>
      <c r="Z1072" s="7">
        <f>SUM(Tabla1[[#This Row],[RES-A]:[EXTR-B]])</f>
        <v>150</v>
      </c>
      <c r="AA1072" s="7">
        <f>Tabla1[[#This Row],[Columna1]]-Tabla1[[#This Row],[IMPORTE TOTAL]]</f>
        <v>0</v>
      </c>
    </row>
    <row r="1073" spans="1:27" x14ac:dyDescent="0.2">
      <c r="A1073">
        <v>2025</v>
      </c>
      <c r="B1073" t="s">
        <v>57</v>
      </c>
      <c r="C1073" s="51">
        <v>45724</v>
      </c>
      <c r="D1073" s="3" t="s">
        <v>42</v>
      </c>
      <c r="E1073" s="3" t="s">
        <v>46</v>
      </c>
      <c r="F1073" s="3" t="s">
        <v>46</v>
      </c>
      <c r="G1073" s="4">
        <v>0.89583333333333337</v>
      </c>
      <c r="H1073" s="4">
        <v>0.10416666666666667</v>
      </c>
      <c r="I1073" t="s">
        <v>35</v>
      </c>
      <c r="J1073">
        <v>1</v>
      </c>
      <c r="L1073" s="46"/>
      <c r="P1073">
        <v>200</v>
      </c>
      <c r="Q1073">
        <v>0</v>
      </c>
      <c r="R1073">
        <v>0</v>
      </c>
      <c r="S1073" s="7">
        <f>Tabla1[[#This Row],[TARIFA]]+Tabla1[[#This Row],[IMPORTE EXTRAS]]</f>
        <v>200</v>
      </c>
      <c r="T1073" t="s">
        <v>45</v>
      </c>
      <c r="U1073">
        <v>50</v>
      </c>
      <c r="V1073">
        <v>150</v>
      </c>
      <c r="W1073">
        <v>0</v>
      </c>
      <c r="X1073" s="49">
        <v>0</v>
      </c>
      <c r="Y1073" s="49"/>
      <c r="Z1073" s="7">
        <f>SUM(Tabla1[[#This Row],[RES-A]:[EXTR-B]])</f>
        <v>200</v>
      </c>
      <c r="AA1073" s="7">
        <f>Tabla1[[#This Row],[Columna1]]-Tabla1[[#This Row],[IMPORTE TOTAL]]</f>
        <v>0</v>
      </c>
    </row>
    <row r="1074" spans="1:27" x14ac:dyDescent="0.2">
      <c r="A1074">
        <v>2025</v>
      </c>
      <c r="B1074" t="s">
        <v>57</v>
      </c>
      <c r="C1074" s="51">
        <v>45725</v>
      </c>
      <c r="D1074" s="3" t="s">
        <v>43</v>
      </c>
      <c r="E1074" s="3" t="s">
        <v>46</v>
      </c>
      <c r="F1074" s="3" t="s">
        <v>46</v>
      </c>
      <c r="G1074" s="4">
        <v>0.39583333333333331</v>
      </c>
      <c r="H1074" s="4">
        <v>0.60416666666666663</v>
      </c>
      <c r="I1074" t="s">
        <v>30</v>
      </c>
      <c r="J1074">
        <v>1</v>
      </c>
      <c r="L1074" s="46"/>
      <c r="P1074">
        <v>150</v>
      </c>
      <c r="Q1074">
        <v>0</v>
      </c>
      <c r="R1074">
        <v>0</v>
      </c>
      <c r="S1074" s="7">
        <f>Tabla1[[#This Row],[TARIFA]]+Tabla1[[#This Row],[IMPORTE EXTRAS]]</f>
        <v>150</v>
      </c>
      <c r="T1074" t="s">
        <v>45</v>
      </c>
      <c r="U1074">
        <v>50</v>
      </c>
      <c r="V1074">
        <v>100</v>
      </c>
      <c r="W1074">
        <v>0</v>
      </c>
      <c r="X1074" s="49">
        <v>0</v>
      </c>
      <c r="Y1074" s="49"/>
      <c r="Z1074" s="7">
        <f>SUM(Tabla1[[#This Row],[RES-A]:[EXTR-B]])</f>
        <v>150</v>
      </c>
      <c r="AA1074" s="7">
        <f>Tabla1[[#This Row],[Columna1]]-Tabla1[[#This Row],[IMPORTE TOTAL]]</f>
        <v>0</v>
      </c>
    </row>
    <row r="1075" spans="1:27" x14ac:dyDescent="0.2">
      <c r="A1075">
        <v>2025</v>
      </c>
      <c r="B1075" t="s">
        <v>57</v>
      </c>
      <c r="C1075" s="51">
        <v>45725</v>
      </c>
      <c r="D1075" s="3" t="s">
        <v>43</v>
      </c>
      <c r="E1075" s="3" t="s">
        <v>46</v>
      </c>
      <c r="F1075" s="3" t="s">
        <v>46</v>
      </c>
      <c r="G1075" s="4">
        <v>0.64583333333333337</v>
      </c>
      <c r="H1075" s="4">
        <v>0.85416666666666663</v>
      </c>
      <c r="I1075" t="s">
        <v>31</v>
      </c>
      <c r="J1075">
        <v>1</v>
      </c>
      <c r="L1075" s="46"/>
      <c r="P1075">
        <v>150</v>
      </c>
      <c r="Q1075">
        <v>0</v>
      </c>
      <c r="R1075">
        <v>0</v>
      </c>
      <c r="S1075" s="7">
        <f>Tabla1[[#This Row],[TARIFA]]+Tabla1[[#This Row],[IMPORTE EXTRAS]]</f>
        <v>150</v>
      </c>
      <c r="T1075" t="s">
        <v>45</v>
      </c>
      <c r="U1075">
        <v>50</v>
      </c>
      <c r="V1075">
        <v>100</v>
      </c>
      <c r="W1075">
        <v>0</v>
      </c>
      <c r="X1075" s="49">
        <v>0</v>
      </c>
      <c r="Y1075" s="49"/>
      <c r="Z1075" s="7">
        <f>SUM(Tabla1[[#This Row],[RES-A]:[EXTR-B]])</f>
        <v>150</v>
      </c>
      <c r="AA1075" s="7">
        <f>Tabla1[[#This Row],[Columna1]]-Tabla1[[#This Row],[IMPORTE TOTAL]]</f>
        <v>0</v>
      </c>
    </row>
    <row r="1076" spans="1:27" x14ac:dyDescent="0.2">
      <c r="A1076">
        <v>2025</v>
      </c>
      <c r="B1076" t="s">
        <v>57</v>
      </c>
      <c r="C1076" s="51">
        <v>45729</v>
      </c>
      <c r="D1076" s="3" t="s">
        <v>40</v>
      </c>
      <c r="E1076" s="3" t="s">
        <v>46</v>
      </c>
      <c r="F1076" s="3" t="s">
        <v>46</v>
      </c>
      <c r="G1076" s="4">
        <v>0.64583333333333337</v>
      </c>
      <c r="H1076" s="4">
        <v>0.85416666666666663</v>
      </c>
      <c r="I1076" t="s">
        <v>31</v>
      </c>
      <c r="J1076">
        <v>1</v>
      </c>
      <c r="L1076" s="46"/>
      <c r="P1076">
        <v>95</v>
      </c>
      <c r="Q1076">
        <v>0</v>
      </c>
      <c r="R1076">
        <v>0</v>
      </c>
      <c r="S1076" s="7">
        <f>Tabla1[[#This Row],[TARIFA]]+Tabla1[[#This Row],[IMPORTE EXTRAS]]</f>
        <v>95</v>
      </c>
      <c r="T1076" t="s">
        <v>45</v>
      </c>
      <c r="U1076">
        <v>50</v>
      </c>
      <c r="V1076">
        <v>45</v>
      </c>
      <c r="W1076">
        <v>0</v>
      </c>
      <c r="X1076" s="49">
        <v>0</v>
      </c>
      <c r="Y1076" s="49"/>
      <c r="Z1076" s="7">
        <f>SUM(Tabla1[[#This Row],[RES-A]:[EXTR-B]])</f>
        <v>95</v>
      </c>
      <c r="AA1076" s="7">
        <f>Tabla1[[#This Row],[Columna1]]-Tabla1[[#This Row],[IMPORTE TOTAL]]</f>
        <v>0</v>
      </c>
    </row>
    <row r="1077" spans="1:27" x14ac:dyDescent="0.2">
      <c r="A1077">
        <v>2025</v>
      </c>
      <c r="B1077" t="s">
        <v>57</v>
      </c>
      <c r="C1077" s="51">
        <v>45730</v>
      </c>
      <c r="D1077" s="3" t="s">
        <v>41</v>
      </c>
      <c r="E1077" s="3" t="s">
        <v>46</v>
      </c>
      <c r="F1077" s="3" t="s">
        <v>46</v>
      </c>
      <c r="G1077" s="4">
        <v>0.89583333333333337</v>
      </c>
      <c r="H1077" s="4">
        <v>0.10416666666666667</v>
      </c>
      <c r="I1077" t="s">
        <v>35</v>
      </c>
      <c r="J1077">
        <v>1</v>
      </c>
      <c r="L1077" s="46"/>
      <c r="P1077">
        <v>200</v>
      </c>
      <c r="Q1077">
        <v>0</v>
      </c>
      <c r="R1077">
        <v>0</v>
      </c>
      <c r="S1077" s="7">
        <f>Tabla1[[#This Row],[TARIFA]]+Tabla1[[#This Row],[IMPORTE EXTRAS]]</f>
        <v>200</v>
      </c>
      <c r="T1077" t="s">
        <v>45</v>
      </c>
      <c r="U1077">
        <v>50</v>
      </c>
      <c r="V1077">
        <v>150</v>
      </c>
      <c r="W1077">
        <v>0</v>
      </c>
      <c r="X1077" s="49">
        <v>0</v>
      </c>
      <c r="Y1077" s="49"/>
      <c r="Z1077" s="7">
        <f>SUM(Tabla1[[#This Row],[RES-A]:[EXTR-B]])</f>
        <v>200</v>
      </c>
      <c r="AA1077" s="7">
        <f>Tabla1[[#This Row],[Columna1]]-Tabla1[[#This Row],[IMPORTE TOTAL]]</f>
        <v>0</v>
      </c>
    </row>
    <row r="1078" spans="1:27" x14ac:dyDescent="0.2">
      <c r="A1078">
        <v>2025</v>
      </c>
      <c r="B1078" t="s">
        <v>57</v>
      </c>
      <c r="C1078" s="51">
        <v>45731</v>
      </c>
      <c r="D1078" s="3" t="s">
        <v>42</v>
      </c>
      <c r="E1078" s="3" t="s">
        <v>46</v>
      </c>
      <c r="F1078" s="3" t="s">
        <v>46</v>
      </c>
      <c r="G1078" s="4">
        <v>0.64583333333333337</v>
      </c>
      <c r="H1078" s="4">
        <v>0.85416666666666663</v>
      </c>
      <c r="I1078" t="s">
        <v>31</v>
      </c>
      <c r="J1078">
        <v>1</v>
      </c>
      <c r="L1078" s="46"/>
      <c r="P1078">
        <v>150</v>
      </c>
      <c r="Q1078">
        <v>0</v>
      </c>
      <c r="R1078">
        <v>0</v>
      </c>
      <c r="S1078" s="7">
        <f>Tabla1[[#This Row],[TARIFA]]+Tabla1[[#This Row],[IMPORTE EXTRAS]]</f>
        <v>150</v>
      </c>
      <c r="T1078" t="s">
        <v>45</v>
      </c>
      <c r="U1078">
        <v>50</v>
      </c>
      <c r="V1078">
        <v>100</v>
      </c>
      <c r="W1078">
        <v>0</v>
      </c>
      <c r="X1078" s="49">
        <v>0</v>
      </c>
      <c r="Y1078" s="49"/>
      <c r="Z1078" s="7">
        <f>SUM(Tabla1[[#This Row],[RES-A]:[EXTR-B]])</f>
        <v>150</v>
      </c>
      <c r="AA1078" s="7">
        <f>Tabla1[[#This Row],[Columna1]]-Tabla1[[#This Row],[IMPORTE TOTAL]]</f>
        <v>0</v>
      </c>
    </row>
    <row r="1079" spans="1:27" x14ac:dyDescent="0.2">
      <c r="A1079">
        <v>2025</v>
      </c>
      <c r="B1079" t="s">
        <v>57</v>
      </c>
      <c r="C1079" s="51">
        <v>45731</v>
      </c>
      <c r="D1079" s="3" t="s">
        <v>42</v>
      </c>
      <c r="E1079" s="3" t="s">
        <v>46</v>
      </c>
      <c r="F1079" s="3" t="s">
        <v>46</v>
      </c>
      <c r="G1079" s="4">
        <v>0.89583333333333337</v>
      </c>
      <c r="H1079" s="4">
        <v>0.10416666666666667</v>
      </c>
      <c r="I1079" t="s">
        <v>35</v>
      </c>
      <c r="J1079">
        <v>1</v>
      </c>
      <c r="L1079" s="46"/>
      <c r="P1079">
        <v>200</v>
      </c>
      <c r="Q1079">
        <v>0</v>
      </c>
      <c r="R1079">
        <v>0</v>
      </c>
      <c r="S1079" s="7">
        <f>Tabla1[[#This Row],[TARIFA]]+Tabla1[[#This Row],[IMPORTE EXTRAS]]</f>
        <v>200</v>
      </c>
      <c r="T1079" t="s">
        <v>45</v>
      </c>
      <c r="U1079">
        <v>50</v>
      </c>
      <c r="V1079">
        <v>200</v>
      </c>
      <c r="W1079">
        <v>0</v>
      </c>
      <c r="X1079" s="49">
        <v>0</v>
      </c>
      <c r="Y1079" s="49"/>
      <c r="Z1079" s="7">
        <f>SUM(Tabla1[[#This Row],[RES-A]:[EXTR-B]])</f>
        <v>250</v>
      </c>
      <c r="AA1079" s="7">
        <f>Tabla1[[#This Row],[Columna1]]-Tabla1[[#This Row],[IMPORTE TOTAL]]</f>
        <v>50</v>
      </c>
    </row>
    <row r="1080" spans="1:27" x14ac:dyDescent="0.2">
      <c r="A1080">
        <v>2025</v>
      </c>
      <c r="B1080" t="s">
        <v>57</v>
      </c>
      <c r="C1080" s="51">
        <v>45736</v>
      </c>
      <c r="D1080" s="3" t="s">
        <v>40</v>
      </c>
      <c r="E1080" s="3" t="s">
        <v>46</v>
      </c>
      <c r="F1080" s="3" t="s">
        <v>46</v>
      </c>
      <c r="G1080" s="4">
        <v>0.64583333333333337</v>
      </c>
      <c r="H1080" s="4">
        <v>0.85416666666666663</v>
      </c>
      <c r="I1080" t="s">
        <v>31</v>
      </c>
      <c r="J1080">
        <v>1</v>
      </c>
      <c r="L1080" s="46"/>
      <c r="P1080">
        <v>95</v>
      </c>
      <c r="Q1080">
        <v>0</v>
      </c>
      <c r="R1080">
        <v>0</v>
      </c>
      <c r="S1080" s="7">
        <f>Tabla1[[#This Row],[TARIFA]]+Tabla1[[#This Row],[IMPORTE EXTRAS]]</f>
        <v>95</v>
      </c>
      <c r="T1080" t="s">
        <v>45</v>
      </c>
      <c r="U1080">
        <v>50</v>
      </c>
      <c r="V1080">
        <v>45</v>
      </c>
      <c r="W1080">
        <v>0</v>
      </c>
      <c r="X1080" s="49">
        <v>0</v>
      </c>
      <c r="Y1080" s="49"/>
      <c r="Z1080" s="7">
        <f>SUM(Tabla1[[#This Row],[RES-A]:[EXTR-B]])</f>
        <v>95</v>
      </c>
      <c r="AA1080" s="7">
        <f>Tabla1[[#This Row],[Columna1]]-Tabla1[[#This Row],[IMPORTE TOTAL]]</f>
        <v>0</v>
      </c>
    </row>
    <row r="1081" spans="1:27" x14ac:dyDescent="0.2">
      <c r="A1081">
        <v>2025</v>
      </c>
      <c r="B1081" t="s">
        <v>57</v>
      </c>
      <c r="C1081" s="51">
        <v>45737</v>
      </c>
      <c r="D1081" s="3" t="s">
        <v>41</v>
      </c>
      <c r="E1081" s="3" t="s">
        <v>46</v>
      </c>
      <c r="F1081" s="3" t="s">
        <v>46</v>
      </c>
      <c r="G1081" s="4">
        <v>0.64583333333333337</v>
      </c>
      <c r="H1081" s="4">
        <v>0.85416666666666663</v>
      </c>
      <c r="I1081" t="s">
        <v>31</v>
      </c>
      <c r="J1081">
        <v>1</v>
      </c>
      <c r="L1081" s="46"/>
      <c r="P1081">
        <v>140</v>
      </c>
      <c r="Q1081">
        <v>0</v>
      </c>
      <c r="R1081">
        <v>0</v>
      </c>
      <c r="S1081" s="7">
        <f>Tabla1[[#This Row],[TARIFA]]+Tabla1[[#This Row],[IMPORTE EXTRAS]]</f>
        <v>140</v>
      </c>
      <c r="T1081" t="s">
        <v>45</v>
      </c>
      <c r="U1081">
        <v>50</v>
      </c>
      <c r="V1081">
        <v>90</v>
      </c>
      <c r="W1081">
        <v>0</v>
      </c>
      <c r="X1081" s="49">
        <v>0</v>
      </c>
      <c r="Y1081" s="49"/>
      <c r="Z1081" s="7">
        <f>SUM(Tabla1[[#This Row],[RES-A]:[EXTR-B]])</f>
        <v>140</v>
      </c>
      <c r="AA1081" s="7">
        <f>Tabla1[[#This Row],[Columna1]]-Tabla1[[#This Row],[IMPORTE TOTAL]]</f>
        <v>0</v>
      </c>
    </row>
    <row r="1082" spans="1:27" x14ac:dyDescent="0.2">
      <c r="A1082">
        <v>2025</v>
      </c>
      <c r="B1082" t="s">
        <v>57</v>
      </c>
      <c r="C1082" s="51">
        <v>45738</v>
      </c>
      <c r="D1082" s="3" t="s">
        <v>42</v>
      </c>
      <c r="E1082" s="3" t="s">
        <v>46</v>
      </c>
      <c r="F1082" s="3" t="s">
        <v>46</v>
      </c>
      <c r="G1082" s="4">
        <v>0.64583333333333337</v>
      </c>
      <c r="H1082" s="4">
        <v>0.85416666666666663</v>
      </c>
      <c r="I1082" t="s">
        <v>31</v>
      </c>
      <c r="J1082">
        <v>1</v>
      </c>
      <c r="L1082" s="46"/>
      <c r="P1082">
        <v>150</v>
      </c>
      <c r="Q1082">
        <v>0</v>
      </c>
      <c r="R1082">
        <v>0</v>
      </c>
      <c r="S1082" s="7">
        <f>Tabla1[[#This Row],[TARIFA]]+Tabla1[[#This Row],[IMPORTE EXTRAS]]</f>
        <v>150</v>
      </c>
      <c r="T1082" t="s">
        <v>45</v>
      </c>
      <c r="U1082">
        <v>50</v>
      </c>
      <c r="V1082">
        <v>100</v>
      </c>
      <c r="W1082">
        <v>0</v>
      </c>
      <c r="X1082" s="49">
        <v>0</v>
      </c>
      <c r="Y1082" s="49"/>
      <c r="Z1082" s="7">
        <f>SUM(Tabla1[[#This Row],[RES-A]:[EXTR-B]])</f>
        <v>150</v>
      </c>
      <c r="AA1082" s="7">
        <f>Tabla1[[#This Row],[Columna1]]-Tabla1[[#This Row],[IMPORTE TOTAL]]</f>
        <v>0</v>
      </c>
    </row>
    <row r="1083" spans="1:27" x14ac:dyDescent="0.2">
      <c r="A1083">
        <v>2025</v>
      </c>
      <c r="B1083" t="s">
        <v>57</v>
      </c>
      <c r="C1083" s="51">
        <v>45744</v>
      </c>
      <c r="D1083" s="3" t="s">
        <v>41</v>
      </c>
      <c r="E1083" s="3" t="s">
        <v>46</v>
      </c>
      <c r="F1083" s="3" t="s">
        <v>46</v>
      </c>
      <c r="G1083" s="4">
        <v>0.64583333333333337</v>
      </c>
      <c r="H1083" s="4">
        <v>0.10416666666666667</v>
      </c>
      <c r="I1083" t="s">
        <v>53</v>
      </c>
      <c r="J1083">
        <v>2</v>
      </c>
      <c r="L1083" s="46"/>
      <c r="P1083">
        <v>300</v>
      </c>
      <c r="Q1083">
        <v>0</v>
      </c>
      <c r="R1083">
        <v>0</v>
      </c>
      <c r="S1083" s="7">
        <f>Tabla1[[#This Row],[TARIFA]]+Tabla1[[#This Row],[IMPORTE EXTRAS]]</f>
        <v>300</v>
      </c>
      <c r="T1083" t="s">
        <v>45</v>
      </c>
      <c r="U1083">
        <v>50</v>
      </c>
      <c r="V1083">
        <v>250</v>
      </c>
      <c r="W1083">
        <v>0</v>
      </c>
      <c r="X1083" s="49">
        <v>0</v>
      </c>
      <c r="Y1083" s="49"/>
      <c r="Z1083" s="7">
        <f>SUM(Tabla1[[#This Row],[RES-A]:[EXTR-B]])</f>
        <v>300</v>
      </c>
      <c r="AA1083" s="7">
        <f>Tabla1[[#This Row],[Columna1]]-Tabla1[[#This Row],[IMPORTE TOTAL]]</f>
        <v>0</v>
      </c>
    </row>
    <row r="1084" spans="1:27" x14ac:dyDescent="0.2">
      <c r="A1084">
        <v>2025</v>
      </c>
      <c r="B1084" t="s">
        <v>57</v>
      </c>
      <c r="C1084" s="51">
        <v>45745</v>
      </c>
      <c r="D1084" s="3" t="s">
        <v>42</v>
      </c>
      <c r="E1084" s="3" t="s">
        <v>46</v>
      </c>
      <c r="F1084" s="3" t="s">
        <v>46</v>
      </c>
      <c r="G1084" s="4">
        <v>0.39583333333333331</v>
      </c>
      <c r="H1084" s="4">
        <v>0.60416666666666663</v>
      </c>
      <c r="I1084" t="s">
        <v>30</v>
      </c>
      <c r="J1084">
        <v>1</v>
      </c>
      <c r="L1084" s="46"/>
      <c r="P1084">
        <v>150</v>
      </c>
      <c r="Q1084">
        <v>0</v>
      </c>
      <c r="R1084">
        <v>0</v>
      </c>
      <c r="S1084" s="7">
        <f>Tabla1[[#This Row],[TARIFA]]+Tabla1[[#This Row],[IMPORTE EXTRAS]]</f>
        <v>150</v>
      </c>
      <c r="T1084" t="s">
        <v>45</v>
      </c>
      <c r="U1084">
        <v>50</v>
      </c>
      <c r="V1084">
        <v>100</v>
      </c>
      <c r="W1084">
        <v>0</v>
      </c>
      <c r="X1084" s="49">
        <v>0</v>
      </c>
      <c r="Y1084" s="49"/>
      <c r="Z1084" s="7">
        <f>SUM(Tabla1[[#This Row],[RES-A]:[EXTR-B]])</f>
        <v>150</v>
      </c>
      <c r="AA1084" s="7">
        <f>Tabla1[[#This Row],[Columna1]]-Tabla1[[#This Row],[IMPORTE TOTAL]]</f>
        <v>0</v>
      </c>
    </row>
    <row r="1085" spans="1:27" x14ac:dyDescent="0.2">
      <c r="A1085">
        <v>2025</v>
      </c>
      <c r="B1085" t="s">
        <v>57</v>
      </c>
      <c r="C1085" s="51">
        <v>45745</v>
      </c>
      <c r="D1085" s="3" t="s">
        <v>42</v>
      </c>
      <c r="E1085" s="3" t="s">
        <v>46</v>
      </c>
      <c r="F1085" s="3" t="s">
        <v>46</v>
      </c>
      <c r="G1085" s="4">
        <v>0.64583333333333337</v>
      </c>
      <c r="H1085" s="4">
        <v>0.85416666666666663</v>
      </c>
      <c r="I1085" t="s">
        <v>31</v>
      </c>
      <c r="J1085">
        <v>1</v>
      </c>
      <c r="L1085" s="46"/>
      <c r="P1085">
        <v>150</v>
      </c>
      <c r="Q1085">
        <v>0</v>
      </c>
      <c r="R1085">
        <v>0</v>
      </c>
      <c r="S1085" s="7">
        <f>Tabla1[[#This Row],[TARIFA]]+Tabla1[[#This Row],[IMPORTE EXTRAS]]</f>
        <v>150</v>
      </c>
      <c r="T1085" t="s">
        <v>45</v>
      </c>
      <c r="U1085">
        <v>50</v>
      </c>
      <c r="V1085">
        <v>100</v>
      </c>
      <c r="W1085">
        <v>0</v>
      </c>
      <c r="X1085" s="49">
        <v>0</v>
      </c>
      <c r="Y1085" s="49"/>
      <c r="Z1085" s="7">
        <f>SUM(Tabla1[[#This Row],[RES-A]:[EXTR-B]])</f>
        <v>150</v>
      </c>
      <c r="AA1085" s="7">
        <f>Tabla1[[#This Row],[Columna1]]-Tabla1[[#This Row],[IMPORTE TOTAL]]</f>
        <v>0</v>
      </c>
    </row>
    <row r="1086" spans="1:27" x14ac:dyDescent="0.2">
      <c r="A1086">
        <v>2025</v>
      </c>
      <c r="B1086" t="s">
        <v>57</v>
      </c>
      <c r="C1086" s="51">
        <v>45745</v>
      </c>
      <c r="D1086" s="3" t="s">
        <v>42</v>
      </c>
      <c r="E1086" s="3" t="s">
        <v>46</v>
      </c>
      <c r="F1086" s="3" t="s">
        <v>46</v>
      </c>
      <c r="G1086" s="4">
        <v>0.89583333333333337</v>
      </c>
      <c r="H1086" s="4">
        <v>0.10416666666666667</v>
      </c>
      <c r="I1086" t="s">
        <v>35</v>
      </c>
      <c r="J1086">
        <v>1</v>
      </c>
      <c r="L1086" s="46"/>
      <c r="P1086">
        <v>200</v>
      </c>
      <c r="Q1086">
        <v>0</v>
      </c>
      <c r="R1086">
        <v>0</v>
      </c>
      <c r="S1086" s="7">
        <f>Tabla1[[#This Row],[TARIFA]]+Tabla1[[#This Row],[IMPORTE EXTRAS]]</f>
        <v>200</v>
      </c>
      <c r="T1086" t="s">
        <v>45</v>
      </c>
      <c r="U1086">
        <v>50</v>
      </c>
      <c r="V1086">
        <v>150</v>
      </c>
      <c r="W1086">
        <v>0</v>
      </c>
      <c r="X1086" s="49">
        <v>0</v>
      </c>
      <c r="Y1086" s="49"/>
      <c r="Z1086" s="7">
        <f>SUM(Tabla1[[#This Row],[RES-A]:[EXTR-B]])</f>
        <v>200</v>
      </c>
      <c r="AA1086" s="7">
        <f>Tabla1[[#This Row],[Columna1]]-Tabla1[[#This Row],[IMPORTE TOTAL]]</f>
        <v>0</v>
      </c>
    </row>
    <row r="1087" spans="1:27" x14ac:dyDescent="0.2">
      <c r="A1087">
        <v>2025</v>
      </c>
      <c r="B1087" t="s">
        <v>57</v>
      </c>
      <c r="C1087" s="51">
        <v>45746</v>
      </c>
      <c r="D1087" s="3" t="s">
        <v>43</v>
      </c>
      <c r="E1087" s="3" t="s">
        <v>46</v>
      </c>
      <c r="F1087" s="3" t="s">
        <v>46</v>
      </c>
      <c r="G1087" s="4">
        <v>0.39583333333333331</v>
      </c>
      <c r="H1087" s="4">
        <v>0.60416666666666663</v>
      </c>
      <c r="I1087" t="s">
        <v>30</v>
      </c>
      <c r="J1087">
        <v>1</v>
      </c>
      <c r="L1087" s="46"/>
      <c r="P1087">
        <v>150</v>
      </c>
      <c r="Q1087">
        <v>0</v>
      </c>
      <c r="R1087">
        <v>0</v>
      </c>
      <c r="S1087" s="7">
        <f>Tabla1[[#This Row],[TARIFA]]+Tabla1[[#This Row],[IMPORTE EXTRAS]]</f>
        <v>150</v>
      </c>
      <c r="T1087" t="s">
        <v>45</v>
      </c>
      <c r="U1087">
        <v>50</v>
      </c>
      <c r="V1087">
        <v>100</v>
      </c>
      <c r="W1087">
        <v>0</v>
      </c>
      <c r="X1087" s="49">
        <v>0</v>
      </c>
      <c r="Y1087" s="49"/>
      <c r="Z1087" s="7">
        <f>SUM(Tabla1[[#This Row],[RES-A]:[EXTR-B]])</f>
        <v>150</v>
      </c>
      <c r="AA1087" s="7">
        <f>Tabla1[[#This Row],[Columna1]]-Tabla1[[#This Row],[IMPORTE TOTAL]]</f>
        <v>0</v>
      </c>
    </row>
    <row r="1088" spans="1:27" x14ac:dyDescent="0.2">
      <c r="A1088">
        <v>2025</v>
      </c>
      <c r="B1088" t="s">
        <v>57</v>
      </c>
      <c r="C1088" s="51">
        <v>45746</v>
      </c>
      <c r="D1088" s="3" t="s">
        <v>43</v>
      </c>
      <c r="E1088" s="3" t="s">
        <v>46</v>
      </c>
      <c r="F1088" s="3" t="s">
        <v>46</v>
      </c>
      <c r="G1088" s="4">
        <v>0.64583333333333337</v>
      </c>
      <c r="H1088" s="4">
        <v>0.85416666666666663</v>
      </c>
      <c r="I1088" t="s">
        <v>31</v>
      </c>
      <c r="J1088">
        <v>1</v>
      </c>
      <c r="L1088" s="46"/>
      <c r="P1088">
        <v>150</v>
      </c>
      <c r="Q1088">
        <v>0</v>
      </c>
      <c r="R1088">
        <v>0</v>
      </c>
      <c r="S1088" s="7">
        <f>Tabla1[[#This Row],[TARIFA]]+Tabla1[[#This Row],[IMPORTE EXTRAS]]</f>
        <v>150</v>
      </c>
      <c r="T1088" t="s">
        <v>45</v>
      </c>
      <c r="U1088">
        <v>50</v>
      </c>
      <c r="V1088">
        <v>100</v>
      </c>
      <c r="W1088">
        <v>0</v>
      </c>
      <c r="X1088" s="49">
        <v>0</v>
      </c>
      <c r="Y1088" s="49"/>
      <c r="Z1088" s="7">
        <f>SUM(Tabla1[[#This Row],[RES-A]:[EXTR-B]])</f>
        <v>150</v>
      </c>
      <c r="AA1088" s="7">
        <f>Tabla1[[#This Row],[Columna1]]-Tabla1[[#This Row],[IMPORTE TOTAL]]</f>
        <v>0</v>
      </c>
    </row>
    <row r="1089" spans="1:27" x14ac:dyDescent="0.2">
      <c r="A1089">
        <v>2025</v>
      </c>
      <c r="B1089" t="s">
        <v>58</v>
      </c>
      <c r="C1089" s="51">
        <v>45748</v>
      </c>
      <c r="D1089" s="3" t="s">
        <v>38</v>
      </c>
      <c r="E1089" s="3" t="s">
        <v>46</v>
      </c>
      <c r="F1089" s="3" t="s">
        <v>46</v>
      </c>
      <c r="G1089" s="4">
        <v>0.64583333333333337</v>
      </c>
      <c r="H1089" s="4">
        <v>0.85416666666666663</v>
      </c>
      <c r="I1089" t="s">
        <v>31</v>
      </c>
      <c r="J1089">
        <v>1</v>
      </c>
      <c r="L1089" s="46"/>
      <c r="P1089">
        <v>95</v>
      </c>
      <c r="Q1089">
        <v>0</v>
      </c>
      <c r="R1089">
        <v>0</v>
      </c>
      <c r="S1089" s="7">
        <f>Tabla1[[#This Row],[TARIFA]]+Tabla1[[#This Row],[IMPORTE EXTRAS]]</f>
        <v>95</v>
      </c>
      <c r="T1089" t="s">
        <v>45</v>
      </c>
      <c r="U1089">
        <v>50</v>
      </c>
      <c r="V1089">
        <v>45</v>
      </c>
      <c r="W1089">
        <v>0</v>
      </c>
      <c r="X1089" s="49">
        <v>0</v>
      </c>
      <c r="Y1089" s="49"/>
      <c r="Z1089" s="7">
        <f>SUM(Tabla1[[#This Row],[RES-A]:[EXTR-B]])</f>
        <v>95</v>
      </c>
      <c r="AA1089" s="7">
        <f>Tabla1[[#This Row],[Columna1]]-Tabla1[[#This Row],[IMPORTE TOTAL]]</f>
        <v>0</v>
      </c>
    </row>
    <row r="1090" spans="1:27" x14ac:dyDescent="0.2">
      <c r="A1090">
        <v>2025</v>
      </c>
      <c r="B1090" t="s">
        <v>58</v>
      </c>
      <c r="C1090" s="51">
        <v>45751</v>
      </c>
      <c r="D1090" s="3" t="s">
        <v>41</v>
      </c>
      <c r="E1090" s="3" t="s">
        <v>46</v>
      </c>
      <c r="F1090" s="3" t="s">
        <v>46</v>
      </c>
      <c r="G1090" s="4">
        <v>0.89583333333333337</v>
      </c>
      <c r="H1090" s="4">
        <v>0.10416666666666667</v>
      </c>
      <c r="I1090" t="s">
        <v>35</v>
      </c>
      <c r="J1090">
        <v>1</v>
      </c>
      <c r="L1090" s="46"/>
      <c r="P1090">
        <v>200</v>
      </c>
      <c r="Q1090">
        <v>0</v>
      </c>
      <c r="R1090">
        <v>0</v>
      </c>
      <c r="S1090" s="7">
        <f>Tabla1[[#This Row],[TARIFA]]+Tabla1[[#This Row],[IMPORTE EXTRAS]]</f>
        <v>200</v>
      </c>
      <c r="T1090" t="s">
        <v>45</v>
      </c>
      <c r="U1090">
        <v>50</v>
      </c>
      <c r="V1090">
        <v>150</v>
      </c>
      <c r="W1090">
        <v>0</v>
      </c>
      <c r="X1090" s="49">
        <v>0</v>
      </c>
      <c r="Y1090" s="49"/>
      <c r="Z1090" s="7">
        <f>SUM(Tabla1[[#This Row],[RES-A]:[EXTR-B]])</f>
        <v>200</v>
      </c>
      <c r="AA1090" s="7">
        <f>Tabla1[[#This Row],[Columna1]]-Tabla1[[#This Row],[IMPORTE TOTAL]]</f>
        <v>0</v>
      </c>
    </row>
    <row r="1091" spans="1:27" x14ac:dyDescent="0.2">
      <c r="A1091">
        <v>2025</v>
      </c>
      <c r="B1091" t="s">
        <v>58</v>
      </c>
      <c r="C1091" s="51">
        <v>45752</v>
      </c>
      <c r="D1091" s="3" t="s">
        <v>42</v>
      </c>
      <c r="E1091" s="3" t="s">
        <v>46</v>
      </c>
      <c r="F1091" s="3" t="s">
        <v>46</v>
      </c>
      <c r="G1091" s="4">
        <v>0.39583333333333331</v>
      </c>
      <c r="H1091" s="4">
        <v>0.60416666666666663</v>
      </c>
      <c r="I1091" t="s">
        <v>30</v>
      </c>
      <c r="J1091">
        <v>1</v>
      </c>
      <c r="L1091" s="46"/>
      <c r="P1091">
        <v>150</v>
      </c>
      <c r="Q1091">
        <v>0</v>
      </c>
      <c r="R1091">
        <v>0</v>
      </c>
      <c r="S1091" s="7">
        <f>Tabla1[[#This Row],[TARIFA]]+Tabla1[[#This Row],[IMPORTE EXTRAS]]</f>
        <v>150</v>
      </c>
      <c r="T1091" t="s">
        <v>45</v>
      </c>
      <c r="U1091">
        <v>50</v>
      </c>
      <c r="V1091">
        <v>100</v>
      </c>
      <c r="W1091">
        <v>0</v>
      </c>
      <c r="X1091" s="49">
        <v>0</v>
      </c>
      <c r="Y1091" s="49"/>
      <c r="Z1091" s="7">
        <f>SUM(Tabla1[[#This Row],[RES-A]:[EXTR-B]])</f>
        <v>150</v>
      </c>
      <c r="AA1091" s="7">
        <f>Tabla1[[#This Row],[Columna1]]-Tabla1[[#This Row],[IMPORTE TOTAL]]</f>
        <v>0</v>
      </c>
    </row>
    <row r="1092" spans="1:27" x14ac:dyDescent="0.2">
      <c r="A1092">
        <v>2025</v>
      </c>
      <c r="B1092" t="s">
        <v>58</v>
      </c>
      <c r="C1092" s="51">
        <v>45752</v>
      </c>
      <c r="D1092" s="3" t="s">
        <v>42</v>
      </c>
      <c r="E1092" s="3" t="s">
        <v>46</v>
      </c>
      <c r="F1092" s="3" t="s">
        <v>46</v>
      </c>
      <c r="G1092" s="4">
        <v>0.64583333333333337</v>
      </c>
      <c r="H1092" s="4">
        <v>0.85416666666666663</v>
      </c>
      <c r="I1092" t="s">
        <v>31</v>
      </c>
      <c r="J1092">
        <v>1</v>
      </c>
      <c r="L1092" s="46"/>
      <c r="P1092">
        <v>150</v>
      </c>
      <c r="Q1092">
        <v>0</v>
      </c>
      <c r="R1092">
        <v>0</v>
      </c>
      <c r="S1092" s="7">
        <f>Tabla1[[#This Row],[TARIFA]]+Tabla1[[#This Row],[IMPORTE EXTRAS]]</f>
        <v>150</v>
      </c>
      <c r="T1092" t="s">
        <v>45</v>
      </c>
      <c r="U1092">
        <v>50</v>
      </c>
      <c r="V1092">
        <v>100</v>
      </c>
      <c r="W1092">
        <v>0</v>
      </c>
      <c r="X1092" s="49">
        <v>0</v>
      </c>
      <c r="Y1092" s="49"/>
      <c r="Z1092" s="7">
        <f>SUM(Tabla1[[#This Row],[RES-A]:[EXTR-B]])</f>
        <v>150</v>
      </c>
      <c r="AA1092" s="7">
        <f>Tabla1[[#This Row],[Columna1]]-Tabla1[[#This Row],[IMPORTE TOTAL]]</f>
        <v>0</v>
      </c>
    </row>
    <row r="1093" spans="1:27" x14ac:dyDescent="0.2">
      <c r="A1093">
        <v>2025</v>
      </c>
      <c r="B1093" t="s">
        <v>58</v>
      </c>
      <c r="C1093" s="51">
        <v>45752</v>
      </c>
      <c r="D1093" s="3" t="s">
        <v>42</v>
      </c>
      <c r="E1093" s="3" t="s">
        <v>46</v>
      </c>
      <c r="F1093" s="3" t="s">
        <v>46</v>
      </c>
      <c r="G1093" s="4">
        <v>0.89583333333333337</v>
      </c>
      <c r="H1093" s="4">
        <v>0.10416666666666667</v>
      </c>
      <c r="I1093" t="s">
        <v>35</v>
      </c>
      <c r="J1093">
        <v>1</v>
      </c>
      <c r="L1093" s="46"/>
      <c r="P1093">
        <v>200</v>
      </c>
      <c r="Q1093">
        <v>0</v>
      </c>
      <c r="R1093">
        <v>0</v>
      </c>
      <c r="S1093" s="7">
        <f>Tabla1[[#This Row],[TARIFA]]+Tabla1[[#This Row],[IMPORTE EXTRAS]]</f>
        <v>200</v>
      </c>
      <c r="T1093" t="s">
        <v>45</v>
      </c>
      <c r="U1093">
        <v>50</v>
      </c>
      <c r="V1093">
        <v>150</v>
      </c>
      <c r="W1093">
        <v>0</v>
      </c>
      <c r="X1093" s="49">
        <v>0</v>
      </c>
      <c r="Y1093" s="49"/>
      <c r="Z1093" s="7">
        <f>SUM(Tabla1[[#This Row],[RES-A]:[EXTR-B]])</f>
        <v>200</v>
      </c>
      <c r="AA1093" s="7">
        <f>Tabla1[[#This Row],[Columna1]]-Tabla1[[#This Row],[IMPORTE TOTAL]]</f>
        <v>0</v>
      </c>
    </row>
    <row r="1094" spans="1:27" x14ac:dyDescent="0.2">
      <c r="A1094">
        <v>2025</v>
      </c>
      <c r="B1094" t="s">
        <v>58</v>
      </c>
      <c r="C1094" s="51">
        <v>45753</v>
      </c>
      <c r="D1094" s="3" t="s">
        <v>43</v>
      </c>
      <c r="E1094" s="3" t="s">
        <v>46</v>
      </c>
      <c r="F1094" s="3" t="s">
        <v>46</v>
      </c>
      <c r="G1094" s="4">
        <v>0.64583333333333337</v>
      </c>
      <c r="H1094" s="4">
        <v>0.85416666666666663</v>
      </c>
      <c r="I1094" t="s">
        <v>31</v>
      </c>
      <c r="J1094">
        <v>1</v>
      </c>
      <c r="L1094" s="46"/>
      <c r="P1094">
        <v>150</v>
      </c>
      <c r="Q1094">
        <v>0</v>
      </c>
      <c r="R1094">
        <v>0</v>
      </c>
      <c r="S1094" s="7">
        <f>Tabla1[[#This Row],[TARIFA]]+Tabla1[[#This Row],[IMPORTE EXTRAS]]</f>
        <v>150</v>
      </c>
      <c r="T1094" t="s">
        <v>45</v>
      </c>
      <c r="U1094">
        <v>50</v>
      </c>
      <c r="V1094">
        <v>100</v>
      </c>
      <c r="W1094">
        <v>0</v>
      </c>
      <c r="X1094" s="49">
        <v>0</v>
      </c>
      <c r="Y1094" s="49"/>
      <c r="Z1094" s="7">
        <f>SUM(Tabla1[[#This Row],[RES-A]:[EXTR-B]])</f>
        <v>150</v>
      </c>
      <c r="AA1094" s="7">
        <f>Tabla1[[#This Row],[Columna1]]-Tabla1[[#This Row],[IMPORTE TOTAL]]</f>
        <v>0</v>
      </c>
    </row>
    <row r="1095" spans="1:27" x14ac:dyDescent="0.2">
      <c r="A1095">
        <v>2025</v>
      </c>
      <c r="B1095" t="s">
        <v>58</v>
      </c>
      <c r="C1095" s="51">
        <v>45754</v>
      </c>
      <c r="D1095" s="3" t="s">
        <v>37</v>
      </c>
      <c r="E1095" s="3" t="s">
        <v>46</v>
      </c>
      <c r="F1095" s="3" t="s">
        <v>46</v>
      </c>
      <c r="G1095" s="4">
        <v>0.64583333333333337</v>
      </c>
      <c r="H1095" s="4">
        <v>0.85416666666666663</v>
      </c>
      <c r="I1095" t="s">
        <v>31</v>
      </c>
      <c r="J1095">
        <v>1</v>
      </c>
      <c r="L1095" s="46"/>
      <c r="P1095">
        <v>95</v>
      </c>
      <c r="Q1095">
        <v>0</v>
      </c>
      <c r="R1095">
        <v>0</v>
      </c>
      <c r="S1095" s="7">
        <f>Tabla1[[#This Row],[TARIFA]]+Tabla1[[#This Row],[IMPORTE EXTRAS]]</f>
        <v>95</v>
      </c>
      <c r="T1095" t="s">
        <v>45</v>
      </c>
      <c r="U1095">
        <v>50</v>
      </c>
      <c r="V1095">
        <v>45</v>
      </c>
      <c r="W1095">
        <v>0</v>
      </c>
      <c r="X1095" s="49">
        <v>0</v>
      </c>
      <c r="Y1095" s="49"/>
      <c r="Z1095" s="7">
        <f>SUM(Tabla1[[#This Row],[RES-A]:[EXTR-B]])</f>
        <v>95</v>
      </c>
      <c r="AA1095" s="7">
        <f>Tabla1[[#This Row],[Columna1]]-Tabla1[[#This Row],[IMPORTE TOTAL]]</f>
        <v>0</v>
      </c>
    </row>
    <row r="1096" spans="1:27" x14ac:dyDescent="0.2">
      <c r="A1096">
        <v>2025</v>
      </c>
      <c r="B1096" t="s">
        <v>58</v>
      </c>
      <c r="C1096" s="51">
        <v>45759</v>
      </c>
      <c r="D1096" s="3" t="s">
        <v>42</v>
      </c>
      <c r="E1096" s="3" t="s">
        <v>46</v>
      </c>
      <c r="F1096" s="3" t="s">
        <v>46</v>
      </c>
      <c r="G1096" s="4">
        <v>0.39583333333333331</v>
      </c>
      <c r="H1096" s="4">
        <v>0.60416666666666663</v>
      </c>
      <c r="I1096" t="s">
        <v>30</v>
      </c>
      <c r="J1096">
        <v>1</v>
      </c>
      <c r="L1096" s="46"/>
      <c r="P1096">
        <v>150</v>
      </c>
      <c r="Q1096">
        <v>0</v>
      </c>
      <c r="R1096">
        <v>0</v>
      </c>
      <c r="S1096" s="7">
        <f>Tabla1[[#This Row],[TARIFA]]+Tabla1[[#This Row],[IMPORTE EXTRAS]]</f>
        <v>150</v>
      </c>
      <c r="T1096" t="s">
        <v>45</v>
      </c>
      <c r="U1096">
        <v>50</v>
      </c>
      <c r="V1096">
        <v>100</v>
      </c>
      <c r="W1096">
        <v>0</v>
      </c>
      <c r="X1096" s="49">
        <v>0</v>
      </c>
      <c r="Y1096" s="49"/>
      <c r="Z1096" s="7">
        <f>SUM(Tabla1[[#This Row],[RES-A]:[EXTR-B]])</f>
        <v>150</v>
      </c>
      <c r="AA1096" s="7">
        <f>Tabla1[[#This Row],[Columna1]]-Tabla1[[#This Row],[IMPORTE TOTAL]]</f>
        <v>0</v>
      </c>
    </row>
    <row r="1097" spans="1:27" x14ac:dyDescent="0.2">
      <c r="A1097">
        <v>2025</v>
      </c>
      <c r="B1097" t="s">
        <v>58</v>
      </c>
      <c r="C1097" s="51">
        <v>45759</v>
      </c>
      <c r="D1097" s="3" t="s">
        <v>42</v>
      </c>
      <c r="E1097" s="3" t="s">
        <v>46</v>
      </c>
      <c r="F1097" s="3" t="s">
        <v>46</v>
      </c>
      <c r="G1097" s="4">
        <v>0.64583333333333337</v>
      </c>
      <c r="H1097" s="4">
        <v>0.85416666666666663</v>
      </c>
      <c r="I1097" t="s">
        <v>31</v>
      </c>
      <c r="J1097">
        <v>1</v>
      </c>
      <c r="L1097" s="46"/>
      <c r="P1097">
        <v>150</v>
      </c>
      <c r="Q1097">
        <v>0</v>
      </c>
      <c r="R1097">
        <v>0</v>
      </c>
      <c r="S1097" s="7">
        <f>Tabla1[[#This Row],[TARIFA]]+Tabla1[[#This Row],[IMPORTE EXTRAS]]</f>
        <v>150</v>
      </c>
      <c r="T1097" t="s">
        <v>45</v>
      </c>
      <c r="U1097">
        <v>150</v>
      </c>
      <c r="V1097">
        <v>0</v>
      </c>
      <c r="W1097">
        <v>0</v>
      </c>
      <c r="X1097" s="49">
        <v>0</v>
      </c>
      <c r="Y1097" s="49"/>
      <c r="Z1097" s="7">
        <f>SUM(Tabla1[[#This Row],[RES-A]:[EXTR-B]])</f>
        <v>150</v>
      </c>
      <c r="AA1097" s="7">
        <f>Tabla1[[#This Row],[Columna1]]-Tabla1[[#This Row],[IMPORTE TOTAL]]</f>
        <v>0</v>
      </c>
    </row>
    <row r="1098" spans="1:27" x14ac:dyDescent="0.2">
      <c r="A1098">
        <v>2025</v>
      </c>
      <c r="B1098" t="s">
        <v>58</v>
      </c>
      <c r="C1098" s="51">
        <v>45759</v>
      </c>
      <c r="D1098" s="3" t="s">
        <v>42</v>
      </c>
      <c r="E1098" s="3" t="s">
        <v>46</v>
      </c>
      <c r="F1098" s="3" t="s">
        <v>46</v>
      </c>
      <c r="G1098" s="4">
        <v>0.89583333333333337</v>
      </c>
      <c r="H1098" s="4">
        <v>0.10416666666666667</v>
      </c>
      <c r="I1098" t="s">
        <v>35</v>
      </c>
      <c r="J1098">
        <v>1</v>
      </c>
      <c r="L1098" s="46"/>
      <c r="P1098">
        <v>200</v>
      </c>
      <c r="Q1098">
        <v>1</v>
      </c>
      <c r="R1098">
        <v>60</v>
      </c>
      <c r="S1098" s="7">
        <f>Tabla1[[#This Row],[TARIFA]]+Tabla1[[#This Row],[IMPORTE EXTRAS]]</f>
        <v>260</v>
      </c>
      <c r="T1098" t="s">
        <v>45</v>
      </c>
      <c r="U1098">
        <v>50</v>
      </c>
      <c r="V1098">
        <v>150</v>
      </c>
      <c r="W1098">
        <v>0</v>
      </c>
      <c r="X1098" s="49">
        <v>60</v>
      </c>
      <c r="Y1098" s="49"/>
      <c r="Z1098" s="7">
        <f>SUM(Tabla1[[#This Row],[RES-A]:[EXTR-B]])</f>
        <v>260</v>
      </c>
      <c r="AA1098" s="7">
        <f>Tabla1[[#This Row],[Columna1]]-Tabla1[[#This Row],[IMPORTE TOTAL]]</f>
        <v>0</v>
      </c>
    </row>
    <row r="1099" spans="1:27" x14ac:dyDescent="0.2">
      <c r="A1099">
        <v>2025</v>
      </c>
      <c r="B1099" t="s">
        <v>58</v>
      </c>
      <c r="C1099" s="51">
        <v>45760</v>
      </c>
      <c r="D1099" s="3" t="s">
        <v>43</v>
      </c>
      <c r="E1099" s="3" t="s">
        <v>46</v>
      </c>
      <c r="F1099" s="3" t="s">
        <v>46</v>
      </c>
      <c r="G1099" s="4">
        <v>0.39583333333333331</v>
      </c>
      <c r="H1099" s="4">
        <v>0.60416666666666663</v>
      </c>
      <c r="I1099" t="s">
        <v>30</v>
      </c>
      <c r="J1099">
        <v>1</v>
      </c>
      <c r="L1099" s="46"/>
      <c r="P1099">
        <v>150</v>
      </c>
      <c r="Q1099">
        <v>0</v>
      </c>
      <c r="R1099">
        <v>0</v>
      </c>
      <c r="S1099" s="7">
        <f>Tabla1[[#This Row],[TARIFA]]+Tabla1[[#This Row],[IMPORTE EXTRAS]]</f>
        <v>150</v>
      </c>
      <c r="T1099" t="s">
        <v>45</v>
      </c>
      <c r="U1099">
        <v>50</v>
      </c>
      <c r="V1099">
        <v>100</v>
      </c>
      <c r="W1099">
        <v>0</v>
      </c>
      <c r="X1099" s="49">
        <v>0</v>
      </c>
      <c r="Y1099" s="49"/>
      <c r="Z1099" s="7">
        <f>SUM(Tabla1[[#This Row],[RES-A]:[EXTR-B]])</f>
        <v>150</v>
      </c>
      <c r="AA1099" s="7">
        <f>Tabla1[[#This Row],[Columna1]]-Tabla1[[#This Row],[IMPORTE TOTAL]]</f>
        <v>0</v>
      </c>
    </row>
    <row r="1100" spans="1:27" x14ac:dyDescent="0.2">
      <c r="A1100">
        <v>2025</v>
      </c>
      <c r="B1100" t="s">
        <v>58</v>
      </c>
      <c r="C1100" s="51">
        <v>45760</v>
      </c>
      <c r="D1100" s="3" t="s">
        <v>43</v>
      </c>
      <c r="E1100" s="3" t="s">
        <v>46</v>
      </c>
      <c r="F1100" s="3" t="s">
        <v>46</v>
      </c>
      <c r="G1100" s="4">
        <v>0.64583333333333337</v>
      </c>
      <c r="H1100" s="4">
        <v>0.85416666666666663</v>
      </c>
      <c r="I1100" t="s">
        <v>31</v>
      </c>
      <c r="J1100">
        <v>1</v>
      </c>
      <c r="L1100" s="46"/>
      <c r="P1100">
        <v>150</v>
      </c>
      <c r="Q1100">
        <v>0</v>
      </c>
      <c r="R1100">
        <v>0</v>
      </c>
      <c r="S1100" s="7">
        <f>Tabla1[[#This Row],[TARIFA]]+Tabla1[[#This Row],[IMPORTE EXTRAS]]</f>
        <v>150</v>
      </c>
      <c r="T1100" t="s">
        <v>45</v>
      </c>
      <c r="U1100">
        <v>50</v>
      </c>
      <c r="V1100">
        <v>100</v>
      </c>
      <c r="W1100">
        <v>0</v>
      </c>
      <c r="X1100" s="49">
        <v>0</v>
      </c>
      <c r="Y1100" s="49"/>
      <c r="Z1100" s="7">
        <f>SUM(Tabla1[[#This Row],[RES-A]:[EXTR-B]])</f>
        <v>150</v>
      </c>
      <c r="AA1100" s="7">
        <f>Tabla1[[#This Row],[Columna1]]-Tabla1[[#This Row],[IMPORTE TOTAL]]</f>
        <v>0</v>
      </c>
    </row>
    <row r="1101" spans="1:27" x14ac:dyDescent="0.2">
      <c r="A1101">
        <v>2025</v>
      </c>
      <c r="B1101" t="s">
        <v>58</v>
      </c>
      <c r="C1101" s="51">
        <v>45764</v>
      </c>
      <c r="D1101" s="3" t="s">
        <v>40</v>
      </c>
      <c r="E1101" s="3" t="s">
        <v>46</v>
      </c>
      <c r="F1101" s="3" t="s">
        <v>46</v>
      </c>
      <c r="G1101" s="4">
        <v>0.89583333333333337</v>
      </c>
      <c r="H1101" s="4">
        <v>0.10416666666666667</v>
      </c>
      <c r="I1101" t="s">
        <v>35</v>
      </c>
      <c r="J1101">
        <v>1</v>
      </c>
      <c r="L1101" s="46"/>
      <c r="P1101">
        <v>200</v>
      </c>
      <c r="Q1101">
        <v>1</v>
      </c>
      <c r="R1101">
        <v>60</v>
      </c>
      <c r="S1101" s="7">
        <f>Tabla1[[#This Row],[TARIFA]]+Tabla1[[#This Row],[IMPORTE EXTRAS]]</f>
        <v>260</v>
      </c>
      <c r="T1101" t="s">
        <v>45</v>
      </c>
      <c r="U1101">
        <v>50</v>
      </c>
      <c r="V1101">
        <v>150</v>
      </c>
      <c r="W1101">
        <v>0</v>
      </c>
      <c r="X1101" s="49">
        <v>60</v>
      </c>
      <c r="Y1101" s="49"/>
      <c r="Z1101" s="7">
        <f>SUM(Tabla1[[#This Row],[RES-A]:[EXTR-B]])</f>
        <v>260</v>
      </c>
      <c r="AA1101" s="7">
        <f>Tabla1[[#This Row],[Columna1]]-Tabla1[[#This Row],[IMPORTE TOTAL]]</f>
        <v>0</v>
      </c>
    </row>
    <row r="1102" spans="1:27" x14ac:dyDescent="0.2">
      <c r="A1102">
        <v>2025</v>
      </c>
      <c r="B1102" t="s">
        <v>58</v>
      </c>
      <c r="C1102" s="51">
        <v>45767</v>
      </c>
      <c r="D1102" s="3" t="s">
        <v>43</v>
      </c>
      <c r="E1102" s="3" t="s">
        <v>46</v>
      </c>
      <c r="F1102" s="3" t="s">
        <v>46</v>
      </c>
      <c r="G1102" s="4">
        <v>0.39583333333333331</v>
      </c>
      <c r="H1102" s="4">
        <v>0.60416666666666663</v>
      </c>
      <c r="I1102" t="s">
        <v>30</v>
      </c>
      <c r="J1102">
        <v>1</v>
      </c>
      <c r="L1102" s="46"/>
      <c r="P1102">
        <v>150</v>
      </c>
      <c r="Q1102">
        <v>0</v>
      </c>
      <c r="R1102">
        <v>0</v>
      </c>
      <c r="S1102" s="7">
        <f>Tabla1[[#This Row],[TARIFA]]+Tabla1[[#This Row],[IMPORTE EXTRAS]]</f>
        <v>150</v>
      </c>
      <c r="T1102" t="s">
        <v>45</v>
      </c>
      <c r="U1102">
        <v>50</v>
      </c>
      <c r="V1102">
        <v>100</v>
      </c>
      <c r="W1102">
        <v>0</v>
      </c>
      <c r="X1102" s="49">
        <v>0</v>
      </c>
      <c r="Y1102" s="49"/>
      <c r="Z1102" s="7">
        <f>SUM(Tabla1[[#This Row],[RES-A]:[EXTR-B]])</f>
        <v>150</v>
      </c>
      <c r="AA1102" s="7">
        <f>Tabla1[[#This Row],[Columna1]]-Tabla1[[#This Row],[IMPORTE TOTAL]]</f>
        <v>0</v>
      </c>
    </row>
    <row r="1103" spans="1:27" x14ac:dyDescent="0.2">
      <c r="A1103">
        <v>2025</v>
      </c>
      <c r="B1103" t="s">
        <v>58</v>
      </c>
      <c r="C1103" s="51">
        <v>45767</v>
      </c>
      <c r="D1103" s="3" t="s">
        <v>43</v>
      </c>
      <c r="E1103" s="3" t="s">
        <v>46</v>
      </c>
      <c r="F1103" s="3" t="s">
        <v>46</v>
      </c>
      <c r="G1103" s="4">
        <v>0.64583333333333337</v>
      </c>
      <c r="H1103" s="4">
        <v>0.85416666666666663</v>
      </c>
      <c r="I1103" t="s">
        <v>31</v>
      </c>
      <c r="J1103">
        <v>1</v>
      </c>
      <c r="L1103" s="46"/>
      <c r="P1103">
        <v>150</v>
      </c>
      <c r="Q1103">
        <v>0</v>
      </c>
      <c r="R1103">
        <v>0</v>
      </c>
      <c r="S1103" s="7">
        <f>Tabla1[[#This Row],[TARIFA]]+Tabla1[[#This Row],[IMPORTE EXTRAS]]</f>
        <v>150</v>
      </c>
      <c r="T1103" t="s">
        <v>45</v>
      </c>
      <c r="U1103">
        <v>50</v>
      </c>
      <c r="V1103">
        <v>100</v>
      </c>
      <c r="W1103">
        <v>0</v>
      </c>
      <c r="X1103" s="49">
        <v>0</v>
      </c>
      <c r="Y1103" s="49"/>
      <c r="Z1103" s="7">
        <f>SUM(Tabla1[[#This Row],[RES-A]:[EXTR-B]])</f>
        <v>150</v>
      </c>
      <c r="AA1103" s="7">
        <f>Tabla1[[#This Row],[Columna1]]-Tabla1[[#This Row],[IMPORTE TOTAL]]</f>
        <v>0</v>
      </c>
    </row>
    <row r="1104" spans="1:27" x14ac:dyDescent="0.2">
      <c r="A1104">
        <v>2025</v>
      </c>
      <c r="B1104" t="s">
        <v>58</v>
      </c>
      <c r="C1104" s="51">
        <v>45769</v>
      </c>
      <c r="D1104" s="3" t="s">
        <v>37</v>
      </c>
      <c r="E1104" s="3" t="s">
        <v>46</v>
      </c>
      <c r="F1104" s="3" t="s">
        <v>46</v>
      </c>
      <c r="G1104" s="4">
        <v>0.64583333333333337</v>
      </c>
      <c r="H1104" s="4">
        <v>0.85416666666666663</v>
      </c>
      <c r="I1104" t="s">
        <v>31</v>
      </c>
      <c r="J1104">
        <v>1</v>
      </c>
      <c r="L1104" s="46"/>
      <c r="P1104">
        <v>95</v>
      </c>
      <c r="Q1104">
        <v>0</v>
      </c>
      <c r="R1104">
        <v>0</v>
      </c>
      <c r="S1104" s="7">
        <f>Tabla1[[#This Row],[TARIFA]]+Tabla1[[#This Row],[IMPORTE EXTRAS]]</f>
        <v>95</v>
      </c>
      <c r="T1104" t="s">
        <v>45</v>
      </c>
      <c r="U1104">
        <v>50</v>
      </c>
      <c r="V1104">
        <v>45</v>
      </c>
      <c r="W1104">
        <v>0</v>
      </c>
      <c r="X1104" s="49">
        <v>0</v>
      </c>
      <c r="Y1104" s="49"/>
      <c r="Z1104" s="7">
        <f>SUM(Tabla1[[#This Row],[RES-A]:[EXTR-B]])</f>
        <v>95</v>
      </c>
      <c r="AA1104" s="7">
        <f>Tabla1[[#This Row],[Columna1]]-Tabla1[[#This Row],[IMPORTE TOTAL]]</f>
        <v>0</v>
      </c>
    </row>
    <row r="1105" spans="1:27" x14ac:dyDescent="0.2">
      <c r="A1105">
        <v>2025</v>
      </c>
      <c r="B1105" t="s">
        <v>58</v>
      </c>
      <c r="C1105" s="51">
        <v>45772</v>
      </c>
      <c r="D1105" s="3" t="s">
        <v>41</v>
      </c>
      <c r="E1105" s="3" t="s">
        <v>46</v>
      </c>
      <c r="F1105" s="3" t="s">
        <v>46</v>
      </c>
      <c r="G1105" s="4">
        <v>0.89583333333333337</v>
      </c>
      <c r="H1105" s="4">
        <v>0.10416666666666667</v>
      </c>
      <c r="I1105" t="s">
        <v>35</v>
      </c>
      <c r="J1105">
        <v>1</v>
      </c>
      <c r="L1105" s="46"/>
      <c r="P1105">
        <v>200</v>
      </c>
      <c r="Q1105">
        <v>1</v>
      </c>
      <c r="R1105">
        <v>60</v>
      </c>
      <c r="S1105" s="7">
        <f>Tabla1[[#This Row],[TARIFA]]+Tabla1[[#This Row],[IMPORTE EXTRAS]]</f>
        <v>260</v>
      </c>
      <c r="T1105" t="s">
        <v>45</v>
      </c>
      <c r="U1105">
        <v>50</v>
      </c>
      <c r="V1105">
        <v>150</v>
      </c>
      <c r="W1105">
        <v>0</v>
      </c>
      <c r="X1105" s="49">
        <v>60</v>
      </c>
      <c r="Y1105" s="49"/>
      <c r="Z1105" s="7">
        <f>SUM(Tabla1[[#This Row],[RES-A]:[EXTR-B]])</f>
        <v>260</v>
      </c>
      <c r="AA1105" s="7">
        <f>Tabla1[[#This Row],[Columna1]]-Tabla1[[#This Row],[IMPORTE TOTAL]]</f>
        <v>0</v>
      </c>
    </row>
    <row r="1106" spans="1:27" x14ac:dyDescent="0.2">
      <c r="A1106">
        <v>2025</v>
      </c>
      <c r="B1106" t="s">
        <v>58</v>
      </c>
      <c r="C1106" s="51">
        <v>45773</v>
      </c>
      <c r="D1106" s="3" t="s">
        <v>42</v>
      </c>
      <c r="E1106" s="3" t="s">
        <v>46</v>
      </c>
      <c r="F1106" s="3" t="s">
        <v>46</v>
      </c>
      <c r="G1106" s="4">
        <v>0.39583333333333331</v>
      </c>
      <c r="H1106" s="4">
        <v>0.60416666666666663</v>
      </c>
      <c r="I1106" t="s">
        <v>30</v>
      </c>
      <c r="J1106">
        <v>1</v>
      </c>
      <c r="L1106" s="46"/>
      <c r="P1106">
        <v>150</v>
      </c>
      <c r="Q1106">
        <v>0</v>
      </c>
      <c r="R1106">
        <v>0</v>
      </c>
      <c r="S1106" s="7">
        <f>Tabla1[[#This Row],[TARIFA]]+Tabla1[[#This Row],[IMPORTE EXTRAS]]</f>
        <v>150</v>
      </c>
      <c r="T1106" t="s">
        <v>45</v>
      </c>
      <c r="U1106">
        <v>50</v>
      </c>
      <c r="V1106">
        <v>100</v>
      </c>
      <c r="W1106">
        <v>0</v>
      </c>
      <c r="X1106" s="49">
        <v>0</v>
      </c>
      <c r="Y1106" s="49"/>
      <c r="Z1106" s="7">
        <f>SUM(Tabla1[[#This Row],[RES-A]:[EXTR-B]])</f>
        <v>150</v>
      </c>
      <c r="AA1106" s="7">
        <f>Tabla1[[#This Row],[Columna1]]-Tabla1[[#This Row],[IMPORTE TOTAL]]</f>
        <v>0</v>
      </c>
    </row>
    <row r="1107" spans="1:27" x14ac:dyDescent="0.2">
      <c r="A1107">
        <v>2025</v>
      </c>
      <c r="B1107" t="s">
        <v>58</v>
      </c>
      <c r="C1107" s="51">
        <v>45773</v>
      </c>
      <c r="D1107" s="3" t="s">
        <v>42</v>
      </c>
      <c r="E1107" s="3" t="s">
        <v>46</v>
      </c>
      <c r="F1107" s="3" t="s">
        <v>46</v>
      </c>
      <c r="G1107" s="4">
        <v>0.64583333333333337</v>
      </c>
      <c r="H1107" s="4">
        <v>0.10416666666666667</v>
      </c>
      <c r="I1107" t="s">
        <v>53</v>
      </c>
      <c r="J1107">
        <v>2</v>
      </c>
      <c r="L1107" s="46"/>
      <c r="P1107">
        <v>0</v>
      </c>
      <c r="Q1107">
        <v>0</v>
      </c>
      <c r="R1107">
        <v>0</v>
      </c>
      <c r="S1107" s="7">
        <f>Tabla1[[#This Row],[TARIFA]]+Tabla1[[#This Row],[IMPORTE EXTRAS]]</f>
        <v>0</v>
      </c>
      <c r="T1107" t="s">
        <v>45</v>
      </c>
      <c r="U1107">
        <v>0</v>
      </c>
      <c r="V1107">
        <v>0</v>
      </c>
      <c r="W1107">
        <v>0</v>
      </c>
      <c r="X1107" s="49">
        <v>0</v>
      </c>
      <c r="Y1107" s="49"/>
      <c r="Z1107" s="7">
        <f>SUM(Tabla1[[#This Row],[RES-A]:[EXTR-B]])</f>
        <v>0</v>
      </c>
      <c r="AA1107" s="7">
        <f>Tabla1[[#This Row],[Columna1]]-Tabla1[[#This Row],[IMPORTE TOTAL]]</f>
        <v>0</v>
      </c>
    </row>
    <row r="1108" spans="1:27" x14ac:dyDescent="0.2">
      <c r="A1108">
        <v>2025</v>
      </c>
      <c r="B1108" t="s">
        <v>58</v>
      </c>
      <c r="C1108" s="51">
        <v>45774</v>
      </c>
      <c r="D1108" s="3" t="s">
        <v>43</v>
      </c>
      <c r="E1108" s="3" t="s">
        <v>46</v>
      </c>
      <c r="F1108" s="3" t="s">
        <v>46</v>
      </c>
      <c r="G1108" s="4">
        <v>0.39583333333333331</v>
      </c>
      <c r="H1108" s="4">
        <v>0.60416666666666663</v>
      </c>
      <c r="I1108" t="s">
        <v>30</v>
      </c>
      <c r="J1108">
        <v>1</v>
      </c>
      <c r="L1108" s="46"/>
      <c r="P1108">
        <v>150</v>
      </c>
      <c r="Q1108">
        <v>0</v>
      </c>
      <c r="R1108">
        <v>0</v>
      </c>
      <c r="S1108" s="7">
        <f>Tabla1[[#This Row],[TARIFA]]+Tabla1[[#This Row],[IMPORTE EXTRAS]]</f>
        <v>150</v>
      </c>
      <c r="T1108" t="s">
        <v>45</v>
      </c>
      <c r="U1108">
        <v>50</v>
      </c>
      <c r="V1108">
        <v>100</v>
      </c>
      <c r="W1108">
        <v>0</v>
      </c>
      <c r="X1108" s="49">
        <v>0</v>
      </c>
      <c r="Y1108" s="49"/>
      <c r="Z1108" s="7">
        <f>SUM(Tabla1[[#This Row],[RES-A]:[EXTR-B]])</f>
        <v>150</v>
      </c>
      <c r="AA1108" s="7">
        <f>Tabla1[[#This Row],[Columna1]]-Tabla1[[#This Row],[IMPORTE TOTAL]]</f>
        <v>0</v>
      </c>
    </row>
    <row r="1109" spans="1:27" x14ac:dyDescent="0.2">
      <c r="A1109">
        <v>2025</v>
      </c>
      <c r="B1109" t="s">
        <v>58</v>
      </c>
      <c r="C1109" s="51">
        <v>45774</v>
      </c>
      <c r="D1109" s="3" t="s">
        <v>43</v>
      </c>
      <c r="E1109" s="3" t="s">
        <v>46</v>
      </c>
      <c r="F1109" s="3" t="s">
        <v>46</v>
      </c>
      <c r="G1109" s="4">
        <v>0.64583333333333337</v>
      </c>
      <c r="H1109" s="4">
        <v>0.85416666666666663</v>
      </c>
      <c r="I1109" t="s">
        <v>31</v>
      </c>
      <c r="J1109">
        <v>1</v>
      </c>
      <c r="L1109" s="46"/>
      <c r="P1109">
        <v>150</v>
      </c>
      <c r="Q1109">
        <v>0</v>
      </c>
      <c r="R1109">
        <v>0</v>
      </c>
      <c r="S1109" s="7">
        <f>Tabla1[[#This Row],[TARIFA]]+Tabla1[[#This Row],[IMPORTE EXTRAS]]</f>
        <v>150</v>
      </c>
      <c r="T1109" t="s">
        <v>45</v>
      </c>
      <c r="U1109">
        <v>50</v>
      </c>
      <c r="V1109">
        <v>100</v>
      </c>
      <c r="W1109">
        <v>0</v>
      </c>
      <c r="X1109" s="49">
        <v>0</v>
      </c>
      <c r="Y1109" s="49"/>
      <c r="Z1109" s="7">
        <f>SUM(Tabla1[[#This Row],[RES-A]:[EXTR-B]])</f>
        <v>150</v>
      </c>
      <c r="AA1109" s="7">
        <f>Tabla1[[#This Row],[Columna1]]-Tabla1[[#This Row],[IMPORTE TOTAL]]</f>
        <v>0</v>
      </c>
    </row>
    <row r="1110" spans="1:27" x14ac:dyDescent="0.2">
      <c r="A1110">
        <v>2025</v>
      </c>
      <c r="B1110" t="s">
        <v>59</v>
      </c>
      <c r="C1110" s="51">
        <v>45781</v>
      </c>
      <c r="D1110" s="3" t="s">
        <v>43</v>
      </c>
      <c r="E1110" s="3" t="s">
        <v>46</v>
      </c>
      <c r="F1110" s="3" t="s">
        <v>46</v>
      </c>
      <c r="G1110" s="4">
        <v>0.39583333333333331</v>
      </c>
      <c r="H1110" s="4">
        <v>0.60416666666666663</v>
      </c>
      <c r="I1110" t="s">
        <v>30</v>
      </c>
      <c r="J1110">
        <v>1</v>
      </c>
      <c r="L1110" s="46"/>
      <c r="P1110">
        <v>150</v>
      </c>
      <c r="Q1110">
        <v>0</v>
      </c>
      <c r="R1110">
        <v>0</v>
      </c>
      <c r="S1110" s="7">
        <f>Tabla1[[#This Row],[TARIFA]]+Tabla1[[#This Row],[IMPORTE EXTRAS]]</f>
        <v>150</v>
      </c>
      <c r="T1110" t="s">
        <v>45</v>
      </c>
      <c r="U1110">
        <v>50</v>
      </c>
      <c r="V1110">
        <v>100</v>
      </c>
      <c r="W1110">
        <v>0</v>
      </c>
      <c r="X1110" s="49">
        <v>0</v>
      </c>
      <c r="Y1110" s="49"/>
      <c r="Z1110" s="7">
        <f>SUM(Tabla1[[#This Row],[RES-A]:[EXTR-B]])</f>
        <v>150</v>
      </c>
      <c r="AA1110" s="7">
        <f>Tabla1[[#This Row],[Columna1]]-Tabla1[[#This Row],[IMPORTE TOTAL]]</f>
        <v>0</v>
      </c>
    </row>
    <row r="1111" spans="1:27" x14ac:dyDescent="0.2">
      <c r="A1111">
        <v>2025</v>
      </c>
      <c r="B1111" t="s">
        <v>59</v>
      </c>
      <c r="C1111" s="51">
        <v>45781</v>
      </c>
      <c r="D1111" s="3" t="s">
        <v>43</v>
      </c>
      <c r="E1111" s="3" t="s">
        <v>46</v>
      </c>
      <c r="F1111" s="3" t="s">
        <v>46</v>
      </c>
      <c r="G1111" s="4">
        <v>0.64583333333333337</v>
      </c>
      <c r="H1111" s="4">
        <v>0.85416666666666663</v>
      </c>
      <c r="I1111" t="s">
        <v>31</v>
      </c>
      <c r="J1111">
        <v>1</v>
      </c>
      <c r="L1111" s="46"/>
      <c r="P1111">
        <v>150</v>
      </c>
      <c r="Q1111">
        <v>0</v>
      </c>
      <c r="R1111">
        <v>0</v>
      </c>
      <c r="S1111" s="7">
        <f>Tabla1[[#This Row],[TARIFA]]+Tabla1[[#This Row],[IMPORTE EXTRAS]]</f>
        <v>150</v>
      </c>
      <c r="T1111" t="s">
        <v>45</v>
      </c>
      <c r="U1111">
        <v>50</v>
      </c>
      <c r="V1111">
        <v>100</v>
      </c>
      <c r="W1111">
        <v>0</v>
      </c>
      <c r="X1111" s="49">
        <v>0</v>
      </c>
      <c r="Y1111" s="49"/>
      <c r="Z1111" s="7">
        <f>SUM(Tabla1[[#This Row],[RES-A]:[EXTR-B]])</f>
        <v>150</v>
      </c>
      <c r="AA1111" s="7">
        <f>Tabla1[[#This Row],[Columna1]]-Tabla1[[#This Row],[IMPORTE TOTAL]]</f>
        <v>0</v>
      </c>
    </row>
    <row r="1112" spans="1:27" x14ac:dyDescent="0.2">
      <c r="A1112">
        <v>2025</v>
      </c>
      <c r="B1112" t="s">
        <v>59</v>
      </c>
      <c r="C1112" s="51">
        <v>45782</v>
      </c>
      <c r="D1112" s="3" t="s">
        <v>37</v>
      </c>
      <c r="E1112" s="3" t="s">
        <v>46</v>
      </c>
      <c r="F1112" s="3" t="s">
        <v>46</v>
      </c>
      <c r="G1112" s="4">
        <v>0.64583333333333337</v>
      </c>
      <c r="H1112" s="4">
        <v>0.85416666666666663</v>
      </c>
      <c r="I1112" t="s">
        <v>31</v>
      </c>
      <c r="J1112">
        <v>1</v>
      </c>
      <c r="L1112" s="46"/>
      <c r="P1112">
        <v>95</v>
      </c>
      <c r="Q1112">
        <v>0</v>
      </c>
      <c r="R1112">
        <v>0</v>
      </c>
      <c r="S1112" s="7">
        <f>Tabla1[[#This Row],[TARIFA]]+Tabla1[[#This Row],[IMPORTE EXTRAS]]</f>
        <v>95</v>
      </c>
      <c r="T1112" t="s">
        <v>45</v>
      </c>
      <c r="U1112">
        <v>50</v>
      </c>
      <c r="V1112">
        <v>45</v>
      </c>
      <c r="W1112">
        <v>0</v>
      </c>
      <c r="X1112" s="49">
        <v>0</v>
      </c>
      <c r="Y1112" s="49"/>
      <c r="Z1112" s="7">
        <f>SUM(Tabla1[[#This Row],[RES-A]:[EXTR-B]])</f>
        <v>95</v>
      </c>
      <c r="AA1112" s="7">
        <f>Tabla1[[#This Row],[Columna1]]-Tabla1[[#This Row],[IMPORTE TOTAL]]</f>
        <v>0</v>
      </c>
    </row>
    <row r="1113" spans="1:27" x14ac:dyDescent="0.2">
      <c r="A1113">
        <v>2025</v>
      </c>
      <c r="B1113" t="s">
        <v>59</v>
      </c>
      <c r="C1113" s="51">
        <v>45786</v>
      </c>
      <c r="D1113" s="3" t="s">
        <v>41</v>
      </c>
      <c r="E1113" s="3" t="s">
        <v>46</v>
      </c>
      <c r="F1113" s="3" t="s">
        <v>46</v>
      </c>
      <c r="G1113" s="4">
        <v>0.64583333333333337</v>
      </c>
      <c r="H1113" s="4">
        <v>0.85416666666666663</v>
      </c>
      <c r="I1113" t="s">
        <v>31</v>
      </c>
      <c r="J1113">
        <v>1</v>
      </c>
      <c r="L1113" s="46"/>
      <c r="P1113">
        <v>140</v>
      </c>
      <c r="Q1113">
        <v>0</v>
      </c>
      <c r="R1113">
        <v>0</v>
      </c>
      <c r="S1113" s="7">
        <f>Tabla1[[#This Row],[TARIFA]]+Tabla1[[#This Row],[IMPORTE EXTRAS]]</f>
        <v>140</v>
      </c>
      <c r="T1113" t="s">
        <v>45</v>
      </c>
      <c r="U1113">
        <v>50</v>
      </c>
      <c r="V1113">
        <v>90</v>
      </c>
      <c r="W1113">
        <v>0</v>
      </c>
      <c r="X1113" s="49">
        <v>0</v>
      </c>
      <c r="Y1113" s="49"/>
      <c r="Z1113" s="7">
        <f>SUM(Tabla1[[#This Row],[RES-A]:[EXTR-B]])</f>
        <v>140</v>
      </c>
      <c r="AA1113" s="7">
        <f>Tabla1[[#This Row],[Columna1]]-Tabla1[[#This Row],[IMPORTE TOTAL]]</f>
        <v>0</v>
      </c>
    </row>
    <row r="1114" spans="1:27" x14ac:dyDescent="0.2">
      <c r="A1114">
        <v>2025</v>
      </c>
      <c r="B1114" t="s">
        <v>59</v>
      </c>
      <c r="C1114" s="51">
        <v>45786</v>
      </c>
      <c r="D1114" s="3" t="s">
        <v>41</v>
      </c>
      <c r="E1114" s="3" t="s">
        <v>46</v>
      </c>
      <c r="F1114" s="3" t="s">
        <v>46</v>
      </c>
      <c r="G1114" s="4">
        <v>0.89583333333333337</v>
      </c>
      <c r="H1114" s="4">
        <v>0.10416666666666667</v>
      </c>
      <c r="I1114" t="s">
        <v>35</v>
      </c>
      <c r="J1114">
        <v>1</v>
      </c>
      <c r="L1114" s="46"/>
      <c r="P1114">
        <v>200</v>
      </c>
      <c r="Q1114">
        <v>0</v>
      </c>
      <c r="R1114">
        <v>0</v>
      </c>
      <c r="S1114" s="7">
        <f>Tabla1[[#This Row],[TARIFA]]+Tabla1[[#This Row],[IMPORTE EXTRAS]]</f>
        <v>200</v>
      </c>
      <c r="T1114" t="s">
        <v>45</v>
      </c>
      <c r="U1114">
        <v>50</v>
      </c>
      <c r="V1114">
        <v>150</v>
      </c>
      <c r="W1114">
        <v>0</v>
      </c>
      <c r="X1114" s="49">
        <v>0</v>
      </c>
      <c r="Y1114" s="49"/>
      <c r="Z1114" s="7">
        <f>SUM(Tabla1[[#This Row],[RES-A]:[EXTR-B]])</f>
        <v>200</v>
      </c>
      <c r="AA1114" s="7">
        <f>Tabla1[[#This Row],[Columna1]]-Tabla1[[#This Row],[IMPORTE TOTAL]]</f>
        <v>0</v>
      </c>
    </row>
    <row r="1115" spans="1:27" x14ac:dyDescent="0.2">
      <c r="A1115">
        <v>2025</v>
      </c>
      <c r="B1115" t="s">
        <v>59</v>
      </c>
      <c r="C1115" s="51">
        <v>45787</v>
      </c>
      <c r="D1115" s="3" t="s">
        <v>42</v>
      </c>
      <c r="E1115" s="3" t="s">
        <v>46</v>
      </c>
      <c r="F1115" s="3" t="s">
        <v>46</v>
      </c>
      <c r="G1115" s="4">
        <v>0.39583333333333331</v>
      </c>
      <c r="H1115" s="4">
        <v>0.60416666666666663</v>
      </c>
      <c r="I1115" t="s">
        <v>30</v>
      </c>
      <c r="J1115">
        <v>1</v>
      </c>
      <c r="L1115" s="46"/>
      <c r="P1115">
        <v>150</v>
      </c>
      <c r="Q1115">
        <v>0</v>
      </c>
      <c r="R1115">
        <v>0</v>
      </c>
      <c r="S1115" s="7">
        <f>Tabla1[[#This Row],[TARIFA]]+Tabla1[[#This Row],[IMPORTE EXTRAS]]</f>
        <v>150</v>
      </c>
      <c r="T1115" t="s">
        <v>45</v>
      </c>
      <c r="U1115">
        <v>50</v>
      </c>
      <c r="V1115">
        <v>100</v>
      </c>
      <c r="W1115">
        <v>0</v>
      </c>
      <c r="X1115" s="49">
        <v>0</v>
      </c>
      <c r="Y1115" s="49"/>
      <c r="Z1115" s="7">
        <f>SUM(Tabla1[[#This Row],[RES-A]:[EXTR-B]])</f>
        <v>150</v>
      </c>
      <c r="AA1115" s="7">
        <f>Tabla1[[#This Row],[Columna1]]-Tabla1[[#This Row],[IMPORTE TOTAL]]</f>
        <v>0</v>
      </c>
    </row>
    <row r="1116" spans="1:27" x14ac:dyDescent="0.2">
      <c r="A1116">
        <v>2025</v>
      </c>
      <c r="B1116" t="s">
        <v>59</v>
      </c>
      <c r="C1116" s="51">
        <v>45787</v>
      </c>
      <c r="D1116" s="3" t="s">
        <v>42</v>
      </c>
      <c r="E1116" s="3" t="s">
        <v>46</v>
      </c>
      <c r="F1116" s="3" t="s">
        <v>46</v>
      </c>
      <c r="G1116" s="4">
        <v>0.64583333333333337</v>
      </c>
      <c r="H1116" s="4">
        <v>0.85416666666666663</v>
      </c>
      <c r="I1116" t="s">
        <v>31</v>
      </c>
      <c r="J1116">
        <v>1</v>
      </c>
      <c r="L1116" s="46"/>
      <c r="P1116">
        <v>150</v>
      </c>
      <c r="Q1116">
        <v>0</v>
      </c>
      <c r="R1116">
        <v>0</v>
      </c>
      <c r="S1116" s="7">
        <f>Tabla1[[#This Row],[TARIFA]]+Tabla1[[#This Row],[IMPORTE EXTRAS]]</f>
        <v>150</v>
      </c>
      <c r="T1116" t="s">
        <v>45</v>
      </c>
      <c r="U1116">
        <v>50</v>
      </c>
      <c r="V1116">
        <v>100</v>
      </c>
      <c r="W1116">
        <v>0</v>
      </c>
      <c r="X1116" s="49">
        <v>0</v>
      </c>
      <c r="Y1116" s="49"/>
      <c r="Z1116" s="7">
        <f>SUM(Tabla1[[#This Row],[RES-A]:[EXTR-B]])</f>
        <v>150</v>
      </c>
      <c r="AA1116" s="7">
        <f>Tabla1[[#This Row],[Columna1]]-Tabla1[[#This Row],[IMPORTE TOTAL]]</f>
        <v>0</v>
      </c>
    </row>
    <row r="1117" spans="1:27" x14ac:dyDescent="0.2">
      <c r="A1117">
        <v>2025</v>
      </c>
      <c r="B1117" t="s">
        <v>59</v>
      </c>
      <c r="C1117" s="51">
        <v>45787</v>
      </c>
      <c r="D1117" s="3" t="s">
        <v>42</v>
      </c>
      <c r="E1117" s="3" t="s">
        <v>46</v>
      </c>
      <c r="F1117" s="3" t="s">
        <v>46</v>
      </c>
      <c r="G1117" s="4">
        <v>0.89583333333333337</v>
      </c>
      <c r="H1117" s="4">
        <v>0.10416666666666667</v>
      </c>
      <c r="I1117" t="s">
        <v>35</v>
      </c>
      <c r="J1117">
        <v>1</v>
      </c>
      <c r="L1117" s="46"/>
      <c r="P1117">
        <v>200</v>
      </c>
      <c r="Q1117">
        <v>0</v>
      </c>
      <c r="R1117">
        <v>0</v>
      </c>
      <c r="S1117" s="7">
        <f>Tabla1[[#This Row],[TARIFA]]+Tabla1[[#This Row],[IMPORTE EXTRAS]]</f>
        <v>200</v>
      </c>
      <c r="T1117" t="s">
        <v>45</v>
      </c>
      <c r="U1117">
        <v>50</v>
      </c>
      <c r="V1117">
        <v>150</v>
      </c>
      <c r="W1117">
        <v>0</v>
      </c>
      <c r="X1117" s="49">
        <v>0</v>
      </c>
      <c r="Y1117" s="49"/>
      <c r="Z1117" s="7">
        <f>SUM(Tabla1[[#This Row],[RES-A]:[EXTR-B]])</f>
        <v>200</v>
      </c>
      <c r="AA1117" s="7">
        <f>Tabla1[[#This Row],[Columna1]]-Tabla1[[#This Row],[IMPORTE TOTAL]]</f>
        <v>0</v>
      </c>
    </row>
    <row r="1118" spans="1:27" x14ac:dyDescent="0.2">
      <c r="A1118">
        <v>2025</v>
      </c>
      <c r="B1118" t="s">
        <v>59</v>
      </c>
      <c r="C1118" s="51">
        <v>45788</v>
      </c>
      <c r="D1118" s="3" t="s">
        <v>43</v>
      </c>
      <c r="E1118" s="3" t="s">
        <v>46</v>
      </c>
      <c r="F1118" s="3" t="s">
        <v>46</v>
      </c>
      <c r="G1118" s="4">
        <v>0.39583333333333331</v>
      </c>
      <c r="H1118" s="4">
        <v>0.60416666666666663</v>
      </c>
      <c r="I1118" t="s">
        <v>30</v>
      </c>
      <c r="J1118">
        <v>1</v>
      </c>
      <c r="L1118" s="46"/>
      <c r="P1118">
        <v>150</v>
      </c>
      <c r="Q1118">
        <v>0</v>
      </c>
      <c r="R1118">
        <v>0</v>
      </c>
      <c r="S1118" s="7">
        <f>Tabla1[[#This Row],[TARIFA]]+Tabla1[[#This Row],[IMPORTE EXTRAS]]</f>
        <v>150</v>
      </c>
      <c r="T1118" t="s">
        <v>45</v>
      </c>
      <c r="U1118">
        <v>50</v>
      </c>
      <c r="V1118">
        <v>100</v>
      </c>
      <c r="W1118">
        <v>0</v>
      </c>
      <c r="X1118" s="49">
        <v>0</v>
      </c>
      <c r="Y1118" s="49"/>
      <c r="Z1118" s="7">
        <f>SUM(Tabla1[[#This Row],[RES-A]:[EXTR-B]])</f>
        <v>150</v>
      </c>
      <c r="AA1118" s="7">
        <f>Tabla1[[#This Row],[Columna1]]-Tabla1[[#This Row],[IMPORTE TOTAL]]</f>
        <v>0</v>
      </c>
    </row>
    <row r="1119" spans="1:27" x14ac:dyDescent="0.2">
      <c r="A1119">
        <v>2025</v>
      </c>
      <c r="B1119" t="s">
        <v>59</v>
      </c>
      <c r="C1119" s="51">
        <v>45788</v>
      </c>
      <c r="D1119" s="3" t="s">
        <v>43</v>
      </c>
      <c r="E1119" s="3" t="s">
        <v>46</v>
      </c>
      <c r="F1119" s="3" t="s">
        <v>46</v>
      </c>
      <c r="G1119" s="4">
        <v>0.64583333333333337</v>
      </c>
      <c r="H1119" s="4">
        <v>0.85416666666666663</v>
      </c>
      <c r="I1119" t="s">
        <v>31</v>
      </c>
      <c r="J1119">
        <v>1</v>
      </c>
      <c r="L1119" s="46"/>
      <c r="P1119">
        <v>150</v>
      </c>
      <c r="Q1119">
        <v>0</v>
      </c>
      <c r="R1119">
        <v>0</v>
      </c>
      <c r="S1119" s="7">
        <f>Tabla1[[#This Row],[TARIFA]]+Tabla1[[#This Row],[IMPORTE EXTRAS]]</f>
        <v>150</v>
      </c>
      <c r="T1119" t="s">
        <v>45</v>
      </c>
      <c r="U1119">
        <v>50</v>
      </c>
      <c r="V1119">
        <v>100</v>
      </c>
      <c r="W1119">
        <v>0</v>
      </c>
      <c r="X1119" s="49">
        <v>0</v>
      </c>
      <c r="Y1119" s="49"/>
      <c r="Z1119" s="7">
        <f>SUM(Tabla1[[#This Row],[RES-A]:[EXTR-B]])</f>
        <v>150</v>
      </c>
      <c r="AA1119" s="7">
        <f>Tabla1[[#This Row],[Columna1]]-Tabla1[[#This Row],[IMPORTE TOTAL]]</f>
        <v>0</v>
      </c>
    </row>
    <row r="1120" spans="1:27" x14ac:dyDescent="0.2">
      <c r="A1120">
        <v>2025</v>
      </c>
      <c r="B1120" t="s">
        <v>59</v>
      </c>
      <c r="C1120" s="51">
        <v>45792</v>
      </c>
      <c r="D1120" s="3" t="s">
        <v>40</v>
      </c>
      <c r="E1120" s="3" t="s">
        <v>46</v>
      </c>
      <c r="F1120" s="3" t="s">
        <v>46</v>
      </c>
      <c r="G1120" s="4">
        <v>0.64583333333333337</v>
      </c>
      <c r="H1120" s="4">
        <v>0.85416666666666663</v>
      </c>
      <c r="I1120" t="s">
        <v>31</v>
      </c>
      <c r="J1120">
        <v>1</v>
      </c>
      <c r="L1120" s="46"/>
      <c r="P1120">
        <v>95</v>
      </c>
      <c r="Q1120">
        <v>0</v>
      </c>
      <c r="R1120">
        <v>0</v>
      </c>
      <c r="S1120" s="7">
        <f>Tabla1[[#This Row],[TARIFA]]+Tabla1[[#This Row],[IMPORTE EXTRAS]]</f>
        <v>95</v>
      </c>
      <c r="T1120" t="s">
        <v>45</v>
      </c>
      <c r="U1120">
        <v>50</v>
      </c>
      <c r="V1120">
        <v>45</v>
      </c>
      <c r="W1120">
        <v>0</v>
      </c>
      <c r="X1120" s="49">
        <v>0</v>
      </c>
      <c r="Y1120" s="49"/>
      <c r="Z1120" s="7">
        <f>SUM(Tabla1[[#This Row],[RES-A]:[EXTR-B]])</f>
        <v>95</v>
      </c>
      <c r="AA1120" s="7">
        <f>Tabla1[[#This Row],[Columna1]]-Tabla1[[#This Row],[IMPORTE TOTAL]]</f>
        <v>0</v>
      </c>
    </row>
    <row r="1121" spans="1:27" x14ac:dyDescent="0.2">
      <c r="A1121">
        <v>2025</v>
      </c>
      <c r="B1121" t="s">
        <v>59</v>
      </c>
      <c r="C1121" s="51">
        <v>45793</v>
      </c>
      <c r="D1121" s="3" t="s">
        <v>41</v>
      </c>
      <c r="E1121" s="3" t="s">
        <v>46</v>
      </c>
      <c r="F1121" s="3" t="s">
        <v>46</v>
      </c>
      <c r="G1121" s="4">
        <v>0.89583333333333337</v>
      </c>
      <c r="H1121" s="4">
        <v>0.10416666666666667</v>
      </c>
      <c r="I1121" t="s">
        <v>35</v>
      </c>
      <c r="J1121">
        <v>1</v>
      </c>
      <c r="L1121" s="46"/>
      <c r="P1121">
        <v>200</v>
      </c>
      <c r="Q1121">
        <v>0</v>
      </c>
      <c r="R1121">
        <v>0</v>
      </c>
      <c r="S1121" s="7">
        <f>Tabla1[[#This Row],[TARIFA]]+Tabla1[[#This Row],[IMPORTE EXTRAS]]</f>
        <v>200</v>
      </c>
      <c r="T1121" t="s">
        <v>45</v>
      </c>
      <c r="U1121">
        <v>50</v>
      </c>
      <c r="V1121">
        <v>150</v>
      </c>
      <c r="W1121">
        <v>0</v>
      </c>
      <c r="X1121" s="49">
        <v>0</v>
      </c>
      <c r="Y1121" s="49"/>
      <c r="Z1121" s="7">
        <f>SUM(Tabla1[[#This Row],[RES-A]:[EXTR-B]])</f>
        <v>200</v>
      </c>
      <c r="AA1121" s="7">
        <f>Tabla1[[#This Row],[Columna1]]-Tabla1[[#This Row],[IMPORTE TOTAL]]</f>
        <v>0</v>
      </c>
    </row>
    <row r="1122" spans="1:27" x14ac:dyDescent="0.2">
      <c r="A1122">
        <v>2025</v>
      </c>
      <c r="B1122" t="s">
        <v>59</v>
      </c>
      <c r="C1122" s="51">
        <v>45794</v>
      </c>
      <c r="D1122" s="3" t="s">
        <v>42</v>
      </c>
      <c r="E1122" s="3" t="s">
        <v>46</v>
      </c>
      <c r="F1122" s="3" t="s">
        <v>46</v>
      </c>
      <c r="G1122" s="4">
        <v>0.39583333333333331</v>
      </c>
      <c r="H1122" s="4">
        <v>0.60416666666666663</v>
      </c>
      <c r="I1122" t="s">
        <v>30</v>
      </c>
      <c r="J1122">
        <v>1</v>
      </c>
      <c r="L1122" s="46"/>
      <c r="P1122">
        <v>150</v>
      </c>
      <c r="Q1122">
        <v>0</v>
      </c>
      <c r="R1122">
        <v>0</v>
      </c>
      <c r="S1122" s="7">
        <f>Tabla1[[#This Row],[TARIFA]]+Tabla1[[#This Row],[IMPORTE EXTRAS]]</f>
        <v>150</v>
      </c>
      <c r="T1122" t="s">
        <v>45</v>
      </c>
      <c r="U1122">
        <v>50</v>
      </c>
      <c r="V1122">
        <v>100</v>
      </c>
      <c r="W1122">
        <v>0</v>
      </c>
      <c r="X1122" s="49">
        <v>0</v>
      </c>
      <c r="Y1122" s="49"/>
      <c r="Z1122" s="7">
        <f>SUM(Tabla1[[#This Row],[RES-A]:[EXTR-B]])</f>
        <v>150</v>
      </c>
      <c r="AA1122" s="7">
        <f>Tabla1[[#This Row],[Columna1]]-Tabla1[[#This Row],[IMPORTE TOTAL]]</f>
        <v>0</v>
      </c>
    </row>
    <row r="1123" spans="1:27" x14ac:dyDescent="0.2">
      <c r="A1123">
        <v>2025</v>
      </c>
      <c r="B1123" t="s">
        <v>59</v>
      </c>
      <c r="C1123" s="51">
        <v>45794</v>
      </c>
      <c r="D1123" s="3" t="s">
        <v>42</v>
      </c>
      <c r="E1123" s="3" t="s">
        <v>46</v>
      </c>
      <c r="F1123" s="3" t="s">
        <v>46</v>
      </c>
      <c r="G1123" s="4">
        <v>0.64583333333333337</v>
      </c>
      <c r="H1123" s="4">
        <v>0.10416666666666667</v>
      </c>
      <c r="I1123" t="s">
        <v>53</v>
      </c>
      <c r="J1123">
        <v>2</v>
      </c>
      <c r="L1123" s="46"/>
      <c r="P1123">
        <v>320</v>
      </c>
      <c r="Q1123">
        <v>0</v>
      </c>
      <c r="R1123">
        <v>0</v>
      </c>
      <c r="S1123" s="7">
        <f>Tabla1[[#This Row],[TARIFA]]+Tabla1[[#This Row],[IMPORTE EXTRAS]]</f>
        <v>320</v>
      </c>
      <c r="T1123" t="s">
        <v>45</v>
      </c>
      <c r="U1123">
        <v>50</v>
      </c>
      <c r="V1123">
        <v>270</v>
      </c>
      <c r="W1123">
        <v>0</v>
      </c>
      <c r="X1123" s="49">
        <v>0</v>
      </c>
      <c r="Y1123" s="49"/>
      <c r="Z1123" s="7">
        <f>SUM(Tabla1[[#This Row],[RES-A]:[EXTR-B]])</f>
        <v>320</v>
      </c>
      <c r="AA1123" s="7">
        <f>Tabla1[[#This Row],[Columna1]]-Tabla1[[#This Row],[IMPORTE TOTAL]]</f>
        <v>0</v>
      </c>
    </row>
    <row r="1124" spans="1:27" x14ac:dyDescent="0.2">
      <c r="A1124">
        <v>2025</v>
      </c>
      <c r="B1124" t="s">
        <v>59</v>
      </c>
      <c r="C1124" s="51">
        <v>45795</v>
      </c>
      <c r="D1124" s="3" t="s">
        <v>43</v>
      </c>
      <c r="E1124" s="3" t="s">
        <v>46</v>
      </c>
      <c r="F1124" s="3" t="s">
        <v>46</v>
      </c>
      <c r="G1124" s="4">
        <v>0.39583333333333331</v>
      </c>
      <c r="H1124" s="4">
        <v>0.60416666666666663</v>
      </c>
      <c r="I1124" t="s">
        <v>30</v>
      </c>
      <c r="J1124">
        <v>1</v>
      </c>
      <c r="L1124" s="46"/>
      <c r="P1124">
        <v>150</v>
      </c>
      <c r="Q1124">
        <v>0</v>
      </c>
      <c r="R1124">
        <v>0</v>
      </c>
      <c r="S1124" s="7">
        <f>Tabla1[[#This Row],[TARIFA]]+Tabla1[[#This Row],[IMPORTE EXTRAS]]</f>
        <v>150</v>
      </c>
      <c r="T1124" t="s">
        <v>45</v>
      </c>
      <c r="U1124">
        <v>50</v>
      </c>
      <c r="V1124">
        <v>100</v>
      </c>
      <c r="W1124">
        <v>0</v>
      </c>
      <c r="X1124" s="49">
        <v>0</v>
      </c>
      <c r="Y1124" s="49"/>
      <c r="Z1124" s="7">
        <f>SUM(Tabla1[[#This Row],[RES-A]:[EXTR-B]])</f>
        <v>150</v>
      </c>
      <c r="AA1124" s="7">
        <f>Tabla1[[#This Row],[Columna1]]-Tabla1[[#This Row],[IMPORTE TOTAL]]</f>
        <v>0</v>
      </c>
    </row>
    <row r="1125" spans="1:27" x14ac:dyDescent="0.2">
      <c r="A1125">
        <v>2025</v>
      </c>
      <c r="B1125" t="s">
        <v>59</v>
      </c>
      <c r="C1125" s="51">
        <v>45797</v>
      </c>
      <c r="D1125" s="3" t="s">
        <v>38</v>
      </c>
      <c r="E1125" s="3" t="s">
        <v>46</v>
      </c>
      <c r="F1125" s="3" t="s">
        <v>46</v>
      </c>
      <c r="G1125" s="4">
        <v>0.64583333333333337</v>
      </c>
      <c r="H1125" s="4">
        <v>0.85416666666666663</v>
      </c>
      <c r="I1125" t="s">
        <v>31</v>
      </c>
      <c r="J1125">
        <v>1</v>
      </c>
      <c r="L1125" s="46"/>
      <c r="P1125">
        <v>95</v>
      </c>
      <c r="Q1125">
        <v>1</v>
      </c>
      <c r="R1125">
        <v>30</v>
      </c>
      <c r="S1125" s="7">
        <f>Tabla1[[#This Row],[TARIFA]]+Tabla1[[#This Row],[IMPORTE EXTRAS]]</f>
        <v>125</v>
      </c>
      <c r="T1125" t="s">
        <v>45</v>
      </c>
      <c r="U1125">
        <v>50</v>
      </c>
      <c r="V1125">
        <v>45</v>
      </c>
      <c r="W1125">
        <v>0</v>
      </c>
      <c r="X1125" s="49">
        <v>30</v>
      </c>
      <c r="Y1125" s="49"/>
      <c r="Z1125" s="7">
        <f>SUM(Tabla1[[#This Row],[RES-A]:[EXTR-B]])</f>
        <v>125</v>
      </c>
      <c r="AA1125" s="7">
        <f>Tabla1[[#This Row],[Columna1]]-Tabla1[[#This Row],[IMPORTE TOTAL]]</f>
        <v>0</v>
      </c>
    </row>
    <row r="1126" spans="1:27" x14ac:dyDescent="0.2">
      <c r="A1126">
        <v>2025</v>
      </c>
      <c r="B1126" t="s">
        <v>59</v>
      </c>
      <c r="C1126" s="51">
        <v>45799</v>
      </c>
      <c r="D1126" s="3" t="s">
        <v>40</v>
      </c>
      <c r="E1126" s="3" t="s">
        <v>46</v>
      </c>
      <c r="F1126" s="3" t="s">
        <v>46</v>
      </c>
      <c r="G1126" s="4">
        <v>0.64583333333333337</v>
      </c>
      <c r="H1126" s="4">
        <v>0.85416666666666663</v>
      </c>
      <c r="I1126" t="s">
        <v>31</v>
      </c>
      <c r="J1126">
        <v>1</v>
      </c>
      <c r="L1126" s="46"/>
      <c r="P1126">
        <v>95</v>
      </c>
      <c r="Q1126">
        <v>0</v>
      </c>
      <c r="R1126">
        <v>0</v>
      </c>
      <c r="S1126" s="7">
        <f>Tabla1[[#This Row],[TARIFA]]+Tabla1[[#This Row],[IMPORTE EXTRAS]]</f>
        <v>95</v>
      </c>
      <c r="T1126" t="s">
        <v>45</v>
      </c>
      <c r="U1126">
        <v>50</v>
      </c>
      <c r="V1126">
        <v>45</v>
      </c>
      <c r="W1126">
        <v>0</v>
      </c>
      <c r="X1126" s="49">
        <v>0</v>
      </c>
      <c r="Y1126" s="49"/>
      <c r="Z1126" s="7">
        <f>SUM(Tabla1[[#This Row],[RES-A]:[EXTR-B]])</f>
        <v>95</v>
      </c>
      <c r="AA1126" s="7">
        <f>Tabla1[[#This Row],[Columna1]]-Tabla1[[#This Row],[IMPORTE TOTAL]]</f>
        <v>0</v>
      </c>
    </row>
    <row r="1127" spans="1:27" x14ac:dyDescent="0.2">
      <c r="A1127">
        <v>2025</v>
      </c>
      <c r="B1127" t="s">
        <v>59</v>
      </c>
      <c r="C1127" s="51">
        <v>45800</v>
      </c>
      <c r="D1127" s="3" t="s">
        <v>41</v>
      </c>
      <c r="E1127" s="3" t="s">
        <v>46</v>
      </c>
      <c r="F1127" s="3" t="s">
        <v>46</v>
      </c>
      <c r="G1127" s="4">
        <v>0.89583333333333337</v>
      </c>
      <c r="H1127" s="4">
        <v>0.10416666666666667</v>
      </c>
      <c r="I1127" t="s">
        <v>35</v>
      </c>
      <c r="J1127">
        <v>1</v>
      </c>
      <c r="L1127" s="46"/>
      <c r="P1127">
        <v>200</v>
      </c>
      <c r="Q1127">
        <v>1</v>
      </c>
      <c r="R1127">
        <v>60</v>
      </c>
      <c r="S1127" s="7">
        <f>Tabla1[[#This Row],[TARIFA]]+Tabla1[[#This Row],[IMPORTE EXTRAS]]</f>
        <v>260</v>
      </c>
      <c r="T1127" t="s">
        <v>45</v>
      </c>
      <c r="U1127">
        <v>50</v>
      </c>
      <c r="V1127">
        <v>150</v>
      </c>
      <c r="W1127">
        <v>0</v>
      </c>
      <c r="X1127" s="49">
        <v>60</v>
      </c>
      <c r="Y1127" s="49"/>
      <c r="Z1127" s="7">
        <f>SUM(Tabla1[[#This Row],[RES-A]:[EXTR-B]])</f>
        <v>260</v>
      </c>
      <c r="AA1127" s="7">
        <f>Tabla1[[#This Row],[Columna1]]-Tabla1[[#This Row],[IMPORTE TOTAL]]</f>
        <v>0</v>
      </c>
    </row>
    <row r="1128" spans="1:27" x14ac:dyDescent="0.2">
      <c r="A1128">
        <v>2025</v>
      </c>
      <c r="B1128" t="s">
        <v>59</v>
      </c>
      <c r="C1128" s="51">
        <v>45801</v>
      </c>
      <c r="D1128" s="3" t="s">
        <v>42</v>
      </c>
      <c r="E1128" s="3" t="s">
        <v>46</v>
      </c>
      <c r="F1128" s="3" t="s">
        <v>46</v>
      </c>
      <c r="G1128" s="4">
        <v>0.64583333333333337</v>
      </c>
      <c r="H1128" s="4">
        <v>0.85416666666666663</v>
      </c>
      <c r="I1128" t="s">
        <v>31</v>
      </c>
      <c r="J1128">
        <v>1</v>
      </c>
      <c r="L1128" s="46"/>
      <c r="P1128">
        <v>150</v>
      </c>
      <c r="Q1128">
        <v>0</v>
      </c>
      <c r="R1128">
        <v>0</v>
      </c>
      <c r="S1128" s="7">
        <f>Tabla1[[#This Row],[TARIFA]]+Tabla1[[#This Row],[IMPORTE EXTRAS]]</f>
        <v>150</v>
      </c>
      <c r="T1128" t="s">
        <v>45</v>
      </c>
      <c r="U1128">
        <v>50</v>
      </c>
      <c r="V1128">
        <v>100</v>
      </c>
      <c r="W1128">
        <v>0</v>
      </c>
      <c r="X1128" s="49">
        <v>0</v>
      </c>
      <c r="Y1128" s="49"/>
      <c r="Z1128" s="7">
        <f>SUM(Tabla1[[#This Row],[RES-A]:[EXTR-B]])</f>
        <v>150</v>
      </c>
      <c r="AA1128" s="7">
        <f>Tabla1[[#This Row],[Columna1]]-Tabla1[[#This Row],[IMPORTE TOTAL]]</f>
        <v>0</v>
      </c>
    </row>
    <row r="1129" spans="1:27" x14ac:dyDescent="0.2">
      <c r="A1129">
        <v>2025</v>
      </c>
      <c r="B1129" t="s">
        <v>59</v>
      </c>
      <c r="C1129" s="51">
        <v>45801</v>
      </c>
      <c r="D1129" s="3" t="s">
        <v>42</v>
      </c>
      <c r="E1129" s="3" t="s">
        <v>46</v>
      </c>
      <c r="F1129" s="3" t="s">
        <v>46</v>
      </c>
      <c r="G1129" s="4">
        <v>0.89583333333333337</v>
      </c>
      <c r="H1129" s="4">
        <v>0.10416666666666667</v>
      </c>
      <c r="I1129" t="s">
        <v>35</v>
      </c>
      <c r="J1129">
        <v>1</v>
      </c>
      <c r="L1129" s="46"/>
      <c r="P1129">
        <v>200</v>
      </c>
      <c r="Q1129">
        <v>0</v>
      </c>
      <c r="R1129">
        <v>0</v>
      </c>
      <c r="S1129" s="7">
        <f>Tabla1[[#This Row],[TARIFA]]+Tabla1[[#This Row],[IMPORTE EXTRAS]]</f>
        <v>200</v>
      </c>
      <c r="T1129" t="s">
        <v>45</v>
      </c>
      <c r="U1129">
        <v>50</v>
      </c>
      <c r="V1129">
        <v>150</v>
      </c>
      <c r="W1129">
        <v>0</v>
      </c>
      <c r="X1129" s="49">
        <v>0</v>
      </c>
      <c r="Y1129" s="49"/>
      <c r="Z1129" s="7">
        <f>SUM(Tabla1[[#This Row],[RES-A]:[EXTR-B]])</f>
        <v>200</v>
      </c>
      <c r="AA1129" s="7">
        <f>Tabla1[[#This Row],[Columna1]]-Tabla1[[#This Row],[IMPORTE TOTAL]]</f>
        <v>0</v>
      </c>
    </row>
    <row r="1130" spans="1:27" x14ac:dyDescent="0.2">
      <c r="A1130">
        <v>2025</v>
      </c>
      <c r="B1130" t="s">
        <v>59</v>
      </c>
      <c r="C1130" s="51">
        <v>45802</v>
      </c>
      <c r="D1130" s="3" t="s">
        <v>43</v>
      </c>
      <c r="E1130" s="3" t="s">
        <v>46</v>
      </c>
      <c r="F1130" s="3" t="s">
        <v>46</v>
      </c>
      <c r="G1130" s="4">
        <v>0.64583333333333337</v>
      </c>
      <c r="H1130" s="4">
        <v>0.85416666666666663</v>
      </c>
      <c r="I1130" t="s">
        <v>31</v>
      </c>
      <c r="J1130">
        <v>1</v>
      </c>
      <c r="L1130" s="46"/>
      <c r="P1130">
        <v>150</v>
      </c>
      <c r="Q1130">
        <v>0</v>
      </c>
      <c r="R1130">
        <v>0</v>
      </c>
      <c r="S1130" s="7">
        <f>Tabla1[[#This Row],[TARIFA]]+Tabla1[[#This Row],[IMPORTE EXTRAS]]</f>
        <v>150</v>
      </c>
      <c r="T1130" t="s">
        <v>45</v>
      </c>
      <c r="U1130">
        <v>50</v>
      </c>
      <c r="V1130">
        <v>100</v>
      </c>
      <c r="W1130">
        <v>0</v>
      </c>
      <c r="X1130" s="49">
        <v>0</v>
      </c>
      <c r="Y1130" s="49"/>
      <c r="Z1130" s="7">
        <f>SUM(Tabla1[[#This Row],[RES-A]:[EXTR-B]])</f>
        <v>150</v>
      </c>
      <c r="AA1130" s="7">
        <f>Tabla1[[#This Row],[Columna1]]-Tabla1[[#This Row],[IMPORTE TOTAL]]</f>
        <v>0</v>
      </c>
    </row>
    <row r="1131" spans="1:27" x14ac:dyDescent="0.2">
      <c r="A1131">
        <v>2025</v>
      </c>
      <c r="B1131" t="s">
        <v>59</v>
      </c>
      <c r="C1131" s="51">
        <v>45807</v>
      </c>
      <c r="D1131" s="3" t="s">
        <v>41</v>
      </c>
      <c r="E1131" s="3" t="s">
        <v>46</v>
      </c>
      <c r="F1131" s="3" t="s">
        <v>46</v>
      </c>
      <c r="G1131" s="4">
        <v>0.89583333333333337</v>
      </c>
      <c r="H1131" s="4">
        <v>0.10416666666666667</v>
      </c>
      <c r="I1131" t="s">
        <v>35</v>
      </c>
      <c r="J1131">
        <v>1</v>
      </c>
      <c r="L1131" s="46"/>
      <c r="P1131">
        <v>200</v>
      </c>
      <c r="Q1131">
        <v>0</v>
      </c>
      <c r="R1131">
        <v>0</v>
      </c>
      <c r="S1131" s="7">
        <f>Tabla1[[#This Row],[TARIFA]]+Tabla1[[#This Row],[IMPORTE EXTRAS]]</f>
        <v>200</v>
      </c>
      <c r="T1131" t="s">
        <v>45</v>
      </c>
      <c r="U1131">
        <v>50</v>
      </c>
      <c r="V1131">
        <v>150</v>
      </c>
      <c r="W1131">
        <v>0</v>
      </c>
      <c r="X1131" s="49">
        <v>0</v>
      </c>
      <c r="Y1131" s="49"/>
      <c r="Z1131" s="7">
        <f>SUM(Tabla1[[#This Row],[RES-A]:[EXTR-B]])</f>
        <v>200</v>
      </c>
      <c r="AA1131" s="7">
        <f>Tabla1[[#This Row],[Columna1]]-Tabla1[[#This Row],[IMPORTE TOTAL]]</f>
        <v>0</v>
      </c>
    </row>
    <row r="1132" spans="1:27" x14ac:dyDescent="0.2">
      <c r="A1132">
        <v>2025</v>
      </c>
      <c r="B1132" t="s">
        <v>59</v>
      </c>
      <c r="C1132" s="51">
        <v>45808</v>
      </c>
      <c r="D1132" s="3" t="s">
        <v>42</v>
      </c>
      <c r="E1132" s="3" t="s">
        <v>46</v>
      </c>
      <c r="F1132" s="3" t="s">
        <v>46</v>
      </c>
      <c r="G1132" s="4">
        <v>0.64583333333333337</v>
      </c>
      <c r="H1132" s="4">
        <v>0.85416666666666663</v>
      </c>
      <c r="I1132" t="s">
        <v>31</v>
      </c>
      <c r="J1132">
        <v>1</v>
      </c>
      <c r="L1132" s="46"/>
      <c r="P1132">
        <v>150</v>
      </c>
      <c r="Q1132">
        <v>0</v>
      </c>
      <c r="R1132">
        <v>0</v>
      </c>
      <c r="S1132" s="7">
        <f>Tabla1[[#This Row],[TARIFA]]+Tabla1[[#This Row],[IMPORTE EXTRAS]]</f>
        <v>150</v>
      </c>
      <c r="T1132" t="s">
        <v>45</v>
      </c>
      <c r="U1132">
        <v>50</v>
      </c>
      <c r="V1132">
        <v>100</v>
      </c>
      <c r="W1132">
        <v>0</v>
      </c>
      <c r="X1132" s="49">
        <v>0</v>
      </c>
      <c r="Y1132" s="49"/>
      <c r="Z1132" s="7">
        <f>SUM(Tabla1[[#This Row],[RES-A]:[EXTR-B]])</f>
        <v>150</v>
      </c>
      <c r="AA1132" s="7">
        <f>Tabla1[[#This Row],[Columna1]]-Tabla1[[#This Row],[IMPORTE TOTAL]]</f>
        <v>0</v>
      </c>
    </row>
    <row r="1133" spans="1:27" x14ac:dyDescent="0.2">
      <c r="A1133">
        <v>2025</v>
      </c>
      <c r="B1133" t="s">
        <v>60</v>
      </c>
      <c r="C1133" s="51">
        <v>45809</v>
      </c>
      <c r="D1133" s="3" t="s">
        <v>43</v>
      </c>
      <c r="E1133" s="3" t="s">
        <v>46</v>
      </c>
      <c r="F1133" s="3" t="s">
        <v>46</v>
      </c>
      <c r="G1133" s="4">
        <v>0.64583333333333337</v>
      </c>
      <c r="H1133" s="4">
        <v>0.85416666666666663</v>
      </c>
      <c r="I1133" t="s">
        <v>31</v>
      </c>
      <c r="J1133">
        <v>1</v>
      </c>
      <c r="L1133" s="46"/>
      <c r="P1133">
        <v>150</v>
      </c>
      <c r="Q1133">
        <v>0</v>
      </c>
      <c r="R1133">
        <v>0</v>
      </c>
      <c r="S1133" s="7">
        <f>Tabla1[[#This Row],[TARIFA]]+Tabla1[[#This Row],[IMPORTE EXTRAS]]</f>
        <v>150</v>
      </c>
      <c r="T1133" t="s">
        <v>45</v>
      </c>
      <c r="U1133">
        <v>50</v>
      </c>
      <c r="V1133">
        <v>100</v>
      </c>
      <c r="W1133">
        <v>0</v>
      </c>
      <c r="X1133" s="49">
        <v>0</v>
      </c>
      <c r="Y1133" s="49"/>
      <c r="Z1133" s="7">
        <f>SUM(Tabla1[[#This Row],[RES-A]:[EXTR-B]])</f>
        <v>150</v>
      </c>
      <c r="AA1133" s="7">
        <f>Tabla1[[#This Row],[Columna1]]-Tabla1[[#This Row],[IMPORTE TOTAL]]</f>
        <v>0</v>
      </c>
    </row>
    <row r="1134" spans="1:27" x14ac:dyDescent="0.2">
      <c r="A1134">
        <v>2025</v>
      </c>
      <c r="B1134" t="s">
        <v>60</v>
      </c>
      <c r="C1134" s="51">
        <v>45813</v>
      </c>
      <c r="D1134" s="3" t="s">
        <v>40</v>
      </c>
      <c r="E1134" s="3" t="s">
        <v>46</v>
      </c>
      <c r="F1134" s="3" t="s">
        <v>46</v>
      </c>
      <c r="G1134" s="4">
        <v>0.64583333333333337</v>
      </c>
      <c r="H1134" s="4">
        <v>0.85416666666666663</v>
      </c>
      <c r="I1134" t="s">
        <v>31</v>
      </c>
      <c r="J1134">
        <v>1</v>
      </c>
      <c r="L1134" s="46"/>
      <c r="P1134">
        <v>95</v>
      </c>
      <c r="Q1134">
        <v>0</v>
      </c>
      <c r="R1134">
        <v>0</v>
      </c>
      <c r="S1134" s="7">
        <f>Tabla1[[#This Row],[TARIFA]]+Tabla1[[#This Row],[IMPORTE EXTRAS]]</f>
        <v>95</v>
      </c>
      <c r="T1134" t="s">
        <v>45</v>
      </c>
      <c r="U1134">
        <v>50</v>
      </c>
      <c r="V1134">
        <v>45</v>
      </c>
      <c r="W1134">
        <v>0</v>
      </c>
      <c r="X1134" s="49">
        <v>0</v>
      </c>
      <c r="Y1134" s="49"/>
      <c r="Z1134" s="7">
        <f>SUM(Tabla1[[#This Row],[RES-A]:[EXTR-B]])</f>
        <v>95</v>
      </c>
      <c r="AA1134" s="7">
        <f>Tabla1[[#This Row],[Columna1]]-Tabla1[[#This Row],[IMPORTE TOTAL]]</f>
        <v>0</v>
      </c>
    </row>
    <row r="1135" spans="1:27" x14ac:dyDescent="0.2">
      <c r="A1135">
        <v>2025</v>
      </c>
      <c r="B1135" t="s">
        <v>60</v>
      </c>
      <c r="C1135" s="51">
        <v>45814</v>
      </c>
      <c r="D1135" s="3" t="s">
        <v>41</v>
      </c>
      <c r="E1135" s="3" t="s">
        <v>46</v>
      </c>
      <c r="F1135" s="3" t="s">
        <v>46</v>
      </c>
      <c r="G1135" s="4">
        <v>0.64583333333333337</v>
      </c>
      <c r="H1135" s="4">
        <v>0.85416666666666663</v>
      </c>
      <c r="I1135" t="s">
        <v>31</v>
      </c>
      <c r="J1135">
        <v>1</v>
      </c>
      <c r="L1135" s="46"/>
      <c r="P1135">
        <v>140</v>
      </c>
      <c r="Q1135">
        <v>0</v>
      </c>
      <c r="R1135">
        <v>0</v>
      </c>
      <c r="S1135" s="7">
        <f>Tabla1[[#This Row],[TARIFA]]+Tabla1[[#This Row],[IMPORTE EXTRAS]]</f>
        <v>140</v>
      </c>
      <c r="T1135" t="s">
        <v>45</v>
      </c>
      <c r="U1135">
        <v>50</v>
      </c>
      <c r="V1135">
        <v>90</v>
      </c>
      <c r="W1135">
        <v>0</v>
      </c>
      <c r="X1135" s="49">
        <v>0</v>
      </c>
      <c r="Y1135" s="49"/>
      <c r="Z1135" s="7">
        <f>SUM(Tabla1[[#This Row],[RES-A]:[EXTR-B]])</f>
        <v>140</v>
      </c>
      <c r="AA1135" s="7">
        <f>Tabla1[[#This Row],[Columna1]]-Tabla1[[#This Row],[IMPORTE TOTAL]]</f>
        <v>0</v>
      </c>
    </row>
    <row r="1136" spans="1:27" x14ac:dyDescent="0.2">
      <c r="A1136">
        <v>2025</v>
      </c>
      <c r="B1136" t="s">
        <v>60</v>
      </c>
      <c r="C1136" s="51">
        <v>45814</v>
      </c>
      <c r="D1136" s="3" t="s">
        <v>41</v>
      </c>
      <c r="E1136" s="3" t="s">
        <v>46</v>
      </c>
      <c r="F1136" s="3" t="s">
        <v>46</v>
      </c>
      <c r="G1136" s="4">
        <v>0.89583333333333337</v>
      </c>
      <c r="H1136" s="4">
        <v>0.10416666666666667</v>
      </c>
      <c r="I1136" t="s">
        <v>35</v>
      </c>
      <c r="J1136">
        <v>1</v>
      </c>
      <c r="L1136" s="46"/>
      <c r="P1136">
        <v>200</v>
      </c>
      <c r="Q1136">
        <v>0</v>
      </c>
      <c r="R1136">
        <v>0</v>
      </c>
      <c r="S1136" s="7">
        <f>Tabla1[[#This Row],[TARIFA]]+Tabla1[[#This Row],[IMPORTE EXTRAS]]</f>
        <v>200</v>
      </c>
      <c r="T1136" t="s">
        <v>45</v>
      </c>
      <c r="U1136">
        <v>50</v>
      </c>
      <c r="V1136">
        <v>150</v>
      </c>
      <c r="W1136">
        <v>0</v>
      </c>
      <c r="X1136" s="49">
        <v>0</v>
      </c>
      <c r="Y1136" s="49"/>
      <c r="Z1136" s="7">
        <f>SUM(Tabla1[[#This Row],[RES-A]:[EXTR-B]])</f>
        <v>200</v>
      </c>
      <c r="AA1136" s="7">
        <f>Tabla1[[#This Row],[Columna1]]-Tabla1[[#This Row],[IMPORTE TOTAL]]</f>
        <v>0</v>
      </c>
    </row>
    <row r="1137" spans="1:27" x14ac:dyDescent="0.2">
      <c r="A1137">
        <v>2025</v>
      </c>
      <c r="B1137" t="s">
        <v>60</v>
      </c>
      <c r="C1137" s="51">
        <v>45815</v>
      </c>
      <c r="D1137" s="3" t="s">
        <v>42</v>
      </c>
      <c r="E1137" s="3" t="s">
        <v>46</v>
      </c>
      <c r="F1137" s="3" t="s">
        <v>46</v>
      </c>
      <c r="G1137" s="4">
        <v>0.64583333333333337</v>
      </c>
      <c r="H1137" s="4">
        <v>0.85416666666666663</v>
      </c>
      <c r="I1137" t="s">
        <v>31</v>
      </c>
      <c r="J1137">
        <v>1</v>
      </c>
      <c r="L1137" s="46"/>
      <c r="P1137">
        <v>150</v>
      </c>
      <c r="Q1137">
        <v>0</v>
      </c>
      <c r="R1137">
        <v>0</v>
      </c>
      <c r="S1137" s="7">
        <f>Tabla1[[#This Row],[TARIFA]]+Tabla1[[#This Row],[IMPORTE EXTRAS]]</f>
        <v>150</v>
      </c>
      <c r="T1137" t="s">
        <v>45</v>
      </c>
      <c r="U1137">
        <v>50</v>
      </c>
      <c r="V1137">
        <v>100</v>
      </c>
      <c r="W1137">
        <v>0</v>
      </c>
      <c r="X1137" s="49">
        <v>0</v>
      </c>
      <c r="Y1137" s="49"/>
      <c r="Z1137" s="7">
        <f>SUM(Tabla1[[#This Row],[RES-A]:[EXTR-B]])</f>
        <v>150</v>
      </c>
      <c r="AA1137" s="7">
        <f>Tabla1[[#This Row],[Columna1]]-Tabla1[[#This Row],[IMPORTE TOTAL]]</f>
        <v>0</v>
      </c>
    </row>
    <row r="1138" spans="1:27" x14ac:dyDescent="0.2">
      <c r="A1138">
        <v>2025</v>
      </c>
      <c r="B1138" t="s">
        <v>60</v>
      </c>
      <c r="C1138" s="51">
        <v>45815</v>
      </c>
      <c r="D1138" s="3" t="s">
        <v>42</v>
      </c>
      <c r="E1138" s="3" t="s">
        <v>46</v>
      </c>
      <c r="F1138" s="3" t="s">
        <v>46</v>
      </c>
      <c r="G1138" s="4">
        <v>0.89583333333333337</v>
      </c>
      <c r="H1138" s="4">
        <v>0.10416666666666667</v>
      </c>
      <c r="I1138" t="s">
        <v>35</v>
      </c>
      <c r="J1138">
        <v>1</v>
      </c>
      <c r="L1138" s="46"/>
      <c r="P1138">
        <v>200</v>
      </c>
      <c r="Q1138">
        <v>0</v>
      </c>
      <c r="R1138">
        <v>0</v>
      </c>
      <c r="S1138" s="7">
        <f>Tabla1[[#This Row],[TARIFA]]+Tabla1[[#This Row],[IMPORTE EXTRAS]]</f>
        <v>200</v>
      </c>
      <c r="T1138" t="s">
        <v>45</v>
      </c>
      <c r="U1138">
        <v>50</v>
      </c>
      <c r="V1138">
        <v>150</v>
      </c>
      <c r="W1138">
        <v>0</v>
      </c>
      <c r="X1138" s="49">
        <v>0</v>
      </c>
      <c r="Y1138" s="49"/>
      <c r="Z1138" s="7">
        <f>SUM(Tabla1[[#This Row],[RES-A]:[EXTR-B]])</f>
        <v>200</v>
      </c>
      <c r="AA1138" s="7">
        <f>Tabla1[[#This Row],[Columna1]]-Tabla1[[#This Row],[IMPORTE TOTAL]]</f>
        <v>0</v>
      </c>
    </row>
    <row r="1139" spans="1:27" x14ac:dyDescent="0.2">
      <c r="A1139">
        <v>2025</v>
      </c>
      <c r="B1139" t="s">
        <v>60</v>
      </c>
      <c r="C1139" s="51">
        <v>45816</v>
      </c>
      <c r="D1139" s="3" t="s">
        <v>43</v>
      </c>
      <c r="E1139" s="3" t="s">
        <v>46</v>
      </c>
      <c r="F1139" s="3" t="s">
        <v>46</v>
      </c>
      <c r="G1139" s="4">
        <v>0.39583333333333331</v>
      </c>
      <c r="H1139" s="4">
        <v>0.60416666666666663</v>
      </c>
      <c r="I1139" t="s">
        <v>30</v>
      </c>
      <c r="J1139">
        <v>1</v>
      </c>
      <c r="L1139" s="46"/>
      <c r="P1139">
        <v>150</v>
      </c>
      <c r="Q1139">
        <v>0</v>
      </c>
      <c r="R1139">
        <v>0</v>
      </c>
      <c r="S1139" s="7">
        <f>Tabla1[[#This Row],[TARIFA]]+Tabla1[[#This Row],[IMPORTE EXTRAS]]</f>
        <v>150</v>
      </c>
      <c r="T1139" t="s">
        <v>45</v>
      </c>
      <c r="U1139">
        <v>50</v>
      </c>
      <c r="V1139">
        <v>100</v>
      </c>
      <c r="W1139">
        <v>0</v>
      </c>
      <c r="X1139" s="49">
        <v>0</v>
      </c>
      <c r="Y1139" s="49"/>
      <c r="Z1139" s="7">
        <f>SUM(Tabla1[[#This Row],[RES-A]:[EXTR-B]])</f>
        <v>150</v>
      </c>
      <c r="AA1139" s="7">
        <f>Tabla1[[#This Row],[Columna1]]-Tabla1[[#This Row],[IMPORTE TOTAL]]</f>
        <v>0</v>
      </c>
    </row>
    <row r="1140" spans="1:27" x14ac:dyDescent="0.2">
      <c r="A1140">
        <v>2025</v>
      </c>
      <c r="B1140" t="s">
        <v>60</v>
      </c>
      <c r="C1140" s="51">
        <v>45816</v>
      </c>
      <c r="D1140" s="3" t="s">
        <v>43</v>
      </c>
      <c r="E1140" s="3" t="s">
        <v>46</v>
      </c>
      <c r="F1140" s="3" t="s">
        <v>46</v>
      </c>
      <c r="G1140" s="4">
        <v>0.64583333333333337</v>
      </c>
      <c r="H1140" s="4">
        <v>0.85416666666666663</v>
      </c>
      <c r="I1140" t="s">
        <v>31</v>
      </c>
      <c r="J1140">
        <v>1</v>
      </c>
      <c r="L1140" s="46"/>
      <c r="P1140">
        <v>150</v>
      </c>
      <c r="Q1140">
        <v>0</v>
      </c>
      <c r="R1140">
        <v>0</v>
      </c>
      <c r="S1140" s="7">
        <f>Tabla1[[#This Row],[TARIFA]]+Tabla1[[#This Row],[IMPORTE EXTRAS]]</f>
        <v>150</v>
      </c>
      <c r="T1140" t="s">
        <v>45</v>
      </c>
      <c r="U1140">
        <v>50</v>
      </c>
      <c r="V1140">
        <v>100</v>
      </c>
      <c r="W1140">
        <v>0</v>
      </c>
      <c r="X1140" s="49">
        <v>0</v>
      </c>
      <c r="Y1140" s="49"/>
      <c r="Z1140" s="7">
        <f>SUM(Tabla1[[#This Row],[RES-A]:[EXTR-B]])</f>
        <v>150</v>
      </c>
      <c r="AA1140" s="7">
        <f>Tabla1[[#This Row],[Columna1]]-Tabla1[[#This Row],[IMPORTE TOTAL]]</f>
        <v>0</v>
      </c>
    </row>
    <row r="1141" spans="1:27" x14ac:dyDescent="0.2">
      <c r="A1141">
        <v>2025</v>
      </c>
      <c r="B1141" t="s">
        <v>60</v>
      </c>
      <c r="C1141" s="51">
        <v>45817</v>
      </c>
      <c r="D1141" s="3" t="s">
        <v>37</v>
      </c>
      <c r="E1141" s="3" t="s">
        <v>46</v>
      </c>
      <c r="F1141" s="3" t="s">
        <v>46</v>
      </c>
      <c r="G1141" s="4">
        <v>0.64583333333333337</v>
      </c>
      <c r="H1141" s="4">
        <v>0</v>
      </c>
      <c r="I1141" t="s">
        <v>35</v>
      </c>
      <c r="J1141">
        <v>1</v>
      </c>
      <c r="L1141" s="46"/>
      <c r="P1141">
        <v>160</v>
      </c>
      <c r="Q1141">
        <v>0</v>
      </c>
      <c r="R1141">
        <v>0</v>
      </c>
      <c r="S1141" s="7">
        <f>Tabla1[[#This Row],[TARIFA]]+Tabla1[[#This Row],[IMPORTE EXTRAS]]</f>
        <v>160</v>
      </c>
      <c r="T1141" t="s">
        <v>45</v>
      </c>
      <c r="U1141">
        <v>50</v>
      </c>
      <c r="V1141">
        <v>110</v>
      </c>
      <c r="W1141">
        <v>0</v>
      </c>
      <c r="X1141" s="49">
        <v>0</v>
      </c>
      <c r="Y1141" s="49"/>
      <c r="Z1141" s="7">
        <f>SUM(Tabla1[[#This Row],[RES-A]:[EXTR-B]])</f>
        <v>160</v>
      </c>
      <c r="AA1141" s="7">
        <f>Tabla1[[#This Row],[Columna1]]-Tabla1[[#This Row],[IMPORTE TOTAL]]</f>
        <v>0</v>
      </c>
    </row>
    <row r="1142" spans="1:27" x14ac:dyDescent="0.2">
      <c r="A1142">
        <v>2025</v>
      </c>
      <c r="B1142" t="s">
        <v>60</v>
      </c>
      <c r="C1142" s="51">
        <v>45821</v>
      </c>
      <c r="D1142" s="3" t="s">
        <v>41</v>
      </c>
      <c r="E1142" s="3" t="s">
        <v>46</v>
      </c>
      <c r="F1142" s="3" t="s">
        <v>46</v>
      </c>
      <c r="G1142" s="4">
        <v>0.64583333333333337</v>
      </c>
      <c r="H1142" s="4">
        <v>0.10416666666666667</v>
      </c>
      <c r="I1142" t="s">
        <v>53</v>
      </c>
      <c r="J1142">
        <v>2</v>
      </c>
      <c r="L1142" s="46"/>
      <c r="P1142">
        <v>300</v>
      </c>
      <c r="Q1142">
        <v>1</v>
      </c>
      <c r="R1142">
        <v>60</v>
      </c>
      <c r="S1142" s="7">
        <f>Tabla1[[#This Row],[TARIFA]]+Tabla1[[#This Row],[IMPORTE EXTRAS]]</f>
        <v>360</v>
      </c>
      <c r="T1142" t="s">
        <v>45</v>
      </c>
      <c r="U1142">
        <v>50</v>
      </c>
      <c r="V1142">
        <v>250</v>
      </c>
      <c r="W1142">
        <v>0</v>
      </c>
      <c r="X1142" s="49">
        <v>60</v>
      </c>
      <c r="Y1142" s="49"/>
      <c r="Z1142" s="7">
        <f>SUM(Tabla1[[#This Row],[RES-A]:[EXTR-B]])</f>
        <v>360</v>
      </c>
      <c r="AA1142" s="7">
        <f>Tabla1[[#This Row],[Columna1]]-Tabla1[[#This Row],[IMPORTE TOTAL]]</f>
        <v>0</v>
      </c>
    </row>
    <row r="1143" spans="1:27" x14ac:dyDescent="0.2">
      <c r="A1143">
        <v>2025</v>
      </c>
      <c r="B1143" t="s">
        <v>60</v>
      </c>
      <c r="C1143" s="51">
        <v>45822</v>
      </c>
      <c r="D1143" s="3" t="s">
        <v>42</v>
      </c>
      <c r="E1143" s="3" t="s">
        <v>46</v>
      </c>
      <c r="F1143" s="3" t="s">
        <v>46</v>
      </c>
      <c r="G1143" s="4">
        <v>0.39583333333333331</v>
      </c>
      <c r="H1143" s="4">
        <v>0.60416666666666663</v>
      </c>
      <c r="I1143" t="s">
        <v>30</v>
      </c>
      <c r="J1143">
        <v>1</v>
      </c>
      <c r="L1143" s="46"/>
      <c r="P1143">
        <v>150</v>
      </c>
      <c r="Q1143">
        <v>0</v>
      </c>
      <c r="R1143">
        <v>0</v>
      </c>
      <c r="S1143" s="7">
        <f>Tabla1[[#This Row],[TARIFA]]+Tabla1[[#This Row],[IMPORTE EXTRAS]]</f>
        <v>150</v>
      </c>
      <c r="T1143" t="s">
        <v>45</v>
      </c>
      <c r="U1143">
        <v>50</v>
      </c>
      <c r="V1143">
        <v>100</v>
      </c>
      <c r="W1143">
        <v>0</v>
      </c>
      <c r="X1143" s="49">
        <v>0</v>
      </c>
      <c r="Y1143" s="49"/>
      <c r="Z1143" s="7">
        <f>SUM(Tabla1[[#This Row],[RES-A]:[EXTR-B]])</f>
        <v>150</v>
      </c>
      <c r="AA1143" s="7">
        <f>Tabla1[[#This Row],[Columna1]]-Tabla1[[#This Row],[IMPORTE TOTAL]]</f>
        <v>0</v>
      </c>
    </row>
    <row r="1144" spans="1:27" x14ac:dyDescent="0.2">
      <c r="A1144">
        <v>2025</v>
      </c>
      <c r="B1144" t="s">
        <v>60</v>
      </c>
      <c r="C1144" s="51">
        <v>45823</v>
      </c>
      <c r="D1144" s="3" t="s">
        <v>42</v>
      </c>
      <c r="E1144" s="3" t="s">
        <v>46</v>
      </c>
      <c r="F1144" s="3" t="s">
        <v>46</v>
      </c>
      <c r="G1144" s="4">
        <v>0.64583333333333337</v>
      </c>
      <c r="H1144" s="4">
        <v>0.10416666666666667</v>
      </c>
      <c r="I1144" t="s">
        <v>53</v>
      </c>
      <c r="J1144">
        <v>2</v>
      </c>
      <c r="L1144" s="46"/>
      <c r="P1144">
        <v>320</v>
      </c>
      <c r="Q1144">
        <v>0</v>
      </c>
      <c r="R1144">
        <v>0</v>
      </c>
      <c r="S1144" s="7">
        <f>Tabla1[[#This Row],[TARIFA]]+Tabla1[[#This Row],[IMPORTE EXTRAS]]</f>
        <v>320</v>
      </c>
      <c r="T1144" t="s">
        <v>45</v>
      </c>
      <c r="U1144">
        <v>50</v>
      </c>
      <c r="V1144">
        <v>270</v>
      </c>
      <c r="W1144">
        <v>0</v>
      </c>
      <c r="X1144" s="49">
        <v>0</v>
      </c>
      <c r="Y1144" s="49"/>
      <c r="Z1144" s="7">
        <f>SUM(Tabla1[[#This Row],[RES-A]:[EXTR-B]])</f>
        <v>320</v>
      </c>
      <c r="AA1144" s="7">
        <f>Tabla1[[#This Row],[Columna1]]-Tabla1[[#This Row],[IMPORTE TOTAL]]</f>
        <v>0</v>
      </c>
    </row>
    <row r="1145" spans="1:27" x14ac:dyDescent="0.2">
      <c r="A1145">
        <v>2025</v>
      </c>
      <c r="B1145" t="s">
        <v>60</v>
      </c>
      <c r="C1145" s="51">
        <v>45824</v>
      </c>
      <c r="D1145" s="3" t="s">
        <v>43</v>
      </c>
      <c r="E1145" s="3" t="s">
        <v>46</v>
      </c>
      <c r="F1145" s="3" t="s">
        <v>46</v>
      </c>
      <c r="G1145" s="4">
        <v>0.39583333333333331</v>
      </c>
      <c r="H1145" s="4">
        <v>0.60416666666666663</v>
      </c>
      <c r="I1145" t="s">
        <v>30</v>
      </c>
      <c r="J1145">
        <v>1</v>
      </c>
      <c r="L1145" s="46"/>
      <c r="P1145">
        <v>150</v>
      </c>
      <c r="Q1145">
        <v>0</v>
      </c>
      <c r="R1145">
        <v>0</v>
      </c>
      <c r="S1145" s="7">
        <f>Tabla1[[#This Row],[TARIFA]]+Tabla1[[#This Row],[IMPORTE EXTRAS]]</f>
        <v>150</v>
      </c>
      <c r="T1145" t="s">
        <v>45</v>
      </c>
      <c r="U1145">
        <v>50</v>
      </c>
      <c r="V1145">
        <v>100</v>
      </c>
      <c r="W1145">
        <v>0</v>
      </c>
      <c r="X1145" s="49">
        <v>0</v>
      </c>
      <c r="Y1145" s="49"/>
      <c r="Z1145" s="7">
        <f>SUM(Tabla1[[#This Row],[RES-A]:[EXTR-B]])</f>
        <v>150</v>
      </c>
      <c r="AA1145" s="7">
        <f>Tabla1[[#This Row],[Columna1]]-Tabla1[[#This Row],[IMPORTE TOTAL]]</f>
        <v>0</v>
      </c>
    </row>
    <row r="1146" spans="1:27" x14ac:dyDescent="0.2">
      <c r="A1146">
        <v>2025</v>
      </c>
      <c r="B1146" t="s">
        <v>60</v>
      </c>
      <c r="C1146" s="51">
        <v>45824</v>
      </c>
      <c r="D1146" s="3" t="s">
        <v>43</v>
      </c>
      <c r="E1146" s="3" t="s">
        <v>46</v>
      </c>
      <c r="F1146" s="3" t="s">
        <v>46</v>
      </c>
      <c r="G1146" s="4">
        <v>0.64583333333333337</v>
      </c>
      <c r="H1146" s="4">
        <v>0.85416666666666663</v>
      </c>
      <c r="I1146" t="s">
        <v>31</v>
      </c>
      <c r="J1146">
        <v>1</v>
      </c>
      <c r="L1146" s="46"/>
      <c r="P1146">
        <v>150</v>
      </c>
      <c r="Q1146">
        <v>0</v>
      </c>
      <c r="R1146">
        <v>0</v>
      </c>
      <c r="S1146" s="7">
        <f>Tabla1[[#This Row],[TARIFA]]+Tabla1[[#This Row],[IMPORTE EXTRAS]]</f>
        <v>150</v>
      </c>
      <c r="T1146" t="s">
        <v>45</v>
      </c>
      <c r="U1146">
        <v>50</v>
      </c>
      <c r="V1146">
        <v>100</v>
      </c>
      <c r="W1146">
        <v>0</v>
      </c>
      <c r="X1146" s="49">
        <v>0</v>
      </c>
      <c r="Y1146" s="49"/>
      <c r="Z1146" s="7">
        <f>SUM(Tabla1[[#This Row],[RES-A]:[EXTR-B]])</f>
        <v>150</v>
      </c>
      <c r="AA1146" s="7">
        <f>Tabla1[[#This Row],[Columna1]]-Tabla1[[#This Row],[IMPORTE TOTAL]]</f>
        <v>0</v>
      </c>
    </row>
    <row r="1147" spans="1:27" x14ac:dyDescent="0.2">
      <c r="A1147">
        <v>2025</v>
      </c>
      <c r="B1147" t="s">
        <v>60</v>
      </c>
      <c r="C1147" s="51">
        <v>45826</v>
      </c>
      <c r="D1147" s="3" t="s">
        <v>39</v>
      </c>
      <c r="E1147" s="3" t="s">
        <v>46</v>
      </c>
      <c r="F1147" s="3" t="s">
        <v>46</v>
      </c>
      <c r="G1147" s="4">
        <v>0.64583333333333337</v>
      </c>
      <c r="H1147" s="4">
        <v>0.85416666666666663</v>
      </c>
      <c r="I1147" t="s">
        <v>31</v>
      </c>
      <c r="J1147">
        <v>1</v>
      </c>
      <c r="L1147" s="46"/>
      <c r="P1147">
        <v>95</v>
      </c>
      <c r="Q1147">
        <v>0</v>
      </c>
      <c r="R1147">
        <v>0</v>
      </c>
      <c r="S1147" s="7">
        <f>Tabla1[[#This Row],[TARIFA]]+Tabla1[[#This Row],[IMPORTE EXTRAS]]</f>
        <v>95</v>
      </c>
      <c r="T1147" t="s">
        <v>45</v>
      </c>
      <c r="U1147">
        <v>50</v>
      </c>
      <c r="V1147">
        <v>45</v>
      </c>
      <c r="W1147">
        <v>0</v>
      </c>
      <c r="X1147" s="49">
        <v>0</v>
      </c>
      <c r="Y1147" s="49"/>
      <c r="Z1147" s="7">
        <f>SUM(Tabla1[[#This Row],[RES-A]:[EXTR-B]])</f>
        <v>95</v>
      </c>
      <c r="AA1147" s="7">
        <f>Tabla1[[#This Row],[Columna1]]-Tabla1[[#This Row],[IMPORTE TOTAL]]</f>
        <v>0</v>
      </c>
    </row>
    <row r="1148" spans="1:27" x14ac:dyDescent="0.2">
      <c r="A1148">
        <v>2025</v>
      </c>
      <c r="B1148" t="s">
        <v>60</v>
      </c>
      <c r="C1148" s="51">
        <v>45828</v>
      </c>
      <c r="D1148" s="3" t="s">
        <v>41</v>
      </c>
      <c r="E1148" s="3" t="s">
        <v>46</v>
      </c>
      <c r="F1148" s="3" t="s">
        <v>46</v>
      </c>
      <c r="G1148" s="4">
        <v>0.64583333333333337</v>
      </c>
      <c r="H1148" s="4">
        <v>0.10416666666666667</v>
      </c>
      <c r="I1148" t="s">
        <v>53</v>
      </c>
      <c r="J1148">
        <v>2</v>
      </c>
      <c r="L1148" s="46"/>
      <c r="P1148">
        <v>300</v>
      </c>
      <c r="Q1148">
        <v>0</v>
      </c>
      <c r="R1148">
        <v>0</v>
      </c>
      <c r="S1148" s="7">
        <f>Tabla1[[#This Row],[TARIFA]]+Tabla1[[#This Row],[IMPORTE EXTRAS]]</f>
        <v>300</v>
      </c>
      <c r="T1148" t="s">
        <v>45</v>
      </c>
      <c r="U1148">
        <v>50</v>
      </c>
      <c r="V1148">
        <v>250</v>
      </c>
      <c r="W1148">
        <v>0</v>
      </c>
      <c r="X1148" s="49">
        <v>60</v>
      </c>
      <c r="Y1148" s="49"/>
      <c r="Z1148" s="7">
        <f>SUM(Tabla1[[#This Row],[RES-A]:[EXTR-B]])</f>
        <v>360</v>
      </c>
      <c r="AA1148" s="7">
        <f>Tabla1[[#This Row],[Columna1]]-Tabla1[[#This Row],[IMPORTE TOTAL]]</f>
        <v>60</v>
      </c>
    </row>
    <row r="1149" spans="1:27" x14ac:dyDescent="0.2">
      <c r="A1149">
        <v>2025</v>
      </c>
      <c r="B1149" t="s">
        <v>60</v>
      </c>
      <c r="C1149" s="51">
        <v>45829</v>
      </c>
      <c r="D1149" s="3" t="s">
        <v>42</v>
      </c>
      <c r="E1149" s="3" t="s">
        <v>46</v>
      </c>
      <c r="F1149" s="3" t="s">
        <v>46</v>
      </c>
      <c r="G1149" s="4">
        <v>0.64583333333333337</v>
      </c>
      <c r="H1149" s="4">
        <v>0.85416666666666663</v>
      </c>
      <c r="I1149" t="s">
        <v>31</v>
      </c>
      <c r="J1149">
        <v>1</v>
      </c>
      <c r="L1149" s="46"/>
      <c r="P1149">
        <v>150</v>
      </c>
      <c r="Q1149">
        <v>0</v>
      </c>
      <c r="R1149">
        <v>0</v>
      </c>
      <c r="S1149" s="7">
        <f>Tabla1[[#This Row],[TARIFA]]+Tabla1[[#This Row],[IMPORTE EXTRAS]]</f>
        <v>150</v>
      </c>
      <c r="T1149" t="s">
        <v>45</v>
      </c>
      <c r="U1149">
        <v>150</v>
      </c>
      <c r="V1149">
        <v>0</v>
      </c>
      <c r="W1149">
        <v>0</v>
      </c>
      <c r="X1149" s="49">
        <v>0</v>
      </c>
      <c r="Y1149" s="49"/>
      <c r="Z1149" s="7">
        <f>SUM(Tabla1[[#This Row],[RES-A]:[EXTR-B]])</f>
        <v>150</v>
      </c>
      <c r="AA1149" s="7">
        <f>Tabla1[[#This Row],[Columna1]]-Tabla1[[#This Row],[IMPORTE TOTAL]]</f>
        <v>0</v>
      </c>
    </row>
    <row r="1150" spans="1:27" x14ac:dyDescent="0.2">
      <c r="A1150">
        <v>2025</v>
      </c>
      <c r="B1150" t="s">
        <v>60</v>
      </c>
      <c r="C1150" s="51">
        <v>45829</v>
      </c>
      <c r="D1150" s="3" t="s">
        <v>42</v>
      </c>
      <c r="E1150" s="3" t="s">
        <v>46</v>
      </c>
      <c r="F1150" s="3" t="s">
        <v>46</v>
      </c>
      <c r="G1150" s="4">
        <v>0.89583333333333337</v>
      </c>
      <c r="H1150" s="4">
        <v>0.10416666666666667</v>
      </c>
      <c r="I1150" t="s">
        <v>35</v>
      </c>
      <c r="J1150">
        <v>1</v>
      </c>
      <c r="L1150" s="46"/>
      <c r="P1150">
        <v>200</v>
      </c>
      <c r="Q1150">
        <v>0</v>
      </c>
      <c r="R1150">
        <v>0</v>
      </c>
      <c r="S1150" s="7">
        <f>Tabla1[[#This Row],[TARIFA]]+Tabla1[[#This Row],[IMPORTE EXTRAS]]</f>
        <v>200</v>
      </c>
      <c r="T1150" t="s">
        <v>45</v>
      </c>
      <c r="U1150">
        <v>50</v>
      </c>
      <c r="V1150">
        <v>150</v>
      </c>
      <c r="W1150">
        <v>0</v>
      </c>
      <c r="X1150" s="49">
        <v>0</v>
      </c>
      <c r="Y1150" s="49"/>
      <c r="Z1150" s="7">
        <f>SUM(Tabla1[[#This Row],[RES-A]:[EXTR-B]])</f>
        <v>200</v>
      </c>
      <c r="AA1150" s="7">
        <f>Tabla1[[#This Row],[Columna1]]-Tabla1[[#This Row],[IMPORTE TOTAL]]</f>
        <v>0</v>
      </c>
    </row>
    <row r="1151" spans="1:27" x14ac:dyDescent="0.2">
      <c r="A1151">
        <v>2025</v>
      </c>
      <c r="B1151" t="s">
        <v>60</v>
      </c>
      <c r="C1151" s="51">
        <v>45830</v>
      </c>
      <c r="D1151" s="3" t="s">
        <v>43</v>
      </c>
      <c r="E1151" s="3" t="s">
        <v>46</v>
      </c>
      <c r="F1151" s="3" t="s">
        <v>46</v>
      </c>
      <c r="G1151" s="4">
        <v>0.64583333333333337</v>
      </c>
      <c r="H1151" s="4">
        <v>0.85416666666666663</v>
      </c>
      <c r="I1151" t="s">
        <v>31</v>
      </c>
      <c r="J1151">
        <v>1</v>
      </c>
      <c r="L1151" s="46"/>
      <c r="P1151">
        <v>150</v>
      </c>
      <c r="Q1151">
        <v>0</v>
      </c>
      <c r="R1151">
        <v>0</v>
      </c>
      <c r="S1151" s="7">
        <f>Tabla1[[#This Row],[TARIFA]]+Tabla1[[#This Row],[IMPORTE EXTRAS]]</f>
        <v>150</v>
      </c>
      <c r="T1151" t="s">
        <v>45</v>
      </c>
      <c r="U1151">
        <v>50</v>
      </c>
      <c r="V1151">
        <v>100</v>
      </c>
      <c r="W1151">
        <v>0</v>
      </c>
      <c r="X1151" s="49">
        <v>0</v>
      </c>
      <c r="Y1151" s="49"/>
      <c r="Z1151" s="7">
        <f>SUM(Tabla1[[#This Row],[RES-A]:[EXTR-B]])</f>
        <v>150</v>
      </c>
      <c r="AA1151" s="7">
        <f>Tabla1[[#This Row],[Columna1]]-Tabla1[[#This Row],[IMPORTE TOTAL]]</f>
        <v>0</v>
      </c>
    </row>
    <row r="1152" spans="1:27" x14ac:dyDescent="0.2">
      <c r="A1152">
        <v>2025</v>
      </c>
      <c r="B1152" t="s">
        <v>60</v>
      </c>
      <c r="C1152" s="51">
        <v>45831</v>
      </c>
      <c r="D1152" s="3" t="s">
        <v>37</v>
      </c>
      <c r="E1152" s="3" t="s">
        <v>46</v>
      </c>
      <c r="F1152" s="3" t="s">
        <v>45</v>
      </c>
      <c r="G1152" s="4">
        <v>0.89583333333333337</v>
      </c>
      <c r="H1152" s="4">
        <v>0.10416666666666667</v>
      </c>
      <c r="I1152" t="s">
        <v>35</v>
      </c>
      <c r="J1152">
        <v>1</v>
      </c>
      <c r="L1152" s="46"/>
      <c r="P1152">
        <v>200</v>
      </c>
      <c r="Q1152">
        <v>0</v>
      </c>
      <c r="R1152">
        <v>0</v>
      </c>
      <c r="S1152" s="7">
        <f>Tabla1[[#This Row],[TARIFA]]+Tabla1[[#This Row],[IMPORTE EXTRAS]]</f>
        <v>200</v>
      </c>
      <c r="T1152" t="s">
        <v>46</v>
      </c>
      <c r="U1152">
        <v>0</v>
      </c>
      <c r="V1152">
        <v>0</v>
      </c>
      <c r="W1152">
        <v>0</v>
      </c>
      <c r="X1152" s="49">
        <v>0</v>
      </c>
      <c r="Y1152" s="49"/>
      <c r="Z1152" s="7">
        <f>SUM(Tabla1[[#This Row],[RES-A]:[EXTR-B]])</f>
        <v>0</v>
      </c>
      <c r="AA1152" s="7">
        <f>Tabla1[[#This Row],[Columna1]]-Tabla1[[#This Row],[IMPORTE TOTAL]]</f>
        <v>-200</v>
      </c>
    </row>
    <row r="1153" spans="1:27" x14ac:dyDescent="0.2">
      <c r="A1153">
        <v>2025</v>
      </c>
      <c r="B1153" t="s">
        <v>60</v>
      </c>
      <c r="C1153" s="51">
        <v>45832</v>
      </c>
      <c r="D1153" s="3" t="s">
        <v>37</v>
      </c>
      <c r="E1153" s="3" t="s">
        <v>45</v>
      </c>
      <c r="F1153" s="3" t="s">
        <v>46</v>
      </c>
      <c r="G1153" s="4">
        <v>0.64583333333333337</v>
      </c>
      <c r="H1153" s="4">
        <v>0.85416666666666663</v>
      </c>
      <c r="I1153" t="s">
        <v>31</v>
      </c>
      <c r="J1153">
        <v>1</v>
      </c>
      <c r="L1153" s="46"/>
      <c r="P1153">
        <v>150</v>
      </c>
      <c r="Q1153">
        <v>0</v>
      </c>
      <c r="R1153">
        <v>0</v>
      </c>
      <c r="S1153" s="7">
        <f>Tabla1[[#This Row],[TARIFA]]+Tabla1[[#This Row],[IMPORTE EXTRAS]]</f>
        <v>150</v>
      </c>
      <c r="T1153" t="s">
        <v>46</v>
      </c>
      <c r="U1153">
        <v>0</v>
      </c>
      <c r="V1153">
        <v>0</v>
      </c>
      <c r="W1153">
        <v>0</v>
      </c>
      <c r="X1153" s="49">
        <v>0</v>
      </c>
      <c r="Y1153" s="49"/>
      <c r="Z1153" s="7">
        <f>SUM(Tabla1[[#This Row],[RES-A]:[EXTR-B]])</f>
        <v>0</v>
      </c>
      <c r="AA1153" s="7">
        <f>Tabla1[[#This Row],[Columna1]]-Tabla1[[#This Row],[IMPORTE TOTAL]]</f>
        <v>-150</v>
      </c>
    </row>
    <row r="1154" spans="1:27" x14ac:dyDescent="0.2">
      <c r="A1154">
        <v>2025</v>
      </c>
      <c r="B1154" t="s">
        <v>60</v>
      </c>
      <c r="C1154" s="51">
        <v>45835</v>
      </c>
      <c r="D1154" s="3" t="s">
        <v>41</v>
      </c>
      <c r="E1154" s="3" t="s">
        <v>46</v>
      </c>
      <c r="F1154" s="3" t="s">
        <v>46</v>
      </c>
      <c r="G1154" s="4">
        <v>0.89583333333333337</v>
      </c>
      <c r="H1154" s="4">
        <v>0.10416666666666667</v>
      </c>
      <c r="I1154" t="s">
        <v>35</v>
      </c>
      <c r="J1154">
        <v>1</v>
      </c>
      <c r="L1154" s="46"/>
      <c r="P1154">
        <v>200</v>
      </c>
      <c r="Q1154">
        <v>0</v>
      </c>
      <c r="R1154">
        <v>0</v>
      </c>
      <c r="S1154" s="7">
        <f>Tabla1[[#This Row],[TARIFA]]+Tabla1[[#This Row],[IMPORTE EXTRAS]]</f>
        <v>200</v>
      </c>
      <c r="T1154" t="s">
        <v>46</v>
      </c>
      <c r="U1154">
        <v>0</v>
      </c>
      <c r="V1154">
        <v>0</v>
      </c>
      <c r="W1154">
        <v>0</v>
      </c>
      <c r="X1154" s="49">
        <v>0</v>
      </c>
      <c r="Y1154" s="49"/>
      <c r="Z1154" s="7">
        <f>SUM(Tabla1[[#This Row],[RES-A]:[EXTR-B]])</f>
        <v>0</v>
      </c>
      <c r="AA1154" s="7">
        <f>Tabla1[[#This Row],[Columna1]]-Tabla1[[#This Row],[IMPORTE TOTAL]]</f>
        <v>-200</v>
      </c>
    </row>
    <row r="1155" spans="1:27" x14ac:dyDescent="0.2">
      <c r="A1155">
        <v>2025</v>
      </c>
      <c r="B1155" t="s">
        <v>60</v>
      </c>
      <c r="C1155" s="51">
        <v>45836</v>
      </c>
      <c r="D1155" s="3" t="s">
        <v>42</v>
      </c>
      <c r="E1155" s="3" t="s">
        <v>46</v>
      </c>
      <c r="F1155" s="3" t="s">
        <v>46</v>
      </c>
      <c r="G1155" s="4">
        <v>0.39583333333333331</v>
      </c>
      <c r="H1155" s="4">
        <v>0.60416666666666663</v>
      </c>
      <c r="I1155" t="s">
        <v>30</v>
      </c>
      <c r="J1155">
        <v>1</v>
      </c>
      <c r="L1155" s="46"/>
      <c r="P1155">
        <v>150</v>
      </c>
      <c r="Q1155">
        <v>0</v>
      </c>
      <c r="R1155">
        <v>0</v>
      </c>
      <c r="S1155" s="7">
        <f>Tabla1[[#This Row],[TARIFA]]+Tabla1[[#This Row],[IMPORTE EXTRAS]]</f>
        <v>150</v>
      </c>
      <c r="T1155" t="s">
        <v>46</v>
      </c>
      <c r="U1155">
        <v>0</v>
      </c>
      <c r="V1155">
        <v>0</v>
      </c>
      <c r="W1155">
        <v>0</v>
      </c>
      <c r="X1155" s="49">
        <v>0</v>
      </c>
      <c r="Y1155" s="49"/>
      <c r="Z1155" s="7">
        <f>SUM(Tabla1[[#This Row],[RES-A]:[EXTR-B]])</f>
        <v>0</v>
      </c>
      <c r="AA1155" s="7">
        <f>Tabla1[[#This Row],[Columna1]]-Tabla1[[#This Row],[IMPORTE TOTAL]]</f>
        <v>-150</v>
      </c>
    </row>
    <row r="1156" spans="1:27" x14ac:dyDescent="0.2">
      <c r="A1156">
        <v>2025</v>
      </c>
      <c r="B1156" t="s">
        <v>60</v>
      </c>
      <c r="C1156" s="51">
        <v>45836</v>
      </c>
      <c r="D1156" s="3" t="s">
        <v>42</v>
      </c>
      <c r="E1156" s="3" t="s">
        <v>46</v>
      </c>
      <c r="F1156" s="3" t="s">
        <v>46</v>
      </c>
      <c r="G1156" s="4">
        <v>0.64583333333333337</v>
      </c>
      <c r="H1156" s="4">
        <v>0.85416666666666663</v>
      </c>
      <c r="I1156" t="s">
        <v>31</v>
      </c>
      <c r="J1156">
        <v>1</v>
      </c>
      <c r="L1156" s="46"/>
      <c r="P1156">
        <v>150</v>
      </c>
      <c r="Q1156">
        <v>0</v>
      </c>
      <c r="R1156">
        <v>0</v>
      </c>
      <c r="S1156" s="7">
        <f>Tabla1[[#This Row],[TARIFA]]+Tabla1[[#This Row],[IMPORTE EXTRAS]]</f>
        <v>150</v>
      </c>
      <c r="T1156" t="s">
        <v>46</v>
      </c>
      <c r="U1156">
        <v>0</v>
      </c>
      <c r="V1156">
        <v>0</v>
      </c>
      <c r="W1156">
        <v>0</v>
      </c>
      <c r="X1156" s="49">
        <v>0</v>
      </c>
      <c r="Y1156" s="49"/>
      <c r="Z1156" s="7">
        <f>SUM(Tabla1[[#This Row],[RES-A]:[EXTR-B]])</f>
        <v>0</v>
      </c>
      <c r="AA1156" s="7">
        <f>Tabla1[[#This Row],[Columna1]]-Tabla1[[#This Row],[IMPORTE TOTAL]]</f>
        <v>-150</v>
      </c>
    </row>
    <row r="1157" spans="1:27" x14ac:dyDescent="0.2">
      <c r="A1157">
        <v>2025</v>
      </c>
      <c r="B1157" t="s">
        <v>60</v>
      </c>
      <c r="C1157" s="51">
        <v>45836</v>
      </c>
      <c r="D1157" s="3" t="s">
        <v>42</v>
      </c>
      <c r="E1157" s="3" t="s">
        <v>46</v>
      </c>
      <c r="F1157" s="3" t="s">
        <v>46</v>
      </c>
      <c r="G1157" s="4">
        <v>0.89583333333333337</v>
      </c>
      <c r="H1157" s="4">
        <v>0.10416666666666667</v>
      </c>
      <c r="I1157" t="s">
        <v>35</v>
      </c>
      <c r="J1157">
        <v>1</v>
      </c>
      <c r="L1157" s="46"/>
      <c r="P1157">
        <v>150</v>
      </c>
      <c r="Q1157">
        <v>0</v>
      </c>
      <c r="R1157">
        <v>0</v>
      </c>
      <c r="S1157" s="7">
        <f>Tabla1[[#This Row],[TARIFA]]+Tabla1[[#This Row],[IMPORTE EXTRAS]]</f>
        <v>150</v>
      </c>
      <c r="T1157" t="s">
        <v>46</v>
      </c>
      <c r="U1157">
        <v>0</v>
      </c>
      <c r="V1157">
        <v>0</v>
      </c>
      <c r="W1157">
        <v>0</v>
      </c>
      <c r="X1157" s="49">
        <v>0</v>
      </c>
      <c r="Y1157" s="49"/>
      <c r="Z1157" s="7">
        <f>SUM(Tabla1[[#This Row],[RES-A]:[EXTR-B]])</f>
        <v>0</v>
      </c>
      <c r="AA1157" s="7">
        <f>Tabla1[[#This Row],[Columna1]]-Tabla1[[#This Row],[IMPORTE TOTAL]]</f>
        <v>-150</v>
      </c>
    </row>
    <row r="1158" spans="1:27" x14ac:dyDescent="0.2">
      <c r="A1158">
        <v>2025</v>
      </c>
      <c r="B1158" t="s">
        <v>60</v>
      </c>
      <c r="C1158" s="51">
        <v>45837</v>
      </c>
      <c r="D1158" s="3" t="s">
        <v>43</v>
      </c>
      <c r="E1158" s="3" t="s">
        <v>46</v>
      </c>
      <c r="F1158" s="3" t="s">
        <v>46</v>
      </c>
      <c r="G1158" s="4">
        <v>0.39583333333333331</v>
      </c>
      <c r="H1158" s="4">
        <v>0.85416666666666663</v>
      </c>
      <c r="I1158" t="s">
        <v>31</v>
      </c>
      <c r="J1158">
        <v>1</v>
      </c>
      <c r="L1158" s="46"/>
      <c r="P1158">
        <v>280</v>
      </c>
      <c r="Q1158">
        <v>0</v>
      </c>
      <c r="R1158">
        <v>0</v>
      </c>
      <c r="S1158" s="7">
        <f>Tabla1[[#This Row],[TARIFA]]+Tabla1[[#This Row],[IMPORTE EXTRAS]]</f>
        <v>280</v>
      </c>
      <c r="T1158" t="s">
        <v>46</v>
      </c>
      <c r="U1158">
        <v>0</v>
      </c>
      <c r="V1158">
        <v>0</v>
      </c>
      <c r="W1158">
        <v>0</v>
      </c>
      <c r="X1158" s="49">
        <v>0</v>
      </c>
      <c r="Y1158" s="49"/>
      <c r="Z1158" s="7">
        <f>SUM(Tabla1[[#This Row],[RES-A]:[EXTR-B]])</f>
        <v>0</v>
      </c>
      <c r="AA1158" s="7">
        <f>Tabla1[[#This Row],[Columna1]]-Tabla1[[#This Row],[IMPORTE TOTAL]]</f>
        <v>-280</v>
      </c>
    </row>
    <row r="1159" spans="1:27" x14ac:dyDescent="0.2">
      <c r="A1159">
        <v>2025</v>
      </c>
      <c r="B1159" t="s">
        <v>60</v>
      </c>
      <c r="C1159" s="51">
        <v>45838</v>
      </c>
      <c r="D1159" s="3" t="s">
        <v>37</v>
      </c>
      <c r="E1159" s="3" t="s">
        <v>46</v>
      </c>
      <c r="F1159" s="3" t="s">
        <v>46</v>
      </c>
      <c r="G1159" s="4">
        <v>0.64583333333333337</v>
      </c>
      <c r="H1159" s="4">
        <v>0.85416666666666663</v>
      </c>
      <c r="I1159" t="s">
        <v>31</v>
      </c>
      <c r="J1159">
        <v>1</v>
      </c>
      <c r="L1159" s="46"/>
      <c r="P1159">
        <v>95</v>
      </c>
      <c r="Q1159">
        <v>0</v>
      </c>
      <c r="R1159">
        <v>0</v>
      </c>
      <c r="S1159" s="7">
        <f>Tabla1[[#This Row],[TARIFA]]+Tabla1[[#This Row],[IMPORTE EXTRAS]]</f>
        <v>95</v>
      </c>
      <c r="T1159" t="s">
        <v>46</v>
      </c>
      <c r="U1159">
        <v>0</v>
      </c>
      <c r="V1159">
        <v>0</v>
      </c>
      <c r="W1159">
        <v>0</v>
      </c>
      <c r="X1159" s="49">
        <v>0</v>
      </c>
      <c r="Y1159" s="49"/>
      <c r="Z1159" s="7">
        <f>SUM(Tabla1[[#This Row],[RES-A]:[EXTR-B]])</f>
        <v>0</v>
      </c>
      <c r="AA1159" s="7">
        <f>Tabla1[[#This Row],[Columna1]]-Tabla1[[#This Row],[IMPORTE TOTAL]]</f>
        <v>-95</v>
      </c>
    </row>
    <row r="1160" spans="1:27" x14ac:dyDescent="0.2">
      <c r="A1160">
        <v>2025</v>
      </c>
      <c r="B1160" t="s">
        <v>61</v>
      </c>
      <c r="C1160" s="51">
        <v>45842</v>
      </c>
      <c r="D1160" s="3" t="s">
        <v>41</v>
      </c>
      <c r="E1160" s="3" t="s">
        <v>46</v>
      </c>
      <c r="F1160" s="3" t="s">
        <v>46</v>
      </c>
      <c r="G1160" s="4">
        <v>0.64583333333333337</v>
      </c>
      <c r="H1160" s="4">
        <v>0.85416666666666663</v>
      </c>
      <c r="I1160" t="s">
        <v>31</v>
      </c>
      <c r="J1160">
        <v>1</v>
      </c>
      <c r="L1160" s="46"/>
      <c r="P1160">
        <v>140</v>
      </c>
      <c r="Q1160">
        <v>0</v>
      </c>
      <c r="R1160">
        <v>0</v>
      </c>
      <c r="S1160" s="7">
        <f>Tabla1[[#This Row],[TARIFA]]+Tabla1[[#This Row],[IMPORTE EXTRAS]]</f>
        <v>140</v>
      </c>
      <c r="T1160" t="s">
        <v>46</v>
      </c>
      <c r="U1160">
        <v>0</v>
      </c>
      <c r="V1160">
        <v>0</v>
      </c>
      <c r="W1160">
        <v>0</v>
      </c>
      <c r="X1160" s="49">
        <v>0</v>
      </c>
      <c r="Y1160" s="49"/>
      <c r="Z1160" s="7">
        <f>SUM(Tabla1[[#This Row],[RES-A]:[EXTR-B]])</f>
        <v>0</v>
      </c>
      <c r="AA1160" s="7">
        <f>Tabla1[[#This Row],[Columna1]]-Tabla1[[#This Row],[IMPORTE TOTAL]]</f>
        <v>-140</v>
      </c>
    </row>
    <row r="1161" spans="1:27" x14ac:dyDescent="0.2">
      <c r="A1161">
        <v>2025</v>
      </c>
      <c r="B1161" t="s">
        <v>61</v>
      </c>
      <c r="C1161" s="51">
        <v>45843</v>
      </c>
      <c r="D1161" s="3" t="s">
        <v>42</v>
      </c>
      <c r="E1161" s="3" t="s">
        <v>46</v>
      </c>
      <c r="F1161" s="3" t="s">
        <v>46</v>
      </c>
      <c r="G1161" s="4">
        <v>0.39583333333333331</v>
      </c>
      <c r="H1161" s="4">
        <v>0.85416666666666663</v>
      </c>
      <c r="I1161" t="s">
        <v>32</v>
      </c>
      <c r="J1161">
        <v>2</v>
      </c>
      <c r="L1161" s="46"/>
      <c r="P1161">
        <v>290</v>
      </c>
      <c r="Q1161">
        <v>0</v>
      </c>
      <c r="R1161">
        <v>0</v>
      </c>
      <c r="S1161" s="7">
        <f>Tabla1[[#This Row],[TARIFA]]+Tabla1[[#This Row],[IMPORTE EXTRAS]]</f>
        <v>290</v>
      </c>
      <c r="T1161" t="s">
        <v>46</v>
      </c>
      <c r="U1161">
        <v>0</v>
      </c>
      <c r="V1161">
        <v>0</v>
      </c>
      <c r="W1161">
        <v>0</v>
      </c>
      <c r="X1161" s="49">
        <v>0</v>
      </c>
      <c r="Y1161" s="49"/>
      <c r="Z1161" s="7">
        <f>SUM(Tabla1[[#This Row],[RES-A]:[EXTR-B]])</f>
        <v>0</v>
      </c>
      <c r="AA1161" s="7">
        <f>Tabla1[[#This Row],[Columna1]]-Tabla1[[#This Row],[IMPORTE TOTAL]]</f>
        <v>-290</v>
      </c>
    </row>
    <row r="1162" spans="1:27" x14ac:dyDescent="0.2">
      <c r="A1162">
        <v>2025</v>
      </c>
      <c r="B1162" t="s">
        <v>61</v>
      </c>
      <c r="C1162" s="51">
        <v>45843</v>
      </c>
      <c r="D1162" s="3" t="s">
        <v>42</v>
      </c>
      <c r="E1162" s="3" t="s">
        <v>46</v>
      </c>
      <c r="F1162" s="3" t="s">
        <v>46</v>
      </c>
      <c r="G1162" s="4">
        <v>0.89583333333333337</v>
      </c>
      <c r="H1162" s="4">
        <v>0.10416666666666667</v>
      </c>
      <c r="I1162" t="s">
        <v>35</v>
      </c>
      <c r="J1162">
        <v>1</v>
      </c>
      <c r="L1162" s="46"/>
      <c r="P1162">
        <v>200</v>
      </c>
      <c r="Q1162">
        <v>0</v>
      </c>
      <c r="R1162">
        <v>0</v>
      </c>
      <c r="S1162" s="7">
        <f>Tabla1[[#This Row],[TARIFA]]+Tabla1[[#This Row],[IMPORTE EXTRAS]]</f>
        <v>200</v>
      </c>
      <c r="T1162" t="s">
        <v>46</v>
      </c>
      <c r="U1162">
        <v>0</v>
      </c>
      <c r="V1162">
        <v>0</v>
      </c>
      <c r="W1162">
        <v>0</v>
      </c>
      <c r="X1162" s="49">
        <v>0</v>
      </c>
      <c r="Y1162" s="49"/>
      <c r="Z1162" s="7">
        <f>SUM(Tabla1[[#This Row],[RES-A]:[EXTR-B]])</f>
        <v>0</v>
      </c>
      <c r="AA1162" s="7">
        <f>Tabla1[[#This Row],[Columna1]]-Tabla1[[#This Row],[IMPORTE TOTAL]]</f>
        <v>-200</v>
      </c>
    </row>
    <row r="1163" spans="1:27" x14ac:dyDescent="0.2">
      <c r="A1163">
        <v>2025</v>
      </c>
      <c r="B1163" t="s">
        <v>61</v>
      </c>
      <c r="C1163" s="51">
        <v>45844</v>
      </c>
      <c r="D1163" s="3" t="s">
        <v>43</v>
      </c>
      <c r="E1163" s="3" t="s">
        <v>46</v>
      </c>
      <c r="F1163" s="3" t="s">
        <v>46</v>
      </c>
      <c r="G1163" s="4">
        <v>0.64583333333333337</v>
      </c>
      <c r="H1163" s="4">
        <v>0.85416666666666663</v>
      </c>
      <c r="I1163" t="s">
        <v>31</v>
      </c>
      <c r="J1163">
        <v>1</v>
      </c>
      <c r="L1163" s="46"/>
      <c r="P1163">
        <v>150</v>
      </c>
      <c r="Q1163">
        <v>0</v>
      </c>
      <c r="R1163">
        <v>0</v>
      </c>
      <c r="S1163" s="7">
        <f>Tabla1[[#This Row],[TARIFA]]+Tabla1[[#This Row],[IMPORTE EXTRAS]]</f>
        <v>150</v>
      </c>
      <c r="T1163" t="s">
        <v>46</v>
      </c>
      <c r="U1163">
        <v>0</v>
      </c>
      <c r="V1163">
        <v>0</v>
      </c>
      <c r="W1163">
        <v>0</v>
      </c>
      <c r="X1163" s="49">
        <v>0</v>
      </c>
      <c r="Y1163" s="49"/>
      <c r="Z1163" s="7">
        <f>SUM(Tabla1[[#This Row],[RES-A]:[EXTR-B]])</f>
        <v>0</v>
      </c>
      <c r="AA1163" s="7">
        <f>Tabla1[[#This Row],[Columna1]]-Tabla1[[#This Row],[IMPORTE TOTAL]]</f>
        <v>-150</v>
      </c>
    </row>
    <row r="1164" spans="1:27" x14ac:dyDescent="0.2">
      <c r="A1164">
        <v>2025</v>
      </c>
      <c r="B1164" t="s">
        <v>61</v>
      </c>
      <c r="C1164" s="51">
        <v>45849</v>
      </c>
      <c r="D1164" s="3" t="s">
        <v>41</v>
      </c>
      <c r="E1164" s="3" t="s">
        <v>46</v>
      </c>
      <c r="F1164" s="3" t="s">
        <v>46</v>
      </c>
      <c r="G1164" s="4">
        <v>0.89583333333333337</v>
      </c>
      <c r="H1164" s="4">
        <v>0.10416666666666667</v>
      </c>
      <c r="I1164" t="s">
        <v>35</v>
      </c>
      <c r="J1164">
        <v>1</v>
      </c>
      <c r="L1164" s="46"/>
      <c r="P1164">
        <v>200</v>
      </c>
      <c r="Q1164">
        <v>0</v>
      </c>
      <c r="R1164">
        <v>0</v>
      </c>
      <c r="S1164" s="7">
        <f>Tabla1[[#This Row],[TARIFA]]+Tabla1[[#This Row],[IMPORTE EXTRAS]]</f>
        <v>200</v>
      </c>
      <c r="T1164" t="s">
        <v>46</v>
      </c>
      <c r="U1164">
        <v>0</v>
      </c>
      <c r="V1164">
        <v>0</v>
      </c>
      <c r="W1164">
        <v>0</v>
      </c>
      <c r="X1164" s="49">
        <v>0</v>
      </c>
      <c r="Y1164" s="49"/>
      <c r="Z1164" s="7">
        <f>SUM(Tabla1[[#This Row],[RES-A]:[EXTR-B]])</f>
        <v>0</v>
      </c>
      <c r="AA1164" s="7">
        <f>Tabla1[[#This Row],[Columna1]]-Tabla1[[#This Row],[IMPORTE TOTAL]]</f>
        <v>-200</v>
      </c>
    </row>
    <row r="1165" spans="1:27" x14ac:dyDescent="0.2">
      <c r="A1165">
        <v>2025</v>
      </c>
      <c r="B1165" t="s">
        <v>61</v>
      </c>
      <c r="C1165" s="51">
        <v>45850</v>
      </c>
      <c r="D1165" s="3" t="s">
        <v>42</v>
      </c>
      <c r="E1165" s="3" t="s">
        <v>46</v>
      </c>
      <c r="F1165" s="3" t="s">
        <v>46</v>
      </c>
      <c r="G1165" s="4">
        <v>0.64583333333333337</v>
      </c>
      <c r="H1165" s="4">
        <v>0.10416666666666667</v>
      </c>
      <c r="I1165" t="s">
        <v>53</v>
      </c>
      <c r="J1165">
        <v>2</v>
      </c>
      <c r="L1165" s="46"/>
      <c r="P1165">
        <v>320</v>
      </c>
      <c r="Q1165">
        <v>0</v>
      </c>
      <c r="R1165">
        <v>0</v>
      </c>
      <c r="S1165" s="7">
        <f>Tabla1[[#This Row],[TARIFA]]+Tabla1[[#This Row],[IMPORTE EXTRAS]]</f>
        <v>320</v>
      </c>
      <c r="T1165" t="s">
        <v>46</v>
      </c>
      <c r="U1165">
        <v>0</v>
      </c>
      <c r="V1165">
        <v>0</v>
      </c>
      <c r="W1165">
        <v>0</v>
      </c>
      <c r="X1165" s="49">
        <v>60</v>
      </c>
      <c r="Y1165" s="49"/>
      <c r="Z1165" s="7">
        <f>SUM(Tabla1[[#This Row],[RES-A]:[EXTR-B]])</f>
        <v>60</v>
      </c>
      <c r="AA1165" s="7">
        <f>Tabla1[[#This Row],[Columna1]]-Tabla1[[#This Row],[IMPORTE TOTAL]]</f>
        <v>-260</v>
      </c>
    </row>
    <row r="1166" spans="1:27" x14ac:dyDescent="0.2">
      <c r="A1166">
        <v>2025</v>
      </c>
      <c r="B1166" t="s">
        <v>61</v>
      </c>
      <c r="C1166" s="51">
        <v>45851</v>
      </c>
      <c r="D1166" s="3" t="s">
        <v>43</v>
      </c>
      <c r="E1166" s="3" t="s">
        <v>46</v>
      </c>
      <c r="F1166" s="3" t="s">
        <v>46</v>
      </c>
      <c r="G1166" s="4">
        <v>0.64583333333333337</v>
      </c>
      <c r="H1166" s="4">
        <v>0.85416666666666663</v>
      </c>
      <c r="I1166" t="s">
        <v>31</v>
      </c>
      <c r="J1166">
        <v>1</v>
      </c>
      <c r="L1166" s="46"/>
      <c r="P1166">
        <v>150</v>
      </c>
      <c r="Q1166">
        <v>0</v>
      </c>
      <c r="R1166">
        <v>0</v>
      </c>
      <c r="S1166" s="7">
        <f>Tabla1[[#This Row],[TARIFA]]+Tabla1[[#This Row],[IMPORTE EXTRAS]]</f>
        <v>150</v>
      </c>
      <c r="T1166" t="s">
        <v>46</v>
      </c>
      <c r="U1166">
        <v>0</v>
      </c>
      <c r="V1166">
        <v>0</v>
      </c>
      <c r="W1166">
        <v>0</v>
      </c>
      <c r="X1166" s="49">
        <v>0</v>
      </c>
      <c r="Y1166" s="49"/>
      <c r="Z1166" s="7">
        <f>SUM(Tabla1[[#This Row],[RES-A]:[EXTR-B]])</f>
        <v>0</v>
      </c>
      <c r="AA1166" s="7">
        <f>Tabla1[[#This Row],[Columna1]]-Tabla1[[#This Row],[IMPORTE TOTAL]]</f>
        <v>-150</v>
      </c>
    </row>
    <row r="1167" spans="1:27" x14ac:dyDescent="0.2">
      <c r="A1167">
        <v>2025</v>
      </c>
      <c r="B1167" t="s">
        <v>61</v>
      </c>
      <c r="C1167" s="51">
        <v>45852</v>
      </c>
      <c r="D1167" s="3" t="s">
        <v>37</v>
      </c>
      <c r="E1167" s="3" t="s">
        <v>46</v>
      </c>
      <c r="F1167" s="3" t="s">
        <v>46</v>
      </c>
      <c r="G1167" s="4">
        <v>0.64583333333333337</v>
      </c>
      <c r="H1167" s="4">
        <v>0.85416666666666663</v>
      </c>
      <c r="I1167" t="s">
        <v>31</v>
      </c>
      <c r="J1167">
        <v>1</v>
      </c>
      <c r="L1167" s="46"/>
      <c r="P1167">
        <v>95</v>
      </c>
      <c r="Q1167">
        <v>0</v>
      </c>
      <c r="R1167">
        <v>0</v>
      </c>
      <c r="S1167" s="7">
        <f>Tabla1[[#This Row],[TARIFA]]+Tabla1[[#This Row],[IMPORTE EXTRAS]]</f>
        <v>95</v>
      </c>
      <c r="T1167" t="s">
        <v>46</v>
      </c>
      <c r="U1167">
        <v>0</v>
      </c>
      <c r="V1167">
        <v>0</v>
      </c>
      <c r="W1167">
        <v>0</v>
      </c>
      <c r="X1167" s="49">
        <v>0</v>
      </c>
      <c r="Y1167" s="49"/>
      <c r="Z1167" s="7">
        <f>SUM(Tabla1[[#This Row],[RES-A]:[EXTR-B]])</f>
        <v>0</v>
      </c>
      <c r="AA1167" s="7">
        <f>Tabla1[[#This Row],[Columna1]]-Tabla1[[#This Row],[IMPORTE TOTAL]]</f>
        <v>-95</v>
      </c>
    </row>
    <row r="1168" spans="1:27" x14ac:dyDescent="0.2">
      <c r="A1168">
        <v>2025</v>
      </c>
      <c r="B1168" t="s">
        <v>61</v>
      </c>
      <c r="C1168" s="51">
        <v>45856</v>
      </c>
      <c r="D1168" s="3" t="s">
        <v>41</v>
      </c>
      <c r="E1168" s="3" t="s">
        <v>46</v>
      </c>
      <c r="F1168" s="3" t="s">
        <v>46</v>
      </c>
      <c r="G1168" s="4">
        <v>0.64583333333333337</v>
      </c>
      <c r="H1168" s="4">
        <v>0.10416666666666667</v>
      </c>
      <c r="I1168" t="s">
        <v>53</v>
      </c>
      <c r="J1168">
        <v>2</v>
      </c>
      <c r="L1168" s="46"/>
      <c r="P1168">
        <v>300</v>
      </c>
      <c r="Q1168">
        <v>0</v>
      </c>
      <c r="R1168">
        <v>0</v>
      </c>
      <c r="S1168" s="7">
        <f>Tabla1[[#This Row],[TARIFA]]+Tabla1[[#This Row],[IMPORTE EXTRAS]]</f>
        <v>300</v>
      </c>
      <c r="T1168" t="s">
        <v>46</v>
      </c>
      <c r="U1168">
        <v>0</v>
      </c>
      <c r="V1168">
        <v>0</v>
      </c>
      <c r="W1168">
        <v>0</v>
      </c>
      <c r="X1168" s="49">
        <v>60</v>
      </c>
      <c r="Y1168" s="49"/>
      <c r="Z1168" s="7">
        <f>SUM(Tabla1[[#This Row],[RES-A]:[EXTR-B]])</f>
        <v>60</v>
      </c>
      <c r="AA1168" s="7">
        <f>Tabla1[[#This Row],[Columna1]]-Tabla1[[#This Row],[IMPORTE TOTAL]]</f>
        <v>-240</v>
      </c>
    </row>
    <row r="1169" spans="1:27" x14ac:dyDescent="0.2">
      <c r="A1169">
        <v>2025</v>
      </c>
      <c r="B1169" t="s">
        <v>61</v>
      </c>
      <c r="C1169" s="51">
        <v>45857</v>
      </c>
      <c r="D1169" s="3" t="s">
        <v>42</v>
      </c>
      <c r="E1169" s="3" t="s">
        <v>46</v>
      </c>
      <c r="F1169" s="3" t="s">
        <v>46</v>
      </c>
      <c r="G1169" s="4">
        <v>0.64583333333333337</v>
      </c>
      <c r="H1169" s="4">
        <v>0.85416666666666663</v>
      </c>
      <c r="I1169" t="s">
        <v>31</v>
      </c>
      <c r="J1169">
        <v>1</v>
      </c>
      <c r="L1169" s="46"/>
      <c r="P1169">
        <v>150</v>
      </c>
      <c r="Q1169">
        <v>0</v>
      </c>
      <c r="R1169">
        <v>0</v>
      </c>
      <c r="S1169" s="7">
        <f>Tabla1[[#This Row],[TARIFA]]+Tabla1[[#This Row],[IMPORTE EXTRAS]]</f>
        <v>150</v>
      </c>
      <c r="T1169" t="s">
        <v>46</v>
      </c>
      <c r="U1169">
        <v>0</v>
      </c>
      <c r="V1169">
        <v>0</v>
      </c>
      <c r="W1169">
        <v>0</v>
      </c>
      <c r="X1169" s="49">
        <v>0</v>
      </c>
      <c r="Y1169" s="49"/>
      <c r="Z1169" s="7">
        <f>SUM(Tabla1[[#This Row],[RES-A]:[EXTR-B]])</f>
        <v>0</v>
      </c>
      <c r="AA1169" s="7">
        <f>Tabla1[[#This Row],[Columna1]]-Tabla1[[#This Row],[IMPORTE TOTAL]]</f>
        <v>-150</v>
      </c>
    </row>
    <row r="1170" spans="1:27" x14ac:dyDescent="0.2">
      <c r="A1170">
        <v>2025</v>
      </c>
      <c r="B1170" t="s">
        <v>61</v>
      </c>
      <c r="C1170" s="51">
        <v>45857</v>
      </c>
      <c r="D1170" s="3" t="s">
        <v>42</v>
      </c>
      <c r="E1170" s="3" t="s">
        <v>46</v>
      </c>
      <c r="F1170" s="3" t="s">
        <v>46</v>
      </c>
      <c r="G1170" s="4">
        <v>0.89583333333333337</v>
      </c>
      <c r="H1170" s="4">
        <v>0.10416666666666667</v>
      </c>
      <c r="I1170" t="s">
        <v>35</v>
      </c>
      <c r="J1170">
        <v>1</v>
      </c>
      <c r="L1170" s="46"/>
      <c r="P1170">
        <v>200</v>
      </c>
      <c r="Q1170">
        <v>0</v>
      </c>
      <c r="R1170">
        <v>0</v>
      </c>
      <c r="S1170" s="7">
        <f>Tabla1[[#This Row],[TARIFA]]+Tabla1[[#This Row],[IMPORTE EXTRAS]]</f>
        <v>200</v>
      </c>
      <c r="T1170" t="s">
        <v>46</v>
      </c>
      <c r="U1170">
        <v>0</v>
      </c>
      <c r="V1170">
        <v>0</v>
      </c>
      <c r="W1170">
        <v>0</v>
      </c>
      <c r="X1170" s="49">
        <v>0</v>
      </c>
      <c r="Y1170" s="49"/>
      <c r="Z1170" s="7">
        <f>SUM(Tabla1[[#This Row],[RES-A]:[EXTR-B]])</f>
        <v>0</v>
      </c>
      <c r="AA1170" s="7">
        <f>Tabla1[[#This Row],[Columna1]]-Tabla1[[#This Row],[IMPORTE TOTAL]]</f>
        <v>-200</v>
      </c>
    </row>
    <row r="1171" spans="1:27" x14ac:dyDescent="0.2">
      <c r="A1171">
        <v>2025</v>
      </c>
      <c r="B1171" t="s">
        <v>61</v>
      </c>
      <c r="C1171" s="51">
        <v>45860</v>
      </c>
      <c r="D1171" s="3" t="s">
        <v>38</v>
      </c>
      <c r="E1171" s="3" t="s">
        <v>46</v>
      </c>
      <c r="F1171" s="3" t="s">
        <v>46</v>
      </c>
      <c r="G1171" s="4">
        <v>0.64583333333333337</v>
      </c>
      <c r="H1171" s="4">
        <v>0.85416666666666663</v>
      </c>
      <c r="I1171" t="s">
        <v>31</v>
      </c>
      <c r="J1171">
        <v>1</v>
      </c>
      <c r="L1171" s="46"/>
      <c r="P1171">
        <v>95</v>
      </c>
      <c r="Q1171">
        <v>0</v>
      </c>
      <c r="R1171">
        <v>0</v>
      </c>
      <c r="S1171" s="7">
        <f>Tabla1[[#This Row],[TARIFA]]+Tabla1[[#This Row],[IMPORTE EXTRAS]]</f>
        <v>95</v>
      </c>
      <c r="T1171" t="s">
        <v>46</v>
      </c>
      <c r="U1171">
        <v>0</v>
      </c>
      <c r="V1171">
        <v>0</v>
      </c>
      <c r="W1171">
        <v>0</v>
      </c>
      <c r="X1171" s="49">
        <v>0</v>
      </c>
      <c r="Y1171" s="49"/>
      <c r="Z1171" s="7">
        <f>SUM(Tabla1[[#This Row],[RES-A]:[EXTR-B]])</f>
        <v>0</v>
      </c>
      <c r="AA1171" s="7">
        <f>Tabla1[[#This Row],[Columna1]]-Tabla1[[#This Row],[IMPORTE TOTAL]]</f>
        <v>-95</v>
      </c>
    </row>
    <row r="1172" spans="1:27" x14ac:dyDescent="0.2">
      <c r="A1172">
        <v>2025</v>
      </c>
      <c r="B1172" t="s">
        <v>61</v>
      </c>
      <c r="C1172" s="51">
        <v>45863</v>
      </c>
      <c r="D1172" s="3" t="s">
        <v>41</v>
      </c>
      <c r="E1172" s="3" t="s">
        <v>46</v>
      </c>
      <c r="F1172" s="3" t="s">
        <v>46</v>
      </c>
      <c r="G1172" s="4">
        <v>0.89583333333333337</v>
      </c>
      <c r="H1172" s="4">
        <v>0.10416666666666667</v>
      </c>
      <c r="I1172" t="s">
        <v>35</v>
      </c>
      <c r="J1172">
        <v>1</v>
      </c>
      <c r="L1172" s="46"/>
      <c r="P1172">
        <v>200</v>
      </c>
      <c r="Q1172">
        <v>0</v>
      </c>
      <c r="R1172">
        <v>0</v>
      </c>
      <c r="S1172" s="7">
        <f>Tabla1[[#This Row],[TARIFA]]+Tabla1[[#This Row],[IMPORTE EXTRAS]]</f>
        <v>200</v>
      </c>
      <c r="T1172" t="s">
        <v>46</v>
      </c>
      <c r="U1172">
        <v>0</v>
      </c>
      <c r="V1172">
        <v>0</v>
      </c>
      <c r="W1172">
        <v>0</v>
      </c>
      <c r="X1172" s="49">
        <v>0</v>
      </c>
      <c r="Y1172" s="49"/>
      <c r="Z1172" s="7">
        <f>SUM(Tabla1[[#This Row],[RES-A]:[EXTR-B]])</f>
        <v>0</v>
      </c>
      <c r="AA1172" s="7">
        <f>Tabla1[[#This Row],[Columna1]]-Tabla1[[#This Row],[IMPORTE TOTAL]]</f>
        <v>-200</v>
      </c>
    </row>
    <row r="1173" spans="1:27" x14ac:dyDescent="0.2">
      <c r="A1173">
        <v>2025</v>
      </c>
      <c r="B1173" t="s">
        <v>61</v>
      </c>
      <c r="C1173" s="51">
        <v>45864</v>
      </c>
      <c r="D1173" s="3" t="s">
        <v>42</v>
      </c>
      <c r="E1173" s="3" t="s">
        <v>46</v>
      </c>
      <c r="F1173" s="3" t="s">
        <v>46</v>
      </c>
      <c r="G1173" s="4">
        <v>0.39583333333333331</v>
      </c>
      <c r="H1173" s="4">
        <v>0.60416666666666663</v>
      </c>
      <c r="I1173" t="s">
        <v>30</v>
      </c>
      <c r="J1173">
        <v>1</v>
      </c>
      <c r="L1173" s="46"/>
      <c r="P1173">
        <v>150</v>
      </c>
      <c r="Q1173">
        <v>0</v>
      </c>
      <c r="R1173">
        <v>0</v>
      </c>
      <c r="S1173" s="7">
        <f>Tabla1[[#This Row],[TARIFA]]+Tabla1[[#This Row],[IMPORTE EXTRAS]]</f>
        <v>150</v>
      </c>
      <c r="T1173" t="s">
        <v>46</v>
      </c>
      <c r="U1173">
        <v>0</v>
      </c>
      <c r="V1173">
        <v>0</v>
      </c>
      <c r="W1173">
        <v>0</v>
      </c>
      <c r="X1173" s="49">
        <v>0</v>
      </c>
      <c r="Y1173" s="49"/>
      <c r="Z1173" s="7">
        <f>SUM(Tabla1[[#This Row],[RES-A]:[EXTR-B]])</f>
        <v>0</v>
      </c>
      <c r="AA1173" s="7">
        <f>Tabla1[[#This Row],[Columna1]]-Tabla1[[#This Row],[IMPORTE TOTAL]]</f>
        <v>-150</v>
      </c>
    </row>
    <row r="1174" spans="1:27" x14ac:dyDescent="0.2">
      <c r="A1174">
        <v>2025</v>
      </c>
      <c r="B1174" t="s">
        <v>61</v>
      </c>
      <c r="C1174" s="51">
        <v>45866</v>
      </c>
      <c r="D1174" s="3" t="s">
        <v>37</v>
      </c>
      <c r="E1174" s="3" t="s">
        <v>46</v>
      </c>
      <c r="F1174" s="3" t="s">
        <v>46</v>
      </c>
      <c r="G1174" s="4">
        <v>0.64583333333333337</v>
      </c>
      <c r="H1174" s="4">
        <v>0.85416666666666663</v>
      </c>
      <c r="I1174" t="s">
        <v>31</v>
      </c>
      <c r="J1174">
        <v>1</v>
      </c>
      <c r="L1174" s="46"/>
      <c r="P1174">
        <v>100</v>
      </c>
      <c r="Q1174">
        <v>0</v>
      </c>
      <c r="R1174">
        <v>0</v>
      </c>
      <c r="S1174" s="7">
        <f>Tabla1[[#This Row],[TARIFA]]+Tabla1[[#This Row],[IMPORTE EXTRAS]]</f>
        <v>100</v>
      </c>
      <c r="T1174" t="s">
        <v>46</v>
      </c>
      <c r="U1174">
        <v>0</v>
      </c>
      <c r="V1174">
        <v>0</v>
      </c>
      <c r="W1174">
        <v>0</v>
      </c>
      <c r="X1174" s="49">
        <v>0</v>
      </c>
      <c r="Y1174" s="49"/>
      <c r="Z1174" s="7">
        <f>SUM(Tabla1[[#This Row],[RES-A]:[EXTR-B]])</f>
        <v>0</v>
      </c>
      <c r="AA1174" s="7">
        <f>Tabla1[[#This Row],[Columna1]]-Tabla1[[#This Row],[IMPORTE TOTAL]]</f>
        <v>-100</v>
      </c>
    </row>
    <row r="1175" spans="1:27" x14ac:dyDescent="0.2">
      <c r="A1175">
        <v>2025</v>
      </c>
      <c r="B1175" t="s">
        <v>61</v>
      </c>
      <c r="C1175" s="51">
        <v>45869</v>
      </c>
      <c r="D1175" s="3" t="s">
        <v>40</v>
      </c>
      <c r="E1175" s="3" t="s">
        <v>46</v>
      </c>
      <c r="F1175" s="3" t="s">
        <v>46</v>
      </c>
      <c r="G1175" s="4">
        <v>0.64583333333333337</v>
      </c>
      <c r="H1175" s="4">
        <v>0.85416666666666663</v>
      </c>
      <c r="I1175" t="s">
        <v>31</v>
      </c>
      <c r="J1175">
        <v>1</v>
      </c>
      <c r="L1175" s="46"/>
      <c r="P1175">
        <v>95</v>
      </c>
      <c r="Q1175">
        <v>0</v>
      </c>
      <c r="R1175">
        <v>0</v>
      </c>
      <c r="S1175" s="7">
        <f>Tabla1[[#This Row],[TARIFA]]+Tabla1[[#This Row],[IMPORTE EXTRAS]]</f>
        <v>95</v>
      </c>
      <c r="T1175" t="s">
        <v>46</v>
      </c>
      <c r="U1175">
        <v>0</v>
      </c>
      <c r="V1175">
        <v>0</v>
      </c>
      <c r="W1175">
        <v>0</v>
      </c>
      <c r="X1175" s="49">
        <v>0</v>
      </c>
      <c r="Y1175" s="49"/>
      <c r="Z1175" s="7">
        <f>SUM(Tabla1[[#This Row],[RES-A]:[EXTR-B]])</f>
        <v>0</v>
      </c>
      <c r="AA1175" s="7">
        <f>Tabla1[[#This Row],[Columna1]]-Tabla1[[#This Row],[IMPORTE TOTAL]]</f>
        <v>-95</v>
      </c>
    </row>
    <row r="1176" spans="1:27" x14ac:dyDescent="0.2">
      <c r="C1176" s="51"/>
      <c r="D1176" s="3"/>
      <c r="E1176" s="3"/>
      <c r="F1176" s="3"/>
      <c r="G1176" s="4"/>
      <c r="H1176" s="4"/>
      <c r="L1176" s="46"/>
      <c r="S1176" s="7">
        <f>Tabla1[[#This Row],[TARIFA]]+Tabla1[[#This Row],[IMPORTE EXTRAS]]</f>
        <v>0</v>
      </c>
      <c r="X1176" s="49"/>
      <c r="Y1176" s="49"/>
      <c r="Z1176" s="7">
        <f>SUM(Tabla1[[#This Row],[RES-A]:[EXTR-B]])</f>
        <v>0</v>
      </c>
      <c r="AA1176" s="7">
        <f>Tabla1[[#This Row],[Columna1]]-Tabla1[[#This Row],[IMPORTE TOTAL]]</f>
        <v>0</v>
      </c>
    </row>
    <row r="1177" spans="1:27" x14ac:dyDescent="0.2">
      <c r="C1177" s="51"/>
      <c r="D1177" s="3"/>
      <c r="E1177" s="3"/>
      <c r="F1177" s="3"/>
      <c r="G1177" s="4"/>
      <c r="H1177" s="4"/>
      <c r="L1177" s="46"/>
      <c r="S1177" s="7">
        <f>Tabla1[[#This Row],[TARIFA]]+Tabla1[[#This Row],[IMPORTE EXTRAS]]</f>
        <v>0</v>
      </c>
      <c r="X1177" s="49"/>
      <c r="Y1177" s="49"/>
      <c r="Z1177" s="7">
        <f>SUM(Tabla1[[#This Row],[RES-A]:[EXTR-B]])</f>
        <v>0</v>
      </c>
      <c r="AA1177" s="7">
        <f>Tabla1[[#This Row],[Columna1]]-Tabla1[[#This Row],[IMPORTE TOTAL]]</f>
        <v>0</v>
      </c>
    </row>
    <row r="1178" spans="1:27" x14ac:dyDescent="0.2">
      <c r="A1178">
        <v>2025</v>
      </c>
      <c r="B1178" t="s">
        <v>65</v>
      </c>
      <c r="C1178" s="51">
        <v>46022</v>
      </c>
      <c r="D1178" s="3" t="s">
        <v>39</v>
      </c>
      <c r="E1178" s="3" t="s">
        <v>46</v>
      </c>
      <c r="F1178" s="3" t="s">
        <v>45</v>
      </c>
      <c r="G1178" s="4">
        <v>0.64583333333333337</v>
      </c>
      <c r="H1178" s="4">
        <v>0.22916666666666666</v>
      </c>
      <c r="I1178" t="s">
        <v>53</v>
      </c>
      <c r="J1178">
        <v>2</v>
      </c>
      <c r="L1178" s="46"/>
      <c r="P1178">
        <v>600</v>
      </c>
      <c r="Q1178">
        <v>0</v>
      </c>
      <c r="R1178">
        <v>0</v>
      </c>
      <c r="S1178" s="7">
        <f>Tabla1[[#This Row],[TARIFA]]+Tabla1[[#This Row],[IMPORTE EXTRAS]]</f>
        <v>600</v>
      </c>
      <c r="T1178" t="s">
        <v>46</v>
      </c>
      <c r="U1178">
        <v>0</v>
      </c>
      <c r="V1178">
        <v>0</v>
      </c>
      <c r="W1178">
        <v>0</v>
      </c>
      <c r="X1178" s="49">
        <v>0</v>
      </c>
      <c r="Y1178" s="49" t="s">
        <v>436</v>
      </c>
      <c r="Z1178" s="7">
        <f>SUM(Tabla1[[#This Row],[RES-A]:[EXTR-B]])</f>
        <v>0</v>
      </c>
      <c r="AA1178" s="7">
        <f>Tabla1[[#This Row],[Columna1]]-Tabla1[[#This Row],[IMPORTE TOTAL]]</f>
        <v>-600</v>
      </c>
    </row>
    <row r="1179" spans="1:27" x14ac:dyDescent="0.2">
      <c r="C1179" s="51"/>
      <c r="D1179" s="3"/>
      <c r="E1179" s="3"/>
      <c r="F1179" s="3"/>
      <c r="G1179" s="4"/>
      <c r="H1179" s="4"/>
      <c r="L1179" s="46"/>
      <c r="S1179" s="7"/>
      <c r="X1179" s="49"/>
      <c r="Y1179" s="49"/>
      <c r="Z1179" s="7"/>
      <c r="AA1179" s="7"/>
    </row>
  </sheetData>
  <dataValidations count="2">
    <dataValidation type="list" allowBlank="1" showInputMessage="1" showErrorMessage="1" sqref="Q2:Q145" xr:uid="{00000000-0002-0000-0000-000000000000}">
      <formula1>$E$11:$E$14</formula1>
    </dataValidation>
    <dataValidation type="list" allowBlank="1" showInputMessage="1" showErrorMessage="1" sqref="T2:T145" xr:uid="{00000000-0002-0000-0000-000001000000}">
      <formula1>$F$11:$F$13</formula1>
    </dataValidation>
  </dataValidations>
  <pageMargins left="0.7" right="0.7" top="0.75" bottom="0.75" header="0.3" footer="0.3"/>
  <pageSetup paperSize="9" orientation="portrait" horizontalDpi="0" verticalDpi="0"/>
  <headerFooter>
    <oddHeader>&amp;C&amp;"Calibri"&amp;10&amp;K000000 Internal&amp;1#_x000D_</oddHeader>
  </headerFooter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000-000002000000}">
          <x14:formula1>
            <xm:f>'Tarifas 2022'!$E$12:$E$15</xm:f>
          </x14:formula1>
          <xm:sqref>Q146:Q447 Q657:Q757 Q759:Q760 Q763:Q1179</xm:sqref>
        </x14:dataValidation>
        <x14:dataValidation type="list" allowBlank="1" showInputMessage="1" showErrorMessage="1" xr:uid="{00000000-0002-0000-0000-000003000000}">
          <x14:formula1>
            <xm:f>'Tarifas 2022'!$F$12:$F$14</xm:f>
          </x14:formula1>
          <xm:sqref>T146:T1179</xm:sqref>
        </x14:dataValidation>
        <x14:dataValidation type="list" allowBlank="1" showInputMessage="1" showErrorMessage="1" xr:uid="{00000000-0002-0000-0000-000004000000}">
          <x14:formula1>
            <xm:f>Tarifas!$A$12:$A$18</xm:f>
          </x14:formula1>
          <xm:sqref>D2:D1179</xm:sqref>
        </x14:dataValidation>
        <x14:dataValidation type="list" allowBlank="1" showInputMessage="1" showErrorMessage="1" xr:uid="{00000000-0002-0000-0000-000005000000}">
          <x14:formula1>
            <xm:f>Tarifas!$B$12:$B$13</xm:f>
          </x14:formula1>
          <xm:sqref>E2:F1179</xm:sqref>
        </x14:dataValidation>
        <x14:dataValidation type="list" allowBlank="1" showInputMessage="1" showErrorMessage="1" xr:uid="{00000000-0002-0000-0000-000006000000}">
          <x14:formula1>
            <xm:f>Tarifas!$D$12:$D$14</xm:f>
          </x14:formula1>
          <xm:sqref>J2:J1179</xm:sqref>
        </x14:dataValidation>
        <x14:dataValidation type="list" allowBlank="1" showInputMessage="1" showErrorMessage="1" xr:uid="{00000000-0002-0000-0000-000007000000}">
          <x14:formula1>
            <xm:f>Tarifas!$C$12:$C$19</xm:f>
          </x14:formula1>
          <xm:sqref>I2:I1179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Q476"/>
  <sheetViews>
    <sheetView showRuler="0" workbookViewId="0">
      <selection activeCell="G2" sqref="G2:G476"/>
    </sheetView>
  </sheetViews>
  <sheetFormatPr defaultColWidth="10.8515625" defaultRowHeight="15" outlineLevelRow="1" x14ac:dyDescent="0.2"/>
  <cols>
    <col min="1" max="1" width="9.6171875" customWidth="1"/>
    <col min="4" max="4" width="22.31640625" bestFit="1" customWidth="1"/>
    <col min="5" max="5" width="22.31640625" customWidth="1"/>
    <col min="6" max="6" width="34.15625" customWidth="1"/>
    <col min="11" max="11" width="12.328125" customWidth="1"/>
  </cols>
  <sheetData>
    <row r="1" spans="1:10" x14ac:dyDescent="0.2">
      <c r="A1" t="s">
        <v>20</v>
      </c>
      <c r="B1" t="s">
        <v>47</v>
      </c>
      <c r="C1" t="s">
        <v>21</v>
      </c>
      <c r="D1" t="s">
        <v>109</v>
      </c>
      <c r="E1" s="101" t="s">
        <v>270</v>
      </c>
      <c r="F1" t="s">
        <v>100</v>
      </c>
      <c r="G1" t="s">
        <v>101</v>
      </c>
      <c r="H1" s="11" t="s">
        <v>102</v>
      </c>
      <c r="I1" s="11" t="s">
        <v>103</v>
      </c>
      <c r="J1" t="s">
        <v>393</v>
      </c>
    </row>
    <row r="2" spans="1:10" outlineLevel="1" x14ac:dyDescent="0.2">
      <c r="A2">
        <v>2020</v>
      </c>
      <c r="B2" t="s">
        <v>48</v>
      </c>
      <c r="C2" s="3">
        <v>43832</v>
      </c>
      <c r="D2" s="3" t="s">
        <v>119</v>
      </c>
      <c r="E2" s="3" t="str">
        <f>VLOOKUP(Tabla2[[#This Row],[TIPUS]],Tarifas!$H$12:$I$26,2,0)</f>
        <v>FIX</v>
      </c>
      <c r="F2" t="s">
        <v>149</v>
      </c>
      <c r="G2">
        <v>499</v>
      </c>
      <c r="H2">
        <v>499</v>
      </c>
      <c r="I2">
        <v>0</v>
      </c>
    </row>
    <row r="3" spans="1:10" outlineLevel="1" x14ac:dyDescent="0.2">
      <c r="A3">
        <v>2020</v>
      </c>
      <c r="B3" t="s">
        <v>48</v>
      </c>
      <c r="C3" s="3">
        <v>43837</v>
      </c>
      <c r="D3" s="3" t="s">
        <v>107</v>
      </c>
      <c r="E3" s="3" t="str">
        <f>VLOOKUP(Tabla2[[#This Row],[TIPUS]],Tarifas!$H$12:$I$26,2,0)</f>
        <v>FIX</v>
      </c>
      <c r="F3" t="s">
        <v>152</v>
      </c>
      <c r="G3">
        <v>362.22</v>
      </c>
      <c r="H3">
        <v>362.22</v>
      </c>
      <c r="I3">
        <v>0</v>
      </c>
    </row>
    <row r="4" spans="1:10" outlineLevel="1" x14ac:dyDescent="0.2">
      <c r="A4">
        <v>2020</v>
      </c>
      <c r="B4" t="s">
        <v>48</v>
      </c>
      <c r="C4" s="3">
        <v>43840</v>
      </c>
      <c r="D4" s="3" t="s">
        <v>114</v>
      </c>
      <c r="E4" s="3" t="str">
        <f>VLOOKUP(Tabla2[[#This Row],[TIPUS]],Tarifas!$H$12:$I$26,2,0)</f>
        <v>VARIABLE</v>
      </c>
      <c r="F4" t="s">
        <v>153</v>
      </c>
      <c r="G4">
        <v>36.03</v>
      </c>
      <c r="H4">
        <v>36.03</v>
      </c>
      <c r="I4">
        <v>0</v>
      </c>
    </row>
    <row r="5" spans="1:10" outlineLevel="1" x14ac:dyDescent="0.2">
      <c r="A5">
        <v>2020</v>
      </c>
      <c r="B5" t="s">
        <v>48</v>
      </c>
      <c r="C5" s="3">
        <v>43842</v>
      </c>
      <c r="D5" s="3" t="s">
        <v>119</v>
      </c>
      <c r="E5" s="3" t="str">
        <f>VLOOKUP(Tabla2[[#This Row],[TIPUS]],Tarifas!$H$12:$I$26,2,0)</f>
        <v>FIX</v>
      </c>
      <c r="F5" t="s">
        <v>154</v>
      </c>
      <c r="G5">
        <v>250</v>
      </c>
      <c r="H5">
        <v>0</v>
      </c>
      <c r="I5">
        <v>250</v>
      </c>
    </row>
    <row r="6" spans="1:10" outlineLevel="1" x14ac:dyDescent="0.2">
      <c r="A6">
        <v>2020</v>
      </c>
      <c r="B6" t="s">
        <v>48</v>
      </c>
      <c r="C6" s="3">
        <v>43848</v>
      </c>
      <c r="D6" s="3" t="s">
        <v>146</v>
      </c>
      <c r="E6" s="3" t="str">
        <f>VLOOKUP(Tabla2[[#This Row],[TIPUS]],Tarifas!$H$12:$I$26,2,0)</f>
        <v>VARIABLE</v>
      </c>
      <c r="F6" t="s">
        <v>155</v>
      </c>
      <c r="G6">
        <v>35</v>
      </c>
      <c r="H6">
        <v>0</v>
      </c>
      <c r="I6">
        <v>35</v>
      </c>
    </row>
    <row r="7" spans="1:10" outlineLevel="1" x14ac:dyDescent="0.2">
      <c r="A7">
        <v>2020</v>
      </c>
      <c r="B7" t="s">
        <v>48</v>
      </c>
      <c r="C7" s="3">
        <v>43849</v>
      </c>
      <c r="D7" s="3" t="s">
        <v>104</v>
      </c>
      <c r="E7" s="3" t="str">
        <f>VLOOKUP(Tabla2[[#This Row],[TIPUS]],Tarifas!$H$12:$I$26,2,0)</f>
        <v>FIX</v>
      </c>
      <c r="F7" t="s">
        <v>156</v>
      </c>
      <c r="G7">
        <v>506</v>
      </c>
      <c r="H7">
        <v>306</v>
      </c>
      <c r="I7">
        <v>200</v>
      </c>
    </row>
    <row r="8" spans="1:10" outlineLevel="1" x14ac:dyDescent="0.2">
      <c r="A8">
        <v>2020</v>
      </c>
      <c r="B8" t="s">
        <v>48</v>
      </c>
      <c r="C8" s="3">
        <v>43857</v>
      </c>
      <c r="D8" s="3" t="s">
        <v>146</v>
      </c>
      <c r="E8" s="3" t="str">
        <f>VLOOKUP(Tabla2[[#This Row],[TIPUS]],Tarifas!$H$12:$I$26,2,0)</f>
        <v>VARIABLE</v>
      </c>
      <c r="F8" t="s">
        <v>157</v>
      </c>
      <c r="G8">
        <v>45</v>
      </c>
      <c r="H8">
        <v>0</v>
      </c>
      <c r="I8">
        <v>45</v>
      </c>
    </row>
    <row r="9" spans="1:10" outlineLevel="1" x14ac:dyDescent="0.2">
      <c r="A9">
        <v>2020</v>
      </c>
      <c r="B9" t="s">
        <v>48</v>
      </c>
      <c r="C9" s="3">
        <v>43858</v>
      </c>
      <c r="D9" s="3" t="s">
        <v>104</v>
      </c>
      <c r="E9" s="3" t="str">
        <f>VLOOKUP(Tabla2[[#This Row],[TIPUS]],Tarifas!$H$12:$I$26,2,0)</f>
        <v>FIX</v>
      </c>
      <c r="F9" t="s">
        <v>158</v>
      </c>
      <c r="G9">
        <v>600</v>
      </c>
      <c r="H9">
        <v>600</v>
      </c>
      <c r="I9">
        <v>0</v>
      </c>
    </row>
    <row r="10" spans="1:10" outlineLevel="1" x14ac:dyDescent="0.2">
      <c r="A10">
        <v>2020</v>
      </c>
      <c r="B10" t="s">
        <v>48</v>
      </c>
      <c r="C10" s="3">
        <v>43859</v>
      </c>
      <c r="D10" s="3" t="s">
        <v>128</v>
      </c>
      <c r="E10" s="3" t="str">
        <f>VLOOKUP(Tabla2[[#This Row],[TIPUS]],Tarifas!$H$12:$I$26,2,0)</f>
        <v>INVERSIONS</v>
      </c>
      <c r="F10" t="s">
        <v>159</v>
      </c>
      <c r="G10">
        <v>377</v>
      </c>
      <c r="H10">
        <v>377</v>
      </c>
      <c r="I10">
        <v>0</v>
      </c>
    </row>
    <row r="11" spans="1:10" outlineLevel="1" x14ac:dyDescent="0.2">
      <c r="A11">
        <v>2020</v>
      </c>
      <c r="B11" t="s">
        <v>48</v>
      </c>
      <c r="C11" s="3">
        <v>43860</v>
      </c>
      <c r="D11" s="3" t="s">
        <v>114</v>
      </c>
      <c r="E11" s="3" t="str">
        <f>VLOOKUP(Tabla2[[#This Row],[TIPUS]],Tarifas!$H$12:$I$26,2,0)</f>
        <v>VARIABLE</v>
      </c>
      <c r="F11" t="s">
        <v>160</v>
      </c>
      <c r="G11">
        <v>64</v>
      </c>
      <c r="H11">
        <v>0</v>
      </c>
      <c r="I11">
        <v>64</v>
      </c>
    </row>
    <row r="12" spans="1:10" outlineLevel="1" x14ac:dyDescent="0.2">
      <c r="A12">
        <v>2020</v>
      </c>
      <c r="B12" t="s">
        <v>48</v>
      </c>
      <c r="C12" s="3">
        <v>43861</v>
      </c>
      <c r="D12" s="3" t="s">
        <v>105</v>
      </c>
      <c r="E12" s="3" t="str">
        <f>VLOOKUP(Tabla2[[#This Row],[TIPUS]],Tarifas!$H$12:$I$26,2,0)</f>
        <v>FIX</v>
      </c>
      <c r="F12" t="s">
        <v>163</v>
      </c>
      <c r="G12">
        <v>67.540000000000006</v>
      </c>
      <c r="H12">
        <v>67.540000000000006</v>
      </c>
      <c r="I12">
        <v>0</v>
      </c>
    </row>
    <row r="13" spans="1:10" outlineLevel="1" x14ac:dyDescent="0.2">
      <c r="A13">
        <v>2020</v>
      </c>
      <c r="B13" t="s">
        <v>48</v>
      </c>
      <c r="C13" s="3">
        <v>43861</v>
      </c>
      <c r="D13" s="3" t="s">
        <v>112</v>
      </c>
      <c r="E13" s="3" t="str">
        <f>VLOOKUP(Tabla2[[#This Row],[TIPUS]],Tarifas!$H$12:$I$26,2,0)</f>
        <v>FIX</v>
      </c>
      <c r="F13" t="s">
        <v>168</v>
      </c>
      <c r="G13">
        <v>25</v>
      </c>
      <c r="H13">
        <v>25</v>
      </c>
      <c r="I13">
        <v>0</v>
      </c>
    </row>
    <row r="14" spans="1:10" outlineLevel="1" x14ac:dyDescent="0.2">
      <c r="A14">
        <v>2020</v>
      </c>
      <c r="B14" t="s">
        <v>48</v>
      </c>
      <c r="C14" s="3">
        <v>43861</v>
      </c>
      <c r="D14" s="3" t="s">
        <v>162</v>
      </c>
      <c r="E14" s="3" t="str">
        <f>VLOOKUP(Tabla2[[#This Row],[TIPUS]],Tarifas!$H$12:$I$26,2,0)</f>
        <v>VARIABLE</v>
      </c>
      <c r="F14" t="s">
        <v>161</v>
      </c>
      <c r="G14">
        <v>150</v>
      </c>
      <c r="H14">
        <v>0</v>
      </c>
      <c r="I14">
        <v>150</v>
      </c>
    </row>
    <row r="15" spans="1:10" outlineLevel="1" x14ac:dyDescent="0.2">
      <c r="A15">
        <v>2020</v>
      </c>
      <c r="B15" t="s">
        <v>48</v>
      </c>
      <c r="C15" s="3">
        <v>43861</v>
      </c>
      <c r="D15" s="3" t="s">
        <v>110</v>
      </c>
      <c r="E15" s="3" t="str">
        <f>VLOOKUP(Tabla2[[#This Row],[TIPUS]],Tarifas!$H$12:$I$26,2,0)</f>
        <v>VARIABLE</v>
      </c>
      <c r="F15" t="s">
        <v>168</v>
      </c>
      <c r="G15">
        <f>54.32/2</f>
        <v>27.16</v>
      </c>
      <c r="H15">
        <f>54.32/2</f>
        <v>27.16</v>
      </c>
      <c r="I15">
        <v>0</v>
      </c>
    </row>
    <row r="16" spans="1:10" outlineLevel="1" x14ac:dyDescent="0.2">
      <c r="A16">
        <v>2020</v>
      </c>
      <c r="B16" t="s">
        <v>56</v>
      </c>
      <c r="C16" s="3">
        <v>43878</v>
      </c>
      <c r="D16" s="3" t="s">
        <v>104</v>
      </c>
      <c r="E16" s="3" t="str">
        <f>VLOOKUP(Tabla2[[#This Row],[TIPUS]],Tarifas!$H$12:$I$26,2,0)</f>
        <v>FIX</v>
      </c>
      <c r="F16" t="s">
        <v>165</v>
      </c>
      <c r="G16">
        <v>506</v>
      </c>
      <c r="H16">
        <v>306</v>
      </c>
      <c r="I16">
        <v>200</v>
      </c>
    </row>
    <row r="17" spans="1:11" outlineLevel="1" x14ac:dyDescent="0.2">
      <c r="A17">
        <v>2020</v>
      </c>
      <c r="B17" t="s">
        <v>56</v>
      </c>
      <c r="C17" s="3">
        <v>43879</v>
      </c>
      <c r="D17" s="3" t="s">
        <v>114</v>
      </c>
      <c r="E17" s="3" t="str">
        <f>VLOOKUP(Tabla2[[#This Row],[TIPUS]],Tarifas!$H$12:$I$26,2,0)</f>
        <v>VARIABLE</v>
      </c>
      <c r="F17" t="s">
        <v>164</v>
      </c>
      <c r="G17">
        <v>90</v>
      </c>
      <c r="H17">
        <v>0</v>
      </c>
      <c r="I17">
        <v>90</v>
      </c>
    </row>
    <row r="18" spans="1:11" outlineLevel="1" x14ac:dyDescent="0.2">
      <c r="A18">
        <v>2020</v>
      </c>
      <c r="B18" t="s">
        <v>56</v>
      </c>
      <c r="C18" s="3">
        <v>43880</v>
      </c>
      <c r="D18" s="3" t="s">
        <v>162</v>
      </c>
      <c r="E18" s="3" t="str">
        <f>VLOOKUP(Tabla2[[#This Row],[TIPUS]],Tarifas!$H$12:$I$26,2,0)</f>
        <v>VARIABLE</v>
      </c>
      <c r="F18" t="s">
        <v>166</v>
      </c>
      <c r="G18">
        <v>120</v>
      </c>
      <c r="H18">
        <v>0</v>
      </c>
      <c r="I18">
        <v>120</v>
      </c>
    </row>
    <row r="19" spans="1:11" outlineLevel="1" x14ac:dyDescent="0.2">
      <c r="A19">
        <v>2020</v>
      </c>
      <c r="B19" t="s">
        <v>56</v>
      </c>
      <c r="C19" s="3">
        <v>43883</v>
      </c>
      <c r="D19" s="3" t="s">
        <v>162</v>
      </c>
      <c r="E19" s="3" t="str">
        <f>VLOOKUP(Tabla2[[#This Row],[TIPUS]],Tarifas!$H$12:$I$26,2,0)</f>
        <v>VARIABLE</v>
      </c>
      <c r="F19" t="s">
        <v>167</v>
      </c>
      <c r="G19">
        <v>175</v>
      </c>
      <c r="H19">
        <v>0</v>
      </c>
      <c r="I19">
        <v>175</v>
      </c>
    </row>
    <row r="20" spans="1:11" outlineLevel="1" x14ac:dyDescent="0.2">
      <c r="A20">
        <v>2020</v>
      </c>
      <c r="B20" t="s">
        <v>56</v>
      </c>
      <c r="C20" s="3">
        <v>43883</v>
      </c>
      <c r="D20" s="3" t="s">
        <v>128</v>
      </c>
      <c r="E20" s="3" t="str">
        <f>VLOOKUP(Tabla2[[#This Row],[TIPUS]],Tarifas!$H$12:$I$26,2,0)</f>
        <v>INVERSIONS</v>
      </c>
      <c r="F20" t="s">
        <v>169</v>
      </c>
      <c r="G20">
        <v>131.53</v>
      </c>
      <c r="H20">
        <v>131.53</v>
      </c>
      <c r="I20">
        <v>0</v>
      </c>
    </row>
    <row r="21" spans="1:11" outlineLevel="1" x14ac:dyDescent="0.2">
      <c r="A21">
        <v>2020</v>
      </c>
      <c r="B21" t="s">
        <v>56</v>
      </c>
      <c r="C21" s="3">
        <v>43883</v>
      </c>
      <c r="D21" s="3" t="s">
        <v>114</v>
      </c>
      <c r="E21" s="3" t="str">
        <f>VLOOKUP(Tabla2[[#This Row],[TIPUS]],Tarifas!$H$12:$I$26,2,0)</f>
        <v>VARIABLE</v>
      </c>
      <c r="F21" t="s">
        <v>170</v>
      </c>
      <c r="G21">
        <v>3</v>
      </c>
      <c r="H21">
        <v>3</v>
      </c>
      <c r="I21">
        <v>0</v>
      </c>
    </row>
    <row r="22" spans="1:11" outlineLevel="1" x14ac:dyDescent="0.2">
      <c r="A22">
        <v>2020</v>
      </c>
      <c r="B22" t="s">
        <v>56</v>
      </c>
      <c r="C22" s="3">
        <v>43883</v>
      </c>
      <c r="D22" s="3" t="s">
        <v>128</v>
      </c>
      <c r="E22" s="3" t="str">
        <f>VLOOKUP(Tabla2[[#This Row],[TIPUS]],Tarifas!$H$12:$I$26,2,0)</f>
        <v>INVERSIONS</v>
      </c>
      <c r="F22" t="s">
        <v>171</v>
      </c>
      <c r="G22">
        <v>40.06</v>
      </c>
      <c r="H22">
        <v>40.06</v>
      </c>
      <c r="I22">
        <v>0</v>
      </c>
    </row>
    <row r="23" spans="1:11" outlineLevel="1" x14ac:dyDescent="0.2">
      <c r="A23">
        <v>2020</v>
      </c>
      <c r="B23" t="s">
        <v>56</v>
      </c>
      <c r="C23" s="3">
        <v>43889</v>
      </c>
      <c r="D23" s="3" t="s">
        <v>105</v>
      </c>
      <c r="E23" s="3" t="str">
        <f>VLOOKUP(Tabla2[[#This Row],[TIPUS]],Tarifas!$H$12:$I$26,2,0)</f>
        <v>FIX</v>
      </c>
      <c r="F23" t="s">
        <v>176</v>
      </c>
      <c r="G23">
        <v>67.540000000000006</v>
      </c>
      <c r="H23">
        <v>67.540000000000006</v>
      </c>
      <c r="I23">
        <v>0</v>
      </c>
    </row>
    <row r="24" spans="1:11" outlineLevel="1" x14ac:dyDescent="0.2">
      <c r="A24">
        <v>2020</v>
      </c>
      <c r="B24" t="s">
        <v>56</v>
      </c>
      <c r="C24" s="3">
        <v>43889</v>
      </c>
      <c r="D24" s="3" t="s">
        <v>112</v>
      </c>
      <c r="E24" s="3" t="str">
        <f>VLOOKUP(Tabla2[[#This Row],[TIPUS]],Tarifas!$H$12:$I$26,2,0)</f>
        <v>FIX</v>
      </c>
      <c r="F24" t="s">
        <v>176</v>
      </c>
      <c r="G24">
        <v>53.8</v>
      </c>
      <c r="H24">
        <v>53.8</v>
      </c>
      <c r="I24">
        <v>0</v>
      </c>
    </row>
    <row r="25" spans="1:11" outlineLevel="1" x14ac:dyDescent="0.2">
      <c r="A25">
        <v>2020</v>
      </c>
      <c r="B25" t="s">
        <v>56</v>
      </c>
      <c r="C25" s="3">
        <v>43889</v>
      </c>
      <c r="D25" s="3" t="s">
        <v>110</v>
      </c>
      <c r="E25" s="3" t="str">
        <f>VLOOKUP(Tabla2[[#This Row],[TIPUS]],Tarifas!$H$12:$I$26,2,0)</f>
        <v>VARIABLE</v>
      </c>
      <c r="F25" t="s">
        <v>176</v>
      </c>
      <c r="G25">
        <f>54.32/2</f>
        <v>27.16</v>
      </c>
      <c r="H25">
        <f>54.32/2</f>
        <v>27.16</v>
      </c>
      <c r="I25">
        <v>0</v>
      </c>
    </row>
    <row r="26" spans="1:11" outlineLevel="1" x14ac:dyDescent="0.2">
      <c r="A26">
        <v>2020</v>
      </c>
      <c r="B26" t="s">
        <v>57</v>
      </c>
      <c r="C26" s="3">
        <v>43896</v>
      </c>
      <c r="D26" s="3" t="s">
        <v>104</v>
      </c>
      <c r="E26" s="3" t="str">
        <f>VLOOKUP(Tabla2[[#This Row],[TIPUS]],Tarifas!$H$12:$I$26,2,0)</f>
        <v>FIX</v>
      </c>
      <c r="F26" t="s">
        <v>174</v>
      </c>
      <c r="G26">
        <v>506</v>
      </c>
      <c r="H26">
        <v>306</v>
      </c>
      <c r="I26">
        <v>200</v>
      </c>
    </row>
    <row r="27" spans="1:11" outlineLevel="1" x14ac:dyDescent="0.2">
      <c r="A27">
        <v>2020</v>
      </c>
      <c r="B27" t="s">
        <v>57</v>
      </c>
      <c r="C27" s="3">
        <v>43899</v>
      </c>
      <c r="D27" s="3" t="s">
        <v>114</v>
      </c>
      <c r="E27" s="3" t="str">
        <f>VLOOKUP(Tabla2[[#This Row],[TIPUS]],Tarifas!$H$12:$I$26,2,0)</f>
        <v>VARIABLE</v>
      </c>
      <c r="F27" t="s">
        <v>175</v>
      </c>
      <c r="G27">
        <v>18.61</v>
      </c>
      <c r="H27">
        <v>18.61</v>
      </c>
      <c r="I27">
        <v>0</v>
      </c>
    </row>
    <row r="28" spans="1:11" outlineLevel="1" x14ac:dyDescent="0.2">
      <c r="A28">
        <v>2020</v>
      </c>
      <c r="B28" t="s">
        <v>58</v>
      </c>
      <c r="C28" s="3">
        <v>43931</v>
      </c>
      <c r="D28" s="3" t="s">
        <v>112</v>
      </c>
      <c r="E28" s="3" t="str">
        <f>VLOOKUP(Tabla2[[#This Row],[TIPUS]],Tarifas!$H$12:$I$26,2,0)</f>
        <v>FIX</v>
      </c>
      <c r="F28" t="s">
        <v>205</v>
      </c>
      <c r="G28">
        <v>55.34</v>
      </c>
      <c r="H28">
        <v>55.34</v>
      </c>
      <c r="I28">
        <v>0</v>
      </c>
    </row>
    <row r="29" spans="1:11" outlineLevel="1" x14ac:dyDescent="0.2">
      <c r="A29">
        <v>2020</v>
      </c>
      <c r="B29" t="s">
        <v>57</v>
      </c>
      <c r="C29" s="3">
        <v>43921</v>
      </c>
      <c r="D29" s="3" t="s">
        <v>105</v>
      </c>
      <c r="E29" s="3" t="str">
        <f>VLOOKUP(Tabla2[[#This Row],[TIPUS]],Tarifas!$H$12:$I$26,2,0)</f>
        <v>FIX</v>
      </c>
      <c r="F29" t="s">
        <v>179</v>
      </c>
      <c r="G29">
        <f>67.54-38.5</f>
        <v>29.040000000000006</v>
      </c>
      <c r="H29">
        <f>67.54-38.5</f>
        <v>29.040000000000006</v>
      </c>
      <c r="I29">
        <v>0</v>
      </c>
      <c r="K29" t="s">
        <v>184</v>
      </c>
    </row>
    <row r="30" spans="1:11" outlineLevel="1" x14ac:dyDescent="0.2">
      <c r="A30">
        <v>2020</v>
      </c>
      <c r="B30" t="s">
        <v>59</v>
      </c>
      <c r="C30" s="3">
        <v>43955</v>
      </c>
      <c r="D30" s="3" t="s">
        <v>112</v>
      </c>
      <c r="E30" s="3" t="str">
        <f>VLOOKUP(Tabla2[[#This Row],[TIPUS]],Tarifas!$H$12:$I$26,2,0)</f>
        <v>FIX</v>
      </c>
      <c r="F30" t="s">
        <v>190</v>
      </c>
      <c r="G30">
        <v>57</v>
      </c>
      <c r="H30">
        <v>57</v>
      </c>
      <c r="I30">
        <v>0</v>
      </c>
    </row>
    <row r="31" spans="1:11" outlineLevel="1" x14ac:dyDescent="0.2">
      <c r="A31">
        <v>2020</v>
      </c>
      <c r="B31" t="s">
        <v>59</v>
      </c>
      <c r="C31" s="3">
        <v>43956</v>
      </c>
      <c r="D31" s="3" t="s">
        <v>114</v>
      </c>
      <c r="E31" s="3" t="str">
        <f>VLOOKUP(Tabla2[[#This Row],[TIPUS]],Tarifas!$H$12:$I$26,2,0)</f>
        <v>VARIABLE</v>
      </c>
      <c r="F31" t="s">
        <v>182</v>
      </c>
      <c r="G31">
        <v>50.92</v>
      </c>
      <c r="H31">
        <v>0</v>
      </c>
      <c r="I31">
        <v>50.92</v>
      </c>
    </row>
    <row r="32" spans="1:11" outlineLevel="1" x14ac:dyDescent="0.2">
      <c r="A32">
        <v>2020</v>
      </c>
      <c r="B32" t="s">
        <v>59</v>
      </c>
      <c r="C32" s="3">
        <v>43956</v>
      </c>
      <c r="D32" s="3" t="s">
        <v>114</v>
      </c>
      <c r="E32" s="3" t="str">
        <f>VLOOKUP(Tabla2[[#This Row],[TIPUS]],Tarifas!$H$12:$I$26,2,0)</f>
        <v>VARIABLE</v>
      </c>
      <c r="F32" t="s">
        <v>183</v>
      </c>
      <c r="G32" s="52">
        <v>0</v>
      </c>
      <c r="H32">
        <v>0</v>
      </c>
      <c r="I32">
        <v>0</v>
      </c>
      <c r="K32">
        <v>199.86</v>
      </c>
    </row>
    <row r="33" spans="1:9" outlineLevel="1" x14ac:dyDescent="0.2">
      <c r="A33">
        <v>2020</v>
      </c>
      <c r="B33" t="s">
        <v>59</v>
      </c>
      <c r="C33" s="3">
        <v>43956</v>
      </c>
      <c r="D33" s="3" t="s">
        <v>114</v>
      </c>
      <c r="E33" s="3" t="str">
        <f>VLOOKUP(Tabla2[[#This Row],[TIPUS]],Tarifas!$H$12:$I$26,2,0)</f>
        <v>VARIABLE</v>
      </c>
      <c r="F33" t="s">
        <v>183</v>
      </c>
      <c r="G33" s="49">
        <v>36.229999999999997</v>
      </c>
      <c r="H33">
        <v>0</v>
      </c>
      <c r="I33">
        <v>36.229999999999997</v>
      </c>
    </row>
    <row r="34" spans="1:9" outlineLevel="1" x14ac:dyDescent="0.2">
      <c r="A34">
        <v>2020</v>
      </c>
      <c r="B34" t="s">
        <v>59</v>
      </c>
      <c r="C34" s="3">
        <v>43966</v>
      </c>
      <c r="D34" s="3" t="s">
        <v>114</v>
      </c>
      <c r="E34" s="3" t="str">
        <f>VLOOKUP(Tabla2[[#This Row],[TIPUS]],Tarifas!$H$12:$I$26,2,0)</f>
        <v>VARIABLE</v>
      </c>
      <c r="F34" t="s">
        <v>185</v>
      </c>
      <c r="G34">
        <v>100</v>
      </c>
      <c r="H34">
        <v>0</v>
      </c>
      <c r="I34">
        <v>100</v>
      </c>
    </row>
    <row r="35" spans="1:9" outlineLevel="1" x14ac:dyDescent="0.2">
      <c r="A35">
        <v>2020</v>
      </c>
      <c r="B35" t="s">
        <v>59</v>
      </c>
      <c r="C35" s="3">
        <v>43976</v>
      </c>
      <c r="D35" s="3" t="s">
        <v>106</v>
      </c>
      <c r="E35" s="3" t="str">
        <f>VLOOKUP(Tabla2[[#This Row],[TIPUS]],Tarifas!$H$12:$I$26,2,0)</f>
        <v>FIX</v>
      </c>
      <c r="F35" t="s">
        <v>186</v>
      </c>
      <c r="G35">
        <v>90</v>
      </c>
      <c r="H35">
        <v>0</v>
      </c>
      <c r="I35">
        <v>90</v>
      </c>
    </row>
    <row r="36" spans="1:9" outlineLevel="1" x14ac:dyDescent="0.2">
      <c r="A36">
        <v>2020</v>
      </c>
      <c r="B36" t="s">
        <v>59</v>
      </c>
      <c r="C36" s="3">
        <v>43976</v>
      </c>
      <c r="D36" s="3" t="s">
        <v>188</v>
      </c>
      <c r="E36" s="3" t="str">
        <f>VLOOKUP(Tabla2[[#This Row],[TIPUS]],Tarifas!$H$12:$I$26,2,0)</f>
        <v>IMPOSTOS</v>
      </c>
      <c r="F36" t="s">
        <v>187</v>
      </c>
      <c r="G36">
        <f>230.93+1.62+171</f>
        <v>403.55</v>
      </c>
      <c r="H36">
        <f>230.93+1.62+171</f>
        <v>403.55</v>
      </c>
      <c r="I36">
        <v>0</v>
      </c>
    </row>
    <row r="37" spans="1:9" outlineLevel="1" x14ac:dyDescent="0.2">
      <c r="A37">
        <v>2020</v>
      </c>
      <c r="B37" t="s">
        <v>60</v>
      </c>
      <c r="C37" s="3">
        <v>43986</v>
      </c>
      <c r="D37" s="3" t="s">
        <v>112</v>
      </c>
      <c r="E37" s="3" t="str">
        <f>VLOOKUP(Tabla2[[#This Row],[TIPUS]],Tarifas!$H$12:$I$26,2,0)</f>
        <v>FIX</v>
      </c>
      <c r="F37" t="s">
        <v>191</v>
      </c>
      <c r="G37">
        <v>57</v>
      </c>
      <c r="H37">
        <v>57</v>
      </c>
      <c r="I37">
        <v>0</v>
      </c>
    </row>
    <row r="38" spans="1:9" outlineLevel="1" x14ac:dyDescent="0.2">
      <c r="A38">
        <v>2020</v>
      </c>
      <c r="B38" t="s">
        <v>60</v>
      </c>
      <c r="C38" s="3">
        <v>43991</v>
      </c>
      <c r="D38" s="3" t="s">
        <v>114</v>
      </c>
      <c r="E38" s="3" t="str">
        <f>VLOOKUP(Tabla2[[#This Row],[TIPUS]],Tarifas!$H$12:$I$26,2,0)</f>
        <v>VARIABLE</v>
      </c>
      <c r="F38" t="s">
        <v>185</v>
      </c>
      <c r="G38">
        <v>125</v>
      </c>
      <c r="H38">
        <v>0</v>
      </c>
      <c r="I38">
        <v>125</v>
      </c>
    </row>
    <row r="39" spans="1:9" outlineLevel="1" x14ac:dyDescent="0.2">
      <c r="A39">
        <v>2020</v>
      </c>
      <c r="B39" t="s">
        <v>60</v>
      </c>
      <c r="C39" s="3">
        <v>44012</v>
      </c>
      <c r="D39" s="3" t="s">
        <v>114</v>
      </c>
      <c r="E39" s="3" t="str">
        <f>VLOOKUP(Tabla2[[#This Row],[TIPUS]],Tarifas!$H$12:$I$26,2,0)</f>
        <v>VARIABLE</v>
      </c>
      <c r="F39" t="s">
        <v>195</v>
      </c>
      <c r="G39">
        <v>19.079999999999998</v>
      </c>
      <c r="H39">
        <v>19.079999999999998</v>
      </c>
      <c r="I39">
        <v>0</v>
      </c>
    </row>
    <row r="40" spans="1:9" outlineLevel="1" x14ac:dyDescent="0.2">
      <c r="A40">
        <v>2020</v>
      </c>
      <c r="B40" t="s">
        <v>60</v>
      </c>
      <c r="C40" s="3">
        <v>44012</v>
      </c>
      <c r="D40" s="3" t="s">
        <v>104</v>
      </c>
      <c r="E40" s="3" t="str">
        <f>VLOOKUP(Tabla2[[#This Row],[TIPUS]],Tarifas!$H$12:$I$26,2,0)</f>
        <v>FIX</v>
      </c>
      <c r="F40" t="s">
        <v>197</v>
      </c>
      <c r="G40">
        <v>152</v>
      </c>
      <c r="H40">
        <v>0</v>
      </c>
      <c r="I40">
        <v>152</v>
      </c>
    </row>
    <row r="41" spans="1:9" outlineLevel="1" x14ac:dyDescent="0.2">
      <c r="A41">
        <v>2020</v>
      </c>
      <c r="B41" t="s">
        <v>61</v>
      </c>
      <c r="C41" s="3">
        <v>44013</v>
      </c>
      <c r="D41" s="3" t="s">
        <v>104</v>
      </c>
      <c r="E41" s="3" t="str">
        <f>VLOOKUP(Tabla2[[#This Row],[TIPUS]],Tarifas!$H$12:$I$26,2,0)</f>
        <v>FIX</v>
      </c>
      <c r="F41" t="s">
        <v>198</v>
      </c>
      <c r="G41">
        <v>200</v>
      </c>
      <c r="H41">
        <v>0</v>
      </c>
      <c r="I41">
        <v>200</v>
      </c>
    </row>
    <row r="42" spans="1:9" outlineLevel="1" x14ac:dyDescent="0.2">
      <c r="A42">
        <v>2020</v>
      </c>
      <c r="B42" t="s">
        <v>61</v>
      </c>
      <c r="C42" s="3">
        <v>44018</v>
      </c>
      <c r="D42" s="3" t="s">
        <v>112</v>
      </c>
      <c r="E42" s="3" t="str">
        <f>VLOOKUP(Tabla2[[#This Row],[TIPUS]],Tarifas!$H$12:$I$26,2,0)</f>
        <v>FIX</v>
      </c>
      <c r="F42" t="s">
        <v>203</v>
      </c>
      <c r="G42">
        <v>57</v>
      </c>
      <c r="H42">
        <v>57</v>
      </c>
      <c r="I42">
        <v>0</v>
      </c>
    </row>
    <row r="43" spans="1:9" outlineLevel="1" x14ac:dyDescent="0.2">
      <c r="A43">
        <v>2020</v>
      </c>
      <c r="B43" t="s">
        <v>61</v>
      </c>
      <c r="C43" s="3">
        <v>44034</v>
      </c>
      <c r="D43" s="3" t="s">
        <v>114</v>
      </c>
      <c r="E43" s="3" t="str">
        <f>VLOOKUP(Tabla2[[#This Row],[TIPUS]],Tarifas!$H$12:$I$26,2,0)</f>
        <v>VARIABLE</v>
      </c>
      <c r="F43" t="s">
        <v>206</v>
      </c>
      <c r="G43">
        <v>5</v>
      </c>
      <c r="H43">
        <v>0</v>
      </c>
      <c r="I43">
        <v>5</v>
      </c>
    </row>
    <row r="44" spans="1:9" outlineLevel="1" x14ac:dyDescent="0.2">
      <c r="A44">
        <v>2020</v>
      </c>
      <c r="B44" t="s">
        <v>61</v>
      </c>
      <c r="C44" s="3">
        <v>44036</v>
      </c>
      <c r="D44" s="3" t="s">
        <v>110</v>
      </c>
      <c r="E44" s="3" t="str">
        <f>VLOOKUP(Tabla2[[#This Row],[TIPUS]],Tarifas!$H$12:$I$26,2,0)</f>
        <v>VARIABLE</v>
      </c>
      <c r="F44" t="s">
        <v>207</v>
      </c>
      <c r="G44">
        <v>164.02</v>
      </c>
      <c r="H44">
        <v>164.02</v>
      </c>
      <c r="I44">
        <v>0</v>
      </c>
    </row>
    <row r="45" spans="1:9" outlineLevel="1" x14ac:dyDescent="0.2">
      <c r="A45">
        <v>2020</v>
      </c>
      <c r="B45" t="s">
        <v>61</v>
      </c>
      <c r="C45" s="3">
        <v>44040</v>
      </c>
      <c r="D45" s="3" t="s">
        <v>111</v>
      </c>
      <c r="E45" s="3" t="str">
        <f>VLOOKUP(Tabla2[[#This Row],[TIPUS]],Tarifas!$H$12:$I$26,2,0)</f>
        <v>VARIABLE</v>
      </c>
      <c r="F45" t="s">
        <v>210</v>
      </c>
      <c r="G45">
        <v>162.01</v>
      </c>
      <c r="H45">
        <v>162.01</v>
      </c>
      <c r="I45">
        <v>0</v>
      </c>
    </row>
    <row r="46" spans="1:9" outlineLevel="1" x14ac:dyDescent="0.2">
      <c r="A46">
        <v>2020</v>
      </c>
      <c r="B46" t="s">
        <v>61</v>
      </c>
      <c r="C46" s="3">
        <v>44040</v>
      </c>
      <c r="D46" s="3" t="s">
        <v>104</v>
      </c>
      <c r="E46" s="3" t="str">
        <f>VLOOKUP(Tabla2[[#This Row],[TIPUS]],Tarifas!$H$12:$I$26,2,0)</f>
        <v>FIX</v>
      </c>
      <c r="F46" t="s">
        <v>198</v>
      </c>
      <c r="G46">
        <v>306</v>
      </c>
      <c r="H46">
        <v>306</v>
      </c>
      <c r="I46">
        <v>0</v>
      </c>
    </row>
    <row r="47" spans="1:9" outlineLevel="1" x14ac:dyDescent="0.2">
      <c r="A47">
        <v>2020</v>
      </c>
      <c r="B47" t="s">
        <v>61</v>
      </c>
      <c r="C47" s="3">
        <v>44043</v>
      </c>
      <c r="D47" s="3" t="s">
        <v>106</v>
      </c>
      <c r="E47" s="3" t="str">
        <f>VLOOKUP(Tabla2[[#This Row],[TIPUS]],Tarifas!$H$12:$I$26,2,0)</f>
        <v>FIX</v>
      </c>
      <c r="F47" t="s">
        <v>293</v>
      </c>
      <c r="G47">
        <v>90</v>
      </c>
      <c r="H47">
        <v>0</v>
      </c>
      <c r="I47">
        <v>90</v>
      </c>
    </row>
    <row r="48" spans="1:9" outlineLevel="1" x14ac:dyDescent="0.2">
      <c r="A48">
        <v>2020</v>
      </c>
      <c r="B48" t="s">
        <v>62</v>
      </c>
      <c r="C48" s="3">
        <v>44049</v>
      </c>
      <c r="D48" s="3" t="s">
        <v>112</v>
      </c>
      <c r="E48" s="3" t="str">
        <f>VLOOKUP(Tabla2[[#This Row],[TIPUS]],Tarifas!$H$12:$I$26,2,0)</f>
        <v>FIX</v>
      </c>
      <c r="F48" t="s">
        <v>211</v>
      </c>
      <c r="G48">
        <v>60.21</v>
      </c>
      <c r="H48">
        <v>60.21</v>
      </c>
      <c r="I48">
        <v>0</v>
      </c>
    </row>
    <row r="49" spans="1:9" outlineLevel="1" x14ac:dyDescent="0.2">
      <c r="A49">
        <v>2020</v>
      </c>
      <c r="B49" t="s">
        <v>62</v>
      </c>
      <c r="C49" s="3">
        <v>44062</v>
      </c>
      <c r="D49" s="3" t="s">
        <v>110</v>
      </c>
      <c r="E49" s="3" t="str">
        <f>VLOOKUP(Tabla2[[#This Row],[TIPUS]],Tarifas!$H$12:$I$26,2,0)</f>
        <v>VARIABLE</v>
      </c>
      <c r="F49" t="s">
        <v>292</v>
      </c>
      <c r="G49">
        <v>130.21</v>
      </c>
      <c r="H49">
        <v>130.21</v>
      </c>
      <c r="I49">
        <v>0</v>
      </c>
    </row>
    <row r="50" spans="1:9" outlineLevel="1" x14ac:dyDescent="0.2">
      <c r="A50">
        <v>2020</v>
      </c>
      <c r="B50" t="s">
        <v>62</v>
      </c>
      <c r="C50" s="3">
        <v>44066</v>
      </c>
      <c r="D50" s="3" t="s">
        <v>104</v>
      </c>
      <c r="E50" s="3" t="str">
        <f>VLOOKUP(Tabla2[[#This Row],[TIPUS]],Tarifas!$H$12:$I$26,2,0)</f>
        <v>FIX</v>
      </c>
      <c r="F50" t="s">
        <v>302</v>
      </c>
      <c r="G50">
        <v>506</v>
      </c>
      <c r="H50">
        <v>306</v>
      </c>
      <c r="I50">
        <v>200</v>
      </c>
    </row>
    <row r="51" spans="1:9" outlineLevel="1" x14ac:dyDescent="0.2">
      <c r="A51">
        <v>2020</v>
      </c>
      <c r="B51" t="s">
        <v>62</v>
      </c>
      <c r="C51" s="3">
        <v>44074</v>
      </c>
      <c r="D51" s="3" t="s">
        <v>105</v>
      </c>
      <c r="E51" s="51" t="str">
        <f>VLOOKUP(Tabla2[[#This Row],[TIPUS]],Tarifas!$H$12:$I$26,2,0)</f>
        <v>FIX</v>
      </c>
      <c r="F51" t="s">
        <v>211</v>
      </c>
      <c r="G51">
        <v>33.78</v>
      </c>
      <c r="H51">
        <v>33.78</v>
      </c>
      <c r="I51">
        <v>0</v>
      </c>
    </row>
    <row r="52" spans="1:9" outlineLevel="1" x14ac:dyDescent="0.2">
      <c r="A52">
        <v>2020</v>
      </c>
      <c r="B52" t="s">
        <v>62</v>
      </c>
      <c r="C52" s="3">
        <v>44074</v>
      </c>
      <c r="D52" s="3" t="s">
        <v>114</v>
      </c>
      <c r="E52" s="3" t="str">
        <f>VLOOKUP(Tabla2[[#This Row],[TIPUS]],Tarifas!$H$12:$I$26,2,0)</f>
        <v>VARIABLE</v>
      </c>
      <c r="F52" t="s">
        <v>303</v>
      </c>
      <c r="G52">
        <v>20.65</v>
      </c>
      <c r="H52">
        <v>20.65</v>
      </c>
      <c r="I52">
        <v>0</v>
      </c>
    </row>
    <row r="53" spans="1:9" outlineLevel="1" x14ac:dyDescent="0.2">
      <c r="A53">
        <v>2020</v>
      </c>
      <c r="B53" t="s">
        <v>62</v>
      </c>
      <c r="C53" s="3">
        <v>44074</v>
      </c>
      <c r="D53" s="3" t="s">
        <v>114</v>
      </c>
      <c r="E53" s="3" t="str">
        <f>VLOOKUP(Tabla2[[#This Row],[TIPUS]],Tarifas!$H$12:$I$26,2,0)</f>
        <v>VARIABLE</v>
      </c>
      <c r="F53" t="s">
        <v>304</v>
      </c>
      <c r="G53">
        <v>14.66</v>
      </c>
      <c r="H53">
        <v>14.66</v>
      </c>
      <c r="I53">
        <v>0</v>
      </c>
    </row>
    <row r="54" spans="1:9" outlineLevel="1" x14ac:dyDescent="0.2">
      <c r="A54">
        <v>2020</v>
      </c>
      <c r="B54" t="s">
        <v>236</v>
      </c>
      <c r="C54" s="3">
        <v>44078</v>
      </c>
      <c r="D54" s="3" t="s">
        <v>112</v>
      </c>
      <c r="E54" s="3" t="str">
        <f>VLOOKUP(Tabla2[[#This Row],[TIPUS]],Tarifas!$H$12:$I$26,2,0)</f>
        <v>FIX</v>
      </c>
      <c r="F54" t="s">
        <v>305</v>
      </c>
      <c r="G54">
        <v>57</v>
      </c>
      <c r="H54">
        <v>57</v>
      </c>
      <c r="I54">
        <v>0</v>
      </c>
    </row>
    <row r="55" spans="1:9" outlineLevel="1" x14ac:dyDescent="0.2">
      <c r="A55">
        <v>2020</v>
      </c>
      <c r="B55" t="s">
        <v>236</v>
      </c>
      <c r="C55" s="3">
        <v>44084</v>
      </c>
      <c r="D55" s="3" t="s">
        <v>104</v>
      </c>
      <c r="E55" s="3" t="str">
        <f>VLOOKUP(Tabla2[[#This Row],[TIPUS]],Tarifas!$H$12:$I$26,2,0)</f>
        <v>FIX</v>
      </c>
      <c r="F55" t="s">
        <v>306</v>
      </c>
      <c r="G55">
        <v>506</v>
      </c>
      <c r="H55">
        <v>306</v>
      </c>
      <c r="I55">
        <v>200</v>
      </c>
    </row>
    <row r="56" spans="1:9" outlineLevel="1" x14ac:dyDescent="0.2">
      <c r="A56">
        <v>2020</v>
      </c>
      <c r="B56" t="s">
        <v>236</v>
      </c>
      <c r="C56" s="3">
        <v>44084</v>
      </c>
      <c r="D56" s="3" t="s">
        <v>110</v>
      </c>
      <c r="E56" s="3" t="str">
        <f>VLOOKUP(Tabla2[[#This Row],[TIPUS]],Tarifas!$H$12:$I$26,2,0)</f>
        <v>VARIABLE</v>
      </c>
      <c r="F56" t="s">
        <v>307</v>
      </c>
      <c r="G56">
        <v>81.93</v>
      </c>
      <c r="H56">
        <v>81.93</v>
      </c>
      <c r="I56">
        <v>0</v>
      </c>
    </row>
    <row r="57" spans="1:9" outlineLevel="1" x14ac:dyDescent="0.2">
      <c r="A57">
        <v>2020</v>
      </c>
      <c r="B57" t="s">
        <v>236</v>
      </c>
      <c r="C57" s="3">
        <v>44104</v>
      </c>
      <c r="D57" s="3" t="s">
        <v>105</v>
      </c>
      <c r="E57" s="3" t="str">
        <f>VLOOKUP(Tabla2[[#This Row],[TIPUS]],Tarifas!$H$12:$I$26,2,0)</f>
        <v>FIX</v>
      </c>
      <c r="F57" t="s">
        <v>308</v>
      </c>
      <c r="G57">
        <v>50.67</v>
      </c>
      <c r="H57">
        <v>50.67</v>
      </c>
      <c r="I57">
        <v>0</v>
      </c>
    </row>
    <row r="58" spans="1:9" outlineLevel="1" x14ac:dyDescent="0.2">
      <c r="A58">
        <v>2020</v>
      </c>
      <c r="B58" t="s">
        <v>63</v>
      </c>
      <c r="C58" s="3">
        <v>44110</v>
      </c>
      <c r="D58" s="3" t="s">
        <v>112</v>
      </c>
      <c r="E58" s="3" t="str">
        <f>VLOOKUP(Tabla2[[#This Row],[TIPUS]],Tarifas!$H$12:$I$26,2,0)</f>
        <v>FIX</v>
      </c>
      <c r="F58" t="s">
        <v>309</v>
      </c>
      <c r="G58">
        <v>57</v>
      </c>
      <c r="H58">
        <v>57</v>
      </c>
      <c r="I58">
        <v>0</v>
      </c>
    </row>
    <row r="59" spans="1:9" outlineLevel="1" x14ac:dyDescent="0.2">
      <c r="A59">
        <v>2020</v>
      </c>
      <c r="B59" t="s">
        <v>63</v>
      </c>
      <c r="C59" s="3">
        <v>44113</v>
      </c>
      <c r="D59" s="3" t="s">
        <v>104</v>
      </c>
      <c r="E59" s="3" t="str">
        <f>VLOOKUP(Tabla2[[#This Row],[TIPUS]],Tarifas!$H$12:$I$26,2,0)</f>
        <v>FIX</v>
      </c>
      <c r="F59" t="s">
        <v>311</v>
      </c>
      <c r="G59">
        <v>506</v>
      </c>
      <c r="H59">
        <v>306</v>
      </c>
      <c r="I59">
        <v>200</v>
      </c>
    </row>
    <row r="60" spans="1:9" outlineLevel="1" x14ac:dyDescent="0.2">
      <c r="A60">
        <v>2020</v>
      </c>
      <c r="B60" t="s">
        <v>63</v>
      </c>
      <c r="C60" s="3">
        <v>44123</v>
      </c>
      <c r="D60" s="3" t="s">
        <v>188</v>
      </c>
      <c r="E60" s="3" t="str">
        <f>VLOOKUP(Tabla2[[#This Row],[TIPUS]],Tarifas!$H$12:$I$26,2,0)</f>
        <v>IMPOSTOS</v>
      </c>
      <c r="F60" t="s">
        <v>316</v>
      </c>
      <c r="G60">
        <f>251.99+171</f>
        <v>422.99</v>
      </c>
      <c r="H60">
        <f>251.99+171</f>
        <v>422.99</v>
      </c>
      <c r="I60">
        <v>0</v>
      </c>
    </row>
    <row r="61" spans="1:9" outlineLevel="1" x14ac:dyDescent="0.2">
      <c r="A61">
        <v>2020</v>
      </c>
      <c r="B61" t="s">
        <v>63</v>
      </c>
      <c r="C61" s="3">
        <v>44134</v>
      </c>
      <c r="D61" s="3" t="s">
        <v>105</v>
      </c>
      <c r="E61" s="3" t="str">
        <f>VLOOKUP(Tabla2[[#This Row],[TIPUS]],Tarifas!$H$12:$I$26,2,0)</f>
        <v>FIX</v>
      </c>
      <c r="F61" t="s">
        <v>317</v>
      </c>
      <c r="G61">
        <v>68.489999999999995</v>
      </c>
      <c r="H61">
        <v>68.489999999999995</v>
      </c>
      <c r="I61">
        <v>0</v>
      </c>
    </row>
    <row r="62" spans="1:9" outlineLevel="1" x14ac:dyDescent="0.2">
      <c r="A62">
        <v>2020</v>
      </c>
      <c r="B62" t="s">
        <v>64</v>
      </c>
      <c r="C62" s="3">
        <v>44140</v>
      </c>
      <c r="D62" s="3" t="s">
        <v>112</v>
      </c>
      <c r="E62" s="3" t="str">
        <f>VLOOKUP(Tabla2[[#This Row],[TIPUS]],Tarifas!$H$12:$I$26,2,0)</f>
        <v>FIX</v>
      </c>
      <c r="F62" t="s">
        <v>319</v>
      </c>
      <c r="G62">
        <v>57</v>
      </c>
      <c r="H62">
        <v>57</v>
      </c>
      <c r="I62">
        <v>0</v>
      </c>
    </row>
    <row r="63" spans="1:9" outlineLevel="1" x14ac:dyDescent="0.2">
      <c r="A63">
        <v>2020</v>
      </c>
      <c r="B63" t="s">
        <v>65</v>
      </c>
      <c r="C63" s="3">
        <v>44170</v>
      </c>
      <c r="D63" s="3" t="s">
        <v>112</v>
      </c>
      <c r="E63" s="3" t="str">
        <f>VLOOKUP(Tabla2[[#This Row],[TIPUS]],Tarifas!$H$12:$I$26,2,0)</f>
        <v>FIX</v>
      </c>
      <c r="F63" t="s">
        <v>320</v>
      </c>
      <c r="G63">
        <v>57</v>
      </c>
      <c r="H63">
        <v>57</v>
      </c>
      <c r="I63">
        <v>0</v>
      </c>
    </row>
    <row r="64" spans="1:9" outlineLevel="1" x14ac:dyDescent="0.2">
      <c r="A64">
        <v>2020</v>
      </c>
      <c r="B64" t="s">
        <v>65</v>
      </c>
      <c r="C64" s="3">
        <v>44193</v>
      </c>
      <c r="D64" s="3" t="s">
        <v>106</v>
      </c>
      <c r="E64" s="3" t="str">
        <f>VLOOKUP(Tabla2[[#This Row],[TIPUS]],Tarifas!$H$12:$I$26,2,0)</f>
        <v>FIX</v>
      </c>
      <c r="F64" t="s">
        <v>321</v>
      </c>
      <c r="G64">
        <v>180</v>
      </c>
      <c r="H64">
        <v>0</v>
      </c>
      <c r="I64">
        <v>180</v>
      </c>
    </row>
    <row r="65" spans="1:11" outlineLevel="1" x14ac:dyDescent="0.2">
      <c r="A65">
        <v>2020</v>
      </c>
      <c r="B65" t="s">
        <v>65</v>
      </c>
      <c r="C65" s="3">
        <v>44196</v>
      </c>
      <c r="D65" s="3" t="s">
        <v>110</v>
      </c>
      <c r="E65" s="3" t="str">
        <f>VLOOKUP(Tabla2[[#This Row],[TIPUS]],Tarifas!$H$12:$I$26,2,0)</f>
        <v>VARIABLE</v>
      </c>
      <c r="F65" t="s">
        <v>329</v>
      </c>
      <c r="G65">
        <v>77.94</v>
      </c>
      <c r="H65">
        <v>77.94</v>
      </c>
      <c r="I65">
        <v>0</v>
      </c>
    </row>
    <row r="66" spans="1:11" outlineLevel="1" x14ac:dyDescent="0.2">
      <c r="A66">
        <v>2020</v>
      </c>
      <c r="B66" t="s">
        <v>65</v>
      </c>
      <c r="C66" s="3">
        <v>44196</v>
      </c>
      <c r="D66" s="3" t="s">
        <v>188</v>
      </c>
      <c r="E66" s="3" t="str">
        <f>VLOOKUP(Tabla2[[#This Row],[TIPUS]],Tarifas!$H$12:$I$26,2,0)</f>
        <v>IMPOSTOS</v>
      </c>
      <c r="F66" t="s">
        <v>332</v>
      </c>
      <c r="G66">
        <v>57</v>
      </c>
      <c r="H66">
        <v>57</v>
      </c>
      <c r="I66">
        <v>0</v>
      </c>
    </row>
    <row r="67" spans="1:11" outlineLevel="1" x14ac:dyDescent="0.2">
      <c r="A67">
        <v>2021</v>
      </c>
      <c r="B67" t="s">
        <v>48</v>
      </c>
      <c r="C67" s="3">
        <v>44201</v>
      </c>
      <c r="D67" s="3" t="s">
        <v>112</v>
      </c>
      <c r="E67" s="3" t="str">
        <f>VLOOKUP(Tabla2[[#This Row],[TIPUS]],Tarifas!$H$12:$I$26,2,0)</f>
        <v>FIX</v>
      </c>
      <c r="F67" t="s">
        <v>327</v>
      </c>
      <c r="G67">
        <v>53.3</v>
      </c>
      <c r="H67">
        <v>53.3</v>
      </c>
      <c r="I67">
        <v>0</v>
      </c>
    </row>
    <row r="68" spans="1:11" outlineLevel="1" x14ac:dyDescent="0.2">
      <c r="A68">
        <v>2021</v>
      </c>
      <c r="B68" t="s">
        <v>48</v>
      </c>
      <c r="C68" s="3">
        <v>44206</v>
      </c>
      <c r="D68" s="3" t="s">
        <v>104</v>
      </c>
      <c r="E68" s="3" t="str">
        <f>VLOOKUP(Tabla2[[#This Row],[TIPUS]],Tarifas!$H$12:$I$26,2,0)</f>
        <v>FIX</v>
      </c>
      <c r="F68" t="s">
        <v>328</v>
      </c>
      <c r="G68">
        <v>204</v>
      </c>
      <c r="H68">
        <v>204</v>
      </c>
      <c r="I68">
        <v>0</v>
      </c>
    </row>
    <row r="69" spans="1:11" outlineLevel="1" x14ac:dyDescent="0.2">
      <c r="A69">
        <v>2021</v>
      </c>
      <c r="B69" t="s">
        <v>48</v>
      </c>
      <c r="C69" s="3">
        <v>44215</v>
      </c>
      <c r="D69" s="3" t="s">
        <v>107</v>
      </c>
      <c r="E69" s="3" t="str">
        <f>VLOOKUP(Tabla2[[#This Row],[TIPUS]],Tarifas!$H$12:$I$26,2,0)</f>
        <v>FIX</v>
      </c>
      <c r="F69" t="s">
        <v>331</v>
      </c>
      <c r="G69">
        <v>382.66</v>
      </c>
      <c r="H69">
        <v>382.66</v>
      </c>
      <c r="I69">
        <v>0</v>
      </c>
    </row>
    <row r="70" spans="1:11" outlineLevel="1" x14ac:dyDescent="0.2">
      <c r="A70">
        <v>2021</v>
      </c>
      <c r="B70" t="s">
        <v>56</v>
      </c>
      <c r="C70" s="3">
        <v>44237</v>
      </c>
      <c r="D70" s="3" t="s">
        <v>104</v>
      </c>
      <c r="E70" s="3" t="str">
        <f>VLOOKUP(Tabla2[[#This Row],[TIPUS]],Tarifas!$H$12:$I$26,2,0)</f>
        <v>FIX</v>
      </c>
      <c r="F70" t="s">
        <v>333</v>
      </c>
      <c r="G70">
        <v>204</v>
      </c>
      <c r="H70">
        <v>204</v>
      </c>
      <c r="I70">
        <v>0</v>
      </c>
    </row>
    <row r="71" spans="1:11" outlineLevel="1" x14ac:dyDescent="0.2">
      <c r="A71">
        <v>2021</v>
      </c>
      <c r="B71" t="s">
        <v>56</v>
      </c>
      <c r="C71" s="3">
        <v>44237</v>
      </c>
      <c r="D71" s="3" t="s">
        <v>188</v>
      </c>
      <c r="E71" s="3" t="str">
        <f>VLOOKUP(Tabla2[[#This Row],[TIPUS]],Tarifas!$H$12:$I$26,2,0)</f>
        <v>IMPOSTOS</v>
      </c>
      <c r="F71" t="s">
        <v>336</v>
      </c>
      <c r="G71">
        <v>3.07</v>
      </c>
      <c r="H71">
        <v>3.07</v>
      </c>
      <c r="I71">
        <v>0</v>
      </c>
    </row>
    <row r="72" spans="1:11" outlineLevel="1" x14ac:dyDescent="0.2">
      <c r="A72">
        <v>2021</v>
      </c>
      <c r="B72" t="s">
        <v>56</v>
      </c>
      <c r="C72" s="3">
        <v>44237</v>
      </c>
      <c r="D72" s="3" t="s">
        <v>112</v>
      </c>
      <c r="E72" s="3" t="str">
        <f>VLOOKUP(Tabla2[[#This Row],[TIPUS]],Tarifas!$H$12:$I$26,2,0)</f>
        <v>FIX</v>
      </c>
      <c r="F72" t="s">
        <v>333</v>
      </c>
      <c r="G72">
        <v>55.58</v>
      </c>
      <c r="H72">
        <v>55.58</v>
      </c>
      <c r="I72">
        <v>0</v>
      </c>
    </row>
    <row r="73" spans="1:11" outlineLevel="1" x14ac:dyDescent="0.2">
      <c r="A73">
        <v>2021</v>
      </c>
      <c r="B73" t="s">
        <v>56</v>
      </c>
      <c r="C73" s="3">
        <v>44242</v>
      </c>
      <c r="D73" s="3" t="s">
        <v>111</v>
      </c>
      <c r="E73" s="3" t="str">
        <f>VLOOKUP(Tabla2[[#This Row],[TIPUS]],Tarifas!$H$12:$I$26,2,0)</f>
        <v>VARIABLE</v>
      </c>
      <c r="F73" t="s">
        <v>334</v>
      </c>
      <c r="G73">
        <v>28.45</v>
      </c>
      <c r="H73">
        <v>28.45</v>
      </c>
      <c r="I73">
        <v>0</v>
      </c>
    </row>
    <row r="74" spans="1:11" outlineLevel="1" x14ac:dyDescent="0.2">
      <c r="A74">
        <v>2021</v>
      </c>
      <c r="B74" t="s">
        <v>56</v>
      </c>
      <c r="C74" s="3">
        <v>44253</v>
      </c>
      <c r="D74" s="3" t="s">
        <v>105</v>
      </c>
      <c r="E74" s="3" t="str">
        <f>VLOOKUP(Tabla2[[#This Row],[TIPUS]],Tarifas!$H$12:$I$26,2,0)</f>
        <v>FIX</v>
      </c>
      <c r="F74" t="s">
        <v>335</v>
      </c>
      <c r="G74">
        <f>152.52-69.41</f>
        <v>83.110000000000014</v>
      </c>
      <c r="H74">
        <f>152.52-69.41</f>
        <v>83.110000000000014</v>
      </c>
      <c r="I74">
        <v>0</v>
      </c>
      <c r="K74" t="s">
        <v>339</v>
      </c>
    </row>
    <row r="75" spans="1:11" outlineLevel="1" x14ac:dyDescent="0.2">
      <c r="A75">
        <v>2021</v>
      </c>
      <c r="B75" t="s">
        <v>56</v>
      </c>
      <c r="C75" s="3">
        <v>44253</v>
      </c>
      <c r="D75" s="3" t="s">
        <v>105</v>
      </c>
      <c r="E75" s="3" t="str">
        <f>VLOOKUP(Tabla2[[#This Row],[TIPUS]],Tarifas!$H$12:$I$26,2,0)</f>
        <v>FIX</v>
      </c>
      <c r="F75" t="s">
        <v>335</v>
      </c>
      <c r="G75">
        <v>0.95</v>
      </c>
      <c r="H75">
        <v>0.95</v>
      </c>
      <c r="I75">
        <v>0</v>
      </c>
    </row>
    <row r="76" spans="1:11" outlineLevel="1" x14ac:dyDescent="0.2">
      <c r="A76">
        <v>2021</v>
      </c>
      <c r="B76" t="s">
        <v>57</v>
      </c>
      <c r="C76" s="3">
        <v>44259</v>
      </c>
      <c r="D76" s="3" t="s">
        <v>112</v>
      </c>
      <c r="E76" s="3" t="str">
        <f>VLOOKUP(Tabla2[[#This Row],[TIPUS]],Tarifas!$H$12:$I$26,2,0)</f>
        <v>FIX</v>
      </c>
      <c r="F76" t="s">
        <v>337</v>
      </c>
      <c r="G76">
        <v>59</v>
      </c>
      <c r="H76">
        <v>59</v>
      </c>
      <c r="I76">
        <v>0</v>
      </c>
    </row>
    <row r="77" spans="1:11" outlineLevel="1" x14ac:dyDescent="0.2">
      <c r="A77">
        <v>2021</v>
      </c>
      <c r="B77" t="s">
        <v>57</v>
      </c>
      <c r="C77" s="3">
        <v>44265</v>
      </c>
      <c r="D77" s="3" t="s">
        <v>104</v>
      </c>
      <c r="E77" s="3" t="str">
        <f>VLOOKUP(Tabla2[[#This Row],[TIPUS]],Tarifas!$H$12:$I$26,2,0)</f>
        <v>FIX</v>
      </c>
      <c r="F77" t="s">
        <v>338</v>
      </c>
      <c r="G77">
        <v>204</v>
      </c>
      <c r="H77">
        <v>204</v>
      </c>
      <c r="I77">
        <v>0</v>
      </c>
    </row>
    <row r="78" spans="1:11" outlineLevel="1" x14ac:dyDescent="0.2">
      <c r="A78">
        <v>2021</v>
      </c>
      <c r="B78" t="s">
        <v>57</v>
      </c>
      <c r="C78" s="3">
        <v>44286</v>
      </c>
      <c r="D78" s="3" t="s">
        <v>105</v>
      </c>
      <c r="E78" s="3" t="str">
        <f>VLOOKUP(Tabla2[[#This Row],[TIPUS]],Tarifas!$H$12:$I$26,2,0)</f>
        <v>FIX</v>
      </c>
      <c r="F78" t="s">
        <v>335</v>
      </c>
      <c r="G78">
        <v>0.95</v>
      </c>
      <c r="H78">
        <v>0.95</v>
      </c>
      <c r="I78">
        <v>0</v>
      </c>
    </row>
    <row r="79" spans="1:11" outlineLevel="1" x14ac:dyDescent="0.2">
      <c r="A79">
        <v>2021</v>
      </c>
      <c r="B79" t="s">
        <v>58</v>
      </c>
      <c r="C79" s="3">
        <v>44290</v>
      </c>
      <c r="D79" s="3" t="s">
        <v>112</v>
      </c>
      <c r="E79" s="3" t="str">
        <f>VLOOKUP(Tabla2[[#This Row],[TIPUS]],Tarifas!$H$12:$I$26,2,0)</f>
        <v>FIX</v>
      </c>
      <c r="F79" t="s">
        <v>340</v>
      </c>
      <c r="G79">
        <v>59</v>
      </c>
      <c r="H79">
        <v>59</v>
      </c>
      <c r="I79">
        <v>0</v>
      </c>
    </row>
    <row r="80" spans="1:11" outlineLevel="1" x14ac:dyDescent="0.2">
      <c r="A80">
        <v>2021</v>
      </c>
      <c r="B80" t="s">
        <v>58</v>
      </c>
      <c r="C80" s="3">
        <v>44296</v>
      </c>
      <c r="D80" s="3" t="s">
        <v>104</v>
      </c>
      <c r="E80" s="3" t="str">
        <f>VLOOKUP(Tabla2[[#This Row],[TIPUS]],Tarifas!$H$12:$I$26,2,0)</f>
        <v>FIX</v>
      </c>
      <c r="F80" t="s">
        <v>340</v>
      </c>
      <c r="G80">
        <v>204</v>
      </c>
      <c r="H80">
        <v>204</v>
      </c>
      <c r="I80">
        <v>0</v>
      </c>
    </row>
    <row r="81" spans="1:9" outlineLevel="1" x14ac:dyDescent="0.2">
      <c r="A81">
        <v>2021</v>
      </c>
      <c r="B81" t="s">
        <v>58</v>
      </c>
      <c r="C81" s="3">
        <v>44314</v>
      </c>
      <c r="D81" s="3" t="s">
        <v>188</v>
      </c>
      <c r="E81" s="3" t="str">
        <f>VLOOKUP(Tabla2[[#This Row],[TIPUS]],Tarifas!$H$12:$I$26,2,0)</f>
        <v>IMPOSTOS</v>
      </c>
      <c r="F81" t="s">
        <v>187</v>
      </c>
      <c r="G81">
        <v>114</v>
      </c>
      <c r="H81">
        <v>114</v>
      </c>
      <c r="I81">
        <v>0</v>
      </c>
    </row>
    <row r="82" spans="1:9" outlineLevel="1" x14ac:dyDescent="0.2">
      <c r="A82">
        <v>2021</v>
      </c>
      <c r="B82" t="s">
        <v>58</v>
      </c>
      <c r="C82" s="3">
        <v>44314</v>
      </c>
      <c r="D82" s="3" t="s">
        <v>106</v>
      </c>
      <c r="E82" s="3" t="str">
        <f>VLOOKUP(Tabla2[[#This Row],[TIPUS]],Tarifas!$H$12:$I$26,2,0)</f>
        <v>FIX</v>
      </c>
      <c r="F82" t="s">
        <v>341</v>
      </c>
      <c r="G82">
        <v>90</v>
      </c>
      <c r="H82">
        <v>0</v>
      </c>
      <c r="I82">
        <v>90</v>
      </c>
    </row>
    <row r="83" spans="1:9" outlineLevel="1" x14ac:dyDescent="0.2">
      <c r="A83">
        <v>2021</v>
      </c>
      <c r="B83" t="s">
        <v>59</v>
      </c>
      <c r="C83" s="3">
        <v>44327</v>
      </c>
      <c r="D83" s="3" t="s">
        <v>112</v>
      </c>
      <c r="E83" s="3" t="str">
        <f>VLOOKUP(Tabla2[[#This Row],[TIPUS]],Tarifas!$H$12:$I$26,2,0)</f>
        <v>FIX</v>
      </c>
      <c r="F83" t="s">
        <v>342</v>
      </c>
      <c r="G83">
        <v>59</v>
      </c>
      <c r="H83">
        <v>59</v>
      </c>
      <c r="I83">
        <v>0</v>
      </c>
    </row>
    <row r="84" spans="1:9" outlineLevel="1" x14ac:dyDescent="0.2">
      <c r="A84">
        <v>2021</v>
      </c>
      <c r="B84" t="s">
        <v>59</v>
      </c>
      <c r="C84" s="3">
        <v>44329</v>
      </c>
      <c r="D84" s="3" t="s">
        <v>104</v>
      </c>
      <c r="E84" s="3" t="str">
        <f>VLOOKUP(Tabla2[[#This Row],[TIPUS]],Tarifas!$H$12:$I$26,2,0)</f>
        <v>FIX</v>
      </c>
      <c r="F84" t="s">
        <v>342</v>
      </c>
      <c r="G84">
        <v>204</v>
      </c>
      <c r="H84">
        <v>204</v>
      </c>
      <c r="I84">
        <v>0</v>
      </c>
    </row>
    <row r="85" spans="1:9" outlineLevel="1" x14ac:dyDescent="0.2">
      <c r="A85">
        <v>2021</v>
      </c>
      <c r="B85" t="s">
        <v>59</v>
      </c>
      <c r="C85" s="3">
        <v>44342</v>
      </c>
      <c r="D85" s="3" t="s">
        <v>114</v>
      </c>
      <c r="E85" s="3" t="str">
        <f>VLOOKUP(Tabla2[[#This Row],[TIPUS]],Tarifas!$H$12:$I$26,2,0)</f>
        <v>VARIABLE</v>
      </c>
      <c r="F85" t="s">
        <v>182</v>
      </c>
      <c r="G85">
        <v>50.92</v>
      </c>
      <c r="H85">
        <v>50.92</v>
      </c>
      <c r="I85">
        <v>0</v>
      </c>
    </row>
    <row r="86" spans="1:9" outlineLevel="1" x14ac:dyDescent="0.2">
      <c r="A86">
        <v>2021</v>
      </c>
      <c r="B86" t="s">
        <v>60</v>
      </c>
      <c r="C86" s="3">
        <v>44348</v>
      </c>
      <c r="D86" s="3" t="s">
        <v>114</v>
      </c>
      <c r="E86" s="3" t="str">
        <f>VLOOKUP(Tabla2[[#This Row],[TIPUS]],Tarifas!$H$12:$I$26,2,0)</f>
        <v>VARIABLE</v>
      </c>
      <c r="F86" t="s">
        <v>153</v>
      </c>
      <c r="G86">
        <v>14</v>
      </c>
      <c r="H86">
        <v>14</v>
      </c>
      <c r="I86">
        <v>0</v>
      </c>
    </row>
    <row r="87" spans="1:9" outlineLevel="1" x14ac:dyDescent="0.2">
      <c r="A87">
        <v>2021</v>
      </c>
      <c r="B87" t="s">
        <v>60</v>
      </c>
      <c r="C87" s="3">
        <v>44351</v>
      </c>
      <c r="D87" s="3" t="s">
        <v>112</v>
      </c>
      <c r="E87" s="3" t="str">
        <f>VLOOKUP(Tabla2[[#This Row],[TIPUS]],Tarifas!$H$12:$I$26,2,0)</f>
        <v>FIX</v>
      </c>
      <c r="F87" t="s">
        <v>343</v>
      </c>
      <c r="G87">
        <v>59</v>
      </c>
      <c r="H87">
        <v>59</v>
      </c>
      <c r="I87">
        <v>0</v>
      </c>
    </row>
    <row r="88" spans="1:9" outlineLevel="1" x14ac:dyDescent="0.2">
      <c r="A88">
        <v>2021</v>
      </c>
      <c r="B88" t="s">
        <v>60</v>
      </c>
      <c r="C88" s="3">
        <v>44355</v>
      </c>
      <c r="D88" s="3" t="s">
        <v>104</v>
      </c>
      <c r="E88" s="3" t="str">
        <f>VLOOKUP(Tabla2[[#This Row],[TIPUS]],Tarifas!$H$12:$I$26,2,0)</f>
        <v>FIX</v>
      </c>
      <c r="F88" t="s">
        <v>345</v>
      </c>
      <c r="G88">
        <v>204</v>
      </c>
      <c r="H88">
        <v>204</v>
      </c>
      <c r="I88">
        <v>0</v>
      </c>
    </row>
    <row r="89" spans="1:9" outlineLevel="1" x14ac:dyDescent="0.2">
      <c r="A89">
        <v>2021</v>
      </c>
      <c r="B89" t="s">
        <v>60</v>
      </c>
      <c r="C89" s="3">
        <v>44377</v>
      </c>
      <c r="D89" s="3" t="s">
        <v>105</v>
      </c>
      <c r="E89" s="3" t="str">
        <f>VLOOKUP(Tabla2[[#This Row],[TIPUS]],Tarifas!$H$12:$I$26,2,0)</f>
        <v>FIX</v>
      </c>
      <c r="F89" t="s">
        <v>345</v>
      </c>
      <c r="G89">
        <v>15.24</v>
      </c>
      <c r="H89">
        <v>15.24</v>
      </c>
      <c r="I89">
        <v>0</v>
      </c>
    </row>
    <row r="90" spans="1:9" outlineLevel="1" x14ac:dyDescent="0.2">
      <c r="A90">
        <v>2021</v>
      </c>
      <c r="B90" t="s">
        <v>61</v>
      </c>
      <c r="C90" s="3">
        <v>44382</v>
      </c>
      <c r="D90" s="3" t="s">
        <v>112</v>
      </c>
      <c r="E90" s="3" t="str">
        <f>VLOOKUP(Tabla2[[#This Row],[TIPUS]],Tarifas!$H$12:$I$26,2,0)</f>
        <v>FIX</v>
      </c>
      <c r="F90" t="s">
        <v>349</v>
      </c>
      <c r="G90">
        <v>59</v>
      </c>
      <c r="H90">
        <v>59</v>
      </c>
      <c r="I90">
        <v>0</v>
      </c>
    </row>
    <row r="91" spans="1:9" outlineLevel="1" x14ac:dyDescent="0.2">
      <c r="A91">
        <v>2021</v>
      </c>
      <c r="B91" t="s">
        <v>61</v>
      </c>
      <c r="C91" s="3">
        <v>44389</v>
      </c>
      <c r="D91" s="3" t="s">
        <v>104</v>
      </c>
      <c r="E91" s="3" t="str">
        <f>VLOOKUP(Tabla2[[#This Row],[TIPUS]],Tarifas!$H$12:$I$26,2,0)</f>
        <v>FIX</v>
      </c>
      <c r="F91" t="s">
        <v>349</v>
      </c>
      <c r="G91">
        <v>204</v>
      </c>
      <c r="H91">
        <v>204</v>
      </c>
      <c r="I91">
        <v>0</v>
      </c>
    </row>
    <row r="92" spans="1:9" outlineLevel="1" x14ac:dyDescent="0.2">
      <c r="A92">
        <v>2021</v>
      </c>
      <c r="B92" t="s">
        <v>61</v>
      </c>
      <c r="C92" s="3">
        <v>44389</v>
      </c>
      <c r="D92" s="3" t="s">
        <v>110</v>
      </c>
      <c r="E92" s="3" t="str">
        <f>VLOOKUP(Tabla2[[#This Row],[TIPUS]],Tarifas!$H$12:$I$26,2,0)</f>
        <v>VARIABLE</v>
      </c>
      <c r="F92" t="s">
        <v>367</v>
      </c>
      <c r="G92">
        <v>86.26</v>
      </c>
      <c r="H92">
        <v>86.26</v>
      </c>
      <c r="I92">
        <v>0</v>
      </c>
    </row>
    <row r="93" spans="1:9" outlineLevel="1" x14ac:dyDescent="0.2">
      <c r="A93">
        <v>2021</v>
      </c>
      <c r="B93" t="s">
        <v>61</v>
      </c>
      <c r="C93" s="3">
        <v>44394</v>
      </c>
      <c r="D93" s="3" t="s">
        <v>128</v>
      </c>
      <c r="E93" s="3" t="str">
        <f>VLOOKUP(Tabla2[[#This Row],[TIPUS]],Tarifas!$H$12:$I$26,2,0)</f>
        <v>INVERSIONS</v>
      </c>
      <c r="F93" t="s">
        <v>350</v>
      </c>
      <c r="G93">
        <v>1593.28</v>
      </c>
      <c r="H93">
        <v>1593.28</v>
      </c>
      <c r="I93">
        <v>0</v>
      </c>
    </row>
    <row r="94" spans="1:9" outlineLevel="1" x14ac:dyDescent="0.2">
      <c r="A94">
        <v>2021</v>
      </c>
      <c r="B94" t="s">
        <v>61</v>
      </c>
      <c r="C94" s="3">
        <v>44397</v>
      </c>
      <c r="D94" s="3" t="s">
        <v>188</v>
      </c>
      <c r="E94" s="3" t="str">
        <f>VLOOKUP(Tabla2[[#This Row],[TIPUS]],Tarifas!$H$12:$I$26,2,0)</f>
        <v>IMPOSTOS</v>
      </c>
      <c r="F94" t="s">
        <v>187</v>
      </c>
      <c r="G94">
        <v>114</v>
      </c>
      <c r="H94">
        <v>114</v>
      </c>
      <c r="I94">
        <v>0</v>
      </c>
    </row>
    <row r="95" spans="1:9" outlineLevel="1" x14ac:dyDescent="0.2">
      <c r="A95">
        <v>2021</v>
      </c>
      <c r="B95" t="s">
        <v>61</v>
      </c>
      <c r="C95" s="3">
        <v>44404</v>
      </c>
      <c r="D95" s="3" t="s">
        <v>128</v>
      </c>
      <c r="E95" s="3" t="str">
        <f>VLOOKUP(Tabla2[[#This Row],[TIPUS]],Tarifas!$H$12:$I$26,2,0)</f>
        <v>INVERSIONS</v>
      </c>
      <c r="F95" t="s">
        <v>353</v>
      </c>
      <c r="G95">
        <v>-150</v>
      </c>
      <c r="H95">
        <v>0</v>
      </c>
      <c r="I95">
        <v>-150</v>
      </c>
    </row>
    <row r="96" spans="1:9" outlineLevel="1" x14ac:dyDescent="0.2">
      <c r="A96">
        <v>2021</v>
      </c>
      <c r="B96" t="s">
        <v>61</v>
      </c>
      <c r="C96" s="3">
        <v>44407</v>
      </c>
      <c r="D96" s="3" t="s">
        <v>105</v>
      </c>
      <c r="E96" s="3" t="str">
        <f>VLOOKUP(Tabla2[[#This Row],[TIPUS]],Tarifas!$H$12:$I$26,2,0)</f>
        <v>FIX</v>
      </c>
      <c r="F96" t="s">
        <v>354</v>
      </c>
      <c r="G96">
        <v>51.49</v>
      </c>
      <c r="H96">
        <v>51.49</v>
      </c>
      <c r="I96">
        <v>0</v>
      </c>
    </row>
    <row r="97" spans="1:10" outlineLevel="1" x14ac:dyDescent="0.2">
      <c r="A97">
        <v>2021</v>
      </c>
      <c r="B97" t="s">
        <v>62</v>
      </c>
      <c r="C97" s="3">
        <v>44413</v>
      </c>
      <c r="D97" s="3" t="s">
        <v>112</v>
      </c>
      <c r="E97" s="3" t="str">
        <f>VLOOKUP(Tabla2[[#This Row],[TIPUS]],Tarifas!$H$12:$I$26,2,0)</f>
        <v>FIX</v>
      </c>
      <c r="F97" t="s">
        <v>355</v>
      </c>
      <c r="G97">
        <v>59</v>
      </c>
      <c r="H97">
        <v>59</v>
      </c>
      <c r="I97">
        <v>0</v>
      </c>
    </row>
    <row r="98" spans="1:10" outlineLevel="1" x14ac:dyDescent="0.2">
      <c r="A98">
        <v>2021</v>
      </c>
      <c r="B98" t="s">
        <v>62</v>
      </c>
      <c r="C98" s="3">
        <v>44418</v>
      </c>
      <c r="D98" s="3" t="s">
        <v>104</v>
      </c>
      <c r="E98" s="3" t="str">
        <f>VLOOKUP(Tabla2[[#This Row],[TIPUS]],Tarifas!$H$12:$I$26,2,0)</f>
        <v>FIX</v>
      </c>
      <c r="F98" t="s">
        <v>355</v>
      </c>
      <c r="G98">
        <v>204</v>
      </c>
      <c r="H98">
        <v>204</v>
      </c>
      <c r="I98">
        <v>0</v>
      </c>
    </row>
    <row r="99" spans="1:10" outlineLevel="1" x14ac:dyDescent="0.2">
      <c r="A99">
        <v>2021</v>
      </c>
      <c r="B99" t="s">
        <v>62</v>
      </c>
      <c r="C99" s="3">
        <v>44439</v>
      </c>
      <c r="D99" s="3" t="s">
        <v>105</v>
      </c>
      <c r="E99" s="3" t="str">
        <f>VLOOKUP(Tabla2[[#This Row],[TIPUS]],Tarifas!$H$12:$I$26,2,0)</f>
        <v>FIX</v>
      </c>
      <c r="F99" t="s">
        <v>355</v>
      </c>
      <c r="G99">
        <v>103</v>
      </c>
      <c r="H99">
        <v>103</v>
      </c>
      <c r="I99">
        <v>0</v>
      </c>
    </row>
    <row r="100" spans="1:10" outlineLevel="1" x14ac:dyDescent="0.2">
      <c r="A100">
        <v>2021</v>
      </c>
      <c r="B100" t="s">
        <v>236</v>
      </c>
      <c r="C100" s="3">
        <v>44445</v>
      </c>
      <c r="D100" s="3" t="s">
        <v>112</v>
      </c>
      <c r="E100" s="3" t="str">
        <f>VLOOKUP(Tabla2[[#This Row],[TIPUS]],Tarifas!$H$12:$I$26,2,0)</f>
        <v>FIX</v>
      </c>
      <c r="F100" t="s">
        <v>356</v>
      </c>
      <c r="G100">
        <v>59</v>
      </c>
      <c r="H100">
        <v>59</v>
      </c>
      <c r="I100">
        <v>0</v>
      </c>
    </row>
    <row r="101" spans="1:10" outlineLevel="1" x14ac:dyDescent="0.2">
      <c r="A101">
        <v>2021</v>
      </c>
      <c r="B101" t="s">
        <v>236</v>
      </c>
      <c r="C101" s="3">
        <v>44449</v>
      </c>
      <c r="D101" s="3" t="s">
        <v>104</v>
      </c>
      <c r="E101" s="3" t="str">
        <f>VLOOKUP(Tabla2[[#This Row],[TIPUS]],Tarifas!$H$12:$I$26,2,0)</f>
        <v>FIX</v>
      </c>
      <c r="F101" t="s">
        <v>356</v>
      </c>
      <c r="G101">
        <v>204</v>
      </c>
      <c r="H101">
        <v>204</v>
      </c>
      <c r="I101">
        <v>0</v>
      </c>
    </row>
    <row r="102" spans="1:10" outlineLevel="1" x14ac:dyDescent="0.2">
      <c r="A102">
        <v>2021</v>
      </c>
      <c r="B102" t="s">
        <v>236</v>
      </c>
      <c r="C102" s="3">
        <v>44449</v>
      </c>
      <c r="D102" s="3" t="s">
        <v>188</v>
      </c>
      <c r="E102" s="3" t="str">
        <f>VLOOKUP(Tabla2[[#This Row],[TIPUS]],Tarifas!$H$12:$I$26,2,0)</f>
        <v>IMPOSTOS</v>
      </c>
      <c r="F102" t="s">
        <v>358</v>
      </c>
      <c r="G102">
        <v>30.79</v>
      </c>
      <c r="H102">
        <v>30.79</v>
      </c>
      <c r="I102">
        <v>0</v>
      </c>
    </row>
    <row r="103" spans="1:10" outlineLevel="1" x14ac:dyDescent="0.2">
      <c r="A103">
        <v>2021</v>
      </c>
      <c r="B103" t="s">
        <v>236</v>
      </c>
      <c r="C103" s="3">
        <v>44455</v>
      </c>
      <c r="D103" s="3" t="s">
        <v>106</v>
      </c>
      <c r="E103" s="3" t="str">
        <f>VLOOKUP(Tabla2[[#This Row],[TIPUS]],Tarifas!$H$12:$I$26,2,0)</f>
        <v>FIX</v>
      </c>
      <c r="F103" t="s">
        <v>359</v>
      </c>
      <c r="G103">
        <v>180</v>
      </c>
      <c r="H103">
        <v>0</v>
      </c>
      <c r="I103">
        <v>180</v>
      </c>
    </row>
    <row r="104" spans="1:10" outlineLevel="1" x14ac:dyDescent="0.2">
      <c r="A104">
        <v>2021</v>
      </c>
      <c r="B104" t="s">
        <v>236</v>
      </c>
      <c r="C104" s="3">
        <v>44455</v>
      </c>
      <c r="D104" s="3" t="s">
        <v>114</v>
      </c>
      <c r="E104" s="3" t="str">
        <f>VLOOKUP(Tabla2[[#This Row],[TIPUS]],Tarifas!$H$12:$I$26,2,0)</f>
        <v>VARIABLE</v>
      </c>
      <c r="F104" t="s">
        <v>360</v>
      </c>
      <c r="G104">
        <v>60</v>
      </c>
      <c r="H104">
        <v>0</v>
      </c>
      <c r="I104">
        <v>60</v>
      </c>
    </row>
    <row r="105" spans="1:10" outlineLevel="1" x14ac:dyDescent="0.2">
      <c r="A105">
        <v>2021</v>
      </c>
      <c r="B105" t="s">
        <v>236</v>
      </c>
      <c r="C105" s="3">
        <v>44465</v>
      </c>
      <c r="D105" s="3" t="s">
        <v>114</v>
      </c>
      <c r="E105" s="3" t="str">
        <f>VLOOKUP(Tabla2[[#This Row],[TIPUS]],Tarifas!$H$12:$I$26,2,0)</f>
        <v>VARIABLE</v>
      </c>
      <c r="F105" t="s">
        <v>361</v>
      </c>
      <c r="G105">
        <v>72</v>
      </c>
      <c r="H105">
        <v>72</v>
      </c>
      <c r="I105">
        <v>0</v>
      </c>
    </row>
    <row r="106" spans="1:10" outlineLevel="1" x14ac:dyDescent="0.2">
      <c r="A106">
        <v>2021</v>
      </c>
      <c r="B106" t="s">
        <v>236</v>
      </c>
      <c r="C106" s="3">
        <v>44467</v>
      </c>
      <c r="D106" s="3" t="s">
        <v>110</v>
      </c>
      <c r="E106" s="3" t="str">
        <f>VLOOKUP(Tabla2[[#This Row],[TIPUS]],Tarifas!$H$12:$I$26,2,0)</f>
        <v>VARIABLE</v>
      </c>
      <c r="F106" t="s">
        <v>366</v>
      </c>
      <c r="G106">
        <v>107.7</v>
      </c>
      <c r="H106">
        <v>107.7</v>
      </c>
      <c r="I106">
        <v>0</v>
      </c>
    </row>
    <row r="107" spans="1:10" outlineLevel="1" x14ac:dyDescent="0.2">
      <c r="A107">
        <v>2021</v>
      </c>
      <c r="B107" t="s">
        <v>236</v>
      </c>
      <c r="C107" s="3">
        <v>44469</v>
      </c>
      <c r="D107" s="3" t="s">
        <v>105</v>
      </c>
      <c r="E107" s="3" t="str">
        <f>VLOOKUP(Tabla2[[#This Row],[TIPUS]],Tarifas!$H$12:$I$26,2,0)</f>
        <v>FIX</v>
      </c>
      <c r="F107" t="s">
        <v>356</v>
      </c>
      <c r="G107">
        <f>154.49+0.48</f>
        <v>154.97</v>
      </c>
      <c r="H107">
        <f>154.49+0.48</f>
        <v>154.97</v>
      </c>
      <c r="I107">
        <v>0</v>
      </c>
    </row>
    <row r="108" spans="1:10" outlineLevel="1" x14ac:dyDescent="0.2">
      <c r="A108">
        <v>2021</v>
      </c>
      <c r="B108" t="s">
        <v>63</v>
      </c>
      <c r="C108" s="3">
        <v>44473</v>
      </c>
      <c r="D108" s="3" t="s">
        <v>112</v>
      </c>
      <c r="E108" s="3" t="str">
        <f>VLOOKUP(Tabla2[[#This Row],[TIPUS]],Tarifas!$H$12:$I$26,2,0)</f>
        <v>FIX</v>
      </c>
      <c r="F108" t="s">
        <v>368</v>
      </c>
      <c r="G108">
        <v>59.3</v>
      </c>
      <c r="H108">
        <v>59.3</v>
      </c>
      <c r="I108">
        <v>0</v>
      </c>
      <c r="J108" t="s">
        <v>384</v>
      </c>
    </row>
    <row r="109" spans="1:10" outlineLevel="1" x14ac:dyDescent="0.2">
      <c r="A109">
        <v>2021</v>
      </c>
      <c r="B109" t="s">
        <v>63</v>
      </c>
      <c r="C109" s="3">
        <v>44481</v>
      </c>
      <c r="D109" s="3" t="s">
        <v>104</v>
      </c>
      <c r="E109" s="3" t="str">
        <f>VLOOKUP(Tabla2[[#This Row],[TIPUS]],Tarifas!$H$12:$I$26,2,0)</f>
        <v>FIX</v>
      </c>
      <c r="F109" t="s">
        <v>368</v>
      </c>
      <c r="G109">
        <v>204</v>
      </c>
      <c r="H109">
        <v>204</v>
      </c>
      <c r="I109">
        <v>0</v>
      </c>
      <c r="J109" t="s">
        <v>384</v>
      </c>
    </row>
    <row r="110" spans="1:10" outlineLevel="1" x14ac:dyDescent="0.2">
      <c r="A110">
        <v>2021</v>
      </c>
      <c r="B110" t="s">
        <v>63</v>
      </c>
      <c r="C110" s="3">
        <v>44483</v>
      </c>
      <c r="D110" s="3" t="s">
        <v>114</v>
      </c>
      <c r="E110" s="3" t="str">
        <f>VLOOKUP(Tabla2[[#This Row],[TIPUS]],Tarifas!$H$12:$I$26,2,0)</f>
        <v>VARIABLE</v>
      </c>
      <c r="F110" t="s">
        <v>370</v>
      </c>
      <c r="G110">
        <v>15.49</v>
      </c>
      <c r="H110">
        <v>15.49</v>
      </c>
      <c r="I110">
        <v>0</v>
      </c>
      <c r="J110" t="s">
        <v>384</v>
      </c>
    </row>
    <row r="111" spans="1:10" outlineLevel="1" x14ac:dyDescent="0.2">
      <c r="A111">
        <v>2021</v>
      </c>
      <c r="B111" t="s">
        <v>63</v>
      </c>
      <c r="C111" s="3">
        <v>44489</v>
      </c>
      <c r="D111" s="3" t="s">
        <v>188</v>
      </c>
      <c r="E111" s="3" t="str">
        <f>VLOOKUP(Tabla2[[#This Row],[TIPUS]],Tarifas!$H$12:$I$26,2,0)</f>
        <v>IMPOSTOS</v>
      </c>
      <c r="F111" t="s">
        <v>371</v>
      </c>
      <c r="G111">
        <v>130.07</v>
      </c>
      <c r="H111">
        <v>130.07</v>
      </c>
      <c r="I111">
        <v>0</v>
      </c>
    </row>
    <row r="112" spans="1:10" outlineLevel="1" x14ac:dyDescent="0.2">
      <c r="A112">
        <v>2021</v>
      </c>
      <c r="B112" t="s">
        <v>63</v>
      </c>
      <c r="C112" s="3">
        <v>44499</v>
      </c>
      <c r="D112" s="3" t="s">
        <v>105</v>
      </c>
      <c r="E112" s="3" t="str">
        <f>VLOOKUP(Tabla2[[#This Row],[TIPUS]],Tarifas!$H$12:$I$26,2,0)</f>
        <v>FIX</v>
      </c>
      <c r="F112" t="s">
        <v>368</v>
      </c>
      <c r="G112">
        <v>205.97</v>
      </c>
      <c r="H112">
        <v>205.97</v>
      </c>
      <c r="I112">
        <v>0</v>
      </c>
      <c r="J112" t="s">
        <v>391</v>
      </c>
    </row>
    <row r="113" spans="1:10" outlineLevel="1" x14ac:dyDescent="0.2">
      <c r="A113">
        <v>2021</v>
      </c>
      <c r="B113" t="s">
        <v>63</v>
      </c>
      <c r="C113" s="3">
        <v>44499</v>
      </c>
      <c r="D113" s="3" t="s">
        <v>114</v>
      </c>
      <c r="E113" s="3" t="str">
        <f>VLOOKUP(Tabla2[[#This Row],[TIPUS]],Tarifas!$H$12:$I$26,2,0)</f>
        <v>VARIABLE</v>
      </c>
      <c r="F113" t="s">
        <v>372</v>
      </c>
      <c r="G113">
        <v>20</v>
      </c>
      <c r="H113">
        <v>0</v>
      </c>
      <c r="I113">
        <v>20</v>
      </c>
    </row>
    <row r="114" spans="1:10" outlineLevel="1" x14ac:dyDescent="0.2">
      <c r="A114">
        <v>2021</v>
      </c>
      <c r="B114" t="s">
        <v>64</v>
      </c>
      <c r="C114" s="3">
        <v>44505</v>
      </c>
      <c r="D114" s="3" t="s">
        <v>112</v>
      </c>
      <c r="E114" s="3" t="str">
        <f>VLOOKUP(Tabla2[[#This Row],[TIPUS]],Tarifas!$H$12:$I$26,2,0)</f>
        <v>FIX</v>
      </c>
      <c r="F114" t="s">
        <v>373</v>
      </c>
      <c r="G114">
        <v>59</v>
      </c>
      <c r="H114">
        <v>59</v>
      </c>
      <c r="I114">
        <v>0</v>
      </c>
      <c r="J114" t="s">
        <v>384</v>
      </c>
    </row>
    <row r="115" spans="1:10" outlineLevel="1" x14ac:dyDescent="0.2">
      <c r="A115">
        <v>2021</v>
      </c>
      <c r="B115" t="s">
        <v>64</v>
      </c>
      <c r="C115" s="3">
        <v>44510</v>
      </c>
      <c r="D115" s="3" t="s">
        <v>104</v>
      </c>
      <c r="E115" s="3" t="str">
        <f>VLOOKUP(Tabla2[[#This Row],[TIPUS]],Tarifas!$H$12:$I$26,2,0)</f>
        <v>FIX</v>
      </c>
      <c r="F115" t="s">
        <v>374</v>
      </c>
      <c r="G115">
        <v>204</v>
      </c>
      <c r="H115">
        <v>204</v>
      </c>
      <c r="I115">
        <v>0</v>
      </c>
      <c r="J115" t="s">
        <v>391</v>
      </c>
    </row>
    <row r="116" spans="1:10" outlineLevel="1" x14ac:dyDescent="0.2">
      <c r="A116">
        <v>2021</v>
      </c>
      <c r="B116" t="s">
        <v>64</v>
      </c>
      <c r="C116" s="3">
        <v>44510</v>
      </c>
      <c r="D116" s="3" t="s">
        <v>114</v>
      </c>
      <c r="E116" s="3" t="str">
        <f>VLOOKUP(Tabla2[[#This Row],[TIPUS]],Tarifas!$H$12:$I$26,2,0)</f>
        <v>VARIABLE</v>
      </c>
      <c r="F116" t="s">
        <v>375</v>
      </c>
      <c r="G116">
        <v>21.3</v>
      </c>
      <c r="H116">
        <v>21.3</v>
      </c>
      <c r="I116">
        <v>0</v>
      </c>
    </row>
    <row r="117" spans="1:10" outlineLevel="1" x14ac:dyDescent="0.2">
      <c r="A117">
        <v>2021</v>
      </c>
      <c r="B117" t="s">
        <v>64</v>
      </c>
      <c r="C117" s="3">
        <v>44527</v>
      </c>
      <c r="D117" s="3" t="s">
        <v>114</v>
      </c>
      <c r="E117" s="3" t="str">
        <f>VLOOKUP(Tabla2[[#This Row],[TIPUS]],Tarifas!$H$12:$I$26,2,0)</f>
        <v>VARIABLE</v>
      </c>
      <c r="F117" t="s">
        <v>379</v>
      </c>
      <c r="G117">
        <v>72.599999999999994</v>
      </c>
      <c r="H117">
        <v>72.599999999999994</v>
      </c>
      <c r="I117">
        <v>0</v>
      </c>
      <c r="J117" t="s">
        <v>384</v>
      </c>
    </row>
    <row r="118" spans="1:10" outlineLevel="1" x14ac:dyDescent="0.2">
      <c r="A118">
        <v>2021</v>
      </c>
      <c r="B118" t="s">
        <v>64</v>
      </c>
      <c r="C118" s="3">
        <v>44530</v>
      </c>
      <c r="D118" s="3" t="s">
        <v>162</v>
      </c>
      <c r="E118" s="3" t="str">
        <f>VLOOKUP(Tabla2[[#This Row],[TIPUS]],Tarifas!$H$12:$I$26,2,0)</f>
        <v>VARIABLE</v>
      </c>
      <c r="F118" t="s">
        <v>64</v>
      </c>
      <c r="G118">
        <v>90</v>
      </c>
      <c r="H118">
        <v>0</v>
      </c>
      <c r="I118">
        <v>90</v>
      </c>
    </row>
    <row r="119" spans="1:10" outlineLevel="1" x14ac:dyDescent="0.2">
      <c r="A119">
        <v>2021</v>
      </c>
      <c r="B119" t="s">
        <v>64</v>
      </c>
      <c r="C119" s="3">
        <v>44530</v>
      </c>
      <c r="D119" s="3" t="s">
        <v>105</v>
      </c>
      <c r="E119" s="3" t="str">
        <f>VLOOKUP(Tabla2[[#This Row],[TIPUS]],Tarifas!$H$12:$I$26,2,0)</f>
        <v>FIX</v>
      </c>
      <c r="F119" t="s">
        <v>373</v>
      </c>
      <c r="G119">
        <v>205.97</v>
      </c>
      <c r="H119">
        <v>205.97</v>
      </c>
      <c r="I119">
        <v>0</v>
      </c>
      <c r="J119" t="s">
        <v>391</v>
      </c>
    </row>
    <row r="120" spans="1:10" outlineLevel="1" x14ac:dyDescent="0.2">
      <c r="A120">
        <v>2021</v>
      </c>
      <c r="B120" t="s">
        <v>65</v>
      </c>
      <c r="C120" s="3">
        <v>44535</v>
      </c>
      <c r="D120" s="3" t="s">
        <v>112</v>
      </c>
      <c r="E120" s="3" t="str">
        <f>VLOOKUP(Tabla2[[#This Row],[TIPUS]],Tarifas!$H$12:$I$26,2,0)</f>
        <v>FIX</v>
      </c>
      <c r="F120" t="s">
        <v>380</v>
      </c>
      <c r="G120">
        <v>59</v>
      </c>
      <c r="H120">
        <v>59</v>
      </c>
      <c r="I120">
        <v>0</v>
      </c>
      <c r="J120" t="s">
        <v>384</v>
      </c>
    </row>
    <row r="121" spans="1:10" outlineLevel="1" x14ac:dyDescent="0.2">
      <c r="A121">
        <v>2021</v>
      </c>
      <c r="B121" t="s">
        <v>65</v>
      </c>
      <c r="C121" s="3">
        <v>44537</v>
      </c>
      <c r="D121" s="3" t="s">
        <v>114</v>
      </c>
      <c r="E121" s="3" t="str">
        <f>VLOOKUP(Tabla2[[#This Row],[TIPUS]],Tarifas!$H$12:$I$26,2,0)</f>
        <v>VARIABLE</v>
      </c>
      <c r="F121" t="s">
        <v>206</v>
      </c>
      <c r="G121">
        <v>48.64</v>
      </c>
      <c r="H121">
        <v>48.64</v>
      </c>
      <c r="I121">
        <v>0</v>
      </c>
      <c r="J121" t="s">
        <v>384</v>
      </c>
    </row>
    <row r="122" spans="1:10" outlineLevel="1" x14ac:dyDescent="0.2">
      <c r="A122">
        <v>2021</v>
      </c>
      <c r="B122" t="s">
        <v>65</v>
      </c>
      <c r="C122" s="3">
        <v>44537</v>
      </c>
      <c r="D122" s="3" t="s">
        <v>128</v>
      </c>
      <c r="E122" s="3" t="str">
        <f>VLOOKUP(Tabla2[[#This Row],[TIPUS]],Tarifas!$H$12:$I$26,2,0)</f>
        <v>INVERSIONS</v>
      </c>
      <c r="F122" t="s">
        <v>381</v>
      </c>
      <c r="G122">
        <v>210</v>
      </c>
      <c r="H122">
        <v>0</v>
      </c>
      <c r="I122">
        <v>210</v>
      </c>
      <c r="J122" t="s">
        <v>384</v>
      </c>
    </row>
    <row r="123" spans="1:10" outlineLevel="1" x14ac:dyDescent="0.2">
      <c r="A123">
        <v>2021</v>
      </c>
      <c r="B123" t="s">
        <v>65</v>
      </c>
      <c r="C123" s="3">
        <v>44537</v>
      </c>
      <c r="D123" s="3" t="s">
        <v>119</v>
      </c>
      <c r="E123" s="3" t="str">
        <f>VLOOKUP(Tabla2[[#This Row],[TIPUS]],Tarifas!$H$12:$I$26,2,0)</f>
        <v>FIX</v>
      </c>
      <c r="F123" t="s">
        <v>382</v>
      </c>
      <c r="G123">
        <v>499</v>
      </c>
      <c r="H123">
        <v>499</v>
      </c>
      <c r="I123">
        <v>0</v>
      </c>
    </row>
    <row r="124" spans="1:10" outlineLevel="1" x14ac:dyDescent="0.2">
      <c r="A124">
        <v>2021</v>
      </c>
      <c r="B124" t="s">
        <v>65</v>
      </c>
      <c r="C124" s="3">
        <v>44537</v>
      </c>
      <c r="D124" s="3" t="s">
        <v>108</v>
      </c>
      <c r="E124" s="3" t="str">
        <f>VLOOKUP(Tabla2[[#This Row],[TIPUS]],Tarifas!$H$12:$I$26,2,0)</f>
        <v>FIX</v>
      </c>
      <c r="F124" t="s">
        <v>383</v>
      </c>
      <c r="G124">
        <v>18</v>
      </c>
      <c r="H124">
        <v>18</v>
      </c>
      <c r="I124">
        <v>0</v>
      </c>
    </row>
    <row r="125" spans="1:10" outlineLevel="1" x14ac:dyDescent="0.2">
      <c r="A125">
        <v>2021</v>
      </c>
      <c r="B125" t="s">
        <v>65</v>
      </c>
      <c r="C125" s="3">
        <v>44544</v>
      </c>
      <c r="D125" s="3" t="s">
        <v>162</v>
      </c>
      <c r="E125" s="3" t="str">
        <f>VLOOKUP(Tabla2[[#This Row],[TIPUS]],Tarifas!$H$12:$I$26,2,0)</f>
        <v>VARIABLE</v>
      </c>
      <c r="F125" t="s">
        <v>385</v>
      </c>
      <c r="G125">
        <v>180</v>
      </c>
      <c r="H125">
        <v>0</v>
      </c>
      <c r="I125">
        <v>180</v>
      </c>
    </row>
    <row r="126" spans="1:10" outlineLevel="1" x14ac:dyDescent="0.2">
      <c r="A126">
        <v>2021</v>
      </c>
      <c r="B126" t="s">
        <v>65</v>
      </c>
      <c r="C126" s="3">
        <v>44557</v>
      </c>
      <c r="D126" s="3" t="s">
        <v>104</v>
      </c>
      <c r="E126" s="3" t="str">
        <f>VLOOKUP(Tabla2[[#This Row],[TIPUS]],Tarifas!$H$12:$I$26,2,0)</f>
        <v>FIX</v>
      </c>
      <c r="F126" t="s">
        <v>386</v>
      </c>
      <c r="G126">
        <v>204</v>
      </c>
      <c r="H126">
        <v>204</v>
      </c>
      <c r="I126">
        <v>0</v>
      </c>
      <c r="J126" t="s">
        <v>391</v>
      </c>
    </row>
    <row r="127" spans="1:10" outlineLevel="1" x14ac:dyDescent="0.2">
      <c r="A127">
        <v>2021</v>
      </c>
      <c r="B127" t="s">
        <v>65</v>
      </c>
      <c r="C127" s="3">
        <v>44557</v>
      </c>
      <c r="D127" s="3" t="s">
        <v>110</v>
      </c>
      <c r="E127" s="3" t="str">
        <f>VLOOKUP(Tabla2[[#This Row],[TIPUS]],Tarifas!$H$12:$I$26,2,0)</f>
        <v>VARIABLE</v>
      </c>
      <c r="F127" t="s">
        <v>387</v>
      </c>
      <c r="G127">
        <v>254.43</v>
      </c>
      <c r="H127">
        <v>254.43</v>
      </c>
      <c r="I127">
        <v>0</v>
      </c>
      <c r="J127" t="s">
        <v>391</v>
      </c>
    </row>
    <row r="128" spans="1:10" outlineLevel="1" x14ac:dyDescent="0.2">
      <c r="A128">
        <v>2021</v>
      </c>
      <c r="B128" t="s">
        <v>65</v>
      </c>
      <c r="C128" s="3">
        <v>44561</v>
      </c>
      <c r="D128" s="3" t="s">
        <v>105</v>
      </c>
      <c r="E128" s="3" t="str">
        <f>VLOOKUP(Tabla2[[#This Row],[TIPUS]],Tarifas!$H$12:$I$26,2,0)</f>
        <v>FIX</v>
      </c>
      <c r="F128" t="s">
        <v>392</v>
      </c>
      <c r="G128">
        <v>208.79</v>
      </c>
      <c r="H128">
        <v>208.79</v>
      </c>
      <c r="I128">
        <v>0</v>
      </c>
      <c r="J128" t="s">
        <v>391</v>
      </c>
    </row>
    <row r="129" spans="1:9" outlineLevel="1" x14ac:dyDescent="0.2">
      <c r="A129">
        <v>2021</v>
      </c>
      <c r="B129" t="s">
        <v>65</v>
      </c>
      <c r="C129" s="3">
        <v>44561</v>
      </c>
      <c r="D129" s="3" t="s">
        <v>106</v>
      </c>
      <c r="E129" s="3" t="str">
        <f>VLOOKUP(Tabla2[[#This Row],[TIPUS]],Tarifas!$H$12:$I$26,2,0)</f>
        <v>FIX</v>
      </c>
      <c r="F129" t="s">
        <v>390</v>
      </c>
      <c r="G129">
        <v>90</v>
      </c>
      <c r="H129">
        <v>0</v>
      </c>
      <c r="I129">
        <v>90</v>
      </c>
    </row>
    <row r="130" spans="1:9" outlineLevel="1" x14ac:dyDescent="0.2">
      <c r="A130">
        <v>2022</v>
      </c>
      <c r="B130" t="s">
        <v>48</v>
      </c>
      <c r="C130" s="3">
        <v>44565</v>
      </c>
      <c r="D130" s="3" t="s">
        <v>112</v>
      </c>
      <c r="E130" s="3" t="str">
        <f>VLOOKUP(Tabla2[[#This Row],[TIPUS]],Tarifas!$H$12:$I$26,2,0)</f>
        <v>FIX</v>
      </c>
      <c r="F130" t="s">
        <v>388</v>
      </c>
      <c r="G130">
        <v>59</v>
      </c>
      <c r="H130">
        <v>59</v>
      </c>
      <c r="I130">
        <v>0</v>
      </c>
    </row>
    <row r="131" spans="1:9" outlineLevel="1" x14ac:dyDescent="0.2">
      <c r="A131">
        <v>2022</v>
      </c>
      <c r="B131" t="s">
        <v>48</v>
      </c>
      <c r="C131" s="3">
        <v>44565</v>
      </c>
      <c r="D131" s="3" t="s">
        <v>107</v>
      </c>
      <c r="E131" s="3" t="str">
        <f>VLOOKUP(Tabla2[[#This Row],[TIPUS]],Tarifas!$H$12:$I$26,2,0)</f>
        <v>FIX</v>
      </c>
      <c r="F131" t="s">
        <v>389</v>
      </c>
      <c r="G131">
        <v>397.48</v>
      </c>
      <c r="H131">
        <v>397.48</v>
      </c>
      <c r="I131">
        <v>0</v>
      </c>
    </row>
    <row r="132" spans="1:9" outlineLevel="1" x14ac:dyDescent="0.2">
      <c r="A132">
        <v>2022</v>
      </c>
      <c r="B132" t="s">
        <v>48</v>
      </c>
      <c r="C132" s="3">
        <v>44574</v>
      </c>
      <c r="D132" s="3" t="s">
        <v>104</v>
      </c>
      <c r="E132" s="3" t="str">
        <f>VLOOKUP(Tabla2[[#This Row],[TIPUS]],Tarifas!$H$12:$I$26,2,0)</f>
        <v>FIX</v>
      </c>
      <c r="F132" t="s">
        <v>396</v>
      </c>
      <c r="G132">
        <v>204</v>
      </c>
      <c r="H132">
        <v>204</v>
      </c>
      <c r="I132">
        <v>0</v>
      </c>
    </row>
    <row r="133" spans="1:9" outlineLevel="1" x14ac:dyDescent="0.2">
      <c r="A133">
        <v>2022</v>
      </c>
      <c r="B133" t="s">
        <v>48</v>
      </c>
      <c r="C133" s="3">
        <v>44581</v>
      </c>
      <c r="D133" s="3" t="s">
        <v>188</v>
      </c>
      <c r="E133" s="3" t="str">
        <f>VLOOKUP(Tabla2[[#This Row],[TIPUS]],Tarifas!$H$12:$I$26,2,0)</f>
        <v>IMPOSTOS</v>
      </c>
      <c r="F133" t="s">
        <v>332</v>
      </c>
      <c r="G133">
        <v>114</v>
      </c>
      <c r="H133">
        <v>114</v>
      </c>
      <c r="I133">
        <v>0</v>
      </c>
    </row>
    <row r="134" spans="1:9" outlineLevel="1" x14ac:dyDescent="0.2">
      <c r="A134">
        <v>2022</v>
      </c>
      <c r="B134" t="s">
        <v>48</v>
      </c>
      <c r="C134" s="3">
        <v>44592</v>
      </c>
      <c r="D134" s="3" t="s">
        <v>188</v>
      </c>
      <c r="E134" s="3" t="str">
        <f>VLOOKUP(Tabla2[[#This Row],[TIPUS]],Tarifas!$H$12:$I$26,2,0)</f>
        <v>IMPOSTOS</v>
      </c>
      <c r="F134" t="s">
        <v>332</v>
      </c>
      <c r="G134">
        <v>188.14</v>
      </c>
      <c r="H134">
        <v>188.14</v>
      </c>
      <c r="I134">
        <v>0</v>
      </c>
    </row>
    <row r="135" spans="1:9" outlineLevel="1" x14ac:dyDescent="0.2">
      <c r="A135">
        <v>2022</v>
      </c>
      <c r="B135" t="s">
        <v>48</v>
      </c>
      <c r="C135" s="3">
        <v>44592</v>
      </c>
      <c r="D135" s="3" t="s">
        <v>105</v>
      </c>
      <c r="E135" s="3" t="str">
        <f>VLOOKUP(Tabla2[[#This Row],[TIPUS]],Tarifas!$H$12:$I$26,2,0)</f>
        <v>FIX</v>
      </c>
      <c r="F135" t="s">
        <v>398</v>
      </c>
      <c r="G135">
        <v>212.4</v>
      </c>
      <c r="H135">
        <v>212.4</v>
      </c>
      <c r="I135">
        <v>0</v>
      </c>
    </row>
    <row r="136" spans="1:9" outlineLevel="1" x14ac:dyDescent="0.2">
      <c r="A136">
        <v>2022</v>
      </c>
      <c r="B136" t="s">
        <v>48</v>
      </c>
      <c r="C136" s="3">
        <v>44592</v>
      </c>
      <c r="D136" s="3" t="s">
        <v>105</v>
      </c>
      <c r="E136" s="3" t="str">
        <f>VLOOKUP(Tabla2[[#This Row],[TIPUS]],Tarifas!$H$12:$I$26,2,0)</f>
        <v>FIX</v>
      </c>
      <c r="F136" t="s">
        <v>399</v>
      </c>
      <c r="G136">
        <v>2.82</v>
      </c>
      <c r="H136">
        <v>2.82</v>
      </c>
      <c r="I136">
        <v>0</v>
      </c>
    </row>
    <row r="137" spans="1:9" outlineLevel="1" x14ac:dyDescent="0.2">
      <c r="A137">
        <v>2022</v>
      </c>
      <c r="B137" t="s">
        <v>56</v>
      </c>
      <c r="C137" s="3">
        <v>44596</v>
      </c>
      <c r="D137" s="3" t="s">
        <v>112</v>
      </c>
      <c r="E137" s="3" t="str">
        <f>VLOOKUP(Tabla2[[#This Row],[TIPUS]],Tarifas!$H$12:$I$26,2,0)</f>
        <v>FIX</v>
      </c>
      <c r="F137" t="s">
        <v>400</v>
      </c>
      <c r="G137">
        <v>64.95</v>
      </c>
      <c r="H137">
        <v>64.95</v>
      </c>
      <c r="I137">
        <v>0</v>
      </c>
    </row>
    <row r="138" spans="1:9" outlineLevel="1" x14ac:dyDescent="0.2">
      <c r="A138">
        <v>2022</v>
      </c>
      <c r="B138" t="s">
        <v>56</v>
      </c>
      <c r="C138" s="3">
        <v>44602</v>
      </c>
      <c r="D138" s="3" t="s">
        <v>104</v>
      </c>
      <c r="E138" s="3" t="str">
        <f>VLOOKUP(Tabla2[[#This Row],[TIPUS]],Tarifas!$H$12:$I$26,2,0)</f>
        <v>FIX</v>
      </c>
      <c r="F138" t="s">
        <v>400</v>
      </c>
      <c r="G138">
        <v>204</v>
      </c>
      <c r="H138">
        <v>204</v>
      </c>
      <c r="I138">
        <v>0</v>
      </c>
    </row>
    <row r="139" spans="1:9" outlineLevel="1" x14ac:dyDescent="0.2">
      <c r="A139">
        <v>2022</v>
      </c>
      <c r="B139" t="s">
        <v>56</v>
      </c>
      <c r="C139" s="3">
        <v>44620</v>
      </c>
      <c r="D139" s="3" t="s">
        <v>105</v>
      </c>
      <c r="E139" s="3" t="str">
        <f>VLOOKUP(Tabla2[[#This Row],[TIPUS]],Tarifas!$H$12:$I$26,2,0)</f>
        <v>FIX</v>
      </c>
      <c r="F139" t="s">
        <v>401</v>
      </c>
      <c r="G139">
        <v>212.4</v>
      </c>
      <c r="H139">
        <v>212.4</v>
      </c>
      <c r="I139">
        <v>0</v>
      </c>
    </row>
    <row r="140" spans="1:9" outlineLevel="1" x14ac:dyDescent="0.2">
      <c r="A140">
        <v>2022</v>
      </c>
      <c r="B140" t="s">
        <v>56</v>
      </c>
      <c r="C140" s="3">
        <v>44620</v>
      </c>
      <c r="D140" s="3" t="s">
        <v>162</v>
      </c>
      <c r="E140" s="3" t="str">
        <f>VLOOKUP(Tabla2[[#This Row],[TIPUS]],Tarifas!$H$12:$I$26,2,0)</f>
        <v>VARIABLE</v>
      </c>
      <c r="F140" t="s">
        <v>410</v>
      </c>
      <c r="G140">
        <v>270</v>
      </c>
      <c r="H140">
        <v>0</v>
      </c>
      <c r="I140">
        <v>270</v>
      </c>
    </row>
    <row r="141" spans="1:9" outlineLevel="1" x14ac:dyDescent="0.2">
      <c r="A141">
        <v>2022</v>
      </c>
      <c r="B141" t="s">
        <v>57</v>
      </c>
      <c r="C141" s="3">
        <v>44624</v>
      </c>
      <c r="D141" s="3" t="s">
        <v>112</v>
      </c>
      <c r="E141" s="3" t="str">
        <f>VLOOKUP(Tabla2[[#This Row],[TIPUS]],Tarifas!$H$12:$I$26,2,0)</f>
        <v>FIX</v>
      </c>
      <c r="F141" t="s">
        <v>402</v>
      </c>
      <c r="G141">
        <v>68.22</v>
      </c>
      <c r="H141">
        <v>68.22</v>
      </c>
      <c r="I141">
        <v>0</v>
      </c>
    </row>
    <row r="142" spans="1:9" outlineLevel="1" x14ac:dyDescent="0.2">
      <c r="A142">
        <v>2022</v>
      </c>
      <c r="B142" t="s">
        <v>57</v>
      </c>
      <c r="C142" s="3">
        <v>44626</v>
      </c>
      <c r="D142" s="3" t="s">
        <v>104</v>
      </c>
      <c r="E142" s="3" t="str">
        <f>VLOOKUP(Tabla2[[#This Row],[TIPUS]],Tarifas!$H$12:$I$26,2,0)</f>
        <v>FIX</v>
      </c>
      <c r="F142" t="s">
        <v>405</v>
      </c>
      <c r="G142">
        <v>204</v>
      </c>
      <c r="H142">
        <v>204</v>
      </c>
      <c r="I142">
        <v>0</v>
      </c>
    </row>
    <row r="143" spans="1:9" outlineLevel="1" x14ac:dyDescent="0.2">
      <c r="A143">
        <v>2022</v>
      </c>
      <c r="B143" t="s">
        <v>57</v>
      </c>
      <c r="C143" s="3">
        <v>44640</v>
      </c>
      <c r="D143" s="3" t="s">
        <v>114</v>
      </c>
      <c r="E143" s="3" t="str">
        <f>VLOOKUP(Tabla2[[#This Row],[TIPUS]],Tarifas!$H$12:$I$26,2,0)</f>
        <v>VARIABLE</v>
      </c>
      <c r="F143" t="s">
        <v>195</v>
      </c>
      <c r="G143">
        <v>19.260000000000002</v>
      </c>
      <c r="H143">
        <v>19.260000000000002</v>
      </c>
      <c r="I143">
        <v>0</v>
      </c>
    </row>
    <row r="144" spans="1:9" outlineLevel="1" x14ac:dyDescent="0.2">
      <c r="A144">
        <v>2022</v>
      </c>
      <c r="B144" t="s">
        <v>57</v>
      </c>
      <c r="C144" s="3">
        <v>44640</v>
      </c>
      <c r="D144" s="3" t="s">
        <v>114</v>
      </c>
      <c r="E144" s="3" t="str">
        <f>VLOOKUP(Tabla2[[#This Row],[TIPUS]],Tarifas!$H$12:$I$26,2,0)</f>
        <v>VARIABLE</v>
      </c>
      <c r="F144" t="s">
        <v>406</v>
      </c>
      <c r="G144">
        <v>126.75</v>
      </c>
      <c r="H144">
        <v>126.75</v>
      </c>
      <c r="I144">
        <v>0</v>
      </c>
    </row>
    <row r="145" spans="1:9" outlineLevel="1" x14ac:dyDescent="0.2">
      <c r="A145">
        <v>2022</v>
      </c>
      <c r="B145" t="s">
        <v>57</v>
      </c>
      <c r="C145" s="3">
        <v>44640</v>
      </c>
      <c r="D145" s="3" t="s">
        <v>114</v>
      </c>
      <c r="E145" s="3" t="str">
        <f>VLOOKUP(Tabla2[[#This Row],[TIPUS]],Tarifas!$H$12:$I$26,2,0)</f>
        <v>VARIABLE</v>
      </c>
      <c r="F145" t="s">
        <v>372</v>
      </c>
      <c r="G145">
        <v>39</v>
      </c>
      <c r="H145">
        <v>39</v>
      </c>
      <c r="I145">
        <v>0</v>
      </c>
    </row>
    <row r="146" spans="1:9" outlineLevel="1" x14ac:dyDescent="0.2">
      <c r="A146">
        <v>2022</v>
      </c>
      <c r="B146" t="s">
        <v>57</v>
      </c>
      <c r="C146" s="3">
        <v>44640</v>
      </c>
      <c r="D146" s="3" t="s">
        <v>114</v>
      </c>
      <c r="E146" s="3" t="str">
        <f>VLOOKUP(Tabla2[[#This Row],[TIPUS]],Tarifas!$H$12:$I$26,2,0)</f>
        <v>VARIABLE</v>
      </c>
      <c r="F146" t="s">
        <v>409</v>
      </c>
      <c r="G146">
        <v>40</v>
      </c>
      <c r="H146">
        <v>0</v>
      </c>
      <c r="I146">
        <v>40</v>
      </c>
    </row>
    <row r="147" spans="1:9" outlineLevel="1" x14ac:dyDescent="0.2">
      <c r="A147">
        <v>2022</v>
      </c>
      <c r="B147" t="s">
        <v>57</v>
      </c>
      <c r="C147" s="3">
        <v>44640</v>
      </c>
      <c r="D147" s="3" t="s">
        <v>114</v>
      </c>
      <c r="E147" s="3" t="str">
        <f>VLOOKUP(Tabla2[[#This Row],[TIPUS]],Tarifas!$H$12:$I$26,2,0)</f>
        <v>VARIABLE</v>
      </c>
      <c r="F147" t="s">
        <v>407</v>
      </c>
      <c r="G147">
        <v>121.75</v>
      </c>
      <c r="H147">
        <v>121.75</v>
      </c>
      <c r="I147">
        <v>0</v>
      </c>
    </row>
    <row r="148" spans="1:9" outlineLevel="1" x14ac:dyDescent="0.2">
      <c r="A148">
        <v>2022</v>
      </c>
      <c r="B148" t="s">
        <v>57</v>
      </c>
      <c r="C148" s="3">
        <v>44646</v>
      </c>
      <c r="D148" s="3" t="s">
        <v>162</v>
      </c>
      <c r="E148" s="3" t="str">
        <f>VLOOKUP(Tabla2[[#This Row],[TIPUS]],Tarifas!$H$12:$I$26,2,0)</f>
        <v>VARIABLE</v>
      </c>
      <c r="F148" t="s">
        <v>408</v>
      </c>
      <c r="G148">
        <v>120</v>
      </c>
      <c r="H148">
        <v>0</v>
      </c>
      <c r="I148">
        <v>120</v>
      </c>
    </row>
    <row r="149" spans="1:9" outlineLevel="1" x14ac:dyDescent="0.2">
      <c r="A149">
        <v>2022</v>
      </c>
      <c r="B149" t="s">
        <v>57</v>
      </c>
      <c r="C149" s="3">
        <v>44649</v>
      </c>
      <c r="D149" s="3" t="s">
        <v>114</v>
      </c>
      <c r="E149" s="3" t="str">
        <f>VLOOKUP(Tabla2[[#This Row],[TIPUS]],Tarifas!$H$12:$I$26,2,0)</f>
        <v>VARIABLE</v>
      </c>
      <c r="F149" t="s">
        <v>411</v>
      </c>
      <c r="G149">
        <v>111.83</v>
      </c>
      <c r="H149">
        <v>111.83</v>
      </c>
      <c r="I149">
        <v>0</v>
      </c>
    </row>
    <row r="150" spans="1:9" outlineLevel="1" x14ac:dyDescent="0.2">
      <c r="A150">
        <v>2022</v>
      </c>
      <c r="B150" t="s">
        <v>57</v>
      </c>
      <c r="C150" s="3">
        <v>44651</v>
      </c>
      <c r="D150" s="3" t="s">
        <v>105</v>
      </c>
      <c r="E150" s="3" t="str">
        <f>VLOOKUP(Tabla2[[#This Row],[TIPUS]],Tarifas!$H$12:$I$26,2,0)</f>
        <v>FIX</v>
      </c>
      <c r="F150" t="s">
        <v>402</v>
      </c>
      <c r="G150">
        <v>212.4</v>
      </c>
      <c r="H150">
        <v>212.4</v>
      </c>
      <c r="I150">
        <v>0</v>
      </c>
    </row>
    <row r="151" spans="1:9" outlineLevel="1" x14ac:dyDescent="0.2">
      <c r="A151">
        <v>2022</v>
      </c>
      <c r="B151" t="s">
        <v>58</v>
      </c>
      <c r="C151" s="3">
        <v>44655</v>
      </c>
      <c r="D151" s="3" t="s">
        <v>112</v>
      </c>
      <c r="E151" s="3" t="str">
        <f>VLOOKUP(Tabla2[[#This Row],[TIPUS]],Tarifas!$H$12:$I$26,2,0)</f>
        <v>FIX</v>
      </c>
      <c r="F151" t="s">
        <v>412</v>
      </c>
      <c r="G151">
        <v>54.06</v>
      </c>
      <c r="H151">
        <v>54.06</v>
      </c>
      <c r="I151">
        <v>0</v>
      </c>
    </row>
    <row r="152" spans="1:9" outlineLevel="1" x14ac:dyDescent="0.2">
      <c r="A152">
        <v>2022</v>
      </c>
      <c r="B152" t="s">
        <v>58</v>
      </c>
      <c r="C152" s="3">
        <v>44658</v>
      </c>
      <c r="D152" s="3" t="s">
        <v>106</v>
      </c>
      <c r="E152" s="3" t="str">
        <f>VLOOKUP(Tabla2[[#This Row],[TIPUS]],Tarifas!$H$12:$I$26,2,0)</f>
        <v>FIX</v>
      </c>
      <c r="F152" t="s">
        <v>186</v>
      </c>
      <c r="G152">
        <v>90</v>
      </c>
      <c r="H152">
        <v>0</v>
      </c>
      <c r="I152">
        <v>90</v>
      </c>
    </row>
    <row r="153" spans="1:9" outlineLevel="1" x14ac:dyDescent="0.2">
      <c r="A153">
        <v>2022</v>
      </c>
      <c r="B153" t="s">
        <v>58</v>
      </c>
      <c r="C153" s="3">
        <v>44659</v>
      </c>
      <c r="D153" s="3" t="s">
        <v>114</v>
      </c>
      <c r="E153" s="3" t="str">
        <f>VLOOKUP(Tabla2[[#This Row],[TIPUS]],Tarifas!$H$12:$I$26,2,0)</f>
        <v>VARIABLE</v>
      </c>
      <c r="F153" t="s">
        <v>195</v>
      </c>
      <c r="G153">
        <v>137.54</v>
      </c>
      <c r="H153">
        <v>137.54</v>
      </c>
      <c r="I153">
        <v>0</v>
      </c>
    </row>
    <row r="154" spans="1:9" outlineLevel="1" x14ac:dyDescent="0.2">
      <c r="A154">
        <v>2022</v>
      </c>
      <c r="B154" t="s">
        <v>58</v>
      </c>
      <c r="C154" s="3">
        <v>44662</v>
      </c>
      <c r="D154" s="3" t="s">
        <v>114</v>
      </c>
      <c r="E154" s="3" t="str">
        <f>VLOOKUP(Tabla2[[#This Row],[TIPUS]],Tarifas!$H$12:$I$26,2,0)</f>
        <v>VARIABLE</v>
      </c>
      <c r="F154" t="s">
        <v>206</v>
      </c>
      <c r="G154">
        <v>29.05</v>
      </c>
      <c r="H154">
        <v>29.05</v>
      </c>
      <c r="I154">
        <v>0</v>
      </c>
    </row>
    <row r="155" spans="1:9" outlineLevel="1" x14ac:dyDescent="0.2">
      <c r="A155">
        <v>2022</v>
      </c>
      <c r="B155" t="s">
        <v>58</v>
      </c>
      <c r="C155" s="3">
        <v>44671</v>
      </c>
      <c r="D155" s="3" t="s">
        <v>188</v>
      </c>
      <c r="E155" s="3" t="str">
        <f>VLOOKUP(Tabla2[[#This Row],[TIPUS]],Tarifas!$H$12:$I$26,2,0)</f>
        <v>IMPOSTOS</v>
      </c>
      <c r="F155" t="s">
        <v>187</v>
      </c>
      <c r="G155">
        <v>114</v>
      </c>
      <c r="H155">
        <v>114</v>
      </c>
      <c r="I155">
        <v>0</v>
      </c>
    </row>
    <row r="156" spans="1:9" outlineLevel="1" x14ac:dyDescent="0.2">
      <c r="A156">
        <v>2022</v>
      </c>
      <c r="B156" t="s">
        <v>58</v>
      </c>
      <c r="C156" s="3">
        <v>44671</v>
      </c>
      <c r="D156" s="3" t="s">
        <v>188</v>
      </c>
      <c r="E156" s="3" t="str">
        <f>VLOOKUP(Tabla2[[#This Row],[TIPUS]],Tarifas!$H$12:$I$26,2,0)</f>
        <v>IMPOSTOS</v>
      </c>
      <c r="F156" t="s">
        <v>187</v>
      </c>
      <c r="G156">
        <v>195.11</v>
      </c>
      <c r="H156">
        <v>195.11</v>
      </c>
      <c r="I156">
        <v>0</v>
      </c>
    </row>
    <row r="157" spans="1:9" outlineLevel="1" x14ac:dyDescent="0.2">
      <c r="A157">
        <v>2022</v>
      </c>
      <c r="B157" t="s">
        <v>58</v>
      </c>
      <c r="C157" s="3">
        <v>44671</v>
      </c>
      <c r="D157" s="3" t="s">
        <v>162</v>
      </c>
      <c r="E157" s="3" t="str">
        <f>VLOOKUP(Tabla2[[#This Row],[TIPUS]],Tarifas!$H$12:$I$26,2,0)</f>
        <v>VARIABLE</v>
      </c>
      <c r="F157" t="s">
        <v>408</v>
      </c>
      <c r="G157">
        <v>120</v>
      </c>
      <c r="H157">
        <v>0</v>
      </c>
      <c r="I157">
        <v>120</v>
      </c>
    </row>
    <row r="158" spans="1:9" outlineLevel="1" x14ac:dyDescent="0.2">
      <c r="A158">
        <v>2022</v>
      </c>
      <c r="B158" t="s">
        <v>58</v>
      </c>
      <c r="C158" s="3">
        <v>44679</v>
      </c>
      <c r="D158" s="3" t="s">
        <v>114</v>
      </c>
      <c r="E158" s="3" t="str">
        <f>VLOOKUP(Tabla2[[#This Row],[TIPUS]],Tarifas!$H$12:$I$26,2,0)</f>
        <v>VARIABLE</v>
      </c>
      <c r="F158" t="s">
        <v>415</v>
      </c>
      <c r="G158">
        <f>7.19+4.7+29.99</f>
        <v>41.879999999999995</v>
      </c>
      <c r="H158">
        <f>7.19+4.7+29.99</f>
        <v>41.879999999999995</v>
      </c>
      <c r="I158">
        <v>0</v>
      </c>
    </row>
    <row r="159" spans="1:9" outlineLevel="1" x14ac:dyDescent="0.2">
      <c r="A159">
        <v>2022</v>
      </c>
      <c r="B159" t="s">
        <v>58</v>
      </c>
      <c r="C159" s="3">
        <v>44679</v>
      </c>
      <c r="D159" s="3" t="s">
        <v>114</v>
      </c>
      <c r="E159" s="3" t="str">
        <f>VLOOKUP(Tabla2[[#This Row],[TIPUS]],Tarifas!$H$12:$I$26,2,0)</f>
        <v>VARIABLE</v>
      </c>
      <c r="F159" t="s">
        <v>157</v>
      </c>
      <c r="G159">
        <v>30</v>
      </c>
      <c r="H159">
        <v>0</v>
      </c>
      <c r="I159">
        <v>30</v>
      </c>
    </row>
    <row r="160" spans="1:9" outlineLevel="1" x14ac:dyDescent="0.2">
      <c r="A160">
        <v>2022</v>
      </c>
      <c r="B160" t="s">
        <v>58</v>
      </c>
      <c r="C160" s="3">
        <v>44681</v>
      </c>
      <c r="D160" s="3" t="s">
        <v>105</v>
      </c>
      <c r="E160" s="3" t="str">
        <f>VLOOKUP(Tabla2[[#This Row],[TIPUS]],Tarifas!$H$12:$I$26,2,0)</f>
        <v>FIX</v>
      </c>
      <c r="F160" t="s">
        <v>412</v>
      </c>
      <c r="G160">
        <v>212.4</v>
      </c>
      <c r="H160">
        <v>212.4</v>
      </c>
      <c r="I160">
        <v>0</v>
      </c>
    </row>
    <row r="161" spans="1:13" outlineLevel="1" x14ac:dyDescent="0.2">
      <c r="A161">
        <v>2022</v>
      </c>
      <c r="B161" t="s">
        <v>59</v>
      </c>
      <c r="C161" s="3">
        <v>44654</v>
      </c>
      <c r="D161" s="3" t="s">
        <v>104</v>
      </c>
      <c r="E161" s="3" t="str">
        <f>VLOOKUP(Tabla2[[#This Row],[TIPUS]],Tarifas!$H$12:$I$26,2,0)</f>
        <v>FIX</v>
      </c>
      <c r="F161" t="s">
        <v>417</v>
      </c>
      <c r="G161">
        <v>204</v>
      </c>
      <c r="H161">
        <v>204</v>
      </c>
      <c r="I161">
        <v>0</v>
      </c>
    </row>
    <row r="162" spans="1:13" outlineLevel="1" x14ac:dyDescent="0.2">
      <c r="A162">
        <v>2022</v>
      </c>
      <c r="B162" t="s">
        <v>59</v>
      </c>
      <c r="C162" s="3">
        <v>44655</v>
      </c>
      <c r="D162" s="3" t="s">
        <v>112</v>
      </c>
      <c r="E162" s="3" t="str">
        <f>VLOOKUP(Tabla2[[#This Row],[TIPUS]],Tarifas!$H$12:$I$26,2,0)</f>
        <v>FIX</v>
      </c>
      <c r="F162" t="s">
        <v>417</v>
      </c>
      <c r="G162">
        <v>62</v>
      </c>
      <c r="H162">
        <v>62</v>
      </c>
      <c r="I162">
        <v>0</v>
      </c>
    </row>
    <row r="163" spans="1:13" outlineLevel="1" x14ac:dyDescent="0.2">
      <c r="A163">
        <v>2022</v>
      </c>
      <c r="B163" t="s">
        <v>59</v>
      </c>
      <c r="C163" s="3">
        <v>44694</v>
      </c>
      <c r="D163" s="3" t="s">
        <v>110</v>
      </c>
      <c r="E163" s="3" t="str">
        <f>VLOOKUP(Tabla2[[#This Row],[TIPUS]],Tarifas!$H$12:$I$26,2,0)</f>
        <v>VARIABLE</v>
      </c>
      <c r="F163" t="s">
        <v>186</v>
      </c>
      <c r="G163">
        <v>284.24</v>
      </c>
      <c r="H163">
        <v>284.24</v>
      </c>
      <c r="I163">
        <v>0</v>
      </c>
    </row>
    <row r="164" spans="1:13" outlineLevel="1" x14ac:dyDescent="0.2">
      <c r="A164">
        <v>2022</v>
      </c>
      <c r="B164" t="s">
        <v>59</v>
      </c>
      <c r="C164" s="3">
        <v>44709</v>
      </c>
      <c r="D164" s="3" t="s">
        <v>162</v>
      </c>
      <c r="E164" s="3" t="str">
        <f>VLOOKUP(Tabla2[[#This Row],[TIPUS]],Tarifas!$H$12:$I$26,2,0)</f>
        <v>VARIABLE</v>
      </c>
      <c r="F164" t="s">
        <v>408</v>
      </c>
      <c r="G164">
        <v>150</v>
      </c>
      <c r="H164">
        <v>0</v>
      </c>
      <c r="I164">
        <v>150</v>
      </c>
    </row>
    <row r="165" spans="1:13" outlineLevel="1" x14ac:dyDescent="0.2">
      <c r="A165">
        <v>2022</v>
      </c>
      <c r="B165" t="s">
        <v>59</v>
      </c>
      <c r="C165" s="3">
        <v>44709</v>
      </c>
      <c r="D165" s="3" t="s">
        <v>107</v>
      </c>
      <c r="E165" s="3" t="str">
        <f>VLOOKUP(Tabla2[[#This Row],[TIPUS]],Tarifas!$H$12:$I$26,2,0)</f>
        <v>FIX</v>
      </c>
      <c r="F165" t="s">
        <v>420</v>
      </c>
      <c r="G165">
        <v>184.69</v>
      </c>
      <c r="H165">
        <v>184.69</v>
      </c>
      <c r="I165">
        <v>0</v>
      </c>
    </row>
    <row r="166" spans="1:13" outlineLevel="1" x14ac:dyDescent="0.2">
      <c r="A166">
        <v>2022</v>
      </c>
      <c r="B166" t="s">
        <v>59</v>
      </c>
      <c r="C166" s="3">
        <v>44712</v>
      </c>
      <c r="D166" s="3" t="s">
        <v>107</v>
      </c>
      <c r="E166" s="3" t="str">
        <f>VLOOKUP(Tabla2[[#This Row],[TIPUS]],Tarifas!$H$12:$I$26,2,0)</f>
        <v>FIX</v>
      </c>
      <c r="F166" t="s">
        <v>420</v>
      </c>
      <c r="G166">
        <v>-239.59</v>
      </c>
      <c r="H166">
        <v>-239.59</v>
      </c>
      <c r="I166">
        <v>0</v>
      </c>
    </row>
    <row r="167" spans="1:13" outlineLevel="1" x14ac:dyDescent="0.2">
      <c r="A167">
        <v>2022</v>
      </c>
      <c r="B167" t="s">
        <v>59</v>
      </c>
      <c r="C167" s="3">
        <v>44712</v>
      </c>
      <c r="D167" s="3" t="s">
        <v>105</v>
      </c>
      <c r="E167" s="3" t="str">
        <f>VLOOKUP(Tabla2[[#This Row],[TIPUS]],Tarifas!$H$12:$I$26,2,0)</f>
        <v>FIX</v>
      </c>
      <c r="F167" t="s">
        <v>417</v>
      </c>
      <c r="G167">
        <v>212.4</v>
      </c>
      <c r="H167">
        <v>212.4</v>
      </c>
      <c r="I167">
        <v>0</v>
      </c>
    </row>
    <row r="168" spans="1:13" outlineLevel="1" x14ac:dyDescent="0.2">
      <c r="A168">
        <v>2022</v>
      </c>
      <c r="B168" t="s">
        <v>60</v>
      </c>
      <c r="C168" s="3">
        <v>44718</v>
      </c>
      <c r="D168" s="3" t="s">
        <v>104</v>
      </c>
      <c r="E168" s="3" t="str">
        <f>VLOOKUP(Tabla2[[#This Row],[TIPUS]],Tarifas!$H$12:$I$26,2,0)</f>
        <v>FIX</v>
      </c>
      <c r="F168" t="s">
        <v>158</v>
      </c>
      <c r="G168">
        <v>200</v>
      </c>
      <c r="H168">
        <v>200</v>
      </c>
      <c r="I168">
        <v>0</v>
      </c>
    </row>
    <row r="169" spans="1:13" outlineLevel="1" x14ac:dyDescent="0.2">
      <c r="A169">
        <v>2022</v>
      </c>
      <c r="B169" t="s">
        <v>60</v>
      </c>
      <c r="C169" s="3">
        <v>44718</v>
      </c>
      <c r="D169" s="3" t="s">
        <v>112</v>
      </c>
      <c r="E169" s="3" t="str">
        <f>VLOOKUP(Tabla2[[#This Row],[TIPUS]],Tarifas!$H$12:$I$26,2,0)</f>
        <v>FIX</v>
      </c>
      <c r="F169" t="s">
        <v>421</v>
      </c>
      <c r="G169">
        <v>62</v>
      </c>
      <c r="H169">
        <v>62</v>
      </c>
      <c r="I169">
        <v>0</v>
      </c>
    </row>
    <row r="170" spans="1:13" outlineLevel="1" x14ac:dyDescent="0.2">
      <c r="A170">
        <v>2022</v>
      </c>
      <c r="B170" t="s">
        <v>60</v>
      </c>
      <c r="C170" s="3">
        <v>44729</v>
      </c>
      <c r="D170" s="3" t="s">
        <v>104</v>
      </c>
      <c r="E170" s="3" t="str">
        <f>VLOOKUP(Tabla2[[#This Row],[TIPUS]],Tarifas!$H$12:$I$26,2,0)</f>
        <v>FIX</v>
      </c>
      <c r="F170" t="s">
        <v>421</v>
      </c>
      <c r="G170">
        <v>594.12</v>
      </c>
      <c r="H170">
        <v>594.12</v>
      </c>
      <c r="I170">
        <v>0</v>
      </c>
    </row>
    <row r="171" spans="1:13" outlineLevel="1" x14ac:dyDescent="0.2">
      <c r="A171">
        <v>2022</v>
      </c>
      <c r="B171" t="s">
        <v>60</v>
      </c>
      <c r="C171" s="3">
        <v>44729</v>
      </c>
      <c r="D171" s="3" t="s">
        <v>104</v>
      </c>
      <c r="E171" s="3" t="str">
        <f>VLOOKUP(Tabla2[[#This Row],[TIPUS]],Tarifas!$H$12:$I$26,2,0)</f>
        <v>FIX</v>
      </c>
      <c r="F171" t="s">
        <v>421</v>
      </c>
      <c r="G171">
        <v>150</v>
      </c>
      <c r="H171">
        <v>0</v>
      </c>
      <c r="I171">
        <v>150</v>
      </c>
    </row>
    <row r="172" spans="1:13" outlineLevel="1" x14ac:dyDescent="0.2">
      <c r="A172">
        <v>2022</v>
      </c>
      <c r="B172" t="s">
        <v>60</v>
      </c>
      <c r="C172" s="3">
        <v>44729</v>
      </c>
      <c r="D172" s="3" t="s">
        <v>104</v>
      </c>
      <c r="E172" s="3" t="str">
        <f>VLOOKUP(Tabla2[[#This Row],[TIPUS]],Tarifas!$H$12:$I$26,2,0)</f>
        <v>FIX</v>
      </c>
      <c r="F172" t="s">
        <v>412</v>
      </c>
      <c r="G172">
        <v>0</v>
      </c>
      <c r="H172">
        <v>0</v>
      </c>
      <c r="I172">
        <v>0</v>
      </c>
    </row>
    <row r="173" spans="1:13" outlineLevel="1" x14ac:dyDescent="0.2">
      <c r="A173">
        <v>2022</v>
      </c>
      <c r="B173" t="s">
        <v>60</v>
      </c>
      <c r="C173" s="3">
        <v>44729</v>
      </c>
      <c r="D173" s="3" t="s">
        <v>114</v>
      </c>
      <c r="E173" s="3" t="str">
        <f>VLOOKUP(Tabla2[[#This Row],[TIPUS]],Tarifas!$H$12:$I$26,2,0)</f>
        <v>VARIABLE</v>
      </c>
      <c r="F173" t="s">
        <v>206</v>
      </c>
      <c r="G173">
        <v>22.5</v>
      </c>
      <c r="H173">
        <v>22.5</v>
      </c>
      <c r="I173">
        <v>0</v>
      </c>
    </row>
    <row r="174" spans="1:13" outlineLevel="1" x14ac:dyDescent="0.2">
      <c r="A174">
        <v>2022</v>
      </c>
      <c r="B174" t="s">
        <v>60</v>
      </c>
      <c r="C174" s="3">
        <v>44741</v>
      </c>
      <c r="D174" s="3" t="s">
        <v>162</v>
      </c>
      <c r="E174" s="3" t="str">
        <f>VLOOKUP(Tabla2[[#This Row],[TIPUS]],Tarifas!$H$12:$I$26,2,0)</f>
        <v>VARIABLE</v>
      </c>
      <c r="F174" t="s">
        <v>408</v>
      </c>
      <c r="G174">
        <v>100</v>
      </c>
      <c r="H174">
        <v>0</v>
      </c>
      <c r="I174">
        <v>100</v>
      </c>
      <c r="M174">
        <v>810.59</v>
      </c>
    </row>
    <row r="175" spans="1:13" outlineLevel="1" x14ac:dyDescent="0.2">
      <c r="A175">
        <v>2022</v>
      </c>
      <c r="B175" t="s">
        <v>60</v>
      </c>
      <c r="C175" s="3">
        <v>44741</v>
      </c>
      <c r="D175" s="3" t="s">
        <v>114</v>
      </c>
      <c r="E175" s="3" t="str">
        <f>VLOOKUP(Tabla2[[#This Row],[TIPUS]],Tarifas!$H$12:$I$26,2,0)</f>
        <v>VARIABLE</v>
      </c>
      <c r="F175" t="s">
        <v>422</v>
      </c>
      <c r="G175">
        <v>150</v>
      </c>
      <c r="H175">
        <v>150</v>
      </c>
      <c r="I175">
        <v>0</v>
      </c>
    </row>
    <row r="176" spans="1:13" outlineLevel="1" x14ac:dyDescent="0.2">
      <c r="A176">
        <v>2022</v>
      </c>
      <c r="B176" t="s">
        <v>61</v>
      </c>
      <c r="C176" s="3">
        <v>44743</v>
      </c>
      <c r="D176" s="3" t="s">
        <v>114</v>
      </c>
      <c r="E176" s="3" t="str">
        <f>VLOOKUP(Tabla2[[#This Row],[TIPUS]],Tarifas!$H$12:$I$26,2,0)</f>
        <v>VARIABLE</v>
      </c>
      <c r="F176" t="s">
        <v>206</v>
      </c>
      <c r="G176">
        <v>17.100000000000001</v>
      </c>
      <c r="H176">
        <v>17.100000000000001</v>
      </c>
      <c r="I176">
        <v>0</v>
      </c>
    </row>
    <row r="177" spans="1:17" outlineLevel="1" x14ac:dyDescent="0.2">
      <c r="A177">
        <v>2022</v>
      </c>
      <c r="B177" t="s">
        <v>61</v>
      </c>
      <c r="C177" s="3">
        <v>44750</v>
      </c>
      <c r="D177" s="3" t="s">
        <v>114</v>
      </c>
      <c r="E177" s="3" t="str">
        <f>VLOOKUP(Tabla2[[#This Row],[TIPUS]],Tarifas!$H$12:$I$26,2,0)</f>
        <v>VARIABLE</v>
      </c>
      <c r="F177" t="s">
        <v>409</v>
      </c>
      <c r="G177">
        <v>35</v>
      </c>
      <c r="H177">
        <v>0</v>
      </c>
      <c r="I177">
        <v>35</v>
      </c>
    </row>
    <row r="178" spans="1:17" outlineLevel="1" x14ac:dyDescent="0.2">
      <c r="A178">
        <v>2022</v>
      </c>
      <c r="B178" t="s">
        <v>61</v>
      </c>
      <c r="C178" s="3">
        <v>44750</v>
      </c>
      <c r="D178" s="3" t="s">
        <v>104</v>
      </c>
      <c r="E178" s="3" t="str">
        <f>VLOOKUP(Tabla2[[#This Row],[TIPUS]],Tarifas!$H$12:$I$26,2,0)</f>
        <v>FIX</v>
      </c>
      <c r="F178" t="s">
        <v>423</v>
      </c>
      <c r="G178">
        <v>150</v>
      </c>
      <c r="H178">
        <v>0</v>
      </c>
      <c r="I178">
        <v>150</v>
      </c>
    </row>
    <row r="179" spans="1:17" outlineLevel="1" x14ac:dyDescent="0.2">
      <c r="A179">
        <v>2022</v>
      </c>
      <c r="B179" t="s">
        <v>61</v>
      </c>
      <c r="C179" s="3">
        <v>44746</v>
      </c>
      <c r="D179" s="3" t="s">
        <v>112</v>
      </c>
      <c r="E179" s="3" t="str">
        <f>VLOOKUP(Tabla2[[#This Row],[TIPUS]],Tarifas!$H$12:$I$26,2,0)</f>
        <v>FIX</v>
      </c>
      <c r="F179" t="s">
        <v>425</v>
      </c>
      <c r="G179">
        <v>18</v>
      </c>
      <c r="H179">
        <v>18</v>
      </c>
      <c r="I179">
        <v>0</v>
      </c>
    </row>
    <row r="180" spans="1:17" outlineLevel="1" x14ac:dyDescent="0.2">
      <c r="A180">
        <v>2022</v>
      </c>
      <c r="B180" t="s">
        <v>61</v>
      </c>
      <c r="C180" s="3">
        <v>44756</v>
      </c>
      <c r="D180" s="3" t="s">
        <v>104</v>
      </c>
      <c r="E180" s="3" t="str">
        <f>VLOOKUP(Tabla2[[#This Row],[TIPUS]],Tarifas!$H$12:$I$26,2,0)</f>
        <v>FIX</v>
      </c>
      <c r="F180" t="s">
        <v>423</v>
      </c>
      <c r="G180">
        <v>408</v>
      </c>
      <c r="H180">
        <v>408</v>
      </c>
      <c r="I180">
        <v>0</v>
      </c>
      <c r="M180">
        <v>586.87</v>
      </c>
      <c r="N180" t="s">
        <v>430</v>
      </c>
      <c r="O180" t="s">
        <v>413</v>
      </c>
    </row>
    <row r="181" spans="1:17" outlineLevel="1" x14ac:dyDescent="0.2">
      <c r="A181">
        <v>2022</v>
      </c>
      <c r="B181" t="s">
        <v>61</v>
      </c>
      <c r="C181" s="3">
        <v>44762</v>
      </c>
      <c r="D181" s="3" t="s">
        <v>188</v>
      </c>
      <c r="E181" s="3" t="str">
        <f>VLOOKUP(Tabla2[[#This Row],[TIPUS]],Tarifas!$H$12:$I$26,2,0)</f>
        <v>IMPOSTOS</v>
      </c>
      <c r="F181" t="s">
        <v>426</v>
      </c>
      <c r="G181">
        <v>507.83</v>
      </c>
      <c r="H181">
        <v>507.83</v>
      </c>
      <c r="I181">
        <v>0</v>
      </c>
      <c r="L181" t="s">
        <v>428</v>
      </c>
      <c r="M181">
        <v>392.28</v>
      </c>
      <c r="N181">
        <v>3270</v>
      </c>
      <c r="O181">
        <v>2515</v>
      </c>
      <c r="P181">
        <f>N181+O181</f>
        <v>5785</v>
      </c>
      <c r="Q181">
        <f>M181/P181</f>
        <v>6.7809853068280024E-2</v>
      </c>
    </row>
    <row r="182" spans="1:17" outlineLevel="1" x14ac:dyDescent="0.2">
      <c r="A182">
        <v>2022</v>
      </c>
      <c r="B182" t="s">
        <v>61</v>
      </c>
      <c r="C182" s="3">
        <v>44762</v>
      </c>
      <c r="D182" s="3" t="s">
        <v>188</v>
      </c>
      <c r="E182" s="3" t="str">
        <f>VLOOKUP(Tabla2[[#This Row],[TIPUS]],Tarifas!$H$12:$I$26,2,0)</f>
        <v>IMPOSTOS</v>
      </c>
      <c r="F182" t="s">
        <v>427</v>
      </c>
      <c r="G182">
        <f>76+586.87</f>
        <v>662.87</v>
      </c>
      <c r="H182">
        <f>76+586.87</f>
        <v>662.87</v>
      </c>
      <c r="I182">
        <v>0</v>
      </c>
      <c r="L182" t="s">
        <v>429</v>
      </c>
      <c r="M182">
        <f>M180</f>
        <v>586.87</v>
      </c>
      <c r="N182">
        <v>2075</v>
      </c>
      <c r="O182">
        <v>1080</v>
      </c>
      <c r="P182">
        <f>N182+O182</f>
        <v>3155</v>
      </c>
      <c r="Q182">
        <f>M182/P182</f>
        <v>0.18601267828843107</v>
      </c>
    </row>
    <row r="183" spans="1:17" outlineLevel="1" x14ac:dyDescent="0.2">
      <c r="A183">
        <v>2022</v>
      </c>
      <c r="B183" t="s">
        <v>61</v>
      </c>
      <c r="C183" s="3">
        <v>44767</v>
      </c>
      <c r="D183" s="3" t="s">
        <v>112</v>
      </c>
      <c r="E183" s="3" t="str">
        <f>VLOOKUP(Tabla2[[#This Row],[TIPUS]],Tarifas!$H$12:$I$26,2,0)</f>
        <v>FIX</v>
      </c>
      <c r="F183" t="s">
        <v>431</v>
      </c>
      <c r="G183">
        <v>62</v>
      </c>
      <c r="H183">
        <v>62</v>
      </c>
      <c r="I183">
        <v>0</v>
      </c>
    </row>
    <row r="184" spans="1:17" outlineLevel="1" x14ac:dyDescent="0.2">
      <c r="A184">
        <v>2022</v>
      </c>
      <c r="B184" t="s">
        <v>61</v>
      </c>
      <c r="C184" s="3">
        <v>44771</v>
      </c>
      <c r="D184" s="3" t="s">
        <v>105</v>
      </c>
      <c r="E184" s="3" t="str">
        <f>VLOOKUP(Tabla2[[#This Row],[TIPUS]],Tarifas!$H$12:$I$26,2,0)</f>
        <v>FIX</v>
      </c>
      <c r="F184" t="s">
        <v>425</v>
      </c>
      <c r="G184">
        <v>2.82</v>
      </c>
      <c r="H184">
        <v>2.82</v>
      </c>
      <c r="I184">
        <v>0</v>
      </c>
      <c r="L184">
        <v>284.24</v>
      </c>
      <c r="M184">
        <f>L184-30</f>
        <v>254.24</v>
      </c>
      <c r="N184">
        <f>M184/3</f>
        <v>84.74666666666667</v>
      </c>
    </row>
    <row r="185" spans="1:17" outlineLevel="1" x14ac:dyDescent="0.2">
      <c r="A185">
        <v>2022</v>
      </c>
      <c r="B185" t="s">
        <v>61</v>
      </c>
      <c r="C185" s="3">
        <v>44771</v>
      </c>
      <c r="D185" s="3" t="s">
        <v>114</v>
      </c>
      <c r="E185" s="3" t="str">
        <f>VLOOKUP(Tabla2[[#This Row],[TIPUS]],Tarifas!$H$12:$I$26,2,0)</f>
        <v>VARIABLE</v>
      </c>
      <c r="F185" t="s">
        <v>182</v>
      </c>
      <c r="G185">
        <v>55.27</v>
      </c>
      <c r="H185">
        <v>0</v>
      </c>
      <c r="I185">
        <v>55.27</v>
      </c>
    </row>
    <row r="186" spans="1:17" outlineLevel="1" x14ac:dyDescent="0.2">
      <c r="A186">
        <v>2022</v>
      </c>
      <c r="B186" t="s">
        <v>62</v>
      </c>
      <c r="C186" s="3">
        <v>44783</v>
      </c>
      <c r="D186" s="3" t="s">
        <v>104</v>
      </c>
      <c r="E186" s="3" t="str">
        <f>VLOOKUP(Tabla2[[#This Row],[TIPUS]],Tarifas!$H$12:$I$26,2,0)</f>
        <v>FIX</v>
      </c>
      <c r="F186" t="s">
        <v>432</v>
      </c>
      <c r="G186">
        <v>558</v>
      </c>
      <c r="H186">
        <v>408</v>
      </c>
      <c r="I186">
        <v>150</v>
      </c>
      <c r="L186">
        <f>810.59-408</f>
        <v>402.59000000000003</v>
      </c>
      <c r="M186">
        <f>L186-30</f>
        <v>372.59000000000003</v>
      </c>
      <c r="N186">
        <f>M186/3</f>
        <v>124.19666666666667</v>
      </c>
    </row>
    <row r="187" spans="1:17" outlineLevel="1" x14ac:dyDescent="0.2">
      <c r="A187">
        <v>2022</v>
      </c>
      <c r="B187" t="s">
        <v>62</v>
      </c>
      <c r="C187" s="3">
        <v>44783</v>
      </c>
      <c r="D187" s="3" t="s">
        <v>110</v>
      </c>
      <c r="E187" s="3" t="str">
        <f>VLOOKUP(Tabla2[[#This Row],[TIPUS]],Tarifas!$H$12:$I$26,2,0)</f>
        <v>VARIABLE</v>
      </c>
      <c r="F187" t="s">
        <v>293</v>
      </c>
      <c r="G187">
        <f>M174-G186</f>
        <v>252.59000000000003</v>
      </c>
      <c r="H187">
        <f>M174-H186</f>
        <v>402.59000000000003</v>
      </c>
      <c r="I187">
        <v>0</v>
      </c>
    </row>
    <row r="188" spans="1:17" outlineLevel="1" x14ac:dyDescent="0.2">
      <c r="A188">
        <v>2022</v>
      </c>
      <c r="B188" t="s">
        <v>62</v>
      </c>
      <c r="C188" s="3">
        <v>44783</v>
      </c>
      <c r="D188" s="3" t="s">
        <v>114</v>
      </c>
      <c r="E188" s="3" t="str">
        <f>VLOOKUP(Tabla2[[#This Row],[TIPUS]],Tarifas!$H$12:$I$26,2,0)</f>
        <v>VARIABLE</v>
      </c>
      <c r="F188" t="s">
        <v>433</v>
      </c>
      <c r="G188">
        <f>820.4-G187-G186</f>
        <v>9.8099999999999454</v>
      </c>
      <c r="H188">
        <f>820.4-H187-H186</f>
        <v>9.8099999999999454</v>
      </c>
      <c r="I188">
        <v>0</v>
      </c>
    </row>
    <row r="189" spans="1:17" outlineLevel="1" x14ac:dyDescent="0.2">
      <c r="A189">
        <v>2022</v>
      </c>
      <c r="B189" t="s">
        <v>62</v>
      </c>
      <c r="C189" s="3">
        <v>44798</v>
      </c>
      <c r="D189" s="3" t="s">
        <v>112</v>
      </c>
      <c r="E189" s="3" t="str">
        <f>VLOOKUP(Tabla2[[#This Row],[TIPUS]],Tarifas!$H$12:$I$26,2,0)</f>
        <v>FIX</v>
      </c>
      <c r="F189" t="s">
        <v>432</v>
      </c>
      <c r="G189">
        <v>62</v>
      </c>
      <c r="H189">
        <v>62</v>
      </c>
      <c r="I189">
        <v>0</v>
      </c>
    </row>
    <row r="190" spans="1:17" outlineLevel="1" x14ac:dyDescent="0.2">
      <c r="A190">
        <v>2022</v>
      </c>
      <c r="B190" t="s">
        <v>236</v>
      </c>
      <c r="C190" s="3">
        <v>44809</v>
      </c>
      <c r="D190" s="3" t="s">
        <v>114</v>
      </c>
      <c r="E190" s="3" t="str">
        <f>VLOOKUP(Tabla2[[#This Row],[TIPUS]],Tarifas!$H$12:$I$26,2,0)</f>
        <v>VARIABLE</v>
      </c>
      <c r="F190" t="s">
        <v>206</v>
      </c>
      <c r="G190">
        <v>20.7</v>
      </c>
      <c r="H190">
        <v>20.7</v>
      </c>
      <c r="I190">
        <v>0</v>
      </c>
    </row>
    <row r="191" spans="1:17" outlineLevel="1" x14ac:dyDescent="0.2">
      <c r="A191">
        <v>2022</v>
      </c>
      <c r="B191" t="s">
        <v>236</v>
      </c>
      <c r="C191" s="3">
        <v>44816</v>
      </c>
      <c r="D191" s="3" t="s">
        <v>104</v>
      </c>
      <c r="E191" s="3" t="str">
        <f>VLOOKUP(Tabla2[[#This Row],[TIPUS]],Tarifas!$H$12:$I$26,2,0)</f>
        <v>FIX</v>
      </c>
      <c r="F191" t="s">
        <v>438</v>
      </c>
      <c r="G191">
        <v>558</v>
      </c>
      <c r="H191">
        <v>408</v>
      </c>
      <c r="I191">
        <v>150</v>
      </c>
    </row>
    <row r="192" spans="1:17" outlineLevel="1" x14ac:dyDescent="0.2">
      <c r="A192">
        <v>2022</v>
      </c>
      <c r="B192" t="s">
        <v>236</v>
      </c>
      <c r="C192" s="3">
        <v>44829</v>
      </c>
      <c r="D192" s="3" t="s">
        <v>162</v>
      </c>
      <c r="E192" s="3" t="str">
        <f>VLOOKUP(Tabla2[[#This Row],[TIPUS]],Tarifas!$H$12:$I$26,2,0)</f>
        <v>VARIABLE</v>
      </c>
      <c r="F192" t="s">
        <v>410</v>
      </c>
      <c r="G192">
        <v>120</v>
      </c>
      <c r="H192">
        <v>120</v>
      </c>
      <c r="I192">
        <v>0</v>
      </c>
    </row>
    <row r="193" spans="1:9" outlineLevel="1" x14ac:dyDescent="0.2">
      <c r="A193">
        <v>2022</v>
      </c>
      <c r="B193" t="s">
        <v>236</v>
      </c>
      <c r="C193" s="3">
        <v>44831</v>
      </c>
      <c r="D193" s="3" t="s">
        <v>114</v>
      </c>
      <c r="E193" s="3" t="str">
        <f>VLOOKUP(Tabla2[[#This Row],[TIPUS]],Tarifas!$H$12:$I$26,2,0)</f>
        <v>VARIABLE</v>
      </c>
      <c r="F193" t="s">
        <v>442</v>
      </c>
      <c r="G193">
        <v>77.37</v>
      </c>
      <c r="H193">
        <v>77.37</v>
      </c>
      <c r="I193">
        <v>0</v>
      </c>
    </row>
    <row r="194" spans="1:9" outlineLevel="1" x14ac:dyDescent="0.2">
      <c r="A194">
        <v>2022</v>
      </c>
      <c r="B194" t="s">
        <v>236</v>
      </c>
      <c r="C194" s="3">
        <v>44832</v>
      </c>
      <c r="D194" s="3" t="s">
        <v>114</v>
      </c>
      <c r="E194" s="3" t="str">
        <f>VLOOKUP(Tabla2[[#This Row],[TIPUS]],Tarifas!$H$12:$I$26,2,0)</f>
        <v>VARIABLE</v>
      </c>
      <c r="F194" t="s">
        <v>443</v>
      </c>
      <c r="G194">
        <v>238.35</v>
      </c>
      <c r="H194">
        <v>238.35</v>
      </c>
      <c r="I194">
        <v>0</v>
      </c>
    </row>
    <row r="195" spans="1:9" outlineLevel="1" x14ac:dyDescent="0.2">
      <c r="A195">
        <v>2022</v>
      </c>
      <c r="B195" t="s">
        <v>63</v>
      </c>
      <c r="C195" s="3">
        <v>44846</v>
      </c>
      <c r="D195" s="3" t="s">
        <v>104</v>
      </c>
      <c r="E195" s="3" t="str">
        <f>VLOOKUP(Tabla2[[#This Row],[TIPUS]],Tarifas!$H$12:$I$26,2,0)</f>
        <v>FIX</v>
      </c>
      <c r="F195" t="s">
        <v>449</v>
      </c>
      <c r="G195">
        <v>558</v>
      </c>
      <c r="H195">
        <v>408</v>
      </c>
      <c r="I195">
        <v>150</v>
      </c>
    </row>
    <row r="196" spans="1:9" outlineLevel="1" x14ac:dyDescent="0.2">
      <c r="A196">
        <v>2022</v>
      </c>
      <c r="B196" t="s">
        <v>63</v>
      </c>
      <c r="C196" s="3">
        <v>44854</v>
      </c>
      <c r="D196" s="3" t="s">
        <v>188</v>
      </c>
      <c r="E196" s="3" t="str">
        <f>VLOOKUP(Tabla2[[#This Row],[TIPUS]],Tarifas!$H$12:$I$26,2,0)</f>
        <v>IMPOSTOS</v>
      </c>
      <c r="F196" t="s">
        <v>316</v>
      </c>
      <c r="G196">
        <f>567.64+92.87+228-283.5</f>
        <v>605.01</v>
      </c>
      <c r="H196">
        <f>567.64+92.87+228-283.5</f>
        <v>605.01</v>
      </c>
      <c r="I196">
        <v>0</v>
      </c>
    </row>
    <row r="197" spans="1:9" outlineLevel="1" x14ac:dyDescent="0.2">
      <c r="A197">
        <v>2022</v>
      </c>
      <c r="B197" t="s">
        <v>63</v>
      </c>
      <c r="C197" s="3">
        <v>44854</v>
      </c>
      <c r="D197" s="3" t="s">
        <v>112</v>
      </c>
      <c r="E197" s="3" t="str">
        <f>VLOOKUP(Tabla2[[#This Row],[TIPUS]],Tarifas!$H$12:$I$26,2,0)</f>
        <v>FIX</v>
      </c>
      <c r="F197" t="s">
        <v>449</v>
      </c>
      <c r="G197">
        <v>62</v>
      </c>
      <c r="H197">
        <v>62</v>
      </c>
      <c r="I197">
        <v>0</v>
      </c>
    </row>
    <row r="198" spans="1:9" outlineLevel="1" x14ac:dyDescent="0.2">
      <c r="A198">
        <v>2022</v>
      </c>
      <c r="B198" t="s">
        <v>63</v>
      </c>
      <c r="C198" s="3">
        <v>44865</v>
      </c>
      <c r="D198" s="3" t="s">
        <v>162</v>
      </c>
      <c r="E198" s="3" t="str">
        <f>VLOOKUP(Tabla2[[#This Row],[TIPUS]],Tarifas!$H$12:$I$26,2,0)</f>
        <v>VARIABLE</v>
      </c>
      <c r="F198" t="s">
        <v>453</v>
      </c>
      <c r="G198">
        <v>150</v>
      </c>
      <c r="H198">
        <v>0</v>
      </c>
      <c r="I198">
        <v>150</v>
      </c>
    </row>
    <row r="199" spans="1:9" outlineLevel="1" x14ac:dyDescent="0.2">
      <c r="A199">
        <v>2022</v>
      </c>
      <c r="B199" t="s">
        <v>64</v>
      </c>
      <c r="C199" s="3">
        <v>44879</v>
      </c>
      <c r="D199" s="3" t="s">
        <v>104</v>
      </c>
      <c r="E199" s="3" t="str">
        <f>VLOOKUP(Tabla2[[#This Row],[TIPUS]],Tarifas!$H$12:$I$26,2,0)</f>
        <v>FIX</v>
      </c>
      <c r="F199" t="s">
        <v>454</v>
      </c>
      <c r="G199">
        <v>558</v>
      </c>
      <c r="H199">
        <v>408</v>
      </c>
      <c r="I199">
        <v>150</v>
      </c>
    </row>
    <row r="200" spans="1:9" outlineLevel="1" x14ac:dyDescent="0.2">
      <c r="A200">
        <v>2022</v>
      </c>
      <c r="B200" t="s">
        <v>64</v>
      </c>
      <c r="C200" s="3">
        <v>44879</v>
      </c>
      <c r="D200" s="3" t="s">
        <v>110</v>
      </c>
      <c r="E200" s="3" t="str">
        <f>VLOOKUP(Tabla2[[#This Row],[TIPUS]],Tarifas!$H$12:$I$26,2,0)</f>
        <v>VARIABLE</v>
      </c>
      <c r="F200" t="s">
        <v>455</v>
      </c>
      <c r="G200">
        <v>818.43000000000006</v>
      </c>
      <c r="H200">
        <v>818.43</v>
      </c>
      <c r="I200">
        <v>0</v>
      </c>
    </row>
    <row r="201" spans="1:9" outlineLevel="1" x14ac:dyDescent="0.2">
      <c r="A201">
        <v>2022</v>
      </c>
      <c r="B201" t="s">
        <v>64</v>
      </c>
      <c r="C201" s="3">
        <v>44890</v>
      </c>
      <c r="D201" s="3" t="s">
        <v>112</v>
      </c>
      <c r="E201" s="3" t="str">
        <f>VLOOKUP(Tabla2[[#This Row],[TIPUS]],Tarifas!$H$12:$I$26,2,0)</f>
        <v>FIX</v>
      </c>
      <c r="F201" t="s">
        <v>456</v>
      </c>
      <c r="G201">
        <v>62.3</v>
      </c>
      <c r="H201">
        <v>62.3</v>
      </c>
      <c r="I201">
        <v>0</v>
      </c>
    </row>
    <row r="202" spans="1:9" outlineLevel="1" x14ac:dyDescent="0.2">
      <c r="A202">
        <v>2022</v>
      </c>
      <c r="B202" t="s">
        <v>64</v>
      </c>
      <c r="C202" s="3">
        <v>44890</v>
      </c>
      <c r="D202" s="3" t="s">
        <v>162</v>
      </c>
      <c r="E202" s="3" t="str">
        <f>VLOOKUP(Tabla2[[#This Row],[TIPUS]],Tarifas!$H$12:$I$26,2,0)</f>
        <v>VARIABLE</v>
      </c>
      <c r="F202" t="s">
        <v>410</v>
      </c>
      <c r="G202">
        <v>160</v>
      </c>
      <c r="H202">
        <v>160</v>
      </c>
      <c r="I202">
        <v>0</v>
      </c>
    </row>
    <row r="203" spans="1:9" outlineLevel="1" x14ac:dyDescent="0.2">
      <c r="A203">
        <v>2022</v>
      </c>
      <c r="B203" t="s">
        <v>64</v>
      </c>
      <c r="C203" s="3">
        <v>44890</v>
      </c>
      <c r="D203" s="3" t="s">
        <v>114</v>
      </c>
      <c r="E203" s="3" t="str">
        <f>VLOOKUP(Tabla2[[#This Row],[TIPUS]],Tarifas!$H$12:$I$26,2,0)</f>
        <v>VARIABLE</v>
      </c>
      <c r="F203" t="s">
        <v>442</v>
      </c>
      <c r="G203">
        <v>26.12</v>
      </c>
      <c r="H203">
        <v>26.12</v>
      </c>
      <c r="I203">
        <v>0</v>
      </c>
    </row>
    <row r="204" spans="1:9" outlineLevel="1" x14ac:dyDescent="0.2">
      <c r="A204">
        <v>2022</v>
      </c>
      <c r="B204" t="s">
        <v>65</v>
      </c>
      <c r="C204" s="3">
        <v>44908</v>
      </c>
      <c r="D204" s="3" t="s">
        <v>104</v>
      </c>
      <c r="E204" s="3" t="str">
        <f>VLOOKUP(Tabla2[[#This Row],[TIPUS]],Tarifas!$H$12:$I$26,2,0)</f>
        <v>FIX</v>
      </c>
      <c r="F204" t="s">
        <v>461</v>
      </c>
      <c r="G204">
        <v>558</v>
      </c>
      <c r="H204">
        <v>408</v>
      </c>
      <c r="I204">
        <v>150</v>
      </c>
    </row>
    <row r="205" spans="1:9" outlineLevel="1" x14ac:dyDescent="0.2">
      <c r="A205">
        <v>2022</v>
      </c>
      <c r="B205" t="s">
        <v>65</v>
      </c>
      <c r="C205" s="3">
        <v>44908</v>
      </c>
      <c r="D205" s="3" t="s">
        <v>112</v>
      </c>
      <c r="E205" s="3" t="str">
        <f>VLOOKUP(Tabla2[[#This Row],[TIPUS]],Tarifas!$H$12:$I$26,2,0)</f>
        <v>FIX</v>
      </c>
      <c r="F205" t="s">
        <v>480</v>
      </c>
      <c r="G205">
        <v>62</v>
      </c>
      <c r="H205">
        <v>62</v>
      </c>
      <c r="I205">
        <v>0</v>
      </c>
    </row>
    <row r="206" spans="1:9" x14ac:dyDescent="0.2">
      <c r="A206">
        <v>2023</v>
      </c>
      <c r="B206" t="s">
        <v>48</v>
      </c>
      <c r="C206" s="3">
        <v>44930</v>
      </c>
      <c r="D206" s="3" t="s">
        <v>162</v>
      </c>
      <c r="E206" s="3" t="str">
        <f>VLOOKUP(Tabla2[[#This Row],[TIPUS]],Tarifas!$H$12:$I$26,2,0)</f>
        <v>VARIABLE</v>
      </c>
      <c r="F206" t="s">
        <v>410</v>
      </c>
      <c r="G206">
        <v>260</v>
      </c>
      <c r="H206">
        <v>0</v>
      </c>
      <c r="I206">
        <v>260</v>
      </c>
    </row>
    <row r="207" spans="1:9" x14ac:dyDescent="0.2">
      <c r="A207">
        <v>2023</v>
      </c>
      <c r="B207" t="s">
        <v>48</v>
      </c>
      <c r="C207" s="3">
        <v>44930</v>
      </c>
      <c r="D207" s="3" t="s">
        <v>114</v>
      </c>
      <c r="E207" s="3" t="str">
        <f>VLOOKUP(Tabla2[[#This Row],[TIPUS]],Tarifas!$H$12:$I$26,2,0)</f>
        <v>VARIABLE</v>
      </c>
      <c r="F207" t="s">
        <v>206</v>
      </c>
      <c r="G207">
        <v>44</v>
      </c>
      <c r="H207">
        <v>44</v>
      </c>
      <c r="I207">
        <v>0</v>
      </c>
    </row>
    <row r="208" spans="1:9" x14ac:dyDescent="0.2">
      <c r="A208">
        <v>2023</v>
      </c>
      <c r="B208" t="s">
        <v>48</v>
      </c>
      <c r="C208" s="3">
        <v>44936</v>
      </c>
      <c r="D208" s="3" t="s">
        <v>104</v>
      </c>
      <c r="E208" s="3" t="str">
        <f>VLOOKUP(Tabla2[[#This Row],[TIPUS]],Tarifas!$H$12:$I$26,2,0)</f>
        <v>FIX</v>
      </c>
      <c r="F208" t="s">
        <v>468</v>
      </c>
      <c r="G208">
        <v>558</v>
      </c>
      <c r="H208">
        <v>408</v>
      </c>
      <c r="I208">
        <v>150</v>
      </c>
    </row>
    <row r="209" spans="1:9" x14ac:dyDescent="0.2">
      <c r="A209">
        <v>2023</v>
      </c>
      <c r="B209" t="s">
        <v>48</v>
      </c>
      <c r="C209" s="3">
        <v>44936</v>
      </c>
      <c r="D209" s="3" t="s">
        <v>110</v>
      </c>
      <c r="E209" s="3" t="str">
        <f>VLOOKUP(Tabla2[[#This Row],[TIPUS]],Tarifas!$H$12:$I$26,2,0)</f>
        <v>VARIABLE</v>
      </c>
      <c r="F209" t="s">
        <v>469</v>
      </c>
      <c r="G209" s="176">
        <f>271.55*1.21</f>
        <v>328.57549999999998</v>
      </c>
      <c r="H209" s="176">
        <f>271.55*1.21</f>
        <v>328.57549999999998</v>
      </c>
      <c r="I209">
        <v>0</v>
      </c>
    </row>
    <row r="210" spans="1:9" x14ac:dyDescent="0.2">
      <c r="A210">
        <v>2023</v>
      </c>
      <c r="B210" t="s">
        <v>48</v>
      </c>
      <c r="C210" s="3">
        <v>44936</v>
      </c>
      <c r="D210" s="3" t="s">
        <v>111</v>
      </c>
      <c r="E210" s="3" t="str">
        <f>VLOOKUP(Tabla2[[#This Row],[TIPUS]],Tarifas!$H$12:$I$26,2,0)</f>
        <v>VARIABLE</v>
      </c>
      <c r="F210" t="s">
        <v>470</v>
      </c>
      <c r="G210" s="176">
        <f>110.76*1.21</f>
        <v>134.0196</v>
      </c>
      <c r="H210" s="176">
        <f>110.76*1.21</f>
        <v>134.0196</v>
      </c>
      <c r="I210">
        <v>0</v>
      </c>
    </row>
    <row r="211" spans="1:9" x14ac:dyDescent="0.2">
      <c r="A211">
        <v>2023</v>
      </c>
      <c r="B211" t="s">
        <v>48</v>
      </c>
      <c r="C211" s="3">
        <v>44940</v>
      </c>
      <c r="D211" s="3" t="s">
        <v>108</v>
      </c>
      <c r="E211" s="3" t="str">
        <f>VLOOKUP(Tabla2[[#This Row],[TIPUS]],Tarifas!$H$12:$I$26,2,0)</f>
        <v>FIX</v>
      </c>
      <c r="F211" t="s">
        <v>108</v>
      </c>
      <c r="G211">
        <v>18</v>
      </c>
      <c r="H211">
        <v>18</v>
      </c>
      <c r="I211">
        <v>0</v>
      </c>
    </row>
    <row r="212" spans="1:9" x14ac:dyDescent="0.2">
      <c r="A212">
        <v>2023</v>
      </c>
      <c r="B212" t="s">
        <v>48</v>
      </c>
      <c r="C212" s="3">
        <v>44940</v>
      </c>
      <c r="D212" s="3" t="s">
        <v>114</v>
      </c>
      <c r="E212" s="3" t="str">
        <f>VLOOKUP(Tabla2[[#This Row],[TIPUS]],Tarifas!$H$12:$I$26,2,0)</f>
        <v>VARIABLE</v>
      </c>
      <c r="F212" t="s">
        <v>375</v>
      </c>
      <c r="G212">
        <v>26.61</v>
      </c>
      <c r="H212">
        <v>26.61</v>
      </c>
      <c r="I212">
        <v>0</v>
      </c>
    </row>
    <row r="213" spans="1:9" x14ac:dyDescent="0.2">
      <c r="A213">
        <v>2023</v>
      </c>
      <c r="B213" t="s">
        <v>48</v>
      </c>
      <c r="C213" s="3">
        <v>44940</v>
      </c>
      <c r="D213" s="3" t="s">
        <v>114</v>
      </c>
      <c r="E213" s="3" t="str">
        <f>VLOOKUP(Tabla2[[#This Row],[TIPUS]],Tarifas!$H$12:$I$26,2,0)</f>
        <v>VARIABLE</v>
      </c>
      <c r="F213" t="s">
        <v>472</v>
      </c>
      <c r="G213">
        <v>31.82</v>
      </c>
      <c r="H213">
        <v>31.82</v>
      </c>
      <c r="I213">
        <v>0</v>
      </c>
    </row>
    <row r="214" spans="1:9" x14ac:dyDescent="0.2">
      <c r="A214">
        <v>2023</v>
      </c>
      <c r="B214" t="s">
        <v>48</v>
      </c>
      <c r="C214" s="3">
        <v>44941</v>
      </c>
      <c r="D214" s="3" t="s">
        <v>114</v>
      </c>
      <c r="E214" s="3" t="str">
        <f>VLOOKUP(Tabla2[[#This Row],[TIPUS]],Tarifas!$H$12:$I$26,2,0)</f>
        <v>VARIABLE</v>
      </c>
      <c r="F214" t="s">
        <v>474</v>
      </c>
      <c r="G214">
        <v>34</v>
      </c>
      <c r="H214">
        <v>34</v>
      </c>
      <c r="I214">
        <v>0</v>
      </c>
    </row>
    <row r="215" spans="1:9" x14ac:dyDescent="0.2">
      <c r="A215">
        <v>2023</v>
      </c>
      <c r="B215" t="s">
        <v>48</v>
      </c>
      <c r="C215" s="3">
        <v>44943</v>
      </c>
      <c r="D215" s="3" t="s">
        <v>114</v>
      </c>
      <c r="E215" s="3" t="str">
        <f>VLOOKUP(Tabla2[[#This Row],[TIPUS]],Tarifas!$H$12:$I$26,2,0)</f>
        <v>VARIABLE</v>
      </c>
      <c r="F215" t="s">
        <v>157</v>
      </c>
      <c r="G215">
        <v>35</v>
      </c>
      <c r="H215">
        <v>0</v>
      </c>
      <c r="I215">
        <v>35</v>
      </c>
    </row>
    <row r="216" spans="1:9" x14ac:dyDescent="0.2">
      <c r="A216">
        <v>2023</v>
      </c>
      <c r="B216" t="s">
        <v>48</v>
      </c>
      <c r="C216" s="3">
        <v>44952</v>
      </c>
      <c r="D216" s="3" t="s">
        <v>114</v>
      </c>
      <c r="E216" s="3" t="str">
        <f>VLOOKUP(Tabla2[[#This Row],[TIPUS]],Tarifas!$H$12:$I$26,2,0)</f>
        <v>VARIABLE</v>
      </c>
      <c r="F216" t="s">
        <v>478</v>
      </c>
      <c r="G216">
        <v>159</v>
      </c>
      <c r="H216">
        <v>159</v>
      </c>
      <c r="I216">
        <v>0</v>
      </c>
    </row>
    <row r="217" spans="1:9" x14ac:dyDescent="0.2">
      <c r="A217">
        <v>2023</v>
      </c>
      <c r="B217" t="s">
        <v>48</v>
      </c>
      <c r="C217" s="3">
        <v>44952</v>
      </c>
      <c r="D217" s="3" t="s">
        <v>114</v>
      </c>
      <c r="E217" s="3" t="str">
        <f>VLOOKUP(Tabla2[[#This Row],[TIPUS]],Tarifas!$H$12:$I$26,2,0)</f>
        <v>VARIABLE</v>
      </c>
      <c r="F217" t="s">
        <v>479</v>
      </c>
      <c r="G217">
        <v>10.99</v>
      </c>
      <c r="H217">
        <v>10.99</v>
      </c>
      <c r="I217">
        <v>0</v>
      </c>
    </row>
    <row r="218" spans="1:9" x14ac:dyDescent="0.2">
      <c r="A218">
        <v>2023</v>
      </c>
      <c r="B218" t="s">
        <v>48</v>
      </c>
      <c r="C218" s="3">
        <v>44952</v>
      </c>
      <c r="D218" s="3" t="s">
        <v>112</v>
      </c>
      <c r="E218" s="3" t="str">
        <f>VLOOKUP(Tabla2[[#This Row],[TIPUS]],Tarifas!$H$12:$I$26,2,0)</f>
        <v>FIX</v>
      </c>
      <c r="F218" t="s">
        <v>396</v>
      </c>
      <c r="G218">
        <v>62</v>
      </c>
      <c r="H218">
        <v>62</v>
      </c>
      <c r="I218">
        <v>0</v>
      </c>
    </row>
    <row r="219" spans="1:9" x14ac:dyDescent="0.2">
      <c r="A219">
        <v>2023</v>
      </c>
      <c r="B219" t="s">
        <v>48</v>
      </c>
      <c r="C219" s="3">
        <v>44952</v>
      </c>
      <c r="D219" s="3" t="s">
        <v>162</v>
      </c>
      <c r="E219" s="3" t="str">
        <f>VLOOKUP(Tabla2[[#This Row],[TIPUS]],Tarifas!$H$12:$I$26,2,0)</f>
        <v>VARIABLE</v>
      </c>
      <c r="F219" t="s">
        <v>410</v>
      </c>
      <c r="G219">
        <v>220</v>
      </c>
      <c r="H219">
        <v>0</v>
      </c>
      <c r="I219">
        <v>220</v>
      </c>
    </row>
    <row r="220" spans="1:9" x14ac:dyDescent="0.2">
      <c r="A220">
        <v>2023</v>
      </c>
      <c r="B220" t="s">
        <v>48</v>
      </c>
      <c r="C220" s="3">
        <v>44956</v>
      </c>
      <c r="D220" s="3" t="s">
        <v>188</v>
      </c>
      <c r="E220" s="3" t="str">
        <f>VLOOKUP(Tabla2[[#This Row],[TIPUS]],Tarifas!$H$12:$I$26,2,0)</f>
        <v>IMPOSTOS</v>
      </c>
      <c r="F220" t="s">
        <v>483</v>
      </c>
      <c r="G220">
        <v>1031.6600000000001</v>
      </c>
      <c r="H220">
        <v>1031.6600000000001</v>
      </c>
      <c r="I220">
        <v>0</v>
      </c>
    </row>
    <row r="221" spans="1:9" x14ac:dyDescent="0.2">
      <c r="A221">
        <v>2023</v>
      </c>
      <c r="B221" t="s">
        <v>48</v>
      </c>
      <c r="C221" s="3">
        <v>44956</v>
      </c>
      <c r="D221" s="3" t="s">
        <v>188</v>
      </c>
      <c r="E221" s="3" t="str">
        <f>VLOOKUP(Tabla2[[#This Row],[TIPUS]],Tarifas!$H$12:$I$26,2,0)</f>
        <v>IMPOSTOS</v>
      </c>
      <c r="F221" t="s">
        <v>484</v>
      </c>
      <c r="G221">
        <v>199.67</v>
      </c>
      <c r="H221">
        <v>199.67</v>
      </c>
      <c r="I221">
        <v>0</v>
      </c>
    </row>
    <row r="222" spans="1:9" x14ac:dyDescent="0.2">
      <c r="A222">
        <v>2023</v>
      </c>
      <c r="B222" t="s">
        <v>56</v>
      </c>
      <c r="C222" s="3">
        <v>44960</v>
      </c>
      <c r="D222" s="3" t="s">
        <v>114</v>
      </c>
      <c r="E222" s="3" t="str">
        <f>VLOOKUP(Tabla2[[#This Row],[TIPUS]],Tarifas!$H$12:$I$26,2,0)</f>
        <v>VARIABLE</v>
      </c>
      <c r="F222" t="s">
        <v>206</v>
      </c>
      <c r="G222">
        <v>32.1</v>
      </c>
      <c r="H222">
        <v>0</v>
      </c>
      <c r="I222">
        <v>32.1</v>
      </c>
    </row>
    <row r="223" spans="1:9" x14ac:dyDescent="0.2">
      <c r="A223">
        <v>2023</v>
      </c>
      <c r="B223" t="s">
        <v>56</v>
      </c>
      <c r="C223" s="3">
        <v>44968</v>
      </c>
      <c r="D223" s="3" t="s">
        <v>104</v>
      </c>
      <c r="E223" s="3" t="str">
        <f>VLOOKUP(Tabla2[[#This Row],[TIPUS]],Tarifas!$H$12:$I$26,2,0)</f>
        <v>FIX</v>
      </c>
      <c r="F223" t="s">
        <v>487</v>
      </c>
      <c r="G223">
        <v>558</v>
      </c>
      <c r="H223">
        <v>408</v>
      </c>
      <c r="I223">
        <v>150</v>
      </c>
    </row>
    <row r="224" spans="1:9" x14ac:dyDescent="0.2">
      <c r="A224">
        <v>2023</v>
      </c>
      <c r="B224" t="s">
        <v>56</v>
      </c>
      <c r="C224" s="3">
        <v>44969</v>
      </c>
      <c r="D224" s="3" t="s">
        <v>114</v>
      </c>
      <c r="E224" s="3" t="str">
        <f>VLOOKUP(Tabla2[[#This Row],[TIPUS]],Tarifas!$H$12:$I$26,2,0)</f>
        <v>VARIABLE</v>
      </c>
      <c r="F224" t="s">
        <v>491</v>
      </c>
      <c r="G224">
        <v>60</v>
      </c>
      <c r="H224">
        <v>0</v>
      </c>
      <c r="I224">
        <v>60</v>
      </c>
    </row>
    <row r="225" spans="1:15" x14ac:dyDescent="0.2">
      <c r="A225">
        <v>2023</v>
      </c>
      <c r="B225" t="s">
        <v>56</v>
      </c>
      <c r="C225" s="3">
        <v>44973</v>
      </c>
      <c r="D225" s="3" t="s">
        <v>110</v>
      </c>
      <c r="E225" s="3" t="str">
        <f>VLOOKUP(Tabla2[[#This Row],[TIPUS]],Tarifas!$H$12:$I$26,2,0)</f>
        <v>VARIABLE</v>
      </c>
      <c r="F225" t="s">
        <v>492</v>
      </c>
      <c r="G225">
        <v>196.09</v>
      </c>
      <c r="H225">
        <v>196.09</v>
      </c>
      <c r="I225">
        <v>0</v>
      </c>
      <c r="L225">
        <v>400</v>
      </c>
      <c r="M225">
        <f>L225*1.21</f>
        <v>484</v>
      </c>
      <c r="N225">
        <v>76</v>
      </c>
      <c r="O225">
        <f>M225-N225</f>
        <v>408</v>
      </c>
    </row>
    <row r="226" spans="1:15" x14ac:dyDescent="0.2">
      <c r="A226">
        <v>2023</v>
      </c>
      <c r="B226" t="s">
        <v>56</v>
      </c>
      <c r="C226" s="3">
        <v>44973</v>
      </c>
      <c r="D226" s="3" t="s">
        <v>111</v>
      </c>
      <c r="E226" s="3" t="str">
        <f>VLOOKUP(Tabla2[[#This Row],[TIPUS]],Tarifas!$H$12:$I$26,2,0)</f>
        <v>VARIABLE</v>
      </c>
      <c r="F226" t="s">
        <v>88</v>
      </c>
      <c r="G226">
        <v>99.08</v>
      </c>
      <c r="H226">
        <v>99.08</v>
      </c>
      <c r="I226">
        <v>0</v>
      </c>
      <c r="L226">
        <v>162.05000000000001</v>
      </c>
      <c r="O226">
        <f>L226*1.21</f>
        <v>196.0805</v>
      </c>
    </row>
    <row r="227" spans="1:15" x14ac:dyDescent="0.2">
      <c r="A227">
        <v>2023</v>
      </c>
      <c r="B227" t="s">
        <v>56</v>
      </c>
      <c r="C227" s="3">
        <v>44977</v>
      </c>
      <c r="D227" s="3" t="s">
        <v>106</v>
      </c>
      <c r="E227" s="3" t="str">
        <f>VLOOKUP(Tabla2[[#This Row],[TIPUS]],Tarifas!$H$12:$I$26,2,0)</f>
        <v>FIX</v>
      </c>
      <c r="F227" t="s">
        <v>494</v>
      </c>
      <c r="G227">
        <v>60.5</v>
      </c>
      <c r="H227">
        <v>60.5</v>
      </c>
      <c r="I227">
        <v>0</v>
      </c>
      <c r="L227">
        <v>81.88</v>
      </c>
      <c r="O227">
        <f>L227*1.21</f>
        <v>99.074799999999996</v>
      </c>
    </row>
    <row r="228" spans="1:15" x14ac:dyDescent="0.2">
      <c r="A228">
        <v>2023</v>
      </c>
      <c r="B228" t="s">
        <v>56</v>
      </c>
      <c r="C228" s="3">
        <v>44977</v>
      </c>
      <c r="D228" s="3" t="s">
        <v>162</v>
      </c>
      <c r="E228" s="3" t="str">
        <f>VLOOKUP(Tabla2[[#This Row],[TIPUS]],Tarifas!$H$12:$I$26,2,0)</f>
        <v>VARIABLE</v>
      </c>
      <c r="F228" s="177" t="s">
        <v>410</v>
      </c>
      <c r="G228">
        <v>280</v>
      </c>
      <c r="H228">
        <v>0</v>
      </c>
      <c r="I228">
        <v>280</v>
      </c>
    </row>
    <row r="229" spans="1:15" x14ac:dyDescent="0.2">
      <c r="A229">
        <v>2023</v>
      </c>
      <c r="B229" t="s">
        <v>56</v>
      </c>
      <c r="C229" s="3">
        <v>44981</v>
      </c>
      <c r="D229" s="3" t="s">
        <v>114</v>
      </c>
      <c r="E229" s="3" t="str">
        <f>VLOOKUP(Tabla2[[#This Row],[TIPUS]],Tarifas!$H$12:$I$26,2,0)</f>
        <v>VARIABLE</v>
      </c>
      <c r="F229" t="s">
        <v>495</v>
      </c>
      <c r="G229">
        <v>150</v>
      </c>
      <c r="H229">
        <v>0</v>
      </c>
      <c r="I229">
        <v>150</v>
      </c>
    </row>
    <row r="230" spans="1:15" x14ac:dyDescent="0.2">
      <c r="A230">
        <v>2023</v>
      </c>
      <c r="B230" t="s">
        <v>56</v>
      </c>
      <c r="C230" s="3">
        <v>44977</v>
      </c>
      <c r="D230" s="3" t="s">
        <v>162</v>
      </c>
      <c r="E230" s="3" t="str">
        <f>VLOOKUP(Tabla2[[#This Row],[TIPUS]],Tarifas!$H$12:$I$26,2,0)</f>
        <v>VARIABLE</v>
      </c>
      <c r="F230" t="s">
        <v>496</v>
      </c>
      <c r="G230">
        <v>70</v>
      </c>
      <c r="H230">
        <v>0</v>
      </c>
      <c r="I230">
        <v>70</v>
      </c>
    </row>
    <row r="231" spans="1:15" x14ac:dyDescent="0.2">
      <c r="A231">
        <v>2023</v>
      </c>
      <c r="B231" t="s">
        <v>56</v>
      </c>
      <c r="C231" s="3">
        <v>44984</v>
      </c>
      <c r="D231" s="3" t="s">
        <v>112</v>
      </c>
      <c r="E231" s="3" t="str">
        <f>VLOOKUP(Tabla2[[#This Row],[TIPUS]],Tarifas!$H$12:$I$26,2,0)</f>
        <v>FIX</v>
      </c>
      <c r="F231" s="177" t="s">
        <v>498</v>
      </c>
      <c r="G231">
        <v>66.11</v>
      </c>
      <c r="H231">
        <v>66.11</v>
      </c>
      <c r="I231">
        <v>0</v>
      </c>
    </row>
    <row r="232" spans="1:15" x14ac:dyDescent="0.2">
      <c r="A232">
        <v>2023</v>
      </c>
      <c r="B232" t="s">
        <v>57</v>
      </c>
      <c r="C232" s="3">
        <v>44986</v>
      </c>
      <c r="D232" s="3" t="s">
        <v>106</v>
      </c>
      <c r="E232" s="3" t="str">
        <f>VLOOKUP(Tabla2[[#This Row],[TIPUS]],Tarifas!$H$12:$I$26,2,0)</f>
        <v>FIX</v>
      </c>
      <c r="F232" s="177" t="s">
        <v>511</v>
      </c>
      <c r="G232">
        <v>60.5</v>
      </c>
      <c r="H232">
        <v>60.5</v>
      </c>
      <c r="I232">
        <v>0</v>
      </c>
    </row>
    <row r="233" spans="1:15" x14ac:dyDescent="0.2">
      <c r="A233">
        <v>2023</v>
      </c>
      <c r="B233" t="s">
        <v>57</v>
      </c>
      <c r="C233" s="3">
        <v>44998</v>
      </c>
      <c r="D233" s="3" t="s">
        <v>104</v>
      </c>
      <c r="E233" s="3" t="str">
        <f>VLOOKUP(Tabla2[[#This Row],[TIPUS]],Tarifas!$H$12:$I$26,2,0)</f>
        <v>FIX</v>
      </c>
      <c r="F233" t="s">
        <v>509</v>
      </c>
      <c r="G233">
        <v>558</v>
      </c>
      <c r="H233">
        <v>408</v>
      </c>
      <c r="I233">
        <v>150</v>
      </c>
    </row>
    <row r="234" spans="1:15" x14ac:dyDescent="0.2">
      <c r="A234">
        <v>2023</v>
      </c>
      <c r="B234" t="s">
        <v>57</v>
      </c>
      <c r="C234" s="3">
        <v>44998</v>
      </c>
      <c r="D234" s="3" t="s">
        <v>110</v>
      </c>
      <c r="E234" s="3" t="str">
        <f>VLOOKUP(Tabla2[[#This Row],[TIPUS]],Tarifas!$H$12:$I$26,2,0)</f>
        <v>VARIABLE</v>
      </c>
      <c r="F234" t="s">
        <v>510</v>
      </c>
      <c r="G234">
        <v>141.26</v>
      </c>
      <c r="H234">
        <v>141.26</v>
      </c>
      <c r="I234">
        <v>0</v>
      </c>
    </row>
    <row r="235" spans="1:15" x14ac:dyDescent="0.2">
      <c r="A235">
        <v>2023</v>
      </c>
      <c r="B235" t="s">
        <v>57</v>
      </c>
      <c r="C235" s="3">
        <v>45010</v>
      </c>
      <c r="D235" s="3" t="s">
        <v>114</v>
      </c>
      <c r="E235" s="3" t="str">
        <f>VLOOKUP(Tabla2[[#This Row],[TIPUS]],Tarifas!$H$12:$I$26,2,0)</f>
        <v>VARIABLE</v>
      </c>
      <c r="F235" t="s">
        <v>206</v>
      </c>
      <c r="G235">
        <v>48.15</v>
      </c>
      <c r="H235">
        <v>48.15</v>
      </c>
      <c r="I235">
        <v>0</v>
      </c>
    </row>
    <row r="236" spans="1:15" x14ac:dyDescent="0.2">
      <c r="A236">
        <v>2023</v>
      </c>
      <c r="B236" t="s">
        <v>57</v>
      </c>
      <c r="C236" s="3">
        <v>45011</v>
      </c>
      <c r="D236" s="3" t="s">
        <v>162</v>
      </c>
      <c r="E236" s="3" t="str">
        <f>VLOOKUP(Tabla2[[#This Row],[TIPUS]],Tarifas!$H$12:$I$26,2,0)</f>
        <v>VARIABLE</v>
      </c>
      <c r="F236" t="s">
        <v>410</v>
      </c>
      <c r="G236">
        <v>150</v>
      </c>
      <c r="H236">
        <v>0</v>
      </c>
      <c r="I236">
        <v>150</v>
      </c>
    </row>
    <row r="237" spans="1:15" x14ac:dyDescent="0.2">
      <c r="A237">
        <v>2023</v>
      </c>
      <c r="B237" t="s">
        <v>57</v>
      </c>
      <c r="C237" s="3">
        <v>45011</v>
      </c>
      <c r="D237" s="3" t="s">
        <v>112</v>
      </c>
      <c r="E237" s="3" t="str">
        <f>VLOOKUP(Tabla2[[#This Row],[TIPUS]],Tarifas!$H$12:$I$26,2,0)</f>
        <v>FIX</v>
      </c>
      <c r="F237" t="s">
        <v>509</v>
      </c>
      <c r="G237">
        <v>66</v>
      </c>
      <c r="H237">
        <v>66</v>
      </c>
      <c r="I237">
        <v>0</v>
      </c>
    </row>
    <row r="238" spans="1:15" x14ac:dyDescent="0.2">
      <c r="A238">
        <v>2023</v>
      </c>
      <c r="B238" t="s">
        <v>58</v>
      </c>
      <c r="C238" s="3">
        <v>45029</v>
      </c>
      <c r="D238" s="3" t="s">
        <v>104</v>
      </c>
      <c r="E238" s="3" t="str">
        <f>VLOOKUP(Tabla2[[#This Row],[TIPUS]],Tarifas!$H$12:$I$26,2,0)</f>
        <v>FIX</v>
      </c>
      <c r="F238" t="s">
        <v>58</v>
      </c>
      <c r="G238">
        <v>558</v>
      </c>
      <c r="H238">
        <v>408</v>
      </c>
      <c r="I238">
        <v>150</v>
      </c>
    </row>
    <row r="239" spans="1:15" x14ac:dyDescent="0.2">
      <c r="A239">
        <v>2023</v>
      </c>
      <c r="B239" t="s">
        <v>58</v>
      </c>
      <c r="C239" s="3">
        <v>45029</v>
      </c>
      <c r="D239" s="3" t="s">
        <v>110</v>
      </c>
      <c r="E239" s="3" t="str">
        <f>VLOOKUP(Tabla2[[#This Row],[TIPUS]],Tarifas!$H$12:$I$26,2,0)</f>
        <v>VARIABLE</v>
      </c>
      <c r="F239" t="s">
        <v>58</v>
      </c>
      <c r="G239">
        <f>607.41-408</f>
        <v>199.40999999999997</v>
      </c>
      <c r="H239">
        <v>199.41</v>
      </c>
      <c r="I239">
        <v>0</v>
      </c>
    </row>
    <row r="240" spans="1:15" x14ac:dyDescent="0.2">
      <c r="A240">
        <v>2023</v>
      </c>
      <c r="B240" t="s">
        <v>58</v>
      </c>
      <c r="C240" s="3">
        <v>45036</v>
      </c>
      <c r="D240" s="3" t="s">
        <v>188</v>
      </c>
      <c r="E240" s="3" t="str">
        <f>VLOOKUP(Tabla2[[#This Row],[TIPUS]],Tarifas!$H$12:$I$26,2,0)</f>
        <v>IMPOSTOS</v>
      </c>
      <c r="F240" t="s">
        <v>521</v>
      </c>
      <c r="G240">
        <v>999.27</v>
      </c>
      <c r="H240">
        <v>999.27</v>
      </c>
      <c r="I240">
        <v>0</v>
      </c>
    </row>
    <row r="241" spans="1:9" x14ac:dyDescent="0.2">
      <c r="A241">
        <v>2023</v>
      </c>
      <c r="B241" t="s">
        <v>58</v>
      </c>
      <c r="C241" s="3">
        <v>45036</v>
      </c>
      <c r="D241" s="3" t="s">
        <v>188</v>
      </c>
      <c r="E241" s="3" t="str">
        <f>VLOOKUP(Tabla2[[#This Row],[TIPUS]],Tarifas!$H$12:$I$26,2,0)</f>
        <v>IMPOSTOS</v>
      </c>
      <c r="F241" t="s">
        <v>522</v>
      </c>
      <c r="G241">
        <v>168.65</v>
      </c>
      <c r="H241">
        <v>168.65</v>
      </c>
      <c r="I241">
        <v>0</v>
      </c>
    </row>
    <row r="242" spans="1:9" x14ac:dyDescent="0.2">
      <c r="A242">
        <v>2023</v>
      </c>
      <c r="B242" t="s">
        <v>58</v>
      </c>
      <c r="C242" s="3">
        <v>45043</v>
      </c>
      <c r="D242" s="3" t="s">
        <v>162</v>
      </c>
      <c r="E242" s="3" t="str">
        <f>VLOOKUP(Tabla2[[#This Row],[TIPUS]],Tarifas!$H$12:$I$26,2,0)</f>
        <v>VARIABLE</v>
      </c>
      <c r="F242" t="s">
        <v>410</v>
      </c>
      <c r="G242">
        <v>240</v>
      </c>
      <c r="H242">
        <v>0</v>
      </c>
      <c r="I242">
        <v>240</v>
      </c>
    </row>
    <row r="243" spans="1:9" x14ac:dyDescent="0.2">
      <c r="A243">
        <v>2023</v>
      </c>
      <c r="B243" t="s">
        <v>58</v>
      </c>
      <c r="C243" s="3">
        <v>45040</v>
      </c>
      <c r="D243" s="3" t="s">
        <v>112</v>
      </c>
      <c r="E243" s="3" t="str">
        <f>VLOOKUP(Tabla2[[#This Row],[TIPUS]],Tarifas!$H$12:$I$26,2,0)</f>
        <v>FIX</v>
      </c>
      <c r="F243" t="s">
        <v>524</v>
      </c>
      <c r="G243">
        <v>66</v>
      </c>
      <c r="H243">
        <v>66</v>
      </c>
      <c r="I243">
        <v>0</v>
      </c>
    </row>
    <row r="244" spans="1:9" x14ac:dyDescent="0.2">
      <c r="A244">
        <v>2023</v>
      </c>
      <c r="B244" t="s">
        <v>58</v>
      </c>
      <c r="C244" s="3">
        <v>45046</v>
      </c>
      <c r="D244" s="3" t="s">
        <v>114</v>
      </c>
      <c r="E244" s="3" t="str">
        <f>VLOOKUP(Tabla2[[#This Row],[TIPUS]],Tarifas!$H$12:$I$26,2,0)</f>
        <v>VARIABLE</v>
      </c>
      <c r="F244" t="s">
        <v>195</v>
      </c>
      <c r="G244">
        <f>90.66+12.5</f>
        <v>103.16</v>
      </c>
      <c r="H244">
        <f>90.66+12.5</f>
        <v>103.16</v>
      </c>
      <c r="I244">
        <v>0</v>
      </c>
    </row>
    <row r="245" spans="1:9" x14ac:dyDescent="0.2">
      <c r="A245">
        <v>2023</v>
      </c>
      <c r="B245" t="s">
        <v>59</v>
      </c>
      <c r="C245" s="3">
        <v>45053</v>
      </c>
      <c r="D245" s="3" t="s">
        <v>104</v>
      </c>
      <c r="E245" s="3" t="str">
        <f>VLOOKUP(Tabla2[[#This Row],[TIPUS]],Tarifas!$H$12:$I$26,2,0)</f>
        <v>FIX</v>
      </c>
      <c r="F245" t="s">
        <v>59</v>
      </c>
      <c r="G245">
        <v>558</v>
      </c>
      <c r="H245">
        <v>408</v>
      </c>
      <c r="I245">
        <v>150</v>
      </c>
    </row>
    <row r="246" spans="1:9" x14ac:dyDescent="0.2">
      <c r="A246">
        <v>2023</v>
      </c>
      <c r="B246" t="s">
        <v>59</v>
      </c>
      <c r="C246" s="3">
        <v>45053</v>
      </c>
      <c r="D246" s="3" t="s">
        <v>114</v>
      </c>
      <c r="E246" s="3" t="str">
        <f>VLOOKUP(Tabla2[[#This Row],[TIPUS]],Tarifas!$H$12:$I$26,2,0)</f>
        <v>VARIABLE</v>
      </c>
      <c r="F246" t="s">
        <v>525</v>
      </c>
      <c r="G246">
        <v>40</v>
      </c>
      <c r="H246">
        <v>0</v>
      </c>
      <c r="I246">
        <v>40</v>
      </c>
    </row>
    <row r="247" spans="1:9" x14ac:dyDescent="0.2">
      <c r="A247">
        <v>2023</v>
      </c>
      <c r="B247" t="s">
        <v>59</v>
      </c>
      <c r="C247" s="3">
        <v>45053</v>
      </c>
      <c r="D247" s="3" t="s">
        <v>106</v>
      </c>
      <c r="E247" s="3" t="str">
        <f>VLOOKUP(Tabla2[[#This Row],[TIPUS]],Tarifas!$H$12:$I$26,2,0)</f>
        <v>FIX</v>
      </c>
      <c r="F247" t="s">
        <v>526</v>
      </c>
      <c r="G247">
        <v>60.5</v>
      </c>
      <c r="H247">
        <v>60.5</v>
      </c>
      <c r="I247">
        <v>0</v>
      </c>
    </row>
    <row r="248" spans="1:9" x14ac:dyDescent="0.2">
      <c r="A248">
        <v>2023</v>
      </c>
      <c r="B248" t="s">
        <v>59</v>
      </c>
      <c r="C248" s="3">
        <v>45059</v>
      </c>
      <c r="D248" s="3" t="s">
        <v>110</v>
      </c>
      <c r="E248" s="3" t="str">
        <f>VLOOKUP(Tabla2[[#This Row],[TIPUS]],Tarifas!$H$12:$I$26,2,0)</f>
        <v>VARIABLE</v>
      </c>
      <c r="F248" t="s">
        <v>527</v>
      </c>
      <c r="G248">
        <v>189.94</v>
      </c>
      <c r="H248">
        <v>189.94</v>
      </c>
      <c r="I248">
        <v>0</v>
      </c>
    </row>
    <row r="249" spans="1:9" x14ac:dyDescent="0.2">
      <c r="A249">
        <v>2023</v>
      </c>
      <c r="B249" t="s">
        <v>59</v>
      </c>
      <c r="C249" s="3">
        <v>45059</v>
      </c>
      <c r="D249" s="3" t="s">
        <v>114</v>
      </c>
      <c r="E249" s="3" t="str">
        <f>VLOOKUP(Tabla2[[#This Row],[TIPUS]],Tarifas!$H$12:$I$26,2,0)</f>
        <v>VARIABLE</v>
      </c>
      <c r="F249" t="s">
        <v>375</v>
      </c>
      <c r="G249">
        <v>24.25</v>
      </c>
      <c r="H249">
        <v>24.25</v>
      </c>
      <c r="I249">
        <v>0</v>
      </c>
    </row>
    <row r="250" spans="1:9" x14ac:dyDescent="0.2">
      <c r="A250">
        <v>2023</v>
      </c>
      <c r="B250" t="s">
        <v>59</v>
      </c>
      <c r="C250" s="3">
        <v>45077</v>
      </c>
      <c r="D250" s="3" t="s">
        <v>162</v>
      </c>
      <c r="E250" s="3" t="str">
        <f>VLOOKUP(Tabla2[[#This Row],[TIPUS]],Tarifas!$H$12:$I$26,2,0)</f>
        <v>VARIABLE</v>
      </c>
      <c r="F250" t="s">
        <v>410</v>
      </c>
      <c r="G250">
        <v>225</v>
      </c>
      <c r="H250">
        <v>0</v>
      </c>
      <c r="I250">
        <v>225</v>
      </c>
    </row>
    <row r="251" spans="1:9" x14ac:dyDescent="0.2">
      <c r="A251">
        <v>2023</v>
      </c>
      <c r="B251" t="s">
        <v>59</v>
      </c>
      <c r="C251" s="3">
        <v>45077</v>
      </c>
      <c r="D251" s="3" t="s">
        <v>107</v>
      </c>
      <c r="E251" s="3" t="str">
        <f>VLOOKUP(Tabla2[[#This Row],[TIPUS]],Tarifas!$H$12:$I$26,2,0)</f>
        <v>FIX</v>
      </c>
      <c r="F251" t="s">
        <v>94</v>
      </c>
      <c r="G251">
        <v>187.64</v>
      </c>
      <c r="H251">
        <v>187.64</v>
      </c>
      <c r="I251">
        <v>0</v>
      </c>
    </row>
    <row r="252" spans="1:9" x14ac:dyDescent="0.2">
      <c r="A252">
        <v>2023</v>
      </c>
      <c r="B252" t="s">
        <v>59</v>
      </c>
      <c r="C252" s="3">
        <v>45077</v>
      </c>
      <c r="D252" s="3" t="s">
        <v>112</v>
      </c>
      <c r="E252" s="3" t="str">
        <f>VLOOKUP(Tabla2[[#This Row],[TIPUS]],Tarifas!$H$12:$I$26,2,0)</f>
        <v>FIX</v>
      </c>
      <c r="F252" t="s">
        <v>59</v>
      </c>
      <c r="G252">
        <v>66</v>
      </c>
      <c r="H252">
        <v>66</v>
      </c>
      <c r="I252">
        <v>0</v>
      </c>
    </row>
    <row r="253" spans="1:9" x14ac:dyDescent="0.2">
      <c r="A253">
        <v>2023</v>
      </c>
      <c r="B253" t="s">
        <v>60</v>
      </c>
      <c r="C253" s="3">
        <v>45082</v>
      </c>
      <c r="D253" s="3" t="s">
        <v>114</v>
      </c>
      <c r="E253" s="3" t="str">
        <f>VLOOKUP(Tabla2[[#This Row],[TIPUS]],Tarifas!$H$12:$I$26,2,0)</f>
        <v>VARIABLE</v>
      </c>
      <c r="F253" t="s">
        <v>206</v>
      </c>
      <c r="G253">
        <v>38.950000000000003</v>
      </c>
      <c r="H253">
        <v>38.950000000000003</v>
      </c>
      <c r="I253">
        <v>0</v>
      </c>
    </row>
    <row r="254" spans="1:9" x14ac:dyDescent="0.2">
      <c r="A254">
        <v>2023</v>
      </c>
      <c r="B254" t="s">
        <v>60</v>
      </c>
      <c r="C254" s="3">
        <v>45082</v>
      </c>
      <c r="D254" s="3" t="s">
        <v>114</v>
      </c>
      <c r="E254" s="3" t="str">
        <f>VLOOKUP(Tabla2[[#This Row],[TIPUS]],Tarifas!$H$12:$I$26,2,0)</f>
        <v>VARIABLE</v>
      </c>
      <c r="F254" t="s">
        <v>529</v>
      </c>
      <c r="G254">
        <v>75</v>
      </c>
      <c r="H254">
        <v>0</v>
      </c>
      <c r="I254">
        <v>75</v>
      </c>
    </row>
    <row r="255" spans="1:9" x14ac:dyDescent="0.2">
      <c r="A255">
        <v>2023</v>
      </c>
      <c r="B255" t="s">
        <v>60</v>
      </c>
      <c r="C255" s="3">
        <v>45082</v>
      </c>
      <c r="D255" s="3" t="s">
        <v>106</v>
      </c>
      <c r="E255" s="3" t="str">
        <f>VLOOKUP(Tabla2[[#This Row],[TIPUS]],Tarifas!$H$12:$I$26,2,0)</f>
        <v>FIX</v>
      </c>
      <c r="F255" t="s">
        <v>530</v>
      </c>
      <c r="G255">
        <v>60.5</v>
      </c>
      <c r="H255">
        <v>60.5</v>
      </c>
      <c r="I255">
        <v>0</v>
      </c>
    </row>
    <row r="256" spans="1:9" x14ac:dyDescent="0.2">
      <c r="A256">
        <v>2023</v>
      </c>
      <c r="B256" t="s">
        <v>60</v>
      </c>
      <c r="C256" s="3">
        <v>45058</v>
      </c>
      <c r="D256" s="3" t="s">
        <v>104</v>
      </c>
      <c r="E256" s="3" t="str">
        <f>VLOOKUP(Tabla2[[#This Row],[TIPUS]],Tarifas!$H$12:$I$26,2,0)</f>
        <v>FIX</v>
      </c>
      <c r="F256" t="s">
        <v>530</v>
      </c>
      <c r="G256">
        <v>558</v>
      </c>
      <c r="H256">
        <v>408</v>
      </c>
      <c r="I256">
        <v>150</v>
      </c>
    </row>
    <row r="257" spans="1:9" x14ac:dyDescent="0.2">
      <c r="A257">
        <v>2023</v>
      </c>
      <c r="B257" t="s">
        <v>60</v>
      </c>
      <c r="C257" s="3">
        <v>45058</v>
      </c>
      <c r="D257" s="3" t="s">
        <v>110</v>
      </c>
      <c r="E257" s="3" t="str">
        <f>VLOOKUP(Tabla2[[#This Row],[TIPUS]],Tarifas!$H$12:$I$26,2,0)</f>
        <v>VARIABLE</v>
      </c>
      <c r="F257" t="s">
        <v>530</v>
      </c>
      <c r="G257">
        <f>536.11-408</f>
        <v>128.11000000000001</v>
      </c>
      <c r="H257">
        <v>128.11000000000001</v>
      </c>
      <c r="I257">
        <v>0</v>
      </c>
    </row>
    <row r="258" spans="1:9" x14ac:dyDescent="0.2">
      <c r="A258">
        <v>2023</v>
      </c>
      <c r="B258" t="s">
        <v>60</v>
      </c>
      <c r="C258" s="3">
        <v>45107</v>
      </c>
      <c r="D258" s="3" t="s">
        <v>162</v>
      </c>
      <c r="E258" s="3" t="str">
        <f>VLOOKUP(Tabla2[[#This Row],[TIPUS]],Tarifas!$H$12:$I$26,2,0)</f>
        <v>VARIABLE</v>
      </c>
      <c r="F258" t="s">
        <v>532</v>
      </c>
      <c r="G258">
        <v>150</v>
      </c>
      <c r="H258">
        <v>0</v>
      </c>
      <c r="I258">
        <v>150</v>
      </c>
    </row>
    <row r="259" spans="1:9" x14ac:dyDescent="0.2">
      <c r="A259">
        <v>2023</v>
      </c>
      <c r="B259" t="s">
        <v>60</v>
      </c>
      <c r="C259" s="3">
        <v>45107</v>
      </c>
      <c r="D259" s="3" t="s">
        <v>114</v>
      </c>
      <c r="E259" s="3" t="str">
        <f>VLOOKUP(Tabla2[[#This Row],[TIPUS]],Tarifas!$H$12:$I$26,2,0)</f>
        <v>VARIABLE</v>
      </c>
      <c r="F259" t="s">
        <v>533</v>
      </c>
      <c r="G259">
        <v>57.69</v>
      </c>
      <c r="H259">
        <v>57.69</v>
      </c>
      <c r="I259">
        <v>0</v>
      </c>
    </row>
    <row r="260" spans="1:9" x14ac:dyDescent="0.2">
      <c r="A260">
        <v>2023</v>
      </c>
      <c r="B260" t="s">
        <v>60</v>
      </c>
      <c r="C260" s="3">
        <v>45107</v>
      </c>
      <c r="D260" s="3" t="s">
        <v>114</v>
      </c>
      <c r="E260" s="3" t="str">
        <f>VLOOKUP(Tabla2[[#This Row],[TIPUS]],Tarifas!$H$12:$I$26,2,0)</f>
        <v>VARIABLE</v>
      </c>
      <c r="F260" t="s">
        <v>534</v>
      </c>
      <c r="G260">
        <v>60</v>
      </c>
      <c r="H260">
        <v>60</v>
      </c>
      <c r="I260">
        <v>0</v>
      </c>
    </row>
    <row r="261" spans="1:9" x14ac:dyDescent="0.2">
      <c r="A261">
        <v>2023</v>
      </c>
      <c r="B261" t="s">
        <v>60</v>
      </c>
      <c r="C261" s="3">
        <v>45107</v>
      </c>
      <c r="D261" s="3" t="s">
        <v>112</v>
      </c>
      <c r="E261" s="3" t="str">
        <f>VLOOKUP(Tabla2[[#This Row],[TIPUS]],Tarifas!$H$12:$I$26,2,0)</f>
        <v>FIX</v>
      </c>
      <c r="F261" t="s">
        <v>530</v>
      </c>
      <c r="G261">
        <v>66</v>
      </c>
      <c r="H261">
        <v>66</v>
      </c>
      <c r="I261">
        <v>0</v>
      </c>
    </row>
    <row r="262" spans="1:9" x14ac:dyDescent="0.2">
      <c r="A262">
        <v>2023</v>
      </c>
      <c r="B262" t="s">
        <v>60</v>
      </c>
      <c r="C262" s="3">
        <v>45107</v>
      </c>
      <c r="D262" s="3" t="s">
        <v>114</v>
      </c>
      <c r="E262" s="3" t="str">
        <f>VLOOKUP(Tabla2[[#This Row],[TIPUS]],Tarifas!$H$12:$I$26,2,0)</f>
        <v>VARIABLE</v>
      </c>
      <c r="F262" t="s">
        <v>549</v>
      </c>
      <c r="G262">
        <v>10</v>
      </c>
      <c r="H262">
        <v>10</v>
      </c>
      <c r="I262">
        <v>0</v>
      </c>
    </row>
    <row r="263" spans="1:9" x14ac:dyDescent="0.2">
      <c r="A263">
        <v>2023</v>
      </c>
      <c r="B263" t="s">
        <v>61</v>
      </c>
      <c r="C263" s="3">
        <v>45117</v>
      </c>
      <c r="D263" s="3" t="s">
        <v>104</v>
      </c>
      <c r="E263" s="3" t="str">
        <f>VLOOKUP(Tabla2[[#This Row],[TIPUS]],Tarifas!$H$12:$I$26,2,0)</f>
        <v>FIX</v>
      </c>
      <c r="F263" t="s">
        <v>546</v>
      </c>
      <c r="G263">
        <v>558</v>
      </c>
      <c r="H263">
        <v>408</v>
      </c>
      <c r="I263">
        <v>150</v>
      </c>
    </row>
    <row r="264" spans="1:9" x14ac:dyDescent="0.2">
      <c r="A264">
        <v>2023</v>
      </c>
      <c r="B264" t="s">
        <v>61</v>
      </c>
      <c r="C264" s="3">
        <v>45117</v>
      </c>
      <c r="D264" s="3" t="s">
        <v>110</v>
      </c>
      <c r="E264" s="3" t="str">
        <f>VLOOKUP(Tabla2[[#This Row],[TIPUS]],Tarifas!$H$12:$I$26,2,0)</f>
        <v>VARIABLE</v>
      </c>
      <c r="F264" t="s">
        <v>546</v>
      </c>
      <c r="G264">
        <f>534.48-408</f>
        <v>126.48000000000002</v>
      </c>
      <c r="H264">
        <v>126.48</v>
      </c>
      <c r="I264">
        <v>0</v>
      </c>
    </row>
    <row r="265" spans="1:9" x14ac:dyDescent="0.2">
      <c r="A265">
        <v>2023</v>
      </c>
      <c r="B265" t="s">
        <v>61</v>
      </c>
      <c r="C265" s="3">
        <v>45117</v>
      </c>
      <c r="D265" s="3" t="s">
        <v>106</v>
      </c>
      <c r="E265" s="3" t="str">
        <f>VLOOKUP(Tabla2[[#This Row],[TIPUS]],Tarifas!$H$12:$I$26,2,0)</f>
        <v>FIX</v>
      </c>
      <c r="F265" t="s">
        <v>546</v>
      </c>
      <c r="G265">
        <v>60.5</v>
      </c>
      <c r="H265">
        <v>60.5</v>
      </c>
      <c r="I265">
        <v>0</v>
      </c>
    </row>
    <row r="266" spans="1:9" x14ac:dyDescent="0.2">
      <c r="A266">
        <v>2023</v>
      </c>
      <c r="B266" t="s">
        <v>61</v>
      </c>
      <c r="C266" s="3">
        <v>45117</v>
      </c>
      <c r="D266" s="3" t="s">
        <v>114</v>
      </c>
      <c r="E266" s="3" t="str">
        <f>VLOOKUP(Tabla2[[#This Row],[TIPUS]],Tarifas!$H$12:$I$26,2,0)</f>
        <v>VARIABLE</v>
      </c>
      <c r="F266" t="s">
        <v>547</v>
      </c>
      <c r="G266">
        <v>170</v>
      </c>
      <c r="H266">
        <v>0</v>
      </c>
      <c r="I266">
        <v>170</v>
      </c>
    </row>
    <row r="267" spans="1:9" x14ac:dyDescent="0.2">
      <c r="A267">
        <v>2023</v>
      </c>
      <c r="B267" t="s">
        <v>61</v>
      </c>
      <c r="C267" s="3">
        <v>45123</v>
      </c>
      <c r="D267" s="3" t="s">
        <v>162</v>
      </c>
      <c r="E267" s="3" t="str">
        <f>VLOOKUP(Tabla2[[#This Row],[TIPUS]],Tarifas!$H$12:$I$26,2,0)</f>
        <v>VARIABLE</v>
      </c>
      <c r="F267" t="s">
        <v>548</v>
      </c>
      <c r="G267">
        <v>90</v>
      </c>
      <c r="H267">
        <v>0</v>
      </c>
      <c r="I267">
        <v>90</v>
      </c>
    </row>
    <row r="268" spans="1:9" x14ac:dyDescent="0.2">
      <c r="A268">
        <v>2023</v>
      </c>
      <c r="B268" t="s">
        <v>61</v>
      </c>
      <c r="C268" s="3">
        <v>45123</v>
      </c>
      <c r="D268" s="3" t="s">
        <v>114</v>
      </c>
      <c r="E268" s="3" t="str">
        <f>VLOOKUP(Tabla2[[#This Row],[TIPUS]],Tarifas!$H$12:$I$26,2,0)</f>
        <v>VARIABLE</v>
      </c>
      <c r="F268" t="s">
        <v>206</v>
      </c>
      <c r="G268">
        <v>19</v>
      </c>
      <c r="H268">
        <v>19</v>
      </c>
      <c r="I268">
        <v>0</v>
      </c>
    </row>
    <row r="269" spans="1:9" x14ac:dyDescent="0.2">
      <c r="A269">
        <v>2023</v>
      </c>
      <c r="B269" t="s">
        <v>61</v>
      </c>
      <c r="C269" s="3">
        <v>45125</v>
      </c>
      <c r="D269" s="3" t="s">
        <v>188</v>
      </c>
      <c r="E269" s="3" t="str">
        <f>VLOOKUP(Tabla2[[#This Row],[TIPUS]],Tarifas!$H$12:$I$26,2,0)</f>
        <v>IMPOSTOS</v>
      </c>
      <c r="F269" t="s">
        <v>358</v>
      </c>
      <c r="G269">
        <f>1505.91+228</f>
        <v>1733.91</v>
      </c>
      <c r="H269">
        <f>1505.91+228</f>
        <v>1733.91</v>
      </c>
      <c r="I269">
        <v>0</v>
      </c>
    </row>
    <row r="270" spans="1:9" x14ac:dyDescent="0.2">
      <c r="A270">
        <v>2023</v>
      </c>
      <c r="B270" t="s">
        <v>61</v>
      </c>
      <c r="C270" s="3">
        <v>45131</v>
      </c>
      <c r="D270" s="3" t="s">
        <v>162</v>
      </c>
      <c r="E270" s="3" t="str">
        <f>VLOOKUP(Tabla2[[#This Row],[TIPUS]],Tarifas!$H$12:$I$26,2,0)</f>
        <v>VARIABLE</v>
      </c>
      <c r="F270" t="s">
        <v>550</v>
      </c>
      <c r="G270">
        <v>100</v>
      </c>
      <c r="H270">
        <v>0</v>
      </c>
      <c r="I270">
        <v>100</v>
      </c>
    </row>
    <row r="271" spans="1:9" x14ac:dyDescent="0.2">
      <c r="A271">
        <v>2023</v>
      </c>
      <c r="B271" t="s">
        <v>61</v>
      </c>
      <c r="C271" s="3">
        <v>45137</v>
      </c>
      <c r="D271" s="3" t="s">
        <v>112</v>
      </c>
      <c r="E271" s="3" t="str">
        <f>VLOOKUP(Tabla2[[#This Row],[TIPUS]],Tarifas!$H$12:$I$26,2,0)</f>
        <v>FIX</v>
      </c>
      <c r="F271" t="s">
        <v>61</v>
      </c>
      <c r="G271">
        <v>66</v>
      </c>
      <c r="H271">
        <v>66</v>
      </c>
      <c r="I271">
        <v>0</v>
      </c>
    </row>
    <row r="272" spans="1:9" x14ac:dyDescent="0.2">
      <c r="A272">
        <v>2023</v>
      </c>
      <c r="B272" t="s">
        <v>61</v>
      </c>
      <c r="C272" s="3">
        <v>45137</v>
      </c>
      <c r="D272" s="3" t="s">
        <v>114</v>
      </c>
      <c r="E272" s="3" t="str">
        <f>VLOOKUP(Tabla2[[#This Row],[TIPUS]],Tarifas!$H$12:$I$26,2,0)</f>
        <v>VARIABLE</v>
      </c>
      <c r="F272" t="s">
        <v>551</v>
      </c>
      <c r="G272">
        <v>160.47999999999999</v>
      </c>
      <c r="H272">
        <v>160.47999999999999</v>
      </c>
      <c r="I272">
        <v>0</v>
      </c>
    </row>
    <row r="273" spans="1:9" x14ac:dyDescent="0.2">
      <c r="A273">
        <v>2023</v>
      </c>
      <c r="B273" t="s">
        <v>61</v>
      </c>
      <c r="C273" s="3">
        <v>45137</v>
      </c>
      <c r="D273" s="3" t="s">
        <v>114</v>
      </c>
      <c r="E273" s="3" t="str">
        <f>VLOOKUP(Tabla2[[#This Row],[TIPUS]],Tarifas!$H$12:$I$26,2,0)</f>
        <v>VARIABLE</v>
      </c>
      <c r="F273" t="s">
        <v>552</v>
      </c>
      <c r="G273">
        <v>231.64</v>
      </c>
      <c r="H273">
        <v>231.64</v>
      </c>
      <c r="I273">
        <v>0</v>
      </c>
    </row>
    <row r="274" spans="1:9" x14ac:dyDescent="0.2">
      <c r="A274">
        <v>2023</v>
      </c>
      <c r="B274" t="s">
        <v>62</v>
      </c>
      <c r="C274" s="3">
        <v>45141</v>
      </c>
      <c r="D274" s="3" t="s">
        <v>114</v>
      </c>
      <c r="E274" s="3" t="str">
        <f>VLOOKUP(Tabla2[[#This Row],[TIPUS]],Tarifas!$H$12:$I$26,2,0)</f>
        <v>VARIABLE</v>
      </c>
      <c r="F274" t="s">
        <v>551</v>
      </c>
      <c r="G274">
        <v>37.96</v>
      </c>
      <c r="H274">
        <v>37.96</v>
      </c>
      <c r="I274">
        <v>0</v>
      </c>
    </row>
    <row r="275" spans="1:9" x14ac:dyDescent="0.2">
      <c r="A275">
        <v>2023</v>
      </c>
      <c r="B275" t="s">
        <v>62</v>
      </c>
      <c r="C275" s="3">
        <v>45141</v>
      </c>
      <c r="D275" s="3" t="s">
        <v>106</v>
      </c>
      <c r="E275" s="3" t="str">
        <f>VLOOKUP(Tabla2[[#This Row],[TIPUS]],Tarifas!$H$12:$I$26,2,0)</f>
        <v>FIX</v>
      </c>
      <c r="F275" t="s">
        <v>62</v>
      </c>
      <c r="G275">
        <v>60.5</v>
      </c>
      <c r="H275">
        <v>60.5</v>
      </c>
      <c r="I275">
        <v>0</v>
      </c>
    </row>
    <row r="276" spans="1:9" x14ac:dyDescent="0.2">
      <c r="A276">
        <v>2023</v>
      </c>
      <c r="B276" t="s">
        <v>62</v>
      </c>
      <c r="C276" s="3">
        <v>45148</v>
      </c>
      <c r="D276" s="3" t="s">
        <v>114</v>
      </c>
      <c r="E276" s="3" t="str">
        <f>VLOOKUP(Tabla2[[#This Row],[TIPUS]],Tarifas!$H$12:$I$26,2,0)</f>
        <v>VARIABLE</v>
      </c>
      <c r="F276" t="s">
        <v>553</v>
      </c>
      <c r="G276">
        <v>27.23</v>
      </c>
      <c r="H276">
        <v>27.23</v>
      </c>
      <c r="I276">
        <v>0</v>
      </c>
    </row>
    <row r="277" spans="1:9" x14ac:dyDescent="0.2">
      <c r="A277">
        <v>2023</v>
      </c>
      <c r="B277" t="s">
        <v>62</v>
      </c>
      <c r="C277" s="3">
        <v>45148</v>
      </c>
      <c r="D277" s="3" t="s">
        <v>104</v>
      </c>
      <c r="E277" s="3" t="str">
        <f>VLOOKUP(Tabla2[[#This Row],[TIPUS]],Tarifas!$H$12:$I$26,2,0)</f>
        <v>FIX</v>
      </c>
      <c r="F277" t="s">
        <v>554</v>
      </c>
      <c r="G277">
        <v>558</v>
      </c>
      <c r="H277">
        <v>408</v>
      </c>
      <c r="I277">
        <v>150</v>
      </c>
    </row>
    <row r="278" spans="1:9" x14ac:dyDescent="0.2">
      <c r="A278">
        <v>2023</v>
      </c>
      <c r="B278" t="s">
        <v>62</v>
      </c>
      <c r="C278" s="3">
        <v>45148</v>
      </c>
      <c r="D278" s="3" t="s">
        <v>110</v>
      </c>
      <c r="E278" s="3" t="str">
        <f>VLOOKUP(Tabla2[[#This Row],[TIPUS]],Tarifas!$H$12:$I$26,2,0)</f>
        <v>VARIABLE</v>
      </c>
      <c r="F278" t="s">
        <v>554</v>
      </c>
      <c r="G278">
        <v>226.19</v>
      </c>
      <c r="H278">
        <v>226.19</v>
      </c>
      <c r="I278">
        <v>0</v>
      </c>
    </row>
    <row r="279" spans="1:9" x14ac:dyDescent="0.2">
      <c r="A279">
        <v>2023</v>
      </c>
      <c r="B279" t="s">
        <v>62</v>
      </c>
      <c r="C279" s="3">
        <v>45148</v>
      </c>
      <c r="D279" s="3" t="s">
        <v>111</v>
      </c>
      <c r="E279" s="3" t="str">
        <f>VLOOKUP(Tabla2[[#This Row],[TIPUS]],Tarifas!$H$12:$I$26,2,0)</f>
        <v>VARIABLE</v>
      </c>
      <c r="F279" t="s">
        <v>554</v>
      </c>
      <c r="G279">
        <v>125.59</v>
      </c>
      <c r="H279">
        <v>125.59</v>
      </c>
      <c r="I279">
        <v>0</v>
      </c>
    </row>
    <row r="280" spans="1:9" x14ac:dyDescent="0.2">
      <c r="A280">
        <v>2023</v>
      </c>
      <c r="B280" t="s">
        <v>62</v>
      </c>
      <c r="C280" s="3">
        <v>45155</v>
      </c>
      <c r="D280" s="3" t="s">
        <v>114</v>
      </c>
      <c r="E280" s="3" t="str">
        <f>VLOOKUP(Tabla2[[#This Row],[TIPUS]],Tarifas!$H$12:$I$26,2,0)</f>
        <v>VARIABLE</v>
      </c>
      <c r="F280" t="s">
        <v>206</v>
      </c>
      <c r="G280">
        <v>30.65</v>
      </c>
      <c r="H280">
        <v>30.65</v>
      </c>
      <c r="I280">
        <v>0</v>
      </c>
    </row>
    <row r="281" spans="1:9" x14ac:dyDescent="0.2">
      <c r="A281">
        <v>2023</v>
      </c>
      <c r="B281" t="s">
        <v>62</v>
      </c>
      <c r="C281" s="3">
        <v>45155</v>
      </c>
      <c r="D281" s="3" t="s">
        <v>112</v>
      </c>
      <c r="E281" s="3" t="str">
        <f>VLOOKUP(Tabla2[[#This Row],[TIPUS]],Tarifas!$H$12:$I$26,2,0)</f>
        <v>FIX</v>
      </c>
      <c r="F281" t="s">
        <v>554</v>
      </c>
      <c r="G281">
        <v>66.3</v>
      </c>
      <c r="H281">
        <v>66.3</v>
      </c>
      <c r="I281">
        <v>0</v>
      </c>
    </row>
    <row r="282" spans="1:9" x14ac:dyDescent="0.2">
      <c r="A282">
        <v>2023</v>
      </c>
      <c r="B282" t="s">
        <v>236</v>
      </c>
      <c r="C282" s="3">
        <v>45170</v>
      </c>
      <c r="D282" s="3" t="s">
        <v>106</v>
      </c>
      <c r="E282" s="3" t="str">
        <f>VLOOKUP(Tabla2[[#This Row],[TIPUS]],Tarifas!$H$12:$I$26,2,0)</f>
        <v>FIX</v>
      </c>
      <c r="F282" t="s">
        <v>557</v>
      </c>
      <c r="G282">
        <v>60.5</v>
      </c>
      <c r="H282">
        <v>60.5</v>
      </c>
      <c r="I282">
        <v>0</v>
      </c>
    </row>
    <row r="283" spans="1:9" x14ac:dyDescent="0.2">
      <c r="A283">
        <v>2023</v>
      </c>
      <c r="B283" t="s">
        <v>236</v>
      </c>
      <c r="C283" s="3">
        <v>45172</v>
      </c>
      <c r="D283" s="3" t="s">
        <v>104</v>
      </c>
      <c r="E283" s="3" t="str">
        <f>VLOOKUP(Tabla2[[#This Row],[TIPUS]],Tarifas!$H$12:$I$26,2,0)</f>
        <v>FIX</v>
      </c>
      <c r="F283" t="s">
        <v>557</v>
      </c>
      <c r="G283">
        <v>558</v>
      </c>
      <c r="H283">
        <v>408</v>
      </c>
      <c r="I283">
        <v>150</v>
      </c>
    </row>
    <row r="284" spans="1:9" x14ac:dyDescent="0.2">
      <c r="A284">
        <v>2023</v>
      </c>
      <c r="B284" t="s">
        <v>236</v>
      </c>
      <c r="C284" s="3">
        <v>45172</v>
      </c>
      <c r="D284" s="3" t="s">
        <v>110</v>
      </c>
      <c r="E284" s="3" t="str">
        <f>VLOOKUP(Tabla2[[#This Row],[TIPUS]],Tarifas!$H$12:$I$26,2,0)</f>
        <v>VARIABLE</v>
      </c>
      <c r="F284" t="s">
        <v>557</v>
      </c>
      <c r="G284">
        <v>164.68</v>
      </c>
      <c r="H284">
        <v>164.68</v>
      </c>
      <c r="I284">
        <v>0</v>
      </c>
    </row>
    <row r="285" spans="1:9" x14ac:dyDescent="0.2">
      <c r="A285">
        <v>2023</v>
      </c>
      <c r="B285" t="s">
        <v>236</v>
      </c>
      <c r="C285" s="3">
        <v>45174</v>
      </c>
      <c r="D285" s="3" t="s">
        <v>162</v>
      </c>
      <c r="E285" s="3" t="str">
        <f>VLOOKUP(Tabla2[[#This Row],[TIPUS]],Tarifas!$H$12:$I$26,2,0)</f>
        <v>VARIABLE</v>
      </c>
      <c r="F285" t="s">
        <v>550</v>
      </c>
      <c r="G285">
        <v>70</v>
      </c>
      <c r="H285">
        <v>0</v>
      </c>
      <c r="I285">
        <v>70</v>
      </c>
    </row>
    <row r="286" spans="1:9" x14ac:dyDescent="0.2">
      <c r="A286">
        <v>2023</v>
      </c>
      <c r="B286" t="s">
        <v>236</v>
      </c>
      <c r="C286" s="3">
        <v>45176</v>
      </c>
      <c r="D286" s="3" t="s">
        <v>114</v>
      </c>
      <c r="E286" s="3" t="str">
        <f>VLOOKUP(Tabla2[[#This Row],[TIPUS]],Tarifas!$H$12:$I$26,2,0)</f>
        <v>VARIABLE</v>
      </c>
      <c r="F286" t="s">
        <v>558</v>
      </c>
      <c r="G286">
        <v>39.9</v>
      </c>
      <c r="H286">
        <v>39.9</v>
      </c>
      <c r="I286">
        <v>0</v>
      </c>
    </row>
    <row r="287" spans="1:9" x14ac:dyDescent="0.2">
      <c r="A287">
        <v>2023</v>
      </c>
      <c r="B287" t="s">
        <v>236</v>
      </c>
      <c r="C287" s="3">
        <v>45176</v>
      </c>
      <c r="D287" s="3" t="s">
        <v>114</v>
      </c>
      <c r="E287" s="3" t="str">
        <f>VLOOKUP(Tabla2[[#This Row],[TIPUS]],Tarifas!$H$12:$I$26,2,0)</f>
        <v>VARIABLE</v>
      </c>
      <c r="F287" t="s">
        <v>559</v>
      </c>
      <c r="G287">
        <v>24</v>
      </c>
      <c r="H287">
        <v>24</v>
      </c>
      <c r="I287">
        <v>0</v>
      </c>
    </row>
    <row r="288" spans="1:9" x14ac:dyDescent="0.2">
      <c r="A288">
        <v>2023</v>
      </c>
      <c r="B288" t="s">
        <v>236</v>
      </c>
      <c r="C288" s="3">
        <v>45176</v>
      </c>
      <c r="D288" s="3" t="s">
        <v>114</v>
      </c>
      <c r="E288" s="3" t="str">
        <f>VLOOKUP(Tabla2[[#This Row],[TIPUS]],Tarifas!$H$12:$I$26,2,0)</f>
        <v>VARIABLE</v>
      </c>
      <c r="F288" t="s">
        <v>562</v>
      </c>
      <c r="G288">
        <v>0</v>
      </c>
      <c r="H288">
        <v>0</v>
      </c>
      <c r="I288">
        <v>0</v>
      </c>
    </row>
    <row r="289" spans="1:9" x14ac:dyDescent="0.2">
      <c r="A289">
        <v>2023</v>
      </c>
      <c r="B289" t="s">
        <v>236</v>
      </c>
      <c r="C289" s="3">
        <v>45194</v>
      </c>
      <c r="D289" s="3" t="s">
        <v>112</v>
      </c>
      <c r="E289" s="3" t="str">
        <f>VLOOKUP(Tabla2[[#This Row],[TIPUS]],Tarifas!$H$12:$I$26,2,0)</f>
        <v>FIX</v>
      </c>
      <c r="F289" t="s">
        <v>557</v>
      </c>
      <c r="G289">
        <v>16.670000000000002</v>
      </c>
      <c r="H289">
        <v>16.670000000000002</v>
      </c>
      <c r="I289">
        <v>0</v>
      </c>
    </row>
    <row r="290" spans="1:9" x14ac:dyDescent="0.2">
      <c r="A290">
        <v>2023</v>
      </c>
      <c r="B290" t="s">
        <v>236</v>
      </c>
      <c r="C290" s="3">
        <v>45194</v>
      </c>
      <c r="D290" s="3" t="s">
        <v>112</v>
      </c>
      <c r="E290" s="3" t="str">
        <f>VLOOKUP(Tabla2[[#This Row],[TIPUS]],Tarifas!$H$12:$I$26,2,0)</f>
        <v>FIX</v>
      </c>
      <c r="F290" t="s">
        <v>557</v>
      </c>
      <c r="G290">
        <v>70.78</v>
      </c>
      <c r="H290">
        <v>70.78</v>
      </c>
      <c r="I290">
        <v>0</v>
      </c>
    </row>
    <row r="291" spans="1:9" x14ac:dyDescent="0.2">
      <c r="A291">
        <v>2023</v>
      </c>
      <c r="B291" t="s">
        <v>236</v>
      </c>
      <c r="C291" s="3">
        <v>45199</v>
      </c>
      <c r="D291" s="3" t="s">
        <v>162</v>
      </c>
      <c r="E291" s="3" t="str">
        <f>VLOOKUP(Tabla2[[#This Row],[TIPUS]],Tarifas!$H$12:$I$26,2,0)</f>
        <v>VARIABLE</v>
      </c>
      <c r="F291" t="s">
        <v>410</v>
      </c>
      <c r="G291">
        <v>135</v>
      </c>
      <c r="H291">
        <v>0</v>
      </c>
      <c r="I291">
        <v>135</v>
      </c>
    </row>
    <row r="292" spans="1:9" x14ac:dyDescent="0.2">
      <c r="A292">
        <v>2023</v>
      </c>
      <c r="B292" t="s">
        <v>63</v>
      </c>
      <c r="C292" s="3">
        <v>45200</v>
      </c>
      <c r="D292" s="3" t="s">
        <v>106</v>
      </c>
      <c r="E292" s="3" t="str">
        <f>VLOOKUP(Tabla2[[#This Row],[TIPUS]],Tarifas!$H$12:$I$26,2,0)</f>
        <v>FIX</v>
      </c>
      <c r="F292" t="s">
        <v>563</v>
      </c>
      <c r="G292">
        <v>60.5</v>
      </c>
      <c r="H292">
        <v>60.5</v>
      </c>
      <c r="I292">
        <v>0</v>
      </c>
    </row>
    <row r="293" spans="1:9" x14ac:dyDescent="0.2">
      <c r="A293">
        <v>2023</v>
      </c>
      <c r="B293" t="s">
        <v>63</v>
      </c>
      <c r="C293" s="3">
        <v>45205</v>
      </c>
      <c r="D293" s="3" t="s">
        <v>114</v>
      </c>
      <c r="E293" s="3" t="str">
        <f>VLOOKUP(Tabla2[[#This Row],[TIPUS]],Tarifas!$H$12:$I$26,2,0)</f>
        <v>VARIABLE</v>
      </c>
      <c r="F293" t="s">
        <v>569</v>
      </c>
      <c r="G293">
        <v>16.989999999999998</v>
      </c>
      <c r="H293">
        <v>16.989999999999998</v>
      </c>
      <c r="I293">
        <v>0</v>
      </c>
    </row>
    <row r="294" spans="1:9" x14ac:dyDescent="0.2">
      <c r="A294">
        <v>2023</v>
      </c>
      <c r="B294" t="s">
        <v>63</v>
      </c>
      <c r="C294" s="3">
        <v>45206</v>
      </c>
      <c r="D294" s="3" t="s">
        <v>114</v>
      </c>
      <c r="E294" s="3" t="str">
        <f>VLOOKUP(Tabla2[[#This Row],[TIPUS]],Tarifas!$H$12:$I$26,2,0)</f>
        <v>VARIABLE</v>
      </c>
      <c r="F294" t="s">
        <v>206</v>
      </c>
      <c r="G294">
        <v>68.400000000000006</v>
      </c>
      <c r="H294">
        <v>68.400000000000006</v>
      </c>
      <c r="I294">
        <v>0</v>
      </c>
    </row>
    <row r="295" spans="1:9" x14ac:dyDescent="0.2">
      <c r="A295">
        <v>2023</v>
      </c>
      <c r="B295" t="s">
        <v>63</v>
      </c>
      <c r="C295" s="3">
        <v>45206</v>
      </c>
      <c r="D295" s="3" t="s">
        <v>104</v>
      </c>
      <c r="E295" s="3" t="str">
        <f>VLOOKUP(Tabla2[[#This Row],[TIPUS]],Tarifas!$H$12:$I$26,2,0)</f>
        <v>FIX</v>
      </c>
      <c r="F295" t="s">
        <v>563</v>
      </c>
      <c r="G295">
        <v>558</v>
      </c>
      <c r="H295">
        <v>408</v>
      </c>
      <c r="I295">
        <v>150</v>
      </c>
    </row>
    <row r="296" spans="1:9" x14ac:dyDescent="0.2">
      <c r="A296">
        <v>2023</v>
      </c>
      <c r="B296" t="s">
        <v>63</v>
      </c>
      <c r="C296" s="3">
        <v>45213</v>
      </c>
      <c r="D296" s="3" t="s">
        <v>128</v>
      </c>
      <c r="E296" s="3" t="str">
        <f>VLOOKUP(Tabla2[[#This Row],[TIPUS]],Tarifas!$H$12:$I$26,2,0)</f>
        <v>INVERSIONS</v>
      </c>
      <c r="F296" t="s">
        <v>570</v>
      </c>
      <c r="G296">
        <f>9.99*40</f>
        <v>399.6</v>
      </c>
      <c r="H296">
        <v>0</v>
      </c>
      <c r="I296">
        <v>399.6</v>
      </c>
    </row>
    <row r="297" spans="1:9" x14ac:dyDescent="0.2">
      <c r="A297">
        <v>2023</v>
      </c>
      <c r="B297" t="s">
        <v>63</v>
      </c>
      <c r="C297" s="3">
        <v>45213</v>
      </c>
      <c r="D297" s="3" t="s">
        <v>114</v>
      </c>
      <c r="E297" s="3" t="str">
        <f>VLOOKUP(Tabla2[[#This Row],[TIPUS]],Tarifas!$H$12:$I$26,2,0)</f>
        <v>VARIABLE</v>
      </c>
      <c r="F297" t="s">
        <v>571</v>
      </c>
      <c r="G297">
        <v>17.95</v>
      </c>
      <c r="H297">
        <v>17.95</v>
      </c>
      <c r="I297">
        <v>0</v>
      </c>
    </row>
    <row r="298" spans="1:9" x14ac:dyDescent="0.2">
      <c r="A298">
        <v>2023</v>
      </c>
      <c r="B298" t="s">
        <v>63</v>
      </c>
      <c r="C298" s="3">
        <v>45213</v>
      </c>
      <c r="D298" s="3" t="s">
        <v>128</v>
      </c>
      <c r="E298" s="3" t="str">
        <f>VLOOKUP(Tabla2[[#This Row],[TIPUS]],Tarifas!$H$12:$I$26,2,0)</f>
        <v>INVERSIONS</v>
      </c>
      <c r="F298" t="s">
        <v>195</v>
      </c>
      <c r="G298">
        <v>55.41</v>
      </c>
      <c r="H298">
        <v>0</v>
      </c>
      <c r="I298">
        <v>55.41</v>
      </c>
    </row>
    <row r="299" spans="1:9" x14ac:dyDescent="0.2">
      <c r="A299">
        <v>2023</v>
      </c>
      <c r="B299" t="s">
        <v>63</v>
      </c>
      <c r="C299" s="3">
        <v>45213</v>
      </c>
      <c r="D299" s="3" t="s">
        <v>110</v>
      </c>
      <c r="E299" s="3" t="str">
        <f>VLOOKUP(Tabla2[[#This Row],[TIPUS]],Tarifas!$H$12:$I$26,2,0)</f>
        <v>VARIABLE</v>
      </c>
      <c r="F299" t="s">
        <v>563</v>
      </c>
      <c r="G299">
        <f>535.55-408</f>
        <v>127.54999999999995</v>
      </c>
      <c r="H299">
        <v>127.55</v>
      </c>
      <c r="I299">
        <v>0</v>
      </c>
    </row>
    <row r="300" spans="1:9" x14ac:dyDescent="0.2">
      <c r="A300">
        <v>2023</v>
      </c>
      <c r="B300" t="s">
        <v>63</v>
      </c>
      <c r="C300" s="3">
        <v>45219</v>
      </c>
      <c r="D300" s="3" t="s">
        <v>188</v>
      </c>
      <c r="E300" s="3" t="str">
        <f>VLOOKUP(Tabla2[[#This Row],[TIPUS]],Tarifas!$H$12:$I$26,2,0)</f>
        <v>IMPOSTOS</v>
      </c>
      <c r="F300" t="s">
        <v>316</v>
      </c>
      <c r="G300">
        <f>797.77+228</f>
        <v>1025.77</v>
      </c>
      <c r="H300">
        <f>797.77+228</f>
        <v>1025.77</v>
      </c>
      <c r="I300">
        <v>0</v>
      </c>
    </row>
    <row r="301" spans="1:9" x14ac:dyDescent="0.2">
      <c r="A301">
        <v>2023</v>
      </c>
      <c r="B301" t="s">
        <v>63</v>
      </c>
      <c r="C301" s="3">
        <v>45228</v>
      </c>
      <c r="D301" s="3" t="s">
        <v>162</v>
      </c>
      <c r="E301" s="3" t="str">
        <f>VLOOKUP(Tabla2[[#This Row],[TIPUS]],Tarifas!$H$12:$I$26,2,0)</f>
        <v>VARIABLE</v>
      </c>
      <c r="F301" t="s">
        <v>550</v>
      </c>
      <c r="G301">
        <v>50</v>
      </c>
      <c r="H301">
        <v>0</v>
      </c>
      <c r="I301">
        <v>50</v>
      </c>
    </row>
    <row r="302" spans="1:9" x14ac:dyDescent="0.2">
      <c r="A302">
        <v>2023</v>
      </c>
      <c r="B302" t="s">
        <v>63</v>
      </c>
      <c r="C302" s="3">
        <v>45228</v>
      </c>
      <c r="D302" s="3" t="s">
        <v>112</v>
      </c>
      <c r="E302" s="3" t="str">
        <f>VLOOKUP(Tabla2[[#This Row],[TIPUS]],Tarifas!$H$12:$I$26,2,0)</f>
        <v>FIX</v>
      </c>
      <c r="F302" t="s">
        <v>563</v>
      </c>
      <c r="G302">
        <v>77.400000000000006</v>
      </c>
      <c r="H302">
        <v>77.400000000000006</v>
      </c>
      <c r="I302">
        <v>0</v>
      </c>
    </row>
    <row r="303" spans="1:9" x14ac:dyDescent="0.2">
      <c r="A303">
        <v>2023</v>
      </c>
      <c r="B303" t="s">
        <v>63</v>
      </c>
      <c r="C303" s="3">
        <v>45228</v>
      </c>
      <c r="D303" s="3" t="s">
        <v>112</v>
      </c>
      <c r="E303" s="3" t="str">
        <f>VLOOKUP(Tabla2[[#This Row],[TIPUS]],Tarifas!$H$12:$I$26,2,0)</f>
        <v>FIX</v>
      </c>
      <c r="F303" t="s">
        <v>563</v>
      </c>
      <c r="G303">
        <v>40.9</v>
      </c>
      <c r="H303">
        <v>40.9</v>
      </c>
      <c r="I303">
        <v>0</v>
      </c>
    </row>
    <row r="304" spans="1:9" x14ac:dyDescent="0.2">
      <c r="A304">
        <v>2023</v>
      </c>
      <c r="B304" t="s">
        <v>63</v>
      </c>
      <c r="C304" s="3">
        <v>45230</v>
      </c>
      <c r="D304" s="3" t="s">
        <v>162</v>
      </c>
      <c r="E304" s="3" t="str">
        <f>VLOOKUP(Tabla2[[#This Row],[TIPUS]],Tarifas!$H$12:$I$26,2,0)</f>
        <v>VARIABLE</v>
      </c>
      <c r="F304" t="s">
        <v>410</v>
      </c>
      <c r="G304">
        <v>240</v>
      </c>
      <c r="H304">
        <v>0</v>
      </c>
      <c r="I304">
        <v>240</v>
      </c>
    </row>
    <row r="305" spans="1:9" x14ac:dyDescent="0.2">
      <c r="A305">
        <v>2023</v>
      </c>
      <c r="B305" t="s">
        <v>63</v>
      </c>
      <c r="C305" s="3">
        <v>45230</v>
      </c>
      <c r="D305" s="3" t="s">
        <v>114</v>
      </c>
      <c r="E305" s="3" t="str">
        <f>VLOOKUP(Tabla2[[#This Row],[TIPUS]],Tarifas!$H$12:$I$26,2,0)</f>
        <v>VARIABLE</v>
      </c>
      <c r="F305" t="s">
        <v>592</v>
      </c>
      <c r="G305">
        <v>20</v>
      </c>
      <c r="H305">
        <v>0</v>
      </c>
      <c r="I305">
        <v>20</v>
      </c>
    </row>
    <row r="306" spans="1:9" x14ac:dyDescent="0.2">
      <c r="A306">
        <v>2023</v>
      </c>
      <c r="B306" t="s">
        <v>64</v>
      </c>
      <c r="C306" s="3">
        <v>45231</v>
      </c>
      <c r="D306" s="3" t="s">
        <v>112</v>
      </c>
      <c r="E306" s="3" t="str">
        <f>VLOOKUP(Tabla2[[#This Row],[TIPUS]],Tarifas!$H$12:$I$26,2,0)</f>
        <v>FIX</v>
      </c>
      <c r="F306" t="s">
        <v>596</v>
      </c>
      <c r="G306">
        <f>-(10.14+16.66)</f>
        <v>-26.8</v>
      </c>
      <c r="H306">
        <f>-(10.14+16.66)</f>
        <v>-26.8</v>
      </c>
      <c r="I306">
        <v>0</v>
      </c>
    </row>
    <row r="307" spans="1:9" x14ac:dyDescent="0.2">
      <c r="A307">
        <v>2023</v>
      </c>
      <c r="B307" t="s">
        <v>64</v>
      </c>
      <c r="C307" s="3">
        <v>45232</v>
      </c>
      <c r="D307" s="3" t="s">
        <v>106</v>
      </c>
      <c r="E307" s="3" t="str">
        <f>VLOOKUP(Tabla2[[#This Row],[TIPUS]],Tarifas!$H$12:$I$26,2,0)</f>
        <v>FIX</v>
      </c>
      <c r="F307" t="s">
        <v>597</v>
      </c>
      <c r="G307">
        <v>60.5</v>
      </c>
      <c r="H307">
        <v>60.5</v>
      </c>
      <c r="I307">
        <v>0</v>
      </c>
    </row>
    <row r="308" spans="1:9" x14ac:dyDescent="0.2">
      <c r="A308">
        <v>2023</v>
      </c>
      <c r="B308" t="s">
        <v>64</v>
      </c>
      <c r="C308" s="3">
        <v>45237</v>
      </c>
      <c r="D308" s="3" t="s">
        <v>104</v>
      </c>
      <c r="E308" s="3" t="str">
        <f>VLOOKUP(Tabla2[[#This Row],[TIPUS]],Tarifas!$H$12:$I$26,2,0)</f>
        <v>FIX</v>
      </c>
      <c r="F308" t="s">
        <v>597</v>
      </c>
      <c r="G308">
        <v>558</v>
      </c>
      <c r="H308">
        <v>408</v>
      </c>
      <c r="I308">
        <v>150</v>
      </c>
    </row>
    <row r="309" spans="1:9" x14ac:dyDescent="0.2">
      <c r="A309">
        <v>2023</v>
      </c>
      <c r="B309" t="s">
        <v>64</v>
      </c>
      <c r="C309" s="3">
        <v>45237</v>
      </c>
      <c r="D309" s="3" t="s">
        <v>110</v>
      </c>
      <c r="E309" s="3" t="str">
        <f>VLOOKUP(Tabla2[[#This Row],[TIPUS]],Tarifas!$H$12:$I$26,2,0)</f>
        <v>VARIABLE</v>
      </c>
      <c r="F309" t="s">
        <v>597</v>
      </c>
      <c r="G309">
        <f>576.95-408</f>
        <v>168.95000000000005</v>
      </c>
      <c r="H309">
        <f>576.95-408</f>
        <v>168.95000000000005</v>
      </c>
      <c r="I309">
        <v>0</v>
      </c>
    </row>
    <row r="310" spans="1:9" x14ac:dyDescent="0.2">
      <c r="A310">
        <v>2023</v>
      </c>
      <c r="B310" t="s">
        <v>64</v>
      </c>
      <c r="C310" s="3">
        <v>45245</v>
      </c>
      <c r="D310" s="3" t="s">
        <v>112</v>
      </c>
      <c r="E310" s="3" t="str">
        <f>VLOOKUP(Tabla2[[#This Row],[TIPUS]],Tarifas!$H$12:$I$26,2,0)</f>
        <v>FIX</v>
      </c>
      <c r="F310" t="s">
        <v>596</v>
      </c>
      <c r="G310">
        <v>-40.78</v>
      </c>
      <c r="H310">
        <v>-40.78</v>
      </c>
      <c r="I310">
        <v>0</v>
      </c>
    </row>
    <row r="311" spans="1:9" x14ac:dyDescent="0.2">
      <c r="A311">
        <v>2023</v>
      </c>
      <c r="B311" t="s">
        <v>64</v>
      </c>
      <c r="C311" s="3">
        <v>45257</v>
      </c>
      <c r="D311" s="3" t="s">
        <v>112</v>
      </c>
      <c r="E311" s="3" t="str">
        <f>VLOOKUP(Tabla2[[#This Row],[TIPUS]],Tarifas!$H$12:$I$26,2,0)</f>
        <v>FIX</v>
      </c>
      <c r="F311" t="s">
        <v>597</v>
      </c>
      <c r="G311">
        <v>58.68</v>
      </c>
      <c r="H311">
        <v>58.68</v>
      </c>
      <c r="I311">
        <v>0</v>
      </c>
    </row>
    <row r="312" spans="1:9" x14ac:dyDescent="0.2">
      <c r="A312">
        <v>2023</v>
      </c>
      <c r="B312" t="s">
        <v>64</v>
      </c>
      <c r="C312" s="3">
        <v>45257</v>
      </c>
      <c r="D312" s="3" t="s">
        <v>112</v>
      </c>
      <c r="E312" s="3" t="str">
        <f>VLOOKUP(Tabla2[[#This Row],[TIPUS]],Tarifas!$H$12:$I$26,2,0)</f>
        <v>FIX</v>
      </c>
      <c r="F312" t="s">
        <v>597</v>
      </c>
      <c r="G312">
        <v>9.24</v>
      </c>
      <c r="H312">
        <v>9.24</v>
      </c>
      <c r="I312">
        <v>0</v>
      </c>
    </row>
    <row r="313" spans="1:9" x14ac:dyDescent="0.2">
      <c r="A313">
        <v>2023</v>
      </c>
      <c r="B313" t="s">
        <v>64</v>
      </c>
      <c r="C313" s="3">
        <v>45260</v>
      </c>
      <c r="D313" s="3" t="s">
        <v>162</v>
      </c>
      <c r="E313" s="3" t="str">
        <f>VLOOKUP(Tabla2[[#This Row],[TIPUS]],Tarifas!$H$12:$I$26,2,0)</f>
        <v>VARIABLE</v>
      </c>
      <c r="F313" t="s">
        <v>410</v>
      </c>
      <c r="G313">
        <v>210</v>
      </c>
      <c r="H313">
        <v>0</v>
      </c>
      <c r="I313">
        <v>210</v>
      </c>
    </row>
    <row r="314" spans="1:9" x14ac:dyDescent="0.2">
      <c r="A314">
        <v>2023</v>
      </c>
      <c r="B314" t="s">
        <v>65</v>
      </c>
      <c r="C314" s="3">
        <v>45261</v>
      </c>
      <c r="D314" s="3" t="s">
        <v>106</v>
      </c>
      <c r="E314" s="3" t="str">
        <f>VLOOKUP(Tabla2[[#This Row],[TIPUS]],Tarifas!$H$12:$I$26,2,0)</f>
        <v>FIX</v>
      </c>
      <c r="F314" t="s">
        <v>385</v>
      </c>
      <c r="G314">
        <v>60.5</v>
      </c>
      <c r="H314">
        <v>60.5</v>
      </c>
      <c r="I314">
        <v>0</v>
      </c>
    </row>
    <row r="315" spans="1:9" x14ac:dyDescent="0.2">
      <c r="A315">
        <v>2023</v>
      </c>
      <c r="B315" t="s">
        <v>65</v>
      </c>
      <c r="C315" s="3">
        <v>45261</v>
      </c>
      <c r="D315" s="3" t="s">
        <v>112</v>
      </c>
      <c r="E315" s="3" t="str">
        <f>VLOOKUP(Tabla2[[#This Row],[TIPUS]],Tarifas!$H$12:$I$26,2,0)</f>
        <v>FIX</v>
      </c>
      <c r="F315" t="s">
        <v>596</v>
      </c>
      <c r="G315">
        <v>-11.52</v>
      </c>
      <c r="H315">
        <v>-11.52</v>
      </c>
      <c r="I315">
        <v>0</v>
      </c>
    </row>
    <row r="316" spans="1:9" x14ac:dyDescent="0.2">
      <c r="A316">
        <v>2023</v>
      </c>
      <c r="B316" t="s">
        <v>65</v>
      </c>
      <c r="C316" s="3">
        <v>45263</v>
      </c>
      <c r="D316" s="3" t="s">
        <v>162</v>
      </c>
      <c r="E316" s="3" t="str">
        <f>VLOOKUP(Tabla2[[#This Row],[TIPUS]],Tarifas!$H$12:$I$26,2,0)</f>
        <v>VARIABLE</v>
      </c>
      <c r="F316" t="s">
        <v>550</v>
      </c>
      <c r="G316">
        <v>350</v>
      </c>
      <c r="H316">
        <v>0</v>
      </c>
      <c r="I316">
        <v>350</v>
      </c>
    </row>
    <row r="317" spans="1:9" x14ac:dyDescent="0.2">
      <c r="A317">
        <v>2023</v>
      </c>
      <c r="B317" t="s">
        <v>65</v>
      </c>
      <c r="C317" s="3">
        <v>45263</v>
      </c>
      <c r="D317" s="3" t="s">
        <v>114</v>
      </c>
      <c r="E317" s="3" t="str">
        <f>VLOOKUP(Tabla2[[#This Row],[TIPUS]],Tarifas!$H$12:$I$26,2,0)</f>
        <v>VARIABLE</v>
      </c>
      <c r="F317" t="s">
        <v>525</v>
      </c>
      <c r="G317">
        <v>90</v>
      </c>
      <c r="H317">
        <v>0</v>
      </c>
      <c r="I317">
        <v>90</v>
      </c>
    </row>
    <row r="318" spans="1:9" x14ac:dyDescent="0.2">
      <c r="A318">
        <v>2023</v>
      </c>
      <c r="B318" t="s">
        <v>65</v>
      </c>
      <c r="C318" s="3">
        <v>45264</v>
      </c>
      <c r="D318" s="3" t="s">
        <v>119</v>
      </c>
      <c r="E318" s="3" t="str">
        <f>VLOOKUP(Tabla2[[#This Row],[TIPUS]],Tarifas!$H$12:$I$26,2,0)</f>
        <v>FIX</v>
      </c>
      <c r="F318" t="s">
        <v>598</v>
      </c>
      <c r="G318">
        <v>603.79</v>
      </c>
      <c r="H318">
        <v>603.79</v>
      </c>
      <c r="I318">
        <v>0</v>
      </c>
    </row>
    <row r="319" spans="1:9" x14ac:dyDescent="0.2">
      <c r="A319">
        <v>2023</v>
      </c>
      <c r="B319" t="s">
        <v>65</v>
      </c>
      <c r="C319" s="3">
        <v>45264</v>
      </c>
      <c r="D319" s="3" t="s">
        <v>119</v>
      </c>
      <c r="E319" s="3" t="str">
        <f>VLOOKUP(Tabla2[[#This Row],[TIPUS]],Tarifas!$H$12:$I$26,2,0)</f>
        <v>FIX</v>
      </c>
      <c r="F319" t="s">
        <v>97</v>
      </c>
      <c r="G319">
        <v>22.99</v>
      </c>
      <c r="H319">
        <v>22.99</v>
      </c>
      <c r="I319">
        <v>0</v>
      </c>
    </row>
    <row r="320" spans="1:9" x14ac:dyDescent="0.2">
      <c r="A320">
        <v>2023</v>
      </c>
      <c r="B320" t="s">
        <v>65</v>
      </c>
      <c r="C320" s="3">
        <v>45266</v>
      </c>
      <c r="D320" s="3" t="s">
        <v>104</v>
      </c>
      <c r="E320" s="3" t="str">
        <f>VLOOKUP(Tabla2[[#This Row],[TIPUS]],Tarifas!$H$12:$I$26,2,0)</f>
        <v>FIX</v>
      </c>
      <c r="F320" t="s">
        <v>385</v>
      </c>
      <c r="G320">
        <v>558</v>
      </c>
      <c r="H320">
        <v>408</v>
      </c>
      <c r="I320">
        <v>150</v>
      </c>
    </row>
    <row r="321" spans="1:9" x14ac:dyDescent="0.2">
      <c r="A321">
        <v>2023</v>
      </c>
      <c r="B321" t="s">
        <v>65</v>
      </c>
      <c r="C321" s="3">
        <v>45266</v>
      </c>
      <c r="D321" s="3" t="s">
        <v>110</v>
      </c>
      <c r="E321" s="3" t="str">
        <f>VLOOKUP(Tabla2[[#This Row],[TIPUS]],Tarifas!$H$12:$I$26,2,0)</f>
        <v>VARIABLE</v>
      </c>
      <c r="F321" t="s">
        <v>385</v>
      </c>
      <c r="G321">
        <f>582.29-408</f>
        <v>174.28999999999996</v>
      </c>
      <c r="H321">
        <f>582.29-408</f>
        <v>174.28999999999996</v>
      </c>
      <c r="I321">
        <v>0</v>
      </c>
    </row>
    <row r="322" spans="1:9" x14ac:dyDescent="0.2">
      <c r="A322">
        <v>2023</v>
      </c>
      <c r="B322" t="s">
        <v>65</v>
      </c>
      <c r="C322" s="3">
        <v>373985</v>
      </c>
      <c r="D322" s="3" t="s">
        <v>114</v>
      </c>
      <c r="E322" s="3" t="str">
        <f>VLOOKUP(Tabla2[[#This Row],[TIPUS]],Tarifas!$H$12:$I$26,2,0)</f>
        <v>VARIABLE</v>
      </c>
      <c r="F322" t="s">
        <v>206</v>
      </c>
      <c r="G322">
        <v>18.649999999999999</v>
      </c>
      <c r="H322">
        <v>18.649999999999999</v>
      </c>
      <c r="I322">
        <v>0</v>
      </c>
    </row>
    <row r="323" spans="1:9" x14ac:dyDescent="0.2">
      <c r="A323">
        <v>2023</v>
      </c>
      <c r="B323" t="s">
        <v>65</v>
      </c>
      <c r="C323" s="3">
        <v>45267</v>
      </c>
      <c r="D323" s="3" t="s">
        <v>128</v>
      </c>
      <c r="E323" s="3" t="str">
        <f>VLOOKUP(Tabla2[[#This Row],[TIPUS]],Tarifas!$H$12:$I$26,2,0)</f>
        <v>INVERSIONS</v>
      </c>
      <c r="F323" t="s">
        <v>601</v>
      </c>
      <c r="G323">
        <v>99</v>
      </c>
      <c r="H323">
        <v>0</v>
      </c>
      <c r="I323">
        <v>99</v>
      </c>
    </row>
    <row r="324" spans="1:9" x14ac:dyDescent="0.2">
      <c r="A324">
        <v>2023</v>
      </c>
      <c r="B324" t="s">
        <v>65</v>
      </c>
      <c r="C324" s="3">
        <v>45273</v>
      </c>
      <c r="D324" s="3" t="s">
        <v>114</v>
      </c>
      <c r="E324" s="3" t="str">
        <f>VLOOKUP(Tabla2[[#This Row],[TIPUS]],Tarifas!$H$12:$I$26,2,0)</f>
        <v>VARIABLE</v>
      </c>
      <c r="F324" t="s">
        <v>375</v>
      </c>
      <c r="G324">
        <v>22</v>
      </c>
      <c r="H324">
        <v>22</v>
      </c>
      <c r="I324">
        <v>0</v>
      </c>
    </row>
    <row r="325" spans="1:9" x14ac:dyDescent="0.2">
      <c r="A325">
        <v>2023</v>
      </c>
      <c r="B325" t="s">
        <v>65</v>
      </c>
      <c r="C325" s="3">
        <v>45273</v>
      </c>
      <c r="D325" s="3" t="s">
        <v>114</v>
      </c>
      <c r="E325" s="3" t="str">
        <f>VLOOKUP(Tabla2[[#This Row],[TIPUS]],Tarifas!$H$12:$I$26,2,0)</f>
        <v>VARIABLE</v>
      </c>
      <c r="F325" t="s">
        <v>603</v>
      </c>
      <c r="G325">
        <v>13.14</v>
      </c>
      <c r="H325">
        <v>13.14</v>
      </c>
      <c r="I325">
        <v>0</v>
      </c>
    </row>
    <row r="326" spans="1:9" x14ac:dyDescent="0.2">
      <c r="A326">
        <v>2023</v>
      </c>
      <c r="B326" t="s">
        <v>65</v>
      </c>
      <c r="C326" s="3">
        <v>45273</v>
      </c>
      <c r="D326" s="3" t="s">
        <v>114</v>
      </c>
      <c r="E326" s="3" t="str">
        <f>VLOOKUP(Tabla2[[#This Row],[TIPUS]],Tarifas!$H$12:$I$26,2,0)</f>
        <v>VARIABLE</v>
      </c>
      <c r="F326" t="s">
        <v>604</v>
      </c>
      <c r="G326">
        <v>11</v>
      </c>
      <c r="H326">
        <v>11</v>
      </c>
      <c r="I326">
        <v>0</v>
      </c>
    </row>
    <row r="327" spans="1:9" x14ac:dyDescent="0.2">
      <c r="A327">
        <v>2023</v>
      </c>
      <c r="B327" t="s">
        <v>65</v>
      </c>
      <c r="C327" s="3">
        <v>45274</v>
      </c>
      <c r="D327" s="3" t="s">
        <v>128</v>
      </c>
      <c r="E327" s="3" t="str">
        <f>VLOOKUP(Tabla2[[#This Row],[TIPUS]],Tarifas!$H$12:$I$26,2,0)</f>
        <v>INVERSIONS</v>
      </c>
      <c r="F327" t="s">
        <v>605</v>
      </c>
      <c r="G327">
        <v>73.98</v>
      </c>
      <c r="H327">
        <v>73.98</v>
      </c>
      <c r="I327">
        <v>0</v>
      </c>
    </row>
    <row r="328" spans="1:9" x14ac:dyDescent="0.2">
      <c r="A328">
        <v>2023</v>
      </c>
      <c r="B328" t="s">
        <v>65</v>
      </c>
      <c r="C328" s="3">
        <v>45277</v>
      </c>
      <c r="D328" s="3" t="s">
        <v>114</v>
      </c>
      <c r="E328" s="3" t="str">
        <f>VLOOKUP(Tabla2[[#This Row],[TIPUS]],Tarifas!$H$12:$I$26,2,0)</f>
        <v>VARIABLE</v>
      </c>
      <c r="F328" t="s">
        <v>164</v>
      </c>
      <c r="G328">
        <v>82</v>
      </c>
      <c r="H328">
        <v>82</v>
      </c>
      <c r="I328">
        <v>0</v>
      </c>
    </row>
    <row r="329" spans="1:9" x14ac:dyDescent="0.2">
      <c r="A329">
        <v>2023</v>
      </c>
      <c r="B329" t="s">
        <v>65</v>
      </c>
      <c r="C329" s="3">
        <v>45277</v>
      </c>
      <c r="D329" s="3" t="s">
        <v>114</v>
      </c>
      <c r="E329" s="3" t="str">
        <f>VLOOKUP(Tabla2[[#This Row],[TIPUS]],Tarifas!$H$12:$I$26,2,0)</f>
        <v>VARIABLE</v>
      </c>
      <c r="F329" t="s">
        <v>606</v>
      </c>
      <c r="G329">
        <v>29.5</v>
      </c>
      <c r="H329">
        <v>29.5</v>
      </c>
      <c r="I329">
        <v>0</v>
      </c>
    </row>
    <row r="330" spans="1:9" x14ac:dyDescent="0.2">
      <c r="A330">
        <v>2023</v>
      </c>
      <c r="B330" t="s">
        <v>65</v>
      </c>
      <c r="C330" s="3">
        <v>45284</v>
      </c>
      <c r="D330" s="3" t="s">
        <v>162</v>
      </c>
      <c r="E330" s="3" t="str">
        <f>VLOOKUP(Tabla2[[#This Row],[TIPUS]],Tarifas!$H$12:$I$26,2,0)</f>
        <v>VARIABLE</v>
      </c>
      <c r="F330" t="s">
        <v>550</v>
      </c>
      <c r="G330">
        <v>70</v>
      </c>
      <c r="H330">
        <v>0</v>
      </c>
      <c r="I330">
        <v>70</v>
      </c>
    </row>
    <row r="331" spans="1:9" x14ac:dyDescent="0.2">
      <c r="A331">
        <v>2023</v>
      </c>
      <c r="B331" t="s">
        <v>65</v>
      </c>
      <c r="C331" s="3">
        <v>45288</v>
      </c>
      <c r="D331" s="3" t="s">
        <v>114</v>
      </c>
      <c r="E331" s="3" t="str">
        <f>VLOOKUP(Tabla2[[#This Row],[TIPUS]],Tarifas!$H$12:$I$26,2,0)</f>
        <v>VARIABLE</v>
      </c>
      <c r="F331" t="s">
        <v>472</v>
      </c>
      <c r="G331">
        <v>63.16</v>
      </c>
      <c r="H331">
        <v>0</v>
      </c>
      <c r="I331" s="185">
        <v>63.16</v>
      </c>
    </row>
    <row r="332" spans="1:9" x14ac:dyDescent="0.2">
      <c r="A332">
        <v>2023</v>
      </c>
      <c r="B332" t="s">
        <v>65</v>
      </c>
      <c r="C332" s="3">
        <v>45288</v>
      </c>
      <c r="D332" s="3" t="s">
        <v>114</v>
      </c>
      <c r="E332" s="3" t="str">
        <f>VLOOKUP(Tabla2[[#This Row],[TIPUS]],Tarifas!$H$12:$I$26,2,0)</f>
        <v>VARIABLE</v>
      </c>
      <c r="F332" t="s">
        <v>206</v>
      </c>
      <c r="G332">
        <v>24.75</v>
      </c>
      <c r="H332">
        <v>24.75</v>
      </c>
      <c r="I332">
        <v>0</v>
      </c>
    </row>
    <row r="333" spans="1:9" x14ac:dyDescent="0.2">
      <c r="A333">
        <v>2023</v>
      </c>
      <c r="B333" t="s">
        <v>65</v>
      </c>
      <c r="C333" s="3">
        <v>45288</v>
      </c>
      <c r="D333" s="3" t="s">
        <v>112</v>
      </c>
      <c r="E333" s="3" t="str">
        <f>VLOOKUP(Tabla2[[#This Row],[TIPUS]],Tarifas!$H$12:$I$26,2,0)</f>
        <v>FIX</v>
      </c>
      <c r="F333" t="s">
        <v>385</v>
      </c>
      <c r="G333">
        <v>53.21</v>
      </c>
      <c r="H333">
        <v>53.21</v>
      </c>
      <c r="I333">
        <v>0</v>
      </c>
    </row>
    <row r="334" spans="1:9" x14ac:dyDescent="0.2">
      <c r="A334">
        <v>2023</v>
      </c>
      <c r="B334" t="s">
        <v>65</v>
      </c>
      <c r="C334" s="3">
        <v>45291</v>
      </c>
      <c r="D334" s="3" t="s">
        <v>114</v>
      </c>
      <c r="E334" s="3" t="str">
        <f>VLOOKUP(Tabla2[[#This Row],[TIPUS]],Tarifas!$H$12:$I$26,2,0)</f>
        <v>VARIABLE</v>
      </c>
      <c r="F334" t="s">
        <v>410</v>
      </c>
      <c r="G334">
        <v>290</v>
      </c>
      <c r="H334">
        <v>0</v>
      </c>
      <c r="I334">
        <v>290</v>
      </c>
    </row>
    <row r="335" spans="1:9" x14ac:dyDescent="0.2">
      <c r="A335">
        <v>2023</v>
      </c>
      <c r="B335" t="s">
        <v>65</v>
      </c>
      <c r="C335" s="3">
        <v>45291</v>
      </c>
      <c r="D335" s="3" t="s">
        <v>128</v>
      </c>
      <c r="E335" s="3" t="str">
        <f>VLOOKUP(Tabla2[[#This Row],[TIPUS]],Tarifas!$H$12:$I$26,2,0)</f>
        <v>INVERSIONS</v>
      </c>
      <c r="F335" t="s">
        <v>443</v>
      </c>
      <c r="G335">
        <v>229.36</v>
      </c>
      <c r="H335">
        <v>229.36</v>
      </c>
      <c r="I335">
        <v>0</v>
      </c>
    </row>
    <row r="336" spans="1:9" x14ac:dyDescent="0.2">
      <c r="A336">
        <v>2024</v>
      </c>
      <c r="B336" t="s">
        <v>48</v>
      </c>
      <c r="C336" s="3">
        <v>45292</v>
      </c>
      <c r="D336" s="3" t="s">
        <v>114</v>
      </c>
      <c r="E336" s="3" t="str">
        <f>VLOOKUP(Tabla2[[#This Row],[TIPUS]],Tarifas!$H$12:$I$26,2,0)</f>
        <v>VARIABLE</v>
      </c>
      <c r="F336" t="s">
        <v>616</v>
      </c>
      <c r="G336">
        <v>45</v>
      </c>
      <c r="H336">
        <v>45</v>
      </c>
      <c r="I336">
        <v>0</v>
      </c>
    </row>
    <row r="337" spans="1:9" x14ac:dyDescent="0.2">
      <c r="A337">
        <v>2024</v>
      </c>
      <c r="B337" t="s">
        <v>48</v>
      </c>
      <c r="C337" s="3">
        <v>45293</v>
      </c>
      <c r="D337" s="3" t="s">
        <v>106</v>
      </c>
      <c r="E337" s="3" t="str">
        <f>VLOOKUP(Tabla2[[#This Row],[TIPUS]],Tarifas!$H$12:$I$26,2,0)</f>
        <v>FIX</v>
      </c>
      <c r="F337" t="s">
        <v>617</v>
      </c>
      <c r="G337">
        <v>60.5</v>
      </c>
      <c r="H337">
        <v>60.5</v>
      </c>
      <c r="I337">
        <v>0</v>
      </c>
    </row>
    <row r="338" spans="1:9" x14ac:dyDescent="0.2">
      <c r="A338">
        <v>2024</v>
      </c>
      <c r="B338" t="s">
        <v>48</v>
      </c>
      <c r="C338" s="3">
        <v>45294</v>
      </c>
      <c r="D338" s="3" t="s">
        <v>104</v>
      </c>
      <c r="E338" s="3" t="str">
        <f>VLOOKUP(Tabla2[[#This Row],[TIPUS]],Tarifas!$H$12:$I$26,2,0)</f>
        <v>FIX</v>
      </c>
      <c r="F338" t="s">
        <v>617</v>
      </c>
      <c r="G338">
        <v>558</v>
      </c>
      <c r="H338">
        <v>408</v>
      </c>
      <c r="I338">
        <v>150</v>
      </c>
    </row>
    <row r="339" spans="1:9" x14ac:dyDescent="0.2">
      <c r="A339">
        <v>2024</v>
      </c>
      <c r="B339" t="s">
        <v>48</v>
      </c>
      <c r="C339" s="3">
        <v>45302</v>
      </c>
      <c r="D339" s="3" t="s">
        <v>110</v>
      </c>
      <c r="E339" s="3" t="str">
        <f>VLOOKUP(Tabla2[[#This Row],[TIPUS]],Tarifas!$H$12:$I$26,2,0)</f>
        <v>VARIABLE</v>
      </c>
      <c r="F339" t="s">
        <v>617</v>
      </c>
      <c r="G339">
        <v>145.51</v>
      </c>
      <c r="H339">
        <f>553.51-408</f>
        <v>145.51</v>
      </c>
      <c r="I339">
        <v>0</v>
      </c>
    </row>
    <row r="340" spans="1:9" x14ac:dyDescent="0.2">
      <c r="A340">
        <v>2024</v>
      </c>
      <c r="B340" t="s">
        <v>48</v>
      </c>
      <c r="C340" s="3">
        <v>45311</v>
      </c>
      <c r="D340" s="3" t="s">
        <v>128</v>
      </c>
      <c r="E340" s="3" t="str">
        <f>VLOOKUP(Tabla2[[#This Row],[TIPUS]],Tarifas!$H$12:$I$26,2,0)</f>
        <v>INVERSIONS</v>
      </c>
      <c r="F340" t="s">
        <v>622</v>
      </c>
      <c r="G340">
        <v>71.239999999999995</v>
      </c>
      <c r="H340">
        <v>0</v>
      </c>
      <c r="I340">
        <v>71.239999999999995</v>
      </c>
    </row>
    <row r="341" spans="1:9" x14ac:dyDescent="0.2">
      <c r="A341">
        <v>2024</v>
      </c>
      <c r="B341" t="s">
        <v>48</v>
      </c>
      <c r="C341" s="3">
        <v>45311</v>
      </c>
      <c r="D341" s="3" t="s">
        <v>114</v>
      </c>
      <c r="E341" s="3" t="str">
        <f>VLOOKUP(Tabla2[[#This Row],[TIPUS]],Tarifas!$H$12:$I$26,2,0)</f>
        <v>VARIABLE</v>
      </c>
      <c r="F341" t="s">
        <v>206</v>
      </c>
      <c r="G341">
        <v>47.2</v>
      </c>
      <c r="H341">
        <v>47.2</v>
      </c>
      <c r="I341">
        <v>0</v>
      </c>
    </row>
    <row r="342" spans="1:9" x14ac:dyDescent="0.2">
      <c r="A342">
        <v>2024</v>
      </c>
      <c r="B342" t="s">
        <v>48</v>
      </c>
      <c r="C342" s="3">
        <v>45314</v>
      </c>
      <c r="D342" s="3" t="s">
        <v>162</v>
      </c>
      <c r="E342" s="3" t="str">
        <f>VLOOKUP(Tabla2[[#This Row],[TIPUS]],Tarifas!$H$12:$I$26,2,0)</f>
        <v>VARIABLE</v>
      </c>
      <c r="F342" t="s">
        <v>550</v>
      </c>
      <c r="G342">
        <v>100</v>
      </c>
      <c r="H342">
        <v>0</v>
      </c>
      <c r="I342">
        <v>100</v>
      </c>
    </row>
    <row r="343" spans="1:9" x14ac:dyDescent="0.2">
      <c r="A343">
        <v>2024</v>
      </c>
      <c r="B343" t="s">
        <v>48</v>
      </c>
      <c r="C343" s="3">
        <v>45314</v>
      </c>
      <c r="D343" s="3" t="s">
        <v>188</v>
      </c>
      <c r="E343" s="3" t="str">
        <f>VLOOKUP(Tabla2[[#This Row],[TIPUS]],Tarifas!$H$12:$I$26,2,0)</f>
        <v>IMPOSTOS</v>
      </c>
      <c r="F343" t="s">
        <v>623</v>
      </c>
      <c r="G343">
        <v>227.97</v>
      </c>
      <c r="H343">
        <v>227.97</v>
      </c>
      <c r="I343">
        <v>0</v>
      </c>
    </row>
    <row r="344" spans="1:9" x14ac:dyDescent="0.2">
      <c r="A344">
        <v>2024</v>
      </c>
      <c r="B344" t="s">
        <v>48</v>
      </c>
      <c r="C344" s="3">
        <v>45314</v>
      </c>
      <c r="D344" s="3" t="s">
        <v>188</v>
      </c>
      <c r="E344" s="3" t="str">
        <f>VLOOKUP(Tabla2[[#This Row],[TIPUS]],Tarifas!$H$12:$I$26,2,0)</f>
        <v>IMPOSTOS</v>
      </c>
      <c r="F344" t="s">
        <v>623</v>
      </c>
      <c r="G344">
        <v>860.2</v>
      </c>
      <c r="H344">
        <v>860.2</v>
      </c>
      <c r="I344">
        <v>0</v>
      </c>
    </row>
    <row r="345" spans="1:9" x14ac:dyDescent="0.2">
      <c r="A345">
        <v>2024</v>
      </c>
      <c r="B345" t="s">
        <v>48</v>
      </c>
      <c r="C345" s="3">
        <v>45316</v>
      </c>
      <c r="D345" s="3" t="s">
        <v>112</v>
      </c>
      <c r="E345" s="3" t="str">
        <f>VLOOKUP(Tabla2[[#This Row],[TIPUS]],Tarifas!$H$12:$I$26,2,0)</f>
        <v>FIX</v>
      </c>
      <c r="F345" t="s">
        <v>617</v>
      </c>
      <c r="G345">
        <v>53.21</v>
      </c>
      <c r="H345">
        <v>53.21</v>
      </c>
      <c r="I345">
        <v>0</v>
      </c>
    </row>
    <row r="346" spans="1:9" x14ac:dyDescent="0.2">
      <c r="A346">
        <v>2024</v>
      </c>
      <c r="B346" t="s">
        <v>48</v>
      </c>
      <c r="C346" s="3">
        <v>45317</v>
      </c>
      <c r="D346" s="3" t="s">
        <v>162</v>
      </c>
      <c r="E346" s="3" t="str">
        <f>VLOOKUP(Tabla2[[#This Row],[TIPUS]],Tarifas!$H$12:$I$26,2,0)</f>
        <v>VARIABLE</v>
      </c>
      <c r="F346" t="s">
        <v>410</v>
      </c>
      <c r="G346">
        <v>190</v>
      </c>
      <c r="H346">
        <v>0</v>
      </c>
      <c r="I346">
        <v>190</v>
      </c>
    </row>
    <row r="347" spans="1:9" x14ac:dyDescent="0.2">
      <c r="A347">
        <v>2024</v>
      </c>
      <c r="B347" t="s">
        <v>56</v>
      </c>
      <c r="C347" s="3">
        <v>45325</v>
      </c>
      <c r="D347" s="3" t="s">
        <v>128</v>
      </c>
      <c r="E347" s="3" t="str">
        <f>VLOOKUP(Tabla2[[#This Row],[TIPUS]],Tarifas!$H$12:$I$26,2,0)</f>
        <v>INVERSIONS</v>
      </c>
      <c r="F347" t="s">
        <v>143</v>
      </c>
      <c r="G347">
        <v>780</v>
      </c>
      <c r="H347">
        <v>780</v>
      </c>
      <c r="I347">
        <v>0</v>
      </c>
    </row>
    <row r="348" spans="1:9" x14ac:dyDescent="0.2">
      <c r="A348">
        <v>2024</v>
      </c>
      <c r="B348" t="s">
        <v>56</v>
      </c>
      <c r="C348" s="3">
        <v>45325</v>
      </c>
      <c r="D348" s="3" t="s">
        <v>106</v>
      </c>
      <c r="E348" s="3" t="str">
        <f>VLOOKUP(Tabla2[[#This Row],[TIPUS]],Tarifas!$H$12:$I$26,2,0)</f>
        <v>FIX</v>
      </c>
      <c r="F348" s="177" t="s">
        <v>625</v>
      </c>
      <c r="G348">
        <v>63.53</v>
      </c>
      <c r="H348">
        <v>63.53</v>
      </c>
      <c r="I348">
        <v>0</v>
      </c>
    </row>
    <row r="349" spans="1:9" x14ac:dyDescent="0.2">
      <c r="A349">
        <v>2024</v>
      </c>
      <c r="B349" t="s">
        <v>56</v>
      </c>
      <c r="C349" s="3">
        <v>45325</v>
      </c>
      <c r="D349" s="3" t="s">
        <v>114</v>
      </c>
      <c r="E349" s="3" t="str">
        <f>VLOOKUP(Tabla2[[#This Row],[TIPUS]],Tarifas!$H$12:$I$26,2,0)</f>
        <v>VARIABLE</v>
      </c>
      <c r="F349" t="s">
        <v>624</v>
      </c>
      <c r="G349">
        <v>6</v>
      </c>
      <c r="H349">
        <v>6</v>
      </c>
      <c r="I349">
        <v>0</v>
      </c>
    </row>
    <row r="350" spans="1:9" x14ac:dyDescent="0.2">
      <c r="A350">
        <v>2024</v>
      </c>
      <c r="B350" t="s">
        <v>56</v>
      </c>
      <c r="C350" s="3">
        <v>45326</v>
      </c>
      <c r="D350" s="3" t="s">
        <v>114</v>
      </c>
      <c r="E350" s="3" t="str">
        <f>VLOOKUP(Tabla2[[#This Row],[TIPUS]],Tarifas!$H$12:$I$26,2,0)</f>
        <v>VARIABLE</v>
      </c>
      <c r="F350" t="s">
        <v>195</v>
      </c>
      <c r="G350">
        <v>23.36</v>
      </c>
      <c r="H350">
        <v>23.36</v>
      </c>
      <c r="I350">
        <v>0</v>
      </c>
    </row>
    <row r="351" spans="1:9" x14ac:dyDescent="0.2">
      <c r="A351">
        <v>2024</v>
      </c>
      <c r="B351" t="s">
        <v>56</v>
      </c>
      <c r="C351" s="3">
        <v>45327</v>
      </c>
      <c r="D351" s="3" t="s">
        <v>114</v>
      </c>
      <c r="E351" s="3" t="str">
        <f>VLOOKUP(Tabla2[[#This Row],[TIPUS]],Tarifas!$H$12:$I$26,2,0)</f>
        <v>VARIABLE</v>
      </c>
      <c r="F351" t="s">
        <v>372</v>
      </c>
      <c r="G351">
        <v>16</v>
      </c>
      <c r="H351">
        <v>0</v>
      </c>
      <c r="I351">
        <v>16</v>
      </c>
    </row>
    <row r="352" spans="1:9" x14ac:dyDescent="0.2">
      <c r="A352">
        <v>2024</v>
      </c>
      <c r="B352" t="s">
        <v>56</v>
      </c>
      <c r="C352" s="3">
        <v>45333</v>
      </c>
      <c r="D352" s="3" t="s">
        <v>114</v>
      </c>
      <c r="E352" s="3" t="str">
        <f>VLOOKUP(Tabla2[[#This Row],[TIPUS]],Tarifas!$H$12:$I$26,2,0)</f>
        <v>VARIABLE</v>
      </c>
      <c r="F352" t="s">
        <v>206</v>
      </c>
      <c r="G352">
        <v>20</v>
      </c>
      <c r="H352">
        <v>0</v>
      </c>
      <c r="I352">
        <v>20</v>
      </c>
    </row>
    <row r="353" spans="1:9" x14ac:dyDescent="0.2">
      <c r="A353">
        <v>2024</v>
      </c>
      <c r="B353" t="s">
        <v>56</v>
      </c>
      <c r="C353" s="3">
        <v>45345</v>
      </c>
      <c r="D353" s="3" t="s">
        <v>162</v>
      </c>
      <c r="E353" s="3" t="str">
        <f>VLOOKUP(Tabla2[[#This Row],[TIPUS]],Tarifas!$H$12:$I$26,2,0)</f>
        <v>VARIABLE</v>
      </c>
      <c r="F353" t="s">
        <v>410</v>
      </c>
      <c r="G353">
        <v>285</v>
      </c>
      <c r="H353">
        <v>0</v>
      </c>
      <c r="I353">
        <v>285</v>
      </c>
    </row>
    <row r="354" spans="1:9" x14ac:dyDescent="0.2">
      <c r="A354">
        <v>2024</v>
      </c>
      <c r="B354" t="s">
        <v>56</v>
      </c>
      <c r="C354" s="3">
        <v>45345</v>
      </c>
      <c r="D354" s="3" t="s">
        <v>162</v>
      </c>
      <c r="E354" s="3" t="str">
        <f>VLOOKUP(Tabla2[[#This Row],[TIPUS]],Tarifas!$H$12:$I$26,2,0)</f>
        <v>VARIABLE</v>
      </c>
      <c r="F354" t="s">
        <v>550</v>
      </c>
      <c r="G354">
        <v>200</v>
      </c>
      <c r="H354">
        <v>0</v>
      </c>
      <c r="I354">
        <v>200</v>
      </c>
    </row>
    <row r="355" spans="1:9" x14ac:dyDescent="0.2">
      <c r="A355">
        <v>2024</v>
      </c>
      <c r="B355" t="s">
        <v>56</v>
      </c>
      <c r="C355" s="3">
        <v>45345</v>
      </c>
      <c r="D355" s="3" t="s">
        <v>110</v>
      </c>
      <c r="E355" s="3" t="str">
        <f>VLOOKUP(Tabla2[[#This Row],[TIPUS]],Tarifas!$H$12:$I$26,2,0)</f>
        <v>VARIABLE</v>
      </c>
      <c r="F355" t="s">
        <v>627</v>
      </c>
      <c r="G355">
        <v>259.52999999999997</v>
      </c>
      <c r="H355">
        <f>667.53-408</f>
        <v>259.52999999999997</v>
      </c>
      <c r="I355">
        <v>0</v>
      </c>
    </row>
    <row r="356" spans="1:9" x14ac:dyDescent="0.2">
      <c r="A356">
        <v>2024</v>
      </c>
      <c r="B356" t="s">
        <v>56</v>
      </c>
      <c r="C356" s="3">
        <v>45345</v>
      </c>
      <c r="D356" s="3" t="s">
        <v>104</v>
      </c>
      <c r="E356" s="3" t="str">
        <f>VLOOKUP(Tabla2[[#This Row],[TIPUS]],Tarifas!$H$12:$I$26,2,0)</f>
        <v>FIX</v>
      </c>
      <c r="F356" t="s">
        <v>627</v>
      </c>
      <c r="G356">
        <v>558</v>
      </c>
      <c r="H356">
        <v>408</v>
      </c>
      <c r="I356">
        <v>150</v>
      </c>
    </row>
    <row r="357" spans="1:9" x14ac:dyDescent="0.2">
      <c r="A357">
        <v>2024</v>
      </c>
      <c r="B357" t="s">
        <v>56</v>
      </c>
      <c r="C357" s="3">
        <v>45348</v>
      </c>
      <c r="D357" s="3" t="s">
        <v>112</v>
      </c>
      <c r="E357" s="3" t="str">
        <f>VLOOKUP(Tabla2[[#This Row],[TIPUS]],Tarifas!$H$12:$I$26,2,0)</f>
        <v>FIX</v>
      </c>
      <c r="F357" t="s">
        <v>625</v>
      </c>
      <c r="G357">
        <v>53.21</v>
      </c>
      <c r="H357">
        <v>53.21</v>
      </c>
      <c r="I357">
        <v>0</v>
      </c>
    </row>
    <row r="358" spans="1:9" x14ac:dyDescent="0.2">
      <c r="A358">
        <v>2024</v>
      </c>
      <c r="B358" t="s">
        <v>57</v>
      </c>
      <c r="C358" s="3">
        <v>45352</v>
      </c>
      <c r="D358" s="3" t="s">
        <v>106</v>
      </c>
      <c r="E358" s="3" t="str">
        <f>VLOOKUP(Tabla2[[#This Row],[TIPUS]],Tarifas!$H$12:$I$26,2,0)</f>
        <v>FIX</v>
      </c>
      <c r="F358" t="s">
        <v>509</v>
      </c>
      <c r="G358">
        <v>63.53</v>
      </c>
      <c r="H358">
        <v>63.53</v>
      </c>
      <c r="I358">
        <v>0</v>
      </c>
    </row>
    <row r="359" spans="1:9" x14ac:dyDescent="0.2">
      <c r="A359">
        <v>2024</v>
      </c>
      <c r="B359" t="s">
        <v>57</v>
      </c>
      <c r="C359" s="3">
        <v>45353</v>
      </c>
      <c r="D359" s="3" t="s">
        <v>114</v>
      </c>
      <c r="E359" s="3" t="str">
        <f>VLOOKUP(Tabla2[[#This Row],[TIPUS]],Tarifas!$H$12:$I$26,2,0)</f>
        <v>VARIABLE</v>
      </c>
      <c r="F359" t="s">
        <v>206</v>
      </c>
      <c r="G359">
        <v>19.95</v>
      </c>
      <c r="H359">
        <v>19.95</v>
      </c>
      <c r="I359">
        <v>0</v>
      </c>
    </row>
    <row r="360" spans="1:9" x14ac:dyDescent="0.2">
      <c r="A360">
        <v>2024</v>
      </c>
      <c r="B360" t="s">
        <v>57</v>
      </c>
      <c r="C360" s="3">
        <v>45366</v>
      </c>
      <c r="D360" s="3" t="s">
        <v>104</v>
      </c>
      <c r="E360" s="3" t="str">
        <f>VLOOKUP(Tabla2[[#This Row],[TIPUS]],Tarifas!$H$12:$I$26,2,0)</f>
        <v>FIX</v>
      </c>
      <c r="F360" t="s">
        <v>509</v>
      </c>
      <c r="G360">
        <v>558</v>
      </c>
      <c r="H360">
        <v>408</v>
      </c>
      <c r="I360">
        <v>150</v>
      </c>
    </row>
    <row r="361" spans="1:9" x14ac:dyDescent="0.2">
      <c r="A361">
        <v>2024</v>
      </c>
      <c r="B361" t="s">
        <v>57</v>
      </c>
      <c r="C361" s="3">
        <v>45366</v>
      </c>
      <c r="D361" s="3" t="s">
        <v>110</v>
      </c>
      <c r="E361" s="3" t="str">
        <f>VLOOKUP(Tabla2[[#This Row],[TIPUS]],Tarifas!$H$12:$I$26,2,0)</f>
        <v>VARIABLE</v>
      </c>
      <c r="F361" t="s">
        <v>509</v>
      </c>
      <c r="G361">
        <f>512.29-408</f>
        <v>104.28999999999996</v>
      </c>
      <c r="H361">
        <v>104.29</v>
      </c>
      <c r="I361">
        <v>0</v>
      </c>
    </row>
    <row r="362" spans="1:9" x14ac:dyDescent="0.2">
      <c r="A362">
        <v>2024</v>
      </c>
      <c r="B362" t="s">
        <v>57</v>
      </c>
      <c r="C362" s="3">
        <v>45380</v>
      </c>
      <c r="D362" s="3" t="s">
        <v>114</v>
      </c>
      <c r="E362" s="3" t="str">
        <f>VLOOKUP(Tabla2[[#This Row],[TIPUS]],Tarifas!$H$12:$I$26,2,0)</f>
        <v>VARIABLE</v>
      </c>
      <c r="F362" t="s">
        <v>474</v>
      </c>
      <c r="G362">
        <v>60</v>
      </c>
      <c r="H362">
        <v>60</v>
      </c>
      <c r="I362">
        <v>0</v>
      </c>
    </row>
    <row r="363" spans="1:9" x14ac:dyDescent="0.2">
      <c r="A363">
        <v>2024</v>
      </c>
      <c r="B363" t="s">
        <v>57</v>
      </c>
      <c r="C363" s="3">
        <v>45376</v>
      </c>
      <c r="D363" s="3" t="s">
        <v>112</v>
      </c>
      <c r="E363" s="3" t="str">
        <f>VLOOKUP(Tabla2[[#This Row],[TIPUS]],Tarifas!$H$12:$I$26,2,0)</f>
        <v>FIX</v>
      </c>
      <c r="F363" t="s">
        <v>509</v>
      </c>
      <c r="G363">
        <v>53.52</v>
      </c>
      <c r="H363">
        <v>53.52</v>
      </c>
      <c r="I363">
        <v>0</v>
      </c>
    </row>
    <row r="364" spans="1:9" x14ac:dyDescent="0.2">
      <c r="A364">
        <v>2024</v>
      </c>
      <c r="B364" t="s">
        <v>57</v>
      </c>
      <c r="C364" s="3">
        <v>45382</v>
      </c>
      <c r="D364" s="3" t="s">
        <v>162</v>
      </c>
      <c r="E364" s="3" t="str">
        <f>VLOOKUP(Tabla2[[#This Row],[TIPUS]],Tarifas!$H$12:$I$26,2,0)</f>
        <v>VARIABLE</v>
      </c>
      <c r="F364" t="s">
        <v>410</v>
      </c>
      <c r="G364">
        <v>150</v>
      </c>
      <c r="H364">
        <v>0</v>
      </c>
      <c r="I364">
        <v>150</v>
      </c>
    </row>
    <row r="365" spans="1:9" x14ac:dyDescent="0.2">
      <c r="A365">
        <v>2024</v>
      </c>
      <c r="B365" t="s">
        <v>58</v>
      </c>
      <c r="C365" s="3">
        <v>45383</v>
      </c>
      <c r="D365" s="3" t="s">
        <v>104</v>
      </c>
      <c r="E365" s="3" t="str">
        <f>VLOOKUP(Tabla2[[#This Row],[TIPUS]],Tarifas!$H$12:$I$26,2,0)</f>
        <v>FIX</v>
      </c>
      <c r="F365" t="s">
        <v>524</v>
      </c>
      <c r="G365">
        <v>558</v>
      </c>
      <c r="H365">
        <v>408</v>
      </c>
      <c r="I365">
        <v>150</v>
      </c>
    </row>
    <row r="366" spans="1:9" x14ac:dyDescent="0.2">
      <c r="A366">
        <v>2024</v>
      </c>
      <c r="B366" t="s">
        <v>58</v>
      </c>
      <c r="C366" s="3">
        <v>45384</v>
      </c>
      <c r="D366" s="3" t="s">
        <v>110</v>
      </c>
      <c r="E366" s="3" t="str">
        <f>VLOOKUP(Tabla2[[#This Row],[TIPUS]],Tarifas!$H$12:$I$26,2,0)</f>
        <v>VARIABLE</v>
      </c>
      <c r="F366" t="s">
        <v>524</v>
      </c>
      <c r="G366">
        <f>484.5-408</f>
        <v>76.5</v>
      </c>
      <c r="H366">
        <f>484.5-408</f>
        <v>76.5</v>
      </c>
      <c r="I366">
        <v>0</v>
      </c>
    </row>
    <row r="367" spans="1:9" x14ac:dyDescent="0.2">
      <c r="A367">
        <v>2024</v>
      </c>
      <c r="B367" t="s">
        <v>58</v>
      </c>
      <c r="C367" s="3">
        <v>45384</v>
      </c>
      <c r="D367" s="3" t="s">
        <v>106</v>
      </c>
      <c r="E367" s="3" t="str">
        <f>VLOOKUP(Tabla2[[#This Row],[TIPUS]],Tarifas!$H$12:$I$26,2,0)</f>
        <v>FIX</v>
      </c>
      <c r="F367" t="s">
        <v>524</v>
      </c>
      <c r="G367">
        <v>63.53</v>
      </c>
      <c r="H367">
        <v>63.53</v>
      </c>
      <c r="I367">
        <v>0</v>
      </c>
    </row>
    <row r="368" spans="1:9" x14ac:dyDescent="0.2">
      <c r="A368">
        <v>2024</v>
      </c>
      <c r="B368" t="s">
        <v>58</v>
      </c>
      <c r="C368" s="3">
        <v>45404</v>
      </c>
      <c r="D368" s="3" t="s">
        <v>188</v>
      </c>
      <c r="E368" s="3" t="str">
        <f>VLOOKUP(Tabla2[[#This Row],[TIPUS]],Tarifas!$H$12:$I$26,2,0)</f>
        <v>IMPOSTOS</v>
      </c>
      <c r="F368" t="s">
        <v>639</v>
      </c>
      <c r="G368">
        <v>940.95</v>
      </c>
      <c r="H368">
        <v>940.95</v>
      </c>
      <c r="I368">
        <v>0</v>
      </c>
    </row>
    <row r="369" spans="1:9" x14ac:dyDescent="0.2">
      <c r="A369">
        <v>2024</v>
      </c>
      <c r="B369" t="s">
        <v>58</v>
      </c>
      <c r="C369" s="3">
        <v>45404</v>
      </c>
      <c r="D369" s="3" t="s">
        <v>188</v>
      </c>
      <c r="E369" s="3" t="str">
        <f>VLOOKUP(Tabla2[[#This Row],[TIPUS]],Tarifas!$H$12:$I$26,2,0)</f>
        <v>IMPOSTOS</v>
      </c>
      <c r="F369" t="s">
        <v>639</v>
      </c>
      <c r="G369">
        <v>255.31</v>
      </c>
      <c r="H369">
        <v>255.31</v>
      </c>
      <c r="I369">
        <v>0</v>
      </c>
    </row>
    <row r="370" spans="1:9" x14ac:dyDescent="0.2">
      <c r="A370">
        <v>2024</v>
      </c>
      <c r="B370" t="s">
        <v>58</v>
      </c>
      <c r="C370" s="3">
        <v>45407</v>
      </c>
      <c r="D370" s="3" t="s">
        <v>112</v>
      </c>
      <c r="E370" s="3" t="str">
        <f>VLOOKUP(Tabla2[[#This Row],[TIPUS]],Tarifas!$H$12:$I$26,2,0)</f>
        <v>FIX</v>
      </c>
      <c r="F370" t="s">
        <v>524</v>
      </c>
      <c r="G370">
        <v>53.21</v>
      </c>
      <c r="H370">
        <v>53.21</v>
      </c>
      <c r="I370">
        <v>0</v>
      </c>
    </row>
    <row r="371" spans="1:9" x14ac:dyDescent="0.2">
      <c r="A371">
        <v>2024</v>
      </c>
      <c r="B371" t="s">
        <v>58</v>
      </c>
      <c r="C371" s="3">
        <v>45408</v>
      </c>
      <c r="D371" s="3" t="s">
        <v>162</v>
      </c>
      <c r="E371" s="3" t="str">
        <f>VLOOKUP(Tabla2[[#This Row],[TIPUS]],Tarifas!$H$12:$I$26,2,0)</f>
        <v>VARIABLE</v>
      </c>
      <c r="F371" t="s">
        <v>410</v>
      </c>
      <c r="G371">
        <v>300</v>
      </c>
      <c r="H371">
        <v>0</v>
      </c>
      <c r="I371">
        <v>300</v>
      </c>
    </row>
    <row r="372" spans="1:9" x14ac:dyDescent="0.2">
      <c r="A372">
        <v>2024</v>
      </c>
      <c r="B372" t="s">
        <v>58</v>
      </c>
      <c r="C372" s="3">
        <v>45408</v>
      </c>
      <c r="D372" s="3" t="s">
        <v>162</v>
      </c>
      <c r="E372" s="3" t="str">
        <f>VLOOKUP(Tabla2[[#This Row],[TIPUS]],Tarifas!$H$12:$I$26,2,0)</f>
        <v>VARIABLE</v>
      </c>
      <c r="F372" t="s">
        <v>550</v>
      </c>
      <c r="G372">
        <v>50</v>
      </c>
      <c r="H372">
        <v>0</v>
      </c>
      <c r="I372">
        <v>50</v>
      </c>
    </row>
    <row r="373" spans="1:9" x14ac:dyDescent="0.2">
      <c r="A373">
        <v>2024</v>
      </c>
      <c r="B373" t="s">
        <v>59</v>
      </c>
      <c r="C373" s="3">
        <v>45416</v>
      </c>
      <c r="D373" s="3" t="s">
        <v>114</v>
      </c>
      <c r="E373" s="3" t="str">
        <f>VLOOKUP(Tabla2[[#This Row],[TIPUS]],Tarifas!$H$12:$I$26,2,0)</f>
        <v>VARIABLE</v>
      </c>
      <c r="F373" t="s">
        <v>206</v>
      </c>
      <c r="G373">
        <v>36.65</v>
      </c>
      <c r="H373">
        <v>36.65</v>
      </c>
      <c r="I373">
        <v>0</v>
      </c>
    </row>
    <row r="374" spans="1:9" x14ac:dyDescent="0.2">
      <c r="A374">
        <v>2024</v>
      </c>
      <c r="B374" t="s">
        <v>59</v>
      </c>
      <c r="C374" s="3">
        <v>45418</v>
      </c>
      <c r="D374" s="3" t="s">
        <v>107</v>
      </c>
      <c r="E374" s="3" t="str">
        <f>VLOOKUP(Tabla2[[#This Row],[TIPUS]],Tarifas!$H$12:$I$26,2,0)</f>
        <v>FIX</v>
      </c>
      <c r="F374" t="s">
        <v>642</v>
      </c>
      <c r="G374">
        <v>339.43</v>
      </c>
      <c r="H374">
        <v>339.43</v>
      </c>
      <c r="I374">
        <v>0</v>
      </c>
    </row>
    <row r="375" spans="1:9" x14ac:dyDescent="0.2">
      <c r="A375">
        <v>2024</v>
      </c>
      <c r="B375" t="s">
        <v>59</v>
      </c>
      <c r="C375" s="3">
        <v>45418</v>
      </c>
      <c r="D375" s="3" t="s">
        <v>106</v>
      </c>
      <c r="E375" s="3" t="str">
        <f>VLOOKUP(Tabla2[[#This Row],[TIPUS]],Tarifas!$H$12:$I$26,2,0)</f>
        <v>FIX</v>
      </c>
      <c r="F375" t="s">
        <v>643</v>
      </c>
      <c r="G375">
        <v>63.53</v>
      </c>
      <c r="H375">
        <v>63.53</v>
      </c>
      <c r="I375">
        <v>0</v>
      </c>
    </row>
    <row r="376" spans="1:9" x14ac:dyDescent="0.2">
      <c r="A376">
        <v>2024</v>
      </c>
      <c r="B376" t="s">
        <v>59</v>
      </c>
      <c r="C376" s="3">
        <v>45423</v>
      </c>
      <c r="D376" s="3" t="s">
        <v>104</v>
      </c>
      <c r="E376" s="3" t="str">
        <f>VLOOKUP(Tabla2[[#This Row],[TIPUS]],Tarifas!$H$12:$I$26,2,0)</f>
        <v>FIX</v>
      </c>
      <c r="F376" t="s">
        <v>643</v>
      </c>
      <c r="G376">
        <v>558</v>
      </c>
      <c r="H376">
        <v>408</v>
      </c>
      <c r="I376">
        <v>150</v>
      </c>
    </row>
    <row r="377" spans="1:9" x14ac:dyDescent="0.2">
      <c r="A377">
        <v>2024</v>
      </c>
      <c r="B377" t="s">
        <v>59</v>
      </c>
      <c r="C377" s="3">
        <v>45423</v>
      </c>
      <c r="D377" s="3" t="s">
        <v>114</v>
      </c>
      <c r="E377" s="3" t="str">
        <f>VLOOKUP(Tabla2[[#This Row],[TIPUS]],Tarifas!$H$12:$I$26,2,0)</f>
        <v>VARIABLE</v>
      </c>
      <c r="F377" t="s">
        <v>644</v>
      </c>
      <c r="G377">
        <v>70</v>
      </c>
      <c r="H377">
        <v>0</v>
      </c>
      <c r="I377">
        <v>70</v>
      </c>
    </row>
    <row r="378" spans="1:9" x14ac:dyDescent="0.2">
      <c r="A378">
        <v>2024</v>
      </c>
      <c r="B378" t="s">
        <v>59</v>
      </c>
      <c r="C378" s="3">
        <v>45427</v>
      </c>
      <c r="D378" s="3" t="s">
        <v>114</v>
      </c>
      <c r="E378" s="3" t="str">
        <f>VLOOKUP(Tabla2[[#This Row],[TIPUS]],Tarifas!$H$12:$I$26,2,0)</f>
        <v>VARIABLE</v>
      </c>
      <c r="F378" t="s">
        <v>645</v>
      </c>
      <c r="G378">
        <v>231.6</v>
      </c>
      <c r="H378">
        <v>0</v>
      </c>
      <c r="I378">
        <v>231.6</v>
      </c>
    </row>
    <row r="379" spans="1:9" x14ac:dyDescent="0.2">
      <c r="A379">
        <v>2024</v>
      </c>
      <c r="B379" t="s">
        <v>59</v>
      </c>
      <c r="C379" s="3">
        <v>45442</v>
      </c>
      <c r="D379" s="3" t="s">
        <v>162</v>
      </c>
      <c r="E379" s="3" t="str">
        <f>VLOOKUP(Tabla2[[#This Row],[TIPUS]],Tarifas!$H$12:$I$26,2,0)</f>
        <v>VARIABLE</v>
      </c>
      <c r="F379" t="s">
        <v>410</v>
      </c>
      <c r="G379">
        <v>225</v>
      </c>
      <c r="H379">
        <v>0</v>
      </c>
      <c r="I379" s="49">
        <v>225</v>
      </c>
    </row>
    <row r="380" spans="1:9" x14ac:dyDescent="0.2">
      <c r="A380">
        <v>2024</v>
      </c>
      <c r="B380" t="s">
        <v>59</v>
      </c>
      <c r="C380" s="3">
        <v>45442</v>
      </c>
      <c r="D380" s="3" t="s">
        <v>112</v>
      </c>
      <c r="E380" s="3" t="str">
        <f>VLOOKUP(Tabla2[[#This Row],[TIPUS]],Tarifas!$H$12:$I$26,2,0)</f>
        <v>FIX</v>
      </c>
      <c r="F380" t="s">
        <v>643</v>
      </c>
      <c r="G380">
        <v>53.71</v>
      </c>
      <c r="H380">
        <v>53.71</v>
      </c>
      <c r="I380">
        <v>0</v>
      </c>
    </row>
    <row r="381" spans="1:9" x14ac:dyDescent="0.2">
      <c r="A381">
        <v>2024</v>
      </c>
      <c r="B381" t="s">
        <v>59</v>
      </c>
      <c r="C381" s="3">
        <v>45442</v>
      </c>
      <c r="D381" s="3" t="s">
        <v>110</v>
      </c>
      <c r="E381" s="3" t="str">
        <f>VLOOKUP(Tabla2[[#This Row],[TIPUS]],Tarifas!$H$12:$I$26,2,0)</f>
        <v>VARIABLE</v>
      </c>
      <c r="F381" t="s">
        <v>643</v>
      </c>
      <c r="G381">
        <v>165.96</v>
      </c>
      <c r="H381">
        <v>165.96</v>
      </c>
      <c r="I381">
        <v>0</v>
      </c>
    </row>
    <row r="382" spans="1:9" x14ac:dyDescent="0.2">
      <c r="A382">
        <v>2024</v>
      </c>
      <c r="B382" t="s">
        <v>59</v>
      </c>
      <c r="C382" s="3">
        <v>45443</v>
      </c>
      <c r="D382" s="3" t="s">
        <v>114</v>
      </c>
      <c r="E382" s="3" t="str">
        <f>VLOOKUP(Tabla2[[#This Row],[TIPUS]],Tarifas!$H$12:$I$26,2,0)</f>
        <v>VARIABLE</v>
      </c>
      <c r="F382" t="s">
        <v>195</v>
      </c>
      <c r="G382">
        <v>70</v>
      </c>
      <c r="H382">
        <v>0</v>
      </c>
      <c r="I382">
        <v>70</v>
      </c>
    </row>
    <row r="383" spans="1:9" x14ac:dyDescent="0.2">
      <c r="A383">
        <v>2024</v>
      </c>
      <c r="B383" t="s">
        <v>60</v>
      </c>
      <c r="C383" s="3">
        <v>45444</v>
      </c>
      <c r="D383" s="3" t="s">
        <v>106</v>
      </c>
      <c r="E383" s="3" t="str">
        <f>VLOOKUP(Tabla2[[#This Row],[TIPUS]],Tarifas!$H$12:$I$26,2,0)</f>
        <v>FIX</v>
      </c>
      <c r="F383" t="s">
        <v>530</v>
      </c>
      <c r="G383">
        <v>63.53</v>
      </c>
      <c r="H383">
        <v>63.53</v>
      </c>
      <c r="I383">
        <v>0</v>
      </c>
    </row>
    <row r="384" spans="1:9" x14ac:dyDescent="0.2">
      <c r="A384">
        <v>2024</v>
      </c>
      <c r="B384" t="s">
        <v>60</v>
      </c>
      <c r="C384" s="3">
        <v>45454</v>
      </c>
      <c r="D384" s="3" t="s">
        <v>114</v>
      </c>
      <c r="E384" s="3" t="str">
        <f>VLOOKUP(Tabla2[[#This Row],[TIPUS]],Tarifas!$H$12:$I$26,2,0)</f>
        <v>VARIABLE</v>
      </c>
      <c r="F384" t="s">
        <v>533</v>
      </c>
      <c r="G384">
        <v>176.36</v>
      </c>
      <c r="H384">
        <v>0</v>
      </c>
      <c r="I384">
        <v>176.36</v>
      </c>
    </row>
    <row r="385" spans="1:9" x14ac:dyDescent="0.2">
      <c r="A385">
        <v>2024</v>
      </c>
      <c r="B385" t="s">
        <v>60</v>
      </c>
      <c r="C385" s="3">
        <v>45458</v>
      </c>
      <c r="D385" s="3" t="s">
        <v>104</v>
      </c>
      <c r="E385" s="3" t="str">
        <f>VLOOKUP(Tabla2[[#This Row],[TIPUS]],Tarifas!$H$12:$I$26,2,0)</f>
        <v>FIX</v>
      </c>
      <c r="F385" t="s">
        <v>530</v>
      </c>
      <c r="G385">
        <v>558</v>
      </c>
      <c r="H385">
        <v>408</v>
      </c>
      <c r="I385">
        <v>150</v>
      </c>
    </row>
    <row r="386" spans="1:9" x14ac:dyDescent="0.2">
      <c r="A386">
        <v>2024</v>
      </c>
      <c r="B386" t="s">
        <v>60</v>
      </c>
      <c r="C386" s="3">
        <v>45466</v>
      </c>
      <c r="D386" s="3" t="s">
        <v>110</v>
      </c>
      <c r="E386" s="3" t="str">
        <f>VLOOKUP(Tabla2[[#This Row],[TIPUS]],Tarifas!$H$12:$I$26,2,0)</f>
        <v>VARIABLE</v>
      </c>
      <c r="F386" t="s">
        <v>530</v>
      </c>
      <c r="G386">
        <f>471.95-408</f>
        <v>63.949999999999989</v>
      </c>
      <c r="H386">
        <f>471.95-408</f>
        <v>63.949999999999989</v>
      </c>
      <c r="I386">
        <v>0</v>
      </c>
    </row>
    <row r="387" spans="1:9" x14ac:dyDescent="0.2">
      <c r="A387">
        <v>2024</v>
      </c>
      <c r="B387" t="s">
        <v>60</v>
      </c>
      <c r="C387" s="3">
        <v>45471</v>
      </c>
      <c r="D387" s="3" t="s">
        <v>162</v>
      </c>
      <c r="E387" s="3" t="str">
        <f>VLOOKUP(Tabla2[[#This Row],[TIPUS]],Tarifas!$H$12:$I$26,2,0)</f>
        <v>VARIABLE</v>
      </c>
      <c r="F387" t="s">
        <v>410</v>
      </c>
      <c r="G387">
        <v>210</v>
      </c>
      <c r="H387">
        <v>0</v>
      </c>
      <c r="I387">
        <v>210</v>
      </c>
    </row>
    <row r="388" spans="1:9" x14ac:dyDescent="0.2">
      <c r="A388">
        <v>2024</v>
      </c>
      <c r="B388" t="s">
        <v>60</v>
      </c>
      <c r="C388" s="3">
        <v>45471</v>
      </c>
      <c r="D388" s="3" t="s">
        <v>112</v>
      </c>
      <c r="E388" s="3" t="str">
        <f>VLOOKUP(Tabla2[[#This Row],[TIPUS]],Tarifas!$H$12:$I$26,2,0)</f>
        <v>FIX</v>
      </c>
      <c r="F388" t="s">
        <v>530</v>
      </c>
      <c r="G388">
        <v>53.21</v>
      </c>
      <c r="H388">
        <v>53.21</v>
      </c>
      <c r="I388">
        <v>0</v>
      </c>
    </row>
    <row r="389" spans="1:9" x14ac:dyDescent="0.2">
      <c r="A389">
        <v>2024</v>
      </c>
      <c r="B389" t="s">
        <v>61</v>
      </c>
      <c r="C389" s="3">
        <v>45483</v>
      </c>
      <c r="D389" s="3" t="s">
        <v>104</v>
      </c>
      <c r="E389" s="3" t="str">
        <f>VLOOKUP(Tabla2[[#This Row],[TIPUS]],Tarifas!$H$12:$I$26,2,0)</f>
        <v>FIX</v>
      </c>
      <c r="F389" t="s">
        <v>652</v>
      </c>
      <c r="G389">
        <v>558</v>
      </c>
      <c r="H389">
        <v>408</v>
      </c>
      <c r="I389">
        <v>150</v>
      </c>
    </row>
    <row r="390" spans="1:9" x14ac:dyDescent="0.2">
      <c r="A390">
        <v>2024</v>
      </c>
      <c r="B390" t="s">
        <v>61</v>
      </c>
      <c r="C390" s="3">
        <v>45483</v>
      </c>
      <c r="D390" s="3" t="s">
        <v>110</v>
      </c>
      <c r="E390" s="3" t="str">
        <f>VLOOKUP(Tabla2[[#This Row],[TIPUS]],Tarifas!$H$12:$I$26,2,0)</f>
        <v>VARIABLE</v>
      </c>
      <c r="F390" t="s">
        <v>652</v>
      </c>
      <c r="G390">
        <v>100.6</v>
      </c>
      <c r="H390">
        <v>100.6</v>
      </c>
      <c r="I390">
        <v>0</v>
      </c>
    </row>
    <row r="391" spans="1:9" x14ac:dyDescent="0.2">
      <c r="A391">
        <v>2024</v>
      </c>
      <c r="B391" t="s">
        <v>61</v>
      </c>
      <c r="C391" s="3">
        <v>45483</v>
      </c>
      <c r="D391" s="3" t="s">
        <v>106</v>
      </c>
      <c r="E391" s="3" t="str">
        <f>VLOOKUP(Tabla2[[#This Row],[TIPUS]],Tarifas!$H$12:$I$26,2,0)</f>
        <v>FIX</v>
      </c>
      <c r="F391" t="s">
        <v>652</v>
      </c>
      <c r="G391">
        <v>63.53</v>
      </c>
      <c r="H391">
        <v>63.53</v>
      </c>
      <c r="I391">
        <v>0</v>
      </c>
    </row>
    <row r="392" spans="1:9" x14ac:dyDescent="0.2">
      <c r="A392">
        <v>2024</v>
      </c>
      <c r="B392" t="s">
        <v>61</v>
      </c>
      <c r="C392" s="3">
        <v>45486</v>
      </c>
      <c r="D392" s="3" t="s">
        <v>114</v>
      </c>
      <c r="E392" s="3" t="str">
        <f>VLOOKUP(Tabla2[[#This Row],[TIPUS]],Tarifas!$H$12:$I$26,2,0)</f>
        <v>VARIABLE</v>
      </c>
      <c r="F392" t="s">
        <v>375</v>
      </c>
      <c r="G392">
        <v>21.49</v>
      </c>
      <c r="H392">
        <v>21.49</v>
      </c>
      <c r="I392">
        <v>0</v>
      </c>
    </row>
    <row r="393" spans="1:9" x14ac:dyDescent="0.2">
      <c r="A393">
        <v>2024</v>
      </c>
      <c r="B393" t="s">
        <v>61</v>
      </c>
      <c r="C393" s="3">
        <v>45488</v>
      </c>
      <c r="D393" s="3" t="s">
        <v>114</v>
      </c>
      <c r="E393" s="3" t="str">
        <f>VLOOKUP(Tabla2[[#This Row],[TIPUS]],Tarifas!$H$12:$I$26,2,0)</f>
        <v>VARIABLE</v>
      </c>
      <c r="F393" t="s">
        <v>195</v>
      </c>
      <c r="G393">
        <v>83.98</v>
      </c>
      <c r="H393">
        <v>0</v>
      </c>
      <c r="I393">
        <v>83.98</v>
      </c>
    </row>
    <row r="394" spans="1:9" x14ac:dyDescent="0.2">
      <c r="A394">
        <v>2024</v>
      </c>
      <c r="B394" t="s">
        <v>61</v>
      </c>
      <c r="C394" s="3">
        <v>45488</v>
      </c>
      <c r="D394" s="3" t="s">
        <v>188</v>
      </c>
      <c r="E394" s="3" t="str">
        <f>VLOOKUP(Tabla2[[#This Row],[TIPUS]],Tarifas!$H$12:$I$26,2,0)</f>
        <v>IMPOSTOS</v>
      </c>
      <c r="F394" t="s">
        <v>653</v>
      </c>
      <c r="G394">
        <v>792.8</v>
      </c>
      <c r="H394">
        <v>792.8</v>
      </c>
      <c r="I394">
        <v>0</v>
      </c>
    </row>
    <row r="395" spans="1:9" x14ac:dyDescent="0.2">
      <c r="A395">
        <v>2024</v>
      </c>
      <c r="B395" t="s">
        <v>61</v>
      </c>
      <c r="C395" s="3">
        <v>45488</v>
      </c>
      <c r="D395" s="3" t="s">
        <v>188</v>
      </c>
      <c r="E395" s="3" t="str">
        <f>VLOOKUP(Tabla2[[#This Row],[TIPUS]],Tarifas!$H$12:$I$26,2,0)</f>
        <v>IMPOSTOS</v>
      </c>
      <c r="F395" t="s">
        <v>654</v>
      </c>
      <c r="G395">
        <v>255.19</v>
      </c>
      <c r="H395">
        <v>255.19</v>
      </c>
      <c r="I395">
        <v>0</v>
      </c>
    </row>
    <row r="396" spans="1:9" x14ac:dyDescent="0.2">
      <c r="A396">
        <v>2024</v>
      </c>
      <c r="B396" t="s">
        <v>61</v>
      </c>
      <c r="C396" s="3">
        <v>45488</v>
      </c>
      <c r="D396" s="3" t="s">
        <v>114</v>
      </c>
      <c r="E396" s="3" t="str">
        <f>VLOOKUP(Tabla2[[#This Row],[TIPUS]],Tarifas!$H$12:$I$26,2,0)</f>
        <v>VARIABLE</v>
      </c>
      <c r="F396" t="s">
        <v>655</v>
      </c>
      <c r="G396">
        <v>834.9</v>
      </c>
      <c r="H396">
        <v>834.9</v>
      </c>
      <c r="I396">
        <v>0</v>
      </c>
    </row>
    <row r="397" spans="1:9" x14ac:dyDescent="0.2">
      <c r="A397">
        <v>2024</v>
      </c>
      <c r="B397" t="s">
        <v>61</v>
      </c>
      <c r="C397" s="3">
        <v>45488</v>
      </c>
      <c r="D397" s="3" t="s">
        <v>128</v>
      </c>
      <c r="E397" s="3" t="str">
        <f>VLOOKUP(Tabla2[[#This Row],[TIPUS]],Tarifas!$H$12:$I$26,2,0)</f>
        <v>INVERSIONS</v>
      </c>
      <c r="F397" t="s">
        <v>656</v>
      </c>
      <c r="G397">
        <v>309</v>
      </c>
      <c r="H397">
        <v>0</v>
      </c>
      <c r="I397">
        <v>309</v>
      </c>
    </row>
    <row r="398" spans="1:9" x14ac:dyDescent="0.2">
      <c r="A398">
        <v>2024</v>
      </c>
      <c r="B398" t="s">
        <v>61</v>
      </c>
      <c r="C398" s="3">
        <v>45488</v>
      </c>
      <c r="D398" s="3" t="s">
        <v>114</v>
      </c>
      <c r="E398" s="3" t="str">
        <f>VLOOKUP(Tabla2[[#This Row],[TIPUS]],Tarifas!$H$12:$I$26,2,0)</f>
        <v>VARIABLE</v>
      </c>
      <c r="F398" t="s">
        <v>658</v>
      </c>
      <c r="G398">
        <v>5.6</v>
      </c>
      <c r="H398">
        <v>5.6</v>
      </c>
      <c r="I398">
        <v>0</v>
      </c>
    </row>
    <row r="399" spans="1:9" x14ac:dyDescent="0.2">
      <c r="A399">
        <v>2024</v>
      </c>
      <c r="B399" t="s">
        <v>61</v>
      </c>
      <c r="C399" s="3">
        <v>45489</v>
      </c>
      <c r="D399" s="3" t="s">
        <v>114</v>
      </c>
      <c r="E399" s="3" t="str">
        <f>VLOOKUP(Tabla2[[#This Row],[TIPUS]],Tarifas!$H$12:$I$26,2,0)</f>
        <v>VARIABLE</v>
      </c>
      <c r="F399" t="s">
        <v>659</v>
      </c>
      <c r="G399">
        <v>34.32</v>
      </c>
      <c r="H399">
        <v>34.32</v>
      </c>
      <c r="I399">
        <v>0</v>
      </c>
    </row>
    <row r="400" spans="1:9" x14ac:dyDescent="0.2">
      <c r="A400">
        <v>2024</v>
      </c>
      <c r="B400" t="s">
        <v>61</v>
      </c>
      <c r="C400" s="3">
        <v>45503</v>
      </c>
      <c r="D400" s="3" t="s">
        <v>162</v>
      </c>
      <c r="E400" s="3" t="str">
        <f>VLOOKUP(Tabla2[[#This Row],[TIPUS]],Tarifas!$H$12:$I$26,2,0)</f>
        <v>VARIABLE</v>
      </c>
      <c r="F400" t="s">
        <v>410</v>
      </c>
      <c r="G400">
        <v>180</v>
      </c>
      <c r="H400">
        <v>0</v>
      </c>
      <c r="I400">
        <v>180</v>
      </c>
    </row>
    <row r="401" spans="1:9" x14ac:dyDescent="0.2">
      <c r="A401">
        <v>2024</v>
      </c>
      <c r="B401" t="s">
        <v>61</v>
      </c>
      <c r="C401" s="3">
        <v>45503</v>
      </c>
      <c r="D401" s="3" t="s">
        <v>112</v>
      </c>
      <c r="E401" s="3" t="str">
        <f>VLOOKUP(Tabla2[[#This Row],[TIPUS]],Tarifas!$H$12:$I$26,2,0)</f>
        <v>FIX</v>
      </c>
      <c r="F401" t="s">
        <v>652</v>
      </c>
      <c r="G401">
        <v>63.53</v>
      </c>
      <c r="H401">
        <v>63.53</v>
      </c>
      <c r="I401">
        <v>0</v>
      </c>
    </row>
    <row r="402" spans="1:9" x14ac:dyDescent="0.2">
      <c r="A402">
        <v>2024</v>
      </c>
      <c r="B402" t="s">
        <v>62</v>
      </c>
      <c r="C402" s="3">
        <v>45505</v>
      </c>
      <c r="D402" s="3" t="s">
        <v>106</v>
      </c>
      <c r="E402" s="3" t="str">
        <f>VLOOKUP(Tabla2[[#This Row],[TIPUS]],Tarifas!$H$12:$I$26,2,0)</f>
        <v>FIX</v>
      </c>
      <c r="F402" t="s">
        <v>554</v>
      </c>
      <c r="G402">
        <v>63.53</v>
      </c>
      <c r="H402">
        <v>63.53</v>
      </c>
      <c r="I402">
        <v>0</v>
      </c>
    </row>
    <row r="403" spans="1:9" x14ac:dyDescent="0.2">
      <c r="A403">
        <v>2024</v>
      </c>
      <c r="B403" t="s">
        <v>62</v>
      </c>
      <c r="C403" s="3">
        <v>45505</v>
      </c>
      <c r="D403" s="3" t="s">
        <v>104</v>
      </c>
      <c r="E403" s="3" t="str">
        <f>VLOOKUP(Tabla2[[#This Row],[TIPUS]],Tarifas!$H$12:$I$26,2,0)</f>
        <v>FIX</v>
      </c>
      <c r="F403" t="s">
        <v>554</v>
      </c>
      <c r="G403">
        <v>558</v>
      </c>
      <c r="H403">
        <v>408</v>
      </c>
      <c r="I403">
        <v>150</v>
      </c>
    </row>
    <row r="404" spans="1:9" x14ac:dyDescent="0.2">
      <c r="A404">
        <v>2024</v>
      </c>
      <c r="B404" t="s">
        <v>62</v>
      </c>
      <c r="C404" s="3">
        <v>45505</v>
      </c>
      <c r="D404" s="3" t="s">
        <v>110</v>
      </c>
      <c r="E404" s="3" t="str">
        <f>VLOOKUP(Tabla2[[#This Row],[TIPUS]],Tarifas!$H$12:$I$26,2,0)</f>
        <v>VARIABLE</v>
      </c>
      <c r="F404" t="s">
        <v>661</v>
      </c>
      <c r="G404">
        <f>716.96-408</f>
        <v>308.96000000000004</v>
      </c>
      <c r="H404">
        <f>716.96-408</f>
        <v>308.96000000000004</v>
      </c>
      <c r="I404">
        <v>0</v>
      </c>
    </row>
    <row r="405" spans="1:9" x14ac:dyDescent="0.2">
      <c r="A405">
        <v>2024</v>
      </c>
      <c r="B405" t="s">
        <v>62</v>
      </c>
      <c r="C405" s="3">
        <v>45514</v>
      </c>
      <c r="D405" s="3" t="s">
        <v>114</v>
      </c>
      <c r="E405" s="3" t="str">
        <f>VLOOKUP(Tabla2[[#This Row],[TIPUS]],Tarifas!$H$12:$I$26,2,0)</f>
        <v>VARIABLE</v>
      </c>
      <c r="F405" t="s">
        <v>474</v>
      </c>
      <c r="G405">
        <v>41.3</v>
      </c>
      <c r="H405">
        <v>41.3</v>
      </c>
      <c r="I405">
        <v>0</v>
      </c>
    </row>
    <row r="406" spans="1:9" x14ac:dyDescent="0.2">
      <c r="A406">
        <v>2024</v>
      </c>
      <c r="B406" t="s">
        <v>62</v>
      </c>
      <c r="C406" s="3">
        <v>45534</v>
      </c>
      <c r="D406" s="3" t="s">
        <v>112</v>
      </c>
      <c r="E406" s="3" t="str">
        <f>VLOOKUP(Tabla2[[#This Row],[TIPUS]],Tarifas!$H$12:$I$26,2,0)</f>
        <v>FIX</v>
      </c>
      <c r="F406" t="s">
        <v>554</v>
      </c>
      <c r="G406">
        <v>53.71</v>
      </c>
      <c r="H406">
        <v>53.71</v>
      </c>
      <c r="I406">
        <v>0</v>
      </c>
    </row>
    <row r="407" spans="1:9" x14ac:dyDescent="0.2">
      <c r="A407">
        <v>2024</v>
      </c>
      <c r="B407" t="s">
        <v>62</v>
      </c>
      <c r="C407" s="3">
        <v>45534</v>
      </c>
      <c r="D407" s="3" t="s">
        <v>162</v>
      </c>
      <c r="E407" s="3" t="str">
        <f>VLOOKUP(Tabla2[[#This Row],[TIPUS]],Tarifas!$H$12:$I$26,2,0)</f>
        <v>VARIABLE</v>
      </c>
      <c r="F407" t="s">
        <v>554</v>
      </c>
      <c r="G407">
        <v>90</v>
      </c>
      <c r="H407">
        <v>0</v>
      </c>
      <c r="I407">
        <v>90</v>
      </c>
    </row>
    <row r="408" spans="1:9" x14ac:dyDescent="0.2">
      <c r="A408">
        <v>2024</v>
      </c>
      <c r="B408" t="s">
        <v>236</v>
      </c>
      <c r="C408" s="3">
        <v>45537</v>
      </c>
      <c r="D408" s="3" t="s">
        <v>106</v>
      </c>
      <c r="E408" s="3" t="str">
        <f>VLOOKUP(Tabla2[[#This Row],[TIPUS]],Tarifas!$H$12:$I$26,2,0)</f>
        <v>FIX</v>
      </c>
      <c r="F408" t="s">
        <v>557</v>
      </c>
      <c r="G408">
        <v>63.53</v>
      </c>
      <c r="H408">
        <v>63.53</v>
      </c>
      <c r="I408">
        <v>0</v>
      </c>
    </row>
    <row r="409" spans="1:9" x14ac:dyDescent="0.2">
      <c r="A409">
        <v>2024</v>
      </c>
      <c r="B409" t="s">
        <v>236</v>
      </c>
      <c r="C409" s="3">
        <v>45546</v>
      </c>
      <c r="D409" s="3" t="s">
        <v>104</v>
      </c>
      <c r="E409" s="3" t="str">
        <f>VLOOKUP(Tabla2[[#This Row],[TIPUS]],Tarifas!$H$12:$I$26,2,0)</f>
        <v>FIX</v>
      </c>
      <c r="F409" t="s">
        <v>557</v>
      </c>
      <c r="G409">
        <v>558</v>
      </c>
      <c r="H409">
        <v>409</v>
      </c>
      <c r="I409">
        <v>150</v>
      </c>
    </row>
    <row r="410" spans="1:9" x14ac:dyDescent="0.2">
      <c r="A410">
        <v>2024</v>
      </c>
      <c r="B410" t="s">
        <v>236</v>
      </c>
      <c r="C410" s="3">
        <v>45547</v>
      </c>
      <c r="D410" s="3" t="s">
        <v>162</v>
      </c>
      <c r="E410" s="3" t="str">
        <f>VLOOKUP(Tabla2[[#This Row],[TIPUS]],Tarifas!$H$12:$I$26,2,0)</f>
        <v>VARIABLE</v>
      </c>
      <c r="F410" t="s">
        <v>550</v>
      </c>
      <c r="G410">
        <v>70</v>
      </c>
      <c r="H410">
        <v>70</v>
      </c>
      <c r="I410">
        <v>0</v>
      </c>
    </row>
    <row r="411" spans="1:9" x14ac:dyDescent="0.2">
      <c r="A411">
        <v>2024</v>
      </c>
      <c r="B411" t="s">
        <v>236</v>
      </c>
      <c r="C411" s="3">
        <v>45548</v>
      </c>
      <c r="D411" s="3" t="s">
        <v>114</v>
      </c>
      <c r="E411" s="3" t="str">
        <f>VLOOKUP(Tabla2[[#This Row],[TIPUS]],Tarifas!$H$12:$I$26,2,0)</f>
        <v>VARIABLE</v>
      </c>
      <c r="F411" t="s">
        <v>662</v>
      </c>
      <c r="G411">
        <v>17</v>
      </c>
      <c r="H411">
        <v>17</v>
      </c>
      <c r="I411">
        <v>0</v>
      </c>
    </row>
    <row r="412" spans="1:9" x14ac:dyDescent="0.2">
      <c r="A412">
        <v>2024</v>
      </c>
      <c r="B412" t="s">
        <v>236</v>
      </c>
      <c r="C412" s="3">
        <v>45563</v>
      </c>
      <c r="D412" s="3" t="s">
        <v>162</v>
      </c>
      <c r="E412" s="3" t="str">
        <f>VLOOKUP(Tabla2[[#This Row],[TIPUS]],Tarifas!$H$12:$I$26,2,0)</f>
        <v>VARIABLE</v>
      </c>
      <c r="F412" t="s">
        <v>410</v>
      </c>
      <c r="G412">
        <v>150</v>
      </c>
      <c r="H412">
        <v>0</v>
      </c>
      <c r="I412">
        <v>150</v>
      </c>
    </row>
    <row r="413" spans="1:9" x14ac:dyDescent="0.2">
      <c r="A413">
        <v>2024</v>
      </c>
      <c r="B413" t="s">
        <v>236</v>
      </c>
      <c r="C413" s="3">
        <v>45563</v>
      </c>
      <c r="D413" s="3" t="s">
        <v>112</v>
      </c>
      <c r="E413" s="3" t="str">
        <f>VLOOKUP(Tabla2[[#This Row],[TIPUS]],Tarifas!$H$12:$I$26,2,0)</f>
        <v>FIX</v>
      </c>
      <c r="F413" t="s">
        <v>557</v>
      </c>
      <c r="G413">
        <v>53.21</v>
      </c>
      <c r="H413">
        <v>53.21</v>
      </c>
      <c r="I413">
        <v>0</v>
      </c>
    </row>
    <row r="414" spans="1:9" x14ac:dyDescent="0.2">
      <c r="A414">
        <v>2024</v>
      </c>
      <c r="B414" t="s">
        <v>63</v>
      </c>
      <c r="C414" s="3">
        <v>45566</v>
      </c>
      <c r="D414" s="3" t="s">
        <v>114</v>
      </c>
      <c r="E414" s="3" t="str">
        <f>VLOOKUP(Tabla2[[#This Row],[TIPUS]],Tarifas!$H$12:$I$26,2,0)</f>
        <v>VARIABLE</v>
      </c>
      <c r="F414" t="s">
        <v>206</v>
      </c>
      <c r="G414">
        <v>45</v>
      </c>
      <c r="H414">
        <v>45</v>
      </c>
      <c r="I414">
        <v>0</v>
      </c>
    </row>
    <row r="415" spans="1:9" x14ac:dyDescent="0.2">
      <c r="A415">
        <v>2024</v>
      </c>
      <c r="B415" t="s">
        <v>63</v>
      </c>
      <c r="C415" s="3">
        <v>45583</v>
      </c>
      <c r="D415" s="3" t="s">
        <v>114</v>
      </c>
      <c r="E415" s="3" t="str">
        <f>VLOOKUP(Tabla2[[#This Row],[TIPUS]],Tarifas!$H$12:$I$26,2,0)</f>
        <v>VARIABLE</v>
      </c>
      <c r="F415" t="s">
        <v>375</v>
      </c>
      <c r="G415">
        <v>21.1</v>
      </c>
      <c r="H415">
        <v>21.1</v>
      </c>
      <c r="I415">
        <v>0</v>
      </c>
    </row>
    <row r="416" spans="1:9" x14ac:dyDescent="0.2">
      <c r="A416">
        <v>2024</v>
      </c>
      <c r="B416" t="s">
        <v>63</v>
      </c>
      <c r="C416" s="3">
        <v>45583</v>
      </c>
      <c r="D416" s="3" t="s">
        <v>104</v>
      </c>
      <c r="E416" s="3" t="str">
        <f>VLOOKUP(Tabla2[[#This Row],[TIPUS]],Tarifas!$H$12:$I$26,2,0)</f>
        <v>FIX</v>
      </c>
      <c r="F416" t="s">
        <v>563</v>
      </c>
      <c r="G416">
        <v>558</v>
      </c>
      <c r="H416">
        <v>408</v>
      </c>
      <c r="I416">
        <v>150</v>
      </c>
    </row>
    <row r="417" spans="1:9" x14ac:dyDescent="0.2">
      <c r="A417">
        <v>2024</v>
      </c>
      <c r="B417" t="s">
        <v>63</v>
      </c>
      <c r="C417" s="3">
        <v>45583</v>
      </c>
      <c r="D417" s="3" t="s">
        <v>106</v>
      </c>
      <c r="E417" s="3" t="str">
        <f>VLOOKUP(Tabla2[[#This Row],[TIPUS]],Tarifas!$H$12:$I$26,2,0)</f>
        <v>FIX</v>
      </c>
      <c r="F417" t="s">
        <v>563</v>
      </c>
      <c r="G417">
        <v>63.53</v>
      </c>
      <c r="H417">
        <v>63.53</v>
      </c>
      <c r="I417">
        <v>0</v>
      </c>
    </row>
    <row r="418" spans="1:9" x14ac:dyDescent="0.2">
      <c r="A418">
        <v>2024</v>
      </c>
      <c r="B418" t="s">
        <v>63</v>
      </c>
      <c r="C418" s="3">
        <v>45583</v>
      </c>
      <c r="D418" s="3" t="s">
        <v>110</v>
      </c>
      <c r="E418" s="3" t="str">
        <f>VLOOKUP(Tabla2[[#This Row],[TIPUS]],Tarifas!$H$12:$I$26,2,0)</f>
        <v>VARIABLE</v>
      </c>
      <c r="F418" t="s">
        <v>563</v>
      </c>
      <c r="G418">
        <v>210</v>
      </c>
      <c r="H418">
        <v>210</v>
      </c>
      <c r="I418">
        <v>0</v>
      </c>
    </row>
    <row r="419" spans="1:9" x14ac:dyDescent="0.2">
      <c r="A419">
        <v>2024</v>
      </c>
      <c r="B419" t="s">
        <v>63</v>
      </c>
      <c r="C419" s="3">
        <v>45583</v>
      </c>
      <c r="D419" s="3" t="s">
        <v>188</v>
      </c>
      <c r="E419" s="3" t="str">
        <f>VLOOKUP(Tabla2[[#This Row],[TIPUS]],Tarifas!$H$12:$I$26,2,0)</f>
        <v>IMPOSTOS</v>
      </c>
      <c r="F419" t="s">
        <v>455</v>
      </c>
      <c r="G419">
        <v>706.07</v>
      </c>
      <c r="H419">
        <v>706.07</v>
      </c>
      <c r="I419">
        <v>0</v>
      </c>
    </row>
    <row r="420" spans="1:9" x14ac:dyDescent="0.2">
      <c r="A420">
        <v>2024</v>
      </c>
      <c r="B420" t="s">
        <v>63</v>
      </c>
      <c r="C420" s="3">
        <v>45583</v>
      </c>
      <c r="D420" s="3" t="s">
        <v>188</v>
      </c>
      <c r="E420" s="3" t="str">
        <f>VLOOKUP(Tabla2[[#This Row],[TIPUS]],Tarifas!$H$12:$I$26,2,0)</f>
        <v>IMPOSTOS</v>
      </c>
      <c r="F420" t="s">
        <v>455</v>
      </c>
      <c r="G420">
        <v>229.28</v>
      </c>
      <c r="H420">
        <v>229.28</v>
      </c>
      <c r="I420">
        <v>0</v>
      </c>
    </row>
    <row r="421" spans="1:9" x14ac:dyDescent="0.2">
      <c r="A421">
        <v>2024</v>
      </c>
      <c r="B421" t="s">
        <v>63</v>
      </c>
      <c r="C421" s="3">
        <v>45595</v>
      </c>
      <c r="D421" s="3" t="s">
        <v>112</v>
      </c>
      <c r="E421" s="3" t="str">
        <f>VLOOKUP(Tabla2[[#This Row],[TIPUS]],Tarifas!$H$12:$I$26,2,0)</f>
        <v>FIX</v>
      </c>
      <c r="F421" t="s">
        <v>563</v>
      </c>
      <c r="G421">
        <v>53.71</v>
      </c>
      <c r="H421">
        <v>53.71</v>
      </c>
      <c r="I421">
        <v>0</v>
      </c>
    </row>
    <row r="422" spans="1:9" x14ac:dyDescent="0.2">
      <c r="A422">
        <v>2024</v>
      </c>
      <c r="B422" t="s">
        <v>63</v>
      </c>
      <c r="C422" s="3">
        <v>45595</v>
      </c>
      <c r="D422" s="3" t="s">
        <v>162</v>
      </c>
      <c r="E422" s="3" t="str">
        <f>VLOOKUP(Tabla2[[#This Row],[TIPUS]],Tarifas!$H$12:$I$26,2,0)</f>
        <v>VARIABLE</v>
      </c>
      <c r="F422" t="s">
        <v>410</v>
      </c>
      <c r="G422">
        <v>150</v>
      </c>
      <c r="H422">
        <v>0</v>
      </c>
      <c r="I422">
        <v>150</v>
      </c>
    </row>
    <row r="423" spans="1:9" x14ac:dyDescent="0.2">
      <c r="A423">
        <v>2024</v>
      </c>
      <c r="B423" t="s">
        <v>64</v>
      </c>
      <c r="C423" s="3">
        <v>45597</v>
      </c>
      <c r="D423" s="3" t="s">
        <v>106</v>
      </c>
      <c r="E423" s="3" t="str">
        <f>VLOOKUP(Tabla2[[#This Row],[TIPUS]],Tarifas!$H$12:$I$26,2,0)</f>
        <v>FIX</v>
      </c>
      <c r="F423" t="s">
        <v>597</v>
      </c>
      <c r="G423">
        <v>63.53</v>
      </c>
      <c r="H423">
        <v>63.53</v>
      </c>
      <c r="I423">
        <v>0</v>
      </c>
    </row>
    <row r="424" spans="1:9" x14ac:dyDescent="0.2">
      <c r="A424">
        <v>2024</v>
      </c>
      <c r="B424" t="s">
        <v>64</v>
      </c>
      <c r="C424" s="3">
        <v>45607</v>
      </c>
      <c r="D424" s="3" t="s">
        <v>104</v>
      </c>
      <c r="E424" s="3" t="str">
        <f>VLOOKUP(Tabla2[[#This Row],[TIPUS]],Tarifas!$H$12:$I$26,2,0)</f>
        <v>FIX</v>
      </c>
      <c r="F424" t="s">
        <v>597</v>
      </c>
      <c r="G424">
        <v>558</v>
      </c>
      <c r="H424">
        <v>408</v>
      </c>
      <c r="I424">
        <v>150</v>
      </c>
    </row>
    <row r="425" spans="1:9" x14ac:dyDescent="0.2">
      <c r="A425">
        <v>2024</v>
      </c>
      <c r="B425" t="s">
        <v>64</v>
      </c>
      <c r="C425" s="3">
        <v>45607</v>
      </c>
      <c r="D425" s="3" t="s">
        <v>110</v>
      </c>
      <c r="E425" s="3" t="str">
        <f>VLOOKUP(Tabla2[[#This Row],[TIPUS]],Tarifas!$H$12:$I$26,2,0)</f>
        <v>VARIABLE</v>
      </c>
      <c r="F425" t="s">
        <v>661</v>
      </c>
      <c r="G425">
        <f>790.41-408</f>
        <v>382.40999999999997</v>
      </c>
      <c r="H425">
        <f>790.41-408</f>
        <v>382.40999999999997</v>
      </c>
      <c r="I425">
        <v>0</v>
      </c>
    </row>
    <row r="426" spans="1:9" x14ac:dyDescent="0.2">
      <c r="A426">
        <v>2024</v>
      </c>
      <c r="B426" t="s">
        <v>64</v>
      </c>
      <c r="C426" s="3">
        <v>45620</v>
      </c>
      <c r="D426" s="3" t="s">
        <v>162</v>
      </c>
      <c r="E426" s="3" t="str">
        <f>VLOOKUP(Tabla2[[#This Row],[TIPUS]],Tarifas!$H$12:$I$26,2,0)</f>
        <v>VARIABLE</v>
      </c>
      <c r="F426" t="s">
        <v>550</v>
      </c>
      <c r="G426">
        <v>50</v>
      </c>
      <c r="H426">
        <v>0</v>
      </c>
      <c r="I426">
        <v>50</v>
      </c>
    </row>
    <row r="427" spans="1:9" x14ac:dyDescent="0.2">
      <c r="A427">
        <v>2024</v>
      </c>
      <c r="B427" t="s">
        <v>64</v>
      </c>
      <c r="C427" s="3">
        <v>45620</v>
      </c>
      <c r="D427" s="3" t="s">
        <v>114</v>
      </c>
      <c r="E427" s="3" t="str">
        <f>VLOOKUP(Tabla2[[#This Row],[TIPUS]],Tarifas!$H$12:$I$26,2,0)</f>
        <v>VARIABLE</v>
      </c>
      <c r="F427" t="s">
        <v>195</v>
      </c>
      <c r="G427">
        <f>208-60</f>
        <v>148</v>
      </c>
      <c r="H427">
        <v>0</v>
      </c>
      <c r="I427">
        <f>208-60</f>
        <v>148</v>
      </c>
    </row>
    <row r="428" spans="1:9" x14ac:dyDescent="0.2">
      <c r="A428">
        <v>2024</v>
      </c>
      <c r="B428" t="s">
        <v>64</v>
      </c>
      <c r="C428" s="3">
        <v>45626</v>
      </c>
      <c r="D428" s="3" t="s">
        <v>162</v>
      </c>
      <c r="E428" s="3" t="str">
        <f>VLOOKUP(Tabla2[[#This Row],[TIPUS]],Tarifas!$H$12:$I$26,2,0)</f>
        <v>VARIABLE</v>
      </c>
      <c r="F428" t="s">
        <v>410</v>
      </c>
      <c r="G428">
        <v>350</v>
      </c>
      <c r="H428">
        <v>0</v>
      </c>
      <c r="I428">
        <v>350</v>
      </c>
    </row>
    <row r="429" spans="1:9" x14ac:dyDescent="0.2">
      <c r="A429">
        <v>2024</v>
      </c>
      <c r="B429" t="s">
        <v>64</v>
      </c>
      <c r="C429" s="3">
        <v>45626</v>
      </c>
      <c r="D429" s="3" t="s">
        <v>112</v>
      </c>
      <c r="E429" s="3" t="str">
        <f>VLOOKUP(Tabla2[[#This Row],[TIPUS]],Tarifas!$H$12:$I$26,2,0)</f>
        <v>FIX</v>
      </c>
      <c r="F429" t="s">
        <v>597</v>
      </c>
      <c r="G429">
        <v>61.83</v>
      </c>
      <c r="H429">
        <v>61.83</v>
      </c>
      <c r="I429">
        <v>0</v>
      </c>
    </row>
    <row r="430" spans="1:9" x14ac:dyDescent="0.2">
      <c r="A430">
        <v>2024</v>
      </c>
      <c r="B430" t="s">
        <v>65</v>
      </c>
      <c r="C430" s="3">
        <v>45627</v>
      </c>
      <c r="D430" s="3" t="s">
        <v>114</v>
      </c>
      <c r="E430" s="3" t="str">
        <f>VLOOKUP(Tabla2[[#This Row],[TIPUS]],Tarifas!$H$12:$I$26,2,0)</f>
        <v>VARIABLE</v>
      </c>
      <c r="F430" t="s">
        <v>443</v>
      </c>
      <c r="G430">
        <f>66.95*2</f>
        <v>133.9</v>
      </c>
      <c r="H430">
        <f>66.95*2</f>
        <v>133.9</v>
      </c>
      <c r="I430">
        <v>0</v>
      </c>
    </row>
    <row r="431" spans="1:9" x14ac:dyDescent="0.2">
      <c r="A431">
        <v>2024</v>
      </c>
      <c r="B431" t="s">
        <v>65</v>
      </c>
      <c r="C431" s="3">
        <v>45631</v>
      </c>
      <c r="D431" s="3" t="s">
        <v>104</v>
      </c>
      <c r="E431" s="3" t="str">
        <f>VLOOKUP(Tabla2[[#This Row],[TIPUS]],Tarifas!$H$12:$I$26,2,0)</f>
        <v>FIX</v>
      </c>
      <c r="F431" t="s">
        <v>385</v>
      </c>
      <c r="G431">
        <v>558</v>
      </c>
      <c r="H431">
        <v>408</v>
      </c>
      <c r="I431">
        <v>150</v>
      </c>
    </row>
    <row r="432" spans="1:9" x14ac:dyDescent="0.2">
      <c r="A432">
        <v>2024</v>
      </c>
      <c r="B432" t="s">
        <v>65</v>
      </c>
      <c r="C432" s="3">
        <v>45631</v>
      </c>
      <c r="D432" s="3" t="s">
        <v>106</v>
      </c>
      <c r="E432" s="3" t="str">
        <f>VLOOKUP(Tabla2[[#This Row],[TIPUS]],Tarifas!$H$12:$I$26,2,0)</f>
        <v>FIX</v>
      </c>
      <c r="F432" t="s">
        <v>385</v>
      </c>
      <c r="G432">
        <v>63.53</v>
      </c>
      <c r="H432">
        <v>63.53</v>
      </c>
      <c r="I432">
        <v>0</v>
      </c>
    </row>
    <row r="433" spans="1:9" x14ac:dyDescent="0.2">
      <c r="A433">
        <v>2024</v>
      </c>
      <c r="B433" t="s">
        <v>65</v>
      </c>
      <c r="C433" s="3">
        <v>45648</v>
      </c>
      <c r="D433" s="3" t="s">
        <v>162</v>
      </c>
      <c r="E433" s="3" t="str">
        <f>VLOOKUP(Tabla2[[#This Row],[TIPUS]],Tarifas!$H$12:$I$26,2,0)</f>
        <v>VARIABLE</v>
      </c>
      <c r="F433" t="s">
        <v>550</v>
      </c>
      <c r="G433">
        <v>50</v>
      </c>
      <c r="H433">
        <v>50</v>
      </c>
      <c r="I433">
        <v>0</v>
      </c>
    </row>
    <row r="434" spans="1:9" x14ac:dyDescent="0.2">
      <c r="A434">
        <v>2024</v>
      </c>
      <c r="B434" t="s">
        <v>65</v>
      </c>
      <c r="C434" s="3">
        <v>45650</v>
      </c>
      <c r="D434" s="3" t="s">
        <v>119</v>
      </c>
      <c r="E434" s="3" t="str">
        <f>VLOOKUP(Tabla2[[#This Row],[TIPUS]],Tarifas!$H$12:$I$26,2,0)</f>
        <v>FIX</v>
      </c>
      <c r="F434" t="s">
        <v>667</v>
      </c>
      <c r="G434">
        <v>46</v>
      </c>
      <c r="H434">
        <v>46</v>
      </c>
      <c r="I434">
        <v>0</v>
      </c>
    </row>
    <row r="435" spans="1:9" x14ac:dyDescent="0.2">
      <c r="A435">
        <v>2024</v>
      </c>
      <c r="B435" t="s">
        <v>65</v>
      </c>
      <c r="C435" s="3">
        <v>45654</v>
      </c>
      <c r="D435" s="3" t="s">
        <v>114</v>
      </c>
      <c r="E435" s="3" t="str">
        <f>VLOOKUP(Tabla2[[#This Row],[TIPUS]],Tarifas!$H$12:$I$26,2,0)</f>
        <v>VARIABLE</v>
      </c>
      <c r="F435" t="s">
        <v>195</v>
      </c>
      <c r="G435">
        <v>75</v>
      </c>
      <c r="H435">
        <v>0</v>
      </c>
      <c r="I435">
        <v>75</v>
      </c>
    </row>
    <row r="436" spans="1:9" x14ac:dyDescent="0.2">
      <c r="A436">
        <v>2024</v>
      </c>
      <c r="B436" t="s">
        <v>65</v>
      </c>
      <c r="C436" s="3">
        <v>45657</v>
      </c>
      <c r="D436" s="3" t="s">
        <v>162</v>
      </c>
      <c r="E436" s="3" t="str">
        <f>VLOOKUP(Tabla2[[#This Row],[TIPUS]],Tarifas!$H$12:$I$26,2,0)</f>
        <v>VARIABLE</v>
      </c>
      <c r="F436" t="s">
        <v>410</v>
      </c>
      <c r="G436">
        <v>415</v>
      </c>
      <c r="H436">
        <v>0</v>
      </c>
      <c r="I436">
        <v>415</v>
      </c>
    </row>
    <row r="437" spans="1:9" x14ac:dyDescent="0.2">
      <c r="A437">
        <v>2025</v>
      </c>
      <c r="B437" t="s">
        <v>48</v>
      </c>
      <c r="C437" s="3">
        <v>45659</v>
      </c>
      <c r="D437" s="3" t="s">
        <v>106</v>
      </c>
      <c r="E437" s="3" t="str">
        <f>VLOOKUP(Tabla2[[#This Row],[TIPUS]],Tarifas!$H$12:$I$26,2,0)</f>
        <v>FIX</v>
      </c>
      <c r="F437" t="s">
        <v>671</v>
      </c>
      <c r="G437">
        <v>63.53</v>
      </c>
      <c r="H437">
        <v>63.53</v>
      </c>
      <c r="I437">
        <v>0</v>
      </c>
    </row>
    <row r="438" spans="1:9" x14ac:dyDescent="0.2">
      <c r="A438">
        <v>2025</v>
      </c>
      <c r="B438" t="s">
        <v>48</v>
      </c>
      <c r="C438" s="3">
        <v>45667</v>
      </c>
      <c r="D438" s="3" t="s">
        <v>110</v>
      </c>
      <c r="E438" s="3" t="str">
        <f>VLOOKUP(Tabla2[[#This Row],[TIPUS]],Tarifas!$H$12:$I$26,2,0)</f>
        <v>VARIABLE</v>
      </c>
      <c r="F438" t="s">
        <v>671</v>
      </c>
      <c r="G438">
        <f>487.36-408</f>
        <v>79.360000000000014</v>
      </c>
      <c r="H438">
        <f>487.36-408</f>
        <v>79.360000000000014</v>
      </c>
      <c r="I438">
        <v>0</v>
      </c>
    </row>
    <row r="439" spans="1:9" x14ac:dyDescent="0.2">
      <c r="A439">
        <v>2025</v>
      </c>
      <c r="B439" t="s">
        <v>48</v>
      </c>
      <c r="C439" s="3">
        <v>45667</v>
      </c>
      <c r="D439" s="3" t="s">
        <v>104</v>
      </c>
      <c r="E439" s="3" t="str">
        <f>VLOOKUP(Tabla2[[#This Row],[TIPUS]],Tarifas!$H$12:$I$26,2,0)</f>
        <v>FIX</v>
      </c>
      <c r="F439" t="s">
        <v>671</v>
      </c>
      <c r="G439">
        <v>558</v>
      </c>
      <c r="H439">
        <v>408</v>
      </c>
      <c r="I439">
        <v>150</v>
      </c>
    </row>
    <row r="440" spans="1:9" x14ac:dyDescent="0.2">
      <c r="A440">
        <v>2025</v>
      </c>
      <c r="B440" t="s">
        <v>48</v>
      </c>
      <c r="C440" s="3">
        <v>45677</v>
      </c>
      <c r="D440" s="3" t="s">
        <v>188</v>
      </c>
      <c r="E440" s="3" t="str">
        <f>VLOOKUP(Tabla2[[#This Row],[TIPUS]],Tarifas!$H$12:$I$26,2,0)</f>
        <v>IMPOSTOS</v>
      </c>
      <c r="F440" t="s">
        <v>672</v>
      </c>
      <c r="G440">
        <v>228</v>
      </c>
      <c r="H440">
        <v>228</v>
      </c>
      <c r="I440">
        <v>0</v>
      </c>
    </row>
    <row r="441" spans="1:9" x14ac:dyDescent="0.2">
      <c r="A441">
        <v>2025</v>
      </c>
      <c r="B441" t="s">
        <v>48</v>
      </c>
      <c r="C441" s="3">
        <v>45677</v>
      </c>
      <c r="D441" s="3" t="s">
        <v>162</v>
      </c>
      <c r="E441" s="3" t="str">
        <f>VLOOKUP(Tabla2[[#This Row],[TIPUS]],Tarifas!$H$12:$I$26,2,0)</f>
        <v>VARIABLE</v>
      </c>
      <c r="F441" t="s">
        <v>550</v>
      </c>
      <c r="G441">
        <v>50</v>
      </c>
      <c r="H441">
        <v>0</v>
      </c>
      <c r="I441">
        <v>50</v>
      </c>
    </row>
    <row r="442" spans="1:9" x14ac:dyDescent="0.2">
      <c r="A442">
        <v>2025</v>
      </c>
      <c r="B442" t="s">
        <v>48</v>
      </c>
      <c r="C442" s="3">
        <v>45677</v>
      </c>
      <c r="D442" s="3" t="s">
        <v>188</v>
      </c>
      <c r="E442" s="3" t="str">
        <f>VLOOKUP(Tabla2[[#This Row],[TIPUS]],Tarifas!$H$12:$I$26,2,0)</f>
        <v>IMPOSTOS</v>
      </c>
      <c r="F442" t="s">
        <v>673</v>
      </c>
      <c r="G442">
        <v>1103</v>
      </c>
      <c r="H442">
        <v>1103</v>
      </c>
      <c r="I442">
        <v>0</v>
      </c>
    </row>
    <row r="443" spans="1:9" x14ac:dyDescent="0.2">
      <c r="A443">
        <v>2025</v>
      </c>
      <c r="B443" t="s">
        <v>48</v>
      </c>
      <c r="C443" s="3">
        <v>45677</v>
      </c>
      <c r="D443" s="3" t="s">
        <v>162</v>
      </c>
      <c r="E443" s="3" t="str">
        <f>VLOOKUP(Tabla2[[#This Row],[TIPUS]],Tarifas!$H$12:$I$26,2,0)</f>
        <v>VARIABLE</v>
      </c>
      <c r="F443" t="s">
        <v>410</v>
      </c>
      <c r="G443">
        <v>160</v>
      </c>
      <c r="H443">
        <v>0</v>
      </c>
      <c r="I443">
        <v>160</v>
      </c>
    </row>
    <row r="444" spans="1:9" x14ac:dyDescent="0.2">
      <c r="A444">
        <v>2025</v>
      </c>
      <c r="B444" t="s">
        <v>48</v>
      </c>
      <c r="C444" s="3">
        <v>45677</v>
      </c>
      <c r="D444" s="3" t="s">
        <v>112</v>
      </c>
      <c r="E444" s="3" t="str">
        <f>VLOOKUP(Tabla2[[#This Row],[TIPUS]],Tarifas!$H$12:$I$26,2,0)</f>
        <v>FIX</v>
      </c>
      <c r="F444" t="s">
        <v>671</v>
      </c>
      <c r="G444">
        <v>63.9</v>
      </c>
      <c r="H444">
        <v>63.9</v>
      </c>
      <c r="I444">
        <v>0</v>
      </c>
    </row>
    <row r="445" spans="1:9" x14ac:dyDescent="0.2">
      <c r="A445">
        <v>2025</v>
      </c>
      <c r="B445" t="s">
        <v>56</v>
      </c>
      <c r="C445" s="3">
        <v>45690</v>
      </c>
      <c r="D445" s="3" t="s">
        <v>106</v>
      </c>
      <c r="E445" s="3" t="str">
        <f>VLOOKUP(Tabla2[[#This Row],[TIPUS]],Tarifas!$H$12:$I$26,2,0)</f>
        <v>FIX</v>
      </c>
      <c r="F445" t="s">
        <v>627</v>
      </c>
      <c r="G445">
        <v>65.11</v>
      </c>
      <c r="H445">
        <v>65.11</v>
      </c>
      <c r="I445">
        <v>0</v>
      </c>
    </row>
    <row r="446" spans="1:9" x14ac:dyDescent="0.2">
      <c r="A446">
        <v>2025</v>
      </c>
      <c r="B446" t="s">
        <v>56</v>
      </c>
      <c r="C446" s="3">
        <v>45690</v>
      </c>
      <c r="D446" s="3" t="s">
        <v>104</v>
      </c>
      <c r="E446" s="3" t="str">
        <f>VLOOKUP(Tabla2[[#This Row],[TIPUS]],Tarifas!$H$12:$I$26,2,0)</f>
        <v>FIX</v>
      </c>
      <c r="F446" t="s">
        <v>627</v>
      </c>
      <c r="G446">
        <v>558</v>
      </c>
      <c r="H446">
        <v>408</v>
      </c>
      <c r="I446">
        <v>150</v>
      </c>
    </row>
    <row r="447" spans="1:9" x14ac:dyDescent="0.2">
      <c r="A447">
        <v>2025</v>
      </c>
      <c r="B447" t="s">
        <v>56</v>
      </c>
      <c r="C447" s="3">
        <v>45690</v>
      </c>
      <c r="D447" s="3" t="s">
        <v>110</v>
      </c>
      <c r="E447" s="3" t="str">
        <f>VLOOKUP(Tabla2[[#This Row],[TIPUS]],Tarifas!$H$12:$I$26,2,0)</f>
        <v>VARIABLE</v>
      </c>
      <c r="F447" t="s">
        <v>627</v>
      </c>
      <c r="G447">
        <f>659.51-408</f>
        <v>251.51</v>
      </c>
      <c r="H447">
        <f>659.51-408</f>
        <v>251.51</v>
      </c>
      <c r="I447">
        <v>0</v>
      </c>
    </row>
    <row r="448" spans="1:9" x14ac:dyDescent="0.2">
      <c r="A448">
        <v>2025</v>
      </c>
      <c r="B448" t="s">
        <v>56</v>
      </c>
      <c r="C448" s="3">
        <v>45716</v>
      </c>
      <c r="D448" s="3" t="s">
        <v>162</v>
      </c>
      <c r="E448" s="3" t="str">
        <f>VLOOKUP(Tabla2[[#This Row],[TIPUS]],Tarifas!$H$12:$I$26,2,0)</f>
        <v>VARIABLE</v>
      </c>
      <c r="F448" t="s">
        <v>550</v>
      </c>
      <c r="G448">
        <v>150</v>
      </c>
      <c r="H448">
        <v>0</v>
      </c>
      <c r="I448">
        <v>150</v>
      </c>
    </row>
    <row r="449" spans="1:9" x14ac:dyDescent="0.2">
      <c r="A449">
        <v>2025</v>
      </c>
      <c r="B449" t="s">
        <v>56</v>
      </c>
      <c r="C449" s="3">
        <v>45716</v>
      </c>
      <c r="D449" s="3" t="s">
        <v>114</v>
      </c>
      <c r="E449" s="3" t="str">
        <f>VLOOKUP(Tabla2[[#This Row],[TIPUS]],Tarifas!$H$12:$I$26,2,0)</f>
        <v>VARIABLE</v>
      </c>
      <c r="F449" t="s">
        <v>525</v>
      </c>
      <c r="G449">
        <v>80</v>
      </c>
      <c r="H449">
        <v>0</v>
      </c>
      <c r="I449">
        <v>80</v>
      </c>
    </row>
    <row r="450" spans="1:9" x14ac:dyDescent="0.2">
      <c r="A450">
        <v>2025</v>
      </c>
      <c r="B450" t="s">
        <v>56</v>
      </c>
      <c r="C450" s="3">
        <v>45716</v>
      </c>
      <c r="D450" s="3" t="s">
        <v>114</v>
      </c>
      <c r="E450" s="3" t="str">
        <f>VLOOKUP(Tabla2[[#This Row],[TIPUS]],Tarifas!$H$12:$I$26,2,0)</f>
        <v>VARIABLE</v>
      </c>
      <c r="F450" t="s">
        <v>206</v>
      </c>
      <c r="G450">
        <v>40</v>
      </c>
      <c r="H450">
        <v>0</v>
      </c>
      <c r="I450">
        <v>40</v>
      </c>
    </row>
    <row r="451" spans="1:9" x14ac:dyDescent="0.2">
      <c r="A451">
        <v>2025</v>
      </c>
      <c r="B451" t="s">
        <v>56</v>
      </c>
      <c r="C451" s="3">
        <v>45716</v>
      </c>
      <c r="D451" s="3" t="s">
        <v>112</v>
      </c>
      <c r="E451" s="3" t="str">
        <f>VLOOKUP(Tabla2[[#This Row],[TIPUS]],Tarifas!$H$12:$I$26,2,0)</f>
        <v>FIX</v>
      </c>
      <c r="F451" t="s">
        <v>627</v>
      </c>
      <c r="G451">
        <v>65.11</v>
      </c>
      <c r="H451">
        <v>65.11</v>
      </c>
      <c r="I451">
        <v>0</v>
      </c>
    </row>
    <row r="452" spans="1:9" x14ac:dyDescent="0.2">
      <c r="A452">
        <v>2025</v>
      </c>
      <c r="B452" t="s">
        <v>56</v>
      </c>
      <c r="C452" s="3">
        <v>45716</v>
      </c>
      <c r="D452" s="3" t="s">
        <v>162</v>
      </c>
      <c r="E452" s="3" t="str">
        <f>VLOOKUP(Tabla2[[#This Row],[TIPUS]],Tarifas!$H$12:$I$26,2,0)</f>
        <v>VARIABLE</v>
      </c>
      <c r="F452" t="s">
        <v>410</v>
      </c>
      <c r="G452">
        <v>195</v>
      </c>
      <c r="H452">
        <v>0</v>
      </c>
      <c r="I452">
        <v>195</v>
      </c>
    </row>
    <row r="453" spans="1:9" x14ac:dyDescent="0.2">
      <c r="A453">
        <v>2025</v>
      </c>
      <c r="B453" t="s">
        <v>57</v>
      </c>
      <c r="C453" s="3">
        <v>45731</v>
      </c>
      <c r="D453" s="3" t="s">
        <v>114</v>
      </c>
      <c r="E453" s="3" t="str">
        <f>VLOOKUP(Tabla2[[#This Row],[TIPUS]],Tarifas!$H$12:$I$26,2,0)</f>
        <v>VARIABLE</v>
      </c>
      <c r="F453" t="s">
        <v>674</v>
      </c>
      <c r="G453">
        <v>155</v>
      </c>
      <c r="H453">
        <v>155</v>
      </c>
      <c r="I453">
        <v>0</v>
      </c>
    </row>
    <row r="454" spans="1:9" x14ac:dyDescent="0.2">
      <c r="A454">
        <v>2025</v>
      </c>
      <c r="B454" t="s">
        <v>57</v>
      </c>
      <c r="C454" s="3">
        <v>45732</v>
      </c>
      <c r="D454" s="3" t="s">
        <v>106</v>
      </c>
      <c r="E454" s="3" t="str">
        <f>VLOOKUP(Tabla2[[#This Row],[TIPUS]],Tarifas!$H$12:$I$26,2,0)</f>
        <v>FIX</v>
      </c>
      <c r="F454" t="s">
        <v>57</v>
      </c>
      <c r="G454">
        <v>65.11</v>
      </c>
      <c r="H454">
        <v>65.11</v>
      </c>
      <c r="I454">
        <v>0</v>
      </c>
    </row>
    <row r="455" spans="1:9" x14ac:dyDescent="0.2">
      <c r="A455">
        <v>2025</v>
      </c>
      <c r="B455" t="s">
        <v>57</v>
      </c>
      <c r="C455" s="3">
        <v>45731</v>
      </c>
      <c r="D455" s="3" t="s">
        <v>104</v>
      </c>
      <c r="E455" s="3" t="str">
        <f>VLOOKUP(Tabla2[[#This Row],[TIPUS]],Tarifas!$H$12:$I$26,2,0)</f>
        <v>FIX</v>
      </c>
      <c r="F455" t="s">
        <v>509</v>
      </c>
      <c r="G455">
        <v>558</v>
      </c>
      <c r="H455">
        <v>408</v>
      </c>
      <c r="I455">
        <v>150</v>
      </c>
    </row>
    <row r="456" spans="1:9" x14ac:dyDescent="0.2">
      <c r="A456">
        <v>2025</v>
      </c>
      <c r="B456" t="s">
        <v>57</v>
      </c>
      <c r="C456" s="3">
        <v>45731</v>
      </c>
      <c r="D456" s="3" t="s">
        <v>110</v>
      </c>
      <c r="E456" s="3" t="str">
        <f>VLOOKUP(Tabla2[[#This Row],[TIPUS]],Tarifas!$H$12:$I$26,2,0)</f>
        <v>VARIABLE</v>
      </c>
      <c r="F456" t="s">
        <v>509</v>
      </c>
      <c r="G456">
        <v>170</v>
      </c>
      <c r="H456">
        <v>170</v>
      </c>
      <c r="I456">
        <v>0</v>
      </c>
    </row>
    <row r="457" spans="1:9" x14ac:dyDescent="0.2">
      <c r="A457">
        <v>2025</v>
      </c>
      <c r="B457" t="s">
        <v>57</v>
      </c>
      <c r="C457" s="3">
        <v>45731</v>
      </c>
      <c r="D457" s="3" t="s">
        <v>162</v>
      </c>
      <c r="E457" s="3" t="str">
        <f>VLOOKUP(Tabla2[[#This Row],[TIPUS]],Tarifas!$H$12:$I$26,2,0)</f>
        <v>VARIABLE</v>
      </c>
      <c r="F457" t="s">
        <v>550</v>
      </c>
      <c r="G457">
        <v>190</v>
      </c>
      <c r="H457">
        <v>0</v>
      </c>
      <c r="I457">
        <v>190</v>
      </c>
    </row>
    <row r="458" spans="1:9" x14ac:dyDescent="0.2">
      <c r="A458">
        <v>2025</v>
      </c>
      <c r="B458" t="s">
        <v>57</v>
      </c>
      <c r="C458" s="3">
        <v>45731</v>
      </c>
      <c r="D458" s="3" t="s">
        <v>162</v>
      </c>
      <c r="E458" s="3" t="str">
        <f>VLOOKUP(Tabla2[[#This Row],[TIPUS]],Tarifas!$H$12:$I$26,2,0)</f>
        <v>VARIABLE</v>
      </c>
      <c r="F458" t="s">
        <v>410</v>
      </c>
      <c r="G458">
        <v>240</v>
      </c>
      <c r="H458">
        <v>0</v>
      </c>
      <c r="I458">
        <v>240</v>
      </c>
    </row>
    <row r="459" spans="1:9" x14ac:dyDescent="0.2">
      <c r="A459">
        <v>2025</v>
      </c>
      <c r="B459" t="s">
        <v>57</v>
      </c>
      <c r="C459" s="3">
        <v>45731</v>
      </c>
      <c r="D459" s="3" t="s">
        <v>112</v>
      </c>
      <c r="E459" s="3" t="str">
        <f>VLOOKUP(Tabla2[[#This Row],[TIPUS]],Tarifas!$H$12:$I$26,2,0)</f>
        <v>FIX</v>
      </c>
      <c r="F459" t="s">
        <v>57</v>
      </c>
      <c r="G459">
        <v>67.55</v>
      </c>
      <c r="H459">
        <v>67.55</v>
      </c>
      <c r="I459">
        <v>0</v>
      </c>
    </row>
    <row r="460" spans="1:9" x14ac:dyDescent="0.2">
      <c r="A460">
        <v>2025</v>
      </c>
      <c r="B460" t="s">
        <v>58</v>
      </c>
      <c r="C460" s="3">
        <v>45748</v>
      </c>
      <c r="D460" s="3" t="s">
        <v>104</v>
      </c>
      <c r="E460" s="3" t="str">
        <f>VLOOKUP(Tabla2[[#This Row],[TIPUS]],Tarifas!$H$12:$I$26,2,0)</f>
        <v>FIX</v>
      </c>
      <c r="F460" t="s">
        <v>524</v>
      </c>
      <c r="G460">
        <v>558</v>
      </c>
      <c r="H460">
        <v>408</v>
      </c>
      <c r="I460">
        <v>150</v>
      </c>
    </row>
    <row r="461" spans="1:9" x14ac:dyDescent="0.2">
      <c r="A461">
        <v>2025</v>
      </c>
      <c r="B461" t="s">
        <v>58</v>
      </c>
      <c r="C461" s="3">
        <v>45748</v>
      </c>
      <c r="D461" s="3" t="s">
        <v>106</v>
      </c>
      <c r="E461" s="3" t="str">
        <f>VLOOKUP(Tabla2[[#This Row],[TIPUS]],Tarifas!$H$12:$I$26,2,0)</f>
        <v>FIX</v>
      </c>
      <c r="F461" t="s">
        <v>58</v>
      </c>
      <c r="G461">
        <v>65.11</v>
      </c>
      <c r="H461">
        <v>65.11</v>
      </c>
      <c r="I461">
        <v>0</v>
      </c>
    </row>
    <row r="462" spans="1:9" x14ac:dyDescent="0.2">
      <c r="A462">
        <v>2025</v>
      </c>
      <c r="B462" t="s">
        <v>58</v>
      </c>
      <c r="C462" s="3">
        <v>45748</v>
      </c>
      <c r="D462" s="3" t="s">
        <v>162</v>
      </c>
      <c r="E462" s="3" t="str">
        <f>VLOOKUP(Tabla2[[#This Row],[TIPUS]],Tarifas!$H$12:$I$26,2,0)</f>
        <v>VARIABLE</v>
      </c>
      <c r="F462" t="s">
        <v>410</v>
      </c>
      <c r="G462">
        <v>120</v>
      </c>
      <c r="H462">
        <v>0</v>
      </c>
      <c r="I462">
        <v>120</v>
      </c>
    </row>
    <row r="463" spans="1:9" x14ac:dyDescent="0.2">
      <c r="A463">
        <v>2025</v>
      </c>
      <c r="B463" t="s">
        <v>58</v>
      </c>
      <c r="C463" s="3">
        <v>45748</v>
      </c>
      <c r="D463" s="3" t="s">
        <v>110</v>
      </c>
      <c r="E463" s="3" t="str">
        <f>VLOOKUP(Tabla2[[#This Row],[TIPUS]],Tarifas!$H$12:$I$26,2,0)</f>
        <v>VARIABLE</v>
      </c>
      <c r="F463" t="s">
        <v>524</v>
      </c>
      <c r="G463">
        <f>582.31-408</f>
        <v>174.30999999999995</v>
      </c>
      <c r="H463">
        <f>582.31-408</f>
        <v>174.30999999999995</v>
      </c>
      <c r="I463">
        <v>0</v>
      </c>
    </row>
    <row r="464" spans="1:9" x14ac:dyDescent="0.2">
      <c r="A464">
        <v>2025</v>
      </c>
      <c r="B464" t="s">
        <v>58</v>
      </c>
      <c r="C464" s="3">
        <v>45748</v>
      </c>
      <c r="D464" s="3" t="s">
        <v>112</v>
      </c>
      <c r="E464" s="3" t="str">
        <f>VLOOKUP(Tabla2[[#This Row],[TIPUS]],Tarifas!$H$12:$I$26,2,0)</f>
        <v>FIX</v>
      </c>
      <c r="F464" t="s">
        <v>524</v>
      </c>
      <c r="G464">
        <v>67.55</v>
      </c>
      <c r="H464">
        <v>67.55</v>
      </c>
      <c r="I464">
        <v>0</v>
      </c>
    </row>
    <row r="465" spans="1:9" x14ac:dyDescent="0.2">
      <c r="A465">
        <v>2025</v>
      </c>
      <c r="B465" t="s">
        <v>58</v>
      </c>
      <c r="C465" s="3">
        <v>45748</v>
      </c>
      <c r="D465" s="3" t="s">
        <v>188</v>
      </c>
      <c r="E465" s="3" t="str">
        <f>VLOOKUP(Tabla2[[#This Row],[TIPUS]],Tarifas!$H$12:$I$26,2,0)</f>
        <v>IMPOSTOS</v>
      </c>
      <c r="F465" t="s">
        <v>675</v>
      </c>
      <c r="G465">
        <f>859.53+289.63</f>
        <v>1149.1599999999999</v>
      </c>
      <c r="H465">
        <f>859.53+289.63</f>
        <v>1149.1599999999999</v>
      </c>
      <c r="I465">
        <v>0</v>
      </c>
    </row>
    <row r="466" spans="1:9" x14ac:dyDescent="0.2">
      <c r="A466">
        <v>2025</v>
      </c>
      <c r="B466" t="s">
        <v>59</v>
      </c>
      <c r="C466" s="3">
        <v>45778</v>
      </c>
      <c r="D466" s="3" t="s">
        <v>106</v>
      </c>
      <c r="E466" s="3" t="str">
        <f>VLOOKUP(Tabla2[[#This Row],[TIPUS]],Tarifas!$H$12:$I$26,2,0)</f>
        <v>FIX</v>
      </c>
      <c r="F466" t="s">
        <v>643</v>
      </c>
      <c r="G466">
        <v>65.11</v>
      </c>
      <c r="H466">
        <v>65.11</v>
      </c>
      <c r="I466">
        <v>0</v>
      </c>
    </row>
    <row r="467" spans="1:9" x14ac:dyDescent="0.2">
      <c r="A467">
        <v>2025</v>
      </c>
      <c r="B467" t="s">
        <v>59</v>
      </c>
      <c r="C467" s="3">
        <v>45778</v>
      </c>
      <c r="D467" s="3" t="s">
        <v>107</v>
      </c>
      <c r="E467" s="3" t="str">
        <f>VLOOKUP(Tabla2[[#This Row],[TIPUS]],Tarifas!$H$12:$I$26,2,0)</f>
        <v>FIX</v>
      </c>
      <c r="F467" t="s">
        <v>676</v>
      </c>
      <c r="G467">
        <v>371.09</v>
      </c>
      <c r="H467">
        <v>371.09</v>
      </c>
      <c r="I467">
        <v>0</v>
      </c>
    </row>
    <row r="468" spans="1:9" x14ac:dyDescent="0.2">
      <c r="A468">
        <v>2025</v>
      </c>
      <c r="B468" t="s">
        <v>59</v>
      </c>
      <c r="C468" s="3">
        <v>45778</v>
      </c>
      <c r="D468" s="3" t="s">
        <v>162</v>
      </c>
      <c r="E468" s="3" t="str">
        <f>VLOOKUP(Tabla2[[#This Row],[TIPUS]],Tarifas!$H$12:$I$26,2,0)</f>
        <v>VARIABLE</v>
      </c>
      <c r="F468" t="s">
        <v>550</v>
      </c>
      <c r="G468">
        <v>280</v>
      </c>
      <c r="H468">
        <v>0</v>
      </c>
      <c r="I468">
        <v>280</v>
      </c>
    </row>
    <row r="469" spans="1:9" x14ac:dyDescent="0.2">
      <c r="A469">
        <v>2025</v>
      </c>
      <c r="B469" t="s">
        <v>59</v>
      </c>
      <c r="C469" s="3">
        <v>45778</v>
      </c>
      <c r="D469" s="3" t="s">
        <v>112</v>
      </c>
      <c r="E469" s="3" t="str">
        <f>VLOOKUP(Tabla2[[#This Row],[TIPUS]],Tarifas!$H$12:$I$26,2,0)</f>
        <v>FIX</v>
      </c>
      <c r="F469" t="s">
        <v>643</v>
      </c>
      <c r="G469">
        <v>68.099999999999994</v>
      </c>
      <c r="H469">
        <v>68.099999999999994</v>
      </c>
      <c r="I469">
        <v>0</v>
      </c>
    </row>
    <row r="470" spans="1:9" x14ac:dyDescent="0.2">
      <c r="A470">
        <v>2025</v>
      </c>
      <c r="B470" t="s">
        <v>59</v>
      </c>
      <c r="C470" s="3">
        <v>45778</v>
      </c>
      <c r="D470" s="3" t="s">
        <v>104</v>
      </c>
      <c r="E470" s="3" t="str">
        <f>VLOOKUP(Tabla2[[#This Row],[TIPUS]],Tarifas!$H$12:$I$26,2,0)</f>
        <v>FIX</v>
      </c>
      <c r="F470" t="s">
        <v>643</v>
      </c>
      <c r="G470">
        <v>400</v>
      </c>
      <c r="H470">
        <v>400</v>
      </c>
      <c r="I470">
        <v>0</v>
      </c>
    </row>
    <row r="471" spans="1:9" x14ac:dyDescent="0.2">
      <c r="A471">
        <v>2025</v>
      </c>
      <c r="B471" t="s">
        <v>59</v>
      </c>
      <c r="C471" s="3">
        <v>45778</v>
      </c>
      <c r="D471" s="3" t="s">
        <v>110</v>
      </c>
      <c r="E471" s="3" t="str">
        <f>VLOOKUP(Tabla2[[#This Row],[TIPUS]],Tarifas!$H$12:$I$26,2,0)</f>
        <v>VARIABLE</v>
      </c>
      <c r="F471" t="s">
        <v>643</v>
      </c>
      <c r="G471">
        <f>586.53-400</f>
        <v>186.52999999999997</v>
      </c>
      <c r="H471">
        <f>586.53-400</f>
        <v>186.52999999999997</v>
      </c>
      <c r="I471">
        <v>0</v>
      </c>
    </row>
    <row r="472" spans="1:9" x14ac:dyDescent="0.2">
      <c r="A472">
        <v>2025</v>
      </c>
      <c r="B472" t="s">
        <v>60</v>
      </c>
      <c r="C472" s="3">
        <v>45809</v>
      </c>
      <c r="D472" s="3" t="s">
        <v>162</v>
      </c>
      <c r="E472" s="3" t="str">
        <f>VLOOKUP(Tabla2[[#This Row],[TIPUS]],Tarifas!$H$12:$I$26,2,0)</f>
        <v>VARIABLE</v>
      </c>
      <c r="F472" t="s">
        <v>550</v>
      </c>
      <c r="G472">
        <v>300</v>
      </c>
      <c r="H472">
        <v>0</v>
      </c>
      <c r="I472">
        <v>300</v>
      </c>
    </row>
    <row r="473" spans="1:9" x14ac:dyDescent="0.2">
      <c r="A473">
        <v>2025</v>
      </c>
      <c r="B473" t="s">
        <v>60</v>
      </c>
      <c r="C473" s="3">
        <v>45809</v>
      </c>
      <c r="D473" s="3" t="s">
        <v>104</v>
      </c>
      <c r="E473" s="3" t="str">
        <f>VLOOKUP(Tabla2[[#This Row],[TIPUS]],Tarifas!$H$12:$I$26,2,0)</f>
        <v>FIX</v>
      </c>
      <c r="F473" t="s">
        <v>530</v>
      </c>
      <c r="G473">
        <v>425.2</v>
      </c>
      <c r="H473">
        <v>425.2</v>
      </c>
      <c r="I473">
        <v>0</v>
      </c>
    </row>
    <row r="474" spans="1:9" x14ac:dyDescent="0.2">
      <c r="A474">
        <v>2025</v>
      </c>
      <c r="B474" t="s">
        <v>60</v>
      </c>
      <c r="C474" s="3">
        <v>45809</v>
      </c>
      <c r="D474" s="3" t="s">
        <v>110</v>
      </c>
      <c r="E474" s="3" t="str">
        <f>VLOOKUP(Tabla2[[#This Row],[TIPUS]],Tarifas!$H$12:$I$26,2,0)</f>
        <v>VARIABLE</v>
      </c>
      <c r="F474" t="s">
        <v>530</v>
      </c>
      <c r="G474">
        <f>500.56-425.2</f>
        <v>75.360000000000014</v>
      </c>
      <c r="H474">
        <f>500.56-425.2</f>
        <v>75.360000000000014</v>
      </c>
      <c r="I474">
        <v>0</v>
      </c>
    </row>
    <row r="475" spans="1:9" x14ac:dyDescent="0.2">
      <c r="A475">
        <v>2025</v>
      </c>
      <c r="B475" t="s">
        <v>60</v>
      </c>
      <c r="C475" s="3">
        <v>45809</v>
      </c>
      <c r="D475" s="3" t="s">
        <v>114</v>
      </c>
      <c r="E475" s="3" t="str">
        <f>VLOOKUP(Tabla2[[#This Row],[TIPUS]],Tarifas!$H$12:$I$26,2,0)</f>
        <v>VARIABLE</v>
      </c>
      <c r="F475" t="s">
        <v>206</v>
      </c>
      <c r="G475">
        <v>40</v>
      </c>
      <c r="H475">
        <v>0</v>
      </c>
      <c r="I475">
        <v>40</v>
      </c>
    </row>
    <row r="476" spans="1:9" x14ac:dyDescent="0.2">
      <c r="A476">
        <v>2025</v>
      </c>
      <c r="B476" t="s">
        <v>60</v>
      </c>
      <c r="C476" s="3">
        <v>45809</v>
      </c>
      <c r="D476" s="3" t="s">
        <v>114</v>
      </c>
      <c r="E476" s="3" t="str">
        <f>VLOOKUP(Tabla2[[#This Row],[TIPUS]],Tarifas!$H$12:$I$26,2,0)</f>
        <v>VARIABLE</v>
      </c>
      <c r="F476" t="s">
        <v>677</v>
      </c>
      <c r="G476">
        <v>65</v>
      </c>
      <c r="H476">
        <v>65</v>
      </c>
      <c r="I476">
        <v>0</v>
      </c>
    </row>
  </sheetData>
  <pageMargins left="0.7" right="0.7" top="0.75" bottom="0.75" header="0.3" footer="0.3"/>
  <pageSetup paperSize="9" orientation="portrait" horizontalDpi="0" verticalDpi="0"/>
  <headerFooter>
    <oddHeader>&amp;C&amp;"Calibri"&amp;10&amp;K000000 Internal&amp;1#_x000D_</oddHeader>
  </headerFooter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Tarifas!$H$12:$H$26</xm:f>
          </x14:formula1>
          <xm:sqref>D2:D476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6C757-EB12-A344-A5FA-F23EFB5B362B}">
  <sheetPr>
    <tabColor theme="4"/>
  </sheetPr>
  <dimension ref="A1:AD221"/>
  <sheetViews>
    <sheetView showGridLines="0" showRuler="0" workbookViewId="0">
      <pane xSplit="1" topLeftCell="B1" activePane="topRight" state="frozen"/>
      <selection pane="topRight" activeCell="J13" sqref="J13"/>
    </sheetView>
  </sheetViews>
  <sheetFormatPr defaultColWidth="10.8515625" defaultRowHeight="15" outlineLevelRow="2" x14ac:dyDescent="0.2"/>
  <cols>
    <col min="1" max="1" width="22.31640625" bestFit="1" customWidth="1"/>
    <col min="2" max="11" width="10.8515625" customWidth="1"/>
    <col min="12" max="12" width="10.8515625" customWidth="1" collapsed="1"/>
    <col min="13" max="25" width="10.8515625" customWidth="1"/>
    <col min="28" max="28" width="12.9453125" customWidth="1"/>
  </cols>
  <sheetData>
    <row r="1" spans="1:28" ht="6" customHeight="1" thickBot="1" x14ac:dyDescent="0.25"/>
    <row r="2" spans="1:28" x14ac:dyDescent="0.2">
      <c r="A2">
        <v>6</v>
      </c>
      <c r="B2" s="208" t="s">
        <v>48</v>
      </c>
      <c r="C2" s="209"/>
      <c r="D2" s="208" t="s">
        <v>56</v>
      </c>
      <c r="E2" s="209"/>
      <c r="F2" s="208" t="s">
        <v>57</v>
      </c>
      <c r="G2" s="209"/>
      <c r="H2" s="208" t="s">
        <v>58</v>
      </c>
      <c r="I2" s="209"/>
      <c r="J2" s="208" t="s">
        <v>59</v>
      </c>
      <c r="K2" s="209"/>
      <c r="L2" s="208" t="s">
        <v>60</v>
      </c>
      <c r="M2" s="209"/>
      <c r="N2" s="208" t="s">
        <v>61</v>
      </c>
      <c r="O2" s="209"/>
      <c r="P2" s="208" t="s">
        <v>62</v>
      </c>
      <c r="Q2" s="209"/>
      <c r="R2" s="208" t="s">
        <v>236</v>
      </c>
      <c r="S2" s="209"/>
      <c r="T2" s="208" t="s">
        <v>63</v>
      </c>
      <c r="U2" s="209"/>
      <c r="V2" s="208" t="s">
        <v>64</v>
      </c>
      <c r="W2" s="209"/>
      <c r="X2" s="208" t="s">
        <v>65</v>
      </c>
      <c r="Y2" s="209"/>
      <c r="Z2" s="208">
        <v>2025</v>
      </c>
      <c r="AA2" s="209"/>
      <c r="AB2" t="s">
        <v>555</v>
      </c>
    </row>
    <row r="3" spans="1:28" ht="15.75" thickBot="1" x14ac:dyDescent="0.25">
      <c r="A3" s="10" t="s">
        <v>66</v>
      </c>
      <c r="B3" s="16">
        <f>B4+B22</f>
        <v>4865</v>
      </c>
      <c r="C3" s="17">
        <f>IF(B3=0,0,(B3/B3))</f>
        <v>1</v>
      </c>
      <c r="D3" s="16">
        <f>D4+D22</f>
        <v>3665</v>
      </c>
      <c r="E3" s="17">
        <f>IF(D3=0,0,(D3/D3))</f>
        <v>1</v>
      </c>
      <c r="F3" s="16">
        <f t="shared" ref="F3:X3" si="0">F4+F22</f>
        <v>3975</v>
      </c>
      <c r="G3" s="17">
        <f>IF(F3=0,0,(F3/F3))</f>
        <v>1</v>
      </c>
      <c r="H3" s="16">
        <f t="shared" si="0"/>
        <v>3265</v>
      </c>
      <c r="I3" s="17">
        <f>IF(H3=0,0,(H3/H3))</f>
        <v>1</v>
      </c>
      <c r="J3" s="16">
        <f t="shared" si="0"/>
        <v>3780</v>
      </c>
      <c r="K3" s="17">
        <f>IF(J3=0,0,(J3/J3))</f>
        <v>1</v>
      </c>
      <c r="L3" s="16">
        <f t="shared" si="0"/>
        <v>3420</v>
      </c>
      <c r="M3" s="17">
        <f>IF(L3=0,0,(L3/L3))</f>
        <v>1</v>
      </c>
      <c r="N3" s="16">
        <f t="shared" si="0"/>
        <v>0</v>
      </c>
      <c r="O3" s="17">
        <f>IF(N3=0,0,(N3/N3))</f>
        <v>0</v>
      </c>
      <c r="P3" s="16">
        <f t="shared" si="0"/>
        <v>0</v>
      </c>
      <c r="Q3" s="17">
        <f>IF(P3=0,0,(P3/P3))</f>
        <v>0</v>
      </c>
      <c r="R3" s="16">
        <f t="shared" si="0"/>
        <v>0</v>
      </c>
      <c r="S3" s="17">
        <f>IF(R3=0,0,(R3/R3))</f>
        <v>0</v>
      </c>
      <c r="T3" s="16">
        <f t="shared" si="0"/>
        <v>0</v>
      </c>
      <c r="U3" s="17">
        <f>IF(T3=0,0,(T3/T3))</f>
        <v>0</v>
      </c>
      <c r="V3" s="16">
        <f t="shared" si="0"/>
        <v>0</v>
      </c>
      <c r="W3" s="17">
        <f>IF(V3=0,0,(V3/V3))</f>
        <v>0</v>
      </c>
      <c r="X3" s="16">
        <f t="shared" si="0"/>
        <v>0</v>
      </c>
      <c r="Y3" s="17">
        <f>IF(X3=0,0,(X3/X3))</f>
        <v>0</v>
      </c>
      <c r="Z3" s="16">
        <f>Z4+Z22</f>
        <v>22970</v>
      </c>
      <c r="AA3" s="17">
        <f>IF(Z3=0,0,(Z3/Z3))</f>
        <v>1</v>
      </c>
      <c r="AB3" s="178">
        <f>Z3/$A$2</f>
        <v>3828.3333333333335</v>
      </c>
    </row>
    <row r="4" spans="1:28" x14ac:dyDescent="0.2">
      <c r="A4" s="32" t="s">
        <v>74</v>
      </c>
      <c r="B4" s="18">
        <f>SUM(B5:B12)</f>
        <v>4565</v>
      </c>
      <c r="C4" s="19">
        <f>IF(B$3=0,0,B4/B$3)</f>
        <v>0.93833504624871533</v>
      </c>
      <c r="D4" s="18">
        <f t="shared" ref="D4:X4" si="1">SUM(D5:D12)</f>
        <v>3585</v>
      </c>
      <c r="E4" s="19">
        <f>IF(D$3=0,0,D4/D$3)</f>
        <v>0.97817189631650747</v>
      </c>
      <c r="F4" s="18">
        <f t="shared" si="1"/>
        <v>3975</v>
      </c>
      <c r="G4" s="19">
        <f>IF(F$3=0,0,F4/F$3)</f>
        <v>1</v>
      </c>
      <c r="H4" s="18">
        <f t="shared" si="1"/>
        <v>3085</v>
      </c>
      <c r="I4" s="19">
        <f>IF(H$3=0,0,H4/H$3)</f>
        <v>0.94486983154670745</v>
      </c>
      <c r="J4" s="18">
        <f t="shared" si="1"/>
        <v>3690</v>
      </c>
      <c r="K4" s="19">
        <f>IF(J$3=0,0,J4/J$3)</f>
        <v>0.97619047619047616</v>
      </c>
      <c r="L4" s="18">
        <f t="shared" si="1"/>
        <v>3360</v>
      </c>
      <c r="M4" s="19">
        <f>IF(L$3=0,0,L4/L$3)</f>
        <v>0.98245614035087714</v>
      </c>
      <c r="N4" s="18">
        <f t="shared" si="1"/>
        <v>0</v>
      </c>
      <c r="O4" s="19">
        <f>IF(N$3=0,0,N4/N$3)</f>
        <v>0</v>
      </c>
      <c r="P4" s="18">
        <f t="shared" si="1"/>
        <v>0</v>
      </c>
      <c r="Q4" s="19">
        <f>IF(P$3=0,0,P4/P$3)</f>
        <v>0</v>
      </c>
      <c r="R4" s="18">
        <f t="shared" si="1"/>
        <v>0</v>
      </c>
      <c r="S4" s="19">
        <f>IF(R$3=0,0,R4/R$3)</f>
        <v>0</v>
      </c>
      <c r="T4" s="18">
        <f t="shared" si="1"/>
        <v>0</v>
      </c>
      <c r="U4" s="19">
        <f>IF(T$3=0,0,T4/T$3)</f>
        <v>0</v>
      </c>
      <c r="V4" s="18">
        <f t="shared" si="1"/>
        <v>0</v>
      </c>
      <c r="W4" s="19">
        <f>IF(V$3=0,0,V4/V$3)</f>
        <v>0</v>
      </c>
      <c r="X4" s="18">
        <f t="shared" si="1"/>
        <v>0</v>
      </c>
      <c r="Y4" s="19">
        <f>IF(X$3=0,0,X4/X$3)</f>
        <v>0</v>
      </c>
      <c r="Z4" s="18">
        <f>SUM(Z5:Z12)</f>
        <v>22260</v>
      </c>
      <c r="AA4" s="19">
        <f>IF(Z$3=0,0,Z4/Z$3)</f>
        <v>0.96909011754462338</v>
      </c>
      <c r="AB4" s="178">
        <f t="shared" ref="AB4:AB62" si="2">Z4/$A$2</f>
        <v>3710</v>
      </c>
    </row>
    <row r="5" spans="1:28" hidden="1" outlineLevel="1" x14ac:dyDescent="0.2">
      <c r="A5" s="8" t="s">
        <v>67</v>
      </c>
      <c r="B5" s="20">
        <f>SUMIFS('Registre de reserves'!$P$2:$P$1178,'Registre de reserves'!$T$2:$T$1178,"SI",'Registre de reserves'!$I$2:$I$1178,'2025'!$A5,'Registre de reserves'!$B$2:$B$1178,'2025'!B$2,Tabla1[ANY],'2025'!$Z$2)+SUMIFS('Registre de reserves'!$U$2:$U$1178,'Registre de reserves'!$T$2:$T$1178,"RESERVA",'Registre de reserves'!$I$2:$I$1178,'2025'!$A5,'Registre de reserves'!$B$2:$B$1178,'2025'!B$2,Tabla1[ANY],'2025'!$Z$2)</f>
        <v>600</v>
      </c>
      <c r="C5" s="21">
        <f>IF(B$4=0,0,B5/B$4)</f>
        <v>0.13143483023001096</v>
      </c>
      <c r="D5" s="20">
        <f>SUMIFS('Registre de reserves'!$P$2:$P$1178,'Registre de reserves'!$T$2:$T$1178,"SI",'Registre de reserves'!$I$2:$I$1178,'2025'!$A5,'Registre de reserves'!$B$2:$B$1178,'2025'!D$2,Tabla1[ANY],'2025'!$Z$2)+SUMIFS('Registre de reserves'!$U$2:$U$1178,'Registre de reserves'!$T$2:$T$1178,"RESERVA",'Registre de reserves'!$I$2:$I$1178,'2025'!$A5,'Registre de reserves'!$B$2:$B$1178,'2025'!D$2,Tabla1[ANY],'2025'!$Z$2)</f>
        <v>1050</v>
      </c>
      <c r="E5" s="21">
        <f>IF(D$4=0,0,D5/D$4)</f>
        <v>0.29288702928870292</v>
      </c>
      <c r="F5" s="20">
        <f>SUMIFS('Registre de reserves'!$P$2:$P$1178,'Registre de reserves'!$T$2:$T$1178,"SI",'Registre de reserves'!$I$2:$I$1178,'2025'!$A5,'Registre de reserves'!$B$2:$B$1178,'2025'!F$2,Tabla1[ANY],'2025'!$Z$2)+SUMIFS('Registre de reserves'!$U$2:$U$1178,'Registre de reserves'!$T$2:$T$1178,"RESERVA",'Registre de reserves'!$I$2:$I$1178,'2025'!$A5,'Registre de reserves'!$B$2:$B$1178,'2025'!F$2,Tabla1[ANY],'2025'!$Z$2)</f>
        <v>750</v>
      </c>
      <c r="G5" s="21">
        <f t="shared" ref="G5:G12" si="3">IF(F$4=0,0,F5/F$4)</f>
        <v>0.18867924528301888</v>
      </c>
      <c r="H5" s="20">
        <f>SUMIFS('Registre de reserves'!$P$2:$P$1178,'Registre de reserves'!$T$2:$T$1178,"SI",'Registre de reserves'!$I$2:$I$1178,'2025'!$A5,'Registre de reserves'!$B$2:$B$1178,'2025'!H$2,Tabla1[ANY],'2025'!$Z$2)+SUMIFS('Registre de reserves'!$U$2:$U$1178,'Registre de reserves'!$T$2:$T$1178,"RESERVA",'Registre de reserves'!$I$2:$I$1178,'2025'!$A5,'Registre de reserves'!$B$2:$B$1178,'2025'!H$2,Tabla1[ANY],'2025'!$Z$2)</f>
        <v>900</v>
      </c>
      <c r="I5" s="21">
        <f t="shared" ref="I5:I12" si="4">IF(H$4=0,0,H5/H$4)</f>
        <v>0.29173419773095621</v>
      </c>
      <c r="J5" s="20">
        <f>SUMIFS('Registre de reserves'!$P$2:$P$1178,'Registre de reserves'!$T$2:$T$1178,"SI",'Registre de reserves'!$I$2:$I$1178,'2025'!$A5,'Registre de reserves'!$B$2:$B$1178,'2025'!J$2,Tabla1[ANY],'2025'!$Z$2)+SUMIFS('Registre de reserves'!$U$2:$U$1178,'Registre de reserves'!$T$2:$T$1178,"RESERVA",'Registre de reserves'!$I$2:$I$1178,'2025'!$A5,'Registre de reserves'!$B$2:$B$1178,'2025'!J$2,Tabla1[ANY],'2025'!$Z$2)</f>
        <v>750</v>
      </c>
      <c r="K5" s="21">
        <f t="shared" ref="K5:K12" si="5">IF(J$4=0,0,J5/J$4)</f>
        <v>0.2032520325203252</v>
      </c>
      <c r="L5" s="20">
        <f>SUMIFS('Registre de reserves'!$P$2:$P$1178,'Registre de reserves'!$T$2:$T$1178,"SI",'Registre de reserves'!$I$2:$I$1178,'2025'!$A5,'Registre de reserves'!$B$2:$B$1178,'2025'!L$2,Tabla1[ANY],'2025'!$Z$2)+SUMIFS('Registre de reserves'!$U$2:$U$1178,'Registre de reserves'!$T$2:$T$1178,"RESERVA",'Registre de reserves'!$I$2:$I$1178,'2025'!$A5,'Registre de reserves'!$B$2:$B$1178,'2025'!L$2,Tabla1[ANY],'2025'!$Z$2)</f>
        <v>450</v>
      </c>
      <c r="M5" s="21">
        <f t="shared" ref="M5:M12" si="6">IF(L$4=0,0,L5/L$4)</f>
        <v>0.13392857142857142</v>
      </c>
      <c r="N5" s="20">
        <f>SUMIFS('Registre de reserves'!$P$2:$P$1178,'Registre de reserves'!$T$2:$T$1178,"SI",'Registre de reserves'!$I$2:$I$1178,'2025'!$A5,'Registre de reserves'!$B$2:$B$1178,'2025'!N$2,Tabla1[ANY],'2025'!$Z$2)+SUMIFS('Registre de reserves'!$U$2:$U$1178,'Registre de reserves'!$T$2:$T$1178,"RESERVA",'Registre de reserves'!$I$2:$I$1178,'2025'!$A5,'Registre de reserves'!$B$2:$B$1178,'2025'!N$2,Tabla1[ANY],'2025'!$Z$2)</f>
        <v>0</v>
      </c>
      <c r="O5" s="21">
        <f t="shared" ref="O5:O12" si="7">IF(N$4=0,0,N5/N$4)</f>
        <v>0</v>
      </c>
      <c r="P5" s="20">
        <f>SUMIFS('Registre de reserves'!$P$2:$P$1178,'Registre de reserves'!$T$2:$T$1178,"SI",'Registre de reserves'!$I$2:$I$1178,'2025'!$A5,'Registre de reserves'!$B$2:$B$1178,'2025'!P$2,Tabla1[ANY],'2025'!$Z$2)+SUMIFS('Registre de reserves'!$U$2:$U$1178,'Registre de reserves'!$T$2:$T$1178,"RESERVA",'Registre de reserves'!$I$2:$I$1178,'2025'!$A5,'Registre de reserves'!$B$2:$B$1178,'2025'!P$2,Tabla1[ANY],'2025'!$Z$2)</f>
        <v>0</v>
      </c>
      <c r="Q5" s="21">
        <f t="shared" ref="Q5:Q12" si="8">IF(P$4=0,0,P5/P$4)</f>
        <v>0</v>
      </c>
      <c r="R5" s="20">
        <f>SUMIFS('Registre de reserves'!$P$2:$P$1178,'Registre de reserves'!$T$2:$T$1178,"SI",'Registre de reserves'!$I$2:$I$1178,'2025'!$A5,'Registre de reserves'!$B$2:$B$1178,'2025'!R$2,Tabla1[ANY],'2025'!$Z$2)+SUMIFS('Registre de reserves'!$U$2:$U$1178,'Registre de reserves'!$T$2:$T$1178,"RESERVA",'Registre de reserves'!$I$2:$I$1178,'2025'!$A5,'Registre de reserves'!$B$2:$B$1178,'2025'!R$2,Tabla1[ANY],'2025'!$Z$2)</f>
        <v>0</v>
      </c>
      <c r="S5" s="21">
        <f t="shared" ref="S5:S12" si="9">IF(R$4=0,0,R5/R$4)</f>
        <v>0</v>
      </c>
      <c r="T5" s="20">
        <f>SUMIFS('Registre de reserves'!$P$2:$P$1178,'Registre de reserves'!$T$2:$T$1178,"SI",'Registre de reserves'!$I$2:$I$1178,'2025'!$A5,'Registre de reserves'!$B$2:$B$1178,'2025'!T$2,Tabla1[ANY],'2025'!$Z$2)+SUMIFS('Registre de reserves'!$U$2:$U$1178,'Registre de reserves'!$T$2:$T$1178,"RESERVA",'Registre de reserves'!$I$2:$I$1178,'2025'!$A5,'Registre de reserves'!$B$2:$B$1178,'2025'!T$2,Tabla1[ANY],'2025'!$Z$2)</f>
        <v>0</v>
      </c>
      <c r="U5" s="21">
        <f t="shared" ref="U5:U12" si="10">IF(T$4=0,0,T5/T$4)</f>
        <v>0</v>
      </c>
      <c r="V5" s="20">
        <f>SUMIFS('Registre de reserves'!$P$2:$P$1178,'Registre de reserves'!$T$2:$T$1178,"SI",'Registre de reserves'!$I$2:$I$1178,'2025'!$A5,'Registre de reserves'!$B$2:$B$1178,'2025'!V$2,Tabla1[ANY],'2025'!$Z$2)+SUMIFS('Registre de reserves'!$U$2:$U$1178,'Registre de reserves'!$T$2:$T$1178,"RESERVA",'Registre de reserves'!$I$2:$I$1178,'2025'!$A5,'Registre de reserves'!$B$2:$B$1178,'2025'!V$2,Tabla1[ANY],'2025'!$Z$2)</f>
        <v>0</v>
      </c>
      <c r="W5" s="21">
        <f t="shared" ref="W5:W12" si="11">IF(V$4=0,0,V5/V$4)</f>
        <v>0</v>
      </c>
      <c r="X5" s="20">
        <f>SUMIFS('Registre de reserves'!$P$2:$P$1178,'Registre de reserves'!$T$2:$T$1178,"SI",'Registre de reserves'!$I$2:$I$1178,'2025'!$A5,'Registre de reserves'!$B$2:$B$1178,'2025'!X$2,Tabla1[ANY],'2025'!$Z$2)+SUMIFS('Registre de reserves'!$U$2:$U$1178,'Registre de reserves'!$T$2:$T$1178,"RESERVA",'Registre de reserves'!$I$2:$I$1178,'2025'!$A5,'Registre de reserves'!$B$2:$B$1178,'2025'!X$2,Tabla1[ANY],'2025'!$Z$2)</f>
        <v>0</v>
      </c>
      <c r="Y5" s="21">
        <f t="shared" ref="Y5:Y12" si="12">IF(X$4=0,0,X5/X$4)</f>
        <v>0</v>
      </c>
      <c r="Z5" s="20">
        <f>B5+D5+F5+H5+J5+L5+N5+P5+R5+T5+V5+X5</f>
        <v>4500</v>
      </c>
      <c r="AA5" s="21">
        <f t="shared" ref="AA5:AA12" si="13">IF(Z$4=0,0,Z5/Z$4)</f>
        <v>0.20215633423180593</v>
      </c>
      <c r="AB5" s="178">
        <f t="shared" si="2"/>
        <v>750</v>
      </c>
    </row>
    <row r="6" spans="1:28" hidden="1" outlineLevel="1" x14ac:dyDescent="0.2">
      <c r="A6" s="8" t="s">
        <v>68</v>
      </c>
      <c r="B6" s="20">
        <f>SUMIFS('Registre de reserves'!$P$2:$P$1178,'Registre de reserves'!$T$2:$T$1178,"SI",'Registre de reserves'!$I$2:$I$1178,'2025'!$A6,'Registre de reserves'!$B$2:$B$1178,'2025'!B$2,Tabla1[ANY],'2025'!$Z$2)+SUMIFS('Registre de reserves'!$U$2:$U$1178,'Registre de reserves'!$T$2:$T$1178,"RESERVA",'Registre de reserves'!$I$2:$I$1178,'2025'!$A6,'Registre de reserves'!$B$2:$B$1178,'2025'!B$2,Tabla1[ANY],'2025'!$Z$2)</f>
        <v>1855</v>
      </c>
      <c r="C6" s="21">
        <f t="shared" ref="C6:E12" si="14">IF(B$4=0,0,B6/B$4)</f>
        <v>0.40635268346111719</v>
      </c>
      <c r="D6" s="20">
        <f>SUMIFS('Registre de reserves'!$P$2:$P$1178,'Registre de reserves'!$T$2:$T$1178,"SI",'Registre de reserves'!$I$2:$I$1178,'2025'!$A6,'Registre de reserves'!$B$2:$B$1178,'2025'!D$2,Tabla1[ANY],'2025'!$Z$2)+SUMIFS('Registre de reserves'!$U$2:$U$1178,'Registre de reserves'!$T$2:$T$1178,"RESERVA",'Registre de reserves'!$I$2:$I$1178,'2025'!$A6,'Registre de reserves'!$B$2:$B$1178,'2025'!D$2,Tabla1[ANY],'2025'!$Z$2)</f>
        <v>1415</v>
      </c>
      <c r="E6" s="21">
        <f t="shared" si="14"/>
        <v>0.39470013947001392</v>
      </c>
      <c r="F6" s="20">
        <f>SUMIFS('Registre de reserves'!$P$2:$P$1178,'Registre de reserves'!$T$2:$T$1178,"SI",'Registre de reserves'!$I$2:$I$1178,'2025'!$A6,'Registre de reserves'!$B$2:$B$1178,'2025'!F$2,Tabla1[ANY],'2025'!$Z$2)+SUMIFS('Registre de reserves'!$U$2:$U$1178,'Registre de reserves'!$T$2:$T$1178,"RESERVA",'Registre de reserves'!$I$2:$I$1178,'2025'!$A6,'Registre de reserves'!$B$2:$B$1178,'2025'!F$2,Tabla1[ANY],'2025'!$Z$2)</f>
        <v>1625</v>
      </c>
      <c r="G6" s="21">
        <f t="shared" si="3"/>
        <v>0.4088050314465409</v>
      </c>
      <c r="H6" s="20">
        <f>SUMIFS('Registre de reserves'!$P$2:$P$1178,'Registre de reserves'!$T$2:$T$1178,"SI",'Registre de reserves'!$I$2:$I$1178,'2025'!$A6,'Registre de reserves'!$B$2:$B$1178,'2025'!H$2,Tabla1[ANY],'2025'!$Z$2)+SUMIFS('Registre de reserves'!$U$2:$U$1178,'Registre de reserves'!$T$2:$T$1178,"RESERVA",'Registre de reserves'!$I$2:$I$1178,'2025'!$A6,'Registre de reserves'!$B$2:$B$1178,'2025'!H$2,Tabla1[ANY],'2025'!$Z$2)</f>
        <v>1185</v>
      </c>
      <c r="I6" s="21">
        <f t="shared" si="4"/>
        <v>0.3841166936790924</v>
      </c>
      <c r="J6" s="20">
        <f>SUMIFS('Registre de reserves'!$P$2:$P$1178,'Registre de reserves'!$T$2:$T$1178,"SI",'Registre de reserves'!$I$2:$I$1178,'2025'!$A6,'Registre de reserves'!$B$2:$B$1178,'2025'!J$2,Tabla1[ANY],'2025'!$Z$2)+SUMIFS('Registre de reserves'!$U$2:$U$1178,'Registre de reserves'!$T$2:$T$1178,"RESERVA",'Registre de reserves'!$I$2:$I$1178,'2025'!$A6,'Registre de reserves'!$B$2:$B$1178,'2025'!J$2,Tabla1[ANY],'2025'!$Z$2)</f>
        <v>1420</v>
      </c>
      <c r="K6" s="21">
        <f t="shared" si="5"/>
        <v>0.38482384823848237</v>
      </c>
      <c r="L6" s="20">
        <f>SUMIFS('Registre de reserves'!$P$2:$P$1178,'Registre de reserves'!$T$2:$T$1178,"SI",'Registre de reserves'!$I$2:$I$1178,'2025'!$A6,'Registre de reserves'!$B$2:$B$1178,'2025'!L$2,Tabla1[ANY],'2025'!$Z$2)+SUMIFS('Registre de reserves'!$U$2:$U$1178,'Registre de reserves'!$T$2:$T$1178,"RESERVA",'Registre de reserves'!$I$2:$I$1178,'2025'!$A6,'Registre de reserves'!$B$2:$B$1178,'2025'!L$2,Tabla1[ANY],'2025'!$Z$2)</f>
        <v>1230</v>
      </c>
      <c r="M6" s="21">
        <f t="shared" si="6"/>
        <v>0.36607142857142855</v>
      </c>
      <c r="N6" s="20">
        <f>SUMIFS('Registre de reserves'!$P$2:$P$1178,'Registre de reserves'!$T$2:$T$1178,"SI",'Registre de reserves'!$I$2:$I$1178,'2025'!$A6,'Registre de reserves'!$B$2:$B$1178,'2025'!N$2,Tabla1[ANY],'2025'!$Z$2)+SUMIFS('Registre de reserves'!$U$2:$U$1178,'Registre de reserves'!$T$2:$T$1178,"RESERVA",'Registre de reserves'!$I$2:$I$1178,'2025'!$A6,'Registre de reserves'!$B$2:$B$1178,'2025'!N$2,Tabla1[ANY],'2025'!$Z$2)</f>
        <v>0</v>
      </c>
      <c r="O6" s="21">
        <f t="shared" si="7"/>
        <v>0</v>
      </c>
      <c r="P6" s="20">
        <f>SUMIFS('Registre de reserves'!$P$2:$P$1178,'Registre de reserves'!$T$2:$T$1178,"SI",'Registre de reserves'!$I$2:$I$1178,'2025'!$A6,'Registre de reserves'!$B$2:$B$1178,'2025'!P$2,Tabla1[ANY],'2025'!$Z$2)+SUMIFS('Registre de reserves'!$U$2:$U$1178,'Registre de reserves'!$T$2:$T$1178,"RESERVA",'Registre de reserves'!$I$2:$I$1178,'2025'!$A6,'Registre de reserves'!$B$2:$B$1178,'2025'!P$2,Tabla1[ANY],'2025'!$Z$2)</f>
        <v>0</v>
      </c>
      <c r="Q6" s="21">
        <f t="shared" si="8"/>
        <v>0</v>
      </c>
      <c r="R6" s="20">
        <f>SUMIFS('Registre de reserves'!$P$2:$P$1178,'Registre de reserves'!$T$2:$T$1178,"SI",'Registre de reserves'!$I$2:$I$1178,'2025'!$A6,'Registre de reserves'!$B$2:$B$1178,'2025'!R$2,Tabla1[ANY],'2025'!$Z$2)+SUMIFS('Registre de reserves'!$U$2:$U$1178,'Registre de reserves'!$T$2:$T$1178,"RESERVA",'Registre de reserves'!$I$2:$I$1178,'2025'!$A6,'Registre de reserves'!$B$2:$B$1178,'2025'!R$2,Tabla1[ANY],'2025'!$Z$2)</f>
        <v>0</v>
      </c>
      <c r="S6" s="21">
        <f t="shared" si="9"/>
        <v>0</v>
      </c>
      <c r="T6" s="20">
        <f>SUMIFS('Registre de reserves'!$P$2:$P$1178,'Registre de reserves'!$T$2:$T$1178,"SI",'Registre de reserves'!$I$2:$I$1178,'2025'!$A6,'Registre de reserves'!$B$2:$B$1178,'2025'!T$2,Tabla1[ANY],'2025'!$Z$2)+SUMIFS('Registre de reserves'!$U$2:$U$1178,'Registre de reserves'!$T$2:$T$1178,"RESERVA",'Registre de reserves'!$I$2:$I$1178,'2025'!$A6,'Registre de reserves'!$B$2:$B$1178,'2025'!T$2,Tabla1[ANY],'2025'!$Z$2)</f>
        <v>0</v>
      </c>
      <c r="U6" s="21">
        <f t="shared" si="10"/>
        <v>0</v>
      </c>
      <c r="V6" s="20">
        <f>SUMIFS('Registre de reserves'!$P$2:$P$1178,'Registre de reserves'!$T$2:$T$1178,"SI",'Registre de reserves'!$I$2:$I$1178,'2025'!$A6,'Registre de reserves'!$B$2:$B$1178,'2025'!V$2,Tabla1[ANY],'2025'!$Z$2)+SUMIFS('Registre de reserves'!$U$2:$U$1178,'Registre de reserves'!$T$2:$T$1178,"RESERVA",'Registre de reserves'!$I$2:$I$1178,'2025'!$A6,'Registre de reserves'!$B$2:$B$1178,'2025'!V$2,Tabla1[ANY],'2025'!$Z$2)</f>
        <v>0</v>
      </c>
      <c r="W6" s="21">
        <f t="shared" si="11"/>
        <v>0</v>
      </c>
      <c r="X6" s="20">
        <f>SUMIFS('Registre de reserves'!$P$2:$P$1178,'Registre de reserves'!$T$2:$T$1178,"SI",'Registre de reserves'!$I$2:$I$1178,'2025'!$A6,'Registre de reserves'!$B$2:$B$1178,'2025'!X$2,Tabla1[ANY],'2025'!$Z$2)+SUMIFS('Registre de reserves'!$U$2:$U$1178,'Registre de reserves'!$T$2:$T$1178,"RESERVA",'Registre de reserves'!$I$2:$I$1178,'2025'!$A6,'Registre de reserves'!$B$2:$B$1178,'2025'!X$2,Tabla1[ANY],'2025'!$Z$2)</f>
        <v>0</v>
      </c>
      <c r="Y6" s="21">
        <f t="shared" si="12"/>
        <v>0</v>
      </c>
      <c r="Z6" s="20">
        <f t="shared" ref="Z6:Z12" si="15">B6+D6+F6+H6+J6+L6+N6+P6+R6+T6+V6+X6</f>
        <v>8730</v>
      </c>
      <c r="AA6" s="21">
        <f t="shared" si="13"/>
        <v>0.39218328840970351</v>
      </c>
      <c r="AB6" s="178">
        <f t="shared" si="2"/>
        <v>1455</v>
      </c>
    </row>
    <row r="7" spans="1:28" hidden="1" outlineLevel="1" x14ac:dyDescent="0.2">
      <c r="A7" s="8" t="s">
        <v>4</v>
      </c>
      <c r="B7" s="20">
        <f>SUMIFS('Registre de reserves'!$P$2:$P$1178,'Registre de reserves'!$T$2:$T$1178,"SI",'Registre de reserves'!$I$2:$I$1178,'2025'!$A7,'Registre de reserves'!$B$2:$B$1178,'2025'!B$2,Tabla1[ANY],'2025'!$Z$2)+SUMIFS('Registre de reserves'!$U$2:$U$1178,'Registre de reserves'!$T$2:$T$1178,"RESERVA",'Registre de reserves'!$I$2:$I$1178,'2025'!$A7,'Registre de reserves'!$B$2:$B$1178,'2025'!B$2,Tabla1[ANY],'2025'!$Z$2)</f>
        <v>910</v>
      </c>
      <c r="C7" s="21">
        <f t="shared" si="14"/>
        <v>0.19934282584884994</v>
      </c>
      <c r="D7" s="20">
        <f>SUMIFS('Registre de reserves'!$P$2:$P$1178,'Registre de reserves'!$T$2:$T$1178,"SI",'Registre de reserves'!$I$2:$I$1178,'2025'!$A7,'Registre de reserves'!$B$2:$B$1178,'2025'!D$2,Tabla1[ANY],'2025'!$Z$2)+SUMIFS('Registre de reserves'!$U$2:$U$1178,'Registre de reserves'!$T$2:$T$1178,"RESERVA",'Registre de reserves'!$I$2:$I$1178,'2025'!$A7,'Registre de reserves'!$B$2:$B$1178,'2025'!D$2,Tabla1[ANY],'2025'!$Z$2)</f>
        <v>320</v>
      </c>
      <c r="E7" s="21">
        <f t="shared" si="14"/>
        <v>8.926080892608089E-2</v>
      </c>
      <c r="F7" s="20">
        <f>SUMIFS('Registre de reserves'!$P$2:$P$1178,'Registre de reserves'!$T$2:$T$1178,"SI",'Registre de reserves'!$I$2:$I$1178,'2025'!$A7,'Registre de reserves'!$B$2:$B$1178,'2025'!F$2,Tabla1[ANY],'2025'!$Z$2)+SUMIFS('Registre de reserves'!$U$2:$U$1178,'Registre de reserves'!$T$2:$T$1178,"RESERVA",'Registre de reserves'!$I$2:$I$1178,'2025'!$A7,'Registre de reserves'!$B$2:$B$1178,'2025'!F$2,Tabla1[ANY],'2025'!$Z$2)</f>
        <v>0</v>
      </c>
      <c r="G7" s="21">
        <f t="shared" si="3"/>
        <v>0</v>
      </c>
      <c r="H7" s="20">
        <f>SUMIFS('Registre de reserves'!$P$2:$P$1178,'Registre de reserves'!$T$2:$T$1178,"SI",'Registre de reserves'!$I$2:$I$1178,'2025'!$A7,'Registre de reserves'!$B$2:$B$1178,'2025'!H$2,Tabla1[ANY],'2025'!$Z$2)+SUMIFS('Registre de reserves'!$U$2:$U$1178,'Registre de reserves'!$T$2:$T$1178,"RESERVA",'Registre de reserves'!$I$2:$I$1178,'2025'!$A7,'Registre de reserves'!$B$2:$B$1178,'2025'!H$2,Tabla1[ANY],'2025'!$Z$2)</f>
        <v>0</v>
      </c>
      <c r="I7" s="21">
        <f t="shared" si="4"/>
        <v>0</v>
      </c>
      <c r="J7" s="20">
        <f>SUMIFS('Registre de reserves'!$P$2:$P$1178,'Registre de reserves'!$T$2:$T$1178,"SI",'Registre de reserves'!$I$2:$I$1178,'2025'!$A7,'Registre de reserves'!$B$2:$B$1178,'2025'!J$2,Tabla1[ANY],'2025'!$Z$2)+SUMIFS('Registre de reserves'!$U$2:$U$1178,'Registre de reserves'!$T$2:$T$1178,"RESERVA",'Registre de reserves'!$I$2:$I$1178,'2025'!$A7,'Registre de reserves'!$B$2:$B$1178,'2025'!J$2,Tabla1[ANY],'2025'!$Z$2)</f>
        <v>0</v>
      </c>
      <c r="K7" s="21">
        <f t="shared" si="5"/>
        <v>0</v>
      </c>
      <c r="L7" s="20">
        <f>SUMIFS('Registre de reserves'!$P$2:$P$1178,'Registre de reserves'!$T$2:$T$1178,"SI",'Registre de reserves'!$I$2:$I$1178,'2025'!$A7,'Registre de reserves'!$B$2:$B$1178,'2025'!L$2,Tabla1[ANY],'2025'!$Z$2)+SUMIFS('Registre de reserves'!$U$2:$U$1178,'Registre de reserves'!$T$2:$T$1178,"RESERVA",'Registre de reserves'!$I$2:$I$1178,'2025'!$A7,'Registre de reserves'!$B$2:$B$1178,'2025'!L$2,Tabla1[ANY],'2025'!$Z$2)</f>
        <v>0</v>
      </c>
      <c r="M7" s="21">
        <f t="shared" si="6"/>
        <v>0</v>
      </c>
      <c r="N7" s="20">
        <f>SUMIFS('Registre de reserves'!$P$2:$P$1178,'Registre de reserves'!$T$2:$T$1178,"SI",'Registre de reserves'!$I$2:$I$1178,'2025'!$A7,'Registre de reserves'!$B$2:$B$1178,'2025'!N$2,Tabla1[ANY],'2025'!$Z$2)+SUMIFS('Registre de reserves'!$U$2:$U$1178,'Registre de reserves'!$T$2:$T$1178,"RESERVA",'Registre de reserves'!$I$2:$I$1178,'2025'!$A7,'Registre de reserves'!$B$2:$B$1178,'2025'!N$2,Tabla1[ANY],'2025'!$Z$2)</f>
        <v>0</v>
      </c>
      <c r="O7" s="21">
        <f t="shared" si="7"/>
        <v>0</v>
      </c>
      <c r="P7" s="20">
        <f>SUMIFS('Registre de reserves'!$P$2:$P$1178,'Registre de reserves'!$T$2:$T$1178,"SI",'Registre de reserves'!$I$2:$I$1178,'2025'!$A7,'Registre de reserves'!$B$2:$B$1178,'2025'!P$2,Tabla1[ANY],'2025'!$Z$2)+SUMIFS('Registre de reserves'!$U$2:$U$1178,'Registre de reserves'!$T$2:$T$1178,"RESERVA",'Registre de reserves'!$I$2:$I$1178,'2025'!$A7,'Registre de reserves'!$B$2:$B$1178,'2025'!P$2,Tabla1[ANY],'2025'!$Z$2)</f>
        <v>0</v>
      </c>
      <c r="Q7" s="21">
        <f t="shared" si="8"/>
        <v>0</v>
      </c>
      <c r="R7" s="20">
        <f>SUMIFS('Registre de reserves'!$P$2:$P$1178,'Registre de reserves'!$T$2:$T$1178,"SI",'Registre de reserves'!$I$2:$I$1178,'2025'!$A7,'Registre de reserves'!$B$2:$B$1178,'2025'!R$2,Tabla1[ANY],'2025'!$Z$2)+SUMIFS('Registre de reserves'!$U$2:$U$1178,'Registre de reserves'!$T$2:$T$1178,"RESERVA",'Registre de reserves'!$I$2:$I$1178,'2025'!$A7,'Registre de reserves'!$B$2:$B$1178,'2025'!R$2,Tabla1[ANY],'2025'!$Z$2)</f>
        <v>0</v>
      </c>
      <c r="S7" s="21">
        <f t="shared" si="9"/>
        <v>0</v>
      </c>
      <c r="T7" s="20">
        <f>SUMIFS('Registre de reserves'!$P$2:$P$1178,'Registre de reserves'!$T$2:$T$1178,"SI",'Registre de reserves'!$I$2:$I$1178,'2025'!$A7,'Registre de reserves'!$B$2:$B$1178,'2025'!T$2,Tabla1[ANY],'2025'!$Z$2)+SUMIFS('Registre de reserves'!$U$2:$U$1178,'Registre de reserves'!$T$2:$T$1178,"RESERVA",'Registre de reserves'!$I$2:$I$1178,'2025'!$A7,'Registre de reserves'!$B$2:$B$1178,'2025'!T$2,Tabla1[ANY],'2025'!$Z$2)</f>
        <v>0</v>
      </c>
      <c r="U7" s="21">
        <f t="shared" si="10"/>
        <v>0</v>
      </c>
      <c r="V7" s="20">
        <f>SUMIFS('Registre de reserves'!$P$2:$P$1178,'Registre de reserves'!$T$2:$T$1178,"SI",'Registre de reserves'!$I$2:$I$1178,'2025'!$A7,'Registre de reserves'!$B$2:$B$1178,'2025'!V$2,Tabla1[ANY],'2025'!$Z$2)+SUMIFS('Registre de reserves'!$U$2:$U$1178,'Registre de reserves'!$T$2:$T$1178,"RESERVA",'Registre de reserves'!$I$2:$I$1178,'2025'!$A7,'Registre de reserves'!$B$2:$B$1178,'2025'!V$2,Tabla1[ANY],'2025'!$Z$2)</f>
        <v>0</v>
      </c>
      <c r="W7" s="21">
        <f t="shared" si="11"/>
        <v>0</v>
      </c>
      <c r="X7" s="20">
        <f>SUMIFS('Registre de reserves'!$P$2:$P$1178,'Registre de reserves'!$T$2:$T$1178,"SI",'Registre de reserves'!$I$2:$I$1178,'2025'!$A7,'Registre de reserves'!$B$2:$B$1178,'2025'!X$2,Tabla1[ANY],'2025'!$Z$2)+SUMIFS('Registre de reserves'!$U$2:$U$1178,'Registre de reserves'!$T$2:$T$1178,"RESERVA",'Registre de reserves'!$I$2:$I$1178,'2025'!$A7,'Registre de reserves'!$B$2:$B$1178,'2025'!X$2,Tabla1[ANY],'2025'!$Z$2)</f>
        <v>0</v>
      </c>
      <c r="Y7" s="21">
        <f t="shared" si="12"/>
        <v>0</v>
      </c>
      <c r="Z7" s="20">
        <f t="shared" si="15"/>
        <v>1230</v>
      </c>
      <c r="AA7" s="21">
        <f t="shared" si="13"/>
        <v>5.5256064690026953E-2</v>
      </c>
      <c r="AB7" s="178">
        <f t="shared" si="2"/>
        <v>205</v>
      </c>
    </row>
    <row r="8" spans="1:28" hidden="1" outlineLevel="1" x14ac:dyDescent="0.2">
      <c r="A8" s="8" t="s">
        <v>71</v>
      </c>
      <c r="B8" s="20">
        <f>SUMIFS('Registre de reserves'!$P$2:$P$1178,'Registre de reserves'!$T$2:$T$1178,"SI",'Registre de reserves'!$I$2:$I$1178,'2025'!$A8,'Registre de reserves'!$B$2:$B$1178,'2025'!B$2,Tabla1[ANY],'2025'!$Z$2)+SUMIFS('Registre de reserves'!$U$2:$U$1178,'Registre de reserves'!$T$2:$T$1178,"RESERVA",'Registre de reserves'!$I$2:$I$1178,'2025'!$A8,'Registre de reserves'!$B$2:$B$1178,'2025'!B$2,Tabla1[ANY],'2025'!$Z$2)</f>
        <v>0</v>
      </c>
      <c r="C8" s="21">
        <f t="shared" si="14"/>
        <v>0</v>
      </c>
      <c r="D8" s="20">
        <f>SUMIFS('Registre de reserves'!$P$2:$P$1178,'Registre de reserves'!$T$2:$T$1178,"SI",'Registre de reserves'!$I$2:$I$1178,'2025'!$A8,'Registre de reserves'!$B$2:$B$1178,'2025'!D$2,Tabla1[ANY],'2025'!$Z$2)+SUMIFS('Registre de reserves'!$U$2:$U$1178,'Registre de reserves'!$T$2:$T$1178,"RESERVA",'Registre de reserves'!$I$2:$I$1178,'2025'!$A8,'Registre de reserves'!$B$2:$B$1178,'2025'!D$2,Tabla1[ANY],'2025'!$Z$2)</f>
        <v>0</v>
      </c>
      <c r="E8" s="21">
        <f t="shared" si="14"/>
        <v>0</v>
      </c>
      <c r="F8" s="20">
        <f>SUMIFS('Registre de reserves'!$P$2:$P$1178,'Registre de reserves'!$T$2:$T$1178,"SI",'Registre de reserves'!$I$2:$I$1178,'2025'!$A8,'Registre de reserves'!$B$2:$B$1178,'2025'!F$2,Tabla1[ANY],'2025'!$Z$2)+SUMIFS('Registre de reserves'!$U$2:$U$1178,'Registre de reserves'!$T$2:$T$1178,"RESERVA",'Registre de reserves'!$I$2:$I$1178,'2025'!$A8,'Registre de reserves'!$B$2:$B$1178,'2025'!F$2,Tabla1[ANY],'2025'!$Z$2)</f>
        <v>0</v>
      </c>
      <c r="G8" s="21">
        <f t="shared" si="3"/>
        <v>0</v>
      </c>
      <c r="H8" s="20">
        <f>SUMIFS('Registre de reserves'!$P$2:$P$1178,'Registre de reserves'!$T$2:$T$1178,"SI",'Registre de reserves'!$I$2:$I$1178,'2025'!$A8,'Registre de reserves'!$B$2:$B$1178,'2025'!H$2,Tabla1[ANY],'2025'!$Z$2)+SUMIFS('Registre de reserves'!$U$2:$U$1178,'Registre de reserves'!$T$2:$T$1178,"RESERVA",'Registre de reserves'!$I$2:$I$1178,'2025'!$A8,'Registre de reserves'!$B$2:$B$1178,'2025'!H$2,Tabla1[ANY],'2025'!$Z$2)</f>
        <v>0</v>
      </c>
      <c r="I8" s="21">
        <f t="shared" si="4"/>
        <v>0</v>
      </c>
      <c r="J8" s="20">
        <f>SUMIFS('Registre de reserves'!$P$2:$P$1178,'Registre de reserves'!$T$2:$T$1178,"SI",'Registre de reserves'!$I$2:$I$1178,'2025'!$A8,'Registre de reserves'!$B$2:$B$1178,'2025'!J$2,Tabla1[ANY],'2025'!$Z$2)+SUMIFS('Registre de reserves'!$U$2:$U$1178,'Registre de reserves'!$T$2:$T$1178,"RESERVA",'Registre de reserves'!$I$2:$I$1178,'2025'!$A8,'Registre de reserves'!$B$2:$B$1178,'2025'!J$2,Tabla1[ANY],'2025'!$Z$2)</f>
        <v>0</v>
      </c>
      <c r="K8" s="21">
        <f t="shared" si="5"/>
        <v>0</v>
      </c>
      <c r="L8" s="20">
        <f>SUMIFS('Registre de reserves'!$P$2:$P$1178,'Registre de reserves'!$T$2:$T$1178,"SI",'Registre de reserves'!$I$2:$I$1178,'2025'!$A8,'Registre de reserves'!$B$2:$B$1178,'2025'!L$2,Tabla1[ANY],'2025'!$Z$2)+SUMIFS('Registre de reserves'!$U$2:$U$1178,'Registre de reserves'!$T$2:$T$1178,"RESERVA",'Registre de reserves'!$I$2:$I$1178,'2025'!$A8,'Registre de reserves'!$B$2:$B$1178,'2025'!L$2,Tabla1[ANY],'2025'!$Z$2)</f>
        <v>0</v>
      </c>
      <c r="M8" s="21">
        <f t="shared" si="6"/>
        <v>0</v>
      </c>
      <c r="N8" s="20">
        <f>SUMIFS('Registre de reserves'!$P$2:$P$1178,'Registre de reserves'!$T$2:$T$1178,"SI",'Registre de reserves'!$I$2:$I$1178,'2025'!$A8,'Registre de reserves'!$B$2:$B$1178,'2025'!N$2,Tabla1[ANY],'2025'!$Z$2)+SUMIFS('Registre de reserves'!$U$2:$U$1178,'Registre de reserves'!$T$2:$T$1178,"RESERVA",'Registre de reserves'!$I$2:$I$1178,'2025'!$A8,'Registre de reserves'!$B$2:$B$1178,'2025'!N$2,Tabla1[ANY],'2025'!$Z$2)</f>
        <v>0</v>
      </c>
      <c r="O8" s="21">
        <f t="shared" si="7"/>
        <v>0</v>
      </c>
      <c r="P8" s="20">
        <f>SUMIFS('Registre de reserves'!$P$2:$P$1178,'Registre de reserves'!$T$2:$T$1178,"SI",'Registre de reserves'!$I$2:$I$1178,'2025'!$A8,'Registre de reserves'!$B$2:$B$1178,'2025'!P$2,Tabla1[ANY],'2025'!$Z$2)+SUMIFS('Registre de reserves'!$U$2:$U$1178,'Registre de reserves'!$T$2:$T$1178,"RESERVA",'Registre de reserves'!$I$2:$I$1178,'2025'!$A8,'Registre de reserves'!$B$2:$B$1178,'2025'!P$2,Tabla1[ANY],'2025'!$Z$2)</f>
        <v>0</v>
      </c>
      <c r="Q8" s="21">
        <f t="shared" si="8"/>
        <v>0</v>
      </c>
      <c r="R8" s="20">
        <f>SUMIFS('Registre de reserves'!$P$2:$P$1178,'Registre de reserves'!$T$2:$T$1178,"SI",'Registre de reserves'!$I$2:$I$1178,'2025'!$A8,'Registre de reserves'!$B$2:$B$1178,'2025'!R$2,Tabla1[ANY],'2025'!$Z$2)+SUMIFS('Registre de reserves'!$U$2:$U$1178,'Registre de reserves'!$T$2:$T$1178,"RESERVA",'Registre de reserves'!$I$2:$I$1178,'2025'!$A8,'Registre de reserves'!$B$2:$B$1178,'2025'!R$2,Tabla1[ANY],'2025'!$Z$2)</f>
        <v>0</v>
      </c>
      <c r="S8" s="21">
        <f t="shared" si="9"/>
        <v>0</v>
      </c>
      <c r="T8" s="20">
        <f>SUMIFS('Registre de reserves'!$P$2:$P$1178,'Registre de reserves'!$T$2:$T$1178,"SI",'Registre de reserves'!$I$2:$I$1178,'2025'!$A8,'Registre de reserves'!$B$2:$B$1178,'2025'!T$2,Tabla1[ANY],'2025'!$Z$2)+SUMIFS('Registre de reserves'!$U$2:$U$1178,'Registre de reserves'!$T$2:$T$1178,"RESERVA",'Registre de reserves'!$I$2:$I$1178,'2025'!$A8,'Registre de reserves'!$B$2:$B$1178,'2025'!T$2,Tabla1[ANY],'2025'!$Z$2)</f>
        <v>0</v>
      </c>
      <c r="U8" s="21">
        <f t="shared" si="10"/>
        <v>0</v>
      </c>
      <c r="V8" s="20">
        <f>SUMIFS('Registre de reserves'!$P$2:$P$1178,'Registre de reserves'!$T$2:$T$1178,"SI",'Registre de reserves'!$I$2:$I$1178,'2025'!$A8,'Registre de reserves'!$B$2:$B$1178,'2025'!V$2,Tabla1[ANY],'2025'!$Z$2)+SUMIFS('Registre de reserves'!$U$2:$U$1178,'Registre de reserves'!$T$2:$T$1178,"RESERVA",'Registre de reserves'!$I$2:$I$1178,'2025'!$A8,'Registre de reserves'!$B$2:$B$1178,'2025'!V$2,Tabla1[ANY],'2025'!$Z$2)</f>
        <v>0</v>
      </c>
      <c r="W8" s="21">
        <f t="shared" si="11"/>
        <v>0</v>
      </c>
      <c r="X8" s="20">
        <f>SUMIFS('Registre de reserves'!$P$2:$P$1178,'Registre de reserves'!$T$2:$T$1178,"SI",'Registre de reserves'!$I$2:$I$1178,'2025'!$A8,'Registre de reserves'!$B$2:$B$1178,'2025'!X$2,Tabla1[ANY],'2025'!$Z$2)+SUMIFS('Registre de reserves'!$U$2:$U$1178,'Registre de reserves'!$T$2:$T$1178,"RESERVA",'Registre de reserves'!$I$2:$I$1178,'2025'!$A8,'Registre de reserves'!$B$2:$B$1178,'2025'!X$2,Tabla1[ANY],'2025'!$Z$2)</f>
        <v>0</v>
      </c>
      <c r="Y8" s="21">
        <f t="shared" si="12"/>
        <v>0</v>
      </c>
      <c r="Z8" s="20">
        <f t="shared" si="15"/>
        <v>0</v>
      </c>
      <c r="AA8" s="21">
        <f t="shared" si="13"/>
        <v>0</v>
      </c>
      <c r="AB8" s="178">
        <f t="shared" si="2"/>
        <v>0</v>
      </c>
    </row>
    <row r="9" spans="1:28" hidden="1" outlineLevel="1" x14ac:dyDescent="0.2">
      <c r="A9" s="8" t="s">
        <v>72</v>
      </c>
      <c r="B9" s="20">
        <f>SUMIFS('Registre de reserves'!$P$2:$P$1178,'Registre de reserves'!$T$2:$T$1178,"SI",'Registre de reserves'!$I$2:$I$1178,'2025'!$A9,'Registre de reserves'!$B$2:$B$1178,'2025'!B$2,Tabla1[ANY],'2025'!$Z$2)+SUMIFS('Registre de reserves'!$U$2:$U$1178,'Registre de reserves'!$T$2:$T$1178,"RESERVA",'Registre de reserves'!$I$2:$I$1178,'2025'!$A9,'Registre de reserves'!$B$2:$B$1178,'2025'!B$2,Tabla1[ANY],'2025'!$Z$2)</f>
        <v>0</v>
      </c>
      <c r="C9" s="21">
        <f>IF(B$4=0,0,B9/B$4)</f>
        <v>0</v>
      </c>
      <c r="D9" s="20">
        <f>SUMIFS('Registre de reserves'!$P$2:$P$1178,'Registre de reserves'!$T$2:$T$1178,"SI",'Registre de reserves'!$I$2:$I$1178,'2025'!$A9,'Registre de reserves'!$B$2:$B$1178,'2025'!D$2,Tabla1[ANY],'2025'!$Z$2)+SUMIFS('Registre de reserves'!$U$2:$U$1178,'Registre de reserves'!$T$2:$T$1178,"RESERVA",'Registre de reserves'!$I$2:$I$1178,'2025'!$A9,'Registre de reserves'!$B$2:$B$1178,'2025'!D$2,Tabla1[ANY],'2025'!$Z$2)</f>
        <v>0</v>
      </c>
      <c r="E9" s="21">
        <f>IF(D$4=0,0,D9/D$4)</f>
        <v>0</v>
      </c>
      <c r="F9" s="20">
        <f>SUMIFS('Registre de reserves'!$P$2:$P$1178,'Registre de reserves'!$T$2:$T$1178,"SI",'Registre de reserves'!$I$2:$I$1178,'2025'!$A9,'Registre de reserves'!$B$2:$B$1178,'2025'!F$2,Tabla1[ANY],'2025'!$Z$2)+SUMIFS('Registre de reserves'!$U$2:$U$1178,'Registre de reserves'!$T$2:$T$1178,"RESERVA",'Registre de reserves'!$I$2:$I$1178,'2025'!$A9,'Registre de reserves'!$B$2:$B$1178,'2025'!F$2,Tabla1[ANY],'2025'!$Z$2)</f>
        <v>0</v>
      </c>
      <c r="G9" s="21">
        <f t="shared" si="3"/>
        <v>0</v>
      </c>
      <c r="H9" s="20">
        <f>SUMIFS('Registre de reserves'!$P$2:$P$1178,'Registre de reserves'!$T$2:$T$1178,"SI",'Registre de reserves'!$I$2:$I$1178,'2025'!$A9,'Registre de reserves'!$B$2:$B$1178,'2025'!H$2,Tabla1[ANY],'2025'!$Z$2)+SUMIFS('Registre de reserves'!$U$2:$U$1178,'Registre de reserves'!$T$2:$T$1178,"RESERVA",'Registre de reserves'!$I$2:$I$1178,'2025'!$A9,'Registre de reserves'!$B$2:$B$1178,'2025'!H$2,Tabla1[ANY],'2025'!$Z$2)</f>
        <v>0</v>
      </c>
      <c r="I9" s="21">
        <f t="shared" si="4"/>
        <v>0</v>
      </c>
      <c r="J9" s="20">
        <f>SUMIFS('Registre de reserves'!$P$2:$P$1178,'Registre de reserves'!$T$2:$T$1178,"SI",'Registre de reserves'!$I$2:$I$1178,'2025'!$A9,'Registre de reserves'!$B$2:$B$1178,'2025'!J$2,Tabla1[ANY],'2025'!$Z$2)+SUMIFS('Registre de reserves'!$U$2:$U$1178,'Registre de reserves'!$T$2:$T$1178,"RESERVA",'Registre de reserves'!$I$2:$I$1178,'2025'!$A9,'Registre de reserves'!$B$2:$B$1178,'2025'!J$2,Tabla1[ANY],'2025'!$Z$2)</f>
        <v>0</v>
      </c>
      <c r="K9" s="21">
        <f t="shared" si="5"/>
        <v>0</v>
      </c>
      <c r="L9" s="20">
        <f>SUMIFS('Registre de reserves'!$P$2:$P$1178,'Registre de reserves'!$T$2:$T$1178,"SI",'Registre de reserves'!$I$2:$I$1178,'2025'!$A9,'Registre de reserves'!$B$2:$B$1178,'2025'!L$2,Tabla1[ANY],'2025'!$Z$2)+SUMIFS('Registre de reserves'!$U$2:$U$1178,'Registre de reserves'!$T$2:$T$1178,"RESERVA",'Registre de reserves'!$I$2:$I$1178,'2025'!$A9,'Registre de reserves'!$B$2:$B$1178,'2025'!L$2,Tabla1[ANY],'2025'!$Z$2)</f>
        <v>0</v>
      </c>
      <c r="M9" s="21">
        <f t="shared" si="6"/>
        <v>0</v>
      </c>
      <c r="N9" s="20">
        <f>SUMIFS('Registre de reserves'!$P$2:$P$1178,'Registre de reserves'!$T$2:$T$1178,"SI",'Registre de reserves'!$I$2:$I$1178,'2025'!$A9,'Registre de reserves'!$B$2:$B$1178,'2025'!N$2,Tabla1[ANY],'2025'!$Z$2)+SUMIFS('Registre de reserves'!$U$2:$U$1178,'Registre de reserves'!$T$2:$T$1178,"RESERVA",'Registre de reserves'!$I$2:$I$1178,'2025'!$A9,'Registre de reserves'!$B$2:$B$1178,'2025'!N$2,Tabla1[ANY],'2025'!$Z$2)</f>
        <v>0</v>
      </c>
      <c r="O9" s="21">
        <f t="shared" si="7"/>
        <v>0</v>
      </c>
      <c r="P9" s="20">
        <f>SUMIFS('Registre de reserves'!$P$2:$P$1178,'Registre de reserves'!$T$2:$T$1178,"SI",'Registre de reserves'!$I$2:$I$1178,'2025'!$A9,'Registre de reserves'!$B$2:$B$1178,'2025'!P$2,Tabla1[ANY],'2025'!$Z$2)+SUMIFS('Registre de reserves'!$U$2:$U$1178,'Registre de reserves'!$T$2:$T$1178,"RESERVA",'Registre de reserves'!$I$2:$I$1178,'2025'!$A9,'Registre de reserves'!$B$2:$B$1178,'2025'!P$2,Tabla1[ANY],'2025'!$Z$2)</f>
        <v>0</v>
      </c>
      <c r="Q9" s="21">
        <f t="shared" si="8"/>
        <v>0</v>
      </c>
      <c r="R9" s="20">
        <f>SUMIFS('Registre de reserves'!$P$2:$P$1178,'Registre de reserves'!$T$2:$T$1178,"SI",'Registre de reserves'!$I$2:$I$1178,'2025'!$A9,'Registre de reserves'!$B$2:$B$1178,'2025'!R$2,Tabla1[ANY],'2025'!$Z$2)+SUMIFS('Registre de reserves'!$U$2:$U$1178,'Registre de reserves'!$T$2:$T$1178,"RESERVA",'Registre de reserves'!$I$2:$I$1178,'2025'!$A9,'Registre de reserves'!$B$2:$B$1178,'2025'!R$2,Tabla1[ANY],'2025'!$Z$2)</f>
        <v>0</v>
      </c>
      <c r="S9" s="21">
        <f t="shared" si="9"/>
        <v>0</v>
      </c>
      <c r="T9" s="20">
        <f>SUMIFS('Registre de reserves'!$P$2:$P$1178,'Registre de reserves'!$T$2:$T$1178,"SI",'Registre de reserves'!$I$2:$I$1178,'2025'!$A9,'Registre de reserves'!$B$2:$B$1178,'2025'!T$2,Tabla1[ANY],'2025'!$Z$2)+SUMIFS('Registre de reserves'!$U$2:$U$1178,'Registre de reserves'!$T$2:$T$1178,"RESERVA",'Registre de reserves'!$I$2:$I$1178,'2025'!$A9,'Registre de reserves'!$B$2:$B$1178,'2025'!T$2,Tabla1[ANY],'2025'!$Z$2)</f>
        <v>0</v>
      </c>
      <c r="U9" s="21">
        <f t="shared" si="10"/>
        <v>0</v>
      </c>
      <c r="V9" s="20">
        <f>SUMIFS('Registre de reserves'!$P$2:$P$1178,'Registre de reserves'!$T$2:$T$1178,"SI",'Registre de reserves'!$I$2:$I$1178,'2025'!$A9,'Registre de reserves'!$B$2:$B$1178,'2025'!V$2,Tabla1[ANY],'2025'!$Z$2)+SUMIFS('Registre de reserves'!$U$2:$U$1178,'Registre de reserves'!$T$2:$T$1178,"RESERVA",'Registre de reserves'!$I$2:$I$1178,'2025'!$A9,'Registre de reserves'!$B$2:$B$1178,'2025'!V$2,Tabla1[ANY],'2025'!$Z$2)</f>
        <v>0</v>
      </c>
      <c r="W9" s="21">
        <f t="shared" si="11"/>
        <v>0</v>
      </c>
      <c r="X9" s="20">
        <f>SUMIFS('Registre de reserves'!$P$2:$P$1178,'Registre de reserves'!$T$2:$T$1178,"SI",'Registre de reserves'!$I$2:$I$1178,'2025'!$A9,'Registre de reserves'!$B$2:$B$1178,'2025'!X$2,Tabla1[ANY],'2025'!$Z$2)+SUMIFS('Registre de reserves'!$U$2:$U$1178,'Registre de reserves'!$T$2:$T$1178,"RESERVA",'Registre de reserves'!$I$2:$I$1178,'2025'!$A9,'Registre de reserves'!$B$2:$B$1178,'2025'!X$2,Tabla1[ANY],'2025'!$Z$2)</f>
        <v>0</v>
      </c>
      <c r="Y9" s="21">
        <f t="shared" si="12"/>
        <v>0</v>
      </c>
      <c r="Z9" s="20">
        <f t="shared" si="15"/>
        <v>0</v>
      </c>
      <c r="AA9" s="21">
        <f t="shared" si="13"/>
        <v>0</v>
      </c>
      <c r="AB9" s="178">
        <f t="shared" si="2"/>
        <v>0</v>
      </c>
    </row>
    <row r="10" spans="1:28" hidden="1" outlineLevel="1" x14ac:dyDescent="0.2">
      <c r="A10" s="8" t="s">
        <v>69</v>
      </c>
      <c r="B10" s="20">
        <f>SUMIFS('Registre de reserves'!$P$2:$P$1178,'Registre de reserves'!$T$2:$T$1178,"SI",'Registre de reserves'!$I$2:$I$1178,'2025'!$A10,'Registre de reserves'!$B$2:$B$1178,'2025'!B$2,Tabla1[ANY],'2025'!$Z$2)+SUMIFS('Registre de reserves'!$U$2:$U$1178,'Registre de reserves'!$T$2:$T$1178,"RESERVA",'Registre de reserves'!$I$2:$I$1178,'2025'!$A10,'Registre de reserves'!$B$2:$B$1178,'2025'!B$2,Tabla1[ANY],'2025'!$Z$2)</f>
        <v>1200</v>
      </c>
      <c r="C10" s="21">
        <f t="shared" si="14"/>
        <v>0.26286966046002191</v>
      </c>
      <c r="D10" s="20">
        <f>SUMIFS('Registre de reserves'!$P$2:$P$1178,'Registre de reserves'!$T$2:$T$1178,"SI",'Registre de reserves'!$I$2:$I$1178,'2025'!$A10,'Registre de reserves'!$B$2:$B$1178,'2025'!D$2,Tabla1[ANY],'2025'!$Z$2)+SUMIFS('Registre de reserves'!$U$2:$U$1178,'Registre de reserves'!$T$2:$T$1178,"RESERVA",'Registre de reserves'!$I$2:$I$1178,'2025'!$A10,'Registre de reserves'!$B$2:$B$1178,'2025'!D$2,Tabla1[ANY],'2025'!$Z$2)</f>
        <v>800</v>
      </c>
      <c r="E10" s="21">
        <f t="shared" si="14"/>
        <v>0.22315202231520223</v>
      </c>
      <c r="F10" s="20">
        <f>SUMIFS('Registre de reserves'!$P$2:$P$1178,'Registre de reserves'!$T$2:$T$1178,"SI",'Registre de reserves'!$I$2:$I$1178,'2025'!$A10,'Registre de reserves'!$B$2:$B$1178,'2025'!F$2,Tabla1[ANY],'2025'!$Z$2)+SUMIFS('Registre de reserves'!$U$2:$U$1178,'Registre de reserves'!$T$2:$T$1178,"RESERVA",'Registre de reserves'!$I$2:$I$1178,'2025'!$A10,'Registre de reserves'!$B$2:$B$1178,'2025'!F$2,Tabla1[ANY],'2025'!$Z$2)</f>
        <v>1000</v>
      </c>
      <c r="G10" s="21">
        <f t="shared" si="3"/>
        <v>0.25157232704402516</v>
      </c>
      <c r="H10" s="20">
        <f>SUMIFS('Registre de reserves'!$P$2:$P$1178,'Registre de reserves'!$T$2:$T$1178,"SI",'Registre de reserves'!$I$2:$I$1178,'2025'!$A10,'Registre de reserves'!$B$2:$B$1178,'2025'!H$2,Tabla1[ANY],'2025'!$Z$2)+SUMIFS('Registre de reserves'!$U$2:$U$1178,'Registre de reserves'!$T$2:$T$1178,"RESERVA",'Registre de reserves'!$I$2:$I$1178,'2025'!$A10,'Registre de reserves'!$B$2:$B$1178,'2025'!H$2,Tabla1[ANY],'2025'!$Z$2)</f>
        <v>1000</v>
      </c>
      <c r="I10" s="21">
        <f t="shared" si="4"/>
        <v>0.32414910858995138</v>
      </c>
      <c r="J10" s="20">
        <f>SUMIFS('Registre de reserves'!$P$2:$P$1178,'Registre de reserves'!$T$2:$T$1178,"SI",'Registre de reserves'!$I$2:$I$1178,'2025'!$A10,'Registre de reserves'!$B$2:$B$1178,'2025'!J$2,Tabla1[ANY],'2025'!$Z$2)+SUMIFS('Registre de reserves'!$U$2:$U$1178,'Registre de reserves'!$T$2:$T$1178,"RESERVA",'Registre de reserves'!$I$2:$I$1178,'2025'!$A10,'Registre de reserves'!$B$2:$B$1178,'2025'!J$2,Tabla1[ANY],'2025'!$Z$2)</f>
        <v>1200</v>
      </c>
      <c r="K10" s="21">
        <f t="shared" si="5"/>
        <v>0.32520325203252032</v>
      </c>
      <c r="L10" s="20">
        <f>SUMIFS('Registre de reserves'!$P$2:$P$1178,'Registre de reserves'!$T$2:$T$1178,"SI",'Registre de reserves'!$I$2:$I$1178,'2025'!$A10,'Registre de reserves'!$B$2:$B$1178,'2025'!L$2,Tabla1[ANY],'2025'!$Z$2)+SUMIFS('Registre de reserves'!$U$2:$U$1178,'Registre de reserves'!$T$2:$T$1178,"RESERVA",'Registre de reserves'!$I$2:$I$1178,'2025'!$A10,'Registre de reserves'!$B$2:$B$1178,'2025'!L$2,Tabla1[ANY],'2025'!$Z$2)</f>
        <v>760</v>
      </c>
      <c r="M10" s="21">
        <f t="shared" si="6"/>
        <v>0.22619047619047619</v>
      </c>
      <c r="N10" s="20">
        <f>SUMIFS('Registre de reserves'!$P$2:$P$1178,'Registre de reserves'!$T$2:$T$1178,"SI",'Registre de reserves'!$I$2:$I$1178,'2025'!$A10,'Registre de reserves'!$B$2:$B$1178,'2025'!N$2,Tabla1[ANY],'2025'!$Z$2)+SUMIFS('Registre de reserves'!$U$2:$U$1178,'Registre de reserves'!$T$2:$T$1178,"RESERVA",'Registre de reserves'!$I$2:$I$1178,'2025'!$A10,'Registre de reserves'!$B$2:$B$1178,'2025'!N$2,Tabla1[ANY],'2025'!$Z$2)</f>
        <v>0</v>
      </c>
      <c r="O10" s="21">
        <f t="shared" si="7"/>
        <v>0</v>
      </c>
      <c r="P10" s="20">
        <f>SUMIFS('Registre de reserves'!$P$2:$P$1178,'Registre de reserves'!$T$2:$T$1178,"SI",'Registre de reserves'!$I$2:$I$1178,'2025'!$A10,'Registre de reserves'!$B$2:$B$1178,'2025'!P$2,Tabla1[ANY],'2025'!$Z$2)+SUMIFS('Registre de reserves'!$U$2:$U$1178,'Registre de reserves'!$T$2:$T$1178,"RESERVA",'Registre de reserves'!$I$2:$I$1178,'2025'!$A10,'Registre de reserves'!$B$2:$B$1178,'2025'!P$2,Tabla1[ANY],'2025'!$Z$2)</f>
        <v>0</v>
      </c>
      <c r="Q10" s="21">
        <f t="shared" si="8"/>
        <v>0</v>
      </c>
      <c r="R10" s="20">
        <f>SUMIFS('Registre de reserves'!$P$2:$P$1178,'Registre de reserves'!$T$2:$T$1178,"SI",'Registre de reserves'!$I$2:$I$1178,'2025'!$A10,'Registre de reserves'!$B$2:$B$1178,'2025'!R$2,Tabla1[ANY],'2025'!$Z$2)+SUMIFS('Registre de reserves'!$U$2:$U$1178,'Registre de reserves'!$T$2:$T$1178,"RESERVA",'Registre de reserves'!$I$2:$I$1178,'2025'!$A10,'Registre de reserves'!$B$2:$B$1178,'2025'!R$2,Tabla1[ANY],'2025'!$Z$2)</f>
        <v>0</v>
      </c>
      <c r="S10" s="21">
        <f t="shared" si="9"/>
        <v>0</v>
      </c>
      <c r="T10" s="20">
        <f>SUMIFS('Registre de reserves'!$P$2:$P$1178,'Registre de reserves'!$T$2:$T$1178,"SI",'Registre de reserves'!$I$2:$I$1178,'2025'!$A10,'Registre de reserves'!$B$2:$B$1178,'2025'!T$2,Tabla1[ANY],'2025'!$Z$2)+SUMIFS('Registre de reserves'!$U$2:$U$1178,'Registre de reserves'!$T$2:$T$1178,"RESERVA",'Registre de reserves'!$I$2:$I$1178,'2025'!$A10,'Registre de reserves'!$B$2:$B$1178,'2025'!T$2,Tabla1[ANY],'2025'!$Z$2)</f>
        <v>0</v>
      </c>
      <c r="U10" s="21">
        <f t="shared" si="10"/>
        <v>0</v>
      </c>
      <c r="V10" s="20">
        <f>SUMIFS('Registre de reserves'!$P$2:$P$1178,'Registre de reserves'!$T$2:$T$1178,"SI",'Registre de reserves'!$I$2:$I$1178,'2025'!$A10,'Registre de reserves'!$B$2:$B$1178,'2025'!V$2,Tabla1[ANY],'2025'!$Z$2)+SUMIFS('Registre de reserves'!$U$2:$U$1178,'Registre de reserves'!$T$2:$T$1178,"RESERVA",'Registre de reserves'!$I$2:$I$1178,'2025'!$A10,'Registre de reserves'!$B$2:$B$1178,'2025'!V$2,Tabla1[ANY],'2025'!$Z$2)</f>
        <v>0</v>
      </c>
      <c r="W10" s="21">
        <f t="shared" si="11"/>
        <v>0</v>
      </c>
      <c r="X10" s="20">
        <f>SUMIFS('Registre de reserves'!$P$2:$P$1178,'Registre de reserves'!$T$2:$T$1178,"SI",'Registre de reserves'!$I$2:$I$1178,'2025'!$A10,'Registre de reserves'!$B$2:$B$1178,'2025'!X$2,Tabla1[ANY],'2025'!$Z$2)+SUMIFS('Registre de reserves'!$U$2:$U$1178,'Registre de reserves'!$T$2:$T$1178,"RESERVA",'Registre de reserves'!$I$2:$I$1178,'2025'!$A10,'Registre de reserves'!$B$2:$B$1178,'2025'!X$2,Tabla1[ANY],'2025'!$Z$2)</f>
        <v>0</v>
      </c>
      <c r="Y10" s="21">
        <f t="shared" si="12"/>
        <v>0</v>
      </c>
      <c r="Z10" s="20">
        <f t="shared" si="15"/>
        <v>5960</v>
      </c>
      <c r="AA10" s="21">
        <f t="shared" si="13"/>
        <v>0.26774483378256964</v>
      </c>
      <c r="AB10" s="178">
        <f t="shared" si="2"/>
        <v>993.33333333333337</v>
      </c>
    </row>
    <row r="11" spans="1:28" hidden="1" outlineLevel="1" x14ac:dyDescent="0.2">
      <c r="A11" s="8" t="s">
        <v>70</v>
      </c>
      <c r="B11" s="20">
        <f>SUMIFS('Registre de reserves'!$P$2:$P$1178,'Registre de reserves'!$T$2:$T$1178,"SI",'Registre de reserves'!$I$2:$I$1178,'2025'!$A11,'Registre de reserves'!$B$2:$B$1178,'2025'!B$2,Tabla1[ANY],'2025'!$Z$2)+SUMIFS('Registre de reserves'!$U$2:$U$1178,'Registre de reserves'!$T$2:$T$1178,"RESERVA",'Registre de reserves'!$I$2:$I$1178,'2025'!$A11,'Registre de reserves'!$B$2:$B$1178,'2025'!B$2,Tabla1[ANY],'2025'!$Z$2)</f>
        <v>0</v>
      </c>
      <c r="C11" s="21">
        <f t="shared" si="14"/>
        <v>0</v>
      </c>
      <c r="D11" s="20">
        <f>SUMIFS('Registre de reserves'!$P$2:$P$1178,'Registre de reserves'!$T$2:$T$1178,"SI",'Registre de reserves'!$I$2:$I$1178,'2025'!$A11,'Registre de reserves'!$B$2:$B$1178,'2025'!D$2,Tabla1[ANY],'2025'!$Z$2)+SUMIFS('Registre de reserves'!$U$2:$U$1178,'Registre de reserves'!$T$2:$T$1178,"RESERVA",'Registre de reserves'!$I$2:$I$1178,'2025'!$A11,'Registre de reserves'!$B$2:$B$1178,'2025'!D$2,Tabla1[ANY],'2025'!$Z$2)</f>
        <v>0</v>
      </c>
      <c r="E11" s="21">
        <f t="shared" si="14"/>
        <v>0</v>
      </c>
      <c r="F11" s="20">
        <f>SUMIFS('Registre de reserves'!$P$2:$P$1178,'Registre de reserves'!$T$2:$T$1178,"SI",'Registre de reserves'!$I$2:$I$1178,'2025'!$A11,'Registre de reserves'!$B$2:$B$1178,'2025'!F$2,Tabla1[ANY],'2025'!$Z$2)+SUMIFS('Registre de reserves'!$U$2:$U$1178,'Registre de reserves'!$T$2:$T$1178,"RESERVA",'Registre de reserves'!$I$2:$I$1178,'2025'!$A11,'Registre de reserves'!$B$2:$B$1178,'2025'!F$2,Tabla1[ANY],'2025'!$Z$2)</f>
        <v>600</v>
      </c>
      <c r="G11" s="21">
        <f t="shared" si="3"/>
        <v>0.15094339622641509</v>
      </c>
      <c r="H11" s="20">
        <f>SUMIFS('Registre de reserves'!$P$2:$P$1178,'Registre de reserves'!$T$2:$T$1178,"SI",'Registre de reserves'!$I$2:$I$1178,'2025'!$A11,'Registre de reserves'!$B$2:$B$1178,'2025'!H$2,Tabla1[ANY],'2025'!$Z$2)+SUMIFS('Registre de reserves'!$U$2:$U$1178,'Registre de reserves'!$T$2:$T$1178,"RESERVA",'Registre de reserves'!$I$2:$I$1178,'2025'!$A11,'Registre de reserves'!$B$2:$B$1178,'2025'!H$2,Tabla1[ANY],'2025'!$Z$2)</f>
        <v>0</v>
      </c>
      <c r="I11" s="21">
        <f t="shared" si="4"/>
        <v>0</v>
      </c>
      <c r="J11" s="20">
        <f>SUMIFS('Registre de reserves'!$P$2:$P$1178,'Registre de reserves'!$T$2:$T$1178,"SI",'Registre de reserves'!$I$2:$I$1178,'2025'!$A11,'Registre de reserves'!$B$2:$B$1178,'2025'!J$2,Tabla1[ANY],'2025'!$Z$2)+SUMIFS('Registre de reserves'!$U$2:$U$1178,'Registre de reserves'!$T$2:$T$1178,"RESERVA",'Registre de reserves'!$I$2:$I$1178,'2025'!$A11,'Registre de reserves'!$B$2:$B$1178,'2025'!J$2,Tabla1[ANY],'2025'!$Z$2)</f>
        <v>320</v>
      </c>
      <c r="K11" s="21">
        <f t="shared" si="5"/>
        <v>8.6720867208672087E-2</v>
      </c>
      <c r="L11" s="20">
        <f>SUMIFS('Registre de reserves'!$P$2:$P$1178,'Registre de reserves'!$T$2:$T$1178,"SI",'Registre de reserves'!$I$2:$I$1178,'2025'!$A11,'Registre de reserves'!$B$2:$B$1178,'2025'!L$2,Tabla1[ANY],'2025'!$Z$2)+SUMIFS('Registre de reserves'!$U$2:$U$1178,'Registre de reserves'!$T$2:$T$1178,"RESERVA",'Registre de reserves'!$I$2:$I$1178,'2025'!$A11,'Registre de reserves'!$B$2:$B$1178,'2025'!L$2,Tabla1[ANY],'2025'!$Z$2)</f>
        <v>920</v>
      </c>
      <c r="M11" s="21">
        <f t="shared" si="6"/>
        <v>0.27380952380952384</v>
      </c>
      <c r="N11" s="20">
        <f>SUMIFS('Registre de reserves'!$P$2:$P$1178,'Registre de reserves'!$T$2:$T$1178,"SI",'Registre de reserves'!$I$2:$I$1178,'2025'!$A11,'Registre de reserves'!$B$2:$B$1178,'2025'!N$2,Tabla1[ANY],'2025'!$Z$2)+SUMIFS('Registre de reserves'!$U$2:$U$1178,'Registre de reserves'!$T$2:$T$1178,"RESERVA",'Registre de reserves'!$I$2:$I$1178,'2025'!$A11,'Registre de reserves'!$B$2:$B$1178,'2025'!N$2,Tabla1[ANY],'2025'!$Z$2)</f>
        <v>0</v>
      </c>
      <c r="O11" s="21">
        <f t="shared" si="7"/>
        <v>0</v>
      </c>
      <c r="P11" s="20">
        <f>SUMIFS('Registre de reserves'!$P$2:$P$1178,'Registre de reserves'!$T$2:$T$1178,"SI",'Registre de reserves'!$I$2:$I$1178,'2025'!$A11,'Registre de reserves'!$B$2:$B$1178,'2025'!P$2,Tabla1[ANY],'2025'!$Z$2)+SUMIFS('Registre de reserves'!$U$2:$U$1178,'Registre de reserves'!$T$2:$T$1178,"RESERVA",'Registre de reserves'!$I$2:$I$1178,'2025'!$A11,'Registre de reserves'!$B$2:$B$1178,'2025'!P$2,Tabla1[ANY],'2025'!$Z$2)</f>
        <v>0</v>
      </c>
      <c r="Q11" s="21">
        <f t="shared" si="8"/>
        <v>0</v>
      </c>
      <c r="R11" s="20">
        <f>SUMIFS('Registre de reserves'!$P$2:$P$1178,'Registre de reserves'!$T$2:$T$1178,"SI",'Registre de reserves'!$I$2:$I$1178,'2025'!$A11,'Registre de reserves'!$B$2:$B$1178,'2025'!R$2,Tabla1[ANY],'2025'!$Z$2)+SUMIFS('Registre de reserves'!$U$2:$U$1178,'Registre de reserves'!$T$2:$T$1178,"RESERVA",'Registre de reserves'!$I$2:$I$1178,'2025'!$A11,'Registre de reserves'!$B$2:$B$1178,'2025'!R$2,Tabla1[ANY],'2025'!$Z$2)</f>
        <v>0</v>
      </c>
      <c r="S11" s="21">
        <f t="shared" si="9"/>
        <v>0</v>
      </c>
      <c r="T11" s="20">
        <f>SUMIFS('Registre de reserves'!$P$2:$P$1178,'Registre de reserves'!$T$2:$T$1178,"SI",'Registre de reserves'!$I$2:$I$1178,'2025'!$A11,'Registre de reserves'!$B$2:$B$1178,'2025'!T$2,Tabla1[ANY],'2025'!$Z$2)+SUMIFS('Registre de reserves'!$U$2:$U$1178,'Registre de reserves'!$T$2:$T$1178,"RESERVA",'Registre de reserves'!$I$2:$I$1178,'2025'!$A11,'Registre de reserves'!$B$2:$B$1178,'2025'!T$2,Tabla1[ANY],'2025'!$Z$2)</f>
        <v>0</v>
      </c>
      <c r="U11" s="21">
        <f t="shared" si="10"/>
        <v>0</v>
      </c>
      <c r="V11" s="20">
        <f>SUMIFS('Registre de reserves'!$P$2:$P$1178,'Registre de reserves'!$T$2:$T$1178,"SI",'Registre de reserves'!$I$2:$I$1178,'2025'!$A11,'Registre de reserves'!$B$2:$B$1178,'2025'!V$2,Tabla1[ANY],'2025'!$Z$2)+SUMIFS('Registre de reserves'!$U$2:$U$1178,'Registre de reserves'!$T$2:$T$1178,"RESERVA",'Registre de reserves'!$I$2:$I$1178,'2025'!$A11,'Registre de reserves'!$B$2:$B$1178,'2025'!V$2,Tabla1[ANY],'2025'!$Z$2)</f>
        <v>0</v>
      </c>
      <c r="W11" s="21">
        <f t="shared" si="11"/>
        <v>0</v>
      </c>
      <c r="X11" s="20">
        <f>SUMIFS('Registre de reserves'!$P$2:$P$1178,'Registre de reserves'!$T$2:$T$1178,"SI",'Registre de reserves'!$I$2:$I$1178,'2025'!$A11,'Registre de reserves'!$B$2:$B$1178,'2025'!X$2,Tabla1[ANY],'2025'!$Z$2)+SUMIFS('Registre de reserves'!$U$2:$U$1178,'Registre de reserves'!$T$2:$T$1178,"RESERVA",'Registre de reserves'!$I$2:$I$1178,'2025'!$A11,'Registre de reserves'!$B$2:$B$1178,'2025'!X$2,Tabla1[ANY],'2025'!$Z$2)</f>
        <v>0</v>
      </c>
      <c r="Y11" s="21">
        <f t="shared" si="12"/>
        <v>0</v>
      </c>
      <c r="Z11" s="20">
        <f t="shared" si="15"/>
        <v>1840</v>
      </c>
      <c r="AA11" s="21">
        <f t="shared" si="13"/>
        <v>8.2659478885893978E-2</v>
      </c>
      <c r="AB11" s="178">
        <f t="shared" si="2"/>
        <v>306.66666666666669</v>
      </c>
    </row>
    <row r="12" spans="1:28" hidden="1" outlineLevel="1" x14ac:dyDescent="0.2">
      <c r="A12" s="8" t="s">
        <v>73</v>
      </c>
      <c r="B12" s="20">
        <f>SUMIFS('Registre de reserves'!$P$2:$P$1178,'Registre de reserves'!$T$2:$T$1178,"SI",'Registre de reserves'!$I$2:$I$1178,'2025'!$A12,'Registre de reserves'!$B$2:$B$1178,'2025'!B$2,Tabla1[ANY],'2025'!$Z$2)+SUMIFS('Registre de reserves'!$U$2:$U$1178,'Registre de reserves'!$T$2:$T$1178,"RESERVA",'Registre de reserves'!$I$2:$I$1178,'2025'!$A12,'Registre de reserves'!$B$2:$B$1178,'2025'!B$2,Tabla1[ANY],'2025'!$Z$2)</f>
        <v>0</v>
      </c>
      <c r="C12" s="21">
        <f t="shared" si="14"/>
        <v>0</v>
      </c>
      <c r="D12" s="20">
        <f>SUMIFS('Registre de reserves'!$P$2:$P$1178,'Registre de reserves'!$T$2:$T$1178,"SI",'Registre de reserves'!$I$2:$I$1178,'2025'!$A12,'Registre de reserves'!$B$2:$B$1178,'2025'!D$2,Tabla1[ANY],'2025'!$Z$2)+SUMIFS('Registre de reserves'!$U$2:$U$1178,'Registre de reserves'!$T$2:$T$1178,"RESERVA",'Registre de reserves'!$I$2:$I$1178,'2025'!$A12,'Registre de reserves'!$B$2:$B$1178,'2025'!D$2,Tabla1[ANY],'2025'!$Z$2)</f>
        <v>0</v>
      </c>
      <c r="E12" s="21">
        <f t="shared" si="14"/>
        <v>0</v>
      </c>
      <c r="F12" s="20">
        <f>SUMIFS('Registre de reserves'!$P$2:$P$1178,'Registre de reserves'!$T$2:$T$1178,"SI",'Registre de reserves'!$I$2:$I$1178,'2025'!$A12,'Registre de reserves'!$B$2:$B$1178,'2025'!F$2,Tabla1[ANY],'2025'!$Z$2)+SUMIFS('Registre de reserves'!$U$2:$U$1178,'Registre de reserves'!$T$2:$T$1178,"RESERVA",'Registre de reserves'!$I$2:$I$1178,'2025'!$A12,'Registre de reserves'!$B$2:$B$1178,'2025'!F$2,Tabla1[ANY],'2025'!$Z$2)</f>
        <v>0</v>
      </c>
      <c r="G12" s="21">
        <f t="shared" si="3"/>
        <v>0</v>
      </c>
      <c r="H12" s="20">
        <f>SUMIFS('Registre de reserves'!$P$2:$P$1178,'Registre de reserves'!$T$2:$T$1178,"SI",'Registre de reserves'!$I$2:$I$1178,'2025'!$A12,'Registre de reserves'!$B$2:$B$1178,'2025'!H$2,Tabla1[ANY],'2025'!$Z$2)+SUMIFS('Registre de reserves'!$U$2:$U$1178,'Registre de reserves'!$T$2:$T$1178,"RESERVA",'Registre de reserves'!$I$2:$I$1178,'2025'!$A12,'Registre de reserves'!$B$2:$B$1178,'2025'!H$2,Tabla1[ANY],'2025'!$Z$2)</f>
        <v>0</v>
      </c>
      <c r="I12" s="21">
        <f t="shared" si="4"/>
        <v>0</v>
      </c>
      <c r="J12" s="20">
        <f>SUMIFS('Registre de reserves'!$P$2:$P$1178,'Registre de reserves'!$T$2:$T$1178,"SI",'Registre de reserves'!$I$2:$I$1178,'2025'!$A12,'Registre de reserves'!$B$2:$B$1178,'2025'!J$2,Tabla1[ANY],'2025'!$Z$2)+SUMIFS('Registre de reserves'!$U$2:$U$1178,'Registre de reserves'!$T$2:$T$1178,"RESERVA",'Registre de reserves'!$I$2:$I$1178,'2025'!$A12,'Registre de reserves'!$B$2:$B$1178,'2025'!J$2,Tabla1[ANY],'2025'!$Z$2)</f>
        <v>0</v>
      </c>
      <c r="K12" s="21">
        <f t="shared" si="5"/>
        <v>0</v>
      </c>
      <c r="L12" s="20">
        <f>SUMIFS('Registre de reserves'!$P$2:$P$1178,'Registre de reserves'!$T$2:$T$1178,"SI",'Registre de reserves'!$I$2:$I$1178,'2025'!$A12,'Registre de reserves'!$B$2:$B$1178,'2025'!L$2,Tabla1[ANY],'2025'!$Z$2)+SUMIFS('Registre de reserves'!$U$2:$U$1178,'Registre de reserves'!$T$2:$T$1178,"RESERVA",'Registre de reserves'!$I$2:$I$1178,'2025'!$A12,'Registre de reserves'!$B$2:$B$1178,'2025'!L$2,Tabla1[ANY],'2025'!$Z$2)</f>
        <v>0</v>
      </c>
      <c r="M12" s="21">
        <f t="shared" si="6"/>
        <v>0</v>
      </c>
      <c r="N12" s="20">
        <f>SUMIFS('Registre de reserves'!$P$2:$P$1178,'Registre de reserves'!$T$2:$T$1178,"SI",'Registre de reserves'!$I$2:$I$1178,'2025'!$A12,'Registre de reserves'!$B$2:$B$1178,'2025'!N$2,Tabla1[ANY],'2025'!$Z$2)+SUMIFS('Registre de reserves'!$U$2:$U$1178,'Registre de reserves'!$T$2:$T$1178,"RESERVA",'Registre de reserves'!$I$2:$I$1178,'2025'!$A12,'Registre de reserves'!$B$2:$B$1178,'2025'!N$2,Tabla1[ANY],'2025'!$Z$2)</f>
        <v>0</v>
      </c>
      <c r="O12" s="21">
        <f t="shared" si="7"/>
        <v>0</v>
      </c>
      <c r="P12" s="20">
        <f>SUMIFS('Registre de reserves'!$P$2:$P$1178,'Registre de reserves'!$T$2:$T$1178,"SI",'Registre de reserves'!$I$2:$I$1178,'2025'!$A12,'Registre de reserves'!$B$2:$B$1178,'2025'!P$2,Tabla1[ANY],'2025'!$Z$2)+SUMIFS('Registre de reserves'!$U$2:$U$1178,'Registre de reserves'!$T$2:$T$1178,"RESERVA",'Registre de reserves'!$I$2:$I$1178,'2025'!$A12,'Registre de reserves'!$B$2:$B$1178,'2025'!P$2,Tabla1[ANY],'2025'!$Z$2)</f>
        <v>0</v>
      </c>
      <c r="Q12" s="21">
        <f t="shared" si="8"/>
        <v>0</v>
      </c>
      <c r="R12" s="20">
        <f>SUMIFS('Registre de reserves'!$P$2:$P$1178,'Registre de reserves'!$T$2:$T$1178,"SI",'Registre de reserves'!$I$2:$I$1178,'2025'!$A12,'Registre de reserves'!$B$2:$B$1178,'2025'!R$2,Tabla1[ANY],'2025'!$Z$2)+SUMIFS('Registre de reserves'!$U$2:$U$1178,'Registre de reserves'!$T$2:$T$1178,"RESERVA",'Registre de reserves'!$I$2:$I$1178,'2025'!$A12,'Registre de reserves'!$B$2:$B$1178,'2025'!R$2,Tabla1[ANY],'2025'!$Z$2)</f>
        <v>0</v>
      </c>
      <c r="S12" s="21">
        <f t="shared" si="9"/>
        <v>0</v>
      </c>
      <c r="T12" s="20">
        <f>SUMIFS('Registre de reserves'!$P$2:$P$1178,'Registre de reserves'!$T$2:$T$1178,"SI",'Registre de reserves'!$I$2:$I$1178,'2025'!$A12,'Registre de reserves'!$B$2:$B$1178,'2025'!T$2,Tabla1[ANY],'2025'!$Z$2)+SUMIFS('Registre de reserves'!$U$2:$U$1178,'Registre de reserves'!$T$2:$T$1178,"RESERVA",'Registre de reserves'!$I$2:$I$1178,'2025'!$A12,'Registre de reserves'!$B$2:$B$1178,'2025'!T$2,Tabla1[ANY],'2025'!$Z$2)</f>
        <v>0</v>
      </c>
      <c r="U12" s="21">
        <f t="shared" si="10"/>
        <v>0</v>
      </c>
      <c r="V12" s="20">
        <f>SUMIFS('Registre de reserves'!$P$2:$P$1178,'Registre de reserves'!$T$2:$T$1178,"SI",'Registre de reserves'!$I$2:$I$1178,'2025'!$A12,'Registre de reserves'!$B$2:$B$1178,'2025'!V$2,Tabla1[ANY],'2025'!$Z$2)+SUMIFS('Registre de reserves'!$U$2:$U$1178,'Registre de reserves'!$T$2:$T$1178,"RESERVA",'Registre de reserves'!$I$2:$I$1178,'2025'!$A12,'Registre de reserves'!$B$2:$B$1178,'2025'!V$2,Tabla1[ANY],'2025'!$Z$2)</f>
        <v>0</v>
      </c>
      <c r="W12" s="21">
        <f t="shared" si="11"/>
        <v>0</v>
      </c>
      <c r="X12" s="20">
        <f>SUMIFS('Registre de reserves'!$P$2:$P$1178,'Registre de reserves'!$T$2:$T$1178,"SI",'Registre de reserves'!$I$2:$I$1178,'2025'!$A12,'Registre de reserves'!$B$2:$B$1178,'2025'!X$2,Tabla1[ANY],'2025'!$Z$2)+SUMIFS('Registre de reserves'!$U$2:$U$1178,'Registre de reserves'!$T$2:$T$1178,"RESERVA",'Registre de reserves'!$I$2:$I$1178,'2025'!$A12,'Registre de reserves'!$B$2:$B$1178,'2025'!X$2,Tabla1[ANY],'2025'!$Z$2)</f>
        <v>0</v>
      </c>
      <c r="Y12" s="21">
        <f t="shared" si="12"/>
        <v>0</v>
      </c>
      <c r="Z12" s="20">
        <f t="shared" si="15"/>
        <v>0</v>
      </c>
      <c r="AA12" s="21">
        <f t="shared" si="13"/>
        <v>0</v>
      </c>
      <c r="AB12" s="178">
        <f t="shared" si="2"/>
        <v>0</v>
      </c>
    </row>
    <row r="13" spans="1:28" collapsed="1" x14ac:dyDescent="0.2">
      <c r="A13" s="33" t="s">
        <v>76</v>
      </c>
      <c r="B13" s="18">
        <f>SUM(B14:B21)</f>
        <v>0</v>
      </c>
      <c r="C13" s="19">
        <f>IF((B$13+B$31)=0,0,B13/(B$13+B$31))</f>
        <v>0</v>
      </c>
      <c r="D13" s="18">
        <f>SUM(D14:D21)</f>
        <v>0</v>
      </c>
      <c r="E13" s="19">
        <f>IF((D$13+D$31)=0,0,D13/(D$13+D$31))</f>
        <v>0</v>
      </c>
      <c r="F13" s="18">
        <f>SUM(F14:F21)</f>
        <v>0</v>
      </c>
      <c r="G13" s="19">
        <f>IF((F$13+F$31)=0,0,F13/(F$13+F$31))</f>
        <v>0</v>
      </c>
      <c r="H13" s="18">
        <f>SUM(H14:H21)</f>
        <v>0</v>
      </c>
      <c r="I13" s="19">
        <f>IF((H$13+H$31)=0,0,H13/(H$13+H$31))</f>
        <v>0</v>
      </c>
      <c r="J13" s="18">
        <f>SUM(J14:J21)</f>
        <v>0</v>
      </c>
      <c r="K13" s="19">
        <f>IF((J$13+J$31)=0,0,J13/(J$13+J$31))</f>
        <v>0</v>
      </c>
      <c r="L13" s="18">
        <f>SUM(L14:L21)</f>
        <v>1375</v>
      </c>
      <c r="M13" s="19">
        <f>IF((L$13+L$31)=0,0,L13/(L$13+L$31))</f>
        <v>1</v>
      </c>
      <c r="N13" s="18">
        <f>SUM(N14:N21)</f>
        <v>2835</v>
      </c>
      <c r="O13" s="19">
        <f>IF((N$13+N$31)=0,0,N13/(N$13+N$31))</f>
        <v>1</v>
      </c>
      <c r="P13" s="18">
        <f>SUM(P14:P21)</f>
        <v>0</v>
      </c>
      <c r="Q13" s="19">
        <f>IF((P$13+P$31)=0,0,P13/(P$13+P$31))</f>
        <v>0</v>
      </c>
      <c r="R13" s="18">
        <f>SUM(R14:R21)</f>
        <v>0</v>
      </c>
      <c r="S13" s="19">
        <f>IF((R$13+R$31)=0,0,R13/(R$13+R$31))</f>
        <v>0</v>
      </c>
      <c r="T13" s="18">
        <f>SUM(T14:T21)</f>
        <v>0</v>
      </c>
      <c r="U13" s="19">
        <f>IF((T$13+T$31)=0,0,T13/(T$13+T$31))</f>
        <v>0</v>
      </c>
      <c r="V13" s="18">
        <f>SUM(V14:V21)</f>
        <v>0</v>
      </c>
      <c r="W13" s="19">
        <f>IF((V$13+V$31)=0,0,V13/(V$13+V$31))</f>
        <v>0</v>
      </c>
      <c r="X13" s="18">
        <f>SUM(X14:X21)</f>
        <v>600</v>
      </c>
      <c r="Y13" s="19">
        <f>IF((X$13+X$31)=0,0,X13/(X$13+X$31))</f>
        <v>1</v>
      </c>
      <c r="Z13" s="18">
        <f>SUM(Z14:Z21)</f>
        <v>4810</v>
      </c>
      <c r="AA13" s="19">
        <f>IF((Z$13+Z$31)=0,0,Z13/(Z$13+Z$31))</f>
        <v>1</v>
      </c>
      <c r="AB13" s="178">
        <f t="shared" si="2"/>
        <v>801.66666666666663</v>
      </c>
    </row>
    <row r="14" spans="1:28" hidden="1" outlineLevel="1" x14ac:dyDescent="0.2">
      <c r="A14" s="8" t="s">
        <v>67</v>
      </c>
      <c r="B14" s="20">
        <f>SUMIFS('Registre de reserves'!$P$2:$P$1178,'Registre de reserves'!$T$2:$T$1178,"NO",'Registre de reserves'!$I$2:$I$1178,'2025'!$A14,'Registre de reserves'!$B$2:$B$1178,'2025'!B$2,Tabla1[ANY],'2025'!$Z$2)+SUMIFS('Registre de reserves'!$P$2:$P$1178,'Registre de reserves'!$T$2:$T$1178,"RESERVA",'Registre de reserves'!$I$2:$I$1178,'2025'!$A14,'Registre de reserves'!$B$2:$B$1178,'2025'!B$2,Tabla1[ANY],'2025'!$Z$2)-SUMIFS('Registre de reserves'!$U$2:$U$1178,'Registre de reserves'!$T$2:$T$1178,"RESERVA",'Registre de reserves'!$I$2:$I$1178,'2025'!$A14,'Registre de reserves'!$B$2:$B$1178,'2025'!B$2,Tabla1[ANY],'2025'!$Z$2)</f>
        <v>0</v>
      </c>
      <c r="C14" s="21">
        <f>IF($B$13=0,0,B14/B$13)</f>
        <v>0</v>
      </c>
      <c r="D14" s="20">
        <f>SUMIFS('Registre de reserves'!$P$2:$P$1178,'Registre de reserves'!$T$2:$T$1178,"NO",'Registre de reserves'!$I$2:$I$1178,'2025'!$A14,'Registre de reserves'!$B$2:$B$1178,'2025'!D$2,Tabla1[ANY],'2025'!$Z$2)+SUMIFS('Registre de reserves'!$P$2:$P$1178,'Registre de reserves'!$T$2:$T$1178,"RESERVA",'Registre de reserves'!$I$2:$I$1178,'2025'!$A14,'Registre de reserves'!$B$2:$B$1178,'2025'!D$2,Tabla1[ANY],'2025'!$Z$2)-SUMIFS('Registre de reserves'!$U$2:$U$1178,'Registre de reserves'!$T$2:$T$1178,"RESERVA",'Registre de reserves'!$I$2:$I$1178,'2025'!$A14,'Registre de reserves'!$B$2:$B$1178,'2025'!D$2,Tabla1[ANY],'2025'!$Z$2)</f>
        <v>0</v>
      </c>
      <c r="E14" s="21">
        <f>IF($D$13=0,0,D14/D$13)</f>
        <v>0</v>
      </c>
      <c r="F14" s="20">
        <f>SUMIFS('Registre de reserves'!$P$2:$P$1178,'Registre de reserves'!$T$2:$T$1178,"NO",'Registre de reserves'!$I$2:$I$1178,'2025'!$A14,'Registre de reserves'!$B$2:$B$1178,'2025'!F$2,Tabla1[ANY],'2025'!$Z$2)+SUMIFS('Registre de reserves'!$P$2:$P$1178,'Registre de reserves'!$T$2:$T$1178,"RESERVA",'Registre de reserves'!$I$2:$I$1178,'2025'!$A14,'Registre de reserves'!$B$2:$B$1178,'2025'!F$2,Tabla1[ANY],'2025'!$Z$2)-SUMIFS('Registre de reserves'!$U$2:$U$1178,'Registre de reserves'!$T$2:$T$1178,"RESERVA",'Registre de reserves'!$I$2:$I$1178,'2025'!$A14,'Registre de reserves'!$B$2:$B$1178,'2025'!F$2,Tabla1[ANY],'2025'!$Z$2)</f>
        <v>0</v>
      </c>
      <c r="G14" s="21">
        <f>IF($F$13=0,0,F14/F$13)</f>
        <v>0</v>
      </c>
      <c r="H14" s="20">
        <f>SUMIFS('Registre de reserves'!$P$2:$P$1178,'Registre de reserves'!$T$2:$T$1178,"NO",'Registre de reserves'!$I$2:$I$1178,'2025'!$A14,'Registre de reserves'!$B$2:$B$1178,'2025'!H$2,Tabla1[ANY],'2025'!$Z$2)+SUMIFS('Registre de reserves'!$P$2:$P$1178,'Registre de reserves'!$T$2:$T$1178,"RESERVA",'Registre de reserves'!$I$2:$I$1178,'2025'!$A14,'Registre de reserves'!$B$2:$B$1178,'2025'!H$2,Tabla1[ANY],'2025'!$Z$2)-SUMIFS('Registre de reserves'!$U$2:$U$1178,'Registre de reserves'!$T$2:$T$1178,"RESERVA",'Registre de reserves'!$I$2:$I$1178,'2025'!$A14,'Registre de reserves'!$B$2:$B$1178,'2025'!H$2,Tabla1[ANY],'2025'!$Z$2)</f>
        <v>0</v>
      </c>
      <c r="I14" s="21">
        <f>IF($H$13=0,0,H14/H$13)</f>
        <v>0</v>
      </c>
      <c r="J14" s="20">
        <f>SUMIFS('Registre de reserves'!$P$2:$P$1178,'Registre de reserves'!$T$2:$T$1178,"NO",'Registre de reserves'!$I$2:$I$1178,'2025'!$A14,'Registre de reserves'!$B$2:$B$1178,'2025'!J$2,Tabla1[ANY],'2025'!$Z$2)+SUMIFS('Registre de reserves'!$P$2:$P$1178,'Registre de reserves'!$T$2:$T$1178,"RESERVA",'Registre de reserves'!$I$2:$I$1178,'2025'!$A14,'Registre de reserves'!$B$2:$B$1178,'2025'!J$2,Tabla1[ANY],'2025'!$Z$2)-SUMIFS('Registre de reserves'!$U$2:$U$1178,'Registre de reserves'!$T$2:$T$1178,"RESERVA",'Registre de reserves'!$I$2:$I$1178,'2025'!$A14,'Registre de reserves'!$B$2:$B$1178,'2025'!J$2,Tabla1[ANY],'2025'!$Z$2)</f>
        <v>0</v>
      </c>
      <c r="K14" s="21">
        <f>IF($J$13=0,0,J14/J$13)</f>
        <v>0</v>
      </c>
      <c r="L14" s="20">
        <f>SUMIFS('Registre de reserves'!$P$2:$P$1178,'Registre de reserves'!$T$2:$T$1178,"NO",'Registre de reserves'!$I$2:$I$1178,'2025'!$A14,'Registre de reserves'!$B$2:$B$1178,'2025'!L$2,Tabla1[ANY],'2025'!$Z$2)+SUMIFS('Registre de reserves'!$P$2:$P$1178,'Registre de reserves'!$T$2:$T$1178,"RESERVA",'Registre de reserves'!$I$2:$I$1178,'2025'!$A14,'Registre de reserves'!$B$2:$B$1178,'2025'!L$2,Tabla1[ANY],'2025'!$Z$2)-SUMIFS('Registre de reserves'!$U$2:$U$1178,'Registre de reserves'!$T$2:$T$1178,"RESERVA",'Registre de reserves'!$I$2:$I$1178,'2025'!$A14,'Registre de reserves'!$B$2:$B$1178,'2025'!L$2,Tabla1[ANY],'2025'!$Z$2)</f>
        <v>150</v>
      </c>
      <c r="M14" s="21">
        <f>IF($L$13=0,0,L14/L$13)</f>
        <v>0.10909090909090909</v>
      </c>
      <c r="N14" s="20">
        <f>SUMIFS('Registre de reserves'!$P$2:$P$1178,'Registre de reserves'!$T$2:$T$1178,"NO",'Registre de reserves'!$I$2:$I$1178,'2025'!$A14,'Registre de reserves'!$B$2:$B$1178,'2025'!N$2,Tabla1[ANY],'2025'!$Z$2)+SUMIFS('Registre de reserves'!$P$2:$P$1178,'Registre de reserves'!$T$2:$T$1178,"RESERVA",'Registre de reserves'!$I$2:$I$1178,'2025'!$A14,'Registre de reserves'!$B$2:$B$1178,'2025'!N$2,Tabla1[ANY],'2025'!$Z$2)-SUMIFS('Registre de reserves'!$U$2:$U$1178,'Registre de reserves'!$T$2:$T$1178,"RESERVA",'Registre de reserves'!$I$2:$I$1178,'2025'!$A14,'Registre de reserves'!$B$2:$B$1178,'2025'!N$2,Tabla1[ANY],'2025'!$Z$2)</f>
        <v>150</v>
      </c>
      <c r="O14" s="21">
        <f>IF($N$13=0,0,N14/N$13)</f>
        <v>5.2910052910052907E-2</v>
      </c>
      <c r="P14" s="20">
        <f>SUMIFS('Registre de reserves'!$P$2:$P$1178,'Registre de reserves'!$T$2:$T$1178,"NO",'Registre de reserves'!$I$2:$I$1178,'2025'!$A14,'Registre de reserves'!$B$2:$B$1178,'2025'!P$2,Tabla1[ANY],'2025'!$Z$2)+SUMIFS('Registre de reserves'!$P$2:$P$1178,'Registre de reserves'!$T$2:$T$1178,"RESERVA",'Registre de reserves'!$I$2:$I$1178,'2025'!$A14,'Registre de reserves'!$B$2:$B$1178,'2025'!P$2,Tabla1[ANY],'2025'!$Z$2)-SUMIFS('Registre de reserves'!$U$2:$U$1178,'Registre de reserves'!$T$2:$T$1178,"RESERVA",'Registre de reserves'!$I$2:$I$1178,'2025'!$A14,'Registre de reserves'!$B$2:$B$1178,'2025'!P$2,Tabla1[ANY],'2025'!$Z$2)</f>
        <v>0</v>
      </c>
      <c r="Q14" s="21">
        <f>IF($P$13=0,0,P14/P$13)</f>
        <v>0</v>
      </c>
      <c r="R14" s="20">
        <f>SUMIFS('Registre de reserves'!$P$2:$P$1178,'Registre de reserves'!$T$2:$T$1178,"NO",'Registre de reserves'!$I$2:$I$1178,'2025'!$A14,'Registre de reserves'!$B$2:$B$1178,'2025'!R$2,Tabla1[ANY],'2025'!$Z$2)+SUMIFS('Registre de reserves'!$P$2:$P$1178,'Registre de reserves'!$T$2:$T$1178,"RESERVA",'Registre de reserves'!$I$2:$I$1178,'2025'!$A14,'Registre de reserves'!$B$2:$B$1178,'2025'!R$2,Tabla1[ANY],'2025'!$Z$2)-SUMIFS('Registre de reserves'!$U$2:$U$1178,'Registre de reserves'!$T$2:$T$1178,"RESERVA",'Registre de reserves'!$I$2:$I$1178,'2025'!$A14,'Registre de reserves'!$B$2:$B$1178,'2025'!R$2,Tabla1[ANY],'2025'!$Z$2)</f>
        <v>0</v>
      </c>
      <c r="S14" s="21">
        <f>IF($R$13=0,0,R14/R$13)</f>
        <v>0</v>
      </c>
      <c r="T14" s="20">
        <f>SUMIFS('Registre de reserves'!$P$2:$P$1178,'Registre de reserves'!$T$2:$T$1178,"NO",'Registre de reserves'!$I$2:$I$1178,'2025'!$A14,'Registre de reserves'!$B$2:$B$1178,'2025'!T$2,Tabla1[ANY],'2025'!$Z$2)+SUMIFS('Registre de reserves'!$P$2:$P$1178,'Registre de reserves'!$T$2:$T$1178,"RESERVA",'Registre de reserves'!$I$2:$I$1178,'2025'!$A14,'Registre de reserves'!$B$2:$B$1178,'2025'!T$2,Tabla1[ANY],'2025'!$Z$2)-SUMIFS('Registre de reserves'!$U$2:$U$1178,'Registre de reserves'!$T$2:$T$1178,"RESERVA",'Registre de reserves'!$I$2:$I$1178,'2025'!$A14,'Registre de reserves'!$B$2:$B$1178,'2025'!T$2,Tabla1[ANY],'2025'!$Z$2)</f>
        <v>0</v>
      </c>
      <c r="U14" s="21">
        <f>IF($T$13=0,0,T14/T$13)</f>
        <v>0</v>
      </c>
      <c r="V14" s="20">
        <f>SUMIFS('Registre de reserves'!$P$2:$P$1178,'Registre de reserves'!$T$2:$T$1178,"NO",'Registre de reserves'!$I$2:$I$1178,'2025'!$A14,'Registre de reserves'!$B$2:$B$1178,'2025'!V$2,Tabla1[ANY],'2025'!$Z$2)+SUMIFS('Registre de reserves'!$P$2:$P$1178,'Registre de reserves'!$T$2:$T$1178,"RESERVA",'Registre de reserves'!$I$2:$I$1178,'2025'!$A14,'Registre de reserves'!$B$2:$B$1178,'2025'!V$2,Tabla1[ANY],'2025'!$Z$2)-SUMIFS('Registre de reserves'!$U$2:$U$1178,'Registre de reserves'!$T$2:$T$1178,"RESERVA",'Registre de reserves'!$I$2:$I$1178,'2025'!$A14,'Registre de reserves'!$B$2:$B$1178,'2025'!V$2,Tabla1[ANY],'2025'!$Z$2)</f>
        <v>0</v>
      </c>
      <c r="W14" s="21">
        <f>IF($V$13=0,0,V14/V$13)</f>
        <v>0</v>
      </c>
      <c r="X14" s="20">
        <f>SUMIFS('Registre de reserves'!$P$2:$P$1178,'Registre de reserves'!$T$2:$T$1178,"NO",'Registre de reserves'!$I$2:$I$1178,'2025'!$A14,'Registre de reserves'!$B$2:$B$1178,'2025'!X$2,Tabla1[ANY],'2025'!$Z$2)+SUMIFS('Registre de reserves'!$P$2:$P$1178,'Registre de reserves'!$T$2:$T$1178,"RESERVA",'Registre de reserves'!$I$2:$I$1178,'2025'!$A14,'Registre de reserves'!$B$2:$B$1178,'2025'!X$2,Tabla1[ANY],'2025'!$Z$2)-SUMIFS('Registre de reserves'!$U$2:$U$1178,'Registre de reserves'!$T$2:$T$1178,"RESERVA",'Registre de reserves'!$I$2:$I$1178,'2025'!$A14,'Registre de reserves'!$B$2:$B$1178,'2025'!X$2,Tabla1[ANY],'2025'!$Z$2)</f>
        <v>0</v>
      </c>
      <c r="Y14" s="21">
        <f>IF($X$13=0,0,X14/X$13)</f>
        <v>0</v>
      </c>
      <c r="Z14" s="20">
        <f>B14+D14+F14+H14+J14+L14+N14+P14+R14+T14+V14+X14</f>
        <v>300</v>
      </c>
      <c r="AA14" s="21">
        <f>IF($Z$13=0,0,Z14/Z$13)</f>
        <v>6.2370062370062374E-2</v>
      </c>
      <c r="AB14" s="178">
        <f t="shared" si="2"/>
        <v>50</v>
      </c>
    </row>
    <row r="15" spans="1:28" hidden="1" outlineLevel="1" x14ac:dyDescent="0.2">
      <c r="A15" s="8" t="s">
        <v>68</v>
      </c>
      <c r="B15" s="20">
        <f>SUMIFS('Registre de reserves'!$P$2:$P$1178,'Registre de reserves'!$T$2:$T$1178,"NO",'Registre de reserves'!$I$2:$I$1178,'2025'!$A15,'Registre de reserves'!$B$2:$B$1178,'2025'!B$2,Tabla1[ANY],'2025'!$Z$2)+SUMIFS('Registre de reserves'!$P$2:$P$1178,'Registre de reserves'!$T$2:$T$1178,"RESERVA",'Registre de reserves'!$I$2:$I$1178,'2025'!$A15,'Registre de reserves'!$B$2:$B$1178,'2025'!B$2,Tabla1[ANY],'2025'!$Z$2)-SUMIFS('Registre de reserves'!$U$2:$U$1178,'Registre de reserves'!$T$2:$T$1178,"RESERVA",'Registre de reserves'!$I$2:$I$1178,'2025'!$A15,'Registre de reserves'!$B$2:$B$1178,'2025'!B$2,Tabla1[ANY],'2025'!$Z$2)</f>
        <v>0</v>
      </c>
      <c r="C15" s="21">
        <f t="shared" ref="C15:C21" si="16">IF($B$13=0,0,B15/B$13)</f>
        <v>0</v>
      </c>
      <c r="D15" s="20">
        <f>SUMIFS('Registre de reserves'!$P$2:$P$1178,'Registre de reserves'!$T$2:$T$1178,"NO",'Registre de reserves'!$I$2:$I$1178,'2025'!$A15,'Registre de reserves'!$B$2:$B$1178,'2025'!D$2,Tabla1[ANY],'2025'!$Z$2)+SUMIFS('Registre de reserves'!$P$2:$P$1178,'Registre de reserves'!$T$2:$T$1178,"RESERVA",'Registre de reserves'!$I$2:$I$1178,'2025'!$A15,'Registre de reserves'!$B$2:$B$1178,'2025'!D$2,Tabla1[ANY],'2025'!$Z$2)-SUMIFS('Registre de reserves'!$U$2:$U$1178,'Registre de reserves'!$T$2:$T$1178,"RESERVA",'Registre de reserves'!$I$2:$I$1178,'2025'!$A15,'Registre de reserves'!$B$2:$B$1178,'2025'!D$2,Tabla1[ANY],'2025'!$Z$2)</f>
        <v>0</v>
      </c>
      <c r="E15" s="21">
        <f t="shared" ref="E15:E21" si="17">IF($D$13=0,0,D15/D$13)</f>
        <v>0</v>
      </c>
      <c r="F15" s="20">
        <f>SUMIFS('Registre de reserves'!$P$2:$P$1178,'Registre de reserves'!$T$2:$T$1178,"NO",'Registre de reserves'!$I$2:$I$1178,'2025'!$A15,'Registre de reserves'!$B$2:$B$1178,'2025'!F$2,Tabla1[ANY],'2025'!$Z$2)+SUMIFS('Registre de reserves'!$P$2:$P$1178,'Registre de reserves'!$T$2:$T$1178,"RESERVA",'Registre de reserves'!$I$2:$I$1178,'2025'!$A15,'Registre de reserves'!$B$2:$B$1178,'2025'!F$2,Tabla1[ANY],'2025'!$Z$2)-SUMIFS('Registre de reserves'!$U$2:$U$1178,'Registre de reserves'!$T$2:$T$1178,"RESERVA",'Registre de reserves'!$I$2:$I$1178,'2025'!$A15,'Registre de reserves'!$B$2:$B$1178,'2025'!F$2,Tabla1[ANY],'2025'!$Z$2)</f>
        <v>0</v>
      </c>
      <c r="G15" s="21">
        <f t="shared" ref="G15:G21" si="18">IF($F$13=0,0,F15/F$13)</f>
        <v>0</v>
      </c>
      <c r="H15" s="20">
        <f>SUMIFS('Registre de reserves'!$P$2:$P$1178,'Registre de reserves'!$T$2:$T$1178,"NO",'Registre de reserves'!$I$2:$I$1178,'2025'!$A15,'Registre de reserves'!$B$2:$B$1178,'2025'!H$2,Tabla1[ANY],'2025'!$Z$2)+SUMIFS('Registre de reserves'!$P$2:$P$1178,'Registre de reserves'!$T$2:$T$1178,"RESERVA",'Registre de reserves'!$I$2:$I$1178,'2025'!$A15,'Registre de reserves'!$B$2:$B$1178,'2025'!H$2,Tabla1[ANY],'2025'!$Z$2)-SUMIFS('Registre de reserves'!$U$2:$U$1178,'Registre de reserves'!$T$2:$T$1178,"RESERVA",'Registre de reserves'!$I$2:$I$1178,'2025'!$A15,'Registre de reserves'!$B$2:$B$1178,'2025'!H$2,Tabla1[ANY],'2025'!$Z$2)</f>
        <v>0</v>
      </c>
      <c r="I15" s="21">
        <f t="shared" ref="I15:I21" si="19">IF($H$13=0,0,H15/H$13)</f>
        <v>0</v>
      </c>
      <c r="J15" s="20">
        <f>SUMIFS('Registre de reserves'!$P$2:$P$1178,'Registre de reserves'!$T$2:$T$1178,"NO",'Registre de reserves'!$I$2:$I$1178,'2025'!$A15,'Registre de reserves'!$B$2:$B$1178,'2025'!J$2,Tabla1[ANY],'2025'!$Z$2)+SUMIFS('Registre de reserves'!$P$2:$P$1178,'Registre de reserves'!$T$2:$T$1178,"RESERVA",'Registre de reserves'!$I$2:$I$1178,'2025'!$A15,'Registre de reserves'!$B$2:$B$1178,'2025'!J$2,Tabla1[ANY],'2025'!$Z$2)-SUMIFS('Registre de reserves'!$U$2:$U$1178,'Registre de reserves'!$T$2:$T$1178,"RESERVA",'Registre de reserves'!$I$2:$I$1178,'2025'!$A15,'Registre de reserves'!$B$2:$B$1178,'2025'!J$2,Tabla1[ANY],'2025'!$Z$2)</f>
        <v>0</v>
      </c>
      <c r="K15" s="21">
        <f t="shared" ref="K15:K21" si="20">IF($J$13=0,0,J15/J$13)</f>
        <v>0</v>
      </c>
      <c r="L15" s="20">
        <f>SUMIFS('Registre de reserves'!$P$2:$P$1178,'Registre de reserves'!$T$2:$T$1178,"NO",'Registre de reserves'!$I$2:$I$1178,'2025'!$A15,'Registre de reserves'!$B$2:$B$1178,'2025'!L$2,Tabla1[ANY],'2025'!$Z$2)+SUMIFS('Registre de reserves'!$P$2:$P$1178,'Registre de reserves'!$T$2:$T$1178,"RESERVA",'Registre de reserves'!$I$2:$I$1178,'2025'!$A15,'Registre de reserves'!$B$2:$B$1178,'2025'!L$2,Tabla1[ANY],'2025'!$Z$2)-SUMIFS('Registre de reserves'!$U$2:$U$1178,'Registre de reserves'!$T$2:$T$1178,"RESERVA",'Registre de reserves'!$I$2:$I$1178,'2025'!$A15,'Registre de reserves'!$B$2:$B$1178,'2025'!L$2,Tabla1[ANY],'2025'!$Z$2)</f>
        <v>675</v>
      </c>
      <c r="M15" s="21">
        <f t="shared" ref="M15:M21" si="21">IF($L$13=0,0,L15/L$13)</f>
        <v>0.49090909090909091</v>
      </c>
      <c r="N15" s="20">
        <f>SUMIFS('Registre de reserves'!$P$2:$P$1178,'Registre de reserves'!$T$2:$T$1178,"NO",'Registre de reserves'!$I$2:$I$1178,'2025'!$A15,'Registre de reserves'!$B$2:$B$1178,'2025'!N$2,Tabla1[ANY],'2025'!$Z$2)+SUMIFS('Registre de reserves'!$P$2:$P$1178,'Registre de reserves'!$T$2:$T$1178,"RESERVA",'Registre de reserves'!$I$2:$I$1178,'2025'!$A15,'Registre de reserves'!$B$2:$B$1178,'2025'!N$2,Tabla1[ANY],'2025'!$Z$2)-SUMIFS('Registre de reserves'!$U$2:$U$1178,'Registre de reserves'!$T$2:$T$1178,"RESERVA",'Registre de reserves'!$I$2:$I$1178,'2025'!$A15,'Registre de reserves'!$B$2:$B$1178,'2025'!N$2,Tabla1[ANY],'2025'!$Z$2)</f>
        <v>975</v>
      </c>
      <c r="O15" s="21">
        <f t="shared" ref="O15:O21" si="22">IF($N$13=0,0,N15/N$13)</f>
        <v>0.3439153439153439</v>
      </c>
      <c r="P15" s="20">
        <f>SUMIFS('Registre de reserves'!$P$2:$P$1178,'Registre de reserves'!$T$2:$T$1178,"NO",'Registre de reserves'!$I$2:$I$1178,'2025'!$A15,'Registre de reserves'!$B$2:$B$1178,'2025'!P$2,Tabla1[ANY],'2025'!$Z$2)+SUMIFS('Registre de reserves'!$P$2:$P$1178,'Registre de reserves'!$T$2:$T$1178,"RESERVA",'Registre de reserves'!$I$2:$I$1178,'2025'!$A15,'Registre de reserves'!$B$2:$B$1178,'2025'!P$2,Tabla1[ANY],'2025'!$Z$2)-SUMIFS('Registre de reserves'!$U$2:$U$1178,'Registre de reserves'!$T$2:$T$1178,"RESERVA",'Registre de reserves'!$I$2:$I$1178,'2025'!$A15,'Registre de reserves'!$B$2:$B$1178,'2025'!P$2,Tabla1[ANY],'2025'!$Z$2)</f>
        <v>0</v>
      </c>
      <c r="Q15" s="21">
        <f t="shared" ref="Q15:Q21" si="23">IF($P$13=0,0,P15/P$13)</f>
        <v>0</v>
      </c>
      <c r="R15" s="20">
        <f>SUMIFS('Registre de reserves'!$P$2:$P$1178,'Registre de reserves'!$T$2:$T$1178,"NO",'Registre de reserves'!$I$2:$I$1178,'2025'!$A15,'Registre de reserves'!$B$2:$B$1178,'2025'!R$2,Tabla1[ANY],'2025'!$Z$2)+SUMIFS('Registre de reserves'!$P$2:$P$1178,'Registre de reserves'!$T$2:$T$1178,"RESERVA",'Registre de reserves'!$I$2:$I$1178,'2025'!$A15,'Registre de reserves'!$B$2:$B$1178,'2025'!R$2,Tabla1[ANY],'2025'!$Z$2)-SUMIFS('Registre de reserves'!$U$2:$U$1178,'Registre de reserves'!$T$2:$T$1178,"RESERVA",'Registre de reserves'!$I$2:$I$1178,'2025'!$A15,'Registre de reserves'!$B$2:$B$1178,'2025'!R$2,Tabla1[ANY],'2025'!$Z$2)</f>
        <v>0</v>
      </c>
      <c r="S15" s="21">
        <f t="shared" ref="S15:S21" si="24">IF($R$13=0,0,R15/R$13)</f>
        <v>0</v>
      </c>
      <c r="T15" s="20">
        <f>SUMIFS('Registre de reserves'!$P$2:$P$1178,'Registre de reserves'!$T$2:$T$1178,"NO",'Registre de reserves'!$I$2:$I$1178,'2025'!$A15,'Registre de reserves'!$B$2:$B$1178,'2025'!T$2,Tabla1[ANY],'2025'!$Z$2)+SUMIFS('Registre de reserves'!$P$2:$P$1178,'Registre de reserves'!$T$2:$T$1178,"RESERVA",'Registre de reserves'!$I$2:$I$1178,'2025'!$A15,'Registre de reserves'!$B$2:$B$1178,'2025'!T$2,Tabla1[ANY],'2025'!$Z$2)-SUMIFS('Registre de reserves'!$U$2:$U$1178,'Registre de reserves'!$T$2:$T$1178,"RESERVA",'Registre de reserves'!$I$2:$I$1178,'2025'!$A15,'Registre de reserves'!$B$2:$B$1178,'2025'!T$2,Tabla1[ANY],'2025'!$Z$2)</f>
        <v>0</v>
      </c>
      <c r="U15" s="21">
        <f t="shared" ref="U15:U21" si="25">IF($T$13=0,0,T15/T$13)</f>
        <v>0</v>
      </c>
      <c r="V15" s="20">
        <f>SUMIFS('Registre de reserves'!$P$2:$P$1178,'Registre de reserves'!$T$2:$T$1178,"NO",'Registre de reserves'!$I$2:$I$1178,'2025'!$A15,'Registre de reserves'!$B$2:$B$1178,'2025'!V$2,Tabla1[ANY],'2025'!$Z$2)+SUMIFS('Registre de reserves'!$P$2:$P$1178,'Registre de reserves'!$T$2:$T$1178,"RESERVA",'Registre de reserves'!$I$2:$I$1178,'2025'!$A15,'Registre de reserves'!$B$2:$B$1178,'2025'!V$2,Tabla1[ANY],'2025'!$Z$2)-SUMIFS('Registre de reserves'!$U$2:$U$1178,'Registre de reserves'!$T$2:$T$1178,"RESERVA",'Registre de reserves'!$I$2:$I$1178,'2025'!$A15,'Registre de reserves'!$B$2:$B$1178,'2025'!V$2,Tabla1[ANY],'2025'!$Z$2)</f>
        <v>0</v>
      </c>
      <c r="W15" s="21">
        <f t="shared" ref="W15:W21" si="26">IF($V$13=0,0,V15/V$13)</f>
        <v>0</v>
      </c>
      <c r="X15" s="20">
        <f>SUMIFS('Registre de reserves'!$P$2:$P$1178,'Registre de reserves'!$T$2:$T$1178,"NO",'Registre de reserves'!$I$2:$I$1178,'2025'!$A15,'Registre de reserves'!$B$2:$B$1178,'2025'!X$2,Tabla1[ANY],'2025'!$Z$2)+SUMIFS('Registre de reserves'!$P$2:$P$1178,'Registre de reserves'!$T$2:$T$1178,"RESERVA",'Registre de reserves'!$I$2:$I$1178,'2025'!$A15,'Registre de reserves'!$B$2:$B$1178,'2025'!X$2,Tabla1[ANY],'2025'!$Z$2)-SUMIFS('Registre de reserves'!$U$2:$U$1178,'Registre de reserves'!$T$2:$T$1178,"RESERVA",'Registre de reserves'!$I$2:$I$1178,'2025'!$A15,'Registre de reserves'!$B$2:$B$1178,'2025'!X$2,Tabla1[ANY],'2025'!$Z$2)</f>
        <v>0</v>
      </c>
      <c r="Y15" s="21">
        <f t="shared" ref="Y15:Y21" si="27">IF($X$13=0,0,X15/X$13)</f>
        <v>0</v>
      </c>
      <c r="Z15" s="20">
        <f t="shared" ref="Z15:Z21" si="28">B15+D15+F15+H15+J15+L15+N15+P15+R15+T15+V15+X15</f>
        <v>1650</v>
      </c>
      <c r="AA15" s="21">
        <f t="shared" ref="AA15:AA21" si="29">IF($Z$13=0,0,Z15/Z$13)</f>
        <v>0.34303534303534305</v>
      </c>
      <c r="AB15" s="178">
        <f t="shared" si="2"/>
        <v>275</v>
      </c>
    </row>
    <row r="16" spans="1:28" hidden="1" outlineLevel="1" x14ac:dyDescent="0.2">
      <c r="A16" s="8" t="s">
        <v>4</v>
      </c>
      <c r="B16" s="20">
        <f>SUMIFS('Registre de reserves'!$P$2:$P$1178,'Registre de reserves'!$T$2:$T$1178,"NO",'Registre de reserves'!$I$2:$I$1178,'2025'!$A16,'Registre de reserves'!$B$2:$B$1178,'2025'!B$2,Tabla1[ANY],'2025'!$Z$2)+SUMIFS('Registre de reserves'!$P$2:$P$1178,'Registre de reserves'!$T$2:$T$1178,"RESERVA",'Registre de reserves'!$I$2:$I$1178,'2025'!$A16,'Registre de reserves'!$B$2:$B$1178,'2025'!B$2,Tabla1[ANY],'2025'!$Z$2)-SUMIFS('Registre de reserves'!$U$2:$U$1178,'Registre de reserves'!$T$2:$T$1178,"RESERVA",'Registre de reserves'!$I$2:$I$1178,'2025'!$A16,'Registre de reserves'!$B$2:$B$1178,'2025'!B$2,Tabla1[ANY],'2025'!$Z$2)</f>
        <v>0</v>
      </c>
      <c r="C16" s="21">
        <f t="shared" si="16"/>
        <v>0</v>
      </c>
      <c r="D16" s="20">
        <f>SUMIFS('Registre de reserves'!$P$2:$P$1178,'Registre de reserves'!$T$2:$T$1178,"NO",'Registre de reserves'!$I$2:$I$1178,'2025'!$A16,'Registre de reserves'!$B$2:$B$1178,'2025'!D$2,Tabla1[ANY],'2025'!$Z$2)+SUMIFS('Registre de reserves'!$P$2:$P$1178,'Registre de reserves'!$T$2:$T$1178,"RESERVA",'Registre de reserves'!$I$2:$I$1178,'2025'!$A16,'Registre de reserves'!$B$2:$B$1178,'2025'!D$2,Tabla1[ANY],'2025'!$Z$2)-SUMIFS('Registre de reserves'!$U$2:$U$1178,'Registre de reserves'!$T$2:$T$1178,"RESERVA",'Registre de reserves'!$I$2:$I$1178,'2025'!$A16,'Registre de reserves'!$B$2:$B$1178,'2025'!D$2,Tabla1[ANY],'2025'!$Z$2)</f>
        <v>0</v>
      </c>
      <c r="E16" s="21">
        <f t="shared" si="17"/>
        <v>0</v>
      </c>
      <c r="F16" s="20">
        <f>SUMIFS('Registre de reserves'!$P$2:$P$1178,'Registre de reserves'!$T$2:$T$1178,"NO",'Registre de reserves'!$I$2:$I$1178,'2025'!$A16,'Registre de reserves'!$B$2:$B$1178,'2025'!F$2,Tabla1[ANY],'2025'!$Z$2)+SUMIFS('Registre de reserves'!$P$2:$P$1178,'Registre de reserves'!$T$2:$T$1178,"RESERVA",'Registre de reserves'!$I$2:$I$1178,'2025'!$A16,'Registre de reserves'!$B$2:$B$1178,'2025'!F$2,Tabla1[ANY],'2025'!$Z$2)-SUMIFS('Registre de reserves'!$U$2:$U$1178,'Registre de reserves'!$T$2:$T$1178,"RESERVA",'Registre de reserves'!$I$2:$I$1178,'2025'!$A16,'Registre de reserves'!$B$2:$B$1178,'2025'!F$2,Tabla1[ANY],'2025'!$Z$2)</f>
        <v>0</v>
      </c>
      <c r="G16" s="21">
        <f t="shared" si="18"/>
        <v>0</v>
      </c>
      <c r="H16" s="20">
        <f>SUMIFS('Registre de reserves'!$P$2:$P$1178,'Registre de reserves'!$T$2:$T$1178,"NO",'Registre de reserves'!$I$2:$I$1178,'2025'!$A16,'Registre de reserves'!$B$2:$B$1178,'2025'!H$2,Tabla1[ANY],'2025'!$Z$2)+SUMIFS('Registre de reserves'!$P$2:$P$1178,'Registre de reserves'!$T$2:$T$1178,"RESERVA",'Registre de reserves'!$I$2:$I$1178,'2025'!$A16,'Registre de reserves'!$B$2:$B$1178,'2025'!H$2,Tabla1[ANY],'2025'!$Z$2)-SUMIFS('Registre de reserves'!$U$2:$U$1178,'Registre de reserves'!$T$2:$T$1178,"RESERVA",'Registre de reserves'!$I$2:$I$1178,'2025'!$A16,'Registre de reserves'!$B$2:$B$1178,'2025'!H$2,Tabla1[ANY],'2025'!$Z$2)</f>
        <v>0</v>
      </c>
      <c r="I16" s="21">
        <f t="shared" si="19"/>
        <v>0</v>
      </c>
      <c r="J16" s="20">
        <f>SUMIFS('Registre de reserves'!$P$2:$P$1178,'Registre de reserves'!$T$2:$T$1178,"NO",'Registre de reserves'!$I$2:$I$1178,'2025'!$A16,'Registre de reserves'!$B$2:$B$1178,'2025'!J$2,Tabla1[ANY],'2025'!$Z$2)+SUMIFS('Registre de reserves'!$P$2:$P$1178,'Registre de reserves'!$T$2:$T$1178,"RESERVA",'Registre de reserves'!$I$2:$I$1178,'2025'!$A16,'Registre de reserves'!$B$2:$B$1178,'2025'!J$2,Tabla1[ANY],'2025'!$Z$2)-SUMIFS('Registre de reserves'!$U$2:$U$1178,'Registre de reserves'!$T$2:$T$1178,"RESERVA",'Registre de reserves'!$I$2:$I$1178,'2025'!$A16,'Registre de reserves'!$B$2:$B$1178,'2025'!J$2,Tabla1[ANY],'2025'!$Z$2)</f>
        <v>0</v>
      </c>
      <c r="K16" s="21">
        <f t="shared" si="20"/>
        <v>0</v>
      </c>
      <c r="L16" s="20">
        <f>SUMIFS('Registre de reserves'!$P$2:$P$1178,'Registre de reserves'!$T$2:$T$1178,"NO",'Registre de reserves'!$I$2:$I$1178,'2025'!$A16,'Registre de reserves'!$B$2:$B$1178,'2025'!L$2,Tabla1[ANY],'2025'!$Z$2)+SUMIFS('Registre de reserves'!$P$2:$P$1178,'Registre de reserves'!$T$2:$T$1178,"RESERVA",'Registre de reserves'!$I$2:$I$1178,'2025'!$A16,'Registre de reserves'!$B$2:$B$1178,'2025'!L$2,Tabla1[ANY],'2025'!$Z$2)-SUMIFS('Registre de reserves'!$U$2:$U$1178,'Registre de reserves'!$T$2:$T$1178,"RESERVA",'Registre de reserves'!$I$2:$I$1178,'2025'!$A16,'Registre de reserves'!$B$2:$B$1178,'2025'!L$2,Tabla1[ANY],'2025'!$Z$2)</f>
        <v>0</v>
      </c>
      <c r="M16" s="21">
        <f t="shared" si="21"/>
        <v>0</v>
      </c>
      <c r="N16" s="20">
        <f>SUMIFS('Registre de reserves'!$P$2:$P$1178,'Registre de reserves'!$T$2:$T$1178,"NO",'Registre de reserves'!$I$2:$I$1178,'2025'!$A16,'Registre de reserves'!$B$2:$B$1178,'2025'!N$2,Tabla1[ANY],'2025'!$Z$2)+SUMIFS('Registre de reserves'!$P$2:$P$1178,'Registre de reserves'!$T$2:$T$1178,"RESERVA",'Registre de reserves'!$I$2:$I$1178,'2025'!$A16,'Registre de reserves'!$B$2:$B$1178,'2025'!N$2,Tabla1[ANY],'2025'!$Z$2)-SUMIFS('Registre de reserves'!$U$2:$U$1178,'Registre de reserves'!$T$2:$T$1178,"RESERVA",'Registre de reserves'!$I$2:$I$1178,'2025'!$A16,'Registre de reserves'!$B$2:$B$1178,'2025'!N$2,Tabla1[ANY],'2025'!$Z$2)</f>
        <v>290</v>
      </c>
      <c r="O16" s="21">
        <f t="shared" si="22"/>
        <v>0.10229276895943562</v>
      </c>
      <c r="P16" s="20">
        <f>SUMIFS('Registre de reserves'!$P$2:$P$1178,'Registre de reserves'!$T$2:$T$1178,"NO",'Registre de reserves'!$I$2:$I$1178,'2025'!$A16,'Registre de reserves'!$B$2:$B$1178,'2025'!P$2,Tabla1[ANY],'2025'!$Z$2)+SUMIFS('Registre de reserves'!$P$2:$P$1178,'Registre de reserves'!$T$2:$T$1178,"RESERVA",'Registre de reserves'!$I$2:$I$1178,'2025'!$A16,'Registre de reserves'!$B$2:$B$1178,'2025'!P$2,Tabla1[ANY],'2025'!$Z$2)-SUMIFS('Registre de reserves'!$U$2:$U$1178,'Registre de reserves'!$T$2:$T$1178,"RESERVA",'Registre de reserves'!$I$2:$I$1178,'2025'!$A16,'Registre de reserves'!$B$2:$B$1178,'2025'!P$2,Tabla1[ANY],'2025'!$Z$2)</f>
        <v>0</v>
      </c>
      <c r="Q16" s="21">
        <f t="shared" si="23"/>
        <v>0</v>
      </c>
      <c r="R16" s="20">
        <f>SUMIFS('Registre de reserves'!$P$2:$P$1178,'Registre de reserves'!$T$2:$T$1178,"NO",'Registre de reserves'!$I$2:$I$1178,'2025'!$A16,'Registre de reserves'!$B$2:$B$1178,'2025'!R$2,Tabla1[ANY],'2025'!$Z$2)+SUMIFS('Registre de reserves'!$P$2:$P$1178,'Registre de reserves'!$T$2:$T$1178,"RESERVA",'Registre de reserves'!$I$2:$I$1178,'2025'!$A16,'Registre de reserves'!$B$2:$B$1178,'2025'!R$2,Tabla1[ANY],'2025'!$Z$2)-SUMIFS('Registre de reserves'!$U$2:$U$1178,'Registre de reserves'!$T$2:$T$1178,"RESERVA",'Registre de reserves'!$I$2:$I$1178,'2025'!$A16,'Registre de reserves'!$B$2:$B$1178,'2025'!R$2,Tabla1[ANY],'2025'!$Z$2)</f>
        <v>0</v>
      </c>
      <c r="S16" s="21">
        <f t="shared" si="24"/>
        <v>0</v>
      </c>
      <c r="T16" s="20">
        <f>SUMIFS('Registre de reserves'!$P$2:$P$1178,'Registre de reserves'!$T$2:$T$1178,"NO",'Registre de reserves'!$I$2:$I$1178,'2025'!$A16,'Registre de reserves'!$B$2:$B$1178,'2025'!T$2,Tabla1[ANY],'2025'!$Z$2)+SUMIFS('Registre de reserves'!$P$2:$P$1178,'Registre de reserves'!$T$2:$T$1178,"RESERVA",'Registre de reserves'!$I$2:$I$1178,'2025'!$A16,'Registre de reserves'!$B$2:$B$1178,'2025'!T$2,Tabla1[ANY],'2025'!$Z$2)-SUMIFS('Registre de reserves'!$U$2:$U$1178,'Registre de reserves'!$T$2:$T$1178,"RESERVA",'Registre de reserves'!$I$2:$I$1178,'2025'!$A16,'Registre de reserves'!$B$2:$B$1178,'2025'!T$2,Tabla1[ANY],'2025'!$Z$2)</f>
        <v>0</v>
      </c>
      <c r="U16" s="21">
        <f t="shared" si="25"/>
        <v>0</v>
      </c>
      <c r="V16" s="20">
        <f>SUMIFS('Registre de reserves'!$P$2:$P$1178,'Registre de reserves'!$T$2:$T$1178,"NO",'Registre de reserves'!$I$2:$I$1178,'2025'!$A16,'Registre de reserves'!$B$2:$B$1178,'2025'!V$2,Tabla1[ANY],'2025'!$Z$2)+SUMIFS('Registre de reserves'!$P$2:$P$1178,'Registre de reserves'!$T$2:$T$1178,"RESERVA",'Registre de reserves'!$I$2:$I$1178,'2025'!$A16,'Registre de reserves'!$B$2:$B$1178,'2025'!V$2,Tabla1[ANY],'2025'!$Z$2)-SUMIFS('Registre de reserves'!$U$2:$U$1178,'Registre de reserves'!$T$2:$T$1178,"RESERVA",'Registre de reserves'!$I$2:$I$1178,'2025'!$A16,'Registre de reserves'!$B$2:$B$1178,'2025'!V$2,Tabla1[ANY],'2025'!$Z$2)</f>
        <v>0</v>
      </c>
      <c r="W16" s="21">
        <f t="shared" si="26"/>
        <v>0</v>
      </c>
      <c r="X16" s="20">
        <f>SUMIFS('Registre de reserves'!$P$2:$P$1178,'Registre de reserves'!$T$2:$T$1178,"NO",'Registre de reserves'!$I$2:$I$1178,'2025'!$A16,'Registre de reserves'!$B$2:$B$1178,'2025'!X$2,Tabla1[ANY],'2025'!$Z$2)+SUMIFS('Registre de reserves'!$P$2:$P$1178,'Registre de reserves'!$T$2:$T$1178,"RESERVA",'Registre de reserves'!$I$2:$I$1178,'2025'!$A16,'Registre de reserves'!$B$2:$B$1178,'2025'!X$2,Tabla1[ANY],'2025'!$Z$2)-SUMIFS('Registre de reserves'!$U$2:$U$1178,'Registre de reserves'!$T$2:$T$1178,"RESERVA",'Registre de reserves'!$I$2:$I$1178,'2025'!$A16,'Registre de reserves'!$B$2:$B$1178,'2025'!X$2,Tabla1[ANY],'2025'!$Z$2)</f>
        <v>0</v>
      </c>
      <c r="Y16" s="21">
        <f t="shared" si="27"/>
        <v>0</v>
      </c>
      <c r="Z16" s="20">
        <f t="shared" si="28"/>
        <v>290</v>
      </c>
      <c r="AA16" s="21">
        <f t="shared" si="29"/>
        <v>6.0291060291060294E-2</v>
      </c>
      <c r="AB16" s="178">
        <f t="shared" si="2"/>
        <v>48.333333333333336</v>
      </c>
    </row>
    <row r="17" spans="1:28" hidden="1" outlineLevel="1" x14ac:dyDescent="0.2">
      <c r="A17" s="8" t="s">
        <v>71</v>
      </c>
      <c r="B17" s="20">
        <f>SUMIFS('Registre de reserves'!$P$2:$P$1178,'Registre de reserves'!$T$2:$T$1178,"NO",'Registre de reserves'!$I$2:$I$1178,'2025'!$A17,'Registre de reserves'!$B$2:$B$1178,'2025'!B$2,Tabla1[ANY],'2025'!$Z$2)+SUMIFS('Registre de reserves'!$P$2:$P$1178,'Registre de reserves'!$T$2:$T$1178,"RESERVA",'Registre de reserves'!$I$2:$I$1178,'2025'!$A17,'Registre de reserves'!$B$2:$B$1178,'2025'!B$2,Tabla1[ANY],'2025'!$Z$2)-SUMIFS('Registre de reserves'!$U$2:$U$1178,'Registre de reserves'!$T$2:$T$1178,"RESERVA",'Registre de reserves'!$I$2:$I$1178,'2025'!$A17,'Registre de reserves'!$B$2:$B$1178,'2025'!B$2,Tabla1[ANY],'2025'!$Z$2)</f>
        <v>0</v>
      </c>
      <c r="C17" s="21">
        <f t="shared" si="16"/>
        <v>0</v>
      </c>
      <c r="D17" s="20">
        <f>SUMIFS('Registre de reserves'!$P$2:$P$1178,'Registre de reserves'!$T$2:$T$1178,"NO",'Registre de reserves'!$I$2:$I$1178,'2025'!$A17,'Registre de reserves'!$B$2:$B$1178,'2025'!D$2,Tabla1[ANY],'2025'!$Z$2)+SUMIFS('Registre de reserves'!$P$2:$P$1178,'Registre de reserves'!$T$2:$T$1178,"RESERVA",'Registre de reserves'!$I$2:$I$1178,'2025'!$A17,'Registre de reserves'!$B$2:$B$1178,'2025'!D$2,Tabla1[ANY],'2025'!$Z$2)-SUMIFS('Registre de reserves'!$U$2:$U$1178,'Registre de reserves'!$T$2:$T$1178,"RESERVA",'Registre de reserves'!$I$2:$I$1178,'2025'!$A17,'Registre de reserves'!$B$2:$B$1178,'2025'!D$2,Tabla1[ANY],'2025'!$Z$2)</f>
        <v>0</v>
      </c>
      <c r="E17" s="21">
        <f t="shared" si="17"/>
        <v>0</v>
      </c>
      <c r="F17" s="20">
        <f>SUMIFS('Registre de reserves'!$P$2:$P$1178,'Registre de reserves'!$T$2:$T$1178,"NO",'Registre de reserves'!$I$2:$I$1178,'2025'!$A17,'Registre de reserves'!$B$2:$B$1178,'2025'!F$2,Tabla1[ANY],'2025'!$Z$2)+SUMIFS('Registre de reserves'!$P$2:$P$1178,'Registre de reserves'!$T$2:$T$1178,"RESERVA",'Registre de reserves'!$I$2:$I$1178,'2025'!$A17,'Registre de reserves'!$B$2:$B$1178,'2025'!F$2,Tabla1[ANY],'2025'!$Z$2)-SUMIFS('Registre de reserves'!$U$2:$U$1178,'Registre de reserves'!$T$2:$T$1178,"RESERVA",'Registre de reserves'!$I$2:$I$1178,'2025'!$A17,'Registre de reserves'!$B$2:$B$1178,'2025'!F$2,Tabla1[ANY],'2025'!$Z$2)</f>
        <v>0</v>
      </c>
      <c r="G17" s="21">
        <f t="shared" si="18"/>
        <v>0</v>
      </c>
      <c r="H17" s="20">
        <f>SUMIFS('Registre de reserves'!$P$2:$P$1178,'Registre de reserves'!$T$2:$T$1178,"NO",'Registre de reserves'!$I$2:$I$1178,'2025'!$A17,'Registre de reserves'!$B$2:$B$1178,'2025'!H$2,Tabla1[ANY],'2025'!$Z$2)+SUMIFS('Registre de reserves'!$P$2:$P$1178,'Registre de reserves'!$T$2:$T$1178,"RESERVA",'Registre de reserves'!$I$2:$I$1178,'2025'!$A17,'Registre de reserves'!$B$2:$B$1178,'2025'!H$2,Tabla1[ANY],'2025'!$Z$2)-SUMIFS('Registre de reserves'!$U$2:$U$1178,'Registre de reserves'!$T$2:$T$1178,"RESERVA",'Registre de reserves'!$I$2:$I$1178,'2025'!$A17,'Registre de reserves'!$B$2:$B$1178,'2025'!H$2,Tabla1[ANY],'2025'!$Z$2)</f>
        <v>0</v>
      </c>
      <c r="I17" s="21">
        <f t="shared" si="19"/>
        <v>0</v>
      </c>
      <c r="J17" s="20">
        <f>SUMIFS('Registre de reserves'!$P$2:$P$1178,'Registre de reserves'!$T$2:$T$1178,"NO",'Registre de reserves'!$I$2:$I$1178,'2025'!$A17,'Registre de reserves'!$B$2:$B$1178,'2025'!J$2,Tabla1[ANY],'2025'!$Z$2)+SUMIFS('Registre de reserves'!$P$2:$P$1178,'Registre de reserves'!$T$2:$T$1178,"RESERVA",'Registre de reserves'!$I$2:$I$1178,'2025'!$A17,'Registre de reserves'!$B$2:$B$1178,'2025'!J$2,Tabla1[ANY],'2025'!$Z$2)-SUMIFS('Registre de reserves'!$U$2:$U$1178,'Registre de reserves'!$T$2:$T$1178,"RESERVA",'Registre de reserves'!$I$2:$I$1178,'2025'!$A17,'Registre de reserves'!$B$2:$B$1178,'2025'!J$2,Tabla1[ANY],'2025'!$Z$2)</f>
        <v>0</v>
      </c>
      <c r="K17" s="21">
        <f t="shared" si="20"/>
        <v>0</v>
      </c>
      <c r="L17" s="20">
        <f>SUMIFS('Registre de reserves'!$P$2:$P$1178,'Registre de reserves'!$T$2:$T$1178,"NO",'Registre de reserves'!$I$2:$I$1178,'2025'!$A17,'Registre de reserves'!$B$2:$B$1178,'2025'!L$2,Tabla1[ANY],'2025'!$Z$2)+SUMIFS('Registre de reserves'!$P$2:$P$1178,'Registre de reserves'!$T$2:$T$1178,"RESERVA",'Registre de reserves'!$I$2:$I$1178,'2025'!$A17,'Registre de reserves'!$B$2:$B$1178,'2025'!L$2,Tabla1[ANY],'2025'!$Z$2)-SUMIFS('Registre de reserves'!$U$2:$U$1178,'Registre de reserves'!$T$2:$T$1178,"RESERVA",'Registre de reserves'!$I$2:$I$1178,'2025'!$A17,'Registre de reserves'!$B$2:$B$1178,'2025'!L$2,Tabla1[ANY],'2025'!$Z$2)</f>
        <v>0</v>
      </c>
      <c r="M17" s="21">
        <f t="shared" si="21"/>
        <v>0</v>
      </c>
      <c r="N17" s="20">
        <f>SUMIFS('Registre de reserves'!$P$2:$P$1178,'Registre de reserves'!$T$2:$T$1178,"NO",'Registre de reserves'!$I$2:$I$1178,'2025'!$A17,'Registre de reserves'!$B$2:$B$1178,'2025'!N$2,Tabla1[ANY],'2025'!$Z$2)+SUMIFS('Registre de reserves'!$P$2:$P$1178,'Registre de reserves'!$T$2:$T$1178,"RESERVA",'Registre de reserves'!$I$2:$I$1178,'2025'!$A17,'Registre de reserves'!$B$2:$B$1178,'2025'!N$2,Tabla1[ANY],'2025'!$Z$2)-SUMIFS('Registre de reserves'!$U$2:$U$1178,'Registre de reserves'!$T$2:$T$1178,"RESERVA",'Registre de reserves'!$I$2:$I$1178,'2025'!$A17,'Registre de reserves'!$B$2:$B$1178,'2025'!N$2,Tabla1[ANY],'2025'!$Z$2)</f>
        <v>0</v>
      </c>
      <c r="O17" s="21">
        <f t="shared" si="22"/>
        <v>0</v>
      </c>
      <c r="P17" s="20">
        <f>SUMIFS('Registre de reserves'!$P$2:$P$1178,'Registre de reserves'!$T$2:$T$1178,"NO",'Registre de reserves'!$I$2:$I$1178,'2025'!$A17,'Registre de reserves'!$B$2:$B$1178,'2025'!P$2,Tabla1[ANY],'2025'!$Z$2)+SUMIFS('Registre de reserves'!$P$2:$P$1178,'Registre de reserves'!$T$2:$T$1178,"RESERVA",'Registre de reserves'!$I$2:$I$1178,'2025'!$A17,'Registre de reserves'!$B$2:$B$1178,'2025'!P$2,Tabla1[ANY],'2025'!$Z$2)-SUMIFS('Registre de reserves'!$U$2:$U$1178,'Registre de reserves'!$T$2:$T$1178,"RESERVA",'Registre de reserves'!$I$2:$I$1178,'2025'!$A17,'Registre de reserves'!$B$2:$B$1178,'2025'!P$2,Tabla1[ANY],'2025'!$Z$2)</f>
        <v>0</v>
      </c>
      <c r="Q17" s="21">
        <f t="shared" si="23"/>
        <v>0</v>
      </c>
      <c r="R17" s="20">
        <f>SUMIFS('Registre de reserves'!$P$2:$P$1178,'Registre de reserves'!$T$2:$T$1178,"NO",'Registre de reserves'!$I$2:$I$1178,'2025'!$A17,'Registre de reserves'!$B$2:$B$1178,'2025'!R$2,Tabla1[ANY],'2025'!$Z$2)+SUMIFS('Registre de reserves'!$P$2:$P$1178,'Registre de reserves'!$T$2:$T$1178,"RESERVA",'Registre de reserves'!$I$2:$I$1178,'2025'!$A17,'Registre de reserves'!$B$2:$B$1178,'2025'!R$2,Tabla1[ANY],'2025'!$Z$2)-SUMIFS('Registre de reserves'!$U$2:$U$1178,'Registre de reserves'!$T$2:$T$1178,"RESERVA",'Registre de reserves'!$I$2:$I$1178,'2025'!$A17,'Registre de reserves'!$B$2:$B$1178,'2025'!R$2,Tabla1[ANY],'2025'!$Z$2)</f>
        <v>0</v>
      </c>
      <c r="S17" s="21">
        <f t="shared" si="24"/>
        <v>0</v>
      </c>
      <c r="T17" s="20">
        <f>SUMIFS('Registre de reserves'!$P$2:$P$1178,'Registre de reserves'!$T$2:$T$1178,"NO",'Registre de reserves'!$I$2:$I$1178,'2025'!$A17,'Registre de reserves'!$B$2:$B$1178,'2025'!T$2,Tabla1[ANY],'2025'!$Z$2)+SUMIFS('Registre de reserves'!$P$2:$P$1178,'Registre de reserves'!$T$2:$T$1178,"RESERVA",'Registre de reserves'!$I$2:$I$1178,'2025'!$A17,'Registre de reserves'!$B$2:$B$1178,'2025'!T$2,Tabla1[ANY],'2025'!$Z$2)-SUMIFS('Registre de reserves'!$U$2:$U$1178,'Registre de reserves'!$T$2:$T$1178,"RESERVA",'Registre de reserves'!$I$2:$I$1178,'2025'!$A17,'Registre de reserves'!$B$2:$B$1178,'2025'!T$2,Tabla1[ANY],'2025'!$Z$2)</f>
        <v>0</v>
      </c>
      <c r="U17" s="21">
        <f t="shared" si="25"/>
        <v>0</v>
      </c>
      <c r="V17" s="20">
        <f>SUMIFS('Registre de reserves'!$P$2:$P$1178,'Registre de reserves'!$T$2:$T$1178,"NO",'Registre de reserves'!$I$2:$I$1178,'2025'!$A17,'Registre de reserves'!$B$2:$B$1178,'2025'!V$2,Tabla1[ANY],'2025'!$Z$2)+SUMIFS('Registre de reserves'!$P$2:$P$1178,'Registre de reserves'!$T$2:$T$1178,"RESERVA",'Registre de reserves'!$I$2:$I$1178,'2025'!$A17,'Registre de reserves'!$B$2:$B$1178,'2025'!V$2,Tabla1[ANY],'2025'!$Z$2)-SUMIFS('Registre de reserves'!$U$2:$U$1178,'Registre de reserves'!$T$2:$T$1178,"RESERVA",'Registre de reserves'!$I$2:$I$1178,'2025'!$A17,'Registre de reserves'!$B$2:$B$1178,'2025'!V$2,Tabla1[ANY],'2025'!$Z$2)</f>
        <v>0</v>
      </c>
      <c r="W17" s="21">
        <f t="shared" si="26"/>
        <v>0</v>
      </c>
      <c r="X17" s="20">
        <f>SUMIFS('Registre de reserves'!$P$2:$P$1178,'Registre de reserves'!$T$2:$T$1178,"NO",'Registre de reserves'!$I$2:$I$1178,'2025'!$A17,'Registre de reserves'!$B$2:$B$1178,'2025'!X$2,Tabla1[ANY],'2025'!$Z$2)+SUMIFS('Registre de reserves'!$P$2:$P$1178,'Registre de reserves'!$T$2:$T$1178,"RESERVA",'Registre de reserves'!$I$2:$I$1178,'2025'!$A17,'Registre de reserves'!$B$2:$B$1178,'2025'!X$2,Tabla1[ANY],'2025'!$Z$2)-SUMIFS('Registre de reserves'!$U$2:$U$1178,'Registre de reserves'!$T$2:$T$1178,"RESERVA",'Registre de reserves'!$I$2:$I$1178,'2025'!$A17,'Registre de reserves'!$B$2:$B$1178,'2025'!X$2,Tabla1[ANY],'2025'!$Z$2)</f>
        <v>0</v>
      </c>
      <c r="Y17" s="21">
        <f t="shared" si="27"/>
        <v>0</v>
      </c>
      <c r="Z17" s="20">
        <f t="shared" si="28"/>
        <v>0</v>
      </c>
      <c r="AA17" s="21">
        <f t="shared" si="29"/>
        <v>0</v>
      </c>
      <c r="AB17" s="178">
        <f t="shared" si="2"/>
        <v>0</v>
      </c>
    </row>
    <row r="18" spans="1:28" hidden="1" outlineLevel="1" x14ac:dyDescent="0.2">
      <c r="A18" s="8" t="s">
        <v>72</v>
      </c>
      <c r="B18" s="20">
        <f>SUMIFS('Registre de reserves'!$P$2:$P$1178,'Registre de reserves'!$T$2:$T$1178,"NO",'Registre de reserves'!$I$2:$I$1178,'2025'!$A18,'Registre de reserves'!$B$2:$B$1178,'2025'!B$2,Tabla1[ANY],'2025'!$Z$2)+SUMIFS('Registre de reserves'!$P$2:$P$1178,'Registre de reserves'!$T$2:$T$1178,"RESERVA",'Registre de reserves'!$I$2:$I$1178,'2025'!$A18,'Registre de reserves'!$B$2:$B$1178,'2025'!B$2,Tabla1[ANY],'2025'!$Z$2)-SUMIFS('Registre de reserves'!$U$2:$U$1178,'Registre de reserves'!$T$2:$T$1178,"RESERVA",'Registre de reserves'!$I$2:$I$1178,'2025'!$A18,'Registre de reserves'!$B$2:$B$1178,'2025'!B$2,Tabla1[ANY],'2025'!$Z$2)</f>
        <v>0</v>
      </c>
      <c r="C18" s="21">
        <f t="shared" si="16"/>
        <v>0</v>
      </c>
      <c r="D18" s="20">
        <f>SUMIFS('Registre de reserves'!$P$2:$P$1178,'Registre de reserves'!$T$2:$T$1178,"NO",'Registre de reserves'!$I$2:$I$1178,'2025'!$A18,'Registre de reserves'!$B$2:$B$1178,'2025'!D$2,Tabla1[ANY],'2025'!$Z$2)+SUMIFS('Registre de reserves'!$P$2:$P$1178,'Registre de reserves'!$T$2:$T$1178,"RESERVA",'Registre de reserves'!$I$2:$I$1178,'2025'!$A18,'Registre de reserves'!$B$2:$B$1178,'2025'!D$2,Tabla1[ANY],'2025'!$Z$2)-SUMIFS('Registre de reserves'!$U$2:$U$1178,'Registre de reserves'!$T$2:$T$1178,"RESERVA",'Registre de reserves'!$I$2:$I$1178,'2025'!$A18,'Registre de reserves'!$B$2:$B$1178,'2025'!D$2,Tabla1[ANY],'2025'!$Z$2)</f>
        <v>0</v>
      </c>
      <c r="E18" s="21">
        <f t="shared" si="17"/>
        <v>0</v>
      </c>
      <c r="F18" s="20">
        <f>SUMIFS('Registre de reserves'!$P$2:$P$1178,'Registre de reserves'!$T$2:$T$1178,"NO",'Registre de reserves'!$I$2:$I$1178,'2025'!$A18,'Registre de reserves'!$B$2:$B$1178,'2025'!F$2,Tabla1[ANY],'2025'!$Z$2)+SUMIFS('Registre de reserves'!$P$2:$P$1178,'Registre de reserves'!$T$2:$T$1178,"RESERVA",'Registre de reserves'!$I$2:$I$1178,'2025'!$A18,'Registre de reserves'!$B$2:$B$1178,'2025'!F$2,Tabla1[ANY],'2025'!$Z$2)-SUMIFS('Registre de reserves'!$U$2:$U$1178,'Registre de reserves'!$T$2:$T$1178,"RESERVA",'Registre de reserves'!$I$2:$I$1178,'2025'!$A18,'Registre de reserves'!$B$2:$B$1178,'2025'!F$2,Tabla1[ANY],'2025'!$Z$2)</f>
        <v>0</v>
      </c>
      <c r="G18" s="21">
        <f t="shared" si="18"/>
        <v>0</v>
      </c>
      <c r="H18" s="20">
        <f>SUMIFS('Registre de reserves'!$P$2:$P$1178,'Registre de reserves'!$T$2:$T$1178,"NO",'Registre de reserves'!$I$2:$I$1178,'2025'!$A18,'Registre de reserves'!$B$2:$B$1178,'2025'!H$2,Tabla1[ANY],'2025'!$Z$2)+SUMIFS('Registre de reserves'!$P$2:$P$1178,'Registre de reserves'!$T$2:$T$1178,"RESERVA",'Registre de reserves'!$I$2:$I$1178,'2025'!$A18,'Registre de reserves'!$B$2:$B$1178,'2025'!H$2,Tabla1[ANY],'2025'!$Z$2)-SUMIFS('Registre de reserves'!$U$2:$U$1178,'Registre de reserves'!$T$2:$T$1178,"RESERVA",'Registre de reserves'!$I$2:$I$1178,'2025'!$A18,'Registre de reserves'!$B$2:$B$1178,'2025'!H$2,Tabla1[ANY],'2025'!$Z$2)</f>
        <v>0</v>
      </c>
      <c r="I18" s="21">
        <f t="shared" si="19"/>
        <v>0</v>
      </c>
      <c r="J18" s="20">
        <f>SUMIFS('Registre de reserves'!$P$2:$P$1178,'Registre de reserves'!$T$2:$T$1178,"NO",'Registre de reserves'!$I$2:$I$1178,'2025'!$A18,'Registre de reserves'!$B$2:$B$1178,'2025'!J$2,Tabla1[ANY],'2025'!$Z$2)+SUMIFS('Registre de reserves'!$P$2:$P$1178,'Registre de reserves'!$T$2:$T$1178,"RESERVA",'Registre de reserves'!$I$2:$I$1178,'2025'!$A18,'Registre de reserves'!$B$2:$B$1178,'2025'!J$2,Tabla1[ANY],'2025'!$Z$2)-SUMIFS('Registre de reserves'!$U$2:$U$1178,'Registre de reserves'!$T$2:$T$1178,"RESERVA",'Registre de reserves'!$I$2:$I$1178,'2025'!$A18,'Registre de reserves'!$B$2:$B$1178,'2025'!J$2,Tabla1[ANY],'2025'!$Z$2)</f>
        <v>0</v>
      </c>
      <c r="K18" s="21">
        <f t="shared" si="20"/>
        <v>0</v>
      </c>
      <c r="L18" s="20">
        <f>SUMIFS('Registre de reserves'!$P$2:$P$1178,'Registre de reserves'!$T$2:$T$1178,"NO",'Registre de reserves'!$I$2:$I$1178,'2025'!$A18,'Registre de reserves'!$B$2:$B$1178,'2025'!L$2,Tabla1[ANY],'2025'!$Z$2)+SUMIFS('Registre de reserves'!$P$2:$P$1178,'Registre de reserves'!$T$2:$T$1178,"RESERVA",'Registre de reserves'!$I$2:$I$1178,'2025'!$A18,'Registre de reserves'!$B$2:$B$1178,'2025'!L$2,Tabla1[ANY],'2025'!$Z$2)-SUMIFS('Registre de reserves'!$U$2:$U$1178,'Registre de reserves'!$T$2:$T$1178,"RESERVA",'Registre de reserves'!$I$2:$I$1178,'2025'!$A18,'Registre de reserves'!$B$2:$B$1178,'2025'!L$2,Tabla1[ANY],'2025'!$Z$2)</f>
        <v>0</v>
      </c>
      <c r="M18" s="21">
        <f t="shared" si="21"/>
        <v>0</v>
      </c>
      <c r="N18" s="20">
        <f>SUMIFS('Registre de reserves'!$P$2:$P$1178,'Registre de reserves'!$T$2:$T$1178,"NO",'Registre de reserves'!$I$2:$I$1178,'2025'!$A18,'Registre de reserves'!$B$2:$B$1178,'2025'!N$2,Tabla1[ANY],'2025'!$Z$2)+SUMIFS('Registre de reserves'!$P$2:$P$1178,'Registre de reserves'!$T$2:$T$1178,"RESERVA",'Registre de reserves'!$I$2:$I$1178,'2025'!$A18,'Registre de reserves'!$B$2:$B$1178,'2025'!N$2,Tabla1[ANY],'2025'!$Z$2)-SUMIFS('Registre de reserves'!$U$2:$U$1178,'Registre de reserves'!$T$2:$T$1178,"RESERVA",'Registre de reserves'!$I$2:$I$1178,'2025'!$A18,'Registre de reserves'!$B$2:$B$1178,'2025'!N$2,Tabla1[ANY],'2025'!$Z$2)</f>
        <v>0</v>
      </c>
      <c r="O18" s="21">
        <f t="shared" si="22"/>
        <v>0</v>
      </c>
      <c r="P18" s="20">
        <f>SUMIFS('Registre de reserves'!$P$2:$P$1178,'Registre de reserves'!$T$2:$T$1178,"NO",'Registre de reserves'!$I$2:$I$1178,'2025'!$A18,'Registre de reserves'!$B$2:$B$1178,'2025'!P$2,Tabla1[ANY],'2025'!$Z$2)+SUMIFS('Registre de reserves'!$P$2:$P$1178,'Registre de reserves'!$T$2:$T$1178,"RESERVA",'Registre de reserves'!$I$2:$I$1178,'2025'!$A18,'Registre de reserves'!$B$2:$B$1178,'2025'!P$2,Tabla1[ANY],'2025'!$Z$2)-SUMIFS('Registre de reserves'!$U$2:$U$1178,'Registre de reserves'!$T$2:$T$1178,"RESERVA",'Registre de reserves'!$I$2:$I$1178,'2025'!$A18,'Registre de reserves'!$B$2:$B$1178,'2025'!P$2,Tabla1[ANY],'2025'!$Z$2)</f>
        <v>0</v>
      </c>
      <c r="Q18" s="21">
        <f t="shared" si="23"/>
        <v>0</v>
      </c>
      <c r="R18" s="20">
        <f>SUMIFS('Registre de reserves'!$P$2:$P$1178,'Registre de reserves'!$T$2:$T$1178,"NO",'Registre de reserves'!$I$2:$I$1178,'2025'!$A18,'Registre de reserves'!$B$2:$B$1178,'2025'!R$2,Tabla1[ANY],'2025'!$Z$2)+SUMIFS('Registre de reserves'!$P$2:$P$1178,'Registre de reserves'!$T$2:$T$1178,"RESERVA",'Registre de reserves'!$I$2:$I$1178,'2025'!$A18,'Registre de reserves'!$B$2:$B$1178,'2025'!R$2,Tabla1[ANY],'2025'!$Z$2)-SUMIFS('Registre de reserves'!$U$2:$U$1178,'Registre de reserves'!$T$2:$T$1178,"RESERVA",'Registre de reserves'!$I$2:$I$1178,'2025'!$A18,'Registre de reserves'!$B$2:$B$1178,'2025'!R$2,Tabla1[ANY],'2025'!$Z$2)</f>
        <v>0</v>
      </c>
      <c r="S18" s="21">
        <f t="shared" si="24"/>
        <v>0</v>
      </c>
      <c r="T18" s="20">
        <f>SUMIFS('Registre de reserves'!$P$2:$P$1178,'Registre de reserves'!$T$2:$T$1178,"NO",'Registre de reserves'!$I$2:$I$1178,'2025'!$A18,'Registre de reserves'!$B$2:$B$1178,'2025'!T$2,Tabla1[ANY],'2025'!$Z$2)+SUMIFS('Registre de reserves'!$P$2:$P$1178,'Registre de reserves'!$T$2:$T$1178,"RESERVA",'Registre de reserves'!$I$2:$I$1178,'2025'!$A18,'Registre de reserves'!$B$2:$B$1178,'2025'!T$2,Tabla1[ANY],'2025'!$Z$2)-SUMIFS('Registre de reserves'!$U$2:$U$1178,'Registre de reserves'!$T$2:$T$1178,"RESERVA",'Registre de reserves'!$I$2:$I$1178,'2025'!$A18,'Registre de reserves'!$B$2:$B$1178,'2025'!T$2,Tabla1[ANY],'2025'!$Z$2)</f>
        <v>0</v>
      </c>
      <c r="U18" s="21">
        <f t="shared" si="25"/>
        <v>0</v>
      </c>
      <c r="V18" s="20">
        <f>SUMIFS('Registre de reserves'!$P$2:$P$1178,'Registre de reserves'!$T$2:$T$1178,"NO",'Registre de reserves'!$I$2:$I$1178,'2025'!$A18,'Registre de reserves'!$B$2:$B$1178,'2025'!V$2,Tabla1[ANY],'2025'!$Z$2)+SUMIFS('Registre de reserves'!$P$2:$P$1178,'Registre de reserves'!$T$2:$T$1178,"RESERVA",'Registre de reserves'!$I$2:$I$1178,'2025'!$A18,'Registre de reserves'!$B$2:$B$1178,'2025'!V$2,Tabla1[ANY],'2025'!$Z$2)-SUMIFS('Registre de reserves'!$U$2:$U$1178,'Registre de reserves'!$T$2:$T$1178,"RESERVA",'Registre de reserves'!$I$2:$I$1178,'2025'!$A18,'Registre de reserves'!$B$2:$B$1178,'2025'!V$2,Tabla1[ANY],'2025'!$Z$2)</f>
        <v>0</v>
      </c>
      <c r="W18" s="21">
        <f t="shared" si="26"/>
        <v>0</v>
      </c>
      <c r="X18" s="20">
        <f>SUMIFS('Registre de reserves'!$P$2:$P$1178,'Registre de reserves'!$T$2:$T$1178,"NO",'Registre de reserves'!$I$2:$I$1178,'2025'!$A18,'Registre de reserves'!$B$2:$B$1178,'2025'!X$2,Tabla1[ANY],'2025'!$Z$2)+SUMIFS('Registre de reserves'!$P$2:$P$1178,'Registre de reserves'!$T$2:$T$1178,"RESERVA",'Registre de reserves'!$I$2:$I$1178,'2025'!$A18,'Registre de reserves'!$B$2:$B$1178,'2025'!X$2,Tabla1[ANY],'2025'!$Z$2)-SUMIFS('Registre de reserves'!$U$2:$U$1178,'Registre de reserves'!$T$2:$T$1178,"RESERVA",'Registre de reserves'!$I$2:$I$1178,'2025'!$A18,'Registre de reserves'!$B$2:$B$1178,'2025'!X$2,Tabla1[ANY],'2025'!$Z$2)</f>
        <v>0</v>
      </c>
      <c r="Y18" s="21">
        <f t="shared" si="27"/>
        <v>0</v>
      </c>
      <c r="Z18" s="20">
        <f t="shared" si="28"/>
        <v>0</v>
      </c>
      <c r="AA18" s="21">
        <f t="shared" si="29"/>
        <v>0</v>
      </c>
      <c r="AB18" s="178">
        <f t="shared" si="2"/>
        <v>0</v>
      </c>
    </row>
    <row r="19" spans="1:28" hidden="1" outlineLevel="1" x14ac:dyDescent="0.2">
      <c r="A19" s="8" t="s">
        <v>69</v>
      </c>
      <c r="B19" s="20">
        <f>SUMIFS('Registre de reserves'!$P$2:$P$1178,'Registre de reserves'!$T$2:$T$1178,"NO",'Registre de reserves'!$I$2:$I$1178,'2025'!$A19,'Registre de reserves'!$B$2:$B$1178,'2025'!B$2,Tabla1[ANY],'2025'!$Z$2)+SUMIFS('Registre de reserves'!$P$2:$P$1178,'Registre de reserves'!$T$2:$T$1178,"RESERVA",'Registre de reserves'!$I$2:$I$1178,'2025'!$A19,'Registre de reserves'!$B$2:$B$1178,'2025'!B$2,Tabla1[ANY],'2025'!$Z$2)-SUMIFS('Registre de reserves'!$U$2:$U$1178,'Registre de reserves'!$T$2:$T$1178,"RESERVA",'Registre de reserves'!$I$2:$I$1178,'2025'!$A19,'Registre de reserves'!$B$2:$B$1178,'2025'!B$2,Tabla1[ANY],'2025'!$Z$2)</f>
        <v>0</v>
      </c>
      <c r="C19" s="21">
        <f t="shared" si="16"/>
        <v>0</v>
      </c>
      <c r="D19" s="20">
        <f>SUMIFS('Registre de reserves'!$P$2:$P$1178,'Registre de reserves'!$T$2:$T$1178,"NO",'Registre de reserves'!$I$2:$I$1178,'2025'!$A19,'Registre de reserves'!$B$2:$B$1178,'2025'!D$2,Tabla1[ANY],'2025'!$Z$2)+SUMIFS('Registre de reserves'!$P$2:$P$1178,'Registre de reserves'!$T$2:$T$1178,"RESERVA",'Registre de reserves'!$I$2:$I$1178,'2025'!$A19,'Registre de reserves'!$B$2:$B$1178,'2025'!D$2,Tabla1[ANY],'2025'!$Z$2)-SUMIFS('Registre de reserves'!$U$2:$U$1178,'Registre de reserves'!$T$2:$T$1178,"RESERVA",'Registre de reserves'!$I$2:$I$1178,'2025'!$A19,'Registre de reserves'!$B$2:$B$1178,'2025'!D$2,Tabla1[ANY],'2025'!$Z$2)</f>
        <v>0</v>
      </c>
      <c r="E19" s="21">
        <f t="shared" si="17"/>
        <v>0</v>
      </c>
      <c r="F19" s="20">
        <f>SUMIFS('Registre de reserves'!$P$2:$P$1178,'Registre de reserves'!$T$2:$T$1178,"NO",'Registre de reserves'!$I$2:$I$1178,'2025'!$A19,'Registre de reserves'!$B$2:$B$1178,'2025'!F$2,Tabla1[ANY],'2025'!$Z$2)+SUMIFS('Registre de reserves'!$P$2:$P$1178,'Registre de reserves'!$T$2:$T$1178,"RESERVA",'Registre de reserves'!$I$2:$I$1178,'2025'!$A19,'Registre de reserves'!$B$2:$B$1178,'2025'!F$2,Tabla1[ANY],'2025'!$Z$2)-SUMIFS('Registre de reserves'!$U$2:$U$1178,'Registre de reserves'!$T$2:$T$1178,"RESERVA",'Registre de reserves'!$I$2:$I$1178,'2025'!$A19,'Registre de reserves'!$B$2:$B$1178,'2025'!F$2,Tabla1[ANY],'2025'!$Z$2)</f>
        <v>0</v>
      </c>
      <c r="G19" s="21">
        <f t="shared" si="18"/>
        <v>0</v>
      </c>
      <c r="H19" s="20">
        <f>SUMIFS('Registre de reserves'!$P$2:$P$1178,'Registre de reserves'!$T$2:$T$1178,"NO",'Registre de reserves'!$I$2:$I$1178,'2025'!$A19,'Registre de reserves'!$B$2:$B$1178,'2025'!H$2,Tabla1[ANY],'2025'!$Z$2)+SUMIFS('Registre de reserves'!$P$2:$P$1178,'Registre de reserves'!$T$2:$T$1178,"RESERVA",'Registre de reserves'!$I$2:$I$1178,'2025'!$A19,'Registre de reserves'!$B$2:$B$1178,'2025'!H$2,Tabla1[ANY],'2025'!$Z$2)-SUMIFS('Registre de reserves'!$U$2:$U$1178,'Registre de reserves'!$T$2:$T$1178,"RESERVA",'Registre de reserves'!$I$2:$I$1178,'2025'!$A19,'Registre de reserves'!$B$2:$B$1178,'2025'!H$2,Tabla1[ANY],'2025'!$Z$2)</f>
        <v>0</v>
      </c>
      <c r="I19" s="21">
        <f t="shared" si="19"/>
        <v>0</v>
      </c>
      <c r="J19" s="20">
        <f>SUMIFS('Registre de reserves'!$P$2:$P$1178,'Registre de reserves'!$T$2:$T$1178,"NO",'Registre de reserves'!$I$2:$I$1178,'2025'!$A19,'Registre de reserves'!$B$2:$B$1178,'2025'!J$2,Tabla1[ANY],'2025'!$Z$2)+SUMIFS('Registre de reserves'!$P$2:$P$1178,'Registre de reserves'!$T$2:$T$1178,"RESERVA",'Registre de reserves'!$I$2:$I$1178,'2025'!$A19,'Registre de reserves'!$B$2:$B$1178,'2025'!J$2,Tabla1[ANY],'2025'!$Z$2)-SUMIFS('Registre de reserves'!$U$2:$U$1178,'Registre de reserves'!$T$2:$T$1178,"RESERVA",'Registre de reserves'!$I$2:$I$1178,'2025'!$A19,'Registre de reserves'!$B$2:$B$1178,'2025'!J$2,Tabla1[ANY],'2025'!$Z$2)</f>
        <v>0</v>
      </c>
      <c r="K19" s="21">
        <f t="shared" si="20"/>
        <v>0</v>
      </c>
      <c r="L19" s="20">
        <f>SUMIFS('Registre de reserves'!$P$2:$P$1178,'Registre de reserves'!$T$2:$T$1178,"NO",'Registre de reserves'!$I$2:$I$1178,'2025'!$A19,'Registre de reserves'!$B$2:$B$1178,'2025'!L$2,Tabla1[ANY],'2025'!$Z$2)+SUMIFS('Registre de reserves'!$P$2:$P$1178,'Registre de reserves'!$T$2:$T$1178,"RESERVA",'Registre de reserves'!$I$2:$I$1178,'2025'!$A19,'Registre de reserves'!$B$2:$B$1178,'2025'!L$2,Tabla1[ANY],'2025'!$Z$2)-SUMIFS('Registre de reserves'!$U$2:$U$1178,'Registre de reserves'!$T$2:$T$1178,"RESERVA",'Registre de reserves'!$I$2:$I$1178,'2025'!$A19,'Registre de reserves'!$B$2:$B$1178,'2025'!L$2,Tabla1[ANY],'2025'!$Z$2)</f>
        <v>550</v>
      </c>
      <c r="M19" s="21">
        <f t="shared" si="21"/>
        <v>0.4</v>
      </c>
      <c r="N19" s="20">
        <f>SUMIFS('Registre de reserves'!$P$2:$P$1178,'Registre de reserves'!$T$2:$T$1178,"NO",'Registre de reserves'!$I$2:$I$1178,'2025'!$A19,'Registre de reserves'!$B$2:$B$1178,'2025'!N$2,Tabla1[ANY],'2025'!$Z$2)+SUMIFS('Registre de reserves'!$P$2:$P$1178,'Registre de reserves'!$T$2:$T$1178,"RESERVA",'Registre de reserves'!$I$2:$I$1178,'2025'!$A19,'Registre de reserves'!$B$2:$B$1178,'2025'!N$2,Tabla1[ANY],'2025'!$Z$2)-SUMIFS('Registre de reserves'!$U$2:$U$1178,'Registre de reserves'!$T$2:$T$1178,"RESERVA",'Registre de reserves'!$I$2:$I$1178,'2025'!$A19,'Registre de reserves'!$B$2:$B$1178,'2025'!N$2,Tabla1[ANY],'2025'!$Z$2)</f>
        <v>800</v>
      </c>
      <c r="O19" s="21">
        <f t="shared" si="22"/>
        <v>0.2821869488536155</v>
      </c>
      <c r="P19" s="20">
        <f>SUMIFS('Registre de reserves'!$P$2:$P$1178,'Registre de reserves'!$T$2:$T$1178,"NO",'Registre de reserves'!$I$2:$I$1178,'2025'!$A19,'Registre de reserves'!$B$2:$B$1178,'2025'!P$2,Tabla1[ANY],'2025'!$Z$2)+SUMIFS('Registre de reserves'!$P$2:$P$1178,'Registre de reserves'!$T$2:$T$1178,"RESERVA",'Registre de reserves'!$I$2:$I$1178,'2025'!$A19,'Registre de reserves'!$B$2:$B$1178,'2025'!P$2,Tabla1[ANY],'2025'!$Z$2)-SUMIFS('Registre de reserves'!$U$2:$U$1178,'Registre de reserves'!$T$2:$T$1178,"RESERVA",'Registre de reserves'!$I$2:$I$1178,'2025'!$A19,'Registre de reserves'!$B$2:$B$1178,'2025'!P$2,Tabla1[ANY],'2025'!$Z$2)</f>
        <v>0</v>
      </c>
      <c r="Q19" s="21">
        <f t="shared" si="23"/>
        <v>0</v>
      </c>
      <c r="R19" s="20">
        <f>SUMIFS('Registre de reserves'!$P$2:$P$1178,'Registre de reserves'!$T$2:$T$1178,"NO",'Registre de reserves'!$I$2:$I$1178,'2025'!$A19,'Registre de reserves'!$B$2:$B$1178,'2025'!R$2,Tabla1[ANY],'2025'!$Z$2)+SUMIFS('Registre de reserves'!$P$2:$P$1178,'Registre de reserves'!$T$2:$T$1178,"RESERVA",'Registre de reserves'!$I$2:$I$1178,'2025'!$A19,'Registre de reserves'!$B$2:$B$1178,'2025'!R$2,Tabla1[ANY],'2025'!$Z$2)-SUMIFS('Registre de reserves'!$U$2:$U$1178,'Registre de reserves'!$T$2:$T$1178,"RESERVA",'Registre de reserves'!$I$2:$I$1178,'2025'!$A19,'Registre de reserves'!$B$2:$B$1178,'2025'!R$2,Tabla1[ANY],'2025'!$Z$2)</f>
        <v>0</v>
      </c>
      <c r="S19" s="21">
        <f t="shared" si="24"/>
        <v>0</v>
      </c>
      <c r="T19" s="20">
        <f>SUMIFS('Registre de reserves'!$P$2:$P$1178,'Registre de reserves'!$T$2:$T$1178,"NO",'Registre de reserves'!$I$2:$I$1178,'2025'!$A19,'Registre de reserves'!$B$2:$B$1178,'2025'!T$2,Tabla1[ANY],'2025'!$Z$2)+SUMIFS('Registre de reserves'!$P$2:$P$1178,'Registre de reserves'!$T$2:$T$1178,"RESERVA",'Registre de reserves'!$I$2:$I$1178,'2025'!$A19,'Registre de reserves'!$B$2:$B$1178,'2025'!T$2,Tabla1[ANY],'2025'!$Z$2)-SUMIFS('Registre de reserves'!$U$2:$U$1178,'Registre de reserves'!$T$2:$T$1178,"RESERVA",'Registre de reserves'!$I$2:$I$1178,'2025'!$A19,'Registre de reserves'!$B$2:$B$1178,'2025'!T$2,Tabla1[ANY],'2025'!$Z$2)</f>
        <v>0</v>
      </c>
      <c r="U19" s="21">
        <f t="shared" si="25"/>
        <v>0</v>
      </c>
      <c r="V19" s="20">
        <f>SUMIFS('Registre de reserves'!$P$2:$P$1178,'Registre de reserves'!$T$2:$T$1178,"NO",'Registre de reserves'!$I$2:$I$1178,'2025'!$A19,'Registre de reserves'!$B$2:$B$1178,'2025'!V$2,Tabla1[ANY],'2025'!$Z$2)+SUMIFS('Registre de reserves'!$P$2:$P$1178,'Registre de reserves'!$T$2:$T$1178,"RESERVA",'Registre de reserves'!$I$2:$I$1178,'2025'!$A19,'Registre de reserves'!$B$2:$B$1178,'2025'!V$2,Tabla1[ANY],'2025'!$Z$2)-SUMIFS('Registre de reserves'!$U$2:$U$1178,'Registre de reserves'!$T$2:$T$1178,"RESERVA",'Registre de reserves'!$I$2:$I$1178,'2025'!$A19,'Registre de reserves'!$B$2:$B$1178,'2025'!V$2,Tabla1[ANY],'2025'!$Z$2)</f>
        <v>0</v>
      </c>
      <c r="W19" s="21">
        <f t="shared" si="26"/>
        <v>0</v>
      </c>
      <c r="X19" s="20">
        <f>SUMIFS('Registre de reserves'!$P$2:$P$1178,'Registre de reserves'!$T$2:$T$1178,"NO",'Registre de reserves'!$I$2:$I$1178,'2025'!$A19,'Registre de reserves'!$B$2:$B$1178,'2025'!X$2,Tabla1[ANY],'2025'!$Z$2)+SUMIFS('Registre de reserves'!$P$2:$P$1178,'Registre de reserves'!$T$2:$T$1178,"RESERVA",'Registre de reserves'!$I$2:$I$1178,'2025'!$A19,'Registre de reserves'!$B$2:$B$1178,'2025'!X$2,Tabla1[ANY],'2025'!$Z$2)-SUMIFS('Registre de reserves'!$U$2:$U$1178,'Registre de reserves'!$T$2:$T$1178,"RESERVA",'Registre de reserves'!$I$2:$I$1178,'2025'!$A19,'Registre de reserves'!$B$2:$B$1178,'2025'!X$2,Tabla1[ANY],'2025'!$Z$2)</f>
        <v>0</v>
      </c>
      <c r="Y19" s="21">
        <f t="shared" si="27"/>
        <v>0</v>
      </c>
      <c r="Z19" s="20">
        <f t="shared" si="28"/>
        <v>1350</v>
      </c>
      <c r="AA19" s="21">
        <f t="shared" si="29"/>
        <v>0.28066528066528068</v>
      </c>
      <c r="AB19" s="178">
        <f t="shared" si="2"/>
        <v>225</v>
      </c>
    </row>
    <row r="20" spans="1:28" hidden="1" outlineLevel="1" x14ac:dyDescent="0.2">
      <c r="A20" s="8" t="s">
        <v>70</v>
      </c>
      <c r="B20" s="20">
        <f>SUMIFS('Registre de reserves'!$P$2:$P$1178,'Registre de reserves'!$T$2:$T$1178,"NO",'Registre de reserves'!$I$2:$I$1178,'2025'!$A20,'Registre de reserves'!$B$2:$B$1178,'2025'!B$2,Tabla1[ANY],'2025'!$Z$2)+SUMIFS('Registre de reserves'!$P$2:$P$1178,'Registre de reserves'!$T$2:$T$1178,"RESERVA",'Registre de reserves'!$I$2:$I$1178,'2025'!$A20,'Registre de reserves'!$B$2:$B$1178,'2025'!B$2,Tabla1[ANY],'2025'!$Z$2)-SUMIFS('Registre de reserves'!$U$2:$U$1178,'Registre de reserves'!$T$2:$T$1178,"RESERVA",'Registre de reserves'!$I$2:$I$1178,'2025'!$A20,'Registre de reserves'!$B$2:$B$1178,'2025'!B$2,Tabla1[ANY],'2025'!$Z$2)</f>
        <v>0</v>
      </c>
      <c r="C20" s="21">
        <f t="shared" si="16"/>
        <v>0</v>
      </c>
      <c r="D20" s="20">
        <f>SUMIFS('Registre de reserves'!$P$2:$P$1178,'Registre de reserves'!$T$2:$T$1178,"NO",'Registre de reserves'!$I$2:$I$1178,'2025'!$A20,'Registre de reserves'!$B$2:$B$1178,'2025'!D$2,Tabla1[ANY],'2025'!$Z$2)+SUMIFS('Registre de reserves'!$P$2:$P$1178,'Registre de reserves'!$T$2:$T$1178,"RESERVA",'Registre de reserves'!$I$2:$I$1178,'2025'!$A20,'Registre de reserves'!$B$2:$B$1178,'2025'!D$2,Tabla1[ANY],'2025'!$Z$2)-SUMIFS('Registre de reserves'!$U$2:$U$1178,'Registre de reserves'!$T$2:$T$1178,"RESERVA",'Registre de reserves'!$I$2:$I$1178,'2025'!$A20,'Registre de reserves'!$B$2:$B$1178,'2025'!D$2,Tabla1[ANY],'2025'!$Z$2)</f>
        <v>0</v>
      </c>
      <c r="E20" s="21">
        <f t="shared" si="17"/>
        <v>0</v>
      </c>
      <c r="F20" s="20">
        <f>SUMIFS('Registre de reserves'!$P$2:$P$1178,'Registre de reserves'!$T$2:$T$1178,"NO",'Registre de reserves'!$I$2:$I$1178,'2025'!$A20,'Registre de reserves'!$B$2:$B$1178,'2025'!F$2,Tabla1[ANY],'2025'!$Z$2)+SUMIFS('Registre de reserves'!$P$2:$P$1178,'Registre de reserves'!$T$2:$T$1178,"RESERVA",'Registre de reserves'!$I$2:$I$1178,'2025'!$A20,'Registre de reserves'!$B$2:$B$1178,'2025'!F$2,Tabla1[ANY],'2025'!$Z$2)-SUMIFS('Registre de reserves'!$U$2:$U$1178,'Registre de reserves'!$T$2:$T$1178,"RESERVA",'Registre de reserves'!$I$2:$I$1178,'2025'!$A20,'Registre de reserves'!$B$2:$B$1178,'2025'!F$2,Tabla1[ANY],'2025'!$Z$2)</f>
        <v>0</v>
      </c>
      <c r="G20" s="21">
        <f t="shared" si="18"/>
        <v>0</v>
      </c>
      <c r="H20" s="20">
        <f>SUMIFS('Registre de reserves'!$P$2:$P$1178,'Registre de reserves'!$T$2:$T$1178,"NO",'Registre de reserves'!$I$2:$I$1178,'2025'!$A20,'Registre de reserves'!$B$2:$B$1178,'2025'!H$2,Tabla1[ANY],'2025'!$Z$2)+SUMIFS('Registre de reserves'!$P$2:$P$1178,'Registre de reserves'!$T$2:$T$1178,"RESERVA",'Registre de reserves'!$I$2:$I$1178,'2025'!$A20,'Registre de reserves'!$B$2:$B$1178,'2025'!H$2,Tabla1[ANY],'2025'!$Z$2)-SUMIFS('Registre de reserves'!$U$2:$U$1178,'Registre de reserves'!$T$2:$T$1178,"RESERVA",'Registre de reserves'!$I$2:$I$1178,'2025'!$A20,'Registre de reserves'!$B$2:$B$1178,'2025'!H$2,Tabla1[ANY],'2025'!$Z$2)</f>
        <v>0</v>
      </c>
      <c r="I20" s="21">
        <f t="shared" si="19"/>
        <v>0</v>
      </c>
      <c r="J20" s="20">
        <f>SUMIFS('Registre de reserves'!$P$2:$P$1178,'Registre de reserves'!$T$2:$T$1178,"NO",'Registre de reserves'!$I$2:$I$1178,'2025'!$A20,'Registre de reserves'!$B$2:$B$1178,'2025'!J$2,Tabla1[ANY],'2025'!$Z$2)+SUMIFS('Registre de reserves'!$P$2:$P$1178,'Registre de reserves'!$T$2:$T$1178,"RESERVA",'Registre de reserves'!$I$2:$I$1178,'2025'!$A20,'Registre de reserves'!$B$2:$B$1178,'2025'!J$2,Tabla1[ANY],'2025'!$Z$2)-SUMIFS('Registre de reserves'!$U$2:$U$1178,'Registre de reserves'!$T$2:$T$1178,"RESERVA",'Registre de reserves'!$I$2:$I$1178,'2025'!$A20,'Registre de reserves'!$B$2:$B$1178,'2025'!J$2,Tabla1[ANY],'2025'!$Z$2)</f>
        <v>0</v>
      </c>
      <c r="K20" s="21">
        <f t="shared" si="20"/>
        <v>0</v>
      </c>
      <c r="L20" s="20">
        <f>SUMIFS('Registre de reserves'!$P$2:$P$1178,'Registre de reserves'!$T$2:$T$1178,"NO",'Registre de reserves'!$I$2:$I$1178,'2025'!$A20,'Registre de reserves'!$B$2:$B$1178,'2025'!L$2,Tabla1[ANY],'2025'!$Z$2)+SUMIFS('Registre de reserves'!$P$2:$P$1178,'Registre de reserves'!$T$2:$T$1178,"RESERVA",'Registre de reserves'!$I$2:$I$1178,'2025'!$A20,'Registre de reserves'!$B$2:$B$1178,'2025'!L$2,Tabla1[ANY],'2025'!$Z$2)-SUMIFS('Registre de reserves'!$U$2:$U$1178,'Registre de reserves'!$T$2:$T$1178,"RESERVA",'Registre de reserves'!$I$2:$I$1178,'2025'!$A20,'Registre de reserves'!$B$2:$B$1178,'2025'!L$2,Tabla1[ANY],'2025'!$Z$2)</f>
        <v>0</v>
      </c>
      <c r="M20" s="21">
        <f t="shared" si="21"/>
        <v>0</v>
      </c>
      <c r="N20" s="20">
        <f>SUMIFS('Registre de reserves'!$P$2:$P$1178,'Registre de reserves'!$T$2:$T$1178,"NO",'Registre de reserves'!$I$2:$I$1178,'2025'!$A20,'Registre de reserves'!$B$2:$B$1178,'2025'!N$2,Tabla1[ANY],'2025'!$Z$2)+SUMIFS('Registre de reserves'!$P$2:$P$1178,'Registre de reserves'!$T$2:$T$1178,"RESERVA",'Registre de reserves'!$I$2:$I$1178,'2025'!$A20,'Registre de reserves'!$B$2:$B$1178,'2025'!N$2,Tabla1[ANY],'2025'!$Z$2)-SUMIFS('Registre de reserves'!$U$2:$U$1178,'Registre de reserves'!$T$2:$T$1178,"RESERVA",'Registre de reserves'!$I$2:$I$1178,'2025'!$A20,'Registre de reserves'!$B$2:$B$1178,'2025'!N$2,Tabla1[ANY],'2025'!$Z$2)</f>
        <v>620</v>
      </c>
      <c r="O20" s="21">
        <f t="shared" si="22"/>
        <v>0.21869488536155202</v>
      </c>
      <c r="P20" s="20">
        <f>SUMIFS('Registre de reserves'!$P$2:$P$1178,'Registre de reserves'!$T$2:$T$1178,"NO",'Registre de reserves'!$I$2:$I$1178,'2025'!$A20,'Registre de reserves'!$B$2:$B$1178,'2025'!P$2,Tabla1[ANY],'2025'!$Z$2)+SUMIFS('Registre de reserves'!$P$2:$P$1178,'Registre de reserves'!$T$2:$T$1178,"RESERVA",'Registre de reserves'!$I$2:$I$1178,'2025'!$A20,'Registre de reserves'!$B$2:$B$1178,'2025'!P$2,Tabla1[ANY],'2025'!$Z$2)-SUMIFS('Registre de reserves'!$U$2:$U$1178,'Registre de reserves'!$T$2:$T$1178,"RESERVA",'Registre de reserves'!$I$2:$I$1178,'2025'!$A20,'Registre de reserves'!$B$2:$B$1178,'2025'!P$2,Tabla1[ANY],'2025'!$Z$2)</f>
        <v>0</v>
      </c>
      <c r="Q20" s="21">
        <f t="shared" si="23"/>
        <v>0</v>
      </c>
      <c r="R20" s="20">
        <f>SUMIFS('Registre de reserves'!$P$2:$P$1178,'Registre de reserves'!$T$2:$T$1178,"NO",'Registre de reserves'!$I$2:$I$1178,'2025'!$A20,'Registre de reserves'!$B$2:$B$1178,'2025'!R$2,Tabla1[ANY],'2025'!$Z$2)+SUMIFS('Registre de reserves'!$P$2:$P$1178,'Registre de reserves'!$T$2:$T$1178,"RESERVA",'Registre de reserves'!$I$2:$I$1178,'2025'!$A20,'Registre de reserves'!$B$2:$B$1178,'2025'!R$2,Tabla1[ANY],'2025'!$Z$2)-SUMIFS('Registre de reserves'!$U$2:$U$1178,'Registre de reserves'!$T$2:$T$1178,"RESERVA",'Registre de reserves'!$I$2:$I$1178,'2025'!$A20,'Registre de reserves'!$B$2:$B$1178,'2025'!R$2,Tabla1[ANY],'2025'!$Z$2)</f>
        <v>0</v>
      </c>
      <c r="S20" s="21">
        <f t="shared" si="24"/>
        <v>0</v>
      </c>
      <c r="T20" s="20">
        <f>SUMIFS('Registre de reserves'!$P$2:$P$1178,'Registre de reserves'!$T$2:$T$1178,"NO",'Registre de reserves'!$I$2:$I$1178,'2025'!$A20,'Registre de reserves'!$B$2:$B$1178,'2025'!T$2,Tabla1[ANY],'2025'!$Z$2)+SUMIFS('Registre de reserves'!$P$2:$P$1178,'Registre de reserves'!$T$2:$T$1178,"RESERVA",'Registre de reserves'!$I$2:$I$1178,'2025'!$A20,'Registre de reserves'!$B$2:$B$1178,'2025'!T$2,Tabla1[ANY],'2025'!$Z$2)-SUMIFS('Registre de reserves'!$U$2:$U$1178,'Registre de reserves'!$T$2:$T$1178,"RESERVA",'Registre de reserves'!$I$2:$I$1178,'2025'!$A20,'Registre de reserves'!$B$2:$B$1178,'2025'!T$2,Tabla1[ANY],'2025'!$Z$2)</f>
        <v>0</v>
      </c>
      <c r="U20" s="21">
        <f t="shared" si="25"/>
        <v>0</v>
      </c>
      <c r="V20" s="20">
        <f>SUMIFS('Registre de reserves'!$P$2:$P$1178,'Registre de reserves'!$T$2:$T$1178,"NO",'Registre de reserves'!$I$2:$I$1178,'2025'!$A20,'Registre de reserves'!$B$2:$B$1178,'2025'!V$2,Tabla1[ANY],'2025'!$Z$2)+SUMIFS('Registre de reserves'!$P$2:$P$1178,'Registre de reserves'!$T$2:$T$1178,"RESERVA",'Registre de reserves'!$I$2:$I$1178,'2025'!$A20,'Registre de reserves'!$B$2:$B$1178,'2025'!V$2,Tabla1[ANY],'2025'!$Z$2)-SUMIFS('Registre de reserves'!$U$2:$U$1178,'Registre de reserves'!$T$2:$T$1178,"RESERVA",'Registre de reserves'!$I$2:$I$1178,'2025'!$A20,'Registre de reserves'!$B$2:$B$1178,'2025'!V$2,Tabla1[ANY],'2025'!$Z$2)</f>
        <v>0</v>
      </c>
      <c r="W20" s="21">
        <f t="shared" si="26"/>
        <v>0</v>
      </c>
      <c r="X20" s="20">
        <f>SUMIFS('Registre de reserves'!$P$2:$P$1178,'Registre de reserves'!$T$2:$T$1178,"NO",'Registre de reserves'!$I$2:$I$1178,'2025'!$A20,'Registre de reserves'!$B$2:$B$1178,'2025'!X$2,Tabla1[ANY],'2025'!$Z$2)+SUMIFS('Registre de reserves'!$P$2:$P$1178,'Registre de reserves'!$T$2:$T$1178,"RESERVA",'Registre de reserves'!$I$2:$I$1178,'2025'!$A20,'Registre de reserves'!$B$2:$B$1178,'2025'!X$2,Tabla1[ANY],'2025'!$Z$2)-SUMIFS('Registre de reserves'!$U$2:$U$1178,'Registre de reserves'!$T$2:$T$1178,"RESERVA",'Registre de reserves'!$I$2:$I$1178,'2025'!$A20,'Registre de reserves'!$B$2:$B$1178,'2025'!X$2,Tabla1[ANY],'2025'!$Z$2)</f>
        <v>600</v>
      </c>
      <c r="Y20" s="21">
        <f t="shared" si="27"/>
        <v>1</v>
      </c>
      <c r="Z20" s="20">
        <f t="shared" si="28"/>
        <v>1220</v>
      </c>
      <c r="AA20" s="21">
        <f t="shared" si="29"/>
        <v>0.25363825363825365</v>
      </c>
      <c r="AB20" s="178">
        <f t="shared" si="2"/>
        <v>203.33333333333334</v>
      </c>
    </row>
    <row r="21" spans="1:28" hidden="1" outlineLevel="1" x14ac:dyDescent="0.2">
      <c r="A21" s="8" t="s">
        <v>73</v>
      </c>
      <c r="B21" s="20">
        <f>SUMIFS('Registre de reserves'!$P$2:$P$1178,'Registre de reserves'!$T$2:$T$1178,"NO",'Registre de reserves'!$I$2:$I$1178,'2025'!$A21,'Registre de reserves'!$B$2:$B$1178,'2025'!B$2,Tabla1[ANY],'2025'!$Z$2)+SUMIFS('Registre de reserves'!$P$2:$P$1178,'Registre de reserves'!$T$2:$T$1178,"RESERVA",'Registre de reserves'!$I$2:$I$1178,'2025'!$A21,'Registre de reserves'!$B$2:$B$1178,'2025'!B$2,Tabla1[ANY],'2025'!$Z$2)-SUMIFS('Registre de reserves'!$U$2:$U$1178,'Registre de reserves'!$T$2:$T$1178,"RESERVA",'Registre de reserves'!$I$2:$I$1178,'2025'!$A21,'Registre de reserves'!$B$2:$B$1178,'2025'!B$2,Tabla1[ANY],'2025'!$Z$2)</f>
        <v>0</v>
      </c>
      <c r="C21" s="21">
        <f t="shared" si="16"/>
        <v>0</v>
      </c>
      <c r="D21" s="20">
        <f>SUMIFS('Registre de reserves'!$P$2:$P$1178,'Registre de reserves'!$T$2:$T$1178,"NO",'Registre de reserves'!$I$2:$I$1178,'2025'!$A21,'Registre de reserves'!$B$2:$B$1178,'2025'!D$2,Tabla1[ANY],'2025'!$Z$2)+SUMIFS('Registre de reserves'!$P$2:$P$1178,'Registre de reserves'!$T$2:$T$1178,"RESERVA",'Registre de reserves'!$I$2:$I$1178,'2025'!$A21,'Registre de reserves'!$B$2:$B$1178,'2025'!D$2,Tabla1[ANY],'2025'!$Z$2)-SUMIFS('Registre de reserves'!$U$2:$U$1178,'Registre de reserves'!$T$2:$T$1178,"RESERVA",'Registre de reserves'!$I$2:$I$1178,'2025'!$A21,'Registre de reserves'!$B$2:$B$1178,'2025'!D$2,Tabla1[ANY],'2025'!$Z$2)</f>
        <v>0</v>
      </c>
      <c r="E21" s="21">
        <f t="shared" si="17"/>
        <v>0</v>
      </c>
      <c r="F21" s="20">
        <f>SUMIFS('Registre de reserves'!$P$2:$P$1178,'Registre de reserves'!$T$2:$T$1178,"NO",'Registre de reserves'!$I$2:$I$1178,'2025'!$A21,'Registre de reserves'!$B$2:$B$1178,'2025'!F$2,Tabla1[ANY],'2025'!$Z$2)+SUMIFS('Registre de reserves'!$P$2:$P$1178,'Registre de reserves'!$T$2:$T$1178,"RESERVA",'Registre de reserves'!$I$2:$I$1178,'2025'!$A21,'Registre de reserves'!$B$2:$B$1178,'2025'!F$2,Tabla1[ANY],'2025'!$Z$2)-SUMIFS('Registre de reserves'!$U$2:$U$1178,'Registre de reserves'!$T$2:$T$1178,"RESERVA",'Registre de reserves'!$I$2:$I$1178,'2025'!$A21,'Registre de reserves'!$B$2:$B$1178,'2025'!F$2,Tabla1[ANY],'2025'!$Z$2)</f>
        <v>0</v>
      </c>
      <c r="G21" s="21">
        <f t="shared" si="18"/>
        <v>0</v>
      </c>
      <c r="H21" s="20">
        <f>SUMIFS('Registre de reserves'!$P$2:$P$1178,'Registre de reserves'!$T$2:$T$1178,"NO",'Registre de reserves'!$I$2:$I$1178,'2025'!$A21,'Registre de reserves'!$B$2:$B$1178,'2025'!H$2,Tabla1[ANY],'2025'!$Z$2)+SUMIFS('Registre de reserves'!$P$2:$P$1178,'Registre de reserves'!$T$2:$T$1178,"RESERVA",'Registre de reserves'!$I$2:$I$1178,'2025'!$A21,'Registre de reserves'!$B$2:$B$1178,'2025'!H$2,Tabla1[ANY],'2025'!$Z$2)-SUMIFS('Registre de reserves'!$U$2:$U$1178,'Registre de reserves'!$T$2:$T$1178,"RESERVA",'Registre de reserves'!$I$2:$I$1178,'2025'!$A21,'Registre de reserves'!$B$2:$B$1178,'2025'!H$2,Tabla1[ANY],'2025'!$Z$2)</f>
        <v>0</v>
      </c>
      <c r="I21" s="21">
        <f t="shared" si="19"/>
        <v>0</v>
      </c>
      <c r="J21" s="20">
        <f>SUMIFS('Registre de reserves'!$P$2:$P$1178,'Registre de reserves'!$T$2:$T$1178,"NO",'Registre de reserves'!$I$2:$I$1178,'2025'!$A21,'Registre de reserves'!$B$2:$B$1178,'2025'!J$2,Tabla1[ANY],'2025'!$Z$2)+SUMIFS('Registre de reserves'!$P$2:$P$1178,'Registre de reserves'!$T$2:$T$1178,"RESERVA",'Registre de reserves'!$I$2:$I$1178,'2025'!$A21,'Registre de reserves'!$B$2:$B$1178,'2025'!J$2,Tabla1[ANY],'2025'!$Z$2)-SUMIFS('Registre de reserves'!$U$2:$U$1178,'Registre de reserves'!$T$2:$T$1178,"RESERVA",'Registre de reserves'!$I$2:$I$1178,'2025'!$A21,'Registre de reserves'!$B$2:$B$1178,'2025'!J$2,Tabla1[ANY],'2025'!$Z$2)</f>
        <v>0</v>
      </c>
      <c r="K21" s="21">
        <f t="shared" si="20"/>
        <v>0</v>
      </c>
      <c r="L21" s="20">
        <f>SUMIFS('Registre de reserves'!$P$2:$P$1178,'Registre de reserves'!$T$2:$T$1178,"NO",'Registre de reserves'!$I$2:$I$1178,'2025'!$A21,'Registre de reserves'!$B$2:$B$1178,'2025'!L$2,Tabla1[ANY],'2025'!$Z$2)+SUMIFS('Registre de reserves'!$P$2:$P$1178,'Registre de reserves'!$T$2:$T$1178,"RESERVA",'Registre de reserves'!$I$2:$I$1178,'2025'!$A21,'Registre de reserves'!$B$2:$B$1178,'2025'!L$2,Tabla1[ANY],'2025'!$Z$2)-SUMIFS('Registre de reserves'!$U$2:$U$1178,'Registre de reserves'!$T$2:$T$1178,"RESERVA",'Registre de reserves'!$I$2:$I$1178,'2025'!$A21,'Registre de reserves'!$B$2:$B$1178,'2025'!L$2,Tabla1[ANY],'2025'!$Z$2)</f>
        <v>0</v>
      </c>
      <c r="M21" s="21">
        <f t="shared" si="21"/>
        <v>0</v>
      </c>
      <c r="N21" s="20">
        <f>SUMIFS('Registre de reserves'!$P$2:$P$1178,'Registre de reserves'!$T$2:$T$1178,"NO",'Registre de reserves'!$I$2:$I$1178,'2025'!$A21,'Registre de reserves'!$B$2:$B$1178,'2025'!N$2,Tabla1[ANY],'2025'!$Z$2)+SUMIFS('Registre de reserves'!$P$2:$P$1178,'Registre de reserves'!$T$2:$T$1178,"RESERVA",'Registre de reserves'!$I$2:$I$1178,'2025'!$A21,'Registre de reserves'!$B$2:$B$1178,'2025'!N$2,Tabla1[ANY],'2025'!$Z$2)-SUMIFS('Registre de reserves'!$U$2:$U$1178,'Registre de reserves'!$T$2:$T$1178,"RESERVA",'Registre de reserves'!$I$2:$I$1178,'2025'!$A21,'Registre de reserves'!$B$2:$B$1178,'2025'!N$2,Tabla1[ANY],'2025'!$Z$2)</f>
        <v>0</v>
      </c>
      <c r="O21" s="21">
        <f t="shared" si="22"/>
        <v>0</v>
      </c>
      <c r="P21" s="20">
        <f>SUMIFS('Registre de reserves'!$P$2:$P$1178,'Registre de reserves'!$T$2:$T$1178,"NO",'Registre de reserves'!$I$2:$I$1178,'2025'!$A21,'Registre de reserves'!$B$2:$B$1178,'2025'!P$2,Tabla1[ANY],'2025'!$Z$2)+SUMIFS('Registre de reserves'!$P$2:$P$1178,'Registre de reserves'!$T$2:$T$1178,"RESERVA",'Registre de reserves'!$I$2:$I$1178,'2025'!$A21,'Registre de reserves'!$B$2:$B$1178,'2025'!P$2,Tabla1[ANY],'2025'!$Z$2)-SUMIFS('Registre de reserves'!$U$2:$U$1178,'Registre de reserves'!$T$2:$T$1178,"RESERVA",'Registre de reserves'!$I$2:$I$1178,'2025'!$A21,'Registre de reserves'!$B$2:$B$1178,'2025'!P$2,Tabla1[ANY],'2025'!$Z$2)</f>
        <v>0</v>
      </c>
      <c r="Q21" s="21">
        <f t="shared" si="23"/>
        <v>0</v>
      </c>
      <c r="R21" s="20">
        <f>SUMIFS('Registre de reserves'!$P$2:$P$1178,'Registre de reserves'!$T$2:$T$1178,"NO",'Registre de reserves'!$I$2:$I$1178,'2025'!$A21,'Registre de reserves'!$B$2:$B$1178,'2025'!R$2,Tabla1[ANY],'2025'!$Z$2)+SUMIFS('Registre de reserves'!$P$2:$P$1178,'Registre de reserves'!$T$2:$T$1178,"RESERVA",'Registre de reserves'!$I$2:$I$1178,'2025'!$A21,'Registre de reserves'!$B$2:$B$1178,'2025'!R$2,Tabla1[ANY],'2025'!$Z$2)-SUMIFS('Registre de reserves'!$U$2:$U$1178,'Registre de reserves'!$T$2:$T$1178,"RESERVA",'Registre de reserves'!$I$2:$I$1178,'2025'!$A21,'Registre de reserves'!$B$2:$B$1178,'2025'!R$2,Tabla1[ANY],'2025'!$Z$2)</f>
        <v>0</v>
      </c>
      <c r="S21" s="21">
        <f t="shared" si="24"/>
        <v>0</v>
      </c>
      <c r="T21" s="20">
        <f>SUMIFS('Registre de reserves'!$P$2:$P$1178,'Registre de reserves'!$T$2:$T$1178,"NO",'Registre de reserves'!$I$2:$I$1178,'2025'!$A21,'Registre de reserves'!$B$2:$B$1178,'2025'!T$2,Tabla1[ANY],'2025'!$Z$2)+SUMIFS('Registre de reserves'!$P$2:$P$1178,'Registre de reserves'!$T$2:$T$1178,"RESERVA",'Registre de reserves'!$I$2:$I$1178,'2025'!$A21,'Registre de reserves'!$B$2:$B$1178,'2025'!T$2,Tabla1[ANY],'2025'!$Z$2)-SUMIFS('Registre de reserves'!$U$2:$U$1178,'Registre de reserves'!$T$2:$T$1178,"RESERVA",'Registre de reserves'!$I$2:$I$1178,'2025'!$A21,'Registre de reserves'!$B$2:$B$1178,'2025'!T$2,Tabla1[ANY],'2025'!$Z$2)</f>
        <v>0</v>
      </c>
      <c r="U21" s="21">
        <f t="shared" si="25"/>
        <v>0</v>
      </c>
      <c r="V21" s="20">
        <f>SUMIFS('Registre de reserves'!$P$2:$P$1178,'Registre de reserves'!$T$2:$T$1178,"NO",'Registre de reserves'!$I$2:$I$1178,'2025'!$A21,'Registre de reserves'!$B$2:$B$1178,'2025'!V$2,Tabla1[ANY],'2025'!$Z$2)+SUMIFS('Registre de reserves'!$P$2:$P$1178,'Registre de reserves'!$T$2:$T$1178,"RESERVA",'Registre de reserves'!$I$2:$I$1178,'2025'!$A21,'Registre de reserves'!$B$2:$B$1178,'2025'!V$2,Tabla1[ANY],'2025'!$Z$2)-SUMIFS('Registre de reserves'!$U$2:$U$1178,'Registre de reserves'!$T$2:$T$1178,"RESERVA",'Registre de reserves'!$I$2:$I$1178,'2025'!$A21,'Registre de reserves'!$B$2:$B$1178,'2025'!V$2,Tabla1[ANY],'2025'!$Z$2)</f>
        <v>0</v>
      </c>
      <c r="W21" s="21">
        <f t="shared" si="26"/>
        <v>0</v>
      </c>
      <c r="X21" s="20">
        <f>SUMIFS('Registre de reserves'!$P$2:$P$1178,'Registre de reserves'!$T$2:$T$1178,"NO",'Registre de reserves'!$I$2:$I$1178,'2025'!$A21,'Registre de reserves'!$B$2:$B$1178,'2025'!X$2,Tabla1[ANY],'2025'!$Z$2)+SUMIFS('Registre de reserves'!$P$2:$P$1178,'Registre de reserves'!$T$2:$T$1178,"RESERVA",'Registre de reserves'!$I$2:$I$1178,'2025'!$A21,'Registre de reserves'!$B$2:$B$1178,'2025'!X$2,Tabla1[ANY],'2025'!$Z$2)-SUMIFS('Registre de reserves'!$U$2:$U$1178,'Registre de reserves'!$T$2:$T$1178,"RESERVA",'Registre de reserves'!$I$2:$I$1178,'2025'!$A21,'Registre de reserves'!$B$2:$B$1178,'2025'!X$2,Tabla1[ANY],'2025'!$Z$2)</f>
        <v>0</v>
      </c>
      <c r="Y21" s="21">
        <f t="shared" si="27"/>
        <v>0</v>
      </c>
      <c r="Z21" s="20">
        <f t="shared" si="28"/>
        <v>0</v>
      </c>
      <c r="AA21" s="21">
        <f t="shared" si="29"/>
        <v>0</v>
      </c>
      <c r="AB21" s="178">
        <f t="shared" si="2"/>
        <v>0</v>
      </c>
    </row>
    <row r="22" spans="1:28" collapsed="1" x14ac:dyDescent="0.2">
      <c r="A22" s="33" t="s">
        <v>75</v>
      </c>
      <c r="B22" s="22">
        <f>SUM(B23:B30)</f>
        <v>300</v>
      </c>
      <c r="C22" s="19">
        <f>IF(B$3=0,0,B22/B$3)</f>
        <v>6.1664953751284689E-2</v>
      </c>
      <c r="D22" s="22">
        <f>SUM(D23:D30)</f>
        <v>80</v>
      </c>
      <c r="E22" s="19">
        <f>IF(D$3=0,0,D22/D$3)</f>
        <v>2.1828103683492497E-2</v>
      </c>
      <c r="F22" s="22">
        <f>SUM(F23:F30)</f>
        <v>0</v>
      </c>
      <c r="G22" s="19">
        <f>IF(F$3=0,0,F22/F$3)</f>
        <v>0</v>
      </c>
      <c r="H22" s="22">
        <f>SUM(H23:H30)</f>
        <v>180</v>
      </c>
      <c r="I22" s="19">
        <f>IF(H$3=0,0,H22/H$3)</f>
        <v>5.5130168453292494E-2</v>
      </c>
      <c r="J22" s="22">
        <f>SUM(J23:J30)</f>
        <v>90</v>
      </c>
      <c r="K22" s="19">
        <f>IF(J$3=0,0,J22/J$3)</f>
        <v>2.3809523809523808E-2</v>
      </c>
      <c r="L22" s="22">
        <f>SUM(L23:L30)</f>
        <v>60</v>
      </c>
      <c r="M22" s="19">
        <f>IF(L$3=0,0,L22/L$3)</f>
        <v>1.7543859649122806E-2</v>
      </c>
      <c r="N22" s="22">
        <f>SUM(N23:N30)</f>
        <v>0</v>
      </c>
      <c r="O22" s="19">
        <f>IF(N$3=0,0,N22/N$3)</f>
        <v>0</v>
      </c>
      <c r="P22" s="22">
        <f>SUM(P23:P30)</f>
        <v>0</v>
      </c>
      <c r="Q22" s="19">
        <f>IF(P$3=0,0,P22/P$3)</f>
        <v>0</v>
      </c>
      <c r="R22" s="22">
        <f>SUM(R23:R30)</f>
        <v>0</v>
      </c>
      <c r="S22" s="19">
        <f>IF(R$3=0,0,R22/R$3)</f>
        <v>0</v>
      </c>
      <c r="T22" s="22">
        <f>SUM(T23:T30)</f>
        <v>0</v>
      </c>
      <c r="U22" s="19">
        <f>IF(T$3=0,0,T22/T$3)</f>
        <v>0</v>
      </c>
      <c r="V22" s="22">
        <f>SUM(V23:V30)</f>
        <v>0</v>
      </c>
      <c r="W22" s="19">
        <f>IF(V$3=0,0,V22/V$3)</f>
        <v>0</v>
      </c>
      <c r="X22" s="22">
        <f>SUM(X23:X30)</f>
        <v>0</v>
      </c>
      <c r="Y22" s="19">
        <f>IF(X$3=0,0,X22/X$3)</f>
        <v>0</v>
      </c>
      <c r="Z22" s="18">
        <f>SUM(Z23:Z30)</f>
        <v>710</v>
      </c>
      <c r="AA22" s="19">
        <f>IF(Z$3=0,0,Z22/Z$3)</f>
        <v>3.090988245537658E-2</v>
      </c>
      <c r="AB22" s="178">
        <f t="shared" si="2"/>
        <v>118.33333333333333</v>
      </c>
    </row>
    <row r="23" spans="1:28" hidden="1" outlineLevel="1" x14ac:dyDescent="0.2">
      <c r="A23" s="8" t="s">
        <v>67</v>
      </c>
      <c r="B23" s="23">
        <f>SUMIFS('Registre de reserves'!$R$2:$R$1178,'Registre de reserves'!$T$2:$T$1178,"SI",'Registre de reserves'!$I$2:$I$1178,'2025'!$A23,'Registre de reserves'!$B$2:$B$1178,'2025'!B$2,Tabla1[ANY],'2025'!$Z$2)</f>
        <v>0</v>
      </c>
      <c r="C23" s="21">
        <f>IF(B$22=0,0,B23/B$22)</f>
        <v>0</v>
      </c>
      <c r="D23" s="23">
        <f>SUMIFS('Registre de reserves'!$R$2:$R$1178,'Registre de reserves'!$T$2:$T$1178,"SI",'Registre de reserves'!$I$2:$I$1178,'2025'!$A23,'Registre de reserves'!$B$2:$B$1178,'2025'!D$2,Tabla1[ANY],'2025'!$Z$2)</f>
        <v>20</v>
      </c>
      <c r="E23" s="21">
        <f>IF(D$22=0,0,D23/D$22)</f>
        <v>0.25</v>
      </c>
      <c r="F23" s="23">
        <f>SUMIFS('Registre de reserves'!$R$2:$R$1178,'Registre de reserves'!$T$2:$T$1178,"SI",'Registre de reserves'!$I$2:$I$1178,'2025'!$A23,'Registre de reserves'!$B$2:$B$1178,'2025'!F$2,Tabla1[ANY],'2025'!$Z$2)</f>
        <v>0</v>
      </c>
      <c r="G23" s="21">
        <f t="shared" ref="G23:G30" si="30">IF(F$22=0,0,F23/F$22)</f>
        <v>0</v>
      </c>
      <c r="H23" s="23">
        <f>SUMIFS('Registre de reserves'!$R$2:$R$1178,'Registre de reserves'!$T$2:$T$1178,"SI",'Registre de reserves'!$I$2:$I$1178,'2025'!$A23,'Registre de reserves'!$B$2:$B$1178,'2025'!H$2,Tabla1[ANY],'2025'!$Z$2)</f>
        <v>0</v>
      </c>
      <c r="I23" s="21">
        <f t="shared" ref="I23:I30" si="31">IF(H$22=0,0,H23/H$22)</f>
        <v>0</v>
      </c>
      <c r="J23" s="23">
        <f>SUMIFS('Registre de reserves'!$R$2:$R$1178,'Registre de reserves'!$T$2:$T$1178,"SI",'Registre de reserves'!$I$2:$I$1178,'2025'!$A23,'Registre de reserves'!$B$2:$B$1178,'2025'!J$2,Tabla1[ANY],'2025'!$Z$2)</f>
        <v>0</v>
      </c>
      <c r="K23" s="21">
        <f t="shared" ref="K23:K30" si="32">IF(J$22=0,0,J23/J$22)</f>
        <v>0</v>
      </c>
      <c r="L23" s="23">
        <f>SUMIFS('Registre de reserves'!$R$2:$R$1178,'Registre de reserves'!$T$2:$T$1178,"SI",'Registre de reserves'!$I$2:$I$1178,'2025'!$A23,'Registre de reserves'!$B$2:$B$1178,'2025'!L$2,Tabla1[ANY],'2025'!$Z$2)</f>
        <v>0</v>
      </c>
      <c r="M23" s="21">
        <f t="shared" ref="M23:M30" si="33">IF(L$22=0,0,L23/L$22)</f>
        <v>0</v>
      </c>
      <c r="N23" s="23">
        <f>SUMIFS('Registre de reserves'!$R$2:$R$1178,'Registre de reserves'!$T$2:$T$1178,"SI",'Registre de reserves'!$I$2:$I$1178,'2025'!$A23,'Registre de reserves'!$B$2:$B$1178,'2025'!N$2,Tabla1[ANY],'2025'!$Z$2)</f>
        <v>0</v>
      </c>
      <c r="O23" s="21">
        <f t="shared" ref="O23:O30" si="34">IF(N$22=0,0,N23/N$22)</f>
        <v>0</v>
      </c>
      <c r="P23" s="23">
        <f>SUMIFS('Registre de reserves'!$R$2:$R$1178,'Registre de reserves'!$T$2:$T$1178,"SI",'Registre de reserves'!$I$2:$I$1178,'2025'!$A23,'Registre de reserves'!$B$2:$B$1178,'2025'!P$2,Tabla1[ANY],'2025'!$Z$2)</f>
        <v>0</v>
      </c>
      <c r="Q23" s="21">
        <f t="shared" ref="Q23:Q30" si="35">IF(P$22=0,0,P23/P$22)</f>
        <v>0</v>
      </c>
      <c r="R23" s="23">
        <f>SUMIFS('Registre de reserves'!$R$2:$R$1178,'Registre de reserves'!$T$2:$T$1178,"SI",'Registre de reserves'!$I$2:$I$1178,'2025'!$A23,'Registre de reserves'!$B$2:$B$1178,'2025'!R$2,Tabla1[ANY],'2025'!$Z$2)</f>
        <v>0</v>
      </c>
      <c r="S23" s="21">
        <f t="shared" ref="S23:S30" si="36">IF(R$22=0,0,R23/R$22)</f>
        <v>0</v>
      </c>
      <c r="T23" s="23">
        <f>SUMIFS('Registre de reserves'!$R$2:$R$1178,'Registre de reserves'!$T$2:$T$1178,"SI",'Registre de reserves'!$I$2:$I$1178,'2025'!$A23,'Registre de reserves'!$B$2:$B$1178,'2025'!T$2,Tabla1[ANY],'2025'!$Z$2)</f>
        <v>0</v>
      </c>
      <c r="U23" s="21">
        <f t="shared" ref="U23:U30" si="37">IF(T$22=0,0,T23/T$22)</f>
        <v>0</v>
      </c>
      <c r="V23" s="23">
        <f>SUMIFS('Registre de reserves'!$R$2:$R$1178,'Registre de reserves'!$T$2:$T$1178,"SI",'Registre de reserves'!$I$2:$I$1178,'2025'!$A23,'Registre de reserves'!$B$2:$B$1178,'2025'!V$2,Tabla1[ANY],'2025'!$Z$2)</f>
        <v>0</v>
      </c>
      <c r="W23" s="21">
        <f t="shared" ref="W23:W30" si="38">IF(V$22=0,0,V23/V$22)</f>
        <v>0</v>
      </c>
      <c r="X23" s="23">
        <f>SUMIFS('Registre de reserves'!$R$2:$R$1178,'Registre de reserves'!$T$2:$T$1178,"SI",'Registre de reserves'!$I$2:$I$1178,'2025'!$A23,'Registre de reserves'!$B$2:$B$1178,'2025'!X$2,Tabla1[ANY],'2025'!$Z$2)</f>
        <v>0</v>
      </c>
      <c r="Y23" s="21">
        <f t="shared" ref="Y23:Y30" si="39">IF(X$22=0,0,X23/X$22)</f>
        <v>0</v>
      </c>
      <c r="Z23" s="20">
        <f>B23+D23+F23+H23+J23+L23+N23+P23+R23+T23+V23+X23</f>
        <v>20</v>
      </c>
      <c r="AA23" s="21">
        <f>IF(Z$22=0,0,Z23/Z$22)</f>
        <v>2.8169014084507043E-2</v>
      </c>
      <c r="AB23" s="178">
        <f t="shared" si="2"/>
        <v>3.3333333333333335</v>
      </c>
    </row>
    <row r="24" spans="1:28" hidden="1" outlineLevel="1" x14ac:dyDescent="0.2">
      <c r="A24" s="8" t="s">
        <v>68</v>
      </c>
      <c r="B24" s="23">
        <f>SUMIFS('Registre de reserves'!$R$2:$R$1178,'Registre de reserves'!$T$2:$T$1178,"SI",'Registre de reserves'!$I$2:$I$1178,'2025'!$A24,'Registre de reserves'!$B$2:$B$1178,'2025'!B$2,Tabla1[ANY],'2025'!$Z$2)</f>
        <v>0</v>
      </c>
      <c r="C24" s="21">
        <f t="shared" ref="C24:E30" si="40">IF(B$22=0,0,B24/B$22)</f>
        <v>0</v>
      </c>
      <c r="D24" s="23">
        <f>SUMIFS('Registre de reserves'!$R$2:$R$1178,'Registre de reserves'!$T$2:$T$1178,"SI",'Registre de reserves'!$I$2:$I$1178,'2025'!$A24,'Registre de reserves'!$B$2:$B$1178,'2025'!D$2,Tabla1[ANY],'2025'!$Z$2)</f>
        <v>0</v>
      </c>
      <c r="E24" s="21">
        <f t="shared" si="40"/>
        <v>0</v>
      </c>
      <c r="F24" s="23">
        <f>SUMIFS('Registre de reserves'!$R$2:$R$1178,'Registre de reserves'!$T$2:$T$1178,"SI",'Registre de reserves'!$I$2:$I$1178,'2025'!$A24,'Registre de reserves'!$B$2:$B$1178,'2025'!F$2,Tabla1[ANY],'2025'!$Z$2)</f>
        <v>0</v>
      </c>
      <c r="G24" s="21">
        <f t="shared" si="30"/>
        <v>0</v>
      </c>
      <c r="H24" s="23">
        <f>SUMIFS('Registre de reserves'!$R$2:$R$1178,'Registre de reserves'!$T$2:$T$1178,"SI",'Registre de reserves'!$I$2:$I$1178,'2025'!$A24,'Registre de reserves'!$B$2:$B$1178,'2025'!H$2,Tabla1[ANY],'2025'!$Z$2)</f>
        <v>0</v>
      </c>
      <c r="I24" s="21">
        <f t="shared" si="31"/>
        <v>0</v>
      </c>
      <c r="J24" s="23">
        <f>SUMIFS('Registre de reserves'!$R$2:$R$1178,'Registre de reserves'!$T$2:$T$1178,"SI",'Registre de reserves'!$I$2:$I$1178,'2025'!$A24,'Registre de reserves'!$B$2:$B$1178,'2025'!J$2,Tabla1[ANY],'2025'!$Z$2)</f>
        <v>30</v>
      </c>
      <c r="K24" s="21">
        <f t="shared" si="32"/>
        <v>0.33333333333333331</v>
      </c>
      <c r="L24" s="23">
        <f>SUMIFS('Registre de reserves'!$R$2:$R$1178,'Registre de reserves'!$T$2:$T$1178,"SI",'Registre de reserves'!$I$2:$I$1178,'2025'!$A24,'Registre de reserves'!$B$2:$B$1178,'2025'!L$2,Tabla1[ANY],'2025'!$Z$2)</f>
        <v>0</v>
      </c>
      <c r="M24" s="21">
        <f t="shared" si="33"/>
        <v>0</v>
      </c>
      <c r="N24" s="23">
        <f>SUMIFS('Registre de reserves'!$R$2:$R$1178,'Registre de reserves'!$T$2:$T$1178,"SI",'Registre de reserves'!$I$2:$I$1178,'2025'!$A24,'Registre de reserves'!$B$2:$B$1178,'2025'!N$2,Tabla1[ANY],'2025'!$Z$2)</f>
        <v>0</v>
      </c>
      <c r="O24" s="21">
        <f t="shared" si="34"/>
        <v>0</v>
      </c>
      <c r="P24" s="23">
        <f>SUMIFS('Registre de reserves'!$R$2:$R$1178,'Registre de reserves'!$T$2:$T$1178,"SI",'Registre de reserves'!$I$2:$I$1178,'2025'!$A24,'Registre de reserves'!$B$2:$B$1178,'2025'!P$2,Tabla1[ANY],'2025'!$Z$2)</f>
        <v>0</v>
      </c>
      <c r="Q24" s="21">
        <f t="shared" si="35"/>
        <v>0</v>
      </c>
      <c r="R24" s="23">
        <f>SUMIFS('Registre de reserves'!$R$2:$R$1178,'Registre de reserves'!$T$2:$T$1178,"SI",'Registre de reserves'!$I$2:$I$1178,'2025'!$A24,'Registre de reserves'!$B$2:$B$1178,'2025'!R$2,Tabla1[ANY],'2025'!$Z$2)</f>
        <v>0</v>
      </c>
      <c r="S24" s="21">
        <f t="shared" si="36"/>
        <v>0</v>
      </c>
      <c r="T24" s="23">
        <f>SUMIFS('Registre de reserves'!$R$2:$R$1178,'Registre de reserves'!$T$2:$T$1178,"SI",'Registre de reserves'!$I$2:$I$1178,'2025'!$A24,'Registre de reserves'!$B$2:$B$1178,'2025'!T$2,Tabla1[ANY],'2025'!$Z$2)</f>
        <v>0</v>
      </c>
      <c r="U24" s="21">
        <f t="shared" si="37"/>
        <v>0</v>
      </c>
      <c r="V24" s="23">
        <f>SUMIFS('Registre de reserves'!$R$2:$R$1178,'Registre de reserves'!$T$2:$T$1178,"SI",'Registre de reserves'!$I$2:$I$1178,'2025'!$A24,'Registre de reserves'!$B$2:$B$1178,'2025'!V$2,Tabla1[ANY],'2025'!$Z$2)</f>
        <v>0</v>
      </c>
      <c r="W24" s="21">
        <f t="shared" si="38"/>
        <v>0</v>
      </c>
      <c r="X24" s="23">
        <f>SUMIFS('Registre de reserves'!$R$2:$R$1178,'Registre de reserves'!$T$2:$T$1178,"SI",'Registre de reserves'!$I$2:$I$1178,'2025'!$A24,'Registre de reserves'!$B$2:$B$1178,'2025'!X$2,Tabla1[ANY],'2025'!$Z$2)</f>
        <v>0</v>
      </c>
      <c r="Y24" s="21">
        <f t="shared" si="39"/>
        <v>0</v>
      </c>
      <c r="Z24" s="20">
        <f t="shared" ref="Z24:Z30" si="41">B24+D24+F24+H24+J24+L24+N24+P24+R24+T24+V24+X24</f>
        <v>30</v>
      </c>
      <c r="AA24" s="21">
        <f t="shared" ref="AA24:AA30" si="42">IF(Z$22=0,0,Z24/Z$22)</f>
        <v>4.2253521126760563E-2</v>
      </c>
      <c r="AB24" s="178">
        <f t="shared" si="2"/>
        <v>5</v>
      </c>
    </row>
    <row r="25" spans="1:28" hidden="1" outlineLevel="1" x14ac:dyDescent="0.2">
      <c r="A25" s="8" t="s">
        <v>4</v>
      </c>
      <c r="B25" s="23">
        <f>SUMIFS('Registre de reserves'!$R$2:$R$1178,'Registre de reserves'!$T$2:$T$1178,"SI",'Registre de reserves'!$I$2:$I$1178,'2025'!$A25,'Registre de reserves'!$B$2:$B$1178,'2025'!B$2,Tabla1[ANY],'2025'!$Z$2)</f>
        <v>60</v>
      </c>
      <c r="C25" s="21">
        <f t="shared" si="40"/>
        <v>0.2</v>
      </c>
      <c r="D25" s="23">
        <f>SUMIFS('Registre de reserves'!$R$2:$R$1178,'Registre de reserves'!$T$2:$T$1178,"SI",'Registre de reserves'!$I$2:$I$1178,'2025'!$A25,'Registre de reserves'!$B$2:$B$1178,'2025'!D$2,Tabla1[ANY],'2025'!$Z$2)</f>
        <v>0</v>
      </c>
      <c r="E25" s="21">
        <f t="shared" si="40"/>
        <v>0</v>
      </c>
      <c r="F25" s="23">
        <f>SUMIFS('Registre de reserves'!$R$2:$R$1178,'Registre de reserves'!$T$2:$T$1178,"SI",'Registre de reserves'!$I$2:$I$1178,'2025'!$A25,'Registre de reserves'!$B$2:$B$1178,'2025'!F$2,Tabla1[ANY],'2025'!$Z$2)</f>
        <v>0</v>
      </c>
      <c r="G25" s="21">
        <f t="shared" si="30"/>
        <v>0</v>
      </c>
      <c r="H25" s="23">
        <f>SUMIFS('Registre de reserves'!$R$2:$R$1178,'Registre de reserves'!$T$2:$T$1178,"SI",'Registre de reserves'!$I$2:$I$1178,'2025'!$A25,'Registre de reserves'!$B$2:$B$1178,'2025'!H$2,Tabla1[ANY],'2025'!$Z$2)</f>
        <v>0</v>
      </c>
      <c r="I25" s="21">
        <f t="shared" si="31"/>
        <v>0</v>
      </c>
      <c r="J25" s="23">
        <f>SUMIFS('Registre de reserves'!$R$2:$R$1178,'Registre de reserves'!$T$2:$T$1178,"SI",'Registre de reserves'!$I$2:$I$1178,'2025'!$A25,'Registre de reserves'!$B$2:$B$1178,'2025'!J$2,Tabla1[ANY],'2025'!$Z$2)</f>
        <v>0</v>
      </c>
      <c r="K25" s="21">
        <f t="shared" si="32"/>
        <v>0</v>
      </c>
      <c r="L25" s="23">
        <f>SUMIFS('Registre de reserves'!$R$2:$R$1178,'Registre de reserves'!$T$2:$T$1178,"SI",'Registre de reserves'!$I$2:$I$1178,'2025'!$A25,'Registre de reserves'!$B$2:$B$1178,'2025'!L$2,Tabla1[ANY],'2025'!$Z$2)</f>
        <v>0</v>
      </c>
      <c r="M25" s="21">
        <f t="shared" si="33"/>
        <v>0</v>
      </c>
      <c r="N25" s="23">
        <f>SUMIFS('Registre de reserves'!$R$2:$R$1178,'Registre de reserves'!$T$2:$T$1178,"SI",'Registre de reserves'!$I$2:$I$1178,'2025'!$A25,'Registre de reserves'!$B$2:$B$1178,'2025'!N$2,Tabla1[ANY],'2025'!$Z$2)</f>
        <v>0</v>
      </c>
      <c r="O25" s="21">
        <f t="shared" si="34"/>
        <v>0</v>
      </c>
      <c r="P25" s="23">
        <f>SUMIFS('Registre de reserves'!$R$2:$R$1178,'Registre de reserves'!$T$2:$T$1178,"SI",'Registre de reserves'!$I$2:$I$1178,'2025'!$A25,'Registre de reserves'!$B$2:$B$1178,'2025'!P$2,Tabla1[ANY],'2025'!$Z$2)</f>
        <v>0</v>
      </c>
      <c r="Q25" s="21">
        <f t="shared" si="35"/>
        <v>0</v>
      </c>
      <c r="R25" s="23">
        <f>SUMIFS('Registre de reserves'!$R$2:$R$1178,'Registre de reserves'!$T$2:$T$1178,"SI",'Registre de reserves'!$I$2:$I$1178,'2025'!$A25,'Registre de reserves'!$B$2:$B$1178,'2025'!R$2,Tabla1[ANY],'2025'!$Z$2)</f>
        <v>0</v>
      </c>
      <c r="S25" s="21">
        <f t="shared" si="36"/>
        <v>0</v>
      </c>
      <c r="T25" s="23">
        <f>SUMIFS('Registre de reserves'!$R$2:$R$1178,'Registre de reserves'!$T$2:$T$1178,"SI",'Registre de reserves'!$I$2:$I$1178,'2025'!$A25,'Registre de reserves'!$B$2:$B$1178,'2025'!T$2,Tabla1[ANY],'2025'!$Z$2)</f>
        <v>0</v>
      </c>
      <c r="U25" s="21">
        <f t="shared" si="37"/>
        <v>0</v>
      </c>
      <c r="V25" s="23">
        <f>SUMIFS('Registre de reserves'!$R$2:$R$1178,'Registre de reserves'!$T$2:$T$1178,"SI",'Registre de reserves'!$I$2:$I$1178,'2025'!$A25,'Registre de reserves'!$B$2:$B$1178,'2025'!V$2,Tabla1[ANY],'2025'!$Z$2)</f>
        <v>0</v>
      </c>
      <c r="W25" s="21">
        <f t="shared" si="38"/>
        <v>0</v>
      </c>
      <c r="X25" s="23">
        <f>SUMIFS('Registre de reserves'!$R$2:$R$1178,'Registre de reserves'!$T$2:$T$1178,"SI",'Registre de reserves'!$I$2:$I$1178,'2025'!$A25,'Registre de reserves'!$B$2:$B$1178,'2025'!X$2,Tabla1[ANY],'2025'!$Z$2)</f>
        <v>0</v>
      </c>
      <c r="Y25" s="21">
        <f t="shared" si="39"/>
        <v>0</v>
      </c>
      <c r="Z25" s="20">
        <f t="shared" si="41"/>
        <v>60</v>
      </c>
      <c r="AA25" s="21">
        <f t="shared" si="42"/>
        <v>8.4507042253521125E-2</v>
      </c>
      <c r="AB25" s="178">
        <f t="shared" si="2"/>
        <v>10</v>
      </c>
    </row>
    <row r="26" spans="1:28" hidden="1" outlineLevel="1" x14ac:dyDescent="0.2">
      <c r="A26" s="8" t="s">
        <v>71</v>
      </c>
      <c r="B26" s="23">
        <f>SUMIFS('Registre de reserves'!$R$2:$R$1178,'Registre de reserves'!$T$2:$T$1178,"SI",'Registre de reserves'!$I$2:$I$1178,'2025'!$A26,'Registre de reserves'!$B$2:$B$1178,'2025'!B$2,Tabla1[ANY],'2025'!$Z$2)</f>
        <v>0</v>
      </c>
      <c r="C26" s="21">
        <f t="shared" si="40"/>
        <v>0</v>
      </c>
      <c r="D26" s="23">
        <f>SUMIFS('Registre de reserves'!$R$2:$R$1178,'Registre de reserves'!$T$2:$T$1178,"SI",'Registre de reserves'!$I$2:$I$1178,'2025'!$A26,'Registre de reserves'!$B$2:$B$1178,'2025'!D$2,Tabla1[ANY],'2025'!$Z$2)</f>
        <v>0</v>
      </c>
      <c r="E26" s="21">
        <f t="shared" si="40"/>
        <v>0</v>
      </c>
      <c r="F26" s="23">
        <f>SUMIFS('Registre de reserves'!$R$2:$R$1178,'Registre de reserves'!$T$2:$T$1178,"SI",'Registre de reserves'!$I$2:$I$1178,'2025'!$A26,'Registre de reserves'!$B$2:$B$1178,'2025'!F$2,Tabla1[ANY],'2025'!$Z$2)</f>
        <v>0</v>
      </c>
      <c r="G26" s="21">
        <f t="shared" si="30"/>
        <v>0</v>
      </c>
      <c r="H26" s="23">
        <f>SUMIFS('Registre de reserves'!$R$2:$R$1178,'Registre de reserves'!$T$2:$T$1178,"SI",'Registre de reserves'!$I$2:$I$1178,'2025'!$A26,'Registre de reserves'!$B$2:$B$1178,'2025'!H$2,Tabla1[ANY],'2025'!$Z$2)</f>
        <v>0</v>
      </c>
      <c r="I26" s="21">
        <f t="shared" si="31"/>
        <v>0</v>
      </c>
      <c r="J26" s="23">
        <f>SUMIFS('Registre de reserves'!$R$2:$R$1178,'Registre de reserves'!$T$2:$T$1178,"SI",'Registre de reserves'!$I$2:$I$1178,'2025'!$A26,'Registre de reserves'!$B$2:$B$1178,'2025'!J$2,Tabla1[ANY],'2025'!$Z$2)</f>
        <v>0</v>
      </c>
      <c r="K26" s="21">
        <f t="shared" si="32"/>
        <v>0</v>
      </c>
      <c r="L26" s="23">
        <f>SUMIFS('Registre de reserves'!$R$2:$R$1178,'Registre de reserves'!$T$2:$T$1178,"SI",'Registre de reserves'!$I$2:$I$1178,'2025'!$A26,'Registre de reserves'!$B$2:$B$1178,'2025'!L$2,Tabla1[ANY],'2025'!$Z$2)</f>
        <v>0</v>
      </c>
      <c r="M26" s="21">
        <f t="shared" si="33"/>
        <v>0</v>
      </c>
      <c r="N26" s="23">
        <f>SUMIFS('Registre de reserves'!$R$2:$R$1178,'Registre de reserves'!$T$2:$T$1178,"SI",'Registre de reserves'!$I$2:$I$1178,'2025'!$A26,'Registre de reserves'!$B$2:$B$1178,'2025'!N$2,Tabla1[ANY],'2025'!$Z$2)</f>
        <v>0</v>
      </c>
      <c r="O26" s="21">
        <f t="shared" si="34"/>
        <v>0</v>
      </c>
      <c r="P26" s="23">
        <f>SUMIFS('Registre de reserves'!$R$2:$R$1178,'Registre de reserves'!$T$2:$T$1178,"SI",'Registre de reserves'!$I$2:$I$1178,'2025'!$A26,'Registre de reserves'!$B$2:$B$1178,'2025'!P$2,Tabla1[ANY],'2025'!$Z$2)</f>
        <v>0</v>
      </c>
      <c r="Q26" s="21">
        <f t="shared" si="35"/>
        <v>0</v>
      </c>
      <c r="R26" s="23">
        <f>SUMIFS('Registre de reserves'!$R$2:$R$1178,'Registre de reserves'!$T$2:$T$1178,"SI",'Registre de reserves'!$I$2:$I$1178,'2025'!$A26,'Registre de reserves'!$B$2:$B$1178,'2025'!R$2,Tabla1[ANY],'2025'!$Z$2)</f>
        <v>0</v>
      </c>
      <c r="S26" s="21">
        <f t="shared" si="36"/>
        <v>0</v>
      </c>
      <c r="T26" s="23">
        <f>SUMIFS('Registre de reserves'!$R$2:$R$1178,'Registre de reserves'!$T$2:$T$1178,"SI",'Registre de reserves'!$I$2:$I$1178,'2025'!$A26,'Registre de reserves'!$B$2:$B$1178,'2025'!T$2,Tabla1[ANY],'2025'!$Z$2)</f>
        <v>0</v>
      </c>
      <c r="U26" s="21">
        <f t="shared" si="37"/>
        <v>0</v>
      </c>
      <c r="V26" s="23">
        <f>SUMIFS('Registre de reserves'!$R$2:$R$1178,'Registre de reserves'!$T$2:$T$1178,"SI",'Registre de reserves'!$I$2:$I$1178,'2025'!$A26,'Registre de reserves'!$B$2:$B$1178,'2025'!V$2,Tabla1[ANY],'2025'!$Z$2)</f>
        <v>0</v>
      </c>
      <c r="W26" s="21">
        <f t="shared" si="38"/>
        <v>0</v>
      </c>
      <c r="X26" s="23">
        <f>SUMIFS('Registre de reserves'!$R$2:$R$1178,'Registre de reserves'!$T$2:$T$1178,"SI",'Registre de reserves'!$I$2:$I$1178,'2025'!$A26,'Registre de reserves'!$B$2:$B$1178,'2025'!X$2,Tabla1[ANY],'2025'!$Z$2)</f>
        <v>0</v>
      </c>
      <c r="Y26" s="21">
        <f t="shared" si="39"/>
        <v>0</v>
      </c>
      <c r="Z26" s="20">
        <f t="shared" si="41"/>
        <v>0</v>
      </c>
      <c r="AA26" s="21">
        <f t="shared" si="42"/>
        <v>0</v>
      </c>
      <c r="AB26" s="178">
        <f t="shared" si="2"/>
        <v>0</v>
      </c>
    </row>
    <row r="27" spans="1:28" hidden="1" outlineLevel="1" x14ac:dyDescent="0.2">
      <c r="A27" s="8" t="s">
        <v>72</v>
      </c>
      <c r="B27" s="23">
        <f>SUMIFS('Registre de reserves'!$R$2:$R$1178,'Registre de reserves'!$T$2:$T$1178,"SI",'Registre de reserves'!$I$2:$I$1178,'2025'!$A27,'Registre de reserves'!$B$2:$B$1178,'2025'!B$2,Tabla1[ANY],'2025'!$Z$2)</f>
        <v>0</v>
      </c>
      <c r="C27" s="21">
        <f t="shared" si="40"/>
        <v>0</v>
      </c>
      <c r="D27" s="23">
        <f>SUMIFS('Registre de reserves'!$R$2:$R$1178,'Registre de reserves'!$T$2:$T$1178,"SI",'Registre de reserves'!$I$2:$I$1178,'2025'!$A27,'Registre de reserves'!$B$2:$B$1178,'2025'!D$2,Tabla1[ANY],'2025'!$Z$2)</f>
        <v>0</v>
      </c>
      <c r="E27" s="21">
        <f t="shared" si="40"/>
        <v>0</v>
      </c>
      <c r="F27" s="23">
        <f>SUMIFS('Registre de reserves'!$R$2:$R$1178,'Registre de reserves'!$T$2:$T$1178,"SI",'Registre de reserves'!$I$2:$I$1178,'2025'!$A27,'Registre de reserves'!$B$2:$B$1178,'2025'!F$2,Tabla1[ANY],'2025'!$Z$2)</f>
        <v>0</v>
      </c>
      <c r="G27" s="21">
        <f t="shared" si="30"/>
        <v>0</v>
      </c>
      <c r="H27" s="23">
        <f>SUMIFS('Registre de reserves'!$R$2:$R$1178,'Registre de reserves'!$T$2:$T$1178,"SI",'Registre de reserves'!$I$2:$I$1178,'2025'!$A27,'Registre de reserves'!$B$2:$B$1178,'2025'!H$2,Tabla1[ANY],'2025'!$Z$2)</f>
        <v>0</v>
      </c>
      <c r="I27" s="21">
        <f t="shared" si="31"/>
        <v>0</v>
      </c>
      <c r="J27" s="23">
        <f>SUMIFS('Registre de reserves'!$R$2:$R$1178,'Registre de reserves'!$T$2:$T$1178,"SI",'Registre de reserves'!$I$2:$I$1178,'2025'!$A27,'Registre de reserves'!$B$2:$B$1178,'2025'!J$2,Tabla1[ANY],'2025'!$Z$2)</f>
        <v>0</v>
      </c>
      <c r="K27" s="21">
        <f t="shared" si="32"/>
        <v>0</v>
      </c>
      <c r="L27" s="23">
        <f>SUMIFS('Registre de reserves'!$R$2:$R$1178,'Registre de reserves'!$T$2:$T$1178,"SI",'Registre de reserves'!$I$2:$I$1178,'2025'!$A27,'Registre de reserves'!$B$2:$B$1178,'2025'!L$2,Tabla1[ANY],'2025'!$Z$2)</f>
        <v>0</v>
      </c>
      <c r="M27" s="21">
        <f t="shared" si="33"/>
        <v>0</v>
      </c>
      <c r="N27" s="23">
        <f>SUMIFS('Registre de reserves'!$R$2:$R$1178,'Registre de reserves'!$T$2:$T$1178,"SI",'Registre de reserves'!$I$2:$I$1178,'2025'!$A27,'Registre de reserves'!$B$2:$B$1178,'2025'!N$2,Tabla1[ANY],'2025'!$Z$2)</f>
        <v>0</v>
      </c>
      <c r="O27" s="21">
        <f t="shared" si="34"/>
        <v>0</v>
      </c>
      <c r="P27" s="23">
        <f>SUMIFS('Registre de reserves'!$R$2:$R$1178,'Registre de reserves'!$T$2:$T$1178,"SI",'Registre de reserves'!$I$2:$I$1178,'2025'!$A27,'Registre de reserves'!$B$2:$B$1178,'2025'!P$2,Tabla1[ANY],'2025'!$Z$2)</f>
        <v>0</v>
      </c>
      <c r="Q27" s="21">
        <f t="shared" si="35"/>
        <v>0</v>
      </c>
      <c r="R27" s="23">
        <f>SUMIFS('Registre de reserves'!$R$2:$R$1178,'Registre de reserves'!$T$2:$T$1178,"SI",'Registre de reserves'!$I$2:$I$1178,'2025'!$A27,'Registre de reserves'!$B$2:$B$1178,'2025'!R$2,Tabla1[ANY],'2025'!$Z$2)</f>
        <v>0</v>
      </c>
      <c r="S27" s="21">
        <f t="shared" si="36"/>
        <v>0</v>
      </c>
      <c r="T27" s="23">
        <f>SUMIFS('Registre de reserves'!$R$2:$R$1178,'Registre de reserves'!$T$2:$T$1178,"SI",'Registre de reserves'!$I$2:$I$1178,'2025'!$A27,'Registre de reserves'!$B$2:$B$1178,'2025'!T$2,Tabla1[ANY],'2025'!$Z$2)</f>
        <v>0</v>
      </c>
      <c r="U27" s="21">
        <f t="shared" si="37"/>
        <v>0</v>
      </c>
      <c r="V27" s="23">
        <f>SUMIFS('Registre de reserves'!$R$2:$R$1178,'Registre de reserves'!$T$2:$T$1178,"SI",'Registre de reserves'!$I$2:$I$1178,'2025'!$A27,'Registre de reserves'!$B$2:$B$1178,'2025'!V$2,Tabla1[ANY],'2025'!$Z$2)</f>
        <v>0</v>
      </c>
      <c r="W27" s="21">
        <f t="shared" si="38"/>
        <v>0</v>
      </c>
      <c r="X27" s="23">
        <f>SUMIFS('Registre de reserves'!$R$2:$R$1178,'Registre de reserves'!$T$2:$T$1178,"SI",'Registre de reserves'!$I$2:$I$1178,'2025'!$A27,'Registre de reserves'!$B$2:$B$1178,'2025'!X$2,Tabla1[ANY],'2025'!$Z$2)</f>
        <v>0</v>
      </c>
      <c r="Y27" s="21">
        <f t="shared" si="39"/>
        <v>0</v>
      </c>
      <c r="Z27" s="20">
        <f t="shared" si="41"/>
        <v>0</v>
      </c>
      <c r="AA27" s="21">
        <f t="shared" si="42"/>
        <v>0</v>
      </c>
      <c r="AB27" s="178">
        <f t="shared" si="2"/>
        <v>0</v>
      </c>
    </row>
    <row r="28" spans="1:28" hidden="1" outlineLevel="1" x14ac:dyDescent="0.2">
      <c r="A28" s="8" t="s">
        <v>69</v>
      </c>
      <c r="B28" s="23">
        <f>SUMIFS('Registre de reserves'!$R$2:$R$1178,'Registre de reserves'!$T$2:$T$1178,"SI",'Registre de reserves'!$I$2:$I$1178,'2025'!$A28,'Registre de reserves'!$B$2:$B$1178,'2025'!B$2,Tabla1[ANY],'2025'!$Z$2)</f>
        <v>240</v>
      </c>
      <c r="C28" s="21">
        <f t="shared" si="40"/>
        <v>0.8</v>
      </c>
      <c r="D28" s="23">
        <f>SUMIFS('Registre de reserves'!$R$2:$R$1178,'Registre de reserves'!$T$2:$T$1178,"SI",'Registre de reserves'!$I$2:$I$1178,'2025'!$A28,'Registre de reserves'!$B$2:$B$1178,'2025'!D$2,Tabla1[ANY],'2025'!$Z$2)</f>
        <v>60</v>
      </c>
      <c r="E28" s="21">
        <f t="shared" si="40"/>
        <v>0.75</v>
      </c>
      <c r="F28" s="23">
        <f>SUMIFS('Registre de reserves'!$R$2:$R$1178,'Registre de reserves'!$T$2:$T$1178,"SI",'Registre de reserves'!$I$2:$I$1178,'2025'!$A28,'Registre de reserves'!$B$2:$B$1178,'2025'!F$2,Tabla1[ANY],'2025'!$Z$2)</f>
        <v>0</v>
      </c>
      <c r="G28" s="21">
        <f t="shared" si="30"/>
        <v>0</v>
      </c>
      <c r="H28" s="23">
        <f>SUMIFS('Registre de reserves'!$R$2:$R$1178,'Registre de reserves'!$T$2:$T$1178,"SI",'Registre de reserves'!$I$2:$I$1178,'2025'!$A28,'Registre de reserves'!$B$2:$B$1178,'2025'!H$2,Tabla1[ANY],'2025'!$Z$2)</f>
        <v>180</v>
      </c>
      <c r="I28" s="21">
        <f t="shared" si="31"/>
        <v>1</v>
      </c>
      <c r="J28" s="23">
        <f>SUMIFS('Registre de reserves'!$R$2:$R$1178,'Registre de reserves'!$T$2:$T$1178,"SI",'Registre de reserves'!$I$2:$I$1178,'2025'!$A28,'Registre de reserves'!$B$2:$B$1178,'2025'!J$2,Tabla1[ANY],'2025'!$Z$2)</f>
        <v>60</v>
      </c>
      <c r="K28" s="21">
        <f t="shared" si="32"/>
        <v>0.66666666666666663</v>
      </c>
      <c r="L28" s="23">
        <f>SUMIFS('Registre de reserves'!$R$2:$R$1178,'Registre de reserves'!$T$2:$T$1178,"SI",'Registre de reserves'!$I$2:$I$1178,'2025'!$A28,'Registre de reserves'!$B$2:$B$1178,'2025'!L$2,Tabla1[ANY],'2025'!$Z$2)</f>
        <v>0</v>
      </c>
      <c r="M28" s="21">
        <f t="shared" si="33"/>
        <v>0</v>
      </c>
      <c r="N28" s="23">
        <f>SUMIFS('Registre de reserves'!$R$2:$R$1178,'Registre de reserves'!$T$2:$T$1178,"SI",'Registre de reserves'!$I$2:$I$1178,'2025'!$A28,'Registre de reserves'!$B$2:$B$1178,'2025'!N$2,Tabla1[ANY],'2025'!$Z$2)</f>
        <v>0</v>
      </c>
      <c r="O28" s="21">
        <f t="shared" si="34"/>
        <v>0</v>
      </c>
      <c r="P28" s="23">
        <f>SUMIFS('Registre de reserves'!$R$2:$R$1178,'Registre de reserves'!$T$2:$T$1178,"SI",'Registre de reserves'!$I$2:$I$1178,'2025'!$A28,'Registre de reserves'!$B$2:$B$1178,'2025'!P$2,Tabla1[ANY],'2025'!$Z$2)</f>
        <v>0</v>
      </c>
      <c r="Q28" s="21">
        <f t="shared" si="35"/>
        <v>0</v>
      </c>
      <c r="R28" s="23">
        <f>SUMIFS('Registre de reserves'!$R$2:$R$1178,'Registre de reserves'!$T$2:$T$1178,"SI",'Registre de reserves'!$I$2:$I$1178,'2025'!$A28,'Registre de reserves'!$B$2:$B$1178,'2025'!R$2,Tabla1[ANY],'2025'!$Z$2)</f>
        <v>0</v>
      </c>
      <c r="S28" s="21">
        <f t="shared" si="36"/>
        <v>0</v>
      </c>
      <c r="T28" s="23">
        <f>SUMIFS('Registre de reserves'!$R$2:$R$1178,'Registre de reserves'!$T$2:$T$1178,"SI",'Registre de reserves'!$I$2:$I$1178,'2025'!$A28,'Registre de reserves'!$B$2:$B$1178,'2025'!T$2,Tabla1[ANY],'2025'!$Z$2)</f>
        <v>0</v>
      </c>
      <c r="U28" s="21">
        <f t="shared" si="37"/>
        <v>0</v>
      </c>
      <c r="V28" s="23">
        <f>SUMIFS('Registre de reserves'!$R$2:$R$1178,'Registre de reserves'!$T$2:$T$1178,"SI",'Registre de reserves'!$I$2:$I$1178,'2025'!$A28,'Registre de reserves'!$B$2:$B$1178,'2025'!V$2,Tabla1[ANY],'2025'!$Z$2)</f>
        <v>0</v>
      </c>
      <c r="W28" s="21">
        <f t="shared" si="38"/>
        <v>0</v>
      </c>
      <c r="X28" s="23">
        <f>SUMIFS('Registre de reserves'!$R$2:$R$1178,'Registre de reserves'!$T$2:$T$1178,"SI",'Registre de reserves'!$I$2:$I$1178,'2025'!$A28,'Registre de reserves'!$B$2:$B$1178,'2025'!X$2,Tabla1[ANY],'2025'!$Z$2)</f>
        <v>0</v>
      </c>
      <c r="Y28" s="21">
        <f t="shared" si="39"/>
        <v>0</v>
      </c>
      <c r="Z28" s="20">
        <f t="shared" si="41"/>
        <v>540</v>
      </c>
      <c r="AA28" s="21">
        <f t="shared" si="42"/>
        <v>0.76056338028169013</v>
      </c>
      <c r="AB28" s="178">
        <f t="shared" si="2"/>
        <v>90</v>
      </c>
    </row>
    <row r="29" spans="1:28" hidden="1" outlineLevel="1" x14ac:dyDescent="0.2">
      <c r="A29" s="8" t="s">
        <v>70</v>
      </c>
      <c r="B29" s="23">
        <f>SUMIFS('Registre de reserves'!$R$2:$R$1178,'Registre de reserves'!$T$2:$T$1178,"SI",'Registre de reserves'!$I$2:$I$1178,'2025'!$A29,'Registre de reserves'!$B$2:$B$1178,'2025'!B$2,Tabla1[ANY],'2025'!$Z$2)</f>
        <v>0</v>
      </c>
      <c r="C29" s="21">
        <f t="shared" si="40"/>
        <v>0</v>
      </c>
      <c r="D29" s="23">
        <f>SUMIFS('Registre de reserves'!$R$2:$R$1178,'Registre de reserves'!$T$2:$T$1178,"SI",'Registre de reserves'!$I$2:$I$1178,'2025'!$A29,'Registre de reserves'!$B$2:$B$1178,'2025'!D$2,Tabla1[ANY],'2025'!$Z$2)</f>
        <v>0</v>
      </c>
      <c r="E29" s="21">
        <f t="shared" si="40"/>
        <v>0</v>
      </c>
      <c r="F29" s="23">
        <f>SUMIFS('Registre de reserves'!$R$2:$R$1178,'Registre de reserves'!$T$2:$T$1178,"SI",'Registre de reserves'!$I$2:$I$1178,'2025'!$A29,'Registre de reserves'!$B$2:$B$1178,'2025'!F$2,Tabla1[ANY],'2025'!$Z$2)</f>
        <v>0</v>
      </c>
      <c r="G29" s="21">
        <f t="shared" si="30"/>
        <v>0</v>
      </c>
      <c r="H29" s="23">
        <f>SUMIFS('Registre de reserves'!$R$2:$R$1178,'Registre de reserves'!$T$2:$T$1178,"SI",'Registre de reserves'!$I$2:$I$1178,'2025'!$A29,'Registre de reserves'!$B$2:$B$1178,'2025'!H$2,Tabla1[ANY],'2025'!$Z$2)</f>
        <v>0</v>
      </c>
      <c r="I29" s="21">
        <f t="shared" si="31"/>
        <v>0</v>
      </c>
      <c r="J29" s="23">
        <f>SUMIFS('Registre de reserves'!$R$2:$R$1178,'Registre de reserves'!$T$2:$T$1178,"SI",'Registre de reserves'!$I$2:$I$1178,'2025'!$A29,'Registre de reserves'!$B$2:$B$1178,'2025'!J$2,Tabla1[ANY],'2025'!$Z$2)</f>
        <v>0</v>
      </c>
      <c r="K29" s="21">
        <f t="shared" si="32"/>
        <v>0</v>
      </c>
      <c r="L29" s="23">
        <f>SUMIFS('Registre de reserves'!$R$2:$R$1178,'Registre de reserves'!$T$2:$T$1178,"SI",'Registre de reserves'!$I$2:$I$1178,'2025'!$A29,'Registre de reserves'!$B$2:$B$1178,'2025'!L$2,Tabla1[ANY],'2025'!$Z$2)</f>
        <v>60</v>
      </c>
      <c r="M29" s="21">
        <f t="shared" si="33"/>
        <v>1</v>
      </c>
      <c r="N29" s="23">
        <f>SUMIFS('Registre de reserves'!$R$2:$R$1178,'Registre de reserves'!$T$2:$T$1178,"SI",'Registre de reserves'!$I$2:$I$1178,'2025'!$A29,'Registre de reserves'!$B$2:$B$1178,'2025'!N$2,Tabla1[ANY],'2025'!$Z$2)</f>
        <v>0</v>
      </c>
      <c r="O29" s="21">
        <f t="shared" si="34"/>
        <v>0</v>
      </c>
      <c r="P29" s="23">
        <f>SUMIFS('Registre de reserves'!$R$2:$R$1178,'Registre de reserves'!$T$2:$T$1178,"SI",'Registre de reserves'!$I$2:$I$1178,'2025'!$A29,'Registre de reserves'!$B$2:$B$1178,'2025'!P$2,Tabla1[ANY],'2025'!$Z$2)</f>
        <v>0</v>
      </c>
      <c r="Q29" s="21">
        <f t="shared" si="35"/>
        <v>0</v>
      </c>
      <c r="R29" s="23">
        <f>SUMIFS('Registre de reserves'!$R$2:$R$1178,'Registre de reserves'!$T$2:$T$1178,"SI",'Registre de reserves'!$I$2:$I$1178,'2025'!$A29,'Registre de reserves'!$B$2:$B$1178,'2025'!R$2,Tabla1[ANY],'2025'!$Z$2)</f>
        <v>0</v>
      </c>
      <c r="S29" s="21">
        <f t="shared" si="36"/>
        <v>0</v>
      </c>
      <c r="T29" s="23">
        <f>SUMIFS('Registre de reserves'!$R$2:$R$1178,'Registre de reserves'!$T$2:$T$1178,"SI",'Registre de reserves'!$I$2:$I$1178,'2025'!$A29,'Registre de reserves'!$B$2:$B$1178,'2025'!T$2,Tabla1[ANY],'2025'!$Z$2)</f>
        <v>0</v>
      </c>
      <c r="U29" s="21">
        <f t="shared" si="37"/>
        <v>0</v>
      </c>
      <c r="V29" s="23">
        <f>SUMIFS('Registre de reserves'!$R$2:$R$1178,'Registre de reserves'!$T$2:$T$1178,"SI",'Registre de reserves'!$I$2:$I$1178,'2025'!$A29,'Registre de reserves'!$B$2:$B$1178,'2025'!V$2,Tabla1[ANY],'2025'!$Z$2)</f>
        <v>0</v>
      </c>
      <c r="W29" s="21">
        <f t="shared" si="38"/>
        <v>0</v>
      </c>
      <c r="X29" s="23">
        <f>SUMIFS('Registre de reserves'!$R$2:$R$1178,'Registre de reserves'!$T$2:$T$1178,"SI",'Registre de reserves'!$I$2:$I$1178,'2025'!$A29,'Registre de reserves'!$B$2:$B$1178,'2025'!X$2,Tabla1[ANY],'2025'!$Z$2)</f>
        <v>0</v>
      </c>
      <c r="Y29" s="21">
        <f t="shared" si="39"/>
        <v>0</v>
      </c>
      <c r="Z29" s="20">
        <f t="shared" si="41"/>
        <v>60</v>
      </c>
      <c r="AA29" s="21">
        <f t="shared" si="42"/>
        <v>8.4507042253521125E-2</v>
      </c>
      <c r="AB29" s="178">
        <f t="shared" si="2"/>
        <v>10</v>
      </c>
    </row>
    <row r="30" spans="1:28" hidden="1" outlineLevel="1" x14ac:dyDescent="0.2">
      <c r="A30" s="8" t="s">
        <v>73</v>
      </c>
      <c r="B30" s="23">
        <f>SUMIFS('Registre de reserves'!$R$2:$R$1178,'Registre de reserves'!$T$2:$T$1178,"SI",'Registre de reserves'!$I$2:$I$1178,'2025'!$A30,'Registre de reserves'!$B$2:$B$1178,'2025'!B$2,Tabla1[ANY],'2025'!$Z$2)</f>
        <v>0</v>
      </c>
      <c r="C30" s="21">
        <f t="shared" si="40"/>
        <v>0</v>
      </c>
      <c r="D30" s="23">
        <f>SUMIFS('Registre de reserves'!$R$2:$R$1178,'Registre de reserves'!$T$2:$T$1178,"SI",'Registre de reserves'!$I$2:$I$1178,'2025'!$A30,'Registre de reserves'!$B$2:$B$1178,'2025'!D$2,Tabla1[ANY],'2025'!$Z$2)</f>
        <v>0</v>
      </c>
      <c r="E30" s="21">
        <f t="shared" si="40"/>
        <v>0</v>
      </c>
      <c r="F30" s="23">
        <f>SUMIFS('Registre de reserves'!$R$2:$R$1178,'Registre de reserves'!$T$2:$T$1178,"SI",'Registre de reserves'!$I$2:$I$1178,'2025'!$A30,'Registre de reserves'!$B$2:$B$1178,'2025'!F$2,Tabla1[ANY],'2025'!$Z$2)</f>
        <v>0</v>
      </c>
      <c r="G30" s="21">
        <f t="shared" si="30"/>
        <v>0</v>
      </c>
      <c r="H30" s="23">
        <f>SUMIFS('Registre de reserves'!$R$2:$R$1178,'Registre de reserves'!$T$2:$T$1178,"SI",'Registre de reserves'!$I$2:$I$1178,'2025'!$A30,'Registre de reserves'!$B$2:$B$1178,'2025'!H$2,Tabla1[ANY],'2025'!$Z$2)</f>
        <v>0</v>
      </c>
      <c r="I30" s="21">
        <f t="shared" si="31"/>
        <v>0</v>
      </c>
      <c r="J30" s="23">
        <f>SUMIFS('Registre de reserves'!$R$2:$R$1178,'Registre de reserves'!$T$2:$T$1178,"SI",'Registre de reserves'!$I$2:$I$1178,'2025'!$A30,'Registre de reserves'!$B$2:$B$1178,'2025'!J$2,Tabla1[ANY],'2025'!$Z$2)</f>
        <v>0</v>
      </c>
      <c r="K30" s="21">
        <f t="shared" si="32"/>
        <v>0</v>
      </c>
      <c r="L30" s="23">
        <f>SUMIFS('Registre de reserves'!$R$2:$R$1178,'Registre de reserves'!$T$2:$T$1178,"SI",'Registre de reserves'!$I$2:$I$1178,'2025'!$A30,'Registre de reserves'!$B$2:$B$1178,'2025'!L$2,Tabla1[ANY],'2025'!$Z$2)</f>
        <v>0</v>
      </c>
      <c r="M30" s="21">
        <f t="shared" si="33"/>
        <v>0</v>
      </c>
      <c r="N30" s="23">
        <f>SUMIFS('Registre de reserves'!$R$2:$R$1178,'Registre de reserves'!$T$2:$T$1178,"SI",'Registre de reserves'!$I$2:$I$1178,'2025'!$A30,'Registre de reserves'!$B$2:$B$1178,'2025'!N$2,Tabla1[ANY],'2025'!$Z$2)</f>
        <v>0</v>
      </c>
      <c r="O30" s="21">
        <f t="shared" si="34"/>
        <v>0</v>
      </c>
      <c r="P30" s="23">
        <f>SUMIFS('Registre de reserves'!$R$2:$R$1178,'Registre de reserves'!$T$2:$T$1178,"SI",'Registre de reserves'!$I$2:$I$1178,'2025'!$A30,'Registre de reserves'!$B$2:$B$1178,'2025'!P$2,Tabla1[ANY],'2025'!$Z$2)</f>
        <v>0</v>
      </c>
      <c r="Q30" s="21">
        <f t="shared" si="35"/>
        <v>0</v>
      </c>
      <c r="R30" s="23">
        <f>SUMIFS('Registre de reserves'!$R$2:$R$1178,'Registre de reserves'!$T$2:$T$1178,"SI",'Registre de reserves'!$I$2:$I$1178,'2025'!$A30,'Registre de reserves'!$B$2:$B$1178,'2025'!R$2,Tabla1[ANY],'2025'!$Z$2)</f>
        <v>0</v>
      </c>
      <c r="S30" s="21">
        <f t="shared" si="36"/>
        <v>0</v>
      </c>
      <c r="T30" s="23">
        <f>SUMIFS('Registre de reserves'!$R$2:$R$1178,'Registre de reserves'!$T$2:$T$1178,"SI",'Registre de reserves'!$I$2:$I$1178,'2025'!$A30,'Registre de reserves'!$B$2:$B$1178,'2025'!T$2,Tabla1[ANY],'2025'!$Z$2)</f>
        <v>0</v>
      </c>
      <c r="U30" s="21">
        <f t="shared" si="37"/>
        <v>0</v>
      </c>
      <c r="V30" s="23">
        <f>SUMIFS('Registre de reserves'!$R$2:$R$1178,'Registre de reserves'!$T$2:$T$1178,"SI",'Registre de reserves'!$I$2:$I$1178,'2025'!$A30,'Registre de reserves'!$B$2:$B$1178,'2025'!V$2,Tabla1[ANY],'2025'!$Z$2)</f>
        <v>0</v>
      </c>
      <c r="W30" s="21">
        <f t="shared" si="38"/>
        <v>0</v>
      </c>
      <c r="X30" s="23">
        <f>SUMIFS('Registre de reserves'!$R$2:$R$1178,'Registre de reserves'!$T$2:$T$1178,"SI",'Registre de reserves'!$I$2:$I$1178,'2025'!$A30,'Registre de reserves'!$B$2:$B$1178,'2025'!X$2,Tabla1[ANY],'2025'!$Z$2)</f>
        <v>0</v>
      </c>
      <c r="Y30" s="21">
        <f t="shared" si="39"/>
        <v>0</v>
      </c>
      <c r="Z30" s="20">
        <f t="shared" si="41"/>
        <v>0</v>
      </c>
      <c r="AA30" s="21">
        <f t="shared" si="42"/>
        <v>0</v>
      </c>
      <c r="AB30" s="178">
        <f t="shared" si="2"/>
        <v>0</v>
      </c>
    </row>
    <row r="31" spans="1:28" collapsed="1" x14ac:dyDescent="0.2">
      <c r="A31" s="33" t="s">
        <v>77</v>
      </c>
      <c r="B31" s="22">
        <f>SUM(B32:B39)</f>
        <v>0</v>
      </c>
      <c r="C31" s="19">
        <f>IF((B$31+B$13)=0,0,B31/(B$31+B$13))</f>
        <v>0</v>
      </c>
      <c r="D31" s="22">
        <f>SUM(D32:D39)</f>
        <v>0</v>
      </c>
      <c r="E31" s="19">
        <f>IF((D$31+D$13)=0,0,D31/(D$31+D$13))</f>
        <v>0</v>
      </c>
      <c r="F31" s="22">
        <f>SUM(F32:F39)</f>
        <v>0</v>
      </c>
      <c r="G31" s="19">
        <f>IF((F$31+F$13)=0,0,F31/(F$31+F$13))</f>
        <v>0</v>
      </c>
      <c r="H31" s="22">
        <f>SUM(H32:H39)</f>
        <v>0</v>
      </c>
      <c r="I31" s="19">
        <f>IF((H$31+H$13)=0,0,H31/(H$31+H$13))</f>
        <v>0</v>
      </c>
      <c r="J31" s="22">
        <f>SUM(J32:J39)</f>
        <v>0</v>
      </c>
      <c r="K31" s="19">
        <f>IF((J$31+J$13)=0,0,J31/(J$31+J$13))</f>
        <v>0</v>
      </c>
      <c r="L31" s="22">
        <f>SUM(L32:L39)</f>
        <v>0</v>
      </c>
      <c r="M31" s="19">
        <f>IF((L$31+L$13)=0,0,L31/(L$31+L$13))</f>
        <v>0</v>
      </c>
      <c r="N31" s="22">
        <f>SUM(N32:N39)</f>
        <v>0</v>
      </c>
      <c r="O31" s="19">
        <f>IF((N$31+N$13)=0,0,N31/(N$31+N$13))</f>
        <v>0</v>
      </c>
      <c r="P31" s="22">
        <f>SUM(P32:P39)</f>
        <v>0</v>
      </c>
      <c r="Q31" s="19">
        <f>IF((P$31+P$13)=0,0,P31/(P$31+P$13))</f>
        <v>0</v>
      </c>
      <c r="R31" s="22">
        <f>SUM(R32:R39)</f>
        <v>0</v>
      </c>
      <c r="S31" s="19">
        <f>IF((R$31+R$13)=0,0,R31/(R$31+R$13))</f>
        <v>0</v>
      </c>
      <c r="T31" s="22">
        <f>SUM(T32:T39)</f>
        <v>0</v>
      </c>
      <c r="U31" s="19">
        <f>IF((T$31+T$13)=0,0,T31/(T$31+T$13))</f>
        <v>0</v>
      </c>
      <c r="V31" s="22">
        <f>SUM(V32:V39)</f>
        <v>0</v>
      </c>
      <c r="W31" s="19">
        <f>IF((V$31+V$13)=0,0,V31/(V$31+V$13))</f>
        <v>0</v>
      </c>
      <c r="X31" s="22">
        <f>SUM(X32:X39)</f>
        <v>0</v>
      </c>
      <c r="Y31" s="19">
        <f>IF((X$31+X$13)=0,0,X31/(X$31+X$13))</f>
        <v>0</v>
      </c>
      <c r="Z31" s="22">
        <f>SUM(Z32:Z39)</f>
        <v>0</v>
      </c>
      <c r="AA31" s="19">
        <f>IF((Z$31+Z$13)=0,0,Z31/(Z$31+Z$13))</f>
        <v>0</v>
      </c>
      <c r="AB31" s="178">
        <f t="shared" si="2"/>
        <v>0</v>
      </c>
    </row>
    <row r="32" spans="1:28" hidden="1" outlineLevel="1" x14ac:dyDescent="0.2">
      <c r="A32" s="8" t="s">
        <v>67</v>
      </c>
      <c r="B32" s="23">
        <f>SUMIFS('Registre de reserves'!$R$2:$R$1178,'Registre de reserves'!$T$2:$T$1178,"NO",'Registre de reserves'!$I$2:$I$1178,'2025'!$A32,'Registre de reserves'!$B$2:$B$1178,'2025'!B$2,Tabla1[ANY],'2025'!$Z$2)</f>
        <v>0</v>
      </c>
      <c r="C32" s="21">
        <f>IF(B$31=0,0,B32/B$31)</f>
        <v>0</v>
      </c>
      <c r="D32" s="23">
        <f>SUMIFS('Registre de reserves'!$R$2:$R$1178,'Registre de reserves'!$T$2:$T$1178,"NO",'Registre de reserves'!$I$2:$I$1178,'2025'!$A32,'Registre de reserves'!$B$2:$B$1178,'2025'!D$2,Tabla1[ANY],'2025'!$Z$2)</f>
        <v>0</v>
      </c>
      <c r="E32" s="21">
        <f>IF(D$31=0,0,D32/D$31)</f>
        <v>0</v>
      </c>
      <c r="F32" s="23">
        <f>SUMIFS('Registre de reserves'!$R$2:$R$1178,'Registre de reserves'!$T$2:$T$1178,"NO",'Registre de reserves'!$I$2:$I$1178,'2025'!$A32,'Registre de reserves'!$B$2:$B$1178,'2025'!F$2,Tabla1[ANY],'2025'!$Z$2)</f>
        <v>0</v>
      </c>
      <c r="G32" s="21">
        <f t="shared" ref="G32:G39" si="43">IF(F$31=0,0,F32/F$31)</f>
        <v>0</v>
      </c>
      <c r="H32" s="23">
        <f>SUMIFS('Registre de reserves'!$R$2:$R$1178,'Registre de reserves'!$T$2:$T$1178,"NO",'Registre de reserves'!$I$2:$I$1178,'2025'!$A32,'Registre de reserves'!$B$2:$B$1178,'2025'!H$2,Tabla1[ANY],'2025'!$Z$2)</f>
        <v>0</v>
      </c>
      <c r="I32" s="21">
        <f t="shared" ref="I32:I39" si="44">IF(H$31=0,0,H32/H$31)</f>
        <v>0</v>
      </c>
      <c r="J32" s="23">
        <f>SUMIFS('Registre de reserves'!$R$2:$R$1178,'Registre de reserves'!$T$2:$T$1178,"NO",'Registre de reserves'!$I$2:$I$1178,'2025'!$A32,'Registre de reserves'!$B$2:$B$1178,'2025'!J$2,Tabla1[ANY],'2025'!$Z$2)</f>
        <v>0</v>
      </c>
      <c r="K32" s="21">
        <f t="shared" ref="K32:K39" si="45">IF(J$31=0,0,J32/J$31)</f>
        <v>0</v>
      </c>
      <c r="L32" s="23">
        <f>SUMIFS('Registre de reserves'!$R$2:$R$1178,'Registre de reserves'!$T$2:$T$1178,"NO",'Registre de reserves'!$I$2:$I$1178,'2025'!$A32,'Registre de reserves'!$B$2:$B$1178,'2025'!L$2,Tabla1[ANY],'2025'!$Z$2)</f>
        <v>0</v>
      </c>
      <c r="M32" s="21">
        <f t="shared" ref="M32:M39" si="46">IF(L$31=0,0,L32/L$31)</f>
        <v>0</v>
      </c>
      <c r="N32" s="23">
        <f>SUMIFS('Registre de reserves'!$R$2:$R$1178,'Registre de reserves'!$T$2:$T$1178,"NO",'Registre de reserves'!$I$2:$I$1178,'2025'!$A32,'Registre de reserves'!$B$2:$B$1178,'2025'!N$2,Tabla1[ANY],'2025'!$Z$2)</f>
        <v>0</v>
      </c>
      <c r="O32" s="21">
        <f t="shared" ref="O32:O39" si="47">IF(N$31=0,0,N32/N$31)</f>
        <v>0</v>
      </c>
      <c r="P32" s="23">
        <f>SUMIFS('Registre de reserves'!$R$2:$R$1178,'Registre de reserves'!$T$2:$T$1178,"NO",'Registre de reserves'!$I$2:$I$1178,'2025'!$A32,'Registre de reserves'!$B$2:$B$1178,'2025'!P$2,Tabla1[ANY],'2025'!$Z$2)</f>
        <v>0</v>
      </c>
      <c r="Q32" s="21">
        <f t="shared" ref="Q32:Q39" si="48">IF(P$31=0,0,P32/P$31)</f>
        <v>0</v>
      </c>
      <c r="R32" s="23">
        <f>SUMIFS('Registre de reserves'!$R$2:$R$1178,'Registre de reserves'!$T$2:$T$1178,"NO",'Registre de reserves'!$I$2:$I$1178,'2025'!$A32,'Registre de reserves'!$B$2:$B$1178,'2025'!R$2,Tabla1[ANY],'2025'!$Z$2)</f>
        <v>0</v>
      </c>
      <c r="S32" s="21">
        <f t="shared" ref="S32:S39" si="49">IF(R$31=0,0,R32/R$31)</f>
        <v>0</v>
      </c>
      <c r="T32" s="23">
        <f>SUMIFS('Registre de reserves'!$R$2:$R$1178,'Registre de reserves'!$T$2:$T$1178,"NO",'Registre de reserves'!$I$2:$I$1178,'2025'!$A32,'Registre de reserves'!$B$2:$B$1178,'2025'!T$2,Tabla1[ANY],'2025'!$Z$2)</f>
        <v>0</v>
      </c>
      <c r="U32" s="21">
        <f t="shared" ref="U32:U39" si="50">IF(T$31=0,0,T32/T$31)</f>
        <v>0</v>
      </c>
      <c r="V32" s="23">
        <f>SUMIFS('Registre de reserves'!$R$2:$R$1178,'Registre de reserves'!$T$2:$T$1178,"NO",'Registre de reserves'!$I$2:$I$1178,'2025'!$A32,'Registre de reserves'!$B$2:$B$1178,'2025'!V$2,Tabla1[ANY],'2025'!$Z$2)</f>
        <v>0</v>
      </c>
      <c r="W32" s="21">
        <f t="shared" ref="W32:W39" si="51">IF(V$31=0,0,V32/V$31)</f>
        <v>0</v>
      </c>
      <c r="X32" s="23">
        <f>SUMIFS('Registre de reserves'!$R$2:$R$1178,'Registre de reserves'!$T$2:$T$1178,"NO",'Registre de reserves'!$I$2:$I$1178,'2025'!$A32,'Registre de reserves'!$B$2:$B$1178,'2025'!X$2,Tabla1[ANY],'2025'!$Z$2)</f>
        <v>0</v>
      </c>
      <c r="Y32" s="21">
        <f t="shared" ref="Y32:Y39" si="52">IF(X$31=0,0,X32/X$31)</f>
        <v>0</v>
      </c>
      <c r="Z32" s="20">
        <f>B32+D32+F32+H32+J32+L32+N32+P32+R32+T32+V32+X32</f>
        <v>0</v>
      </c>
      <c r="AA32" s="21">
        <f>IF(Z$31=0,0,Z32/Z$31)</f>
        <v>0</v>
      </c>
      <c r="AB32" s="178">
        <f t="shared" si="2"/>
        <v>0</v>
      </c>
    </row>
    <row r="33" spans="1:28" hidden="1" outlineLevel="1" x14ac:dyDescent="0.2">
      <c r="A33" s="8" t="s">
        <v>68</v>
      </c>
      <c r="B33" s="23">
        <f>SUMIFS('Registre de reserves'!$R$2:$R$1178,'Registre de reserves'!$T$2:$T$1178,"NO",'Registre de reserves'!$I$2:$I$1178,'2025'!$A33,'Registre de reserves'!$B$2:$B$1178,'2025'!B$2,Tabla1[ANY],'2025'!$Z$2)</f>
        <v>0</v>
      </c>
      <c r="C33" s="21">
        <f>IF(B$31=0,0,B33/B$31)</f>
        <v>0</v>
      </c>
      <c r="D33" s="23">
        <f>SUMIFS('Registre de reserves'!$R$2:$R$1178,'Registre de reserves'!$T$2:$T$1178,"NO",'Registre de reserves'!$I$2:$I$1178,'2025'!$A33,'Registre de reserves'!$B$2:$B$1178,'2025'!D$2,Tabla1[ANY],'2025'!$Z$2)</f>
        <v>0</v>
      </c>
      <c r="E33" s="21">
        <f t="shared" ref="C33:E39" si="53">IF(D$31=0,0,D33/D$31)</f>
        <v>0</v>
      </c>
      <c r="F33" s="23">
        <f>SUMIFS('Registre de reserves'!$R$2:$R$1178,'Registre de reserves'!$T$2:$T$1178,"NO",'Registre de reserves'!$I$2:$I$1178,'2025'!$A33,'Registre de reserves'!$B$2:$B$1178,'2025'!F$2,Tabla1[ANY],'2025'!$Z$2)</f>
        <v>0</v>
      </c>
      <c r="G33" s="21">
        <f t="shared" si="43"/>
        <v>0</v>
      </c>
      <c r="H33" s="23">
        <f>SUMIFS('Registre de reserves'!$R$2:$R$1178,'Registre de reserves'!$T$2:$T$1178,"NO",'Registre de reserves'!$I$2:$I$1178,'2025'!$A33,'Registre de reserves'!$B$2:$B$1178,'2025'!H$2,Tabla1[ANY],'2025'!$Z$2)</f>
        <v>0</v>
      </c>
      <c r="I33" s="21">
        <f t="shared" si="44"/>
        <v>0</v>
      </c>
      <c r="J33" s="23">
        <f>SUMIFS('Registre de reserves'!$R$2:$R$1178,'Registre de reserves'!$T$2:$T$1178,"NO",'Registre de reserves'!$I$2:$I$1178,'2025'!$A33,'Registre de reserves'!$B$2:$B$1178,'2025'!J$2,Tabla1[ANY],'2025'!$Z$2)</f>
        <v>0</v>
      </c>
      <c r="K33" s="21">
        <f t="shared" si="45"/>
        <v>0</v>
      </c>
      <c r="L33" s="23">
        <f>SUMIFS('Registre de reserves'!$R$2:$R$1178,'Registre de reserves'!$T$2:$T$1178,"NO",'Registre de reserves'!$I$2:$I$1178,'2025'!$A33,'Registre de reserves'!$B$2:$B$1178,'2025'!L$2,Tabla1[ANY],'2025'!$Z$2)</f>
        <v>0</v>
      </c>
      <c r="M33" s="21">
        <f t="shared" si="46"/>
        <v>0</v>
      </c>
      <c r="N33" s="23">
        <f>SUMIFS('Registre de reserves'!$R$2:$R$1178,'Registre de reserves'!$T$2:$T$1178,"NO",'Registre de reserves'!$I$2:$I$1178,'2025'!$A33,'Registre de reserves'!$B$2:$B$1178,'2025'!N$2,Tabla1[ANY],'2025'!$Z$2)</f>
        <v>0</v>
      </c>
      <c r="O33" s="21">
        <f t="shared" si="47"/>
        <v>0</v>
      </c>
      <c r="P33" s="23">
        <f>SUMIFS('Registre de reserves'!$R$2:$R$1178,'Registre de reserves'!$T$2:$T$1178,"NO",'Registre de reserves'!$I$2:$I$1178,'2025'!$A33,'Registre de reserves'!$B$2:$B$1178,'2025'!P$2,Tabla1[ANY],'2025'!$Z$2)</f>
        <v>0</v>
      </c>
      <c r="Q33" s="21">
        <f t="shared" si="48"/>
        <v>0</v>
      </c>
      <c r="R33" s="23">
        <f>SUMIFS('Registre de reserves'!$R$2:$R$1178,'Registre de reserves'!$T$2:$T$1178,"NO",'Registre de reserves'!$I$2:$I$1178,'2025'!$A33,'Registre de reserves'!$B$2:$B$1178,'2025'!R$2,Tabla1[ANY],'2025'!$Z$2)</f>
        <v>0</v>
      </c>
      <c r="S33" s="21">
        <f t="shared" si="49"/>
        <v>0</v>
      </c>
      <c r="T33" s="23">
        <f>SUMIFS('Registre de reserves'!$R$2:$R$1178,'Registre de reserves'!$T$2:$T$1178,"NO",'Registre de reserves'!$I$2:$I$1178,'2025'!$A33,'Registre de reserves'!$B$2:$B$1178,'2025'!T$2,Tabla1[ANY],'2025'!$Z$2)</f>
        <v>0</v>
      </c>
      <c r="U33" s="21">
        <f t="shared" si="50"/>
        <v>0</v>
      </c>
      <c r="V33" s="23">
        <f>SUMIFS('Registre de reserves'!$R$2:$R$1178,'Registre de reserves'!$T$2:$T$1178,"NO",'Registre de reserves'!$I$2:$I$1178,'2025'!$A33,'Registre de reserves'!$B$2:$B$1178,'2025'!V$2,Tabla1[ANY],'2025'!$Z$2)</f>
        <v>0</v>
      </c>
      <c r="W33" s="21">
        <f t="shared" si="51"/>
        <v>0</v>
      </c>
      <c r="X33" s="23">
        <f>SUMIFS('Registre de reserves'!$R$2:$R$1178,'Registre de reserves'!$T$2:$T$1178,"NO",'Registre de reserves'!$I$2:$I$1178,'2025'!$A33,'Registre de reserves'!$B$2:$B$1178,'2025'!X$2,Tabla1[ANY],'2025'!$Z$2)</f>
        <v>0</v>
      </c>
      <c r="Y33" s="21">
        <f t="shared" si="52"/>
        <v>0</v>
      </c>
      <c r="Z33" s="20">
        <f t="shared" ref="Z33:Z39" si="54">B33+D33+F33+H33+J33+L33+N33+P33+R33+T33+V33+X33</f>
        <v>0</v>
      </c>
      <c r="AA33" s="21">
        <f t="shared" ref="AA33:AA39" si="55">IF(Z$31=0,0,Z33/Z$31)</f>
        <v>0</v>
      </c>
      <c r="AB33" s="178">
        <f t="shared" si="2"/>
        <v>0</v>
      </c>
    </row>
    <row r="34" spans="1:28" hidden="1" outlineLevel="1" x14ac:dyDescent="0.2">
      <c r="A34" s="8" t="s">
        <v>4</v>
      </c>
      <c r="B34" s="23">
        <f>SUMIFS('Registre de reserves'!$R$2:$R$1178,'Registre de reserves'!$T$2:$T$1178,"NO",'Registre de reserves'!$I$2:$I$1178,'2025'!$A34,'Registre de reserves'!$B$2:$B$1178,'2025'!B$2,Tabla1[ANY],'2025'!$Z$2)</f>
        <v>0</v>
      </c>
      <c r="C34" s="21">
        <f>IF(B$31=0,0,B34/B$31)</f>
        <v>0</v>
      </c>
      <c r="D34" s="23">
        <f>SUMIFS('Registre de reserves'!$R$2:$R$1178,'Registre de reserves'!$T$2:$T$1178,"NO",'Registre de reserves'!$I$2:$I$1178,'2025'!$A34,'Registre de reserves'!$B$2:$B$1178,'2025'!D$2,Tabla1[ANY],'2025'!$Z$2)</f>
        <v>0</v>
      </c>
      <c r="E34" s="21">
        <f t="shared" si="53"/>
        <v>0</v>
      </c>
      <c r="F34" s="23">
        <f>SUMIFS('Registre de reserves'!$R$2:$R$1178,'Registre de reserves'!$T$2:$T$1178,"NO",'Registre de reserves'!$I$2:$I$1178,'2025'!$A34,'Registre de reserves'!$B$2:$B$1178,'2025'!F$2,Tabla1[ANY],'2025'!$Z$2)</f>
        <v>0</v>
      </c>
      <c r="G34" s="21">
        <f t="shared" si="43"/>
        <v>0</v>
      </c>
      <c r="H34" s="23">
        <f>SUMIFS('Registre de reserves'!$R$2:$R$1178,'Registre de reserves'!$T$2:$T$1178,"NO",'Registre de reserves'!$I$2:$I$1178,'2025'!$A34,'Registre de reserves'!$B$2:$B$1178,'2025'!H$2,Tabla1[ANY],'2025'!$Z$2)</f>
        <v>0</v>
      </c>
      <c r="I34" s="21">
        <f t="shared" si="44"/>
        <v>0</v>
      </c>
      <c r="J34" s="23">
        <f>SUMIFS('Registre de reserves'!$R$2:$R$1178,'Registre de reserves'!$T$2:$T$1178,"NO",'Registre de reserves'!$I$2:$I$1178,'2025'!$A34,'Registre de reserves'!$B$2:$B$1178,'2025'!J$2,Tabla1[ANY],'2025'!$Z$2)</f>
        <v>0</v>
      </c>
      <c r="K34" s="21">
        <f t="shared" si="45"/>
        <v>0</v>
      </c>
      <c r="L34" s="23">
        <f>SUMIFS('Registre de reserves'!$R$2:$R$1178,'Registre de reserves'!$T$2:$T$1178,"NO",'Registre de reserves'!$I$2:$I$1178,'2025'!$A34,'Registre de reserves'!$B$2:$B$1178,'2025'!L$2,Tabla1[ANY],'2025'!$Z$2)</f>
        <v>0</v>
      </c>
      <c r="M34" s="21">
        <f t="shared" si="46"/>
        <v>0</v>
      </c>
      <c r="N34" s="23">
        <f>SUMIFS('Registre de reserves'!$R$2:$R$1178,'Registre de reserves'!$T$2:$T$1178,"NO",'Registre de reserves'!$I$2:$I$1178,'2025'!$A34,'Registre de reserves'!$B$2:$B$1178,'2025'!N$2,Tabla1[ANY],'2025'!$Z$2)</f>
        <v>0</v>
      </c>
      <c r="O34" s="21">
        <f t="shared" si="47"/>
        <v>0</v>
      </c>
      <c r="P34" s="23">
        <f>SUMIFS('Registre de reserves'!$R$2:$R$1178,'Registre de reserves'!$T$2:$T$1178,"NO",'Registre de reserves'!$I$2:$I$1178,'2025'!$A34,'Registre de reserves'!$B$2:$B$1178,'2025'!P$2,Tabla1[ANY],'2025'!$Z$2)</f>
        <v>0</v>
      </c>
      <c r="Q34" s="21">
        <f t="shared" si="48"/>
        <v>0</v>
      </c>
      <c r="R34" s="23">
        <f>SUMIFS('Registre de reserves'!$R$2:$R$1178,'Registre de reserves'!$T$2:$T$1178,"NO",'Registre de reserves'!$I$2:$I$1178,'2025'!$A34,'Registre de reserves'!$B$2:$B$1178,'2025'!R$2,Tabla1[ANY],'2025'!$Z$2)</f>
        <v>0</v>
      </c>
      <c r="S34" s="21">
        <f t="shared" si="49"/>
        <v>0</v>
      </c>
      <c r="T34" s="23">
        <f>SUMIFS('Registre de reserves'!$R$2:$R$1178,'Registre de reserves'!$T$2:$T$1178,"NO",'Registre de reserves'!$I$2:$I$1178,'2025'!$A34,'Registre de reserves'!$B$2:$B$1178,'2025'!T$2,Tabla1[ANY],'2025'!$Z$2)</f>
        <v>0</v>
      </c>
      <c r="U34" s="21">
        <f t="shared" si="50"/>
        <v>0</v>
      </c>
      <c r="V34" s="23">
        <f>SUMIFS('Registre de reserves'!$R$2:$R$1178,'Registre de reserves'!$T$2:$T$1178,"NO",'Registre de reserves'!$I$2:$I$1178,'2025'!$A34,'Registre de reserves'!$B$2:$B$1178,'2025'!V$2,Tabla1[ANY],'2025'!$Z$2)</f>
        <v>0</v>
      </c>
      <c r="W34" s="21">
        <f t="shared" si="51"/>
        <v>0</v>
      </c>
      <c r="X34" s="23">
        <f>SUMIFS('Registre de reserves'!$R$2:$R$1178,'Registre de reserves'!$T$2:$T$1178,"NO",'Registre de reserves'!$I$2:$I$1178,'2025'!$A34,'Registre de reserves'!$B$2:$B$1178,'2025'!X$2,Tabla1[ANY],'2025'!$Z$2)</f>
        <v>0</v>
      </c>
      <c r="Y34" s="21">
        <f t="shared" si="52"/>
        <v>0</v>
      </c>
      <c r="Z34" s="20">
        <f t="shared" si="54"/>
        <v>0</v>
      </c>
      <c r="AA34" s="21">
        <f t="shared" si="55"/>
        <v>0</v>
      </c>
      <c r="AB34" s="178">
        <f t="shared" si="2"/>
        <v>0</v>
      </c>
    </row>
    <row r="35" spans="1:28" hidden="1" outlineLevel="1" x14ac:dyDescent="0.2">
      <c r="A35" s="8" t="s">
        <v>71</v>
      </c>
      <c r="B35" s="23">
        <f>SUMIFS('Registre de reserves'!$R$2:$R$1178,'Registre de reserves'!$T$2:$T$1178,"NO",'Registre de reserves'!$I$2:$I$1178,'2025'!$A35,'Registre de reserves'!$B$2:$B$1178,'2025'!B$2,Tabla1[ANY],'2025'!$Z$2)</f>
        <v>0</v>
      </c>
      <c r="C35" s="21">
        <f t="shared" si="53"/>
        <v>0</v>
      </c>
      <c r="D35" s="23">
        <f>SUMIFS('Registre de reserves'!$R$2:$R$1178,'Registre de reserves'!$T$2:$T$1178,"NO",'Registre de reserves'!$I$2:$I$1178,'2025'!$A35,'Registre de reserves'!$B$2:$B$1178,'2025'!D$2,Tabla1[ANY],'2025'!$Z$2)</f>
        <v>0</v>
      </c>
      <c r="E35" s="21">
        <f t="shared" si="53"/>
        <v>0</v>
      </c>
      <c r="F35" s="23">
        <f>SUMIFS('Registre de reserves'!$R$2:$R$1178,'Registre de reserves'!$T$2:$T$1178,"NO",'Registre de reserves'!$I$2:$I$1178,'2025'!$A35,'Registre de reserves'!$B$2:$B$1178,'2025'!F$2,Tabla1[ANY],'2025'!$Z$2)</f>
        <v>0</v>
      </c>
      <c r="G35" s="21">
        <f t="shared" si="43"/>
        <v>0</v>
      </c>
      <c r="H35" s="23">
        <f>SUMIFS('Registre de reserves'!$R$2:$R$1178,'Registre de reserves'!$T$2:$T$1178,"NO",'Registre de reserves'!$I$2:$I$1178,'2025'!$A35,'Registre de reserves'!$B$2:$B$1178,'2025'!H$2,Tabla1[ANY],'2025'!$Z$2)</f>
        <v>0</v>
      </c>
      <c r="I35" s="21">
        <f t="shared" si="44"/>
        <v>0</v>
      </c>
      <c r="J35" s="23">
        <f>SUMIFS('Registre de reserves'!$R$2:$R$1178,'Registre de reserves'!$T$2:$T$1178,"NO",'Registre de reserves'!$I$2:$I$1178,'2025'!$A35,'Registre de reserves'!$B$2:$B$1178,'2025'!J$2,Tabla1[ANY],'2025'!$Z$2)</f>
        <v>0</v>
      </c>
      <c r="K35" s="21">
        <f t="shared" si="45"/>
        <v>0</v>
      </c>
      <c r="L35" s="23">
        <f>SUMIFS('Registre de reserves'!$R$2:$R$1178,'Registre de reserves'!$T$2:$T$1178,"NO",'Registre de reserves'!$I$2:$I$1178,'2025'!$A35,'Registre de reserves'!$B$2:$B$1178,'2025'!L$2,Tabla1[ANY],'2025'!$Z$2)</f>
        <v>0</v>
      </c>
      <c r="M35" s="21">
        <f t="shared" si="46"/>
        <v>0</v>
      </c>
      <c r="N35" s="23">
        <f>SUMIFS('Registre de reserves'!$R$2:$R$1178,'Registre de reserves'!$T$2:$T$1178,"NO",'Registre de reserves'!$I$2:$I$1178,'2025'!$A35,'Registre de reserves'!$B$2:$B$1178,'2025'!N$2,Tabla1[ANY],'2025'!$Z$2)</f>
        <v>0</v>
      </c>
      <c r="O35" s="21">
        <f t="shared" si="47"/>
        <v>0</v>
      </c>
      <c r="P35" s="23">
        <f>SUMIFS('Registre de reserves'!$R$2:$R$1178,'Registre de reserves'!$T$2:$T$1178,"NO",'Registre de reserves'!$I$2:$I$1178,'2025'!$A35,'Registre de reserves'!$B$2:$B$1178,'2025'!P$2,Tabla1[ANY],'2025'!$Z$2)</f>
        <v>0</v>
      </c>
      <c r="Q35" s="21">
        <f t="shared" si="48"/>
        <v>0</v>
      </c>
      <c r="R35" s="23">
        <f>SUMIFS('Registre de reserves'!$R$2:$R$1178,'Registre de reserves'!$T$2:$T$1178,"NO",'Registre de reserves'!$I$2:$I$1178,'2025'!$A35,'Registre de reserves'!$B$2:$B$1178,'2025'!R$2,Tabla1[ANY],'2025'!$Z$2)</f>
        <v>0</v>
      </c>
      <c r="S35" s="21">
        <f t="shared" si="49"/>
        <v>0</v>
      </c>
      <c r="T35" s="23">
        <f>SUMIFS('Registre de reserves'!$R$2:$R$1178,'Registre de reserves'!$T$2:$T$1178,"NO",'Registre de reserves'!$I$2:$I$1178,'2025'!$A35,'Registre de reserves'!$B$2:$B$1178,'2025'!T$2,Tabla1[ANY],'2025'!$Z$2)</f>
        <v>0</v>
      </c>
      <c r="U35" s="21">
        <f t="shared" si="50"/>
        <v>0</v>
      </c>
      <c r="V35" s="23">
        <f>SUMIFS('Registre de reserves'!$R$2:$R$1178,'Registre de reserves'!$T$2:$T$1178,"NO",'Registre de reserves'!$I$2:$I$1178,'2025'!$A35,'Registre de reserves'!$B$2:$B$1178,'2025'!V$2,Tabla1[ANY],'2025'!$Z$2)</f>
        <v>0</v>
      </c>
      <c r="W35" s="21">
        <f t="shared" si="51"/>
        <v>0</v>
      </c>
      <c r="X35" s="23">
        <f>SUMIFS('Registre de reserves'!$R$2:$R$1178,'Registre de reserves'!$T$2:$T$1178,"NO",'Registre de reserves'!$I$2:$I$1178,'2025'!$A35,'Registre de reserves'!$B$2:$B$1178,'2025'!X$2,Tabla1[ANY],'2025'!$Z$2)</f>
        <v>0</v>
      </c>
      <c r="Y35" s="21">
        <f t="shared" si="52"/>
        <v>0</v>
      </c>
      <c r="Z35" s="20">
        <f t="shared" si="54"/>
        <v>0</v>
      </c>
      <c r="AA35" s="21">
        <f t="shared" si="55"/>
        <v>0</v>
      </c>
      <c r="AB35" s="178">
        <f t="shared" si="2"/>
        <v>0</v>
      </c>
    </row>
    <row r="36" spans="1:28" hidden="1" outlineLevel="1" x14ac:dyDescent="0.2">
      <c r="A36" s="8" t="s">
        <v>72</v>
      </c>
      <c r="B36" s="23">
        <f>SUMIFS('Registre de reserves'!$R$2:$R$1178,'Registre de reserves'!$T$2:$T$1178,"NO",'Registre de reserves'!$I$2:$I$1178,'2025'!$A36,'Registre de reserves'!$B$2:$B$1178,'2025'!B$2,Tabla1[ANY],'2025'!$Z$2)</f>
        <v>0</v>
      </c>
      <c r="C36" s="21">
        <f t="shared" si="53"/>
        <v>0</v>
      </c>
      <c r="D36" s="23">
        <f>SUMIFS('Registre de reserves'!$R$2:$R$1178,'Registre de reserves'!$T$2:$T$1178,"NO",'Registre de reserves'!$I$2:$I$1178,'2025'!$A36,'Registre de reserves'!$B$2:$B$1178,'2025'!D$2,Tabla1[ANY],'2025'!$Z$2)</f>
        <v>0</v>
      </c>
      <c r="E36" s="21">
        <f t="shared" si="53"/>
        <v>0</v>
      </c>
      <c r="F36" s="23">
        <f>SUMIFS('Registre de reserves'!$R$2:$R$1178,'Registre de reserves'!$T$2:$T$1178,"NO",'Registre de reserves'!$I$2:$I$1178,'2025'!$A36,'Registre de reserves'!$B$2:$B$1178,'2025'!F$2,Tabla1[ANY],'2025'!$Z$2)</f>
        <v>0</v>
      </c>
      <c r="G36" s="21">
        <f t="shared" si="43"/>
        <v>0</v>
      </c>
      <c r="H36" s="23">
        <f>SUMIFS('Registre de reserves'!$R$2:$R$1178,'Registre de reserves'!$T$2:$T$1178,"NO",'Registre de reserves'!$I$2:$I$1178,'2025'!$A36,'Registre de reserves'!$B$2:$B$1178,'2025'!H$2,Tabla1[ANY],'2025'!$Z$2)</f>
        <v>0</v>
      </c>
      <c r="I36" s="21">
        <f t="shared" si="44"/>
        <v>0</v>
      </c>
      <c r="J36" s="23">
        <f>SUMIFS('Registre de reserves'!$R$2:$R$1178,'Registre de reserves'!$T$2:$T$1178,"NO",'Registre de reserves'!$I$2:$I$1178,'2025'!$A36,'Registre de reserves'!$B$2:$B$1178,'2025'!J$2,Tabla1[ANY],'2025'!$Z$2)</f>
        <v>0</v>
      </c>
      <c r="K36" s="21">
        <f t="shared" si="45"/>
        <v>0</v>
      </c>
      <c r="L36" s="23">
        <f>SUMIFS('Registre de reserves'!$R$2:$R$1178,'Registre de reserves'!$T$2:$T$1178,"NO",'Registre de reserves'!$I$2:$I$1178,'2025'!$A36,'Registre de reserves'!$B$2:$B$1178,'2025'!L$2,Tabla1[ANY],'2025'!$Z$2)</f>
        <v>0</v>
      </c>
      <c r="M36" s="21">
        <f t="shared" si="46"/>
        <v>0</v>
      </c>
      <c r="N36" s="23">
        <f>SUMIFS('Registre de reserves'!$R$2:$R$1178,'Registre de reserves'!$T$2:$T$1178,"NO",'Registre de reserves'!$I$2:$I$1178,'2025'!$A36,'Registre de reserves'!$B$2:$B$1178,'2025'!N$2,Tabla1[ANY],'2025'!$Z$2)</f>
        <v>0</v>
      </c>
      <c r="O36" s="21">
        <f t="shared" si="47"/>
        <v>0</v>
      </c>
      <c r="P36" s="23">
        <f>SUMIFS('Registre de reserves'!$R$2:$R$1178,'Registre de reserves'!$T$2:$T$1178,"NO",'Registre de reserves'!$I$2:$I$1178,'2025'!$A36,'Registre de reserves'!$B$2:$B$1178,'2025'!P$2,Tabla1[ANY],'2025'!$Z$2)</f>
        <v>0</v>
      </c>
      <c r="Q36" s="21">
        <f t="shared" si="48"/>
        <v>0</v>
      </c>
      <c r="R36" s="23">
        <f>SUMIFS('Registre de reserves'!$R$2:$R$1178,'Registre de reserves'!$T$2:$T$1178,"NO",'Registre de reserves'!$I$2:$I$1178,'2025'!$A36,'Registre de reserves'!$B$2:$B$1178,'2025'!R$2,Tabla1[ANY],'2025'!$Z$2)</f>
        <v>0</v>
      </c>
      <c r="S36" s="21">
        <f t="shared" si="49"/>
        <v>0</v>
      </c>
      <c r="T36" s="23">
        <f>SUMIFS('Registre de reserves'!$R$2:$R$1178,'Registre de reserves'!$T$2:$T$1178,"NO",'Registre de reserves'!$I$2:$I$1178,'2025'!$A36,'Registre de reserves'!$B$2:$B$1178,'2025'!T$2,Tabla1[ANY],'2025'!$Z$2)</f>
        <v>0</v>
      </c>
      <c r="U36" s="21">
        <f t="shared" si="50"/>
        <v>0</v>
      </c>
      <c r="V36" s="23">
        <f>SUMIFS('Registre de reserves'!$R$2:$R$1178,'Registre de reserves'!$T$2:$T$1178,"NO",'Registre de reserves'!$I$2:$I$1178,'2025'!$A36,'Registre de reserves'!$B$2:$B$1178,'2025'!V$2,Tabla1[ANY],'2025'!$Z$2)</f>
        <v>0</v>
      </c>
      <c r="W36" s="21">
        <f t="shared" si="51"/>
        <v>0</v>
      </c>
      <c r="X36" s="23">
        <f>SUMIFS('Registre de reserves'!$R$2:$R$1178,'Registre de reserves'!$T$2:$T$1178,"NO",'Registre de reserves'!$I$2:$I$1178,'2025'!$A36,'Registre de reserves'!$B$2:$B$1178,'2025'!X$2,Tabla1[ANY],'2025'!$Z$2)</f>
        <v>0</v>
      </c>
      <c r="Y36" s="21">
        <f t="shared" si="52"/>
        <v>0</v>
      </c>
      <c r="Z36" s="20">
        <f t="shared" si="54"/>
        <v>0</v>
      </c>
      <c r="AA36" s="21">
        <f t="shared" si="55"/>
        <v>0</v>
      </c>
      <c r="AB36" s="178">
        <f t="shared" si="2"/>
        <v>0</v>
      </c>
    </row>
    <row r="37" spans="1:28" hidden="1" outlineLevel="1" x14ac:dyDescent="0.2">
      <c r="A37" s="8" t="s">
        <v>69</v>
      </c>
      <c r="B37" s="23">
        <f>SUMIFS('Registre de reserves'!$R$2:$R$1178,'Registre de reserves'!$T$2:$T$1178,"NO",'Registre de reserves'!$I$2:$I$1178,'2025'!$A37,'Registre de reserves'!$B$2:$B$1178,'2025'!B$2,Tabla1[ANY],'2025'!$Z$2)</f>
        <v>0</v>
      </c>
      <c r="C37" s="21">
        <f t="shared" si="53"/>
        <v>0</v>
      </c>
      <c r="D37" s="23">
        <f>SUMIFS('Registre de reserves'!$R$2:$R$1178,'Registre de reserves'!$T$2:$T$1178,"NO",'Registre de reserves'!$I$2:$I$1178,'2025'!$A37,'Registre de reserves'!$B$2:$B$1178,'2025'!D$2,Tabla1[ANY],'2025'!$Z$2)</f>
        <v>0</v>
      </c>
      <c r="E37" s="21">
        <f t="shared" si="53"/>
        <v>0</v>
      </c>
      <c r="F37" s="23">
        <f>SUMIFS('Registre de reserves'!$R$2:$R$1178,'Registre de reserves'!$T$2:$T$1178,"NO",'Registre de reserves'!$I$2:$I$1178,'2025'!$A37,'Registre de reserves'!$B$2:$B$1178,'2025'!F$2,Tabla1[ANY],'2025'!$Z$2)</f>
        <v>0</v>
      </c>
      <c r="G37" s="21">
        <f t="shared" si="43"/>
        <v>0</v>
      </c>
      <c r="H37" s="23">
        <f>SUMIFS('Registre de reserves'!$R$2:$R$1178,'Registre de reserves'!$T$2:$T$1178,"NO",'Registre de reserves'!$I$2:$I$1178,'2025'!$A37,'Registre de reserves'!$B$2:$B$1178,'2025'!H$2,Tabla1[ANY],'2025'!$Z$2)</f>
        <v>0</v>
      </c>
      <c r="I37" s="21">
        <f t="shared" si="44"/>
        <v>0</v>
      </c>
      <c r="J37" s="23">
        <f>SUMIFS('Registre de reserves'!$R$2:$R$1178,'Registre de reserves'!$T$2:$T$1178,"NO",'Registre de reserves'!$I$2:$I$1178,'2025'!$A37,'Registre de reserves'!$B$2:$B$1178,'2025'!J$2,Tabla1[ANY],'2025'!$Z$2)</f>
        <v>0</v>
      </c>
      <c r="K37" s="21">
        <f t="shared" si="45"/>
        <v>0</v>
      </c>
      <c r="L37" s="23">
        <f>SUMIFS('Registre de reserves'!$R$2:$R$1178,'Registre de reserves'!$T$2:$T$1178,"NO",'Registre de reserves'!$I$2:$I$1178,'2025'!$A37,'Registre de reserves'!$B$2:$B$1178,'2025'!L$2,Tabla1[ANY],'2025'!$Z$2)</f>
        <v>0</v>
      </c>
      <c r="M37" s="21">
        <f t="shared" si="46"/>
        <v>0</v>
      </c>
      <c r="N37" s="23">
        <f>SUMIFS('Registre de reserves'!$R$2:$R$1178,'Registre de reserves'!$T$2:$T$1178,"NO",'Registre de reserves'!$I$2:$I$1178,'2025'!$A37,'Registre de reserves'!$B$2:$B$1178,'2025'!N$2,Tabla1[ANY],'2025'!$Z$2)</f>
        <v>0</v>
      </c>
      <c r="O37" s="21">
        <f t="shared" si="47"/>
        <v>0</v>
      </c>
      <c r="P37" s="23">
        <f>SUMIFS('Registre de reserves'!$R$2:$R$1178,'Registre de reserves'!$T$2:$T$1178,"NO",'Registre de reserves'!$I$2:$I$1178,'2025'!$A37,'Registre de reserves'!$B$2:$B$1178,'2025'!P$2,Tabla1[ANY],'2025'!$Z$2)</f>
        <v>0</v>
      </c>
      <c r="Q37" s="21">
        <f t="shared" si="48"/>
        <v>0</v>
      </c>
      <c r="R37" s="23">
        <f>SUMIFS('Registre de reserves'!$R$2:$R$1178,'Registre de reserves'!$T$2:$T$1178,"NO",'Registre de reserves'!$I$2:$I$1178,'2025'!$A37,'Registre de reserves'!$B$2:$B$1178,'2025'!R$2,Tabla1[ANY],'2025'!$Z$2)</f>
        <v>0</v>
      </c>
      <c r="S37" s="21">
        <f t="shared" si="49"/>
        <v>0</v>
      </c>
      <c r="T37" s="23">
        <f>SUMIFS('Registre de reserves'!$R$2:$R$1178,'Registre de reserves'!$T$2:$T$1178,"NO",'Registre de reserves'!$I$2:$I$1178,'2025'!$A37,'Registre de reserves'!$B$2:$B$1178,'2025'!T$2,Tabla1[ANY],'2025'!$Z$2)</f>
        <v>0</v>
      </c>
      <c r="U37" s="21">
        <f t="shared" si="50"/>
        <v>0</v>
      </c>
      <c r="V37" s="23">
        <f>SUMIFS('Registre de reserves'!$R$2:$R$1178,'Registre de reserves'!$T$2:$T$1178,"NO",'Registre de reserves'!$I$2:$I$1178,'2025'!$A37,'Registre de reserves'!$B$2:$B$1178,'2025'!V$2,Tabla1[ANY],'2025'!$Z$2)</f>
        <v>0</v>
      </c>
      <c r="W37" s="21">
        <f t="shared" si="51"/>
        <v>0</v>
      </c>
      <c r="X37" s="23">
        <f>SUMIFS('Registre de reserves'!$R$2:$R$1178,'Registre de reserves'!$T$2:$T$1178,"NO",'Registre de reserves'!$I$2:$I$1178,'2025'!$A37,'Registre de reserves'!$B$2:$B$1178,'2025'!X$2,Tabla1[ANY],'2025'!$Z$2)</f>
        <v>0</v>
      </c>
      <c r="Y37" s="21">
        <f t="shared" si="52"/>
        <v>0</v>
      </c>
      <c r="Z37" s="20">
        <f t="shared" si="54"/>
        <v>0</v>
      </c>
      <c r="AA37" s="21">
        <f t="shared" si="55"/>
        <v>0</v>
      </c>
      <c r="AB37" s="178">
        <f t="shared" si="2"/>
        <v>0</v>
      </c>
    </row>
    <row r="38" spans="1:28" hidden="1" outlineLevel="1" x14ac:dyDescent="0.2">
      <c r="A38" s="8" t="s">
        <v>70</v>
      </c>
      <c r="B38" s="23">
        <f>SUMIFS('Registre de reserves'!$R$2:$R$1178,'Registre de reserves'!$T$2:$T$1178,"NO",'Registre de reserves'!$I$2:$I$1178,'2025'!$A38,'Registre de reserves'!$B$2:$B$1178,'2025'!B$2,Tabla1[ANY],'2025'!$Z$2)</f>
        <v>0</v>
      </c>
      <c r="C38" s="21">
        <f t="shared" si="53"/>
        <v>0</v>
      </c>
      <c r="D38" s="23">
        <f>SUMIFS('Registre de reserves'!$R$2:$R$1178,'Registre de reserves'!$T$2:$T$1178,"NO",'Registre de reserves'!$I$2:$I$1178,'2025'!$A38,'Registre de reserves'!$B$2:$B$1178,'2025'!D$2,Tabla1[ANY],'2025'!$Z$2)</f>
        <v>0</v>
      </c>
      <c r="E38" s="21">
        <f t="shared" si="53"/>
        <v>0</v>
      </c>
      <c r="F38" s="23">
        <f>SUMIFS('Registre de reserves'!$R$2:$R$1178,'Registre de reserves'!$T$2:$T$1178,"NO",'Registre de reserves'!$I$2:$I$1178,'2025'!$A38,'Registre de reserves'!$B$2:$B$1178,'2025'!F$2,Tabla1[ANY],'2025'!$Z$2)</f>
        <v>0</v>
      </c>
      <c r="G38" s="21">
        <f t="shared" si="43"/>
        <v>0</v>
      </c>
      <c r="H38" s="23">
        <f>SUMIFS('Registre de reserves'!$R$2:$R$1178,'Registre de reserves'!$T$2:$T$1178,"NO",'Registre de reserves'!$I$2:$I$1178,'2025'!$A38,'Registre de reserves'!$B$2:$B$1178,'2025'!H$2,Tabla1[ANY],'2025'!$Z$2)</f>
        <v>0</v>
      </c>
      <c r="I38" s="21">
        <f t="shared" si="44"/>
        <v>0</v>
      </c>
      <c r="J38" s="23">
        <f>SUMIFS('Registre de reserves'!$R$2:$R$1178,'Registre de reserves'!$T$2:$T$1178,"NO",'Registre de reserves'!$I$2:$I$1178,'2025'!$A38,'Registre de reserves'!$B$2:$B$1178,'2025'!J$2,Tabla1[ANY],'2025'!$Z$2)</f>
        <v>0</v>
      </c>
      <c r="K38" s="21">
        <f t="shared" si="45"/>
        <v>0</v>
      </c>
      <c r="L38" s="23">
        <f>SUMIFS('Registre de reserves'!$R$2:$R$1178,'Registre de reserves'!$T$2:$T$1178,"NO",'Registre de reserves'!$I$2:$I$1178,'2025'!$A38,'Registre de reserves'!$B$2:$B$1178,'2025'!L$2,Tabla1[ANY],'2025'!$Z$2)</f>
        <v>0</v>
      </c>
      <c r="M38" s="21">
        <f t="shared" si="46"/>
        <v>0</v>
      </c>
      <c r="N38" s="23">
        <f>SUMIFS('Registre de reserves'!$R$2:$R$1178,'Registre de reserves'!$T$2:$T$1178,"NO",'Registre de reserves'!$I$2:$I$1178,'2025'!$A38,'Registre de reserves'!$B$2:$B$1178,'2025'!N$2,Tabla1[ANY],'2025'!$Z$2)</f>
        <v>0</v>
      </c>
      <c r="O38" s="21">
        <f t="shared" si="47"/>
        <v>0</v>
      </c>
      <c r="P38" s="23">
        <f>SUMIFS('Registre de reserves'!$R$2:$R$1178,'Registre de reserves'!$T$2:$T$1178,"NO",'Registre de reserves'!$I$2:$I$1178,'2025'!$A38,'Registre de reserves'!$B$2:$B$1178,'2025'!P$2,Tabla1[ANY],'2025'!$Z$2)</f>
        <v>0</v>
      </c>
      <c r="Q38" s="21">
        <f t="shared" si="48"/>
        <v>0</v>
      </c>
      <c r="R38" s="23">
        <f>SUMIFS('Registre de reserves'!$R$2:$R$1178,'Registre de reserves'!$T$2:$T$1178,"NO",'Registre de reserves'!$I$2:$I$1178,'2025'!$A38,'Registre de reserves'!$B$2:$B$1178,'2025'!R$2,Tabla1[ANY],'2025'!$Z$2)</f>
        <v>0</v>
      </c>
      <c r="S38" s="21">
        <f t="shared" si="49"/>
        <v>0</v>
      </c>
      <c r="T38" s="23">
        <f>SUMIFS('Registre de reserves'!$R$2:$R$1178,'Registre de reserves'!$T$2:$T$1178,"NO",'Registre de reserves'!$I$2:$I$1178,'2025'!$A38,'Registre de reserves'!$B$2:$B$1178,'2025'!T$2,Tabla1[ANY],'2025'!$Z$2)</f>
        <v>0</v>
      </c>
      <c r="U38" s="21">
        <f t="shared" si="50"/>
        <v>0</v>
      </c>
      <c r="V38" s="23">
        <f>SUMIFS('Registre de reserves'!$R$2:$R$1178,'Registre de reserves'!$T$2:$T$1178,"NO",'Registre de reserves'!$I$2:$I$1178,'2025'!$A38,'Registre de reserves'!$B$2:$B$1178,'2025'!V$2,Tabla1[ANY],'2025'!$Z$2)</f>
        <v>0</v>
      </c>
      <c r="W38" s="21">
        <f t="shared" si="51"/>
        <v>0</v>
      </c>
      <c r="X38" s="23">
        <f>SUMIFS('Registre de reserves'!$R$2:$R$1178,'Registre de reserves'!$T$2:$T$1178,"NO",'Registre de reserves'!$I$2:$I$1178,'2025'!$A38,'Registre de reserves'!$B$2:$B$1178,'2025'!X$2,Tabla1[ANY],'2025'!$Z$2)</f>
        <v>0</v>
      </c>
      <c r="Y38" s="21">
        <f t="shared" si="52"/>
        <v>0</v>
      </c>
      <c r="Z38" s="20">
        <f t="shared" si="54"/>
        <v>0</v>
      </c>
      <c r="AA38" s="21">
        <f t="shared" si="55"/>
        <v>0</v>
      </c>
      <c r="AB38" s="178">
        <f t="shared" si="2"/>
        <v>0</v>
      </c>
    </row>
    <row r="39" spans="1:28" hidden="1" outlineLevel="1" x14ac:dyDescent="0.2">
      <c r="A39" s="8" t="s">
        <v>73</v>
      </c>
      <c r="B39" s="23">
        <f>SUMIFS('Registre de reserves'!$R$2:$R$1178,'Registre de reserves'!$T$2:$T$1178,"NO",'Registre de reserves'!$I$2:$I$1178,'2025'!$A39,'Registre de reserves'!$B$2:$B$1178,'2025'!B$2,Tabla1[ANY],'2025'!$Z$2)</f>
        <v>0</v>
      </c>
      <c r="C39" s="21">
        <f t="shared" si="53"/>
        <v>0</v>
      </c>
      <c r="D39" s="23">
        <f>SUMIFS('Registre de reserves'!$R$2:$R$1178,'Registre de reserves'!$T$2:$T$1178,"NO",'Registre de reserves'!$I$2:$I$1178,'2025'!$A39,'Registre de reserves'!$B$2:$B$1178,'2025'!D$2,Tabla1[ANY],'2025'!$Z$2)</f>
        <v>0</v>
      </c>
      <c r="E39" s="21">
        <f t="shared" si="53"/>
        <v>0</v>
      </c>
      <c r="F39" s="23">
        <f>SUMIFS('Registre de reserves'!$R$2:$R$1178,'Registre de reserves'!$T$2:$T$1178,"NO",'Registre de reserves'!$I$2:$I$1178,'2025'!$A39,'Registre de reserves'!$B$2:$B$1178,'2025'!F$2,Tabla1[ANY],'2025'!$Z$2)</f>
        <v>0</v>
      </c>
      <c r="G39" s="21">
        <f t="shared" si="43"/>
        <v>0</v>
      </c>
      <c r="H39" s="23">
        <f>SUMIFS('Registre de reserves'!$R$2:$R$1178,'Registre de reserves'!$T$2:$T$1178,"NO",'Registre de reserves'!$I$2:$I$1178,'2025'!$A39,'Registre de reserves'!$B$2:$B$1178,'2025'!H$2,Tabla1[ANY],'2025'!$Z$2)</f>
        <v>0</v>
      </c>
      <c r="I39" s="21">
        <f t="shared" si="44"/>
        <v>0</v>
      </c>
      <c r="J39" s="23">
        <f>SUMIFS('Registre de reserves'!$R$2:$R$1178,'Registre de reserves'!$T$2:$T$1178,"NO",'Registre de reserves'!$I$2:$I$1178,'2025'!$A39,'Registre de reserves'!$B$2:$B$1178,'2025'!J$2,Tabla1[ANY],'2025'!$Z$2)</f>
        <v>0</v>
      </c>
      <c r="K39" s="21">
        <f t="shared" si="45"/>
        <v>0</v>
      </c>
      <c r="L39" s="23">
        <f>SUMIFS('Registre de reserves'!$R$2:$R$1178,'Registre de reserves'!$T$2:$T$1178,"NO",'Registre de reserves'!$I$2:$I$1178,'2025'!$A39,'Registre de reserves'!$B$2:$B$1178,'2025'!L$2,Tabla1[ANY],'2025'!$Z$2)</f>
        <v>0</v>
      </c>
      <c r="M39" s="21">
        <f t="shared" si="46"/>
        <v>0</v>
      </c>
      <c r="N39" s="23">
        <f>SUMIFS('Registre de reserves'!$R$2:$R$1178,'Registre de reserves'!$T$2:$T$1178,"NO",'Registre de reserves'!$I$2:$I$1178,'2025'!$A39,'Registre de reserves'!$B$2:$B$1178,'2025'!N$2,Tabla1[ANY],'2025'!$Z$2)</f>
        <v>0</v>
      </c>
      <c r="O39" s="21">
        <f t="shared" si="47"/>
        <v>0</v>
      </c>
      <c r="P39" s="23">
        <f>SUMIFS('Registre de reserves'!$R$2:$R$1178,'Registre de reserves'!$T$2:$T$1178,"NO",'Registre de reserves'!$I$2:$I$1178,'2025'!$A39,'Registre de reserves'!$B$2:$B$1178,'2025'!P$2,Tabla1[ANY],'2025'!$Z$2)</f>
        <v>0</v>
      </c>
      <c r="Q39" s="21">
        <f t="shared" si="48"/>
        <v>0</v>
      </c>
      <c r="R39" s="23">
        <f>SUMIFS('Registre de reserves'!$R$2:$R$1178,'Registre de reserves'!$T$2:$T$1178,"NO",'Registre de reserves'!$I$2:$I$1178,'2025'!$A39,'Registre de reserves'!$B$2:$B$1178,'2025'!R$2,Tabla1[ANY],'2025'!$Z$2)</f>
        <v>0</v>
      </c>
      <c r="S39" s="21">
        <f t="shared" si="49"/>
        <v>0</v>
      </c>
      <c r="T39" s="23">
        <f>SUMIFS('Registre de reserves'!$R$2:$R$1178,'Registre de reserves'!$T$2:$T$1178,"NO",'Registre de reserves'!$I$2:$I$1178,'2025'!$A39,'Registre de reserves'!$B$2:$B$1178,'2025'!T$2,Tabla1[ANY],'2025'!$Z$2)</f>
        <v>0</v>
      </c>
      <c r="U39" s="21">
        <f t="shared" si="50"/>
        <v>0</v>
      </c>
      <c r="V39" s="23">
        <f>SUMIFS('Registre de reserves'!$R$2:$R$1178,'Registre de reserves'!$T$2:$T$1178,"NO",'Registre de reserves'!$I$2:$I$1178,'2025'!$A39,'Registre de reserves'!$B$2:$B$1178,'2025'!V$2,Tabla1[ANY],'2025'!$Z$2)</f>
        <v>0</v>
      </c>
      <c r="W39" s="21">
        <f t="shared" si="51"/>
        <v>0</v>
      </c>
      <c r="X39" s="23">
        <f>SUMIFS('Registre de reserves'!$R$2:$R$1178,'Registre de reserves'!$T$2:$T$1178,"NO",'Registre de reserves'!$I$2:$I$1178,'2025'!$A39,'Registre de reserves'!$B$2:$B$1178,'2025'!X$2,Tabla1[ANY],'2025'!$Z$2)</f>
        <v>0</v>
      </c>
      <c r="Y39" s="21">
        <f t="shared" si="52"/>
        <v>0</v>
      </c>
      <c r="Z39" s="20">
        <f t="shared" si="54"/>
        <v>0</v>
      </c>
      <c r="AA39" s="21">
        <f t="shared" si="55"/>
        <v>0</v>
      </c>
      <c r="AB39" s="178">
        <f t="shared" si="2"/>
        <v>0</v>
      </c>
    </row>
    <row r="40" spans="1:28" ht="15.75" collapsed="1" thickBot="1" x14ac:dyDescent="0.25">
      <c r="A40" s="14" t="s">
        <v>78</v>
      </c>
      <c r="B40" s="24">
        <f>B41+B49</f>
        <v>974.79</v>
      </c>
      <c r="C40" s="25">
        <f>IF(B3=0,0,B40/B3)</f>
        <v>0.20036793422404933</v>
      </c>
      <c r="D40" s="24">
        <f>D41+D49</f>
        <v>1404.73</v>
      </c>
      <c r="E40" s="25">
        <f>IF(D3=0,0,D40/D3)</f>
        <v>0.38328240109140521</v>
      </c>
      <c r="F40" s="24">
        <f>F41+F49</f>
        <v>1445.6599999999999</v>
      </c>
      <c r="G40" s="25">
        <f>IF(F3=0,0,F40/F3)</f>
        <v>0.36368805031446538</v>
      </c>
      <c r="H40" s="24">
        <f>H41+H49</f>
        <v>984.96999999999991</v>
      </c>
      <c r="I40" s="25">
        <f>IF(H3=0,0,H40/H3)</f>
        <v>0.30167534456355283</v>
      </c>
      <c r="J40" s="24">
        <f>J41+J49</f>
        <v>1370.83</v>
      </c>
      <c r="K40" s="25">
        <f>IF(J3=0,0,J40/J3)</f>
        <v>0.36265343915343912</v>
      </c>
      <c r="L40" s="24">
        <f>L41+L49</f>
        <v>905.56</v>
      </c>
      <c r="M40" s="25">
        <f>IF(L3=0,0,L40/L3)</f>
        <v>0.26478362573099412</v>
      </c>
      <c r="N40" s="24">
        <f>N41+N49</f>
        <v>0</v>
      </c>
      <c r="O40" s="25">
        <f>IF(N3=0,0,N40/N3)</f>
        <v>0</v>
      </c>
      <c r="P40" s="24">
        <f>P41+P49</f>
        <v>0</v>
      </c>
      <c r="Q40" s="25">
        <f>IF(P3=0,0,P40/P3)</f>
        <v>0</v>
      </c>
      <c r="R40" s="24">
        <f>R41+R49</f>
        <v>0</v>
      </c>
      <c r="S40" s="25">
        <f>IF(R3=0,0,R40/R3)</f>
        <v>0</v>
      </c>
      <c r="T40" s="24">
        <f>T41+T49</f>
        <v>0</v>
      </c>
      <c r="U40" s="25">
        <f>IF(T3=0,0,T40/T3)</f>
        <v>0</v>
      </c>
      <c r="V40" s="24">
        <f>V41+V49</f>
        <v>0</v>
      </c>
      <c r="W40" s="25">
        <f>IF(V3=0,0,V40/V3)</f>
        <v>0</v>
      </c>
      <c r="X40" s="24">
        <f>X41+X49</f>
        <v>0</v>
      </c>
      <c r="Y40" s="25">
        <f>IF(X3=0,0,X40/X3)</f>
        <v>0</v>
      </c>
      <c r="Z40" s="24">
        <f>Z41+Z49</f>
        <v>7086.54</v>
      </c>
      <c r="AA40" s="25">
        <f>IF(Z3=0,0,Z40/Z3)</f>
        <v>0.30851284283848496</v>
      </c>
      <c r="AB40" s="178">
        <f t="shared" si="2"/>
        <v>1181.0899999999999</v>
      </c>
    </row>
    <row r="41" spans="1:28" x14ac:dyDescent="0.2">
      <c r="A41" s="33" t="s">
        <v>79</v>
      </c>
      <c r="B41" s="18">
        <f>SUM(B42:B48)</f>
        <v>685.43</v>
      </c>
      <c r="C41" s="19">
        <f>IF(B$40=0,0,B41/B$40)</f>
        <v>0.70315657731408809</v>
      </c>
      <c r="D41" s="18">
        <f>SUM(D42:D48)</f>
        <v>688.22</v>
      </c>
      <c r="E41" s="19">
        <f>IF(D$40=0,0,D41/D$40)</f>
        <v>0.48993044926783086</v>
      </c>
      <c r="F41" s="18">
        <f>SUM(F42:F48)</f>
        <v>690.66</v>
      </c>
      <c r="G41" s="19">
        <f>IF(F$40=0,0,F41/F$40)</f>
        <v>0.47774718813552292</v>
      </c>
      <c r="H41" s="18">
        <f>SUM(H42:H48)</f>
        <v>690.66</v>
      </c>
      <c r="I41" s="19">
        <f>IF(H$40=0,0,H41/H$40)</f>
        <v>0.70119902128998857</v>
      </c>
      <c r="J41" s="18">
        <f>SUM(J42:J48)</f>
        <v>904.30000000000007</v>
      </c>
      <c r="K41" s="19">
        <f>IF(J$40=0,0,J41/J$40)</f>
        <v>0.65967333659170002</v>
      </c>
      <c r="L41" s="18">
        <f>SUM(L42:L48)</f>
        <v>425.2</v>
      </c>
      <c r="M41" s="19">
        <f>IF(L$40=0,0,L41/L$40)</f>
        <v>0.46954370776094351</v>
      </c>
      <c r="N41" s="18">
        <f>SUM(N42:N48)</f>
        <v>0</v>
      </c>
      <c r="O41" s="19">
        <f>IF(N$40=0,0,N41/N$40)</f>
        <v>0</v>
      </c>
      <c r="P41" s="18">
        <f>SUM(P42:P48)</f>
        <v>0</v>
      </c>
      <c r="Q41" s="19">
        <f>IF(P$40=0,0,P41/P$40)</f>
        <v>0</v>
      </c>
      <c r="R41" s="18">
        <f>SUM(R42:R48)</f>
        <v>0</v>
      </c>
      <c r="S41" s="19">
        <f>IF(R$40=0,0,R41/R$40)</f>
        <v>0</v>
      </c>
      <c r="T41" s="18">
        <f>SUM(T42:T48)</f>
        <v>0</v>
      </c>
      <c r="U41" s="19">
        <f>IF(T$40=0,0,T41/T$40)</f>
        <v>0</v>
      </c>
      <c r="V41" s="18">
        <f>SUM(V42:V48)</f>
        <v>0</v>
      </c>
      <c r="W41" s="19">
        <f>IF(V$40=0,0,V41/V$40)</f>
        <v>0</v>
      </c>
      <c r="X41" s="18">
        <f>SUM(X42:X48)</f>
        <v>0</v>
      </c>
      <c r="Y41" s="19">
        <f>IF(X$40=0,0,X41/X$40)</f>
        <v>0</v>
      </c>
      <c r="Z41" s="18">
        <f>SUM(Z42:Z48)</f>
        <v>4084.4700000000003</v>
      </c>
      <c r="AA41" s="19">
        <f>IF(Z$40=0,0,Z41/Z$40)</f>
        <v>0.57637013267405535</v>
      </c>
      <c r="AB41" s="178">
        <f t="shared" si="2"/>
        <v>680.745</v>
      </c>
    </row>
    <row r="42" spans="1:28" hidden="1" outlineLevel="1" x14ac:dyDescent="0.2">
      <c r="A42" s="8" t="s">
        <v>16</v>
      </c>
      <c r="B42" s="20">
        <f>SUMIFS(Tabla2[IMPORT],Tabla2[ANY],$Z$2,Tabla2[MES],'2025'!B$2,Tabla2[TIPUS],'2025'!$A42)</f>
        <v>558</v>
      </c>
      <c r="C42" s="21">
        <f>IF(B$41=0,0,B42/B$41)</f>
        <v>0.81408750711232369</v>
      </c>
      <c r="D42" s="20">
        <f>SUMIFS(Tabla2[IMPORT],Tabla2[ANY],$Z$2,Tabla2[MES],'2025'!D$2,Tabla2[TIPUS],'2025'!$A42)</f>
        <v>558</v>
      </c>
      <c r="E42" s="21">
        <f>IF(D$41=0,0,D42/D$41)</f>
        <v>0.81078724826363657</v>
      </c>
      <c r="F42" s="20">
        <f>SUMIFS(Tabla2[IMPORT],Tabla2[ANY],$Z$2,Tabla2[MES],'2025'!F$2,Tabla2[TIPUS],'2025'!$A42)</f>
        <v>558</v>
      </c>
      <c r="G42" s="21">
        <f t="shared" ref="G42:G48" si="56">IF(F$41=0,0,F42/F$41)</f>
        <v>0.80792285639822781</v>
      </c>
      <c r="H42" s="20">
        <f>SUMIFS(Tabla2[IMPORT],Tabla2[ANY],$Z$2,Tabla2[MES],'2025'!H$2,Tabla2[TIPUS],'2025'!$A42)</f>
        <v>558</v>
      </c>
      <c r="I42" s="21">
        <f t="shared" ref="I42:I48" si="57">IF(H$41=0,0,H42/H$41)</f>
        <v>0.80792285639822781</v>
      </c>
      <c r="J42" s="20">
        <f>SUMIFS(Tabla2[IMPORT],Tabla2[ANY],$Z$2,Tabla2[MES],'2025'!J$2,Tabla2[TIPUS],'2025'!$A42)</f>
        <v>400</v>
      </c>
      <c r="K42" s="21">
        <f t="shared" ref="K42:K48" si="58">IF(J$41=0,0,J42/J$41)</f>
        <v>0.44233108481698546</v>
      </c>
      <c r="L42" s="20">
        <f>SUMIFS(Tabla2[IMPORT],Tabla2[ANY],$Z$2,Tabla2[MES],'2025'!L$2,Tabla2[TIPUS],'2025'!$A42)</f>
        <v>425.2</v>
      </c>
      <c r="M42" s="21">
        <f t="shared" ref="M42:M48" si="59">IF(L$41=0,0,L42/L$41)</f>
        <v>1</v>
      </c>
      <c r="N42" s="20">
        <f>SUMIFS(Tabla2[IMPORT],Tabla2[ANY],$Z$2,Tabla2[MES],'2025'!N$2,Tabla2[TIPUS],'2025'!$A42)</f>
        <v>0</v>
      </c>
      <c r="O42" s="21">
        <f t="shared" ref="O42:O48" si="60">IF(N$41=0,0,N42/N$41)</f>
        <v>0</v>
      </c>
      <c r="P42" s="20">
        <f>SUMIFS(Tabla2[IMPORT],Tabla2[ANY],$Z$2,Tabla2[MES],'2025'!P$2,Tabla2[TIPUS],'2025'!$A42)</f>
        <v>0</v>
      </c>
      <c r="Q42" s="21">
        <f t="shared" ref="Q42:Q48" si="61">IF(P$41=0,0,P42/P$41)</f>
        <v>0</v>
      </c>
      <c r="R42" s="20">
        <f>SUMIFS(Tabla2[IMPORT],Tabla2[ANY],$Z$2,Tabla2[MES],'2025'!R$2,Tabla2[TIPUS],'2025'!$A42)</f>
        <v>0</v>
      </c>
      <c r="S42" s="21">
        <f t="shared" ref="S42:S48" si="62">IF(R$41=0,0,R42/R$41)</f>
        <v>0</v>
      </c>
      <c r="T42" s="20">
        <f>SUMIFS(Tabla2[IMPORT],Tabla2[ANY],$Z$2,Tabla2[MES],'2025'!T$2,Tabla2[TIPUS],'2025'!$A42)</f>
        <v>0</v>
      </c>
      <c r="U42" s="21">
        <f t="shared" ref="U42:U48" si="63">IF(T$41=0,0,T42/T$41)</f>
        <v>0</v>
      </c>
      <c r="V42" s="20">
        <f>SUMIFS(Tabla2[IMPORT],Tabla2[ANY],$Z$2,Tabla2[MES],'2025'!V$2,Tabla2[TIPUS],'2025'!$A42)</f>
        <v>0</v>
      </c>
      <c r="W42" s="21">
        <f t="shared" ref="W42:W48" si="64">IF(V$41=0,0,V42/V$41)</f>
        <v>0</v>
      </c>
      <c r="X42" s="20">
        <f>SUMIFS(Tabla2[IMPORT],Tabla2[ANY],$Z$2,Tabla2[MES],'2025'!X$2,Tabla2[TIPUS],'2025'!$A42)</f>
        <v>0</v>
      </c>
      <c r="Y42" s="21">
        <f t="shared" ref="Y42:Y48" si="65">IF(X$41=0,0,X42/X$41)</f>
        <v>0</v>
      </c>
      <c r="Z42" s="20">
        <f t="shared" ref="Z42:Z54" si="66">B42+D42+F42+H42+J42+L42+N42+P42+R42+T42+V42+X42</f>
        <v>3057.2</v>
      </c>
      <c r="AA42" s="21">
        <f>IF(Z$41=0,0,Z42/Z$41)</f>
        <v>0.74849368461513965</v>
      </c>
      <c r="AB42" s="178">
        <f t="shared" si="2"/>
        <v>509.5333333333333</v>
      </c>
    </row>
    <row r="43" spans="1:28" hidden="1" outlineLevel="1" x14ac:dyDescent="0.2">
      <c r="A43" s="8" t="s">
        <v>17</v>
      </c>
      <c r="B43" s="20">
        <f>SUMIFS(Tabla2[IMPORT],Tabla2[ANY],$Z$2,Tabla2[MES],'2025'!B$2,Tabla2[TIPUS],'2025'!$A43)</f>
        <v>0</v>
      </c>
      <c r="C43" s="21">
        <f t="shared" ref="C43:E48" si="67">IF(B$41=0,0,B43/B$41)</f>
        <v>0</v>
      </c>
      <c r="D43" s="20">
        <f>SUMIFS(Tabla2[IMPORT],Tabla2[ANY],$Z$2,Tabla2[MES],'2025'!D$2,Tabla2[TIPUS],'2025'!$A43)</f>
        <v>0</v>
      </c>
      <c r="E43" s="21">
        <f t="shared" si="67"/>
        <v>0</v>
      </c>
      <c r="F43" s="20">
        <f>SUMIFS(Tabla2[IMPORT],Tabla2[ANY],$Z$2,Tabla2[MES],'2025'!F$2,Tabla2[TIPUS],'2025'!$A43)</f>
        <v>0</v>
      </c>
      <c r="G43" s="21">
        <f t="shared" si="56"/>
        <v>0</v>
      </c>
      <c r="H43" s="20">
        <f>SUMIFS(Tabla2[IMPORT],Tabla2[ANY],$Z$2,Tabla2[MES],'2025'!H$2,Tabla2[TIPUS],'2025'!$A43)</f>
        <v>0</v>
      </c>
      <c r="I43" s="21">
        <f t="shared" si="57"/>
        <v>0</v>
      </c>
      <c r="J43" s="20">
        <f>SUMIFS(Tabla2[IMPORT],Tabla2[ANY],$Z$2,Tabla2[MES],'2025'!J$2,Tabla2[TIPUS],'2025'!$A43)</f>
        <v>0</v>
      </c>
      <c r="K43" s="21">
        <f t="shared" si="58"/>
        <v>0</v>
      </c>
      <c r="L43" s="20">
        <f>SUMIFS(Tabla2[IMPORT],Tabla2[ANY],$Z$2,Tabla2[MES],'2025'!L$2,Tabla2[TIPUS],'2025'!$A43)</f>
        <v>0</v>
      </c>
      <c r="M43" s="21">
        <f t="shared" si="59"/>
        <v>0</v>
      </c>
      <c r="N43" s="20">
        <f>SUMIFS(Tabla2[IMPORT],Tabla2[ANY],$Z$2,Tabla2[MES],'2025'!N$2,Tabla2[TIPUS],'2025'!$A43)</f>
        <v>0</v>
      </c>
      <c r="O43" s="21">
        <f t="shared" si="60"/>
        <v>0</v>
      </c>
      <c r="P43" s="20">
        <f>SUMIFS(Tabla2[IMPORT],Tabla2[ANY],$Z$2,Tabla2[MES],'2025'!P$2,Tabla2[TIPUS],'2025'!$A43)</f>
        <v>0</v>
      </c>
      <c r="Q43" s="21">
        <f t="shared" si="61"/>
        <v>0</v>
      </c>
      <c r="R43" s="20">
        <f>SUMIFS(Tabla2[IMPORT],Tabla2[ANY],$Z$2,Tabla2[MES],'2025'!R$2,Tabla2[TIPUS],'2025'!$A43)</f>
        <v>0</v>
      </c>
      <c r="S43" s="21">
        <f t="shared" si="62"/>
        <v>0</v>
      </c>
      <c r="T43" s="20">
        <f>SUMIFS(Tabla2[IMPORT],Tabla2[ANY],$Z$2,Tabla2[MES],'2025'!T$2,Tabla2[TIPUS],'2025'!$A43)</f>
        <v>0</v>
      </c>
      <c r="U43" s="21">
        <f t="shared" si="63"/>
        <v>0</v>
      </c>
      <c r="V43" s="20">
        <f>SUMIFS(Tabla2[IMPORT],Tabla2[ANY],$Z$2,Tabla2[MES],'2025'!V$2,Tabla2[TIPUS],'2025'!$A43)</f>
        <v>0</v>
      </c>
      <c r="W43" s="21">
        <f t="shared" si="64"/>
        <v>0</v>
      </c>
      <c r="X43" s="20">
        <f>SUMIFS(Tabla2[IMPORT],Tabla2[ANY],$Z$2,Tabla2[MES],'2025'!X$2,Tabla2[TIPUS],'2025'!$A43)</f>
        <v>0</v>
      </c>
      <c r="Y43" s="21">
        <f t="shared" si="65"/>
        <v>0</v>
      </c>
      <c r="Z43" s="20">
        <f t="shared" si="66"/>
        <v>0</v>
      </c>
      <c r="AA43" s="21">
        <f t="shared" ref="AA43:AA48" si="68">IF(Z$41=0,0,Z43/Z$41)</f>
        <v>0</v>
      </c>
      <c r="AB43" s="178">
        <f t="shared" si="2"/>
        <v>0</v>
      </c>
    </row>
    <row r="44" spans="1:28" hidden="1" outlineLevel="1" x14ac:dyDescent="0.2">
      <c r="A44" s="8" t="s">
        <v>85</v>
      </c>
      <c r="B44" s="20">
        <f>SUMIFS(Tabla2[IMPORT],Tabla2[ANY],$Z$2,Tabla2[MES],'2025'!B$2,Tabla2[TIPUS],'2025'!$A44)</f>
        <v>63.53</v>
      </c>
      <c r="C44" s="21">
        <f t="shared" si="67"/>
        <v>9.2686342879652203E-2</v>
      </c>
      <c r="D44" s="20">
        <f>SUMIFS(Tabla2[IMPORT],Tabla2[ANY],$Z$2,Tabla2[MES],'2025'!D$2,Tabla2[TIPUS],'2025'!$A44)</f>
        <v>65.11</v>
      </c>
      <c r="E44" s="21">
        <f t="shared" si="67"/>
        <v>9.4606375868181686E-2</v>
      </c>
      <c r="F44" s="20">
        <f>SUMIFS(Tabla2[IMPORT],Tabla2[ANY],$Z$2,Tabla2[MES],'2025'!F$2,Tabla2[TIPUS],'2025'!$A44)</f>
        <v>65.11</v>
      </c>
      <c r="G44" s="21">
        <f t="shared" si="56"/>
        <v>9.4272145484029776E-2</v>
      </c>
      <c r="H44" s="20">
        <f>SUMIFS(Tabla2[IMPORT],Tabla2[ANY],$Z$2,Tabla2[MES],'2025'!H$2,Tabla2[TIPUS],'2025'!$A44)</f>
        <v>65.11</v>
      </c>
      <c r="I44" s="21">
        <f t="shared" si="57"/>
        <v>9.4272145484029776E-2</v>
      </c>
      <c r="J44" s="20">
        <f>SUMIFS(Tabla2[IMPORT],Tabla2[ANY],$Z$2,Tabla2[MES],'2025'!J$2,Tabla2[TIPUS],'2025'!$A44)</f>
        <v>65.11</v>
      </c>
      <c r="K44" s="21">
        <f t="shared" si="58"/>
        <v>7.200044233108481E-2</v>
      </c>
      <c r="L44" s="20">
        <f>SUMIFS(Tabla2[IMPORT],Tabla2[ANY],$Z$2,Tabla2[MES],'2025'!L$2,Tabla2[TIPUS],'2025'!$A44)</f>
        <v>0</v>
      </c>
      <c r="M44" s="21">
        <f t="shared" si="59"/>
        <v>0</v>
      </c>
      <c r="N44" s="20">
        <f>SUMIFS(Tabla2[IMPORT],Tabla2[ANY],$Z$2,Tabla2[MES],'2025'!N$2,Tabla2[TIPUS],'2025'!$A44)</f>
        <v>0</v>
      </c>
      <c r="O44" s="21">
        <f t="shared" si="60"/>
        <v>0</v>
      </c>
      <c r="P44" s="20">
        <f>SUMIFS(Tabla2[IMPORT],Tabla2[ANY],$Z$2,Tabla2[MES],'2025'!P$2,Tabla2[TIPUS],'2025'!$A44)</f>
        <v>0</v>
      </c>
      <c r="Q44" s="21">
        <f t="shared" si="61"/>
        <v>0</v>
      </c>
      <c r="R44" s="20">
        <f>SUMIFS(Tabla2[IMPORT],Tabla2[ANY],$Z$2,Tabla2[MES],'2025'!R$2,Tabla2[TIPUS],'2025'!$A44)</f>
        <v>0</v>
      </c>
      <c r="S44" s="21">
        <f t="shared" si="62"/>
        <v>0</v>
      </c>
      <c r="T44" s="20">
        <f>SUMIFS(Tabla2[IMPORT],Tabla2[ANY],$Z$2,Tabla2[MES],'2025'!T$2,Tabla2[TIPUS],'2025'!$A44)</f>
        <v>0</v>
      </c>
      <c r="U44" s="21">
        <f t="shared" si="63"/>
        <v>0</v>
      </c>
      <c r="V44" s="20">
        <f>SUMIFS(Tabla2[IMPORT],Tabla2[ANY],$Z$2,Tabla2[MES],'2025'!V$2,Tabla2[TIPUS],'2025'!$A44)</f>
        <v>0</v>
      </c>
      <c r="W44" s="21">
        <f t="shared" si="64"/>
        <v>0</v>
      </c>
      <c r="X44" s="20">
        <f>SUMIFS(Tabla2[IMPORT],Tabla2[ANY],$Z$2,Tabla2[MES],'2025'!X$2,Tabla2[TIPUS],'2025'!$A44)</f>
        <v>0</v>
      </c>
      <c r="Y44" s="21">
        <f t="shared" si="65"/>
        <v>0</v>
      </c>
      <c r="Z44" s="20">
        <f t="shared" si="66"/>
        <v>323.97000000000003</v>
      </c>
      <c r="AA44" s="21">
        <f t="shared" si="68"/>
        <v>7.9317512431233431E-2</v>
      </c>
      <c r="AB44" s="178">
        <f t="shared" si="2"/>
        <v>53.995000000000005</v>
      </c>
    </row>
    <row r="45" spans="1:28" hidden="1" outlineLevel="1" x14ac:dyDescent="0.2">
      <c r="A45" s="8" t="s">
        <v>94</v>
      </c>
      <c r="B45" s="20">
        <f>SUMIFS(Tabla2[IMPORT],Tabla2[ANY],$Z$2,Tabla2[MES],'2025'!B$2,Tabla2[TIPUS],'2025'!$A45)</f>
        <v>0</v>
      </c>
      <c r="C45" s="21">
        <f t="shared" si="67"/>
        <v>0</v>
      </c>
      <c r="D45" s="20">
        <f>SUMIFS(Tabla2[IMPORT],Tabla2[ANY],$Z$2,Tabla2[MES],'2025'!D$2,Tabla2[TIPUS],'2025'!$A45)</f>
        <v>0</v>
      </c>
      <c r="E45" s="21">
        <f t="shared" si="67"/>
        <v>0</v>
      </c>
      <c r="F45" s="20">
        <f>SUMIFS(Tabla2[IMPORT],Tabla2[ANY],$Z$2,Tabla2[MES],'2025'!F$2,Tabla2[TIPUS],'2025'!$A45)</f>
        <v>0</v>
      </c>
      <c r="G45" s="21">
        <f t="shared" si="56"/>
        <v>0</v>
      </c>
      <c r="H45" s="20">
        <f>SUMIFS(Tabla2[IMPORT],Tabla2[ANY],$Z$2,Tabla2[MES],'2025'!H$2,Tabla2[TIPUS],'2025'!$A45)</f>
        <v>0</v>
      </c>
      <c r="I45" s="21">
        <f t="shared" si="57"/>
        <v>0</v>
      </c>
      <c r="J45" s="20">
        <f>SUMIFS(Tabla2[IMPORT],Tabla2[ANY],$Z$2,Tabla2[MES],'2025'!J$2,Tabla2[TIPUS],'2025'!$A45)</f>
        <v>371.09</v>
      </c>
      <c r="K45" s="21">
        <f t="shared" si="58"/>
        <v>0.41036160566183782</v>
      </c>
      <c r="L45" s="20">
        <f>SUMIFS(Tabla2[IMPORT],Tabla2[ANY],$Z$2,Tabla2[MES],'2025'!L$2,Tabla2[TIPUS],'2025'!$A45)</f>
        <v>0</v>
      </c>
      <c r="M45" s="21">
        <f t="shared" si="59"/>
        <v>0</v>
      </c>
      <c r="N45" s="20">
        <f>SUMIFS(Tabla2[IMPORT],Tabla2[ANY],$Z$2,Tabla2[MES],'2025'!N$2,Tabla2[TIPUS],'2025'!$A45)</f>
        <v>0</v>
      </c>
      <c r="O45" s="21">
        <f t="shared" si="60"/>
        <v>0</v>
      </c>
      <c r="P45" s="20">
        <f>SUMIFS(Tabla2[IMPORT],Tabla2[ANY],$Z$2,Tabla2[MES],'2025'!P$2,Tabla2[TIPUS],'2025'!$A45)</f>
        <v>0</v>
      </c>
      <c r="Q45" s="21">
        <f t="shared" si="61"/>
        <v>0</v>
      </c>
      <c r="R45" s="20">
        <f>SUMIFS(Tabla2[IMPORT],Tabla2[ANY],$Z$2,Tabla2[MES],'2025'!R$2,Tabla2[TIPUS],'2025'!$A45)</f>
        <v>0</v>
      </c>
      <c r="S45" s="21">
        <f t="shared" si="62"/>
        <v>0</v>
      </c>
      <c r="T45" s="20">
        <f>SUMIFS(Tabla2[IMPORT],Tabla2[ANY],$Z$2,Tabla2[MES],'2025'!T$2,Tabla2[TIPUS],'2025'!$A45)</f>
        <v>0</v>
      </c>
      <c r="U45" s="21">
        <f t="shared" si="63"/>
        <v>0</v>
      </c>
      <c r="V45" s="20">
        <f>SUMIFS(Tabla2[IMPORT],Tabla2[ANY],$Z$2,Tabla2[MES],'2025'!V$2,Tabla2[TIPUS],'2025'!$A45)</f>
        <v>0</v>
      </c>
      <c r="W45" s="21">
        <f t="shared" si="64"/>
        <v>0</v>
      </c>
      <c r="X45" s="20">
        <f>SUMIFS(Tabla2[IMPORT],Tabla2[ANY],$Z$2,Tabla2[MES],'2025'!X$2,Tabla2[TIPUS],'2025'!$A45)</f>
        <v>0</v>
      </c>
      <c r="Y45" s="21">
        <f t="shared" si="65"/>
        <v>0</v>
      </c>
      <c r="Z45" s="20">
        <f t="shared" si="66"/>
        <v>371.09</v>
      </c>
      <c r="AA45" s="21">
        <f t="shared" si="68"/>
        <v>9.0853892916339191E-2</v>
      </c>
      <c r="AB45" s="178">
        <f t="shared" si="2"/>
        <v>61.848333333333329</v>
      </c>
    </row>
    <row r="46" spans="1:28" hidden="1" outlineLevel="1" x14ac:dyDescent="0.2">
      <c r="A46" s="8" t="s">
        <v>118</v>
      </c>
      <c r="B46" s="20">
        <f>SUMIFS(Tabla2[IMPORT],Tabla2[ANY],$Z$2,Tabla2[MES],'2025'!B$2,Tabla2[TIPUS],'2025'!$A46)</f>
        <v>0</v>
      </c>
      <c r="C46" s="21">
        <f t="shared" si="67"/>
        <v>0</v>
      </c>
      <c r="D46" s="20">
        <f>SUMIFS(Tabla2[IMPORT],Tabla2[ANY],$Z$2,Tabla2[MES],'2025'!D$2,Tabla2[TIPUS],'2025'!$A46)</f>
        <v>0</v>
      </c>
      <c r="E46" s="21">
        <f t="shared" si="67"/>
        <v>0</v>
      </c>
      <c r="F46" s="20">
        <f>SUMIFS(Tabla2[IMPORT],Tabla2[ANY],$Z$2,Tabla2[MES],'2025'!F$2,Tabla2[TIPUS],'2025'!$A46)</f>
        <v>0</v>
      </c>
      <c r="G46" s="21">
        <f t="shared" si="56"/>
        <v>0</v>
      </c>
      <c r="H46" s="20">
        <f>SUMIFS(Tabla2[IMPORT],Tabla2[ANY],$Z$2,Tabla2[MES],'2025'!H$2,Tabla2[TIPUS],'2025'!$A46)</f>
        <v>0</v>
      </c>
      <c r="I46" s="21">
        <f t="shared" si="57"/>
        <v>0</v>
      </c>
      <c r="J46" s="20">
        <f>SUMIFS(Tabla2[IMPORT],Tabla2[ANY],$Z$2,Tabla2[MES],'2025'!J$2,Tabla2[TIPUS],'2025'!$A46)</f>
        <v>0</v>
      </c>
      <c r="K46" s="21">
        <f t="shared" si="58"/>
        <v>0</v>
      </c>
      <c r="L46" s="20">
        <f>SUMIFS(Tabla2[IMPORT],Tabla2[ANY],$Z$2,Tabla2[MES],'2025'!L$2,Tabla2[TIPUS],'2025'!$A46)</f>
        <v>0</v>
      </c>
      <c r="M46" s="21">
        <f t="shared" si="59"/>
        <v>0</v>
      </c>
      <c r="N46" s="20">
        <f>SUMIFS(Tabla2[IMPORT],Tabla2[ANY],$Z$2,Tabla2[MES],'2025'!N$2,Tabla2[TIPUS],'2025'!$A46)</f>
        <v>0</v>
      </c>
      <c r="O46" s="21">
        <f t="shared" si="60"/>
        <v>0</v>
      </c>
      <c r="P46" s="20">
        <f>SUMIFS(Tabla2[IMPORT],Tabla2[ANY],$Z$2,Tabla2[MES],'2025'!P$2,Tabla2[TIPUS],'2025'!$A46)</f>
        <v>0</v>
      </c>
      <c r="Q46" s="21">
        <f t="shared" si="61"/>
        <v>0</v>
      </c>
      <c r="R46" s="20">
        <f>SUMIFS(Tabla2[IMPORT],Tabla2[ANY],$Z$2,Tabla2[MES],'2025'!R$2,Tabla2[TIPUS],'2025'!$A46)</f>
        <v>0</v>
      </c>
      <c r="S46" s="21">
        <f t="shared" si="62"/>
        <v>0</v>
      </c>
      <c r="T46" s="20">
        <f>SUMIFS(Tabla2[IMPORT],Tabla2[ANY],$Z$2,Tabla2[MES],'2025'!T$2,Tabla2[TIPUS],'2025'!$A46)</f>
        <v>0</v>
      </c>
      <c r="U46" s="21">
        <f t="shared" si="63"/>
        <v>0</v>
      </c>
      <c r="V46" s="20">
        <f>SUMIFS(Tabla2[IMPORT],Tabla2[ANY],$Z$2,Tabla2[MES],'2025'!V$2,Tabla2[TIPUS],'2025'!$A46)</f>
        <v>0</v>
      </c>
      <c r="W46" s="21">
        <f t="shared" si="64"/>
        <v>0</v>
      </c>
      <c r="X46" s="20">
        <f>SUMIFS(Tabla2[IMPORT],Tabla2[ANY],$Z$2,Tabla2[MES],'2025'!X$2,Tabla2[TIPUS],'2025'!$A46)</f>
        <v>0</v>
      </c>
      <c r="Y46" s="21">
        <f t="shared" si="65"/>
        <v>0</v>
      </c>
      <c r="Z46" s="20">
        <f t="shared" si="66"/>
        <v>0</v>
      </c>
      <c r="AA46" s="21">
        <f t="shared" si="68"/>
        <v>0</v>
      </c>
      <c r="AB46" s="178">
        <f t="shared" si="2"/>
        <v>0</v>
      </c>
    </row>
    <row r="47" spans="1:28" hidden="1" outlineLevel="1" x14ac:dyDescent="0.2">
      <c r="A47" s="8" t="s">
        <v>97</v>
      </c>
      <c r="B47" s="20">
        <f>SUMIFS(Tabla2[IMPORT],Tabla2[ANY],$Z$2,Tabla2[MES],'2025'!B$2,Tabla2[TIPUS],'2025'!$A47)</f>
        <v>0</v>
      </c>
      <c r="C47" s="21">
        <f t="shared" si="67"/>
        <v>0</v>
      </c>
      <c r="D47" s="20">
        <f>SUMIFS(Tabla2[IMPORT],Tabla2[ANY],$Z$2,Tabla2[MES],'2025'!D$2,Tabla2[TIPUS],'2025'!$A47)</f>
        <v>0</v>
      </c>
      <c r="E47" s="21">
        <f t="shared" si="67"/>
        <v>0</v>
      </c>
      <c r="F47" s="20">
        <f>SUMIFS(Tabla2[IMPORT],Tabla2[ANY],$Z$2,Tabla2[MES],'2025'!F$2,Tabla2[TIPUS],'2025'!$A47)</f>
        <v>0</v>
      </c>
      <c r="G47" s="21">
        <f t="shared" si="56"/>
        <v>0</v>
      </c>
      <c r="H47" s="20">
        <f>SUMIFS(Tabla2[IMPORT],Tabla2[ANY],$Z$2,Tabla2[MES],'2025'!H$2,Tabla2[TIPUS],'2025'!$A47)</f>
        <v>0</v>
      </c>
      <c r="I47" s="21">
        <f t="shared" si="57"/>
        <v>0</v>
      </c>
      <c r="J47" s="20">
        <f>SUMIFS(Tabla2[IMPORT],Tabla2[ANY],$Z$2,Tabla2[MES],'2025'!J$2,Tabla2[TIPUS],'2025'!$A47)</f>
        <v>0</v>
      </c>
      <c r="K47" s="21">
        <f t="shared" si="58"/>
        <v>0</v>
      </c>
      <c r="L47" s="20">
        <f>SUMIFS(Tabla2[IMPORT],Tabla2[ANY],$Z$2,Tabla2[MES],'2025'!L$2,Tabla2[TIPUS],'2025'!$A47)</f>
        <v>0</v>
      </c>
      <c r="M47" s="21">
        <f t="shared" si="59"/>
        <v>0</v>
      </c>
      <c r="N47" s="20">
        <f>SUMIFS(Tabla2[IMPORT],Tabla2[ANY],$Z$2,Tabla2[MES],'2025'!N$2,Tabla2[TIPUS],'2025'!$A47)</f>
        <v>0</v>
      </c>
      <c r="O47" s="21">
        <f t="shared" si="60"/>
        <v>0</v>
      </c>
      <c r="P47" s="20">
        <f>SUMIFS(Tabla2[IMPORT],Tabla2[ANY],$Z$2,Tabla2[MES],'2025'!P$2,Tabla2[TIPUS],'2025'!$A47)</f>
        <v>0</v>
      </c>
      <c r="Q47" s="21">
        <f t="shared" si="61"/>
        <v>0</v>
      </c>
      <c r="R47" s="20">
        <f>SUMIFS(Tabla2[IMPORT],Tabla2[ANY],$Z$2,Tabla2[MES],'2025'!R$2,Tabla2[TIPUS],'2025'!$A47)</f>
        <v>0</v>
      </c>
      <c r="S47" s="21">
        <f t="shared" si="62"/>
        <v>0</v>
      </c>
      <c r="T47" s="20">
        <f>SUMIFS(Tabla2[IMPORT],Tabla2[ANY],$Z$2,Tabla2[MES],'2025'!T$2,Tabla2[TIPUS],'2025'!$A47)</f>
        <v>0</v>
      </c>
      <c r="U47" s="21">
        <f t="shared" si="63"/>
        <v>0</v>
      </c>
      <c r="V47" s="20">
        <f>SUMIFS(Tabla2[IMPORT],Tabla2[ANY],$Z$2,Tabla2[MES],'2025'!V$2,Tabla2[TIPUS],'2025'!$A47)</f>
        <v>0</v>
      </c>
      <c r="W47" s="21">
        <f t="shared" si="64"/>
        <v>0</v>
      </c>
      <c r="X47" s="20">
        <f>SUMIFS(Tabla2[IMPORT],Tabla2[ANY],$Z$2,Tabla2[MES],'2025'!X$2,Tabla2[TIPUS],'2025'!$A47)</f>
        <v>0</v>
      </c>
      <c r="Y47" s="21">
        <f t="shared" si="65"/>
        <v>0</v>
      </c>
      <c r="Z47" s="20">
        <f t="shared" si="66"/>
        <v>0</v>
      </c>
      <c r="AA47" s="21">
        <f t="shared" si="68"/>
        <v>0</v>
      </c>
      <c r="AB47" s="178">
        <f t="shared" si="2"/>
        <v>0</v>
      </c>
    </row>
    <row r="48" spans="1:28" hidden="1" outlineLevel="1" x14ac:dyDescent="0.2">
      <c r="A48" s="8" t="s">
        <v>113</v>
      </c>
      <c r="B48" s="20">
        <f>SUMIFS(Tabla2[IMPORT],Tabla2[ANY],$Z$2,Tabla2[MES],'2025'!B$2,Tabla2[TIPUS],'2025'!$A48)</f>
        <v>63.9</v>
      </c>
      <c r="C48" s="21">
        <f t="shared" si="67"/>
        <v>9.3226150008024158E-2</v>
      </c>
      <c r="D48" s="20">
        <f>SUMIFS(Tabla2[IMPORT],Tabla2[ANY],$Z$2,Tabla2[MES],'2025'!D$2,Tabla2[TIPUS],'2025'!$A48)</f>
        <v>65.11</v>
      </c>
      <c r="E48" s="21">
        <f t="shared" si="67"/>
        <v>9.4606375868181686E-2</v>
      </c>
      <c r="F48" s="20">
        <f>SUMIFS(Tabla2[IMPORT],Tabla2[ANY],$Z$2,Tabla2[MES],'2025'!F$2,Tabla2[TIPUS],'2025'!$A48)</f>
        <v>67.55</v>
      </c>
      <c r="G48" s="21">
        <f t="shared" si="56"/>
        <v>9.7804998117742445E-2</v>
      </c>
      <c r="H48" s="20">
        <f>SUMIFS(Tabla2[IMPORT],Tabla2[ANY],$Z$2,Tabla2[MES],'2025'!H$2,Tabla2[TIPUS],'2025'!$A48)</f>
        <v>67.55</v>
      </c>
      <c r="I48" s="21">
        <f t="shared" si="57"/>
        <v>9.7804998117742445E-2</v>
      </c>
      <c r="J48" s="20">
        <f>SUMIFS(Tabla2[IMPORT],Tabla2[ANY],$Z$2,Tabla2[MES],'2025'!J$2,Tabla2[TIPUS],'2025'!$A48)</f>
        <v>68.099999999999994</v>
      </c>
      <c r="K48" s="21">
        <f t="shared" si="58"/>
        <v>7.5306867190091775E-2</v>
      </c>
      <c r="L48" s="20">
        <f>SUMIFS(Tabla2[IMPORT],Tabla2[ANY],$Z$2,Tabla2[MES],'2025'!L$2,Tabla2[TIPUS],'2025'!$A48)</f>
        <v>0</v>
      </c>
      <c r="M48" s="21">
        <f t="shared" si="59"/>
        <v>0</v>
      </c>
      <c r="N48" s="20">
        <f>SUMIFS(Tabla2[IMPORT],Tabla2[ANY],$Z$2,Tabla2[MES],'2025'!N$2,Tabla2[TIPUS],'2025'!$A48)</f>
        <v>0</v>
      </c>
      <c r="O48" s="21">
        <f t="shared" si="60"/>
        <v>0</v>
      </c>
      <c r="P48" s="20">
        <f>SUMIFS(Tabla2[IMPORT],Tabla2[ANY],$Z$2,Tabla2[MES],'2025'!P$2,Tabla2[TIPUS],'2025'!$A48)</f>
        <v>0</v>
      </c>
      <c r="Q48" s="21">
        <f t="shared" si="61"/>
        <v>0</v>
      </c>
      <c r="R48" s="20">
        <f>SUMIFS(Tabla2[IMPORT],Tabla2[ANY],$Z$2,Tabla2[MES],'2025'!R$2,Tabla2[TIPUS],'2025'!$A48)</f>
        <v>0</v>
      </c>
      <c r="S48" s="21">
        <f t="shared" si="62"/>
        <v>0</v>
      </c>
      <c r="T48" s="20">
        <f>SUMIFS(Tabla2[IMPORT],Tabla2[ANY],$Z$2,Tabla2[MES],'2025'!T$2,Tabla2[TIPUS],'2025'!$A48)</f>
        <v>0</v>
      </c>
      <c r="U48" s="21">
        <f t="shared" si="63"/>
        <v>0</v>
      </c>
      <c r="V48" s="20">
        <f>SUMIFS(Tabla2[IMPORT],Tabla2[ANY],$Z$2,Tabla2[MES],'2025'!V$2,Tabla2[TIPUS],'2025'!$A48)</f>
        <v>0</v>
      </c>
      <c r="W48" s="21">
        <f t="shared" si="64"/>
        <v>0</v>
      </c>
      <c r="X48" s="20">
        <f>SUMIFS(Tabla2[IMPORT],Tabla2[ANY],$Z$2,Tabla2[MES],'2025'!X$2,Tabla2[TIPUS],'2025'!$A48)</f>
        <v>0</v>
      </c>
      <c r="Y48" s="21">
        <f t="shared" si="65"/>
        <v>0</v>
      </c>
      <c r="Z48" s="20">
        <f t="shared" si="66"/>
        <v>332.21000000000004</v>
      </c>
      <c r="AA48" s="21">
        <f t="shared" si="68"/>
        <v>8.1334910037287586E-2</v>
      </c>
      <c r="AB48" s="178">
        <f t="shared" si="2"/>
        <v>55.368333333333339</v>
      </c>
    </row>
    <row r="49" spans="1:30" collapsed="1" x14ac:dyDescent="0.2">
      <c r="A49" s="34" t="s">
        <v>86</v>
      </c>
      <c r="B49" s="18">
        <f>SUM(B50:B54)</f>
        <v>289.36</v>
      </c>
      <c r="C49" s="19">
        <f>IF(B$40=0,0,B49/B$40)</f>
        <v>0.29684342268591185</v>
      </c>
      <c r="D49" s="18">
        <f>SUM(D50:D54)</f>
        <v>716.51</v>
      </c>
      <c r="E49" s="19">
        <f>IF(D$40=0,0,D49/D$40)</f>
        <v>0.5100695507321692</v>
      </c>
      <c r="F49" s="18">
        <f>SUM(F50:F54)</f>
        <v>755</v>
      </c>
      <c r="G49" s="19">
        <f>IF(F$40=0,0,F49/F$40)</f>
        <v>0.52225281186447714</v>
      </c>
      <c r="H49" s="18">
        <f>SUM(H50:H54)</f>
        <v>294.30999999999995</v>
      </c>
      <c r="I49" s="19">
        <f>IF(H$40=0,0,H49/H$40)</f>
        <v>0.29880097871001143</v>
      </c>
      <c r="J49" s="18">
        <f>SUM(J50:J54)</f>
        <v>466.53</v>
      </c>
      <c r="K49" s="19">
        <f>IF(J$40=0,0,J49/J$40)</f>
        <v>0.34032666340830009</v>
      </c>
      <c r="L49" s="18">
        <f>SUM(L50:L54)</f>
        <v>480.36</v>
      </c>
      <c r="M49" s="19">
        <f>IF(L$40=0,0,L49/L$40)</f>
        <v>0.53045629223905655</v>
      </c>
      <c r="N49" s="18">
        <f>SUM(N50:N54)</f>
        <v>0</v>
      </c>
      <c r="O49" s="19">
        <f>IF(N$40=0,0,N49/N$40)</f>
        <v>0</v>
      </c>
      <c r="P49" s="18">
        <f>SUM(P50:P54)</f>
        <v>0</v>
      </c>
      <c r="Q49" s="19">
        <f>IF(P$40=0,0,P49/P$40)</f>
        <v>0</v>
      </c>
      <c r="R49" s="18">
        <f>SUM(R50:R54)</f>
        <v>0</v>
      </c>
      <c r="S49" s="19">
        <f>IF(R$40=0,0,R49/R$40)</f>
        <v>0</v>
      </c>
      <c r="T49" s="18">
        <f>SUM(T50:T54)</f>
        <v>0</v>
      </c>
      <c r="U49" s="19">
        <f>IF(T$40=0,0,T49/T$40)</f>
        <v>0</v>
      </c>
      <c r="V49" s="18">
        <f>SUM(V50:V54)</f>
        <v>0</v>
      </c>
      <c r="W49" s="19">
        <f>IF(V$40=0,0,V49/V$40)</f>
        <v>0</v>
      </c>
      <c r="X49" s="18">
        <f>SUM(X50:X54)</f>
        <v>0</v>
      </c>
      <c r="Y49" s="19">
        <f>IF(X$40=0,0,X49/X$40)</f>
        <v>0</v>
      </c>
      <c r="Z49" s="18">
        <f>SUM(Z50:Z54)</f>
        <v>3002.0699999999997</v>
      </c>
      <c r="AA49" s="19">
        <f>IF(Z$40=0,0,Z49/Z$40)</f>
        <v>0.42362986732594465</v>
      </c>
      <c r="AB49" s="178">
        <f t="shared" si="2"/>
        <v>500.34499999999997</v>
      </c>
    </row>
    <row r="50" spans="1:30" hidden="1" outlineLevel="1" x14ac:dyDescent="0.2">
      <c r="A50" s="8" t="s">
        <v>87</v>
      </c>
      <c r="B50" s="20">
        <f>SUMIFS(Tabla2[IMPORT],Tabla2[ANY],$Z$2,Tabla2[MES],'2025'!B$2,Tabla2[TIPUS],'2025'!$A50)</f>
        <v>79.360000000000014</v>
      </c>
      <c r="C50" s="21">
        <f>IF(B$49=0,0,B50/B$49)</f>
        <v>0.27426043682609902</v>
      </c>
      <c r="D50" s="20">
        <f>SUMIFS(Tabla2[IMPORT],Tabla2[ANY],$Z$2,Tabla2[MES],'2025'!D$2,Tabla2[TIPUS],'2025'!$A50)</f>
        <v>251.51</v>
      </c>
      <c r="E50" s="21">
        <f>IF(D$49=0,0,D50/D$49)</f>
        <v>0.35102092085246539</v>
      </c>
      <c r="F50" s="20">
        <f>SUMIFS(Tabla2[IMPORT],Tabla2[ANY],$Z$2,Tabla2[MES],'2025'!F$2,Tabla2[TIPUS],'2025'!$A50)</f>
        <v>170</v>
      </c>
      <c r="G50" s="21">
        <f>IF(F$49=0,0,F50/F$49)</f>
        <v>0.2251655629139073</v>
      </c>
      <c r="H50" s="20">
        <f>SUMIFS(Tabla2[IMPORT],Tabla2[ANY],$Z$2,Tabla2[MES],'2025'!H$2,Tabla2[TIPUS],'2025'!$A50)</f>
        <v>174.30999999999995</v>
      </c>
      <c r="I50" s="21">
        <f>IF(H$49=0,0,H50/H$49)</f>
        <v>0.59226665760592567</v>
      </c>
      <c r="J50" s="20">
        <f>SUMIFS(Tabla2[IMPORT],Tabla2[ANY],$Z$2,Tabla2[MES],'2025'!J$2,Tabla2[TIPUS],'2025'!$A50)</f>
        <v>186.52999999999997</v>
      </c>
      <c r="K50" s="21">
        <f>IF(J$49=0,0,J50/J$49)</f>
        <v>0.39982423424002739</v>
      </c>
      <c r="L50" s="20">
        <f>SUMIFS(Tabla2[IMPORT],Tabla2[ANY],$Z$2,Tabla2[MES],'2025'!L$2,Tabla2[TIPUS],'2025'!$A50)</f>
        <v>75.360000000000014</v>
      </c>
      <c r="M50" s="21">
        <f>IF(L$49=0,0,L50/L$49)</f>
        <v>0.15688233824631528</v>
      </c>
      <c r="N50" s="20">
        <f>SUMIFS(Tabla2[IMPORT],Tabla2[ANY],$Z$2,Tabla2[MES],'2025'!N$2,Tabla2[TIPUS],'2025'!$A50)</f>
        <v>0</v>
      </c>
      <c r="O50" s="21">
        <f>IF(N$49=0,0,N50/N$49)</f>
        <v>0</v>
      </c>
      <c r="P50" s="20">
        <f>SUMIFS(Tabla2[IMPORT],Tabla2[ANY],$Z$2,Tabla2[MES],'2025'!P$2,Tabla2[TIPUS],'2025'!$A50)</f>
        <v>0</v>
      </c>
      <c r="Q50" s="21">
        <f>IF(P$49=0,0,P50/P$49)</f>
        <v>0</v>
      </c>
      <c r="R50" s="20">
        <f>SUMIFS(Tabla2[IMPORT],Tabla2[ANY],$Z$2,Tabla2[MES],'2025'!R$2,Tabla2[TIPUS],'2025'!$A50)</f>
        <v>0</v>
      </c>
      <c r="S50" s="21">
        <f>IF(R$49=0,0,R50/R$49)</f>
        <v>0</v>
      </c>
      <c r="T50" s="20">
        <f>SUMIFS(Tabla2[IMPORT],Tabla2[ANY],$Z$2,Tabla2[MES],'2025'!T$2,Tabla2[TIPUS],'2025'!$A50)</f>
        <v>0</v>
      </c>
      <c r="U50" s="21">
        <f>IF(T$49=0,0,T50/T$49)</f>
        <v>0</v>
      </c>
      <c r="V50" s="20">
        <f>SUMIFS(Tabla2[IMPORT],Tabla2[ANY],$Z$2,Tabla2[MES],'2025'!V$2,Tabla2[TIPUS],'2025'!$A50)</f>
        <v>0</v>
      </c>
      <c r="W50" s="21">
        <f>IF(V$49=0,0,V50/V$49)</f>
        <v>0</v>
      </c>
      <c r="X50" s="20">
        <f>SUMIFS(Tabla2[IMPORT],Tabla2[ANY],$Z$2,Tabla2[MES],'2025'!X$2,Tabla2[TIPUS],'2025'!$A50)</f>
        <v>0</v>
      </c>
      <c r="Y50" s="21">
        <f>IF(X$49=0,0,X50/X$49)</f>
        <v>0</v>
      </c>
      <c r="Z50" s="20">
        <f t="shared" si="66"/>
        <v>937.06999999999994</v>
      </c>
      <c r="AA50" s="21">
        <f>IF(Z$49=0,0,Z50/Z$49)</f>
        <v>0.31214128917713446</v>
      </c>
      <c r="AB50" s="178">
        <f t="shared" si="2"/>
        <v>156.17833333333331</v>
      </c>
      <c r="AC50" s="79">
        <f>Z50+'2021'!AC50</f>
        <v>1299.1999999999998</v>
      </c>
    </row>
    <row r="51" spans="1:30" hidden="1" outlineLevel="1" x14ac:dyDescent="0.2">
      <c r="A51" s="8" t="s">
        <v>88</v>
      </c>
      <c r="B51" s="20">
        <f>SUMIFS(Tabla2[IMPORT],Tabla2[ANY],$Z$2,Tabla2[MES],'2025'!B$2,Tabla2[TIPUS],'2025'!$A51)</f>
        <v>0</v>
      </c>
      <c r="C51" s="21">
        <f t="shared" ref="C51:E54" si="69">IF(B$49=0,0,B51/B$49)</f>
        <v>0</v>
      </c>
      <c r="D51" s="20">
        <f>SUMIFS(Tabla2[IMPORT],Tabla2[ANY],$Z$2,Tabla2[MES],'2025'!D$2,Tabla2[TIPUS],'2025'!$A51)</f>
        <v>0</v>
      </c>
      <c r="E51" s="21">
        <f t="shared" si="69"/>
        <v>0</v>
      </c>
      <c r="F51" s="20">
        <f>SUMIFS(Tabla2[IMPORT],Tabla2[ANY],$Z$2,Tabla2[MES],'2025'!F$2,Tabla2[TIPUS],'2025'!$A51)</f>
        <v>0</v>
      </c>
      <c r="G51" s="21">
        <f>IF(F$49=0,0,F51/F$49)</f>
        <v>0</v>
      </c>
      <c r="H51" s="20">
        <f>SUMIFS(Tabla2[IMPORT],Tabla2[ANY],$Z$2,Tabla2[MES],'2025'!H$2,Tabla2[TIPUS],'2025'!$A51)</f>
        <v>0</v>
      </c>
      <c r="I51" s="21">
        <f>IF(H$49=0,0,H51/H$49)</f>
        <v>0</v>
      </c>
      <c r="J51" s="20">
        <f>SUMIFS(Tabla2[IMPORT],Tabla2[ANY],$Z$2,Tabla2[MES],'2025'!J$2,Tabla2[TIPUS],'2025'!$A51)</f>
        <v>0</v>
      </c>
      <c r="K51" s="21">
        <f>IF(J$49=0,0,J51/J$49)</f>
        <v>0</v>
      </c>
      <c r="L51" s="20">
        <f>SUMIFS(Tabla2[IMPORT],Tabla2[ANY],$Z$2,Tabla2[MES],'2025'!L$2,Tabla2[TIPUS],'2025'!$A51)</f>
        <v>0</v>
      </c>
      <c r="M51" s="21">
        <f>IF(L$49=0,0,L51/L$49)</f>
        <v>0</v>
      </c>
      <c r="N51" s="20">
        <f>SUMIFS(Tabla2[IMPORT],Tabla2[ANY],$Z$2,Tabla2[MES],'2025'!N$2,Tabla2[TIPUS],'2025'!$A51)</f>
        <v>0</v>
      </c>
      <c r="O51" s="21">
        <f>IF(N$49=0,0,N51/N$49)</f>
        <v>0</v>
      </c>
      <c r="P51" s="20">
        <f>SUMIFS(Tabla2[IMPORT],Tabla2[ANY],$Z$2,Tabla2[MES],'2025'!P$2,Tabla2[TIPUS],'2025'!$A51)</f>
        <v>0</v>
      </c>
      <c r="Q51" s="21">
        <f>IF(P$49=0,0,P51/P$49)</f>
        <v>0</v>
      </c>
      <c r="R51" s="20">
        <f>SUMIFS(Tabla2[IMPORT],Tabla2[ANY],$Z$2,Tabla2[MES],'2025'!R$2,Tabla2[TIPUS],'2025'!$A51)</f>
        <v>0</v>
      </c>
      <c r="S51" s="21">
        <f>IF(R$49=0,0,R51/R$49)</f>
        <v>0</v>
      </c>
      <c r="T51" s="20">
        <f>SUMIFS(Tabla2[IMPORT],Tabla2[ANY],$Z$2,Tabla2[MES],'2025'!T$2,Tabla2[TIPUS],'2025'!$A51)</f>
        <v>0</v>
      </c>
      <c r="U51" s="21">
        <f>IF(T$49=0,0,T51/T$49)</f>
        <v>0</v>
      </c>
      <c r="V51" s="20">
        <f>SUMIFS(Tabla2[IMPORT],Tabla2[ANY],$Z$2,Tabla2[MES],'2025'!V$2,Tabla2[TIPUS],'2025'!$A51)</f>
        <v>0</v>
      </c>
      <c r="W51" s="21">
        <f>IF(V$49=0,0,V51/V$49)</f>
        <v>0</v>
      </c>
      <c r="X51" s="20">
        <f>SUMIFS(Tabla2[IMPORT],Tabla2[ANY],$Z$2,Tabla2[MES],'2025'!X$2,Tabla2[TIPUS],'2025'!$A51)</f>
        <v>0</v>
      </c>
      <c r="Y51" s="21">
        <f>IF(X$49=0,0,X51/X$49)</f>
        <v>0</v>
      </c>
      <c r="Z51" s="20">
        <f t="shared" si="66"/>
        <v>0</v>
      </c>
      <c r="AA51" s="21">
        <f>IF(Z$49=0,0,Z51/Z$49)</f>
        <v>0</v>
      </c>
      <c r="AB51" s="178">
        <f t="shared" si="2"/>
        <v>0</v>
      </c>
      <c r="AC51">
        <f>AC50/1.21</f>
        <v>1073.7190082644627</v>
      </c>
    </row>
    <row r="52" spans="1:30" hidden="1" outlineLevel="1" x14ac:dyDescent="0.2">
      <c r="A52" s="8" t="s">
        <v>89</v>
      </c>
      <c r="B52" s="20">
        <f>SUMIFS(Tabla2[IMPORT],Tabla2[ANY],$Z$2,Tabla2[MES],'2025'!B$2,Tabla2[TIPUS],'2025'!$A52)</f>
        <v>0</v>
      </c>
      <c r="C52" s="21">
        <f t="shared" si="69"/>
        <v>0</v>
      </c>
      <c r="D52" s="20">
        <f>SUMIFS(Tabla2[IMPORT],Tabla2[ANY],$Z$2,Tabla2[MES],'2025'!D$2,Tabla2[TIPUS],'2025'!$A52)</f>
        <v>120</v>
      </c>
      <c r="E52" s="21">
        <f t="shared" si="69"/>
        <v>0.16747847203807345</v>
      </c>
      <c r="F52" s="20">
        <f>SUMIFS(Tabla2[IMPORT],Tabla2[ANY],$Z$2,Tabla2[MES],'2025'!F$2,Tabla2[TIPUS],'2025'!$A52)</f>
        <v>155</v>
      </c>
      <c r="G52" s="21">
        <f>IF(F$49=0,0,F52/F$49)</f>
        <v>0.20529801324503311</v>
      </c>
      <c r="H52" s="20">
        <f>SUMIFS(Tabla2[IMPORT],Tabla2[ANY],$Z$2,Tabla2[MES],'2025'!H$2,Tabla2[TIPUS],'2025'!$A52)</f>
        <v>0</v>
      </c>
      <c r="I52" s="21">
        <f>IF(H$49=0,0,H52/H$49)</f>
        <v>0</v>
      </c>
      <c r="J52" s="20">
        <f>SUMIFS(Tabla2[IMPORT],Tabla2[ANY],$Z$2,Tabla2[MES],'2025'!J$2,Tabla2[TIPUS],'2025'!$A52)</f>
        <v>0</v>
      </c>
      <c r="K52" s="21">
        <f>IF(J$49=0,0,J52/J$49)</f>
        <v>0</v>
      </c>
      <c r="L52" s="20">
        <f>SUMIFS(Tabla2[IMPORT],Tabla2[ANY],$Z$2,Tabla2[MES],'2025'!L$2,Tabla2[TIPUS],'2025'!$A52)</f>
        <v>105</v>
      </c>
      <c r="M52" s="21">
        <f>IF(L$49=0,0,L52/L$49)</f>
        <v>0.218586060454659</v>
      </c>
      <c r="N52" s="20">
        <f>SUMIFS(Tabla2[IMPORT],Tabla2[ANY],$Z$2,Tabla2[MES],'2025'!N$2,Tabla2[TIPUS],'2025'!$A52)</f>
        <v>0</v>
      </c>
      <c r="O52" s="21">
        <f>IF(N$49=0,0,N52/N$49)</f>
        <v>0</v>
      </c>
      <c r="P52" s="20">
        <f>SUMIFS(Tabla2[IMPORT],Tabla2[ANY],$Z$2,Tabla2[MES],'2025'!P$2,Tabla2[TIPUS],'2025'!$A52)</f>
        <v>0</v>
      </c>
      <c r="Q52" s="21">
        <f>IF(P$49=0,0,P52/P$49)</f>
        <v>0</v>
      </c>
      <c r="R52" s="20">
        <f>SUMIFS(Tabla2[IMPORT],Tabla2[ANY],$Z$2,Tabla2[MES],'2025'!R$2,Tabla2[TIPUS],'2025'!$A52)</f>
        <v>0</v>
      </c>
      <c r="S52" s="21">
        <f>IF(R$49=0,0,R52/R$49)</f>
        <v>0</v>
      </c>
      <c r="T52" s="20">
        <f>SUMIFS(Tabla2[IMPORT],Tabla2[ANY],$Z$2,Tabla2[MES],'2025'!T$2,Tabla2[TIPUS],'2025'!$A52)</f>
        <v>0</v>
      </c>
      <c r="U52" s="21">
        <f>IF(T$49=0,0,T52/T$49)</f>
        <v>0</v>
      </c>
      <c r="V52" s="20">
        <f>SUMIFS(Tabla2[IMPORT],Tabla2[ANY],$Z$2,Tabla2[MES],'2025'!V$2,Tabla2[TIPUS],'2025'!$A52)</f>
        <v>0</v>
      </c>
      <c r="W52" s="21">
        <f>IF(V$49=0,0,V52/V$49)</f>
        <v>0</v>
      </c>
      <c r="X52" s="20">
        <f>SUMIFS(Tabla2[IMPORT],Tabla2[ANY],$Z$2,Tabla2[MES],'2025'!X$2,Tabla2[TIPUS],'2025'!$A52)</f>
        <v>0</v>
      </c>
      <c r="Y52" s="21">
        <f>IF(X$49=0,0,X52/X$49)</f>
        <v>0</v>
      </c>
      <c r="Z52" s="20">
        <f t="shared" si="66"/>
        <v>380</v>
      </c>
      <c r="AA52" s="21">
        <f>IF(Z$49=0,0,Z52/Z$49)</f>
        <v>0.12657932693108423</v>
      </c>
      <c r="AB52" s="178">
        <f t="shared" si="2"/>
        <v>63.333333333333336</v>
      </c>
      <c r="AC52">
        <f>AC51*1.1</f>
        <v>1181.090909090909</v>
      </c>
    </row>
    <row r="53" spans="1:30" hidden="1" outlineLevel="1" x14ac:dyDescent="0.2">
      <c r="A53" s="8" t="s">
        <v>145</v>
      </c>
      <c r="B53" s="20">
        <f>SUMIFS(Tabla2[IMPORT],Tabla2[ANY],$Z$2,Tabla2[MES],'2025'!B$2,Tabla2[TIPUS],'2025'!$A53)</f>
        <v>0</v>
      </c>
      <c r="C53" s="21">
        <f>IF(B$49=0,0,B53/B$49)</f>
        <v>0</v>
      </c>
      <c r="D53" s="20">
        <f>SUMIFS(Tabla2[IMPORT],Tabla2[ANY],$Z$2,Tabla2[MES],'2025'!D$2,Tabla2[TIPUS],'2025'!$A53)</f>
        <v>0</v>
      </c>
      <c r="E53" s="21">
        <f>IF(D$49=0,0,D53/D$49)</f>
        <v>0</v>
      </c>
      <c r="F53" s="20">
        <f>SUMIFS(Tabla2[IMPORT],Tabla2[ANY],$Z$2,Tabla2[MES],'2025'!F$2,Tabla2[TIPUS],'2025'!$A53)</f>
        <v>0</v>
      </c>
      <c r="G53" s="21">
        <f>IF(F$49=0,0,F53/F$49)</f>
        <v>0</v>
      </c>
      <c r="H53" s="20">
        <f>SUMIFS(Tabla2[IMPORT],Tabla2[ANY],$Z$2,Tabla2[MES],'2025'!H$2,Tabla2[TIPUS],'2025'!$A53)</f>
        <v>0</v>
      </c>
      <c r="I53" s="21">
        <f>IF(H$49=0,0,H53/H$49)</f>
        <v>0</v>
      </c>
      <c r="J53" s="20">
        <f>SUMIFS(Tabla2[IMPORT],Tabla2[ANY],$Z$2,Tabla2[MES],'2025'!J$2,Tabla2[TIPUS],'2025'!$A53)</f>
        <v>0</v>
      </c>
      <c r="K53" s="21">
        <f>IF(J$49=0,0,J53/J$49)</f>
        <v>0</v>
      </c>
      <c r="L53" s="20">
        <f>SUMIFS(Tabla2[IMPORT],Tabla2[ANY],$Z$2,Tabla2[MES],'2025'!L$2,Tabla2[TIPUS],'2025'!$A53)</f>
        <v>0</v>
      </c>
      <c r="M53" s="21">
        <f>IF(L$49=0,0,L53/L$49)</f>
        <v>0</v>
      </c>
      <c r="N53" s="20">
        <f>SUMIFS(Tabla2[IMPORT],Tabla2[ANY],$Z$2,Tabla2[MES],'2025'!N$2,Tabla2[TIPUS],'2025'!$A53)</f>
        <v>0</v>
      </c>
      <c r="O53" s="21">
        <f>IF(N$49=0,0,N53/N$49)</f>
        <v>0</v>
      </c>
      <c r="P53" s="20">
        <f>SUMIFS(Tabla2[IMPORT],Tabla2[ANY],$Z$2,Tabla2[MES],'2025'!P$2,Tabla2[TIPUS],'2025'!$A53)</f>
        <v>0</v>
      </c>
      <c r="Q53" s="21">
        <f>IF(P$49=0,0,P53/P$49)</f>
        <v>0</v>
      </c>
      <c r="R53" s="20">
        <f>SUMIFS(Tabla2[IMPORT],Tabla2[ANY],$Z$2,Tabla2[MES],'2025'!R$2,Tabla2[TIPUS],'2025'!$A53)</f>
        <v>0</v>
      </c>
      <c r="S53" s="21">
        <f>IF(R$49=0,0,R53/R$49)</f>
        <v>0</v>
      </c>
      <c r="T53" s="20">
        <f>SUMIFS(Tabla2[IMPORT],Tabla2[ANY],$Z$2,Tabla2[MES],'2025'!T$2,Tabla2[TIPUS],'2025'!$A53)</f>
        <v>0</v>
      </c>
      <c r="U53" s="21">
        <f>IF(T$49=0,0,T53/T$49)</f>
        <v>0</v>
      </c>
      <c r="V53" s="20">
        <f>SUMIFS(Tabla2[IMPORT],Tabla2[ANY],$Z$2,Tabla2[MES],'2025'!V$2,Tabla2[TIPUS],'2025'!$A53)</f>
        <v>0</v>
      </c>
      <c r="W53" s="21">
        <f>IF(V$49=0,0,V53/V$49)</f>
        <v>0</v>
      </c>
      <c r="X53" s="20">
        <f>SUMIFS(Tabla2[IMPORT],Tabla2[ANY],$Z$2,Tabla2[MES],'2025'!X$2,Tabla2[TIPUS],'2025'!$A53)</f>
        <v>0</v>
      </c>
      <c r="Y53" s="21">
        <f>IF(X$49=0,0,X53/X$49)</f>
        <v>0</v>
      </c>
      <c r="Z53" s="20">
        <f>B53+D53+F53+H53+J53+L53+N53+P53+R53+T53+V53+X53</f>
        <v>0</v>
      </c>
      <c r="AA53" s="21">
        <f>IF(Z$49=0,0,Z53/Z$49)</f>
        <v>0</v>
      </c>
      <c r="AB53" s="178">
        <f t="shared" si="2"/>
        <v>0</v>
      </c>
      <c r="AC53" s="79">
        <f>AC50-AC52</f>
        <v>118.10909090909081</v>
      </c>
    </row>
    <row r="54" spans="1:30" hidden="1" outlineLevel="1" x14ac:dyDescent="0.2">
      <c r="A54" s="8" t="s">
        <v>90</v>
      </c>
      <c r="B54" s="20">
        <f>SUMIFS(Tabla2[IMPORT],Tabla2[ANY],$Z$2,Tabla2[MES],'2025'!B$2,Tabla2[TIPUS],'2025'!$A54)</f>
        <v>210</v>
      </c>
      <c r="C54" s="21">
        <f t="shared" si="69"/>
        <v>0.72573956317390098</v>
      </c>
      <c r="D54" s="20">
        <f>SUMIFS(Tabla2[IMPORT],Tabla2[ANY],$Z$2,Tabla2[MES],'2025'!D$2,Tabla2[TIPUS],'2025'!$A54)</f>
        <v>345</v>
      </c>
      <c r="E54" s="21">
        <f t="shared" si="69"/>
        <v>0.48150060710946113</v>
      </c>
      <c r="F54" s="20">
        <f>SUMIFS(Tabla2[IMPORT],Tabla2[ANY],$Z$2,Tabla2[MES],'2025'!F$2,Tabla2[TIPUS],'2025'!$A54)</f>
        <v>430</v>
      </c>
      <c r="G54" s="21">
        <f>IF(F$49=0,0,F54/F$49)</f>
        <v>0.56953642384105962</v>
      </c>
      <c r="H54" s="20">
        <f>SUMIFS(Tabla2[IMPORT],Tabla2[ANY],$Z$2,Tabla2[MES],'2025'!H$2,Tabla2[TIPUS],'2025'!$A54)</f>
        <v>120</v>
      </c>
      <c r="I54" s="21">
        <f>IF(H$49=0,0,H54/H$49)</f>
        <v>0.40773334239407433</v>
      </c>
      <c r="J54" s="20">
        <f>SUMIFS(Tabla2[IMPORT],Tabla2[ANY],$Z$2,Tabla2[MES],'2025'!J$2,Tabla2[TIPUS],'2025'!$A54)</f>
        <v>280</v>
      </c>
      <c r="K54" s="21">
        <f>IF(J$49=0,0,J54/J$49)</f>
        <v>0.60017576575997256</v>
      </c>
      <c r="L54" s="20">
        <f>SUMIFS(Tabla2[IMPORT],Tabla2[ANY],$Z$2,Tabla2[MES],'2025'!L$2,Tabla2[TIPUS],'2025'!$A54)</f>
        <v>300</v>
      </c>
      <c r="M54" s="21">
        <f>IF(L$49=0,0,L54/L$49)</f>
        <v>0.62453160129902574</v>
      </c>
      <c r="N54" s="20">
        <f>SUMIFS(Tabla2[IMPORT],Tabla2[ANY],$Z$2,Tabla2[MES],'2025'!N$2,Tabla2[TIPUS],'2025'!$A54)</f>
        <v>0</v>
      </c>
      <c r="O54" s="21">
        <f>IF(N$49=0,0,N54/N$49)</f>
        <v>0</v>
      </c>
      <c r="P54" s="20">
        <f>SUMIFS(Tabla2[IMPORT],Tabla2[ANY],$Z$2,Tabla2[MES],'2025'!P$2,Tabla2[TIPUS],'2025'!$A54)</f>
        <v>0</v>
      </c>
      <c r="Q54" s="21">
        <f>IF(P$49=0,0,P54/P$49)</f>
        <v>0</v>
      </c>
      <c r="R54" s="20">
        <f>SUMIFS(Tabla2[IMPORT],Tabla2[ANY],$Z$2,Tabla2[MES],'2025'!R$2,Tabla2[TIPUS],'2025'!$A54)</f>
        <v>0</v>
      </c>
      <c r="S54" s="21">
        <f>IF(R$49=0,0,R54/R$49)</f>
        <v>0</v>
      </c>
      <c r="T54" s="20">
        <f>SUMIFS(Tabla2[IMPORT],Tabla2[ANY],$Z$2,Tabla2[MES],'2025'!T$2,Tabla2[TIPUS],'2025'!$A54)</f>
        <v>0</v>
      </c>
      <c r="U54" s="21">
        <f>IF(T$49=0,0,T54/T$49)</f>
        <v>0</v>
      </c>
      <c r="V54" s="20">
        <f>SUMIFS(Tabla2[IMPORT],Tabla2[ANY],$Z$2,Tabla2[MES],'2025'!V$2,Tabla2[TIPUS],'2025'!$A54)</f>
        <v>0</v>
      </c>
      <c r="W54" s="21">
        <f>IF(V$49=0,0,V54/V$49)</f>
        <v>0</v>
      </c>
      <c r="X54" s="20">
        <f>SUMIFS(Tabla2[IMPORT],Tabla2[ANY],$Z$2,Tabla2[MES],'2025'!X$2,Tabla2[TIPUS],'2025'!$A54)</f>
        <v>0</v>
      </c>
      <c r="Y54" s="21">
        <f>IF(X$49=0,0,X54/X$49)</f>
        <v>0</v>
      </c>
      <c r="Z54" s="20">
        <f t="shared" si="66"/>
        <v>1685</v>
      </c>
      <c r="AA54" s="21">
        <f>IF(Z$49=0,0,Z54/Z$49)</f>
        <v>0.56127938389178145</v>
      </c>
      <c r="AB54" s="178">
        <f t="shared" si="2"/>
        <v>280.83333333333331</v>
      </c>
    </row>
    <row r="55" spans="1:30" ht="15.75" collapsed="1" thickBot="1" x14ac:dyDescent="0.25">
      <c r="A55" s="15" t="s">
        <v>121</v>
      </c>
      <c r="B55" s="26">
        <f>B3-B40</f>
        <v>3890.21</v>
      </c>
      <c r="C55" s="27">
        <f>IF(B3=0,0,B55/B3)</f>
        <v>0.7996320657759507</v>
      </c>
      <c r="D55" s="26">
        <f>D3-D40</f>
        <v>2260.27</v>
      </c>
      <c r="E55" s="27">
        <f>IF(D3=0,0,D55/D3)</f>
        <v>0.61671759890859479</v>
      </c>
      <c r="F55" s="26">
        <f>F3-F40</f>
        <v>2529.34</v>
      </c>
      <c r="G55" s="27">
        <f>IF(F3=0,0,F55/F3)</f>
        <v>0.63631194968553462</v>
      </c>
      <c r="H55" s="26">
        <f>H3-H40</f>
        <v>2280.0300000000002</v>
      </c>
      <c r="I55" s="27">
        <f>IF(H3=0,0,H55/H3)</f>
        <v>0.69832465543644728</v>
      </c>
      <c r="J55" s="26">
        <f>J3-J40</f>
        <v>2409.17</v>
      </c>
      <c r="K55" s="27">
        <f>IF(J3=0,0,J55/J3)</f>
        <v>0.63734656084656083</v>
      </c>
      <c r="L55" s="26">
        <f>L3-L40</f>
        <v>2514.44</v>
      </c>
      <c r="M55" s="27">
        <f>IF(L3=0,0,L55/L3)</f>
        <v>0.73521637426900588</v>
      </c>
      <c r="N55" s="26">
        <f>N3-N40</f>
        <v>0</v>
      </c>
      <c r="O55" s="27">
        <f>IF(N3=0,0,N55/N3)</f>
        <v>0</v>
      </c>
      <c r="P55" s="26">
        <f>P3-P40</f>
        <v>0</v>
      </c>
      <c r="Q55" s="27">
        <f>IF(P3=0,0,P55/P3)</f>
        <v>0</v>
      </c>
      <c r="R55" s="26">
        <f>R3-R40</f>
        <v>0</v>
      </c>
      <c r="S55" s="27">
        <f>IF(R3=0,0,R55/R3)</f>
        <v>0</v>
      </c>
      <c r="T55" s="26">
        <f>T3-T40</f>
        <v>0</v>
      </c>
      <c r="U55" s="27">
        <f>IF(T3=0,0,T55/T3)</f>
        <v>0</v>
      </c>
      <c r="V55" s="26">
        <f>V3-V40</f>
        <v>0</v>
      </c>
      <c r="W55" s="27">
        <f>IF(V3=0,0,V55/V3)</f>
        <v>0</v>
      </c>
      <c r="X55" s="26">
        <f>X3-X40</f>
        <v>0</v>
      </c>
      <c r="Y55" s="27">
        <f>IF(X3=0,0,X55/X3)</f>
        <v>0</v>
      </c>
      <c r="Z55" s="26">
        <f>Z3-Z40</f>
        <v>15883.46</v>
      </c>
      <c r="AA55" s="27">
        <f>IF(Z3=0,0,Z55/Z3)</f>
        <v>0.69148715716151499</v>
      </c>
      <c r="AB55" s="178">
        <f t="shared" si="2"/>
        <v>2647.2433333333333</v>
      </c>
    </row>
    <row r="56" spans="1:30" ht="16.5" thickTop="1" thickBot="1" x14ac:dyDescent="0.25">
      <c r="A56" s="13" t="s">
        <v>120</v>
      </c>
      <c r="B56" s="28">
        <f>B57</f>
        <v>58.25</v>
      </c>
      <c r="C56" s="29">
        <f>IF(B3=0,0,B56/B3)</f>
        <v>1.197327852004111E-2</v>
      </c>
      <c r="D56" s="28">
        <f t="shared" ref="D56:Z56" si="70">D57</f>
        <v>58.25</v>
      </c>
      <c r="E56" s="29">
        <f>IF(D3=0,0,D56/D3)</f>
        <v>1.5893587994542973E-2</v>
      </c>
      <c r="F56" s="28">
        <f t="shared" si="70"/>
        <v>58.25</v>
      </c>
      <c r="G56" s="29">
        <f>IF(F3=0,0,F56/F3)</f>
        <v>1.4654088050314465E-2</v>
      </c>
      <c r="H56" s="28">
        <f t="shared" si="70"/>
        <v>58.25</v>
      </c>
      <c r="I56" s="29">
        <f>IF(H3=0,0,H56/H3)</f>
        <v>1.7840735068912712E-2</v>
      </c>
      <c r="J56" s="28">
        <f t="shared" si="70"/>
        <v>58.25</v>
      </c>
      <c r="K56" s="29">
        <f>IF(J3=0,0,J56/J3)</f>
        <v>1.541005291005291E-2</v>
      </c>
      <c r="L56" s="28">
        <f t="shared" si="70"/>
        <v>58.25</v>
      </c>
      <c r="M56" s="29">
        <f>IF(L3=0,0,L56/L3)</f>
        <v>1.7032163742690058E-2</v>
      </c>
      <c r="N56" s="28">
        <f t="shared" si="70"/>
        <v>0</v>
      </c>
      <c r="O56" s="29">
        <f>IF(N3=0,0,N56/N3)</f>
        <v>0</v>
      </c>
      <c r="P56" s="28">
        <f t="shared" si="70"/>
        <v>0</v>
      </c>
      <c r="Q56" s="29">
        <f>IF(P3=0,0,P56/P3)</f>
        <v>0</v>
      </c>
      <c r="R56" s="28">
        <f t="shared" si="70"/>
        <v>0</v>
      </c>
      <c r="S56" s="29">
        <f>IF(R3=0,0,R56/R3)</f>
        <v>0</v>
      </c>
      <c r="T56" s="28">
        <f t="shared" si="70"/>
        <v>0</v>
      </c>
      <c r="U56" s="29">
        <f>IF(T3=0,0,T56/T3)</f>
        <v>0</v>
      </c>
      <c r="V56" s="28">
        <f t="shared" si="70"/>
        <v>0</v>
      </c>
      <c r="W56" s="29">
        <f>IF(V3=0,0,V56/V3)</f>
        <v>0</v>
      </c>
      <c r="X56" s="28">
        <f t="shared" si="70"/>
        <v>0</v>
      </c>
      <c r="Y56" s="29">
        <f>IF(X3=0,0,X56/X3)</f>
        <v>0</v>
      </c>
      <c r="Z56" s="28">
        <f t="shared" si="70"/>
        <v>349.5</v>
      </c>
      <c r="AA56" s="29">
        <f>IF(Z3=0,0,Z56/Z3)</f>
        <v>1.52154984762734E-2</v>
      </c>
      <c r="AB56" s="178">
        <f t="shared" si="2"/>
        <v>58.25</v>
      </c>
    </row>
    <row r="57" spans="1:30" hidden="1" outlineLevel="1" x14ac:dyDescent="0.2">
      <c r="A57" s="8" t="s">
        <v>81</v>
      </c>
      <c r="B57" s="20">
        <f>IF($A$2&gt;=1,'Tarifas 2022'!$L$47,0)</f>
        <v>58.25</v>
      </c>
      <c r="C57" s="21">
        <f>IF(B56=0,0,B57/B56)</f>
        <v>1</v>
      </c>
      <c r="D57" s="20">
        <f>IF($A$2&gt;=2,'Tarifas 2022'!$L$47,0)</f>
        <v>58.25</v>
      </c>
      <c r="E57" s="21">
        <f>IF(D56=0,0,D57/D56)</f>
        <v>1</v>
      </c>
      <c r="F57" s="20">
        <f>IF($A$2&gt;=3,'Tarifas 2022'!$L$47,0)</f>
        <v>58.25</v>
      </c>
      <c r="G57" s="21">
        <f>IF(F56=0,0,F57/F56)</f>
        <v>1</v>
      </c>
      <c r="H57" s="20">
        <f>IF($A$2&gt;=4,'Tarifas 2022'!$L$47,0)</f>
        <v>58.25</v>
      </c>
      <c r="I57" s="21">
        <f>IF(H56=0,0,H57/H56)</f>
        <v>1</v>
      </c>
      <c r="J57" s="20">
        <f>IF($A$2&gt;=5,'Tarifas 2022'!$L$47,0)</f>
        <v>58.25</v>
      </c>
      <c r="K57" s="21">
        <f>IF(J56=0,0,J57/J56)</f>
        <v>1</v>
      </c>
      <c r="L57" s="20">
        <f>IF($A$2&gt;=6,'Tarifas 2022'!$L$47,0)</f>
        <v>58.25</v>
      </c>
      <c r="M57" s="21">
        <f>IF(L56=0,0,L57/L56)</f>
        <v>1</v>
      </c>
      <c r="N57" s="20">
        <f>IF($A$2&gt;=7,'Tarifas 2022'!$L$47,0)</f>
        <v>0</v>
      </c>
      <c r="O57" s="21">
        <f>IF(N56=0,0,N57/N56)</f>
        <v>0</v>
      </c>
      <c r="P57" s="20">
        <f>IF($A$2&gt;=8,'Tarifas 2022'!$L$47,0)</f>
        <v>0</v>
      </c>
      <c r="Q57" s="21">
        <f>IF(P56=0,0,P57/P56)</f>
        <v>0</v>
      </c>
      <c r="R57" s="20">
        <f>IF($A$2&gt;=9,'Tarifas 2022'!$L$47,0)</f>
        <v>0</v>
      </c>
      <c r="S57" s="21">
        <f>IF(R56=0,0,R57/R56)</f>
        <v>0</v>
      </c>
      <c r="T57" s="20">
        <f>IF($A$2&gt;=10,'Tarifas 2022'!$L$47,0)</f>
        <v>0</v>
      </c>
      <c r="U57" s="21">
        <f>IF(T56=0,0,T57/T56)</f>
        <v>0</v>
      </c>
      <c r="V57" s="20">
        <f>IF($A$2&gt;=11,'Tarifas 2022'!$L$47,0)</f>
        <v>0</v>
      </c>
      <c r="W57" s="21">
        <f>IF(V56=0,0,V57/V56)</f>
        <v>0</v>
      </c>
      <c r="X57" s="20">
        <f>IF($A$2&gt;=12,'Tarifas 2022'!$L$47,0)</f>
        <v>0</v>
      </c>
      <c r="Y57" s="21">
        <f>IF(X56=0,0,X57/X56)</f>
        <v>0</v>
      </c>
      <c r="Z57" s="20">
        <f>B57+D57+F57+H57+J57+L57+N57+P57+R57+T57+V57+X57</f>
        <v>349.5</v>
      </c>
      <c r="AA57" s="21">
        <f>IF(Z56=0,0,Z57/Z56)</f>
        <v>1</v>
      </c>
      <c r="AB57" s="178">
        <f t="shared" si="2"/>
        <v>58.25</v>
      </c>
    </row>
    <row r="58" spans="1:30" ht="15.75" collapsed="1" thickBot="1" x14ac:dyDescent="0.25">
      <c r="A58" s="15" t="s">
        <v>122</v>
      </c>
      <c r="B58" s="26">
        <f>B55-B56</f>
        <v>3831.96</v>
      </c>
      <c r="C58" s="27">
        <f>IF(B$3=0,0,B58/B$3)</f>
        <v>0.78765878725590954</v>
      </c>
      <c r="D58" s="26">
        <f>D55-D56</f>
        <v>2202.02</v>
      </c>
      <c r="E58" s="27">
        <f>IF(D$3=0,0,D58/D$3)</f>
        <v>0.6008240109140518</v>
      </c>
      <c r="F58" s="26">
        <f>F55-F56</f>
        <v>2471.09</v>
      </c>
      <c r="G58" s="27">
        <f>IF(F$3=0,0,F58/F$3)</f>
        <v>0.62165786163522019</v>
      </c>
      <c r="H58" s="26">
        <f>H55-H56</f>
        <v>2221.7800000000002</v>
      </c>
      <c r="I58" s="27">
        <f>IF(H$3=0,0,H58/H$3)</f>
        <v>0.68048392036753447</v>
      </c>
      <c r="J58" s="26">
        <f>J55-J56</f>
        <v>2350.92</v>
      </c>
      <c r="K58" s="27">
        <f>IF(J$3=0,0,J58/J$3)</f>
        <v>0.62193650793650801</v>
      </c>
      <c r="L58" s="26">
        <f>L55-L56</f>
        <v>2456.19</v>
      </c>
      <c r="M58" s="27">
        <f>IF(L$3=0,0,L58/L$3)</f>
        <v>0.71818421052631576</v>
      </c>
      <c r="N58" s="26">
        <f>N55-N56</f>
        <v>0</v>
      </c>
      <c r="O58" s="27">
        <f>IF(N$3=0,0,N58/N$3)</f>
        <v>0</v>
      </c>
      <c r="P58" s="26">
        <f>P55-P56</f>
        <v>0</v>
      </c>
      <c r="Q58" s="27">
        <f>IF(P$3=0,0,P58/P$3)</f>
        <v>0</v>
      </c>
      <c r="R58" s="26">
        <f>R55-R56</f>
        <v>0</v>
      </c>
      <c r="S58" s="27">
        <f>IF(R$3=0,0,R58/R$3)</f>
        <v>0</v>
      </c>
      <c r="T58" s="26">
        <f>T55-T56</f>
        <v>0</v>
      </c>
      <c r="U58" s="27">
        <f>IF(T$3=0,0,T58/T$3)</f>
        <v>0</v>
      </c>
      <c r="V58" s="26">
        <f>V55-V56</f>
        <v>0</v>
      </c>
      <c r="W58" s="27">
        <f>IF(V$3=0,0,V58/V$3)</f>
        <v>0</v>
      </c>
      <c r="X58" s="26">
        <f>X55-X56</f>
        <v>0</v>
      </c>
      <c r="Y58" s="27">
        <f>IF(X$3=0,0,X58/X$3)</f>
        <v>0</v>
      </c>
      <c r="Z58" s="26">
        <f>Z55-Z56</f>
        <v>15533.96</v>
      </c>
      <c r="AA58" s="27">
        <f>IF(Z$3=0,0,Z58/Z$3)</f>
        <v>0.67627165868524153</v>
      </c>
      <c r="AB58" s="178">
        <f t="shared" si="2"/>
        <v>2588.9933333333333</v>
      </c>
    </row>
    <row r="59" spans="1:30" ht="16.5" thickTop="1" thickBot="1" x14ac:dyDescent="0.25">
      <c r="A59" s="13" t="s">
        <v>134</v>
      </c>
      <c r="B59" s="28">
        <f>B60</f>
        <v>0</v>
      </c>
      <c r="C59" s="29">
        <f>IF(B$3=0,0,B59/B$3)</f>
        <v>0</v>
      </c>
      <c r="D59" s="28">
        <f>D60</f>
        <v>0</v>
      </c>
      <c r="E59" s="29">
        <f>IF(D$3=0,0,D59/D$3)</f>
        <v>0</v>
      </c>
      <c r="F59" s="28">
        <f>F60</f>
        <v>0</v>
      </c>
      <c r="G59" s="29">
        <f>IF(F$3=0,0,F59/F$3)</f>
        <v>0</v>
      </c>
      <c r="H59" s="28">
        <f>H60</f>
        <v>0</v>
      </c>
      <c r="I59" s="29">
        <f>IF(H$3=0,0,H59/H$3)</f>
        <v>0</v>
      </c>
      <c r="J59" s="28">
        <f>J60</f>
        <v>0</v>
      </c>
      <c r="K59" s="29">
        <f>IF(J$3=0,0,J59/J$3)</f>
        <v>0</v>
      </c>
      <c r="L59" s="28">
        <f>L60</f>
        <v>0</v>
      </c>
      <c r="M59" s="29">
        <f>IF(L$3=0,0,L59/L$3)</f>
        <v>0</v>
      </c>
      <c r="N59" s="28">
        <f>N60</f>
        <v>0</v>
      </c>
      <c r="O59" s="29">
        <f>IF(N$3=0,0,N59/N$3)</f>
        <v>0</v>
      </c>
      <c r="P59" s="28">
        <f>P60</f>
        <v>0</v>
      </c>
      <c r="Q59" s="29">
        <f>IF(P$3=0,0,P59/P$3)</f>
        <v>0</v>
      </c>
      <c r="R59" s="28">
        <f>R60</f>
        <v>0</v>
      </c>
      <c r="S59" s="29">
        <f>IF(R$3=0,0,R59/R$3)</f>
        <v>0</v>
      </c>
      <c r="T59" s="28">
        <f>T60</f>
        <v>0</v>
      </c>
      <c r="U59" s="29">
        <f>IF(T$3=0,0,T59/T$3)</f>
        <v>0</v>
      </c>
      <c r="V59" s="28">
        <f>V60</f>
        <v>0</v>
      </c>
      <c r="W59" s="29">
        <f>IF(V$3=0,0,V59/V$3)</f>
        <v>0</v>
      </c>
      <c r="X59" s="28">
        <f>X60</f>
        <v>0</v>
      </c>
      <c r="Y59" s="29">
        <f>IF(X$3=0,0,X59/X$3)</f>
        <v>0</v>
      </c>
      <c r="Z59" s="28">
        <f>Z60</f>
        <v>0</v>
      </c>
      <c r="AA59" s="29">
        <f>IF(Z$3=0,0,Z59/Z$3)</f>
        <v>0</v>
      </c>
      <c r="AB59" s="178">
        <f t="shared" si="2"/>
        <v>0</v>
      </c>
    </row>
    <row r="60" spans="1:30" hidden="1" outlineLevel="1" x14ac:dyDescent="0.2">
      <c r="A60" s="8" t="s">
        <v>133</v>
      </c>
      <c r="B60" s="20">
        <f>SUMIFS(Tabla2[IMPORT],Tabla2[ANY],2020,Tabla2[MES],'2025'!B$2,Tabla2[TIPUS],'2025'!$A60)</f>
        <v>0</v>
      </c>
      <c r="C60" s="44">
        <f>IF(B59=0,0,B60/B59)</f>
        <v>0</v>
      </c>
      <c r="D60" s="20">
        <f>SUMIFS(Tabla2[IMPORT],Tabla2[ANY],2020,Tabla2[MES],'2025'!D$2,Tabla2[TIPUS],'2025'!$A60)</f>
        <v>0</v>
      </c>
      <c r="E60" s="44">
        <f>IF(D59=0,0,D60/D59)</f>
        <v>0</v>
      </c>
      <c r="F60" s="20">
        <f>SUMIFS(Tabla2[IMPORT],Tabla2[ANY],2020,Tabla2[MES],'2025'!F$2,Tabla2[TIPUS],'2025'!$A60)</f>
        <v>0</v>
      </c>
      <c r="G60" s="44">
        <f>IF(F59=0,0,F60/F59)</f>
        <v>0</v>
      </c>
      <c r="H60" s="20">
        <f>SUMIFS(Tabla2[IMPORT],Tabla2[ANY],2020,Tabla2[MES],'2025'!H$2,Tabla2[TIPUS],'2025'!$A60)</f>
        <v>0</v>
      </c>
      <c r="I60" s="44">
        <f>IF(H59=0,0,H60/H59)</f>
        <v>0</v>
      </c>
      <c r="J60" s="20">
        <f>SUMIFS(Tabla2[IMPORT],Tabla2[ANY],2020,Tabla2[MES],'2025'!J$2,Tabla2[TIPUS],'2025'!$A60)</f>
        <v>0</v>
      </c>
      <c r="K60" s="44">
        <f>IF(J59=0,0,J60/J59)</f>
        <v>0</v>
      </c>
      <c r="L60" s="20">
        <f>SUMIFS(Tabla2[IMPORT],Tabla2[ANY],2020,Tabla2[MES],'2025'!L$2,Tabla2[TIPUS],'2025'!$A60)</f>
        <v>0</v>
      </c>
      <c r="M60" s="44">
        <f>IF(L59=0,0,L60/L59)</f>
        <v>0</v>
      </c>
      <c r="N60" s="20">
        <f>SUMIFS(Tabla2[IMPORT],Tabla2[ANY],2020,Tabla2[MES],'2025'!N$2,Tabla2[TIPUS],'2025'!$A60)</f>
        <v>0</v>
      </c>
      <c r="O60" s="44">
        <f>IF(N59=0,0,N60/N59)</f>
        <v>0</v>
      </c>
      <c r="P60" s="20">
        <f>SUMIFS(Tabla2[IMPORT],Tabla2[ANY],2020,Tabla2[MES],'2025'!P$2,Tabla2[TIPUS],'2025'!$A60)</f>
        <v>0</v>
      </c>
      <c r="Q60" s="44">
        <f>IF(P59=0,0,P60/P59)</f>
        <v>0</v>
      </c>
      <c r="R60" s="20">
        <f>SUMIFS(Tabla2[IMPORT],Tabla2[ANY],2020,Tabla2[MES],'2025'!R$2,Tabla2[TIPUS],'2025'!$A60)</f>
        <v>0</v>
      </c>
      <c r="S60" s="44">
        <f>IF(R59=0,0,R60/R59)</f>
        <v>0</v>
      </c>
      <c r="T60" s="20">
        <f>SUMIFS(Tabla2[IMPORT],Tabla2[ANY],2020,Tabla2[MES],'2025'!T$2,Tabla2[TIPUS],'2025'!$A60)</f>
        <v>0</v>
      </c>
      <c r="U60" s="44">
        <f>IF(T59=0,0,T60/T59)</f>
        <v>0</v>
      </c>
      <c r="V60" s="20">
        <f>SUMIFS(Tabla2[IMPORT],Tabla2[ANY],2020,Tabla2[MES],'2025'!V$2,Tabla2[TIPUS],'2025'!$A60)</f>
        <v>0</v>
      </c>
      <c r="W60" s="44">
        <f>IF(V59=0,0,V60/V59)</f>
        <v>0</v>
      </c>
      <c r="X60" s="20">
        <f>SUMIFS(Tabla2[IMPORT],Tabla2[ANY],2020,Tabla2[MES],'2025'!X$2,Tabla2[TIPUS],'2025'!$A60)</f>
        <v>0</v>
      </c>
      <c r="Y60" s="44">
        <f>IF(X59=0,0,X60/X59)</f>
        <v>0</v>
      </c>
      <c r="Z60" s="20">
        <f>B60+D60+F60+H60+J60+L60+N60+P60+R60+T60+V60+X60</f>
        <v>0</v>
      </c>
      <c r="AA60" s="44">
        <f>IF(Z59=0,0,Z60/Z59)</f>
        <v>0</v>
      </c>
      <c r="AB60" s="178">
        <f t="shared" si="2"/>
        <v>0</v>
      </c>
    </row>
    <row r="61" spans="1:30" ht="15.75" collapsed="1" thickBot="1" x14ac:dyDescent="0.25">
      <c r="A61" s="15" t="s">
        <v>135</v>
      </c>
      <c r="B61" s="26">
        <f>B58-B60</f>
        <v>3831.96</v>
      </c>
      <c r="C61" s="27">
        <f>IF(B$3=0,0,B61/B$3)</f>
        <v>0.78765878725590954</v>
      </c>
      <c r="D61" s="26">
        <f>D58-D60</f>
        <v>2202.02</v>
      </c>
      <c r="E61" s="27">
        <f>IF(D$3=0,0,D61/D$3)</f>
        <v>0.6008240109140518</v>
      </c>
      <c r="F61" s="26">
        <f>F58-F60</f>
        <v>2471.09</v>
      </c>
      <c r="G61" s="27">
        <f>IF(F$3=0,0,F61/F$3)</f>
        <v>0.62165786163522019</v>
      </c>
      <c r="H61" s="26">
        <f>H58-H60</f>
        <v>2221.7800000000002</v>
      </c>
      <c r="I61" s="27">
        <f>IF(H$3=0,0,H61/H$3)</f>
        <v>0.68048392036753447</v>
      </c>
      <c r="J61" s="26">
        <f>J58-J60</f>
        <v>2350.92</v>
      </c>
      <c r="K61" s="27">
        <f>IF(J$3=0,0,J61/J$3)</f>
        <v>0.62193650793650801</v>
      </c>
      <c r="L61" s="26">
        <f>L58-L60</f>
        <v>2456.19</v>
      </c>
      <c r="M61" s="27">
        <f>IF(L$3=0,0,L61/L$3)</f>
        <v>0.71818421052631576</v>
      </c>
      <c r="N61" s="26">
        <f>N58-N60</f>
        <v>0</v>
      </c>
      <c r="O61" s="27">
        <f>IF(N$3=0,0,N61/N$3)</f>
        <v>0</v>
      </c>
      <c r="P61" s="26">
        <f>P58-P60</f>
        <v>0</v>
      </c>
      <c r="Q61" s="27">
        <f>IF(P$3=0,0,P61/P$3)</f>
        <v>0</v>
      </c>
      <c r="R61" s="26">
        <f>R58-R60</f>
        <v>0</v>
      </c>
      <c r="S61" s="27">
        <f>IF(R$3=0,0,R61/R$3)</f>
        <v>0</v>
      </c>
      <c r="T61" s="26">
        <f>T58-T60</f>
        <v>0</v>
      </c>
      <c r="U61" s="27">
        <f>IF(T$3=0,0,T61/T$3)</f>
        <v>0</v>
      </c>
      <c r="V61" s="26">
        <f>V58-V60</f>
        <v>0</v>
      </c>
      <c r="W61" s="27">
        <f>IF(V$3=0,0,V61/V$3)</f>
        <v>0</v>
      </c>
      <c r="X61" s="26">
        <f>X58-X60</f>
        <v>0</v>
      </c>
      <c r="Y61" s="27">
        <f>IF(X$3=0,0,X61/X$3)</f>
        <v>0</v>
      </c>
      <c r="Z61" s="26">
        <f>Z58-Z60</f>
        <v>15533.96</v>
      </c>
      <c r="AA61" s="27">
        <f>IF(Z$3=0,0,Z61/Z$3)</f>
        <v>0.67627165868524153</v>
      </c>
      <c r="AB61" s="178">
        <f t="shared" si="2"/>
        <v>2588.9933333333333</v>
      </c>
      <c r="AD61" s="79"/>
    </row>
    <row r="62" spans="1:30" ht="15.75" hidden="1" outlineLevel="1" thickTop="1" x14ac:dyDescent="0.2">
      <c r="A62" s="8" t="s">
        <v>123</v>
      </c>
      <c r="B62" s="20">
        <f>SUMIFS(Tabla2[IMPORT],Tabla2[ANY],$Z$2,Tabla2[MES],'2025'!B$2,Tabla2[TIPUS],'2025'!$A62)</f>
        <v>1331</v>
      </c>
      <c r="C62" s="21">
        <f>IF(B$3=0,0,B62/B$3)</f>
        <v>0.27358684480986639</v>
      </c>
      <c r="D62" s="20">
        <f>SUMIFS(Tabla2[IMPORT],Tabla2[ANY],$Z$2,Tabla2[MES],'2025'!D$2,Tabla2[TIPUS],'2025'!$A62)</f>
        <v>0</v>
      </c>
      <c r="E62" s="21">
        <f>IF(D$3=0,0,D62/D$3)</f>
        <v>0</v>
      </c>
      <c r="F62" s="20">
        <f>SUMIFS(Tabla2[IMPORT],Tabla2[ANY],$Z$2,Tabla2[MES],'2025'!F$2,Tabla2[TIPUS],'2025'!$A62)</f>
        <v>0</v>
      </c>
      <c r="G62" s="21">
        <f>IF(F$3=0,0,F62/F$3)</f>
        <v>0</v>
      </c>
      <c r="H62" s="20">
        <f>SUMIFS(Tabla2[IMPORT],Tabla2[ANY],$Z$2,Tabla2[MES],'2025'!H$2,Tabla2[TIPUS],'2025'!$A62)</f>
        <v>1149.1599999999999</v>
      </c>
      <c r="I62" s="21">
        <f>IF(H$3=0,0,H62/H$3)</f>
        <v>0.35196324655436445</v>
      </c>
      <c r="J62" s="20">
        <f>SUMIFS(Tabla2[IMPORT],Tabla2[ANY],$Z$2,Tabla2[MES],'2025'!J$2,Tabla2[TIPUS],'2025'!$A62)</f>
        <v>0</v>
      </c>
      <c r="K62" s="21">
        <f>IF(J$3=0,0,J62/J$3)</f>
        <v>0</v>
      </c>
      <c r="L62" s="20">
        <f>SUMIFS(Tabla2[IMPORT],Tabla2[ANY],$Z$2,Tabla2[MES],'2025'!L$2,Tabla2[TIPUS],'2025'!$A62)</f>
        <v>0</v>
      </c>
      <c r="M62" s="21">
        <f>IF(L$3=0,0,L62/L$3)</f>
        <v>0</v>
      </c>
      <c r="N62" s="20">
        <f>SUMIFS(Tabla2[IMPORT],Tabla2[ANY],$Z$2,Tabla2[MES],'2025'!N$2,Tabla2[TIPUS],'2025'!$A62)</f>
        <v>0</v>
      </c>
      <c r="O62" s="21">
        <f>IF(N$3=0,0,N62/N$3)</f>
        <v>0</v>
      </c>
      <c r="P62" s="20">
        <f>SUMIFS(Tabla2[IMPORT],Tabla2[ANY],$Z$2,Tabla2[MES],'2025'!P$2,Tabla2[TIPUS],'2025'!$A62)</f>
        <v>0</v>
      </c>
      <c r="Q62" s="21">
        <f>IF(P$3=0,0,P62/P$3)</f>
        <v>0</v>
      </c>
      <c r="R62" s="20">
        <f>SUMIFS(Tabla2[IMPORT],Tabla2[ANY],$Z$2,Tabla2[MES],'2025'!R$2,Tabla2[TIPUS],'2025'!$A62)</f>
        <v>0</v>
      </c>
      <c r="S62" s="21">
        <f>IF(R$3=0,0,R62/R$3)</f>
        <v>0</v>
      </c>
      <c r="T62" s="20">
        <f>SUMIFS(Tabla2[IMPORT],Tabla2[ANY],$Z$2,Tabla2[MES],'2025'!T$2,Tabla2[TIPUS],'2025'!$A62)</f>
        <v>0</v>
      </c>
      <c r="U62" s="21">
        <f>IF(T$3=0,0,T62/T$3)</f>
        <v>0</v>
      </c>
      <c r="V62" s="20">
        <f>SUMIFS(Tabla2[IMPORT],Tabla2[ANY],$Z$2,Tabla2[MES],'2025'!V$2,Tabla2[TIPUS],'2025'!$A62)</f>
        <v>0</v>
      </c>
      <c r="W62" s="21">
        <f>IF(V$3=0,0,V62/V$3)</f>
        <v>0</v>
      </c>
      <c r="X62" s="20">
        <f>SUMIFS(Tabla2[IMPORT],Tabla2[ANY],$Z$2,Tabla2[MES],'2025'!X$2,Tabla2[TIPUS],'2025'!$A62)</f>
        <v>0</v>
      </c>
      <c r="Y62" s="21">
        <f>IF(X$3=0,0,X62/X$3)</f>
        <v>0</v>
      </c>
      <c r="Z62" s="20">
        <f>B62+D62+F62+H62+J62+L62+N62+P62+R62+T62+V62+X62</f>
        <v>2480.16</v>
      </c>
      <c r="AA62" s="21">
        <f>IF(Z$3=0,0,Z62/Z$3)</f>
        <v>0.10797387897257292</v>
      </c>
      <c r="AB62" s="178">
        <f t="shared" si="2"/>
        <v>413.35999999999996</v>
      </c>
    </row>
    <row r="63" spans="1:30" ht="16.5" collapsed="1" thickTop="1" thickBot="1" x14ac:dyDescent="0.25">
      <c r="A63" s="15" t="s">
        <v>124</v>
      </c>
      <c r="B63" s="26">
        <f>B61-B62</f>
        <v>2500.96</v>
      </c>
      <c r="C63" s="27">
        <f>IF(B3=0,0,B63/B3)</f>
        <v>0.51407194244604315</v>
      </c>
      <c r="D63" s="26">
        <f>D61-D62</f>
        <v>2202.02</v>
      </c>
      <c r="E63" s="27">
        <f>IF(D3=0,0,D63/D3)</f>
        <v>0.6008240109140518</v>
      </c>
      <c r="F63" s="26">
        <f>F61-F62</f>
        <v>2471.09</v>
      </c>
      <c r="G63" s="27">
        <f>IF(F3=0,0,F63/F3)</f>
        <v>0.62165786163522019</v>
      </c>
      <c r="H63" s="26">
        <f>H61-H62</f>
        <v>1072.6200000000003</v>
      </c>
      <c r="I63" s="27">
        <f>IF(H3=0,0,H63/H3)</f>
        <v>0.32852067381317007</v>
      </c>
      <c r="J63" s="26">
        <f>J61-J62</f>
        <v>2350.92</v>
      </c>
      <c r="K63" s="27">
        <f>IF(J3=0,0,J63/J3)</f>
        <v>0.62193650793650801</v>
      </c>
      <c r="L63" s="26">
        <f>L61-L62</f>
        <v>2456.19</v>
      </c>
      <c r="M63" s="27">
        <f>IF(L3=0,0,L63/L3)</f>
        <v>0.71818421052631576</v>
      </c>
      <c r="N63" s="26">
        <f>N61-N62</f>
        <v>0</v>
      </c>
      <c r="O63" s="27">
        <f>IF(N3=0,0,N63/N3)</f>
        <v>0</v>
      </c>
      <c r="P63" s="26">
        <f>P61-P62</f>
        <v>0</v>
      </c>
      <c r="Q63" s="27">
        <f>IF(P3=0,0,P63/P3)</f>
        <v>0</v>
      </c>
      <c r="R63" s="26">
        <f>R61-R62</f>
        <v>0</v>
      </c>
      <c r="S63" s="27">
        <f>IF(R3=0,0,R63/R3)</f>
        <v>0</v>
      </c>
      <c r="T63" s="26">
        <f>T61-T62</f>
        <v>0</v>
      </c>
      <c r="U63" s="27">
        <f>IF(T3=0,0,T63/T3)</f>
        <v>0</v>
      </c>
      <c r="V63" s="26">
        <f>V61-V62</f>
        <v>0</v>
      </c>
      <c r="W63" s="27">
        <f>IF(V3=0,0,V63/V3)</f>
        <v>0</v>
      </c>
      <c r="X63" s="26">
        <f>X61-X62</f>
        <v>0</v>
      </c>
      <c r="Y63" s="27">
        <f>IF(X3=0,0,X63/X3)</f>
        <v>0</v>
      </c>
      <c r="Z63" s="26">
        <f>Z61-Z62</f>
        <v>13053.8</v>
      </c>
      <c r="AA63" s="27">
        <f>IF(Z3=0,0,Z63/Z3)</f>
        <v>0.5682977797126687</v>
      </c>
      <c r="AB63" s="178">
        <f>Z63/$A$2</f>
        <v>2175.6333333333332</v>
      </c>
      <c r="AC63" s="79"/>
    </row>
    <row r="64" spans="1:30" ht="16.5" thickTop="1" thickBot="1" x14ac:dyDescent="0.25">
      <c r="B64" s="30"/>
      <c r="C64" s="31"/>
      <c r="D64" s="30"/>
      <c r="E64" s="31"/>
      <c r="F64" s="30"/>
      <c r="G64" s="31"/>
      <c r="H64" s="30"/>
      <c r="I64" s="31"/>
      <c r="J64" s="30"/>
      <c r="K64" s="31"/>
      <c r="L64" s="30"/>
      <c r="M64" s="31"/>
      <c r="N64" s="30"/>
      <c r="O64" s="31"/>
      <c r="P64" s="30"/>
      <c r="Q64" s="31"/>
      <c r="R64" s="30"/>
      <c r="S64" s="31"/>
      <c r="T64" s="30"/>
      <c r="U64" s="31"/>
      <c r="V64" s="30"/>
      <c r="W64" s="31"/>
      <c r="X64" s="30"/>
      <c r="Y64" s="31"/>
      <c r="Z64" s="179"/>
      <c r="AA64" s="31"/>
    </row>
    <row r="65" spans="1:27" ht="15.75" thickBot="1" x14ac:dyDescent="0.25">
      <c r="A65" s="210" t="s">
        <v>136</v>
      </c>
    </row>
    <row r="66" spans="1:27" x14ac:dyDescent="0.2">
      <c r="A66" s="210"/>
      <c r="B66" s="208" t="s">
        <v>48</v>
      </c>
      <c r="C66" s="209"/>
      <c r="D66" s="208" t="s">
        <v>56</v>
      </c>
      <c r="E66" s="209"/>
      <c r="F66" s="208" t="s">
        <v>57</v>
      </c>
      <c r="G66" s="209"/>
      <c r="H66" s="208" t="s">
        <v>58</v>
      </c>
      <c r="I66" s="209"/>
      <c r="J66" s="208" t="s">
        <v>59</v>
      </c>
      <c r="K66" s="209"/>
      <c r="L66" s="208" t="s">
        <v>60</v>
      </c>
      <c r="M66" s="209"/>
      <c r="N66" s="208" t="s">
        <v>61</v>
      </c>
      <c r="O66" s="209"/>
      <c r="P66" s="208" t="s">
        <v>62</v>
      </c>
      <c r="Q66" s="209"/>
      <c r="R66" s="208" t="s">
        <v>236</v>
      </c>
      <c r="S66" s="209"/>
      <c r="T66" s="208" t="s">
        <v>63</v>
      </c>
      <c r="U66" s="209"/>
      <c r="V66" s="208" t="s">
        <v>64</v>
      </c>
      <c r="W66" s="209"/>
      <c r="X66" s="208" t="s">
        <v>65</v>
      </c>
      <c r="Y66" s="209"/>
      <c r="Z66" s="208">
        <f>Z2</f>
        <v>2025</v>
      </c>
      <c r="AA66" s="209"/>
    </row>
    <row r="67" spans="1:27" x14ac:dyDescent="0.2">
      <c r="A67" t="s">
        <v>125</v>
      </c>
      <c r="B67" s="20">
        <f>B3</f>
        <v>4865</v>
      </c>
      <c r="C67" s="38">
        <f t="shared" ref="C67:C73" si="71">B67</f>
        <v>4865</v>
      </c>
      <c r="D67" s="20">
        <f>D3</f>
        <v>3665</v>
      </c>
      <c r="E67" s="38">
        <f>C73+D67</f>
        <v>6224.21</v>
      </c>
      <c r="F67" s="20">
        <f>F3</f>
        <v>3975</v>
      </c>
      <c r="G67" s="38">
        <f>E73+F67</f>
        <v>8794.48</v>
      </c>
      <c r="H67" s="20">
        <f>H3</f>
        <v>3265</v>
      </c>
      <c r="I67" s="38">
        <f>G73+H67</f>
        <v>10613.82</v>
      </c>
      <c r="J67" s="20">
        <f>J3</f>
        <v>3780</v>
      </c>
      <c r="K67" s="38">
        <f>I73+J67</f>
        <v>12259.69</v>
      </c>
      <c r="L67" s="20">
        <f>L3</f>
        <v>3420</v>
      </c>
      <c r="M67" s="38">
        <f>K73+L67</f>
        <v>14308.86</v>
      </c>
      <c r="N67" s="20">
        <f>N3</f>
        <v>0</v>
      </c>
      <c r="O67" s="38">
        <f>M73+N67</f>
        <v>13403.300000000001</v>
      </c>
      <c r="P67" s="20">
        <f>P3</f>
        <v>0</v>
      </c>
      <c r="Q67" s="38">
        <f>O73+P67</f>
        <v>13403.300000000001</v>
      </c>
      <c r="R67" s="20">
        <f>R3</f>
        <v>0</v>
      </c>
      <c r="S67" s="38">
        <f>Q73+R67</f>
        <v>13403.300000000001</v>
      </c>
      <c r="T67" s="20">
        <f>T3</f>
        <v>0</v>
      </c>
      <c r="U67" s="38">
        <f>S73+T67</f>
        <v>13403.300000000001</v>
      </c>
      <c r="V67" s="20">
        <f>V3</f>
        <v>0</v>
      </c>
      <c r="W67" s="38">
        <f>U73+V67</f>
        <v>13403.300000000001</v>
      </c>
      <c r="X67" s="20">
        <f>X3</f>
        <v>0</v>
      </c>
      <c r="Y67" s="38">
        <f>W73+X67</f>
        <v>13403.300000000001</v>
      </c>
      <c r="Z67" s="200">
        <f>Z3</f>
        <v>22970</v>
      </c>
      <c r="AA67" s="201"/>
    </row>
    <row r="68" spans="1:27" x14ac:dyDescent="0.2">
      <c r="A68" t="s">
        <v>126</v>
      </c>
      <c r="B68" s="20">
        <f>B40</f>
        <v>974.79</v>
      </c>
      <c r="C68" s="38">
        <f t="shared" si="71"/>
        <v>974.79</v>
      </c>
      <c r="D68" s="20">
        <f>D40</f>
        <v>1404.73</v>
      </c>
      <c r="E68" s="38">
        <f>D68</f>
        <v>1404.73</v>
      </c>
      <c r="F68" s="20">
        <f>F40</f>
        <v>1445.6599999999999</v>
      </c>
      <c r="G68" s="38">
        <f>F68</f>
        <v>1445.6599999999999</v>
      </c>
      <c r="H68" s="20">
        <f>H40</f>
        <v>984.96999999999991</v>
      </c>
      <c r="I68" s="38">
        <f>H68</f>
        <v>984.96999999999991</v>
      </c>
      <c r="J68" s="20">
        <f>J40</f>
        <v>1370.83</v>
      </c>
      <c r="K68" s="38">
        <f>J68</f>
        <v>1370.83</v>
      </c>
      <c r="L68" s="20">
        <f>L40</f>
        <v>905.56</v>
      </c>
      <c r="M68" s="38">
        <f>L68</f>
        <v>905.56</v>
      </c>
      <c r="N68" s="20">
        <f>N40</f>
        <v>0</v>
      </c>
      <c r="O68" s="38">
        <f>N68</f>
        <v>0</v>
      </c>
      <c r="P68" s="20">
        <f>P40</f>
        <v>0</v>
      </c>
      <c r="Q68" s="38">
        <f>P68</f>
        <v>0</v>
      </c>
      <c r="R68" s="20">
        <f>R40</f>
        <v>0</v>
      </c>
      <c r="S68" s="38">
        <f>R68</f>
        <v>0</v>
      </c>
      <c r="T68" s="20">
        <f>T40</f>
        <v>0</v>
      </c>
      <c r="U68" s="38">
        <f>T68</f>
        <v>0</v>
      </c>
      <c r="V68" s="20">
        <f>V40</f>
        <v>0</v>
      </c>
      <c r="W68" s="38">
        <f>V68</f>
        <v>0</v>
      </c>
      <c r="X68" s="20">
        <f>X40</f>
        <v>0</v>
      </c>
      <c r="Y68" s="38">
        <f>X68</f>
        <v>0</v>
      </c>
      <c r="Z68" s="200">
        <f>Z40</f>
        <v>7086.54</v>
      </c>
      <c r="AA68" s="201"/>
    </row>
    <row r="69" spans="1:27" ht="15.75" thickBot="1" x14ac:dyDescent="0.25">
      <c r="A69" s="36" t="s">
        <v>127</v>
      </c>
      <c r="B69" s="37">
        <f>B67-B68</f>
        <v>3890.21</v>
      </c>
      <c r="C69" s="39">
        <f t="shared" si="71"/>
        <v>3890.21</v>
      </c>
      <c r="D69" s="37">
        <f t="shared" ref="D69:Y69" si="72">D67-D68</f>
        <v>2260.27</v>
      </c>
      <c r="E69" s="39">
        <f t="shared" si="72"/>
        <v>4819.4799999999996</v>
      </c>
      <c r="F69" s="37">
        <f t="shared" si="72"/>
        <v>2529.34</v>
      </c>
      <c r="G69" s="39">
        <f t="shared" si="72"/>
        <v>7348.82</v>
      </c>
      <c r="H69" s="37">
        <f t="shared" si="72"/>
        <v>2280.0300000000002</v>
      </c>
      <c r="I69" s="39">
        <f t="shared" si="72"/>
        <v>9628.85</v>
      </c>
      <c r="J69" s="37">
        <f t="shared" si="72"/>
        <v>2409.17</v>
      </c>
      <c r="K69" s="39">
        <f t="shared" si="72"/>
        <v>10888.86</v>
      </c>
      <c r="L69" s="37">
        <f t="shared" si="72"/>
        <v>2514.44</v>
      </c>
      <c r="M69" s="39">
        <f t="shared" si="72"/>
        <v>13403.300000000001</v>
      </c>
      <c r="N69" s="37">
        <f t="shared" si="72"/>
        <v>0</v>
      </c>
      <c r="O69" s="39">
        <f t="shared" si="72"/>
        <v>13403.300000000001</v>
      </c>
      <c r="P69" s="37">
        <f t="shared" si="72"/>
        <v>0</v>
      </c>
      <c r="Q69" s="39">
        <f t="shared" si="72"/>
        <v>13403.300000000001</v>
      </c>
      <c r="R69" s="37">
        <f t="shared" si="72"/>
        <v>0</v>
      </c>
      <c r="S69" s="39">
        <f t="shared" si="72"/>
        <v>13403.300000000001</v>
      </c>
      <c r="T69" s="37">
        <f t="shared" si="72"/>
        <v>0</v>
      </c>
      <c r="U69" s="39">
        <f t="shared" si="72"/>
        <v>13403.300000000001</v>
      </c>
      <c r="V69" s="37">
        <f t="shared" si="72"/>
        <v>0</v>
      </c>
      <c r="W69" s="39">
        <f t="shared" si="72"/>
        <v>13403.300000000001</v>
      </c>
      <c r="X69" s="37">
        <f t="shared" si="72"/>
        <v>0</v>
      </c>
      <c r="Y69" s="39">
        <f t="shared" si="72"/>
        <v>13403.300000000001</v>
      </c>
      <c r="Z69" s="202">
        <f>Z67-Z68</f>
        <v>15883.46</v>
      </c>
      <c r="AA69" s="203"/>
    </row>
    <row r="70" spans="1:27" x14ac:dyDescent="0.2">
      <c r="A70" s="2" t="s">
        <v>128</v>
      </c>
      <c r="B70" s="20">
        <f>-SUMIFS(Tabla2[IMPORT],Tabla2[ANY],$Z$2,Tabla2[MES],'2025'!B$2,Tabla2[TIPUS],'2025'!$A70)</f>
        <v>0</v>
      </c>
      <c r="C70" s="38">
        <f t="shared" si="71"/>
        <v>0</v>
      </c>
      <c r="D70" s="20">
        <f>-SUMIFS(Tabla2[IMPORT],Tabla2[ANY],$Z$2,Tabla2[MES],'2025'!D$2,Tabla2[TIPUS],'2025'!$A70)</f>
        <v>0</v>
      </c>
      <c r="E70" s="38">
        <f>D70</f>
        <v>0</v>
      </c>
      <c r="F70" s="20">
        <f>-SUMIFS(Tabla2[IMPORT],Tabla2[ANY],$Z$2,Tabla2[MES],'2025'!F$2,Tabla2[TIPUS],'2025'!$A70)</f>
        <v>0</v>
      </c>
      <c r="G70" s="38">
        <f>F70</f>
        <v>0</v>
      </c>
      <c r="H70" s="20">
        <f>-SUMIFS(Tabla2[IMPORT],Tabla2[ANY],$Z$2,Tabla2[MES],'2025'!H$2,Tabla2[TIPUS],'2025'!$A70)</f>
        <v>0</v>
      </c>
      <c r="I70" s="38">
        <f>H70</f>
        <v>0</v>
      </c>
      <c r="J70" s="20">
        <f>-SUMIFS(Tabla2[IMPORT],Tabla2[ANY],$Z$2,Tabla2[MES],'2025'!J$2,Tabla2[TIPUS],'2025'!$A70)</f>
        <v>0</v>
      </c>
      <c r="K70" s="38">
        <f>J70</f>
        <v>0</v>
      </c>
      <c r="L70" s="20">
        <f>-SUMIFS(Tabla2[IMPORT],Tabla2[ANY],$Z$2,Tabla2[MES],'2025'!L$2,Tabla2[TIPUS],'2025'!$A70)</f>
        <v>0</v>
      </c>
      <c r="M70" s="38">
        <f>L70</f>
        <v>0</v>
      </c>
      <c r="N70" s="20">
        <f>-SUMIFS(Tabla2[IMPORT],Tabla2[ANY],$Z$2,Tabla2[MES],'2025'!N$2,Tabla2[TIPUS],'2025'!$A70)</f>
        <v>0</v>
      </c>
      <c r="O70" s="38">
        <f>N70</f>
        <v>0</v>
      </c>
      <c r="P70" s="20">
        <f>-SUMIFS(Tabla2[IMPORT],Tabla2[ANY],$Z$2,Tabla2[MES],'2025'!P$2,Tabla2[TIPUS],'2025'!$A70)</f>
        <v>0</v>
      </c>
      <c r="Q70" s="38">
        <f>P70</f>
        <v>0</v>
      </c>
      <c r="R70" s="20">
        <f>-SUMIFS(Tabla2[IMPORT],Tabla2[ANY],$Z$2,Tabla2[MES],'2025'!R$2,Tabla2[TIPUS],'2025'!$A70)</f>
        <v>0</v>
      </c>
      <c r="S70" s="38">
        <f>R70</f>
        <v>0</v>
      </c>
      <c r="T70" s="20">
        <f>-SUMIFS(Tabla2[IMPORT],Tabla2[ANY],$Z$2,Tabla2[MES],'2025'!T$2,Tabla2[TIPUS],'2025'!$A70)</f>
        <v>0</v>
      </c>
      <c r="U70" s="38">
        <f>T70</f>
        <v>0</v>
      </c>
      <c r="V70" s="20">
        <f>-SUMIFS(Tabla2[IMPORT],Tabla2[ANY],$Z$2,Tabla2[MES],'2025'!V$2,Tabla2[TIPUS],'2025'!$A70)</f>
        <v>0</v>
      </c>
      <c r="W70" s="38">
        <f>V70</f>
        <v>0</v>
      </c>
      <c r="X70" s="20">
        <f>-SUMIFS(Tabla2[IMPORT],Tabla2[ANY],$Z$2,Tabla2[MES],'2025'!X$2,Tabla2[TIPUS],'2025'!$A70)</f>
        <v>0</v>
      </c>
      <c r="Y70" s="38">
        <f>X70</f>
        <v>0</v>
      </c>
      <c r="Z70" s="204">
        <f>C70+E70+G70+I70+K70+O70+M70+Q70+S70+U70+W70+Y70</f>
        <v>0</v>
      </c>
      <c r="AA70" s="205"/>
    </row>
    <row r="71" spans="1:27" x14ac:dyDescent="0.2">
      <c r="A71" t="s">
        <v>134</v>
      </c>
      <c r="B71" s="20">
        <f>-B59</f>
        <v>0</v>
      </c>
      <c r="C71" s="38">
        <f t="shared" si="71"/>
        <v>0</v>
      </c>
      <c r="D71" s="20">
        <f>-D59</f>
        <v>0</v>
      </c>
      <c r="E71" s="38">
        <f>D71</f>
        <v>0</v>
      </c>
      <c r="F71" s="20">
        <f>-F59</f>
        <v>0</v>
      </c>
      <c r="G71" s="38">
        <f>F71</f>
        <v>0</v>
      </c>
      <c r="H71" s="20">
        <f>-H59</f>
        <v>0</v>
      </c>
      <c r="I71" s="38">
        <f>H71</f>
        <v>0</v>
      </c>
      <c r="J71" s="20">
        <f>-J59</f>
        <v>0</v>
      </c>
      <c r="K71" s="38">
        <f>J71</f>
        <v>0</v>
      </c>
      <c r="L71" s="20">
        <f>-L59</f>
        <v>0</v>
      </c>
      <c r="M71" s="38">
        <f>L71</f>
        <v>0</v>
      </c>
      <c r="N71" s="20">
        <f>-N59</f>
        <v>0</v>
      </c>
      <c r="O71" s="38">
        <f>N71</f>
        <v>0</v>
      </c>
      <c r="P71" s="20">
        <f>-P59</f>
        <v>0</v>
      </c>
      <c r="Q71" s="38">
        <f>P71</f>
        <v>0</v>
      </c>
      <c r="R71" s="20">
        <f>-R59</f>
        <v>0</v>
      </c>
      <c r="S71" s="38">
        <f>R71</f>
        <v>0</v>
      </c>
      <c r="T71" s="20">
        <f>-T59</f>
        <v>0</v>
      </c>
      <c r="U71" s="38">
        <f>T71</f>
        <v>0</v>
      </c>
      <c r="V71" s="20">
        <f>-V59</f>
        <v>0</v>
      </c>
      <c r="W71" s="38">
        <f>V71</f>
        <v>0</v>
      </c>
      <c r="X71" s="20">
        <f>-X59</f>
        <v>0</v>
      </c>
      <c r="Y71" s="38">
        <f>X71</f>
        <v>0</v>
      </c>
      <c r="Z71" s="200">
        <f>C71+E71+G71+I71+K71+O71+M71+Q71+S71+U71+W71+Y71</f>
        <v>0</v>
      </c>
      <c r="AA71" s="201"/>
    </row>
    <row r="72" spans="1:27" x14ac:dyDescent="0.2">
      <c r="A72" t="s">
        <v>130</v>
      </c>
      <c r="B72" s="23">
        <f>-B62</f>
        <v>-1331</v>
      </c>
      <c r="C72" s="35">
        <f t="shared" si="71"/>
        <v>-1331</v>
      </c>
      <c r="D72" s="23">
        <f>-D62</f>
        <v>0</v>
      </c>
      <c r="E72" s="35">
        <f>D72</f>
        <v>0</v>
      </c>
      <c r="F72" s="23">
        <f>-F62</f>
        <v>0</v>
      </c>
      <c r="G72" s="35">
        <f>F72</f>
        <v>0</v>
      </c>
      <c r="H72" s="23">
        <f>-H62</f>
        <v>-1149.1599999999999</v>
      </c>
      <c r="I72" s="35">
        <f>H72</f>
        <v>-1149.1599999999999</v>
      </c>
      <c r="J72" s="23">
        <f>-J62</f>
        <v>0</v>
      </c>
      <c r="K72" s="35">
        <f>J72</f>
        <v>0</v>
      </c>
      <c r="L72" s="23">
        <f>-L62</f>
        <v>0</v>
      </c>
      <c r="M72" s="35">
        <f>L72</f>
        <v>0</v>
      </c>
      <c r="N72" s="23">
        <f>-N62</f>
        <v>0</v>
      </c>
      <c r="O72" s="35">
        <f>N72</f>
        <v>0</v>
      </c>
      <c r="P72" s="23">
        <f>-P62</f>
        <v>0</v>
      </c>
      <c r="Q72" s="35">
        <f>P72</f>
        <v>0</v>
      </c>
      <c r="R72" s="23">
        <f>-R62</f>
        <v>0</v>
      </c>
      <c r="S72" s="35">
        <f>R72</f>
        <v>0</v>
      </c>
      <c r="T72" s="23">
        <f>-T62</f>
        <v>0</v>
      </c>
      <c r="U72" s="35">
        <f>T72</f>
        <v>0</v>
      </c>
      <c r="V72" s="23">
        <f>-V62</f>
        <v>0</v>
      </c>
      <c r="W72" s="35">
        <f>V72</f>
        <v>0</v>
      </c>
      <c r="X72" s="23">
        <f>-X62</f>
        <v>0</v>
      </c>
      <c r="Y72" s="35">
        <f>X72</f>
        <v>0</v>
      </c>
      <c r="Z72" s="206">
        <f>C72+E72+G72+I72+K72+O72+M72+Q72+S72+U72+W72+Y72</f>
        <v>-2480.16</v>
      </c>
      <c r="AA72" s="207"/>
    </row>
    <row r="73" spans="1:27" ht="15.75" thickBot="1" x14ac:dyDescent="0.25">
      <c r="A73" s="36" t="s">
        <v>131</v>
      </c>
      <c r="B73" s="37">
        <f>B69+B70+B71+B72</f>
        <v>2559.21</v>
      </c>
      <c r="C73" s="39">
        <f t="shared" si="71"/>
        <v>2559.21</v>
      </c>
      <c r="D73" s="37">
        <f t="shared" ref="D73:Y73" si="73">D69+D70+D71+D72</f>
        <v>2260.27</v>
      </c>
      <c r="E73" s="39">
        <f t="shared" si="73"/>
        <v>4819.4799999999996</v>
      </c>
      <c r="F73" s="37">
        <f t="shared" si="73"/>
        <v>2529.34</v>
      </c>
      <c r="G73" s="39">
        <f t="shared" si="73"/>
        <v>7348.82</v>
      </c>
      <c r="H73" s="37">
        <f t="shared" si="73"/>
        <v>1130.8700000000003</v>
      </c>
      <c r="I73" s="39">
        <f t="shared" si="73"/>
        <v>8479.69</v>
      </c>
      <c r="J73" s="37">
        <f t="shared" si="73"/>
        <v>2409.17</v>
      </c>
      <c r="K73" s="39">
        <f t="shared" si="73"/>
        <v>10888.86</v>
      </c>
      <c r="L73" s="37">
        <f t="shared" si="73"/>
        <v>2514.44</v>
      </c>
      <c r="M73" s="39">
        <f t="shared" si="73"/>
        <v>13403.300000000001</v>
      </c>
      <c r="N73" s="37">
        <f t="shared" si="73"/>
        <v>0</v>
      </c>
      <c r="O73" s="39">
        <f t="shared" si="73"/>
        <v>13403.300000000001</v>
      </c>
      <c r="P73" s="37">
        <f t="shared" si="73"/>
        <v>0</v>
      </c>
      <c r="Q73" s="39">
        <f t="shared" si="73"/>
        <v>13403.300000000001</v>
      </c>
      <c r="R73" s="37">
        <f t="shared" si="73"/>
        <v>0</v>
      </c>
      <c r="S73" s="39">
        <f t="shared" si="73"/>
        <v>13403.300000000001</v>
      </c>
      <c r="T73" s="37">
        <f t="shared" si="73"/>
        <v>0</v>
      </c>
      <c r="U73" s="39">
        <f t="shared" si="73"/>
        <v>13403.300000000001</v>
      </c>
      <c r="V73" s="37">
        <f t="shared" si="73"/>
        <v>0</v>
      </c>
      <c r="W73" s="39">
        <f t="shared" si="73"/>
        <v>13403.300000000001</v>
      </c>
      <c r="X73" s="37">
        <f t="shared" si="73"/>
        <v>0</v>
      </c>
      <c r="Y73" s="39">
        <f t="shared" si="73"/>
        <v>13403.300000000001</v>
      </c>
      <c r="Z73" s="202">
        <f>Z69+Z70+Z71+Z72</f>
        <v>13403.3</v>
      </c>
      <c r="AA73" s="203"/>
    </row>
    <row r="74" spans="1:27" x14ac:dyDescent="0.2">
      <c r="C74" s="79">
        <f>'2020'!Z63+'2021'!Z63+'2022'!Z63+'2023'!Z63+'2024'!Z63</f>
        <v>107304.95490000001</v>
      </c>
    </row>
    <row r="75" spans="1:27" ht="30" thickBot="1" x14ac:dyDescent="0.45">
      <c r="A75" s="45" t="s">
        <v>102</v>
      </c>
    </row>
    <row r="76" spans="1:27" x14ac:dyDescent="0.2">
      <c r="B76" s="208" t="s">
        <v>48</v>
      </c>
      <c r="C76" s="209"/>
      <c r="D76" s="208" t="s">
        <v>56</v>
      </c>
      <c r="E76" s="209"/>
      <c r="F76" s="208" t="s">
        <v>57</v>
      </c>
      <c r="G76" s="209"/>
      <c r="H76" s="208" t="s">
        <v>58</v>
      </c>
      <c r="I76" s="209"/>
      <c r="J76" s="208" t="s">
        <v>59</v>
      </c>
      <c r="K76" s="209"/>
      <c r="L76" s="208" t="s">
        <v>60</v>
      </c>
      <c r="M76" s="209"/>
      <c r="N76" s="208" t="s">
        <v>61</v>
      </c>
      <c r="O76" s="209"/>
      <c r="P76" s="208" t="s">
        <v>62</v>
      </c>
      <c r="Q76" s="209"/>
      <c r="R76" s="208" t="s">
        <v>236</v>
      </c>
      <c r="S76" s="209"/>
      <c r="T76" s="208" t="s">
        <v>63</v>
      </c>
      <c r="U76" s="209"/>
      <c r="V76" s="208" t="s">
        <v>64</v>
      </c>
      <c r="W76" s="209"/>
      <c r="X76" s="208" t="s">
        <v>65</v>
      </c>
      <c r="Y76" s="209"/>
      <c r="Z76" s="208">
        <f>Z2</f>
        <v>2025</v>
      </c>
      <c r="AA76" s="209"/>
    </row>
    <row r="77" spans="1:27" ht="15.75" thickBot="1" x14ac:dyDescent="0.25">
      <c r="A77" s="10" t="s">
        <v>66</v>
      </c>
      <c r="B77" s="16">
        <f>B78+B96</f>
        <v>1770</v>
      </c>
      <c r="C77" s="17">
        <f>IF(B77=0,0,(B77/B77))</f>
        <v>1</v>
      </c>
      <c r="D77" s="16">
        <f>D78+D96</f>
        <v>1490</v>
      </c>
      <c r="E77" s="17">
        <f>IF(D77=0,0,(D77/D77))</f>
        <v>1</v>
      </c>
      <c r="F77" s="16">
        <f>F78+F96</f>
        <v>1450</v>
      </c>
      <c r="G77" s="17">
        <f>IF(F77=0,0,(F77/F77))</f>
        <v>1</v>
      </c>
      <c r="H77" s="16">
        <f>H78+H96</f>
        <v>1100</v>
      </c>
      <c r="I77" s="17">
        <f>IF(H77=0,0,(H77/H77))</f>
        <v>1</v>
      </c>
      <c r="J77" s="16">
        <f>J78+J96</f>
        <v>1150</v>
      </c>
      <c r="K77" s="17">
        <f>IF(J77=0,0,(J77/J77))</f>
        <v>1</v>
      </c>
      <c r="L77" s="16">
        <f>L78+L96</f>
        <v>1050</v>
      </c>
      <c r="M77" s="17">
        <f>IF(L77=0,0,(L77/L77))</f>
        <v>1</v>
      </c>
      <c r="N77" s="16">
        <f>N78+N96</f>
        <v>0</v>
      </c>
      <c r="O77" s="17">
        <f>IF(N77=0,0,(N77/N77))</f>
        <v>0</v>
      </c>
      <c r="P77" s="16">
        <f>P78+P96</f>
        <v>0</v>
      </c>
      <c r="Q77" s="17">
        <f>IF(P77=0,0,(P77/P77))</f>
        <v>0</v>
      </c>
      <c r="R77" s="16">
        <f>R78+R96</f>
        <v>0</v>
      </c>
      <c r="S77" s="17">
        <f>IF(R77=0,0,(R77/R77))</f>
        <v>0</v>
      </c>
      <c r="T77" s="16">
        <f>T78+T96</f>
        <v>0</v>
      </c>
      <c r="U77" s="17">
        <f>IF(T77=0,0,(T77/T77))</f>
        <v>0</v>
      </c>
      <c r="V77" s="16">
        <f>V78+V96</f>
        <v>0</v>
      </c>
      <c r="W77" s="17">
        <f>IF(V77=0,0,(V77/V77))</f>
        <v>0</v>
      </c>
      <c r="X77" s="16">
        <f>X78+X96</f>
        <v>0</v>
      </c>
      <c r="Y77" s="17">
        <f>IF(X77=0,0,(X77/X77))</f>
        <v>0</v>
      </c>
      <c r="Z77" s="16">
        <f>Z78+Z96</f>
        <v>8010</v>
      </c>
      <c r="AA77" s="17">
        <f>IF(Z77=0,0,(Z77/Z77))</f>
        <v>1</v>
      </c>
    </row>
    <row r="78" spans="1:27" x14ac:dyDescent="0.2">
      <c r="A78" s="32" t="s">
        <v>74</v>
      </c>
      <c r="B78" s="18">
        <f>SUM(B79:B86)</f>
        <v>1650</v>
      </c>
      <c r="C78" s="19">
        <f>IF(B$77=0,0,B78/B$77)</f>
        <v>0.93220338983050843</v>
      </c>
      <c r="D78" s="18">
        <f>SUM(D79:D86)</f>
        <v>1430</v>
      </c>
      <c r="E78" s="19">
        <f>IF(D$77=0,0,D78/D$77)</f>
        <v>0.95973154362416102</v>
      </c>
      <c r="F78" s="18">
        <f>SUM(F79:F86)</f>
        <v>1450</v>
      </c>
      <c r="G78" s="19">
        <f>IF(F$77=0,0,F78/F$77)</f>
        <v>1</v>
      </c>
      <c r="H78" s="18">
        <f>SUM(H79:H86)</f>
        <v>1100</v>
      </c>
      <c r="I78" s="19">
        <f>IF(H$77=0,0,H78/H$77)</f>
        <v>1</v>
      </c>
      <c r="J78" s="18">
        <f>SUM(J79:J86)</f>
        <v>1150</v>
      </c>
      <c r="K78" s="19">
        <f>IF(J$77=0,0,J78/J$77)</f>
        <v>1</v>
      </c>
      <c r="L78" s="18">
        <f>SUM(L79:L86)</f>
        <v>1050</v>
      </c>
      <c r="M78" s="19">
        <f>IF(L$77=0,0,L78/L$77)</f>
        <v>1</v>
      </c>
      <c r="N78" s="18">
        <f>SUM(N79:N86)</f>
        <v>0</v>
      </c>
      <c r="O78" s="19">
        <f>IF(N$77=0,0,N78/N$77)</f>
        <v>0</v>
      </c>
      <c r="P78" s="18">
        <f>SUM(P79:P86)</f>
        <v>0</v>
      </c>
      <c r="Q78" s="19">
        <f>IF(P$77=0,0,P78/P$77)</f>
        <v>0</v>
      </c>
      <c r="R78" s="18">
        <f>SUM(R79:R86)</f>
        <v>0</v>
      </c>
      <c r="S78" s="19">
        <f>IF(R$77=0,0,R78/R$77)</f>
        <v>0</v>
      </c>
      <c r="T78" s="18">
        <f>SUM(T79:T86)</f>
        <v>0</v>
      </c>
      <c r="U78" s="19">
        <f>IF(T$77=0,0,T78/T$77)</f>
        <v>0</v>
      </c>
      <c r="V78" s="18">
        <f>SUM(V79:V86)</f>
        <v>0</v>
      </c>
      <c r="W78" s="19">
        <f>IF(V$77=0,0,V78/V$77)</f>
        <v>0</v>
      </c>
      <c r="X78" s="18">
        <f>SUM(X79:X86)</f>
        <v>0</v>
      </c>
      <c r="Y78" s="19">
        <f>IF(X$77=0,0,X78/X$77)</f>
        <v>0</v>
      </c>
      <c r="Z78" s="18">
        <f>SUM(Z79:Z86)</f>
        <v>7830</v>
      </c>
      <c r="AA78" s="19">
        <f>IF(Z$77=0,0,Z78/Z$77)</f>
        <v>0.97752808988764039</v>
      </c>
    </row>
    <row r="79" spans="1:27" hidden="1" outlineLevel="2" x14ac:dyDescent="0.2">
      <c r="A79" s="8" t="s">
        <v>67</v>
      </c>
      <c r="B79" s="20">
        <f>SUMIFS('Registre de reserves'!$U$2:$U$1178,'Registre de reserves'!$T$2:$T$1178,"SI",'Registre de reserves'!$I$2:$I$1178,'2025'!$A79,'Registre de reserves'!$B$2:$B$1178,'2025'!B$2,Tabla1[ANY],'2025'!$Z$76)+SUMIFS('Registre de reserves'!$U$2:$U$1178,'Registre de reserves'!$T$2:$T$1178,"RESERVA",'Registre de reserves'!$I$2:$I$1178,'2025'!$A79,'Registre de reserves'!$B$2:$B$1178,'2025'!B$2,Tabla1[ANY],'2025'!$Z$76)</f>
        <v>200</v>
      </c>
      <c r="C79" s="21">
        <f t="shared" ref="C79:C86" si="74">IF(B$78=0,0,B79/B$78)</f>
        <v>0.12121212121212122</v>
      </c>
      <c r="D79" s="20">
        <f>SUMIFS('Registre de reserves'!$U$2:$U$1178,'Registre de reserves'!$T$2:$T$1178,"SI",'Registre de reserves'!$I$2:$I$1178,'2025'!$A79,'Registre de reserves'!$B$2:$B$1178,'2025'!D$2,Tabla1[ANY],'2025'!$Z$76)+SUMIFS('Registre de reserves'!$U$2:$U$1178,'Registre de reserves'!$T$2:$T$1178,"RESERVA",'Registre de reserves'!$I$2:$I$1178,'2025'!$A79,'Registre de reserves'!$B$2:$B$1178,'2025'!D$2,Tabla1[ANY],'2025'!$Z$76)</f>
        <v>350</v>
      </c>
      <c r="E79" s="21">
        <f t="shared" ref="E79:E86" si="75">IF(D$78=0,0,D79/D$78)</f>
        <v>0.24475524475524477</v>
      </c>
      <c r="F79" s="20">
        <f>SUMIFS('Registre de reserves'!$U$2:$U$1178,'Registre de reserves'!$T$2:$T$1178,"SI",'Registre de reserves'!$I$2:$I$1178,'2025'!$A79,'Registre de reserves'!$B$2:$B$1178,'2025'!F$2,Tabla1[ANY],'2025'!$Z$76)+SUMIFS('Registre de reserves'!$U$2:$U$1178,'Registre de reserves'!$T$2:$T$1178,"RESERVA",'Registre de reserves'!$I$2:$I$1178,'2025'!$A79,'Registre de reserves'!$B$2:$B$1178,'2025'!F$2,Tabla1[ANY],'2025'!$Z$76)</f>
        <v>250</v>
      </c>
      <c r="G79" s="21">
        <f t="shared" ref="G79:G86" si="76">IF(F$78=0,0,F79/F$78)</f>
        <v>0.17241379310344829</v>
      </c>
      <c r="H79" s="20">
        <f>SUMIFS('Registre de reserves'!$U$2:$U$1178,'Registre de reserves'!$T$2:$T$1178,"SI",'Registre de reserves'!$I$2:$I$1178,'2025'!$A79,'Registre de reserves'!$B$2:$B$1178,'2025'!H$2,Tabla1[ANY],'2025'!$Z$76)+SUMIFS('Registre de reserves'!$U$2:$U$1178,'Registre de reserves'!$T$2:$T$1178,"RESERVA",'Registre de reserves'!$I$2:$I$1178,'2025'!$A79,'Registre de reserves'!$B$2:$B$1178,'2025'!H$2,Tabla1[ANY],'2025'!$Z$76)</f>
        <v>300</v>
      </c>
      <c r="I79" s="21">
        <f t="shared" ref="I79:I86" si="77">IF(H$78=0,0,H79/H$78)</f>
        <v>0.27272727272727271</v>
      </c>
      <c r="J79" s="20">
        <f>SUMIFS('Registre de reserves'!$U$2:$U$1178,'Registre de reserves'!$T$2:$T$1178,"SI",'Registre de reserves'!$I$2:$I$1178,'2025'!$A79,'Registre de reserves'!$B$2:$B$1178,'2025'!J$2,Tabla1[ANY],'2025'!$Z$76)+SUMIFS('Registre de reserves'!$U$2:$U$1178,'Registre de reserves'!$T$2:$T$1178,"RESERVA",'Registre de reserves'!$I$2:$I$1178,'2025'!$A79,'Registre de reserves'!$B$2:$B$1178,'2025'!J$2,Tabla1[ANY],'2025'!$Z$76)</f>
        <v>250</v>
      </c>
      <c r="K79" s="21">
        <f t="shared" ref="K79:K86" si="78">IF(J$78=0,0,J79/J$78)</f>
        <v>0.21739130434782608</v>
      </c>
      <c r="L79" s="20">
        <f>SUMIFS('Registre de reserves'!$U$2:$U$1178,'Registre de reserves'!$T$2:$T$1178,"SI",'Registre de reserves'!$I$2:$I$1178,'2025'!$A79,'Registre de reserves'!$B$2:$B$1178,'2025'!L$2,Tabla1[ANY],'2025'!$Z$76)+SUMIFS('Registre de reserves'!$U$2:$U$1178,'Registre de reserves'!$T$2:$T$1178,"RESERVA",'Registre de reserves'!$I$2:$I$1178,'2025'!$A79,'Registre de reserves'!$B$2:$B$1178,'2025'!L$2,Tabla1[ANY],'2025'!$Z$76)</f>
        <v>150</v>
      </c>
      <c r="M79" s="21">
        <f t="shared" ref="M79:M86" si="79">IF(L$78=0,0,L79/L$78)</f>
        <v>0.14285714285714285</v>
      </c>
      <c r="N79" s="20">
        <f>SUMIFS('Registre de reserves'!$U$2:$U$1178,'Registre de reserves'!$T$2:$T$1178,"SI",'Registre de reserves'!$I$2:$I$1178,'2025'!$A79,'Registre de reserves'!$B$2:$B$1178,'2025'!N$2,Tabla1[ANY],'2025'!$Z$76)+SUMIFS('Registre de reserves'!$U$2:$U$1178,'Registre de reserves'!$T$2:$T$1178,"RESERVA",'Registre de reserves'!$I$2:$I$1178,'2025'!$A79,'Registre de reserves'!$B$2:$B$1178,'2025'!N$2,Tabla1[ANY],'2025'!$Z$76)</f>
        <v>0</v>
      </c>
      <c r="O79" s="21">
        <f t="shared" ref="O79:O86" si="80">IF(N$78=0,0,N79/N$78)</f>
        <v>0</v>
      </c>
      <c r="P79" s="20">
        <f>SUMIFS('Registre de reserves'!$U$2:$U$1178,'Registre de reserves'!$T$2:$T$1178,"SI",'Registre de reserves'!$I$2:$I$1178,'2025'!$A79,'Registre de reserves'!$B$2:$B$1178,'2025'!P$2,Tabla1[ANY],'2025'!$Z$76)+SUMIFS('Registre de reserves'!$U$2:$U$1178,'Registre de reserves'!$T$2:$T$1178,"RESERVA",'Registre de reserves'!$I$2:$I$1178,'2025'!$A79,'Registre de reserves'!$B$2:$B$1178,'2025'!P$2,Tabla1[ANY],'2025'!$Z$76)</f>
        <v>0</v>
      </c>
      <c r="Q79" s="21">
        <f t="shared" ref="Q79:Q86" si="81">IF(P$78=0,0,P79/P$78)</f>
        <v>0</v>
      </c>
      <c r="R79" s="20">
        <f>SUMIFS('Registre de reserves'!$U$2:$U$1178,'Registre de reserves'!$T$2:$T$1178,"SI",'Registre de reserves'!$I$2:$I$1178,'2025'!$A79,'Registre de reserves'!$B$2:$B$1178,'2025'!R$2,Tabla1[ANY],'2025'!$Z$76)+SUMIFS('Registre de reserves'!$U$2:$U$1178,'Registre de reserves'!$T$2:$T$1178,"RESERVA",'Registre de reserves'!$I$2:$I$1178,'2025'!$A79,'Registre de reserves'!$B$2:$B$1178,'2025'!R$2,Tabla1[ANY],'2025'!$Z$76)</f>
        <v>0</v>
      </c>
      <c r="S79" s="21">
        <f t="shared" ref="S79:S86" si="82">IF(R$78=0,0,R79/R$78)</f>
        <v>0</v>
      </c>
      <c r="T79" s="20">
        <f>SUMIFS('Registre de reserves'!$U$2:$U$1178,'Registre de reserves'!$T$2:$T$1178,"SI",'Registre de reserves'!$I$2:$I$1178,'2025'!$A79,'Registre de reserves'!$B$2:$B$1178,'2025'!T$2,Tabla1[ANY],'2025'!$Z$76)+SUMIFS('Registre de reserves'!$U$2:$U$1178,'Registre de reserves'!$T$2:$T$1178,"RESERVA",'Registre de reserves'!$I$2:$I$1178,'2025'!$A79,'Registre de reserves'!$B$2:$B$1178,'2025'!T$2,Tabla1[ANY],'2025'!$Z$76)</f>
        <v>0</v>
      </c>
      <c r="U79" s="21">
        <f t="shared" ref="U79:U86" si="83">IF(T$78=0,0,T79/T$78)</f>
        <v>0</v>
      </c>
      <c r="V79" s="20">
        <f>SUMIFS('Registre de reserves'!$U$2:$U$1178,'Registre de reserves'!$T$2:$T$1178,"SI",'Registre de reserves'!$I$2:$I$1178,'2025'!$A79,'Registre de reserves'!$B$2:$B$1178,'2025'!V$2,Tabla1[ANY],'2025'!$Z$76)+SUMIFS('Registre de reserves'!$U$2:$U$1178,'Registre de reserves'!$T$2:$T$1178,"RESERVA",'Registre de reserves'!$I$2:$I$1178,'2025'!$A79,'Registre de reserves'!$B$2:$B$1178,'2025'!V$2,Tabla1[ANY],'2025'!$Z$76)</f>
        <v>0</v>
      </c>
      <c r="W79" s="21">
        <f t="shared" ref="W79:W86" si="84">IF(V$78=0,0,V79/V$78)</f>
        <v>0</v>
      </c>
      <c r="X79" s="20">
        <f>SUMIFS('Registre de reserves'!$U$2:$U$1178,'Registre de reserves'!$T$2:$T$1178,"SI",'Registre de reserves'!$I$2:$I$1178,'2025'!$A79,'Registre de reserves'!$B$2:$B$1178,'2025'!X$2,Tabla1[ANY],'2025'!$Z$76)+SUMIFS('Registre de reserves'!$U$2:$U$1178,'Registre de reserves'!$T$2:$T$1178,"RESERVA",'Registre de reserves'!$I$2:$I$1178,'2025'!$A79,'Registre de reserves'!$B$2:$B$1178,'2025'!X$2,Tabla1[ANY],'2025'!$Z$76)</f>
        <v>0</v>
      </c>
      <c r="Y79" s="21">
        <f t="shared" ref="Y79:Y86" si="85">IF(X$78=0,0,X79/X$78)</f>
        <v>0</v>
      </c>
      <c r="Z79" s="20">
        <f>B79+D79+F79+H79+J79+L79+N79+P79+R79+T79+V79+X79</f>
        <v>1500</v>
      </c>
      <c r="AA79" s="21">
        <f t="shared" ref="AA79:AA86" si="86">IF(Z$78=0,0,Z79/Z$78)</f>
        <v>0.19157088122605365</v>
      </c>
    </row>
    <row r="80" spans="1:27" hidden="1" outlineLevel="2" x14ac:dyDescent="0.2">
      <c r="A80" s="8" t="s">
        <v>68</v>
      </c>
      <c r="B80" s="20">
        <f>SUMIFS('Registre de reserves'!$U$2:$U$1178,'Registre de reserves'!$T$2:$T$1178,"SI",'Registre de reserves'!$I$2:$I$1178,'2025'!$A80,'Registre de reserves'!$B$2:$B$1178,'2025'!B$2,Tabla1[ANY],'2025'!$Z$76)+SUMIFS('Registre de reserves'!$U$2:$U$1178,'Registre de reserves'!$T$2:$T$1178,"RESERVA",'Registre de reserves'!$I$2:$I$1178,'2025'!$A80,'Registre de reserves'!$B$2:$B$1178,'2025'!B$2,Tabla1[ANY],'2025'!$Z$76)</f>
        <v>550</v>
      </c>
      <c r="C80" s="21">
        <f t="shared" si="74"/>
        <v>0.33333333333333331</v>
      </c>
      <c r="D80" s="20">
        <f>SUMIFS('Registre de reserves'!$U$2:$U$1178,'Registre de reserves'!$T$2:$T$1178,"SI",'Registre de reserves'!$I$2:$I$1178,'2025'!$A80,'Registre de reserves'!$B$2:$B$1178,'2025'!D$2,Tabla1[ANY],'2025'!$Z$76)+SUMIFS('Registre de reserves'!$U$2:$U$1178,'Registre de reserves'!$T$2:$T$1178,"RESERVA",'Registre de reserves'!$I$2:$I$1178,'2025'!$A80,'Registre de reserves'!$B$2:$B$1178,'2025'!D$2,Tabla1[ANY],'2025'!$Z$76)</f>
        <v>680</v>
      </c>
      <c r="E80" s="21">
        <f t="shared" si="75"/>
        <v>0.47552447552447552</v>
      </c>
      <c r="F80" s="20">
        <f>SUMIFS('Registre de reserves'!$U$2:$U$1178,'Registre de reserves'!$T$2:$T$1178,"SI",'Registre de reserves'!$I$2:$I$1178,'2025'!$A80,'Registre de reserves'!$B$2:$B$1178,'2025'!F$2,Tabla1[ANY],'2025'!$Z$76)+SUMIFS('Registre de reserves'!$U$2:$U$1178,'Registre de reserves'!$T$2:$T$1178,"RESERVA",'Registre de reserves'!$I$2:$I$1178,'2025'!$A80,'Registre de reserves'!$B$2:$B$1178,'2025'!F$2,Tabla1[ANY],'2025'!$Z$76)</f>
        <v>600</v>
      </c>
      <c r="G80" s="21">
        <f t="shared" si="76"/>
        <v>0.41379310344827586</v>
      </c>
      <c r="H80" s="20">
        <f>SUMIFS('Registre de reserves'!$U$2:$U$1178,'Registre de reserves'!$T$2:$T$1178,"SI",'Registre de reserves'!$I$2:$I$1178,'2025'!$A80,'Registre de reserves'!$B$2:$B$1178,'2025'!H$2,Tabla1[ANY],'2025'!$Z$76)+SUMIFS('Registre de reserves'!$U$2:$U$1178,'Registre de reserves'!$T$2:$T$1178,"RESERVA",'Registre de reserves'!$I$2:$I$1178,'2025'!$A80,'Registre de reserves'!$B$2:$B$1178,'2025'!H$2,Tabla1[ANY],'2025'!$Z$76)</f>
        <v>550</v>
      </c>
      <c r="I80" s="21">
        <f t="shared" si="77"/>
        <v>0.5</v>
      </c>
      <c r="J80" s="20">
        <f>SUMIFS('Registre de reserves'!$U$2:$U$1178,'Registre de reserves'!$T$2:$T$1178,"SI",'Registre de reserves'!$I$2:$I$1178,'2025'!$A80,'Registre de reserves'!$B$2:$B$1178,'2025'!J$2,Tabla1[ANY],'2025'!$Z$76)+SUMIFS('Registre de reserves'!$U$2:$U$1178,'Registre de reserves'!$T$2:$T$1178,"RESERVA",'Registre de reserves'!$I$2:$I$1178,'2025'!$A80,'Registre de reserves'!$B$2:$B$1178,'2025'!J$2,Tabla1[ANY],'2025'!$Z$76)</f>
        <v>550</v>
      </c>
      <c r="K80" s="21">
        <f t="shared" si="78"/>
        <v>0.47826086956521741</v>
      </c>
      <c r="L80" s="20">
        <f>SUMIFS('Registre de reserves'!$U$2:$U$1178,'Registre de reserves'!$T$2:$T$1178,"SI",'Registre de reserves'!$I$2:$I$1178,'2025'!$A80,'Registre de reserves'!$B$2:$B$1178,'2025'!L$2,Tabla1[ANY],'2025'!$Z$76)+SUMIFS('Registre de reserves'!$U$2:$U$1178,'Registre de reserves'!$T$2:$T$1178,"RESERVA",'Registre de reserves'!$I$2:$I$1178,'2025'!$A80,'Registre de reserves'!$B$2:$B$1178,'2025'!L$2,Tabla1[ANY],'2025'!$Z$76)</f>
        <v>550</v>
      </c>
      <c r="M80" s="21">
        <f t="shared" si="79"/>
        <v>0.52380952380952384</v>
      </c>
      <c r="N80" s="20">
        <f>SUMIFS('Registre de reserves'!$U$2:$U$1178,'Registre de reserves'!$T$2:$T$1178,"SI",'Registre de reserves'!$I$2:$I$1178,'2025'!$A80,'Registre de reserves'!$B$2:$B$1178,'2025'!N$2,Tabla1[ANY],'2025'!$Z$76)+SUMIFS('Registre de reserves'!$U$2:$U$1178,'Registre de reserves'!$T$2:$T$1178,"RESERVA",'Registre de reserves'!$I$2:$I$1178,'2025'!$A80,'Registre de reserves'!$B$2:$B$1178,'2025'!N$2,Tabla1[ANY],'2025'!$Z$76)</f>
        <v>0</v>
      </c>
      <c r="O80" s="21">
        <f t="shared" si="80"/>
        <v>0</v>
      </c>
      <c r="P80" s="20">
        <f>SUMIFS('Registre de reserves'!$U$2:$U$1178,'Registre de reserves'!$T$2:$T$1178,"SI",'Registre de reserves'!$I$2:$I$1178,'2025'!$A80,'Registre de reserves'!$B$2:$B$1178,'2025'!P$2,Tabla1[ANY],'2025'!$Z$76)+SUMIFS('Registre de reserves'!$U$2:$U$1178,'Registre de reserves'!$T$2:$T$1178,"RESERVA",'Registre de reserves'!$I$2:$I$1178,'2025'!$A80,'Registre de reserves'!$B$2:$B$1178,'2025'!P$2,Tabla1[ANY],'2025'!$Z$76)</f>
        <v>0</v>
      </c>
      <c r="Q80" s="21">
        <f t="shared" si="81"/>
        <v>0</v>
      </c>
      <c r="R80" s="20">
        <f>SUMIFS('Registre de reserves'!$U$2:$U$1178,'Registre de reserves'!$T$2:$T$1178,"SI",'Registre de reserves'!$I$2:$I$1178,'2025'!$A80,'Registre de reserves'!$B$2:$B$1178,'2025'!R$2,Tabla1[ANY],'2025'!$Z$76)+SUMIFS('Registre de reserves'!$U$2:$U$1178,'Registre de reserves'!$T$2:$T$1178,"RESERVA",'Registre de reserves'!$I$2:$I$1178,'2025'!$A80,'Registre de reserves'!$B$2:$B$1178,'2025'!R$2,Tabla1[ANY],'2025'!$Z$76)</f>
        <v>0</v>
      </c>
      <c r="S80" s="21">
        <f t="shared" si="82"/>
        <v>0</v>
      </c>
      <c r="T80" s="20">
        <f>SUMIFS('Registre de reserves'!$U$2:$U$1178,'Registre de reserves'!$T$2:$T$1178,"SI",'Registre de reserves'!$I$2:$I$1178,'2025'!$A80,'Registre de reserves'!$B$2:$B$1178,'2025'!T$2,Tabla1[ANY],'2025'!$Z$76)+SUMIFS('Registre de reserves'!$U$2:$U$1178,'Registre de reserves'!$T$2:$T$1178,"RESERVA",'Registre de reserves'!$I$2:$I$1178,'2025'!$A80,'Registre de reserves'!$B$2:$B$1178,'2025'!T$2,Tabla1[ANY],'2025'!$Z$76)</f>
        <v>0</v>
      </c>
      <c r="U80" s="21">
        <f t="shared" si="83"/>
        <v>0</v>
      </c>
      <c r="V80" s="20">
        <f>SUMIFS('Registre de reserves'!$U$2:$U$1178,'Registre de reserves'!$T$2:$T$1178,"SI",'Registre de reserves'!$I$2:$I$1178,'2025'!$A80,'Registre de reserves'!$B$2:$B$1178,'2025'!V$2,Tabla1[ANY],'2025'!$Z$76)+SUMIFS('Registre de reserves'!$U$2:$U$1178,'Registre de reserves'!$T$2:$T$1178,"RESERVA",'Registre de reserves'!$I$2:$I$1178,'2025'!$A80,'Registre de reserves'!$B$2:$B$1178,'2025'!V$2,Tabla1[ANY],'2025'!$Z$76)</f>
        <v>0</v>
      </c>
      <c r="W80" s="21">
        <f t="shared" si="84"/>
        <v>0</v>
      </c>
      <c r="X80" s="20">
        <f>SUMIFS('Registre de reserves'!$U$2:$U$1178,'Registre de reserves'!$T$2:$T$1178,"SI",'Registre de reserves'!$I$2:$I$1178,'2025'!$A80,'Registre de reserves'!$B$2:$B$1178,'2025'!X$2,Tabla1[ANY],'2025'!$Z$76)+SUMIFS('Registre de reserves'!$U$2:$U$1178,'Registre de reserves'!$T$2:$T$1178,"RESERVA",'Registre de reserves'!$I$2:$I$1178,'2025'!$A80,'Registre de reserves'!$B$2:$B$1178,'2025'!X$2,Tabla1[ANY],'2025'!$Z$76)</f>
        <v>0</v>
      </c>
      <c r="Y80" s="21">
        <f t="shared" si="85"/>
        <v>0</v>
      </c>
      <c r="Z80" s="20">
        <f t="shared" ref="Z80:Z86" si="87">B80+D80+F80+H80+J80+L80+N80+P80+R80+T80+V80+X80</f>
        <v>3480</v>
      </c>
      <c r="AA80" s="21">
        <f t="shared" si="86"/>
        <v>0.44444444444444442</v>
      </c>
    </row>
    <row r="81" spans="1:27" hidden="1" outlineLevel="2" x14ac:dyDescent="0.2">
      <c r="A81" s="8" t="s">
        <v>4</v>
      </c>
      <c r="B81" s="20">
        <f>SUMIFS('Registre de reserves'!$U$2:$U$1178,'Registre de reserves'!$T$2:$T$1178,"SI",'Registre de reserves'!$I$2:$I$1178,'2025'!$A81,'Registre de reserves'!$B$2:$B$1178,'2025'!B$2,Tabla1[ANY],'2025'!$Z$76)+SUMIFS('Registre de reserves'!$U$2:$U$1178,'Registre de reserves'!$T$2:$T$1178,"RESERVA",'Registre de reserves'!$I$2:$I$1178,'2025'!$A81,'Registre de reserves'!$B$2:$B$1178,'2025'!B$2,Tabla1[ANY],'2025'!$Z$76)</f>
        <v>150</v>
      </c>
      <c r="C81" s="21">
        <f t="shared" si="74"/>
        <v>9.0909090909090912E-2</v>
      </c>
      <c r="D81" s="20">
        <f>SUMIFS('Registre de reserves'!$U$2:$U$1178,'Registre de reserves'!$T$2:$T$1178,"SI",'Registre de reserves'!$I$2:$I$1178,'2025'!$A81,'Registre de reserves'!$B$2:$B$1178,'2025'!D$2,Tabla1[ANY],'2025'!$Z$76)+SUMIFS('Registre de reserves'!$U$2:$U$1178,'Registre de reserves'!$T$2:$T$1178,"RESERVA",'Registre de reserves'!$I$2:$I$1178,'2025'!$A81,'Registre de reserves'!$B$2:$B$1178,'2025'!D$2,Tabla1[ANY],'2025'!$Z$76)</f>
        <v>50</v>
      </c>
      <c r="E81" s="21">
        <f t="shared" si="75"/>
        <v>3.4965034965034968E-2</v>
      </c>
      <c r="F81" s="20">
        <f>SUMIFS('Registre de reserves'!$U$2:$U$1178,'Registre de reserves'!$T$2:$T$1178,"SI",'Registre de reserves'!$I$2:$I$1178,'2025'!$A81,'Registre de reserves'!$B$2:$B$1178,'2025'!F$2,Tabla1[ANY],'2025'!$Z$76)+SUMIFS('Registre de reserves'!$U$2:$U$1178,'Registre de reserves'!$T$2:$T$1178,"RESERVA",'Registre de reserves'!$I$2:$I$1178,'2025'!$A81,'Registre de reserves'!$B$2:$B$1178,'2025'!F$2,Tabla1[ANY],'2025'!$Z$76)</f>
        <v>0</v>
      </c>
      <c r="G81" s="21">
        <f t="shared" si="76"/>
        <v>0</v>
      </c>
      <c r="H81" s="20">
        <f>SUMIFS('Registre de reserves'!$U$2:$U$1178,'Registre de reserves'!$T$2:$T$1178,"SI",'Registre de reserves'!$I$2:$I$1178,'2025'!$A81,'Registre de reserves'!$B$2:$B$1178,'2025'!H$2,Tabla1[ANY],'2025'!$Z$76)+SUMIFS('Registre de reserves'!$U$2:$U$1178,'Registre de reserves'!$T$2:$T$1178,"RESERVA",'Registre de reserves'!$I$2:$I$1178,'2025'!$A81,'Registre de reserves'!$B$2:$B$1178,'2025'!H$2,Tabla1[ANY],'2025'!$Z$76)</f>
        <v>0</v>
      </c>
      <c r="I81" s="21">
        <f t="shared" si="77"/>
        <v>0</v>
      </c>
      <c r="J81" s="20">
        <f>SUMIFS('Registre de reserves'!$U$2:$U$1178,'Registre de reserves'!$T$2:$T$1178,"SI",'Registre de reserves'!$I$2:$I$1178,'2025'!$A81,'Registre de reserves'!$B$2:$B$1178,'2025'!J$2,Tabla1[ANY],'2025'!$Z$76)+SUMIFS('Registre de reserves'!$U$2:$U$1178,'Registre de reserves'!$T$2:$T$1178,"RESERVA",'Registre de reserves'!$I$2:$I$1178,'2025'!$A81,'Registre de reserves'!$B$2:$B$1178,'2025'!J$2,Tabla1[ANY],'2025'!$Z$76)</f>
        <v>0</v>
      </c>
      <c r="K81" s="21">
        <f t="shared" si="78"/>
        <v>0</v>
      </c>
      <c r="L81" s="20">
        <f>SUMIFS('Registre de reserves'!$U$2:$U$1178,'Registre de reserves'!$T$2:$T$1178,"SI",'Registre de reserves'!$I$2:$I$1178,'2025'!$A81,'Registre de reserves'!$B$2:$B$1178,'2025'!L$2,Tabla1[ANY],'2025'!$Z$76)+SUMIFS('Registre de reserves'!$U$2:$U$1178,'Registre de reserves'!$T$2:$T$1178,"RESERVA",'Registre de reserves'!$I$2:$I$1178,'2025'!$A81,'Registre de reserves'!$B$2:$B$1178,'2025'!L$2,Tabla1[ANY],'2025'!$Z$76)</f>
        <v>0</v>
      </c>
      <c r="M81" s="21">
        <f t="shared" si="79"/>
        <v>0</v>
      </c>
      <c r="N81" s="20">
        <f>SUMIFS('Registre de reserves'!$U$2:$U$1178,'Registre de reserves'!$T$2:$T$1178,"SI",'Registre de reserves'!$I$2:$I$1178,'2025'!$A81,'Registre de reserves'!$B$2:$B$1178,'2025'!N$2,Tabla1[ANY],'2025'!$Z$76)+SUMIFS('Registre de reserves'!$U$2:$U$1178,'Registre de reserves'!$T$2:$T$1178,"RESERVA",'Registre de reserves'!$I$2:$I$1178,'2025'!$A81,'Registre de reserves'!$B$2:$B$1178,'2025'!N$2,Tabla1[ANY],'2025'!$Z$76)</f>
        <v>0</v>
      </c>
      <c r="O81" s="21">
        <f t="shared" si="80"/>
        <v>0</v>
      </c>
      <c r="P81" s="20">
        <f>SUMIFS('Registre de reserves'!$U$2:$U$1178,'Registre de reserves'!$T$2:$T$1178,"SI",'Registre de reserves'!$I$2:$I$1178,'2025'!$A81,'Registre de reserves'!$B$2:$B$1178,'2025'!P$2,Tabla1[ANY],'2025'!$Z$76)+SUMIFS('Registre de reserves'!$U$2:$U$1178,'Registre de reserves'!$T$2:$T$1178,"RESERVA",'Registre de reserves'!$I$2:$I$1178,'2025'!$A81,'Registre de reserves'!$B$2:$B$1178,'2025'!P$2,Tabla1[ANY],'2025'!$Z$76)</f>
        <v>0</v>
      </c>
      <c r="Q81" s="21">
        <f t="shared" si="81"/>
        <v>0</v>
      </c>
      <c r="R81" s="20">
        <f>SUMIFS('Registre de reserves'!$U$2:$U$1178,'Registre de reserves'!$T$2:$T$1178,"SI",'Registre de reserves'!$I$2:$I$1178,'2025'!$A81,'Registre de reserves'!$B$2:$B$1178,'2025'!R$2,Tabla1[ANY],'2025'!$Z$76)+SUMIFS('Registre de reserves'!$U$2:$U$1178,'Registre de reserves'!$T$2:$T$1178,"RESERVA",'Registre de reserves'!$I$2:$I$1178,'2025'!$A81,'Registre de reserves'!$B$2:$B$1178,'2025'!R$2,Tabla1[ANY],'2025'!$Z$76)</f>
        <v>0</v>
      </c>
      <c r="S81" s="21">
        <f t="shared" si="82"/>
        <v>0</v>
      </c>
      <c r="T81" s="20">
        <f>SUMIFS('Registre de reserves'!$U$2:$U$1178,'Registre de reserves'!$T$2:$T$1178,"SI",'Registre de reserves'!$I$2:$I$1178,'2025'!$A81,'Registre de reserves'!$B$2:$B$1178,'2025'!T$2,Tabla1[ANY],'2025'!$Z$76)+SUMIFS('Registre de reserves'!$U$2:$U$1178,'Registre de reserves'!$T$2:$T$1178,"RESERVA",'Registre de reserves'!$I$2:$I$1178,'2025'!$A81,'Registre de reserves'!$B$2:$B$1178,'2025'!T$2,Tabla1[ANY],'2025'!$Z$76)</f>
        <v>0</v>
      </c>
      <c r="U81" s="21">
        <f t="shared" si="83"/>
        <v>0</v>
      </c>
      <c r="V81" s="20">
        <f>SUMIFS('Registre de reserves'!$U$2:$U$1178,'Registre de reserves'!$T$2:$T$1178,"SI",'Registre de reserves'!$I$2:$I$1178,'2025'!$A81,'Registre de reserves'!$B$2:$B$1178,'2025'!V$2,Tabla1[ANY],'2025'!$Z$76)+SUMIFS('Registre de reserves'!$U$2:$U$1178,'Registre de reserves'!$T$2:$T$1178,"RESERVA",'Registre de reserves'!$I$2:$I$1178,'2025'!$A81,'Registre de reserves'!$B$2:$B$1178,'2025'!V$2,Tabla1[ANY],'2025'!$Z$76)</f>
        <v>0</v>
      </c>
      <c r="W81" s="21">
        <f t="shared" si="84"/>
        <v>0</v>
      </c>
      <c r="X81" s="20">
        <f>SUMIFS('Registre de reserves'!$U$2:$U$1178,'Registre de reserves'!$T$2:$T$1178,"SI",'Registre de reserves'!$I$2:$I$1178,'2025'!$A81,'Registre de reserves'!$B$2:$B$1178,'2025'!X$2,Tabla1[ANY],'2025'!$Z$76)+SUMIFS('Registre de reserves'!$U$2:$U$1178,'Registre de reserves'!$T$2:$T$1178,"RESERVA",'Registre de reserves'!$I$2:$I$1178,'2025'!$A81,'Registre de reserves'!$B$2:$B$1178,'2025'!X$2,Tabla1[ANY],'2025'!$Z$76)</f>
        <v>0</v>
      </c>
      <c r="Y81" s="21">
        <f t="shared" si="85"/>
        <v>0</v>
      </c>
      <c r="Z81" s="20">
        <f t="shared" si="87"/>
        <v>200</v>
      </c>
      <c r="AA81" s="21">
        <f t="shared" si="86"/>
        <v>2.554278416347382E-2</v>
      </c>
    </row>
    <row r="82" spans="1:27" hidden="1" outlineLevel="2" x14ac:dyDescent="0.2">
      <c r="A82" s="8" t="s">
        <v>71</v>
      </c>
      <c r="B82" s="20">
        <f>SUMIFS('Registre de reserves'!$U$2:$U$1178,'Registre de reserves'!$T$2:$T$1178,"SI",'Registre de reserves'!$I$2:$I$1178,'2025'!$A82,'Registre de reserves'!$B$2:$B$1178,'2025'!B$2,Tabla1[ANY],'2025'!$Z$76)+SUMIFS('Registre de reserves'!$U$2:$U$1178,'Registre de reserves'!$T$2:$T$1178,"RESERVA",'Registre de reserves'!$I$2:$I$1178,'2025'!$A82,'Registre de reserves'!$B$2:$B$1178,'2025'!B$2,Tabla1[ANY],'2025'!$Z$76)</f>
        <v>0</v>
      </c>
      <c r="C82" s="21">
        <f t="shared" si="74"/>
        <v>0</v>
      </c>
      <c r="D82" s="20">
        <f>SUMIFS('Registre de reserves'!$U$2:$U$1178,'Registre de reserves'!$T$2:$T$1178,"SI",'Registre de reserves'!$I$2:$I$1178,'2025'!$A82,'Registre de reserves'!$B$2:$B$1178,'2025'!D$2,Tabla1[ANY],'2025'!$Z$76)+SUMIFS('Registre de reserves'!$U$2:$U$1178,'Registre de reserves'!$T$2:$T$1178,"RESERVA",'Registre de reserves'!$I$2:$I$1178,'2025'!$A82,'Registre de reserves'!$B$2:$B$1178,'2025'!D$2,Tabla1[ANY],'2025'!$Z$76)</f>
        <v>0</v>
      </c>
      <c r="E82" s="21">
        <f t="shared" si="75"/>
        <v>0</v>
      </c>
      <c r="F82" s="20">
        <f>SUMIFS('Registre de reserves'!$U$2:$U$1178,'Registre de reserves'!$T$2:$T$1178,"SI",'Registre de reserves'!$I$2:$I$1178,'2025'!$A82,'Registre de reserves'!$B$2:$B$1178,'2025'!F$2,Tabla1[ANY],'2025'!$Z$76)+SUMIFS('Registre de reserves'!$U$2:$U$1178,'Registre de reserves'!$T$2:$T$1178,"RESERVA",'Registre de reserves'!$I$2:$I$1178,'2025'!$A82,'Registre de reserves'!$B$2:$B$1178,'2025'!F$2,Tabla1[ANY],'2025'!$Z$76)</f>
        <v>0</v>
      </c>
      <c r="G82" s="21">
        <f t="shared" si="76"/>
        <v>0</v>
      </c>
      <c r="H82" s="20">
        <f>SUMIFS('Registre de reserves'!$U$2:$U$1178,'Registre de reserves'!$T$2:$T$1178,"SI",'Registre de reserves'!$I$2:$I$1178,'2025'!$A82,'Registre de reserves'!$B$2:$B$1178,'2025'!H$2,Tabla1[ANY],'2025'!$Z$76)+SUMIFS('Registre de reserves'!$U$2:$U$1178,'Registre de reserves'!$T$2:$T$1178,"RESERVA",'Registre de reserves'!$I$2:$I$1178,'2025'!$A82,'Registre de reserves'!$B$2:$B$1178,'2025'!H$2,Tabla1[ANY],'2025'!$Z$76)</f>
        <v>0</v>
      </c>
      <c r="I82" s="21">
        <f t="shared" si="77"/>
        <v>0</v>
      </c>
      <c r="J82" s="20">
        <f>SUMIFS('Registre de reserves'!$U$2:$U$1178,'Registre de reserves'!$T$2:$T$1178,"SI",'Registre de reserves'!$I$2:$I$1178,'2025'!$A82,'Registre de reserves'!$B$2:$B$1178,'2025'!J$2,Tabla1[ANY],'2025'!$Z$76)+SUMIFS('Registre de reserves'!$U$2:$U$1178,'Registre de reserves'!$T$2:$T$1178,"RESERVA",'Registre de reserves'!$I$2:$I$1178,'2025'!$A82,'Registre de reserves'!$B$2:$B$1178,'2025'!J$2,Tabla1[ANY],'2025'!$Z$76)</f>
        <v>0</v>
      </c>
      <c r="K82" s="21">
        <f t="shared" si="78"/>
        <v>0</v>
      </c>
      <c r="L82" s="20">
        <f>SUMIFS('Registre de reserves'!$U$2:$U$1178,'Registre de reserves'!$T$2:$T$1178,"SI",'Registre de reserves'!$I$2:$I$1178,'2025'!$A82,'Registre de reserves'!$B$2:$B$1178,'2025'!L$2,Tabla1[ANY],'2025'!$Z$76)+SUMIFS('Registre de reserves'!$U$2:$U$1178,'Registre de reserves'!$T$2:$T$1178,"RESERVA",'Registre de reserves'!$I$2:$I$1178,'2025'!$A82,'Registre de reserves'!$B$2:$B$1178,'2025'!L$2,Tabla1[ANY],'2025'!$Z$76)</f>
        <v>0</v>
      </c>
      <c r="M82" s="21">
        <f t="shared" si="79"/>
        <v>0</v>
      </c>
      <c r="N82" s="20">
        <f>SUMIFS('Registre de reserves'!$U$2:$U$1178,'Registre de reserves'!$T$2:$T$1178,"SI",'Registre de reserves'!$I$2:$I$1178,'2025'!$A82,'Registre de reserves'!$B$2:$B$1178,'2025'!N$2,Tabla1[ANY],'2025'!$Z$76)+SUMIFS('Registre de reserves'!$U$2:$U$1178,'Registre de reserves'!$T$2:$T$1178,"RESERVA",'Registre de reserves'!$I$2:$I$1178,'2025'!$A82,'Registre de reserves'!$B$2:$B$1178,'2025'!N$2,Tabla1[ANY],'2025'!$Z$76)</f>
        <v>0</v>
      </c>
      <c r="O82" s="21">
        <f t="shared" si="80"/>
        <v>0</v>
      </c>
      <c r="P82" s="20">
        <f>SUMIFS('Registre de reserves'!$U$2:$U$1178,'Registre de reserves'!$T$2:$T$1178,"SI",'Registre de reserves'!$I$2:$I$1178,'2025'!$A82,'Registre de reserves'!$B$2:$B$1178,'2025'!P$2,Tabla1[ANY],'2025'!$Z$76)+SUMIFS('Registre de reserves'!$U$2:$U$1178,'Registre de reserves'!$T$2:$T$1178,"RESERVA",'Registre de reserves'!$I$2:$I$1178,'2025'!$A82,'Registre de reserves'!$B$2:$B$1178,'2025'!P$2,Tabla1[ANY],'2025'!$Z$76)</f>
        <v>0</v>
      </c>
      <c r="Q82" s="21">
        <f t="shared" si="81"/>
        <v>0</v>
      </c>
      <c r="R82" s="20">
        <f>SUMIFS('Registre de reserves'!$U$2:$U$1178,'Registre de reserves'!$T$2:$T$1178,"SI",'Registre de reserves'!$I$2:$I$1178,'2025'!$A82,'Registre de reserves'!$B$2:$B$1178,'2025'!R$2,Tabla1[ANY],'2025'!$Z$76)+SUMIFS('Registre de reserves'!$U$2:$U$1178,'Registre de reserves'!$T$2:$T$1178,"RESERVA",'Registre de reserves'!$I$2:$I$1178,'2025'!$A82,'Registre de reserves'!$B$2:$B$1178,'2025'!R$2,Tabla1[ANY],'2025'!$Z$76)</f>
        <v>0</v>
      </c>
      <c r="S82" s="21">
        <f t="shared" si="82"/>
        <v>0</v>
      </c>
      <c r="T82" s="20">
        <f>SUMIFS('Registre de reserves'!$U$2:$U$1178,'Registre de reserves'!$T$2:$T$1178,"SI",'Registre de reserves'!$I$2:$I$1178,'2025'!$A82,'Registre de reserves'!$B$2:$B$1178,'2025'!T$2,Tabla1[ANY],'2025'!$Z$76)+SUMIFS('Registre de reserves'!$U$2:$U$1178,'Registre de reserves'!$T$2:$T$1178,"RESERVA",'Registre de reserves'!$I$2:$I$1178,'2025'!$A82,'Registre de reserves'!$B$2:$B$1178,'2025'!T$2,Tabla1[ANY],'2025'!$Z$76)</f>
        <v>0</v>
      </c>
      <c r="U82" s="21">
        <f t="shared" si="83"/>
        <v>0</v>
      </c>
      <c r="V82" s="20">
        <f>SUMIFS('Registre de reserves'!$U$2:$U$1178,'Registre de reserves'!$T$2:$T$1178,"SI",'Registre de reserves'!$I$2:$I$1178,'2025'!$A82,'Registre de reserves'!$B$2:$B$1178,'2025'!V$2,Tabla1[ANY],'2025'!$Z$76)+SUMIFS('Registre de reserves'!$U$2:$U$1178,'Registre de reserves'!$T$2:$T$1178,"RESERVA",'Registre de reserves'!$I$2:$I$1178,'2025'!$A82,'Registre de reserves'!$B$2:$B$1178,'2025'!V$2,Tabla1[ANY],'2025'!$Z$76)</f>
        <v>0</v>
      </c>
      <c r="W82" s="21">
        <f t="shared" si="84"/>
        <v>0</v>
      </c>
      <c r="X82" s="20">
        <f>SUMIFS('Registre de reserves'!$U$2:$U$1178,'Registre de reserves'!$T$2:$T$1178,"SI",'Registre de reserves'!$I$2:$I$1178,'2025'!$A82,'Registre de reserves'!$B$2:$B$1178,'2025'!X$2,Tabla1[ANY],'2025'!$Z$76)+SUMIFS('Registre de reserves'!$U$2:$U$1178,'Registre de reserves'!$T$2:$T$1178,"RESERVA",'Registre de reserves'!$I$2:$I$1178,'2025'!$A82,'Registre de reserves'!$B$2:$B$1178,'2025'!X$2,Tabla1[ANY],'2025'!$Z$76)</f>
        <v>0</v>
      </c>
      <c r="Y82" s="21">
        <f t="shared" si="85"/>
        <v>0</v>
      </c>
      <c r="Z82" s="20">
        <f t="shared" si="87"/>
        <v>0</v>
      </c>
      <c r="AA82" s="21">
        <f t="shared" si="86"/>
        <v>0</v>
      </c>
    </row>
    <row r="83" spans="1:27" hidden="1" outlineLevel="2" x14ac:dyDescent="0.2">
      <c r="A83" s="8" t="s">
        <v>72</v>
      </c>
      <c r="B83" s="20">
        <f>SUMIFS('Registre de reserves'!$U$2:$U$1178,'Registre de reserves'!$T$2:$T$1178,"SI",'Registre de reserves'!$I$2:$I$1178,'2025'!$A83,'Registre de reserves'!$B$2:$B$1178,'2025'!B$2,Tabla1[ANY],'2025'!$Z$76)+SUMIFS('Registre de reserves'!$U$2:$U$1178,'Registre de reserves'!$T$2:$T$1178,"RESERVA",'Registre de reserves'!$I$2:$I$1178,'2025'!$A83,'Registre de reserves'!$B$2:$B$1178,'2025'!B$2,Tabla1[ANY],'2025'!$Z$76)</f>
        <v>0</v>
      </c>
      <c r="C83" s="21">
        <f t="shared" si="74"/>
        <v>0</v>
      </c>
      <c r="D83" s="20">
        <f>SUMIFS('Registre de reserves'!$U$2:$U$1178,'Registre de reserves'!$T$2:$T$1178,"SI",'Registre de reserves'!$I$2:$I$1178,'2025'!$A83,'Registre de reserves'!$B$2:$B$1178,'2025'!D$2,Tabla1[ANY],'2025'!$Z$76)+SUMIFS('Registre de reserves'!$U$2:$U$1178,'Registre de reserves'!$T$2:$T$1178,"RESERVA",'Registre de reserves'!$I$2:$I$1178,'2025'!$A83,'Registre de reserves'!$B$2:$B$1178,'2025'!D$2,Tabla1[ANY],'2025'!$Z$76)</f>
        <v>0</v>
      </c>
      <c r="E83" s="21">
        <f t="shared" si="75"/>
        <v>0</v>
      </c>
      <c r="F83" s="20">
        <f>SUMIFS('Registre de reserves'!$U$2:$U$1178,'Registre de reserves'!$T$2:$T$1178,"SI",'Registre de reserves'!$I$2:$I$1178,'2025'!$A83,'Registre de reserves'!$B$2:$B$1178,'2025'!F$2,Tabla1[ANY],'2025'!$Z$76)+SUMIFS('Registre de reserves'!$U$2:$U$1178,'Registre de reserves'!$T$2:$T$1178,"RESERVA",'Registre de reserves'!$I$2:$I$1178,'2025'!$A83,'Registre de reserves'!$B$2:$B$1178,'2025'!F$2,Tabla1[ANY],'2025'!$Z$76)</f>
        <v>0</v>
      </c>
      <c r="G83" s="21">
        <f t="shared" si="76"/>
        <v>0</v>
      </c>
      <c r="H83" s="20">
        <f>SUMIFS('Registre de reserves'!$U$2:$U$1178,'Registre de reserves'!$T$2:$T$1178,"SI",'Registre de reserves'!$I$2:$I$1178,'2025'!$A83,'Registre de reserves'!$B$2:$B$1178,'2025'!H$2,Tabla1[ANY],'2025'!$Z$76)+SUMIFS('Registre de reserves'!$U$2:$U$1178,'Registre de reserves'!$T$2:$T$1178,"RESERVA",'Registre de reserves'!$I$2:$I$1178,'2025'!$A83,'Registre de reserves'!$B$2:$B$1178,'2025'!H$2,Tabla1[ANY],'2025'!$Z$76)</f>
        <v>0</v>
      </c>
      <c r="I83" s="21">
        <f t="shared" si="77"/>
        <v>0</v>
      </c>
      <c r="J83" s="20">
        <f>SUMIFS('Registre de reserves'!$U$2:$U$1178,'Registre de reserves'!$T$2:$T$1178,"SI",'Registre de reserves'!$I$2:$I$1178,'2025'!$A83,'Registre de reserves'!$B$2:$B$1178,'2025'!J$2,Tabla1[ANY],'2025'!$Z$76)+SUMIFS('Registre de reserves'!$U$2:$U$1178,'Registre de reserves'!$T$2:$T$1178,"RESERVA",'Registre de reserves'!$I$2:$I$1178,'2025'!$A83,'Registre de reserves'!$B$2:$B$1178,'2025'!J$2,Tabla1[ANY],'2025'!$Z$76)</f>
        <v>0</v>
      </c>
      <c r="K83" s="21">
        <f t="shared" si="78"/>
        <v>0</v>
      </c>
      <c r="L83" s="20">
        <f>SUMIFS('Registre de reserves'!$U$2:$U$1178,'Registre de reserves'!$T$2:$T$1178,"SI",'Registre de reserves'!$I$2:$I$1178,'2025'!$A83,'Registre de reserves'!$B$2:$B$1178,'2025'!L$2,Tabla1[ANY],'2025'!$Z$76)+SUMIFS('Registre de reserves'!$U$2:$U$1178,'Registre de reserves'!$T$2:$T$1178,"RESERVA",'Registre de reserves'!$I$2:$I$1178,'2025'!$A83,'Registre de reserves'!$B$2:$B$1178,'2025'!L$2,Tabla1[ANY],'2025'!$Z$76)</f>
        <v>0</v>
      </c>
      <c r="M83" s="21">
        <f t="shared" si="79"/>
        <v>0</v>
      </c>
      <c r="N83" s="20">
        <f>SUMIFS('Registre de reserves'!$U$2:$U$1178,'Registre de reserves'!$T$2:$T$1178,"SI",'Registre de reserves'!$I$2:$I$1178,'2025'!$A83,'Registre de reserves'!$B$2:$B$1178,'2025'!N$2,Tabla1[ANY],'2025'!$Z$76)+SUMIFS('Registre de reserves'!$U$2:$U$1178,'Registre de reserves'!$T$2:$T$1178,"RESERVA",'Registre de reserves'!$I$2:$I$1178,'2025'!$A83,'Registre de reserves'!$B$2:$B$1178,'2025'!N$2,Tabla1[ANY],'2025'!$Z$76)</f>
        <v>0</v>
      </c>
      <c r="O83" s="21">
        <f t="shared" si="80"/>
        <v>0</v>
      </c>
      <c r="P83" s="20">
        <f>SUMIFS('Registre de reserves'!$U$2:$U$1178,'Registre de reserves'!$T$2:$T$1178,"SI",'Registre de reserves'!$I$2:$I$1178,'2025'!$A83,'Registre de reserves'!$B$2:$B$1178,'2025'!P$2,Tabla1[ANY],'2025'!$Z$76)+SUMIFS('Registre de reserves'!$U$2:$U$1178,'Registre de reserves'!$T$2:$T$1178,"RESERVA",'Registre de reserves'!$I$2:$I$1178,'2025'!$A83,'Registre de reserves'!$B$2:$B$1178,'2025'!P$2,Tabla1[ANY],'2025'!$Z$76)</f>
        <v>0</v>
      </c>
      <c r="Q83" s="21">
        <f t="shared" si="81"/>
        <v>0</v>
      </c>
      <c r="R83" s="20">
        <f>SUMIFS('Registre de reserves'!$U$2:$U$1178,'Registre de reserves'!$T$2:$T$1178,"SI",'Registre de reserves'!$I$2:$I$1178,'2025'!$A83,'Registre de reserves'!$B$2:$B$1178,'2025'!R$2,Tabla1[ANY],'2025'!$Z$76)+SUMIFS('Registre de reserves'!$U$2:$U$1178,'Registre de reserves'!$T$2:$T$1178,"RESERVA",'Registre de reserves'!$I$2:$I$1178,'2025'!$A83,'Registre de reserves'!$B$2:$B$1178,'2025'!R$2,Tabla1[ANY],'2025'!$Z$76)</f>
        <v>0</v>
      </c>
      <c r="S83" s="21">
        <f t="shared" si="82"/>
        <v>0</v>
      </c>
      <c r="T83" s="20">
        <f>SUMIFS('Registre de reserves'!$U$2:$U$1178,'Registre de reserves'!$T$2:$T$1178,"SI",'Registre de reserves'!$I$2:$I$1178,'2025'!$A83,'Registre de reserves'!$B$2:$B$1178,'2025'!T$2,Tabla1[ANY],'2025'!$Z$76)+SUMIFS('Registre de reserves'!$U$2:$U$1178,'Registre de reserves'!$T$2:$T$1178,"RESERVA",'Registre de reserves'!$I$2:$I$1178,'2025'!$A83,'Registre de reserves'!$B$2:$B$1178,'2025'!T$2,Tabla1[ANY],'2025'!$Z$76)</f>
        <v>0</v>
      </c>
      <c r="U83" s="21">
        <f t="shared" si="83"/>
        <v>0</v>
      </c>
      <c r="V83" s="20">
        <f>SUMIFS('Registre de reserves'!$U$2:$U$1178,'Registre de reserves'!$T$2:$T$1178,"SI",'Registre de reserves'!$I$2:$I$1178,'2025'!$A83,'Registre de reserves'!$B$2:$B$1178,'2025'!V$2,Tabla1[ANY],'2025'!$Z$76)+SUMIFS('Registre de reserves'!$U$2:$U$1178,'Registre de reserves'!$T$2:$T$1178,"RESERVA",'Registre de reserves'!$I$2:$I$1178,'2025'!$A83,'Registre de reserves'!$B$2:$B$1178,'2025'!V$2,Tabla1[ANY],'2025'!$Z$76)</f>
        <v>0</v>
      </c>
      <c r="W83" s="21">
        <f t="shared" si="84"/>
        <v>0</v>
      </c>
      <c r="X83" s="20">
        <f>SUMIFS('Registre de reserves'!$U$2:$U$1178,'Registre de reserves'!$T$2:$T$1178,"SI",'Registre de reserves'!$I$2:$I$1178,'2025'!$A83,'Registre de reserves'!$B$2:$B$1178,'2025'!X$2,Tabla1[ANY],'2025'!$Z$76)+SUMIFS('Registre de reserves'!$U$2:$U$1178,'Registre de reserves'!$T$2:$T$1178,"RESERVA",'Registre de reserves'!$I$2:$I$1178,'2025'!$A83,'Registre de reserves'!$B$2:$B$1178,'2025'!X$2,Tabla1[ANY],'2025'!$Z$76)</f>
        <v>0</v>
      </c>
      <c r="Y83" s="21">
        <f t="shared" si="85"/>
        <v>0</v>
      </c>
      <c r="Z83" s="20">
        <f t="shared" si="87"/>
        <v>0</v>
      </c>
      <c r="AA83" s="21">
        <f t="shared" si="86"/>
        <v>0</v>
      </c>
    </row>
    <row r="84" spans="1:27" hidden="1" outlineLevel="2" x14ac:dyDescent="0.2">
      <c r="A84" s="8" t="s">
        <v>69</v>
      </c>
      <c r="B84" s="20">
        <f>SUMIFS('Registre de reserves'!$U$2:$U$1178,'Registre de reserves'!$T$2:$T$1178,"SI",'Registre de reserves'!$I$2:$I$1178,'2025'!$A84,'Registre de reserves'!$B$2:$B$1178,'2025'!B$2,Tabla1[ANY],'2025'!$Z$76)+SUMIFS('Registre de reserves'!$U$2:$U$1178,'Registre de reserves'!$T$2:$T$1178,"RESERVA",'Registre de reserves'!$I$2:$I$1178,'2025'!$A84,'Registre de reserves'!$B$2:$B$1178,'2025'!B$2,Tabla1[ANY],'2025'!$Z$76)</f>
        <v>750</v>
      </c>
      <c r="C84" s="21">
        <f t="shared" si="74"/>
        <v>0.45454545454545453</v>
      </c>
      <c r="D84" s="20">
        <f>SUMIFS('Registre de reserves'!$U$2:$U$1178,'Registre de reserves'!$T$2:$T$1178,"SI",'Registre de reserves'!$I$2:$I$1178,'2025'!$A84,'Registre de reserves'!$B$2:$B$1178,'2025'!D$2,Tabla1[ANY],'2025'!$Z$76)+SUMIFS('Registre de reserves'!$U$2:$U$1178,'Registre de reserves'!$T$2:$T$1178,"RESERVA",'Registre de reserves'!$I$2:$I$1178,'2025'!$A84,'Registre de reserves'!$B$2:$B$1178,'2025'!D$2,Tabla1[ANY],'2025'!$Z$76)</f>
        <v>350</v>
      </c>
      <c r="E84" s="21">
        <f t="shared" si="75"/>
        <v>0.24475524475524477</v>
      </c>
      <c r="F84" s="20">
        <f>SUMIFS('Registre de reserves'!$U$2:$U$1178,'Registre de reserves'!$T$2:$T$1178,"SI",'Registre de reserves'!$I$2:$I$1178,'2025'!$A84,'Registre de reserves'!$B$2:$B$1178,'2025'!F$2,Tabla1[ANY],'2025'!$Z$76)+SUMIFS('Registre de reserves'!$U$2:$U$1178,'Registre de reserves'!$T$2:$T$1178,"RESERVA",'Registre de reserves'!$I$2:$I$1178,'2025'!$A84,'Registre de reserves'!$B$2:$B$1178,'2025'!F$2,Tabla1[ANY],'2025'!$Z$76)</f>
        <v>250</v>
      </c>
      <c r="G84" s="21">
        <f t="shared" si="76"/>
        <v>0.17241379310344829</v>
      </c>
      <c r="H84" s="20">
        <f>SUMIFS('Registre de reserves'!$U$2:$U$1178,'Registre de reserves'!$T$2:$T$1178,"SI",'Registre de reserves'!$I$2:$I$1178,'2025'!$A84,'Registre de reserves'!$B$2:$B$1178,'2025'!H$2,Tabla1[ANY],'2025'!$Z$76)+SUMIFS('Registre de reserves'!$U$2:$U$1178,'Registre de reserves'!$T$2:$T$1178,"RESERVA",'Registre de reserves'!$I$2:$I$1178,'2025'!$A84,'Registre de reserves'!$B$2:$B$1178,'2025'!H$2,Tabla1[ANY],'2025'!$Z$76)</f>
        <v>250</v>
      </c>
      <c r="I84" s="21">
        <f t="shared" si="77"/>
        <v>0.22727272727272727</v>
      </c>
      <c r="J84" s="20">
        <f>SUMIFS('Registre de reserves'!$U$2:$U$1178,'Registre de reserves'!$T$2:$T$1178,"SI",'Registre de reserves'!$I$2:$I$1178,'2025'!$A84,'Registre de reserves'!$B$2:$B$1178,'2025'!J$2,Tabla1[ANY],'2025'!$Z$76)+SUMIFS('Registre de reserves'!$U$2:$U$1178,'Registre de reserves'!$T$2:$T$1178,"RESERVA",'Registre de reserves'!$I$2:$I$1178,'2025'!$A84,'Registre de reserves'!$B$2:$B$1178,'2025'!J$2,Tabla1[ANY],'2025'!$Z$76)</f>
        <v>300</v>
      </c>
      <c r="K84" s="21">
        <f t="shared" si="78"/>
        <v>0.2608695652173913</v>
      </c>
      <c r="L84" s="20">
        <f>SUMIFS('Registre de reserves'!$U$2:$U$1178,'Registre de reserves'!$T$2:$T$1178,"SI",'Registre de reserves'!$I$2:$I$1178,'2025'!$A84,'Registre de reserves'!$B$2:$B$1178,'2025'!L$2,Tabla1[ANY],'2025'!$Z$76)+SUMIFS('Registre de reserves'!$U$2:$U$1178,'Registre de reserves'!$T$2:$T$1178,"RESERVA",'Registre de reserves'!$I$2:$I$1178,'2025'!$A84,'Registre de reserves'!$B$2:$B$1178,'2025'!L$2,Tabla1[ANY],'2025'!$Z$76)</f>
        <v>200</v>
      </c>
      <c r="M84" s="21">
        <f t="shared" si="79"/>
        <v>0.19047619047619047</v>
      </c>
      <c r="N84" s="20">
        <f>SUMIFS('Registre de reserves'!$U$2:$U$1178,'Registre de reserves'!$T$2:$T$1178,"SI",'Registre de reserves'!$I$2:$I$1178,'2025'!$A84,'Registre de reserves'!$B$2:$B$1178,'2025'!N$2,Tabla1[ANY],'2025'!$Z$76)+SUMIFS('Registre de reserves'!$U$2:$U$1178,'Registre de reserves'!$T$2:$T$1178,"RESERVA",'Registre de reserves'!$I$2:$I$1178,'2025'!$A84,'Registre de reserves'!$B$2:$B$1178,'2025'!N$2,Tabla1[ANY],'2025'!$Z$76)</f>
        <v>0</v>
      </c>
      <c r="O84" s="21">
        <f t="shared" si="80"/>
        <v>0</v>
      </c>
      <c r="P84" s="20">
        <f>SUMIFS('Registre de reserves'!$U$2:$U$1178,'Registre de reserves'!$T$2:$T$1178,"SI",'Registre de reserves'!$I$2:$I$1178,'2025'!$A84,'Registre de reserves'!$B$2:$B$1178,'2025'!P$2,Tabla1[ANY],'2025'!$Z$76)+SUMIFS('Registre de reserves'!$U$2:$U$1178,'Registre de reserves'!$T$2:$T$1178,"RESERVA",'Registre de reserves'!$I$2:$I$1178,'2025'!$A84,'Registre de reserves'!$B$2:$B$1178,'2025'!P$2,Tabla1[ANY],'2025'!$Z$76)</f>
        <v>0</v>
      </c>
      <c r="Q84" s="21">
        <f t="shared" si="81"/>
        <v>0</v>
      </c>
      <c r="R84" s="20">
        <f>SUMIFS('Registre de reserves'!$U$2:$U$1178,'Registre de reserves'!$T$2:$T$1178,"SI",'Registre de reserves'!$I$2:$I$1178,'2025'!$A84,'Registre de reserves'!$B$2:$B$1178,'2025'!R$2,Tabla1[ANY],'2025'!$Z$76)+SUMIFS('Registre de reserves'!$U$2:$U$1178,'Registre de reserves'!$T$2:$T$1178,"RESERVA",'Registre de reserves'!$I$2:$I$1178,'2025'!$A84,'Registre de reserves'!$B$2:$B$1178,'2025'!R$2,Tabla1[ANY],'2025'!$Z$76)</f>
        <v>0</v>
      </c>
      <c r="S84" s="21">
        <f t="shared" si="82"/>
        <v>0</v>
      </c>
      <c r="T84" s="20">
        <f>SUMIFS('Registre de reserves'!$U$2:$U$1178,'Registre de reserves'!$T$2:$T$1178,"SI",'Registre de reserves'!$I$2:$I$1178,'2025'!$A84,'Registre de reserves'!$B$2:$B$1178,'2025'!T$2,Tabla1[ANY],'2025'!$Z$76)+SUMIFS('Registre de reserves'!$U$2:$U$1178,'Registre de reserves'!$T$2:$T$1178,"RESERVA",'Registre de reserves'!$I$2:$I$1178,'2025'!$A84,'Registre de reserves'!$B$2:$B$1178,'2025'!T$2,Tabla1[ANY],'2025'!$Z$76)</f>
        <v>0</v>
      </c>
      <c r="U84" s="21">
        <f t="shared" si="83"/>
        <v>0</v>
      </c>
      <c r="V84" s="20">
        <f>SUMIFS('Registre de reserves'!$U$2:$U$1178,'Registre de reserves'!$T$2:$T$1178,"SI",'Registre de reserves'!$I$2:$I$1178,'2025'!$A84,'Registre de reserves'!$B$2:$B$1178,'2025'!V$2,Tabla1[ANY],'2025'!$Z$76)+SUMIFS('Registre de reserves'!$U$2:$U$1178,'Registre de reserves'!$T$2:$T$1178,"RESERVA",'Registre de reserves'!$I$2:$I$1178,'2025'!$A84,'Registre de reserves'!$B$2:$B$1178,'2025'!V$2,Tabla1[ANY],'2025'!$Z$76)</f>
        <v>0</v>
      </c>
      <c r="W84" s="21">
        <f t="shared" si="84"/>
        <v>0</v>
      </c>
      <c r="X84" s="20">
        <f>SUMIFS('Registre de reserves'!$U$2:$U$1178,'Registre de reserves'!$T$2:$T$1178,"SI",'Registre de reserves'!$I$2:$I$1178,'2025'!$A84,'Registre de reserves'!$B$2:$B$1178,'2025'!X$2,Tabla1[ANY],'2025'!$Z$76)+SUMIFS('Registre de reserves'!$U$2:$U$1178,'Registre de reserves'!$T$2:$T$1178,"RESERVA",'Registre de reserves'!$I$2:$I$1178,'2025'!$A84,'Registre de reserves'!$B$2:$B$1178,'2025'!X$2,Tabla1[ANY],'2025'!$Z$76)</f>
        <v>0</v>
      </c>
      <c r="Y84" s="21">
        <f t="shared" si="85"/>
        <v>0</v>
      </c>
      <c r="Z84" s="20">
        <f t="shared" si="87"/>
        <v>2100</v>
      </c>
      <c r="AA84" s="21">
        <f t="shared" si="86"/>
        <v>0.26819923371647508</v>
      </c>
    </row>
    <row r="85" spans="1:27" hidden="1" outlineLevel="2" x14ac:dyDescent="0.2">
      <c r="A85" s="8" t="s">
        <v>70</v>
      </c>
      <c r="B85" s="20">
        <f>SUMIFS('Registre de reserves'!$U$2:$U$1178,'Registre de reserves'!$T$2:$T$1178,"SI",'Registre de reserves'!$I$2:$I$1178,'2025'!$A85,'Registre de reserves'!$B$2:$B$1178,'2025'!B$2,Tabla1[ANY],'2025'!$Z$76)+SUMIFS('Registre de reserves'!$U$2:$U$1178,'Registre de reserves'!$T$2:$T$1178,"RESERVA",'Registre de reserves'!$I$2:$I$1178,'2025'!$A85,'Registre de reserves'!$B$2:$B$1178,'2025'!B$2,Tabla1[ANY],'2025'!$Z$76)</f>
        <v>0</v>
      </c>
      <c r="C85" s="21">
        <f t="shared" si="74"/>
        <v>0</v>
      </c>
      <c r="D85" s="20">
        <f>SUMIFS('Registre de reserves'!$U$2:$U$1178,'Registre de reserves'!$T$2:$T$1178,"SI",'Registre de reserves'!$I$2:$I$1178,'2025'!$A85,'Registre de reserves'!$B$2:$B$1178,'2025'!D$2,Tabla1[ANY],'2025'!$Z$76)+SUMIFS('Registre de reserves'!$U$2:$U$1178,'Registre de reserves'!$T$2:$T$1178,"RESERVA",'Registre de reserves'!$I$2:$I$1178,'2025'!$A85,'Registre de reserves'!$B$2:$B$1178,'2025'!D$2,Tabla1[ANY],'2025'!$Z$76)</f>
        <v>0</v>
      </c>
      <c r="E85" s="21">
        <f t="shared" si="75"/>
        <v>0</v>
      </c>
      <c r="F85" s="20">
        <f>SUMIFS('Registre de reserves'!$U$2:$U$1178,'Registre de reserves'!$T$2:$T$1178,"SI",'Registre de reserves'!$I$2:$I$1178,'2025'!$A85,'Registre de reserves'!$B$2:$B$1178,'2025'!F$2,Tabla1[ANY],'2025'!$Z$76)+SUMIFS('Registre de reserves'!$U$2:$U$1178,'Registre de reserves'!$T$2:$T$1178,"RESERVA",'Registre de reserves'!$I$2:$I$1178,'2025'!$A85,'Registre de reserves'!$B$2:$B$1178,'2025'!F$2,Tabla1[ANY],'2025'!$Z$76)</f>
        <v>350</v>
      </c>
      <c r="G85" s="21">
        <f t="shared" si="76"/>
        <v>0.2413793103448276</v>
      </c>
      <c r="H85" s="20">
        <f>SUMIFS('Registre de reserves'!$U$2:$U$1178,'Registre de reserves'!$T$2:$T$1178,"SI",'Registre de reserves'!$I$2:$I$1178,'2025'!$A85,'Registre de reserves'!$B$2:$B$1178,'2025'!H$2,Tabla1[ANY],'2025'!$Z$76)+SUMIFS('Registre de reserves'!$U$2:$U$1178,'Registre de reserves'!$T$2:$T$1178,"RESERVA",'Registre de reserves'!$I$2:$I$1178,'2025'!$A85,'Registre de reserves'!$B$2:$B$1178,'2025'!H$2,Tabla1[ANY],'2025'!$Z$76)</f>
        <v>0</v>
      </c>
      <c r="I85" s="21">
        <f t="shared" si="77"/>
        <v>0</v>
      </c>
      <c r="J85" s="20">
        <f>SUMIFS('Registre de reserves'!$U$2:$U$1178,'Registre de reserves'!$T$2:$T$1178,"SI",'Registre de reserves'!$I$2:$I$1178,'2025'!$A85,'Registre de reserves'!$B$2:$B$1178,'2025'!J$2,Tabla1[ANY],'2025'!$Z$76)+SUMIFS('Registre de reserves'!$U$2:$U$1178,'Registre de reserves'!$T$2:$T$1178,"RESERVA",'Registre de reserves'!$I$2:$I$1178,'2025'!$A85,'Registre de reserves'!$B$2:$B$1178,'2025'!J$2,Tabla1[ANY],'2025'!$Z$76)</f>
        <v>50</v>
      </c>
      <c r="K85" s="21">
        <f t="shared" si="78"/>
        <v>4.3478260869565216E-2</v>
      </c>
      <c r="L85" s="20">
        <f>SUMIFS('Registre de reserves'!$U$2:$U$1178,'Registre de reserves'!$T$2:$T$1178,"SI",'Registre de reserves'!$I$2:$I$1178,'2025'!$A85,'Registre de reserves'!$B$2:$B$1178,'2025'!L$2,Tabla1[ANY],'2025'!$Z$76)+SUMIFS('Registre de reserves'!$U$2:$U$1178,'Registre de reserves'!$T$2:$T$1178,"RESERVA",'Registre de reserves'!$I$2:$I$1178,'2025'!$A85,'Registre de reserves'!$B$2:$B$1178,'2025'!L$2,Tabla1[ANY],'2025'!$Z$76)</f>
        <v>150</v>
      </c>
      <c r="M85" s="21">
        <f t="shared" si="79"/>
        <v>0.14285714285714285</v>
      </c>
      <c r="N85" s="20">
        <f>SUMIFS('Registre de reserves'!$U$2:$U$1178,'Registre de reserves'!$T$2:$T$1178,"SI",'Registre de reserves'!$I$2:$I$1178,'2025'!$A85,'Registre de reserves'!$B$2:$B$1178,'2025'!N$2,Tabla1[ANY],'2025'!$Z$76)+SUMIFS('Registre de reserves'!$U$2:$U$1178,'Registre de reserves'!$T$2:$T$1178,"RESERVA",'Registre de reserves'!$I$2:$I$1178,'2025'!$A85,'Registre de reserves'!$B$2:$B$1178,'2025'!N$2,Tabla1[ANY],'2025'!$Z$76)</f>
        <v>0</v>
      </c>
      <c r="O85" s="21">
        <f t="shared" si="80"/>
        <v>0</v>
      </c>
      <c r="P85" s="20">
        <f>SUMIFS('Registre de reserves'!$U$2:$U$1178,'Registre de reserves'!$T$2:$T$1178,"SI",'Registre de reserves'!$I$2:$I$1178,'2025'!$A85,'Registre de reserves'!$B$2:$B$1178,'2025'!P$2,Tabla1[ANY],'2025'!$Z$76)+SUMIFS('Registre de reserves'!$U$2:$U$1178,'Registre de reserves'!$T$2:$T$1178,"RESERVA",'Registre de reserves'!$I$2:$I$1178,'2025'!$A85,'Registre de reserves'!$B$2:$B$1178,'2025'!P$2,Tabla1[ANY],'2025'!$Z$76)</f>
        <v>0</v>
      </c>
      <c r="Q85" s="21">
        <f t="shared" si="81"/>
        <v>0</v>
      </c>
      <c r="R85" s="20">
        <f>SUMIFS('Registre de reserves'!$U$2:$U$1178,'Registre de reserves'!$T$2:$T$1178,"SI",'Registre de reserves'!$I$2:$I$1178,'2025'!$A85,'Registre de reserves'!$B$2:$B$1178,'2025'!R$2,Tabla1[ANY],'2025'!$Z$76)+SUMIFS('Registre de reserves'!$U$2:$U$1178,'Registre de reserves'!$T$2:$T$1178,"RESERVA",'Registre de reserves'!$I$2:$I$1178,'2025'!$A85,'Registre de reserves'!$B$2:$B$1178,'2025'!R$2,Tabla1[ANY],'2025'!$Z$76)</f>
        <v>0</v>
      </c>
      <c r="S85" s="21">
        <f t="shared" si="82"/>
        <v>0</v>
      </c>
      <c r="T85" s="20">
        <f>SUMIFS('Registre de reserves'!$U$2:$U$1178,'Registre de reserves'!$T$2:$T$1178,"SI",'Registre de reserves'!$I$2:$I$1178,'2025'!$A85,'Registre de reserves'!$B$2:$B$1178,'2025'!T$2,Tabla1[ANY],'2025'!$Z$76)+SUMIFS('Registre de reserves'!$U$2:$U$1178,'Registre de reserves'!$T$2:$T$1178,"RESERVA",'Registre de reserves'!$I$2:$I$1178,'2025'!$A85,'Registre de reserves'!$B$2:$B$1178,'2025'!T$2,Tabla1[ANY],'2025'!$Z$76)</f>
        <v>0</v>
      </c>
      <c r="U85" s="21">
        <f t="shared" si="83"/>
        <v>0</v>
      </c>
      <c r="V85" s="20">
        <f>SUMIFS('Registre de reserves'!$U$2:$U$1178,'Registre de reserves'!$T$2:$T$1178,"SI",'Registre de reserves'!$I$2:$I$1178,'2025'!$A85,'Registre de reserves'!$B$2:$B$1178,'2025'!V$2,Tabla1[ANY],'2025'!$Z$76)+SUMIFS('Registre de reserves'!$U$2:$U$1178,'Registre de reserves'!$T$2:$T$1178,"RESERVA",'Registre de reserves'!$I$2:$I$1178,'2025'!$A85,'Registre de reserves'!$B$2:$B$1178,'2025'!V$2,Tabla1[ANY],'2025'!$Z$76)</f>
        <v>0</v>
      </c>
      <c r="W85" s="21">
        <f t="shared" si="84"/>
        <v>0</v>
      </c>
      <c r="X85" s="20">
        <f>SUMIFS('Registre de reserves'!$U$2:$U$1178,'Registre de reserves'!$T$2:$T$1178,"SI",'Registre de reserves'!$I$2:$I$1178,'2025'!$A85,'Registre de reserves'!$B$2:$B$1178,'2025'!X$2,Tabla1[ANY],'2025'!$Z$76)+SUMIFS('Registre de reserves'!$U$2:$U$1178,'Registre de reserves'!$T$2:$T$1178,"RESERVA",'Registre de reserves'!$I$2:$I$1178,'2025'!$A85,'Registre de reserves'!$B$2:$B$1178,'2025'!X$2,Tabla1[ANY],'2025'!$Z$76)</f>
        <v>0</v>
      </c>
      <c r="Y85" s="21">
        <f t="shared" si="85"/>
        <v>0</v>
      </c>
      <c r="Z85" s="20">
        <f t="shared" si="87"/>
        <v>550</v>
      </c>
      <c r="AA85" s="21">
        <f t="shared" si="86"/>
        <v>7.0242656449553006E-2</v>
      </c>
    </row>
    <row r="86" spans="1:27" hidden="1" outlineLevel="2" x14ac:dyDescent="0.2">
      <c r="A86" s="8" t="s">
        <v>73</v>
      </c>
      <c r="B86" s="20">
        <f>SUMIFS('Registre de reserves'!$U$2:$U$1178,'Registre de reserves'!$T$2:$T$1178,"SI",'Registre de reserves'!$I$2:$I$1178,'2025'!$A86,'Registre de reserves'!$B$2:$B$1178,'2025'!B$2,Tabla1[ANY],'2025'!$Z$76)+SUMIFS('Registre de reserves'!$U$2:$U$1178,'Registre de reserves'!$T$2:$T$1178,"RESERVA",'Registre de reserves'!$I$2:$I$1178,'2025'!$A86,'Registre de reserves'!$B$2:$B$1178,'2025'!B$2,Tabla1[ANY],'2025'!$Z$76)</f>
        <v>0</v>
      </c>
      <c r="C86" s="21">
        <f t="shared" si="74"/>
        <v>0</v>
      </c>
      <c r="D86" s="20">
        <f>SUMIFS('Registre de reserves'!$U$2:$U$1178,'Registre de reserves'!$T$2:$T$1178,"SI",'Registre de reserves'!$I$2:$I$1178,'2025'!$A86,'Registre de reserves'!$B$2:$B$1178,'2025'!D$2,Tabla1[ANY],'2025'!$Z$76)+SUMIFS('Registre de reserves'!$U$2:$U$1178,'Registre de reserves'!$T$2:$T$1178,"RESERVA",'Registre de reserves'!$I$2:$I$1178,'2025'!$A86,'Registre de reserves'!$B$2:$B$1178,'2025'!D$2,Tabla1[ANY],'2025'!$Z$76)</f>
        <v>0</v>
      </c>
      <c r="E86" s="21">
        <f t="shared" si="75"/>
        <v>0</v>
      </c>
      <c r="F86" s="20">
        <f>SUMIFS('Registre de reserves'!$U$2:$U$1178,'Registre de reserves'!$T$2:$T$1178,"SI",'Registre de reserves'!$I$2:$I$1178,'2025'!$A86,'Registre de reserves'!$B$2:$B$1178,'2025'!F$2,Tabla1[ANY],'2025'!$Z$76)+SUMIFS('Registre de reserves'!$U$2:$U$1178,'Registre de reserves'!$T$2:$T$1178,"RESERVA",'Registre de reserves'!$I$2:$I$1178,'2025'!$A86,'Registre de reserves'!$B$2:$B$1178,'2025'!F$2,Tabla1[ANY],'2025'!$Z$76)</f>
        <v>0</v>
      </c>
      <c r="G86" s="21">
        <f t="shared" si="76"/>
        <v>0</v>
      </c>
      <c r="H86" s="20">
        <f>SUMIFS('Registre de reserves'!$U$2:$U$1178,'Registre de reserves'!$T$2:$T$1178,"SI",'Registre de reserves'!$I$2:$I$1178,'2025'!$A86,'Registre de reserves'!$B$2:$B$1178,'2025'!H$2,Tabla1[ANY],'2025'!$Z$76)+SUMIFS('Registre de reserves'!$U$2:$U$1178,'Registre de reserves'!$T$2:$T$1178,"RESERVA",'Registre de reserves'!$I$2:$I$1178,'2025'!$A86,'Registre de reserves'!$B$2:$B$1178,'2025'!H$2,Tabla1[ANY],'2025'!$Z$76)</f>
        <v>0</v>
      </c>
      <c r="I86" s="21">
        <f t="shared" si="77"/>
        <v>0</v>
      </c>
      <c r="J86" s="20">
        <f>SUMIFS('Registre de reserves'!$U$2:$U$1178,'Registre de reserves'!$T$2:$T$1178,"SI",'Registre de reserves'!$I$2:$I$1178,'2025'!$A86,'Registre de reserves'!$B$2:$B$1178,'2025'!J$2,Tabla1[ANY],'2025'!$Z$76)+SUMIFS('Registre de reserves'!$U$2:$U$1178,'Registre de reserves'!$T$2:$T$1178,"RESERVA",'Registre de reserves'!$I$2:$I$1178,'2025'!$A86,'Registre de reserves'!$B$2:$B$1178,'2025'!J$2,Tabla1[ANY],'2025'!$Z$76)</f>
        <v>0</v>
      </c>
      <c r="K86" s="21">
        <f t="shared" si="78"/>
        <v>0</v>
      </c>
      <c r="L86" s="20">
        <f>SUMIFS('Registre de reserves'!$U$2:$U$1178,'Registre de reserves'!$T$2:$T$1178,"SI",'Registre de reserves'!$I$2:$I$1178,'2025'!$A86,'Registre de reserves'!$B$2:$B$1178,'2025'!L$2,Tabla1[ANY],'2025'!$Z$76)+SUMIFS('Registre de reserves'!$U$2:$U$1178,'Registre de reserves'!$T$2:$T$1178,"RESERVA",'Registre de reserves'!$I$2:$I$1178,'2025'!$A86,'Registre de reserves'!$B$2:$B$1178,'2025'!L$2,Tabla1[ANY],'2025'!$Z$76)</f>
        <v>0</v>
      </c>
      <c r="M86" s="21">
        <f t="shared" si="79"/>
        <v>0</v>
      </c>
      <c r="N86" s="20">
        <f>SUMIFS('Registre de reserves'!$U$2:$U$1178,'Registre de reserves'!$T$2:$T$1178,"SI",'Registre de reserves'!$I$2:$I$1178,'2025'!$A86,'Registre de reserves'!$B$2:$B$1178,'2025'!N$2,Tabla1[ANY],'2025'!$Z$76)+SUMIFS('Registre de reserves'!$U$2:$U$1178,'Registre de reserves'!$T$2:$T$1178,"RESERVA",'Registre de reserves'!$I$2:$I$1178,'2025'!$A86,'Registre de reserves'!$B$2:$B$1178,'2025'!N$2,Tabla1[ANY],'2025'!$Z$76)</f>
        <v>0</v>
      </c>
      <c r="O86" s="21">
        <f t="shared" si="80"/>
        <v>0</v>
      </c>
      <c r="P86" s="20">
        <f>SUMIFS('Registre de reserves'!$U$2:$U$1178,'Registre de reserves'!$T$2:$T$1178,"SI",'Registre de reserves'!$I$2:$I$1178,'2025'!$A86,'Registre de reserves'!$B$2:$B$1178,'2025'!P$2,Tabla1[ANY],'2025'!$Z$76)+SUMIFS('Registre de reserves'!$U$2:$U$1178,'Registre de reserves'!$T$2:$T$1178,"RESERVA",'Registre de reserves'!$I$2:$I$1178,'2025'!$A86,'Registre de reserves'!$B$2:$B$1178,'2025'!P$2,Tabla1[ANY],'2025'!$Z$76)</f>
        <v>0</v>
      </c>
      <c r="Q86" s="21">
        <f t="shared" si="81"/>
        <v>0</v>
      </c>
      <c r="R86" s="20">
        <f>SUMIFS('Registre de reserves'!$U$2:$U$1178,'Registre de reserves'!$T$2:$T$1178,"SI",'Registre de reserves'!$I$2:$I$1178,'2025'!$A86,'Registre de reserves'!$B$2:$B$1178,'2025'!R$2,Tabla1[ANY],'2025'!$Z$76)+SUMIFS('Registre de reserves'!$U$2:$U$1178,'Registre de reserves'!$T$2:$T$1178,"RESERVA",'Registre de reserves'!$I$2:$I$1178,'2025'!$A86,'Registre de reserves'!$B$2:$B$1178,'2025'!R$2,Tabla1[ANY],'2025'!$Z$76)</f>
        <v>0</v>
      </c>
      <c r="S86" s="21">
        <f t="shared" si="82"/>
        <v>0</v>
      </c>
      <c r="T86" s="20">
        <f>SUMIFS('Registre de reserves'!$U$2:$U$1178,'Registre de reserves'!$T$2:$T$1178,"SI",'Registre de reserves'!$I$2:$I$1178,'2025'!$A86,'Registre de reserves'!$B$2:$B$1178,'2025'!T$2,Tabla1[ANY],'2025'!$Z$76)+SUMIFS('Registre de reserves'!$U$2:$U$1178,'Registre de reserves'!$T$2:$T$1178,"RESERVA",'Registre de reserves'!$I$2:$I$1178,'2025'!$A86,'Registre de reserves'!$B$2:$B$1178,'2025'!T$2,Tabla1[ANY],'2025'!$Z$76)</f>
        <v>0</v>
      </c>
      <c r="U86" s="21">
        <f t="shared" si="83"/>
        <v>0</v>
      </c>
      <c r="V86" s="20">
        <f>SUMIFS('Registre de reserves'!$U$2:$U$1178,'Registre de reserves'!$T$2:$T$1178,"SI",'Registre de reserves'!$I$2:$I$1178,'2025'!$A86,'Registre de reserves'!$B$2:$B$1178,'2025'!V$2,Tabla1[ANY],'2025'!$Z$76)+SUMIFS('Registre de reserves'!$U$2:$U$1178,'Registre de reserves'!$T$2:$T$1178,"RESERVA",'Registre de reserves'!$I$2:$I$1178,'2025'!$A86,'Registre de reserves'!$B$2:$B$1178,'2025'!V$2,Tabla1[ANY],'2025'!$Z$76)</f>
        <v>0</v>
      </c>
      <c r="W86" s="21">
        <f t="shared" si="84"/>
        <v>0</v>
      </c>
      <c r="X86" s="20">
        <f>SUMIFS('Registre de reserves'!$U$2:$U$1178,'Registre de reserves'!$T$2:$T$1178,"SI",'Registre de reserves'!$I$2:$I$1178,'2025'!$A86,'Registre de reserves'!$B$2:$B$1178,'2025'!X$2,Tabla1[ANY],'2025'!$Z$76)+SUMIFS('Registre de reserves'!$U$2:$U$1178,'Registre de reserves'!$T$2:$T$1178,"RESERVA",'Registre de reserves'!$I$2:$I$1178,'2025'!$A86,'Registre de reserves'!$B$2:$B$1178,'2025'!X$2,Tabla1[ANY],'2025'!$Z$76)</f>
        <v>0</v>
      </c>
      <c r="Y86" s="21">
        <f t="shared" si="85"/>
        <v>0</v>
      </c>
      <c r="Z86" s="20">
        <f t="shared" si="87"/>
        <v>0</v>
      </c>
      <c r="AA86" s="21">
        <f t="shared" si="86"/>
        <v>0</v>
      </c>
    </row>
    <row r="87" spans="1:27" collapsed="1" x14ac:dyDescent="0.2">
      <c r="A87" s="33" t="s">
        <v>76</v>
      </c>
      <c r="B87" s="18">
        <f>SUM(B88:B95)</f>
        <v>0</v>
      </c>
      <c r="C87" s="19">
        <f>IF((B$87+B$105)=0,0,B87/(B$87+B$105))</f>
        <v>0</v>
      </c>
      <c r="D87" s="18">
        <f>SUM(D88:D95)</f>
        <v>0</v>
      </c>
      <c r="E87" s="19">
        <f>IF((D$87+D$105)=0,0,D87/(D$87+D$105))</f>
        <v>0</v>
      </c>
      <c r="F87" s="18">
        <f>SUM(F88:F95)</f>
        <v>0</v>
      </c>
      <c r="G87" s="19">
        <f>IF((F$87+F$105)=0,0,F87/(F$87+F$105))</f>
        <v>0</v>
      </c>
      <c r="H87" s="18">
        <f>SUM(H88:H95)</f>
        <v>0</v>
      </c>
      <c r="I87" s="19">
        <f>IF((H$87+H$105)=0,0,H87/(H$87+H$105))</f>
        <v>0</v>
      </c>
      <c r="J87" s="18">
        <f>SUM(J88:J95)</f>
        <v>0</v>
      </c>
      <c r="K87" s="19">
        <f>IF((J$87+J$105)=0,0,J87/(J$87+J$105))</f>
        <v>0</v>
      </c>
      <c r="L87" s="18">
        <f>SUM(L88:L95)</f>
        <v>0</v>
      </c>
      <c r="M87" s="19">
        <f>IF((L$87+L$105)=0,0,L87/(L$87+L$105))</f>
        <v>0</v>
      </c>
      <c r="N87" s="18">
        <f>SUM(N88:N95)</f>
        <v>0</v>
      </c>
      <c r="O87" s="19">
        <f>IF((N$87+N$105)=0,0,N87/(N$87+N$105))</f>
        <v>0</v>
      </c>
      <c r="P87" s="18">
        <f>SUM(P88:P95)</f>
        <v>0</v>
      </c>
      <c r="Q87" s="19">
        <f>IF((P$87+P$105)=0,0,P87/(P$87+P$105))</f>
        <v>0</v>
      </c>
      <c r="R87" s="18">
        <f>SUM(R88:R95)</f>
        <v>0</v>
      </c>
      <c r="S87" s="19">
        <f>IF((R$87+R$105)=0,0,R87/(R$87+R$105))</f>
        <v>0</v>
      </c>
      <c r="T87" s="18">
        <f>SUM(T88:T95)</f>
        <v>0</v>
      </c>
      <c r="U87" s="19">
        <f>IF((T$87+T$105)=0,0,T87/(T$87+T$105))</f>
        <v>0</v>
      </c>
      <c r="V87" s="18">
        <f>SUM(V88:V95)</f>
        <v>0</v>
      </c>
      <c r="W87" s="19">
        <f>IF((V$87+V$105)=0,0,V87/(V$87+V$105))</f>
        <v>0</v>
      </c>
      <c r="X87" s="18">
        <f>SUM(X88:X95)</f>
        <v>0</v>
      </c>
      <c r="Y87" s="19">
        <f>IF((X$87+X$105)=0,0,X87/(X$87+X$105))</f>
        <v>0</v>
      </c>
      <c r="Z87" s="18">
        <f>SUM(Z88:Z95)</f>
        <v>0</v>
      </c>
      <c r="AA87" s="19">
        <f>IF((Z$87+Z$105)=0,0,Z87/(Z$87+Z$105))</f>
        <v>0</v>
      </c>
    </row>
    <row r="88" spans="1:27" hidden="1" outlineLevel="1" x14ac:dyDescent="0.2">
      <c r="A88" s="8" t="s">
        <v>67</v>
      </c>
      <c r="B88" s="20">
        <f>SUMIFS('Registre de reserves'!$U$2:$U$1178,'Registre de reserves'!$T$2:$T$1178,"NO",'Registre de reserves'!$I$2:$I$1178,'2025'!$A88,'Registre de reserves'!$B$2:$B$1178,'2025'!B$2,Tabla1[ANY],'2025'!$Z$76)</f>
        <v>0</v>
      </c>
      <c r="C88" s="21">
        <f>IF(B$87=0,0,B88/B$87)</f>
        <v>0</v>
      </c>
      <c r="D88" s="20">
        <f>SUMIFS('Registre de reserves'!$U$2:$U$1178,'Registre de reserves'!$T$2:$T$1178,"NO",'Registre de reserves'!$I$2:$I$1178,'2025'!$A88,'Registre de reserves'!$B$2:$B$1178,'2025'!D$2,Tabla1[ANY],'2025'!$Z$76)</f>
        <v>0</v>
      </c>
      <c r="E88" s="21">
        <f>IF(D$87=0,0,D88/D$87)</f>
        <v>0</v>
      </c>
      <c r="F88" s="20">
        <f>SUMIFS('Registre de reserves'!$U$2:$U$1178,'Registre de reserves'!$T$2:$T$1178,"NO",'Registre de reserves'!$I$2:$I$1178,'2025'!$A88,'Registre de reserves'!$B$2:$B$1178,'2025'!F$2,Tabla1[ANY],'2025'!$Z$76)</f>
        <v>0</v>
      </c>
      <c r="G88" s="21">
        <f t="shared" ref="G88:G95" si="88">IF(F$87=0,0,F88/F$87)</f>
        <v>0</v>
      </c>
      <c r="H88" s="20">
        <f>SUMIFS('Registre de reserves'!$U$2:$U$1178,'Registre de reserves'!$T$2:$T$1178,"NO",'Registre de reserves'!$I$2:$I$1178,'2025'!$A88,'Registre de reserves'!$B$2:$B$1178,'2025'!H$2,Tabla1[ANY],'2025'!$Z$76)</f>
        <v>0</v>
      </c>
      <c r="I88" s="21">
        <f t="shared" ref="I88:I95" si="89">IF(H$87=0,0,H88/H$87)</f>
        <v>0</v>
      </c>
      <c r="J88" s="20">
        <f>SUMIFS('Registre de reserves'!$U$2:$U$1178,'Registre de reserves'!$T$2:$T$1178,"NO",'Registre de reserves'!$I$2:$I$1178,'2025'!$A88,'Registre de reserves'!$B$2:$B$1178,'2025'!J$2,Tabla1[ANY],'2025'!$Z$76)</f>
        <v>0</v>
      </c>
      <c r="K88" s="21">
        <f t="shared" ref="K88:K95" si="90">IF(J$87=0,0,J88/J$87)</f>
        <v>0</v>
      </c>
      <c r="L88" s="20">
        <f>SUMIFS('Registre de reserves'!$U$2:$U$1178,'Registre de reserves'!$T$2:$T$1178,"NO",'Registre de reserves'!$I$2:$I$1178,'2025'!$A88,'Registre de reserves'!$B$2:$B$1178,'2025'!L$2,Tabla1[ANY],'2025'!$Z$76)</f>
        <v>0</v>
      </c>
      <c r="M88" s="21">
        <f t="shared" ref="M88:M95" si="91">IF(L$87=0,0,L88/L$87)</f>
        <v>0</v>
      </c>
      <c r="N88" s="20">
        <f>SUMIFS('Registre de reserves'!$U$2:$U$1178,'Registre de reserves'!$T$2:$T$1178,"NO",'Registre de reserves'!$I$2:$I$1178,'2025'!$A88,'Registre de reserves'!$B$2:$B$1178,'2025'!N$2,Tabla1[ANY],'2025'!$Z$76)</f>
        <v>0</v>
      </c>
      <c r="O88" s="21">
        <f t="shared" ref="O88:O95" si="92">IF(N$87=0,0,N88/N$87)</f>
        <v>0</v>
      </c>
      <c r="P88" s="20">
        <f>SUMIFS('Registre de reserves'!$U$2:$U$1178,'Registre de reserves'!$T$2:$T$1178,"NO",'Registre de reserves'!$I$2:$I$1178,'2025'!$A88,'Registre de reserves'!$B$2:$B$1178,'2025'!P$2,Tabla1[ANY],'2025'!$Z$76)</f>
        <v>0</v>
      </c>
      <c r="Q88" s="21">
        <f t="shared" ref="Q88:Q95" si="93">IF(P$87=0,0,P88/P$87)</f>
        <v>0</v>
      </c>
      <c r="R88" s="20">
        <f>SUMIFS('Registre de reserves'!$U$2:$U$1178,'Registre de reserves'!$T$2:$T$1178,"NO",'Registre de reserves'!$I$2:$I$1178,'2025'!$A88,'Registre de reserves'!$B$2:$B$1178,'2025'!R$2,Tabla1[ANY],'2025'!$Z$76)</f>
        <v>0</v>
      </c>
      <c r="S88" s="21">
        <f t="shared" ref="S88:S95" si="94">IF(R$87=0,0,R88/R$87)</f>
        <v>0</v>
      </c>
      <c r="T88" s="20">
        <f>SUMIFS('Registre de reserves'!$U$2:$U$1178,'Registre de reserves'!$T$2:$T$1178,"NO",'Registre de reserves'!$I$2:$I$1178,'2025'!$A88,'Registre de reserves'!$B$2:$B$1178,'2025'!T$2,Tabla1[ANY],'2025'!$Z$76)</f>
        <v>0</v>
      </c>
      <c r="U88" s="21">
        <f t="shared" ref="U88:U95" si="95">IF(T$87=0,0,T88/T$87)</f>
        <v>0</v>
      </c>
      <c r="V88" s="20">
        <f>SUMIFS('Registre de reserves'!$U$2:$U$1178,'Registre de reserves'!$T$2:$T$1178,"NO",'Registre de reserves'!$I$2:$I$1178,'2025'!$A88,'Registre de reserves'!$B$2:$B$1178,'2025'!V$2,Tabla1[ANY],'2025'!$Z$76)</f>
        <v>0</v>
      </c>
      <c r="W88" s="21">
        <f t="shared" ref="W88:W95" si="96">IF(V$87=0,0,V88/V$87)</f>
        <v>0</v>
      </c>
      <c r="X88" s="20">
        <f>SUMIFS('Registre de reserves'!$U$2:$U$1178,'Registre de reserves'!$T$2:$T$1178,"NO",'Registre de reserves'!$I$2:$I$1178,'2025'!$A88,'Registre de reserves'!$B$2:$B$1178,'2025'!X$2,Tabla1[ANY],'2025'!$Z$76)</f>
        <v>0</v>
      </c>
      <c r="Y88" s="21">
        <f t="shared" ref="Y88:Y95" si="97">IF(X$87=0,0,X88/X$87)</f>
        <v>0</v>
      </c>
      <c r="Z88" s="20">
        <f>B88+D88+F88+H88+J88+L88+N88+P88+R88+T88+V88+X88</f>
        <v>0</v>
      </c>
      <c r="AA88" s="21">
        <f t="shared" ref="AA88:AA95" si="98">IF(Z$87=0,0,Z88/Z$87)</f>
        <v>0</v>
      </c>
    </row>
    <row r="89" spans="1:27" hidden="1" outlineLevel="1" x14ac:dyDescent="0.2">
      <c r="A89" s="8" t="s">
        <v>68</v>
      </c>
      <c r="B89" s="20">
        <f>SUMIFS('Registre de reserves'!$U$2:$U$1178,'Registre de reserves'!$T$2:$T$1178,"NO",'Registre de reserves'!$I$2:$I$1178,'2025'!$A89,'Registre de reserves'!$B$2:$B$1178,'2025'!B$2,Tabla1[ANY],'2025'!$Z$76)</f>
        <v>0</v>
      </c>
      <c r="C89" s="21">
        <f t="shared" ref="C89:E94" si="99">IF(B$87=0,0,B89/B$87)</f>
        <v>0</v>
      </c>
      <c r="D89" s="20">
        <f>SUMIFS('Registre de reserves'!$U$2:$U$1178,'Registre de reserves'!$T$2:$T$1178,"NO",'Registre de reserves'!$I$2:$I$1178,'2025'!$A89,'Registre de reserves'!$B$2:$B$1178,'2025'!D$2,Tabla1[ANY],'2025'!$Z$76)</f>
        <v>0</v>
      </c>
      <c r="E89" s="21">
        <f t="shared" si="99"/>
        <v>0</v>
      </c>
      <c r="F89" s="20">
        <f>SUMIFS('Registre de reserves'!$U$2:$U$1178,'Registre de reserves'!$T$2:$T$1178,"NO",'Registre de reserves'!$I$2:$I$1178,'2025'!$A89,'Registre de reserves'!$B$2:$B$1178,'2025'!F$2,Tabla1[ANY],'2025'!$Z$76)</f>
        <v>0</v>
      </c>
      <c r="G89" s="21">
        <f t="shared" si="88"/>
        <v>0</v>
      </c>
      <c r="H89" s="20">
        <f>SUMIFS('Registre de reserves'!$U$2:$U$1178,'Registre de reserves'!$T$2:$T$1178,"NO",'Registre de reserves'!$I$2:$I$1178,'2025'!$A89,'Registre de reserves'!$B$2:$B$1178,'2025'!H$2,Tabla1[ANY],'2025'!$Z$76)</f>
        <v>0</v>
      </c>
      <c r="I89" s="21">
        <f t="shared" si="89"/>
        <v>0</v>
      </c>
      <c r="J89" s="20">
        <f>SUMIFS('Registre de reserves'!$U$2:$U$1178,'Registre de reserves'!$T$2:$T$1178,"NO",'Registre de reserves'!$I$2:$I$1178,'2025'!$A89,'Registre de reserves'!$B$2:$B$1178,'2025'!J$2,Tabla1[ANY],'2025'!$Z$76)</f>
        <v>0</v>
      </c>
      <c r="K89" s="21">
        <f t="shared" si="90"/>
        <v>0</v>
      </c>
      <c r="L89" s="20">
        <f>SUMIFS('Registre de reserves'!$U$2:$U$1178,'Registre de reserves'!$T$2:$T$1178,"NO",'Registre de reserves'!$I$2:$I$1178,'2025'!$A89,'Registre de reserves'!$B$2:$B$1178,'2025'!L$2,Tabla1[ANY],'2025'!$Z$76)</f>
        <v>0</v>
      </c>
      <c r="M89" s="21">
        <f t="shared" si="91"/>
        <v>0</v>
      </c>
      <c r="N89" s="20">
        <f>SUMIFS('Registre de reserves'!$U$2:$U$1178,'Registre de reserves'!$T$2:$T$1178,"NO",'Registre de reserves'!$I$2:$I$1178,'2025'!$A89,'Registre de reserves'!$B$2:$B$1178,'2025'!N$2,Tabla1[ANY],'2025'!$Z$76)</f>
        <v>0</v>
      </c>
      <c r="O89" s="21">
        <f t="shared" si="92"/>
        <v>0</v>
      </c>
      <c r="P89" s="20">
        <f>SUMIFS('Registre de reserves'!$U$2:$U$1178,'Registre de reserves'!$T$2:$T$1178,"NO",'Registre de reserves'!$I$2:$I$1178,'2025'!$A89,'Registre de reserves'!$B$2:$B$1178,'2025'!P$2,Tabla1[ANY],'2025'!$Z$76)</f>
        <v>0</v>
      </c>
      <c r="Q89" s="21">
        <f t="shared" si="93"/>
        <v>0</v>
      </c>
      <c r="R89" s="20">
        <f>SUMIFS('Registre de reserves'!$U$2:$U$1178,'Registre de reserves'!$T$2:$T$1178,"NO",'Registre de reserves'!$I$2:$I$1178,'2025'!$A89,'Registre de reserves'!$B$2:$B$1178,'2025'!R$2,Tabla1[ANY],'2025'!$Z$76)</f>
        <v>0</v>
      </c>
      <c r="S89" s="21">
        <f t="shared" si="94"/>
        <v>0</v>
      </c>
      <c r="T89" s="20">
        <f>SUMIFS('Registre de reserves'!$U$2:$U$1178,'Registre de reserves'!$T$2:$T$1178,"NO",'Registre de reserves'!$I$2:$I$1178,'2025'!$A89,'Registre de reserves'!$B$2:$B$1178,'2025'!T$2,Tabla1[ANY],'2025'!$Z$76)</f>
        <v>0</v>
      </c>
      <c r="U89" s="21">
        <f t="shared" si="95"/>
        <v>0</v>
      </c>
      <c r="V89" s="20">
        <f>SUMIFS('Registre de reserves'!$U$2:$U$1178,'Registre de reserves'!$T$2:$T$1178,"NO",'Registre de reserves'!$I$2:$I$1178,'2025'!$A89,'Registre de reserves'!$B$2:$B$1178,'2025'!V$2,Tabla1[ANY],'2025'!$Z$76)</f>
        <v>0</v>
      </c>
      <c r="W89" s="21">
        <f t="shared" si="96"/>
        <v>0</v>
      </c>
      <c r="X89" s="20">
        <f>SUMIFS('Registre de reserves'!$U$2:$U$1178,'Registre de reserves'!$T$2:$T$1178,"NO",'Registre de reserves'!$I$2:$I$1178,'2025'!$A89,'Registre de reserves'!$B$2:$B$1178,'2025'!X$2,Tabla1[ANY],'2025'!$Z$76)</f>
        <v>0</v>
      </c>
      <c r="Y89" s="21">
        <f t="shared" si="97"/>
        <v>0</v>
      </c>
      <c r="Z89" s="20">
        <f t="shared" ref="Z89:Z113" si="100">B89+D89+F89+H89+J89+L89+N89+P89+R89+T89+V89+X89</f>
        <v>0</v>
      </c>
      <c r="AA89" s="21">
        <f t="shared" si="98"/>
        <v>0</v>
      </c>
    </row>
    <row r="90" spans="1:27" hidden="1" outlineLevel="1" x14ac:dyDescent="0.2">
      <c r="A90" s="8" t="s">
        <v>4</v>
      </c>
      <c r="B90" s="20">
        <f>SUMIFS('Registre de reserves'!$U$2:$U$1178,'Registre de reserves'!$T$2:$T$1178,"NO",'Registre de reserves'!$I$2:$I$1178,'2025'!$A90,'Registre de reserves'!$B$2:$B$1178,'2025'!B$2,Tabla1[ANY],'2025'!$Z$76)</f>
        <v>0</v>
      </c>
      <c r="C90" s="21">
        <f t="shared" si="99"/>
        <v>0</v>
      </c>
      <c r="D90" s="20">
        <f>SUMIFS('Registre de reserves'!$U$2:$U$1178,'Registre de reserves'!$T$2:$T$1178,"NO",'Registre de reserves'!$I$2:$I$1178,'2025'!$A90,'Registre de reserves'!$B$2:$B$1178,'2025'!D$2,Tabla1[ANY],'2025'!$Z$76)</f>
        <v>0</v>
      </c>
      <c r="E90" s="21">
        <f t="shared" si="99"/>
        <v>0</v>
      </c>
      <c r="F90" s="20">
        <f>SUMIFS('Registre de reserves'!$U$2:$U$1178,'Registre de reserves'!$T$2:$T$1178,"NO",'Registre de reserves'!$I$2:$I$1178,'2025'!$A90,'Registre de reserves'!$B$2:$B$1178,'2025'!F$2,Tabla1[ANY],'2025'!$Z$76)</f>
        <v>0</v>
      </c>
      <c r="G90" s="21">
        <f t="shared" si="88"/>
        <v>0</v>
      </c>
      <c r="H90" s="20">
        <f>SUMIFS('Registre de reserves'!$U$2:$U$1178,'Registre de reserves'!$T$2:$T$1178,"NO",'Registre de reserves'!$I$2:$I$1178,'2025'!$A90,'Registre de reserves'!$B$2:$B$1178,'2025'!H$2,Tabla1[ANY],'2025'!$Z$76)</f>
        <v>0</v>
      </c>
      <c r="I90" s="21">
        <f t="shared" si="89"/>
        <v>0</v>
      </c>
      <c r="J90" s="20">
        <f>SUMIFS('Registre de reserves'!$U$2:$U$1178,'Registre de reserves'!$T$2:$T$1178,"NO",'Registre de reserves'!$I$2:$I$1178,'2025'!$A90,'Registre de reserves'!$B$2:$B$1178,'2025'!J$2,Tabla1[ANY],'2025'!$Z$76)</f>
        <v>0</v>
      </c>
      <c r="K90" s="21">
        <f t="shared" si="90"/>
        <v>0</v>
      </c>
      <c r="L90" s="20">
        <f>SUMIFS('Registre de reserves'!$U$2:$U$1178,'Registre de reserves'!$T$2:$T$1178,"NO",'Registre de reserves'!$I$2:$I$1178,'2025'!$A90,'Registre de reserves'!$B$2:$B$1178,'2025'!L$2,Tabla1[ANY],'2025'!$Z$76)</f>
        <v>0</v>
      </c>
      <c r="M90" s="21">
        <f t="shared" si="91"/>
        <v>0</v>
      </c>
      <c r="N90" s="20">
        <f>SUMIFS('Registre de reserves'!$U$2:$U$1178,'Registre de reserves'!$T$2:$T$1178,"NO",'Registre de reserves'!$I$2:$I$1178,'2025'!$A90,'Registre de reserves'!$B$2:$B$1178,'2025'!N$2,Tabla1[ANY],'2025'!$Z$76)</f>
        <v>0</v>
      </c>
      <c r="O90" s="21">
        <f t="shared" si="92"/>
        <v>0</v>
      </c>
      <c r="P90" s="20">
        <f>SUMIFS('Registre de reserves'!$U$2:$U$1178,'Registre de reserves'!$T$2:$T$1178,"NO",'Registre de reserves'!$I$2:$I$1178,'2025'!$A90,'Registre de reserves'!$B$2:$B$1178,'2025'!P$2,Tabla1[ANY],'2025'!$Z$76)</f>
        <v>0</v>
      </c>
      <c r="Q90" s="21">
        <f t="shared" si="93"/>
        <v>0</v>
      </c>
      <c r="R90" s="20">
        <f>SUMIFS('Registre de reserves'!$U$2:$U$1178,'Registre de reserves'!$T$2:$T$1178,"NO",'Registre de reserves'!$I$2:$I$1178,'2025'!$A90,'Registre de reserves'!$B$2:$B$1178,'2025'!R$2,Tabla1[ANY],'2025'!$Z$76)</f>
        <v>0</v>
      </c>
      <c r="S90" s="21">
        <f t="shared" si="94"/>
        <v>0</v>
      </c>
      <c r="T90" s="20">
        <f>SUMIFS('Registre de reserves'!$U$2:$U$1178,'Registre de reserves'!$T$2:$T$1178,"NO",'Registre de reserves'!$I$2:$I$1178,'2025'!$A90,'Registre de reserves'!$B$2:$B$1178,'2025'!T$2,Tabla1[ANY],'2025'!$Z$76)</f>
        <v>0</v>
      </c>
      <c r="U90" s="21">
        <f t="shared" si="95"/>
        <v>0</v>
      </c>
      <c r="V90" s="20">
        <f>SUMIFS('Registre de reserves'!$U$2:$U$1178,'Registre de reserves'!$T$2:$T$1178,"NO",'Registre de reserves'!$I$2:$I$1178,'2025'!$A90,'Registre de reserves'!$B$2:$B$1178,'2025'!V$2,Tabla1[ANY],'2025'!$Z$76)</f>
        <v>0</v>
      </c>
      <c r="W90" s="21">
        <f t="shared" si="96"/>
        <v>0</v>
      </c>
      <c r="X90" s="20">
        <f>SUMIFS('Registre de reserves'!$U$2:$U$1178,'Registre de reserves'!$T$2:$T$1178,"NO",'Registre de reserves'!$I$2:$I$1178,'2025'!$A90,'Registre de reserves'!$B$2:$B$1178,'2025'!X$2,Tabla1[ANY],'2025'!$Z$76)</f>
        <v>0</v>
      </c>
      <c r="Y90" s="21">
        <f t="shared" si="97"/>
        <v>0</v>
      </c>
      <c r="Z90" s="20">
        <f t="shared" si="100"/>
        <v>0</v>
      </c>
      <c r="AA90" s="21">
        <f t="shared" si="98"/>
        <v>0</v>
      </c>
    </row>
    <row r="91" spans="1:27" hidden="1" outlineLevel="1" x14ac:dyDescent="0.2">
      <c r="A91" s="8" t="s">
        <v>71</v>
      </c>
      <c r="B91" s="20">
        <f>SUMIFS('Registre de reserves'!$U$2:$U$1178,'Registre de reserves'!$T$2:$T$1178,"NO",'Registre de reserves'!$I$2:$I$1178,'2025'!$A91,'Registre de reserves'!$B$2:$B$1178,'2025'!B$2,Tabla1[ANY],'2025'!$Z$76)</f>
        <v>0</v>
      </c>
      <c r="C91" s="21">
        <f t="shared" si="99"/>
        <v>0</v>
      </c>
      <c r="D91" s="20">
        <f>SUMIFS('Registre de reserves'!$U$2:$U$1178,'Registre de reserves'!$T$2:$T$1178,"NO",'Registre de reserves'!$I$2:$I$1178,'2025'!$A91,'Registre de reserves'!$B$2:$B$1178,'2025'!D$2,Tabla1[ANY],'2025'!$Z$76)</f>
        <v>0</v>
      </c>
      <c r="E91" s="21">
        <f>IF(D$87=0,0,D91/D$87)</f>
        <v>0</v>
      </c>
      <c r="F91" s="20">
        <f>SUMIFS('Registre de reserves'!$U$2:$U$1178,'Registre de reserves'!$T$2:$T$1178,"NO",'Registre de reserves'!$I$2:$I$1178,'2025'!$A91,'Registre de reserves'!$B$2:$B$1178,'2025'!F$2,Tabla1[ANY],'2025'!$Z$76)</f>
        <v>0</v>
      </c>
      <c r="G91" s="21">
        <f t="shared" si="88"/>
        <v>0</v>
      </c>
      <c r="H91" s="20">
        <f>SUMIFS('Registre de reserves'!$U$2:$U$1178,'Registre de reserves'!$T$2:$T$1178,"NO",'Registre de reserves'!$I$2:$I$1178,'2025'!$A91,'Registre de reserves'!$B$2:$B$1178,'2025'!H$2,Tabla1[ANY],'2025'!$Z$76)</f>
        <v>0</v>
      </c>
      <c r="I91" s="21">
        <f t="shared" si="89"/>
        <v>0</v>
      </c>
      <c r="J91" s="20">
        <f>SUMIFS('Registre de reserves'!$U$2:$U$1178,'Registre de reserves'!$T$2:$T$1178,"NO",'Registre de reserves'!$I$2:$I$1178,'2025'!$A91,'Registre de reserves'!$B$2:$B$1178,'2025'!J$2,Tabla1[ANY],'2025'!$Z$76)</f>
        <v>0</v>
      </c>
      <c r="K91" s="21">
        <f t="shared" si="90"/>
        <v>0</v>
      </c>
      <c r="L91" s="20">
        <f>SUMIFS('Registre de reserves'!$U$2:$U$1178,'Registre de reserves'!$T$2:$T$1178,"NO",'Registre de reserves'!$I$2:$I$1178,'2025'!$A91,'Registre de reserves'!$B$2:$B$1178,'2025'!L$2,Tabla1[ANY],'2025'!$Z$76)</f>
        <v>0</v>
      </c>
      <c r="M91" s="21">
        <f t="shared" si="91"/>
        <v>0</v>
      </c>
      <c r="N91" s="20">
        <f>SUMIFS('Registre de reserves'!$U$2:$U$1178,'Registre de reserves'!$T$2:$T$1178,"NO",'Registre de reserves'!$I$2:$I$1178,'2025'!$A91,'Registre de reserves'!$B$2:$B$1178,'2025'!N$2,Tabla1[ANY],'2025'!$Z$76)</f>
        <v>0</v>
      </c>
      <c r="O91" s="21">
        <f t="shared" si="92"/>
        <v>0</v>
      </c>
      <c r="P91" s="20">
        <f>SUMIFS('Registre de reserves'!$U$2:$U$1178,'Registre de reserves'!$T$2:$T$1178,"NO",'Registre de reserves'!$I$2:$I$1178,'2025'!$A91,'Registre de reserves'!$B$2:$B$1178,'2025'!P$2,Tabla1[ANY],'2025'!$Z$76)</f>
        <v>0</v>
      </c>
      <c r="Q91" s="21">
        <f t="shared" si="93"/>
        <v>0</v>
      </c>
      <c r="R91" s="20">
        <f>SUMIFS('Registre de reserves'!$U$2:$U$1178,'Registre de reserves'!$T$2:$T$1178,"NO",'Registre de reserves'!$I$2:$I$1178,'2025'!$A91,'Registre de reserves'!$B$2:$B$1178,'2025'!R$2,Tabla1[ANY],'2025'!$Z$76)</f>
        <v>0</v>
      </c>
      <c r="S91" s="21">
        <f t="shared" si="94"/>
        <v>0</v>
      </c>
      <c r="T91" s="20">
        <f>SUMIFS('Registre de reserves'!$U$2:$U$1178,'Registre de reserves'!$T$2:$T$1178,"NO",'Registre de reserves'!$I$2:$I$1178,'2025'!$A91,'Registre de reserves'!$B$2:$B$1178,'2025'!T$2,Tabla1[ANY],'2025'!$Z$76)</f>
        <v>0</v>
      </c>
      <c r="U91" s="21">
        <f t="shared" si="95"/>
        <v>0</v>
      </c>
      <c r="V91" s="20">
        <f>SUMIFS('Registre de reserves'!$U$2:$U$1178,'Registre de reserves'!$T$2:$T$1178,"NO",'Registre de reserves'!$I$2:$I$1178,'2025'!$A91,'Registre de reserves'!$B$2:$B$1178,'2025'!V$2,Tabla1[ANY],'2025'!$Z$76)</f>
        <v>0</v>
      </c>
      <c r="W91" s="21">
        <f t="shared" si="96"/>
        <v>0</v>
      </c>
      <c r="X91" s="20">
        <f>SUMIFS('Registre de reserves'!$U$2:$U$1178,'Registre de reserves'!$T$2:$T$1178,"NO",'Registre de reserves'!$I$2:$I$1178,'2025'!$A91,'Registre de reserves'!$B$2:$B$1178,'2025'!X$2,Tabla1[ANY],'2025'!$Z$76)</f>
        <v>0</v>
      </c>
      <c r="Y91" s="21">
        <f t="shared" si="97"/>
        <v>0</v>
      </c>
      <c r="Z91" s="20">
        <f t="shared" si="100"/>
        <v>0</v>
      </c>
      <c r="AA91" s="21">
        <f t="shared" si="98"/>
        <v>0</v>
      </c>
    </row>
    <row r="92" spans="1:27" hidden="1" outlineLevel="1" x14ac:dyDescent="0.2">
      <c r="A92" s="8" t="s">
        <v>72</v>
      </c>
      <c r="B92" s="20">
        <f>SUMIFS('Registre de reserves'!$U$2:$U$1178,'Registre de reserves'!$T$2:$T$1178,"NO",'Registre de reserves'!$I$2:$I$1178,'2025'!$A92,'Registre de reserves'!$B$2:$B$1178,'2025'!B$2,Tabla1[ANY],'2025'!$Z$76)</f>
        <v>0</v>
      </c>
      <c r="C92" s="21">
        <f t="shared" si="99"/>
        <v>0</v>
      </c>
      <c r="D92" s="20">
        <f>SUMIFS('Registre de reserves'!$U$2:$U$1178,'Registre de reserves'!$T$2:$T$1178,"NO",'Registre de reserves'!$I$2:$I$1178,'2025'!$A92,'Registre de reserves'!$B$2:$B$1178,'2025'!D$2,Tabla1[ANY],'2025'!$Z$76)</f>
        <v>0</v>
      </c>
      <c r="E92" s="21">
        <f t="shared" si="99"/>
        <v>0</v>
      </c>
      <c r="F92" s="20">
        <f>SUMIFS('Registre de reserves'!$U$2:$U$1178,'Registre de reserves'!$T$2:$T$1178,"NO",'Registre de reserves'!$I$2:$I$1178,'2025'!$A92,'Registre de reserves'!$B$2:$B$1178,'2025'!F$2,Tabla1[ANY],'2025'!$Z$76)</f>
        <v>0</v>
      </c>
      <c r="G92" s="21">
        <f t="shared" si="88"/>
        <v>0</v>
      </c>
      <c r="H92" s="20">
        <f>SUMIFS('Registre de reserves'!$U$2:$U$1178,'Registre de reserves'!$T$2:$T$1178,"NO",'Registre de reserves'!$I$2:$I$1178,'2025'!$A92,'Registre de reserves'!$B$2:$B$1178,'2025'!H$2,Tabla1[ANY],'2025'!$Z$76)</f>
        <v>0</v>
      </c>
      <c r="I92" s="21">
        <f t="shared" si="89"/>
        <v>0</v>
      </c>
      <c r="J92" s="20">
        <f>SUMIFS('Registre de reserves'!$U$2:$U$1178,'Registre de reserves'!$T$2:$T$1178,"NO",'Registre de reserves'!$I$2:$I$1178,'2025'!$A92,'Registre de reserves'!$B$2:$B$1178,'2025'!J$2,Tabla1[ANY],'2025'!$Z$76)</f>
        <v>0</v>
      </c>
      <c r="K92" s="21">
        <f t="shared" si="90"/>
        <v>0</v>
      </c>
      <c r="L92" s="20">
        <f>SUMIFS('Registre de reserves'!$U$2:$U$1178,'Registre de reserves'!$T$2:$T$1178,"NO",'Registre de reserves'!$I$2:$I$1178,'2025'!$A92,'Registre de reserves'!$B$2:$B$1178,'2025'!L$2,Tabla1[ANY],'2025'!$Z$76)</f>
        <v>0</v>
      </c>
      <c r="M92" s="21">
        <f t="shared" si="91"/>
        <v>0</v>
      </c>
      <c r="N92" s="20">
        <f>SUMIFS('Registre de reserves'!$U$2:$U$1178,'Registre de reserves'!$T$2:$T$1178,"NO",'Registre de reserves'!$I$2:$I$1178,'2025'!$A92,'Registre de reserves'!$B$2:$B$1178,'2025'!N$2,Tabla1[ANY],'2025'!$Z$76)</f>
        <v>0</v>
      </c>
      <c r="O92" s="21">
        <f t="shared" si="92"/>
        <v>0</v>
      </c>
      <c r="P92" s="20">
        <f>SUMIFS('Registre de reserves'!$U$2:$U$1178,'Registre de reserves'!$T$2:$T$1178,"NO",'Registre de reserves'!$I$2:$I$1178,'2025'!$A92,'Registre de reserves'!$B$2:$B$1178,'2025'!P$2,Tabla1[ANY],'2025'!$Z$76)</f>
        <v>0</v>
      </c>
      <c r="Q92" s="21">
        <f t="shared" si="93"/>
        <v>0</v>
      </c>
      <c r="R92" s="20">
        <f>SUMIFS('Registre de reserves'!$U$2:$U$1178,'Registre de reserves'!$T$2:$T$1178,"NO",'Registre de reserves'!$I$2:$I$1178,'2025'!$A92,'Registre de reserves'!$B$2:$B$1178,'2025'!R$2,Tabla1[ANY],'2025'!$Z$76)</f>
        <v>0</v>
      </c>
      <c r="S92" s="21">
        <f t="shared" si="94"/>
        <v>0</v>
      </c>
      <c r="T92" s="20">
        <f>SUMIFS('Registre de reserves'!$U$2:$U$1178,'Registre de reserves'!$T$2:$T$1178,"NO",'Registre de reserves'!$I$2:$I$1178,'2025'!$A92,'Registre de reserves'!$B$2:$B$1178,'2025'!T$2,Tabla1[ANY],'2025'!$Z$76)</f>
        <v>0</v>
      </c>
      <c r="U92" s="21">
        <f t="shared" si="95"/>
        <v>0</v>
      </c>
      <c r="V92" s="20">
        <f>SUMIFS('Registre de reserves'!$U$2:$U$1178,'Registre de reserves'!$T$2:$T$1178,"NO",'Registre de reserves'!$I$2:$I$1178,'2025'!$A92,'Registre de reserves'!$B$2:$B$1178,'2025'!V$2,Tabla1[ANY],'2025'!$Z$76)</f>
        <v>0</v>
      </c>
      <c r="W92" s="21">
        <f t="shared" si="96"/>
        <v>0</v>
      </c>
      <c r="X92" s="20">
        <f>SUMIFS('Registre de reserves'!$U$2:$U$1178,'Registre de reserves'!$T$2:$T$1178,"NO",'Registre de reserves'!$I$2:$I$1178,'2025'!$A92,'Registre de reserves'!$B$2:$B$1178,'2025'!X$2,Tabla1[ANY],'2025'!$Z$76)</f>
        <v>0</v>
      </c>
      <c r="Y92" s="21">
        <f t="shared" si="97"/>
        <v>0</v>
      </c>
      <c r="Z92" s="20">
        <f t="shared" si="100"/>
        <v>0</v>
      </c>
      <c r="AA92" s="21">
        <f t="shared" si="98"/>
        <v>0</v>
      </c>
    </row>
    <row r="93" spans="1:27" hidden="1" outlineLevel="1" x14ac:dyDescent="0.2">
      <c r="A93" s="8" t="s">
        <v>69</v>
      </c>
      <c r="B93" s="20">
        <f>SUMIFS('Registre de reserves'!$U$2:$U$1178,'Registre de reserves'!$T$2:$T$1178,"NO",'Registre de reserves'!$I$2:$I$1178,'2025'!$A93,'Registre de reserves'!$B$2:$B$1178,'2025'!B$2,Tabla1[ANY],'2025'!$Z$76)</f>
        <v>0</v>
      </c>
      <c r="C93" s="21">
        <f t="shared" si="99"/>
        <v>0</v>
      </c>
      <c r="D93" s="20">
        <f>SUMIFS('Registre de reserves'!$U$2:$U$1178,'Registre de reserves'!$T$2:$T$1178,"NO",'Registre de reserves'!$I$2:$I$1178,'2025'!$A93,'Registre de reserves'!$B$2:$B$1178,'2025'!D$2,Tabla1[ANY],'2025'!$Z$76)</f>
        <v>0</v>
      </c>
      <c r="E93" s="21">
        <f t="shared" si="99"/>
        <v>0</v>
      </c>
      <c r="F93" s="20">
        <f>SUMIFS('Registre de reserves'!$U$2:$U$1178,'Registre de reserves'!$T$2:$T$1178,"NO",'Registre de reserves'!$I$2:$I$1178,'2025'!$A93,'Registre de reserves'!$B$2:$B$1178,'2025'!F$2,Tabla1[ANY],'2025'!$Z$76)</f>
        <v>0</v>
      </c>
      <c r="G93" s="21">
        <f t="shared" si="88"/>
        <v>0</v>
      </c>
      <c r="H93" s="20">
        <f>SUMIFS('Registre de reserves'!$U$2:$U$1178,'Registre de reserves'!$T$2:$T$1178,"NO",'Registre de reserves'!$I$2:$I$1178,'2025'!$A93,'Registre de reserves'!$B$2:$B$1178,'2025'!H$2,Tabla1[ANY],'2025'!$Z$76)</f>
        <v>0</v>
      </c>
      <c r="I93" s="21">
        <f t="shared" si="89"/>
        <v>0</v>
      </c>
      <c r="J93" s="20">
        <f>SUMIFS('Registre de reserves'!$U$2:$U$1178,'Registre de reserves'!$T$2:$T$1178,"NO",'Registre de reserves'!$I$2:$I$1178,'2025'!$A93,'Registre de reserves'!$B$2:$B$1178,'2025'!J$2,Tabla1[ANY],'2025'!$Z$76)</f>
        <v>0</v>
      </c>
      <c r="K93" s="21">
        <f t="shared" si="90"/>
        <v>0</v>
      </c>
      <c r="L93" s="20">
        <f>SUMIFS('Registre de reserves'!$U$2:$U$1178,'Registre de reserves'!$T$2:$T$1178,"NO",'Registre de reserves'!$I$2:$I$1178,'2025'!$A93,'Registre de reserves'!$B$2:$B$1178,'2025'!L$2,Tabla1[ANY],'2025'!$Z$76)</f>
        <v>0</v>
      </c>
      <c r="M93" s="21">
        <f t="shared" si="91"/>
        <v>0</v>
      </c>
      <c r="N93" s="20">
        <f>SUMIFS('Registre de reserves'!$U$2:$U$1178,'Registre de reserves'!$T$2:$T$1178,"NO",'Registre de reserves'!$I$2:$I$1178,'2025'!$A93,'Registre de reserves'!$B$2:$B$1178,'2025'!N$2,Tabla1[ANY],'2025'!$Z$76)</f>
        <v>0</v>
      </c>
      <c r="O93" s="21">
        <f t="shared" si="92"/>
        <v>0</v>
      </c>
      <c r="P93" s="20">
        <f>SUMIFS('Registre de reserves'!$U$2:$U$1178,'Registre de reserves'!$T$2:$T$1178,"NO",'Registre de reserves'!$I$2:$I$1178,'2025'!$A93,'Registre de reserves'!$B$2:$B$1178,'2025'!P$2,Tabla1[ANY],'2025'!$Z$76)</f>
        <v>0</v>
      </c>
      <c r="Q93" s="21">
        <f t="shared" si="93"/>
        <v>0</v>
      </c>
      <c r="R93" s="20">
        <f>SUMIFS('Registre de reserves'!$U$2:$U$1178,'Registre de reserves'!$T$2:$T$1178,"NO",'Registre de reserves'!$I$2:$I$1178,'2025'!$A93,'Registre de reserves'!$B$2:$B$1178,'2025'!R$2,Tabla1[ANY],'2025'!$Z$76)</f>
        <v>0</v>
      </c>
      <c r="S93" s="21">
        <f t="shared" si="94"/>
        <v>0</v>
      </c>
      <c r="T93" s="20">
        <f>SUMIFS('Registre de reserves'!$U$2:$U$1178,'Registre de reserves'!$T$2:$T$1178,"NO",'Registre de reserves'!$I$2:$I$1178,'2025'!$A93,'Registre de reserves'!$B$2:$B$1178,'2025'!T$2,Tabla1[ANY],'2025'!$Z$76)</f>
        <v>0</v>
      </c>
      <c r="U93" s="21">
        <f t="shared" si="95"/>
        <v>0</v>
      </c>
      <c r="V93" s="20">
        <f>SUMIFS('Registre de reserves'!$U$2:$U$1178,'Registre de reserves'!$T$2:$T$1178,"NO",'Registre de reserves'!$I$2:$I$1178,'2025'!$A93,'Registre de reserves'!$B$2:$B$1178,'2025'!V$2,Tabla1[ANY],'2025'!$Z$76)</f>
        <v>0</v>
      </c>
      <c r="W93" s="21">
        <f t="shared" si="96"/>
        <v>0</v>
      </c>
      <c r="X93" s="20">
        <f>SUMIFS('Registre de reserves'!$U$2:$U$1178,'Registre de reserves'!$T$2:$T$1178,"NO",'Registre de reserves'!$I$2:$I$1178,'2025'!$A93,'Registre de reserves'!$B$2:$B$1178,'2025'!X$2,Tabla1[ANY],'2025'!$Z$76)</f>
        <v>0</v>
      </c>
      <c r="Y93" s="21">
        <f t="shared" si="97"/>
        <v>0</v>
      </c>
      <c r="Z93" s="20">
        <f t="shared" si="100"/>
        <v>0</v>
      </c>
      <c r="AA93" s="21">
        <f t="shared" si="98"/>
        <v>0</v>
      </c>
    </row>
    <row r="94" spans="1:27" hidden="1" outlineLevel="1" x14ac:dyDescent="0.2">
      <c r="A94" s="8" t="s">
        <v>70</v>
      </c>
      <c r="B94" s="20">
        <f>SUMIFS('Registre de reserves'!$U$2:$U$1178,'Registre de reserves'!$T$2:$T$1178,"NO",'Registre de reserves'!$I$2:$I$1178,'2025'!$A94,'Registre de reserves'!$B$2:$B$1178,'2025'!B$2,Tabla1[ANY],'2025'!$Z$76)</f>
        <v>0</v>
      </c>
      <c r="C94" s="21">
        <f t="shared" si="99"/>
        <v>0</v>
      </c>
      <c r="D94" s="20">
        <f>SUMIFS('Registre de reserves'!$U$2:$U$1178,'Registre de reserves'!$T$2:$T$1178,"NO",'Registre de reserves'!$I$2:$I$1178,'2025'!$A94,'Registre de reserves'!$B$2:$B$1178,'2025'!D$2,Tabla1[ANY],'2025'!$Z$76)</f>
        <v>0</v>
      </c>
      <c r="E94" s="21">
        <f t="shared" si="99"/>
        <v>0</v>
      </c>
      <c r="F94" s="20">
        <f>SUMIFS('Registre de reserves'!$U$2:$U$1178,'Registre de reserves'!$T$2:$T$1178,"NO",'Registre de reserves'!$I$2:$I$1178,'2025'!$A94,'Registre de reserves'!$B$2:$B$1178,'2025'!F$2,Tabla1[ANY],'2025'!$Z$76)</f>
        <v>0</v>
      </c>
      <c r="G94" s="21">
        <f t="shared" si="88"/>
        <v>0</v>
      </c>
      <c r="H94" s="20">
        <f>SUMIFS('Registre de reserves'!$U$2:$U$1178,'Registre de reserves'!$T$2:$T$1178,"NO",'Registre de reserves'!$I$2:$I$1178,'2025'!$A94,'Registre de reserves'!$B$2:$B$1178,'2025'!H$2,Tabla1[ANY],'2025'!$Z$76)</f>
        <v>0</v>
      </c>
      <c r="I94" s="21">
        <f t="shared" si="89"/>
        <v>0</v>
      </c>
      <c r="J94" s="20">
        <f>SUMIFS('Registre de reserves'!$U$2:$U$1178,'Registre de reserves'!$T$2:$T$1178,"NO",'Registre de reserves'!$I$2:$I$1178,'2025'!$A94,'Registre de reserves'!$B$2:$B$1178,'2025'!J$2,Tabla1[ANY],'2025'!$Z$76)</f>
        <v>0</v>
      </c>
      <c r="K94" s="21">
        <f t="shared" si="90"/>
        <v>0</v>
      </c>
      <c r="L94" s="20">
        <f>SUMIFS('Registre de reserves'!$U$2:$U$1178,'Registre de reserves'!$T$2:$T$1178,"NO",'Registre de reserves'!$I$2:$I$1178,'2025'!$A94,'Registre de reserves'!$B$2:$B$1178,'2025'!L$2,Tabla1[ANY],'2025'!$Z$76)</f>
        <v>0</v>
      </c>
      <c r="M94" s="21">
        <f t="shared" si="91"/>
        <v>0</v>
      </c>
      <c r="N94" s="20">
        <f>SUMIFS('Registre de reserves'!$U$2:$U$1178,'Registre de reserves'!$T$2:$T$1178,"NO",'Registre de reserves'!$I$2:$I$1178,'2025'!$A94,'Registre de reserves'!$B$2:$B$1178,'2025'!N$2,Tabla1[ANY],'2025'!$Z$76)</f>
        <v>0</v>
      </c>
      <c r="O94" s="21">
        <f t="shared" si="92"/>
        <v>0</v>
      </c>
      <c r="P94" s="20">
        <f>SUMIFS('Registre de reserves'!$U$2:$U$1178,'Registre de reserves'!$T$2:$T$1178,"NO",'Registre de reserves'!$I$2:$I$1178,'2025'!$A94,'Registre de reserves'!$B$2:$B$1178,'2025'!P$2,Tabla1[ANY],'2025'!$Z$76)</f>
        <v>0</v>
      </c>
      <c r="Q94" s="21">
        <f t="shared" si="93"/>
        <v>0</v>
      </c>
      <c r="R94" s="20">
        <f>SUMIFS('Registre de reserves'!$U$2:$U$1178,'Registre de reserves'!$T$2:$T$1178,"NO",'Registre de reserves'!$I$2:$I$1178,'2025'!$A94,'Registre de reserves'!$B$2:$B$1178,'2025'!R$2,Tabla1[ANY],'2025'!$Z$76)</f>
        <v>0</v>
      </c>
      <c r="S94" s="21">
        <f t="shared" si="94"/>
        <v>0</v>
      </c>
      <c r="T94" s="20">
        <f>SUMIFS('Registre de reserves'!$U$2:$U$1178,'Registre de reserves'!$T$2:$T$1178,"NO",'Registre de reserves'!$I$2:$I$1178,'2025'!$A94,'Registre de reserves'!$B$2:$B$1178,'2025'!T$2,Tabla1[ANY],'2025'!$Z$76)</f>
        <v>0</v>
      </c>
      <c r="U94" s="21">
        <f t="shared" si="95"/>
        <v>0</v>
      </c>
      <c r="V94" s="20">
        <f>SUMIFS('Registre de reserves'!$U$2:$U$1178,'Registre de reserves'!$T$2:$T$1178,"NO",'Registre de reserves'!$I$2:$I$1178,'2025'!$A94,'Registre de reserves'!$B$2:$B$1178,'2025'!V$2,Tabla1[ANY],'2025'!$Z$76)</f>
        <v>0</v>
      </c>
      <c r="W94" s="21">
        <f t="shared" si="96"/>
        <v>0</v>
      </c>
      <c r="X94" s="20">
        <f>SUMIFS('Registre de reserves'!$U$2:$U$1178,'Registre de reserves'!$T$2:$T$1178,"NO",'Registre de reserves'!$I$2:$I$1178,'2025'!$A94,'Registre de reserves'!$B$2:$B$1178,'2025'!X$2,Tabla1[ANY],'2025'!$Z$76)</f>
        <v>0</v>
      </c>
      <c r="Y94" s="21">
        <f t="shared" si="97"/>
        <v>0</v>
      </c>
      <c r="Z94" s="20">
        <f t="shared" si="100"/>
        <v>0</v>
      </c>
      <c r="AA94" s="21">
        <f t="shared" si="98"/>
        <v>0</v>
      </c>
    </row>
    <row r="95" spans="1:27" hidden="1" outlineLevel="1" x14ac:dyDescent="0.2">
      <c r="A95" s="8" t="s">
        <v>73</v>
      </c>
      <c r="B95" s="20">
        <f>SUMIFS('Registre de reserves'!$U$2:$U$1178,'Registre de reserves'!$T$2:$T$1178,"NO",'Registre de reserves'!$I$2:$I$1178,'2025'!$A95,'Registre de reserves'!$B$2:$B$1178,'2025'!B$2,Tabla1[ANY],'2025'!$Z$76)</f>
        <v>0</v>
      </c>
      <c r="C95" s="21">
        <f>IF(B$87=0,0,B95/B$87)</f>
        <v>0</v>
      </c>
      <c r="D95" s="20">
        <f>SUMIFS('Registre de reserves'!$U$2:$U$1178,'Registre de reserves'!$T$2:$T$1178,"NO",'Registre de reserves'!$I$2:$I$1178,'2025'!$A95,'Registre de reserves'!$B$2:$B$1178,'2025'!D$2,Tabla1[ANY],'2025'!$Z$76)</f>
        <v>0</v>
      </c>
      <c r="E95" s="21">
        <f>IF(D$87=0,0,D95/D$87)</f>
        <v>0</v>
      </c>
      <c r="F95" s="20">
        <f>SUMIFS('Registre de reserves'!$U$2:$U$1178,'Registre de reserves'!$T$2:$T$1178,"NO",'Registre de reserves'!$I$2:$I$1178,'2025'!$A95,'Registre de reserves'!$B$2:$B$1178,'2025'!F$2,Tabla1[ANY],'2025'!$Z$76)</f>
        <v>0</v>
      </c>
      <c r="G95" s="21">
        <f t="shared" si="88"/>
        <v>0</v>
      </c>
      <c r="H95" s="20">
        <f>SUMIFS('Registre de reserves'!$U$2:$U$1178,'Registre de reserves'!$T$2:$T$1178,"NO",'Registre de reserves'!$I$2:$I$1178,'2025'!$A95,'Registre de reserves'!$B$2:$B$1178,'2025'!H$2,Tabla1[ANY],'2025'!$Z$76)</f>
        <v>0</v>
      </c>
      <c r="I95" s="21">
        <f t="shared" si="89"/>
        <v>0</v>
      </c>
      <c r="J95" s="20">
        <f>SUMIFS('Registre de reserves'!$U$2:$U$1178,'Registre de reserves'!$T$2:$T$1178,"NO",'Registre de reserves'!$I$2:$I$1178,'2025'!$A95,'Registre de reserves'!$B$2:$B$1178,'2025'!J$2,Tabla1[ANY],'2025'!$Z$76)</f>
        <v>0</v>
      </c>
      <c r="K95" s="21">
        <f t="shared" si="90"/>
        <v>0</v>
      </c>
      <c r="L95" s="20">
        <f>SUMIFS('Registre de reserves'!$U$2:$U$1178,'Registre de reserves'!$T$2:$T$1178,"NO",'Registre de reserves'!$I$2:$I$1178,'2025'!$A95,'Registre de reserves'!$B$2:$B$1178,'2025'!L$2,Tabla1[ANY],'2025'!$Z$76)</f>
        <v>0</v>
      </c>
      <c r="M95" s="21">
        <f t="shared" si="91"/>
        <v>0</v>
      </c>
      <c r="N95" s="20">
        <f>SUMIFS('Registre de reserves'!$U$2:$U$1178,'Registre de reserves'!$T$2:$T$1178,"NO",'Registre de reserves'!$I$2:$I$1178,'2025'!$A95,'Registre de reserves'!$B$2:$B$1178,'2025'!N$2,Tabla1[ANY],'2025'!$Z$76)</f>
        <v>0</v>
      </c>
      <c r="O95" s="21">
        <f t="shared" si="92"/>
        <v>0</v>
      </c>
      <c r="P95" s="20">
        <f>SUMIFS('Registre de reserves'!$U$2:$U$1178,'Registre de reserves'!$T$2:$T$1178,"NO",'Registre de reserves'!$I$2:$I$1178,'2025'!$A95,'Registre de reserves'!$B$2:$B$1178,'2025'!P$2,Tabla1[ANY],'2025'!$Z$76)</f>
        <v>0</v>
      </c>
      <c r="Q95" s="21">
        <f t="shared" si="93"/>
        <v>0</v>
      </c>
      <c r="R95" s="20">
        <f>SUMIFS('Registre de reserves'!$U$2:$U$1178,'Registre de reserves'!$T$2:$T$1178,"NO",'Registre de reserves'!$I$2:$I$1178,'2025'!$A95,'Registre de reserves'!$B$2:$B$1178,'2025'!R$2,Tabla1[ANY],'2025'!$Z$76)</f>
        <v>0</v>
      </c>
      <c r="S95" s="21">
        <f t="shared" si="94"/>
        <v>0</v>
      </c>
      <c r="T95" s="20">
        <f>SUMIFS('Registre de reserves'!$U$2:$U$1178,'Registre de reserves'!$T$2:$T$1178,"NO",'Registre de reserves'!$I$2:$I$1178,'2025'!$A95,'Registre de reserves'!$B$2:$B$1178,'2025'!T$2,Tabla1[ANY],'2025'!$Z$76)</f>
        <v>0</v>
      </c>
      <c r="U95" s="21">
        <f t="shared" si="95"/>
        <v>0</v>
      </c>
      <c r="V95" s="20">
        <f>SUMIFS('Registre de reserves'!$U$2:$U$1178,'Registre de reserves'!$T$2:$T$1178,"NO",'Registre de reserves'!$I$2:$I$1178,'2025'!$A95,'Registre de reserves'!$B$2:$B$1178,'2025'!V$2,Tabla1[ANY],'2025'!$Z$76)</f>
        <v>0</v>
      </c>
      <c r="W95" s="21">
        <f t="shared" si="96"/>
        <v>0</v>
      </c>
      <c r="X95" s="20">
        <f>SUMIFS('Registre de reserves'!$U$2:$U$1178,'Registre de reserves'!$T$2:$T$1178,"NO",'Registre de reserves'!$I$2:$I$1178,'2025'!$A95,'Registre de reserves'!$B$2:$B$1178,'2025'!X$2,Tabla1[ANY],'2025'!$Z$76)</f>
        <v>0</v>
      </c>
      <c r="Y95" s="21">
        <f t="shared" si="97"/>
        <v>0</v>
      </c>
      <c r="Z95" s="20">
        <f t="shared" si="100"/>
        <v>0</v>
      </c>
      <c r="AA95" s="21">
        <f t="shared" si="98"/>
        <v>0</v>
      </c>
    </row>
    <row r="96" spans="1:27" collapsed="1" x14ac:dyDescent="0.2">
      <c r="A96" s="33" t="s">
        <v>75</v>
      </c>
      <c r="B96" s="22">
        <f>SUM(B97:B104)</f>
        <v>120</v>
      </c>
      <c r="C96" s="19">
        <f>IF(B$77=0,0,B96/B$77)</f>
        <v>6.7796610169491525E-2</v>
      </c>
      <c r="D96" s="22">
        <f>SUM(D97:D104)</f>
        <v>60</v>
      </c>
      <c r="E96" s="19">
        <f>IF(D$77=0,0,D96/D$77)</f>
        <v>4.0268456375838924E-2</v>
      </c>
      <c r="F96" s="22">
        <f>SUM(F97:F104)</f>
        <v>0</v>
      </c>
      <c r="G96" s="19">
        <f>IF(F$77=0,0,F96/F$77)</f>
        <v>0</v>
      </c>
      <c r="H96" s="22">
        <f>SUM(H97:H104)</f>
        <v>0</v>
      </c>
      <c r="I96" s="19">
        <f>IF(H$77=0,0,H96/H$77)</f>
        <v>0</v>
      </c>
      <c r="J96" s="22">
        <f>SUM(J97:J104)</f>
        <v>0</v>
      </c>
      <c r="K96" s="19">
        <f>IF(J$77=0,0,J96/J$77)</f>
        <v>0</v>
      </c>
      <c r="L96" s="22">
        <f>SUM(L97:L104)</f>
        <v>0</v>
      </c>
      <c r="M96" s="19">
        <f>IF(L$77=0,0,L96/L$77)</f>
        <v>0</v>
      </c>
      <c r="N96" s="22">
        <f>SUM(N97:N104)</f>
        <v>0</v>
      </c>
      <c r="O96" s="19">
        <f>IF(N$77=0,0,N96/N$77)</f>
        <v>0</v>
      </c>
      <c r="P96" s="22">
        <f>SUM(P97:P104)</f>
        <v>0</v>
      </c>
      <c r="Q96" s="19">
        <f>IF(P$77=0,0,P96/P$77)</f>
        <v>0</v>
      </c>
      <c r="R96" s="22">
        <f>SUM(R97:R104)</f>
        <v>0</v>
      </c>
      <c r="S96" s="19">
        <f>IF(R$77=0,0,R96/R$77)</f>
        <v>0</v>
      </c>
      <c r="T96" s="22">
        <f>SUM(T97:T104)</f>
        <v>0</v>
      </c>
      <c r="U96" s="19">
        <f>IF(T$77=0,0,T96/T$77)</f>
        <v>0</v>
      </c>
      <c r="V96" s="22">
        <f>SUM(V97:V104)</f>
        <v>0</v>
      </c>
      <c r="W96" s="19">
        <f>IF(V$77=0,0,V96/V$77)</f>
        <v>0</v>
      </c>
      <c r="X96" s="22">
        <f>SUM(X97:X104)</f>
        <v>0</v>
      </c>
      <c r="Y96" s="19">
        <f>IF(X$77=0,0,X96/X$77)</f>
        <v>0</v>
      </c>
      <c r="Z96" s="22">
        <f>SUM(Z97:Z104)</f>
        <v>180</v>
      </c>
      <c r="AA96" s="19">
        <f>IF(Z$77=0,0,Z96/Z$77)</f>
        <v>2.247191011235955E-2</v>
      </c>
    </row>
    <row r="97" spans="1:27" hidden="1" outlineLevel="1" x14ac:dyDescent="0.2">
      <c r="A97" s="8" t="s">
        <v>67</v>
      </c>
      <c r="B97" s="23">
        <f>SUMIFS('Registre de reserves'!$W$2:$W$1178,'Registre de reserves'!$T$2:$T$1178,"SI",'Registre de reserves'!$I$2:$I$1178,'2025'!$A97,'Registre de reserves'!$B$2:$B$1178,'2025'!B$2,Tabla1[ANY],'2025'!$Z$76)</f>
        <v>0</v>
      </c>
      <c r="C97" s="21">
        <f>IF(B$96=0,0,B97/B$96)</f>
        <v>0</v>
      </c>
      <c r="D97" s="23">
        <f>SUMIFS('Registre de reserves'!$W$2:$W$1178,'Registre de reserves'!$T$2:$T$1178,"SI",'Registre de reserves'!$I$2:$I$1178,'2025'!$A97,'Registre de reserves'!$B$2:$B$1178,'2025'!D$2,Tabla1[ANY],'2025'!$Z$76)</f>
        <v>0</v>
      </c>
      <c r="E97" s="21">
        <f>IF(D$96=0,0,D97/D$96)</f>
        <v>0</v>
      </c>
      <c r="F97" s="23">
        <f>SUMIFS('Registre de reserves'!$W$2:$W$1178,'Registre de reserves'!$T$2:$T$1178,"SI",'Registre de reserves'!$I$2:$I$1178,'2025'!$A97,'Registre de reserves'!$B$2:$B$1178,'2025'!F$2,Tabla1[ANY],'2025'!$Z$76)</f>
        <v>0</v>
      </c>
      <c r="G97" s="21">
        <f t="shared" ref="G97:G104" si="101">IF(F$96=0,0,F97/F$96)</f>
        <v>0</v>
      </c>
      <c r="H97" s="23">
        <f>SUMIFS('Registre de reserves'!$W$2:$W$1178,'Registre de reserves'!$T$2:$T$1178,"SI",'Registre de reserves'!$I$2:$I$1178,'2025'!$A97,'Registre de reserves'!$B$2:$B$1178,'2025'!H$2,Tabla1[ANY],'2025'!$Z$76)</f>
        <v>0</v>
      </c>
      <c r="I97" s="21">
        <f t="shared" ref="I97:I104" si="102">IF(H$96=0,0,H97/H$96)</f>
        <v>0</v>
      </c>
      <c r="J97" s="23">
        <f>SUMIFS('Registre de reserves'!$W$2:$W$1178,'Registre de reserves'!$T$2:$T$1178,"SI",'Registre de reserves'!$I$2:$I$1178,'2025'!$A97,'Registre de reserves'!$B$2:$B$1178,'2025'!J$2,Tabla1[ANY],'2025'!$Z$76)</f>
        <v>0</v>
      </c>
      <c r="K97" s="21">
        <f t="shared" ref="K97:K104" si="103">IF(J$96=0,0,J97/J$96)</f>
        <v>0</v>
      </c>
      <c r="L97" s="23">
        <f>SUMIFS('Registre de reserves'!$W$2:$W$1178,'Registre de reserves'!$T$2:$T$1178,"SI",'Registre de reserves'!$I$2:$I$1178,'2025'!$A97,'Registre de reserves'!$B$2:$B$1178,'2025'!L$2,Tabla1[ANY],'2025'!$Z$76)</f>
        <v>0</v>
      </c>
      <c r="M97" s="21">
        <f t="shared" ref="M97:M104" si="104">IF(L$96=0,0,L97/L$96)</f>
        <v>0</v>
      </c>
      <c r="N97" s="23">
        <f>SUMIFS('Registre de reserves'!$W$2:$W$1178,'Registre de reserves'!$T$2:$T$1178,"SI",'Registre de reserves'!$I$2:$I$1178,'2025'!$A97,'Registre de reserves'!$B$2:$B$1178,'2025'!N$2,Tabla1[ANY],'2025'!$Z$76)</f>
        <v>0</v>
      </c>
      <c r="O97" s="21">
        <f t="shared" ref="O97:O104" si="105">IF(N$96=0,0,N97/N$96)</f>
        <v>0</v>
      </c>
      <c r="P97" s="23">
        <f>SUMIFS('Registre de reserves'!$W$2:$W$1178,'Registre de reserves'!$T$2:$T$1178,"SI",'Registre de reserves'!$I$2:$I$1178,'2025'!$A97,'Registre de reserves'!$B$2:$B$1178,'2025'!P$2,Tabla1[ANY],'2025'!$Z$76)</f>
        <v>0</v>
      </c>
      <c r="Q97" s="21">
        <f t="shared" ref="Q97:Q104" si="106">IF(P$96=0,0,P97/P$96)</f>
        <v>0</v>
      </c>
      <c r="R97" s="23">
        <f>SUMIFS('Registre de reserves'!$W$2:$W$1178,'Registre de reserves'!$T$2:$T$1178,"SI",'Registre de reserves'!$I$2:$I$1178,'2025'!$A97,'Registre de reserves'!$B$2:$B$1178,'2025'!R$2,Tabla1[ANY],'2025'!$Z$76)</f>
        <v>0</v>
      </c>
      <c r="S97" s="21">
        <f t="shared" ref="S97:S104" si="107">IF(R$96=0,0,R97/R$96)</f>
        <v>0</v>
      </c>
      <c r="T97" s="23">
        <f>SUMIFS('Registre de reserves'!$W$2:$W$1178,'Registre de reserves'!$T$2:$T$1178,"SI",'Registre de reserves'!$I$2:$I$1178,'2025'!$A97,'Registre de reserves'!$B$2:$B$1178,'2025'!T$2,Tabla1[ANY],'2025'!$Z$76)</f>
        <v>0</v>
      </c>
      <c r="U97" s="21">
        <f t="shared" ref="U97:U104" si="108">IF(T$96=0,0,T97/T$96)</f>
        <v>0</v>
      </c>
      <c r="V97" s="23">
        <f>SUMIFS('Registre de reserves'!$W$2:$W$1178,'Registre de reserves'!$T$2:$T$1178,"SI",'Registre de reserves'!$I$2:$I$1178,'2025'!$A97,'Registre de reserves'!$B$2:$B$1178,'2025'!V$2,Tabla1[ANY],'2025'!$Z$76)</f>
        <v>0</v>
      </c>
      <c r="W97" s="21">
        <f t="shared" ref="W97:W104" si="109">IF(V$96=0,0,V97/V$96)</f>
        <v>0</v>
      </c>
      <c r="X97" s="23">
        <f>SUMIFS('Registre de reserves'!$W$2:$W$1178,'Registre de reserves'!$T$2:$T$1178,"SI",'Registre de reserves'!$I$2:$I$1178,'2025'!$A97,'Registre de reserves'!$B$2:$B$1178,'2025'!X$2,Tabla1[ANY],'2025'!$Z$76)</f>
        <v>0</v>
      </c>
      <c r="Y97" s="21">
        <f t="shared" ref="Y97:Y104" si="110">IF(X$96=0,0,X97/X$96)</f>
        <v>0</v>
      </c>
      <c r="Z97" s="20">
        <f t="shared" si="100"/>
        <v>0</v>
      </c>
      <c r="AA97" s="21">
        <f t="shared" ref="AA97:AA104" si="111">IF(Z$96=0,0,Z97/Z$96)</f>
        <v>0</v>
      </c>
    </row>
    <row r="98" spans="1:27" hidden="1" outlineLevel="1" x14ac:dyDescent="0.2">
      <c r="A98" s="8" t="s">
        <v>68</v>
      </c>
      <c r="B98" s="23">
        <f>SUMIFS('Registre de reserves'!$W$2:$W$1178,'Registre de reserves'!$T$2:$T$1178,"SI",'Registre de reserves'!$I$2:$I$1178,'2025'!$A98,'Registre de reserves'!$B$2:$B$1178,'2025'!B$2,Tabla1[ANY],'2025'!$Z$76)</f>
        <v>0</v>
      </c>
      <c r="C98" s="21">
        <f t="shared" ref="C98:E104" si="112">IF(B$96=0,0,B98/B$96)</f>
        <v>0</v>
      </c>
      <c r="D98" s="23">
        <f>SUMIFS('Registre de reserves'!$W$2:$W$1178,'Registre de reserves'!$T$2:$T$1178,"SI",'Registre de reserves'!$I$2:$I$1178,'2025'!$A98,'Registre de reserves'!$B$2:$B$1178,'2025'!D$2,Tabla1[ANY],'2025'!$Z$76)</f>
        <v>0</v>
      </c>
      <c r="E98" s="21">
        <f t="shared" si="112"/>
        <v>0</v>
      </c>
      <c r="F98" s="23">
        <f>SUMIFS('Registre de reserves'!$W$2:$W$1178,'Registre de reserves'!$T$2:$T$1178,"SI",'Registre de reserves'!$I$2:$I$1178,'2025'!$A98,'Registre de reserves'!$B$2:$B$1178,'2025'!F$2,Tabla1[ANY],'2025'!$Z$76)</f>
        <v>0</v>
      </c>
      <c r="G98" s="21">
        <f t="shared" si="101"/>
        <v>0</v>
      </c>
      <c r="H98" s="23">
        <f>SUMIFS('Registre de reserves'!$W$2:$W$1178,'Registre de reserves'!$T$2:$T$1178,"SI",'Registre de reserves'!$I$2:$I$1178,'2025'!$A98,'Registre de reserves'!$B$2:$B$1178,'2025'!H$2,Tabla1[ANY],'2025'!$Z$76)</f>
        <v>0</v>
      </c>
      <c r="I98" s="21">
        <f t="shared" si="102"/>
        <v>0</v>
      </c>
      <c r="J98" s="23">
        <f>SUMIFS('Registre de reserves'!$W$2:$W$1178,'Registre de reserves'!$T$2:$T$1178,"SI",'Registre de reserves'!$I$2:$I$1178,'2025'!$A98,'Registre de reserves'!$B$2:$B$1178,'2025'!J$2,Tabla1[ANY],'2025'!$Z$76)</f>
        <v>0</v>
      </c>
      <c r="K98" s="21">
        <f t="shared" si="103"/>
        <v>0</v>
      </c>
      <c r="L98" s="23">
        <f>SUMIFS('Registre de reserves'!$W$2:$W$1178,'Registre de reserves'!$T$2:$T$1178,"SI",'Registre de reserves'!$I$2:$I$1178,'2025'!$A98,'Registre de reserves'!$B$2:$B$1178,'2025'!L$2,Tabla1[ANY],'2025'!$Z$76)</f>
        <v>0</v>
      </c>
      <c r="M98" s="21">
        <f t="shared" si="104"/>
        <v>0</v>
      </c>
      <c r="N98" s="23">
        <f>SUMIFS('Registre de reserves'!$W$2:$W$1178,'Registre de reserves'!$T$2:$T$1178,"SI",'Registre de reserves'!$I$2:$I$1178,'2025'!$A98,'Registre de reserves'!$B$2:$B$1178,'2025'!N$2,Tabla1[ANY],'2025'!$Z$76)</f>
        <v>0</v>
      </c>
      <c r="O98" s="21">
        <f t="shared" si="105"/>
        <v>0</v>
      </c>
      <c r="P98" s="23">
        <f>SUMIFS('Registre de reserves'!$W$2:$W$1178,'Registre de reserves'!$T$2:$T$1178,"SI",'Registre de reserves'!$I$2:$I$1178,'2025'!$A98,'Registre de reserves'!$B$2:$B$1178,'2025'!P$2,Tabla1[ANY],'2025'!$Z$76)</f>
        <v>0</v>
      </c>
      <c r="Q98" s="21">
        <f t="shared" si="106"/>
        <v>0</v>
      </c>
      <c r="R98" s="23">
        <f>SUMIFS('Registre de reserves'!$W$2:$W$1178,'Registre de reserves'!$T$2:$T$1178,"SI",'Registre de reserves'!$I$2:$I$1178,'2025'!$A98,'Registre de reserves'!$B$2:$B$1178,'2025'!R$2,Tabla1[ANY],'2025'!$Z$76)</f>
        <v>0</v>
      </c>
      <c r="S98" s="21">
        <f t="shared" si="107"/>
        <v>0</v>
      </c>
      <c r="T98" s="23">
        <f>SUMIFS('Registre de reserves'!$W$2:$W$1178,'Registre de reserves'!$T$2:$T$1178,"SI",'Registre de reserves'!$I$2:$I$1178,'2025'!$A98,'Registre de reserves'!$B$2:$B$1178,'2025'!T$2,Tabla1[ANY],'2025'!$Z$76)</f>
        <v>0</v>
      </c>
      <c r="U98" s="21">
        <f t="shared" si="108"/>
        <v>0</v>
      </c>
      <c r="V98" s="23">
        <f>SUMIFS('Registre de reserves'!$W$2:$W$1178,'Registre de reserves'!$T$2:$T$1178,"SI",'Registre de reserves'!$I$2:$I$1178,'2025'!$A98,'Registre de reserves'!$B$2:$B$1178,'2025'!V$2,Tabla1[ANY],'2025'!$Z$76)</f>
        <v>0</v>
      </c>
      <c r="W98" s="21">
        <f t="shared" si="109"/>
        <v>0</v>
      </c>
      <c r="X98" s="23">
        <f>SUMIFS('Registre de reserves'!$W$2:$W$1178,'Registre de reserves'!$T$2:$T$1178,"SI",'Registre de reserves'!$I$2:$I$1178,'2025'!$A98,'Registre de reserves'!$B$2:$B$1178,'2025'!X$2,Tabla1[ANY],'2025'!$Z$76)</f>
        <v>0</v>
      </c>
      <c r="Y98" s="21">
        <f t="shared" si="110"/>
        <v>0</v>
      </c>
      <c r="Z98" s="20">
        <f t="shared" si="100"/>
        <v>0</v>
      </c>
      <c r="AA98" s="21">
        <f t="shared" si="111"/>
        <v>0</v>
      </c>
    </row>
    <row r="99" spans="1:27" hidden="1" outlineLevel="1" x14ac:dyDescent="0.2">
      <c r="A99" s="8" t="s">
        <v>4</v>
      </c>
      <c r="B99" s="23">
        <f>SUMIFS('Registre de reserves'!$W$2:$W$1178,'Registre de reserves'!$T$2:$T$1178,"SI",'Registre de reserves'!$I$2:$I$1178,'2025'!$A99,'Registre de reserves'!$B$2:$B$1178,'2025'!B$2,Tabla1[ANY],'2025'!$Z$76)</f>
        <v>0</v>
      </c>
      <c r="C99" s="21">
        <f>IF(B$96=0,0,B99/B$96)</f>
        <v>0</v>
      </c>
      <c r="D99" s="23">
        <f>SUMIFS('Registre de reserves'!$W$2:$W$1178,'Registre de reserves'!$T$2:$T$1178,"SI",'Registre de reserves'!$I$2:$I$1178,'2025'!$A99,'Registre de reserves'!$B$2:$B$1178,'2025'!D$2,Tabla1[ANY],'2025'!$Z$76)</f>
        <v>0</v>
      </c>
      <c r="E99" s="21">
        <f>IF(D$96=0,0,D99/D$96)</f>
        <v>0</v>
      </c>
      <c r="F99" s="23">
        <f>SUMIFS('Registre de reserves'!$W$2:$W$1178,'Registre de reserves'!$T$2:$T$1178,"SI",'Registre de reserves'!$I$2:$I$1178,'2025'!$A99,'Registre de reserves'!$B$2:$B$1178,'2025'!F$2,Tabla1[ANY],'2025'!$Z$76)</f>
        <v>0</v>
      </c>
      <c r="G99" s="21">
        <f t="shared" si="101"/>
        <v>0</v>
      </c>
      <c r="H99" s="23">
        <f>SUMIFS('Registre de reserves'!$W$2:$W$1178,'Registre de reserves'!$T$2:$T$1178,"SI",'Registre de reserves'!$I$2:$I$1178,'2025'!$A99,'Registre de reserves'!$B$2:$B$1178,'2025'!H$2,Tabla1[ANY],'2025'!$Z$76)</f>
        <v>0</v>
      </c>
      <c r="I99" s="21">
        <f t="shared" si="102"/>
        <v>0</v>
      </c>
      <c r="J99" s="23">
        <f>SUMIFS('Registre de reserves'!$W$2:$W$1178,'Registre de reserves'!$T$2:$T$1178,"SI",'Registre de reserves'!$I$2:$I$1178,'2025'!$A99,'Registre de reserves'!$B$2:$B$1178,'2025'!J$2,Tabla1[ANY],'2025'!$Z$76)</f>
        <v>0</v>
      </c>
      <c r="K99" s="21">
        <f t="shared" si="103"/>
        <v>0</v>
      </c>
      <c r="L99" s="23">
        <f>SUMIFS('Registre de reserves'!$W$2:$W$1178,'Registre de reserves'!$T$2:$T$1178,"SI",'Registre de reserves'!$I$2:$I$1178,'2025'!$A99,'Registre de reserves'!$B$2:$B$1178,'2025'!L$2,Tabla1[ANY],'2025'!$Z$76)</f>
        <v>0</v>
      </c>
      <c r="M99" s="21">
        <f t="shared" si="104"/>
        <v>0</v>
      </c>
      <c r="N99" s="23">
        <f>SUMIFS('Registre de reserves'!$W$2:$W$1178,'Registre de reserves'!$T$2:$T$1178,"SI",'Registre de reserves'!$I$2:$I$1178,'2025'!$A99,'Registre de reserves'!$B$2:$B$1178,'2025'!N$2,Tabla1[ANY],'2025'!$Z$76)</f>
        <v>0</v>
      </c>
      <c r="O99" s="21">
        <f t="shared" si="105"/>
        <v>0</v>
      </c>
      <c r="P99" s="23">
        <f>SUMIFS('Registre de reserves'!$W$2:$W$1178,'Registre de reserves'!$T$2:$T$1178,"SI",'Registre de reserves'!$I$2:$I$1178,'2025'!$A99,'Registre de reserves'!$B$2:$B$1178,'2025'!P$2,Tabla1[ANY],'2025'!$Z$76)</f>
        <v>0</v>
      </c>
      <c r="Q99" s="21">
        <f t="shared" si="106"/>
        <v>0</v>
      </c>
      <c r="R99" s="23">
        <f>SUMIFS('Registre de reserves'!$W$2:$W$1178,'Registre de reserves'!$T$2:$T$1178,"SI",'Registre de reserves'!$I$2:$I$1178,'2025'!$A99,'Registre de reserves'!$B$2:$B$1178,'2025'!R$2,Tabla1[ANY],'2025'!$Z$76)</f>
        <v>0</v>
      </c>
      <c r="S99" s="21">
        <f t="shared" si="107"/>
        <v>0</v>
      </c>
      <c r="T99" s="23">
        <f>SUMIFS('Registre de reserves'!$W$2:$W$1178,'Registre de reserves'!$T$2:$T$1178,"SI",'Registre de reserves'!$I$2:$I$1178,'2025'!$A99,'Registre de reserves'!$B$2:$B$1178,'2025'!T$2,Tabla1[ANY],'2025'!$Z$76)</f>
        <v>0</v>
      </c>
      <c r="U99" s="21">
        <f t="shared" si="108"/>
        <v>0</v>
      </c>
      <c r="V99" s="23">
        <f>SUMIFS('Registre de reserves'!$W$2:$W$1178,'Registre de reserves'!$T$2:$T$1178,"SI",'Registre de reserves'!$I$2:$I$1178,'2025'!$A99,'Registre de reserves'!$B$2:$B$1178,'2025'!V$2,Tabla1[ANY],'2025'!$Z$76)</f>
        <v>0</v>
      </c>
      <c r="W99" s="21">
        <f t="shared" si="109"/>
        <v>0</v>
      </c>
      <c r="X99" s="23">
        <f>SUMIFS('Registre de reserves'!$W$2:$W$1178,'Registre de reserves'!$T$2:$T$1178,"SI",'Registre de reserves'!$I$2:$I$1178,'2025'!$A99,'Registre de reserves'!$B$2:$B$1178,'2025'!X$2,Tabla1[ANY],'2025'!$Z$76)</f>
        <v>0</v>
      </c>
      <c r="Y99" s="21">
        <f t="shared" si="110"/>
        <v>0</v>
      </c>
      <c r="Z99" s="20">
        <f t="shared" si="100"/>
        <v>0</v>
      </c>
      <c r="AA99" s="21">
        <f t="shared" si="111"/>
        <v>0</v>
      </c>
    </row>
    <row r="100" spans="1:27" hidden="1" outlineLevel="1" x14ac:dyDescent="0.2">
      <c r="A100" s="8" t="s">
        <v>71</v>
      </c>
      <c r="B100" s="23">
        <f>SUMIFS('Registre de reserves'!$W$2:$W$1178,'Registre de reserves'!$T$2:$T$1178,"SI",'Registre de reserves'!$I$2:$I$1178,'2025'!$A100,'Registre de reserves'!$B$2:$B$1178,'2025'!B$2,Tabla1[ANY],'2025'!$Z$76)</f>
        <v>0</v>
      </c>
      <c r="C100" s="21">
        <f t="shared" si="112"/>
        <v>0</v>
      </c>
      <c r="D100" s="23">
        <f>SUMIFS('Registre de reserves'!$W$2:$W$1178,'Registre de reserves'!$T$2:$T$1178,"SI",'Registre de reserves'!$I$2:$I$1178,'2025'!$A100,'Registre de reserves'!$B$2:$B$1178,'2025'!D$2,Tabla1[ANY],'2025'!$Z$76)</f>
        <v>0</v>
      </c>
      <c r="E100" s="21">
        <f t="shared" si="112"/>
        <v>0</v>
      </c>
      <c r="F100" s="23">
        <f>SUMIFS('Registre de reserves'!$W$2:$W$1178,'Registre de reserves'!$T$2:$T$1178,"SI",'Registre de reserves'!$I$2:$I$1178,'2025'!$A100,'Registre de reserves'!$B$2:$B$1178,'2025'!F$2,Tabla1[ANY],'2025'!$Z$76)</f>
        <v>0</v>
      </c>
      <c r="G100" s="21">
        <f t="shared" si="101"/>
        <v>0</v>
      </c>
      <c r="H100" s="23">
        <f>SUMIFS('Registre de reserves'!$W$2:$W$1178,'Registre de reserves'!$T$2:$T$1178,"SI",'Registre de reserves'!$I$2:$I$1178,'2025'!$A100,'Registre de reserves'!$B$2:$B$1178,'2025'!H$2,Tabla1[ANY],'2025'!$Z$76)</f>
        <v>0</v>
      </c>
      <c r="I100" s="21">
        <f t="shared" si="102"/>
        <v>0</v>
      </c>
      <c r="J100" s="23">
        <f>SUMIFS('Registre de reserves'!$W$2:$W$1178,'Registre de reserves'!$T$2:$T$1178,"SI",'Registre de reserves'!$I$2:$I$1178,'2025'!$A100,'Registre de reserves'!$B$2:$B$1178,'2025'!J$2,Tabla1[ANY],'2025'!$Z$76)</f>
        <v>0</v>
      </c>
      <c r="K100" s="21">
        <f t="shared" si="103"/>
        <v>0</v>
      </c>
      <c r="L100" s="23">
        <f>SUMIFS('Registre de reserves'!$W$2:$W$1178,'Registre de reserves'!$T$2:$T$1178,"SI",'Registre de reserves'!$I$2:$I$1178,'2025'!$A100,'Registre de reserves'!$B$2:$B$1178,'2025'!L$2,Tabla1[ANY],'2025'!$Z$76)</f>
        <v>0</v>
      </c>
      <c r="M100" s="21">
        <f t="shared" si="104"/>
        <v>0</v>
      </c>
      <c r="N100" s="23">
        <f>SUMIFS('Registre de reserves'!$W$2:$W$1178,'Registre de reserves'!$T$2:$T$1178,"SI",'Registre de reserves'!$I$2:$I$1178,'2025'!$A100,'Registre de reserves'!$B$2:$B$1178,'2025'!N$2,Tabla1[ANY],'2025'!$Z$76)</f>
        <v>0</v>
      </c>
      <c r="O100" s="21">
        <f t="shared" si="105"/>
        <v>0</v>
      </c>
      <c r="P100" s="23">
        <f>SUMIFS('Registre de reserves'!$W$2:$W$1178,'Registre de reserves'!$T$2:$T$1178,"SI",'Registre de reserves'!$I$2:$I$1178,'2025'!$A100,'Registre de reserves'!$B$2:$B$1178,'2025'!P$2,Tabla1[ANY],'2025'!$Z$76)</f>
        <v>0</v>
      </c>
      <c r="Q100" s="21">
        <f t="shared" si="106"/>
        <v>0</v>
      </c>
      <c r="R100" s="23">
        <f>SUMIFS('Registre de reserves'!$W$2:$W$1178,'Registre de reserves'!$T$2:$T$1178,"SI",'Registre de reserves'!$I$2:$I$1178,'2025'!$A100,'Registre de reserves'!$B$2:$B$1178,'2025'!R$2,Tabla1[ANY],'2025'!$Z$76)</f>
        <v>0</v>
      </c>
      <c r="S100" s="21">
        <f t="shared" si="107"/>
        <v>0</v>
      </c>
      <c r="T100" s="23">
        <f>SUMIFS('Registre de reserves'!$W$2:$W$1178,'Registre de reserves'!$T$2:$T$1178,"SI",'Registre de reserves'!$I$2:$I$1178,'2025'!$A100,'Registre de reserves'!$B$2:$B$1178,'2025'!T$2,Tabla1[ANY],'2025'!$Z$76)</f>
        <v>0</v>
      </c>
      <c r="U100" s="21">
        <f t="shared" si="108"/>
        <v>0</v>
      </c>
      <c r="V100" s="23">
        <f>SUMIFS('Registre de reserves'!$W$2:$W$1178,'Registre de reserves'!$T$2:$T$1178,"SI",'Registre de reserves'!$I$2:$I$1178,'2025'!$A100,'Registre de reserves'!$B$2:$B$1178,'2025'!V$2,Tabla1[ANY],'2025'!$Z$76)</f>
        <v>0</v>
      </c>
      <c r="W100" s="21">
        <f t="shared" si="109"/>
        <v>0</v>
      </c>
      <c r="X100" s="23">
        <f>SUMIFS('Registre de reserves'!$W$2:$W$1178,'Registre de reserves'!$T$2:$T$1178,"SI",'Registre de reserves'!$I$2:$I$1178,'2025'!$A100,'Registre de reserves'!$B$2:$B$1178,'2025'!X$2,Tabla1[ANY],'2025'!$Z$76)</f>
        <v>0</v>
      </c>
      <c r="Y100" s="21">
        <f t="shared" si="110"/>
        <v>0</v>
      </c>
      <c r="Z100" s="20">
        <f t="shared" si="100"/>
        <v>0</v>
      </c>
      <c r="AA100" s="21">
        <f t="shared" si="111"/>
        <v>0</v>
      </c>
    </row>
    <row r="101" spans="1:27" hidden="1" outlineLevel="1" x14ac:dyDescent="0.2">
      <c r="A101" s="8" t="s">
        <v>72</v>
      </c>
      <c r="B101" s="23">
        <f>SUMIFS('Registre de reserves'!$W$2:$W$1178,'Registre de reserves'!$T$2:$T$1178,"SI",'Registre de reserves'!$I$2:$I$1178,'2025'!$A101,'Registre de reserves'!$B$2:$B$1178,'2025'!B$2,Tabla1[ANY],'2025'!$Z$76)</f>
        <v>0</v>
      </c>
      <c r="C101" s="21">
        <f t="shared" si="112"/>
        <v>0</v>
      </c>
      <c r="D101" s="23">
        <f>SUMIFS('Registre de reserves'!$W$2:$W$1178,'Registre de reserves'!$T$2:$T$1178,"SI",'Registre de reserves'!$I$2:$I$1178,'2025'!$A101,'Registre de reserves'!$B$2:$B$1178,'2025'!D$2,Tabla1[ANY],'2025'!$Z$76)</f>
        <v>0</v>
      </c>
      <c r="E101" s="21">
        <f t="shared" si="112"/>
        <v>0</v>
      </c>
      <c r="F101" s="23">
        <f>SUMIFS('Registre de reserves'!$W$2:$W$1178,'Registre de reserves'!$T$2:$T$1178,"SI",'Registre de reserves'!$I$2:$I$1178,'2025'!$A101,'Registre de reserves'!$B$2:$B$1178,'2025'!F$2,Tabla1[ANY],'2025'!$Z$76)</f>
        <v>0</v>
      </c>
      <c r="G101" s="21">
        <f t="shared" si="101"/>
        <v>0</v>
      </c>
      <c r="H101" s="23">
        <f>SUMIFS('Registre de reserves'!$W$2:$W$1178,'Registre de reserves'!$T$2:$T$1178,"SI",'Registre de reserves'!$I$2:$I$1178,'2025'!$A101,'Registre de reserves'!$B$2:$B$1178,'2025'!H$2,Tabla1[ANY],'2025'!$Z$76)</f>
        <v>0</v>
      </c>
      <c r="I101" s="21">
        <f t="shared" si="102"/>
        <v>0</v>
      </c>
      <c r="J101" s="23">
        <f>SUMIFS('Registre de reserves'!$W$2:$W$1178,'Registre de reserves'!$T$2:$T$1178,"SI",'Registre de reserves'!$I$2:$I$1178,'2025'!$A101,'Registre de reserves'!$B$2:$B$1178,'2025'!J$2,Tabla1[ANY],'2025'!$Z$76)</f>
        <v>0</v>
      </c>
      <c r="K101" s="21">
        <f t="shared" si="103"/>
        <v>0</v>
      </c>
      <c r="L101" s="23">
        <f>SUMIFS('Registre de reserves'!$W$2:$W$1178,'Registre de reserves'!$T$2:$T$1178,"SI",'Registre de reserves'!$I$2:$I$1178,'2025'!$A101,'Registre de reserves'!$B$2:$B$1178,'2025'!L$2,Tabla1[ANY],'2025'!$Z$76)</f>
        <v>0</v>
      </c>
      <c r="M101" s="21">
        <f t="shared" si="104"/>
        <v>0</v>
      </c>
      <c r="N101" s="23">
        <f>SUMIFS('Registre de reserves'!$W$2:$W$1178,'Registre de reserves'!$T$2:$T$1178,"SI",'Registre de reserves'!$I$2:$I$1178,'2025'!$A101,'Registre de reserves'!$B$2:$B$1178,'2025'!N$2,Tabla1[ANY],'2025'!$Z$76)</f>
        <v>0</v>
      </c>
      <c r="O101" s="21">
        <f t="shared" si="105"/>
        <v>0</v>
      </c>
      <c r="P101" s="23">
        <f>SUMIFS('Registre de reserves'!$W$2:$W$1178,'Registre de reserves'!$T$2:$T$1178,"SI",'Registre de reserves'!$I$2:$I$1178,'2025'!$A101,'Registre de reserves'!$B$2:$B$1178,'2025'!P$2,Tabla1[ANY],'2025'!$Z$76)</f>
        <v>0</v>
      </c>
      <c r="Q101" s="21">
        <f t="shared" si="106"/>
        <v>0</v>
      </c>
      <c r="R101" s="23">
        <f>SUMIFS('Registre de reserves'!$W$2:$W$1178,'Registre de reserves'!$T$2:$T$1178,"SI",'Registre de reserves'!$I$2:$I$1178,'2025'!$A101,'Registre de reserves'!$B$2:$B$1178,'2025'!R$2,Tabla1[ANY],'2025'!$Z$76)</f>
        <v>0</v>
      </c>
      <c r="S101" s="21">
        <f t="shared" si="107"/>
        <v>0</v>
      </c>
      <c r="T101" s="23">
        <f>SUMIFS('Registre de reserves'!$W$2:$W$1178,'Registre de reserves'!$T$2:$T$1178,"SI",'Registre de reserves'!$I$2:$I$1178,'2025'!$A101,'Registre de reserves'!$B$2:$B$1178,'2025'!T$2,Tabla1[ANY],'2025'!$Z$76)</f>
        <v>0</v>
      </c>
      <c r="U101" s="21">
        <f t="shared" si="108"/>
        <v>0</v>
      </c>
      <c r="V101" s="23">
        <f>SUMIFS('Registre de reserves'!$W$2:$W$1178,'Registre de reserves'!$T$2:$T$1178,"SI",'Registre de reserves'!$I$2:$I$1178,'2025'!$A101,'Registre de reserves'!$B$2:$B$1178,'2025'!V$2,Tabla1[ANY],'2025'!$Z$76)</f>
        <v>0</v>
      </c>
      <c r="W101" s="21">
        <f t="shared" si="109"/>
        <v>0</v>
      </c>
      <c r="X101" s="23">
        <f>SUMIFS('Registre de reserves'!$W$2:$W$1178,'Registre de reserves'!$T$2:$T$1178,"SI",'Registre de reserves'!$I$2:$I$1178,'2025'!$A101,'Registre de reserves'!$B$2:$B$1178,'2025'!X$2,Tabla1[ANY],'2025'!$Z$76)</f>
        <v>0</v>
      </c>
      <c r="Y101" s="21">
        <f t="shared" si="110"/>
        <v>0</v>
      </c>
      <c r="Z101" s="20">
        <f t="shared" si="100"/>
        <v>0</v>
      </c>
      <c r="AA101" s="21">
        <f t="shared" si="111"/>
        <v>0</v>
      </c>
    </row>
    <row r="102" spans="1:27" hidden="1" outlineLevel="1" x14ac:dyDescent="0.2">
      <c r="A102" s="8" t="s">
        <v>69</v>
      </c>
      <c r="B102" s="23">
        <f>SUMIFS('Registre de reserves'!$W$2:$W$1178,'Registre de reserves'!$T$2:$T$1178,"SI",'Registre de reserves'!$I$2:$I$1178,'2025'!$A102,'Registre de reserves'!$B$2:$B$1178,'2025'!B$2,Tabla1[ANY],'2025'!$Z$76)</f>
        <v>120</v>
      </c>
      <c r="C102" s="21">
        <f t="shared" si="112"/>
        <v>1</v>
      </c>
      <c r="D102" s="23">
        <f>SUMIFS('Registre de reserves'!$W$2:$W$1178,'Registre de reserves'!$T$2:$T$1178,"SI",'Registre de reserves'!$I$2:$I$1178,'2025'!$A102,'Registre de reserves'!$B$2:$B$1178,'2025'!D$2,Tabla1[ANY],'2025'!$Z$76)</f>
        <v>60</v>
      </c>
      <c r="E102" s="21">
        <f t="shared" si="112"/>
        <v>1</v>
      </c>
      <c r="F102" s="23">
        <f>SUMIFS('Registre de reserves'!$W$2:$W$1178,'Registre de reserves'!$T$2:$T$1178,"SI",'Registre de reserves'!$I$2:$I$1178,'2025'!$A102,'Registre de reserves'!$B$2:$B$1178,'2025'!F$2,Tabla1[ANY],'2025'!$Z$76)</f>
        <v>0</v>
      </c>
      <c r="G102" s="21">
        <f t="shared" si="101"/>
        <v>0</v>
      </c>
      <c r="H102" s="23">
        <f>SUMIFS('Registre de reserves'!$W$2:$W$1178,'Registre de reserves'!$T$2:$T$1178,"SI",'Registre de reserves'!$I$2:$I$1178,'2025'!$A102,'Registre de reserves'!$B$2:$B$1178,'2025'!H$2,Tabla1[ANY],'2025'!$Z$76)</f>
        <v>0</v>
      </c>
      <c r="I102" s="21">
        <f t="shared" si="102"/>
        <v>0</v>
      </c>
      <c r="J102" s="23">
        <f>SUMIFS('Registre de reserves'!$W$2:$W$1178,'Registre de reserves'!$T$2:$T$1178,"SI",'Registre de reserves'!$I$2:$I$1178,'2025'!$A102,'Registre de reserves'!$B$2:$B$1178,'2025'!J$2,Tabla1[ANY],'2025'!$Z$76)</f>
        <v>0</v>
      </c>
      <c r="K102" s="21">
        <f t="shared" si="103"/>
        <v>0</v>
      </c>
      <c r="L102" s="23">
        <f>SUMIFS('Registre de reserves'!$W$2:$W$1178,'Registre de reserves'!$T$2:$T$1178,"SI",'Registre de reserves'!$I$2:$I$1178,'2025'!$A102,'Registre de reserves'!$B$2:$B$1178,'2025'!L$2,Tabla1[ANY],'2025'!$Z$76)</f>
        <v>0</v>
      </c>
      <c r="M102" s="21">
        <f t="shared" si="104"/>
        <v>0</v>
      </c>
      <c r="N102" s="23">
        <f>SUMIFS('Registre de reserves'!$W$2:$W$1178,'Registre de reserves'!$T$2:$T$1178,"SI",'Registre de reserves'!$I$2:$I$1178,'2025'!$A102,'Registre de reserves'!$B$2:$B$1178,'2025'!N$2,Tabla1[ANY],'2025'!$Z$76)</f>
        <v>0</v>
      </c>
      <c r="O102" s="21">
        <f t="shared" si="105"/>
        <v>0</v>
      </c>
      <c r="P102" s="23">
        <f>SUMIFS('Registre de reserves'!$W$2:$W$1178,'Registre de reserves'!$T$2:$T$1178,"SI",'Registre de reserves'!$I$2:$I$1178,'2025'!$A102,'Registre de reserves'!$B$2:$B$1178,'2025'!P$2,Tabla1[ANY],'2025'!$Z$76)</f>
        <v>0</v>
      </c>
      <c r="Q102" s="21">
        <f t="shared" si="106"/>
        <v>0</v>
      </c>
      <c r="R102" s="23">
        <f>SUMIFS('Registre de reserves'!$W$2:$W$1178,'Registre de reserves'!$T$2:$T$1178,"SI",'Registre de reserves'!$I$2:$I$1178,'2025'!$A102,'Registre de reserves'!$B$2:$B$1178,'2025'!R$2,Tabla1[ANY],'2025'!$Z$76)</f>
        <v>0</v>
      </c>
      <c r="S102" s="21">
        <f t="shared" si="107"/>
        <v>0</v>
      </c>
      <c r="T102" s="23">
        <f>SUMIFS('Registre de reserves'!$W$2:$W$1178,'Registre de reserves'!$T$2:$T$1178,"SI",'Registre de reserves'!$I$2:$I$1178,'2025'!$A102,'Registre de reserves'!$B$2:$B$1178,'2025'!T$2,Tabla1[ANY],'2025'!$Z$76)</f>
        <v>0</v>
      </c>
      <c r="U102" s="21">
        <f t="shared" si="108"/>
        <v>0</v>
      </c>
      <c r="V102" s="23">
        <f>SUMIFS('Registre de reserves'!$W$2:$W$1178,'Registre de reserves'!$T$2:$T$1178,"SI",'Registre de reserves'!$I$2:$I$1178,'2025'!$A102,'Registre de reserves'!$B$2:$B$1178,'2025'!V$2,Tabla1[ANY],'2025'!$Z$76)</f>
        <v>0</v>
      </c>
      <c r="W102" s="21">
        <f t="shared" si="109"/>
        <v>0</v>
      </c>
      <c r="X102" s="23">
        <f>SUMIFS('Registre de reserves'!$W$2:$W$1178,'Registre de reserves'!$T$2:$T$1178,"SI",'Registre de reserves'!$I$2:$I$1178,'2025'!$A102,'Registre de reserves'!$B$2:$B$1178,'2025'!X$2,Tabla1[ANY],'2025'!$Z$76)</f>
        <v>0</v>
      </c>
      <c r="Y102" s="21">
        <f t="shared" si="110"/>
        <v>0</v>
      </c>
      <c r="Z102" s="20">
        <f t="shared" si="100"/>
        <v>180</v>
      </c>
      <c r="AA102" s="21">
        <f t="shared" si="111"/>
        <v>1</v>
      </c>
    </row>
    <row r="103" spans="1:27" hidden="1" outlineLevel="1" x14ac:dyDescent="0.2">
      <c r="A103" s="8" t="s">
        <v>70</v>
      </c>
      <c r="B103" s="23">
        <f>SUMIFS('Registre de reserves'!$W$2:$W$1178,'Registre de reserves'!$T$2:$T$1178,"SI",'Registre de reserves'!$I$2:$I$1178,'2025'!$A103,'Registre de reserves'!$B$2:$B$1178,'2025'!B$2,Tabla1[ANY],'2025'!$Z$76)</f>
        <v>0</v>
      </c>
      <c r="C103" s="21">
        <f t="shared" si="112"/>
        <v>0</v>
      </c>
      <c r="D103" s="23">
        <f>SUMIFS('Registre de reserves'!$W$2:$W$1178,'Registre de reserves'!$T$2:$T$1178,"SI",'Registre de reserves'!$I$2:$I$1178,'2025'!$A103,'Registre de reserves'!$B$2:$B$1178,'2025'!D$2,Tabla1[ANY],'2025'!$Z$76)</f>
        <v>0</v>
      </c>
      <c r="E103" s="21">
        <f t="shared" si="112"/>
        <v>0</v>
      </c>
      <c r="F103" s="23">
        <f>SUMIFS('Registre de reserves'!$W$2:$W$1178,'Registre de reserves'!$T$2:$T$1178,"SI",'Registre de reserves'!$I$2:$I$1178,'2025'!$A103,'Registre de reserves'!$B$2:$B$1178,'2025'!F$2,Tabla1[ANY],'2025'!$Z$76)</f>
        <v>0</v>
      </c>
      <c r="G103" s="21">
        <f t="shared" si="101"/>
        <v>0</v>
      </c>
      <c r="H103" s="23">
        <f>SUMIFS('Registre de reserves'!$W$2:$W$1178,'Registre de reserves'!$T$2:$T$1178,"SI",'Registre de reserves'!$I$2:$I$1178,'2025'!$A103,'Registre de reserves'!$B$2:$B$1178,'2025'!H$2,Tabla1[ANY],'2025'!$Z$76)</f>
        <v>0</v>
      </c>
      <c r="I103" s="21">
        <f t="shared" si="102"/>
        <v>0</v>
      </c>
      <c r="J103" s="23">
        <f>SUMIFS('Registre de reserves'!$W$2:$W$1178,'Registre de reserves'!$T$2:$T$1178,"SI",'Registre de reserves'!$I$2:$I$1178,'2025'!$A103,'Registre de reserves'!$B$2:$B$1178,'2025'!J$2,Tabla1[ANY],'2025'!$Z$76)</f>
        <v>0</v>
      </c>
      <c r="K103" s="21">
        <f t="shared" si="103"/>
        <v>0</v>
      </c>
      <c r="L103" s="23">
        <f>SUMIFS('Registre de reserves'!$W$2:$W$1178,'Registre de reserves'!$T$2:$T$1178,"SI",'Registre de reserves'!$I$2:$I$1178,'2025'!$A103,'Registre de reserves'!$B$2:$B$1178,'2025'!L$2,Tabla1[ANY],'2025'!$Z$76)</f>
        <v>0</v>
      </c>
      <c r="M103" s="21">
        <f t="shared" si="104"/>
        <v>0</v>
      </c>
      <c r="N103" s="23">
        <f>SUMIFS('Registre de reserves'!$W$2:$W$1178,'Registre de reserves'!$T$2:$T$1178,"SI",'Registre de reserves'!$I$2:$I$1178,'2025'!$A103,'Registre de reserves'!$B$2:$B$1178,'2025'!N$2,Tabla1[ANY],'2025'!$Z$76)</f>
        <v>0</v>
      </c>
      <c r="O103" s="21">
        <f t="shared" si="105"/>
        <v>0</v>
      </c>
      <c r="P103" s="23">
        <f>SUMIFS('Registre de reserves'!$W$2:$W$1178,'Registre de reserves'!$T$2:$T$1178,"SI",'Registre de reserves'!$I$2:$I$1178,'2025'!$A103,'Registre de reserves'!$B$2:$B$1178,'2025'!P$2,Tabla1[ANY],'2025'!$Z$76)</f>
        <v>0</v>
      </c>
      <c r="Q103" s="21">
        <f t="shared" si="106"/>
        <v>0</v>
      </c>
      <c r="R103" s="23">
        <f>SUMIFS('Registre de reserves'!$W$2:$W$1178,'Registre de reserves'!$T$2:$T$1178,"SI",'Registre de reserves'!$I$2:$I$1178,'2025'!$A103,'Registre de reserves'!$B$2:$B$1178,'2025'!R$2,Tabla1[ANY],'2025'!$Z$76)</f>
        <v>0</v>
      </c>
      <c r="S103" s="21">
        <f t="shared" si="107"/>
        <v>0</v>
      </c>
      <c r="T103" s="23">
        <f>SUMIFS('Registre de reserves'!$W$2:$W$1178,'Registre de reserves'!$T$2:$T$1178,"SI",'Registre de reserves'!$I$2:$I$1178,'2025'!$A103,'Registre de reserves'!$B$2:$B$1178,'2025'!T$2,Tabla1[ANY],'2025'!$Z$76)</f>
        <v>0</v>
      </c>
      <c r="U103" s="21">
        <f t="shared" si="108"/>
        <v>0</v>
      </c>
      <c r="V103" s="23">
        <f>SUMIFS('Registre de reserves'!$W$2:$W$1178,'Registre de reserves'!$T$2:$T$1178,"SI",'Registre de reserves'!$I$2:$I$1178,'2025'!$A103,'Registre de reserves'!$B$2:$B$1178,'2025'!V$2,Tabla1[ANY],'2025'!$Z$76)</f>
        <v>0</v>
      </c>
      <c r="W103" s="21">
        <f t="shared" si="109"/>
        <v>0</v>
      </c>
      <c r="X103" s="23">
        <f>SUMIFS('Registre de reserves'!$W$2:$W$1178,'Registre de reserves'!$T$2:$T$1178,"SI",'Registre de reserves'!$I$2:$I$1178,'2025'!$A103,'Registre de reserves'!$B$2:$B$1178,'2025'!X$2,Tabla1[ANY],'2025'!$Z$76)</f>
        <v>0</v>
      </c>
      <c r="Y103" s="21">
        <f t="shared" si="110"/>
        <v>0</v>
      </c>
      <c r="Z103" s="20">
        <f t="shared" si="100"/>
        <v>0</v>
      </c>
      <c r="AA103" s="21">
        <f t="shared" si="111"/>
        <v>0</v>
      </c>
    </row>
    <row r="104" spans="1:27" hidden="1" outlineLevel="1" x14ac:dyDescent="0.2">
      <c r="A104" s="8" t="s">
        <v>73</v>
      </c>
      <c r="B104" s="23">
        <f>SUMIFS('Registre de reserves'!$W$2:$W$1178,'Registre de reserves'!$T$2:$T$1178,"SI",'Registre de reserves'!$I$2:$I$1178,'2025'!$A104,'Registre de reserves'!$B$2:$B$1178,'2025'!B$2,Tabla1[ANY],'2025'!$Z$76)</f>
        <v>0</v>
      </c>
      <c r="C104" s="21">
        <f t="shared" si="112"/>
        <v>0</v>
      </c>
      <c r="D104" s="23">
        <f>SUMIFS('Registre de reserves'!$W$2:$W$1178,'Registre de reserves'!$T$2:$T$1178,"SI",'Registre de reserves'!$I$2:$I$1178,'2025'!$A104,'Registre de reserves'!$B$2:$B$1178,'2025'!D$2,Tabla1[ANY],'2025'!$Z$76)</f>
        <v>0</v>
      </c>
      <c r="E104" s="21">
        <f t="shared" si="112"/>
        <v>0</v>
      </c>
      <c r="F104" s="23">
        <f>SUMIFS('Registre de reserves'!$W$2:$W$1178,'Registre de reserves'!$T$2:$T$1178,"SI",'Registre de reserves'!$I$2:$I$1178,'2025'!$A104,'Registre de reserves'!$B$2:$B$1178,'2025'!F$2,Tabla1[ANY],'2025'!$Z$76)</f>
        <v>0</v>
      </c>
      <c r="G104" s="21">
        <f t="shared" si="101"/>
        <v>0</v>
      </c>
      <c r="H104" s="23">
        <f>SUMIFS('Registre de reserves'!$W$2:$W$1178,'Registre de reserves'!$T$2:$T$1178,"SI",'Registre de reserves'!$I$2:$I$1178,'2025'!$A104,'Registre de reserves'!$B$2:$B$1178,'2025'!H$2,Tabla1[ANY],'2025'!$Z$76)</f>
        <v>0</v>
      </c>
      <c r="I104" s="21">
        <f t="shared" si="102"/>
        <v>0</v>
      </c>
      <c r="J104" s="23">
        <f>SUMIFS('Registre de reserves'!$W$2:$W$1178,'Registre de reserves'!$T$2:$T$1178,"SI",'Registre de reserves'!$I$2:$I$1178,'2025'!$A104,'Registre de reserves'!$B$2:$B$1178,'2025'!J$2,Tabla1[ANY],'2025'!$Z$76)</f>
        <v>0</v>
      </c>
      <c r="K104" s="21">
        <f t="shared" si="103"/>
        <v>0</v>
      </c>
      <c r="L104" s="23">
        <f>SUMIFS('Registre de reserves'!$W$2:$W$1178,'Registre de reserves'!$T$2:$T$1178,"SI",'Registre de reserves'!$I$2:$I$1178,'2025'!$A104,'Registre de reserves'!$B$2:$B$1178,'2025'!L$2,Tabla1[ANY],'2025'!$Z$76)</f>
        <v>0</v>
      </c>
      <c r="M104" s="21">
        <f t="shared" si="104"/>
        <v>0</v>
      </c>
      <c r="N104" s="23">
        <f>SUMIFS('Registre de reserves'!$W$2:$W$1178,'Registre de reserves'!$T$2:$T$1178,"SI",'Registre de reserves'!$I$2:$I$1178,'2025'!$A104,'Registre de reserves'!$B$2:$B$1178,'2025'!N$2,Tabla1[ANY],'2025'!$Z$76)</f>
        <v>0</v>
      </c>
      <c r="O104" s="21">
        <f t="shared" si="105"/>
        <v>0</v>
      </c>
      <c r="P104" s="23">
        <f>SUMIFS('Registre de reserves'!$W$2:$W$1178,'Registre de reserves'!$T$2:$T$1178,"SI",'Registre de reserves'!$I$2:$I$1178,'2025'!$A104,'Registre de reserves'!$B$2:$B$1178,'2025'!P$2,Tabla1[ANY],'2025'!$Z$76)</f>
        <v>0</v>
      </c>
      <c r="Q104" s="21">
        <f t="shared" si="106"/>
        <v>0</v>
      </c>
      <c r="R104" s="23">
        <f>SUMIFS('Registre de reserves'!$W$2:$W$1178,'Registre de reserves'!$T$2:$T$1178,"SI",'Registre de reserves'!$I$2:$I$1178,'2025'!$A104,'Registre de reserves'!$B$2:$B$1178,'2025'!R$2,Tabla1[ANY],'2025'!$Z$76)</f>
        <v>0</v>
      </c>
      <c r="S104" s="21">
        <f t="shared" si="107"/>
        <v>0</v>
      </c>
      <c r="T104" s="23">
        <f>SUMIFS('Registre de reserves'!$W$2:$W$1178,'Registre de reserves'!$T$2:$T$1178,"SI",'Registre de reserves'!$I$2:$I$1178,'2025'!$A104,'Registre de reserves'!$B$2:$B$1178,'2025'!T$2,Tabla1[ANY],'2025'!$Z$76)</f>
        <v>0</v>
      </c>
      <c r="U104" s="21">
        <f t="shared" si="108"/>
        <v>0</v>
      </c>
      <c r="V104" s="23">
        <f>SUMIFS('Registre de reserves'!$W$2:$W$1178,'Registre de reserves'!$T$2:$T$1178,"SI",'Registre de reserves'!$I$2:$I$1178,'2025'!$A104,'Registre de reserves'!$B$2:$B$1178,'2025'!V$2,Tabla1[ANY],'2025'!$Z$76)</f>
        <v>0</v>
      </c>
      <c r="W104" s="21">
        <f t="shared" si="109"/>
        <v>0</v>
      </c>
      <c r="X104" s="23">
        <f>SUMIFS('Registre de reserves'!$W$2:$W$1178,'Registre de reserves'!$T$2:$T$1178,"SI",'Registre de reserves'!$I$2:$I$1178,'2025'!$A104,'Registre de reserves'!$B$2:$B$1178,'2025'!X$2,Tabla1[ANY],'2025'!$Z$76)</f>
        <v>0</v>
      </c>
      <c r="Y104" s="21">
        <f t="shared" si="110"/>
        <v>0</v>
      </c>
      <c r="Z104" s="20">
        <f t="shared" si="100"/>
        <v>0</v>
      </c>
      <c r="AA104" s="21">
        <f t="shared" si="111"/>
        <v>0</v>
      </c>
    </row>
    <row r="105" spans="1:27" collapsed="1" x14ac:dyDescent="0.2">
      <c r="A105" s="33" t="s">
        <v>77</v>
      </c>
      <c r="B105" s="22">
        <f>SUM(B106:B113)</f>
        <v>0</v>
      </c>
      <c r="C105" s="19">
        <f>IF((B$87+B$105)=0,0,B105/(B$87+B$105))</f>
        <v>0</v>
      </c>
      <c r="D105" s="22">
        <f>SUM(D106:D113)</f>
        <v>0</v>
      </c>
      <c r="E105" s="19">
        <f>IF((D$87+D$105)=0,0,D105/(D$87+D$105))</f>
        <v>0</v>
      </c>
      <c r="F105" s="22">
        <f>SUM(F106:F113)</f>
        <v>0</v>
      </c>
      <c r="G105" s="19">
        <f>IF((F$87+F$105)=0,0,F105/(F$87+F$105))</f>
        <v>0</v>
      </c>
      <c r="H105" s="22">
        <f>SUM(H106:H113)</f>
        <v>0</v>
      </c>
      <c r="I105" s="19">
        <f>IF((H$87+H$105)=0,0,H105/(H$87+H$105))</f>
        <v>0</v>
      </c>
      <c r="J105" s="22">
        <f>SUM(J106:J113)</f>
        <v>0</v>
      </c>
      <c r="K105" s="19">
        <f>IF((J$87+J$105)=0,0,J105/(J$87+J$105))</f>
        <v>0</v>
      </c>
      <c r="L105" s="22">
        <f>SUM(L106:L113)</f>
        <v>0</v>
      </c>
      <c r="M105" s="19">
        <f>IF((L$87+L$105)=0,0,L105/(L$87+L$105))</f>
        <v>0</v>
      </c>
      <c r="N105" s="22">
        <f>SUM(N106:N113)</f>
        <v>0</v>
      </c>
      <c r="O105" s="19">
        <f>IF((N$87+N$105)=0,0,N105/(N$87+N$105))</f>
        <v>0</v>
      </c>
      <c r="P105" s="22">
        <f>SUM(P106:P113)</f>
        <v>0</v>
      </c>
      <c r="Q105" s="19">
        <f>IF((P$87+P$105)=0,0,P105/(P$87+P$105))</f>
        <v>0</v>
      </c>
      <c r="R105" s="22">
        <f>SUM(R106:R113)</f>
        <v>0</v>
      </c>
      <c r="S105" s="19">
        <f>IF((R$87+R$105)=0,0,R105/(R$87+R$105))</f>
        <v>0</v>
      </c>
      <c r="T105" s="22">
        <f>SUM(T106:T113)</f>
        <v>0</v>
      </c>
      <c r="U105" s="19">
        <f>IF((T$87+T$105)=0,0,T105/(T$87+T$105))</f>
        <v>0</v>
      </c>
      <c r="V105" s="22">
        <f>SUM(V106:V113)</f>
        <v>0</v>
      </c>
      <c r="W105" s="19">
        <f>IF((V$87+V$105)=0,0,V105/(V$87+V$105))</f>
        <v>0</v>
      </c>
      <c r="X105" s="22">
        <f>SUM(X106:X113)</f>
        <v>0</v>
      </c>
      <c r="Y105" s="19">
        <f>IF((X$87+X$105)=0,0,X105/(X$87+X$105))</f>
        <v>0</v>
      </c>
      <c r="Z105" s="22">
        <f>SUM(Z106:Z113)</f>
        <v>0</v>
      </c>
      <c r="AA105" s="19">
        <f>IF((Z$87+Z$105)=0,0,Z105/(Z$87+Z$105))</f>
        <v>0</v>
      </c>
    </row>
    <row r="106" spans="1:27" hidden="1" outlineLevel="1" x14ac:dyDescent="0.2">
      <c r="A106" s="8" t="s">
        <v>67</v>
      </c>
      <c r="B106" s="23">
        <f>SUMIFS('Registre de reserves'!$W$2:$W$1178,'Registre de reserves'!$T$2:$T$1178,"NO",'Registre de reserves'!$I$2:$I$1178,'2025'!$A106,'Registre de reserves'!$B$2:$B$1178,'2025'!B$2,Tabla1[ANY],'2025'!$Z$76)</f>
        <v>0</v>
      </c>
      <c r="C106" s="21">
        <f>IF(B$105=0,0,B106/B$105)</f>
        <v>0</v>
      </c>
      <c r="D106" s="23">
        <f>SUMIFS('Registre de reserves'!$W$2:$W$1178,'Registre de reserves'!$T$2:$T$1178,"NO",'Registre de reserves'!$I$2:$I$1178,'2025'!$A106,'Registre de reserves'!$B$2:$B$1178,'2025'!D$2,Tabla1[ANY],'2025'!$Z$76)</f>
        <v>0</v>
      </c>
      <c r="E106" s="21">
        <f>IF(D$105=0,0,D106/D$105)</f>
        <v>0</v>
      </c>
      <c r="F106" s="23">
        <f>SUMIFS('Registre de reserves'!$W$2:$W$1178,'Registre de reserves'!$T$2:$T$1178,"NO",'Registre de reserves'!$I$2:$I$1178,'2025'!$A106,'Registre de reserves'!$B$2:$B$1178,'2025'!F$2,Tabla1[ANY],'2025'!$Z$76)</f>
        <v>0</v>
      </c>
      <c r="G106" s="21">
        <f t="shared" ref="G106:G113" si="113">IF(F$105=0,0,F106/F$105)</f>
        <v>0</v>
      </c>
      <c r="H106" s="23">
        <f>SUMIFS('Registre de reserves'!$W$2:$W$1178,'Registre de reserves'!$T$2:$T$1178,"NO",'Registre de reserves'!$I$2:$I$1178,'2025'!$A106,'Registre de reserves'!$B$2:$B$1178,'2025'!H$2,Tabla1[ANY],'2025'!$Z$76)</f>
        <v>0</v>
      </c>
      <c r="I106" s="21">
        <f t="shared" ref="I106:I113" si="114">IF(H$105=0,0,H106/H$105)</f>
        <v>0</v>
      </c>
      <c r="J106" s="23">
        <f>SUMIFS('Registre de reserves'!$W$2:$W$1178,'Registre de reserves'!$T$2:$T$1178,"NO",'Registre de reserves'!$I$2:$I$1178,'2025'!$A106,'Registre de reserves'!$B$2:$B$1178,'2025'!J$2,Tabla1[ANY],'2025'!$Z$76)</f>
        <v>0</v>
      </c>
      <c r="K106" s="21">
        <f t="shared" ref="K106:K113" si="115">IF(J$105=0,0,J106/J$105)</f>
        <v>0</v>
      </c>
      <c r="L106" s="23">
        <f>SUMIFS('Registre de reserves'!$W$2:$W$1178,'Registre de reserves'!$T$2:$T$1178,"NO",'Registre de reserves'!$I$2:$I$1178,'2025'!$A106,'Registre de reserves'!$B$2:$B$1178,'2025'!L$2,Tabla1[ANY],'2025'!$Z$76)</f>
        <v>0</v>
      </c>
      <c r="M106" s="21">
        <f t="shared" ref="M106:M113" si="116">IF(L$105=0,0,L106/L$105)</f>
        <v>0</v>
      </c>
      <c r="N106" s="23">
        <f>SUMIFS('Registre de reserves'!$W$2:$W$1178,'Registre de reserves'!$T$2:$T$1178,"NO",'Registre de reserves'!$I$2:$I$1178,'2025'!$A106,'Registre de reserves'!$B$2:$B$1178,'2025'!N$2,Tabla1[ANY],'2025'!$Z$76)</f>
        <v>0</v>
      </c>
      <c r="O106" s="21">
        <f t="shared" ref="O106:O113" si="117">IF(N$105=0,0,N106/N$105)</f>
        <v>0</v>
      </c>
      <c r="P106" s="23">
        <f>SUMIFS('Registre de reserves'!$W$2:$W$1178,'Registre de reserves'!$T$2:$T$1178,"NO",'Registre de reserves'!$I$2:$I$1178,'2025'!$A106,'Registre de reserves'!$B$2:$B$1178,'2025'!P$2,Tabla1[ANY],'2025'!$Z$76)</f>
        <v>0</v>
      </c>
      <c r="Q106" s="21">
        <f t="shared" ref="Q106:Q113" si="118">IF(P$105=0,0,P106/P$105)</f>
        <v>0</v>
      </c>
      <c r="R106" s="23">
        <f>SUMIFS('Registre de reserves'!$W$2:$W$1178,'Registre de reserves'!$T$2:$T$1178,"NO",'Registre de reserves'!$I$2:$I$1178,'2025'!$A106,'Registre de reserves'!$B$2:$B$1178,'2025'!R$2,Tabla1[ANY],'2025'!$Z$76)</f>
        <v>0</v>
      </c>
      <c r="S106" s="21">
        <f t="shared" ref="S106:S113" si="119">IF(R$105=0,0,R106/R$105)</f>
        <v>0</v>
      </c>
      <c r="T106" s="23">
        <f>SUMIFS('Registre de reserves'!$W$2:$W$1178,'Registre de reserves'!$T$2:$T$1178,"NO",'Registre de reserves'!$I$2:$I$1178,'2025'!$A106,'Registre de reserves'!$B$2:$B$1178,'2025'!T$2,Tabla1[ANY],'2025'!$Z$76)</f>
        <v>0</v>
      </c>
      <c r="U106" s="21">
        <f t="shared" ref="U106:U113" si="120">IF(T$105=0,0,T106/T$105)</f>
        <v>0</v>
      </c>
      <c r="V106" s="23">
        <f>SUMIFS('Registre de reserves'!$W$2:$W$1178,'Registre de reserves'!$T$2:$T$1178,"NO",'Registre de reserves'!$I$2:$I$1178,'2025'!$A106,'Registre de reserves'!$B$2:$B$1178,'2025'!V$2,Tabla1[ANY],'2025'!$Z$76)</f>
        <v>0</v>
      </c>
      <c r="W106" s="21">
        <f t="shared" ref="W106:W113" si="121">IF(V$105=0,0,V106/V$105)</f>
        <v>0</v>
      </c>
      <c r="X106" s="23">
        <f>SUMIFS('Registre de reserves'!$W$2:$W$1178,'Registre de reserves'!$T$2:$T$1178,"NO",'Registre de reserves'!$I$2:$I$1178,'2025'!$A106,'Registre de reserves'!$B$2:$B$1178,'2025'!X$2,Tabla1[ANY],'2025'!$Z$76)</f>
        <v>0</v>
      </c>
      <c r="Y106" s="21">
        <f t="shared" ref="Y106:Y113" si="122">IF(X$105=0,0,X106/X$105)</f>
        <v>0</v>
      </c>
      <c r="Z106" s="20">
        <f t="shared" si="100"/>
        <v>0</v>
      </c>
      <c r="AA106" s="21">
        <f>IF(Z$105=0,0,Z106/Z$105)</f>
        <v>0</v>
      </c>
    </row>
    <row r="107" spans="1:27" hidden="1" outlineLevel="1" x14ac:dyDescent="0.2">
      <c r="A107" s="8" t="s">
        <v>68</v>
      </c>
      <c r="B107" s="23">
        <f>SUMIFS('Registre de reserves'!$W$2:$W$1178,'Registre de reserves'!$T$2:$T$1178,"NO",'Registre de reserves'!$I$2:$I$1178,'2025'!$A107,'Registre de reserves'!$B$2:$B$1178,'2025'!B$2,Tabla1[ANY],'2025'!$Z$76)</f>
        <v>0</v>
      </c>
      <c r="C107" s="21">
        <f t="shared" ref="C107:E113" si="123">IF(B$105=0,0,B107/B$105)</f>
        <v>0</v>
      </c>
      <c r="D107" s="23">
        <f>SUMIFS('Registre de reserves'!$W$2:$W$1178,'Registre de reserves'!$T$2:$T$1178,"NO",'Registre de reserves'!$I$2:$I$1178,'2025'!$A107,'Registre de reserves'!$B$2:$B$1178,'2025'!D$2,Tabla1[ANY],'2025'!$Z$76)</f>
        <v>0</v>
      </c>
      <c r="E107" s="21">
        <f>IF(D$105=0,0,D107/D$105)</f>
        <v>0</v>
      </c>
      <c r="F107" s="23">
        <f>SUMIFS('Registre de reserves'!$W$2:$W$1178,'Registre de reserves'!$T$2:$T$1178,"NO",'Registre de reserves'!$I$2:$I$1178,'2025'!$A107,'Registre de reserves'!$B$2:$B$1178,'2025'!F$2,Tabla1[ANY],'2025'!$Z$76)</f>
        <v>0</v>
      </c>
      <c r="G107" s="21">
        <f t="shared" si="113"/>
        <v>0</v>
      </c>
      <c r="H107" s="23">
        <f>SUMIFS('Registre de reserves'!$W$2:$W$1178,'Registre de reserves'!$T$2:$T$1178,"NO",'Registre de reserves'!$I$2:$I$1178,'2025'!$A107,'Registre de reserves'!$B$2:$B$1178,'2025'!H$2,Tabla1[ANY],'2025'!$Z$76)</f>
        <v>0</v>
      </c>
      <c r="I107" s="21">
        <f t="shared" si="114"/>
        <v>0</v>
      </c>
      <c r="J107" s="23">
        <f>SUMIFS('Registre de reserves'!$W$2:$W$1178,'Registre de reserves'!$T$2:$T$1178,"NO",'Registre de reserves'!$I$2:$I$1178,'2025'!$A107,'Registre de reserves'!$B$2:$B$1178,'2025'!J$2,Tabla1[ANY],'2025'!$Z$76)</f>
        <v>0</v>
      </c>
      <c r="K107" s="21">
        <f t="shared" si="115"/>
        <v>0</v>
      </c>
      <c r="L107" s="23">
        <f>SUMIFS('Registre de reserves'!$W$2:$W$1178,'Registre de reserves'!$T$2:$T$1178,"NO",'Registre de reserves'!$I$2:$I$1178,'2025'!$A107,'Registre de reserves'!$B$2:$B$1178,'2025'!L$2,Tabla1[ANY],'2025'!$Z$76)</f>
        <v>0</v>
      </c>
      <c r="M107" s="21">
        <f t="shared" si="116"/>
        <v>0</v>
      </c>
      <c r="N107" s="23">
        <f>SUMIFS('Registre de reserves'!$W$2:$W$1178,'Registre de reserves'!$T$2:$T$1178,"NO",'Registre de reserves'!$I$2:$I$1178,'2025'!$A107,'Registre de reserves'!$B$2:$B$1178,'2025'!N$2,Tabla1[ANY],'2025'!$Z$76)</f>
        <v>0</v>
      </c>
      <c r="O107" s="21">
        <f t="shared" si="117"/>
        <v>0</v>
      </c>
      <c r="P107" s="23">
        <f>SUMIFS('Registre de reserves'!$W$2:$W$1178,'Registre de reserves'!$T$2:$T$1178,"NO",'Registre de reserves'!$I$2:$I$1178,'2025'!$A107,'Registre de reserves'!$B$2:$B$1178,'2025'!P$2,Tabla1[ANY],'2025'!$Z$76)</f>
        <v>0</v>
      </c>
      <c r="Q107" s="21">
        <f t="shared" si="118"/>
        <v>0</v>
      </c>
      <c r="R107" s="23">
        <f>SUMIFS('Registre de reserves'!$W$2:$W$1178,'Registre de reserves'!$T$2:$T$1178,"NO",'Registre de reserves'!$I$2:$I$1178,'2025'!$A107,'Registre de reserves'!$B$2:$B$1178,'2025'!R$2,Tabla1[ANY],'2025'!$Z$76)</f>
        <v>0</v>
      </c>
      <c r="S107" s="21">
        <f t="shared" si="119"/>
        <v>0</v>
      </c>
      <c r="T107" s="23">
        <f>SUMIFS('Registre de reserves'!$W$2:$W$1178,'Registre de reserves'!$T$2:$T$1178,"NO",'Registre de reserves'!$I$2:$I$1178,'2025'!$A107,'Registre de reserves'!$B$2:$B$1178,'2025'!T$2,Tabla1[ANY],'2025'!$Z$76)</f>
        <v>0</v>
      </c>
      <c r="U107" s="21">
        <f t="shared" si="120"/>
        <v>0</v>
      </c>
      <c r="V107" s="23">
        <f>SUMIFS('Registre de reserves'!$W$2:$W$1178,'Registre de reserves'!$T$2:$T$1178,"NO",'Registre de reserves'!$I$2:$I$1178,'2025'!$A107,'Registre de reserves'!$B$2:$B$1178,'2025'!V$2,Tabla1[ANY],'2025'!$Z$76)</f>
        <v>0</v>
      </c>
      <c r="W107" s="21">
        <f t="shared" si="121"/>
        <v>0</v>
      </c>
      <c r="X107" s="23">
        <f>SUMIFS('Registre de reserves'!$W$2:$W$1178,'Registre de reserves'!$T$2:$T$1178,"NO",'Registre de reserves'!$I$2:$I$1178,'2025'!$A107,'Registre de reserves'!$B$2:$B$1178,'2025'!X$2,Tabla1[ANY],'2025'!$Z$76)</f>
        <v>0</v>
      </c>
      <c r="Y107" s="21">
        <f t="shared" si="122"/>
        <v>0</v>
      </c>
      <c r="Z107" s="20">
        <f t="shared" si="100"/>
        <v>0</v>
      </c>
      <c r="AA107" s="21">
        <f>IF(Z$105=0,0,Z107/Z$105)</f>
        <v>0</v>
      </c>
    </row>
    <row r="108" spans="1:27" hidden="1" outlineLevel="1" x14ac:dyDescent="0.2">
      <c r="A108" s="8" t="s">
        <v>4</v>
      </c>
      <c r="B108" s="23">
        <f>SUMIFS('Registre de reserves'!$W$2:$W$1178,'Registre de reserves'!$T$2:$T$1178,"NO",'Registre de reserves'!$I$2:$I$1178,'2025'!$A108,'Registre de reserves'!$B$2:$B$1178,'2025'!B$2,Tabla1[ANY],'2025'!$Z$76)</f>
        <v>0</v>
      </c>
      <c r="C108" s="21">
        <f t="shared" si="123"/>
        <v>0</v>
      </c>
      <c r="D108" s="23">
        <f>SUMIFS('Registre de reserves'!$W$2:$W$1178,'Registre de reserves'!$T$2:$T$1178,"NO",'Registre de reserves'!$I$2:$I$1178,'2025'!$A108,'Registre de reserves'!$B$2:$B$1178,'2025'!D$2,Tabla1[ANY],'2025'!$Z$76)</f>
        <v>0</v>
      </c>
      <c r="E108" s="21">
        <f t="shared" si="123"/>
        <v>0</v>
      </c>
      <c r="F108" s="23">
        <f>SUMIFS('Registre de reserves'!$W$2:$W$1178,'Registre de reserves'!$T$2:$T$1178,"NO",'Registre de reserves'!$I$2:$I$1178,'2025'!$A108,'Registre de reserves'!$B$2:$B$1178,'2025'!F$2,Tabla1[ANY],'2025'!$Z$76)</f>
        <v>0</v>
      </c>
      <c r="G108" s="21">
        <f t="shared" si="113"/>
        <v>0</v>
      </c>
      <c r="H108" s="23">
        <f>SUMIFS('Registre de reserves'!$W$2:$W$1178,'Registre de reserves'!$T$2:$T$1178,"NO",'Registre de reserves'!$I$2:$I$1178,'2025'!$A108,'Registre de reserves'!$B$2:$B$1178,'2025'!H$2,Tabla1[ANY],'2025'!$Z$76)</f>
        <v>0</v>
      </c>
      <c r="I108" s="21">
        <f t="shared" si="114"/>
        <v>0</v>
      </c>
      <c r="J108" s="23">
        <f>SUMIFS('Registre de reserves'!$W$2:$W$1178,'Registre de reserves'!$T$2:$T$1178,"NO",'Registre de reserves'!$I$2:$I$1178,'2025'!$A108,'Registre de reserves'!$B$2:$B$1178,'2025'!J$2,Tabla1[ANY],'2025'!$Z$76)</f>
        <v>0</v>
      </c>
      <c r="K108" s="21">
        <f t="shared" si="115"/>
        <v>0</v>
      </c>
      <c r="L108" s="23">
        <f>SUMIFS('Registre de reserves'!$W$2:$W$1178,'Registre de reserves'!$T$2:$T$1178,"NO",'Registre de reserves'!$I$2:$I$1178,'2025'!$A108,'Registre de reserves'!$B$2:$B$1178,'2025'!L$2,Tabla1[ANY],'2025'!$Z$76)</f>
        <v>0</v>
      </c>
      <c r="M108" s="21">
        <f t="shared" si="116"/>
        <v>0</v>
      </c>
      <c r="N108" s="23">
        <f>SUMIFS('Registre de reserves'!$W$2:$W$1178,'Registre de reserves'!$T$2:$T$1178,"NO",'Registre de reserves'!$I$2:$I$1178,'2025'!$A108,'Registre de reserves'!$B$2:$B$1178,'2025'!N$2,Tabla1[ANY],'2025'!$Z$76)</f>
        <v>0</v>
      </c>
      <c r="O108" s="21">
        <f t="shared" si="117"/>
        <v>0</v>
      </c>
      <c r="P108" s="23">
        <f>SUMIFS('Registre de reserves'!$W$2:$W$1178,'Registre de reserves'!$T$2:$T$1178,"NO",'Registre de reserves'!$I$2:$I$1178,'2025'!$A108,'Registre de reserves'!$B$2:$B$1178,'2025'!P$2,Tabla1[ANY],'2025'!$Z$76)</f>
        <v>0</v>
      </c>
      <c r="Q108" s="21">
        <f t="shared" si="118"/>
        <v>0</v>
      </c>
      <c r="R108" s="23">
        <f>SUMIFS('Registre de reserves'!$W$2:$W$1178,'Registre de reserves'!$T$2:$T$1178,"NO",'Registre de reserves'!$I$2:$I$1178,'2025'!$A108,'Registre de reserves'!$B$2:$B$1178,'2025'!R$2,Tabla1[ANY],'2025'!$Z$76)</f>
        <v>0</v>
      </c>
      <c r="S108" s="21">
        <f t="shared" si="119"/>
        <v>0</v>
      </c>
      <c r="T108" s="23">
        <f>SUMIFS('Registre de reserves'!$W$2:$W$1178,'Registre de reserves'!$T$2:$T$1178,"NO",'Registre de reserves'!$I$2:$I$1178,'2025'!$A108,'Registre de reserves'!$B$2:$B$1178,'2025'!T$2,Tabla1[ANY],'2025'!$Z$76)</f>
        <v>0</v>
      </c>
      <c r="U108" s="21">
        <f t="shared" si="120"/>
        <v>0</v>
      </c>
      <c r="V108" s="23">
        <f>SUMIFS('Registre de reserves'!$W$2:$W$1178,'Registre de reserves'!$T$2:$T$1178,"NO",'Registre de reserves'!$I$2:$I$1178,'2025'!$A108,'Registre de reserves'!$B$2:$B$1178,'2025'!V$2,Tabla1[ANY],'2025'!$Z$76)</f>
        <v>0</v>
      </c>
      <c r="W108" s="21">
        <f t="shared" si="121"/>
        <v>0</v>
      </c>
      <c r="X108" s="23">
        <f>SUMIFS('Registre de reserves'!$W$2:$W$1178,'Registre de reserves'!$T$2:$T$1178,"NO",'Registre de reserves'!$I$2:$I$1178,'2025'!$A108,'Registre de reserves'!$B$2:$B$1178,'2025'!X$2,Tabla1[ANY],'2025'!$Z$76)</f>
        <v>0</v>
      </c>
      <c r="Y108" s="21">
        <f t="shared" si="122"/>
        <v>0</v>
      </c>
      <c r="Z108" s="20">
        <f t="shared" si="100"/>
        <v>0</v>
      </c>
      <c r="AA108" s="21">
        <f t="shared" ref="AA108:AA113" si="124">IF(Z$105=0,0,Z108/Z$105)</f>
        <v>0</v>
      </c>
    </row>
    <row r="109" spans="1:27" hidden="1" outlineLevel="1" x14ac:dyDescent="0.2">
      <c r="A109" s="8" t="s">
        <v>71</v>
      </c>
      <c r="B109" s="23">
        <f>SUMIFS('Registre de reserves'!$W$2:$W$1178,'Registre de reserves'!$T$2:$T$1178,"NO",'Registre de reserves'!$I$2:$I$1178,'2025'!$A109,'Registre de reserves'!$B$2:$B$1178,'2025'!B$2,Tabla1[ANY],'2025'!$Z$76)</f>
        <v>0</v>
      </c>
      <c r="C109" s="21">
        <f t="shared" si="123"/>
        <v>0</v>
      </c>
      <c r="D109" s="23">
        <f>SUMIFS('Registre de reserves'!$W$2:$W$1178,'Registre de reserves'!$T$2:$T$1178,"NO",'Registre de reserves'!$I$2:$I$1178,'2025'!$A109,'Registre de reserves'!$B$2:$B$1178,'2025'!D$2,Tabla1[ANY],'2025'!$Z$76)</f>
        <v>0</v>
      </c>
      <c r="E109" s="21">
        <f t="shared" si="123"/>
        <v>0</v>
      </c>
      <c r="F109" s="23">
        <f>SUMIFS('Registre de reserves'!$W$2:$W$1178,'Registre de reserves'!$T$2:$T$1178,"NO",'Registre de reserves'!$I$2:$I$1178,'2025'!$A109,'Registre de reserves'!$B$2:$B$1178,'2025'!F$2,Tabla1[ANY],'2025'!$Z$76)</f>
        <v>0</v>
      </c>
      <c r="G109" s="21">
        <f t="shared" si="113"/>
        <v>0</v>
      </c>
      <c r="H109" s="23">
        <f>SUMIFS('Registre de reserves'!$W$2:$W$1178,'Registre de reserves'!$T$2:$T$1178,"NO",'Registre de reserves'!$I$2:$I$1178,'2025'!$A109,'Registre de reserves'!$B$2:$B$1178,'2025'!H$2,Tabla1[ANY],'2025'!$Z$76)</f>
        <v>0</v>
      </c>
      <c r="I109" s="21">
        <f t="shared" si="114"/>
        <v>0</v>
      </c>
      <c r="J109" s="23">
        <f>SUMIFS('Registre de reserves'!$W$2:$W$1178,'Registre de reserves'!$T$2:$T$1178,"NO",'Registre de reserves'!$I$2:$I$1178,'2025'!$A109,'Registre de reserves'!$B$2:$B$1178,'2025'!J$2,Tabla1[ANY],'2025'!$Z$76)</f>
        <v>0</v>
      </c>
      <c r="K109" s="21">
        <f t="shared" si="115"/>
        <v>0</v>
      </c>
      <c r="L109" s="23">
        <f>SUMIFS('Registre de reserves'!$W$2:$W$1178,'Registre de reserves'!$T$2:$T$1178,"NO",'Registre de reserves'!$I$2:$I$1178,'2025'!$A109,'Registre de reserves'!$B$2:$B$1178,'2025'!L$2,Tabla1[ANY],'2025'!$Z$76)</f>
        <v>0</v>
      </c>
      <c r="M109" s="21">
        <f t="shared" si="116"/>
        <v>0</v>
      </c>
      <c r="N109" s="23">
        <f>SUMIFS('Registre de reserves'!$W$2:$W$1178,'Registre de reserves'!$T$2:$T$1178,"NO",'Registre de reserves'!$I$2:$I$1178,'2025'!$A109,'Registre de reserves'!$B$2:$B$1178,'2025'!N$2,Tabla1[ANY],'2025'!$Z$76)</f>
        <v>0</v>
      </c>
      <c r="O109" s="21">
        <f t="shared" si="117"/>
        <v>0</v>
      </c>
      <c r="P109" s="23">
        <f>SUMIFS('Registre de reserves'!$W$2:$W$1178,'Registre de reserves'!$T$2:$T$1178,"NO",'Registre de reserves'!$I$2:$I$1178,'2025'!$A109,'Registre de reserves'!$B$2:$B$1178,'2025'!P$2,Tabla1[ANY],'2025'!$Z$76)</f>
        <v>0</v>
      </c>
      <c r="Q109" s="21">
        <f t="shared" si="118"/>
        <v>0</v>
      </c>
      <c r="R109" s="23">
        <f>SUMIFS('Registre de reserves'!$W$2:$W$1178,'Registre de reserves'!$T$2:$T$1178,"NO",'Registre de reserves'!$I$2:$I$1178,'2025'!$A109,'Registre de reserves'!$B$2:$B$1178,'2025'!R$2,Tabla1[ANY],'2025'!$Z$76)</f>
        <v>0</v>
      </c>
      <c r="S109" s="21">
        <f t="shared" si="119"/>
        <v>0</v>
      </c>
      <c r="T109" s="23">
        <f>SUMIFS('Registre de reserves'!$W$2:$W$1178,'Registre de reserves'!$T$2:$T$1178,"NO",'Registre de reserves'!$I$2:$I$1178,'2025'!$A109,'Registre de reserves'!$B$2:$B$1178,'2025'!T$2,Tabla1[ANY],'2025'!$Z$76)</f>
        <v>0</v>
      </c>
      <c r="U109" s="21">
        <f t="shared" si="120"/>
        <v>0</v>
      </c>
      <c r="V109" s="23">
        <f>SUMIFS('Registre de reserves'!$W$2:$W$1178,'Registre de reserves'!$T$2:$T$1178,"NO",'Registre de reserves'!$I$2:$I$1178,'2025'!$A109,'Registre de reserves'!$B$2:$B$1178,'2025'!V$2,Tabla1[ANY],'2025'!$Z$76)</f>
        <v>0</v>
      </c>
      <c r="W109" s="21">
        <f t="shared" si="121"/>
        <v>0</v>
      </c>
      <c r="X109" s="23">
        <f>SUMIFS('Registre de reserves'!$W$2:$W$1178,'Registre de reserves'!$T$2:$T$1178,"NO",'Registre de reserves'!$I$2:$I$1178,'2025'!$A109,'Registre de reserves'!$B$2:$B$1178,'2025'!X$2,Tabla1[ANY],'2025'!$Z$76)</f>
        <v>0</v>
      </c>
      <c r="Y109" s="21">
        <f t="shared" si="122"/>
        <v>0</v>
      </c>
      <c r="Z109" s="20">
        <f t="shared" si="100"/>
        <v>0</v>
      </c>
      <c r="AA109" s="21">
        <f t="shared" si="124"/>
        <v>0</v>
      </c>
    </row>
    <row r="110" spans="1:27" hidden="1" outlineLevel="1" x14ac:dyDescent="0.2">
      <c r="A110" s="8" t="s">
        <v>72</v>
      </c>
      <c r="B110" s="23">
        <f>SUMIFS('Registre de reserves'!$W$2:$W$1178,'Registre de reserves'!$T$2:$T$1178,"NO",'Registre de reserves'!$I$2:$I$1178,'2025'!$A110,'Registre de reserves'!$B$2:$B$1178,'2025'!B$2,Tabla1[ANY],'2025'!$Z$76)</f>
        <v>0</v>
      </c>
      <c r="C110" s="21">
        <f t="shared" si="123"/>
        <v>0</v>
      </c>
      <c r="D110" s="23">
        <f>SUMIFS('Registre de reserves'!$W$2:$W$1178,'Registre de reserves'!$T$2:$T$1178,"NO",'Registre de reserves'!$I$2:$I$1178,'2025'!$A110,'Registre de reserves'!$B$2:$B$1178,'2025'!D$2,Tabla1[ANY],'2025'!$Z$76)</f>
        <v>0</v>
      </c>
      <c r="E110" s="21">
        <f t="shared" si="123"/>
        <v>0</v>
      </c>
      <c r="F110" s="23">
        <f>SUMIFS('Registre de reserves'!$W$2:$W$1178,'Registre de reserves'!$T$2:$T$1178,"NO",'Registre de reserves'!$I$2:$I$1178,'2025'!$A110,'Registre de reserves'!$B$2:$B$1178,'2025'!F$2,Tabla1[ANY],'2025'!$Z$76)</f>
        <v>0</v>
      </c>
      <c r="G110" s="21">
        <f t="shared" si="113"/>
        <v>0</v>
      </c>
      <c r="H110" s="23">
        <f>SUMIFS('Registre de reserves'!$W$2:$W$1178,'Registre de reserves'!$T$2:$T$1178,"NO",'Registre de reserves'!$I$2:$I$1178,'2025'!$A110,'Registre de reserves'!$B$2:$B$1178,'2025'!H$2,Tabla1[ANY],'2025'!$Z$76)</f>
        <v>0</v>
      </c>
      <c r="I110" s="21">
        <f t="shared" si="114"/>
        <v>0</v>
      </c>
      <c r="J110" s="23">
        <f>SUMIFS('Registre de reserves'!$W$2:$W$1178,'Registre de reserves'!$T$2:$T$1178,"NO",'Registre de reserves'!$I$2:$I$1178,'2025'!$A110,'Registre de reserves'!$B$2:$B$1178,'2025'!J$2,Tabla1[ANY],'2025'!$Z$76)</f>
        <v>0</v>
      </c>
      <c r="K110" s="21">
        <f t="shared" si="115"/>
        <v>0</v>
      </c>
      <c r="L110" s="23">
        <f>SUMIFS('Registre de reserves'!$W$2:$W$1178,'Registre de reserves'!$T$2:$T$1178,"NO",'Registre de reserves'!$I$2:$I$1178,'2025'!$A110,'Registre de reserves'!$B$2:$B$1178,'2025'!L$2,Tabla1[ANY],'2025'!$Z$76)</f>
        <v>0</v>
      </c>
      <c r="M110" s="21">
        <f t="shared" si="116"/>
        <v>0</v>
      </c>
      <c r="N110" s="23">
        <f>SUMIFS('Registre de reserves'!$W$2:$W$1178,'Registre de reserves'!$T$2:$T$1178,"NO",'Registre de reserves'!$I$2:$I$1178,'2025'!$A110,'Registre de reserves'!$B$2:$B$1178,'2025'!N$2,Tabla1[ANY],'2025'!$Z$76)</f>
        <v>0</v>
      </c>
      <c r="O110" s="21">
        <f t="shared" si="117"/>
        <v>0</v>
      </c>
      <c r="P110" s="23">
        <f>SUMIFS('Registre de reserves'!$W$2:$W$1178,'Registre de reserves'!$T$2:$T$1178,"NO",'Registre de reserves'!$I$2:$I$1178,'2025'!$A110,'Registre de reserves'!$B$2:$B$1178,'2025'!P$2,Tabla1[ANY],'2025'!$Z$76)</f>
        <v>0</v>
      </c>
      <c r="Q110" s="21">
        <f t="shared" si="118"/>
        <v>0</v>
      </c>
      <c r="R110" s="23">
        <f>SUMIFS('Registre de reserves'!$W$2:$W$1178,'Registre de reserves'!$T$2:$T$1178,"NO",'Registre de reserves'!$I$2:$I$1178,'2025'!$A110,'Registre de reserves'!$B$2:$B$1178,'2025'!R$2,Tabla1[ANY],'2025'!$Z$76)</f>
        <v>0</v>
      </c>
      <c r="S110" s="21">
        <f t="shared" si="119"/>
        <v>0</v>
      </c>
      <c r="T110" s="23">
        <f>SUMIFS('Registre de reserves'!$W$2:$W$1178,'Registre de reserves'!$T$2:$T$1178,"NO",'Registre de reserves'!$I$2:$I$1178,'2025'!$A110,'Registre de reserves'!$B$2:$B$1178,'2025'!T$2,Tabla1[ANY],'2025'!$Z$76)</f>
        <v>0</v>
      </c>
      <c r="U110" s="21">
        <f t="shared" si="120"/>
        <v>0</v>
      </c>
      <c r="V110" s="23">
        <f>SUMIFS('Registre de reserves'!$W$2:$W$1178,'Registre de reserves'!$T$2:$T$1178,"NO",'Registre de reserves'!$I$2:$I$1178,'2025'!$A110,'Registre de reserves'!$B$2:$B$1178,'2025'!V$2,Tabla1[ANY],'2025'!$Z$76)</f>
        <v>0</v>
      </c>
      <c r="W110" s="21">
        <f t="shared" si="121"/>
        <v>0</v>
      </c>
      <c r="X110" s="23">
        <f>SUMIFS('Registre de reserves'!$W$2:$W$1178,'Registre de reserves'!$T$2:$T$1178,"NO",'Registre de reserves'!$I$2:$I$1178,'2025'!$A110,'Registre de reserves'!$B$2:$B$1178,'2025'!X$2,Tabla1[ANY],'2025'!$Z$76)</f>
        <v>0</v>
      </c>
      <c r="Y110" s="21">
        <f t="shared" si="122"/>
        <v>0</v>
      </c>
      <c r="Z110" s="20">
        <f t="shared" si="100"/>
        <v>0</v>
      </c>
      <c r="AA110" s="21">
        <f t="shared" si="124"/>
        <v>0</v>
      </c>
    </row>
    <row r="111" spans="1:27" hidden="1" outlineLevel="1" x14ac:dyDescent="0.2">
      <c r="A111" s="8" t="s">
        <v>69</v>
      </c>
      <c r="B111" s="23">
        <f>SUMIFS('Registre de reserves'!$W$2:$W$1178,'Registre de reserves'!$T$2:$T$1178,"NO",'Registre de reserves'!$I$2:$I$1178,'2025'!$A111,'Registre de reserves'!$B$2:$B$1178,'2025'!B$2,Tabla1[ANY],'2025'!$Z$76)</f>
        <v>0</v>
      </c>
      <c r="C111" s="21">
        <f t="shared" si="123"/>
        <v>0</v>
      </c>
      <c r="D111" s="23">
        <f>SUMIFS('Registre de reserves'!$W$2:$W$1178,'Registre de reserves'!$T$2:$T$1178,"NO",'Registre de reserves'!$I$2:$I$1178,'2025'!$A111,'Registre de reserves'!$B$2:$B$1178,'2025'!D$2,Tabla1[ANY],'2025'!$Z$76)</f>
        <v>0</v>
      </c>
      <c r="E111" s="21">
        <f t="shared" si="123"/>
        <v>0</v>
      </c>
      <c r="F111" s="23">
        <f>SUMIFS('Registre de reserves'!$W$2:$W$1178,'Registre de reserves'!$T$2:$T$1178,"NO",'Registre de reserves'!$I$2:$I$1178,'2025'!$A111,'Registre de reserves'!$B$2:$B$1178,'2025'!F$2,Tabla1[ANY],'2025'!$Z$76)</f>
        <v>0</v>
      </c>
      <c r="G111" s="21">
        <f t="shared" si="113"/>
        <v>0</v>
      </c>
      <c r="H111" s="23">
        <f>SUMIFS('Registre de reserves'!$W$2:$W$1178,'Registre de reserves'!$T$2:$T$1178,"NO",'Registre de reserves'!$I$2:$I$1178,'2025'!$A111,'Registre de reserves'!$B$2:$B$1178,'2025'!H$2,Tabla1[ANY],'2025'!$Z$76)</f>
        <v>0</v>
      </c>
      <c r="I111" s="21">
        <f t="shared" si="114"/>
        <v>0</v>
      </c>
      <c r="J111" s="23">
        <f>SUMIFS('Registre de reserves'!$W$2:$W$1178,'Registre de reserves'!$T$2:$T$1178,"NO",'Registre de reserves'!$I$2:$I$1178,'2025'!$A111,'Registre de reserves'!$B$2:$B$1178,'2025'!J$2,Tabla1[ANY],'2025'!$Z$76)</f>
        <v>0</v>
      </c>
      <c r="K111" s="21">
        <f t="shared" si="115"/>
        <v>0</v>
      </c>
      <c r="L111" s="23">
        <f>SUMIFS('Registre de reserves'!$W$2:$W$1178,'Registre de reserves'!$T$2:$T$1178,"NO",'Registre de reserves'!$I$2:$I$1178,'2025'!$A111,'Registre de reserves'!$B$2:$B$1178,'2025'!L$2,Tabla1[ANY],'2025'!$Z$76)</f>
        <v>0</v>
      </c>
      <c r="M111" s="21">
        <f t="shared" si="116"/>
        <v>0</v>
      </c>
      <c r="N111" s="23">
        <f>SUMIFS('Registre de reserves'!$W$2:$W$1178,'Registre de reserves'!$T$2:$T$1178,"NO",'Registre de reserves'!$I$2:$I$1178,'2025'!$A111,'Registre de reserves'!$B$2:$B$1178,'2025'!N$2,Tabla1[ANY],'2025'!$Z$76)</f>
        <v>0</v>
      </c>
      <c r="O111" s="21">
        <f t="shared" si="117"/>
        <v>0</v>
      </c>
      <c r="P111" s="23">
        <f>SUMIFS('Registre de reserves'!$W$2:$W$1178,'Registre de reserves'!$T$2:$T$1178,"NO",'Registre de reserves'!$I$2:$I$1178,'2025'!$A111,'Registre de reserves'!$B$2:$B$1178,'2025'!P$2,Tabla1[ANY],'2025'!$Z$76)</f>
        <v>0</v>
      </c>
      <c r="Q111" s="21">
        <f t="shared" si="118"/>
        <v>0</v>
      </c>
      <c r="R111" s="23">
        <f>SUMIFS('Registre de reserves'!$W$2:$W$1178,'Registre de reserves'!$T$2:$T$1178,"NO",'Registre de reserves'!$I$2:$I$1178,'2025'!$A111,'Registre de reserves'!$B$2:$B$1178,'2025'!R$2,Tabla1[ANY],'2025'!$Z$76)</f>
        <v>0</v>
      </c>
      <c r="S111" s="21">
        <f t="shared" si="119"/>
        <v>0</v>
      </c>
      <c r="T111" s="23">
        <f>SUMIFS('Registre de reserves'!$W$2:$W$1178,'Registre de reserves'!$T$2:$T$1178,"NO",'Registre de reserves'!$I$2:$I$1178,'2025'!$A111,'Registre de reserves'!$B$2:$B$1178,'2025'!T$2,Tabla1[ANY],'2025'!$Z$76)</f>
        <v>0</v>
      </c>
      <c r="U111" s="21">
        <f t="shared" si="120"/>
        <v>0</v>
      </c>
      <c r="V111" s="23">
        <f>SUMIFS('Registre de reserves'!$W$2:$W$1178,'Registre de reserves'!$T$2:$T$1178,"NO",'Registre de reserves'!$I$2:$I$1178,'2025'!$A111,'Registre de reserves'!$B$2:$B$1178,'2025'!V$2,Tabla1[ANY],'2025'!$Z$76)</f>
        <v>0</v>
      </c>
      <c r="W111" s="21">
        <f t="shared" si="121"/>
        <v>0</v>
      </c>
      <c r="X111" s="23">
        <f>SUMIFS('Registre de reserves'!$W$2:$W$1178,'Registre de reserves'!$T$2:$T$1178,"NO",'Registre de reserves'!$I$2:$I$1178,'2025'!$A111,'Registre de reserves'!$B$2:$B$1178,'2025'!X$2,Tabla1[ANY],'2025'!$Z$76)</f>
        <v>0</v>
      </c>
      <c r="Y111" s="21">
        <f t="shared" si="122"/>
        <v>0</v>
      </c>
      <c r="Z111" s="20">
        <f t="shared" si="100"/>
        <v>0</v>
      </c>
      <c r="AA111" s="21">
        <f t="shared" si="124"/>
        <v>0</v>
      </c>
    </row>
    <row r="112" spans="1:27" hidden="1" outlineLevel="1" x14ac:dyDescent="0.2">
      <c r="A112" s="8" t="s">
        <v>70</v>
      </c>
      <c r="B112" s="23">
        <f>SUMIFS('Registre de reserves'!$W$2:$W$1178,'Registre de reserves'!$T$2:$T$1178,"NO",'Registre de reserves'!$I$2:$I$1178,'2025'!$A112,'Registre de reserves'!$B$2:$B$1178,'2025'!B$2,Tabla1[ANY],'2025'!$Z$76)</f>
        <v>0</v>
      </c>
      <c r="C112" s="21">
        <f t="shared" si="123"/>
        <v>0</v>
      </c>
      <c r="D112" s="23">
        <f>SUMIFS('Registre de reserves'!$W$2:$W$1178,'Registre de reserves'!$T$2:$T$1178,"NO",'Registre de reserves'!$I$2:$I$1178,'2025'!$A112,'Registre de reserves'!$B$2:$B$1178,'2025'!D$2,Tabla1[ANY],'2025'!$Z$76)</f>
        <v>0</v>
      </c>
      <c r="E112" s="21">
        <f t="shared" si="123"/>
        <v>0</v>
      </c>
      <c r="F112" s="23">
        <f>SUMIFS('Registre de reserves'!$W$2:$W$1178,'Registre de reserves'!$T$2:$T$1178,"NO",'Registre de reserves'!$I$2:$I$1178,'2025'!$A112,'Registre de reserves'!$B$2:$B$1178,'2025'!F$2,Tabla1[ANY],'2025'!$Z$76)</f>
        <v>0</v>
      </c>
      <c r="G112" s="21">
        <f t="shared" si="113"/>
        <v>0</v>
      </c>
      <c r="H112" s="23">
        <f>SUMIFS('Registre de reserves'!$W$2:$W$1178,'Registre de reserves'!$T$2:$T$1178,"NO",'Registre de reserves'!$I$2:$I$1178,'2025'!$A112,'Registre de reserves'!$B$2:$B$1178,'2025'!H$2,Tabla1[ANY],'2025'!$Z$76)</f>
        <v>0</v>
      </c>
      <c r="I112" s="21">
        <f t="shared" si="114"/>
        <v>0</v>
      </c>
      <c r="J112" s="23">
        <f>SUMIFS('Registre de reserves'!$W$2:$W$1178,'Registre de reserves'!$T$2:$T$1178,"NO",'Registre de reserves'!$I$2:$I$1178,'2025'!$A112,'Registre de reserves'!$B$2:$B$1178,'2025'!J$2,Tabla1[ANY],'2025'!$Z$76)</f>
        <v>0</v>
      </c>
      <c r="K112" s="21">
        <f t="shared" si="115"/>
        <v>0</v>
      </c>
      <c r="L112" s="23">
        <f>SUMIFS('Registre de reserves'!$W$2:$W$1178,'Registre de reserves'!$T$2:$T$1178,"NO",'Registre de reserves'!$I$2:$I$1178,'2025'!$A112,'Registre de reserves'!$B$2:$B$1178,'2025'!L$2,Tabla1[ANY],'2025'!$Z$76)</f>
        <v>0</v>
      </c>
      <c r="M112" s="21">
        <f t="shared" si="116"/>
        <v>0</v>
      </c>
      <c r="N112" s="23">
        <f>SUMIFS('Registre de reserves'!$W$2:$W$1178,'Registre de reserves'!$T$2:$T$1178,"NO",'Registre de reserves'!$I$2:$I$1178,'2025'!$A112,'Registre de reserves'!$B$2:$B$1178,'2025'!N$2,Tabla1[ANY],'2025'!$Z$76)</f>
        <v>0</v>
      </c>
      <c r="O112" s="21">
        <f t="shared" si="117"/>
        <v>0</v>
      </c>
      <c r="P112" s="23">
        <f>SUMIFS('Registre de reserves'!$W$2:$W$1178,'Registre de reserves'!$T$2:$T$1178,"NO",'Registre de reserves'!$I$2:$I$1178,'2025'!$A112,'Registre de reserves'!$B$2:$B$1178,'2025'!P$2,Tabla1[ANY],'2025'!$Z$76)</f>
        <v>0</v>
      </c>
      <c r="Q112" s="21">
        <f t="shared" si="118"/>
        <v>0</v>
      </c>
      <c r="R112" s="23">
        <f>SUMIFS('Registre de reserves'!$W$2:$W$1178,'Registre de reserves'!$T$2:$T$1178,"NO",'Registre de reserves'!$I$2:$I$1178,'2025'!$A112,'Registre de reserves'!$B$2:$B$1178,'2025'!R$2,Tabla1[ANY],'2025'!$Z$76)</f>
        <v>0</v>
      </c>
      <c r="S112" s="21">
        <f t="shared" si="119"/>
        <v>0</v>
      </c>
      <c r="T112" s="23">
        <f>SUMIFS('Registre de reserves'!$W$2:$W$1178,'Registre de reserves'!$T$2:$T$1178,"NO",'Registre de reserves'!$I$2:$I$1178,'2025'!$A112,'Registre de reserves'!$B$2:$B$1178,'2025'!T$2,Tabla1[ANY],'2025'!$Z$76)</f>
        <v>0</v>
      </c>
      <c r="U112" s="21">
        <f t="shared" si="120"/>
        <v>0</v>
      </c>
      <c r="V112" s="23">
        <f>SUMIFS('Registre de reserves'!$W$2:$W$1178,'Registre de reserves'!$T$2:$T$1178,"NO",'Registre de reserves'!$I$2:$I$1178,'2025'!$A112,'Registre de reserves'!$B$2:$B$1178,'2025'!V$2,Tabla1[ANY],'2025'!$Z$76)</f>
        <v>0</v>
      </c>
      <c r="W112" s="21">
        <f t="shared" si="121"/>
        <v>0</v>
      </c>
      <c r="X112" s="23">
        <f>SUMIFS('Registre de reserves'!$W$2:$W$1178,'Registre de reserves'!$T$2:$T$1178,"NO",'Registre de reserves'!$I$2:$I$1178,'2025'!$A112,'Registre de reserves'!$B$2:$B$1178,'2025'!X$2,Tabla1[ANY],'2025'!$Z$76)</f>
        <v>0</v>
      </c>
      <c r="Y112" s="21">
        <f t="shared" si="122"/>
        <v>0</v>
      </c>
      <c r="Z112" s="20">
        <f t="shared" si="100"/>
        <v>0</v>
      </c>
      <c r="AA112" s="21">
        <f t="shared" si="124"/>
        <v>0</v>
      </c>
    </row>
    <row r="113" spans="1:27" hidden="1" outlineLevel="1" x14ac:dyDescent="0.2">
      <c r="A113" s="8" t="s">
        <v>73</v>
      </c>
      <c r="B113" s="23">
        <f>SUMIFS('Registre de reserves'!$W$2:$W$1178,'Registre de reserves'!$T$2:$T$1178,"NO",'Registre de reserves'!$I$2:$I$1178,'2025'!$A113,'Registre de reserves'!$B$2:$B$1178,'2025'!B$2,Tabla1[ANY],'2025'!$Z$76)</f>
        <v>0</v>
      </c>
      <c r="C113" s="21">
        <f t="shared" si="123"/>
        <v>0</v>
      </c>
      <c r="D113" s="23">
        <f>SUMIFS('Registre de reserves'!$W$2:$W$1178,'Registre de reserves'!$T$2:$T$1178,"NO",'Registre de reserves'!$I$2:$I$1178,'2025'!$A113,'Registre de reserves'!$B$2:$B$1178,'2025'!D$2,Tabla1[ANY],'2025'!$Z$76)</f>
        <v>0</v>
      </c>
      <c r="E113" s="21">
        <f t="shared" si="123"/>
        <v>0</v>
      </c>
      <c r="F113" s="23">
        <f>SUMIFS('Registre de reserves'!$W$2:$W$1178,'Registre de reserves'!$T$2:$T$1178,"NO",'Registre de reserves'!$I$2:$I$1178,'2025'!$A113,'Registre de reserves'!$B$2:$B$1178,'2025'!F$2,Tabla1[ANY],'2025'!$Z$76)</f>
        <v>0</v>
      </c>
      <c r="G113" s="21">
        <f t="shared" si="113"/>
        <v>0</v>
      </c>
      <c r="H113" s="23">
        <f>SUMIFS('Registre de reserves'!$W$2:$W$1178,'Registre de reserves'!$T$2:$T$1178,"NO",'Registre de reserves'!$I$2:$I$1178,'2025'!$A113,'Registre de reserves'!$B$2:$B$1178,'2025'!H$2,Tabla1[ANY],'2025'!$Z$76)</f>
        <v>0</v>
      </c>
      <c r="I113" s="21">
        <f t="shared" si="114"/>
        <v>0</v>
      </c>
      <c r="J113" s="23">
        <f>SUMIFS('Registre de reserves'!$W$2:$W$1178,'Registre de reserves'!$T$2:$T$1178,"NO",'Registre de reserves'!$I$2:$I$1178,'2025'!$A113,'Registre de reserves'!$B$2:$B$1178,'2025'!J$2,Tabla1[ANY],'2025'!$Z$76)</f>
        <v>0</v>
      </c>
      <c r="K113" s="21">
        <f t="shared" si="115"/>
        <v>0</v>
      </c>
      <c r="L113" s="23">
        <f>SUMIFS('Registre de reserves'!$W$2:$W$1178,'Registre de reserves'!$T$2:$T$1178,"NO",'Registre de reserves'!$I$2:$I$1178,'2025'!$A113,'Registre de reserves'!$B$2:$B$1178,'2025'!L$2,Tabla1[ANY],'2025'!$Z$76)</f>
        <v>0</v>
      </c>
      <c r="M113" s="21">
        <f t="shared" si="116"/>
        <v>0</v>
      </c>
      <c r="N113" s="23">
        <f>SUMIFS('Registre de reserves'!$W$2:$W$1178,'Registre de reserves'!$T$2:$T$1178,"NO",'Registre de reserves'!$I$2:$I$1178,'2025'!$A113,'Registre de reserves'!$B$2:$B$1178,'2025'!N$2,Tabla1[ANY],'2025'!$Z$76)</f>
        <v>0</v>
      </c>
      <c r="O113" s="21">
        <f t="shared" si="117"/>
        <v>0</v>
      </c>
      <c r="P113" s="23">
        <f>SUMIFS('Registre de reserves'!$W$2:$W$1178,'Registre de reserves'!$T$2:$T$1178,"NO",'Registre de reserves'!$I$2:$I$1178,'2025'!$A113,'Registre de reserves'!$B$2:$B$1178,'2025'!P$2,Tabla1[ANY],'2025'!$Z$76)</f>
        <v>0</v>
      </c>
      <c r="Q113" s="21">
        <f t="shared" si="118"/>
        <v>0</v>
      </c>
      <c r="R113" s="23">
        <f>SUMIFS('Registre de reserves'!$W$2:$W$1178,'Registre de reserves'!$T$2:$T$1178,"NO",'Registre de reserves'!$I$2:$I$1178,'2025'!$A113,'Registre de reserves'!$B$2:$B$1178,'2025'!R$2,Tabla1[ANY],'2025'!$Z$76)</f>
        <v>0</v>
      </c>
      <c r="S113" s="21">
        <f t="shared" si="119"/>
        <v>0</v>
      </c>
      <c r="T113" s="23">
        <f>SUMIFS('Registre de reserves'!$W$2:$W$1178,'Registre de reserves'!$T$2:$T$1178,"NO",'Registre de reserves'!$I$2:$I$1178,'2025'!$A113,'Registre de reserves'!$B$2:$B$1178,'2025'!T$2,Tabla1[ANY],'2025'!$Z$76)</f>
        <v>0</v>
      </c>
      <c r="U113" s="21">
        <f t="shared" si="120"/>
        <v>0</v>
      </c>
      <c r="V113" s="23">
        <f>SUMIFS('Registre de reserves'!$W$2:$W$1178,'Registre de reserves'!$T$2:$T$1178,"NO",'Registre de reserves'!$I$2:$I$1178,'2025'!$A113,'Registre de reserves'!$B$2:$B$1178,'2025'!V$2,Tabla1[ANY],'2025'!$Z$76)</f>
        <v>0</v>
      </c>
      <c r="W113" s="21">
        <f t="shared" si="121"/>
        <v>0</v>
      </c>
      <c r="X113" s="23">
        <f>SUMIFS('Registre de reserves'!$W$2:$W$1178,'Registre de reserves'!$T$2:$T$1178,"NO",'Registre de reserves'!$I$2:$I$1178,'2025'!$A113,'Registre de reserves'!$B$2:$B$1178,'2025'!X$2,Tabla1[ANY],'2025'!$Z$76)</f>
        <v>0</v>
      </c>
      <c r="Y113" s="21">
        <f t="shared" si="122"/>
        <v>0</v>
      </c>
      <c r="Z113" s="20">
        <f t="shared" si="100"/>
        <v>0</v>
      </c>
      <c r="AA113" s="21">
        <f t="shared" si="124"/>
        <v>0</v>
      </c>
    </row>
    <row r="114" spans="1:27" ht="15.75" collapsed="1" thickBot="1" x14ac:dyDescent="0.25">
      <c r="A114" s="14" t="s">
        <v>78</v>
      </c>
      <c r="B114" s="24">
        <f>B115+B123</f>
        <v>614.79</v>
      </c>
      <c r="C114" s="25">
        <f>IF(B173=0,0,B114/B77)</f>
        <v>0.34733898305084743</v>
      </c>
      <c r="D114" s="24">
        <f>D115+D123</f>
        <v>789.73</v>
      </c>
      <c r="E114" s="25">
        <f>IF(D173=0,0,D114/D77)</f>
        <v>0</v>
      </c>
      <c r="F114" s="24">
        <f>F115+F123</f>
        <v>865.66</v>
      </c>
      <c r="G114" s="25">
        <f>IF(F173=0,0,F114/F77)</f>
        <v>0</v>
      </c>
      <c r="H114" s="24">
        <f>H115+H123</f>
        <v>714.96999999999991</v>
      </c>
      <c r="I114" s="25">
        <f>IF(H173=0,0,H114/H77)</f>
        <v>0</v>
      </c>
      <c r="J114" s="24">
        <f>J115+J123</f>
        <v>1090.83</v>
      </c>
      <c r="K114" s="25">
        <f>IF(J173=0,0,J114/J77)</f>
        <v>0</v>
      </c>
      <c r="L114" s="24">
        <f>L115+L123</f>
        <v>565.55999999999995</v>
      </c>
      <c r="M114" s="25">
        <f>IF(L173=0,0,L114/L77)</f>
        <v>0</v>
      </c>
      <c r="N114" s="24">
        <f>N115+N123</f>
        <v>0</v>
      </c>
      <c r="O114" s="25">
        <f>IF(N173=0,0,N114/N77)</f>
        <v>0</v>
      </c>
      <c r="P114" s="24">
        <f>P115+P123</f>
        <v>0</v>
      </c>
      <c r="Q114" s="25">
        <f>IF(P173=0,0,P114/P77)</f>
        <v>0</v>
      </c>
      <c r="R114" s="24">
        <f>R115+R123</f>
        <v>0</v>
      </c>
      <c r="S114" s="25">
        <f>IF(R173=0,0,R114/R77)</f>
        <v>0</v>
      </c>
      <c r="T114" s="24">
        <f>T115+T123</f>
        <v>0</v>
      </c>
      <c r="U114" s="25">
        <f>IF(T173=0,0,T114/T77)</f>
        <v>0</v>
      </c>
      <c r="V114" s="24">
        <f>V115+V123</f>
        <v>0</v>
      </c>
      <c r="W114" s="25">
        <f>IF(V173=0,0,V114/V77)</f>
        <v>0</v>
      </c>
      <c r="X114" s="24">
        <f>X115+X123</f>
        <v>0</v>
      </c>
      <c r="Y114" s="25">
        <f>IF(X173=0,0,X114/X77)</f>
        <v>0</v>
      </c>
      <c r="Z114" s="24">
        <f>Z115+Z123</f>
        <v>4641.54</v>
      </c>
      <c r="AA114" s="25">
        <f>IF(Z173=0,0,Z114/Z77)</f>
        <v>0.57946816479400753</v>
      </c>
    </row>
    <row r="115" spans="1:27" x14ac:dyDescent="0.2">
      <c r="A115" s="33" t="s">
        <v>79</v>
      </c>
      <c r="B115" s="18">
        <f>SUM(B116:B122)</f>
        <v>535.42999999999995</v>
      </c>
      <c r="C115" s="19">
        <f>IF(B$114=0,0,B115/B$114)</f>
        <v>0.87091527188145546</v>
      </c>
      <c r="D115" s="18">
        <f>SUM(D116:D122)</f>
        <v>538.22</v>
      </c>
      <c r="E115" s="19">
        <f>IF(D$114=0,0,D115/D$114)</f>
        <v>0.68152406518683606</v>
      </c>
      <c r="F115" s="18">
        <f>SUM(F116:F122)</f>
        <v>540.66</v>
      </c>
      <c r="G115" s="19">
        <f>IF(F$114=0,0,F115/F$114)</f>
        <v>0.6245639165492225</v>
      </c>
      <c r="H115" s="18">
        <f>SUM(H116:H122)</f>
        <v>540.66</v>
      </c>
      <c r="I115" s="19">
        <f>IF(H$114=0,0,H115/H$114)</f>
        <v>0.75619956082073381</v>
      </c>
      <c r="J115" s="18">
        <f>SUM(J116:J122)</f>
        <v>904.30000000000007</v>
      </c>
      <c r="K115" s="19">
        <f>IF(J$114=0,0,J115/J$114)</f>
        <v>0.82900176929494063</v>
      </c>
      <c r="L115" s="18">
        <f>SUM(L116:L122)</f>
        <v>425.2</v>
      </c>
      <c r="M115" s="19">
        <f>IF(L$114=0,0,L115/L$114)</f>
        <v>0.75182120376264239</v>
      </c>
      <c r="N115" s="18">
        <f>SUM(N116:N122)</f>
        <v>0</v>
      </c>
      <c r="O115" s="19">
        <f>IF(N$114=0,0,N115/N$114)</f>
        <v>0</v>
      </c>
      <c r="P115" s="18">
        <f>SUM(P116:P122)</f>
        <v>0</v>
      </c>
      <c r="Q115" s="19">
        <f>IF(P$114=0,0,P115/P$114)</f>
        <v>0</v>
      </c>
      <c r="R115" s="18">
        <f>SUM(R116:R122)</f>
        <v>0</v>
      </c>
      <c r="S115" s="19">
        <f>IF(R$114=0,0,R115/R$114)</f>
        <v>0</v>
      </c>
      <c r="T115" s="18">
        <f>SUM(T116:T122)</f>
        <v>0</v>
      </c>
      <c r="U115" s="19">
        <f>IF(T$114=0,0,T115/T$114)</f>
        <v>0</v>
      </c>
      <c r="V115" s="18">
        <f>SUM(V116:V122)</f>
        <v>0</v>
      </c>
      <c r="W115" s="19">
        <f>IF(V$114=0,0,V115/V$114)</f>
        <v>0</v>
      </c>
      <c r="X115" s="18">
        <f>SUM(X116:X122)</f>
        <v>0</v>
      </c>
      <c r="Y115" s="19">
        <f>IF(X$114=0,0,X115/X$114)</f>
        <v>0</v>
      </c>
      <c r="Z115" s="18">
        <f>SUM(Z116:Z122)</f>
        <v>3484.4700000000003</v>
      </c>
      <c r="AA115" s="19">
        <f>IF(Z$114=0,0,Z115/Z$114)</f>
        <v>0.75071420261378774</v>
      </c>
    </row>
    <row r="116" spans="1:27" hidden="1" outlineLevel="1" x14ac:dyDescent="0.2">
      <c r="A116" s="8" t="s">
        <v>16</v>
      </c>
      <c r="B116" s="20">
        <f>SUMIFS(Tabla2[A],Tabla2[ANY],$Z$76,Tabla2[MES],'2025'!B$2,Tabla2[TIPUS],'2025'!$A116)</f>
        <v>408</v>
      </c>
      <c r="C116" s="21">
        <f>IF(B$115=0,0,B116/B$115)</f>
        <v>0.76200437031918278</v>
      </c>
      <c r="D116" s="20">
        <f>SUMIFS(Tabla2[A],Tabla2[ANY],$Z$76,Tabla2[MES],'2025'!D$2,Tabla2[TIPUS],'2025'!$A116)</f>
        <v>408</v>
      </c>
      <c r="E116" s="21">
        <f>IF(D$115=0,0,D116/D$115)</f>
        <v>0.75805432722678456</v>
      </c>
      <c r="F116" s="20">
        <f>SUMIFS(Tabla2[A],Tabla2[ANY],$Z$76,Tabla2[MES],'2025'!F$2,Tabla2[TIPUS],'2025'!$A116)</f>
        <v>408</v>
      </c>
      <c r="G116" s="21">
        <f t="shared" ref="G116:G122" si="125">IF(F$115=0,0,F116/F$115)</f>
        <v>0.75463322605704142</v>
      </c>
      <c r="H116" s="20">
        <f>SUMIFS(Tabla2[A],Tabla2[ANY],$Z$76,Tabla2[MES],'2025'!H$2,Tabla2[TIPUS],'2025'!$A116)</f>
        <v>408</v>
      </c>
      <c r="I116" s="21">
        <f t="shared" ref="I116:I122" si="126">IF(H$115=0,0,H116/H$115)</f>
        <v>0.75463322605704142</v>
      </c>
      <c r="J116" s="20">
        <f>SUMIFS(Tabla2[A],Tabla2[ANY],$Z$76,Tabla2[MES],'2025'!J$2,Tabla2[TIPUS],'2025'!$A116)</f>
        <v>400</v>
      </c>
      <c r="K116" s="21">
        <f t="shared" ref="K116:K122" si="127">IF(J$115=0,0,J116/J$115)</f>
        <v>0.44233108481698546</v>
      </c>
      <c r="L116" s="20">
        <f>SUMIFS(Tabla2[A],Tabla2[ANY],$Z$76,Tabla2[MES],'2025'!L$2,Tabla2[TIPUS],'2025'!$A116)</f>
        <v>425.2</v>
      </c>
      <c r="M116" s="21">
        <f t="shared" ref="M116:M122" si="128">IF(L$115=0,0,L116/L$115)</f>
        <v>1</v>
      </c>
      <c r="N116" s="20">
        <f>SUMIFS(Tabla2[A],Tabla2[ANY],$Z$76,Tabla2[MES],'2025'!N$2,Tabla2[TIPUS],'2025'!$A116)</f>
        <v>0</v>
      </c>
      <c r="O116" s="21">
        <f t="shared" ref="O116:O122" si="129">IF(N$115=0,0,N116/N$115)</f>
        <v>0</v>
      </c>
      <c r="P116" s="20">
        <f>SUMIFS(Tabla2[A],Tabla2[ANY],$Z$76,Tabla2[MES],'2025'!P$2,Tabla2[TIPUS],'2025'!$A116)</f>
        <v>0</v>
      </c>
      <c r="Q116" s="21">
        <f t="shared" ref="Q116:Q122" si="130">IF(P$115=0,0,P116/P$115)</f>
        <v>0</v>
      </c>
      <c r="R116" s="20">
        <f>SUMIFS(Tabla2[A],Tabla2[ANY],$Z$76,Tabla2[MES],'2025'!R$2,Tabla2[TIPUS],'2025'!$A116)</f>
        <v>0</v>
      </c>
      <c r="S116" s="21">
        <f t="shared" ref="S116:S122" si="131">IF(R$115=0,0,R116/R$115)</f>
        <v>0</v>
      </c>
      <c r="T116" s="20">
        <f>SUMIFS(Tabla2[A],Tabla2[ANY],$Z$76,Tabla2[MES],'2025'!T$2,Tabla2[TIPUS],'2025'!$A116)</f>
        <v>0</v>
      </c>
      <c r="U116" s="21">
        <f t="shared" ref="U116:U122" si="132">IF(T$115=0,0,T116/T$115)</f>
        <v>0</v>
      </c>
      <c r="V116" s="20">
        <f>SUMIFS(Tabla2[A],Tabla2[ANY],$Z$76,Tabla2[MES],'2025'!V$2,Tabla2[TIPUS],'2025'!$A116)</f>
        <v>0</v>
      </c>
      <c r="W116" s="21">
        <f t="shared" ref="W116:W122" si="133">IF(V$115=0,0,V116/V$115)</f>
        <v>0</v>
      </c>
      <c r="X116" s="20">
        <f>SUMIFS(Tabla2[A],Tabla2[ANY],$Z$76,Tabla2[MES],'2025'!X$2,Tabla2[TIPUS],'2025'!$A116)</f>
        <v>0</v>
      </c>
      <c r="Y116" s="21">
        <f t="shared" ref="Y116:Y122" si="134">IF(X$115=0,0,X116/X$115)</f>
        <v>0</v>
      </c>
      <c r="Z116" s="20">
        <f t="shared" ref="Z116:Z128" si="135">B116+D116+F116+H116+J116+L116+N116+P116+R116+T116+V116+X116</f>
        <v>2457.1999999999998</v>
      </c>
      <c r="AA116" s="21">
        <f>IF(Z$115=0,0,Z116/Z$115)</f>
        <v>0.70518615456583056</v>
      </c>
    </row>
    <row r="117" spans="1:27" hidden="1" outlineLevel="1" x14ac:dyDescent="0.2">
      <c r="A117" s="8" t="s">
        <v>17</v>
      </c>
      <c r="B117" s="20">
        <f>SUMIFS(Tabla2[A],Tabla2[ANY],$Z$76,Tabla2[MES],'2025'!B$2,Tabla2[TIPUS],'2025'!$A117)</f>
        <v>0</v>
      </c>
      <c r="C117" s="21">
        <f t="shared" ref="C117:E122" si="136">IF(B$115=0,0,B117/B$115)</f>
        <v>0</v>
      </c>
      <c r="D117" s="20">
        <f>SUMIFS(Tabla2[A],Tabla2[ANY],$Z$76,Tabla2[MES],'2025'!D$2,Tabla2[TIPUS],'2025'!$A117)</f>
        <v>0</v>
      </c>
      <c r="E117" s="21">
        <f t="shared" si="136"/>
        <v>0</v>
      </c>
      <c r="F117" s="20">
        <f>SUMIFS(Tabla2[A],Tabla2[ANY],$Z$76,Tabla2[MES],'2025'!F$2,Tabla2[TIPUS],'2025'!$A117)</f>
        <v>0</v>
      </c>
      <c r="G117" s="21">
        <f t="shared" si="125"/>
        <v>0</v>
      </c>
      <c r="H117" s="20">
        <f>SUMIFS(Tabla2[A],Tabla2[ANY],$Z$76,Tabla2[MES],'2025'!H$2,Tabla2[TIPUS],'2025'!$A117)</f>
        <v>0</v>
      </c>
      <c r="I117" s="21">
        <f t="shared" si="126"/>
        <v>0</v>
      </c>
      <c r="J117" s="20">
        <f>SUMIFS(Tabla2[A],Tabla2[ANY],$Z$76,Tabla2[MES],'2025'!J$2,Tabla2[TIPUS],'2025'!$A117)</f>
        <v>0</v>
      </c>
      <c r="K117" s="21">
        <f t="shared" si="127"/>
        <v>0</v>
      </c>
      <c r="L117" s="20">
        <f>SUMIFS(Tabla2[A],Tabla2[ANY],$Z$76,Tabla2[MES],'2025'!L$2,Tabla2[TIPUS],'2025'!$A117)</f>
        <v>0</v>
      </c>
      <c r="M117" s="21">
        <f t="shared" si="128"/>
        <v>0</v>
      </c>
      <c r="N117" s="20">
        <f>SUMIFS(Tabla2[A],Tabla2[ANY],$Z$76,Tabla2[MES],'2025'!N$2,Tabla2[TIPUS],'2025'!$A117)</f>
        <v>0</v>
      </c>
      <c r="O117" s="21">
        <f t="shared" si="129"/>
        <v>0</v>
      </c>
      <c r="P117" s="20">
        <f>SUMIFS(Tabla2[A],Tabla2[ANY],$Z$76,Tabla2[MES],'2025'!P$2,Tabla2[TIPUS],'2025'!$A117)</f>
        <v>0</v>
      </c>
      <c r="Q117" s="21">
        <f t="shared" si="130"/>
        <v>0</v>
      </c>
      <c r="R117" s="20">
        <f>SUMIFS(Tabla2[A],Tabla2[ANY],$Z$76,Tabla2[MES],'2025'!R$2,Tabla2[TIPUS],'2025'!$A117)</f>
        <v>0</v>
      </c>
      <c r="S117" s="21">
        <f t="shared" si="131"/>
        <v>0</v>
      </c>
      <c r="T117" s="20">
        <f>SUMIFS(Tabla2[A],Tabla2[ANY],$Z$76,Tabla2[MES],'2025'!T$2,Tabla2[TIPUS],'2025'!$A117)</f>
        <v>0</v>
      </c>
      <c r="U117" s="21">
        <f t="shared" si="132"/>
        <v>0</v>
      </c>
      <c r="V117" s="20">
        <f>SUMIFS(Tabla2[A],Tabla2[ANY],$Z$76,Tabla2[MES],'2025'!V$2,Tabla2[TIPUS],'2025'!$A117)</f>
        <v>0</v>
      </c>
      <c r="W117" s="21">
        <f t="shared" si="133"/>
        <v>0</v>
      </c>
      <c r="X117" s="20">
        <f>SUMIFS(Tabla2[A],Tabla2[ANY],$Z$76,Tabla2[MES],'2025'!X$2,Tabla2[TIPUS],'2025'!$A117)</f>
        <v>0</v>
      </c>
      <c r="Y117" s="21">
        <f t="shared" si="134"/>
        <v>0</v>
      </c>
      <c r="Z117" s="20">
        <f t="shared" si="135"/>
        <v>0</v>
      </c>
      <c r="AA117" s="21">
        <f t="shared" ref="AA117:AA122" si="137">IF(Z$115=0,0,Z117/Z$115)</f>
        <v>0</v>
      </c>
    </row>
    <row r="118" spans="1:27" hidden="1" outlineLevel="1" x14ac:dyDescent="0.2">
      <c r="A118" s="8" t="s">
        <v>85</v>
      </c>
      <c r="B118" s="20">
        <f>SUMIFS(Tabla2[A],Tabla2[ANY],$Z$76,Tabla2[MES],'2025'!B$2,Tabla2[TIPUS],'2025'!$A118)</f>
        <v>63.53</v>
      </c>
      <c r="C118" s="21">
        <f t="shared" si="136"/>
        <v>0.11865229815288648</v>
      </c>
      <c r="D118" s="20">
        <f>SUMIFS(Tabla2[A],Tabla2[ANY],$Z$76,Tabla2[MES],'2025'!D$2,Tabla2[TIPUS],'2025'!$A118)</f>
        <v>65.11</v>
      </c>
      <c r="E118" s="21">
        <f t="shared" si="136"/>
        <v>0.1209728363866077</v>
      </c>
      <c r="F118" s="20">
        <f>SUMIFS(Tabla2[A],Tabla2[ANY],$Z$76,Tabla2[MES],'2025'!F$2,Tabla2[TIPUS],'2025'!$A118)</f>
        <v>65.11</v>
      </c>
      <c r="G118" s="21">
        <f t="shared" si="125"/>
        <v>0.12042688565826953</v>
      </c>
      <c r="H118" s="20">
        <f>SUMIFS(Tabla2[A],Tabla2[ANY],$Z$76,Tabla2[MES],'2025'!H$2,Tabla2[TIPUS],'2025'!$A118)</f>
        <v>65.11</v>
      </c>
      <c r="I118" s="21">
        <f t="shared" si="126"/>
        <v>0.12042688565826953</v>
      </c>
      <c r="J118" s="20">
        <f>SUMIFS(Tabla2[A],Tabla2[ANY],$Z$76,Tabla2[MES],'2025'!J$2,Tabla2[TIPUS],'2025'!$A118)</f>
        <v>65.11</v>
      </c>
      <c r="K118" s="21">
        <f t="shared" si="127"/>
        <v>7.200044233108481E-2</v>
      </c>
      <c r="L118" s="20">
        <f>SUMIFS(Tabla2[A],Tabla2[ANY],$Z$76,Tabla2[MES],'2025'!L$2,Tabla2[TIPUS],'2025'!$A118)</f>
        <v>0</v>
      </c>
      <c r="M118" s="21">
        <f t="shared" si="128"/>
        <v>0</v>
      </c>
      <c r="N118" s="20">
        <f>SUMIFS(Tabla2[A],Tabla2[ANY],$Z$76,Tabla2[MES],'2025'!N$2,Tabla2[TIPUS],'2025'!$A118)</f>
        <v>0</v>
      </c>
      <c r="O118" s="21">
        <f t="shared" si="129"/>
        <v>0</v>
      </c>
      <c r="P118" s="20">
        <f>SUMIFS(Tabla2[A],Tabla2[ANY],$Z$76,Tabla2[MES],'2025'!P$2,Tabla2[TIPUS],'2025'!$A118)</f>
        <v>0</v>
      </c>
      <c r="Q118" s="21">
        <f t="shared" si="130"/>
        <v>0</v>
      </c>
      <c r="R118" s="20">
        <f>SUMIFS(Tabla2[A],Tabla2[ANY],$Z$76,Tabla2[MES],'2025'!R$2,Tabla2[TIPUS],'2025'!$A118)</f>
        <v>0</v>
      </c>
      <c r="S118" s="21">
        <f t="shared" si="131"/>
        <v>0</v>
      </c>
      <c r="T118" s="20">
        <f>SUMIFS(Tabla2[A],Tabla2[ANY],$Z$76,Tabla2[MES],'2025'!T$2,Tabla2[TIPUS],'2025'!$A118)</f>
        <v>0</v>
      </c>
      <c r="U118" s="21">
        <f t="shared" si="132"/>
        <v>0</v>
      </c>
      <c r="V118" s="20">
        <f>SUMIFS(Tabla2[A],Tabla2[ANY],$Z$76,Tabla2[MES],'2025'!V$2,Tabla2[TIPUS],'2025'!$A118)</f>
        <v>0</v>
      </c>
      <c r="W118" s="21">
        <f t="shared" si="133"/>
        <v>0</v>
      </c>
      <c r="X118" s="20">
        <f>SUMIFS(Tabla2[A],Tabla2[ANY],$Z$76,Tabla2[MES],'2025'!X$2,Tabla2[TIPUS],'2025'!$A118)</f>
        <v>0</v>
      </c>
      <c r="Y118" s="21">
        <f t="shared" si="134"/>
        <v>0</v>
      </c>
      <c r="Z118" s="20">
        <f t="shared" si="135"/>
        <v>323.97000000000003</v>
      </c>
      <c r="AA118" s="21">
        <f t="shared" si="137"/>
        <v>9.2975402284995998E-2</v>
      </c>
    </row>
    <row r="119" spans="1:27" hidden="1" outlineLevel="1" x14ac:dyDescent="0.2">
      <c r="A119" s="8" t="s">
        <v>94</v>
      </c>
      <c r="B119" s="20">
        <f>SUMIFS(Tabla2[A],Tabla2[ANY],$Z$76,Tabla2[MES],'2025'!B$2,Tabla2[TIPUS],'2025'!$A119)</f>
        <v>0</v>
      </c>
      <c r="C119" s="21">
        <f t="shared" si="136"/>
        <v>0</v>
      </c>
      <c r="D119" s="20">
        <f>SUMIFS(Tabla2[A],Tabla2[ANY],$Z$76,Tabla2[MES],'2025'!D$2,Tabla2[TIPUS],'2025'!$A119)</f>
        <v>0</v>
      </c>
      <c r="E119" s="21">
        <f t="shared" si="136"/>
        <v>0</v>
      </c>
      <c r="F119" s="20">
        <f>SUMIFS(Tabla2[A],Tabla2[ANY],$Z$76,Tabla2[MES],'2025'!F$2,Tabla2[TIPUS],'2025'!$A119)</f>
        <v>0</v>
      </c>
      <c r="G119" s="21">
        <f t="shared" si="125"/>
        <v>0</v>
      </c>
      <c r="H119" s="20">
        <f>SUMIFS(Tabla2[A],Tabla2[ANY],$Z$76,Tabla2[MES],'2025'!H$2,Tabla2[TIPUS],'2025'!$A119)</f>
        <v>0</v>
      </c>
      <c r="I119" s="21">
        <f t="shared" si="126"/>
        <v>0</v>
      </c>
      <c r="J119" s="20">
        <f>SUMIFS(Tabla2[A],Tabla2[ANY],$Z$76,Tabla2[MES],'2025'!J$2,Tabla2[TIPUS],'2025'!$A119)</f>
        <v>371.09</v>
      </c>
      <c r="K119" s="21">
        <f t="shared" si="127"/>
        <v>0.41036160566183782</v>
      </c>
      <c r="L119" s="20">
        <f>SUMIFS(Tabla2[A],Tabla2[ANY],$Z$76,Tabla2[MES],'2025'!L$2,Tabla2[TIPUS],'2025'!$A119)</f>
        <v>0</v>
      </c>
      <c r="M119" s="21">
        <f t="shared" si="128"/>
        <v>0</v>
      </c>
      <c r="N119" s="20">
        <f>SUMIFS(Tabla2[A],Tabla2[ANY],$Z$76,Tabla2[MES],'2025'!N$2,Tabla2[TIPUS],'2025'!$A119)</f>
        <v>0</v>
      </c>
      <c r="O119" s="21">
        <f t="shared" si="129"/>
        <v>0</v>
      </c>
      <c r="P119" s="20">
        <f>SUMIFS(Tabla2[A],Tabla2[ANY],$Z$76,Tabla2[MES],'2025'!P$2,Tabla2[TIPUS],'2025'!$A119)</f>
        <v>0</v>
      </c>
      <c r="Q119" s="21">
        <f t="shared" si="130"/>
        <v>0</v>
      </c>
      <c r="R119" s="20">
        <f>SUMIFS(Tabla2[A],Tabla2[ANY],$Z$76,Tabla2[MES],'2025'!R$2,Tabla2[TIPUS],'2025'!$A119)</f>
        <v>0</v>
      </c>
      <c r="S119" s="21">
        <f t="shared" si="131"/>
        <v>0</v>
      </c>
      <c r="T119" s="20">
        <f>SUMIFS(Tabla2[A],Tabla2[ANY],$Z$76,Tabla2[MES],'2025'!T$2,Tabla2[TIPUS],'2025'!$A119)</f>
        <v>0</v>
      </c>
      <c r="U119" s="21">
        <f t="shared" si="132"/>
        <v>0</v>
      </c>
      <c r="V119" s="20">
        <f>SUMIFS(Tabla2[A],Tabla2[ANY],$Z$76,Tabla2[MES],'2025'!V$2,Tabla2[TIPUS],'2025'!$A119)</f>
        <v>0</v>
      </c>
      <c r="W119" s="21">
        <f t="shared" si="133"/>
        <v>0</v>
      </c>
      <c r="X119" s="20">
        <f>SUMIFS(Tabla2[A],Tabla2[ANY],$Z$76,Tabla2[MES],'2025'!X$2,Tabla2[TIPUS],'2025'!$A119)</f>
        <v>0</v>
      </c>
      <c r="Y119" s="21">
        <f t="shared" si="134"/>
        <v>0</v>
      </c>
      <c r="Z119" s="20">
        <f t="shared" si="135"/>
        <v>371.09</v>
      </c>
      <c r="AA119" s="21">
        <f t="shared" si="137"/>
        <v>0.10649826228953038</v>
      </c>
    </row>
    <row r="120" spans="1:27" hidden="1" outlineLevel="1" x14ac:dyDescent="0.2">
      <c r="A120" s="8" t="s">
        <v>118</v>
      </c>
      <c r="B120" s="20">
        <f>SUMIFS(Tabla2[A],Tabla2[ANY],$Z$76,Tabla2[MES],'2025'!B$2,Tabla2[TIPUS],'2025'!$A120)</f>
        <v>0</v>
      </c>
      <c r="C120" s="21">
        <f t="shared" si="136"/>
        <v>0</v>
      </c>
      <c r="D120" s="20">
        <f>SUMIFS(Tabla2[A],Tabla2[ANY],$Z$76,Tabla2[MES],'2025'!D$2,Tabla2[TIPUS],'2025'!$A120)</f>
        <v>0</v>
      </c>
      <c r="E120" s="21">
        <f t="shared" si="136"/>
        <v>0</v>
      </c>
      <c r="F120" s="20">
        <f>SUMIFS(Tabla2[A],Tabla2[ANY],$Z$76,Tabla2[MES],'2025'!F$2,Tabla2[TIPUS],'2025'!$A120)</f>
        <v>0</v>
      </c>
      <c r="G120" s="21">
        <f t="shared" si="125"/>
        <v>0</v>
      </c>
      <c r="H120" s="20">
        <f>SUMIFS(Tabla2[A],Tabla2[ANY],$Z$76,Tabla2[MES],'2025'!H$2,Tabla2[TIPUS],'2025'!$A120)</f>
        <v>0</v>
      </c>
      <c r="I120" s="21">
        <f t="shared" si="126"/>
        <v>0</v>
      </c>
      <c r="J120" s="20">
        <f>SUMIFS(Tabla2[A],Tabla2[ANY],$Z$76,Tabla2[MES],'2025'!J$2,Tabla2[TIPUS],'2025'!$A120)</f>
        <v>0</v>
      </c>
      <c r="K120" s="21">
        <f t="shared" si="127"/>
        <v>0</v>
      </c>
      <c r="L120" s="20">
        <f>SUMIFS(Tabla2[A],Tabla2[ANY],$Z$76,Tabla2[MES],'2025'!L$2,Tabla2[TIPUS],'2025'!$A120)</f>
        <v>0</v>
      </c>
      <c r="M120" s="21">
        <f t="shared" si="128"/>
        <v>0</v>
      </c>
      <c r="N120" s="20">
        <f>SUMIFS(Tabla2[A],Tabla2[ANY],$Z$76,Tabla2[MES],'2025'!N$2,Tabla2[TIPUS],'2025'!$A120)</f>
        <v>0</v>
      </c>
      <c r="O120" s="21">
        <f t="shared" si="129"/>
        <v>0</v>
      </c>
      <c r="P120" s="20">
        <f>SUMIFS(Tabla2[A],Tabla2[ANY],$Z$76,Tabla2[MES],'2025'!P$2,Tabla2[TIPUS],'2025'!$A120)</f>
        <v>0</v>
      </c>
      <c r="Q120" s="21">
        <f t="shared" si="130"/>
        <v>0</v>
      </c>
      <c r="R120" s="20">
        <f>SUMIFS(Tabla2[A],Tabla2[ANY],$Z$76,Tabla2[MES],'2025'!R$2,Tabla2[TIPUS],'2025'!$A120)</f>
        <v>0</v>
      </c>
      <c r="S120" s="21">
        <f t="shared" si="131"/>
        <v>0</v>
      </c>
      <c r="T120" s="20">
        <f>SUMIFS(Tabla2[A],Tabla2[ANY],$Z$76,Tabla2[MES],'2025'!T$2,Tabla2[TIPUS],'2025'!$A120)</f>
        <v>0</v>
      </c>
      <c r="U120" s="21">
        <f t="shared" si="132"/>
        <v>0</v>
      </c>
      <c r="V120" s="20">
        <f>SUMIFS(Tabla2[A],Tabla2[ANY],$Z$76,Tabla2[MES],'2025'!V$2,Tabla2[TIPUS],'2025'!$A120)</f>
        <v>0</v>
      </c>
      <c r="W120" s="21">
        <f t="shared" si="133"/>
        <v>0</v>
      </c>
      <c r="X120" s="20">
        <f>SUMIFS(Tabla2[A],Tabla2[ANY],$Z$76,Tabla2[MES],'2025'!X$2,Tabla2[TIPUS],'2025'!$A120)</f>
        <v>0</v>
      </c>
      <c r="Y120" s="21">
        <f t="shared" si="134"/>
        <v>0</v>
      </c>
      <c r="Z120" s="20">
        <f t="shared" si="135"/>
        <v>0</v>
      </c>
      <c r="AA120" s="21">
        <f t="shared" si="137"/>
        <v>0</v>
      </c>
    </row>
    <row r="121" spans="1:27" hidden="1" outlineLevel="1" x14ac:dyDescent="0.2">
      <c r="A121" s="8" t="s">
        <v>97</v>
      </c>
      <c r="B121" s="20">
        <f>SUMIFS(Tabla2[A],Tabla2[ANY],$Z$76,Tabla2[MES],'2025'!B$2,Tabla2[TIPUS],'2025'!$A121)</f>
        <v>0</v>
      </c>
      <c r="C121" s="21">
        <f t="shared" si="136"/>
        <v>0</v>
      </c>
      <c r="D121" s="20">
        <f>SUMIFS(Tabla2[A],Tabla2[ANY],$Z$76,Tabla2[MES],'2025'!D$2,Tabla2[TIPUS],'2025'!$A121)</f>
        <v>0</v>
      </c>
      <c r="E121" s="21">
        <f t="shared" si="136"/>
        <v>0</v>
      </c>
      <c r="F121" s="20">
        <f>SUMIFS(Tabla2[A],Tabla2[ANY],$Z$76,Tabla2[MES],'2025'!F$2,Tabla2[TIPUS],'2025'!$A121)</f>
        <v>0</v>
      </c>
      <c r="G121" s="21">
        <f t="shared" si="125"/>
        <v>0</v>
      </c>
      <c r="H121" s="20">
        <f>SUMIFS(Tabla2[A],Tabla2[ANY],$Z$76,Tabla2[MES],'2025'!H$2,Tabla2[TIPUS],'2025'!$A121)</f>
        <v>0</v>
      </c>
      <c r="I121" s="21">
        <f t="shared" si="126"/>
        <v>0</v>
      </c>
      <c r="J121" s="20">
        <f>SUMIFS(Tabla2[A],Tabla2[ANY],$Z$76,Tabla2[MES],'2025'!J$2,Tabla2[TIPUS],'2025'!$A121)</f>
        <v>0</v>
      </c>
      <c r="K121" s="21">
        <f t="shared" si="127"/>
        <v>0</v>
      </c>
      <c r="L121" s="20">
        <f>SUMIFS(Tabla2[A],Tabla2[ANY],$Z$76,Tabla2[MES],'2025'!L$2,Tabla2[TIPUS],'2025'!$A121)</f>
        <v>0</v>
      </c>
      <c r="M121" s="21">
        <f t="shared" si="128"/>
        <v>0</v>
      </c>
      <c r="N121" s="20">
        <f>SUMIFS(Tabla2[A],Tabla2[ANY],$Z$76,Tabla2[MES],'2025'!N$2,Tabla2[TIPUS],'2025'!$A121)</f>
        <v>0</v>
      </c>
      <c r="O121" s="21">
        <f t="shared" si="129"/>
        <v>0</v>
      </c>
      <c r="P121" s="20">
        <f>SUMIFS(Tabla2[A],Tabla2[ANY],$Z$76,Tabla2[MES],'2025'!P$2,Tabla2[TIPUS],'2025'!$A121)</f>
        <v>0</v>
      </c>
      <c r="Q121" s="21">
        <f t="shared" si="130"/>
        <v>0</v>
      </c>
      <c r="R121" s="20">
        <f>SUMIFS(Tabla2[A],Tabla2[ANY],$Z$76,Tabla2[MES],'2025'!R$2,Tabla2[TIPUS],'2025'!$A121)</f>
        <v>0</v>
      </c>
      <c r="S121" s="21">
        <f t="shared" si="131"/>
        <v>0</v>
      </c>
      <c r="T121" s="20">
        <f>SUMIFS(Tabla2[A],Tabla2[ANY],$Z$76,Tabla2[MES],'2025'!T$2,Tabla2[TIPUS],'2025'!$A121)</f>
        <v>0</v>
      </c>
      <c r="U121" s="21">
        <f t="shared" si="132"/>
        <v>0</v>
      </c>
      <c r="V121" s="20">
        <f>SUMIFS(Tabla2[A],Tabla2[ANY],$Z$76,Tabla2[MES],'2025'!V$2,Tabla2[TIPUS],'2025'!$A121)</f>
        <v>0</v>
      </c>
      <c r="W121" s="21">
        <f t="shared" si="133"/>
        <v>0</v>
      </c>
      <c r="X121" s="20">
        <f>SUMIFS(Tabla2[A],Tabla2[ANY],$Z$76,Tabla2[MES],'2025'!X$2,Tabla2[TIPUS],'2025'!$A121)</f>
        <v>0</v>
      </c>
      <c r="Y121" s="21">
        <f t="shared" si="134"/>
        <v>0</v>
      </c>
      <c r="Z121" s="20">
        <f t="shared" si="135"/>
        <v>0</v>
      </c>
      <c r="AA121" s="21">
        <f t="shared" si="137"/>
        <v>0</v>
      </c>
    </row>
    <row r="122" spans="1:27" hidden="1" outlineLevel="1" x14ac:dyDescent="0.2">
      <c r="A122" s="8" t="s">
        <v>113</v>
      </c>
      <c r="B122" s="20">
        <f>SUMIFS(Tabla2[A],Tabla2[ANY],$Z$76,Tabla2[MES],'2025'!B$2,Tabla2[TIPUS],'2025'!$A122)</f>
        <v>63.9</v>
      </c>
      <c r="C122" s="21">
        <f t="shared" si="136"/>
        <v>0.11934333152793083</v>
      </c>
      <c r="D122" s="20">
        <f>SUMIFS(Tabla2[A],Tabla2[ANY],$Z$76,Tabla2[MES],'2025'!D$2,Tabla2[TIPUS],'2025'!$A122)</f>
        <v>65.11</v>
      </c>
      <c r="E122" s="21">
        <f t="shared" si="136"/>
        <v>0.1209728363866077</v>
      </c>
      <c r="F122" s="20">
        <f>SUMIFS(Tabla2[A],Tabla2[ANY],$Z$76,Tabla2[MES],'2025'!F$2,Tabla2[TIPUS],'2025'!$A122)</f>
        <v>67.55</v>
      </c>
      <c r="G122" s="21">
        <f t="shared" si="125"/>
        <v>0.12493988828468909</v>
      </c>
      <c r="H122" s="20">
        <f>SUMIFS(Tabla2[A],Tabla2[ANY],$Z$76,Tabla2[MES],'2025'!H$2,Tabla2[TIPUS],'2025'!$A122)</f>
        <v>67.55</v>
      </c>
      <c r="I122" s="21">
        <f t="shared" si="126"/>
        <v>0.12493988828468909</v>
      </c>
      <c r="J122" s="20">
        <f>SUMIFS(Tabla2[A],Tabla2[ANY],$Z$76,Tabla2[MES],'2025'!J$2,Tabla2[TIPUS],'2025'!$A122)</f>
        <v>68.099999999999994</v>
      </c>
      <c r="K122" s="21">
        <f t="shared" si="127"/>
        <v>7.5306867190091775E-2</v>
      </c>
      <c r="L122" s="20">
        <f>SUMIFS(Tabla2[A],Tabla2[ANY],$Z$76,Tabla2[MES],'2025'!L$2,Tabla2[TIPUS],'2025'!$A122)</f>
        <v>0</v>
      </c>
      <c r="M122" s="21">
        <f t="shared" si="128"/>
        <v>0</v>
      </c>
      <c r="N122" s="20">
        <f>SUMIFS(Tabla2[A],Tabla2[ANY],$Z$76,Tabla2[MES],'2025'!N$2,Tabla2[TIPUS],'2025'!$A122)</f>
        <v>0</v>
      </c>
      <c r="O122" s="21">
        <f t="shared" si="129"/>
        <v>0</v>
      </c>
      <c r="P122" s="20">
        <f>SUMIFS(Tabla2[A],Tabla2[ANY],$Z$76,Tabla2[MES],'2025'!P$2,Tabla2[TIPUS],'2025'!$A122)</f>
        <v>0</v>
      </c>
      <c r="Q122" s="21">
        <f t="shared" si="130"/>
        <v>0</v>
      </c>
      <c r="R122" s="20">
        <f>SUMIFS(Tabla2[A],Tabla2[ANY],$Z$76,Tabla2[MES],'2025'!R$2,Tabla2[TIPUS],'2025'!$A122)</f>
        <v>0</v>
      </c>
      <c r="S122" s="21">
        <f t="shared" si="131"/>
        <v>0</v>
      </c>
      <c r="T122" s="20">
        <f>SUMIFS(Tabla2[A],Tabla2[ANY],$Z$76,Tabla2[MES],'2025'!T$2,Tabla2[TIPUS],'2025'!$A122)</f>
        <v>0</v>
      </c>
      <c r="U122" s="21">
        <f t="shared" si="132"/>
        <v>0</v>
      </c>
      <c r="V122" s="20">
        <f>SUMIFS(Tabla2[A],Tabla2[ANY],$Z$76,Tabla2[MES],'2025'!V$2,Tabla2[TIPUS],'2025'!$A122)</f>
        <v>0</v>
      </c>
      <c r="W122" s="21">
        <f t="shared" si="133"/>
        <v>0</v>
      </c>
      <c r="X122" s="20">
        <f>SUMIFS(Tabla2[A],Tabla2[ANY],$Z$76,Tabla2[MES],'2025'!X$2,Tabla2[TIPUS],'2025'!$A122)</f>
        <v>0</v>
      </c>
      <c r="Y122" s="21">
        <f t="shared" si="134"/>
        <v>0</v>
      </c>
      <c r="Z122" s="20">
        <f t="shared" si="135"/>
        <v>332.21000000000004</v>
      </c>
      <c r="AA122" s="21">
        <f t="shared" si="137"/>
        <v>9.5340180859642937E-2</v>
      </c>
    </row>
    <row r="123" spans="1:27" collapsed="1" x14ac:dyDescent="0.2">
      <c r="A123" s="34" t="s">
        <v>86</v>
      </c>
      <c r="B123" s="18">
        <f>SUM(B124:B128)</f>
        <v>79.360000000000014</v>
      </c>
      <c r="C123" s="19">
        <f>IF(B$114=0,0,B123/B$114)</f>
        <v>0.12908472811854457</v>
      </c>
      <c r="D123" s="18">
        <f>SUM(D124:D128)</f>
        <v>251.51</v>
      </c>
      <c r="E123" s="19">
        <f>IF(D$114=0,0,D123/D$114)</f>
        <v>0.318475934813164</v>
      </c>
      <c r="F123" s="18">
        <f>SUM(F124:F128)</f>
        <v>325</v>
      </c>
      <c r="G123" s="19">
        <f>IF(F$114=0,0,F123/F$114)</f>
        <v>0.37543608345077745</v>
      </c>
      <c r="H123" s="18">
        <f>SUM(H124:H128)</f>
        <v>174.30999999999995</v>
      </c>
      <c r="I123" s="19">
        <f>IF(H$114=0,0,H123/H$114)</f>
        <v>0.24380043917926622</v>
      </c>
      <c r="J123" s="18">
        <f>SUM(J124:J128)</f>
        <v>186.52999999999997</v>
      </c>
      <c r="K123" s="19">
        <f>IF(J$114=0,0,J123/J$114)</f>
        <v>0.17099823070505943</v>
      </c>
      <c r="L123" s="18">
        <f>SUM(L124:L128)</f>
        <v>140.36000000000001</v>
      </c>
      <c r="M123" s="19">
        <f>IF(L$114=0,0,L123/L$114)</f>
        <v>0.24817879623735772</v>
      </c>
      <c r="N123" s="18">
        <f>SUM(N124:N128)</f>
        <v>0</v>
      </c>
      <c r="O123" s="19">
        <f>IF(N$114=0,0,N123/N$114)</f>
        <v>0</v>
      </c>
      <c r="P123" s="18">
        <f>SUM(P124:P128)</f>
        <v>0</v>
      </c>
      <c r="Q123" s="19">
        <f>IF(P$114=0,0,P123/P$114)</f>
        <v>0</v>
      </c>
      <c r="R123" s="18">
        <f>SUM(R124:R128)</f>
        <v>0</v>
      </c>
      <c r="S123" s="19">
        <f>IF(R$114=0,0,R123/R$114)</f>
        <v>0</v>
      </c>
      <c r="T123" s="18">
        <f>SUM(T124:T128)</f>
        <v>0</v>
      </c>
      <c r="U123" s="19">
        <f>IF(T$114=0,0,T123/T$114)</f>
        <v>0</v>
      </c>
      <c r="V123" s="18">
        <f>SUM(V124:V128)</f>
        <v>0</v>
      </c>
      <c r="W123" s="19">
        <f>IF(V$114=0,0,V123/V$114)</f>
        <v>0</v>
      </c>
      <c r="X123" s="18">
        <f>SUM(X124:X128)</f>
        <v>0</v>
      </c>
      <c r="Y123" s="19">
        <f>IF(X$114=0,0,X123/X$114)</f>
        <v>0</v>
      </c>
      <c r="Z123" s="18">
        <f>SUM(Z124:Z128)</f>
        <v>1157.07</v>
      </c>
      <c r="AA123" s="19">
        <f>IF(Z$114=0,0,Z123/Z$114)</f>
        <v>0.24928579738621232</v>
      </c>
    </row>
    <row r="124" spans="1:27" hidden="1" outlineLevel="1" x14ac:dyDescent="0.2">
      <c r="A124" s="8" t="s">
        <v>87</v>
      </c>
      <c r="B124" s="20">
        <f>SUMIFS(Tabla2[A],Tabla2[ANY],$Z$76,Tabla2[MES],'2025'!B$2,Tabla2[TIPUS],'2025'!$A124)</f>
        <v>79.360000000000014</v>
      </c>
      <c r="C124" s="21">
        <f>IF(B$123=0,0,B124/B$123)</f>
        <v>1</v>
      </c>
      <c r="D124" s="20">
        <f>SUMIFS(Tabla2[A],Tabla2[ANY],$Z$76,Tabla2[MES],'2025'!D$2,Tabla2[TIPUS],'2025'!$A124)</f>
        <v>251.51</v>
      </c>
      <c r="E124" s="21">
        <f>IF(D$123=0,0,D124/D$123)</f>
        <v>1</v>
      </c>
      <c r="F124" s="20">
        <f>SUMIFS(Tabla2[A],Tabla2[ANY],$Z$76,Tabla2[MES],'2025'!F$2,Tabla2[TIPUS],'2025'!$A124)</f>
        <v>170</v>
      </c>
      <c r="G124" s="21">
        <f>IF(F$123=0,0,F124/F$123)</f>
        <v>0.52307692307692311</v>
      </c>
      <c r="H124" s="20">
        <f>SUMIFS(Tabla2[A],Tabla2[ANY],$Z$76,Tabla2[MES],'2025'!H$2,Tabla2[TIPUS],'2025'!$A124)</f>
        <v>174.30999999999995</v>
      </c>
      <c r="I124" s="21">
        <f>IF(H$123=0,0,H124/H$123)</f>
        <v>1</v>
      </c>
      <c r="J124" s="20">
        <f>SUMIFS(Tabla2[A],Tabla2[ANY],$Z$76,Tabla2[MES],'2025'!J$2,Tabla2[TIPUS],'2025'!$A124)</f>
        <v>186.52999999999997</v>
      </c>
      <c r="K124" s="21">
        <f>IF(J$123=0,0,J124/J$123)</f>
        <v>1</v>
      </c>
      <c r="L124" s="20">
        <f>SUMIFS(Tabla2[A],Tabla2[ANY],$Z$76,Tabla2[MES],'2025'!L$2,Tabla2[TIPUS],'2025'!$A124)</f>
        <v>75.360000000000014</v>
      </c>
      <c r="M124" s="21">
        <f>IF(L$123=0,0,L124/L$123)</f>
        <v>0.53690510116842405</v>
      </c>
      <c r="N124" s="20">
        <f>SUMIFS(Tabla2[A],Tabla2[ANY],$Z$76,Tabla2[MES],'2025'!N$2,Tabla2[TIPUS],'2025'!$A124)</f>
        <v>0</v>
      </c>
      <c r="O124" s="21">
        <f>IF(N$123=0,0,N124/N$123)</f>
        <v>0</v>
      </c>
      <c r="P124" s="20">
        <f>SUMIFS(Tabla2[A],Tabla2[ANY],$Z$76,Tabla2[MES],'2025'!P$2,Tabla2[TIPUS],'2025'!$A124)</f>
        <v>0</v>
      </c>
      <c r="Q124" s="21">
        <f>IF(P$123=0,0,P124/P$123)</f>
        <v>0</v>
      </c>
      <c r="R124" s="20">
        <f>SUMIFS(Tabla2[A],Tabla2[ANY],$Z$76,Tabla2[MES],'2025'!R$2,Tabla2[TIPUS],'2025'!$A124)</f>
        <v>0</v>
      </c>
      <c r="S124" s="21">
        <f>IF(R$123=0,0,R124/R$123)</f>
        <v>0</v>
      </c>
      <c r="T124" s="20">
        <f>SUMIFS(Tabla2[A],Tabla2[ANY],$Z$76,Tabla2[MES],'2025'!T$2,Tabla2[TIPUS],'2025'!$A124)</f>
        <v>0</v>
      </c>
      <c r="U124" s="21">
        <f>IF(T$123=0,0,T124/T$123)</f>
        <v>0</v>
      </c>
      <c r="V124" s="20">
        <f>SUMIFS(Tabla2[A],Tabla2[ANY],$Z$76,Tabla2[MES],'2025'!V$2,Tabla2[TIPUS],'2025'!$A124)</f>
        <v>0</v>
      </c>
      <c r="W124" s="21">
        <f>IF(V$123=0,0,V124/V$123)</f>
        <v>0</v>
      </c>
      <c r="X124" s="20">
        <f>SUMIFS(Tabla2[A],Tabla2[ANY],$Z$76,Tabla2[MES],'2025'!X$2,Tabla2[TIPUS],'2025'!$A124)</f>
        <v>0</v>
      </c>
      <c r="Y124" s="21">
        <f>IF(X$123=0,0,X124/X$123)</f>
        <v>0</v>
      </c>
      <c r="Z124" s="20">
        <f t="shared" si="135"/>
        <v>937.06999999999994</v>
      </c>
      <c r="AA124" s="21">
        <f>IF(Z$123=0,0,Z124/Z$123)</f>
        <v>0.80986457171994775</v>
      </c>
    </row>
    <row r="125" spans="1:27" hidden="1" outlineLevel="1" x14ac:dyDescent="0.2">
      <c r="A125" s="8" t="s">
        <v>88</v>
      </c>
      <c r="B125" s="20">
        <f>SUMIFS(Tabla2[A],Tabla2[ANY],$Z$76,Tabla2[MES],'2025'!B$2,Tabla2[TIPUS],'2025'!$A125)</f>
        <v>0</v>
      </c>
      <c r="C125" s="21">
        <f t="shared" ref="C125:E128" si="138">IF(B$123=0,0,B125/B$123)</f>
        <v>0</v>
      </c>
      <c r="D125" s="20">
        <f>SUMIFS(Tabla2[A],Tabla2[ANY],$Z$76,Tabla2[MES],'2025'!D$2,Tabla2[TIPUS],'2025'!$A125)</f>
        <v>0</v>
      </c>
      <c r="E125" s="21">
        <f t="shared" si="138"/>
        <v>0</v>
      </c>
      <c r="F125" s="20">
        <f>SUMIFS(Tabla2[A],Tabla2[ANY],$Z$76,Tabla2[MES],'2025'!F$2,Tabla2[TIPUS],'2025'!$A125)</f>
        <v>0</v>
      </c>
      <c r="G125" s="21">
        <f>IF(F$123=0,0,F125/F$123)</f>
        <v>0</v>
      </c>
      <c r="H125" s="20">
        <f>SUMIFS(Tabla2[A],Tabla2[ANY],$Z$76,Tabla2[MES],'2025'!H$2,Tabla2[TIPUS],'2025'!$A125)</f>
        <v>0</v>
      </c>
      <c r="I125" s="21">
        <f>IF(H$123=0,0,H125/H$123)</f>
        <v>0</v>
      </c>
      <c r="J125" s="20">
        <f>SUMIFS(Tabla2[A],Tabla2[ANY],$Z$76,Tabla2[MES],'2025'!J$2,Tabla2[TIPUS],'2025'!$A125)</f>
        <v>0</v>
      </c>
      <c r="K125" s="21">
        <f>IF(J$123=0,0,J125/J$123)</f>
        <v>0</v>
      </c>
      <c r="L125" s="20">
        <f>SUMIFS(Tabla2[A],Tabla2[ANY],$Z$76,Tabla2[MES],'2025'!L$2,Tabla2[TIPUS],'2025'!$A125)</f>
        <v>0</v>
      </c>
      <c r="M125" s="21">
        <f>IF(L$123=0,0,L125/L$123)</f>
        <v>0</v>
      </c>
      <c r="N125" s="20">
        <f>SUMIFS(Tabla2[A],Tabla2[ANY],$Z$76,Tabla2[MES],'2025'!N$2,Tabla2[TIPUS],'2025'!$A125)</f>
        <v>0</v>
      </c>
      <c r="O125" s="21">
        <f>IF(N$123=0,0,N125/N$123)</f>
        <v>0</v>
      </c>
      <c r="P125" s="20">
        <f>SUMIFS(Tabla2[A],Tabla2[ANY],$Z$76,Tabla2[MES],'2025'!P$2,Tabla2[TIPUS],'2025'!$A125)</f>
        <v>0</v>
      </c>
      <c r="Q125" s="21">
        <f>IF(P$123=0,0,P125/P$123)</f>
        <v>0</v>
      </c>
      <c r="R125" s="20">
        <f>SUMIFS(Tabla2[A],Tabla2[ANY],$Z$76,Tabla2[MES],'2025'!R$2,Tabla2[TIPUS],'2025'!$A125)</f>
        <v>0</v>
      </c>
      <c r="S125" s="21">
        <f>IF(R$123=0,0,R125/R$123)</f>
        <v>0</v>
      </c>
      <c r="T125" s="20">
        <f>SUMIFS(Tabla2[A],Tabla2[ANY],$Z$76,Tabla2[MES],'2025'!T$2,Tabla2[TIPUS],'2025'!$A125)</f>
        <v>0</v>
      </c>
      <c r="U125" s="21">
        <f>IF(T$123=0,0,T125/T$123)</f>
        <v>0</v>
      </c>
      <c r="V125" s="20">
        <f>SUMIFS(Tabla2[A],Tabla2[ANY],$Z$76,Tabla2[MES],'2025'!V$2,Tabla2[TIPUS],'2025'!$A125)</f>
        <v>0</v>
      </c>
      <c r="W125" s="21">
        <f>IF(V$123=0,0,V125/V$123)</f>
        <v>0</v>
      </c>
      <c r="X125" s="20">
        <f>SUMIFS(Tabla2[A],Tabla2[ANY],$Z$76,Tabla2[MES],'2025'!X$2,Tabla2[TIPUS],'2025'!$A125)</f>
        <v>0</v>
      </c>
      <c r="Y125" s="21">
        <f>IF(X$123=0,0,X125/X$123)</f>
        <v>0</v>
      </c>
      <c r="Z125" s="20">
        <f t="shared" si="135"/>
        <v>0</v>
      </c>
      <c r="AA125" s="21">
        <f>IF(Z$123=0,0,Z125/Z$123)</f>
        <v>0</v>
      </c>
    </row>
    <row r="126" spans="1:27" hidden="1" outlineLevel="1" x14ac:dyDescent="0.2">
      <c r="A126" s="8" t="s">
        <v>89</v>
      </c>
      <c r="B126" s="20">
        <f>SUMIFS(Tabla2[A],Tabla2[ANY],$Z$76,Tabla2[MES],'2025'!B$2,Tabla2[TIPUS],'2025'!$A126)</f>
        <v>0</v>
      </c>
      <c r="C126" s="21">
        <f t="shared" si="138"/>
        <v>0</v>
      </c>
      <c r="D126" s="20">
        <f>SUMIFS(Tabla2[A],Tabla2[ANY],$Z$76,Tabla2[MES],'2025'!D$2,Tabla2[TIPUS],'2025'!$A126)</f>
        <v>0</v>
      </c>
      <c r="E126" s="21">
        <f t="shared" si="138"/>
        <v>0</v>
      </c>
      <c r="F126" s="20">
        <f>SUMIFS(Tabla2[A],Tabla2[ANY],$Z$76,Tabla2[MES],'2025'!F$2,Tabla2[TIPUS],'2025'!$A126)</f>
        <v>155</v>
      </c>
      <c r="G126" s="21">
        <f>IF(F$123=0,0,F126/F$123)</f>
        <v>0.47692307692307695</v>
      </c>
      <c r="H126" s="20">
        <f>SUMIFS(Tabla2[A],Tabla2[ANY],$Z$76,Tabla2[MES],'2025'!H$2,Tabla2[TIPUS],'2025'!$A126)</f>
        <v>0</v>
      </c>
      <c r="I126" s="21">
        <f>IF(H$123=0,0,H126/H$123)</f>
        <v>0</v>
      </c>
      <c r="J126" s="20">
        <f>SUMIFS(Tabla2[A],Tabla2[ANY],$Z$76,Tabla2[MES],'2025'!J$2,Tabla2[TIPUS],'2025'!$A126)</f>
        <v>0</v>
      </c>
      <c r="K126" s="21">
        <f>IF(J$123=0,0,J126/J$123)</f>
        <v>0</v>
      </c>
      <c r="L126" s="20">
        <f>SUMIFS(Tabla2[A],Tabla2[ANY],$Z$76,Tabla2[MES],'2025'!L$2,Tabla2[TIPUS],'2025'!$A126)</f>
        <v>65</v>
      </c>
      <c r="M126" s="21">
        <f>IF(L$123=0,0,L126/L$123)</f>
        <v>0.4630948988315759</v>
      </c>
      <c r="N126" s="20">
        <f>SUMIFS(Tabla2[A],Tabla2[ANY],$Z$76,Tabla2[MES],'2025'!N$2,Tabla2[TIPUS],'2025'!$A126)</f>
        <v>0</v>
      </c>
      <c r="O126" s="21">
        <f>IF(N$123=0,0,N126/N$123)</f>
        <v>0</v>
      </c>
      <c r="P126" s="20">
        <f>SUMIFS(Tabla2[A],Tabla2[ANY],$Z$76,Tabla2[MES],'2025'!P$2,Tabla2[TIPUS],'2025'!$A126)</f>
        <v>0</v>
      </c>
      <c r="Q126" s="21">
        <f>IF(P$123=0,0,P126/P$123)</f>
        <v>0</v>
      </c>
      <c r="R126" s="20">
        <f>SUMIFS(Tabla2[A],Tabla2[ANY],$Z$76,Tabla2[MES],'2025'!R$2,Tabla2[TIPUS],'2025'!$A126)</f>
        <v>0</v>
      </c>
      <c r="S126" s="21">
        <f>IF(R$123=0,0,R126/R$123)</f>
        <v>0</v>
      </c>
      <c r="T126" s="20">
        <f>SUMIFS(Tabla2[A],Tabla2[ANY],$Z$76,Tabla2[MES],'2025'!T$2,Tabla2[TIPUS],'2025'!$A126)</f>
        <v>0</v>
      </c>
      <c r="U126" s="21">
        <f>IF(T$123=0,0,T126/T$123)</f>
        <v>0</v>
      </c>
      <c r="V126" s="20">
        <f>SUMIFS(Tabla2[A],Tabla2[ANY],$Z$76,Tabla2[MES],'2025'!V$2,Tabla2[TIPUS],'2025'!$A126)</f>
        <v>0</v>
      </c>
      <c r="W126" s="21">
        <f>IF(V$123=0,0,V126/V$123)</f>
        <v>0</v>
      </c>
      <c r="X126" s="20">
        <f>SUMIFS(Tabla2[A],Tabla2[ANY],$Z$76,Tabla2[MES],'2025'!X$2,Tabla2[TIPUS],'2025'!$A126)</f>
        <v>0</v>
      </c>
      <c r="Y126" s="21">
        <f>IF(X$123=0,0,X126/X$123)</f>
        <v>0</v>
      </c>
      <c r="Z126" s="20">
        <f t="shared" si="135"/>
        <v>220</v>
      </c>
      <c r="AA126" s="21">
        <f>IF(Z$123=0,0,Z126/Z$123)</f>
        <v>0.1901354282800522</v>
      </c>
    </row>
    <row r="127" spans="1:27" hidden="1" outlineLevel="1" x14ac:dyDescent="0.2">
      <c r="A127" s="8" t="s">
        <v>145</v>
      </c>
      <c r="B127" s="20">
        <f>SUMIFS(Tabla2[A],Tabla2[ANY],$Z$76,Tabla2[MES],'2025'!B$2,Tabla2[TIPUS],'2025'!$A127)</f>
        <v>0</v>
      </c>
      <c r="C127" s="21">
        <f>IF(B$123=0,0,B127/B$123)</f>
        <v>0</v>
      </c>
      <c r="D127" s="20">
        <f>SUMIFS(Tabla2[A],Tabla2[ANY],$Z$76,Tabla2[MES],'2025'!D$2,Tabla2[TIPUS],'2025'!$A127)</f>
        <v>0</v>
      </c>
      <c r="E127" s="21">
        <f>IF(D$123=0,0,D127/D$123)</f>
        <v>0</v>
      </c>
      <c r="F127" s="20">
        <f>SUMIFS(Tabla2[A],Tabla2[ANY],$Z$76,Tabla2[MES],'2025'!F$2,Tabla2[TIPUS],'2025'!$A127)</f>
        <v>0</v>
      </c>
      <c r="G127" s="21">
        <f>IF(F$123=0,0,F127/F$123)</f>
        <v>0</v>
      </c>
      <c r="H127" s="20">
        <f>SUMIFS(Tabla2[A],Tabla2[ANY],$Z$76,Tabla2[MES],'2025'!H$2,Tabla2[TIPUS],'2025'!$A127)</f>
        <v>0</v>
      </c>
      <c r="I127" s="21">
        <f>IF(H$123=0,0,H127/H$123)</f>
        <v>0</v>
      </c>
      <c r="J127" s="20">
        <f>SUMIFS(Tabla2[A],Tabla2[ANY],$Z$76,Tabla2[MES],'2025'!J$2,Tabla2[TIPUS],'2025'!$A127)</f>
        <v>0</v>
      </c>
      <c r="K127" s="21">
        <f>IF(J$123=0,0,J127/J$123)</f>
        <v>0</v>
      </c>
      <c r="L127" s="20">
        <f>SUMIFS(Tabla2[A],Tabla2[ANY],$Z$76,Tabla2[MES],'2025'!L$2,Tabla2[TIPUS],'2025'!$A127)</f>
        <v>0</v>
      </c>
      <c r="M127" s="21">
        <f>IF(L$123=0,0,L127/L$123)</f>
        <v>0</v>
      </c>
      <c r="N127" s="20">
        <f>SUMIFS(Tabla2[A],Tabla2[ANY],$Z$76,Tabla2[MES],'2025'!N$2,Tabla2[TIPUS],'2025'!$A127)</f>
        <v>0</v>
      </c>
      <c r="O127" s="21">
        <f>IF(N$123=0,0,N127/N$123)</f>
        <v>0</v>
      </c>
      <c r="P127" s="20">
        <f>SUMIFS(Tabla2[A],Tabla2[ANY],$Z$76,Tabla2[MES],'2025'!P$2,Tabla2[TIPUS],'2025'!$A127)</f>
        <v>0</v>
      </c>
      <c r="Q127" s="21">
        <f>IF(P$123=0,0,P127/P$123)</f>
        <v>0</v>
      </c>
      <c r="R127" s="20">
        <f>SUMIFS(Tabla2[A],Tabla2[ANY],$Z$76,Tabla2[MES],'2025'!R$2,Tabla2[TIPUS],'2025'!$A127)</f>
        <v>0</v>
      </c>
      <c r="S127" s="21">
        <f>IF(R$123=0,0,R127/R$123)</f>
        <v>0</v>
      </c>
      <c r="T127" s="20">
        <f>SUMIFS(Tabla2[A],Tabla2[ANY],$Z$76,Tabla2[MES],'2025'!T$2,Tabla2[TIPUS],'2025'!$A127)</f>
        <v>0</v>
      </c>
      <c r="U127" s="21">
        <f>IF(T$123=0,0,T127/T$123)</f>
        <v>0</v>
      </c>
      <c r="V127" s="20">
        <f>SUMIFS(Tabla2[A],Tabla2[ANY],$Z$76,Tabla2[MES],'2025'!V$2,Tabla2[TIPUS],'2025'!$A127)</f>
        <v>0</v>
      </c>
      <c r="W127" s="21">
        <f>IF(V$123=0,0,V127/V$123)</f>
        <v>0</v>
      </c>
      <c r="X127" s="20">
        <f>SUMIFS(Tabla2[A],Tabla2[ANY],$Z$76,Tabla2[MES],'2025'!X$2,Tabla2[TIPUS],'2025'!$A127)</f>
        <v>0</v>
      </c>
      <c r="Y127" s="21">
        <f>IF(X$123=0,0,X127/X$123)</f>
        <v>0</v>
      </c>
      <c r="Z127" s="20">
        <f>B127+D127+F127+H127+J127+L127+N127+P127+R127+T127+V127+X127</f>
        <v>0</v>
      </c>
      <c r="AA127" s="21">
        <f>IF(Z$123=0,0,Z127/Z$123)</f>
        <v>0</v>
      </c>
    </row>
    <row r="128" spans="1:27" hidden="1" outlineLevel="1" x14ac:dyDescent="0.2">
      <c r="A128" s="8" t="s">
        <v>90</v>
      </c>
      <c r="B128" s="20">
        <f>SUMIFS(Tabla2[A],Tabla2[ANY],$Z$76,Tabla2[MES],'2025'!B$2,Tabla2[TIPUS],'2025'!$A128)</f>
        <v>0</v>
      </c>
      <c r="C128" s="21">
        <f t="shared" si="138"/>
        <v>0</v>
      </c>
      <c r="D128" s="20">
        <f>SUMIFS(Tabla2[A],Tabla2[ANY],$Z$76,Tabla2[MES],'2025'!D$2,Tabla2[TIPUS],'2025'!$A128)</f>
        <v>0</v>
      </c>
      <c r="E128" s="21">
        <f t="shared" si="138"/>
        <v>0</v>
      </c>
      <c r="F128" s="20">
        <f>SUMIFS(Tabla2[A],Tabla2[ANY],$Z$76,Tabla2[MES],'2025'!F$2,Tabla2[TIPUS],'2025'!$A128)</f>
        <v>0</v>
      </c>
      <c r="G128" s="21">
        <f>IF(F$123=0,0,F128/F$123)</f>
        <v>0</v>
      </c>
      <c r="H128" s="20">
        <f>SUMIFS(Tabla2[A],Tabla2[ANY],$Z$76,Tabla2[MES],'2025'!H$2,Tabla2[TIPUS],'2025'!$A128)</f>
        <v>0</v>
      </c>
      <c r="I128" s="21">
        <f>IF(H$123=0,0,H128/H$123)</f>
        <v>0</v>
      </c>
      <c r="J128" s="20">
        <f>SUMIFS(Tabla2[A],Tabla2[ANY],$Z$76,Tabla2[MES],'2025'!J$2,Tabla2[TIPUS],'2025'!$A128)</f>
        <v>0</v>
      </c>
      <c r="K128" s="21">
        <f>IF(J$123=0,0,J128/J$123)</f>
        <v>0</v>
      </c>
      <c r="L128" s="20">
        <f>SUMIFS(Tabla2[A],Tabla2[ANY],$Z$76,Tabla2[MES],'2025'!L$2,Tabla2[TIPUS],'2025'!$A128)</f>
        <v>0</v>
      </c>
      <c r="M128" s="21">
        <f>IF(L$123=0,0,L128/L$123)</f>
        <v>0</v>
      </c>
      <c r="N128" s="20">
        <f>SUMIFS(Tabla2[A],Tabla2[ANY],$Z$76,Tabla2[MES],'2025'!N$2,Tabla2[TIPUS],'2025'!$A128)</f>
        <v>0</v>
      </c>
      <c r="O128" s="21">
        <f>IF(N$123=0,0,N128/N$123)</f>
        <v>0</v>
      </c>
      <c r="P128" s="20">
        <f>SUMIFS(Tabla2[A],Tabla2[ANY],$Z$76,Tabla2[MES],'2025'!P$2,Tabla2[TIPUS],'2025'!$A128)</f>
        <v>0</v>
      </c>
      <c r="Q128" s="21">
        <f>IF(P$123=0,0,P128/P$123)</f>
        <v>0</v>
      </c>
      <c r="R128" s="20">
        <f>SUMIFS(Tabla2[A],Tabla2[ANY],$Z$76,Tabla2[MES],'2025'!R$2,Tabla2[TIPUS],'2025'!$A128)</f>
        <v>0</v>
      </c>
      <c r="S128" s="21">
        <f>IF(R$123=0,0,R128/R$123)</f>
        <v>0</v>
      </c>
      <c r="T128" s="20">
        <f>SUMIFS(Tabla2[A],Tabla2[ANY],$Z$76,Tabla2[MES],'2025'!T$2,Tabla2[TIPUS],'2025'!$A128)</f>
        <v>0</v>
      </c>
      <c r="U128" s="21">
        <f>IF(T$123=0,0,T128/T$123)</f>
        <v>0</v>
      </c>
      <c r="V128" s="20">
        <f>SUMIFS(Tabla2[A],Tabla2[ANY],$Z$76,Tabla2[MES],'2025'!V$2,Tabla2[TIPUS],'2025'!$A128)</f>
        <v>0</v>
      </c>
      <c r="W128" s="21">
        <f>IF(V$123=0,0,V128/V$123)</f>
        <v>0</v>
      </c>
      <c r="X128" s="20">
        <f>SUMIFS(Tabla2[A],Tabla2[ANY],$Z$76,Tabla2[MES],'2025'!X$2,Tabla2[TIPUS],'2025'!$A128)</f>
        <v>0</v>
      </c>
      <c r="Y128" s="21">
        <f>IF(X$123=0,0,X128/X$123)</f>
        <v>0</v>
      </c>
      <c r="Z128" s="20">
        <f t="shared" si="135"/>
        <v>0</v>
      </c>
      <c r="AA128" s="21">
        <f>IF(Z$123=0,0,Z128/Z$123)</f>
        <v>0</v>
      </c>
    </row>
    <row r="129" spans="1:27" ht="15.75" collapsed="1" thickBot="1" x14ac:dyDescent="0.25">
      <c r="A129" s="15" t="s">
        <v>121</v>
      </c>
      <c r="B129" s="26">
        <f>B77-B114</f>
        <v>1155.21</v>
      </c>
      <c r="C129" s="27">
        <f>IF(B77=0,0,B129/B77)</f>
        <v>0.65266101694915257</v>
      </c>
      <c r="D129" s="26">
        <f>D77-D114</f>
        <v>700.27</v>
      </c>
      <c r="E129" s="27">
        <f>IF(D77=0,0,D129/D77)</f>
        <v>0.46997986577181206</v>
      </c>
      <c r="F129" s="26">
        <f>F77-F114</f>
        <v>584.34</v>
      </c>
      <c r="G129" s="27">
        <f>IF(F77=0,0,F129/F77)</f>
        <v>0.40299310344827588</v>
      </c>
      <c r="H129" s="26">
        <f>H77-H114</f>
        <v>385.03000000000009</v>
      </c>
      <c r="I129" s="27">
        <f>IF(H77=0,0,H129/H77)</f>
        <v>0.3500272727272728</v>
      </c>
      <c r="J129" s="26">
        <f>J77-J114</f>
        <v>59.170000000000073</v>
      </c>
      <c r="K129" s="27">
        <f>IF(J77=0,0,J129/J77)</f>
        <v>5.145217391304354E-2</v>
      </c>
      <c r="L129" s="26">
        <f>L77-L114</f>
        <v>484.44000000000005</v>
      </c>
      <c r="M129" s="27">
        <f>IF(L77=0,0,L129/L77)</f>
        <v>0.4613714285714286</v>
      </c>
      <c r="N129" s="26">
        <f>N77-N114</f>
        <v>0</v>
      </c>
      <c r="O129" s="27">
        <f>IF(N77=0,0,N129/N77)</f>
        <v>0</v>
      </c>
      <c r="P129" s="26">
        <f>P77-P114</f>
        <v>0</v>
      </c>
      <c r="Q129" s="27">
        <f>IF(P77=0,0,P129/P77)</f>
        <v>0</v>
      </c>
      <c r="R129" s="26">
        <f>R77-R114</f>
        <v>0</v>
      </c>
      <c r="S129" s="27">
        <f>IF(R77=0,0,R129/R77)</f>
        <v>0</v>
      </c>
      <c r="T129" s="26">
        <f>T77-T114</f>
        <v>0</v>
      </c>
      <c r="U129" s="27">
        <f>IF(T77=0,0,T129/T77)</f>
        <v>0</v>
      </c>
      <c r="V129" s="26">
        <f>V77-V114</f>
        <v>0</v>
      </c>
      <c r="W129" s="27">
        <f>IF(V77=0,0,V129/V77)</f>
        <v>0</v>
      </c>
      <c r="X129" s="26">
        <f>X77-X114</f>
        <v>0</v>
      </c>
      <c r="Y129" s="27">
        <f>IF(X77=0,0,X129/X77)</f>
        <v>0</v>
      </c>
      <c r="Z129" s="26">
        <f>Z77-Z114</f>
        <v>3368.46</v>
      </c>
      <c r="AA129" s="27">
        <f>IF(Z77=0,0,Z129/Z77)</f>
        <v>0.42053183520599252</v>
      </c>
    </row>
    <row r="130" spans="1:27" ht="16.5" thickTop="1" thickBot="1" x14ac:dyDescent="0.25">
      <c r="A130" s="13" t="s">
        <v>120</v>
      </c>
      <c r="B130" s="28">
        <f>B131</f>
        <v>76.587222222222223</v>
      </c>
      <c r="C130" s="29">
        <f>IF(B77=0,0,B130/B77)</f>
        <v>4.3269617074701824E-2</v>
      </c>
      <c r="D130" s="28">
        <f t="shared" ref="D130:X130" si="139">D131</f>
        <v>76.587222222222223</v>
      </c>
      <c r="E130" s="29">
        <f>IF(D77=0,0,D130/D77)</f>
        <v>5.1400820283370618E-2</v>
      </c>
      <c r="F130" s="28">
        <f t="shared" si="139"/>
        <v>76.587222222222223</v>
      </c>
      <c r="G130" s="29">
        <f>IF(F77=0,0,F130/F77)</f>
        <v>5.2818773946360156E-2</v>
      </c>
      <c r="H130" s="28">
        <f t="shared" si="139"/>
        <v>76.587222222222223</v>
      </c>
      <c r="I130" s="29">
        <f>IF(H77=0,0,H130/H77)</f>
        <v>6.9624747474747478E-2</v>
      </c>
      <c r="J130" s="28">
        <f t="shared" si="139"/>
        <v>76.587222222222223</v>
      </c>
      <c r="K130" s="29">
        <f>IF(J77=0,0,J130/J77)</f>
        <v>6.6597584541062807E-2</v>
      </c>
      <c r="L130" s="28">
        <f t="shared" si="139"/>
        <v>76.587222222222223</v>
      </c>
      <c r="M130" s="29">
        <f>IF(L77=0,0,L130/L77)</f>
        <v>7.2940211640211638E-2</v>
      </c>
      <c r="N130" s="28">
        <f t="shared" si="139"/>
        <v>0</v>
      </c>
      <c r="O130" s="29">
        <f>IF(N77=0,0,N130/N77)</f>
        <v>0</v>
      </c>
      <c r="P130" s="28">
        <f t="shared" si="139"/>
        <v>0</v>
      </c>
      <c r="Q130" s="29">
        <f>IF(P77=0,0,P130/P77)</f>
        <v>0</v>
      </c>
      <c r="R130" s="28">
        <f t="shared" si="139"/>
        <v>0</v>
      </c>
      <c r="S130" s="29">
        <f>IF(R77=0,0,R130/R77)</f>
        <v>0</v>
      </c>
      <c r="T130" s="28">
        <f t="shared" si="139"/>
        <v>0</v>
      </c>
      <c r="U130" s="29">
        <f>IF(T77=0,0,T130/T77)</f>
        <v>0</v>
      </c>
      <c r="V130" s="28">
        <f t="shared" si="139"/>
        <v>0</v>
      </c>
      <c r="W130" s="29">
        <f>IF(V77=0,0,V130/V77)</f>
        <v>0</v>
      </c>
      <c r="X130" s="28">
        <f t="shared" si="139"/>
        <v>0</v>
      </c>
      <c r="Y130" s="29">
        <f>IF(X77=0,0,X130/X77)</f>
        <v>0</v>
      </c>
      <c r="Z130" s="28">
        <f>Z131</f>
        <v>459.52333333333337</v>
      </c>
      <c r="AA130" s="29">
        <f>IF(Z77=0,0,Z130/Z77)</f>
        <v>5.7368705784436126E-2</v>
      </c>
    </row>
    <row r="131" spans="1:27" outlineLevel="1" x14ac:dyDescent="0.2">
      <c r="A131" s="8" t="s">
        <v>81</v>
      </c>
      <c r="B131" s="20">
        <f>IF($A$2&gt;=1,Tarifas!$I$47,0)</f>
        <v>76.587222222222223</v>
      </c>
      <c r="C131" s="21">
        <f>IF(B130=0,0,B131/B130)</f>
        <v>1</v>
      </c>
      <c r="D131" s="20">
        <f>IF($A$2&gt;=2,Tarifas!$I$47,0)</f>
        <v>76.587222222222223</v>
      </c>
      <c r="E131" s="21">
        <f>IF(D130=0,0,D131/D130)</f>
        <v>1</v>
      </c>
      <c r="F131" s="20">
        <f>IF($A$2&gt;=3,Tarifas!$I$47,0)</f>
        <v>76.587222222222223</v>
      </c>
      <c r="G131" s="21">
        <f>IF(F130=0,0,F131/F130)</f>
        <v>1</v>
      </c>
      <c r="H131" s="20">
        <f>IF($A$2&gt;=4,Tarifas!$I$47,0)</f>
        <v>76.587222222222223</v>
      </c>
      <c r="I131" s="21">
        <f>IF(H130=0,0,H131/H130)</f>
        <v>1</v>
      </c>
      <c r="J131" s="20">
        <f>IF($A$2&gt;=5,Tarifas!$I$47,0)</f>
        <v>76.587222222222223</v>
      </c>
      <c r="K131" s="21">
        <f>IF(J130=0,0,J131/J130)</f>
        <v>1</v>
      </c>
      <c r="L131" s="20">
        <f>IF($A$2&gt;=6,Tarifas!$I$47,0)</f>
        <v>76.587222222222223</v>
      </c>
      <c r="M131" s="21">
        <f>IF(L130=0,0,L131/L130)</f>
        <v>1</v>
      </c>
      <c r="N131" s="20">
        <f>IF($A$2&gt;=7,Tarifas!$I$47,0)</f>
        <v>0</v>
      </c>
      <c r="O131" s="21">
        <f>IF(N130=0,0,N131/N130)</f>
        <v>0</v>
      </c>
      <c r="P131" s="20">
        <f>IF($A$2&gt;=8,Tarifas!$I$47,0)</f>
        <v>0</v>
      </c>
      <c r="Q131" s="21">
        <f>IF(P130=0,0,P131/P130)</f>
        <v>0</v>
      </c>
      <c r="R131" s="20">
        <f>IF($A$2&gt;=9,Tarifas!$I$47,0)</f>
        <v>0</v>
      </c>
      <c r="S131" s="21">
        <f>IF(R130=0,0,R131/R130)</f>
        <v>0</v>
      </c>
      <c r="T131" s="20">
        <f>IF($A$2&gt;=10,Tarifas!$I$47,0)</f>
        <v>0</v>
      </c>
      <c r="U131" s="21">
        <f>IF(T130=0,0,T131/T130)</f>
        <v>0</v>
      </c>
      <c r="V131" s="20">
        <f>IF($A$2&gt;=11,Tarifas!$I$47,0)</f>
        <v>0</v>
      </c>
      <c r="W131" s="21">
        <f>IF(V130=0,0,V131/V130)</f>
        <v>0</v>
      </c>
      <c r="X131" s="20">
        <f>IF($A$2&gt;=12,Tarifas!$I$47,0)</f>
        <v>0</v>
      </c>
      <c r="Y131" s="21">
        <f>IF(X130=0,0,X131/X130)</f>
        <v>0</v>
      </c>
      <c r="Z131" s="20">
        <f>B131+D131+F131+H131+J131+L131+N131+P131+R131+T131+V131+X131</f>
        <v>459.52333333333337</v>
      </c>
      <c r="AA131" s="21">
        <f>IF(Z130=0,0,Z131/Z130)</f>
        <v>1</v>
      </c>
    </row>
    <row r="132" spans="1:27" ht="15.75" thickBot="1" x14ac:dyDescent="0.25">
      <c r="A132" s="15" t="s">
        <v>122</v>
      </c>
      <c r="B132" s="26">
        <f>B129-B130</f>
        <v>1078.6227777777779</v>
      </c>
      <c r="C132" s="27">
        <f>IF(B$77=0,0,B132/B$77)</f>
        <v>0.60939139987445079</v>
      </c>
      <c r="D132" s="26">
        <f>D129-D130</f>
        <v>623.6827777777778</v>
      </c>
      <c r="E132" s="27">
        <f>IF(D$77=0,0,D132/D$77)</f>
        <v>0.41857904548844149</v>
      </c>
      <c r="F132" s="26">
        <f>F129-F130</f>
        <v>507.75277777777779</v>
      </c>
      <c r="G132" s="27">
        <f>IF(F$77=0,0,F132/F$77)</f>
        <v>0.35017432950191574</v>
      </c>
      <c r="H132" s="26">
        <f>H129-H130</f>
        <v>308.44277777777785</v>
      </c>
      <c r="I132" s="27">
        <f>IF(H$77=0,0,H132/H$77)</f>
        <v>0.28040252525252529</v>
      </c>
      <c r="J132" s="26">
        <f>J129-J130</f>
        <v>-17.417222222222151</v>
      </c>
      <c r="K132" s="27">
        <f>IF(J$77=0,0,J132/J$77)</f>
        <v>-1.5145410628019261E-2</v>
      </c>
      <c r="L132" s="26">
        <f>L129-L130</f>
        <v>407.85277777777782</v>
      </c>
      <c r="M132" s="27">
        <f>IF(L$77=0,0,L132/L$77)</f>
        <v>0.38843121693121696</v>
      </c>
      <c r="N132" s="26">
        <f>N129-N130</f>
        <v>0</v>
      </c>
      <c r="O132" s="27">
        <f>IF(N$77=0,0,N132/N$77)</f>
        <v>0</v>
      </c>
      <c r="P132" s="26">
        <f>P129-P130</f>
        <v>0</v>
      </c>
      <c r="Q132" s="27">
        <f>IF(P$77=0,0,P132/P$77)</f>
        <v>0</v>
      </c>
      <c r="R132" s="26">
        <f>R129-R130</f>
        <v>0</v>
      </c>
      <c r="S132" s="27">
        <f>IF(R$77=0,0,R132/R$77)</f>
        <v>0</v>
      </c>
      <c r="T132" s="26">
        <f>T129-T130</f>
        <v>0</v>
      </c>
      <c r="U132" s="27">
        <f>IF(T$77=0,0,T132/T$77)</f>
        <v>0</v>
      </c>
      <c r="V132" s="26">
        <f>V129-V130</f>
        <v>0</v>
      </c>
      <c r="W132" s="27">
        <f>IF(V$77=0,0,V132/V$77)</f>
        <v>0</v>
      </c>
      <c r="X132" s="26">
        <f>X129-X130</f>
        <v>0</v>
      </c>
      <c r="Y132" s="27">
        <f>IF(X$77=0,0,X132/X$77)</f>
        <v>0</v>
      </c>
      <c r="Z132" s="26">
        <f>Z129-Z130</f>
        <v>2908.9366666666665</v>
      </c>
      <c r="AA132" s="27">
        <f>IF(Z$77=0,0,Z132/Z$77)</f>
        <v>0.36316312942155637</v>
      </c>
    </row>
    <row r="133" spans="1:27" ht="16.5" thickTop="1" thickBot="1" x14ac:dyDescent="0.25">
      <c r="A133" s="13" t="s">
        <v>134</v>
      </c>
      <c r="B133" s="28">
        <f>B134</f>
        <v>0</v>
      </c>
      <c r="C133" s="29">
        <f>IF(B$77=0,0,B133/B$77)</f>
        <v>0</v>
      </c>
      <c r="D133" s="28">
        <f>D134</f>
        <v>0</v>
      </c>
      <c r="E133" s="29">
        <f>IF(D$77=0,0,D133/D$77)</f>
        <v>0</v>
      </c>
      <c r="F133" s="28">
        <f>F134</f>
        <v>0</v>
      </c>
      <c r="G133" s="29">
        <f>IF(F$77=0,0,F133/F$77)</f>
        <v>0</v>
      </c>
      <c r="H133" s="28">
        <f>H134</f>
        <v>0</v>
      </c>
      <c r="I133" s="29">
        <f>IF(H$77=0,0,H133/H$77)</f>
        <v>0</v>
      </c>
      <c r="J133" s="28">
        <f>J134</f>
        <v>0</v>
      </c>
      <c r="K133" s="29">
        <f>IF(J$77=0,0,J133/J$77)</f>
        <v>0</v>
      </c>
      <c r="L133" s="28">
        <f>L134</f>
        <v>0</v>
      </c>
      <c r="M133" s="29">
        <f>IF(L$77=0,0,L133/L$77)</f>
        <v>0</v>
      </c>
      <c r="N133" s="28">
        <f>N134</f>
        <v>0</v>
      </c>
      <c r="O133" s="29">
        <f>IF(N$77=0,0,N133/N$77)</f>
        <v>0</v>
      </c>
      <c r="P133" s="28">
        <f>P134</f>
        <v>0</v>
      </c>
      <c r="Q133" s="29">
        <f>IF(P$77=0,0,P133/P$77)</f>
        <v>0</v>
      </c>
      <c r="R133" s="28">
        <f>R134</f>
        <v>0</v>
      </c>
      <c r="S133" s="29">
        <f>IF(R$77=0,0,R133/R$77)</f>
        <v>0</v>
      </c>
      <c r="T133" s="28">
        <f>T134</f>
        <v>0</v>
      </c>
      <c r="U133" s="29">
        <f>IF(T$77=0,0,T133/T$77)</f>
        <v>0</v>
      </c>
      <c r="V133" s="28">
        <f>V134</f>
        <v>0</v>
      </c>
      <c r="W133" s="29">
        <f>IF(V$77=0,0,V133/V$77)</f>
        <v>0</v>
      </c>
      <c r="X133" s="28">
        <f>X134</f>
        <v>0</v>
      </c>
      <c r="Y133" s="29">
        <f>IF(X$77=0,0,X133/X$77)</f>
        <v>0</v>
      </c>
      <c r="Z133" s="28">
        <f>Z134</f>
        <v>0</v>
      </c>
      <c r="AA133" s="29">
        <f>IF(Z$77=0,0,Z133/Z$77)</f>
        <v>0</v>
      </c>
    </row>
    <row r="134" spans="1:27" hidden="1" outlineLevel="1" x14ac:dyDescent="0.2">
      <c r="A134" s="8" t="s">
        <v>133</v>
      </c>
      <c r="B134" s="20">
        <f>SUMIFS(Tabla2[A],Tabla2[ANY],2020,Tabla2[MES],'2025'!B$2,Tabla2[TIPUS],'2025'!$A134)</f>
        <v>0</v>
      </c>
      <c r="C134" s="44">
        <f>IF(B133=0,0,B134/B133)</f>
        <v>0</v>
      </c>
      <c r="D134" s="20">
        <f>SUMIFS(Tabla2[A],Tabla2[ANY],2020,Tabla2[MES],'2025'!D$2,Tabla2[TIPUS],'2025'!$A134)</f>
        <v>0</v>
      </c>
      <c r="E134" s="44">
        <f>IF(D133=0,0,D134/D133)</f>
        <v>0</v>
      </c>
      <c r="F134" s="20">
        <f>SUMIFS(Tabla2[A],Tabla2[ANY],2020,Tabla2[MES],'2025'!F$2,Tabla2[TIPUS],'2025'!$A134)</f>
        <v>0</v>
      </c>
      <c r="G134" s="44">
        <f>IF(F133=0,0,F134/F133)</f>
        <v>0</v>
      </c>
      <c r="H134" s="20">
        <f>SUMIFS(Tabla2[A],Tabla2[ANY],2020,Tabla2[MES],'2025'!H$2,Tabla2[TIPUS],'2025'!$A134)</f>
        <v>0</v>
      </c>
      <c r="I134" s="44">
        <f>IF(H133=0,0,H134/H133)</f>
        <v>0</v>
      </c>
      <c r="J134" s="20">
        <f>SUMIFS(Tabla2[A],Tabla2[ANY],2020,Tabla2[MES],'2025'!J$2,Tabla2[TIPUS],'2025'!$A134)</f>
        <v>0</v>
      </c>
      <c r="K134" s="44">
        <f>IF(J133=0,0,J134/J133)</f>
        <v>0</v>
      </c>
      <c r="L134" s="20">
        <f>SUMIFS(Tabla2[A],Tabla2[ANY],2020,Tabla2[MES],'2025'!L$2,Tabla2[TIPUS],'2025'!$A134)</f>
        <v>0</v>
      </c>
      <c r="M134" s="44">
        <f>IF(L133=0,0,L134/L133)</f>
        <v>0</v>
      </c>
      <c r="N134" s="20">
        <f>SUMIFS(Tabla2[A],Tabla2[ANY],2020,Tabla2[MES],'2025'!N$2,Tabla2[TIPUS],'2025'!$A134)</f>
        <v>0</v>
      </c>
      <c r="O134" s="44">
        <f>IF(N133=0,0,N134/N133)</f>
        <v>0</v>
      </c>
      <c r="P134" s="20">
        <f>SUMIFS(Tabla2[A],Tabla2[ANY],2020,Tabla2[MES],'2025'!P$2,Tabla2[TIPUS],'2025'!$A134)</f>
        <v>0</v>
      </c>
      <c r="Q134" s="44">
        <f>IF(P133=0,0,P134/P133)</f>
        <v>0</v>
      </c>
      <c r="R134" s="20">
        <f>SUMIFS(Tabla2[A],Tabla2[ANY],2020,Tabla2[MES],'2025'!R$2,Tabla2[TIPUS],'2025'!$A134)</f>
        <v>0</v>
      </c>
      <c r="S134" s="44">
        <f>IF(R133=0,0,R134/R133)</f>
        <v>0</v>
      </c>
      <c r="T134" s="20">
        <f>SUMIFS(Tabla2[A],Tabla2[ANY],2020,Tabla2[MES],'2025'!T$2,Tabla2[TIPUS],'2025'!$A134)</f>
        <v>0</v>
      </c>
      <c r="U134" s="44">
        <f>IF(T133=0,0,T134/T133)</f>
        <v>0</v>
      </c>
      <c r="V134" s="20">
        <f>SUMIFS(Tabla2[A],Tabla2[ANY],2020,Tabla2[MES],'2025'!V$2,Tabla2[TIPUS],'2025'!$A134)</f>
        <v>0</v>
      </c>
      <c r="W134" s="44">
        <f>IF(V133=0,0,V134/V133)</f>
        <v>0</v>
      </c>
      <c r="X134" s="20">
        <f>SUMIFS(Tabla2[A],Tabla2[ANY],2020,Tabla2[MES],'2025'!X$2,Tabla2[TIPUS],'2025'!$A134)</f>
        <v>0</v>
      </c>
      <c r="Y134" s="44">
        <f>IF(X133=0,0,X134/X133)</f>
        <v>0</v>
      </c>
      <c r="Z134" s="20">
        <f>B134+D134+F134+H134+J134+L134+N134+P134+R134+T134+V134+X134</f>
        <v>0</v>
      </c>
      <c r="AA134" s="44">
        <f>IF(Z133=0,0,Z134/Z133)</f>
        <v>0</v>
      </c>
    </row>
    <row r="135" spans="1:27" ht="15.75" collapsed="1" thickBot="1" x14ac:dyDescent="0.25">
      <c r="A135" s="15" t="s">
        <v>135</v>
      </c>
      <c r="B135" s="26">
        <f>B132-B134</f>
        <v>1078.6227777777779</v>
      </c>
      <c r="C135" s="27">
        <f>IF(B$77=0,0,B135/B$77)</f>
        <v>0.60939139987445079</v>
      </c>
      <c r="D135" s="26">
        <f>D132-D134</f>
        <v>623.6827777777778</v>
      </c>
      <c r="E135" s="27">
        <f>IF(D$77=0,0,D135/D$77)</f>
        <v>0.41857904548844149</v>
      </c>
      <c r="F135" s="26">
        <f>F132-F134</f>
        <v>507.75277777777779</v>
      </c>
      <c r="G135" s="27">
        <f>IF(F$77=0,0,F135/F$77)</f>
        <v>0.35017432950191574</v>
      </c>
      <c r="H135" s="26">
        <f>H132-H134</f>
        <v>308.44277777777785</v>
      </c>
      <c r="I135" s="27">
        <f>IF(H$77=0,0,H135/H$77)</f>
        <v>0.28040252525252529</v>
      </c>
      <c r="J135" s="26">
        <f>J132-J134</f>
        <v>-17.417222222222151</v>
      </c>
      <c r="K135" s="27">
        <f>IF(J$77=0,0,J135/J$77)</f>
        <v>-1.5145410628019261E-2</v>
      </c>
      <c r="L135" s="26">
        <f>L132-L134</f>
        <v>407.85277777777782</v>
      </c>
      <c r="M135" s="27">
        <f>IF(L$77=0,0,L135/L$77)</f>
        <v>0.38843121693121696</v>
      </c>
      <c r="N135" s="26">
        <f>N132-N134</f>
        <v>0</v>
      </c>
      <c r="O135" s="27">
        <f>IF(N$77=0,0,N135/N$77)</f>
        <v>0</v>
      </c>
      <c r="P135" s="26">
        <f>P132-P134</f>
        <v>0</v>
      </c>
      <c r="Q135" s="27">
        <f>IF(P$77=0,0,P135/P$77)</f>
        <v>0</v>
      </c>
      <c r="R135" s="26">
        <f>R132-R134</f>
        <v>0</v>
      </c>
      <c r="S135" s="27">
        <f>IF(R$77=0,0,R135/R$77)</f>
        <v>0</v>
      </c>
      <c r="T135" s="26">
        <f>T132-T134</f>
        <v>0</v>
      </c>
      <c r="U135" s="27">
        <f>IF(T$77=0,0,T135/T$77)</f>
        <v>0</v>
      </c>
      <c r="V135" s="26">
        <f>V132-V134</f>
        <v>0</v>
      </c>
      <c r="W135" s="27">
        <f>IF(V$77=0,0,V135/V$77)</f>
        <v>0</v>
      </c>
      <c r="X135" s="26">
        <f>X132-X134</f>
        <v>0</v>
      </c>
      <c r="Y135" s="27">
        <f>IF(X$77=0,0,X135/X$77)</f>
        <v>0</v>
      </c>
      <c r="Z135" s="26">
        <f>Z132-Z134</f>
        <v>2908.9366666666665</v>
      </c>
      <c r="AA135" s="27">
        <f>IF(Z$77=0,0,Z135/Z$77)</f>
        <v>0.36316312942155637</v>
      </c>
    </row>
    <row r="136" spans="1:27" ht="15.75" thickTop="1" x14ac:dyDescent="0.2">
      <c r="A136" s="8" t="s">
        <v>123</v>
      </c>
      <c r="B136" s="20">
        <f>SUMIFS(Tabla2[A],Tabla2[ANY],$Z$76,Tabla2[MES],'2025'!B$2,Tabla2[TIPUS],'2025'!$A136)</f>
        <v>1331</v>
      </c>
      <c r="C136" s="21">
        <f>IF(B$77=0,0,B136/B$77)</f>
        <v>0.75197740112994349</v>
      </c>
      <c r="D136" s="20">
        <f>SUMIFS(Tabla2[A],Tabla2[ANY],$Z$76,Tabla2[MES],'2025'!D$2,Tabla2[TIPUS],'2025'!$A136)</f>
        <v>0</v>
      </c>
      <c r="E136" s="21">
        <f>IF(D$77=0,0,D136/D$77)</f>
        <v>0</v>
      </c>
      <c r="F136" s="20">
        <f>SUMIFS(Tabla2[A],Tabla2[ANY],$Z$76,Tabla2[MES],'2025'!F$2,Tabla2[TIPUS],'2025'!$A136)</f>
        <v>0</v>
      </c>
      <c r="G136" s="21">
        <f>IF(F$77=0,0,F136/F$77)</f>
        <v>0</v>
      </c>
      <c r="H136" s="20">
        <f>SUMIFS(Tabla2[A],Tabla2[ANY],$Z$76,Tabla2[MES],'2025'!H$2,Tabla2[TIPUS],'2025'!$A136)</f>
        <v>1149.1599999999999</v>
      </c>
      <c r="I136" s="21">
        <f>IF(H$77=0,0,H136/H$77)</f>
        <v>1.0446909090909089</v>
      </c>
      <c r="J136" s="20">
        <f>SUMIFS(Tabla2[A],Tabla2[ANY],$Z$76,Tabla2[MES],'2025'!J$2,Tabla2[TIPUS],'2025'!$A136)</f>
        <v>0</v>
      </c>
      <c r="K136" s="21">
        <f>IF(J$77=0,0,J136/J$77)</f>
        <v>0</v>
      </c>
      <c r="L136" s="20">
        <f>SUMIFS(Tabla2[A],Tabla2[ANY],$Z$76,Tabla2[MES],'2025'!L$2,Tabla2[TIPUS],'2025'!$A136)</f>
        <v>0</v>
      </c>
      <c r="M136" s="21">
        <f>IF(L$77=0,0,L136/L$77)</f>
        <v>0</v>
      </c>
      <c r="N136" s="20">
        <f>SUMIFS(Tabla2[A],Tabla2[ANY],$Z$76,Tabla2[MES],'2025'!N$2,Tabla2[TIPUS],'2025'!$A136)</f>
        <v>0</v>
      </c>
      <c r="O136" s="21">
        <f>IF(N$77=0,0,N136/N$77)</f>
        <v>0</v>
      </c>
      <c r="P136" s="20">
        <f>SUMIFS(Tabla2[A],Tabla2[ANY],$Z$76,Tabla2[MES],'2025'!P$2,Tabla2[TIPUS],'2025'!$A136)</f>
        <v>0</v>
      </c>
      <c r="Q136" s="21">
        <f>IF(P$77=0,0,P136/P$77)</f>
        <v>0</v>
      </c>
      <c r="R136" s="20">
        <f>SUMIFS(Tabla2[A],Tabla2[ANY],$Z$76,Tabla2[MES],'2025'!R$2,Tabla2[TIPUS],'2025'!$A136)</f>
        <v>0</v>
      </c>
      <c r="S136" s="21">
        <f>IF(R$77=0,0,R136/R$77)</f>
        <v>0</v>
      </c>
      <c r="T136" s="20">
        <f>SUMIFS(Tabla2[A],Tabla2[ANY],$Z$76,Tabla2[MES],'2025'!T$2,Tabla2[TIPUS],'2025'!$A136)</f>
        <v>0</v>
      </c>
      <c r="U136" s="21">
        <f>IF(T$77=0,0,T136/T$77)</f>
        <v>0</v>
      </c>
      <c r="V136" s="20">
        <f>SUMIFS(Tabla2[A],Tabla2[ANY],$Z$76,Tabla2[MES],'2025'!V$2,Tabla2[TIPUS],'2025'!$A136)</f>
        <v>0</v>
      </c>
      <c r="W136" s="21">
        <f>IF(V$77=0,0,V136/V$77)</f>
        <v>0</v>
      </c>
      <c r="X136" s="20">
        <f>SUMIFS(Tabla2[A],Tabla2[ANY],$Z$76,Tabla2[MES],'2025'!X$2,Tabla2[TIPUS],'2025'!$A136)</f>
        <v>0</v>
      </c>
      <c r="Y136" s="21">
        <f>IF(X$77=0,0,X136/X$77)</f>
        <v>0</v>
      </c>
      <c r="Z136" s="20">
        <f>B136+D136+F136+H136+J136+L136+N136+P136+R136+T136+V136+X136</f>
        <v>2480.16</v>
      </c>
      <c r="AA136" s="21">
        <f>IF(Z$77=0,0,Z136/Z$77)</f>
        <v>0.3096329588014981</v>
      </c>
    </row>
    <row r="137" spans="1:27" ht="15.75" thickBot="1" x14ac:dyDescent="0.25">
      <c r="A137" s="15" t="s">
        <v>124</v>
      </c>
      <c r="B137" s="26">
        <f>B135-B136</f>
        <v>-252.37722222222214</v>
      </c>
      <c r="C137" s="27">
        <f>IF(B77=0,0,B137/B77)</f>
        <v>-0.14258600125549273</v>
      </c>
      <c r="D137" s="26">
        <f>D135-D136</f>
        <v>623.6827777777778</v>
      </c>
      <c r="E137" s="27">
        <f>IF(D77=0,0,D137/D77)</f>
        <v>0.41857904548844149</v>
      </c>
      <c r="F137" s="26">
        <f>F135-F136</f>
        <v>507.75277777777779</v>
      </c>
      <c r="G137" s="27">
        <f>IF(F77=0,0,F137/F77)</f>
        <v>0.35017432950191574</v>
      </c>
      <c r="H137" s="26">
        <f>H135-H136</f>
        <v>-840.71722222222206</v>
      </c>
      <c r="I137" s="27">
        <f>IF(H77=0,0,H137/H77)</f>
        <v>-0.76428838383838371</v>
      </c>
      <c r="J137" s="26">
        <f>J135-J136</f>
        <v>-17.417222222222151</v>
      </c>
      <c r="K137" s="27">
        <f>IF(J77=0,0,J137/J77)</f>
        <v>-1.5145410628019261E-2</v>
      </c>
      <c r="L137" s="26">
        <f>L135-L136</f>
        <v>407.85277777777782</v>
      </c>
      <c r="M137" s="27">
        <f>IF(L77=0,0,L137/L77)</f>
        <v>0.38843121693121696</v>
      </c>
      <c r="N137" s="26">
        <f>N135-N136</f>
        <v>0</v>
      </c>
      <c r="O137" s="27">
        <f>IF(N77=0,0,N137/N77)</f>
        <v>0</v>
      </c>
      <c r="P137" s="26">
        <f>P135-P136</f>
        <v>0</v>
      </c>
      <c r="Q137" s="27">
        <f>IF(P77=0,0,P137/P77)</f>
        <v>0</v>
      </c>
      <c r="R137" s="26">
        <f>R135-R136</f>
        <v>0</v>
      </c>
      <c r="S137" s="27">
        <f>IF(R77=0,0,R137/R77)</f>
        <v>0</v>
      </c>
      <c r="T137" s="26">
        <f>T135-T136</f>
        <v>0</v>
      </c>
      <c r="U137" s="27">
        <f>IF(T77=0,0,T137/T77)</f>
        <v>0</v>
      </c>
      <c r="V137" s="26">
        <f>V135-V136</f>
        <v>0</v>
      </c>
      <c r="W137" s="27">
        <f>IF(V77=0,0,V137/V77)</f>
        <v>0</v>
      </c>
      <c r="X137" s="26">
        <f>X135-X136</f>
        <v>0</v>
      </c>
      <c r="Y137" s="27">
        <f>IF(X77=0,0,X137/X77)</f>
        <v>0</v>
      </c>
      <c r="Z137" s="26">
        <f>Z135-Z136</f>
        <v>428.77666666666664</v>
      </c>
      <c r="AA137" s="27">
        <f>IF(Z77=0,0,Z137/Z77)</f>
        <v>5.3530170620058257E-2</v>
      </c>
    </row>
    <row r="138" spans="1:27" ht="16.5" thickTop="1" thickBot="1" x14ac:dyDescent="0.25">
      <c r="B138" s="30"/>
      <c r="C138" s="31"/>
      <c r="D138" s="30"/>
      <c r="E138" s="31"/>
      <c r="F138" s="30"/>
      <c r="G138" s="31"/>
      <c r="H138" s="30"/>
      <c r="I138" s="31"/>
      <c r="J138" s="30"/>
      <c r="K138" s="31"/>
      <c r="L138" s="30"/>
      <c r="M138" s="31"/>
      <c r="N138" s="30"/>
      <c r="O138" s="31"/>
      <c r="P138" s="30"/>
      <c r="Q138" s="31"/>
      <c r="R138" s="30"/>
      <c r="S138" s="31"/>
      <c r="T138" s="30"/>
      <c r="U138" s="31"/>
      <c r="V138" s="30"/>
      <c r="W138" s="31"/>
      <c r="X138" s="30"/>
      <c r="Y138" s="31"/>
      <c r="Z138" s="30"/>
      <c r="AA138" s="31"/>
    </row>
    <row r="139" spans="1:27" ht="15.75" thickBot="1" x14ac:dyDescent="0.25">
      <c r="A139" s="210" t="s">
        <v>136</v>
      </c>
    </row>
    <row r="140" spans="1:27" x14ac:dyDescent="0.2">
      <c r="A140" s="210"/>
      <c r="B140" s="208" t="s">
        <v>48</v>
      </c>
      <c r="C140" s="209"/>
      <c r="D140" s="208" t="s">
        <v>56</v>
      </c>
      <c r="E140" s="209"/>
      <c r="F140" s="208" t="s">
        <v>57</v>
      </c>
      <c r="G140" s="209"/>
      <c r="H140" s="208" t="s">
        <v>58</v>
      </c>
      <c r="I140" s="209"/>
      <c r="J140" s="208" t="s">
        <v>59</v>
      </c>
      <c r="K140" s="209"/>
      <c r="L140" s="208" t="s">
        <v>60</v>
      </c>
      <c r="M140" s="209"/>
      <c r="N140" s="208" t="s">
        <v>61</v>
      </c>
      <c r="O140" s="209"/>
      <c r="P140" s="208" t="s">
        <v>62</v>
      </c>
      <c r="Q140" s="209"/>
      <c r="R140" s="208" t="s">
        <v>236</v>
      </c>
      <c r="S140" s="209"/>
      <c r="T140" s="208" t="s">
        <v>63</v>
      </c>
      <c r="U140" s="209"/>
      <c r="V140" s="208" t="s">
        <v>64</v>
      </c>
      <c r="W140" s="209"/>
      <c r="X140" s="208" t="s">
        <v>65</v>
      </c>
      <c r="Y140" s="209"/>
      <c r="Z140" s="208">
        <f>Z2</f>
        <v>2025</v>
      </c>
      <c r="AA140" s="209"/>
    </row>
    <row r="141" spans="1:27" x14ac:dyDescent="0.2">
      <c r="A141" t="s">
        <v>125</v>
      </c>
      <c r="B141" s="20">
        <f>B77</f>
        <v>1770</v>
      </c>
      <c r="C141" s="38">
        <f t="shared" ref="C141:C147" si="140">B141</f>
        <v>1770</v>
      </c>
      <c r="D141" s="20">
        <f>D77</f>
        <v>1490</v>
      </c>
      <c r="E141" s="38">
        <f>C147+D141</f>
        <v>1314.21</v>
      </c>
      <c r="F141" s="20">
        <f>F77</f>
        <v>1450</v>
      </c>
      <c r="G141" s="38">
        <f>E147+F141</f>
        <v>1974.48</v>
      </c>
      <c r="H141" s="20">
        <f>H77</f>
        <v>1100</v>
      </c>
      <c r="I141" s="38">
        <f>G147+H141</f>
        <v>2208.8200000000002</v>
      </c>
      <c r="J141" s="20">
        <f>J77</f>
        <v>1150</v>
      </c>
      <c r="K141" s="38">
        <f>I147+J141</f>
        <v>1494.6900000000005</v>
      </c>
      <c r="L141" s="20">
        <f>L77</f>
        <v>1050</v>
      </c>
      <c r="M141" s="38">
        <f>K147+L141</f>
        <v>1453.8600000000006</v>
      </c>
      <c r="N141" s="20">
        <f>N77</f>
        <v>0</v>
      </c>
      <c r="O141" s="38">
        <f>M147+N141</f>
        <v>888.30000000000064</v>
      </c>
      <c r="P141" s="20">
        <f>P77</f>
        <v>0</v>
      </c>
      <c r="Q141" s="38">
        <f>O147+P141</f>
        <v>888.30000000000064</v>
      </c>
      <c r="R141" s="20">
        <f>R77</f>
        <v>0</v>
      </c>
      <c r="S141" s="38">
        <f>Q147+R141</f>
        <v>888.30000000000064</v>
      </c>
      <c r="T141" s="20">
        <f>T77</f>
        <v>0</v>
      </c>
      <c r="U141" s="38">
        <f>S147+T141</f>
        <v>888.30000000000064</v>
      </c>
      <c r="V141" s="20">
        <f>V77</f>
        <v>0</v>
      </c>
      <c r="W141" s="38">
        <f>U147+V141</f>
        <v>888.30000000000064</v>
      </c>
      <c r="X141" s="20">
        <f>X77</f>
        <v>0</v>
      </c>
      <c r="Y141" s="38">
        <f>W147+X141</f>
        <v>888.30000000000064</v>
      </c>
      <c r="Z141" s="200">
        <f>Z77</f>
        <v>8010</v>
      </c>
      <c r="AA141" s="201"/>
    </row>
    <row r="142" spans="1:27" x14ac:dyDescent="0.2">
      <c r="A142" t="s">
        <v>126</v>
      </c>
      <c r="B142" s="20">
        <f>B114</f>
        <v>614.79</v>
      </c>
      <c r="C142" s="38">
        <f t="shared" si="140"/>
        <v>614.79</v>
      </c>
      <c r="D142" s="20">
        <f>D114</f>
        <v>789.73</v>
      </c>
      <c r="E142" s="38">
        <f>D142</f>
        <v>789.73</v>
      </c>
      <c r="F142" s="20">
        <f>F114</f>
        <v>865.66</v>
      </c>
      <c r="G142" s="38">
        <f>F142</f>
        <v>865.66</v>
      </c>
      <c r="H142" s="20">
        <f>H114</f>
        <v>714.96999999999991</v>
      </c>
      <c r="I142" s="38">
        <f>H142</f>
        <v>714.96999999999991</v>
      </c>
      <c r="J142" s="20">
        <f>J114</f>
        <v>1090.83</v>
      </c>
      <c r="K142" s="38">
        <f>J142</f>
        <v>1090.83</v>
      </c>
      <c r="L142" s="20">
        <f>L114</f>
        <v>565.55999999999995</v>
      </c>
      <c r="M142" s="38">
        <f>L142</f>
        <v>565.55999999999995</v>
      </c>
      <c r="N142" s="20">
        <f>N114</f>
        <v>0</v>
      </c>
      <c r="O142" s="38">
        <f>N142</f>
        <v>0</v>
      </c>
      <c r="P142" s="20">
        <f>P114</f>
        <v>0</v>
      </c>
      <c r="Q142" s="38">
        <f>P142</f>
        <v>0</v>
      </c>
      <c r="R142" s="20">
        <f>R114</f>
        <v>0</v>
      </c>
      <c r="S142" s="38">
        <f>R142</f>
        <v>0</v>
      </c>
      <c r="T142" s="20">
        <f>T114</f>
        <v>0</v>
      </c>
      <c r="U142" s="38">
        <f>T142</f>
        <v>0</v>
      </c>
      <c r="V142" s="20">
        <f>V114</f>
        <v>0</v>
      </c>
      <c r="W142" s="38">
        <f>V142</f>
        <v>0</v>
      </c>
      <c r="X142" s="20">
        <f>X114</f>
        <v>0</v>
      </c>
      <c r="Y142" s="38">
        <f>X142</f>
        <v>0</v>
      </c>
      <c r="Z142" s="200">
        <f>Z114</f>
        <v>4641.54</v>
      </c>
      <c r="AA142" s="201"/>
    </row>
    <row r="143" spans="1:27" ht="15.75" thickBot="1" x14ac:dyDescent="0.25">
      <c r="A143" s="36" t="s">
        <v>127</v>
      </c>
      <c r="B143" s="37">
        <f>B141-B142</f>
        <v>1155.21</v>
      </c>
      <c r="C143" s="39">
        <f t="shared" si="140"/>
        <v>1155.21</v>
      </c>
      <c r="D143" s="37">
        <f t="shared" ref="D143:Y143" si="141">D141-D142</f>
        <v>700.27</v>
      </c>
      <c r="E143" s="39">
        <f t="shared" si="141"/>
        <v>524.48</v>
      </c>
      <c r="F143" s="37">
        <f t="shared" si="141"/>
        <v>584.34</v>
      </c>
      <c r="G143" s="39">
        <f t="shared" si="141"/>
        <v>1108.8200000000002</v>
      </c>
      <c r="H143" s="37">
        <f t="shared" si="141"/>
        <v>385.03000000000009</v>
      </c>
      <c r="I143" s="39">
        <f t="shared" si="141"/>
        <v>1493.8500000000004</v>
      </c>
      <c r="J143" s="37">
        <f t="shared" si="141"/>
        <v>59.170000000000073</v>
      </c>
      <c r="K143" s="39">
        <f t="shared" si="141"/>
        <v>403.86000000000058</v>
      </c>
      <c r="L143" s="37">
        <f t="shared" si="141"/>
        <v>484.44000000000005</v>
      </c>
      <c r="M143" s="39">
        <f t="shared" si="141"/>
        <v>888.30000000000064</v>
      </c>
      <c r="N143" s="37">
        <f t="shared" si="141"/>
        <v>0</v>
      </c>
      <c r="O143" s="39">
        <f t="shared" si="141"/>
        <v>888.30000000000064</v>
      </c>
      <c r="P143" s="37">
        <f t="shared" si="141"/>
        <v>0</v>
      </c>
      <c r="Q143" s="39">
        <f t="shared" si="141"/>
        <v>888.30000000000064</v>
      </c>
      <c r="R143" s="37">
        <f t="shared" si="141"/>
        <v>0</v>
      </c>
      <c r="S143" s="39">
        <f t="shared" si="141"/>
        <v>888.30000000000064</v>
      </c>
      <c r="T143" s="37">
        <f t="shared" si="141"/>
        <v>0</v>
      </c>
      <c r="U143" s="39">
        <f t="shared" si="141"/>
        <v>888.30000000000064</v>
      </c>
      <c r="V143" s="37">
        <f t="shared" si="141"/>
        <v>0</v>
      </c>
      <c r="W143" s="39">
        <f t="shared" si="141"/>
        <v>888.30000000000064</v>
      </c>
      <c r="X143" s="37">
        <f t="shared" si="141"/>
        <v>0</v>
      </c>
      <c r="Y143" s="39">
        <f t="shared" si="141"/>
        <v>888.30000000000064</v>
      </c>
      <c r="Z143" s="202">
        <f>Z141-Z142</f>
        <v>3368.46</v>
      </c>
      <c r="AA143" s="203"/>
    </row>
    <row r="144" spans="1:27" x14ac:dyDescent="0.2">
      <c r="A144" s="2" t="s">
        <v>128</v>
      </c>
      <c r="B144" s="20">
        <f>-SUMIFS(Tabla2[A],Tabla2[ANY],$Z$76,Tabla2[MES],'2025'!B$2,Tabla2[TIPUS],'2025'!$A144)</f>
        <v>0</v>
      </c>
      <c r="C144" s="38">
        <f t="shared" si="140"/>
        <v>0</v>
      </c>
      <c r="D144" s="20">
        <f>-SUMIFS(Tabla2[A],Tabla2[ANY],$Z$76,Tabla2[MES],'2025'!D$2,Tabla2[TIPUS],'2025'!$A144)</f>
        <v>0</v>
      </c>
      <c r="E144" s="38">
        <f>D144</f>
        <v>0</v>
      </c>
      <c r="F144" s="20">
        <f>-SUMIFS(Tabla2[A],Tabla2[ANY],$Z$76,Tabla2[MES],'2025'!F$2,Tabla2[TIPUS],'2025'!$A144)</f>
        <v>0</v>
      </c>
      <c r="G144" s="38">
        <f>F144</f>
        <v>0</v>
      </c>
      <c r="H144" s="20">
        <f>-SUMIFS(Tabla2[A],Tabla2[ANY],$Z$76,Tabla2[MES],'2025'!H$2,Tabla2[TIPUS],'2025'!$A144)</f>
        <v>0</v>
      </c>
      <c r="I144" s="38">
        <f>H144</f>
        <v>0</v>
      </c>
      <c r="J144" s="20">
        <f>-SUMIFS(Tabla2[A],Tabla2[ANY],$Z$76,Tabla2[MES],'2025'!J$2,Tabla2[TIPUS],'2025'!$A144)</f>
        <v>0</v>
      </c>
      <c r="K144" s="38">
        <f>J144</f>
        <v>0</v>
      </c>
      <c r="L144" s="20">
        <f>-SUMIFS(Tabla2[A],Tabla2[ANY],$Z$76,Tabla2[MES],'2025'!L$2,Tabla2[TIPUS],'2025'!$A144)</f>
        <v>0</v>
      </c>
      <c r="M144" s="38">
        <f>L144</f>
        <v>0</v>
      </c>
      <c r="N144" s="20">
        <f>-SUMIFS(Tabla2[A],Tabla2[ANY],$Z$76,Tabla2[MES],'2025'!N$2,Tabla2[TIPUS],'2025'!$A144)</f>
        <v>0</v>
      </c>
      <c r="O144" s="38">
        <f>N144</f>
        <v>0</v>
      </c>
      <c r="P144" s="20">
        <f>-SUMIFS(Tabla2[A],Tabla2[ANY],$Z$76,Tabla2[MES],'2025'!P$2,Tabla2[TIPUS],'2025'!$A144)</f>
        <v>0</v>
      </c>
      <c r="Q144" s="38">
        <f>P144</f>
        <v>0</v>
      </c>
      <c r="R144" s="20">
        <f>-SUMIFS(Tabla2[A],Tabla2[ANY],$Z$76,Tabla2[MES],'2025'!R$2,Tabla2[TIPUS],'2025'!$A144)</f>
        <v>0</v>
      </c>
      <c r="S144" s="38">
        <f>R144</f>
        <v>0</v>
      </c>
      <c r="T144" s="20">
        <f>-SUMIFS(Tabla2[A],Tabla2[ANY],$Z$76,Tabla2[MES],'2025'!T$2,Tabla2[TIPUS],'2025'!$A144)</f>
        <v>0</v>
      </c>
      <c r="U144" s="38">
        <f>T144</f>
        <v>0</v>
      </c>
      <c r="V144" s="20">
        <f>-SUMIFS(Tabla2[A],Tabla2[ANY],$Z$76,Tabla2[MES],'2025'!V$2,Tabla2[TIPUS],'2025'!$A144)</f>
        <v>0</v>
      </c>
      <c r="W144" s="38">
        <f>V144</f>
        <v>0</v>
      </c>
      <c r="X144" s="20">
        <f>-SUMIFS(Tabla2[A],Tabla2[ANY],$Z$76,Tabla2[MES],'2025'!X$2,Tabla2[TIPUS],'2025'!$A144)</f>
        <v>0</v>
      </c>
      <c r="Y144" s="38">
        <f>X144</f>
        <v>0</v>
      </c>
      <c r="Z144" s="204">
        <f>-SUMIFS(Tabla2[A],Tabla2[ANY],$Z$140,Tabla2[TIPUS],'2025'!$A144)</f>
        <v>0</v>
      </c>
      <c r="AA144" s="205"/>
    </row>
    <row r="145" spans="1:27" x14ac:dyDescent="0.2">
      <c r="A145" t="s">
        <v>134</v>
      </c>
      <c r="B145" s="20">
        <f>-B133</f>
        <v>0</v>
      </c>
      <c r="C145" s="38">
        <f t="shared" si="140"/>
        <v>0</v>
      </c>
      <c r="D145" s="20">
        <f>-D133</f>
        <v>0</v>
      </c>
      <c r="E145" s="38">
        <f>D145</f>
        <v>0</v>
      </c>
      <c r="F145" s="20">
        <f>-F133</f>
        <v>0</v>
      </c>
      <c r="G145" s="38">
        <f>F145</f>
        <v>0</v>
      </c>
      <c r="H145" s="20">
        <f>-H133</f>
        <v>0</v>
      </c>
      <c r="I145" s="38">
        <f>H145</f>
        <v>0</v>
      </c>
      <c r="J145" s="20">
        <f>-J133</f>
        <v>0</v>
      </c>
      <c r="K145" s="38">
        <f>J145</f>
        <v>0</v>
      </c>
      <c r="L145" s="20">
        <f>-L133</f>
        <v>0</v>
      </c>
      <c r="M145" s="38">
        <f>L145</f>
        <v>0</v>
      </c>
      <c r="N145" s="20">
        <f>-N133</f>
        <v>0</v>
      </c>
      <c r="O145" s="38">
        <f>N145</f>
        <v>0</v>
      </c>
      <c r="P145" s="20">
        <f>-P133</f>
        <v>0</v>
      </c>
      <c r="Q145" s="38">
        <f>P145</f>
        <v>0</v>
      </c>
      <c r="R145" s="20">
        <f>-R133</f>
        <v>0</v>
      </c>
      <c r="S145" s="38">
        <f>R145</f>
        <v>0</v>
      </c>
      <c r="T145" s="20">
        <f>-T133</f>
        <v>0</v>
      </c>
      <c r="U145" s="38">
        <f>T145</f>
        <v>0</v>
      </c>
      <c r="V145" s="20">
        <f>-V133</f>
        <v>0</v>
      </c>
      <c r="W145" s="38">
        <f>V145</f>
        <v>0</v>
      </c>
      <c r="X145" s="20">
        <f>-X133</f>
        <v>0</v>
      </c>
      <c r="Y145" s="38">
        <f>X145</f>
        <v>0</v>
      </c>
      <c r="Z145" s="200">
        <f>-Z133</f>
        <v>0</v>
      </c>
      <c r="AA145" s="201"/>
    </row>
    <row r="146" spans="1:27" x14ac:dyDescent="0.2">
      <c r="A146" t="s">
        <v>130</v>
      </c>
      <c r="B146" s="23">
        <f>-B136</f>
        <v>-1331</v>
      </c>
      <c r="C146" s="35">
        <f t="shared" si="140"/>
        <v>-1331</v>
      </c>
      <c r="D146" s="23">
        <f>-D136</f>
        <v>0</v>
      </c>
      <c r="E146" s="35">
        <f>D146</f>
        <v>0</v>
      </c>
      <c r="F146" s="23">
        <f>-F136</f>
        <v>0</v>
      </c>
      <c r="G146" s="35">
        <f>F146</f>
        <v>0</v>
      </c>
      <c r="H146" s="23">
        <f>-H136</f>
        <v>-1149.1599999999999</v>
      </c>
      <c r="I146" s="35">
        <f>H146</f>
        <v>-1149.1599999999999</v>
      </c>
      <c r="J146" s="23">
        <f>-J136</f>
        <v>0</v>
      </c>
      <c r="K146" s="35">
        <f>J146</f>
        <v>0</v>
      </c>
      <c r="L146" s="23">
        <f>-L136</f>
        <v>0</v>
      </c>
      <c r="M146" s="35">
        <f>L146</f>
        <v>0</v>
      </c>
      <c r="N146" s="23">
        <f>-N136</f>
        <v>0</v>
      </c>
      <c r="O146" s="35">
        <f>N146</f>
        <v>0</v>
      </c>
      <c r="P146" s="23">
        <f>-P136</f>
        <v>0</v>
      </c>
      <c r="Q146" s="35">
        <f>P146</f>
        <v>0</v>
      </c>
      <c r="R146" s="23">
        <f>-R136</f>
        <v>0</v>
      </c>
      <c r="S146" s="35">
        <f>R146</f>
        <v>0</v>
      </c>
      <c r="T146" s="23">
        <f>-T136</f>
        <v>0</v>
      </c>
      <c r="U146" s="35">
        <f>T146</f>
        <v>0</v>
      </c>
      <c r="V146" s="23">
        <f>-V136</f>
        <v>0</v>
      </c>
      <c r="W146" s="35">
        <f>V146</f>
        <v>0</v>
      </c>
      <c r="X146" s="23">
        <f>-X136</f>
        <v>0</v>
      </c>
      <c r="Y146" s="35">
        <f>X146</f>
        <v>0</v>
      </c>
      <c r="Z146" s="200">
        <f>-Z136</f>
        <v>-2480.16</v>
      </c>
      <c r="AA146" s="207"/>
    </row>
    <row r="147" spans="1:27" ht="15.75" thickBot="1" x14ac:dyDescent="0.25">
      <c r="A147" s="36" t="s">
        <v>131</v>
      </c>
      <c r="B147" s="37">
        <f>B143+B144+B145+B146</f>
        <v>-175.78999999999996</v>
      </c>
      <c r="C147" s="39">
        <f t="shared" si="140"/>
        <v>-175.78999999999996</v>
      </c>
      <c r="D147" s="37">
        <f t="shared" ref="D147:Z147" si="142">D143+D144+D145+D146</f>
        <v>700.27</v>
      </c>
      <c r="E147" s="39">
        <f t="shared" si="142"/>
        <v>524.48</v>
      </c>
      <c r="F147" s="37">
        <f t="shared" si="142"/>
        <v>584.34</v>
      </c>
      <c r="G147" s="39">
        <f t="shared" si="142"/>
        <v>1108.8200000000002</v>
      </c>
      <c r="H147" s="37">
        <f t="shared" si="142"/>
        <v>-764.12999999999977</v>
      </c>
      <c r="I147" s="39">
        <f t="shared" si="142"/>
        <v>344.69000000000051</v>
      </c>
      <c r="J147" s="37">
        <f t="shared" si="142"/>
        <v>59.170000000000073</v>
      </c>
      <c r="K147" s="39">
        <f t="shared" si="142"/>
        <v>403.86000000000058</v>
      </c>
      <c r="L147" s="37">
        <f t="shared" si="142"/>
        <v>484.44000000000005</v>
      </c>
      <c r="M147" s="39">
        <f t="shared" si="142"/>
        <v>888.30000000000064</v>
      </c>
      <c r="N147" s="37">
        <f t="shared" si="142"/>
        <v>0</v>
      </c>
      <c r="O147" s="39">
        <f t="shared" si="142"/>
        <v>888.30000000000064</v>
      </c>
      <c r="P147" s="37">
        <f t="shared" si="142"/>
        <v>0</v>
      </c>
      <c r="Q147" s="39">
        <f t="shared" si="142"/>
        <v>888.30000000000064</v>
      </c>
      <c r="R147" s="37">
        <f t="shared" si="142"/>
        <v>0</v>
      </c>
      <c r="S147" s="39">
        <f t="shared" si="142"/>
        <v>888.30000000000064</v>
      </c>
      <c r="T147" s="37">
        <f t="shared" si="142"/>
        <v>0</v>
      </c>
      <c r="U147" s="39">
        <f t="shared" si="142"/>
        <v>888.30000000000064</v>
      </c>
      <c r="V147" s="37">
        <f t="shared" si="142"/>
        <v>0</v>
      </c>
      <c r="W147" s="39">
        <f t="shared" si="142"/>
        <v>888.30000000000064</v>
      </c>
      <c r="X147" s="37">
        <f t="shared" si="142"/>
        <v>0</v>
      </c>
      <c r="Y147" s="39">
        <f t="shared" si="142"/>
        <v>888.30000000000064</v>
      </c>
      <c r="Z147" s="202">
        <f t="shared" si="142"/>
        <v>888.30000000000018</v>
      </c>
      <c r="AA147" s="203"/>
    </row>
    <row r="149" spans="1:27" ht="30" thickBot="1" x14ac:dyDescent="0.45">
      <c r="A149" s="45" t="s">
        <v>103</v>
      </c>
    </row>
    <row r="150" spans="1:27" x14ac:dyDescent="0.2">
      <c r="B150" s="208" t="s">
        <v>48</v>
      </c>
      <c r="C150" s="209"/>
      <c r="D150" s="208" t="s">
        <v>56</v>
      </c>
      <c r="E150" s="209"/>
      <c r="F150" s="208" t="s">
        <v>57</v>
      </c>
      <c r="G150" s="209"/>
      <c r="H150" s="208" t="s">
        <v>58</v>
      </c>
      <c r="I150" s="209"/>
      <c r="J150" s="208" t="s">
        <v>59</v>
      </c>
      <c r="K150" s="209"/>
      <c r="L150" s="208" t="s">
        <v>60</v>
      </c>
      <c r="M150" s="209"/>
      <c r="N150" s="208" t="s">
        <v>61</v>
      </c>
      <c r="O150" s="209"/>
      <c r="P150" s="208" t="s">
        <v>62</v>
      </c>
      <c r="Q150" s="209"/>
      <c r="R150" s="208" t="s">
        <v>236</v>
      </c>
      <c r="S150" s="209"/>
      <c r="T150" s="208" t="s">
        <v>63</v>
      </c>
      <c r="U150" s="209"/>
      <c r="V150" s="208" t="s">
        <v>64</v>
      </c>
      <c r="W150" s="209"/>
      <c r="X150" s="208" t="s">
        <v>65</v>
      </c>
      <c r="Y150" s="209"/>
      <c r="Z150" s="208">
        <f>Z2</f>
        <v>2025</v>
      </c>
      <c r="AA150" s="209"/>
    </row>
    <row r="151" spans="1:27" ht="15.75" thickBot="1" x14ac:dyDescent="0.25">
      <c r="A151" s="10" t="s">
        <v>66</v>
      </c>
      <c r="B151" s="16">
        <f>B152+B170</f>
        <v>3095</v>
      </c>
      <c r="C151" s="17">
        <f>IF(B151=0,0,(B151/B151))</f>
        <v>1</v>
      </c>
      <c r="D151" s="16">
        <f>D152+D170</f>
        <v>2175</v>
      </c>
      <c r="E151" s="17">
        <f>IF(D151=0,0,(D151/D151))</f>
        <v>1</v>
      </c>
      <c r="F151" s="16">
        <f>F152+F170</f>
        <v>2575</v>
      </c>
      <c r="G151" s="17">
        <f>IF(F151=0,0,(F151/F151))</f>
        <v>1</v>
      </c>
      <c r="H151" s="16">
        <f>H152+H170</f>
        <v>2165</v>
      </c>
      <c r="I151" s="17">
        <f>IF(H151=0,0,(H151/H151))</f>
        <v>1</v>
      </c>
      <c r="J151" s="16">
        <f>J152+J170</f>
        <v>2630</v>
      </c>
      <c r="K151" s="17">
        <f>IF(J151=0,0,(J151/J151))</f>
        <v>1</v>
      </c>
      <c r="L151" s="16">
        <f>L152+L170</f>
        <v>2430</v>
      </c>
      <c r="M151" s="17">
        <f>IF(L151=0,0,(L151/L151))</f>
        <v>1</v>
      </c>
      <c r="N151" s="16">
        <f>N152+N170</f>
        <v>0</v>
      </c>
      <c r="O151" s="17">
        <f>IF(N151=0,0,(N151/N151))</f>
        <v>0</v>
      </c>
      <c r="P151" s="16">
        <f>P152+P170</f>
        <v>0</v>
      </c>
      <c r="Q151" s="17">
        <f>IF(P151=0,0,(P151/P151))</f>
        <v>0</v>
      </c>
      <c r="R151" s="16">
        <f>R152+R170</f>
        <v>0</v>
      </c>
      <c r="S151" s="17">
        <f>IF(R151=0,0,(R151/R151))</f>
        <v>0</v>
      </c>
      <c r="T151" s="16">
        <f>T152+T170</f>
        <v>0</v>
      </c>
      <c r="U151" s="17">
        <f>IF(T151=0,0,(T151/T151))</f>
        <v>0</v>
      </c>
      <c r="V151" s="16">
        <f>V152+V170</f>
        <v>0</v>
      </c>
      <c r="W151" s="17">
        <f>IF(V151=0,0,(V151/V151))</f>
        <v>0</v>
      </c>
      <c r="X151" s="16">
        <f>X152+X170</f>
        <v>0</v>
      </c>
      <c r="Y151" s="17">
        <f>IF(X151=0,0,(X151/X151))</f>
        <v>0</v>
      </c>
      <c r="Z151" s="16">
        <f>Z152+Z170</f>
        <v>15070</v>
      </c>
      <c r="AA151" s="17">
        <f>IF(Z151=0,0,(Z151/Z151))</f>
        <v>1</v>
      </c>
    </row>
    <row r="152" spans="1:27" x14ac:dyDescent="0.2">
      <c r="A152" s="32" t="s">
        <v>74</v>
      </c>
      <c r="B152" s="18">
        <f>SUM(B153:B160)</f>
        <v>2915</v>
      </c>
      <c r="C152" s="19">
        <f>IF(B$151=0,0,B152/B$151)</f>
        <v>0.94184168012924074</v>
      </c>
      <c r="D152" s="18">
        <f>SUM(D153:D160)</f>
        <v>2155</v>
      </c>
      <c r="E152" s="19">
        <f>IF(D$151=0,0,D152/D$151)</f>
        <v>0.99080459770114937</v>
      </c>
      <c r="F152" s="18">
        <f>SUM(F153:F160)</f>
        <v>2575</v>
      </c>
      <c r="G152" s="19">
        <f>IF(F$151=0,0,F152/F$151)</f>
        <v>1</v>
      </c>
      <c r="H152" s="18">
        <f>SUM(H153:H160)</f>
        <v>1985</v>
      </c>
      <c r="I152" s="19">
        <f>IF(H$151=0,0,H152/H$151)</f>
        <v>0.91685912240184753</v>
      </c>
      <c r="J152" s="18">
        <f>SUM(J153:J160)</f>
        <v>2540</v>
      </c>
      <c r="K152" s="19">
        <f>IF(J$151=0,0,J152/J$151)</f>
        <v>0.96577946768060841</v>
      </c>
      <c r="L152" s="18">
        <f>SUM(L153:L160)</f>
        <v>2310</v>
      </c>
      <c r="M152" s="19">
        <f>IF(L$151=0,0,L152/L$151)</f>
        <v>0.95061728395061729</v>
      </c>
      <c r="N152" s="18">
        <f>SUM(N153:N160)</f>
        <v>0</v>
      </c>
      <c r="O152" s="19">
        <f>IF(N$151=0,0,N152/N$151)</f>
        <v>0</v>
      </c>
      <c r="P152" s="18">
        <f>SUM(P153:P160)</f>
        <v>0</v>
      </c>
      <c r="Q152" s="19">
        <f>IF(P$151=0,0,P152/P$151)</f>
        <v>0</v>
      </c>
      <c r="R152" s="18">
        <f>SUM(R153:R160)</f>
        <v>0</v>
      </c>
      <c r="S152" s="19">
        <f>IF(R$151=0,0,R152/R$151)</f>
        <v>0</v>
      </c>
      <c r="T152" s="18">
        <f>SUM(T153:T160)</f>
        <v>0</v>
      </c>
      <c r="U152" s="19">
        <f>IF(T$151=0,0,T152/T$151)</f>
        <v>0</v>
      </c>
      <c r="V152" s="18">
        <f>SUM(V153:V160)</f>
        <v>0</v>
      </c>
      <c r="W152" s="19">
        <f>IF(V$151=0,0,V152/V$151)</f>
        <v>0</v>
      </c>
      <c r="X152" s="18">
        <f>SUM(X153:X160)</f>
        <v>0</v>
      </c>
      <c r="Y152" s="19">
        <f>IF(X$151=0,0,X152/X$151)</f>
        <v>0</v>
      </c>
      <c r="Z152" s="18">
        <f>SUM(Z153:Z160)</f>
        <v>14480</v>
      </c>
      <c r="AA152" s="19">
        <f>IF(Z$3=0,0,Z152/Z$3)</f>
        <v>0.63038746190683503</v>
      </c>
    </row>
    <row r="153" spans="1:27" hidden="1" outlineLevel="1" x14ac:dyDescent="0.2">
      <c r="A153" s="8" t="s">
        <v>67</v>
      </c>
      <c r="B153" s="20">
        <f>SUMIFS('Registre de reserves'!$V$2:$V$1178,'Registre de reserves'!$T$2:$T$1178,"SI",'Registre de reserves'!$I$2:$I$1178,'2025'!$A153,'Registre de reserves'!$B$2:$B$1178,'2025'!B$2,Tabla1[ANY],'2025'!$Z$150)+SUMIFS('Registre de reserves'!$V$2:$V$1178,'Registre de reserves'!$T$2:$T$1178,"RESERVA",'Registre de reserves'!$I$2:$I$1178,'2025'!$A153,'Registre de reserves'!$B$2:$B$1178,'2025'!B$2,Tabla1[ANY],'2025'!$Z$150)</f>
        <v>400</v>
      </c>
      <c r="C153" s="21">
        <f>IF(B$152=0,0,B153/B$152)</f>
        <v>0.137221269296741</v>
      </c>
      <c r="D153" s="20">
        <f>SUMIFS('Registre de reserves'!$V$2:$V$1178,'Registre de reserves'!$T$2:$T$1178,"SI",'Registre de reserves'!$I$2:$I$1178,'2025'!$A153,'Registre de reserves'!$B$2:$B$1178,'2025'!D$2,Tabla1[ANY],'2025'!$Z$150)+SUMIFS('Registre de reserves'!$V$2:$V$1178,'Registre de reserves'!$T$2:$T$1178,"RESERVA",'Registre de reserves'!$I$2:$I$1178,'2025'!$A153,'Registre de reserves'!$B$2:$B$1178,'2025'!D$2,Tabla1[ANY],'2025'!$Z$150)</f>
        <v>700</v>
      </c>
      <c r="E153" s="21">
        <f t="shared" ref="E153:E160" si="143">IF(D$152=0,0,D153/D$152)</f>
        <v>0.3248259860788863</v>
      </c>
      <c r="F153" s="20">
        <f>SUMIFS('Registre de reserves'!$V$2:$V$1178,'Registre de reserves'!$T$2:$T$1178,"SI",'Registre de reserves'!$I$2:$I$1178,'2025'!$A153,'Registre de reserves'!$B$2:$B$1178,'2025'!F$2,Tabla1[ANY],'2025'!$Z$150)+SUMIFS('Registre de reserves'!$V$2:$V$1178,'Registre de reserves'!$T$2:$T$1178,"RESERVA",'Registre de reserves'!$I$2:$I$1178,'2025'!$A153,'Registre de reserves'!$B$2:$B$1178,'2025'!F$2,Tabla1[ANY],'2025'!$Z$150)</f>
        <v>500</v>
      </c>
      <c r="G153" s="21">
        <f t="shared" ref="G153:G160" si="144">IF(F$152=0,0,F153/F$152)</f>
        <v>0.1941747572815534</v>
      </c>
      <c r="H153" s="20">
        <f>SUMIFS('Registre de reserves'!$V$2:$V$1178,'Registre de reserves'!$T$2:$T$1178,"SI",'Registre de reserves'!$I$2:$I$1178,'2025'!$A153,'Registre de reserves'!$B$2:$B$1178,'2025'!H$2,Tabla1[ANY],'2025'!$Z$150)+SUMIFS('Registre de reserves'!$V$2:$V$1178,'Registre de reserves'!$T$2:$T$1178,"RESERVA",'Registre de reserves'!$I$2:$I$1178,'2025'!$A153,'Registre de reserves'!$B$2:$B$1178,'2025'!H$2,Tabla1[ANY],'2025'!$Z$150)</f>
        <v>600</v>
      </c>
      <c r="I153" s="21">
        <f t="shared" ref="I153:I160" si="145">IF(H$152=0,0,H153/H$152)</f>
        <v>0.30226700251889171</v>
      </c>
      <c r="J153" s="20">
        <f>SUMIFS('Registre de reserves'!$V$2:$V$1178,'Registre de reserves'!$T$2:$T$1178,"SI",'Registre de reserves'!$I$2:$I$1178,'2025'!$A153,'Registre de reserves'!$B$2:$B$1178,'2025'!J$2,Tabla1[ANY],'2025'!$Z$150)+SUMIFS('Registre de reserves'!$V$2:$V$1178,'Registre de reserves'!$T$2:$T$1178,"RESERVA",'Registre de reserves'!$I$2:$I$1178,'2025'!$A153,'Registre de reserves'!$B$2:$B$1178,'2025'!J$2,Tabla1[ANY],'2025'!$Z$150)</f>
        <v>500</v>
      </c>
      <c r="K153" s="21">
        <f t="shared" ref="K153:K160" si="146">IF(J$152=0,0,J153/J$152)</f>
        <v>0.19685039370078741</v>
      </c>
      <c r="L153" s="20">
        <f>SUMIFS('Registre de reserves'!$V$2:$V$1178,'Registre de reserves'!$T$2:$T$1178,"SI",'Registre de reserves'!$I$2:$I$1178,'2025'!$A153,'Registre de reserves'!$B$2:$B$1178,'2025'!L$2,Tabla1[ANY],'2025'!$Z$150)+SUMIFS('Registre de reserves'!$V$2:$V$1178,'Registre de reserves'!$T$2:$T$1178,"RESERVA",'Registre de reserves'!$I$2:$I$1178,'2025'!$A153,'Registre de reserves'!$B$2:$B$1178,'2025'!L$2,Tabla1[ANY],'2025'!$Z$150)</f>
        <v>300</v>
      </c>
      <c r="M153" s="21">
        <f t="shared" ref="M153:M160" si="147">IF(L$152=0,0,L153/L$152)</f>
        <v>0.12987012987012986</v>
      </c>
      <c r="N153" s="20">
        <f>SUMIFS('Registre de reserves'!$V$2:$V$1178,'Registre de reserves'!$T$2:$T$1178,"SI",'Registre de reserves'!$I$2:$I$1178,'2025'!$A153,'Registre de reserves'!$B$2:$B$1178,'2025'!N$2,Tabla1[ANY],'2025'!$Z$150)+SUMIFS('Registre de reserves'!$V$2:$V$1178,'Registre de reserves'!$T$2:$T$1178,"RESERVA",'Registre de reserves'!$I$2:$I$1178,'2025'!$A153,'Registre de reserves'!$B$2:$B$1178,'2025'!N$2,Tabla1[ANY],'2025'!$Z$150)</f>
        <v>0</v>
      </c>
      <c r="O153" s="21">
        <f t="shared" ref="O153:O160" si="148">IF(N$152=0,0,N153/N$152)</f>
        <v>0</v>
      </c>
      <c r="P153" s="20">
        <f>SUMIFS('Registre de reserves'!$V$2:$V$1178,'Registre de reserves'!$T$2:$T$1178,"SI",'Registre de reserves'!$I$2:$I$1178,'2025'!$A153,'Registre de reserves'!$B$2:$B$1178,'2025'!P$2,Tabla1[ANY],'2025'!$Z$150)+SUMIFS('Registre de reserves'!$V$2:$V$1178,'Registre de reserves'!$T$2:$T$1178,"RESERVA",'Registre de reserves'!$I$2:$I$1178,'2025'!$A153,'Registre de reserves'!$B$2:$B$1178,'2025'!P$2,Tabla1[ANY],'2025'!$Z$150)</f>
        <v>0</v>
      </c>
      <c r="Q153" s="21">
        <f t="shared" ref="Q153:Q160" si="149">IF(P$152=0,0,P153/P$152)</f>
        <v>0</v>
      </c>
      <c r="R153" s="20">
        <f>SUMIFS('Registre de reserves'!$V$2:$V$1178,'Registre de reserves'!$T$2:$T$1178,"SI",'Registre de reserves'!$I$2:$I$1178,'2025'!$A153,'Registre de reserves'!$B$2:$B$1178,'2025'!R$2,Tabla1[ANY],'2025'!$Z$150)+SUMIFS('Registre de reserves'!$V$2:$V$1178,'Registre de reserves'!$T$2:$T$1178,"RESERVA",'Registre de reserves'!$I$2:$I$1178,'2025'!$A153,'Registre de reserves'!$B$2:$B$1178,'2025'!R$2,Tabla1[ANY],'2025'!$Z$150)</f>
        <v>0</v>
      </c>
      <c r="S153" s="21">
        <f t="shared" ref="S153:S160" si="150">IF(R$152=0,0,R153/R$152)</f>
        <v>0</v>
      </c>
      <c r="T153" s="20">
        <f>SUMIFS('Registre de reserves'!$V$2:$V$1178,'Registre de reserves'!$T$2:$T$1178,"SI",'Registre de reserves'!$I$2:$I$1178,'2025'!$A153,'Registre de reserves'!$B$2:$B$1178,'2025'!T$2,Tabla1[ANY],'2025'!$Z$150)+SUMIFS('Registre de reserves'!$V$2:$V$1178,'Registre de reserves'!$T$2:$T$1178,"RESERVA",'Registre de reserves'!$I$2:$I$1178,'2025'!$A153,'Registre de reserves'!$B$2:$B$1178,'2025'!T$2,Tabla1[ANY],'2025'!$Z$150)</f>
        <v>0</v>
      </c>
      <c r="U153" s="21">
        <f t="shared" ref="U153:U160" si="151">IF(T$152=0,0,T153/T$152)</f>
        <v>0</v>
      </c>
      <c r="V153" s="20">
        <f>SUMIFS('Registre de reserves'!$V$2:$V$1178,'Registre de reserves'!$T$2:$T$1178,"SI",'Registre de reserves'!$I$2:$I$1178,'2025'!$A153,'Registre de reserves'!$B$2:$B$1178,'2025'!V$2,Tabla1[ANY],'2025'!$Z$150)+SUMIFS('Registre de reserves'!$V$2:$V$1178,'Registre de reserves'!$T$2:$T$1178,"RESERVA",'Registre de reserves'!$I$2:$I$1178,'2025'!$A153,'Registre de reserves'!$B$2:$B$1178,'2025'!V$2,Tabla1[ANY],'2025'!$Z$150)</f>
        <v>0</v>
      </c>
      <c r="W153" s="21">
        <f t="shared" ref="W153:W160" si="152">IF(V$152=0,0,V153/V$152)</f>
        <v>0</v>
      </c>
      <c r="X153" s="20">
        <f>SUMIFS('Registre de reserves'!$V$2:$V$1178,'Registre de reserves'!$T$2:$T$1178,"SI",'Registre de reserves'!$I$2:$I$1178,'2025'!$A153,'Registre de reserves'!$B$2:$B$1178,'2025'!X$2,Tabla1[ANY],'2025'!$Z$150)+SUMIFS('Registre de reserves'!$V$2:$V$1178,'Registre de reserves'!$T$2:$T$1178,"RESERVA",'Registre de reserves'!$I$2:$I$1178,'2025'!$A153,'Registre de reserves'!$B$2:$B$1178,'2025'!X$2,Tabla1[ANY],'2025'!$Z$150)</f>
        <v>0</v>
      </c>
      <c r="Y153" s="21">
        <f t="shared" ref="Y153:Y160" si="153">IF(X$152=0,0,X153/X$152)</f>
        <v>0</v>
      </c>
      <c r="Z153" s="20">
        <f>B153+D153+F153+H153+J153+L153+N153+P153+R153+T153+V153+X153</f>
        <v>3000</v>
      </c>
      <c r="AA153" s="21">
        <f t="shared" ref="AA153:AA160" si="154">IF(Z$4=0,0,Z153/Z$4)</f>
        <v>0.13477088948787061</v>
      </c>
    </row>
    <row r="154" spans="1:27" hidden="1" outlineLevel="1" x14ac:dyDescent="0.2">
      <c r="A154" s="8" t="s">
        <v>68</v>
      </c>
      <c r="B154" s="20">
        <f>SUMIFS('Registre de reserves'!$V$2:$V$1178,'Registre de reserves'!$T$2:$T$1178,"SI",'Registre de reserves'!$I$2:$I$1178,'2025'!$A154,'Registre de reserves'!$B$2:$B$1178,'2025'!B$2,Tabla1[ANY],'2025'!$Z$150)+SUMIFS('Registre de reserves'!$V$2:$V$1178,'Registre de reserves'!$T$2:$T$1178,"RESERVA",'Registre de reserves'!$I$2:$I$1178,'2025'!$A154,'Registre de reserves'!$B$2:$B$1178,'2025'!B$2,Tabla1[ANY],'2025'!$Z$150)</f>
        <v>1305</v>
      </c>
      <c r="C154" s="21">
        <f t="shared" ref="C154:C160" si="155">IF(B$152=0,0,B154/B$152)</f>
        <v>0.44768439108061747</v>
      </c>
      <c r="D154" s="20">
        <f>SUMIFS('Registre de reserves'!$V$2:$V$1178,'Registre de reserves'!$T$2:$T$1178,"SI",'Registre de reserves'!$I$2:$I$1178,'2025'!$A154,'Registre de reserves'!$B$2:$B$1178,'2025'!D$2,Tabla1[ANY],'2025'!$Z$150)+SUMIFS('Registre de reserves'!$V$2:$V$1178,'Registre de reserves'!$T$2:$T$1178,"RESERVA",'Registre de reserves'!$I$2:$I$1178,'2025'!$A154,'Registre de reserves'!$B$2:$B$1178,'2025'!D$2,Tabla1[ANY],'2025'!$Z$150)</f>
        <v>735</v>
      </c>
      <c r="E154" s="21">
        <f t="shared" si="143"/>
        <v>0.34106728538283065</v>
      </c>
      <c r="F154" s="20">
        <f>SUMIFS('Registre de reserves'!$V$2:$V$1178,'Registre de reserves'!$T$2:$T$1178,"SI",'Registre de reserves'!$I$2:$I$1178,'2025'!$A154,'Registre de reserves'!$B$2:$B$1178,'2025'!F$2,Tabla1[ANY],'2025'!$Z$150)+SUMIFS('Registre de reserves'!$V$2:$V$1178,'Registre de reserves'!$T$2:$T$1178,"RESERVA",'Registre de reserves'!$I$2:$I$1178,'2025'!$A154,'Registre de reserves'!$B$2:$B$1178,'2025'!F$2,Tabla1[ANY],'2025'!$Z$150)</f>
        <v>1025</v>
      </c>
      <c r="G154" s="21">
        <f t="shared" si="144"/>
        <v>0.39805825242718446</v>
      </c>
      <c r="H154" s="20">
        <f>SUMIFS('Registre de reserves'!$V$2:$V$1178,'Registre de reserves'!$T$2:$T$1178,"SI",'Registre de reserves'!$I$2:$I$1178,'2025'!$A154,'Registre de reserves'!$B$2:$B$1178,'2025'!H$2,Tabla1[ANY],'2025'!$Z$150)+SUMIFS('Registre de reserves'!$V$2:$V$1178,'Registre de reserves'!$T$2:$T$1178,"RESERVA",'Registre de reserves'!$I$2:$I$1178,'2025'!$A154,'Registre de reserves'!$B$2:$B$1178,'2025'!H$2,Tabla1[ANY],'2025'!$Z$150)</f>
        <v>635</v>
      </c>
      <c r="I154" s="21">
        <f t="shared" si="145"/>
        <v>0.31989924433249373</v>
      </c>
      <c r="J154" s="20">
        <f>SUMIFS('Registre de reserves'!$V$2:$V$1178,'Registre de reserves'!$T$2:$T$1178,"SI",'Registre de reserves'!$I$2:$I$1178,'2025'!$A154,'Registre de reserves'!$B$2:$B$1178,'2025'!J$2,Tabla1[ANY],'2025'!$Z$150)+SUMIFS('Registre de reserves'!$V$2:$V$1178,'Registre de reserves'!$T$2:$T$1178,"RESERVA",'Registre de reserves'!$I$2:$I$1178,'2025'!$A154,'Registre de reserves'!$B$2:$B$1178,'2025'!J$2,Tabla1[ANY],'2025'!$Z$150)</f>
        <v>870</v>
      </c>
      <c r="K154" s="21">
        <f t="shared" si="146"/>
        <v>0.34251968503937008</v>
      </c>
      <c r="L154" s="20">
        <f>SUMIFS('Registre de reserves'!$V$2:$V$1178,'Registre de reserves'!$T$2:$T$1178,"SI",'Registre de reserves'!$I$2:$I$1178,'2025'!$A154,'Registre de reserves'!$B$2:$B$1178,'2025'!L$2,Tabla1[ANY],'2025'!$Z$150)+SUMIFS('Registre de reserves'!$V$2:$V$1178,'Registre de reserves'!$T$2:$T$1178,"RESERVA",'Registre de reserves'!$I$2:$I$1178,'2025'!$A154,'Registre de reserves'!$B$2:$B$1178,'2025'!L$2,Tabla1[ANY],'2025'!$Z$150)</f>
        <v>680</v>
      </c>
      <c r="M154" s="21">
        <f t="shared" si="147"/>
        <v>0.2943722943722944</v>
      </c>
      <c r="N154" s="20">
        <f>SUMIFS('Registre de reserves'!$V$2:$V$1178,'Registre de reserves'!$T$2:$T$1178,"SI",'Registre de reserves'!$I$2:$I$1178,'2025'!$A154,'Registre de reserves'!$B$2:$B$1178,'2025'!N$2,Tabla1[ANY],'2025'!$Z$150)+SUMIFS('Registre de reserves'!$V$2:$V$1178,'Registre de reserves'!$T$2:$T$1178,"RESERVA",'Registre de reserves'!$I$2:$I$1178,'2025'!$A154,'Registre de reserves'!$B$2:$B$1178,'2025'!N$2,Tabla1[ANY],'2025'!$Z$150)</f>
        <v>0</v>
      </c>
      <c r="O154" s="21">
        <f t="shared" si="148"/>
        <v>0</v>
      </c>
      <c r="P154" s="20">
        <f>SUMIFS('Registre de reserves'!$V$2:$V$1178,'Registre de reserves'!$T$2:$T$1178,"SI",'Registre de reserves'!$I$2:$I$1178,'2025'!$A154,'Registre de reserves'!$B$2:$B$1178,'2025'!P$2,Tabla1[ANY],'2025'!$Z$150)+SUMIFS('Registre de reserves'!$V$2:$V$1178,'Registre de reserves'!$T$2:$T$1178,"RESERVA",'Registre de reserves'!$I$2:$I$1178,'2025'!$A154,'Registre de reserves'!$B$2:$B$1178,'2025'!P$2,Tabla1[ANY],'2025'!$Z$150)</f>
        <v>0</v>
      </c>
      <c r="Q154" s="21">
        <f t="shared" si="149"/>
        <v>0</v>
      </c>
      <c r="R154" s="20">
        <f>SUMIFS('Registre de reserves'!$V$2:$V$1178,'Registre de reserves'!$T$2:$T$1178,"SI",'Registre de reserves'!$I$2:$I$1178,'2025'!$A154,'Registre de reserves'!$B$2:$B$1178,'2025'!R$2,Tabla1[ANY],'2025'!$Z$150)+SUMIFS('Registre de reserves'!$V$2:$V$1178,'Registre de reserves'!$T$2:$T$1178,"RESERVA",'Registre de reserves'!$I$2:$I$1178,'2025'!$A154,'Registre de reserves'!$B$2:$B$1178,'2025'!R$2,Tabla1[ANY],'2025'!$Z$150)</f>
        <v>0</v>
      </c>
      <c r="S154" s="21">
        <f t="shared" si="150"/>
        <v>0</v>
      </c>
      <c r="T154" s="20">
        <f>SUMIFS('Registre de reserves'!$V$2:$V$1178,'Registre de reserves'!$T$2:$T$1178,"SI",'Registre de reserves'!$I$2:$I$1178,'2025'!$A154,'Registre de reserves'!$B$2:$B$1178,'2025'!T$2,Tabla1[ANY],'2025'!$Z$150)+SUMIFS('Registre de reserves'!$V$2:$V$1178,'Registre de reserves'!$T$2:$T$1178,"RESERVA",'Registre de reserves'!$I$2:$I$1178,'2025'!$A154,'Registre de reserves'!$B$2:$B$1178,'2025'!T$2,Tabla1[ANY],'2025'!$Z$150)</f>
        <v>0</v>
      </c>
      <c r="U154" s="21">
        <f t="shared" si="151"/>
        <v>0</v>
      </c>
      <c r="V154" s="20">
        <f>SUMIFS('Registre de reserves'!$V$2:$V$1178,'Registre de reserves'!$T$2:$T$1178,"SI",'Registre de reserves'!$I$2:$I$1178,'2025'!$A154,'Registre de reserves'!$B$2:$B$1178,'2025'!V$2,Tabla1[ANY],'2025'!$Z$150)+SUMIFS('Registre de reserves'!$V$2:$V$1178,'Registre de reserves'!$T$2:$T$1178,"RESERVA",'Registre de reserves'!$I$2:$I$1178,'2025'!$A154,'Registre de reserves'!$B$2:$B$1178,'2025'!V$2,Tabla1[ANY],'2025'!$Z$150)</f>
        <v>0</v>
      </c>
      <c r="W154" s="21">
        <f t="shared" si="152"/>
        <v>0</v>
      </c>
      <c r="X154" s="20">
        <f>SUMIFS('Registre de reserves'!$V$2:$V$1178,'Registre de reserves'!$T$2:$T$1178,"SI",'Registre de reserves'!$I$2:$I$1178,'2025'!$A154,'Registre de reserves'!$B$2:$B$1178,'2025'!X$2,Tabla1[ANY],'2025'!$Z$150)+SUMIFS('Registre de reserves'!$V$2:$V$1178,'Registre de reserves'!$T$2:$T$1178,"RESERVA",'Registre de reserves'!$I$2:$I$1178,'2025'!$A154,'Registre de reserves'!$B$2:$B$1178,'2025'!X$2,Tabla1[ANY],'2025'!$Z$150)</f>
        <v>0</v>
      </c>
      <c r="Y154" s="21">
        <f t="shared" si="153"/>
        <v>0</v>
      </c>
      <c r="Z154" s="20">
        <f t="shared" ref="Z154:Z160" si="156">B154+D154+F154+H154+J154+L154+N154+P154+R154+T154+V154+X154</f>
        <v>5250</v>
      </c>
      <c r="AA154" s="21">
        <f t="shared" si="154"/>
        <v>0.23584905660377359</v>
      </c>
    </row>
    <row r="155" spans="1:27" hidden="1" outlineLevel="1" x14ac:dyDescent="0.2">
      <c r="A155" s="8" t="s">
        <v>4</v>
      </c>
      <c r="B155" s="20">
        <f>SUMIFS('Registre de reserves'!$V$2:$V$1178,'Registre de reserves'!$T$2:$T$1178,"SI",'Registre de reserves'!$I$2:$I$1178,'2025'!$A155,'Registre de reserves'!$B$2:$B$1178,'2025'!B$2,Tabla1[ANY],'2025'!$Z$150)+SUMIFS('Registre de reserves'!$V$2:$V$1178,'Registre de reserves'!$T$2:$T$1178,"RESERVA",'Registre de reserves'!$I$2:$I$1178,'2025'!$A155,'Registre de reserves'!$B$2:$B$1178,'2025'!B$2,Tabla1[ANY],'2025'!$Z$150)</f>
        <v>760</v>
      </c>
      <c r="C155" s="21">
        <f t="shared" si="155"/>
        <v>0.26072041166380788</v>
      </c>
      <c r="D155" s="20">
        <f>SUMIFS('Registre de reserves'!$V$2:$V$1178,'Registre de reserves'!$T$2:$T$1178,"SI",'Registre de reserves'!$I$2:$I$1178,'2025'!$A155,'Registre de reserves'!$B$2:$B$1178,'2025'!D$2,Tabla1[ANY],'2025'!$Z$150)+SUMIFS('Registre de reserves'!$V$2:$V$1178,'Registre de reserves'!$T$2:$T$1178,"RESERVA",'Registre de reserves'!$I$2:$I$1178,'2025'!$A155,'Registre de reserves'!$B$2:$B$1178,'2025'!D$2,Tabla1[ANY],'2025'!$Z$150)</f>
        <v>270</v>
      </c>
      <c r="E155" s="21">
        <f t="shared" si="143"/>
        <v>0.12529002320185614</v>
      </c>
      <c r="F155" s="20">
        <f>SUMIFS('Registre de reserves'!$V$2:$V$1178,'Registre de reserves'!$T$2:$T$1178,"SI",'Registre de reserves'!$I$2:$I$1178,'2025'!$A155,'Registre de reserves'!$B$2:$B$1178,'2025'!F$2,Tabla1[ANY],'2025'!$Z$150)+SUMIFS('Registre de reserves'!$V$2:$V$1178,'Registre de reserves'!$T$2:$T$1178,"RESERVA",'Registre de reserves'!$I$2:$I$1178,'2025'!$A155,'Registre de reserves'!$B$2:$B$1178,'2025'!F$2,Tabla1[ANY],'2025'!$Z$150)</f>
        <v>0</v>
      </c>
      <c r="G155" s="21">
        <f t="shared" si="144"/>
        <v>0</v>
      </c>
      <c r="H155" s="20">
        <f>SUMIFS('Registre de reserves'!$V$2:$V$1178,'Registre de reserves'!$T$2:$T$1178,"SI",'Registre de reserves'!$I$2:$I$1178,'2025'!$A155,'Registre de reserves'!$B$2:$B$1178,'2025'!H$2,Tabla1[ANY],'2025'!$Z$150)+SUMIFS('Registre de reserves'!$V$2:$V$1178,'Registre de reserves'!$T$2:$T$1178,"RESERVA",'Registre de reserves'!$I$2:$I$1178,'2025'!$A155,'Registre de reserves'!$B$2:$B$1178,'2025'!H$2,Tabla1[ANY],'2025'!$Z$150)</f>
        <v>0</v>
      </c>
      <c r="I155" s="21">
        <f t="shared" si="145"/>
        <v>0</v>
      </c>
      <c r="J155" s="20">
        <f>SUMIFS('Registre de reserves'!$V$2:$V$1178,'Registre de reserves'!$T$2:$T$1178,"SI",'Registre de reserves'!$I$2:$I$1178,'2025'!$A155,'Registre de reserves'!$B$2:$B$1178,'2025'!J$2,Tabla1[ANY],'2025'!$Z$150)+SUMIFS('Registre de reserves'!$V$2:$V$1178,'Registre de reserves'!$T$2:$T$1178,"RESERVA",'Registre de reserves'!$I$2:$I$1178,'2025'!$A155,'Registre de reserves'!$B$2:$B$1178,'2025'!J$2,Tabla1[ANY],'2025'!$Z$150)</f>
        <v>0</v>
      </c>
      <c r="K155" s="21">
        <f t="shared" si="146"/>
        <v>0</v>
      </c>
      <c r="L155" s="20">
        <f>SUMIFS('Registre de reserves'!$V$2:$V$1178,'Registre de reserves'!$T$2:$T$1178,"SI",'Registre de reserves'!$I$2:$I$1178,'2025'!$A155,'Registre de reserves'!$B$2:$B$1178,'2025'!L$2,Tabla1[ANY],'2025'!$Z$150)+SUMIFS('Registre de reserves'!$V$2:$V$1178,'Registre de reserves'!$T$2:$T$1178,"RESERVA",'Registre de reserves'!$I$2:$I$1178,'2025'!$A155,'Registre de reserves'!$B$2:$B$1178,'2025'!L$2,Tabla1[ANY],'2025'!$Z$150)</f>
        <v>0</v>
      </c>
      <c r="M155" s="21">
        <f t="shared" si="147"/>
        <v>0</v>
      </c>
      <c r="N155" s="20">
        <f>SUMIFS('Registre de reserves'!$V$2:$V$1178,'Registre de reserves'!$T$2:$T$1178,"SI",'Registre de reserves'!$I$2:$I$1178,'2025'!$A155,'Registre de reserves'!$B$2:$B$1178,'2025'!N$2,Tabla1[ANY],'2025'!$Z$150)+SUMIFS('Registre de reserves'!$V$2:$V$1178,'Registre de reserves'!$T$2:$T$1178,"RESERVA",'Registre de reserves'!$I$2:$I$1178,'2025'!$A155,'Registre de reserves'!$B$2:$B$1178,'2025'!N$2,Tabla1[ANY],'2025'!$Z$150)</f>
        <v>0</v>
      </c>
      <c r="O155" s="21">
        <f t="shared" si="148"/>
        <v>0</v>
      </c>
      <c r="P155" s="20">
        <f>SUMIFS('Registre de reserves'!$V$2:$V$1178,'Registre de reserves'!$T$2:$T$1178,"SI",'Registre de reserves'!$I$2:$I$1178,'2025'!$A155,'Registre de reserves'!$B$2:$B$1178,'2025'!P$2,Tabla1[ANY],'2025'!$Z$150)+SUMIFS('Registre de reserves'!$V$2:$V$1178,'Registre de reserves'!$T$2:$T$1178,"RESERVA",'Registre de reserves'!$I$2:$I$1178,'2025'!$A155,'Registre de reserves'!$B$2:$B$1178,'2025'!P$2,Tabla1[ANY],'2025'!$Z$150)</f>
        <v>0</v>
      </c>
      <c r="Q155" s="21">
        <f t="shared" si="149"/>
        <v>0</v>
      </c>
      <c r="R155" s="20">
        <f>SUMIFS('Registre de reserves'!$V$2:$V$1178,'Registre de reserves'!$T$2:$T$1178,"SI",'Registre de reserves'!$I$2:$I$1178,'2025'!$A155,'Registre de reserves'!$B$2:$B$1178,'2025'!R$2,Tabla1[ANY],'2025'!$Z$150)+SUMIFS('Registre de reserves'!$V$2:$V$1178,'Registre de reserves'!$T$2:$T$1178,"RESERVA",'Registre de reserves'!$I$2:$I$1178,'2025'!$A155,'Registre de reserves'!$B$2:$B$1178,'2025'!R$2,Tabla1[ANY],'2025'!$Z$150)</f>
        <v>0</v>
      </c>
      <c r="S155" s="21">
        <f t="shared" si="150"/>
        <v>0</v>
      </c>
      <c r="T155" s="20">
        <f>SUMIFS('Registre de reserves'!$V$2:$V$1178,'Registre de reserves'!$T$2:$T$1178,"SI",'Registre de reserves'!$I$2:$I$1178,'2025'!$A155,'Registre de reserves'!$B$2:$B$1178,'2025'!T$2,Tabla1[ANY],'2025'!$Z$150)+SUMIFS('Registre de reserves'!$V$2:$V$1178,'Registre de reserves'!$T$2:$T$1178,"RESERVA",'Registre de reserves'!$I$2:$I$1178,'2025'!$A155,'Registre de reserves'!$B$2:$B$1178,'2025'!T$2,Tabla1[ANY],'2025'!$Z$150)</f>
        <v>0</v>
      </c>
      <c r="U155" s="21">
        <f t="shared" si="151"/>
        <v>0</v>
      </c>
      <c r="V155" s="20">
        <f>SUMIFS('Registre de reserves'!$V$2:$V$1178,'Registre de reserves'!$T$2:$T$1178,"SI",'Registre de reserves'!$I$2:$I$1178,'2025'!$A155,'Registre de reserves'!$B$2:$B$1178,'2025'!V$2,Tabla1[ANY],'2025'!$Z$150)+SUMIFS('Registre de reserves'!$V$2:$V$1178,'Registre de reserves'!$T$2:$T$1178,"RESERVA",'Registre de reserves'!$I$2:$I$1178,'2025'!$A155,'Registre de reserves'!$B$2:$B$1178,'2025'!V$2,Tabla1[ANY],'2025'!$Z$150)</f>
        <v>0</v>
      </c>
      <c r="W155" s="21">
        <f t="shared" si="152"/>
        <v>0</v>
      </c>
      <c r="X155" s="20">
        <f>SUMIFS('Registre de reserves'!$V$2:$V$1178,'Registre de reserves'!$T$2:$T$1178,"SI",'Registre de reserves'!$I$2:$I$1178,'2025'!$A155,'Registre de reserves'!$B$2:$B$1178,'2025'!X$2,Tabla1[ANY],'2025'!$Z$150)+SUMIFS('Registre de reserves'!$V$2:$V$1178,'Registre de reserves'!$T$2:$T$1178,"RESERVA",'Registre de reserves'!$I$2:$I$1178,'2025'!$A155,'Registre de reserves'!$B$2:$B$1178,'2025'!X$2,Tabla1[ANY],'2025'!$Z$150)</f>
        <v>0</v>
      </c>
      <c r="Y155" s="21">
        <f t="shared" si="153"/>
        <v>0</v>
      </c>
      <c r="Z155" s="20">
        <f t="shared" si="156"/>
        <v>1030</v>
      </c>
      <c r="AA155" s="21">
        <f t="shared" si="154"/>
        <v>4.6271338724168914E-2</v>
      </c>
    </row>
    <row r="156" spans="1:27" hidden="1" outlineLevel="1" x14ac:dyDescent="0.2">
      <c r="A156" s="8" t="s">
        <v>71</v>
      </c>
      <c r="B156" s="20">
        <f>SUMIFS('Registre de reserves'!$V$2:$V$1178,'Registre de reserves'!$T$2:$T$1178,"SI",'Registre de reserves'!$I$2:$I$1178,'2025'!$A156,'Registre de reserves'!$B$2:$B$1178,'2025'!B$2,Tabla1[ANY],'2025'!$Z$150)+SUMIFS('Registre de reserves'!$V$2:$V$1178,'Registre de reserves'!$T$2:$T$1178,"RESERVA",'Registre de reserves'!$I$2:$I$1178,'2025'!$A156,'Registre de reserves'!$B$2:$B$1178,'2025'!B$2,Tabla1[ANY],'2025'!$Z$150)</f>
        <v>0</v>
      </c>
      <c r="C156" s="21">
        <f t="shared" si="155"/>
        <v>0</v>
      </c>
      <c r="D156" s="20">
        <f>SUMIFS('Registre de reserves'!$V$2:$V$1178,'Registre de reserves'!$T$2:$T$1178,"SI",'Registre de reserves'!$I$2:$I$1178,'2025'!$A156,'Registre de reserves'!$B$2:$B$1178,'2025'!D$2,Tabla1[ANY],'2025'!$Z$150)+SUMIFS('Registre de reserves'!$V$2:$V$1178,'Registre de reserves'!$T$2:$T$1178,"RESERVA",'Registre de reserves'!$I$2:$I$1178,'2025'!$A156,'Registre de reserves'!$B$2:$B$1178,'2025'!D$2,Tabla1[ANY],'2025'!$Z$150)</f>
        <v>0</v>
      </c>
      <c r="E156" s="21">
        <f t="shared" si="143"/>
        <v>0</v>
      </c>
      <c r="F156" s="20">
        <f>SUMIFS('Registre de reserves'!$V$2:$V$1178,'Registre de reserves'!$T$2:$T$1178,"SI",'Registre de reserves'!$I$2:$I$1178,'2025'!$A156,'Registre de reserves'!$B$2:$B$1178,'2025'!F$2,Tabla1[ANY],'2025'!$Z$150)+SUMIFS('Registre de reserves'!$V$2:$V$1178,'Registre de reserves'!$T$2:$T$1178,"RESERVA",'Registre de reserves'!$I$2:$I$1178,'2025'!$A156,'Registre de reserves'!$B$2:$B$1178,'2025'!F$2,Tabla1[ANY],'2025'!$Z$150)</f>
        <v>0</v>
      </c>
      <c r="G156" s="21">
        <f t="shared" si="144"/>
        <v>0</v>
      </c>
      <c r="H156" s="20">
        <f>SUMIFS('Registre de reserves'!$V$2:$V$1178,'Registre de reserves'!$T$2:$T$1178,"SI",'Registre de reserves'!$I$2:$I$1178,'2025'!$A156,'Registre de reserves'!$B$2:$B$1178,'2025'!H$2,Tabla1[ANY],'2025'!$Z$150)+SUMIFS('Registre de reserves'!$V$2:$V$1178,'Registre de reserves'!$T$2:$T$1178,"RESERVA",'Registre de reserves'!$I$2:$I$1178,'2025'!$A156,'Registre de reserves'!$B$2:$B$1178,'2025'!H$2,Tabla1[ANY],'2025'!$Z$150)</f>
        <v>0</v>
      </c>
      <c r="I156" s="21">
        <f t="shared" si="145"/>
        <v>0</v>
      </c>
      <c r="J156" s="20">
        <f>SUMIFS('Registre de reserves'!$V$2:$V$1178,'Registre de reserves'!$T$2:$T$1178,"SI",'Registre de reserves'!$I$2:$I$1178,'2025'!$A156,'Registre de reserves'!$B$2:$B$1178,'2025'!J$2,Tabla1[ANY],'2025'!$Z$150)+SUMIFS('Registre de reserves'!$V$2:$V$1178,'Registre de reserves'!$T$2:$T$1178,"RESERVA",'Registre de reserves'!$I$2:$I$1178,'2025'!$A156,'Registre de reserves'!$B$2:$B$1178,'2025'!J$2,Tabla1[ANY],'2025'!$Z$150)</f>
        <v>0</v>
      </c>
      <c r="K156" s="21">
        <f t="shared" si="146"/>
        <v>0</v>
      </c>
      <c r="L156" s="20">
        <f>SUMIFS('Registre de reserves'!$V$2:$V$1178,'Registre de reserves'!$T$2:$T$1178,"SI",'Registre de reserves'!$I$2:$I$1178,'2025'!$A156,'Registre de reserves'!$B$2:$B$1178,'2025'!L$2,Tabla1[ANY],'2025'!$Z$150)+SUMIFS('Registre de reserves'!$V$2:$V$1178,'Registre de reserves'!$T$2:$T$1178,"RESERVA",'Registre de reserves'!$I$2:$I$1178,'2025'!$A156,'Registre de reserves'!$B$2:$B$1178,'2025'!L$2,Tabla1[ANY],'2025'!$Z$150)</f>
        <v>0</v>
      </c>
      <c r="M156" s="21">
        <f t="shared" si="147"/>
        <v>0</v>
      </c>
      <c r="N156" s="20">
        <f>SUMIFS('Registre de reserves'!$V$2:$V$1178,'Registre de reserves'!$T$2:$T$1178,"SI",'Registre de reserves'!$I$2:$I$1178,'2025'!$A156,'Registre de reserves'!$B$2:$B$1178,'2025'!N$2,Tabla1[ANY],'2025'!$Z$150)+SUMIFS('Registre de reserves'!$V$2:$V$1178,'Registre de reserves'!$T$2:$T$1178,"RESERVA",'Registre de reserves'!$I$2:$I$1178,'2025'!$A156,'Registre de reserves'!$B$2:$B$1178,'2025'!N$2,Tabla1[ANY],'2025'!$Z$150)</f>
        <v>0</v>
      </c>
      <c r="O156" s="21">
        <f t="shared" si="148"/>
        <v>0</v>
      </c>
      <c r="P156" s="20">
        <f>SUMIFS('Registre de reserves'!$V$2:$V$1178,'Registre de reserves'!$T$2:$T$1178,"SI",'Registre de reserves'!$I$2:$I$1178,'2025'!$A156,'Registre de reserves'!$B$2:$B$1178,'2025'!P$2,Tabla1[ANY],'2025'!$Z$150)+SUMIFS('Registre de reserves'!$V$2:$V$1178,'Registre de reserves'!$T$2:$T$1178,"RESERVA",'Registre de reserves'!$I$2:$I$1178,'2025'!$A156,'Registre de reserves'!$B$2:$B$1178,'2025'!P$2,Tabla1[ANY],'2025'!$Z$150)</f>
        <v>0</v>
      </c>
      <c r="Q156" s="21">
        <f t="shared" si="149"/>
        <v>0</v>
      </c>
      <c r="R156" s="20">
        <f>SUMIFS('Registre de reserves'!$V$2:$V$1178,'Registre de reserves'!$T$2:$T$1178,"SI",'Registre de reserves'!$I$2:$I$1178,'2025'!$A156,'Registre de reserves'!$B$2:$B$1178,'2025'!R$2,Tabla1[ANY],'2025'!$Z$150)+SUMIFS('Registre de reserves'!$V$2:$V$1178,'Registre de reserves'!$T$2:$T$1178,"RESERVA",'Registre de reserves'!$I$2:$I$1178,'2025'!$A156,'Registre de reserves'!$B$2:$B$1178,'2025'!R$2,Tabla1[ANY],'2025'!$Z$150)</f>
        <v>0</v>
      </c>
      <c r="S156" s="21">
        <f t="shared" si="150"/>
        <v>0</v>
      </c>
      <c r="T156" s="20">
        <f>SUMIFS('Registre de reserves'!$V$2:$V$1178,'Registre de reserves'!$T$2:$T$1178,"SI",'Registre de reserves'!$I$2:$I$1178,'2025'!$A156,'Registre de reserves'!$B$2:$B$1178,'2025'!T$2,Tabla1[ANY],'2025'!$Z$150)+SUMIFS('Registre de reserves'!$V$2:$V$1178,'Registre de reserves'!$T$2:$T$1178,"RESERVA",'Registre de reserves'!$I$2:$I$1178,'2025'!$A156,'Registre de reserves'!$B$2:$B$1178,'2025'!T$2,Tabla1[ANY],'2025'!$Z$150)</f>
        <v>0</v>
      </c>
      <c r="U156" s="21">
        <f t="shared" si="151"/>
        <v>0</v>
      </c>
      <c r="V156" s="20">
        <f>SUMIFS('Registre de reserves'!$V$2:$V$1178,'Registre de reserves'!$T$2:$T$1178,"SI",'Registre de reserves'!$I$2:$I$1178,'2025'!$A156,'Registre de reserves'!$B$2:$B$1178,'2025'!V$2,Tabla1[ANY],'2025'!$Z$150)+SUMIFS('Registre de reserves'!$V$2:$V$1178,'Registre de reserves'!$T$2:$T$1178,"RESERVA",'Registre de reserves'!$I$2:$I$1178,'2025'!$A156,'Registre de reserves'!$B$2:$B$1178,'2025'!V$2,Tabla1[ANY],'2025'!$Z$150)</f>
        <v>0</v>
      </c>
      <c r="W156" s="21">
        <f t="shared" si="152"/>
        <v>0</v>
      </c>
      <c r="X156" s="20">
        <f>SUMIFS('Registre de reserves'!$V$2:$V$1178,'Registre de reserves'!$T$2:$T$1178,"SI",'Registre de reserves'!$I$2:$I$1178,'2025'!$A156,'Registre de reserves'!$B$2:$B$1178,'2025'!X$2,Tabla1[ANY],'2025'!$Z$150)+SUMIFS('Registre de reserves'!$V$2:$V$1178,'Registre de reserves'!$T$2:$T$1178,"RESERVA",'Registre de reserves'!$I$2:$I$1178,'2025'!$A156,'Registre de reserves'!$B$2:$B$1178,'2025'!X$2,Tabla1[ANY],'2025'!$Z$150)</f>
        <v>0</v>
      </c>
      <c r="Y156" s="21">
        <f t="shared" si="153"/>
        <v>0</v>
      </c>
      <c r="Z156" s="20">
        <f t="shared" si="156"/>
        <v>0</v>
      </c>
      <c r="AA156" s="21">
        <f t="shared" si="154"/>
        <v>0</v>
      </c>
    </row>
    <row r="157" spans="1:27" hidden="1" outlineLevel="1" x14ac:dyDescent="0.2">
      <c r="A157" s="8" t="s">
        <v>72</v>
      </c>
      <c r="B157" s="20">
        <f>SUMIFS('Registre de reserves'!$V$2:$V$1178,'Registre de reserves'!$T$2:$T$1178,"SI",'Registre de reserves'!$I$2:$I$1178,'2025'!$A157,'Registre de reserves'!$B$2:$B$1178,'2025'!B$2,Tabla1[ANY],'2025'!$Z$150)+SUMIFS('Registre de reserves'!$V$2:$V$1178,'Registre de reserves'!$T$2:$T$1178,"RESERVA",'Registre de reserves'!$I$2:$I$1178,'2025'!$A157,'Registre de reserves'!$B$2:$B$1178,'2025'!B$2,Tabla1[ANY],'2025'!$Z$150)</f>
        <v>0</v>
      </c>
      <c r="C157" s="21">
        <f t="shared" si="155"/>
        <v>0</v>
      </c>
      <c r="D157" s="20">
        <f>SUMIFS('Registre de reserves'!$V$2:$V$1178,'Registre de reserves'!$T$2:$T$1178,"SI",'Registre de reserves'!$I$2:$I$1178,'2025'!$A157,'Registre de reserves'!$B$2:$B$1178,'2025'!D$2,Tabla1[ANY],'2025'!$Z$150)+SUMIFS('Registre de reserves'!$V$2:$V$1178,'Registre de reserves'!$T$2:$T$1178,"RESERVA",'Registre de reserves'!$I$2:$I$1178,'2025'!$A157,'Registre de reserves'!$B$2:$B$1178,'2025'!D$2,Tabla1[ANY],'2025'!$Z$150)</f>
        <v>0</v>
      </c>
      <c r="E157" s="21">
        <f t="shared" si="143"/>
        <v>0</v>
      </c>
      <c r="F157" s="20">
        <f>SUMIFS('Registre de reserves'!$V$2:$V$1178,'Registre de reserves'!$T$2:$T$1178,"SI",'Registre de reserves'!$I$2:$I$1178,'2025'!$A157,'Registre de reserves'!$B$2:$B$1178,'2025'!F$2,Tabla1[ANY],'2025'!$Z$150)+SUMIFS('Registre de reserves'!$V$2:$V$1178,'Registre de reserves'!$T$2:$T$1178,"RESERVA",'Registre de reserves'!$I$2:$I$1178,'2025'!$A157,'Registre de reserves'!$B$2:$B$1178,'2025'!F$2,Tabla1[ANY],'2025'!$Z$150)</f>
        <v>0</v>
      </c>
      <c r="G157" s="21">
        <f t="shared" si="144"/>
        <v>0</v>
      </c>
      <c r="H157" s="20">
        <f>SUMIFS('Registre de reserves'!$V$2:$V$1178,'Registre de reserves'!$T$2:$T$1178,"SI",'Registre de reserves'!$I$2:$I$1178,'2025'!$A157,'Registre de reserves'!$B$2:$B$1178,'2025'!H$2,Tabla1[ANY],'2025'!$Z$150)+SUMIFS('Registre de reserves'!$V$2:$V$1178,'Registre de reserves'!$T$2:$T$1178,"RESERVA",'Registre de reserves'!$I$2:$I$1178,'2025'!$A157,'Registre de reserves'!$B$2:$B$1178,'2025'!H$2,Tabla1[ANY],'2025'!$Z$150)</f>
        <v>0</v>
      </c>
      <c r="I157" s="21">
        <f t="shared" si="145"/>
        <v>0</v>
      </c>
      <c r="J157" s="20">
        <f>SUMIFS('Registre de reserves'!$V$2:$V$1178,'Registre de reserves'!$T$2:$T$1178,"SI",'Registre de reserves'!$I$2:$I$1178,'2025'!$A157,'Registre de reserves'!$B$2:$B$1178,'2025'!J$2,Tabla1[ANY],'2025'!$Z$150)+SUMIFS('Registre de reserves'!$V$2:$V$1178,'Registre de reserves'!$T$2:$T$1178,"RESERVA",'Registre de reserves'!$I$2:$I$1178,'2025'!$A157,'Registre de reserves'!$B$2:$B$1178,'2025'!J$2,Tabla1[ANY],'2025'!$Z$150)</f>
        <v>0</v>
      </c>
      <c r="K157" s="21">
        <f t="shared" si="146"/>
        <v>0</v>
      </c>
      <c r="L157" s="20">
        <f>SUMIFS('Registre de reserves'!$V$2:$V$1178,'Registre de reserves'!$T$2:$T$1178,"SI",'Registre de reserves'!$I$2:$I$1178,'2025'!$A157,'Registre de reserves'!$B$2:$B$1178,'2025'!L$2,Tabla1[ANY],'2025'!$Z$150)+SUMIFS('Registre de reserves'!$V$2:$V$1178,'Registre de reserves'!$T$2:$T$1178,"RESERVA",'Registre de reserves'!$I$2:$I$1178,'2025'!$A157,'Registre de reserves'!$B$2:$B$1178,'2025'!L$2,Tabla1[ANY],'2025'!$Z$150)</f>
        <v>0</v>
      </c>
      <c r="M157" s="21">
        <f t="shared" si="147"/>
        <v>0</v>
      </c>
      <c r="N157" s="20">
        <f>SUMIFS('Registre de reserves'!$V$2:$V$1178,'Registre de reserves'!$T$2:$T$1178,"SI",'Registre de reserves'!$I$2:$I$1178,'2025'!$A157,'Registre de reserves'!$B$2:$B$1178,'2025'!N$2,Tabla1[ANY],'2025'!$Z$150)+SUMIFS('Registre de reserves'!$V$2:$V$1178,'Registre de reserves'!$T$2:$T$1178,"RESERVA",'Registre de reserves'!$I$2:$I$1178,'2025'!$A157,'Registre de reserves'!$B$2:$B$1178,'2025'!N$2,Tabla1[ANY],'2025'!$Z$150)</f>
        <v>0</v>
      </c>
      <c r="O157" s="21">
        <f t="shared" si="148"/>
        <v>0</v>
      </c>
      <c r="P157" s="20">
        <f>SUMIFS('Registre de reserves'!$V$2:$V$1178,'Registre de reserves'!$T$2:$T$1178,"SI",'Registre de reserves'!$I$2:$I$1178,'2025'!$A157,'Registre de reserves'!$B$2:$B$1178,'2025'!P$2,Tabla1[ANY],'2025'!$Z$150)+SUMIFS('Registre de reserves'!$V$2:$V$1178,'Registre de reserves'!$T$2:$T$1178,"RESERVA",'Registre de reserves'!$I$2:$I$1178,'2025'!$A157,'Registre de reserves'!$B$2:$B$1178,'2025'!P$2,Tabla1[ANY],'2025'!$Z$150)</f>
        <v>0</v>
      </c>
      <c r="Q157" s="21">
        <f t="shared" si="149"/>
        <v>0</v>
      </c>
      <c r="R157" s="20">
        <f>SUMIFS('Registre de reserves'!$V$2:$V$1178,'Registre de reserves'!$T$2:$T$1178,"SI",'Registre de reserves'!$I$2:$I$1178,'2025'!$A157,'Registre de reserves'!$B$2:$B$1178,'2025'!R$2,Tabla1[ANY],'2025'!$Z$150)+SUMIFS('Registre de reserves'!$V$2:$V$1178,'Registre de reserves'!$T$2:$T$1178,"RESERVA",'Registre de reserves'!$I$2:$I$1178,'2025'!$A157,'Registre de reserves'!$B$2:$B$1178,'2025'!R$2,Tabla1[ANY],'2025'!$Z$150)</f>
        <v>0</v>
      </c>
      <c r="S157" s="21">
        <f t="shared" si="150"/>
        <v>0</v>
      </c>
      <c r="T157" s="20">
        <f>SUMIFS('Registre de reserves'!$V$2:$V$1178,'Registre de reserves'!$T$2:$T$1178,"SI",'Registre de reserves'!$I$2:$I$1178,'2025'!$A157,'Registre de reserves'!$B$2:$B$1178,'2025'!T$2,Tabla1[ANY],'2025'!$Z$150)+SUMIFS('Registre de reserves'!$V$2:$V$1178,'Registre de reserves'!$T$2:$T$1178,"RESERVA",'Registre de reserves'!$I$2:$I$1178,'2025'!$A157,'Registre de reserves'!$B$2:$B$1178,'2025'!T$2,Tabla1[ANY],'2025'!$Z$150)</f>
        <v>0</v>
      </c>
      <c r="U157" s="21">
        <f t="shared" si="151"/>
        <v>0</v>
      </c>
      <c r="V157" s="20">
        <f>SUMIFS('Registre de reserves'!$V$2:$V$1178,'Registre de reserves'!$T$2:$T$1178,"SI",'Registre de reserves'!$I$2:$I$1178,'2025'!$A157,'Registre de reserves'!$B$2:$B$1178,'2025'!V$2,Tabla1[ANY],'2025'!$Z$150)+SUMIFS('Registre de reserves'!$V$2:$V$1178,'Registre de reserves'!$T$2:$T$1178,"RESERVA",'Registre de reserves'!$I$2:$I$1178,'2025'!$A157,'Registre de reserves'!$B$2:$B$1178,'2025'!V$2,Tabla1[ANY],'2025'!$Z$150)</f>
        <v>0</v>
      </c>
      <c r="W157" s="21">
        <f t="shared" si="152"/>
        <v>0</v>
      </c>
      <c r="X157" s="20">
        <f>SUMIFS('Registre de reserves'!$V$2:$V$1178,'Registre de reserves'!$T$2:$T$1178,"SI",'Registre de reserves'!$I$2:$I$1178,'2025'!$A157,'Registre de reserves'!$B$2:$B$1178,'2025'!X$2,Tabla1[ANY],'2025'!$Z$150)+SUMIFS('Registre de reserves'!$V$2:$V$1178,'Registre de reserves'!$T$2:$T$1178,"RESERVA",'Registre de reserves'!$I$2:$I$1178,'2025'!$A157,'Registre de reserves'!$B$2:$B$1178,'2025'!X$2,Tabla1[ANY],'2025'!$Z$150)</f>
        <v>0</v>
      </c>
      <c r="Y157" s="21">
        <f t="shared" si="153"/>
        <v>0</v>
      </c>
      <c r="Z157" s="20">
        <f t="shared" si="156"/>
        <v>0</v>
      </c>
      <c r="AA157" s="21">
        <f t="shared" si="154"/>
        <v>0</v>
      </c>
    </row>
    <row r="158" spans="1:27" hidden="1" outlineLevel="1" x14ac:dyDescent="0.2">
      <c r="A158" s="8" t="s">
        <v>69</v>
      </c>
      <c r="B158" s="20">
        <f>SUMIFS('Registre de reserves'!$V$2:$V$1178,'Registre de reserves'!$T$2:$T$1178,"SI",'Registre de reserves'!$I$2:$I$1178,'2025'!$A158,'Registre de reserves'!$B$2:$B$1178,'2025'!B$2,Tabla1[ANY],'2025'!$Z$150)+SUMIFS('Registre de reserves'!$V$2:$V$1178,'Registre de reserves'!$T$2:$T$1178,"RESERVA",'Registre de reserves'!$I$2:$I$1178,'2025'!$A158,'Registre de reserves'!$B$2:$B$1178,'2025'!B$2,Tabla1[ANY],'2025'!$Z$150)</f>
        <v>450</v>
      </c>
      <c r="C158" s="21">
        <f t="shared" si="155"/>
        <v>0.15437392795883362</v>
      </c>
      <c r="D158" s="20">
        <f>SUMIFS('Registre de reserves'!$V$2:$V$1178,'Registre de reserves'!$T$2:$T$1178,"SI",'Registre de reserves'!$I$2:$I$1178,'2025'!$A158,'Registre de reserves'!$B$2:$B$1178,'2025'!D$2,Tabla1[ANY],'2025'!$Z$150)+SUMIFS('Registre de reserves'!$V$2:$V$1178,'Registre de reserves'!$T$2:$T$1178,"RESERVA",'Registre de reserves'!$I$2:$I$1178,'2025'!$A158,'Registre de reserves'!$B$2:$B$1178,'2025'!D$2,Tabla1[ANY],'2025'!$Z$150)</f>
        <v>450</v>
      </c>
      <c r="E158" s="21">
        <f t="shared" si="143"/>
        <v>0.20881670533642691</v>
      </c>
      <c r="F158" s="20">
        <f>SUMIFS('Registre de reserves'!$V$2:$V$1178,'Registre de reserves'!$T$2:$T$1178,"SI",'Registre de reserves'!$I$2:$I$1178,'2025'!$A158,'Registre de reserves'!$B$2:$B$1178,'2025'!F$2,Tabla1[ANY],'2025'!$Z$150)+SUMIFS('Registre de reserves'!$V$2:$V$1178,'Registre de reserves'!$T$2:$T$1178,"RESERVA",'Registre de reserves'!$I$2:$I$1178,'2025'!$A158,'Registre de reserves'!$B$2:$B$1178,'2025'!F$2,Tabla1[ANY],'2025'!$Z$150)</f>
        <v>800</v>
      </c>
      <c r="G158" s="21">
        <f t="shared" si="144"/>
        <v>0.31067961165048541</v>
      </c>
      <c r="H158" s="20">
        <f>SUMIFS('Registre de reserves'!$V$2:$V$1178,'Registre de reserves'!$T$2:$T$1178,"SI",'Registre de reserves'!$I$2:$I$1178,'2025'!$A158,'Registre de reserves'!$B$2:$B$1178,'2025'!H$2,Tabla1[ANY],'2025'!$Z$150)+SUMIFS('Registre de reserves'!$V$2:$V$1178,'Registre de reserves'!$T$2:$T$1178,"RESERVA",'Registre de reserves'!$I$2:$I$1178,'2025'!$A158,'Registre de reserves'!$B$2:$B$1178,'2025'!H$2,Tabla1[ANY],'2025'!$Z$150)</f>
        <v>750</v>
      </c>
      <c r="I158" s="21">
        <f t="shared" si="145"/>
        <v>0.37783375314861462</v>
      </c>
      <c r="J158" s="20">
        <f>SUMIFS('Registre de reserves'!$V$2:$V$1178,'Registre de reserves'!$T$2:$T$1178,"SI",'Registre de reserves'!$I$2:$I$1178,'2025'!$A158,'Registre de reserves'!$B$2:$B$1178,'2025'!J$2,Tabla1[ANY],'2025'!$Z$150)+SUMIFS('Registre de reserves'!$V$2:$V$1178,'Registre de reserves'!$T$2:$T$1178,"RESERVA",'Registre de reserves'!$I$2:$I$1178,'2025'!$A158,'Registre de reserves'!$B$2:$B$1178,'2025'!J$2,Tabla1[ANY],'2025'!$Z$150)</f>
        <v>900</v>
      </c>
      <c r="K158" s="21">
        <f t="shared" si="146"/>
        <v>0.3543307086614173</v>
      </c>
      <c r="L158" s="20">
        <f>SUMIFS('Registre de reserves'!$V$2:$V$1178,'Registre de reserves'!$T$2:$T$1178,"SI",'Registre de reserves'!$I$2:$I$1178,'2025'!$A158,'Registre de reserves'!$B$2:$B$1178,'2025'!L$2,Tabla1[ANY],'2025'!$Z$150)+SUMIFS('Registre de reserves'!$V$2:$V$1178,'Registre de reserves'!$T$2:$T$1178,"RESERVA",'Registre de reserves'!$I$2:$I$1178,'2025'!$A158,'Registre de reserves'!$B$2:$B$1178,'2025'!L$2,Tabla1[ANY],'2025'!$Z$150)</f>
        <v>560</v>
      </c>
      <c r="M158" s="21">
        <f t="shared" si="147"/>
        <v>0.24242424242424243</v>
      </c>
      <c r="N158" s="20">
        <f>SUMIFS('Registre de reserves'!$V$2:$V$1178,'Registre de reserves'!$T$2:$T$1178,"SI",'Registre de reserves'!$I$2:$I$1178,'2025'!$A158,'Registre de reserves'!$B$2:$B$1178,'2025'!N$2,Tabla1[ANY],'2025'!$Z$150)+SUMIFS('Registre de reserves'!$V$2:$V$1178,'Registre de reserves'!$T$2:$T$1178,"RESERVA",'Registre de reserves'!$I$2:$I$1178,'2025'!$A158,'Registre de reserves'!$B$2:$B$1178,'2025'!N$2,Tabla1[ANY],'2025'!$Z$150)</f>
        <v>0</v>
      </c>
      <c r="O158" s="21">
        <f t="shared" si="148"/>
        <v>0</v>
      </c>
      <c r="P158" s="20">
        <f>SUMIFS('Registre de reserves'!$V$2:$V$1178,'Registre de reserves'!$T$2:$T$1178,"SI",'Registre de reserves'!$I$2:$I$1178,'2025'!$A158,'Registre de reserves'!$B$2:$B$1178,'2025'!P$2,Tabla1[ANY],'2025'!$Z$150)+SUMIFS('Registre de reserves'!$V$2:$V$1178,'Registre de reserves'!$T$2:$T$1178,"RESERVA",'Registre de reserves'!$I$2:$I$1178,'2025'!$A158,'Registre de reserves'!$B$2:$B$1178,'2025'!P$2,Tabla1[ANY],'2025'!$Z$150)</f>
        <v>0</v>
      </c>
      <c r="Q158" s="21">
        <f t="shared" si="149"/>
        <v>0</v>
      </c>
      <c r="R158" s="20">
        <f>SUMIFS('Registre de reserves'!$V$2:$V$1178,'Registre de reserves'!$T$2:$T$1178,"SI",'Registre de reserves'!$I$2:$I$1178,'2025'!$A158,'Registre de reserves'!$B$2:$B$1178,'2025'!R$2,Tabla1[ANY],'2025'!$Z$150)+SUMIFS('Registre de reserves'!$V$2:$V$1178,'Registre de reserves'!$T$2:$T$1178,"RESERVA",'Registre de reserves'!$I$2:$I$1178,'2025'!$A158,'Registre de reserves'!$B$2:$B$1178,'2025'!R$2,Tabla1[ANY],'2025'!$Z$150)</f>
        <v>0</v>
      </c>
      <c r="S158" s="21">
        <f t="shared" si="150"/>
        <v>0</v>
      </c>
      <c r="T158" s="20">
        <f>SUMIFS('Registre de reserves'!$V$2:$V$1178,'Registre de reserves'!$T$2:$T$1178,"SI",'Registre de reserves'!$I$2:$I$1178,'2025'!$A158,'Registre de reserves'!$B$2:$B$1178,'2025'!T$2,Tabla1[ANY],'2025'!$Z$150)+SUMIFS('Registre de reserves'!$V$2:$V$1178,'Registre de reserves'!$T$2:$T$1178,"RESERVA",'Registre de reserves'!$I$2:$I$1178,'2025'!$A158,'Registre de reserves'!$B$2:$B$1178,'2025'!T$2,Tabla1[ANY],'2025'!$Z$150)</f>
        <v>0</v>
      </c>
      <c r="U158" s="21">
        <f t="shared" si="151"/>
        <v>0</v>
      </c>
      <c r="V158" s="20">
        <f>SUMIFS('Registre de reserves'!$V$2:$V$1178,'Registre de reserves'!$T$2:$T$1178,"SI",'Registre de reserves'!$I$2:$I$1178,'2025'!$A158,'Registre de reserves'!$B$2:$B$1178,'2025'!V$2,Tabla1[ANY],'2025'!$Z$150)+SUMIFS('Registre de reserves'!$V$2:$V$1178,'Registre de reserves'!$T$2:$T$1178,"RESERVA",'Registre de reserves'!$I$2:$I$1178,'2025'!$A158,'Registre de reserves'!$B$2:$B$1178,'2025'!V$2,Tabla1[ANY],'2025'!$Z$150)</f>
        <v>0</v>
      </c>
      <c r="W158" s="21">
        <f t="shared" si="152"/>
        <v>0</v>
      </c>
      <c r="X158" s="20">
        <f>SUMIFS('Registre de reserves'!$V$2:$V$1178,'Registre de reserves'!$T$2:$T$1178,"SI",'Registre de reserves'!$I$2:$I$1178,'2025'!$A158,'Registre de reserves'!$B$2:$B$1178,'2025'!X$2,Tabla1[ANY],'2025'!$Z$150)+SUMIFS('Registre de reserves'!$V$2:$V$1178,'Registre de reserves'!$T$2:$T$1178,"RESERVA",'Registre de reserves'!$I$2:$I$1178,'2025'!$A158,'Registre de reserves'!$B$2:$B$1178,'2025'!X$2,Tabla1[ANY],'2025'!$Z$150)</f>
        <v>0</v>
      </c>
      <c r="Y158" s="21">
        <f t="shared" si="153"/>
        <v>0</v>
      </c>
      <c r="Z158" s="20">
        <f t="shared" si="156"/>
        <v>3910</v>
      </c>
      <c r="AA158" s="21">
        <f t="shared" si="154"/>
        <v>0.17565139263252472</v>
      </c>
    </row>
    <row r="159" spans="1:27" hidden="1" outlineLevel="1" x14ac:dyDescent="0.2">
      <c r="A159" s="8" t="s">
        <v>70</v>
      </c>
      <c r="B159" s="20">
        <f>SUMIFS('Registre de reserves'!$V$2:$V$1178,'Registre de reserves'!$T$2:$T$1178,"SI",'Registre de reserves'!$I$2:$I$1178,'2025'!$A159,'Registre de reserves'!$B$2:$B$1178,'2025'!B$2,Tabla1[ANY],'2025'!$Z$150)+SUMIFS('Registre de reserves'!$V$2:$V$1178,'Registre de reserves'!$T$2:$T$1178,"RESERVA",'Registre de reserves'!$I$2:$I$1178,'2025'!$A159,'Registre de reserves'!$B$2:$B$1178,'2025'!B$2,Tabla1[ANY],'2025'!$Z$150)</f>
        <v>0</v>
      </c>
      <c r="C159" s="21">
        <f t="shared" si="155"/>
        <v>0</v>
      </c>
      <c r="D159" s="20">
        <f>SUMIFS('Registre de reserves'!$V$2:$V$1178,'Registre de reserves'!$T$2:$T$1178,"SI",'Registre de reserves'!$I$2:$I$1178,'2025'!$A159,'Registre de reserves'!$B$2:$B$1178,'2025'!D$2,Tabla1[ANY],'2025'!$Z$150)+SUMIFS('Registre de reserves'!$V$2:$V$1178,'Registre de reserves'!$T$2:$T$1178,"RESERVA",'Registre de reserves'!$I$2:$I$1178,'2025'!$A159,'Registre de reserves'!$B$2:$B$1178,'2025'!D$2,Tabla1[ANY],'2025'!$Z$150)</f>
        <v>0</v>
      </c>
      <c r="E159" s="21">
        <f t="shared" si="143"/>
        <v>0</v>
      </c>
      <c r="F159" s="20">
        <f>SUMIFS('Registre de reserves'!$V$2:$V$1178,'Registre de reserves'!$T$2:$T$1178,"SI",'Registre de reserves'!$I$2:$I$1178,'2025'!$A159,'Registre de reserves'!$B$2:$B$1178,'2025'!F$2,Tabla1[ANY],'2025'!$Z$150)+SUMIFS('Registre de reserves'!$V$2:$V$1178,'Registre de reserves'!$T$2:$T$1178,"RESERVA",'Registre de reserves'!$I$2:$I$1178,'2025'!$A159,'Registre de reserves'!$B$2:$B$1178,'2025'!F$2,Tabla1[ANY],'2025'!$Z$150)</f>
        <v>250</v>
      </c>
      <c r="G159" s="21">
        <f t="shared" si="144"/>
        <v>9.7087378640776698E-2</v>
      </c>
      <c r="H159" s="20">
        <f>SUMIFS('Registre de reserves'!$V$2:$V$1178,'Registre de reserves'!$T$2:$T$1178,"SI",'Registre de reserves'!$I$2:$I$1178,'2025'!$A159,'Registre de reserves'!$B$2:$B$1178,'2025'!H$2,Tabla1[ANY],'2025'!$Z$150)+SUMIFS('Registre de reserves'!$V$2:$V$1178,'Registre de reserves'!$T$2:$T$1178,"RESERVA",'Registre de reserves'!$I$2:$I$1178,'2025'!$A159,'Registre de reserves'!$B$2:$B$1178,'2025'!H$2,Tabla1[ANY],'2025'!$Z$150)</f>
        <v>0</v>
      </c>
      <c r="I159" s="21">
        <f t="shared" si="145"/>
        <v>0</v>
      </c>
      <c r="J159" s="20">
        <f>SUMIFS('Registre de reserves'!$V$2:$V$1178,'Registre de reserves'!$T$2:$T$1178,"SI",'Registre de reserves'!$I$2:$I$1178,'2025'!$A159,'Registre de reserves'!$B$2:$B$1178,'2025'!J$2,Tabla1[ANY],'2025'!$Z$150)+SUMIFS('Registre de reserves'!$V$2:$V$1178,'Registre de reserves'!$T$2:$T$1178,"RESERVA",'Registre de reserves'!$I$2:$I$1178,'2025'!$A159,'Registre de reserves'!$B$2:$B$1178,'2025'!J$2,Tabla1[ANY],'2025'!$Z$150)</f>
        <v>270</v>
      </c>
      <c r="K159" s="21">
        <f t="shared" si="146"/>
        <v>0.1062992125984252</v>
      </c>
      <c r="L159" s="20">
        <f>SUMIFS('Registre de reserves'!$V$2:$V$1178,'Registre de reserves'!$T$2:$T$1178,"SI",'Registre de reserves'!$I$2:$I$1178,'2025'!$A159,'Registre de reserves'!$B$2:$B$1178,'2025'!L$2,Tabla1[ANY],'2025'!$Z$150)+SUMIFS('Registre de reserves'!$V$2:$V$1178,'Registre de reserves'!$T$2:$T$1178,"RESERVA",'Registre de reserves'!$I$2:$I$1178,'2025'!$A159,'Registre de reserves'!$B$2:$B$1178,'2025'!L$2,Tabla1[ANY],'2025'!$Z$150)</f>
        <v>770</v>
      </c>
      <c r="M159" s="21">
        <f t="shared" si="147"/>
        <v>0.33333333333333331</v>
      </c>
      <c r="N159" s="20">
        <f>SUMIFS('Registre de reserves'!$V$2:$V$1178,'Registre de reserves'!$T$2:$T$1178,"SI",'Registre de reserves'!$I$2:$I$1178,'2025'!$A159,'Registre de reserves'!$B$2:$B$1178,'2025'!N$2,Tabla1[ANY],'2025'!$Z$150)+SUMIFS('Registre de reserves'!$V$2:$V$1178,'Registre de reserves'!$T$2:$T$1178,"RESERVA",'Registre de reserves'!$I$2:$I$1178,'2025'!$A159,'Registre de reserves'!$B$2:$B$1178,'2025'!N$2,Tabla1[ANY],'2025'!$Z$150)</f>
        <v>0</v>
      </c>
      <c r="O159" s="21">
        <f t="shared" si="148"/>
        <v>0</v>
      </c>
      <c r="P159" s="20">
        <f>SUMIFS('Registre de reserves'!$V$2:$V$1178,'Registre de reserves'!$T$2:$T$1178,"SI",'Registre de reserves'!$I$2:$I$1178,'2025'!$A159,'Registre de reserves'!$B$2:$B$1178,'2025'!P$2,Tabla1[ANY],'2025'!$Z$150)+SUMIFS('Registre de reserves'!$V$2:$V$1178,'Registre de reserves'!$T$2:$T$1178,"RESERVA",'Registre de reserves'!$I$2:$I$1178,'2025'!$A159,'Registre de reserves'!$B$2:$B$1178,'2025'!P$2,Tabla1[ANY],'2025'!$Z$150)</f>
        <v>0</v>
      </c>
      <c r="Q159" s="21">
        <f t="shared" si="149"/>
        <v>0</v>
      </c>
      <c r="R159" s="20">
        <f>SUMIFS('Registre de reserves'!$V$2:$V$1178,'Registre de reserves'!$T$2:$T$1178,"SI",'Registre de reserves'!$I$2:$I$1178,'2025'!$A159,'Registre de reserves'!$B$2:$B$1178,'2025'!R$2,Tabla1[ANY],'2025'!$Z$150)+SUMIFS('Registre de reserves'!$V$2:$V$1178,'Registre de reserves'!$T$2:$T$1178,"RESERVA",'Registre de reserves'!$I$2:$I$1178,'2025'!$A159,'Registre de reserves'!$B$2:$B$1178,'2025'!R$2,Tabla1[ANY],'2025'!$Z$150)</f>
        <v>0</v>
      </c>
      <c r="S159" s="21">
        <f t="shared" si="150"/>
        <v>0</v>
      </c>
      <c r="T159" s="20">
        <f>SUMIFS('Registre de reserves'!$V$2:$V$1178,'Registre de reserves'!$T$2:$T$1178,"SI",'Registre de reserves'!$I$2:$I$1178,'2025'!$A159,'Registre de reserves'!$B$2:$B$1178,'2025'!T$2,Tabla1[ANY],'2025'!$Z$150)+SUMIFS('Registre de reserves'!$V$2:$V$1178,'Registre de reserves'!$T$2:$T$1178,"RESERVA",'Registre de reserves'!$I$2:$I$1178,'2025'!$A159,'Registre de reserves'!$B$2:$B$1178,'2025'!T$2,Tabla1[ANY],'2025'!$Z$150)</f>
        <v>0</v>
      </c>
      <c r="U159" s="21">
        <f t="shared" si="151"/>
        <v>0</v>
      </c>
      <c r="V159" s="20">
        <f>SUMIFS('Registre de reserves'!$V$2:$V$1178,'Registre de reserves'!$T$2:$T$1178,"SI",'Registre de reserves'!$I$2:$I$1178,'2025'!$A159,'Registre de reserves'!$B$2:$B$1178,'2025'!V$2,Tabla1[ANY],'2025'!$Z$150)+SUMIFS('Registre de reserves'!$V$2:$V$1178,'Registre de reserves'!$T$2:$T$1178,"RESERVA",'Registre de reserves'!$I$2:$I$1178,'2025'!$A159,'Registre de reserves'!$B$2:$B$1178,'2025'!V$2,Tabla1[ANY],'2025'!$Z$150)</f>
        <v>0</v>
      </c>
      <c r="W159" s="21">
        <f t="shared" si="152"/>
        <v>0</v>
      </c>
      <c r="X159" s="20">
        <f>SUMIFS('Registre de reserves'!$V$2:$V$1178,'Registre de reserves'!$T$2:$T$1178,"SI",'Registre de reserves'!$I$2:$I$1178,'2025'!$A159,'Registre de reserves'!$B$2:$B$1178,'2025'!X$2,Tabla1[ANY],'2025'!$Z$150)+SUMIFS('Registre de reserves'!$V$2:$V$1178,'Registre de reserves'!$T$2:$T$1178,"RESERVA",'Registre de reserves'!$I$2:$I$1178,'2025'!$A159,'Registre de reserves'!$B$2:$B$1178,'2025'!X$2,Tabla1[ANY],'2025'!$Z$150)</f>
        <v>0</v>
      </c>
      <c r="Y159" s="21">
        <f t="shared" si="153"/>
        <v>0</v>
      </c>
      <c r="Z159" s="20">
        <f t="shared" si="156"/>
        <v>1290</v>
      </c>
      <c r="AA159" s="21">
        <f t="shared" si="154"/>
        <v>5.7951482479784364E-2</v>
      </c>
    </row>
    <row r="160" spans="1:27" hidden="1" outlineLevel="1" x14ac:dyDescent="0.2">
      <c r="A160" s="8" t="s">
        <v>73</v>
      </c>
      <c r="B160" s="20">
        <f>SUMIFS('Registre de reserves'!$V$2:$V$1178,'Registre de reserves'!$T$2:$T$1178,"SI",'Registre de reserves'!$I$2:$I$1178,'2025'!$A160,'Registre de reserves'!$B$2:$B$1178,'2025'!B$2,Tabla1[ANY],'2025'!$Z$150)+SUMIFS('Registre de reserves'!$V$2:$V$1178,'Registre de reserves'!$T$2:$T$1178,"RESERVA",'Registre de reserves'!$I$2:$I$1178,'2025'!$A160,'Registre de reserves'!$B$2:$B$1178,'2025'!B$2,Tabla1[ANY],'2025'!$Z$150)</f>
        <v>0</v>
      </c>
      <c r="C160" s="21">
        <f t="shared" si="155"/>
        <v>0</v>
      </c>
      <c r="D160" s="20">
        <f>SUMIFS('Registre de reserves'!$V$2:$V$1178,'Registre de reserves'!$T$2:$T$1178,"SI",'Registre de reserves'!$I$2:$I$1178,'2025'!$A160,'Registre de reserves'!$B$2:$B$1178,'2025'!D$2,Tabla1[ANY],'2025'!$Z$150)+SUMIFS('Registre de reserves'!$V$2:$V$1178,'Registre de reserves'!$T$2:$T$1178,"RESERVA",'Registre de reserves'!$I$2:$I$1178,'2025'!$A160,'Registre de reserves'!$B$2:$B$1178,'2025'!D$2,Tabla1[ANY],'2025'!$Z$150)</f>
        <v>0</v>
      </c>
      <c r="E160" s="21">
        <f t="shared" si="143"/>
        <v>0</v>
      </c>
      <c r="F160" s="20">
        <f>SUMIFS('Registre de reserves'!$V$2:$V$1178,'Registre de reserves'!$T$2:$T$1178,"SI",'Registre de reserves'!$I$2:$I$1178,'2025'!$A160,'Registre de reserves'!$B$2:$B$1178,'2025'!F$2,Tabla1[ANY],'2025'!$Z$150)+SUMIFS('Registre de reserves'!$V$2:$V$1178,'Registre de reserves'!$T$2:$T$1178,"RESERVA",'Registre de reserves'!$I$2:$I$1178,'2025'!$A160,'Registre de reserves'!$B$2:$B$1178,'2025'!F$2,Tabla1[ANY],'2025'!$Z$150)</f>
        <v>0</v>
      </c>
      <c r="G160" s="21">
        <f t="shared" si="144"/>
        <v>0</v>
      </c>
      <c r="H160" s="20">
        <f>SUMIFS('Registre de reserves'!$V$2:$V$1178,'Registre de reserves'!$T$2:$T$1178,"SI",'Registre de reserves'!$I$2:$I$1178,'2025'!$A160,'Registre de reserves'!$B$2:$B$1178,'2025'!H$2,Tabla1[ANY],'2025'!$Z$150)+SUMIFS('Registre de reserves'!$V$2:$V$1178,'Registre de reserves'!$T$2:$T$1178,"RESERVA",'Registre de reserves'!$I$2:$I$1178,'2025'!$A160,'Registre de reserves'!$B$2:$B$1178,'2025'!H$2,Tabla1[ANY],'2025'!$Z$150)</f>
        <v>0</v>
      </c>
      <c r="I160" s="21">
        <f t="shared" si="145"/>
        <v>0</v>
      </c>
      <c r="J160" s="20">
        <f>SUMIFS('Registre de reserves'!$V$2:$V$1178,'Registre de reserves'!$T$2:$T$1178,"SI",'Registre de reserves'!$I$2:$I$1178,'2025'!$A160,'Registre de reserves'!$B$2:$B$1178,'2025'!J$2,Tabla1[ANY],'2025'!$Z$150)+SUMIFS('Registre de reserves'!$V$2:$V$1178,'Registre de reserves'!$T$2:$T$1178,"RESERVA",'Registre de reserves'!$I$2:$I$1178,'2025'!$A160,'Registre de reserves'!$B$2:$B$1178,'2025'!J$2,Tabla1[ANY],'2025'!$Z$150)</f>
        <v>0</v>
      </c>
      <c r="K160" s="21">
        <f t="shared" si="146"/>
        <v>0</v>
      </c>
      <c r="L160" s="20">
        <f>SUMIFS('Registre de reserves'!$V$2:$V$1178,'Registre de reserves'!$T$2:$T$1178,"SI",'Registre de reserves'!$I$2:$I$1178,'2025'!$A160,'Registre de reserves'!$B$2:$B$1178,'2025'!L$2,Tabla1[ANY],'2025'!$Z$150)+SUMIFS('Registre de reserves'!$V$2:$V$1178,'Registre de reserves'!$T$2:$T$1178,"RESERVA",'Registre de reserves'!$I$2:$I$1178,'2025'!$A160,'Registre de reserves'!$B$2:$B$1178,'2025'!L$2,Tabla1[ANY],'2025'!$Z$150)</f>
        <v>0</v>
      </c>
      <c r="M160" s="21">
        <f t="shared" si="147"/>
        <v>0</v>
      </c>
      <c r="N160" s="20">
        <f>SUMIFS('Registre de reserves'!$V$2:$V$1178,'Registre de reserves'!$T$2:$T$1178,"SI",'Registre de reserves'!$I$2:$I$1178,'2025'!$A160,'Registre de reserves'!$B$2:$B$1178,'2025'!N$2,Tabla1[ANY],'2025'!$Z$150)+SUMIFS('Registre de reserves'!$V$2:$V$1178,'Registre de reserves'!$T$2:$T$1178,"RESERVA",'Registre de reserves'!$I$2:$I$1178,'2025'!$A160,'Registre de reserves'!$B$2:$B$1178,'2025'!N$2,Tabla1[ANY],'2025'!$Z$150)</f>
        <v>0</v>
      </c>
      <c r="O160" s="21">
        <f t="shared" si="148"/>
        <v>0</v>
      </c>
      <c r="P160" s="20">
        <f>SUMIFS('Registre de reserves'!$V$2:$V$1178,'Registre de reserves'!$T$2:$T$1178,"SI",'Registre de reserves'!$I$2:$I$1178,'2025'!$A160,'Registre de reserves'!$B$2:$B$1178,'2025'!P$2,Tabla1[ANY],'2025'!$Z$150)+SUMIFS('Registre de reserves'!$V$2:$V$1178,'Registre de reserves'!$T$2:$T$1178,"RESERVA",'Registre de reserves'!$I$2:$I$1178,'2025'!$A160,'Registre de reserves'!$B$2:$B$1178,'2025'!P$2,Tabla1[ANY],'2025'!$Z$150)</f>
        <v>0</v>
      </c>
      <c r="Q160" s="21">
        <f t="shared" si="149"/>
        <v>0</v>
      </c>
      <c r="R160" s="20">
        <f>SUMIFS('Registre de reserves'!$V$2:$V$1178,'Registre de reserves'!$T$2:$T$1178,"SI",'Registre de reserves'!$I$2:$I$1178,'2025'!$A160,'Registre de reserves'!$B$2:$B$1178,'2025'!R$2,Tabla1[ANY],'2025'!$Z$150)+SUMIFS('Registre de reserves'!$V$2:$V$1178,'Registre de reserves'!$T$2:$T$1178,"RESERVA",'Registre de reserves'!$I$2:$I$1178,'2025'!$A160,'Registre de reserves'!$B$2:$B$1178,'2025'!R$2,Tabla1[ANY],'2025'!$Z$150)</f>
        <v>0</v>
      </c>
      <c r="S160" s="21">
        <f t="shared" si="150"/>
        <v>0</v>
      </c>
      <c r="T160" s="20">
        <f>SUMIFS('Registre de reserves'!$V$2:$V$1178,'Registre de reserves'!$T$2:$T$1178,"SI",'Registre de reserves'!$I$2:$I$1178,'2025'!$A160,'Registre de reserves'!$B$2:$B$1178,'2025'!T$2,Tabla1[ANY],'2025'!$Z$150)+SUMIFS('Registre de reserves'!$V$2:$V$1178,'Registre de reserves'!$T$2:$T$1178,"RESERVA",'Registre de reserves'!$I$2:$I$1178,'2025'!$A160,'Registre de reserves'!$B$2:$B$1178,'2025'!T$2,Tabla1[ANY],'2025'!$Z$150)</f>
        <v>0</v>
      </c>
      <c r="U160" s="21">
        <f t="shared" si="151"/>
        <v>0</v>
      </c>
      <c r="V160" s="20">
        <f>SUMIFS('Registre de reserves'!$V$2:$V$1178,'Registre de reserves'!$T$2:$T$1178,"SI",'Registre de reserves'!$I$2:$I$1178,'2025'!$A160,'Registre de reserves'!$B$2:$B$1178,'2025'!V$2,Tabla1[ANY],'2025'!$Z$150)+SUMIFS('Registre de reserves'!$V$2:$V$1178,'Registre de reserves'!$T$2:$T$1178,"RESERVA",'Registre de reserves'!$I$2:$I$1178,'2025'!$A160,'Registre de reserves'!$B$2:$B$1178,'2025'!V$2,Tabla1[ANY],'2025'!$Z$150)</f>
        <v>0</v>
      </c>
      <c r="W160" s="21">
        <f t="shared" si="152"/>
        <v>0</v>
      </c>
      <c r="X160" s="20">
        <f>SUMIFS('Registre de reserves'!$V$2:$V$1178,'Registre de reserves'!$T$2:$T$1178,"SI",'Registre de reserves'!$I$2:$I$1178,'2025'!$A160,'Registre de reserves'!$B$2:$B$1178,'2025'!X$2,Tabla1[ANY],'2025'!$Z$150)+SUMIFS('Registre de reserves'!$V$2:$V$1178,'Registre de reserves'!$T$2:$T$1178,"RESERVA",'Registre de reserves'!$I$2:$I$1178,'2025'!$A160,'Registre de reserves'!$B$2:$B$1178,'2025'!X$2,Tabla1[ANY],'2025'!$Z$150)</f>
        <v>0</v>
      </c>
      <c r="Y160" s="21">
        <f t="shared" si="153"/>
        <v>0</v>
      </c>
      <c r="Z160" s="20">
        <f t="shared" si="156"/>
        <v>0</v>
      </c>
      <c r="AA160" s="21">
        <f t="shared" si="154"/>
        <v>0</v>
      </c>
    </row>
    <row r="161" spans="1:27" collapsed="1" x14ac:dyDescent="0.2">
      <c r="A161" s="33" t="s">
        <v>76</v>
      </c>
      <c r="B161" s="18">
        <f>SUM(B162:B169)</f>
        <v>0</v>
      </c>
      <c r="C161" s="19">
        <f>IF((B$161+B$179)=0,0,B161/(B$161+B$179))</f>
        <v>0</v>
      </c>
      <c r="D161" s="18">
        <f>SUM(D162:D169)</f>
        <v>0</v>
      </c>
      <c r="E161" s="19">
        <f>IF((D$161+D$179)=0,0,D161/(D$161+D$179))</f>
        <v>0</v>
      </c>
      <c r="F161" s="18">
        <f>SUM(F162:F169)</f>
        <v>0</v>
      </c>
      <c r="G161" s="19">
        <f>IF((F$161+F$179)=0,0,F161/(F$161+F$179))</f>
        <v>0</v>
      </c>
      <c r="H161" s="18">
        <f>SUM(H162:H169)</f>
        <v>0</v>
      </c>
      <c r="I161" s="19">
        <f>IF((H$161+H$179)=0,0,H161/(H$161+H$179))</f>
        <v>0</v>
      </c>
      <c r="J161" s="18">
        <f>SUM(J162:J169)</f>
        <v>0</v>
      </c>
      <c r="K161" s="19">
        <f>IF((J$161+J$179)=0,0,J161/(J$161+J$179))</f>
        <v>0</v>
      </c>
      <c r="L161" s="18">
        <f>SUM(L162:L169)</f>
        <v>0</v>
      </c>
      <c r="M161" s="19">
        <f>IF((L$161+L$179)=0,0,L161/(L$161+L$179))</f>
        <v>0</v>
      </c>
      <c r="N161" s="18">
        <f>SUM(N162:N169)</f>
        <v>0</v>
      </c>
      <c r="O161" s="19">
        <f>IF((N$161+N$179)=0,0,N161/(N$161+N$179))</f>
        <v>0</v>
      </c>
      <c r="P161" s="18">
        <f>SUM(P162:P169)</f>
        <v>0</v>
      </c>
      <c r="Q161" s="19">
        <f>IF((P$161+P$179)=0,0,P161/(P$161+P$179))</f>
        <v>0</v>
      </c>
      <c r="R161" s="18">
        <f>SUM(R162:R169)</f>
        <v>0</v>
      </c>
      <c r="S161" s="19">
        <f>IF((R$161+R$179)=0,0,R161/(R$161+R$179))</f>
        <v>0</v>
      </c>
      <c r="T161" s="18">
        <f>SUM(T162:T169)</f>
        <v>0</v>
      </c>
      <c r="U161" s="19">
        <f>IF((T$161+T$179)=0,0,T161/(T$161+T$179))</f>
        <v>0</v>
      </c>
      <c r="V161" s="18">
        <f>SUM(V162:V169)</f>
        <v>0</v>
      </c>
      <c r="W161" s="19">
        <f>IF((V$161+V$179)=0,0,V161/(V$161+V$179))</f>
        <v>0</v>
      </c>
      <c r="X161" s="18">
        <f>SUM(X162:X169)</f>
        <v>0</v>
      </c>
      <c r="Y161" s="19">
        <f>IF((X$161+X$179)=0,0,X161/(X$161+X$179))</f>
        <v>0</v>
      </c>
      <c r="Z161" s="18">
        <f>SUM(Z162:Z169)</f>
        <v>0</v>
      </c>
      <c r="AA161" s="19">
        <f>IF((Z$13+Z$31)=0,0,Z161/(Z$13+Z$31))</f>
        <v>0</v>
      </c>
    </row>
    <row r="162" spans="1:27" hidden="1" outlineLevel="1" x14ac:dyDescent="0.2">
      <c r="A162" s="8" t="s">
        <v>67</v>
      </c>
      <c r="B162" s="20">
        <f>SUMIFS('Registre de reserves'!$V$2:$V$1178,'Registre de reserves'!$T$2:$T$1178,"NO",'Registre de reserves'!$I$2:$I$1178,'2025'!$A162,'Registre de reserves'!$B$2:$B$1178,'2025'!B$2,Tabla1[ANY],'2025'!$Z$150)</f>
        <v>0</v>
      </c>
      <c r="C162" s="21">
        <f>IF(B$161=0,0,B162/B$161)</f>
        <v>0</v>
      </c>
      <c r="D162" s="20">
        <f>SUMIFS('Registre de reserves'!$V$2:$V$1178,'Registre de reserves'!$T$2:$T$1178,"NO",'Registre de reserves'!$I$2:$I$1178,'2025'!$A162,'Registre de reserves'!$B$2:$B$1178,'2025'!D$2,Tabla1[ANY],'2025'!$Z$150)</f>
        <v>0</v>
      </c>
      <c r="E162" s="21">
        <f>IF(D$161=0,0,D162/D$161)</f>
        <v>0</v>
      </c>
      <c r="F162" s="20">
        <f>SUMIFS('Registre de reserves'!$V$2:$V$1178,'Registre de reserves'!$T$2:$T$1178,"NO",'Registre de reserves'!$I$2:$I$1178,'2025'!$A162,'Registre de reserves'!$B$2:$B$1178,'2025'!F$2,Tabla1[ANY],'2025'!$Z$150)</f>
        <v>0</v>
      </c>
      <c r="G162" s="21">
        <f t="shared" ref="G162:G169" si="157">IF(F$161=0,0,F162/F$161)</f>
        <v>0</v>
      </c>
      <c r="H162" s="20">
        <f>SUMIFS('Registre de reserves'!$V$2:$V$1178,'Registre de reserves'!$T$2:$T$1178,"NO",'Registre de reserves'!$I$2:$I$1178,'2025'!$A162,'Registre de reserves'!$B$2:$B$1178,'2025'!H$2,Tabla1[ANY],'2025'!$Z$150)</f>
        <v>0</v>
      </c>
      <c r="I162" s="21">
        <f t="shared" ref="I162:I169" si="158">IF(H$161=0,0,H162/H$161)</f>
        <v>0</v>
      </c>
      <c r="J162" s="20">
        <f>SUMIFS('Registre de reserves'!$V$2:$V$1178,'Registre de reserves'!$T$2:$T$1178,"NO",'Registre de reserves'!$I$2:$I$1178,'2025'!$A162,'Registre de reserves'!$B$2:$B$1178,'2025'!J$2,Tabla1[ANY],'2025'!$Z$150)</f>
        <v>0</v>
      </c>
      <c r="K162" s="21">
        <f t="shared" ref="K162:K169" si="159">IF(J$161=0,0,J162/J$161)</f>
        <v>0</v>
      </c>
      <c r="L162" s="20">
        <f>SUMIFS('Registre de reserves'!$V$2:$V$1178,'Registre de reserves'!$T$2:$T$1178,"NO",'Registre de reserves'!$I$2:$I$1178,'2025'!$A162,'Registre de reserves'!$B$2:$B$1178,'2025'!L$2,Tabla1[ANY],'2025'!$Z$150)</f>
        <v>0</v>
      </c>
      <c r="M162" s="21">
        <f t="shared" ref="M162:M169" si="160">IF(L$161=0,0,L162/L$161)</f>
        <v>0</v>
      </c>
      <c r="N162" s="20">
        <f>SUMIFS('Registre de reserves'!$V$2:$V$1178,'Registre de reserves'!$T$2:$T$1178,"NO",'Registre de reserves'!$I$2:$I$1178,'2025'!$A162,'Registre de reserves'!$B$2:$B$1178,'2025'!N$2,Tabla1[ANY],'2025'!$Z$150)</f>
        <v>0</v>
      </c>
      <c r="O162" s="21">
        <f t="shared" ref="O162:O169" si="161">IF(N$161=0,0,N162/N$161)</f>
        <v>0</v>
      </c>
      <c r="P162" s="20">
        <f>SUMIFS('Registre de reserves'!$V$2:$V$1178,'Registre de reserves'!$T$2:$T$1178,"NO",'Registre de reserves'!$I$2:$I$1178,'2025'!$A162,'Registre de reserves'!$B$2:$B$1178,'2025'!P$2,Tabla1[ANY],'2025'!$Z$150)</f>
        <v>0</v>
      </c>
      <c r="Q162" s="21">
        <f t="shared" ref="Q162:Q169" si="162">IF(P$161=0,0,P162/P$161)</f>
        <v>0</v>
      </c>
      <c r="R162" s="20">
        <f>SUMIFS('Registre de reserves'!$V$2:$V$1178,'Registre de reserves'!$T$2:$T$1178,"NO",'Registre de reserves'!$I$2:$I$1178,'2025'!$A162,'Registre de reserves'!$B$2:$B$1178,'2025'!R$2,Tabla1[ANY],'2025'!$Z$150)</f>
        <v>0</v>
      </c>
      <c r="S162" s="21">
        <f t="shared" ref="S162:S169" si="163">IF(R$161=0,0,R162/R$161)</f>
        <v>0</v>
      </c>
      <c r="T162" s="20">
        <f>SUMIFS('Registre de reserves'!$V$2:$V$1178,'Registre de reserves'!$T$2:$T$1178,"NO",'Registre de reserves'!$I$2:$I$1178,'2025'!$A162,'Registre de reserves'!$B$2:$B$1178,'2025'!T$2,Tabla1[ANY],'2025'!$Z$150)</f>
        <v>0</v>
      </c>
      <c r="U162" s="21">
        <f t="shared" ref="U162:U169" si="164">IF(T$161=0,0,T162/T$161)</f>
        <v>0</v>
      </c>
      <c r="V162" s="20">
        <f>SUMIFS('Registre de reserves'!$V$2:$V$1178,'Registre de reserves'!$T$2:$T$1178,"NO",'Registre de reserves'!$I$2:$I$1178,'2025'!$A162,'Registre de reserves'!$B$2:$B$1178,'2025'!V$2,Tabla1[ANY],'2025'!$Z$150)</f>
        <v>0</v>
      </c>
      <c r="W162" s="21">
        <f t="shared" ref="W162:W169" si="165">IF(V$161=0,0,V162/V$161)</f>
        <v>0</v>
      </c>
      <c r="X162" s="20">
        <f>SUMIFS('Registre de reserves'!$V$2:$V$1178,'Registre de reserves'!$T$2:$T$1178,"NO",'Registre de reserves'!$I$2:$I$1178,'2025'!$A162,'Registre de reserves'!$B$2:$B$1178,'2025'!X$2,Tabla1[ANY],'2025'!$Z$150)</f>
        <v>0</v>
      </c>
      <c r="Y162" s="21">
        <f t="shared" ref="Y162:Y169" si="166">IF(X$161=0,0,X162/X$161)</f>
        <v>0</v>
      </c>
      <c r="Z162" s="20">
        <f>B162+D162+F162+H162+J162+L162+N162+P162+R162+T162+V162+X162</f>
        <v>0</v>
      </c>
      <c r="AA162" s="21">
        <f>IF(Z$13=0,0,Z162/Z$13)</f>
        <v>0</v>
      </c>
    </row>
    <row r="163" spans="1:27" hidden="1" outlineLevel="1" x14ac:dyDescent="0.2">
      <c r="A163" s="8" t="s">
        <v>68</v>
      </c>
      <c r="B163" s="20">
        <f>SUMIFS('Registre de reserves'!$V$2:$V$1178,'Registre de reserves'!$T$2:$T$1178,"NO",'Registre de reserves'!$I$2:$I$1178,'2025'!$A163,'Registre de reserves'!$B$2:$B$1178,'2025'!B$2,Tabla1[ANY],'2025'!$Z$150)</f>
        <v>0</v>
      </c>
      <c r="C163" s="21">
        <f t="shared" ref="C163:E169" si="167">IF(B$161=0,0,B163/B$161)</f>
        <v>0</v>
      </c>
      <c r="D163" s="20">
        <f>SUMIFS('Registre de reserves'!$V$2:$V$1178,'Registre de reserves'!$T$2:$T$1178,"NO",'Registre de reserves'!$I$2:$I$1178,'2025'!$A163,'Registre de reserves'!$B$2:$B$1178,'2025'!D$2,Tabla1[ANY],'2025'!$Z$150)</f>
        <v>0</v>
      </c>
      <c r="E163" s="21">
        <f t="shared" si="167"/>
        <v>0</v>
      </c>
      <c r="F163" s="20">
        <f>SUMIFS('Registre de reserves'!$V$2:$V$1178,'Registre de reserves'!$T$2:$T$1178,"NO",'Registre de reserves'!$I$2:$I$1178,'2025'!$A163,'Registre de reserves'!$B$2:$B$1178,'2025'!F$2,Tabla1[ANY],'2025'!$Z$150)</f>
        <v>0</v>
      </c>
      <c r="G163" s="21">
        <f t="shared" si="157"/>
        <v>0</v>
      </c>
      <c r="H163" s="20">
        <f>SUMIFS('Registre de reserves'!$V$2:$V$1178,'Registre de reserves'!$T$2:$T$1178,"NO",'Registre de reserves'!$I$2:$I$1178,'2025'!$A163,'Registre de reserves'!$B$2:$B$1178,'2025'!H$2,Tabla1[ANY],'2025'!$Z$150)</f>
        <v>0</v>
      </c>
      <c r="I163" s="21">
        <f t="shared" si="158"/>
        <v>0</v>
      </c>
      <c r="J163" s="20">
        <f>SUMIFS('Registre de reserves'!$V$2:$V$1178,'Registre de reserves'!$T$2:$T$1178,"NO",'Registre de reserves'!$I$2:$I$1178,'2025'!$A163,'Registre de reserves'!$B$2:$B$1178,'2025'!J$2,Tabla1[ANY],'2025'!$Z$150)</f>
        <v>0</v>
      </c>
      <c r="K163" s="21">
        <f t="shared" si="159"/>
        <v>0</v>
      </c>
      <c r="L163" s="20">
        <f>SUMIFS('Registre de reserves'!$V$2:$V$1178,'Registre de reserves'!$T$2:$T$1178,"NO",'Registre de reserves'!$I$2:$I$1178,'2025'!$A163,'Registre de reserves'!$B$2:$B$1178,'2025'!L$2,Tabla1[ANY],'2025'!$Z$150)</f>
        <v>0</v>
      </c>
      <c r="M163" s="21">
        <f t="shared" si="160"/>
        <v>0</v>
      </c>
      <c r="N163" s="20">
        <f>SUMIFS('Registre de reserves'!$V$2:$V$1178,'Registre de reserves'!$T$2:$T$1178,"NO",'Registre de reserves'!$I$2:$I$1178,'2025'!$A163,'Registre de reserves'!$B$2:$B$1178,'2025'!N$2,Tabla1[ANY],'2025'!$Z$150)</f>
        <v>0</v>
      </c>
      <c r="O163" s="21">
        <f t="shared" si="161"/>
        <v>0</v>
      </c>
      <c r="P163" s="20">
        <f>SUMIFS('Registre de reserves'!$V$2:$V$1178,'Registre de reserves'!$T$2:$T$1178,"NO",'Registre de reserves'!$I$2:$I$1178,'2025'!$A163,'Registre de reserves'!$B$2:$B$1178,'2025'!P$2,Tabla1[ANY],'2025'!$Z$150)</f>
        <v>0</v>
      </c>
      <c r="Q163" s="21">
        <f t="shared" si="162"/>
        <v>0</v>
      </c>
      <c r="R163" s="20">
        <f>SUMIFS('Registre de reserves'!$V$2:$V$1178,'Registre de reserves'!$T$2:$T$1178,"NO",'Registre de reserves'!$I$2:$I$1178,'2025'!$A163,'Registre de reserves'!$B$2:$B$1178,'2025'!R$2,Tabla1[ANY],'2025'!$Z$150)</f>
        <v>0</v>
      </c>
      <c r="S163" s="21">
        <f t="shared" si="163"/>
        <v>0</v>
      </c>
      <c r="T163" s="20">
        <f>SUMIFS('Registre de reserves'!$V$2:$V$1178,'Registre de reserves'!$T$2:$T$1178,"NO",'Registre de reserves'!$I$2:$I$1178,'2025'!$A163,'Registre de reserves'!$B$2:$B$1178,'2025'!T$2,Tabla1[ANY],'2025'!$Z$150)</f>
        <v>0</v>
      </c>
      <c r="U163" s="21">
        <f t="shared" si="164"/>
        <v>0</v>
      </c>
      <c r="V163" s="20">
        <f>SUMIFS('Registre de reserves'!$V$2:$V$1178,'Registre de reserves'!$T$2:$T$1178,"NO",'Registre de reserves'!$I$2:$I$1178,'2025'!$A163,'Registre de reserves'!$B$2:$B$1178,'2025'!V$2,Tabla1[ANY],'2025'!$Z$150)</f>
        <v>0</v>
      </c>
      <c r="W163" s="21">
        <f t="shared" si="165"/>
        <v>0</v>
      </c>
      <c r="X163" s="20">
        <f>SUMIFS('Registre de reserves'!$V$2:$V$1178,'Registre de reserves'!$T$2:$T$1178,"NO",'Registre de reserves'!$I$2:$I$1178,'2025'!$A163,'Registre de reserves'!$B$2:$B$1178,'2025'!X$2,Tabla1[ANY],'2025'!$Z$150)</f>
        <v>0</v>
      </c>
      <c r="Y163" s="21">
        <f t="shared" si="166"/>
        <v>0</v>
      </c>
      <c r="Z163" s="20">
        <f t="shared" ref="Z163:Z187" si="168">B163+D163+F163+H163+J163+L163+N163+P163+R163+T163+V163+X163</f>
        <v>0</v>
      </c>
      <c r="AA163" s="21">
        <f t="shared" ref="AA163:AA169" si="169">IF(Z$13=0,0,Z163/Z$13)</f>
        <v>0</v>
      </c>
    </row>
    <row r="164" spans="1:27" hidden="1" outlineLevel="1" x14ac:dyDescent="0.2">
      <c r="A164" s="8" t="s">
        <v>4</v>
      </c>
      <c r="B164" s="20">
        <f>SUMIFS('Registre de reserves'!$V$2:$V$1178,'Registre de reserves'!$T$2:$T$1178,"NO",'Registre de reserves'!$I$2:$I$1178,'2025'!$A164,'Registre de reserves'!$B$2:$B$1178,'2025'!B$2,Tabla1[ANY],'2025'!$Z$150)</f>
        <v>0</v>
      </c>
      <c r="C164" s="21">
        <f t="shared" si="167"/>
        <v>0</v>
      </c>
      <c r="D164" s="20">
        <f>SUMIFS('Registre de reserves'!$V$2:$V$1178,'Registre de reserves'!$T$2:$T$1178,"NO",'Registre de reserves'!$I$2:$I$1178,'2025'!$A164,'Registre de reserves'!$B$2:$B$1178,'2025'!D$2,Tabla1[ANY],'2025'!$Z$150)</f>
        <v>0</v>
      </c>
      <c r="E164" s="21">
        <f t="shared" si="167"/>
        <v>0</v>
      </c>
      <c r="F164" s="20">
        <f>SUMIFS('Registre de reserves'!$V$2:$V$1178,'Registre de reserves'!$T$2:$T$1178,"NO",'Registre de reserves'!$I$2:$I$1178,'2025'!$A164,'Registre de reserves'!$B$2:$B$1178,'2025'!F$2,Tabla1[ANY],'2025'!$Z$150)</f>
        <v>0</v>
      </c>
      <c r="G164" s="21">
        <f t="shared" si="157"/>
        <v>0</v>
      </c>
      <c r="H164" s="20">
        <f>SUMIFS('Registre de reserves'!$V$2:$V$1178,'Registre de reserves'!$T$2:$T$1178,"NO",'Registre de reserves'!$I$2:$I$1178,'2025'!$A164,'Registre de reserves'!$B$2:$B$1178,'2025'!H$2,Tabla1[ANY],'2025'!$Z$150)</f>
        <v>0</v>
      </c>
      <c r="I164" s="21">
        <f t="shared" si="158"/>
        <v>0</v>
      </c>
      <c r="J164" s="20">
        <f>SUMIFS('Registre de reserves'!$V$2:$V$1178,'Registre de reserves'!$T$2:$T$1178,"NO",'Registre de reserves'!$I$2:$I$1178,'2025'!$A164,'Registre de reserves'!$B$2:$B$1178,'2025'!J$2,Tabla1[ANY],'2025'!$Z$150)</f>
        <v>0</v>
      </c>
      <c r="K164" s="21">
        <f t="shared" si="159"/>
        <v>0</v>
      </c>
      <c r="L164" s="20">
        <f>SUMIFS('Registre de reserves'!$V$2:$V$1178,'Registre de reserves'!$T$2:$T$1178,"NO",'Registre de reserves'!$I$2:$I$1178,'2025'!$A164,'Registre de reserves'!$B$2:$B$1178,'2025'!L$2,Tabla1[ANY],'2025'!$Z$150)</f>
        <v>0</v>
      </c>
      <c r="M164" s="21">
        <f t="shared" si="160"/>
        <v>0</v>
      </c>
      <c r="N164" s="20">
        <f>SUMIFS('Registre de reserves'!$V$2:$V$1178,'Registre de reserves'!$T$2:$T$1178,"NO",'Registre de reserves'!$I$2:$I$1178,'2025'!$A164,'Registre de reserves'!$B$2:$B$1178,'2025'!N$2,Tabla1[ANY],'2025'!$Z$150)</f>
        <v>0</v>
      </c>
      <c r="O164" s="21">
        <f t="shared" si="161"/>
        <v>0</v>
      </c>
      <c r="P164" s="20">
        <f>SUMIFS('Registre de reserves'!$V$2:$V$1178,'Registre de reserves'!$T$2:$T$1178,"NO",'Registre de reserves'!$I$2:$I$1178,'2025'!$A164,'Registre de reserves'!$B$2:$B$1178,'2025'!P$2,Tabla1[ANY],'2025'!$Z$150)</f>
        <v>0</v>
      </c>
      <c r="Q164" s="21">
        <f t="shared" si="162"/>
        <v>0</v>
      </c>
      <c r="R164" s="20">
        <f>SUMIFS('Registre de reserves'!$V$2:$V$1178,'Registre de reserves'!$T$2:$T$1178,"NO",'Registre de reserves'!$I$2:$I$1178,'2025'!$A164,'Registre de reserves'!$B$2:$B$1178,'2025'!R$2,Tabla1[ANY],'2025'!$Z$150)</f>
        <v>0</v>
      </c>
      <c r="S164" s="21">
        <f t="shared" si="163"/>
        <v>0</v>
      </c>
      <c r="T164" s="20">
        <f>SUMIFS('Registre de reserves'!$V$2:$V$1178,'Registre de reserves'!$T$2:$T$1178,"NO",'Registre de reserves'!$I$2:$I$1178,'2025'!$A164,'Registre de reserves'!$B$2:$B$1178,'2025'!T$2,Tabla1[ANY],'2025'!$Z$150)</f>
        <v>0</v>
      </c>
      <c r="U164" s="21">
        <f t="shared" si="164"/>
        <v>0</v>
      </c>
      <c r="V164" s="20">
        <f>SUMIFS('Registre de reserves'!$V$2:$V$1178,'Registre de reserves'!$T$2:$T$1178,"NO",'Registre de reserves'!$I$2:$I$1178,'2025'!$A164,'Registre de reserves'!$B$2:$B$1178,'2025'!V$2,Tabla1[ANY],'2025'!$Z$150)</f>
        <v>0</v>
      </c>
      <c r="W164" s="21">
        <f t="shared" si="165"/>
        <v>0</v>
      </c>
      <c r="X164" s="20">
        <f>SUMIFS('Registre de reserves'!$V$2:$V$1178,'Registre de reserves'!$T$2:$T$1178,"NO",'Registre de reserves'!$I$2:$I$1178,'2025'!$A164,'Registre de reserves'!$B$2:$B$1178,'2025'!X$2,Tabla1[ANY],'2025'!$Z$150)</f>
        <v>0</v>
      </c>
      <c r="Y164" s="21">
        <f t="shared" si="166"/>
        <v>0</v>
      </c>
      <c r="Z164" s="20">
        <f t="shared" si="168"/>
        <v>0</v>
      </c>
      <c r="AA164" s="21">
        <f t="shared" si="169"/>
        <v>0</v>
      </c>
    </row>
    <row r="165" spans="1:27" hidden="1" outlineLevel="1" x14ac:dyDescent="0.2">
      <c r="A165" s="8" t="s">
        <v>71</v>
      </c>
      <c r="B165" s="20">
        <f>SUMIFS('Registre de reserves'!$V$2:$V$1178,'Registre de reserves'!$T$2:$T$1178,"NO",'Registre de reserves'!$I$2:$I$1178,'2025'!$A165,'Registre de reserves'!$B$2:$B$1178,'2025'!B$2,Tabla1[ANY],'2025'!$Z$150)</f>
        <v>0</v>
      </c>
      <c r="C165" s="21">
        <f t="shared" si="167"/>
        <v>0</v>
      </c>
      <c r="D165" s="20">
        <f>SUMIFS('Registre de reserves'!$V$2:$V$1178,'Registre de reserves'!$T$2:$T$1178,"NO",'Registre de reserves'!$I$2:$I$1178,'2025'!$A165,'Registre de reserves'!$B$2:$B$1178,'2025'!D$2,Tabla1[ANY],'2025'!$Z$150)</f>
        <v>0</v>
      </c>
      <c r="E165" s="21">
        <f t="shared" si="167"/>
        <v>0</v>
      </c>
      <c r="F165" s="20">
        <f>SUMIFS('Registre de reserves'!$V$2:$V$1178,'Registre de reserves'!$T$2:$T$1178,"NO",'Registre de reserves'!$I$2:$I$1178,'2025'!$A165,'Registre de reserves'!$B$2:$B$1178,'2025'!F$2,Tabla1[ANY],'2025'!$Z$150)</f>
        <v>0</v>
      </c>
      <c r="G165" s="21">
        <f t="shared" si="157"/>
        <v>0</v>
      </c>
      <c r="H165" s="20">
        <f>SUMIFS('Registre de reserves'!$V$2:$V$1178,'Registre de reserves'!$T$2:$T$1178,"NO",'Registre de reserves'!$I$2:$I$1178,'2025'!$A165,'Registre de reserves'!$B$2:$B$1178,'2025'!H$2,Tabla1[ANY],'2025'!$Z$150)</f>
        <v>0</v>
      </c>
      <c r="I165" s="21">
        <f t="shared" si="158"/>
        <v>0</v>
      </c>
      <c r="J165" s="20">
        <f>SUMIFS('Registre de reserves'!$V$2:$V$1178,'Registre de reserves'!$T$2:$T$1178,"NO",'Registre de reserves'!$I$2:$I$1178,'2025'!$A165,'Registre de reserves'!$B$2:$B$1178,'2025'!J$2,Tabla1[ANY],'2025'!$Z$150)</f>
        <v>0</v>
      </c>
      <c r="K165" s="21">
        <f t="shared" si="159"/>
        <v>0</v>
      </c>
      <c r="L165" s="20">
        <f>SUMIFS('Registre de reserves'!$V$2:$V$1178,'Registre de reserves'!$T$2:$T$1178,"NO",'Registre de reserves'!$I$2:$I$1178,'2025'!$A165,'Registre de reserves'!$B$2:$B$1178,'2025'!L$2,Tabla1[ANY],'2025'!$Z$150)</f>
        <v>0</v>
      </c>
      <c r="M165" s="21">
        <f t="shared" si="160"/>
        <v>0</v>
      </c>
      <c r="N165" s="20">
        <f>SUMIFS('Registre de reserves'!$V$2:$V$1178,'Registre de reserves'!$T$2:$T$1178,"NO",'Registre de reserves'!$I$2:$I$1178,'2025'!$A165,'Registre de reserves'!$B$2:$B$1178,'2025'!N$2,Tabla1[ANY],'2025'!$Z$150)</f>
        <v>0</v>
      </c>
      <c r="O165" s="21">
        <f t="shared" si="161"/>
        <v>0</v>
      </c>
      <c r="P165" s="20">
        <f>SUMIFS('Registre de reserves'!$V$2:$V$1178,'Registre de reserves'!$T$2:$T$1178,"NO",'Registre de reserves'!$I$2:$I$1178,'2025'!$A165,'Registre de reserves'!$B$2:$B$1178,'2025'!P$2,Tabla1[ANY],'2025'!$Z$150)</f>
        <v>0</v>
      </c>
      <c r="Q165" s="21">
        <f t="shared" si="162"/>
        <v>0</v>
      </c>
      <c r="R165" s="20">
        <f>SUMIFS('Registre de reserves'!$V$2:$V$1178,'Registre de reserves'!$T$2:$T$1178,"NO",'Registre de reserves'!$I$2:$I$1178,'2025'!$A165,'Registre de reserves'!$B$2:$B$1178,'2025'!R$2,Tabla1[ANY],'2025'!$Z$150)</f>
        <v>0</v>
      </c>
      <c r="S165" s="21">
        <f t="shared" si="163"/>
        <v>0</v>
      </c>
      <c r="T165" s="20">
        <f>SUMIFS('Registre de reserves'!$V$2:$V$1178,'Registre de reserves'!$T$2:$T$1178,"NO",'Registre de reserves'!$I$2:$I$1178,'2025'!$A165,'Registre de reserves'!$B$2:$B$1178,'2025'!T$2,Tabla1[ANY],'2025'!$Z$150)</f>
        <v>0</v>
      </c>
      <c r="U165" s="21">
        <f t="shared" si="164"/>
        <v>0</v>
      </c>
      <c r="V165" s="20">
        <f>SUMIFS('Registre de reserves'!$V$2:$V$1178,'Registre de reserves'!$T$2:$T$1178,"NO",'Registre de reserves'!$I$2:$I$1178,'2025'!$A165,'Registre de reserves'!$B$2:$B$1178,'2025'!V$2,Tabla1[ANY],'2025'!$Z$150)</f>
        <v>0</v>
      </c>
      <c r="W165" s="21">
        <f t="shared" si="165"/>
        <v>0</v>
      </c>
      <c r="X165" s="20">
        <f>SUMIFS('Registre de reserves'!$V$2:$V$1178,'Registre de reserves'!$T$2:$T$1178,"NO",'Registre de reserves'!$I$2:$I$1178,'2025'!$A165,'Registre de reserves'!$B$2:$B$1178,'2025'!X$2,Tabla1[ANY],'2025'!$Z$150)</f>
        <v>0</v>
      </c>
      <c r="Y165" s="21">
        <f t="shared" si="166"/>
        <v>0</v>
      </c>
      <c r="Z165" s="20">
        <f t="shared" si="168"/>
        <v>0</v>
      </c>
      <c r="AA165" s="21">
        <f t="shared" si="169"/>
        <v>0</v>
      </c>
    </row>
    <row r="166" spans="1:27" hidden="1" outlineLevel="1" x14ac:dyDescent="0.2">
      <c r="A166" s="8" t="s">
        <v>72</v>
      </c>
      <c r="B166" s="20">
        <f>SUMIFS('Registre de reserves'!$V$2:$V$1178,'Registre de reserves'!$T$2:$T$1178,"NO",'Registre de reserves'!$I$2:$I$1178,'2025'!$A166,'Registre de reserves'!$B$2:$B$1178,'2025'!B$2,Tabla1[ANY],'2025'!$Z$150)</f>
        <v>0</v>
      </c>
      <c r="C166" s="21">
        <f t="shared" si="167"/>
        <v>0</v>
      </c>
      <c r="D166" s="20">
        <f>SUMIFS('Registre de reserves'!$V$2:$V$1178,'Registre de reserves'!$T$2:$T$1178,"NO",'Registre de reserves'!$I$2:$I$1178,'2025'!$A166,'Registre de reserves'!$B$2:$B$1178,'2025'!D$2,Tabla1[ANY],'2025'!$Z$150)</f>
        <v>0</v>
      </c>
      <c r="E166" s="21">
        <f t="shared" si="167"/>
        <v>0</v>
      </c>
      <c r="F166" s="20">
        <f>SUMIFS('Registre de reserves'!$V$2:$V$1178,'Registre de reserves'!$T$2:$T$1178,"NO",'Registre de reserves'!$I$2:$I$1178,'2025'!$A166,'Registre de reserves'!$B$2:$B$1178,'2025'!F$2,Tabla1[ANY],'2025'!$Z$150)</f>
        <v>0</v>
      </c>
      <c r="G166" s="21">
        <f t="shared" si="157"/>
        <v>0</v>
      </c>
      <c r="H166" s="20">
        <f>SUMIFS('Registre de reserves'!$V$2:$V$1178,'Registre de reserves'!$T$2:$T$1178,"NO",'Registre de reserves'!$I$2:$I$1178,'2025'!$A166,'Registre de reserves'!$B$2:$B$1178,'2025'!H$2,Tabla1[ANY],'2025'!$Z$150)</f>
        <v>0</v>
      </c>
      <c r="I166" s="21">
        <f t="shared" si="158"/>
        <v>0</v>
      </c>
      <c r="J166" s="20">
        <f>SUMIFS('Registre de reserves'!$V$2:$V$1178,'Registre de reserves'!$T$2:$T$1178,"NO",'Registre de reserves'!$I$2:$I$1178,'2025'!$A166,'Registre de reserves'!$B$2:$B$1178,'2025'!J$2,Tabla1[ANY],'2025'!$Z$150)</f>
        <v>0</v>
      </c>
      <c r="K166" s="21">
        <f t="shared" si="159"/>
        <v>0</v>
      </c>
      <c r="L166" s="20">
        <f>SUMIFS('Registre de reserves'!$V$2:$V$1178,'Registre de reserves'!$T$2:$T$1178,"NO",'Registre de reserves'!$I$2:$I$1178,'2025'!$A166,'Registre de reserves'!$B$2:$B$1178,'2025'!L$2,Tabla1[ANY],'2025'!$Z$150)</f>
        <v>0</v>
      </c>
      <c r="M166" s="21">
        <f t="shared" si="160"/>
        <v>0</v>
      </c>
      <c r="N166" s="20">
        <f>SUMIFS('Registre de reserves'!$V$2:$V$1178,'Registre de reserves'!$T$2:$T$1178,"NO",'Registre de reserves'!$I$2:$I$1178,'2025'!$A166,'Registre de reserves'!$B$2:$B$1178,'2025'!N$2,Tabla1[ANY],'2025'!$Z$150)</f>
        <v>0</v>
      </c>
      <c r="O166" s="21">
        <f t="shared" si="161"/>
        <v>0</v>
      </c>
      <c r="P166" s="20">
        <f>SUMIFS('Registre de reserves'!$V$2:$V$1178,'Registre de reserves'!$T$2:$T$1178,"NO",'Registre de reserves'!$I$2:$I$1178,'2025'!$A166,'Registre de reserves'!$B$2:$B$1178,'2025'!P$2,Tabla1[ANY],'2025'!$Z$150)</f>
        <v>0</v>
      </c>
      <c r="Q166" s="21">
        <f t="shared" si="162"/>
        <v>0</v>
      </c>
      <c r="R166" s="20">
        <f>SUMIFS('Registre de reserves'!$V$2:$V$1178,'Registre de reserves'!$T$2:$T$1178,"NO",'Registre de reserves'!$I$2:$I$1178,'2025'!$A166,'Registre de reserves'!$B$2:$B$1178,'2025'!R$2,Tabla1[ANY],'2025'!$Z$150)</f>
        <v>0</v>
      </c>
      <c r="S166" s="21">
        <f t="shared" si="163"/>
        <v>0</v>
      </c>
      <c r="T166" s="20">
        <f>SUMIFS('Registre de reserves'!$V$2:$V$1178,'Registre de reserves'!$T$2:$T$1178,"NO",'Registre de reserves'!$I$2:$I$1178,'2025'!$A166,'Registre de reserves'!$B$2:$B$1178,'2025'!T$2,Tabla1[ANY],'2025'!$Z$150)</f>
        <v>0</v>
      </c>
      <c r="U166" s="21">
        <f t="shared" si="164"/>
        <v>0</v>
      </c>
      <c r="V166" s="20">
        <f>SUMIFS('Registre de reserves'!$V$2:$V$1178,'Registre de reserves'!$T$2:$T$1178,"NO",'Registre de reserves'!$I$2:$I$1178,'2025'!$A166,'Registre de reserves'!$B$2:$B$1178,'2025'!V$2,Tabla1[ANY],'2025'!$Z$150)</f>
        <v>0</v>
      </c>
      <c r="W166" s="21">
        <f t="shared" si="165"/>
        <v>0</v>
      </c>
      <c r="X166" s="20">
        <f>SUMIFS('Registre de reserves'!$V$2:$V$1178,'Registre de reserves'!$T$2:$T$1178,"NO",'Registre de reserves'!$I$2:$I$1178,'2025'!$A166,'Registre de reserves'!$B$2:$B$1178,'2025'!X$2,Tabla1[ANY],'2025'!$Z$150)</f>
        <v>0</v>
      </c>
      <c r="Y166" s="21">
        <f t="shared" si="166"/>
        <v>0</v>
      </c>
      <c r="Z166" s="20">
        <f t="shared" si="168"/>
        <v>0</v>
      </c>
      <c r="AA166" s="21">
        <f t="shared" si="169"/>
        <v>0</v>
      </c>
    </row>
    <row r="167" spans="1:27" hidden="1" outlineLevel="1" x14ac:dyDescent="0.2">
      <c r="A167" s="8" t="s">
        <v>69</v>
      </c>
      <c r="B167" s="20">
        <f>SUMIFS('Registre de reserves'!$V$2:$V$1178,'Registre de reserves'!$T$2:$T$1178,"NO",'Registre de reserves'!$I$2:$I$1178,'2025'!$A167,'Registre de reserves'!$B$2:$B$1178,'2025'!B$2,Tabla1[ANY],'2025'!$Z$150)</f>
        <v>0</v>
      </c>
      <c r="C167" s="21">
        <f t="shared" si="167"/>
        <v>0</v>
      </c>
      <c r="D167" s="20">
        <f>SUMIFS('Registre de reserves'!$V$2:$V$1178,'Registre de reserves'!$T$2:$T$1178,"NO",'Registre de reserves'!$I$2:$I$1178,'2025'!$A167,'Registre de reserves'!$B$2:$B$1178,'2025'!D$2,Tabla1[ANY],'2025'!$Z$150)</f>
        <v>0</v>
      </c>
      <c r="E167" s="21">
        <f t="shared" si="167"/>
        <v>0</v>
      </c>
      <c r="F167" s="20">
        <f>SUMIFS('Registre de reserves'!$V$2:$V$1178,'Registre de reserves'!$T$2:$T$1178,"NO",'Registre de reserves'!$I$2:$I$1178,'2025'!$A167,'Registre de reserves'!$B$2:$B$1178,'2025'!F$2,Tabla1[ANY],'2025'!$Z$150)</f>
        <v>0</v>
      </c>
      <c r="G167" s="21">
        <f t="shared" si="157"/>
        <v>0</v>
      </c>
      <c r="H167" s="20">
        <f>SUMIFS('Registre de reserves'!$V$2:$V$1178,'Registre de reserves'!$T$2:$T$1178,"NO",'Registre de reserves'!$I$2:$I$1178,'2025'!$A167,'Registre de reserves'!$B$2:$B$1178,'2025'!H$2,Tabla1[ANY],'2025'!$Z$150)</f>
        <v>0</v>
      </c>
      <c r="I167" s="21">
        <f t="shared" si="158"/>
        <v>0</v>
      </c>
      <c r="J167" s="20">
        <f>SUMIFS('Registre de reserves'!$V$2:$V$1178,'Registre de reserves'!$T$2:$T$1178,"NO",'Registre de reserves'!$I$2:$I$1178,'2025'!$A167,'Registre de reserves'!$B$2:$B$1178,'2025'!J$2,Tabla1[ANY],'2025'!$Z$150)</f>
        <v>0</v>
      </c>
      <c r="K167" s="21">
        <f t="shared" si="159"/>
        <v>0</v>
      </c>
      <c r="L167" s="20">
        <f>SUMIFS('Registre de reserves'!$V$2:$V$1178,'Registre de reserves'!$T$2:$T$1178,"NO",'Registre de reserves'!$I$2:$I$1178,'2025'!$A167,'Registre de reserves'!$B$2:$B$1178,'2025'!L$2,Tabla1[ANY],'2025'!$Z$150)</f>
        <v>0</v>
      </c>
      <c r="M167" s="21">
        <f t="shared" si="160"/>
        <v>0</v>
      </c>
      <c r="N167" s="20">
        <f>SUMIFS('Registre de reserves'!$V$2:$V$1178,'Registre de reserves'!$T$2:$T$1178,"NO",'Registre de reserves'!$I$2:$I$1178,'2025'!$A167,'Registre de reserves'!$B$2:$B$1178,'2025'!N$2,Tabla1[ANY],'2025'!$Z$150)</f>
        <v>0</v>
      </c>
      <c r="O167" s="21">
        <f t="shared" si="161"/>
        <v>0</v>
      </c>
      <c r="P167" s="20">
        <f>SUMIFS('Registre de reserves'!$V$2:$V$1178,'Registre de reserves'!$T$2:$T$1178,"NO",'Registre de reserves'!$I$2:$I$1178,'2025'!$A167,'Registre de reserves'!$B$2:$B$1178,'2025'!P$2,Tabla1[ANY],'2025'!$Z$150)</f>
        <v>0</v>
      </c>
      <c r="Q167" s="21">
        <f t="shared" si="162"/>
        <v>0</v>
      </c>
      <c r="R167" s="20">
        <f>SUMIFS('Registre de reserves'!$V$2:$V$1178,'Registre de reserves'!$T$2:$T$1178,"NO",'Registre de reserves'!$I$2:$I$1178,'2025'!$A167,'Registre de reserves'!$B$2:$B$1178,'2025'!R$2,Tabla1[ANY],'2025'!$Z$150)</f>
        <v>0</v>
      </c>
      <c r="S167" s="21">
        <f t="shared" si="163"/>
        <v>0</v>
      </c>
      <c r="T167" s="20">
        <f>SUMIFS('Registre de reserves'!$V$2:$V$1178,'Registre de reserves'!$T$2:$T$1178,"NO",'Registre de reserves'!$I$2:$I$1178,'2025'!$A167,'Registre de reserves'!$B$2:$B$1178,'2025'!T$2,Tabla1[ANY],'2025'!$Z$150)</f>
        <v>0</v>
      </c>
      <c r="U167" s="21">
        <f t="shared" si="164"/>
        <v>0</v>
      </c>
      <c r="V167" s="20">
        <f>SUMIFS('Registre de reserves'!$V$2:$V$1178,'Registre de reserves'!$T$2:$T$1178,"NO",'Registre de reserves'!$I$2:$I$1178,'2025'!$A167,'Registre de reserves'!$B$2:$B$1178,'2025'!V$2,Tabla1[ANY],'2025'!$Z$150)</f>
        <v>0</v>
      </c>
      <c r="W167" s="21">
        <f t="shared" si="165"/>
        <v>0</v>
      </c>
      <c r="X167" s="20">
        <f>SUMIFS('Registre de reserves'!$V$2:$V$1178,'Registre de reserves'!$T$2:$T$1178,"NO",'Registre de reserves'!$I$2:$I$1178,'2025'!$A167,'Registre de reserves'!$B$2:$B$1178,'2025'!X$2,Tabla1[ANY],'2025'!$Z$150)</f>
        <v>0</v>
      </c>
      <c r="Y167" s="21">
        <f t="shared" si="166"/>
        <v>0</v>
      </c>
      <c r="Z167" s="20">
        <f t="shared" si="168"/>
        <v>0</v>
      </c>
      <c r="AA167" s="21">
        <f t="shared" si="169"/>
        <v>0</v>
      </c>
    </row>
    <row r="168" spans="1:27" hidden="1" outlineLevel="1" x14ac:dyDescent="0.2">
      <c r="A168" s="8" t="s">
        <v>70</v>
      </c>
      <c r="B168" s="20">
        <f>SUMIFS('Registre de reserves'!$V$2:$V$1178,'Registre de reserves'!$T$2:$T$1178,"NO",'Registre de reserves'!$I$2:$I$1178,'2025'!$A168,'Registre de reserves'!$B$2:$B$1178,'2025'!B$2,Tabla1[ANY],'2025'!$Z$150)</f>
        <v>0</v>
      </c>
      <c r="C168" s="21">
        <f t="shared" si="167"/>
        <v>0</v>
      </c>
      <c r="D168" s="20">
        <f>SUMIFS('Registre de reserves'!$V$2:$V$1178,'Registre de reserves'!$T$2:$T$1178,"NO",'Registre de reserves'!$I$2:$I$1178,'2025'!$A168,'Registre de reserves'!$B$2:$B$1178,'2025'!D$2,Tabla1[ANY],'2025'!$Z$150)</f>
        <v>0</v>
      </c>
      <c r="E168" s="21">
        <f t="shared" si="167"/>
        <v>0</v>
      </c>
      <c r="F168" s="20">
        <f>SUMIFS('Registre de reserves'!$V$2:$V$1178,'Registre de reserves'!$T$2:$T$1178,"NO",'Registre de reserves'!$I$2:$I$1178,'2025'!$A168,'Registre de reserves'!$B$2:$B$1178,'2025'!F$2,Tabla1[ANY],'2025'!$Z$150)</f>
        <v>0</v>
      </c>
      <c r="G168" s="21">
        <f t="shared" si="157"/>
        <v>0</v>
      </c>
      <c r="H168" s="20">
        <f>SUMIFS('Registre de reserves'!$V$2:$V$1178,'Registre de reserves'!$T$2:$T$1178,"NO",'Registre de reserves'!$I$2:$I$1178,'2025'!$A168,'Registre de reserves'!$B$2:$B$1178,'2025'!H$2,Tabla1[ANY],'2025'!$Z$150)</f>
        <v>0</v>
      </c>
      <c r="I168" s="21">
        <f t="shared" si="158"/>
        <v>0</v>
      </c>
      <c r="J168" s="20">
        <f>SUMIFS('Registre de reserves'!$V$2:$V$1178,'Registre de reserves'!$T$2:$T$1178,"NO",'Registre de reserves'!$I$2:$I$1178,'2025'!$A168,'Registre de reserves'!$B$2:$B$1178,'2025'!J$2,Tabla1[ANY],'2025'!$Z$150)</f>
        <v>0</v>
      </c>
      <c r="K168" s="21">
        <f t="shared" si="159"/>
        <v>0</v>
      </c>
      <c r="L168" s="20">
        <f>SUMIFS('Registre de reserves'!$V$2:$V$1178,'Registre de reserves'!$T$2:$T$1178,"NO",'Registre de reserves'!$I$2:$I$1178,'2025'!$A168,'Registre de reserves'!$B$2:$B$1178,'2025'!L$2,Tabla1[ANY],'2025'!$Z$150)</f>
        <v>0</v>
      </c>
      <c r="M168" s="21">
        <f t="shared" si="160"/>
        <v>0</v>
      </c>
      <c r="N168" s="20">
        <f>SUMIFS('Registre de reserves'!$V$2:$V$1178,'Registre de reserves'!$T$2:$T$1178,"NO",'Registre de reserves'!$I$2:$I$1178,'2025'!$A168,'Registre de reserves'!$B$2:$B$1178,'2025'!N$2,Tabla1[ANY],'2025'!$Z$150)</f>
        <v>0</v>
      </c>
      <c r="O168" s="21">
        <f t="shared" si="161"/>
        <v>0</v>
      </c>
      <c r="P168" s="20">
        <f>SUMIFS('Registre de reserves'!$V$2:$V$1178,'Registre de reserves'!$T$2:$T$1178,"NO",'Registre de reserves'!$I$2:$I$1178,'2025'!$A168,'Registre de reserves'!$B$2:$B$1178,'2025'!P$2,Tabla1[ANY],'2025'!$Z$150)</f>
        <v>0</v>
      </c>
      <c r="Q168" s="21">
        <f t="shared" si="162"/>
        <v>0</v>
      </c>
      <c r="R168" s="20">
        <f>SUMIFS('Registre de reserves'!$V$2:$V$1178,'Registre de reserves'!$T$2:$T$1178,"NO",'Registre de reserves'!$I$2:$I$1178,'2025'!$A168,'Registre de reserves'!$B$2:$B$1178,'2025'!R$2,Tabla1[ANY],'2025'!$Z$150)</f>
        <v>0</v>
      </c>
      <c r="S168" s="21">
        <f t="shared" si="163"/>
        <v>0</v>
      </c>
      <c r="T168" s="20">
        <f>SUMIFS('Registre de reserves'!$V$2:$V$1178,'Registre de reserves'!$T$2:$T$1178,"NO",'Registre de reserves'!$I$2:$I$1178,'2025'!$A168,'Registre de reserves'!$B$2:$B$1178,'2025'!T$2,Tabla1[ANY],'2025'!$Z$150)</f>
        <v>0</v>
      </c>
      <c r="U168" s="21">
        <f t="shared" si="164"/>
        <v>0</v>
      </c>
      <c r="V168" s="20">
        <f>SUMIFS('Registre de reserves'!$V$2:$V$1178,'Registre de reserves'!$T$2:$T$1178,"NO",'Registre de reserves'!$I$2:$I$1178,'2025'!$A168,'Registre de reserves'!$B$2:$B$1178,'2025'!V$2,Tabla1[ANY],'2025'!$Z$150)</f>
        <v>0</v>
      </c>
      <c r="W168" s="21">
        <f t="shared" si="165"/>
        <v>0</v>
      </c>
      <c r="X168" s="20">
        <f>SUMIFS('Registre de reserves'!$V$2:$V$1178,'Registre de reserves'!$T$2:$T$1178,"NO",'Registre de reserves'!$I$2:$I$1178,'2025'!$A168,'Registre de reserves'!$B$2:$B$1178,'2025'!X$2,Tabla1[ANY],'2025'!$Z$150)</f>
        <v>0</v>
      </c>
      <c r="Y168" s="21">
        <f t="shared" si="166"/>
        <v>0</v>
      </c>
      <c r="Z168" s="20">
        <f t="shared" si="168"/>
        <v>0</v>
      </c>
      <c r="AA168" s="21">
        <f t="shared" si="169"/>
        <v>0</v>
      </c>
    </row>
    <row r="169" spans="1:27" hidden="1" outlineLevel="1" x14ac:dyDescent="0.2">
      <c r="A169" s="8" t="s">
        <v>73</v>
      </c>
      <c r="B169" s="20">
        <f>SUMIFS('Registre de reserves'!$V$2:$V$1178,'Registre de reserves'!$T$2:$T$1178,"NO",'Registre de reserves'!$I$2:$I$1178,'2025'!$A169,'Registre de reserves'!$B$2:$B$1178,'2025'!B$2,Tabla1[ANY],'2025'!$Z$150)</f>
        <v>0</v>
      </c>
      <c r="C169" s="21">
        <f t="shared" si="167"/>
        <v>0</v>
      </c>
      <c r="D169" s="20">
        <f>SUMIFS('Registre de reserves'!$V$2:$V$1178,'Registre de reserves'!$T$2:$T$1178,"NO",'Registre de reserves'!$I$2:$I$1178,'2025'!$A169,'Registre de reserves'!$B$2:$B$1178,'2025'!D$2,Tabla1[ANY],'2025'!$Z$150)</f>
        <v>0</v>
      </c>
      <c r="E169" s="21">
        <f t="shared" si="167"/>
        <v>0</v>
      </c>
      <c r="F169" s="20">
        <f>SUMIFS('Registre de reserves'!$V$2:$V$1178,'Registre de reserves'!$T$2:$T$1178,"NO",'Registre de reserves'!$I$2:$I$1178,'2025'!$A169,'Registre de reserves'!$B$2:$B$1178,'2025'!F$2,Tabla1[ANY],'2025'!$Z$150)</f>
        <v>0</v>
      </c>
      <c r="G169" s="21">
        <f t="shared" si="157"/>
        <v>0</v>
      </c>
      <c r="H169" s="20">
        <f>SUMIFS('Registre de reserves'!$V$2:$V$1178,'Registre de reserves'!$T$2:$T$1178,"NO",'Registre de reserves'!$I$2:$I$1178,'2025'!$A169,'Registre de reserves'!$B$2:$B$1178,'2025'!H$2,Tabla1[ANY],'2025'!$Z$150)</f>
        <v>0</v>
      </c>
      <c r="I169" s="21">
        <f t="shared" si="158"/>
        <v>0</v>
      </c>
      <c r="J169" s="20">
        <f>SUMIFS('Registre de reserves'!$V$2:$V$1178,'Registre de reserves'!$T$2:$T$1178,"NO",'Registre de reserves'!$I$2:$I$1178,'2025'!$A169,'Registre de reserves'!$B$2:$B$1178,'2025'!J$2,Tabla1[ANY],'2025'!$Z$150)</f>
        <v>0</v>
      </c>
      <c r="K169" s="21">
        <f t="shared" si="159"/>
        <v>0</v>
      </c>
      <c r="L169" s="20">
        <f>SUMIFS('Registre de reserves'!$V$2:$V$1178,'Registre de reserves'!$T$2:$T$1178,"NO",'Registre de reserves'!$I$2:$I$1178,'2025'!$A169,'Registre de reserves'!$B$2:$B$1178,'2025'!L$2,Tabla1[ANY],'2025'!$Z$150)</f>
        <v>0</v>
      </c>
      <c r="M169" s="21">
        <f t="shared" si="160"/>
        <v>0</v>
      </c>
      <c r="N169" s="20">
        <f>SUMIFS('Registre de reserves'!$V$2:$V$1178,'Registre de reserves'!$T$2:$T$1178,"NO",'Registre de reserves'!$I$2:$I$1178,'2025'!$A169,'Registre de reserves'!$B$2:$B$1178,'2025'!N$2,Tabla1[ANY],'2025'!$Z$150)</f>
        <v>0</v>
      </c>
      <c r="O169" s="21">
        <f t="shared" si="161"/>
        <v>0</v>
      </c>
      <c r="P169" s="20">
        <f>SUMIFS('Registre de reserves'!$V$2:$V$1178,'Registre de reserves'!$T$2:$T$1178,"NO",'Registre de reserves'!$I$2:$I$1178,'2025'!$A169,'Registre de reserves'!$B$2:$B$1178,'2025'!P$2,Tabla1[ANY],'2025'!$Z$150)</f>
        <v>0</v>
      </c>
      <c r="Q169" s="21">
        <f t="shared" si="162"/>
        <v>0</v>
      </c>
      <c r="R169" s="20">
        <f>SUMIFS('Registre de reserves'!$V$2:$V$1178,'Registre de reserves'!$T$2:$T$1178,"NO",'Registre de reserves'!$I$2:$I$1178,'2025'!$A169,'Registre de reserves'!$B$2:$B$1178,'2025'!R$2,Tabla1[ANY],'2025'!$Z$150)</f>
        <v>0</v>
      </c>
      <c r="S169" s="21">
        <f t="shared" si="163"/>
        <v>0</v>
      </c>
      <c r="T169" s="20">
        <f>SUMIFS('Registre de reserves'!$V$2:$V$1178,'Registre de reserves'!$T$2:$T$1178,"NO",'Registre de reserves'!$I$2:$I$1178,'2025'!$A169,'Registre de reserves'!$B$2:$B$1178,'2025'!T$2,Tabla1[ANY],'2025'!$Z$150)</f>
        <v>0</v>
      </c>
      <c r="U169" s="21">
        <f t="shared" si="164"/>
        <v>0</v>
      </c>
      <c r="V169" s="20">
        <f>SUMIFS('Registre de reserves'!$V$2:$V$1178,'Registre de reserves'!$T$2:$T$1178,"NO",'Registre de reserves'!$I$2:$I$1178,'2025'!$A169,'Registre de reserves'!$B$2:$B$1178,'2025'!V$2,Tabla1[ANY],'2025'!$Z$150)</f>
        <v>0</v>
      </c>
      <c r="W169" s="21">
        <f t="shared" si="165"/>
        <v>0</v>
      </c>
      <c r="X169" s="20">
        <f>SUMIFS('Registre de reserves'!$V$2:$V$1178,'Registre de reserves'!$T$2:$T$1178,"NO",'Registre de reserves'!$I$2:$I$1178,'2025'!$A169,'Registre de reserves'!$B$2:$B$1178,'2025'!X$2,Tabla1[ANY],'2025'!$Z$150)</f>
        <v>0</v>
      </c>
      <c r="Y169" s="21">
        <f t="shared" si="166"/>
        <v>0</v>
      </c>
      <c r="Z169" s="20">
        <f t="shared" si="168"/>
        <v>0</v>
      </c>
      <c r="AA169" s="21">
        <f t="shared" si="169"/>
        <v>0</v>
      </c>
    </row>
    <row r="170" spans="1:27" collapsed="1" x14ac:dyDescent="0.2">
      <c r="A170" s="33" t="s">
        <v>75</v>
      </c>
      <c r="B170" s="22">
        <f>SUM(B171:B178)</f>
        <v>180</v>
      </c>
      <c r="C170" s="19">
        <f>IF(B$151=0,0,B170/B$151)</f>
        <v>5.8158319870759291E-2</v>
      </c>
      <c r="D170" s="22">
        <f>SUM(D171:D178)</f>
        <v>20</v>
      </c>
      <c r="E170" s="19">
        <f>IF(D$151=0,0,D170/D$151)</f>
        <v>9.1954022988505746E-3</v>
      </c>
      <c r="F170" s="22">
        <f>SUM(F171:F178)</f>
        <v>0</v>
      </c>
      <c r="G170" s="19">
        <f>IF(F$151=0,0,F170/F$151)</f>
        <v>0</v>
      </c>
      <c r="H170" s="22">
        <f>SUM(H171:H178)</f>
        <v>180</v>
      </c>
      <c r="I170" s="19">
        <f>IF(H$151=0,0,H170/H$151)</f>
        <v>8.3140877598152418E-2</v>
      </c>
      <c r="J170" s="22">
        <f>SUM(J171:J178)</f>
        <v>90</v>
      </c>
      <c r="K170" s="19">
        <f>IF(J$151=0,0,J170/J$151)</f>
        <v>3.4220532319391636E-2</v>
      </c>
      <c r="L170" s="22">
        <f>SUM(L171:L178)</f>
        <v>120</v>
      </c>
      <c r="M170" s="19">
        <f>IF(L$151=0,0,L170/L$151)</f>
        <v>4.9382716049382713E-2</v>
      </c>
      <c r="N170" s="22">
        <f>SUM(N171:N178)</f>
        <v>0</v>
      </c>
      <c r="O170" s="19">
        <f>IF(N$151=0,0,N170/N$151)</f>
        <v>0</v>
      </c>
      <c r="P170" s="22">
        <f>SUM(P171:P178)</f>
        <v>0</v>
      </c>
      <c r="Q170" s="19">
        <f>IF(P$151=0,0,P170/P$151)</f>
        <v>0</v>
      </c>
      <c r="R170" s="22">
        <f>SUM(R171:R178)</f>
        <v>0</v>
      </c>
      <c r="S170" s="19">
        <f>IF(R$151=0,0,R170/R$151)</f>
        <v>0</v>
      </c>
      <c r="T170" s="22">
        <f>SUM(T171:T178)</f>
        <v>0</v>
      </c>
      <c r="U170" s="19">
        <f>IF(T$151=0,0,T170/T$151)</f>
        <v>0</v>
      </c>
      <c r="V170" s="22">
        <f>SUM(V171:V178)</f>
        <v>0</v>
      </c>
      <c r="W170" s="19">
        <f>IF(V$151=0,0,V170/V$151)</f>
        <v>0</v>
      </c>
      <c r="X170" s="22">
        <f>SUM(X171:X178)</f>
        <v>0</v>
      </c>
      <c r="Y170" s="19">
        <f>IF(X$151=0,0,X170/X$151)</f>
        <v>0</v>
      </c>
      <c r="Z170" s="22">
        <f>SUM(Z171:Z178)</f>
        <v>590</v>
      </c>
      <c r="AA170" s="19">
        <f>IF(Z$3=0,0,Z170/Z$3)</f>
        <v>2.5685676969960818E-2</v>
      </c>
    </row>
    <row r="171" spans="1:27" hidden="1" outlineLevel="1" x14ac:dyDescent="0.2">
      <c r="A171" s="8" t="s">
        <v>67</v>
      </c>
      <c r="B171" s="23">
        <f>SUMIFS('Registre de reserves'!$X$2:$X$1178,'Registre de reserves'!$T$2:$T$1178,"SI",'Registre de reserves'!$I$2:$I$1178,'2025'!$A171,'Registre de reserves'!$B$2:$B$1178,'2025'!B$2,Tabla1[ANY],'2025'!$Z$150)</f>
        <v>0</v>
      </c>
      <c r="C171" s="21">
        <f>IF(B$170=0,0,B171/B$170)</f>
        <v>0</v>
      </c>
      <c r="D171" s="23">
        <f>SUMIFS('Registre de reserves'!$X$2:$X$1178,'Registre de reserves'!$T$2:$T$1178,"SI",'Registre de reserves'!$I$2:$I$1178,'2025'!$A171,'Registre de reserves'!$B$2:$B$1178,'2025'!D$2,Tabla1[ANY],'2025'!$Z$150)</f>
        <v>20</v>
      </c>
      <c r="E171" s="21">
        <f>IF(D$170=0,0,D171/D$170)</f>
        <v>1</v>
      </c>
      <c r="F171" s="23">
        <f>SUMIFS('Registre de reserves'!$X$2:$X$1178,'Registre de reserves'!$T$2:$T$1178,"SI",'Registre de reserves'!$I$2:$I$1178,'2025'!$A171,'Registre de reserves'!$B$2:$B$1178,'2025'!F$2,Tabla1[ANY],'2025'!$Z$150)</f>
        <v>0</v>
      </c>
      <c r="G171" s="21">
        <f t="shared" ref="G171:G178" si="170">IF(F$170=0,0,F171/F$170)</f>
        <v>0</v>
      </c>
      <c r="H171" s="23">
        <f>SUMIFS('Registre de reserves'!$X$2:$X$1178,'Registre de reserves'!$T$2:$T$1178,"SI",'Registre de reserves'!$I$2:$I$1178,'2025'!$A171,'Registre de reserves'!$B$2:$B$1178,'2025'!H$2,Tabla1[ANY],'2025'!$Z$150)</f>
        <v>0</v>
      </c>
      <c r="I171" s="21">
        <f t="shared" ref="I171:I178" si="171">IF(H$170=0,0,H171/H$170)</f>
        <v>0</v>
      </c>
      <c r="J171" s="23">
        <f>SUMIFS('Registre de reserves'!$X$2:$X$1178,'Registre de reserves'!$T$2:$T$1178,"SI",'Registre de reserves'!$I$2:$I$1178,'2025'!$A171,'Registre de reserves'!$B$2:$B$1178,'2025'!J$2,Tabla1[ANY],'2025'!$Z$150)</f>
        <v>0</v>
      </c>
      <c r="K171" s="21">
        <f t="shared" ref="K171:K178" si="172">IF(J$170=0,0,J171/J$170)</f>
        <v>0</v>
      </c>
      <c r="L171" s="23">
        <f>SUMIFS('Registre de reserves'!$X$2:$X$1178,'Registre de reserves'!$T$2:$T$1178,"SI",'Registre de reserves'!$I$2:$I$1178,'2025'!$A171,'Registre de reserves'!$B$2:$B$1178,'2025'!L$2,Tabla1[ANY],'2025'!$Z$150)</f>
        <v>0</v>
      </c>
      <c r="M171" s="21">
        <f t="shared" ref="M171:M178" si="173">IF(L$170=0,0,L171/L$170)</f>
        <v>0</v>
      </c>
      <c r="N171" s="23">
        <f>SUMIFS('Registre de reserves'!$X$2:$X$1178,'Registre de reserves'!$T$2:$T$1178,"SI",'Registre de reserves'!$I$2:$I$1178,'2025'!$A171,'Registre de reserves'!$B$2:$B$1178,'2025'!N$2,Tabla1[ANY],'2025'!$Z$150)</f>
        <v>0</v>
      </c>
      <c r="O171" s="21">
        <f t="shared" ref="O171:O178" si="174">IF(N$170=0,0,N171/N$170)</f>
        <v>0</v>
      </c>
      <c r="P171" s="23">
        <f>SUMIFS('Registre de reserves'!$X$2:$X$1178,'Registre de reserves'!$T$2:$T$1178,"SI",'Registre de reserves'!$I$2:$I$1178,'2025'!$A171,'Registre de reserves'!$B$2:$B$1178,'2025'!P$2,Tabla1[ANY],'2025'!$Z$150)</f>
        <v>0</v>
      </c>
      <c r="Q171" s="21">
        <f t="shared" ref="Q171:Q178" si="175">IF(P$170=0,0,P171/P$170)</f>
        <v>0</v>
      </c>
      <c r="R171" s="23">
        <f>SUMIFS('Registre de reserves'!$X$2:$X$1178,'Registre de reserves'!$T$2:$T$1178,"SI",'Registre de reserves'!$I$2:$I$1178,'2025'!$A171,'Registre de reserves'!$B$2:$B$1178,'2025'!R$2,Tabla1[ANY],'2025'!$Z$150)</f>
        <v>0</v>
      </c>
      <c r="S171" s="21">
        <f t="shared" ref="S171:S178" si="176">IF(R$170=0,0,R171/R$170)</f>
        <v>0</v>
      </c>
      <c r="T171" s="23">
        <f>SUMIFS('Registre de reserves'!$X$2:$X$1178,'Registre de reserves'!$T$2:$T$1178,"SI",'Registre de reserves'!$I$2:$I$1178,'2025'!$A171,'Registre de reserves'!$B$2:$B$1178,'2025'!T$2,Tabla1[ANY],'2025'!$Z$150)</f>
        <v>0</v>
      </c>
      <c r="U171" s="21">
        <f t="shared" ref="U171:U178" si="177">IF(T$170=0,0,T171/T$170)</f>
        <v>0</v>
      </c>
      <c r="V171" s="23">
        <f>SUMIFS('Registre de reserves'!$X$2:$X$1178,'Registre de reserves'!$T$2:$T$1178,"SI",'Registre de reserves'!$I$2:$I$1178,'2025'!$A171,'Registre de reserves'!$B$2:$B$1178,'2025'!V$2,Tabla1[ANY],'2025'!$Z$150)</f>
        <v>0</v>
      </c>
      <c r="W171" s="21">
        <f t="shared" ref="W171:W178" si="178">IF(V$170=0,0,V171/V$170)</f>
        <v>0</v>
      </c>
      <c r="X171" s="23">
        <f>SUMIFS('Registre de reserves'!$X$2:$X$1178,'Registre de reserves'!$T$2:$T$1178,"SI",'Registre de reserves'!$I$2:$I$1178,'2025'!$A171,'Registre de reserves'!$B$2:$B$1178,'2025'!X$2,Tabla1[ANY],'2025'!$Z$150)</f>
        <v>0</v>
      </c>
      <c r="Y171" s="21">
        <f t="shared" ref="Y171:Y178" si="179">IF(X$170=0,0,X171/X$170)</f>
        <v>0</v>
      </c>
      <c r="Z171" s="20">
        <f t="shared" si="168"/>
        <v>20</v>
      </c>
      <c r="AA171" s="21">
        <f>IF(Z$22=0,0,Z171/Z$22)</f>
        <v>2.8169014084507043E-2</v>
      </c>
    </row>
    <row r="172" spans="1:27" hidden="1" outlineLevel="1" x14ac:dyDescent="0.2">
      <c r="A172" s="8" t="s">
        <v>68</v>
      </c>
      <c r="B172" s="23">
        <f>SUMIFS('Registre de reserves'!$X$2:$X$1178,'Registre de reserves'!$T$2:$T$1178,"SI",'Registre de reserves'!$I$2:$I$1178,'2025'!$A172,'Registre de reserves'!$B$2:$B$1178,'2025'!B$2,Tabla1[ANY],'2025'!$Z$150)</f>
        <v>0</v>
      </c>
      <c r="C172" s="21">
        <f t="shared" ref="C172:E178" si="180">IF(B$170=0,0,B172/B$170)</f>
        <v>0</v>
      </c>
      <c r="D172" s="23">
        <f>SUMIFS('Registre de reserves'!$X$2:$X$1178,'Registre de reserves'!$T$2:$T$1178,"SI",'Registre de reserves'!$I$2:$I$1178,'2025'!$A172,'Registre de reserves'!$B$2:$B$1178,'2025'!D$2,Tabla1[ANY],'2025'!$Z$150)</f>
        <v>0</v>
      </c>
      <c r="E172" s="21">
        <f t="shared" si="180"/>
        <v>0</v>
      </c>
      <c r="F172" s="23">
        <f>SUMIFS('Registre de reserves'!$X$2:$X$1178,'Registre de reserves'!$T$2:$T$1178,"SI",'Registre de reserves'!$I$2:$I$1178,'2025'!$A172,'Registre de reserves'!$B$2:$B$1178,'2025'!F$2,Tabla1[ANY],'2025'!$Z$150)</f>
        <v>0</v>
      </c>
      <c r="G172" s="21">
        <f t="shared" si="170"/>
        <v>0</v>
      </c>
      <c r="H172" s="23">
        <f>SUMIFS('Registre de reserves'!$X$2:$X$1178,'Registre de reserves'!$T$2:$T$1178,"SI",'Registre de reserves'!$I$2:$I$1178,'2025'!$A172,'Registre de reserves'!$B$2:$B$1178,'2025'!H$2,Tabla1[ANY],'2025'!$Z$150)</f>
        <v>0</v>
      </c>
      <c r="I172" s="21">
        <f t="shared" si="171"/>
        <v>0</v>
      </c>
      <c r="J172" s="23">
        <f>SUMIFS('Registre de reserves'!$X$2:$X$1178,'Registre de reserves'!$T$2:$T$1178,"SI",'Registre de reserves'!$I$2:$I$1178,'2025'!$A172,'Registre de reserves'!$B$2:$B$1178,'2025'!J$2,Tabla1[ANY],'2025'!$Z$150)</f>
        <v>30</v>
      </c>
      <c r="K172" s="21">
        <f t="shared" si="172"/>
        <v>0.33333333333333331</v>
      </c>
      <c r="L172" s="23">
        <f>SUMIFS('Registre de reserves'!$X$2:$X$1178,'Registre de reserves'!$T$2:$T$1178,"SI",'Registre de reserves'!$I$2:$I$1178,'2025'!$A172,'Registre de reserves'!$B$2:$B$1178,'2025'!L$2,Tabla1[ANY],'2025'!$Z$150)</f>
        <v>0</v>
      </c>
      <c r="M172" s="21">
        <f t="shared" si="173"/>
        <v>0</v>
      </c>
      <c r="N172" s="23">
        <f>SUMIFS('Registre de reserves'!$X$2:$X$1178,'Registre de reserves'!$T$2:$T$1178,"SI",'Registre de reserves'!$I$2:$I$1178,'2025'!$A172,'Registre de reserves'!$B$2:$B$1178,'2025'!N$2,Tabla1[ANY],'2025'!$Z$150)</f>
        <v>0</v>
      </c>
      <c r="O172" s="21">
        <f t="shared" si="174"/>
        <v>0</v>
      </c>
      <c r="P172" s="23">
        <f>SUMIFS('Registre de reserves'!$X$2:$X$1178,'Registre de reserves'!$T$2:$T$1178,"SI",'Registre de reserves'!$I$2:$I$1178,'2025'!$A172,'Registre de reserves'!$B$2:$B$1178,'2025'!P$2,Tabla1[ANY],'2025'!$Z$150)</f>
        <v>0</v>
      </c>
      <c r="Q172" s="21">
        <f t="shared" si="175"/>
        <v>0</v>
      </c>
      <c r="R172" s="23">
        <f>SUMIFS('Registre de reserves'!$X$2:$X$1178,'Registre de reserves'!$T$2:$T$1178,"SI",'Registre de reserves'!$I$2:$I$1178,'2025'!$A172,'Registre de reserves'!$B$2:$B$1178,'2025'!R$2,Tabla1[ANY],'2025'!$Z$150)</f>
        <v>0</v>
      </c>
      <c r="S172" s="21">
        <f t="shared" si="176"/>
        <v>0</v>
      </c>
      <c r="T172" s="23">
        <f>SUMIFS('Registre de reserves'!$X$2:$X$1178,'Registre de reserves'!$T$2:$T$1178,"SI",'Registre de reserves'!$I$2:$I$1178,'2025'!$A172,'Registre de reserves'!$B$2:$B$1178,'2025'!T$2,Tabla1[ANY],'2025'!$Z$150)</f>
        <v>0</v>
      </c>
      <c r="U172" s="21">
        <f t="shared" si="177"/>
        <v>0</v>
      </c>
      <c r="V172" s="23">
        <f>SUMIFS('Registre de reserves'!$X$2:$X$1178,'Registre de reserves'!$T$2:$T$1178,"SI",'Registre de reserves'!$I$2:$I$1178,'2025'!$A172,'Registre de reserves'!$B$2:$B$1178,'2025'!V$2,Tabla1[ANY],'2025'!$Z$150)</f>
        <v>0</v>
      </c>
      <c r="W172" s="21">
        <f t="shared" si="178"/>
        <v>0</v>
      </c>
      <c r="X172" s="23">
        <f>SUMIFS('Registre de reserves'!$X$2:$X$1178,'Registre de reserves'!$T$2:$T$1178,"SI",'Registre de reserves'!$I$2:$I$1178,'2025'!$A172,'Registre de reserves'!$B$2:$B$1178,'2025'!X$2,Tabla1[ANY],'2025'!$Z$150)</f>
        <v>0</v>
      </c>
      <c r="Y172" s="21">
        <f t="shared" si="179"/>
        <v>0</v>
      </c>
      <c r="Z172" s="20">
        <f t="shared" si="168"/>
        <v>30</v>
      </c>
      <c r="AA172" s="21">
        <f t="shared" ref="AA172:AA178" si="181">IF(Z$22=0,0,Z172/Z$22)</f>
        <v>4.2253521126760563E-2</v>
      </c>
    </row>
    <row r="173" spans="1:27" hidden="1" outlineLevel="1" x14ac:dyDescent="0.2">
      <c r="A173" s="8" t="s">
        <v>4</v>
      </c>
      <c r="B173" s="23">
        <f>SUMIFS('Registre de reserves'!$X$2:$X$1178,'Registre de reserves'!$T$2:$T$1178,"SI",'Registre de reserves'!$I$2:$I$1178,'2025'!$A173,'Registre de reserves'!$B$2:$B$1178,'2025'!B$2,Tabla1[ANY],'2025'!$Z$150)</f>
        <v>60</v>
      </c>
      <c r="C173" s="21">
        <f t="shared" si="180"/>
        <v>0.33333333333333331</v>
      </c>
      <c r="D173" s="23">
        <f>SUMIFS('Registre de reserves'!$X$2:$X$1178,'Registre de reserves'!$T$2:$T$1178,"SI",'Registre de reserves'!$I$2:$I$1178,'2025'!$A173,'Registre de reserves'!$B$2:$B$1178,'2025'!D$2,Tabla1[ANY],'2025'!$Z$150)</f>
        <v>0</v>
      </c>
      <c r="E173" s="21">
        <f t="shared" si="180"/>
        <v>0</v>
      </c>
      <c r="F173" s="23">
        <f>SUMIFS('Registre de reserves'!$X$2:$X$1178,'Registre de reserves'!$T$2:$T$1178,"SI",'Registre de reserves'!$I$2:$I$1178,'2025'!$A173,'Registre de reserves'!$B$2:$B$1178,'2025'!F$2,Tabla1[ANY],'2025'!$Z$150)</f>
        <v>0</v>
      </c>
      <c r="G173" s="21">
        <f t="shared" si="170"/>
        <v>0</v>
      </c>
      <c r="H173" s="23">
        <f>SUMIFS('Registre de reserves'!$X$2:$X$1178,'Registre de reserves'!$T$2:$T$1178,"SI",'Registre de reserves'!$I$2:$I$1178,'2025'!$A173,'Registre de reserves'!$B$2:$B$1178,'2025'!H$2,Tabla1[ANY],'2025'!$Z$150)</f>
        <v>0</v>
      </c>
      <c r="I173" s="21">
        <f t="shared" si="171"/>
        <v>0</v>
      </c>
      <c r="J173" s="23">
        <f>SUMIFS('Registre de reserves'!$X$2:$X$1178,'Registre de reserves'!$T$2:$T$1178,"SI",'Registre de reserves'!$I$2:$I$1178,'2025'!$A173,'Registre de reserves'!$B$2:$B$1178,'2025'!J$2,Tabla1[ANY],'2025'!$Z$150)</f>
        <v>0</v>
      </c>
      <c r="K173" s="21">
        <f t="shared" si="172"/>
        <v>0</v>
      </c>
      <c r="L173" s="23">
        <f>SUMIFS('Registre de reserves'!$X$2:$X$1178,'Registre de reserves'!$T$2:$T$1178,"SI",'Registre de reserves'!$I$2:$I$1178,'2025'!$A173,'Registre de reserves'!$B$2:$B$1178,'2025'!L$2,Tabla1[ANY],'2025'!$Z$150)</f>
        <v>0</v>
      </c>
      <c r="M173" s="21">
        <f t="shared" si="173"/>
        <v>0</v>
      </c>
      <c r="N173" s="23">
        <f>SUMIFS('Registre de reserves'!$X$2:$X$1178,'Registre de reserves'!$T$2:$T$1178,"SI",'Registre de reserves'!$I$2:$I$1178,'2025'!$A173,'Registre de reserves'!$B$2:$B$1178,'2025'!N$2,Tabla1[ANY],'2025'!$Z$150)</f>
        <v>0</v>
      </c>
      <c r="O173" s="21">
        <f t="shared" si="174"/>
        <v>0</v>
      </c>
      <c r="P173" s="23">
        <f>SUMIFS('Registre de reserves'!$X$2:$X$1178,'Registre de reserves'!$T$2:$T$1178,"SI",'Registre de reserves'!$I$2:$I$1178,'2025'!$A173,'Registre de reserves'!$B$2:$B$1178,'2025'!P$2,Tabla1[ANY],'2025'!$Z$150)</f>
        <v>0</v>
      </c>
      <c r="Q173" s="21">
        <f t="shared" si="175"/>
        <v>0</v>
      </c>
      <c r="R173" s="23">
        <f>SUMIFS('Registre de reserves'!$X$2:$X$1178,'Registre de reserves'!$T$2:$T$1178,"SI",'Registre de reserves'!$I$2:$I$1178,'2025'!$A173,'Registre de reserves'!$B$2:$B$1178,'2025'!R$2,Tabla1[ANY],'2025'!$Z$150)</f>
        <v>0</v>
      </c>
      <c r="S173" s="21">
        <f t="shared" si="176"/>
        <v>0</v>
      </c>
      <c r="T173" s="23">
        <f>SUMIFS('Registre de reserves'!$X$2:$X$1178,'Registre de reserves'!$T$2:$T$1178,"SI",'Registre de reserves'!$I$2:$I$1178,'2025'!$A173,'Registre de reserves'!$B$2:$B$1178,'2025'!T$2,Tabla1[ANY],'2025'!$Z$150)</f>
        <v>0</v>
      </c>
      <c r="U173" s="21">
        <f t="shared" si="177"/>
        <v>0</v>
      </c>
      <c r="V173" s="23">
        <f>SUMIFS('Registre de reserves'!$X$2:$X$1178,'Registre de reserves'!$T$2:$T$1178,"SI",'Registre de reserves'!$I$2:$I$1178,'2025'!$A173,'Registre de reserves'!$B$2:$B$1178,'2025'!V$2,Tabla1[ANY],'2025'!$Z$150)</f>
        <v>0</v>
      </c>
      <c r="W173" s="21">
        <f t="shared" si="178"/>
        <v>0</v>
      </c>
      <c r="X173" s="23">
        <f>SUMIFS('Registre de reserves'!$X$2:$X$1178,'Registre de reserves'!$T$2:$T$1178,"SI",'Registre de reserves'!$I$2:$I$1178,'2025'!$A173,'Registre de reserves'!$B$2:$B$1178,'2025'!X$2,Tabla1[ANY],'2025'!$Z$150)</f>
        <v>0</v>
      </c>
      <c r="Y173" s="21">
        <f t="shared" si="179"/>
        <v>0</v>
      </c>
      <c r="Z173" s="20">
        <f t="shared" si="168"/>
        <v>60</v>
      </c>
      <c r="AA173" s="21">
        <f t="shared" si="181"/>
        <v>8.4507042253521125E-2</v>
      </c>
    </row>
    <row r="174" spans="1:27" hidden="1" outlineLevel="1" x14ac:dyDescent="0.2">
      <c r="A174" s="8" t="s">
        <v>71</v>
      </c>
      <c r="B174" s="23">
        <f>SUMIFS('Registre de reserves'!$X$2:$X$1178,'Registre de reserves'!$T$2:$T$1178,"SI",'Registre de reserves'!$I$2:$I$1178,'2025'!$A174,'Registre de reserves'!$B$2:$B$1178,'2025'!B$2,Tabla1[ANY],'2025'!$Z$150)</f>
        <v>0</v>
      </c>
      <c r="C174" s="21">
        <f t="shared" si="180"/>
        <v>0</v>
      </c>
      <c r="D174" s="23">
        <f>SUMIFS('Registre de reserves'!$X$2:$X$1178,'Registre de reserves'!$T$2:$T$1178,"SI",'Registre de reserves'!$I$2:$I$1178,'2025'!$A174,'Registre de reserves'!$B$2:$B$1178,'2025'!D$2,Tabla1[ANY],'2025'!$Z$150)</f>
        <v>0</v>
      </c>
      <c r="E174" s="21">
        <f t="shared" si="180"/>
        <v>0</v>
      </c>
      <c r="F174" s="23">
        <f>SUMIFS('Registre de reserves'!$X$2:$X$1178,'Registre de reserves'!$T$2:$T$1178,"SI",'Registre de reserves'!$I$2:$I$1178,'2025'!$A174,'Registre de reserves'!$B$2:$B$1178,'2025'!F$2,Tabla1[ANY],'2025'!$Z$150)</f>
        <v>0</v>
      </c>
      <c r="G174" s="21">
        <f t="shared" si="170"/>
        <v>0</v>
      </c>
      <c r="H174" s="23">
        <f>SUMIFS('Registre de reserves'!$X$2:$X$1178,'Registre de reserves'!$T$2:$T$1178,"SI",'Registre de reserves'!$I$2:$I$1178,'2025'!$A174,'Registre de reserves'!$B$2:$B$1178,'2025'!H$2,Tabla1[ANY],'2025'!$Z$150)</f>
        <v>0</v>
      </c>
      <c r="I174" s="21">
        <f t="shared" si="171"/>
        <v>0</v>
      </c>
      <c r="J174" s="23">
        <f>SUMIFS('Registre de reserves'!$X$2:$X$1178,'Registre de reserves'!$T$2:$T$1178,"SI",'Registre de reserves'!$I$2:$I$1178,'2025'!$A174,'Registre de reserves'!$B$2:$B$1178,'2025'!J$2,Tabla1[ANY],'2025'!$Z$150)</f>
        <v>0</v>
      </c>
      <c r="K174" s="21">
        <f t="shared" si="172"/>
        <v>0</v>
      </c>
      <c r="L174" s="23">
        <f>SUMIFS('Registre de reserves'!$X$2:$X$1178,'Registre de reserves'!$T$2:$T$1178,"SI",'Registre de reserves'!$I$2:$I$1178,'2025'!$A174,'Registre de reserves'!$B$2:$B$1178,'2025'!L$2,Tabla1[ANY],'2025'!$Z$150)</f>
        <v>0</v>
      </c>
      <c r="M174" s="21">
        <f t="shared" si="173"/>
        <v>0</v>
      </c>
      <c r="N174" s="23">
        <f>SUMIFS('Registre de reserves'!$X$2:$X$1178,'Registre de reserves'!$T$2:$T$1178,"SI",'Registre de reserves'!$I$2:$I$1178,'2025'!$A174,'Registre de reserves'!$B$2:$B$1178,'2025'!N$2,Tabla1[ANY],'2025'!$Z$150)</f>
        <v>0</v>
      </c>
      <c r="O174" s="21">
        <f t="shared" si="174"/>
        <v>0</v>
      </c>
      <c r="P174" s="23">
        <f>SUMIFS('Registre de reserves'!$X$2:$X$1178,'Registre de reserves'!$T$2:$T$1178,"SI",'Registre de reserves'!$I$2:$I$1178,'2025'!$A174,'Registre de reserves'!$B$2:$B$1178,'2025'!P$2,Tabla1[ANY],'2025'!$Z$150)</f>
        <v>0</v>
      </c>
      <c r="Q174" s="21">
        <f t="shared" si="175"/>
        <v>0</v>
      </c>
      <c r="R174" s="23">
        <f>SUMIFS('Registre de reserves'!$X$2:$X$1178,'Registre de reserves'!$T$2:$T$1178,"SI",'Registre de reserves'!$I$2:$I$1178,'2025'!$A174,'Registre de reserves'!$B$2:$B$1178,'2025'!R$2,Tabla1[ANY],'2025'!$Z$150)</f>
        <v>0</v>
      </c>
      <c r="S174" s="21">
        <f t="shared" si="176"/>
        <v>0</v>
      </c>
      <c r="T174" s="23">
        <f>SUMIFS('Registre de reserves'!$X$2:$X$1178,'Registre de reserves'!$T$2:$T$1178,"SI",'Registre de reserves'!$I$2:$I$1178,'2025'!$A174,'Registre de reserves'!$B$2:$B$1178,'2025'!T$2,Tabla1[ANY],'2025'!$Z$150)</f>
        <v>0</v>
      </c>
      <c r="U174" s="21">
        <f t="shared" si="177"/>
        <v>0</v>
      </c>
      <c r="V174" s="23">
        <f>SUMIFS('Registre de reserves'!$X$2:$X$1178,'Registre de reserves'!$T$2:$T$1178,"SI",'Registre de reserves'!$I$2:$I$1178,'2025'!$A174,'Registre de reserves'!$B$2:$B$1178,'2025'!V$2,Tabla1[ANY],'2025'!$Z$150)</f>
        <v>0</v>
      </c>
      <c r="W174" s="21">
        <f t="shared" si="178"/>
        <v>0</v>
      </c>
      <c r="X174" s="23">
        <f>SUMIFS('Registre de reserves'!$X$2:$X$1178,'Registre de reserves'!$T$2:$T$1178,"SI",'Registre de reserves'!$I$2:$I$1178,'2025'!$A174,'Registre de reserves'!$B$2:$B$1178,'2025'!X$2,Tabla1[ANY],'2025'!$Z$150)</f>
        <v>0</v>
      </c>
      <c r="Y174" s="21">
        <f t="shared" si="179"/>
        <v>0</v>
      </c>
      <c r="Z174" s="20">
        <f t="shared" si="168"/>
        <v>0</v>
      </c>
      <c r="AA174" s="21">
        <f t="shared" si="181"/>
        <v>0</v>
      </c>
    </row>
    <row r="175" spans="1:27" hidden="1" outlineLevel="1" x14ac:dyDescent="0.2">
      <c r="A175" s="8" t="s">
        <v>72</v>
      </c>
      <c r="B175" s="23">
        <f>SUMIFS('Registre de reserves'!$X$2:$X$1178,'Registre de reserves'!$T$2:$T$1178,"SI",'Registre de reserves'!$I$2:$I$1178,'2025'!$A175,'Registre de reserves'!$B$2:$B$1178,'2025'!B$2,Tabla1[ANY],'2025'!$Z$150)</f>
        <v>0</v>
      </c>
      <c r="C175" s="21">
        <f t="shared" si="180"/>
        <v>0</v>
      </c>
      <c r="D175" s="23">
        <f>SUMIFS('Registre de reserves'!$X$2:$X$1178,'Registre de reserves'!$T$2:$T$1178,"SI",'Registre de reserves'!$I$2:$I$1178,'2025'!$A175,'Registre de reserves'!$B$2:$B$1178,'2025'!D$2,Tabla1[ANY],'2025'!$Z$150)</f>
        <v>0</v>
      </c>
      <c r="E175" s="21">
        <f t="shared" si="180"/>
        <v>0</v>
      </c>
      <c r="F175" s="23">
        <f>SUMIFS('Registre de reserves'!$X$2:$X$1178,'Registre de reserves'!$T$2:$T$1178,"SI",'Registre de reserves'!$I$2:$I$1178,'2025'!$A175,'Registre de reserves'!$B$2:$B$1178,'2025'!F$2,Tabla1[ANY],'2025'!$Z$150)</f>
        <v>0</v>
      </c>
      <c r="G175" s="21">
        <f t="shared" si="170"/>
        <v>0</v>
      </c>
      <c r="H175" s="23">
        <f>SUMIFS('Registre de reserves'!$X$2:$X$1178,'Registre de reserves'!$T$2:$T$1178,"SI",'Registre de reserves'!$I$2:$I$1178,'2025'!$A175,'Registre de reserves'!$B$2:$B$1178,'2025'!H$2,Tabla1[ANY],'2025'!$Z$150)</f>
        <v>0</v>
      </c>
      <c r="I175" s="21">
        <f t="shared" si="171"/>
        <v>0</v>
      </c>
      <c r="J175" s="23">
        <f>SUMIFS('Registre de reserves'!$X$2:$X$1178,'Registre de reserves'!$T$2:$T$1178,"SI",'Registre de reserves'!$I$2:$I$1178,'2025'!$A175,'Registre de reserves'!$B$2:$B$1178,'2025'!J$2,Tabla1[ANY],'2025'!$Z$150)</f>
        <v>0</v>
      </c>
      <c r="K175" s="21">
        <f t="shared" si="172"/>
        <v>0</v>
      </c>
      <c r="L175" s="23">
        <f>SUMIFS('Registre de reserves'!$X$2:$X$1178,'Registre de reserves'!$T$2:$T$1178,"SI",'Registre de reserves'!$I$2:$I$1178,'2025'!$A175,'Registre de reserves'!$B$2:$B$1178,'2025'!L$2,Tabla1[ANY],'2025'!$Z$150)</f>
        <v>0</v>
      </c>
      <c r="M175" s="21">
        <f t="shared" si="173"/>
        <v>0</v>
      </c>
      <c r="N175" s="23">
        <f>SUMIFS('Registre de reserves'!$X$2:$X$1178,'Registre de reserves'!$T$2:$T$1178,"SI",'Registre de reserves'!$I$2:$I$1178,'2025'!$A175,'Registre de reserves'!$B$2:$B$1178,'2025'!N$2,Tabla1[ANY],'2025'!$Z$150)</f>
        <v>0</v>
      </c>
      <c r="O175" s="21">
        <f t="shared" si="174"/>
        <v>0</v>
      </c>
      <c r="P175" s="23">
        <f>SUMIFS('Registre de reserves'!$X$2:$X$1178,'Registre de reserves'!$T$2:$T$1178,"SI",'Registre de reserves'!$I$2:$I$1178,'2025'!$A175,'Registre de reserves'!$B$2:$B$1178,'2025'!P$2,Tabla1[ANY],'2025'!$Z$150)</f>
        <v>0</v>
      </c>
      <c r="Q175" s="21">
        <f t="shared" si="175"/>
        <v>0</v>
      </c>
      <c r="R175" s="23">
        <f>SUMIFS('Registre de reserves'!$X$2:$X$1178,'Registre de reserves'!$T$2:$T$1178,"SI",'Registre de reserves'!$I$2:$I$1178,'2025'!$A175,'Registre de reserves'!$B$2:$B$1178,'2025'!R$2,Tabla1[ANY],'2025'!$Z$150)</f>
        <v>0</v>
      </c>
      <c r="S175" s="21">
        <f t="shared" si="176"/>
        <v>0</v>
      </c>
      <c r="T175" s="23">
        <f>SUMIFS('Registre de reserves'!$X$2:$X$1178,'Registre de reserves'!$T$2:$T$1178,"SI",'Registre de reserves'!$I$2:$I$1178,'2025'!$A175,'Registre de reserves'!$B$2:$B$1178,'2025'!T$2,Tabla1[ANY],'2025'!$Z$150)</f>
        <v>0</v>
      </c>
      <c r="U175" s="21">
        <f t="shared" si="177"/>
        <v>0</v>
      </c>
      <c r="V175" s="23">
        <f>SUMIFS('Registre de reserves'!$X$2:$X$1178,'Registre de reserves'!$T$2:$T$1178,"SI",'Registre de reserves'!$I$2:$I$1178,'2025'!$A175,'Registre de reserves'!$B$2:$B$1178,'2025'!V$2,Tabla1[ANY],'2025'!$Z$150)</f>
        <v>0</v>
      </c>
      <c r="W175" s="21">
        <f t="shared" si="178"/>
        <v>0</v>
      </c>
      <c r="X175" s="23">
        <f>SUMIFS('Registre de reserves'!$X$2:$X$1178,'Registre de reserves'!$T$2:$T$1178,"SI",'Registre de reserves'!$I$2:$I$1178,'2025'!$A175,'Registre de reserves'!$B$2:$B$1178,'2025'!X$2,Tabla1[ANY],'2025'!$Z$150)</f>
        <v>0</v>
      </c>
      <c r="Y175" s="21">
        <f t="shared" si="179"/>
        <v>0</v>
      </c>
      <c r="Z175" s="20">
        <f t="shared" si="168"/>
        <v>0</v>
      </c>
      <c r="AA175" s="21">
        <f t="shared" si="181"/>
        <v>0</v>
      </c>
    </row>
    <row r="176" spans="1:27" hidden="1" outlineLevel="1" x14ac:dyDescent="0.2">
      <c r="A176" s="8" t="s">
        <v>69</v>
      </c>
      <c r="B176" s="23">
        <f>SUMIFS('Registre de reserves'!$X$2:$X$1178,'Registre de reserves'!$T$2:$T$1178,"SI",'Registre de reserves'!$I$2:$I$1178,'2025'!$A176,'Registre de reserves'!$B$2:$B$1178,'2025'!B$2,Tabla1[ANY],'2025'!$Z$150)</f>
        <v>120</v>
      </c>
      <c r="C176" s="21">
        <f t="shared" si="180"/>
        <v>0.66666666666666663</v>
      </c>
      <c r="D176" s="23">
        <f>SUMIFS('Registre de reserves'!$X$2:$X$1178,'Registre de reserves'!$T$2:$T$1178,"SI",'Registre de reserves'!$I$2:$I$1178,'2025'!$A176,'Registre de reserves'!$B$2:$B$1178,'2025'!D$2,Tabla1[ANY],'2025'!$Z$150)</f>
        <v>0</v>
      </c>
      <c r="E176" s="21">
        <f t="shared" si="180"/>
        <v>0</v>
      </c>
      <c r="F176" s="23">
        <f>SUMIFS('Registre de reserves'!$X$2:$X$1178,'Registre de reserves'!$T$2:$T$1178,"SI",'Registre de reserves'!$I$2:$I$1178,'2025'!$A176,'Registre de reserves'!$B$2:$B$1178,'2025'!F$2,Tabla1[ANY],'2025'!$Z$150)</f>
        <v>0</v>
      </c>
      <c r="G176" s="21">
        <f t="shared" si="170"/>
        <v>0</v>
      </c>
      <c r="H176" s="23">
        <f>SUMIFS('Registre de reserves'!$X$2:$X$1178,'Registre de reserves'!$T$2:$T$1178,"SI",'Registre de reserves'!$I$2:$I$1178,'2025'!$A176,'Registre de reserves'!$B$2:$B$1178,'2025'!H$2,Tabla1[ANY],'2025'!$Z$150)</f>
        <v>180</v>
      </c>
      <c r="I176" s="21">
        <f t="shared" si="171"/>
        <v>1</v>
      </c>
      <c r="J176" s="23">
        <f>SUMIFS('Registre de reserves'!$X$2:$X$1178,'Registre de reserves'!$T$2:$T$1178,"SI",'Registre de reserves'!$I$2:$I$1178,'2025'!$A176,'Registre de reserves'!$B$2:$B$1178,'2025'!J$2,Tabla1[ANY],'2025'!$Z$150)</f>
        <v>60</v>
      </c>
      <c r="K176" s="21">
        <f t="shared" si="172"/>
        <v>0.66666666666666663</v>
      </c>
      <c r="L176" s="23">
        <f>SUMIFS('Registre de reserves'!$X$2:$X$1178,'Registre de reserves'!$T$2:$T$1178,"SI",'Registre de reserves'!$I$2:$I$1178,'2025'!$A176,'Registre de reserves'!$B$2:$B$1178,'2025'!L$2,Tabla1[ANY],'2025'!$Z$150)</f>
        <v>0</v>
      </c>
      <c r="M176" s="21">
        <f t="shared" si="173"/>
        <v>0</v>
      </c>
      <c r="N176" s="23">
        <f>SUMIFS('Registre de reserves'!$X$2:$X$1178,'Registre de reserves'!$T$2:$T$1178,"SI",'Registre de reserves'!$I$2:$I$1178,'2025'!$A176,'Registre de reserves'!$B$2:$B$1178,'2025'!N$2,Tabla1[ANY],'2025'!$Z$150)</f>
        <v>0</v>
      </c>
      <c r="O176" s="21">
        <f t="shared" si="174"/>
        <v>0</v>
      </c>
      <c r="P176" s="23">
        <f>SUMIFS('Registre de reserves'!$X$2:$X$1178,'Registre de reserves'!$T$2:$T$1178,"SI",'Registre de reserves'!$I$2:$I$1178,'2025'!$A176,'Registre de reserves'!$B$2:$B$1178,'2025'!P$2,Tabla1[ANY],'2025'!$Z$150)</f>
        <v>0</v>
      </c>
      <c r="Q176" s="21">
        <f t="shared" si="175"/>
        <v>0</v>
      </c>
      <c r="R176" s="23">
        <f>SUMIFS('Registre de reserves'!$X$2:$X$1178,'Registre de reserves'!$T$2:$T$1178,"SI",'Registre de reserves'!$I$2:$I$1178,'2025'!$A176,'Registre de reserves'!$B$2:$B$1178,'2025'!R$2,Tabla1[ANY],'2025'!$Z$150)</f>
        <v>0</v>
      </c>
      <c r="S176" s="21">
        <f t="shared" si="176"/>
        <v>0</v>
      </c>
      <c r="T176" s="23">
        <f>SUMIFS('Registre de reserves'!$X$2:$X$1178,'Registre de reserves'!$T$2:$T$1178,"SI",'Registre de reserves'!$I$2:$I$1178,'2025'!$A176,'Registre de reserves'!$B$2:$B$1178,'2025'!T$2,Tabla1[ANY],'2025'!$Z$150)</f>
        <v>0</v>
      </c>
      <c r="U176" s="21">
        <f t="shared" si="177"/>
        <v>0</v>
      </c>
      <c r="V176" s="23">
        <f>SUMIFS('Registre de reserves'!$X$2:$X$1178,'Registre de reserves'!$T$2:$T$1178,"SI",'Registre de reserves'!$I$2:$I$1178,'2025'!$A176,'Registre de reserves'!$B$2:$B$1178,'2025'!V$2,Tabla1[ANY],'2025'!$Z$150)</f>
        <v>0</v>
      </c>
      <c r="W176" s="21">
        <f t="shared" si="178"/>
        <v>0</v>
      </c>
      <c r="X176" s="23">
        <f>SUMIFS('Registre de reserves'!$X$2:$X$1178,'Registre de reserves'!$T$2:$T$1178,"SI",'Registre de reserves'!$I$2:$I$1178,'2025'!$A176,'Registre de reserves'!$B$2:$B$1178,'2025'!X$2,Tabla1[ANY],'2025'!$Z$150)</f>
        <v>0</v>
      </c>
      <c r="Y176" s="21">
        <f t="shared" si="179"/>
        <v>0</v>
      </c>
      <c r="Z176" s="20">
        <f t="shared" si="168"/>
        <v>360</v>
      </c>
      <c r="AA176" s="21">
        <f t="shared" si="181"/>
        <v>0.50704225352112675</v>
      </c>
    </row>
    <row r="177" spans="1:27" hidden="1" outlineLevel="1" x14ac:dyDescent="0.2">
      <c r="A177" s="8" t="s">
        <v>70</v>
      </c>
      <c r="B177" s="23">
        <f>SUMIFS('Registre de reserves'!$X$2:$X$1178,'Registre de reserves'!$T$2:$T$1178,"SI",'Registre de reserves'!$I$2:$I$1178,'2025'!$A177,'Registre de reserves'!$B$2:$B$1178,'2025'!B$2,Tabla1[ANY],'2025'!$Z$150)</f>
        <v>0</v>
      </c>
      <c r="C177" s="21">
        <f t="shared" si="180"/>
        <v>0</v>
      </c>
      <c r="D177" s="23">
        <f>SUMIFS('Registre de reserves'!$X$2:$X$1178,'Registre de reserves'!$T$2:$T$1178,"SI",'Registre de reserves'!$I$2:$I$1178,'2025'!$A177,'Registre de reserves'!$B$2:$B$1178,'2025'!D$2,Tabla1[ANY],'2025'!$Z$150)</f>
        <v>0</v>
      </c>
      <c r="E177" s="21">
        <f t="shared" si="180"/>
        <v>0</v>
      </c>
      <c r="F177" s="23">
        <f>SUMIFS('Registre de reserves'!$X$2:$X$1178,'Registre de reserves'!$T$2:$T$1178,"SI",'Registre de reserves'!$I$2:$I$1178,'2025'!$A177,'Registre de reserves'!$B$2:$B$1178,'2025'!F$2,Tabla1[ANY],'2025'!$Z$150)</f>
        <v>0</v>
      </c>
      <c r="G177" s="21">
        <f t="shared" si="170"/>
        <v>0</v>
      </c>
      <c r="H177" s="23">
        <f>SUMIFS('Registre de reserves'!$X$2:$X$1178,'Registre de reserves'!$T$2:$T$1178,"SI",'Registre de reserves'!$I$2:$I$1178,'2025'!$A177,'Registre de reserves'!$B$2:$B$1178,'2025'!H$2,Tabla1[ANY],'2025'!$Z$150)</f>
        <v>0</v>
      </c>
      <c r="I177" s="21">
        <f t="shared" si="171"/>
        <v>0</v>
      </c>
      <c r="J177" s="23">
        <f>SUMIFS('Registre de reserves'!$X$2:$X$1178,'Registre de reserves'!$T$2:$T$1178,"SI",'Registre de reserves'!$I$2:$I$1178,'2025'!$A177,'Registre de reserves'!$B$2:$B$1178,'2025'!J$2,Tabla1[ANY],'2025'!$Z$150)</f>
        <v>0</v>
      </c>
      <c r="K177" s="21">
        <f t="shared" si="172"/>
        <v>0</v>
      </c>
      <c r="L177" s="23">
        <f>SUMIFS('Registre de reserves'!$X$2:$X$1178,'Registre de reserves'!$T$2:$T$1178,"SI",'Registre de reserves'!$I$2:$I$1178,'2025'!$A177,'Registre de reserves'!$B$2:$B$1178,'2025'!L$2,Tabla1[ANY],'2025'!$Z$150)</f>
        <v>120</v>
      </c>
      <c r="M177" s="21">
        <f t="shared" si="173"/>
        <v>1</v>
      </c>
      <c r="N177" s="23">
        <f>SUMIFS('Registre de reserves'!$X$2:$X$1178,'Registre de reserves'!$T$2:$T$1178,"SI",'Registre de reserves'!$I$2:$I$1178,'2025'!$A177,'Registre de reserves'!$B$2:$B$1178,'2025'!N$2,Tabla1[ANY],'2025'!$Z$150)</f>
        <v>0</v>
      </c>
      <c r="O177" s="21">
        <f t="shared" si="174"/>
        <v>0</v>
      </c>
      <c r="P177" s="23">
        <f>SUMIFS('Registre de reserves'!$X$2:$X$1178,'Registre de reserves'!$T$2:$T$1178,"SI",'Registre de reserves'!$I$2:$I$1178,'2025'!$A177,'Registre de reserves'!$B$2:$B$1178,'2025'!P$2,Tabla1[ANY],'2025'!$Z$150)</f>
        <v>0</v>
      </c>
      <c r="Q177" s="21">
        <f t="shared" si="175"/>
        <v>0</v>
      </c>
      <c r="R177" s="23">
        <f>SUMIFS('Registre de reserves'!$X$2:$X$1178,'Registre de reserves'!$T$2:$T$1178,"SI",'Registre de reserves'!$I$2:$I$1178,'2025'!$A177,'Registre de reserves'!$B$2:$B$1178,'2025'!R$2,Tabla1[ANY],'2025'!$Z$150)</f>
        <v>0</v>
      </c>
      <c r="S177" s="21">
        <f t="shared" si="176"/>
        <v>0</v>
      </c>
      <c r="T177" s="23">
        <f>SUMIFS('Registre de reserves'!$X$2:$X$1178,'Registre de reserves'!$T$2:$T$1178,"SI",'Registre de reserves'!$I$2:$I$1178,'2025'!$A177,'Registre de reserves'!$B$2:$B$1178,'2025'!T$2,Tabla1[ANY],'2025'!$Z$150)</f>
        <v>0</v>
      </c>
      <c r="U177" s="21">
        <f t="shared" si="177"/>
        <v>0</v>
      </c>
      <c r="V177" s="23">
        <f>SUMIFS('Registre de reserves'!$X$2:$X$1178,'Registre de reserves'!$T$2:$T$1178,"SI",'Registre de reserves'!$I$2:$I$1178,'2025'!$A177,'Registre de reserves'!$B$2:$B$1178,'2025'!V$2,Tabla1[ANY],'2025'!$Z$150)</f>
        <v>0</v>
      </c>
      <c r="W177" s="21">
        <f t="shared" si="178"/>
        <v>0</v>
      </c>
      <c r="X177" s="23">
        <f>SUMIFS('Registre de reserves'!$X$2:$X$1178,'Registre de reserves'!$T$2:$T$1178,"SI",'Registre de reserves'!$I$2:$I$1178,'2025'!$A177,'Registre de reserves'!$B$2:$B$1178,'2025'!X$2,Tabla1[ANY],'2025'!$Z$150)</f>
        <v>0</v>
      </c>
      <c r="Y177" s="21">
        <f t="shared" si="179"/>
        <v>0</v>
      </c>
      <c r="Z177" s="20">
        <f t="shared" si="168"/>
        <v>120</v>
      </c>
      <c r="AA177" s="21">
        <f t="shared" si="181"/>
        <v>0.16901408450704225</v>
      </c>
    </row>
    <row r="178" spans="1:27" hidden="1" outlineLevel="1" x14ac:dyDescent="0.2">
      <c r="A178" s="8" t="s">
        <v>73</v>
      </c>
      <c r="B178" s="23">
        <f>SUMIFS('Registre de reserves'!$X$2:$X$1178,'Registre de reserves'!$T$2:$T$1178,"SI",'Registre de reserves'!$I$2:$I$1178,'2025'!$A178,'Registre de reserves'!$B$2:$B$1178,'2025'!B$2,Tabla1[ANY],'2025'!$Z$150)</f>
        <v>0</v>
      </c>
      <c r="C178" s="21">
        <f t="shared" si="180"/>
        <v>0</v>
      </c>
      <c r="D178" s="23">
        <f>SUMIFS('Registre de reserves'!$X$2:$X$1178,'Registre de reserves'!$T$2:$T$1178,"SI",'Registre de reserves'!$I$2:$I$1178,'2025'!$A178,'Registre de reserves'!$B$2:$B$1178,'2025'!D$2,Tabla1[ANY],'2025'!$Z$150)</f>
        <v>0</v>
      </c>
      <c r="E178" s="21">
        <f t="shared" si="180"/>
        <v>0</v>
      </c>
      <c r="F178" s="23">
        <f>SUMIFS('Registre de reserves'!$X$2:$X$1178,'Registre de reserves'!$T$2:$T$1178,"SI",'Registre de reserves'!$I$2:$I$1178,'2025'!$A178,'Registre de reserves'!$B$2:$B$1178,'2025'!F$2,Tabla1[ANY],'2025'!$Z$150)</f>
        <v>0</v>
      </c>
      <c r="G178" s="21">
        <f t="shared" si="170"/>
        <v>0</v>
      </c>
      <c r="H178" s="23">
        <f>SUMIFS('Registre de reserves'!$X$2:$X$1178,'Registre de reserves'!$T$2:$T$1178,"SI",'Registre de reserves'!$I$2:$I$1178,'2025'!$A178,'Registre de reserves'!$B$2:$B$1178,'2025'!H$2,Tabla1[ANY],'2025'!$Z$150)</f>
        <v>0</v>
      </c>
      <c r="I178" s="21">
        <f t="shared" si="171"/>
        <v>0</v>
      </c>
      <c r="J178" s="23">
        <f>SUMIFS('Registre de reserves'!$X$2:$X$1178,'Registre de reserves'!$T$2:$T$1178,"SI",'Registre de reserves'!$I$2:$I$1178,'2025'!$A178,'Registre de reserves'!$B$2:$B$1178,'2025'!J$2,Tabla1[ANY],'2025'!$Z$150)</f>
        <v>0</v>
      </c>
      <c r="K178" s="21">
        <f t="shared" si="172"/>
        <v>0</v>
      </c>
      <c r="L178" s="23">
        <f>SUMIFS('Registre de reserves'!$X$2:$X$1178,'Registre de reserves'!$T$2:$T$1178,"SI",'Registre de reserves'!$I$2:$I$1178,'2025'!$A178,'Registre de reserves'!$B$2:$B$1178,'2025'!L$2,Tabla1[ANY],'2025'!$Z$150)</f>
        <v>0</v>
      </c>
      <c r="M178" s="21">
        <f t="shared" si="173"/>
        <v>0</v>
      </c>
      <c r="N178" s="23">
        <f>SUMIFS('Registre de reserves'!$X$2:$X$1178,'Registre de reserves'!$T$2:$T$1178,"SI",'Registre de reserves'!$I$2:$I$1178,'2025'!$A178,'Registre de reserves'!$B$2:$B$1178,'2025'!N$2,Tabla1[ANY],'2025'!$Z$150)</f>
        <v>0</v>
      </c>
      <c r="O178" s="21">
        <f t="shared" si="174"/>
        <v>0</v>
      </c>
      <c r="P178" s="23">
        <f>SUMIFS('Registre de reserves'!$X$2:$X$1178,'Registre de reserves'!$T$2:$T$1178,"SI",'Registre de reserves'!$I$2:$I$1178,'2025'!$A178,'Registre de reserves'!$B$2:$B$1178,'2025'!P$2,Tabla1[ANY],'2025'!$Z$150)</f>
        <v>0</v>
      </c>
      <c r="Q178" s="21">
        <f t="shared" si="175"/>
        <v>0</v>
      </c>
      <c r="R178" s="23">
        <f>SUMIFS('Registre de reserves'!$X$2:$X$1178,'Registre de reserves'!$T$2:$T$1178,"SI",'Registre de reserves'!$I$2:$I$1178,'2025'!$A178,'Registre de reserves'!$B$2:$B$1178,'2025'!R$2,Tabla1[ANY],'2025'!$Z$150)</f>
        <v>0</v>
      </c>
      <c r="S178" s="21">
        <f t="shared" si="176"/>
        <v>0</v>
      </c>
      <c r="T178" s="23">
        <f>SUMIFS('Registre de reserves'!$X$2:$X$1178,'Registre de reserves'!$T$2:$T$1178,"SI",'Registre de reserves'!$I$2:$I$1178,'2025'!$A178,'Registre de reserves'!$B$2:$B$1178,'2025'!T$2,Tabla1[ANY],'2025'!$Z$150)</f>
        <v>0</v>
      </c>
      <c r="U178" s="21">
        <f t="shared" si="177"/>
        <v>0</v>
      </c>
      <c r="V178" s="23">
        <f>SUMIFS('Registre de reserves'!$X$2:$X$1178,'Registre de reserves'!$T$2:$T$1178,"SI",'Registre de reserves'!$I$2:$I$1178,'2025'!$A178,'Registre de reserves'!$B$2:$B$1178,'2025'!V$2,Tabla1[ANY],'2025'!$Z$150)</f>
        <v>0</v>
      </c>
      <c r="W178" s="21">
        <f t="shared" si="178"/>
        <v>0</v>
      </c>
      <c r="X178" s="23">
        <f>SUMIFS('Registre de reserves'!$X$2:$X$1178,'Registre de reserves'!$T$2:$T$1178,"SI",'Registre de reserves'!$I$2:$I$1178,'2025'!$A178,'Registre de reserves'!$B$2:$B$1178,'2025'!X$2,Tabla1[ANY],'2025'!$Z$150)</f>
        <v>0</v>
      </c>
      <c r="Y178" s="21">
        <f t="shared" si="179"/>
        <v>0</v>
      </c>
      <c r="Z178" s="20">
        <f t="shared" si="168"/>
        <v>0</v>
      </c>
      <c r="AA178" s="21">
        <f t="shared" si="181"/>
        <v>0</v>
      </c>
    </row>
    <row r="179" spans="1:27" collapsed="1" x14ac:dyDescent="0.2">
      <c r="A179" s="33" t="s">
        <v>77</v>
      </c>
      <c r="B179" s="22">
        <f>SUM(B180:B187)</f>
        <v>0</v>
      </c>
      <c r="C179" s="19">
        <f>IF((B$161+B$179)=0,0,B179/(B$161+B$179))</f>
        <v>0</v>
      </c>
      <c r="D179" s="22">
        <f>SUM(D180:D187)</f>
        <v>0</v>
      </c>
      <c r="E179" s="19">
        <f>IF((D$161+D$179)=0,0,D179/(D$161+D$179))</f>
        <v>0</v>
      </c>
      <c r="F179" s="22">
        <f>SUM(F180:F187)</f>
        <v>0</v>
      </c>
      <c r="G179" s="19">
        <f>IF((F$161+F$179)=0,0,F179/(F$161+F$179))</f>
        <v>0</v>
      </c>
      <c r="H179" s="22">
        <f>SUM(H180:H187)</f>
        <v>0</v>
      </c>
      <c r="I179" s="19">
        <f>IF((H$161+H$179)=0,0,H179/(H$161+H$179))</f>
        <v>0</v>
      </c>
      <c r="J179" s="22">
        <f>SUM(J180:J187)</f>
        <v>0</v>
      </c>
      <c r="K179" s="19">
        <f>IF((J$161+J$179)=0,0,J179/(J$161+J$179))</f>
        <v>0</v>
      </c>
      <c r="L179" s="22">
        <f>SUM(L180:L187)</f>
        <v>0</v>
      </c>
      <c r="M179" s="19">
        <f>IF((L$161+L$179)=0,0,L179/(L$161+L$179))</f>
        <v>0</v>
      </c>
      <c r="N179" s="22">
        <f>SUM(N180:N187)</f>
        <v>120</v>
      </c>
      <c r="O179" s="19">
        <f>IF((N$161+N$179)=0,0,N179/(N$161+N$179))</f>
        <v>1</v>
      </c>
      <c r="P179" s="22">
        <f>SUM(P180:P187)</f>
        <v>0</v>
      </c>
      <c r="Q179" s="19">
        <f>IF((P$161+P$179)=0,0,P179/(P$161+P$179))</f>
        <v>0</v>
      </c>
      <c r="R179" s="22">
        <f>SUM(R180:R187)</f>
        <v>0</v>
      </c>
      <c r="S179" s="19">
        <f>IF((R$161+R$179)=0,0,R179/(R$161+R$179))</f>
        <v>0</v>
      </c>
      <c r="T179" s="22">
        <f>SUM(T180:T187)</f>
        <v>0</v>
      </c>
      <c r="U179" s="19">
        <f>IF((T$161+T$179)=0,0,T179/(T$161+T$179))</f>
        <v>0</v>
      </c>
      <c r="V179" s="22">
        <f>SUM(V180:V187)</f>
        <v>0</v>
      </c>
      <c r="W179" s="19">
        <f>IF((V$161+V$179)=0,0,V179/(V$161+V$179))</f>
        <v>0</v>
      </c>
      <c r="X179" s="22">
        <f>SUM(X180:X187)</f>
        <v>0</v>
      </c>
      <c r="Y179" s="19">
        <f>IF((X$161+X$179)=0,0,X179/(X$161+X$179))</f>
        <v>0</v>
      </c>
      <c r="Z179" s="22">
        <f>SUM(Z180:Z187)</f>
        <v>120</v>
      </c>
      <c r="AA179" s="19">
        <f>IF((Z$31+Z$13)=0,0,Z179/(Z$31+Z$13))</f>
        <v>2.4948024948024949E-2</v>
      </c>
    </row>
    <row r="180" spans="1:27" hidden="1" outlineLevel="1" x14ac:dyDescent="0.2">
      <c r="A180" s="8" t="s">
        <v>67</v>
      </c>
      <c r="B180" s="23">
        <f>SUMIFS('Registre de reserves'!$X$2:$X$1178,'Registre de reserves'!$T$2:$T$1178,"NO",'Registre de reserves'!$I$2:$I$1178,'2025'!$A180,'Registre de reserves'!$B$2:$B$1178,'2025'!B$2,Tabla1[ANY],'2025'!$Z$150)</f>
        <v>0</v>
      </c>
      <c r="C180" s="21">
        <f>IF(B$179=0,0,B180/B$179)</f>
        <v>0</v>
      </c>
      <c r="D180" s="23">
        <f>SUMIFS('Registre de reserves'!$X$2:$X$1178,'Registre de reserves'!$T$2:$T$1178,"NO",'Registre de reserves'!$I$2:$I$1178,'2025'!$A180,'Registre de reserves'!$B$2:$B$1178,'2025'!D$2,Tabla1[ANY],'2025'!$Z$150)</f>
        <v>0</v>
      </c>
      <c r="E180" s="21">
        <f>IF(D$179=0,0,D180/D$179)</f>
        <v>0</v>
      </c>
      <c r="F180" s="23">
        <f>SUMIFS('Registre de reserves'!$X$2:$X$1178,'Registre de reserves'!$T$2:$T$1178,"NO",'Registre de reserves'!$I$2:$I$1178,'2025'!$A180,'Registre de reserves'!$B$2:$B$1178,'2025'!F$2,Tabla1[ANY],'2025'!$Z$150)</f>
        <v>0</v>
      </c>
      <c r="G180" s="21">
        <f t="shared" ref="G180:G187" si="182">IF(F$179=0,0,F180/F$179)</f>
        <v>0</v>
      </c>
      <c r="H180" s="23">
        <f>SUMIFS('Registre de reserves'!$X$2:$X$1178,'Registre de reserves'!$T$2:$T$1178,"NO",'Registre de reserves'!$I$2:$I$1178,'2025'!$A180,'Registre de reserves'!$B$2:$B$1178,'2025'!H$2,Tabla1[ANY],'2025'!$Z$150)</f>
        <v>0</v>
      </c>
      <c r="I180" s="21">
        <f t="shared" ref="I180:I187" si="183">IF(H$179=0,0,H180/H$179)</f>
        <v>0</v>
      </c>
      <c r="J180" s="23">
        <f>SUMIFS('Registre de reserves'!$X$2:$X$1178,'Registre de reserves'!$T$2:$T$1178,"NO",'Registre de reserves'!$I$2:$I$1178,'2025'!$A180,'Registre de reserves'!$B$2:$B$1178,'2025'!J$2,Tabla1[ANY],'2025'!$Z$150)</f>
        <v>0</v>
      </c>
      <c r="K180" s="21">
        <f t="shared" ref="K180:K187" si="184">IF(J$179=0,0,J180/J$179)</f>
        <v>0</v>
      </c>
      <c r="L180" s="23">
        <f>SUMIFS('Registre de reserves'!$X$2:$X$1178,'Registre de reserves'!$T$2:$T$1178,"NO",'Registre de reserves'!$I$2:$I$1178,'2025'!$A180,'Registre de reserves'!$B$2:$B$1178,'2025'!L$2,Tabla1[ANY],'2025'!$Z$150)</f>
        <v>0</v>
      </c>
      <c r="M180" s="21">
        <f t="shared" ref="M180:M187" si="185">IF(L$179=0,0,L180/L$179)</f>
        <v>0</v>
      </c>
      <c r="N180" s="23">
        <f>SUMIFS('Registre de reserves'!$X$2:$X$1178,'Registre de reserves'!$T$2:$T$1178,"NO",'Registre de reserves'!$I$2:$I$1178,'2025'!$A180,'Registre de reserves'!$B$2:$B$1178,'2025'!N$2,Tabla1[ANY],'2025'!$Z$150)</f>
        <v>0</v>
      </c>
      <c r="O180" s="21">
        <f t="shared" ref="O180:O187" si="186">IF(N$179=0,0,N180/N$179)</f>
        <v>0</v>
      </c>
      <c r="P180" s="23">
        <f>SUMIFS('Registre de reserves'!$X$2:$X$1178,'Registre de reserves'!$T$2:$T$1178,"NO",'Registre de reserves'!$I$2:$I$1178,'2025'!$A180,'Registre de reserves'!$B$2:$B$1178,'2025'!P$2,Tabla1[ANY],'2025'!$Z$150)</f>
        <v>0</v>
      </c>
      <c r="Q180" s="21">
        <f t="shared" ref="Q180:Q187" si="187">IF(P$179=0,0,P180/P$179)</f>
        <v>0</v>
      </c>
      <c r="R180" s="23">
        <f>SUMIFS('Registre de reserves'!$X$2:$X$1178,'Registre de reserves'!$T$2:$T$1178,"NO",'Registre de reserves'!$I$2:$I$1178,'2025'!$A180,'Registre de reserves'!$B$2:$B$1178,'2025'!R$2,Tabla1[ANY],'2025'!$Z$150)</f>
        <v>0</v>
      </c>
      <c r="S180" s="21">
        <f t="shared" ref="S180:S187" si="188">IF(R$179=0,0,R180/R$179)</f>
        <v>0</v>
      </c>
      <c r="T180" s="23">
        <f>SUMIFS('Registre de reserves'!$X$2:$X$1178,'Registre de reserves'!$T$2:$T$1178,"NO",'Registre de reserves'!$I$2:$I$1178,'2025'!$A180,'Registre de reserves'!$B$2:$B$1178,'2025'!T$2,Tabla1[ANY],'2025'!$Z$150)</f>
        <v>0</v>
      </c>
      <c r="U180" s="21">
        <f t="shared" ref="U180:U187" si="189">IF(T$179=0,0,T180/T$179)</f>
        <v>0</v>
      </c>
      <c r="V180" s="23">
        <f>SUMIFS('Registre de reserves'!$X$2:$X$1178,'Registre de reserves'!$T$2:$T$1178,"NO",'Registre de reserves'!$I$2:$I$1178,'2025'!$A180,'Registre de reserves'!$B$2:$B$1178,'2025'!V$2,Tabla1[ANY],'2025'!$Z$150)</f>
        <v>0</v>
      </c>
      <c r="W180" s="21">
        <f t="shared" ref="W180:W187" si="190">IF(V$179=0,0,V180/V$179)</f>
        <v>0</v>
      </c>
      <c r="X180" s="23">
        <f>SUMIFS('Registre de reserves'!$X$2:$X$1178,'Registre de reserves'!$T$2:$T$1178,"NO",'Registre de reserves'!$I$2:$I$1178,'2025'!$A180,'Registre de reserves'!$B$2:$B$1178,'2025'!X$2,Tabla1[ANY],'2025'!$Z$150)</f>
        <v>0</v>
      </c>
      <c r="Y180" s="21">
        <f t="shared" ref="Y180:Y187" si="191">IF(X$179=0,0,X180/X$179)</f>
        <v>0</v>
      </c>
      <c r="Z180" s="20">
        <f t="shared" si="168"/>
        <v>0</v>
      </c>
      <c r="AA180" s="21">
        <f>IF(Z$31=0,0,Z180/Z$31)</f>
        <v>0</v>
      </c>
    </row>
    <row r="181" spans="1:27" hidden="1" outlineLevel="1" x14ac:dyDescent="0.2">
      <c r="A181" s="8" t="s">
        <v>68</v>
      </c>
      <c r="B181" s="23">
        <f>SUMIFS('Registre de reserves'!$X$2:$X$1178,'Registre de reserves'!$T$2:$T$1178,"NO",'Registre de reserves'!$I$2:$I$1178,'2025'!$A181,'Registre de reserves'!$B$2:$B$1178,'2025'!B$2,Tabla1[ANY],'2025'!$Z$150)</f>
        <v>0</v>
      </c>
      <c r="C181" s="21">
        <f t="shared" ref="C181:E187" si="192">IF(B$179=0,0,B181/B$179)</f>
        <v>0</v>
      </c>
      <c r="D181" s="23">
        <f>SUMIFS('Registre de reserves'!$X$2:$X$1178,'Registre de reserves'!$T$2:$T$1178,"NO",'Registre de reserves'!$I$2:$I$1178,'2025'!$A181,'Registre de reserves'!$B$2:$B$1178,'2025'!D$2,Tabla1[ANY],'2025'!$Z$150)</f>
        <v>0</v>
      </c>
      <c r="E181" s="21">
        <f t="shared" si="192"/>
        <v>0</v>
      </c>
      <c r="F181" s="23">
        <f>SUMIFS('Registre de reserves'!$X$2:$X$1178,'Registre de reserves'!$T$2:$T$1178,"NO",'Registre de reserves'!$I$2:$I$1178,'2025'!$A181,'Registre de reserves'!$B$2:$B$1178,'2025'!F$2,Tabla1[ANY],'2025'!$Z$150)</f>
        <v>0</v>
      </c>
      <c r="G181" s="21">
        <f t="shared" si="182"/>
        <v>0</v>
      </c>
      <c r="H181" s="23">
        <f>SUMIFS('Registre de reserves'!$X$2:$X$1178,'Registre de reserves'!$T$2:$T$1178,"NO",'Registre de reserves'!$I$2:$I$1178,'2025'!$A181,'Registre de reserves'!$B$2:$B$1178,'2025'!H$2,Tabla1[ANY],'2025'!$Z$150)</f>
        <v>0</v>
      </c>
      <c r="I181" s="21">
        <f t="shared" si="183"/>
        <v>0</v>
      </c>
      <c r="J181" s="23">
        <f>SUMIFS('Registre de reserves'!$X$2:$X$1178,'Registre de reserves'!$T$2:$T$1178,"NO",'Registre de reserves'!$I$2:$I$1178,'2025'!$A181,'Registre de reserves'!$B$2:$B$1178,'2025'!J$2,Tabla1[ANY],'2025'!$Z$150)</f>
        <v>0</v>
      </c>
      <c r="K181" s="21">
        <f t="shared" si="184"/>
        <v>0</v>
      </c>
      <c r="L181" s="23">
        <f>SUMIFS('Registre de reserves'!$X$2:$X$1178,'Registre de reserves'!$T$2:$T$1178,"NO",'Registre de reserves'!$I$2:$I$1178,'2025'!$A181,'Registre de reserves'!$B$2:$B$1178,'2025'!L$2,Tabla1[ANY],'2025'!$Z$150)</f>
        <v>0</v>
      </c>
      <c r="M181" s="21">
        <f t="shared" si="185"/>
        <v>0</v>
      </c>
      <c r="N181" s="23">
        <f>SUMIFS('Registre de reserves'!$X$2:$X$1178,'Registre de reserves'!$T$2:$T$1178,"NO",'Registre de reserves'!$I$2:$I$1178,'2025'!$A181,'Registre de reserves'!$B$2:$B$1178,'2025'!N$2,Tabla1[ANY],'2025'!$Z$150)</f>
        <v>0</v>
      </c>
      <c r="O181" s="21">
        <f t="shared" si="186"/>
        <v>0</v>
      </c>
      <c r="P181" s="23">
        <f>SUMIFS('Registre de reserves'!$X$2:$X$1178,'Registre de reserves'!$T$2:$T$1178,"NO",'Registre de reserves'!$I$2:$I$1178,'2025'!$A181,'Registre de reserves'!$B$2:$B$1178,'2025'!P$2,Tabla1[ANY],'2025'!$Z$150)</f>
        <v>0</v>
      </c>
      <c r="Q181" s="21">
        <f t="shared" si="187"/>
        <v>0</v>
      </c>
      <c r="R181" s="23">
        <f>SUMIFS('Registre de reserves'!$X$2:$X$1178,'Registre de reserves'!$T$2:$T$1178,"NO",'Registre de reserves'!$I$2:$I$1178,'2025'!$A181,'Registre de reserves'!$B$2:$B$1178,'2025'!R$2,Tabla1[ANY],'2025'!$Z$150)</f>
        <v>0</v>
      </c>
      <c r="S181" s="21">
        <f t="shared" si="188"/>
        <v>0</v>
      </c>
      <c r="T181" s="23">
        <f>SUMIFS('Registre de reserves'!$X$2:$X$1178,'Registre de reserves'!$T$2:$T$1178,"NO",'Registre de reserves'!$I$2:$I$1178,'2025'!$A181,'Registre de reserves'!$B$2:$B$1178,'2025'!T$2,Tabla1[ANY],'2025'!$Z$150)</f>
        <v>0</v>
      </c>
      <c r="U181" s="21">
        <f t="shared" si="189"/>
        <v>0</v>
      </c>
      <c r="V181" s="23">
        <f>SUMIFS('Registre de reserves'!$X$2:$X$1178,'Registre de reserves'!$T$2:$T$1178,"NO",'Registre de reserves'!$I$2:$I$1178,'2025'!$A181,'Registre de reserves'!$B$2:$B$1178,'2025'!V$2,Tabla1[ANY],'2025'!$Z$150)</f>
        <v>0</v>
      </c>
      <c r="W181" s="21">
        <f t="shared" si="190"/>
        <v>0</v>
      </c>
      <c r="X181" s="23">
        <f>SUMIFS('Registre de reserves'!$X$2:$X$1178,'Registre de reserves'!$T$2:$T$1178,"NO",'Registre de reserves'!$I$2:$I$1178,'2025'!$A181,'Registre de reserves'!$B$2:$B$1178,'2025'!X$2,Tabla1[ANY],'2025'!$Z$150)</f>
        <v>0</v>
      </c>
      <c r="Y181" s="21">
        <f t="shared" si="191"/>
        <v>0</v>
      </c>
      <c r="Z181" s="20">
        <f t="shared" si="168"/>
        <v>0</v>
      </c>
      <c r="AA181" s="21">
        <f t="shared" ref="AA181:AA187" si="193">IF(Z$31=0,0,Z181/Z$31)</f>
        <v>0</v>
      </c>
    </row>
    <row r="182" spans="1:27" hidden="1" outlineLevel="1" x14ac:dyDescent="0.2">
      <c r="A182" s="8" t="s">
        <v>4</v>
      </c>
      <c r="B182" s="23">
        <f>SUMIFS('Registre de reserves'!$X$2:$X$1178,'Registre de reserves'!$T$2:$T$1178,"NO",'Registre de reserves'!$I$2:$I$1178,'2025'!$A182,'Registre de reserves'!$B$2:$B$1178,'2025'!B$2,Tabla1[ANY],'2025'!$Z$150)</f>
        <v>0</v>
      </c>
      <c r="C182" s="21">
        <f t="shared" si="192"/>
        <v>0</v>
      </c>
      <c r="D182" s="23">
        <f>SUMIFS('Registre de reserves'!$X$2:$X$1178,'Registre de reserves'!$T$2:$T$1178,"NO",'Registre de reserves'!$I$2:$I$1178,'2025'!$A182,'Registre de reserves'!$B$2:$B$1178,'2025'!D$2,Tabla1[ANY],'2025'!$Z$150)</f>
        <v>0</v>
      </c>
      <c r="E182" s="21">
        <f t="shared" si="192"/>
        <v>0</v>
      </c>
      <c r="F182" s="23">
        <f>SUMIFS('Registre de reserves'!$X$2:$X$1178,'Registre de reserves'!$T$2:$T$1178,"NO",'Registre de reserves'!$I$2:$I$1178,'2025'!$A182,'Registre de reserves'!$B$2:$B$1178,'2025'!F$2,Tabla1[ANY],'2025'!$Z$150)</f>
        <v>0</v>
      </c>
      <c r="G182" s="21">
        <f t="shared" si="182"/>
        <v>0</v>
      </c>
      <c r="H182" s="23">
        <f>SUMIFS('Registre de reserves'!$X$2:$X$1178,'Registre de reserves'!$T$2:$T$1178,"NO",'Registre de reserves'!$I$2:$I$1178,'2025'!$A182,'Registre de reserves'!$B$2:$B$1178,'2025'!H$2,Tabla1[ANY],'2025'!$Z$150)</f>
        <v>0</v>
      </c>
      <c r="I182" s="21">
        <f t="shared" si="183"/>
        <v>0</v>
      </c>
      <c r="J182" s="23">
        <f>SUMIFS('Registre de reserves'!$X$2:$X$1178,'Registre de reserves'!$T$2:$T$1178,"NO",'Registre de reserves'!$I$2:$I$1178,'2025'!$A182,'Registre de reserves'!$B$2:$B$1178,'2025'!J$2,Tabla1[ANY],'2025'!$Z$150)</f>
        <v>0</v>
      </c>
      <c r="K182" s="21">
        <f t="shared" si="184"/>
        <v>0</v>
      </c>
      <c r="L182" s="23">
        <f>SUMIFS('Registre de reserves'!$X$2:$X$1178,'Registre de reserves'!$T$2:$T$1178,"NO",'Registre de reserves'!$I$2:$I$1178,'2025'!$A182,'Registre de reserves'!$B$2:$B$1178,'2025'!L$2,Tabla1[ANY],'2025'!$Z$150)</f>
        <v>0</v>
      </c>
      <c r="M182" s="21">
        <f t="shared" si="185"/>
        <v>0</v>
      </c>
      <c r="N182" s="23">
        <f>SUMIFS('Registre de reserves'!$X$2:$X$1178,'Registre de reserves'!$T$2:$T$1178,"NO",'Registre de reserves'!$I$2:$I$1178,'2025'!$A182,'Registre de reserves'!$B$2:$B$1178,'2025'!N$2,Tabla1[ANY],'2025'!$Z$150)</f>
        <v>0</v>
      </c>
      <c r="O182" s="21">
        <f t="shared" si="186"/>
        <v>0</v>
      </c>
      <c r="P182" s="23">
        <f>SUMIFS('Registre de reserves'!$X$2:$X$1178,'Registre de reserves'!$T$2:$T$1178,"NO",'Registre de reserves'!$I$2:$I$1178,'2025'!$A182,'Registre de reserves'!$B$2:$B$1178,'2025'!P$2,Tabla1[ANY],'2025'!$Z$150)</f>
        <v>0</v>
      </c>
      <c r="Q182" s="21">
        <f t="shared" si="187"/>
        <v>0</v>
      </c>
      <c r="R182" s="23">
        <f>SUMIFS('Registre de reserves'!$X$2:$X$1178,'Registre de reserves'!$T$2:$T$1178,"NO",'Registre de reserves'!$I$2:$I$1178,'2025'!$A182,'Registre de reserves'!$B$2:$B$1178,'2025'!R$2,Tabla1[ANY],'2025'!$Z$150)</f>
        <v>0</v>
      </c>
      <c r="S182" s="21">
        <f t="shared" si="188"/>
        <v>0</v>
      </c>
      <c r="T182" s="23">
        <f>SUMIFS('Registre de reserves'!$X$2:$X$1178,'Registre de reserves'!$T$2:$T$1178,"NO",'Registre de reserves'!$I$2:$I$1178,'2025'!$A182,'Registre de reserves'!$B$2:$B$1178,'2025'!T$2,Tabla1[ANY],'2025'!$Z$150)</f>
        <v>0</v>
      </c>
      <c r="U182" s="21">
        <f t="shared" si="189"/>
        <v>0</v>
      </c>
      <c r="V182" s="23">
        <f>SUMIFS('Registre de reserves'!$X$2:$X$1178,'Registre de reserves'!$T$2:$T$1178,"NO",'Registre de reserves'!$I$2:$I$1178,'2025'!$A182,'Registre de reserves'!$B$2:$B$1178,'2025'!V$2,Tabla1[ANY],'2025'!$Z$150)</f>
        <v>0</v>
      </c>
      <c r="W182" s="21">
        <f t="shared" si="190"/>
        <v>0</v>
      </c>
      <c r="X182" s="23">
        <f>SUMIFS('Registre de reserves'!$X$2:$X$1178,'Registre de reserves'!$T$2:$T$1178,"NO",'Registre de reserves'!$I$2:$I$1178,'2025'!$A182,'Registre de reserves'!$B$2:$B$1178,'2025'!X$2,Tabla1[ANY],'2025'!$Z$150)</f>
        <v>0</v>
      </c>
      <c r="Y182" s="21">
        <f t="shared" si="191"/>
        <v>0</v>
      </c>
      <c r="Z182" s="20">
        <f t="shared" si="168"/>
        <v>0</v>
      </c>
      <c r="AA182" s="21">
        <f t="shared" si="193"/>
        <v>0</v>
      </c>
    </row>
    <row r="183" spans="1:27" hidden="1" outlineLevel="1" x14ac:dyDescent="0.2">
      <c r="A183" s="8" t="s">
        <v>71</v>
      </c>
      <c r="B183" s="23">
        <f>SUMIFS('Registre de reserves'!$X$2:$X$1178,'Registre de reserves'!$T$2:$T$1178,"NO",'Registre de reserves'!$I$2:$I$1178,'2025'!$A183,'Registre de reserves'!$B$2:$B$1178,'2025'!B$2,Tabla1[ANY],'2025'!$Z$150)</f>
        <v>0</v>
      </c>
      <c r="C183" s="21">
        <f t="shared" si="192"/>
        <v>0</v>
      </c>
      <c r="D183" s="23">
        <f>SUMIFS('Registre de reserves'!$X$2:$X$1178,'Registre de reserves'!$T$2:$T$1178,"NO",'Registre de reserves'!$I$2:$I$1178,'2025'!$A183,'Registre de reserves'!$B$2:$B$1178,'2025'!D$2,Tabla1[ANY],'2025'!$Z$150)</f>
        <v>0</v>
      </c>
      <c r="E183" s="21">
        <f t="shared" si="192"/>
        <v>0</v>
      </c>
      <c r="F183" s="23">
        <f>SUMIFS('Registre de reserves'!$X$2:$X$1178,'Registre de reserves'!$T$2:$T$1178,"NO",'Registre de reserves'!$I$2:$I$1178,'2025'!$A183,'Registre de reserves'!$B$2:$B$1178,'2025'!F$2,Tabla1[ANY],'2025'!$Z$150)</f>
        <v>0</v>
      </c>
      <c r="G183" s="21">
        <f t="shared" si="182"/>
        <v>0</v>
      </c>
      <c r="H183" s="23">
        <f>SUMIFS('Registre de reserves'!$X$2:$X$1178,'Registre de reserves'!$T$2:$T$1178,"NO",'Registre de reserves'!$I$2:$I$1178,'2025'!$A183,'Registre de reserves'!$B$2:$B$1178,'2025'!H$2,Tabla1[ANY],'2025'!$Z$150)</f>
        <v>0</v>
      </c>
      <c r="I183" s="21">
        <f t="shared" si="183"/>
        <v>0</v>
      </c>
      <c r="J183" s="23">
        <f>SUMIFS('Registre de reserves'!$X$2:$X$1178,'Registre de reserves'!$T$2:$T$1178,"NO",'Registre de reserves'!$I$2:$I$1178,'2025'!$A183,'Registre de reserves'!$B$2:$B$1178,'2025'!J$2,Tabla1[ANY],'2025'!$Z$150)</f>
        <v>0</v>
      </c>
      <c r="K183" s="21">
        <f t="shared" si="184"/>
        <v>0</v>
      </c>
      <c r="L183" s="23">
        <f>SUMIFS('Registre de reserves'!$X$2:$X$1178,'Registre de reserves'!$T$2:$T$1178,"NO",'Registre de reserves'!$I$2:$I$1178,'2025'!$A183,'Registre de reserves'!$B$2:$B$1178,'2025'!L$2,Tabla1[ANY],'2025'!$Z$150)</f>
        <v>0</v>
      </c>
      <c r="M183" s="21">
        <f t="shared" si="185"/>
        <v>0</v>
      </c>
      <c r="N183" s="23">
        <f>SUMIFS('Registre de reserves'!$X$2:$X$1178,'Registre de reserves'!$T$2:$T$1178,"NO",'Registre de reserves'!$I$2:$I$1178,'2025'!$A183,'Registre de reserves'!$B$2:$B$1178,'2025'!N$2,Tabla1[ANY],'2025'!$Z$150)</f>
        <v>0</v>
      </c>
      <c r="O183" s="21">
        <f t="shared" si="186"/>
        <v>0</v>
      </c>
      <c r="P183" s="23">
        <f>SUMIFS('Registre de reserves'!$X$2:$X$1178,'Registre de reserves'!$T$2:$T$1178,"NO",'Registre de reserves'!$I$2:$I$1178,'2025'!$A183,'Registre de reserves'!$B$2:$B$1178,'2025'!P$2,Tabla1[ANY],'2025'!$Z$150)</f>
        <v>0</v>
      </c>
      <c r="Q183" s="21">
        <f t="shared" si="187"/>
        <v>0</v>
      </c>
      <c r="R183" s="23">
        <f>SUMIFS('Registre de reserves'!$X$2:$X$1178,'Registre de reserves'!$T$2:$T$1178,"NO",'Registre de reserves'!$I$2:$I$1178,'2025'!$A183,'Registre de reserves'!$B$2:$B$1178,'2025'!R$2,Tabla1[ANY],'2025'!$Z$150)</f>
        <v>0</v>
      </c>
      <c r="S183" s="21">
        <f t="shared" si="188"/>
        <v>0</v>
      </c>
      <c r="T183" s="23">
        <f>SUMIFS('Registre de reserves'!$X$2:$X$1178,'Registre de reserves'!$T$2:$T$1178,"NO",'Registre de reserves'!$I$2:$I$1178,'2025'!$A183,'Registre de reserves'!$B$2:$B$1178,'2025'!T$2,Tabla1[ANY],'2025'!$Z$150)</f>
        <v>0</v>
      </c>
      <c r="U183" s="21">
        <f t="shared" si="189"/>
        <v>0</v>
      </c>
      <c r="V183" s="23">
        <f>SUMIFS('Registre de reserves'!$X$2:$X$1178,'Registre de reserves'!$T$2:$T$1178,"NO",'Registre de reserves'!$I$2:$I$1178,'2025'!$A183,'Registre de reserves'!$B$2:$B$1178,'2025'!V$2,Tabla1[ANY],'2025'!$Z$150)</f>
        <v>0</v>
      </c>
      <c r="W183" s="21">
        <f t="shared" si="190"/>
        <v>0</v>
      </c>
      <c r="X183" s="23">
        <f>SUMIFS('Registre de reserves'!$X$2:$X$1178,'Registre de reserves'!$T$2:$T$1178,"NO",'Registre de reserves'!$I$2:$I$1178,'2025'!$A183,'Registre de reserves'!$B$2:$B$1178,'2025'!X$2,Tabla1[ANY],'2025'!$Z$150)</f>
        <v>0</v>
      </c>
      <c r="Y183" s="21">
        <f t="shared" si="191"/>
        <v>0</v>
      </c>
      <c r="Z183" s="20">
        <f t="shared" si="168"/>
        <v>0</v>
      </c>
      <c r="AA183" s="21">
        <f t="shared" si="193"/>
        <v>0</v>
      </c>
    </row>
    <row r="184" spans="1:27" hidden="1" outlineLevel="1" x14ac:dyDescent="0.2">
      <c r="A184" s="8" t="s">
        <v>72</v>
      </c>
      <c r="B184" s="23">
        <f>SUMIFS('Registre de reserves'!$X$2:$X$1178,'Registre de reserves'!$T$2:$T$1178,"NO",'Registre de reserves'!$I$2:$I$1178,'2025'!$A184,'Registre de reserves'!$B$2:$B$1178,'2025'!B$2,Tabla1[ANY],'2025'!$Z$150)</f>
        <v>0</v>
      </c>
      <c r="C184" s="21">
        <f t="shared" si="192"/>
        <v>0</v>
      </c>
      <c r="D184" s="23">
        <f>SUMIFS('Registre de reserves'!$X$2:$X$1178,'Registre de reserves'!$T$2:$T$1178,"NO",'Registre de reserves'!$I$2:$I$1178,'2025'!$A184,'Registre de reserves'!$B$2:$B$1178,'2025'!D$2,Tabla1[ANY],'2025'!$Z$150)</f>
        <v>0</v>
      </c>
      <c r="E184" s="21">
        <f t="shared" si="192"/>
        <v>0</v>
      </c>
      <c r="F184" s="23">
        <f>SUMIFS('Registre de reserves'!$X$2:$X$1178,'Registre de reserves'!$T$2:$T$1178,"NO",'Registre de reserves'!$I$2:$I$1178,'2025'!$A184,'Registre de reserves'!$B$2:$B$1178,'2025'!F$2,Tabla1[ANY],'2025'!$Z$150)</f>
        <v>0</v>
      </c>
      <c r="G184" s="21">
        <f t="shared" si="182"/>
        <v>0</v>
      </c>
      <c r="H184" s="23">
        <f>SUMIFS('Registre de reserves'!$X$2:$X$1178,'Registre de reserves'!$T$2:$T$1178,"NO",'Registre de reserves'!$I$2:$I$1178,'2025'!$A184,'Registre de reserves'!$B$2:$B$1178,'2025'!H$2,Tabla1[ANY],'2025'!$Z$150)</f>
        <v>0</v>
      </c>
      <c r="I184" s="21">
        <f t="shared" si="183"/>
        <v>0</v>
      </c>
      <c r="J184" s="23">
        <f>SUMIFS('Registre de reserves'!$X$2:$X$1178,'Registre de reserves'!$T$2:$T$1178,"NO",'Registre de reserves'!$I$2:$I$1178,'2025'!$A184,'Registre de reserves'!$B$2:$B$1178,'2025'!J$2,Tabla1[ANY],'2025'!$Z$150)</f>
        <v>0</v>
      </c>
      <c r="K184" s="21">
        <f t="shared" si="184"/>
        <v>0</v>
      </c>
      <c r="L184" s="23">
        <f>SUMIFS('Registre de reserves'!$X$2:$X$1178,'Registre de reserves'!$T$2:$T$1178,"NO",'Registre de reserves'!$I$2:$I$1178,'2025'!$A184,'Registre de reserves'!$B$2:$B$1178,'2025'!L$2,Tabla1[ANY],'2025'!$Z$150)</f>
        <v>0</v>
      </c>
      <c r="M184" s="21">
        <f t="shared" si="185"/>
        <v>0</v>
      </c>
      <c r="N184" s="23">
        <f>SUMIFS('Registre de reserves'!$X$2:$X$1178,'Registre de reserves'!$T$2:$T$1178,"NO",'Registre de reserves'!$I$2:$I$1178,'2025'!$A184,'Registre de reserves'!$B$2:$B$1178,'2025'!N$2,Tabla1[ANY],'2025'!$Z$150)</f>
        <v>0</v>
      </c>
      <c r="O184" s="21">
        <f t="shared" si="186"/>
        <v>0</v>
      </c>
      <c r="P184" s="23">
        <f>SUMIFS('Registre de reserves'!$X$2:$X$1178,'Registre de reserves'!$T$2:$T$1178,"NO",'Registre de reserves'!$I$2:$I$1178,'2025'!$A184,'Registre de reserves'!$B$2:$B$1178,'2025'!P$2,Tabla1[ANY],'2025'!$Z$150)</f>
        <v>0</v>
      </c>
      <c r="Q184" s="21">
        <f t="shared" si="187"/>
        <v>0</v>
      </c>
      <c r="R184" s="23">
        <f>SUMIFS('Registre de reserves'!$X$2:$X$1178,'Registre de reserves'!$T$2:$T$1178,"NO",'Registre de reserves'!$I$2:$I$1178,'2025'!$A184,'Registre de reserves'!$B$2:$B$1178,'2025'!R$2,Tabla1[ANY],'2025'!$Z$150)</f>
        <v>0</v>
      </c>
      <c r="S184" s="21">
        <f t="shared" si="188"/>
        <v>0</v>
      </c>
      <c r="T184" s="23">
        <f>SUMIFS('Registre de reserves'!$X$2:$X$1178,'Registre de reserves'!$T$2:$T$1178,"NO",'Registre de reserves'!$I$2:$I$1178,'2025'!$A184,'Registre de reserves'!$B$2:$B$1178,'2025'!T$2,Tabla1[ANY],'2025'!$Z$150)</f>
        <v>0</v>
      </c>
      <c r="U184" s="21">
        <f t="shared" si="189"/>
        <v>0</v>
      </c>
      <c r="V184" s="23">
        <f>SUMIFS('Registre de reserves'!$X$2:$X$1178,'Registre de reserves'!$T$2:$T$1178,"NO",'Registre de reserves'!$I$2:$I$1178,'2025'!$A184,'Registre de reserves'!$B$2:$B$1178,'2025'!V$2,Tabla1[ANY],'2025'!$Z$150)</f>
        <v>0</v>
      </c>
      <c r="W184" s="21">
        <f t="shared" si="190"/>
        <v>0</v>
      </c>
      <c r="X184" s="23">
        <f>SUMIFS('Registre de reserves'!$X$2:$X$1178,'Registre de reserves'!$T$2:$T$1178,"NO",'Registre de reserves'!$I$2:$I$1178,'2025'!$A184,'Registre de reserves'!$B$2:$B$1178,'2025'!X$2,Tabla1[ANY],'2025'!$Z$150)</f>
        <v>0</v>
      </c>
      <c r="Y184" s="21">
        <f t="shared" si="191"/>
        <v>0</v>
      </c>
      <c r="Z184" s="20">
        <f t="shared" si="168"/>
        <v>0</v>
      </c>
      <c r="AA184" s="21">
        <f t="shared" si="193"/>
        <v>0</v>
      </c>
    </row>
    <row r="185" spans="1:27" hidden="1" outlineLevel="1" x14ac:dyDescent="0.2">
      <c r="A185" s="8" t="s">
        <v>69</v>
      </c>
      <c r="B185" s="23">
        <f>SUMIFS('Registre de reserves'!$X$2:$X$1178,'Registre de reserves'!$T$2:$T$1178,"NO",'Registre de reserves'!$I$2:$I$1178,'2025'!$A185,'Registre de reserves'!$B$2:$B$1178,'2025'!B$2,Tabla1[ANY],'2025'!$Z$150)</f>
        <v>0</v>
      </c>
      <c r="C185" s="21">
        <f t="shared" si="192"/>
        <v>0</v>
      </c>
      <c r="D185" s="23">
        <f>SUMIFS('Registre de reserves'!$X$2:$X$1178,'Registre de reserves'!$T$2:$T$1178,"NO",'Registre de reserves'!$I$2:$I$1178,'2025'!$A185,'Registre de reserves'!$B$2:$B$1178,'2025'!D$2,Tabla1[ANY],'2025'!$Z$150)</f>
        <v>0</v>
      </c>
      <c r="E185" s="21">
        <f t="shared" si="192"/>
        <v>0</v>
      </c>
      <c r="F185" s="23">
        <f>SUMIFS('Registre de reserves'!$X$2:$X$1178,'Registre de reserves'!$T$2:$T$1178,"NO",'Registre de reserves'!$I$2:$I$1178,'2025'!$A185,'Registre de reserves'!$B$2:$B$1178,'2025'!F$2,Tabla1[ANY],'2025'!$Z$150)</f>
        <v>0</v>
      </c>
      <c r="G185" s="21">
        <f t="shared" si="182"/>
        <v>0</v>
      </c>
      <c r="H185" s="23">
        <f>SUMIFS('Registre de reserves'!$X$2:$X$1178,'Registre de reserves'!$T$2:$T$1178,"NO",'Registre de reserves'!$I$2:$I$1178,'2025'!$A185,'Registre de reserves'!$B$2:$B$1178,'2025'!H$2,Tabla1[ANY],'2025'!$Z$150)</f>
        <v>0</v>
      </c>
      <c r="I185" s="21">
        <f t="shared" si="183"/>
        <v>0</v>
      </c>
      <c r="J185" s="23">
        <f>SUMIFS('Registre de reserves'!$X$2:$X$1178,'Registre de reserves'!$T$2:$T$1178,"NO",'Registre de reserves'!$I$2:$I$1178,'2025'!$A185,'Registre de reserves'!$B$2:$B$1178,'2025'!J$2,Tabla1[ANY],'2025'!$Z$150)</f>
        <v>0</v>
      </c>
      <c r="K185" s="21">
        <f t="shared" si="184"/>
        <v>0</v>
      </c>
      <c r="L185" s="23">
        <f>SUMIFS('Registre de reserves'!$X$2:$X$1178,'Registre de reserves'!$T$2:$T$1178,"NO",'Registre de reserves'!$I$2:$I$1178,'2025'!$A185,'Registre de reserves'!$B$2:$B$1178,'2025'!L$2,Tabla1[ANY],'2025'!$Z$150)</f>
        <v>0</v>
      </c>
      <c r="M185" s="21">
        <f t="shared" si="185"/>
        <v>0</v>
      </c>
      <c r="N185" s="23">
        <f>SUMIFS('Registre de reserves'!$X$2:$X$1178,'Registre de reserves'!$T$2:$T$1178,"NO",'Registre de reserves'!$I$2:$I$1178,'2025'!$A185,'Registre de reserves'!$B$2:$B$1178,'2025'!N$2,Tabla1[ANY],'2025'!$Z$150)</f>
        <v>0</v>
      </c>
      <c r="O185" s="21">
        <f t="shared" si="186"/>
        <v>0</v>
      </c>
      <c r="P185" s="23">
        <f>SUMIFS('Registre de reserves'!$X$2:$X$1178,'Registre de reserves'!$T$2:$T$1178,"NO",'Registre de reserves'!$I$2:$I$1178,'2025'!$A185,'Registre de reserves'!$B$2:$B$1178,'2025'!P$2,Tabla1[ANY],'2025'!$Z$150)</f>
        <v>0</v>
      </c>
      <c r="Q185" s="21">
        <f t="shared" si="187"/>
        <v>0</v>
      </c>
      <c r="R185" s="23">
        <f>SUMIFS('Registre de reserves'!$X$2:$X$1178,'Registre de reserves'!$T$2:$T$1178,"NO",'Registre de reserves'!$I$2:$I$1178,'2025'!$A185,'Registre de reserves'!$B$2:$B$1178,'2025'!R$2,Tabla1[ANY],'2025'!$Z$150)</f>
        <v>0</v>
      </c>
      <c r="S185" s="21">
        <f t="shared" si="188"/>
        <v>0</v>
      </c>
      <c r="T185" s="23">
        <f>SUMIFS('Registre de reserves'!$X$2:$X$1178,'Registre de reserves'!$T$2:$T$1178,"NO",'Registre de reserves'!$I$2:$I$1178,'2025'!$A185,'Registre de reserves'!$B$2:$B$1178,'2025'!T$2,Tabla1[ANY],'2025'!$Z$150)</f>
        <v>0</v>
      </c>
      <c r="U185" s="21">
        <f t="shared" si="189"/>
        <v>0</v>
      </c>
      <c r="V185" s="23">
        <f>SUMIFS('Registre de reserves'!$X$2:$X$1178,'Registre de reserves'!$T$2:$T$1178,"NO",'Registre de reserves'!$I$2:$I$1178,'2025'!$A185,'Registre de reserves'!$B$2:$B$1178,'2025'!V$2,Tabla1[ANY],'2025'!$Z$150)</f>
        <v>0</v>
      </c>
      <c r="W185" s="21">
        <f t="shared" si="190"/>
        <v>0</v>
      </c>
      <c r="X185" s="23">
        <f>SUMIFS('Registre de reserves'!$X$2:$X$1178,'Registre de reserves'!$T$2:$T$1178,"NO",'Registre de reserves'!$I$2:$I$1178,'2025'!$A185,'Registre de reserves'!$B$2:$B$1178,'2025'!X$2,Tabla1[ANY],'2025'!$Z$150)</f>
        <v>0</v>
      </c>
      <c r="Y185" s="21">
        <f t="shared" si="191"/>
        <v>0</v>
      </c>
      <c r="Z185" s="20">
        <f t="shared" si="168"/>
        <v>0</v>
      </c>
      <c r="AA185" s="21">
        <f t="shared" si="193"/>
        <v>0</v>
      </c>
    </row>
    <row r="186" spans="1:27" hidden="1" outlineLevel="1" x14ac:dyDescent="0.2">
      <c r="A186" s="8" t="s">
        <v>70</v>
      </c>
      <c r="B186" s="23">
        <f>SUMIFS('Registre de reserves'!$X$2:$X$1178,'Registre de reserves'!$T$2:$T$1178,"NO",'Registre de reserves'!$I$2:$I$1178,'2025'!$A186,'Registre de reserves'!$B$2:$B$1178,'2025'!B$2,Tabla1[ANY],'2025'!$Z$150)</f>
        <v>0</v>
      </c>
      <c r="C186" s="21">
        <f t="shared" si="192"/>
        <v>0</v>
      </c>
      <c r="D186" s="23">
        <f>SUMIFS('Registre de reserves'!$X$2:$X$1178,'Registre de reserves'!$T$2:$T$1178,"NO",'Registre de reserves'!$I$2:$I$1178,'2025'!$A186,'Registre de reserves'!$B$2:$B$1178,'2025'!D$2,Tabla1[ANY],'2025'!$Z$150)</f>
        <v>0</v>
      </c>
      <c r="E186" s="21">
        <f t="shared" si="192"/>
        <v>0</v>
      </c>
      <c r="F186" s="23">
        <f>SUMIFS('Registre de reserves'!$X$2:$X$1178,'Registre de reserves'!$T$2:$T$1178,"NO",'Registre de reserves'!$I$2:$I$1178,'2025'!$A186,'Registre de reserves'!$B$2:$B$1178,'2025'!F$2,Tabla1[ANY],'2025'!$Z$150)</f>
        <v>0</v>
      </c>
      <c r="G186" s="21">
        <f t="shared" si="182"/>
        <v>0</v>
      </c>
      <c r="H186" s="23">
        <f>SUMIFS('Registre de reserves'!$X$2:$X$1178,'Registre de reserves'!$T$2:$T$1178,"NO",'Registre de reserves'!$I$2:$I$1178,'2025'!$A186,'Registre de reserves'!$B$2:$B$1178,'2025'!H$2,Tabla1[ANY],'2025'!$Z$150)</f>
        <v>0</v>
      </c>
      <c r="I186" s="21">
        <f t="shared" si="183"/>
        <v>0</v>
      </c>
      <c r="J186" s="23">
        <f>SUMIFS('Registre de reserves'!$X$2:$X$1178,'Registre de reserves'!$T$2:$T$1178,"NO",'Registre de reserves'!$I$2:$I$1178,'2025'!$A186,'Registre de reserves'!$B$2:$B$1178,'2025'!J$2,Tabla1[ANY],'2025'!$Z$150)</f>
        <v>0</v>
      </c>
      <c r="K186" s="21">
        <f t="shared" si="184"/>
        <v>0</v>
      </c>
      <c r="L186" s="23">
        <f>SUMIFS('Registre de reserves'!$X$2:$X$1178,'Registre de reserves'!$T$2:$T$1178,"NO",'Registre de reserves'!$I$2:$I$1178,'2025'!$A186,'Registre de reserves'!$B$2:$B$1178,'2025'!L$2,Tabla1[ANY],'2025'!$Z$150)</f>
        <v>0</v>
      </c>
      <c r="M186" s="21">
        <f t="shared" si="185"/>
        <v>0</v>
      </c>
      <c r="N186" s="23">
        <f>SUMIFS('Registre de reserves'!$X$2:$X$1178,'Registre de reserves'!$T$2:$T$1178,"NO",'Registre de reserves'!$I$2:$I$1178,'2025'!$A186,'Registre de reserves'!$B$2:$B$1178,'2025'!N$2,Tabla1[ANY],'2025'!$Z$150)</f>
        <v>120</v>
      </c>
      <c r="O186" s="21">
        <f t="shared" si="186"/>
        <v>1</v>
      </c>
      <c r="P186" s="23">
        <f>SUMIFS('Registre de reserves'!$X$2:$X$1178,'Registre de reserves'!$T$2:$T$1178,"NO",'Registre de reserves'!$I$2:$I$1178,'2025'!$A186,'Registre de reserves'!$B$2:$B$1178,'2025'!P$2,Tabla1[ANY],'2025'!$Z$150)</f>
        <v>0</v>
      </c>
      <c r="Q186" s="21">
        <f t="shared" si="187"/>
        <v>0</v>
      </c>
      <c r="R186" s="23">
        <f>SUMIFS('Registre de reserves'!$X$2:$X$1178,'Registre de reserves'!$T$2:$T$1178,"NO",'Registre de reserves'!$I$2:$I$1178,'2025'!$A186,'Registre de reserves'!$B$2:$B$1178,'2025'!R$2,Tabla1[ANY],'2025'!$Z$150)</f>
        <v>0</v>
      </c>
      <c r="S186" s="21">
        <f t="shared" si="188"/>
        <v>0</v>
      </c>
      <c r="T186" s="23">
        <f>SUMIFS('Registre de reserves'!$X$2:$X$1178,'Registre de reserves'!$T$2:$T$1178,"NO",'Registre de reserves'!$I$2:$I$1178,'2025'!$A186,'Registre de reserves'!$B$2:$B$1178,'2025'!T$2,Tabla1[ANY],'2025'!$Z$150)</f>
        <v>0</v>
      </c>
      <c r="U186" s="21">
        <f t="shared" si="189"/>
        <v>0</v>
      </c>
      <c r="V186" s="23">
        <f>SUMIFS('Registre de reserves'!$X$2:$X$1178,'Registre de reserves'!$T$2:$T$1178,"NO",'Registre de reserves'!$I$2:$I$1178,'2025'!$A186,'Registre de reserves'!$B$2:$B$1178,'2025'!V$2,Tabla1[ANY],'2025'!$Z$150)</f>
        <v>0</v>
      </c>
      <c r="W186" s="21">
        <f t="shared" si="190"/>
        <v>0</v>
      </c>
      <c r="X186" s="23">
        <f>SUMIFS('Registre de reserves'!$X$2:$X$1178,'Registre de reserves'!$T$2:$T$1178,"NO",'Registre de reserves'!$I$2:$I$1178,'2025'!$A186,'Registre de reserves'!$B$2:$B$1178,'2025'!X$2,Tabla1[ANY],'2025'!$Z$150)</f>
        <v>0</v>
      </c>
      <c r="Y186" s="21">
        <f t="shared" si="191"/>
        <v>0</v>
      </c>
      <c r="Z186" s="20">
        <f t="shared" si="168"/>
        <v>120</v>
      </c>
      <c r="AA186" s="21">
        <f t="shared" si="193"/>
        <v>0</v>
      </c>
    </row>
    <row r="187" spans="1:27" hidden="1" outlineLevel="1" x14ac:dyDescent="0.2">
      <c r="A187" s="8" t="s">
        <v>73</v>
      </c>
      <c r="B187" s="23">
        <f>SUMIFS('Registre de reserves'!$X$2:$X$1178,'Registre de reserves'!$T$2:$T$1178,"NO",'Registre de reserves'!$I$2:$I$1178,'2025'!$A187,'Registre de reserves'!$B$2:$B$1178,'2025'!B$2,Tabla1[ANY],'2025'!$Z$150)</f>
        <v>0</v>
      </c>
      <c r="C187" s="21">
        <f t="shared" si="192"/>
        <v>0</v>
      </c>
      <c r="D187" s="23">
        <f>SUMIFS('Registre de reserves'!$X$2:$X$1178,'Registre de reserves'!$T$2:$T$1178,"NO",'Registre de reserves'!$I$2:$I$1178,'2025'!$A187,'Registre de reserves'!$B$2:$B$1178,'2025'!D$2,Tabla1[ANY],'2025'!$Z$150)</f>
        <v>0</v>
      </c>
      <c r="E187" s="21">
        <f t="shared" si="192"/>
        <v>0</v>
      </c>
      <c r="F187" s="23">
        <f>SUMIFS('Registre de reserves'!$X$2:$X$1178,'Registre de reserves'!$T$2:$T$1178,"NO",'Registre de reserves'!$I$2:$I$1178,'2025'!$A187,'Registre de reserves'!$B$2:$B$1178,'2025'!F$2,Tabla1[ANY],'2025'!$Z$150)</f>
        <v>0</v>
      </c>
      <c r="G187" s="21">
        <f t="shared" si="182"/>
        <v>0</v>
      </c>
      <c r="H187" s="23">
        <f>SUMIFS('Registre de reserves'!$X$2:$X$1178,'Registre de reserves'!$T$2:$T$1178,"NO",'Registre de reserves'!$I$2:$I$1178,'2025'!$A187,'Registre de reserves'!$B$2:$B$1178,'2025'!H$2,Tabla1[ANY],'2025'!$Z$150)</f>
        <v>0</v>
      </c>
      <c r="I187" s="21">
        <f t="shared" si="183"/>
        <v>0</v>
      </c>
      <c r="J187" s="23">
        <f>SUMIFS('Registre de reserves'!$X$2:$X$1178,'Registre de reserves'!$T$2:$T$1178,"NO",'Registre de reserves'!$I$2:$I$1178,'2025'!$A187,'Registre de reserves'!$B$2:$B$1178,'2025'!J$2,Tabla1[ANY],'2025'!$Z$150)</f>
        <v>0</v>
      </c>
      <c r="K187" s="21">
        <f t="shared" si="184"/>
        <v>0</v>
      </c>
      <c r="L187" s="23">
        <f>SUMIFS('Registre de reserves'!$X$2:$X$1178,'Registre de reserves'!$T$2:$T$1178,"NO",'Registre de reserves'!$I$2:$I$1178,'2025'!$A187,'Registre de reserves'!$B$2:$B$1178,'2025'!L$2,Tabla1[ANY],'2025'!$Z$150)</f>
        <v>0</v>
      </c>
      <c r="M187" s="21">
        <f t="shared" si="185"/>
        <v>0</v>
      </c>
      <c r="N187" s="23">
        <f>SUMIFS('Registre de reserves'!$X$2:$X$1178,'Registre de reserves'!$T$2:$T$1178,"NO",'Registre de reserves'!$I$2:$I$1178,'2025'!$A187,'Registre de reserves'!$B$2:$B$1178,'2025'!N$2,Tabla1[ANY],'2025'!$Z$150)</f>
        <v>0</v>
      </c>
      <c r="O187" s="21">
        <f t="shared" si="186"/>
        <v>0</v>
      </c>
      <c r="P187" s="23">
        <f>SUMIFS('Registre de reserves'!$X$2:$X$1178,'Registre de reserves'!$T$2:$T$1178,"NO",'Registre de reserves'!$I$2:$I$1178,'2025'!$A187,'Registre de reserves'!$B$2:$B$1178,'2025'!P$2,Tabla1[ANY],'2025'!$Z$150)</f>
        <v>0</v>
      </c>
      <c r="Q187" s="21">
        <f t="shared" si="187"/>
        <v>0</v>
      </c>
      <c r="R187" s="23">
        <f>SUMIFS('Registre de reserves'!$X$2:$X$1178,'Registre de reserves'!$T$2:$T$1178,"NO",'Registre de reserves'!$I$2:$I$1178,'2025'!$A187,'Registre de reserves'!$B$2:$B$1178,'2025'!R$2,Tabla1[ANY],'2025'!$Z$150)</f>
        <v>0</v>
      </c>
      <c r="S187" s="21">
        <f t="shared" si="188"/>
        <v>0</v>
      </c>
      <c r="T187" s="23">
        <f>SUMIFS('Registre de reserves'!$X$2:$X$1178,'Registre de reserves'!$T$2:$T$1178,"NO",'Registre de reserves'!$I$2:$I$1178,'2025'!$A187,'Registre de reserves'!$B$2:$B$1178,'2025'!T$2,Tabla1[ANY],'2025'!$Z$150)</f>
        <v>0</v>
      </c>
      <c r="U187" s="21">
        <f t="shared" si="189"/>
        <v>0</v>
      </c>
      <c r="V187" s="23">
        <f>SUMIFS('Registre de reserves'!$X$2:$X$1178,'Registre de reserves'!$T$2:$T$1178,"NO",'Registre de reserves'!$I$2:$I$1178,'2025'!$A187,'Registre de reserves'!$B$2:$B$1178,'2025'!V$2,Tabla1[ANY],'2025'!$Z$150)</f>
        <v>0</v>
      </c>
      <c r="W187" s="21">
        <f t="shared" si="190"/>
        <v>0</v>
      </c>
      <c r="X187" s="23">
        <f>SUMIFS('Registre de reserves'!$X$2:$X$1178,'Registre de reserves'!$T$2:$T$1178,"NO",'Registre de reserves'!$I$2:$I$1178,'2025'!$A187,'Registre de reserves'!$B$2:$B$1178,'2025'!X$2,Tabla1[ANY],'2025'!$Z$150)</f>
        <v>0</v>
      </c>
      <c r="Y187" s="21">
        <f t="shared" si="191"/>
        <v>0</v>
      </c>
      <c r="Z187" s="20">
        <f t="shared" si="168"/>
        <v>0</v>
      </c>
      <c r="AA187" s="21">
        <f t="shared" si="193"/>
        <v>0</v>
      </c>
    </row>
    <row r="188" spans="1:27" ht="15.75" collapsed="1" thickBot="1" x14ac:dyDescent="0.25">
      <c r="A188" s="14" t="s">
        <v>78</v>
      </c>
      <c r="B188" s="24">
        <f>B189+B197</f>
        <v>360</v>
      </c>
      <c r="C188" s="25">
        <f>IF(B151=0,0,B188/B151)</f>
        <v>0.11631663974151858</v>
      </c>
      <c r="D188" s="24">
        <f>D189+D197</f>
        <v>615</v>
      </c>
      <c r="E188" s="25">
        <f>IF(D151=0,0,D188/D151)</f>
        <v>0.28275862068965518</v>
      </c>
      <c r="F188" s="24">
        <f>F189+F197</f>
        <v>580</v>
      </c>
      <c r="G188" s="25">
        <f>IF(F151=0,0,F188/F151)</f>
        <v>0.22524271844660193</v>
      </c>
      <c r="H188" s="24">
        <f>H189+H197</f>
        <v>270</v>
      </c>
      <c r="I188" s="25">
        <f>IF(H151=0,0,H188/H151)</f>
        <v>0.12471131639722864</v>
      </c>
      <c r="J188" s="24">
        <f>J189+J197</f>
        <v>280</v>
      </c>
      <c r="K188" s="25">
        <f>IF(J151=0,0,J188/J151)</f>
        <v>0.10646387832699619</v>
      </c>
      <c r="L188" s="24">
        <f>L189+L197</f>
        <v>340</v>
      </c>
      <c r="M188" s="25">
        <f>IF(L151=0,0,L188/L151)</f>
        <v>0.13991769547325103</v>
      </c>
      <c r="N188" s="24">
        <f>N189+N197</f>
        <v>0</v>
      </c>
      <c r="O188" s="25">
        <f>IF(N151=0,0,N188/N151)</f>
        <v>0</v>
      </c>
      <c r="P188" s="24">
        <f>P189+P197</f>
        <v>0</v>
      </c>
      <c r="Q188" s="25">
        <f>IF(P151=0,0,P188/P151)</f>
        <v>0</v>
      </c>
      <c r="R188" s="24">
        <f>R189+R197</f>
        <v>0</v>
      </c>
      <c r="S188" s="25">
        <f>IF(R151=0,0,R188/R151)</f>
        <v>0</v>
      </c>
      <c r="T188" s="24">
        <f>T189+T197</f>
        <v>0</v>
      </c>
      <c r="U188" s="25">
        <f>IF(T151=0,0,T188/T151)</f>
        <v>0</v>
      </c>
      <c r="V188" s="24">
        <f>V189+V197</f>
        <v>0</v>
      </c>
      <c r="W188" s="25">
        <f>IF(V151=0,0,V188/V151)</f>
        <v>0</v>
      </c>
      <c r="X188" s="24">
        <f>X189+X197</f>
        <v>0</v>
      </c>
      <c r="Y188" s="25">
        <f>IF(X188=0,0,X188/X188)</f>
        <v>0</v>
      </c>
      <c r="Z188" s="24">
        <f>Z189+Z197</f>
        <v>2445</v>
      </c>
      <c r="AA188" s="25">
        <f>IF(Z151=0,0,Z188/Z151)</f>
        <v>0.16224286662242868</v>
      </c>
    </row>
    <row r="189" spans="1:27" x14ac:dyDescent="0.2">
      <c r="A189" s="33" t="s">
        <v>79</v>
      </c>
      <c r="B189" s="18">
        <f>SUM(B190:B196)</f>
        <v>150</v>
      </c>
      <c r="C189" s="19">
        <f>IF(B$188=0,0,B189/B$188)</f>
        <v>0.41666666666666669</v>
      </c>
      <c r="D189" s="18">
        <f>SUM(D190:D196)</f>
        <v>150</v>
      </c>
      <c r="E189" s="19">
        <f>IF(D$188=0,0,D189/D$188)</f>
        <v>0.24390243902439024</v>
      </c>
      <c r="F189" s="18">
        <f>SUM(F190:F196)</f>
        <v>150</v>
      </c>
      <c r="G189" s="19">
        <f>IF(F$188=0,0,F189/F$188)</f>
        <v>0.25862068965517243</v>
      </c>
      <c r="H189" s="18">
        <f>SUM(H190:H196)</f>
        <v>150</v>
      </c>
      <c r="I189" s="19">
        <f>IF(H$188=0,0,H189/H$188)</f>
        <v>0.55555555555555558</v>
      </c>
      <c r="J189" s="18">
        <f>SUM(J190:J196)</f>
        <v>0</v>
      </c>
      <c r="K189" s="19">
        <f>IF(J$188=0,0,J189/J$188)</f>
        <v>0</v>
      </c>
      <c r="L189" s="18">
        <f>SUM(L190:L196)</f>
        <v>0</v>
      </c>
      <c r="M189" s="19">
        <f>IF(L$188=0,0,L189/L$188)</f>
        <v>0</v>
      </c>
      <c r="N189" s="18">
        <f>SUM(N190:N196)</f>
        <v>0</v>
      </c>
      <c r="O189" s="19">
        <f>IF(N$188=0,0,N189/N$188)</f>
        <v>0</v>
      </c>
      <c r="P189" s="18">
        <f>SUM(P190:P196)</f>
        <v>0</v>
      </c>
      <c r="Q189" s="19">
        <f>IF(P$188=0,0,P189/P$188)</f>
        <v>0</v>
      </c>
      <c r="R189" s="18">
        <f>SUM(R190:R196)</f>
        <v>0</v>
      </c>
      <c r="S189" s="19">
        <f>IF(R$188=0,0,R189/R$188)</f>
        <v>0</v>
      </c>
      <c r="T189" s="18">
        <f>SUM(T190:T196)</f>
        <v>0</v>
      </c>
      <c r="U189" s="19">
        <f>IF(T$188=0,0,T189/T$188)</f>
        <v>0</v>
      </c>
      <c r="V189" s="18">
        <f>SUM(V190:V196)</f>
        <v>0</v>
      </c>
      <c r="W189" s="19">
        <f>IF(V$188=0,0,V189/V$188)</f>
        <v>0</v>
      </c>
      <c r="X189" s="18">
        <f>SUM(X190:X196)</f>
        <v>0</v>
      </c>
      <c r="Y189" s="19">
        <f>IF(X$188=0,0,X189/X$188)</f>
        <v>0</v>
      </c>
      <c r="Z189" s="18">
        <f>SUM(Z190:Z196)</f>
        <v>600</v>
      </c>
      <c r="AA189" s="19">
        <f>IF(Z$40=0,0,Z189/Z$40)</f>
        <v>8.4667552853719866E-2</v>
      </c>
    </row>
    <row r="190" spans="1:27" hidden="1" outlineLevel="1" x14ac:dyDescent="0.2">
      <c r="A190" s="8" t="s">
        <v>16</v>
      </c>
      <c r="B190" s="20">
        <f>SUMIFS(Tabla2[B],Tabla2[ANY],$Z$150,Tabla2[MES],'2025'!B$2,Tabla2[TIPUS],'2025'!$A190)</f>
        <v>150</v>
      </c>
      <c r="C190" s="21">
        <f>IF(B$189=0,0,B190/B$189)</f>
        <v>1</v>
      </c>
      <c r="D190" s="20">
        <f>SUMIFS(Tabla2[B],Tabla2[ANY],$Z$150,Tabla2[MES],'2025'!D$2,Tabla2[TIPUS],'2025'!$A190)</f>
        <v>150</v>
      </c>
      <c r="E190" s="21">
        <f>IF(D$189=0,0,D190/D$189)</f>
        <v>1</v>
      </c>
      <c r="F190" s="20">
        <f>SUMIFS(Tabla2[B],Tabla2[ANY],$Z$150,Tabla2[MES],'2025'!F$2,Tabla2[TIPUS],'2025'!$A190)</f>
        <v>150</v>
      </c>
      <c r="G190" s="21">
        <f t="shared" ref="G190:G196" si="194">IF(F$189=0,0,F190/F$189)</f>
        <v>1</v>
      </c>
      <c r="H190" s="20">
        <f>SUMIFS(Tabla2[B],Tabla2[ANY],$Z$150,Tabla2[MES],'2025'!H$2,Tabla2[TIPUS],'2025'!$A190)</f>
        <v>150</v>
      </c>
      <c r="I190" s="21">
        <f t="shared" ref="I190:I196" si="195">IF(H$189=0,0,H190/H$189)</f>
        <v>1</v>
      </c>
      <c r="J190" s="20">
        <f>SUMIFS(Tabla2[B],Tabla2[ANY],$Z$150,Tabla2[MES],'2025'!J$2,Tabla2[TIPUS],'2025'!$A190)</f>
        <v>0</v>
      </c>
      <c r="K190" s="21">
        <f t="shared" ref="K190:K196" si="196">IF(J$189=0,0,J190/J$189)</f>
        <v>0</v>
      </c>
      <c r="L190" s="20">
        <f>SUMIFS(Tabla2[B],Tabla2[ANY],$Z$150,Tabla2[MES],'2025'!L$2,Tabla2[TIPUS],'2025'!$A190)</f>
        <v>0</v>
      </c>
      <c r="M190" s="21">
        <f t="shared" ref="M190:M196" si="197">IF(L$189=0,0,L190/L$189)</f>
        <v>0</v>
      </c>
      <c r="N190" s="20">
        <f>SUMIFS(Tabla2[B],Tabla2[ANY],$Z$150,Tabla2[MES],'2025'!N$2,Tabla2[TIPUS],'2025'!$A190)</f>
        <v>0</v>
      </c>
      <c r="O190" s="21">
        <f t="shared" ref="O190:O196" si="198">IF(N$189=0,0,N190/N$189)</f>
        <v>0</v>
      </c>
      <c r="P190" s="20">
        <f>SUMIFS(Tabla2[B],Tabla2[ANY],$Z$150,Tabla2[MES],'2025'!P$2,Tabla2[TIPUS],'2025'!$A190)</f>
        <v>0</v>
      </c>
      <c r="Q190" s="21">
        <f t="shared" ref="Q190:Q196" si="199">IF(P$189=0,0,P190/P$189)</f>
        <v>0</v>
      </c>
      <c r="R190" s="20">
        <f>SUMIFS(Tabla2[B],Tabla2[ANY],$Z$150,Tabla2[MES],'2025'!R$2,Tabla2[TIPUS],'2025'!$A190)</f>
        <v>0</v>
      </c>
      <c r="S190" s="21">
        <f t="shared" ref="S190:S196" si="200">IF(R$189=0,0,R190/R$189)</f>
        <v>0</v>
      </c>
      <c r="T190" s="20">
        <f>SUMIFS(Tabla2[B],Tabla2[ANY],$Z$150,Tabla2[MES],'2025'!T$2,Tabla2[TIPUS],'2025'!$A190)</f>
        <v>0</v>
      </c>
      <c r="U190" s="21">
        <f t="shared" ref="U190:U196" si="201">IF(T$189=0,0,T190/T$189)</f>
        <v>0</v>
      </c>
      <c r="V190" s="20">
        <f>SUMIFS(Tabla2[B],Tabla2[ANY],$Z$150,Tabla2[MES],'2025'!V$2,Tabla2[TIPUS],'2025'!$A190)</f>
        <v>0</v>
      </c>
      <c r="W190" s="21">
        <f t="shared" ref="W190:W196" si="202">IF(V$189=0,0,V190/V$189)</f>
        <v>0</v>
      </c>
      <c r="X190" s="20">
        <f>SUMIFS(Tabla2[B],Tabla2[ANY],$Z$150,Tabla2[MES],'2025'!X$2,Tabla2[TIPUS],'2025'!$A190)</f>
        <v>0</v>
      </c>
      <c r="Y190" s="21">
        <f t="shared" ref="Y190:Y196" si="203">IF(X$189=0,0,X190/X$189)</f>
        <v>0</v>
      </c>
      <c r="Z190" s="20">
        <f t="shared" ref="Z190:Z202" si="204">B190+D190+F190+H190+J190+L190+N190+P190+R190+T190+V190+X190</f>
        <v>600</v>
      </c>
      <c r="AA190" s="21">
        <f>IF(Z$41=0,0,Z190/Z$41)</f>
        <v>0.14689788393598188</v>
      </c>
    </row>
    <row r="191" spans="1:27" hidden="1" outlineLevel="1" x14ac:dyDescent="0.2">
      <c r="A191" s="8" t="s">
        <v>17</v>
      </c>
      <c r="B191" s="20">
        <f>SUMIFS(Tabla2[B],Tabla2[ANY],$Z$150,Tabla2[MES],'2025'!B$2,Tabla2[TIPUS],'2025'!$A191)</f>
        <v>0</v>
      </c>
      <c r="C191" s="21">
        <f t="shared" ref="C191:E196" si="205">IF(B$189=0,0,B191/B$189)</f>
        <v>0</v>
      </c>
      <c r="D191" s="20">
        <f>SUMIFS(Tabla2[B],Tabla2[ANY],$Z$150,Tabla2[MES],'2025'!D$2,Tabla2[TIPUS],'2025'!$A191)</f>
        <v>0</v>
      </c>
      <c r="E191" s="21">
        <f t="shared" si="205"/>
        <v>0</v>
      </c>
      <c r="F191" s="20">
        <f>SUMIFS(Tabla2[B],Tabla2[ANY],$Z$150,Tabla2[MES],'2025'!F$2,Tabla2[TIPUS],'2025'!$A191)</f>
        <v>0</v>
      </c>
      <c r="G191" s="21">
        <f t="shared" si="194"/>
        <v>0</v>
      </c>
      <c r="H191" s="20">
        <f>SUMIFS(Tabla2[B],Tabla2[ANY],$Z$150,Tabla2[MES],'2025'!H$2,Tabla2[TIPUS],'2025'!$A191)</f>
        <v>0</v>
      </c>
      <c r="I191" s="21">
        <f t="shared" si="195"/>
        <v>0</v>
      </c>
      <c r="J191" s="20">
        <f>SUMIFS(Tabla2[B],Tabla2[ANY],$Z$150,Tabla2[MES],'2025'!J$2,Tabla2[TIPUS],'2025'!$A191)</f>
        <v>0</v>
      </c>
      <c r="K191" s="21">
        <f t="shared" si="196"/>
        <v>0</v>
      </c>
      <c r="L191" s="20">
        <f>SUMIFS(Tabla2[B],Tabla2[ANY],$Z$150,Tabla2[MES],'2025'!L$2,Tabla2[TIPUS],'2025'!$A191)</f>
        <v>0</v>
      </c>
      <c r="M191" s="21">
        <f t="shared" si="197"/>
        <v>0</v>
      </c>
      <c r="N191" s="20">
        <f>SUMIFS(Tabla2[B],Tabla2[ANY],$Z$150,Tabla2[MES],'2025'!N$2,Tabla2[TIPUS],'2025'!$A191)</f>
        <v>0</v>
      </c>
      <c r="O191" s="21">
        <f t="shared" si="198"/>
        <v>0</v>
      </c>
      <c r="P191" s="20">
        <f>SUMIFS(Tabla2[B],Tabla2[ANY],$Z$150,Tabla2[MES],'2025'!P$2,Tabla2[TIPUS],'2025'!$A191)</f>
        <v>0</v>
      </c>
      <c r="Q191" s="21">
        <f t="shared" si="199"/>
        <v>0</v>
      </c>
      <c r="R191" s="20">
        <f>SUMIFS(Tabla2[B],Tabla2[ANY],$Z$150,Tabla2[MES],'2025'!R$2,Tabla2[TIPUS],'2025'!$A191)</f>
        <v>0</v>
      </c>
      <c r="S191" s="21">
        <f t="shared" si="200"/>
        <v>0</v>
      </c>
      <c r="T191" s="20">
        <f>SUMIFS(Tabla2[B],Tabla2[ANY],$Z$150,Tabla2[MES],'2025'!T$2,Tabla2[TIPUS],'2025'!$A191)</f>
        <v>0</v>
      </c>
      <c r="U191" s="21">
        <f t="shared" si="201"/>
        <v>0</v>
      </c>
      <c r="V191" s="20">
        <f>SUMIFS(Tabla2[B],Tabla2[ANY],$Z$150,Tabla2[MES],'2025'!V$2,Tabla2[TIPUS],'2025'!$A191)</f>
        <v>0</v>
      </c>
      <c r="W191" s="21">
        <f t="shared" si="202"/>
        <v>0</v>
      </c>
      <c r="X191" s="20">
        <f>SUMIFS(Tabla2[B],Tabla2[ANY],$Z$150,Tabla2[MES],'2025'!X$2,Tabla2[TIPUS],'2025'!$A191)</f>
        <v>0</v>
      </c>
      <c r="Y191" s="21">
        <f t="shared" si="203"/>
        <v>0</v>
      </c>
      <c r="Z191" s="20">
        <f t="shared" si="204"/>
        <v>0</v>
      </c>
      <c r="AA191" s="21">
        <f t="shared" ref="AA191:AA196" si="206">IF(Z$41=0,0,Z191/Z$41)</f>
        <v>0</v>
      </c>
    </row>
    <row r="192" spans="1:27" hidden="1" outlineLevel="1" x14ac:dyDescent="0.2">
      <c r="A192" s="8" t="s">
        <v>85</v>
      </c>
      <c r="B192" s="20">
        <f>SUMIFS(Tabla2[B],Tabla2[ANY],$Z$150,Tabla2[MES],'2025'!B$2,Tabla2[TIPUS],'2025'!$A192)</f>
        <v>0</v>
      </c>
      <c r="C192" s="21">
        <f t="shared" si="205"/>
        <v>0</v>
      </c>
      <c r="D192" s="20">
        <f>SUMIFS(Tabla2[B],Tabla2[ANY],$Z$150,Tabla2[MES],'2025'!D$2,Tabla2[TIPUS],'2025'!$A192)</f>
        <v>0</v>
      </c>
      <c r="E192" s="21">
        <f t="shared" si="205"/>
        <v>0</v>
      </c>
      <c r="F192" s="20">
        <f>SUMIFS(Tabla2[B],Tabla2[ANY],$Z$150,Tabla2[MES],'2025'!F$2,Tabla2[TIPUS],'2025'!$A192)</f>
        <v>0</v>
      </c>
      <c r="G192" s="21">
        <f t="shared" si="194"/>
        <v>0</v>
      </c>
      <c r="H192" s="20">
        <f>SUMIFS(Tabla2[B],Tabla2[ANY],$Z$150,Tabla2[MES],'2025'!H$2,Tabla2[TIPUS],'2025'!$A192)</f>
        <v>0</v>
      </c>
      <c r="I192" s="21">
        <f t="shared" si="195"/>
        <v>0</v>
      </c>
      <c r="J192" s="20">
        <f>SUMIFS(Tabla2[B],Tabla2[ANY],$Z$150,Tabla2[MES],'2025'!J$2,Tabla2[TIPUS],'2025'!$A192)</f>
        <v>0</v>
      </c>
      <c r="K192" s="21">
        <f t="shared" si="196"/>
        <v>0</v>
      </c>
      <c r="L192" s="20">
        <f>SUMIFS(Tabla2[B],Tabla2[ANY],$Z$150,Tabla2[MES],'2025'!L$2,Tabla2[TIPUS],'2025'!$A192)</f>
        <v>0</v>
      </c>
      <c r="M192" s="21">
        <f t="shared" si="197"/>
        <v>0</v>
      </c>
      <c r="N192" s="20">
        <f>SUMIFS(Tabla2[B],Tabla2[ANY],$Z$150,Tabla2[MES],'2025'!N$2,Tabla2[TIPUS],'2025'!$A192)</f>
        <v>0</v>
      </c>
      <c r="O192" s="21">
        <f t="shared" si="198"/>
        <v>0</v>
      </c>
      <c r="P192" s="20">
        <f>SUMIFS(Tabla2[B],Tabla2[ANY],$Z$150,Tabla2[MES],'2025'!P$2,Tabla2[TIPUS],'2025'!$A192)</f>
        <v>0</v>
      </c>
      <c r="Q192" s="21">
        <f t="shared" si="199"/>
        <v>0</v>
      </c>
      <c r="R192" s="20">
        <f>SUMIFS(Tabla2[B],Tabla2[ANY],$Z$150,Tabla2[MES],'2025'!R$2,Tabla2[TIPUS],'2025'!$A192)</f>
        <v>0</v>
      </c>
      <c r="S192" s="21">
        <f t="shared" si="200"/>
        <v>0</v>
      </c>
      <c r="T192" s="20">
        <f>SUMIFS(Tabla2[B],Tabla2[ANY],$Z$150,Tabla2[MES],'2025'!T$2,Tabla2[TIPUS],'2025'!$A192)</f>
        <v>0</v>
      </c>
      <c r="U192" s="21">
        <f t="shared" si="201"/>
        <v>0</v>
      </c>
      <c r="V192" s="20">
        <f>SUMIFS(Tabla2[B],Tabla2[ANY],$Z$150,Tabla2[MES],'2025'!V$2,Tabla2[TIPUS],'2025'!$A192)</f>
        <v>0</v>
      </c>
      <c r="W192" s="21">
        <f t="shared" si="202"/>
        <v>0</v>
      </c>
      <c r="X192" s="20">
        <f>SUMIFS(Tabla2[B],Tabla2[ANY],$Z$150,Tabla2[MES],'2025'!X$2,Tabla2[TIPUS],'2025'!$A192)</f>
        <v>0</v>
      </c>
      <c r="Y192" s="21">
        <f t="shared" si="203"/>
        <v>0</v>
      </c>
      <c r="Z192" s="20">
        <f t="shared" si="204"/>
        <v>0</v>
      </c>
      <c r="AA192" s="21">
        <f t="shared" si="206"/>
        <v>0</v>
      </c>
    </row>
    <row r="193" spans="1:27" hidden="1" outlineLevel="1" x14ac:dyDescent="0.2">
      <c r="A193" s="8" t="s">
        <v>94</v>
      </c>
      <c r="B193" s="20">
        <f>SUMIFS(Tabla2[B],Tabla2[ANY],$Z$150,Tabla2[MES],'2025'!B$2,Tabla2[TIPUS],'2025'!$A193)</f>
        <v>0</v>
      </c>
      <c r="C193" s="21">
        <f t="shared" si="205"/>
        <v>0</v>
      </c>
      <c r="D193" s="20">
        <f>SUMIFS(Tabla2[B],Tabla2[ANY],$Z$150,Tabla2[MES],'2025'!D$2,Tabla2[TIPUS],'2025'!$A193)</f>
        <v>0</v>
      </c>
      <c r="E193" s="21">
        <f t="shared" si="205"/>
        <v>0</v>
      </c>
      <c r="F193" s="20">
        <f>SUMIFS(Tabla2[B],Tabla2[ANY],$Z$150,Tabla2[MES],'2025'!F$2,Tabla2[TIPUS],'2025'!$A193)</f>
        <v>0</v>
      </c>
      <c r="G193" s="21">
        <f t="shared" si="194"/>
        <v>0</v>
      </c>
      <c r="H193" s="20">
        <f>SUMIFS(Tabla2[B],Tabla2[ANY],$Z$150,Tabla2[MES],'2025'!H$2,Tabla2[TIPUS],'2025'!$A193)</f>
        <v>0</v>
      </c>
      <c r="I193" s="21">
        <f t="shared" si="195"/>
        <v>0</v>
      </c>
      <c r="J193" s="20">
        <f>SUMIFS(Tabla2[B],Tabla2[ANY],$Z$150,Tabla2[MES],'2025'!J$2,Tabla2[TIPUS],'2025'!$A193)</f>
        <v>0</v>
      </c>
      <c r="K193" s="21">
        <f t="shared" si="196"/>
        <v>0</v>
      </c>
      <c r="L193" s="20">
        <f>SUMIFS(Tabla2[B],Tabla2[ANY],$Z$150,Tabla2[MES],'2025'!L$2,Tabla2[TIPUS],'2025'!$A193)</f>
        <v>0</v>
      </c>
      <c r="M193" s="21">
        <f t="shared" si="197"/>
        <v>0</v>
      </c>
      <c r="N193" s="20">
        <f>SUMIFS(Tabla2[B],Tabla2[ANY],$Z$150,Tabla2[MES],'2025'!N$2,Tabla2[TIPUS],'2025'!$A193)</f>
        <v>0</v>
      </c>
      <c r="O193" s="21">
        <f t="shared" si="198"/>
        <v>0</v>
      </c>
      <c r="P193" s="20">
        <f>SUMIFS(Tabla2[B],Tabla2[ANY],$Z$150,Tabla2[MES],'2025'!P$2,Tabla2[TIPUS],'2025'!$A193)</f>
        <v>0</v>
      </c>
      <c r="Q193" s="21">
        <f t="shared" si="199"/>
        <v>0</v>
      </c>
      <c r="R193" s="20">
        <f>SUMIFS(Tabla2[B],Tabla2[ANY],$Z$150,Tabla2[MES],'2025'!R$2,Tabla2[TIPUS],'2025'!$A193)</f>
        <v>0</v>
      </c>
      <c r="S193" s="21">
        <f t="shared" si="200"/>
        <v>0</v>
      </c>
      <c r="T193" s="20">
        <f>SUMIFS(Tabla2[B],Tabla2[ANY],$Z$150,Tabla2[MES],'2025'!T$2,Tabla2[TIPUS],'2025'!$A193)</f>
        <v>0</v>
      </c>
      <c r="U193" s="21">
        <f t="shared" si="201"/>
        <v>0</v>
      </c>
      <c r="V193" s="20">
        <f>SUMIFS(Tabla2[B],Tabla2[ANY],$Z$150,Tabla2[MES],'2025'!V$2,Tabla2[TIPUS],'2025'!$A193)</f>
        <v>0</v>
      </c>
      <c r="W193" s="21">
        <f t="shared" si="202"/>
        <v>0</v>
      </c>
      <c r="X193" s="20">
        <f>SUMIFS(Tabla2[B],Tabla2[ANY],$Z$150,Tabla2[MES],'2025'!X$2,Tabla2[TIPUS],'2025'!$A193)</f>
        <v>0</v>
      </c>
      <c r="Y193" s="21">
        <f t="shared" si="203"/>
        <v>0</v>
      </c>
      <c r="Z193" s="20">
        <f t="shared" si="204"/>
        <v>0</v>
      </c>
      <c r="AA193" s="21">
        <f t="shared" si="206"/>
        <v>0</v>
      </c>
    </row>
    <row r="194" spans="1:27" hidden="1" outlineLevel="1" x14ac:dyDescent="0.2">
      <c r="A194" s="8" t="s">
        <v>118</v>
      </c>
      <c r="B194" s="20">
        <f>SUMIFS(Tabla2[B],Tabla2[ANY],$Z$150,Tabla2[MES],'2025'!B$2,Tabla2[TIPUS],'2025'!$A194)</f>
        <v>0</v>
      </c>
      <c r="C194" s="21">
        <f t="shared" si="205"/>
        <v>0</v>
      </c>
      <c r="D194" s="20">
        <f>SUMIFS(Tabla2[B],Tabla2[ANY],$Z$150,Tabla2[MES],'2025'!D$2,Tabla2[TIPUS],'2025'!$A194)</f>
        <v>0</v>
      </c>
      <c r="E194" s="21">
        <f t="shared" si="205"/>
        <v>0</v>
      </c>
      <c r="F194" s="20">
        <f>SUMIFS(Tabla2[B],Tabla2[ANY],$Z$150,Tabla2[MES],'2025'!F$2,Tabla2[TIPUS],'2025'!$A194)</f>
        <v>0</v>
      </c>
      <c r="G194" s="21">
        <f t="shared" si="194"/>
        <v>0</v>
      </c>
      <c r="H194" s="20">
        <f>SUMIFS(Tabla2[B],Tabla2[ANY],$Z$150,Tabla2[MES],'2025'!H$2,Tabla2[TIPUS],'2025'!$A194)</f>
        <v>0</v>
      </c>
      <c r="I194" s="21">
        <f t="shared" si="195"/>
        <v>0</v>
      </c>
      <c r="J194" s="20">
        <f>SUMIFS(Tabla2[B],Tabla2[ANY],$Z$150,Tabla2[MES],'2025'!J$2,Tabla2[TIPUS],'2025'!$A194)</f>
        <v>0</v>
      </c>
      <c r="K194" s="21">
        <f t="shared" si="196"/>
        <v>0</v>
      </c>
      <c r="L194" s="20">
        <f>SUMIFS(Tabla2[B],Tabla2[ANY],$Z$150,Tabla2[MES],'2025'!L$2,Tabla2[TIPUS],'2025'!$A194)</f>
        <v>0</v>
      </c>
      <c r="M194" s="21">
        <f t="shared" si="197"/>
        <v>0</v>
      </c>
      <c r="N194" s="20">
        <f>SUMIFS(Tabla2[B],Tabla2[ANY],$Z$150,Tabla2[MES],'2025'!N$2,Tabla2[TIPUS],'2025'!$A194)</f>
        <v>0</v>
      </c>
      <c r="O194" s="21">
        <f t="shared" si="198"/>
        <v>0</v>
      </c>
      <c r="P194" s="20">
        <f>SUMIFS(Tabla2[B],Tabla2[ANY],$Z$150,Tabla2[MES],'2025'!P$2,Tabla2[TIPUS],'2025'!$A194)</f>
        <v>0</v>
      </c>
      <c r="Q194" s="21">
        <f t="shared" si="199"/>
        <v>0</v>
      </c>
      <c r="R194" s="20">
        <f>SUMIFS(Tabla2[B],Tabla2[ANY],$Z$150,Tabla2[MES],'2025'!R$2,Tabla2[TIPUS],'2025'!$A194)</f>
        <v>0</v>
      </c>
      <c r="S194" s="21">
        <f t="shared" si="200"/>
        <v>0</v>
      </c>
      <c r="T194" s="20">
        <f>SUMIFS(Tabla2[B],Tabla2[ANY],$Z$150,Tabla2[MES],'2025'!T$2,Tabla2[TIPUS],'2025'!$A194)</f>
        <v>0</v>
      </c>
      <c r="U194" s="21">
        <f t="shared" si="201"/>
        <v>0</v>
      </c>
      <c r="V194" s="20">
        <f>SUMIFS(Tabla2[B],Tabla2[ANY],$Z$150,Tabla2[MES],'2025'!V$2,Tabla2[TIPUS],'2025'!$A194)</f>
        <v>0</v>
      </c>
      <c r="W194" s="21">
        <f t="shared" si="202"/>
        <v>0</v>
      </c>
      <c r="X194" s="20">
        <f>SUMIFS(Tabla2[B],Tabla2[ANY],$Z$150,Tabla2[MES],'2025'!X$2,Tabla2[TIPUS],'2025'!$A194)</f>
        <v>0</v>
      </c>
      <c r="Y194" s="21">
        <f t="shared" si="203"/>
        <v>0</v>
      </c>
      <c r="Z194" s="20">
        <f t="shared" si="204"/>
        <v>0</v>
      </c>
      <c r="AA194" s="21">
        <f t="shared" si="206"/>
        <v>0</v>
      </c>
    </row>
    <row r="195" spans="1:27" hidden="1" outlineLevel="1" x14ac:dyDescent="0.2">
      <c r="A195" s="8" t="s">
        <v>97</v>
      </c>
      <c r="B195" s="20">
        <f>SUMIFS(Tabla2[B],Tabla2[ANY],$Z$150,Tabla2[MES],'2025'!B$2,Tabla2[TIPUS],'2025'!$A195)</f>
        <v>0</v>
      </c>
      <c r="C195" s="21">
        <f t="shared" si="205"/>
        <v>0</v>
      </c>
      <c r="D195" s="20">
        <f>SUMIFS(Tabla2[B],Tabla2[ANY],$Z$150,Tabla2[MES],'2025'!D$2,Tabla2[TIPUS],'2025'!$A195)</f>
        <v>0</v>
      </c>
      <c r="E195" s="21">
        <f t="shared" si="205"/>
        <v>0</v>
      </c>
      <c r="F195" s="20">
        <f>SUMIFS(Tabla2[B],Tabla2[ANY],$Z$150,Tabla2[MES],'2025'!F$2,Tabla2[TIPUS],'2025'!$A195)</f>
        <v>0</v>
      </c>
      <c r="G195" s="21">
        <f t="shared" si="194"/>
        <v>0</v>
      </c>
      <c r="H195" s="20">
        <f>SUMIFS(Tabla2[B],Tabla2[ANY],$Z$150,Tabla2[MES],'2025'!H$2,Tabla2[TIPUS],'2025'!$A195)</f>
        <v>0</v>
      </c>
      <c r="I195" s="21">
        <f t="shared" si="195"/>
        <v>0</v>
      </c>
      <c r="J195" s="20">
        <f>SUMIFS(Tabla2[B],Tabla2[ANY],$Z$150,Tabla2[MES],'2025'!J$2,Tabla2[TIPUS],'2025'!$A195)</f>
        <v>0</v>
      </c>
      <c r="K195" s="21">
        <f t="shared" si="196"/>
        <v>0</v>
      </c>
      <c r="L195" s="20">
        <f>SUMIFS(Tabla2[B],Tabla2[ANY],$Z$150,Tabla2[MES],'2025'!L$2,Tabla2[TIPUS],'2025'!$A195)</f>
        <v>0</v>
      </c>
      <c r="M195" s="21">
        <f t="shared" si="197"/>
        <v>0</v>
      </c>
      <c r="N195" s="20">
        <f>SUMIFS(Tabla2[B],Tabla2[ANY],$Z$150,Tabla2[MES],'2025'!N$2,Tabla2[TIPUS],'2025'!$A195)</f>
        <v>0</v>
      </c>
      <c r="O195" s="21">
        <f t="shared" si="198"/>
        <v>0</v>
      </c>
      <c r="P195" s="20">
        <f>SUMIFS(Tabla2[B],Tabla2[ANY],$Z$150,Tabla2[MES],'2025'!P$2,Tabla2[TIPUS],'2025'!$A195)</f>
        <v>0</v>
      </c>
      <c r="Q195" s="21">
        <f t="shared" si="199"/>
        <v>0</v>
      </c>
      <c r="R195" s="20">
        <f>SUMIFS(Tabla2[B],Tabla2[ANY],$Z$150,Tabla2[MES],'2025'!R$2,Tabla2[TIPUS],'2025'!$A195)</f>
        <v>0</v>
      </c>
      <c r="S195" s="21">
        <f t="shared" si="200"/>
        <v>0</v>
      </c>
      <c r="T195" s="20">
        <f>SUMIFS(Tabla2[B],Tabla2[ANY],$Z$150,Tabla2[MES],'2025'!T$2,Tabla2[TIPUS],'2025'!$A195)</f>
        <v>0</v>
      </c>
      <c r="U195" s="21">
        <f t="shared" si="201"/>
        <v>0</v>
      </c>
      <c r="V195" s="20">
        <f>SUMIFS(Tabla2[B],Tabla2[ANY],$Z$150,Tabla2[MES],'2025'!V$2,Tabla2[TIPUS],'2025'!$A195)</f>
        <v>0</v>
      </c>
      <c r="W195" s="21">
        <f t="shared" si="202"/>
        <v>0</v>
      </c>
      <c r="X195" s="20">
        <f>SUMIFS(Tabla2[B],Tabla2[ANY],$Z$150,Tabla2[MES],'2025'!X$2,Tabla2[TIPUS],'2025'!$A195)</f>
        <v>0</v>
      </c>
      <c r="Y195" s="21">
        <f t="shared" si="203"/>
        <v>0</v>
      </c>
      <c r="Z195" s="20">
        <f t="shared" si="204"/>
        <v>0</v>
      </c>
      <c r="AA195" s="21">
        <f t="shared" si="206"/>
        <v>0</v>
      </c>
    </row>
    <row r="196" spans="1:27" hidden="1" outlineLevel="1" x14ac:dyDescent="0.2">
      <c r="A196" s="8" t="s">
        <v>113</v>
      </c>
      <c r="B196" s="20">
        <f>SUMIFS(Tabla2[B],Tabla2[ANY],$Z$150,Tabla2[MES],'2025'!B$2,Tabla2[TIPUS],'2025'!$A196)</f>
        <v>0</v>
      </c>
      <c r="C196" s="21">
        <f t="shared" si="205"/>
        <v>0</v>
      </c>
      <c r="D196" s="20">
        <f>SUMIFS(Tabla2[B],Tabla2[ANY],$Z$150,Tabla2[MES],'2025'!D$2,Tabla2[TIPUS],'2025'!$A196)</f>
        <v>0</v>
      </c>
      <c r="E196" s="21">
        <f t="shared" si="205"/>
        <v>0</v>
      </c>
      <c r="F196" s="20">
        <f>SUMIFS(Tabla2[B],Tabla2[ANY],$Z$150,Tabla2[MES],'2025'!F$2,Tabla2[TIPUS],'2025'!$A196)</f>
        <v>0</v>
      </c>
      <c r="G196" s="21">
        <f t="shared" si="194"/>
        <v>0</v>
      </c>
      <c r="H196" s="20">
        <f>SUMIFS(Tabla2[B],Tabla2[ANY],$Z$150,Tabla2[MES],'2025'!H$2,Tabla2[TIPUS],'2025'!$A196)</f>
        <v>0</v>
      </c>
      <c r="I196" s="21">
        <f t="shared" si="195"/>
        <v>0</v>
      </c>
      <c r="J196" s="20">
        <f>SUMIFS(Tabla2[B],Tabla2[ANY],$Z$150,Tabla2[MES],'2025'!J$2,Tabla2[TIPUS],'2025'!$A196)</f>
        <v>0</v>
      </c>
      <c r="K196" s="21">
        <f t="shared" si="196"/>
        <v>0</v>
      </c>
      <c r="L196" s="20">
        <f>SUMIFS(Tabla2[B],Tabla2[ANY],$Z$150,Tabla2[MES],'2025'!L$2,Tabla2[TIPUS],'2025'!$A196)</f>
        <v>0</v>
      </c>
      <c r="M196" s="21">
        <f t="shared" si="197"/>
        <v>0</v>
      </c>
      <c r="N196" s="20">
        <f>SUMIFS(Tabla2[B],Tabla2[ANY],$Z$150,Tabla2[MES],'2025'!N$2,Tabla2[TIPUS],'2025'!$A196)</f>
        <v>0</v>
      </c>
      <c r="O196" s="21">
        <f t="shared" si="198"/>
        <v>0</v>
      </c>
      <c r="P196" s="20">
        <f>SUMIFS(Tabla2[B],Tabla2[ANY],$Z$150,Tabla2[MES],'2025'!P$2,Tabla2[TIPUS],'2025'!$A196)</f>
        <v>0</v>
      </c>
      <c r="Q196" s="21">
        <f t="shared" si="199"/>
        <v>0</v>
      </c>
      <c r="R196" s="20">
        <f>SUMIFS(Tabla2[B],Tabla2[ANY],$Z$150,Tabla2[MES],'2025'!R$2,Tabla2[TIPUS],'2025'!$A196)</f>
        <v>0</v>
      </c>
      <c r="S196" s="21">
        <f t="shared" si="200"/>
        <v>0</v>
      </c>
      <c r="T196" s="20">
        <f>SUMIFS(Tabla2[B],Tabla2[ANY],$Z$150,Tabla2[MES],'2025'!T$2,Tabla2[TIPUS],'2025'!$A196)</f>
        <v>0</v>
      </c>
      <c r="U196" s="21">
        <f t="shared" si="201"/>
        <v>0</v>
      </c>
      <c r="V196" s="20">
        <f>SUMIFS(Tabla2[B],Tabla2[ANY],$Z$150,Tabla2[MES],'2025'!V$2,Tabla2[TIPUS],'2025'!$A196)</f>
        <v>0</v>
      </c>
      <c r="W196" s="21">
        <f t="shared" si="202"/>
        <v>0</v>
      </c>
      <c r="X196" s="20">
        <f>SUMIFS(Tabla2[B],Tabla2[ANY],$Z$150,Tabla2[MES],'2025'!X$2,Tabla2[TIPUS],'2025'!$A196)</f>
        <v>0</v>
      </c>
      <c r="Y196" s="21">
        <f t="shared" si="203"/>
        <v>0</v>
      </c>
      <c r="Z196" s="20">
        <f t="shared" si="204"/>
        <v>0</v>
      </c>
      <c r="AA196" s="21">
        <f t="shared" si="206"/>
        <v>0</v>
      </c>
    </row>
    <row r="197" spans="1:27" collapsed="1" x14ac:dyDescent="0.2">
      <c r="A197" s="34" t="s">
        <v>86</v>
      </c>
      <c r="B197" s="18">
        <f>SUM(B198:B202)</f>
        <v>210</v>
      </c>
      <c r="C197" s="19">
        <f>IF(B$188=0,0,B197/B$188)</f>
        <v>0.58333333333333337</v>
      </c>
      <c r="D197" s="18">
        <f>SUM(D198:D202)</f>
        <v>465</v>
      </c>
      <c r="E197" s="19">
        <f>IF(D$188=0,0,D197/D$188)</f>
        <v>0.75609756097560976</v>
      </c>
      <c r="F197" s="18">
        <f>SUM(F198:F202)</f>
        <v>430</v>
      </c>
      <c r="G197" s="19">
        <f>IF(F$188=0,0,F197/F$188)</f>
        <v>0.74137931034482762</v>
      </c>
      <c r="H197" s="18">
        <f>SUM(H198:H202)</f>
        <v>120</v>
      </c>
      <c r="I197" s="19">
        <f>IF(H$188=0,0,H197/H$188)</f>
        <v>0.44444444444444442</v>
      </c>
      <c r="J197" s="18">
        <f>SUM(J198:J202)</f>
        <v>280</v>
      </c>
      <c r="K197" s="19">
        <f>IF(J$188=0,0,J197/J$188)</f>
        <v>1</v>
      </c>
      <c r="L197" s="18">
        <f>SUM(L198:L202)</f>
        <v>340</v>
      </c>
      <c r="M197" s="19">
        <f>IF(L$188=0,0,L197/L$188)</f>
        <v>1</v>
      </c>
      <c r="N197" s="18">
        <f>SUM(N198:N202)</f>
        <v>0</v>
      </c>
      <c r="O197" s="19">
        <f>IF(N$188=0,0,N197/N$188)</f>
        <v>0</v>
      </c>
      <c r="P197" s="18">
        <f>SUM(P198:P202)</f>
        <v>0</v>
      </c>
      <c r="Q197" s="19">
        <f>IF(P$188=0,0,P197/P$188)</f>
        <v>0</v>
      </c>
      <c r="R197" s="18">
        <f>SUM(R198:R202)</f>
        <v>0</v>
      </c>
      <c r="S197" s="19">
        <f>IF(R$188=0,0,R197/R$188)</f>
        <v>0</v>
      </c>
      <c r="T197" s="18">
        <f>SUM(T198:T202)</f>
        <v>0</v>
      </c>
      <c r="U197" s="19">
        <f>IF(T$188=0,0,T197/T$188)</f>
        <v>0</v>
      </c>
      <c r="V197" s="18">
        <f>SUM(V198:V202)</f>
        <v>0</v>
      </c>
      <c r="W197" s="19">
        <f>IF(V$188=0,0,V197/V$188)</f>
        <v>0</v>
      </c>
      <c r="X197" s="18">
        <f>SUM(X198:X202)</f>
        <v>0</v>
      </c>
      <c r="Y197" s="19">
        <f>IF(X$188=0,0,X197/X$188)</f>
        <v>0</v>
      </c>
      <c r="Z197" s="18">
        <f>SUM(Z198:Z202)</f>
        <v>1845</v>
      </c>
      <c r="AA197" s="19">
        <f>IF(Z$40=0,0,Z197/Z$40)</f>
        <v>0.26035272502518858</v>
      </c>
    </row>
    <row r="198" spans="1:27" hidden="1" outlineLevel="1" x14ac:dyDescent="0.2">
      <c r="A198" s="8" t="s">
        <v>87</v>
      </c>
      <c r="B198" s="20">
        <f>SUMIFS(Tabla2[B],Tabla2[ANY],$Z$150,Tabla2[MES],'2025'!B$2,Tabla2[TIPUS],'2025'!$A198)</f>
        <v>0</v>
      </c>
      <c r="C198" s="21">
        <f>IF(B$197=0,0,B198/B$197)</f>
        <v>0</v>
      </c>
      <c r="D198" s="20">
        <f>SUMIFS(Tabla2[B],Tabla2[ANY],$Z$150,Tabla2[MES],'2025'!D$2,Tabla2[TIPUS],'2025'!$A198)</f>
        <v>0</v>
      </c>
      <c r="E198" s="21">
        <f>IF(D$197=0,0,D198/D$197)</f>
        <v>0</v>
      </c>
      <c r="F198" s="20">
        <f>SUMIFS(Tabla2[B],Tabla2[ANY],$Z$150,Tabla2[MES],'2025'!F$2,Tabla2[TIPUS],'2025'!$A198)</f>
        <v>0</v>
      </c>
      <c r="G198" s="21">
        <f>IF(F$197=0,0,F198/F$197)</f>
        <v>0</v>
      </c>
      <c r="H198" s="20">
        <f>SUMIFS(Tabla2[B],Tabla2[ANY],$Z$150,Tabla2[MES],'2025'!H$2,Tabla2[TIPUS],'2025'!$A198)</f>
        <v>0</v>
      </c>
      <c r="I198" s="21">
        <f>IF(H$197=0,0,H198/H$197)</f>
        <v>0</v>
      </c>
      <c r="J198" s="20">
        <f>SUMIFS(Tabla2[B],Tabla2[ANY],$Z$150,Tabla2[MES],'2025'!J$2,Tabla2[TIPUS],'2025'!$A198)</f>
        <v>0</v>
      </c>
      <c r="K198" s="21">
        <f>IF(J$197=0,0,J198/J$197)</f>
        <v>0</v>
      </c>
      <c r="L198" s="20">
        <f>SUMIFS(Tabla2[B],Tabla2[ANY],$Z$150,Tabla2[MES],'2025'!L$2,Tabla2[TIPUS],'2025'!$A198)</f>
        <v>0</v>
      </c>
      <c r="M198" s="21">
        <f>IF(L$197=0,0,L198/L$197)</f>
        <v>0</v>
      </c>
      <c r="N198" s="20">
        <f>SUMIFS(Tabla2[B],Tabla2[ANY],$Z$150,Tabla2[MES],'2025'!N$2,Tabla2[TIPUS],'2025'!$A198)</f>
        <v>0</v>
      </c>
      <c r="O198" s="21">
        <f>IF(N$197=0,0,N198/N$197)</f>
        <v>0</v>
      </c>
      <c r="P198" s="20">
        <f>SUMIFS(Tabla2[B],Tabla2[ANY],$Z$150,Tabla2[MES],'2025'!P$2,Tabla2[TIPUS],'2025'!$A198)</f>
        <v>0</v>
      </c>
      <c r="Q198" s="21">
        <f>IF(P$197=0,0,P198/P$197)</f>
        <v>0</v>
      </c>
      <c r="R198" s="20">
        <f>SUMIFS(Tabla2[B],Tabla2[ANY],$Z$150,Tabla2[MES],'2025'!R$2,Tabla2[TIPUS],'2025'!$A198)</f>
        <v>0</v>
      </c>
      <c r="S198" s="21">
        <f>IF(R$197=0,0,R198/R$197)</f>
        <v>0</v>
      </c>
      <c r="T198" s="20">
        <f>SUMIFS(Tabla2[B],Tabla2[ANY],$Z$150,Tabla2[MES],'2025'!T$2,Tabla2[TIPUS],'2025'!$A198)</f>
        <v>0</v>
      </c>
      <c r="U198" s="21">
        <f>IF(T$197=0,0,T198/T$197)</f>
        <v>0</v>
      </c>
      <c r="V198" s="20">
        <f>SUMIFS(Tabla2[B],Tabla2[ANY],$Z$150,Tabla2[MES],'2025'!V$2,Tabla2[TIPUS],'2025'!$A198)</f>
        <v>0</v>
      </c>
      <c r="W198" s="21">
        <f>IF(V$197=0,0,V198/V$197)</f>
        <v>0</v>
      </c>
      <c r="X198" s="20">
        <f>SUMIFS(Tabla2[B],Tabla2[ANY],$Z$150,Tabla2[MES],'2025'!X$2,Tabla2[TIPUS],'2025'!$A198)</f>
        <v>0</v>
      </c>
      <c r="Y198" s="21">
        <f>IF(X$197=0,0,X198/X$197)</f>
        <v>0</v>
      </c>
      <c r="Z198" s="20">
        <f t="shared" si="204"/>
        <v>0</v>
      </c>
      <c r="AA198" s="21">
        <f>IF(Z$49=0,0,Z198/Z$49)</f>
        <v>0</v>
      </c>
    </row>
    <row r="199" spans="1:27" hidden="1" outlineLevel="1" x14ac:dyDescent="0.2">
      <c r="A199" s="8" t="s">
        <v>88</v>
      </c>
      <c r="B199" s="20">
        <f>SUMIFS(Tabla2[B],Tabla2[ANY],$Z$150,Tabla2[MES],'2025'!B$2,Tabla2[TIPUS],'2025'!$A199)</f>
        <v>0</v>
      </c>
      <c r="C199" s="21">
        <f t="shared" ref="C199:E202" si="207">IF(B$197=0,0,B199/B$197)</f>
        <v>0</v>
      </c>
      <c r="D199" s="20">
        <f>SUMIFS(Tabla2[B],Tabla2[ANY],$Z$150,Tabla2[MES],'2025'!D$2,Tabla2[TIPUS],'2025'!$A199)</f>
        <v>0</v>
      </c>
      <c r="E199" s="21">
        <f t="shared" si="207"/>
        <v>0</v>
      </c>
      <c r="F199" s="20">
        <f>SUMIFS(Tabla2[B],Tabla2[ANY],$Z$150,Tabla2[MES],'2025'!F$2,Tabla2[TIPUS],'2025'!$A199)</f>
        <v>0</v>
      </c>
      <c r="G199" s="21">
        <f>IF(F$197=0,0,F199/F$197)</f>
        <v>0</v>
      </c>
      <c r="H199" s="20">
        <f>SUMIFS(Tabla2[B],Tabla2[ANY],$Z$150,Tabla2[MES],'2025'!H$2,Tabla2[TIPUS],'2025'!$A199)</f>
        <v>0</v>
      </c>
      <c r="I199" s="21">
        <f>IF(H$197=0,0,H199/H$197)</f>
        <v>0</v>
      </c>
      <c r="J199" s="20">
        <f>SUMIFS(Tabla2[B],Tabla2[ANY],$Z$150,Tabla2[MES],'2025'!J$2,Tabla2[TIPUS],'2025'!$A199)</f>
        <v>0</v>
      </c>
      <c r="K199" s="21">
        <f>IF(J$197=0,0,J199/J$197)</f>
        <v>0</v>
      </c>
      <c r="L199" s="20">
        <f>SUMIFS(Tabla2[B],Tabla2[ANY],$Z$150,Tabla2[MES],'2025'!L$2,Tabla2[TIPUS],'2025'!$A199)</f>
        <v>0</v>
      </c>
      <c r="M199" s="21">
        <f>IF(L$197=0,0,L199/L$197)</f>
        <v>0</v>
      </c>
      <c r="N199" s="20">
        <f>SUMIFS(Tabla2[B],Tabla2[ANY],$Z$150,Tabla2[MES],'2025'!N$2,Tabla2[TIPUS],'2025'!$A199)</f>
        <v>0</v>
      </c>
      <c r="O199" s="21">
        <f>IF(N$197=0,0,N199/N$197)</f>
        <v>0</v>
      </c>
      <c r="P199" s="20">
        <f>SUMIFS(Tabla2[B],Tabla2[ANY],$Z$150,Tabla2[MES],'2025'!P$2,Tabla2[TIPUS],'2025'!$A199)</f>
        <v>0</v>
      </c>
      <c r="Q199" s="21">
        <f>IF(P$197=0,0,P199/P$197)</f>
        <v>0</v>
      </c>
      <c r="R199" s="20">
        <f>SUMIFS(Tabla2[B],Tabla2[ANY],$Z$150,Tabla2[MES],'2025'!R$2,Tabla2[TIPUS],'2025'!$A199)</f>
        <v>0</v>
      </c>
      <c r="S199" s="21">
        <f>IF(R$197=0,0,R199/R$197)</f>
        <v>0</v>
      </c>
      <c r="T199" s="20">
        <f>SUMIFS(Tabla2[B],Tabla2[ANY],$Z$150,Tabla2[MES],'2025'!T$2,Tabla2[TIPUS],'2025'!$A199)</f>
        <v>0</v>
      </c>
      <c r="U199" s="21">
        <f>IF(T$197=0,0,T199/T$197)</f>
        <v>0</v>
      </c>
      <c r="V199" s="20">
        <f>SUMIFS(Tabla2[B],Tabla2[ANY],$Z$150,Tabla2[MES],'2025'!V$2,Tabla2[TIPUS],'2025'!$A199)</f>
        <v>0</v>
      </c>
      <c r="W199" s="21">
        <f>IF(V$197=0,0,V199/V$197)</f>
        <v>0</v>
      </c>
      <c r="X199" s="20">
        <f>SUMIFS(Tabla2[B],Tabla2[ANY],$Z$150,Tabla2[MES],'2025'!X$2,Tabla2[TIPUS],'2025'!$A199)</f>
        <v>0</v>
      </c>
      <c r="Y199" s="21">
        <f>IF(X$197=0,0,X199/X$197)</f>
        <v>0</v>
      </c>
      <c r="Z199" s="20">
        <f t="shared" si="204"/>
        <v>0</v>
      </c>
      <c r="AA199" s="21">
        <f>IF(Z$49=0,0,Z199/Z$49)</f>
        <v>0</v>
      </c>
    </row>
    <row r="200" spans="1:27" hidden="1" outlineLevel="1" x14ac:dyDescent="0.2">
      <c r="A200" s="8" t="s">
        <v>89</v>
      </c>
      <c r="B200" s="20">
        <f>SUMIFS(Tabla2[B],Tabla2[ANY],$Z$150,Tabla2[MES],'2025'!B$2,Tabla2[TIPUS],'2025'!$A200)</f>
        <v>0</v>
      </c>
      <c r="C200" s="21">
        <f t="shared" si="207"/>
        <v>0</v>
      </c>
      <c r="D200" s="20">
        <f>SUMIFS(Tabla2[B],Tabla2[ANY],$Z$150,Tabla2[MES],'2025'!D$2,Tabla2[TIPUS],'2025'!$A200)</f>
        <v>120</v>
      </c>
      <c r="E200" s="21">
        <f t="shared" si="207"/>
        <v>0.25806451612903225</v>
      </c>
      <c r="F200" s="20">
        <f>SUMIFS(Tabla2[B],Tabla2[ANY],$Z$150,Tabla2[MES],'2025'!F$2,Tabla2[TIPUS],'2025'!$A200)</f>
        <v>0</v>
      </c>
      <c r="G200" s="21">
        <f>IF(F$197=0,0,F200/F$197)</f>
        <v>0</v>
      </c>
      <c r="H200" s="20">
        <f>SUMIFS(Tabla2[B],Tabla2[ANY],$Z$150,Tabla2[MES],'2025'!H$2,Tabla2[TIPUS],'2025'!$A200)</f>
        <v>0</v>
      </c>
      <c r="I200" s="21">
        <f>IF(H$197=0,0,H200/H$197)</f>
        <v>0</v>
      </c>
      <c r="J200" s="20">
        <f>SUMIFS(Tabla2[B],Tabla2[ANY],$Z$150,Tabla2[MES],'2025'!J$2,Tabla2[TIPUS],'2025'!$A200)</f>
        <v>0</v>
      </c>
      <c r="K200" s="21">
        <f>IF(J$197=0,0,J200/J$197)</f>
        <v>0</v>
      </c>
      <c r="L200" s="20">
        <f>SUMIFS(Tabla2[B],Tabla2[ANY],$Z$150,Tabla2[MES],'2025'!L$2,Tabla2[TIPUS],'2025'!$A200)</f>
        <v>40</v>
      </c>
      <c r="M200" s="21">
        <f>IF(L$197=0,0,L200/L$197)</f>
        <v>0.11764705882352941</v>
      </c>
      <c r="N200" s="20">
        <f>SUMIFS(Tabla2[B],Tabla2[ANY],$Z$150,Tabla2[MES],'2025'!N$2,Tabla2[TIPUS],'2025'!$A200)</f>
        <v>0</v>
      </c>
      <c r="O200" s="21">
        <f>IF(N$197=0,0,N200/N$197)</f>
        <v>0</v>
      </c>
      <c r="P200" s="20">
        <f>SUMIFS(Tabla2[B],Tabla2[ANY],$Z$150,Tabla2[MES],'2025'!P$2,Tabla2[TIPUS],'2025'!$A200)</f>
        <v>0</v>
      </c>
      <c r="Q200" s="21">
        <f>IF(P$197=0,0,P200/P$197)</f>
        <v>0</v>
      </c>
      <c r="R200" s="20">
        <f>SUMIFS(Tabla2[B],Tabla2[ANY],$Z$150,Tabla2[MES],'2025'!R$2,Tabla2[TIPUS],'2025'!$A200)</f>
        <v>0</v>
      </c>
      <c r="S200" s="21">
        <f>IF(R$197=0,0,R200/R$197)</f>
        <v>0</v>
      </c>
      <c r="T200" s="20">
        <f>SUMIFS(Tabla2[B],Tabla2[ANY],$Z$150,Tabla2[MES],'2025'!T$2,Tabla2[TIPUS],'2025'!$A200)</f>
        <v>0</v>
      </c>
      <c r="U200" s="21">
        <f>IF(T$197=0,0,T200/T$197)</f>
        <v>0</v>
      </c>
      <c r="V200" s="20">
        <f>SUMIFS(Tabla2[B],Tabla2[ANY],$Z$150,Tabla2[MES],'2025'!V$2,Tabla2[TIPUS],'2025'!$A200)</f>
        <v>0</v>
      </c>
      <c r="W200" s="21">
        <f>IF(V$197=0,0,V200/V$197)</f>
        <v>0</v>
      </c>
      <c r="X200" s="20">
        <f>SUMIFS(Tabla2[B],Tabla2[ANY],$Z$150,Tabla2[MES],'2025'!X$2,Tabla2[TIPUS],'2025'!$A200)</f>
        <v>0</v>
      </c>
      <c r="Y200" s="21">
        <f>IF(X$197=0,0,X200/X$197)</f>
        <v>0</v>
      </c>
      <c r="Z200" s="20">
        <f t="shared" si="204"/>
        <v>160</v>
      </c>
      <c r="AA200" s="21">
        <f>IF(Z$49=0,0,Z200/Z$49)</f>
        <v>5.3296558707824938E-2</v>
      </c>
    </row>
    <row r="201" spans="1:27" hidden="1" outlineLevel="1" x14ac:dyDescent="0.2">
      <c r="A201" s="8" t="s">
        <v>145</v>
      </c>
      <c r="B201" s="20">
        <f>SUMIFS(Tabla2[B],Tabla2[ANY],$Z$150,Tabla2[MES],'2025'!B$2,Tabla2[TIPUS],'2025'!$A201)</f>
        <v>0</v>
      </c>
      <c r="C201" s="21">
        <f>IF(B$197=0,0,B201/B$197)</f>
        <v>0</v>
      </c>
      <c r="D201" s="20">
        <f>SUMIFS(Tabla2[B],Tabla2[ANY],$Z$150,Tabla2[MES],'2025'!D$2,Tabla2[TIPUS],'2025'!$A201)</f>
        <v>0</v>
      </c>
      <c r="E201" s="21">
        <f>IF(D$197=0,0,D201/D$197)</f>
        <v>0</v>
      </c>
      <c r="F201" s="20">
        <f>SUMIFS(Tabla2[B],Tabla2[ANY],$Z$150,Tabla2[MES],'2025'!F$2,Tabla2[TIPUS],'2025'!$A201)</f>
        <v>0</v>
      </c>
      <c r="G201" s="21">
        <f>IF(F$197=0,0,F201/F$197)</f>
        <v>0</v>
      </c>
      <c r="H201" s="20">
        <f>SUMIFS(Tabla2[B],Tabla2[ANY],$Z$150,Tabla2[MES],'2025'!H$2,Tabla2[TIPUS],'2025'!$A201)</f>
        <v>0</v>
      </c>
      <c r="I201" s="21">
        <f>IF(H$197=0,0,H201/H$197)</f>
        <v>0</v>
      </c>
      <c r="J201" s="20">
        <f>SUMIFS(Tabla2[B],Tabla2[ANY],$Z$150,Tabla2[MES],'2025'!J$2,Tabla2[TIPUS],'2025'!$A201)</f>
        <v>0</v>
      </c>
      <c r="K201" s="21">
        <f>IF(J$197=0,0,J201/J$197)</f>
        <v>0</v>
      </c>
      <c r="L201" s="20">
        <f>SUMIFS(Tabla2[B],Tabla2[ANY],$Z$150,Tabla2[MES],'2025'!L$2,Tabla2[TIPUS],'2025'!$A201)</f>
        <v>0</v>
      </c>
      <c r="M201" s="21">
        <f>IF(L$197=0,0,L201/L$197)</f>
        <v>0</v>
      </c>
      <c r="N201" s="20">
        <f>SUMIFS(Tabla2[B],Tabla2[ANY],$Z$150,Tabla2[MES],'2025'!N$2,Tabla2[TIPUS],'2025'!$A201)</f>
        <v>0</v>
      </c>
      <c r="O201" s="21">
        <f>IF(N$197=0,0,N201/N$197)</f>
        <v>0</v>
      </c>
      <c r="P201" s="20">
        <f>SUMIFS(Tabla2[B],Tabla2[ANY],$Z$150,Tabla2[MES],'2025'!P$2,Tabla2[TIPUS],'2025'!$A201)</f>
        <v>0</v>
      </c>
      <c r="Q201" s="21">
        <f>IF(P$197=0,0,P201/P$197)</f>
        <v>0</v>
      </c>
      <c r="R201" s="20">
        <f>SUMIFS(Tabla2[B],Tabla2[ANY],$Z$150,Tabla2[MES],'2025'!R$2,Tabla2[TIPUS],'2025'!$A201)</f>
        <v>0</v>
      </c>
      <c r="S201" s="21">
        <f>IF(R$197=0,0,R201/R$197)</f>
        <v>0</v>
      </c>
      <c r="T201" s="20">
        <f>SUMIFS(Tabla2[B],Tabla2[ANY],$Z$150,Tabla2[MES],'2025'!T$2,Tabla2[TIPUS],'2025'!$A201)</f>
        <v>0</v>
      </c>
      <c r="U201" s="21">
        <f>IF(T$197=0,0,T201/T$197)</f>
        <v>0</v>
      </c>
      <c r="V201" s="20">
        <f>SUMIFS(Tabla2[B],Tabla2[ANY],$Z$150,Tabla2[MES],'2025'!V$2,Tabla2[TIPUS],'2025'!$A201)</f>
        <v>0</v>
      </c>
      <c r="W201" s="21">
        <f>IF(V$197=0,0,V201/V$197)</f>
        <v>0</v>
      </c>
      <c r="X201" s="20">
        <f>SUMIFS(Tabla2[B],Tabla2[ANY],$Z$150,Tabla2[MES],'2025'!X$2,Tabla2[TIPUS],'2025'!$A201)</f>
        <v>0</v>
      </c>
      <c r="Y201" s="21">
        <f>IF(X$197=0,0,X201/X$197)</f>
        <v>0</v>
      </c>
      <c r="Z201" s="20">
        <f>B201+D201+F201+H201+J201+L201+N201+P201+R201+T201+V201+X201</f>
        <v>0</v>
      </c>
      <c r="AA201" s="21">
        <f>IF(Z$49=0,0,Z201/Z$49)</f>
        <v>0</v>
      </c>
    </row>
    <row r="202" spans="1:27" hidden="1" outlineLevel="1" x14ac:dyDescent="0.2">
      <c r="A202" s="8" t="s">
        <v>90</v>
      </c>
      <c r="B202" s="20">
        <f>SUMIFS(Tabla2[B],Tabla2[ANY],$Z$150,Tabla2[MES],'2025'!B$2,Tabla2[TIPUS],'2025'!$A202)</f>
        <v>210</v>
      </c>
      <c r="C202" s="21">
        <f t="shared" si="207"/>
        <v>1</v>
      </c>
      <c r="D202" s="20">
        <f>SUMIFS(Tabla2[B],Tabla2[ANY],$Z$150,Tabla2[MES],'2025'!D$2,Tabla2[TIPUS],'2025'!$A202)</f>
        <v>345</v>
      </c>
      <c r="E202" s="21">
        <f t="shared" si="207"/>
        <v>0.74193548387096775</v>
      </c>
      <c r="F202" s="20">
        <f>SUMIFS(Tabla2[B],Tabla2[ANY],$Z$150,Tabla2[MES],'2025'!F$2,Tabla2[TIPUS],'2025'!$A202)</f>
        <v>430</v>
      </c>
      <c r="G202" s="21">
        <f>IF(F$197=0,0,F202/F$197)</f>
        <v>1</v>
      </c>
      <c r="H202" s="20">
        <f>SUMIFS(Tabla2[B],Tabla2[ANY],$Z$150,Tabla2[MES],'2025'!H$2,Tabla2[TIPUS],'2025'!$A202)</f>
        <v>120</v>
      </c>
      <c r="I202" s="21">
        <f>IF(H$197=0,0,H202/H$197)</f>
        <v>1</v>
      </c>
      <c r="J202" s="20">
        <f>SUMIFS(Tabla2[B],Tabla2[ANY],$Z$150,Tabla2[MES],'2025'!J$2,Tabla2[TIPUS],'2025'!$A202)</f>
        <v>280</v>
      </c>
      <c r="K202" s="21">
        <f>IF(J$197=0,0,J202/J$197)</f>
        <v>1</v>
      </c>
      <c r="L202" s="20">
        <f>SUMIFS(Tabla2[B],Tabla2[ANY],$Z$150,Tabla2[MES],'2025'!L$2,Tabla2[TIPUS],'2025'!$A202)</f>
        <v>300</v>
      </c>
      <c r="M202" s="21">
        <f>IF(L$197=0,0,L202/L$197)</f>
        <v>0.88235294117647056</v>
      </c>
      <c r="N202" s="20">
        <f>SUMIFS(Tabla2[B],Tabla2[ANY],$Z$150,Tabla2[MES],'2025'!N$2,Tabla2[TIPUS],'2025'!$A202)</f>
        <v>0</v>
      </c>
      <c r="O202" s="21">
        <f>IF(N$197=0,0,N202/N$197)</f>
        <v>0</v>
      </c>
      <c r="P202" s="20">
        <f>SUMIFS(Tabla2[B],Tabla2[ANY],$Z$150,Tabla2[MES],'2025'!P$2,Tabla2[TIPUS],'2025'!$A202)</f>
        <v>0</v>
      </c>
      <c r="Q202" s="21">
        <f>IF(P$197=0,0,P202/P$197)</f>
        <v>0</v>
      </c>
      <c r="R202" s="20">
        <f>SUMIFS(Tabla2[B],Tabla2[ANY],$Z$150,Tabla2[MES],'2025'!R$2,Tabla2[TIPUS],'2025'!$A202)</f>
        <v>0</v>
      </c>
      <c r="S202" s="21">
        <f>IF(R$197=0,0,R202/R$197)</f>
        <v>0</v>
      </c>
      <c r="T202" s="20">
        <f>SUMIFS(Tabla2[B],Tabla2[ANY],$Z$150,Tabla2[MES],'2025'!T$2,Tabla2[TIPUS],'2025'!$A202)</f>
        <v>0</v>
      </c>
      <c r="U202" s="21">
        <f>IF(T$197=0,0,T202/T$197)</f>
        <v>0</v>
      </c>
      <c r="V202" s="20">
        <f>SUMIFS(Tabla2[B],Tabla2[ANY],$Z$150,Tabla2[MES],'2025'!V$2,Tabla2[TIPUS],'2025'!$A202)</f>
        <v>0</v>
      </c>
      <c r="W202" s="21">
        <f>IF(V$197=0,0,V202/V$197)</f>
        <v>0</v>
      </c>
      <c r="X202" s="20">
        <f>SUMIFS(Tabla2[B],Tabla2[ANY],$Z$150,Tabla2[MES],'2025'!X$2,Tabla2[TIPUS],'2025'!$A202)</f>
        <v>0</v>
      </c>
      <c r="Y202" s="21">
        <f>IF(X$197=0,0,X202/X$197)</f>
        <v>0</v>
      </c>
      <c r="Z202" s="20">
        <f t="shared" si="204"/>
        <v>1685</v>
      </c>
      <c r="AA202" s="21">
        <f>IF(Z$49=0,0,Z202/Z$49)</f>
        <v>0.56127938389178145</v>
      </c>
    </row>
    <row r="203" spans="1:27" ht="15.75" collapsed="1" thickBot="1" x14ac:dyDescent="0.25">
      <c r="A203" s="15" t="s">
        <v>121</v>
      </c>
      <c r="B203" s="26">
        <f>B151-B188</f>
        <v>2735</v>
      </c>
      <c r="C203" s="27">
        <f>IF(B151=0,0,B203/B151)</f>
        <v>0.88368336025848138</v>
      </c>
      <c r="D203" s="26">
        <f>D151-D188</f>
        <v>1560</v>
      </c>
      <c r="E203" s="27">
        <f>IF(D151=0,0,D203/D151)</f>
        <v>0.71724137931034482</v>
      </c>
      <c r="F203" s="26">
        <f>F151-F188</f>
        <v>1995</v>
      </c>
      <c r="G203" s="27">
        <f>IF(F151=0,0,F203/F151)</f>
        <v>0.77475728155339807</v>
      </c>
      <c r="H203" s="26">
        <f>H151-H188</f>
        <v>1895</v>
      </c>
      <c r="I203" s="27">
        <f>IF(H151=0,0,H203/H151)</f>
        <v>0.87528868360277134</v>
      </c>
      <c r="J203" s="26">
        <f>J151-J188</f>
        <v>2350</v>
      </c>
      <c r="K203" s="27">
        <f>IF(J151=0,0,J203/J151)</f>
        <v>0.89353612167300378</v>
      </c>
      <c r="L203" s="26">
        <f>L151-L188</f>
        <v>2090</v>
      </c>
      <c r="M203" s="27">
        <f>IF(L151=0,0,L203/L151)</f>
        <v>0.86008230452674894</v>
      </c>
      <c r="N203" s="26">
        <f>N151-N188</f>
        <v>0</v>
      </c>
      <c r="O203" s="27">
        <f>IF(N151=0,0,N203/N151)</f>
        <v>0</v>
      </c>
      <c r="P203" s="26">
        <f>P151-P188</f>
        <v>0</v>
      </c>
      <c r="Q203" s="27">
        <f>IF(P151=0,0,P203/P151)</f>
        <v>0</v>
      </c>
      <c r="R203" s="26">
        <f>R151-R188</f>
        <v>0</v>
      </c>
      <c r="S203" s="27">
        <f>IF(R151=0,0,R203/R151)</f>
        <v>0</v>
      </c>
      <c r="T203" s="26">
        <f>T151-T188</f>
        <v>0</v>
      </c>
      <c r="U203" s="27">
        <f>IF(T151=0,0,T203/T151)</f>
        <v>0</v>
      </c>
      <c r="V203" s="26">
        <f>V151-V188</f>
        <v>0</v>
      </c>
      <c r="W203" s="27">
        <f>IF(V151=0,0,V203/V151)</f>
        <v>0</v>
      </c>
      <c r="X203" s="26">
        <f>X151-X188</f>
        <v>0</v>
      </c>
      <c r="Y203" s="27">
        <f>IF(X151=0,0,X203/X151)</f>
        <v>0</v>
      </c>
      <c r="Z203" s="26">
        <f>Z151-Z188</f>
        <v>12625</v>
      </c>
      <c r="AA203" s="27">
        <f>IF(Z151=0,0,Z203/Z151)</f>
        <v>0.83775713337757129</v>
      </c>
    </row>
    <row r="204" spans="1:27" ht="16.5" thickTop="1" thickBot="1" x14ac:dyDescent="0.25">
      <c r="A204" s="13" t="s">
        <v>120</v>
      </c>
      <c r="B204" s="28">
        <f>B205</f>
        <v>0</v>
      </c>
      <c r="C204" s="29">
        <f>IF(B151=0,0,B204/B151)</f>
        <v>0</v>
      </c>
      <c r="D204" s="28">
        <f>D205</f>
        <v>0</v>
      </c>
      <c r="E204" s="29">
        <f>IF(D151=0,0,D204/D151)</f>
        <v>0</v>
      </c>
      <c r="F204" s="28">
        <f>F205</f>
        <v>0</v>
      </c>
      <c r="G204" s="29">
        <f>IF(F151=0,0,F204/F151)</f>
        <v>0</v>
      </c>
      <c r="H204" s="28">
        <f>H205</f>
        <v>0</v>
      </c>
      <c r="I204" s="29">
        <f>IF(H151=0,0,H204/H151)</f>
        <v>0</v>
      </c>
      <c r="J204" s="28">
        <f>J205</f>
        <v>0</v>
      </c>
      <c r="K204" s="29">
        <f>IF(J151=0,0,J204/J151)</f>
        <v>0</v>
      </c>
      <c r="L204" s="28">
        <f>L205</f>
        <v>0</v>
      </c>
      <c r="M204" s="29">
        <f>IF(L151=0,0,L204/L151)</f>
        <v>0</v>
      </c>
      <c r="N204" s="28">
        <f>N205</f>
        <v>0</v>
      </c>
      <c r="O204" s="29">
        <f>IF(N151=0,0,N204/N151)</f>
        <v>0</v>
      </c>
      <c r="P204" s="28">
        <f>P205</f>
        <v>0</v>
      </c>
      <c r="Q204" s="29">
        <f>IF(P151=0,0,P204/P151)</f>
        <v>0</v>
      </c>
      <c r="R204" s="28">
        <f>R205</f>
        <v>0</v>
      </c>
      <c r="S204" s="29">
        <f>IF(R151=0,0,R204/R151)</f>
        <v>0</v>
      </c>
      <c r="T204" s="28">
        <f>T205</f>
        <v>0</v>
      </c>
      <c r="U204" s="29">
        <f>IF(T151=0,0,T204/T151)</f>
        <v>0</v>
      </c>
      <c r="V204" s="28">
        <f>V205</f>
        <v>0</v>
      </c>
      <c r="W204" s="29">
        <f>IF(V151=0,0,V204/V151)</f>
        <v>0</v>
      </c>
      <c r="X204" s="28">
        <f>X205</f>
        <v>0</v>
      </c>
      <c r="Y204" s="29">
        <f>IF(X151=0,0,X204/X151)</f>
        <v>0</v>
      </c>
      <c r="Z204" s="28">
        <f>Z205</f>
        <v>0</v>
      </c>
      <c r="AA204" s="29">
        <f>IF(Z151=0,0,Z204/Z151)</f>
        <v>0</v>
      </c>
    </row>
    <row r="205" spans="1:27" outlineLevel="1" x14ac:dyDescent="0.2">
      <c r="A205" s="8" t="s">
        <v>81</v>
      </c>
      <c r="B205" s="20">
        <v>0</v>
      </c>
      <c r="C205" s="21">
        <f>IF(B204=0,0,B205/B204)</f>
        <v>0</v>
      </c>
      <c r="D205" s="20">
        <v>0</v>
      </c>
      <c r="E205" s="21">
        <f>IF(D204=0,0,D205/D204)</f>
        <v>0</v>
      </c>
      <c r="F205" s="20">
        <v>0</v>
      </c>
      <c r="G205" s="21">
        <f>IF(F204=0,0,F205/F204)</f>
        <v>0</v>
      </c>
      <c r="H205" s="20">
        <v>0</v>
      </c>
      <c r="I205" s="21">
        <f>IF(H204=0,0,H205/H204)</f>
        <v>0</v>
      </c>
      <c r="J205" s="20">
        <v>0</v>
      </c>
      <c r="K205" s="21">
        <f>IF(J204=0,0,J205/J204)</f>
        <v>0</v>
      </c>
      <c r="L205" s="20">
        <v>0</v>
      </c>
      <c r="M205" s="21">
        <f>IF(L204=0,0,L205/L204)</f>
        <v>0</v>
      </c>
      <c r="N205" s="20">
        <v>0</v>
      </c>
      <c r="O205" s="21">
        <f>IF(N204=0,0,N205/N204)</f>
        <v>0</v>
      </c>
      <c r="P205" s="20">
        <v>0</v>
      </c>
      <c r="Q205" s="21">
        <f>IF(P204=0,0,P205/P204)</f>
        <v>0</v>
      </c>
      <c r="R205" s="20">
        <v>0</v>
      </c>
      <c r="S205" s="21">
        <f>IF(R204=0,0,R205/R204)</f>
        <v>0</v>
      </c>
      <c r="T205" s="20">
        <v>0</v>
      </c>
      <c r="U205" s="21">
        <f>IF(T204=0,0,T205/T204)</f>
        <v>0</v>
      </c>
      <c r="V205" s="20">
        <v>0</v>
      </c>
      <c r="W205" s="21">
        <f>IF(V204=0,0,V205/V204)</f>
        <v>0</v>
      </c>
      <c r="X205" s="20">
        <v>0</v>
      </c>
      <c r="Y205" s="21">
        <f>IF(X204=0,0,X205/X204)</f>
        <v>0</v>
      </c>
      <c r="Z205" s="20">
        <f>B205+D205+F205+H205+J205+L205+N205+P205+R205+T205+V205+X205</f>
        <v>0</v>
      </c>
      <c r="AA205" s="21">
        <f>IF(Z204=0,0,Z205/Z204)</f>
        <v>0</v>
      </c>
    </row>
    <row r="206" spans="1:27" ht="15.75" thickBot="1" x14ac:dyDescent="0.25">
      <c r="A206" s="15" t="s">
        <v>122</v>
      </c>
      <c r="B206" s="26">
        <f>B203-B204</f>
        <v>2735</v>
      </c>
      <c r="C206" s="27">
        <f>IF(B$151=0,0,B206/B$151)</f>
        <v>0.88368336025848138</v>
      </c>
      <c r="D206" s="26">
        <f>D203-D204</f>
        <v>1560</v>
      </c>
      <c r="E206" s="27">
        <f>IF(D$151=0,0,D206/D$151)</f>
        <v>0.71724137931034482</v>
      </c>
      <c r="F206" s="26">
        <f>F203-F204</f>
        <v>1995</v>
      </c>
      <c r="G206" s="27">
        <f>IF(F$151=0,0,F206/F$151)</f>
        <v>0.77475728155339807</v>
      </c>
      <c r="H206" s="26">
        <f>H203-H204</f>
        <v>1895</v>
      </c>
      <c r="I206" s="27">
        <f>IF(H$151=0,0,H206/H$151)</f>
        <v>0.87528868360277134</v>
      </c>
      <c r="J206" s="26">
        <f>J203-J204</f>
        <v>2350</v>
      </c>
      <c r="K206" s="27">
        <f>IF(J$151=0,0,J206/J$151)</f>
        <v>0.89353612167300378</v>
      </c>
      <c r="L206" s="26">
        <f>L203-L204</f>
        <v>2090</v>
      </c>
      <c r="M206" s="27">
        <f>IF(L$151=0,0,L206/L$151)</f>
        <v>0.86008230452674894</v>
      </c>
      <c r="N206" s="26">
        <f>N203-N204</f>
        <v>0</v>
      </c>
      <c r="O206" s="27">
        <f>IF(N$151=0,0,N206/N$151)</f>
        <v>0</v>
      </c>
      <c r="P206" s="26">
        <f>P203-P204</f>
        <v>0</v>
      </c>
      <c r="Q206" s="27">
        <f>IF(P$151=0,0,P206/P$151)</f>
        <v>0</v>
      </c>
      <c r="R206" s="26">
        <f>R203-R204</f>
        <v>0</v>
      </c>
      <c r="S206" s="27">
        <f>IF(R$151=0,0,R206/R$151)</f>
        <v>0</v>
      </c>
      <c r="T206" s="26">
        <f>T203-T204</f>
        <v>0</v>
      </c>
      <c r="U206" s="27">
        <f>IF(T$151=0,0,T206/T$151)</f>
        <v>0</v>
      </c>
      <c r="V206" s="26">
        <f>V203-V204</f>
        <v>0</v>
      </c>
      <c r="W206" s="27">
        <f>IF(V$151=0,0,V206/V$151)</f>
        <v>0</v>
      </c>
      <c r="X206" s="26">
        <f>X203-X204</f>
        <v>0</v>
      </c>
      <c r="Y206" s="27">
        <f>IF(X$151=0,0,X206/X$151)</f>
        <v>0</v>
      </c>
      <c r="Z206" s="26">
        <f>Z203-Z204</f>
        <v>12625</v>
      </c>
      <c r="AA206" s="27">
        <f>IF(Z$3=0,0,Z206/Z$3)</f>
        <v>0.54962995211144972</v>
      </c>
    </row>
    <row r="207" spans="1:27" ht="16.5" thickTop="1" thickBot="1" x14ac:dyDescent="0.25">
      <c r="A207" s="13" t="s">
        <v>134</v>
      </c>
      <c r="B207" s="28">
        <f>B208</f>
        <v>0</v>
      </c>
      <c r="C207" s="29">
        <f>IF(B$151=0,0,B207/B$151)</f>
        <v>0</v>
      </c>
      <c r="D207" s="28">
        <f>D208</f>
        <v>0</v>
      </c>
      <c r="E207" s="29">
        <f>IF(D$151=0,0,D207/D$151)</f>
        <v>0</v>
      </c>
      <c r="F207" s="28">
        <f>F208</f>
        <v>0</v>
      </c>
      <c r="G207" s="29">
        <f>IF(F$151=0,0,F207/F$151)</f>
        <v>0</v>
      </c>
      <c r="H207" s="28">
        <f>H208</f>
        <v>0</v>
      </c>
      <c r="I207" s="29">
        <f>IF(H$151=0,0,H207/H$151)</f>
        <v>0</v>
      </c>
      <c r="J207" s="28">
        <f>J208</f>
        <v>0</v>
      </c>
      <c r="K207" s="29">
        <f>IF(J$151=0,0,J207/J$151)</f>
        <v>0</v>
      </c>
      <c r="L207" s="28">
        <f>L208</f>
        <v>0</v>
      </c>
      <c r="M207" s="29">
        <f>IF(L$151=0,0,L207/L$151)</f>
        <v>0</v>
      </c>
      <c r="N207" s="28">
        <f>N208</f>
        <v>0</v>
      </c>
      <c r="O207" s="29">
        <f>IF(N$151=0,0,N207/N$151)</f>
        <v>0</v>
      </c>
      <c r="P207" s="28">
        <f>P208</f>
        <v>0</v>
      </c>
      <c r="Q207" s="29">
        <f>IF(P$151=0,0,P207/P$151)</f>
        <v>0</v>
      </c>
      <c r="R207" s="28">
        <f>R208</f>
        <v>0</v>
      </c>
      <c r="S207" s="29">
        <f>IF(R$151=0,0,R207/R$151)</f>
        <v>0</v>
      </c>
      <c r="T207" s="28">
        <f>T208</f>
        <v>0</v>
      </c>
      <c r="U207" s="29">
        <f>IF(T$151=0,0,T207/T$151)</f>
        <v>0</v>
      </c>
      <c r="V207" s="28">
        <f>V208</f>
        <v>0</v>
      </c>
      <c r="W207" s="29">
        <f>IF(V$151=0,0,V207/V$151)</f>
        <v>0</v>
      </c>
      <c r="X207" s="28">
        <f>X208</f>
        <v>0</v>
      </c>
      <c r="Y207" s="29">
        <f>IF(X$151=0,0,X207/X$151)</f>
        <v>0</v>
      </c>
      <c r="Z207" s="28">
        <f>Z208</f>
        <v>0</v>
      </c>
      <c r="AA207" s="29">
        <f>IF(Z$3=0,0,Z207/Z$3)</f>
        <v>0</v>
      </c>
    </row>
    <row r="208" spans="1:27" hidden="1" outlineLevel="1" x14ac:dyDescent="0.2">
      <c r="A208" s="8" t="s">
        <v>133</v>
      </c>
      <c r="B208" s="20">
        <f>SUMIFS(Tabla2[B],Tabla2[ANY],2020,Tabla2[MES],'2025'!B$2,Tabla2[TIPUS],'2025'!$A208)</f>
        <v>0</v>
      </c>
      <c r="C208" s="44">
        <f>IF(B207=0,0,B208/B207)</f>
        <v>0</v>
      </c>
      <c r="D208" s="20">
        <f>SUMIFS(Tabla2[B],Tabla2[ANY],2020,Tabla2[MES],'2025'!D$2,Tabla2[TIPUS],'2025'!$A208)</f>
        <v>0</v>
      </c>
      <c r="E208" s="44">
        <f>IF(D207=0,0,D208/D207)</f>
        <v>0</v>
      </c>
      <c r="F208" s="20">
        <f>SUMIFS(Tabla2[B],Tabla2[ANY],2020,Tabla2[MES],'2025'!F$2,Tabla2[TIPUS],'2025'!$A208)</f>
        <v>0</v>
      </c>
      <c r="G208" s="44">
        <f>IF(F207=0,0,F208/F207)</f>
        <v>0</v>
      </c>
      <c r="H208" s="20">
        <f>SUMIFS(Tabla2[B],Tabla2[ANY],2020,Tabla2[MES],'2025'!H$2,Tabla2[TIPUS],'2025'!$A208)</f>
        <v>0</v>
      </c>
      <c r="I208" s="44">
        <f>IF(H207=0,0,H208/H207)</f>
        <v>0</v>
      </c>
      <c r="J208" s="20">
        <f>SUMIFS(Tabla2[B],Tabla2[ANY],2020,Tabla2[MES],'2025'!J$2,Tabla2[TIPUS],'2025'!$A208)</f>
        <v>0</v>
      </c>
      <c r="K208" s="44">
        <f>IF(J207=0,0,J208/J207)</f>
        <v>0</v>
      </c>
      <c r="L208" s="20">
        <f>SUMIFS(Tabla2[B],Tabla2[ANY],2020,Tabla2[MES],'2025'!L$2,Tabla2[TIPUS],'2025'!$A208)</f>
        <v>0</v>
      </c>
      <c r="M208" s="44">
        <f>IF(L207=0,0,L208/L207)</f>
        <v>0</v>
      </c>
      <c r="N208" s="20">
        <f>SUMIFS(Tabla2[B],Tabla2[ANY],2020,Tabla2[MES],'2025'!N$2,Tabla2[TIPUS],'2025'!$A208)</f>
        <v>0</v>
      </c>
      <c r="O208" s="44">
        <f>IF(N207=0,0,N208/N207)</f>
        <v>0</v>
      </c>
      <c r="P208" s="20">
        <f>SUMIFS(Tabla2[B],Tabla2[ANY],2020,Tabla2[MES],'2025'!P$2,Tabla2[TIPUS],'2025'!$A208)</f>
        <v>0</v>
      </c>
      <c r="Q208" s="44">
        <f>IF(P207=0,0,P208/P207)</f>
        <v>0</v>
      </c>
      <c r="R208" s="20">
        <f>SUMIFS(Tabla2[B],Tabla2[ANY],2020,Tabla2[MES],'2025'!R$2,Tabla2[TIPUS],'2025'!$A208)</f>
        <v>0</v>
      </c>
      <c r="S208" s="44">
        <f>IF(R207=0,0,R208/R207)</f>
        <v>0</v>
      </c>
      <c r="T208" s="20">
        <f>SUMIFS(Tabla2[B],Tabla2[ANY],2020,Tabla2[MES],'2025'!T$2,Tabla2[TIPUS],'2025'!$A208)</f>
        <v>0</v>
      </c>
      <c r="U208" s="44">
        <f>IF(T207=0,0,T208/T207)</f>
        <v>0</v>
      </c>
      <c r="V208" s="20">
        <f>SUMIFS(Tabla2[B],Tabla2[ANY],2020,Tabla2[MES],'2025'!V$2,Tabla2[TIPUS],'2025'!$A208)</f>
        <v>0</v>
      </c>
      <c r="W208" s="44">
        <f>IF(V207=0,0,V208/V207)</f>
        <v>0</v>
      </c>
      <c r="X208" s="20">
        <f>SUMIFS(Tabla2[B],Tabla2[ANY],2020,Tabla2[MES],'2025'!X$2,Tabla2[TIPUS],'2025'!$A208)</f>
        <v>0</v>
      </c>
      <c r="Y208" s="44">
        <f>IF(X207=0,0,X208/X207)</f>
        <v>0</v>
      </c>
      <c r="Z208" s="20">
        <f>B208+D208+F208+H208+J208+L208+N208+P208+R208+T208+V208+X208</f>
        <v>0</v>
      </c>
      <c r="AA208" s="44">
        <f>IF(Z207=0,0,Z208/Z207)</f>
        <v>0</v>
      </c>
    </row>
    <row r="209" spans="1:27" ht="15.75" collapsed="1" thickBot="1" x14ac:dyDescent="0.25">
      <c r="A209" s="15" t="s">
        <v>135</v>
      </c>
      <c r="B209" s="26">
        <f>B206-B208</f>
        <v>2735</v>
      </c>
      <c r="C209" s="27">
        <f>IF(B$151=0,0,B209/B$151)</f>
        <v>0.88368336025848138</v>
      </c>
      <c r="D209" s="26">
        <f>D206-D208</f>
        <v>1560</v>
      </c>
      <c r="E209" s="27">
        <f>IF(D$151=0,0,D209/D$151)</f>
        <v>0.71724137931034482</v>
      </c>
      <c r="F209" s="26">
        <f>F206-F208</f>
        <v>1995</v>
      </c>
      <c r="G209" s="27">
        <f>IF(F$151=0,0,F209/F$151)</f>
        <v>0.77475728155339807</v>
      </c>
      <c r="H209" s="26">
        <f>H206-H208</f>
        <v>1895</v>
      </c>
      <c r="I209" s="27">
        <f>IF(H$151=0,0,H209/H$151)</f>
        <v>0.87528868360277134</v>
      </c>
      <c r="J209" s="26">
        <f>J206-J208</f>
        <v>2350</v>
      </c>
      <c r="K209" s="27">
        <f>IF(J$151=0,0,J209/J$151)</f>
        <v>0.89353612167300378</v>
      </c>
      <c r="L209" s="26">
        <f>L206-L208</f>
        <v>2090</v>
      </c>
      <c r="M209" s="27">
        <f>IF(L$151=0,0,L209/L$151)</f>
        <v>0.86008230452674894</v>
      </c>
      <c r="N209" s="26">
        <f>N206-N208</f>
        <v>0</v>
      </c>
      <c r="O209" s="27">
        <f>IF(N$151=0,0,N209/N$151)</f>
        <v>0</v>
      </c>
      <c r="P209" s="26">
        <f>P206-P208</f>
        <v>0</v>
      </c>
      <c r="Q209" s="27">
        <f>IF(P$151=0,0,P209/P$151)</f>
        <v>0</v>
      </c>
      <c r="R209" s="26">
        <f>R206-R208</f>
        <v>0</v>
      </c>
      <c r="S209" s="27">
        <f>IF(R$151=0,0,R209/R$151)</f>
        <v>0</v>
      </c>
      <c r="T209" s="26">
        <f>T206-T208</f>
        <v>0</v>
      </c>
      <c r="U209" s="27">
        <f>IF(T$151=0,0,T209/T$151)</f>
        <v>0</v>
      </c>
      <c r="V209" s="26">
        <f>V206-V208</f>
        <v>0</v>
      </c>
      <c r="W209" s="27">
        <f>IF(V$151=0,0,V209/V$151)</f>
        <v>0</v>
      </c>
      <c r="X209" s="26">
        <f>X206-X208</f>
        <v>0</v>
      </c>
      <c r="Y209" s="27">
        <f>IF(X$151=0,0,X209/X$151)</f>
        <v>0</v>
      </c>
      <c r="Z209" s="26">
        <f>Z206-Z208</f>
        <v>12625</v>
      </c>
      <c r="AA209" s="27">
        <f>IF(Z$3=0,0,Z209/Z$3)</f>
        <v>0.54962995211144972</v>
      </c>
    </row>
    <row r="210" spans="1:27" ht="15.75" thickTop="1" x14ac:dyDescent="0.2">
      <c r="A210" s="8" t="s">
        <v>123</v>
      </c>
      <c r="B210" s="20">
        <f>SUMIFS(Tabla2[B],Tabla2[ANY],$Z$2,Tabla2[MES],'2025'!B$2,Tabla2[TIPUS],'2025'!$A210)</f>
        <v>0</v>
      </c>
      <c r="C210" s="21">
        <f>IF(B$151=0,0,B210/B$151)</f>
        <v>0</v>
      </c>
      <c r="D210" s="20">
        <f>SUMIFS(Tabla2[B],Tabla2[ANY],$Z$2,Tabla2[MES],'2025'!D$2,Tabla2[TIPUS],'2025'!$A210)</f>
        <v>0</v>
      </c>
      <c r="E210" s="21">
        <f>IF(D$151=0,0,D210/D$151)</f>
        <v>0</v>
      </c>
      <c r="F210" s="20">
        <f>SUMIFS(Tabla2[B],Tabla2[ANY],$Z$2,Tabla2[MES],'2025'!F$2,Tabla2[TIPUS],'2025'!$A210)</f>
        <v>0</v>
      </c>
      <c r="G210" s="21">
        <f>IF(F$151=0,0,F210/F$151)</f>
        <v>0</v>
      </c>
      <c r="H210" s="20">
        <f>SUMIFS(Tabla2[B],Tabla2[ANY],$Z$2,Tabla2[MES],'2025'!H$2,Tabla2[TIPUS],'2025'!$A210)</f>
        <v>0</v>
      </c>
      <c r="I210" s="21">
        <f>IF(H$151=0,0,H210/H$151)</f>
        <v>0</v>
      </c>
      <c r="J210" s="20">
        <f>SUMIFS(Tabla2[B],Tabla2[ANY],$Z$2,Tabla2[MES],'2025'!J$2,Tabla2[TIPUS],'2025'!$A210)</f>
        <v>0</v>
      </c>
      <c r="K210" s="21">
        <f>IF(J$151=0,0,J210/J$151)</f>
        <v>0</v>
      </c>
      <c r="L210" s="20">
        <f>SUMIFS(Tabla2[B],Tabla2[ANY],$Z$2,Tabla2[MES],'2025'!L$2,Tabla2[TIPUS],'2025'!$A210)</f>
        <v>0</v>
      </c>
      <c r="M210" s="21">
        <f>IF(L$151=0,0,L210/L$151)</f>
        <v>0</v>
      </c>
      <c r="N210" s="20">
        <f>SUMIFS(Tabla2[B],Tabla2[ANY],$Z$2,Tabla2[MES],'2025'!N$2,Tabla2[TIPUS],'2025'!$A210)</f>
        <v>0</v>
      </c>
      <c r="O210" s="21">
        <f>IF(N$151=0,0,N210/N$151)</f>
        <v>0</v>
      </c>
      <c r="P210" s="20">
        <f>SUMIFS(Tabla2[B],Tabla2[ANY],$Z$2,Tabla2[MES],'2025'!P$2,Tabla2[TIPUS],'2025'!$A210)</f>
        <v>0</v>
      </c>
      <c r="Q210" s="21">
        <f>IF(P$151=0,0,P210/P$151)</f>
        <v>0</v>
      </c>
      <c r="R210" s="20">
        <f>SUMIFS(Tabla2[B],Tabla2[ANY],$Z$2,Tabla2[MES],'2025'!R$2,Tabla2[TIPUS],'2025'!$A210)</f>
        <v>0</v>
      </c>
      <c r="S210" s="21">
        <f>IF(R$151=0,0,R210/R$151)</f>
        <v>0</v>
      </c>
      <c r="T210" s="20">
        <f>SUMIFS(Tabla2[B],Tabla2[ANY],$Z$2,Tabla2[MES],'2025'!T$2,Tabla2[TIPUS],'2025'!$A210)</f>
        <v>0</v>
      </c>
      <c r="U210" s="21">
        <f>IF(T$151=0,0,T210/T$151)</f>
        <v>0</v>
      </c>
      <c r="V210" s="20">
        <f>SUMIFS(Tabla2[B],Tabla2[ANY],$Z$2,Tabla2[MES],'2025'!V$2,Tabla2[TIPUS],'2025'!$A210)</f>
        <v>0</v>
      </c>
      <c r="W210" s="21">
        <f>IF(V$151=0,0,V210/V$151)</f>
        <v>0</v>
      </c>
      <c r="X210" s="20">
        <f>SUMIFS(Tabla2[B],Tabla2[ANY],2020,Tabla2[MES],'2025'!X$2,Tabla2[TIPUS],'2025'!$A210)</f>
        <v>0</v>
      </c>
      <c r="Y210" s="21">
        <f>IF(X$151=0,0,X210/X$151)</f>
        <v>0</v>
      </c>
      <c r="Z210" s="20">
        <f>B210+D210+F210+H210+J210+L210+N210+P210+R210+T210+V210+X210</f>
        <v>0</v>
      </c>
      <c r="AA210" s="21">
        <f>IF(Z$3=0,0,Z210/Z$3)</f>
        <v>0</v>
      </c>
    </row>
    <row r="211" spans="1:27" ht="15.75" thickBot="1" x14ac:dyDescent="0.25">
      <c r="A211" s="15" t="s">
        <v>124</v>
      </c>
      <c r="B211" s="26">
        <f>B209-B210</f>
        <v>2735</v>
      </c>
      <c r="C211" s="27">
        <f>IF(B151=0,0,B211/B151)</f>
        <v>0.88368336025848138</v>
      </c>
      <c r="D211" s="26">
        <f>D209-D210</f>
        <v>1560</v>
      </c>
      <c r="E211" s="27">
        <f>IF(D151=0,0,D211/D151)</f>
        <v>0.71724137931034482</v>
      </c>
      <c r="F211" s="26">
        <f>F209-F210</f>
        <v>1995</v>
      </c>
      <c r="G211" s="27">
        <f>IF(F151=0,0,F211/F151)</f>
        <v>0.77475728155339807</v>
      </c>
      <c r="H211" s="26">
        <f>H209-H210</f>
        <v>1895</v>
      </c>
      <c r="I211" s="27">
        <f>IF(H151=0,0,H211/H151)</f>
        <v>0.87528868360277134</v>
      </c>
      <c r="J211" s="26">
        <f>J209-J210</f>
        <v>2350</v>
      </c>
      <c r="K211" s="27">
        <f>IF(J151=0,0,J211/J151)</f>
        <v>0.89353612167300378</v>
      </c>
      <c r="L211" s="26">
        <f>L209-L210</f>
        <v>2090</v>
      </c>
      <c r="M211" s="27">
        <f>IF(L151=0,0,L211/L151)</f>
        <v>0.86008230452674894</v>
      </c>
      <c r="N211" s="26">
        <f>N209-N210</f>
        <v>0</v>
      </c>
      <c r="O211" s="27">
        <f>IF(N151=0,0,N211/N151)</f>
        <v>0</v>
      </c>
      <c r="P211" s="26">
        <f>P209-P210</f>
        <v>0</v>
      </c>
      <c r="Q211" s="27">
        <f>IF(P151=0,0,P211/P151)</f>
        <v>0</v>
      </c>
      <c r="R211" s="26">
        <f>R209-R210</f>
        <v>0</v>
      </c>
      <c r="S211" s="27">
        <f>IF(R151=0,0,R211/R151)</f>
        <v>0</v>
      </c>
      <c r="T211" s="26">
        <f>T209-T210</f>
        <v>0</v>
      </c>
      <c r="U211" s="27">
        <f>IF(T151=0,0,T211/T151)</f>
        <v>0</v>
      </c>
      <c r="V211" s="26">
        <f>V209-V210</f>
        <v>0</v>
      </c>
      <c r="W211" s="27">
        <f>IF(V151=0,0,V211/V151)</f>
        <v>0</v>
      </c>
      <c r="X211" s="26">
        <f>X209-X210</f>
        <v>0</v>
      </c>
      <c r="Y211" s="27">
        <f>IF(X151=0,0,X211/X151)</f>
        <v>0</v>
      </c>
      <c r="Z211" s="26">
        <f>Z209-Z210</f>
        <v>12625</v>
      </c>
      <c r="AA211" s="27">
        <f>IF(Z151=0,0,Z211/Z151)</f>
        <v>0.83775713337757129</v>
      </c>
    </row>
    <row r="212" spans="1:27" ht="16.5" thickTop="1" thickBot="1" x14ac:dyDescent="0.25">
      <c r="B212" s="30"/>
      <c r="C212" s="31"/>
      <c r="D212" s="30"/>
      <c r="E212" s="31"/>
      <c r="F212" s="30"/>
      <c r="G212" s="31"/>
      <c r="H212" s="30"/>
      <c r="I212" s="31"/>
      <c r="J212" s="30"/>
      <c r="K212" s="31"/>
      <c r="L212" s="30"/>
      <c r="M212" s="31"/>
      <c r="N212" s="30"/>
      <c r="O212" s="31"/>
      <c r="P212" s="30"/>
      <c r="Q212" s="31"/>
      <c r="R212" s="30"/>
      <c r="S212" s="31"/>
      <c r="T212" s="30"/>
      <c r="U212" s="31"/>
      <c r="V212" s="30"/>
      <c r="W212" s="31"/>
      <c r="X212" s="30"/>
      <c r="Y212" s="31"/>
      <c r="Z212" s="30"/>
      <c r="AA212" s="31"/>
    </row>
    <row r="213" spans="1:27" ht="15.75" thickBot="1" x14ac:dyDescent="0.25">
      <c r="A213" s="210" t="s">
        <v>136</v>
      </c>
    </row>
    <row r="214" spans="1:27" x14ac:dyDescent="0.2">
      <c r="A214" s="210"/>
      <c r="B214" s="208" t="s">
        <v>48</v>
      </c>
      <c r="C214" s="209"/>
      <c r="D214" s="208" t="s">
        <v>56</v>
      </c>
      <c r="E214" s="209"/>
      <c r="F214" s="208" t="s">
        <v>57</v>
      </c>
      <c r="G214" s="209"/>
      <c r="H214" s="208" t="s">
        <v>58</v>
      </c>
      <c r="I214" s="209"/>
      <c r="J214" s="208" t="s">
        <v>59</v>
      </c>
      <c r="K214" s="209"/>
      <c r="L214" s="208" t="s">
        <v>60</v>
      </c>
      <c r="M214" s="209"/>
      <c r="N214" s="208" t="s">
        <v>61</v>
      </c>
      <c r="O214" s="209"/>
      <c r="P214" s="208" t="s">
        <v>62</v>
      </c>
      <c r="Q214" s="209"/>
      <c r="R214" s="208" t="s">
        <v>236</v>
      </c>
      <c r="S214" s="209"/>
      <c r="T214" s="208" t="s">
        <v>63</v>
      </c>
      <c r="U214" s="209"/>
      <c r="V214" s="208" t="s">
        <v>64</v>
      </c>
      <c r="W214" s="209"/>
      <c r="X214" s="208" t="s">
        <v>65</v>
      </c>
      <c r="Y214" s="209"/>
      <c r="Z214" s="208">
        <f>Z2</f>
        <v>2025</v>
      </c>
      <c r="AA214" s="209"/>
    </row>
    <row r="215" spans="1:27" x14ac:dyDescent="0.2">
      <c r="A215" t="s">
        <v>125</v>
      </c>
      <c r="B215" s="20">
        <f>B151</f>
        <v>3095</v>
      </c>
      <c r="C215" s="38">
        <f t="shared" ref="C215:C221" si="208">B215</f>
        <v>3095</v>
      </c>
      <c r="D215" s="20">
        <f>D151</f>
        <v>2175</v>
      </c>
      <c r="E215" s="38">
        <f>C221+D215</f>
        <v>4910</v>
      </c>
      <c r="F215" s="20">
        <f>F151</f>
        <v>2575</v>
      </c>
      <c r="G215" s="38">
        <f>E221+F215</f>
        <v>6870</v>
      </c>
      <c r="H215" s="20">
        <f>H151</f>
        <v>2165</v>
      </c>
      <c r="I215" s="38">
        <f>G221+H215</f>
        <v>8455</v>
      </c>
      <c r="J215" s="20">
        <f>J151</f>
        <v>2630</v>
      </c>
      <c r="K215" s="38">
        <f>I221+J215</f>
        <v>10815</v>
      </c>
      <c r="L215" s="20">
        <f>L151</f>
        <v>2430</v>
      </c>
      <c r="M215" s="38">
        <f>K221+L215</f>
        <v>12965</v>
      </c>
      <c r="N215" s="20">
        <f>N151</f>
        <v>0</v>
      </c>
      <c r="O215" s="38">
        <f>M221+N215</f>
        <v>12625</v>
      </c>
      <c r="P215" s="20">
        <f>P151</f>
        <v>0</v>
      </c>
      <c r="Q215" s="38">
        <f>O221+P215</f>
        <v>12625</v>
      </c>
      <c r="R215" s="20">
        <f>R151</f>
        <v>0</v>
      </c>
      <c r="S215" s="38">
        <f>Q221+R215</f>
        <v>12625</v>
      </c>
      <c r="T215" s="20">
        <f>T151</f>
        <v>0</v>
      </c>
      <c r="U215" s="38">
        <f>S221+T215</f>
        <v>12625</v>
      </c>
      <c r="V215" s="20">
        <f>V151</f>
        <v>0</v>
      </c>
      <c r="W215" s="38">
        <f>U221+V215</f>
        <v>12625</v>
      </c>
      <c r="X215" s="20">
        <f>X151</f>
        <v>0</v>
      </c>
      <c r="Y215" s="38">
        <f>W221+X215</f>
        <v>12625</v>
      </c>
      <c r="Z215" s="200">
        <f>Z151</f>
        <v>15070</v>
      </c>
      <c r="AA215" s="201"/>
    </row>
    <row r="216" spans="1:27" x14ac:dyDescent="0.2">
      <c r="A216" t="s">
        <v>126</v>
      </c>
      <c r="B216" s="20">
        <f>B188</f>
        <v>360</v>
      </c>
      <c r="C216" s="38">
        <f t="shared" si="208"/>
        <v>360</v>
      </c>
      <c r="D216" s="20">
        <f>D188</f>
        <v>615</v>
      </c>
      <c r="E216" s="38">
        <f>D216</f>
        <v>615</v>
      </c>
      <c r="F216" s="20">
        <f>F188</f>
        <v>580</v>
      </c>
      <c r="G216" s="38">
        <f>F216</f>
        <v>580</v>
      </c>
      <c r="H216" s="20">
        <f>H188</f>
        <v>270</v>
      </c>
      <c r="I216" s="38">
        <f>H216</f>
        <v>270</v>
      </c>
      <c r="J216" s="20">
        <f>J188</f>
        <v>280</v>
      </c>
      <c r="K216" s="38">
        <f>J216</f>
        <v>280</v>
      </c>
      <c r="L216" s="20">
        <f>L188</f>
        <v>340</v>
      </c>
      <c r="M216" s="38">
        <f>L216</f>
        <v>340</v>
      </c>
      <c r="N216" s="20">
        <f>N188</f>
        <v>0</v>
      </c>
      <c r="O216" s="38">
        <f>N216</f>
        <v>0</v>
      </c>
      <c r="P216" s="20">
        <f>P188</f>
        <v>0</v>
      </c>
      <c r="Q216" s="38">
        <f>P216</f>
        <v>0</v>
      </c>
      <c r="R216" s="20">
        <f>R188</f>
        <v>0</v>
      </c>
      <c r="S216" s="38">
        <f>R216</f>
        <v>0</v>
      </c>
      <c r="T216" s="20">
        <f>T188</f>
        <v>0</v>
      </c>
      <c r="U216" s="38">
        <f>T216</f>
        <v>0</v>
      </c>
      <c r="V216" s="20">
        <f>V188</f>
        <v>0</v>
      </c>
      <c r="W216" s="38">
        <f>V216</f>
        <v>0</v>
      </c>
      <c r="X216" s="20">
        <f>X188</f>
        <v>0</v>
      </c>
      <c r="Y216" s="38">
        <f>X216</f>
        <v>0</v>
      </c>
      <c r="Z216" s="200">
        <f>Z188</f>
        <v>2445</v>
      </c>
      <c r="AA216" s="201"/>
    </row>
    <row r="217" spans="1:27" ht="15.75" thickBot="1" x14ac:dyDescent="0.25">
      <c r="A217" s="36" t="s">
        <v>127</v>
      </c>
      <c r="B217" s="37">
        <f>B215-B216</f>
        <v>2735</v>
      </c>
      <c r="C217" s="39">
        <f t="shared" si="208"/>
        <v>2735</v>
      </c>
      <c r="D217" s="37">
        <f t="shared" ref="D217:Y217" si="209">D215-D216</f>
        <v>1560</v>
      </c>
      <c r="E217" s="39">
        <f t="shared" si="209"/>
        <v>4295</v>
      </c>
      <c r="F217" s="37">
        <f t="shared" si="209"/>
        <v>1995</v>
      </c>
      <c r="G217" s="39">
        <f t="shared" si="209"/>
        <v>6290</v>
      </c>
      <c r="H217" s="37">
        <f t="shared" si="209"/>
        <v>1895</v>
      </c>
      <c r="I217" s="39">
        <f t="shared" si="209"/>
        <v>8185</v>
      </c>
      <c r="J217" s="37">
        <f t="shared" si="209"/>
        <v>2350</v>
      </c>
      <c r="K217" s="39">
        <f t="shared" si="209"/>
        <v>10535</v>
      </c>
      <c r="L217" s="37">
        <f t="shared" si="209"/>
        <v>2090</v>
      </c>
      <c r="M217" s="39">
        <f t="shared" si="209"/>
        <v>12625</v>
      </c>
      <c r="N217" s="37">
        <f t="shared" si="209"/>
        <v>0</v>
      </c>
      <c r="O217" s="39">
        <f t="shared" si="209"/>
        <v>12625</v>
      </c>
      <c r="P217" s="37">
        <f t="shared" si="209"/>
        <v>0</v>
      </c>
      <c r="Q217" s="39">
        <f t="shared" si="209"/>
        <v>12625</v>
      </c>
      <c r="R217" s="37">
        <f t="shared" si="209"/>
        <v>0</v>
      </c>
      <c r="S217" s="39">
        <f t="shared" si="209"/>
        <v>12625</v>
      </c>
      <c r="T217" s="37">
        <f t="shared" si="209"/>
        <v>0</v>
      </c>
      <c r="U217" s="39">
        <f t="shared" si="209"/>
        <v>12625</v>
      </c>
      <c r="V217" s="37">
        <f t="shared" si="209"/>
        <v>0</v>
      </c>
      <c r="W217" s="39">
        <f t="shared" si="209"/>
        <v>12625</v>
      </c>
      <c r="X217" s="37">
        <f t="shared" si="209"/>
        <v>0</v>
      </c>
      <c r="Y217" s="39">
        <f t="shared" si="209"/>
        <v>12625</v>
      </c>
      <c r="Z217" s="202">
        <f>Z215-Z216</f>
        <v>12625</v>
      </c>
      <c r="AA217" s="203"/>
    </row>
    <row r="218" spans="1:27" x14ac:dyDescent="0.2">
      <c r="A218" s="2" t="s">
        <v>128</v>
      </c>
      <c r="B218" s="20">
        <f>-SUMIFS(Tabla2[B],Tabla2[ANY],$Z$214,Tabla2[MES],'2025'!B$2,Tabla2[TIPUS],'2025'!$A218)</f>
        <v>0</v>
      </c>
      <c r="C218" s="38">
        <f t="shared" si="208"/>
        <v>0</v>
      </c>
      <c r="D218" s="20">
        <f>-SUMIFS(Tabla2[B],Tabla2[ANY],$Z$214,Tabla2[MES],'2025'!D$2,Tabla2[TIPUS],'2025'!$A218)</f>
        <v>0</v>
      </c>
      <c r="E218" s="38">
        <f>D218</f>
        <v>0</v>
      </c>
      <c r="F218" s="20">
        <f>-SUMIFS(Tabla2[B],Tabla2[ANY],$Z$214,Tabla2[MES],'2025'!F$2,Tabla2[TIPUS],'2025'!$A218)</f>
        <v>0</v>
      </c>
      <c r="G218" s="38">
        <f>F218</f>
        <v>0</v>
      </c>
      <c r="H218" s="20">
        <f>-SUMIFS(Tabla2[B],Tabla2[ANY],$Z$214,Tabla2[MES],'2025'!H$2,Tabla2[TIPUS],'2025'!$A218)</f>
        <v>0</v>
      </c>
      <c r="I218" s="38">
        <f>H218</f>
        <v>0</v>
      </c>
      <c r="J218" s="20">
        <f>-SUMIFS(Tabla2[B],Tabla2[ANY],$Z$214,Tabla2[MES],'2025'!J$2,Tabla2[TIPUS],'2025'!$A218)</f>
        <v>0</v>
      </c>
      <c r="K218" s="38">
        <f>J218</f>
        <v>0</v>
      </c>
      <c r="L218" s="20">
        <f>-SUMIFS(Tabla2[B],Tabla2[ANY],$Z$214,Tabla2[MES],'2025'!L$2,Tabla2[TIPUS],'2025'!$A218)</f>
        <v>0</v>
      </c>
      <c r="M218" s="38">
        <f>L218</f>
        <v>0</v>
      </c>
      <c r="N218" s="20">
        <f>-SUMIFS(Tabla2[B],Tabla2[ANY],$Z$214,Tabla2[MES],'2025'!N$2,Tabla2[TIPUS],'2025'!$A218)</f>
        <v>0</v>
      </c>
      <c r="O218" s="38">
        <f>N218</f>
        <v>0</v>
      </c>
      <c r="P218" s="20">
        <f>-SUMIFS(Tabla2[B],Tabla2[ANY],$Z$214,Tabla2[MES],'2025'!P$2,Tabla2[TIPUS],'2025'!$A218)</f>
        <v>0</v>
      </c>
      <c r="Q218" s="38">
        <f>P218</f>
        <v>0</v>
      </c>
      <c r="R218" s="20">
        <f>-SUMIFS(Tabla2[B],Tabla2[ANY],$Z$214,Tabla2[MES],'2025'!R$2,Tabla2[TIPUS],'2025'!$A218)</f>
        <v>0</v>
      </c>
      <c r="S218" s="38">
        <f>R218</f>
        <v>0</v>
      </c>
      <c r="T218" s="20">
        <f>-SUMIFS(Tabla2[B],Tabla2[ANY],$Z$214,Tabla2[MES],'2025'!T$2,Tabla2[TIPUS],'2025'!$A218)</f>
        <v>0</v>
      </c>
      <c r="U218" s="38">
        <f>T218</f>
        <v>0</v>
      </c>
      <c r="V218" s="20">
        <f>-SUMIFS(Tabla2[B],Tabla2[ANY],$Z$214,Tabla2[MES],'2025'!V$2,Tabla2[TIPUS],'2025'!$A218)</f>
        <v>0</v>
      </c>
      <c r="W218" s="38">
        <f>V218</f>
        <v>0</v>
      </c>
      <c r="X218" s="20">
        <f>-SUMIFS(Tabla2[B],Tabla2[ANY],$Z$214,Tabla2[MES],'2025'!X$2,Tabla2[TIPUS],'2025'!$A218)</f>
        <v>0</v>
      </c>
      <c r="Y218" s="38">
        <f>X218</f>
        <v>0</v>
      </c>
      <c r="Z218" s="204">
        <f>-SUMIFS(Tabla2[B],Tabla2[ANY],$Z$214,Tabla2[TIPUS],'2025'!$A218)</f>
        <v>0</v>
      </c>
      <c r="AA218" s="205"/>
    </row>
    <row r="219" spans="1:27" x14ac:dyDescent="0.2">
      <c r="A219" t="s">
        <v>134</v>
      </c>
      <c r="B219" s="20">
        <f>-B207</f>
        <v>0</v>
      </c>
      <c r="C219" s="38">
        <f t="shared" si="208"/>
        <v>0</v>
      </c>
      <c r="D219" s="20">
        <f>-D207</f>
        <v>0</v>
      </c>
      <c r="E219" s="38">
        <f>D219</f>
        <v>0</v>
      </c>
      <c r="F219" s="20">
        <f>-F207</f>
        <v>0</v>
      </c>
      <c r="G219" s="38">
        <f>F219</f>
        <v>0</v>
      </c>
      <c r="H219" s="20">
        <f>-H207</f>
        <v>0</v>
      </c>
      <c r="I219" s="38">
        <f>H219</f>
        <v>0</v>
      </c>
      <c r="J219" s="20">
        <f>-J207</f>
        <v>0</v>
      </c>
      <c r="K219" s="38">
        <f>J219</f>
        <v>0</v>
      </c>
      <c r="L219" s="20">
        <f>-L207</f>
        <v>0</v>
      </c>
      <c r="M219" s="38">
        <f>L219</f>
        <v>0</v>
      </c>
      <c r="N219" s="20">
        <f>-N207</f>
        <v>0</v>
      </c>
      <c r="O219" s="38">
        <f>N219</f>
        <v>0</v>
      </c>
      <c r="P219" s="20">
        <f>-P207</f>
        <v>0</v>
      </c>
      <c r="Q219" s="38">
        <f>P219</f>
        <v>0</v>
      </c>
      <c r="R219" s="20">
        <f>-R207</f>
        <v>0</v>
      </c>
      <c r="S219" s="38">
        <f>R219</f>
        <v>0</v>
      </c>
      <c r="T219" s="20">
        <f>-T207</f>
        <v>0</v>
      </c>
      <c r="U219" s="38">
        <f>T219</f>
        <v>0</v>
      </c>
      <c r="V219" s="20">
        <f>-V207</f>
        <v>0</v>
      </c>
      <c r="W219" s="38">
        <f>V219</f>
        <v>0</v>
      </c>
      <c r="X219" s="20">
        <f>-X207</f>
        <v>0</v>
      </c>
      <c r="Y219" s="38">
        <f>X219</f>
        <v>0</v>
      </c>
      <c r="Z219" s="200">
        <f>-Z207</f>
        <v>0</v>
      </c>
      <c r="AA219" s="201"/>
    </row>
    <row r="220" spans="1:27" x14ac:dyDescent="0.2">
      <c r="A220" t="s">
        <v>130</v>
      </c>
      <c r="B220" s="23">
        <f>-B210</f>
        <v>0</v>
      </c>
      <c r="C220" s="35">
        <f t="shared" si="208"/>
        <v>0</v>
      </c>
      <c r="D220" s="23">
        <f>-D210</f>
        <v>0</v>
      </c>
      <c r="E220" s="35">
        <f>D220</f>
        <v>0</v>
      </c>
      <c r="F220" s="23">
        <f>-F210</f>
        <v>0</v>
      </c>
      <c r="G220" s="35">
        <f>F220</f>
        <v>0</v>
      </c>
      <c r="H220" s="23">
        <f>-H210</f>
        <v>0</v>
      </c>
      <c r="I220" s="35">
        <f>H220</f>
        <v>0</v>
      </c>
      <c r="J220" s="23">
        <f>-J210</f>
        <v>0</v>
      </c>
      <c r="K220" s="35">
        <f>J220</f>
        <v>0</v>
      </c>
      <c r="L220" s="23">
        <f>-L210</f>
        <v>0</v>
      </c>
      <c r="M220" s="35">
        <f>L220</f>
        <v>0</v>
      </c>
      <c r="N220" s="23">
        <f>-N210</f>
        <v>0</v>
      </c>
      <c r="O220" s="35">
        <f>N220</f>
        <v>0</v>
      </c>
      <c r="P220" s="23">
        <f>-P210</f>
        <v>0</v>
      </c>
      <c r="Q220" s="35">
        <f>P220</f>
        <v>0</v>
      </c>
      <c r="R220" s="23">
        <f>-R210</f>
        <v>0</v>
      </c>
      <c r="S220" s="35">
        <f>R220</f>
        <v>0</v>
      </c>
      <c r="T220" s="23">
        <f>-T210</f>
        <v>0</v>
      </c>
      <c r="U220" s="35">
        <f>T220</f>
        <v>0</v>
      </c>
      <c r="V220" s="23">
        <f>-V210</f>
        <v>0</v>
      </c>
      <c r="W220" s="35">
        <f>V220</f>
        <v>0</v>
      </c>
      <c r="X220" s="23">
        <f>-X210</f>
        <v>0</v>
      </c>
      <c r="Y220" s="35">
        <f>X220</f>
        <v>0</v>
      </c>
      <c r="Z220" s="206">
        <f>-Z210</f>
        <v>0</v>
      </c>
      <c r="AA220" s="207"/>
    </row>
    <row r="221" spans="1:27" ht="15.75" thickBot="1" x14ac:dyDescent="0.25">
      <c r="A221" s="36" t="s">
        <v>131</v>
      </c>
      <c r="B221" s="37">
        <f>B217+B218+B219+B220</f>
        <v>2735</v>
      </c>
      <c r="C221" s="39">
        <f t="shared" si="208"/>
        <v>2735</v>
      </c>
      <c r="D221" s="37">
        <f t="shared" ref="D221:Z221" si="210">D217+D218+D219+D220</f>
        <v>1560</v>
      </c>
      <c r="E221" s="39">
        <f t="shared" si="210"/>
        <v>4295</v>
      </c>
      <c r="F221" s="37">
        <f t="shared" si="210"/>
        <v>1995</v>
      </c>
      <c r="G221" s="39">
        <f t="shared" si="210"/>
        <v>6290</v>
      </c>
      <c r="H221" s="37">
        <f t="shared" si="210"/>
        <v>1895</v>
      </c>
      <c r="I221" s="39">
        <f t="shared" si="210"/>
        <v>8185</v>
      </c>
      <c r="J221" s="37">
        <f t="shared" si="210"/>
        <v>2350</v>
      </c>
      <c r="K221" s="39">
        <f t="shared" si="210"/>
        <v>10535</v>
      </c>
      <c r="L221" s="37">
        <f t="shared" si="210"/>
        <v>2090</v>
      </c>
      <c r="M221" s="39">
        <f t="shared" si="210"/>
        <v>12625</v>
      </c>
      <c r="N221" s="37">
        <f t="shared" si="210"/>
        <v>0</v>
      </c>
      <c r="O221" s="39">
        <f t="shared" si="210"/>
        <v>12625</v>
      </c>
      <c r="P221" s="37">
        <f t="shared" si="210"/>
        <v>0</v>
      </c>
      <c r="Q221" s="39">
        <f t="shared" si="210"/>
        <v>12625</v>
      </c>
      <c r="R221" s="37">
        <f t="shared" si="210"/>
        <v>0</v>
      </c>
      <c r="S221" s="39">
        <f t="shared" si="210"/>
        <v>12625</v>
      </c>
      <c r="T221" s="37">
        <f t="shared" si="210"/>
        <v>0</v>
      </c>
      <c r="U221" s="39">
        <f t="shared" si="210"/>
        <v>12625</v>
      </c>
      <c r="V221" s="37">
        <f t="shared" si="210"/>
        <v>0</v>
      </c>
      <c r="W221" s="39">
        <f t="shared" si="210"/>
        <v>12625</v>
      </c>
      <c r="X221" s="37">
        <f t="shared" si="210"/>
        <v>0</v>
      </c>
      <c r="Y221" s="39">
        <f t="shared" si="210"/>
        <v>12625</v>
      </c>
      <c r="Z221" s="202">
        <f t="shared" si="210"/>
        <v>12625</v>
      </c>
      <c r="AA221" s="203"/>
    </row>
  </sheetData>
  <mergeCells count="102">
    <mergeCell ref="Z2:AA2"/>
    <mergeCell ref="A65:A66"/>
    <mergeCell ref="B66:C66"/>
    <mergeCell ref="D66:E66"/>
    <mergeCell ref="F66:G66"/>
    <mergeCell ref="H66:I66"/>
    <mergeCell ref="J66:K66"/>
    <mergeCell ref="L66:M66"/>
    <mergeCell ref="N66:O66"/>
    <mergeCell ref="P66:Q66"/>
    <mergeCell ref="N2:O2"/>
    <mergeCell ref="P2:Q2"/>
    <mergeCell ref="R2:S2"/>
    <mergeCell ref="T2:U2"/>
    <mergeCell ref="V2:W2"/>
    <mergeCell ref="X2:Y2"/>
    <mergeCell ref="B2:C2"/>
    <mergeCell ref="D2:E2"/>
    <mergeCell ref="F2:G2"/>
    <mergeCell ref="H2:I2"/>
    <mergeCell ref="J2:K2"/>
    <mergeCell ref="L2:M2"/>
    <mergeCell ref="Z68:AA68"/>
    <mergeCell ref="Z69:AA69"/>
    <mergeCell ref="Z70:AA70"/>
    <mergeCell ref="Z71:AA71"/>
    <mergeCell ref="Z72:AA72"/>
    <mergeCell ref="Z73:AA73"/>
    <mergeCell ref="R66:S66"/>
    <mergeCell ref="T66:U66"/>
    <mergeCell ref="V66:W66"/>
    <mergeCell ref="X66:Y66"/>
    <mergeCell ref="Z66:AA66"/>
    <mergeCell ref="Z67:AA67"/>
    <mergeCell ref="Z76:AA76"/>
    <mergeCell ref="A139:A140"/>
    <mergeCell ref="B140:C140"/>
    <mergeCell ref="D140:E140"/>
    <mergeCell ref="F140:G140"/>
    <mergeCell ref="H140:I140"/>
    <mergeCell ref="J140:K140"/>
    <mergeCell ref="L140:M140"/>
    <mergeCell ref="N140:O140"/>
    <mergeCell ref="P140:Q140"/>
    <mergeCell ref="N76:O76"/>
    <mergeCell ref="P76:Q76"/>
    <mergeCell ref="R76:S76"/>
    <mergeCell ref="T76:U76"/>
    <mergeCell ref="V76:W76"/>
    <mergeCell ref="X76:Y76"/>
    <mergeCell ref="B76:C76"/>
    <mergeCell ref="D76:E76"/>
    <mergeCell ref="F76:G76"/>
    <mergeCell ref="H76:I76"/>
    <mergeCell ref="J76:K76"/>
    <mergeCell ref="L76:M76"/>
    <mergeCell ref="Z142:AA142"/>
    <mergeCell ref="Z143:AA143"/>
    <mergeCell ref="Z144:AA144"/>
    <mergeCell ref="Z145:AA145"/>
    <mergeCell ref="Z146:AA146"/>
    <mergeCell ref="Z147:AA147"/>
    <mergeCell ref="R140:S140"/>
    <mergeCell ref="T140:U140"/>
    <mergeCell ref="V140:W140"/>
    <mergeCell ref="X140:Y140"/>
    <mergeCell ref="Z140:AA140"/>
    <mergeCell ref="Z141:AA141"/>
    <mergeCell ref="Z150:AA150"/>
    <mergeCell ref="A213:A214"/>
    <mergeCell ref="B214:C214"/>
    <mergeCell ref="D214:E214"/>
    <mergeCell ref="F214:G214"/>
    <mergeCell ref="H214:I214"/>
    <mergeCell ref="J214:K214"/>
    <mergeCell ref="L214:M214"/>
    <mergeCell ref="N214:O214"/>
    <mergeCell ref="P214:Q214"/>
    <mergeCell ref="N150:O150"/>
    <mergeCell ref="P150:Q150"/>
    <mergeCell ref="R150:S150"/>
    <mergeCell ref="T150:U150"/>
    <mergeCell ref="V150:W150"/>
    <mergeCell ref="X150:Y150"/>
    <mergeCell ref="B150:C150"/>
    <mergeCell ref="D150:E150"/>
    <mergeCell ref="F150:G150"/>
    <mergeCell ref="H150:I150"/>
    <mergeCell ref="J150:K150"/>
    <mergeCell ref="L150:M150"/>
    <mergeCell ref="Z216:AA216"/>
    <mergeCell ref="Z217:AA217"/>
    <mergeCell ref="Z218:AA218"/>
    <mergeCell ref="Z219:AA219"/>
    <mergeCell ref="Z220:AA220"/>
    <mergeCell ref="Z221:AA221"/>
    <mergeCell ref="R214:S214"/>
    <mergeCell ref="T214:U214"/>
    <mergeCell ref="V214:W214"/>
    <mergeCell ref="X214:Y214"/>
    <mergeCell ref="Z214:AA214"/>
    <mergeCell ref="Z215:AA215"/>
  </mergeCells>
  <conditionalFormatting sqref="B55">
    <cfRule type="cellIs" dxfId="1583" priority="276" operator="greaterThan">
      <formula>0</formula>
    </cfRule>
    <cfRule type="cellIs" dxfId="1582" priority="275" operator="lessThan">
      <formula>0</formula>
    </cfRule>
  </conditionalFormatting>
  <conditionalFormatting sqref="B58">
    <cfRule type="cellIs" dxfId="1581" priority="272" operator="greaterThan">
      <formula>0</formula>
    </cfRule>
    <cfRule type="cellIs" dxfId="1580" priority="271" operator="lessThan">
      <formula>0</formula>
    </cfRule>
  </conditionalFormatting>
  <conditionalFormatting sqref="B61">
    <cfRule type="cellIs" dxfId="1579" priority="268" operator="greaterThan">
      <formula>0</formula>
    </cfRule>
    <cfRule type="cellIs" dxfId="1578" priority="267" operator="lessThan">
      <formula>0</formula>
    </cfRule>
  </conditionalFormatting>
  <conditionalFormatting sqref="B63">
    <cfRule type="cellIs" dxfId="1577" priority="270" operator="greaterThan">
      <formula>0</formula>
    </cfRule>
    <cfRule type="cellIs" dxfId="1576" priority="269" operator="lessThan">
      <formula>0</formula>
    </cfRule>
  </conditionalFormatting>
  <conditionalFormatting sqref="B129">
    <cfRule type="cellIs" dxfId="1575" priority="221" operator="lessThan">
      <formula>0</formula>
    </cfRule>
    <cfRule type="cellIs" dxfId="1574" priority="222" operator="greaterThan">
      <formula>0</formula>
    </cfRule>
  </conditionalFormatting>
  <conditionalFormatting sqref="B132">
    <cfRule type="cellIs" dxfId="1573" priority="218" operator="greaterThan">
      <formula>0</formula>
    </cfRule>
    <cfRule type="cellIs" dxfId="1572" priority="217" operator="lessThan">
      <formula>0</formula>
    </cfRule>
  </conditionalFormatting>
  <conditionalFormatting sqref="B135">
    <cfRule type="cellIs" dxfId="1571" priority="213" operator="lessThan">
      <formula>0</formula>
    </cfRule>
    <cfRule type="cellIs" dxfId="1570" priority="214" operator="greaterThan">
      <formula>0</formula>
    </cfRule>
  </conditionalFormatting>
  <conditionalFormatting sqref="B137">
    <cfRule type="cellIs" dxfId="1569" priority="216" operator="greaterThan">
      <formula>0</formula>
    </cfRule>
    <cfRule type="cellIs" dxfId="1568" priority="215" operator="lessThan">
      <formula>0</formula>
    </cfRule>
  </conditionalFormatting>
  <conditionalFormatting sqref="B203">
    <cfRule type="cellIs" dxfId="1567" priority="167" operator="lessThan">
      <formula>0</formula>
    </cfRule>
    <cfRule type="cellIs" dxfId="1566" priority="168" operator="greaterThan">
      <formula>0</formula>
    </cfRule>
  </conditionalFormatting>
  <conditionalFormatting sqref="B206">
    <cfRule type="cellIs" dxfId="1565" priority="164" operator="greaterThan">
      <formula>0</formula>
    </cfRule>
    <cfRule type="cellIs" dxfId="1564" priority="163" operator="lessThan">
      <formula>0</formula>
    </cfRule>
  </conditionalFormatting>
  <conditionalFormatting sqref="B209">
    <cfRule type="cellIs" dxfId="1563" priority="159" operator="lessThan">
      <formula>0</formula>
    </cfRule>
    <cfRule type="cellIs" dxfId="1562" priority="160" operator="greaterThan">
      <formula>0</formula>
    </cfRule>
  </conditionalFormatting>
  <conditionalFormatting sqref="B211">
    <cfRule type="cellIs" dxfId="1561" priority="162" operator="greaterThan">
      <formula>0</formula>
    </cfRule>
    <cfRule type="cellIs" dxfId="1560" priority="161" operator="lessThan">
      <formula>0</formula>
    </cfRule>
  </conditionalFormatting>
  <conditionalFormatting sqref="B69:Z69">
    <cfRule type="cellIs" dxfId="1559" priority="96" operator="greaterThan">
      <formula>0</formula>
    </cfRule>
    <cfRule type="cellIs" dxfId="1558" priority="95" operator="lessThan">
      <formula>0</formula>
    </cfRule>
  </conditionalFormatting>
  <conditionalFormatting sqref="B73:Z73">
    <cfRule type="cellIs" dxfId="1557" priority="90" operator="greaterThan">
      <formula>0</formula>
    </cfRule>
    <cfRule type="cellIs" dxfId="1556" priority="89" operator="lessThan">
      <formula>0</formula>
    </cfRule>
  </conditionalFormatting>
  <conditionalFormatting sqref="B143:Z143">
    <cfRule type="cellIs" dxfId="1555" priority="93" operator="lessThan">
      <formula>0</formula>
    </cfRule>
    <cfRule type="cellIs" dxfId="1554" priority="94" operator="greaterThan">
      <formula>0</formula>
    </cfRule>
  </conditionalFormatting>
  <conditionalFormatting sqref="B147:Z147">
    <cfRule type="cellIs" dxfId="1553" priority="75" operator="lessThan">
      <formula>0</formula>
    </cfRule>
    <cfRule type="cellIs" dxfId="1552" priority="76" operator="greaterThan">
      <formula>0</formula>
    </cfRule>
  </conditionalFormatting>
  <conditionalFormatting sqref="B217:Z217">
    <cfRule type="cellIs" dxfId="1551" priority="92" operator="greaterThan">
      <formula>0</formula>
    </cfRule>
    <cfRule type="cellIs" dxfId="1550" priority="91" operator="lessThan">
      <formula>0</formula>
    </cfRule>
  </conditionalFormatting>
  <conditionalFormatting sqref="B221:Z221">
    <cfRule type="cellIs" dxfId="1549" priority="74" operator="greaterThan">
      <formula>0</formula>
    </cfRule>
    <cfRule type="cellIs" dxfId="1548" priority="73" operator="lessThan">
      <formula>0</formula>
    </cfRule>
  </conditionalFormatting>
  <conditionalFormatting sqref="D55 F55 H55 J55 L55 N55 P55 R55 T55 V55 X55">
    <cfRule type="cellIs" dxfId="1547" priority="274" operator="greaterThan">
      <formula>0</formula>
    </cfRule>
    <cfRule type="cellIs" dxfId="1546" priority="273" operator="lessThan">
      <formula>0</formula>
    </cfRule>
  </conditionalFormatting>
  <conditionalFormatting sqref="D58">
    <cfRule type="cellIs" dxfId="1545" priority="71" operator="lessThan">
      <formula>0</formula>
    </cfRule>
    <cfRule type="cellIs" dxfId="1544" priority="72" operator="greaterThan">
      <formula>0</formula>
    </cfRule>
  </conditionalFormatting>
  <conditionalFormatting sqref="D61">
    <cfRule type="cellIs" dxfId="1543" priority="266" operator="greaterThan">
      <formula>0</formula>
    </cfRule>
    <cfRule type="cellIs" dxfId="1542" priority="265" operator="lessThan">
      <formula>0</formula>
    </cfRule>
  </conditionalFormatting>
  <conditionalFormatting sqref="D63">
    <cfRule type="cellIs" dxfId="1541" priority="243" operator="lessThan">
      <formula>0</formula>
    </cfRule>
    <cfRule type="cellIs" dxfId="1540" priority="244" operator="greaterThan">
      <formula>0</formula>
    </cfRule>
  </conditionalFormatting>
  <conditionalFormatting sqref="D129 F129 H129 J129 L129 N129 P129 R129 T129 V129 X129">
    <cfRule type="cellIs" dxfId="1539" priority="220" operator="greaterThan">
      <formula>0</formula>
    </cfRule>
    <cfRule type="cellIs" dxfId="1538" priority="219" operator="lessThan">
      <formula>0</formula>
    </cfRule>
  </conditionalFormatting>
  <conditionalFormatting sqref="D132">
    <cfRule type="cellIs" dxfId="1537" priority="47" operator="lessThan">
      <formula>0</formula>
    </cfRule>
    <cfRule type="cellIs" dxfId="1536" priority="48" operator="greaterThan">
      <formula>0</formula>
    </cfRule>
  </conditionalFormatting>
  <conditionalFormatting sqref="D135">
    <cfRule type="cellIs" dxfId="1535" priority="212" operator="greaterThan">
      <formula>0</formula>
    </cfRule>
    <cfRule type="cellIs" dxfId="1534" priority="211" operator="lessThan">
      <formula>0</formula>
    </cfRule>
  </conditionalFormatting>
  <conditionalFormatting sqref="D137">
    <cfRule type="cellIs" dxfId="1533" priority="189" operator="lessThan">
      <formula>0</formula>
    </cfRule>
    <cfRule type="cellIs" dxfId="1532" priority="190" operator="greaterThan">
      <formula>0</formula>
    </cfRule>
  </conditionalFormatting>
  <conditionalFormatting sqref="D203 F203 H203 J203 L203 N203 P203 R203 T203 V203 X203">
    <cfRule type="cellIs" dxfId="1531" priority="165" operator="lessThan">
      <formula>0</formula>
    </cfRule>
    <cfRule type="cellIs" dxfId="1530" priority="166" operator="greaterThan">
      <formula>0</formula>
    </cfRule>
  </conditionalFormatting>
  <conditionalFormatting sqref="D206">
    <cfRule type="cellIs" dxfId="1529" priority="23" operator="lessThan">
      <formula>0</formula>
    </cfRule>
    <cfRule type="cellIs" dxfId="1528" priority="24" operator="greaterThan">
      <formula>0</formula>
    </cfRule>
  </conditionalFormatting>
  <conditionalFormatting sqref="D209">
    <cfRule type="cellIs" dxfId="1527" priority="151" operator="lessThan">
      <formula>0</formula>
    </cfRule>
    <cfRule type="cellIs" dxfId="1526" priority="152" operator="greaterThan">
      <formula>0</formula>
    </cfRule>
  </conditionalFormatting>
  <conditionalFormatting sqref="D211">
    <cfRule type="cellIs" dxfId="1525" priority="153" operator="lessThan">
      <formula>0</formula>
    </cfRule>
    <cfRule type="cellIs" dxfId="1524" priority="154" operator="greaterThan">
      <formula>0</formula>
    </cfRule>
  </conditionalFormatting>
  <conditionalFormatting sqref="F58">
    <cfRule type="cellIs" dxfId="1523" priority="69" operator="lessThan">
      <formula>0</formula>
    </cfRule>
    <cfRule type="cellIs" dxfId="1522" priority="70" operator="greaterThan">
      <formula>0</formula>
    </cfRule>
  </conditionalFormatting>
  <conditionalFormatting sqref="F61">
    <cfRule type="cellIs" dxfId="1521" priority="263" operator="lessThan">
      <formula>0</formula>
    </cfRule>
    <cfRule type="cellIs" dxfId="1520" priority="264" operator="greaterThan">
      <formula>0</formula>
    </cfRule>
  </conditionalFormatting>
  <conditionalFormatting sqref="F63">
    <cfRule type="cellIs" dxfId="1519" priority="241" operator="lessThan">
      <formula>0</formula>
    </cfRule>
    <cfRule type="cellIs" dxfId="1518" priority="242" operator="greaterThan">
      <formula>0</formula>
    </cfRule>
  </conditionalFormatting>
  <conditionalFormatting sqref="F132">
    <cfRule type="cellIs" dxfId="1517" priority="46" operator="greaterThan">
      <formula>0</formula>
    </cfRule>
    <cfRule type="cellIs" dxfId="1516" priority="45" operator="lessThan">
      <formula>0</formula>
    </cfRule>
  </conditionalFormatting>
  <conditionalFormatting sqref="F135">
    <cfRule type="cellIs" dxfId="1515" priority="209" operator="lessThan">
      <formula>0</formula>
    </cfRule>
    <cfRule type="cellIs" dxfId="1514" priority="210" operator="greaterThan">
      <formula>0</formula>
    </cfRule>
  </conditionalFormatting>
  <conditionalFormatting sqref="F137">
    <cfRule type="cellIs" dxfId="1513" priority="187" operator="lessThan">
      <formula>0</formula>
    </cfRule>
    <cfRule type="cellIs" dxfId="1512" priority="188" operator="greaterThan">
      <formula>0</formula>
    </cfRule>
  </conditionalFormatting>
  <conditionalFormatting sqref="F206">
    <cfRule type="cellIs" dxfId="1511" priority="22" operator="greaterThan">
      <formula>0</formula>
    </cfRule>
    <cfRule type="cellIs" dxfId="1510" priority="21" operator="lessThan">
      <formula>0</formula>
    </cfRule>
  </conditionalFormatting>
  <conditionalFormatting sqref="F209">
    <cfRule type="cellIs" dxfId="1509" priority="147" operator="lessThan">
      <formula>0</formula>
    </cfRule>
    <cfRule type="cellIs" dxfId="1508" priority="148" operator="greaterThan">
      <formula>0</formula>
    </cfRule>
  </conditionalFormatting>
  <conditionalFormatting sqref="F211">
    <cfRule type="cellIs" dxfId="1507" priority="149" operator="lessThan">
      <formula>0</formula>
    </cfRule>
    <cfRule type="cellIs" dxfId="1506" priority="150" operator="greaterThan">
      <formula>0</formula>
    </cfRule>
  </conditionalFormatting>
  <conditionalFormatting sqref="H58">
    <cfRule type="cellIs" dxfId="1505" priority="67" operator="lessThan">
      <formula>0</formula>
    </cfRule>
    <cfRule type="cellIs" dxfId="1504" priority="68" operator="greaterThan">
      <formula>0</formula>
    </cfRule>
  </conditionalFormatting>
  <conditionalFormatting sqref="H61">
    <cfRule type="cellIs" dxfId="1503" priority="262" operator="greaterThan">
      <formula>0</formula>
    </cfRule>
    <cfRule type="cellIs" dxfId="1502" priority="261" operator="lessThan">
      <formula>0</formula>
    </cfRule>
  </conditionalFormatting>
  <conditionalFormatting sqref="H63">
    <cfRule type="cellIs" dxfId="1501" priority="239" operator="lessThan">
      <formula>0</formula>
    </cfRule>
    <cfRule type="cellIs" dxfId="1500" priority="240" operator="greaterThan">
      <formula>0</formula>
    </cfRule>
  </conditionalFormatting>
  <conditionalFormatting sqref="H132">
    <cfRule type="cellIs" dxfId="1499" priority="44" operator="greaterThan">
      <formula>0</formula>
    </cfRule>
    <cfRule type="cellIs" dxfId="1498" priority="43" operator="lessThan">
      <formula>0</formula>
    </cfRule>
  </conditionalFormatting>
  <conditionalFormatting sqref="H135">
    <cfRule type="cellIs" dxfId="1497" priority="207" operator="lessThan">
      <formula>0</formula>
    </cfRule>
    <cfRule type="cellIs" dxfId="1496" priority="208" operator="greaterThan">
      <formula>0</formula>
    </cfRule>
  </conditionalFormatting>
  <conditionalFormatting sqref="H137">
    <cfRule type="cellIs" dxfId="1495" priority="186" operator="greaterThan">
      <formula>0</formula>
    </cfRule>
    <cfRule type="cellIs" dxfId="1494" priority="185" operator="lessThan">
      <formula>0</formula>
    </cfRule>
  </conditionalFormatting>
  <conditionalFormatting sqref="H206">
    <cfRule type="cellIs" dxfId="1493" priority="19" operator="lessThan">
      <formula>0</formula>
    </cfRule>
    <cfRule type="cellIs" dxfId="1492" priority="20" operator="greaterThan">
      <formula>0</formula>
    </cfRule>
  </conditionalFormatting>
  <conditionalFormatting sqref="H209">
    <cfRule type="cellIs" dxfId="1491" priority="143" operator="lessThan">
      <formula>0</formula>
    </cfRule>
    <cfRule type="cellIs" dxfId="1490" priority="144" operator="greaterThan">
      <formula>0</formula>
    </cfRule>
  </conditionalFormatting>
  <conditionalFormatting sqref="H211">
    <cfRule type="cellIs" dxfId="1489" priority="146" operator="greaterThan">
      <formula>0</formula>
    </cfRule>
    <cfRule type="cellIs" dxfId="1488" priority="145" operator="lessThan">
      <formula>0</formula>
    </cfRule>
  </conditionalFormatting>
  <conditionalFormatting sqref="J58">
    <cfRule type="cellIs" dxfId="1487" priority="65" operator="lessThan">
      <formula>0</formula>
    </cfRule>
    <cfRule type="cellIs" dxfId="1486" priority="66" operator="greaterThan">
      <formula>0</formula>
    </cfRule>
  </conditionalFormatting>
  <conditionalFormatting sqref="J61">
    <cfRule type="cellIs" dxfId="1485" priority="260" operator="greaterThan">
      <formula>0</formula>
    </cfRule>
    <cfRule type="cellIs" dxfId="1484" priority="259" operator="lessThan">
      <formula>0</formula>
    </cfRule>
  </conditionalFormatting>
  <conditionalFormatting sqref="J63">
    <cfRule type="cellIs" dxfId="1483" priority="237" operator="lessThan">
      <formula>0</formula>
    </cfRule>
    <cfRule type="cellIs" dxfId="1482" priority="238" operator="greaterThan">
      <formula>0</formula>
    </cfRule>
  </conditionalFormatting>
  <conditionalFormatting sqref="J132">
    <cfRule type="cellIs" dxfId="1481" priority="41" operator="lessThan">
      <formula>0</formula>
    </cfRule>
    <cfRule type="cellIs" dxfId="1480" priority="42" operator="greaterThan">
      <formula>0</formula>
    </cfRule>
  </conditionalFormatting>
  <conditionalFormatting sqref="J135">
    <cfRule type="cellIs" dxfId="1479" priority="206" operator="greaterThan">
      <formula>0</formula>
    </cfRule>
    <cfRule type="cellIs" dxfId="1478" priority="205" operator="lessThan">
      <formula>0</formula>
    </cfRule>
  </conditionalFormatting>
  <conditionalFormatting sqref="J137">
    <cfRule type="cellIs" dxfId="1477" priority="183" operator="lessThan">
      <formula>0</formula>
    </cfRule>
    <cfRule type="cellIs" dxfId="1476" priority="184" operator="greaterThan">
      <formula>0</formula>
    </cfRule>
  </conditionalFormatting>
  <conditionalFormatting sqref="J206">
    <cfRule type="cellIs" dxfId="1475" priority="18" operator="greaterThan">
      <formula>0</formula>
    </cfRule>
    <cfRule type="cellIs" dxfId="1474" priority="17" operator="lessThan">
      <formula>0</formula>
    </cfRule>
  </conditionalFormatting>
  <conditionalFormatting sqref="J209">
    <cfRule type="cellIs" dxfId="1473" priority="140" operator="greaterThan">
      <formula>0</formula>
    </cfRule>
    <cfRule type="cellIs" dxfId="1472" priority="139" operator="lessThan">
      <formula>0</formula>
    </cfRule>
  </conditionalFormatting>
  <conditionalFormatting sqref="J211">
    <cfRule type="cellIs" dxfId="1471" priority="142" operator="greaterThan">
      <formula>0</formula>
    </cfRule>
    <cfRule type="cellIs" dxfId="1470" priority="141" operator="lessThan">
      <formula>0</formula>
    </cfRule>
  </conditionalFormatting>
  <conditionalFormatting sqref="L58">
    <cfRule type="cellIs" dxfId="1469" priority="64" operator="greaterThan">
      <formula>0</formula>
    </cfRule>
    <cfRule type="cellIs" dxfId="1468" priority="63" operator="lessThan">
      <formula>0</formula>
    </cfRule>
  </conditionalFormatting>
  <conditionalFormatting sqref="L61">
    <cfRule type="cellIs" dxfId="1467" priority="258" operator="greaterThan">
      <formula>0</formula>
    </cfRule>
    <cfRule type="cellIs" dxfId="1466" priority="257" operator="lessThan">
      <formula>0</formula>
    </cfRule>
  </conditionalFormatting>
  <conditionalFormatting sqref="L63">
    <cfRule type="cellIs" dxfId="1465" priority="235" operator="lessThan">
      <formula>0</formula>
    </cfRule>
    <cfRule type="cellIs" dxfId="1464" priority="236" operator="greaterThan">
      <formula>0</formula>
    </cfRule>
  </conditionalFormatting>
  <conditionalFormatting sqref="L132">
    <cfRule type="cellIs" dxfId="1463" priority="39" operator="lessThan">
      <formula>0</formula>
    </cfRule>
    <cfRule type="cellIs" dxfId="1462" priority="40" operator="greaterThan">
      <formula>0</formula>
    </cfRule>
  </conditionalFormatting>
  <conditionalFormatting sqref="L135">
    <cfRule type="cellIs" dxfId="1461" priority="204" operator="greaterThan">
      <formula>0</formula>
    </cfRule>
    <cfRule type="cellIs" dxfId="1460" priority="203" operator="lessThan">
      <formula>0</formula>
    </cfRule>
  </conditionalFormatting>
  <conditionalFormatting sqref="L137">
    <cfRule type="cellIs" dxfId="1459" priority="181" operator="lessThan">
      <formula>0</formula>
    </cfRule>
    <cfRule type="cellIs" dxfId="1458" priority="182" operator="greaterThan">
      <formula>0</formula>
    </cfRule>
  </conditionalFormatting>
  <conditionalFormatting sqref="L206">
    <cfRule type="cellIs" dxfId="1457" priority="16" operator="greaterThan">
      <formula>0</formula>
    </cfRule>
    <cfRule type="cellIs" dxfId="1456" priority="15" operator="lessThan">
      <formula>0</formula>
    </cfRule>
  </conditionalFormatting>
  <conditionalFormatting sqref="L209">
    <cfRule type="cellIs" dxfId="1455" priority="135" operator="lessThan">
      <formula>0</formula>
    </cfRule>
    <cfRule type="cellIs" dxfId="1454" priority="136" operator="greaterThan">
      <formula>0</formula>
    </cfRule>
  </conditionalFormatting>
  <conditionalFormatting sqref="L211">
    <cfRule type="cellIs" dxfId="1453" priority="137" operator="lessThan">
      <formula>0</formula>
    </cfRule>
    <cfRule type="cellIs" dxfId="1452" priority="138" operator="greaterThan">
      <formula>0</formula>
    </cfRule>
  </conditionalFormatting>
  <conditionalFormatting sqref="N58">
    <cfRule type="cellIs" dxfId="1451" priority="61" operator="lessThan">
      <formula>0</formula>
    </cfRule>
    <cfRule type="cellIs" dxfId="1450" priority="62" operator="greaterThan">
      <formula>0</formula>
    </cfRule>
  </conditionalFormatting>
  <conditionalFormatting sqref="N61">
    <cfRule type="cellIs" dxfId="1449" priority="256" operator="greaterThan">
      <formula>0</formula>
    </cfRule>
    <cfRule type="cellIs" dxfId="1448" priority="255" operator="lessThan">
      <formula>0</formula>
    </cfRule>
  </conditionalFormatting>
  <conditionalFormatting sqref="N63">
    <cfRule type="cellIs" dxfId="1447" priority="233" operator="lessThan">
      <formula>0</formula>
    </cfRule>
    <cfRule type="cellIs" dxfId="1446" priority="234" operator="greaterThan">
      <formula>0</formula>
    </cfRule>
  </conditionalFormatting>
  <conditionalFormatting sqref="N132">
    <cfRule type="cellIs" dxfId="1445" priority="38" operator="greaterThan">
      <formula>0</formula>
    </cfRule>
    <cfRule type="cellIs" dxfId="1444" priority="37" operator="lessThan">
      <formula>0</formula>
    </cfRule>
  </conditionalFormatting>
  <conditionalFormatting sqref="N135">
    <cfRule type="cellIs" dxfId="1443" priority="201" operator="lessThan">
      <formula>0</formula>
    </cfRule>
    <cfRule type="cellIs" dxfId="1442" priority="202" operator="greaterThan">
      <formula>0</formula>
    </cfRule>
  </conditionalFormatting>
  <conditionalFormatting sqref="N137">
    <cfRule type="cellIs" dxfId="1441" priority="180" operator="greaterThan">
      <formula>0</formula>
    </cfRule>
    <cfRule type="cellIs" dxfId="1440" priority="179" operator="lessThan">
      <formula>0</formula>
    </cfRule>
  </conditionalFormatting>
  <conditionalFormatting sqref="N206">
    <cfRule type="cellIs" dxfId="1439" priority="14" operator="greaterThan">
      <formula>0</formula>
    </cfRule>
    <cfRule type="cellIs" dxfId="1438" priority="13" operator="lessThan">
      <formula>0</formula>
    </cfRule>
  </conditionalFormatting>
  <conditionalFormatting sqref="N209">
    <cfRule type="cellIs" dxfId="1437" priority="132" operator="greaterThan">
      <formula>0</formula>
    </cfRule>
    <cfRule type="cellIs" dxfId="1436" priority="131" operator="lessThan">
      <formula>0</formula>
    </cfRule>
  </conditionalFormatting>
  <conditionalFormatting sqref="N211">
    <cfRule type="cellIs" dxfId="1435" priority="134" operator="greaterThan">
      <formula>0</formula>
    </cfRule>
    <cfRule type="cellIs" dxfId="1434" priority="133" operator="lessThan">
      <formula>0</formula>
    </cfRule>
  </conditionalFormatting>
  <conditionalFormatting sqref="P58">
    <cfRule type="cellIs" dxfId="1433" priority="59" operator="lessThan">
      <formula>0</formula>
    </cfRule>
    <cfRule type="cellIs" dxfId="1432" priority="60" operator="greaterThan">
      <formula>0</formula>
    </cfRule>
  </conditionalFormatting>
  <conditionalFormatting sqref="P61">
    <cfRule type="cellIs" dxfId="1431" priority="254" operator="greaterThan">
      <formula>0</formula>
    </cfRule>
    <cfRule type="cellIs" dxfId="1430" priority="253" operator="lessThan">
      <formula>0</formula>
    </cfRule>
  </conditionalFormatting>
  <conditionalFormatting sqref="P63">
    <cfRule type="cellIs" dxfId="1429" priority="231" operator="lessThan">
      <formula>0</formula>
    </cfRule>
    <cfRule type="cellIs" dxfId="1428" priority="232" operator="greaterThan">
      <formula>0</formula>
    </cfRule>
  </conditionalFormatting>
  <conditionalFormatting sqref="P132">
    <cfRule type="cellIs" dxfId="1427" priority="36" operator="greaterThan">
      <formula>0</formula>
    </cfRule>
    <cfRule type="cellIs" dxfId="1426" priority="35" operator="lessThan">
      <formula>0</formula>
    </cfRule>
  </conditionalFormatting>
  <conditionalFormatting sqref="P135">
    <cfRule type="cellIs" dxfId="1425" priority="200" operator="greaterThan">
      <formula>0</formula>
    </cfRule>
    <cfRule type="cellIs" dxfId="1424" priority="199" operator="lessThan">
      <formula>0</formula>
    </cfRule>
  </conditionalFormatting>
  <conditionalFormatting sqref="P137">
    <cfRule type="cellIs" dxfId="1423" priority="178" operator="greaterThan">
      <formula>0</formula>
    </cfRule>
    <cfRule type="cellIs" dxfId="1422" priority="177" operator="lessThan">
      <formula>0</formula>
    </cfRule>
  </conditionalFormatting>
  <conditionalFormatting sqref="P206">
    <cfRule type="cellIs" dxfId="1421" priority="12" operator="greaterThan">
      <formula>0</formula>
    </cfRule>
    <cfRule type="cellIs" dxfId="1420" priority="11" operator="lessThan">
      <formula>0</formula>
    </cfRule>
  </conditionalFormatting>
  <conditionalFormatting sqref="P209">
    <cfRule type="cellIs" dxfId="1419" priority="128" operator="greaterThan">
      <formula>0</formula>
    </cfRule>
    <cfRule type="cellIs" dxfId="1418" priority="127" operator="lessThan">
      <formula>0</formula>
    </cfRule>
  </conditionalFormatting>
  <conditionalFormatting sqref="P211">
    <cfRule type="cellIs" dxfId="1417" priority="130" operator="greaterThan">
      <formula>0</formula>
    </cfRule>
    <cfRule type="cellIs" dxfId="1416" priority="129" operator="lessThan">
      <formula>0</formula>
    </cfRule>
  </conditionalFormatting>
  <conditionalFormatting sqref="R58">
    <cfRule type="cellIs" dxfId="1415" priority="58" operator="greaterThan">
      <formula>0</formula>
    </cfRule>
    <cfRule type="cellIs" dxfId="1414" priority="57" operator="lessThan">
      <formula>0</formula>
    </cfRule>
  </conditionalFormatting>
  <conditionalFormatting sqref="R61">
    <cfRule type="cellIs" dxfId="1413" priority="252" operator="greaterThan">
      <formula>0</formula>
    </cfRule>
    <cfRule type="cellIs" dxfId="1412" priority="251" operator="lessThan">
      <formula>0</formula>
    </cfRule>
  </conditionalFormatting>
  <conditionalFormatting sqref="R63">
    <cfRule type="cellIs" dxfId="1411" priority="229" operator="lessThan">
      <formula>0</formula>
    </cfRule>
    <cfRule type="cellIs" dxfId="1410" priority="230" operator="greaterThan">
      <formula>0</formula>
    </cfRule>
  </conditionalFormatting>
  <conditionalFormatting sqref="R132">
    <cfRule type="cellIs" dxfId="1409" priority="34" operator="greaterThan">
      <formula>0</formula>
    </cfRule>
    <cfRule type="cellIs" dxfId="1408" priority="33" operator="lessThan">
      <formula>0</formula>
    </cfRule>
  </conditionalFormatting>
  <conditionalFormatting sqref="R135">
    <cfRule type="cellIs" dxfId="1407" priority="197" operator="lessThan">
      <formula>0</formula>
    </cfRule>
    <cfRule type="cellIs" dxfId="1406" priority="198" operator="greaterThan">
      <formula>0</formula>
    </cfRule>
  </conditionalFormatting>
  <conditionalFormatting sqref="R137">
    <cfRule type="cellIs" dxfId="1405" priority="175" operator="lessThan">
      <formula>0</formula>
    </cfRule>
    <cfRule type="cellIs" dxfId="1404" priority="176" operator="greaterThan">
      <formula>0</formula>
    </cfRule>
  </conditionalFormatting>
  <conditionalFormatting sqref="R206">
    <cfRule type="cellIs" dxfId="1403" priority="9" operator="lessThan">
      <formula>0</formula>
    </cfRule>
    <cfRule type="cellIs" dxfId="1402" priority="10" operator="greaterThan">
      <formula>0</formula>
    </cfRule>
  </conditionalFormatting>
  <conditionalFormatting sqref="R209">
    <cfRule type="cellIs" dxfId="1401" priority="123" operator="lessThan">
      <formula>0</formula>
    </cfRule>
    <cfRule type="cellIs" dxfId="1400" priority="124" operator="greaterThan">
      <formula>0</formula>
    </cfRule>
  </conditionalFormatting>
  <conditionalFormatting sqref="R211">
    <cfRule type="cellIs" dxfId="1399" priority="125" operator="lessThan">
      <formula>0</formula>
    </cfRule>
    <cfRule type="cellIs" dxfId="1398" priority="126" operator="greaterThan">
      <formula>0</formula>
    </cfRule>
  </conditionalFormatting>
  <conditionalFormatting sqref="T58">
    <cfRule type="cellIs" dxfId="1397" priority="55" operator="lessThan">
      <formula>0</formula>
    </cfRule>
    <cfRule type="cellIs" dxfId="1396" priority="56" operator="greaterThan">
      <formula>0</formula>
    </cfRule>
  </conditionalFormatting>
  <conditionalFormatting sqref="T61">
    <cfRule type="cellIs" dxfId="1395" priority="250" operator="greaterThan">
      <formula>0</formula>
    </cfRule>
    <cfRule type="cellIs" dxfId="1394" priority="249" operator="lessThan">
      <formula>0</formula>
    </cfRule>
  </conditionalFormatting>
  <conditionalFormatting sqref="T63">
    <cfRule type="cellIs" dxfId="1393" priority="228" operator="greaterThan">
      <formula>0</formula>
    </cfRule>
    <cfRule type="cellIs" dxfId="1392" priority="227" operator="lessThan">
      <formula>0</formula>
    </cfRule>
  </conditionalFormatting>
  <conditionalFormatting sqref="T132">
    <cfRule type="cellIs" dxfId="1391" priority="32" operator="greaterThan">
      <formula>0</formula>
    </cfRule>
    <cfRule type="cellIs" dxfId="1390" priority="31" operator="lessThan">
      <formula>0</formula>
    </cfRule>
  </conditionalFormatting>
  <conditionalFormatting sqref="T135">
    <cfRule type="cellIs" dxfId="1389" priority="195" operator="lessThan">
      <formula>0</formula>
    </cfRule>
    <cfRule type="cellIs" dxfId="1388" priority="196" operator="greaterThan">
      <formula>0</formula>
    </cfRule>
  </conditionalFormatting>
  <conditionalFormatting sqref="T137">
    <cfRule type="cellIs" dxfId="1387" priority="174" operator="greaterThan">
      <formula>0</formula>
    </cfRule>
    <cfRule type="cellIs" dxfId="1386" priority="173" operator="lessThan">
      <formula>0</formula>
    </cfRule>
  </conditionalFormatting>
  <conditionalFormatting sqref="T206">
    <cfRule type="cellIs" dxfId="1385" priority="8" operator="greaterThan">
      <formula>0</formula>
    </cfRule>
    <cfRule type="cellIs" dxfId="1384" priority="7" operator="lessThan">
      <formula>0</formula>
    </cfRule>
  </conditionalFormatting>
  <conditionalFormatting sqref="T209">
    <cfRule type="cellIs" dxfId="1383" priority="119" operator="lessThan">
      <formula>0</formula>
    </cfRule>
    <cfRule type="cellIs" dxfId="1382" priority="120" operator="greaterThan">
      <formula>0</formula>
    </cfRule>
  </conditionalFormatting>
  <conditionalFormatting sqref="T211">
    <cfRule type="cellIs" dxfId="1381" priority="121" operator="lessThan">
      <formula>0</formula>
    </cfRule>
    <cfRule type="cellIs" dxfId="1380" priority="122" operator="greaterThan">
      <formula>0</formula>
    </cfRule>
  </conditionalFormatting>
  <conditionalFormatting sqref="V58">
    <cfRule type="cellIs" dxfId="1379" priority="54" operator="greaterThan">
      <formula>0</formula>
    </cfRule>
    <cfRule type="cellIs" dxfId="1378" priority="53" operator="lessThan">
      <formula>0</formula>
    </cfRule>
  </conditionalFormatting>
  <conditionalFormatting sqref="V61">
    <cfRule type="cellIs" dxfId="1377" priority="248" operator="greaterThan">
      <formula>0</formula>
    </cfRule>
    <cfRule type="cellIs" dxfId="1376" priority="247" operator="lessThan">
      <formula>0</formula>
    </cfRule>
  </conditionalFormatting>
  <conditionalFormatting sqref="V63">
    <cfRule type="cellIs" dxfId="1375" priority="226" operator="greaterThan">
      <formula>0</formula>
    </cfRule>
    <cfRule type="cellIs" dxfId="1374" priority="225" operator="lessThan">
      <formula>0</formula>
    </cfRule>
  </conditionalFormatting>
  <conditionalFormatting sqref="V132">
    <cfRule type="cellIs" dxfId="1373" priority="30" operator="greaterThan">
      <formula>0</formula>
    </cfRule>
    <cfRule type="cellIs" dxfId="1372" priority="29" operator="lessThan">
      <formula>0</formula>
    </cfRule>
  </conditionalFormatting>
  <conditionalFormatting sqref="V135">
    <cfRule type="cellIs" dxfId="1371" priority="194" operator="greaterThan">
      <formula>0</formula>
    </cfRule>
    <cfRule type="cellIs" dxfId="1370" priority="193" operator="lessThan">
      <formula>0</formula>
    </cfRule>
  </conditionalFormatting>
  <conditionalFormatting sqref="V137">
    <cfRule type="cellIs" dxfId="1369" priority="172" operator="greaterThan">
      <formula>0</formula>
    </cfRule>
    <cfRule type="cellIs" dxfId="1368" priority="171" operator="lessThan">
      <formula>0</formula>
    </cfRule>
  </conditionalFormatting>
  <conditionalFormatting sqref="V206">
    <cfRule type="cellIs" dxfId="1367" priority="5" operator="lessThan">
      <formula>0</formula>
    </cfRule>
    <cfRule type="cellIs" dxfId="1366" priority="6" operator="greaterThan">
      <formula>0</formula>
    </cfRule>
  </conditionalFormatting>
  <conditionalFormatting sqref="V209">
    <cfRule type="cellIs" dxfId="1365" priority="116" operator="greaterThan">
      <formula>0</formula>
    </cfRule>
    <cfRule type="cellIs" dxfId="1364" priority="115" operator="lessThan">
      <formula>0</formula>
    </cfRule>
  </conditionalFormatting>
  <conditionalFormatting sqref="V211">
    <cfRule type="cellIs" dxfId="1363" priority="118" operator="greaterThan">
      <formula>0</formula>
    </cfRule>
    <cfRule type="cellIs" dxfId="1362" priority="117" operator="lessThan">
      <formula>0</formula>
    </cfRule>
  </conditionalFormatting>
  <conditionalFormatting sqref="X58">
    <cfRule type="cellIs" dxfId="1361" priority="51" operator="lessThan">
      <formula>0</formula>
    </cfRule>
    <cfRule type="cellIs" dxfId="1360" priority="52" operator="greaterThan">
      <formula>0</formula>
    </cfRule>
  </conditionalFormatting>
  <conditionalFormatting sqref="X61">
    <cfRule type="cellIs" dxfId="1359" priority="245" operator="lessThan">
      <formula>0</formula>
    </cfRule>
    <cfRule type="cellIs" dxfId="1358" priority="246" operator="greaterThan">
      <formula>0</formula>
    </cfRule>
  </conditionalFormatting>
  <conditionalFormatting sqref="X63">
    <cfRule type="cellIs" dxfId="1357" priority="223" operator="lessThan">
      <formula>0</formula>
    </cfRule>
    <cfRule type="cellIs" dxfId="1356" priority="224" operator="greaterThan">
      <formula>0</formula>
    </cfRule>
  </conditionalFormatting>
  <conditionalFormatting sqref="X132">
    <cfRule type="cellIs" dxfId="1355" priority="28" operator="greaterThan">
      <formula>0</formula>
    </cfRule>
    <cfRule type="cellIs" dxfId="1354" priority="27" operator="lessThan">
      <formula>0</formula>
    </cfRule>
  </conditionalFormatting>
  <conditionalFormatting sqref="X135">
    <cfRule type="cellIs" dxfId="1353" priority="191" operator="lessThan">
      <formula>0</formula>
    </cfRule>
    <cfRule type="cellIs" dxfId="1352" priority="192" operator="greaterThan">
      <formula>0</formula>
    </cfRule>
  </conditionalFormatting>
  <conditionalFormatting sqref="X137">
    <cfRule type="cellIs" dxfId="1351" priority="169" operator="lessThan">
      <formula>0</formula>
    </cfRule>
    <cfRule type="cellIs" dxfId="1350" priority="170" operator="greaterThan">
      <formula>0</formula>
    </cfRule>
  </conditionalFormatting>
  <conditionalFormatting sqref="X206">
    <cfRule type="cellIs" dxfId="1349" priority="4" operator="greaterThan">
      <formula>0</formula>
    </cfRule>
    <cfRule type="cellIs" dxfId="1348" priority="3" operator="lessThan">
      <formula>0</formula>
    </cfRule>
  </conditionalFormatting>
  <conditionalFormatting sqref="X209">
    <cfRule type="cellIs" dxfId="1347" priority="112" operator="greaterThan">
      <formula>0</formula>
    </cfRule>
    <cfRule type="cellIs" dxfId="1346" priority="111" operator="lessThan">
      <formula>0</formula>
    </cfRule>
  </conditionalFormatting>
  <conditionalFormatting sqref="X211">
    <cfRule type="cellIs" dxfId="1345" priority="113" operator="lessThan">
      <formula>0</formula>
    </cfRule>
    <cfRule type="cellIs" dxfId="1344" priority="114" operator="greaterThan">
      <formula>0</formula>
    </cfRule>
  </conditionalFormatting>
  <conditionalFormatting sqref="Z55">
    <cfRule type="cellIs" dxfId="1343" priority="102" operator="greaterThan">
      <formula>0</formula>
    </cfRule>
    <cfRule type="cellIs" dxfId="1342" priority="101" operator="lessThan">
      <formula>0</formula>
    </cfRule>
  </conditionalFormatting>
  <conditionalFormatting sqref="Z58">
    <cfRule type="cellIs" dxfId="1341" priority="50" operator="greaterThan">
      <formula>0</formula>
    </cfRule>
    <cfRule type="cellIs" dxfId="1340" priority="49" operator="lessThan">
      <formula>0</formula>
    </cfRule>
  </conditionalFormatting>
  <conditionalFormatting sqref="Z61">
    <cfRule type="cellIs" dxfId="1339" priority="100" operator="greaterThan">
      <formula>0</formula>
    </cfRule>
    <cfRule type="cellIs" dxfId="1338" priority="99" operator="lessThan">
      <formula>0</formula>
    </cfRule>
  </conditionalFormatting>
  <conditionalFormatting sqref="Z63">
    <cfRule type="cellIs" dxfId="1337" priority="97" operator="lessThan">
      <formula>0</formula>
    </cfRule>
    <cfRule type="cellIs" dxfId="1336" priority="98" operator="greaterThan">
      <formula>0</formula>
    </cfRule>
  </conditionalFormatting>
  <conditionalFormatting sqref="Z129">
    <cfRule type="cellIs" dxfId="1335" priority="81" operator="lessThan">
      <formula>0</formula>
    </cfRule>
    <cfRule type="cellIs" dxfId="1334" priority="82" operator="greaterThan">
      <formula>0</formula>
    </cfRule>
  </conditionalFormatting>
  <conditionalFormatting sqref="Z132">
    <cfRule type="cellIs" dxfId="1333" priority="26" operator="greaterThan">
      <formula>0</formula>
    </cfRule>
    <cfRule type="cellIs" dxfId="1332" priority="25" operator="lessThan">
      <formula>0</formula>
    </cfRule>
  </conditionalFormatting>
  <conditionalFormatting sqref="Z135">
    <cfRule type="cellIs" dxfId="1331" priority="79" operator="lessThan">
      <formula>0</formula>
    </cfRule>
    <cfRule type="cellIs" dxfId="1330" priority="80" operator="greaterThan">
      <formula>0</formula>
    </cfRule>
  </conditionalFormatting>
  <conditionalFormatting sqref="Z137">
    <cfRule type="cellIs" dxfId="1329" priority="77" operator="lessThan">
      <formula>0</formula>
    </cfRule>
    <cfRule type="cellIs" dxfId="1328" priority="78" operator="greaterThan">
      <formula>0</formula>
    </cfRule>
  </conditionalFormatting>
  <conditionalFormatting sqref="Z203">
    <cfRule type="cellIs" dxfId="1327" priority="87" operator="lessThan">
      <formula>0</formula>
    </cfRule>
    <cfRule type="cellIs" dxfId="1326" priority="88" operator="greaterThan">
      <formula>0</formula>
    </cfRule>
  </conditionalFormatting>
  <conditionalFormatting sqref="Z206">
    <cfRule type="cellIs" dxfId="1325" priority="1" operator="lessThan">
      <formula>0</formula>
    </cfRule>
    <cfRule type="cellIs" dxfId="1324" priority="2" operator="greaterThan">
      <formula>0</formula>
    </cfRule>
  </conditionalFormatting>
  <conditionalFormatting sqref="Z209">
    <cfRule type="cellIs" dxfId="1323" priority="86" operator="greaterThan">
      <formula>0</formula>
    </cfRule>
    <cfRule type="cellIs" dxfId="1322" priority="85" operator="lessThan">
      <formula>0</formula>
    </cfRule>
  </conditionalFormatting>
  <conditionalFormatting sqref="Z211">
    <cfRule type="cellIs" dxfId="1321" priority="84" operator="greaterThan">
      <formula>0</formula>
    </cfRule>
    <cfRule type="cellIs" dxfId="1320" priority="83" operator="lessThan">
      <formula>0</formula>
    </cfRule>
  </conditionalFormatting>
  <pageMargins left="0.7" right="0.7" top="0.75" bottom="0.75" header="0.3" footer="0.3"/>
  <pageSetup paperSize="9" orientation="portrait" horizontalDpi="0" verticalDpi="0"/>
  <headerFooter>
    <oddHeader>&amp;C&amp;"Calibri"&amp;10&amp;K000000 Internal&amp;1#_x000D_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/>
  </sheetPr>
  <dimension ref="A1:AD221"/>
  <sheetViews>
    <sheetView showGridLines="0" showRuler="0" workbookViewId="0">
      <pane xSplit="1" topLeftCell="N1" activePane="topRight" state="frozen"/>
      <selection pane="topRight" activeCell="H3" sqref="H3"/>
    </sheetView>
  </sheetViews>
  <sheetFormatPr defaultColWidth="10.8515625" defaultRowHeight="15" outlineLevelRow="2" x14ac:dyDescent="0.2"/>
  <cols>
    <col min="1" max="1" width="22.31640625" bestFit="1" customWidth="1"/>
    <col min="2" max="11" width="10.8515625" customWidth="1"/>
    <col min="12" max="12" width="10.8515625" customWidth="1" collapsed="1"/>
    <col min="13" max="25" width="10.8515625" customWidth="1"/>
    <col min="28" max="28" width="12.9453125" customWidth="1"/>
  </cols>
  <sheetData>
    <row r="1" spans="1:29" ht="6" customHeight="1" thickBot="1" x14ac:dyDescent="0.25"/>
    <row r="2" spans="1:29" x14ac:dyDescent="0.2">
      <c r="A2">
        <v>12</v>
      </c>
      <c r="B2" s="208" t="s">
        <v>48</v>
      </c>
      <c r="C2" s="209"/>
      <c r="D2" s="208" t="s">
        <v>56</v>
      </c>
      <c r="E2" s="209"/>
      <c r="F2" s="208" t="s">
        <v>57</v>
      </c>
      <c r="G2" s="209"/>
      <c r="H2" s="208" t="s">
        <v>58</v>
      </c>
      <c r="I2" s="209"/>
      <c r="J2" s="208" t="s">
        <v>59</v>
      </c>
      <c r="K2" s="209"/>
      <c r="L2" s="208" t="s">
        <v>60</v>
      </c>
      <c r="M2" s="209"/>
      <c r="N2" s="208" t="s">
        <v>61</v>
      </c>
      <c r="O2" s="209"/>
      <c r="P2" s="208" t="s">
        <v>62</v>
      </c>
      <c r="Q2" s="209"/>
      <c r="R2" s="208" t="s">
        <v>236</v>
      </c>
      <c r="S2" s="209"/>
      <c r="T2" s="208" t="s">
        <v>63</v>
      </c>
      <c r="U2" s="209"/>
      <c r="V2" s="208" t="s">
        <v>64</v>
      </c>
      <c r="W2" s="209"/>
      <c r="X2" s="208" t="s">
        <v>65</v>
      </c>
      <c r="Y2" s="209"/>
      <c r="Z2" s="208">
        <v>2024</v>
      </c>
      <c r="AA2" s="209"/>
      <c r="AB2" t="s">
        <v>555</v>
      </c>
    </row>
    <row r="3" spans="1:29" ht="15.75" thickBot="1" x14ac:dyDescent="0.25">
      <c r="A3" s="10" t="s">
        <v>66</v>
      </c>
      <c r="B3" s="16">
        <f>B4+B22</f>
        <v>5200</v>
      </c>
      <c r="C3" s="17">
        <f>IF(B3=0,0,(B3/B3))</f>
        <v>1</v>
      </c>
      <c r="D3" s="16">
        <f>D4+D22</f>
        <v>4385</v>
      </c>
      <c r="E3" s="17">
        <f>IF(D3=0,0,(D3/D3))</f>
        <v>1</v>
      </c>
      <c r="F3" s="16">
        <f t="shared" ref="F3:X3" si="0">F4+F22</f>
        <v>4945</v>
      </c>
      <c r="G3" s="17">
        <f>IF(F3=0,0,(F3/F3))</f>
        <v>1</v>
      </c>
      <c r="H3" s="16">
        <f t="shared" si="0"/>
        <v>4610</v>
      </c>
      <c r="I3" s="17">
        <f>IF(H3=0,0,(H3/H3))</f>
        <v>1</v>
      </c>
      <c r="J3" s="16">
        <f t="shared" si="0"/>
        <v>4600</v>
      </c>
      <c r="K3" s="17">
        <f>IF(J3=0,0,(J3/J3))</f>
        <v>1</v>
      </c>
      <c r="L3" s="16">
        <f t="shared" si="0"/>
        <v>4520</v>
      </c>
      <c r="M3" s="17">
        <f>IF(L3=0,0,(L3/L3))</f>
        <v>1</v>
      </c>
      <c r="N3" s="16">
        <f t="shared" si="0"/>
        <v>3545</v>
      </c>
      <c r="O3" s="17">
        <f>IF(N3=0,0,(N3/N3))</f>
        <v>1</v>
      </c>
      <c r="P3" s="16">
        <f t="shared" si="0"/>
        <v>2550</v>
      </c>
      <c r="Q3" s="17">
        <f>IF(P3=0,0,(P3/P3))</f>
        <v>1</v>
      </c>
      <c r="R3" s="16">
        <f t="shared" si="0"/>
        <v>4135</v>
      </c>
      <c r="S3" s="17">
        <f>IF(R3=0,0,(R3/R3))</f>
        <v>1</v>
      </c>
      <c r="T3" s="16">
        <f t="shared" si="0"/>
        <v>3800</v>
      </c>
      <c r="U3" s="17">
        <f>IF(T3=0,0,(T3/T3))</f>
        <v>1</v>
      </c>
      <c r="V3" s="16">
        <f t="shared" si="0"/>
        <v>5570</v>
      </c>
      <c r="W3" s="17">
        <f>IF(V3=0,0,(V3/V3))</f>
        <v>1</v>
      </c>
      <c r="X3" s="16">
        <f t="shared" si="0"/>
        <v>7305</v>
      </c>
      <c r="Y3" s="17">
        <f>IF(X3=0,0,(X3/X3))</f>
        <v>1</v>
      </c>
      <c r="Z3" s="16">
        <f>Z4+Z22</f>
        <v>55165</v>
      </c>
      <c r="AA3" s="17">
        <f>IF(Z3=0,0,(Z3/Z3))</f>
        <v>1</v>
      </c>
      <c r="AB3" s="178">
        <f>Z3/$A$2</f>
        <v>4597.083333333333</v>
      </c>
      <c r="AC3" s="178">
        <v>4087.9166666666665</v>
      </c>
    </row>
    <row r="4" spans="1:29" x14ac:dyDescent="0.2">
      <c r="A4" s="32" t="s">
        <v>74</v>
      </c>
      <c r="B4" s="18">
        <f>SUM(B5:B12)</f>
        <v>4880</v>
      </c>
      <c r="C4" s="19">
        <f>IF(B$3=0,0,B4/B$3)</f>
        <v>0.93846153846153846</v>
      </c>
      <c r="D4" s="18">
        <f t="shared" ref="D4:X4" si="1">SUM(D5:D12)</f>
        <v>3775</v>
      </c>
      <c r="E4" s="19">
        <f>IF(D$3=0,0,D4/D$3)</f>
        <v>0.8608893956670467</v>
      </c>
      <c r="F4" s="18">
        <f t="shared" si="1"/>
        <v>4705</v>
      </c>
      <c r="G4" s="19">
        <f>IF(F$3=0,0,F4/F$3)</f>
        <v>0.95146612740141556</v>
      </c>
      <c r="H4" s="18">
        <f t="shared" si="1"/>
        <v>4030</v>
      </c>
      <c r="I4" s="19">
        <f>IF(H$3=0,0,H4/H$3)</f>
        <v>0.87418655097613884</v>
      </c>
      <c r="J4" s="18">
        <f t="shared" si="1"/>
        <v>4260</v>
      </c>
      <c r="K4" s="19">
        <f>IF(J$3=0,0,J4/J$3)</f>
        <v>0.92608695652173911</v>
      </c>
      <c r="L4" s="18">
        <f t="shared" si="1"/>
        <v>4360</v>
      </c>
      <c r="M4" s="19">
        <f>IF(L$3=0,0,L4/L$3)</f>
        <v>0.96460176991150437</v>
      </c>
      <c r="N4" s="18">
        <f t="shared" si="1"/>
        <v>3365</v>
      </c>
      <c r="O4" s="19">
        <f>IF(N$3=0,0,N4/N$3)</f>
        <v>0.94922425952045131</v>
      </c>
      <c r="P4" s="18">
        <f t="shared" si="1"/>
        <v>2470</v>
      </c>
      <c r="Q4" s="19">
        <f>IF(P$3=0,0,P4/P$3)</f>
        <v>0.96862745098039216</v>
      </c>
      <c r="R4" s="18">
        <f t="shared" si="1"/>
        <v>3955</v>
      </c>
      <c r="S4" s="19">
        <f>IF(R$3=0,0,R4/R$3)</f>
        <v>0.95646916565900841</v>
      </c>
      <c r="T4" s="18">
        <f t="shared" si="1"/>
        <v>3680</v>
      </c>
      <c r="U4" s="19">
        <f>IF(T$3=0,0,T4/T$3)</f>
        <v>0.96842105263157896</v>
      </c>
      <c r="V4" s="18">
        <f t="shared" si="1"/>
        <v>5100</v>
      </c>
      <c r="W4" s="19">
        <f>IF(V$3=0,0,V4/V$3)</f>
        <v>0.91561938958707356</v>
      </c>
      <c r="X4" s="18">
        <f t="shared" si="1"/>
        <v>6965</v>
      </c>
      <c r="Y4" s="19">
        <f>IF(X$3=0,0,X4/X$3)</f>
        <v>0.95345653661875429</v>
      </c>
      <c r="Z4" s="18">
        <f>SUM(Z5:Z12)</f>
        <v>51545</v>
      </c>
      <c r="AA4" s="19">
        <f>IF(Z$3=0,0,Z4/Z$3)</f>
        <v>0.93437868213541198</v>
      </c>
      <c r="AB4" s="178">
        <f t="shared" ref="AB4:AB62" si="2">Z4/$A$2</f>
        <v>4295.416666666667</v>
      </c>
      <c r="AC4" s="178">
        <v>3867.9166666666665</v>
      </c>
    </row>
    <row r="5" spans="1:29" hidden="1" outlineLevel="1" x14ac:dyDescent="0.2">
      <c r="A5" s="8" t="s">
        <v>67</v>
      </c>
      <c r="B5" s="20">
        <f>SUMIFS('Registre de reserves'!$P$2:$P$1178,'Registre de reserves'!$T$2:$T$1178,"SI",'Registre de reserves'!$I$2:$I$1178,'2024'!$A5,'Registre de reserves'!$B$2:$B$1178,'2024'!B$2,Tabla1[ANY],'2024'!$Z$2)+SUMIFS('Registre de reserves'!$U$2:$U$1178,'Registre de reserves'!$T$2:$T$1178,"RESERVA",'Registre de reserves'!$I$2:$I$1178,'2024'!$A5,'Registre de reserves'!$B$2:$B$1178,'2024'!B$2,Tabla1[ANY],'2024'!$Z$2)</f>
        <v>990</v>
      </c>
      <c r="C5" s="21">
        <f>IF(B$4=0,0,B5/B$4)</f>
        <v>0.2028688524590164</v>
      </c>
      <c r="D5" s="20">
        <f>SUMIFS('Registre de reserves'!$P$2:$P$1178,'Registre de reserves'!$T$2:$T$1178,"SI",'Registre de reserves'!$I$2:$I$1178,'2024'!$A5,'Registre de reserves'!$B$2:$B$1178,'2024'!D$2,Tabla1[ANY],'2024'!$Z$2)+SUMIFS('Registre de reserves'!$U$2:$U$1178,'Registre de reserves'!$T$2:$T$1178,"RESERVA",'Registre de reserves'!$I$2:$I$1178,'2024'!$A5,'Registre de reserves'!$B$2:$B$1178,'2024'!D$2,Tabla1[ANY],'2024'!$Z$2)</f>
        <v>900</v>
      </c>
      <c r="E5" s="21">
        <f>IF(D$4=0,0,D5/D$4)</f>
        <v>0.23841059602649006</v>
      </c>
      <c r="F5" s="20">
        <f>SUMIFS('Registre de reserves'!$P$2:$P$1178,'Registre de reserves'!$T$2:$T$1178,"SI",'Registre de reserves'!$I$2:$I$1178,'2024'!$A5,'Registre de reserves'!$B$2:$B$1178,'2024'!F$2,Tabla1[ANY],'2024'!$Z$2)+SUMIFS('Registre de reserves'!$U$2:$U$1178,'Registre de reserves'!$T$2:$T$1178,"RESERVA",'Registre de reserves'!$I$2:$I$1178,'2024'!$A5,'Registre de reserves'!$B$2:$B$1178,'2024'!F$2,Tabla1[ANY],'2024'!$Z$2)</f>
        <v>600</v>
      </c>
      <c r="G5" s="21">
        <f t="shared" ref="G5:G12" si="3">IF(F$4=0,0,F5/F$4)</f>
        <v>0.1275239107332625</v>
      </c>
      <c r="H5" s="20">
        <f>SUMIFS('Registre de reserves'!$P$2:$P$1178,'Registre de reserves'!$T$2:$T$1178,"SI",'Registre de reserves'!$I$2:$I$1178,'2024'!$A5,'Registre de reserves'!$B$2:$B$1178,'2024'!H$2,Tabla1[ANY],'2024'!$Z$2)+SUMIFS('Registre de reserves'!$U$2:$U$1178,'Registre de reserves'!$T$2:$T$1178,"RESERVA",'Registre de reserves'!$I$2:$I$1178,'2024'!$A5,'Registre de reserves'!$B$2:$B$1178,'2024'!H$2,Tabla1[ANY],'2024'!$Z$2)</f>
        <v>750</v>
      </c>
      <c r="I5" s="21">
        <f t="shared" ref="I5:I12" si="4">IF(H$4=0,0,H5/H$4)</f>
        <v>0.18610421836228289</v>
      </c>
      <c r="J5" s="20">
        <f>SUMIFS('Registre de reserves'!$P$2:$P$1178,'Registre de reserves'!$T$2:$T$1178,"SI",'Registre de reserves'!$I$2:$I$1178,'2024'!$A5,'Registre de reserves'!$B$2:$B$1178,'2024'!J$2,Tabla1[ANY],'2024'!$Z$2)+SUMIFS('Registre de reserves'!$U$2:$U$1178,'Registre de reserves'!$T$2:$T$1178,"RESERVA",'Registre de reserves'!$I$2:$I$1178,'2024'!$A5,'Registre de reserves'!$B$2:$B$1178,'2024'!J$2,Tabla1[ANY],'2024'!$Z$2)</f>
        <v>750</v>
      </c>
      <c r="K5" s="21">
        <f t="shared" ref="K5:K12" si="5">IF(J$4=0,0,J5/J$4)</f>
        <v>0.176056338028169</v>
      </c>
      <c r="L5" s="20">
        <f>SUMIFS('Registre de reserves'!$P$2:$P$1178,'Registre de reserves'!$T$2:$T$1178,"SI",'Registre de reserves'!$I$2:$I$1178,'2024'!$A5,'Registre de reserves'!$B$2:$B$1178,'2024'!L$2,Tabla1[ANY],'2024'!$Z$2)+SUMIFS('Registre de reserves'!$U$2:$U$1178,'Registre de reserves'!$T$2:$T$1178,"RESERVA",'Registre de reserves'!$I$2:$I$1178,'2024'!$A5,'Registre de reserves'!$B$2:$B$1178,'2024'!L$2,Tabla1[ANY],'2024'!$Z$2)</f>
        <v>800</v>
      </c>
      <c r="M5" s="21">
        <f t="shared" ref="M5:M12" si="6">IF(L$4=0,0,L5/L$4)</f>
        <v>0.1834862385321101</v>
      </c>
      <c r="N5" s="20">
        <f>SUMIFS('Registre de reserves'!$P$2:$P$1178,'Registre de reserves'!$T$2:$T$1178,"SI",'Registre de reserves'!$I$2:$I$1178,'2024'!$A5,'Registre de reserves'!$B$2:$B$1178,'2024'!N$2,Tabla1[ANY],'2024'!$Z$2)+SUMIFS('Registre de reserves'!$U$2:$U$1178,'Registre de reserves'!$T$2:$T$1178,"RESERVA",'Registre de reserves'!$I$2:$I$1178,'2024'!$A5,'Registre de reserves'!$B$2:$B$1178,'2024'!N$2,Tabla1[ANY],'2024'!$Z$2)</f>
        <v>450</v>
      </c>
      <c r="O5" s="21">
        <f t="shared" ref="O5:O12" si="7">IF(N$4=0,0,N5/N$4)</f>
        <v>0.1337295690936107</v>
      </c>
      <c r="P5" s="20">
        <f>SUMIFS('Registre de reserves'!$P$2:$P$1178,'Registre de reserves'!$T$2:$T$1178,"SI",'Registre de reserves'!$I$2:$I$1178,'2024'!$A5,'Registre de reserves'!$B$2:$B$1178,'2024'!P$2,Tabla1[ANY],'2024'!$Z$2)+SUMIFS('Registre de reserves'!$U$2:$U$1178,'Registre de reserves'!$T$2:$T$1178,"RESERVA",'Registre de reserves'!$I$2:$I$1178,'2024'!$A5,'Registre de reserves'!$B$2:$B$1178,'2024'!P$2,Tabla1[ANY],'2024'!$Z$2)</f>
        <v>0</v>
      </c>
      <c r="Q5" s="21">
        <f t="shared" ref="Q5:Q12" si="8">IF(P$4=0,0,P5/P$4)</f>
        <v>0</v>
      </c>
      <c r="R5" s="20">
        <f>SUMIFS('Registre de reserves'!$P$2:$P$1178,'Registre de reserves'!$T$2:$T$1178,"SI",'Registre de reserves'!$I$2:$I$1178,'2024'!$A5,'Registre de reserves'!$B$2:$B$1178,'2024'!R$2,Tabla1[ANY],'2024'!$Z$2)+SUMIFS('Registre de reserves'!$U$2:$U$1178,'Registre de reserves'!$T$2:$T$1178,"RESERVA",'Registre de reserves'!$I$2:$I$1178,'2024'!$A5,'Registre de reserves'!$B$2:$B$1178,'2024'!R$2,Tabla1[ANY],'2024'!$Z$2)</f>
        <v>600</v>
      </c>
      <c r="S5" s="21">
        <f t="shared" ref="S5:S12" si="9">IF(R$4=0,0,R5/R$4)</f>
        <v>0.15170670037926676</v>
      </c>
      <c r="T5" s="20">
        <f>SUMIFS('Registre de reserves'!$P$2:$P$1178,'Registre de reserves'!$T$2:$T$1178,"SI",'Registre de reserves'!$I$2:$I$1178,'2024'!$A5,'Registre de reserves'!$B$2:$B$1178,'2024'!T$2,Tabla1[ANY],'2024'!$Z$2)+SUMIFS('Registre de reserves'!$U$2:$U$1178,'Registre de reserves'!$T$2:$T$1178,"RESERVA",'Registre de reserves'!$I$2:$I$1178,'2024'!$A5,'Registre de reserves'!$B$2:$B$1178,'2024'!T$2,Tabla1[ANY],'2024'!$Z$2)</f>
        <v>750</v>
      </c>
      <c r="U5" s="21">
        <f t="shared" ref="U5:U12" si="10">IF(T$4=0,0,T5/T$4)</f>
        <v>0.20380434782608695</v>
      </c>
      <c r="V5" s="20">
        <f>SUMIFS('Registre de reserves'!$P$2:$P$1178,'Registre de reserves'!$T$2:$T$1178,"SI",'Registre de reserves'!$I$2:$I$1178,'2024'!$A5,'Registre de reserves'!$B$2:$B$1178,'2024'!V$2,Tabla1[ANY],'2024'!$Z$2)+SUMIFS('Registre de reserves'!$U$2:$U$1178,'Registre de reserves'!$T$2:$T$1178,"RESERVA",'Registre de reserves'!$I$2:$I$1178,'2024'!$A5,'Registre de reserves'!$B$2:$B$1178,'2024'!V$2,Tabla1[ANY],'2024'!$Z$2)</f>
        <v>1050</v>
      </c>
      <c r="W5" s="21">
        <f t="shared" ref="W5:W12" si="11">IF(V$4=0,0,V5/V$4)</f>
        <v>0.20588235294117646</v>
      </c>
      <c r="X5" s="20">
        <f>SUMIFS('Registre de reserves'!$P$2:$P$1178,'Registre de reserves'!$T$2:$T$1178,"SI",'Registre de reserves'!$I$2:$I$1178,'2024'!$A5,'Registre de reserves'!$B$2:$B$1178,'2024'!X$2,Tabla1[ANY],'2024'!$Z$2)+SUMIFS('Registre de reserves'!$U$2:$U$1178,'Registre de reserves'!$T$2:$T$1178,"RESERVA",'Registre de reserves'!$I$2:$I$1178,'2024'!$A5,'Registre de reserves'!$B$2:$B$1178,'2024'!X$2,Tabla1[ANY],'2024'!$Z$2)</f>
        <v>980</v>
      </c>
      <c r="Y5" s="21">
        <f t="shared" ref="Y5:Y12" si="12">IF(X$4=0,0,X5/X$4)</f>
        <v>0.1407035175879397</v>
      </c>
      <c r="Z5" s="20">
        <f>B5+D5+F5+H5+J5+L5+N5+P5+R5+T5+V5+X5</f>
        <v>8620</v>
      </c>
      <c r="AA5" s="21">
        <f t="shared" ref="AA5:AA12" si="13">IF(Z$4=0,0,Z5/Z$4)</f>
        <v>0.1672325152779125</v>
      </c>
      <c r="AB5" s="178">
        <f t="shared" si="2"/>
        <v>718.33333333333337</v>
      </c>
      <c r="AC5" s="178">
        <v>578.75</v>
      </c>
    </row>
    <row r="6" spans="1:29" hidden="1" outlineLevel="1" x14ac:dyDescent="0.2">
      <c r="A6" s="8" t="s">
        <v>68</v>
      </c>
      <c r="B6" s="20">
        <f>SUMIFS('Registre de reserves'!$P$2:$P$1178,'Registre de reserves'!$T$2:$T$1178,"SI",'Registre de reserves'!$I$2:$I$1178,'2024'!$A6,'Registre de reserves'!$B$2:$B$1178,'2024'!B$2,Tabla1[ANY],'2024'!$Z$2)+SUMIFS('Registre de reserves'!$U$2:$U$1178,'Registre de reserves'!$T$2:$T$1178,"RESERVA",'Registre de reserves'!$I$2:$I$1178,'2024'!$A6,'Registre de reserves'!$B$2:$B$1178,'2024'!B$2,Tabla1[ANY],'2024'!$Z$2)</f>
        <v>2090</v>
      </c>
      <c r="C6" s="21">
        <f t="shared" ref="C6:E12" si="14">IF(B$4=0,0,B6/B$4)</f>
        <v>0.42827868852459017</v>
      </c>
      <c r="D6" s="20">
        <f>SUMIFS('Registre de reserves'!$P$2:$P$1178,'Registre de reserves'!$T$2:$T$1178,"SI",'Registre de reserves'!$I$2:$I$1178,'2024'!$A6,'Registre de reserves'!$B$2:$B$1178,'2024'!D$2,Tabla1[ANY],'2024'!$Z$2)+SUMIFS('Registre de reserves'!$U$2:$U$1178,'Registre de reserves'!$T$2:$T$1178,"RESERVA",'Registre de reserves'!$I$2:$I$1178,'2024'!$A6,'Registre de reserves'!$B$2:$B$1178,'2024'!D$2,Tabla1[ANY],'2024'!$Z$2)</f>
        <v>1275</v>
      </c>
      <c r="E6" s="21">
        <f t="shared" si="14"/>
        <v>0.33774834437086093</v>
      </c>
      <c r="F6" s="20">
        <f>SUMIFS('Registre de reserves'!$P$2:$P$1178,'Registre de reserves'!$T$2:$T$1178,"SI",'Registre de reserves'!$I$2:$I$1178,'2024'!$A6,'Registre de reserves'!$B$2:$B$1178,'2024'!F$2,Tabla1[ANY],'2024'!$Z$2)+SUMIFS('Registre de reserves'!$U$2:$U$1178,'Registre de reserves'!$T$2:$T$1178,"RESERVA",'Registre de reserves'!$I$2:$I$1178,'2024'!$A6,'Registre de reserves'!$B$2:$B$1178,'2024'!F$2,Tabla1[ANY],'2024'!$Z$2)</f>
        <v>1845</v>
      </c>
      <c r="G6" s="21">
        <f t="shared" si="3"/>
        <v>0.39213602550478216</v>
      </c>
      <c r="H6" s="20">
        <f>SUMIFS('Registre de reserves'!$P$2:$P$1178,'Registre de reserves'!$T$2:$T$1178,"SI",'Registre de reserves'!$I$2:$I$1178,'2024'!$A6,'Registre de reserves'!$B$2:$B$1178,'2024'!H$2,Tabla1[ANY],'2024'!$Z$2)+SUMIFS('Registre de reserves'!$U$2:$U$1178,'Registre de reserves'!$T$2:$T$1178,"RESERVA",'Registre de reserves'!$I$2:$I$1178,'2024'!$A6,'Registre de reserves'!$B$2:$B$1178,'2024'!H$2,Tabla1[ANY],'2024'!$Z$2)</f>
        <v>1270</v>
      </c>
      <c r="I6" s="21">
        <f t="shared" si="4"/>
        <v>0.31513647642679898</v>
      </c>
      <c r="J6" s="20">
        <f>SUMIFS('Registre de reserves'!$P$2:$P$1178,'Registre de reserves'!$T$2:$T$1178,"SI",'Registre de reserves'!$I$2:$I$1178,'2024'!$A6,'Registre de reserves'!$B$2:$B$1178,'2024'!J$2,Tabla1[ANY],'2024'!$Z$2)+SUMIFS('Registre de reserves'!$U$2:$U$1178,'Registre de reserves'!$T$2:$T$1178,"RESERVA",'Registre de reserves'!$I$2:$I$1178,'2024'!$A6,'Registre de reserves'!$B$2:$B$1178,'2024'!J$2,Tabla1[ANY],'2024'!$Z$2)</f>
        <v>1230</v>
      </c>
      <c r="K6" s="21">
        <f t="shared" si="5"/>
        <v>0.28873239436619719</v>
      </c>
      <c r="L6" s="20">
        <f>SUMIFS('Registre de reserves'!$P$2:$P$1178,'Registre de reserves'!$T$2:$T$1178,"SI",'Registre de reserves'!$I$2:$I$1178,'2024'!$A6,'Registre de reserves'!$B$2:$B$1178,'2024'!L$2,Tabla1[ANY],'2024'!$Z$2)+SUMIFS('Registre de reserves'!$U$2:$U$1178,'Registre de reserves'!$T$2:$T$1178,"RESERVA",'Registre de reserves'!$I$2:$I$1178,'2024'!$A6,'Registre de reserves'!$B$2:$B$1178,'2024'!L$2,Tabla1[ANY],'2024'!$Z$2)</f>
        <v>1120</v>
      </c>
      <c r="M6" s="21">
        <f t="shared" si="6"/>
        <v>0.25688073394495414</v>
      </c>
      <c r="N6" s="20">
        <f>SUMIFS('Registre de reserves'!$P$2:$P$1178,'Registre de reserves'!$T$2:$T$1178,"SI",'Registre de reserves'!$I$2:$I$1178,'2024'!$A6,'Registre de reserves'!$B$2:$B$1178,'2024'!N$2,Tabla1[ANY],'2024'!$Z$2)+SUMIFS('Registre de reserves'!$U$2:$U$1178,'Registre de reserves'!$T$2:$T$1178,"RESERVA",'Registre de reserves'!$I$2:$I$1178,'2024'!$A6,'Registre de reserves'!$B$2:$B$1178,'2024'!N$2,Tabla1[ANY],'2024'!$Z$2)</f>
        <v>1065</v>
      </c>
      <c r="O6" s="21">
        <f t="shared" si="7"/>
        <v>0.31649331352154531</v>
      </c>
      <c r="P6" s="20">
        <f>SUMIFS('Registre de reserves'!$P$2:$P$1178,'Registre de reserves'!$T$2:$T$1178,"SI",'Registre de reserves'!$I$2:$I$1178,'2024'!$A6,'Registre de reserves'!$B$2:$B$1178,'2024'!P$2,Tabla1[ANY],'2024'!$Z$2)+SUMIFS('Registre de reserves'!$U$2:$U$1178,'Registre de reserves'!$T$2:$T$1178,"RESERVA",'Registre de reserves'!$I$2:$I$1178,'2024'!$A6,'Registre de reserves'!$B$2:$B$1178,'2024'!P$2,Tabla1[ANY],'2024'!$Z$2)</f>
        <v>780</v>
      </c>
      <c r="Q6" s="21">
        <f t="shared" si="8"/>
        <v>0.31578947368421051</v>
      </c>
      <c r="R6" s="20">
        <f>SUMIFS('Registre de reserves'!$P$2:$P$1178,'Registre de reserves'!$T$2:$T$1178,"SI",'Registre de reserves'!$I$2:$I$1178,'2024'!$A6,'Registre de reserves'!$B$2:$B$1178,'2024'!R$2,Tabla1[ANY],'2024'!$Z$2)+SUMIFS('Registre de reserves'!$U$2:$U$1178,'Registre de reserves'!$T$2:$T$1178,"RESERVA",'Registre de reserves'!$I$2:$I$1178,'2024'!$A6,'Registre de reserves'!$B$2:$B$1178,'2024'!R$2,Tabla1[ANY],'2024'!$Z$2)</f>
        <v>985</v>
      </c>
      <c r="S6" s="21">
        <f t="shared" si="9"/>
        <v>0.24905183312262957</v>
      </c>
      <c r="T6" s="20">
        <f>SUMIFS('Registre de reserves'!$P$2:$P$1178,'Registre de reserves'!$T$2:$T$1178,"SI",'Registre de reserves'!$I$2:$I$1178,'2024'!$A6,'Registre de reserves'!$B$2:$B$1178,'2024'!T$2,Tabla1[ANY],'2024'!$Z$2)+SUMIFS('Registre de reserves'!$U$2:$U$1178,'Registre de reserves'!$T$2:$T$1178,"RESERVA",'Registre de reserves'!$I$2:$I$1178,'2024'!$A6,'Registre de reserves'!$B$2:$B$1178,'2024'!T$2,Tabla1[ANY],'2024'!$Z$2)</f>
        <v>1070</v>
      </c>
      <c r="U6" s="21">
        <f t="shared" si="10"/>
        <v>0.29076086956521741</v>
      </c>
      <c r="V6" s="20">
        <f>SUMIFS('Registre de reserves'!$P$2:$P$1178,'Registre de reserves'!$T$2:$T$1178,"SI",'Registre de reserves'!$I$2:$I$1178,'2024'!$A6,'Registre de reserves'!$B$2:$B$1178,'2024'!V$2,Tabla1[ANY],'2024'!$Z$2)+SUMIFS('Registre de reserves'!$U$2:$U$1178,'Registre de reserves'!$T$2:$T$1178,"RESERVA",'Registre de reserves'!$I$2:$I$1178,'2024'!$A6,'Registre de reserves'!$B$2:$B$1178,'2024'!V$2,Tabla1[ANY],'2024'!$Z$2)</f>
        <v>1030</v>
      </c>
      <c r="W6" s="21">
        <f t="shared" si="11"/>
        <v>0.20196078431372549</v>
      </c>
      <c r="X6" s="20">
        <f>SUMIFS('Registre de reserves'!$P$2:$P$1178,'Registre de reserves'!$T$2:$T$1178,"SI",'Registre de reserves'!$I$2:$I$1178,'2024'!$A6,'Registre de reserves'!$B$2:$B$1178,'2024'!X$2,Tabla1[ANY],'2024'!$Z$2)+SUMIFS('Registre de reserves'!$U$2:$U$1178,'Registre de reserves'!$T$2:$T$1178,"RESERVA",'Registre de reserves'!$I$2:$I$1178,'2024'!$A6,'Registre de reserves'!$B$2:$B$1178,'2024'!X$2,Tabla1[ANY],'2024'!$Z$2)</f>
        <v>1775</v>
      </c>
      <c r="Y6" s="21">
        <f t="shared" si="12"/>
        <v>0.25484565685570709</v>
      </c>
      <c r="Z6" s="20">
        <f t="shared" ref="Z6:Z12" si="15">B6+D6+F6+H6+J6+L6+N6+P6+R6+T6+V6+X6</f>
        <v>15535</v>
      </c>
      <c r="AA6" s="21">
        <f t="shared" si="13"/>
        <v>0.30138713745271123</v>
      </c>
      <c r="AB6" s="178">
        <f t="shared" si="2"/>
        <v>1294.5833333333333</v>
      </c>
      <c r="AC6" s="178">
        <v>1283.3333333333333</v>
      </c>
    </row>
    <row r="7" spans="1:29" hidden="1" outlineLevel="1" x14ac:dyDescent="0.2">
      <c r="A7" s="8" t="s">
        <v>4</v>
      </c>
      <c r="B7" s="20">
        <f>SUMIFS('Registre de reserves'!$P$2:$P$1178,'Registre de reserves'!$T$2:$T$1178,"SI",'Registre de reserves'!$I$2:$I$1178,'2024'!$A7,'Registre de reserves'!$B$2:$B$1178,'2024'!B$2,Tabla1[ANY],'2024'!$Z$2)+SUMIFS('Registre de reserves'!$U$2:$U$1178,'Registre de reserves'!$T$2:$T$1178,"RESERVA",'Registre de reserves'!$I$2:$I$1178,'2024'!$A7,'Registre de reserves'!$B$2:$B$1178,'2024'!B$2,Tabla1[ANY],'2024'!$Z$2)</f>
        <v>200</v>
      </c>
      <c r="C7" s="21">
        <f t="shared" si="14"/>
        <v>4.0983606557377046E-2</v>
      </c>
      <c r="D7" s="20">
        <f>SUMIFS('Registre de reserves'!$P$2:$P$1178,'Registre de reserves'!$T$2:$T$1178,"SI",'Registre de reserves'!$I$2:$I$1178,'2024'!$A7,'Registre de reserves'!$B$2:$B$1178,'2024'!D$2,Tabla1[ANY],'2024'!$Z$2)+SUMIFS('Registre de reserves'!$U$2:$U$1178,'Registre de reserves'!$T$2:$T$1178,"RESERVA",'Registre de reserves'!$I$2:$I$1178,'2024'!$A7,'Registre de reserves'!$B$2:$B$1178,'2024'!D$2,Tabla1[ANY],'2024'!$Z$2)</f>
        <v>0</v>
      </c>
      <c r="E7" s="21">
        <f t="shared" si="14"/>
        <v>0</v>
      </c>
      <c r="F7" s="20">
        <f>SUMIFS('Registre de reserves'!$P$2:$P$1178,'Registre de reserves'!$T$2:$T$1178,"SI",'Registre de reserves'!$I$2:$I$1178,'2024'!$A7,'Registre de reserves'!$B$2:$B$1178,'2024'!F$2,Tabla1[ANY],'2024'!$Z$2)+SUMIFS('Registre de reserves'!$U$2:$U$1178,'Registre de reserves'!$T$2:$T$1178,"RESERVA",'Registre de reserves'!$I$2:$I$1178,'2024'!$A7,'Registre de reserves'!$B$2:$B$1178,'2024'!F$2,Tabla1[ANY],'2024'!$Z$2)</f>
        <v>290</v>
      </c>
      <c r="G7" s="21">
        <f t="shared" si="3"/>
        <v>6.1636556854410204E-2</v>
      </c>
      <c r="H7" s="20">
        <f>SUMIFS('Registre de reserves'!$P$2:$P$1178,'Registre de reserves'!$T$2:$T$1178,"SI",'Registre de reserves'!$I$2:$I$1178,'2024'!$A7,'Registre de reserves'!$B$2:$B$1178,'2024'!H$2,Tabla1[ANY],'2024'!$Z$2)+SUMIFS('Registre de reserves'!$U$2:$U$1178,'Registre de reserves'!$T$2:$T$1178,"RESERVA",'Registre de reserves'!$I$2:$I$1178,'2024'!$A7,'Registre de reserves'!$B$2:$B$1178,'2024'!H$2,Tabla1[ANY],'2024'!$Z$2)</f>
        <v>290</v>
      </c>
      <c r="I7" s="21">
        <f t="shared" si="4"/>
        <v>7.1960297766749379E-2</v>
      </c>
      <c r="J7" s="20">
        <f>SUMIFS('Registre de reserves'!$P$2:$P$1178,'Registre de reserves'!$T$2:$T$1178,"SI",'Registre de reserves'!$I$2:$I$1178,'2024'!$A7,'Registre de reserves'!$B$2:$B$1178,'2024'!J$2,Tabla1[ANY],'2024'!$Z$2)+SUMIFS('Registre de reserves'!$U$2:$U$1178,'Registre de reserves'!$T$2:$T$1178,"RESERVA",'Registre de reserves'!$I$2:$I$1178,'2024'!$A7,'Registre de reserves'!$B$2:$B$1178,'2024'!J$2,Tabla1[ANY],'2024'!$Z$2)</f>
        <v>580</v>
      </c>
      <c r="K7" s="21">
        <f t="shared" si="5"/>
        <v>0.13615023474178403</v>
      </c>
      <c r="L7" s="20">
        <f>SUMIFS('Registre de reserves'!$P$2:$P$1178,'Registre de reserves'!$T$2:$T$1178,"SI",'Registre de reserves'!$I$2:$I$1178,'2024'!$A7,'Registre de reserves'!$B$2:$B$1178,'2024'!L$2,Tabla1[ANY],'2024'!$Z$2)+SUMIFS('Registre de reserves'!$U$2:$U$1178,'Registre de reserves'!$T$2:$T$1178,"RESERVA",'Registre de reserves'!$I$2:$I$1178,'2024'!$A7,'Registre de reserves'!$B$2:$B$1178,'2024'!L$2,Tabla1[ANY],'2024'!$Z$2)</f>
        <v>290</v>
      </c>
      <c r="M7" s="21">
        <f t="shared" si="6"/>
        <v>6.6513761467889912E-2</v>
      </c>
      <c r="N7" s="20">
        <f>SUMIFS('Registre de reserves'!$P$2:$P$1178,'Registre de reserves'!$T$2:$T$1178,"SI",'Registre de reserves'!$I$2:$I$1178,'2024'!$A7,'Registre de reserves'!$B$2:$B$1178,'2024'!N$2,Tabla1[ANY],'2024'!$Z$2)+SUMIFS('Registre de reserves'!$U$2:$U$1178,'Registre de reserves'!$T$2:$T$1178,"RESERVA",'Registre de reserves'!$I$2:$I$1178,'2024'!$A7,'Registre de reserves'!$B$2:$B$1178,'2024'!N$2,Tabla1[ANY],'2024'!$Z$2)</f>
        <v>580</v>
      </c>
      <c r="O7" s="21">
        <f t="shared" si="7"/>
        <v>0.17236255572065379</v>
      </c>
      <c r="P7" s="20">
        <f>SUMIFS('Registre de reserves'!$P$2:$P$1178,'Registre de reserves'!$T$2:$T$1178,"SI",'Registre de reserves'!$I$2:$I$1178,'2024'!$A7,'Registre de reserves'!$B$2:$B$1178,'2024'!P$2,Tabla1[ANY],'2024'!$Z$2)+SUMIFS('Registre de reserves'!$U$2:$U$1178,'Registre de reserves'!$T$2:$T$1178,"RESERVA",'Registre de reserves'!$I$2:$I$1178,'2024'!$A7,'Registre de reserves'!$B$2:$B$1178,'2024'!P$2,Tabla1[ANY],'2024'!$Z$2)</f>
        <v>890</v>
      </c>
      <c r="Q7" s="21">
        <f t="shared" si="8"/>
        <v>0.36032388663967613</v>
      </c>
      <c r="R7" s="20">
        <f>SUMIFS('Registre de reserves'!$P$2:$P$1178,'Registre de reserves'!$T$2:$T$1178,"SI",'Registre de reserves'!$I$2:$I$1178,'2024'!$A7,'Registre de reserves'!$B$2:$B$1178,'2024'!R$2,Tabla1[ANY],'2024'!$Z$2)+SUMIFS('Registre de reserves'!$U$2:$U$1178,'Registre de reserves'!$T$2:$T$1178,"RESERVA",'Registre de reserves'!$I$2:$I$1178,'2024'!$A7,'Registre de reserves'!$B$2:$B$1178,'2024'!R$2,Tabla1[ANY],'2024'!$Z$2)</f>
        <v>870</v>
      </c>
      <c r="S7" s="21">
        <f t="shared" si="9"/>
        <v>0.21997471554993678</v>
      </c>
      <c r="T7" s="20">
        <f>SUMIFS('Registre de reserves'!$P$2:$P$1178,'Registre de reserves'!$T$2:$T$1178,"SI",'Registre de reserves'!$I$2:$I$1178,'2024'!$A7,'Registre de reserves'!$B$2:$B$1178,'2024'!T$2,Tabla1[ANY],'2024'!$Z$2)+SUMIFS('Registre de reserves'!$U$2:$U$1178,'Registre de reserves'!$T$2:$T$1178,"RESERVA",'Registre de reserves'!$I$2:$I$1178,'2024'!$A7,'Registre de reserves'!$B$2:$B$1178,'2024'!T$2,Tabla1[ANY],'2024'!$Z$2)</f>
        <v>290</v>
      </c>
      <c r="U7" s="21">
        <f t="shared" si="10"/>
        <v>7.880434782608696E-2</v>
      </c>
      <c r="V7" s="20">
        <f>SUMIFS('Registre de reserves'!$P$2:$P$1178,'Registre de reserves'!$T$2:$T$1178,"SI",'Registre de reserves'!$I$2:$I$1178,'2024'!$A7,'Registre de reserves'!$B$2:$B$1178,'2024'!V$2,Tabla1[ANY],'2024'!$Z$2)+SUMIFS('Registre de reserves'!$U$2:$U$1178,'Registre de reserves'!$T$2:$T$1178,"RESERVA",'Registre de reserves'!$I$2:$I$1178,'2024'!$A7,'Registre de reserves'!$B$2:$B$1178,'2024'!V$2,Tabla1[ANY],'2024'!$Z$2)</f>
        <v>1020</v>
      </c>
      <c r="W7" s="21">
        <f t="shared" si="11"/>
        <v>0.2</v>
      </c>
      <c r="X7" s="20">
        <f>SUMIFS('Registre de reserves'!$P$2:$P$1178,'Registre de reserves'!$T$2:$T$1178,"SI",'Registre de reserves'!$I$2:$I$1178,'2024'!$A7,'Registre de reserves'!$B$2:$B$1178,'2024'!X$2,Tabla1[ANY],'2024'!$Z$2)+SUMIFS('Registre de reserves'!$U$2:$U$1178,'Registre de reserves'!$T$2:$T$1178,"RESERVA",'Registre de reserves'!$I$2:$I$1178,'2024'!$A7,'Registre de reserves'!$B$2:$B$1178,'2024'!X$2,Tabla1[ANY],'2024'!$Z$2)</f>
        <v>1260</v>
      </c>
      <c r="Y7" s="21">
        <f t="shared" si="12"/>
        <v>0.18090452261306533</v>
      </c>
      <c r="Z7" s="20">
        <f t="shared" si="15"/>
        <v>6560</v>
      </c>
      <c r="AA7" s="21">
        <f t="shared" si="13"/>
        <v>0.12726743622077796</v>
      </c>
      <c r="AB7" s="178">
        <f t="shared" si="2"/>
        <v>546.66666666666663</v>
      </c>
      <c r="AC7" s="178">
        <v>436.66666666666669</v>
      </c>
    </row>
    <row r="8" spans="1:29" hidden="1" outlineLevel="1" x14ac:dyDescent="0.2">
      <c r="A8" s="8" t="s">
        <v>71</v>
      </c>
      <c r="B8" s="20">
        <f>SUMIFS('Registre de reserves'!$P$2:$P$1178,'Registre de reserves'!$T$2:$T$1178,"SI",'Registre de reserves'!$I$2:$I$1178,'2024'!$A8,'Registre de reserves'!$B$2:$B$1178,'2024'!B$2,Tabla1[ANY],'2024'!$Z$2)+SUMIFS('Registre de reserves'!$U$2:$U$1178,'Registre de reserves'!$T$2:$T$1178,"RESERVA",'Registre de reserves'!$I$2:$I$1178,'2024'!$A8,'Registre de reserves'!$B$2:$B$1178,'2024'!B$2,Tabla1[ANY],'2024'!$Z$2)</f>
        <v>0</v>
      </c>
      <c r="C8" s="21">
        <f t="shared" si="14"/>
        <v>0</v>
      </c>
      <c r="D8" s="20">
        <f>SUMIFS('Registre de reserves'!$P$2:$P$1178,'Registre de reserves'!$T$2:$T$1178,"SI",'Registre de reserves'!$I$2:$I$1178,'2024'!$A8,'Registre de reserves'!$B$2:$B$1178,'2024'!D$2,Tabla1[ANY],'2024'!$Z$2)+SUMIFS('Registre de reserves'!$U$2:$U$1178,'Registre de reserves'!$T$2:$T$1178,"RESERVA",'Registre de reserves'!$I$2:$I$1178,'2024'!$A8,'Registre de reserves'!$B$2:$B$1178,'2024'!D$2,Tabla1[ANY],'2024'!$Z$2)</f>
        <v>0</v>
      </c>
      <c r="E8" s="21">
        <f t="shared" si="14"/>
        <v>0</v>
      </c>
      <c r="F8" s="20">
        <f>SUMIFS('Registre de reserves'!$P$2:$P$1178,'Registre de reserves'!$T$2:$T$1178,"SI",'Registre de reserves'!$I$2:$I$1178,'2024'!$A8,'Registre de reserves'!$B$2:$B$1178,'2024'!F$2,Tabla1[ANY],'2024'!$Z$2)+SUMIFS('Registre de reserves'!$U$2:$U$1178,'Registre de reserves'!$T$2:$T$1178,"RESERVA",'Registre de reserves'!$I$2:$I$1178,'2024'!$A8,'Registre de reserves'!$B$2:$B$1178,'2024'!F$2,Tabla1[ANY],'2024'!$Z$2)</f>
        <v>0</v>
      </c>
      <c r="G8" s="21">
        <f t="shared" si="3"/>
        <v>0</v>
      </c>
      <c r="H8" s="20">
        <f>SUMIFS('Registre de reserves'!$P$2:$P$1178,'Registre de reserves'!$T$2:$T$1178,"SI",'Registre de reserves'!$I$2:$I$1178,'2024'!$A8,'Registre de reserves'!$B$2:$B$1178,'2024'!H$2,Tabla1[ANY],'2024'!$Z$2)+SUMIFS('Registre de reserves'!$U$2:$U$1178,'Registre de reserves'!$T$2:$T$1178,"RESERVA",'Registre de reserves'!$I$2:$I$1178,'2024'!$A8,'Registre de reserves'!$B$2:$B$1178,'2024'!H$2,Tabla1[ANY],'2024'!$Z$2)</f>
        <v>0</v>
      </c>
      <c r="I8" s="21">
        <f t="shared" si="4"/>
        <v>0</v>
      </c>
      <c r="J8" s="20">
        <f>SUMIFS('Registre de reserves'!$P$2:$P$1178,'Registre de reserves'!$T$2:$T$1178,"SI",'Registre de reserves'!$I$2:$I$1178,'2024'!$A8,'Registre de reserves'!$B$2:$B$1178,'2024'!J$2,Tabla1[ANY],'2024'!$Z$2)+SUMIFS('Registre de reserves'!$U$2:$U$1178,'Registre de reserves'!$T$2:$T$1178,"RESERVA",'Registre de reserves'!$I$2:$I$1178,'2024'!$A8,'Registre de reserves'!$B$2:$B$1178,'2024'!J$2,Tabla1[ANY],'2024'!$Z$2)</f>
        <v>0</v>
      </c>
      <c r="K8" s="21">
        <f t="shared" si="5"/>
        <v>0</v>
      </c>
      <c r="L8" s="20">
        <f>SUMIFS('Registre de reserves'!$P$2:$P$1178,'Registre de reserves'!$T$2:$T$1178,"SI",'Registre de reserves'!$I$2:$I$1178,'2024'!$A8,'Registre de reserves'!$B$2:$B$1178,'2024'!L$2,Tabla1[ANY],'2024'!$Z$2)+SUMIFS('Registre de reserves'!$U$2:$U$1178,'Registre de reserves'!$T$2:$T$1178,"RESERVA",'Registre de reserves'!$I$2:$I$1178,'2024'!$A8,'Registre de reserves'!$B$2:$B$1178,'2024'!L$2,Tabla1[ANY],'2024'!$Z$2)</f>
        <v>0</v>
      </c>
      <c r="M8" s="21">
        <f t="shared" si="6"/>
        <v>0</v>
      </c>
      <c r="N8" s="20">
        <f>SUMIFS('Registre de reserves'!$P$2:$P$1178,'Registre de reserves'!$T$2:$T$1178,"SI",'Registre de reserves'!$I$2:$I$1178,'2024'!$A8,'Registre de reserves'!$B$2:$B$1178,'2024'!N$2,Tabla1[ANY],'2024'!$Z$2)+SUMIFS('Registre de reserves'!$U$2:$U$1178,'Registre de reserves'!$T$2:$T$1178,"RESERVA",'Registre de reserves'!$I$2:$I$1178,'2024'!$A8,'Registre de reserves'!$B$2:$B$1178,'2024'!N$2,Tabla1[ANY],'2024'!$Z$2)</f>
        <v>0</v>
      </c>
      <c r="O8" s="21">
        <f t="shared" si="7"/>
        <v>0</v>
      </c>
      <c r="P8" s="20">
        <f>SUMIFS('Registre de reserves'!$P$2:$P$1178,'Registre de reserves'!$T$2:$T$1178,"SI",'Registre de reserves'!$I$2:$I$1178,'2024'!$A8,'Registre de reserves'!$B$2:$B$1178,'2024'!P$2,Tabla1[ANY],'2024'!$Z$2)+SUMIFS('Registre de reserves'!$U$2:$U$1178,'Registre de reserves'!$T$2:$T$1178,"RESERVA",'Registre de reserves'!$I$2:$I$1178,'2024'!$A8,'Registre de reserves'!$B$2:$B$1178,'2024'!P$2,Tabla1[ANY],'2024'!$Z$2)</f>
        <v>0</v>
      </c>
      <c r="Q8" s="21">
        <f t="shared" si="8"/>
        <v>0</v>
      </c>
      <c r="R8" s="20">
        <f>SUMIFS('Registre de reserves'!$P$2:$P$1178,'Registre de reserves'!$T$2:$T$1178,"SI",'Registre de reserves'!$I$2:$I$1178,'2024'!$A8,'Registre de reserves'!$B$2:$B$1178,'2024'!R$2,Tabla1[ANY],'2024'!$Z$2)+SUMIFS('Registre de reserves'!$U$2:$U$1178,'Registre de reserves'!$T$2:$T$1178,"RESERVA",'Registre de reserves'!$I$2:$I$1178,'2024'!$A8,'Registre de reserves'!$B$2:$B$1178,'2024'!R$2,Tabla1[ANY],'2024'!$Z$2)</f>
        <v>0</v>
      </c>
      <c r="S8" s="21">
        <f t="shared" si="9"/>
        <v>0</v>
      </c>
      <c r="T8" s="20">
        <f>SUMIFS('Registre de reserves'!$P$2:$P$1178,'Registre de reserves'!$T$2:$T$1178,"SI",'Registre de reserves'!$I$2:$I$1178,'2024'!$A8,'Registre de reserves'!$B$2:$B$1178,'2024'!T$2,Tabla1[ANY],'2024'!$Z$2)+SUMIFS('Registre de reserves'!$U$2:$U$1178,'Registre de reserves'!$T$2:$T$1178,"RESERVA",'Registre de reserves'!$I$2:$I$1178,'2024'!$A8,'Registre de reserves'!$B$2:$B$1178,'2024'!T$2,Tabla1[ANY],'2024'!$Z$2)</f>
        <v>0</v>
      </c>
      <c r="U8" s="21">
        <f t="shared" si="10"/>
        <v>0</v>
      </c>
      <c r="V8" s="20">
        <f>SUMIFS('Registre de reserves'!$P$2:$P$1178,'Registre de reserves'!$T$2:$T$1178,"SI",'Registre de reserves'!$I$2:$I$1178,'2024'!$A8,'Registre de reserves'!$B$2:$B$1178,'2024'!V$2,Tabla1[ANY],'2024'!$Z$2)+SUMIFS('Registre de reserves'!$U$2:$U$1178,'Registre de reserves'!$T$2:$T$1178,"RESERVA",'Registre de reserves'!$I$2:$I$1178,'2024'!$A8,'Registre de reserves'!$B$2:$B$1178,'2024'!V$2,Tabla1[ANY],'2024'!$Z$2)</f>
        <v>0</v>
      </c>
      <c r="W8" s="21">
        <f t="shared" si="11"/>
        <v>0</v>
      </c>
      <c r="X8" s="20">
        <f>SUMIFS('Registre de reserves'!$P$2:$P$1178,'Registre de reserves'!$T$2:$T$1178,"SI",'Registre de reserves'!$I$2:$I$1178,'2024'!$A8,'Registre de reserves'!$B$2:$B$1178,'2024'!X$2,Tabla1[ANY],'2024'!$Z$2)+SUMIFS('Registre de reserves'!$U$2:$U$1178,'Registre de reserves'!$T$2:$T$1178,"RESERVA",'Registre de reserves'!$I$2:$I$1178,'2024'!$A8,'Registre de reserves'!$B$2:$B$1178,'2024'!X$2,Tabla1[ANY],'2024'!$Z$2)</f>
        <v>0</v>
      </c>
      <c r="Y8" s="21">
        <f t="shared" si="12"/>
        <v>0</v>
      </c>
      <c r="Z8" s="20">
        <f t="shared" si="15"/>
        <v>0</v>
      </c>
      <c r="AA8" s="21">
        <f t="shared" si="13"/>
        <v>0</v>
      </c>
      <c r="AB8" s="178">
        <f t="shared" si="2"/>
        <v>0</v>
      </c>
      <c r="AC8" s="178">
        <v>12.5</v>
      </c>
    </row>
    <row r="9" spans="1:29" hidden="1" outlineLevel="1" x14ac:dyDescent="0.2">
      <c r="A9" s="8" t="s">
        <v>72</v>
      </c>
      <c r="B9" s="20">
        <f>SUMIFS('Registre de reserves'!$P$2:$P$1178,'Registre de reserves'!$T$2:$T$1178,"SI",'Registre de reserves'!$I$2:$I$1178,'2024'!$A9,'Registre de reserves'!$B$2:$B$1178,'2024'!B$2,Tabla1[ANY],'2024'!$Z$2)+SUMIFS('Registre de reserves'!$U$2:$U$1178,'Registre de reserves'!$T$2:$T$1178,"RESERVA",'Registre de reserves'!$I$2:$I$1178,'2024'!$A9,'Registre de reserves'!$B$2:$B$1178,'2024'!B$2,Tabla1[ANY],'2024'!$Z$2)</f>
        <v>0</v>
      </c>
      <c r="C9" s="21">
        <f>IF(B$4=0,0,B9/B$4)</f>
        <v>0</v>
      </c>
      <c r="D9" s="20">
        <f>SUMIFS('Registre de reserves'!$P$2:$P$1178,'Registre de reserves'!$T$2:$T$1178,"SI",'Registre de reserves'!$I$2:$I$1178,'2024'!$A9,'Registre de reserves'!$B$2:$B$1178,'2024'!D$2,Tabla1[ANY],'2024'!$Z$2)+SUMIFS('Registre de reserves'!$U$2:$U$1178,'Registre de reserves'!$T$2:$T$1178,"RESERVA",'Registre de reserves'!$I$2:$I$1178,'2024'!$A9,'Registre de reserves'!$B$2:$B$1178,'2024'!D$2,Tabla1[ANY],'2024'!$Z$2)</f>
        <v>0</v>
      </c>
      <c r="E9" s="21">
        <f>IF(D$4=0,0,D9/D$4)</f>
        <v>0</v>
      </c>
      <c r="F9" s="20">
        <f>SUMIFS('Registre de reserves'!$P$2:$P$1178,'Registre de reserves'!$T$2:$T$1178,"SI",'Registre de reserves'!$I$2:$I$1178,'2024'!$A9,'Registre de reserves'!$B$2:$B$1178,'2024'!F$2,Tabla1[ANY],'2024'!$Z$2)+SUMIFS('Registre de reserves'!$U$2:$U$1178,'Registre de reserves'!$T$2:$T$1178,"RESERVA",'Registre de reserves'!$I$2:$I$1178,'2024'!$A9,'Registre de reserves'!$B$2:$B$1178,'2024'!F$2,Tabla1[ANY],'2024'!$Z$2)</f>
        <v>0</v>
      </c>
      <c r="G9" s="21">
        <f t="shared" si="3"/>
        <v>0</v>
      </c>
      <c r="H9" s="20">
        <f>SUMIFS('Registre de reserves'!$P$2:$P$1178,'Registre de reserves'!$T$2:$T$1178,"SI",'Registre de reserves'!$I$2:$I$1178,'2024'!$A9,'Registre de reserves'!$B$2:$B$1178,'2024'!H$2,Tabla1[ANY],'2024'!$Z$2)+SUMIFS('Registre de reserves'!$U$2:$U$1178,'Registre de reserves'!$T$2:$T$1178,"RESERVA",'Registre de reserves'!$I$2:$I$1178,'2024'!$A9,'Registre de reserves'!$B$2:$B$1178,'2024'!H$2,Tabla1[ANY],'2024'!$Z$2)</f>
        <v>0</v>
      </c>
      <c r="I9" s="21">
        <f t="shared" si="4"/>
        <v>0</v>
      </c>
      <c r="J9" s="20">
        <f>SUMIFS('Registre de reserves'!$P$2:$P$1178,'Registre de reserves'!$T$2:$T$1178,"SI",'Registre de reserves'!$I$2:$I$1178,'2024'!$A9,'Registre de reserves'!$B$2:$B$1178,'2024'!J$2,Tabla1[ANY],'2024'!$Z$2)+SUMIFS('Registre de reserves'!$U$2:$U$1178,'Registre de reserves'!$T$2:$T$1178,"RESERVA",'Registre de reserves'!$I$2:$I$1178,'2024'!$A9,'Registre de reserves'!$B$2:$B$1178,'2024'!J$2,Tabla1[ANY],'2024'!$Z$2)</f>
        <v>0</v>
      </c>
      <c r="K9" s="21">
        <f t="shared" si="5"/>
        <v>0</v>
      </c>
      <c r="L9" s="20">
        <f>SUMIFS('Registre de reserves'!$P$2:$P$1178,'Registre de reserves'!$T$2:$T$1178,"SI",'Registre de reserves'!$I$2:$I$1178,'2024'!$A9,'Registre de reserves'!$B$2:$B$1178,'2024'!L$2,Tabla1[ANY],'2024'!$Z$2)+SUMIFS('Registre de reserves'!$U$2:$U$1178,'Registre de reserves'!$T$2:$T$1178,"RESERVA",'Registre de reserves'!$I$2:$I$1178,'2024'!$A9,'Registre de reserves'!$B$2:$B$1178,'2024'!L$2,Tabla1[ANY],'2024'!$Z$2)</f>
        <v>0</v>
      </c>
      <c r="M9" s="21">
        <f t="shared" si="6"/>
        <v>0</v>
      </c>
      <c r="N9" s="20">
        <f>SUMIFS('Registre de reserves'!$P$2:$P$1178,'Registre de reserves'!$T$2:$T$1178,"SI",'Registre de reserves'!$I$2:$I$1178,'2024'!$A9,'Registre de reserves'!$B$2:$B$1178,'2024'!N$2,Tabla1[ANY],'2024'!$Z$2)+SUMIFS('Registre de reserves'!$U$2:$U$1178,'Registre de reserves'!$T$2:$T$1178,"RESERVA",'Registre de reserves'!$I$2:$I$1178,'2024'!$A9,'Registre de reserves'!$B$2:$B$1178,'2024'!N$2,Tabla1[ANY],'2024'!$Z$2)</f>
        <v>0</v>
      </c>
      <c r="O9" s="21">
        <f t="shared" si="7"/>
        <v>0</v>
      </c>
      <c r="P9" s="20">
        <f>SUMIFS('Registre de reserves'!$P$2:$P$1178,'Registre de reserves'!$T$2:$T$1178,"SI",'Registre de reserves'!$I$2:$I$1178,'2024'!$A9,'Registre de reserves'!$B$2:$B$1178,'2024'!P$2,Tabla1[ANY],'2024'!$Z$2)+SUMIFS('Registre de reserves'!$U$2:$U$1178,'Registre de reserves'!$T$2:$T$1178,"RESERVA",'Registre de reserves'!$I$2:$I$1178,'2024'!$A9,'Registre de reserves'!$B$2:$B$1178,'2024'!P$2,Tabla1[ANY],'2024'!$Z$2)</f>
        <v>0</v>
      </c>
      <c r="Q9" s="21">
        <f t="shared" si="8"/>
        <v>0</v>
      </c>
      <c r="R9" s="20">
        <f>SUMIFS('Registre de reserves'!$P$2:$P$1178,'Registre de reserves'!$T$2:$T$1178,"SI",'Registre de reserves'!$I$2:$I$1178,'2024'!$A9,'Registre de reserves'!$B$2:$B$1178,'2024'!R$2,Tabla1[ANY],'2024'!$Z$2)+SUMIFS('Registre de reserves'!$U$2:$U$1178,'Registre de reserves'!$T$2:$T$1178,"RESERVA",'Registre de reserves'!$I$2:$I$1178,'2024'!$A9,'Registre de reserves'!$B$2:$B$1178,'2024'!R$2,Tabla1[ANY],'2024'!$Z$2)</f>
        <v>0</v>
      </c>
      <c r="S9" s="21">
        <f t="shared" si="9"/>
        <v>0</v>
      </c>
      <c r="T9" s="20">
        <f>SUMIFS('Registre de reserves'!$P$2:$P$1178,'Registre de reserves'!$T$2:$T$1178,"SI",'Registre de reserves'!$I$2:$I$1178,'2024'!$A9,'Registre de reserves'!$B$2:$B$1178,'2024'!T$2,Tabla1[ANY],'2024'!$Z$2)+SUMIFS('Registre de reserves'!$U$2:$U$1178,'Registre de reserves'!$T$2:$T$1178,"RESERVA",'Registre de reserves'!$I$2:$I$1178,'2024'!$A9,'Registre de reserves'!$B$2:$B$1178,'2024'!T$2,Tabla1[ANY],'2024'!$Z$2)</f>
        <v>0</v>
      </c>
      <c r="U9" s="21">
        <f t="shared" si="10"/>
        <v>0</v>
      </c>
      <c r="V9" s="20">
        <f>SUMIFS('Registre de reserves'!$P$2:$P$1178,'Registre de reserves'!$T$2:$T$1178,"SI",'Registre de reserves'!$I$2:$I$1178,'2024'!$A9,'Registre de reserves'!$B$2:$B$1178,'2024'!V$2,Tabla1[ANY],'2024'!$Z$2)+SUMIFS('Registre de reserves'!$U$2:$U$1178,'Registre de reserves'!$T$2:$T$1178,"RESERVA",'Registre de reserves'!$I$2:$I$1178,'2024'!$A9,'Registre de reserves'!$B$2:$B$1178,'2024'!V$2,Tabla1[ANY],'2024'!$Z$2)</f>
        <v>0</v>
      </c>
      <c r="W9" s="21">
        <f t="shared" si="11"/>
        <v>0</v>
      </c>
      <c r="X9" s="20">
        <f>SUMIFS('Registre de reserves'!$P$2:$P$1178,'Registre de reserves'!$T$2:$T$1178,"SI",'Registre de reserves'!$I$2:$I$1178,'2024'!$A9,'Registre de reserves'!$B$2:$B$1178,'2024'!X$2,Tabla1[ANY],'2024'!$Z$2)+SUMIFS('Registre de reserves'!$U$2:$U$1178,'Registre de reserves'!$T$2:$T$1178,"RESERVA",'Registre de reserves'!$I$2:$I$1178,'2024'!$A9,'Registre de reserves'!$B$2:$B$1178,'2024'!X$2,Tabla1[ANY],'2024'!$Z$2)</f>
        <v>0</v>
      </c>
      <c r="Y9" s="21">
        <f t="shared" si="12"/>
        <v>0</v>
      </c>
      <c r="Z9" s="20">
        <f t="shared" si="15"/>
        <v>0</v>
      </c>
      <c r="AA9" s="21">
        <f t="shared" si="13"/>
        <v>0</v>
      </c>
      <c r="AB9" s="178">
        <f t="shared" si="2"/>
        <v>0</v>
      </c>
      <c r="AC9" s="178">
        <v>0</v>
      </c>
    </row>
    <row r="10" spans="1:29" hidden="1" outlineLevel="1" x14ac:dyDescent="0.2">
      <c r="A10" s="8" t="s">
        <v>69</v>
      </c>
      <c r="B10" s="20">
        <f>SUMIFS('Registre de reserves'!$P$2:$P$1178,'Registre de reserves'!$T$2:$T$1178,"SI",'Registre de reserves'!$I$2:$I$1178,'2024'!$A10,'Registre de reserves'!$B$2:$B$1178,'2024'!B$2,Tabla1[ANY],'2024'!$Z$2)+SUMIFS('Registre de reserves'!$U$2:$U$1178,'Registre de reserves'!$T$2:$T$1178,"RESERVA",'Registre de reserves'!$I$2:$I$1178,'2024'!$A10,'Registre de reserves'!$B$2:$B$1178,'2024'!B$2,Tabla1[ANY],'2024'!$Z$2)</f>
        <v>980</v>
      </c>
      <c r="C10" s="21">
        <f t="shared" si="14"/>
        <v>0.20081967213114754</v>
      </c>
      <c r="D10" s="20">
        <f>SUMIFS('Registre de reserves'!$P$2:$P$1178,'Registre de reserves'!$T$2:$T$1178,"SI",'Registre de reserves'!$I$2:$I$1178,'2024'!$A10,'Registre de reserves'!$B$2:$B$1178,'2024'!D$2,Tabla1[ANY],'2024'!$Z$2)+SUMIFS('Registre de reserves'!$U$2:$U$1178,'Registre de reserves'!$T$2:$T$1178,"RESERVA",'Registre de reserves'!$I$2:$I$1178,'2024'!$A10,'Registre de reserves'!$B$2:$B$1178,'2024'!D$2,Tabla1[ANY],'2024'!$Z$2)</f>
        <v>1600</v>
      </c>
      <c r="E10" s="21">
        <f t="shared" si="14"/>
        <v>0.42384105960264901</v>
      </c>
      <c r="F10" s="20">
        <f>SUMIFS('Registre de reserves'!$P$2:$P$1178,'Registre de reserves'!$T$2:$T$1178,"SI",'Registre de reserves'!$I$2:$I$1178,'2024'!$A10,'Registre de reserves'!$B$2:$B$1178,'2024'!F$2,Tabla1[ANY],'2024'!$Z$2)+SUMIFS('Registre de reserves'!$U$2:$U$1178,'Registre de reserves'!$T$2:$T$1178,"RESERVA",'Registre de reserves'!$I$2:$I$1178,'2024'!$A10,'Registre de reserves'!$B$2:$B$1178,'2024'!F$2,Tabla1[ANY],'2024'!$Z$2)</f>
        <v>1600</v>
      </c>
      <c r="G10" s="21">
        <f t="shared" si="3"/>
        <v>0.34006376195536664</v>
      </c>
      <c r="H10" s="20">
        <f>SUMIFS('Registre de reserves'!$P$2:$P$1178,'Registre de reserves'!$T$2:$T$1178,"SI",'Registre de reserves'!$I$2:$I$1178,'2024'!$A10,'Registre de reserves'!$B$2:$B$1178,'2024'!H$2,Tabla1[ANY],'2024'!$Z$2)+SUMIFS('Registre de reserves'!$U$2:$U$1178,'Registre de reserves'!$T$2:$T$1178,"RESERVA",'Registre de reserves'!$I$2:$I$1178,'2024'!$A10,'Registre de reserves'!$B$2:$B$1178,'2024'!H$2,Tabla1[ANY],'2024'!$Z$2)</f>
        <v>1400</v>
      </c>
      <c r="I10" s="21">
        <f t="shared" si="4"/>
        <v>0.34739454094292804</v>
      </c>
      <c r="J10" s="20">
        <f>SUMIFS('Registre de reserves'!$P$2:$P$1178,'Registre de reserves'!$T$2:$T$1178,"SI",'Registre de reserves'!$I$2:$I$1178,'2024'!$A10,'Registre de reserves'!$B$2:$B$1178,'2024'!J$2,Tabla1[ANY],'2024'!$Z$2)+SUMIFS('Registre de reserves'!$U$2:$U$1178,'Registre de reserves'!$T$2:$T$1178,"RESERVA",'Registre de reserves'!$I$2:$I$1178,'2024'!$A10,'Registre de reserves'!$B$2:$B$1178,'2024'!J$2,Tabla1[ANY],'2024'!$Z$2)</f>
        <v>1400</v>
      </c>
      <c r="K10" s="21">
        <f t="shared" si="5"/>
        <v>0.32863849765258218</v>
      </c>
      <c r="L10" s="20">
        <f>SUMIFS('Registre de reserves'!$P$2:$P$1178,'Registre de reserves'!$T$2:$T$1178,"SI",'Registre de reserves'!$I$2:$I$1178,'2024'!$A10,'Registre de reserves'!$B$2:$B$1178,'2024'!L$2,Tabla1[ANY],'2024'!$Z$2)+SUMIFS('Registre de reserves'!$U$2:$U$1178,'Registre de reserves'!$T$2:$T$1178,"RESERVA",'Registre de reserves'!$I$2:$I$1178,'2024'!$A10,'Registre de reserves'!$B$2:$B$1178,'2024'!L$2,Tabla1[ANY],'2024'!$Z$2)</f>
        <v>780</v>
      </c>
      <c r="M10" s="21">
        <f t="shared" si="6"/>
        <v>0.17889908256880735</v>
      </c>
      <c r="N10" s="20">
        <f>SUMIFS('Registre de reserves'!$P$2:$P$1178,'Registre de reserves'!$T$2:$T$1178,"SI",'Registre de reserves'!$I$2:$I$1178,'2024'!$A10,'Registre de reserves'!$B$2:$B$1178,'2024'!N$2,Tabla1[ANY],'2024'!$Z$2)+SUMIFS('Registre de reserves'!$U$2:$U$1178,'Registre de reserves'!$T$2:$T$1178,"RESERVA",'Registre de reserves'!$I$2:$I$1178,'2024'!$A10,'Registre de reserves'!$B$2:$B$1178,'2024'!N$2,Tabla1[ANY],'2024'!$Z$2)</f>
        <v>950</v>
      </c>
      <c r="O10" s="21">
        <f t="shared" si="7"/>
        <v>0.28231797919762258</v>
      </c>
      <c r="P10" s="20">
        <f>SUMIFS('Registre de reserves'!$P$2:$P$1178,'Registre de reserves'!$T$2:$T$1178,"SI",'Registre de reserves'!$I$2:$I$1178,'2024'!$A10,'Registre de reserves'!$B$2:$B$1178,'2024'!P$2,Tabla1[ANY],'2024'!$Z$2)+SUMIFS('Registre de reserves'!$U$2:$U$1178,'Registre de reserves'!$T$2:$T$1178,"RESERVA",'Registre de reserves'!$I$2:$I$1178,'2024'!$A10,'Registre de reserves'!$B$2:$B$1178,'2024'!P$2,Tabla1[ANY],'2024'!$Z$2)</f>
        <v>800</v>
      </c>
      <c r="Q10" s="21">
        <f t="shared" si="8"/>
        <v>0.32388663967611336</v>
      </c>
      <c r="R10" s="20">
        <f>SUMIFS('Registre de reserves'!$P$2:$P$1178,'Registre de reserves'!$T$2:$T$1178,"SI",'Registre de reserves'!$I$2:$I$1178,'2024'!$A10,'Registre de reserves'!$B$2:$B$1178,'2024'!R$2,Tabla1[ANY],'2024'!$Z$2)+SUMIFS('Registre de reserves'!$U$2:$U$1178,'Registre de reserves'!$T$2:$T$1178,"RESERVA",'Registre de reserves'!$I$2:$I$1178,'2024'!$A10,'Registre de reserves'!$B$2:$B$1178,'2024'!R$2,Tabla1[ANY],'2024'!$Z$2)</f>
        <v>1200</v>
      </c>
      <c r="S10" s="21">
        <f t="shared" si="9"/>
        <v>0.30341340075853351</v>
      </c>
      <c r="T10" s="20">
        <f>SUMIFS('Registre de reserves'!$P$2:$P$1178,'Registre de reserves'!$T$2:$T$1178,"SI",'Registre de reserves'!$I$2:$I$1178,'2024'!$A10,'Registre de reserves'!$B$2:$B$1178,'2024'!T$2,Tabla1[ANY],'2024'!$Z$2)+SUMIFS('Registre de reserves'!$U$2:$U$1178,'Registre de reserves'!$T$2:$T$1178,"RESERVA",'Registre de reserves'!$I$2:$I$1178,'2024'!$A10,'Registre de reserves'!$B$2:$B$1178,'2024'!T$2,Tabla1[ANY],'2024'!$Z$2)</f>
        <v>1250</v>
      </c>
      <c r="U10" s="21">
        <f t="shared" si="10"/>
        <v>0.33967391304347827</v>
      </c>
      <c r="V10" s="20">
        <f>SUMIFS('Registre de reserves'!$P$2:$P$1178,'Registre de reserves'!$T$2:$T$1178,"SI",'Registre de reserves'!$I$2:$I$1178,'2024'!$A10,'Registre de reserves'!$B$2:$B$1178,'2024'!V$2,Tabla1[ANY],'2024'!$Z$2)+SUMIFS('Registre de reserves'!$U$2:$U$1178,'Registre de reserves'!$T$2:$T$1178,"RESERVA",'Registre de reserves'!$I$2:$I$1178,'2024'!$A10,'Registre de reserves'!$B$2:$B$1178,'2024'!V$2,Tabla1[ANY],'2024'!$Z$2)</f>
        <v>2000</v>
      </c>
      <c r="W10" s="21">
        <f t="shared" si="11"/>
        <v>0.39215686274509803</v>
      </c>
      <c r="X10" s="20">
        <f>SUMIFS('Registre de reserves'!$P$2:$P$1178,'Registre de reserves'!$T$2:$T$1178,"SI",'Registre de reserves'!$I$2:$I$1178,'2024'!$A10,'Registre de reserves'!$B$2:$B$1178,'2024'!X$2,Tabla1[ANY],'2024'!$Z$2)+SUMIFS('Registre de reserves'!$U$2:$U$1178,'Registre de reserves'!$T$2:$T$1178,"RESERVA",'Registre de reserves'!$I$2:$I$1178,'2024'!$A10,'Registre de reserves'!$B$2:$B$1178,'2024'!X$2,Tabla1[ANY],'2024'!$Z$2)</f>
        <v>2350</v>
      </c>
      <c r="Y10" s="21">
        <f t="shared" si="12"/>
        <v>0.33740129217516152</v>
      </c>
      <c r="Z10" s="20">
        <f t="shared" si="15"/>
        <v>16310</v>
      </c>
      <c r="AA10" s="21">
        <f t="shared" si="13"/>
        <v>0.31642254340867204</v>
      </c>
      <c r="AB10" s="178">
        <f t="shared" si="2"/>
        <v>1359.1666666666667</v>
      </c>
      <c r="AC10" s="178">
        <v>1225.8333333333333</v>
      </c>
    </row>
    <row r="11" spans="1:29" hidden="1" outlineLevel="1" x14ac:dyDescent="0.2">
      <c r="A11" s="8" t="s">
        <v>70</v>
      </c>
      <c r="B11" s="20">
        <f>SUMIFS('Registre de reserves'!$P$2:$P$1178,'Registre de reserves'!$T$2:$T$1178,"SI",'Registre de reserves'!$I$2:$I$1178,'2024'!$A11,'Registre de reserves'!$B$2:$B$1178,'2024'!B$2,Tabla1[ANY],'2024'!$Z$2)+SUMIFS('Registre de reserves'!$U$2:$U$1178,'Registre de reserves'!$T$2:$T$1178,"RESERVA",'Registre de reserves'!$I$2:$I$1178,'2024'!$A11,'Registre de reserves'!$B$2:$B$1178,'2024'!B$2,Tabla1[ANY],'2024'!$Z$2)</f>
        <v>620</v>
      </c>
      <c r="C11" s="21">
        <f t="shared" si="14"/>
        <v>0.12704918032786885</v>
      </c>
      <c r="D11" s="20">
        <f>SUMIFS('Registre de reserves'!$P$2:$P$1178,'Registre de reserves'!$T$2:$T$1178,"SI",'Registre de reserves'!$I$2:$I$1178,'2024'!$A11,'Registre de reserves'!$B$2:$B$1178,'2024'!D$2,Tabla1[ANY],'2024'!$Z$2)+SUMIFS('Registre de reserves'!$U$2:$U$1178,'Registre de reserves'!$T$2:$T$1178,"RESERVA",'Registre de reserves'!$I$2:$I$1178,'2024'!$A11,'Registre de reserves'!$B$2:$B$1178,'2024'!D$2,Tabla1[ANY],'2024'!$Z$2)</f>
        <v>0</v>
      </c>
      <c r="E11" s="21">
        <f t="shared" si="14"/>
        <v>0</v>
      </c>
      <c r="F11" s="20">
        <f>SUMIFS('Registre de reserves'!$P$2:$P$1178,'Registre de reserves'!$T$2:$T$1178,"SI",'Registre de reserves'!$I$2:$I$1178,'2024'!$A11,'Registre de reserves'!$B$2:$B$1178,'2024'!F$2,Tabla1[ANY],'2024'!$Z$2)+SUMIFS('Registre de reserves'!$U$2:$U$1178,'Registre de reserves'!$T$2:$T$1178,"RESERVA",'Registre de reserves'!$I$2:$I$1178,'2024'!$A11,'Registre de reserves'!$B$2:$B$1178,'2024'!F$2,Tabla1[ANY],'2024'!$Z$2)</f>
        <v>370</v>
      </c>
      <c r="G11" s="21">
        <f t="shared" si="3"/>
        <v>7.8639744952178528E-2</v>
      </c>
      <c r="H11" s="20">
        <f>SUMIFS('Registre de reserves'!$P$2:$P$1178,'Registre de reserves'!$T$2:$T$1178,"SI",'Registre de reserves'!$I$2:$I$1178,'2024'!$A11,'Registre de reserves'!$B$2:$B$1178,'2024'!H$2,Tabla1[ANY],'2024'!$Z$2)+SUMIFS('Registre de reserves'!$U$2:$U$1178,'Registre de reserves'!$T$2:$T$1178,"RESERVA",'Registre de reserves'!$I$2:$I$1178,'2024'!$A11,'Registre de reserves'!$B$2:$B$1178,'2024'!H$2,Tabla1[ANY],'2024'!$Z$2)</f>
        <v>320</v>
      </c>
      <c r="I11" s="21">
        <f t="shared" si="4"/>
        <v>7.9404466501240695E-2</v>
      </c>
      <c r="J11" s="20">
        <f>SUMIFS('Registre de reserves'!$P$2:$P$1178,'Registre de reserves'!$T$2:$T$1178,"SI",'Registre de reserves'!$I$2:$I$1178,'2024'!$A11,'Registre de reserves'!$B$2:$B$1178,'2024'!J$2,Tabla1[ANY],'2024'!$Z$2)+SUMIFS('Registre de reserves'!$U$2:$U$1178,'Registre de reserves'!$T$2:$T$1178,"RESERVA",'Registre de reserves'!$I$2:$I$1178,'2024'!$A11,'Registre de reserves'!$B$2:$B$1178,'2024'!J$2,Tabla1[ANY],'2024'!$Z$2)</f>
        <v>300</v>
      </c>
      <c r="K11" s="21">
        <f t="shared" si="5"/>
        <v>7.0422535211267609E-2</v>
      </c>
      <c r="L11" s="20">
        <f>SUMIFS('Registre de reserves'!$P$2:$P$1178,'Registre de reserves'!$T$2:$T$1178,"SI",'Registre de reserves'!$I$2:$I$1178,'2024'!$A11,'Registre de reserves'!$B$2:$B$1178,'2024'!L$2,Tabla1[ANY],'2024'!$Z$2)+SUMIFS('Registre de reserves'!$U$2:$U$1178,'Registre de reserves'!$T$2:$T$1178,"RESERVA",'Registre de reserves'!$I$2:$I$1178,'2024'!$A11,'Registre de reserves'!$B$2:$B$1178,'2024'!L$2,Tabla1[ANY],'2024'!$Z$2)</f>
        <v>1170</v>
      </c>
      <c r="M11" s="21">
        <f t="shared" si="6"/>
        <v>0.26834862385321101</v>
      </c>
      <c r="N11" s="20">
        <f>SUMIFS('Registre de reserves'!$P$2:$P$1178,'Registre de reserves'!$T$2:$T$1178,"SI",'Registre de reserves'!$I$2:$I$1178,'2024'!$A11,'Registre de reserves'!$B$2:$B$1178,'2024'!N$2,Tabla1[ANY],'2024'!$Z$2)+SUMIFS('Registre de reserves'!$U$2:$U$1178,'Registre de reserves'!$T$2:$T$1178,"RESERVA",'Registre de reserves'!$I$2:$I$1178,'2024'!$A11,'Registre de reserves'!$B$2:$B$1178,'2024'!N$2,Tabla1[ANY],'2024'!$Z$2)</f>
        <v>320</v>
      </c>
      <c r="O11" s="21">
        <f t="shared" si="7"/>
        <v>9.5096582466567603E-2</v>
      </c>
      <c r="P11" s="20">
        <f>SUMIFS('Registre de reserves'!$P$2:$P$1178,'Registre de reserves'!$T$2:$T$1178,"SI",'Registre de reserves'!$I$2:$I$1178,'2024'!$A11,'Registre de reserves'!$B$2:$B$1178,'2024'!P$2,Tabla1[ANY],'2024'!$Z$2)+SUMIFS('Registre de reserves'!$U$2:$U$1178,'Registre de reserves'!$T$2:$T$1178,"RESERVA",'Registre de reserves'!$I$2:$I$1178,'2024'!$A11,'Registre de reserves'!$B$2:$B$1178,'2024'!P$2,Tabla1[ANY],'2024'!$Z$2)</f>
        <v>0</v>
      </c>
      <c r="Q11" s="21">
        <f t="shared" si="8"/>
        <v>0</v>
      </c>
      <c r="R11" s="20">
        <f>SUMIFS('Registre de reserves'!$P$2:$P$1178,'Registre de reserves'!$T$2:$T$1178,"SI",'Registre de reserves'!$I$2:$I$1178,'2024'!$A11,'Registre de reserves'!$B$2:$B$1178,'2024'!R$2,Tabla1[ANY],'2024'!$Z$2)+SUMIFS('Registre de reserves'!$U$2:$U$1178,'Registre de reserves'!$T$2:$T$1178,"RESERVA",'Registre de reserves'!$I$2:$I$1178,'2024'!$A11,'Registre de reserves'!$B$2:$B$1178,'2024'!R$2,Tabla1[ANY],'2024'!$Z$2)</f>
        <v>300</v>
      </c>
      <c r="S11" s="21">
        <f t="shared" si="9"/>
        <v>7.5853350189633378E-2</v>
      </c>
      <c r="T11" s="20">
        <f>SUMIFS('Registre de reserves'!$P$2:$P$1178,'Registre de reserves'!$T$2:$T$1178,"SI",'Registre de reserves'!$I$2:$I$1178,'2024'!$A11,'Registre de reserves'!$B$2:$B$1178,'2024'!T$2,Tabla1[ANY],'2024'!$Z$2)+SUMIFS('Registre de reserves'!$U$2:$U$1178,'Registre de reserves'!$T$2:$T$1178,"RESERVA",'Registre de reserves'!$I$2:$I$1178,'2024'!$A11,'Registre de reserves'!$B$2:$B$1178,'2024'!T$2,Tabla1[ANY],'2024'!$Z$2)</f>
        <v>320</v>
      </c>
      <c r="U11" s="21">
        <f t="shared" si="10"/>
        <v>8.6956521739130432E-2</v>
      </c>
      <c r="V11" s="20">
        <f>SUMIFS('Registre de reserves'!$P$2:$P$1178,'Registre de reserves'!$T$2:$T$1178,"SI",'Registre de reserves'!$I$2:$I$1178,'2024'!$A11,'Registre de reserves'!$B$2:$B$1178,'2024'!V$2,Tabla1[ANY],'2024'!$Z$2)+SUMIFS('Registre de reserves'!$U$2:$U$1178,'Registre de reserves'!$T$2:$T$1178,"RESERVA",'Registre de reserves'!$I$2:$I$1178,'2024'!$A11,'Registre de reserves'!$B$2:$B$1178,'2024'!V$2,Tabla1[ANY],'2024'!$Z$2)</f>
        <v>0</v>
      </c>
      <c r="W11" s="21">
        <f t="shared" si="11"/>
        <v>0</v>
      </c>
      <c r="X11" s="20">
        <f>SUMIFS('Registre de reserves'!$P$2:$P$1178,'Registre de reserves'!$T$2:$T$1178,"SI",'Registre de reserves'!$I$2:$I$1178,'2024'!$A11,'Registre de reserves'!$B$2:$B$1178,'2024'!X$2,Tabla1[ANY],'2024'!$Z$2)+SUMIFS('Registre de reserves'!$U$2:$U$1178,'Registre de reserves'!$T$2:$T$1178,"RESERVA",'Registre de reserves'!$I$2:$I$1178,'2024'!$A11,'Registre de reserves'!$B$2:$B$1178,'2024'!X$2,Tabla1[ANY],'2024'!$Z$2)</f>
        <v>600</v>
      </c>
      <c r="Y11" s="21">
        <f t="shared" si="12"/>
        <v>8.6145010768126348E-2</v>
      </c>
      <c r="Z11" s="20">
        <f t="shared" si="15"/>
        <v>4320</v>
      </c>
      <c r="AA11" s="21">
        <f t="shared" si="13"/>
        <v>8.3810262877097683E-2</v>
      </c>
      <c r="AB11" s="178">
        <f t="shared" si="2"/>
        <v>360</v>
      </c>
      <c r="AC11" s="178">
        <v>330.83333333333331</v>
      </c>
    </row>
    <row r="12" spans="1:29" hidden="1" outlineLevel="1" x14ac:dyDescent="0.2">
      <c r="A12" s="8" t="s">
        <v>73</v>
      </c>
      <c r="B12" s="20">
        <f>SUMIFS('Registre de reserves'!$P$2:$P$1178,'Registre de reserves'!$T$2:$T$1178,"SI",'Registre de reserves'!$I$2:$I$1178,'2024'!$A12,'Registre de reserves'!$B$2:$B$1178,'2024'!B$2,Tabla1[ANY],'2024'!$Z$2)+SUMIFS('Registre de reserves'!$U$2:$U$1178,'Registre de reserves'!$T$2:$T$1178,"RESERVA",'Registre de reserves'!$I$2:$I$1178,'2024'!$A12,'Registre de reserves'!$B$2:$B$1178,'2024'!B$2,Tabla1[ANY],'2024'!$Z$2)</f>
        <v>0</v>
      </c>
      <c r="C12" s="21">
        <f t="shared" si="14"/>
        <v>0</v>
      </c>
      <c r="D12" s="20">
        <f>SUMIFS('Registre de reserves'!$P$2:$P$1178,'Registre de reserves'!$T$2:$T$1178,"SI",'Registre de reserves'!$I$2:$I$1178,'2024'!$A12,'Registre de reserves'!$B$2:$B$1178,'2024'!D$2,Tabla1[ANY],'2024'!$Z$2)+SUMIFS('Registre de reserves'!$U$2:$U$1178,'Registre de reserves'!$T$2:$T$1178,"RESERVA",'Registre de reserves'!$I$2:$I$1178,'2024'!$A12,'Registre de reserves'!$B$2:$B$1178,'2024'!D$2,Tabla1[ANY],'2024'!$Z$2)</f>
        <v>0</v>
      </c>
      <c r="E12" s="21">
        <f t="shared" si="14"/>
        <v>0</v>
      </c>
      <c r="F12" s="20">
        <f>SUMIFS('Registre de reserves'!$P$2:$P$1178,'Registre de reserves'!$T$2:$T$1178,"SI",'Registre de reserves'!$I$2:$I$1178,'2024'!$A12,'Registre de reserves'!$B$2:$B$1178,'2024'!F$2,Tabla1[ANY],'2024'!$Z$2)+SUMIFS('Registre de reserves'!$U$2:$U$1178,'Registre de reserves'!$T$2:$T$1178,"RESERVA",'Registre de reserves'!$I$2:$I$1178,'2024'!$A12,'Registre de reserves'!$B$2:$B$1178,'2024'!F$2,Tabla1[ANY],'2024'!$Z$2)</f>
        <v>0</v>
      </c>
      <c r="G12" s="21">
        <f t="shared" si="3"/>
        <v>0</v>
      </c>
      <c r="H12" s="20">
        <f>SUMIFS('Registre de reserves'!$P$2:$P$1178,'Registre de reserves'!$T$2:$T$1178,"SI",'Registre de reserves'!$I$2:$I$1178,'2024'!$A12,'Registre de reserves'!$B$2:$B$1178,'2024'!H$2,Tabla1[ANY],'2024'!$Z$2)+SUMIFS('Registre de reserves'!$U$2:$U$1178,'Registre de reserves'!$T$2:$T$1178,"RESERVA",'Registre de reserves'!$I$2:$I$1178,'2024'!$A12,'Registre de reserves'!$B$2:$B$1178,'2024'!H$2,Tabla1[ANY],'2024'!$Z$2)</f>
        <v>0</v>
      </c>
      <c r="I12" s="21">
        <f t="shared" si="4"/>
        <v>0</v>
      </c>
      <c r="J12" s="20">
        <f>SUMIFS('Registre de reserves'!$P$2:$P$1178,'Registre de reserves'!$T$2:$T$1178,"SI",'Registre de reserves'!$I$2:$I$1178,'2024'!$A12,'Registre de reserves'!$B$2:$B$1178,'2024'!J$2,Tabla1[ANY],'2024'!$Z$2)+SUMIFS('Registre de reserves'!$U$2:$U$1178,'Registre de reserves'!$T$2:$T$1178,"RESERVA",'Registre de reserves'!$I$2:$I$1178,'2024'!$A12,'Registre de reserves'!$B$2:$B$1178,'2024'!J$2,Tabla1[ANY],'2024'!$Z$2)</f>
        <v>0</v>
      </c>
      <c r="K12" s="21">
        <f t="shared" si="5"/>
        <v>0</v>
      </c>
      <c r="L12" s="20">
        <f>SUMIFS('Registre de reserves'!$P$2:$P$1178,'Registre de reserves'!$T$2:$T$1178,"SI",'Registre de reserves'!$I$2:$I$1178,'2024'!$A12,'Registre de reserves'!$B$2:$B$1178,'2024'!L$2,Tabla1[ANY],'2024'!$Z$2)+SUMIFS('Registre de reserves'!$U$2:$U$1178,'Registre de reserves'!$T$2:$T$1178,"RESERVA",'Registre de reserves'!$I$2:$I$1178,'2024'!$A12,'Registre de reserves'!$B$2:$B$1178,'2024'!L$2,Tabla1[ANY],'2024'!$Z$2)</f>
        <v>200</v>
      </c>
      <c r="M12" s="21">
        <f t="shared" si="6"/>
        <v>4.5871559633027525E-2</v>
      </c>
      <c r="N12" s="20">
        <f>SUMIFS('Registre de reserves'!$P$2:$P$1178,'Registre de reserves'!$T$2:$T$1178,"SI",'Registre de reserves'!$I$2:$I$1178,'2024'!$A12,'Registre de reserves'!$B$2:$B$1178,'2024'!N$2,Tabla1[ANY],'2024'!$Z$2)+SUMIFS('Registre de reserves'!$U$2:$U$1178,'Registre de reserves'!$T$2:$T$1178,"RESERVA",'Registre de reserves'!$I$2:$I$1178,'2024'!$A12,'Registre de reserves'!$B$2:$B$1178,'2024'!N$2,Tabla1[ANY],'2024'!$Z$2)</f>
        <v>0</v>
      </c>
      <c r="O12" s="21">
        <f t="shared" si="7"/>
        <v>0</v>
      </c>
      <c r="P12" s="20">
        <f>SUMIFS('Registre de reserves'!$P$2:$P$1178,'Registre de reserves'!$T$2:$T$1178,"SI",'Registre de reserves'!$I$2:$I$1178,'2024'!$A12,'Registre de reserves'!$B$2:$B$1178,'2024'!P$2,Tabla1[ANY],'2024'!$Z$2)+SUMIFS('Registre de reserves'!$U$2:$U$1178,'Registre de reserves'!$T$2:$T$1178,"RESERVA",'Registre de reserves'!$I$2:$I$1178,'2024'!$A12,'Registre de reserves'!$B$2:$B$1178,'2024'!P$2,Tabla1[ANY],'2024'!$Z$2)</f>
        <v>0</v>
      </c>
      <c r="Q12" s="21">
        <f t="shared" si="8"/>
        <v>0</v>
      </c>
      <c r="R12" s="20">
        <f>SUMIFS('Registre de reserves'!$P$2:$P$1178,'Registre de reserves'!$T$2:$T$1178,"SI",'Registre de reserves'!$I$2:$I$1178,'2024'!$A12,'Registre de reserves'!$B$2:$B$1178,'2024'!R$2,Tabla1[ANY],'2024'!$Z$2)+SUMIFS('Registre de reserves'!$U$2:$U$1178,'Registre de reserves'!$T$2:$T$1178,"RESERVA",'Registre de reserves'!$I$2:$I$1178,'2024'!$A12,'Registre de reserves'!$B$2:$B$1178,'2024'!R$2,Tabla1[ANY],'2024'!$Z$2)</f>
        <v>0</v>
      </c>
      <c r="S12" s="21">
        <f t="shared" si="9"/>
        <v>0</v>
      </c>
      <c r="T12" s="20">
        <f>SUMIFS('Registre de reserves'!$P$2:$P$1178,'Registre de reserves'!$T$2:$T$1178,"SI",'Registre de reserves'!$I$2:$I$1178,'2024'!$A12,'Registre de reserves'!$B$2:$B$1178,'2024'!T$2,Tabla1[ANY],'2024'!$Z$2)+SUMIFS('Registre de reserves'!$U$2:$U$1178,'Registre de reserves'!$T$2:$T$1178,"RESERVA",'Registre de reserves'!$I$2:$I$1178,'2024'!$A12,'Registre de reserves'!$B$2:$B$1178,'2024'!T$2,Tabla1[ANY],'2024'!$Z$2)</f>
        <v>0</v>
      </c>
      <c r="U12" s="21">
        <f t="shared" si="10"/>
        <v>0</v>
      </c>
      <c r="V12" s="20">
        <f>SUMIFS('Registre de reserves'!$P$2:$P$1178,'Registre de reserves'!$T$2:$T$1178,"SI",'Registre de reserves'!$I$2:$I$1178,'2024'!$A12,'Registre de reserves'!$B$2:$B$1178,'2024'!V$2,Tabla1[ANY],'2024'!$Z$2)+SUMIFS('Registre de reserves'!$U$2:$U$1178,'Registre de reserves'!$T$2:$T$1178,"RESERVA",'Registre de reserves'!$I$2:$I$1178,'2024'!$A12,'Registre de reserves'!$B$2:$B$1178,'2024'!V$2,Tabla1[ANY],'2024'!$Z$2)</f>
        <v>0</v>
      </c>
      <c r="W12" s="21">
        <f t="shared" si="11"/>
        <v>0</v>
      </c>
      <c r="X12" s="20">
        <f>SUMIFS('Registre de reserves'!$P$2:$P$1178,'Registre de reserves'!$T$2:$T$1178,"SI",'Registre de reserves'!$I$2:$I$1178,'2024'!$A12,'Registre de reserves'!$B$2:$B$1178,'2024'!X$2,Tabla1[ANY],'2024'!$Z$2)+SUMIFS('Registre de reserves'!$U$2:$U$1178,'Registre de reserves'!$T$2:$T$1178,"RESERVA",'Registre de reserves'!$I$2:$I$1178,'2024'!$A12,'Registre de reserves'!$B$2:$B$1178,'2024'!X$2,Tabla1[ANY],'2024'!$Z$2)</f>
        <v>0</v>
      </c>
      <c r="Y12" s="21">
        <f t="shared" si="12"/>
        <v>0</v>
      </c>
      <c r="Z12" s="20">
        <f t="shared" si="15"/>
        <v>200</v>
      </c>
      <c r="AA12" s="21">
        <f t="shared" si="13"/>
        <v>3.8801047628285964E-3</v>
      </c>
      <c r="AB12" s="178">
        <f t="shared" si="2"/>
        <v>16.666666666666668</v>
      </c>
      <c r="AC12" s="178">
        <v>0</v>
      </c>
    </row>
    <row r="13" spans="1:29" collapsed="1" x14ac:dyDescent="0.2">
      <c r="A13" s="33" t="s">
        <v>76</v>
      </c>
      <c r="B13" s="18">
        <f>SUM(B14:B21)</f>
        <v>0</v>
      </c>
      <c r="C13" s="19">
        <f>IF((B$13+B$31)=0,0,B13/(B$13+B$31))</f>
        <v>0</v>
      </c>
      <c r="D13" s="18">
        <f>SUM(D14:D21)</f>
        <v>0</v>
      </c>
      <c r="E13" s="19">
        <f>IF((D$13+D$31)=0,0,D13/(D$13+D$31))</f>
        <v>0</v>
      </c>
      <c r="F13" s="18">
        <f>SUM(F14:F21)</f>
        <v>0</v>
      </c>
      <c r="G13" s="19">
        <f>IF((F$13+F$31)=0,0,F13/(F$13+F$31))</f>
        <v>0</v>
      </c>
      <c r="H13" s="18">
        <f>SUM(H14:H21)</f>
        <v>0</v>
      </c>
      <c r="I13" s="19">
        <f>IF((H$13+H$31)=0,0,H13/(H$13+H$31))</f>
        <v>0</v>
      </c>
      <c r="J13" s="18">
        <f>SUM(J14:J21)</f>
        <v>0</v>
      </c>
      <c r="K13" s="19">
        <f>IF((J$13+J$31)=0,0,J13/(J$13+J$31))</f>
        <v>0</v>
      </c>
      <c r="L13" s="18">
        <f>SUM(L14:L21)</f>
        <v>0</v>
      </c>
      <c r="M13" s="19">
        <f>IF((L$13+L$31)=0,0,L13/(L$13+L$31))</f>
        <v>0</v>
      </c>
      <c r="N13" s="18">
        <f>SUM(N14:N21)</f>
        <v>0</v>
      </c>
      <c r="O13" s="19">
        <f>IF((N$13+N$31)=0,0,N13/(N$13+N$31))</f>
        <v>0</v>
      </c>
      <c r="P13" s="18">
        <f>SUM(P14:P21)</f>
        <v>0</v>
      </c>
      <c r="Q13" s="19">
        <f>IF((P$13+P$31)=0,0,P13/(P$13+P$31))</f>
        <v>0</v>
      </c>
      <c r="R13" s="18">
        <f>SUM(R14:R21)</f>
        <v>0</v>
      </c>
      <c r="S13" s="19">
        <f>IF((R$13+R$31)=0,0,R13/(R$13+R$31))</f>
        <v>0</v>
      </c>
      <c r="T13" s="18">
        <f>SUM(T14:T21)</f>
        <v>0</v>
      </c>
      <c r="U13" s="19">
        <f>IF((T$13+T$31)=0,0,T13/(T$13+T$31))</f>
        <v>0</v>
      </c>
      <c r="V13" s="18">
        <f>SUM(V14:V21)</f>
        <v>0</v>
      </c>
      <c r="W13" s="19">
        <f>IF((V$13+V$31)=0,0,V13/(V$13+V$31))</f>
        <v>0</v>
      </c>
      <c r="X13" s="18">
        <f>SUM(X14:X21)</f>
        <v>0</v>
      </c>
      <c r="Y13" s="19">
        <f>IF((X$13+X$31)=0,0,X13/(X$13+X$31))</f>
        <v>0</v>
      </c>
      <c r="Z13" s="18">
        <f>SUM(Z14:Z21)</f>
        <v>0</v>
      </c>
      <c r="AA13" s="19">
        <f>IF((Z$13+Z$31)=0,0,Z13/(Z$13+Z$31))</f>
        <v>0</v>
      </c>
      <c r="AB13" s="178">
        <f t="shared" si="2"/>
        <v>0</v>
      </c>
      <c r="AC13" s="178">
        <v>0</v>
      </c>
    </row>
    <row r="14" spans="1:29" hidden="1" outlineLevel="1" x14ac:dyDescent="0.2">
      <c r="A14" s="8" t="s">
        <v>67</v>
      </c>
      <c r="B14" s="20">
        <f>SUMIFS('Registre de reserves'!$P$2:$P$1178,'Registre de reserves'!$T$2:$T$1178,"NO",'Registre de reserves'!$I$2:$I$1178,'2024'!$A14,'Registre de reserves'!$B$2:$B$1178,'2024'!B$2,Tabla1[ANY],'2024'!$Z$2)+SUMIFS('Registre de reserves'!$P$2:$P$1178,'Registre de reserves'!$T$2:$T$1178,"RESERVA",'Registre de reserves'!$I$2:$I$1178,'2024'!$A14,'Registre de reserves'!$B$2:$B$1178,'2024'!B$2,Tabla1[ANY],'2024'!$Z$2)-SUMIFS('Registre de reserves'!$U$2:$U$1178,'Registre de reserves'!$T$2:$T$1178,"RESERVA",'Registre de reserves'!$I$2:$I$1178,'2024'!$A14,'Registre de reserves'!$B$2:$B$1178,'2024'!B$2,Tabla1[ANY],'2024'!$Z$2)</f>
        <v>0</v>
      </c>
      <c r="C14" s="21">
        <f>IF($B$13=0,0,B14/B$13)</f>
        <v>0</v>
      </c>
      <c r="D14" s="20">
        <f>SUMIFS('Registre de reserves'!$P$2:$P$1178,'Registre de reserves'!$T$2:$T$1178,"NO",'Registre de reserves'!$I$2:$I$1178,'2024'!$A14,'Registre de reserves'!$B$2:$B$1178,'2024'!D$2,Tabla1[ANY],'2024'!$Z$2)+SUMIFS('Registre de reserves'!$P$2:$P$1178,'Registre de reserves'!$T$2:$T$1178,"RESERVA",'Registre de reserves'!$I$2:$I$1178,'2024'!$A14,'Registre de reserves'!$B$2:$B$1178,'2024'!D$2,Tabla1[ANY],'2024'!$Z$2)-SUMIFS('Registre de reserves'!$U$2:$U$1178,'Registre de reserves'!$T$2:$T$1178,"RESERVA",'Registre de reserves'!$I$2:$I$1178,'2024'!$A14,'Registre de reserves'!$B$2:$B$1178,'2024'!D$2,Tabla1[ANY],'2024'!$Z$2)</f>
        <v>0</v>
      </c>
      <c r="E14" s="21">
        <f>IF($D$13=0,0,D14/D$13)</f>
        <v>0</v>
      </c>
      <c r="F14" s="20">
        <f>SUMIFS('Registre de reserves'!$P$2:$P$1178,'Registre de reserves'!$T$2:$T$1178,"NO",'Registre de reserves'!$I$2:$I$1178,'2024'!$A14,'Registre de reserves'!$B$2:$B$1178,'2024'!F$2,Tabla1[ANY],'2024'!$Z$2)+SUMIFS('Registre de reserves'!$P$2:$P$1178,'Registre de reserves'!$T$2:$T$1178,"RESERVA",'Registre de reserves'!$I$2:$I$1178,'2024'!$A14,'Registre de reserves'!$B$2:$B$1178,'2024'!F$2,Tabla1[ANY],'2024'!$Z$2)-SUMIFS('Registre de reserves'!$U$2:$U$1178,'Registre de reserves'!$T$2:$T$1178,"RESERVA",'Registre de reserves'!$I$2:$I$1178,'2024'!$A14,'Registre de reserves'!$B$2:$B$1178,'2024'!F$2,Tabla1[ANY],'2024'!$Z$2)</f>
        <v>0</v>
      </c>
      <c r="G14" s="21">
        <f>IF($F$13=0,0,F14/F$13)</f>
        <v>0</v>
      </c>
      <c r="H14" s="20">
        <f>SUMIFS('Registre de reserves'!$P$2:$P$1178,'Registre de reserves'!$T$2:$T$1178,"NO",'Registre de reserves'!$I$2:$I$1178,'2024'!$A14,'Registre de reserves'!$B$2:$B$1178,'2024'!H$2,Tabla1[ANY],'2024'!$Z$2)+SUMIFS('Registre de reserves'!$P$2:$P$1178,'Registre de reserves'!$T$2:$T$1178,"RESERVA",'Registre de reserves'!$I$2:$I$1178,'2024'!$A14,'Registre de reserves'!$B$2:$B$1178,'2024'!H$2,Tabla1[ANY],'2024'!$Z$2)-SUMIFS('Registre de reserves'!$U$2:$U$1178,'Registre de reserves'!$T$2:$T$1178,"RESERVA",'Registre de reserves'!$I$2:$I$1178,'2024'!$A14,'Registre de reserves'!$B$2:$B$1178,'2024'!H$2,Tabla1[ANY],'2024'!$Z$2)</f>
        <v>0</v>
      </c>
      <c r="I14" s="21">
        <f>IF($H$13=0,0,H14/H$13)</f>
        <v>0</v>
      </c>
      <c r="J14" s="20">
        <f>SUMIFS('Registre de reserves'!$P$2:$P$1178,'Registre de reserves'!$T$2:$T$1178,"NO",'Registre de reserves'!$I$2:$I$1178,'2024'!$A14,'Registre de reserves'!$B$2:$B$1178,'2024'!J$2,Tabla1[ANY],'2024'!$Z$2)+SUMIFS('Registre de reserves'!$P$2:$P$1178,'Registre de reserves'!$T$2:$T$1178,"RESERVA",'Registre de reserves'!$I$2:$I$1178,'2024'!$A14,'Registre de reserves'!$B$2:$B$1178,'2024'!J$2,Tabla1[ANY],'2024'!$Z$2)-SUMIFS('Registre de reserves'!$U$2:$U$1178,'Registre de reserves'!$T$2:$T$1178,"RESERVA",'Registre de reserves'!$I$2:$I$1178,'2024'!$A14,'Registre de reserves'!$B$2:$B$1178,'2024'!J$2,Tabla1[ANY],'2024'!$Z$2)</f>
        <v>0</v>
      </c>
      <c r="K14" s="21">
        <f>IF($J$13=0,0,J14/J$13)</f>
        <v>0</v>
      </c>
      <c r="L14" s="20">
        <f>SUMIFS('Registre de reserves'!$P$2:$P$1178,'Registre de reserves'!$T$2:$T$1178,"NO",'Registre de reserves'!$I$2:$I$1178,'2024'!$A14,'Registre de reserves'!$B$2:$B$1178,'2024'!L$2,Tabla1[ANY],'2024'!$Z$2)+SUMIFS('Registre de reserves'!$P$2:$P$1178,'Registre de reserves'!$T$2:$T$1178,"RESERVA",'Registre de reserves'!$I$2:$I$1178,'2024'!$A14,'Registre de reserves'!$B$2:$B$1178,'2024'!L$2,Tabla1[ANY],'2024'!$Z$2)-SUMIFS('Registre de reserves'!$U$2:$U$1178,'Registre de reserves'!$T$2:$T$1178,"RESERVA",'Registre de reserves'!$I$2:$I$1178,'2024'!$A14,'Registre de reserves'!$B$2:$B$1178,'2024'!L$2,Tabla1[ANY],'2024'!$Z$2)</f>
        <v>0</v>
      </c>
      <c r="M14" s="21">
        <f>IF($L$13=0,0,L14/L$13)</f>
        <v>0</v>
      </c>
      <c r="N14" s="20">
        <f>SUMIFS('Registre de reserves'!$P$2:$P$1178,'Registre de reserves'!$T$2:$T$1178,"NO",'Registre de reserves'!$I$2:$I$1178,'2024'!$A14,'Registre de reserves'!$B$2:$B$1178,'2024'!N$2,Tabla1[ANY],'2024'!$Z$2)+SUMIFS('Registre de reserves'!$P$2:$P$1178,'Registre de reserves'!$T$2:$T$1178,"RESERVA",'Registre de reserves'!$I$2:$I$1178,'2024'!$A14,'Registre de reserves'!$B$2:$B$1178,'2024'!N$2,Tabla1[ANY],'2024'!$Z$2)-SUMIFS('Registre de reserves'!$U$2:$U$1178,'Registre de reserves'!$T$2:$T$1178,"RESERVA",'Registre de reserves'!$I$2:$I$1178,'2024'!$A14,'Registre de reserves'!$B$2:$B$1178,'2024'!N$2,Tabla1[ANY],'2024'!$Z$2)</f>
        <v>0</v>
      </c>
      <c r="O14" s="21">
        <f>IF($N$13=0,0,N14/N$13)</f>
        <v>0</v>
      </c>
      <c r="P14" s="20">
        <f>SUMIFS('Registre de reserves'!$P$2:$P$1178,'Registre de reserves'!$T$2:$T$1178,"NO",'Registre de reserves'!$I$2:$I$1178,'2024'!$A14,'Registre de reserves'!$B$2:$B$1178,'2024'!P$2,Tabla1[ANY],'2024'!$Z$2)+SUMIFS('Registre de reserves'!$P$2:$P$1178,'Registre de reserves'!$T$2:$T$1178,"RESERVA",'Registre de reserves'!$I$2:$I$1178,'2024'!$A14,'Registre de reserves'!$B$2:$B$1178,'2024'!P$2,Tabla1[ANY],'2024'!$Z$2)-SUMIFS('Registre de reserves'!$U$2:$U$1178,'Registre de reserves'!$T$2:$T$1178,"RESERVA",'Registre de reserves'!$I$2:$I$1178,'2024'!$A14,'Registre de reserves'!$B$2:$B$1178,'2024'!P$2,Tabla1[ANY],'2024'!$Z$2)</f>
        <v>0</v>
      </c>
      <c r="Q14" s="21">
        <f>IF($P$13=0,0,P14/P$13)</f>
        <v>0</v>
      </c>
      <c r="R14" s="20">
        <f>SUMIFS('Registre de reserves'!$P$2:$P$1178,'Registre de reserves'!$T$2:$T$1178,"NO",'Registre de reserves'!$I$2:$I$1178,'2024'!$A14,'Registre de reserves'!$B$2:$B$1178,'2024'!R$2,Tabla1[ANY],'2024'!$Z$2)+SUMIFS('Registre de reserves'!$P$2:$P$1178,'Registre de reserves'!$T$2:$T$1178,"RESERVA",'Registre de reserves'!$I$2:$I$1178,'2024'!$A14,'Registre de reserves'!$B$2:$B$1178,'2024'!R$2,Tabla1[ANY],'2024'!$Z$2)-SUMIFS('Registre de reserves'!$U$2:$U$1178,'Registre de reserves'!$T$2:$T$1178,"RESERVA",'Registre de reserves'!$I$2:$I$1178,'2024'!$A14,'Registre de reserves'!$B$2:$B$1178,'2024'!R$2,Tabla1[ANY],'2024'!$Z$2)</f>
        <v>0</v>
      </c>
      <c r="S14" s="21">
        <f>IF($R$13=0,0,R14/R$13)</f>
        <v>0</v>
      </c>
      <c r="T14" s="20">
        <f>SUMIFS('Registre de reserves'!$P$2:$P$1178,'Registre de reserves'!$T$2:$T$1178,"NO",'Registre de reserves'!$I$2:$I$1178,'2024'!$A14,'Registre de reserves'!$B$2:$B$1178,'2024'!T$2,Tabla1[ANY],'2024'!$Z$2)+SUMIFS('Registre de reserves'!$P$2:$P$1178,'Registre de reserves'!$T$2:$T$1178,"RESERVA",'Registre de reserves'!$I$2:$I$1178,'2024'!$A14,'Registre de reserves'!$B$2:$B$1178,'2024'!T$2,Tabla1[ANY],'2024'!$Z$2)-SUMIFS('Registre de reserves'!$U$2:$U$1178,'Registre de reserves'!$T$2:$T$1178,"RESERVA",'Registre de reserves'!$I$2:$I$1178,'2024'!$A14,'Registre de reserves'!$B$2:$B$1178,'2024'!T$2,Tabla1[ANY],'2024'!$Z$2)</f>
        <v>0</v>
      </c>
      <c r="U14" s="21">
        <f>IF($T$13=0,0,T14/T$13)</f>
        <v>0</v>
      </c>
      <c r="V14" s="20">
        <f>SUMIFS('Registre de reserves'!$P$2:$P$1178,'Registre de reserves'!$T$2:$T$1178,"NO",'Registre de reserves'!$I$2:$I$1178,'2024'!$A14,'Registre de reserves'!$B$2:$B$1178,'2024'!V$2,Tabla1[ANY],'2024'!$Z$2)+SUMIFS('Registre de reserves'!$P$2:$P$1178,'Registre de reserves'!$T$2:$T$1178,"RESERVA",'Registre de reserves'!$I$2:$I$1178,'2024'!$A14,'Registre de reserves'!$B$2:$B$1178,'2024'!V$2,Tabla1[ANY],'2024'!$Z$2)-SUMIFS('Registre de reserves'!$U$2:$U$1178,'Registre de reserves'!$T$2:$T$1178,"RESERVA",'Registre de reserves'!$I$2:$I$1178,'2024'!$A14,'Registre de reserves'!$B$2:$B$1178,'2024'!V$2,Tabla1[ANY],'2024'!$Z$2)</f>
        <v>0</v>
      </c>
      <c r="W14" s="21">
        <f>IF($V$13=0,0,V14/V$13)</f>
        <v>0</v>
      </c>
      <c r="X14" s="20">
        <f>SUMIFS('Registre de reserves'!$P$2:$P$1178,'Registre de reserves'!$T$2:$T$1178,"NO",'Registre de reserves'!$I$2:$I$1178,'2024'!$A14,'Registre de reserves'!$B$2:$B$1178,'2024'!X$2,Tabla1[ANY],'2024'!$Z$2)+SUMIFS('Registre de reserves'!$P$2:$P$1178,'Registre de reserves'!$T$2:$T$1178,"RESERVA",'Registre de reserves'!$I$2:$I$1178,'2024'!$A14,'Registre de reserves'!$B$2:$B$1178,'2024'!X$2,Tabla1[ANY],'2024'!$Z$2)-SUMIFS('Registre de reserves'!$U$2:$U$1178,'Registre de reserves'!$T$2:$T$1178,"RESERVA",'Registre de reserves'!$I$2:$I$1178,'2024'!$A14,'Registre de reserves'!$B$2:$B$1178,'2024'!X$2,Tabla1[ANY],'2024'!$Z$2)</f>
        <v>0</v>
      </c>
      <c r="Y14" s="21">
        <f>IF($X$13=0,0,X14/X$13)</f>
        <v>0</v>
      </c>
      <c r="Z14" s="20">
        <f>B14+D14+F14+H14+J14+L14+N14+P14+R14+T14+V14+X14</f>
        <v>0</v>
      </c>
      <c r="AA14" s="21">
        <f>IF($Z$13=0,0,Z14/Z$13)</f>
        <v>0</v>
      </c>
      <c r="AB14" s="178">
        <f t="shared" si="2"/>
        <v>0</v>
      </c>
      <c r="AC14" s="178">
        <v>0</v>
      </c>
    </row>
    <row r="15" spans="1:29" hidden="1" outlineLevel="1" x14ac:dyDescent="0.2">
      <c r="A15" s="8" t="s">
        <v>68</v>
      </c>
      <c r="B15" s="20">
        <f>SUMIFS('Registre de reserves'!$P$2:$P$1178,'Registre de reserves'!$T$2:$T$1178,"NO",'Registre de reserves'!$I$2:$I$1178,'2024'!$A15,'Registre de reserves'!$B$2:$B$1178,'2024'!B$2,Tabla1[ANY],'2024'!$Z$2)+SUMIFS('Registre de reserves'!$P$2:$P$1178,'Registre de reserves'!$T$2:$T$1178,"RESERVA",'Registre de reserves'!$I$2:$I$1178,'2024'!$A15,'Registre de reserves'!$B$2:$B$1178,'2024'!B$2,Tabla1[ANY],'2024'!$Z$2)-SUMIFS('Registre de reserves'!$U$2:$U$1178,'Registre de reserves'!$T$2:$T$1178,"RESERVA",'Registre de reserves'!$I$2:$I$1178,'2024'!$A15,'Registre de reserves'!$B$2:$B$1178,'2024'!B$2,Tabla1[ANY],'2024'!$Z$2)</f>
        <v>0</v>
      </c>
      <c r="C15" s="21">
        <f t="shared" ref="C15:C21" si="16">IF($B$13=0,0,B15/B$13)</f>
        <v>0</v>
      </c>
      <c r="D15" s="20">
        <f>SUMIFS('Registre de reserves'!$P$2:$P$1178,'Registre de reserves'!$T$2:$T$1178,"NO",'Registre de reserves'!$I$2:$I$1178,'2024'!$A15,'Registre de reserves'!$B$2:$B$1178,'2024'!D$2,Tabla1[ANY],'2024'!$Z$2)+SUMIFS('Registre de reserves'!$P$2:$P$1178,'Registre de reserves'!$T$2:$T$1178,"RESERVA",'Registre de reserves'!$I$2:$I$1178,'2024'!$A15,'Registre de reserves'!$B$2:$B$1178,'2024'!D$2,Tabla1[ANY],'2024'!$Z$2)-SUMIFS('Registre de reserves'!$U$2:$U$1178,'Registre de reserves'!$T$2:$T$1178,"RESERVA",'Registre de reserves'!$I$2:$I$1178,'2024'!$A15,'Registre de reserves'!$B$2:$B$1178,'2024'!D$2,Tabla1[ANY],'2024'!$Z$2)</f>
        <v>0</v>
      </c>
      <c r="E15" s="21">
        <f t="shared" ref="E15:E21" si="17">IF($D$13=0,0,D15/D$13)</f>
        <v>0</v>
      </c>
      <c r="F15" s="20">
        <f>SUMIFS('Registre de reserves'!$P$2:$P$1178,'Registre de reserves'!$T$2:$T$1178,"NO",'Registre de reserves'!$I$2:$I$1178,'2024'!$A15,'Registre de reserves'!$B$2:$B$1178,'2024'!F$2,Tabla1[ANY],'2024'!$Z$2)+SUMIFS('Registre de reserves'!$P$2:$P$1178,'Registre de reserves'!$T$2:$T$1178,"RESERVA",'Registre de reserves'!$I$2:$I$1178,'2024'!$A15,'Registre de reserves'!$B$2:$B$1178,'2024'!F$2,Tabla1[ANY],'2024'!$Z$2)-SUMIFS('Registre de reserves'!$U$2:$U$1178,'Registre de reserves'!$T$2:$T$1178,"RESERVA",'Registre de reserves'!$I$2:$I$1178,'2024'!$A15,'Registre de reserves'!$B$2:$B$1178,'2024'!F$2,Tabla1[ANY],'2024'!$Z$2)</f>
        <v>0</v>
      </c>
      <c r="G15" s="21">
        <f t="shared" ref="G15:G21" si="18">IF($F$13=0,0,F15/F$13)</f>
        <v>0</v>
      </c>
      <c r="H15" s="20">
        <f>SUMIFS('Registre de reserves'!$P$2:$P$1178,'Registre de reserves'!$T$2:$T$1178,"NO",'Registre de reserves'!$I$2:$I$1178,'2024'!$A15,'Registre de reserves'!$B$2:$B$1178,'2024'!H$2,Tabla1[ANY],'2024'!$Z$2)+SUMIFS('Registre de reserves'!$P$2:$P$1178,'Registre de reserves'!$T$2:$T$1178,"RESERVA",'Registre de reserves'!$I$2:$I$1178,'2024'!$A15,'Registre de reserves'!$B$2:$B$1178,'2024'!H$2,Tabla1[ANY],'2024'!$Z$2)-SUMIFS('Registre de reserves'!$U$2:$U$1178,'Registre de reserves'!$T$2:$T$1178,"RESERVA",'Registre de reserves'!$I$2:$I$1178,'2024'!$A15,'Registre de reserves'!$B$2:$B$1178,'2024'!H$2,Tabla1[ANY],'2024'!$Z$2)</f>
        <v>0</v>
      </c>
      <c r="I15" s="21">
        <f t="shared" ref="I15:I21" si="19">IF($H$13=0,0,H15/H$13)</f>
        <v>0</v>
      </c>
      <c r="J15" s="20">
        <f>SUMIFS('Registre de reserves'!$P$2:$P$1178,'Registre de reserves'!$T$2:$T$1178,"NO",'Registre de reserves'!$I$2:$I$1178,'2024'!$A15,'Registre de reserves'!$B$2:$B$1178,'2024'!J$2,Tabla1[ANY],'2024'!$Z$2)+SUMIFS('Registre de reserves'!$P$2:$P$1178,'Registre de reserves'!$T$2:$T$1178,"RESERVA",'Registre de reserves'!$I$2:$I$1178,'2024'!$A15,'Registre de reserves'!$B$2:$B$1178,'2024'!J$2,Tabla1[ANY],'2024'!$Z$2)-SUMIFS('Registre de reserves'!$U$2:$U$1178,'Registre de reserves'!$T$2:$T$1178,"RESERVA",'Registre de reserves'!$I$2:$I$1178,'2024'!$A15,'Registre de reserves'!$B$2:$B$1178,'2024'!J$2,Tabla1[ANY],'2024'!$Z$2)</f>
        <v>0</v>
      </c>
      <c r="K15" s="21">
        <f t="shared" ref="K15:K21" si="20">IF($J$13=0,0,J15/J$13)</f>
        <v>0</v>
      </c>
      <c r="L15" s="20">
        <f>SUMIFS('Registre de reserves'!$P$2:$P$1178,'Registre de reserves'!$T$2:$T$1178,"NO",'Registre de reserves'!$I$2:$I$1178,'2024'!$A15,'Registre de reserves'!$B$2:$B$1178,'2024'!L$2,Tabla1[ANY],'2024'!$Z$2)+SUMIFS('Registre de reserves'!$P$2:$P$1178,'Registre de reserves'!$T$2:$T$1178,"RESERVA",'Registre de reserves'!$I$2:$I$1178,'2024'!$A15,'Registre de reserves'!$B$2:$B$1178,'2024'!L$2,Tabla1[ANY],'2024'!$Z$2)-SUMIFS('Registre de reserves'!$U$2:$U$1178,'Registre de reserves'!$T$2:$T$1178,"RESERVA",'Registre de reserves'!$I$2:$I$1178,'2024'!$A15,'Registre de reserves'!$B$2:$B$1178,'2024'!L$2,Tabla1[ANY],'2024'!$Z$2)</f>
        <v>0</v>
      </c>
      <c r="M15" s="21">
        <f t="shared" ref="M15:M21" si="21">IF($L$13=0,0,L15/L$13)</f>
        <v>0</v>
      </c>
      <c r="N15" s="20">
        <f>SUMIFS('Registre de reserves'!$P$2:$P$1178,'Registre de reserves'!$T$2:$T$1178,"NO",'Registre de reserves'!$I$2:$I$1178,'2024'!$A15,'Registre de reserves'!$B$2:$B$1178,'2024'!N$2,Tabla1[ANY],'2024'!$Z$2)+SUMIFS('Registre de reserves'!$P$2:$P$1178,'Registre de reserves'!$T$2:$T$1178,"RESERVA",'Registre de reserves'!$I$2:$I$1178,'2024'!$A15,'Registre de reserves'!$B$2:$B$1178,'2024'!N$2,Tabla1[ANY],'2024'!$Z$2)-SUMIFS('Registre de reserves'!$U$2:$U$1178,'Registre de reserves'!$T$2:$T$1178,"RESERVA",'Registre de reserves'!$I$2:$I$1178,'2024'!$A15,'Registre de reserves'!$B$2:$B$1178,'2024'!N$2,Tabla1[ANY],'2024'!$Z$2)</f>
        <v>0</v>
      </c>
      <c r="O15" s="21">
        <f t="shared" ref="O15:O21" si="22">IF($N$13=0,0,N15/N$13)</f>
        <v>0</v>
      </c>
      <c r="P15" s="20">
        <f>SUMIFS('Registre de reserves'!$P$2:$P$1178,'Registre de reserves'!$T$2:$T$1178,"NO",'Registre de reserves'!$I$2:$I$1178,'2024'!$A15,'Registre de reserves'!$B$2:$B$1178,'2024'!P$2,Tabla1[ANY],'2024'!$Z$2)+SUMIFS('Registre de reserves'!$P$2:$P$1178,'Registre de reserves'!$T$2:$T$1178,"RESERVA",'Registre de reserves'!$I$2:$I$1178,'2024'!$A15,'Registre de reserves'!$B$2:$B$1178,'2024'!P$2,Tabla1[ANY],'2024'!$Z$2)-SUMIFS('Registre de reserves'!$U$2:$U$1178,'Registre de reserves'!$T$2:$T$1178,"RESERVA",'Registre de reserves'!$I$2:$I$1178,'2024'!$A15,'Registre de reserves'!$B$2:$B$1178,'2024'!P$2,Tabla1[ANY],'2024'!$Z$2)</f>
        <v>0</v>
      </c>
      <c r="Q15" s="21">
        <f t="shared" ref="Q15:Q21" si="23">IF($P$13=0,0,P15/P$13)</f>
        <v>0</v>
      </c>
      <c r="R15" s="20">
        <f>SUMIFS('Registre de reserves'!$P$2:$P$1178,'Registre de reserves'!$T$2:$T$1178,"NO",'Registre de reserves'!$I$2:$I$1178,'2024'!$A15,'Registre de reserves'!$B$2:$B$1178,'2024'!R$2,Tabla1[ANY],'2024'!$Z$2)+SUMIFS('Registre de reserves'!$P$2:$P$1178,'Registre de reserves'!$T$2:$T$1178,"RESERVA",'Registre de reserves'!$I$2:$I$1178,'2024'!$A15,'Registre de reserves'!$B$2:$B$1178,'2024'!R$2,Tabla1[ANY],'2024'!$Z$2)-SUMIFS('Registre de reserves'!$U$2:$U$1178,'Registre de reserves'!$T$2:$T$1178,"RESERVA",'Registre de reserves'!$I$2:$I$1178,'2024'!$A15,'Registre de reserves'!$B$2:$B$1178,'2024'!R$2,Tabla1[ANY],'2024'!$Z$2)</f>
        <v>0</v>
      </c>
      <c r="S15" s="21">
        <f t="shared" ref="S15:S21" si="24">IF($R$13=0,0,R15/R$13)</f>
        <v>0</v>
      </c>
      <c r="T15" s="20">
        <f>SUMIFS('Registre de reserves'!$P$2:$P$1178,'Registre de reserves'!$T$2:$T$1178,"NO",'Registre de reserves'!$I$2:$I$1178,'2024'!$A15,'Registre de reserves'!$B$2:$B$1178,'2024'!T$2,Tabla1[ANY],'2024'!$Z$2)+SUMIFS('Registre de reserves'!$P$2:$P$1178,'Registre de reserves'!$T$2:$T$1178,"RESERVA",'Registre de reserves'!$I$2:$I$1178,'2024'!$A15,'Registre de reserves'!$B$2:$B$1178,'2024'!T$2,Tabla1[ANY],'2024'!$Z$2)-SUMIFS('Registre de reserves'!$U$2:$U$1178,'Registre de reserves'!$T$2:$T$1178,"RESERVA",'Registre de reserves'!$I$2:$I$1178,'2024'!$A15,'Registre de reserves'!$B$2:$B$1178,'2024'!T$2,Tabla1[ANY],'2024'!$Z$2)</f>
        <v>0</v>
      </c>
      <c r="U15" s="21">
        <f t="shared" ref="U15:U21" si="25">IF($T$13=0,0,T15/T$13)</f>
        <v>0</v>
      </c>
      <c r="V15" s="20">
        <f>SUMIFS('Registre de reserves'!$P$2:$P$1178,'Registre de reserves'!$T$2:$T$1178,"NO",'Registre de reserves'!$I$2:$I$1178,'2024'!$A15,'Registre de reserves'!$B$2:$B$1178,'2024'!V$2,Tabla1[ANY],'2024'!$Z$2)+SUMIFS('Registre de reserves'!$P$2:$P$1178,'Registre de reserves'!$T$2:$T$1178,"RESERVA",'Registre de reserves'!$I$2:$I$1178,'2024'!$A15,'Registre de reserves'!$B$2:$B$1178,'2024'!V$2,Tabla1[ANY],'2024'!$Z$2)-SUMIFS('Registre de reserves'!$U$2:$U$1178,'Registre de reserves'!$T$2:$T$1178,"RESERVA",'Registre de reserves'!$I$2:$I$1178,'2024'!$A15,'Registre de reserves'!$B$2:$B$1178,'2024'!V$2,Tabla1[ANY],'2024'!$Z$2)</f>
        <v>0</v>
      </c>
      <c r="W15" s="21">
        <f t="shared" ref="W15:W21" si="26">IF($V$13=0,0,V15/V$13)</f>
        <v>0</v>
      </c>
      <c r="X15" s="20">
        <f>SUMIFS('Registre de reserves'!$P$2:$P$1178,'Registre de reserves'!$T$2:$T$1178,"NO",'Registre de reserves'!$I$2:$I$1178,'2024'!$A15,'Registre de reserves'!$B$2:$B$1178,'2024'!X$2,Tabla1[ANY],'2024'!$Z$2)+SUMIFS('Registre de reserves'!$P$2:$P$1178,'Registre de reserves'!$T$2:$T$1178,"RESERVA",'Registre de reserves'!$I$2:$I$1178,'2024'!$A15,'Registre de reserves'!$B$2:$B$1178,'2024'!X$2,Tabla1[ANY],'2024'!$Z$2)-SUMIFS('Registre de reserves'!$U$2:$U$1178,'Registre de reserves'!$T$2:$T$1178,"RESERVA",'Registre de reserves'!$I$2:$I$1178,'2024'!$A15,'Registre de reserves'!$B$2:$B$1178,'2024'!X$2,Tabla1[ANY],'2024'!$Z$2)</f>
        <v>0</v>
      </c>
      <c r="Y15" s="21">
        <f t="shared" ref="Y15:Y21" si="27">IF($X$13=0,0,X15/X$13)</f>
        <v>0</v>
      </c>
      <c r="Z15" s="20">
        <f t="shared" ref="Z15:Z21" si="28">B15+D15+F15+H15+J15+L15+N15+P15+R15+T15+V15+X15</f>
        <v>0</v>
      </c>
      <c r="AA15" s="21">
        <f t="shared" ref="AA15:AA21" si="29">IF($Z$13=0,0,Z15/Z$13)</f>
        <v>0</v>
      </c>
      <c r="AB15" s="178">
        <f t="shared" si="2"/>
        <v>0</v>
      </c>
      <c r="AC15" s="178">
        <v>0</v>
      </c>
    </row>
    <row r="16" spans="1:29" hidden="1" outlineLevel="1" x14ac:dyDescent="0.2">
      <c r="A16" s="8" t="s">
        <v>4</v>
      </c>
      <c r="B16" s="20">
        <f>SUMIFS('Registre de reserves'!$P$2:$P$1178,'Registre de reserves'!$T$2:$T$1178,"NO",'Registre de reserves'!$I$2:$I$1178,'2024'!$A16,'Registre de reserves'!$B$2:$B$1178,'2024'!B$2,Tabla1[ANY],'2024'!$Z$2)+SUMIFS('Registre de reserves'!$P$2:$P$1178,'Registre de reserves'!$T$2:$T$1178,"RESERVA",'Registre de reserves'!$I$2:$I$1178,'2024'!$A16,'Registre de reserves'!$B$2:$B$1178,'2024'!B$2,Tabla1[ANY],'2024'!$Z$2)-SUMIFS('Registre de reserves'!$U$2:$U$1178,'Registre de reserves'!$T$2:$T$1178,"RESERVA",'Registre de reserves'!$I$2:$I$1178,'2024'!$A16,'Registre de reserves'!$B$2:$B$1178,'2024'!B$2,Tabla1[ANY],'2024'!$Z$2)</f>
        <v>0</v>
      </c>
      <c r="C16" s="21">
        <f t="shared" si="16"/>
        <v>0</v>
      </c>
      <c r="D16" s="20">
        <f>SUMIFS('Registre de reserves'!$P$2:$P$1178,'Registre de reserves'!$T$2:$T$1178,"NO",'Registre de reserves'!$I$2:$I$1178,'2024'!$A16,'Registre de reserves'!$B$2:$B$1178,'2024'!D$2,Tabla1[ANY],'2024'!$Z$2)+SUMIFS('Registre de reserves'!$P$2:$P$1178,'Registre de reserves'!$T$2:$T$1178,"RESERVA",'Registre de reserves'!$I$2:$I$1178,'2024'!$A16,'Registre de reserves'!$B$2:$B$1178,'2024'!D$2,Tabla1[ANY],'2024'!$Z$2)-SUMIFS('Registre de reserves'!$U$2:$U$1178,'Registre de reserves'!$T$2:$T$1178,"RESERVA",'Registre de reserves'!$I$2:$I$1178,'2024'!$A16,'Registre de reserves'!$B$2:$B$1178,'2024'!D$2,Tabla1[ANY],'2024'!$Z$2)</f>
        <v>0</v>
      </c>
      <c r="E16" s="21">
        <f t="shared" si="17"/>
        <v>0</v>
      </c>
      <c r="F16" s="20">
        <f>SUMIFS('Registre de reserves'!$P$2:$P$1178,'Registre de reserves'!$T$2:$T$1178,"NO",'Registre de reserves'!$I$2:$I$1178,'2024'!$A16,'Registre de reserves'!$B$2:$B$1178,'2024'!F$2,Tabla1[ANY],'2024'!$Z$2)+SUMIFS('Registre de reserves'!$P$2:$P$1178,'Registre de reserves'!$T$2:$T$1178,"RESERVA",'Registre de reserves'!$I$2:$I$1178,'2024'!$A16,'Registre de reserves'!$B$2:$B$1178,'2024'!F$2,Tabla1[ANY],'2024'!$Z$2)-SUMIFS('Registre de reserves'!$U$2:$U$1178,'Registre de reserves'!$T$2:$T$1178,"RESERVA",'Registre de reserves'!$I$2:$I$1178,'2024'!$A16,'Registre de reserves'!$B$2:$B$1178,'2024'!F$2,Tabla1[ANY],'2024'!$Z$2)</f>
        <v>0</v>
      </c>
      <c r="G16" s="21">
        <f t="shared" si="18"/>
        <v>0</v>
      </c>
      <c r="H16" s="20">
        <f>SUMIFS('Registre de reserves'!$P$2:$P$1178,'Registre de reserves'!$T$2:$T$1178,"NO",'Registre de reserves'!$I$2:$I$1178,'2024'!$A16,'Registre de reserves'!$B$2:$B$1178,'2024'!H$2,Tabla1[ANY],'2024'!$Z$2)+SUMIFS('Registre de reserves'!$P$2:$P$1178,'Registre de reserves'!$T$2:$T$1178,"RESERVA",'Registre de reserves'!$I$2:$I$1178,'2024'!$A16,'Registre de reserves'!$B$2:$B$1178,'2024'!H$2,Tabla1[ANY],'2024'!$Z$2)-SUMIFS('Registre de reserves'!$U$2:$U$1178,'Registre de reserves'!$T$2:$T$1178,"RESERVA",'Registre de reserves'!$I$2:$I$1178,'2024'!$A16,'Registre de reserves'!$B$2:$B$1178,'2024'!H$2,Tabla1[ANY],'2024'!$Z$2)</f>
        <v>0</v>
      </c>
      <c r="I16" s="21">
        <f t="shared" si="19"/>
        <v>0</v>
      </c>
      <c r="J16" s="20">
        <f>SUMIFS('Registre de reserves'!$P$2:$P$1178,'Registre de reserves'!$T$2:$T$1178,"NO",'Registre de reserves'!$I$2:$I$1178,'2024'!$A16,'Registre de reserves'!$B$2:$B$1178,'2024'!J$2,Tabla1[ANY],'2024'!$Z$2)+SUMIFS('Registre de reserves'!$P$2:$P$1178,'Registre de reserves'!$T$2:$T$1178,"RESERVA",'Registre de reserves'!$I$2:$I$1178,'2024'!$A16,'Registre de reserves'!$B$2:$B$1178,'2024'!J$2,Tabla1[ANY],'2024'!$Z$2)-SUMIFS('Registre de reserves'!$U$2:$U$1178,'Registre de reserves'!$T$2:$T$1178,"RESERVA",'Registre de reserves'!$I$2:$I$1178,'2024'!$A16,'Registre de reserves'!$B$2:$B$1178,'2024'!J$2,Tabla1[ANY],'2024'!$Z$2)</f>
        <v>0</v>
      </c>
      <c r="K16" s="21">
        <f t="shared" si="20"/>
        <v>0</v>
      </c>
      <c r="L16" s="20">
        <f>SUMIFS('Registre de reserves'!$P$2:$P$1178,'Registre de reserves'!$T$2:$T$1178,"NO",'Registre de reserves'!$I$2:$I$1178,'2024'!$A16,'Registre de reserves'!$B$2:$B$1178,'2024'!L$2,Tabla1[ANY],'2024'!$Z$2)+SUMIFS('Registre de reserves'!$P$2:$P$1178,'Registre de reserves'!$T$2:$T$1178,"RESERVA",'Registre de reserves'!$I$2:$I$1178,'2024'!$A16,'Registre de reserves'!$B$2:$B$1178,'2024'!L$2,Tabla1[ANY],'2024'!$Z$2)-SUMIFS('Registre de reserves'!$U$2:$U$1178,'Registre de reserves'!$T$2:$T$1178,"RESERVA",'Registre de reserves'!$I$2:$I$1178,'2024'!$A16,'Registre de reserves'!$B$2:$B$1178,'2024'!L$2,Tabla1[ANY],'2024'!$Z$2)</f>
        <v>0</v>
      </c>
      <c r="M16" s="21">
        <f t="shared" si="21"/>
        <v>0</v>
      </c>
      <c r="N16" s="20">
        <f>SUMIFS('Registre de reserves'!$P$2:$P$1178,'Registre de reserves'!$T$2:$T$1178,"NO",'Registre de reserves'!$I$2:$I$1178,'2024'!$A16,'Registre de reserves'!$B$2:$B$1178,'2024'!N$2,Tabla1[ANY],'2024'!$Z$2)+SUMIFS('Registre de reserves'!$P$2:$P$1178,'Registre de reserves'!$T$2:$T$1178,"RESERVA",'Registre de reserves'!$I$2:$I$1178,'2024'!$A16,'Registre de reserves'!$B$2:$B$1178,'2024'!N$2,Tabla1[ANY],'2024'!$Z$2)-SUMIFS('Registre de reserves'!$U$2:$U$1178,'Registre de reserves'!$T$2:$T$1178,"RESERVA",'Registre de reserves'!$I$2:$I$1178,'2024'!$A16,'Registre de reserves'!$B$2:$B$1178,'2024'!N$2,Tabla1[ANY],'2024'!$Z$2)</f>
        <v>0</v>
      </c>
      <c r="O16" s="21">
        <f t="shared" si="22"/>
        <v>0</v>
      </c>
      <c r="P16" s="20">
        <f>SUMIFS('Registre de reserves'!$P$2:$P$1178,'Registre de reserves'!$T$2:$T$1178,"NO",'Registre de reserves'!$I$2:$I$1178,'2024'!$A16,'Registre de reserves'!$B$2:$B$1178,'2024'!P$2,Tabla1[ANY],'2024'!$Z$2)+SUMIFS('Registre de reserves'!$P$2:$P$1178,'Registre de reserves'!$T$2:$T$1178,"RESERVA",'Registre de reserves'!$I$2:$I$1178,'2024'!$A16,'Registre de reserves'!$B$2:$B$1178,'2024'!P$2,Tabla1[ANY],'2024'!$Z$2)-SUMIFS('Registre de reserves'!$U$2:$U$1178,'Registre de reserves'!$T$2:$T$1178,"RESERVA",'Registre de reserves'!$I$2:$I$1178,'2024'!$A16,'Registre de reserves'!$B$2:$B$1178,'2024'!P$2,Tabla1[ANY],'2024'!$Z$2)</f>
        <v>0</v>
      </c>
      <c r="Q16" s="21">
        <f t="shared" si="23"/>
        <v>0</v>
      </c>
      <c r="R16" s="20">
        <f>SUMIFS('Registre de reserves'!$P$2:$P$1178,'Registre de reserves'!$T$2:$T$1178,"NO",'Registre de reserves'!$I$2:$I$1178,'2024'!$A16,'Registre de reserves'!$B$2:$B$1178,'2024'!R$2,Tabla1[ANY],'2024'!$Z$2)+SUMIFS('Registre de reserves'!$P$2:$P$1178,'Registre de reserves'!$T$2:$T$1178,"RESERVA",'Registre de reserves'!$I$2:$I$1178,'2024'!$A16,'Registre de reserves'!$B$2:$B$1178,'2024'!R$2,Tabla1[ANY],'2024'!$Z$2)-SUMIFS('Registre de reserves'!$U$2:$U$1178,'Registre de reserves'!$T$2:$T$1178,"RESERVA",'Registre de reserves'!$I$2:$I$1178,'2024'!$A16,'Registre de reserves'!$B$2:$B$1178,'2024'!R$2,Tabla1[ANY],'2024'!$Z$2)</f>
        <v>0</v>
      </c>
      <c r="S16" s="21">
        <f t="shared" si="24"/>
        <v>0</v>
      </c>
      <c r="T16" s="20">
        <f>SUMIFS('Registre de reserves'!$P$2:$P$1178,'Registre de reserves'!$T$2:$T$1178,"NO",'Registre de reserves'!$I$2:$I$1178,'2024'!$A16,'Registre de reserves'!$B$2:$B$1178,'2024'!T$2,Tabla1[ANY],'2024'!$Z$2)+SUMIFS('Registre de reserves'!$P$2:$P$1178,'Registre de reserves'!$T$2:$T$1178,"RESERVA",'Registre de reserves'!$I$2:$I$1178,'2024'!$A16,'Registre de reserves'!$B$2:$B$1178,'2024'!T$2,Tabla1[ANY],'2024'!$Z$2)-SUMIFS('Registre de reserves'!$U$2:$U$1178,'Registre de reserves'!$T$2:$T$1178,"RESERVA",'Registre de reserves'!$I$2:$I$1178,'2024'!$A16,'Registre de reserves'!$B$2:$B$1178,'2024'!T$2,Tabla1[ANY],'2024'!$Z$2)</f>
        <v>0</v>
      </c>
      <c r="U16" s="21">
        <f t="shared" si="25"/>
        <v>0</v>
      </c>
      <c r="V16" s="20">
        <f>SUMIFS('Registre de reserves'!$P$2:$P$1178,'Registre de reserves'!$T$2:$T$1178,"NO",'Registre de reserves'!$I$2:$I$1178,'2024'!$A16,'Registre de reserves'!$B$2:$B$1178,'2024'!V$2,Tabla1[ANY],'2024'!$Z$2)+SUMIFS('Registre de reserves'!$P$2:$P$1178,'Registre de reserves'!$T$2:$T$1178,"RESERVA",'Registre de reserves'!$I$2:$I$1178,'2024'!$A16,'Registre de reserves'!$B$2:$B$1178,'2024'!V$2,Tabla1[ANY],'2024'!$Z$2)-SUMIFS('Registre de reserves'!$U$2:$U$1178,'Registre de reserves'!$T$2:$T$1178,"RESERVA",'Registre de reserves'!$I$2:$I$1178,'2024'!$A16,'Registre de reserves'!$B$2:$B$1178,'2024'!V$2,Tabla1[ANY],'2024'!$Z$2)</f>
        <v>0</v>
      </c>
      <c r="W16" s="21">
        <f t="shared" si="26"/>
        <v>0</v>
      </c>
      <c r="X16" s="20">
        <f>SUMIFS('Registre de reserves'!$P$2:$P$1178,'Registre de reserves'!$T$2:$T$1178,"NO",'Registre de reserves'!$I$2:$I$1178,'2024'!$A16,'Registre de reserves'!$B$2:$B$1178,'2024'!X$2,Tabla1[ANY],'2024'!$Z$2)+SUMIFS('Registre de reserves'!$P$2:$P$1178,'Registre de reserves'!$T$2:$T$1178,"RESERVA",'Registre de reserves'!$I$2:$I$1178,'2024'!$A16,'Registre de reserves'!$B$2:$B$1178,'2024'!X$2,Tabla1[ANY],'2024'!$Z$2)-SUMIFS('Registre de reserves'!$U$2:$U$1178,'Registre de reserves'!$T$2:$T$1178,"RESERVA",'Registre de reserves'!$I$2:$I$1178,'2024'!$A16,'Registre de reserves'!$B$2:$B$1178,'2024'!X$2,Tabla1[ANY],'2024'!$Z$2)</f>
        <v>0</v>
      </c>
      <c r="Y16" s="21">
        <f t="shared" si="27"/>
        <v>0</v>
      </c>
      <c r="Z16" s="20">
        <f t="shared" si="28"/>
        <v>0</v>
      </c>
      <c r="AA16" s="21">
        <f t="shared" si="29"/>
        <v>0</v>
      </c>
      <c r="AB16" s="178">
        <f t="shared" si="2"/>
        <v>0</v>
      </c>
      <c r="AC16" s="178">
        <v>0</v>
      </c>
    </row>
    <row r="17" spans="1:29" hidden="1" outlineLevel="1" x14ac:dyDescent="0.2">
      <c r="A17" s="8" t="s">
        <v>71</v>
      </c>
      <c r="B17" s="20">
        <f>SUMIFS('Registre de reserves'!$P$2:$P$1178,'Registre de reserves'!$T$2:$T$1178,"NO",'Registre de reserves'!$I$2:$I$1178,'2024'!$A17,'Registre de reserves'!$B$2:$B$1178,'2024'!B$2,Tabla1[ANY],'2024'!$Z$2)+SUMIFS('Registre de reserves'!$P$2:$P$1178,'Registre de reserves'!$T$2:$T$1178,"RESERVA",'Registre de reserves'!$I$2:$I$1178,'2024'!$A17,'Registre de reserves'!$B$2:$B$1178,'2024'!B$2,Tabla1[ANY],'2024'!$Z$2)-SUMIFS('Registre de reserves'!$U$2:$U$1178,'Registre de reserves'!$T$2:$T$1178,"RESERVA",'Registre de reserves'!$I$2:$I$1178,'2024'!$A17,'Registre de reserves'!$B$2:$B$1178,'2024'!B$2,Tabla1[ANY],'2024'!$Z$2)</f>
        <v>0</v>
      </c>
      <c r="C17" s="21">
        <f t="shared" si="16"/>
        <v>0</v>
      </c>
      <c r="D17" s="20">
        <f>SUMIFS('Registre de reserves'!$P$2:$P$1178,'Registre de reserves'!$T$2:$T$1178,"NO",'Registre de reserves'!$I$2:$I$1178,'2024'!$A17,'Registre de reserves'!$B$2:$B$1178,'2024'!D$2,Tabla1[ANY],'2024'!$Z$2)+SUMIFS('Registre de reserves'!$P$2:$P$1178,'Registre de reserves'!$T$2:$T$1178,"RESERVA",'Registre de reserves'!$I$2:$I$1178,'2024'!$A17,'Registre de reserves'!$B$2:$B$1178,'2024'!D$2,Tabla1[ANY],'2024'!$Z$2)-SUMIFS('Registre de reserves'!$U$2:$U$1178,'Registre de reserves'!$T$2:$T$1178,"RESERVA",'Registre de reserves'!$I$2:$I$1178,'2024'!$A17,'Registre de reserves'!$B$2:$B$1178,'2024'!D$2,Tabla1[ANY],'2024'!$Z$2)</f>
        <v>0</v>
      </c>
      <c r="E17" s="21">
        <f t="shared" si="17"/>
        <v>0</v>
      </c>
      <c r="F17" s="20">
        <f>SUMIFS('Registre de reserves'!$P$2:$P$1178,'Registre de reserves'!$T$2:$T$1178,"NO",'Registre de reserves'!$I$2:$I$1178,'2024'!$A17,'Registre de reserves'!$B$2:$B$1178,'2024'!F$2,Tabla1[ANY],'2024'!$Z$2)+SUMIFS('Registre de reserves'!$P$2:$P$1178,'Registre de reserves'!$T$2:$T$1178,"RESERVA",'Registre de reserves'!$I$2:$I$1178,'2024'!$A17,'Registre de reserves'!$B$2:$B$1178,'2024'!F$2,Tabla1[ANY],'2024'!$Z$2)-SUMIFS('Registre de reserves'!$U$2:$U$1178,'Registre de reserves'!$T$2:$T$1178,"RESERVA",'Registre de reserves'!$I$2:$I$1178,'2024'!$A17,'Registre de reserves'!$B$2:$B$1178,'2024'!F$2,Tabla1[ANY],'2024'!$Z$2)</f>
        <v>0</v>
      </c>
      <c r="G17" s="21">
        <f t="shared" si="18"/>
        <v>0</v>
      </c>
      <c r="H17" s="20">
        <f>SUMIFS('Registre de reserves'!$P$2:$P$1178,'Registre de reserves'!$T$2:$T$1178,"NO",'Registre de reserves'!$I$2:$I$1178,'2024'!$A17,'Registre de reserves'!$B$2:$B$1178,'2024'!H$2,Tabla1[ANY],'2024'!$Z$2)+SUMIFS('Registre de reserves'!$P$2:$P$1178,'Registre de reserves'!$T$2:$T$1178,"RESERVA",'Registre de reserves'!$I$2:$I$1178,'2024'!$A17,'Registre de reserves'!$B$2:$B$1178,'2024'!H$2,Tabla1[ANY],'2024'!$Z$2)-SUMIFS('Registre de reserves'!$U$2:$U$1178,'Registre de reserves'!$T$2:$T$1178,"RESERVA",'Registre de reserves'!$I$2:$I$1178,'2024'!$A17,'Registre de reserves'!$B$2:$B$1178,'2024'!H$2,Tabla1[ANY],'2024'!$Z$2)</f>
        <v>0</v>
      </c>
      <c r="I17" s="21">
        <f t="shared" si="19"/>
        <v>0</v>
      </c>
      <c r="J17" s="20">
        <f>SUMIFS('Registre de reserves'!$P$2:$P$1178,'Registre de reserves'!$T$2:$T$1178,"NO",'Registre de reserves'!$I$2:$I$1178,'2024'!$A17,'Registre de reserves'!$B$2:$B$1178,'2024'!J$2,Tabla1[ANY],'2024'!$Z$2)+SUMIFS('Registre de reserves'!$P$2:$P$1178,'Registre de reserves'!$T$2:$T$1178,"RESERVA",'Registre de reserves'!$I$2:$I$1178,'2024'!$A17,'Registre de reserves'!$B$2:$B$1178,'2024'!J$2,Tabla1[ANY],'2024'!$Z$2)-SUMIFS('Registre de reserves'!$U$2:$U$1178,'Registre de reserves'!$T$2:$T$1178,"RESERVA",'Registre de reserves'!$I$2:$I$1178,'2024'!$A17,'Registre de reserves'!$B$2:$B$1178,'2024'!J$2,Tabla1[ANY],'2024'!$Z$2)</f>
        <v>0</v>
      </c>
      <c r="K17" s="21">
        <f t="shared" si="20"/>
        <v>0</v>
      </c>
      <c r="L17" s="20">
        <f>SUMIFS('Registre de reserves'!$P$2:$P$1178,'Registre de reserves'!$T$2:$T$1178,"NO",'Registre de reserves'!$I$2:$I$1178,'2024'!$A17,'Registre de reserves'!$B$2:$B$1178,'2024'!L$2,Tabla1[ANY],'2024'!$Z$2)+SUMIFS('Registre de reserves'!$P$2:$P$1178,'Registre de reserves'!$T$2:$T$1178,"RESERVA",'Registre de reserves'!$I$2:$I$1178,'2024'!$A17,'Registre de reserves'!$B$2:$B$1178,'2024'!L$2,Tabla1[ANY],'2024'!$Z$2)-SUMIFS('Registre de reserves'!$U$2:$U$1178,'Registre de reserves'!$T$2:$T$1178,"RESERVA",'Registre de reserves'!$I$2:$I$1178,'2024'!$A17,'Registre de reserves'!$B$2:$B$1178,'2024'!L$2,Tabla1[ANY],'2024'!$Z$2)</f>
        <v>0</v>
      </c>
      <c r="M17" s="21">
        <f t="shared" si="21"/>
        <v>0</v>
      </c>
      <c r="N17" s="20">
        <f>SUMIFS('Registre de reserves'!$P$2:$P$1178,'Registre de reserves'!$T$2:$T$1178,"NO",'Registre de reserves'!$I$2:$I$1178,'2024'!$A17,'Registre de reserves'!$B$2:$B$1178,'2024'!N$2,Tabla1[ANY],'2024'!$Z$2)+SUMIFS('Registre de reserves'!$P$2:$P$1178,'Registre de reserves'!$T$2:$T$1178,"RESERVA",'Registre de reserves'!$I$2:$I$1178,'2024'!$A17,'Registre de reserves'!$B$2:$B$1178,'2024'!N$2,Tabla1[ANY],'2024'!$Z$2)-SUMIFS('Registre de reserves'!$U$2:$U$1178,'Registre de reserves'!$T$2:$T$1178,"RESERVA",'Registre de reserves'!$I$2:$I$1178,'2024'!$A17,'Registre de reserves'!$B$2:$B$1178,'2024'!N$2,Tabla1[ANY],'2024'!$Z$2)</f>
        <v>0</v>
      </c>
      <c r="O17" s="21">
        <f t="shared" si="22"/>
        <v>0</v>
      </c>
      <c r="P17" s="20">
        <f>SUMIFS('Registre de reserves'!$P$2:$P$1178,'Registre de reserves'!$T$2:$T$1178,"NO",'Registre de reserves'!$I$2:$I$1178,'2024'!$A17,'Registre de reserves'!$B$2:$B$1178,'2024'!P$2,Tabla1[ANY],'2024'!$Z$2)+SUMIFS('Registre de reserves'!$P$2:$P$1178,'Registre de reserves'!$T$2:$T$1178,"RESERVA",'Registre de reserves'!$I$2:$I$1178,'2024'!$A17,'Registre de reserves'!$B$2:$B$1178,'2024'!P$2,Tabla1[ANY],'2024'!$Z$2)-SUMIFS('Registre de reserves'!$U$2:$U$1178,'Registre de reserves'!$T$2:$T$1178,"RESERVA",'Registre de reserves'!$I$2:$I$1178,'2024'!$A17,'Registre de reserves'!$B$2:$B$1178,'2024'!P$2,Tabla1[ANY],'2024'!$Z$2)</f>
        <v>0</v>
      </c>
      <c r="Q17" s="21">
        <f t="shared" si="23"/>
        <v>0</v>
      </c>
      <c r="R17" s="20">
        <f>SUMIFS('Registre de reserves'!$P$2:$P$1178,'Registre de reserves'!$T$2:$T$1178,"NO",'Registre de reserves'!$I$2:$I$1178,'2024'!$A17,'Registre de reserves'!$B$2:$B$1178,'2024'!R$2,Tabla1[ANY],'2024'!$Z$2)+SUMIFS('Registre de reserves'!$P$2:$P$1178,'Registre de reserves'!$T$2:$T$1178,"RESERVA",'Registre de reserves'!$I$2:$I$1178,'2024'!$A17,'Registre de reserves'!$B$2:$B$1178,'2024'!R$2,Tabla1[ANY],'2024'!$Z$2)-SUMIFS('Registre de reserves'!$U$2:$U$1178,'Registre de reserves'!$T$2:$T$1178,"RESERVA",'Registre de reserves'!$I$2:$I$1178,'2024'!$A17,'Registre de reserves'!$B$2:$B$1178,'2024'!R$2,Tabla1[ANY],'2024'!$Z$2)</f>
        <v>0</v>
      </c>
      <c r="S17" s="21">
        <f t="shared" si="24"/>
        <v>0</v>
      </c>
      <c r="T17" s="20">
        <f>SUMIFS('Registre de reserves'!$P$2:$P$1178,'Registre de reserves'!$T$2:$T$1178,"NO",'Registre de reserves'!$I$2:$I$1178,'2024'!$A17,'Registre de reserves'!$B$2:$B$1178,'2024'!T$2,Tabla1[ANY],'2024'!$Z$2)+SUMIFS('Registre de reserves'!$P$2:$P$1178,'Registre de reserves'!$T$2:$T$1178,"RESERVA",'Registre de reserves'!$I$2:$I$1178,'2024'!$A17,'Registre de reserves'!$B$2:$B$1178,'2024'!T$2,Tabla1[ANY],'2024'!$Z$2)-SUMIFS('Registre de reserves'!$U$2:$U$1178,'Registre de reserves'!$T$2:$T$1178,"RESERVA",'Registre de reserves'!$I$2:$I$1178,'2024'!$A17,'Registre de reserves'!$B$2:$B$1178,'2024'!T$2,Tabla1[ANY],'2024'!$Z$2)</f>
        <v>0</v>
      </c>
      <c r="U17" s="21">
        <f t="shared" si="25"/>
        <v>0</v>
      </c>
      <c r="V17" s="20">
        <f>SUMIFS('Registre de reserves'!$P$2:$P$1178,'Registre de reserves'!$T$2:$T$1178,"NO",'Registre de reserves'!$I$2:$I$1178,'2024'!$A17,'Registre de reserves'!$B$2:$B$1178,'2024'!V$2,Tabla1[ANY],'2024'!$Z$2)+SUMIFS('Registre de reserves'!$P$2:$P$1178,'Registre de reserves'!$T$2:$T$1178,"RESERVA",'Registre de reserves'!$I$2:$I$1178,'2024'!$A17,'Registre de reserves'!$B$2:$B$1178,'2024'!V$2,Tabla1[ANY],'2024'!$Z$2)-SUMIFS('Registre de reserves'!$U$2:$U$1178,'Registre de reserves'!$T$2:$T$1178,"RESERVA",'Registre de reserves'!$I$2:$I$1178,'2024'!$A17,'Registre de reserves'!$B$2:$B$1178,'2024'!V$2,Tabla1[ANY],'2024'!$Z$2)</f>
        <v>0</v>
      </c>
      <c r="W17" s="21">
        <f t="shared" si="26"/>
        <v>0</v>
      </c>
      <c r="X17" s="20">
        <f>SUMIFS('Registre de reserves'!$P$2:$P$1178,'Registre de reserves'!$T$2:$T$1178,"NO",'Registre de reserves'!$I$2:$I$1178,'2024'!$A17,'Registre de reserves'!$B$2:$B$1178,'2024'!X$2,Tabla1[ANY],'2024'!$Z$2)+SUMIFS('Registre de reserves'!$P$2:$P$1178,'Registre de reserves'!$T$2:$T$1178,"RESERVA",'Registre de reserves'!$I$2:$I$1178,'2024'!$A17,'Registre de reserves'!$B$2:$B$1178,'2024'!X$2,Tabla1[ANY],'2024'!$Z$2)-SUMIFS('Registre de reserves'!$U$2:$U$1178,'Registre de reserves'!$T$2:$T$1178,"RESERVA",'Registre de reserves'!$I$2:$I$1178,'2024'!$A17,'Registre de reserves'!$B$2:$B$1178,'2024'!X$2,Tabla1[ANY],'2024'!$Z$2)</f>
        <v>0</v>
      </c>
      <c r="Y17" s="21">
        <f t="shared" si="27"/>
        <v>0</v>
      </c>
      <c r="Z17" s="20">
        <f t="shared" si="28"/>
        <v>0</v>
      </c>
      <c r="AA17" s="21">
        <f t="shared" si="29"/>
        <v>0</v>
      </c>
      <c r="AB17" s="178">
        <f t="shared" si="2"/>
        <v>0</v>
      </c>
      <c r="AC17" s="178">
        <v>0</v>
      </c>
    </row>
    <row r="18" spans="1:29" hidden="1" outlineLevel="1" x14ac:dyDescent="0.2">
      <c r="A18" s="8" t="s">
        <v>72</v>
      </c>
      <c r="B18" s="20">
        <f>SUMIFS('Registre de reserves'!$P$2:$P$1178,'Registre de reserves'!$T$2:$T$1178,"NO",'Registre de reserves'!$I$2:$I$1178,'2024'!$A18,'Registre de reserves'!$B$2:$B$1178,'2024'!B$2,Tabla1[ANY],'2024'!$Z$2)+SUMIFS('Registre de reserves'!$P$2:$P$1178,'Registre de reserves'!$T$2:$T$1178,"RESERVA",'Registre de reserves'!$I$2:$I$1178,'2024'!$A18,'Registre de reserves'!$B$2:$B$1178,'2024'!B$2,Tabla1[ANY],'2024'!$Z$2)-SUMIFS('Registre de reserves'!$U$2:$U$1178,'Registre de reserves'!$T$2:$T$1178,"RESERVA",'Registre de reserves'!$I$2:$I$1178,'2024'!$A18,'Registre de reserves'!$B$2:$B$1178,'2024'!B$2,Tabla1[ANY],'2024'!$Z$2)</f>
        <v>0</v>
      </c>
      <c r="C18" s="21">
        <f t="shared" si="16"/>
        <v>0</v>
      </c>
      <c r="D18" s="20">
        <f>SUMIFS('Registre de reserves'!$P$2:$P$1178,'Registre de reserves'!$T$2:$T$1178,"NO",'Registre de reserves'!$I$2:$I$1178,'2024'!$A18,'Registre de reserves'!$B$2:$B$1178,'2024'!D$2,Tabla1[ANY],'2024'!$Z$2)+SUMIFS('Registre de reserves'!$P$2:$P$1178,'Registre de reserves'!$T$2:$T$1178,"RESERVA",'Registre de reserves'!$I$2:$I$1178,'2024'!$A18,'Registre de reserves'!$B$2:$B$1178,'2024'!D$2,Tabla1[ANY],'2024'!$Z$2)-SUMIFS('Registre de reserves'!$U$2:$U$1178,'Registre de reserves'!$T$2:$T$1178,"RESERVA",'Registre de reserves'!$I$2:$I$1178,'2024'!$A18,'Registre de reserves'!$B$2:$B$1178,'2024'!D$2,Tabla1[ANY],'2024'!$Z$2)</f>
        <v>0</v>
      </c>
      <c r="E18" s="21">
        <f t="shared" si="17"/>
        <v>0</v>
      </c>
      <c r="F18" s="20">
        <f>SUMIFS('Registre de reserves'!$P$2:$P$1178,'Registre de reserves'!$T$2:$T$1178,"NO",'Registre de reserves'!$I$2:$I$1178,'2024'!$A18,'Registre de reserves'!$B$2:$B$1178,'2024'!F$2,Tabla1[ANY],'2024'!$Z$2)+SUMIFS('Registre de reserves'!$P$2:$P$1178,'Registre de reserves'!$T$2:$T$1178,"RESERVA",'Registre de reserves'!$I$2:$I$1178,'2024'!$A18,'Registre de reserves'!$B$2:$B$1178,'2024'!F$2,Tabla1[ANY],'2024'!$Z$2)-SUMIFS('Registre de reserves'!$U$2:$U$1178,'Registre de reserves'!$T$2:$T$1178,"RESERVA",'Registre de reserves'!$I$2:$I$1178,'2024'!$A18,'Registre de reserves'!$B$2:$B$1178,'2024'!F$2,Tabla1[ANY],'2024'!$Z$2)</f>
        <v>0</v>
      </c>
      <c r="G18" s="21">
        <f t="shared" si="18"/>
        <v>0</v>
      </c>
      <c r="H18" s="20">
        <f>SUMIFS('Registre de reserves'!$P$2:$P$1178,'Registre de reserves'!$T$2:$T$1178,"NO",'Registre de reserves'!$I$2:$I$1178,'2024'!$A18,'Registre de reserves'!$B$2:$B$1178,'2024'!H$2,Tabla1[ANY],'2024'!$Z$2)+SUMIFS('Registre de reserves'!$P$2:$P$1178,'Registre de reserves'!$T$2:$T$1178,"RESERVA",'Registre de reserves'!$I$2:$I$1178,'2024'!$A18,'Registre de reserves'!$B$2:$B$1178,'2024'!H$2,Tabla1[ANY],'2024'!$Z$2)-SUMIFS('Registre de reserves'!$U$2:$U$1178,'Registre de reserves'!$T$2:$T$1178,"RESERVA",'Registre de reserves'!$I$2:$I$1178,'2024'!$A18,'Registre de reserves'!$B$2:$B$1178,'2024'!H$2,Tabla1[ANY],'2024'!$Z$2)</f>
        <v>0</v>
      </c>
      <c r="I18" s="21">
        <f t="shared" si="19"/>
        <v>0</v>
      </c>
      <c r="J18" s="20">
        <f>SUMIFS('Registre de reserves'!$P$2:$P$1178,'Registre de reserves'!$T$2:$T$1178,"NO",'Registre de reserves'!$I$2:$I$1178,'2024'!$A18,'Registre de reserves'!$B$2:$B$1178,'2024'!J$2,Tabla1[ANY],'2024'!$Z$2)+SUMIFS('Registre de reserves'!$P$2:$P$1178,'Registre de reserves'!$T$2:$T$1178,"RESERVA",'Registre de reserves'!$I$2:$I$1178,'2024'!$A18,'Registre de reserves'!$B$2:$B$1178,'2024'!J$2,Tabla1[ANY],'2024'!$Z$2)-SUMIFS('Registre de reserves'!$U$2:$U$1178,'Registre de reserves'!$T$2:$T$1178,"RESERVA",'Registre de reserves'!$I$2:$I$1178,'2024'!$A18,'Registre de reserves'!$B$2:$B$1178,'2024'!J$2,Tabla1[ANY],'2024'!$Z$2)</f>
        <v>0</v>
      </c>
      <c r="K18" s="21">
        <f t="shared" si="20"/>
        <v>0</v>
      </c>
      <c r="L18" s="20">
        <f>SUMIFS('Registre de reserves'!$P$2:$P$1178,'Registre de reserves'!$T$2:$T$1178,"NO",'Registre de reserves'!$I$2:$I$1178,'2024'!$A18,'Registre de reserves'!$B$2:$B$1178,'2024'!L$2,Tabla1[ANY],'2024'!$Z$2)+SUMIFS('Registre de reserves'!$P$2:$P$1178,'Registre de reserves'!$T$2:$T$1178,"RESERVA",'Registre de reserves'!$I$2:$I$1178,'2024'!$A18,'Registre de reserves'!$B$2:$B$1178,'2024'!L$2,Tabla1[ANY],'2024'!$Z$2)-SUMIFS('Registre de reserves'!$U$2:$U$1178,'Registre de reserves'!$T$2:$T$1178,"RESERVA",'Registre de reserves'!$I$2:$I$1178,'2024'!$A18,'Registre de reserves'!$B$2:$B$1178,'2024'!L$2,Tabla1[ANY],'2024'!$Z$2)</f>
        <v>0</v>
      </c>
      <c r="M18" s="21">
        <f t="shared" si="21"/>
        <v>0</v>
      </c>
      <c r="N18" s="20">
        <f>SUMIFS('Registre de reserves'!$P$2:$P$1178,'Registre de reserves'!$T$2:$T$1178,"NO",'Registre de reserves'!$I$2:$I$1178,'2024'!$A18,'Registre de reserves'!$B$2:$B$1178,'2024'!N$2,Tabla1[ANY],'2024'!$Z$2)+SUMIFS('Registre de reserves'!$P$2:$P$1178,'Registre de reserves'!$T$2:$T$1178,"RESERVA",'Registre de reserves'!$I$2:$I$1178,'2024'!$A18,'Registre de reserves'!$B$2:$B$1178,'2024'!N$2,Tabla1[ANY],'2024'!$Z$2)-SUMIFS('Registre de reserves'!$U$2:$U$1178,'Registre de reserves'!$T$2:$T$1178,"RESERVA",'Registre de reserves'!$I$2:$I$1178,'2024'!$A18,'Registre de reserves'!$B$2:$B$1178,'2024'!N$2,Tabla1[ANY],'2024'!$Z$2)</f>
        <v>0</v>
      </c>
      <c r="O18" s="21">
        <f t="shared" si="22"/>
        <v>0</v>
      </c>
      <c r="P18" s="20">
        <f>SUMIFS('Registre de reserves'!$P$2:$P$1178,'Registre de reserves'!$T$2:$T$1178,"NO",'Registre de reserves'!$I$2:$I$1178,'2024'!$A18,'Registre de reserves'!$B$2:$B$1178,'2024'!P$2,Tabla1[ANY],'2024'!$Z$2)+SUMIFS('Registre de reserves'!$P$2:$P$1178,'Registre de reserves'!$T$2:$T$1178,"RESERVA",'Registre de reserves'!$I$2:$I$1178,'2024'!$A18,'Registre de reserves'!$B$2:$B$1178,'2024'!P$2,Tabla1[ANY],'2024'!$Z$2)-SUMIFS('Registre de reserves'!$U$2:$U$1178,'Registre de reserves'!$T$2:$T$1178,"RESERVA",'Registre de reserves'!$I$2:$I$1178,'2024'!$A18,'Registre de reserves'!$B$2:$B$1178,'2024'!P$2,Tabla1[ANY],'2024'!$Z$2)</f>
        <v>0</v>
      </c>
      <c r="Q18" s="21">
        <f t="shared" si="23"/>
        <v>0</v>
      </c>
      <c r="R18" s="20">
        <f>SUMIFS('Registre de reserves'!$P$2:$P$1178,'Registre de reserves'!$T$2:$T$1178,"NO",'Registre de reserves'!$I$2:$I$1178,'2024'!$A18,'Registre de reserves'!$B$2:$B$1178,'2024'!R$2,Tabla1[ANY],'2024'!$Z$2)+SUMIFS('Registre de reserves'!$P$2:$P$1178,'Registre de reserves'!$T$2:$T$1178,"RESERVA",'Registre de reserves'!$I$2:$I$1178,'2024'!$A18,'Registre de reserves'!$B$2:$B$1178,'2024'!R$2,Tabla1[ANY],'2024'!$Z$2)-SUMIFS('Registre de reserves'!$U$2:$U$1178,'Registre de reserves'!$T$2:$T$1178,"RESERVA",'Registre de reserves'!$I$2:$I$1178,'2024'!$A18,'Registre de reserves'!$B$2:$B$1178,'2024'!R$2,Tabla1[ANY],'2024'!$Z$2)</f>
        <v>0</v>
      </c>
      <c r="S18" s="21">
        <f t="shared" si="24"/>
        <v>0</v>
      </c>
      <c r="T18" s="20">
        <f>SUMIFS('Registre de reserves'!$P$2:$P$1178,'Registre de reserves'!$T$2:$T$1178,"NO",'Registre de reserves'!$I$2:$I$1178,'2024'!$A18,'Registre de reserves'!$B$2:$B$1178,'2024'!T$2,Tabla1[ANY],'2024'!$Z$2)+SUMIFS('Registre de reserves'!$P$2:$P$1178,'Registre de reserves'!$T$2:$T$1178,"RESERVA",'Registre de reserves'!$I$2:$I$1178,'2024'!$A18,'Registre de reserves'!$B$2:$B$1178,'2024'!T$2,Tabla1[ANY],'2024'!$Z$2)-SUMIFS('Registre de reserves'!$U$2:$U$1178,'Registre de reserves'!$T$2:$T$1178,"RESERVA",'Registre de reserves'!$I$2:$I$1178,'2024'!$A18,'Registre de reserves'!$B$2:$B$1178,'2024'!T$2,Tabla1[ANY],'2024'!$Z$2)</f>
        <v>0</v>
      </c>
      <c r="U18" s="21">
        <f t="shared" si="25"/>
        <v>0</v>
      </c>
      <c r="V18" s="20">
        <f>SUMIFS('Registre de reserves'!$P$2:$P$1178,'Registre de reserves'!$T$2:$T$1178,"NO",'Registre de reserves'!$I$2:$I$1178,'2024'!$A18,'Registre de reserves'!$B$2:$B$1178,'2024'!V$2,Tabla1[ANY],'2024'!$Z$2)+SUMIFS('Registre de reserves'!$P$2:$P$1178,'Registre de reserves'!$T$2:$T$1178,"RESERVA",'Registre de reserves'!$I$2:$I$1178,'2024'!$A18,'Registre de reserves'!$B$2:$B$1178,'2024'!V$2,Tabla1[ANY],'2024'!$Z$2)-SUMIFS('Registre de reserves'!$U$2:$U$1178,'Registre de reserves'!$T$2:$T$1178,"RESERVA",'Registre de reserves'!$I$2:$I$1178,'2024'!$A18,'Registre de reserves'!$B$2:$B$1178,'2024'!V$2,Tabla1[ANY],'2024'!$Z$2)</f>
        <v>0</v>
      </c>
      <c r="W18" s="21">
        <f t="shared" si="26"/>
        <v>0</v>
      </c>
      <c r="X18" s="20">
        <f>SUMIFS('Registre de reserves'!$P$2:$P$1178,'Registre de reserves'!$T$2:$T$1178,"NO",'Registre de reserves'!$I$2:$I$1178,'2024'!$A18,'Registre de reserves'!$B$2:$B$1178,'2024'!X$2,Tabla1[ANY],'2024'!$Z$2)+SUMIFS('Registre de reserves'!$P$2:$P$1178,'Registre de reserves'!$T$2:$T$1178,"RESERVA",'Registre de reserves'!$I$2:$I$1178,'2024'!$A18,'Registre de reserves'!$B$2:$B$1178,'2024'!X$2,Tabla1[ANY],'2024'!$Z$2)-SUMIFS('Registre de reserves'!$U$2:$U$1178,'Registre de reserves'!$T$2:$T$1178,"RESERVA",'Registre de reserves'!$I$2:$I$1178,'2024'!$A18,'Registre de reserves'!$B$2:$B$1178,'2024'!X$2,Tabla1[ANY],'2024'!$Z$2)</f>
        <v>0</v>
      </c>
      <c r="Y18" s="21">
        <f t="shared" si="27"/>
        <v>0</v>
      </c>
      <c r="Z18" s="20">
        <f t="shared" si="28"/>
        <v>0</v>
      </c>
      <c r="AA18" s="21">
        <f t="shared" si="29"/>
        <v>0</v>
      </c>
      <c r="AB18" s="178">
        <f t="shared" si="2"/>
        <v>0</v>
      </c>
      <c r="AC18" s="178">
        <v>0</v>
      </c>
    </row>
    <row r="19" spans="1:29" hidden="1" outlineLevel="1" x14ac:dyDescent="0.2">
      <c r="A19" s="8" t="s">
        <v>69</v>
      </c>
      <c r="B19" s="20">
        <f>SUMIFS('Registre de reserves'!$P$2:$P$1178,'Registre de reserves'!$T$2:$T$1178,"NO",'Registre de reserves'!$I$2:$I$1178,'2024'!$A19,'Registre de reserves'!$B$2:$B$1178,'2024'!B$2,Tabla1[ANY],'2024'!$Z$2)+SUMIFS('Registre de reserves'!$P$2:$P$1178,'Registre de reserves'!$T$2:$T$1178,"RESERVA",'Registre de reserves'!$I$2:$I$1178,'2024'!$A19,'Registre de reserves'!$B$2:$B$1178,'2024'!B$2,Tabla1[ANY],'2024'!$Z$2)-SUMIFS('Registre de reserves'!$U$2:$U$1178,'Registre de reserves'!$T$2:$T$1178,"RESERVA",'Registre de reserves'!$I$2:$I$1178,'2024'!$A19,'Registre de reserves'!$B$2:$B$1178,'2024'!B$2,Tabla1[ANY],'2024'!$Z$2)</f>
        <v>0</v>
      </c>
      <c r="C19" s="21">
        <f t="shared" si="16"/>
        <v>0</v>
      </c>
      <c r="D19" s="20">
        <f>SUMIFS('Registre de reserves'!$P$2:$P$1178,'Registre de reserves'!$T$2:$T$1178,"NO",'Registre de reserves'!$I$2:$I$1178,'2024'!$A19,'Registre de reserves'!$B$2:$B$1178,'2024'!D$2,Tabla1[ANY],'2024'!$Z$2)+SUMIFS('Registre de reserves'!$P$2:$P$1178,'Registre de reserves'!$T$2:$T$1178,"RESERVA",'Registre de reserves'!$I$2:$I$1178,'2024'!$A19,'Registre de reserves'!$B$2:$B$1178,'2024'!D$2,Tabla1[ANY],'2024'!$Z$2)-SUMIFS('Registre de reserves'!$U$2:$U$1178,'Registre de reserves'!$T$2:$T$1178,"RESERVA",'Registre de reserves'!$I$2:$I$1178,'2024'!$A19,'Registre de reserves'!$B$2:$B$1178,'2024'!D$2,Tabla1[ANY],'2024'!$Z$2)</f>
        <v>0</v>
      </c>
      <c r="E19" s="21">
        <f t="shared" si="17"/>
        <v>0</v>
      </c>
      <c r="F19" s="20">
        <f>SUMIFS('Registre de reserves'!$P$2:$P$1178,'Registre de reserves'!$T$2:$T$1178,"NO",'Registre de reserves'!$I$2:$I$1178,'2024'!$A19,'Registre de reserves'!$B$2:$B$1178,'2024'!F$2,Tabla1[ANY],'2024'!$Z$2)+SUMIFS('Registre de reserves'!$P$2:$P$1178,'Registre de reserves'!$T$2:$T$1178,"RESERVA",'Registre de reserves'!$I$2:$I$1178,'2024'!$A19,'Registre de reserves'!$B$2:$B$1178,'2024'!F$2,Tabla1[ANY],'2024'!$Z$2)-SUMIFS('Registre de reserves'!$U$2:$U$1178,'Registre de reserves'!$T$2:$T$1178,"RESERVA",'Registre de reserves'!$I$2:$I$1178,'2024'!$A19,'Registre de reserves'!$B$2:$B$1178,'2024'!F$2,Tabla1[ANY],'2024'!$Z$2)</f>
        <v>0</v>
      </c>
      <c r="G19" s="21">
        <f t="shared" si="18"/>
        <v>0</v>
      </c>
      <c r="H19" s="20">
        <f>SUMIFS('Registre de reserves'!$P$2:$P$1178,'Registre de reserves'!$T$2:$T$1178,"NO",'Registre de reserves'!$I$2:$I$1178,'2024'!$A19,'Registre de reserves'!$B$2:$B$1178,'2024'!H$2,Tabla1[ANY],'2024'!$Z$2)+SUMIFS('Registre de reserves'!$P$2:$P$1178,'Registre de reserves'!$T$2:$T$1178,"RESERVA",'Registre de reserves'!$I$2:$I$1178,'2024'!$A19,'Registre de reserves'!$B$2:$B$1178,'2024'!H$2,Tabla1[ANY],'2024'!$Z$2)-SUMIFS('Registre de reserves'!$U$2:$U$1178,'Registre de reserves'!$T$2:$T$1178,"RESERVA",'Registre de reserves'!$I$2:$I$1178,'2024'!$A19,'Registre de reserves'!$B$2:$B$1178,'2024'!H$2,Tabla1[ANY],'2024'!$Z$2)</f>
        <v>0</v>
      </c>
      <c r="I19" s="21">
        <f t="shared" si="19"/>
        <v>0</v>
      </c>
      <c r="J19" s="20">
        <f>SUMIFS('Registre de reserves'!$P$2:$P$1178,'Registre de reserves'!$T$2:$T$1178,"NO",'Registre de reserves'!$I$2:$I$1178,'2024'!$A19,'Registre de reserves'!$B$2:$B$1178,'2024'!J$2,Tabla1[ANY],'2024'!$Z$2)+SUMIFS('Registre de reserves'!$P$2:$P$1178,'Registre de reserves'!$T$2:$T$1178,"RESERVA",'Registre de reserves'!$I$2:$I$1178,'2024'!$A19,'Registre de reserves'!$B$2:$B$1178,'2024'!J$2,Tabla1[ANY],'2024'!$Z$2)-SUMIFS('Registre de reserves'!$U$2:$U$1178,'Registre de reserves'!$T$2:$T$1178,"RESERVA",'Registre de reserves'!$I$2:$I$1178,'2024'!$A19,'Registre de reserves'!$B$2:$B$1178,'2024'!J$2,Tabla1[ANY],'2024'!$Z$2)</f>
        <v>0</v>
      </c>
      <c r="K19" s="21">
        <f t="shared" si="20"/>
        <v>0</v>
      </c>
      <c r="L19" s="20">
        <f>SUMIFS('Registre de reserves'!$P$2:$P$1178,'Registre de reserves'!$T$2:$T$1178,"NO",'Registre de reserves'!$I$2:$I$1178,'2024'!$A19,'Registre de reserves'!$B$2:$B$1178,'2024'!L$2,Tabla1[ANY],'2024'!$Z$2)+SUMIFS('Registre de reserves'!$P$2:$P$1178,'Registre de reserves'!$T$2:$T$1178,"RESERVA",'Registre de reserves'!$I$2:$I$1178,'2024'!$A19,'Registre de reserves'!$B$2:$B$1178,'2024'!L$2,Tabla1[ANY],'2024'!$Z$2)-SUMIFS('Registre de reserves'!$U$2:$U$1178,'Registre de reserves'!$T$2:$T$1178,"RESERVA",'Registre de reserves'!$I$2:$I$1178,'2024'!$A19,'Registre de reserves'!$B$2:$B$1178,'2024'!L$2,Tabla1[ANY],'2024'!$Z$2)</f>
        <v>0</v>
      </c>
      <c r="M19" s="21">
        <f t="shared" si="21"/>
        <v>0</v>
      </c>
      <c r="N19" s="20">
        <f>SUMIFS('Registre de reserves'!$P$2:$P$1178,'Registre de reserves'!$T$2:$T$1178,"NO",'Registre de reserves'!$I$2:$I$1178,'2024'!$A19,'Registre de reserves'!$B$2:$B$1178,'2024'!N$2,Tabla1[ANY],'2024'!$Z$2)+SUMIFS('Registre de reserves'!$P$2:$P$1178,'Registre de reserves'!$T$2:$T$1178,"RESERVA",'Registre de reserves'!$I$2:$I$1178,'2024'!$A19,'Registre de reserves'!$B$2:$B$1178,'2024'!N$2,Tabla1[ANY],'2024'!$Z$2)-SUMIFS('Registre de reserves'!$U$2:$U$1178,'Registre de reserves'!$T$2:$T$1178,"RESERVA",'Registre de reserves'!$I$2:$I$1178,'2024'!$A19,'Registre de reserves'!$B$2:$B$1178,'2024'!N$2,Tabla1[ANY],'2024'!$Z$2)</f>
        <v>0</v>
      </c>
      <c r="O19" s="21">
        <f t="shared" si="22"/>
        <v>0</v>
      </c>
      <c r="P19" s="20">
        <f>SUMIFS('Registre de reserves'!$P$2:$P$1178,'Registre de reserves'!$T$2:$T$1178,"NO",'Registre de reserves'!$I$2:$I$1178,'2024'!$A19,'Registre de reserves'!$B$2:$B$1178,'2024'!P$2,Tabla1[ANY],'2024'!$Z$2)+SUMIFS('Registre de reserves'!$P$2:$P$1178,'Registre de reserves'!$T$2:$T$1178,"RESERVA",'Registre de reserves'!$I$2:$I$1178,'2024'!$A19,'Registre de reserves'!$B$2:$B$1178,'2024'!P$2,Tabla1[ANY],'2024'!$Z$2)-SUMIFS('Registre de reserves'!$U$2:$U$1178,'Registre de reserves'!$T$2:$T$1178,"RESERVA",'Registre de reserves'!$I$2:$I$1178,'2024'!$A19,'Registre de reserves'!$B$2:$B$1178,'2024'!P$2,Tabla1[ANY],'2024'!$Z$2)</f>
        <v>0</v>
      </c>
      <c r="Q19" s="21">
        <f t="shared" si="23"/>
        <v>0</v>
      </c>
      <c r="R19" s="20">
        <f>SUMIFS('Registre de reserves'!$P$2:$P$1178,'Registre de reserves'!$T$2:$T$1178,"NO",'Registre de reserves'!$I$2:$I$1178,'2024'!$A19,'Registre de reserves'!$B$2:$B$1178,'2024'!R$2,Tabla1[ANY],'2024'!$Z$2)+SUMIFS('Registre de reserves'!$P$2:$P$1178,'Registre de reserves'!$T$2:$T$1178,"RESERVA",'Registre de reserves'!$I$2:$I$1178,'2024'!$A19,'Registre de reserves'!$B$2:$B$1178,'2024'!R$2,Tabla1[ANY],'2024'!$Z$2)-SUMIFS('Registre de reserves'!$U$2:$U$1178,'Registre de reserves'!$T$2:$T$1178,"RESERVA",'Registre de reserves'!$I$2:$I$1178,'2024'!$A19,'Registre de reserves'!$B$2:$B$1178,'2024'!R$2,Tabla1[ANY],'2024'!$Z$2)</f>
        <v>0</v>
      </c>
      <c r="S19" s="21">
        <f t="shared" si="24"/>
        <v>0</v>
      </c>
      <c r="T19" s="20">
        <f>SUMIFS('Registre de reserves'!$P$2:$P$1178,'Registre de reserves'!$T$2:$T$1178,"NO",'Registre de reserves'!$I$2:$I$1178,'2024'!$A19,'Registre de reserves'!$B$2:$B$1178,'2024'!T$2,Tabla1[ANY],'2024'!$Z$2)+SUMIFS('Registre de reserves'!$P$2:$P$1178,'Registre de reserves'!$T$2:$T$1178,"RESERVA",'Registre de reserves'!$I$2:$I$1178,'2024'!$A19,'Registre de reserves'!$B$2:$B$1178,'2024'!T$2,Tabla1[ANY],'2024'!$Z$2)-SUMIFS('Registre de reserves'!$U$2:$U$1178,'Registre de reserves'!$T$2:$T$1178,"RESERVA",'Registre de reserves'!$I$2:$I$1178,'2024'!$A19,'Registre de reserves'!$B$2:$B$1178,'2024'!T$2,Tabla1[ANY],'2024'!$Z$2)</f>
        <v>0</v>
      </c>
      <c r="U19" s="21">
        <f t="shared" si="25"/>
        <v>0</v>
      </c>
      <c r="V19" s="20">
        <f>SUMIFS('Registre de reserves'!$P$2:$P$1178,'Registre de reserves'!$T$2:$T$1178,"NO",'Registre de reserves'!$I$2:$I$1178,'2024'!$A19,'Registre de reserves'!$B$2:$B$1178,'2024'!V$2,Tabla1[ANY],'2024'!$Z$2)+SUMIFS('Registre de reserves'!$P$2:$P$1178,'Registre de reserves'!$T$2:$T$1178,"RESERVA",'Registre de reserves'!$I$2:$I$1178,'2024'!$A19,'Registre de reserves'!$B$2:$B$1178,'2024'!V$2,Tabla1[ANY],'2024'!$Z$2)-SUMIFS('Registre de reserves'!$U$2:$U$1178,'Registre de reserves'!$T$2:$T$1178,"RESERVA",'Registre de reserves'!$I$2:$I$1178,'2024'!$A19,'Registre de reserves'!$B$2:$B$1178,'2024'!V$2,Tabla1[ANY],'2024'!$Z$2)</f>
        <v>0</v>
      </c>
      <c r="W19" s="21">
        <f t="shared" si="26"/>
        <v>0</v>
      </c>
      <c r="X19" s="20">
        <f>SUMIFS('Registre de reserves'!$P$2:$P$1178,'Registre de reserves'!$T$2:$T$1178,"NO",'Registre de reserves'!$I$2:$I$1178,'2024'!$A19,'Registre de reserves'!$B$2:$B$1178,'2024'!X$2,Tabla1[ANY],'2024'!$Z$2)+SUMIFS('Registre de reserves'!$P$2:$P$1178,'Registre de reserves'!$T$2:$T$1178,"RESERVA",'Registre de reserves'!$I$2:$I$1178,'2024'!$A19,'Registre de reserves'!$B$2:$B$1178,'2024'!X$2,Tabla1[ANY],'2024'!$Z$2)-SUMIFS('Registre de reserves'!$U$2:$U$1178,'Registre de reserves'!$T$2:$T$1178,"RESERVA",'Registre de reserves'!$I$2:$I$1178,'2024'!$A19,'Registre de reserves'!$B$2:$B$1178,'2024'!X$2,Tabla1[ANY],'2024'!$Z$2)</f>
        <v>0</v>
      </c>
      <c r="Y19" s="21">
        <f t="shared" si="27"/>
        <v>0</v>
      </c>
      <c r="Z19" s="20">
        <f t="shared" si="28"/>
        <v>0</v>
      </c>
      <c r="AA19" s="21">
        <f t="shared" si="29"/>
        <v>0</v>
      </c>
      <c r="AB19" s="178">
        <f t="shared" si="2"/>
        <v>0</v>
      </c>
      <c r="AC19" s="178">
        <v>0</v>
      </c>
    </row>
    <row r="20" spans="1:29" hidden="1" outlineLevel="1" x14ac:dyDescent="0.2">
      <c r="A20" s="8" t="s">
        <v>70</v>
      </c>
      <c r="B20" s="20">
        <f>SUMIFS('Registre de reserves'!$P$2:$P$1178,'Registre de reserves'!$T$2:$T$1178,"NO",'Registre de reserves'!$I$2:$I$1178,'2024'!$A20,'Registre de reserves'!$B$2:$B$1178,'2024'!B$2,Tabla1[ANY],'2024'!$Z$2)+SUMIFS('Registre de reserves'!$P$2:$P$1178,'Registre de reserves'!$T$2:$T$1178,"RESERVA",'Registre de reserves'!$I$2:$I$1178,'2024'!$A20,'Registre de reserves'!$B$2:$B$1178,'2024'!B$2,Tabla1[ANY],'2024'!$Z$2)-SUMIFS('Registre de reserves'!$U$2:$U$1178,'Registre de reserves'!$T$2:$T$1178,"RESERVA",'Registre de reserves'!$I$2:$I$1178,'2024'!$A20,'Registre de reserves'!$B$2:$B$1178,'2024'!B$2,Tabla1[ANY],'2024'!$Z$2)</f>
        <v>0</v>
      </c>
      <c r="C20" s="21">
        <f t="shared" si="16"/>
        <v>0</v>
      </c>
      <c r="D20" s="20">
        <f>SUMIFS('Registre de reserves'!$P$2:$P$1178,'Registre de reserves'!$T$2:$T$1178,"NO",'Registre de reserves'!$I$2:$I$1178,'2024'!$A20,'Registre de reserves'!$B$2:$B$1178,'2024'!D$2,Tabla1[ANY],'2024'!$Z$2)+SUMIFS('Registre de reserves'!$P$2:$P$1178,'Registre de reserves'!$T$2:$T$1178,"RESERVA",'Registre de reserves'!$I$2:$I$1178,'2024'!$A20,'Registre de reserves'!$B$2:$B$1178,'2024'!D$2,Tabla1[ANY],'2024'!$Z$2)-SUMIFS('Registre de reserves'!$U$2:$U$1178,'Registre de reserves'!$T$2:$T$1178,"RESERVA",'Registre de reserves'!$I$2:$I$1178,'2024'!$A20,'Registre de reserves'!$B$2:$B$1178,'2024'!D$2,Tabla1[ANY],'2024'!$Z$2)</f>
        <v>0</v>
      </c>
      <c r="E20" s="21">
        <f t="shared" si="17"/>
        <v>0</v>
      </c>
      <c r="F20" s="20">
        <f>SUMIFS('Registre de reserves'!$P$2:$P$1178,'Registre de reserves'!$T$2:$T$1178,"NO",'Registre de reserves'!$I$2:$I$1178,'2024'!$A20,'Registre de reserves'!$B$2:$B$1178,'2024'!F$2,Tabla1[ANY],'2024'!$Z$2)+SUMIFS('Registre de reserves'!$P$2:$P$1178,'Registre de reserves'!$T$2:$T$1178,"RESERVA",'Registre de reserves'!$I$2:$I$1178,'2024'!$A20,'Registre de reserves'!$B$2:$B$1178,'2024'!F$2,Tabla1[ANY],'2024'!$Z$2)-SUMIFS('Registre de reserves'!$U$2:$U$1178,'Registre de reserves'!$T$2:$T$1178,"RESERVA",'Registre de reserves'!$I$2:$I$1178,'2024'!$A20,'Registre de reserves'!$B$2:$B$1178,'2024'!F$2,Tabla1[ANY],'2024'!$Z$2)</f>
        <v>0</v>
      </c>
      <c r="G20" s="21">
        <f t="shared" si="18"/>
        <v>0</v>
      </c>
      <c r="H20" s="20">
        <f>SUMIFS('Registre de reserves'!$P$2:$P$1178,'Registre de reserves'!$T$2:$T$1178,"NO",'Registre de reserves'!$I$2:$I$1178,'2024'!$A20,'Registre de reserves'!$B$2:$B$1178,'2024'!H$2,Tabla1[ANY],'2024'!$Z$2)+SUMIFS('Registre de reserves'!$P$2:$P$1178,'Registre de reserves'!$T$2:$T$1178,"RESERVA",'Registre de reserves'!$I$2:$I$1178,'2024'!$A20,'Registre de reserves'!$B$2:$B$1178,'2024'!H$2,Tabla1[ANY],'2024'!$Z$2)-SUMIFS('Registre de reserves'!$U$2:$U$1178,'Registre de reserves'!$T$2:$T$1178,"RESERVA",'Registre de reserves'!$I$2:$I$1178,'2024'!$A20,'Registre de reserves'!$B$2:$B$1178,'2024'!H$2,Tabla1[ANY],'2024'!$Z$2)</f>
        <v>0</v>
      </c>
      <c r="I20" s="21">
        <f t="shared" si="19"/>
        <v>0</v>
      </c>
      <c r="J20" s="20">
        <f>SUMIFS('Registre de reserves'!$P$2:$P$1178,'Registre de reserves'!$T$2:$T$1178,"NO",'Registre de reserves'!$I$2:$I$1178,'2024'!$A20,'Registre de reserves'!$B$2:$B$1178,'2024'!J$2,Tabla1[ANY],'2024'!$Z$2)+SUMIFS('Registre de reserves'!$P$2:$P$1178,'Registre de reserves'!$T$2:$T$1178,"RESERVA",'Registre de reserves'!$I$2:$I$1178,'2024'!$A20,'Registre de reserves'!$B$2:$B$1178,'2024'!J$2,Tabla1[ANY],'2024'!$Z$2)-SUMIFS('Registre de reserves'!$U$2:$U$1178,'Registre de reserves'!$T$2:$T$1178,"RESERVA",'Registre de reserves'!$I$2:$I$1178,'2024'!$A20,'Registre de reserves'!$B$2:$B$1178,'2024'!J$2,Tabla1[ANY],'2024'!$Z$2)</f>
        <v>0</v>
      </c>
      <c r="K20" s="21">
        <f t="shared" si="20"/>
        <v>0</v>
      </c>
      <c r="L20" s="20">
        <f>SUMIFS('Registre de reserves'!$P$2:$P$1178,'Registre de reserves'!$T$2:$T$1178,"NO",'Registre de reserves'!$I$2:$I$1178,'2024'!$A20,'Registre de reserves'!$B$2:$B$1178,'2024'!L$2,Tabla1[ANY],'2024'!$Z$2)+SUMIFS('Registre de reserves'!$P$2:$P$1178,'Registre de reserves'!$T$2:$T$1178,"RESERVA",'Registre de reserves'!$I$2:$I$1178,'2024'!$A20,'Registre de reserves'!$B$2:$B$1178,'2024'!L$2,Tabla1[ANY],'2024'!$Z$2)-SUMIFS('Registre de reserves'!$U$2:$U$1178,'Registre de reserves'!$T$2:$T$1178,"RESERVA",'Registre de reserves'!$I$2:$I$1178,'2024'!$A20,'Registre de reserves'!$B$2:$B$1178,'2024'!L$2,Tabla1[ANY],'2024'!$Z$2)</f>
        <v>0</v>
      </c>
      <c r="M20" s="21">
        <f t="shared" si="21"/>
        <v>0</v>
      </c>
      <c r="N20" s="20">
        <f>SUMIFS('Registre de reserves'!$P$2:$P$1178,'Registre de reserves'!$T$2:$T$1178,"NO",'Registre de reserves'!$I$2:$I$1178,'2024'!$A20,'Registre de reserves'!$B$2:$B$1178,'2024'!N$2,Tabla1[ANY],'2024'!$Z$2)+SUMIFS('Registre de reserves'!$P$2:$P$1178,'Registre de reserves'!$T$2:$T$1178,"RESERVA",'Registre de reserves'!$I$2:$I$1178,'2024'!$A20,'Registre de reserves'!$B$2:$B$1178,'2024'!N$2,Tabla1[ANY],'2024'!$Z$2)-SUMIFS('Registre de reserves'!$U$2:$U$1178,'Registre de reserves'!$T$2:$T$1178,"RESERVA",'Registre de reserves'!$I$2:$I$1178,'2024'!$A20,'Registre de reserves'!$B$2:$B$1178,'2024'!N$2,Tabla1[ANY],'2024'!$Z$2)</f>
        <v>0</v>
      </c>
      <c r="O20" s="21">
        <f t="shared" si="22"/>
        <v>0</v>
      </c>
      <c r="P20" s="20">
        <f>SUMIFS('Registre de reserves'!$P$2:$P$1178,'Registre de reserves'!$T$2:$T$1178,"NO",'Registre de reserves'!$I$2:$I$1178,'2024'!$A20,'Registre de reserves'!$B$2:$B$1178,'2024'!P$2,Tabla1[ANY],'2024'!$Z$2)+SUMIFS('Registre de reserves'!$P$2:$P$1178,'Registre de reserves'!$T$2:$T$1178,"RESERVA",'Registre de reserves'!$I$2:$I$1178,'2024'!$A20,'Registre de reserves'!$B$2:$B$1178,'2024'!P$2,Tabla1[ANY],'2024'!$Z$2)-SUMIFS('Registre de reserves'!$U$2:$U$1178,'Registre de reserves'!$T$2:$T$1178,"RESERVA",'Registre de reserves'!$I$2:$I$1178,'2024'!$A20,'Registre de reserves'!$B$2:$B$1178,'2024'!P$2,Tabla1[ANY],'2024'!$Z$2)</f>
        <v>0</v>
      </c>
      <c r="Q20" s="21">
        <f t="shared" si="23"/>
        <v>0</v>
      </c>
      <c r="R20" s="20">
        <f>SUMIFS('Registre de reserves'!$P$2:$P$1178,'Registre de reserves'!$T$2:$T$1178,"NO",'Registre de reserves'!$I$2:$I$1178,'2024'!$A20,'Registre de reserves'!$B$2:$B$1178,'2024'!R$2,Tabla1[ANY],'2024'!$Z$2)+SUMIFS('Registre de reserves'!$P$2:$P$1178,'Registre de reserves'!$T$2:$T$1178,"RESERVA",'Registre de reserves'!$I$2:$I$1178,'2024'!$A20,'Registre de reserves'!$B$2:$B$1178,'2024'!R$2,Tabla1[ANY],'2024'!$Z$2)-SUMIFS('Registre de reserves'!$U$2:$U$1178,'Registre de reserves'!$T$2:$T$1178,"RESERVA",'Registre de reserves'!$I$2:$I$1178,'2024'!$A20,'Registre de reserves'!$B$2:$B$1178,'2024'!R$2,Tabla1[ANY],'2024'!$Z$2)</f>
        <v>0</v>
      </c>
      <c r="S20" s="21">
        <f t="shared" si="24"/>
        <v>0</v>
      </c>
      <c r="T20" s="20">
        <f>SUMIFS('Registre de reserves'!$P$2:$P$1178,'Registre de reserves'!$T$2:$T$1178,"NO",'Registre de reserves'!$I$2:$I$1178,'2024'!$A20,'Registre de reserves'!$B$2:$B$1178,'2024'!T$2,Tabla1[ANY],'2024'!$Z$2)+SUMIFS('Registre de reserves'!$P$2:$P$1178,'Registre de reserves'!$T$2:$T$1178,"RESERVA",'Registre de reserves'!$I$2:$I$1178,'2024'!$A20,'Registre de reserves'!$B$2:$B$1178,'2024'!T$2,Tabla1[ANY],'2024'!$Z$2)-SUMIFS('Registre de reserves'!$U$2:$U$1178,'Registre de reserves'!$T$2:$T$1178,"RESERVA",'Registre de reserves'!$I$2:$I$1178,'2024'!$A20,'Registre de reserves'!$B$2:$B$1178,'2024'!T$2,Tabla1[ANY],'2024'!$Z$2)</f>
        <v>0</v>
      </c>
      <c r="U20" s="21">
        <f t="shared" si="25"/>
        <v>0</v>
      </c>
      <c r="V20" s="20">
        <f>SUMIFS('Registre de reserves'!$P$2:$P$1178,'Registre de reserves'!$T$2:$T$1178,"NO",'Registre de reserves'!$I$2:$I$1178,'2024'!$A20,'Registre de reserves'!$B$2:$B$1178,'2024'!V$2,Tabla1[ANY],'2024'!$Z$2)+SUMIFS('Registre de reserves'!$P$2:$P$1178,'Registre de reserves'!$T$2:$T$1178,"RESERVA",'Registre de reserves'!$I$2:$I$1178,'2024'!$A20,'Registre de reserves'!$B$2:$B$1178,'2024'!V$2,Tabla1[ANY],'2024'!$Z$2)-SUMIFS('Registre de reserves'!$U$2:$U$1178,'Registre de reserves'!$T$2:$T$1178,"RESERVA",'Registre de reserves'!$I$2:$I$1178,'2024'!$A20,'Registre de reserves'!$B$2:$B$1178,'2024'!V$2,Tabla1[ANY],'2024'!$Z$2)</f>
        <v>0</v>
      </c>
      <c r="W20" s="21">
        <f t="shared" si="26"/>
        <v>0</v>
      </c>
      <c r="X20" s="20">
        <f>SUMIFS('Registre de reserves'!$P$2:$P$1178,'Registre de reserves'!$T$2:$T$1178,"NO",'Registre de reserves'!$I$2:$I$1178,'2024'!$A20,'Registre de reserves'!$B$2:$B$1178,'2024'!X$2,Tabla1[ANY],'2024'!$Z$2)+SUMIFS('Registre de reserves'!$P$2:$P$1178,'Registre de reserves'!$T$2:$T$1178,"RESERVA",'Registre de reserves'!$I$2:$I$1178,'2024'!$A20,'Registre de reserves'!$B$2:$B$1178,'2024'!X$2,Tabla1[ANY],'2024'!$Z$2)-SUMIFS('Registre de reserves'!$U$2:$U$1178,'Registre de reserves'!$T$2:$T$1178,"RESERVA",'Registre de reserves'!$I$2:$I$1178,'2024'!$A20,'Registre de reserves'!$B$2:$B$1178,'2024'!X$2,Tabla1[ANY],'2024'!$Z$2)</f>
        <v>0</v>
      </c>
      <c r="Y20" s="21">
        <f t="shared" si="27"/>
        <v>0</v>
      </c>
      <c r="Z20" s="20">
        <f t="shared" si="28"/>
        <v>0</v>
      </c>
      <c r="AA20" s="21">
        <f t="shared" si="29"/>
        <v>0</v>
      </c>
      <c r="AB20" s="178">
        <f t="shared" si="2"/>
        <v>0</v>
      </c>
      <c r="AC20" s="178">
        <v>0</v>
      </c>
    </row>
    <row r="21" spans="1:29" hidden="1" outlineLevel="1" x14ac:dyDescent="0.2">
      <c r="A21" s="8" t="s">
        <v>73</v>
      </c>
      <c r="B21" s="20">
        <f>SUMIFS('Registre de reserves'!$P$2:$P$1178,'Registre de reserves'!$T$2:$T$1178,"NO",'Registre de reserves'!$I$2:$I$1178,'2024'!$A21,'Registre de reserves'!$B$2:$B$1178,'2024'!B$2,Tabla1[ANY],'2024'!$Z$2)+SUMIFS('Registre de reserves'!$P$2:$P$1178,'Registre de reserves'!$T$2:$T$1178,"RESERVA",'Registre de reserves'!$I$2:$I$1178,'2024'!$A21,'Registre de reserves'!$B$2:$B$1178,'2024'!B$2,Tabla1[ANY],'2024'!$Z$2)-SUMIFS('Registre de reserves'!$U$2:$U$1178,'Registre de reserves'!$T$2:$T$1178,"RESERVA",'Registre de reserves'!$I$2:$I$1178,'2024'!$A21,'Registre de reserves'!$B$2:$B$1178,'2024'!B$2,Tabla1[ANY],'2024'!$Z$2)</f>
        <v>0</v>
      </c>
      <c r="C21" s="21">
        <f t="shared" si="16"/>
        <v>0</v>
      </c>
      <c r="D21" s="20">
        <f>SUMIFS('Registre de reserves'!$P$2:$P$1178,'Registre de reserves'!$T$2:$T$1178,"NO",'Registre de reserves'!$I$2:$I$1178,'2024'!$A21,'Registre de reserves'!$B$2:$B$1178,'2024'!D$2,Tabla1[ANY],'2024'!$Z$2)+SUMIFS('Registre de reserves'!$P$2:$P$1178,'Registre de reserves'!$T$2:$T$1178,"RESERVA",'Registre de reserves'!$I$2:$I$1178,'2024'!$A21,'Registre de reserves'!$B$2:$B$1178,'2024'!D$2,Tabla1[ANY],'2024'!$Z$2)-SUMIFS('Registre de reserves'!$U$2:$U$1178,'Registre de reserves'!$T$2:$T$1178,"RESERVA",'Registre de reserves'!$I$2:$I$1178,'2024'!$A21,'Registre de reserves'!$B$2:$B$1178,'2024'!D$2,Tabla1[ANY],'2024'!$Z$2)</f>
        <v>0</v>
      </c>
      <c r="E21" s="21">
        <f t="shared" si="17"/>
        <v>0</v>
      </c>
      <c r="F21" s="20">
        <f>SUMIFS('Registre de reserves'!$P$2:$P$1178,'Registre de reserves'!$T$2:$T$1178,"NO",'Registre de reserves'!$I$2:$I$1178,'2024'!$A21,'Registre de reserves'!$B$2:$B$1178,'2024'!F$2,Tabla1[ANY],'2024'!$Z$2)+SUMIFS('Registre de reserves'!$P$2:$P$1178,'Registre de reserves'!$T$2:$T$1178,"RESERVA",'Registre de reserves'!$I$2:$I$1178,'2024'!$A21,'Registre de reserves'!$B$2:$B$1178,'2024'!F$2,Tabla1[ANY],'2024'!$Z$2)-SUMIFS('Registre de reserves'!$U$2:$U$1178,'Registre de reserves'!$T$2:$T$1178,"RESERVA",'Registre de reserves'!$I$2:$I$1178,'2024'!$A21,'Registre de reserves'!$B$2:$B$1178,'2024'!F$2,Tabla1[ANY],'2024'!$Z$2)</f>
        <v>0</v>
      </c>
      <c r="G21" s="21">
        <f t="shared" si="18"/>
        <v>0</v>
      </c>
      <c r="H21" s="20">
        <f>SUMIFS('Registre de reserves'!$P$2:$P$1178,'Registre de reserves'!$T$2:$T$1178,"NO",'Registre de reserves'!$I$2:$I$1178,'2024'!$A21,'Registre de reserves'!$B$2:$B$1178,'2024'!H$2,Tabla1[ANY],'2024'!$Z$2)+SUMIFS('Registre de reserves'!$P$2:$P$1178,'Registre de reserves'!$T$2:$T$1178,"RESERVA",'Registre de reserves'!$I$2:$I$1178,'2024'!$A21,'Registre de reserves'!$B$2:$B$1178,'2024'!H$2,Tabla1[ANY],'2024'!$Z$2)-SUMIFS('Registre de reserves'!$U$2:$U$1178,'Registre de reserves'!$T$2:$T$1178,"RESERVA",'Registre de reserves'!$I$2:$I$1178,'2024'!$A21,'Registre de reserves'!$B$2:$B$1178,'2024'!H$2,Tabla1[ANY],'2024'!$Z$2)</f>
        <v>0</v>
      </c>
      <c r="I21" s="21">
        <f t="shared" si="19"/>
        <v>0</v>
      </c>
      <c r="J21" s="20">
        <f>SUMIFS('Registre de reserves'!$P$2:$P$1178,'Registre de reserves'!$T$2:$T$1178,"NO",'Registre de reserves'!$I$2:$I$1178,'2024'!$A21,'Registre de reserves'!$B$2:$B$1178,'2024'!J$2,Tabla1[ANY],'2024'!$Z$2)+SUMIFS('Registre de reserves'!$P$2:$P$1178,'Registre de reserves'!$T$2:$T$1178,"RESERVA",'Registre de reserves'!$I$2:$I$1178,'2024'!$A21,'Registre de reserves'!$B$2:$B$1178,'2024'!J$2,Tabla1[ANY],'2024'!$Z$2)-SUMIFS('Registre de reserves'!$U$2:$U$1178,'Registre de reserves'!$T$2:$T$1178,"RESERVA",'Registre de reserves'!$I$2:$I$1178,'2024'!$A21,'Registre de reserves'!$B$2:$B$1178,'2024'!J$2,Tabla1[ANY],'2024'!$Z$2)</f>
        <v>0</v>
      </c>
      <c r="K21" s="21">
        <f t="shared" si="20"/>
        <v>0</v>
      </c>
      <c r="L21" s="20">
        <f>SUMIFS('Registre de reserves'!$P$2:$P$1178,'Registre de reserves'!$T$2:$T$1178,"NO",'Registre de reserves'!$I$2:$I$1178,'2024'!$A21,'Registre de reserves'!$B$2:$B$1178,'2024'!L$2,Tabla1[ANY],'2024'!$Z$2)+SUMIFS('Registre de reserves'!$P$2:$P$1178,'Registre de reserves'!$T$2:$T$1178,"RESERVA",'Registre de reserves'!$I$2:$I$1178,'2024'!$A21,'Registre de reserves'!$B$2:$B$1178,'2024'!L$2,Tabla1[ANY],'2024'!$Z$2)-SUMIFS('Registre de reserves'!$U$2:$U$1178,'Registre de reserves'!$T$2:$T$1178,"RESERVA",'Registre de reserves'!$I$2:$I$1178,'2024'!$A21,'Registre de reserves'!$B$2:$B$1178,'2024'!L$2,Tabla1[ANY],'2024'!$Z$2)</f>
        <v>0</v>
      </c>
      <c r="M21" s="21">
        <f t="shared" si="21"/>
        <v>0</v>
      </c>
      <c r="N21" s="20">
        <f>SUMIFS('Registre de reserves'!$P$2:$P$1178,'Registre de reserves'!$T$2:$T$1178,"NO",'Registre de reserves'!$I$2:$I$1178,'2024'!$A21,'Registre de reserves'!$B$2:$B$1178,'2024'!N$2,Tabla1[ANY],'2024'!$Z$2)+SUMIFS('Registre de reserves'!$P$2:$P$1178,'Registre de reserves'!$T$2:$T$1178,"RESERVA",'Registre de reserves'!$I$2:$I$1178,'2024'!$A21,'Registre de reserves'!$B$2:$B$1178,'2024'!N$2,Tabla1[ANY],'2024'!$Z$2)-SUMIFS('Registre de reserves'!$U$2:$U$1178,'Registre de reserves'!$T$2:$T$1178,"RESERVA",'Registre de reserves'!$I$2:$I$1178,'2024'!$A21,'Registre de reserves'!$B$2:$B$1178,'2024'!N$2,Tabla1[ANY],'2024'!$Z$2)</f>
        <v>0</v>
      </c>
      <c r="O21" s="21">
        <f t="shared" si="22"/>
        <v>0</v>
      </c>
      <c r="P21" s="20">
        <f>SUMIFS('Registre de reserves'!$P$2:$P$1178,'Registre de reserves'!$T$2:$T$1178,"NO",'Registre de reserves'!$I$2:$I$1178,'2024'!$A21,'Registre de reserves'!$B$2:$B$1178,'2024'!P$2,Tabla1[ANY],'2024'!$Z$2)+SUMIFS('Registre de reserves'!$P$2:$P$1178,'Registre de reserves'!$T$2:$T$1178,"RESERVA",'Registre de reserves'!$I$2:$I$1178,'2024'!$A21,'Registre de reserves'!$B$2:$B$1178,'2024'!P$2,Tabla1[ANY],'2024'!$Z$2)-SUMIFS('Registre de reserves'!$U$2:$U$1178,'Registre de reserves'!$T$2:$T$1178,"RESERVA",'Registre de reserves'!$I$2:$I$1178,'2024'!$A21,'Registre de reserves'!$B$2:$B$1178,'2024'!P$2,Tabla1[ANY],'2024'!$Z$2)</f>
        <v>0</v>
      </c>
      <c r="Q21" s="21">
        <f t="shared" si="23"/>
        <v>0</v>
      </c>
      <c r="R21" s="20">
        <f>SUMIFS('Registre de reserves'!$P$2:$P$1178,'Registre de reserves'!$T$2:$T$1178,"NO",'Registre de reserves'!$I$2:$I$1178,'2024'!$A21,'Registre de reserves'!$B$2:$B$1178,'2024'!R$2,Tabla1[ANY],'2024'!$Z$2)+SUMIFS('Registre de reserves'!$P$2:$P$1178,'Registre de reserves'!$T$2:$T$1178,"RESERVA",'Registre de reserves'!$I$2:$I$1178,'2024'!$A21,'Registre de reserves'!$B$2:$B$1178,'2024'!R$2,Tabla1[ANY],'2024'!$Z$2)-SUMIFS('Registre de reserves'!$U$2:$U$1178,'Registre de reserves'!$T$2:$T$1178,"RESERVA",'Registre de reserves'!$I$2:$I$1178,'2024'!$A21,'Registre de reserves'!$B$2:$B$1178,'2024'!R$2,Tabla1[ANY],'2024'!$Z$2)</f>
        <v>0</v>
      </c>
      <c r="S21" s="21">
        <f t="shared" si="24"/>
        <v>0</v>
      </c>
      <c r="T21" s="20">
        <f>SUMIFS('Registre de reserves'!$P$2:$P$1178,'Registre de reserves'!$T$2:$T$1178,"NO",'Registre de reserves'!$I$2:$I$1178,'2024'!$A21,'Registre de reserves'!$B$2:$B$1178,'2024'!T$2,Tabla1[ANY],'2024'!$Z$2)+SUMIFS('Registre de reserves'!$P$2:$P$1178,'Registre de reserves'!$T$2:$T$1178,"RESERVA",'Registre de reserves'!$I$2:$I$1178,'2024'!$A21,'Registre de reserves'!$B$2:$B$1178,'2024'!T$2,Tabla1[ANY],'2024'!$Z$2)-SUMIFS('Registre de reserves'!$U$2:$U$1178,'Registre de reserves'!$T$2:$T$1178,"RESERVA",'Registre de reserves'!$I$2:$I$1178,'2024'!$A21,'Registre de reserves'!$B$2:$B$1178,'2024'!T$2,Tabla1[ANY],'2024'!$Z$2)</f>
        <v>0</v>
      </c>
      <c r="U21" s="21">
        <f t="shared" si="25"/>
        <v>0</v>
      </c>
      <c r="V21" s="20">
        <f>SUMIFS('Registre de reserves'!$P$2:$P$1178,'Registre de reserves'!$T$2:$T$1178,"NO",'Registre de reserves'!$I$2:$I$1178,'2024'!$A21,'Registre de reserves'!$B$2:$B$1178,'2024'!V$2,Tabla1[ANY],'2024'!$Z$2)+SUMIFS('Registre de reserves'!$P$2:$P$1178,'Registre de reserves'!$T$2:$T$1178,"RESERVA",'Registre de reserves'!$I$2:$I$1178,'2024'!$A21,'Registre de reserves'!$B$2:$B$1178,'2024'!V$2,Tabla1[ANY],'2024'!$Z$2)-SUMIFS('Registre de reserves'!$U$2:$U$1178,'Registre de reserves'!$T$2:$T$1178,"RESERVA",'Registre de reserves'!$I$2:$I$1178,'2024'!$A21,'Registre de reserves'!$B$2:$B$1178,'2024'!V$2,Tabla1[ANY],'2024'!$Z$2)</f>
        <v>0</v>
      </c>
      <c r="W21" s="21">
        <f t="shared" si="26"/>
        <v>0</v>
      </c>
      <c r="X21" s="20">
        <f>SUMIFS('Registre de reserves'!$P$2:$P$1178,'Registre de reserves'!$T$2:$T$1178,"NO",'Registre de reserves'!$I$2:$I$1178,'2024'!$A21,'Registre de reserves'!$B$2:$B$1178,'2024'!X$2,Tabla1[ANY],'2024'!$Z$2)+SUMIFS('Registre de reserves'!$P$2:$P$1178,'Registre de reserves'!$T$2:$T$1178,"RESERVA",'Registre de reserves'!$I$2:$I$1178,'2024'!$A21,'Registre de reserves'!$B$2:$B$1178,'2024'!X$2,Tabla1[ANY],'2024'!$Z$2)-SUMIFS('Registre de reserves'!$U$2:$U$1178,'Registre de reserves'!$T$2:$T$1178,"RESERVA",'Registre de reserves'!$I$2:$I$1178,'2024'!$A21,'Registre de reserves'!$B$2:$B$1178,'2024'!X$2,Tabla1[ANY],'2024'!$Z$2)</f>
        <v>0</v>
      </c>
      <c r="Y21" s="21">
        <f t="shared" si="27"/>
        <v>0</v>
      </c>
      <c r="Z21" s="20">
        <f t="shared" si="28"/>
        <v>0</v>
      </c>
      <c r="AA21" s="21">
        <f t="shared" si="29"/>
        <v>0</v>
      </c>
      <c r="AB21" s="178">
        <f t="shared" si="2"/>
        <v>0</v>
      </c>
      <c r="AC21" s="178">
        <v>0</v>
      </c>
    </row>
    <row r="22" spans="1:29" collapsed="1" x14ac:dyDescent="0.2">
      <c r="A22" s="33" t="s">
        <v>75</v>
      </c>
      <c r="B22" s="22">
        <f>SUM(B23:B30)</f>
        <v>320</v>
      </c>
      <c r="C22" s="19">
        <f>IF(B$3=0,0,B22/B$3)</f>
        <v>6.1538461538461542E-2</v>
      </c>
      <c r="D22" s="22">
        <f>SUM(D23:D30)</f>
        <v>610</v>
      </c>
      <c r="E22" s="19">
        <f>IF(D$3=0,0,D22/D$3)</f>
        <v>0.13911060433295325</v>
      </c>
      <c r="F22" s="22">
        <f>SUM(F23:F30)</f>
        <v>240</v>
      </c>
      <c r="G22" s="19">
        <f>IF(F$3=0,0,F22/F$3)</f>
        <v>4.8533872598584431E-2</v>
      </c>
      <c r="H22" s="22">
        <f>SUM(H23:H30)</f>
        <v>580</v>
      </c>
      <c r="I22" s="19">
        <f>IF(H$3=0,0,H22/H$3)</f>
        <v>0.12581344902386118</v>
      </c>
      <c r="J22" s="22">
        <f>SUM(J23:J30)</f>
        <v>340</v>
      </c>
      <c r="K22" s="19">
        <f>IF(J$3=0,0,J22/J$3)</f>
        <v>7.3913043478260873E-2</v>
      </c>
      <c r="L22" s="22">
        <f>SUM(L23:L30)</f>
        <v>160</v>
      </c>
      <c r="M22" s="19">
        <f>IF(L$3=0,0,L22/L$3)</f>
        <v>3.5398230088495575E-2</v>
      </c>
      <c r="N22" s="22">
        <f>SUM(N23:N30)</f>
        <v>180</v>
      </c>
      <c r="O22" s="19">
        <f>IF(N$3=0,0,N22/N$3)</f>
        <v>5.0775740479548657E-2</v>
      </c>
      <c r="P22" s="22">
        <f>SUM(P23:P30)</f>
        <v>80</v>
      </c>
      <c r="Q22" s="19">
        <f>IF(P$3=0,0,P22/P$3)</f>
        <v>3.1372549019607843E-2</v>
      </c>
      <c r="R22" s="22">
        <f>SUM(R23:R30)</f>
        <v>180</v>
      </c>
      <c r="S22" s="19">
        <f>IF(R$3=0,0,R22/R$3)</f>
        <v>4.3530834340991538E-2</v>
      </c>
      <c r="T22" s="22">
        <f>SUM(T23:T30)</f>
        <v>120</v>
      </c>
      <c r="U22" s="19">
        <f>IF(T$3=0,0,T22/T$3)</f>
        <v>3.1578947368421054E-2</v>
      </c>
      <c r="V22" s="22">
        <f>SUM(V23:V30)</f>
        <v>470</v>
      </c>
      <c r="W22" s="19">
        <f>IF(V$3=0,0,V22/V$3)</f>
        <v>8.4380610412926396E-2</v>
      </c>
      <c r="X22" s="22">
        <f>SUM(X23:X30)</f>
        <v>340</v>
      </c>
      <c r="Y22" s="19">
        <f>IF(X$3=0,0,X22/X$3)</f>
        <v>4.6543463381245723E-2</v>
      </c>
      <c r="Z22" s="18">
        <f>SUM(Z23:Z30)</f>
        <v>3620</v>
      </c>
      <c r="AA22" s="19">
        <f>IF(Z$3=0,0,Z22/Z$3)</f>
        <v>6.5621317864588052E-2</v>
      </c>
      <c r="AB22" s="178">
        <f t="shared" si="2"/>
        <v>301.66666666666669</v>
      </c>
      <c r="AC22" s="178">
        <v>220</v>
      </c>
    </row>
    <row r="23" spans="1:29" hidden="1" outlineLevel="1" x14ac:dyDescent="0.2">
      <c r="A23" s="8" t="s">
        <v>67</v>
      </c>
      <c r="B23" s="23">
        <f>SUMIFS('Registre de reserves'!$R$2:$R$1178,'Registre de reserves'!$T$2:$T$1178,"SI",'Registre de reserves'!$I$2:$I$1178,'2024'!$A23,'Registre de reserves'!$B$2:$B$1178,'2024'!B$2,Tabla1[ANY],'2024'!$Z$2)</f>
        <v>0</v>
      </c>
      <c r="C23" s="21">
        <f>IF(B$22=0,0,B23/B$22)</f>
        <v>0</v>
      </c>
      <c r="D23" s="23">
        <f>SUMIFS('Registre de reserves'!$R$2:$R$1178,'Registre de reserves'!$T$2:$T$1178,"SI",'Registre de reserves'!$I$2:$I$1178,'2024'!$A23,'Registre de reserves'!$B$2:$B$1178,'2024'!D$2,Tabla1[ANY],'2024'!$Z$2)</f>
        <v>0</v>
      </c>
      <c r="E23" s="21">
        <f>IF(D$22=0,0,D23/D$22)</f>
        <v>0</v>
      </c>
      <c r="F23" s="23">
        <f>SUMIFS('Registre de reserves'!$R$2:$R$1178,'Registre de reserves'!$T$2:$T$1178,"SI",'Registre de reserves'!$I$2:$I$1178,'2024'!$A23,'Registre de reserves'!$B$2:$B$1178,'2024'!F$2,Tabla1[ANY],'2024'!$Z$2)</f>
        <v>0</v>
      </c>
      <c r="G23" s="21">
        <f t="shared" ref="G23:G30" si="30">IF(F$22=0,0,F23/F$22)</f>
        <v>0</v>
      </c>
      <c r="H23" s="23">
        <f>SUMIFS('Registre de reserves'!$R$2:$R$1178,'Registre de reserves'!$T$2:$T$1178,"SI",'Registre de reserves'!$I$2:$I$1178,'2024'!$A23,'Registre de reserves'!$B$2:$B$1178,'2024'!H$2,Tabla1[ANY],'2024'!$Z$2)</f>
        <v>0</v>
      </c>
      <c r="I23" s="21">
        <f t="shared" ref="I23:I30" si="31">IF(H$22=0,0,H23/H$22)</f>
        <v>0</v>
      </c>
      <c r="J23" s="23">
        <f>SUMIFS('Registre de reserves'!$R$2:$R$1178,'Registre de reserves'!$T$2:$T$1178,"SI",'Registre de reserves'!$I$2:$I$1178,'2024'!$A23,'Registre de reserves'!$B$2:$B$1178,'2024'!J$2,Tabla1[ANY],'2024'!$Z$2)</f>
        <v>0</v>
      </c>
      <c r="K23" s="21">
        <f t="shared" ref="K23:K30" si="32">IF(J$22=0,0,J23/J$22)</f>
        <v>0</v>
      </c>
      <c r="L23" s="23">
        <f>SUMIFS('Registre de reserves'!$R$2:$R$1178,'Registre de reserves'!$T$2:$T$1178,"SI",'Registre de reserves'!$I$2:$I$1178,'2024'!$A23,'Registre de reserves'!$B$2:$B$1178,'2024'!L$2,Tabla1[ANY],'2024'!$Z$2)</f>
        <v>0</v>
      </c>
      <c r="M23" s="21">
        <f t="shared" ref="M23:M30" si="33">IF(L$22=0,0,L23/L$22)</f>
        <v>0</v>
      </c>
      <c r="N23" s="23">
        <f>SUMIFS('Registre de reserves'!$R$2:$R$1178,'Registre de reserves'!$T$2:$T$1178,"SI",'Registre de reserves'!$I$2:$I$1178,'2024'!$A23,'Registre de reserves'!$B$2:$B$1178,'2024'!N$2,Tabla1[ANY],'2024'!$Z$2)</f>
        <v>0</v>
      </c>
      <c r="O23" s="21">
        <f t="shared" ref="O23:O30" si="34">IF(N$22=0,0,N23/N$22)</f>
        <v>0</v>
      </c>
      <c r="P23" s="23">
        <f>SUMIFS('Registre de reserves'!$R$2:$R$1178,'Registre de reserves'!$T$2:$T$1178,"SI",'Registre de reserves'!$I$2:$I$1178,'2024'!$A23,'Registre de reserves'!$B$2:$B$1178,'2024'!P$2,Tabla1[ANY],'2024'!$Z$2)</f>
        <v>0</v>
      </c>
      <c r="Q23" s="21">
        <f t="shared" ref="Q23:Q30" si="35">IF(P$22=0,0,P23/P$22)</f>
        <v>0</v>
      </c>
      <c r="R23" s="23">
        <f>SUMIFS('Registre de reserves'!$R$2:$R$1178,'Registre de reserves'!$T$2:$T$1178,"SI",'Registre de reserves'!$I$2:$I$1178,'2024'!$A23,'Registre de reserves'!$B$2:$B$1178,'2024'!R$2,Tabla1[ANY],'2024'!$Z$2)</f>
        <v>0</v>
      </c>
      <c r="S23" s="21">
        <f t="shared" ref="S23:S30" si="36">IF(R$22=0,0,R23/R$22)</f>
        <v>0</v>
      </c>
      <c r="T23" s="23">
        <f>SUMIFS('Registre de reserves'!$R$2:$R$1178,'Registre de reserves'!$T$2:$T$1178,"SI",'Registre de reserves'!$I$2:$I$1178,'2024'!$A23,'Registre de reserves'!$B$2:$B$1178,'2024'!T$2,Tabla1[ANY],'2024'!$Z$2)</f>
        <v>0</v>
      </c>
      <c r="U23" s="21">
        <f t="shared" ref="U23:U30" si="37">IF(T$22=0,0,T23/T$22)</f>
        <v>0</v>
      </c>
      <c r="V23" s="23">
        <f>SUMIFS('Registre de reserves'!$R$2:$R$1178,'Registre de reserves'!$T$2:$T$1178,"SI",'Registre de reserves'!$I$2:$I$1178,'2024'!$A23,'Registre de reserves'!$B$2:$B$1178,'2024'!V$2,Tabla1[ANY],'2024'!$Z$2)</f>
        <v>20</v>
      </c>
      <c r="W23" s="21">
        <f t="shared" ref="W23:W30" si="38">IF(V$22=0,0,V23/V$22)</f>
        <v>4.2553191489361701E-2</v>
      </c>
      <c r="X23" s="23">
        <f>SUMIFS('Registre de reserves'!$R$2:$R$1178,'Registre de reserves'!$T$2:$T$1178,"SI",'Registre de reserves'!$I$2:$I$1178,'2024'!$A23,'Registre de reserves'!$B$2:$B$1178,'2024'!X$2,Tabla1[ANY],'2024'!$Z$2)</f>
        <v>0</v>
      </c>
      <c r="Y23" s="21">
        <f t="shared" ref="Y23:Y30" si="39">IF(X$22=0,0,X23/X$22)</f>
        <v>0</v>
      </c>
      <c r="Z23" s="20">
        <f>B23+D23+F23+H23+J23+L23+N23+P23+R23+T23+V23+X23</f>
        <v>20</v>
      </c>
      <c r="AA23" s="21">
        <f>IF(Z$22=0,0,Z23/Z$22)</f>
        <v>5.5248618784530384E-3</v>
      </c>
      <c r="AB23" s="178">
        <f t="shared" si="2"/>
        <v>1.6666666666666667</v>
      </c>
      <c r="AC23" s="178">
        <v>0</v>
      </c>
    </row>
    <row r="24" spans="1:29" hidden="1" outlineLevel="1" x14ac:dyDescent="0.2">
      <c r="A24" s="8" t="s">
        <v>68</v>
      </c>
      <c r="B24" s="23">
        <f>SUMIFS('Registre de reserves'!$R$2:$R$1178,'Registre de reserves'!$T$2:$T$1178,"SI",'Registre de reserves'!$I$2:$I$1178,'2024'!$A24,'Registre de reserves'!$B$2:$B$1178,'2024'!B$2,Tabla1[ANY],'2024'!$Z$2)</f>
        <v>20</v>
      </c>
      <c r="C24" s="21">
        <f t="shared" ref="C24:E30" si="40">IF(B$22=0,0,B24/B$22)</f>
        <v>6.25E-2</v>
      </c>
      <c r="D24" s="23">
        <f>SUMIFS('Registre de reserves'!$R$2:$R$1178,'Registre de reserves'!$T$2:$T$1178,"SI",'Registre de reserves'!$I$2:$I$1178,'2024'!$A24,'Registre de reserves'!$B$2:$B$1178,'2024'!D$2,Tabla1[ANY],'2024'!$Z$2)</f>
        <v>10</v>
      </c>
      <c r="E24" s="21">
        <f t="shared" si="40"/>
        <v>1.6393442622950821E-2</v>
      </c>
      <c r="F24" s="23">
        <f>SUMIFS('Registre de reserves'!$R$2:$R$1178,'Registre de reserves'!$T$2:$T$1178,"SI",'Registre de reserves'!$I$2:$I$1178,'2024'!$A24,'Registre de reserves'!$B$2:$B$1178,'2024'!F$2,Tabla1[ANY],'2024'!$Z$2)</f>
        <v>0</v>
      </c>
      <c r="G24" s="21">
        <f t="shared" si="30"/>
        <v>0</v>
      </c>
      <c r="H24" s="23">
        <f>SUMIFS('Registre de reserves'!$R$2:$R$1178,'Registre de reserves'!$T$2:$T$1178,"SI",'Registre de reserves'!$I$2:$I$1178,'2024'!$A24,'Registre de reserves'!$B$2:$B$1178,'2024'!H$2,Tabla1[ANY],'2024'!$Z$2)</f>
        <v>10</v>
      </c>
      <c r="I24" s="21">
        <f t="shared" si="31"/>
        <v>1.7241379310344827E-2</v>
      </c>
      <c r="J24" s="23">
        <f>SUMIFS('Registre de reserves'!$R$2:$R$1178,'Registre de reserves'!$T$2:$T$1178,"SI",'Registre de reserves'!$I$2:$I$1178,'2024'!$A24,'Registre de reserves'!$B$2:$B$1178,'2024'!J$2,Tabla1[ANY],'2024'!$Z$2)</f>
        <v>0</v>
      </c>
      <c r="K24" s="21">
        <f t="shared" si="32"/>
        <v>0</v>
      </c>
      <c r="L24" s="23">
        <f>SUMIFS('Registre de reserves'!$R$2:$R$1178,'Registre de reserves'!$T$2:$T$1178,"SI",'Registre de reserves'!$I$2:$I$1178,'2024'!$A24,'Registre de reserves'!$B$2:$B$1178,'2024'!L$2,Tabla1[ANY],'2024'!$Z$2)</f>
        <v>20</v>
      </c>
      <c r="M24" s="21">
        <f t="shared" si="33"/>
        <v>0.125</v>
      </c>
      <c r="N24" s="23">
        <f>SUMIFS('Registre de reserves'!$R$2:$R$1178,'Registre de reserves'!$T$2:$T$1178,"SI",'Registre de reserves'!$I$2:$I$1178,'2024'!$A24,'Registre de reserves'!$B$2:$B$1178,'2024'!N$2,Tabla1[ANY],'2024'!$Z$2)</f>
        <v>0</v>
      </c>
      <c r="O24" s="21">
        <f t="shared" si="34"/>
        <v>0</v>
      </c>
      <c r="P24" s="23">
        <f>SUMIFS('Registre de reserves'!$R$2:$R$1178,'Registre de reserves'!$T$2:$T$1178,"SI",'Registre de reserves'!$I$2:$I$1178,'2024'!$A24,'Registre de reserves'!$B$2:$B$1178,'2024'!P$2,Tabla1[ANY],'2024'!$Z$2)</f>
        <v>20</v>
      </c>
      <c r="Q24" s="21">
        <f t="shared" si="35"/>
        <v>0.25</v>
      </c>
      <c r="R24" s="23">
        <f>SUMIFS('Registre de reserves'!$R$2:$R$1178,'Registre de reserves'!$T$2:$T$1178,"SI",'Registre de reserves'!$I$2:$I$1178,'2024'!$A24,'Registre de reserves'!$B$2:$B$1178,'2024'!R$2,Tabla1[ANY],'2024'!$Z$2)</f>
        <v>0</v>
      </c>
      <c r="S24" s="21">
        <f t="shared" si="36"/>
        <v>0</v>
      </c>
      <c r="T24" s="23">
        <f>SUMIFS('Registre de reserves'!$R$2:$R$1178,'Registre de reserves'!$T$2:$T$1178,"SI",'Registre de reserves'!$I$2:$I$1178,'2024'!$A24,'Registre de reserves'!$B$2:$B$1178,'2024'!T$2,Tabla1[ANY],'2024'!$Z$2)</f>
        <v>0</v>
      </c>
      <c r="U24" s="21">
        <f t="shared" si="37"/>
        <v>0</v>
      </c>
      <c r="V24" s="23">
        <f>SUMIFS('Registre de reserves'!$R$2:$R$1178,'Registre de reserves'!$T$2:$T$1178,"SI",'Registre de reserves'!$I$2:$I$1178,'2024'!$A24,'Registre de reserves'!$B$2:$B$1178,'2024'!V$2,Tabla1[ANY],'2024'!$Z$2)</f>
        <v>0</v>
      </c>
      <c r="W24" s="21">
        <f t="shared" si="38"/>
        <v>0</v>
      </c>
      <c r="X24" s="23">
        <f>SUMIFS('Registre de reserves'!$R$2:$R$1178,'Registre de reserves'!$T$2:$T$1178,"SI",'Registre de reserves'!$I$2:$I$1178,'2024'!$A24,'Registre de reserves'!$B$2:$B$1178,'2024'!X$2,Tabla1[ANY],'2024'!$Z$2)</f>
        <v>0</v>
      </c>
      <c r="Y24" s="21">
        <f t="shared" si="39"/>
        <v>0</v>
      </c>
      <c r="Z24" s="20">
        <f t="shared" ref="Z24:Z30" si="41">B24+D24+F24+H24+J24+L24+N24+P24+R24+T24+V24+X24</f>
        <v>80</v>
      </c>
      <c r="AA24" s="21">
        <f t="shared" ref="AA24:AA30" si="42">IF(Z$22=0,0,Z24/Z$22)</f>
        <v>2.2099447513812154E-2</v>
      </c>
      <c r="AB24" s="178">
        <f t="shared" si="2"/>
        <v>6.666666666666667</v>
      </c>
      <c r="AC24" s="178">
        <v>7.916666666666667</v>
      </c>
    </row>
    <row r="25" spans="1:29" hidden="1" outlineLevel="1" x14ac:dyDescent="0.2">
      <c r="A25" s="8" t="s">
        <v>4</v>
      </c>
      <c r="B25" s="23">
        <f>SUMIFS('Registre de reserves'!$R$2:$R$1178,'Registre de reserves'!$T$2:$T$1178,"SI",'Registre de reserves'!$I$2:$I$1178,'2024'!$A25,'Registre de reserves'!$B$2:$B$1178,'2024'!B$2,Tabla1[ANY],'2024'!$Z$2)</f>
        <v>0</v>
      </c>
      <c r="C25" s="21">
        <f t="shared" si="40"/>
        <v>0</v>
      </c>
      <c r="D25" s="23">
        <f>SUMIFS('Registre de reserves'!$R$2:$R$1178,'Registre de reserves'!$T$2:$T$1178,"SI",'Registre de reserves'!$I$2:$I$1178,'2024'!$A25,'Registre de reserves'!$B$2:$B$1178,'2024'!D$2,Tabla1[ANY],'2024'!$Z$2)</f>
        <v>0</v>
      </c>
      <c r="E25" s="21">
        <f t="shared" si="40"/>
        <v>0</v>
      </c>
      <c r="F25" s="23">
        <f>SUMIFS('Registre de reserves'!$R$2:$R$1178,'Registre de reserves'!$T$2:$T$1178,"SI",'Registre de reserves'!$I$2:$I$1178,'2024'!$A25,'Registre de reserves'!$B$2:$B$1178,'2024'!F$2,Tabla1[ANY],'2024'!$Z$2)</f>
        <v>0</v>
      </c>
      <c r="G25" s="21">
        <f t="shared" si="30"/>
        <v>0</v>
      </c>
      <c r="H25" s="23">
        <f>SUMIFS('Registre de reserves'!$R$2:$R$1178,'Registre de reserves'!$T$2:$T$1178,"SI",'Registre de reserves'!$I$2:$I$1178,'2024'!$A25,'Registre de reserves'!$B$2:$B$1178,'2024'!H$2,Tabla1[ANY],'2024'!$Z$2)</f>
        <v>0</v>
      </c>
      <c r="I25" s="21">
        <f t="shared" si="31"/>
        <v>0</v>
      </c>
      <c r="J25" s="23">
        <f>SUMIFS('Registre de reserves'!$R$2:$R$1178,'Registre de reserves'!$T$2:$T$1178,"SI",'Registre de reserves'!$I$2:$I$1178,'2024'!$A25,'Registre de reserves'!$B$2:$B$1178,'2024'!J$2,Tabla1[ANY],'2024'!$Z$2)</f>
        <v>0</v>
      </c>
      <c r="K25" s="21">
        <f t="shared" si="32"/>
        <v>0</v>
      </c>
      <c r="L25" s="23">
        <f>SUMIFS('Registre de reserves'!$R$2:$R$1178,'Registre de reserves'!$T$2:$T$1178,"SI",'Registre de reserves'!$I$2:$I$1178,'2024'!$A25,'Registre de reserves'!$B$2:$B$1178,'2024'!L$2,Tabla1[ANY],'2024'!$Z$2)</f>
        <v>0</v>
      </c>
      <c r="M25" s="21">
        <f t="shared" si="33"/>
        <v>0</v>
      </c>
      <c r="N25" s="23">
        <f>SUMIFS('Registre de reserves'!$R$2:$R$1178,'Registre de reserves'!$T$2:$T$1178,"SI",'Registre de reserves'!$I$2:$I$1178,'2024'!$A25,'Registre de reserves'!$B$2:$B$1178,'2024'!N$2,Tabla1[ANY],'2024'!$Z$2)</f>
        <v>0</v>
      </c>
      <c r="O25" s="21">
        <f t="shared" si="34"/>
        <v>0</v>
      </c>
      <c r="P25" s="23">
        <f>SUMIFS('Registre de reserves'!$R$2:$R$1178,'Registre de reserves'!$T$2:$T$1178,"SI",'Registre de reserves'!$I$2:$I$1178,'2024'!$A25,'Registre de reserves'!$B$2:$B$1178,'2024'!P$2,Tabla1[ANY],'2024'!$Z$2)</f>
        <v>0</v>
      </c>
      <c r="Q25" s="21">
        <f t="shared" si="35"/>
        <v>0</v>
      </c>
      <c r="R25" s="23">
        <f>SUMIFS('Registre de reserves'!$R$2:$R$1178,'Registre de reserves'!$T$2:$T$1178,"SI",'Registre de reserves'!$I$2:$I$1178,'2024'!$A25,'Registre de reserves'!$B$2:$B$1178,'2024'!R$2,Tabla1[ANY],'2024'!$Z$2)</f>
        <v>0</v>
      </c>
      <c r="S25" s="21">
        <f t="shared" si="36"/>
        <v>0</v>
      </c>
      <c r="T25" s="23">
        <f>SUMIFS('Registre de reserves'!$R$2:$R$1178,'Registre de reserves'!$T$2:$T$1178,"SI",'Registre de reserves'!$I$2:$I$1178,'2024'!$A25,'Registre de reserves'!$B$2:$B$1178,'2024'!T$2,Tabla1[ANY],'2024'!$Z$2)</f>
        <v>0</v>
      </c>
      <c r="U25" s="21">
        <f t="shared" si="37"/>
        <v>0</v>
      </c>
      <c r="V25" s="23">
        <f>SUMIFS('Registre de reserves'!$R$2:$R$1178,'Registre de reserves'!$T$2:$T$1178,"SI",'Registre de reserves'!$I$2:$I$1178,'2024'!$A25,'Registre de reserves'!$B$2:$B$1178,'2024'!V$2,Tabla1[ANY],'2024'!$Z$2)</f>
        <v>0</v>
      </c>
      <c r="W25" s="21">
        <f t="shared" si="38"/>
        <v>0</v>
      </c>
      <c r="X25" s="23">
        <f>SUMIFS('Registre de reserves'!$R$2:$R$1178,'Registre de reserves'!$T$2:$T$1178,"SI",'Registre de reserves'!$I$2:$I$1178,'2024'!$A25,'Registre de reserves'!$B$2:$B$1178,'2024'!X$2,Tabla1[ANY],'2024'!$Z$2)</f>
        <v>0</v>
      </c>
      <c r="Y25" s="21">
        <f t="shared" si="39"/>
        <v>0</v>
      </c>
      <c r="Z25" s="20">
        <f t="shared" si="41"/>
        <v>0</v>
      </c>
      <c r="AA25" s="21">
        <f t="shared" si="42"/>
        <v>0</v>
      </c>
      <c r="AB25" s="178">
        <f t="shared" si="2"/>
        <v>0</v>
      </c>
      <c r="AC25" s="178">
        <v>17.5</v>
      </c>
    </row>
    <row r="26" spans="1:29" hidden="1" outlineLevel="1" x14ac:dyDescent="0.2">
      <c r="A26" s="8" t="s">
        <v>71</v>
      </c>
      <c r="B26" s="23">
        <f>SUMIFS('Registre de reserves'!$R$2:$R$1178,'Registre de reserves'!$T$2:$T$1178,"SI",'Registre de reserves'!$I$2:$I$1178,'2024'!$A26,'Registre de reserves'!$B$2:$B$1178,'2024'!B$2,Tabla1[ANY],'2024'!$Z$2)</f>
        <v>0</v>
      </c>
      <c r="C26" s="21">
        <f t="shared" si="40"/>
        <v>0</v>
      </c>
      <c r="D26" s="23">
        <f>SUMIFS('Registre de reserves'!$R$2:$R$1178,'Registre de reserves'!$T$2:$T$1178,"SI",'Registre de reserves'!$I$2:$I$1178,'2024'!$A26,'Registre de reserves'!$B$2:$B$1178,'2024'!D$2,Tabla1[ANY],'2024'!$Z$2)</f>
        <v>0</v>
      </c>
      <c r="E26" s="21">
        <f t="shared" si="40"/>
        <v>0</v>
      </c>
      <c r="F26" s="23">
        <f>SUMIFS('Registre de reserves'!$R$2:$R$1178,'Registre de reserves'!$T$2:$T$1178,"SI",'Registre de reserves'!$I$2:$I$1178,'2024'!$A26,'Registre de reserves'!$B$2:$B$1178,'2024'!F$2,Tabla1[ANY],'2024'!$Z$2)</f>
        <v>0</v>
      </c>
      <c r="G26" s="21">
        <f t="shared" si="30"/>
        <v>0</v>
      </c>
      <c r="H26" s="23">
        <f>SUMIFS('Registre de reserves'!$R$2:$R$1178,'Registre de reserves'!$T$2:$T$1178,"SI",'Registre de reserves'!$I$2:$I$1178,'2024'!$A26,'Registre de reserves'!$B$2:$B$1178,'2024'!H$2,Tabla1[ANY],'2024'!$Z$2)</f>
        <v>0</v>
      </c>
      <c r="I26" s="21">
        <f t="shared" si="31"/>
        <v>0</v>
      </c>
      <c r="J26" s="23">
        <f>SUMIFS('Registre de reserves'!$R$2:$R$1178,'Registre de reserves'!$T$2:$T$1178,"SI",'Registre de reserves'!$I$2:$I$1178,'2024'!$A26,'Registre de reserves'!$B$2:$B$1178,'2024'!J$2,Tabla1[ANY],'2024'!$Z$2)</f>
        <v>0</v>
      </c>
      <c r="K26" s="21">
        <f t="shared" si="32"/>
        <v>0</v>
      </c>
      <c r="L26" s="23">
        <f>SUMIFS('Registre de reserves'!$R$2:$R$1178,'Registre de reserves'!$T$2:$T$1178,"SI",'Registre de reserves'!$I$2:$I$1178,'2024'!$A26,'Registre de reserves'!$B$2:$B$1178,'2024'!L$2,Tabla1[ANY],'2024'!$Z$2)</f>
        <v>0</v>
      </c>
      <c r="M26" s="21">
        <f t="shared" si="33"/>
        <v>0</v>
      </c>
      <c r="N26" s="23">
        <f>SUMIFS('Registre de reserves'!$R$2:$R$1178,'Registre de reserves'!$T$2:$T$1178,"SI",'Registre de reserves'!$I$2:$I$1178,'2024'!$A26,'Registre de reserves'!$B$2:$B$1178,'2024'!N$2,Tabla1[ANY],'2024'!$Z$2)</f>
        <v>0</v>
      </c>
      <c r="O26" s="21">
        <f t="shared" si="34"/>
        <v>0</v>
      </c>
      <c r="P26" s="23">
        <f>SUMIFS('Registre de reserves'!$R$2:$R$1178,'Registre de reserves'!$T$2:$T$1178,"SI",'Registre de reserves'!$I$2:$I$1178,'2024'!$A26,'Registre de reserves'!$B$2:$B$1178,'2024'!P$2,Tabla1[ANY],'2024'!$Z$2)</f>
        <v>0</v>
      </c>
      <c r="Q26" s="21">
        <f t="shared" si="35"/>
        <v>0</v>
      </c>
      <c r="R26" s="23">
        <f>SUMIFS('Registre de reserves'!$R$2:$R$1178,'Registre de reserves'!$T$2:$T$1178,"SI",'Registre de reserves'!$I$2:$I$1178,'2024'!$A26,'Registre de reserves'!$B$2:$B$1178,'2024'!R$2,Tabla1[ANY],'2024'!$Z$2)</f>
        <v>0</v>
      </c>
      <c r="S26" s="21">
        <f t="shared" si="36"/>
        <v>0</v>
      </c>
      <c r="T26" s="23">
        <f>SUMIFS('Registre de reserves'!$R$2:$R$1178,'Registre de reserves'!$T$2:$T$1178,"SI",'Registre de reserves'!$I$2:$I$1178,'2024'!$A26,'Registre de reserves'!$B$2:$B$1178,'2024'!T$2,Tabla1[ANY],'2024'!$Z$2)</f>
        <v>0</v>
      </c>
      <c r="U26" s="21">
        <f t="shared" si="37"/>
        <v>0</v>
      </c>
      <c r="V26" s="23">
        <f>SUMIFS('Registre de reserves'!$R$2:$R$1178,'Registre de reserves'!$T$2:$T$1178,"SI",'Registre de reserves'!$I$2:$I$1178,'2024'!$A26,'Registre de reserves'!$B$2:$B$1178,'2024'!V$2,Tabla1[ANY],'2024'!$Z$2)</f>
        <v>0</v>
      </c>
      <c r="W26" s="21">
        <f t="shared" si="38"/>
        <v>0</v>
      </c>
      <c r="X26" s="23">
        <f>SUMIFS('Registre de reserves'!$R$2:$R$1178,'Registre de reserves'!$T$2:$T$1178,"SI",'Registre de reserves'!$I$2:$I$1178,'2024'!$A26,'Registre de reserves'!$B$2:$B$1178,'2024'!X$2,Tabla1[ANY],'2024'!$Z$2)</f>
        <v>0</v>
      </c>
      <c r="Y26" s="21">
        <f t="shared" si="39"/>
        <v>0</v>
      </c>
      <c r="Z26" s="20">
        <f t="shared" si="41"/>
        <v>0</v>
      </c>
      <c r="AA26" s="21">
        <f t="shared" si="42"/>
        <v>0</v>
      </c>
      <c r="AB26" s="178">
        <f t="shared" si="2"/>
        <v>0</v>
      </c>
      <c r="AC26" s="178">
        <v>0</v>
      </c>
    </row>
    <row r="27" spans="1:29" hidden="1" outlineLevel="1" x14ac:dyDescent="0.2">
      <c r="A27" s="8" t="s">
        <v>72</v>
      </c>
      <c r="B27" s="23">
        <f>SUMIFS('Registre de reserves'!$R$2:$R$1178,'Registre de reserves'!$T$2:$T$1178,"SI",'Registre de reserves'!$I$2:$I$1178,'2024'!$A27,'Registre de reserves'!$B$2:$B$1178,'2024'!B$2,Tabla1[ANY],'2024'!$Z$2)</f>
        <v>0</v>
      </c>
      <c r="C27" s="21">
        <f t="shared" si="40"/>
        <v>0</v>
      </c>
      <c r="D27" s="23">
        <f>SUMIFS('Registre de reserves'!$R$2:$R$1178,'Registre de reserves'!$T$2:$T$1178,"SI",'Registre de reserves'!$I$2:$I$1178,'2024'!$A27,'Registre de reserves'!$B$2:$B$1178,'2024'!D$2,Tabla1[ANY],'2024'!$Z$2)</f>
        <v>0</v>
      </c>
      <c r="E27" s="21">
        <f t="shared" si="40"/>
        <v>0</v>
      </c>
      <c r="F27" s="23">
        <f>SUMIFS('Registre de reserves'!$R$2:$R$1178,'Registre de reserves'!$T$2:$T$1178,"SI",'Registre de reserves'!$I$2:$I$1178,'2024'!$A27,'Registre de reserves'!$B$2:$B$1178,'2024'!F$2,Tabla1[ANY],'2024'!$Z$2)</f>
        <v>0</v>
      </c>
      <c r="G27" s="21">
        <f t="shared" si="30"/>
        <v>0</v>
      </c>
      <c r="H27" s="23">
        <f>SUMIFS('Registre de reserves'!$R$2:$R$1178,'Registre de reserves'!$T$2:$T$1178,"SI",'Registre de reserves'!$I$2:$I$1178,'2024'!$A27,'Registre de reserves'!$B$2:$B$1178,'2024'!H$2,Tabla1[ANY],'2024'!$Z$2)</f>
        <v>0</v>
      </c>
      <c r="I27" s="21">
        <f t="shared" si="31"/>
        <v>0</v>
      </c>
      <c r="J27" s="23">
        <f>SUMIFS('Registre de reserves'!$R$2:$R$1178,'Registre de reserves'!$T$2:$T$1178,"SI",'Registre de reserves'!$I$2:$I$1178,'2024'!$A27,'Registre de reserves'!$B$2:$B$1178,'2024'!J$2,Tabla1[ANY],'2024'!$Z$2)</f>
        <v>0</v>
      </c>
      <c r="K27" s="21">
        <f t="shared" si="32"/>
        <v>0</v>
      </c>
      <c r="L27" s="23">
        <f>SUMIFS('Registre de reserves'!$R$2:$R$1178,'Registre de reserves'!$T$2:$T$1178,"SI",'Registre de reserves'!$I$2:$I$1178,'2024'!$A27,'Registre de reserves'!$B$2:$B$1178,'2024'!L$2,Tabla1[ANY],'2024'!$Z$2)</f>
        <v>0</v>
      </c>
      <c r="M27" s="21">
        <f t="shared" si="33"/>
        <v>0</v>
      </c>
      <c r="N27" s="23">
        <f>SUMIFS('Registre de reserves'!$R$2:$R$1178,'Registre de reserves'!$T$2:$T$1178,"SI",'Registre de reserves'!$I$2:$I$1178,'2024'!$A27,'Registre de reserves'!$B$2:$B$1178,'2024'!N$2,Tabla1[ANY],'2024'!$Z$2)</f>
        <v>0</v>
      </c>
      <c r="O27" s="21">
        <f t="shared" si="34"/>
        <v>0</v>
      </c>
      <c r="P27" s="23">
        <f>SUMIFS('Registre de reserves'!$R$2:$R$1178,'Registre de reserves'!$T$2:$T$1178,"SI",'Registre de reserves'!$I$2:$I$1178,'2024'!$A27,'Registre de reserves'!$B$2:$B$1178,'2024'!P$2,Tabla1[ANY],'2024'!$Z$2)</f>
        <v>0</v>
      </c>
      <c r="Q27" s="21">
        <f t="shared" si="35"/>
        <v>0</v>
      </c>
      <c r="R27" s="23">
        <f>SUMIFS('Registre de reserves'!$R$2:$R$1178,'Registre de reserves'!$T$2:$T$1178,"SI",'Registre de reserves'!$I$2:$I$1178,'2024'!$A27,'Registre de reserves'!$B$2:$B$1178,'2024'!R$2,Tabla1[ANY],'2024'!$Z$2)</f>
        <v>0</v>
      </c>
      <c r="S27" s="21">
        <f t="shared" si="36"/>
        <v>0</v>
      </c>
      <c r="T27" s="23">
        <f>SUMIFS('Registre de reserves'!$R$2:$R$1178,'Registre de reserves'!$T$2:$T$1178,"SI",'Registre de reserves'!$I$2:$I$1178,'2024'!$A27,'Registre de reserves'!$B$2:$B$1178,'2024'!T$2,Tabla1[ANY],'2024'!$Z$2)</f>
        <v>0</v>
      </c>
      <c r="U27" s="21">
        <f t="shared" si="37"/>
        <v>0</v>
      </c>
      <c r="V27" s="23">
        <f>SUMIFS('Registre de reserves'!$R$2:$R$1178,'Registre de reserves'!$T$2:$T$1178,"SI",'Registre de reserves'!$I$2:$I$1178,'2024'!$A27,'Registre de reserves'!$B$2:$B$1178,'2024'!V$2,Tabla1[ANY],'2024'!$Z$2)</f>
        <v>0</v>
      </c>
      <c r="W27" s="21">
        <f t="shared" si="38"/>
        <v>0</v>
      </c>
      <c r="X27" s="23">
        <f>SUMIFS('Registre de reserves'!$R$2:$R$1178,'Registre de reserves'!$T$2:$T$1178,"SI",'Registre de reserves'!$I$2:$I$1178,'2024'!$A27,'Registre de reserves'!$B$2:$B$1178,'2024'!X$2,Tabla1[ANY],'2024'!$Z$2)</f>
        <v>0</v>
      </c>
      <c r="Y27" s="21">
        <f t="shared" si="39"/>
        <v>0</v>
      </c>
      <c r="Z27" s="20">
        <f t="shared" si="41"/>
        <v>0</v>
      </c>
      <c r="AA27" s="21">
        <f t="shared" si="42"/>
        <v>0</v>
      </c>
      <c r="AB27" s="178">
        <f t="shared" si="2"/>
        <v>0</v>
      </c>
      <c r="AC27" s="178">
        <v>0</v>
      </c>
    </row>
    <row r="28" spans="1:29" hidden="1" outlineLevel="1" x14ac:dyDescent="0.2">
      <c r="A28" s="8" t="s">
        <v>69</v>
      </c>
      <c r="B28" s="23">
        <f>SUMIFS('Registre de reserves'!$R$2:$R$1178,'Registre de reserves'!$T$2:$T$1178,"SI",'Registre de reserves'!$I$2:$I$1178,'2024'!$A28,'Registre de reserves'!$B$2:$B$1178,'2024'!B$2,Tabla1[ANY],'2024'!$Z$2)</f>
        <v>240</v>
      </c>
      <c r="C28" s="21">
        <f t="shared" si="40"/>
        <v>0.75</v>
      </c>
      <c r="D28" s="23">
        <f>SUMIFS('Registre de reserves'!$R$2:$R$1178,'Registre de reserves'!$T$2:$T$1178,"SI",'Registre de reserves'!$I$2:$I$1178,'2024'!$A28,'Registre de reserves'!$B$2:$B$1178,'2024'!D$2,Tabla1[ANY],'2024'!$Z$2)</f>
        <v>600</v>
      </c>
      <c r="E28" s="21">
        <f t="shared" si="40"/>
        <v>0.98360655737704916</v>
      </c>
      <c r="F28" s="23">
        <f>SUMIFS('Registre de reserves'!$R$2:$R$1178,'Registre de reserves'!$T$2:$T$1178,"SI",'Registre de reserves'!$I$2:$I$1178,'2024'!$A28,'Registre de reserves'!$B$2:$B$1178,'2024'!F$2,Tabla1[ANY],'2024'!$Z$2)</f>
        <v>240</v>
      </c>
      <c r="G28" s="21">
        <f t="shared" si="30"/>
        <v>1</v>
      </c>
      <c r="H28" s="23">
        <f>SUMIFS('Registre de reserves'!$R$2:$R$1178,'Registre de reserves'!$T$2:$T$1178,"SI",'Registre de reserves'!$I$2:$I$1178,'2024'!$A28,'Registre de reserves'!$B$2:$B$1178,'2024'!H$2,Tabla1[ANY],'2024'!$Z$2)</f>
        <v>570</v>
      </c>
      <c r="I28" s="21">
        <f t="shared" si="31"/>
        <v>0.98275862068965514</v>
      </c>
      <c r="J28" s="23">
        <f>SUMIFS('Registre de reserves'!$R$2:$R$1178,'Registre de reserves'!$T$2:$T$1178,"SI",'Registre de reserves'!$I$2:$I$1178,'2024'!$A28,'Registre de reserves'!$B$2:$B$1178,'2024'!J$2,Tabla1[ANY],'2024'!$Z$2)</f>
        <v>180</v>
      </c>
      <c r="K28" s="21">
        <f t="shared" si="32"/>
        <v>0.52941176470588236</v>
      </c>
      <c r="L28" s="23">
        <f>SUMIFS('Registre de reserves'!$R$2:$R$1178,'Registre de reserves'!$T$2:$T$1178,"SI",'Registre de reserves'!$I$2:$I$1178,'2024'!$A28,'Registre de reserves'!$B$2:$B$1178,'2024'!L$2,Tabla1[ANY],'2024'!$Z$2)</f>
        <v>0</v>
      </c>
      <c r="M28" s="21">
        <f t="shared" si="33"/>
        <v>0</v>
      </c>
      <c r="N28" s="23">
        <f>SUMIFS('Registre de reserves'!$R$2:$R$1178,'Registre de reserves'!$T$2:$T$1178,"SI",'Registre de reserves'!$I$2:$I$1178,'2024'!$A28,'Registre de reserves'!$B$2:$B$1178,'2024'!N$2,Tabla1[ANY],'2024'!$Z$2)</f>
        <v>180</v>
      </c>
      <c r="O28" s="21">
        <f t="shared" si="34"/>
        <v>1</v>
      </c>
      <c r="P28" s="23">
        <f>SUMIFS('Registre de reserves'!$R$2:$R$1178,'Registre de reserves'!$T$2:$T$1178,"SI",'Registre de reserves'!$I$2:$I$1178,'2024'!$A28,'Registre de reserves'!$B$2:$B$1178,'2024'!P$2,Tabla1[ANY],'2024'!$Z$2)</f>
        <v>60</v>
      </c>
      <c r="Q28" s="21">
        <f t="shared" si="35"/>
        <v>0.75</v>
      </c>
      <c r="R28" s="23">
        <f>SUMIFS('Registre de reserves'!$R$2:$R$1178,'Registre de reserves'!$T$2:$T$1178,"SI",'Registre de reserves'!$I$2:$I$1178,'2024'!$A28,'Registre de reserves'!$B$2:$B$1178,'2024'!R$2,Tabla1[ANY],'2024'!$Z$2)</f>
        <v>180</v>
      </c>
      <c r="S28" s="21">
        <f t="shared" si="36"/>
        <v>1</v>
      </c>
      <c r="T28" s="23">
        <f>SUMIFS('Registre de reserves'!$R$2:$R$1178,'Registre de reserves'!$T$2:$T$1178,"SI",'Registre de reserves'!$I$2:$I$1178,'2024'!$A28,'Registre de reserves'!$B$2:$B$1178,'2024'!T$2,Tabla1[ANY],'2024'!$Z$2)</f>
        <v>120</v>
      </c>
      <c r="U28" s="21">
        <f t="shared" si="37"/>
        <v>1</v>
      </c>
      <c r="V28" s="23">
        <f>SUMIFS('Registre de reserves'!$R$2:$R$1178,'Registre de reserves'!$T$2:$T$1178,"SI",'Registre de reserves'!$I$2:$I$1178,'2024'!$A28,'Registre de reserves'!$B$2:$B$1178,'2024'!V$2,Tabla1[ANY],'2024'!$Z$2)</f>
        <v>450</v>
      </c>
      <c r="W28" s="21">
        <f t="shared" si="38"/>
        <v>0.95744680851063835</v>
      </c>
      <c r="X28" s="23">
        <f>SUMIFS('Registre de reserves'!$R$2:$R$1178,'Registre de reserves'!$T$2:$T$1178,"SI",'Registre de reserves'!$I$2:$I$1178,'2024'!$A28,'Registre de reserves'!$B$2:$B$1178,'2024'!X$2,Tabla1[ANY],'2024'!$Z$2)</f>
        <v>340</v>
      </c>
      <c r="Y28" s="21">
        <f t="shared" si="39"/>
        <v>1</v>
      </c>
      <c r="Z28" s="20">
        <f t="shared" si="41"/>
        <v>3160</v>
      </c>
      <c r="AA28" s="21">
        <f t="shared" si="42"/>
        <v>0.8729281767955801</v>
      </c>
      <c r="AB28" s="178">
        <f t="shared" si="2"/>
        <v>263.33333333333331</v>
      </c>
      <c r="AC28" s="178">
        <v>168.33333333333334</v>
      </c>
    </row>
    <row r="29" spans="1:29" hidden="1" outlineLevel="1" x14ac:dyDescent="0.2">
      <c r="A29" s="8" t="s">
        <v>70</v>
      </c>
      <c r="B29" s="23">
        <f>SUMIFS('Registre de reserves'!$R$2:$R$1178,'Registre de reserves'!$T$2:$T$1178,"SI",'Registre de reserves'!$I$2:$I$1178,'2024'!$A29,'Registre de reserves'!$B$2:$B$1178,'2024'!B$2,Tabla1[ANY],'2024'!$Z$2)</f>
        <v>60</v>
      </c>
      <c r="C29" s="21">
        <f t="shared" si="40"/>
        <v>0.1875</v>
      </c>
      <c r="D29" s="23">
        <f>SUMIFS('Registre de reserves'!$R$2:$R$1178,'Registre de reserves'!$T$2:$T$1178,"SI",'Registre de reserves'!$I$2:$I$1178,'2024'!$A29,'Registre de reserves'!$B$2:$B$1178,'2024'!D$2,Tabla1[ANY],'2024'!$Z$2)</f>
        <v>0</v>
      </c>
      <c r="E29" s="21">
        <f t="shared" si="40"/>
        <v>0</v>
      </c>
      <c r="F29" s="23">
        <f>SUMIFS('Registre de reserves'!$R$2:$R$1178,'Registre de reserves'!$T$2:$T$1178,"SI",'Registre de reserves'!$I$2:$I$1178,'2024'!$A29,'Registre de reserves'!$B$2:$B$1178,'2024'!F$2,Tabla1[ANY],'2024'!$Z$2)</f>
        <v>0</v>
      </c>
      <c r="G29" s="21">
        <f t="shared" si="30"/>
        <v>0</v>
      </c>
      <c r="H29" s="23">
        <f>SUMIFS('Registre de reserves'!$R$2:$R$1178,'Registre de reserves'!$T$2:$T$1178,"SI",'Registre de reserves'!$I$2:$I$1178,'2024'!$A29,'Registre de reserves'!$B$2:$B$1178,'2024'!H$2,Tabla1[ANY],'2024'!$Z$2)</f>
        <v>0</v>
      </c>
      <c r="I29" s="21">
        <f t="shared" si="31"/>
        <v>0</v>
      </c>
      <c r="J29" s="23">
        <f>SUMIFS('Registre de reserves'!$R$2:$R$1178,'Registre de reserves'!$T$2:$T$1178,"SI",'Registre de reserves'!$I$2:$I$1178,'2024'!$A29,'Registre de reserves'!$B$2:$B$1178,'2024'!J$2,Tabla1[ANY],'2024'!$Z$2)</f>
        <v>160</v>
      </c>
      <c r="K29" s="21">
        <f t="shared" si="32"/>
        <v>0.47058823529411764</v>
      </c>
      <c r="L29" s="23">
        <f>SUMIFS('Registre de reserves'!$R$2:$R$1178,'Registre de reserves'!$T$2:$T$1178,"SI",'Registre de reserves'!$I$2:$I$1178,'2024'!$A29,'Registre de reserves'!$B$2:$B$1178,'2024'!L$2,Tabla1[ANY],'2024'!$Z$2)</f>
        <v>120</v>
      </c>
      <c r="M29" s="21">
        <f t="shared" si="33"/>
        <v>0.75</v>
      </c>
      <c r="N29" s="23">
        <f>SUMIFS('Registre de reserves'!$R$2:$R$1178,'Registre de reserves'!$T$2:$T$1178,"SI",'Registre de reserves'!$I$2:$I$1178,'2024'!$A29,'Registre de reserves'!$B$2:$B$1178,'2024'!N$2,Tabla1[ANY],'2024'!$Z$2)</f>
        <v>0</v>
      </c>
      <c r="O29" s="21">
        <f t="shared" si="34"/>
        <v>0</v>
      </c>
      <c r="P29" s="23">
        <f>SUMIFS('Registre de reserves'!$R$2:$R$1178,'Registre de reserves'!$T$2:$T$1178,"SI",'Registre de reserves'!$I$2:$I$1178,'2024'!$A29,'Registre de reserves'!$B$2:$B$1178,'2024'!P$2,Tabla1[ANY],'2024'!$Z$2)</f>
        <v>0</v>
      </c>
      <c r="Q29" s="21">
        <f t="shared" si="35"/>
        <v>0</v>
      </c>
      <c r="R29" s="23">
        <f>SUMIFS('Registre de reserves'!$R$2:$R$1178,'Registre de reserves'!$T$2:$T$1178,"SI",'Registre de reserves'!$I$2:$I$1178,'2024'!$A29,'Registre de reserves'!$B$2:$B$1178,'2024'!R$2,Tabla1[ANY],'2024'!$Z$2)</f>
        <v>0</v>
      </c>
      <c r="S29" s="21">
        <f t="shared" si="36"/>
        <v>0</v>
      </c>
      <c r="T29" s="23">
        <f>SUMIFS('Registre de reserves'!$R$2:$R$1178,'Registre de reserves'!$T$2:$T$1178,"SI",'Registre de reserves'!$I$2:$I$1178,'2024'!$A29,'Registre de reserves'!$B$2:$B$1178,'2024'!T$2,Tabla1[ANY],'2024'!$Z$2)</f>
        <v>0</v>
      </c>
      <c r="U29" s="21">
        <f t="shared" si="37"/>
        <v>0</v>
      </c>
      <c r="V29" s="23">
        <f>SUMIFS('Registre de reserves'!$R$2:$R$1178,'Registre de reserves'!$T$2:$T$1178,"SI",'Registre de reserves'!$I$2:$I$1178,'2024'!$A29,'Registre de reserves'!$B$2:$B$1178,'2024'!V$2,Tabla1[ANY],'2024'!$Z$2)</f>
        <v>0</v>
      </c>
      <c r="W29" s="21">
        <f t="shared" si="38"/>
        <v>0</v>
      </c>
      <c r="X29" s="23">
        <f>SUMIFS('Registre de reserves'!$R$2:$R$1178,'Registre de reserves'!$T$2:$T$1178,"SI",'Registre de reserves'!$I$2:$I$1178,'2024'!$A29,'Registre de reserves'!$B$2:$B$1178,'2024'!X$2,Tabla1[ANY],'2024'!$Z$2)</f>
        <v>0</v>
      </c>
      <c r="Y29" s="21">
        <f t="shared" si="39"/>
        <v>0</v>
      </c>
      <c r="Z29" s="20">
        <f t="shared" si="41"/>
        <v>340</v>
      </c>
      <c r="AA29" s="21">
        <f t="shared" si="42"/>
        <v>9.3922651933701654E-2</v>
      </c>
      <c r="AB29" s="178">
        <f t="shared" si="2"/>
        <v>28.333333333333332</v>
      </c>
      <c r="AC29" s="178">
        <v>26.25</v>
      </c>
    </row>
    <row r="30" spans="1:29" hidden="1" outlineLevel="1" x14ac:dyDescent="0.2">
      <c r="A30" s="8" t="s">
        <v>73</v>
      </c>
      <c r="B30" s="23">
        <f>SUMIFS('Registre de reserves'!$R$2:$R$1178,'Registre de reserves'!$T$2:$T$1178,"SI",'Registre de reserves'!$I$2:$I$1178,'2024'!$A30,'Registre de reserves'!$B$2:$B$1178,'2024'!B$2,Tabla1[ANY],'2024'!$Z$2)</f>
        <v>0</v>
      </c>
      <c r="C30" s="21">
        <f t="shared" si="40"/>
        <v>0</v>
      </c>
      <c r="D30" s="23">
        <f>SUMIFS('Registre de reserves'!$R$2:$R$1178,'Registre de reserves'!$T$2:$T$1178,"SI",'Registre de reserves'!$I$2:$I$1178,'2024'!$A30,'Registre de reserves'!$B$2:$B$1178,'2024'!D$2,Tabla1[ANY],'2024'!$Z$2)</f>
        <v>0</v>
      </c>
      <c r="E30" s="21">
        <f t="shared" si="40"/>
        <v>0</v>
      </c>
      <c r="F30" s="23">
        <f>SUMIFS('Registre de reserves'!$R$2:$R$1178,'Registre de reserves'!$T$2:$T$1178,"SI",'Registre de reserves'!$I$2:$I$1178,'2024'!$A30,'Registre de reserves'!$B$2:$B$1178,'2024'!F$2,Tabla1[ANY],'2024'!$Z$2)</f>
        <v>0</v>
      </c>
      <c r="G30" s="21">
        <f t="shared" si="30"/>
        <v>0</v>
      </c>
      <c r="H30" s="23">
        <f>SUMIFS('Registre de reserves'!$R$2:$R$1178,'Registre de reserves'!$T$2:$T$1178,"SI",'Registre de reserves'!$I$2:$I$1178,'2024'!$A30,'Registre de reserves'!$B$2:$B$1178,'2024'!H$2,Tabla1[ANY],'2024'!$Z$2)</f>
        <v>0</v>
      </c>
      <c r="I30" s="21">
        <f t="shared" si="31"/>
        <v>0</v>
      </c>
      <c r="J30" s="23">
        <f>SUMIFS('Registre de reserves'!$R$2:$R$1178,'Registre de reserves'!$T$2:$T$1178,"SI",'Registre de reserves'!$I$2:$I$1178,'2024'!$A30,'Registre de reserves'!$B$2:$B$1178,'2024'!J$2,Tabla1[ANY],'2024'!$Z$2)</f>
        <v>0</v>
      </c>
      <c r="K30" s="21">
        <f t="shared" si="32"/>
        <v>0</v>
      </c>
      <c r="L30" s="23">
        <f>SUMIFS('Registre de reserves'!$R$2:$R$1178,'Registre de reserves'!$T$2:$T$1178,"SI",'Registre de reserves'!$I$2:$I$1178,'2024'!$A30,'Registre de reserves'!$B$2:$B$1178,'2024'!L$2,Tabla1[ANY],'2024'!$Z$2)</f>
        <v>20</v>
      </c>
      <c r="M30" s="21">
        <f t="shared" si="33"/>
        <v>0.125</v>
      </c>
      <c r="N30" s="23">
        <f>SUMIFS('Registre de reserves'!$R$2:$R$1178,'Registre de reserves'!$T$2:$T$1178,"SI",'Registre de reserves'!$I$2:$I$1178,'2024'!$A30,'Registre de reserves'!$B$2:$B$1178,'2024'!N$2,Tabla1[ANY],'2024'!$Z$2)</f>
        <v>0</v>
      </c>
      <c r="O30" s="21">
        <f t="shared" si="34"/>
        <v>0</v>
      </c>
      <c r="P30" s="23">
        <f>SUMIFS('Registre de reserves'!$R$2:$R$1178,'Registre de reserves'!$T$2:$T$1178,"SI",'Registre de reserves'!$I$2:$I$1178,'2024'!$A30,'Registre de reserves'!$B$2:$B$1178,'2024'!P$2,Tabla1[ANY],'2024'!$Z$2)</f>
        <v>0</v>
      </c>
      <c r="Q30" s="21">
        <f t="shared" si="35"/>
        <v>0</v>
      </c>
      <c r="R30" s="23">
        <f>SUMIFS('Registre de reserves'!$R$2:$R$1178,'Registre de reserves'!$T$2:$T$1178,"SI",'Registre de reserves'!$I$2:$I$1178,'2024'!$A30,'Registre de reserves'!$B$2:$B$1178,'2024'!R$2,Tabla1[ANY],'2024'!$Z$2)</f>
        <v>0</v>
      </c>
      <c r="S30" s="21">
        <f t="shared" si="36"/>
        <v>0</v>
      </c>
      <c r="T30" s="23">
        <f>SUMIFS('Registre de reserves'!$R$2:$R$1178,'Registre de reserves'!$T$2:$T$1178,"SI",'Registre de reserves'!$I$2:$I$1178,'2024'!$A30,'Registre de reserves'!$B$2:$B$1178,'2024'!T$2,Tabla1[ANY],'2024'!$Z$2)</f>
        <v>0</v>
      </c>
      <c r="U30" s="21">
        <f t="shared" si="37"/>
        <v>0</v>
      </c>
      <c r="V30" s="23">
        <f>SUMIFS('Registre de reserves'!$R$2:$R$1178,'Registre de reserves'!$T$2:$T$1178,"SI",'Registre de reserves'!$I$2:$I$1178,'2024'!$A30,'Registre de reserves'!$B$2:$B$1178,'2024'!V$2,Tabla1[ANY],'2024'!$Z$2)</f>
        <v>0</v>
      </c>
      <c r="W30" s="21">
        <f t="shared" si="38"/>
        <v>0</v>
      </c>
      <c r="X30" s="23">
        <f>SUMIFS('Registre de reserves'!$R$2:$R$1178,'Registre de reserves'!$T$2:$T$1178,"SI",'Registre de reserves'!$I$2:$I$1178,'2024'!$A30,'Registre de reserves'!$B$2:$B$1178,'2024'!X$2,Tabla1[ANY],'2024'!$Z$2)</f>
        <v>0</v>
      </c>
      <c r="Y30" s="21">
        <f t="shared" si="39"/>
        <v>0</v>
      </c>
      <c r="Z30" s="20">
        <f t="shared" si="41"/>
        <v>20</v>
      </c>
      <c r="AA30" s="21">
        <f t="shared" si="42"/>
        <v>5.5248618784530384E-3</v>
      </c>
      <c r="AB30" s="178">
        <f t="shared" si="2"/>
        <v>1.6666666666666667</v>
      </c>
      <c r="AC30" s="178">
        <v>0</v>
      </c>
    </row>
    <row r="31" spans="1:29" collapsed="1" x14ac:dyDescent="0.2">
      <c r="A31" s="33" t="s">
        <v>77</v>
      </c>
      <c r="B31" s="22">
        <f>SUM(B32:B39)</f>
        <v>0</v>
      </c>
      <c r="C31" s="19">
        <f>IF((B$31+B$13)=0,0,B31/(B$31+B$13))</f>
        <v>0</v>
      </c>
      <c r="D31" s="22">
        <f>SUM(D32:D39)</f>
        <v>0</v>
      </c>
      <c r="E31" s="19">
        <f>IF((D$31+D$13)=0,0,D31/(D$31+D$13))</f>
        <v>0</v>
      </c>
      <c r="F31" s="22">
        <f>SUM(F32:F39)</f>
        <v>0</v>
      </c>
      <c r="G31" s="19">
        <f>IF((F$31+F$13)=0,0,F31/(F$31+F$13))</f>
        <v>0</v>
      </c>
      <c r="H31" s="22">
        <f>SUM(H32:H39)</f>
        <v>0</v>
      </c>
      <c r="I31" s="19">
        <f>IF((H$31+H$13)=0,0,H31/(H$31+H$13))</f>
        <v>0</v>
      </c>
      <c r="J31" s="22">
        <f>SUM(J32:J39)</f>
        <v>0</v>
      </c>
      <c r="K31" s="19">
        <f>IF((J$31+J$13)=0,0,J31/(J$31+J$13))</f>
        <v>0</v>
      </c>
      <c r="L31" s="22">
        <f>SUM(L32:L39)</f>
        <v>0</v>
      </c>
      <c r="M31" s="19">
        <f>IF((L$31+L$13)=0,0,L31/(L$31+L$13))</f>
        <v>0</v>
      </c>
      <c r="N31" s="22">
        <f>SUM(N32:N39)</f>
        <v>0</v>
      </c>
      <c r="O31" s="19">
        <f>IF((N$31+N$13)=0,0,N31/(N$31+N$13))</f>
        <v>0</v>
      </c>
      <c r="P31" s="22">
        <f>SUM(P32:P39)</f>
        <v>0</v>
      </c>
      <c r="Q31" s="19">
        <f>IF((P$31+P$13)=0,0,P31/(P$31+P$13))</f>
        <v>0</v>
      </c>
      <c r="R31" s="22">
        <f>SUM(R32:R39)</f>
        <v>0</v>
      </c>
      <c r="S31" s="19">
        <f>IF((R$31+R$13)=0,0,R31/(R$31+R$13))</f>
        <v>0</v>
      </c>
      <c r="T31" s="22">
        <f>SUM(T32:T39)</f>
        <v>0</v>
      </c>
      <c r="U31" s="19">
        <f>IF((T$31+T$13)=0,0,T31/(T$31+T$13))</f>
        <v>0</v>
      </c>
      <c r="V31" s="22">
        <f>SUM(V32:V39)</f>
        <v>0</v>
      </c>
      <c r="W31" s="19">
        <f>IF((V$31+V$13)=0,0,V31/(V$31+V$13))</f>
        <v>0</v>
      </c>
      <c r="X31" s="22">
        <f>SUM(X32:X39)</f>
        <v>0</v>
      </c>
      <c r="Y31" s="19">
        <f>IF((X$31+X$13)=0,0,X31/(X$31+X$13))</f>
        <v>0</v>
      </c>
      <c r="Z31" s="22">
        <f>SUM(Z32:Z39)</f>
        <v>0</v>
      </c>
      <c r="AA31" s="19">
        <f>IF((Z$31+Z$13)=0,0,Z31/(Z$31+Z$13))</f>
        <v>0</v>
      </c>
      <c r="AB31" s="178">
        <f t="shared" si="2"/>
        <v>0</v>
      </c>
      <c r="AC31" s="178">
        <v>0</v>
      </c>
    </row>
    <row r="32" spans="1:29" hidden="1" outlineLevel="1" x14ac:dyDescent="0.2">
      <c r="A32" s="8" t="s">
        <v>67</v>
      </c>
      <c r="B32" s="23">
        <f>SUMIFS('Registre de reserves'!$R$2:$R$1178,'Registre de reserves'!$T$2:$T$1178,"NO",'Registre de reserves'!$I$2:$I$1178,'2024'!$A32,'Registre de reserves'!$B$2:$B$1178,'2024'!B$2,Tabla1[ANY],'2024'!$Z$2)</f>
        <v>0</v>
      </c>
      <c r="C32" s="21">
        <f>IF(B$31=0,0,B32/B$31)</f>
        <v>0</v>
      </c>
      <c r="D32" s="23">
        <f>SUMIFS('Registre de reserves'!$R$2:$R$1178,'Registre de reserves'!$T$2:$T$1178,"NO",'Registre de reserves'!$I$2:$I$1178,'2024'!$A32,'Registre de reserves'!$B$2:$B$1178,'2024'!D$2,Tabla1[ANY],'2024'!$Z$2)</f>
        <v>0</v>
      </c>
      <c r="E32" s="21">
        <f>IF(D$31=0,0,D32/D$31)</f>
        <v>0</v>
      </c>
      <c r="F32" s="23">
        <f>SUMIFS('Registre de reserves'!$R$2:$R$1178,'Registre de reserves'!$T$2:$T$1178,"NO",'Registre de reserves'!$I$2:$I$1178,'2024'!$A32,'Registre de reserves'!$B$2:$B$1178,'2024'!F$2,Tabla1[ANY],'2024'!$Z$2)</f>
        <v>0</v>
      </c>
      <c r="G32" s="21">
        <f t="shared" ref="G32:G39" si="43">IF(F$31=0,0,F32/F$31)</f>
        <v>0</v>
      </c>
      <c r="H32" s="23">
        <f>SUMIFS('Registre de reserves'!$R$2:$R$1178,'Registre de reserves'!$T$2:$T$1178,"NO",'Registre de reserves'!$I$2:$I$1178,'2024'!$A32,'Registre de reserves'!$B$2:$B$1178,'2024'!H$2,Tabla1[ANY],'2024'!$Z$2)</f>
        <v>0</v>
      </c>
      <c r="I32" s="21">
        <f t="shared" ref="I32:I39" si="44">IF(H$31=0,0,H32/H$31)</f>
        <v>0</v>
      </c>
      <c r="J32" s="23">
        <f>SUMIFS('Registre de reserves'!$R$2:$R$1178,'Registre de reserves'!$T$2:$T$1178,"NO",'Registre de reserves'!$I$2:$I$1178,'2024'!$A32,'Registre de reserves'!$B$2:$B$1178,'2024'!J$2,Tabla1[ANY],'2024'!$Z$2)</f>
        <v>0</v>
      </c>
      <c r="K32" s="21">
        <f t="shared" ref="K32:K39" si="45">IF(J$31=0,0,J32/J$31)</f>
        <v>0</v>
      </c>
      <c r="L32" s="23">
        <f>SUMIFS('Registre de reserves'!$R$2:$R$1178,'Registre de reserves'!$T$2:$T$1178,"NO",'Registre de reserves'!$I$2:$I$1178,'2024'!$A32,'Registre de reserves'!$B$2:$B$1178,'2024'!L$2,Tabla1[ANY],'2024'!$Z$2)</f>
        <v>0</v>
      </c>
      <c r="M32" s="21">
        <f t="shared" ref="M32:M39" si="46">IF(L$31=0,0,L32/L$31)</f>
        <v>0</v>
      </c>
      <c r="N32" s="23">
        <f>SUMIFS('Registre de reserves'!$R$2:$R$1178,'Registre de reserves'!$T$2:$T$1178,"NO",'Registre de reserves'!$I$2:$I$1178,'2024'!$A32,'Registre de reserves'!$B$2:$B$1178,'2024'!N$2,Tabla1[ANY],'2024'!$Z$2)</f>
        <v>0</v>
      </c>
      <c r="O32" s="21">
        <f t="shared" ref="O32:O39" si="47">IF(N$31=0,0,N32/N$31)</f>
        <v>0</v>
      </c>
      <c r="P32" s="23">
        <f>SUMIFS('Registre de reserves'!$R$2:$R$1178,'Registre de reserves'!$T$2:$T$1178,"NO",'Registre de reserves'!$I$2:$I$1178,'2024'!$A32,'Registre de reserves'!$B$2:$B$1178,'2024'!P$2,Tabla1[ANY],'2024'!$Z$2)</f>
        <v>0</v>
      </c>
      <c r="Q32" s="21">
        <f t="shared" ref="Q32:Q39" si="48">IF(P$31=0,0,P32/P$31)</f>
        <v>0</v>
      </c>
      <c r="R32" s="23">
        <f>SUMIFS('Registre de reserves'!$R$2:$R$1178,'Registre de reserves'!$T$2:$T$1178,"NO",'Registre de reserves'!$I$2:$I$1178,'2024'!$A32,'Registre de reserves'!$B$2:$B$1178,'2024'!R$2,Tabla1[ANY],'2024'!$Z$2)</f>
        <v>0</v>
      </c>
      <c r="S32" s="21">
        <f t="shared" ref="S32:S39" si="49">IF(R$31=0,0,R32/R$31)</f>
        <v>0</v>
      </c>
      <c r="T32" s="23">
        <f>SUMIFS('Registre de reserves'!$R$2:$R$1178,'Registre de reserves'!$T$2:$T$1178,"NO",'Registre de reserves'!$I$2:$I$1178,'2024'!$A32,'Registre de reserves'!$B$2:$B$1178,'2024'!T$2,Tabla1[ANY],'2024'!$Z$2)</f>
        <v>0</v>
      </c>
      <c r="U32" s="21">
        <f t="shared" ref="U32:U39" si="50">IF(T$31=0,0,T32/T$31)</f>
        <v>0</v>
      </c>
      <c r="V32" s="23">
        <f>SUMIFS('Registre de reserves'!$R$2:$R$1178,'Registre de reserves'!$T$2:$T$1178,"NO",'Registre de reserves'!$I$2:$I$1178,'2024'!$A32,'Registre de reserves'!$B$2:$B$1178,'2024'!V$2,Tabla1[ANY],'2024'!$Z$2)</f>
        <v>0</v>
      </c>
      <c r="W32" s="21">
        <f t="shared" ref="W32:W39" si="51">IF(V$31=0,0,V32/V$31)</f>
        <v>0</v>
      </c>
      <c r="X32" s="23">
        <f>SUMIFS('Registre de reserves'!$R$2:$R$1178,'Registre de reserves'!$T$2:$T$1178,"NO",'Registre de reserves'!$I$2:$I$1178,'2024'!$A32,'Registre de reserves'!$B$2:$B$1178,'2024'!X$2,Tabla1[ANY],'2024'!$Z$2)</f>
        <v>0</v>
      </c>
      <c r="Y32" s="21">
        <f t="shared" ref="Y32:Y39" si="52">IF(X$31=0,0,X32/X$31)</f>
        <v>0</v>
      </c>
      <c r="Z32" s="20">
        <f>B32+D32+F32+H32+J32+L32+N32+P32+R32+T32+V32+X32</f>
        <v>0</v>
      </c>
      <c r="AA32" s="21">
        <f>IF(Z$31=0,0,Z32/Z$31)</f>
        <v>0</v>
      </c>
      <c r="AB32" s="178">
        <f t="shared" si="2"/>
        <v>0</v>
      </c>
      <c r="AC32" s="178">
        <v>0</v>
      </c>
    </row>
    <row r="33" spans="1:29" hidden="1" outlineLevel="1" x14ac:dyDescent="0.2">
      <c r="A33" s="8" t="s">
        <v>68</v>
      </c>
      <c r="B33" s="23">
        <f>SUMIFS('Registre de reserves'!$R$2:$R$1178,'Registre de reserves'!$T$2:$T$1178,"NO",'Registre de reserves'!$I$2:$I$1178,'2024'!$A33,'Registre de reserves'!$B$2:$B$1178,'2024'!B$2,Tabla1[ANY],'2024'!$Z$2)</f>
        <v>0</v>
      </c>
      <c r="C33" s="21">
        <f>IF(B$31=0,0,B33/B$31)</f>
        <v>0</v>
      </c>
      <c r="D33" s="23">
        <f>SUMIFS('Registre de reserves'!$R$2:$R$1178,'Registre de reserves'!$T$2:$T$1178,"NO",'Registre de reserves'!$I$2:$I$1178,'2024'!$A33,'Registre de reserves'!$B$2:$B$1178,'2024'!D$2,Tabla1[ANY],'2024'!$Z$2)</f>
        <v>0</v>
      </c>
      <c r="E33" s="21">
        <f t="shared" ref="C33:E39" si="53">IF(D$31=0,0,D33/D$31)</f>
        <v>0</v>
      </c>
      <c r="F33" s="23">
        <f>SUMIFS('Registre de reserves'!$R$2:$R$1178,'Registre de reserves'!$T$2:$T$1178,"NO",'Registre de reserves'!$I$2:$I$1178,'2024'!$A33,'Registre de reserves'!$B$2:$B$1178,'2024'!F$2,Tabla1[ANY],'2024'!$Z$2)</f>
        <v>0</v>
      </c>
      <c r="G33" s="21">
        <f t="shared" si="43"/>
        <v>0</v>
      </c>
      <c r="H33" s="23">
        <f>SUMIFS('Registre de reserves'!$R$2:$R$1178,'Registre de reserves'!$T$2:$T$1178,"NO",'Registre de reserves'!$I$2:$I$1178,'2024'!$A33,'Registre de reserves'!$B$2:$B$1178,'2024'!H$2,Tabla1[ANY],'2024'!$Z$2)</f>
        <v>0</v>
      </c>
      <c r="I33" s="21">
        <f t="shared" si="44"/>
        <v>0</v>
      </c>
      <c r="J33" s="23">
        <f>SUMIFS('Registre de reserves'!$R$2:$R$1178,'Registre de reserves'!$T$2:$T$1178,"NO",'Registre de reserves'!$I$2:$I$1178,'2024'!$A33,'Registre de reserves'!$B$2:$B$1178,'2024'!J$2,Tabla1[ANY],'2024'!$Z$2)</f>
        <v>0</v>
      </c>
      <c r="K33" s="21">
        <f t="shared" si="45"/>
        <v>0</v>
      </c>
      <c r="L33" s="23">
        <f>SUMIFS('Registre de reserves'!$R$2:$R$1178,'Registre de reserves'!$T$2:$T$1178,"NO",'Registre de reserves'!$I$2:$I$1178,'2024'!$A33,'Registre de reserves'!$B$2:$B$1178,'2024'!L$2,Tabla1[ANY],'2024'!$Z$2)</f>
        <v>0</v>
      </c>
      <c r="M33" s="21">
        <f t="shared" si="46"/>
        <v>0</v>
      </c>
      <c r="N33" s="23">
        <f>SUMIFS('Registre de reserves'!$R$2:$R$1178,'Registre de reserves'!$T$2:$T$1178,"NO",'Registre de reserves'!$I$2:$I$1178,'2024'!$A33,'Registre de reserves'!$B$2:$B$1178,'2024'!N$2,Tabla1[ANY],'2024'!$Z$2)</f>
        <v>0</v>
      </c>
      <c r="O33" s="21">
        <f t="shared" si="47"/>
        <v>0</v>
      </c>
      <c r="P33" s="23">
        <f>SUMIFS('Registre de reserves'!$R$2:$R$1178,'Registre de reserves'!$T$2:$T$1178,"NO",'Registre de reserves'!$I$2:$I$1178,'2024'!$A33,'Registre de reserves'!$B$2:$B$1178,'2024'!P$2,Tabla1[ANY],'2024'!$Z$2)</f>
        <v>0</v>
      </c>
      <c r="Q33" s="21">
        <f t="shared" si="48"/>
        <v>0</v>
      </c>
      <c r="R33" s="23">
        <f>SUMIFS('Registre de reserves'!$R$2:$R$1178,'Registre de reserves'!$T$2:$T$1178,"NO",'Registre de reserves'!$I$2:$I$1178,'2024'!$A33,'Registre de reserves'!$B$2:$B$1178,'2024'!R$2,Tabla1[ANY],'2024'!$Z$2)</f>
        <v>0</v>
      </c>
      <c r="S33" s="21">
        <f t="shared" si="49"/>
        <v>0</v>
      </c>
      <c r="T33" s="23">
        <f>SUMIFS('Registre de reserves'!$R$2:$R$1178,'Registre de reserves'!$T$2:$T$1178,"NO",'Registre de reserves'!$I$2:$I$1178,'2024'!$A33,'Registre de reserves'!$B$2:$B$1178,'2024'!T$2,Tabla1[ANY],'2024'!$Z$2)</f>
        <v>0</v>
      </c>
      <c r="U33" s="21">
        <f t="shared" si="50"/>
        <v>0</v>
      </c>
      <c r="V33" s="23">
        <f>SUMIFS('Registre de reserves'!$R$2:$R$1178,'Registre de reserves'!$T$2:$T$1178,"NO",'Registre de reserves'!$I$2:$I$1178,'2024'!$A33,'Registre de reserves'!$B$2:$B$1178,'2024'!V$2,Tabla1[ANY],'2024'!$Z$2)</f>
        <v>0</v>
      </c>
      <c r="W33" s="21">
        <f t="shared" si="51"/>
        <v>0</v>
      </c>
      <c r="X33" s="23">
        <f>SUMIFS('Registre de reserves'!$R$2:$R$1178,'Registre de reserves'!$T$2:$T$1178,"NO",'Registre de reserves'!$I$2:$I$1178,'2024'!$A33,'Registre de reserves'!$B$2:$B$1178,'2024'!X$2,Tabla1[ANY],'2024'!$Z$2)</f>
        <v>0</v>
      </c>
      <c r="Y33" s="21">
        <f t="shared" si="52"/>
        <v>0</v>
      </c>
      <c r="Z33" s="20">
        <f t="shared" ref="Z33:Z39" si="54">B33+D33+F33+H33+J33+L33+N33+P33+R33+T33+V33+X33</f>
        <v>0</v>
      </c>
      <c r="AA33" s="21">
        <f t="shared" ref="AA33:AA39" si="55">IF(Z$31=0,0,Z33/Z$31)</f>
        <v>0</v>
      </c>
      <c r="AB33" s="178">
        <f t="shared" si="2"/>
        <v>0</v>
      </c>
      <c r="AC33" s="178">
        <v>0</v>
      </c>
    </row>
    <row r="34" spans="1:29" hidden="1" outlineLevel="1" x14ac:dyDescent="0.2">
      <c r="A34" s="8" t="s">
        <v>4</v>
      </c>
      <c r="B34" s="23">
        <f>SUMIFS('Registre de reserves'!$R$2:$R$1178,'Registre de reserves'!$T$2:$T$1178,"NO",'Registre de reserves'!$I$2:$I$1178,'2024'!$A34,'Registre de reserves'!$B$2:$B$1178,'2024'!B$2,Tabla1[ANY],'2024'!$Z$2)</f>
        <v>0</v>
      </c>
      <c r="C34" s="21">
        <f>IF(B$31=0,0,B34/B$31)</f>
        <v>0</v>
      </c>
      <c r="D34" s="23">
        <f>SUMIFS('Registre de reserves'!$R$2:$R$1178,'Registre de reserves'!$T$2:$T$1178,"NO",'Registre de reserves'!$I$2:$I$1178,'2024'!$A34,'Registre de reserves'!$B$2:$B$1178,'2024'!D$2,Tabla1[ANY],'2024'!$Z$2)</f>
        <v>0</v>
      </c>
      <c r="E34" s="21">
        <f t="shared" si="53"/>
        <v>0</v>
      </c>
      <c r="F34" s="23">
        <f>SUMIFS('Registre de reserves'!$R$2:$R$1178,'Registre de reserves'!$T$2:$T$1178,"NO",'Registre de reserves'!$I$2:$I$1178,'2024'!$A34,'Registre de reserves'!$B$2:$B$1178,'2024'!F$2,Tabla1[ANY],'2024'!$Z$2)</f>
        <v>0</v>
      </c>
      <c r="G34" s="21">
        <f t="shared" si="43"/>
        <v>0</v>
      </c>
      <c r="H34" s="23">
        <f>SUMIFS('Registre de reserves'!$R$2:$R$1178,'Registre de reserves'!$T$2:$T$1178,"NO",'Registre de reserves'!$I$2:$I$1178,'2024'!$A34,'Registre de reserves'!$B$2:$B$1178,'2024'!H$2,Tabla1[ANY],'2024'!$Z$2)</f>
        <v>0</v>
      </c>
      <c r="I34" s="21">
        <f t="shared" si="44"/>
        <v>0</v>
      </c>
      <c r="J34" s="23">
        <f>SUMIFS('Registre de reserves'!$R$2:$R$1178,'Registre de reserves'!$T$2:$T$1178,"NO",'Registre de reserves'!$I$2:$I$1178,'2024'!$A34,'Registre de reserves'!$B$2:$B$1178,'2024'!J$2,Tabla1[ANY],'2024'!$Z$2)</f>
        <v>0</v>
      </c>
      <c r="K34" s="21">
        <f t="shared" si="45"/>
        <v>0</v>
      </c>
      <c r="L34" s="23">
        <f>SUMIFS('Registre de reserves'!$R$2:$R$1178,'Registre de reserves'!$T$2:$T$1178,"NO",'Registre de reserves'!$I$2:$I$1178,'2024'!$A34,'Registre de reserves'!$B$2:$B$1178,'2024'!L$2,Tabla1[ANY],'2024'!$Z$2)</f>
        <v>0</v>
      </c>
      <c r="M34" s="21">
        <f t="shared" si="46"/>
        <v>0</v>
      </c>
      <c r="N34" s="23">
        <f>SUMIFS('Registre de reserves'!$R$2:$R$1178,'Registre de reserves'!$T$2:$T$1178,"NO",'Registre de reserves'!$I$2:$I$1178,'2024'!$A34,'Registre de reserves'!$B$2:$B$1178,'2024'!N$2,Tabla1[ANY],'2024'!$Z$2)</f>
        <v>0</v>
      </c>
      <c r="O34" s="21">
        <f t="shared" si="47"/>
        <v>0</v>
      </c>
      <c r="P34" s="23">
        <f>SUMIFS('Registre de reserves'!$R$2:$R$1178,'Registre de reserves'!$T$2:$T$1178,"NO",'Registre de reserves'!$I$2:$I$1178,'2024'!$A34,'Registre de reserves'!$B$2:$B$1178,'2024'!P$2,Tabla1[ANY],'2024'!$Z$2)</f>
        <v>0</v>
      </c>
      <c r="Q34" s="21">
        <f t="shared" si="48"/>
        <v>0</v>
      </c>
      <c r="R34" s="23">
        <f>SUMIFS('Registre de reserves'!$R$2:$R$1178,'Registre de reserves'!$T$2:$T$1178,"NO",'Registre de reserves'!$I$2:$I$1178,'2024'!$A34,'Registre de reserves'!$B$2:$B$1178,'2024'!R$2,Tabla1[ANY],'2024'!$Z$2)</f>
        <v>0</v>
      </c>
      <c r="S34" s="21">
        <f t="shared" si="49"/>
        <v>0</v>
      </c>
      <c r="T34" s="23">
        <f>SUMIFS('Registre de reserves'!$R$2:$R$1178,'Registre de reserves'!$T$2:$T$1178,"NO",'Registre de reserves'!$I$2:$I$1178,'2024'!$A34,'Registre de reserves'!$B$2:$B$1178,'2024'!T$2,Tabla1[ANY],'2024'!$Z$2)</f>
        <v>0</v>
      </c>
      <c r="U34" s="21">
        <f t="shared" si="50"/>
        <v>0</v>
      </c>
      <c r="V34" s="23">
        <f>SUMIFS('Registre de reserves'!$R$2:$R$1178,'Registre de reserves'!$T$2:$T$1178,"NO",'Registre de reserves'!$I$2:$I$1178,'2024'!$A34,'Registre de reserves'!$B$2:$B$1178,'2024'!V$2,Tabla1[ANY],'2024'!$Z$2)</f>
        <v>0</v>
      </c>
      <c r="W34" s="21">
        <f t="shared" si="51"/>
        <v>0</v>
      </c>
      <c r="X34" s="23">
        <f>SUMIFS('Registre de reserves'!$R$2:$R$1178,'Registre de reserves'!$T$2:$T$1178,"NO",'Registre de reserves'!$I$2:$I$1178,'2024'!$A34,'Registre de reserves'!$B$2:$B$1178,'2024'!X$2,Tabla1[ANY],'2024'!$Z$2)</f>
        <v>0</v>
      </c>
      <c r="Y34" s="21">
        <f t="shared" si="52"/>
        <v>0</v>
      </c>
      <c r="Z34" s="20">
        <f t="shared" si="54"/>
        <v>0</v>
      </c>
      <c r="AA34" s="21">
        <f t="shared" si="55"/>
        <v>0</v>
      </c>
      <c r="AB34" s="178">
        <f t="shared" si="2"/>
        <v>0</v>
      </c>
      <c r="AC34" s="178">
        <v>0</v>
      </c>
    </row>
    <row r="35" spans="1:29" hidden="1" outlineLevel="1" x14ac:dyDescent="0.2">
      <c r="A35" s="8" t="s">
        <v>71</v>
      </c>
      <c r="B35" s="23">
        <f>SUMIFS('Registre de reserves'!$R$2:$R$1178,'Registre de reserves'!$T$2:$T$1178,"NO",'Registre de reserves'!$I$2:$I$1178,'2024'!$A35,'Registre de reserves'!$B$2:$B$1178,'2024'!B$2,Tabla1[ANY],'2024'!$Z$2)</f>
        <v>0</v>
      </c>
      <c r="C35" s="21">
        <f t="shared" si="53"/>
        <v>0</v>
      </c>
      <c r="D35" s="23">
        <f>SUMIFS('Registre de reserves'!$R$2:$R$1178,'Registre de reserves'!$T$2:$T$1178,"NO",'Registre de reserves'!$I$2:$I$1178,'2024'!$A35,'Registre de reserves'!$B$2:$B$1178,'2024'!D$2,Tabla1[ANY],'2024'!$Z$2)</f>
        <v>0</v>
      </c>
      <c r="E35" s="21">
        <f t="shared" si="53"/>
        <v>0</v>
      </c>
      <c r="F35" s="23">
        <f>SUMIFS('Registre de reserves'!$R$2:$R$1178,'Registre de reserves'!$T$2:$T$1178,"NO",'Registre de reserves'!$I$2:$I$1178,'2024'!$A35,'Registre de reserves'!$B$2:$B$1178,'2024'!F$2,Tabla1[ANY],'2024'!$Z$2)</f>
        <v>0</v>
      </c>
      <c r="G35" s="21">
        <f t="shared" si="43"/>
        <v>0</v>
      </c>
      <c r="H35" s="23">
        <f>SUMIFS('Registre de reserves'!$R$2:$R$1178,'Registre de reserves'!$T$2:$T$1178,"NO",'Registre de reserves'!$I$2:$I$1178,'2024'!$A35,'Registre de reserves'!$B$2:$B$1178,'2024'!H$2,Tabla1[ANY],'2024'!$Z$2)</f>
        <v>0</v>
      </c>
      <c r="I35" s="21">
        <f t="shared" si="44"/>
        <v>0</v>
      </c>
      <c r="J35" s="23">
        <f>SUMIFS('Registre de reserves'!$R$2:$R$1178,'Registre de reserves'!$T$2:$T$1178,"NO",'Registre de reserves'!$I$2:$I$1178,'2024'!$A35,'Registre de reserves'!$B$2:$B$1178,'2024'!J$2,Tabla1[ANY],'2024'!$Z$2)</f>
        <v>0</v>
      </c>
      <c r="K35" s="21">
        <f t="shared" si="45"/>
        <v>0</v>
      </c>
      <c r="L35" s="23">
        <f>SUMIFS('Registre de reserves'!$R$2:$R$1178,'Registre de reserves'!$T$2:$T$1178,"NO",'Registre de reserves'!$I$2:$I$1178,'2024'!$A35,'Registre de reserves'!$B$2:$B$1178,'2024'!L$2,Tabla1[ANY],'2024'!$Z$2)</f>
        <v>0</v>
      </c>
      <c r="M35" s="21">
        <f t="shared" si="46"/>
        <v>0</v>
      </c>
      <c r="N35" s="23">
        <f>SUMIFS('Registre de reserves'!$R$2:$R$1178,'Registre de reserves'!$T$2:$T$1178,"NO",'Registre de reserves'!$I$2:$I$1178,'2024'!$A35,'Registre de reserves'!$B$2:$B$1178,'2024'!N$2,Tabla1[ANY],'2024'!$Z$2)</f>
        <v>0</v>
      </c>
      <c r="O35" s="21">
        <f t="shared" si="47"/>
        <v>0</v>
      </c>
      <c r="P35" s="23">
        <f>SUMIFS('Registre de reserves'!$R$2:$R$1178,'Registre de reserves'!$T$2:$T$1178,"NO",'Registre de reserves'!$I$2:$I$1178,'2024'!$A35,'Registre de reserves'!$B$2:$B$1178,'2024'!P$2,Tabla1[ANY],'2024'!$Z$2)</f>
        <v>0</v>
      </c>
      <c r="Q35" s="21">
        <f t="shared" si="48"/>
        <v>0</v>
      </c>
      <c r="R35" s="23">
        <f>SUMIFS('Registre de reserves'!$R$2:$R$1178,'Registre de reserves'!$T$2:$T$1178,"NO",'Registre de reserves'!$I$2:$I$1178,'2024'!$A35,'Registre de reserves'!$B$2:$B$1178,'2024'!R$2,Tabla1[ANY],'2024'!$Z$2)</f>
        <v>0</v>
      </c>
      <c r="S35" s="21">
        <f t="shared" si="49"/>
        <v>0</v>
      </c>
      <c r="T35" s="23">
        <f>SUMIFS('Registre de reserves'!$R$2:$R$1178,'Registre de reserves'!$T$2:$T$1178,"NO",'Registre de reserves'!$I$2:$I$1178,'2024'!$A35,'Registre de reserves'!$B$2:$B$1178,'2024'!T$2,Tabla1[ANY],'2024'!$Z$2)</f>
        <v>0</v>
      </c>
      <c r="U35" s="21">
        <f t="shared" si="50"/>
        <v>0</v>
      </c>
      <c r="V35" s="23">
        <f>SUMIFS('Registre de reserves'!$R$2:$R$1178,'Registre de reserves'!$T$2:$T$1178,"NO",'Registre de reserves'!$I$2:$I$1178,'2024'!$A35,'Registre de reserves'!$B$2:$B$1178,'2024'!V$2,Tabla1[ANY],'2024'!$Z$2)</f>
        <v>0</v>
      </c>
      <c r="W35" s="21">
        <f t="shared" si="51"/>
        <v>0</v>
      </c>
      <c r="X35" s="23">
        <f>SUMIFS('Registre de reserves'!$R$2:$R$1178,'Registre de reserves'!$T$2:$T$1178,"NO",'Registre de reserves'!$I$2:$I$1178,'2024'!$A35,'Registre de reserves'!$B$2:$B$1178,'2024'!X$2,Tabla1[ANY],'2024'!$Z$2)</f>
        <v>0</v>
      </c>
      <c r="Y35" s="21">
        <f t="shared" si="52"/>
        <v>0</v>
      </c>
      <c r="Z35" s="20">
        <f t="shared" si="54"/>
        <v>0</v>
      </c>
      <c r="AA35" s="21">
        <f t="shared" si="55"/>
        <v>0</v>
      </c>
      <c r="AB35" s="178">
        <f t="shared" si="2"/>
        <v>0</v>
      </c>
      <c r="AC35" s="178">
        <v>0</v>
      </c>
    </row>
    <row r="36" spans="1:29" hidden="1" outlineLevel="1" x14ac:dyDescent="0.2">
      <c r="A36" s="8" t="s">
        <v>72</v>
      </c>
      <c r="B36" s="23">
        <f>SUMIFS('Registre de reserves'!$R$2:$R$1178,'Registre de reserves'!$T$2:$T$1178,"NO",'Registre de reserves'!$I$2:$I$1178,'2024'!$A36,'Registre de reserves'!$B$2:$B$1178,'2024'!B$2,Tabla1[ANY],'2024'!$Z$2)</f>
        <v>0</v>
      </c>
      <c r="C36" s="21">
        <f t="shared" si="53"/>
        <v>0</v>
      </c>
      <c r="D36" s="23">
        <f>SUMIFS('Registre de reserves'!$R$2:$R$1178,'Registre de reserves'!$T$2:$T$1178,"NO",'Registre de reserves'!$I$2:$I$1178,'2024'!$A36,'Registre de reserves'!$B$2:$B$1178,'2024'!D$2,Tabla1[ANY],'2024'!$Z$2)</f>
        <v>0</v>
      </c>
      <c r="E36" s="21">
        <f t="shared" si="53"/>
        <v>0</v>
      </c>
      <c r="F36" s="23">
        <f>SUMIFS('Registre de reserves'!$R$2:$R$1178,'Registre de reserves'!$T$2:$T$1178,"NO",'Registre de reserves'!$I$2:$I$1178,'2024'!$A36,'Registre de reserves'!$B$2:$B$1178,'2024'!F$2,Tabla1[ANY],'2024'!$Z$2)</f>
        <v>0</v>
      </c>
      <c r="G36" s="21">
        <f t="shared" si="43"/>
        <v>0</v>
      </c>
      <c r="H36" s="23">
        <f>SUMIFS('Registre de reserves'!$R$2:$R$1178,'Registre de reserves'!$T$2:$T$1178,"NO",'Registre de reserves'!$I$2:$I$1178,'2024'!$A36,'Registre de reserves'!$B$2:$B$1178,'2024'!H$2,Tabla1[ANY],'2024'!$Z$2)</f>
        <v>0</v>
      </c>
      <c r="I36" s="21">
        <f t="shared" si="44"/>
        <v>0</v>
      </c>
      <c r="J36" s="23">
        <f>SUMIFS('Registre de reserves'!$R$2:$R$1178,'Registre de reserves'!$T$2:$T$1178,"NO",'Registre de reserves'!$I$2:$I$1178,'2024'!$A36,'Registre de reserves'!$B$2:$B$1178,'2024'!J$2,Tabla1[ANY],'2024'!$Z$2)</f>
        <v>0</v>
      </c>
      <c r="K36" s="21">
        <f t="shared" si="45"/>
        <v>0</v>
      </c>
      <c r="L36" s="23">
        <f>SUMIFS('Registre de reserves'!$R$2:$R$1178,'Registre de reserves'!$T$2:$T$1178,"NO",'Registre de reserves'!$I$2:$I$1178,'2024'!$A36,'Registre de reserves'!$B$2:$B$1178,'2024'!L$2,Tabla1[ANY],'2024'!$Z$2)</f>
        <v>0</v>
      </c>
      <c r="M36" s="21">
        <f t="shared" si="46"/>
        <v>0</v>
      </c>
      <c r="N36" s="23">
        <f>SUMIFS('Registre de reserves'!$R$2:$R$1178,'Registre de reserves'!$T$2:$T$1178,"NO",'Registre de reserves'!$I$2:$I$1178,'2024'!$A36,'Registre de reserves'!$B$2:$B$1178,'2024'!N$2,Tabla1[ANY],'2024'!$Z$2)</f>
        <v>0</v>
      </c>
      <c r="O36" s="21">
        <f t="shared" si="47"/>
        <v>0</v>
      </c>
      <c r="P36" s="23">
        <f>SUMIFS('Registre de reserves'!$R$2:$R$1178,'Registre de reserves'!$T$2:$T$1178,"NO",'Registre de reserves'!$I$2:$I$1178,'2024'!$A36,'Registre de reserves'!$B$2:$B$1178,'2024'!P$2,Tabla1[ANY],'2024'!$Z$2)</f>
        <v>0</v>
      </c>
      <c r="Q36" s="21">
        <f t="shared" si="48"/>
        <v>0</v>
      </c>
      <c r="R36" s="23">
        <f>SUMIFS('Registre de reserves'!$R$2:$R$1178,'Registre de reserves'!$T$2:$T$1178,"NO",'Registre de reserves'!$I$2:$I$1178,'2024'!$A36,'Registre de reserves'!$B$2:$B$1178,'2024'!R$2,Tabla1[ANY],'2024'!$Z$2)</f>
        <v>0</v>
      </c>
      <c r="S36" s="21">
        <f t="shared" si="49"/>
        <v>0</v>
      </c>
      <c r="T36" s="23">
        <f>SUMIFS('Registre de reserves'!$R$2:$R$1178,'Registre de reserves'!$T$2:$T$1178,"NO",'Registre de reserves'!$I$2:$I$1178,'2024'!$A36,'Registre de reserves'!$B$2:$B$1178,'2024'!T$2,Tabla1[ANY],'2024'!$Z$2)</f>
        <v>0</v>
      </c>
      <c r="U36" s="21">
        <f t="shared" si="50"/>
        <v>0</v>
      </c>
      <c r="V36" s="23">
        <f>SUMIFS('Registre de reserves'!$R$2:$R$1178,'Registre de reserves'!$T$2:$T$1178,"NO",'Registre de reserves'!$I$2:$I$1178,'2024'!$A36,'Registre de reserves'!$B$2:$B$1178,'2024'!V$2,Tabla1[ANY],'2024'!$Z$2)</f>
        <v>0</v>
      </c>
      <c r="W36" s="21">
        <f t="shared" si="51"/>
        <v>0</v>
      </c>
      <c r="X36" s="23">
        <f>SUMIFS('Registre de reserves'!$R$2:$R$1178,'Registre de reserves'!$T$2:$T$1178,"NO",'Registre de reserves'!$I$2:$I$1178,'2024'!$A36,'Registre de reserves'!$B$2:$B$1178,'2024'!X$2,Tabla1[ANY],'2024'!$Z$2)</f>
        <v>0</v>
      </c>
      <c r="Y36" s="21">
        <f t="shared" si="52"/>
        <v>0</v>
      </c>
      <c r="Z36" s="20">
        <f t="shared" si="54"/>
        <v>0</v>
      </c>
      <c r="AA36" s="21">
        <f t="shared" si="55"/>
        <v>0</v>
      </c>
      <c r="AB36" s="178">
        <f t="shared" si="2"/>
        <v>0</v>
      </c>
      <c r="AC36" s="178">
        <v>0</v>
      </c>
    </row>
    <row r="37" spans="1:29" hidden="1" outlineLevel="1" x14ac:dyDescent="0.2">
      <c r="A37" s="8" t="s">
        <v>69</v>
      </c>
      <c r="B37" s="23">
        <f>SUMIFS('Registre de reserves'!$R$2:$R$1178,'Registre de reserves'!$T$2:$T$1178,"NO",'Registre de reserves'!$I$2:$I$1178,'2024'!$A37,'Registre de reserves'!$B$2:$B$1178,'2024'!B$2,Tabla1[ANY],'2024'!$Z$2)</f>
        <v>0</v>
      </c>
      <c r="C37" s="21">
        <f t="shared" si="53"/>
        <v>0</v>
      </c>
      <c r="D37" s="23">
        <f>SUMIFS('Registre de reserves'!$R$2:$R$1178,'Registre de reserves'!$T$2:$T$1178,"NO",'Registre de reserves'!$I$2:$I$1178,'2024'!$A37,'Registre de reserves'!$B$2:$B$1178,'2024'!D$2,Tabla1[ANY],'2024'!$Z$2)</f>
        <v>0</v>
      </c>
      <c r="E37" s="21">
        <f t="shared" si="53"/>
        <v>0</v>
      </c>
      <c r="F37" s="23">
        <f>SUMIFS('Registre de reserves'!$R$2:$R$1178,'Registre de reserves'!$T$2:$T$1178,"NO",'Registre de reserves'!$I$2:$I$1178,'2024'!$A37,'Registre de reserves'!$B$2:$B$1178,'2024'!F$2,Tabla1[ANY],'2024'!$Z$2)</f>
        <v>0</v>
      </c>
      <c r="G37" s="21">
        <f t="shared" si="43"/>
        <v>0</v>
      </c>
      <c r="H37" s="23">
        <f>SUMIFS('Registre de reserves'!$R$2:$R$1178,'Registre de reserves'!$T$2:$T$1178,"NO",'Registre de reserves'!$I$2:$I$1178,'2024'!$A37,'Registre de reserves'!$B$2:$B$1178,'2024'!H$2,Tabla1[ANY],'2024'!$Z$2)</f>
        <v>0</v>
      </c>
      <c r="I37" s="21">
        <f t="shared" si="44"/>
        <v>0</v>
      </c>
      <c r="J37" s="23">
        <f>SUMIFS('Registre de reserves'!$R$2:$R$1178,'Registre de reserves'!$T$2:$T$1178,"NO",'Registre de reserves'!$I$2:$I$1178,'2024'!$A37,'Registre de reserves'!$B$2:$B$1178,'2024'!J$2,Tabla1[ANY],'2024'!$Z$2)</f>
        <v>0</v>
      </c>
      <c r="K37" s="21">
        <f t="shared" si="45"/>
        <v>0</v>
      </c>
      <c r="L37" s="23">
        <f>SUMIFS('Registre de reserves'!$R$2:$R$1178,'Registre de reserves'!$T$2:$T$1178,"NO",'Registre de reserves'!$I$2:$I$1178,'2024'!$A37,'Registre de reserves'!$B$2:$B$1178,'2024'!L$2,Tabla1[ANY],'2024'!$Z$2)</f>
        <v>0</v>
      </c>
      <c r="M37" s="21">
        <f t="shared" si="46"/>
        <v>0</v>
      </c>
      <c r="N37" s="23">
        <f>SUMIFS('Registre de reserves'!$R$2:$R$1178,'Registre de reserves'!$T$2:$T$1178,"NO",'Registre de reserves'!$I$2:$I$1178,'2024'!$A37,'Registre de reserves'!$B$2:$B$1178,'2024'!N$2,Tabla1[ANY],'2024'!$Z$2)</f>
        <v>0</v>
      </c>
      <c r="O37" s="21">
        <f t="shared" si="47"/>
        <v>0</v>
      </c>
      <c r="P37" s="23">
        <f>SUMIFS('Registre de reserves'!$R$2:$R$1178,'Registre de reserves'!$T$2:$T$1178,"NO",'Registre de reserves'!$I$2:$I$1178,'2024'!$A37,'Registre de reserves'!$B$2:$B$1178,'2024'!P$2,Tabla1[ANY],'2024'!$Z$2)</f>
        <v>0</v>
      </c>
      <c r="Q37" s="21">
        <f t="shared" si="48"/>
        <v>0</v>
      </c>
      <c r="R37" s="23">
        <f>SUMIFS('Registre de reserves'!$R$2:$R$1178,'Registre de reserves'!$T$2:$T$1178,"NO",'Registre de reserves'!$I$2:$I$1178,'2024'!$A37,'Registre de reserves'!$B$2:$B$1178,'2024'!R$2,Tabla1[ANY],'2024'!$Z$2)</f>
        <v>0</v>
      </c>
      <c r="S37" s="21">
        <f t="shared" si="49"/>
        <v>0</v>
      </c>
      <c r="T37" s="23">
        <f>SUMIFS('Registre de reserves'!$R$2:$R$1178,'Registre de reserves'!$T$2:$T$1178,"NO",'Registre de reserves'!$I$2:$I$1178,'2024'!$A37,'Registre de reserves'!$B$2:$B$1178,'2024'!T$2,Tabla1[ANY],'2024'!$Z$2)</f>
        <v>0</v>
      </c>
      <c r="U37" s="21">
        <f t="shared" si="50"/>
        <v>0</v>
      </c>
      <c r="V37" s="23">
        <f>SUMIFS('Registre de reserves'!$R$2:$R$1178,'Registre de reserves'!$T$2:$T$1178,"NO",'Registre de reserves'!$I$2:$I$1178,'2024'!$A37,'Registre de reserves'!$B$2:$B$1178,'2024'!V$2,Tabla1[ANY],'2024'!$Z$2)</f>
        <v>0</v>
      </c>
      <c r="W37" s="21">
        <f t="shared" si="51"/>
        <v>0</v>
      </c>
      <c r="X37" s="23">
        <f>SUMIFS('Registre de reserves'!$R$2:$R$1178,'Registre de reserves'!$T$2:$T$1178,"NO",'Registre de reserves'!$I$2:$I$1178,'2024'!$A37,'Registre de reserves'!$B$2:$B$1178,'2024'!X$2,Tabla1[ANY],'2024'!$Z$2)</f>
        <v>0</v>
      </c>
      <c r="Y37" s="21">
        <f t="shared" si="52"/>
        <v>0</v>
      </c>
      <c r="Z37" s="20">
        <f t="shared" si="54"/>
        <v>0</v>
      </c>
      <c r="AA37" s="21">
        <f t="shared" si="55"/>
        <v>0</v>
      </c>
      <c r="AB37" s="178">
        <f t="shared" si="2"/>
        <v>0</v>
      </c>
      <c r="AC37" s="178">
        <v>0</v>
      </c>
    </row>
    <row r="38" spans="1:29" hidden="1" outlineLevel="1" x14ac:dyDescent="0.2">
      <c r="A38" s="8" t="s">
        <v>70</v>
      </c>
      <c r="B38" s="23">
        <f>SUMIFS('Registre de reserves'!$R$2:$R$1178,'Registre de reserves'!$T$2:$T$1178,"NO",'Registre de reserves'!$I$2:$I$1178,'2024'!$A38,'Registre de reserves'!$B$2:$B$1178,'2024'!B$2,Tabla1[ANY],'2024'!$Z$2)</f>
        <v>0</v>
      </c>
      <c r="C38" s="21">
        <f t="shared" si="53"/>
        <v>0</v>
      </c>
      <c r="D38" s="23">
        <f>SUMIFS('Registre de reserves'!$R$2:$R$1178,'Registre de reserves'!$T$2:$T$1178,"NO",'Registre de reserves'!$I$2:$I$1178,'2024'!$A38,'Registre de reserves'!$B$2:$B$1178,'2024'!D$2,Tabla1[ANY],'2024'!$Z$2)</f>
        <v>0</v>
      </c>
      <c r="E38" s="21">
        <f t="shared" si="53"/>
        <v>0</v>
      </c>
      <c r="F38" s="23">
        <f>SUMIFS('Registre de reserves'!$R$2:$R$1178,'Registre de reserves'!$T$2:$T$1178,"NO",'Registre de reserves'!$I$2:$I$1178,'2024'!$A38,'Registre de reserves'!$B$2:$B$1178,'2024'!F$2,Tabla1[ANY],'2024'!$Z$2)</f>
        <v>0</v>
      </c>
      <c r="G38" s="21">
        <f t="shared" si="43"/>
        <v>0</v>
      </c>
      <c r="H38" s="23">
        <f>SUMIFS('Registre de reserves'!$R$2:$R$1178,'Registre de reserves'!$T$2:$T$1178,"NO",'Registre de reserves'!$I$2:$I$1178,'2024'!$A38,'Registre de reserves'!$B$2:$B$1178,'2024'!H$2,Tabla1[ANY],'2024'!$Z$2)</f>
        <v>0</v>
      </c>
      <c r="I38" s="21">
        <f t="shared" si="44"/>
        <v>0</v>
      </c>
      <c r="J38" s="23">
        <f>SUMIFS('Registre de reserves'!$R$2:$R$1178,'Registre de reserves'!$T$2:$T$1178,"NO",'Registre de reserves'!$I$2:$I$1178,'2024'!$A38,'Registre de reserves'!$B$2:$B$1178,'2024'!J$2,Tabla1[ANY],'2024'!$Z$2)</f>
        <v>0</v>
      </c>
      <c r="K38" s="21">
        <f t="shared" si="45"/>
        <v>0</v>
      </c>
      <c r="L38" s="23">
        <f>SUMIFS('Registre de reserves'!$R$2:$R$1178,'Registre de reserves'!$T$2:$T$1178,"NO",'Registre de reserves'!$I$2:$I$1178,'2024'!$A38,'Registre de reserves'!$B$2:$B$1178,'2024'!L$2,Tabla1[ANY],'2024'!$Z$2)</f>
        <v>0</v>
      </c>
      <c r="M38" s="21">
        <f t="shared" si="46"/>
        <v>0</v>
      </c>
      <c r="N38" s="23">
        <f>SUMIFS('Registre de reserves'!$R$2:$R$1178,'Registre de reserves'!$T$2:$T$1178,"NO",'Registre de reserves'!$I$2:$I$1178,'2024'!$A38,'Registre de reserves'!$B$2:$B$1178,'2024'!N$2,Tabla1[ANY],'2024'!$Z$2)</f>
        <v>0</v>
      </c>
      <c r="O38" s="21">
        <f t="shared" si="47"/>
        <v>0</v>
      </c>
      <c r="P38" s="23">
        <f>SUMIFS('Registre de reserves'!$R$2:$R$1178,'Registre de reserves'!$T$2:$T$1178,"NO",'Registre de reserves'!$I$2:$I$1178,'2024'!$A38,'Registre de reserves'!$B$2:$B$1178,'2024'!P$2,Tabla1[ANY],'2024'!$Z$2)</f>
        <v>0</v>
      </c>
      <c r="Q38" s="21">
        <f t="shared" si="48"/>
        <v>0</v>
      </c>
      <c r="R38" s="23">
        <f>SUMIFS('Registre de reserves'!$R$2:$R$1178,'Registre de reserves'!$T$2:$T$1178,"NO",'Registre de reserves'!$I$2:$I$1178,'2024'!$A38,'Registre de reserves'!$B$2:$B$1178,'2024'!R$2,Tabla1[ANY],'2024'!$Z$2)</f>
        <v>0</v>
      </c>
      <c r="S38" s="21">
        <f t="shared" si="49"/>
        <v>0</v>
      </c>
      <c r="T38" s="23">
        <f>SUMIFS('Registre de reserves'!$R$2:$R$1178,'Registre de reserves'!$T$2:$T$1178,"NO",'Registre de reserves'!$I$2:$I$1178,'2024'!$A38,'Registre de reserves'!$B$2:$B$1178,'2024'!T$2,Tabla1[ANY],'2024'!$Z$2)</f>
        <v>0</v>
      </c>
      <c r="U38" s="21">
        <f t="shared" si="50"/>
        <v>0</v>
      </c>
      <c r="V38" s="23">
        <f>SUMIFS('Registre de reserves'!$R$2:$R$1178,'Registre de reserves'!$T$2:$T$1178,"NO",'Registre de reserves'!$I$2:$I$1178,'2024'!$A38,'Registre de reserves'!$B$2:$B$1178,'2024'!V$2,Tabla1[ANY],'2024'!$Z$2)</f>
        <v>0</v>
      </c>
      <c r="W38" s="21">
        <f t="shared" si="51"/>
        <v>0</v>
      </c>
      <c r="X38" s="23">
        <f>SUMIFS('Registre de reserves'!$R$2:$R$1178,'Registre de reserves'!$T$2:$T$1178,"NO",'Registre de reserves'!$I$2:$I$1178,'2024'!$A38,'Registre de reserves'!$B$2:$B$1178,'2024'!X$2,Tabla1[ANY],'2024'!$Z$2)</f>
        <v>0</v>
      </c>
      <c r="Y38" s="21">
        <f t="shared" si="52"/>
        <v>0</v>
      </c>
      <c r="Z38" s="20">
        <f t="shared" si="54"/>
        <v>0</v>
      </c>
      <c r="AA38" s="21">
        <f t="shared" si="55"/>
        <v>0</v>
      </c>
      <c r="AB38" s="178">
        <f t="shared" si="2"/>
        <v>0</v>
      </c>
      <c r="AC38" s="178">
        <v>0</v>
      </c>
    </row>
    <row r="39" spans="1:29" hidden="1" outlineLevel="1" x14ac:dyDescent="0.2">
      <c r="A39" s="8" t="s">
        <v>73</v>
      </c>
      <c r="B39" s="23">
        <f>SUMIFS('Registre de reserves'!$R$2:$R$1178,'Registre de reserves'!$T$2:$T$1178,"NO",'Registre de reserves'!$I$2:$I$1178,'2024'!$A39,'Registre de reserves'!$B$2:$B$1178,'2024'!B$2,Tabla1[ANY],'2024'!$Z$2)</f>
        <v>0</v>
      </c>
      <c r="C39" s="21">
        <f t="shared" si="53"/>
        <v>0</v>
      </c>
      <c r="D39" s="23">
        <f>SUMIFS('Registre de reserves'!$R$2:$R$1178,'Registre de reserves'!$T$2:$T$1178,"NO",'Registre de reserves'!$I$2:$I$1178,'2024'!$A39,'Registre de reserves'!$B$2:$B$1178,'2024'!D$2,Tabla1[ANY],'2024'!$Z$2)</f>
        <v>0</v>
      </c>
      <c r="E39" s="21">
        <f t="shared" si="53"/>
        <v>0</v>
      </c>
      <c r="F39" s="23">
        <f>SUMIFS('Registre de reserves'!$R$2:$R$1178,'Registre de reserves'!$T$2:$T$1178,"NO",'Registre de reserves'!$I$2:$I$1178,'2024'!$A39,'Registre de reserves'!$B$2:$B$1178,'2024'!F$2,Tabla1[ANY],'2024'!$Z$2)</f>
        <v>0</v>
      </c>
      <c r="G39" s="21">
        <f t="shared" si="43"/>
        <v>0</v>
      </c>
      <c r="H39" s="23">
        <f>SUMIFS('Registre de reserves'!$R$2:$R$1178,'Registre de reserves'!$T$2:$T$1178,"NO",'Registre de reserves'!$I$2:$I$1178,'2024'!$A39,'Registre de reserves'!$B$2:$B$1178,'2024'!H$2,Tabla1[ANY],'2024'!$Z$2)</f>
        <v>0</v>
      </c>
      <c r="I39" s="21">
        <f t="shared" si="44"/>
        <v>0</v>
      </c>
      <c r="J39" s="23">
        <f>SUMIFS('Registre de reserves'!$R$2:$R$1178,'Registre de reserves'!$T$2:$T$1178,"NO",'Registre de reserves'!$I$2:$I$1178,'2024'!$A39,'Registre de reserves'!$B$2:$B$1178,'2024'!J$2,Tabla1[ANY],'2024'!$Z$2)</f>
        <v>0</v>
      </c>
      <c r="K39" s="21">
        <f t="shared" si="45"/>
        <v>0</v>
      </c>
      <c r="L39" s="23">
        <f>SUMIFS('Registre de reserves'!$R$2:$R$1178,'Registre de reserves'!$T$2:$T$1178,"NO",'Registre de reserves'!$I$2:$I$1178,'2024'!$A39,'Registre de reserves'!$B$2:$B$1178,'2024'!L$2,Tabla1[ANY],'2024'!$Z$2)</f>
        <v>0</v>
      </c>
      <c r="M39" s="21">
        <f t="shared" si="46"/>
        <v>0</v>
      </c>
      <c r="N39" s="23">
        <f>SUMIFS('Registre de reserves'!$R$2:$R$1178,'Registre de reserves'!$T$2:$T$1178,"NO",'Registre de reserves'!$I$2:$I$1178,'2024'!$A39,'Registre de reserves'!$B$2:$B$1178,'2024'!N$2,Tabla1[ANY],'2024'!$Z$2)</f>
        <v>0</v>
      </c>
      <c r="O39" s="21">
        <f t="shared" si="47"/>
        <v>0</v>
      </c>
      <c r="P39" s="23">
        <f>SUMIFS('Registre de reserves'!$R$2:$R$1178,'Registre de reserves'!$T$2:$T$1178,"NO",'Registre de reserves'!$I$2:$I$1178,'2024'!$A39,'Registre de reserves'!$B$2:$B$1178,'2024'!P$2,Tabla1[ANY],'2024'!$Z$2)</f>
        <v>0</v>
      </c>
      <c r="Q39" s="21">
        <f t="shared" si="48"/>
        <v>0</v>
      </c>
      <c r="R39" s="23">
        <f>SUMIFS('Registre de reserves'!$R$2:$R$1178,'Registre de reserves'!$T$2:$T$1178,"NO",'Registre de reserves'!$I$2:$I$1178,'2024'!$A39,'Registre de reserves'!$B$2:$B$1178,'2024'!R$2,Tabla1[ANY],'2024'!$Z$2)</f>
        <v>0</v>
      </c>
      <c r="S39" s="21">
        <f t="shared" si="49"/>
        <v>0</v>
      </c>
      <c r="T39" s="23">
        <f>SUMIFS('Registre de reserves'!$R$2:$R$1178,'Registre de reserves'!$T$2:$T$1178,"NO",'Registre de reserves'!$I$2:$I$1178,'2024'!$A39,'Registre de reserves'!$B$2:$B$1178,'2024'!T$2,Tabla1[ANY],'2024'!$Z$2)</f>
        <v>0</v>
      </c>
      <c r="U39" s="21">
        <f t="shared" si="50"/>
        <v>0</v>
      </c>
      <c r="V39" s="23">
        <f>SUMIFS('Registre de reserves'!$R$2:$R$1178,'Registre de reserves'!$T$2:$T$1178,"NO",'Registre de reserves'!$I$2:$I$1178,'2024'!$A39,'Registre de reserves'!$B$2:$B$1178,'2024'!V$2,Tabla1[ANY],'2024'!$Z$2)</f>
        <v>0</v>
      </c>
      <c r="W39" s="21">
        <f t="shared" si="51"/>
        <v>0</v>
      </c>
      <c r="X39" s="23">
        <f>SUMIFS('Registre de reserves'!$R$2:$R$1178,'Registre de reserves'!$T$2:$T$1178,"NO",'Registre de reserves'!$I$2:$I$1178,'2024'!$A39,'Registre de reserves'!$B$2:$B$1178,'2024'!X$2,Tabla1[ANY],'2024'!$Z$2)</f>
        <v>0</v>
      </c>
      <c r="Y39" s="21">
        <f t="shared" si="52"/>
        <v>0</v>
      </c>
      <c r="Z39" s="20">
        <f t="shared" si="54"/>
        <v>0</v>
      </c>
      <c r="AA39" s="21">
        <f t="shared" si="55"/>
        <v>0</v>
      </c>
      <c r="AB39" s="178">
        <f t="shared" si="2"/>
        <v>0</v>
      </c>
      <c r="AC39" s="178">
        <v>0</v>
      </c>
    </row>
    <row r="40" spans="1:29" ht="15.75" collapsed="1" thickBot="1" x14ac:dyDescent="0.25">
      <c r="A40" s="14" t="s">
        <v>78</v>
      </c>
      <c r="B40" s="24">
        <f>B41+B49</f>
        <v>1199.42</v>
      </c>
      <c r="C40" s="25">
        <f>IF(B3=0,0,B40/B3)</f>
        <v>0.23065769230769231</v>
      </c>
      <c r="D40" s="24">
        <f>D41+D49</f>
        <v>1484.63</v>
      </c>
      <c r="E40" s="25">
        <f>IF(D3=0,0,D40/D3)</f>
        <v>0.33857012542759407</v>
      </c>
      <c r="F40" s="24">
        <f>F41+F49</f>
        <v>1009.29</v>
      </c>
      <c r="G40" s="25">
        <f>IF(F3=0,0,F40/F3)</f>
        <v>0.20410313447927197</v>
      </c>
      <c r="H40" s="24">
        <f>H41+H49</f>
        <v>1101.24</v>
      </c>
      <c r="I40" s="25">
        <f>IF(H3=0,0,H40/H3)</f>
        <v>0.23888069414316704</v>
      </c>
      <c r="J40" s="24">
        <f>J41+J49</f>
        <v>1813.88</v>
      </c>
      <c r="K40" s="25">
        <f>IF(J3=0,0,J40/J3)</f>
        <v>0.39432173913043483</v>
      </c>
      <c r="L40" s="24">
        <f>L41+L49</f>
        <v>1125.05</v>
      </c>
      <c r="M40" s="25">
        <f>IF(L3=0,0,L40/L3)</f>
        <v>0.24890486725663716</v>
      </c>
      <c r="N40" s="24">
        <f>N41+N49</f>
        <v>1945.95</v>
      </c>
      <c r="O40" s="25">
        <f>IF(N3=0,0,N40/N3)</f>
        <v>0.54892806770098734</v>
      </c>
      <c r="P40" s="24">
        <f>P41+P49</f>
        <v>1115.5</v>
      </c>
      <c r="Q40" s="25">
        <f>IF(P3=0,0,P40/P3)</f>
        <v>0.43745098039215685</v>
      </c>
      <c r="R40" s="24">
        <f>R41+R49</f>
        <v>911.74</v>
      </c>
      <c r="S40" s="25">
        <f>IF(R3=0,0,R40/R3)</f>
        <v>0.22049334945586457</v>
      </c>
      <c r="T40" s="24">
        <f>T41+T49</f>
        <v>1101.3400000000001</v>
      </c>
      <c r="U40" s="25">
        <f>IF(T3=0,0,T40/T3)</f>
        <v>0.28982631578947371</v>
      </c>
      <c r="V40" s="24">
        <f>V41+V49</f>
        <v>1613.77</v>
      </c>
      <c r="W40" s="25">
        <f>IF(V3=0,0,V40/V3)</f>
        <v>0.28972531418312386</v>
      </c>
      <c r="X40" s="24">
        <f>X41+X49</f>
        <v>1341.4299999999998</v>
      </c>
      <c r="Y40" s="25">
        <f>IF(X3=0,0,X40/X3)</f>
        <v>0.18363175906913071</v>
      </c>
      <c r="Z40" s="24">
        <f>Z41+Z49</f>
        <v>15763.24</v>
      </c>
      <c r="AA40" s="25">
        <f>IF(Z3=0,0,Z40/Z3)</f>
        <v>0.28574712226955495</v>
      </c>
      <c r="AB40" s="178">
        <f t="shared" si="2"/>
        <v>1313.6033333333332</v>
      </c>
      <c r="AC40" s="178">
        <v>1407.9120916666668</v>
      </c>
    </row>
    <row r="41" spans="1:29" x14ac:dyDescent="0.2">
      <c r="A41" s="33" t="s">
        <v>79</v>
      </c>
      <c r="B41" s="18">
        <f>SUM(B42:B48)</f>
        <v>671.71</v>
      </c>
      <c r="C41" s="19">
        <f>IF(B$40=0,0,B41/B$40)</f>
        <v>0.56002901402344463</v>
      </c>
      <c r="D41" s="18">
        <f>SUM(D42:D48)</f>
        <v>674.74</v>
      </c>
      <c r="E41" s="19">
        <f>IF(D$40=0,0,D41/D$40)</f>
        <v>0.45448360871058779</v>
      </c>
      <c r="F41" s="18">
        <f>SUM(F42:F48)</f>
        <v>675.05</v>
      </c>
      <c r="G41" s="19">
        <f>IF(F$40=0,0,F41/F$40)</f>
        <v>0.66883650883294199</v>
      </c>
      <c r="H41" s="18">
        <f>SUM(H42:H48)</f>
        <v>674.74</v>
      </c>
      <c r="I41" s="19">
        <f>IF(H$40=0,0,H41/H$40)</f>
        <v>0.61270930950564817</v>
      </c>
      <c r="J41" s="18">
        <f>SUM(J42:J48)</f>
        <v>1014.6700000000001</v>
      </c>
      <c r="K41" s="19">
        <f>IF(J$40=0,0,J41/J$40)</f>
        <v>0.55939202152292322</v>
      </c>
      <c r="L41" s="18">
        <f>SUM(L42:L48)</f>
        <v>674.74</v>
      </c>
      <c r="M41" s="19">
        <f>IF(L$40=0,0,L41/L$40)</f>
        <v>0.59974223367850321</v>
      </c>
      <c r="N41" s="18">
        <f>SUM(N42:N48)</f>
        <v>685.06</v>
      </c>
      <c r="O41" s="19">
        <f>IF(N$40=0,0,N41/N$40)</f>
        <v>0.35204398879724552</v>
      </c>
      <c r="P41" s="18">
        <f>SUM(P42:P48)</f>
        <v>675.24</v>
      </c>
      <c r="Q41" s="19">
        <f>IF(P$40=0,0,P41/P$40)</f>
        <v>0.60532496638278799</v>
      </c>
      <c r="R41" s="18">
        <f>SUM(R42:R48)</f>
        <v>674.74</v>
      </c>
      <c r="S41" s="19">
        <f>IF(R$40=0,0,R41/R$40)</f>
        <v>0.74005747252506193</v>
      </c>
      <c r="T41" s="18">
        <f>SUM(T42:T48)</f>
        <v>675.24</v>
      </c>
      <c r="U41" s="19">
        <f>IF(T$40=0,0,T41/T$40)</f>
        <v>0.61310766883977696</v>
      </c>
      <c r="V41" s="18">
        <f>SUM(V42:V48)</f>
        <v>683.36</v>
      </c>
      <c r="W41" s="19">
        <f>IF(V$40=0,0,V41/V$40)</f>
        <v>0.42345563494178229</v>
      </c>
      <c r="X41" s="18">
        <f>SUM(X42:X48)</f>
        <v>667.53</v>
      </c>
      <c r="Y41" s="19">
        <f>IF(X$40=0,0,X41/X$40)</f>
        <v>0.49762566813027892</v>
      </c>
      <c r="Z41" s="18">
        <f>SUM(Z42:Z48)</f>
        <v>8446.82</v>
      </c>
      <c r="AA41" s="19">
        <f>IF(Z$40=0,0,Z41/Z$40)</f>
        <v>0.53585557283908636</v>
      </c>
      <c r="AB41" s="178">
        <f t="shared" si="2"/>
        <v>703.90166666666664</v>
      </c>
      <c r="AC41" s="178">
        <v>742.13416666666672</v>
      </c>
    </row>
    <row r="42" spans="1:29" hidden="1" outlineLevel="1" x14ac:dyDescent="0.2">
      <c r="A42" s="8" t="s">
        <v>16</v>
      </c>
      <c r="B42" s="20">
        <f>SUMIFS(Tabla2[IMPORT],Tabla2[ANY],$Z$2,Tabla2[MES],'2024'!B$2,Tabla2[TIPUS],'2024'!$A42)</f>
        <v>558</v>
      </c>
      <c r="C42" s="21">
        <f>IF(B$41=0,0,B42/B$41)</f>
        <v>0.8307156362120558</v>
      </c>
      <c r="D42" s="20">
        <f>SUMIFS(Tabla2[IMPORT],Tabla2[ANY],$Z$2,Tabla2[MES],'2024'!D$2,Tabla2[TIPUS],'2024'!$A42)</f>
        <v>558</v>
      </c>
      <c r="E42" s="21">
        <f>IF(D$41=0,0,D42/D$41)</f>
        <v>0.826985209117586</v>
      </c>
      <c r="F42" s="20">
        <f>SUMIFS(Tabla2[IMPORT],Tabla2[ANY],$Z$2,Tabla2[MES],'2024'!F$2,Tabla2[TIPUS],'2024'!$A42)</f>
        <v>558</v>
      </c>
      <c r="G42" s="21">
        <f t="shared" ref="G42:G48" si="56">IF(F$41=0,0,F42/F$41)</f>
        <v>0.8266054366343234</v>
      </c>
      <c r="H42" s="20">
        <f>SUMIFS(Tabla2[IMPORT],Tabla2[ANY],$Z$2,Tabla2[MES],'2024'!H$2,Tabla2[TIPUS],'2024'!$A42)</f>
        <v>558</v>
      </c>
      <c r="I42" s="21">
        <f t="shared" ref="I42:I48" si="57">IF(H$41=0,0,H42/H$41)</f>
        <v>0.826985209117586</v>
      </c>
      <c r="J42" s="20">
        <f>SUMIFS(Tabla2[IMPORT],Tabla2[ANY],$Z$2,Tabla2[MES],'2024'!J$2,Tabla2[TIPUS],'2024'!$A42)</f>
        <v>558</v>
      </c>
      <c r="K42" s="21">
        <f t="shared" ref="K42:K48" si="58">IF(J$41=0,0,J42/J$41)</f>
        <v>0.54993249036632597</v>
      </c>
      <c r="L42" s="20">
        <f>SUMIFS(Tabla2[IMPORT],Tabla2[ANY],$Z$2,Tabla2[MES],'2024'!L$2,Tabla2[TIPUS],'2024'!$A42)</f>
        <v>558</v>
      </c>
      <c r="M42" s="21">
        <f t="shared" ref="M42:M48" si="59">IF(L$41=0,0,L42/L$41)</f>
        <v>0.826985209117586</v>
      </c>
      <c r="N42" s="20">
        <f>SUMIFS(Tabla2[IMPORT],Tabla2[ANY],$Z$2,Tabla2[MES],'2024'!N$2,Tabla2[TIPUS],'2024'!$A42)</f>
        <v>558</v>
      </c>
      <c r="O42" s="21">
        <f t="shared" ref="O42:O48" si="60">IF(N$41=0,0,N42/N$41)</f>
        <v>0.81452719469827461</v>
      </c>
      <c r="P42" s="20">
        <f>SUMIFS(Tabla2[IMPORT],Tabla2[ANY],$Z$2,Tabla2[MES],'2024'!P$2,Tabla2[TIPUS],'2024'!$A42)</f>
        <v>558</v>
      </c>
      <c r="Q42" s="21">
        <f t="shared" ref="Q42:Q48" si="61">IF(P$41=0,0,P42/P$41)</f>
        <v>0.82637284521059173</v>
      </c>
      <c r="R42" s="20">
        <f>SUMIFS(Tabla2[IMPORT],Tabla2[ANY],$Z$2,Tabla2[MES],'2024'!R$2,Tabla2[TIPUS],'2024'!$A42)</f>
        <v>558</v>
      </c>
      <c r="S42" s="21">
        <f t="shared" ref="S42:S48" si="62">IF(R$41=0,0,R42/R$41)</f>
        <v>0.826985209117586</v>
      </c>
      <c r="T42" s="20">
        <f>SUMIFS(Tabla2[IMPORT],Tabla2[ANY],$Z$2,Tabla2[MES],'2024'!T$2,Tabla2[TIPUS],'2024'!$A42)</f>
        <v>558</v>
      </c>
      <c r="U42" s="21">
        <f t="shared" ref="U42:U48" si="63">IF(T$41=0,0,T42/T$41)</f>
        <v>0.82637284521059173</v>
      </c>
      <c r="V42" s="20">
        <f>SUMIFS(Tabla2[IMPORT],Tabla2[ANY],$Z$2,Tabla2[MES],'2024'!V$2,Tabla2[TIPUS],'2024'!$A42)</f>
        <v>558</v>
      </c>
      <c r="W42" s="21">
        <f t="shared" ref="W42:W48" si="64">IF(V$41=0,0,V42/V$41)</f>
        <v>0.81655350035120577</v>
      </c>
      <c r="X42" s="20">
        <f>SUMIFS(Tabla2[IMPORT],Tabla2[ANY],$Z$2,Tabla2[MES],'2024'!X$2,Tabla2[TIPUS],'2024'!$A42)</f>
        <v>558</v>
      </c>
      <c r="Y42" s="21">
        <f t="shared" ref="Y42:Y48" si="65">IF(X$41=0,0,X42/X$41)</f>
        <v>0.83591748685452338</v>
      </c>
      <c r="Z42" s="20">
        <f t="shared" ref="Z42:Z54" si="66">B42+D42+F42+H42+J42+L42+N42+P42+R42+T42+V42+X42</f>
        <v>6696</v>
      </c>
      <c r="AA42" s="21">
        <f>IF(Z$41=0,0,Z42/Z$41)</f>
        <v>0.7927243625411694</v>
      </c>
      <c r="AB42" s="178">
        <f t="shared" si="2"/>
        <v>558</v>
      </c>
      <c r="AC42" s="178">
        <v>558</v>
      </c>
    </row>
    <row r="43" spans="1:29" hidden="1" outlineLevel="1" x14ac:dyDescent="0.2">
      <c r="A43" s="8" t="s">
        <v>17</v>
      </c>
      <c r="B43" s="20">
        <f>SUMIFS(Tabla2[IMPORT],Tabla2[ANY],$Z$2,Tabla2[MES],'2024'!B$2,Tabla2[TIPUS],'2024'!$A43)</f>
        <v>0</v>
      </c>
      <c r="C43" s="21">
        <f t="shared" ref="C43:E48" si="67">IF(B$41=0,0,B43/B$41)</f>
        <v>0</v>
      </c>
      <c r="D43" s="20">
        <f>SUMIFS(Tabla2[IMPORT],Tabla2[ANY],$Z$2,Tabla2[MES],'2024'!D$2,Tabla2[TIPUS],'2024'!$A43)</f>
        <v>0</v>
      </c>
      <c r="E43" s="21">
        <f t="shared" si="67"/>
        <v>0</v>
      </c>
      <c r="F43" s="20">
        <f>SUMIFS(Tabla2[IMPORT],Tabla2[ANY],$Z$2,Tabla2[MES],'2024'!F$2,Tabla2[TIPUS],'2024'!$A43)</f>
        <v>0</v>
      </c>
      <c r="G43" s="21">
        <f t="shared" si="56"/>
        <v>0</v>
      </c>
      <c r="H43" s="20">
        <f>SUMIFS(Tabla2[IMPORT],Tabla2[ANY],$Z$2,Tabla2[MES],'2024'!H$2,Tabla2[TIPUS],'2024'!$A43)</f>
        <v>0</v>
      </c>
      <c r="I43" s="21">
        <f t="shared" si="57"/>
        <v>0</v>
      </c>
      <c r="J43" s="20">
        <f>SUMIFS(Tabla2[IMPORT],Tabla2[ANY],$Z$2,Tabla2[MES],'2024'!J$2,Tabla2[TIPUS],'2024'!$A43)</f>
        <v>0</v>
      </c>
      <c r="K43" s="21">
        <f t="shared" si="58"/>
        <v>0</v>
      </c>
      <c r="L43" s="20">
        <f>SUMIFS(Tabla2[IMPORT],Tabla2[ANY],$Z$2,Tabla2[MES],'2024'!L$2,Tabla2[TIPUS],'2024'!$A43)</f>
        <v>0</v>
      </c>
      <c r="M43" s="21">
        <f t="shared" si="59"/>
        <v>0</v>
      </c>
      <c r="N43" s="20">
        <f>SUMIFS(Tabla2[IMPORT],Tabla2[ANY],$Z$2,Tabla2[MES],'2024'!N$2,Tabla2[TIPUS],'2024'!$A43)</f>
        <v>0</v>
      </c>
      <c r="O43" s="21">
        <f t="shared" si="60"/>
        <v>0</v>
      </c>
      <c r="P43" s="20">
        <f>SUMIFS(Tabla2[IMPORT],Tabla2[ANY],$Z$2,Tabla2[MES],'2024'!P$2,Tabla2[TIPUS],'2024'!$A43)</f>
        <v>0</v>
      </c>
      <c r="Q43" s="21">
        <f t="shared" si="61"/>
        <v>0</v>
      </c>
      <c r="R43" s="20">
        <f>SUMIFS(Tabla2[IMPORT],Tabla2[ANY],$Z$2,Tabla2[MES],'2024'!R$2,Tabla2[TIPUS],'2024'!$A43)</f>
        <v>0</v>
      </c>
      <c r="S43" s="21">
        <f t="shared" si="62"/>
        <v>0</v>
      </c>
      <c r="T43" s="20">
        <f>SUMIFS(Tabla2[IMPORT],Tabla2[ANY],$Z$2,Tabla2[MES],'2024'!T$2,Tabla2[TIPUS],'2024'!$A43)</f>
        <v>0</v>
      </c>
      <c r="U43" s="21">
        <f t="shared" si="63"/>
        <v>0</v>
      </c>
      <c r="V43" s="20">
        <f>SUMIFS(Tabla2[IMPORT],Tabla2[ANY],$Z$2,Tabla2[MES],'2024'!V$2,Tabla2[TIPUS],'2024'!$A43)</f>
        <v>0</v>
      </c>
      <c r="W43" s="21">
        <f t="shared" si="64"/>
        <v>0</v>
      </c>
      <c r="X43" s="20">
        <f>SUMIFS(Tabla2[IMPORT],Tabla2[ANY],$Z$2,Tabla2[MES],'2024'!X$2,Tabla2[TIPUS],'2024'!$A43)</f>
        <v>0</v>
      </c>
      <c r="Y43" s="21">
        <f t="shared" si="65"/>
        <v>0</v>
      </c>
      <c r="Z43" s="20">
        <f t="shared" si="66"/>
        <v>0</v>
      </c>
      <c r="AA43" s="21">
        <f t="shared" ref="AA43:AA48" si="68">IF(Z$41=0,0,Z43/Z$41)</f>
        <v>0</v>
      </c>
      <c r="AB43" s="178">
        <f t="shared" si="2"/>
        <v>0</v>
      </c>
      <c r="AC43" s="178">
        <v>0</v>
      </c>
    </row>
    <row r="44" spans="1:29" hidden="1" outlineLevel="1" x14ac:dyDescent="0.2">
      <c r="A44" s="8" t="s">
        <v>85</v>
      </c>
      <c r="B44" s="20">
        <f>SUMIFS(Tabla2[IMPORT],Tabla2[ANY],$Z$2,Tabla2[MES],'2024'!B$2,Tabla2[TIPUS],'2024'!$A44)</f>
        <v>60.5</v>
      </c>
      <c r="C44" s="21">
        <f t="shared" si="67"/>
        <v>9.0068630807937949E-2</v>
      </c>
      <c r="D44" s="20">
        <f>SUMIFS(Tabla2[IMPORT],Tabla2[ANY],$Z$2,Tabla2[MES],'2024'!D$2,Tabla2[TIPUS],'2024'!$A44)</f>
        <v>63.53</v>
      </c>
      <c r="E44" s="21">
        <f t="shared" si="67"/>
        <v>9.4154785547025527E-2</v>
      </c>
      <c r="F44" s="20">
        <f>SUMIFS(Tabla2[IMPORT],Tabla2[ANY],$Z$2,Tabla2[MES],'2024'!F$2,Tabla2[TIPUS],'2024'!$A44)</f>
        <v>63.53</v>
      </c>
      <c r="G44" s="21">
        <f t="shared" si="56"/>
        <v>9.4111547292793141E-2</v>
      </c>
      <c r="H44" s="20">
        <f>SUMIFS(Tabla2[IMPORT],Tabla2[ANY],$Z$2,Tabla2[MES],'2024'!H$2,Tabla2[TIPUS],'2024'!$A44)</f>
        <v>63.53</v>
      </c>
      <c r="I44" s="21">
        <f t="shared" si="57"/>
        <v>9.4154785547025527E-2</v>
      </c>
      <c r="J44" s="20">
        <f>SUMIFS(Tabla2[IMPORT],Tabla2[ANY],$Z$2,Tabla2[MES],'2024'!J$2,Tabla2[TIPUS],'2024'!$A44)</f>
        <v>63.53</v>
      </c>
      <c r="K44" s="21">
        <f t="shared" si="58"/>
        <v>6.2611489449771837E-2</v>
      </c>
      <c r="L44" s="20">
        <f>SUMIFS(Tabla2[IMPORT],Tabla2[ANY],$Z$2,Tabla2[MES],'2024'!L$2,Tabla2[TIPUS],'2024'!$A44)</f>
        <v>63.53</v>
      </c>
      <c r="M44" s="21">
        <f t="shared" si="59"/>
        <v>9.4154785547025527E-2</v>
      </c>
      <c r="N44" s="20">
        <f>SUMIFS(Tabla2[IMPORT],Tabla2[ANY],$Z$2,Tabla2[MES],'2024'!N$2,Tabla2[TIPUS],'2024'!$A44)</f>
        <v>63.53</v>
      </c>
      <c r="O44" s="21">
        <f t="shared" si="60"/>
        <v>9.2736402650862707E-2</v>
      </c>
      <c r="P44" s="20">
        <f>SUMIFS(Tabla2[IMPORT],Tabla2[ANY],$Z$2,Tabla2[MES],'2024'!P$2,Tabla2[TIPUS],'2024'!$A44)</f>
        <v>63.53</v>
      </c>
      <c r="Q44" s="21">
        <f t="shared" si="61"/>
        <v>9.4085066050589417E-2</v>
      </c>
      <c r="R44" s="20">
        <f>SUMIFS(Tabla2[IMPORT],Tabla2[ANY],$Z$2,Tabla2[MES],'2024'!R$2,Tabla2[TIPUS],'2024'!$A44)</f>
        <v>63.53</v>
      </c>
      <c r="S44" s="21">
        <f t="shared" si="62"/>
        <v>9.4154785547025527E-2</v>
      </c>
      <c r="T44" s="20">
        <f>SUMIFS(Tabla2[IMPORT],Tabla2[ANY],$Z$2,Tabla2[MES],'2024'!T$2,Tabla2[TIPUS],'2024'!$A44)</f>
        <v>63.53</v>
      </c>
      <c r="U44" s="21">
        <f t="shared" si="63"/>
        <v>9.4085066050589417E-2</v>
      </c>
      <c r="V44" s="20">
        <f>SUMIFS(Tabla2[IMPORT],Tabla2[ANY],$Z$2,Tabla2[MES],'2024'!V$2,Tabla2[TIPUS],'2024'!$A44)</f>
        <v>63.53</v>
      </c>
      <c r="W44" s="21">
        <f t="shared" si="64"/>
        <v>9.2967103722781552E-2</v>
      </c>
      <c r="X44" s="20">
        <f>SUMIFS(Tabla2[IMPORT],Tabla2[ANY],$Z$2,Tabla2[MES],'2024'!X$2,Tabla2[TIPUS],'2024'!$A44)</f>
        <v>63.53</v>
      </c>
      <c r="Y44" s="21">
        <f t="shared" si="65"/>
        <v>9.5171752580408372E-2</v>
      </c>
      <c r="Z44" s="20">
        <f t="shared" si="66"/>
        <v>759.32999999999981</v>
      </c>
      <c r="AA44" s="21">
        <f t="shared" si="68"/>
        <v>8.989536890806242E-2</v>
      </c>
      <c r="AB44" s="178">
        <f t="shared" si="2"/>
        <v>63.277499999999982</v>
      </c>
      <c r="AC44" s="178">
        <v>50.416666666666664</v>
      </c>
    </row>
    <row r="45" spans="1:29" hidden="1" outlineLevel="1" x14ac:dyDescent="0.2">
      <c r="A45" s="8" t="s">
        <v>94</v>
      </c>
      <c r="B45" s="20">
        <f>SUMIFS(Tabla2[IMPORT],Tabla2[ANY],$Z$2,Tabla2[MES],'2024'!B$2,Tabla2[TIPUS],'2024'!$A45)</f>
        <v>0</v>
      </c>
      <c r="C45" s="21">
        <f t="shared" si="67"/>
        <v>0</v>
      </c>
      <c r="D45" s="20">
        <f>SUMIFS(Tabla2[IMPORT],Tabla2[ANY],$Z$2,Tabla2[MES],'2024'!D$2,Tabla2[TIPUS],'2024'!$A45)</f>
        <v>0</v>
      </c>
      <c r="E45" s="21">
        <f t="shared" si="67"/>
        <v>0</v>
      </c>
      <c r="F45" s="20">
        <f>SUMIFS(Tabla2[IMPORT],Tabla2[ANY],$Z$2,Tabla2[MES],'2024'!F$2,Tabla2[TIPUS],'2024'!$A45)</f>
        <v>0</v>
      </c>
      <c r="G45" s="21">
        <f t="shared" si="56"/>
        <v>0</v>
      </c>
      <c r="H45" s="20">
        <f>SUMIFS(Tabla2[IMPORT],Tabla2[ANY],$Z$2,Tabla2[MES],'2024'!H$2,Tabla2[TIPUS],'2024'!$A45)</f>
        <v>0</v>
      </c>
      <c r="I45" s="21">
        <f t="shared" si="57"/>
        <v>0</v>
      </c>
      <c r="J45" s="20">
        <f>SUMIFS(Tabla2[IMPORT],Tabla2[ANY],$Z$2,Tabla2[MES],'2024'!J$2,Tabla2[TIPUS],'2024'!$A45)</f>
        <v>339.43</v>
      </c>
      <c r="K45" s="21">
        <f t="shared" si="58"/>
        <v>0.33452255413089971</v>
      </c>
      <c r="L45" s="20">
        <f>SUMIFS(Tabla2[IMPORT],Tabla2[ANY],$Z$2,Tabla2[MES],'2024'!L$2,Tabla2[TIPUS],'2024'!$A45)</f>
        <v>0</v>
      </c>
      <c r="M45" s="21">
        <f t="shared" si="59"/>
        <v>0</v>
      </c>
      <c r="N45" s="20">
        <f>SUMIFS(Tabla2[IMPORT],Tabla2[ANY],$Z$2,Tabla2[MES],'2024'!N$2,Tabla2[TIPUS],'2024'!$A45)</f>
        <v>0</v>
      </c>
      <c r="O45" s="21">
        <f t="shared" si="60"/>
        <v>0</v>
      </c>
      <c r="P45" s="20">
        <f>SUMIFS(Tabla2[IMPORT],Tabla2[ANY],$Z$2,Tabla2[MES],'2024'!P$2,Tabla2[TIPUS],'2024'!$A45)</f>
        <v>0</v>
      </c>
      <c r="Q45" s="21">
        <f t="shared" si="61"/>
        <v>0</v>
      </c>
      <c r="R45" s="20">
        <f>SUMIFS(Tabla2[IMPORT],Tabla2[ANY],$Z$2,Tabla2[MES],'2024'!R$2,Tabla2[TIPUS],'2024'!$A45)</f>
        <v>0</v>
      </c>
      <c r="S45" s="21">
        <f t="shared" si="62"/>
        <v>0</v>
      </c>
      <c r="T45" s="20">
        <f>SUMIFS(Tabla2[IMPORT],Tabla2[ANY],$Z$2,Tabla2[MES],'2024'!T$2,Tabla2[TIPUS],'2024'!$A45)</f>
        <v>0</v>
      </c>
      <c r="U45" s="21">
        <f t="shared" si="63"/>
        <v>0</v>
      </c>
      <c r="V45" s="20">
        <f>SUMIFS(Tabla2[IMPORT],Tabla2[ANY],$Z$2,Tabla2[MES],'2024'!V$2,Tabla2[TIPUS],'2024'!$A45)</f>
        <v>0</v>
      </c>
      <c r="W45" s="21">
        <f t="shared" si="64"/>
        <v>0</v>
      </c>
      <c r="X45" s="20">
        <f>SUMIFS(Tabla2[IMPORT],Tabla2[ANY],$Z$2,Tabla2[MES],'2024'!X$2,Tabla2[TIPUS],'2024'!$A45)</f>
        <v>0</v>
      </c>
      <c r="Y45" s="21">
        <f t="shared" si="65"/>
        <v>0</v>
      </c>
      <c r="Z45" s="20">
        <f t="shared" si="66"/>
        <v>339.43</v>
      </c>
      <c r="AA45" s="21">
        <f t="shared" si="68"/>
        <v>4.0184353401635176E-2</v>
      </c>
      <c r="AB45" s="178">
        <f t="shared" si="2"/>
        <v>28.285833333333333</v>
      </c>
      <c r="AC45" s="178">
        <v>15.636666666666665</v>
      </c>
    </row>
    <row r="46" spans="1:29" hidden="1" outlineLevel="1" x14ac:dyDescent="0.2">
      <c r="A46" s="8" t="s">
        <v>118</v>
      </c>
      <c r="B46" s="20">
        <f>SUMIFS(Tabla2[IMPORT],Tabla2[ANY],$Z$2,Tabla2[MES],'2024'!B$2,Tabla2[TIPUS],'2024'!$A46)</f>
        <v>0</v>
      </c>
      <c r="C46" s="21">
        <f t="shared" si="67"/>
        <v>0</v>
      </c>
      <c r="D46" s="20">
        <f>SUMIFS(Tabla2[IMPORT],Tabla2[ANY],$Z$2,Tabla2[MES],'2024'!D$2,Tabla2[TIPUS],'2024'!$A46)</f>
        <v>0</v>
      </c>
      <c r="E46" s="21">
        <f t="shared" si="67"/>
        <v>0</v>
      </c>
      <c r="F46" s="20">
        <f>SUMIFS(Tabla2[IMPORT],Tabla2[ANY],$Z$2,Tabla2[MES],'2024'!F$2,Tabla2[TIPUS],'2024'!$A46)</f>
        <v>0</v>
      </c>
      <c r="G46" s="21">
        <f t="shared" si="56"/>
        <v>0</v>
      </c>
      <c r="H46" s="20">
        <f>SUMIFS(Tabla2[IMPORT],Tabla2[ANY],$Z$2,Tabla2[MES],'2024'!H$2,Tabla2[TIPUS],'2024'!$A46)</f>
        <v>0</v>
      </c>
      <c r="I46" s="21">
        <f t="shared" si="57"/>
        <v>0</v>
      </c>
      <c r="J46" s="20">
        <f>SUMIFS(Tabla2[IMPORT],Tabla2[ANY],$Z$2,Tabla2[MES],'2024'!J$2,Tabla2[TIPUS],'2024'!$A46)</f>
        <v>0</v>
      </c>
      <c r="K46" s="21">
        <f t="shared" si="58"/>
        <v>0</v>
      </c>
      <c r="L46" s="20">
        <f>SUMIFS(Tabla2[IMPORT],Tabla2[ANY],$Z$2,Tabla2[MES],'2024'!L$2,Tabla2[TIPUS],'2024'!$A46)</f>
        <v>0</v>
      </c>
      <c r="M46" s="21">
        <f t="shared" si="59"/>
        <v>0</v>
      </c>
      <c r="N46" s="20">
        <f>SUMIFS(Tabla2[IMPORT],Tabla2[ANY],$Z$2,Tabla2[MES],'2024'!N$2,Tabla2[TIPUS],'2024'!$A46)</f>
        <v>0</v>
      </c>
      <c r="O46" s="21">
        <f t="shared" si="60"/>
        <v>0</v>
      </c>
      <c r="P46" s="20">
        <f>SUMIFS(Tabla2[IMPORT],Tabla2[ANY],$Z$2,Tabla2[MES],'2024'!P$2,Tabla2[TIPUS],'2024'!$A46)</f>
        <v>0</v>
      </c>
      <c r="Q46" s="21">
        <f t="shared" si="61"/>
        <v>0</v>
      </c>
      <c r="R46" s="20">
        <f>SUMIFS(Tabla2[IMPORT],Tabla2[ANY],$Z$2,Tabla2[MES],'2024'!R$2,Tabla2[TIPUS],'2024'!$A46)</f>
        <v>0</v>
      </c>
      <c r="S46" s="21">
        <f t="shared" si="62"/>
        <v>0</v>
      </c>
      <c r="T46" s="20">
        <f>SUMIFS(Tabla2[IMPORT],Tabla2[ANY],$Z$2,Tabla2[MES],'2024'!T$2,Tabla2[TIPUS],'2024'!$A46)</f>
        <v>0</v>
      </c>
      <c r="U46" s="21">
        <f t="shared" si="63"/>
        <v>0</v>
      </c>
      <c r="V46" s="20">
        <f>SUMIFS(Tabla2[IMPORT],Tabla2[ANY],$Z$2,Tabla2[MES],'2024'!V$2,Tabla2[TIPUS],'2024'!$A46)</f>
        <v>0</v>
      </c>
      <c r="W46" s="21">
        <f t="shared" si="64"/>
        <v>0</v>
      </c>
      <c r="X46" s="20">
        <f>SUMIFS(Tabla2[IMPORT],Tabla2[ANY],$Z$2,Tabla2[MES],'2024'!X$2,Tabla2[TIPUS],'2024'!$A46)</f>
        <v>46</v>
      </c>
      <c r="Y46" s="21">
        <f t="shared" si="65"/>
        <v>6.8910760565068244E-2</v>
      </c>
      <c r="Z46" s="20">
        <f t="shared" si="66"/>
        <v>46</v>
      </c>
      <c r="AA46" s="21">
        <f t="shared" si="68"/>
        <v>5.4458364212804349E-3</v>
      </c>
      <c r="AB46" s="178">
        <f t="shared" si="2"/>
        <v>3.8333333333333335</v>
      </c>
      <c r="AC46" s="178">
        <v>52.231666666666662</v>
      </c>
    </row>
    <row r="47" spans="1:29" hidden="1" outlineLevel="1" x14ac:dyDescent="0.2">
      <c r="A47" s="8" t="s">
        <v>97</v>
      </c>
      <c r="B47" s="20">
        <f>SUMIFS(Tabla2[IMPORT],Tabla2[ANY],$Z$2,Tabla2[MES],'2024'!B$2,Tabla2[TIPUS],'2024'!$A47)</f>
        <v>0</v>
      </c>
      <c r="C47" s="21">
        <f t="shared" si="67"/>
        <v>0</v>
      </c>
      <c r="D47" s="20">
        <f>SUMIFS(Tabla2[IMPORT],Tabla2[ANY],$Z$2,Tabla2[MES],'2024'!D$2,Tabla2[TIPUS],'2024'!$A47)</f>
        <v>0</v>
      </c>
      <c r="E47" s="21">
        <f t="shared" si="67"/>
        <v>0</v>
      </c>
      <c r="F47" s="20">
        <f>SUMIFS(Tabla2[IMPORT],Tabla2[ANY],$Z$2,Tabla2[MES],'2024'!F$2,Tabla2[TIPUS],'2024'!$A47)</f>
        <v>0</v>
      </c>
      <c r="G47" s="21">
        <f t="shared" si="56"/>
        <v>0</v>
      </c>
      <c r="H47" s="20">
        <f>SUMIFS(Tabla2[IMPORT],Tabla2[ANY],$Z$2,Tabla2[MES],'2024'!H$2,Tabla2[TIPUS],'2024'!$A47)</f>
        <v>0</v>
      </c>
      <c r="I47" s="21">
        <f t="shared" si="57"/>
        <v>0</v>
      </c>
      <c r="J47" s="20">
        <f>SUMIFS(Tabla2[IMPORT],Tabla2[ANY],$Z$2,Tabla2[MES],'2024'!J$2,Tabla2[TIPUS],'2024'!$A47)</f>
        <v>0</v>
      </c>
      <c r="K47" s="21">
        <f t="shared" si="58"/>
        <v>0</v>
      </c>
      <c r="L47" s="20">
        <f>SUMIFS(Tabla2[IMPORT],Tabla2[ANY],$Z$2,Tabla2[MES],'2024'!L$2,Tabla2[TIPUS],'2024'!$A47)</f>
        <v>0</v>
      </c>
      <c r="M47" s="21">
        <f t="shared" si="59"/>
        <v>0</v>
      </c>
      <c r="N47" s="20">
        <f>SUMIFS(Tabla2[IMPORT],Tabla2[ANY],$Z$2,Tabla2[MES],'2024'!N$2,Tabla2[TIPUS],'2024'!$A47)</f>
        <v>0</v>
      </c>
      <c r="O47" s="21">
        <f t="shared" si="60"/>
        <v>0</v>
      </c>
      <c r="P47" s="20">
        <f>SUMIFS(Tabla2[IMPORT],Tabla2[ANY],$Z$2,Tabla2[MES],'2024'!P$2,Tabla2[TIPUS],'2024'!$A47)</f>
        <v>0</v>
      </c>
      <c r="Q47" s="21">
        <f t="shared" si="61"/>
        <v>0</v>
      </c>
      <c r="R47" s="20">
        <f>SUMIFS(Tabla2[IMPORT],Tabla2[ANY],$Z$2,Tabla2[MES],'2024'!R$2,Tabla2[TIPUS],'2024'!$A47)</f>
        <v>0</v>
      </c>
      <c r="S47" s="21">
        <f t="shared" si="62"/>
        <v>0</v>
      </c>
      <c r="T47" s="20">
        <f>SUMIFS(Tabla2[IMPORT],Tabla2[ANY],$Z$2,Tabla2[MES],'2024'!T$2,Tabla2[TIPUS],'2024'!$A47)</f>
        <v>0</v>
      </c>
      <c r="U47" s="21">
        <f t="shared" si="63"/>
        <v>0</v>
      </c>
      <c r="V47" s="20">
        <f>SUMIFS(Tabla2[IMPORT],Tabla2[ANY],$Z$2,Tabla2[MES],'2024'!V$2,Tabla2[TIPUS],'2024'!$A47)</f>
        <v>0</v>
      </c>
      <c r="W47" s="21">
        <f t="shared" si="64"/>
        <v>0</v>
      </c>
      <c r="X47" s="20">
        <f>SUMIFS(Tabla2[IMPORT],Tabla2[ANY],$Z$2,Tabla2[MES],'2024'!X$2,Tabla2[TIPUS],'2024'!$A47)</f>
        <v>0</v>
      </c>
      <c r="Y47" s="21">
        <f t="shared" si="65"/>
        <v>0</v>
      </c>
      <c r="Z47" s="20">
        <f t="shared" si="66"/>
        <v>0</v>
      </c>
      <c r="AA47" s="21">
        <f t="shared" si="68"/>
        <v>0</v>
      </c>
      <c r="AB47" s="178">
        <f t="shared" si="2"/>
        <v>0</v>
      </c>
      <c r="AC47" s="178">
        <v>1.5</v>
      </c>
    </row>
    <row r="48" spans="1:29" hidden="1" outlineLevel="1" x14ac:dyDescent="0.2">
      <c r="A48" s="8" t="s">
        <v>113</v>
      </c>
      <c r="B48" s="20">
        <f>SUMIFS(Tabla2[IMPORT],Tabla2[ANY],$Z$2,Tabla2[MES],'2024'!B$2,Tabla2[TIPUS],'2024'!$A48)</f>
        <v>53.21</v>
      </c>
      <c r="C48" s="21">
        <f t="shared" si="67"/>
        <v>7.9215732980006254E-2</v>
      </c>
      <c r="D48" s="20">
        <f>SUMIFS(Tabla2[IMPORT],Tabla2[ANY],$Z$2,Tabla2[MES],'2024'!D$2,Tabla2[TIPUS],'2024'!$A48)</f>
        <v>53.21</v>
      </c>
      <c r="E48" s="21">
        <f t="shared" si="67"/>
        <v>7.886000533538845E-2</v>
      </c>
      <c r="F48" s="20">
        <f>SUMIFS(Tabla2[IMPORT],Tabla2[ANY],$Z$2,Tabla2[MES],'2024'!F$2,Tabla2[TIPUS],'2024'!$A48)</f>
        <v>53.52</v>
      </c>
      <c r="G48" s="21">
        <f t="shared" si="56"/>
        <v>7.9283016072883503E-2</v>
      </c>
      <c r="H48" s="20">
        <f>SUMIFS(Tabla2[IMPORT],Tabla2[ANY],$Z$2,Tabla2[MES],'2024'!H$2,Tabla2[TIPUS],'2024'!$A48)</f>
        <v>53.21</v>
      </c>
      <c r="I48" s="21">
        <f t="shared" si="57"/>
        <v>7.886000533538845E-2</v>
      </c>
      <c r="J48" s="20">
        <f>SUMIFS(Tabla2[IMPORT],Tabla2[ANY],$Z$2,Tabla2[MES],'2024'!J$2,Tabla2[TIPUS],'2024'!$A48)</f>
        <v>53.71</v>
      </c>
      <c r="K48" s="21">
        <f t="shared" si="58"/>
        <v>5.2933466053002448E-2</v>
      </c>
      <c r="L48" s="20">
        <f>SUMIFS(Tabla2[IMPORT],Tabla2[ANY],$Z$2,Tabla2[MES],'2024'!L$2,Tabla2[TIPUS],'2024'!$A48)</f>
        <v>53.21</v>
      </c>
      <c r="M48" s="21">
        <f t="shared" si="59"/>
        <v>7.886000533538845E-2</v>
      </c>
      <c r="N48" s="20">
        <f>SUMIFS(Tabla2[IMPORT],Tabla2[ANY],$Z$2,Tabla2[MES],'2024'!N$2,Tabla2[TIPUS],'2024'!$A48)</f>
        <v>63.53</v>
      </c>
      <c r="O48" s="21">
        <f t="shared" si="60"/>
        <v>9.2736402650862707E-2</v>
      </c>
      <c r="P48" s="20">
        <f>SUMIFS(Tabla2[IMPORT],Tabla2[ANY],$Z$2,Tabla2[MES],'2024'!P$2,Tabla2[TIPUS],'2024'!$A48)</f>
        <v>53.71</v>
      </c>
      <c r="Q48" s="21">
        <f t="shared" si="61"/>
        <v>7.9542088738818795E-2</v>
      </c>
      <c r="R48" s="20">
        <f>SUMIFS(Tabla2[IMPORT],Tabla2[ANY],$Z$2,Tabla2[MES],'2024'!R$2,Tabla2[TIPUS],'2024'!$A48)</f>
        <v>53.21</v>
      </c>
      <c r="S48" s="21">
        <f t="shared" si="62"/>
        <v>7.886000533538845E-2</v>
      </c>
      <c r="T48" s="20">
        <f>SUMIFS(Tabla2[IMPORT],Tabla2[ANY],$Z$2,Tabla2[MES],'2024'!T$2,Tabla2[TIPUS],'2024'!$A48)</f>
        <v>53.71</v>
      </c>
      <c r="U48" s="21">
        <f t="shared" si="63"/>
        <v>7.9542088738818795E-2</v>
      </c>
      <c r="V48" s="20">
        <f>SUMIFS(Tabla2[IMPORT],Tabla2[ANY],$Z$2,Tabla2[MES],'2024'!V$2,Tabla2[TIPUS],'2024'!$A48)</f>
        <v>61.83</v>
      </c>
      <c r="W48" s="21">
        <f t="shared" si="64"/>
        <v>9.0479395926012646E-2</v>
      </c>
      <c r="X48" s="20">
        <f>SUMIFS(Tabla2[IMPORT],Tabla2[ANY],$Z$2,Tabla2[MES],'2024'!X$2,Tabla2[TIPUS],'2024'!$A48)</f>
        <v>0</v>
      </c>
      <c r="Y48" s="21">
        <f t="shared" si="65"/>
        <v>0</v>
      </c>
      <c r="Z48" s="20">
        <f t="shared" si="66"/>
        <v>606.06000000000006</v>
      </c>
      <c r="AA48" s="21">
        <f t="shared" si="68"/>
        <v>7.175007872785262E-2</v>
      </c>
      <c r="AB48" s="178">
        <f t="shared" si="2"/>
        <v>50.505000000000003</v>
      </c>
      <c r="AC48" s="178">
        <v>64.349166666666676</v>
      </c>
    </row>
    <row r="49" spans="1:30" collapsed="1" x14ac:dyDescent="0.2">
      <c r="A49" s="34" t="s">
        <v>86</v>
      </c>
      <c r="B49" s="18">
        <f>SUM(B50:B54)</f>
        <v>527.71</v>
      </c>
      <c r="C49" s="19">
        <f>IF(B$40=0,0,B49/B$40)</f>
        <v>0.43997098597655532</v>
      </c>
      <c r="D49" s="18">
        <f>SUM(D50:D54)</f>
        <v>809.89</v>
      </c>
      <c r="E49" s="19">
        <f>IF(D$40=0,0,D49/D$40)</f>
        <v>0.54551639128941209</v>
      </c>
      <c r="F49" s="18">
        <f>SUM(F50:F54)</f>
        <v>334.23999999999995</v>
      </c>
      <c r="G49" s="19">
        <f>IF(F$40=0,0,F49/F$40)</f>
        <v>0.33116349116705801</v>
      </c>
      <c r="H49" s="18">
        <f>SUM(H50:H54)</f>
        <v>426.5</v>
      </c>
      <c r="I49" s="19">
        <f>IF(H$40=0,0,H49/H$40)</f>
        <v>0.38729069049435183</v>
      </c>
      <c r="J49" s="18">
        <f>SUM(J50:J54)</f>
        <v>799.21</v>
      </c>
      <c r="K49" s="19">
        <f>IF(J$40=0,0,J49/J$40)</f>
        <v>0.44060797847707678</v>
      </c>
      <c r="L49" s="18">
        <f>SUM(L50:L54)</f>
        <v>450.31</v>
      </c>
      <c r="M49" s="19">
        <f>IF(L$40=0,0,L49/L$40)</f>
        <v>0.40025776632149684</v>
      </c>
      <c r="N49" s="18">
        <f>SUM(N50:N54)</f>
        <v>1260.8900000000001</v>
      </c>
      <c r="O49" s="19">
        <f>IF(N$40=0,0,N49/N$40)</f>
        <v>0.64795601120275448</v>
      </c>
      <c r="P49" s="18">
        <f>SUM(P50:P54)</f>
        <v>440.26000000000005</v>
      </c>
      <c r="Q49" s="19">
        <f>IF(P$40=0,0,P49/P$40)</f>
        <v>0.39467503361721207</v>
      </c>
      <c r="R49" s="18">
        <f>SUM(R50:R54)</f>
        <v>237</v>
      </c>
      <c r="S49" s="19">
        <f>IF(R$40=0,0,R49/R$40)</f>
        <v>0.25994252747493801</v>
      </c>
      <c r="T49" s="18">
        <f>SUM(T50:T54)</f>
        <v>426.1</v>
      </c>
      <c r="U49" s="19">
        <f>IF(T$40=0,0,T49/T$40)</f>
        <v>0.38689233116022298</v>
      </c>
      <c r="V49" s="18">
        <f>SUM(V50:V54)</f>
        <v>930.41</v>
      </c>
      <c r="W49" s="19">
        <f>IF(V$40=0,0,V49/V$40)</f>
        <v>0.57654436505821771</v>
      </c>
      <c r="X49" s="18">
        <f>SUM(X50:X54)</f>
        <v>673.9</v>
      </c>
      <c r="Y49" s="19">
        <f>IF(X$40=0,0,X49/X$40)</f>
        <v>0.50237433186972114</v>
      </c>
      <c r="Z49" s="18">
        <f>SUM(Z50:Z54)</f>
        <v>7316.42</v>
      </c>
      <c r="AA49" s="19">
        <f>IF(Z$40=0,0,Z49/Z$40)</f>
        <v>0.46414442716091364</v>
      </c>
      <c r="AB49" s="178">
        <f t="shared" si="2"/>
        <v>609.70166666666671</v>
      </c>
      <c r="AC49" s="178">
        <v>665.77792499999998</v>
      </c>
    </row>
    <row r="50" spans="1:30" hidden="1" outlineLevel="1" x14ac:dyDescent="0.2">
      <c r="A50" s="8" t="s">
        <v>87</v>
      </c>
      <c r="B50" s="20">
        <f>SUMIFS(Tabla2[IMPORT],Tabla2[ANY],$Z$2,Tabla2[MES],'2024'!B$2,Tabla2[TIPUS],'2024'!$A50)</f>
        <v>145.51</v>
      </c>
      <c r="C50" s="21">
        <f>IF(B$49=0,0,B50/B$49)</f>
        <v>0.27573856853195883</v>
      </c>
      <c r="D50" s="20">
        <f>SUMIFS(Tabla2[IMPORT],Tabla2[ANY],$Z$2,Tabla2[MES],'2024'!D$2,Tabla2[TIPUS],'2024'!$A50)</f>
        <v>259.52999999999997</v>
      </c>
      <c r="E50" s="21">
        <f>IF(D$49=0,0,D50/D$49)</f>
        <v>0.32045092543431819</v>
      </c>
      <c r="F50" s="20">
        <f>SUMIFS(Tabla2[IMPORT],Tabla2[ANY],$Z$2,Tabla2[MES],'2024'!F$2,Tabla2[TIPUS],'2024'!$A50)</f>
        <v>104.28999999999996</v>
      </c>
      <c r="G50" s="21">
        <f>IF(F$49=0,0,F50/F$49)</f>
        <v>0.31202130205840106</v>
      </c>
      <c r="H50" s="20">
        <f>SUMIFS(Tabla2[IMPORT],Tabla2[ANY],$Z$2,Tabla2[MES],'2024'!H$2,Tabla2[TIPUS],'2024'!$A50)</f>
        <v>76.5</v>
      </c>
      <c r="I50" s="21">
        <f>IF(H$49=0,0,H50/H$49)</f>
        <v>0.17936694021101993</v>
      </c>
      <c r="J50" s="20">
        <f>SUMIFS(Tabla2[IMPORT],Tabla2[ANY],$Z$2,Tabla2[MES],'2024'!J$2,Tabla2[TIPUS],'2024'!$A50)</f>
        <v>165.96</v>
      </c>
      <c r="K50" s="21">
        <f>IF(J$49=0,0,J50/J$49)</f>
        <v>0.20765505937112899</v>
      </c>
      <c r="L50" s="20">
        <f>SUMIFS(Tabla2[IMPORT],Tabla2[ANY],$Z$2,Tabla2[MES],'2024'!L$2,Tabla2[TIPUS],'2024'!$A50)</f>
        <v>63.949999999999989</v>
      </c>
      <c r="M50" s="21">
        <f>IF(L$49=0,0,L50/L$49)</f>
        <v>0.14201327974062311</v>
      </c>
      <c r="N50" s="20">
        <f>SUMIFS(Tabla2[IMPORT],Tabla2[ANY],$Z$2,Tabla2[MES],'2024'!N$2,Tabla2[TIPUS],'2024'!$A50)</f>
        <v>100.6</v>
      </c>
      <c r="O50" s="21">
        <f>IF(N$49=0,0,N50/N$49)</f>
        <v>7.9784913830706877E-2</v>
      </c>
      <c r="P50" s="20">
        <f>SUMIFS(Tabla2[IMPORT],Tabla2[ANY],$Z$2,Tabla2[MES],'2024'!P$2,Tabla2[TIPUS],'2024'!$A50)</f>
        <v>308.96000000000004</v>
      </c>
      <c r="Q50" s="21">
        <f>IF(P$49=0,0,P50/P$49)</f>
        <v>0.70176713760050879</v>
      </c>
      <c r="R50" s="20">
        <f>SUMIFS(Tabla2[IMPORT],Tabla2[ANY],$Z$2,Tabla2[MES],'2024'!R$2,Tabla2[TIPUS],'2024'!$A50)</f>
        <v>0</v>
      </c>
      <c r="S50" s="21">
        <f>IF(R$49=0,0,R50/R$49)</f>
        <v>0</v>
      </c>
      <c r="T50" s="20">
        <f>SUMIFS(Tabla2[IMPORT],Tabla2[ANY],$Z$2,Tabla2[MES],'2024'!T$2,Tabla2[TIPUS],'2024'!$A50)</f>
        <v>210</v>
      </c>
      <c r="U50" s="21">
        <f>IF(T$49=0,0,T50/T$49)</f>
        <v>0.49284205585543295</v>
      </c>
      <c r="V50" s="20">
        <f>SUMIFS(Tabla2[IMPORT],Tabla2[ANY],$Z$2,Tabla2[MES],'2024'!V$2,Tabla2[TIPUS],'2024'!$A50)</f>
        <v>382.40999999999997</v>
      </c>
      <c r="W50" s="21">
        <f>IF(V$49=0,0,V50/V$49)</f>
        <v>0.41101234939435299</v>
      </c>
      <c r="X50" s="20">
        <f>SUMIFS(Tabla2[IMPORT],Tabla2[ANY],$Z$2,Tabla2[MES],'2024'!X$2,Tabla2[TIPUS],'2024'!$A50)</f>
        <v>0</v>
      </c>
      <c r="Y50" s="21">
        <f>IF(X$49=0,0,X50/X$49)</f>
        <v>0</v>
      </c>
      <c r="Z50" s="20">
        <f t="shared" si="66"/>
        <v>1817.71</v>
      </c>
      <c r="AA50" s="21">
        <f>IF(Z$49=0,0,Z50/Z$49)</f>
        <v>0.24844254430445492</v>
      </c>
      <c r="AB50" s="178">
        <f t="shared" si="2"/>
        <v>151.47583333333333</v>
      </c>
      <c r="AC50" s="178">
        <v>180.96045833333332</v>
      </c>
    </row>
    <row r="51" spans="1:30" hidden="1" outlineLevel="1" x14ac:dyDescent="0.2">
      <c r="A51" s="8" t="s">
        <v>88</v>
      </c>
      <c r="B51" s="20">
        <f>SUMIFS(Tabla2[IMPORT],Tabla2[ANY],$Z$2,Tabla2[MES],'2024'!B$2,Tabla2[TIPUS],'2024'!$A51)</f>
        <v>0</v>
      </c>
      <c r="C51" s="21">
        <f t="shared" ref="C51:E54" si="69">IF(B$49=0,0,B51/B$49)</f>
        <v>0</v>
      </c>
      <c r="D51" s="20">
        <f>SUMIFS(Tabla2[IMPORT],Tabla2[ANY],$Z$2,Tabla2[MES],'2024'!D$2,Tabla2[TIPUS],'2024'!$A51)</f>
        <v>0</v>
      </c>
      <c r="E51" s="21">
        <f t="shared" si="69"/>
        <v>0</v>
      </c>
      <c r="F51" s="20">
        <f>SUMIFS(Tabla2[IMPORT],Tabla2[ANY],$Z$2,Tabla2[MES],'2024'!F$2,Tabla2[TIPUS],'2024'!$A51)</f>
        <v>0</v>
      </c>
      <c r="G51" s="21">
        <f>IF(F$49=0,0,F51/F$49)</f>
        <v>0</v>
      </c>
      <c r="H51" s="20">
        <f>SUMIFS(Tabla2[IMPORT],Tabla2[ANY],$Z$2,Tabla2[MES],'2024'!H$2,Tabla2[TIPUS],'2024'!$A51)</f>
        <v>0</v>
      </c>
      <c r="I51" s="21">
        <f>IF(H$49=0,0,H51/H$49)</f>
        <v>0</v>
      </c>
      <c r="J51" s="20">
        <f>SUMIFS(Tabla2[IMPORT],Tabla2[ANY],$Z$2,Tabla2[MES],'2024'!J$2,Tabla2[TIPUS],'2024'!$A51)</f>
        <v>0</v>
      </c>
      <c r="K51" s="21">
        <f>IF(J$49=0,0,J51/J$49)</f>
        <v>0</v>
      </c>
      <c r="L51" s="20">
        <f>SUMIFS(Tabla2[IMPORT],Tabla2[ANY],$Z$2,Tabla2[MES],'2024'!L$2,Tabla2[TIPUS],'2024'!$A51)</f>
        <v>0</v>
      </c>
      <c r="M51" s="21">
        <f>IF(L$49=0,0,L51/L$49)</f>
        <v>0</v>
      </c>
      <c r="N51" s="20">
        <f>SUMIFS(Tabla2[IMPORT],Tabla2[ANY],$Z$2,Tabla2[MES],'2024'!N$2,Tabla2[TIPUS],'2024'!$A51)</f>
        <v>0</v>
      </c>
      <c r="O51" s="21">
        <f>IF(N$49=0,0,N51/N$49)</f>
        <v>0</v>
      </c>
      <c r="P51" s="20">
        <f>SUMIFS(Tabla2[IMPORT],Tabla2[ANY],$Z$2,Tabla2[MES],'2024'!P$2,Tabla2[TIPUS],'2024'!$A51)</f>
        <v>0</v>
      </c>
      <c r="Q51" s="21">
        <f>IF(P$49=0,0,P51/P$49)</f>
        <v>0</v>
      </c>
      <c r="R51" s="20">
        <f>SUMIFS(Tabla2[IMPORT],Tabla2[ANY],$Z$2,Tabla2[MES],'2024'!R$2,Tabla2[TIPUS],'2024'!$A51)</f>
        <v>0</v>
      </c>
      <c r="S51" s="21">
        <f>IF(R$49=0,0,R51/R$49)</f>
        <v>0</v>
      </c>
      <c r="T51" s="20">
        <f>SUMIFS(Tabla2[IMPORT],Tabla2[ANY],$Z$2,Tabla2[MES],'2024'!T$2,Tabla2[TIPUS],'2024'!$A51)</f>
        <v>0</v>
      </c>
      <c r="U51" s="21">
        <f>IF(T$49=0,0,T51/T$49)</f>
        <v>0</v>
      </c>
      <c r="V51" s="20">
        <f>SUMIFS(Tabla2[IMPORT],Tabla2[ANY],$Z$2,Tabla2[MES],'2024'!V$2,Tabla2[TIPUS],'2024'!$A51)</f>
        <v>0</v>
      </c>
      <c r="W51" s="21">
        <f>IF(V$49=0,0,V51/V$49)</f>
        <v>0</v>
      </c>
      <c r="X51" s="20">
        <f>SUMIFS(Tabla2[IMPORT],Tabla2[ANY],$Z$2,Tabla2[MES],'2024'!X$2,Tabla2[TIPUS],'2024'!$A51)</f>
        <v>0</v>
      </c>
      <c r="Y51" s="21">
        <f>IF(X$49=0,0,X51/X$49)</f>
        <v>0</v>
      </c>
      <c r="Z51" s="20">
        <f t="shared" si="66"/>
        <v>0</v>
      </c>
      <c r="AA51" s="21">
        <f>IF(Z$49=0,0,Z51/Z$49)</f>
        <v>0</v>
      </c>
      <c r="AB51" s="178">
        <f t="shared" si="2"/>
        <v>0</v>
      </c>
      <c r="AC51" s="178">
        <v>29.890800000000002</v>
      </c>
    </row>
    <row r="52" spans="1:30" hidden="1" outlineLevel="1" x14ac:dyDescent="0.2">
      <c r="A52" s="8" t="s">
        <v>89</v>
      </c>
      <c r="B52" s="20">
        <f>SUMIFS(Tabla2[IMPORT],Tabla2[ANY],$Z$2,Tabla2[MES],'2024'!B$2,Tabla2[TIPUS],'2024'!$A52)</f>
        <v>92.2</v>
      </c>
      <c r="C52" s="21">
        <f t="shared" si="69"/>
        <v>0.17471717420552954</v>
      </c>
      <c r="D52" s="20">
        <f>SUMIFS(Tabla2[IMPORT],Tabla2[ANY],$Z$2,Tabla2[MES],'2024'!D$2,Tabla2[TIPUS],'2024'!$A52)</f>
        <v>65.36</v>
      </c>
      <c r="E52" s="21">
        <f t="shared" si="69"/>
        <v>8.0702317598686235E-2</v>
      </c>
      <c r="F52" s="20">
        <f>SUMIFS(Tabla2[IMPORT],Tabla2[ANY],$Z$2,Tabla2[MES],'2024'!F$2,Tabla2[TIPUS],'2024'!$A52)</f>
        <v>79.95</v>
      </c>
      <c r="G52" s="21">
        <f>IF(F$49=0,0,F52/F$49)</f>
        <v>0.23919937769267596</v>
      </c>
      <c r="H52" s="20">
        <f>SUMIFS(Tabla2[IMPORT],Tabla2[ANY],$Z$2,Tabla2[MES],'2024'!H$2,Tabla2[TIPUS],'2024'!$A52)</f>
        <v>0</v>
      </c>
      <c r="I52" s="21">
        <f>IF(H$49=0,0,H52/H$49)</f>
        <v>0</v>
      </c>
      <c r="J52" s="20">
        <f>SUMIFS(Tabla2[IMPORT],Tabla2[ANY],$Z$2,Tabla2[MES],'2024'!J$2,Tabla2[TIPUS],'2024'!$A52)</f>
        <v>408.25</v>
      </c>
      <c r="K52" s="21">
        <f>IF(J$49=0,0,J52/J$49)</f>
        <v>0.51081693172007359</v>
      </c>
      <c r="L52" s="20">
        <f>SUMIFS(Tabla2[IMPORT],Tabla2[ANY],$Z$2,Tabla2[MES],'2024'!L$2,Tabla2[TIPUS],'2024'!$A52)</f>
        <v>176.36</v>
      </c>
      <c r="M52" s="21">
        <f>IF(L$49=0,0,L52/L$49)</f>
        <v>0.39164131376163092</v>
      </c>
      <c r="N52" s="20">
        <f>SUMIFS(Tabla2[IMPORT],Tabla2[ANY],$Z$2,Tabla2[MES],'2024'!N$2,Tabla2[TIPUS],'2024'!$A52)</f>
        <v>980.29000000000008</v>
      </c>
      <c r="O52" s="21">
        <f>IF(N$49=0,0,N52/N$49)</f>
        <v>0.77745877911633843</v>
      </c>
      <c r="P52" s="20">
        <f>SUMIFS(Tabla2[IMPORT],Tabla2[ANY],$Z$2,Tabla2[MES],'2024'!P$2,Tabla2[TIPUS],'2024'!$A52)</f>
        <v>41.3</v>
      </c>
      <c r="Q52" s="21">
        <f>IF(P$49=0,0,P52/P$49)</f>
        <v>9.3808204242947335E-2</v>
      </c>
      <c r="R52" s="20">
        <f>SUMIFS(Tabla2[IMPORT],Tabla2[ANY],$Z$2,Tabla2[MES],'2024'!R$2,Tabla2[TIPUS],'2024'!$A52)</f>
        <v>17</v>
      </c>
      <c r="S52" s="21">
        <f>IF(R$49=0,0,R52/R$49)</f>
        <v>7.1729957805907171E-2</v>
      </c>
      <c r="T52" s="20">
        <f>SUMIFS(Tabla2[IMPORT],Tabla2[ANY],$Z$2,Tabla2[MES],'2024'!T$2,Tabla2[TIPUS],'2024'!$A52)</f>
        <v>66.099999999999994</v>
      </c>
      <c r="U52" s="21">
        <f>IF(T$49=0,0,T52/T$49)</f>
        <v>0.15512790424782913</v>
      </c>
      <c r="V52" s="20">
        <f>SUMIFS(Tabla2[IMPORT],Tabla2[ANY],$Z$2,Tabla2[MES],'2024'!V$2,Tabla2[TIPUS],'2024'!$A52)</f>
        <v>148</v>
      </c>
      <c r="W52" s="21">
        <f>IF(V$49=0,0,V52/V$49)</f>
        <v>0.15906965746283896</v>
      </c>
      <c r="X52" s="20">
        <f>SUMIFS(Tabla2[IMPORT],Tabla2[ANY],$Z$2,Tabla2[MES],'2024'!X$2,Tabla2[TIPUS],'2024'!$A52)</f>
        <v>208.9</v>
      </c>
      <c r="Y52" s="21">
        <f>IF(X$49=0,0,X52/X$49)</f>
        <v>0.30998664490280459</v>
      </c>
      <c r="Z52" s="20">
        <f t="shared" si="66"/>
        <v>2283.71</v>
      </c>
      <c r="AA52" s="21">
        <f>IF(Z$49=0,0,Z52/Z$49)</f>
        <v>0.31213489657510096</v>
      </c>
      <c r="AB52" s="178">
        <f t="shared" si="2"/>
        <v>190.30916666666667</v>
      </c>
      <c r="AC52" s="178">
        <v>212.42666666666665</v>
      </c>
    </row>
    <row r="53" spans="1:30" hidden="1" outlineLevel="1" x14ac:dyDescent="0.2">
      <c r="A53" s="8" t="s">
        <v>145</v>
      </c>
      <c r="B53" s="20">
        <f>SUMIFS(Tabla2[IMPORT],Tabla2[ANY],$Z$2,Tabla2[MES],'2024'!B$2,Tabla2[TIPUS],'2024'!$A53)</f>
        <v>0</v>
      </c>
      <c r="C53" s="21">
        <f>IF(B$49=0,0,B53/B$49)</f>
        <v>0</v>
      </c>
      <c r="D53" s="20">
        <f>SUMIFS(Tabla2[IMPORT],Tabla2[ANY],$Z$2,Tabla2[MES],'2024'!D$2,Tabla2[TIPUS],'2024'!$A53)</f>
        <v>0</v>
      </c>
      <c r="E53" s="21">
        <f>IF(D$49=0,0,D53/D$49)</f>
        <v>0</v>
      </c>
      <c r="F53" s="20">
        <f>SUMIFS(Tabla2[IMPORT],Tabla2[ANY],$Z$2,Tabla2[MES],'2024'!F$2,Tabla2[TIPUS],'2024'!$A53)</f>
        <v>0</v>
      </c>
      <c r="G53" s="21">
        <f>IF(F$49=0,0,F53/F$49)</f>
        <v>0</v>
      </c>
      <c r="H53" s="20">
        <f>SUMIFS(Tabla2[IMPORT],Tabla2[ANY],$Z$2,Tabla2[MES],'2024'!H$2,Tabla2[TIPUS],'2024'!$A53)</f>
        <v>0</v>
      </c>
      <c r="I53" s="21">
        <f>IF(H$49=0,0,H53/H$49)</f>
        <v>0</v>
      </c>
      <c r="J53" s="20">
        <f>SUMIFS(Tabla2[IMPORT],Tabla2[ANY],$Z$2,Tabla2[MES],'2024'!J$2,Tabla2[TIPUS],'2024'!$A53)</f>
        <v>0</v>
      </c>
      <c r="K53" s="21">
        <f>IF(J$49=0,0,J53/J$49)</f>
        <v>0</v>
      </c>
      <c r="L53" s="20">
        <f>SUMIFS(Tabla2[IMPORT],Tabla2[ANY],$Z$2,Tabla2[MES],'2024'!L$2,Tabla2[TIPUS],'2024'!$A53)</f>
        <v>0</v>
      </c>
      <c r="M53" s="21">
        <f>IF(L$49=0,0,L53/L$49)</f>
        <v>0</v>
      </c>
      <c r="N53" s="20">
        <f>SUMIFS(Tabla2[IMPORT],Tabla2[ANY],$Z$2,Tabla2[MES],'2024'!N$2,Tabla2[TIPUS],'2024'!$A53)</f>
        <v>0</v>
      </c>
      <c r="O53" s="21">
        <f>IF(N$49=0,0,N53/N$49)</f>
        <v>0</v>
      </c>
      <c r="P53" s="20">
        <f>SUMIFS(Tabla2[IMPORT],Tabla2[ANY],$Z$2,Tabla2[MES],'2024'!P$2,Tabla2[TIPUS],'2024'!$A53)</f>
        <v>0</v>
      </c>
      <c r="Q53" s="21">
        <f>IF(P$49=0,0,P53/P$49)</f>
        <v>0</v>
      </c>
      <c r="R53" s="20">
        <f>SUMIFS(Tabla2[IMPORT],Tabla2[ANY],$Z$2,Tabla2[MES],'2024'!R$2,Tabla2[TIPUS],'2024'!$A53)</f>
        <v>0</v>
      </c>
      <c r="S53" s="21">
        <f>IF(R$49=0,0,R53/R$49)</f>
        <v>0</v>
      </c>
      <c r="T53" s="20">
        <f>SUMIFS(Tabla2[IMPORT],Tabla2[ANY],$Z$2,Tabla2[MES],'2024'!T$2,Tabla2[TIPUS],'2024'!$A53)</f>
        <v>0</v>
      </c>
      <c r="U53" s="21">
        <f>IF(T$49=0,0,T53/T$49)</f>
        <v>0</v>
      </c>
      <c r="V53" s="20">
        <f>SUMIFS(Tabla2[IMPORT],Tabla2[ANY],$Z$2,Tabla2[MES],'2024'!V$2,Tabla2[TIPUS],'2024'!$A53)</f>
        <v>0</v>
      </c>
      <c r="W53" s="21">
        <f>IF(V$49=0,0,V53/V$49)</f>
        <v>0</v>
      </c>
      <c r="X53" s="20">
        <f>SUMIFS(Tabla2[IMPORT],Tabla2[ANY],$Z$2,Tabla2[MES],'2024'!X$2,Tabla2[TIPUS],'2024'!$A53)</f>
        <v>0</v>
      </c>
      <c r="Y53" s="21">
        <f>IF(X$49=0,0,X53/X$49)</f>
        <v>0</v>
      </c>
      <c r="Z53" s="20">
        <f>B53+D53+F53+H53+J53+L53+N53+P53+R53+T53+V53+X53</f>
        <v>0</v>
      </c>
      <c r="AA53" s="21">
        <f>IF(Z$49=0,0,Z53/Z$49)</f>
        <v>0</v>
      </c>
      <c r="AB53" s="178">
        <f t="shared" si="2"/>
        <v>0</v>
      </c>
      <c r="AC53" s="178">
        <v>0</v>
      </c>
    </row>
    <row r="54" spans="1:30" hidden="1" outlineLevel="1" x14ac:dyDescent="0.2">
      <c r="A54" s="8" t="s">
        <v>90</v>
      </c>
      <c r="B54" s="20">
        <f>SUMIFS(Tabla2[IMPORT],Tabla2[ANY],$Z$2,Tabla2[MES],'2024'!B$2,Tabla2[TIPUS],'2024'!$A54)</f>
        <v>290</v>
      </c>
      <c r="C54" s="21">
        <f t="shared" si="69"/>
        <v>0.54954425726251155</v>
      </c>
      <c r="D54" s="20">
        <f>SUMIFS(Tabla2[IMPORT],Tabla2[ANY],$Z$2,Tabla2[MES],'2024'!D$2,Tabla2[TIPUS],'2024'!$A54)</f>
        <v>485</v>
      </c>
      <c r="E54" s="21">
        <f t="shared" si="69"/>
        <v>0.59884675696699552</v>
      </c>
      <c r="F54" s="20">
        <f>SUMIFS(Tabla2[IMPORT],Tabla2[ANY],$Z$2,Tabla2[MES],'2024'!F$2,Tabla2[TIPUS],'2024'!$A54)</f>
        <v>150</v>
      </c>
      <c r="G54" s="21">
        <f>IF(F$49=0,0,F54/F$49)</f>
        <v>0.44877932024892297</v>
      </c>
      <c r="H54" s="20">
        <f>SUMIFS(Tabla2[IMPORT],Tabla2[ANY],$Z$2,Tabla2[MES],'2024'!H$2,Tabla2[TIPUS],'2024'!$A54)</f>
        <v>350</v>
      </c>
      <c r="I54" s="21">
        <f>IF(H$49=0,0,H54/H$49)</f>
        <v>0.82063305978898005</v>
      </c>
      <c r="J54" s="20">
        <f>SUMIFS(Tabla2[IMPORT],Tabla2[ANY],$Z$2,Tabla2[MES],'2024'!J$2,Tabla2[TIPUS],'2024'!$A54)</f>
        <v>225</v>
      </c>
      <c r="K54" s="21">
        <f>IF(J$49=0,0,J54/J$49)</f>
        <v>0.28152800890879742</v>
      </c>
      <c r="L54" s="20">
        <f>SUMIFS(Tabla2[IMPORT],Tabla2[ANY],$Z$2,Tabla2[MES],'2024'!L$2,Tabla2[TIPUS],'2024'!$A54)</f>
        <v>210</v>
      </c>
      <c r="M54" s="21">
        <f>IF(L$49=0,0,L54/L$49)</f>
        <v>0.46634540649774597</v>
      </c>
      <c r="N54" s="20">
        <f>SUMIFS(Tabla2[IMPORT],Tabla2[ANY],$Z$2,Tabla2[MES],'2024'!N$2,Tabla2[TIPUS],'2024'!$A54)</f>
        <v>180</v>
      </c>
      <c r="O54" s="21">
        <f>IF(N$49=0,0,N54/N$49)</f>
        <v>0.14275630705295464</v>
      </c>
      <c r="P54" s="20">
        <f>SUMIFS(Tabla2[IMPORT],Tabla2[ANY],$Z$2,Tabla2[MES],'2024'!P$2,Tabla2[TIPUS],'2024'!$A54)</f>
        <v>90</v>
      </c>
      <c r="Q54" s="21">
        <f>IF(P$49=0,0,P54/P$49)</f>
        <v>0.20442465815654384</v>
      </c>
      <c r="R54" s="20">
        <f>SUMIFS(Tabla2[IMPORT],Tabla2[ANY],$Z$2,Tabla2[MES],'2024'!R$2,Tabla2[TIPUS],'2024'!$A54)</f>
        <v>220</v>
      </c>
      <c r="S54" s="21">
        <f>IF(R$49=0,0,R54/R$49)</f>
        <v>0.92827004219409281</v>
      </c>
      <c r="T54" s="20">
        <f>SUMIFS(Tabla2[IMPORT],Tabla2[ANY],$Z$2,Tabla2[MES],'2024'!T$2,Tabla2[TIPUS],'2024'!$A54)</f>
        <v>150</v>
      </c>
      <c r="U54" s="21">
        <f>IF(T$49=0,0,T54/T$49)</f>
        <v>0.35203003989673781</v>
      </c>
      <c r="V54" s="20">
        <f>SUMIFS(Tabla2[IMPORT],Tabla2[ANY],$Z$2,Tabla2[MES],'2024'!V$2,Tabla2[TIPUS],'2024'!$A54)</f>
        <v>400</v>
      </c>
      <c r="W54" s="21">
        <f>IF(V$49=0,0,V54/V$49)</f>
        <v>0.42991799314280804</v>
      </c>
      <c r="X54" s="20">
        <f>SUMIFS(Tabla2[IMPORT],Tabla2[ANY],$Z$2,Tabla2[MES],'2024'!X$2,Tabla2[TIPUS],'2024'!$A54)</f>
        <v>465</v>
      </c>
      <c r="Y54" s="21">
        <f>IF(X$49=0,0,X54/X$49)</f>
        <v>0.69001335509719541</v>
      </c>
      <c r="Z54" s="20">
        <f t="shared" si="66"/>
        <v>3215</v>
      </c>
      <c r="AA54" s="21">
        <f>IF(Z$49=0,0,Z54/Z$49)</f>
        <v>0.43942255912044415</v>
      </c>
      <c r="AB54" s="178">
        <f t="shared" si="2"/>
        <v>267.91666666666669</v>
      </c>
      <c r="AC54" s="178">
        <v>242.5</v>
      </c>
    </row>
    <row r="55" spans="1:30" ht="15.75" collapsed="1" thickBot="1" x14ac:dyDescent="0.25">
      <c r="A55" s="15" t="s">
        <v>121</v>
      </c>
      <c r="B55" s="26">
        <f>B3-B40</f>
        <v>4000.58</v>
      </c>
      <c r="C55" s="27">
        <f>IF(B3=0,0,B55/B3)</f>
        <v>0.76934230769230771</v>
      </c>
      <c r="D55" s="26">
        <f>D3-D40</f>
        <v>2900.37</v>
      </c>
      <c r="E55" s="27">
        <f>IF(D3=0,0,D55/D3)</f>
        <v>0.66142987457240587</v>
      </c>
      <c r="F55" s="26">
        <f>F3-F40</f>
        <v>3935.71</v>
      </c>
      <c r="G55" s="27">
        <f>IF(F3=0,0,F55/F3)</f>
        <v>0.79589686552072803</v>
      </c>
      <c r="H55" s="26">
        <f>H3-H40</f>
        <v>3508.76</v>
      </c>
      <c r="I55" s="27">
        <f>IF(H3=0,0,H55/H3)</f>
        <v>0.76111930585683307</v>
      </c>
      <c r="J55" s="26">
        <f>J3-J40</f>
        <v>2786.12</v>
      </c>
      <c r="K55" s="27">
        <f>IF(J3=0,0,J55/J3)</f>
        <v>0.60567826086956522</v>
      </c>
      <c r="L55" s="26">
        <f>L3-L40</f>
        <v>3394.95</v>
      </c>
      <c r="M55" s="27">
        <f>IF(L3=0,0,L55/L3)</f>
        <v>0.75109513274336281</v>
      </c>
      <c r="N55" s="26">
        <f>N3-N40</f>
        <v>1599.05</v>
      </c>
      <c r="O55" s="27">
        <f>IF(N3=0,0,N55/N3)</f>
        <v>0.45107193229901266</v>
      </c>
      <c r="P55" s="26">
        <f>P3-P40</f>
        <v>1434.5</v>
      </c>
      <c r="Q55" s="27">
        <f>IF(P3=0,0,P55/P3)</f>
        <v>0.56254901960784309</v>
      </c>
      <c r="R55" s="26">
        <f>R3-R40</f>
        <v>3223.26</v>
      </c>
      <c r="S55" s="27">
        <f>IF(R3=0,0,R55/R3)</f>
        <v>0.77950665054413548</v>
      </c>
      <c r="T55" s="26">
        <f>T3-T40</f>
        <v>2698.66</v>
      </c>
      <c r="U55" s="27">
        <f>IF(T3=0,0,T55/T3)</f>
        <v>0.71017368421052629</v>
      </c>
      <c r="V55" s="26">
        <f>V3-V40</f>
        <v>3956.23</v>
      </c>
      <c r="W55" s="27">
        <f>IF(V3=0,0,V55/V3)</f>
        <v>0.71027468581687614</v>
      </c>
      <c r="X55" s="26">
        <f>X3-X40</f>
        <v>5963.57</v>
      </c>
      <c r="Y55" s="27">
        <f>IF(X3=0,0,X55/X3)</f>
        <v>0.81636824093086924</v>
      </c>
      <c r="Z55" s="26">
        <f>Z3-Z40</f>
        <v>39401.760000000002</v>
      </c>
      <c r="AA55" s="27">
        <f>IF(Z3=0,0,Z55/Z3)</f>
        <v>0.7142528777304451</v>
      </c>
      <c r="AB55" s="178">
        <f t="shared" si="2"/>
        <v>3283.48</v>
      </c>
      <c r="AC55" s="178">
        <v>2680.0045749999999</v>
      </c>
    </row>
    <row r="56" spans="1:30" ht="16.5" thickTop="1" thickBot="1" x14ac:dyDescent="0.25">
      <c r="A56" s="13" t="s">
        <v>120</v>
      </c>
      <c r="B56" s="28">
        <f>B57</f>
        <v>109.88249999999999</v>
      </c>
      <c r="C56" s="29">
        <f>IF(B3=0,0,B56/B3)</f>
        <v>2.1131249999999997E-2</v>
      </c>
      <c r="D56" s="28">
        <f t="shared" ref="D56:Z56" si="70">D57</f>
        <v>109.88249999999999</v>
      </c>
      <c r="E56" s="29">
        <f>IF(D3=0,0,D56/D3)</f>
        <v>2.5058722919042188E-2</v>
      </c>
      <c r="F56" s="28">
        <f t="shared" si="70"/>
        <v>109.88249999999999</v>
      </c>
      <c r="G56" s="29">
        <f>IF(F3=0,0,F56/F3)</f>
        <v>2.2220930232558139E-2</v>
      </c>
      <c r="H56" s="28">
        <f t="shared" si="70"/>
        <v>109.88249999999999</v>
      </c>
      <c r="I56" s="29">
        <f>IF(H3=0,0,H56/H3)</f>
        <v>2.3835683297180041E-2</v>
      </c>
      <c r="J56" s="28">
        <f t="shared" si="70"/>
        <v>109.88249999999999</v>
      </c>
      <c r="K56" s="29">
        <f>IF(J3=0,0,J56/J3)</f>
        <v>2.3887499999999999E-2</v>
      </c>
      <c r="L56" s="28">
        <f t="shared" si="70"/>
        <v>109.88249999999999</v>
      </c>
      <c r="M56" s="29">
        <f>IF(L3=0,0,L56/L3)</f>
        <v>2.4310287610619468E-2</v>
      </c>
      <c r="N56" s="28">
        <f t="shared" si="70"/>
        <v>109.88249999999999</v>
      </c>
      <c r="O56" s="29">
        <f>IF(N3=0,0,N56/N3)</f>
        <v>3.099647390691114E-2</v>
      </c>
      <c r="P56" s="28">
        <f t="shared" si="70"/>
        <v>109.88249999999999</v>
      </c>
      <c r="Q56" s="29">
        <f>IF(P3=0,0,P56/P3)</f>
        <v>4.309117647058823E-2</v>
      </c>
      <c r="R56" s="28">
        <f t="shared" si="70"/>
        <v>109.88249999999999</v>
      </c>
      <c r="S56" s="29">
        <f>IF(R3=0,0,R56/R3)</f>
        <v>2.6573760580411124E-2</v>
      </c>
      <c r="T56" s="28">
        <f t="shared" si="70"/>
        <v>109.88249999999999</v>
      </c>
      <c r="U56" s="29">
        <f>IF(T3=0,0,T56/T3)</f>
        <v>2.8916447368421052E-2</v>
      </c>
      <c r="V56" s="28">
        <f t="shared" si="70"/>
        <v>109.88249999999999</v>
      </c>
      <c r="W56" s="29">
        <f>IF(V3=0,0,V56/V3)</f>
        <v>1.9727558348294434E-2</v>
      </c>
      <c r="X56" s="28">
        <f t="shared" si="70"/>
        <v>109.88249999999999</v>
      </c>
      <c r="Y56" s="29">
        <f>IF(X3=0,0,X56/X3)</f>
        <v>1.5042094455852155E-2</v>
      </c>
      <c r="Z56" s="28">
        <f t="shared" si="70"/>
        <v>1318.5899999999995</v>
      </c>
      <c r="AA56" s="29">
        <f>IF(Z3=0,0,Z56/Z3)</f>
        <v>2.3902655669355559E-2</v>
      </c>
      <c r="AB56" s="178">
        <f t="shared" si="2"/>
        <v>109.88249999999995</v>
      </c>
      <c r="AC56" s="178">
        <v>28.35874999999999</v>
      </c>
    </row>
    <row r="57" spans="1:30" hidden="1" outlineLevel="1" x14ac:dyDescent="0.2">
      <c r="A57" s="8" t="s">
        <v>81</v>
      </c>
      <c r="B57" s="20">
        <f>IF($A$2&gt;=1,'Tarifas 2022'!$K$47,0)</f>
        <v>109.88249999999999</v>
      </c>
      <c r="C57" s="21">
        <f>IF(B56=0,0,B57/B56)</f>
        <v>1</v>
      </c>
      <c r="D57" s="20">
        <f>IF($A$2&gt;=2,'Tarifas 2022'!$K$47,0)</f>
        <v>109.88249999999999</v>
      </c>
      <c r="E57" s="21">
        <f>IF(D56=0,0,D57/D56)</f>
        <v>1</v>
      </c>
      <c r="F57" s="20">
        <f>IF($A$2&gt;=3,'Tarifas 2022'!$K$47,0)</f>
        <v>109.88249999999999</v>
      </c>
      <c r="G57" s="21">
        <f>IF(F56=0,0,F57/F56)</f>
        <v>1</v>
      </c>
      <c r="H57" s="20">
        <f>IF($A$2&gt;=4,'Tarifas 2022'!$K$47,0)</f>
        <v>109.88249999999999</v>
      </c>
      <c r="I57" s="21">
        <f>IF(H56=0,0,H57/H56)</f>
        <v>1</v>
      </c>
      <c r="J57" s="20">
        <f>IF($A$2&gt;=5,'Tarifas 2022'!$K$47,0)</f>
        <v>109.88249999999999</v>
      </c>
      <c r="K57" s="21">
        <f>IF(J56=0,0,J57/J56)</f>
        <v>1</v>
      </c>
      <c r="L57" s="20">
        <f>IF($A$2&gt;=6,'Tarifas 2022'!$K$47,0)</f>
        <v>109.88249999999999</v>
      </c>
      <c r="M57" s="21">
        <f>IF(L56=0,0,L57/L56)</f>
        <v>1</v>
      </c>
      <c r="N57" s="20">
        <f>IF($A$2&gt;=7,'Tarifas 2022'!$K$47,0)</f>
        <v>109.88249999999999</v>
      </c>
      <c r="O57" s="21">
        <f>IF(N56=0,0,N57/N56)</f>
        <v>1</v>
      </c>
      <c r="P57" s="20">
        <f>IF($A$2&gt;=8,'Tarifas 2022'!$K$47,0)</f>
        <v>109.88249999999999</v>
      </c>
      <c r="Q57" s="21">
        <f>IF(P56=0,0,P57/P56)</f>
        <v>1</v>
      </c>
      <c r="R57" s="20">
        <f>IF($A$2&gt;=9,'Tarifas 2022'!$K$47,0)</f>
        <v>109.88249999999999</v>
      </c>
      <c r="S57" s="21">
        <f>IF(R56=0,0,R57/R56)</f>
        <v>1</v>
      </c>
      <c r="T57" s="20">
        <f>IF($A$2&gt;=10,'Tarifas 2022'!$K$47,0)</f>
        <v>109.88249999999999</v>
      </c>
      <c r="U57" s="21">
        <f>IF(T56=0,0,T57/T56)</f>
        <v>1</v>
      </c>
      <c r="V57" s="20">
        <f>IF($A$2&gt;=11,'Tarifas 2022'!$K$47,0)</f>
        <v>109.88249999999999</v>
      </c>
      <c r="W57" s="21">
        <f>IF(V56=0,0,V57/V56)</f>
        <v>1</v>
      </c>
      <c r="X57" s="20">
        <f>IF($A$2&gt;=12,'Tarifas 2022'!$K$47,0)</f>
        <v>109.88249999999999</v>
      </c>
      <c r="Y57" s="21">
        <f>IF(X56=0,0,X57/X56)</f>
        <v>1</v>
      </c>
      <c r="Z57" s="20">
        <f>B57+D57+F57+H57+J57+L57+N57+P57+R57+T57+V57+X57</f>
        <v>1318.5899999999995</v>
      </c>
      <c r="AA57" s="21">
        <f>IF(Z56=0,0,Z57/Z56)</f>
        <v>1</v>
      </c>
      <c r="AB57" s="178">
        <f t="shared" si="2"/>
        <v>109.88249999999995</v>
      </c>
      <c r="AC57" s="178">
        <v>28.35874999999999</v>
      </c>
    </row>
    <row r="58" spans="1:30" ht="15.75" collapsed="1" thickBot="1" x14ac:dyDescent="0.25">
      <c r="A58" s="15" t="s">
        <v>122</v>
      </c>
      <c r="B58" s="26">
        <f>B55-B56</f>
        <v>3890.6974999999998</v>
      </c>
      <c r="C58" s="27">
        <f>IF(B$3=0,0,B58/B$3)</f>
        <v>0.74821105769230767</v>
      </c>
      <c r="D58" s="26">
        <f>D55-D56</f>
        <v>2790.4874999999997</v>
      </c>
      <c r="E58" s="27">
        <f>IF(D$3=0,0,D58/D$3)</f>
        <v>0.63637115165336366</v>
      </c>
      <c r="F58" s="26">
        <f>F55-F56</f>
        <v>3825.8274999999999</v>
      </c>
      <c r="G58" s="27">
        <f>IF(F$3=0,0,F58/F$3)</f>
        <v>0.7736759352881698</v>
      </c>
      <c r="H58" s="26">
        <f>H55-H56</f>
        <v>3398.8775000000001</v>
      </c>
      <c r="I58" s="27">
        <f>IF(H$3=0,0,H58/H$3)</f>
        <v>0.73728362255965296</v>
      </c>
      <c r="J58" s="26">
        <f>J55-J56</f>
        <v>2676.2374999999997</v>
      </c>
      <c r="K58" s="27">
        <f>IF(J$3=0,0,J58/J$3)</f>
        <v>0.58179076086956516</v>
      </c>
      <c r="L58" s="26">
        <f>L55-L56</f>
        <v>3285.0674999999997</v>
      </c>
      <c r="M58" s="27">
        <f>IF(L$3=0,0,L58/L$3)</f>
        <v>0.72678484513274333</v>
      </c>
      <c r="N58" s="26">
        <f>N55-N56</f>
        <v>1489.1675</v>
      </c>
      <c r="O58" s="27">
        <f>IF(N$3=0,0,N58/N$3)</f>
        <v>0.42007545839210153</v>
      </c>
      <c r="P58" s="26">
        <f>P55-P56</f>
        <v>1324.6175000000001</v>
      </c>
      <c r="Q58" s="27">
        <f>IF(P$3=0,0,P58/P$3)</f>
        <v>0.51945784313725496</v>
      </c>
      <c r="R58" s="26">
        <f>R55-R56</f>
        <v>3113.3775000000001</v>
      </c>
      <c r="S58" s="27">
        <f>IF(R$3=0,0,R58/R$3)</f>
        <v>0.75293288996372432</v>
      </c>
      <c r="T58" s="26">
        <f>T55-T56</f>
        <v>2588.7774999999997</v>
      </c>
      <c r="U58" s="27">
        <f>IF(T$3=0,0,T58/T$3)</f>
        <v>0.68125723684210515</v>
      </c>
      <c r="V58" s="26">
        <f>V55-V56</f>
        <v>3846.3474999999999</v>
      </c>
      <c r="W58" s="27">
        <f>IF(V$3=0,0,V58/V$3)</f>
        <v>0.69054712746858171</v>
      </c>
      <c r="X58" s="26">
        <f>X55-X56</f>
        <v>5853.6875</v>
      </c>
      <c r="Y58" s="27">
        <f>IF(X$3=0,0,X58/X$3)</f>
        <v>0.8013261464750171</v>
      </c>
      <c r="Z58" s="26">
        <f>Z55-Z56</f>
        <v>38083.170000000006</v>
      </c>
      <c r="AA58" s="27">
        <f>IF(Z$3=0,0,Z58/Z$3)</f>
        <v>0.69035022206108954</v>
      </c>
      <c r="AB58" s="178">
        <f t="shared" si="2"/>
        <v>3173.5975000000003</v>
      </c>
      <c r="AC58" s="178">
        <v>2651.6458250000001</v>
      </c>
    </row>
    <row r="59" spans="1:30" ht="16.5" thickTop="1" thickBot="1" x14ac:dyDescent="0.25">
      <c r="A59" s="13" t="s">
        <v>134</v>
      </c>
      <c r="B59" s="28">
        <f>B60</f>
        <v>0</v>
      </c>
      <c r="C59" s="29">
        <f>IF(B$3=0,0,B59/B$3)</f>
        <v>0</v>
      </c>
      <c r="D59" s="28">
        <f>D60</f>
        <v>0</v>
      </c>
      <c r="E59" s="29">
        <f>IF(D$3=0,0,D59/D$3)</f>
        <v>0</v>
      </c>
      <c r="F59" s="28">
        <f>F60</f>
        <v>0</v>
      </c>
      <c r="G59" s="29">
        <f>IF(F$3=0,0,F59/F$3)</f>
        <v>0</v>
      </c>
      <c r="H59" s="28">
        <f>H60</f>
        <v>0</v>
      </c>
      <c r="I59" s="29">
        <f>IF(H$3=0,0,H59/H$3)</f>
        <v>0</v>
      </c>
      <c r="J59" s="28">
        <f>J60</f>
        <v>0</v>
      </c>
      <c r="K59" s="29">
        <f>IF(J$3=0,0,J59/J$3)</f>
        <v>0</v>
      </c>
      <c r="L59" s="28">
        <f>L60</f>
        <v>0</v>
      </c>
      <c r="M59" s="29">
        <f>IF(L$3=0,0,L59/L$3)</f>
        <v>0</v>
      </c>
      <c r="N59" s="28">
        <f>N60</f>
        <v>0</v>
      </c>
      <c r="O59" s="29">
        <f>IF(N$3=0,0,N59/N$3)</f>
        <v>0</v>
      </c>
      <c r="P59" s="28">
        <f>P60</f>
        <v>0</v>
      </c>
      <c r="Q59" s="29">
        <f>IF(P$3=0,0,P59/P$3)</f>
        <v>0</v>
      </c>
      <c r="R59" s="28">
        <f>R60</f>
        <v>0</v>
      </c>
      <c r="S59" s="29">
        <f>IF(R$3=0,0,R59/R$3)</f>
        <v>0</v>
      </c>
      <c r="T59" s="28">
        <f>T60</f>
        <v>0</v>
      </c>
      <c r="U59" s="29">
        <f>IF(T$3=0,0,T59/T$3)</f>
        <v>0</v>
      </c>
      <c r="V59" s="28">
        <f>V60</f>
        <v>0</v>
      </c>
      <c r="W59" s="29">
        <f>IF(V$3=0,0,V59/V$3)</f>
        <v>0</v>
      </c>
      <c r="X59" s="28">
        <f>X60</f>
        <v>0</v>
      </c>
      <c r="Y59" s="29">
        <f>IF(X$3=0,0,X59/X$3)</f>
        <v>0</v>
      </c>
      <c r="Z59" s="28">
        <f>Z60</f>
        <v>0</v>
      </c>
      <c r="AA59" s="29">
        <f>IF(Z$3=0,0,Z59/Z$3)</f>
        <v>0</v>
      </c>
      <c r="AB59" s="178">
        <f t="shared" si="2"/>
        <v>0</v>
      </c>
      <c r="AC59" s="178">
        <v>0</v>
      </c>
    </row>
    <row r="60" spans="1:30" hidden="1" outlineLevel="1" x14ac:dyDescent="0.2">
      <c r="A60" s="8" t="s">
        <v>133</v>
      </c>
      <c r="B60" s="20">
        <f>SUMIFS(Tabla2[IMPORT],Tabla2[ANY],2020,Tabla2[MES],'2024'!B$2,Tabla2[TIPUS],'2024'!$A60)</f>
        <v>0</v>
      </c>
      <c r="C60" s="44">
        <f>IF(B59=0,0,B60/B59)</f>
        <v>0</v>
      </c>
      <c r="D60" s="20">
        <f>SUMIFS(Tabla2[IMPORT],Tabla2[ANY],2020,Tabla2[MES],'2024'!D$2,Tabla2[TIPUS],'2024'!$A60)</f>
        <v>0</v>
      </c>
      <c r="E60" s="44">
        <f>IF(D59=0,0,D60/D59)</f>
        <v>0</v>
      </c>
      <c r="F60" s="20">
        <f>SUMIFS(Tabla2[IMPORT],Tabla2[ANY],2020,Tabla2[MES],'2024'!F$2,Tabla2[TIPUS],'2024'!$A60)</f>
        <v>0</v>
      </c>
      <c r="G60" s="44">
        <f>IF(F59=0,0,F60/F59)</f>
        <v>0</v>
      </c>
      <c r="H60" s="20">
        <f>SUMIFS(Tabla2[IMPORT],Tabla2[ANY],2020,Tabla2[MES],'2024'!H$2,Tabla2[TIPUS],'2024'!$A60)</f>
        <v>0</v>
      </c>
      <c r="I60" s="44">
        <f>IF(H59=0,0,H60/H59)</f>
        <v>0</v>
      </c>
      <c r="J60" s="20">
        <f>SUMIFS(Tabla2[IMPORT],Tabla2[ANY],2020,Tabla2[MES],'2024'!J$2,Tabla2[TIPUS],'2024'!$A60)</f>
        <v>0</v>
      </c>
      <c r="K60" s="44">
        <f>IF(J59=0,0,J60/J59)</f>
        <v>0</v>
      </c>
      <c r="L60" s="20">
        <f>SUMIFS(Tabla2[IMPORT],Tabla2[ANY],2020,Tabla2[MES],'2024'!L$2,Tabla2[TIPUS],'2024'!$A60)</f>
        <v>0</v>
      </c>
      <c r="M60" s="44">
        <f>IF(L59=0,0,L60/L59)</f>
        <v>0</v>
      </c>
      <c r="N60" s="20">
        <f>SUMIFS(Tabla2[IMPORT],Tabla2[ANY],2020,Tabla2[MES],'2024'!N$2,Tabla2[TIPUS],'2024'!$A60)</f>
        <v>0</v>
      </c>
      <c r="O60" s="44">
        <f>IF(N59=0,0,N60/N59)</f>
        <v>0</v>
      </c>
      <c r="P60" s="20">
        <f>SUMIFS(Tabla2[IMPORT],Tabla2[ANY],2020,Tabla2[MES],'2024'!P$2,Tabla2[TIPUS],'2024'!$A60)</f>
        <v>0</v>
      </c>
      <c r="Q60" s="44">
        <f>IF(P59=0,0,P60/P59)</f>
        <v>0</v>
      </c>
      <c r="R60" s="20">
        <f>SUMIFS(Tabla2[IMPORT],Tabla2[ANY],2020,Tabla2[MES],'2024'!R$2,Tabla2[TIPUS],'2024'!$A60)</f>
        <v>0</v>
      </c>
      <c r="S60" s="44">
        <f>IF(R59=0,0,R60/R59)</f>
        <v>0</v>
      </c>
      <c r="T60" s="20">
        <f>SUMIFS(Tabla2[IMPORT],Tabla2[ANY],2020,Tabla2[MES],'2024'!T$2,Tabla2[TIPUS],'2024'!$A60)</f>
        <v>0</v>
      </c>
      <c r="U60" s="44">
        <f>IF(T59=0,0,T60/T59)</f>
        <v>0</v>
      </c>
      <c r="V60" s="20">
        <f>SUMIFS(Tabla2[IMPORT],Tabla2[ANY],2020,Tabla2[MES],'2024'!V$2,Tabla2[TIPUS],'2024'!$A60)</f>
        <v>0</v>
      </c>
      <c r="W60" s="44">
        <f>IF(V59=0,0,V60/V59)</f>
        <v>0</v>
      </c>
      <c r="X60" s="20">
        <f>SUMIFS(Tabla2[IMPORT],Tabla2[ANY],2020,Tabla2[MES],'2024'!X$2,Tabla2[TIPUS],'2024'!$A60)</f>
        <v>0</v>
      </c>
      <c r="Y60" s="44">
        <f>IF(X59=0,0,X60/X59)</f>
        <v>0</v>
      </c>
      <c r="Z60" s="20">
        <f>B60+D60+F60+H60+J60+L60+N60+P60+R60+T60+V60+X60</f>
        <v>0</v>
      </c>
      <c r="AA60" s="44">
        <f>IF(Z59=0,0,Z60/Z59)</f>
        <v>0</v>
      </c>
      <c r="AB60" s="178">
        <f t="shared" si="2"/>
        <v>0</v>
      </c>
      <c r="AC60" s="178">
        <v>0</v>
      </c>
    </row>
    <row r="61" spans="1:30" ht="15.75" collapsed="1" thickBot="1" x14ac:dyDescent="0.25">
      <c r="A61" s="15" t="s">
        <v>135</v>
      </c>
      <c r="B61" s="26">
        <f>B58-B60</f>
        <v>3890.6974999999998</v>
      </c>
      <c r="C61" s="27">
        <f>IF(B$3=0,0,B61/B$3)</f>
        <v>0.74821105769230767</v>
      </c>
      <c r="D61" s="26">
        <f>D58-D60</f>
        <v>2790.4874999999997</v>
      </c>
      <c r="E61" s="27">
        <f>IF(D$3=0,0,D61/D$3)</f>
        <v>0.63637115165336366</v>
      </c>
      <c r="F61" s="26">
        <f>F58-F60</f>
        <v>3825.8274999999999</v>
      </c>
      <c r="G61" s="27">
        <f>IF(F$3=0,0,F61/F$3)</f>
        <v>0.7736759352881698</v>
      </c>
      <c r="H61" s="26">
        <f>H58-H60</f>
        <v>3398.8775000000001</v>
      </c>
      <c r="I61" s="27">
        <f>IF(H$3=0,0,H61/H$3)</f>
        <v>0.73728362255965296</v>
      </c>
      <c r="J61" s="26">
        <f>J58-J60</f>
        <v>2676.2374999999997</v>
      </c>
      <c r="K61" s="27">
        <f>IF(J$3=0,0,J61/J$3)</f>
        <v>0.58179076086956516</v>
      </c>
      <c r="L61" s="26">
        <f>L58-L60</f>
        <v>3285.0674999999997</v>
      </c>
      <c r="M61" s="27">
        <f>IF(L$3=0,0,L61/L$3)</f>
        <v>0.72678484513274333</v>
      </c>
      <c r="N61" s="26">
        <f>N58-N60</f>
        <v>1489.1675</v>
      </c>
      <c r="O61" s="27">
        <f>IF(N$3=0,0,N61/N$3)</f>
        <v>0.42007545839210153</v>
      </c>
      <c r="P61" s="26">
        <f>P58-P60</f>
        <v>1324.6175000000001</v>
      </c>
      <c r="Q61" s="27">
        <f>IF(P$3=0,0,P61/P$3)</f>
        <v>0.51945784313725496</v>
      </c>
      <c r="R61" s="26">
        <f>R58-R60</f>
        <v>3113.3775000000001</v>
      </c>
      <c r="S61" s="27">
        <f>IF(R$3=0,0,R61/R$3)</f>
        <v>0.75293288996372432</v>
      </c>
      <c r="T61" s="26">
        <f>T58-T60</f>
        <v>2588.7774999999997</v>
      </c>
      <c r="U61" s="27">
        <f>IF(T$3=0,0,T61/T$3)</f>
        <v>0.68125723684210515</v>
      </c>
      <c r="V61" s="26">
        <f>V58-V60</f>
        <v>3846.3474999999999</v>
      </c>
      <c r="W61" s="27">
        <f>IF(V$3=0,0,V61/V$3)</f>
        <v>0.69054712746858171</v>
      </c>
      <c r="X61" s="26">
        <f>X58-X60</f>
        <v>5853.6875</v>
      </c>
      <c r="Y61" s="27">
        <f>IF(X$3=0,0,X61/X$3)</f>
        <v>0.8013261464750171</v>
      </c>
      <c r="Z61" s="26">
        <f>Z58-Z60</f>
        <v>38083.170000000006</v>
      </c>
      <c r="AA61" s="27">
        <f>IF(Z$3=0,0,Z61/Z$3)</f>
        <v>0.69035022206108954</v>
      </c>
      <c r="AB61" s="178">
        <f t="shared" si="2"/>
        <v>3173.5975000000003</v>
      </c>
      <c r="AC61" s="178">
        <v>2651.6458250000001</v>
      </c>
      <c r="AD61" s="79"/>
    </row>
    <row r="62" spans="1:30" ht="15.75" hidden="1" outlineLevel="1" thickTop="1" x14ac:dyDescent="0.2">
      <c r="A62" s="8" t="s">
        <v>123</v>
      </c>
      <c r="B62" s="20">
        <f>SUMIFS(Tabla2[IMPORT],Tabla2[ANY],$Z$2,Tabla2[MES],'2024'!B$2,Tabla2[TIPUS],'2024'!$A62)</f>
        <v>1088.17</v>
      </c>
      <c r="C62" s="21">
        <f>IF(B$3=0,0,B62/B$3)</f>
        <v>0.20926346153846156</v>
      </c>
      <c r="D62" s="20">
        <f>SUMIFS(Tabla2[IMPORT],Tabla2[ANY],$Z$2,Tabla2[MES],'2024'!D$2,Tabla2[TIPUS],'2024'!$A62)</f>
        <v>0</v>
      </c>
      <c r="E62" s="21">
        <f>IF(D$3=0,0,D62/D$3)</f>
        <v>0</v>
      </c>
      <c r="F62" s="20">
        <f>SUMIFS(Tabla2[IMPORT],Tabla2[ANY],$Z$2,Tabla2[MES],'2024'!F$2,Tabla2[TIPUS],'2024'!$A62)</f>
        <v>0</v>
      </c>
      <c r="G62" s="21">
        <f>IF(F$3=0,0,F62/F$3)</f>
        <v>0</v>
      </c>
      <c r="H62" s="20">
        <f>SUMIFS(Tabla2[IMPORT],Tabla2[ANY],$Z$2,Tabla2[MES],'2024'!H$2,Tabla2[TIPUS],'2024'!$A62)</f>
        <v>1196.26</v>
      </c>
      <c r="I62" s="21">
        <f>IF(H$3=0,0,H62/H$3)</f>
        <v>0.25949240780911065</v>
      </c>
      <c r="J62" s="20">
        <f>SUMIFS(Tabla2[IMPORT],Tabla2[ANY],$Z$2,Tabla2[MES],'2024'!J$2,Tabla2[TIPUS],'2024'!$A62)</f>
        <v>0</v>
      </c>
      <c r="K62" s="21">
        <f>IF(J$3=0,0,J62/J$3)</f>
        <v>0</v>
      </c>
      <c r="L62" s="20">
        <f>SUMIFS(Tabla2[IMPORT],Tabla2[ANY],$Z$2,Tabla2[MES],'2024'!L$2,Tabla2[TIPUS],'2024'!$A62)</f>
        <v>0</v>
      </c>
      <c r="M62" s="21">
        <f>IF(L$3=0,0,L62/L$3)</f>
        <v>0</v>
      </c>
      <c r="N62" s="20">
        <f>SUMIFS(Tabla2[IMPORT],Tabla2[ANY],$Z$2,Tabla2[MES],'2024'!N$2,Tabla2[TIPUS],'2024'!$A62)</f>
        <v>1047.99</v>
      </c>
      <c r="O62" s="21">
        <f>IF(N$3=0,0,N62/N$3)</f>
        <v>0.29562482369534554</v>
      </c>
      <c r="P62" s="20">
        <f>SUMIFS(Tabla2[IMPORT],Tabla2[ANY],$Z$2,Tabla2[MES],'2024'!P$2,Tabla2[TIPUS],'2024'!$A62)</f>
        <v>0</v>
      </c>
      <c r="Q62" s="21">
        <f>IF(P$3=0,0,P62/P$3)</f>
        <v>0</v>
      </c>
      <c r="R62" s="20">
        <f>SUMIFS(Tabla2[IMPORT],Tabla2[ANY],$Z$2,Tabla2[MES],'2024'!R$2,Tabla2[TIPUS],'2024'!$A62)</f>
        <v>0</v>
      </c>
      <c r="S62" s="21">
        <f>IF(R$3=0,0,R62/R$3)</f>
        <v>0</v>
      </c>
      <c r="T62" s="20">
        <f>SUMIFS(Tabla2[IMPORT],Tabla2[ANY],$Z$2,Tabla2[MES],'2024'!T$2,Tabla2[TIPUS],'2024'!$A62)</f>
        <v>935.35</v>
      </c>
      <c r="U62" s="21">
        <f>IF(T$3=0,0,T62/T$3)</f>
        <v>0.24614473684210528</v>
      </c>
      <c r="V62" s="20">
        <f>SUMIFS(Tabla2[IMPORT],Tabla2[ANY],$Z$2,Tabla2[MES],'2024'!V$2,Tabla2[TIPUS],'2024'!$A62)</f>
        <v>0</v>
      </c>
      <c r="W62" s="21">
        <f>IF(V$3=0,0,V62/V$3)</f>
        <v>0</v>
      </c>
      <c r="X62" s="20">
        <f>SUMIFS(Tabla2[IMPORT],Tabla2[ANY],$Z$2,Tabla2[MES],'2024'!X$2,Tabla2[TIPUS],'2024'!$A62)</f>
        <v>0</v>
      </c>
      <c r="Y62" s="21">
        <f>IF(X$3=0,0,X62/X$3)</f>
        <v>0</v>
      </c>
      <c r="Z62" s="20">
        <f>B62+D62+F62+H62+J62+L62+N62+P62+R62+T62+V62+X62</f>
        <v>4267.7700000000004</v>
      </c>
      <c r="AA62" s="21">
        <f>IF(Z$3=0,0,Z62/Z$3)</f>
        <v>7.7363727000815743E-2</v>
      </c>
      <c r="AB62" s="178">
        <f t="shared" si="2"/>
        <v>355.64750000000004</v>
      </c>
      <c r="AC62" s="178">
        <v>429.91083333333336</v>
      </c>
    </row>
    <row r="63" spans="1:30" ht="16.5" collapsed="1" thickTop="1" thickBot="1" x14ac:dyDescent="0.25">
      <c r="A63" s="15" t="s">
        <v>124</v>
      </c>
      <c r="B63" s="26">
        <f>B61-B62</f>
        <v>2802.5274999999997</v>
      </c>
      <c r="C63" s="27">
        <f>IF(B3=0,0,B63/B3)</f>
        <v>0.53894759615384613</v>
      </c>
      <c r="D63" s="26">
        <f>D61-D62</f>
        <v>2790.4874999999997</v>
      </c>
      <c r="E63" s="27">
        <f>IF(D3=0,0,D63/D3)</f>
        <v>0.63637115165336366</v>
      </c>
      <c r="F63" s="26">
        <f>F61-F62</f>
        <v>3825.8274999999999</v>
      </c>
      <c r="G63" s="27">
        <f>IF(F3=0,0,F63/F3)</f>
        <v>0.7736759352881698</v>
      </c>
      <c r="H63" s="26">
        <f>H61-H62</f>
        <v>2202.6175000000003</v>
      </c>
      <c r="I63" s="27">
        <f>IF(H3=0,0,H63/H3)</f>
        <v>0.47779121475054237</v>
      </c>
      <c r="J63" s="26">
        <f>J61-J62</f>
        <v>2676.2374999999997</v>
      </c>
      <c r="K63" s="27">
        <f>IF(J3=0,0,J63/J3)</f>
        <v>0.58179076086956516</v>
      </c>
      <c r="L63" s="26">
        <f>L61-L62</f>
        <v>3285.0674999999997</v>
      </c>
      <c r="M63" s="27">
        <f>IF(L3=0,0,L63/L3)</f>
        <v>0.72678484513274333</v>
      </c>
      <c r="N63" s="26">
        <f>N61-N62</f>
        <v>441.17750000000001</v>
      </c>
      <c r="O63" s="27">
        <f>IF(N3=0,0,N63/N3)</f>
        <v>0.12445063469675599</v>
      </c>
      <c r="P63" s="26">
        <f>P61-P62</f>
        <v>1324.6175000000001</v>
      </c>
      <c r="Q63" s="27">
        <f>IF(P3=0,0,P63/P3)</f>
        <v>0.51945784313725496</v>
      </c>
      <c r="R63" s="26">
        <f>R61-R62</f>
        <v>3113.3775000000001</v>
      </c>
      <c r="S63" s="27">
        <f>IF(R3=0,0,R63/R3)</f>
        <v>0.75293288996372432</v>
      </c>
      <c r="T63" s="26">
        <f>T61-T62</f>
        <v>1653.4274999999998</v>
      </c>
      <c r="U63" s="27">
        <f>IF(T3=0,0,T63/T3)</f>
        <v>0.43511249999999996</v>
      </c>
      <c r="V63" s="26">
        <f>V61-V62</f>
        <v>3846.3474999999999</v>
      </c>
      <c r="W63" s="27">
        <f>IF(V3=0,0,V63/V3)</f>
        <v>0.69054712746858171</v>
      </c>
      <c r="X63" s="26">
        <f>X61-X62</f>
        <v>5853.6875</v>
      </c>
      <c r="Y63" s="27">
        <f>IF(X3=0,0,X63/X3)</f>
        <v>0.8013261464750171</v>
      </c>
      <c r="Z63" s="26">
        <f>Z61-Z62</f>
        <v>33815.400000000009</v>
      </c>
      <c r="AA63" s="27">
        <f>IF(Z3=0,0,Z63/Z3)</f>
        <v>0.61298649506027392</v>
      </c>
      <c r="AB63" s="178">
        <f>Z63/$A$2</f>
        <v>2817.9500000000007</v>
      </c>
      <c r="AC63" s="178">
        <v>2221.7349916666667</v>
      </c>
    </row>
    <row r="64" spans="1:30" ht="16.5" thickTop="1" thickBot="1" x14ac:dyDescent="0.25">
      <c r="B64" s="30"/>
      <c r="C64" s="31"/>
      <c r="D64" s="30"/>
      <c r="E64" s="31"/>
      <c r="F64" s="30"/>
      <c r="G64" s="31"/>
      <c r="H64" s="30"/>
      <c r="I64" s="31"/>
      <c r="J64" s="30"/>
      <c r="K64" s="31"/>
      <c r="L64" s="30"/>
      <c r="M64" s="31"/>
      <c r="N64" s="30"/>
      <c r="O64" s="31"/>
      <c r="P64" s="30"/>
      <c r="Q64" s="31"/>
      <c r="R64" s="30"/>
      <c r="S64" s="31"/>
      <c r="T64" s="30"/>
      <c r="U64" s="31"/>
      <c r="V64" s="30"/>
      <c r="W64" s="31"/>
      <c r="X64" s="30"/>
      <c r="Y64" s="31"/>
      <c r="Z64" s="179"/>
      <c r="AA64" s="31"/>
    </row>
    <row r="65" spans="1:29" ht="15.75" thickBot="1" x14ac:dyDescent="0.25">
      <c r="A65" s="210" t="s">
        <v>136</v>
      </c>
    </row>
    <row r="66" spans="1:29" x14ac:dyDescent="0.2">
      <c r="A66" s="210"/>
      <c r="B66" s="208" t="s">
        <v>48</v>
      </c>
      <c r="C66" s="209"/>
      <c r="D66" s="208" t="s">
        <v>56</v>
      </c>
      <c r="E66" s="209"/>
      <c r="F66" s="208" t="s">
        <v>57</v>
      </c>
      <c r="G66" s="209"/>
      <c r="H66" s="208" t="s">
        <v>58</v>
      </c>
      <c r="I66" s="209"/>
      <c r="J66" s="208" t="s">
        <v>59</v>
      </c>
      <c r="K66" s="209"/>
      <c r="L66" s="208" t="s">
        <v>60</v>
      </c>
      <c r="M66" s="209"/>
      <c r="N66" s="208" t="s">
        <v>61</v>
      </c>
      <c r="O66" s="209"/>
      <c r="P66" s="208" t="s">
        <v>62</v>
      </c>
      <c r="Q66" s="209"/>
      <c r="R66" s="208" t="s">
        <v>236</v>
      </c>
      <c r="S66" s="209"/>
      <c r="T66" s="208" t="s">
        <v>63</v>
      </c>
      <c r="U66" s="209"/>
      <c r="V66" s="208" t="s">
        <v>64</v>
      </c>
      <c r="W66" s="209"/>
      <c r="X66" s="208" t="s">
        <v>65</v>
      </c>
      <c r="Y66" s="209"/>
      <c r="Z66" s="208">
        <f>Z2</f>
        <v>2024</v>
      </c>
      <c r="AA66" s="209"/>
      <c r="AC66" s="178"/>
    </row>
    <row r="67" spans="1:29" x14ac:dyDescent="0.2">
      <c r="A67" t="s">
        <v>125</v>
      </c>
      <c r="B67" s="20">
        <f>B3</f>
        <v>5200</v>
      </c>
      <c r="C67" s="38">
        <f t="shared" ref="C67:C73" si="71">B67</f>
        <v>5200</v>
      </c>
      <c r="D67" s="20">
        <f>D3</f>
        <v>4385</v>
      </c>
      <c r="E67" s="38">
        <f>C73+D67</f>
        <v>7226.17</v>
      </c>
      <c r="F67" s="20">
        <f>F3</f>
        <v>4945</v>
      </c>
      <c r="G67" s="38">
        <f>E73+F67</f>
        <v>9906.5400000000009</v>
      </c>
      <c r="H67" s="20">
        <f>H3</f>
        <v>4610</v>
      </c>
      <c r="I67" s="38">
        <f>G73+H67</f>
        <v>13507.25</v>
      </c>
      <c r="J67" s="20">
        <f>J3</f>
        <v>4600</v>
      </c>
      <c r="K67" s="38">
        <f>I73+J67</f>
        <v>15809.75</v>
      </c>
      <c r="L67" s="20">
        <f>L3</f>
        <v>4520</v>
      </c>
      <c r="M67" s="38">
        <f>K73+L67</f>
        <v>18515.87</v>
      </c>
      <c r="N67" s="20">
        <f>N3</f>
        <v>3545</v>
      </c>
      <c r="O67" s="38">
        <f>M73+N67</f>
        <v>20935.82</v>
      </c>
      <c r="P67" s="20">
        <f>P3</f>
        <v>2550</v>
      </c>
      <c r="Q67" s="38">
        <f>O73+P67</f>
        <v>20182.879999999997</v>
      </c>
      <c r="R67" s="20">
        <f>R3</f>
        <v>4135</v>
      </c>
      <c r="S67" s="38">
        <f>Q73+R67</f>
        <v>23202.379999999997</v>
      </c>
      <c r="T67" s="20">
        <f>T3</f>
        <v>3800</v>
      </c>
      <c r="U67" s="38">
        <f>S73+T67</f>
        <v>26090.639999999996</v>
      </c>
      <c r="V67" s="20">
        <f>V3</f>
        <v>5570</v>
      </c>
      <c r="W67" s="38">
        <f>U73+V67</f>
        <v>29623.949999999997</v>
      </c>
      <c r="X67" s="20">
        <f>X3</f>
        <v>7305</v>
      </c>
      <c r="Y67" s="38">
        <f>W73+X67</f>
        <v>35315.179999999993</v>
      </c>
      <c r="Z67" s="200">
        <f>Z3</f>
        <v>55165</v>
      </c>
      <c r="AA67" s="201"/>
    </row>
    <row r="68" spans="1:29" x14ac:dyDescent="0.2">
      <c r="A68" t="s">
        <v>126</v>
      </c>
      <c r="B68" s="20">
        <f>B40</f>
        <v>1199.42</v>
      </c>
      <c r="C68" s="38">
        <f t="shared" si="71"/>
        <v>1199.42</v>
      </c>
      <c r="D68" s="20">
        <f>D40</f>
        <v>1484.63</v>
      </c>
      <c r="E68" s="38">
        <f>D68</f>
        <v>1484.63</v>
      </c>
      <c r="F68" s="20">
        <f>F40</f>
        <v>1009.29</v>
      </c>
      <c r="G68" s="38">
        <f>F68</f>
        <v>1009.29</v>
      </c>
      <c r="H68" s="20">
        <f>H40</f>
        <v>1101.24</v>
      </c>
      <c r="I68" s="38">
        <f>H68</f>
        <v>1101.24</v>
      </c>
      <c r="J68" s="20">
        <f>J40</f>
        <v>1813.88</v>
      </c>
      <c r="K68" s="38">
        <f>J68</f>
        <v>1813.88</v>
      </c>
      <c r="L68" s="20">
        <f>L40</f>
        <v>1125.05</v>
      </c>
      <c r="M68" s="38">
        <f>L68</f>
        <v>1125.05</v>
      </c>
      <c r="N68" s="20">
        <f>N40</f>
        <v>1945.95</v>
      </c>
      <c r="O68" s="38">
        <f>N68</f>
        <v>1945.95</v>
      </c>
      <c r="P68" s="20">
        <f>P40</f>
        <v>1115.5</v>
      </c>
      <c r="Q68" s="38">
        <f>P68</f>
        <v>1115.5</v>
      </c>
      <c r="R68" s="20">
        <f>R40</f>
        <v>911.74</v>
      </c>
      <c r="S68" s="38">
        <f>R68</f>
        <v>911.74</v>
      </c>
      <c r="T68" s="20">
        <f>T40</f>
        <v>1101.3400000000001</v>
      </c>
      <c r="U68" s="38">
        <f>T68</f>
        <v>1101.3400000000001</v>
      </c>
      <c r="V68" s="20">
        <f>V40</f>
        <v>1613.77</v>
      </c>
      <c r="W68" s="38">
        <f>V68</f>
        <v>1613.77</v>
      </c>
      <c r="X68" s="20">
        <f>X40</f>
        <v>1341.4299999999998</v>
      </c>
      <c r="Y68" s="38">
        <f>X68</f>
        <v>1341.4299999999998</v>
      </c>
      <c r="Z68" s="200">
        <f>Z40</f>
        <v>15763.24</v>
      </c>
      <c r="AA68" s="201"/>
    </row>
    <row r="69" spans="1:29" ht="15.75" thickBot="1" x14ac:dyDescent="0.25">
      <c r="A69" s="36" t="s">
        <v>127</v>
      </c>
      <c r="B69" s="37">
        <f>B67-B68</f>
        <v>4000.58</v>
      </c>
      <c r="C69" s="39">
        <f t="shared" si="71"/>
        <v>4000.58</v>
      </c>
      <c r="D69" s="37">
        <f t="shared" ref="D69:Y69" si="72">D67-D68</f>
        <v>2900.37</v>
      </c>
      <c r="E69" s="39">
        <f t="shared" si="72"/>
        <v>5741.54</v>
      </c>
      <c r="F69" s="37">
        <f t="shared" si="72"/>
        <v>3935.71</v>
      </c>
      <c r="G69" s="39">
        <f t="shared" si="72"/>
        <v>8897.25</v>
      </c>
      <c r="H69" s="37">
        <f t="shared" si="72"/>
        <v>3508.76</v>
      </c>
      <c r="I69" s="39">
        <f t="shared" si="72"/>
        <v>12406.01</v>
      </c>
      <c r="J69" s="37">
        <f t="shared" si="72"/>
        <v>2786.12</v>
      </c>
      <c r="K69" s="39">
        <f t="shared" si="72"/>
        <v>13995.869999999999</v>
      </c>
      <c r="L69" s="37">
        <f t="shared" si="72"/>
        <v>3394.95</v>
      </c>
      <c r="M69" s="39">
        <f t="shared" si="72"/>
        <v>17390.82</v>
      </c>
      <c r="N69" s="37">
        <f t="shared" si="72"/>
        <v>1599.05</v>
      </c>
      <c r="O69" s="39">
        <f t="shared" si="72"/>
        <v>18989.87</v>
      </c>
      <c r="P69" s="37">
        <f t="shared" si="72"/>
        <v>1434.5</v>
      </c>
      <c r="Q69" s="39">
        <f t="shared" si="72"/>
        <v>19067.379999999997</v>
      </c>
      <c r="R69" s="37">
        <f t="shared" si="72"/>
        <v>3223.26</v>
      </c>
      <c r="S69" s="39">
        <f t="shared" si="72"/>
        <v>22290.639999999996</v>
      </c>
      <c r="T69" s="37">
        <f t="shared" si="72"/>
        <v>2698.66</v>
      </c>
      <c r="U69" s="39">
        <f t="shared" si="72"/>
        <v>24989.299999999996</v>
      </c>
      <c r="V69" s="37">
        <f t="shared" si="72"/>
        <v>3956.23</v>
      </c>
      <c r="W69" s="39">
        <f t="shared" si="72"/>
        <v>28010.179999999997</v>
      </c>
      <c r="X69" s="37">
        <f t="shared" si="72"/>
        <v>5963.57</v>
      </c>
      <c r="Y69" s="39">
        <f t="shared" si="72"/>
        <v>33973.749999999993</v>
      </c>
      <c r="Z69" s="202">
        <f>Z67-Z68</f>
        <v>39401.760000000002</v>
      </c>
      <c r="AA69" s="203"/>
    </row>
    <row r="70" spans="1:29" x14ac:dyDescent="0.2">
      <c r="A70" s="2" t="s">
        <v>128</v>
      </c>
      <c r="B70" s="20">
        <f>-SUMIFS(Tabla2[IMPORT],Tabla2[ANY],$Z$2,Tabla2[MES],'2024'!B$2,Tabla2[TIPUS],'2024'!$A70)</f>
        <v>-71.239999999999995</v>
      </c>
      <c r="C70" s="38">
        <f t="shared" si="71"/>
        <v>-71.239999999999995</v>
      </c>
      <c r="D70" s="20">
        <f>-SUMIFS(Tabla2[IMPORT],Tabla2[ANY],$Z$2,Tabla2[MES],'2024'!D$2,Tabla2[TIPUS],'2024'!$A70)</f>
        <v>-780</v>
      </c>
      <c r="E70" s="38">
        <f>D70</f>
        <v>-780</v>
      </c>
      <c r="F70" s="20">
        <f>-SUMIFS(Tabla2[IMPORT],Tabla2[ANY],$Z$2,Tabla2[MES],'2024'!F$2,Tabla2[TIPUS],'2024'!$A70)</f>
        <v>0</v>
      </c>
      <c r="G70" s="38">
        <f>F70</f>
        <v>0</v>
      </c>
      <c r="H70" s="20">
        <f>-SUMIFS(Tabla2[IMPORT],Tabla2[ANY],$Z$2,Tabla2[MES],'2024'!H$2,Tabla2[TIPUS],'2024'!$A70)</f>
        <v>0</v>
      </c>
      <c r="I70" s="38">
        <f>H70</f>
        <v>0</v>
      </c>
      <c r="J70" s="20">
        <f>-SUMIFS(Tabla2[IMPORT],Tabla2[ANY],$Z$2,Tabla2[MES],'2024'!J$2,Tabla2[TIPUS],'2024'!$A70)</f>
        <v>0</v>
      </c>
      <c r="K70" s="38">
        <f>J70</f>
        <v>0</v>
      </c>
      <c r="L70" s="20">
        <f>-SUMIFS(Tabla2[IMPORT],Tabla2[ANY],$Z$2,Tabla2[MES],'2024'!L$2,Tabla2[TIPUS],'2024'!$A70)</f>
        <v>0</v>
      </c>
      <c r="M70" s="38">
        <f>L70</f>
        <v>0</v>
      </c>
      <c r="N70" s="20">
        <f>-SUMIFS(Tabla2[IMPORT],Tabla2[ANY],$Z$2,Tabla2[MES],'2024'!N$2,Tabla2[TIPUS],'2024'!$A70)</f>
        <v>-309</v>
      </c>
      <c r="O70" s="38">
        <f>N70</f>
        <v>-309</v>
      </c>
      <c r="P70" s="20">
        <f>-SUMIFS(Tabla2[IMPORT],Tabla2[ANY],$Z$2,Tabla2[MES],'2024'!P$2,Tabla2[TIPUS],'2024'!$A70)</f>
        <v>0</v>
      </c>
      <c r="Q70" s="38">
        <f>P70</f>
        <v>0</v>
      </c>
      <c r="R70" s="20">
        <f>-SUMIFS(Tabla2[IMPORT],Tabla2[ANY],$Z$2,Tabla2[MES],'2024'!R$2,Tabla2[TIPUS],'2024'!$A70)</f>
        <v>0</v>
      </c>
      <c r="S70" s="38">
        <f>R70</f>
        <v>0</v>
      </c>
      <c r="T70" s="20">
        <f>-SUMIFS(Tabla2[IMPORT],Tabla2[ANY],$Z$2,Tabla2[MES],'2024'!T$2,Tabla2[TIPUS],'2024'!$A70)</f>
        <v>0</v>
      </c>
      <c r="U70" s="38">
        <f>T70</f>
        <v>0</v>
      </c>
      <c r="V70" s="20">
        <f>-SUMIFS(Tabla2[IMPORT],Tabla2[ANY],$Z$2,Tabla2[MES],'2024'!V$2,Tabla2[TIPUS],'2024'!$A70)</f>
        <v>0</v>
      </c>
      <c r="W70" s="38">
        <f>V70</f>
        <v>0</v>
      </c>
      <c r="X70" s="20">
        <f>-SUMIFS(Tabla2[IMPORT],Tabla2[ANY],$Z$2,Tabla2[MES],'2024'!X$2,Tabla2[TIPUS],'2024'!$A70)</f>
        <v>0</v>
      </c>
      <c r="Y70" s="38">
        <f>X70</f>
        <v>0</v>
      </c>
      <c r="Z70" s="204">
        <f>C70+E70+G70+I70+K70+O70+M70+Q70+S70+U70+W70+Y70</f>
        <v>-1160.24</v>
      </c>
      <c r="AA70" s="205"/>
    </row>
    <row r="71" spans="1:29" x14ac:dyDescent="0.2">
      <c r="A71" t="s">
        <v>134</v>
      </c>
      <c r="B71" s="20">
        <f>-B59</f>
        <v>0</v>
      </c>
      <c r="C71" s="38">
        <f t="shared" si="71"/>
        <v>0</v>
      </c>
      <c r="D71" s="20">
        <f>-D59</f>
        <v>0</v>
      </c>
      <c r="E71" s="38">
        <f>D71</f>
        <v>0</v>
      </c>
      <c r="F71" s="20">
        <f>-F59</f>
        <v>0</v>
      </c>
      <c r="G71" s="38">
        <f>F71</f>
        <v>0</v>
      </c>
      <c r="H71" s="20">
        <f>-H59</f>
        <v>0</v>
      </c>
      <c r="I71" s="38">
        <f>H71</f>
        <v>0</v>
      </c>
      <c r="J71" s="20">
        <f>-J59</f>
        <v>0</v>
      </c>
      <c r="K71" s="38">
        <f>J71</f>
        <v>0</v>
      </c>
      <c r="L71" s="20">
        <f>-L59</f>
        <v>0</v>
      </c>
      <c r="M71" s="38">
        <f>L71</f>
        <v>0</v>
      </c>
      <c r="N71" s="20">
        <f>-N59</f>
        <v>0</v>
      </c>
      <c r="O71" s="38">
        <f>N71</f>
        <v>0</v>
      </c>
      <c r="P71" s="20">
        <f>-P59</f>
        <v>0</v>
      </c>
      <c r="Q71" s="38">
        <f>P71</f>
        <v>0</v>
      </c>
      <c r="R71" s="20">
        <f>-R59</f>
        <v>0</v>
      </c>
      <c r="S71" s="38">
        <f>R71</f>
        <v>0</v>
      </c>
      <c r="T71" s="20">
        <f>-T59</f>
        <v>0</v>
      </c>
      <c r="U71" s="38">
        <f>T71</f>
        <v>0</v>
      </c>
      <c r="V71" s="20">
        <f>-V59</f>
        <v>0</v>
      </c>
      <c r="W71" s="38">
        <f>V71</f>
        <v>0</v>
      </c>
      <c r="X71" s="20">
        <f>-X59</f>
        <v>0</v>
      </c>
      <c r="Y71" s="38">
        <f>X71</f>
        <v>0</v>
      </c>
      <c r="Z71" s="200">
        <f>C71+E71+G71+I71+K71+O71+M71+Q71+S71+U71+W71+Y71</f>
        <v>0</v>
      </c>
      <c r="AA71" s="201"/>
    </row>
    <row r="72" spans="1:29" x14ac:dyDescent="0.2">
      <c r="A72" t="s">
        <v>130</v>
      </c>
      <c r="B72" s="23">
        <f>-B62</f>
        <v>-1088.17</v>
      </c>
      <c r="C72" s="35">
        <f t="shared" si="71"/>
        <v>-1088.17</v>
      </c>
      <c r="D72" s="23">
        <f>-D62</f>
        <v>0</v>
      </c>
      <c r="E72" s="35">
        <f>D72</f>
        <v>0</v>
      </c>
      <c r="F72" s="23">
        <f>-F62</f>
        <v>0</v>
      </c>
      <c r="G72" s="35">
        <f>F72</f>
        <v>0</v>
      </c>
      <c r="H72" s="23">
        <f>-H62</f>
        <v>-1196.26</v>
      </c>
      <c r="I72" s="35">
        <f>H72</f>
        <v>-1196.26</v>
      </c>
      <c r="J72" s="23">
        <f>-J62</f>
        <v>0</v>
      </c>
      <c r="K72" s="35">
        <f>J72</f>
        <v>0</v>
      </c>
      <c r="L72" s="23">
        <f>-L62</f>
        <v>0</v>
      </c>
      <c r="M72" s="35">
        <f>L72</f>
        <v>0</v>
      </c>
      <c r="N72" s="23">
        <f>-N62</f>
        <v>-1047.99</v>
      </c>
      <c r="O72" s="35">
        <f>N72</f>
        <v>-1047.99</v>
      </c>
      <c r="P72" s="23">
        <f>-P62</f>
        <v>0</v>
      </c>
      <c r="Q72" s="35">
        <f>P72</f>
        <v>0</v>
      </c>
      <c r="R72" s="23">
        <f>-R62</f>
        <v>0</v>
      </c>
      <c r="S72" s="35">
        <f>R72</f>
        <v>0</v>
      </c>
      <c r="T72" s="23">
        <f>-T62</f>
        <v>-935.35</v>
      </c>
      <c r="U72" s="35">
        <f>T72</f>
        <v>-935.35</v>
      </c>
      <c r="V72" s="23">
        <f>-V62</f>
        <v>0</v>
      </c>
      <c r="W72" s="35">
        <f>V72</f>
        <v>0</v>
      </c>
      <c r="X72" s="23">
        <f>-X62</f>
        <v>0</v>
      </c>
      <c r="Y72" s="35">
        <f>X72</f>
        <v>0</v>
      </c>
      <c r="Z72" s="206">
        <f>C72+E72+G72+I72+K72+O72+M72+Q72+S72+U72+W72+Y72</f>
        <v>-4267.7700000000004</v>
      </c>
      <c r="AA72" s="207"/>
    </row>
    <row r="73" spans="1:29" ht="15.75" thickBot="1" x14ac:dyDescent="0.25">
      <c r="A73" s="36" t="s">
        <v>131</v>
      </c>
      <c r="B73" s="37">
        <f>B69+B70+B71+B72</f>
        <v>2841.17</v>
      </c>
      <c r="C73" s="39">
        <f t="shared" si="71"/>
        <v>2841.17</v>
      </c>
      <c r="D73" s="37">
        <f t="shared" ref="D73:Y73" si="73">D69+D70+D71+D72</f>
        <v>2120.37</v>
      </c>
      <c r="E73" s="39">
        <f t="shared" si="73"/>
        <v>4961.54</v>
      </c>
      <c r="F73" s="37">
        <f t="shared" si="73"/>
        <v>3935.71</v>
      </c>
      <c r="G73" s="39">
        <f t="shared" si="73"/>
        <v>8897.25</v>
      </c>
      <c r="H73" s="37">
        <f t="shared" si="73"/>
        <v>2312.5</v>
      </c>
      <c r="I73" s="39">
        <f t="shared" si="73"/>
        <v>11209.75</v>
      </c>
      <c r="J73" s="37">
        <f t="shared" si="73"/>
        <v>2786.12</v>
      </c>
      <c r="K73" s="39">
        <f t="shared" si="73"/>
        <v>13995.869999999999</v>
      </c>
      <c r="L73" s="37">
        <f t="shared" si="73"/>
        <v>3394.95</v>
      </c>
      <c r="M73" s="39">
        <f t="shared" si="73"/>
        <v>17390.82</v>
      </c>
      <c r="N73" s="37">
        <f t="shared" si="73"/>
        <v>242.05999999999995</v>
      </c>
      <c r="O73" s="39">
        <f t="shared" si="73"/>
        <v>17632.879999999997</v>
      </c>
      <c r="P73" s="37">
        <f t="shared" si="73"/>
        <v>1434.5</v>
      </c>
      <c r="Q73" s="39">
        <f t="shared" si="73"/>
        <v>19067.379999999997</v>
      </c>
      <c r="R73" s="37">
        <f t="shared" si="73"/>
        <v>3223.26</v>
      </c>
      <c r="S73" s="39">
        <f t="shared" si="73"/>
        <v>22290.639999999996</v>
      </c>
      <c r="T73" s="37">
        <f t="shared" si="73"/>
        <v>1763.31</v>
      </c>
      <c r="U73" s="39">
        <f t="shared" si="73"/>
        <v>24053.949999999997</v>
      </c>
      <c r="V73" s="37">
        <f t="shared" si="73"/>
        <v>3956.23</v>
      </c>
      <c r="W73" s="39">
        <f t="shared" si="73"/>
        <v>28010.179999999997</v>
      </c>
      <c r="X73" s="37">
        <f t="shared" si="73"/>
        <v>5963.57</v>
      </c>
      <c r="Y73" s="39">
        <f t="shared" si="73"/>
        <v>33973.749999999993</v>
      </c>
      <c r="Z73" s="202">
        <f>Z69+Z70+Z71+Z72</f>
        <v>33973.75</v>
      </c>
      <c r="AA73" s="203"/>
    </row>
    <row r="75" spans="1:29" ht="30" thickBot="1" x14ac:dyDescent="0.45">
      <c r="A75" s="45" t="s">
        <v>102</v>
      </c>
    </row>
    <row r="76" spans="1:29" x14ac:dyDescent="0.2">
      <c r="B76" s="208" t="s">
        <v>48</v>
      </c>
      <c r="C76" s="209"/>
      <c r="D76" s="208" t="s">
        <v>56</v>
      </c>
      <c r="E76" s="209"/>
      <c r="F76" s="208" t="s">
        <v>57</v>
      </c>
      <c r="G76" s="209"/>
      <c r="H76" s="208" t="s">
        <v>58</v>
      </c>
      <c r="I76" s="209"/>
      <c r="J76" s="208" t="s">
        <v>59</v>
      </c>
      <c r="K76" s="209"/>
      <c r="L76" s="208" t="s">
        <v>60</v>
      </c>
      <c r="M76" s="209"/>
      <c r="N76" s="208" t="s">
        <v>61</v>
      </c>
      <c r="O76" s="209"/>
      <c r="P76" s="208" t="s">
        <v>62</v>
      </c>
      <c r="Q76" s="209"/>
      <c r="R76" s="208" t="s">
        <v>236</v>
      </c>
      <c r="S76" s="209"/>
      <c r="T76" s="208" t="s">
        <v>63</v>
      </c>
      <c r="U76" s="209"/>
      <c r="V76" s="208" t="s">
        <v>64</v>
      </c>
      <c r="W76" s="209"/>
      <c r="X76" s="208" t="s">
        <v>65</v>
      </c>
      <c r="Y76" s="209"/>
      <c r="Z76" s="208">
        <f>Z2</f>
        <v>2024</v>
      </c>
      <c r="AA76" s="209"/>
    </row>
    <row r="77" spans="1:29" ht="15.75" thickBot="1" x14ac:dyDescent="0.25">
      <c r="A77" s="10" t="s">
        <v>66</v>
      </c>
      <c r="B77" s="16">
        <f>B78+B96</f>
        <v>2105</v>
      </c>
      <c r="C77" s="17">
        <f>IF(B77=0,0,(B77/B77))</f>
        <v>1</v>
      </c>
      <c r="D77" s="16">
        <f>D78+D96</f>
        <v>1200</v>
      </c>
      <c r="E77" s="17">
        <f>IF(D77=0,0,(D77/D77))</f>
        <v>1</v>
      </c>
      <c r="F77" s="16">
        <f>F78+F96</f>
        <v>3040</v>
      </c>
      <c r="G77" s="17">
        <f>IF(F77=0,0,(F77/F77))</f>
        <v>1</v>
      </c>
      <c r="H77" s="16">
        <f>H78+H96</f>
        <v>2325</v>
      </c>
      <c r="I77" s="17">
        <f>IF(H77=0,0,(H77/H77))</f>
        <v>1</v>
      </c>
      <c r="J77" s="16">
        <f>J78+J96</f>
        <v>2005</v>
      </c>
      <c r="K77" s="17">
        <f>IF(J77=0,0,(J77/J77))</f>
        <v>1</v>
      </c>
      <c r="L77" s="16">
        <f>L78+L96</f>
        <v>1870</v>
      </c>
      <c r="M77" s="17">
        <f>IF(L77=0,0,(L77/L77))</f>
        <v>1</v>
      </c>
      <c r="N77" s="16">
        <f>N78+N96</f>
        <v>1300</v>
      </c>
      <c r="O77" s="17">
        <f>IF(N77=0,0,(N77/N77))</f>
        <v>1</v>
      </c>
      <c r="P77" s="16">
        <f>P78+P96</f>
        <v>890</v>
      </c>
      <c r="Q77" s="17">
        <f>IF(P77=0,0,(P77/P77))</f>
        <v>1</v>
      </c>
      <c r="R77" s="16">
        <f>R78+R96</f>
        <v>2355</v>
      </c>
      <c r="S77" s="17">
        <f>IF(R77=0,0,(R77/R77))</f>
        <v>1</v>
      </c>
      <c r="T77" s="16">
        <f>T78+T96</f>
        <v>1480</v>
      </c>
      <c r="U77" s="17">
        <f>IF(T77=0,0,(T77/T77))</f>
        <v>1</v>
      </c>
      <c r="V77" s="16">
        <f>V78+V96</f>
        <v>2900</v>
      </c>
      <c r="W77" s="17">
        <f>IF(V77=0,0,(V77/V77))</f>
        <v>1</v>
      </c>
      <c r="X77" s="16">
        <f>X78+X96</f>
        <v>2385</v>
      </c>
      <c r="Y77" s="17">
        <f>IF(X77=0,0,(X77/X77))</f>
        <v>1</v>
      </c>
      <c r="Z77" s="16">
        <f>Z78+Z96</f>
        <v>23855</v>
      </c>
      <c r="AA77" s="17">
        <f>IF(Z77=0,0,(Z77/Z77))</f>
        <v>1</v>
      </c>
    </row>
    <row r="78" spans="1:29" x14ac:dyDescent="0.2">
      <c r="A78" s="32" t="s">
        <v>74</v>
      </c>
      <c r="B78" s="18">
        <f>SUM(B79:B86)</f>
        <v>1985</v>
      </c>
      <c r="C78" s="19">
        <f>IF(B$77=0,0,B78/B$77)</f>
        <v>0.94299287410926369</v>
      </c>
      <c r="D78" s="18">
        <f>SUM(D79:D86)</f>
        <v>1200</v>
      </c>
      <c r="E78" s="19">
        <f>IF(D$77=0,0,D78/D$77)</f>
        <v>1</v>
      </c>
      <c r="F78" s="18">
        <f>SUM(F79:F86)</f>
        <v>2980</v>
      </c>
      <c r="G78" s="19">
        <f>IF(F$77=0,0,F78/F$77)</f>
        <v>0.98026315789473684</v>
      </c>
      <c r="H78" s="18">
        <f>SUM(H79:H86)</f>
        <v>2105</v>
      </c>
      <c r="I78" s="19">
        <f>IF(H$77=0,0,H78/H$77)</f>
        <v>0.90537634408602152</v>
      </c>
      <c r="J78" s="18">
        <f>SUM(J79:J86)</f>
        <v>2005</v>
      </c>
      <c r="K78" s="19">
        <f>IF(J$77=0,0,J78/J$77)</f>
        <v>1</v>
      </c>
      <c r="L78" s="18">
        <f>SUM(L79:L86)</f>
        <v>1810</v>
      </c>
      <c r="M78" s="19">
        <f>IF(L$77=0,0,L78/L$77)</f>
        <v>0.96791443850267378</v>
      </c>
      <c r="N78" s="18">
        <f>SUM(N79:N86)</f>
        <v>1240</v>
      </c>
      <c r="O78" s="19">
        <f>IF(N$77=0,0,N78/N$77)</f>
        <v>0.9538461538461539</v>
      </c>
      <c r="P78" s="18">
        <f>SUM(P79:P86)</f>
        <v>890</v>
      </c>
      <c r="Q78" s="19">
        <f>IF(P$77=0,0,P78/P$77)</f>
        <v>1</v>
      </c>
      <c r="R78" s="18">
        <f>SUM(R79:R86)</f>
        <v>1985</v>
      </c>
      <c r="S78" s="19">
        <f>IF(R$77=0,0,R78/R$77)</f>
        <v>0.8428874734607219</v>
      </c>
      <c r="T78" s="18">
        <f>SUM(T79:T86)</f>
        <v>1480</v>
      </c>
      <c r="U78" s="19">
        <f>IF(T$77=0,0,T78/T$77)</f>
        <v>1</v>
      </c>
      <c r="V78" s="18">
        <f>SUM(V79:V86)</f>
        <v>2630</v>
      </c>
      <c r="W78" s="19">
        <f>IF(V$77=0,0,V78/V$77)</f>
        <v>0.90689655172413797</v>
      </c>
      <c r="X78" s="18">
        <f>SUM(X79:X86)</f>
        <v>2265</v>
      </c>
      <c r="Y78" s="19">
        <f>IF(X$77=0,0,X78/X$77)</f>
        <v>0.94968553459119498</v>
      </c>
      <c r="Z78" s="18">
        <f>SUM(Z79:Z86)</f>
        <v>22575</v>
      </c>
      <c r="AA78" s="19">
        <f>IF(Z$77=0,0,Z78/Z$77)</f>
        <v>0.94634248585202263</v>
      </c>
    </row>
    <row r="79" spans="1:29" hidden="1" outlineLevel="2" x14ac:dyDescent="0.2">
      <c r="A79" s="8" t="s">
        <v>67</v>
      </c>
      <c r="B79" s="20">
        <f>SUMIFS('Registre de reserves'!$U$2:$U$1178,'Registre de reserves'!$T$2:$T$1178,"SI",'Registre de reserves'!$I$2:$I$1178,'2024'!$A79,'Registre de reserves'!$B$2:$B$1178,'2024'!B$2,Tabla1[ANY],'2024'!$Z$76)+SUMIFS('Registre de reserves'!$U$2:$U$1178,'Registre de reserves'!$T$2:$T$1178,"RESERVA",'Registre de reserves'!$I$2:$I$1178,'2024'!$A79,'Registre de reserves'!$B$2:$B$1178,'2024'!B$2,Tabla1[ANY],'2024'!$Z$76)</f>
        <v>590</v>
      </c>
      <c r="C79" s="21">
        <f t="shared" ref="C79:C86" si="74">IF(B$78=0,0,B79/B$78)</f>
        <v>0.29722921914357681</v>
      </c>
      <c r="D79" s="20">
        <f>SUMIFS('Registre de reserves'!$U$2:$U$1178,'Registre de reserves'!$T$2:$T$1178,"SI",'Registre de reserves'!$I$2:$I$1178,'2024'!$A79,'Registre de reserves'!$B$2:$B$1178,'2024'!D$2,Tabla1[ANY],'2024'!$Z$76)+SUMIFS('Registre de reserves'!$U$2:$U$1178,'Registre de reserves'!$T$2:$T$1178,"RESERVA",'Registre de reserves'!$I$2:$I$1178,'2024'!$A79,'Registre de reserves'!$B$2:$B$1178,'2024'!D$2,Tabla1[ANY],'2024'!$Z$76)</f>
        <v>400</v>
      </c>
      <c r="E79" s="21">
        <f t="shared" ref="E79:E86" si="75">IF(D$78=0,0,D79/D$78)</f>
        <v>0.33333333333333331</v>
      </c>
      <c r="F79" s="20">
        <f>SUMIFS('Registre de reserves'!$U$2:$U$1178,'Registre de reserves'!$T$2:$T$1178,"SI",'Registre de reserves'!$I$2:$I$1178,'2024'!$A79,'Registre de reserves'!$B$2:$B$1178,'2024'!F$2,Tabla1[ANY],'2024'!$Z$76)+SUMIFS('Registre de reserves'!$U$2:$U$1178,'Registre de reserves'!$T$2:$T$1178,"RESERVA",'Registre de reserves'!$I$2:$I$1178,'2024'!$A79,'Registre de reserves'!$B$2:$B$1178,'2024'!F$2,Tabla1[ANY],'2024'!$Z$76)</f>
        <v>300</v>
      </c>
      <c r="G79" s="21">
        <f t="shared" ref="G79:G86" si="76">IF(F$78=0,0,F79/F$78)</f>
        <v>0.10067114093959731</v>
      </c>
      <c r="H79" s="20">
        <f>SUMIFS('Registre de reserves'!$U$2:$U$1178,'Registre de reserves'!$T$2:$T$1178,"SI",'Registre de reserves'!$I$2:$I$1178,'2024'!$A79,'Registre de reserves'!$B$2:$B$1178,'2024'!H$2,Tabla1[ANY],'2024'!$Z$76)+SUMIFS('Registre de reserves'!$U$2:$U$1178,'Registre de reserves'!$T$2:$T$1178,"RESERVA",'Registre de reserves'!$I$2:$I$1178,'2024'!$A79,'Registre de reserves'!$B$2:$B$1178,'2024'!H$2,Tabla1[ANY],'2024'!$Z$76)</f>
        <v>400</v>
      </c>
      <c r="I79" s="21">
        <f t="shared" ref="I79:I86" si="77">IF(H$78=0,0,H79/H$78)</f>
        <v>0.19002375296912113</v>
      </c>
      <c r="J79" s="20">
        <f>SUMIFS('Registre de reserves'!$U$2:$U$1178,'Registre de reserves'!$T$2:$T$1178,"SI",'Registre de reserves'!$I$2:$I$1178,'2024'!$A79,'Registre de reserves'!$B$2:$B$1178,'2024'!J$2,Tabla1[ANY],'2024'!$Z$76)+SUMIFS('Registre de reserves'!$U$2:$U$1178,'Registre de reserves'!$T$2:$T$1178,"RESERVA",'Registre de reserves'!$I$2:$I$1178,'2024'!$A79,'Registre de reserves'!$B$2:$B$1178,'2024'!J$2,Tabla1[ANY],'2024'!$Z$76)</f>
        <v>250</v>
      </c>
      <c r="K79" s="21">
        <f t="shared" ref="K79:K86" si="78">IF(J$78=0,0,J79/J$78)</f>
        <v>0.12468827930174564</v>
      </c>
      <c r="L79" s="20">
        <f>SUMIFS('Registre de reserves'!$U$2:$U$1178,'Registre de reserves'!$T$2:$T$1178,"SI",'Registre de reserves'!$I$2:$I$1178,'2024'!$A79,'Registre de reserves'!$B$2:$B$1178,'2024'!L$2,Tabla1[ANY],'2024'!$Z$76)+SUMIFS('Registre de reserves'!$U$2:$U$1178,'Registre de reserves'!$T$2:$T$1178,"RESERVA",'Registre de reserves'!$I$2:$I$1178,'2024'!$A79,'Registre de reserves'!$B$2:$B$1178,'2024'!L$2,Tabla1[ANY],'2024'!$Z$76)</f>
        <v>250</v>
      </c>
      <c r="M79" s="21">
        <f t="shared" ref="M79:M86" si="79">IF(L$78=0,0,L79/L$78)</f>
        <v>0.13812154696132597</v>
      </c>
      <c r="N79" s="20">
        <f>SUMIFS('Registre de reserves'!$U$2:$U$1178,'Registre de reserves'!$T$2:$T$1178,"SI",'Registre de reserves'!$I$2:$I$1178,'2024'!$A79,'Registre de reserves'!$B$2:$B$1178,'2024'!N$2,Tabla1[ANY],'2024'!$Z$76)+SUMIFS('Registre de reserves'!$U$2:$U$1178,'Registre de reserves'!$T$2:$T$1178,"RESERVA",'Registre de reserves'!$I$2:$I$1178,'2024'!$A79,'Registre de reserves'!$B$2:$B$1178,'2024'!N$2,Tabla1[ANY],'2024'!$Z$76)</f>
        <v>100</v>
      </c>
      <c r="O79" s="21">
        <f t="shared" ref="O79:O86" si="80">IF(N$78=0,0,N79/N$78)</f>
        <v>8.0645161290322578E-2</v>
      </c>
      <c r="P79" s="20">
        <f>SUMIFS('Registre de reserves'!$U$2:$U$1178,'Registre de reserves'!$T$2:$T$1178,"SI",'Registre de reserves'!$I$2:$I$1178,'2024'!$A79,'Registre de reserves'!$B$2:$B$1178,'2024'!P$2,Tabla1[ANY],'2024'!$Z$76)+SUMIFS('Registre de reserves'!$U$2:$U$1178,'Registre de reserves'!$T$2:$T$1178,"RESERVA",'Registre de reserves'!$I$2:$I$1178,'2024'!$A79,'Registre de reserves'!$B$2:$B$1178,'2024'!P$2,Tabla1[ANY],'2024'!$Z$76)</f>
        <v>0</v>
      </c>
      <c r="Q79" s="21">
        <f t="shared" ref="Q79:Q86" si="81">IF(P$78=0,0,P79/P$78)</f>
        <v>0</v>
      </c>
      <c r="R79" s="20">
        <f>SUMIFS('Registre de reserves'!$U$2:$U$1178,'Registre de reserves'!$T$2:$T$1178,"SI",'Registre de reserves'!$I$2:$I$1178,'2024'!$A79,'Registre de reserves'!$B$2:$B$1178,'2024'!R$2,Tabla1[ANY],'2024'!$Z$76)+SUMIFS('Registre de reserves'!$U$2:$U$1178,'Registre de reserves'!$T$2:$T$1178,"RESERVA",'Registre de reserves'!$I$2:$I$1178,'2024'!$A79,'Registre de reserves'!$B$2:$B$1178,'2024'!R$2,Tabla1[ANY],'2024'!$Z$76)</f>
        <v>200</v>
      </c>
      <c r="S79" s="21">
        <f t="shared" ref="S79:S86" si="82">IF(R$78=0,0,R79/R$78)</f>
        <v>0.10075566750629723</v>
      </c>
      <c r="T79" s="20">
        <f>SUMIFS('Registre de reserves'!$U$2:$U$1178,'Registre de reserves'!$T$2:$T$1178,"SI",'Registre de reserves'!$I$2:$I$1178,'2024'!$A79,'Registre de reserves'!$B$2:$B$1178,'2024'!T$2,Tabla1[ANY],'2024'!$Z$76)+SUMIFS('Registre de reserves'!$U$2:$U$1178,'Registre de reserves'!$T$2:$T$1178,"RESERVA",'Registre de reserves'!$I$2:$I$1178,'2024'!$A79,'Registre de reserves'!$B$2:$B$1178,'2024'!T$2,Tabla1[ANY],'2024'!$Z$76)</f>
        <v>250</v>
      </c>
      <c r="U79" s="21">
        <f t="shared" ref="U79:U86" si="83">IF(T$78=0,0,T79/T$78)</f>
        <v>0.16891891891891891</v>
      </c>
      <c r="V79" s="20">
        <f>SUMIFS('Registre de reserves'!$U$2:$U$1178,'Registre de reserves'!$T$2:$T$1178,"SI",'Registre de reserves'!$I$2:$I$1178,'2024'!$A79,'Registre de reserves'!$B$2:$B$1178,'2024'!V$2,Tabla1[ANY],'2024'!$Z$76)+SUMIFS('Registre de reserves'!$U$2:$U$1178,'Registre de reserves'!$T$2:$T$1178,"RESERVA",'Registre de reserves'!$I$2:$I$1178,'2024'!$A79,'Registre de reserves'!$B$2:$B$1178,'2024'!V$2,Tabla1[ANY],'2024'!$Z$76)</f>
        <v>350</v>
      </c>
      <c r="W79" s="21">
        <f t="shared" ref="W79:W86" si="84">IF(V$78=0,0,V79/V$78)</f>
        <v>0.13307984790874525</v>
      </c>
      <c r="X79" s="20">
        <f>SUMIFS('Registre de reserves'!$U$2:$U$1178,'Registre de reserves'!$T$2:$T$1178,"SI",'Registre de reserves'!$I$2:$I$1178,'2024'!$A79,'Registre de reserves'!$B$2:$B$1178,'2024'!X$2,Tabla1[ANY],'2024'!$Z$76)+SUMIFS('Registre de reserves'!$U$2:$U$1178,'Registre de reserves'!$T$2:$T$1178,"RESERVA",'Registre de reserves'!$I$2:$I$1178,'2024'!$A79,'Registre de reserves'!$B$2:$B$1178,'2024'!X$2,Tabla1[ANY],'2024'!$Z$76)</f>
        <v>480</v>
      </c>
      <c r="Y79" s="21">
        <f t="shared" ref="Y79:Y86" si="85">IF(X$78=0,0,X79/X$78)</f>
        <v>0.2119205298013245</v>
      </c>
      <c r="Z79" s="20">
        <f>B79+D79+F79+H79+J79+L79+N79+P79+R79+T79+V79+X79</f>
        <v>3570</v>
      </c>
      <c r="AA79" s="21">
        <f t="shared" ref="AA79:AA86" si="86">IF(Z$78=0,0,Z79/Z$78)</f>
        <v>0.15813953488372093</v>
      </c>
    </row>
    <row r="80" spans="1:29" hidden="1" outlineLevel="2" x14ac:dyDescent="0.2">
      <c r="A80" s="8" t="s">
        <v>68</v>
      </c>
      <c r="B80" s="20">
        <f>SUMIFS('Registre de reserves'!$U$2:$U$1178,'Registre de reserves'!$T$2:$T$1178,"SI",'Registre de reserves'!$I$2:$I$1178,'2024'!$A80,'Registre de reserves'!$B$2:$B$1178,'2024'!B$2,Tabla1[ANY],'2024'!$Z$76)+SUMIFS('Registre de reserves'!$U$2:$U$1178,'Registre de reserves'!$T$2:$T$1178,"RESERVA",'Registre de reserves'!$I$2:$I$1178,'2024'!$A80,'Registre de reserves'!$B$2:$B$1178,'2024'!B$2,Tabla1[ANY],'2024'!$Z$76)</f>
        <v>695</v>
      </c>
      <c r="C80" s="21">
        <f t="shared" si="74"/>
        <v>0.3501259445843829</v>
      </c>
      <c r="D80" s="20">
        <f>SUMIFS('Registre de reserves'!$U$2:$U$1178,'Registre de reserves'!$T$2:$T$1178,"SI",'Registre de reserves'!$I$2:$I$1178,'2024'!$A80,'Registre de reserves'!$B$2:$B$1178,'2024'!D$2,Tabla1[ANY],'2024'!$Z$76)+SUMIFS('Registre de reserves'!$U$2:$U$1178,'Registre de reserves'!$T$2:$T$1178,"RESERVA",'Registre de reserves'!$I$2:$I$1178,'2024'!$A80,'Registre de reserves'!$B$2:$B$1178,'2024'!D$2,Tabla1[ANY],'2024'!$Z$76)</f>
        <v>350</v>
      </c>
      <c r="E80" s="21">
        <f t="shared" si="75"/>
        <v>0.29166666666666669</v>
      </c>
      <c r="F80" s="20">
        <f>SUMIFS('Registre de reserves'!$U$2:$U$1178,'Registre de reserves'!$T$2:$T$1178,"SI",'Registre de reserves'!$I$2:$I$1178,'2024'!$A80,'Registre de reserves'!$B$2:$B$1178,'2024'!F$2,Tabla1[ANY],'2024'!$Z$76)+SUMIFS('Registre de reserves'!$U$2:$U$1178,'Registre de reserves'!$T$2:$T$1178,"RESERVA",'Registre de reserves'!$I$2:$I$1178,'2024'!$A80,'Registre de reserves'!$B$2:$B$1178,'2024'!F$2,Tabla1[ANY],'2024'!$Z$76)</f>
        <v>1320</v>
      </c>
      <c r="G80" s="21">
        <f t="shared" si="76"/>
        <v>0.44295302013422821</v>
      </c>
      <c r="H80" s="20">
        <f>SUMIFS('Registre de reserves'!$U$2:$U$1178,'Registre de reserves'!$T$2:$T$1178,"SI",'Registre de reserves'!$I$2:$I$1178,'2024'!$A80,'Registre de reserves'!$B$2:$B$1178,'2024'!H$2,Tabla1[ANY],'2024'!$Z$76)+SUMIFS('Registre de reserves'!$U$2:$U$1178,'Registre de reserves'!$T$2:$T$1178,"RESERVA",'Registre de reserves'!$I$2:$I$1178,'2024'!$A80,'Registre de reserves'!$B$2:$B$1178,'2024'!H$2,Tabla1[ANY],'2024'!$Z$76)</f>
        <v>735</v>
      </c>
      <c r="I80" s="21">
        <f t="shared" si="77"/>
        <v>0.34916864608076009</v>
      </c>
      <c r="J80" s="20">
        <f>SUMIFS('Registre de reserves'!$U$2:$U$1178,'Registre de reserves'!$T$2:$T$1178,"SI",'Registre de reserves'!$I$2:$I$1178,'2024'!$A80,'Registre de reserves'!$B$2:$B$1178,'2024'!J$2,Tabla1[ANY],'2024'!$Z$76)+SUMIFS('Registre de reserves'!$U$2:$U$1178,'Registre de reserves'!$T$2:$T$1178,"RESERVA",'Registre de reserves'!$I$2:$I$1178,'2024'!$A80,'Registre de reserves'!$B$2:$B$1178,'2024'!J$2,Tabla1[ANY],'2024'!$Z$76)</f>
        <v>695</v>
      </c>
      <c r="K80" s="21">
        <f t="shared" si="78"/>
        <v>0.34663341645885287</v>
      </c>
      <c r="L80" s="20">
        <f>SUMIFS('Registre de reserves'!$U$2:$U$1178,'Registre de reserves'!$T$2:$T$1178,"SI",'Registre de reserves'!$I$2:$I$1178,'2024'!$A80,'Registre de reserves'!$B$2:$B$1178,'2024'!L$2,Tabla1[ANY],'2024'!$Z$76)+SUMIFS('Registre de reserves'!$U$2:$U$1178,'Registre de reserves'!$T$2:$T$1178,"RESERVA",'Registre de reserves'!$I$2:$I$1178,'2024'!$A80,'Registre de reserves'!$B$2:$B$1178,'2024'!L$2,Tabla1[ANY],'2024'!$Z$76)</f>
        <v>650</v>
      </c>
      <c r="M80" s="21">
        <f t="shared" si="79"/>
        <v>0.35911602209944754</v>
      </c>
      <c r="N80" s="20">
        <f>SUMIFS('Registre de reserves'!$U$2:$U$1178,'Registre de reserves'!$T$2:$T$1178,"SI",'Registre de reserves'!$I$2:$I$1178,'2024'!$A80,'Registre de reserves'!$B$2:$B$1178,'2024'!N$2,Tabla1[ANY],'2024'!$Z$76)+SUMIFS('Registre de reserves'!$U$2:$U$1178,'Registre de reserves'!$T$2:$T$1178,"RESERVA",'Registre de reserves'!$I$2:$I$1178,'2024'!$A80,'Registre de reserves'!$B$2:$B$1178,'2024'!N$2,Tabla1[ANY],'2024'!$Z$76)</f>
        <v>400</v>
      </c>
      <c r="O80" s="21">
        <f t="shared" si="80"/>
        <v>0.32258064516129031</v>
      </c>
      <c r="P80" s="20">
        <f>SUMIFS('Registre de reserves'!$U$2:$U$1178,'Registre de reserves'!$T$2:$T$1178,"SI",'Registre de reserves'!$I$2:$I$1178,'2024'!$A80,'Registre de reserves'!$B$2:$B$1178,'2024'!P$2,Tabla1[ANY],'2024'!$Z$76)+SUMIFS('Registre de reserves'!$U$2:$U$1178,'Registre de reserves'!$T$2:$T$1178,"RESERVA",'Registre de reserves'!$I$2:$I$1178,'2024'!$A80,'Registre de reserves'!$B$2:$B$1178,'2024'!P$2,Tabla1[ANY],'2024'!$Z$76)</f>
        <v>250</v>
      </c>
      <c r="Q80" s="21">
        <f t="shared" si="81"/>
        <v>0.2808988764044944</v>
      </c>
      <c r="R80" s="20">
        <f>SUMIFS('Registre de reserves'!$U$2:$U$1178,'Registre de reserves'!$T$2:$T$1178,"SI",'Registre de reserves'!$I$2:$I$1178,'2024'!$A80,'Registre de reserves'!$B$2:$B$1178,'2024'!R$2,Tabla1[ANY],'2024'!$Z$76)+SUMIFS('Registre de reserves'!$U$2:$U$1178,'Registre de reserves'!$T$2:$T$1178,"RESERVA",'Registre de reserves'!$I$2:$I$1178,'2024'!$A80,'Registre de reserves'!$B$2:$B$1178,'2024'!R$2,Tabla1[ANY],'2024'!$Z$76)</f>
        <v>495</v>
      </c>
      <c r="S80" s="21">
        <f t="shared" si="82"/>
        <v>0.24937027707808565</v>
      </c>
      <c r="T80" s="20">
        <f>SUMIFS('Registre de reserves'!$U$2:$U$1178,'Registre de reserves'!$T$2:$T$1178,"SI",'Registre de reserves'!$I$2:$I$1178,'2024'!$A80,'Registre de reserves'!$B$2:$B$1178,'2024'!T$2,Tabla1[ANY],'2024'!$Z$76)+SUMIFS('Registre de reserves'!$U$2:$U$1178,'Registre de reserves'!$T$2:$T$1178,"RESERVA",'Registre de reserves'!$I$2:$I$1178,'2024'!$A80,'Registre de reserves'!$B$2:$B$1178,'2024'!T$2,Tabla1[ANY],'2024'!$Z$76)</f>
        <v>490</v>
      </c>
      <c r="U80" s="21">
        <f t="shared" si="83"/>
        <v>0.33108108108108109</v>
      </c>
      <c r="V80" s="20">
        <f>SUMIFS('Registre de reserves'!$U$2:$U$1178,'Registre de reserves'!$T$2:$T$1178,"SI",'Registre de reserves'!$I$2:$I$1178,'2024'!$A80,'Registre de reserves'!$B$2:$B$1178,'2024'!V$2,Tabla1[ANY],'2024'!$Z$76)+SUMIFS('Registre de reserves'!$U$2:$U$1178,'Registre de reserves'!$T$2:$T$1178,"RESERVA",'Registre de reserves'!$I$2:$I$1178,'2024'!$A80,'Registre de reserves'!$B$2:$B$1178,'2024'!V$2,Tabla1[ANY],'2024'!$Z$76)</f>
        <v>450</v>
      </c>
      <c r="W80" s="21">
        <f t="shared" si="84"/>
        <v>0.17110266159695817</v>
      </c>
      <c r="X80" s="20">
        <f>SUMIFS('Registre de reserves'!$U$2:$U$1178,'Registre de reserves'!$T$2:$T$1178,"SI",'Registre de reserves'!$I$2:$I$1178,'2024'!$A80,'Registre de reserves'!$B$2:$B$1178,'2024'!X$2,Tabla1[ANY],'2024'!$Z$76)+SUMIFS('Registre de reserves'!$U$2:$U$1178,'Registre de reserves'!$T$2:$T$1178,"RESERVA",'Registre de reserves'!$I$2:$I$1178,'2024'!$A80,'Registre de reserves'!$B$2:$B$1178,'2024'!X$2,Tabla1[ANY],'2024'!$Z$76)</f>
        <v>885</v>
      </c>
      <c r="Y80" s="21">
        <f t="shared" si="85"/>
        <v>0.39072847682119205</v>
      </c>
      <c r="Z80" s="20">
        <f t="shared" ref="Z80:Z86" si="87">B80+D80+F80+H80+J80+L80+N80+P80+R80+T80+V80+X80</f>
        <v>7415</v>
      </c>
      <c r="AA80" s="21">
        <f t="shared" si="86"/>
        <v>0.32846068660022149</v>
      </c>
    </row>
    <row r="81" spans="1:27" hidden="1" outlineLevel="2" x14ac:dyDescent="0.2">
      <c r="A81" s="8" t="s">
        <v>4</v>
      </c>
      <c r="B81" s="20">
        <f>SUMIFS('Registre de reserves'!$U$2:$U$1178,'Registre de reserves'!$T$2:$T$1178,"SI",'Registre de reserves'!$I$2:$I$1178,'2024'!$A81,'Registre de reserves'!$B$2:$B$1178,'2024'!B$2,Tabla1[ANY],'2024'!$Z$76)+SUMIFS('Registre de reserves'!$U$2:$U$1178,'Registre de reserves'!$T$2:$T$1178,"RESERVA",'Registre de reserves'!$I$2:$I$1178,'2024'!$A81,'Registre de reserves'!$B$2:$B$1178,'2024'!B$2,Tabla1[ANY],'2024'!$Z$76)</f>
        <v>50</v>
      </c>
      <c r="C81" s="21">
        <f t="shared" si="74"/>
        <v>2.5188916876574308E-2</v>
      </c>
      <c r="D81" s="20">
        <f>SUMIFS('Registre de reserves'!$U$2:$U$1178,'Registre de reserves'!$T$2:$T$1178,"SI",'Registre de reserves'!$I$2:$I$1178,'2024'!$A81,'Registre de reserves'!$B$2:$B$1178,'2024'!D$2,Tabla1[ANY],'2024'!$Z$76)+SUMIFS('Registre de reserves'!$U$2:$U$1178,'Registre de reserves'!$T$2:$T$1178,"RESERVA",'Registre de reserves'!$I$2:$I$1178,'2024'!$A81,'Registre de reserves'!$B$2:$B$1178,'2024'!D$2,Tabla1[ANY],'2024'!$Z$76)</f>
        <v>0</v>
      </c>
      <c r="E81" s="21">
        <f t="shared" si="75"/>
        <v>0</v>
      </c>
      <c r="F81" s="20">
        <f>SUMIFS('Registre de reserves'!$U$2:$U$1178,'Registre de reserves'!$T$2:$T$1178,"SI",'Registre de reserves'!$I$2:$I$1178,'2024'!$A81,'Registre de reserves'!$B$2:$B$1178,'2024'!F$2,Tabla1[ANY],'2024'!$Z$76)+SUMIFS('Registre de reserves'!$U$2:$U$1178,'Registre de reserves'!$T$2:$T$1178,"RESERVA",'Registre de reserves'!$I$2:$I$1178,'2024'!$A81,'Registre de reserves'!$B$2:$B$1178,'2024'!F$2,Tabla1[ANY],'2024'!$Z$76)</f>
        <v>290</v>
      </c>
      <c r="G81" s="21">
        <f t="shared" si="76"/>
        <v>9.7315436241610737E-2</v>
      </c>
      <c r="H81" s="20">
        <f>SUMIFS('Registre de reserves'!$U$2:$U$1178,'Registre de reserves'!$T$2:$T$1178,"SI",'Registre de reserves'!$I$2:$I$1178,'2024'!$A81,'Registre de reserves'!$B$2:$B$1178,'2024'!H$2,Tabla1[ANY],'2024'!$Z$76)+SUMIFS('Registre de reserves'!$U$2:$U$1178,'Registre de reserves'!$T$2:$T$1178,"RESERVA",'Registre de reserves'!$I$2:$I$1178,'2024'!$A81,'Registre de reserves'!$B$2:$B$1178,'2024'!H$2,Tabla1[ANY],'2024'!$Z$76)</f>
        <v>50</v>
      </c>
      <c r="I81" s="21">
        <f t="shared" si="77"/>
        <v>2.3752969121140142E-2</v>
      </c>
      <c r="J81" s="20">
        <f>SUMIFS('Registre de reserves'!$U$2:$U$1178,'Registre de reserves'!$T$2:$T$1178,"SI",'Registre de reserves'!$I$2:$I$1178,'2024'!$A81,'Registre de reserves'!$B$2:$B$1178,'2024'!J$2,Tabla1[ANY],'2024'!$Z$76)+SUMIFS('Registre de reserves'!$U$2:$U$1178,'Registre de reserves'!$T$2:$T$1178,"RESERVA",'Registre de reserves'!$I$2:$I$1178,'2024'!$A81,'Registre de reserves'!$B$2:$B$1178,'2024'!J$2,Tabla1[ANY],'2024'!$Z$76)</f>
        <v>100</v>
      </c>
      <c r="K81" s="21">
        <f t="shared" si="78"/>
        <v>4.9875311720698257E-2</v>
      </c>
      <c r="L81" s="20">
        <f>SUMIFS('Registre de reserves'!$U$2:$U$1178,'Registre de reserves'!$T$2:$T$1178,"SI",'Registre de reserves'!$I$2:$I$1178,'2024'!$A81,'Registre de reserves'!$B$2:$B$1178,'2024'!L$2,Tabla1[ANY],'2024'!$Z$76)+SUMIFS('Registre de reserves'!$U$2:$U$1178,'Registre de reserves'!$T$2:$T$1178,"RESERVA",'Registre de reserves'!$I$2:$I$1178,'2024'!$A81,'Registre de reserves'!$B$2:$B$1178,'2024'!L$2,Tabla1[ANY],'2024'!$Z$76)</f>
        <v>290</v>
      </c>
      <c r="M81" s="21">
        <f t="shared" si="79"/>
        <v>0.16022099447513813</v>
      </c>
      <c r="N81" s="20">
        <f>SUMIFS('Registre de reserves'!$U$2:$U$1178,'Registre de reserves'!$T$2:$T$1178,"SI",'Registre de reserves'!$I$2:$I$1178,'2024'!$A81,'Registre de reserves'!$B$2:$B$1178,'2024'!N$2,Tabla1[ANY],'2024'!$Z$76)+SUMIFS('Registre de reserves'!$U$2:$U$1178,'Registre de reserves'!$T$2:$T$1178,"RESERVA",'Registre de reserves'!$I$2:$I$1178,'2024'!$A81,'Registre de reserves'!$B$2:$B$1178,'2024'!N$2,Tabla1[ANY],'2024'!$Z$76)</f>
        <v>340</v>
      </c>
      <c r="O81" s="21">
        <f t="shared" si="80"/>
        <v>0.27419354838709675</v>
      </c>
      <c r="P81" s="20">
        <f>SUMIFS('Registre de reserves'!$U$2:$U$1178,'Registre de reserves'!$T$2:$T$1178,"SI",'Registre de reserves'!$I$2:$I$1178,'2024'!$A81,'Registre de reserves'!$B$2:$B$1178,'2024'!P$2,Tabla1[ANY],'2024'!$Z$76)+SUMIFS('Registre de reserves'!$U$2:$U$1178,'Registre de reserves'!$T$2:$T$1178,"RESERVA",'Registre de reserves'!$I$2:$I$1178,'2024'!$A81,'Registre de reserves'!$B$2:$B$1178,'2024'!P$2,Tabla1[ANY],'2024'!$Z$76)</f>
        <v>340</v>
      </c>
      <c r="Q81" s="21">
        <f t="shared" si="81"/>
        <v>0.38202247191011235</v>
      </c>
      <c r="R81" s="20">
        <f>SUMIFS('Registre de reserves'!$U$2:$U$1178,'Registre de reserves'!$T$2:$T$1178,"SI",'Registre de reserves'!$I$2:$I$1178,'2024'!$A81,'Registre de reserves'!$B$2:$B$1178,'2024'!R$2,Tabla1[ANY],'2024'!$Z$76)+SUMIFS('Registre de reserves'!$U$2:$U$1178,'Registre de reserves'!$T$2:$T$1178,"RESERVA",'Registre de reserves'!$I$2:$I$1178,'2024'!$A81,'Registre de reserves'!$B$2:$B$1178,'2024'!R$2,Tabla1[ANY],'2024'!$Z$76)</f>
        <v>340</v>
      </c>
      <c r="S81" s="21">
        <f t="shared" si="82"/>
        <v>0.1712846347607053</v>
      </c>
      <c r="T81" s="20">
        <f>SUMIFS('Registre de reserves'!$U$2:$U$1178,'Registre de reserves'!$T$2:$T$1178,"SI",'Registre de reserves'!$I$2:$I$1178,'2024'!$A81,'Registre de reserves'!$B$2:$B$1178,'2024'!T$2,Tabla1[ANY],'2024'!$Z$76)+SUMIFS('Registre de reserves'!$U$2:$U$1178,'Registre de reserves'!$T$2:$T$1178,"RESERVA",'Registre de reserves'!$I$2:$I$1178,'2024'!$A81,'Registre de reserves'!$B$2:$B$1178,'2024'!T$2,Tabla1[ANY],'2024'!$Z$76)</f>
        <v>290</v>
      </c>
      <c r="U81" s="21">
        <f t="shared" si="83"/>
        <v>0.19594594594594594</v>
      </c>
      <c r="V81" s="20">
        <f>SUMIFS('Registre de reserves'!$U$2:$U$1178,'Registre de reserves'!$T$2:$T$1178,"SI",'Registre de reserves'!$I$2:$I$1178,'2024'!$A81,'Registre de reserves'!$B$2:$B$1178,'2024'!V$2,Tabla1[ANY],'2024'!$Z$76)+SUMIFS('Registre de reserves'!$U$2:$U$1178,'Registre de reserves'!$T$2:$T$1178,"RESERVA",'Registre de reserves'!$I$2:$I$1178,'2024'!$A81,'Registre de reserves'!$B$2:$B$1178,'2024'!V$2,Tabla1[ANY],'2024'!$Z$76)</f>
        <v>680</v>
      </c>
      <c r="W81" s="21">
        <f t="shared" si="84"/>
        <v>0.2585551330798479</v>
      </c>
      <c r="X81" s="20">
        <f>SUMIFS('Registre de reserves'!$U$2:$U$1178,'Registre de reserves'!$T$2:$T$1178,"SI",'Registre de reserves'!$I$2:$I$1178,'2024'!$A81,'Registre de reserves'!$B$2:$B$1178,'2024'!X$2,Tabla1[ANY],'2024'!$Z$76)+SUMIFS('Registre de reserves'!$U$2:$U$1178,'Registre de reserves'!$T$2:$T$1178,"RESERVA",'Registre de reserves'!$I$2:$I$1178,'2024'!$A81,'Registre de reserves'!$B$2:$B$1178,'2024'!X$2,Tabla1[ANY],'2024'!$Z$76)</f>
        <v>150</v>
      </c>
      <c r="Y81" s="21">
        <f t="shared" si="85"/>
        <v>6.6225165562913912E-2</v>
      </c>
      <c r="Z81" s="20">
        <f t="shared" si="87"/>
        <v>2920</v>
      </c>
      <c r="AA81" s="21">
        <f t="shared" si="86"/>
        <v>0.12934662236987818</v>
      </c>
    </row>
    <row r="82" spans="1:27" hidden="1" outlineLevel="2" x14ac:dyDescent="0.2">
      <c r="A82" s="8" t="s">
        <v>71</v>
      </c>
      <c r="B82" s="20">
        <f>SUMIFS('Registre de reserves'!$U$2:$U$1178,'Registre de reserves'!$T$2:$T$1178,"SI",'Registre de reserves'!$I$2:$I$1178,'2024'!$A82,'Registre de reserves'!$B$2:$B$1178,'2024'!B$2,Tabla1[ANY],'2024'!$Z$76)+SUMIFS('Registre de reserves'!$U$2:$U$1178,'Registre de reserves'!$T$2:$T$1178,"RESERVA",'Registre de reserves'!$I$2:$I$1178,'2024'!$A82,'Registre de reserves'!$B$2:$B$1178,'2024'!B$2,Tabla1[ANY],'2024'!$Z$76)</f>
        <v>0</v>
      </c>
      <c r="C82" s="21">
        <f t="shared" si="74"/>
        <v>0</v>
      </c>
      <c r="D82" s="20">
        <f>SUMIFS('Registre de reserves'!$U$2:$U$1178,'Registre de reserves'!$T$2:$T$1178,"SI",'Registre de reserves'!$I$2:$I$1178,'2024'!$A82,'Registre de reserves'!$B$2:$B$1178,'2024'!D$2,Tabla1[ANY],'2024'!$Z$76)+SUMIFS('Registre de reserves'!$U$2:$U$1178,'Registre de reserves'!$T$2:$T$1178,"RESERVA",'Registre de reserves'!$I$2:$I$1178,'2024'!$A82,'Registre de reserves'!$B$2:$B$1178,'2024'!D$2,Tabla1[ANY],'2024'!$Z$76)</f>
        <v>0</v>
      </c>
      <c r="E82" s="21">
        <f t="shared" si="75"/>
        <v>0</v>
      </c>
      <c r="F82" s="20">
        <f>SUMIFS('Registre de reserves'!$U$2:$U$1178,'Registre de reserves'!$T$2:$T$1178,"SI",'Registre de reserves'!$I$2:$I$1178,'2024'!$A82,'Registre de reserves'!$B$2:$B$1178,'2024'!F$2,Tabla1[ANY],'2024'!$Z$76)+SUMIFS('Registre de reserves'!$U$2:$U$1178,'Registre de reserves'!$T$2:$T$1178,"RESERVA",'Registre de reserves'!$I$2:$I$1178,'2024'!$A82,'Registre de reserves'!$B$2:$B$1178,'2024'!F$2,Tabla1[ANY],'2024'!$Z$76)</f>
        <v>0</v>
      </c>
      <c r="G82" s="21">
        <f t="shared" si="76"/>
        <v>0</v>
      </c>
      <c r="H82" s="20">
        <f>SUMIFS('Registre de reserves'!$U$2:$U$1178,'Registre de reserves'!$T$2:$T$1178,"SI",'Registre de reserves'!$I$2:$I$1178,'2024'!$A82,'Registre de reserves'!$B$2:$B$1178,'2024'!H$2,Tabla1[ANY],'2024'!$Z$76)+SUMIFS('Registre de reserves'!$U$2:$U$1178,'Registre de reserves'!$T$2:$T$1178,"RESERVA",'Registre de reserves'!$I$2:$I$1178,'2024'!$A82,'Registre de reserves'!$B$2:$B$1178,'2024'!H$2,Tabla1[ANY],'2024'!$Z$76)</f>
        <v>0</v>
      </c>
      <c r="I82" s="21">
        <f t="shared" si="77"/>
        <v>0</v>
      </c>
      <c r="J82" s="20">
        <f>SUMIFS('Registre de reserves'!$U$2:$U$1178,'Registre de reserves'!$T$2:$T$1178,"SI",'Registre de reserves'!$I$2:$I$1178,'2024'!$A82,'Registre de reserves'!$B$2:$B$1178,'2024'!J$2,Tabla1[ANY],'2024'!$Z$76)+SUMIFS('Registre de reserves'!$U$2:$U$1178,'Registre de reserves'!$T$2:$T$1178,"RESERVA",'Registre de reserves'!$I$2:$I$1178,'2024'!$A82,'Registre de reserves'!$B$2:$B$1178,'2024'!J$2,Tabla1[ANY],'2024'!$Z$76)</f>
        <v>0</v>
      </c>
      <c r="K82" s="21">
        <f t="shared" si="78"/>
        <v>0</v>
      </c>
      <c r="L82" s="20">
        <f>SUMIFS('Registre de reserves'!$U$2:$U$1178,'Registre de reserves'!$T$2:$T$1178,"SI",'Registre de reserves'!$I$2:$I$1178,'2024'!$A82,'Registre de reserves'!$B$2:$B$1178,'2024'!L$2,Tabla1[ANY],'2024'!$Z$76)+SUMIFS('Registre de reserves'!$U$2:$U$1178,'Registre de reserves'!$T$2:$T$1178,"RESERVA",'Registre de reserves'!$I$2:$I$1178,'2024'!$A82,'Registre de reserves'!$B$2:$B$1178,'2024'!L$2,Tabla1[ANY],'2024'!$Z$76)</f>
        <v>0</v>
      </c>
      <c r="M82" s="21">
        <f t="shared" si="79"/>
        <v>0</v>
      </c>
      <c r="N82" s="20">
        <f>SUMIFS('Registre de reserves'!$U$2:$U$1178,'Registre de reserves'!$T$2:$T$1178,"SI",'Registre de reserves'!$I$2:$I$1178,'2024'!$A82,'Registre de reserves'!$B$2:$B$1178,'2024'!N$2,Tabla1[ANY],'2024'!$Z$76)+SUMIFS('Registre de reserves'!$U$2:$U$1178,'Registre de reserves'!$T$2:$T$1178,"RESERVA",'Registre de reserves'!$I$2:$I$1178,'2024'!$A82,'Registre de reserves'!$B$2:$B$1178,'2024'!N$2,Tabla1[ANY],'2024'!$Z$76)</f>
        <v>0</v>
      </c>
      <c r="O82" s="21">
        <f t="shared" si="80"/>
        <v>0</v>
      </c>
      <c r="P82" s="20">
        <f>SUMIFS('Registre de reserves'!$U$2:$U$1178,'Registre de reserves'!$T$2:$T$1178,"SI",'Registre de reserves'!$I$2:$I$1178,'2024'!$A82,'Registre de reserves'!$B$2:$B$1178,'2024'!P$2,Tabla1[ANY],'2024'!$Z$76)+SUMIFS('Registre de reserves'!$U$2:$U$1178,'Registre de reserves'!$T$2:$T$1178,"RESERVA",'Registre de reserves'!$I$2:$I$1178,'2024'!$A82,'Registre de reserves'!$B$2:$B$1178,'2024'!P$2,Tabla1[ANY],'2024'!$Z$76)</f>
        <v>0</v>
      </c>
      <c r="Q82" s="21">
        <f t="shared" si="81"/>
        <v>0</v>
      </c>
      <c r="R82" s="20">
        <f>SUMIFS('Registre de reserves'!$U$2:$U$1178,'Registre de reserves'!$T$2:$T$1178,"SI",'Registre de reserves'!$I$2:$I$1178,'2024'!$A82,'Registre de reserves'!$B$2:$B$1178,'2024'!R$2,Tabla1[ANY],'2024'!$Z$76)+SUMIFS('Registre de reserves'!$U$2:$U$1178,'Registre de reserves'!$T$2:$T$1178,"RESERVA",'Registre de reserves'!$I$2:$I$1178,'2024'!$A82,'Registre de reserves'!$B$2:$B$1178,'2024'!R$2,Tabla1[ANY],'2024'!$Z$76)</f>
        <v>0</v>
      </c>
      <c r="S82" s="21">
        <f t="shared" si="82"/>
        <v>0</v>
      </c>
      <c r="T82" s="20">
        <f>SUMIFS('Registre de reserves'!$U$2:$U$1178,'Registre de reserves'!$T$2:$T$1178,"SI",'Registre de reserves'!$I$2:$I$1178,'2024'!$A82,'Registre de reserves'!$B$2:$B$1178,'2024'!T$2,Tabla1[ANY],'2024'!$Z$76)+SUMIFS('Registre de reserves'!$U$2:$U$1178,'Registre de reserves'!$T$2:$T$1178,"RESERVA",'Registre de reserves'!$I$2:$I$1178,'2024'!$A82,'Registre de reserves'!$B$2:$B$1178,'2024'!T$2,Tabla1[ANY],'2024'!$Z$76)</f>
        <v>0</v>
      </c>
      <c r="U82" s="21">
        <f t="shared" si="83"/>
        <v>0</v>
      </c>
      <c r="V82" s="20">
        <f>SUMIFS('Registre de reserves'!$U$2:$U$1178,'Registre de reserves'!$T$2:$T$1178,"SI",'Registre de reserves'!$I$2:$I$1178,'2024'!$A82,'Registre de reserves'!$B$2:$B$1178,'2024'!V$2,Tabla1[ANY],'2024'!$Z$76)+SUMIFS('Registre de reserves'!$U$2:$U$1178,'Registre de reserves'!$T$2:$T$1178,"RESERVA",'Registre de reserves'!$I$2:$I$1178,'2024'!$A82,'Registre de reserves'!$B$2:$B$1178,'2024'!V$2,Tabla1[ANY],'2024'!$Z$76)</f>
        <v>0</v>
      </c>
      <c r="W82" s="21">
        <f t="shared" si="84"/>
        <v>0</v>
      </c>
      <c r="X82" s="20">
        <f>SUMIFS('Registre de reserves'!$U$2:$U$1178,'Registre de reserves'!$T$2:$T$1178,"SI",'Registre de reserves'!$I$2:$I$1178,'2024'!$A82,'Registre de reserves'!$B$2:$B$1178,'2024'!X$2,Tabla1[ANY],'2024'!$Z$76)+SUMIFS('Registre de reserves'!$U$2:$U$1178,'Registre de reserves'!$T$2:$T$1178,"RESERVA",'Registre de reserves'!$I$2:$I$1178,'2024'!$A82,'Registre de reserves'!$B$2:$B$1178,'2024'!X$2,Tabla1[ANY],'2024'!$Z$76)</f>
        <v>0</v>
      </c>
      <c r="Y82" s="21">
        <f t="shared" si="85"/>
        <v>0</v>
      </c>
      <c r="Z82" s="20">
        <f t="shared" si="87"/>
        <v>0</v>
      </c>
      <c r="AA82" s="21">
        <f t="shared" si="86"/>
        <v>0</v>
      </c>
    </row>
    <row r="83" spans="1:27" hidden="1" outlineLevel="2" x14ac:dyDescent="0.2">
      <c r="A83" s="8" t="s">
        <v>72</v>
      </c>
      <c r="B83" s="20">
        <f>SUMIFS('Registre de reserves'!$U$2:$U$1178,'Registre de reserves'!$T$2:$T$1178,"SI",'Registre de reserves'!$I$2:$I$1178,'2024'!$A83,'Registre de reserves'!$B$2:$B$1178,'2024'!B$2,Tabla1[ANY],'2024'!$Z$76)+SUMIFS('Registre de reserves'!$U$2:$U$1178,'Registre de reserves'!$T$2:$T$1178,"RESERVA",'Registre de reserves'!$I$2:$I$1178,'2024'!$A83,'Registre de reserves'!$B$2:$B$1178,'2024'!B$2,Tabla1[ANY],'2024'!$Z$76)</f>
        <v>0</v>
      </c>
      <c r="C83" s="21">
        <f t="shared" si="74"/>
        <v>0</v>
      </c>
      <c r="D83" s="20">
        <f>SUMIFS('Registre de reserves'!$U$2:$U$1178,'Registre de reserves'!$T$2:$T$1178,"SI",'Registre de reserves'!$I$2:$I$1178,'2024'!$A83,'Registre de reserves'!$B$2:$B$1178,'2024'!D$2,Tabla1[ANY],'2024'!$Z$76)+SUMIFS('Registre de reserves'!$U$2:$U$1178,'Registre de reserves'!$T$2:$T$1178,"RESERVA",'Registre de reserves'!$I$2:$I$1178,'2024'!$A83,'Registre de reserves'!$B$2:$B$1178,'2024'!D$2,Tabla1[ANY],'2024'!$Z$76)</f>
        <v>0</v>
      </c>
      <c r="E83" s="21">
        <f t="shared" si="75"/>
        <v>0</v>
      </c>
      <c r="F83" s="20">
        <f>SUMIFS('Registre de reserves'!$U$2:$U$1178,'Registre de reserves'!$T$2:$T$1178,"SI",'Registre de reserves'!$I$2:$I$1178,'2024'!$A83,'Registre de reserves'!$B$2:$B$1178,'2024'!F$2,Tabla1[ANY],'2024'!$Z$76)+SUMIFS('Registre de reserves'!$U$2:$U$1178,'Registre de reserves'!$T$2:$T$1178,"RESERVA",'Registre de reserves'!$I$2:$I$1178,'2024'!$A83,'Registre de reserves'!$B$2:$B$1178,'2024'!F$2,Tabla1[ANY],'2024'!$Z$76)</f>
        <v>0</v>
      </c>
      <c r="G83" s="21">
        <f t="shared" si="76"/>
        <v>0</v>
      </c>
      <c r="H83" s="20">
        <f>SUMIFS('Registre de reserves'!$U$2:$U$1178,'Registre de reserves'!$T$2:$T$1178,"SI",'Registre de reserves'!$I$2:$I$1178,'2024'!$A83,'Registre de reserves'!$B$2:$B$1178,'2024'!H$2,Tabla1[ANY],'2024'!$Z$76)+SUMIFS('Registre de reserves'!$U$2:$U$1178,'Registre de reserves'!$T$2:$T$1178,"RESERVA",'Registre de reserves'!$I$2:$I$1178,'2024'!$A83,'Registre de reserves'!$B$2:$B$1178,'2024'!H$2,Tabla1[ANY],'2024'!$Z$76)</f>
        <v>0</v>
      </c>
      <c r="I83" s="21">
        <f t="shared" si="77"/>
        <v>0</v>
      </c>
      <c r="J83" s="20">
        <f>SUMIFS('Registre de reserves'!$U$2:$U$1178,'Registre de reserves'!$T$2:$T$1178,"SI",'Registre de reserves'!$I$2:$I$1178,'2024'!$A83,'Registre de reserves'!$B$2:$B$1178,'2024'!J$2,Tabla1[ANY],'2024'!$Z$76)+SUMIFS('Registre de reserves'!$U$2:$U$1178,'Registre de reserves'!$T$2:$T$1178,"RESERVA",'Registre de reserves'!$I$2:$I$1178,'2024'!$A83,'Registre de reserves'!$B$2:$B$1178,'2024'!J$2,Tabla1[ANY],'2024'!$Z$76)</f>
        <v>0</v>
      </c>
      <c r="K83" s="21">
        <f t="shared" si="78"/>
        <v>0</v>
      </c>
      <c r="L83" s="20">
        <f>SUMIFS('Registre de reserves'!$U$2:$U$1178,'Registre de reserves'!$T$2:$T$1178,"SI",'Registre de reserves'!$I$2:$I$1178,'2024'!$A83,'Registre de reserves'!$B$2:$B$1178,'2024'!L$2,Tabla1[ANY],'2024'!$Z$76)+SUMIFS('Registre de reserves'!$U$2:$U$1178,'Registre de reserves'!$T$2:$T$1178,"RESERVA",'Registre de reserves'!$I$2:$I$1178,'2024'!$A83,'Registre de reserves'!$B$2:$B$1178,'2024'!L$2,Tabla1[ANY],'2024'!$Z$76)</f>
        <v>0</v>
      </c>
      <c r="M83" s="21">
        <f t="shared" si="79"/>
        <v>0</v>
      </c>
      <c r="N83" s="20">
        <f>SUMIFS('Registre de reserves'!$U$2:$U$1178,'Registre de reserves'!$T$2:$T$1178,"SI",'Registre de reserves'!$I$2:$I$1178,'2024'!$A83,'Registre de reserves'!$B$2:$B$1178,'2024'!N$2,Tabla1[ANY],'2024'!$Z$76)+SUMIFS('Registre de reserves'!$U$2:$U$1178,'Registre de reserves'!$T$2:$T$1178,"RESERVA",'Registre de reserves'!$I$2:$I$1178,'2024'!$A83,'Registre de reserves'!$B$2:$B$1178,'2024'!N$2,Tabla1[ANY],'2024'!$Z$76)</f>
        <v>0</v>
      </c>
      <c r="O83" s="21">
        <f t="shared" si="80"/>
        <v>0</v>
      </c>
      <c r="P83" s="20">
        <f>SUMIFS('Registre de reserves'!$U$2:$U$1178,'Registre de reserves'!$T$2:$T$1178,"SI",'Registre de reserves'!$I$2:$I$1178,'2024'!$A83,'Registre de reserves'!$B$2:$B$1178,'2024'!P$2,Tabla1[ANY],'2024'!$Z$76)+SUMIFS('Registre de reserves'!$U$2:$U$1178,'Registre de reserves'!$T$2:$T$1178,"RESERVA",'Registre de reserves'!$I$2:$I$1178,'2024'!$A83,'Registre de reserves'!$B$2:$B$1178,'2024'!P$2,Tabla1[ANY],'2024'!$Z$76)</f>
        <v>0</v>
      </c>
      <c r="Q83" s="21">
        <f t="shared" si="81"/>
        <v>0</v>
      </c>
      <c r="R83" s="20">
        <f>SUMIFS('Registre de reserves'!$U$2:$U$1178,'Registre de reserves'!$T$2:$T$1178,"SI",'Registre de reserves'!$I$2:$I$1178,'2024'!$A83,'Registre de reserves'!$B$2:$B$1178,'2024'!R$2,Tabla1[ANY],'2024'!$Z$76)+SUMIFS('Registre de reserves'!$U$2:$U$1178,'Registre de reserves'!$T$2:$T$1178,"RESERVA",'Registre de reserves'!$I$2:$I$1178,'2024'!$A83,'Registre de reserves'!$B$2:$B$1178,'2024'!R$2,Tabla1[ANY],'2024'!$Z$76)</f>
        <v>0</v>
      </c>
      <c r="S83" s="21">
        <f t="shared" si="82"/>
        <v>0</v>
      </c>
      <c r="T83" s="20">
        <f>SUMIFS('Registre de reserves'!$U$2:$U$1178,'Registre de reserves'!$T$2:$T$1178,"SI",'Registre de reserves'!$I$2:$I$1178,'2024'!$A83,'Registre de reserves'!$B$2:$B$1178,'2024'!T$2,Tabla1[ANY],'2024'!$Z$76)+SUMIFS('Registre de reserves'!$U$2:$U$1178,'Registre de reserves'!$T$2:$T$1178,"RESERVA",'Registre de reserves'!$I$2:$I$1178,'2024'!$A83,'Registre de reserves'!$B$2:$B$1178,'2024'!T$2,Tabla1[ANY],'2024'!$Z$76)</f>
        <v>0</v>
      </c>
      <c r="U83" s="21">
        <f t="shared" si="83"/>
        <v>0</v>
      </c>
      <c r="V83" s="20">
        <f>SUMIFS('Registre de reserves'!$U$2:$U$1178,'Registre de reserves'!$T$2:$T$1178,"SI",'Registre de reserves'!$I$2:$I$1178,'2024'!$A83,'Registre de reserves'!$B$2:$B$1178,'2024'!V$2,Tabla1[ANY],'2024'!$Z$76)+SUMIFS('Registre de reserves'!$U$2:$U$1178,'Registre de reserves'!$T$2:$T$1178,"RESERVA",'Registre de reserves'!$I$2:$I$1178,'2024'!$A83,'Registre de reserves'!$B$2:$B$1178,'2024'!V$2,Tabla1[ANY],'2024'!$Z$76)</f>
        <v>0</v>
      </c>
      <c r="W83" s="21">
        <f t="shared" si="84"/>
        <v>0</v>
      </c>
      <c r="X83" s="20">
        <f>SUMIFS('Registre de reserves'!$U$2:$U$1178,'Registre de reserves'!$T$2:$T$1178,"SI",'Registre de reserves'!$I$2:$I$1178,'2024'!$A83,'Registre de reserves'!$B$2:$B$1178,'2024'!X$2,Tabla1[ANY],'2024'!$Z$76)+SUMIFS('Registre de reserves'!$U$2:$U$1178,'Registre de reserves'!$T$2:$T$1178,"RESERVA",'Registre de reserves'!$I$2:$I$1178,'2024'!$A83,'Registre de reserves'!$B$2:$B$1178,'2024'!X$2,Tabla1[ANY],'2024'!$Z$76)</f>
        <v>0</v>
      </c>
      <c r="Y83" s="21">
        <f t="shared" si="85"/>
        <v>0</v>
      </c>
      <c r="Z83" s="20">
        <f t="shared" si="87"/>
        <v>0</v>
      </c>
      <c r="AA83" s="21">
        <f t="shared" si="86"/>
        <v>0</v>
      </c>
    </row>
    <row r="84" spans="1:27" hidden="1" outlineLevel="2" x14ac:dyDescent="0.2">
      <c r="A84" s="8" t="s">
        <v>69</v>
      </c>
      <c r="B84" s="20">
        <f>SUMIFS('Registre de reserves'!$U$2:$U$1178,'Registre de reserves'!$T$2:$T$1178,"SI",'Registre de reserves'!$I$2:$I$1178,'2024'!$A84,'Registre de reserves'!$B$2:$B$1178,'2024'!B$2,Tabla1[ANY],'2024'!$Z$76)+SUMIFS('Registre de reserves'!$U$2:$U$1178,'Registre de reserves'!$T$2:$T$1178,"RESERVA",'Registre de reserves'!$I$2:$I$1178,'2024'!$A84,'Registre de reserves'!$B$2:$B$1178,'2024'!B$2,Tabla1[ANY],'2024'!$Z$76)</f>
        <v>550</v>
      </c>
      <c r="C84" s="21">
        <f t="shared" si="74"/>
        <v>0.2770780856423174</v>
      </c>
      <c r="D84" s="20">
        <f>SUMIFS('Registre de reserves'!$U$2:$U$1178,'Registre de reserves'!$T$2:$T$1178,"SI",'Registre de reserves'!$I$2:$I$1178,'2024'!$A84,'Registre de reserves'!$B$2:$B$1178,'2024'!D$2,Tabla1[ANY],'2024'!$Z$76)+SUMIFS('Registre de reserves'!$U$2:$U$1178,'Registre de reserves'!$T$2:$T$1178,"RESERVA",'Registre de reserves'!$I$2:$I$1178,'2024'!$A84,'Registre de reserves'!$B$2:$B$1178,'2024'!D$2,Tabla1[ANY],'2024'!$Z$76)</f>
        <v>450</v>
      </c>
      <c r="E84" s="21">
        <f t="shared" si="75"/>
        <v>0.375</v>
      </c>
      <c r="F84" s="20">
        <f>SUMIFS('Registre de reserves'!$U$2:$U$1178,'Registre de reserves'!$T$2:$T$1178,"SI",'Registre de reserves'!$I$2:$I$1178,'2024'!$A84,'Registre de reserves'!$B$2:$B$1178,'2024'!F$2,Tabla1[ANY],'2024'!$Z$76)+SUMIFS('Registre de reserves'!$U$2:$U$1178,'Registre de reserves'!$T$2:$T$1178,"RESERVA",'Registre de reserves'!$I$2:$I$1178,'2024'!$A84,'Registre de reserves'!$B$2:$B$1178,'2024'!F$2,Tabla1[ANY],'2024'!$Z$76)</f>
        <v>700</v>
      </c>
      <c r="G84" s="21">
        <f t="shared" si="76"/>
        <v>0.2348993288590604</v>
      </c>
      <c r="H84" s="20">
        <f>SUMIFS('Registre de reserves'!$U$2:$U$1178,'Registre de reserves'!$T$2:$T$1178,"SI",'Registre de reserves'!$I$2:$I$1178,'2024'!$A84,'Registre de reserves'!$B$2:$B$1178,'2024'!H$2,Tabla1[ANY],'2024'!$Z$76)+SUMIFS('Registre de reserves'!$U$2:$U$1178,'Registre de reserves'!$T$2:$T$1178,"RESERVA",'Registre de reserves'!$I$2:$I$1178,'2024'!$A84,'Registre de reserves'!$B$2:$B$1178,'2024'!H$2,Tabla1[ANY],'2024'!$Z$76)</f>
        <v>600</v>
      </c>
      <c r="I84" s="21">
        <f t="shared" si="77"/>
        <v>0.28503562945368172</v>
      </c>
      <c r="J84" s="20">
        <f>SUMIFS('Registre de reserves'!$U$2:$U$1178,'Registre de reserves'!$T$2:$T$1178,"SI",'Registre de reserves'!$I$2:$I$1178,'2024'!$A84,'Registre de reserves'!$B$2:$B$1178,'2024'!J$2,Tabla1[ANY],'2024'!$Z$76)+SUMIFS('Registre de reserves'!$U$2:$U$1178,'Registre de reserves'!$T$2:$T$1178,"RESERVA",'Registre de reserves'!$I$2:$I$1178,'2024'!$A84,'Registre de reserves'!$B$2:$B$1178,'2024'!J$2,Tabla1[ANY],'2024'!$Z$76)</f>
        <v>500</v>
      </c>
      <c r="K84" s="21">
        <f t="shared" si="78"/>
        <v>0.24937655860349128</v>
      </c>
      <c r="L84" s="20">
        <f>SUMIFS('Registre de reserves'!$U$2:$U$1178,'Registre de reserves'!$T$2:$T$1178,"SI",'Registre de reserves'!$I$2:$I$1178,'2024'!$A84,'Registre de reserves'!$B$2:$B$1178,'2024'!L$2,Tabla1[ANY],'2024'!$Z$76)+SUMIFS('Registre de reserves'!$U$2:$U$1178,'Registre de reserves'!$T$2:$T$1178,"RESERVA",'Registre de reserves'!$I$2:$I$1178,'2024'!$A84,'Registre de reserves'!$B$2:$B$1178,'2024'!L$2,Tabla1[ANY],'2024'!$Z$76)</f>
        <v>150</v>
      </c>
      <c r="M84" s="21">
        <f t="shared" si="79"/>
        <v>8.2872928176795577E-2</v>
      </c>
      <c r="N84" s="20">
        <f>SUMIFS('Registre de reserves'!$U$2:$U$1178,'Registre de reserves'!$T$2:$T$1178,"SI",'Registre de reserves'!$I$2:$I$1178,'2024'!$A84,'Registre de reserves'!$B$2:$B$1178,'2024'!N$2,Tabla1[ANY],'2024'!$Z$76)+SUMIFS('Registre de reserves'!$U$2:$U$1178,'Registre de reserves'!$T$2:$T$1178,"RESERVA",'Registre de reserves'!$I$2:$I$1178,'2024'!$A84,'Registre de reserves'!$B$2:$B$1178,'2024'!N$2,Tabla1[ANY],'2024'!$Z$76)</f>
        <v>350</v>
      </c>
      <c r="O84" s="21">
        <f t="shared" si="80"/>
        <v>0.28225806451612906</v>
      </c>
      <c r="P84" s="20">
        <f>SUMIFS('Registre de reserves'!$U$2:$U$1178,'Registre de reserves'!$T$2:$T$1178,"SI",'Registre de reserves'!$I$2:$I$1178,'2024'!$A84,'Registre de reserves'!$B$2:$B$1178,'2024'!P$2,Tabla1[ANY],'2024'!$Z$76)+SUMIFS('Registre de reserves'!$U$2:$U$1178,'Registre de reserves'!$T$2:$T$1178,"RESERVA",'Registre de reserves'!$I$2:$I$1178,'2024'!$A84,'Registre de reserves'!$B$2:$B$1178,'2024'!P$2,Tabla1[ANY],'2024'!$Z$76)</f>
        <v>300</v>
      </c>
      <c r="Q84" s="21">
        <f t="shared" si="81"/>
        <v>0.33707865168539325</v>
      </c>
      <c r="R84" s="20">
        <f>SUMIFS('Registre de reserves'!$U$2:$U$1178,'Registre de reserves'!$T$2:$T$1178,"SI",'Registre de reserves'!$I$2:$I$1178,'2024'!$A84,'Registre de reserves'!$B$2:$B$1178,'2024'!R$2,Tabla1[ANY],'2024'!$Z$76)+SUMIFS('Registre de reserves'!$U$2:$U$1178,'Registre de reserves'!$T$2:$T$1178,"RESERVA",'Registre de reserves'!$I$2:$I$1178,'2024'!$A84,'Registre de reserves'!$B$2:$B$1178,'2024'!R$2,Tabla1[ANY],'2024'!$Z$76)</f>
        <v>900</v>
      </c>
      <c r="S84" s="21">
        <f t="shared" si="82"/>
        <v>0.45340050377833752</v>
      </c>
      <c r="T84" s="20">
        <f>SUMIFS('Registre de reserves'!$U$2:$U$1178,'Registre de reserves'!$T$2:$T$1178,"SI",'Registre de reserves'!$I$2:$I$1178,'2024'!$A84,'Registre de reserves'!$B$2:$B$1178,'2024'!T$2,Tabla1[ANY],'2024'!$Z$76)+SUMIFS('Registre de reserves'!$U$2:$U$1178,'Registre de reserves'!$T$2:$T$1178,"RESERVA",'Registre de reserves'!$I$2:$I$1178,'2024'!$A84,'Registre de reserves'!$B$2:$B$1178,'2024'!T$2,Tabla1[ANY],'2024'!$Z$76)</f>
        <v>400</v>
      </c>
      <c r="U84" s="21">
        <f t="shared" si="83"/>
        <v>0.27027027027027029</v>
      </c>
      <c r="V84" s="20">
        <f>SUMIFS('Registre de reserves'!$U$2:$U$1178,'Registre de reserves'!$T$2:$T$1178,"SI",'Registre de reserves'!$I$2:$I$1178,'2024'!$A84,'Registre de reserves'!$B$2:$B$1178,'2024'!V$2,Tabla1[ANY],'2024'!$Z$76)+SUMIFS('Registre de reserves'!$U$2:$U$1178,'Registre de reserves'!$T$2:$T$1178,"RESERVA",'Registre de reserves'!$I$2:$I$1178,'2024'!$A84,'Registre de reserves'!$B$2:$B$1178,'2024'!V$2,Tabla1[ANY],'2024'!$Z$76)</f>
        <v>1150</v>
      </c>
      <c r="W84" s="21">
        <f t="shared" si="84"/>
        <v>0.43726235741444869</v>
      </c>
      <c r="X84" s="20">
        <f>SUMIFS('Registre de reserves'!$U$2:$U$1178,'Registre de reserves'!$T$2:$T$1178,"SI",'Registre de reserves'!$I$2:$I$1178,'2024'!$A84,'Registre de reserves'!$B$2:$B$1178,'2024'!X$2,Tabla1[ANY],'2024'!$Z$76)+SUMIFS('Registre de reserves'!$U$2:$U$1178,'Registre de reserves'!$T$2:$T$1178,"RESERVA",'Registre de reserves'!$I$2:$I$1178,'2024'!$A84,'Registre de reserves'!$B$2:$B$1178,'2024'!X$2,Tabla1[ANY],'2024'!$Z$76)</f>
        <v>700</v>
      </c>
      <c r="Y84" s="21">
        <f t="shared" si="85"/>
        <v>0.30905077262693159</v>
      </c>
      <c r="Z84" s="20">
        <f t="shared" si="87"/>
        <v>6750</v>
      </c>
      <c r="AA84" s="21">
        <f t="shared" si="86"/>
        <v>0.29900332225913623</v>
      </c>
    </row>
    <row r="85" spans="1:27" hidden="1" outlineLevel="2" x14ac:dyDescent="0.2">
      <c r="A85" s="8" t="s">
        <v>70</v>
      </c>
      <c r="B85" s="20">
        <f>SUMIFS('Registre de reserves'!$U$2:$U$1178,'Registre de reserves'!$T$2:$T$1178,"SI",'Registre de reserves'!$I$2:$I$1178,'2024'!$A85,'Registre de reserves'!$B$2:$B$1178,'2024'!B$2,Tabla1[ANY],'2024'!$Z$76)+SUMIFS('Registre de reserves'!$U$2:$U$1178,'Registre de reserves'!$T$2:$T$1178,"RESERVA",'Registre de reserves'!$I$2:$I$1178,'2024'!$A85,'Registre de reserves'!$B$2:$B$1178,'2024'!B$2,Tabla1[ANY],'2024'!$Z$76)</f>
        <v>100</v>
      </c>
      <c r="C85" s="21">
        <f t="shared" si="74"/>
        <v>5.0377833753148617E-2</v>
      </c>
      <c r="D85" s="20">
        <f>SUMIFS('Registre de reserves'!$U$2:$U$1178,'Registre de reserves'!$T$2:$T$1178,"SI",'Registre de reserves'!$I$2:$I$1178,'2024'!$A85,'Registre de reserves'!$B$2:$B$1178,'2024'!D$2,Tabla1[ANY],'2024'!$Z$76)+SUMIFS('Registre de reserves'!$U$2:$U$1178,'Registre de reserves'!$T$2:$T$1178,"RESERVA",'Registre de reserves'!$I$2:$I$1178,'2024'!$A85,'Registre de reserves'!$B$2:$B$1178,'2024'!D$2,Tabla1[ANY],'2024'!$Z$76)</f>
        <v>0</v>
      </c>
      <c r="E85" s="21">
        <f t="shared" si="75"/>
        <v>0</v>
      </c>
      <c r="F85" s="20">
        <f>SUMIFS('Registre de reserves'!$U$2:$U$1178,'Registre de reserves'!$T$2:$T$1178,"SI",'Registre de reserves'!$I$2:$I$1178,'2024'!$A85,'Registre de reserves'!$B$2:$B$1178,'2024'!F$2,Tabla1[ANY],'2024'!$Z$76)+SUMIFS('Registre de reserves'!$U$2:$U$1178,'Registre de reserves'!$T$2:$T$1178,"RESERVA",'Registre de reserves'!$I$2:$I$1178,'2024'!$A85,'Registre de reserves'!$B$2:$B$1178,'2024'!F$2,Tabla1[ANY],'2024'!$Z$76)</f>
        <v>370</v>
      </c>
      <c r="G85" s="21">
        <f t="shared" si="76"/>
        <v>0.12416107382550336</v>
      </c>
      <c r="H85" s="20">
        <f>SUMIFS('Registre de reserves'!$U$2:$U$1178,'Registre de reserves'!$T$2:$T$1178,"SI",'Registre de reserves'!$I$2:$I$1178,'2024'!$A85,'Registre de reserves'!$B$2:$B$1178,'2024'!H$2,Tabla1[ANY],'2024'!$Z$76)+SUMIFS('Registre de reserves'!$U$2:$U$1178,'Registre de reserves'!$T$2:$T$1178,"RESERVA",'Registre de reserves'!$I$2:$I$1178,'2024'!$A85,'Registre de reserves'!$B$2:$B$1178,'2024'!H$2,Tabla1[ANY],'2024'!$Z$76)</f>
        <v>320</v>
      </c>
      <c r="I85" s="21">
        <f t="shared" si="77"/>
        <v>0.15201900237529692</v>
      </c>
      <c r="J85" s="20">
        <f>SUMIFS('Registre de reserves'!$U$2:$U$1178,'Registre de reserves'!$T$2:$T$1178,"SI",'Registre de reserves'!$I$2:$I$1178,'2024'!$A85,'Registre de reserves'!$B$2:$B$1178,'2024'!J$2,Tabla1[ANY],'2024'!$Z$76)+SUMIFS('Registre de reserves'!$U$2:$U$1178,'Registre de reserves'!$T$2:$T$1178,"RESERVA",'Registre de reserves'!$I$2:$I$1178,'2024'!$A85,'Registre de reserves'!$B$2:$B$1178,'2024'!J$2,Tabla1[ANY],'2024'!$Z$76)</f>
        <v>460</v>
      </c>
      <c r="K85" s="21">
        <f t="shared" si="78"/>
        <v>0.22942643391521197</v>
      </c>
      <c r="L85" s="20">
        <f>SUMIFS('Registre de reserves'!$U$2:$U$1178,'Registre de reserves'!$T$2:$T$1178,"SI",'Registre de reserves'!$I$2:$I$1178,'2024'!$A85,'Registre de reserves'!$B$2:$B$1178,'2024'!L$2,Tabla1[ANY],'2024'!$Z$76)+SUMIFS('Registre de reserves'!$U$2:$U$1178,'Registre de reserves'!$T$2:$T$1178,"RESERVA",'Registre de reserves'!$I$2:$I$1178,'2024'!$A85,'Registre de reserves'!$B$2:$B$1178,'2024'!L$2,Tabla1[ANY],'2024'!$Z$76)</f>
        <v>420</v>
      </c>
      <c r="M85" s="21">
        <f t="shared" si="79"/>
        <v>0.23204419889502761</v>
      </c>
      <c r="N85" s="20">
        <f>SUMIFS('Registre de reserves'!$U$2:$U$1178,'Registre de reserves'!$T$2:$T$1178,"SI",'Registre de reserves'!$I$2:$I$1178,'2024'!$A85,'Registre de reserves'!$B$2:$B$1178,'2024'!N$2,Tabla1[ANY],'2024'!$Z$76)+SUMIFS('Registre de reserves'!$U$2:$U$1178,'Registre de reserves'!$T$2:$T$1178,"RESERVA",'Registre de reserves'!$I$2:$I$1178,'2024'!$A85,'Registre de reserves'!$B$2:$B$1178,'2024'!N$2,Tabla1[ANY],'2024'!$Z$76)</f>
        <v>50</v>
      </c>
      <c r="O85" s="21">
        <f t="shared" si="80"/>
        <v>4.0322580645161289E-2</v>
      </c>
      <c r="P85" s="20">
        <f>SUMIFS('Registre de reserves'!$U$2:$U$1178,'Registre de reserves'!$T$2:$T$1178,"SI",'Registre de reserves'!$I$2:$I$1178,'2024'!$A85,'Registre de reserves'!$B$2:$B$1178,'2024'!P$2,Tabla1[ANY],'2024'!$Z$76)+SUMIFS('Registre de reserves'!$U$2:$U$1178,'Registre de reserves'!$T$2:$T$1178,"RESERVA",'Registre de reserves'!$I$2:$I$1178,'2024'!$A85,'Registre de reserves'!$B$2:$B$1178,'2024'!P$2,Tabla1[ANY],'2024'!$Z$76)</f>
        <v>0</v>
      </c>
      <c r="Q85" s="21">
        <f t="shared" si="81"/>
        <v>0</v>
      </c>
      <c r="R85" s="20">
        <f>SUMIFS('Registre de reserves'!$U$2:$U$1178,'Registre de reserves'!$T$2:$T$1178,"SI",'Registre de reserves'!$I$2:$I$1178,'2024'!$A85,'Registre de reserves'!$B$2:$B$1178,'2024'!R$2,Tabla1[ANY],'2024'!$Z$76)+SUMIFS('Registre de reserves'!$U$2:$U$1178,'Registre de reserves'!$T$2:$T$1178,"RESERVA",'Registre de reserves'!$I$2:$I$1178,'2024'!$A85,'Registre de reserves'!$B$2:$B$1178,'2024'!R$2,Tabla1[ANY],'2024'!$Z$76)</f>
        <v>50</v>
      </c>
      <c r="S85" s="21">
        <f t="shared" si="82"/>
        <v>2.5188916876574308E-2</v>
      </c>
      <c r="T85" s="20">
        <f>SUMIFS('Registre de reserves'!$U$2:$U$1178,'Registre de reserves'!$T$2:$T$1178,"SI",'Registre de reserves'!$I$2:$I$1178,'2024'!$A85,'Registre de reserves'!$B$2:$B$1178,'2024'!T$2,Tabla1[ANY],'2024'!$Z$76)+SUMIFS('Registre de reserves'!$U$2:$U$1178,'Registre de reserves'!$T$2:$T$1178,"RESERVA",'Registre de reserves'!$I$2:$I$1178,'2024'!$A85,'Registre de reserves'!$B$2:$B$1178,'2024'!T$2,Tabla1[ANY],'2024'!$Z$76)</f>
        <v>50</v>
      </c>
      <c r="U85" s="21">
        <f t="shared" si="83"/>
        <v>3.3783783783783786E-2</v>
      </c>
      <c r="V85" s="20">
        <f>SUMIFS('Registre de reserves'!$U$2:$U$1178,'Registre de reserves'!$T$2:$T$1178,"SI",'Registre de reserves'!$I$2:$I$1178,'2024'!$A85,'Registre de reserves'!$B$2:$B$1178,'2024'!V$2,Tabla1[ANY],'2024'!$Z$76)+SUMIFS('Registre de reserves'!$U$2:$U$1178,'Registre de reserves'!$T$2:$T$1178,"RESERVA",'Registre de reserves'!$I$2:$I$1178,'2024'!$A85,'Registre de reserves'!$B$2:$B$1178,'2024'!V$2,Tabla1[ANY],'2024'!$Z$76)</f>
        <v>0</v>
      </c>
      <c r="W85" s="21">
        <f t="shared" si="84"/>
        <v>0</v>
      </c>
      <c r="X85" s="20">
        <f>SUMIFS('Registre de reserves'!$U$2:$U$1178,'Registre de reserves'!$T$2:$T$1178,"SI",'Registre de reserves'!$I$2:$I$1178,'2024'!$A85,'Registre de reserves'!$B$2:$B$1178,'2024'!X$2,Tabla1[ANY],'2024'!$Z$76)+SUMIFS('Registre de reserves'!$U$2:$U$1178,'Registre de reserves'!$T$2:$T$1178,"RESERVA",'Registre de reserves'!$I$2:$I$1178,'2024'!$A85,'Registre de reserves'!$B$2:$B$1178,'2024'!X$2,Tabla1[ANY],'2024'!$Z$76)</f>
        <v>50</v>
      </c>
      <c r="Y85" s="21">
        <f t="shared" si="85"/>
        <v>2.2075055187637971E-2</v>
      </c>
      <c r="Z85" s="20">
        <f t="shared" si="87"/>
        <v>1870</v>
      </c>
      <c r="AA85" s="21">
        <f t="shared" si="86"/>
        <v>8.2834994462901435E-2</v>
      </c>
    </row>
    <row r="86" spans="1:27" hidden="1" outlineLevel="2" x14ac:dyDescent="0.2">
      <c r="A86" s="8" t="s">
        <v>73</v>
      </c>
      <c r="B86" s="20">
        <f>SUMIFS('Registre de reserves'!$U$2:$U$1178,'Registre de reserves'!$T$2:$T$1178,"SI",'Registre de reserves'!$I$2:$I$1178,'2024'!$A86,'Registre de reserves'!$B$2:$B$1178,'2024'!B$2,Tabla1[ANY],'2024'!$Z$76)+SUMIFS('Registre de reserves'!$U$2:$U$1178,'Registre de reserves'!$T$2:$T$1178,"RESERVA",'Registre de reserves'!$I$2:$I$1178,'2024'!$A86,'Registre de reserves'!$B$2:$B$1178,'2024'!B$2,Tabla1[ANY],'2024'!$Z$76)</f>
        <v>0</v>
      </c>
      <c r="C86" s="21">
        <f t="shared" si="74"/>
        <v>0</v>
      </c>
      <c r="D86" s="20">
        <f>SUMIFS('Registre de reserves'!$U$2:$U$1178,'Registre de reserves'!$T$2:$T$1178,"SI",'Registre de reserves'!$I$2:$I$1178,'2024'!$A86,'Registre de reserves'!$B$2:$B$1178,'2024'!D$2,Tabla1[ANY],'2024'!$Z$76)+SUMIFS('Registre de reserves'!$U$2:$U$1178,'Registre de reserves'!$T$2:$T$1178,"RESERVA",'Registre de reserves'!$I$2:$I$1178,'2024'!$A86,'Registre de reserves'!$B$2:$B$1178,'2024'!D$2,Tabla1[ANY],'2024'!$Z$76)</f>
        <v>0</v>
      </c>
      <c r="E86" s="21">
        <f t="shared" si="75"/>
        <v>0</v>
      </c>
      <c r="F86" s="20">
        <f>SUMIFS('Registre de reserves'!$U$2:$U$1178,'Registre de reserves'!$T$2:$T$1178,"SI",'Registre de reserves'!$I$2:$I$1178,'2024'!$A86,'Registre de reserves'!$B$2:$B$1178,'2024'!F$2,Tabla1[ANY],'2024'!$Z$76)+SUMIFS('Registre de reserves'!$U$2:$U$1178,'Registre de reserves'!$T$2:$T$1178,"RESERVA",'Registre de reserves'!$I$2:$I$1178,'2024'!$A86,'Registre de reserves'!$B$2:$B$1178,'2024'!F$2,Tabla1[ANY],'2024'!$Z$76)</f>
        <v>0</v>
      </c>
      <c r="G86" s="21">
        <f t="shared" si="76"/>
        <v>0</v>
      </c>
      <c r="H86" s="20">
        <f>SUMIFS('Registre de reserves'!$U$2:$U$1178,'Registre de reserves'!$T$2:$T$1178,"SI",'Registre de reserves'!$I$2:$I$1178,'2024'!$A86,'Registre de reserves'!$B$2:$B$1178,'2024'!H$2,Tabla1[ANY],'2024'!$Z$76)+SUMIFS('Registre de reserves'!$U$2:$U$1178,'Registre de reserves'!$T$2:$T$1178,"RESERVA",'Registre de reserves'!$I$2:$I$1178,'2024'!$A86,'Registre de reserves'!$B$2:$B$1178,'2024'!H$2,Tabla1[ANY],'2024'!$Z$76)</f>
        <v>0</v>
      </c>
      <c r="I86" s="21">
        <f t="shared" si="77"/>
        <v>0</v>
      </c>
      <c r="J86" s="20">
        <f>SUMIFS('Registre de reserves'!$U$2:$U$1178,'Registre de reserves'!$T$2:$T$1178,"SI",'Registre de reserves'!$I$2:$I$1178,'2024'!$A86,'Registre de reserves'!$B$2:$B$1178,'2024'!J$2,Tabla1[ANY],'2024'!$Z$76)+SUMIFS('Registre de reserves'!$U$2:$U$1178,'Registre de reserves'!$T$2:$T$1178,"RESERVA",'Registre de reserves'!$I$2:$I$1178,'2024'!$A86,'Registre de reserves'!$B$2:$B$1178,'2024'!J$2,Tabla1[ANY],'2024'!$Z$76)</f>
        <v>0</v>
      </c>
      <c r="K86" s="21">
        <f t="shared" si="78"/>
        <v>0</v>
      </c>
      <c r="L86" s="20">
        <f>SUMIFS('Registre de reserves'!$U$2:$U$1178,'Registre de reserves'!$T$2:$T$1178,"SI",'Registre de reserves'!$I$2:$I$1178,'2024'!$A86,'Registre de reserves'!$B$2:$B$1178,'2024'!L$2,Tabla1[ANY],'2024'!$Z$76)+SUMIFS('Registre de reserves'!$U$2:$U$1178,'Registre de reserves'!$T$2:$T$1178,"RESERVA",'Registre de reserves'!$I$2:$I$1178,'2024'!$A86,'Registre de reserves'!$B$2:$B$1178,'2024'!L$2,Tabla1[ANY],'2024'!$Z$76)</f>
        <v>50</v>
      </c>
      <c r="M86" s="21">
        <f t="shared" si="79"/>
        <v>2.7624309392265192E-2</v>
      </c>
      <c r="N86" s="20">
        <f>SUMIFS('Registre de reserves'!$U$2:$U$1178,'Registre de reserves'!$T$2:$T$1178,"SI",'Registre de reserves'!$I$2:$I$1178,'2024'!$A86,'Registre de reserves'!$B$2:$B$1178,'2024'!N$2,Tabla1[ANY],'2024'!$Z$76)+SUMIFS('Registre de reserves'!$U$2:$U$1178,'Registre de reserves'!$T$2:$T$1178,"RESERVA",'Registre de reserves'!$I$2:$I$1178,'2024'!$A86,'Registre de reserves'!$B$2:$B$1178,'2024'!N$2,Tabla1[ANY],'2024'!$Z$76)</f>
        <v>0</v>
      </c>
      <c r="O86" s="21">
        <f t="shared" si="80"/>
        <v>0</v>
      </c>
      <c r="P86" s="20">
        <f>SUMIFS('Registre de reserves'!$U$2:$U$1178,'Registre de reserves'!$T$2:$T$1178,"SI",'Registre de reserves'!$I$2:$I$1178,'2024'!$A86,'Registre de reserves'!$B$2:$B$1178,'2024'!P$2,Tabla1[ANY],'2024'!$Z$76)+SUMIFS('Registre de reserves'!$U$2:$U$1178,'Registre de reserves'!$T$2:$T$1178,"RESERVA",'Registre de reserves'!$I$2:$I$1178,'2024'!$A86,'Registre de reserves'!$B$2:$B$1178,'2024'!P$2,Tabla1[ANY],'2024'!$Z$76)</f>
        <v>0</v>
      </c>
      <c r="Q86" s="21">
        <f t="shared" si="81"/>
        <v>0</v>
      </c>
      <c r="R86" s="20">
        <f>SUMIFS('Registre de reserves'!$U$2:$U$1178,'Registre de reserves'!$T$2:$T$1178,"SI",'Registre de reserves'!$I$2:$I$1178,'2024'!$A86,'Registre de reserves'!$B$2:$B$1178,'2024'!R$2,Tabla1[ANY],'2024'!$Z$76)+SUMIFS('Registre de reserves'!$U$2:$U$1178,'Registre de reserves'!$T$2:$T$1178,"RESERVA",'Registre de reserves'!$I$2:$I$1178,'2024'!$A86,'Registre de reserves'!$B$2:$B$1178,'2024'!R$2,Tabla1[ANY],'2024'!$Z$76)</f>
        <v>0</v>
      </c>
      <c r="S86" s="21">
        <f t="shared" si="82"/>
        <v>0</v>
      </c>
      <c r="T86" s="20">
        <f>SUMIFS('Registre de reserves'!$U$2:$U$1178,'Registre de reserves'!$T$2:$T$1178,"SI",'Registre de reserves'!$I$2:$I$1178,'2024'!$A86,'Registre de reserves'!$B$2:$B$1178,'2024'!T$2,Tabla1[ANY],'2024'!$Z$76)+SUMIFS('Registre de reserves'!$U$2:$U$1178,'Registre de reserves'!$T$2:$T$1178,"RESERVA",'Registre de reserves'!$I$2:$I$1178,'2024'!$A86,'Registre de reserves'!$B$2:$B$1178,'2024'!T$2,Tabla1[ANY],'2024'!$Z$76)</f>
        <v>0</v>
      </c>
      <c r="U86" s="21">
        <f t="shared" si="83"/>
        <v>0</v>
      </c>
      <c r="V86" s="20">
        <f>SUMIFS('Registre de reserves'!$U$2:$U$1178,'Registre de reserves'!$T$2:$T$1178,"SI",'Registre de reserves'!$I$2:$I$1178,'2024'!$A86,'Registre de reserves'!$B$2:$B$1178,'2024'!V$2,Tabla1[ANY],'2024'!$Z$76)+SUMIFS('Registre de reserves'!$U$2:$U$1178,'Registre de reserves'!$T$2:$T$1178,"RESERVA",'Registre de reserves'!$I$2:$I$1178,'2024'!$A86,'Registre de reserves'!$B$2:$B$1178,'2024'!V$2,Tabla1[ANY],'2024'!$Z$76)</f>
        <v>0</v>
      </c>
      <c r="W86" s="21">
        <f t="shared" si="84"/>
        <v>0</v>
      </c>
      <c r="X86" s="20">
        <f>SUMIFS('Registre de reserves'!$U$2:$U$1178,'Registre de reserves'!$T$2:$T$1178,"SI",'Registre de reserves'!$I$2:$I$1178,'2024'!$A86,'Registre de reserves'!$B$2:$B$1178,'2024'!X$2,Tabla1[ANY],'2024'!$Z$76)+SUMIFS('Registre de reserves'!$U$2:$U$1178,'Registre de reserves'!$T$2:$T$1178,"RESERVA",'Registre de reserves'!$I$2:$I$1178,'2024'!$A86,'Registre de reserves'!$B$2:$B$1178,'2024'!X$2,Tabla1[ANY],'2024'!$Z$76)</f>
        <v>0</v>
      </c>
      <c r="Y86" s="21">
        <f t="shared" si="85"/>
        <v>0</v>
      </c>
      <c r="Z86" s="20">
        <f t="shared" si="87"/>
        <v>50</v>
      </c>
      <c r="AA86" s="21">
        <f t="shared" si="86"/>
        <v>2.2148394241417496E-3</v>
      </c>
    </row>
    <row r="87" spans="1:27" collapsed="1" x14ac:dyDescent="0.2">
      <c r="A87" s="33" t="s">
        <v>76</v>
      </c>
      <c r="B87" s="18">
        <f>SUM(B88:B95)</f>
        <v>0</v>
      </c>
      <c r="C87" s="19">
        <f>IF((B$87+B$105)=0,0,B87/(B$87+B$105))</f>
        <v>0</v>
      </c>
      <c r="D87" s="18">
        <f>SUM(D88:D95)</f>
        <v>0</v>
      </c>
      <c r="E87" s="19">
        <f>IF((D$87+D$105)=0,0,D87/(D$87+D$105))</f>
        <v>0</v>
      </c>
      <c r="F87" s="18">
        <f>SUM(F88:F95)</f>
        <v>0</v>
      </c>
      <c r="G87" s="19">
        <f>IF((F$87+F$105)=0,0,F87/(F$87+F$105))</f>
        <v>0</v>
      </c>
      <c r="H87" s="18">
        <f>SUM(H88:H95)</f>
        <v>0</v>
      </c>
      <c r="I87" s="19">
        <f>IF((H$87+H$105)=0,0,H87/(H$87+H$105))</f>
        <v>0</v>
      </c>
      <c r="J87" s="18">
        <f>SUM(J88:J95)</f>
        <v>0</v>
      </c>
      <c r="K87" s="19">
        <f>IF((J$87+J$105)=0,0,J87/(J$87+J$105))</f>
        <v>0</v>
      </c>
      <c r="L87" s="18">
        <f>SUM(L88:L95)</f>
        <v>0</v>
      </c>
      <c r="M87" s="19">
        <f>IF((L$87+L$105)=0,0,L87/(L$87+L$105))</f>
        <v>0</v>
      </c>
      <c r="N87" s="18">
        <f>SUM(N88:N95)</f>
        <v>0</v>
      </c>
      <c r="O87" s="19">
        <f>IF((N$87+N$105)=0,0,N87/(N$87+N$105))</f>
        <v>0</v>
      </c>
      <c r="P87" s="18">
        <f>SUM(P88:P95)</f>
        <v>0</v>
      </c>
      <c r="Q87" s="19">
        <f>IF((P$87+P$105)=0,0,P87/(P$87+P$105))</f>
        <v>0</v>
      </c>
      <c r="R87" s="18">
        <f>SUM(R88:R95)</f>
        <v>0</v>
      </c>
      <c r="S87" s="19">
        <f>IF((R$87+R$105)=0,0,R87/(R$87+R$105))</f>
        <v>0</v>
      </c>
      <c r="T87" s="18">
        <f>SUM(T88:T95)</f>
        <v>0</v>
      </c>
      <c r="U87" s="19">
        <f>IF((T$87+T$105)=0,0,T87/(T$87+T$105))</f>
        <v>0</v>
      </c>
      <c r="V87" s="18">
        <f>SUM(V88:V95)</f>
        <v>0</v>
      </c>
      <c r="W87" s="19">
        <f>IF((V$87+V$105)=0,0,V87/(V$87+V$105))</f>
        <v>0</v>
      </c>
      <c r="X87" s="18">
        <f>SUM(X88:X95)</f>
        <v>0</v>
      </c>
      <c r="Y87" s="19">
        <f>IF((X$87+X$105)=0,0,X87/(X$87+X$105))</f>
        <v>0</v>
      </c>
      <c r="Z87" s="18">
        <f>SUM(Z88:Z95)</f>
        <v>0</v>
      </c>
      <c r="AA87" s="19">
        <f>IF((Z$87+Z$105)=0,0,Z87/(Z$87+Z$105))</f>
        <v>0</v>
      </c>
    </row>
    <row r="88" spans="1:27" hidden="1" outlineLevel="1" x14ac:dyDescent="0.2">
      <c r="A88" s="8" t="s">
        <v>67</v>
      </c>
      <c r="B88" s="20">
        <f>SUMIFS('Registre de reserves'!$U$2:$U$1178,'Registre de reserves'!$T$2:$T$1178,"NO",'Registre de reserves'!$I$2:$I$1178,'2024'!$A88,'Registre de reserves'!$B$2:$B$1178,'2024'!B$2,Tabla1[ANY],'2024'!$Z$76)</f>
        <v>0</v>
      </c>
      <c r="C88" s="21">
        <f>IF(B$87=0,0,B88/B$87)</f>
        <v>0</v>
      </c>
      <c r="D88" s="20">
        <f>SUMIFS('Registre de reserves'!$U$2:$U$1178,'Registre de reserves'!$T$2:$T$1178,"NO",'Registre de reserves'!$I$2:$I$1178,'2024'!$A88,'Registre de reserves'!$B$2:$B$1178,'2024'!D$2,Tabla1[ANY],'2024'!$Z$76)</f>
        <v>0</v>
      </c>
      <c r="E88" s="21">
        <f>IF(D$87=0,0,D88/D$87)</f>
        <v>0</v>
      </c>
      <c r="F88" s="20">
        <f>SUMIFS('Registre de reserves'!$U$2:$U$1178,'Registre de reserves'!$T$2:$T$1178,"NO",'Registre de reserves'!$I$2:$I$1178,'2024'!$A88,'Registre de reserves'!$B$2:$B$1178,'2024'!F$2,Tabla1[ANY],'2024'!$Z$76)</f>
        <v>0</v>
      </c>
      <c r="G88" s="21">
        <f t="shared" ref="G88:G95" si="88">IF(F$87=0,0,F88/F$87)</f>
        <v>0</v>
      </c>
      <c r="H88" s="20">
        <f>SUMIFS('Registre de reserves'!$U$2:$U$1178,'Registre de reserves'!$T$2:$T$1178,"NO",'Registre de reserves'!$I$2:$I$1178,'2024'!$A88,'Registre de reserves'!$B$2:$B$1178,'2024'!H$2,Tabla1[ANY],'2024'!$Z$76)</f>
        <v>0</v>
      </c>
      <c r="I88" s="21">
        <f t="shared" ref="I88:I95" si="89">IF(H$87=0,0,H88/H$87)</f>
        <v>0</v>
      </c>
      <c r="J88" s="20">
        <f>SUMIFS('Registre de reserves'!$U$2:$U$1178,'Registre de reserves'!$T$2:$T$1178,"NO",'Registre de reserves'!$I$2:$I$1178,'2024'!$A88,'Registre de reserves'!$B$2:$B$1178,'2024'!J$2,Tabla1[ANY],'2024'!$Z$76)</f>
        <v>0</v>
      </c>
      <c r="K88" s="21">
        <f t="shared" ref="K88:K95" si="90">IF(J$87=0,0,J88/J$87)</f>
        <v>0</v>
      </c>
      <c r="L88" s="20">
        <f>SUMIFS('Registre de reserves'!$U$2:$U$1178,'Registre de reserves'!$T$2:$T$1178,"NO",'Registre de reserves'!$I$2:$I$1178,'2024'!$A88,'Registre de reserves'!$B$2:$B$1178,'2024'!L$2,Tabla1[ANY],'2024'!$Z$76)</f>
        <v>0</v>
      </c>
      <c r="M88" s="21">
        <f t="shared" ref="M88:M95" si="91">IF(L$87=0,0,L88/L$87)</f>
        <v>0</v>
      </c>
      <c r="N88" s="20">
        <f>SUMIFS('Registre de reserves'!$U$2:$U$1178,'Registre de reserves'!$T$2:$T$1178,"NO",'Registre de reserves'!$I$2:$I$1178,'2024'!$A88,'Registre de reserves'!$B$2:$B$1178,'2024'!N$2,Tabla1[ANY],'2024'!$Z$76)</f>
        <v>0</v>
      </c>
      <c r="O88" s="21">
        <f t="shared" ref="O88:O95" si="92">IF(N$87=0,0,N88/N$87)</f>
        <v>0</v>
      </c>
      <c r="P88" s="20">
        <f>SUMIFS('Registre de reserves'!$U$2:$U$1178,'Registre de reserves'!$T$2:$T$1178,"NO",'Registre de reserves'!$I$2:$I$1178,'2024'!$A88,'Registre de reserves'!$B$2:$B$1178,'2024'!P$2,Tabla1[ANY],'2024'!$Z$76)</f>
        <v>0</v>
      </c>
      <c r="Q88" s="21">
        <f t="shared" ref="Q88:Q95" si="93">IF(P$87=0,0,P88/P$87)</f>
        <v>0</v>
      </c>
      <c r="R88" s="20">
        <f>SUMIFS('Registre de reserves'!$U$2:$U$1178,'Registre de reserves'!$T$2:$T$1178,"NO",'Registre de reserves'!$I$2:$I$1178,'2024'!$A88,'Registre de reserves'!$B$2:$B$1178,'2024'!R$2,Tabla1[ANY],'2024'!$Z$76)</f>
        <v>0</v>
      </c>
      <c r="S88" s="21">
        <f t="shared" ref="S88:S95" si="94">IF(R$87=0,0,R88/R$87)</f>
        <v>0</v>
      </c>
      <c r="T88" s="20">
        <f>SUMIFS('Registre de reserves'!$U$2:$U$1178,'Registre de reserves'!$T$2:$T$1178,"NO",'Registre de reserves'!$I$2:$I$1178,'2024'!$A88,'Registre de reserves'!$B$2:$B$1178,'2024'!T$2,Tabla1[ANY],'2024'!$Z$76)</f>
        <v>0</v>
      </c>
      <c r="U88" s="21">
        <f t="shared" ref="U88:U95" si="95">IF(T$87=0,0,T88/T$87)</f>
        <v>0</v>
      </c>
      <c r="V88" s="20">
        <f>SUMIFS('Registre de reserves'!$U$2:$U$1178,'Registre de reserves'!$T$2:$T$1178,"NO",'Registre de reserves'!$I$2:$I$1178,'2024'!$A88,'Registre de reserves'!$B$2:$B$1178,'2024'!V$2,Tabla1[ANY],'2024'!$Z$76)</f>
        <v>0</v>
      </c>
      <c r="W88" s="21">
        <f t="shared" ref="W88:W95" si="96">IF(V$87=0,0,V88/V$87)</f>
        <v>0</v>
      </c>
      <c r="X88" s="20">
        <f>SUMIFS('Registre de reserves'!$U$2:$U$1178,'Registre de reserves'!$T$2:$T$1178,"NO",'Registre de reserves'!$I$2:$I$1178,'2024'!$A88,'Registre de reserves'!$B$2:$B$1178,'2024'!X$2,Tabla1[ANY],'2024'!$Z$76)</f>
        <v>0</v>
      </c>
      <c r="Y88" s="21">
        <f t="shared" ref="Y88:Y95" si="97">IF(X$87=0,0,X88/X$87)</f>
        <v>0</v>
      </c>
      <c r="Z88" s="20">
        <f>B88+D88+F88+H88+J88+L88+N88+P88+R88+T88+V88+X88</f>
        <v>0</v>
      </c>
      <c r="AA88" s="21">
        <f t="shared" ref="AA88:AA95" si="98">IF(Z$87=0,0,Z88/Z$87)</f>
        <v>0</v>
      </c>
    </row>
    <row r="89" spans="1:27" hidden="1" outlineLevel="1" x14ac:dyDescent="0.2">
      <c r="A89" s="8" t="s">
        <v>68</v>
      </c>
      <c r="B89" s="20">
        <f>SUMIFS('Registre de reserves'!$U$2:$U$1178,'Registre de reserves'!$T$2:$T$1178,"NO",'Registre de reserves'!$I$2:$I$1178,'2024'!$A89,'Registre de reserves'!$B$2:$B$1178,'2024'!B$2,Tabla1[ANY],'2024'!$Z$76)</f>
        <v>0</v>
      </c>
      <c r="C89" s="21">
        <f t="shared" ref="C89:E94" si="99">IF(B$87=0,0,B89/B$87)</f>
        <v>0</v>
      </c>
      <c r="D89" s="20">
        <f>SUMIFS('Registre de reserves'!$U$2:$U$1178,'Registre de reserves'!$T$2:$T$1178,"NO",'Registre de reserves'!$I$2:$I$1178,'2024'!$A89,'Registre de reserves'!$B$2:$B$1178,'2024'!D$2,Tabla1[ANY],'2024'!$Z$76)</f>
        <v>0</v>
      </c>
      <c r="E89" s="21">
        <f t="shared" si="99"/>
        <v>0</v>
      </c>
      <c r="F89" s="20">
        <f>SUMIFS('Registre de reserves'!$U$2:$U$1178,'Registre de reserves'!$T$2:$T$1178,"NO",'Registre de reserves'!$I$2:$I$1178,'2024'!$A89,'Registre de reserves'!$B$2:$B$1178,'2024'!F$2,Tabla1[ANY],'2024'!$Z$76)</f>
        <v>0</v>
      </c>
      <c r="G89" s="21">
        <f t="shared" si="88"/>
        <v>0</v>
      </c>
      <c r="H89" s="20">
        <f>SUMIFS('Registre de reserves'!$U$2:$U$1178,'Registre de reserves'!$T$2:$T$1178,"NO",'Registre de reserves'!$I$2:$I$1178,'2024'!$A89,'Registre de reserves'!$B$2:$B$1178,'2024'!H$2,Tabla1[ANY],'2024'!$Z$76)</f>
        <v>0</v>
      </c>
      <c r="I89" s="21">
        <f t="shared" si="89"/>
        <v>0</v>
      </c>
      <c r="J89" s="20">
        <f>SUMIFS('Registre de reserves'!$U$2:$U$1178,'Registre de reserves'!$T$2:$T$1178,"NO",'Registre de reserves'!$I$2:$I$1178,'2024'!$A89,'Registre de reserves'!$B$2:$B$1178,'2024'!J$2,Tabla1[ANY],'2024'!$Z$76)</f>
        <v>0</v>
      </c>
      <c r="K89" s="21">
        <f t="shared" si="90"/>
        <v>0</v>
      </c>
      <c r="L89" s="20">
        <f>SUMIFS('Registre de reserves'!$U$2:$U$1178,'Registre de reserves'!$T$2:$T$1178,"NO",'Registre de reserves'!$I$2:$I$1178,'2024'!$A89,'Registre de reserves'!$B$2:$B$1178,'2024'!L$2,Tabla1[ANY],'2024'!$Z$76)</f>
        <v>0</v>
      </c>
      <c r="M89" s="21">
        <f t="shared" si="91"/>
        <v>0</v>
      </c>
      <c r="N89" s="20">
        <f>SUMIFS('Registre de reserves'!$U$2:$U$1178,'Registre de reserves'!$T$2:$T$1178,"NO",'Registre de reserves'!$I$2:$I$1178,'2024'!$A89,'Registre de reserves'!$B$2:$B$1178,'2024'!N$2,Tabla1[ANY],'2024'!$Z$76)</f>
        <v>0</v>
      </c>
      <c r="O89" s="21">
        <f t="shared" si="92"/>
        <v>0</v>
      </c>
      <c r="P89" s="20">
        <f>SUMIFS('Registre de reserves'!$U$2:$U$1178,'Registre de reserves'!$T$2:$T$1178,"NO",'Registre de reserves'!$I$2:$I$1178,'2024'!$A89,'Registre de reserves'!$B$2:$B$1178,'2024'!P$2,Tabla1[ANY],'2024'!$Z$76)</f>
        <v>0</v>
      </c>
      <c r="Q89" s="21">
        <f t="shared" si="93"/>
        <v>0</v>
      </c>
      <c r="R89" s="20">
        <f>SUMIFS('Registre de reserves'!$U$2:$U$1178,'Registre de reserves'!$T$2:$T$1178,"NO",'Registre de reserves'!$I$2:$I$1178,'2024'!$A89,'Registre de reserves'!$B$2:$B$1178,'2024'!R$2,Tabla1[ANY],'2024'!$Z$76)</f>
        <v>0</v>
      </c>
      <c r="S89" s="21">
        <f t="shared" si="94"/>
        <v>0</v>
      </c>
      <c r="T89" s="20">
        <f>SUMIFS('Registre de reserves'!$U$2:$U$1178,'Registre de reserves'!$T$2:$T$1178,"NO",'Registre de reserves'!$I$2:$I$1178,'2024'!$A89,'Registre de reserves'!$B$2:$B$1178,'2024'!T$2,Tabla1[ANY],'2024'!$Z$76)</f>
        <v>0</v>
      </c>
      <c r="U89" s="21">
        <f t="shared" si="95"/>
        <v>0</v>
      </c>
      <c r="V89" s="20">
        <f>SUMIFS('Registre de reserves'!$U$2:$U$1178,'Registre de reserves'!$T$2:$T$1178,"NO",'Registre de reserves'!$I$2:$I$1178,'2024'!$A89,'Registre de reserves'!$B$2:$B$1178,'2024'!V$2,Tabla1[ANY],'2024'!$Z$76)</f>
        <v>0</v>
      </c>
      <c r="W89" s="21">
        <f t="shared" si="96"/>
        <v>0</v>
      </c>
      <c r="X89" s="20">
        <f>SUMIFS('Registre de reserves'!$U$2:$U$1178,'Registre de reserves'!$T$2:$T$1178,"NO",'Registre de reserves'!$I$2:$I$1178,'2024'!$A89,'Registre de reserves'!$B$2:$B$1178,'2024'!X$2,Tabla1[ANY],'2024'!$Z$76)</f>
        <v>0</v>
      </c>
      <c r="Y89" s="21">
        <f t="shared" si="97"/>
        <v>0</v>
      </c>
      <c r="Z89" s="20">
        <f t="shared" ref="Z89:Z113" si="100">B89+D89+F89+H89+J89+L89+N89+P89+R89+T89+V89+X89</f>
        <v>0</v>
      </c>
      <c r="AA89" s="21">
        <f t="shared" si="98"/>
        <v>0</v>
      </c>
    </row>
    <row r="90" spans="1:27" hidden="1" outlineLevel="1" x14ac:dyDescent="0.2">
      <c r="A90" s="8" t="s">
        <v>4</v>
      </c>
      <c r="B90" s="20">
        <f>SUMIFS('Registre de reserves'!$U$2:$U$1178,'Registre de reserves'!$T$2:$T$1178,"NO",'Registre de reserves'!$I$2:$I$1178,'2024'!$A90,'Registre de reserves'!$B$2:$B$1178,'2024'!B$2,Tabla1[ANY],'2024'!$Z$76)</f>
        <v>0</v>
      </c>
      <c r="C90" s="21">
        <f t="shared" si="99"/>
        <v>0</v>
      </c>
      <c r="D90" s="20">
        <f>SUMIFS('Registre de reserves'!$U$2:$U$1178,'Registre de reserves'!$T$2:$T$1178,"NO",'Registre de reserves'!$I$2:$I$1178,'2024'!$A90,'Registre de reserves'!$B$2:$B$1178,'2024'!D$2,Tabla1[ANY],'2024'!$Z$76)</f>
        <v>0</v>
      </c>
      <c r="E90" s="21">
        <f t="shared" si="99"/>
        <v>0</v>
      </c>
      <c r="F90" s="20">
        <f>SUMIFS('Registre de reserves'!$U$2:$U$1178,'Registre de reserves'!$T$2:$T$1178,"NO",'Registre de reserves'!$I$2:$I$1178,'2024'!$A90,'Registre de reserves'!$B$2:$B$1178,'2024'!F$2,Tabla1[ANY],'2024'!$Z$76)</f>
        <v>0</v>
      </c>
      <c r="G90" s="21">
        <f t="shared" si="88"/>
        <v>0</v>
      </c>
      <c r="H90" s="20">
        <f>SUMIFS('Registre de reserves'!$U$2:$U$1178,'Registre de reserves'!$T$2:$T$1178,"NO",'Registre de reserves'!$I$2:$I$1178,'2024'!$A90,'Registre de reserves'!$B$2:$B$1178,'2024'!H$2,Tabla1[ANY],'2024'!$Z$76)</f>
        <v>0</v>
      </c>
      <c r="I90" s="21">
        <f t="shared" si="89"/>
        <v>0</v>
      </c>
      <c r="J90" s="20">
        <f>SUMIFS('Registre de reserves'!$U$2:$U$1178,'Registre de reserves'!$T$2:$T$1178,"NO",'Registre de reserves'!$I$2:$I$1178,'2024'!$A90,'Registre de reserves'!$B$2:$B$1178,'2024'!J$2,Tabla1[ANY],'2024'!$Z$76)</f>
        <v>0</v>
      </c>
      <c r="K90" s="21">
        <f t="shared" si="90"/>
        <v>0</v>
      </c>
      <c r="L90" s="20">
        <f>SUMIFS('Registre de reserves'!$U$2:$U$1178,'Registre de reserves'!$T$2:$T$1178,"NO",'Registre de reserves'!$I$2:$I$1178,'2024'!$A90,'Registre de reserves'!$B$2:$B$1178,'2024'!L$2,Tabla1[ANY],'2024'!$Z$76)</f>
        <v>0</v>
      </c>
      <c r="M90" s="21">
        <f t="shared" si="91"/>
        <v>0</v>
      </c>
      <c r="N90" s="20">
        <f>SUMIFS('Registre de reserves'!$U$2:$U$1178,'Registre de reserves'!$T$2:$T$1178,"NO",'Registre de reserves'!$I$2:$I$1178,'2024'!$A90,'Registre de reserves'!$B$2:$B$1178,'2024'!N$2,Tabla1[ANY],'2024'!$Z$76)</f>
        <v>0</v>
      </c>
      <c r="O90" s="21">
        <f t="shared" si="92"/>
        <v>0</v>
      </c>
      <c r="P90" s="20">
        <f>SUMIFS('Registre de reserves'!$U$2:$U$1178,'Registre de reserves'!$T$2:$T$1178,"NO",'Registre de reserves'!$I$2:$I$1178,'2024'!$A90,'Registre de reserves'!$B$2:$B$1178,'2024'!P$2,Tabla1[ANY],'2024'!$Z$76)</f>
        <v>0</v>
      </c>
      <c r="Q90" s="21">
        <f t="shared" si="93"/>
        <v>0</v>
      </c>
      <c r="R90" s="20">
        <f>SUMIFS('Registre de reserves'!$U$2:$U$1178,'Registre de reserves'!$T$2:$T$1178,"NO",'Registre de reserves'!$I$2:$I$1178,'2024'!$A90,'Registre de reserves'!$B$2:$B$1178,'2024'!R$2,Tabla1[ANY],'2024'!$Z$76)</f>
        <v>0</v>
      </c>
      <c r="S90" s="21">
        <f t="shared" si="94"/>
        <v>0</v>
      </c>
      <c r="T90" s="20">
        <f>SUMIFS('Registre de reserves'!$U$2:$U$1178,'Registre de reserves'!$T$2:$T$1178,"NO",'Registre de reserves'!$I$2:$I$1178,'2024'!$A90,'Registre de reserves'!$B$2:$B$1178,'2024'!T$2,Tabla1[ANY],'2024'!$Z$76)</f>
        <v>0</v>
      </c>
      <c r="U90" s="21">
        <f t="shared" si="95"/>
        <v>0</v>
      </c>
      <c r="V90" s="20">
        <f>SUMIFS('Registre de reserves'!$U$2:$U$1178,'Registre de reserves'!$T$2:$T$1178,"NO",'Registre de reserves'!$I$2:$I$1178,'2024'!$A90,'Registre de reserves'!$B$2:$B$1178,'2024'!V$2,Tabla1[ANY],'2024'!$Z$76)</f>
        <v>0</v>
      </c>
      <c r="W90" s="21">
        <f t="shared" si="96"/>
        <v>0</v>
      </c>
      <c r="X90" s="20">
        <f>SUMIFS('Registre de reserves'!$U$2:$U$1178,'Registre de reserves'!$T$2:$T$1178,"NO",'Registre de reserves'!$I$2:$I$1178,'2024'!$A90,'Registre de reserves'!$B$2:$B$1178,'2024'!X$2,Tabla1[ANY],'2024'!$Z$76)</f>
        <v>0</v>
      </c>
      <c r="Y90" s="21">
        <f t="shared" si="97"/>
        <v>0</v>
      </c>
      <c r="Z90" s="20">
        <f t="shared" si="100"/>
        <v>0</v>
      </c>
      <c r="AA90" s="21">
        <f t="shared" si="98"/>
        <v>0</v>
      </c>
    </row>
    <row r="91" spans="1:27" hidden="1" outlineLevel="1" x14ac:dyDescent="0.2">
      <c r="A91" s="8" t="s">
        <v>71</v>
      </c>
      <c r="B91" s="20">
        <f>SUMIFS('Registre de reserves'!$U$2:$U$1178,'Registre de reserves'!$T$2:$T$1178,"NO",'Registre de reserves'!$I$2:$I$1178,'2024'!$A91,'Registre de reserves'!$B$2:$B$1178,'2024'!B$2,Tabla1[ANY],'2024'!$Z$76)</f>
        <v>0</v>
      </c>
      <c r="C91" s="21">
        <f t="shared" si="99"/>
        <v>0</v>
      </c>
      <c r="D91" s="20">
        <f>SUMIFS('Registre de reserves'!$U$2:$U$1178,'Registre de reserves'!$T$2:$T$1178,"NO",'Registre de reserves'!$I$2:$I$1178,'2024'!$A91,'Registre de reserves'!$B$2:$B$1178,'2024'!D$2,Tabla1[ANY],'2024'!$Z$76)</f>
        <v>0</v>
      </c>
      <c r="E91" s="21">
        <f>IF(D$87=0,0,D91/D$87)</f>
        <v>0</v>
      </c>
      <c r="F91" s="20">
        <f>SUMIFS('Registre de reserves'!$U$2:$U$1178,'Registre de reserves'!$T$2:$T$1178,"NO",'Registre de reserves'!$I$2:$I$1178,'2024'!$A91,'Registre de reserves'!$B$2:$B$1178,'2024'!F$2,Tabla1[ANY],'2024'!$Z$76)</f>
        <v>0</v>
      </c>
      <c r="G91" s="21">
        <f t="shared" si="88"/>
        <v>0</v>
      </c>
      <c r="H91" s="20">
        <f>SUMIFS('Registre de reserves'!$U$2:$U$1178,'Registre de reserves'!$T$2:$T$1178,"NO",'Registre de reserves'!$I$2:$I$1178,'2024'!$A91,'Registre de reserves'!$B$2:$B$1178,'2024'!H$2,Tabla1[ANY],'2024'!$Z$76)</f>
        <v>0</v>
      </c>
      <c r="I91" s="21">
        <f t="shared" si="89"/>
        <v>0</v>
      </c>
      <c r="J91" s="20">
        <f>SUMIFS('Registre de reserves'!$U$2:$U$1178,'Registre de reserves'!$T$2:$T$1178,"NO",'Registre de reserves'!$I$2:$I$1178,'2024'!$A91,'Registre de reserves'!$B$2:$B$1178,'2024'!J$2,Tabla1[ANY],'2024'!$Z$76)</f>
        <v>0</v>
      </c>
      <c r="K91" s="21">
        <f t="shared" si="90"/>
        <v>0</v>
      </c>
      <c r="L91" s="20">
        <f>SUMIFS('Registre de reserves'!$U$2:$U$1178,'Registre de reserves'!$T$2:$T$1178,"NO",'Registre de reserves'!$I$2:$I$1178,'2024'!$A91,'Registre de reserves'!$B$2:$B$1178,'2024'!L$2,Tabla1[ANY],'2024'!$Z$76)</f>
        <v>0</v>
      </c>
      <c r="M91" s="21">
        <f t="shared" si="91"/>
        <v>0</v>
      </c>
      <c r="N91" s="20">
        <f>SUMIFS('Registre de reserves'!$U$2:$U$1178,'Registre de reserves'!$T$2:$T$1178,"NO",'Registre de reserves'!$I$2:$I$1178,'2024'!$A91,'Registre de reserves'!$B$2:$B$1178,'2024'!N$2,Tabla1[ANY],'2024'!$Z$76)</f>
        <v>0</v>
      </c>
      <c r="O91" s="21">
        <f t="shared" si="92"/>
        <v>0</v>
      </c>
      <c r="P91" s="20">
        <f>SUMIFS('Registre de reserves'!$U$2:$U$1178,'Registre de reserves'!$T$2:$T$1178,"NO",'Registre de reserves'!$I$2:$I$1178,'2024'!$A91,'Registre de reserves'!$B$2:$B$1178,'2024'!P$2,Tabla1[ANY],'2024'!$Z$76)</f>
        <v>0</v>
      </c>
      <c r="Q91" s="21">
        <f t="shared" si="93"/>
        <v>0</v>
      </c>
      <c r="R91" s="20">
        <f>SUMIFS('Registre de reserves'!$U$2:$U$1178,'Registre de reserves'!$T$2:$T$1178,"NO",'Registre de reserves'!$I$2:$I$1178,'2024'!$A91,'Registre de reserves'!$B$2:$B$1178,'2024'!R$2,Tabla1[ANY],'2024'!$Z$76)</f>
        <v>0</v>
      </c>
      <c r="S91" s="21">
        <f t="shared" si="94"/>
        <v>0</v>
      </c>
      <c r="T91" s="20">
        <f>SUMIFS('Registre de reserves'!$U$2:$U$1178,'Registre de reserves'!$T$2:$T$1178,"NO",'Registre de reserves'!$I$2:$I$1178,'2024'!$A91,'Registre de reserves'!$B$2:$B$1178,'2024'!T$2,Tabla1[ANY],'2024'!$Z$76)</f>
        <v>0</v>
      </c>
      <c r="U91" s="21">
        <f t="shared" si="95"/>
        <v>0</v>
      </c>
      <c r="V91" s="20">
        <f>SUMIFS('Registre de reserves'!$U$2:$U$1178,'Registre de reserves'!$T$2:$T$1178,"NO",'Registre de reserves'!$I$2:$I$1178,'2024'!$A91,'Registre de reserves'!$B$2:$B$1178,'2024'!V$2,Tabla1[ANY],'2024'!$Z$76)</f>
        <v>0</v>
      </c>
      <c r="W91" s="21">
        <f t="shared" si="96"/>
        <v>0</v>
      </c>
      <c r="X91" s="20">
        <f>SUMIFS('Registre de reserves'!$U$2:$U$1178,'Registre de reserves'!$T$2:$T$1178,"NO",'Registre de reserves'!$I$2:$I$1178,'2024'!$A91,'Registre de reserves'!$B$2:$B$1178,'2024'!X$2,Tabla1[ANY],'2024'!$Z$76)</f>
        <v>0</v>
      </c>
      <c r="Y91" s="21">
        <f t="shared" si="97"/>
        <v>0</v>
      </c>
      <c r="Z91" s="20">
        <f t="shared" si="100"/>
        <v>0</v>
      </c>
      <c r="AA91" s="21">
        <f t="shared" si="98"/>
        <v>0</v>
      </c>
    </row>
    <row r="92" spans="1:27" hidden="1" outlineLevel="1" x14ac:dyDescent="0.2">
      <c r="A92" s="8" t="s">
        <v>72</v>
      </c>
      <c r="B92" s="20">
        <f>SUMIFS('Registre de reserves'!$U$2:$U$1178,'Registre de reserves'!$T$2:$T$1178,"NO",'Registre de reserves'!$I$2:$I$1178,'2024'!$A92,'Registre de reserves'!$B$2:$B$1178,'2024'!B$2,Tabla1[ANY],'2024'!$Z$76)</f>
        <v>0</v>
      </c>
      <c r="C92" s="21">
        <f t="shared" si="99"/>
        <v>0</v>
      </c>
      <c r="D92" s="20">
        <f>SUMIFS('Registre de reserves'!$U$2:$U$1178,'Registre de reserves'!$T$2:$T$1178,"NO",'Registre de reserves'!$I$2:$I$1178,'2024'!$A92,'Registre de reserves'!$B$2:$B$1178,'2024'!D$2,Tabla1[ANY],'2024'!$Z$76)</f>
        <v>0</v>
      </c>
      <c r="E92" s="21">
        <f t="shared" si="99"/>
        <v>0</v>
      </c>
      <c r="F92" s="20">
        <f>SUMIFS('Registre de reserves'!$U$2:$U$1178,'Registre de reserves'!$T$2:$T$1178,"NO",'Registre de reserves'!$I$2:$I$1178,'2024'!$A92,'Registre de reserves'!$B$2:$B$1178,'2024'!F$2,Tabla1[ANY],'2024'!$Z$76)</f>
        <v>0</v>
      </c>
      <c r="G92" s="21">
        <f t="shared" si="88"/>
        <v>0</v>
      </c>
      <c r="H92" s="20">
        <f>SUMIFS('Registre de reserves'!$U$2:$U$1178,'Registre de reserves'!$T$2:$T$1178,"NO",'Registre de reserves'!$I$2:$I$1178,'2024'!$A92,'Registre de reserves'!$B$2:$B$1178,'2024'!H$2,Tabla1[ANY],'2024'!$Z$76)</f>
        <v>0</v>
      </c>
      <c r="I92" s="21">
        <f t="shared" si="89"/>
        <v>0</v>
      </c>
      <c r="J92" s="20">
        <f>SUMIFS('Registre de reserves'!$U$2:$U$1178,'Registre de reserves'!$T$2:$T$1178,"NO",'Registre de reserves'!$I$2:$I$1178,'2024'!$A92,'Registre de reserves'!$B$2:$B$1178,'2024'!J$2,Tabla1[ANY],'2024'!$Z$76)</f>
        <v>0</v>
      </c>
      <c r="K92" s="21">
        <f t="shared" si="90"/>
        <v>0</v>
      </c>
      <c r="L92" s="20">
        <f>SUMIFS('Registre de reserves'!$U$2:$U$1178,'Registre de reserves'!$T$2:$T$1178,"NO",'Registre de reserves'!$I$2:$I$1178,'2024'!$A92,'Registre de reserves'!$B$2:$B$1178,'2024'!L$2,Tabla1[ANY],'2024'!$Z$76)</f>
        <v>0</v>
      </c>
      <c r="M92" s="21">
        <f t="shared" si="91"/>
        <v>0</v>
      </c>
      <c r="N92" s="20">
        <f>SUMIFS('Registre de reserves'!$U$2:$U$1178,'Registre de reserves'!$T$2:$T$1178,"NO",'Registre de reserves'!$I$2:$I$1178,'2024'!$A92,'Registre de reserves'!$B$2:$B$1178,'2024'!N$2,Tabla1[ANY],'2024'!$Z$76)</f>
        <v>0</v>
      </c>
      <c r="O92" s="21">
        <f t="shared" si="92"/>
        <v>0</v>
      </c>
      <c r="P92" s="20">
        <f>SUMIFS('Registre de reserves'!$U$2:$U$1178,'Registre de reserves'!$T$2:$T$1178,"NO",'Registre de reserves'!$I$2:$I$1178,'2024'!$A92,'Registre de reserves'!$B$2:$B$1178,'2024'!P$2,Tabla1[ANY],'2024'!$Z$76)</f>
        <v>0</v>
      </c>
      <c r="Q92" s="21">
        <f t="shared" si="93"/>
        <v>0</v>
      </c>
      <c r="R92" s="20">
        <f>SUMIFS('Registre de reserves'!$U$2:$U$1178,'Registre de reserves'!$T$2:$T$1178,"NO",'Registre de reserves'!$I$2:$I$1178,'2024'!$A92,'Registre de reserves'!$B$2:$B$1178,'2024'!R$2,Tabla1[ANY],'2024'!$Z$76)</f>
        <v>0</v>
      </c>
      <c r="S92" s="21">
        <f t="shared" si="94"/>
        <v>0</v>
      </c>
      <c r="T92" s="20">
        <f>SUMIFS('Registre de reserves'!$U$2:$U$1178,'Registre de reserves'!$T$2:$T$1178,"NO",'Registre de reserves'!$I$2:$I$1178,'2024'!$A92,'Registre de reserves'!$B$2:$B$1178,'2024'!T$2,Tabla1[ANY],'2024'!$Z$76)</f>
        <v>0</v>
      </c>
      <c r="U92" s="21">
        <f t="shared" si="95"/>
        <v>0</v>
      </c>
      <c r="V92" s="20">
        <f>SUMIFS('Registre de reserves'!$U$2:$U$1178,'Registre de reserves'!$T$2:$T$1178,"NO",'Registre de reserves'!$I$2:$I$1178,'2024'!$A92,'Registre de reserves'!$B$2:$B$1178,'2024'!V$2,Tabla1[ANY],'2024'!$Z$76)</f>
        <v>0</v>
      </c>
      <c r="W92" s="21">
        <f t="shared" si="96"/>
        <v>0</v>
      </c>
      <c r="X92" s="20">
        <f>SUMIFS('Registre de reserves'!$U$2:$U$1178,'Registre de reserves'!$T$2:$T$1178,"NO",'Registre de reserves'!$I$2:$I$1178,'2024'!$A92,'Registre de reserves'!$B$2:$B$1178,'2024'!X$2,Tabla1[ANY],'2024'!$Z$76)</f>
        <v>0</v>
      </c>
      <c r="Y92" s="21">
        <f t="shared" si="97"/>
        <v>0</v>
      </c>
      <c r="Z92" s="20">
        <f t="shared" si="100"/>
        <v>0</v>
      </c>
      <c r="AA92" s="21">
        <f t="shared" si="98"/>
        <v>0</v>
      </c>
    </row>
    <row r="93" spans="1:27" hidden="1" outlineLevel="1" x14ac:dyDescent="0.2">
      <c r="A93" s="8" t="s">
        <v>69</v>
      </c>
      <c r="B93" s="20">
        <f>SUMIFS('Registre de reserves'!$U$2:$U$1178,'Registre de reserves'!$T$2:$T$1178,"NO",'Registre de reserves'!$I$2:$I$1178,'2024'!$A93,'Registre de reserves'!$B$2:$B$1178,'2024'!B$2,Tabla1[ANY],'2024'!$Z$76)</f>
        <v>0</v>
      </c>
      <c r="C93" s="21">
        <f t="shared" si="99"/>
        <v>0</v>
      </c>
      <c r="D93" s="20">
        <f>SUMIFS('Registre de reserves'!$U$2:$U$1178,'Registre de reserves'!$T$2:$T$1178,"NO",'Registre de reserves'!$I$2:$I$1178,'2024'!$A93,'Registre de reserves'!$B$2:$B$1178,'2024'!D$2,Tabla1[ANY],'2024'!$Z$76)</f>
        <v>0</v>
      </c>
      <c r="E93" s="21">
        <f t="shared" si="99"/>
        <v>0</v>
      </c>
      <c r="F93" s="20">
        <f>SUMIFS('Registre de reserves'!$U$2:$U$1178,'Registre de reserves'!$T$2:$T$1178,"NO",'Registre de reserves'!$I$2:$I$1178,'2024'!$A93,'Registre de reserves'!$B$2:$B$1178,'2024'!F$2,Tabla1[ANY],'2024'!$Z$76)</f>
        <v>0</v>
      </c>
      <c r="G93" s="21">
        <f t="shared" si="88"/>
        <v>0</v>
      </c>
      <c r="H93" s="20">
        <f>SUMIFS('Registre de reserves'!$U$2:$U$1178,'Registre de reserves'!$T$2:$T$1178,"NO",'Registre de reserves'!$I$2:$I$1178,'2024'!$A93,'Registre de reserves'!$B$2:$B$1178,'2024'!H$2,Tabla1[ANY],'2024'!$Z$76)</f>
        <v>0</v>
      </c>
      <c r="I93" s="21">
        <f t="shared" si="89"/>
        <v>0</v>
      </c>
      <c r="J93" s="20">
        <f>SUMIFS('Registre de reserves'!$U$2:$U$1178,'Registre de reserves'!$T$2:$T$1178,"NO",'Registre de reserves'!$I$2:$I$1178,'2024'!$A93,'Registre de reserves'!$B$2:$B$1178,'2024'!J$2,Tabla1[ANY],'2024'!$Z$76)</f>
        <v>0</v>
      </c>
      <c r="K93" s="21">
        <f t="shared" si="90"/>
        <v>0</v>
      </c>
      <c r="L93" s="20">
        <f>SUMIFS('Registre de reserves'!$U$2:$U$1178,'Registre de reserves'!$T$2:$T$1178,"NO",'Registre de reserves'!$I$2:$I$1178,'2024'!$A93,'Registre de reserves'!$B$2:$B$1178,'2024'!L$2,Tabla1[ANY],'2024'!$Z$76)</f>
        <v>0</v>
      </c>
      <c r="M93" s="21">
        <f t="shared" si="91"/>
        <v>0</v>
      </c>
      <c r="N93" s="20">
        <f>SUMIFS('Registre de reserves'!$U$2:$U$1178,'Registre de reserves'!$T$2:$T$1178,"NO",'Registre de reserves'!$I$2:$I$1178,'2024'!$A93,'Registre de reserves'!$B$2:$B$1178,'2024'!N$2,Tabla1[ANY],'2024'!$Z$76)</f>
        <v>0</v>
      </c>
      <c r="O93" s="21">
        <f t="shared" si="92"/>
        <v>0</v>
      </c>
      <c r="P93" s="20">
        <f>SUMIFS('Registre de reserves'!$U$2:$U$1178,'Registre de reserves'!$T$2:$T$1178,"NO",'Registre de reserves'!$I$2:$I$1178,'2024'!$A93,'Registre de reserves'!$B$2:$B$1178,'2024'!P$2,Tabla1[ANY],'2024'!$Z$76)</f>
        <v>0</v>
      </c>
      <c r="Q93" s="21">
        <f t="shared" si="93"/>
        <v>0</v>
      </c>
      <c r="R93" s="20">
        <f>SUMIFS('Registre de reserves'!$U$2:$U$1178,'Registre de reserves'!$T$2:$T$1178,"NO",'Registre de reserves'!$I$2:$I$1178,'2024'!$A93,'Registre de reserves'!$B$2:$B$1178,'2024'!R$2,Tabla1[ANY],'2024'!$Z$76)</f>
        <v>0</v>
      </c>
      <c r="S93" s="21">
        <f t="shared" si="94"/>
        <v>0</v>
      </c>
      <c r="T93" s="20">
        <f>SUMIFS('Registre de reserves'!$U$2:$U$1178,'Registre de reserves'!$T$2:$T$1178,"NO",'Registre de reserves'!$I$2:$I$1178,'2024'!$A93,'Registre de reserves'!$B$2:$B$1178,'2024'!T$2,Tabla1[ANY],'2024'!$Z$76)</f>
        <v>0</v>
      </c>
      <c r="U93" s="21">
        <f t="shared" si="95"/>
        <v>0</v>
      </c>
      <c r="V93" s="20">
        <f>SUMIFS('Registre de reserves'!$U$2:$U$1178,'Registre de reserves'!$T$2:$T$1178,"NO",'Registre de reserves'!$I$2:$I$1178,'2024'!$A93,'Registre de reserves'!$B$2:$B$1178,'2024'!V$2,Tabla1[ANY],'2024'!$Z$76)</f>
        <v>0</v>
      </c>
      <c r="W93" s="21">
        <f t="shared" si="96"/>
        <v>0</v>
      </c>
      <c r="X93" s="20">
        <f>SUMIFS('Registre de reserves'!$U$2:$U$1178,'Registre de reserves'!$T$2:$T$1178,"NO",'Registre de reserves'!$I$2:$I$1178,'2024'!$A93,'Registre de reserves'!$B$2:$B$1178,'2024'!X$2,Tabla1[ANY],'2024'!$Z$76)</f>
        <v>0</v>
      </c>
      <c r="Y93" s="21">
        <f t="shared" si="97"/>
        <v>0</v>
      </c>
      <c r="Z93" s="20">
        <f t="shared" si="100"/>
        <v>0</v>
      </c>
      <c r="AA93" s="21">
        <f t="shared" si="98"/>
        <v>0</v>
      </c>
    </row>
    <row r="94" spans="1:27" hidden="1" outlineLevel="1" x14ac:dyDescent="0.2">
      <c r="A94" s="8" t="s">
        <v>70</v>
      </c>
      <c r="B94" s="20">
        <f>SUMIFS('Registre de reserves'!$U$2:$U$1178,'Registre de reserves'!$T$2:$T$1178,"NO",'Registre de reserves'!$I$2:$I$1178,'2024'!$A94,'Registre de reserves'!$B$2:$B$1178,'2024'!B$2,Tabla1[ANY],'2024'!$Z$76)</f>
        <v>0</v>
      </c>
      <c r="C94" s="21">
        <f t="shared" si="99"/>
        <v>0</v>
      </c>
      <c r="D94" s="20">
        <f>SUMIFS('Registre de reserves'!$U$2:$U$1178,'Registre de reserves'!$T$2:$T$1178,"NO",'Registre de reserves'!$I$2:$I$1178,'2024'!$A94,'Registre de reserves'!$B$2:$B$1178,'2024'!D$2,Tabla1[ANY],'2024'!$Z$76)</f>
        <v>0</v>
      </c>
      <c r="E94" s="21">
        <f t="shared" si="99"/>
        <v>0</v>
      </c>
      <c r="F94" s="20">
        <f>SUMIFS('Registre de reserves'!$U$2:$U$1178,'Registre de reserves'!$T$2:$T$1178,"NO",'Registre de reserves'!$I$2:$I$1178,'2024'!$A94,'Registre de reserves'!$B$2:$B$1178,'2024'!F$2,Tabla1[ANY],'2024'!$Z$76)</f>
        <v>0</v>
      </c>
      <c r="G94" s="21">
        <f t="shared" si="88"/>
        <v>0</v>
      </c>
      <c r="H94" s="20">
        <f>SUMIFS('Registre de reserves'!$U$2:$U$1178,'Registre de reserves'!$T$2:$T$1178,"NO",'Registre de reserves'!$I$2:$I$1178,'2024'!$A94,'Registre de reserves'!$B$2:$B$1178,'2024'!H$2,Tabla1[ANY],'2024'!$Z$76)</f>
        <v>0</v>
      </c>
      <c r="I94" s="21">
        <f t="shared" si="89"/>
        <v>0</v>
      </c>
      <c r="J94" s="20">
        <f>SUMIFS('Registre de reserves'!$U$2:$U$1178,'Registre de reserves'!$T$2:$T$1178,"NO",'Registre de reserves'!$I$2:$I$1178,'2024'!$A94,'Registre de reserves'!$B$2:$B$1178,'2024'!J$2,Tabla1[ANY],'2024'!$Z$76)</f>
        <v>0</v>
      </c>
      <c r="K94" s="21">
        <f t="shared" si="90"/>
        <v>0</v>
      </c>
      <c r="L94" s="20">
        <f>SUMIFS('Registre de reserves'!$U$2:$U$1178,'Registre de reserves'!$T$2:$T$1178,"NO",'Registre de reserves'!$I$2:$I$1178,'2024'!$A94,'Registre de reserves'!$B$2:$B$1178,'2024'!L$2,Tabla1[ANY],'2024'!$Z$76)</f>
        <v>0</v>
      </c>
      <c r="M94" s="21">
        <f t="shared" si="91"/>
        <v>0</v>
      </c>
      <c r="N94" s="20">
        <f>SUMIFS('Registre de reserves'!$U$2:$U$1178,'Registre de reserves'!$T$2:$T$1178,"NO",'Registre de reserves'!$I$2:$I$1178,'2024'!$A94,'Registre de reserves'!$B$2:$B$1178,'2024'!N$2,Tabla1[ANY],'2024'!$Z$76)</f>
        <v>0</v>
      </c>
      <c r="O94" s="21">
        <f t="shared" si="92"/>
        <v>0</v>
      </c>
      <c r="P94" s="20">
        <f>SUMIFS('Registre de reserves'!$U$2:$U$1178,'Registre de reserves'!$T$2:$T$1178,"NO",'Registre de reserves'!$I$2:$I$1178,'2024'!$A94,'Registre de reserves'!$B$2:$B$1178,'2024'!P$2,Tabla1[ANY],'2024'!$Z$76)</f>
        <v>0</v>
      </c>
      <c r="Q94" s="21">
        <f t="shared" si="93"/>
        <v>0</v>
      </c>
      <c r="R94" s="20">
        <f>SUMIFS('Registre de reserves'!$U$2:$U$1178,'Registre de reserves'!$T$2:$T$1178,"NO",'Registre de reserves'!$I$2:$I$1178,'2024'!$A94,'Registre de reserves'!$B$2:$B$1178,'2024'!R$2,Tabla1[ANY],'2024'!$Z$76)</f>
        <v>0</v>
      </c>
      <c r="S94" s="21">
        <f t="shared" si="94"/>
        <v>0</v>
      </c>
      <c r="T94" s="20">
        <f>SUMIFS('Registre de reserves'!$U$2:$U$1178,'Registre de reserves'!$T$2:$T$1178,"NO",'Registre de reserves'!$I$2:$I$1178,'2024'!$A94,'Registre de reserves'!$B$2:$B$1178,'2024'!T$2,Tabla1[ANY],'2024'!$Z$76)</f>
        <v>0</v>
      </c>
      <c r="U94" s="21">
        <f t="shared" si="95"/>
        <v>0</v>
      </c>
      <c r="V94" s="20">
        <f>SUMIFS('Registre de reserves'!$U$2:$U$1178,'Registre de reserves'!$T$2:$T$1178,"NO",'Registre de reserves'!$I$2:$I$1178,'2024'!$A94,'Registre de reserves'!$B$2:$B$1178,'2024'!V$2,Tabla1[ANY],'2024'!$Z$76)</f>
        <v>0</v>
      </c>
      <c r="W94" s="21">
        <f t="shared" si="96"/>
        <v>0</v>
      </c>
      <c r="X94" s="20">
        <f>SUMIFS('Registre de reserves'!$U$2:$U$1178,'Registre de reserves'!$T$2:$T$1178,"NO",'Registre de reserves'!$I$2:$I$1178,'2024'!$A94,'Registre de reserves'!$B$2:$B$1178,'2024'!X$2,Tabla1[ANY],'2024'!$Z$76)</f>
        <v>0</v>
      </c>
      <c r="Y94" s="21">
        <f t="shared" si="97"/>
        <v>0</v>
      </c>
      <c r="Z94" s="20">
        <f t="shared" si="100"/>
        <v>0</v>
      </c>
      <c r="AA94" s="21">
        <f t="shared" si="98"/>
        <v>0</v>
      </c>
    </row>
    <row r="95" spans="1:27" hidden="1" outlineLevel="1" x14ac:dyDescent="0.2">
      <c r="A95" s="8" t="s">
        <v>73</v>
      </c>
      <c r="B95" s="20">
        <f>SUMIFS('Registre de reserves'!$U$2:$U$1178,'Registre de reserves'!$T$2:$T$1178,"NO",'Registre de reserves'!$I$2:$I$1178,'2024'!$A95,'Registre de reserves'!$B$2:$B$1178,'2024'!B$2,Tabla1[ANY],'2024'!$Z$76)</f>
        <v>0</v>
      </c>
      <c r="C95" s="21">
        <f>IF(B$87=0,0,B95/B$87)</f>
        <v>0</v>
      </c>
      <c r="D95" s="20">
        <f>SUMIFS('Registre de reserves'!$U$2:$U$1178,'Registre de reserves'!$T$2:$T$1178,"NO",'Registre de reserves'!$I$2:$I$1178,'2024'!$A95,'Registre de reserves'!$B$2:$B$1178,'2024'!D$2,Tabla1[ANY],'2024'!$Z$76)</f>
        <v>0</v>
      </c>
      <c r="E95" s="21">
        <f>IF(D$87=0,0,D95/D$87)</f>
        <v>0</v>
      </c>
      <c r="F95" s="20">
        <f>SUMIFS('Registre de reserves'!$U$2:$U$1178,'Registre de reserves'!$T$2:$T$1178,"NO",'Registre de reserves'!$I$2:$I$1178,'2024'!$A95,'Registre de reserves'!$B$2:$B$1178,'2024'!F$2,Tabla1[ANY],'2024'!$Z$76)</f>
        <v>0</v>
      </c>
      <c r="G95" s="21">
        <f t="shared" si="88"/>
        <v>0</v>
      </c>
      <c r="H95" s="20">
        <f>SUMIFS('Registre de reserves'!$U$2:$U$1178,'Registre de reserves'!$T$2:$T$1178,"NO",'Registre de reserves'!$I$2:$I$1178,'2024'!$A95,'Registre de reserves'!$B$2:$B$1178,'2024'!H$2,Tabla1[ANY],'2024'!$Z$76)</f>
        <v>0</v>
      </c>
      <c r="I95" s="21">
        <f t="shared" si="89"/>
        <v>0</v>
      </c>
      <c r="J95" s="20">
        <f>SUMIFS('Registre de reserves'!$U$2:$U$1178,'Registre de reserves'!$T$2:$T$1178,"NO",'Registre de reserves'!$I$2:$I$1178,'2024'!$A95,'Registre de reserves'!$B$2:$B$1178,'2024'!J$2,Tabla1[ANY],'2024'!$Z$76)</f>
        <v>0</v>
      </c>
      <c r="K95" s="21">
        <f t="shared" si="90"/>
        <v>0</v>
      </c>
      <c r="L95" s="20">
        <f>SUMIFS('Registre de reserves'!$U$2:$U$1178,'Registre de reserves'!$T$2:$T$1178,"NO",'Registre de reserves'!$I$2:$I$1178,'2024'!$A95,'Registre de reserves'!$B$2:$B$1178,'2024'!L$2,Tabla1[ANY],'2024'!$Z$76)</f>
        <v>0</v>
      </c>
      <c r="M95" s="21">
        <f t="shared" si="91"/>
        <v>0</v>
      </c>
      <c r="N95" s="20">
        <f>SUMIFS('Registre de reserves'!$U$2:$U$1178,'Registre de reserves'!$T$2:$T$1178,"NO",'Registre de reserves'!$I$2:$I$1178,'2024'!$A95,'Registre de reserves'!$B$2:$B$1178,'2024'!N$2,Tabla1[ANY],'2024'!$Z$76)</f>
        <v>0</v>
      </c>
      <c r="O95" s="21">
        <f t="shared" si="92"/>
        <v>0</v>
      </c>
      <c r="P95" s="20">
        <f>SUMIFS('Registre de reserves'!$U$2:$U$1178,'Registre de reserves'!$T$2:$T$1178,"NO",'Registre de reserves'!$I$2:$I$1178,'2024'!$A95,'Registre de reserves'!$B$2:$B$1178,'2024'!P$2,Tabla1[ANY],'2024'!$Z$76)</f>
        <v>0</v>
      </c>
      <c r="Q95" s="21">
        <f t="shared" si="93"/>
        <v>0</v>
      </c>
      <c r="R95" s="20">
        <f>SUMIFS('Registre de reserves'!$U$2:$U$1178,'Registre de reserves'!$T$2:$T$1178,"NO",'Registre de reserves'!$I$2:$I$1178,'2024'!$A95,'Registre de reserves'!$B$2:$B$1178,'2024'!R$2,Tabla1[ANY],'2024'!$Z$76)</f>
        <v>0</v>
      </c>
      <c r="S95" s="21">
        <f t="shared" si="94"/>
        <v>0</v>
      </c>
      <c r="T95" s="20">
        <f>SUMIFS('Registre de reserves'!$U$2:$U$1178,'Registre de reserves'!$T$2:$T$1178,"NO",'Registre de reserves'!$I$2:$I$1178,'2024'!$A95,'Registre de reserves'!$B$2:$B$1178,'2024'!T$2,Tabla1[ANY],'2024'!$Z$76)</f>
        <v>0</v>
      </c>
      <c r="U95" s="21">
        <f t="shared" si="95"/>
        <v>0</v>
      </c>
      <c r="V95" s="20">
        <f>SUMIFS('Registre de reserves'!$U$2:$U$1178,'Registre de reserves'!$T$2:$T$1178,"NO",'Registre de reserves'!$I$2:$I$1178,'2024'!$A95,'Registre de reserves'!$B$2:$B$1178,'2024'!V$2,Tabla1[ANY],'2024'!$Z$76)</f>
        <v>0</v>
      </c>
      <c r="W95" s="21">
        <f t="shared" si="96"/>
        <v>0</v>
      </c>
      <c r="X95" s="20">
        <f>SUMIFS('Registre de reserves'!$U$2:$U$1178,'Registre de reserves'!$T$2:$T$1178,"NO",'Registre de reserves'!$I$2:$I$1178,'2024'!$A95,'Registre de reserves'!$B$2:$B$1178,'2024'!X$2,Tabla1[ANY],'2024'!$Z$76)</f>
        <v>0</v>
      </c>
      <c r="Y95" s="21">
        <f t="shared" si="97"/>
        <v>0</v>
      </c>
      <c r="Z95" s="20">
        <f t="shared" si="100"/>
        <v>0</v>
      </c>
      <c r="AA95" s="21">
        <f t="shared" si="98"/>
        <v>0</v>
      </c>
    </row>
    <row r="96" spans="1:27" collapsed="1" x14ac:dyDescent="0.2">
      <c r="A96" s="33" t="s">
        <v>75</v>
      </c>
      <c r="B96" s="22">
        <f>SUM(B97:B104)</f>
        <v>120</v>
      </c>
      <c r="C96" s="19">
        <f>IF(B$77=0,0,B96/B$77)</f>
        <v>5.7007125890736345E-2</v>
      </c>
      <c r="D96" s="22">
        <f>SUM(D97:D104)</f>
        <v>0</v>
      </c>
      <c r="E96" s="19">
        <f>IF(D$77=0,0,D96/D$77)</f>
        <v>0</v>
      </c>
      <c r="F96" s="22">
        <f>SUM(F97:F104)</f>
        <v>60</v>
      </c>
      <c r="G96" s="19">
        <f>IF(F$77=0,0,F96/F$77)</f>
        <v>1.9736842105263157E-2</v>
      </c>
      <c r="H96" s="22">
        <f>SUM(H97:H104)</f>
        <v>220</v>
      </c>
      <c r="I96" s="19">
        <f>IF(H$77=0,0,H96/H$77)</f>
        <v>9.4623655913978491E-2</v>
      </c>
      <c r="J96" s="22">
        <f>SUM(J97:J104)</f>
        <v>0</v>
      </c>
      <c r="K96" s="19">
        <f>IF(J$77=0,0,J96/J$77)</f>
        <v>0</v>
      </c>
      <c r="L96" s="22">
        <f>SUM(L97:L104)</f>
        <v>60</v>
      </c>
      <c r="M96" s="19">
        <f>IF(L$77=0,0,L96/L$77)</f>
        <v>3.2085561497326207E-2</v>
      </c>
      <c r="N96" s="22">
        <f>SUM(N97:N104)</f>
        <v>60</v>
      </c>
      <c r="O96" s="19">
        <f>IF(N$77=0,0,N96/N$77)</f>
        <v>4.6153846153846156E-2</v>
      </c>
      <c r="P96" s="22">
        <f>SUM(P97:P104)</f>
        <v>0</v>
      </c>
      <c r="Q96" s="19">
        <f>IF(P$77=0,0,P96/P$77)</f>
        <v>0</v>
      </c>
      <c r="R96" s="22">
        <f>SUM(R97:R104)</f>
        <v>370</v>
      </c>
      <c r="S96" s="19">
        <f>IF(R$77=0,0,R96/R$77)</f>
        <v>0.15711252653927812</v>
      </c>
      <c r="T96" s="22">
        <f>SUM(T97:T104)</f>
        <v>0</v>
      </c>
      <c r="U96" s="19">
        <f>IF(T$77=0,0,T96/T$77)</f>
        <v>0</v>
      </c>
      <c r="V96" s="22">
        <f>SUM(V97:V104)</f>
        <v>270</v>
      </c>
      <c r="W96" s="19">
        <f>IF(V$77=0,0,V96/V$77)</f>
        <v>9.3103448275862075E-2</v>
      </c>
      <c r="X96" s="22">
        <f>SUM(X97:X104)</f>
        <v>120</v>
      </c>
      <c r="Y96" s="19">
        <f>IF(X$77=0,0,X96/X$77)</f>
        <v>5.0314465408805034E-2</v>
      </c>
      <c r="Z96" s="22">
        <f>SUM(Z97:Z104)</f>
        <v>1280</v>
      </c>
      <c r="AA96" s="19">
        <f>IF(Z$77=0,0,Z96/Z$77)</f>
        <v>5.3657514147977363E-2</v>
      </c>
    </row>
    <row r="97" spans="1:27" hidden="1" outlineLevel="1" x14ac:dyDescent="0.2">
      <c r="A97" s="8" t="s">
        <v>67</v>
      </c>
      <c r="B97" s="23">
        <f>SUMIFS('Registre de reserves'!$W$2:$W$1178,'Registre de reserves'!$T$2:$T$1178,"SI",'Registre de reserves'!$I$2:$I$1178,'2024'!$A97,'Registre de reserves'!$B$2:$B$1178,'2024'!B$2,Tabla1[ANY],'2024'!$Z$76)</f>
        <v>0</v>
      </c>
      <c r="C97" s="21">
        <f>IF(B$96=0,0,B97/B$96)</f>
        <v>0</v>
      </c>
      <c r="D97" s="23">
        <f>SUMIFS('Registre de reserves'!$W$2:$W$1178,'Registre de reserves'!$T$2:$T$1178,"SI",'Registre de reserves'!$I$2:$I$1178,'2024'!$A97,'Registre de reserves'!$B$2:$B$1178,'2024'!D$2,Tabla1[ANY],'2024'!$Z$76)</f>
        <v>0</v>
      </c>
      <c r="E97" s="21">
        <f>IF(D$96=0,0,D97/D$96)</f>
        <v>0</v>
      </c>
      <c r="F97" s="23">
        <f>SUMIFS('Registre de reserves'!$W$2:$W$1178,'Registre de reserves'!$T$2:$T$1178,"SI",'Registre de reserves'!$I$2:$I$1178,'2024'!$A97,'Registre de reserves'!$B$2:$B$1178,'2024'!F$2,Tabla1[ANY],'2024'!$Z$76)</f>
        <v>0</v>
      </c>
      <c r="G97" s="21">
        <f t="shared" ref="G97:G104" si="101">IF(F$96=0,0,F97/F$96)</f>
        <v>0</v>
      </c>
      <c r="H97" s="23">
        <f>SUMIFS('Registre de reserves'!$W$2:$W$1178,'Registre de reserves'!$T$2:$T$1178,"SI",'Registre de reserves'!$I$2:$I$1178,'2024'!$A97,'Registre de reserves'!$B$2:$B$1178,'2024'!H$2,Tabla1[ANY],'2024'!$Z$76)</f>
        <v>0</v>
      </c>
      <c r="I97" s="21">
        <f t="shared" ref="I97:I104" si="102">IF(H$96=0,0,H97/H$96)</f>
        <v>0</v>
      </c>
      <c r="J97" s="23">
        <f>SUMIFS('Registre de reserves'!$W$2:$W$1178,'Registre de reserves'!$T$2:$T$1178,"SI",'Registre de reserves'!$I$2:$I$1178,'2024'!$A97,'Registre de reserves'!$B$2:$B$1178,'2024'!J$2,Tabla1[ANY],'2024'!$Z$76)</f>
        <v>0</v>
      </c>
      <c r="K97" s="21">
        <f t="shared" ref="K97:K104" si="103">IF(J$96=0,0,J97/J$96)</f>
        <v>0</v>
      </c>
      <c r="L97" s="23">
        <f>SUMIFS('Registre de reserves'!$W$2:$W$1178,'Registre de reserves'!$T$2:$T$1178,"SI",'Registre de reserves'!$I$2:$I$1178,'2024'!$A97,'Registre de reserves'!$B$2:$B$1178,'2024'!L$2,Tabla1[ANY],'2024'!$Z$76)</f>
        <v>0</v>
      </c>
      <c r="M97" s="21">
        <f t="shared" ref="M97:M104" si="104">IF(L$96=0,0,L97/L$96)</f>
        <v>0</v>
      </c>
      <c r="N97" s="23">
        <f>SUMIFS('Registre de reserves'!$W$2:$W$1178,'Registre de reserves'!$T$2:$T$1178,"SI",'Registre de reserves'!$I$2:$I$1178,'2024'!$A97,'Registre de reserves'!$B$2:$B$1178,'2024'!N$2,Tabla1[ANY],'2024'!$Z$76)</f>
        <v>0</v>
      </c>
      <c r="O97" s="21">
        <f t="shared" ref="O97:O104" si="105">IF(N$96=0,0,N97/N$96)</f>
        <v>0</v>
      </c>
      <c r="P97" s="23">
        <f>SUMIFS('Registre de reserves'!$W$2:$W$1178,'Registre de reserves'!$T$2:$T$1178,"SI",'Registre de reserves'!$I$2:$I$1178,'2024'!$A97,'Registre de reserves'!$B$2:$B$1178,'2024'!P$2,Tabla1[ANY],'2024'!$Z$76)</f>
        <v>0</v>
      </c>
      <c r="Q97" s="21">
        <f t="shared" ref="Q97:Q104" si="106">IF(P$96=0,0,P97/P$96)</f>
        <v>0</v>
      </c>
      <c r="R97" s="23">
        <f>SUMIFS('Registre de reserves'!$W$2:$W$1178,'Registre de reserves'!$T$2:$T$1178,"SI",'Registre de reserves'!$I$2:$I$1178,'2024'!$A97,'Registre de reserves'!$B$2:$B$1178,'2024'!R$2,Tabla1[ANY],'2024'!$Z$76)</f>
        <v>0</v>
      </c>
      <c r="S97" s="21">
        <f t="shared" ref="S97:S104" si="107">IF(R$96=0,0,R97/R$96)</f>
        <v>0</v>
      </c>
      <c r="T97" s="23">
        <f>SUMIFS('Registre de reserves'!$W$2:$W$1178,'Registre de reserves'!$T$2:$T$1178,"SI",'Registre de reserves'!$I$2:$I$1178,'2024'!$A97,'Registre de reserves'!$B$2:$B$1178,'2024'!T$2,Tabla1[ANY],'2024'!$Z$76)</f>
        <v>0</v>
      </c>
      <c r="U97" s="21">
        <f t="shared" ref="U97:U104" si="108">IF(T$96=0,0,T97/T$96)</f>
        <v>0</v>
      </c>
      <c r="V97" s="23">
        <f>SUMIFS('Registre de reserves'!$W$2:$W$1178,'Registre de reserves'!$T$2:$T$1178,"SI",'Registre de reserves'!$I$2:$I$1178,'2024'!$A97,'Registre de reserves'!$B$2:$B$1178,'2024'!V$2,Tabla1[ANY],'2024'!$Z$76)</f>
        <v>0</v>
      </c>
      <c r="W97" s="21">
        <f t="shared" ref="W97:W104" si="109">IF(V$96=0,0,V97/V$96)</f>
        <v>0</v>
      </c>
      <c r="X97" s="23">
        <f>SUMIFS('Registre de reserves'!$W$2:$W$1178,'Registre de reserves'!$T$2:$T$1178,"SI",'Registre de reserves'!$I$2:$I$1178,'2024'!$A97,'Registre de reserves'!$B$2:$B$1178,'2024'!X$2,Tabla1[ANY],'2024'!$Z$76)</f>
        <v>0</v>
      </c>
      <c r="Y97" s="21">
        <f t="shared" ref="Y97:Y104" si="110">IF(X$96=0,0,X97/X$96)</f>
        <v>0</v>
      </c>
      <c r="Z97" s="20">
        <f t="shared" si="100"/>
        <v>0</v>
      </c>
      <c r="AA97" s="21">
        <f t="shared" ref="AA97:AA104" si="111">IF(Z$96=0,0,Z97/Z$96)</f>
        <v>0</v>
      </c>
    </row>
    <row r="98" spans="1:27" hidden="1" outlineLevel="1" x14ac:dyDescent="0.2">
      <c r="A98" s="8" t="s">
        <v>68</v>
      </c>
      <c r="B98" s="23">
        <f>SUMIFS('Registre de reserves'!$W$2:$W$1178,'Registre de reserves'!$T$2:$T$1178,"SI",'Registre de reserves'!$I$2:$I$1178,'2024'!$A98,'Registre de reserves'!$B$2:$B$1178,'2024'!B$2,Tabla1[ANY],'2024'!$Z$76)</f>
        <v>0</v>
      </c>
      <c r="C98" s="21">
        <f t="shared" ref="C98:E104" si="112">IF(B$96=0,0,B98/B$96)</f>
        <v>0</v>
      </c>
      <c r="D98" s="23">
        <f>SUMIFS('Registre de reserves'!$W$2:$W$1178,'Registre de reserves'!$T$2:$T$1178,"SI",'Registre de reserves'!$I$2:$I$1178,'2024'!$A98,'Registre de reserves'!$B$2:$B$1178,'2024'!D$2,Tabla1[ANY],'2024'!$Z$76)</f>
        <v>0</v>
      </c>
      <c r="E98" s="21">
        <f t="shared" si="112"/>
        <v>0</v>
      </c>
      <c r="F98" s="23">
        <f>SUMIFS('Registre de reserves'!$W$2:$W$1178,'Registre de reserves'!$T$2:$T$1178,"SI",'Registre de reserves'!$I$2:$I$1178,'2024'!$A98,'Registre de reserves'!$B$2:$B$1178,'2024'!F$2,Tabla1[ANY],'2024'!$Z$76)</f>
        <v>0</v>
      </c>
      <c r="G98" s="21">
        <f t="shared" si="101"/>
        <v>0</v>
      </c>
      <c r="H98" s="23">
        <f>SUMIFS('Registre de reserves'!$W$2:$W$1178,'Registre de reserves'!$T$2:$T$1178,"SI",'Registre de reserves'!$I$2:$I$1178,'2024'!$A98,'Registre de reserves'!$B$2:$B$1178,'2024'!H$2,Tabla1[ANY],'2024'!$Z$76)</f>
        <v>0</v>
      </c>
      <c r="I98" s="21">
        <f t="shared" si="102"/>
        <v>0</v>
      </c>
      <c r="J98" s="23">
        <f>SUMIFS('Registre de reserves'!$W$2:$W$1178,'Registre de reserves'!$T$2:$T$1178,"SI",'Registre de reserves'!$I$2:$I$1178,'2024'!$A98,'Registre de reserves'!$B$2:$B$1178,'2024'!J$2,Tabla1[ANY],'2024'!$Z$76)</f>
        <v>0</v>
      </c>
      <c r="K98" s="21">
        <f t="shared" si="103"/>
        <v>0</v>
      </c>
      <c r="L98" s="23">
        <f>SUMIFS('Registre de reserves'!$W$2:$W$1178,'Registre de reserves'!$T$2:$T$1178,"SI",'Registre de reserves'!$I$2:$I$1178,'2024'!$A98,'Registre de reserves'!$B$2:$B$1178,'2024'!L$2,Tabla1[ANY],'2024'!$Z$76)</f>
        <v>0</v>
      </c>
      <c r="M98" s="21">
        <f t="shared" si="104"/>
        <v>0</v>
      </c>
      <c r="N98" s="23">
        <f>SUMIFS('Registre de reserves'!$W$2:$W$1178,'Registre de reserves'!$T$2:$T$1178,"SI",'Registre de reserves'!$I$2:$I$1178,'2024'!$A98,'Registre de reserves'!$B$2:$B$1178,'2024'!N$2,Tabla1[ANY],'2024'!$Z$76)</f>
        <v>0</v>
      </c>
      <c r="O98" s="21">
        <f t="shared" si="105"/>
        <v>0</v>
      </c>
      <c r="P98" s="23">
        <f>SUMIFS('Registre de reserves'!$W$2:$W$1178,'Registre de reserves'!$T$2:$T$1178,"SI",'Registre de reserves'!$I$2:$I$1178,'2024'!$A98,'Registre de reserves'!$B$2:$B$1178,'2024'!P$2,Tabla1[ANY],'2024'!$Z$76)</f>
        <v>0</v>
      </c>
      <c r="Q98" s="21">
        <f t="shared" si="106"/>
        <v>0</v>
      </c>
      <c r="R98" s="23">
        <f>SUMIFS('Registre de reserves'!$W$2:$W$1178,'Registre de reserves'!$T$2:$T$1178,"SI",'Registre de reserves'!$I$2:$I$1178,'2024'!$A98,'Registre de reserves'!$B$2:$B$1178,'2024'!R$2,Tabla1[ANY],'2024'!$Z$76)</f>
        <v>0</v>
      </c>
      <c r="S98" s="21">
        <f t="shared" si="107"/>
        <v>0</v>
      </c>
      <c r="T98" s="23">
        <f>SUMIFS('Registre de reserves'!$W$2:$W$1178,'Registre de reserves'!$T$2:$T$1178,"SI",'Registre de reserves'!$I$2:$I$1178,'2024'!$A98,'Registre de reserves'!$B$2:$B$1178,'2024'!T$2,Tabla1[ANY],'2024'!$Z$76)</f>
        <v>0</v>
      </c>
      <c r="U98" s="21">
        <f t="shared" si="108"/>
        <v>0</v>
      </c>
      <c r="V98" s="23">
        <f>SUMIFS('Registre de reserves'!$W$2:$W$1178,'Registre de reserves'!$T$2:$T$1178,"SI",'Registre de reserves'!$I$2:$I$1178,'2024'!$A98,'Registre de reserves'!$B$2:$B$1178,'2024'!V$2,Tabla1[ANY],'2024'!$Z$76)</f>
        <v>0</v>
      </c>
      <c r="W98" s="21">
        <f t="shared" si="109"/>
        <v>0</v>
      </c>
      <c r="X98" s="23">
        <f>SUMIFS('Registre de reserves'!$W$2:$W$1178,'Registre de reserves'!$T$2:$T$1178,"SI",'Registre de reserves'!$I$2:$I$1178,'2024'!$A98,'Registre de reserves'!$B$2:$B$1178,'2024'!X$2,Tabla1[ANY],'2024'!$Z$76)</f>
        <v>0</v>
      </c>
      <c r="Y98" s="21">
        <f t="shared" si="110"/>
        <v>0</v>
      </c>
      <c r="Z98" s="20">
        <f t="shared" si="100"/>
        <v>0</v>
      </c>
      <c r="AA98" s="21">
        <f t="shared" si="111"/>
        <v>0</v>
      </c>
    </row>
    <row r="99" spans="1:27" hidden="1" outlineLevel="1" x14ac:dyDescent="0.2">
      <c r="A99" s="8" t="s">
        <v>4</v>
      </c>
      <c r="B99" s="23">
        <f>SUMIFS('Registre de reserves'!$W$2:$W$1178,'Registre de reserves'!$T$2:$T$1178,"SI",'Registre de reserves'!$I$2:$I$1178,'2024'!$A99,'Registre de reserves'!$B$2:$B$1178,'2024'!B$2,Tabla1[ANY],'2024'!$Z$76)</f>
        <v>0</v>
      </c>
      <c r="C99" s="21">
        <f>IF(B$96=0,0,B99/B$96)</f>
        <v>0</v>
      </c>
      <c r="D99" s="23">
        <f>SUMIFS('Registre de reserves'!$W$2:$W$1178,'Registre de reserves'!$T$2:$T$1178,"SI",'Registre de reserves'!$I$2:$I$1178,'2024'!$A99,'Registre de reserves'!$B$2:$B$1178,'2024'!D$2,Tabla1[ANY],'2024'!$Z$76)</f>
        <v>0</v>
      </c>
      <c r="E99" s="21">
        <f>IF(D$96=0,0,D99/D$96)</f>
        <v>0</v>
      </c>
      <c r="F99" s="23">
        <f>SUMIFS('Registre de reserves'!$W$2:$W$1178,'Registre de reserves'!$T$2:$T$1178,"SI",'Registre de reserves'!$I$2:$I$1178,'2024'!$A99,'Registre de reserves'!$B$2:$B$1178,'2024'!F$2,Tabla1[ANY],'2024'!$Z$76)</f>
        <v>0</v>
      </c>
      <c r="G99" s="21">
        <f t="shared" si="101"/>
        <v>0</v>
      </c>
      <c r="H99" s="23">
        <f>SUMIFS('Registre de reserves'!$W$2:$W$1178,'Registre de reserves'!$T$2:$T$1178,"SI",'Registre de reserves'!$I$2:$I$1178,'2024'!$A99,'Registre de reserves'!$B$2:$B$1178,'2024'!H$2,Tabla1[ANY],'2024'!$Z$76)</f>
        <v>0</v>
      </c>
      <c r="I99" s="21">
        <f t="shared" si="102"/>
        <v>0</v>
      </c>
      <c r="J99" s="23">
        <f>SUMIFS('Registre de reserves'!$W$2:$W$1178,'Registre de reserves'!$T$2:$T$1178,"SI",'Registre de reserves'!$I$2:$I$1178,'2024'!$A99,'Registre de reserves'!$B$2:$B$1178,'2024'!J$2,Tabla1[ANY],'2024'!$Z$76)</f>
        <v>0</v>
      </c>
      <c r="K99" s="21">
        <f t="shared" si="103"/>
        <v>0</v>
      </c>
      <c r="L99" s="23">
        <f>SUMIFS('Registre de reserves'!$W$2:$W$1178,'Registre de reserves'!$T$2:$T$1178,"SI",'Registre de reserves'!$I$2:$I$1178,'2024'!$A99,'Registre de reserves'!$B$2:$B$1178,'2024'!L$2,Tabla1[ANY],'2024'!$Z$76)</f>
        <v>0</v>
      </c>
      <c r="M99" s="21">
        <f t="shared" si="104"/>
        <v>0</v>
      </c>
      <c r="N99" s="23">
        <f>SUMIFS('Registre de reserves'!$W$2:$W$1178,'Registre de reserves'!$T$2:$T$1178,"SI",'Registre de reserves'!$I$2:$I$1178,'2024'!$A99,'Registre de reserves'!$B$2:$B$1178,'2024'!N$2,Tabla1[ANY],'2024'!$Z$76)</f>
        <v>0</v>
      </c>
      <c r="O99" s="21">
        <f t="shared" si="105"/>
        <v>0</v>
      </c>
      <c r="P99" s="23">
        <f>SUMIFS('Registre de reserves'!$W$2:$W$1178,'Registre de reserves'!$T$2:$T$1178,"SI",'Registre de reserves'!$I$2:$I$1178,'2024'!$A99,'Registre de reserves'!$B$2:$B$1178,'2024'!P$2,Tabla1[ANY],'2024'!$Z$76)</f>
        <v>0</v>
      </c>
      <c r="Q99" s="21">
        <f t="shared" si="106"/>
        <v>0</v>
      </c>
      <c r="R99" s="23">
        <f>SUMIFS('Registre de reserves'!$W$2:$W$1178,'Registre de reserves'!$T$2:$T$1178,"SI",'Registre de reserves'!$I$2:$I$1178,'2024'!$A99,'Registre de reserves'!$B$2:$B$1178,'2024'!R$2,Tabla1[ANY],'2024'!$Z$76)</f>
        <v>0</v>
      </c>
      <c r="S99" s="21">
        <f t="shared" si="107"/>
        <v>0</v>
      </c>
      <c r="T99" s="23">
        <f>SUMIFS('Registre de reserves'!$W$2:$W$1178,'Registre de reserves'!$T$2:$T$1178,"SI",'Registre de reserves'!$I$2:$I$1178,'2024'!$A99,'Registre de reserves'!$B$2:$B$1178,'2024'!T$2,Tabla1[ANY],'2024'!$Z$76)</f>
        <v>0</v>
      </c>
      <c r="U99" s="21">
        <f t="shared" si="108"/>
        <v>0</v>
      </c>
      <c r="V99" s="23">
        <f>SUMIFS('Registre de reserves'!$W$2:$W$1178,'Registre de reserves'!$T$2:$T$1178,"SI",'Registre de reserves'!$I$2:$I$1178,'2024'!$A99,'Registre de reserves'!$B$2:$B$1178,'2024'!V$2,Tabla1[ANY],'2024'!$Z$76)</f>
        <v>0</v>
      </c>
      <c r="W99" s="21">
        <f t="shared" si="109"/>
        <v>0</v>
      </c>
      <c r="X99" s="23">
        <f>SUMIFS('Registre de reserves'!$W$2:$W$1178,'Registre de reserves'!$T$2:$T$1178,"SI",'Registre de reserves'!$I$2:$I$1178,'2024'!$A99,'Registre de reserves'!$B$2:$B$1178,'2024'!X$2,Tabla1[ANY],'2024'!$Z$76)</f>
        <v>0</v>
      </c>
      <c r="Y99" s="21">
        <f t="shared" si="110"/>
        <v>0</v>
      </c>
      <c r="Z99" s="20">
        <f t="shared" si="100"/>
        <v>0</v>
      </c>
      <c r="AA99" s="21">
        <f t="shared" si="111"/>
        <v>0</v>
      </c>
    </row>
    <row r="100" spans="1:27" hidden="1" outlineLevel="1" x14ac:dyDescent="0.2">
      <c r="A100" s="8" t="s">
        <v>71</v>
      </c>
      <c r="B100" s="23">
        <f>SUMIFS('Registre de reserves'!$W$2:$W$1178,'Registre de reserves'!$T$2:$T$1178,"SI",'Registre de reserves'!$I$2:$I$1178,'2024'!$A100,'Registre de reserves'!$B$2:$B$1178,'2024'!B$2,Tabla1[ANY],'2024'!$Z$76)</f>
        <v>0</v>
      </c>
      <c r="C100" s="21">
        <f t="shared" si="112"/>
        <v>0</v>
      </c>
      <c r="D100" s="23">
        <f>SUMIFS('Registre de reserves'!$W$2:$W$1178,'Registre de reserves'!$T$2:$T$1178,"SI",'Registre de reserves'!$I$2:$I$1178,'2024'!$A100,'Registre de reserves'!$B$2:$B$1178,'2024'!D$2,Tabla1[ANY],'2024'!$Z$76)</f>
        <v>0</v>
      </c>
      <c r="E100" s="21">
        <f t="shared" si="112"/>
        <v>0</v>
      </c>
      <c r="F100" s="23">
        <f>SUMIFS('Registre de reserves'!$W$2:$W$1178,'Registre de reserves'!$T$2:$T$1178,"SI",'Registre de reserves'!$I$2:$I$1178,'2024'!$A100,'Registre de reserves'!$B$2:$B$1178,'2024'!F$2,Tabla1[ANY],'2024'!$Z$76)</f>
        <v>0</v>
      </c>
      <c r="G100" s="21">
        <f t="shared" si="101"/>
        <v>0</v>
      </c>
      <c r="H100" s="23">
        <f>SUMIFS('Registre de reserves'!$W$2:$W$1178,'Registre de reserves'!$T$2:$T$1178,"SI",'Registre de reserves'!$I$2:$I$1178,'2024'!$A100,'Registre de reserves'!$B$2:$B$1178,'2024'!H$2,Tabla1[ANY],'2024'!$Z$76)</f>
        <v>0</v>
      </c>
      <c r="I100" s="21">
        <f t="shared" si="102"/>
        <v>0</v>
      </c>
      <c r="J100" s="23">
        <f>SUMIFS('Registre de reserves'!$W$2:$W$1178,'Registre de reserves'!$T$2:$T$1178,"SI",'Registre de reserves'!$I$2:$I$1178,'2024'!$A100,'Registre de reserves'!$B$2:$B$1178,'2024'!J$2,Tabla1[ANY],'2024'!$Z$76)</f>
        <v>0</v>
      </c>
      <c r="K100" s="21">
        <f t="shared" si="103"/>
        <v>0</v>
      </c>
      <c r="L100" s="23">
        <f>SUMIFS('Registre de reserves'!$W$2:$W$1178,'Registre de reserves'!$T$2:$T$1178,"SI",'Registre de reserves'!$I$2:$I$1178,'2024'!$A100,'Registre de reserves'!$B$2:$B$1178,'2024'!L$2,Tabla1[ANY],'2024'!$Z$76)</f>
        <v>0</v>
      </c>
      <c r="M100" s="21">
        <f t="shared" si="104"/>
        <v>0</v>
      </c>
      <c r="N100" s="23">
        <f>SUMIFS('Registre de reserves'!$W$2:$W$1178,'Registre de reserves'!$T$2:$T$1178,"SI",'Registre de reserves'!$I$2:$I$1178,'2024'!$A100,'Registre de reserves'!$B$2:$B$1178,'2024'!N$2,Tabla1[ANY],'2024'!$Z$76)</f>
        <v>0</v>
      </c>
      <c r="O100" s="21">
        <f t="shared" si="105"/>
        <v>0</v>
      </c>
      <c r="P100" s="23">
        <f>SUMIFS('Registre de reserves'!$W$2:$W$1178,'Registre de reserves'!$T$2:$T$1178,"SI",'Registre de reserves'!$I$2:$I$1178,'2024'!$A100,'Registre de reserves'!$B$2:$B$1178,'2024'!P$2,Tabla1[ANY],'2024'!$Z$76)</f>
        <v>0</v>
      </c>
      <c r="Q100" s="21">
        <f t="shared" si="106"/>
        <v>0</v>
      </c>
      <c r="R100" s="23">
        <f>SUMIFS('Registre de reserves'!$W$2:$W$1178,'Registre de reserves'!$T$2:$T$1178,"SI",'Registre de reserves'!$I$2:$I$1178,'2024'!$A100,'Registre de reserves'!$B$2:$B$1178,'2024'!R$2,Tabla1[ANY],'2024'!$Z$76)</f>
        <v>0</v>
      </c>
      <c r="S100" s="21">
        <f t="shared" si="107"/>
        <v>0</v>
      </c>
      <c r="T100" s="23">
        <f>SUMIFS('Registre de reserves'!$W$2:$W$1178,'Registre de reserves'!$T$2:$T$1178,"SI",'Registre de reserves'!$I$2:$I$1178,'2024'!$A100,'Registre de reserves'!$B$2:$B$1178,'2024'!T$2,Tabla1[ANY],'2024'!$Z$76)</f>
        <v>0</v>
      </c>
      <c r="U100" s="21">
        <f t="shared" si="108"/>
        <v>0</v>
      </c>
      <c r="V100" s="23">
        <f>SUMIFS('Registre de reserves'!$W$2:$W$1178,'Registre de reserves'!$T$2:$T$1178,"SI",'Registre de reserves'!$I$2:$I$1178,'2024'!$A100,'Registre de reserves'!$B$2:$B$1178,'2024'!V$2,Tabla1[ANY],'2024'!$Z$76)</f>
        <v>0</v>
      </c>
      <c r="W100" s="21">
        <f t="shared" si="109"/>
        <v>0</v>
      </c>
      <c r="X100" s="23">
        <f>SUMIFS('Registre de reserves'!$W$2:$W$1178,'Registre de reserves'!$T$2:$T$1178,"SI",'Registre de reserves'!$I$2:$I$1178,'2024'!$A100,'Registre de reserves'!$B$2:$B$1178,'2024'!X$2,Tabla1[ANY],'2024'!$Z$76)</f>
        <v>0</v>
      </c>
      <c r="Y100" s="21">
        <f t="shared" si="110"/>
        <v>0</v>
      </c>
      <c r="Z100" s="20">
        <f t="shared" si="100"/>
        <v>0</v>
      </c>
      <c r="AA100" s="21">
        <f t="shared" si="111"/>
        <v>0</v>
      </c>
    </row>
    <row r="101" spans="1:27" hidden="1" outlineLevel="1" x14ac:dyDescent="0.2">
      <c r="A101" s="8" t="s">
        <v>72</v>
      </c>
      <c r="B101" s="23">
        <f>SUMIFS('Registre de reserves'!$W$2:$W$1178,'Registre de reserves'!$T$2:$T$1178,"SI",'Registre de reserves'!$I$2:$I$1178,'2024'!$A101,'Registre de reserves'!$B$2:$B$1178,'2024'!B$2,Tabla1[ANY],'2024'!$Z$76)</f>
        <v>0</v>
      </c>
      <c r="C101" s="21">
        <f t="shared" si="112"/>
        <v>0</v>
      </c>
      <c r="D101" s="23">
        <f>SUMIFS('Registre de reserves'!$W$2:$W$1178,'Registre de reserves'!$T$2:$T$1178,"SI",'Registre de reserves'!$I$2:$I$1178,'2024'!$A101,'Registre de reserves'!$B$2:$B$1178,'2024'!D$2,Tabla1[ANY],'2024'!$Z$76)</f>
        <v>0</v>
      </c>
      <c r="E101" s="21">
        <f t="shared" si="112"/>
        <v>0</v>
      </c>
      <c r="F101" s="23">
        <f>SUMIFS('Registre de reserves'!$W$2:$W$1178,'Registre de reserves'!$T$2:$T$1178,"SI",'Registre de reserves'!$I$2:$I$1178,'2024'!$A101,'Registre de reserves'!$B$2:$B$1178,'2024'!F$2,Tabla1[ANY],'2024'!$Z$76)</f>
        <v>0</v>
      </c>
      <c r="G101" s="21">
        <f t="shared" si="101"/>
        <v>0</v>
      </c>
      <c r="H101" s="23">
        <f>SUMIFS('Registre de reserves'!$W$2:$W$1178,'Registre de reserves'!$T$2:$T$1178,"SI",'Registre de reserves'!$I$2:$I$1178,'2024'!$A101,'Registre de reserves'!$B$2:$B$1178,'2024'!H$2,Tabla1[ANY],'2024'!$Z$76)</f>
        <v>0</v>
      </c>
      <c r="I101" s="21">
        <f t="shared" si="102"/>
        <v>0</v>
      </c>
      <c r="J101" s="23">
        <f>SUMIFS('Registre de reserves'!$W$2:$W$1178,'Registre de reserves'!$T$2:$T$1178,"SI",'Registre de reserves'!$I$2:$I$1178,'2024'!$A101,'Registre de reserves'!$B$2:$B$1178,'2024'!J$2,Tabla1[ANY],'2024'!$Z$76)</f>
        <v>0</v>
      </c>
      <c r="K101" s="21">
        <f t="shared" si="103"/>
        <v>0</v>
      </c>
      <c r="L101" s="23">
        <f>SUMIFS('Registre de reserves'!$W$2:$W$1178,'Registre de reserves'!$T$2:$T$1178,"SI",'Registre de reserves'!$I$2:$I$1178,'2024'!$A101,'Registre de reserves'!$B$2:$B$1178,'2024'!L$2,Tabla1[ANY],'2024'!$Z$76)</f>
        <v>0</v>
      </c>
      <c r="M101" s="21">
        <f t="shared" si="104"/>
        <v>0</v>
      </c>
      <c r="N101" s="23">
        <f>SUMIFS('Registre de reserves'!$W$2:$W$1178,'Registre de reserves'!$T$2:$T$1178,"SI",'Registre de reserves'!$I$2:$I$1178,'2024'!$A101,'Registre de reserves'!$B$2:$B$1178,'2024'!N$2,Tabla1[ANY],'2024'!$Z$76)</f>
        <v>0</v>
      </c>
      <c r="O101" s="21">
        <f t="shared" si="105"/>
        <v>0</v>
      </c>
      <c r="P101" s="23">
        <f>SUMIFS('Registre de reserves'!$W$2:$W$1178,'Registre de reserves'!$T$2:$T$1178,"SI",'Registre de reserves'!$I$2:$I$1178,'2024'!$A101,'Registre de reserves'!$B$2:$B$1178,'2024'!P$2,Tabla1[ANY],'2024'!$Z$76)</f>
        <v>0</v>
      </c>
      <c r="Q101" s="21">
        <f t="shared" si="106"/>
        <v>0</v>
      </c>
      <c r="R101" s="23">
        <f>SUMIFS('Registre de reserves'!$W$2:$W$1178,'Registre de reserves'!$T$2:$T$1178,"SI",'Registre de reserves'!$I$2:$I$1178,'2024'!$A101,'Registre de reserves'!$B$2:$B$1178,'2024'!R$2,Tabla1[ANY],'2024'!$Z$76)</f>
        <v>0</v>
      </c>
      <c r="S101" s="21">
        <f t="shared" si="107"/>
        <v>0</v>
      </c>
      <c r="T101" s="23">
        <f>SUMIFS('Registre de reserves'!$W$2:$W$1178,'Registre de reserves'!$T$2:$T$1178,"SI",'Registre de reserves'!$I$2:$I$1178,'2024'!$A101,'Registre de reserves'!$B$2:$B$1178,'2024'!T$2,Tabla1[ANY],'2024'!$Z$76)</f>
        <v>0</v>
      </c>
      <c r="U101" s="21">
        <f t="shared" si="108"/>
        <v>0</v>
      </c>
      <c r="V101" s="23">
        <f>SUMIFS('Registre de reserves'!$W$2:$W$1178,'Registre de reserves'!$T$2:$T$1178,"SI",'Registre de reserves'!$I$2:$I$1178,'2024'!$A101,'Registre de reserves'!$B$2:$B$1178,'2024'!V$2,Tabla1[ANY],'2024'!$Z$76)</f>
        <v>0</v>
      </c>
      <c r="W101" s="21">
        <f t="shared" si="109"/>
        <v>0</v>
      </c>
      <c r="X101" s="23">
        <f>SUMIFS('Registre de reserves'!$W$2:$W$1178,'Registre de reserves'!$T$2:$T$1178,"SI",'Registre de reserves'!$I$2:$I$1178,'2024'!$A101,'Registre de reserves'!$B$2:$B$1178,'2024'!X$2,Tabla1[ANY],'2024'!$Z$76)</f>
        <v>0</v>
      </c>
      <c r="Y101" s="21">
        <f t="shared" si="110"/>
        <v>0</v>
      </c>
      <c r="Z101" s="20">
        <f t="shared" si="100"/>
        <v>0</v>
      </c>
      <c r="AA101" s="21">
        <f t="shared" si="111"/>
        <v>0</v>
      </c>
    </row>
    <row r="102" spans="1:27" hidden="1" outlineLevel="1" x14ac:dyDescent="0.2">
      <c r="A102" s="8" t="s">
        <v>69</v>
      </c>
      <c r="B102" s="23">
        <f>SUMIFS('Registre de reserves'!$W$2:$W$1178,'Registre de reserves'!$T$2:$T$1178,"SI",'Registre de reserves'!$I$2:$I$1178,'2024'!$A102,'Registre de reserves'!$B$2:$B$1178,'2024'!B$2,Tabla1[ANY],'2024'!$Z$76)</f>
        <v>120</v>
      </c>
      <c r="C102" s="21">
        <f t="shared" si="112"/>
        <v>1</v>
      </c>
      <c r="D102" s="23">
        <f>SUMIFS('Registre de reserves'!$W$2:$W$1178,'Registre de reserves'!$T$2:$T$1178,"SI",'Registre de reserves'!$I$2:$I$1178,'2024'!$A102,'Registre de reserves'!$B$2:$B$1178,'2024'!D$2,Tabla1[ANY],'2024'!$Z$76)</f>
        <v>0</v>
      </c>
      <c r="E102" s="21">
        <f t="shared" si="112"/>
        <v>0</v>
      </c>
      <c r="F102" s="23">
        <f>SUMIFS('Registre de reserves'!$W$2:$W$1178,'Registre de reserves'!$T$2:$T$1178,"SI",'Registre de reserves'!$I$2:$I$1178,'2024'!$A102,'Registre de reserves'!$B$2:$B$1178,'2024'!F$2,Tabla1[ANY],'2024'!$Z$76)</f>
        <v>60</v>
      </c>
      <c r="G102" s="21">
        <f t="shared" si="101"/>
        <v>1</v>
      </c>
      <c r="H102" s="23">
        <f>SUMIFS('Registre de reserves'!$W$2:$W$1178,'Registre de reserves'!$T$2:$T$1178,"SI",'Registre de reserves'!$I$2:$I$1178,'2024'!$A102,'Registre de reserves'!$B$2:$B$1178,'2024'!H$2,Tabla1[ANY],'2024'!$Z$76)</f>
        <v>220</v>
      </c>
      <c r="I102" s="21">
        <f t="shared" si="102"/>
        <v>1</v>
      </c>
      <c r="J102" s="23">
        <f>SUMIFS('Registre de reserves'!$W$2:$W$1178,'Registre de reserves'!$T$2:$T$1178,"SI",'Registre de reserves'!$I$2:$I$1178,'2024'!$A102,'Registre de reserves'!$B$2:$B$1178,'2024'!J$2,Tabla1[ANY],'2024'!$Z$76)</f>
        <v>0</v>
      </c>
      <c r="K102" s="21">
        <f t="shared" si="103"/>
        <v>0</v>
      </c>
      <c r="L102" s="23">
        <f>SUMIFS('Registre de reserves'!$W$2:$W$1178,'Registre de reserves'!$T$2:$T$1178,"SI",'Registre de reserves'!$I$2:$I$1178,'2024'!$A102,'Registre de reserves'!$B$2:$B$1178,'2024'!L$2,Tabla1[ANY],'2024'!$Z$76)</f>
        <v>0</v>
      </c>
      <c r="M102" s="21">
        <f t="shared" si="104"/>
        <v>0</v>
      </c>
      <c r="N102" s="23">
        <f>SUMIFS('Registre de reserves'!$W$2:$W$1178,'Registre de reserves'!$T$2:$T$1178,"SI",'Registre de reserves'!$I$2:$I$1178,'2024'!$A102,'Registre de reserves'!$B$2:$B$1178,'2024'!N$2,Tabla1[ANY],'2024'!$Z$76)</f>
        <v>60</v>
      </c>
      <c r="O102" s="21">
        <f t="shared" si="105"/>
        <v>1</v>
      </c>
      <c r="P102" s="23">
        <f>SUMIFS('Registre de reserves'!$W$2:$W$1178,'Registre de reserves'!$T$2:$T$1178,"SI",'Registre de reserves'!$I$2:$I$1178,'2024'!$A102,'Registre de reserves'!$B$2:$B$1178,'2024'!P$2,Tabla1[ANY],'2024'!$Z$76)</f>
        <v>0</v>
      </c>
      <c r="Q102" s="21">
        <f t="shared" si="106"/>
        <v>0</v>
      </c>
      <c r="R102" s="23">
        <f>SUMIFS('Registre de reserves'!$W$2:$W$1178,'Registre de reserves'!$T$2:$T$1178,"SI",'Registre de reserves'!$I$2:$I$1178,'2024'!$A102,'Registre de reserves'!$B$2:$B$1178,'2024'!R$2,Tabla1[ANY],'2024'!$Z$76)</f>
        <v>120</v>
      </c>
      <c r="S102" s="21">
        <f t="shared" si="107"/>
        <v>0.32432432432432434</v>
      </c>
      <c r="T102" s="23">
        <f>SUMIFS('Registre de reserves'!$W$2:$W$1178,'Registre de reserves'!$T$2:$T$1178,"SI",'Registre de reserves'!$I$2:$I$1178,'2024'!$A102,'Registre de reserves'!$B$2:$B$1178,'2024'!T$2,Tabla1[ANY],'2024'!$Z$76)</f>
        <v>0</v>
      </c>
      <c r="U102" s="21">
        <f t="shared" si="108"/>
        <v>0</v>
      </c>
      <c r="V102" s="23">
        <f>SUMIFS('Registre de reserves'!$W$2:$W$1178,'Registre de reserves'!$T$2:$T$1178,"SI",'Registre de reserves'!$I$2:$I$1178,'2024'!$A102,'Registre de reserves'!$B$2:$B$1178,'2024'!V$2,Tabla1[ANY],'2024'!$Z$76)</f>
        <v>270</v>
      </c>
      <c r="W102" s="21">
        <f t="shared" si="109"/>
        <v>1</v>
      </c>
      <c r="X102" s="23">
        <f>SUMIFS('Registre de reserves'!$W$2:$W$1178,'Registre de reserves'!$T$2:$T$1178,"SI",'Registre de reserves'!$I$2:$I$1178,'2024'!$A102,'Registre de reserves'!$B$2:$B$1178,'2024'!X$2,Tabla1[ANY],'2024'!$Z$76)</f>
        <v>120</v>
      </c>
      <c r="Y102" s="21">
        <f t="shared" si="110"/>
        <v>1</v>
      </c>
      <c r="Z102" s="20">
        <f t="shared" si="100"/>
        <v>970</v>
      </c>
      <c r="AA102" s="21">
        <f t="shared" si="111"/>
        <v>0.7578125</v>
      </c>
    </row>
    <row r="103" spans="1:27" hidden="1" outlineLevel="1" x14ac:dyDescent="0.2">
      <c r="A103" s="8" t="s">
        <v>70</v>
      </c>
      <c r="B103" s="23">
        <f>SUMIFS('Registre de reserves'!$W$2:$W$1178,'Registre de reserves'!$T$2:$T$1178,"SI",'Registre de reserves'!$I$2:$I$1178,'2024'!$A103,'Registre de reserves'!$B$2:$B$1178,'2024'!B$2,Tabla1[ANY],'2024'!$Z$76)</f>
        <v>0</v>
      </c>
      <c r="C103" s="21">
        <f t="shared" si="112"/>
        <v>0</v>
      </c>
      <c r="D103" s="23">
        <f>SUMIFS('Registre de reserves'!$W$2:$W$1178,'Registre de reserves'!$T$2:$T$1178,"SI",'Registre de reserves'!$I$2:$I$1178,'2024'!$A103,'Registre de reserves'!$B$2:$B$1178,'2024'!D$2,Tabla1[ANY],'2024'!$Z$76)</f>
        <v>0</v>
      </c>
      <c r="E103" s="21">
        <f t="shared" si="112"/>
        <v>0</v>
      </c>
      <c r="F103" s="23">
        <f>SUMIFS('Registre de reserves'!$W$2:$W$1178,'Registre de reserves'!$T$2:$T$1178,"SI",'Registre de reserves'!$I$2:$I$1178,'2024'!$A103,'Registre de reserves'!$B$2:$B$1178,'2024'!F$2,Tabla1[ANY],'2024'!$Z$76)</f>
        <v>0</v>
      </c>
      <c r="G103" s="21">
        <f t="shared" si="101"/>
        <v>0</v>
      </c>
      <c r="H103" s="23">
        <f>SUMIFS('Registre de reserves'!$W$2:$W$1178,'Registre de reserves'!$T$2:$T$1178,"SI",'Registre de reserves'!$I$2:$I$1178,'2024'!$A103,'Registre de reserves'!$B$2:$B$1178,'2024'!H$2,Tabla1[ANY],'2024'!$Z$76)</f>
        <v>0</v>
      </c>
      <c r="I103" s="21">
        <f t="shared" si="102"/>
        <v>0</v>
      </c>
      <c r="J103" s="23">
        <f>SUMIFS('Registre de reserves'!$W$2:$W$1178,'Registre de reserves'!$T$2:$T$1178,"SI",'Registre de reserves'!$I$2:$I$1178,'2024'!$A103,'Registre de reserves'!$B$2:$B$1178,'2024'!J$2,Tabla1[ANY],'2024'!$Z$76)</f>
        <v>0</v>
      </c>
      <c r="K103" s="21">
        <f t="shared" si="103"/>
        <v>0</v>
      </c>
      <c r="L103" s="23">
        <f>SUMIFS('Registre de reserves'!$W$2:$W$1178,'Registre de reserves'!$T$2:$T$1178,"SI",'Registre de reserves'!$I$2:$I$1178,'2024'!$A103,'Registre de reserves'!$B$2:$B$1178,'2024'!L$2,Tabla1[ANY],'2024'!$Z$76)</f>
        <v>60</v>
      </c>
      <c r="M103" s="21">
        <f t="shared" si="104"/>
        <v>1</v>
      </c>
      <c r="N103" s="23">
        <f>SUMIFS('Registre de reserves'!$W$2:$W$1178,'Registre de reserves'!$T$2:$T$1178,"SI",'Registre de reserves'!$I$2:$I$1178,'2024'!$A103,'Registre de reserves'!$B$2:$B$1178,'2024'!N$2,Tabla1[ANY],'2024'!$Z$76)</f>
        <v>0</v>
      </c>
      <c r="O103" s="21">
        <f t="shared" si="105"/>
        <v>0</v>
      </c>
      <c r="P103" s="23">
        <f>SUMIFS('Registre de reserves'!$W$2:$W$1178,'Registre de reserves'!$T$2:$T$1178,"SI",'Registre de reserves'!$I$2:$I$1178,'2024'!$A103,'Registre de reserves'!$B$2:$B$1178,'2024'!P$2,Tabla1[ANY],'2024'!$Z$76)</f>
        <v>0</v>
      </c>
      <c r="Q103" s="21">
        <f t="shared" si="106"/>
        <v>0</v>
      </c>
      <c r="R103" s="23">
        <f>SUMIFS('Registre de reserves'!$W$2:$W$1178,'Registre de reserves'!$T$2:$T$1178,"SI",'Registre de reserves'!$I$2:$I$1178,'2024'!$A103,'Registre de reserves'!$B$2:$B$1178,'2024'!R$2,Tabla1[ANY],'2024'!$Z$76)</f>
        <v>250</v>
      </c>
      <c r="S103" s="21">
        <f t="shared" si="107"/>
        <v>0.67567567567567566</v>
      </c>
      <c r="T103" s="23">
        <f>SUMIFS('Registre de reserves'!$W$2:$W$1178,'Registre de reserves'!$T$2:$T$1178,"SI",'Registre de reserves'!$I$2:$I$1178,'2024'!$A103,'Registre de reserves'!$B$2:$B$1178,'2024'!T$2,Tabla1[ANY],'2024'!$Z$76)</f>
        <v>0</v>
      </c>
      <c r="U103" s="21">
        <f t="shared" si="108"/>
        <v>0</v>
      </c>
      <c r="V103" s="23">
        <f>SUMIFS('Registre de reserves'!$W$2:$W$1178,'Registre de reserves'!$T$2:$T$1178,"SI",'Registre de reserves'!$I$2:$I$1178,'2024'!$A103,'Registre de reserves'!$B$2:$B$1178,'2024'!V$2,Tabla1[ANY],'2024'!$Z$76)</f>
        <v>0</v>
      </c>
      <c r="W103" s="21">
        <f t="shared" si="109"/>
        <v>0</v>
      </c>
      <c r="X103" s="23">
        <f>SUMIFS('Registre de reserves'!$W$2:$W$1178,'Registre de reserves'!$T$2:$T$1178,"SI",'Registre de reserves'!$I$2:$I$1178,'2024'!$A103,'Registre de reserves'!$B$2:$B$1178,'2024'!X$2,Tabla1[ANY],'2024'!$Z$76)</f>
        <v>0</v>
      </c>
      <c r="Y103" s="21">
        <f t="shared" si="110"/>
        <v>0</v>
      </c>
      <c r="Z103" s="20">
        <f t="shared" si="100"/>
        <v>310</v>
      </c>
      <c r="AA103" s="21">
        <f t="shared" si="111"/>
        <v>0.2421875</v>
      </c>
    </row>
    <row r="104" spans="1:27" hidden="1" outlineLevel="1" x14ac:dyDescent="0.2">
      <c r="A104" s="8" t="s">
        <v>73</v>
      </c>
      <c r="B104" s="23">
        <f>SUMIFS('Registre de reserves'!$W$2:$W$1178,'Registre de reserves'!$T$2:$T$1178,"SI",'Registre de reserves'!$I$2:$I$1178,'2024'!$A104,'Registre de reserves'!$B$2:$B$1178,'2024'!B$2,Tabla1[ANY],'2024'!$Z$76)</f>
        <v>0</v>
      </c>
      <c r="C104" s="21">
        <f t="shared" si="112"/>
        <v>0</v>
      </c>
      <c r="D104" s="23">
        <f>SUMIFS('Registre de reserves'!$W$2:$W$1178,'Registre de reserves'!$T$2:$T$1178,"SI",'Registre de reserves'!$I$2:$I$1178,'2024'!$A104,'Registre de reserves'!$B$2:$B$1178,'2024'!D$2,Tabla1[ANY],'2024'!$Z$76)</f>
        <v>0</v>
      </c>
      <c r="E104" s="21">
        <f t="shared" si="112"/>
        <v>0</v>
      </c>
      <c r="F104" s="23">
        <f>SUMIFS('Registre de reserves'!$W$2:$W$1178,'Registre de reserves'!$T$2:$T$1178,"SI",'Registre de reserves'!$I$2:$I$1178,'2024'!$A104,'Registre de reserves'!$B$2:$B$1178,'2024'!F$2,Tabla1[ANY],'2024'!$Z$76)</f>
        <v>0</v>
      </c>
      <c r="G104" s="21">
        <f t="shared" si="101"/>
        <v>0</v>
      </c>
      <c r="H104" s="23">
        <f>SUMIFS('Registre de reserves'!$W$2:$W$1178,'Registre de reserves'!$T$2:$T$1178,"SI",'Registre de reserves'!$I$2:$I$1178,'2024'!$A104,'Registre de reserves'!$B$2:$B$1178,'2024'!H$2,Tabla1[ANY],'2024'!$Z$76)</f>
        <v>0</v>
      </c>
      <c r="I104" s="21">
        <f t="shared" si="102"/>
        <v>0</v>
      </c>
      <c r="J104" s="23">
        <f>SUMIFS('Registre de reserves'!$W$2:$W$1178,'Registre de reserves'!$T$2:$T$1178,"SI",'Registre de reserves'!$I$2:$I$1178,'2024'!$A104,'Registre de reserves'!$B$2:$B$1178,'2024'!J$2,Tabla1[ANY],'2024'!$Z$76)</f>
        <v>0</v>
      </c>
      <c r="K104" s="21">
        <f t="shared" si="103"/>
        <v>0</v>
      </c>
      <c r="L104" s="23">
        <f>SUMIFS('Registre de reserves'!$W$2:$W$1178,'Registre de reserves'!$T$2:$T$1178,"SI",'Registre de reserves'!$I$2:$I$1178,'2024'!$A104,'Registre de reserves'!$B$2:$B$1178,'2024'!L$2,Tabla1[ANY],'2024'!$Z$76)</f>
        <v>0</v>
      </c>
      <c r="M104" s="21">
        <f t="shared" si="104"/>
        <v>0</v>
      </c>
      <c r="N104" s="23">
        <f>SUMIFS('Registre de reserves'!$W$2:$W$1178,'Registre de reserves'!$T$2:$T$1178,"SI",'Registre de reserves'!$I$2:$I$1178,'2024'!$A104,'Registre de reserves'!$B$2:$B$1178,'2024'!N$2,Tabla1[ANY],'2024'!$Z$76)</f>
        <v>0</v>
      </c>
      <c r="O104" s="21">
        <f t="shared" si="105"/>
        <v>0</v>
      </c>
      <c r="P104" s="23">
        <f>SUMIFS('Registre de reserves'!$W$2:$W$1178,'Registre de reserves'!$T$2:$T$1178,"SI",'Registre de reserves'!$I$2:$I$1178,'2024'!$A104,'Registre de reserves'!$B$2:$B$1178,'2024'!P$2,Tabla1[ANY],'2024'!$Z$76)</f>
        <v>0</v>
      </c>
      <c r="Q104" s="21">
        <f t="shared" si="106"/>
        <v>0</v>
      </c>
      <c r="R104" s="23">
        <f>SUMIFS('Registre de reserves'!$W$2:$W$1178,'Registre de reserves'!$T$2:$T$1178,"SI",'Registre de reserves'!$I$2:$I$1178,'2024'!$A104,'Registre de reserves'!$B$2:$B$1178,'2024'!R$2,Tabla1[ANY],'2024'!$Z$76)</f>
        <v>0</v>
      </c>
      <c r="S104" s="21">
        <f t="shared" si="107"/>
        <v>0</v>
      </c>
      <c r="T104" s="23">
        <f>SUMIFS('Registre de reserves'!$W$2:$W$1178,'Registre de reserves'!$T$2:$T$1178,"SI",'Registre de reserves'!$I$2:$I$1178,'2024'!$A104,'Registre de reserves'!$B$2:$B$1178,'2024'!T$2,Tabla1[ANY],'2024'!$Z$76)</f>
        <v>0</v>
      </c>
      <c r="U104" s="21">
        <f t="shared" si="108"/>
        <v>0</v>
      </c>
      <c r="V104" s="23">
        <f>SUMIFS('Registre de reserves'!$W$2:$W$1178,'Registre de reserves'!$T$2:$T$1178,"SI",'Registre de reserves'!$I$2:$I$1178,'2024'!$A104,'Registre de reserves'!$B$2:$B$1178,'2024'!V$2,Tabla1[ANY],'2024'!$Z$76)</f>
        <v>0</v>
      </c>
      <c r="W104" s="21">
        <f t="shared" si="109"/>
        <v>0</v>
      </c>
      <c r="X104" s="23">
        <f>SUMIFS('Registre de reserves'!$W$2:$W$1178,'Registre de reserves'!$T$2:$T$1178,"SI",'Registre de reserves'!$I$2:$I$1178,'2024'!$A104,'Registre de reserves'!$B$2:$B$1178,'2024'!X$2,Tabla1[ANY],'2024'!$Z$76)</f>
        <v>0</v>
      </c>
      <c r="Y104" s="21">
        <f t="shared" si="110"/>
        <v>0</v>
      </c>
      <c r="Z104" s="20">
        <f t="shared" si="100"/>
        <v>0</v>
      </c>
      <c r="AA104" s="21">
        <f t="shared" si="111"/>
        <v>0</v>
      </c>
    </row>
    <row r="105" spans="1:27" collapsed="1" x14ac:dyDescent="0.2">
      <c r="A105" s="33" t="s">
        <v>77</v>
      </c>
      <c r="B105" s="22">
        <f>SUM(B106:B113)</f>
        <v>0</v>
      </c>
      <c r="C105" s="19">
        <f>IF((B$87+B$105)=0,0,B105/(B$87+B$105))</f>
        <v>0</v>
      </c>
      <c r="D105" s="22">
        <f>SUM(D106:D113)</f>
        <v>0</v>
      </c>
      <c r="E105" s="19">
        <f>IF((D$87+D$105)=0,0,D105/(D$87+D$105))</f>
        <v>0</v>
      </c>
      <c r="F105" s="22">
        <f>SUM(F106:F113)</f>
        <v>0</v>
      </c>
      <c r="G105" s="19">
        <f>IF((F$87+F$105)=0,0,F105/(F$87+F$105))</f>
        <v>0</v>
      </c>
      <c r="H105" s="22">
        <f>SUM(H106:H113)</f>
        <v>0</v>
      </c>
      <c r="I105" s="19">
        <f>IF((H$87+H$105)=0,0,H105/(H$87+H$105))</f>
        <v>0</v>
      </c>
      <c r="J105" s="22">
        <f>SUM(J106:J113)</f>
        <v>0</v>
      </c>
      <c r="K105" s="19">
        <f>IF((J$87+J$105)=0,0,J105/(J$87+J$105))</f>
        <v>0</v>
      </c>
      <c r="L105" s="22">
        <f>SUM(L106:L113)</f>
        <v>0</v>
      </c>
      <c r="M105" s="19">
        <f>IF((L$87+L$105)=0,0,L105/(L$87+L$105))</f>
        <v>0</v>
      </c>
      <c r="N105" s="22">
        <f>SUM(N106:N113)</f>
        <v>0</v>
      </c>
      <c r="O105" s="19">
        <f>IF((N$87+N$105)=0,0,N105/(N$87+N$105))</f>
        <v>0</v>
      </c>
      <c r="P105" s="22">
        <f>SUM(P106:P113)</f>
        <v>0</v>
      </c>
      <c r="Q105" s="19">
        <f>IF((P$87+P$105)=0,0,P105/(P$87+P$105))</f>
        <v>0</v>
      </c>
      <c r="R105" s="22">
        <f>SUM(R106:R113)</f>
        <v>0</v>
      </c>
      <c r="S105" s="19">
        <f>IF((R$87+R$105)=0,0,R105/(R$87+R$105))</f>
        <v>0</v>
      </c>
      <c r="T105" s="22">
        <f>SUM(T106:T113)</f>
        <v>0</v>
      </c>
      <c r="U105" s="19">
        <f>IF((T$87+T$105)=0,0,T105/(T$87+T$105))</f>
        <v>0</v>
      </c>
      <c r="V105" s="22">
        <f>SUM(V106:V113)</f>
        <v>0</v>
      </c>
      <c r="W105" s="19">
        <f>IF((V$87+V$105)=0,0,V105/(V$87+V$105))</f>
        <v>0</v>
      </c>
      <c r="X105" s="22">
        <f>SUM(X106:X113)</f>
        <v>0</v>
      </c>
      <c r="Y105" s="19">
        <f>IF((X$87+X$105)=0,0,X105/(X$87+X$105))</f>
        <v>0</v>
      </c>
      <c r="Z105" s="22">
        <f>SUM(Z106:Z113)</f>
        <v>0</v>
      </c>
      <c r="AA105" s="19">
        <f>IF((Z$87+Z$105)=0,0,Z105/(Z$87+Z$105))</f>
        <v>0</v>
      </c>
    </row>
    <row r="106" spans="1:27" hidden="1" outlineLevel="1" x14ac:dyDescent="0.2">
      <c r="A106" s="8" t="s">
        <v>67</v>
      </c>
      <c r="B106" s="23">
        <f>SUMIFS('Registre de reserves'!$W$2:$W$1178,'Registre de reserves'!$T$2:$T$1178,"NO",'Registre de reserves'!$I$2:$I$1178,'2024'!$A106,'Registre de reserves'!$B$2:$B$1178,'2024'!B$2,Tabla1[ANY],'2024'!$Z$76)</f>
        <v>0</v>
      </c>
      <c r="C106" s="21">
        <f>IF(B$105=0,0,B106/B$105)</f>
        <v>0</v>
      </c>
      <c r="D106" s="23">
        <f>SUMIFS('Registre de reserves'!$W$2:$W$1178,'Registre de reserves'!$T$2:$T$1178,"NO",'Registre de reserves'!$I$2:$I$1178,'2024'!$A106,'Registre de reserves'!$B$2:$B$1178,'2024'!D$2,Tabla1[ANY],'2024'!$Z$76)</f>
        <v>0</v>
      </c>
      <c r="E106" s="21">
        <f>IF(D$105=0,0,D106/D$105)</f>
        <v>0</v>
      </c>
      <c r="F106" s="23">
        <f>SUMIFS('Registre de reserves'!$W$2:$W$1178,'Registre de reserves'!$T$2:$T$1178,"NO",'Registre de reserves'!$I$2:$I$1178,'2024'!$A106,'Registre de reserves'!$B$2:$B$1178,'2024'!F$2,Tabla1[ANY],'2024'!$Z$76)</f>
        <v>0</v>
      </c>
      <c r="G106" s="21">
        <f t="shared" ref="G106:G113" si="113">IF(F$105=0,0,F106/F$105)</f>
        <v>0</v>
      </c>
      <c r="H106" s="23">
        <f>SUMIFS('Registre de reserves'!$W$2:$W$1178,'Registre de reserves'!$T$2:$T$1178,"NO",'Registre de reserves'!$I$2:$I$1178,'2024'!$A106,'Registre de reserves'!$B$2:$B$1178,'2024'!H$2,Tabla1[ANY],'2024'!$Z$76)</f>
        <v>0</v>
      </c>
      <c r="I106" s="21">
        <f t="shared" ref="I106:I113" si="114">IF(H$105=0,0,H106/H$105)</f>
        <v>0</v>
      </c>
      <c r="J106" s="23">
        <f>SUMIFS('Registre de reserves'!$W$2:$W$1178,'Registre de reserves'!$T$2:$T$1178,"NO",'Registre de reserves'!$I$2:$I$1178,'2024'!$A106,'Registre de reserves'!$B$2:$B$1178,'2024'!J$2,Tabla1[ANY],'2024'!$Z$76)</f>
        <v>0</v>
      </c>
      <c r="K106" s="21">
        <f t="shared" ref="K106:K113" si="115">IF(J$105=0,0,J106/J$105)</f>
        <v>0</v>
      </c>
      <c r="L106" s="23">
        <f>SUMIFS('Registre de reserves'!$W$2:$W$1178,'Registre de reserves'!$T$2:$T$1178,"NO",'Registre de reserves'!$I$2:$I$1178,'2024'!$A106,'Registre de reserves'!$B$2:$B$1178,'2024'!L$2,Tabla1[ANY],'2024'!$Z$76)</f>
        <v>0</v>
      </c>
      <c r="M106" s="21">
        <f t="shared" ref="M106:M113" si="116">IF(L$105=0,0,L106/L$105)</f>
        <v>0</v>
      </c>
      <c r="N106" s="23">
        <f>SUMIFS('Registre de reserves'!$W$2:$W$1178,'Registre de reserves'!$T$2:$T$1178,"NO",'Registre de reserves'!$I$2:$I$1178,'2024'!$A106,'Registre de reserves'!$B$2:$B$1178,'2024'!N$2,Tabla1[ANY],'2024'!$Z$76)</f>
        <v>0</v>
      </c>
      <c r="O106" s="21">
        <f t="shared" ref="O106:O113" si="117">IF(N$105=0,0,N106/N$105)</f>
        <v>0</v>
      </c>
      <c r="P106" s="23">
        <f>SUMIFS('Registre de reserves'!$W$2:$W$1178,'Registre de reserves'!$T$2:$T$1178,"NO",'Registre de reserves'!$I$2:$I$1178,'2024'!$A106,'Registre de reserves'!$B$2:$B$1178,'2024'!P$2,Tabla1[ANY],'2024'!$Z$76)</f>
        <v>0</v>
      </c>
      <c r="Q106" s="21">
        <f t="shared" ref="Q106:Q113" si="118">IF(P$105=0,0,P106/P$105)</f>
        <v>0</v>
      </c>
      <c r="R106" s="23">
        <f>SUMIFS('Registre de reserves'!$W$2:$W$1178,'Registre de reserves'!$T$2:$T$1178,"NO",'Registre de reserves'!$I$2:$I$1178,'2024'!$A106,'Registre de reserves'!$B$2:$B$1178,'2024'!R$2,Tabla1[ANY],'2024'!$Z$76)</f>
        <v>0</v>
      </c>
      <c r="S106" s="21">
        <f t="shared" ref="S106:S113" si="119">IF(R$105=0,0,R106/R$105)</f>
        <v>0</v>
      </c>
      <c r="T106" s="23">
        <f>SUMIFS('Registre de reserves'!$W$2:$W$1178,'Registre de reserves'!$T$2:$T$1178,"NO",'Registre de reserves'!$I$2:$I$1178,'2024'!$A106,'Registre de reserves'!$B$2:$B$1178,'2024'!T$2,Tabla1[ANY],'2024'!$Z$76)</f>
        <v>0</v>
      </c>
      <c r="U106" s="21">
        <f t="shared" ref="U106:U113" si="120">IF(T$105=0,0,T106/T$105)</f>
        <v>0</v>
      </c>
      <c r="V106" s="23">
        <f>SUMIFS('Registre de reserves'!$W$2:$W$1178,'Registre de reserves'!$T$2:$T$1178,"NO",'Registre de reserves'!$I$2:$I$1178,'2024'!$A106,'Registre de reserves'!$B$2:$B$1178,'2024'!V$2,Tabla1[ANY],'2024'!$Z$76)</f>
        <v>0</v>
      </c>
      <c r="W106" s="21">
        <f t="shared" ref="W106:W113" si="121">IF(V$105=0,0,V106/V$105)</f>
        <v>0</v>
      </c>
      <c r="X106" s="23">
        <f>SUMIFS('Registre de reserves'!$W$2:$W$1178,'Registre de reserves'!$T$2:$T$1178,"NO",'Registre de reserves'!$I$2:$I$1178,'2024'!$A106,'Registre de reserves'!$B$2:$B$1178,'2024'!X$2,Tabla1[ANY],'2024'!$Z$76)</f>
        <v>0</v>
      </c>
      <c r="Y106" s="21">
        <f t="shared" ref="Y106:Y113" si="122">IF(X$105=0,0,X106/X$105)</f>
        <v>0</v>
      </c>
      <c r="Z106" s="20">
        <f t="shared" si="100"/>
        <v>0</v>
      </c>
      <c r="AA106" s="21">
        <f>IF(Z$105=0,0,Z106/Z$105)</f>
        <v>0</v>
      </c>
    </row>
    <row r="107" spans="1:27" hidden="1" outlineLevel="1" x14ac:dyDescent="0.2">
      <c r="A107" s="8" t="s">
        <v>68</v>
      </c>
      <c r="B107" s="23">
        <f>SUMIFS('Registre de reserves'!$W$2:$W$1178,'Registre de reserves'!$T$2:$T$1178,"NO",'Registre de reserves'!$I$2:$I$1178,'2024'!$A107,'Registre de reserves'!$B$2:$B$1178,'2024'!B$2,Tabla1[ANY],'2024'!$Z$76)</f>
        <v>0</v>
      </c>
      <c r="C107" s="21">
        <f t="shared" ref="C107:E113" si="123">IF(B$105=0,0,B107/B$105)</f>
        <v>0</v>
      </c>
      <c r="D107" s="23">
        <f>SUMIFS('Registre de reserves'!$W$2:$W$1178,'Registre de reserves'!$T$2:$T$1178,"NO",'Registre de reserves'!$I$2:$I$1178,'2024'!$A107,'Registre de reserves'!$B$2:$B$1178,'2024'!D$2,Tabla1[ANY],'2024'!$Z$76)</f>
        <v>0</v>
      </c>
      <c r="E107" s="21">
        <f>IF(D$105=0,0,D107/D$105)</f>
        <v>0</v>
      </c>
      <c r="F107" s="23">
        <f>SUMIFS('Registre de reserves'!$W$2:$W$1178,'Registre de reserves'!$T$2:$T$1178,"NO",'Registre de reserves'!$I$2:$I$1178,'2024'!$A107,'Registre de reserves'!$B$2:$B$1178,'2024'!F$2,Tabla1[ANY],'2024'!$Z$76)</f>
        <v>0</v>
      </c>
      <c r="G107" s="21">
        <f t="shared" si="113"/>
        <v>0</v>
      </c>
      <c r="H107" s="23">
        <f>SUMIFS('Registre de reserves'!$W$2:$W$1178,'Registre de reserves'!$T$2:$T$1178,"NO",'Registre de reserves'!$I$2:$I$1178,'2024'!$A107,'Registre de reserves'!$B$2:$B$1178,'2024'!H$2,Tabla1[ANY],'2024'!$Z$76)</f>
        <v>0</v>
      </c>
      <c r="I107" s="21">
        <f t="shared" si="114"/>
        <v>0</v>
      </c>
      <c r="J107" s="23">
        <f>SUMIFS('Registre de reserves'!$W$2:$W$1178,'Registre de reserves'!$T$2:$T$1178,"NO",'Registre de reserves'!$I$2:$I$1178,'2024'!$A107,'Registre de reserves'!$B$2:$B$1178,'2024'!J$2,Tabla1[ANY],'2024'!$Z$76)</f>
        <v>0</v>
      </c>
      <c r="K107" s="21">
        <f t="shared" si="115"/>
        <v>0</v>
      </c>
      <c r="L107" s="23">
        <f>SUMIFS('Registre de reserves'!$W$2:$W$1178,'Registre de reserves'!$T$2:$T$1178,"NO",'Registre de reserves'!$I$2:$I$1178,'2024'!$A107,'Registre de reserves'!$B$2:$B$1178,'2024'!L$2,Tabla1[ANY],'2024'!$Z$76)</f>
        <v>0</v>
      </c>
      <c r="M107" s="21">
        <f t="shared" si="116"/>
        <v>0</v>
      </c>
      <c r="N107" s="23">
        <f>SUMIFS('Registre de reserves'!$W$2:$W$1178,'Registre de reserves'!$T$2:$T$1178,"NO",'Registre de reserves'!$I$2:$I$1178,'2024'!$A107,'Registre de reserves'!$B$2:$B$1178,'2024'!N$2,Tabla1[ANY],'2024'!$Z$76)</f>
        <v>0</v>
      </c>
      <c r="O107" s="21">
        <f t="shared" si="117"/>
        <v>0</v>
      </c>
      <c r="P107" s="23">
        <f>SUMIFS('Registre de reserves'!$W$2:$W$1178,'Registre de reserves'!$T$2:$T$1178,"NO",'Registre de reserves'!$I$2:$I$1178,'2024'!$A107,'Registre de reserves'!$B$2:$B$1178,'2024'!P$2,Tabla1[ANY],'2024'!$Z$76)</f>
        <v>0</v>
      </c>
      <c r="Q107" s="21">
        <f t="shared" si="118"/>
        <v>0</v>
      </c>
      <c r="R107" s="23">
        <f>SUMIFS('Registre de reserves'!$W$2:$W$1178,'Registre de reserves'!$T$2:$T$1178,"NO",'Registre de reserves'!$I$2:$I$1178,'2024'!$A107,'Registre de reserves'!$B$2:$B$1178,'2024'!R$2,Tabla1[ANY],'2024'!$Z$76)</f>
        <v>0</v>
      </c>
      <c r="S107" s="21">
        <f t="shared" si="119"/>
        <v>0</v>
      </c>
      <c r="T107" s="23">
        <f>SUMIFS('Registre de reserves'!$W$2:$W$1178,'Registre de reserves'!$T$2:$T$1178,"NO",'Registre de reserves'!$I$2:$I$1178,'2024'!$A107,'Registre de reserves'!$B$2:$B$1178,'2024'!T$2,Tabla1[ANY],'2024'!$Z$76)</f>
        <v>0</v>
      </c>
      <c r="U107" s="21">
        <f t="shared" si="120"/>
        <v>0</v>
      </c>
      <c r="V107" s="23">
        <f>SUMIFS('Registre de reserves'!$W$2:$W$1178,'Registre de reserves'!$T$2:$T$1178,"NO",'Registre de reserves'!$I$2:$I$1178,'2024'!$A107,'Registre de reserves'!$B$2:$B$1178,'2024'!V$2,Tabla1[ANY],'2024'!$Z$76)</f>
        <v>0</v>
      </c>
      <c r="W107" s="21">
        <f t="shared" si="121"/>
        <v>0</v>
      </c>
      <c r="X107" s="23">
        <f>SUMIFS('Registre de reserves'!$W$2:$W$1178,'Registre de reserves'!$T$2:$T$1178,"NO",'Registre de reserves'!$I$2:$I$1178,'2024'!$A107,'Registre de reserves'!$B$2:$B$1178,'2024'!X$2,Tabla1[ANY],'2024'!$Z$76)</f>
        <v>0</v>
      </c>
      <c r="Y107" s="21">
        <f t="shared" si="122"/>
        <v>0</v>
      </c>
      <c r="Z107" s="20">
        <f t="shared" si="100"/>
        <v>0</v>
      </c>
      <c r="AA107" s="21">
        <f>IF(Z$105=0,0,Z107/Z$105)</f>
        <v>0</v>
      </c>
    </row>
    <row r="108" spans="1:27" hidden="1" outlineLevel="1" x14ac:dyDescent="0.2">
      <c r="A108" s="8" t="s">
        <v>4</v>
      </c>
      <c r="B108" s="23">
        <f>SUMIFS('Registre de reserves'!$W$2:$W$1178,'Registre de reserves'!$T$2:$T$1178,"NO",'Registre de reserves'!$I$2:$I$1178,'2024'!$A108,'Registre de reserves'!$B$2:$B$1178,'2024'!B$2,Tabla1[ANY],'2024'!$Z$76)</f>
        <v>0</v>
      </c>
      <c r="C108" s="21">
        <f t="shared" si="123"/>
        <v>0</v>
      </c>
      <c r="D108" s="23">
        <f>SUMIFS('Registre de reserves'!$W$2:$W$1178,'Registre de reserves'!$T$2:$T$1178,"NO",'Registre de reserves'!$I$2:$I$1178,'2024'!$A108,'Registre de reserves'!$B$2:$B$1178,'2024'!D$2,Tabla1[ANY],'2024'!$Z$76)</f>
        <v>0</v>
      </c>
      <c r="E108" s="21">
        <f t="shared" si="123"/>
        <v>0</v>
      </c>
      <c r="F108" s="23">
        <f>SUMIFS('Registre de reserves'!$W$2:$W$1178,'Registre de reserves'!$T$2:$T$1178,"NO",'Registre de reserves'!$I$2:$I$1178,'2024'!$A108,'Registre de reserves'!$B$2:$B$1178,'2024'!F$2,Tabla1[ANY],'2024'!$Z$76)</f>
        <v>0</v>
      </c>
      <c r="G108" s="21">
        <f t="shared" si="113"/>
        <v>0</v>
      </c>
      <c r="H108" s="23">
        <f>SUMIFS('Registre de reserves'!$W$2:$W$1178,'Registre de reserves'!$T$2:$T$1178,"NO",'Registre de reserves'!$I$2:$I$1178,'2024'!$A108,'Registre de reserves'!$B$2:$B$1178,'2024'!H$2,Tabla1[ANY],'2024'!$Z$76)</f>
        <v>0</v>
      </c>
      <c r="I108" s="21">
        <f t="shared" si="114"/>
        <v>0</v>
      </c>
      <c r="J108" s="23">
        <f>SUMIFS('Registre de reserves'!$W$2:$W$1178,'Registre de reserves'!$T$2:$T$1178,"NO",'Registre de reserves'!$I$2:$I$1178,'2024'!$A108,'Registre de reserves'!$B$2:$B$1178,'2024'!J$2,Tabla1[ANY],'2024'!$Z$76)</f>
        <v>0</v>
      </c>
      <c r="K108" s="21">
        <f t="shared" si="115"/>
        <v>0</v>
      </c>
      <c r="L108" s="23">
        <f>SUMIFS('Registre de reserves'!$W$2:$W$1178,'Registre de reserves'!$T$2:$T$1178,"NO",'Registre de reserves'!$I$2:$I$1178,'2024'!$A108,'Registre de reserves'!$B$2:$B$1178,'2024'!L$2,Tabla1[ANY],'2024'!$Z$76)</f>
        <v>0</v>
      </c>
      <c r="M108" s="21">
        <f t="shared" si="116"/>
        <v>0</v>
      </c>
      <c r="N108" s="23">
        <f>SUMIFS('Registre de reserves'!$W$2:$W$1178,'Registre de reserves'!$T$2:$T$1178,"NO",'Registre de reserves'!$I$2:$I$1178,'2024'!$A108,'Registre de reserves'!$B$2:$B$1178,'2024'!N$2,Tabla1[ANY],'2024'!$Z$76)</f>
        <v>0</v>
      </c>
      <c r="O108" s="21">
        <f t="shared" si="117"/>
        <v>0</v>
      </c>
      <c r="P108" s="23">
        <f>SUMIFS('Registre de reserves'!$W$2:$W$1178,'Registre de reserves'!$T$2:$T$1178,"NO",'Registre de reserves'!$I$2:$I$1178,'2024'!$A108,'Registre de reserves'!$B$2:$B$1178,'2024'!P$2,Tabla1[ANY],'2024'!$Z$76)</f>
        <v>0</v>
      </c>
      <c r="Q108" s="21">
        <f t="shared" si="118"/>
        <v>0</v>
      </c>
      <c r="R108" s="23">
        <f>SUMIFS('Registre de reserves'!$W$2:$W$1178,'Registre de reserves'!$T$2:$T$1178,"NO",'Registre de reserves'!$I$2:$I$1178,'2024'!$A108,'Registre de reserves'!$B$2:$B$1178,'2024'!R$2,Tabla1[ANY],'2024'!$Z$76)</f>
        <v>0</v>
      </c>
      <c r="S108" s="21">
        <f t="shared" si="119"/>
        <v>0</v>
      </c>
      <c r="T108" s="23">
        <f>SUMIFS('Registre de reserves'!$W$2:$W$1178,'Registre de reserves'!$T$2:$T$1178,"NO",'Registre de reserves'!$I$2:$I$1178,'2024'!$A108,'Registre de reserves'!$B$2:$B$1178,'2024'!T$2,Tabla1[ANY],'2024'!$Z$76)</f>
        <v>0</v>
      </c>
      <c r="U108" s="21">
        <f t="shared" si="120"/>
        <v>0</v>
      </c>
      <c r="V108" s="23">
        <f>SUMIFS('Registre de reserves'!$W$2:$W$1178,'Registre de reserves'!$T$2:$T$1178,"NO",'Registre de reserves'!$I$2:$I$1178,'2024'!$A108,'Registre de reserves'!$B$2:$B$1178,'2024'!V$2,Tabla1[ANY],'2024'!$Z$76)</f>
        <v>0</v>
      </c>
      <c r="W108" s="21">
        <f t="shared" si="121"/>
        <v>0</v>
      </c>
      <c r="X108" s="23">
        <f>SUMIFS('Registre de reserves'!$W$2:$W$1178,'Registre de reserves'!$T$2:$T$1178,"NO",'Registre de reserves'!$I$2:$I$1178,'2024'!$A108,'Registre de reserves'!$B$2:$B$1178,'2024'!X$2,Tabla1[ANY],'2024'!$Z$76)</f>
        <v>0</v>
      </c>
      <c r="Y108" s="21">
        <f t="shared" si="122"/>
        <v>0</v>
      </c>
      <c r="Z108" s="20">
        <f t="shared" si="100"/>
        <v>0</v>
      </c>
      <c r="AA108" s="21">
        <f t="shared" ref="AA108:AA113" si="124">IF(Z$105=0,0,Z108/Z$105)</f>
        <v>0</v>
      </c>
    </row>
    <row r="109" spans="1:27" hidden="1" outlineLevel="1" x14ac:dyDescent="0.2">
      <c r="A109" s="8" t="s">
        <v>71</v>
      </c>
      <c r="B109" s="23">
        <f>SUMIFS('Registre de reserves'!$W$2:$W$1178,'Registre de reserves'!$T$2:$T$1178,"NO",'Registre de reserves'!$I$2:$I$1178,'2024'!$A109,'Registre de reserves'!$B$2:$B$1178,'2024'!B$2,Tabla1[ANY],'2024'!$Z$76)</f>
        <v>0</v>
      </c>
      <c r="C109" s="21">
        <f t="shared" si="123"/>
        <v>0</v>
      </c>
      <c r="D109" s="23">
        <f>SUMIFS('Registre de reserves'!$W$2:$W$1178,'Registre de reserves'!$T$2:$T$1178,"NO",'Registre de reserves'!$I$2:$I$1178,'2024'!$A109,'Registre de reserves'!$B$2:$B$1178,'2024'!D$2,Tabla1[ANY],'2024'!$Z$76)</f>
        <v>0</v>
      </c>
      <c r="E109" s="21">
        <f t="shared" si="123"/>
        <v>0</v>
      </c>
      <c r="F109" s="23">
        <f>SUMIFS('Registre de reserves'!$W$2:$W$1178,'Registre de reserves'!$T$2:$T$1178,"NO",'Registre de reserves'!$I$2:$I$1178,'2024'!$A109,'Registre de reserves'!$B$2:$B$1178,'2024'!F$2,Tabla1[ANY],'2024'!$Z$76)</f>
        <v>0</v>
      </c>
      <c r="G109" s="21">
        <f t="shared" si="113"/>
        <v>0</v>
      </c>
      <c r="H109" s="23">
        <f>SUMIFS('Registre de reserves'!$W$2:$W$1178,'Registre de reserves'!$T$2:$T$1178,"NO",'Registre de reserves'!$I$2:$I$1178,'2024'!$A109,'Registre de reserves'!$B$2:$B$1178,'2024'!H$2,Tabla1[ANY],'2024'!$Z$76)</f>
        <v>0</v>
      </c>
      <c r="I109" s="21">
        <f t="shared" si="114"/>
        <v>0</v>
      </c>
      <c r="J109" s="23">
        <f>SUMIFS('Registre de reserves'!$W$2:$W$1178,'Registre de reserves'!$T$2:$T$1178,"NO",'Registre de reserves'!$I$2:$I$1178,'2024'!$A109,'Registre de reserves'!$B$2:$B$1178,'2024'!J$2,Tabla1[ANY],'2024'!$Z$76)</f>
        <v>0</v>
      </c>
      <c r="K109" s="21">
        <f t="shared" si="115"/>
        <v>0</v>
      </c>
      <c r="L109" s="23">
        <f>SUMIFS('Registre de reserves'!$W$2:$W$1178,'Registre de reserves'!$T$2:$T$1178,"NO",'Registre de reserves'!$I$2:$I$1178,'2024'!$A109,'Registre de reserves'!$B$2:$B$1178,'2024'!L$2,Tabla1[ANY],'2024'!$Z$76)</f>
        <v>0</v>
      </c>
      <c r="M109" s="21">
        <f t="shared" si="116"/>
        <v>0</v>
      </c>
      <c r="N109" s="23">
        <f>SUMIFS('Registre de reserves'!$W$2:$W$1178,'Registre de reserves'!$T$2:$T$1178,"NO",'Registre de reserves'!$I$2:$I$1178,'2024'!$A109,'Registre de reserves'!$B$2:$B$1178,'2024'!N$2,Tabla1[ANY],'2024'!$Z$76)</f>
        <v>0</v>
      </c>
      <c r="O109" s="21">
        <f t="shared" si="117"/>
        <v>0</v>
      </c>
      <c r="P109" s="23">
        <f>SUMIFS('Registre de reserves'!$W$2:$W$1178,'Registre de reserves'!$T$2:$T$1178,"NO",'Registre de reserves'!$I$2:$I$1178,'2024'!$A109,'Registre de reserves'!$B$2:$B$1178,'2024'!P$2,Tabla1[ANY],'2024'!$Z$76)</f>
        <v>0</v>
      </c>
      <c r="Q109" s="21">
        <f t="shared" si="118"/>
        <v>0</v>
      </c>
      <c r="R109" s="23">
        <f>SUMIFS('Registre de reserves'!$W$2:$W$1178,'Registre de reserves'!$T$2:$T$1178,"NO",'Registre de reserves'!$I$2:$I$1178,'2024'!$A109,'Registre de reserves'!$B$2:$B$1178,'2024'!R$2,Tabla1[ANY],'2024'!$Z$76)</f>
        <v>0</v>
      </c>
      <c r="S109" s="21">
        <f t="shared" si="119"/>
        <v>0</v>
      </c>
      <c r="T109" s="23">
        <f>SUMIFS('Registre de reserves'!$W$2:$W$1178,'Registre de reserves'!$T$2:$T$1178,"NO",'Registre de reserves'!$I$2:$I$1178,'2024'!$A109,'Registre de reserves'!$B$2:$B$1178,'2024'!T$2,Tabla1[ANY],'2024'!$Z$76)</f>
        <v>0</v>
      </c>
      <c r="U109" s="21">
        <f t="shared" si="120"/>
        <v>0</v>
      </c>
      <c r="V109" s="23">
        <f>SUMIFS('Registre de reserves'!$W$2:$W$1178,'Registre de reserves'!$T$2:$T$1178,"NO",'Registre de reserves'!$I$2:$I$1178,'2024'!$A109,'Registre de reserves'!$B$2:$B$1178,'2024'!V$2,Tabla1[ANY],'2024'!$Z$76)</f>
        <v>0</v>
      </c>
      <c r="W109" s="21">
        <f t="shared" si="121"/>
        <v>0</v>
      </c>
      <c r="X109" s="23">
        <f>SUMIFS('Registre de reserves'!$W$2:$W$1178,'Registre de reserves'!$T$2:$T$1178,"NO",'Registre de reserves'!$I$2:$I$1178,'2024'!$A109,'Registre de reserves'!$B$2:$B$1178,'2024'!X$2,Tabla1[ANY],'2024'!$Z$76)</f>
        <v>0</v>
      </c>
      <c r="Y109" s="21">
        <f t="shared" si="122"/>
        <v>0</v>
      </c>
      <c r="Z109" s="20">
        <f t="shared" si="100"/>
        <v>0</v>
      </c>
      <c r="AA109" s="21">
        <f t="shared" si="124"/>
        <v>0</v>
      </c>
    </row>
    <row r="110" spans="1:27" hidden="1" outlineLevel="1" x14ac:dyDescent="0.2">
      <c r="A110" s="8" t="s">
        <v>72</v>
      </c>
      <c r="B110" s="23">
        <f>SUMIFS('Registre de reserves'!$W$2:$W$1178,'Registre de reserves'!$T$2:$T$1178,"NO",'Registre de reserves'!$I$2:$I$1178,'2024'!$A110,'Registre de reserves'!$B$2:$B$1178,'2024'!B$2,Tabla1[ANY],'2024'!$Z$76)</f>
        <v>0</v>
      </c>
      <c r="C110" s="21">
        <f t="shared" si="123"/>
        <v>0</v>
      </c>
      <c r="D110" s="23">
        <f>SUMIFS('Registre de reserves'!$W$2:$W$1178,'Registre de reserves'!$T$2:$T$1178,"NO",'Registre de reserves'!$I$2:$I$1178,'2024'!$A110,'Registre de reserves'!$B$2:$B$1178,'2024'!D$2,Tabla1[ANY],'2024'!$Z$76)</f>
        <v>0</v>
      </c>
      <c r="E110" s="21">
        <f t="shared" si="123"/>
        <v>0</v>
      </c>
      <c r="F110" s="23">
        <f>SUMIFS('Registre de reserves'!$W$2:$W$1178,'Registre de reserves'!$T$2:$T$1178,"NO",'Registre de reserves'!$I$2:$I$1178,'2024'!$A110,'Registre de reserves'!$B$2:$B$1178,'2024'!F$2,Tabla1[ANY],'2024'!$Z$76)</f>
        <v>0</v>
      </c>
      <c r="G110" s="21">
        <f t="shared" si="113"/>
        <v>0</v>
      </c>
      <c r="H110" s="23">
        <f>SUMIFS('Registre de reserves'!$W$2:$W$1178,'Registre de reserves'!$T$2:$T$1178,"NO",'Registre de reserves'!$I$2:$I$1178,'2024'!$A110,'Registre de reserves'!$B$2:$B$1178,'2024'!H$2,Tabla1[ANY],'2024'!$Z$76)</f>
        <v>0</v>
      </c>
      <c r="I110" s="21">
        <f t="shared" si="114"/>
        <v>0</v>
      </c>
      <c r="J110" s="23">
        <f>SUMIFS('Registre de reserves'!$W$2:$W$1178,'Registre de reserves'!$T$2:$T$1178,"NO",'Registre de reserves'!$I$2:$I$1178,'2024'!$A110,'Registre de reserves'!$B$2:$B$1178,'2024'!J$2,Tabla1[ANY],'2024'!$Z$76)</f>
        <v>0</v>
      </c>
      <c r="K110" s="21">
        <f t="shared" si="115"/>
        <v>0</v>
      </c>
      <c r="L110" s="23">
        <f>SUMIFS('Registre de reserves'!$W$2:$W$1178,'Registre de reserves'!$T$2:$T$1178,"NO",'Registre de reserves'!$I$2:$I$1178,'2024'!$A110,'Registre de reserves'!$B$2:$B$1178,'2024'!L$2,Tabla1[ANY],'2024'!$Z$76)</f>
        <v>0</v>
      </c>
      <c r="M110" s="21">
        <f t="shared" si="116"/>
        <v>0</v>
      </c>
      <c r="N110" s="23">
        <f>SUMIFS('Registre de reserves'!$W$2:$W$1178,'Registre de reserves'!$T$2:$T$1178,"NO",'Registre de reserves'!$I$2:$I$1178,'2024'!$A110,'Registre de reserves'!$B$2:$B$1178,'2024'!N$2,Tabla1[ANY],'2024'!$Z$76)</f>
        <v>0</v>
      </c>
      <c r="O110" s="21">
        <f t="shared" si="117"/>
        <v>0</v>
      </c>
      <c r="P110" s="23">
        <f>SUMIFS('Registre de reserves'!$W$2:$W$1178,'Registre de reserves'!$T$2:$T$1178,"NO",'Registre de reserves'!$I$2:$I$1178,'2024'!$A110,'Registre de reserves'!$B$2:$B$1178,'2024'!P$2,Tabla1[ANY],'2024'!$Z$76)</f>
        <v>0</v>
      </c>
      <c r="Q110" s="21">
        <f t="shared" si="118"/>
        <v>0</v>
      </c>
      <c r="R110" s="23">
        <f>SUMIFS('Registre de reserves'!$W$2:$W$1178,'Registre de reserves'!$T$2:$T$1178,"NO",'Registre de reserves'!$I$2:$I$1178,'2024'!$A110,'Registre de reserves'!$B$2:$B$1178,'2024'!R$2,Tabla1[ANY],'2024'!$Z$76)</f>
        <v>0</v>
      </c>
      <c r="S110" s="21">
        <f t="shared" si="119"/>
        <v>0</v>
      </c>
      <c r="T110" s="23">
        <f>SUMIFS('Registre de reserves'!$W$2:$W$1178,'Registre de reserves'!$T$2:$T$1178,"NO",'Registre de reserves'!$I$2:$I$1178,'2024'!$A110,'Registre de reserves'!$B$2:$B$1178,'2024'!T$2,Tabla1[ANY],'2024'!$Z$76)</f>
        <v>0</v>
      </c>
      <c r="U110" s="21">
        <f t="shared" si="120"/>
        <v>0</v>
      </c>
      <c r="V110" s="23">
        <f>SUMIFS('Registre de reserves'!$W$2:$W$1178,'Registre de reserves'!$T$2:$T$1178,"NO",'Registre de reserves'!$I$2:$I$1178,'2024'!$A110,'Registre de reserves'!$B$2:$B$1178,'2024'!V$2,Tabla1[ANY],'2024'!$Z$76)</f>
        <v>0</v>
      </c>
      <c r="W110" s="21">
        <f t="shared" si="121"/>
        <v>0</v>
      </c>
      <c r="X110" s="23">
        <f>SUMIFS('Registre de reserves'!$W$2:$W$1178,'Registre de reserves'!$T$2:$T$1178,"NO",'Registre de reserves'!$I$2:$I$1178,'2024'!$A110,'Registre de reserves'!$B$2:$B$1178,'2024'!X$2,Tabla1[ANY],'2024'!$Z$76)</f>
        <v>0</v>
      </c>
      <c r="Y110" s="21">
        <f t="shared" si="122"/>
        <v>0</v>
      </c>
      <c r="Z110" s="20">
        <f t="shared" si="100"/>
        <v>0</v>
      </c>
      <c r="AA110" s="21">
        <f t="shared" si="124"/>
        <v>0</v>
      </c>
    </row>
    <row r="111" spans="1:27" hidden="1" outlineLevel="1" x14ac:dyDescent="0.2">
      <c r="A111" s="8" t="s">
        <v>69</v>
      </c>
      <c r="B111" s="23">
        <f>SUMIFS('Registre de reserves'!$W$2:$W$1178,'Registre de reserves'!$T$2:$T$1178,"NO",'Registre de reserves'!$I$2:$I$1178,'2024'!$A111,'Registre de reserves'!$B$2:$B$1178,'2024'!B$2,Tabla1[ANY],'2024'!$Z$76)</f>
        <v>0</v>
      </c>
      <c r="C111" s="21">
        <f t="shared" si="123"/>
        <v>0</v>
      </c>
      <c r="D111" s="23">
        <f>SUMIFS('Registre de reserves'!$W$2:$W$1178,'Registre de reserves'!$T$2:$T$1178,"NO",'Registre de reserves'!$I$2:$I$1178,'2024'!$A111,'Registre de reserves'!$B$2:$B$1178,'2024'!D$2,Tabla1[ANY],'2024'!$Z$76)</f>
        <v>0</v>
      </c>
      <c r="E111" s="21">
        <f t="shared" si="123"/>
        <v>0</v>
      </c>
      <c r="F111" s="23">
        <f>SUMIFS('Registre de reserves'!$W$2:$W$1178,'Registre de reserves'!$T$2:$T$1178,"NO",'Registre de reserves'!$I$2:$I$1178,'2024'!$A111,'Registre de reserves'!$B$2:$B$1178,'2024'!F$2,Tabla1[ANY],'2024'!$Z$76)</f>
        <v>0</v>
      </c>
      <c r="G111" s="21">
        <f t="shared" si="113"/>
        <v>0</v>
      </c>
      <c r="H111" s="23">
        <f>SUMIFS('Registre de reserves'!$W$2:$W$1178,'Registre de reserves'!$T$2:$T$1178,"NO",'Registre de reserves'!$I$2:$I$1178,'2024'!$A111,'Registre de reserves'!$B$2:$B$1178,'2024'!H$2,Tabla1[ANY],'2024'!$Z$76)</f>
        <v>0</v>
      </c>
      <c r="I111" s="21">
        <f t="shared" si="114"/>
        <v>0</v>
      </c>
      <c r="J111" s="23">
        <f>SUMIFS('Registre de reserves'!$W$2:$W$1178,'Registre de reserves'!$T$2:$T$1178,"NO",'Registre de reserves'!$I$2:$I$1178,'2024'!$A111,'Registre de reserves'!$B$2:$B$1178,'2024'!J$2,Tabla1[ANY],'2024'!$Z$76)</f>
        <v>0</v>
      </c>
      <c r="K111" s="21">
        <f t="shared" si="115"/>
        <v>0</v>
      </c>
      <c r="L111" s="23">
        <f>SUMIFS('Registre de reserves'!$W$2:$W$1178,'Registre de reserves'!$T$2:$T$1178,"NO",'Registre de reserves'!$I$2:$I$1178,'2024'!$A111,'Registre de reserves'!$B$2:$B$1178,'2024'!L$2,Tabla1[ANY],'2024'!$Z$76)</f>
        <v>0</v>
      </c>
      <c r="M111" s="21">
        <f t="shared" si="116"/>
        <v>0</v>
      </c>
      <c r="N111" s="23">
        <f>SUMIFS('Registre de reserves'!$W$2:$W$1178,'Registre de reserves'!$T$2:$T$1178,"NO",'Registre de reserves'!$I$2:$I$1178,'2024'!$A111,'Registre de reserves'!$B$2:$B$1178,'2024'!N$2,Tabla1[ANY],'2024'!$Z$76)</f>
        <v>0</v>
      </c>
      <c r="O111" s="21">
        <f t="shared" si="117"/>
        <v>0</v>
      </c>
      <c r="P111" s="23">
        <f>SUMIFS('Registre de reserves'!$W$2:$W$1178,'Registre de reserves'!$T$2:$T$1178,"NO",'Registre de reserves'!$I$2:$I$1178,'2024'!$A111,'Registre de reserves'!$B$2:$B$1178,'2024'!P$2,Tabla1[ANY],'2024'!$Z$76)</f>
        <v>0</v>
      </c>
      <c r="Q111" s="21">
        <f t="shared" si="118"/>
        <v>0</v>
      </c>
      <c r="R111" s="23">
        <f>SUMIFS('Registre de reserves'!$W$2:$W$1178,'Registre de reserves'!$T$2:$T$1178,"NO",'Registre de reserves'!$I$2:$I$1178,'2024'!$A111,'Registre de reserves'!$B$2:$B$1178,'2024'!R$2,Tabla1[ANY],'2024'!$Z$76)</f>
        <v>0</v>
      </c>
      <c r="S111" s="21">
        <f t="shared" si="119"/>
        <v>0</v>
      </c>
      <c r="T111" s="23">
        <f>SUMIFS('Registre de reserves'!$W$2:$W$1178,'Registre de reserves'!$T$2:$T$1178,"NO",'Registre de reserves'!$I$2:$I$1178,'2024'!$A111,'Registre de reserves'!$B$2:$B$1178,'2024'!T$2,Tabla1[ANY],'2024'!$Z$76)</f>
        <v>0</v>
      </c>
      <c r="U111" s="21">
        <f t="shared" si="120"/>
        <v>0</v>
      </c>
      <c r="V111" s="23">
        <f>SUMIFS('Registre de reserves'!$W$2:$W$1178,'Registre de reserves'!$T$2:$T$1178,"NO",'Registre de reserves'!$I$2:$I$1178,'2024'!$A111,'Registre de reserves'!$B$2:$B$1178,'2024'!V$2,Tabla1[ANY],'2024'!$Z$76)</f>
        <v>0</v>
      </c>
      <c r="W111" s="21">
        <f t="shared" si="121"/>
        <v>0</v>
      </c>
      <c r="X111" s="23">
        <f>SUMIFS('Registre de reserves'!$W$2:$W$1178,'Registre de reserves'!$T$2:$T$1178,"NO",'Registre de reserves'!$I$2:$I$1178,'2024'!$A111,'Registre de reserves'!$B$2:$B$1178,'2024'!X$2,Tabla1[ANY],'2024'!$Z$76)</f>
        <v>0</v>
      </c>
      <c r="Y111" s="21">
        <f t="shared" si="122"/>
        <v>0</v>
      </c>
      <c r="Z111" s="20">
        <f t="shared" si="100"/>
        <v>0</v>
      </c>
      <c r="AA111" s="21">
        <f t="shared" si="124"/>
        <v>0</v>
      </c>
    </row>
    <row r="112" spans="1:27" hidden="1" outlineLevel="1" x14ac:dyDescent="0.2">
      <c r="A112" s="8" t="s">
        <v>70</v>
      </c>
      <c r="B112" s="23">
        <f>SUMIFS('Registre de reserves'!$W$2:$W$1178,'Registre de reserves'!$T$2:$T$1178,"NO",'Registre de reserves'!$I$2:$I$1178,'2024'!$A112,'Registre de reserves'!$B$2:$B$1178,'2024'!B$2,Tabla1[ANY],'2024'!$Z$76)</f>
        <v>0</v>
      </c>
      <c r="C112" s="21">
        <f t="shared" si="123"/>
        <v>0</v>
      </c>
      <c r="D112" s="23">
        <f>SUMIFS('Registre de reserves'!$W$2:$W$1178,'Registre de reserves'!$T$2:$T$1178,"NO",'Registre de reserves'!$I$2:$I$1178,'2024'!$A112,'Registre de reserves'!$B$2:$B$1178,'2024'!D$2,Tabla1[ANY],'2024'!$Z$76)</f>
        <v>0</v>
      </c>
      <c r="E112" s="21">
        <f t="shared" si="123"/>
        <v>0</v>
      </c>
      <c r="F112" s="23">
        <f>SUMIFS('Registre de reserves'!$W$2:$W$1178,'Registre de reserves'!$T$2:$T$1178,"NO",'Registre de reserves'!$I$2:$I$1178,'2024'!$A112,'Registre de reserves'!$B$2:$B$1178,'2024'!F$2,Tabla1[ANY],'2024'!$Z$76)</f>
        <v>0</v>
      </c>
      <c r="G112" s="21">
        <f t="shared" si="113"/>
        <v>0</v>
      </c>
      <c r="H112" s="23">
        <f>SUMIFS('Registre de reserves'!$W$2:$W$1178,'Registre de reserves'!$T$2:$T$1178,"NO",'Registre de reserves'!$I$2:$I$1178,'2024'!$A112,'Registre de reserves'!$B$2:$B$1178,'2024'!H$2,Tabla1[ANY],'2024'!$Z$76)</f>
        <v>0</v>
      </c>
      <c r="I112" s="21">
        <f t="shared" si="114"/>
        <v>0</v>
      </c>
      <c r="J112" s="23">
        <f>SUMIFS('Registre de reserves'!$W$2:$W$1178,'Registre de reserves'!$T$2:$T$1178,"NO",'Registre de reserves'!$I$2:$I$1178,'2024'!$A112,'Registre de reserves'!$B$2:$B$1178,'2024'!J$2,Tabla1[ANY],'2024'!$Z$76)</f>
        <v>0</v>
      </c>
      <c r="K112" s="21">
        <f t="shared" si="115"/>
        <v>0</v>
      </c>
      <c r="L112" s="23">
        <f>SUMIFS('Registre de reserves'!$W$2:$W$1178,'Registre de reserves'!$T$2:$T$1178,"NO",'Registre de reserves'!$I$2:$I$1178,'2024'!$A112,'Registre de reserves'!$B$2:$B$1178,'2024'!L$2,Tabla1[ANY],'2024'!$Z$76)</f>
        <v>0</v>
      </c>
      <c r="M112" s="21">
        <f t="shared" si="116"/>
        <v>0</v>
      </c>
      <c r="N112" s="23">
        <f>SUMIFS('Registre de reserves'!$W$2:$W$1178,'Registre de reserves'!$T$2:$T$1178,"NO",'Registre de reserves'!$I$2:$I$1178,'2024'!$A112,'Registre de reserves'!$B$2:$B$1178,'2024'!N$2,Tabla1[ANY],'2024'!$Z$76)</f>
        <v>0</v>
      </c>
      <c r="O112" s="21">
        <f t="shared" si="117"/>
        <v>0</v>
      </c>
      <c r="P112" s="23">
        <f>SUMIFS('Registre de reserves'!$W$2:$W$1178,'Registre de reserves'!$T$2:$T$1178,"NO",'Registre de reserves'!$I$2:$I$1178,'2024'!$A112,'Registre de reserves'!$B$2:$B$1178,'2024'!P$2,Tabla1[ANY],'2024'!$Z$76)</f>
        <v>0</v>
      </c>
      <c r="Q112" s="21">
        <f t="shared" si="118"/>
        <v>0</v>
      </c>
      <c r="R112" s="23">
        <f>SUMIFS('Registre de reserves'!$W$2:$W$1178,'Registre de reserves'!$T$2:$T$1178,"NO",'Registre de reserves'!$I$2:$I$1178,'2024'!$A112,'Registre de reserves'!$B$2:$B$1178,'2024'!R$2,Tabla1[ANY],'2024'!$Z$76)</f>
        <v>0</v>
      </c>
      <c r="S112" s="21">
        <f t="shared" si="119"/>
        <v>0</v>
      </c>
      <c r="T112" s="23">
        <f>SUMIFS('Registre de reserves'!$W$2:$W$1178,'Registre de reserves'!$T$2:$T$1178,"NO",'Registre de reserves'!$I$2:$I$1178,'2024'!$A112,'Registre de reserves'!$B$2:$B$1178,'2024'!T$2,Tabla1[ANY],'2024'!$Z$76)</f>
        <v>0</v>
      </c>
      <c r="U112" s="21">
        <f t="shared" si="120"/>
        <v>0</v>
      </c>
      <c r="V112" s="23">
        <f>SUMIFS('Registre de reserves'!$W$2:$W$1178,'Registre de reserves'!$T$2:$T$1178,"NO",'Registre de reserves'!$I$2:$I$1178,'2024'!$A112,'Registre de reserves'!$B$2:$B$1178,'2024'!V$2,Tabla1[ANY],'2024'!$Z$76)</f>
        <v>0</v>
      </c>
      <c r="W112" s="21">
        <f t="shared" si="121"/>
        <v>0</v>
      </c>
      <c r="X112" s="23">
        <f>SUMIFS('Registre de reserves'!$W$2:$W$1178,'Registre de reserves'!$T$2:$T$1178,"NO",'Registre de reserves'!$I$2:$I$1178,'2024'!$A112,'Registre de reserves'!$B$2:$B$1178,'2024'!X$2,Tabla1[ANY],'2024'!$Z$76)</f>
        <v>0</v>
      </c>
      <c r="Y112" s="21">
        <f t="shared" si="122"/>
        <v>0</v>
      </c>
      <c r="Z112" s="20">
        <f t="shared" si="100"/>
        <v>0</v>
      </c>
      <c r="AA112" s="21">
        <f t="shared" si="124"/>
        <v>0</v>
      </c>
    </row>
    <row r="113" spans="1:27" hidden="1" outlineLevel="1" x14ac:dyDescent="0.2">
      <c r="A113" s="8" t="s">
        <v>73</v>
      </c>
      <c r="B113" s="23">
        <f>SUMIFS('Registre de reserves'!$W$2:$W$1178,'Registre de reserves'!$T$2:$T$1178,"NO",'Registre de reserves'!$I$2:$I$1178,'2024'!$A113,'Registre de reserves'!$B$2:$B$1178,'2024'!B$2,Tabla1[ANY],'2024'!$Z$76)</f>
        <v>0</v>
      </c>
      <c r="C113" s="21">
        <f t="shared" si="123"/>
        <v>0</v>
      </c>
      <c r="D113" s="23">
        <f>SUMIFS('Registre de reserves'!$W$2:$W$1178,'Registre de reserves'!$T$2:$T$1178,"NO",'Registre de reserves'!$I$2:$I$1178,'2024'!$A113,'Registre de reserves'!$B$2:$B$1178,'2024'!D$2,Tabla1[ANY],'2024'!$Z$76)</f>
        <v>0</v>
      </c>
      <c r="E113" s="21">
        <f t="shared" si="123"/>
        <v>0</v>
      </c>
      <c r="F113" s="23">
        <f>SUMIFS('Registre de reserves'!$W$2:$W$1178,'Registre de reserves'!$T$2:$T$1178,"NO",'Registre de reserves'!$I$2:$I$1178,'2024'!$A113,'Registre de reserves'!$B$2:$B$1178,'2024'!F$2,Tabla1[ANY],'2024'!$Z$76)</f>
        <v>0</v>
      </c>
      <c r="G113" s="21">
        <f t="shared" si="113"/>
        <v>0</v>
      </c>
      <c r="H113" s="23">
        <f>SUMIFS('Registre de reserves'!$W$2:$W$1178,'Registre de reserves'!$T$2:$T$1178,"NO",'Registre de reserves'!$I$2:$I$1178,'2024'!$A113,'Registre de reserves'!$B$2:$B$1178,'2024'!H$2,Tabla1[ANY],'2024'!$Z$76)</f>
        <v>0</v>
      </c>
      <c r="I113" s="21">
        <f t="shared" si="114"/>
        <v>0</v>
      </c>
      <c r="J113" s="23">
        <f>SUMIFS('Registre de reserves'!$W$2:$W$1178,'Registre de reserves'!$T$2:$T$1178,"NO",'Registre de reserves'!$I$2:$I$1178,'2024'!$A113,'Registre de reserves'!$B$2:$B$1178,'2024'!J$2,Tabla1[ANY],'2024'!$Z$76)</f>
        <v>0</v>
      </c>
      <c r="K113" s="21">
        <f t="shared" si="115"/>
        <v>0</v>
      </c>
      <c r="L113" s="23">
        <f>SUMIFS('Registre de reserves'!$W$2:$W$1178,'Registre de reserves'!$T$2:$T$1178,"NO",'Registre de reserves'!$I$2:$I$1178,'2024'!$A113,'Registre de reserves'!$B$2:$B$1178,'2024'!L$2,Tabla1[ANY],'2024'!$Z$76)</f>
        <v>0</v>
      </c>
      <c r="M113" s="21">
        <f t="shared" si="116"/>
        <v>0</v>
      </c>
      <c r="N113" s="23">
        <f>SUMIFS('Registre de reserves'!$W$2:$W$1178,'Registre de reserves'!$T$2:$T$1178,"NO",'Registre de reserves'!$I$2:$I$1178,'2024'!$A113,'Registre de reserves'!$B$2:$B$1178,'2024'!N$2,Tabla1[ANY],'2024'!$Z$76)</f>
        <v>0</v>
      </c>
      <c r="O113" s="21">
        <f t="shared" si="117"/>
        <v>0</v>
      </c>
      <c r="P113" s="23">
        <f>SUMIFS('Registre de reserves'!$W$2:$W$1178,'Registre de reserves'!$T$2:$T$1178,"NO",'Registre de reserves'!$I$2:$I$1178,'2024'!$A113,'Registre de reserves'!$B$2:$B$1178,'2024'!P$2,Tabla1[ANY],'2024'!$Z$76)</f>
        <v>0</v>
      </c>
      <c r="Q113" s="21">
        <f t="shared" si="118"/>
        <v>0</v>
      </c>
      <c r="R113" s="23">
        <f>SUMIFS('Registre de reserves'!$W$2:$W$1178,'Registre de reserves'!$T$2:$T$1178,"NO",'Registre de reserves'!$I$2:$I$1178,'2024'!$A113,'Registre de reserves'!$B$2:$B$1178,'2024'!R$2,Tabla1[ANY],'2024'!$Z$76)</f>
        <v>0</v>
      </c>
      <c r="S113" s="21">
        <f t="shared" si="119"/>
        <v>0</v>
      </c>
      <c r="T113" s="23">
        <f>SUMIFS('Registre de reserves'!$W$2:$W$1178,'Registre de reserves'!$T$2:$T$1178,"NO",'Registre de reserves'!$I$2:$I$1178,'2024'!$A113,'Registre de reserves'!$B$2:$B$1178,'2024'!T$2,Tabla1[ANY],'2024'!$Z$76)</f>
        <v>0</v>
      </c>
      <c r="U113" s="21">
        <f t="shared" si="120"/>
        <v>0</v>
      </c>
      <c r="V113" s="23">
        <f>SUMIFS('Registre de reserves'!$W$2:$W$1178,'Registre de reserves'!$T$2:$T$1178,"NO",'Registre de reserves'!$I$2:$I$1178,'2024'!$A113,'Registre de reserves'!$B$2:$B$1178,'2024'!V$2,Tabla1[ANY],'2024'!$Z$76)</f>
        <v>0</v>
      </c>
      <c r="W113" s="21">
        <f t="shared" si="121"/>
        <v>0</v>
      </c>
      <c r="X113" s="23">
        <f>SUMIFS('Registre de reserves'!$W$2:$W$1178,'Registre de reserves'!$T$2:$T$1178,"NO",'Registre de reserves'!$I$2:$I$1178,'2024'!$A113,'Registre de reserves'!$B$2:$B$1178,'2024'!X$2,Tabla1[ANY],'2024'!$Z$76)</f>
        <v>0</v>
      </c>
      <c r="Y113" s="21">
        <f t="shared" si="122"/>
        <v>0</v>
      </c>
      <c r="Z113" s="20">
        <f t="shared" si="100"/>
        <v>0</v>
      </c>
      <c r="AA113" s="21">
        <f t="shared" si="124"/>
        <v>0</v>
      </c>
    </row>
    <row r="114" spans="1:27" ht="15.75" collapsed="1" thickBot="1" x14ac:dyDescent="0.25">
      <c r="A114" s="14" t="s">
        <v>78</v>
      </c>
      <c r="B114" s="24">
        <f>B115+B123</f>
        <v>759.42000000000007</v>
      </c>
      <c r="C114" s="25">
        <f>IF(B173=0,0,B114/B77)</f>
        <v>0</v>
      </c>
      <c r="D114" s="24">
        <f>D115+D123</f>
        <v>813.63</v>
      </c>
      <c r="E114" s="25">
        <f>IF(D173=0,0,D114/D77)</f>
        <v>0</v>
      </c>
      <c r="F114" s="24">
        <f>F115+F123</f>
        <v>709.29</v>
      </c>
      <c r="G114" s="25">
        <f>IF(F173=0,0,F114/F77)</f>
        <v>0</v>
      </c>
      <c r="H114" s="24">
        <f>H115+H123</f>
        <v>601.24</v>
      </c>
      <c r="I114" s="25">
        <f>IF(H173=0,0,H114/H77)</f>
        <v>0</v>
      </c>
      <c r="J114" s="24">
        <f>J115+J123</f>
        <v>1067.2800000000002</v>
      </c>
      <c r="K114" s="25">
        <f>IF(J173=0,0,J114/J77)</f>
        <v>0</v>
      </c>
      <c r="L114" s="24">
        <f>L115+L123</f>
        <v>588.69000000000005</v>
      </c>
      <c r="M114" s="25">
        <f>IF(L173=0,0,L114/L77)</f>
        <v>0</v>
      </c>
      <c r="N114" s="24">
        <f>N115+N123</f>
        <v>1531.97</v>
      </c>
      <c r="O114" s="25">
        <f>IF(N173=0,0,N114/N77)</f>
        <v>0</v>
      </c>
      <c r="P114" s="24">
        <f>P115+P123</f>
        <v>875.5</v>
      </c>
      <c r="Q114" s="25">
        <f>IF(P173=0,0,P114/P77)</f>
        <v>0</v>
      </c>
      <c r="R114" s="24">
        <f>R115+R123</f>
        <v>612.74</v>
      </c>
      <c r="S114" s="25">
        <f>IF(R173=0,0,R114/R77)</f>
        <v>0</v>
      </c>
      <c r="T114" s="24">
        <f>T115+T123</f>
        <v>801.34</v>
      </c>
      <c r="U114" s="25">
        <f>IF(T173=0,0,T114/T77)</f>
        <v>0</v>
      </c>
      <c r="V114" s="24">
        <f>V115+V123</f>
        <v>915.77</v>
      </c>
      <c r="W114" s="25">
        <f>IF(V173=0,0,V114/V77)</f>
        <v>0</v>
      </c>
      <c r="X114" s="24">
        <f>X115+X123</f>
        <v>701.43</v>
      </c>
      <c r="Y114" s="25">
        <f>IF(X173=0,0,X114/X77)</f>
        <v>0</v>
      </c>
      <c r="Z114" s="24">
        <f>Z115+Z123</f>
        <v>9978.3000000000011</v>
      </c>
      <c r="AA114" s="25">
        <f>IF(Z173=0,0,Z114/Z77)</f>
        <v>0</v>
      </c>
    </row>
    <row r="115" spans="1:27" x14ac:dyDescent="0.2">
      <c r="A115" s="33" t="s">
        <v>79</v>
      </c>
      <c r="B115" s="18">
        <f>SUM(B116:B122)</f>
        <v>521.71</v>
      </c>
      <c r="C115" s="19">
        <f>IF(B$114=0,0,B115/B$114)</f>
        <v>0.68698480419267338</v>
      </c>
      <c r="D115" s="18">
        <f>SUM(D116:D122)</f>
        <v>524.74</v>
      </c>
      <c r="E115" s="19">
        <f>IF(D$114=0,0,D115/D$114)</f>
        <v>0.64493688777454128</v>
      </c>
      <c r="F115" s="18">
        <f>SUM(F116:F122)</f>
        <v>525.04999999999995</v>
      </c>
      <c r="G115" s="19">
        <f>IF(F$114=0,0,F115/F$114)</f>
        <v>0.74024728954306418</v>
      </c>
      <c r="H115" s="18">
        <f>SUM(H116:H122)</f>
        <v>524.74</v>
      </c>
      <c r="I115" s="19">
        <f>IF(H$114=0,0,H115/H$114)</f>
        <v>0.87276295655644998</v>
      </c>
      <c r="J115" s="18">
        <f>SUM(J116:J122)</f>
        <v>864.67000000000007</v>
      </c>
      <c r="K115" s="19">
        <f>IF(J$114=0,0,J115/J$114)</f>
        <v>0.81016228168802928</v>
      </c>
      <c r="L115" s="18">
        <f>SUM(L116:L122)</f>
        <v>524.74</v>
      </c>
      <c r="M115" s="19">
        <f>IF(L$114=0,0,L115/L$114)</f>
        <v>0.89136897178481023</v>
      </c>
      <c r="N115" s="18">
        <f>SUM(N116:N122)</f>
        <v>535.05999999999995</v>
      </c>
      <c r="O115" s="19">
        <f>IF(N$114=0,0,N115/N$114)</f>
        <v>0.34926271402181502</v>
      </c>
      <c r="P115" s="18">
        <f>SUM(P116:P122)</f>
        <v>525.24</v>
      </c>
      <c r="Q115" s="19">
        <f>IF(P$114=0,0,P115/P$114)</f>
        <v>0.59993146773272421</v>
      </c>
      <c r="R115" s="18">
        <f>SUM(R116:R122)</f>
        <v>525.74</v>
      </c>
      <c r="S115" s="19">
        <f>IF(R$114=0,0,R115/R$114)</f>
        <v>0.85801481868329144</v>
      </c>
      <c r="T115" s="18">
        <f>SUM(T116:T122)</f>
        <v>525.24</v>
      </c>
      <c r="U115" s="19">
        <f>IF(T$114=0,0,T115/T$114)</f>
        <v>0.65545211770284773</v>
      </c>
      <c r="V115" s="18">
        <f>SUM(V116:V122)</f>
        <v>533.36</v>
      </c>
      <c r="W115" s="19">
        <f>IF(V$114=0,0,V115/V$114)</f>
        <v>0.58241698243008622</v>
      </c>
      <c r="X115" s="18">
        <f>SUM(X116:X122)</f>
        <v>517.53</v>
      </c>
      <c r="Y115" s="19">
        <f>IF(X$114=0,0,X115/X$114)</f>
        <v>0.73782130789957656</v>
      </c>
      <c r="Z115" s="18">
        <f>SUM(Z116:Z122)</f>
        <v>6647.8200000000006</v>
      </c>
      <c r="AA115" s="19">
        <f>IF(Z$114=0,0,Z115/Z$114)</f>
        <v>0.66622771413968307</v>
      </c>
    </row>
    <row r="116" spans="1:27" hidden="1" outlineLevel="1" x14ac:dyDescent="0.2">
      <c r="A116" s="8" t="s">
        <v>16</v>
      </c>
      <c r="B116" s="20">
        <f>SUMIFS(Tabla2[A],Tabla2[ANY],$Z$76,Tabla2[MES],'2024'!B$2,Tabla2[TIPUS],'2024'!$A116)</f>
        <v>408</v>
      </c>
      <c r="C116" s="21">
        <f>IF(B$115=0,0,B116/B$115)</f>
        <v>0.78204366410457915</v>
      </c>
      <c r="D116" s="20">
        <f>SUMIFS(Tabla2[A],Tabla2[ANY],$Z$76,Tabla2[MES],'2024'!D$2,Tabla2[TIPUS],'2024'!$A116)</f>
        <v>408</v>
      </c>
      <c r="E116" s="21">
        <f>IF(D$115=0,0,D116/D$115)</f>
        <v>0.77752791858825321</v>
      </c>
      <c r="F116" s="20">
        <f>SUMIFS(Tabla2[A],Tabla2[ANY],$Z$76,Tabla2[MES],'2024'!F$2,Tabla2[TIPUS],'2024'!$A116)</f>
        <v>408</v>
      </c>
      <c r="G116" s="21">
        <f t="shared" ref="G116:G122" si="125">IF(F$115=0,0,F116/F$115)</f>
        <v>0.77706885058565855</v>
      </c>
      <c r="H116" s="20">
        <f>SUMIFS(Tabla2[A],Tabla2[ANY],$Z$76,Tabla2[MES],'2024'!H$2,Tabla2[TIPUS],'2024'!$A116)</f>
        <v>408</v>
      </c>
      <c r="I116" s="21">
        <f t="shared" ref="I116:I122" si="126">IF(H$115=0,0,H116/H$115)</f>
        <v>0.77752791858825321</v>
      </c>
      <c r="J116" s="20">
        <f>SUMIFS(Tabla2[A],Tabla2[ANY],$Z$76,Tabla2[MES],'2024'!J$2,Tabla2[TIPUS],'2024'!$A116)</f>
        <v>408</v>
      </c>
      <c r="K116" s="21">
        <f t="shared" ref="K116:K122" si="127">IF(J$115=0,0,J116/J$115)</f>
        <v>0.47185631512600179</v>
      </c>
      <c r="L116" s="20">
        <f>SUMIFS(Tabla2[A],Tabla2[ANY],$Z$76,Tabla2[MES],'2024'!L$2,Tabla2[TIPUS],'2024'!$A116)</f>
        <v>408</v>
      </c>
      <c r="M116" s="21">
        <f t="shared" ref="M116:M122" si="128">IF(L$115=0,0,L116/L$115)</f>
        <v>0.77752791858825321</v>
      </c>
      <c r="N116" s="20">
        <f>SUMIFS(Tabla2[A],Tabla2[ANY],$Z$76,Tabla2[MES],'2024'!N$2,Tabla2[TIPUS],'2024'!$A116)</f>
        <v>408</v>
      </c>
      <c r="O116" s="21">
        <f t="shared" ref="O116:O122" si="129">IF(N$115=0,0,N116/N$115)</f>
        <v>0.76253130490038512</v>
      </c>
      <c r="P116" s="20">
        <f>SUMIFS(Tabla2[A],Tabla2[ANY],$Z$76,Tabla2[MES],'2024'!P$2,Tabla2[TIPUS],'2024'!$A116)</f>
        <v>408</v>
      </c>
      <c r="Q116" s="21">
        <f t="shared" ref="Q116:Q122" si="130">IF(P$115=0,0,P116/P$115)</f>
        <v>0.7767877541695225</v>
      </c>
      <c r="R116" s="20">
        <f>SUMIFS(Tabla2[A],Tabla2[ANY],$Z$76,Tabla2[MES],'2024'!R$2,Tabla2[TIPUS],'2024'!$A116)</f>
        <v>409</v>
      </c>
      <c r="S116" s="21">
        <f t="shared" ref="S116:S122" si="131">IF(R$115=0,0,R116/R$115)</f>
        <v>0.77795107847985689</v>
      </c>
      <c r="T116" s="20">
        <f>SUMIFS(Tabla2[A],Tabla2[ANY],$Z$76,Tabla2[MES],'2024'!T$2,Tabla2[TIPUS],'2024'!$A116)</f>
        <v>408</v>
      </c>
      <c r="U116" s="21">
        <f t="shared" ref="U116:U122" si="132">IF(T$115=0,0,T116/T$115)</f>
        <v>0.7767877541695225</v>
      </c>
      <c r="V116" s="20">
        <f>SUMIFS(Tabla2[A],Tabla2[ANY],$Z$76,Tabla2[MES],'2024'!V$2,Tabla2[TIPUS],'2024'!$A116)</f>
        <v>408</v>
      </c>
      <c r="W116" s="21">
        <f t="shared" ref="W116:W122" si="133">IF(V$115=0,0,V116/V$115)</f>
        <v>0.76496175191240434</v>
      </c>
      <c r="X116" s="20">
        <f>SUMIFS(Tabla2[A],Tabla2[ANY],$Z$76,Tabla2[MES],'2024'!X$2,Tabla2[TIPUS],'2024'!$A116)</f>
        <v>408</v>
      </c>
      <c r="Y116" s="21">
        <f t="shared" ref="Y116:Y122" si="134">IF(X$115=0,0,X116/X$115)</f>
        <v>0.7883600950669527</v>
      </c>
      <c r="Z116" s="20">
        <f t="shared" ref="Z116:Z128" si="135">B116+D116+F116+H116+J116+L116+N116+P116+R116+T116+V116+X116</f>
        <v>4897</v>
      </c>
      <c r="AA116" s="21">
        <f>IF(Z$115=0,0,Z116/Z$115)</f>
        <v>0.73663245996431903</v>
      </c>
    </row>
    <row r="117" spans="1:27" hidden="1" outlineLevel="1" x14ac:dyDescent="0.2">
      <c r="A117" s="8" t="s">
        <v>17</v>
      </c>
      <c r="B117" s="20">
        <f>SUMIFS(Tabla2[A],Tabla2[ANY],$Z$76,Tabla2[MES],'2024'!B$2,Tabla2[TIPUS],'2024'!$A117)</f>
        <v>0</v>
      </c>
      <c r="C117" s="21">
        <f t="shared" ref="C117:E122" si="136">IF(B$115=0,0,B117/B$115)</f>
        <v>0</v>
      </c>
      <c r="D117" s="20">
        <f>SUMIFS(Tabla2[A],Tabla2[ANY],$Z$76,Tabla2[MES],'2024'!D$2,Tabla2[TIPUS],'2024'!$A117)</f>
        <v>0</v>
      </c>
      <c r="E117" s="21">
        <f t="shared" si="136"/>
        <v>0</v>
      </c>
      <c r="F117" s="20">
        <f>SUMIFS(Tabla2[A],Tabla2[ANY],$Z$76,Tabla2[MES],'2024'!F$2,Tabla2[TIPUS],'2024'!$A117)</f>
        <v>0</v>
      </c>
      <c r="G117" s="21">
        <f t="shared" si="125"/>
        <v>0</v>
      </c>
      <c r="H117" s="20">
        <f>SUMIFS(Tabla2[A],Tabla2[ANY],$Z$76,Tabla2[MES],'2024'!H$2,Tabla2[TIPUS],'2024'!$A117)</f>
        <v>0</v>
      </c>
      <c r="I117" s="21">
        <f t="shared" si="126"/>
        <v>0</v>
      </c>
      <c r="J117" s="20">
        <f>SUMIFS(Tabla2[A],Tabla2[ANY],$Z$76,Tabla2[MES],'2024'!J$2,Tabla2[TIPUS],'2024'!$A117)</f>
        <v>0</v>
      </c>
      <c r="K117" s="21">
        <f t="shared" si="127"/>
        <v>0</v>
      </c>
      <c r="L117" s="20">
        <f>SUMIFS(Tabla2[A],Tabla2[ANY],$Z$76,Tabla2[MES],'2024'!L$2,Tabla2[TIPUS],'2024'!$A117)</f>
        <v>0</v>
      </c>
      <c r="M117" s="21">
        <f t="shared" si="128"/>
        <v>0</v>
      </c>
      <c r="N117" s="20">
        <f>SUMIFS(Tabla2[A],Tabla2[ANY],$Z$76,Tabla2[MES],'2024'!N$2,Tabla2[TIPUS],'2024'!$A117)</f>
        <v>0</v>
      </c>
      <c r="O117" s="21">
        <f t="shared" si="129"/>
        <v>0</v>
      </c>
      <c r="P117" s="20">
        <f>SUMIFS(Tabla2[A],Tabla2[ANY],$Z$76,Tabla2[MES],'2024'!P$2,Tabla2[TIPUS],'2024'!$A117)</f>
        <v>0</v>
      </c>
      <c r="Q117" s="21">
        <f t="shared" si="130"/>
        <v>0</v>
      </c>
      <c r="R117" s="20">
        <f>SUMIFS(Tabla2[A],Tabla2[ANY],$Z$76,Tabla2[MES],'2024'!R$2,Tabla2[TIPUS],'2024'!$A117)</f>
        <v>0</v>
      </c>
      <c r="S117" s="21">
        <f t="shared" si="131"/>
        <v>0</v>
      </c>
      <c r="T117" s="20">
        <f>SUMIFS(Tabla2[A],Tabla2[ANY],$Z$76,Tabla2[MES],'2024'!T$2,Tabla2[TIPUS],'2024'!$A117)</f>
        <v>0</v>
      </c>
      <c r="U117" s="21">
        <f t="shared" si="132"/>
        <v>0</v>
      </c>
      <c r="V117" s="20">
        <f>SUMIFS(Tabla2[A],Tabla2[ANY],$Z$76,Tabla2[MES],'2024'!V$2,Tabla2[TIPUS],'2024'!$A117)</f>
        <v>0</v>
      </c>
      <c r="W117" s="21">
        <f t="shared" si="133"/>
        <v>0</v>
      </c>
      <c r="X117" s="20">
        <f>SUMIFS(Tabla2[A],Tabla2[ANY],$Z$76,Tabla2[MES],'2024'!X$2,Tabla2[TIPUS],'2024'!$A117)</f>
        <v>0</v>
      </c>
      <c r="Y117" s="21">
        <f t="shared" si="134"/>
        <v>0</v>
      </c>
      <c r="Z117" s="20">
        <f t="shared" si="135"/>
        <v>0</v>
      </c>
      <c r="AA117" s="21">
        <f t="shared" ref="AA117:AA122" si="137">IF(Z$115=0,0,Z117/Z$115)</f>
        <v>0</v>
      </c>
    </row>
    <row r="118" spans="1:27" hidden="1" outlineLevel="1" x14ac:dyDescent="0.2">
      <c r="A118" s="8" t="s">
        <v>85</v>
      </c>
      <c r="B118" s="20">
        <f>SUMIFS(Tabla2[A],Tabla2[ANY],$Z$76,Tabla2[MES],'2024'!B$2,Tabla2[TIPUS],'2024'!$A118)</f>
        <v>60.5</v>
      </c>
      <c r="C118" s="21">
        <f t="shared" si="136"/>
        <v>0.11596480803511529</v>
      </c>
      <c r="D118" s="20">
        <f>SUMIFS(Tabla2[A],Tabla2[ANY],$Z$76,Tabla2[MES],'2024'!D$2,Tabla2[TIPUS],'2024'!$A118)</f>
        <v>63.53</v>
      </c>
      <c r="E118" s="21">
        <f t="shared" si="136"/>
        <v>0.12106948202919542</v>
      </c>
      <c r="F118" s="20">
        <f>SUMIFS(Tabla2[A],Tabla2[ANY],$Z$76,Tabla2[MES],'2024'!F$2,Tabla2[TIPUS],'2024'!$A118)</f>
        <v>63.53</v>
      </c>
      <c r="G118" s="21">
        <f t="shared" si="125"/>
        <v>0.12099800019045806</v>
      </c>
      <c r="H118" s="20">
        <f>SUMIFS(Tabla2[A],Tabla2[ANY],$Z$76,Tabla2[MES],'2024'!H$2,Tabla2[TIPUS],'2024'!$A118)</f>
        <v>63.53</v>
      </c>
      <c r="I118" s="21">
        <f t="shared" si="126"/>
        <v>0.12106948202919542</v>
      </c>
      <c r="J118" s="20">
        <f>SUMIFS(Tabla2[A],Tabla2[ANY],$Z$76,Tabla2[MES],'2024'!J$2,Tabla2[TIPUS],'2024'!$A118)</f>
        <v>63.53</v>
      </c>
      <c r="K118" s="21">
        <f t="shared" si="127"/>
        <v>7.3473116911654146E-2</v>
      </c>
      <c r="L118" s="20">
        <f>SUMIFS(Tabla2[A],Tabla2[ANY],$Z$76,Tabla2[MES],'2024'!L$2,Tabla2[TIPUS],'2024'!$A118)</f>
        <v>63.53</v>
      </c>
      <c r="M118" s="21">
        <f t="shared" si="128"/>
        <v>0.12106948202919542</v>
      </c>
      <c r="N118" s="20">
        <f>SUMIFS(Tabla2[A],Tabla2[ANY],$Z$76,Tabla2[MES],'2024'!N$2,Tabla2[TIPUS],'2024'!$A118)</f>
        <v>63.53</v>
      </c>
      <c r="O118" s="21">
        <f t="shared" si="129"/>
        <v>0.11873434754980751</v>
      </c>
      <c r="P118" s="20">
        <f>SUMIFS(Tabla2[A],Tabla2[ANY],$Z$76,Tabla2[MES],'2024'!P$2,Tabla2[TIPUS],'2024'!$A118)</f>
        <v>63.53</v>
      </c>
      <c r="Q118" s="21">
        <f t="shared" si="130"/>
        <v>0.12095423044703374</v>
      </c>
      <c r="R118" s="20">
        <f>SUMIFS(Tabla2[A],Tabla2[ANY],$Z$76,Tabla2[MES],'2024'!R$2,Tabla2[TIPUS],'2024'!$A118)</f>
        <v>63.53</v>
      </c>
      <c r="S118" s="21">
        <f t="shared" si="131"/>
        <v>0.12083919808270248</v>
      </c>
      <c r="T118" s="20">
        <f>SUMIFS(Tabla2[A],Tabla2[ANY],$Z$76,Tabla2[MES],'2024'!T$2,Tabla2[TIPUS],'2024'!$A118)</f>
        <v>63.53</v>
      </c>
      <c r="U118" s="21">
        <f t="shared" si="132"/>
        <v>0.12095423044703374</v>
      </c>
      <c r="V118" s="20">
        <f>SUMIFS(Tabla2[A],Tabla2[ANY],$Z$76,Tabla2[MES],'2024'!V$2,Tabla2[TIPUS],'2024'!$A118)</f>
        <v>63.53</v>
      </c>
      <c r="W118" s="21">
        <f t="shared" si="133"/>
        <v>0.11911279436028198</v>
      </c>
      <c r="X118" s="20">
        <f>SUMIFS(Tabla2[A],Tabla2[ANY],$Z$76,Tabla2[MES],'2024'!X$2,Tabla2[TIPUS],'2024'!$A118)</f>
        <v>63.53</v>
      </c>
      <c r="Y118" s="21">
        <f t="shared" si="134"/>
        <v>0.12275616872451839</v>
      </c>
      <c r="Z118" s="20">
        <f t="shared" si="135"/>
        <v>759.32999999999981</v>
      </c>
      <c r="AA118" s="21">
        <f t="shared" si="137"/>
        <v>0.11422240674386487</v>
      </c>
    </row>
    <row r="119" spans="1:27" hidden="1" outlineLevel="1" x14ac:dyDescent="0.2">
      <c r="A119" s="8" t="s">
        <v>94</v>
      </c>
      <c r="B119" s="20">
        <f>SUMIFS(Tabla2[A],Tabla2[ANY],$Z$76,Tabla2[MES],'2024'!B$2,Tabla2[TIPUS],'2024'!$A119)</f>
        <v>0</v>
      </c>
      <c r="C119" s="21">
        <f t="shared" si="136"/>
        <v>0</v>
      </c>
      <c r="D119" s="20">
        <f>SUMIFS(Tabla2[A],Tabla2[ANY],$Z$76,Tabla2[MES],'2024'!D$2,Tabla2[TIPUS],'2024'!$A119)</f>
        <v>0</v>
      </c>
      <c r="E119" s="21">
        <f t="shared" si="136"/>
        <v>0</v>
      </c>
      <c r="F119" s="20">
        <f>SUMIFS(Tabla2[A],Tabla2[ANY],$Z$76,Tabla2[MES],'2024'!F$2,Tabla2[TIPUS],'2024'!$A119)</f>
        <v>0</v>
      </c>
      <c r="G119" s="21">
        <f t="shared" si="125"/>
        <v>0</v>
      </c>
      <c r="H119" s="20">
        <f>SUMIFS(Tabla2[A],Tabla2[ANY],$Z$76,Tabla2[MES],'2024'!H$2,Tabla2[TIPUS],'2024'!$A119)</f>
        <v>0</v>
      </c>
      <c r="I119" s="21">
        <f t="shared" si="126"/>
        <v>0</v>
      </c>
      <c r="J119" s="20">
        <f>SUMIFS(Tabla2[A],Tabla2[ANY],$Z$76,Tabla2[MES],'2024'!J$2,Tabla2[TIPUS],'2024'!$A119)</f>
        <v>339.43</v>
      </c>
      <c r="K119" s="21">
        <f t="shared" si="127"/>
        <v>0.39255438490984995</v>
      </c>
      <c r="L119" s="20">
        <f>SUMIFS(Tabla2[A],Tabla2[ANY],$Z$76,Tabla2[MES],'2024'!L$2,Tabla2[TIPUS],'2024'!$A119)</f>
        <v>0</v>
      </c>
      <c r="M119" s="21">
        <f t="shared" si="128"/>
        <v>0</v>
      </c>
      <c r="N119" s="20">
        <f>SUMIFS(Tabla2[A],Tabla2[ANY],$Z$76,Tabla2[MES],'2024'!N$2,Tabla2[TIPUS],'2024'!$A119)</f>
        <v>0</v>
      </c>
      <c r="O119" s="21">
        <f t="shared" si="129"/>
        <v>0</v>
      </c>
      <c r="P119" s="20">
        <f>SUMIFS(Tabla2[A],Tabla2[ANY],$Z$76,Tabla2[MES],'2024'!P$2,Tabla2[TIPUS],'2024'!$A119)</f>
        <v>0</v>
      </c>
      <c r="Q119" s="21">
        <f t="shared" si="130"/>
        <v>0</v>
      </c>
      <c r="R119" s="20">
        <f>SUMIFS(Tabla2[A],Tabla2[ANY],$Z$76,Tabla2[MES],'2024'!R$2,Tabla2[TIPUS],'2024'!$A119)</f>
        <v>0</v>
      </c>
      <c r="S119" s="21">
        <f t="shared" si="131"/>
        <v>0</v>
      </c>
      <c r="T119" s="20">
        <f>SUMIFS(Tabla2[A],Tabla2[ANY],$Z$76,Tabla2[MES],'2024'!T$2,Tabla2[TIPUS],'2024'!$A119)</f>
        <v>0</v>
      </c>
      <c r="U119" s="21">
        <f t="shared" si="132"/>
        <v>0</v>
      </c>
      <c r="V119" s="20">
        <f>SUMIFS(Tabla2[A],Tabla2[ANY],$Z$76,Tabla2[MES],'2024'!V$2,Tabla2[TIPUS],'2024'!$A119)</f>
        <v>0</v>
      </c>
      <c r="W119" s="21">
        <f t="shared" si="133"/>
        <v>0</v>
      </c>
      <c r="X119" s="20">
        <f>SUMIFS(Tabla2[A],Tabla2[ANY],$Z$76,Tabla2[MES],'2024'!X$2,Tabla2[TIPUS],'2024'!$A119)</f>
        <v>0</v>
      </c>
      <c r="Y119" s="21">
        <f t="shared" si="134"/>
        <v>0</v>
      </c>
      <c r="Z119" s="20">
        <f t="shared" si="135"/>
        <v>339.43</v>
      </c>
      <c r="AA119" s="21">
        <f t="shared" si="137"/>
        <v>5.1058843350150873E-2</v>
      </c>
    </row>
    <row r="120" spans="1:27" hidden="1" outlineLevel="1" x14ac:dyDescent="0.2">
      <c r="A120" s="8" t="s">
        <v>118</v>
      </c>
      <c r="B120" s="20">
        <f>SUMIFS(Tabla2[A],Tabla2[ANY],$Z$76,Tabla2[MES],'2024'!B$2,Tabla2[TIPUS],'2024'!$A120)</f>
        <v>0</v>
      </c>
      <c r="C120" s="21">
        <f t="shared" si="136"/>
        <v>0</v>
      </c>
      <c r="D120" s="20">
        <f>SUMIFS(Tabla2[A],Tabla2[ANY],$Z$76,Tabla2[MES],'2024'!D$2,Tabla2[TIPUS],'2024'!$A120)</f>
        <v>0</v>
      </c>
      <c r="E120" s="21">
        <f t="shared" si="136"/>
        <v>0</v>
      </c>
      <c r="F120" s="20">
        <f>SUMIFS(Tabla2[A],Tabla2[ANY],$Z$76,Tabla2[MES],'2024'!F$2,Tabla2[TIPUS],'2024'!$A120)</f>
        <v>0</v>
      </c>
      <c r="G120" s="21">
        <f t="shared" si="125"/>
        <v>0</v>
      </c>
      <c r="H120" s="20">
        <f>SUMIFS(Tabla2[A],Tabla2[ANY],$Z$76,Tabla2[MES],'2024'!H$2,Tabla2[TIPUS],'2024'!$A120)</f>
        <v>0</v>
      </c>
      <c r="I120" s="21">
        <f t="shared" si="126"/>
        <v>0</v>
      </c>
      <c r="J120" s="20">
        <f>SUMIFS(Tabla2[A],Tabla2[ANY],$Z$76,Tabla2[MES],'2024'!J$2,Tabla2[TIPUS],'2024'!$A120)</f>
        <v>0</v>
      </c>
      <c r="K120" s="21">
        <f t="shared" si="127"/>
        <v>0</v>
      </c>
      <c r="L120" s="20">
        <f>SUMIFS(Tabla2[A],Tabla2[ANY],$Z$76,Tabla2[MES],'2024'!L$2,Tabla2[TIPUS],'2024'!$A120)</f>
        <v>0</v>
      </c>
      <c r="M120" s="21">
        <f t="shared" si="128"/>
        <v>0</v>
      </c>
      <c r="N120" s="20">
        <f>SUMIFS(Tabla2[A],Tabla2[ANY],$Z$76,Tabla2[MES],'2024'!N$2,Tabla2[TIPUS],'2024'!$A120)</f>
        <v>0</v>
      </c>
      <c r="O120" s="21">
        <f t="shared" si="129"/>
        <v>0</v>
      </c>
      <c r="P120" s="20">
        <f>SUMIFS(Tabla2[A],Tabla2[ANY],$Z$76,Tabla2[MES],'2024'!P$2,Tabla2[TIPUS],'2024'!$A120)</f>
        <v>0</v>
      </c>
      <c r="Q120" s="21">
        <f t="shared" si="130"/>
        <v>0</v>
      </c>
      <c r="R120" s="20">
        <f>SUMIFS(Tabla2[A],Tabla2[ANY],$Z$76,Tabla2[MES],'2024'!R$2,Tabla2[TIPUS],'2024'!$A120)</f>
        <v>0</v>
      </c>
      <c r="S120" s="21">
        <f t="shared" si="131"/>
        <v>0</v>
      </c>
      <c r="T120" s="20">
        <f>SUMIFS(Tabla2[A],Tabla2[ANY],$Z$76,Tabla2[MES],'2024'!T$2,Tabla2[TIPUS],'2024'!$A120)</f>
        <v>0</v>
      </c>
      <c r="U120" s="21">
        <f t="shared" si="132"/>
        <v>0</v>
      </c>
      <c r="V120" s="20">
        <f>SUMIFS(Tabla2[A],Tabla2[ANY],$Z$76,Tabla2[MES],'2024'!V$2,Tabla2[TIPUS],'2024'!$A120)</f>
        <v>0</v>
      </c>
      <c r="W120" s="21">
        <f t="shared" si="133"/>
        <v>0</v>
      </c>
      <c r="X120" s="20">
        <f>SUMIFS(Tabla2[A],Tabla2[ANY],$Z$76,Tabla2[MES],'2024'!X$2,Tabla2[TIPUS],'2024'!$A120)</f>
        <v>46</v>
      </c>
      <c r="Y120" s="21">
        <f t="shared" si="134"/>
        <v>8.8883736208528977E-2</v>
      </c>
      <c r="Z120" s="20">
        <f t="shared" si="135"/>
        <v>46</v>
      </c>
      <c r="AA120" s="21">
        <f t="shared" si="137"/>
        <v>6.9195616006450227E-3</v>
      </c>
    </row>
    <row r="121" spans="1:27" hidden="1" outlineLevel="1" x14ac:dyDescent="0.2">
      <c r="A121" s="8" t="s">
        <v>97</v>
      </c>
      <c r="B121" s="20">
        <f>SUMIFS(Tabla2[A],Tabla2[ANY],$Z$76,Tabla2[MES],'2024'!B$2,Tabla2[TIPUS],'2024'!$A121)</f>
        <v>0</v>
      </c>
      <c r="C121" s="21">
        <f t="shared" si="136"/>
        <v>0</v>
      </c>
      <c r="D121" s="20">
        <f>SUMIFS(Tabla2[A],Tabla2[ANY],$Z$76,Tabla2[MES],'2024'!D$2,Tabla2[TIPUS],'2024'!$A121)</f>
        <v>0</v>
      </c>
      <c r="E121" s="21">
        <f t="shared" si="136"/>
        <v>0</v>
      </c>
      <c r="F121" s="20">
        <f>SUMIFS(Tabla2[A],Tabla2[ANY],$Z$76,Tabla2[MES],'2024'!F$2,Tabla2[TIPUS],'2024'!$A121)</f>
        <v>0</v>
      </c>
      <c r="G121" s="21">
        <f t="shared" si="125"/>
        <v>0</v>
      </c>
      <c r="H121" s="20">
        <f>SUMIFS(Tabla2[A],Tabla2[ANY],$Z$76,Tabla2[MES],'2024'!H$2,Tabla2[TIPUS],'2024'!$A121)</f>
        <v>0</v>
      </c>
      <c r="I121" s="21">
        <f t="shared" si="126"/>
        <v>0</v>
      </c>
      <c r="J121" s="20">
        <f>SUMIFS(Tabla2[A],Tabla2[ANY],$Z$76,Tabla2[MES],'2024'!J$2,Tabla2[TIPUS],'2024'!$A121)</f>
        <v>0</v>
      </c>
      <c r="K121" s="21">
        <f t="shared" si="127"/>
        <v>0</v>
      </c>
      <c r="L121" s="20">
        <f>SUMIFS(Tabla2[A],Tabla2[ANY],$Z$76,Tabla2[MES],'2024'!L$2,Tabla2[TIPUS],'2024'!$A121)</f>
        <v>0</v>
      </c>
      <c r="M121" s="21">
        <f t="shared" si="128"/>
        <v>0</v>
      </c>
      <c r="N121" s="20">
        <f>SUMIFS(Tabla2[A],Tabla2[ANY],$Z$76,Tabla2[MES],'2024'!N$2,Tabla2[TIPUS],'2024'!$A121)</f>
        <v>0</v>
      </c>
      <c r="O121" s="21">
        <f t="shared" si="129"/>
        <v>0</v>
      </c>
      <c r="P121" s="20">
        <f>SUMIFS(Tabla2[A],Tabla2[ANY],$Z$76,Tabla2[MES],'2024'!P$2,Tabla2[TIPUS],'2024'!$A121)</f>
        <v>0</v>
      </c>
      <c r="Q121" s="21">
        <f t="shared" si="130"/>
        <v>0</v>
      </c>
      <c r="R121" s="20">
        <f>SUMIFS(Tabla2[A],Tabla2[ANY],$Z$76,Tabla2[MES],'2024'!R$2,Tabla2[TIPUS],'2024'!$A121)</f>
        <v>0</v>
      </c>
      <c r="S121" s="21">
        <f t="shared" si="131"/>
        <v>0</v>
      </c>
      <c r="T121" s="20">
        <f>SUMIFS(Tabla2[A],Tabla2[ANY],$Z$76,Tabla2[MES],'2024'!T$2,Tabla2[TIPUS],'2024'!$A121)</f>
        <v>0</v>
      </c>
      <c r="U121" s="21">
        <f t="shared" si="132"/>
        <v>0</v>
      </c>
      <c r="V121" s="20">
        <f>SUMIFS(Tabla2[A],Tabla2[ANY],$Z$76,Tabla2[MES],'2024'!V$2,Tabla2[TIPUS],'2024'!$A121)</f>
        <v>0</v>
      </c>
      <c r="W121" s="21">
        <f t="shared" si="133"/>
        <v>0</v>
      </c>
      <c r="X121" s="20">
        <f>SUMIFS(Tabla2[A],Tabla2[ANY],$Z$76,Tabla2[MES],'2024'!X$2,Tabla2[TIPUS],'2024'!$A121)</f>
        <v>0</v>
      </c>
      <c r="Y121" s="21">
        <f t="shared" si="134"/>
        <v>0</v>
      </c>
      <c r="Z121" s="20">
        <f t="shared" si="135"/>
        <v>0</v>
      </c>
      <c r="AA121" s="21">
        <f t="shared" si="137"/>
        <v>0</v>
      </c>
    </row>
    <row r="122" spans="1:27" hidden="1" outlineLevel="1" x14ac:dyDescent="0.2">
      <c r="A122" s="8" t="s">
        <v>113</v>
      </c>
      <c r="B122" s="20">
        <f>SUMIFS(Tabla2[A],Tabla2[ANY],$Z$76,Tabla2[MES],'2024'!B$2,Tabla2[TIPUS],'2024'!$A122)</f>
        <v>53.21</v>
      </c>
      <c r="C122" s="21">
        <f t="shared" si="136"/>
        <v>0.10199152786030553</v>
      </c>
      <c r="D122" s="20">
        <f>SUMIFS(Tabla2[A],Tabla2[ANY],$Z$76,Tabla2[MES],'2024'!D$2,Tabla2[TIPUS],'2024'!$A122)</f>
        <v>53.21</v>
      </c>
      <c r="E122" s="21">
        <f t="shared" si="136"/>
        <v>0.10140259938255136</v>
      </c>
      <c r="F122" s="20">
        <f>SUMIFS(Tabla2[A],Tabla2[ANY],$Z$76,Tabla2[MES],'2024'!F$2,Tabla2[TIPUS],'2024'!$A122)</f>
        <v>53.52</v>
      </c>
      <c r="G122" s="21">
        <f t="shared" si="125"/>
        <v>0.10193314922388345</v>
      </c>
      <c r="H122" s="20">
        <f>SUMIFS(Tabla2[A],Tabla2[ANY],$Z$76,Tabla2[MES],'2024'!H$2,Tabla2[TIPUS],'2024'!$A122)</f>
        <v>53.21</v>
      </c>
      <c r="I122" s="21">
        <f t="shared" si="126"/>
        <v>0.10140259938255136</v>
      </c>
      <c r="J122" s="20">
        <f>SUMIFS(Tabla2[A],Tabla2[ANY],$Z$76,Tabla2[MES],'2024'!J$2,Tabla2[TIPUS],'2024'!$A122)</f>
        <v>53.71</v>
      </c>
      <c r="K122" s="21">
        <f t="shared" si="127"/>
        <v>6.2116183052494008E-2</v>
      </c>
      <c r="L122" s="20">
        <f>SUMIFS(Tabla2[A],Tabla2[ANY],$Z$76,Tabla2[MES],'2024'!L$2,Tabla2[TIPUS],'2024'!$A122)</f>
        <v>53.21</v>
      </c>
      <c r="M122" s="21">
        <f t="shared" si="128"/>
        <v>0.10140259938255136</v>
      </c>
      <c r="N122" s="20">
        <f>SUMIFS(Tabla2[A],Tabla2[ANY],$Z$76,Tabla2[MES],'2024'!N$2,Tabla2[TIPUS],'2024'!$A122)</f>
        <v>63.53</v>
      </c>
      <c r="O122" s="21">
        <f t="shared" si="129"/>
        <v>0.11873434754980751</v>
      </c>
      <c r="P122" s="20">
        <f>SUMIFS(Tabla2[A],Tabla2[ANY],$Z$76,Tabla2[MES],'2024'!P$2,Tabla2[TIPUS],'2024'!$A122)</f>
        <v>53.71</v>
      </c>
      <c r="Q122" s="21">
        <f t="shared" si="130"/>
        <v>0.10225801538344376</v>
      </c>
      <c r="R122" s="20">
        <f>SUMIFS(Tabla2[A],Tabla2[ANY],$Z$76,Tabla2[MES],'2024'!R$2,Tabla2[TIPUS],'2024'!$A122)</f>
        <v>53.21</v>
      </c>
      <c r="S122" s="21">
        <f t="shared" si="131"/>
        <v>0.10120972343744056</v>
      </c>
      <c r="T122" s="20">
        <f>SUMIFS(Tabla2[A],Tabla2[ANY],$Z$76,Tabla2[MES],'2024'!T$2,Tabla2[TIPUS],'2024'!$A122)</f>
        <v>53.71</v>
      </c>
      <c r="U122" s="21">
        <f t="shared" si="132"/>
        <v>0.10225801538344376</v>
      </c>
      <c r="V122" s="20">
        <f>SUMIFS(Tabla2[A],Tabla2[ANY],$Z$76,Tabla2[MES],'2024'!V$2,Tabla2[TIPUS],'2024'!$A122)</f>
        <v>61.83</v>
      </c>
      <c r="W122" s="21">
        <f t="shared" si="133"/>
        <v>0.11592545372731362</v>
      </c>
      <c r="X122" s="20">
        <f>SUMIFS(Tabla2[A],Tabla2[ANY],$Z$76,Tabla2[MES],'2024'!X$2,Tabla2[TIPUS],'2024'!$A122)</f>
        <v>0</v>
      </c>
      <c r="Y122" s="21">
        <f t="shared" si="134"/>
        <v>0</v>
      </c>
      <c r="Z122" s="20">
        <f t="shared" si="135"/>
        <v>606.06000000000006</v>
      </c>
      <c r="AA122" s="21">
        <f t="shared" si="137"/>
        <v>9.1166728341020062E-2</v>
      </c>
    </row>
    <row r="123" spans="1:27" collapsed="1" x14ac:dyDescent="0.2">
      <c r="A123" s="34" t="s">
        <v>86</v>
      </c>
      <c r="B123" s="18">
        <f>SUM(B124:B128)</f>
        <v>237.70999999999998</v>
      </c>
      <c r="C123" s="19">
        <f>IF(B$114=0,0,B123/B$114)</f>
        <v>0.31301519580732656</v>
      </c>
      <c r="D123" s="18">
        <f>SUM(D124:D128)</f>
        <v>288.89</v>
      </c>
      <c r="E123" s="19">
        <f>IF(D$114=0,0,D123/D$114)</f>
        <v>0.35506311222545872</v>
      </c>
      <c r="F123" s="18">
        <f>SUM(F124:F128)</f>
        <v>184.24</v>
      </c>
      <c r="G123" s="19">
        <f>IF(F$114=0,0,F123/F$114)</f>
        <v>0.25975271045693582</v>
      </c>
      <c r="H123" s="18">
        <f>SUM(H124:H128)</f>
        <v>76.5</v>
      </c>
      <c r="I123" s="19">
        <f>IF(H$114=0,0,H123/H$114)</f>
        <v>0.12723704344355</v>
      </c>
      <c r="J123" s="18">
        <f>SUM(J124:J128)</f>
        <v>202.61</v>
      </c>
      <c r="K123" s="19">
        <f>IF(J$114=0,0,J123/J$114)</f>
        <v>0.1898377183119706</v>
      </c>
      <c r="L123" s="18">
        <f>SUM(L124:L128)</f>
        <v>63.949999999999989</v>
      </c>
      <c r="M123" s="19">
        <f>IF(L$114=0,0,L123/L$114)</f>
        <v>0.10863102821518963</v>
      </c>
      <c r="N123" s="18">
        <f>SUM(N124:N128)</f>
        <v>996.91000000000008</v>
      </c>
      <c r="O123" s="19">
        <f>IF(N$114=0,0,N123/N$114)</f>
        <v>0.65073728597818503</v>
      </c>
      <c r="P123" s="18">
        <f>SUM(P124:P128)</f>
        <v>350.26000000000005</v>
      </c>
      <c r="Q123" s="19">
        <f>IF(P$114=0,0,P123/P$114)</f>
        <v>0.4000685322672759</v>
      </c>
      <c r="R123" s="18">
        <f>SUM(R124:R128)</f>
        <v>87</v>
      </c>
      <c r="S123" s="19">
        <f>IF(R$114=0,0,R123/R$114)</f>
        <v>0.14198518131670856</v>
      </c>
      <c r="T123" s="18">
        <f>SUM(T124:T128)</f>
        <v>276.10000000000002</v>
      </c>
      <c r="U123" s="19">
        <f>IF(T$114=0,0,T123/T$114)</f>
        <v>0.34454788229715227</v>
      </c>
      <c r="V123" s="18">
        <f>SUM(V124:V128)</f>
        <v>382.40999999999997</v>
      </c>
      <c r="W123" s="19">
        <f>IF(V$114=0,0,V123/V$114)</f>
        <v>0.41758301756991384</v>
      </c>
      <c r="X123" s="18">
        <f>SUM(X124:X128)</f>
        <v>183.9</v>
      </c>
      <c r="Y123" s="19">
        <f>IF(X$114=0,0,X123/X$114)</f>
        <v>0.26217869210042344</v>
      </c>
      <c r="Z123" s="18">
        <f>SUM(Z124:Z128)</f>
        <v>3330.48</v>
      </c>
      <c r="AA123" s="19">
        <f>IF(Z$114=0,0,Z123/Z$114)</f>
        <v>0.33377228586031688</v>
      </c>
    </row>
    <row r="124" spans="1:27" hidden="1" outlineLevel="1" x14ac:dyDescent="0.2">
      <c r="A124" s="8" t="s">
        <v>87</v>
      </c>
      <c r="B124" s="20">
        <f>SUMIFS(Tabla2[A],Tabla2[ANY],$Z$76,Tabla2[MES],'2024'!B$2,Tabla2[TIPUS],'2024'!$A124)</f>
        <v>145.51</v>
      </c>
      <c r="C124" s="21">
        <f>IF(B$123=0,0,B124/B$123)</f>
        <v>0.61213243027218045</v>
      </c>
      <c r="D124" s="20">
        <f>SUMIFS(Tabla2[A],Tabla2[ANY],$Z$76,Tabla2[MES],'2024'!D$2,Tabla2[TIPUS],'2024'!$A124)</f>
        <v>259.52999999999997</v>
      </c>
      <c r="E124" s="21">
        <f>IF(D$123=0,0,D124/D$123)</f>
        <v>0.89836962165530132</v>
      </c>
      <c r="F124" s="20">
        <f>SUMIFS(Tabla2[A],Tabla2[ANY],$Z$76,Tabla2[MES],'2024'!F$2,Tabla2[TIPUS],'2024'!$A124)</f>
        <v>104.29</v>
      </c>
      <c r="G124" s="21">
        <f>IF(F$123=0,0,F124/F$123)</f>
        <v>0.56605514546244029</v>
      </c>
      <c r="H124" s="20">
        <f>SUMIFS(Tabla2[A],Tabla2[ANY],$Z$76,Tabla2[MES],'2024'!H$2,Tabla2[TIPUS],'2024'!$A124)</f>
        <v>76.5</v>
      </c>
      <c r="I124" s="21">
        <f>IF(H$123=0,0,H124/H$123)</f>
        <v>1</v>
      </c>
      <c r="J124" s="20">
        <f>SUMIFS(Tabla2[A],Tabla2[ANY],$Z$76,Tabla2[MES],'2024'!J$2,Tabla2[TIPUS],'2024'!$A124)</f>
        <v>165.96</v>
      </c>
      <c r="K124" s="21">
        <f>IF(J$123=0,0,J124/J$123)</f>
        <v>0.81911060658407775</v>
      </c>
      <c r="L124" s="20">
        <f>SUMIFS(Tabla2[A],Tabla2[ANY],$Z$76,Tabla2[MES],'2024'!L$2,Tabla2[TIPUS],'2024'!$A124)</f>
        <v>63.949999999999989</v>
      </c>
      <c r="M124" s="21">
        <f>IF(L$123=0,0,L124/L$123)</f>
        <v>1</v>
      </c>
      <c r="N124" s="20">
        <f>SUMIFS(Tabla2[A],Tabla2[ANY],$Z$76,Tabla2[MES],'2024'!N$2,Tabla2[TIPUS],'2024'!$A124)</f>
        <v>100.6</v>
      </c>
      <c r="O124" s="21">
        <f>IF(N$123=0,0,N124/N$123)</f>
        <v>0.10091181751612481</v>
      </c>
      <c r="P124" s="20">
        <f>SUMIFS(Tabla2[A],Tabla2[ANY],$Z$76,Tabla2[MES],'2024'!P$2,Tabla2[TIPUS],'2024'!$A124)</f>
        <v>308.96000000000004</v>
      </c>
      <c r="Q124" s="21">
        <f>IF(P$123=0,0,P124/P$123)</f>
        <v>0.88208759207445897</v>
      </c>
      <c r="R124" s="20">
        <f>SUMIFS(Tabla2[A],Tabla2[ANY],$Z$76,Tabla2[MES],'2024'!R$2,Tabla2[TIPUS],'2024'!$A124)</f>
        <v>0</v>
      </c>
      <c r="S124" s="21">
        <f>IF(R$123=0,0,R124/R$123)</f>
        <v>0</v>
      </c>
      <c r="T124" s="20">
        <f>SUMIFS(Tabla2[A],Tabla2[ANY],$Z$76,Tabla2[MES],'2024'!T$2,Tabla2[TIPUS],'2024'!$A124)</f>
        <v>210</v>
      </c>
      <c r="U124" s="21">
        <f>IF(T$123=0,0,T124/T$123)</f>
        <v>0.76059398768562114</v>
      </c>
      <c r="V124" s="20">
        <f>SUMIFS(Tabla2[A],Tabla2[ANY],$Z$76,Tabla2[MES],'2024'!V$2,Tabla2[TIPUS],'2024'!$A124)</f>
        <v>382.40999999999997</v>
      </c>
      <c r="W124" s="21">
        <f>IF(V$123=0,0,V124/V$123)</f>
        <v>1</v>
      </c>
      <c r="X124" s="20">
        <f>SUMIFS(Tabla2[A],Tabla2[ANY],$Z$76,Tabla2[MES],'2024'!X$2,Tabla2[TIPUS],'2024'!$A124)</f>
        <v>0</v>
      </c>
      <c r="Y124" s="21">
        <f>IF(X$123=0,0,X124/X$123)</f>
        <v>0</v>
      </c>
      <c r="Z124" s="20">
        <f t="shared" si="135"/>
        <v>1817.71</v>
      </c>
      <c r="AA124" s="21">
        <f>IF(Z$123=0,0,Z124/Z$123)</f>
        <v>0.54578018784079174</v>
      </c>
    </row>
    <row r="125" spans="1:27" hidden="1" outlineLevel="1" x14ac:dyDescent="0.2">
      <c r="A125" s="8" t="s">
        <v>88</v>
      </c>
      <c r="B125" s="20">
        <f>SUMIFS(Tabla2[A],Tabla2[ANY],$Z$76,Tabla2[MES],'2024'!B$2,Tabla2[TIPUS],'2024'!$A125)</f>
        <v>0</v>
      </c>
      <c r="C125" s="21">
        <f t="shared" ref="C125:E128" si="138">IF(B$123=0,0,B125/B$123)</f>
        <v>0</v>
      </c>
      <c r="D125" s="20">
        <f>SUMIFS(Tabla2[A],Tabla2[ANY],$Z$76,Tabla2[MES],'2024'!D$2,Tabla2[TIPUS],'2024'!$A125)</f>
        <v>0</v>
      </c>
      <c r="E125" s="21">
        <f t="shared" si="138"/>
        <v>0</v>
      </c>
      <c r="F125" s="20">
        <f>SUMIFS(Tabla2[A],Tabla2[ANY],$Z$76,Tabla2[MES],'2024'!F$2,Tabla2[TIPUS],'2024'!$A125)</f>
        <v>0</v>
      </c>
      <c r="G125" s="21">
        <f>IF(F$123=0,0,F125/F$123)</f>
        <v>0</v>
      </c>
      <c r="H125" s="20">
        <f>SUMIFS(Tabla2[A],Tabla2[ANY],$Z$76,Tabla2[MES],'2024'!H$2,Tabla2[TIPUS],'2024'!$A125)</f>
        <v>0</v>
      </c>
      <c r="I125" s="21">
        <f>IF(H$123=0,0,H125/H$123)</f>
        <v>0</v>
      </c>
      <c r="J125" s="20">
        <f>SUMIFS(Tabla2[A],Tabla2[ANY],$Z$76,Tabla2[MES],'2024'!J$2,Tabla2[TIPUS],'2024'!$A125)</f>
        <v>0</v>
      </c>
      <c r="K125" s="21">
        <f>IF(J$123=0,0,J125/J$123)</f>
        <v>0</v>
      </c>
      <c r="L125" s="20">
        <f>SUMIFS(Tabla2[A],Tabla2[ANY],$Z$76,Tabla2[MES],'2024'!L$2,Tabla2[TIPUS],'2024'!$A125)</f>
        <v>0</v>
      </c>
      <c r="M125" s="21">
        <f>IF(L$123=0,0,L125/L$123)</f>
        <v>0</v>
      </c>
      <c r="N125" s="20">
        <f>SUMIFS(Tabla2[A],Tabla2[ANY],$Z$76,Tabla2[MES],'2024'!N$2,Tabla2[TIPUS],'2024'!$A125)</f>
        <v>0</v>
      </c>
      <c r="O125" s="21">
        <f>IF(N$123=0,0,N125/N$123)</f>
        <v>0</v>
      </c>
      <c r="P125" s="20">
        <f>SUMIFS(Tabla2[A],Tabla2[ANY],$Z$76,Tabla2[MES],'2024'!P$2,Tabla2[TIPUS],'2024'!$A125)</f>
        <v>0</v>
      </c>
      <c r="Q125" s="21">
        <f>IF(P$123=0,0,P125/P$123)</f>
        <v>0</v>
      </c>
      <c r="R125" s="20">
        <f>SUMIFS(Tabla2[A],Tabla2[ANY],$Z$76,Tabla2[MES],'2024'!R$2,Tabla2[TIPUS],'2024'!$A125)</f>
        <v>0</v>
      </c>
      <c r="S125" s="21">
        <f>IF(R$123=0,0,R125/R$123)</f>
        <v>0</v>
      </c>
      <c r="T125" s="20">
        <f>SUMIFS(Tabla2[A],Tabla2[ANY],$Z$76,Tabla2[MES],'2024'!T$2,Tabla2[TIPUS],'2024'!$A125)</f>
        <v>0</v>
      </c>
      <c r="U125" s="21">
        <f>IF(T$123=0,0,T125/T$123)</f>
        <v>0</v>
      </c>
      <c r="V125" s="20">
        <f>SUMIFS(Tabla2[A],Tabla2[ANY],$Z$76,Tabla2[MES],'2024'!V$2,Tabla2[TIPUS],'2024'!$A125)</f>
        <v>0</v>
      </c>
      <c r="W125" s="21">
        <f>IF(V$123=0,0,V125/V$123)</f>
        <v>0</v>
      </c>
      <c r="X125" s="20">
        <f>SUMIFS(Tabla2[A],Tabla2[ANY],$Z$76,Tabla2[MES],'2024'!X$2,Tabla2[TIPUS],'2024'!$A125)</f>
        <v>0</v>
      </c>
      <c r="Y125" s="21">
        <f>IF(X$123=0,0,X125/X$123)</f>
        <v>0</v>
      </c>
      <c r="Z125" s="20">
        <f t="shared" si="135"/>
        <v>0</v>
      </c>
      <c r="AA125" s="21">
        <f>IF(Z$123=0,0,Z125/Z$123)</f>
        <v>0</v>
      </c>
    </row>
    <row r="126" spans="1:27" hidden="1" outlineLevel="1" x14ac:dyDescent="0.2">
      <c r="A126" s="8" t="s">
        <v>89</v>
      </c>
      <c r="B126" s="20">
        <f>SUMIFS(Tabla2[A],Tabla2[ANY],$Z$76,Tabla2[MES],'2024'!B$2,Tabla2[TIPUS],'2024'!$A126)</f>
        <v>92.2</v>
      </c>
      <c r="C126" s="21">
        <f t="shared" si="138"/>
        <v>0.38786756972781966</v>
      </c>
      <c r="D126" s="20">
        <f>SUMIFS(Tabla2[A],Tabla2[ANY],$Z$76,Tabla2[MES],'2024'!D$2,Tabla2[TIPUS],'2024'!$A126)</f>
        <v>29.36</v>
      </c>
      <c r="E126" s="21">
        <f t="shared" si="138"/>
        <v>0.10163037834469868</v>
      </c>
      <c r="F126" s="20">
        <f>SUMIFS(Tabla2[A],Tabla2[ANY],$Z$76,Tabla2[MES],'2024'!F$2,Tabla2[TIPUS],'2024'!$A126)</f>
        <v>79.95</v>
      </c>
      <c r="G126" s="21">
        <f>IF(F$123=0,0,F126/F$123)</f>
        <v>0.43394485453755971</v>
      </c>
      <c r="H126" s="20">
        <f>SUMIFS(Tabla2[A],Tabla2[ANY],$Z$76,Tabla2[MES],'2024'!H$2,Tabla2[TIPUS],'2024'!$A126)</f>
        <v>0</v>
      </c>
      <c r="I126" s="21">
        <f>IF(H$123=0,0,H126/H$123)</f>
        <v>0</v>
      </c>
      <c r="J126" s="20">
        <f>SUMIFS(Tabla2[A],Tabla2[ANY],$Z$76,Tabla2[MES],'2024'!J$2,Tabla2[TIPUS],'2024'!$A126)</f>
        <v>36.65</v>
      </c>
      <c r="K126" s="21">
        <f>IF(J$123=0,0,J126/J$123)</f>
        <v>0.1808893934159222</v>
      </c>
      <c r="L126" s="20">
        <f>SUMIFS(Tabla2[A],Tabla2[ANY],$Z$76,Tabla2[MES],'2024'!L$2,Tabla2[TIPUS],'2024'!$A126)</f>
        <v>0</v>
      </c>
      <c r="M126" s="21">
        <f>IF(L$123=0,0,L126/L$123)</f>
        <v>0</v>
      </c>
      <c r="N126" s="20">
        <f>SUMIFS(Tabla2[A],Tabla2[ANY],$Z$76,Tabla2[MES],'2024'!N$2,Tabla2[TIPUS],'2024'!$A126)</f>
        <v>896.31000000000006</v>
      </c>
      <c r="O126" s="21">
        <f>IF(N$123=0,0,N126/N$123)</f>
        <v>0.89908818248387512</v>
      </c>
      <c r="P126" s="20">
        <f>SUMIFS(Tabla2[A],Tabla2[ANY],$Z$76,Tabla2[MES],'2024'!P$2,Tabla2[TIPUS],'2024'!$A126)</f>
        <v>41.3</v>
      </c>
      <c r="Q126" s="21">
        <f>IF(P$123=0,0,P126/P$123)</f>
        <v>0.117912407925541</v>
      </c>
      <c r="R126" s="20">
        <f>SUMIFS(Tabla2[A],Tabla2[ANY],$Z$76,Tabla2[MES],'2024'!R$2,Tabla2[TIPUS],'2024'!$A126)</f>
        <v>17</v>
      </c>
      <c r="S126" s="21">
        <f>IF(R$123=0,0,R126/R$123)</f>
        <v>0.19540229885057472</v>
      </c>
      <c r="T126" s="20">
        <f>SUMIFS(Tabla2[A],Tabla2[ANY],$Z$76,Tabla2[MES],'2024'!T$2,Tabla2[TIPUS],'2024'!$A126)</f>
        <v>66.099999999999994</v>
      </c>
      <c r="U126" s="21">
        <f>IF(T$123=0,0,T126/T$123)</f>
        <v>0.2394060123143788</v>
      </c>
      <c r="V126" s="20">
        <f>SUMIFS(Tabla2[A],Tabla2[ANY],$Z$76,Tabla2[MES],'2024'!V$2,Tabla2[TIPUS],'2024'!$A126)</f>
        <v>0</v>
      </c>
      <c r="W126" s="21">
        <f>IF(V$123=0,0,V126/V$123)</f>
        <v>0</v>
      </c>
      <c r="X126" s="20">
        <f>SUMIFS(Tabla2[A],Tabla2[ANY],$Z$76,Tabla2[MES],'2024'!X$2,Tabla2[TIPUS],'2024'!$A126)</f>
        <v>133.9</v>
      </c>
      <c r="Y126" s="21">
        <f>IF(X$123=0,0,X126/X$123)</f>
        <v>0.72811310494834147</v>
      </c>
      <c r="Z126" s="20">
        <f t="shared" si="135"/>
        <v>1392.77</v>
      </c>
      <c r="AA126" s="21">
        <f>IF(Z$123=0,0,Z126/Z$123)</f>
        <v>0.41818896975811293</v>
      </c>
    </row>
    <row r="127" spans="1:27" hidden="1" outlineLevel="1" x14ac:dyDescent="0.2">
      <c r="A127" s="8" t="s">
        <v>145</v>
      </c>
      <c r="B127" s="20">
        <f>SUMIFS(Tabla2[A],Tabla2[ANY],$Z$76,Tabla2[MES],'2024'!B$2,Tabla2[TIPUS],'2024'!$A127)</f>
        <v>0</v>
      </c>
      <c r="C127" s="21">
        <f>IF(B$123=0,0,B127/B$123)</f>
        <v>0</v>
      </c>
      <c r="D127" s="20">
        <f>SUMIFS(Tabla2[A],Tabla2[ANY],$Z$76,Tabla2[MES],'2024'!D$2,Tabla2[TIPUS],'2024'!$A127)</f>
        <v>0</v>
      </c>
      <c r="E127" s="21">
        <f>IF(D$123=0,0,D127/D$123)</f>
        <v>0</v>
      </c>
      <c r="F127" s="20">
        <f>SUMIFS(Tabla2[A],Tabla2[ANY],$Z$76,Tabla2[MES],'2024'!F$2,Tabla2[TIPUS],'2024'!$A127)</f>
        <v>0</v>
      </c>
      <c r="G127" s="21">
        <f>IF(F$123=0,0,F127/F$123)</f>
        <v>0</v>
      </c>
      <c r="H127" s="20">
        <f>SUMIFS(Tabla2[A],Tabla2[ANY],$Z$76,Tabla2[MES],'2024'!H$2,Tabla2[TIPUS],'2024'!$A127)</f>
        <v>0</v>
      </c>
      <c r="I127" s="21">
        <f>IF(H$123=0,0,H127/H$123)</f>
        <v>0</v>
      </c>
      <c r="J127" s="20">
        <f>SUMIFS(Tabla2[A],Tabla2[ANY],$Z$76,Tabla2[MES],'2024'!J$2,Tabla2[TIPUS],'2024'!$A127)</f>
        <v>0</v>
      </c>
      <c r="K127" s="21">
        <f>IF(J$123=0,0,J127/J$123)</f>
        <v>0</v>
      </c>
      <c r="L127" s="20">
        <f>SUMIFS(Tabla2[A],Tabla2[ANY],$Z$76,Tabla2[MES],'2024'!L$2,Tabla2[TIPUS],'2024'!$A127)</f>
        <v>0</v>
      </c>
      <c r="M127" s="21">
        <f>IF(L$123=0,0,L127/L$123)</f>
        <v>0</v>
      </c>
      <c r="N127" s="20">
        <f>SUMIFS(Tabla2[A],Tabla2[ANY],$Z$76,Tabla2[MES],'2024'!N$2,Tabla2[TIPUS],'2024'!$A127)</f>
        <v>0</v>
      </c>
      <c r="O127" s="21">
        <f>IF(N$123=0,0,N127/N$123)</f>
        <v>0</v>
      </c>
      <c r="P127" s="20">
        <f>SUMIFS(Tabla2[A],Tabla2[ANY],$Z$76,Tabla2[MES],'2024'!P$2,Tabla2[TIPUS],'2024'!$A127)</f>
        <v>0</v>
      </c>
      <c r="Q127" s="21">
        <f>IF(P$123=0,0,P127/P$123)</f>
        <v>0</v>
      </c>
      <c r="R127" s="20">
        <f>SUMIFS(Tabla2[A],Tabla2[ANY],$Z$76,Tabla2[MES],'2024'!R$2,Tabla2[TIPUS],'2024'!$A127)</f>
        <v>0</v>
      </c>
      <c r="S127" s="21">
        <f>IF(R$123=0,0,R127/R$123)</f>
        <v>0</v>
      </c>
      <c r="T127" s="20">
        <f>SUMIFS(Tabla2[A],Tabla2[ANY],$Z$76,Tabla2[MES],'2024'!T$2,Tabla2[TIPUS],'2024'!$A127)</f>
        <v>0</v>
      </c>
      <c r="U127" s="21">
        <f>IF(T$123=0,0,T127/T$123)</f>
        <v>0</v>
      </c>
      <c r="V127" s="20">
        <f>SUMIFS(Tabla2[A],Tabla2[ANY],$Z$76,Tabla2[MES],'2024'!V$2,Tabla2[TIPUS],'2024'!$A127)</f>
        <v>0</v>
      </c>
      <c r="W127" s="21">
        <f>IF(V$123=0,0,V127/V$123)</f>
        <v>0</v>
      </c>
      <c r="X127" s="20">
        <f>SUMIFS(Tabla2[A],Tabla2[ANY],$Z$76,Tabla2[MES],'2024'!X$2,Tabla2[TIPUS],'2024'!$A127)</f>
        <v>0</v>
      </c>
      <c r="Y127" s="21">
        <f>IF(X$123=0,0,X127/X$123)</f>
        <v>0</v>
      </c>
      <c r="Z127" s="20">
        <f>B127+D127+F127+H127+J127+L127+N127+P127+R127+T127+V127+X127</f>
        <v>0</v>
      </c>
      <c r="AA127" s="21">
        <f>IF(Z$123=0,0,Z127/Z$123)</f>
        <v>0</v>
      </c>
    </row>
    <row r="128" spans="1:27" hidden="1" outlineLevel="1" x14ac:dyDescent="0.2">
      <c r="A128" s="8" t="s">
        <v>90</v>
      </c>
      <c r="B128" s="20">
        <f>SUMIFS(Tabla2[A],Tabla2[ANY],$Z$76,Tabla2[MES],'2024'!B$2,Tabla2[TIPUS],'2024'!$A128)</f>
        <v>0</v>
      </c>
      <c r="C128" s="21">
        <f t="shared" si="138"/>
        <v>0</v>
      </c>
      <c r="D128" s="20">
        <f>SUMIFS(Tabla2[A],Tabla2[ANY],$Z$76,Tabla2[MES],'2024'!D$2,Tabla2[TIPUS],'2024'!$A128)</f>
        <v>0</v>
      </c>
      <c r="E128" s="21">
        <f t="shared" si="138"/>
        <v>0</v>
      </c>
      <c r="F128" s="20">
        <f>SUMIFS(Tabla2[A],Tabla2[ANY],$Z$76,Tabla2[MES],'2024'!F$2,Tabla2[TIPUS],'2024'!$A128)</f>
        <v>0</v>
      </c>
      <c r="G128" s="21">
        <f>IF(F$123=0,0,F128/F$123)</f>
        <v>0</v>
      </c>
      <c r="H128" s="20">
        <f>SUMIFS(Tabla2[A],Tabla2[ANY],$Z$76,Tabla2[MES],'2024'!H$2,Tabla2[TIPUS],'2024'!$A128)</f>
        <v>0</v>
      </c>
      <c r="I128" s="21">
        <f>IF(H$123=0,0,H128/H$123)</f>
        <v>0</v>
      </c>
      <c r="J128" s="20">
        <f>SUMIFS(Tabla2[A],Tabla2[ANY],$Z$76,Tabla2[MES],'2024'!J$2,Tabla2[TIPUS],'2024'!$A128)</f>
        <v>0</v>
      </c>
      <c r="K128" s="21">
        <f>IF(J$123=0,0,J128/J$123)</f>
        <v>0</v>
      </c>
      <c r="L128" s="20">
        <f>SUMIFS(Tabla2[A],Tabla2[ANY],$Z$76,Tabla2[MES],'2024'!L$2,Tabla2[TIPUS],'2024'!$A128)</f>
        <v>0</v>
      </c>
      <c r="M128" s="21">
        <f>IF(L$123=0,0,L128/L$123)</f>
        <v>0</v>
      </c>
      <c r="N128" s="20">
        <f>SUMIFS(Tabla2[A],Tabla2[ANY],$Z$76,Tabla2[MES],'2024'!N$2,Tabla2[TIPUS],'2024'!$A128)</f>
        <v>0</v>
      </c>
      <c r="O128" s="21">
        <f>IF(N$123=0,0,N128/N$123)</f>
        <v>0</v>
      </c>
      <c r="P128" s="20">
        <f>SUMIFS(Tabla2[A],Tabla2[ANY],$Z$76,Tabla2[MES],'2024'!P$2,Tabla2[TIPUS],'2024'!$A128)</f>
        <v>0</v>
      </c>
      <c r="Q128" s="21">
        <f>IF(P$123=0,0,P128/P$123)</f>
        <v>0</v>
      </c>
      <c r="R128" s="20">
        <f>SUMIFS(Tabla2[A],Tabla2[ANY],$Z$76,Tabla2[MES],'2024'!R$2,Tabla2[TIPUS],'2024'!$A128)</f>
        <v>70</v>
      </c>
      <c r="S128" s="21">
        <f>IF(R$123=0,0,R128/R$123)</f>
        <v>0.8045977011494253</v>
      </c>
      <c r="T128" s="20">
        <f>SUMIFS(Tabla2[A],Tabla2[ANY],$Z$76,Tabla2[MES],'2024'!T$2,Tabla2[TIPUS],'2024'!$A128)</f>
        <v>0</v>
      </c>
      <c r="U128" s="21">
        <f>IF(T$123=0,0,T128/T$123)</f>
        <v>0</v>
      </c>
      <c r="V128" s="20">
        <f>SUMIFS(Tabla2[A],Tabla2[ANY],$Z$76,Tabla2[MES],'2024'!V$2,Tabla2[TIPUS],'2024'!$A128)</f>
        <v>0</v>
      </c>
      <c r="W128" s="21">
        <f>IF(V$123=0,0,V128/V$123)</f>
        <v>0</v>
      </c>
      <c r="X128" s="20">
        <f>SUMIFS(Tabla2[A],Tabla2[ANY],$Z$76,Tabla2[MES],'2024'!X$2,Tabla2[TIPUS],'2024'!$A128)</f>
        <v>50</v>
      </c>
      <c r="Y128" s="21">
        <f>IF(X$123=0,0,X128/X$123)</f>
        <v>0.27188689505165853</v>
      </c>
      <c r="Z128" s="20">
        <f t="shared" si="135"/>
        <v>120</v>
      </c>
      <c r="AA128" s="21">
        <f>IF(Z$123=0,0,Z128/Z$123)</f>
        <v>3.6030842401095338E-2</v>
      </c>
    </row>
    <row r="129" spans="1:27" ht="15.75" collapsed="1" thickBot="1" x14ac:dyDescent="0.25">
      <c r="A129" s="15" t="s">
        <v>121</v>
      </c>
      <c r="B129" s="26">
        <f>B77-B114</f>
        <v>1345.58</v>
      </c>
      <c r="C129" s="27">
        <f>IF(B77=0,0,B129/B77)</f>
        <v>0.63923040380047502</v>
      </c>
      <c r="D129" s="26">
        <f>D77-D114</f>
        <v>386.37</v>
      </c>
      <c r="E129" s="27">
        <f>IF(D77=0,0,D129/D77)</f>
        <v>0.32197500000000001</v>
      </c>
      <c r="F129" s="26">
        <f>F77-F114</f>
        <v>2330.71</v>
      </c>
      <c r="G129" s="27">
        <f>IF(F77=0,0,F129/F77)</f>
        <v>0.76668092105263164</v>
      </c>
      <c r="H129" s="26">
        <f>H77-H114</f>
        <v>1723.76</v>
      </c>
      <c r="I129" s="27">
        <f>IF(H77=0,0,H129/H77)</f>
        <v>0.74140215053763436</v>
      </c>
      <c r="J129" s="26">
        <f>J77-J114</f>
        <v>937.7199999999998</v>
      </c>
      <c r="K129" s="27">
        <f>IF(J77=0,0,J129/J77)</f>
        <v>0.46769077306733159</v>
      </c>
      <c r="L129" s="26">
        <f>L77-L114</f>
        <v>1281.31</v>
      </c>
      <c r="M129" s="27">
        <f>IF(L77=0,0,L129/L77)</f>
        <v>0.6851925133689839</v>
      </c>
      <c r="N129" s="26">
        <f>N77-N114</f>
        <v>-231.97000000000003</v>
      </c>
      <c r="O129" s="27">
        <f>IF(N77=0,0,N129/N77)</f>
        <v>-0.17843846153846155</v>
      </c>
      <c r="P129" s="26">
        <f>P77-P114</f>
        <v>14.5</v>
      </c>
      <c r="Q129" s="27">
        <f>IF(P77=0,0,P129/P77)</f>
        <v>1.6292134831460674E-2</v>
      </c>
      <c r="R129" s="26">
        <f>R77-R114</f>
        <v>1742.26</v>
      </c>
      <c r="S129" s="27">
        <f>IF(R77=0,0,R129/R77)</f>
        <v>0.73981316348195325</v>
      </c>
      <c r="T129" s="26">
        <f>T77-T114</f>
        <v>678.66</v>
      </c>
      <c r="U129" s="27">
        <f>IF(T77=0,0,T129/T77)</f>
        <v>0.45855405405405403</v>
      </c>
      <c r="V129" s="26">
        <f>V77-V114</f>
        <v>1984.23</v>
      </c>
      <c r="W129" s="27">
        <f>IF(V77=0,0,V129/V77)</f>
        <v>0.68421724137931039</v>
      </c>
      <c r="X129" s="26">
        <f>X77-X114</f>
        <v>1683.5700000000002</v>
      </c>
      <c r="Y129" s="27">
        <f>IF(X77=0,0,X129/X77)</f>
        <v>0.70589937106918244</v>
      </c>
      <c r="Z129" s="26">
        <f>Z77-Z114</f>
        <v>13876.699999999999</v>
      </c>
      <c r="AA129" s="27">
        <f>IF(Z77=0,0,Z129/Z77)</f>
        <v>0.58171033326346677</v>
      </c>
    </row>
    <row r="130" spans="1:27" ht="16.5" thickTop="1" thickBot="1" x14ac:dyDescent="0.25">
      <c r="A130" s="13" t="s">
        <v>120</v>
      </c>
      <c r="B130" s="28">
        <f>B131</f>
        <v>76.587222222222223</v>
      </c>
      <c r="C130" s="29">
        <f>IF(B77=0,0,B130/B77)</f>
        <v>3.6383478490366855E-2</v>
      </c>
      <c r="D130" s="28">
        <f t="shared" ref="D130:X130" si="139">D131</f>
        <v>76.587222222222223</v>
      </c>
      <c r="E130" s="29">
        <f>IF(D77=0,0,D130/D77)</f>
        <v>6.3822685185185191E-2</v>
      </c>
      <c r="F130" s="28">
        <f t="shared" si="139"/>
        <v>76.587222222222223</v>
      </c>
      <c r="G130" s="29">
        <f>IF(F77=0,0,F130/F77)</f>
        <v>2.5193165204678365E-2</v>
      </c>
      <c r="H130" s="28">
        <f t="shared" si="139"/>
        <v>76.587222222222223</v>
      </c>
      <c r="I130" s="29">
        <f>IF(H77=0,0,H130/H77)</f>
        <v>3.2940740740740743E-2</v>
      </c>
      <c r="J130" s="28">
        <f t="shared" si="139"/>
        <v>76.587222222222223</v>
      </c>
      <c r="K130" s="29">
        <f>IF(J77=0,0,J130/J77)</f>
        <v>3.8198115821557216E-2</v>
      </c>
      <c r="L130" s="28">
        <f t="shared" si="139"/>
        <v>76.587222222222223</v>
      </c>
      <c r="M130" s="29">
        <f>IF(L77=0,0,L130/L77)</f>
        <v>4.0955733808674989E-2</v>
      </c>
      <c r="N130" s="28">
        <f t="shared" si="139"/>
        <v>76.587222222222223</v>
      </c>
      <c r="O130" s="29">
        <f>IF(N77=0,0,N130/N77)</f>
        <v>5.8913247863247864E-2</v>
      </c>
      <c r="P130" s="28">
        <f t="shared" si="139"/>
        <v>76.587222222222223</v>
      </c>
      <c r="Q130" s="29">
        <f>IF(P77=0,0,P130/P77)</f>
        <v>8.6053058676654179E-2</v>
      </c>
      <c r="R130" s="28">
        <f t="shared" si="139"/>
        <v>76.587222222222223</v>
      </c>
      <c r="S130" s="29">
        <f>IF(R77=0,0,R130/R77)</f>
        <v>3.2521113470158056E-2</v>
      </c>
      <c r="T130" s="28">
        <f t="shared" si="139"/>
        <v>76.587222222222223</v>
      </c>
      <c r="U130" s="29">
        <f>IF(T77=0,0,T130/T77)</f>
        <v>5.1748123123123123E-2</v>
      </c>
      <c r="V130" s="28">
        <f t="shared" si="139"/>
        <v>76.587222222222223</v>
      </c>
      <c r="W130" s="29">
        <f>IF(V77=0,0,V130/V77)</f>
        <v>2.6409386973180078E-2</v>
      </c>
      <c r="X130" s="28">
        <f t="shared" si="139"/>
        <v>76.587222222222223</v>
      </c>
      <c r="Y130" s="29">
        <f>IF(X77=0,0,X130/X77)</f>
        <v>3.2112042860470535E-2</v>
      </c>
      <c r="Z130" s="28">
        <f>Z131</f>
        <v>919.04666666666651</v>
      </c>
      <c r="AA130" s="29">
        <f>IF(Z77=0,0,Z130/Z77)</f>
        <v>3.8526374624467258E-2</v>
      </c>
    </row>
    <row r="131" spans="1:27" outlineLevel="1" x14ac:dyDescent="0.2">
      <c r="A131" s="8" t="s">
        <v>81</v>
      </c>
      <c r="B131" s="20">
        <f>IF($A$2&gt;=1,Tarifas!$I$47,0)</f>
        <v>76.587222222222223</v>
      </c>
      <c r="C131" s="21">
        <f>IF(B130=0,0,B131/B130)</f>
        <v>1</v>
      </c>
      <c r="D131" s="20">
        <f>IF($A$2&gt;=2,Tarifas!$I$47,0)</f>
        <v>76.587222222222223</v>
      </c>
      <c r="E131" s="21">
        <f>IF(D130=0,0,D131/D130)</f>
        <v>1</v>
      </c>
      <c r="F131" s="20">
        <f>IF($A$2&gt;=3,Tarifas!$I$47,0)</f>
        <v>76.587222222222223</v>
      </c>
      <c r="G131" s="21">
        <f>IF(F130=0,0,F131/F130)</f>
        <v>1</v>
      </c>
      <c r="H131" s="20">
        <f>IF($A$2&gt;=4,Tarifas!$I$47,0)</f>
        <v>76.587222222222223</v>
      </c>
      <c r="I131" s="21">
        <f>IF(H130=0,0,H131/H130)</f>
        <v>1</v>
      </c>
      <c r="J131" s="20">
        <f>IF($A$2&gt;=5,Tarifas!$I$47,0)</f>
        <v>76.587222222222223</v>
      </c>
      <c r="K131" s="21">
        <f>IF(J130=0,0,J131/J130)</f>
        <v>1</v>
      </c>
      <c r="L131" s="20">
        <f>IF($A$2&gt;=6,Tarifas!$I$47,0)</f>
        <v>76.587222222222223</v>
      </c>
      <c r="M131" s="21">
        <f>IF(L130=0,0,L131/L130)</f>
        <v>1</v>
      </c>
      <c r="N131" s="20">
        <f>IF($A$2&gt;=7,Tarifas!$I$47,0)</f>
        <v>76.587222222222223</v>
      </c>
      <c r="O131" s="21">
        <f>IF(N130=0,0,N131/N130)</f>
        <v>1</v>
      </c>
      <c r="P131" s="20">
        <f>IF($A$2&gt;=8,Tarifas!$I$47,0)</f>
        <v>76.587222222222223</v>
      </c>
      <c r="Q131" s="21">
        <f>IF(P130=0,0,P131/P130)</f>
        <v>1</v>
      </c>
      <c r="R131" s="20">
        <f>IF($A$2&gt;=9,Tarifas!$I$47,0)</f>
        <v>76.587222222222223</v>
      </c>
      <c r="S131" s="21">
        <f>IF(R130=0,0,R131/R130)</f>
        <v>1</v>
      </c>
      <c r="T131" s="20">
        <f>IF($A$2&gt;=10,Tarifas!$I$47,0)</f>
        <v>76.587222222222223</v>
      </c>
      <c r="U131" s="21">
        <f>IF(T130=0,0,T131/T130)</f>
        <v>1</v>
      </c>
      <c r="V131" s="20">
        <f>IF($A$2&gt;=11,Tarifas!$I$47,0)</f>
        <v>76.587222222222223</v>
      </c>
      <c r="W131" s="21">
        <f>IF(V130=0,0,V131/V130)</f>
        <v>1</v>
      </c>
      <c r="X131" s="20">
        <f>IF($A$2&gt;=12,Tarifas!$I$47,0)</f>
        <v>76.587222222222223</v>
      </c>
      <c r="Y131" s="21">
        <f>IF(X130=0,0,X131/X130)</f>
        <v>1</v>
      </c>
      <c r="Z131" s="20">
        <f>B131+D131+F131+H131+J131+L131+N131+P131+R131+T131+V131+X131</f>
        <v>919.04666666666651</v>
      </c>
      <c r="AA131" s="21">
        <f>IF(Z130=0,0,Z131/Z130)</f>
        <v>1</v>
      </c>
    </row>
    <row r="132" spans="1:27" ht="15.75" thickBot="1" x14ac:dyDescent="0.25">
      <c r="A132" s="15" t="s">
        <v>122</v>
      </c>
      <c r="B132" s="26">
        <f>B129-B130</f>
        <v>1268.9927777777777</v>
      </c>
      <c r="C132" s="27">
        <f>IF(B$77=0,0,B132/B$77)</f>
        <v>0.60284692531010819</v>
      </c>
      <c r="D132" s="26">
        <f>D129-D130</f>
        <v>309.78277777777777</v>
      </c>
      <c r="E132" s="27">
        <f>IF(D$77=0,0,D132/D$77)</f>
        <v>0.25815231481481482</v>
      </c>
      <c r="F132" s="26">
        <f>F129-F130</f>
        <v>2254.1227777777776</v>
      </c>
      <c r="G132" s="27">
        <f>IF(F$77=0,0,F132/F$77)</f>
        <v>0.74148775584795312</v>
      </c>
      <c r="H132" s="26">
        <f>H129-H130</f>
        <v>1647.1727777777778</v>
      </c>
      <c r="I132" s="27">
        <f>IF(H$77=0,0,H132/H$77)</f>
        <v>0.70846140979689365</v>
      </c>
      <c r="J132" s="26">
        <f>J129-J130</f>
        <v>861.13277777777762</v>
      </c>
      <c r="K132" s="27">
        <f>IF(J$77=0,0,J132/J$77)</f>
        <v>0.4294926572457744</v>
      </c>
      <c r="L132" s="26">
        <f>L129-L130</f>
        <v>1204.7227777777778</v>
      </c>
      <c r="M132" s="27">
        <f>IF(L$77=0,0,L132/L$77)</f>
        <v>0.644236779560309</v>
      </c>
      <c r="N132" s="26">
        <f>N129-N130</f>
        <v>-308.55722222222226</v>
      </c>
      <c r="O132" s="27">
        <f>IF(N$77=0,0,N132/N$77)</f>
        <v>-0.23735170940170944</v>
      </c>
      <c r="P132" s="26">
        <f>P129-P130</f>
        <v>-62.087222222222223</v>
      </c>
      <c r="Q132" s="27">
        <f>IF(P$77=0,0,P132/P$77)</f>
        <v>-6.9760923845193515E-2</v>
      </c>
      <c r="R132" s="26">
        <f>R129-R130</f>
        <v>1665.6727777777778</v>
      </c>
      <c r="S132" s="27">
        <f>IF(R$77=0,0,R132/R$77)</f>
        <v>0.70729205001179529</v>
      </c>
      <c r="T132" s="26">
        <f>T129-T130</f>
        <v>602.07277777777779</v>
      </c>
      <c r="U132" s="27">
        <f>IF(T$77=0,0,T132/T$77)</f>
        <v>0.40680593093093093</v>
      </c>
      <c r="V132" s="26">
        <f>V129-V130</f>
        <v>1907.6427777777778</v>
      </c>
      <c r="W132" s="27">
        <f>IF(V$77=0,0,V132/V$77)</f>
        <v>0.65780785440613032</v>
      </c>
      <c r="X132" s="26">
        <f>X129-X130</f>
        <v>1606.982777777778</v>
      </c>
      <c r="Y132" s="27">
        <f>IF(X$77=0,0,X132/X$77)</f>
        <v>0.6737873282087119</v>
      </c>
      <c r="Z132" s="26">
        <f>Z129-Z130</f>
        <v>12957.653333333332</v>
      </c>
      <c r="AA132" s="27">
        <f>IF(Z$77=0,0,Z132/Z$77)</f>
        <v>0.54318395863899949</v>
      </c>
    </row>
    <row r="133" spans="1:27" ht="16.5" thickTop="1" thickBot="1" x14ac:dyDescent="0.25">
      <c r="A133" s="13" t="s">
        <v>134</v>
      </c>
      <c r="B133" s="28">
        <f>B134</f>
        <v>0</v>
      </c>
      <c r="C133" s="29">
        <f>IF(B$77=0,0,B133/B$77)</f>
        <v>0</v>
      </c>
      <c r="D133" s="28">
        <f>D134</f>
        <v>0</v>
      </c>
      <c r="E133" s="29">
        <f>IF(D$77=0,0,D133/D$77)</f>
        <v>0</v>
      </c>
      <c r="F133" s="28">
        <f>F134</f>
        <v>0</v>
      </c>
      <c r="G133" s="29">
        <f>IF(F$77=0,0,F133/F$77)</f>
        <v>0</v>
      </c>
      <c r="H133" s="28">
        <f>H134</f>
        <v>0</v>
      </c>
      <c r="I133" s="29">
        <f>IF(H$77=0,0,H133/H$77)</f>
        <v>0</v>
      </c>
      <c r="J133" s="28">
        <f>J134</f>
        <v>0</v>
      </c>
      <c r="K133" s="29">
        <f>IF(J$77=0,0,J133/J$77)</f>
        <v>0</v>
      </c>
      <c r="L133" s="28">
        <f>L134</f>
        <v>0</v>
      </c>
      <c r="M133" s="29">
        <f>IF(L$77=0,0,L133/L$77)</f>
        <v>0</v>
      </c>
      <c r="N133" s="28">
        <f>N134</f>
        <v>0</v>
      </c>
      <c r="O133" s="29">
        <f>IF(N$77=0,0,N133/N$77)</f>
        <v>0</v>
      </c>
      <c r="P133" s="28">
        <f>P134</f>
        <v>0</v>
      </c>
      <c r="Q133" s="29">
        <f>IF(P$77=0,0,P133/P$77)</f>
        <v>0</v>
      </c>
      <c r="R133" s="28">
        <f>R134</f>
        <v>0</v>
      </c>
      <c r="S133" s="29">
        <f>IF(R$77=0,0,R133/R$77)</f>
        <v>0</v>
      </c>
      <c r="T133" s="28">
        <f>T134</f>
        <v>0</v>
      </c>
      <c r="U133" s="29">
        <f>IF(T$77=0,0,T133/T$77)</f>
        <v>0</v>
      </c>
      <c r="V133" s="28">
        <f>V134</f>
        <v>0</v>
      </c>
      <c r="W133" s="29">
        <f>IF(V$77=0,0,V133/V$77)</f>
        <v>0</v>
      </c>
      <c r="X133" s="28">
        <f>X134</f>
        <v>0</v>
      </c>
      <c r="Y133" s="29">
        <f>IF(X$77=0,0,X133/X$77)</f>
        <v>0</v>
      </c>
      <c r="Z133" s="28">
        <f>Z134</f>
        <v>0</v>
      </c>
      <c r="AA133" s="29">
        <f>IF(Z$77=0,0,Z133/Z$77)</f>
        <v>0</v>
      </c>
    </row>
    <row r="134" spans="1:27" hidden="1" outlineLevel="1" x14ac:dyDescent="0.2">
      <c r="A134" s="8" t="s">
        <v>133</v>
      </c>
      <c r="B134" s="20">
        <f>SUMIFS(Tabla2[A],Tabla2[ANY],2020,Tabla2[MES],'2024'!B$2,Tabla2[TIPUS],'2024'!$A134)</f>
        <v>0</v>
      </c>
      <c r="C134" s="44">
        <f>IF(B133=0,0,B134/B133)</f>
        <v>0</v>
      </c>
      <c r="D134" s="20">
        <f>SUMIFS(Tabla2[A],Tabla2[ANY],2020,Tabla2[MES],'2024'!D$2,Tabla2[TIPUS],'2024'!$A134)</f>
        <v>0</v>
      </c>
      <c r="E134" s="44">
        <f>IF(D133=0,0,D134/D133)</f>
        <v>0</v>
      </c>
      <c r="F134" s="20">
        <f>SUMIFS(Tabla2[A],Tabla2[ANY],2020,Tabla2[MES],'2024'!F$2,Tabla2[TIPUS],'2024'!$A134)</f>
        <v>0</v>
      </c>
      <c r="G134" s="44">
        <f>IF(F133=0,0,F134/F133)</f>
        <v>0</v>
      </c>
      <c r="H134" s="20">
        <f>SUMIFS(Tabla2[A],Tabla2[ANY],2020,Tabla2[MES],'2024'!H$2,Tabla2[TIPUS],'2024'!$A134)</f>
        <v>0</v>
      </c>
      <c r="I134" s="44">
        <f>IF(H133=0,0,H134/H133)</f>
        <v>0</v>
      </c>
      <c r="J134" s="20">
        <f>SUMIFS(Tabla2[A],Tabla2[ANY],2020,Tabla2[MES],'2024'!J$2,Tabla2[TIPUS],'2024'!$A134)</f>
        <v>0</v>
      </c>
      <c r="K134" s="44">
        <f>IF(J133=0,0,J134/J133)</f>
        <v>0</v>
      </c>
      <c r="L134" s="20">
        <f>SUMIFS(Tabla2[A],Tabla2[ANY],2020,Tabla2[MES],'2024'!L$2,Tabla2[TIPUS],'2024'!$A134)</f>
        <v>0</v>
      </c>
      <c r="M134" s="44">
        <f>IF(L133=0,0,L134/L133)</f>
        <v>0</v>
      </c>
      <c r="N134" s="20">
        <f>SUMIFS(Tabla2[A],Tabla2[ANY],2020,Tabla2[MES],'2024'!N$2,Tabla2[TIPUS],'2024'!$A134)</f>
        <v>0</v>
      </c>
      <c r="O134" s="44">
        <f>IF(N133=0,0,N134/N133)</f>
        <v>0</v>
      </c>
      <c r="P134" s="20">
        <f>SUMIFS(Tabla2[A],Tabla2[ANY],2020,Tabla2[MES],'2024'!P$2,Tabla2[TIPUS],'2024'!$A134)</f>
        <v>0</v>
      </c>
      <c r="Q134" s="44">
        <f>IF(P133=0,0,P134/P133)</f>
        <v>0</v>
      </c>
      <c r="R134" s="20">
        <f>SUMIFS(Tabla2[A],Tabla2[ANY],2020,Tabla2[MES],'2024'!R$2,Tabla2[TIPUS],'2024'!$A134)</f>
        <v>0</v>
      </c>
      <c r="S134" s="44">
        <f>IF(R133=0,0,R134/R133)</f>
        <v>0</v>
      </c>
      <c r="T134" s="20">
        <f>SUMIFS(Tabla2[A],Tabla2[ANY],2020,Tabla2[MES],'2024'!T$2,Tabla2[TIPUS],'2024'!$A134)</f>
        <v>0</v>
      </c>
      <c r="U134" s="44">
        <f>IF(T133=0,0,T134/T133)</f>
        <v>0</v>
      </c>
      <c r="V134" s="20">
        <f>SUMIFS(Tabla2[A],Tabla2[ANY],2020,Tabla2[MES],'2024'!V$2,Tabla2[TIPUS],'2024'!$A134)</f>
        <v>0</v>
      </c>
      <c r="W134" s="44">
        <f>IF(V133=0,0,V134/V133)</f>
        <v>0</v>
      </c>
      <c r="X134" s="20">
        <f>SUMIFS(Tabla2[A],Tabla2[ANY],2020,Tabla2[MES],'2024'!X$2,Tabla2[TIPUS],'2024'!$A134)</f>
        <v>0</v>
      </c>
      <c r="Y134" s="44">
        <f>IF(X133=0,0,X134/X133)</f>
        <v>0</v>
      </c>
      <c r="Z134" s="20">
        <f>B134+D134+F134+H134+J134+L134+N134+P134+R134+T134+V134+X134</f>
        <v>0</v>
      </c>
      <c r="AA134" s="44">
        <f>IF(Z133=0,0,Z134/Z133)</f>
        <v>0</v>
      </c>
    </row>
    <row r="135" spans="1:27" ht="15.75" collapsed="1" thickBot="1" x14ac:dyDescent="0.25">
      <c r="A135" s="15" t="s">
        <v>135</v>
      </c>
      <c r="B135" s="26">
        <f>B132-B134</f>
        <v>1268.9927777777777</v>
      </c>
      <c r="C135" s="27">
        <f>IF(B$77=0,0,B135/B$77)</f>
        <v>0.60284692531010819</v>
      </c>
      <c r="D135" s="26">
        <f>D132-D134</f>
        <v>309.78277777777777</v>
      </c>
      <c r="E135" s="27">
        <f>IF(D$77=0,0,D135/D$77)</f>
        <v>0.25815231481481482</v>
      </c>
      <c r="F135" s="26">
        <f>F132-F134</f>
        <v>2254.1227777777776</v>
      </c>
      <c r="G135" s="27">
        <f>IF(F$77=0,0,F135/F$77)</f>
        <v>0.74148775584795312</v>
      </c>
      <c r="H135" s="26">
        <f>H132-H134</f>
        <v>1647.1727777777778</v>
      </c>
      <c r="I135" s="27">
        <f>IF(H$77=0,0,H135/H$77)</f>
        <v>0.70846140979689365</v>
      </c>
      <c r="J135" s="26">
        <f>J132-J134</f>
        <v>861.13277777777762</v>
      </c>
      <c r="K135" s="27">
        <f>IF(J$77=0,0,J135/J$77)</f>
        <v>0.4294926572457744</v>
      </c>
      <c r="L135" s="26">
        <f>L132-L134</f>
        <v>1204.7227777777778</v>
      </c>
      <c r="M135" s="27">
        <f>IF(L$77=0,0,L135/L$77)</f>
        <v>0.644236779560309</v>
      </c>
      <c r="N135" s="26">
        <f>N132-N134</f>
        <v>-308.55722222222226</v>
      </c>
      <c r="O135" s="27">
        <f>IF(N$77=0,0,N135/N$77)</f>
        <v>-0.23735170940170944</v>
      </c>
      <c r="P135" s="26">
        <f>P132-P134</f>
        <v>-62.087222222222223</v>
      </c>
      <c r="Q135" s="27">
        <f>IF(P$77=0,0,P135/P$77)</f>
        <v>-6.9760923845193515E-2</v>
      </c>
      <c r="R135" s="26">
        <f>R132-R134</f>
        <v>1665.6727777777778</v>
      </c>
      <c r="S135" s="27">
        <f>IF(R$77=0,0,R135/R$77)</f>
        <v>0.70729205001179529</v>
      </c>
      <c r="T135" s="26">
        <f>T132-T134</f>
        <v>602.07277777777779</v>
      </c>
      <c r="U135" s="27">
        <f>IF(T$77=0,0,T135/T$77)</f>
        <v>0.40680593093093093</v>
      </c>
      <c r="V135" s="26">
        <f>V132-V134</f>
        <v>1907.6427777777778</v>
      </c>
      <c r="W135" s="27">
        <f>IF(V$77=0,0,V135/V$77)</f>
        <v>0.65780785440613032</v>
      </c>
      <c r="X135" s="26">
        <f>X132-X134</f>
        <v>1606.982777777778</v>
      </c>
      <c r="Y135" s="27">
        <f>IF(X$77=0,0,X135/X$77)</f>
        <v>0.6737873282087119</v>
      </c>
      <c r="Z135" s="26">
        <f>Z132-Z134</f>
        <v>12957.653333333332</v>
      </c>
      <c r="AA135" s="27">
        <f>IF(Z$77=0,0,Z135/Z$77)</f>
        <v>0.54318395863899949</v>
      </c>
    </row>
    <row r="136" spans="1:27" ht="15.75" thickTop="1" x14ac:dyDescent="0.2">
      <c r="A136" s="8" t="s">
        <v>123</v>
      </c>
      <c r="B136" s="20">
        <f>SUMIFS(Tabla2[A],Tabla2[ANY],$Z$76,Tabla2[MES],'2024'!B$2,Tabla2[TIPUS],'2024'!$A136)</f>
        <v>1088.17</v>
      </c>
      <c r="C136" s="21">
        <f>IF(B$77=0,0,B136/B$77)</f>
        <v>0.51694536817102144</v>
      </c>
      <c r="D136" s="20">
        <f>SUMIFS(Tabla2[A],Tabla2[ANY],$Z$76,Tabla2[MES],'2024'!D$2,Tabla2[TIPUS],'2024'!$A136)</f>
        <v>0</v>
      </c>
      <c r="E136" s="21">
        <f>IF(D$77=0,0,D136/D$77)</f>
        <v>0</v>
      </c>
      <c r="F136" s="20">
        <f>SUMIFS(Tabla2[A],Tabla2[ANY],$Z$76,Tabla2[MES],'2024'!F$2,Tabla2[TIPUS],'2024'!$A136)</f>
        <v>0</v>
      </c>
      <c r="G136" s="21">
        <f>IF(F$77=0,0,F136/F$77)</f>
        <v>0</v>
      </c>
      <c r="H136" s="20">
        <f>SUMIFS(Tabla2[A],Tabla2[ANY],$Z$76,Tabla2[MES],'2024'!H$2,Tabla2[TIPUS],'2024'!$A136)</f>
        <v>1196.26</v>
      </c>
      <c r="I136" s="21">
        <f>IF(H$77=0,0,H136/H$77)</f>
        <v>0.5145204301075269</v>
      </c>
      <c r="J136" s="20">
        <f>SUMIFS(Tabla2[A],Tabla2[ANY],$Z$76,Tabla2[MES],'2024'!J$2,Tabla2[TIPUS],'2024'!$A136)</f>
        <v>0</v>
      </c>
      <c r="K136" s="21">
        <f>IF(J$77=0,0,J136/J$77)</f>
        <v>0</v>
      </c>
      <c r="L136" s="20">
        <f>SUMIFS(Tabla2[A],Tabla2[ANY],$Z$76,Tabla2[MES],'2024'!L$2,Tabla2[TIPUS],'2024'!$A136)</f>
        <v>0</v>
      </c>
      <c r="M136" s="21">
        <f>IF(L$77=0,0,L136/L$77)</f>
        <v>0</v>
      </c>
      <c r="N136" s="20">
        <f>SUMIFS(Tabla2[A],Tabla2[ANY],$Z$76,Tabla2[MES],'2024'!N$2,Tabla2[TIPUS],'2024'!$A136)</f>
        <v>1047.99</v>
      </c>
      <c r="O136" s="21">
        <f>IF(N$77=0,0,N136/N$77)</f>
        <v>0.80614615384615385</v>
      </c>
      <c r="P136" s="20">
        <f>SUMIFS(Tabla2[A],Tabla2[ANY],$Z$76,Tabla2[MES],'2024'!P$2,Tabla2[TIPUS],'2024'!$A136)</f>
        <v>0</v>
      </c>
      <c r="Q136" s="21">
        <f>IF(P$77=0,0,P136/P$77)</f>
        <v>0</v>
      </c>
      <c r="R136" s="20">
        <f>SUMIFS(Tabla2[A],Tabla2[ANY],$Z$76,Tabla2[MES],'2024'!R$2,Tabla2[TIPUS],'2024'!$A136)</f>
        <v>0</v>
      </c>
      <c r="S136" s="21">
        <f>IF(R$77=0,0,R136/R$77)</f>
        <v>0</v>
      </c>
      <c r="T136" s="20">
        <f>SUMIFS(Tabla2[A],Tabla2[ANY],$Z$76,Tabla2[MES],'2024'!T$2,Tabla2[TIPUS],'2024'!$A136)</f>
        <v>935.35</v>
      </c>
      <c r="U136" s="21">
        <f>IF(T$77=0,0,T136/T$77)</f>
        <v>0.63199324324324324</v>
      </c>
      <c r="V136" s="20">
        <f>SUMIFS(Tabla2[A],Tabla2[ANY],$Z$76,Tabla2[MES],'2024'!V$2,Tabla2[TIPUS],'2024'!$A136)</f>
        <v>0</v>
      </c>
      <c r="W136" s="21">
        <f>IF(V$77=0,0,V136/V$77)</f>
        <v>0</v>
      </c>
      <c r="X136" s="20">
        <f>SUMIFS(Tabla2[A],Tabla2[ANY],$Z$76,Tabla2[MES],'2024'!X$2,Tabla2[TIPUS],'2024'!$A136)</f>
        <v>0</v>
      </c>
      <c r="Y136" s="21">
        <f>IF(X$77=0,0,X136/X$77)</f>
        <v>0</v>
      </c>
      <c r="Z136" s="20">
        <f>B136+D136+F136+H136+J136+L136+N136+P136+R136+T136+V136+X136</f>
        <v>4267.7700000000004</v>
      </c>
      <c r="AA136" s="21">
        <f>IF(Z$77=0,0,Z136/Z$77)</f>
        <v>0.17890463215258856</v>
      </c>
    </row>
    <row r="137" spans="1:27" ht="15.75" thickBot="1" x14ac:dyDescent="0.25">
      <c r="A137" s="15" t="s">
        <v>124</v>
      </c>
      <c r="B137" s="26">
        <f>B135-B136</f>
        <v>180.82277777777767</v>
      </c>
      <c r="C137" s="27">
        <f>IF(B77=0,0,B137/B77)</f>
        <v>8.5901557139086787E-2</v>
      </c>
      <c r="D137" s="26">
        <f>D135-D136</f>
        <v>309.78277777777777</v>
      </c>
      <c r="E137" s="27">
        <f>IF(D77=0,0,D137/D77)</f>
        <v>0.25815231481481482</v>
      </c>
      <c r="F137" s="26">
        <f>F135-F136</f>
        <v>2254.1227777777776</v>
      </c>
      <c r="G137" s="27">
        <f>IF(F77=0,0,F137/F77)</f>
        <v>0.74148775584795312</v>
      </c>
      <c r="H137" s="26">
        <f>H135-H136</f>
        <v>450.91277777777782</v>
      </c>
      <c r="I137" s="27">
        <f>IF(H77=0,0,H137/H77)</f>
        <v>0.1939409796893668</v>
      </c>
      <c r="J137" s="26">
        <f>J135-J136</f>
        <v>861.13277777777762</v>
      </c>
      <c r="K137" s="27">
        <f>IF(J77=0,0,J137/J77)</f>
        <v>0.4294926572457744</v>
      </c>
      <c r="L137" s="26">
        <f>L135-L136</f>
        <v>1204.7227777777778</v>
      </c>
      <c r="M137" s="27">
        <f>IF(L77=0,0,L137/L77)</f>
        <v>0.644236779560309</v>
      </c>
      <c r="N137" s="26">
        <f>N135-N136</f>
        <v>-1356.5472222222222</v>
      </c>
      <c r="O137" s="27">
        <f>IF(N77=0,0,N137/N77)</f>
        <v>-1.0434978632478633</v>
      </c>
      <c r="P137" s="26">
        <f>P135-P136</f>
        <v>-62.087222222222223</v>
      </c>
      <c r="Q137" s="27">
        <f>IF(P77=0,0,P137/P77)</f>
        <v>-6.9760923845193515E-2</v>
      </c>
      <c r="R137" s="26">
        <f>R135-R136</f>
        <v>1665.6727777777778</v>
      </c>
      <c r="S137" s="27">
        <f>IF(R77=0,0,R137/R77)</f>
        <v>0.70729205001179529</v>
      </c>
      <c r="T137" s="26">
        <f>T135-T136</f>
        <v>-333.27722222222224</v>
      </c>
      <c r="U137" s="27">
        <f>IF(T77=0,0,T137/T77)</f>
        <v>-0.22518731231231232</v>
      </c>
      <c r="V137" s="26">
        <f>V135-V136</f>
        <v>1907.6427777777778</v>
      </c>
      <c r="W137" s="27">
        <f>IF(V77=0,0,V137/V77)</f>
        <v>0.65780785440613032</v>
      </c>
      <c r="X137" s="26">
        <f>X135-X136</f>
        <v>1606.982777777778</v>
      </c>
      <c r="Y137" s="27">
        <f>IF(X77=0,0,X137/X77)</f>
        <v>0.6737873282087119</v>
      </c>
      <c r="Z137" s="26">
        <f>Z135-Z136</f>
        <v>8689.8833333333314</v>
      </c>
      <c r="AA137" s="27">
        <f>IF(Z77=0,0,Z137/Z77)</f>
        <v>0.36427932648641087</v>
      </c>
    </row>
    <row r="138" spans="1:27" ht="16.5" thickTop="1" thickBot="1" x14ac:dyDescent="0.25">
      <c r="B138" s="30"/>
      <c r="C138" s="31"/>
      <c r="D138" s="30"/>
      <c r="E138" s="31"/>
      <c r="F138" s="30"/>
      <c r="G138" s="31"/>
      <c r="H138" s="30"/>
      <c r="I138" s="31"/>
      <c r="J138" s="30"/>
      <c r="K138" s="31"/>
      <c r="L138" s="30"/>
      <c r="M138" s="31"/>
      <c r="N138" s="30"/>
      <c r="O138" s="31"/>
      <c r="P138" s="30"/>
      <c r="Q138" s="31"/>
      <c r="R138" s="30"/>
      <c r="S138" s="31"/>
      <c r="T138" s="30"/>
      <c r="U138" s="31"/>
      <c r="V138" s="30"/>
      <c r="W138" s="31"/>
      <c r="X138" s="30"/>
      <c r="Y138" s="31"/>
      <c r="Z138" s="30"/>
      <c r="AA138" s="31"/>
    </row>
    <row r="139" spans="1:27" ht="15.75" thickBot="1" x14ac:dyDescent="0.25">
      <c r="A139" s="210" t="s">
        <v>136</v>
      </c>
    </row>
    <row r="140" spans="1:27" x14ac:dyDescent="0.2">
      <c r="A140" s="210"/>
      <c r="B140" s="208" t="s">
        <v>48</v>
      </c>
      <c r="C140" s="209"/>
      <c r="D140" s="208" t="s">
        <v>56</v>
      </c>
      <c r="E140" s="209"/>
      <c r="F140" s="208" t="s">
        <v>57</v>
      </c>
      <c r="G140" s="209"/>
      <c r="H140" s="208" t="s">
        <v>58</v>
      </c>
      <c r="I140" s="209"/>
      <c r="J140" s="208" t="s">
        <v>59</v>
      </c>
      <c r="K140" s="209"/>
      <c r="L140" s="208" t="s">
        <v>60</v>
      </c>
      <c r="M140" s="209"/>
      <c r="N140" s="208" t="s">
        <v>61</v>
      </c>
      <c r="O140" s="209"/>
      <c r="P140" s="208" t="s">
        <v>62</v>
      </c>
      <c r="Q140" s="209"/>
      <c r="R140" s="208" t="s">
        <v>236</v>
      </c>
      <c r="S140" s="209"/>
      <c r="T140" s="208" t="s">
        <v>63</v>
      </c>
      <c r="U140" s="209"/>
      <c r="V140" s="208" t="s">
        <v>64</v>
      </c>
      <c r="W140" s="209"/>
      <c r="X140" s="208" t="s">
        <v>65</v>
      </c>
      <c r="Y140" s="209"/>
      <c r="Z140" s="208">
        <f>Z2</f>
        <v>2024</v>
      </c>
      <c r="AA140" s="209"/>
    </row>
    <row r="141" spans="1:27" x14ac:dyDescent="0.2">
      <c r="A141" t="s">
        <v>125</v>
      </c>
      <c r="B141" s="20">
        <f>B77</f>
        <v>2105</v>
      </c>
      <c r="C141" s="38">
        <f t="shared" ref="C141:C147" si="140">B141</f>
        <v>2105</v>
      </c>
      <c r="D141" s="20">
        <f>D77</f>
        <v>1200</v>
      </c>
      <c r="E141" s="38">
        <f>C147+D141</f>
        <v>1457.4099999999999</v>
      </c>
      <c r="F141" s="20">
        <f>F77</f>
        <v>3040</v>
      </c>
      <c r="G141" s="38">
        <f>E147+F141</f>
        <v>2903.7799999999997</v>
      </c>
      <c r="H141" s="20">
        <f>H77</f>
        <v>2325</v>
      </c>
      <c r="I141" s="38">
        <f>G147+H141</f>
        <v>4519.49</v>
      </c>
      <c r="J141" s="20">
        <f>J77</f>
        <v>2005</v>
      </c>
      <c r="K141" s="38">
        <f>I147+J141</f>
        <v>4726.99</v>
      </c>
      <c r="L141" s="20">
        <f>L77</f>
        <v>1870</v>
      </c>
      <c r="M141" s="38">
        <f>K147+L141</f>
        <v>5529.7099999999991</v>
      </c>
      <c r="N141" s="20">
        <f>N77</f>
        <v>1300</v>
      </c>
      <c r="O141" s="38">
        <f>M147+N141</f>
        <v>6241.0199999999986</v>
      </c>
      <c r="P141" s="20">
        <f>P77</f>
        <v>890</v>
      </c>
      <c r="Q141" s="38">
        <f>O147+P141</f>
        <v>4551.0599999999986</v>
      </c>
      <c r="R141" s="20">
        <f>R77</f>
        <v>2355</v>
      </c>
      <c r="S141" s="38">
        <f>Q147+R141</f>
        <v>6030.5599999999986</v>
      </c>
      <c r="T141" s="20">
        <f>T77</f>
        <v>1480</v>
      </c>
      <c r="U141" s="38">
        <f>S147+T141</f>
        <v>6897.8199999999988</v>
      </c>
      <c r="V141" s="20">
        <f>V77</f>
        <v>2900</v>
      </c>
      <c r="W141" s="38">
        <f>U147+V141</f>
        <v>8061.1299999999983</v>
      </c>
      <c r="X141" s="20">
        <f>X77</f>
        <v>2385</v>
      </c>
      <c r="Y141" s="38">
        <f>W147+X141</f>
        <v>9530.3599999999988</v>
      </c>
      <c r="Z141" s="200">
        <f>Z77</f>
        <v>23855</v>
      </c>
      <c r="AA141" s="201"/>
    </row>
    <row r="142" spans="1:27" x14ac:dyDescent="0.2">
      <c r="A142" t="s">
        <v>126</v>
      </c>
      <c r="B142" s="20">
        <f>B114</f>
        <v>759.42000000000007</v>
      </c>
      <c r="C142" s="38">
        <f t="shared" si="140"/>
        <v>759.42000000000007</v>
      </c>
      <c r="D142" s="20">
        <f>D114</f>
        <v>813.63</v>
      </c>
      <c r="E142" s="38">
        <f>D142</f>
        <v>813.63</v>
      </c>
      <c r="F142" s="20">
        <f>F114</f>
        <v>709.29</v>
      </c>
      <c r="G142" s="38">
        <f>F142</f>
        <v>709.29</v>
      </c>
      <c r="H142" s="20">
        <f>H114</f>
        <v>601.24</v>
      </c>
      <c r="I142" s="38">
        <f>H142</f>
        <v>601.24</v>
      </c>
      <c r="J142" s="20">
        <f>J114</f>
        <v>1067.2800000000002</v>
      </c>
      <c r="K142" s="38">
        <f>J142</f>
        <v>1067.2800000000002</v>
      </c>
      <c r="L142" s="20">
        <f>L114</f>
        <v>588.69000000000005</v>
      </c>
      <c r="M142" s="38">
        <f>L142</f>
        <v>588.69000000000005</v>
      </c>
      <c r="N142" s="20">
        <f>N114</f>
        <v>1531.97</v>
      </c>
      <c r="O142" s="38">
        <f>N142</f>
        <v>1531.97</v>
      </c>
      <c r="P142" s="20">
        <f>P114</f>
        <v>875.5</v>
      </c>
      <c r="Q142" s="38">
        <f>P142</f>
        <v>875.5</v>
      </c>
      <c r="R142" s="20">
        <f>R114</f>
        <v>612.74</v>
      </c>
      <c r="S142" s="38">
        <f>R142</f>
        <v>612.74</v>
      </c>
      <c r="T142" s="20">
        <f>T114</f>
        <v>801.34</v>
      </c>
      <c r="U142" s="38">
        <f>T142</f>
        <v>801.34</v>
      </c>
      <c r="V142" s="20">
        <f>V114</f>
        <v>915.77</v>
      </c>
      <c r="W142" s="38">
        <f>V142</f>
        <v>915.77</v>
      </c>
      <c r="X142" s="20">
        <f>X114</f>
        <v>701.43</v>
      </c>
      <c r="Y142" s="38">
        <f>X142</f>
        <v>701.43</v>
      </c>
      <c r="Z142" s="200">
        <f>Z114</f>
        <v>9978.3000000000011</v>
      </c>
      <c r="AA142" s="201"/>
    </row>
    <row r="143" spans="1:27" ht="15.75" thickBot="1" x14ac:dyDescent="0.25">
      <c r="A143" s="36" t="s">
        <v>127</v>
      </c>
      <c r="B143" s="37">
        <f>B141-B142</f>
        <v>1345.58</v>
      </c>
      <c r="C143" s="39">
        <f t="shared" si="140"/>
        <v>1345.58</v>
      </c>
      <c r="D143" s="37">
        <f t="shared" ref="D143:Y143" si="141">D141-D142</f>
        <v>386.37</v>
      </c>
      <c r="E143" s="39">
        <f t="shared" si="141"/>
        <v>643.77999999999986</v>
      </c>
      <c r="F143" s="37">
        <f t="shared" si="141"/>
        <v>2330.71</v>
      </c>
      <c r="G143" s="39">
        <f t="shared" si="141"/>
        <v>2194.4899999999998</v>
      </c>
      <c r="H143" s="37">
        <f t="shared" si="141"/>
        <v>1723.76</v>
      </c>
      <c r="I143" s="39">
        <f t="shared" si="141"/>
        <v>3918.25</v>
      </c>
      <c r="J143" s="37">
        <f t="shared" si="141"/>
        <v>937.7199999999998</v>
      </c>
      <c r="K143" s="39">
        <f t="shared" si="141"/>
        <v>3659.7099999999996</v>
      </c>
      <c r="L143" s="37">
        <f t="shared" si="141"/>
        <v>1281.31</v>
      </c>
      <c r="M143" s="39">
        <f t="shared" si="141"/>
        <v>4941.0199999999986</v>
      </c>
      <c r="N143" s="37">
        <f t="shared" si="141"/>
        <v>-231.97000000000003</v>
      </c>
      <c r="O143" s="39">
        <f t="shared" si="141"/>
        <v>4709.0499999999984</v>
      </c>
      <c r="P143" s="37">
        <f t="shared" si="141"/>
        <v>14.5</v>
      </c>
      <c r="Q143" s="39">
        <f t="shared" si="141"/>
        <v>3675.5599999999986</v>
      </c>
      <c r="R143" s="37">
        <f t="shared" si="141"/>
        <v>1742.26</v>
      </c>
      <c r="S143" s="39">
        <f t="shared" si="141"/>
        <v>5417.8199999999988</v>
      </c>
      <c r="T143" s="37">
        <f t="shared" si="141"/>
        <v>678.66</v>
      </c>
      <c r="U143" s="39">
        <f t="shared" si="141"/>
        <v>6096.4799999999987</v>
      </c>
      <c r="V143" s="37">
        <f t="shared" si="141"/>
        <v>1984.23</v>
      </c>
      <c r="W143" s="39">
        <f t="shared" si="141"/>
        <v>7145.3599999999988</v>
      </c>
      <c r="X143" s="37">
        <f t="shared" si="141"/>
        <v>1683.5700000000002</v>
      </c>
      <c r="Y143" s="39">
        <f t="shared" si="141"/>
        <v>8828.9299999999985</v>
      </c>
      <c r="Z143" s="202">
        <f>Z141-Z142</f>
        <v>13876.699999999999</v>
      </c>
      <c r="AA143" s="203"/>
    </row>
    <row r="144" spans="1:27" x14ac:dyDescent="0.2">
      <c r="A144" s="2" t="s">
        <v>128</v>
      </c>
      <c r="B144" s="20">
        <f>-SUMIFS(Tabla2[A],Tabla2[ANY],$Z$76,Tabla2[MES],'2024'!B$2,Tabla2[TIPUS],'2024'!$A144)</f>
        <v>0</v>
      </c>
      <c r="C144" s="38">
        <f t="shared" si="140"/>
        <v>0</v>
      </c>
      <c r="D144" s="20">
        <f>-SUMIFS(Tabla2[A],Tabla2[ANY],$Z$76,Tabla2[MES],'2024'!D$2,Tabla2[TIPUS],'2024'!$A144)</f>
        <v>-780</v>
      </c>
      <c r="E144" s="38">
        <f>D144</f>
        <v>-780</v>
      </c>
      <c r="F144" s="20">
        <f>-SUMIFS(Tabla2[A],Tabla2[ANY],$Z$76,Tabla2[MES],'2024'!F$2,Tabla2[TIPUS],'2024'!$A144)</f>
        <v>0</v>
      </c>
      <c r="G144" s="38">
        <f>F144</f>
        <v>0</v>
      </c>
      <c r="H144" s="20">
        <f>-SUMIFS(Tabla2[A],Tabla2[ANY],$Z$76,Tabla2[MES],'2024'!H$2,Tabla2[TIPUS],'2024'!$A144)</f>
        <v>0</v>
      </c>
      <c r="I144" s="38">
        <f>H144</f>
        <v>0</v>
      </c>
      <c r="J144" s="20">
        <f>-SUMIFS(Tabla2[A],Tabla2[ANY],$Z$76,Tabla2[MES],'2024'!J$2,Tabla2[TIPUS],'2024'!$A144)</f>
        <v>0</v>
      </c>
      <c r="K144" s="38">
        <f>J144</f>
        <v>0</v>
      </c>
      <c r="L144" s="20">
        <f>-SUMIFS(Tabla2[A],Tabla2[ANY],$Z$76,Tabla2[MES],'2024'!L$2,Tabla2[TIPUS],'2024'!$A144)</f>
        <v>0</v>
      </c>
      <c r="M144" s="38">
        <f>L144</f>
        <v>0</v>
      </c>
      <c r="N144" s="20">
        <f>-SUMIFS(Tabla2[A],Tabla2[ANY],$Z$76,Tabla2[MES],'2024'!N$2,Tabla2[TIPUS],'2024'!$A144)</f>
        <v>0</v>
      </c>
      <c r="O144" s="38">
        <f>N144</f>
        <v>0</v>
      </c>
      <c r="P144" s="20">
        <f>-SUMIFS(Tabla2[A],Tabla2[ANY],$Z$76,Tabla2[MES],'2024'!P$2,Tabla2[TIPUS],'2024'!$A144)</f>
        <v>0</v>
      </c>
      <c r="Q144" s="38">
        <f>P144</f>
        <v>0</v>
      </c>
      <c r="R144" s="20">
        <f>-SUMIFS(Tabla2[A],Tabla2[ANY],$Z$76,Tabla2[MES],'2024'!R$2,Tabla2[TIPUS],'2024'!$A144)</f>
        <v>0</v>
      </c>
      <c r="S144" s="38">
        <f>R144</f>
        <v>0</v>
      </c>
      <c r="T144" s="20">
        <f>-SUMIFS(Tabla2[A],Tabla2[ANY],$Z$76,Tabla2[MES],'2024'!T$2,Tabla2[TIPUS],'2024'!$A144)</f>
        <v>0</v>
      </c>
      <c r="U144" s="38">
        <f>T144</f>
        <v>0</v>
      </c>
      <c r="V144" s="20">
        <f>-SUMIFS(Tabla2[A],Tabla2[ANY],$Z$76,Tabla2[MES],'2024'!V$2,Tabla2[TIPUS],'2024'!$A144)</f>
        <v>0</v>
      </c>
      <c r="W144" s="38">
        <f>V144</f>
        <v>0</v>
      </c>
      <c r="X144" s="20">
        <f>-SUMIFS(Tabla2[A],Tabla2[ANY],$Z$76,Tabla2[MES],'2024'!X$2,Tabla2[TIPUS],'2024'!$A144)</f>
        <v>0</v>
      </c>
      <c r="Y144" s="38">
        <f>X144</f>
        <v>0</v>
      </c>
      <c r="Z144" s="204">
        <f>-SUMIFS(Tabla2[A],Tabla2[ANY],$Z$140,Tabla2[TIPUS],'2024'!$A144)</f>
        <v>-780</v>
      </c>
      <c r="AA144" s="205"/>
    </row>
    <row r="145" spans="1:27" x14ac:dyDescent="0.2">
      <c r="A145" t="s">
        <v>134</v>
      </c>
      <c r="B145" s="20">
        <f>-B133</f>
        <v>0</v>
      </c>
      <c r="C145" s="38">
        <f t="shared" si="140"/>
        <v>0</v>
      </c>
      <c r="D145" s="20">
        <f>-D133</f>
        <v>0</v>
      </c>
      <c r="E145" s="38">
        <f>D145</f>
        <v>0</v>
      </c>
      <c r="F145" s="20">
        <f>-F133</f>
        <v>0</v>
      </c>
      <c r="G145" s="38">
        <f>F145</f>
        <v>0</v>
      </c>
      <c r="H145" s="20">
        <f>-H133</f>
        <v>0</v>
      </c>
      <c r="I145" s="38">
        <f>H145</f>
        <v>0</v>
      </c>
      <c r="J145" s="20">
        <f>-J133</f>
        <v>0</v>
      </c>
      <c r="K145" s="38">
        <f>J145</f>
        <v>0</v>
      </c>
      <c r="L145" s="20">
        <f>-L133</f>
        <v>0</v>
      </c>
      <c r="M145" s="38">
        <f>L145</f>
        <v>0</v>
      </c>
      <c r="N145" s="20">
        <f>-N133</f>
        <v>0</v>
      </c>
      <c r="O145" s="38">
        <f>N145</f>
        <v>0</v>
      </c>
      <c r="P145" s="20">
        <f>-P133</f>
        <v>0</v>
      </c>
      <c r="Q145" s="38">
        <f>P145</f>
        <v>0</v>
      </c>
      <c r="R145" s="20">
        <f>-R133</f>
        <v>0</v>
      </c>
      <c r="S145" s="38">
        <f>R145</f>
        <v>0</v>
      </c>
      <c r="T145" s="20">
        <f>-T133</f>
        <v>0</v>
      </c>
      <c r="U145" s="38">
        <f>T145</f>
        <v>0</v>
      </c>
      <c r="V145" s="20">
        <f>-V133</f>
        <v>0</v>
      </c>
      <c r="W145" s="38">
        <f>V145</f>
        <v>0</v>
      </c>
      <c r="X145" s="20">
        <f>-X133</f>
        <v>0</v>
      </c>
      <c r="Y145" s="38">
        <f>X145</f>
        <v>0</v>
      </c>
      <c r="Z145" s="200">
        <f>-Z133</f>
        <v>0</v>
      </c>
      <c r="AA145" s="201"/>
    </row>
    <row r="146" spans="1:27" x14ac:dyDescent="0.2">
      <c r="A146" t="s">
        <v>130</v>
      </c>
      <c r="B146" s="23">
        <f>-B136</f>
        <v>-1088.17</v>
      </c>
      <c r="C146" s="35">
        <f t="shared" si="140"/>
        <v>-1088.17</v>
      </c>
      <c r="D146" s="23">
        <f>-D136</f>
        <v>0</v>
      </c>
      <c r="E146" s="35">
        <f>D146</f>
        <v>0</v>
      </c>
      <c r="F146" s="23">
        <f>-F136</f>
        <v>0</v>
      </c>
      <c r="G146" s="35">
        <f>F146</f>
        <v>0</v>
      </c>
      <c r="H146" s="23">
        <f>-H136</f>
        <v>-1196.26</v>
      </c>
      <c r="I146" s="35">
        <f>H146</f>
        <v>-1196.26</v>
      </c>
      <c r="J146" s="23">
        <f>-J136</f>
        <v>0</v>
      </c>
      <c r="K146" s="35">
        <f>J146</f>
        <v>0</v>
      </c>
      <c r="L146" s="23">
        <f>-L136</f>
        <v>0</v>
      </c>
      <c r="M146" s="35">
        <f>L146</f>
        <v>0</v>
      </c>
      <c r="N146" s="23">
        <f>-N136</f>
        <v>-1047.99</v>
      </c>
      <c r="O146" s="35">
        <f>N146</f>
        <v>-1047.99</v>
      </c>
      <c r="P146" s="23">
        <f>-P136</f>
        <v>0</v>
      </c>
      <c r="Q146" s="35">
        <f>P146</f>
        <v>0</v>
      </c>
      <c r="R146" s="23">
        <f>-R136</f>
        <v>0</v>
      </c>
      <c r="S146" s="35">
        <f>R146</f>
        <v>0</v>
      </c>
      <c r="T146" s="23">
        <f>-T136</f>
        <v>-935.35</v>
      </c>
      <c r="U146" s="35">
        <f>T146</f>
        <v>-935.35</v>
      </c>
      <c r="V146" s="23">
        <f>-V136</f>
        <v>0</v>
      </c>
      <c r="W146" s="35">
        <f>V146</f>
        <v>0</v>
      </c>
      <c r="X146" s="23">
        <f>-X136</f>
        <v>0</v>
      </c>
      <c r="Y146" s="35">
        <f>X146</f>
        <v>0</v>
      </c>
      <c r="Z146" s="200">
        <f>-Z136</f>
        <v>-4267.7700000000004</v>
      </c>
      <c r="AA146" s="207"/>
    </row>
    <row r="147" spans="1:27" ht="15.75" thickBot="1" x14ac:dyDescent="0.25">
      <c r="A147" s="36" t="s">
        <v>131</v>
      </c>
      <c r="B147" s="37">
        <f>B143+B144+B145+B146</f>
        <v>257.40999999999985</v>
      </c>
      <c r="C147" s="39">
        <f t="shared" si="140"/>
        <v>257.40999999999985</v>
      </c>
      <c r="D147" s="37">
        <f t="shared" ref="D147:Z147" si="142">D143+D144+D145+D146</f>
        <v>-393.63</v>
      </c>
      <c r="E147" s="39">
        <f t="shared" si="142"/>
        <v>-136.22000000000014</v>
      </c>
      <c r="F147" s="37">
        <f t="shared" si="142"/>
        <v>2330.71</v>
      </c>
      <c r="G147" s="39">
        <f t="shared" si="142"/>
        <v>2194.4899999999998</v>
      </c>
      <c r="H147" s="37">
        <f t="shared" si="142"/>
        <v>527.5</v>
      </c>
      <c r="I147" s="39">
        <f t="shared" si="142"/>
        <v>2721.99</v>
      </c>
      <c r="J147" s="37">
        <f t="shared" si="142"/>
        <v>937.7199999999998</v>
      </c>
      <c r="K147" s="39">
        <f t="shared" si="142"/>
        <v>3659.7099999999996</v>
      </c>
      <c r="L147" s="37">
        <f t="shared" si="142"/>
        <v>1281.31</v>
      </c>
      <c r="M147" s="39">
        <f t="shared" si="142"/>
        <v>4941.0199999999986</v>
      </c>
      <c r="N147" s="37">
        <f t="shared" si="142"/>
        <v>-1279.96</v>
      </c>
      <c r="O147" s="39">
        <f t="shared" si="142"/>
        <v>3661.0599999999986</v>
      </c>
      <c r="P147" s="37">
        <f t="shared" si="142"/>
        <v>14.5</v>
      </c>
      <c r="Q147" s="39">
        <f t="shared" si="142"/>
        <v>3675.5599999999986</v>
      </c>
      <c r="R147" s="37">
        <f t="shared" si="142"/>
        <v>1742.26</v>
      </c>
      <c r="S147" s="39">
        <f t="shared" si="142"/>
        <v>5417.8199999999988</v>
      </c>
      <c r="T147" s="37">
        <f t="shared" si="142"/>
        <v>-256.69000000000005</v>
      </c>
      <c r="U147" s="39">
        <f t="shared" si="142"/>
        <v>5161.1299999999983</v>
      </c>
      <c r="V147" s="37">
        <f t="shared" si="142"/>
        <v>1984.23</v>
      </c>
      <c r="W147" s="39">
        <f t="shared" si="142"/>
        <v>7145.3599999999988</v>
      </c>
      <c r="X147" s="37">
        <f t="shared" si="142"/>
        <v>1683.5700000000002</v>
      </c>
      <c r="Y147" s="39">
        <f t="shared" si="142"/>
        <v>8828.9299999999985</v>
      </c>
      <c r="Z147" s="202">
        <f t="shared" si="142"/>
        <v>8828.9299999999985</v>
      </c>
      <c r="AA147" s="203"/>
    </row>
    <row r="149" spans="1:27" ht="30" thickBot="1" x14ac:dyDescent="0.45">
      <c r="A149" s="45" t="s">
        <v>103</v>
      </c>
    </row>
    <row r="150" spans="1:27" x14ac:dyDescent="0.2">
      <c r="B150" s="208" t="s">
        <v>48</v>
      </c>
      <c r="C150" s="209"/>
      <c r="D150" s="208" t="s">
        <v>56</v>
      </c>
      <c r="E150" s="209"/>
      <c r="F150" s="208" t="s">
        <v>57</v>
      </c>
      <c r="G150" s="209"/>
      <c r="H150" s="208" t="s">
        <v>58</v>
      </c>
      <c r="I150" s="209"/>
      <c r="J150" s="208" t="s">
        <v>59</v>
      </c>
      <c r="K150" s="209"/>
      <c r="L150" s="208" t="s">
        <v>60</v>
      </c>
      <c r="M150" s="209"/>
      <c r="N150" s="208" t="s">
        <v>61</v>
      </c>
      <c r="O150" s="209"/>
      <c r="P150" s="208" t="s">
        <v>62</v>
      </c>
      <c r="Q150" s="209"/>
      <c r="R150" s="208" t="s">
        <v>236</v>
      </c>
      <c r="S150" s="209"/>
      <c r="T150" s="208" t="s">
        <v>63</v>
      </c>
      <c r="U150" s="209"/>
      <c r="V150" s="208" t="s">
        <v>64</v>
      </c>
      <c r="W150" s="209"/>
      <c r="X150" s="208" t="s">
        <v>65</v>
      </c>
      <c r="Y150" s="209"/>
      <c r="Z150" s="208">
        <f>Z2</f>
        <v>2024</v>
      </c>
      <c r="AA150" s="209"/>
    </row>
    <row r="151" spans="1:27" ht="15.75" thickBot="1" x14ac:dyDescent="0.25">
      <c r="A151" s="10" t="s">
        <v>66</v>
      </c>
      <c r="B151" s="16">
        <f>B152+B170</f>
        <v>3095</v>
      </c>
      <c r="C151" s="17">
        <f>IF(B151=0,0,(B151/B151))</f>
        <v>1</v>
      </c>
      <c r="D151" s="16">
        <f>D152+D170</f>
        <v>3185</v>
      </c>
      <c r="E151" s="17">
        <f>IF(D151=0,0,(D151/D151))</f>
        <v>1</v>
      </c>
      <c r="F151" s="16">
        <f>F152+F170</f>
        <v>1905</v>
      </c>
      <c r="G151" s="17">
        <f>IF(F151=0,0,(F151/F151))</f>
        <v>1</v>
      </c>
      <c r="H151" s="16">
        <f>H152+H170</f>
        <v>2285</v>
      </c>
      <c r="I151" s="17">
        <f>IF(H151=0,0,(H151/H151))</f>
        <v>1</v>
      </c>
      <c r="J151" s="16">
        <f>J152+J170</f>
        <v>2595</v>
      </c>
      <c r="K151" s="17">
        <f>IF(J151=0,0,(J151/J151))</f>
        <v>1</v>
      </c>
      <c r="L151" s="16">
        <f>L152+L170</f>
        <v>2600</v>
      </c>
      <c r="M151" s="17">
        <f>IF(L151=0,0,(L151/L151))</f>
        <v>1</v>
      </c>
      <c r="N151" s="16">
        <f>N152+N170</f>
        <v>2245</v>
      </c>
      <c r="O151" s="17">
        <f>IF(N151=0,0,(N151/N151))</f>
        <v>1</v>
      </c>
      <c r="P151" s="16">
        <f>P152+P170</f>
        <v>1660</v>
      </c>
      <c r="Q151" s="17">
        <f>IF(P151=0,0,(P151/P151))</f>
        <v>1</v>
      </c>
      <c r="R151" s="16">
        <f>R152+R170</f>
        <v>1780</v>
      </c>
      <c r="S151" s="17">
        <f>IF(R151=0,0,(R151/R151))</f>
        <v>1</v>
      </c>
      <c r="T151" s="16">
        <f>T152+T170</f>
        <v>2320</v>
      </c>
      <c r="U151" s="17">
        <f>IF(T151=0,0,(T151/T151))</f>
        <v>1</v>
      </c>
      <c r="V151" s="16">
        <f>V152+V170</f>
        <v>2670</v>
      </c>
      <c r="W151" s="17">
        <f>IF(V151=0,0,(V151/V151))</f>
        <v>1</v>
      </c>
      <c r="X151" s="16">
        <f>X152+X170</f>
        <v>4920</v>
      </c>
      <c r="Y151" s="17">
        <f>IF(X151=0,0,(X151/X151))</f>
        <v>1</v>
      </c>
      <c r="Z151" s="16">
        <f>Z152+Z170</f>
        <v>31260</v>
      </c>
      <c r="AA151" s="17">
        <f>IF(Z151=0,0,(Z151/Z151))</f>
        <v>1</v>
      </c>
    </row>
    <row r="152" spans="1:27" x14ac:dyDescent="0.2">
      <c r="A152" s="32" t="s">
        <v>74</v>
      </c>
      <c r="B152" s="18">
        <f>SUM(B153:B160)</f>
        <v>2895</v>
      </c>
      <c r="C152" s="19">
        <f>IF(B$151=0,0,B152/B$151)</f>
        <v>0.93537964458804523</v>
      </c>
      <c r="D152" s="18">
        <f>SUM(D153:D160)</f>
        <v>2575</v>
      </c>
      <c r="E152" s="19">
        <f>IF(D$151=0,0,D152/D$151)</f>
        <v>0.80847723704866559</v>
      </c>
      <c r="F152" s="18">
        <f>SUM(F153:F160)</f>
        <v>1725</v>
      </c>
      <c r="G152" s="19">
        <f>IF(F$151=0,0,F152/F$151)</f>
        <v>0.90551181102362199</v>
      </c>
      <c r="H152" s="18">
        <f>SUM(H153:H160)</f>
        <v>1925</v>
      </c>
      <c r="I152" s="19">
        <f>IF(H$151=0,0,H152/H$151)</f>
        <v>0.84245076586433265</v>
      </c>
      <c r="J152" s="18">
        <f>SUM(J153:J160)</f>
        <v>2415</v>
      </c>
      <c r="K152" s="19">
        <f>IF(J$151=0,0,J152/J$151)</f>
        <v>0.93063583815028905</v>
      </c>
      <c r="L152" s="18">
        <f>SUM(L153:L160)</f>
        <v>2500</v>
      </c>
      <c r="M152" s="19">
        <f>IF(L$151=0,0,L152/L$151)</f>
        <v>0.96153846153846156</v>
      </c>
      <c r="N152" s="18">
        <f>SUM(N153:N160)</f>
        <v>2125</v>
      </c>
      <c r="O152" s="19">
        <f>IF(N$151=0,0,N152/N$151)</f>
        <v>0.94654788418708236</v>
      </c>
      <c r="P152" s="18">
        <f>SUM(P153:P160)</f>
        <v>1580</v>
      </c>
      <c r="Q152" s="19">
        <f>IF(P$151=0,0,P152/P$151)</f>
        <v>0.95180722891566261</v>
      </c>
      <c r="R152" s="18">
        <f>SUM(R153:R160)</f>
        <v>1720</v>
      </c>
      <c r="S152" s="19">
        <f>IF(R$151=0,0,R152/R$151)</f>
        <v>0.9662921348314607</v>
      </c>
      <c r="T152" s="18">
        <f>SUM(T153:T160)</f>
        <v>2200</v>
      </c>
      <c r="U152" s="19">
        <f>IF(T$151=0,0,T152/T$151)</f>
        <v>0.94827586206896552</v>
      </c>
      <c r="V152" s="18">
        <f>SUM(V153:V160)</f>
        <v>2470</v>
      </c>
      <c r="W152" s="19">
        <f>IF(V$151=0,0,V152/V$151)</f>
        <v>0.92509363295880154</v>
      </c>
      <c r="X152" s="18">
        <f>SUM(X153:X160)</f>
        <v>4700</v>
      </c>
      <c r="Y152" s="19">
        <f>IF(X$151=0,0,X152/X$151)</f>
        <v>0.95528455284552849</v>
      </c>
      <c r="Z152" s="18">
        <f>SUM(Z153:Z160)</f>
        <v>28830</v>
      </c>
      <c r="AA152" s="19">
        <f>IF(Z$3=0,0,Z152/Z$3)</f>
        <v>0.52261397625305905</v>
      </c>
    </row>
    <row r="153" spans="1:27" hidden="1" outlineLevel="1" x14ac:dyDescent="0.2">
      <c r="A153" s="8" t="s">
        <v>67</v>
      </c>
      <c r="B153" s="20">
        <f>SUMIFS('Registre de reserves'!$V$2:$V$1178,'Registre de reserves'!$T$2:$T$1178,"SI",'Registre de reserves'!$I$2:$I$1178,'2024'!$A153,'Registre de reserves'!$B$2:$B$1178,'2024'!B$2,Tabla1[ANY],'2024'!$Z$150)+SUMIFS('Registre de reserves'!$V$2:$V$1178,'Registre de reserves'!$T$2:$T$1178,"RESERVA",'Registre de reserves'!$I$2:$I$1178,'2024'!$A153,'Registre de reserves'!$B$2:$B$1178,'2024'!B$2,Tabla1[ANY],'2024'!$Z$150)</f>
        <v>400</v>
      </c>
      <c r="C153" s="21">
        <f>IF(B$152=0,0,B153/B$152)</f>
        <v>0.1381692573402418</v>
      </c>
      <c r="D153" s="20">
        <f>SUMIFS('Registre de reserves'!$V$2:$V$1178,'Registre de reserves'!$T$2:$T$1178,"SI",'Registre de reserves'!$I$2:$I$1178,'2024'!$A153,'Registre de reserves'!$B$2:$B$1178,'2024'!D$2,Tabla1[ANY],'2024'!$Z$150)+SUMIFS('Registre de reserves'!$V$2:$V$1178,'Registre de reserves'!$T$2:$T$1178,"RESERVA",'Registre de reserves'!$I$2:$I$1178,'2024'!$A153,'Registre de reserves'!$B$2:$B$1178,'2024'!D$2,Tabla1[ANY],'2024'!$Z$150)</f>
        <v>500</v>
      </c>
      <c r="E153" s="21">
        <f t="shared" ref="E153:E160" si="143">IF(D$152=0,0,D153/D$152)</f>
        <v>0.1941747572815534</v>
      </c>
      <c r="F153" s="20">
        <f>SUMIFS('Registre de reserves'!$V$2:$V$1178,'Registre de reserves'!$T$2:$T$1178,"SI",'Registre de reserves'!$I$2:$I$1178,'2024'!$A153,'Registre de reserves'!$B$2:$B$1178,'2024'!F$2,Tabla1[ANY],'2024'!$Z$150)+SUMIFS('Registre de reserves'!$V$2:$V$1178,'Registre de reserves'!$T$2:$T$1178,"RESERVA",'Registre de reserves'!$I$2:$I$1178,'2024'!$A153,'Registre de reserves'!$B$2:$B$1178,'2024'!F$2,Tabla1[ANY],'2024'!$Z$150)</f>
        <v>300</v>
      </c>
      <c r="G153" s="21">
        <f t="shared" ref="G153:G160" si="144">IF(F$152=0,0,F153/F$152)</f>
        <v>0.17391304347826086</v>
      </c>
      <c r="H153" s="20">
        <f>SUMIFS('Registre de reserves'!$V$2:$V$1178,'Registre de reserves'!$T$2:$T$1178,"SI",'Registre de reserves'!$I$2:$I$1178,'2024'!$A153,'Registre de reserves'!$B$2:$B$1178,'2024'!H$2,Tabla1[ANY],'2024'!$Z$150)+SUMIFS('Registre de reserves'!$V$2:$V$1178,'Registre de reserves'!$T$2:$T$1178,"RESERVA",'Registre de reserves'!$I$2:$I$1178,'2024'!$A153,'Registre de reserves'!$B$2:$B$1178,'2024'!H$2,Tabla1[ANY],'2024'!$Z$150)</f>
        <v>350</v>
      </c>
      <c r="I153" s="21">
        <f t="shared" ref="I153:I160" si="145">IF(H$152=0,0,H153/H$152)</f>
        <v>0.18181818181818182</v>
      </c>
      <c r="J153" s="20">
        <f>SUMIFS('Registre de reserves'!$V$2:$V$1178,'Registre de reserves'!$T$2:$T$1178,"SI",'Registre de reserves'!$I$2:$I$1178,'2024'!$A153,'Registre de reserves'!$B$2:$B$1178,'2024'!J$2,Tabla1[ANY],'2024'!$Z$150)+SUMIFS('Registre de reserves'!$V$2:$V$1178,'Registre de reserves'!$T$2:$T$1178,"RESERVA",'Registre de reserves'!$I$2:$I$1178,'2024'!$A153,'Registre de reserves'!$B$2:$B$1178,'2024'!J$2,Tabla1[ANY],'2024'!$Z$150)</f>
        <v>500</v>
      </c>
      <c r="K153" s="21">
        <f t="shared" ref="K153:K160" si="146">IF(J$152=0,0,J153/J$152)</f>
        <v>0.20703933747412009</v>
      </c>
      <c r="L153" s="20">
        <f>SUMIFS('Registre de reserves'!$V$2:$V$1178,'Registre de reserves'!$T$2:$T$1178,"SI",'Registre de reserves'!$I$2:$I$1178,'2024'!$A153,'Registre de reserves'!$B$2:$B$1178,'2024'!L$2,Tabla1[ANY],'2024'!$Z$150)+SUMIFS('Registre de reserves'!$V$2:$V$1178,'Registre de reserves'!$T$2:$T$1178,"RESERVA",'Registre de reserves'!$I$2:$I$1178,'2024'!$A153,'Registre de reserves'!$B$2:$B$1178,'2024'!L$2,Tabla1[ANY],'2024'!$Z$150)</f>
        <v>500</v>
      </c>
      <c r="M153" s="21">
        <f t="shared" ref="M153:M160" si="147">IF(L$152=0,0,L153/L$152)</f>
        <v>0.2</v>
      </c>
      <c r="N153" s="20">
        <f>SUMIFS('Registre de reserves'!$V$2:$V$1178,'Registre de reserves'!$T$2:$T$1178,"SI",'Registre de reserves'!$I$2:$I$1178,'2024'!$A153,'Registre de reserves'!$B$2:$B$1178,'2024'!N$2,Tabla1[ANY],'2024'!$Z$150)+SUMIFS('Registre de reserves'!$V$2:$V$1178,'Registre de reserves'!$T$2:$T$1178,"RESERVA",'Registre de reserves'!$I$2:$I$1178,'2024'!$A153,'Registre de reserves'!$B$2:$B$1178,'2024'!N$2,Tabla1[ANY],'2024'!$Z$150)</f>
        <v>350</v>
      </c>
      <c r="O153" s="21">
        <f t="shared" ref="O153:O160" si="148">IF(N$152=0,0,N153/N$152)</f>
        <v>0.16470588235294117</v>
      </c>
      <c r="P153" s="20">
        <f>SUMIFS('Registre de reserves'!$V$2:$V$1178,'Registre de reserves'!$T$2:$T$1178,"SI",'Registre de reserves'!$I$2:$I$1178,'2024'!$A153,'Registre de reserves'!$B$2:$B$1178,'2024'!P$2,Tabla1[ANY],'2024'!$Z$150)+SUMIFS('Registre de reserves'!$V$2:$V$1178,'Registre de reserves'!$T$2:$T$1178,"RESERVA",'Registre de reserves'!$I$2:$I$1178,'2024'!$A153,'Registre de reserves'!$B$2:$B$1178,'2024'!P$2,Tabla1[ANY],'2024'!$Z$150)</f>
        <v>0</v>
      </c>
      <c r="Q153" s="21">
        <f t="shared" ref="Q153:Q160" si="149">IF(P$152=0,0,P153/P$152)</f>
        <v>0</v>
      </c>
      <c r="R153" s="20">
        <f>SUMIFS('Registre de reserves'!$V$2:$V$1178,'Registre de reserves'!$T$2:$T$1178,"SI",'Registre de reserves'!$I$2:$I$1178,'2024'!$A153,'Registre de reserves'!$B$2:$B$1178,'2024'!R$2,Tabla1[ANY],'2024'!$Z$150)+SUMIFS('Registre de reserves'!$V$2:$V$1178,'Registre de reserves'!$T$2:$T$1178,"RESERVA",'Registre de reserves'!$I$2:$I$1178,'2024'!$A153,'Registre de reserves'!$B$2:$B$1178,'2024'!R$2,Tabla1[ANY],'2024'!$Z$150)</f>
        <v>400</v>
      </c>
      <c r="S153" s="21">
        <f t="shared" ref="S153:S160" si="150">IF(R$152=0,0,R153/R$152)</f>
        <v>0.23255813953488372</v>
      </c>
      <c r="T153" s="20">
        <f>SUMIFS('Registre de reserves'!$V$2:$V$1178,'Registre de reserves'!$T$2:$T$1178,"SI",'Registre de reserves'!$I$2:$I$1178,'2024'!$A153,'Registre de reserves'!$B$2:$B$1178,'2024'!T$2,Tabla1[ANY],'2024'!$Z$150)+SUMIFS('Registre de reserves'!$V$2:$V$1178,'Registre de reserves'!$T$2:$T$1178,"RESERVA",'Registre de reserves'!$I$2:$I$1178,'2024'!$A153,'Registre de reserves'!$B$2:$B$1178,'2024'!T$2,Tabla1[ANY],'2024'!$Z$150)</f>
        <v>500</v>
      </c>
      <c r="U153" s="21">
        <f t="shared" ref="U153:U160" si="151">IF(T$152=0,0,T153/T$152)</f>
        <v>0.22727272727272727</v>
      </c>
      <c r="V153" s="20">
        <f>SUMIFS('Registre de reserves'!$V$2:$V$1178,'Registre de reserves'!$T$2:$T$1178,"SI",'Registre de reserves'!$I$2:$I$1178,'2024'!$A153,'Registre de reserves'!$B$2:$B$1178,'2024'!V$2,Tabla1[ANY],'2024'!$Z$150)+SUMIFS('Registre de reserves'!$V$2:$V$1178,'Registre de reserves'!$T$2:$T$1178,"RESERVA",'Registre de reserves'!$I$2:$I$1178,'2024'!$A153,'Registre de reserves'!$B$2:$B$1178,'2024'!V$2,Tabla1[ANY],'2024'!$Z$150)</f>
        <v>700</v>
      </c>
      <c r="W153" s="21">
        <f t="shared" ref="W153:W160" si="152">IF(V$152=0,0,V153/V$152)</f>
        <v>0.2834008097165992</v>
      </c>
      <c r="X153" s="20">
        <f>SUMIFS('Registre de reserves'!$V$2:$V$1178,'Registre de reserves'!$T$2:$T$1178,"SI",'Registre de reserves'!$I$2:$I$1178,'2024'!$A153,'Registre de reserves'!$B$2:$B$1178,'2024'!X$2,Tabla1[ANY],'2024'!$Z$150)+SUMIFS('Registre de reserves'!$V$2:$V$1178,'Registre de reserves'!$T$2:$T$1178,"RESERVA",'Registre de reserves'!$I$2:$I$1178,'2024'!$A153,'Registre de reserves'!$B$2:$B$1178,'2024'!X$2,Tabla1[ANY],'2024'!$Z$150)</f>
        <v>500</v>
      </c>
      <c r="Y153" s="21">
        <f t="shared" ref="Y153:Y160" si="153">IF(X$152=0,0,X153/X$152)</f>
        <v>0.10638297872340426</v>
      </c>
      <c r="Z153" s="20">
        <f>B153+D153+F153+H153+J153+L153+N153+P153+R153+T153+V153+X153</f>
        <v>5000</v>
      </c>
      <c r="AA153" s="21">
        <f t="shared" ref="AA153:AA160" si="154">IF(Z$4=0,0,Z153/Z$4)</f>
        <v>9.7002619070714904E-2</v>
      </c>
    </row>
    <row r="154" spans="1:27" hidden="1" outlineLevel="1" x14ac:dyDescent="0.2">
      <c r="A154" s="8" t="s">
        <v>68</v>
      </c>
      <c r="B154" s="20">
        <f>SUMIFS('Registre de reserves'!$V$2:$V$1178,'Registre de reserves'!$T$2:$T$1178,"SI",'Registre de reserves'!$I$2:$I$1178,'2024'!$A154,'Registre de reserves'!$B$2:$B$1178,'2024'!B$2,Tabla1[ANY],'2024'!$Z$150)+SUMIFS('Registre de reserves'!$V$2:$V$1178,'Registre de reserves'!$T$2:$T$1178,"RESERVA",'Registre de reserves'!$I$2:$I$1178,'2024'!$A154,'Registre de reserves'!$B$2:$B$1178,'2024'!B$2,Tabla1[ANY],'2024'!$Z$150)</f>
        <v>1395</v>
      </c>
      <c r="C154" s="21">
        <f t="shared" ref="C154:C160" si="155">IF(B$152=0,0,B154/B$152)</f>
        <v>0.48186528497409326</v>
      </c>
      <c r="D154" s="20">
        <f>SUMIFS('Registre de reserves'!$V$2:$V$1178,'Registre de reserves'!$T$2:$T$1178,"SI",'Registre de reserves'!$I$2:$I$1178,'2024'!$A154,'Registre de reserves'!$B$2:$B$1178,'2024'!D$2,Tabla1[ANY],'2024'!$Z$150)+SUMIFS('Registre de reserves'!$V$2:$V$1178,'Registre de reserves'!$T$2:$T$1178,"RESERVA",'Registre de reserves'!$I$2:$I$1178,'2024'!$A154,'Registre de reserves'!$B$2:$B$1178,'2024'!D$2,Tabla1[ANY],'2024'!$Z$150)</f>
        <v>925</v>
      </c>
      <c r="E154" s="21">
        <f t="shared" si="143"/>
        <v>0.35922330097087379</v>
      </c>
      <c r="F154" s="20">
        <f>SUMIFS('Registre de reserves'!$V$2:$V$1178,'Registre de reserves'!$T$2:$T$1178,"SI",'Registre de reserves'!$I$2:$I$1178,'2024'!$A154,'Registre de reserves'!$B$2:$B$1178,'2024'!F$2,Tabla1[ANY],'2024'!$Z$150)+SUMIFS('Registre de reserves'!$V$2:$V$1178,'Registre de reserves'!$T$2:$T$1178,"RESERVA",'Registre de reserves'!$I$2:$I$1178,'2024'!$A154,'Registre de reserves'!$B$2:$B$1178,'2024'!F$2,Tabla1[ANY],'2024'!$Z$150)</f>
        <v>525</v>
      </c>
      <c r="G154" s="21">
        <f t="shared" si="144"/>
        <v>0.30434782608695654</v>
      </c>
      <c r="H154" s="20">
        <f>SUMIFS('Registre de reserves'!$V$2:$V$1178,'Registre de reserves'!$T$2:$T$1178,"SI",'Registre de reserves'!$I$2:$I$1178,'2024'!$A154,'Registre de reserves'!$B$2:$B$1178,'2024'!H$2,Tabla1[ANY],'2024'!$Z$150)+SUMIFS('Registre de reserves'!$V$2:$V$1178,'Registre de reserves'!$T$2:$T$1178,"RESERVA",'Registre de reserves'!$I$2:$I$1178,'2024'!$A154,'Registre de reserves'!$B$2:$B$1178,'2024'!H$2,Tabla1[ANY],'2024'!$Z$150)</f>
        <v>535</v>
      </c>
      <c r="I154" s="21">
        <f t="shared" si="145"/>
        <v>0.2779220779220779</v>
      </c>
      <c r="J154" s="20">
        <f>SUMIFS('Registre de reserves'!$V$2:$V$1178,'Registre de reserves'!$T$2:$T$1178,"SI",'Registre de reserves'!$I$2:$I$1178,'2024'!$A154,'Registre de reserves'!$B$2:$B$1178,'2024'!J$2,Tabla1[ANY],'2024'!$Z$150)+SUMIFS('Registre de reserves'!$V$2:$V$1178,'Registre de reserves'!$T$2:$T$1178,"RESERVA",'Registre de reserves'!$I$2:$I$1178,'2024'!$A154,'Registre de reserves'!$B$2:$B$1178,'2024'!J$2,Tabla1[ANY],'2024'!$Z$150)</f>
        <v>535</v>
      </c>
      <c r="K154" s="21">
        <f t="shared" si="146"/>
        <v>0.22153209109730848</v>
      </c>
      <c r="L154" s="20">
        <f>SUMIFS('Registre de reserves'!$V$2:$V$1178,'Registre de reserves'!$T$2:$T$1178,"SI",'Registre de reserves'!$I$2:$I$1178,'2024'!$A154,'Registre de reserves'!$B$2:$B$1178,'2024'!L$2,Tabla1[ANY],'2024'!$Z$150)+SUMIFS('Registre de reserves'!$V$2:$V$1178,'Registre de reserves'!$T$2:$T$1178,"RESERVA",'Registre de reserves'!$I$2:$I$1178,'2024'!$A154,'Registre de reserves'!$B$2:$B$1178,'2024'!L$2,Tabla1[ANY],'2024'!$Z$150)</f>
        <v>470</v>
      </c>
      <c r="M154" s="21">
        <f t="shared" si="147"/>
        <v>0.188</v>
      </c>
      <c r="N154" s="20">
        <f>SUMIFS('Registre de reserves'!$V$2:$V$1178,'Registre de reserves'!$T$2:$T$1178,"SI",'Registre de reserves'!$I$2:$I$1178,'2024'!$A154,'Registre de reserves'!$B$2:$B$1178,'2024'!N$2,Tabla1[ANY],'2024'!$Z$150)+SUMIFS('Registre de reserves'!$V$2:$V$1178,'Registre de reserves'!$T$2:$T$1178,"RESERVA",'Registre de reserves'!$I$2:$I$1178,'2024'!$A154,'Registre de reserves'!$B$2:$B$1178,'2024'!N$2,Tabla1[ANY],'2024'!$Z$150)</f>
        <v>665</v>
      </c>
      <c r="O154" s="21">
        <f t="shared" si="148"/>
        <v>0.31294117647058822</v>
      </c>
      <c r="P154" s="20">
        <f>SUMIFS('Registre de reserves'!$V$2:$V$1178,'Registre de reserves'!$T$2:$T$1178,"SI",'Registre de reserves'!$I$2:$I$1178,'2024'!$A154,'Registre de reserves'!$B$2:$B$1178,'2024'!P$2,Tabla1[ANY],'2024'!$Z$150)+SUMIFS('Registre de reserves'!$V$2:$V$1178,'Registre de reserves'!$T$2:$T$1178,"RESERVA",'Registre de reserves'!$I$2:$I$1178,'2024'!$A154,'Registre de reserves'!$B$2:$B$1178,'2024'!P$2,Tabla1[ANY],'2024'!$Z$150)</f>
        <v>530</v>
      </c>
      <c r="Q154" s="21">
        <f t="shared" si="149"/>
        <v>0.33544303797468356</v>
      </c>
      <c r="R154" s="20">
        <f>SUMIFS('Registre de reserves'!$V$2:$V$1178,'Registre de reserves'!$T$2:$T$1178,"SI",'Registre de reserves'!$I$2:$I$1178,'2024'!$A154,'Registre de reserves'!$B$2:$B$1178,'2024'!R$2,Tabla1[ANY],'2024'!$Z$150)+SUMIFS('Registre de reserves'!$V$2:$V$1178,'Registre de reserves'!$T$2:$T$1178,"RESERVA",'Registre de reserves'!$I$2:$I$1178,'2024'!$A154,'Registre de reserves'!$B$2:$B$1178,'2024'!R$2,Tabla1[ANY],'2024'!$Z$150)</f>
        <v>490</v>
      </c>
      <c r="S154" s="21">
        <f t="shared" si="150"/>
        <v>0.28488372093023256</v>
      </c>
      <c r="T154" s="20">
        <f>SUMIFS('Registre de reserves'!$V$2:$V$1178,'Registre de reserves'!$T$2:$T$1178,"SI",'Registre de reserves'!$I$2:$I$1178,'2024'!$A154,'Registre de reserves'!$B$2:$B$1178,'2024'!T$2,Tabla1[ANY],'2024'!$Z$150)+SUMIFS('Registre de reserves'!$V$2:$V$1178,'Registre de reserves'!$T$2:$T$1178,"RESERVA",'Registre de reserves'!$I$2:$I$1178,'2024'!$A154,'Registre de reserves'!$B$2:$B$1178,'2024'!T$2,Tabla1[ANY],'2024'!$Z$150)</f>
        <v>580</v>
      </c>
      <c r="U154" s="21">
        <f t="shared" si="151"/>
        <v>0.26363636363636361</v>
      </c>
      <c r="V154" s="20">
        <f>SUMIFS('Registre de reserves'!$V$2:$V$1178,'Registre de reserves'!$T$2:$T$1178,"SI",'Registre de reserves'!$I$2:$I$1178,'2024'!$A154,'Registre de reserves'!$B$2:$B$1178,'2024'!V$2,Tabla1[ANY],'2024'!$Z$150)+SUMIFS('Registre de reserves'!$V$2:$V$1178,'Registre de reserves'!$T$2:$T$1178,"RESERVA",'Registre de reserves'!$I$2:$I$1178,'2024'!$A154,'Registre de reserves'!$B$2:$B$1178,'2024'!V$2,Tabla1[ANY],'2024'!$Z$150)</f>
        <v>580</v>
      </c>
      <c r="W154" s="21">
        <f t="shared" si="152"/>
        <v>0.23481781376518218</v>
      </c>
      <c r="X154" s="20">
        <f>SUMIFS('Registre de reserves'!$V$2:$V$1178,'Registre de reserves'!$T$2:$T$1178,"SI",'Registre de reserves'!$I$2:$I$1178,'2024'!$A154,'Registre de reserves'!$B$2:$B$1178,'2024'!X$2,Tabla1[ANY],'2024'!$Z$150)+SUMIFS('Registre de reserves'!$V$2:$V$1178,'Registre de reserves'!$T$2:$T$1178,"RESERVA",'Registre de reserves'!$I$2:$I$1178,'2024'!$A154,'Registre de reserves'!$B$2:$B$1178,'2024'!X$2,Tabla1[ANY],'2024'!$Z$150)</f>
        <v>890</v>
      </c>
      <c r="Y154" s="21">
        <f t="shared" si="153"/>
        <v>0.18936170212765957</v>
      </c>
      <c r="Z154" s="20">
        <f t="shared" ref="Z154:Z160" si="156">B154+D154+F154+H154+J154+L154+N154+P154+R154+T154+V154+X154</f>
        <v>8120</v>
      </c>
      <c r="AA154" s="21">
        <f t="shared" si="154"/>
        <v>0.15753225337084101</v>
      </c>
    </row>
    <row r="155" spans="1:27" hidden="1" outlineLevel="1" x14ac:dyDescent="0.2">
      <c r="A155" s="8" t="s">
        <v>4</v>
      </c>
      <c r="B155" s="20">
        <f>SUMIFS('Registre de reserves'!$V$2:$V$1178,'Registre de reserves'!$T$2:$T$1178,"SI",'Registre de reserves'!$I$2:$I$1178,'2024'!$A155,'Registre de reserves'!$B$2:$B$1178,'2024'!B$2,Tabla1[ANY],'2024'!$Z$150)+SUMIFS('Registre de reserves'!$V$2:$V$1178,'Registre de reserves'!$T$2:$T$1178,"RESERVA",'Registre de reserves'!$I$2:$I$1178,'2024'!$A155,'Registre de reserves'!$B$2:$B$1178,'2024'!B$2,Tabla1[ANY],'2024'!$Z$150)</f>
        <v>150</v>
      </c>
      <c r="C155" s="21">
        <f t="shared" si="155"/>
        <v>5.181347150259067E-2</v>
      </c>
      <c r="D155" s="20">
        <f>SUMIFS('Registre de reserves'!$V$2:$V$1178,'Registre de reserves'!$T$2:$T$1178,"SI",'Registre de reserves'!$I$2:$I$1178,'2024'!$A155,'Registre de reserves'!$B$2:$B$1178,'2024'!D$2,Tabla1[ANY],'2024'!$Z$150)+SUMIFS('Registre de reserves'!$V$2:$V$1178,'Registre de reserves'!$T$2:$T$1178,"RESERVA",'Registre de reserves'!$I$2:$I$1178,'2024'!$A155,'Registre de reserves'!$B$2:$B$1178,'2024'!D$2,Tabla1[ANY],'2024'!$Z$150)</f>
        <v>0</v>
      </c>
      <c r="E155" s="21">
        <f t="shared" si="143"/>
        <v>0</v>
      </c>
      <c r="F155" s="20">
        <f>SUMIFS('Registre de reserves'!$V$2:$V$1178,'Registre de reserves'!$T$2:$T$1178,"SI",'Registre de reserves'!$I$2:$I$1178,'2024'!$A155,'Registre de reserves'!$B$2:$B$1178,'2024'!F$2,Tabla1[ANY],'2024'!$Z$150)+SUMIFS('Registre de reserves'!$V$2:$V$1178,'Registre de reserves'!$T$2:$T$1178,"RESERVA",'Registre de reserves'!$I$2:$I$1178,'2024'!$A155,'Registre de reserves'!$B$2:$B$1178,'2024'!F$2,Tabla1[ANY],'2024'!$Z$150)</f>
        <v>0</v>
      </c>
      <c r="G155" s="21">
        <f t="shared" si="144"/>
        <v>0</v>
      </c>
      <c r="H155" s="20">
        <f>SUMIFS('Registre de reserves'!$V$2:$V$1178,'Registre de reserves'!$T$2:$T$1178,"SI",'Registre de reserves'!$I$2:$I$1178,'2024'!$A155,'Registre de reserves'!$B$2:$B$1178,'2024'!H$2,Tabla1[ANY],'2024'!$Z$150)+SUMIFS('Registre de reserves'!$V$2:$V$1178,'Registre de reserves'!$T$2:$T$1178,"RESERVA",'Registre de reserves'!$I$2:$I$1178,'2024'!$A155,'Registre de reserves'!$B$2:$B$1178,'2024'!H$2,Tabla1[ANY],'2024'!$Z$150)</f>
        <v>240</v>
      </c>
      <c r="I155" s="21">
        <f t="shared" si="145"/>
        <v>0.12467532467532468</v>
      </c>
      <c r="J155" s="20">
        <f>SUMIFS('Registre de reserves'!$V$2:$V$1178,'Registre de reserves'!$T$2:$T$1178,"SI",'Registre de reserves'!$I$2:$I$1178,'2024'!$A155,'Registre de reserves'!$B$2:$B$1178,'2024'!J$2,Tabla1[ANY],'2024'!$Z$150)+SUMIFS('Registre de reserves'!$V$2:$V$1178,'Registre de reserves'!$T$2:$T$1178,"RESERVA",'Registre de reserves'!$I$2:$I$1178,'2024'!$A155,'Registre de reserves'!$B$2:$B$1178,'2024'!J$2,Tabla1[ANY],'2024'!$Z$150)</f>
        <v>480</v>
      </c>
      <c r="K155" s="21">
        <f t="shared" si="146"/>
        <v>0.19875776397515527</v>
      </c>
      <c r="L155" s="20">
        <f>SUMIFS('Registre de reserves'!$V$2:$V$1178,'Registre de reserves'!$T$2:$T$1178,"SI",'Registre de reserves'!$I$2:$I$1178,'2024'!$A155,'Registre de reserves'!$B$2:$B$1178,'2024'!L$2,Tabla1[ANY],'2024'!$Z$150)+SUMIFS('Registre de reserves'!$V$2:$V$1178,'Registre de reserves'!$T$2:$T$1178,"RESERVA",'Registre de reserves'!$I$2:$I$1178,'2024'!$A155,'Registre de reserves'!$B$2:$B$1178,'2024'!L$2,Tabla1[ANY],'2024'!$Z$150)</f>
        <v>0</v>
      </c>
      <c r="M155" s="21">
        <f t="shared" si="147"/>
        <v>0</v>
      </c>
      <c r="N155" s="20">
        <f>SUMIFS('Registre de reserves'!$V$2:$V$1178,'Registre de reserves'!$T$2:$T$1178,"SI",'Registre de reserves'!$I$2:$I$1178,'2024'!$A155,'Registre de reserves'!$B$2:$B$1178,'2024'!N$2,Tabla1[ANY],'2024'!$Z$150)+SUMIFS('Registre de reserves'!$V$2:$V$1178,'Registre de reserves'!$T$2:$T$1178,"RESERVA",'Registre de reserves'!$I$2:$I$1178,'2024'!$A155,'Registre de reserves'!$B$2:$B$1178,'2024'!N$2,Tabla1[ANY],'2024'!$Z$150)</f>
        <v>240</v>
      </c>
      <c r="O155" s="21">
        <f t="shared" si="148"/>
        <v>0.11294117647058824</v>
      </c>
      <c r="P155" s="20">
        <f>SUMIFS('Registre de reserves'!$V$2:$V$1178,'Registre de reserves'!$T$2:$T$1178,"SI",'Registre de reserves'!$I$2:$I$1178,'2024'!$A155,'Registre de reserves'!$B$2:$B$1178,'2024'!P$2,Tabla1[ANY],'2024'!$Z$150)+SUMIFS('Registre de reserves'!$V$2:$V$1178,'Registre de reserves'!$T$2:$T$1178,"RESERVA",'Registre de reserves'!$I$2:$I$1178,'2024'!$A155,'Registre de reserves'!$B$2:$B$1178,'2024'!P$2,Tabla1[ANY],'2024'!$Z$150)</f>
        <v>550</v>
      </c>
      <c r="Q155" s="21">
        <f t="shared" si="149"/>
        <v>0.34810126582278483</v>
      </c>
      <c r="R155" s="20">
        <f>SUMIFS('Registre de reserves'!$V$2:$V$1178,'Registre de reserves'!$T$2:$T$1178,"SI",'Registre de reserves'!$I$2:$I$1178,'2024'!$A155,'Registre de reserves'!$B$2:$B$1178,'2024'!R$2,Tabla1[ANY],'2024'!$Z$150)+SUMIFS('Registre de reserves'!$V$2:$V$1178,'Registre de reserves'!$T$2:$T$1178,"RESERVA",'Registre de reserves'!$I$2:$I$1178,'2024'!$A155,'Registre de reserves'!$B$2:$B$1178,'2024'!R$2,Tabla1[ANY],'2024'!$Z$150)</f>
        <v>530</v>
      </c>
      <c r="S155" s="21">
        <f t="shared" si="150"/>
        <v>0.30813953488372092</v>
      </c>
      <c r="T155" s="20">
        <f>SUMIFS('Registre de reserves'!$V$2:$V$1178,'Registre de reserves'!$T$2:$T$1178,"SI",'Registre de reserves'!$I$2:$I$1178,'2024'!$A155,'Registre de reserves'!$B$2:$B$1178,'2024'!T$2,Tabla1[ANY],'2024'!$Z$150)+SUMIFS('Registre de reserves'!$V$2:$V$1178,'Registre de reserves'!$T$2:$T$1178,"RESERVA",'Registre de reserves'!$I$2:$I$1178,'2024'!$A155,'Registre de reserves'!$B$2:$B$1178,'2024'!T$2,Tabla1[ANY],'2024'!$Z$150)</f>
        <v>0</v>
      </c>
      <c r="U155" s="21">
        <f t="shared" si="151"/>
        <v>0</v>
      </c>
      <c r="V155" s="20">
        <f>SUMIFS('Registre de reserves'!$V$2:$V$1178,'Registre de reserves'!$T$2:$T$1178,"SI",'Registre de reserves'!$I$2:$I$1178,'2024'!$A155,'Registre de reserves'!$B$2:$B$1178,'2024'!V$2,Tabla1[ANY],'2024'!$Z$150)+SUMIFS('Registre de reserves'!$V$2:$V$1178,'Registre de reserves'!$T$2:$T$1178,"RESERVA",'Registre de reserves'!$I$2:$I$1178,'2024'!$A155,'Registre de reserves'!$B$2:$B$1178,'2024'!V$2,Tabla1[ANY],'2024'!$Z$150)</f>
        <v>340</v>
      </c>
      <c r="W155" s="21">
        <f t="shared" si="152"/>
        <v>0.13765182186234817</v>
      </c>
      <c r="X155" s="20">
        <f>SUMIFS('Registre de reserves'!$V$2:$V$1178,'Registre de reserves'!$T$2:$T$1178,"SI",'Registre de reserves'!$I$2:$I$1178,'2024'!$A155,'Registre de reserves'!$B$2:$B$1178,'2024'!X$2,Tabla1[ANY],'2024'!$Z$150)+SUMIFS('Registre de reserves'!$V$2:$V$1178,'Registre de reserves'!$T$2:$T$1178,"RESERVA",'Registre de reserves'!$I$2:$I$1178,'2024'!$A155,'Registre de reserves'!$B$2:$B$1178,'2024'!X$2,Tabla1[ANY],'2024'!$Z$150)</f>
        <v>1110</v>
      </c>
      <c r="Y155" s="21">
        <f t="shared" si="153"/>
        <v>0.23617021276595745</v>
      </c>
      <c r="Z155" s="20">
        <f t="shared" si="156"/>
        <v>3640</v>
      </c>
      <c r="AA155" s="21">
        <f t="shared" si="154"/>
        <v>7.0617906683480461E-2</v>
      </c>
    </row>
    <row r="156" spans="1:27" hidden="1" outlineLevel="1" x14ac:dyDescent="0.2">
      <c r="A156" s="8" t="s">
        <v>71</v>
      </c>
      <c r="B156" s="20">
        <f>SUMIFS('Registre de reserves'!$V$2:$V$1178,'Registre de reserves'!$T$2:$T$1178,"SI",'Registre de reserves'!$I$2:$I$1178,'2024'!$A156,'Registre de reserves'!$B$2:$B$1178,'2024'!B$2,Tabla1[ANY],'2024'!$Z$150)+SUMIFS('Registre de reserves'!$V$2:$V$1178,'Registre de reserves'!$T$2:$T$1178,"RESERVA",'Registre de reserves'!$I$2:$I$1178,'2024'!$A156,'Registre de reserves'!$B$2:$B$1178,'2024'!B$2,Tabla1[ANY],'2024'!$Z$150)</f>
        <v>0</v>
      </c>
      <c r="C156" s="21">
        <f t="shared" si="155"/>
        <v>0</v>
      </c>
      <c r="D156" s="20">
        <f>SUMIFS('Registre de reserves'!$V$2:$V$1178,'Registre de reserves'!$T$2:$T$1178,"SI",'Registre de reserves'!$I$2:$I$1178,'2024'!$A156,'Registre de reserves'!$B$2:$B$1178,'2024'!D$2,Tabla1[ANY],'2024'!$Z$150)+SUMIFS('Registre de reserves'!$V$2:$V$1178,'Registre de reserves'!$T$2:$T$1178,"RESERVA",'Registre de reserves'!$I$2:$I$1178,'2024'!$A156,'Registre de reserves'!$B$2:$B$1178,'2024'!D$2,Tabla1[ANY],'2024'!$Z$150)</f>
        <v>0</v>
      </c>
      <c r="E156" s="21">
        <f t="shared" si="143"/>
        <v>0</v>
      </c>
      <c r="F156" s="20">
        <f>SUMIFS('Registre de reserves'!$V$2:$V$1178,'Registre de reserves'!$T$2:$T$1178,"SI",'Registre de reserves'!$I$2:$I$1178,'2024'!$A156,'Registre de reserves'!$B$2:$B$1178,'2024'!F$2,Tabla1[ANY],'2024'!$Z$150)+SUMIFS('Registre de reserves'!$V$2:$V$1178,'Registre de reserves'!$T$2:$T$1178,"RESERVA",'Registre de reserves'!$I$2:$I$1178,'2024'!$A156,'Registre de reserves'!$B$2:$B$1178,'2024'!F$2,Tabla1[ANY],'2024'!$Z$150)</f>
        <v>0</v>
      </c>
      <c r="G156" s="21">
        <f t="shared" si="144"/>
        <v>0</v>
      </c>
      <c r="H156" s="20">
        <f>SUMIFS('Registre de reserves'!$V$2:$V$1178,'Registre de reserves'!$T$2:$T$1178,"SI",'Registre de reserves'!$I$2:$I$1178,'2024'!$A156,'Registre de reserves'!$B$2:$B$1178,'2024'!H$2,Tabla1[ANY],'2024'!$Z$150)+SUMIFS('Registre de reserves'!$V$2:$V$1178,'Registre de reserves'!$T$2:$T$1178,"RESERVA",'Registre de reserves'!$I$2:$I$1178,'2024'!$A156,'Registre de reserves'!$B$2:$B$1178,'2024'!H$2,Tabla1[ANY],'2024'!$Z$150)</f>
        <v>0</v>
      </c>
      <c r="I156" s="21">
        <f t="shared" si="145"/>
        <v>0</v>
      </c>
      <c r="J156" s="20">
        <f>SUMIFS('Registre de reserves'!$V$2:$V$1178,'Registre de reserves'!$T$2:$T$1178,"SI",'Registre de reserves'!$I$2:$I$1178,'2024'!$A156,'Registre de reserves'!$B$2:$B$1178,'2024'!J$2,Tabla1[ANY],'2024'!$Z$150)+SUMIFS('Registre de reserves'!$V$2:$V$1178,'Registre de reserves'!$T$2:$T$1178,"RESERVA",'Registre de reserves'!$I$2:$I$1178,'2024'!$A156,'Registre de reserves'!$B$2:$B$1178,'2024'!J$2,Tabla1[ANY],'2024'!$Z$150)</f>
        <v>0</v>
      </c>
      <c r="K156" s="21">
        <f t="shared" si="146"/>
        <v>0</v>
      </c>
      <c r="L156" s="20">
        <f>SUMIFS('Registre de reserves'!$V$2:$V$1178,'Registre de reserves'!$T$2:$T$1178,"SI",'Registre de reserves'!$I$2:$I$1178,'2024'!$A156,'Registre de reserves'!$B$2:$B$1178,'2024'!L$2,Tabla1[ANY],'2024'!$Z$150)+SUMIFS('Registre de reserves'!$V$2:$V$1178,'Registre de reserves'!$T$2:$T$1178,"RESERVA",'Registre de reserves'!$I$2:$I$1178,'2024'!$A156,'Registre de reserves'!$B$2:$B$1178,'2024'!L$2,Tabla1[ANY],'2024'!$Z$150)</f>
        <v>0</v>
      </c>
      <c r="M156" s="21">
        <f t="shared" si="147"/>
        <v>0</v>
      </c>
      <c r="N156" s="20">
        <f>SUMIFS('Registre de reserves'!$V$2:$V$1178,'Registre de reserves'!$T$2:$T$1178,"SI",'Registre de reserves'!$I$2:$I$1178,'2024'!$A156,'Registre de reserves'!$B$2:$B$1178,'2024'!N$2,Tabla1[ANY],'2024'!$Z$150)+SUMIFS('Registre de reserves'!$V$2:$V$1178,'Registre de reserves'!$T$2:$T$1178,"RESERVA",'Registre de reserves'!$I$2:$I$1178,'2024'!$A156,'Registre de reserves'!$B$2:$B$1178,'2024'!N$2,Tabla1[ANY],'2024'!$Z$150)</f>
        <v>0</v>
      </c>
      <c r="O156" s="21">
        <f t="shared" si="148"/>
        <v>0</v>
      </c>
      <c r="P156" s="20">
        <f>SUMIFS('Registre de reserves'!$V$2:$V$1178,'Registre de reserves'!$T$2:$T$1178,"SI",'Registre de reserves'!$I$2:$I$1178,'2024'!$A156,'Registre de reserves'!$B$2:$B$1178,'2024'!P$2,Tabla1[ANY],'2024'!$Z$150)+SUMIFS('Registre de reserves'!$V$2:$V$1178,'Registre de reserves'!$T$2:$T$1178,"RESERVA",'Registre de reserves'!$I$2:$I$1178,'2024'!$A156,'Registre de reserves'!$B$2:$B$1178,'2024'!P$2,Tabla1[ANY],'2024'!$Z$150)</f>
        <v>0</v>
      </c>
      <c r="Q156" s="21">
        <f t="shared" si="149"/>
        <v>0</v>
      </c>
      <c r="R156" s="20">
        <f>SUMIFS('Registre de reserves'!$V$2:$V$1178,'Registre de reserves'!$T$2:$T$1178,"SI",'Registre de reserves'!$I$2:$I$1178,'2024'!$A156,'Registre de reserves'!$B$2:$B$1178,'2024'!R$2,Tabla1[ANY],'2024'!$Z$150)+SUMIFS('Registre de reserves'!$V$2:$V$1178,'Registre de reserves'!$T$2:$T$1178,"RESERVA",'Registre de reserves'!$I$2:$I$1178,'2024'!$A156,'Registre de reserves'!$B$2:$B$1178,'2024'!R$2,Tabla1[ANY],'2024'!$Z$150)</f>
        <v>0</v>
      </c>
      <c r="S156" s="21">
        <f t="shared" si="150"/>
        <v>0</v>
      </c>
      <c r="T156" s="20">
        <f>SUMIFS('Registre de reserves'!$V$2:$V$1178,'Registre de reserves'!$T$2:$T$1178,"SI",'Registre de reserves'!$I$2:$I$1178,'2024'!$A156,'Registre de reserves'!$B$2:$B$1178,'2024'!T$2,Tabla1[ANY],'2024'!$Z$150)+SUMIFS('Registre de reserves'!$V$2:$V$1178,'Registre de reserves'!$T$2:$T$1178,"RESERVA",'Registre de reserves'!$I$2:$I$1178,'2024'!$A156,'Registre de reserves'!$B$2:$B$1178,'2024'!T$2,Tabla1[ANY],'2024'!$Z$150)</f>
        <v>0</v>
      </c>
      <c r="U156" s="21">
        <f t="shared" si="151"/>
        <v>0</v>
      </c>
      <c r="V156" s="20">
        <f>SUMIFS('Registre de reserves'!$V$2:$V$1178,'Registre de reserves'!$T$2:$T$1178,"SI",'Registre de reserves'!$I$2:$I$1178,'2024'!$A156,'Registre de reserves'!$B$2:$B$1178,'2024'!V$2,Tabla1[ANY],'2024'!$Z$150)+SUMIFS('Registre de reserves'!$V$2:$V$1178,'Registre de reserves'!$T$2:$T$1178,"RESERVA",'Registre de reserves'!$I$2:$I$1178,'2024'!$A156,'Registre de reserves'!$B$2:$B$1178,'2024'!V$2,Tabla1[ANY],'2024'!$Z$150)</f>
        <v>0</v>
      </c>
      <c r="W156" s="21">
        <f t="shared" si="152"/>
        <v>0</v>
      </c>
      <c r="X156" s="20">
        <f>SUMIFS('Registre de reserves'!$V$2:$V$1178,'Registre de reserves'!$T$2:$T$1178,"SI",'Registre de reserves'!$I$2:$I$1178,'2024'!$A156,'Registre de reserves'!$B$2:$B$1178,'2024'!X$2,Tabla1[ANY],'2024'!$Z$150)+SUMIFS('Registre de reserves'!$V$2:$V$1178,'Registre de reserves'!$T$2:$T$1178,"RESERVA",'Registre de reserves'!$I$2:$I$1178,'2024'!$A156,'Registre de reserves'!$B$2:$B$1178,'2024'!X$2,Tabla1[ANY],'2024'!$Z$150)</f>
        <v>0</v>
      </c>
      <c r="Y156" s="21">
        <f t="shared" si="153"/>
        <v>0</v>
      </c>
      <c r="Z156" s="20">
        <f t="shared" si="156"/>
        <v>0</v>
      </c>
      <c r="AA156" s="21">
        <f t="shared" si="154"/>
        <v>0</v>
      </c>
    </row>
    <row r="157" spans="1:27" hidden="1" outlineLevel="1" x14ac:dyDescent="0.2">
      <c r="A157" s="8" t="s">
        <v>72</v>
      </c>
      <c r="B157" s="20">
        <f>SUMIFS('Registre de reserves'!$V$2:$V$1178,'Registre de reserves'!$T$2:$T$1178,"SI",'Registre de reserves'!$I$2:$I$1178,'2024'!$A157,'Registre de reserves'!$B$2:$B$1178,'2024'!B$2,Tabla1[ANY],'2024'!$Z$150)+SUMIFS('Registre de reserves'!$V$2:$V$1178,'Registre de reserves'!$T$2:$T$1178,"RESERVA",'Registre de reserves'!$I$2:$I$1178,'2024'!$A157,'Registre de reserves'!$B$2:$B$1178,'2024'!B$2,Tabla1[ANY],'2024'!$Z$150)</f>
        <v>0</v>
      </c>
      <c r="C157" s="21">
        <f t="shared" si="155"/>
        <v>0</v>
      </c>
      <c r="D157" s="20">
        <f>SUMIFS('Registre de reserves'!$V$2:$V$1178,'Registre de reserves'!$T$2:$T$1178,"SI",'Registre de reserves'!$I$2:$I$1178,'2024'!$A157,'Registre de reserves'!$B$2:$B$1178,'2024'!D$2,Tabla1[ANY],'2024'!$Z$150)+SUMIFS('Registre de reserves'!$V$2:$V$1178,'Registre de reserves'!$T$2:$T$1178,"RESERVA",'Registre de reserves'!$I$2:$I$1178,'2024'!$A157,'Registre de reserves'!$B$2:$B$1178,'2024'!D$2,Tabla1[ANY],'2024'!$Z$150)</f>
        <v>0</v>
      </c>
      <c r="E157" s="21">
        <f t="shared" si="143"/>
        <v>0</v>
      </c>
      <c r="F157" s="20">
        <f>SUMIFS('Registre de reserves'!$V$2:$V$1178,'Registre de reserves'!$T$2:$T$1178,"SI",'Registre de reserves'!$I$2:$I$1178,'2024'!$A157,'Registre de reserves'!$B$2:$B$1178,'2024'!F$2,Tabla1[ANY],'2024'!$Z$150)+SUMIFS('Registre de reserves'!$V$2:$V$1178,'Registre de reserves'!$T$2:$T$1178,"RESERVA",'Registre de reserves'!$I$2:$I$1178,'2024'!$A157,'Registre de reserves'!$B$2:$B$1178,'2024'!F$2,Tabla1[ANY],'2024'!$Z$150)</f>
        <v>0</v>
      </c>
      <c r="G157" s="21">
        <f t="shared" si="144"/>
        <v>0</v>
      </c>
      <c r="H157" s="20">
        <f>SUMIFS('Registre de reserves'!$V$2:$V$1178,'Registre de reserves'!$T$2:$T$1178,"SI",'Registre de reserves'!$I$2:$I$1178,'2024'!$A157,'Registre de reserves'!$B$2:$B$1178,'2024'!H$2,Tabla1[ANY],'2024'!$Z$150)+SUMIFS('Registre de reserves'!$V$2:$V$1178,'Registre de reserves'!$T$2:$T$1178,"RESERVA",'Registre de reserves'!$I$2:$I$1178,'2024'!$A157,'Registre de reserves'!$B$2:$B$1178,'2024'!H$2,Tabla1[ANY],'2024'!$Z$150)</f>
        <v>0</v>
      </c>
      <c r="I157" s="21">
        <f t="shared" si="145"/>
        <v>0</v>
      </c>
      <c r="J157" s="20">
        <f>SUMIFS('Registre de reserves'!$V$2:$V$1178,'Registre de reserves'!$T$2:$T$1178,"SI",'Registre de reserves'!$I$2:$I$1178,'2024'!$A157,'Registre de reserves'!$B$2:$B$1178,'2024'!J$2,Tabla1[ANY],'2024'!$Z$150)+SUMIFS('Registre de reserves'!$V$2:$V$1178,'Registre de reserves'!$T$2:$T$1178,"RESERVA",'Registre de reserves'!$I$2:$I$1178,'2024'!$A157,'Registre de reserves'!$B$2:$B$1178,'2024'!J$2,Tabla1[ANY],'2024'!$Z$150)</f>
        <v>0</v>
      </c>
      <c r="K157" s="21">
        <f t="shared" si="146"/>
        <v>0</v>
      </c>
      <c r="L157" s="20">
        <f>SUMIFS('Registre de reserves'!$V$2:$V$1178,'Registre de reserves'!$T$2:$T$1178,"SI",'Registre de reserves'!$I$2:$I$1178,'2024'!$A157,'Registre de reserves'!$B$2:$B$1178,'2024'!L$2,Tabla1[ANY],'2024'!$Z$150)+SUMIFS('Registre de reserves'!$V$2:$V$1178,'Registre de reserves'!$T$2:$T$1178,"RESERVA",'Registre de reserves'!$I$2:$I$1178,'2024'!$A157,'Registre de reserves'!$B$2:$B$1178,'2024'!L$2,Tabla1[ANY],'2024'!$Z$150)</f>
        <v>0</v>
      </c>
      <c r="M157" s="21">
        <f t="shared" si="147"/>
        <v>0</v>
      </c>
      <c r="N157" s="20">
        <f>SUMIFS('Registre de reserves'!$V$2:$V$1178,'Registre de reserves'!$T$2:$T$1178,"SI",'Registre de reserves'!$I$2:$I$1178,'2024'!$A157,'Registre de reserves'!$B$2:$B$1178,'2024'!N$2,Tabla1[ANY],'2024'!$Z$150)+SUMIFS('Registre de reserves'!$V$2:$V$1178,'Registre de reserves'!$T$2:$T$1178,"RESERVA",'Registre de reserves'!$I$2:$I$1178,'2024'!$A157,'Registre de reserves'!$B$2:$B$1178,'2024'!N$2,Tabla1[ANY],'2024'!$Z$150)</f>
        <v>0</v>
      </c>
      <c r="O157" s="21">
        <f t="shared" si="148"/>
        <v>0</v>
      </c>
      <c r="P157" s="20">
        <f>SUMIFS('Registre de reserves'!$V$2:$V$1178,'Registre de reserves'!$T$2:$T$1178,"SI",'Registre de reserves'!$I$2:$I$1178,'2024'!$A157,'Registre de reserves'!$B$2:$B$1178,'2024'!P$2,Tabla1[ANY],'2024'!$Z$150)+SUMIFS('Registre de reserves'!$V$2:$V$1178,'Registre de reserves'!$T$2:$T$1178,"RESERVA",'Registre de reserves'!$I$2:$I$1178,'2024'!$A157,'Registre de reserves'!$B$2:$B$1178,'2024'!P$2,Tabla1[ANY],'2024'!$Z$150)</f>
        <v>0</v>
      </c>
      <c r="Q157" s="21">
        <f t="shared" si="149"/>
        <v>0</v>
      </c>
      <c r="R157" s="20">
        <f>SUMIFS('Registre de reserves'!$V$2:$V$1178,'Registre de reserves'!$T$2:$T$1178,"SI",'Registre de reserves'!$I$2:$I$1178,'2024'!$A157,'Registre de reserves'!$B$2:$B$1178,'2024'!R$2,Tabla1[ANY],'2024'!$Z$150)+SUMIFS('Registre de reserves'!$V$2:$V$1178,'Registre de reserves'!$T$2:$T$1178,"RESERVA",'Registre de reserves'!$I$2:$I$1178,'2024'!$A157,'Registre de reserves'!$B$2:$B$1178,'2024'!R$2,Tabla1[ANY],'2024'!$Z$150)</f>
        <v>0</v>
      </c>
      <c r="S157" s="21">
        <f t="shared" si="150"/>
        <v>0</v>
      </c>
      <c r="T157" s="20">
        <f>SUMIFS('Registre de reserves'!$V$2:$V$1178,'Registre de reserves'!$T$2:$T$1178,"SI",'Registre de reserves'!$I$2:$I$1178,'2024'!$A157,'Registre de reserves'!$B$2:$B$1178,'2024'!T$2,Tabla1[ANY],'2024'!$Z$150)+SUMIFS('Registre de reserves'!$V$2:$V$1178,'Registre de reserves'!$T$2:$T$1178,"RESERVA",'Registre de reserves'!$I$2:$I$1178,'2024'!$A157,'Registre de reserves'!$B$2:$B$1178,'2024'!T$2,Tabla1[ANY],'2024'!$Z$150)</f>
        <v>0</v>
      </c>
      <c r="U157" s="21">
        <f t="shared" si="151"/>
        <v>0</v>
      </c>
      <c r="V157" s="20">
        <f>SUMIFS('Registre de reserves'!$V$2:$V$1178,'Registre de reserves'!$T$2:$T$1178,"SI",'Registre de reserves'!$I$2:$I$1178,'2024'!$A157,'Registre de reserves'!$B$2:$B$1178,'2024'!V$2,Tabla1[ANY],'2024'!$Z$150)+SUMIFS('Registre de reserves'!$V$2:$V$1178,'Registre de reserves'!$T$2:$T$1178,"RESERVA",'Registre de reserves'!$I$2:$I$1178,'2024'!$A157,'Registre de reserves'!$B$2:$B$1178,'2024'!V$2,Tabla1[ANY],'2024'!$Z$150)</f>
        <v>0</v>
      </c>
      <c r="W157" s="21">
        <f t="shared" si="152"/>
        <v>0</v>
      </c>
      <c r="X157" s="20">
        <f>SUMIFS('Registre de reserves'!$V$2:$V$1178,'Registre de reserves'!$T$2:$T$1178,"SI",'Registre de reserves'!$I$2:$I$1178,'2024'!$A157,'Registre de reserves'!$B$2:$B$1178,'2024'!X$2,Tabla1[ANY],'2024'!$Z$150)+SUMIFS('Registre de reserves'!$V$2:$V$1178,'Registre de reserves'!$T$2:$T$1178,"RESERVA",'Registre de reserves'!$I$2:$I$1178,'2024'!$A157,'Registre de reserves'!$B$2:$B$1178,'2024'!X$2,Tabla1[ANY],'2024'!$Z$150)</f>
        <v>0</v>
      </c>
      <c r="Y157" s="21">
        <f t="shared" si="153"/>
        <v>0</v>
      </c>
      <c r="Z157" s="20">
        <f t="shared" si="156"/>
        <v>0</v>
      </c>
      <c r="AA157" s="21">
        <f t="shared" si="154"/>
        <v>0</v>
      </c>
    </row>
    <row r="158" spans="1:27" hidden="1" outlineLevel="1" x14ac:dyDescent="0.2">
      <c r="A158" s="8" t="s">
        <v>69</v>
      </c>
      <c r="B158" s="20">
        <f>SUMIFS('Registre de reserves'!$V$2:$V$1178,'Registre de reserves'!$T$2:$T$1178,"SI",'Registre de reserves'!$I$2:$I$1178,'2024'!$A158,'Registre de reserves'!$B$2:$B$1178,'2024'!B$2,Tabla1[ANY],'2024'!$Z$150)+SUMIFS('Registre de reserves'!$V$2:$V$1178,'Registre de reserves'!$T$2:$T$1178,"RESERVA",'Registre de reserves'!$I$2:$I$1178,'2024'!$A158,'Registre de reserves'!$B$2:$B$1178,'2024'!B$2,Tabla1[ANY],'2024'!$Z$150)</f>
        <v>430</v>
      </c>
      <c r="C158" s="21">
        <f t="shared" si="155"/>
        <v>0.14853195164075994</v>
      </c>
      <c r="D158" s="20">
        <f>SUMIFS('Registre de reserves'!$V$2:$V$1178,'Registre de reserves'!$T$2:$T$1178,"SI",'Registre de reserves'!$I$2:$I$1178,'2024'!$A158,'Registre de reserves'!$B$2:$B$1178,'2024'!D$2,Tabla1[ANY],'2024'!$Z$150)+SUMIFS('Registre de reserves'!$V$2:$V$1178,'Registre de reserves'!$T$2:$T$1178,"RESERVA",'Registre de reserves'!$I$2:$I$1178,'2024'!$A158,'Registre de reserves'!$B$2:$B$1178,'2024'!D$2,Tabla1[ANY],'2024'!$Z$150)</f>
        <v>1150</v>
      </c>
      <c r="E158" s="21">
        <f t="shared" si="143"/>
        <v>0.44660194174757284</v>
      </c>
      <c r="F158" s="20">
        <f>SUMIFS('Registre de reserves'!$V$2:$V$1178,'Registre de reserves'!$T$2:$T$1178,"SI",'Registre de reserves'!$I$2:$I$1178,'2024'!$A158,'Registre de reserves'!$B$2:$B$1178,'2024'!F$2,Tabla1[ANY],'2024'!$Z$150)+SUMIFS('Registre de reserves'!$V$2:$V$1178,'Registre de reserves'!$T$2:$T$1178,"RESERVA",'Registre de reserves'!$I$2:$I$1178,'2024'!$A158,'Registre de reserves'!$B$2:$B$1178,'2024'!F$2,Tabla1[ANY],'2024'!$Z$150)</f>
        <v>900</v>
      </c>
      <c r="G158" s="21">
        <f t="shared" si="144"/>
        <v>0.52173913043478259</v>
      </c>
      <c r="H158" s="20">
        <f>SUMIFS('Registre de reserves'!$V$2:$V$1178,'Registre de reserves'!$T$2:$T$1178,"SI",'Registre de reserves'!$I$2:$I$1178,'2024'!$A158,'Registre de reserves'!$B$2:$B$1178,'2024'!H$2,Tabla1[ANY],'2024'!$Z$150)+SUMIFS('Registre de reserves'!$V$2:$V$1178,'Registre de reserves'!$T$2:$T$1178,"RESERVA",'Registre de reserves'!$I$2:$I$1178,'2024'!$A158,'Registre de reserves'!$B$2:$B$1178,'2024'!H$2,Tabla1[ANY],'2024'!$Z$150)</f>
        <v>800</v>
      </c>
      <c r="I158" s="21">
        <f t="shared" si="145"/>
        <v>0.41558441558441561</v>
      </c>
      <c r="J158" s="20">
        <f>SUMIFS('Registre de reserves'!$V$2:$V$1178,'Registre de reserves'!$T$2:$T$1178,"SI",'Registre de reserves'!$I$2:$I$1178,'2024'!$A158,'Registre de reserves'!$B$2:$B$1178,'2024'!J$2,Tabla1[ANY],'2024'!$Z$150)+SUMIFS('Registre de reserves'!$V$2:$V$1178,'Registre de reserves'!$T$2:$T$1178,"RESERVA",'Registre de reserves'!$I$2:$I$1178,'2024'!$A158,'Registre de reserves'!$B$2:$B$1178,'2024'!J$2,Tabla1[ANY],'2024'!$Z$150)</f>
        <v>900</v>
      </c>
      <c r="K158" s="21">
        <f t="shared" si="146"/>
        <v>0.37267080745341613</v>
      </c>
      <c r="L158" s="20">
        <f>SUMIFS('Registre de reserves'!$V$2:$V$1178,'Registre de reserves'!$T$2:$T$1178,"SI",'Registre de reserves'!$I$2:$I$1178,'2024'!$A158,'Registre de reserves'!$B$2:$B$1178,'2024'!L$2,Tabla1[ANY],'2024'!$Z$150)+SUMIFS('Registre de reserves'!$V$2:$V$1178,'Registre de reserves'!$T$2:$T$1178,"RESERVA",'Registre de reserves'!$I$2:$I$1178,'2024'!$A158,'Registre de reserves'!$B$2:$B$1178,'2024'!L$2,Tabla1[ANY],'2024'!$Z$150)</f>
        <v>630</v>
      </c>
      <c r="M158" s="21">
        <f t="shared" si="147"/>
        <v>0.252</v>
      </c>
      <c r="N158" s="20">
        <f>SUMIFS('Registre de reserves'!$V$2:$V$1178,'Registre de reserves'!$T$2:$T$1178,"SI",'Registre de reserves'!$I$2:$I$1178,'2024'!$A158,'Registre de reserves'!$B$2:$B$1178,'2024'!N$2,Tabla1[ANY],'2024'!$Z$150)+SUMIFS('Registre de reserves'!$V$2:$V$1178,'Registre de reserves'!$T$2:$T$1178,"RESERVA",'Registre de reserves'!$I$2:$I$1178,'2024'!$A158,'Registre de reserves'!$B$2:$B$1178,'2024'!N$2,Tabla1[ANY],'2024'!$Z$150)</f>
        <v>600</v>
      </c>
      <c r="O158" s="21">
        <f t="shared" si="148"/>
        <v>0.28235294117647058</v>
      </c>
      <c r="P158" s="20">
        <f>SUMIFS('Registre de reserves'!$V$2:$V$1178,'Registre de reserves'!$T$2:$T$1178,"SI",'Registre de reserves'!$I$2:$I$1178,'2024'!$A158,'Registre de reserves'!$B$2:$B$1178,'2024'!P$2,Tabla1[ANY],'2024'!$Z$150)+SUMIFS('Registre de reserves'!$V$2:$V$1178,'Registre de reserves'!$T$2:$T$1178,"RESERVA",'Registre de reserves'!$I$2:$I$1178,'2024'!$A158,'Registre de reserves'!$B$2:$B$1178,'2024'!P$2,Tabla1[ANY],'2024'!$Z$150)</f>
        <v>500</v>
      </c>
      <c r="Q158" s="21">
        <f t="shared" si="149"/>
        <v>0.31645569620253167</v>
      </c>
      <c r="R158" s="20">
        <f>SUMIFS('Registre de reserves'!$V$2:$V$1178,'Registre de reserves'!$T$2:$T$1178,"SI",'Registre de reserves'!$I$2:$I$1178,'2024'!$A158,'Registre de reserves'!$B$2:$B$1178,'2024'!R$2,Tabla1[ANY],'2024'!$Z$150)+SUMIFS('Registre de reserves'!$V$2:$V$1178,'Registre de reserves'!$T$2:$T$1178,"RESERVA",'Registre de reserves'!$I$2:$I$1178,'2024'!$A158,'Registre de reserves'!$B$2:$B$1178,'2024'!R$2,Tabla1[ANY],'2024'!$Z$150)</f>
        <v>300</v>
      </c>
      <c r="S158" s="21">
        <f t="shared" si="150"/>
        <v>0.1744186046511628</v>
      </c>
      <c r="T158" s="20">
        <f>SUMIFS('Registre de reserves'!$V$2:$V$1178,'Registre de reserves'!$T$2:$T$1178,"SI",'Registre de reserves'!$I$2:$I$1178,'2024'!$A158,'Registre de reserves'!$B$2:$B$1178,'2024'!T$2,Tabla1[ANY],'2024'!$Z$150)+SUMIFS('Registre de reserves'!$V$2:$V$1178,'Registre de reserves'!$T$2:$T$1178,"RESERVA",'Registre de reserves'!$I$2:$I$1178,'2024'!$A158,'Registre de reserves'!$B$2:$B$1178,'2024'!T$2,Tabla1[ANY],'2024'!$Z$150)</f>
        <v>850</v>
      </c>
      <c r="U158" s="21">
        <f t="shared" si="151"/>
        <v>0.38636363636363635</v>
      </c>
      <c r="V158" s="20">
        <f>SUMIFS('Registre de reserves'!$V$2:$V$1178,'Registre de reserves'!$T$2:$T$1178,"SI",'Registre de reserves'!$I$2:$I$1178,'2024'!$A158,'Registre de reserves'!$B$2:$B$1178,'2024'!V$2,Tabla1[ANY],'2024'!$Z$150)+SUMIFS('Registre de reserves'!$V$2:$V$1178,'Registre de reserves'!$T$2:$T$1178,"RESERVA",'Registre de reserves'!$I$2:$I$1178,'2024'!$A158,'Registre de reserves'!$B$2:$B$1178,'2024'!V$2,Tabla1[ANY],'2024'!$Z$150)</f>
        <v>850</v>
      </c>
      <c r="W158" s="21">
        <f t="shared" si="152"/>
        <v>0.34412955465587042</v>
      </c>
      <c r="X158" s="20">
        <f>SUMIFS('Registre de reserves'!$V$2:$V$1178,'Registre de reserves'!$T$2:$T$1178,"SI",'Registre de reserves'!$I$2:$I$1178,'2024'!$A158,'Registre de reserves'!$B$2:$B$1178,'2024'!X$2,Tabla1[ANY],'2024'!$Z$150)+SUMIFS('Registre de reserves'!$V$2:$V$1178,'Registre de reserves'!$T$2:$T$1178,"RESERVA",'Registre de reserves'!$I$2:$I$1178,'2024'!$A158,'Registre de reserves'!$B$2:$B$1178,'2024'!X$2,Tabla1[ANY],'2024'!$Z$150)</f>
        <v>1650</v>
      </c>
      <c r="Y158" s="21">
        <f t="shared" si="153"/>
        <v>0.35106382978723405</v>
      </c>
      <c r="Z158" s="20">
        <f t="shared" si="156"/>
        <v>9560</v>
      </c>
      <c r="AA158" s="21">
        <f t="shared" si="154"/>
        <v>0.1854690076632069</v>
      </c>
    </row>
    <row r="159" spans="1:27" hidden="1" outlineLevel="1" x14ac:dyDescent="0.2">
      <c r="A159" s="8" t="s">
        <v>70</v>
      </c>
      <c r="B159" s="20">
        <f>SUMIFS('Registre de reserves'!$V$2:$V$1178,'Registre de reserves'!$T$2:$T$1178,"SI",'Registre de reserves'!$I$2:$I$1178,'2024'!$A159,'Registre de reserves'!$B$2:$B$1178,'2024'!B$2,Tabla1[ANY],'2024'!$Z$150)+SUMIFS('Registre de reserves'!$V$2:$V$1178,'Registre de reserves'!$T$2:$T$1178,"RESERVA",'Registre de reserves'!$I$2:$I$1178,'2024'!$A159,'Registre de reserves'!$B$2:$B$1178,'2024'!B$2,Tabla1[ANY],'2024'!$Z$150)</f>
        <v>520</v>
      </c>
      <c r="C159" s="21">
        <f t="shared" si="155"/>
        <v>0.17962003454231434</v>
      </c>
      <c r="D159" s="20">
        <f>SUMIFS('Registre de reserves'!$V$2:$V$1178,'Registre de reserves'!$T$2:$T$1178,"SI",'Registre de reserves'!$I$2:$I$1178,'2024'!$A159,'Registre de reserves'!$B$2:$B$1178,'2024'!D$2,Tabla1[ANY],'2024'!$Z$150)+SUMIFS('Registre de reserves'!$V$2:$V$1178,'Registre de reserves'!$T$2:$T$1178,"RESERVA",'Registre de reserves'!$I$2:$I$1178,'2024'!$A159,'Registre de reserves'!$B$2:$B$1178,'2024'!D$2,Tabla1[ANY],'2024'!$Z$150)</f>
        <v>0</v>
      </c>
      <c r="E159" s="21">
        <f t="shared" si="143"/>
        <v>0</v>
      </c>
      <c r="F159" s="20">
        <f>SUMIFS('Registre de reserves'!$V$2:$V$1178,'Registre de reserves'!$T$2:$T$1178,"SI",'Registre de reserves'!$I$2:$I$1178,'2024'!$A159,'Registre de reserves'!$B$2:$B$1178,'2024'!F$2,Tabla1[ANY],'2024'!$Z$150)+SUMIFS('Registre de reserves'!$V$2:$V$1178,'Registre de reserves'!$T$2:$T$1178,"RESERVA",'Registre de reserves'!$I$2:$I$1178,'2024'!$A159,'Registre de reserves'!$B$2:$B$1178,'2024'!F$2,Tabla1[ANY],'2024'!$Z$150)</f>
        <v>0</v>
      </c>
      <c r="G159" s="21">
        <f t="shared" si="144"/>
        <v>0</v>
      </c>
      <c r="H159" s="20">
        <f>SUMIFS('Registre de reserves'!$V$2:$V$1178,'Registre de reserves'!$T$2:$T$1178,"SI",'Registre de reserves'!$I$2:$I$1178,'2024'!$A159,'Registre de reserves'!$B$2:$B$1178,'2024'!H$2,Tabla1[ANY],'2024'!$Z$150)+SUMIFS('Registre de reserves'!$V$2:$V$1178,'Registre de reserves'!$T$2:$T$1178,"RESERVA",'Registre de reserves'!$I$2:$I$1178,'2024'!$A159,'Registre de reserves'!$B$2:$B$1178,'2024'!H$2,Tabla1[ANY],'2024'!$Z$150)</f>
        <v>0</v>
      </c>
      <c r="I159" s="21">
        <f t="shared" si="145"/>
        <v>0</v>
      </c>
      <c r="J159" s="20">
        <f>SUMIFS('Registre de reserves'!$V$2:$V$1178,'Registre de reserves'!$T$2:$T$1178,"SI",'Registre de reserves'!$I$2:$I$1178,'2024'!$A159,'Registre de reserves'!$B$2:$B$1178,'2024'!J$2,Tabla1[ANY],'2024'!$Z$150)+SUMIFS('Registre de reserves'!$V$2:$V$1178,'Registre de reserves'!$T$2:$T$1178,"RESERVA",'Registre de reserves'!$I$2:$I$1178,'2024'!$A159,'Registre de reserves'!$B$2:$B$1178,'2024'!J$2,Tabla1[ANY],'2024'!$Z$150)</f>
        <v>0</v>
      </c>
      <c r="K159" s="21">
        <f t="shared" si="146"/>
        <v>0</v>
      </c>
      <c r="L159" s="20">
        <f>SUMIFS('Registre de reserves'!$V$2:$V$1178,'Registre de reserves'!$T$2:$T$1178,"SI",'Registre de reserves'!$I$2:$I$1178,'2024'!$A159,'Registre de reserves'!$B$2:$B$1178,'2024'!L$2,Tabla1[ANY],'2024'!$Z$150)+SUMIFS('Registre de reserves'!$V$2:$V$1178,'Registre de reserves'!$T$2:$T$1178,"RESERVA",'Registre de reserves'!$I$2:$I$1178,'2024'!$A159,'Registre de reserves'!$B$2:$B$1178,'2024'!L$2,Tabla1[ANY],'2024'!$Z$150)</f>
        <v>750</v>
      </c>
      <c r="M159" s="21">
        <f t="shared" si="147"/>
        <v>0.3</v>
      </c>
      <c r="N159" s="20">
        <f>SUMIFS('Registre de reserves'!$V$2:$V$1178,'Registre de reserves'!$T$2:$T$1178,"SI",'Registre de reserves'!$I$2:$I$1178,'2024'!$A159,'Registre de reserves'!$B$2:$B$1178,'2024'!N$2,Tabla1[ANY],'2024'!$Z$150)+SUMIFS('Registre de reserves'!$V$2:$V$1178,'Registre de reserves'!$T$2:$T$1178,"RESERVA",'Registre de reserves'!$I$2:$I$1178,'2024'!$A159,'Registre de reserves'!$B$2:$B$1178,'2024'!N$2,Tabla1[ANY],'2024'!$Z$150)</f>
        <v>270</v>
      </c>
      <c r="O159" s="21">
        <f t="shared" si="148"/>
        <v>0.12705882352941175</v>
      </c>
      <c r="P159" s="20">
        <f>SUMIFS('Registre de reserves'!$V$2:$V$1178,'Registre de reserves'!$T$2:$T$1178,"SI",'Registre de reserves'!$I$2:$I$1178,'2024'!$A159,'Registre de reserves'!$B$2:$B$1178,'2024'!P$2,Tabla1[ANY],'2024'!$Z$150)+SUMIFS('Registre de reserves'!$V$2:$V$1178,'Registre de reserves'!$T$2:$T$1178,"RESERVA",'Registre de reserves'!$I$2:$I$1178,'2024'!$A159,'Registre de reserves'!$B$2:$B$1178,'2024'!P$2,Tabla1[ANY],'2024'!$Z$150)</f>
        <v>0</v>
      </c>
      <c r="Q159" s="21">
        <f t="shared" si="149"/>
        <v>0</v>
      </c>
      <c r="R159" s="20">
        <f>SUMIFS('Registre de reserves'!$V$2:$V$1178,'Registre de reserves'!$T$2:$T$1178,"SI",'Registre de reserves'!$I$2:$I$1178,'2024'!$A159,'Registre de reserves'!$B$2:$B$1178,'2024'!R$2,Tabla1[ANY],'2024'!$Z$150)+SUMIFS('Registre de reserves'!$V$2:$V$1178,'Registre de reserves'!$T$2:$T$1178,"RESERVA",'Registre de reserves'!$I$2:$I$1178,'2024'!$A159,'Registre de reserves'!$B$2:$B$1178,'2024'!R$2,Tabla1[ANY],'2024'!$Z$150)</f>
        <v>0</v>
      </c>
      <c r="S159" s="21">
        <f t="shared" si="150"/>
        <v>0</v>
      </c>
      <c r="T159" s="20">
        <f>SUMIFS('Registre de reserves'!$V$2:$V$1178,'Registre de reserves'!$T$2:$T$1178,"SI",'Registre de reserves'!$I$2:$I$1178,'2024'!$A159,'Registre de reserves'!$B$2:$B$1178,'2024'!T$2,Tabla1[ANY],'2024'!$Z$150)+SUMIFS('Registre de reserves'!$V$2:$V$1178,'Registre de reserves'!$T$2:$T$1178,"RESERVA",'Registre de reserves'!$I$2:$I$1178,'2024'!$A159,'Registre de reserves'!$B$2:$B$1178,'2024'!T$2,Tabla1[ANY],'2024'!$Z$150)</f>
        <v>270</v>
      </c>
      <c r="U159" s="21">
        <f t="shared" si="151"/>
        <v>0.12272727272727273</v>
      </c>
      <c r="V159" s="20">
        <f>SUMIFS('Registre de reserves'!$V$2:$V$1178,'Registre de reserves'!$T$2:$T$1178,"SI",'Registre de reserves'!$I$2:$I$1178,'2024'!$A159,'Registre de reserves'!$B$2:$B$1178,'2024'!V$2,Tabla1[ANY],'2024'!$Z$150)+SUMIFS('Registre de reserves'!$V$2:$V$1178,'Registre de reserves'!$T$2:$T$1178,"RESERVA",'Registre de reserves'!$I$2:$I$1178,'2024'!$A159,'Registre de reserves'!$B$2:$B$1178,'2024'!V$2,Tabla1[ANY],'2024'!$Z$150)</f>
        <v>0</v>
      </c>
      <c r="W159" s="21">
        <f t="shared" si="152"/>
        <v>0</v>
      </c>
      <c r="X159" s="20">
        <f>SUMIFS('Registre de reserves'!$V$2:$V$1178,'Registre de reserves'!$T$2:$T$1178,"SI",'Registre de reserves'!$I$2:$I$1178,'2024'!$A159,'Registre de reserves'!$B$2:$B$1178,'2024'!X$2,Tabla1[ANY],'2024'!$Z$150)+SUMIFS('Registre de reserves'!$V$2:$V$1178,'Registre de reserves'!$T$2:$T$1178,"RESERVA",'Registre de reserves'!$I$2:$I$1178,'2024'!$A159,'Registre de reserves'!$B$2:$B$1178,'2024'!X$2,Tabla1[ANY],'2024'!$Z$150)</f>
        <v>550</v>
      </c>
      <c r="Y159" s="21">
        <f t="shared" si="153"/>
        <v>0.11702127659574468</v>
      </c>
      <c r="Z159" s="20">
        <f t="shared" si="156"/>
        <v>2360</v>
      </c>
      <c r="AA159" s="21">
        <f t="shared" si="154"/>
        <v>4.5785236201377436E-2</v>
      </c>
    </row>
    <row r="160" spans="1:27" hidden="1" outlineLevel="1" x14ac:dyDescent="0.2">
      <c r="A160" s="8" t="s">
        <v>73</v>
      </c>
      <c r="B160" s="20">
        <f>SUMIFS('Registre de reserves'!$V$2:$V$1178,'Registre de reserves'!$T$2:$T$1178,"SI",'Registre de reserves'!$I$2:$I$1178,'2024'!$A160,'Registre de reserves'!$B$2:$B$1178,'2024'!B$2,Tabla1[ANY],'2024'!$Z$150)+SUMIFS('Registre de reserves'!$V$2:$V$1178,'Registre de reserves'!$T$2:$T$1178,"RESERVA",'Registre de reserves'!$I$2:$I$1178,'2024'!$A160,'Registre de reserves'!$B$2:$B$1178,'2024'!B$2,Tabla1[ANY],'2024'!$Z$150)</f>
        <v>0</v>
      </c>
      <c r="C160" s="21">
        <f t="shared" si="155"/>
        <v>0</v>
      </c>
      <c r="D160" s="20">
        <f>SUMIFS('Registre de reserves'!$V$2:$V$1178,'Registre de reserves'!$T$2:$T$1178,"SI",'Registre de reserves'!$I$2:$I$1178,'2024'!$A160,'Registre de reserves'!$B$2:$B$1178,'2024'!D$2,Tabla1[ANY],'2024'!$Z$150)+SUMIFS('Registre de reserves'!$V$2:$V$1178,'Registre de reserves'!$T$2:$T$1178,"RESERVA",'Registre de reserves'!$I$2:$I$1178,'2024'!$A160,'Registre de reserves'!$B$2:$B$1178,'2024'!D$2,Tabla1[ANY],'2024'!$Z$150)</f>
        <v>0</v>
      </c>
      <c r="E160" s="21">
        <f t="shared" si="143"/>
        <v>0</v>
      </c>
      <c r="F160" s="20">
        <f>SUMIFS('Registre de reserves'!$V$2:$V$1178,'Registre de reserves'!$T$2:$T$1178,"SI",'Registre de reserves'!$I$2:$I$1178,'2024'!$A160,'Registre de reserves'!$B$2:$B$1178,'2024'!F$2,Tabla1[ANY],'2024'!$Z$150)+SUMIFS('Registre de reserves'!$V$2:$V$1178,'Registre de reserves'!$T$2:$T$1178,"RESERVA",'Registre de reserves'!$I$2:$I$1178,'2024'!$A160,'Registre de reserves'!$B$2:$B$1178,'2024'!F$2,Tabla1[ANY],'2024'!$Z$150)</f>
        <v>0</v>
      </c>
      <c r="G160" s="21">
        <f t="shared" si="144"/>
        <v>0</v>
      </c>
      <c r="H160" s="20">
        <f>SUMIFS('Registre de reserves'!$V$2:$V$1178,'Registre de reserves'!$T$2:$T$1178,"SI",'Registre de reserves'!$I$2:$I$1178,'2024'!$A160,'Registre de reserves'!$B$2:$B$1178,'2024'!H$2,Tabla1[ANY],'2024'!$Z$150)+SUMIFS('Registre de reserves'!$V$2:$V$1178,'Registre de reserves'!$T$2:$T$1178,"RESERVA",'Registre de reserves'!$I$2:$I$1178,'2024'!$A160,'Registre de reserves'!$B$2:$B$1178,'2024'!H$2,Tabla1[ANY],'2024'!$Z$150)</f>
        <v>0</v>
      </c>
      <c r="I160" s="21">
        <f t="shared" si="145"/>
        <v>0</v>
      </c>
      <c r="J160" s="20">
        <f>SUMIFS('Registre de reserves'!$V$2:$V$1178,'Registre de reserves'!$T$2:$T$1178,"SI",'Registre de reserves'!$I$2:$I$1178,'2024'!$A160,'Registre de reserves'!$B$2:$B$1178,'2024'!J$2,Tabla1[ANY],'2024'!$Z$150)+SUMIFS('Registre de reserves'!$V$2:$V$1178,'Registre de reserves'!$T$2:$T$1178,"RESERVA",'Registre de reserves'!$I$2:$I$1178,'2024'!$A160,'Registre de reserves'!$B$2:$B$1178,'2024'!J$2,Tabla1[ANY],'2024'!$Z$150)</f>
        <v>0</v>
      </c>
      <c r="K160" s="21">
        <f t="shared" si="146"/>
        <v>0</v>
      </c>
      <c r="L160" s="20">
        <f>SUMIFS('Registre de reserves'!$V$2:$V$1178,'Registre de reserves'!$T$2:$T$1178,"SI",'Registre de reserves'!$I$2:$I$1178,'2024'!$A160,'Registre de reserves'!$B$2:$B$1178,'2024'!L$2,Tabla1[ANY],'2024'!$Z$150)+SUMIFS('Registre de reserves'!$V$2:$V$1178,'Registre de reserves'!$T$2:$T$1178,"RESERVA",'Registre de reserves'!$I$2:$I$1178,'2024'!$A160,'Registre de reserves'!$B$2:$B$1178,'2024'!L$2,Tabla1[ANY],'2024'!$Z$150)</f>
        <v>150</v>
      </c>
      <c r="M160" s="21">
        <f t="shared" si="147"/>
        <v>0.06</v>
      </c>
      <c r="N160" s="20">
        <f>SUMIFS('Registre de reserves'!$V$2:$V$1178,'Registre de reserves'!$T$2:$T$1178,"SI",'Registre de reserves'!$I$2:$I$1178,'2024'!$A160,'Registre de reserves'!$B$2:$B$1178,'2024'!N$2,Tabla1[ANY],'2024'!$Z$150)+SUMIFS('Registre de reserves'!$V$2:$V$1178,'Registre de reserves'!$T$2:$T$1178,"RESERVA",'Registre de reserves'!$I$2:$I$1178,'2024'!$A160,'Registre de reserves'!$B$2:$B$1178,'2024'!N$2,Tabla1[ANY],'2024'!$Z$150)</f>
        <v>0</v>
      </c>
      <c r="O160" s="21">
        <f t="shared" si="148"/>
        <v>0</v>
      </c>
      <c r="P160" s="20">
        <f>SUMIFS('Registre de reserves'!$V$2:$V$1178,'Registre de reserves'!$T$2:$T$1178,"SI",'Registre de reserves'!$I$2:$I$1178,'2024'!$A160,'Registre de reserves'!$B$2:$B$1178,'2024'!P$2,Tabla1[ANY],'2024'!$Z$150)+SUMIFS('Registre de reserves'!$V$2:$V$1178,'Registre de reserves'!$T$2:$T$1178,"RESERVA",'Registre de reserves'!$I$2:$I$1178,'2024'!$A160,'Registre de reserves'!$B$2:$B$1178,'2024'!P$2,Tabla1[ANY],'2024'!$Z$150)</f>
        <v>0</v>
      </c>
      <c r="Q160" s="21">
        <f t="shared" si="149"/>
        <v>0</v>
      </c>
      <c r="R160" s="20">
        <f>SUMIFS('Registre de reserves'!$V$2:$V$1178,'Registre de reserves'!$T$2:$T$1178,"SI",'Registre de reserves'!$I$2:$I$1178,'2024'!$A160,'Registre de reserves'!$B$2:$B$1178,'2024'!R$2,Tabla1[ANY],'2024'!$Z$150)+SUMIFS('Registre de reserves'!$V$2:$V$1178,'Registre de reserves'!$T$2:$T$1178,"RESERVA",'Registre de reserves'!$I$2:$I$1178,'2024'!$A160,'Registre de reserves'!$B$2:$B$1178,'2024'!R$2,Tabla1[ANY],'2024'!$Z$150)</f>
        <v>0</v>
      </c>
      <c r="S160" s="21">
        <f t="shared" si="150"/>
        <v>0</v>
      </c>
      <c r="T160" s="20">
        <f>SUMIFS('Registre de reserves'!$V$2:$V$1178,'Registre de reserves'!$T$2:$T$1178,"SI",'Registre de reserves'!$I$2:$I$1178,'2024'!$A160,'Registre de reserves'!$B$2:$B$1178,'2024'!T$2,Tabla1[ANY],'2024'!$Z$150)+SUMIFS('Registre de reserves'!$V$2:$V$1178,'Registre de reserves'!$T$2:$T$1178,"RESERVA",'Registre de reserves'!$I$2:$I$1178,'2024'!$A160,'Registre de reserves'!$B$2:$B$1178,'2024'!T$2,Tabla1[ANY],'2024'!$Z$150)</f>
        <v>0</v>
      </c>
      <c r="U160" s="21">
        <f t="shared" si="151"/>
        <v>0</v>
      </c>
      <c r="V160" s="20">
        <f>SUMIFS('Registre de reserves'!$V$2:$V$1178,'Registre de reserves'!$T$2:$T$1178,"SI",'Registre de reserves'!$I$2:$I$1178,'2024'!$A160,'Registre de reserves'!$B$2:$B$1178,'2024'!V$2,Tabla1[ANY],'2024'!$Z$150)+SUMIFS('Registre de reserves'!$V$2:$V$1178,'Registre de reserves'!$T$2:$T$1178,"RESERVA",'Registre de reserves'!$I$2:$I$1178,'2024'!$A160,'Registre de reserves'!$B$2:$B$1178,'2024'!V$2,Tabla1[ANY],'2024'!$Z$150)</f>
        <v>0</v>
      </c>
      <c r="W160" s="21">
        <f t="shared" si="152"/>
        <v>0</v>
      </c>
      <c r="X160" s="20">
        <f>SUMIFS('Registre de reserves'!$V$2:$V$1178,'Registre de reserves'!$T$2:$T$1178,"SI",'Registre de reserves'!$I$2:$I$1178,'2024'!$A160,'Registre de reserves'!$B$2:$B$1178,'2024'!X$2,Tabla1[ANY],'2024'!$Z$150)+SUMIFS('Registre de reserves'!$V$2:$V$1178,'Registre de reserves'!$T$2:$T$1178,"RESERVA",'Registre de reserves'!$I$2:$I$1178,'2024'!$A160,'Registre de reserves'!$B$2:$B$1178,'2024'!X$2,Tabla1[ANY],'2024'!$Z$150)</f>
        <v>0</v>
      </c>
      <c r="Y160" s="21">
        <f t="shared" si="153"/>
        <v>0</v>
      </c>
      <c r="Z160" s="20">
        <f t="shared" si="156"/>
        <v>150</v>
      </c>
      <c r="AA160" s="21">
        <f t="shared" si="154"/>
        <v>2.9100785721214474E-3</v>
      </c>
    </row>
    <row r="161" spans="1:27" collapsed="1" x14ac:dyDescent="0.2">
      <c r="A161" s="33" t="s">
        <v>76</v>
      </c>
      <c r="B161" s="18">
        <f>SUM(B162:B169)</f>
        <v>0</v>
      </c>
      <c r="C161" s="19">
        <f>IF((B$161+B$179)=0,0,B161/(B$161+B$179))</f>
        <v>0</v>
      </c>
      <c r="D161" s="18">
        <f>SUM(D162:D169)</f>
        <v>0</v>
      </c>
      <c r="E161" s="19">
        <f>IF((D$161+D$179)=0,0,D161/(D$161+D$179))</f>
        <v>0</v>
      </c>
      <c r="F161" s="18">
        <f>SUM(F162:F169)</f>
        <v>0</v>
      </c>
      <c r="G161" s="19">
        <f>IF((F$161+F$179)=0,0,F161/(F$161+F$179))</f>
        <v>0</v>
      </c>
      <c r="H161" s="18">
        <f>SUM(H162:H169)</f>
        <v>0</v>
      </c>
      <c r="I161" s="19">
        <f>IF((H$161+H$179)=0,0,H161/(H$161+H$179))</f>
        <v>0</v>
      </c>
      <c r="J161" s="18">
        <f>SUM(J162:J169)</f>
        <v>0</v>
      </c>
      <c r="K161" s="19">
        <f>IF((J$161+J$179)=0,0,J161/(J$161+J$179))</f>
        <v>0</v>
      </c>
      <c r="L161" s="18">
        <f>SUM(L162:L169)</f>
        <v>0</v>
      </c>
      <c r="M161" s="19">
        <f>IF((L$161+L$179)=0,0,L161/(L$161+L$179))</f>
        <v>0</v>
      </c>
      <c r="N161" s="18">
        <f>SUM(N162:N169)</f>
        <v>0</v>
      </c>
      <c r="O161" s="19">
        <f>IF((N$161+N$179)=0,0,N161/(N$161+N$179))</f>
        <v>0</v>
      </c>
      <c r="P161" s="18">
        <f>SUM(P162:P169)</f>
        <v>0</v>
      </c>
      <c r="Q161" s="19">
        <f>IF((P$161+P$179)=0,0,P161/(P$161+P$179))</f>
        <v>0</v>
      </c>
      <c r="R161" s="18">
        <f>SUM(R162:R169)</f>
        <v>0</v>
      </c>
      <c r="S161" s="19">
        <f>IF((R$161+R$179)=0,0,R161/(R$161+R$179))</f>
        <v>0</v>
      </c>
      <c r="T161" s="18">
        <f>SUM(T162:T169)</f>
        <v>0</v>
      </c>
      <c r="U161" s="19">
        <f>IF((T$161+T$179)=0,0,T161/(T$161+T$179))</f>
        <v>0</v>
      </c>
      <c r="V161" s="18">
        <f>SUM(V162:V169)</f>
        <v>0</v>
      </c>
      <c r="W161" s="19">
        <f>IF((V$161+V$179)=0,0,V161/(V$161+V$179))</f>
        <v>0</v>
      </c>
      <c r="X161" s="18">
        <f>SUM(X162:X169)</f>
        <v>0</v>
      </c>
      <c r="Y161" s="19">
        <f>IF((X$161+X$179)=0,0,X161/(X$161+X$179))</f>
        <v>0</v>
      </c>
      <c r="Z161" s="18">
        <f>SUM(Z162:Z169)</f>
        <v>0</v>
      </c>
      <c r="AA161" s="19">
        <f>IF((Z$13+Z$31)=0,0,Z161/(Z$13+Z$31))</f>
        <v>0</v>
      </c>
    </row>
    <row r="162" spans="1:27" hidden="1" outlineLevel="1" x14ac:dyDescent="0.2">
      <c r="A162" s="8" t="s">
        <v>67</v>
      </c>
      <c r="B162" s="20">
        <f>SUMIFS('Registre de reserves'!$V$2:$V$1178,'Registre de reserves'!$T$2:$T$1178,"NO",'Registre de reserves'!$I$2:$I$1178,'2024'!$A162,'Registre de reserves'!$B$2:$B$1178,'2024'!B$2,Tabla1[ANY],'2024'!$Z$150)</f>
        <v>0</v>
      </c>
      <c r="C162" s="21">
        <f>IF(B$161=0,0,B162/B$161)</f>
        <v>0</v>
      </c>
      <c r="D162" s="20">
        <f>SUMIFS('Registre de reserves'!$V$2:$V$1178,'Registre de reserves'!$T$2:$T$1178,"NO",'Registre de reserves'!$I$2:$I$1178,'2024'!$A162,'Registre de reserves'!$B$2:$B$1178,'2024'!D$2,Tabla1[ANY],'2024'!$Z$150)</f>
        <v>0</v>
      </c>
      <c r="E162" s="21">
        <f>IF(D$161=0,0,D162/D$161)</f>
        <v>0</v>
      </c>
      <c r="F162" s="20">
        <f>SUMIFS('Registre de reserves'!$V$2:$V$1178,'Registre de reserves'!$T$2:$T$1178,"NO",'Registre de reserves'!$I$2:$I$1178,'2024'!$A162,'Registre de reserves'!$B$2:$B$1178,'2024'!F$2,Tabla1[ANY],'2024'!$Z$150)</f>
        <v>0</v>
      </c>
      <c r="G162" s="21">
        <f t="shared" ref="G162:G169" si="157">IF(F$161=0,0,F162/F$161)</f>
        <v>0</v>
      </c>
      <c r="H162" s="20">
        <f>SUMIFS('Registre de reserves'!$V$2:$V$1178,'Registre de reserves'!$T$2:$T$1178,"NO",'Registre de reserves'!$I$2:$I$1178,'2024'!$A162,'Registre de reserves'!$B$2:$B$1178,'2024'!H$2,Tabla1[ANY],'2024'!$Z$150)</f>
        <v>0</v>
      </c>
      <c r="I162" s="21">
        <f t="shared" ref="I162:I169" si="158">IF(H$161=0,0,H162/H$161)</f>
        <v>0</v>
      </c>
      <c r="J162" s="20">
        <f>SUMIFS('Registre de reserves'!$V$2:$V$1178,'Registre de reserves'!$T$2:$T$1178,"NO",'Registre de reserves'!$I$2:$I$1178,'2024'!$A162,'Registre de reserves'!$B$2:$B$1178,'2024'!J$2,Tabla1[ANY],'2024'!$Z$150)</f>
        <v>0</v>
      </c>
      <c r="K162" s="21">
        <f t="shared" ref="K162:K169" si="159">IF(J$161=0,0,J162/J$161)</f>
        <v>0</v>
      </c>
      <c r="L162" s="20">
        <f>SUMIFS('Registre de reserves'!$V$2:$V$1178,'Registre de reserves'!$T$2:$T$1178,"NO",'Registre de reserves'!$I$2:$I$1178,'2024'!$A162,'Registre de reserves'!$B$2:$B$1178,'2024'!L$2,Tabla1[ANY],'2024'!$Z$150)</f>
        <v>0</v>
      </c>
      <c r="M162" s="21">
        <f t="shared" ref="M162:M169" si="160">IF(L$161=0,0,L162/L$161)</f>
        <v>0</v>
      </c>
      <c r="N162" s="20">
        <f>SUMIFS('Registre de reserves'!$V$2:$V$1178,'Registre de reserves'!$T$2:$T$1178,"NO",'Registre de reserves'!$I$2:$I$1178,'2024'!$A162,'Registre de reserves'!$B$2:$B$1178,'2024'!N$2,Tabla1[ANY],'2024'!$Z$150)</f>
        <v>0</v>
      </c>
      <c r="O162" s="21">
        <f t="shared" ref="O162:O169" si="161">IF(N$161=0,0,N162/N$161)</f>
        <v>0</v>
      </c>
      <c r="P162" s="20">
        <f>SUMIFS('Registre de reserves'!$V$2:$V$1178,'Registre de reserves'!$T$2:$T$1178,"NO",'Registre de reserves'!$I$2:$I$1178,'2024'!$A162,'Registre de reserves'!$B$2:$B$1178,'2024'!P$2,Tabla1[ANY],'2024'!$Z$150)</f>
        <v>0</v>
      </c>
      <c r="Q162" s="21">
        <f t="shared" ref="Q162:Q169" si="162">IF(P$161=0,0,P162/P$161)</f>
        <v>0</v>
      </c>
      <c r="R162" s="20">
        <f>SUMIFS('Registre de reserves'!$V$2:$V$1178,'Registre de reserves'!$T$2:$T$1178,"NO",'Registre de reserves'!$I$2:$I$1178,'2024'!$A162,'Registre de reserves'!$B$2:$B$1178,'2024'!R$2,Tabla1[ANY],'2024'!$Z$150)</f>
        <v>0</v>
      </c>
      <c r="S162" s="21">
        <f t="shared" ref="S162:S169" si="163">IF(R$161=0,0,R162/R$161)</f>
        <v>0</v>
      </c>
      <c r="T162" s="20">
        <f>SUMIFS('Registre de reserves'!$V$2:$V$1178,'Registre de reserves'!$T$2:$T$1178,"NO",'Registre de reserves'!$I$2:$I$1178,'2024'!$A162,'Registre de reserves'!$B$2:$B$1178,'2024'!T$2,Tabla1[ANY],'2024'!$Z$150)</f>
        <v>0</v>
      </c>
      <c r="U162" s="21">
        <f t="shared" ref="U162:U169" si="164">IF(T$161=0,0,T162/T$161)</f>
        <v>0</v>
      </c>
      <c r="V162" s="20">
        <f>SUMIFS('Registre de reserves'!$V$2:$V$1178,'Registre de reserves'!$T$2:$T$1178,"NO",'Registre de reserves'!$I$2:$I$1178,'2024'!$A162,'Registre de reserves'!$B$2:$B$1178,'2024'!V$2,Tabla1[ANY],'2024'!$Z$150)</f>
        <v>0</v>
      </c>
      <c r="W162" s="21">
        <f t="shared" ref="W162:W169" si="165">IF(V$161=0,0,V162/V$161)</f>
        <v>0</v>
      </c>
      <c r="X162" s="20">
        <f>SUMIFS('Registre de reserves'!$V$2:$V$1178,'Registre de reserves'!$T$2:$T$1178,"NO",'Registre de reserves'!$I$2:$I$1178,'2024'!$A162,'Registre de reserves'!$B$2:$B$1178,'2024'!X$2,Tabla1[ANY],'2024'!$Z$150)</f>
        <v>0</v>
      </c>
      <c r="Y162" s="21">
        <f t="shared" ref="Y162:Y169" si="166">IF(X$161=0,0,X162/X$161)</f>
        <v>0</v>
      </c>
      <c r="Z162" s="20">
        <f>B162+D162+F162+H162+J162+L162+N162+P162+R162+T162+V162+X162</f>
        <v>0</v>
      </c>
      <c r="AA162" s="21">
        <f>IF(Z$13=0,0,Z162/Z$13)</f>
        <v>0</v>
      </c>
    </row>
    <row r="163" spans="1:27" hidden="1" outlineLevel="1" x14ac:dyDescent="0.2">
      <c r="A163" s="8" t="s">
        <v>68</v>
      </c>
      <c r="B163" s="20">
        <f>SUMIFS('Registre de reserves'!$V$2:$V$1178,'Registre de reserves'!$T$2:$T$1178,"NO",'Registre de reserves'!$I$2:$I$1178,'2024'!$A163,'Registre de reserves'!$B$2:$B$1178,'2024'!B$2,Tabla1[ANY],'2024'!$Z$150)</f>
        <v>0</v>
      </c>
      <c r="C163" s="21">
        <f t="shared" ref="C163:E169" si="167">IF(B$161=0,0,B163/B$161)</f>
        <v>0</v>
      </c>
      <c r="D163" s="20">
        <f>SUMIFS('Registre de reserves'!$V$2:$V$1178,'Registre de reserves'!$T$2:$T$1178,"NO",'Registre de reserves'!$I$2:$I$1178,'2024'!$A163,'Registre de reserves'!$B$2:$B$1178,'2024'!D$2,Tabla1[ANY],'2024'!$Z$150)</f>
        <v>0</v>
      </c>
      <c r="E163" s="21">
        <f t="shared" si="167"/>
        <v>0</v>
      </c>
      <c r="F163" s="20">
        <f>SUMIFS('Registre de reserves'!$V$2:$V$1178,'Registre de reserves'!$T$2:$T$1178,"NO",'Registre de reserves'!$I$2:$I$1178,'2024'!$A163,'Registre de reserves'!$B$2:$B$1178,'2024'!F$2,Tabla1[ANY],'2024'!$Z$150)</f>
        <v>0</v>
      </c>
      <c r="G163" s="21">
        <f t="shared" si="157"/>
        <v>0</v>
      </c>
      <c r="H163" s="20">
        <f>SUMIFS('Registre de reserves'!$V$2:$V$1178,'Registre de reserves'!$T$2:$T$1178,"NO",'Registre de reserves'!$I$2:$I$1178,'2024'!$A163,'Registre de reserves'!$B$2:$B$1178,'2024'!H$2,Tabla1[ANY],'2024'!$Z$150)</f>
        <v>0</v>
      </c>
      <c r="I163" s="21">
        <f t="shared" si="158"/>
        <v>0</v>
      </c>
      <c r="J163" s="20">
        <f>SUMIFS('Registre de reserves'!$V$2:$V$1178,'Registre de reserves'!$T$2:$T$1178,"NO",'Registre de reserves'!$I$2:$I$1178,'2024'!$A163,'Registre de reserves'!$B$2:$B$1178,'2024'!J$2,Tabla1[ANY],'2024'!$Z$150)</f>
        <v>0</v>
      </c>
      <c r="K163" s="21">
        <f t="shared" si="159"/>
        <v>0</v>
      </c>
      <c r="L163" s="20">
        <f>SUMIFS('Registre de reserves'!$V$2:$V$1178,'Registre de reserves'!$T$2:$T$1178,"NO",'Registre de reserves'!$I$2:$I$1178,'2024'!$A163,'Registre de reserves'!$B$2:$B$1178,'2024'!L$2,Tabla1[ANY],'2024'!$Z$150)</f>
        <v>0</v>
      </c>
      <c r="M163" s="21">
        <f t="shared" si="160"/>
        <v>0</v>
      </c>
      <c r="N163" s="20">
        <f>SUMIFS('Registre de reserves'!$V$2:$V$1178,'Registre de reserves'!$T$2:$T$1178,"NO",'Registre de reserves'!$I$2:$I$1178,'2024'!$A163,'Registre de reserves'!$B$2:$B$1178,'2024'!N$2,Tabla1[ANY],'2024'!$Z$150)</f>
        <v>0</v>
      </c>
      <c r="O163" s="21">
        <f t="shared" si="161"/>
        <v>0</v>
      </c>
      <c r="P163" s="20">
        <f>SUMIFS('Registre de reserves'!$V$2:$V$1178,'Registre de reserves'!$T$2:$T$1178,"NO",'Registre de reserves'!$I$2:$I$1178,'2024'!$A163,'Registre de reserves'!$B$2:$B$1178,'2024'!P$2,Tabla1[ANY],'2024'!$Z$150)</f>
        <v>0</v>
      </c>
      <c r="Q163" s="21">
        <f t="shared" si="162"/>
        <v>0</v>
      </c>
      <c r="R163" s="20">
        <f>SUMIFS('Registre de reserves'!$V$2:$V$1178,'Registre de reserves'!$T$2:$T$1178,"NO",'Registre de reserves'!$I$2:$I$1178,'2024'!$A163,'Registre de reserves'!$B$2:$B$1178,'2024'!R$2,Tabla1[ANY],'2024'!$Z$150)</f>
        <v>0</v>
      </c>
      <c r="S163" s="21">
        <f t="shared" si="163"/>
        <v>0</v>
      </c>
      <c r="T163" s="20">
        <f>SUMIFS('Registre de reserves'!$V$2:$V$1178,'Registre de reserves'!$T$2:$T$1178,"NO",'Registre de reserves'!$I$2:$I$1178,'2024'!$A163,'Registre de reserves'!$B$2:$B$1178,'2024'!T$2,Tabla1[ANY],'2024'!$Z$150)</f>
        <v>0</v>
      </c>
      <c r="U163" s="21">
        <f t="shared" si="164"/>
        <v>0</v>
      </c>
      <c r="V163" s="20">
        <f>SUMIFS('Registre de reserves'!$V$2:$V$1178,'Registre de reserves'!$T$2:$T$1178,"NO",'Registre de reserves'!$I$2:$I$1178,'2024'!$A163,'Registre de reserves'!$B$2:$B$1178,'2024'!V$2,Tabla1[ANY],'2024'!$Z$150)</f>
        <v>0</v>
      </c>
      <c r="W163" s="21">
        <f t="shared" si="165"/>
        <v>0</v>
      </c>
      <c r="X163" s="20">
        <f>SUMIFS('Registre de reserves'!$V$2:$V$1178,'Registre de reserves'!$T$2:$T$1178,"NO",'Registre de reserves'!$I$2:$I$1178,'2024'!$A163,'Registre de reserves'!$B$2:$B$1178,'2024'!X$2,Tabla1[ANY],'2024'!$Z$150)</f>
        <v>0</v>
      </c>
      <c r="Y163" s="21">
        <f t="shared" si="166"/>
        <v>0</v>
      </c>
      <c r="Z163" s="20">
        <f t="shared" ref="Z163:Z187" si="168">B163+D163+F163+H163+J163+L163+N163+P163+R163+T163+V163+X163</f>
        <v>0</v>
      </c>
      <c r="AA163" s="21">
        <f t="shared" ref="AA163:AA169" si="169">IF(Z$13=0,0,Z163/Z$13)</f>
        <v>0</v>
      </c>
    </row>
    <row r="164" spans="1:27" hidden="1" outlineLevel="1" x14ac:dyDescent="0.2">
      <c r="A164" s="8" t="s">
        <v>4</v>
      </c>
      <c r="B164" s="20">
        <f>SUMIFS('Registre de reserves'!$V$2:$V$1178,'Registre de reserves'!$T$2:$T$1178,"NO",'Registre de reserves'!$I$2:$I$1178,'2024'!$A164,'Registre de reserves'!$B$2:$B$1178,'2024'!B$2,Tabla1[ANY],'2024'!$Z$150)</f>
        <v>0</v>
      </c>
      <c r="C164" s="21">
        <f t="shared" si="167"/>
        <v>0</v>
      </c>
      <c r="D164" s="20">
        <f>SUMIFS('Registre de reserves'!$V$2:$V$1178,'Registre de reserves'!$T$2:$T$1178,"NO",'Registre de reserves'!$I$2:$I$1178,'2024'!$A164,'Registre de reserves'!$B$2:$B$1178,'2024'!D$2,Tabla1[ANY],'2024'!$Z$150)</f>
        <v>0</v>
      </c>
      <c r="E164" s="21">
        <f t="shared" si="167"/>
        <v>0</v>
      </c>
      <c r="F164" s="20">
        <f>SUMIFS('Registre de reserves'!$V$2:$V$1178,'Registre de reserves'!$T$2:$T$1178,"NO",'Registre de reserves'!$I$2:$I$1178,'2024'!$A164,'Registre de reserves'!$B$2:$B$1178,'2024'!F$2,Tabla1[ANY],'2024'!$Z$150)</f>
        <v>0</v>
      </c>
      <c r="G164" s="21">
        <f t="shared" si="157"/>
        <v>0</v>
      </c>
      <c r="H164" s="20">
        <f>SUMIFS('Registre de reserves'!$V$2:$V$1178,'Registre de reserves'!$T$2:$T$1178,"NO",'Registre de reserves'!$I$2:$I$1178,'2024'!$A164,'Registre de reserves'!$B$2:$B$1178,'2024'!H$2,Tabla1[ANY],'2024'!$Z$150)</f>
        <v>0</v>
      </c>
      <c r="I164" s="21">
        <f t="shared" si="158"/>
        <v>0</v>
      </c>
      <c r="J164" s="20">
        <f>SUMIFS('Registre de reserves'!$V$2:$V$1178,'Registre de reserves'!$T$2:$T$1178,"NO",'Registre de reserves'!$I$2:$I$1178,'2024'!$A164,'Registre de reserves'!$B$2:$B$1178,'2024'!J$2,Tabla1[ANY],'2024'!$Z$150)</f>
        <v>0</v>
      </c>
      <c r="K164" s="21">
        <f t="shared" si="159"/>
        <v>0</v>
      </c>
      <c r="L164" s="20">
        <f>SUMIFS('Registre de reserves'!$V$2:$V$1178,'Registre de reserves'!$T$2:$T$1178,"NO",'Registre de reserves'!$I$2:$I$1178,'2024'!$A164,'Registre de reserves'!$B$2:$B$1178,'2024'!L$2,Tabla1[ANY],'2024'!$Z$150)</f>
        <v>0</v>
      </c>
      <c r="M164" s="21">
        <f t="shared" si="160"/>
        <v>0</v>
      </c>
      <c r="N164" s="20">
        <f>SUMIFS('Registre de reserves'!$V$2:$V$1178,'Registre de reserves'!$T$2:$T$1178,"NO",'Registre de reserves'!$I$2:$I$1178,'2024'!$A164,'Registre de reserves'!$B$2:$B$1178,'2024'!N$2,Tabla1[ANY],'2024'!$Z$150)</f>
        <v>0</v>
      </c>
      <c r="O164" s="21">
        <f t="shared" si="161"/>
        <v>0</v>
      </c>
      <c r="P164" s="20">
        <f>SUMIFS('Registre de reserves'!$V$2:$V$1178,'Registre de reserves'!$T$2:$T$1178,"NO",'Registre de reserves'!$I$2:$I$1178,'2024'!$A164,'Registre de reserves'!$B$2:$B$1178,'2024'!P$2,Tabla1[ANY],'2024'!$Z$150)</f>
        <v>0</v>
      </c>
      <c r="Q164" s="21">
        <f t="shared" si="162"/>
        <v>0</v>
      </c>
      <c r="R164" s="20">
        <f>SUMIFS('Registre de reserves'!$V$2:$V$1178,'Registre de reserves'!$T$2:$T$1178,"NO",'Registre de reserves'!$I$2:$I$1178,'2024'!$A164,'Registre de reserves'!$B$2:$B$1178,'2024'!R$2,Tabla1[ANY],'2024'!$Z$150)</f>
        <v>0</v>
      </c>
      <c r="S164" s="21">
        <f t="shared" si="163"/>
        <v>0</v>
      </c>
      <c r="T164" s="20">
        <f>SUMIFS('Registre de reserves'!$V$2:$V$1178,'Registre de reserves'!$T$2:$T$1178,"NO",'Registre de reserves'!$I$2:$I$1178,'2024'!$A164,'Registre de reserves'!$B$2:$B$1178,'2024'!T$2,Tabla1[ANY],'2024'!$Z$150)</f>
        <v>0</v>
      </c>
      <c r="U164" s="21">
        <f t="shared" si="164"/>
        <v>0</v>
      </c>
      <c r="V164" s="20">
        <f>SUMIFS('Registre de reserves'!$V$2:$V$1178,'Registre de reserves'!$T$2:$T$1178,"NO",'Registre de reserves'!$I$2:$I$1178,'2024'!$A164,'Registre de reserves'!$B$2:$B$1178,'2024'!V$2,Tabla1[ANY],'2024'!$Z$150)</f>
        <v>0</v>
      </c>
      <c r="W164" s="21">
        <f t="shared" si="165"/>
        <v>0</v>
      </c>
      <c r="X164" s="20">
        <f>SUMIFS('Registre de reserves'!$V$2:$V$1178,'Registre de reserves'!$T$2:$T$1178,"NO",'Registre de reserves'!$I$2:$I$1178,'2024'!$A164,'Registre de reserves'!$B$2:$B$1178,'2024'!X$2,Tabla1[ANY],'2024'!$Z$150)</f>
        <v>0</v>
      </c>
      <c r="Y164" s="21">
        <f t="shared" si="166"/>
        <v>0</v>
      </c>
      <c r="Z164" s="20">
        <f t="shared" si="168"/>
        <v>0</v>
      </c>
      <c r="AA164" s="21">
        <f t="shared" si="169"/>
        <v>0</v>
      </c>
    </row>
    <row r="165" spans="1:27" hidden="1" outlineLevel="1" x14ac:dyDescent="0.2">
      <c r="A165" s="8" t="s">
        <v>71</v>
      </c>
      <c r="B165" s="20">
        <f>SUMIFS('Registre de reserves'!$V$2:$V$1178,'Registre de reserves'!$T$2:$T$1178,"NO",'Registre de reserves'!$I$2:$I$1178,'2024'!$A165,'Registre de reserves'!$B$2:$B$1178,'2024'!B$2,Tabla1[ANY],'2024'!$Z$150)</f>
        <v>0</v>
      </c>
      <c r="C165" s="21">
        <f t="shared" si="167"/>
        <v>0</v>
      </c>
      <c r="D165" s="20">
        <f>SUMIFS('Registre de reserves'!$V$2:$V$1178,'Registre de reserves'!$T$2:$T$1178,"NO",'Registre de reserves'!$I$2:$I$1178,'2024'!$A165,'Registre de reserves'!$B$2:$B$1178,'2024'!D$2,Tabla1[ANY],'2024'!$Z$150)</f>
        <v>0</v>
      </c>
      <c r="E165" s="21">
        <f t="shared" si="167"/>
        <v>0</v>
      </c>
      <c r="F165" s="20">
        <f>SUMIFS('Registre de reserves'!$V$2:$V$1178,'Registre de reserves'!$T$2:$T$1178,"NO",'Registre de reserves'!$I$2:$I$1178,'2024'!$A165,'Registre de reserves'!$B$2:$B$1178,'2024'!F$2,Tabla1[ANY],'2024'!$Z$150)</f>
        <v>0</v>
      </c>
      <c r="G165" s="21">
        <f t="shared" si="157"/>
        <v>0</v>
      </c>
      <c r="H165" s="20">
        <f>SUMIFS('Registre de reserves'!$V$2:$V$1178,'Registre de reserves'!$T$2:$T$1178,"NO",'Registre de reserves'!$I$2:$I$1178,'2024'!$A165,'Registre de reserves'!$B$2:$B$1178,'2024'!H$2,Tabla1[ANY],'2024'!$Z$150)</f>
        <v>0</v>
      </c>
      <c r="I165" s="21">
        <f t="shared" si="158"/>
        <v>0</v>
      </c>
      <c r="J165" s="20">
        <f>SUMIFS('Registre de reserves'!$V$2:$V$1178,'Registre de reserves'!$T$2:$T$1178,"NO",'Registre de reserves'!$I$2:$I$1178,'2024'!$A165,'Registre de reserves'!$B$2:$B$1178,'2024'!J$2,Tabla1[ANY],'2024'!$Z$150)</f>
        <v>0</v>
      </c>
      <c r="K165" s="21">
        <f t="shared" si="159"/>
        <v>0</v>
      </c>
      <c r="L165" s="20">
        <f>SUMIFS('Registre de reserves'!$V$2:$V$1178,'Registre de reserves'!$T$2:$T$1178,"NO",'Registre de reserves'!$I$2:$I$1178,'2024'!$A165,'Registre de reserves'!$B$2:$B$1178,'2024'!L$2,Tabla1[ANY],'2024'!$Z$150)</f>
        <v>0</v>
      </c>
      <c r="M165" s="21">
        <f t="shared" si="160"/>
        <v>0</v>
      </c>
      <c r="N165" s="20">
        <f>SUMIFS('Registre de reserves'!$V$2:$V$1178,'Registre de reserves'!$T$2:$T$1178,"NO",'Registre de reserves'!$I$2:$I$1178,'2024'!$A165,'Registre de reserves'!$B$2:$B$1178,'2024'!N$2,Tabla1[ANY],'2024'!$Z$150)</f>
        <v>0</v>
      </c>
      <c r="O165" s="21">
        <f t="shared" si="161"/>
        <v>0</v>
      </c>
      <c r="P165" s="20">
        <f>SUMIFS('Registre de reserves'!$V$2:$V$1178,'Registre de reserves'!$T$2:$T$1178,"NO",'Registre de reserves'!$I$2:$I$1178,'2024'!$A165,'Registre de reserves'!$B$2:$B$1178,'2024'!P$2,Tabla1[ANY],'2024'!$Z$150)</f>
        <v>0</v>
      </c>
      <c r="Q165" s="21">
        <f t="shared" si="162"/>
        <v>0</v>
      </c>
      <c r="R165" s="20">
        <f>SUMIFS('Registre de reserves'!$V$2:$V$1178,'Registre de reserves'!$T$2:$T$1178,"NO",'Registre de reserves'!$I$2:$I$1178,'2024'!$A165,'Registre de reserves'!$B$2:$B$1178,'2024'!R$2,Tabla1[ANY],'2024'!$Z$150)</f>
        <v>0</v>
      </c>
      <c r="S165" s="21">
        <f t="shared" si="163"/>
        <v>0</v>
      </c>
      <c r="T165" s="20">
        <f>SUMIFS('Registre de reserves'!$V$2:$V$1178,'Registre de reserves'!$T$2:$T$1178,"NO",'Registre de reserves'!$I$2:$I$1178,'2024'!$A165,'Registre de reserves'!$B$2:$B$1178,'2024'!T$2,Tabla1[ANY],'2024'!$Z$150)</f>
        <v>0</v>
      </c>
      <c r="U165" s="21">
        <f t="shared" si="164"/>
        <v>0</v>
      </c>
      <c r="V165" s="20">
        <f>SUMIFS('Registre de reserves'!$V$2:$V$1178,'Registre de reserves'!$T$2:$T$1178,"NO",'Registre de reserves'!$I$2:$I$1178,'2024'!$A165,'Registre de reserves'!$B$2:$B$1178,'2024'!V$2,Tabla1[ANY],'2024'!$Z$150)</f>
        <v>0</v>
      </c>
      <c r="W165" s="21">
        <f t="shared" si="165"/>
        <v>0</v>
      </c>
      <c r="X165" s="20">
        <f>SUMIFS('Registre de reserves'!$V$2:$V$1178,'Registre de reserves'!$T$2:$T$1178,"NO",'Registre de reserves'!$I$2:$I$1178,'2024'!$A165,'Registre de reserves'!$B$2:$B$1178,'2024'!X$2,Tabla1[ANY],'2024'!$Z$150)</f>
        <v>0</v>
      </c>
      <c r="Y165" s="21">
        <f t="shared" si="166"/>
        <v>0</v>
      </c>
      <c r="Z165" s="20">
        <f t="shared" si="168"/>
        <v>0</v>
      </c>
      <c r="AA165" s="21">
        <f t="shared" si="169"/>
        <v>0</v>
      </c>
    </row>
    <row r="166" spans="1:27" hidden="1" outlineLevel="1" x14ac:dyDescent="0.2">
      <c r="A166" s="8" t="s">
        <v>72</v>
      </c>
      <c r="B166" s="20">
        <f>SUMIFS('Registre de reserves'!$V$2:$V$1178,'Registre de reserves'!$T$2:$T$1178,"NO",'Registre de reserves'!$I$2:$I$1178,'2024'!$A166,'Registre de reserves'!$B$2:$B$1178,'2024'!B$2,Tabla1[ANY],'2024'!$Z$150)</f>
        <v>0</v>
      </c>
      <c r="C166" s="21">
        <f t="shared" si="167"/>
        <v>0</v>
      </c>
      <c r="D166" s="20">
        <f>SUMIFS('Registre de reserves'!$V$2:$V$1178,'Registre de reserves'!$T$2:$T$1178,"NO",'Registre de reserves'!$I$2:$I$1178,'2024'!$A166,'Registre de reserves'!$B$2:$B$1178,'2024'!D$2,Tabla1[ANY],'2024'!$Z$150)</f>
        <v>0</v>
      </c>
      <c r="E166" s="21">
        <f t="shared" si="167"/>
        <v>0</v>
      </c>
      <c r="F166" s="20">
        <f>SUMIFS('Registre de reserves'!$V$2:$V$1178,'Registre de reserves'!$T$2:$T$1178,"NO",'Registre de reserves'!$I$2:$I$1178,'2024'!$A166,'Registre de reserves'!$B$2:$B$1178,'2024'!F$2,Tabla1[ANY],'2024'!$Z$150)</f>
        <v>0</v>
      </c>
      <c r="G166" s="21">
        <f t="shared" si="157"/>
        <v>0</v>
      </c>
      <c r="H166" s="20">
        <f>SUMIFS('Registre de reserves'!$V$2:$V$1178,'Registre de reserves'!$T$2:$T$1178,"NO",'Registre de reserves'!$I$2:$I$1178,'2024'!$A166,'Registre de reserves'!$B$2:$B$1178,'2024'!H$2,Tabla1[ANY],'2024'!$Z$150)</f>
        <v>0</v>
      </c>
      <c r="I166" s="21">
        <f t="shared" si="158"/>
        <v>0</v>
      </c>
      <c r="J166" s="20">
        <f>SUMIFS('Registre de reserves'!$V$2:$V$1178,'Registre de reserves'!$T$2:$T$1178,"NO",'Registre de reserves'!$I$2:$I$1178,'2024'!$A166,'Registre de reserves'!$B$2:$B$1178,'2024'!J$2,Tabla1[ANY],'2024'!$Z$150)</f>
        <v>0</v>
      </c>
      <c r="K166" s="21">
        <f t="shared" si="159"/>
        <v>0</v>
      </c>
      <c r="L166" s="20">
        <f>SUMIFS('Registre de reserves'!$V$2:$V$1178,'Registre de reserves'!$T$2:$T$1178,"NO",'Registre de reserves'!$I$2:$I$1178,'2024'!$A166,'Registre de reserves'!$B$2:$B$1178,'2024'!L$2,Tabla1[ANY],'2024'!$Z$150)</f>
        <v>0</v>
      </c>
      <c r="M166" s="21">
        <f t="shared" si="160"/>
        <v>0</v>
      </c>
      <c r="N166" s="20">
        <f>SUMIFS('Registre de reserves'!$V$2:$V$1178,'Registre de reserves'!$T$2:$T$1178,"NO",'Registre de reserves'!$I$2:$I$1178,'2024'!$A166,'Registre de reserves'!$B$2:$B$1178,'2024'!N$2,Tabla1[ANY],'2024'!$Z$150)</f>
        <v>0</v>
      </c>
      <c r="O166" s="21">
        <f t="shared" si="161"/>
        <v>0</v>
      </c>
      <c r="P166" s="20">
        <f>SUMIFS('Registre de reserves'!$V$2:$V$1178,'Registre de reserves'!$T$2:$T$1178,"NO",'Registre de reserves'!$I$2:$I$1178,'2024'!$A166,'Registre de reserves'!$B$2:$B$1178,'2024'!P$2,Tabla1[ANY],'2024'!$Z$150)</f>
        <v>0</v>
      </c>
      <c r="Q166" s="21">
        <f t="shared" si="162"/>
        <v>0</v>
      </c>
      <c r="R166" s="20">
        <f>SUMIFS('Registre de reserves'!$V$2:$V$1178,'Registre de reserves'!$T$2:$T$1178,"NO",'Registre de reserves'!$I$2:$I$1178,'2024'!$A166,'Registre de reserves'!$B$2:$B$1178,'2024'!R$2,Tabla1[ANY],'2024'!$Z$150)</f>
        <v>0</v>
      </c>
      <c r="S166" s="21">
        <f t="shared" si="163"/>
        <v>0</v>
      </c>
      <c r="T166" s="20">
        <f>SUMIFS('Registre de reserves'!$V$2:$V$1178,'Registre de reserves'!$T$2:$T$1178,"NO",'Registre de reserves'!$I$2:$I$1178,'2024'!$A166,'Registre de reserves'!$B$2:$B$1178,'2024'!T$2,Tabla1[ANY],'2024'!$Z$150)</f>
        <v>0</v>
      </c>
      <c r="U166" s="21">
        <f t="shared" si="164"/>
        <v>0</v>
      </c>
      <c r="V166" s="20">
        <f>SUMIFS('Registre de reserves'!$V$2:$V$1178,'Registre de reserves'!$T$2:$T$1178,"NO",'Registre de reserves'!$I$2:$I$1178,'2024'!$A166,'Registre de reserves'!$B$2:$B$1178,'2024'!V$2,Tabla1[ANY],'2024'!$Z$150)</f>
        <v>0</v>
      </c>
      <c r="W166" s="21">
        <f t="shared" si="165"/>
        <v>0</v>
      </c>
      <c r="X166" s="20">
        <f>SUMIFS('Registre de reserves'!$V$2:$V$1178,'Registre de reserves'!$T$2:$T$1178,"NO",'Registre de reserves'!$I$2:$I$1178,'2024'!$A166,'Registre de reserves'!$B$2:$B$1178,'2024'!X$2,Tabla1[ANY],'2024'!$Z$150)</f>
        <v>0</v>
      </c>
      <c r="Y166" s="21">
        <f t="shared" si="166"/>
        <v>0</v>
      </c>
      <c r="Z166" s="20">
        <f t="shared" si="168"/>
        <v>0</v>
      </c>
      <c r="AA166" s="21">
        <f t="shared" si="169"/>
        <v>0</v>
      </c>
    </row>
    <row r="167" spans="1:27" hidden="1" outlineLevel="1" x14ac:dyDescent="0.2">
      <c r="A167" s="8" t="s">
        <v>69</v>
      </c>
      <c r="B167" s="20">
        <f>SUMIFS('Registre de reserves'!$V$2:$V$1178,'Registre de reserves'!$T$2:$T$1178,"NO",'Registre de reserves'!$I$2:$I$1178,'2024'!$A167,'Registre de reserves'!$B$2:$B$1178,'2024'!B$2,Tabla1[ANY],'2024'!$Z$150)</f>
        <v>0</v>
      </c>
      <c r="C167" s="21">
        <f t="shared" si="167"/>
        <v>0</v>
      </c>
      <c r="D167" s="20">
        <f>SUMIFS('Registre de reserves'!$V$2:$V$1178,'Registre de reserves'!$T$2:$T$1178,"NO",'Registre de reserves'!$I$2:$I$1178,'2024'!$A167,'Registre de reserves'!$B$2:$B$1178,'2024'!D$2,Tabla1[ANY],'2024'!$Z$150)</f>
        <v>0</v>
      </c>
      <c r="E167" s="21">
        <f t="shared" si="167"/>
        <v>0</v>
      </c>
      <c r="F167" s="20">
        <f>SUMIFS('Registre de reserves'!$V$2:$V$1178,'Registre de reserves'!$T$2:$T$1178,"NO",'Registre de reserves'!$I$2:$I$1178,'2024'!$A167,'Registre de reserves'!$B$2:$B$1178,'2024'!F$2,Tabla1[ANY],'2024'!$Z$150)</f>
        <v>0</v>
      </c>
      <c r="G167" s="21">
        <f t="shared" si="157"/>
        <v>0</v>
      </c>
      <c r="H167" s="20">
        <f>SUMIFS('Registre de reserves'!$V$2:$V$1178,'Registre de reserves'!$T$2:$T$1178,"NO",'Registre de reserves'!$I$2:$I$1178,'2024'!$A167,'Registre de reserves'!$B$2:$B$1178,'2024'!H$2,Tabla1[ANY],'2024'!$Z$150)</f>
        <v>0</v>
      </c>
      <c r="I167" s="21">
        <f t="shared" si="158"/>
        <v>0</v>
      </c>
      <c r="J167" s="20">
        <f>SUMIFS('Registre de reserves'!$V$2:$V$1178,'Registre de reserves'!$T$2:$T$1178,"NO",'Registre de reserves'!$I$2:$I$1178,'2024'!$A167,'Registre de reserves'!$B$2:$B$1178,'2024'!J$2,Tabla1[ANY],'2024'!$Z$150)</f>
        <v>0</v>
      </c>
      <c r="K167" s="21">
        <f t="shared" si="159"/>
        <v>0</v>
      </c>
      <c r="L167" s="20">
        <f>SUMIFS('Registre de reserves'!$V$2:$V$1178,'Registre de reserves'!$T$2:$T$1178,"NO",'Registre de reserves'!$I$2:$I$1178,'2024'!$A167,'Registre de reserves'!$B$2:$B$1178,'2024'!L$2,Tabla1[ANY],'2024'!$Z$150)</f>
        <v>0</v>
      </c>
      <c r="M167" s="21">
        <f t="shared" si="160"/>
        <v>0</v>
      </c>
      <c r="N167" s="20">
        <f>SUMIFS('Registre de reserves'!$V$2:$V$1178,'Registre de reserves'!$T$2:$T$1178,"NO",'Registre de reserves'!$I$2:$I$1178,'2024'!$A167,'Registre de reserves'!$B$2:$B$1178,'2024'!N$2,Tabla1[ANY],'2024'!$Z$150)</f>
        <v>0</v>
      </c>
      <c r="O167" s="21">
        <f t="shared" si="161"/>
        <v>0</v>
      </c>
      <c r="P167" s="20">
        <f>SUMIFS('Registre de reserves'!$V$2:$V$1178,'Registre de reserves'!$T$2:$T$1178,"NO",'Registre de reserves'!$I$2:$I$1178,'2024'!$A167,'Registre de reserves'!$B$2:$B$1178,'2024'!P$2,Tabla1[ANY],'2024'!$Z$150)</f>
        <v>0</v>
      </c>
      <c r="Q167" s="21">
        <f t="shared" si="162"/>
        <v>0</v>
      </c>
      <c r="R167" s="20">
        <f>SUMIFS('Registre de reserves'!$V$2:$V$1178,'Registre de reserves'!$T$2:$T$1178,"NO",'Registre de reserves'!$I$2:$I$1178,'2024'!$A167,'Registre de reserves'!$B$2:$B$1178,'2024'!R$2,Tabla1[ANY],'2024'!$Z$150)</f>
        <v>0</v>
      </c>
      <c r="S167" s="21">
        <f t="shared" si="163"/>
        <v>0</v>
      </c>
      <c r="T167" s="20">
        <f>SUMIFS('Registre de reserves'!$V$2:$V$1178,'Registre de reserves'!$T$2:$T$1178,"NO",'Registre de reserves'!$I$2:$I$1178,'2024'!$A167,'Registre de reserves'!$B$2:$B$1178,'2024'!T$2,Tabla1[ANY],'2024'!$Z$150)</f>
        <v>0</v>
      </c>
      <c r="U167" s="21">
        <f t="shared" si="164"/>
        <v>0</v>
      </c>
      <c r="V167" s="20">
        <f>SUMIFS('Registre de reserves'!$V$2:$V$1178,'Registre de reserves'!$T$2:$T$1178,"NO",'Registre de reserves'!$I$2:$I$1178,'2024'!$A167,'Registre de reserves'!$B$2:$B$1178,'2024'!V$2,Tabla1[ANY],'2024'!$Z$150)</f>
        <v>0</v>
      </c>
      <c r="W167" s="21">
        <f t="shared" si="165"/>
        <v>0</v>
      </c>
      <c r="X167" s="20">
        <f>SUMIFS('Registre de reserves'!$V$2:$V$1178,'Registre de reserves'!$T$2:$T$1178,"NO",'Registre de reserves'!$I$2:$I$1178,'2024'!$A167,'Registre de reserves'!$B$2:$B$1178,'2024'!X$2,Tabla1[ANY],'2024'!$Z$150)</f>
        <v>0</v>
      </c>
      <c r="Y167" s="21">
        <f t="shared" si="166"/>
        <v>0</v>
      </c>
      <c r="Z167" s="20">
        <f t="shared" si="168"/>
        <v>0</v>
      </c>
      <c r="AA167" s="21">
        <f t="shared" si="169"/>
        <v>0</v>
      </c>
    </row>
    <row r="168" spans="1:27" hidden="1" outlineLevel="1" x14ac:dyDescent="0.2">
      <c r="A168" s="8" t="s">
        <v>70</v>
      </c>
      <c r="B168" s="20">
        <f>SUMIFS('Registre de reserves'!$V$2:$V$1178,'Registre de reserves'!$T$2:$T$1178,"NO",'Registre de reserves'!$I$2:$I$1178,'2024'!$A168,'Registre de reserves'!$B$2:$B$1178,'2024'!B$2,Tabla1[ANY],'2024'!$Z$150)</f>
        <v>0</v>
      </c>
      <c r="C168" s="21">
        <f t="shared" si="167"/>
        <v>0</v>
      </c>
      <c r="D168" s="20">
        <f>SUMIFS('Registre de reserves'!$V$2:$V$1178,'Registre de reserves'!$T$2:$T$1178,"NO",'Registre de reserves'!$I$2:$I$1178,'2024'!$A168,'Registre de reserves'!$B$2:$B$1178,'2024'!D$2,Tabla1[ANY],'2024'!$Z$150)</f>
        <v>0</v>
      </c>
      <c r="E168" s="21">
        <f t="shared" si="167"/>
        <v>0</v>
      </c>
      <c r="F168" s="20">
        <f>SUMIFS('Registre de reserves'!$V$2:$V$1178,'Registre de reserves'!$T$2:$T$1178,"NO",'Registre de reserves'!$I$2:$I$1178,'2024'!$A168,'Registre de reserves'!$B$2:$B$1178,'2024'!F$2,Tabla1[ANY],'2024'!$Z$150)</f>
        <v>0</v>
      </c>
      <c r="G168" s="21">
        <f t="shared" si="157"/>
        <v>0</v>
      </c>
      <c r="H168" s="20">
        <f>SUMIFS('Registre de reserves'!$V$2:$V$1178,'Registre de reserves'!$T$2:$T$1178,"NO",'Registre de reserves'!$I$2:$I$1178,'2024'!$A168,'Registre de reserves'!$B$2:$B$1178,'2024'!H$2,Tabla1[ANY],'2024'!$Z$150)</f>
        <v>0</v>
      </c>
      <c r="I168" s="21">
        <f t="shared" si="158"/>
        <v>0</v>
      </c>
      <c r="J168" s="20">
        <f>SUMIFS('Registre de reserves'!$V$2:$V$1178,'Registre de reserves'!$T$2:$T$1178,"NO",'Registre de reserves'!$I$2:$I$1178,'2024'!$A168,'Registre de reserves'!$B$2:$B$1178,'2024'!J$2,Tabla1[ANY],'2024'!$Z$150)</f>
        <v>0</v>
      </c>
      <c r="K168" s="21">
        <f t="shared" si="159"/>
        <v>0</v>
      </c>
      <c r="L168" s="20">
        <f>SUMIFS('Registre de reserves'!$V$2:$V$1178,'Registre de reserves'!$T$2:$T$1178,"NO",'Registre de reserves'!$I$2:$I$1178,'2024'!$A168,'Registre de reserves'!$B$2:$B$1178,'2024'!L$2,Tabla1[ANY],'2024'!$Z$150)</f>
        <v>0</v>
      </c>
      <c r="M168" s="21">
        <f t="shared" si="160"/>
        <v>0</v>
      </c>
      <c r="N168" s="20">
        <f>SUMIFS('Registre de reserves'!$V$2:$V$1178,'Registre de reserves'!$T$2:$T$1178,"NO",'Registre de reserves'!$I$2:$I$1178,'2024'!$A168,'Registre de reserves'!$B$2:$B$1178,'2024'!N$2,Tabla1[ANY],'2024'!$Z$150)</f>
        <v>0</v>
      </c>
      <c r="O168" s="21">
        <f t="shared" si="161"/>
        <v>0</v>
      </c>
      <c r="P168" s="20">
        <f>SUMIFS('Registre de reserves'!$V$2:$V$1178,'Registre de reserves'!$T$2:$T$1178,"NO",'Registre de reserves'!$I$2:$I$1178,'2024'!$A168,'Registre de reserves'!$B$2:$B$1178,'2024'!P$2,Tabla1[ANY],'2024'!$Z$150)</f>
        <v>0</v>
      </c>
      <c r="Q168" s="21">
        <f t="shared" si="162"/>
        <v>0</v>
      </c>
      <c r="R168" s="20">
        <f>SUMIFS('Registre de reserves'!$V$2:$V$1178,'Registre de reserves'!$T$2:$T$1178,"NO",'Registre de reserves'!$I$2:$I$1178,'2024'!$A168,'Registre de reserves'!$B$2:$B$1178,'2024'!R$2,Tabla1[ANY],'2024'!$Z$150)</f>
        <v>0</v>
      </c>
      <c r="S168" s="21">
        <f t="shared" si="163"/>
        <v>0</v>
      </c>
      <c r="T168" s="20">
        <f>SUMIFS('Registre de reserves'!$V$2:$V$1178,'Registre de reserves'!$T$2:$T$1178,"NO",'Registre de reserves'!$I$2:$I$1178,'2024'!$A168,'Registre de reserves'!$B$2:$B$1178,'2024'!T$2,Tabla1[ANY],'2024'!$Z$150)</f>
        <v>0</v>
      </c>
      <c r="U168" s="21">
        <f t="shared" si="164"/>
        <v>0</v>
      </c>
      <c r="V168" s="20">
        <f>SUMIFS('Registre de reserves'!$V$2:$V$1178,'Registre de reserves'!$T$2:$T$1178,"NO",'Registre de reserves'!$I$2:$I$1178,'2024'!$A168,'Registre de reserves'!$B$2:$B$1178,'2024'!V$2,Tabla1[ANY],'2024'!$Z$150)</f>
        <v>0</v>
      </c>
      <c r="W168" s="21">
        <f t="shared" si="165"/>
        <v>0</v>
      </c>
      <c r="X168" s="20">
        <f>SUMIFS('Registre de reserves'!$V$2:$V$1178,'Registre de reserves'!$T$2:$T$1178,"NO",'Registre de reserves'!$I$2:$I$1178,'2024'!$A168,'Registre de reserves'!$B$2:$B$1178,'2024'!X$2,Tabla1[ANY],'2024'!$Z$150)</f>
        <v>0</v>
      </c>
      <c r="Y168" s="21">
        <f t="shared" si="166"/>
        <v>0</v>
      </c>
      <c r="Z168" s="20">
        <f t="shared" si="168"/>
        <v>0</v>
      </c>
      <c r="AA168" s="21">
        <f t="shared" si="169"/>
        <v>0</v>
      </c>
    </row>
    <row r="169" spans="1:27" hidden="1" outlineLevel="1" x14ac:dyDescent="0.2">
      <c r="A169" s="8" t="s">
        <v>73</v>
      </c>
      <c r="B169" s="20">
        <f>SUMIFS('Registre de reserves'!$V$2:$V$1178,'Registre de reserves'!$T$2:$T$1178,"NO",'Registre de reserves'!$I$2:$I$1178,'2024'!$A169,'Registre de reserves'!$B$2:$B$1178,'2024'!B$2,Tabla1[ANY],'2024'!$Z$150)</f>
        <v>0</v>
      </c>
      <c r="C169" s="21">
        <f t="shared" si="167"/>
        <v>0</v>
      </c>
      <c r="D169" s="20">
        <f>SUMIFS('Registre de reserves'!$V$2:$V$1178,'Registre de reserves'!$T$2:$T$1178,"NO",'Registre de reserves'!$I$2:$I$1178,'2024'!$A169,'Registre de reserves'!$B$2:$B$1178,'2024'!D$2,Tabla1[ANY],'2024'!$Z$150)</f>
        <v>0</v>
      </c>
      <c r="E169" s="21">
        <f t="shared" si="167"/>
        <v>0</v>
      </c>
      <c r="F169" s="20">
        <f>SUMIFS('Registre de reserves'!$V$2:$V$1178,'Registre de reserves'!$T$2:$T$1178,"NO",'Registre de reserves'!$I$2:$I$1178,'2024'!$A169,'Registre de reserves'!$B$2:$B$1178,'2024'!F$2,Tabla1[ANY],'2024'!$Z$150)</f>
        <v>0</v>
      </c>
      <c r="G169" s="21">
        <f t="shared" si="157"/>
        <v>0</v>
      </c>
      <c r="H169" s="20">
        <f>SUMIFS('Registre de reserves'!$V$2:$V$1178,'Registre de reserves'!$T$2:$T$1178,"NO",'Registre de reserves'!$I$2:$I$1178,'2024'!$A169,'Registre de reserves'!$B$2:$B$1178,'2024'!H$2,Tabla1[ANY],'2024'!$Z$150)</f>
        <v>0</v>
      </c>
      <c r="I169" s="21">
        <f t="shared" si="158"/>
        <v>0</v>
      </c>
      <c r="J169" s="20">
        <f>SUMIFS('Registre de reserves'!$V$2:$V$1178,'Registre de reserves'!$T$2:$T$1178,"NO",'Registre de reserves'!$I$2:$I$1178,'2024'!$A169,'Registre de reserves'!$B$2:$B$1178,'2024'!J$2,Tabla1[ANY],'2024'!$Z$150)</f>
        <v>0</v>
      </c>
      <c r="K169" s="21">
        <f t="shared" si="159"/>
        <v>0</v>
      </c>
      <c r="L169" s="20">
        <f>SUMIFS('Registre de reserves'!$V$2:$V$1178,'Registre de reserves'!$T$2:$T$1178,"NO",'Registre de reserves'!$I$2:$I$1178,'2024'!$A169,'Registre de reserves'!$B$2:$B$1178,'2024'!L$2,Tabla1[ANY],'2024'!$Z$150)</f>
        <v>0</v>
      </c>
      <c r="M169" s="21">
        <f t="shared" si="160"/>
        <v>0</v>
      </c>
      <c r="N169" s="20">
        <f>SUMIFS('Registre de reserves'!$V$2:$V$1178,'Registre de reserves'!$T$2:$T$1178,"NO",'Registre de reserves'!$I$2:$I$1178,'2024'!$A169,'Registre de reserves'!$B$2:$B$1178,'2024'!N$2,Tabla1[ANY],'2024'!$Z$150)</f>
        <v>0</v>
      </c>
      <c r="O169" s="21">
        <f t="shared" si="161"/>
        <v>0</v>
      </c>
      <c r="P169" s="20">
        <f>SUMIFS('Registre de reserves'!$V$2:$V$1178,'Registre de reserves'!$T$2:$T$1178,"NO",'Registre de reserves'!$I$2:$I$1178,'2024'!$A169,'Registre de reserves'!$B$2:$B$1178,'2024'!P$2,Tabla1[ANY],'2024'!$Z$150)</f>
        <v>0</v>
      </c>
      <c r="Q169" s="21">
        <f t="shared" si="162"/>
        <v>0</v>
      </c>
      <c r="R169" s="20">
        <f>SUMIFS('Registre de reserves'!$V$2:$V$1178,'Registre de reserves'!$T$2:$T$1178,"NO",'Registre de reserves'!$I$2:$I$1178,'2024'!$A169,'Registre de reserves'!$B$2:$B$1178,'2024'!R$2,Tabla1[ANY],'2024'!$Z$150)</f>
        <v>0</v>
      </c>
      <c r="S169" s="21">
        <f t="shared" si="163"/>
        <v>0</v>
      </c>
      <c r="T169" s="20">
        <f>SUMIFS('Registre de reserves'!$V$2:$V$1178,'Registre de reserves'!$T$2:$T$1178,"NO",'Registre de reserves'!$I$2:$I$1178,'2024'!$A169,'Registre de reserves'!$B$2:$B$1178,'2024'!T$2,Tabla1[ANY],'2024'!$Z$150)</f>
        <v>0</v>
      </c>
      <c r="U169" s="21">
        <f t="shared" si="164"/>
        <v>0</v>
      </c>
      <c r="V169" s="20">
        <f>SUMIFS('Registre de reserves'!$V$2:$V$1178,'Registre de reserves'!$T$2:$T$1178,"NO",'Registre de reserves'!$I$2:$I$1178,'2024'!$A169,'Registre de reserves'!$B$2:$B$1178,'2024'!V$2,Tabla1[ANY],'2024'!$Z$150)</f>
        <v>0</v>
      </c>
      <c r="W169" s="21">
        <f t="shared" si="165"/>
        <v>0</v>
      </c>
      <c r="X169" s="20">
        <f>SUMIFS('Registre de reserves'!$V$2:$V$1178,'Registre de reserves'!$T$2:$T$1178,"NO",'Registre de reserves'!$I$2:$I$1178,'2024'!$A169,'Registre de reserves'!$B$2:$B$1178,'2024'!X$2,Tabla1[ANY],'2024'!$Z$150)</f>
        <v>0</v>
      </c>
      <c r="Y169" s="21">
        <f t="shared" si="166"/>
        <v>0</v>
      </c>
      <c r="Z169" s="20">
        <f t="shared" si="168"/>
        <v>0</v>
      </c>
      <c r="AA169" s="21">
        <f t="shared" si="169"/>
        <v>0</v>
      </c>
    </row>
    <row r="170" spans="1:27" collapsed="1" x14ac:dyDescent="0.2">
      <c r="A170" s="33" t="s">
        <v>75</v>
      </c>
      <c r="B170" s="22">
        <f>SUM(B171:B178)</f>
        <v>200</v>
      </c>
      <c r="C170" s="19">
        <f>IF(B$151=0,0,B170/B$151)</f>
        <v>6.4620355411954766E-2</v>
      </c>
      <c r="D170" s="22">
        <f>SUM(D171:D178)</f>
        <v>610</v>
      </c>
      <c r="E170" s="19">
        <f>IF(D$151=0,0,D170/D$151)</f>
        <v>0.19152276295133439</v>
      </c>
      <c r="F170" s="22">
        <f>SUM(F171:F178)</f>
        <v>180</v>
      </c>
      <c r="G170" s="19">
        <f>IF(F$151=0,0,F170/F$151)</f>
        <v>9.4488188976377951E-2</v>
      </c>
      <c r="H170" s="22">
        <f>SUM(H171:H178)</f>
        <v>360</v>
      </c>
      <c r="I170" s="19">
        <f>IF(H$151=0,0,H170/H$151)</f>
        <v>0.1575492341356674</v>
      </c>
      <c r="J170" s="22">
        <f>SUM(J171:J178)</f>
        <v>180</v>
      </c>
      <c r="K170" s="19">
        <f>IF(J$151=0,0,J170/J$151)</f>
        <v>6.9364161849710976E-2</v>
      </c>
      <c r="L170" s="22">
        <f>SUM(L171:L178)</f>
        <v>100</v>
      </c>
      <c r="M170" s="19">
        <f>IF(L$151=0,0,L170/L$151)</f>
        <v>3.8461538461538464E-2</v>
      </c>
      <c r="N170" s="22">
        <f>SUM(N171:N178)</f>
        <v>120</v>
      </c>
      <c r="O170" s="19">
        <f>IF(N$151=0,0,N170/N$151)</f>
        <v>5.3452115812917596E-2</v>
      </c>
      <c r="P170" s="22">
        <f>SUM(P171:P178)</f>
        <v>80</v>
      </c>
      <c r="Q170" s="19">
        <f>IF(P$151=0,0,P170/P$151)</f>
        <v>4.8192771084337352E-2</v>
      </c>
      <c r="R170" s="22">
        <f>SUM(R171:R178)</f>
        <v>60</v>
      </c>
      <c r="S170" s="19">
        <f>IF(R$151=0,0,R170/R$151)</f>
        <v>3.3707865168539325E-2</v>
      </c>
      <c r="T170" s="22">
        <f>SUM(T171:T178)</f>
        <v>120</v>
      </c>
      <c r="U170" s="19">
        <f>IF(T$151=0,0,T170/T$151)</f>
        <v>5.1724137931034482E-2</v>
      </c>
      <c r="V170" s="22">
        <f>SUM(V171:V178)</f>
        <v>200</v>
      </c>
      <c r="W170" s="19">
        <f>IF(V$151=0,0,V170/V$151)</f>
        <v>7.4906367041198504E-2</v>
      </c>
      <c r="X170" s="22">
        <f>SUM(X171:X178)</f>
        <v>220</v>
      </c>
      <c r="Y170" s="19">
        <f>IF(X$151=0,0,X170/X$151)</f>
        <v>4.4715447154471545E-2</v>
      </c>
      <c r="Z170" s="22">
        <f>SUM(Z171:Z178)</f>
        <v>2430</v>
      </c>
      <c r="AA170" s="19">
        <f>IF(Z$3=0,0,Z170/Z$3)</f>
        <v>4.4049669174295293E-2</v>
      </c>
    </row>
    <row r="171" spans="1:27" hidden="1" outlineLevel="1" x14ac:dyDescent="0.2">
      <c r="A171" s="8" t="s">
        <v>67</v>
      </c>
      <c r="B171" s="23">
        <f>SUMIFS('Registre de reserves'!$X$2:$X$1178,'Registre de reserves'!$T$2:$T$1178,"SI",'Registre de reserves'!$I$2:$I$1178,'2024'!$A171,'Registre de reserves'!$B$2:$B$1178,'2024'!B$2,Tabla1[ANY],'2024'!$Z$150)</f>
        <v>0</v>
      </c>
      <c r="C171" s="21">
        <f>IF(B$170=0,0,B171/B$170)</f>
        <v>0</v>
      </c>
      <c r="D171" s="23">
        <f>SUMIFS('Registre de reserves'!$X$2:$X$1178,'Registre de reserves'!$T$2:$T$1178,"SI",'Registre de reserves'!$I$2:$I$1178,'2024'!$A171,'Registre de reserves'!$B$2:$B$1178,'2024'!D$2,Tabla1[ANY],'2024'!$Z$150)</f>
        <v>0</v>
      </c>
      <c r="E171" s="21">
        <f>IF(D$170=0,0,D171/D$170)</f>
        <v>0</v>
      </c>
      <c r="F171" s="23">
        <f>SUMIFS('Registre de reserves'!$X$2:$X$1178,'Registre de reserves'!$T$2:$T$1178,"SI",'Registre de reserves'!$I$2:$I$1178,'2024'!$A171,'Registre de reserves'!$B$2:$B$1178,'2024'!F$2,Tabla1[ANY],'2024'!$Z$150)</f>
        <v>0</v>
      </c>
      <c r="G171" s="21">
        <f t="shared" ref="G171:G178" si="170">IF(F$170=0,0,F171/F$170)</f>
        <v>0</v>
      </c>
      <c r="H171" s="23">
        <f>SUMIFS('Registre de reserves'!$X$2:$X$1178,'Registre de reserves'!$T$2:$T$1178,"SI",'Registre de reserves'!$I$2:$I$1178,'2024'!$A171,'Registre de reserves'!$B$2:$B$1178,'2024'!H$2,Tabla1[ANY],'2024'!$Z$150)</f>
        <v>0</v>
      </c>
      <c r="I171" s="21">
        <f t="shared" ref="I171:I178" si="171">IF(H$170=0,0,H171/H$170)</f>
        <v>0</v>
      </c>
      <c r="J171" s="23">
        <f>SUMIFS('Registre de reserves'!$X$2:$X$1178,'Registre de reserves'!$T$2:$T$1178,"SI",'Registre de reserves'!$I$2:$I$1178,'2024'!$A171,'Registre de reserves'!$B$2:$B$1178,'2024'!J$2,Tabla1[ANY],'2024'!$Z$150)</f>
        <v>0</v>
      </c>
      <c r="K171" s="21">
        <f t="shared" ref="K171:K178" si="172">IF(J$170=0,0,J171/J$170)</f>
        <v>0</v>
      </c>
      <c r="L171" s="23">
        <f>SUMIFS('Registre de reserves'!$X$2:$X$1178,'Registre de reserves'!$T$2:$T$1178,"SI",'Registre de reserves'!$I$2:$I$1178,'2024'!$A171,'Registre de reserves'!$B$2:$B$1178,'2024'!L$2,Tabla1[ANY],'2024'!$Z$150)</f>
        <v>0</v>
      </c>
      <c r="M171" s="21">
        <f t="shared" ref="M171:M178" si="173">IF(L$170=0,0,L171/L$170)</f>
        <v>0</v>
      </c>
      <c r="N171" s="23">
        <f>SUMIFS('Registre de reserves'!$X$2:$X$1178,'Registre de reserves'!$T$2:$T$1178,"SI",'Registre de reserves'!$I$2:$I$1178,'2024'!$A171,'Registre de reserves'!$B$2:$B$1178,'2024'!N$2,Tabla1[ANY],'2024'!$Z$150)</f>
        <v>0</v>
      </c>
      <c r="O171" s="21">
        <f t="shared" ref="O171:O178" si="174">IF(N$170=0,0,N171/N$170)</f>
        <v>0</v>
      </c>
      <c r="P171" s="23">
        <f>SUMIFS('Registre de reserves'!$X$2:$X$1178,'Registre de reserves'!$T$2:$T$1178,"SI",'Registre de reserves'!$I$2:$I$1178,'2024'!$A171,'Registre de reserves'!$B$2:$B$1178,'2024'!P$2,Tabla1[ANY],'2024'!$Z$150)</f>
        <v>0</v>
      </c>
      <c r="Q171" s="21">
        <f t="shared" ref="Q171:Q178" si="175">IF(P$170=0,0,P171/P$170)</f>
        <v>0</v>
      </c>
      <c r="R171" s="23">
        <f>SUMIFS('Registre de reserves'!$X$2:$X$1178,'Registre de reserves'!$T$2:$T$1178,"SI",'Registre de reserves'!$I$2:$I$1178,'2024'!$A171,'Registre de reserves'!$B$2:$B$1178,'2024'!R$2,Tabla1[ANY],'2024'!$Z$150)</f>
        <v>0</v>
      </c>
      <c r="S171" s="21">
        <f t="shared" ref="S171:S178" si="176">IF(R$170=0,0,R171/R$170)</f>
        <v>0</v>
      </c>
      <c r="T171" s="23">
        <f>SUMIFS('Registre de reserves'!$X$2:$X$1178,'Registre de reserves'!$T$2:$T$1178,"SI",'Registre de reserves'!$I$2:$I$1178,'2024'!$A171,'Registre de reserves'!$B$2:$B$1178,'2024'!T$2,Tabla1[ANY],'2024'!$Z$150)</f>
        <v>0</v>
      </c>
      <c r="U171" s="21">
        <f t="shared" ref="U171:U178" si="177">IF(T$170=0,0,T171/T$170)</f>
        <v>0</v>
      </c>
      <c r="V171" s="23">
        <f>SUMIFS('Registre de reserves'!$X$2:$X$1178,'Registre de reserves'!$T$2:$T$1178,"SI",'Registre de reserves'!$I$2:$I$1178,'2024'!$A171,'Registre de reserves'!$B$2:$B$1178,'2024'!V$2,Tabla1[ANY],'2024'!$Z$150)</f>
        <v>20</v>
      </c>
      <c r="W171" s="21">
        <f t="shared" ref="W171:W178" si="178">IF(V$170=0,0,V171/V$170)</f>
        <v>0.1</v>
      </c>
      <c r="X171" s="23">
        <f>SUMIFS('Registre de reserves'!$X$2:$X$1178,'Registre de reserves'!$T$2:$T$1178,"SI",'Registre de reserves'!$I$2:$I$1178,'2024'!$A171,'Registre de reserves'!$B$2:$B$1178,'2024'!X$2,Tabla1[ANY],'2024'!$Z$150)</f>
        <v>0</v>
      </c>
      <c r="Y171" s="21">
        <f t="shared" ref="Y171:Y178" si="179">IF(X$170=0,0,X171/X$170)</f>
        <v>0</v>
      </c>
      <c r="Z171" s="20">
        <f t="shared" si="168"/>
        <v>20</v>
      </c>
      <c r="AA171" s="21">
        <f>IF(Z$22=0,0,Z171/Z$22)</f>
        <v>5.5248618784530384E-3</v>
      </c>
    </row>
    <row r="172" spans="1:27" hidden="1" outlineLevel="1" x14ac:dyDescent="0.2">
      <c r="A172" s="8" t="s">
        <v>68</v>
      </c>
      <c r="B172" s="23">
        <f>SUMIFS('Registre de reserves'!$X$2:$X$1178,'Registre de reserves'!$T$2:$T$1178,"SI",'Registre de reserves'!$I$2:$I$1178,'2024'!$A172,'Registre de reserves'!$B$2:$B$1178,'2024'!B$2,Tabla1[ANY],'2024'!$Z$150)</f>
        <v>20</v>
      </c>
      <c r="C172" s="21">
        <f t="shared" ref="C172:E178" si="180">IF(B$170=0,0,B172/B$170)</f>
        <v>0.1</v>
      </c>
      <c r="D172" s="23">
        <f>SUMIFS('Registre de reserves'!$X$2:$X$1178,'Registre de reserves'!$T$2:$T$1178,"SI",'Registre de reserves'!$I$2:$I$1178,'2024'!$A172,'Registre de reserves'!$B$2:$B$1178,'2024'!D$2,Tabla1[ANY],'2024'!$Z$150)</f>
        <v>10</v>
      </c>
      <c r="E172" s="21">
        <f t="shared" si="180"/>
        <v>1.6393442622950821E-2</v>
      </c>
      <c r="F172" s="23">
        <f>SUMIFS('Registre de reserves'!$X$2:$X$1178,'Registre de reserves'!$T$2:$T$1178,"SI",'Registre de reserves'!$I$2:$I$1178,'2024'!$A172,'Registre de reserves'!$B$2:$B$1178,'2024'!F$2,Tabla1[ANY],'2024'!$Z$150)</f>
        <v>0</v>
      </c>
      <c r="G172" s="21">
        <f t="shared" si="170"/>
        <v>0</v>
      </c>
      <c r="H172" s="23">
        <f>SUMIFS('Registre de reserves'!$X$2:$X$1178,'Registre de reserves'!$T$2:$T$1178,"SI",'Registre de reserves'!$I$2:$I$1178,'2024'!$A172,'Registre de reserves'!$B$2:$B$1178,'2024'!H$2,Tabla1[ANY],'2024'!$Z$150)</f>
        <v>10</v>
      </c>
      <c r="I172" s="21">
        <f t="shared" si="171"/>
        <v>2.7777777777777776E-2</v>
      </c>
      <c r="J172" s="23">
        <f>SUMIFS('Registre de reserves'!$X$2:$X$1178,'Registre de reserves'!$T$2:$T$1178,"SI",'Registre de reserves'!$I$2:$I$1178,'2024'!$A172,'Registre de reserves'!$B$2:$B$1178,'2024'!J$2,Tabla1[ANY],'2024'!$Z$150)</f>
        <v>0</v>
      </c>
      <c r="K172" s="21">
        <f t="shared" si="172"/>
        <v>0</v>
      </c>
      <c r="L172" s="23">
        <f>SUMIFS('Registre de reserves'!$X$2:$X$1178,'Registre de reserves'!$T$2:$T$1178,"SI",'Registre de reserves'!$I$2:$I$1178,'2024'!$A172,'Registre de reserves'!$B$2:$B$1178,'2024'!L$2,Tabla1[ANY],'2024'!$Z$150)</f>
        <v>20</v>
      </c>
      <c r="M172" s="21">
        <f t="shared" si="173"/>
        <v>0.2</v>
      </c>
      <c r="N172" s="23">
        <f>SUMIFS('Registre de reserves'!$X$2:$X$1178,'Registre de reserves'!$T$2:$T$1178,"SI",'Registre de reserves'!$I$2:$I$1178,'2024'!$A172,'Registre de reserves'!$B$2:$B$1178,'2024'!N$2,Tabla1[ANY],'2024'!$Z$150)</f>
        <v>0</v>
      </c>
      <c r="O172" s="21">
        <f t="shared" si="174"/>
        <v>0</v>
      </c>
      <c r="P172" s="23">
        <f>SUMIFS('Registre de reserves'!$X$2:$X$1178,'Registre de reserves'!$T$2:$T$1178,"SI",'Registre de reserves'!$I$2:$I$1178,'2024'!$A172,'Registre de reserves'!$B$2:$B$1178,'2024'!P$2,Tabla1[ANY],'2024'!$Z$150)</f>
        <v>20</v>
      </c>
      <c r="Q172" s="21">
        <f t="shared" si="175"/>
        <v>0.25</v>
      </c>
      <c r="R172" s="23">
        <f>SUMIFS('Registre de reserves'!$X$2:$X$1178,'Registre de reserves'!$T$2:$T$1178,"SI",'Registre de reserves'!$I$2:$I$1178,'2024'!$A172,'Registre de reserves'!$B$2:$B$1178,'2024'!R$2,Tabla1[ANY],'2024'!$Z$150)</f>
        <v>0</v>
      </c>
      <c r="S172" s="21">
        <f t="shared" si="176"/>
        <v>0</v>
      </c>
      <c r="T172" s="23">
        <f>SUMIFS('Registre de reserves'!$X$2:$X$1178,'Registre de reserves'!$T$2:$T$1178,"SI",'Registre de reserves'!$I$2:$I$1178,'2024'!$A172,'Registre de reserves'!$B$2:$B$1178,'2024'!T$2,Tabla1[ANY],'2024'!$Z$150)</f>
        <v>0</v>
      </c>
      <c r="U172" s="21">
        <f t="shared" si="177"/>
        <v>0</v>
      </c>
      <c r="V172" s="23">
        <f>SUMIFS('Registre de reserves'!$X$2:$X$1178,'Registre de reserves'!$T$2:$T$1178,"SI",'Registre de reserves'!$I$2:$I$1178,'2024'!$A172,'Registre de reserves'!$B$2:$B$1178,'2024'!V$2,Tabla1[ANY],'2024'!$Z$150)</f>
        <v>0</v>
      </c>
      <c r="W172" s="21">
        <f t="shared" si="178"/>
        <v>0</v>
      </c>
      <c r="X172" s="23">
        <f>SUMIFS('Registre de reserves'!$X$2:$X$1178,'Registre de reserves'!$T$2:$T$1178,"SI",'Registre de reserves'!$I$2:$I$1178,'2024'!$A172,'Registre de reserves'!$B$2:$B$1178,'2024'!X$2,Tabla1[ANY],'2024'!$Z$150)</f>
        <v>0</v>
      </c>
      <c r="Y172" s="21">
        <f t="shared" si="179"/>
        <v>0</v>
      </c>
      <c r="Z172" s="20">
        <f t="shared" si="168"/>
        <v>80</v>
      </c>
      <c r="AA172" s="21">
        <f t="shared" ref="AA172:AA178" si="181">IF(Z$22=0,0,Z172/Z$22)</f>
        <v>2.2099447513812154E-2</v>
      </c>
    </row>
    <row r="173" spans="1:27" hidden="1" outlineLevel="1" x14ac:dyDescent="0.2">
      <c r="A173" s="8" t="s">
        <v>4</v>
      </c>
      <c r="B173" s="23">
        <f>SUMIFS('Registre de reserves'!$X$2:$X$1178,'Registre de reserves'!$T$2:$T$1178,"SI",'Registre de reserves'!$I$2:$I$1178,'2024'!$A173,'Registre de reserves'!$B$2:$B$1178,'2024'!B$2,Tabla1[ANY],'2024'!$Z$150)</f>
        <v>0</v>
      </c>
      <c r="C173" s="21">
        <f t="shared" si="180"/>
        <v>0</v>
      </c>
      <c r="D173" s="23">
        <f>SUMIFS('Registre de reserves'!$X$2:$X$1178,'Registre de reserves'!$T$2:$T$1178,"SI",'Registre de reserves'!$I$2:$I$1178,'2024'!$A173,'Registre de reserves'!$B$2:$B$1178,'2024'!D$2,Tabla1[ANY],'2024'!$Z$150)</f>
        <v>0</v>
      </c>
      <c r="E173" s="21">
        <f t="shared" si="180"/>
        <v>0</v>
      </c>
      <c r="F173" s="23">
        <f>SUMIFS('Registre de reserves'!$X$2:$X$1178,'Registre de reserves'!$T$2:$T$1178,"SI",'Registre de reserves'!$I$2:$I$1178,'2024'!$A173,'Registre de reserves'!$B$2:$B$1178,'2024'!F$2,Tabla1[ANY],'2024'!$Z$150)</f>
        <v>0</v>
      </c>
      <c r="G173" s="21">
        <f t="shared" si="170"/>
        <v>0</v>
      </c>
      <c r="H173" s="23">
        <f>SUMIFS('Registre de reserves'!$X$2:$X$1178,'Registre de reserves'!$T$2:$T$1178,"SI",'Registre de reserves'!$I$2:$I$1178,'2024'!$A173,'Registre de reserves'!$B$2:$B$1178,'2024'!H$2,Tabla1[ANY],'2024'!$Z$150)</f>
        <v>0</v>
      </c>
      <c r="I173" s="21">
        <f t="shared" si="171"/>
        <v>0</v>
      </c>
      <c r="J173" s="23">
        <f>SUMIFS('Registre de reserves'!$X$2:$X$1178,'Registre de reserves'!$T$2:$T$1178,"SI",'Registre de reserves'!$I$2:$I$1178,'2024'!$A173,'Registre de reserves'!$B$2:$B$1178,'2024'!J$2,Tabla1[ANY],'2024'!$Z$150)</f>
        <v>0</v>
      </c>
      <c r="K173" s="21">
        <f t="shared" si="172"/>
        <v>0</v>
      </c>
      <c r="L173" s="23">
        <f>SUMIFS('Registre de reserves'!$X$2:$X$1178,'Registre de reserves'!$T$2:$T$1178,"SI",'Registre de reserves'!$I$2:$I$1178,'2024'!$A173,'Registre de reserves'!$B$2:$B$1178,'2024'!L$2,Tabla1[ANY],'2024'!$Z$150)</f>
        <v>0</v>
      </c>
      <c r="M173" s="21">
        <f t="shared" si="173"/>
        <v>0</v>
      </c>
      <c r="N173" s="23">
        <f>SUMIFS('Registre de reserves'!$X$2:$X$1178,'Registre de reserves'!$T$2:$T$1178,"SI",'Registre de reserves'!$I$2:$I$1178,'2024'!$A173,'Registre de reserves'!$B$2:$B$1178,'2024'!N$2,Tabla1[ANY],'2024'!$Z$150)</f>
        <v>0</v>
      </c>
      <c r="O173" s="21">
        <f t="shared" si="174"/>
        <v>0</v>
      </c>
      <c r="P173" s="23">
        <f>SUMIFS('Registre de reserves'!$X$2:$X$1178,'Registre de reserves'!$T$2:$T$1178,"SI",'Registre de reserves'!$I$2:$I$1178,'2024'!$A173,'Registre de reserves'!$B$2:$B$1178,'2024'!P$2,Tabla1[ANY],'2024'!$Z$150)</f>
        <v>0</v>
      </c>
      <c r="Q173" s="21">
        <f t="shared" si="175"/>
        <v>0</v>
      </c>
      <c r="R173" s="23">
        <f>SUMIFS('Registre de reserves'!$X$2:$X$1178,'Registre de reserves'!$T$2:$T$1178,"SI",'Registre de reserves'!$I$2:$I$1178,'2024'!$A173,'Registre de reserves'!$B$2:$B$1178,'2024'!R$2,Tabla1[ANY],'2024'!$Z$150)</f>
        <v>0</v>
      </c>
      <c r="S173" s="21">
        <f t="shared" si="176"/>
        <v>0</v>
      </c>
      <c r="T173" s="23">
        <f>SUMIFS('Registre de reserves'!$X$2:$X$1178,'Registre de reserves'!$T$2:$T$1178,"SI",'Registre de reserves'!$I$2:$I$1178,'2024'!$A173,'Registre de reserves'!$B$2:$B$1178,'2024'!T$2,Tabla1[ANY],'2024'!$Z$150)</f>
        <v>0</v>
      </c>
      <c r="U173" s="21">
        <f t="shared" si="177"/>
        <v>0</v>
      </c>
      <c r="V173" s="23">
        <f>SUMIFS('Registre de reserves'!$X$2:$X$1178,'Registre de reserves'!$T$2:$T$1178,"SI",'Registre de reserves'!$I$2:$I$1178,'2024'!$A173,'Registre de reserves'!$B$2:$B$1178,'2024'!V$2,Tabla1[ANY],'2024'!$Z$150)</f>
        <v>0</v>
      </c>
      <c r="W173" s="21">
        <f t="shared" si="178"/>
        <v>0</v>
      </c>
      <c r="X173" s="23">
        <f>SUMIFS('Registre de reserves'!$X$2:$X$1178,'Registre de reserves'!$T$2:$T$1178,"SI",'Registre de reserves'!$I$2:$I$1178,'2024'!$A173,'Registre de reserves'!$B$2:$B$1178,'2024'!X$2,Tabla1[ANY],'2024'!$Z$150)</f>
        <v>0</v>
      </c>
      <c r="Y173" s="21">
        <f t="shared" si="179"/>
        <v>0</v>
      </c>
      <c r="Z173" s="20">
        <f t="shared" si="168"/>
        <v>0</v>
      </c>
      <c r="AA173" s="21">
        <f t="shared" si="181"/>
        <v>0</v>
      </c>
    </row>
    <row r="174" spans="1:27" hidden="1" outlineLevel="1" x14ac:dyDescent="0.2">
      <c r="A174" s="8" t="s">
        <v>71</v>
      </c>
      <c r="B174" s="23">
        <f>SUMIFS('Registre de reserves'!$X$2:$X$1178,'Registre de reserves'!$T$2:$T$1178,"SI",'Registre de reserves'!$I$2:$I$1178,'2024'!$A174,'Registre de reserves'!$B$2:$B$1178,'2024'!B$2,Tabla1[ANY],'2024'!$Z$150)</f>
        <v>0</v>
      </c>
      <c r="C174" s="21">
        <f t="shared" si="180"/>
        <v>0</v>
      </c>
      <c r="D174" s="23">
        <f>SUMIFS('Registre de reserves'!$X$2:$X$1178,'Registre de reserves'!$T$2:$T$1178,"SI",'Registre de reserves'!$I$2:$I$1178,'2024'!$A174,'Registre de reserves'!$B$2:$B$1178,'2024'!D$2,Tabla1[ANY],'2024'!$Z$150)</f>
        <v>0</v>
      </c>
      <c r="E174" s="21">
        <f t="shared" si="180"/>
        <v>0</v>
      </c>
      <c r="F174" s="23">
        <f>SUMIFS('Registre de reserves'!$X$2:$X$1178,'Registre de reserves'!$T$2:$T$1178,"SI",'Registre de reserves'!$I$2:$I$1178,'2024'!$A174,'Registre de reserves'!$B$2:$B$1178,'2024'!F$2,Tabla1[ANY],'2024'!$Z$150)</f>
        <v>0</v>
      </c>
      <c r="G174" s="21">
        <f t="shared" si="170"/>
        <v>0</v>
      </c>
      <c r="H174" s="23">
        <f>SUMIFS('Registre de reserves'!$X$2:$X$1178,'Registre de reserves'!$T$2:$T$1178,"SI",'Registre de reserves'!$I$2:$I$1178,'2024'!$A174,'Registre de reserves'!$B$2:$B$1178,'2024'!H$2,Tabla1[ANY],'2024'!$Z$150)</f>
        <v>0</v>
      </c>
      <c r="I174" s="21">
        <f t="shared" si="171"/>
        <v>0</v>
      </c>
      <c r="J174" s="23">
        <f>SUMIFS('Registre de reserves'!$X$2:$X$1178,'Registre de reserves'!$T$2:$T$1178,"SI",'Registre de reserves'!$I$2:$I$1178,'2024'!$A174,'Registre de reserves'!$B$2:$B$1178,'2024'!J$2,Tabla1[ANY],'2024'!$Z$150)</f>
        <v>0</v>
      </c>
      <c r="K174" s="21">
        <f t="shared" si="172"/>
        <v>0</v>
      </c>
      <c r="L174" s="23">
        <f>SUMIFS('Registre de reserves'!$X$2:$X$1178,'Registre de reserves'!$T$2:$T$1178,"SI",'Registre de reserves'!$I$2:$I$1178,'2024'!$A174,'Registre de reserves'!$B$2:$B$1178,'2024'!L$2,Tabla1[ANY],'2024'!$Z$150)</f>
        <v>0</v>
      </c>
      <c r="M174" s="21">
        <f t="shared" si="173"/>
        <v>0</v>
      </c>
      <c r="N174" s="23">
        <f>SUMIFS('Registre de reserves'!$X$2:$X$1178,'Registre de reserves'!$T$2:$T$1178,"SI",'Registre de reserves'!$I$2:$I$1178,'2024'!$A174,'Registre de reserves'!$B$2:$B$1178,'2024'!N$2,Tabla1[ANY],'2024'!$Z$150)</f>
        <v>0</v>
      </c>
      <c r="O174" s="21">
        <f t="shared" si="174"/>
        <v>0</v>
      </c>
      <c r="P174" s="23">
        <f>SUMIFS('Registre de reserves'!$X$2:$X$1178,'Registre de reserves'!$T$2:$T$1178,"SI",'Registre de reserves'!$I$2:$I$1178,'2024'!$A174,'Registre de reserves'!$B$2:$B$1178,'2024'!P$2,Tabla1[ANY],'2024'!$Z$150)</f>
        <v>0</v>
      </c>
      <c r="Q174" s="21">
        <f t="shared" si="175"/>
        <v>0</v>
      </c>
      <c r="R174" s="23">
        <f>SUMIFS('Registre de reserves'!$X$2:$X$1178,'Registre de reserves'!$T$2:$T$1178,"SI",'Registre de reserves'!$I$2:$I$1178,'2024'!$A174,'Registre de reserves'!$B$2:$B$1178,'2024'!R$2,Tabla1[ANY],'2024'!$Z$150)</f>
        <v>0</v>
      </c>
      <c r="S174" s="21">
        <f t="shared" si="176"/>
        <v>0</v>
      </c>
      <c r="T174" s="23">
        <f>SUMIFS('Registre de reserves'!$X$2:$X$1178,'Registre de reserves'!$T$2:$T$1178,"SI",'Registre de reserves'!$I$2:$I$1178,'2024'!$A174,'Registre de reserves'!$B$2:$B$1178,'2024'!T$2,Tabla1[ANY],'2024'!$Z$150)</f>
        <v>0</v>
      </c>
      <c r="U174" s="21">
        <f t="shared" si="177"/>
        <v>0</v>
      </c>
      <c r="V174" s="23">
        <f>SUMIFS('Registre de reserves'!$X$2:$X$1178,'Registre de reserves'!$T$2:$T$1178,"SI",'Registre de reserves'!$I$2:$I$1178,'2024'!$A174,'Registre de reserves'!$B$2:$B$1178,'2024'!V$2,Tabla1[ANY],'2024'!$Z$150)</f>
        <v>0</v>
      </c>
      <c r="W174" s="21">
        <f t="shared" si="178"/>
        <v>0</v>
      </c>
      <c r="X174" s="23">
        <f>SUMIFS('Registre de reserves'!$X$2:$X$1178,'Registre de reserves'!$T$2:$T$1178,"SI",'Registre de reserves'!$I$2:$I$1178,'2024'!$A174,'Registre de reserves'!$B$2:$B$1178,'2024'!X$2,Tabla1[ANY],'2024'!$Z$150)</f>
        <v>0</v>
      </c>
      <c r="Y174" s="21">
        <f t="shared" si="179"/>
        <v>0</v>
      </c>
      <c r="Z174" s="20">
        <f t="shared" si="168"/>
        <v>0</v>
      </c>
      <c r="AA174" s="21">
        <f t="shared" si="181"/>
        <v>0</v>
      </c>
    </row>
    <row r="175" spans="1:27" hidden="1" outlineLevel="1" x14ac:dyDescent="0.2">
      <c r="A175" s="8" t="s">
        <v>72</v>
      </c>
      <c r="B175" s="23">
        <f>SUMIFS('Registre de reserves'!$X$2:$X$1178,'Registre de reserves'!$T$2:$T$1178,"SI",'Registre de reserves'!$I$2:$I$1178,'2024'!$A175,'Registre de reserves'!$B$2:$B$1178,'2024'!B$2,Tabla1[ANY],'2024'!$Z$150)</f>
        <v>0</v>
      </c>
      <c r="C175" s="21">
        <f t="shared" si="180"/>
        <v>0</v>
      </c>
      <c r="D175" s="23">
        <f>SUMIFS('Registre de reserves'!$X$2:$X$1178,'Registre de reserves'!$T$2:$T$1178,"SI",'Registre de reserves'!$I$2:$I$1178,'2024'!$A175,'Registre de reserves'!$B$2:$B$1178,'2024'!D$2,Tabla1[ANY],'2024'!$Z$150)</f>
        <v>0</v>
      </c>
      <c r="E175" s="21">
        <f t="shared" si="180"/>
        <v>0</v>
      </c>
      <c r="F175" s="23">
        <f>SUMIFS('Registre de reserves'!$X$2:$X$1178,'Registre de reserves'!$T$2:$T$1178,"SI",'Registre de reserves'!$I$2:$I$1178,'2024'!$A175,'Registre de reserves'!$B$2:$B$1178,'2024'!F$2,Tabla1[ANY],'2024'!$Z$150)</f>
        <v>0</v>
      </c>
      <c r="G175" s="21">
        <f t="shared" si="170"/>
        <v>0</v>
      </c>
      <c r="H175" s="23">
        <f>SUMIFS('Registre de reserves'!$X$2:$X$1178,'Registre de reserves'!$T$2:$T$1178,"SI",'Registre de reserves'!$I$2:$I$1178,'2024'!$A175,'Registre de reserves'!$B$2:$B$1178,'2024'!H$2,Tabla1[ANY],'2024'!$Z$150)</f>
        <v>0</v>
      </c>
      <c r="I175" s="21">
        <f t="shared" si="171"/>
        <v>0</v>
      </c>
      <c r="J175" s="23">
        <f>SUMIFS('Registre de reserves'!$X$2:$X$1178,'Registre de reserves'!$T$2:$T$1178,"SI",'Registre de reserves'!$I$2:$I$1178,'2024'!$A175,'Registre de reserves'!$B$2:$B$1178,'2024'!J$2,Tabla1[ANY],'2024'!$Z$150)</f>
        <v>0</v>
      </c>
      <c r="K175" s="21">
        <f t="shared" si="172"/>
        <v>0</v>
      </c>
      <c r="L175" s="23">
        <f>SUMIFS('Registre de reserves'!$X$2:$X$1178,'Registre de reserves'!$T$2:$T$1178,"SI",'Registre de reserves'!$I$2:$I$1178,'2024'!$A175,'Registre de reserves'!$B$2:$B$1178,'2024'!L$2,Tabla1[ANY],'2024'!$Z$150)</f>
        <v>0</v>
      </c>
      <c r="M175" s="21">
        <f t="shared" si="173"/>
        <v>0</v>
      </c>
      <c r="N175" s="23">
        <f>SUMIFS('Registre de reserves'!$X$2:$X$1178,'Registre de reserves'!$T$2:$T$1178,"SI",'Registre de reserves'!$I$2:$I$1178,'2024'!$A175,'Registre de reserves'!$B$2:$B$1178,'2024'!N$2,Tabla1[ANY],'2024'!$Z$150)</f>
        <v>0</v>
      </c>
      <c r="O175" s="21">
        <f t="shared" si="174"/>
        <v>0</v>
      </c>
      <c r="P175" s="23">
        <f>SUMIFS('Registre de reserves'!$X$2:$X$1178,'Registre de reserves'!$T$2:$T$1178,"SI",'Registre de reserves'!$I$2:$I$1178,'2024'!$A175,'Registre de reserves'!$B$2:$B$1178,'2024'!P$2,Tabla1[ANY],'2024'!$Z$150)</f>
        <v>0</v>
      </c>
      <c r="Q175" s="21">
        <f t="shared" si="175"/>
        <v>0</v>
      </c>
      <c r="R175" s="23">
        <f>SUMIFS('Registre de reserves'!$X$2:$X$1178,'Registre de reserves'!$T$2:$T$1178,"SI",'Registre de reserves'!$I$2:$I$1178,'2024'!$A175,'Registre de reserves'!$B$2:$B$1178,'2024'!R$2,Tabla1[ANY],'2024'!$Z$150)</f>
        <v>0</v>
      </c>
      <c r="S175" s="21">
        <f t="shared" si="176"/>
        <v>0</v>
      </c>
      <c r="T175" s="23">
        <f>SUMIFS('Registre de reserves'!$X$2:$X$1178,'Registre de reserves'!$T$2:$T$1178,"SI",'Registre de reserves'!$I$2:$I$1178,'2024'!$A175,'Registre de reserves'!$B$2:$B$1178,'2024'!T$2,Tabla1[ANY],'2024'!$Z$150)</f>
        <v>0</v>
      </c>
      <c r="U175" s="21">
        <f t="shared" si="177"/>
        <v>0</v>
      </c>
      <c r="V175" s="23">
        <f>SUMIFS('Registre de reserves'!$X$2:$X$1178,'Registre de reserves'!$T$2:$T$1178,"SI",'Registre de reserves'!$I$2:$I$1178,'2024'!$A175,'Registre de reserves'!$B$2:$B$1178,'2024'!V$2,Tabla1[ANY],'2024'!$Z$150)</f>
        <v>0</v>
      </c>
      <c r="W175" s="21">
        <f t="shared" si="178"/>
        <v>0</v>
      </c>
      <c r="X175" s="23">
        <f>SUMIFS('Registre de reserves'!$X$2:$X$1178,'Registre de reserves'!$T$2:$T$1178,"SI",'Registre de reserves'!$I$2:$I$1178,'2024'!$A175,'Registre de reserves'!$B$2:$B$1178,'2024'!X$2,Tabla1[ANY],'2024'!$Z$150)</f>
        <v>0</v>
      </c>
      <c r="Y175" s="21">
        <f t="shared" si="179"/>
        <v>0</v>
      </c>
      <c r="Z175" s="20">
        <f t="shared" si="168"/>
        <v>0</v>
      </c>
      <c r="AA175" s="21">
        <f t="shared" si="181"/>
        <v>0</v>
      </c>
    </row>
    <row r="176" spans="1:27" hidden="1" outlineLevel="1" x14ac:dyDescent="0.2">
      <c r="A176" s="8" t="s">
        <v>69</v>
      </c>
      <c r="B176" s="23">
        <f>SUMIFS('Registre de reserves'!$X$2:$X$1178,'Registre de reserves'!$T$2:$T$1178,"SI",'Registre de reserves'!$I$2:$I$1178,'2024'!$A176,'Registre de reserves'!$B$2:$B$1178,'2024'!B$2,Tabla1[ANY],'2024'!$Z$150)</f>
        <v>120</v>
      </c>
      <c r="C176" s="21">
        <f t="shared" si="180"/>
        <v>0.6</v>
      </c>
      <c r="D176" s="23">
        <f>SUMIFS('Registre de reserves'!$X$2:$X$1178,'Registre de reserves'!$T$2:$T$1178,"SI",'Registre de reserves'!$I$2:$I$1178,'2024'!$A176,'Registre de reserves'!$B$2:$B$1178,'2024'!D$2,Tabla1[ANY],'2024'!$Z$150)</f>
        <v>600</v>
      </c>
      <c r="E176" s="21">
        <f t="shared" si="180"/>
        <v>0.98360655737704916</v>
      </c>
      <c r="F176" s="23">
        <f>SUMIFS('Registre de reserves'!$X$2:$X$1178,'Registre de reserves'!$T$2:$T$1178,"SI",'Registre de reserves'!$I$2:$I$1178,'2024'!$A176,'Registre de reserves'!$B$2:$B$1178,'2024'!F$2,Tabla1[ANY],'2024'!$Z$150)</f>
        <v>180</v>
      </c>
      <c r="G176" s="21">
        <f t="shared" si="170"/>
        <v>1</v>
      </c>
      <c r="H176" s="23">
        <f>SUMIFS('Registre de reserves'!$X$2:$X$1178,'Registre de reserves'!$T$2:$T$1178,"SI",'Registre de reserves'!$I$2:$I$1178,'2024'!$A176,'Registre de reserves'!$B$2:$B$1178,'2024'!H$2,Tabla1[ANY],'2024'!$Z$150)</f>
        <v>350</v>
      </c>
      <c r="I176" s="21">
        <f t="shared" si="171"/>
        <v>0.97222222222222221</v>
      </c>
      <c r="J176" s="23">
        <f>SUMIFS('Registre de reserves'!$X$2:$X$1178,'Registre de reserves'!$T$2:$T$1178,"SI",'Registre de reserves'!$I$2:$I$1178,'2024'!$A176,'Registre de reserves'!$B$2:$B$1178,'2024'!J$2,Tabla1[ANY],'2024'!$Z$150)</f>
        <v>180</v>
      </c>
      <c r="K176" s="21">
        <f t="shared" si="172"/>
        <v>1</v>
      </c>
      <c r="L176" s="23">
        <f>SUMIFS('Registre de reserves'!$X$2:$X$1178,'Registre de reserves'!$T$2:$T$1178,"SI",'Registre de reserves'!$I$2:$I$1178,'2024'!$A176,'Registre de reserves'!$B$2:$B$1178,'2024'!L$2,Tabla1[ANY],'2024'!$Z$150)</f>
        <v>0</v>
      </c>
      <c r="M176" s="21">
        <f t="shared" si="173"/>
        <v>0</v>
      </c>
      <c r="N176" s="23">
        <f>SUMIFS('Registre de reserves'!$X$2:$X$1178,'Registre de reserves'!$T$2:$T$1178,"SI",'Registre de reserves'!$I$2:$I$1178,'2024'!$A176,'Registre de reserves'!$B$2:$B$1178,'2024'!N$2,Tabla1[ANY],'2024'!$Z$150)</f>
        <v>120</v>
      </c>
      <c r="O176" s="21">
        <f t="shared" si="174"/>
        <v>1</v>
      </c>
      <c r="P176" s="23">
        <f>SUMIFS('Registre de reserves'!$X$2:$X$1178,'Registre de reserves'!$T$2:$T$1178,"SI",'Registre de reserves'!$I$2:$I$1178,'2024'!$A176,'Registre de reserves'!$B$2:$B$1178,'2024'!P$2,Tabla1[ANY],'2024'!$Z$150)</f>
        <v>60</v>
      </c>
      <c r="Q176" s="21">
        <f t="shared" si="175"/>
        <v>0.75</v>
      </c>
      <c r="R176" s="23">
        <f>SUMIFS('Registre de reserves'!$X$2:$X$1178,'Registre de reserves'!$T$2:$T$1178,"SI",'Registre de reserves'!$I$2:$I$1178,'2024'!$A176,'Registre de reserves'!$B$2:$B$1178,'2024'!R$2,Tabla1[ANY],'2024'!$Z$150)</f>
        <v>60</v>
      </c>
      <c r="S176" s="21">
        <f t="shared" si="176"/>
        <v>1</v>
      </c>
      <c r="T176" s="23">
        <f>SUMIFS('Registre de reserves'!$X$2:$X$1178,'Registre de reserves'!$T$2:$T$1178,"SI",'Registre de reserves'!$I$2:$I$1178,'2024'!$A176,'Registre de reserves'!$B$2:$B$1178,'2024'!T$2,Tabla1[ANY],'2024'!$Z$150)</f>
        <v>120</v>
      </c>
      <c r="U176" s="21">
        <f t="shared" si="177"/>
        <v>1</v>
      </c>
      <c r="V176" s="23">
        <f>SUMIFS('Registre de reserves'!$X$2:$X$1178,'Registre de reserves'!$T$2:$T$1178,"SI",'Registre de reserves'!$I$2:$I$1178,'2024'!$A176,'Registre de reserves'!$B$2:$B$1178,'2024'!V$2,Tabla1[ANY],'2024'!$Z$150)</f>
        <v>180</v>
      </c>
      <c r="W176" s="21">
        <f t="shared" si="178"/>
        <v>0.9</v>
      </c>
      <c r="X176" s="23">
        <f>SUMIFS('Registre de reserves'!$X$2:$X$1178,'Registre de reserves'!$T$2:$T$1178,"SI",'Registre de reserves'!$I$2:$I$1178,'2024'!$A176,'Registre de reserves'!$B$2:$B$1178,'2024'!X$2,Tabla1[ANY],'2024'!$Z$150)</f>
        <v>220</v>
      </c>
      <c r="Y176" s="21">
        <f t="shared" si="179"/>
        <v>1</v>
      </c>
      <c r="Z176" s="20">
        <f t="shared" si="168"/>
        <v>2190</v>
      </c>
      <c r="AA176" s="21">
        <f t="shared" si="181"/>
        <v>0.60497237569060769</v>
      </c>
    </row>
    <row r="177" spans="1:27" hidden="1" outlineLevel="1" x14ac:dyDescent="0.2">
      <c r="A177" s="8" t="s">
        <v>70</v>
      </c>
      <c r="B177" s="23">
        <f>SUMIFS('Registre de reserves'!$X$2:$X$1178,'Registre de reserves'!$T$2:$T$1178,"SI",'Registre de reserves'!$I$2:$I$1178,'2024'!$A177,'Registre de reserves'!$B$2:$B$1178,'2024'!B$2,Tabla1[ANY],'2024'!$Z$150)</f>
        <v>60</v>
      </c>
      <c r="C177" s="21">
        <f t="shared" si="180"/>
        <v>0.3</v>
      </c>
      <c r="D177" s="23">
        <f>SUMIFS('Registre de reserves'!$X$2:$X$1178,'Registre de reserves'!$T$2:$T$1178,"SI",'Registre de reserves'!$I$2:$I$1178,'2024'!$A177,'Registre de reserves'!$B$2:$B$1178,'2024'!D$2,Tabla1[ANY],'2024'!$Z$150)</f>
        <v>0</v>
      </c>
      <c r="E177" s="21">
        <f t="shared" si="180"/>
        <v>0</v>
      </c>
      <c r="F177" s="23">
        <f>SUMIFS('Registre de reserves'!$X$2:$X$1178,'Registre de reserves'!$T$2:$T$1178,"SI",'Registre de reserves'!$I$2:$I$1178,'2024'!$A177,'Registre de reserves'!$B$2:$B$1178,'2024'!F$2,Tabla1[ANY],'2024'!$Z$150)</f>
        <v>0</v>
      </c>
      <c r="G177" s="21">
        <f t="shared" si="170"/>
        <v>0</v>
      </c>
      <c r="H177" s="23">
        <f>SUMIFS('Registre de reserves'!$X$2:$X$1178,'Registre de reserves'!$T$2:$T$1178,"SI",'Registre de reserves'!$I$2:$I$1178,'2024'!$A177,'Registre de reserves'!$B$2:$B$1178,'2024'!H$2,Tabla1[ANY],'2024'!$Z$150)</f>
        <v>0</v>
      </c>
      <c r="I177" s="21">
        <f t="shared" si="171"/>
        <v>0</v>
      </c>
      <c r="J177" s="23">
        <f>SUMIFS('Registre de reserves'!$X$2:$X$1178,'Registre de reserves'!$T$2:$T$1178,"SI",'Registre de reserves'!$I$2:$I$1178,'2024'!$A177,'Registre de reserves'!$B$2:$B$1178,'2024'!J$2,Tabla1[ANY],'2024'!$Z$150)</f>
        <v>0</v>
      </c>
      <c r="K177" s="21">
        <f t="shared" si="172"/>
        <v>0</v>
      </c>
      <c r="L177" s="23">
        <f>SUMIFS('Registre de reserves'!$X$2:$X$1178,'Registre de reserves'!$T$2:$T$1178,"SI",'Registre de reserves'!$I$2:$I$1178,'2024'!$A177,'Registre de reserves'!$B$2:$B$1178,'2024'!L$2,Tabla1[ANY],'2024'!$Z$150)</f>
        <v>60</v>
      </c>
      <c r="M177" s="21">
        <f t="shared" si="173"/>
        <v>0.6</v>
      </c>
      <c r="N177" s="23">
        <f>SUMIFS('Registre de reserves'!$X$2:$X$1178,'Registre de reserves'!$T$2:$T$1178,"SI",'Registre de reserves'!$I$2:$I$1178,'2024'!$A177,'Registre de reserves'!$B$2:$B$1178,'2024'!N$2,Tabla1[ANY],'2024'!$Z$150)</f>
        <v>0</v>
      </c>
      <c r="O177" s="21">
        <f t="shared" si="174"/>
        <v>0</v>
      </c>
      <c r="P177" s="23">
        <f>SUMIFS('Registre de reserves'!$X$2:$X$1178,'Registre de reserves'!$T$2:$T$1178,"SI",'Registre de reserves'!$I$2:$I$1178,'2024'!$A177,'Registre de reserves'!$B$2:$B$1178,'2024'!P$2,Tabla1[ANY],'2024'!$Z$150)</f>
        <v>0</v>
      </c>
      <c r="Q177" s="21">
        <f t="shared" si="175"/>
        <v>0</v>
      </c>
      <c r="R177" s="23">
        <f>SUMIFS('Registre de reserves'!$X$2:$X$1178,'Registre de reserves'!$T$2:$T$1178,"SI",'Registre de reserves'!$I$2:$I$1178,'2024'!$A177,'Registre de reserves'!$B$2:$B$1178,'2024'!R$2,Tabla1[ANY],'2024'!$Z$150)</f>
        <v>0</v>
      </c>
      <c r="S177" s="21">
        <f t="shared" si="176"/>
        <v>0</v>
      </c>
      <c r="T177" s="23">
        <f>SUMIFS('Registre de reserves'!$X$2:$X$1178,'Registre de reserves'!$T$2:$T$1178,"SI",'Registre de reserves'!$I$2:$I$1178,'2024'!$A177,'Registre de reserves'!$B$2:$B$1178,'2024'!T$2,Tabla1[ANY],'2024'!$Z$150)</f>
        <v>0</v>
      </c>
      <c r="U177" s="21">
        <f t="shared" si="177"/>
        <v>0</v>
      </c>
      <c r="V177" s="23">
        <f>SUMIFS('Registre de reserves'!$X$2:$X$1178,'Registre de reserves'!$T$2:$T$1178,"SI",'Registre de reserves'!$I$2:$I$1178,'2024'!$A177,'Registre de reserves'!$B$2:$B$1178,'2024'!V$2,Tabla1[ANY],'2024'!$Z$150)</f>
        <v>0</v>
      </c>
      <c r="W177" s="21">
        <f t="shared" si="178"/>
        <v>0</v>
      </c>
      <c r="X177" s="23">
        <f>SUMIFS('Registre de reserves'!$X$2:$X$1178,'Registre de reserves'!$T$2:$T$1178,"SI",'Registre de reserves'!$I$2:$I$1178,'2024'!$A177,'Registre de reserves'!$B$2:$B$1178,'2024'!X$2,Tabla1[ANY],'2024'!$Z$150)</f>
        <v>0</v>
      </c>
      <c r="Y177" s="21">
        <f t="shared" si="179"/>
        <v>0</v>
      </c>
      <c r="Z177" s="20">
        <f t="shared" si="168"/>
        <v>120</v>
      </c>
      <c r="AA177" s="21">
        <f t="shared" si="181"/>
        <v>3.3149171270718231E-2</v>
      </c>
    </row>
    <row r="178" spans="1:27" hidden="1" outlineLevel="1" x14ac:dyDescent="0.2">
      <c r="A178" s="8" t="s">
        <v>73</v>
      </c>
      <c r="B178" s="23">
        <f>SUMIFS('Registre de reserves'!$X$2:$X$1178,'Registre de reserves'!$T$2:$T$1178,"SI",'Registre de reserves'!$I$2:$I$1178,'2024'!$A178,'Registre de reserves'!$B$2:$B$1178,'2024'!B$2,Tabla1[ANY],'2024'!$Z$150)</f>
        <v>0</v>
      </c>
      <c r="C178" s="21">
        <f t="shared" si="180"/>
        <v>0</v>
      </c>
      <c r="D178" s="23">
        <f>SUMIFS('Registre de reserves'!$X$2:$X$1178,'Registre de reserves'!$T$2:$T$1178,"SI",'Registre de reserves'!$I$2:$I$1178,'2024'!$A178,'Registre de reserves'!$B$2:$B$1178,'2024'!D$2,Tabla1[ANY],'2024'!$Z$150)</f>
        <v>0</v>
      </c>
      <c r="E178" s="21">
        <f t="shared" si="180"/>
        <v>0</v>
      </c>
      <c r="F178" s="23">
        <f>SUMIFS('Registre de reserves'!$X$2:$X$1178,'Registre de reserves'!$T$2:$T$1178,"SI",'Registre de reserves'!$I$2:$I$1178,'2024'!$A178,'Registre de reserves'!$B$2:$B$1178,'2024'!F$2,Tabla1[ANY],'2024'!$Z$150)</f>
        <v>0</v>
      </c>
      <c r="G178" s="21">
        <f t="shared" si="170"/>
        <v>0</v>
      </c>
      <c r="H178" s="23">
        <f>SUMIFS('Registre de reserves'!$X$2:$X$1178,'Registre de reserves'!$T$2:$T$1178,"SI",'Registre de reserves'!$I$2:$I$1178,'2024'!$A178,'Registre de reserves'!$B$2:$B$1178,'2024'!H$2,Tabla1[ANY],'2024'!$Z$150)</f>
        <v>0</v>
      </c>
      <c r="I178" s="21">
        <f t="shared" si="171"/>
        <v>0</v>
      </c>
      <c r="J178" s="23">
        <f>SUMIFS('Registre de reserves'!$X$2:$X$1178,'Registre de reserves'!$T$2:$T$1178,"SI",'Registre de reserves'!$I$2:$I$1178,'2024'!$A178,'Registre de reserves'!$B$2:$B$1178,'2024'!J$2,Tabla1[ANY],'2024'!$Z$150)</f>
        <v>0</v>
      </c>
      <c r="K178" s="21">
        <f t="shared" si="172"/>
        <v>0</v>
      </c>
      <c r="L178" s="23">
        <f>SUMIFS('Registre de reserves'!$X$2:$X$1178,'Registre de reserves'!$T$2:$T$1178,"SI",'Registre de reserves'!$I$2:$I$1178,'2024'!$A178,'Registre de reserves'!$B$2:$B$1178,'2024'!L$2,Tabla1[ANY],'2024'!$Z$150)</f>
        <v>20</v>
      </c>
      <c r="M178" s="21">
        <f t="shared" si="173"/>
        <v>0.2</v>
      </c>
      <c r="N178" s="23">
        <f>SUMIFS('Registre de reserves'!$X$2:$X$1178,'Registre de reserves'!$T$2:$T$1178,"SI",'Registre de reserves'!$I$2:$I$1178,'2024'!$A178,'Registre de reserves'!$B$2:$B$1178,'2024'!N$2,Tabla1[ANY],'2024'!$Z$150)</f>
        <v>0</v>
      </c>
      <c r="O178" s="21">
        <f t="shared" si="174"/>
        <v>0</v>
      </c>
      <c r="P178" s="23">
        <f>SUMIFS('Registre de reserves'!$X$2:$X$1178,'Registre de reserves'!$T$2:$T$1178,"SI",'Registre de reserves'!$I$2:$I$1178,'2024'!$A178,'Registre de reserves'!$B$2:$B$1178,'2024'!P$2,Tabla1[ANY],'2024'!$Z$150)</f>
        <v>0</v>
      </c>
      <c r="Q178" s="21">
        <f t="shared" si="175"/>
        <v>0</v>
      </c>
      <c r="R178" s="23">
        <f>SUMIFS('Registre de reserves'!$X$2:$X$1178,'Registre de reserves'!$T$2:$T$1178,"SI",'Registre de reserves'!$I$2:$I$1178,'2024'!$A178,'Registre de reserves'!$B$2:$B$1178,'2024'!R$2,Tabla1[ANY],'2024'!$Z$150)</f>
        <v>0</v>
      </c>
      <c r="S178" s="21">
        <f t="shared" si="176"/>
        <v>0</v>
      </c>
      <c r="T178" s="23">
        <f>SUMIFS('Registre de reserves'!$X$2:$X$1178,'Registre de reserves'!$T$2:$T$1178,"SI",'Registre de reserves'!$I$2:$I$1178,'2024'!$A178,'Registre de reserves'!$B$2:$B$1178,'2024'!T$2,Tabla1[ANY],'2024'!$Z$150)</f>
        <v>0</v>
      </c>
      <c r="U178" s="21">
        <f t="shared" si="177"/>
        <v>0</v>
      </c>
      <c r="V178" s="23">
        <f>SUMIFS('Registre de reserves'!$X$2:$X$1178,'Registre de reserves'!$T$2:$T$1178,"SI",'Registre de reserves'!$I$2:$I$1178,'2024'!$A178,'Registre de reserves'!$B$2:$B$1178,'2024'!V$2,Tabla1[ANY],'2024'!$Z$150)</f>
        <v>0</v>
      </c>
      <c r="W178" s="21">
        <f t="shared" si="178"/>
        <v>0</v>
      </c>
      <c r="X178" s="23">
        <f>SUMIFS('Registre de reserves'!$X$2:$X$1178,'Registre de reserves'!$T$2:$T$1178,"SI",'Registre de reserves'!$I$2:$I$1178,'2024'!$A178,'Registre de reserves'!$B$2:$B$1178,'2024'!X$2,Tabla1[ANY],'2024'!$Z$150)</f>
        <v>0</v>
      </c>
      <c r="Y178" s="21">
        <f t="shared" si="179"/>
        <v>0</v>
      </c>
      <c r="Z178" s="20">
        <f t="shared" si="168"/>
        <v>20</v>
      </c>
      <c r="AA178" s="21">
        <f t="shared" si="181"/>
        <v>5.5248618784530384E-3</v>
      </c>
    </row>
    <row r="179" spans="1:27" collapsed="1" x14ac:dyDescent="0.2">
      <c r="A179" s="33" t="s">
        <v>77</v>
      </c>
      <c r="B179" s="22">
        <f>SUM(B180:B187)</f>
        <v>0</v>
      </c>
      <c r="C179" s="19">
        <f>IF((B$161+B$179)=0,0,B179/(B$161+B$179))</f>
        <v>0</v>
      </c>
      <c r="D179" s="22">
        <f>SUM(D180:D187)</f>
        <v>0</v>
      </c>
      <c r="E179" s="19">
        <f>IF((D$161+D$179)=0,0,D179/(D$161+D$179))</f>
        <v>0</v>
      </c>
      <c r="F179" s="22">
        <f>SUM(F180:F187)</f>
        <v>0</v>
      </c>
      <c r="G179" s="19">
        <f>IF((F$161+F$179)=0,0,F179/(F$161+F$179))</f>
        <v>0</v>
      </c>
      <c r="H179" s="22">
        <f>SUM(H180:H187)</f>
        <v>0</v>
      </c>
      <c r="I179" s="19">
        <f>IF((H$161+H$179)=0,0,H179/(H$161+H$179))</f>
        <v>0</v>
      </c>
      <c r="J179" s="22">
        <f>SUM(J180:J187)</f>
        <v>0</v>
      </c>
      <c r="K179" s="19">
        <f>IF((J$161+J$179)=0,0,J179/(J$161+J$179))</f>
        <v>0</v>
      </c>
      <c r="L179" s="22">
        <f>SUM(L180:L187)</f>
        <v>0</v>
      </c>
      <c r="M179" s="19">
        <f>IF((L$161+L$179)=0,0,L179/(L$161+L$179))</f>
        <v>0</v>
      </c>
      <c r="N179" s="22">
        <f>SUM(N180:N187)</f>
        <v>0</v>
      </c>
      <c r="O179" s="19">
        <f>IF((N$161+N$179)=0,0,N179/(N$161+N$179))</f>
        <v>0</v>
      </c>
      <c r="P179" s="22">
        <f>SUM(P180:P187)</f>
        <v>0</v>
      </c>
      <c r="Q179" s="19">
        <f>IF((P$161+P$179)=0,0,P179/(P$161+P$179))</f>
        <v>0</v>
      </c>
      <c r="R179" s="22">
        <f>SUM(R180:R187)</f>
        <v>0</v>
      </c>
      <c r="S179" s="19">
        <f>IF((R$161+R$179)=0,0,R179/(R$161+R$179))</f>
        <v>0</v>
      </c>
      <c r="T179" s="22">
        <f>SUM(T180:T187)</f>
        <v>0</v>
      </c>
      <c r="U179" s="19">
        <f>IF((T$161+T$179)=0,0,T179/(T$161+T$179))</f>
        <v>0</v>
      </c>
      <c r="V179" s="22">
        <f>SUM(V180:V187)</f>
        <v>0</v>
      </c>
      <c r="W179" s="19">
        <f>IF((V$161+V$179)=0,0,V179/(V$161+V$179))</f>
        <v>0</v>
      </c>
      <c r="X179" s="22">
        <f>SUM(X180:X187)</f>
        <v>0</v>
      </c>
      <c r="Y179" s="19">
        <f>IF((X$161+X$179)=0,0,X179/(X$161+X$179))</f>
        <v>0</v>
      </c>
      <c r="Z179" s="22">
        <f>SUM(Z180:Z187)</f>
        <v>0</v>
      </c>
      <c r="AA179" s="19">
        <f>IF((Z$31+Z$13)=0,0,Z179/(Z$31+Z$13))</f>
        <v>0</v>
      </c>
    </row>
    <row r="180" spans="1:27" hidden="1" outlineLevel="1" x14ac:dyDescent="0.2">
      <c r="A180" s="8" t="s">
        <v>67</v>
      </c>
      <c r="B180" s="23">
        <f>SUMIFS('Registre de reserves'!$X$2:$X$1178,'Registre de reserves'!$T$2:$T$1178,"NO",'Registre de reserves'!$I$2:$I$1178,'2024'!$A180,'Registre de reserves'!$B$2:$B$1178,'2024'!B$2,Tabla1[ANY],'2024'!$Z$150)</f>
        <v>0</v>
      </c>
      <c r="C180" s="21">
        <f>IF(B$179=0,0,B180/B$179)</f>
        <v>0</v>
      </c>
      <c r="D180" s="23">
        <f>SUMIFS('Registre de reserves'!$X$2:$X$1178,'Registre de reserves'!$T$2:$T$1178,"NO",'Registre de reserves'!$I$2:$I$1178,'2024'!$A180,'Registre de reserves'!$B$2:$B$1178,'2024'!D$2,Tabla1[ANY],'2024'!$Z$150)</f>
        <v>0</v>
      </c>
      <c r="E180" s="21">
        <f>IF(D$179=0,0,D180/D$179)</f>
        <v>0</v>
      </c>
      <c r="F180" s="23">
        <f>SUMIFS('Registre de reserves'!$X$2:$X$1178,'Registre de reserves'!$T$2:$T$1178,"NO",'Registre de reserves'!$I$2:$I$1178,'2024'!$A180,'Registre de reserves'!$B$2:$B$1178,'2024'!F$2,Tabla1[ANY],'2024'!$Z$150)</f>
        <v>0</v>
      </c>
      <c r="G180" s="21">
        <f t="shared" ref="G180:G187" si="182">IF(F$179=0,0,F180/F$179)</f>
        <v>0</v>
      </c>
      <c r="H180" s="23">
        <f>SUMIFS('Registre de reserves'!$X$2:$X$1178,'Registre de reserves'!$T$2:$T$1178,"NO",'Registre de reserves'!$I$2:$I$1178,'2024'!$A180,'Registre de reserves'!$B$2:$B$1178,'2024'!H$2,Tabla1[ANY],'2024'!$Z$150)</f>
        <v>0</v>
      </c>
      <c r="I180" s="21">
        <f t="shared" ref="I180:I187" si="183">IF(H$179=0,0,H180/H$179)</f>
        <v>0</v>
      </c>
      <c r="J180" s="23">
        <f>SUMIFS('Registre de reserves'!$X$2:$X$1178,'Registre de reserves'!$T$2:$T$1178,"NO",'Registre de reserves'!$I$2:$I$1178,'2024'!$A180,'Registre de reserves'!$B$2:$B$1178,'2024'!J$2,Tabla1[ANY],'2024'!$Z$150)</f>
        <v>0</v>
      </c>
      <c r="K180" s="21">
        <f t="shared" ref="K180:K187" si="184">IF(J$179=0,0,J180/J$179)</f>
        <v>0</v>
      </c>
      <c r="L180" s="23">
        <f>SUMIFS('Registre de reserves'!$X$2:$X$1178,'Registre de reserves'!$T$2:$T$1178,"NO",'Registre de reserves'!$I$2:$I$1178,'2024'!$A180,'Registre de reserves'!$B$2:$B$1178,'2024'!L$2,Tabla1[ANY],'2024'!$Z$150)</f>
        <v>0</v>
      </c>
      <c r="M180" s="21">
        <f t="shared" ref="M180:M187" si="185">IF(L$179=0,0,L180/L$179)</f>
        <v>0</v>
      </c>
      <c r="N180" s="23">
        <f>SUMIFS('Registre de reserves'!$X$2:$X$1178,'Registre de reserves'!$T$2:$T$1178,"NO",'Registre de reserves'!$I$2:$I$1178,'2024'!$A180,'Registre de reserves'!$B$2:$B$1178,'2024'!N$2,Tabla1[ANY],'2024'!$Z$150)</f>
        <v>0</v>
      </c>
      <c r="O180" s="21">
        <f t="shared" ref="O180:O187" si="186">IF(N$179=0,0,N180/N$179)</f>
        <v>0</v>
      </c>
      <c r="P180" s="23">
        <f>SUMIFS('Registre de reserves'!$X$2:$X$1178,'Registre de reserves'!$T$2:$T$1178,"NO",'Registre de reserves'!$I$2:$I$1178,'2024'!$A180,'Registre de reserves'!$B$2:$B$1178,'2024'!P$2,Tabla1[ANY],'2024'!$Z$150)</f>
        <v>0</v>
      </c>
      <c r="Q180" s="21">
        <f t="shared" ref="Q180:Q187" si="187">IF(P$179=0,0,P180/P$179)</f>
        <v>0</v>
      </c>
      <c r="R180" s="23">
        <f>SUMIFS('Registre de reserves'!$X$2:$X$1178,'Registre de reserves'!$T$2:$T$1178,"NO",'Registre de reserves'!$I$2:$I$1178,'2024'!$A180,'Registre de reserves'!$B$2:$B$1178,'2024'!R$2,Tabla1[ANY],'2024'!$Z$150)</f>
        <v>0</v>
      </c>
      <c r="S180" s="21">
        <f t="shared" ref="S180:S187" si="188">IF(R$179=0,0,R180/R$179)</f>
        <v>0</v>
      </c>
      <c r="T180" s="23">
        <f>SUMIFS('Registre de reserves'!$X$2:$X$1178,'Registre de reserves'!$T$2:$T$1178,"NO",'Registre de reserves'!$I$2:$I$1178,'2024'!$A180,'Registre de reserves'!$B$2:$B$1178,'2024'!T$2,Tabla1[ANY],'2024'!$Z$150)</f>
        <v>0</v>
      </c>
      <c r="U180" s="21">
        <f t="shared" ref="U180:U187" si="189">IF(T$179=0,0,T180/T$179)</f>
        <v>0</v>
      </c>
      <c r="V180" s="23">
        <f>SUMIFS('Registre de reserves'!$X$2:$X$1178,'Registre de reserves'!$T$2:$T$1178,"NO",'Registre de reserves'!$I$2:$I$1178,'2024'!$A180,'Registre de reserves'!$B$2:$B$1178,'2024'!V$2,Tabla1[ANY],'2024'!$Z$150)</f>
        <v>0</v>
      </c>
      <c r="W180" s="21">
        <f t="shared" ref="W180:W187" si="190">IF(V$179=0,0,V180/V$179)</f>
        <v>0</v>
      </c>
      <c r="X180" s="23">
        <f>SUMIFS('Registre de reserves'!$X$2:$X$1178,'Registre de reserves'!$T$2:$T$1178,"NO",'Registre de reserves'!$I$2:$I$1178,'2024'!$A180,'Registre de reserves'!$B$2:$B$1178,'2024'!X$2,Tabla1[ANY],'2024'!$Z$150)</f>
        <v>0</v>
      </c>
      <c r="Y180" s="21">
        <f t="shared" ref="Y180:Y187" si="191">IF(X$179=0,0,X180/X$179)</f>
        <v>0</v>
      </c>
      <c r="Z180" s="20">
        <f t="shared" si="168"/>
        <v>0</v>
      </c>
      <c r="AA180" s="21">
        <f>IF(Z$31=0,0,Z180/Z$31)</f>
        <v>0</v>
      </c>
    </row>
    <row r="181" spans="1:27" hidden="1" outlineLevel="1" x14ac:dyDescent="0.2">
      <c r="A181" s="8" t="s">
        <v>68</v>
      </c>
      <c r="B181" s="23">
        <f>SUMIFS('Registre de reserves'!$X$2:$X$1178,'Registre de reserves'!$T$2:$T$1178,"NO",'Registre de reserves'!$I$2:$I$1178,'2024'!$A181,'Registre de reserves'!$B$2:$B$1178,'2024'!B$2,Tabla1[ANY],'2024'!$Z$150)</f>
        <v>0</v>
      </c>
      <c r="C181" s="21">
        <f t="shared" ref="C181:E187" si="192">IF(B$179=0,0,B181/B$179)</f>
        <v>0</v>
      </c>
      <c r="D181" s="23">
        <f>SUMIFS('Registre de reserves'!$X$2:$X$1178,'Registre de reserves'!$T$2:$T$1178,"NO",'Registre de reserves'!$I$2:$I$1178,'2024'!$A181,'Registre de reserves'!$B$2:$B$1178,'2024'!D$2,Tabla1[ANY],'2024'!$Z$150)</f>
        <v>0</v>
      </c>
      <c r="E181" s="21">
        <f t="shared" si="192"/>
        <v>0</v>
      </c>
      <c r="F181" s="23">
        <f>SUMIFS('Registre de reserves'!$X$2:$X$1178,'Registre de reserves'!$T$2:$T$1178,"NO",'Registre de reserves'!$I$2:$I$1178,'2024'!$A181,'Registre de reserves'!$B$2:$B$1178,'2024'!F$2,Tabla1[ANY],'2024'!$Z$150)</f>
        <v>0</v>
      </c>
      <c r="G181" s="21">
        <f t="shared" si="182"/>
        <v>0</v>
      </c>
      <c r="H181" s="23">
        <f>SUMIFS('Registre de reserves'!$X$2:$X$1178,'Registre de reserves'!$T$2:$T$1178,"NO",'Registre de reserves'!$I$2:$I$1178,'2024'!$A181,'Registre de reserves'!$B$2:$B$1178,'2024'!H$2,Tabla1[ANY],'2024'!$Z$150)</f>
        <v>0</v>
      </c>
      <c r="I181" s="21">
        <f t="shared" si="183"/>
        <v>0</v>
      </c>
      <c r="J181" s="23">
        <f>SUMIFS('Registre de reserves'!$X$2:$X$1178,'Registre de reserves'!$T$2:$T$1178,"NO",'Registre de reserves'!$I$2:$I$1178,'2024'!$A181,'Registre de reserves'!$B$2:$B$1178,'2024'!J$2,Tabla1[ANY],'2024'!$Z$150)</f>
        <v>0</v>
      </c>
      <c r="K181" s="21">
        <f t="shared" si="184"/>
        <v>0</v>
      </c>
      <c r="L181" s="23">
        <f>SUMIFS('Registre de reserves'!$X$2:$X$1178,'Registre de reserves'!$T$2:$T$1178,"NO",'Registre de reserves'!$I$2:$I$1178,'2024'!$A181,'Registre de reserves'!$B$2:$B$1178,'2024'!L$2,Tabla1[ANY],'2024'!$Z$150)</f>
        <v>0</v>
      </c>
      <c r="M181" s="21">
        <f t="shared" si="185"/>
        <v>0</v>
      </c>
      <c r="N181" s="23">
        <f>SUMIFS('Registre de reserves'!$X$2:$X$1178,'Registre de reserves'!$T$2:$T$1178,"NO",'Registre de reserves'!$I$2:$I$1178,'2024'!$A181,'Registre de reserves'!$B$2:$B$1178,'2024'!N$2,Tabla1[ANY],'2024'!$Z$150)</f>
        <v>0</v>
      </c>
      <c r="O181" s="21">
        <f t="shared" si="186"/>
        <v>0</v>
      </c>
      <c r="P181" s="23">
        <f>SUMIFS('Registre de reserves'!$X$2:$X$1178,'Registre de reserves'!$T$2:$T$1178,"NO",'Registre de reserves'!$I$2:$I$1178,'2024'!$A181,'Registre de reserves'!$B$2:$B$1178,'2024'!P$2,Tabla1[ANY],'2024'!$Z$150)</f>
        <v>0</v>
      </c>
      <c r="Q181" s="21">
        <f t="shared" si="187"/>
        <v>0</v>
      </c>
      <c r="R181" s="23">
        <f>SUMIFS('Registre de reserves'!$X$2:$X$1178,'Registre de reserves'!$T$2:$T$1178,"NO",'Registre de reserves'!$I$2:$I$1178,'2024'!$A181,'Registre de reserves'!$B$2:$B$1178,'2024'!R$2,Tabla1[ANY],'2024'!$Z$150)</f>
        <v>0</v>
      </c>
      <c r="S181" s="21">
        <f t="shared" si="188"/>
        <v>0</v>
      </c>
      <c r="T181" s="23">
        <f>SUMIFS('Registre de reserves'!$X$2:$X$1178,'Registre de reserves'!$T$2:$T$1178,"NO",'Registre de reserves'!$I$2:$I$1178,'2024'!$A181,'Registre de reserves'!$B$2:$B$1178,'2024'!T$2,Tabla1[ANY],'2024'!$Z$150)</f>
        <v>0</v>
      </c>
      <c r="U181" s="21">
        <f t="shared" si="189"/>
        <v>0</v>
      </c>
      <c r="V181" s="23">
        <f>SUMIFS('Registre de reserves'!$X$2:$X$1178,'Registre de reserves'!$T$2:$T$1178,"NO",'Registre de reserves'!$I$2:$I$1178,'2024'!$A181,'Registre de reserves'!$B$2:$B$1178,'2024'!V$2,Tabla1[ANY],'2024'!$Z$150)</f>
        <v>0</v>
      </c>
      <c r="W181" s="21">
        <f t="shared" si="190"/>
        <v>0</v>
      </c>
      <c r="X181" s="23">
        <f>SUMIFS('Registre de reserves'!$X$2:$X$1178,'Registre de reserves'!$T$2:$T$1178,"NO",'Registre de reserves'!$I$2:$I$1178,'2024'!$A181,'Registre de reserves'!$B$2:$B$1178,'2024'!X$2,Tabla1[ANY],'2024'!$Z$150)</f>
        <v>0</v>
      </c>
      <c r="Y181" s="21">
        <f t="shared" si="191"/>
        <v>0</v>
      </c>
      <c r="Z181" s="20">
        <f t="shared" si="168"/>
        <v>0</v>
      </c>
      <c r="AA181" s="21">
        <f t="shared" ref="AA181:AA187" si="193">IF(Z$31=0,0,Z181/Z$31)</f>
        <v>0</v>
      </c>
    </row>
    <row r="182" spans="1:27" hidden="1" outlineLevel="1" x14ac:dyDescent="0.2">
      <c r="A182" s="8" t="s">
        <v>4</v>
      </c>
      <c r="B182" s="23">
        <f>SUMIFS('Registre de reserves'!$X$2:$X$1178,'Registre de reserves'!$T$2:$T$1178,"NO",'Registre de reserves'!$I$2:$I$1178,'2024'!$A182,'Registre de reserves'!$B$2:$B$1178,'2024'!B$2,Tabla1[ANY],'2024'!$Z$150)</f>
        <v>0</v>
      </c>
      <c r="C182" s="21">
        <f t="shared" si="192"/>
        <v>0</v>
      </c>
      <c r="D182" s="23">
        <f>SUMIFS('Registre de reserves'!$X$2:$X$1178,'Registre de reserves'!$T$2:$T$1178,"NO",'Registre de reserves'!$I$2:$I$1178,'2024'!$A182,'Registre de reserves'!$B$2:$B$1178,'2024'!D$2,Tabla1[ANY],'2024'!$Z$150)</f>
        <v>0</v>
      </c>
      <c r="E182" s="21">
        <f t="shared" si="192"/>
        <v>0</v>
      </c>
      <c r="F182" s="23">
        <f>SUMIFS('Registre de reserves'!$X$2:$X$1178,'Registre de reserves'!$T$2:$T$1178,"NO",'Registre de reserves'!$I$2:$I$1178,'2024'!$A182,'Registre de reserves'!$B$2:$B$1178,'2024'!F$2,Tabla1[ANY],'2024'!$Z$150)</f>
        <v>0</v>
      </c>
      <c r="G182" s="21">
        <f t="shared" si="182"/>
        <v>0</v>
      </c>
      <c r="H182" s="23">
        <f>SUMIFS('Registre de reserves'!$X$2:$X$1178,'Registre de reserves'!$T$2:$T$1178,"NO",'Registre de reserves'!$I$2:$I$1178,'2024'!$A182,'Registre de reserves'!$B$2:$B$1178,'2024'!H$2,Tabla1[ANY],'2024'!$Z$150)</f>
        <v>0</v>
      </c>
      <c r="I182" s="21">
        <f t="shared" si="183"/>
        <v>0</v>
      </c>
      <c r="J182" s="23">
        <f>SUMIFS('Registre de reserves'!$X$2:$X$1178,'Registre de reserves'!$T$2:$T$1178,"NO",'Registre de reserves'!$I$2:$I$1178,'2024'!$A182,'Registre de reserves'!$B$2:$B$1178,'2024'!J$2,Tabla1[ANY],'2024'!$Z$150)</f>
        <v>0</v>
      </c>
      <c r="K182" s="21">
        <f t="shared" si="184"/>
        <v>0</v>
      </c>
      <c r="L182" s="23">
        <f>SUMIFS('Registre de reserves'!$X$2:$X$1178,'Registre de reserves'!$T$2:$T$1178,"NO",'Registre de reserves'!$I$2:$I$1178,'2024'!$A182,'Registre de reserves'!$B$2:$B$1178,'2024'!L$2,Tabla1[ANY],'2024'!$Z$150)</f>
        <v>0</v>
      </c>
      <c r="M182" s="21">
        <f t="shared" si="185"/>
        <v>0</v>
      </c>
      <c r="N182" s="23">
        <f>SUMIFS('Registre de reserves'!$X$2:$X$1178,'Registre de reserves'!$T$2:$T$1178,"NO",'Registre de reserves'!$I$2:$I$1178,'2024'!$A182,'Registre de reserves'!$B$2:$B$1178,'2024'!N$2,Tabla1[ANY],'2024'!$Z$150)</f>
        <v>0</v>
      </c>
      <c r="O182" s="21">
        <f t="shared" si="186"/>
        <v>0</v>
      </c>
      <c r="P182" s="23">
        <f>SUMIFS('Registre de reserves'!$X$2:$X$1178,'Registre de reserves'!$T$2:$T$1178,"NO",'Registre de reserves'!$I$2:$I$1178,'2024'!$A182,'Registre de reserves'!$B$2:$B$1178,'2024'!P$2,Tabla1[ANY],'2024'!$Z$150)</f>
        <v>0</v>
      </c>
      <c r="Q182" s="21">
        <f t="shared" si="187"/>
        <v>0</v>
      </c>
      <c r="R182" s="23">
        <f>SUMIFS('Registre de reserves'!$X$2:$X$1178,'Registre de reserves'!$T$2:$T$1178,"NO",'Registre de reserves'!$I$2:$I$1178,'2024'!$A182,'Registre de reserves'!$B$2:$B$1178,'2024'!R$2,Tabla1[ANY],'2024'!$Z$150)</f>
        <v>0</v>
      </c>
      <c r="S182" s="21">
        <f t="shared" si="188"/>
        <v>0</v>
      </c>
      <c r="T182" s="23">
        <f>SUMIFS('Registre de reserves'!$X$2:$X$1178,'Registre de reserves'!$T$2:$T$1178,"NO",'Registre de reserves'!$I$2:$I$1178,'2024'!$A182,'Registre de reserves'!$B$2:$B$1178,'2024'!T$2,Tabla1[ANY],'2024'!$Z$150)</f>
        <v>0</v>
      </c>
      <c r="U182" s="21">
        <f t="shared" si="189"/>
        <v>0</v>
      </c>
      <c r="V182" s="23">
        <f>SUMIFS('Registre de reserves'!$X$2:$X$1178,'Registre de reserves'!$T$2:$T$1178,"NO",'Registre de reserves'!$I$2:$I$1178,'2024'!$A182,'Registre de reserves'!$B$2:$B$1178,'2024'!V$2,Tabla1[ANY],'2024'!$Z$150)</f>
        <v>0</v>
      </c>
      <c r="W182" s="21">
        <f t="shared" si="190"/>
        <v>0</v>
      </c>
      <c r="X182" s="23">
        <f>SUMIFS('Registre de reserves'!$X$2:$X$1178,'Registre de reserves'!$T$2:$T$1178,"NO",'Registre de reserves'!$I$2:$I$1178,'2024'!$A182,'Registre de reserves'!$B$2:$B$1178,'2024'!X$2,Tabla1[ANY],'2024'!$Z$150)</f>
        <v>0</v>
      </c>
      <c r="Y182" s="21">
        <f t="shared" si="191"/>
        <v>0</v>
      </c>
      <c r="Z182" s="20">
        <f t="shared" si="168"/>
        <v>0</v>
      </c>
      <c r="AA182" s="21">
        <f t="shared" si="193"/>
        <v>0</v>
      </c>
    </row>
    <row r="183" spans="1:27" hidden="1" outlineLevel="1" x14ac:dyDescent="0.2">
      <c r="A183" s="8" t="s">
        <v>71</v>
      </c>
      <c r="B183" s="23">
        <f>SUMIFS('Registre de reserves'!$X$2:$X$1178,'Registre de reserves'!$T$2:$T$1178,"NO",'Registre de reserves'!$I$2:$I$1178,'2024'!$A183,'Registre de reserves'!$B$2:$B$1178,'2024'!B$2,Tabla1[ANY],'2024'!$Z$150)</f>
        <v>0</v>
      </c>
      <c r="C183" s="21">
        <f t="shared" si="192"/>
        <v>0</v>
      </c>
      <c r="D183" s="23">
        <f>SUMIFS('Registre de reserves'!$X$2:$X$1178,'Registre de reserves'!$T$2:$T$1178,"NO",'Registre de reserves'!$I$2:$I$1178,'2024'!$A183,'Registre de reserves'!$B$2:$B$1178,'2024'!D$2,Tabla1[ANY],'2024'!$Z$150)</f>
        <v>0</v>
      </c>
      <c r="E183" s="21">
        <f t="shared" si="192"/>
        <v>0</v>
      </c>
      <c r="F183" s="23">
        <f>SUMIFS('Registre de reserves'!$X$2:$X$1178,'Registre de reserves'!$T$2:$T$1178,"NO",'Registre de reserves'!$I$2:$I$1178,'2024'!$A183,'Registre de reserves'!$B$2:$B$1178,'2024'!F$2,Tabla1[ANY],'2024'!$Z$150)</f>
        <v>0</v>
      </c>
      <c r="G183" s="21">
        <f t="shared" si="182"/>
        <v>0</v>
      </c>
      <c r="H183" s="23">
        <f>SUMIFS('Registre de reserves'!$X$2:$X$1178,'Registre de reserves'!$T$2:$T$1178,"NO",'Registre de reserves'!$I$2:$I$1178,'2024'!$A183,'Registre de reserves'!$B$2:$B$1178,'2024'!H$2,Tabla1[ANY],'2024'!$Z$150)</f>
        <v>0</v>
      </c>
      <c r="I183" s="21">
        <f t="shared" si="183"/>
        <v>0</v>
      </c>
      <c r="J183" s="23">
        <f>SUMIFS('Registre de reserves'!$X$2:$X$1178,'Registre de reserves'!$T$2:$T$1178,"NO",'Registre de reserves'!$I$2:$I$1178,'2024'!$A183,'Registre de reserves'!$B$2:$B$1178,'2024'!J$2,Tabla1[ANY],'2024'!$Z$150)</f>
        <v>0</v>
      </c>
      <c r="K183" s="21">
        <f t="shared" si="184"/>
        <v>0</v>
      </c>
      <c r="L183" s="23">
        <f>SUMIFS('Registre de reserves'!$X$2:$X$1178,'Registre de reserves'!$T$2:$T$1178,"NO",'Registre de reserves'!$I$2:$I$1178,'2024'!$A183,'Registre de reserves'!$B$2:$B$1178,'2024'!L$2,Tabla1[ANY],'2024'!$Z$150)</f>
        <v>0</v>
      </c>
      <c r="M183" s="21">
        <f t="shared" si="185"/>
        <v>0</v>
      </c>
      <c r="N183" s="23">
        <f>SUMIFS('Registre de reserves'!$X$2:$X$1178,'Registre de reserves'!$T$2:$T$1178,"NO",'Registre de reserves'!$I$2:$I$1178,'2024'!$A183,'Registre de reserves'!$B$2:$B$1178,'2024'!N$2,Tabla1[ANY],'2024'!$Z$150)</f>
        <v>0</v>
      </c>
      <c r="O183" s="21">
        <f t="shared" si="186"/>
        <v>0</v>
      </c>
      <c r="P183" s="23">
        <f>SUMIFS('Registre de reserves'!$X$2:$X$1178,'Registre de reserves'!$T$2:$T$1178,"NO",'Registre de reserves'!$I$2:$I$1178,'2024'!$A183,'Registre de reserves'!$B$2:$B$1178,'2024'!P$2,Tabla1[ANY],'2024'!$Z$150)</f>
        <v>0</v>
      </c>
      <c r="Q183" s="21">
        <f t="shared" si="187"/>
        <v>0</v>
      </c>
      <c r="R183" s="23">
        <f>SUMIFS('Registre de reserves'!$X$2:$X$1178,'Registre de reserves'!$T$2:$T$1178,"NO",'Registre de reserves'!$I$2:$I$1178,'2024'!$A183,'Registre de reserves'!$B$2:$B$1178,'2024'!R$2,Tabla1[ANY],'2024'!$Z$150)</f>
        <v>0</v>
      </c>
      <c r="S183" s="21">
        <f t="shared" si="188"/>
        <v>0</v>
      </c>
      <c r="T183" s="23">
        <f>SUMIFS('Registre de reserves'!$X$2:$X$1178,'Registre de reserves'!$T$2:$T$1178,"NO",'Registre de reserves'!$I$2:$I$1178,'2024'!$A183,'Registre de reserves'!$B$2:$B$1178,'2024'!T$2,Tabla1[ANY],'2024'!$Z$150)</f>
        <v>0</v>
      </c>
      <c r="U183" s="21">
        <f t="shared" si="189"/>
        <v>0</v>
      </c>
      <c r="V183" s="23">
        <f>SUMIFS('Registre de reserves'!$X$2:$X$1178,'Registre de reserves'!$T$2:$T$1178,"NO",'Registre de reserves'!$I$2:$I$1178,'2024'!$A183,'Registre de reserves'!$B$2:$B$1178,'2024'!V$2,Tabla1[ANY],'2024'!$Z$150)</f>
        <v>0</v>
      </c>
      <c r="W183" s="21">
        <f t="shared" si="190"/>
        <v>0</v>
      </c>
      <c r="X183" s="23">
        <f>SUMIFS('Registre de reserves'!$X$2:$X$1178,'Registre de reserves'!$T$2:$T$1178,"NO",'Registre de reserves'!$I$2:$I$1178,'2024'!$A183,'Registre de reserves'!$B$2:$B$1178,'2024'!X$2,Tabla1[ANY],'2024'!$Z$150)</f>
        <v>0</v>
      </c>
      <c r="Y183" s="21">
        <f t="shared" si="191"/>
        <v>0</v>
      </c>
      <c r="Z183" s="20">
        <f t="shared" si="168"/>
        <v>0</v>
      </c>
      <c r="AA183" s="21">
        <f t="shared" si="193"/>
        <v>0</v>
      </c>
    </row>
    <row r="184" spans="1:27" hidden="1" outlineLevel="1" x14ac:dyDescent="0.2">
      <c r="A184" s="8" t="s">
        <v>72</v>
      </c>
      <c r="B184" s="23">
        <f>SUMIFS('Registre de reserves'!$X$2:$X$1178,'Registre de reserves'!$T$2:$T$1178,"NO",'Registre de reserves'!$I$2:$I$1178,'2024'!$A184,'Registre de reserves'!$B$2:$B$1178,'2024'!B$2,Tabla1[ANY],'2024'!$Z$150)</f>
        <v>0</v>
      </c>
      <c r="C184" s="21">
        <f t="shared" si="192"/>
        <v>0</v>
      </c>
      <c r="D184" s="23">
        <f>SUMIFS('Registre de reserves'!$X$2:$X$1178,'Registre de reserves'!$T$2:$T$1178,"NO",'Registre de reserves'!$I$2:$I$1178,'2024'!$A184,'Registre de reserves'!$B$2:$B$1178,'2024'!D$2,Tabla1[ANY],'2024'!$Z$150)</f>
        <v>0</v>
      </c>
      <c r="E184" s="21">
        <f t="shared" si="192"/>
        <v>0</v>
      </c>
      <c r="F184" s="23">
        <f>SUMIFS('Registre de reserves'!$X$2:$X$1178,'Registre de reserves'!$T$2:$T$1178,"NO",'Registre de reserves'!$I$2:$I$1178,'2024'!$A184,'Registre de reserves'!$B$2:$B$1178,'2024'!F$2,Tabla1[ANY],'2024'!$Z$150)</f>
        <v>0</v>
      </c>
      <c r="G184" s="21">
        <f t="shared" si="182"/>
        <v>0</v>
      </c>
      <c r="H184" s="23">
        <f>SUMIFS('Registre de reserves'!$X$2:$X$1178,'Registre de reserves'!$T$2:$T$1178,"NO",'Registre de reserves'!$I$2:$I$1178,'2024'!$A184,'Registre de reserves'!$B$2:$B$1178,'2024'!H$2,Tabla1[ANY],'2024'!$Z$150)</f>
        <v>0</v>
      </c>
      <c r="I184" s="21">
        <f t="shared" si="183"/>
        <v>0</v>
      </c>
      <c r="J184" s="23">
        <f>SUMIFS('Registre de reserves'!$X$2:$X$1178,'Registre de reserves'!$T$2:$T$1178,"NO",'Registre de reserves'!$I$2:$I$1178,'2024'!$A184,'Registre de reserves'!$B$2:$B$1178,'2024'!J$2,Tabla1[ANY],'2024'!$Z$150)</f>
        <v>0</v>
      </c>
      <c r="K184" s="21">
        <f t="shared" si="184"/>
        <v>0</v>
      </c>
      <c r="L184" s="23">
        <f>SUMIFS('Registre de reserves'!$X$2:$X$1178,'Registre de reserves'!$T$2:$T$1178,"NO",'Registre de reserves'!$I$2:$I$1178,'2024'!$A184,'Registre de reserves'!$B$2:$B$1178,'2024'!L$2,Tabla1[ANY],'2024'!$Z$150)</f>
        <v>0</v>
      </c>
      <c r="M184" s="21">
        <f t="shared" si="185"/>
        <v>0</v>
      </c>
      <c r="N184" s="23">
        <f>SUMIFS('Registre de reserves'!$X$2:$X$1178,'Registre de reserves'!$T$2:$T$1178,"NO",'Registre de reserves'!$I$2:$I$1178,'2024'!$A184,'Registre de reserves'!$B$2:$B$1178,'2024'!N$2,Tabla1[ANY],'2024'!$Z$150)</f>
        <v>0</v>
      </c>
      <c r="O184" s="21">
        <f t="shared" si="186"/>
        <v>0</v>
      </c>
      <c r="P184" s="23">
        <f>SUMIFS('Registre de reserves'!$X$2:$X$1178,'Registre de reserves'!$T$2:$T$1178,"NO",'Registre de reserves'!$I$2:$I$1178,'2024'!$A184,'Registre de reserves'!$B$2:$B$1178,'2024'!P$2,Tabla1[ANY],'2024'!$Z$150)</f>
        <v>0</v>
      </c>
      <c r="Q184" s="21">
        <f t="shared" si="187"/>
        <v>0</v>
      </c>
      <c r="R184" s="23">
        <f>SUMIFS('Registre de reserves'!$X$2:$X$1178,'Registre de reserves'!$T$2:$T$1178,"NO",'Registre de reserves'!$I$2:$I$1178,'2024'!$A184,'Registre de reserves'!$B$2:$B$1178,'2024'!R$2,Tabla1[ANY],'2024'!$Z$150)</f>
        <v>0</v>
      </c>
      <c r="S184" s="21">
        <f t="shared" si="188"/>
        <v>0</v>
      </c>
      <c r="T184" s="23">
        <f>SUMIFS('Registre de reserves'!$X$2:$X$1178,'Registre de reserves'!$T$2:$T$1178,"NO",'Registre de reserves'!$I$2:$I$1178,'2024'!$A184,'Registre de reserves'!$B$2:$B$1178,'2024'!T$2,Tabla1[ANY],'2024'!$Z$150)</f>
        <v>0</v>
      </c>
      <c r="U184" s="21">
        <f t="shared" si="189"/>
        <v>0</v>
      </c>
      <c r="V184" s="23">
        <f>SUMIFS('Registre de reserves'!$X$2:$X$1178,'Registre de reserves'!$T$2:$T$1178,"NO",'Registre de reserves'!$I$2:$I$1178,'2024'!$A184,'Registre de reserves'!$B$2:$B$1178,'2024'!V$2,Tabla1[ANY],'2024'!$Z$150)</f>
        <v>0</v>
      </c>
      <c r="W184" s="21">
        <f t="shared" si="190"/>
        <v>0</v>
      </c>
      <c r="X184" s="23">
        <f>SUMIFS('Registre de reserves'!$X$2:$X$1178,'Registre de reserves'!$T$2:$T$1178,"NO",'Registre de reserves'!$I$2:$I$1178,'2024'!$A184,'Registre de reserves'!$B$2:$B$1178,'2024'!X$2,Tabla1[ANY],'2024'!$Z$150)</f>
        <v>0</v>
      </c>
      <c r="Y184" s="21">
        <f t="shared" si="191"/>
        <v>0</v>
      </c>
      <c r="Z184" s="20">
        <f t="shared" si="168"/>
        <v>0</v>
      </c>
      <c r="AA184" s="21">
        <f t="shared" si="193"/>
        <v>0</v>
      </c>
    </row>
    <row r="185" spans="1:27" hidden="1" outlineLevel="1" x14ac:dyDescent="0.2">
      <c r="A185" s="8" t="s">
        <v>69</v>
      </c>
      <c r="B185" s="23">
        <f>SUMIFS('Registre de reserves'!$X$2:$X$1178,'Registre de reserves'!$T$2:$T$1178,"NO",'Registre de reserves'!$I$2:$I$1178,'2024'!$A185,'Registre de reserves'!$B$2:$B$1178,'2024'!B$2,Tabla1[ANY],'2024'!$Z$150)</f>
        <v>0</v>
      </c>
      <c r="C185" s="21">
        <f t="shared" si="192"/>
        <v>0</v>
      </c>
      <c r="D185" s="23">
        <f>SUMIFS('Registre de reserves'!$X$2:$X$1178,'Registre de reserves'!$T$2:$T$1178,"NO",'Registre de reserves'!$I$2:$I$1178,'2024'!$A185,'Registre de reserves'!$B$2:$B$1178,'2024'!D$2,Tabla1[ANY],'2024'!$Z$150)</f>
        <v>0</v>
      </c>
      <c r="E185" s="21">
        <f t="shared" si="192"/>
        <v>0</v>
      </c>
      <c r="F185" s="23">
        <f>SUMIFS('Registre de reserves'!$X$2:$X$1178,'Registre de reserves'!$T$2:$T$1178,"NO",'Registre de reserves'!$I$2:$I$1178,'2024'!$A185,'Registre de reserves'!$B$2:$B$1178,'2024'!F$2,Tabla1[ANY],'2024'!$Z$150)</f>
        <v>0</v>
      </c>
      <c r="G185" s="21">
        <f t="shared" si="182"/>
        <v>0</v>
      </c>
      <c r="H185" s="23">
        <f>SUMIFS('Registre de reserves'!$X$2:$X$1178,'Registre de reserves'!$T$2:$T$1178,"NO",'Registre de reserves'!$I$2:$I$1178,'2024'!$A185,'Registre de reserves'!$B$2:$B$1178,'2024'!H$2,Tabla1[ANY],'2024'!$Z$150)</f>
        <v>0</v>
      </c>
      <c r="I185" s="21">
        <f t="shared" si="183"/>
        <v>0</v>
      </c>
      <c r="J185" s="23">
        <f>SUMIFS('Registre de reserves'!$X$2:$X$1178,'Registre de reserves'!$T$2:$T$1178,"NO",'Registre de reserves'!$I$2:$I$1178,'2024'!$A185,'Registre de reserves'!$B$2:$B$1178,'2024'!J$2,Tabla1[ANY],'2024'!$Z$150)</f>
        <v>0</v>
      </c>
      <c r="K185" s="21">
        <f t="shared" si="184"/>
        <v>0</v>
      </c>
      <c r="L185" s="23">
        <f>SUMIFS('Registre de reserves'!$X$2:$X$1178,'Registre de reserves'!$T$2:$T$1178,"NO",'Registre de reserves'!$I$2:$I$1178,'2024'!$A185,'Registre de reserves'!$B$2:$B$1178,'2024'!L$2,Tabla1[ANY],'2024'!$Z$150)</f>
        <v>0</v>
      </c>
      <c r="M185" s="21">
        <f t="shared" si="185"/>
        <v>0</v>
      </c>
      <c r="N185" s="23">
        <f>SUMIFS('Registre de reserves'!$X$2:$X$1178,'Registre de reserves'!$T$2:$T$1178,"NO",'Registre de reserves'!$I$2:$I$1178,'2024'!$A185,'Registre de reserves'!$B$2:$B$1178,'2024'!N$2,Tabla1[ANY],'2024'!$Z$150)</f>
        <v>0</v>
      </c>
      <c r="O185" s="21">
        <f t="shared" si="186"/>
        <v>0</v>
      </c>
      <c r="P185" s="23">
        <f>SUMIFS('Registre de reserves'!$X$2:$X$1178,'Registre de reserves'!$T$2:$T$1178,"NO",'Registre de reserves'!$I$2:$I$1178,'2024'!$A185,'Registre de reserves'!$B$2:$B$1178,'2024'!P$2,Tabla1[ANY],'2024'!$Z$150)</f>
        <v>0</v>
      </c>
      <c r="Q185" s="21">
        <f t="shared" si="187"/>
        <v>0</v>
      </c>
      <c r="R185" s="23">
        <f>SUMIFS('Registre de reserves'!$X$2:$X$1178,'Registre de reserves'!$T$2:$T$1178,"NO",'Registre de reserves'!$I$2:$I$1178,'2024'!$A185,'Registre de reserves'!$B$2:$B$1178,'2024'!R$2,Tabla1[ANY],'2024'!$Z$150)</f>
        <v>0</v>
      </c>
      <c r="S185" s="21">
        <f t="shared" si="188"/>
        <v>0</v>
      </c>
      <c r="T185" s="23">
        <f>SUMIFS('Registre de reserves'!$X$2:$X$1178,'Registre de reserves'!$T$2:$T$1178,"NO",'Registre de reserves'!$I$2:$I$1178,'2024'!$A185,'Registre de reserves'!$B$2:$B$1178,'2024'!T$2,Tabla1[ANY],'2024'!$Z$150)</f>
        <v>0</v>
      </c>
      <c r="U185" s="21">
        <f t="shared" si="189"/>
        <v>0</v>
      </c>
      <c r="V185" s="23">
        <f>SUMIFS('Registre de reserves'!$X$2:$X$1178,'Registre de reserves'!$T$2:$T$1178,"NO",'Registre de reserves'!$I$2:$I$1178,'2024'!$A185,'Registre de reserves'!$B$2:$B$1178,'2024'!V$2,Tabla1[ANY],'2024'!$Z$150)</f>
        <v>0</v>
      </c>
      <c r="W185" s="21">
        <f t="shared" si="190"/>
        <v>0</v>
      </c>
      <c r="X185" s="23">
        <f>SUMIFS('Registre de reserves'!$X$2:$X$1178,'Registre de reserves'!$T$2:$T$1178,"NO",'Registre de reserves'!$I$2:$I$1178,'2024'!$A185,'Registre de reserves'!$B$2:$B$1178,'2024'!X$2,Tabla1[ANY],'2024'!$Z$150)</f>
        <v>0</v>
      </c>
      <c r="Y185" s="21">
        <f t="shared" si="191"/>
        <v>0</v>
      </c>
      <c r="Z185" s="20">
        <f t="shared" si="168"/>
        <v>0</v>
      </c>
      <c r="AA185" s="21">
        <f t="shared" si="193"/>
        <v>0</v>
      </c>
    </row>
    <row r="186" spans="1:27" hidden="1" outlineLevel="1" x14ac:dyDescent="0.2">
      <c r="A186" s="8" t="s">
        <v>70</v>
      </c>
      <c r="B186" s="23">
        <f>SUMIFS('Registre de reserves'!$X$2:$X$1178,'Registre de reserves'!$T$2:$T$1178,"NO",'Registre de reserves'!$I$2:$I$1178,'2024'!$A186,'Registre de reserves'!$B$2:$B$1178,'2024'!B$2,Tabla1[ANY],'2024'!$Z$150)</f>
        <v>0</v>
      </c>
      <c r="C186" s="21">
        <f t="shared" si="192"/>
        <v>0</v>
      </c>
      <c r="D186" s="23">
        <f>SUMIFS('Registre de reserves'!$X$2:$X$1178,'Registre de reserves'!$T$2:$T$1178,"NO",'Registre de reserves'!$I$2:$I$1178,'2024'!$A186,'Registre de reserves'!$B$2:$B$1178,'2024'!D$2,Tabla1[ANY],'2024'!$Z$150)</f>
        <v>0</v>
      </c>
      <c r="E186" s="21">
        <f t="shared" si="192"/>
        <v>0</v>
      </c>
      <c r="F186" s="23">
        <f>SUMIFS('Registre de reserves'!$X$2:$X$1178,'Registre de reserves'!$T$2:$T$1178,"NO",'Registre de reserves'!$I$2:$I$1178,'2024'!$A186,'Registre de reserves'!$B$2:$B$1178,'2024'!F$2,Tabla1[ANY],'2024'!$Z$150)</f>
        <v>0</v>
      </c>
      <c r="G186" s="21">
        <f t="shared" si="182"/>
        <v>0</v>
      </c>
      <c r="H186" s="23">
        <f>SUMIFS('Registre de reserves'!$X$2:$X$1178,'Registre de reserves'!$T$2:$T$1178,"NO",'Registre de reserves'!$I$2:$I$1178,'2024'!$A186,'Registre de reserves'!$B$2:$B$1178,'2024'!H$2,Tabla1[ANY],'2024'!$Z$150)</f>
        <v>0</v>
      </c>
      <c r="I186" s="21">
        <f t="shared" si="183"/>
        <v>0</v>
      </c>
      <c r="J186" s="23">
        <f>SUMIFS('Registre de reserves'!$X$2:$X$1178,'Registre de reserves'!$T$2:$T$1178,"NO",'Registre de reserves'!$I$2:$I$1178,'2024'!$A186,'Registre de reserves'!$B$2:$B$1178,'2024'!J$2,Tabla1[ANY],'2024'!$Z$150)</f>
        <v>0</v>
      </c>
      <c r="K186" s="21">
        <f t="shared" si="184"/>
        <v>0</v>
      </c>
      <c r="L186" s="23">
        <f>SUMIFS('Registre de reserves'!$X$2:$X$1178,'Registre de reserves'!$T$2:$T$1178,"NO",'Registre de reserves'!$I$2:$I$1178,'2024'!$A186,'Registre de reserves'!$B$2:$B$1178,'2024'!L$2,Tabla1[ANY],'2024'!$Z$150)</f>
        <v>0</v>
      </c>
      <c r="M186" s="21">
        <f t="shared" si="185"/>
        <v>0</v>
      </c>
      <c r="N186" s="23">
        <f>SUMIFS('Registre de reserves'!$X$2:$X$1178,'Registre de reserves'!$T$2:$T$1178,"NO",'Registre de reserves'!$I$2:$I$1178,'2024'!$A186,'Registre de reserves'!$B$2:$B$1178,'2024'!N$2,Tabla1[ANY],'2024'!$Z$150)</f>
        <v>0</v>
      </c>
      <c r="O186" s="21">
        <f t="shared" si="186"/>
        <v>0</v>
      </c>
      <c r="P186" s="23">
        <f>SUMIFS('Registre de reserves'!$X$2:$X$1178,'Registre de reserves'!$T$2:$T$1178,"NO",'Registre de reserves'!$I$2:$I$1178,'2024'!$A186,'Registre de reserves'!$B$2:$B$1178,'2024'!P$2,Tabla1[ANY],'2024'!$Z$150)</f>
        <v>0</v>
      </c>
      <c r="Q186" s="21">
        <f t="shared" si="187"/>
        <v>0</v>
      </c>
      <c r="R186" s="23">
        <f>SUMIFS('Registre de reserves'!$X$2:$X$1178,'Registre de reserves'!$T$2:$T$1178,"NO",'Registre de reserves'!$I$2:$I$1178,'2024'!$A186,'Registre de reserves'!$B$2:$B$1178,'2024'!R$2,Tabla1[ANY],'2024'!$Z$150)</f>
        <v>0</v>
      </c>
      <c r="S186" s="21">
        <f t="shared" si="188"/>
        <v>0</v>
      </c>
      <c r="T186" s="23">
        <f>SUMIFS('Registre de reserves'!$X$2:$X$1178,'Registre de reserves'!$T$2:$T$1178,"NO",'Registre de reserves'!$I$2:$I$1178,'2024'!$A186,'Registre de reserves'!$B$2:$B$1178,'2024'!T$2,Tabla1[ANY],'2024'!$Z$150)</f>
        <v>0</v>
      </c>
      <c r="U186" s="21">
        <f t="shared" si="189"/>
        <v>0</v>
      </c>
      <c r="V186" s="23">
        <f>SUMIFS('Registre de reserves'!$X$2:$X$1178,'Registre de reserves'!$T$2:$T$1178,"NO",'Registre de reserves'!$I$2:$I$1178,'2024'!$A186,'Registre de reserves'!$B$2:$B$1178,'2024'!V$2,Tabla1[ANY],'2024'!$Z$150)</f>
        <v>0</v>
      </c>
      <c r="W186" s="21">
        <f t="shared" si="190"/>
        <v>0</v>
      </c>
      <c r="X186" s="23">
        <f>SUMIFS('Registre de reserves'!$X$2:$X$1178,'Registre de reserves'!$T$2:$T$1178,"NO",'Registre de reserves'!$I$2:$I$1178,'2024'!$A186,'Registre de reserves'!$B$2:$B$1178,'2024'!X$2,Tabla1[ANY],'2024'!$Z$150)</f>
        <v>0</v>
      </c>
      <c r="Y186" s="21">
        <f t="shared" si="191"/>
        <v>0</v>
      </c>
      <c r="Z186" s="20">
        <f t="shared" si="168"/>
        <v>0</v>
      </c>
      <c r="AA186" s="21">
        <f t="shared" si="193"/>
        <v>0</v>
      </c>
    </row>
    <row r="187" spans="1:27" hidden="1" outlineLevel="1" x14ac:dyDescent="0.2">
      <c r="A187" s="8" t="s">
        <v>73</v>
      </c>
      <c r="B187" s="23">
        <f>SUMIFS('Registre de reserves'!$X$2:$X$1178,'Registre de reserves'!$T$2:$T$1178,"NO",'Registre de reserves'!$I$2:$I$1178,'2024'!$A187,'Registre de reserves'!$B$2:$B$1178,'2024'!B$2,Tabla1[ANY],'2024'!$Z$150)</f>
        <v>0</v>
      </c>
      <c r="C187" s="21">
        <f t="shared" si="192"/>
        <v>0</v>
      </c>
      <c r="D187" s="23">
        <f>SUMIFS('Registre de reserves'!$X$2:$X$1178,'Registre de reserves'!$T$2:$T$1178,"NO",'Registre de reserves'!$I$2:$I$1178,'2024'!$A187,'Registre de reserves'!$B$2:$B$1178,'2024'!D$2,Tabla1[ANY],'2024'!$Z$150)</f>
        <v>0</v>
      </c>
      <c r="E187" s="21">
        <f t="shared" si="192"/>
        <v>0</v>
      </c>
      <c r="F187" s="23">
        <f>SUMIFS('Registre de reserves'!$X$2:$X$1178,'Registre de reserves'!$T$2:$T$1178,"NO",'Registre de reserves'!$I$2:$I$1178,'2024'!$A187,'Registre de reserves'!$B$2:$B$1178,'2024'!F$2,Tabla1[ANY],'2024'!$Z$150)</f>
        <v>0</v>
      </c>
      <c r="G187" s="21">
        <f t="shared" si="182"/>
        <v>0</v>
      </c>
      <c r="H187" s="23">
        <f>SUMIFS('Registre de reserves'!$X$2:$X$1178,'Registre de reserves'!$T$2:$T$1178,"NO",'Registre de reserves'!$I$2:$I$1178,'2024'!$A187,'Registre de reserves'!$B$2:$B$1178,'2024'!H$2,Tabla1[ANY],'2024'!$Z$150)</f>
        <v>0</v>
      </c>
      <c r="I187" s="21">
        <f t="shared" si="183"/>
        <v>0</v>
      </c>
      <c r="J187" s="23">
        <f>SUMIFS('Registre de reserves'!$X$2:$X$1178,'Registre de reserves'!$T$2:$T$1178,"NO",'Registre de reserves'!$I$2:$I$1178,'2024'!$A187,'Registre de reserves'!$B$2:$B$1178,'2024'!J$2,Tabla1[ANY],'2024'!$Z$150)</f>
        <v>0</v>
      </c>
      <c r="K187" s="21">
        <f t="shared" si="184"/>
        <v>0</v>
      </c>
      <c r="L187" s="23">
        <f>SUMIFS('Registre de reserves'!$X$2:$X$1178,'Registre de reserves'!$T$2:$T$1178,"NO",'Registre de reserves'!$I$2:$I$1178,'2024'!$A187,'Registre de reserves'!$B$2:$B$1178,'2024'!L$2,Tabla1[ANY],'2024'!$Z$150)</f>
        <v>0</v>
      </c>
      <c r="M187" s="21">
        <f t="shared" si="185"/>
        <v>0</v>
      </c>
      <c r="N187" s="23">
        <f>SUMIFS('Registre de reserves'!$X$2:$X$1178,'Registre de reserves'!$T$2:$T$1178,"NO",'Registre de reserves'!$I$2:$I$1178,'2024'!$A187,'Registre de reserves'!$B$2:$B$1178,'2024'!N$2,Tabla1[ANY],'2024'!$Z$150)</f>
        <v>0</v>
      </c>
      <c r="O187" s="21">
        <f t="shared" si="186"/>
        <v>0</v>
      </c>
      <c r="P187" s="23">
        <f>SUMIFS('Registre de reserves'!$X$2:$X$1178,'Registre de reserves'!$T$2:$T$1178,"NO",'Registre de reserves'!$I$2:$I$1178,'2024'!$A187,'Registre de reserves'!$B$2:$B$1178,'2024'!P$2,Tabla1[ANY],'2024'!$Z$150)</f>
        <v>0</v>
      </c>
      <c r="Q187" s="21">
        <f t="shared" si="187"/>
        <v>0</v>
      </c>
      <c r="R187" s="23">
        <f>SUMIFS('Registre de reserves'!$X$2:$X$1178,'Registre de reserves'!$T$2:$T$1178,"NO",'Registre de reserves'!$I$2:$I$1178,'2024'!$A187,'Registre de reserves'!$B$2:$B$1178,'2024'!R$2,Tabla1[ANY],'2024'!$Z$150)</f>
        <v>0</v>
      </c>
      <c r="S187" s="21">
        <f t="shared" si="188"/>
        <v>0</v>
      </c>
      <c r="T187" s="23">
        <f>SUMIFS('Registre de reserves'!$X$2:$X$1178,'Registre de reserves'!$T$2:$T$1178,"NO",'Registre de reserves'!$I$2:$I$1178,'2024'!$A187,'Registre de reserves'!$B$2:$B$1178,'2024'!T$2,Tabla1[ANY],'2024'!$Z$150)</f>
        <v>0</v>
      </c>
      <c r="U187" s="21">
        <f t="shared" si="189"/>
        <v>0</v>
      </c>
      <c r="V187" s="23">
        <f>SUMIFS('Registre de reserves'!$X$2:$X$1178,'Registre de reserves'!$T$2:$T$1178,"NO",'Registre de reserves'!$I$2:$I$1178,'2024'!$A187,'Registre de reserves'!$B$2:$B$1178,'2024'!V$2,Tabla1[ANY],'2024'!$Z$150)</f>
        <v>0</v>
      </c>
      <c r="W187" s="21">
        <f t="shared" si="190"/>
        <v>0</v>
      </c>
      <c r="X187" s="23">
        <f>SUMIFS('Registre de reserves'!$X$2:$X$1178,'Registre de reserves'!$T$2:$T$1178,"NO",'Registre de reserves'!$I$2:$I$1178,'2024'!$A187,'Registre de reserves'!$B$2:$B$1178,'2024'!X$2,Tabla1[ANY],'2024'!$Z$150)</f>
        <v>0</v>
      </c>
      <c r="Y187" s="21">
        <f t="shared" si="191"/>
        <v>0</v>
      </c>
      <c r="Z187" s="20">
        <f t="shared" si="168"/>
        <v>0</v>
      </c>
      <c r="AA187" s="21">
        <f t="shared" si="193"/>
        <v>0</v>
      </c>
    </row>
    <row r="188" spans="1:27" ht="15.75" collapsed="1" thickBot="1" x14ac:dyDescent="0.25">
      <c r="A188" s="14" t="s">
        <v>78</v>
      </c>
      <c r="B188" s="24">
        <f>B189+B197</f>
        <v>440</v>
      </c>
      <c r="C188" s="25">
        <f>IF(B151=0,0,B188/B151)</f>
        <v>0.1421647819063005</v>
      </c>
      <c r="D188" s="24">
        <f>D189+D197</f>
        <v>671</v>
      </c>
      <c r="E188" s="25">
        <f>IF(D151=0,0,D188/D151)</f>
        <v>0.21067503924646783</v>
      </c>
      <c r="F188" s="24">
        <f>F189+F197</f>
        <v>300</v>
      </c>
      <c r="G188" s="25">
        <f>IF(F151=0,0,F188/F151)</f>
        <v>0.15748031496062992</v>
      </c>
      <c r="H188" s="24">
        <f>H189+H197</f>
        <v>500</v>
      </c>
      <c r="I188" s="25">
        <f>IF(H151=0,0,H188/H151)</f>
        <v>0.21881838074398249</v>
      </c>
      <c r="J188" s="24">
        <f>J189+J197</f>
        <v>746.6</v>
      </c>
      <c r="K188" s="25">
        <f>IF(J151=0,0,J188/J151)</f>
        <v>0.28770712909441232</v>
      </c>
      <c r="L188" s="24">
        <f>L189+L197</f>
        <v>536.36</v>
      </c>
      <c r="M188" s="25">
        <f>IF(L151=0,0,L188/L151)</f>
        <v>0.20629230769230769</v>
      </c>
      <c r="N188" s="24">
        <f>N189+N197</f>
        <v>413.98</v>
      </c>
      <c r="O188" s="25">
        <f>IF(N151=0,0,N188/N151)</f>
        <v>0.1844008908685969</v>
      </c>
      <c r="P188" s="24">
        <f>P189+P197</f>
        <v>240</v>
      </c>
      <c r="Q188" s="25">
        <f>IF(P151=0,0,P188/P151)</f>
        <v>0.14457831325301204</v>
      </c>
      <c r="R188" s="24">
        <f>R189+R197</f>
        <v>300</v>
      </c>
      <c r="S188" s="25">
        <f>IF(R151=0,0,R188/R151)</f>
        <v>0.16853932584269662</v>
      </c>
      <c r="T188" s="24">
        <f>T189+T197</f>
        <v>300</v>
      </c>
      <c r="U188" s="25">
        <f>IF(T151=0,0,T188/T151)</f>
        <v>0.12931034482758622</v>
      </c>
      <c r="V188" s="24">
        <f>V189+V197</f>
        <v>698</v>
      </c>
      <c r="W188" s="25">
        <f>IF(V151=0,0,V188/V151)</f>
        <v>0.26142322097378279</v>
      </c>
      <c r="X188" s="24">
        <f>X189+X197</f>
        <v>640</v>
      </c>
      <c r="Y188" s="25">
        <f>IF(X188=0,0,X188/X188)</f>
        <v>1</v>
      </c>
      <c r="Z188" s="24">
        <f>Z189+Z197</f>
        <v>5785.9400000000005</v>
      </c>
      <c r="AA188" s="25">
        <f>IF(Z151=0,0,Z188/Z151)</f>
        <v>0.18509085092770314</v>
      </c>
    </row>
    <row r="189" spans="1:27" x14ac:dyDescent="0.2">
      <c r="A189" s="33" t="s">
        <v>79</v>
      </c>
      <c r="B189" s="18">
        <f>SUM(B190:B196)</f>
        <v>150</v>
      </c>
      <c r="C189" s="19">
        <f>IF(B$188=0,0,B189/B$188)</f>
        <v>0.34090909090909088</v>
      </c>
      <c r="D189" s="18">
        <f>SUM(D190:D196)</f>
        <v>150</v>
      </c>
      <c r="E189" s="19">
        <f>IF(D$188=0,0,D189/D$188)</f>
        <v>0.22354694485842028</v>
      </c>
      <c r="F189" s="18">
        <f>SUM(F190:F196)</f>
        <v>150</v>
      </c>
      <c r="G189" s="19">
        <f>IF(F$188=0,0,F189/F$188)</f>
        <v>0.5</v>
      </c>
      <c r="H189" s="18">
        <f>SUM(H190:H196)</f>
        <v>150</v>
      </c>
      <c r="I189" s="19">
        <f>IF(H$188=0,0,H189/H$188)</f>
        <v>0.3</v>
      </c>
      <c r="J189" s="18">
        <f>SUM(J190:J196)</f>
        <v>150</v>
      </c>
      <c r="K189" s="19">
        <f>IF(J$188=0,0,J189/J$188)</f>
        <v>0.2009107956067506</v>
      </c>
      <c r="L189" s="18">
        <f>SUM(L190:L196)</f>
        <v>150</v>
      </c>
      <c r="M189" s="19">
        <f>IF(L$188=0,0,L189/L$188)</f>
        <v>0.2796629129689015</v>
      </c>
      <c r="N189" s="18">
        <f>SUM(N190:N196)</f>
        <v>150</v>
      </c>
      <c r="O189" s="19">
        <f>IF(N$188=0,0,N189/N$188)</f>
        <v>0.36233634475095411</v>
      </c>
      <c r="P189" s="18">
        <f>SUM(P190:P196)</f>
        <v>150</v>
      </c>
      <c r="Q189" s="19">
        <f>IF(P$188=0,0,P189/P$188)</f>
        <v>0.625</v>
      </c>
      <c r="R189" s="18">
        <f>SUM(R190:R196)</f>
        <v>150</v>
      </c>
      <c r="S189" s="19">
        <f>IF(R$188=0,0,R189/R$188)</f>
        <v>0.5</v>
      </c>
      <c r="T189" s="18">
        <f>SUM(T190:T196)</f>
        <v>150</v>
      </c>
      <c r="U189" s="19">
        <f>IF(T$188=0,0,T189/T$188)</f>
        <v>0.5</v>
      </c>
      <c r="V189" s="18">
        <f>SUM(V190:V196)</f>
        <v>150</v>
      </c>
      <c r="W189" s="19">
        <f>IF(V$188=0,0,V189/V$188)</f>
        <v>0.2148997134670487</v>
      </c>
      <c r="X189" s="18">
        <f>SUM(X190:X196)</f>
        <v>150</v>
      </c>
      <c r="Y189" s="19">
        <f>IF(X$188=0,0,X189/X$188)</f>
        <v>0.234375</v>
      </c>
      <c r="Z189" s="18">
        <f>SUM(Z190:Z196)</f>
        <v>1800</v>
      </c>
      <c r="AA189" s="19">
        <f>IF(Z$40=0,0,Z189/Z$40)</f>
        <v>0.11418972241747255</v>
      </c>
    </row>
    <row r="190" spans="1:27" hidden="1" outlineLevel="1" x14ac:dyDescent="0.2">
      <c r="A190" s="8" t="s">
        <v>16</v>
      </c>
      <c r="B190" s="20">
        <f>SUMIFS(Tabla2[B],Tabla2[ANY],$Z$150,Tabla2[MES],'2024'!B$2,Tabla2[TIPUS],'2024'!$A190)</f>
        <v>150</v>
      </c>
      <c r="C190" s="21">
        <f>IF(B$189=0,0,B190/B$189)</f>
        <v>1</v>
      </c>
      <c r="D190" s="20">
        <f>SUMIFS(Tabla2[B],Tabla2[ANY],$Z$150,Tabla2[MES],'2024'!D$2,Tabla2[TIPUS],'2024'!$A190)</f>
        <v>150</v>
      </c>
      <c r="E190" s="21">
        <f>IF(D$189=0,0,D190/D$189)</f>
        <v>1</v>
      </c>
      <c r="F190" s="20">
        <f>SUMIFS(Tabla2[B],Tabla2[ANY],$Z$150,Tabla2[MES],'2024'!F$2,Tabla2[TIPUS],'2024'!$A190)</f>
        <v>150</v>
      </c>
      <c r="G190" s="21">
        <f t="shared" ref="G190:G196" si="194">IF(F$189=0,0,F190/F$189)</f>
        <v>1</v>
      </c>
      <c r="H190" s="20">
        <f>SUMIFS(Tabla2[B],Tabla2[ANY],$Z$150,Tabla2[MES],'2024'!H$2,Tabla2[TIPUS],'2024'!$A190)</f>
        <v>150</v>
      </c>
      <c r="I190" s="21">
        <f t="shared" ref="I190:I196" si="195">IF(H$189=0,0,H190/H$189)</f>
        <v>1</v>
      </c>
      <c r="J190" s="20">
        <f>SUMIFS(Tabla2[B],Tabla2[ANY],$Z$150,Tabla2[MES],'2024'!J$2,Tabla2[TIPUS],'2024'!$A190)</f>
        <v>150</v>
      </c>
      <c r="K190" s="21">
        <f t="shared" ref="K190:K196" si="196">IF(J$189=0,0,J190/J$189)</f>
        <v>1</v>
      </c>
      <c r="L190" s="20">
        <f>SUMIFS(Tabla2[B],Tabla2[ANY],$Z$150,Tabla2[MES],'2024'!L$2,Tabla2[TIPUS],'2024'!$A190)</f>
        <v>150</v>
      </c>
      <c r="M190" s="21">
        <f t="shared" ref="M190:M196" si="197">IF(L$189=0,0,L190/L$189)</f>
        <v>1</v>
      </c>
      <c r="N190" s="20">
        <f>SUMIFS(Tabla2[B],Tabla2[ANY],$Z$150,Tabla2[MES],'2024'!N$2,Tabla2[TIPUS],'2024'!$A190)</f>
        <v>150</v>
      </c>
      <c r="O190" s="21">
        <f t="shared" ref="O190:O196" si="198">IF(N$189=0,0,N190/N$189)</f>
        <v>1</v>
      </c>
      <c r="P190" s="20">
        <f>SUMIFS(Tabla2[B],Tabla2[ANY],$Z$150,Tabla2[MES],'2024'!P$2,Tabla2[TIPUS],'2024'!$A190)</f>
        <v>150</v>
      </c>
      <c r="Q190" s="21">
        <f t="shared" ref="Q190:Q196" si="199">IF(P$189=0,0,P190/P$189)</f>
        <v>1</v>
      </c>
      <c r="R190" s="20">
        <f>SUMIFS(Tabla2[B],Tabla2[ANY],$Z$150,Tabla2[MES],'2024'!R$2,Tabla2[TIPUS],'2024'!$A190)</f>
        <v>150</v>
      </c>
      <c r="S190" s="21">
        <f t="shared" ref="S190:S196" si="200">IF(R$189=0,0,R190/R$189)</f>
        <v>1</v>
      </c>
      <c r="T190" s="20">
        <f>SUMIFS(Tabla2[B],Tabla2[ANY],$Z$150,Tabla2[MES],'2024'!T$2,Tabla2[TIPUS],'2024'!$A190)</f>
        <v>150</v>
      </c>
      <c r="U190" s="21">
        <f t="shared" ref="U190:U196" si="201">IF(T$189=0,0,T190/T$189)</f>
        <v>1</v>
      </c>
      <c r="V190" s="20">
        <f>SUMIFS(Tabla2[B],Tabla2[ANY],$Z$150,Tabla2[MES],'2024'!V$2,Tabla2[TIPUS],'2024'!$A190)</f>
        <v>150</v>
      </c>
      <c r="W190" s="21">
        <f t="shared" ref="W190:W196" si="202">IF(V$189=0,0,V190/V$189)</f>
        <v>1</v>
      </c>
      <c r="X190" s="20">
        <f>SUMIFS(Tabla2[B],Tabla2[ANY],$Z$150,Tabla2[MES],'2024'!X$2,Tabla2[TIPUS],'2024'!$A190)</f>
        <v>150</v>
      </c>
      <c r="Y190" s="21">
        <f t="shared" ref="Y190:Y196" si="203">IF(X$189=0,0,X190/X$189)</f>
        <v>1</v>
      </c>
      <c r="Z190" s="20">
        <f t="shared" ref="Z190:Z202" si="204">B190+D190+F190+H190+J190+L190+N190+P190+R190+T190+V190+X190</f>
        <v>1800</v>
      </c>
      <c r="AA190" s="21">
        <f>IF(Z$41=0,0,Z190/Z$41)</f>
        <v>0.21309794691966918</v>
      </c>
    </row>
    <row r="191" spans="1:27" hidden="1" outlineLevel="1" x14ac:dyDescent="0.2">
      <c r="A191" s="8" t="s">
        <v>17</v>
      </c>
      <c r="B191" s="20">
        <f>SUMIFS(Tabla2[B],Tabla2[ANY],$Z$150,Tabla2[MES],'2024'!B$2,Tabla2[TIPUS],'2024'!$A191)</f>
        <v>0</v>
      </c>
      <c r="C191" s="21">
        <f t="shared" ref="C191:E196" si="205">IF(B$189=0,0,B191/B$189)</f>
        <v>0</v>
      </c>
      <c r="D191" s="20">
        <f>SUMIFS(Tabla2[B],Tabla2[ANY],$Z$150,Tabla2[MES],'2024'!D$2,Tabla2[TIPUS],'2024'!$A191)</f>
        <v>0</v>
      </c>
      <c r="E191" s="21">
        <f t="shared" si="205"/>
        <v>0</v>
      </c>
      <c r="F191" s="20">
        <f>SUMIFS(Tabla2[B],Tabla2[ANY],$Z$150,Tabla2[MES],'2024'!F$2,Tabla2[TIPUS],'2024'!$A191)</f>
        <v>0</v>
      </c>
      <c r="G191" s="21">
        <f t="shared" si="194"/>
        <v>0</v>
      </c>
      <c r="H191" s="20">
        <f>SUMIFS(Tabla2[B],Tabla2[ANY],$Z$150,Tabla2[MES],'2024'!H$2,Tabla2[TIPUS],'2024'!$A191)</f>
        <v>0</v>
      </c>
      <c r="I191" s="21">
        <f t="shared" si="195"/>
        <v>0</v>
      </c>
      <c r="J191" s="20">
        <f>SUMIFS(Tabla2[B],Tabla2[ANY],$Z$150,Tabla2[MES],'2024'!J$2,Tabla2[TIPUS],'2024'!$A191)</f>
        <v>0</v>
      </c>
      <c r="K191" s="21">
        <f t="shared" si="196"/>
        <v>0</v>
      </c>
      <c r="L191" s="20">
        <f>SUMIFS(Tabla2[B],Tabla2[ANY],$Z$150,Tabla2[MES],'2024'!L$2,Tabla2[TIPUS],'2024'!$A191)</f>
        <v>0</v>
      </c>
      <c r="M191" s="21">
        <f t="shared" si="197"/>
        <v>0</v>
      </c>
      <c r="N191" s="20">
        <f>SUMIFS(Tabla2[B],Tabla2[ANY],$Z$150,Tabla2[MES],'2024'!N$2,Tabla2[TIPUS],'2024'!$A191)</f>
        <v>0</v>
      </c>
      <c r="O191" s="21">
        <f t="shared" si="198"/>
        <v>0</v>
      </c>
      <c r="P191" s="20">
        <f>SUMIFS(Tabla2[B],Tabla2[ANY],$Z$150,Tabla2[MES],'2024'!P$2,Tabla2[TIPUS],'2024'!$A191)</f>
        <v>0</v>
      </c>
      <c r="Q191" s="21">
        <f t="shared" si="199"/>
        <v>0</v>
      </c>
      <c r="R191" s="20">
        <f>SUMIFS(Tabla2[B],Tabla2[ANY],$Z$150,Tabla2[MES],'2024'!R$2,Tabla2[TIPUS],'2024'!$A191)</f>
        <v>0</v>
      </c>
      <c r="S191" s="21">
        <f t="shared" si="200"/>
        <v>0</v>
      </c>
      <c r="T191" s="20">
        <f>SUMIFS(Tabla2[B],Tabla2[ANY],$Z$150,Tabla2[MES],'2024'!T$2,Tabla2[TIPUS],'2024'!$A191)</f>
        <v>0</v>
      </c>
      <c r="U191" s="21">
        <f t="shared" si="201"/>
        <v>0</v>
      </c>
      <c r="V191" s="20">
        <f>SUMIFS(Tabla2[B],Tabla2[ANY],$Z$150,Tabla2[MES],'2024'!V$2,Tabla2[TIPUS],'2024'!$A191)</f>
        <v>0</v>
      </c>
      <c r="W191" s="21">
        <f t="shared" si="202"/>
        <v>0</v>
      </c>
      <c r="X191" s="20">
        <f>SUMIFS(Tabla2[B],Tabla2[ANY],$Z$150,Tabla2[MES],'2024'!X$2,Tabla2[TIPUS],'2024'!$A191)</f>
        <v>0</v>
      </c>
      <c r="Y191" s="21">
        <f t="shared" si="203"/>
        <v>0</v>
      </c>
      <c r="Z191" s="20">
        <f t="shared" si="204"/>
        <v>0</v>
      </c>
      <c r="AA191" s="21">
        <f t="shared" ref="AA191:AA196" si="206">IF(Z$41=0,0,Z191/Z$41)</f>
        <v>0</v>
      </c>
    </row>
    <row r="192" spans="1:27" hidden="1" outlineLevel="1" x14ac:dyDescent="0.2">
      <c r="A192" s="8" t="s">
        <v>85</v>
      </c>
      <c r="B192" s="20">
        <f>SUMIFS(Tabla2[B],Tabla2[ANY],$Z$150,Tabla2[MES],'2024'!B$2,Tabla2[TIPUS],'2024'!$A192)</f>
        <v>0</v>
      </c>
      <c r="C192" s="21">
        <f t="shared" si="205"/>
        <v>0</v>
      </c>
      <c r="D192" s="20">
        <f>SUMIFS(Tabla2[B],Tabla2[ANY],$Z$150,Tabla2[MES],'2024'!D$2,Tabla2[TIPUS],'2024'!$A192)</f>
        <v>0</v>
      </c>
      <c r="E192" s="21">
        <f t="shared" si="205"/>
        <v>0</v>
      </c>
      <c r="F192" s="20">
        <f>SUMIFS(Tabla2[B],Tabla2[ANY],$Z$150,Tabla2[MES],'2024'!F$2,Tabla2[TIPUS],'2024'!$A192)</f>
        <v>0</v>
      </c>
      <c r="G192" s="21">
        <f t="shared" si="194"/>
        <v>0</v>
      </c>
      <c r="H192" s="20">
        <f>SUMIFS(Tabla2[B],Tabla2[ANY],$Z$150,Tabla2[MES],'2024'!H$2,Tabla2[TIPUS],'2024'!$A192)</f>
        <v>0</v>
      </c>
      <c r="I192" s="21">
        <f t="shared" si="195"/>
        <v>0</v>
      </c>
      <c r="J192" s="20">
        <f>SUMIFS(Tabla2[B],Tabla2[ANY],$Z$150,Tabla2[MES],'2024'!J$2,Tabla2[TIPUS],'2024'!$A192)</f>
        <v>0</v>
      </c>
      <c r="K192" s="21">
        <f t="shared" si="196"/>
        <v>0</v>
      </c>
      <c r="L192" s="20">
        <f>SUMIFS(Tabla2[B],Tabla2[ANY],$Z$150,Tabla2[MES],'2024'!L$2,Tabla2[TIPUS],'2024'!$A192)</f>
        <v>0</v>
      </c>
      <c r="M192" s="21">
        <f t="shared" si="197"/>
        <v>0</v>
      </c>
      <c r="N192" s="20">
        <f>SUMIFS(Tabla2[B],Tabla2[ANY],$Z$150,Tabla2[MES],'2024'!N$2,Tabla2[TIPUS],'2024'!$A192)</f>
        <v>0</v>
      </c>
      <c r="O192" s="21">
        <f t="shared" si="198"/>
        <v>0</v>
      </c>
      <c r="P192" s="20">
        <f>SUMIFS(Tabla2[B],Tabla2[ANY],$Z$150,Tabla2[MES],'2024'!P$2,Tabla2[TIPUS],'2024'!$A192)</f>
        <v>0</v>
      </c>
      <c r="Q192" s="21">
        <f t="shared" si="199"/>
        <v>0</v>
      </c>
      <c r="R192" s="20">
        <f>SUMIFS(Tabla2[B],Tabla2[ANY],$Z$150,Tabla2[MES],'2024'!R$2,Tabla2[TIPUS],'2024'!$A192)</f>
        <v>0</v>
      </c>
      <c r="S192" s="21">
        <f t="shared" si="200"/>
        <v>0</v>
      </c>
      <c r="T192" s="20">
        <f>SUMIFS(Tabla2[B],Tabla2[ANY],$Z$150,Tabla2[MES],'2024'!T$2,Tabla2[TIPUS],'2024'!$A192)</f>
        <v>0</v>
      </c>
      <c r="U192" s="21">
        <f t="shared" si="201"/>
        <v>0</v>
      </c>
      <c r="V192" s="20">
        <f>SUMIFS(Tabla2[B],Tabla2[ANY],$Z$150,Tabla2[MES],'2024'!V$2,Tabla2[TIPUS],'2024'!$A192)</f>
        <v>0</v>
      </c>
      <c r="W192" s="21">
        <f t="shared" si="202"/>
        <v>0</v>
      </c>
      <c r="X192" s="20">
        <f>SUMIFS(Tabla2[B],Tabla2[ANY],$Z$150,Tabla2[MES],'2024'!X$2,Tabla2[TIPUS],'2024'!$A192)</f>
        <v>0</v>
      </c>
      <c r="Y192" s="21">
        <f t="shared" si="203"/>
        <v>0</v>
      </c>
      <c r="Z192" s="20">
        <f t="shared" si="204"/>
        <v>0</v>
      </c>
      <c r="AA192" s="21">
        <f t="shared" si="206"/>
        <v>0</v>
      </c>
    </row>
    <row r="193" spans="1:27" hidden="1" outlineLevel="1" x14ac:dyDescent="0.2">
      <c r="A193" s="8" t="s">
        <v>94</v>
      </c>
      <c r="B193" s="20">
        <f>SUMIFS(Tabla2[B],Tabla2[ANY],$Z$150,Tabla2[MES],'2024'!B$2,Tabla2[TIPUS],'2024'!$A193)</f>
        <v>0</v>
      </c>
      <c r="C193" s="21">
        <f t="shared" si="205"/>
        <v>0</v>
      </c>
      <c r="D193" s="20">
        <f>SUMIFS(Tabla2[B],Tabla2[ANY],$Z$150,Tabla2[MES],'2024'!D$2,Tabla2[TIPUS],'2024'!$A193)</f>
        <v>0</v>
      </c>
      <c r="E193" s="21">
        <f t="shared" si="205"/>
        <v>0</v>
      </c>
      <c r="F193" s="20">
        <f>SUMIFS(Tabla2[B],Tabla2[ANY],$Z$150,Tabla2[MES],'2024'!F$2,Tabla2[TIPUS],'2024'!$A193)</f>
        <v>0</v>
      </c>
      <c r="G193" s="21">
        <f t="shared" si="194"/>
        <v>0</v>
      </c>
      <c r="H193" s="20">
        <f>SUMIFS(Tabla2[B],Tabla2[ANY],$Z$150,Tabla2[MES],'2024'!H$2,Tabla2[TIPUS],'2024'!$A193)</f>
        <v>0</v>
      </c>
      <c r="I193" s="21">
        <f t="shared" si="195"/>
        <v>0</v>
      </c>
      <c r="J193" s="20">
        <f>SUMIFS(Tabla2[B],Tabla2[ANY],$Z$150,Tabla2[MES],'2024'!J$2,Tabla2[TIPUS],'2024'!$A193)</f>
        <v>0</v>
      </c>
      <c r="K193" s="21">
        <f t="shared" si="196"/>
        <v>0</v>
      </c>
      <c r="L193" s="20">
        <f>SUMIFS(Tabla2[B],Tabla2[ANY],$Z$150,Tabla2[MES],'2024'!L$2,Tabla2[TIPUS],'2024'!$A193)</f>
        <v>0</v>
      </c>
      <c r="M193" s="21">
        <f t="shared" si="197"/>
        <v>0</v>
      </c>
      <c r="N193" s="20">
        <f>SUMIFS(Tabla2[B],Tabla2[ANY],$Z$150,Tabla2[MES],'2024'!N$2,Tabla2[TIPUS],'2024'!$A193)</f>
        <v>0</v>
      </c>
      <c r="O193" s="21">
        <f t="shared" si="198"/>
        <v>0</v>
      </c>
      <c r="P193" s="20">
        <f>SUMIFS(Tabla2[B],Tabla2[ANY],$Z$150,Tabla2[MES],'2024'!P$2,Tabla2[TIPUS],'2024'!$A193)</f>
        <v>0</v>
      </c>
      <c r="Q193" s="21">
        <f t="shared" si="199"/>
        <v>0</v>
      </c>
      <c r="R193" s="20">
        <f>SUMIFS(Tabla2[B],Tabla2[ANY],$Z$150,Tabla2[MES],'2024'!R$2,Tabla2[TIPUS],'2024'!$A193)</f>
        <v>0</v>
      </c>
      <c r="S193" s="21">
        <f t="shared" si="200"/>
        <v>0</v>
      </c>
      <c r="T193" s="20">
        <f>SUMIFS(Tabla2[B],Tabla2[ANY],$Z$150,Tabla2[MES],'2024'!T$2,Tabla2[TIPUS],'2024'!$A193)</f>
        <v>0</v>
      </c>
      <c r="U193" s="21">
        <f t="shared" si="201"/>
        <v>0</v>
      </c>
      <c r="V193" s="20">
        <f>SUMIFS(Tabla2[B],Tabla2[ANY],$Z$150,Tabla2[MES],'2024'!V$2,Tabla2[TIPUS],'2024'!$A193)</f>
        <v>0</v>
      </c>
      <c r="W193" s="21">
        <f t="shared" si="202"/>
        <v>0</v>
      </c>
      <c r="X193" s="20">
        <f>SUMIFS(Tabla2[B],Tabla2[ANY],$Z$150,Tabla2[MES],'2024'!X$2,Tabla2[TIPUS],'2024'!$A193)</f>
        <v>0</v>
      </c>
      <c r="Y193" s="21">
        <f t="shared" si="203"/>
        <v>0</v>
      </c>
      <c r="Z193" s="20">
        <f t="shared" si="204"/>
        <v>0</v>
      </c>
      <c r="AA193" s="21">
        <f t="shared" si="206"/>
        <v>0</v>
      </c>
    </row>
    <row r="194" spans="1:27" hidden="1" outlineLevel="1" x14ac:dyDescent="0.2">
      <c r="A194" s="8" t="s">
        <v>118</v>
      </c>
      <c r="B194" s="20">
        <f>SUMIFS(Tabla2[B],Tabla2[ANY],$Z$150,Tabla2[MES],'2024'!B$2,Tabla2[TIPUS],'2024'!$A194)</f>
        <v>0</v>
      </c>
      <c r="C194" s="21">
        <f t="shared" si="205"/>
        <v>0</v>
      </c>
      <c r="D194" s="20">
        <f>SUMIFS(Tabla2[B],Tabla2[ANY],$Z$150,Tabla2[MES],'2024'!D$2,Tabla2[TIPUS],'2024'!$A194)</f>
        <v>0</v>
      </c>
      <c r="E194" s="21">
        <f t="shared" si="205"/>
        <v>0</v>
      </c>
      <c r="F194" s="20">
        <f>SUMIFS(Tabla2[B],Tabla2[ANY],$Z$150,Tabla2[MES],'2024'!F$2,Tabla2[TIPUS],'2024'!$A194)</f>
        <v>0</v>
      </c>
      <c r="G194" s="21">
        <f t="shared" si="194"/>
        <v>0</v>
      </c>
      <c r="H194" s="20">
        <f>SUMIFS(Tabla2[B],Tabla2[ANY],$Z$150,Tabla2[MES],'2024'!H$2,Tabla2[TIPUS],'2024'!$A194)</f>
        <v>0</v>
      </c>
      <c r="I194" s="21">
        <f t="shared" si="195"/>
        <v>0</v>
      </c>
      <c r="J194" s="20">
        <f>SUMIFS(Tabla2[B],Tabla2[ANY],$Z$150,Tabla2[MES],'2024'!J$2,Tabla2[TIPUS],'2024'!$A194)</f>
        <v>0</v>
      </c>
      <c r="K194" s="21">
        <f t="shared" si="196"/>
        <v>0</v>
      </c>
      <c r="L194" s="20">
        <f>SUMIFS(Tabla2[B],Tabla2[ANY],$Z$150,Tabla2[MES],'2024'!L$2,Tabla2[TIPUS],'2024'!$A194)</f>
        <v>0</v>
      </c>
      <c r="M194" s="21">
        <f t="shared" si="197"/>
        <v>0</v>
      </c>
      <c r="N194" s="20">
        <f>SUMIFS(Tabla2[B],Tabla2[ANY],$Z$150,Tabla2[MES],'2024'!N$2,Tabla2[TIPUS],'2024'!$A194)</f>
        <v>0</v>
      </c>
      <c r="O194" s="21">
        <f t="shared" si="198"/>
        <v>0</v>
      </c>
      <c r="P194" s="20">
        <f>SUMIFS(Tabla2[B],Tabla2[ANY],$Z$150,Tabla2[MES],'2024'!P$2,Tabla2[TIPUS],'2024'!$A194)</f>
        <v>0</v>
      </c>
      <c r="Q194" s="21">
        <f t="shared" si="199"/>
        <v>0</v>
      </c>
      <c r="R194" s="20">
        <f>SUMIFS(Tabla2[B],Tabla2[ANY],$Z$150,Tabla2[MES],'2024'!R$2,Tabla2[TIPUS],'2024'!$A194)</f>
        <v>0</v>
      </c>
      <c r="S194" s="21">
        <f t="shared" si="200"/>
        <v>0</v>
      </c>
      <c r="T194" s="20">
        <f>SUMIFS(Tabla2[B],Tabla2[ANY],$Z$150,Tabla2[MES],'2024'!T$2,Tabla2[TIPUS],'2024'!$A194)</f>
        <v>0</v>
      </c>
      <c r="U194" s="21">
        <f t="shared" si="201"/>
        <v>0</v>
      </c>
      <c r="V194" s="20">
        <f>SUMIFS(Tabla2[B],Tabla2[ANY],$Z$150,Tabla2[MES],'2024'!V$2,Tabla2[TIPUS],'2024'!$A194)</f>
        <v>0</v>
      </c>
      <c r="W194" s="21">
        <f t="shared" si="202"/>
        <v>0</v>
      </c>
      <c r="X194" s="20">
        <f>SUMIFS(Tabla2[B],Tabla2[ANY],$Z$150,Tabla2[MES],'2024'!X$2,Tabla2[TIPUS],'2024'!$A194)</f>
        <v>0</v>
      </c>
      <c r="Y194" s="21">
        <f t="shared" si="203"/>
        <v>0</v>
      </c>
      <c r="Z194" s="20">
        <f t="shared" si="204"/>
        <v>0</v>
      </c>
      <c r="AA194" s="21">
        <f t="shared" si="206"/>
        <v>0</v>
      </c>
    </row>
    <row r="195" spans="1:27" hidden="1" outlineLevel="1" x14ac:dyDescent="0.2">
      <c r="A195" s="8" t="s">
        <v>97</v>
      </c>
      <c r="B195" s="20">
        <f>SUMIFS(Tabla2[B],Tabla2[ANY],$Z$150,Tabla2[MES],'2024'!B$2,Tabla2[TIPUS],'2024'!$A195)</f>
        <v>0</v>
      </c>
      <c r="C195" s="21">
        <f t="shared" si="205"/>
        <v>0</v>
      </c>
      <c r="D195" s="20">
        <f>SUMIFS(Tabla2[B],Tabla2[ANY],$Z$150,Tabla2[MES],'2024'!D$2,Tabla2[TIPUS],'2024'!$A195)</f>
        <v>0</v>
      </c>
      <c r="E195" s="21">
        <f t="shared" si="205"/>
        <v>0</v>
      </c>
      <c r="F195" s="20">
        <f>SUMIFS(Tabla2[B],Tabla2[ANY],$Z$150,Tabla2[MES],'2024'!F$2,Tabla2[TIPUS],'2024'!$A195)</f>
        <v>0</v>
      </c>
      <c r="G195" s="21">
        <f t="shared" si="194"/>
        <v>0</v>
      </c>
      <c r="H195" s="20">
        <f>SUMIFS(Tabla2[B],Tabla2[ANY],$Z$150,Tabla2[MES],'2024'!H$2,Tabla2[TIPUS],'2024'!$A195)</f>
        <v>0</v>
      </c>
      <c r="I195" s="21">
        <f t="shared" si="195"/>
        <v>0</v>
      </c>
      <c r="J195" s="20">
        <f>SUMIFS(Tabla2[B],Tabla2[ANY],$Z$150,Tabla2[MES],'2024'!J$2,Tabla2[TIPUS],'2024'!$A195)</f>
        <v>0</v>
      </c>
      <c r="K195" s="21">
        <f t="shared" si="196"/>
        <v>0</v>
      </c>
      <c r="L195" s="20">
        <f>SUMIFS(Tabla2[B],Tabla2[ANY],$Z$150,Tabla2[MES],'2024'!L$2,Tabla2[TIPUS],'2024'!$A195)</f>
        <v>0</v>
      </c>
      <c r="M195" s="21">
        <f t="shared" si="197"/>
        <v>0</v>
      </c>
      <c r="N195" s="20">
        <f>SUMIFS(Tabla2[B],Tabla2[ANY],$Z$150,Tabla2[MES],'2024'!N$2,Tabla2[TIPUS],'2024'!$A195)</f>
        <v>0</v>
      </c>
      <c r="O195" s="21">
        <f t="shared" si="198"/>
        <v>0</v>
      </c>
      <c r="P195" s="20">
        <f>SUMIFS(Tabla2[B],Tabla2[ANY],$Z$150,Tabla2[MES],'2024'!P$2,Tabla2[TIPUS],'2024'!$A195)</f>
        <v>0</v>
      </c>
      <c r="Q195" s="21">
        <f t="shared" si="199"/>
        <v>0</v>
      </c>
      <c r="R195" s="20">
        <f>SUMIFS(Tabla2[B],Tabla2[ANY],$Z$150,Tabla2[MES],'2024'!R$2,Tabla2[TIPUS],'2024'!$A195)</f>
        <v>0</v>
      </c>
      <c r="S195" s="21">
        <f t="shared" si="200"/>
        <v>0</v>
      </c>
      <c r="T195" s="20">
        <f>SUMIFS(Tabla2[B],Tabla2[ANY],$Z$150,Tabla2[MES],'2024'!T$2,Tabla2[TIPUS],'2024'!$A195)</f>
        <v>0</v>
      </c>
      <c r="U195" s="21">
        <f t="shared" si="201"/>
        <v>0</v>
      </c>
      <c r="V195" s="20">
        <f>SUMIFS(Tabla2[B],Tabla2[ANY],$Z$150,Tabla2[MES],'2024'!V$2,Tabla2[TIPUS],'2024'!$A195)</f>
        <v>0</v>
      </c>
      <c r="W195" s="21">
        <f t="shared" si="202"/>
        <v>0</v>
      </c>
      <c r="X195" s="20">
        <f>SUMIFS(Tabla2[B],Tabla2[ANY],$Z$150,Tabla2[MES],'2024'!X$2,Tabla2[TIPUS],'2024'!$A195)</f>
        <v>0</v>
      </c>
      <c r="Y195" s="21">
        <f t="shared" si="203"/>
        <v>0</v>
      </c>
      <c r="Z195" s="20">
        <f t="shared" si="204"/>
        <v>0</v>
      </c>
      <c r="AA195" s="21">
        <f t="shared" si="206"/>
        <v>0</v>
      </c>
    </row>
    <row r="196" spans="1:27" hidden="1" outlineLevel="1" x14ac:dyDescent="0.2">
      <c r="A196" s="8" t="s">
        <v>113</v>
      </c>
      <c r="B196" s="20">
        <f>SUMIFS(Tabla2[B],Tabla2[ANY],$Z$150,Tabla2[MES],'2024'!B$2,Tabla2[TIPUS],'2024'!$A196)</f>
        <v>0</v>
      </c>
      <c r="C196" s="21">
        <f t="shared" si="205"/>
        <v>0</v>
      </c>
      <c r="D196" s="20">
        <f>SUMIFS(Tabla2[B],Tabla2[ANY],$Z$150,Tabla2[MES],'2024'!D$2,Tabla2[TIPUS],'2024'!$A196)</f>
        <v>0</v>
      </c>
      <c r="E196" s="21">
        <f t="shared" si="205"/>
        <v>0</v>
      </c>
      <c r="F196" s="20">
        <f>SUMIFS(Tabla2[B],Tabla2[ANY],$Z$150,Tabla2[MES],'2024'!F$2,Tabla2[TIPUS],'2024'!$A196)</f>
        <v>0</v>
      </c>
      <c r="G196" s="21">
        <f t="shared" si="194"/>
        <v>0</v>
      </c>
      <c r="H196" s="20">
        <f>SUMIFS(Tabla2[B],Tabla2[ANY],$Z$150,Tabla2[MES],'2024'!H$2,Tabla2[TIPUS],'2024'!$A196)</f>
        <v>0</v>
      </c>
      <c r="I196" s="21">
        <f t="shared" si="195"/>
        <v>0</v>
      </c>
      <c r="J196" s="20">
        <f>SUMIFS(Tabla2[B],Tabla2[ANY],$Z$150,Tabla2[MES],'2024'!J$2,Tabla2[TIPUS],'2024'!$A196)</f>
        <v>0</v>
      </c>
      <c r="K196" s="21">
        <f t="shared" si="196"/>
        <v>0</v>
      </c>
      <c r="L196" s="20">
        <f>SUMIFS(Tabla2[B],Tabla2[ANY],$Z$150,Tabla2[MES],'2024'!L$2,Tabla2[TIPUS],'2024'!$A196)</f>
        <v>0</v>
      </c>
      <c r="M196" s="21">
        <f t="shared" si="197"/>
        <v>0</v>
      </c>
      <c r="N196" s="20">
        <f>SUMIFS(Tabla2[B],Tabla2[ANY],$Z$150,Tabla2[MES],'2024'!N$2,Tabla2[TIPUS],'2024'!$A196)</f>
        <v>0</v>
      </c>
      <c r="O196" s="21">
        <f t="shared" si="198"/>
        <v>0</v>
      </c>
      <c r="P196" s="20">
        <f>SUMIFS(Tabla2[B],Tabla2[ANY],$Z$150,Tabla2[MES],'2024'!P$2,Tabla2[TIPUS],'2024'!$A196)</f>
        <v>0</v>
      </c>
      <c r="Q196" s="21">
        <f t="shared" si="199"/>
        <v>0</v>
      </c>
      <c r="R196" s="20">
        <f>SUMIFS(Tabla2[B],Tabla2[ANY],$Z$150,Tabla2[MES],'2024'!R$2,Tabla2[TIPUS],'2024'!$A196)</f>
        <v>0</v>
      </c>
      <c r="S196" s="21">
        <f t="shared" si="200"/>
        <v>0</v>
      </c>
      <c r="T196" s="20">
        <f>SUMIFS(Tabla2[B],Tabla2[ANY],$Z$150,Tabla2[MES],'2024'!T$2,Tabla2[TIPUS],'2024'!$A196)</f>
        <v>0</v>
      </c>
      <c r="U196" s="21">
        <f t="shared" si="201"/>
        <v>0</v>
      </c>
      <c r="V196" s="20">
        <f>SUMIFS(Tabla2[B],Tabla2[ANY],$Z$150,Tabla2[MES],'2024'!V$2,Tabla2[TIPUS],'2024'!$A196)</f>
        <v>0</v>
      </c>
      <c r="W196" s="21">
        <f t="shared" si="202"/>
        <v>0</v>
      </c>
      <c r="X196" s="20">
        <f>SUMIFS(Tabla2[B],Tabla2[ANY],$Z$150,Tabla2[MES],'2024'!X$2,Tabla2[TIPUS],'2024'!$A196)</f>
        <v>0</v>
      </c>
      <c r="Y196" s="21">
        <f t="shared" si="203"/>
        <v>0</v>
      </c>
      <c r="Z196" s="20">
        <f t="shared" si="204"/>
        <v>0</v>
      </c>
      <c r="AA196" s="21">
        <f t="shared" si="206"/>
        <v>0</v>
      </c>
    </row>
    <row r="197" spans="1:27" collapsed="1" x14ac:dyDescent="0.2">
      <c r="A197" s="34" t="s">
        <v>86</v>
      </c>
      <c r="B197" s="18">
        <f>SUM(B198:B202)</f>
        <v>290</v>
      </c>
      <c r="C197" s="19">
        <f>IF(B$188=0,0,B197/B$188)</f>
        <v>0.65909090909090906</v>
      </c>
      <c r="D197" s="18">
        <f>SUM(D198:D202)</f>
        <v>521</v>
      </c>
      <c r="E197" s="19">
        <f>IF(D$188=0,0,D197/D$188)</f>
        <v>0.7764530551415797</v>
      </c>
      <c r="F197" s="18">
        <f>SUM(F198:F202)</f>
        <v>150</v>
      </c>
      <c r="G197" s="19">
        <f>IF(F$188=0,0,F197/F$188)</f>
        <v>0.5</v>
      </c>
      <c r="H197" s="18">
        <f>SUM(H198:H202)</f>
        <v>350</v>
      </c>
      <c r="I197" s="19">
        <f>IF(H$188=0,0,H197/H$188)</f>
        <v>0.7</v>
      </c>
      <c r="J197" s="18">
        <f>SUM(J198:J202)</f>
        <v>596.6</v>
      </c>
      <c r="K197" s="19">
        <f>IF(J$188=0,0,J197/J$188)</f>
        <v>0.79908920439324937</v>
      </c>
      <c r="L197" s="18">
        <f>SUM(L198:L202)</f>
        <v>386.36</v>
      </c>
      <c r="M197" s="19">
        <f>IF(L$188=0,0,L197/L$188)</f>
        <v>0.72033708703109856</v>
      </c>
      <c r="N197" s="18">
        <f>SUM(N198:N202)</f>
        <v>263.98</v>
      </c>
      <c r="O197" s="19">
        <f>IF(N$188=0,0,N197/N$188)</f>
        <v>0.63766365524904589</v>
      </c>
      <c r="P197" s="18">
        <f>SUM(P198:P202)</f>
        <v>90</v>
      </c>
      <c r="Q197" s="19">
        <f>IF(P$188=0,0,P197/P$188)</f>
        <v>0.375</v>
      </c>
      <c r="R197" s="18">
        <f>SUM(R198:R202)</f>
        <v>150</v>
      </c>
      <c r="S197" s="19">
        <f>IF(R$188=0,0,R197/R$188)</f>
        <v>0.5</v>
      </c>
      <c r="T197" s="18">
        <f>SUM(T198:T202)</f>
        <v>150</v>
      </c>
      <c r="U197" s="19">
        <f>IF(T$188=0,0,T197/T$188)</f>
        <v>0.5</v>
      </c>
      <c r="V197" s="18">
        <f>SUM(V198:V202)</f>
        <v>548</v>
      </c>
      <c r="W197" s="19">
        <f>IF(V$188=0,0,V197/V$188)</f>
        <v>0.78510028653295127</v>
      </c>
      <c r="X197" s="18">
        <f>SUM(X198:X202)</f>
        <v>490</v>
      </c>
      <c r="Y197" s="19">
        <f>IF(X$188=0,0,X197/X$188)</f>
        <v>0.765625</v>
      </c>
      <c r="Z197" s="18">
        <f>SUM(Z198:Z202)</f>
        <v>3985.94</v>
      </c>
      <c r="AA197" s="19">
        <f>IF(Z$40=0,0,Z197/Z$40)</f>
        <v>0.25286299009594476</v>
      </c>
    </row>
    <row r="198" spans="1:27" hidden="1" outlineLevel="1" x14ac:dyDescent="0.2">
      <c r="A198" s="8" t="s">
        <v>87</v>
      </c>
      <c r="B198" s="20">
        <f>SUMIFS(Tabla2[B],Tabla2[ANY],$Z$150,Tabla2[MES],'2024'!B$2,Tabla2[TIPUS],'2024'!$A198)</f>
        <v>0</v>
      </c>
      <c r="C198" s="21">
        <f>IF(B$197=0,0,B198/B$197)</f>
        <v>0</v>
      </c>
      <c r="D198" s="20">
        <f>SUMIFS(Tabla2[B],Tabla2[ANY],$Z$150,Tabla2[MES],'2024'!D$2,Tabla2[TIPUS],'2024'!$A198)</f>
        <v>0</v>
      </c>
      <c r="E198" s="21">
        <f>IF(D$197=0,0,D198/D$197)</f>
        <v>0</v>
      </c>
      <c r="F198" s="20">
        <f>SUMIFS(Tabla2[B],Tabla2[ANY],$Z$150,Tabla2[MES],'2024'!F$2,Tabla2[TIPUS],'2024'!$A198)</f>
        <v>0</v>
      </c>
      <c r="G198" s="21">
        <f>IF(F$197=0,0,F198/F$197)</f>
        <v>0</v>
      </c>
      <c r="H198" s="20">
        <f>SUMIFS(Tabla2[B],Tabla2[ANY],$Z$150,Tabla2[MES],'2024'!H$2,Tabla2[TIPUS],'2024'!$A198)</f>
        <v>0</v>
      </c>
      <c r="I198" s="21">
        <f>IF(H$197=0,0,H198/H$197)</f>
        <v>0</v>
      </c>
      <c r="J198" s="20">
        <f>SUMIFS(Tabla2[B],Tabla2[ANY],$Z$150,Tabla2[MES],'2024'!J$2,Tabla2[TIPUS],'2024'!$A198)</f>
        <v>0</v>
      </c>
      <c r="K198" s="21">
        <f>IF(J$197=0,0,J198/J$197)</f>
        <v>0</v>
      </c>
      <c r="L198" s="20">
        <f>SUMIFS(Tabla2[B],Tabla2[ANY],$Z$150,Tabla2[MES],'2024'!L$2,Tabla2[TIPUS],'2024'!$A198)</f>
        <v>0</v>
      </c>
      <c r="M198" s="21">
        <f>IF(L$197=0,0,L198/L$197)</f>
        <v>0</v>
      </c>
      <c r="N198" s="20">
        <f>SUMIFS(Tabla2[B],Tabla2[ANY],$Z$150,Tabla2[MES],'2024'!N$2,Tabla2[TIPUS],'2024'!$A198)</f>
        <v>0</v>
      </c>
      <c r="O198" s="21">
        <f>IF(N$197=0,0,N198/N$197)</f>
        <v>0</v>
      </c>
      <c r="P198" s="20">
        <f>SUMIFS(Tabla2[B],Tabla2[ANY],$Z$150,Tabla2[MES],'2024'!P$2,Tabla2[TIPUS],'2024'!$A198)</f>
        <v>0</v>
      </c>
      <c r="Q198" s="21">
        <f>IF(P$197=0,0,P198/P$197)</f>
        <v>0</v>
      </c>
      <c r="R198" s="20">
        <f>SUMIFS(Tabla2[B],Tabla2[ANY],$Z$150,Tabla2[MES],'2024'!R$2,Tabla2[TIPUS],'2024'!$A198)</f>
        <v>0</v>
      </c>
      <c r="S198" s="21">
        <f>IF(R$197=0,0,R198/R$197)</f>
        <v>0</v>
      </c>
      <c r="T198" s="20">
        <f>SUMIFS(Tabla2[B],Tabla2[ANY],$Z$150,Tabla2[MES],'2024'!T$2,Tabla2[TIPUS],'2024'!$A198)</f>
        <v>0</v>
      </c>
      <c r="U198" s="21">
        <f>IF(T$197=0,0,T198/T$197)</f>
        <v>0</v>
      </c>
      <c r="V198" s="20">
        <f>SUMIFS(Tabla2[B],Tabla2[ANY],$Z$150,Tabla2[MES],'2024'!V$2,Tabla2[TIPUS],'2024'!$A198)</f>
        <v>0</v>
      </c>
      <c r="W198" s="21">
        <f>IF(V$197=0,0,V198/V$197)</f>
        <v>0</v>
      </c>
      <c r="X198" s="20">
        <f>SUMIFS(Tabla2[B],Tabla2[ANY],$Z$150,Tabla2[MES],'2024'!X$2,Tabla2[TIPUS],'2024'!$A198)</f>
        <v>0</v>
      </c>
      <c r="Y198" s="21">
        <f>IF(X$197=0,0,X198/X$197)</f>
        <v>0</v>
      </c>
      <c r="Z198" s="20">
        <f t="shared" si="204"/>
        <v>0</v>
      </c>
      <c r="AA198" s="21">
        <f>IF(Z$49=0,0,Z198/Z$49)</f>
        <v>0</v>
      </c>
    </row>
    <row r="199" spans="1:27" hidden="1" outlineLevel="1" x14ac:dyDescent="0.2">
      <c r="A199" s="8" t="s">
        <v>88</v>
      </c>
      <c r="B199" s="20">
        <f>SUMIFS(Tabla2[B],Tabla2[ANY],$Z$150,Tabla2[MES],'2024'!B$2,Tabla2[TIPUS],'2024'!$A199)</f>
        <v>0</v>
      </c>
      <c r="C199" s="21">
        <f t="shared" ref="C199:E202" si="207">IF(B$197=0,0,B199/B$197)</f>
        <v>0</v>
      </c>
      <c r="D199" s="20">
        <f>SUMIFS(Tabla2[B],Tabla2[ANY],$Z$150,Tabla2[MES],'2024'!D$2,Tabla2[TIPUS],'2024'!$A199)</f>
        <v>0</v>
      </c>
      <c r="E199" s="21">
        <f t="shared" si="207"/>
        <v>0</v>
      </c>
      <c r="F199" s="20">
        <f>SUMIFS(Tabla2[B],Tabla2[ANY],$Z$150,Tabla2[MES],'2024'!F$2,Tabla2[TIPUS],'2024'!$A199)</f>
        <v>0</v>
      </c>
      <c r="G199" s="21">
        <f>IF(F$197=0,0,F199/F$197)</f>
        <v>0</v>
      </c>
      <c r="H199" s="20">
        <f>SUMIFS(Tabla2[B],Tabla2[ANY],$Z$150,Tabla2[MES],'2024'!H$2,Tabla2[TIPUS],'2024'!$A199)</f>
        <v>0</v>
      </c>
      <c r="I199" s="21">
        <f>IF(H$197=0,0,H199/H$197)</f>
        <v>0</v>
      </c>
      <c r="J199" s="20">
        <f>SUMIFS(Tabla2[B],Tabla2[ANY],$Z$150,Tabla2[MES],'2024'!J$2,Tabla2[TIPUS],'2024'!$A199)</f>
        <v>0</v>
      </c>
      <c r="K199" s="21">
        <f>IF(J$197=0,0,J199/J$197)</f>
        <v>0</v>
      </c>
      <c r="L199" s="20">
        <f>SUMIFS(Tabla2[B],Tabla2[ANY],$Z$150,Tabla2[MES],'2024'!L$2,Tabla2[TIPUS],'2024'!$A199)</f>
        <v>0</v>
      </c>
      <c r="M199" s="21">
        <f>IF(L$197=0,0,L199/L$197)</f>
        <v>0</v>
      </c>
      <c r="N199" s="20">
        <f>SUMIFS(Tabla2[B],Tabla2[ANY],$Z$150,Tabla2[MES],'2024'!N$2,Tabla2[TIPUS],'2024'!$A199)</f>
        <v>0</v>
      </c>
      <c r="O199" s="21">
        <f>IF(N$197=0,0,N199/N$197)</f>
        <v>0</v>
      </c>
      <c r="P199" s="20">
        <f>SUMIFS(Tabla2[B],Tabla2[ANY],$Z$150,Tabla2[MES],'2024'!P$2,Tabla2[TIPUS],'2024'!$A199)</f>
        <v>0</v>
      </c>
      <c r="Q199" s="21">
        <f>IF(P$197=0,0,P199/P$197)</f>
        <v>0</v>
      </c>
      <c r="R199" s="20">
        <f>SUMIFS(Tabla2[B],Tabla2[ANY],$Z$150,Tabla2[MES],'2024'!R$2,Tabla2[TIPUS],'2024'!$A199)</f>
        <v>0</v>
      </c>
      <c r="S199" s="21">
        <f>IF(R$197=0,0,R199/R$197)</f>
        <v>0</v>
      </c>
      <c r="T199" s="20">
        <f>SUMIFS(Tabla2[B],Tabla2[ANY],$Z$150,Tabla2[MES],'2024'!T$2,Tabla2[TIPUS],'2024'!$A199)</f>
        <v>0</v>
      </c>
      <c r="U199" s="21">
        <f>IF(T$197=0,0,T199/T$197)</f>
        <v>0</v>
      </c>
      <c r="V199" s="20">
        <f>SUMIFS(Tabla2[B],Tabla2[ANY],$Z$150,Tabla2[MES],'2024'!V$2,Tabla2[TIPUS],'2024'!$A199)</f>
        <v>0</v>
      </c>
      <c r="W199" s="21">
        <f>IF(V$197=0,0,V199/V$197)</f>
        <v>0</v>
      </c>
      <c r="X199" s="20">
        <f>SUMIFS(Tabla2[B],Tabla2[ANY],$Z$150,Tabla2[MES],'2024'!X$2,Tabla2[TIPUS],'2024'!$A199)</f>
        <v>0</v>
      </c>
      <c r="Y199" s="21">
        <f>IF(X$197=0,0,X199/X$197)</f>
        <v>0</v>
      </c>
      <c r="Z199" s="20">
        <f t="shared" si="204"/>
        <v>0</v>
      </c>
      <c r="AA199" s="21">
        <f>IF(Z$49=0,0,Z199/Z$49)</f>
        <v>0</v>
      </c>
    </row>
    <row r="200" spans="1:27" hidden="1" outlineLevel="1" x14ac:dyDescent="0.2">
      <c r="A200" s="8" t="s">
        <v>89</v>
      </c>
      <c r="B200" s="20">
        <f>SUMIFS(Tabla2[B],Tabla2[ANY],$Z$150,Tabla2[MES],'2024'!B$2,Tabla2[TIPUS],'2024'!$A200)</f>
        <v>0</v>
      </c>
      <c r="C200" s="21">
        <f t="shared" si="207"/>
        <v>0</v>
      </c>
      <c r="D200" s="20">
        <f>SUMIFS(Tabla2[B],Tabla2[ANY],$Z$150,Tabla2[MES],'2024'!D$2,Tabla2[TIPUS],'2024'!$A200)</f>
        <v>36</v>
      </c>
      <c r="E200" s="21">
        <f t="shared" si="207"/>
        <v>6.9097888675623803E-2</v>
      </c>
      <c r="F200" s="20">
        <f>SUMIFS(Tabla2[B],Tabla2[ANY],$Z$150,Tabla2[MES],'2024'!F$2,Tabla2[TIPUS],'2024'!$A200)</f>
        <v>0</v>
      </c>
      <c r="G200" s="21">
        <f>IF(F$197=0,0,F200/F$197)</f>
        <v>0</v>
      </c>
      <c r="H200" s="20">
        <f>SUMIFS(Tabla2[B],Tabla2[ANY],$Z$150,Tabla2[MES],'2024'!H$2,Tabla2[TIPUS],'2024'!$A200)</f>
        <v>0</v>
      </c>
      <c r="I200" s="21">
        <f>IF(H$197=0,0,H200/H$197)</f>
        <v>0</v>
      </c>
      <c r="J200" s="20">
        <f>SUMIFS(Tabla2[B],Tabla2[ANY],$Z$150,Tabla2[MES],'2024'!J$2,Tabla2[TIPUS],'2024'!$A200)</f>
        <v>371.6</v>
      </c>
      <c r="K200" s="21">
        <f>IF(J$197=0,0,J200/J$197)</f>
        <v>0.62286288970834736</v>
      </c>
      <c r="L200" s="20">
        <f>SUMIFS(Tabla2[B],Tabla2[ANY],$Z$150,Tabla2[MES],'2024'!L$2,Tabla2[TIPUS],'2024'!$A200)</f>
        <v>176.36</v>
      </c>
      <c r="M200" s="21">
        <f>IF(L$197=0,0,L200/L$197)</f>
        <v>0.4564654726162129</v>
      </c>
      <c r="N200" s="20">
        <f>SUMIFS(Tabla2[B],Tabla2[ANY],$Z$150,Tabla2[MES],'2024'!N$2,Tabla2[TIPUS],'2024'!$A200)</f>
        <v>83.98</v>
      </c>
      <c r="O200" s="21">
        <f>IF(N$197=0,0,N200/N$197)</f>
        <v>0.31813016137586181</v>
      </c>
      <c r="P200" s="20">
        <f>SUMIFS(Tabla2[B],Tabla2[ANY],$Z$150,Tabla2[MES],'2024'!P$2,Tabla2[TIPUS],'2024'!$A200)</f>
        <v>0</v>
      </c>
      <c r="Q200" s="21">
        <f>IF(P$197=0,0,P200/P$197)</f>
        <v>0</v>
      </c>
      <c r="R200" s="20">
        <f>SUMIFS(Tabla2[B],Tabla2[ANY],$Z$150,Tabla2[MES],'2024'!R$2,Tabla2[TIPUS],'2024'!$A200)</f>
        <v>0</v>
      </c>
      <c r="S200" s="21">
        <f>IF(R$197=0,0,R200/R$197)</f>
        <v>0</v>
      </c>
      <c r="T200" s="20">
        <f>SUMIFS(Tabla2[B],Tabla2[ANY],$Z$150,Tabla2[MES],'2024'!T$2,Tabla2[TIPUS],'2024'!$A200)</f>
        <v>0</v>
      </c>
      <c r="U200" s="21">
        <f>IF(T$197=0,0,T200/T$197)</f>
        <v>0</v>
      </c>
      <c r="V200" s="20">
        <f>SUMIFS(Tabla2[B],Tabla2[ANY],$Z$150,Tabla2[MES],'2024'!V$2,Tabla2[TIPUS],'2024'!$A200)</f>
        <v>148</v>
      </c>
      <c r="W200" s="21">
        <f>IF(V$197=0,0,V200/V$197)</f>
        <v>0.27007299270072993</v>
      </c>
      <c r="X200" s="20">
        <f>SUMIFS(Tabla2[B],Tabla2[ANY],$Z$150,Tabla2[MES],'2024'!X$2,Tabla2[TIPUS],'2024'!$A200)</f>
        <v>75</v>
      </c>
      <c r="Y200" s="21">
        <f>IF(X$197=0,0,X200/X$197)</f>
        <v>0.15306122448979592</v>
      </c>
      <c r="Z200" s="20">
        <f t="shared" si="204"/>
        <v>890.94</v>
      </c>
      <c r="AA200" s="21">
        <f>IF(Z$49=0,0,Z200/Z$49)</f>
        <v>0.12177267024036346</v>
      </c>
    </row>
    <row r="201" spans="1:27" hidden="1" outlineLevel="1" x14ac:dyDescent="0.2">
      <c r="A201" s="8" t="s">
        <v>145</v>
      </c>
      <c r="B201" s="20">
        <f>SUMIFS(Tabla2[B],Tabla2[ANY],$Z$150,Tabla2[MES],'2024'!B$2,Tabla2[TIPUS],'2024'!$A201)</f>
        <v>0</v>
      </c>
      <c r="C201" s="21">
        <f>IF(B$197=0,0,B201/B$197)</f>
        <v>0</v>
      </c>
      <c r="D201" s="20">
        <f>SUMIFS(Tabla2[B],Tabla2[ANY],$Z$150,Tabla2[MES],'2024'!D$2,Tabla2[TIPUS],'2024'!$A201)</f>
        <v>0</v>
      </c>
      <c r="E201" s="21">
        <f>IF(D$197=0,0,D201/D$197)</f>
        <v>0</v>
      </c>
      <c r="F201" s="20">
        <f>SUMIFS(Tabla2[B],Tabla2[ANY],$Z$150,Tabla2[MES],'2024'!F$2,Tabla2[TIPUS],'2024'!$A201)</f>
        <v>0</v>
      </c>
      <c r="G201" s="21">
        <f>IF(F$197=0,0,F201/F$197)</f>
        <v>0</v>
      </c>
      <c r="H201" s="20">
        <f>SUMIFS(Tabla2[B],Tabla2[ANY],$Z$150,Tabla2[MES],'2024'!H$2,Tabla2[TIPUS],'2024'!$A201)</f>
        <v>0</v>
      </c>
      <c r="I201" s="21">
        <f>IF(H$197=0,0,H201/H$197)</f>
        <v>0</v>
      </c>
      <c r="J201" s="20">
        <f>SUMIFS(Tabla2[B],Tabla2[ANY],$Z$150,Tabla2[MES],'2024'!J$2,Tabla2[TIPUS],'2024'!$A201)</f>
        <v>0</v>
      </c>
      <c r="K201" s="21">
        <f>IF(J$197=0,0,J201/J$197)</f>
        <v>0</v>
      </c>
      <c r="L201" s="20">
        <f>SUMIFS(Tabla2[B],Tabla2[ANY],$Z$150,Tabla2[MES],'2024'!L$2,Tabla2[TIPUS],'2024'!$A201)</f>
        <v>0</v>
      </c>
      <c r="M201" s="21">
        <f>IF(L$197=0,0,L201/L$197)</f>
        <v>0</v>
      </c>
      <c r="N201" s="20">
        <f>SUMIFS(Tabla2[B],Tabla2[ANY],$Z$150,Tabla2[MES],'2024'!N$2,Tabla2[TIPUS],'2024'!$A201)</f>
        <v>0</v>
      </c>
      <c r="O201" s="21">
        <f>IF(N$197=0,0,N201/N$197)</f>
        <v>0</v>
      </c>
      <c r="P201" s="20">
        <f>SUMIFS(Tabla2[B],Tabla2[ANY],$Z$150,Tabla2[MES],'2024'!P$2,Tabla2[TIPUS],'2024'!$A201)</f>
        <v>0</v>
      </c>
      <c r="Q201" s="21">
        <f>IF(P$197=0,0,P201/P$197)</f>
        <v>0</v>
      </c>
      <c r="R201" s="20">
        <f>SUMIFS(Tabla2[B],Tabla2[ANY],$Z$150,Tabla2[MES],'2024'!R$2,Tabla2[TIPUS],'2024'!$A201)</f>
        <v>0</v>
      </c>
      <c r="S201" s="21">
        <f>IF(R$197=0,0,R201/R$197)</f>
        <v>0</v>
      </c>
      <c r="T201" s="20">
        <f>SUMIFS(Tabla2[B],Tabla2[ANY],$Z$150,Tabla2[MES],'2024'!T$2,Tabla2[TIPUS],'2024'!$A201)</f>
        <v>0</v>
      </c>
      <c r="U201" s="21">
        <f>IF(T$197=0,0,T201/T$197)</f>
        <v>0</v>
      </c>
      <c r="V201" s="20">
        <f>SUMIFS(Tabla2[B],Tabla2[ANY],$Z$150,Tabla2[MES],'2024'!V$2,Tabla2[TIPUS],'2024'!$A201)</f>
        <v>0</v>
      </c>
      <c r="W201" s="21">
        <f>IF(V$197=0,0,V201/V$197)</f>
        <v>0</v>
      </c>
      <c r="X201" s="20">
        <f>SUMIFS(Tabla2[B],Tabla2[ANY],$Z$150,Tabla2[MES],'2024'!X$2,Tabla2[TIPUS],'2024'!$A201)</f>
        <v>0</v>
      </c>
      <c r="Y201" s="21">
        <f>IF(X$197=0,0,X201/X$197)</f>
        <v>0</v>
      </c>
      <c r="Z201" s="20">
        <f>B201+D201+F201+H201+J201+L201+N201+P201+R201+T201+V201+X201</f>
        <v>0</v>
      </c>
      <c r="AA201" s="21">
        <f>IF(Z$49=0,0,Z201/Z$49)</f>
        <v>0</v>
      </c>
    </row>
    <row r="202" spans="1:27" hidden="1" outlineLevel="1" x14ac:dyDescent="0.2">
      <c r="A202" s="8" t="s">
        <v>90</v>
      </c>
      <c r="B202" s="20">
        <f>SUMIFS(Tabla2[B],Tabla2[ANY],$Z$150,Tabla2[MES],'2024'!B$2,Tabla2[TIPUS],'2024'!$A202)</f>
        <v>290</v>
      </c>
      <c r="C202" s="21">
        <f t="shared" si="207"/>
        <v>1</v>
      </c>
      <c r="D202" s="20">
        <f>SUMIFS(Tabla2[B],Tabla2[ANY],$Z$150,Tabla2[MES],'2024'!D$2,Tabla2[TIPUS],'2024'!$A202)</f>
        <v>485</v>
      </c>
      <c r="E202" s="21">
        <f t="shared" si="207"/>
        <v>0.93090211132437617</v>
      </c>
      <c r="F202" s="20">
        <f>SUMIFS(Tabla2[B],Tabla2[ANY],$Z$150,Tabla2[MES],'2024'!F$2,Tabla2[TIPUS],'2024'!$A202)</f>
        <v>150</v>
      </c>
      <c r="G202" s="21">
        <f>IF(F$197=0,0,F202/F$197)</f>
        <v>1</v>
      </c>
      <c r="H202" s="20">
        <f>SUMIFS(Tabla2[B],Tabla2[ANY],$Z$150,Tabla2[MES],'2024'!H$2,Tabla2[TIPUS],'2024'!$A202)</f>
        <v>350</v>
      </c>
      <c r="I202" s="21">
        <f>IF(H$197=0,0,H202/H$197)</f>
        <v>1</v>
      </c>
      <c r="J202" s="20">
        <f>SUMIFS(Tabla2[B],Tabla2[ANY],$Z$150,Tabla2[MES],'2024'!J$2,Tabla2[TIPUS],'2024'!$A202)</f>
        <v>225</v>
      </c>
      <c r="K202" s="21">
        <f>IF(J$197=0,0,J202/J$197)</f>
        <v>0.3771371102916527</v>
      </c>
      <c r="L202" s="20">
        <f>SUMIFS(Tabla2[B],Tabla2[ANY],$Z$150,Tabla2[MES],'2024'!L$2,Tabla2[TIPUS],'2024'!$A202)</f>
        <v>210</v>
      </c>
      <c r="M202" s="21">
        <f>IF(L$197=0,0,L202/L$197)</f>
        <v>0.54353452738378716</v>
      </c>
      <c r="N202" s="20">
        <f>SUMIFS(Tabla2[B],Tabla2[ANY],$Z$150,Tabla2[MES],'2024'!N$2,Tabla2[TIPUS],'2024'!$A202)</f>
        <v>180</v>
      </c>
      <c r="O202" s="21">
        <f>IF(N$197=0,0,N202/N$197)</f>
        <v>0.68186983862413819</v>
      </c>
      <c r="P202" s="20">
        <f>SUMIFS(Tabla2[B],Tabla2[ANY],$Z$150,Tabla2[MES],'2024'!P$2,Tabla2[TIPUS],'2024'!$A202)</f>
        <v>90</v>
      </c>
      <c r="Q202" s="21">
        <f>IF(P$197=0,0,P202/P$197)</f>
        <v>1</v>
      </c>
      <c r="R202" s="20">
        <f>SUMIFS(Tabla2[B],Tabla2[ANY],$Z$150,Tabla2[MES],'2024'!R$2,Tabla2[TIPUS],'2024'!$A202)</f>
        <v>150</v>
      </c>
      <c r="S202" s="21">
        <f>IF(R$197=0,0,R202/R$197)</f>
        <v>1</v>
      </c>
      <c r="T202" s="20">
        <f>SUMIFS(Tabla2[B],Tabla2[ANY],$Z$150,Tabla2[MES],'2024'!T$2,Tabla2[TIPUS],'2024'!$A202)</f>
        <v>150</v>
      </c>
      <c r="U202" s="21">
        <f>IF(T$197=0,0,T202/T$197)</f>
        <v>1</v>
      </c>
      <c r="V202" s="20">
        <f>SUMIFS(Tabla2[B],Tabla2[ANY],$Z$150,Tabla2[MES],'2024'!V$2,Tabla2[TIPUS],'2024'!$A202)</f>
        <v>400</v>
      </c>
      <c r="W202" s="21">
        <f>IF(V$197=0,0,V202/V$197)</f>
        <v>0.72992700729927007</v>
      </c>
      <c r="X202" s="20">
        <f>SUMIFS(Tabla2[B],Tabla2[ANY],$Z$150,Tabla2[MES],'2024'!X$2,Tabla2[TIPUS],'2024'!$A202)</f>
        <v>415</v>
      </c>
      <c r="Y202" s="21">
        <f>IF(X$197=0,0,X202/X$197)</f>
        <v>0.84693877551020413</v>
      </c>
      <c r="Z202" s="20">
        <f t="shared" si="204"/>
        <v>3095</v>
      </c>
      <c r="AA202" s="21">
        <f>IF(Z$49=0,0,Z202/Z$49)</f>
        <v>0.42302109501641511</v>
      </c>
    </row>
    <row r="203" spans="1:27" ht="15.75" collapsed="1" thickBot="1" x14ac:dyDescent="0.25">
      <c r="A203" s="15" t="s">
        <v>121</v>
      </c>
      <c r="B203" s="26">
        <f>B151-B188</f>
        <v>2655</v>
      </c>
      <c r="C203" s="27">
        <f>IF(B151=0,0,B203/B151)</f>
        <v>0.85783521809369956</v>
      </c>
      <c r="D203" s="26">
        <f>D151-D188</f>
        <v>2514</v>
      </c>
      <c r="E203" s="27">
        <f>IF(D151=0,0,D203/D151)</f>
        <v>0.7893249607535322</v>
      </c>
      <c r="F203" s="26">
        <f>F151-F188</f>
        <v>1605</v>
      </c>
      <c r="G203" s="27">
        <f>IF(F151=0,0,F203/F151)</f>
        <v>0.84251968503937003</v>
      </c>
      <c r="H203" s="26">
        <f>H151-H188</f>
        <v>1785</v>
      </c>
      <c r="I203" s="27">
        <f>IF(H151=0,0,H203/H151)</f>
        <v>0.78118161925601748</v>
      </c>
      <c r="J203" s="26">
        <f>J151-J188</f>
        <v>1848.4</v>
      </c>
      <c r="K203" s="27">
        <f>IF(J151=0,0,J203/J151)</f>
        <v>0.71229287090558768</v>
      </c>
      <c r="L203" s="26">
        <f>L151-L188</f>
        <v>2063.64</v>
      </c>
      <c r="M203" s="27">
        <f>IF(L151=0,0,L203/L151)</f>
        <v>0.79370769230769223</v>
      </c>
      <c r="N203" s="26">
        <f>N151-N188</f>
        <v>1831.02</v>
      </c>
      <c r="O203" s="27">
        <f>IF(N151=0,0,N203/N151)</f>
        <v>0.8155991091314031</v>
      </c>
      <c r="P203" s="26">
        <f>P151-P188</f>
        <v>1420</v>
      </c>
      <c r="Q203" s="27">
        <f>IF(P151=0,0,P203/P151)</f>
        <v>0.85542168674698793</v>
      </c>
      <c r="R203" s="26">
        <f>R151-R188</f>
        <v>1480</v>
      </c>
      <c r="S203" s="27">
        <f>IF(R151=0,0,R203/R151)</f>
        <v>0.8314606741573034</v>
      </c>
      <c r="T203" s="26">
        <f>T151-T188</f>
        <v>2020</v>
      </c>
      <c r="U203" s="27">
        <f>IF(T151=0,0,T203/T151)</f>
        <v>0.87068965517241381</v>
      </c>
      <c r="V203" s="26">
        <f>V151-V188</f>
        <v>1972</v>
      </c>
      <c r="W203" s="27">
        <f>IF(V151=0,0,V203/V151)</f>
        <v>0.73857677902621721</v>
      </c>
      <c r="X203" s="26">
        <f>X151-X188</f>
        <v>4280</v>
      </c>
      <c r="Y203" s="27">
        <f>IF(X151=0,0,X203/X151)</f>
        <v>0.86991869918699183</v>
      </c>
      <c r="Z203" s="26">
        <f>Z151-Z188</f>
        <v>25474.059999999998</v>
      </c>
      <c r="AA203" s="27">
        <f>IF(Z151=0,0,Z203/Z151)</f>
        <v>0.81490914907229683</v>
      </c>
    </row>
    <row r="204" spans="1:27" ht="16.5" thickTop="1" thickBot="1" x14ac:dyDescent="0.25">
      <c r="A204" s="13" t="s">
        <v>120</v>
      </c>
      <c r="B204" s="28">
        <f>B205</f>
        <v>0</v>
      </c>
      <c r="C204" s="29">
        <f>IF(B151=0,0,B204/B151)</f>
        <v>0</v>
      </c>
      <c r="D204" s="28">
        <f>D205</f>
        <v>0</v>
      </c>
      <c r="E204" s="29">
        <f>IF(D151=0,0,D204/D151)</f>
        <v>0</v>
      </c>
      <c r="F204" s="28">
        <f>F205</f>
        <v>0</v>
      </c>
      <c r="G204" s="29">
        <f>IF(F151=0,0,F204/F151)</f>
        <v>0</v>
      </c>
      <c r="H204" s="28">
        <f>H205</f>
        <v>0</v>
      </c>
      <c r="I204" s="29">
        <f>IF(H151=0,0,H204/H151)</f>
        <v>0</v>
      </c>
      <c r="J204" s="28">
        <f>J205</f>
        <v>0</v>
      </c>
      <c r="K204" s="29">
        <f>IF(J151=0,0,J204/J151)</f>
        <v>0</v>
      </c>
      <c r="L204" s="28">
        <f>L205</f>
        <v>0</v>
      </c>
      <c r="M204" s="29">
        <f>IF(L151=0,0,L204/L151)</f>
        <v>0</v>
      </c>
      <c r="N204" s="28">
        <f>N205</f>
        <v>0</v>
      </c>
      <c r="O204" s="29">
        <f>IF(N151=0,0,N204/N151)</f>
        <v>0</v>
      </c>
      <c r="P204" s="28">
        <f>P205</f>
        <v>0</v>
      </c>
      <c r="Q204" s="29">
        <f>IF(P151=0,0,P204/P151)</f>
        <v>0</v>
      </c>
      <c r="R204" s="28">
        <f>R205</f>
        <v>0</v>
      </c>
      <c r="S204" s="29">
        <f>IF(R151=0,0,R204/R151)</f>
        <v>0</v>
      </c>
      <c r="T204" s="28">
        <f>T205</f>
        <v>0</v>
      </c>
      <c r="U204" s="29">
        <f>IF(T151=0,0,T204/T151)</f>
        <v>0</v>
      </c>
      <c r="V204" s="28">
        <f>V205</f>
        <v>0</v>
      </c>
      <c r="W204" s="29">
        <f>IF(V151=0,0,V204/V151)</f>
        <v>0</v>
      </c>
      <c r="X204" s="28">
        <f>X205</f>
        <v>0</v>
      </c>
      <c r="Y204" s="29">
        <f>IF(X151=0,0,X204/X151)</f>
        <v>0</v>
      </c>
      <c r="Z204" s="28">
        <f>Z205</f>
        <v>0</v>
      </c>
      <c r="AA204" s="29">
        <f>IF(Z151=0,0,Z204/Z151)</f>
        <v>0</v>
      </c>
    </row>
    <row r="205" spans="1:27" outlineLevel="1" x14ac:dyDescent="0.2">
      <c r="A205" s="8" t="s">
        <v>81</v>
      </c>
      <c r="B205" s="20">
        <v>0</v>
      </c>
      <c r="C205" s="21">
        <f>IF(B204=0,0,B205/B204)</f>
        <v>0</v>
      </c>
      <c r="D205" s="20">
        <v>0</v>
      </c>
      <c r="E205" s="21">
        <f>IF(D204=0,0,D205/D204)</f>
        <v>0</v>
      </c>
      <c r="F205" s="20">
        <v>0</v>
      </c>
      <c r="G205" s="21">
        <f>IF(F204=0,0,F205/F204)</f>
        <v>0</v>
      </c>
      <c r="H205" s="20">
        <v>0</v>
      </c>
      <c r="I205" s="21">
        <f>IF(H204=0,0,H205/H204)</f>
        <v>0</v>
      </c>
      <c r="J205" s="20">
        <v>0</v>
      </c>
      <c r="K205" s="21">
        <f>IF(J204=0,0,J205/J204)</f>
        <v>0</v>
      </c>
      <c r="L205" s="20">
        <v>0</v>
      </c>
      <c r="M205" s="21">
        <f>IF(L204=0,0,L205/L204)</f>
        <v>0</v>
      </c>
      <c r="N205" s="20">
        <v>0</v>
      </c>
      <c r="O205" s="21">
        <f>IF(N204=0,0,N205/N204)</f>
        <v>0</v>
      </c>
      <c r="P205" s="20">
        <v>0</v>
      </c>
      <c r="Q205" s="21">
        <f>IF(P204=0,0,P205/P204)</f>
        <v>0</v>
      </c>
      <c r="R205" s="20">
        <v>0</v>
      </c>
      <c r="S205" s="21">
        <f>IF(R204=0,0,R205/R204)</f>
        <v>0</v>
      </c>
      <c r="T205" s="20">
        <v>0</v>
      </c>
      <c r="U205" s="21">
        <f>IF(T204=0,0,T205/T204)</f>
        <v>0</v>
      </c>
      <c r="V205" s="20">
        <v>0</v>
      </c>
      <c r="W205" s="21">
        <f>IF(V204=0,0,V205/V204)</f>
        <v>0</v>
      </c>
      <c r="X205" s="20">
        <v>0</v>
      </c>
      <c r="Y205" s="21">
        <f>IF(X204=0,0,X205/X204)</f>
        <v>0</v>
      </c>
      <c r="Z205" s="20">
        <f>B205+D205+F205+H205+J205+L205+N205+P205+R205+T205+V205+X205</f>
        <v>0</v>
      </c>
      <c r="AA205" s="21">
        <f>IF(Z204=0,0,Z205/Z204)</f>
        <v>0</v>
      </c>
    </row>
    <row r="206" spans="1:27" ht="15.75" thickBot="1" x14ac:dyDescent="0.25">
      <c r="A206" s="15" t="s">
        <v>122</v>
      </c>
      <c r="B206" s="26">
        <f>B203-B204</f>
        <v>2655</v>
      </c>
      <c r="C206" s="27">
        <f>IF(B$151=0,0,B206/B$151)</f>
        <v>0.85783521809369956</v>
      </c>
      <c r="D206" s="26">
        <f>D203-D204</f>
        <v>2514</v>
      </c>
      <c r="E206" s="27">
        <f>IF(D$151=0,0,D206/D$151)</f>
        <v>0.7893249607535322</v>
      </c>
      <c r="F206" s="26">
        <f>F203-F204</f>
        <v>1605</v>
      </c>
      <c r="G206" s="27">
        <f>IF(F$151=0,0,F206/F$151)</f>
        <v>0.84251968503937003</v>
      </c>
      <c r="H206" s="26">
        <f>H203-H204</f>
        <v>1785</v>
      </c>
      <c r="I206" s="27">
        <f>IF(H$151=0,0,H206/H$151)</f>
        <v>0.78118161925601748</v>
      </c>
      <c r="J206" s="26">
        <f>J203-J204</f>
        <v>1848.4</v>
      </c>
      <c r="K206" s="27">
        <f>IF(J$151=0,0,J206/J$151)</f>
        <v>0.71229287090558768</v>
      </c>
      <c r="L206" s="26">
        <f>L203-L204</f>
        <v>2063.64</v>
      </c>
      <c r="M206" s="27">
        <f>IF(L$151=0,0,L206/L$151)</f>
        <v>0.79370769230769223</v>
      </c>
      <c r="N206" s="26">
        <f>N203-N204</f>
        <v>1831.02</v>
      </c>
      <c r="O206" s="27">
        <f>IF(N$151=0,0,N206/N$151)</f>
        <v>0.8155991091314031</v>
      </c>
      <c r="P206" s="26">
        <f>P203-P204</f>
        <v>1420</v>
      </c>
      <c r="Q206" s="27">
        <f>IF(P$151=0,0,P206/P$151)</f>
        <v>0.85542168674698793</v>
      </c>
      <c r="R206" s="26">
        <f>R203-R204</f>
        <v>1480</v>
      </c>
      <c r="S206" s="27">
        <f>IF(R$151=0,0,R206/R$151)</f>
        <v>0.8314606741573034</v>
      </c>
      <c r="T206" s="26">
        <f>T203-T204</f>
        <v>2020</v>
      </c>
      <c r="U206" s="27">
        <f>IF(T$151=0,0,T206/T$151)</f>
        <v>0.87068965517241381</v>
      </c>
      <c r="V206" s="26">
        <f>V203-V204</f>
        <v>1972</v>
      </c>
      <c r="W206" s="27">
        <f>IF(V$151=0,0,V206/V$151)</f>
        <v>0.73857677902621721</v>
      </c>
      <c r="X206" s="26">
        <f>X203-X204</f>
        <v>4280</v>
      </c>
      <c r="Y206" s="27">
        <f>IF(X$151=0,0,X206/X$151)</f>
        <v>0.86991869918699183</v>
      </c>
      <c r="Z206" s="26">
        <f>Z203-Z204</f>
        <v>25474.059999999998</v>
      </c>
      <c r="AA206" s="27">
        <f>IF(Z$3=0,0,Z206/Z$3)</f>
        <v>0.461779389105411</v>
      </c>
    </row>
    <row r="207" spans="1:27" ht="16.5" thickTop="1" thickBot="1" x14ac:dyDescent="0.25">
      <c r="A207" s="13" t="s">
        <v>134</v>
      </c>
      <c r="B207" s="28">
        <f>B208</f>
        <v>0</v>
      </c>
      <c r="C207" s="29">
        <f>IF(B$151=0,0,B207/B$151)</f>
        <v>0</v>
      </c>
      <c r="D207" s="28">
        <f>D208</f>
        <v>0</v>
      </c>
      <c r="E207" s="29">
        <f>IF(D$151=0,0,D207/D$151)</f>
        <v>0</v>
      </c>
      <c r="F207" s="28">
        <f>F208</f>
        <v>0</v>
      </c>
      <c r="G207" s="29">
        <f>IF(F$151=0,0,F207/F$151)</f>
        <v>0</v>
      </c>
      <c r="H207" s="28">
        <f>H208</f>
        <v>0</v>
      </c>
      <c r="I207" s="29">
        <f>IF(H$151=0,0,H207/H$151)</f>
        <v>0</v>
      </c>
      <c r="J207" s="28">
        <f>J208</f>
        <v>0</v>
      </c>
      <c r="K207" s="29">
        <f>IF(J$151=0,0,J207/J$151)</f>
        <v>0</v>
      </c>
      <c r="L207" s="28">
        <f>L208</f>
        <v>0</v>
      </c>
      <c r="M207" s="29">
        <f>IF(L$151=0,0,L207/L$151)</f>
        <v>0</v>
      </c>
      <c r="N207" s="28">
        <f>N208</f>
        <v>0</v>
      </c>
      <c r="O207" s="29">
        <f>IF(N$151=0,0,N207/N$151)</f>
        <v>0</v>
      </c>
      <c r="P207" s="28">
        <f>P208</f>
        <v>0</v>
      </c>
      <c r="Q207" s="29">
        <f>IF(P$151=0,0,P207/P$151)</f>
        <v>0</v>
      </c>
      <c r="R207" s="28">
        <f>R208</f>
        <v>0</v>
      </c>
      <c r="S207" s="29">
        <f>IF(R$151=0,0,R207/R$151)</f>
        <v>0</v>
      </c>
      <c r="T207" s="28">
        <f>T208</f>
        <v>0</v>
      </c>
      <c r="U207" s="29">
        <f>IF(T$151=0,0,T207/T$151)</f>
        <v>0</v>
      </c>
      <c r="V207" s="28">
        <f>V208</f>
        <v>0</v>
      </c>
      <c r="W207" s="29">
        <f>IF(V$151=0,0,V207/V$151)</f>
        <v>0</v>
      </c>
      <c r="X207" s="28">
        <f>X208</f>
        <v>0</v>
      </c>
      <c r="Y207" s="29">
        <f>IF(X$151=0,0,X207/X$151)</f>
        <v>0</v>
      </c>
      <c r="Z207" s="28">
        <f>Z208</f>
        <v>0</v>
      </c>
      <c r="AA207" s="29">
        <f>IF(Z$3=0,0,Z207/Z$3)</f>
        <v>0</v>
      </c>
    </row>
    <row r="208" spans="1:27" hidden="1" outlineLevel="1" x14ac:dyDescent="0.2">
      <c r="A208" s="8" t="s">
        <v>133</v>
      </c>
      <c r="B208" s="20">
        <f>SUMIFS(Tabla2[B],Tabla2[ANY],2020,Tabla2[MES],'2024'!B$2,Tabla2[TIPUS],'2024'!$A208)</f>
        <v>0</v>
      </c>
      <c r="C208" s="44">
        <f>IF(B207=0,0,B208/B207)</f>
        <v>0</v>
      </c>
      <c r="D208" s="20">
        <f>SUMIFS(Tabla2[B],Tabla2[ANY],2020,Tabla2[MES],'2024'!D$2,Tabla2[TIPUS],'2024'!$A208)</f>
        <v>0</v>
      </c>
      <c r="E208" s="44">
        <f>IF(D207=0,0,D208/D207)</f>
        <v>0</v>
      </c>
      <c r="F208" s="20">
        <f>SUMIFS(Tabla2[B],Tabla2[ANY],2020,Tabla2[MES],'2024'!F$2,Tabla2[TIPUS],'2024'!$A208)</f>
        <v>0</v>
      </c>
      <c r="G208" s="44">
        <f>IF(F207=0,0,F208/F207)</f>
        <v>0</v>
      </c>
      <c r="H208" s="20">
        <f>SUMIFS(Tabla2[B],Tabla2[ANY],2020,Tabla2[MES],'2024'!H$2,Tabla2[TIPUS],'2024'!$A208)</f>
        <v>0</v>
      </c>
      <c r="I208" s="44">
        <f>IF(H207=0,0,H208/H207)</f>
        <v>0</v>
      </c>
      <c r="J208" s="20">
        <f>SUMIFS(Tabla2[B],Tabla2[ANY],2020,Tabla2[MES],'2024'!J$2,Tabla2[TIPUS],'2024'!$A208)</f>
        <v>0</v>
      </c>
      <c r="K208" s="44">
        <f>IF(J207=0,0,J208/J207)</f>
        <v>0</v>
      </c>
      <c r="L208" s="20">
        <f>SUMIFS(Tabla2[B],Tabla2[ANY],2020,Tabla2[MES],'2024'!L$2,Tabla2[TIPUS],'2024'!$A208)</f>
        <v>0</v>
      </c>
      <c r="M208" s="44">
        <f>IF(L207=0,0,L208/L207)</f>
        <v>0</v>
      </c>
      <c r="N208" s="20">
        <f>SUMIFS(Tabla2[B],Tabla2[ANY],2020,Tabla2[MES],'2024'!N$2,Tabla2[TIPUS],'2024'!$A208)</f>
        <v>0</v>
      </c>
      <c r="O208" s="44">
        <f>IF(N207=0,0,N208/N207)</f>
        <v>0</v>
      </c>
      <c r="P208" s="20">
        <f>SUMIFS(Tabla2[B],Tabla2[ANY],2020,Tabla2[MES],'2024'!P$2,Tabla2[TIPUS],'2024'!$A208)</f>
        <v>0</v>
      </c>
      <c r="Q208" s="44">
        <f>IF(P207=0,0,P208/P207)</f>
        <v>0</v>
      </c>
      <c r="R208" s="20">
        <f>SUMIFS(Tabla2[B],Tabla2[ANY],2020,Tabla2[MES],'2024'!R$2,Tabla2[TIPUS],'2024'!$A208)</f>
        <v>0</v>
      </c>
      <c r="S208" s="44">
        <f>IF(R207=0,0,R208/R207)</f>
        <v>0</v>
      </c>
      <c r="T208" s="20">
        <f>SUMIFS(Tabla2[B],Tabla2[ANY],2020,Tabla2[MES],'2024'!T$2,Tabla2[TIPUS],'2024'!$A208)</f>
        <v>0</v>
      </c>
      <c r="U208" s="44">
        <f>IF(T207=0,0,T208/T207)</f>
        <v>0</v>
      </c>
      <c r="V208" s="20">
        <f>SUMIFS(Tabla2[B],Tabla2[ANY],2020,Tabla2[MES],'2024'!V$2,Tabla2[TIPUS],'2024'!$A208)</f>
        <v>0</v>
      </c>
      <c r="W208" s="44">
        <f>IF(V207=0,0,V208/V207)</f>
        <v>0</v>
      </c>
      <c r="X208" s="20">
        <f>SUMIFS(Tabla2[B],Tabla2[ANY],2020,Tabla2[MES],'2024'!X$2,Tabla2[TIPUS],'2024'!$A208)</f>
        <v>0</v>
      </c>
      <c r="Y208" s="44">
        <f>IF(X207=0,0,X208/X207)</f>
        <v>0</v>
      </c>
      <c r="Z208" s="20">
        <f>B208+D208+F208+H208+J208+L208+N208+P208+R208+T208+V208+X208</f>
        <v>0</v>
      </c>
      <c r="AA208" s="44">
        <f>IF(Z207=0,0,Z208/Z207)</f>
        <v>0</v>
      </c>
    </row>
    <row r="209" spans="1:27" ht="15.75" collapsed="1" thickBot="1" x14ac:dyDescent="0.25">
      <c r="A209" s="15" t="s">
        <v>135</v>
      </c>
      <c r="B209" s="26">
        <f>B206-B208</f>
        <v>2655</v>
      </c>
      <c r="C209" s="27">
        <f>IF(B$151=0,0,B209/B$151)</f>
        <v>0.85783521809369956</v>
      </c>
      <c r="D209" s="26">
        <f>D206-D208</f>
        <v>2514</v>
      </c>
      <c r="E209" s="27">
        <f>IF(D$151=0,0,D209/D$151)</f>
        <v>0.7893249607535322</v>
      </c>
      <c r="F209" s="26">
        <f>F206-F208</f>
        <v>1605</v>
      </c>
      <c r="G209" s="27">
        <f>IF(F$151=0,0,F209/F$151)</f>
        <v>0.84251968503937003</v>
      </c>
      <c r="H209" s="26">
        <f>H206-H208</f>
        <v>1785</v>
      </c>
      <c r="I209" s="27">
        <f>IF(H$151=0,0,H209/H$151)</f>
        <v>0.78118161925601748</v>
      </c>
      <c r="J209" s="26">
        <f>J206-J208</f>
        <v>1848.4</v>
      </c>
      <c r="K209" s="27">
        <f>IF(J$151=0,0,J209/J$151)</f>
        <v>0.71229287090558768</v>
      </c>
      <c r="L209" s="26">
        <f>L206-L208</f>
        <v>2063.64</v>
      </c>
      <c r="M209" s="27">
        <f>IF(L$151=0,0,L209/L$151)</f>
        <v>0.79370769230769223</v>
      </c>
      <c r="N209" s="26">
        <f>N206-N208</f>
        <v>1831.02</v>
      </c>
      <c r="O209" s="27">
        <f>IF(N$151=0,0,N209/N$151)</f>
        <v>0.8155991091314031</v>
      </c>
      <c r="P209" s="26">
        <f>P206-P208</f>
        <v>1420</v>
      </c>
      <c r="Q209" s="27">
        <f>IF(P$151=0,0,P209/P$151)</f>
        <v>0.85542168674698793</v>
      </c>
      <c r="R209" s="26">
        <f>R206-R208</f>
        <v>1480</v>
      </c>
      <c r="S209" s="27">
        <f>IF(R$151=0,0,R209/R$151)</f>
        <v>0.8314606741573034</v>
      </c>
      <c r="T209" s="26">
        <f>T206-T208</f>
        <v>2020</v>
      </c>
      <c r="U209" s="27">
        <f>IF(T$151=0,0,T209/T$151)</f>
        <v>0.87068965517241381</v>
      </c>
      <c r="V209" s="26">
        <f>V206-V208</f>
        <v>1972</v>
      </c>
      <c r="W209" s="27">
        <f>IF(V$151=0,0,V209/V$151)</f>
        <v>0.73857677902621721</v>
      </c>
      <c r="X209" s="26">
        <f>X206-X208</f>
        <v>4280</v>
      </c>
      <c r="Y209" s="27">
        <f>IF(X$151=0,0,X209/X$151)</f>
        <v>0.86991869918699183</v>
      </c>
      <c r="Z209" s="26">
        <f>Z206-Z208</f>
        <v>25474.059999999998</v>
      </c>
      <c r="AA209" s="27">
        <f>IF(Z$3=0,0,Z209/Z$3)</f>
        <v>0.461779389105411</v>
      </c>
    </row>
    <row r="210" spans="1:27" ht="15.75" thickTop="1" x14ac:dyDescent="0.2">
      <c r="A210" s="8" t="s">
        <v>123</v>
      </c>
      <c r="B210" s="20">
        <f>SUMIFS(Tabla2[B],Tabla2[ANY],$Z$2,Tabla2[MES],'2024'!B$2,Tabla2[TIPUS],'2024'!$A210)</f>
        <v>0</v>
      </c>
      <c r="C210" s="21">
        <f>IF(B$151=0,0,B210/B$151)</f>
        <v>0</v>
      </c>
      <c r="D210" s="20">
        <f>SUMIFS(Tabla2[B],Tabla2[ANY],$Z$2,Tabla2[MES],'2024'!D$2,Tabla2[TIPUS],'2024'!$A210)</f>
        <v>0</v>
      </c>
      <c r="E210" s="21">
        <f>IF(D$151=0,0,D210/D$151)</f>
        <v>0</v>
      </c>
      <c r="F210" s="20">
        <f>SUMIFS(Tabla2[B],Tabla2[ANY],$Z$2,Tabla2[MES],'2024'!F$2,Tabla2[TIPUS],'2024'!$A210)</f>
        <v>0</v>
      </c>
      <c r="G210" s="21">
        <f>IF(F$151=0,0,F210/F$151)</f>
        <v>0</v>
      </c>
      <c r="H210" s="20">
        <f>SUMIFS(Tabla2[B],Tabla2[ANY],$Z$2,Tabla2[MES],'2024'!H$2,Tabla2[TIPUS],'2024'!$A210)</f>
        <v>0</v>
      </c>
      <c r="I210" s="21">
        <f>IF(H$151=0,0,H210/H$151)</f>
        <v>0</v>
      </c>
      <c r="J210" s="20">
        <f>SUMIFS(Tabla2[B],Tabla2[ANY],$Z$2,Tabla2[MES],'2024'!J$2,Tabla2[TIPUS],'2024'!$A210)</f>
        <v>0</v>
      </c>
      <c r="K210" s="21">
        <f>IF(J$151=0,0,J210/J$151)</f>
        <v>0</v>
      </c>
      <c r="L210" s="20">
        <f>SUMIFS(Tabla2[B],Tabla2[ANY],$Z$2,Tabla2[MES],'2024'!L$2,Tabla2[TIPUS],'2024'!$A210)</f>
        <v>0</v>
      </c>
      <c r="M210" s="21">
        <f>IF(L$151=0,0,L210/L$151)</f>
        <v>0</v>
      </c>
      <c r="N210" s="20">
        <f>SUMIFS(Tabla2[B],Tabla2[ANY],$Z$2,Tabla2[MES],'2024'!N$2,Tabla2[TIPUS],'2024'!$A210)</f>
        <v>0</v>
      </c>
      <c r="O210" s="21">
        <f>IF(N$151=0,0,N210/N$151)</f>
        <v>0</v>
      </c>
      <c r="P210" s="20">
        <f>SUMIFS(Tabla2[B],Tabla2[ANY],$Z$2,Tabla2[MES],'2024'!P$2,Tabla2[TIPUS],'2024'!$A210)</f>
        <v>0</v>
      </c>
      <c r="Q210" s="21">
        <f>IF(P$151=0,0,P210/P$151)</f>
        <v>0</v>
      </c>
      <c r="R210" s="20">
        <f>SUMIFS(Tabla2[B],Tabla2[ANY],$Z$2,Tabla2[MES],'2024'!R$2,Tabla2[TIPUS],'2024'!$A210)</f>
        <v>0</v>
      </c>
      <c r="S210" s="21">
        <f>IF(R$151=0,0,R210/R$151)</f>
        <v>0</v>
      </c>
      <c r="T210" s="20">
        <f>SUMIFS(Tabla2[B],Tabla2[ANY],$Z$2,Tabla2[MES],'2024'!T$2,Tabla2[TIPUS],'2024'!$A210)</f>
        <v>0</v>
      </c>
      <c r="U210" s="21">
        <f>IF(T$151=0,0,T210/T$151)</f>
        <v>0</v>
      </c>
      <c r="V210" s="20">
        <f>SUMIFS(Tabla2[B],Tabla2[ANY],$Z$2,Tabla2[MES],'2024'!V$2,Tabla2[TIPUS],'2024'!$A210)</f>
        <v>0</v>
      </c>
      <c r="W210" s="21">
        <f>IF(V$151=0,0,V210/V$151)</f>
        <v>0</v>
      </c>
      <c r="X210" s="20">
        <f>SUMIFS(Tabla2[B],Tabla2[ANY],2020,Tabla2[MES],'2024'!X$2,Tabla2[TIPUS],'2024'!$A210)</f>
        <v>0</v>
      </c>
      <c r="Y210" s="21">
        <f>IF(X$151=0,0,X210/X$151)</f>
        <v>0</v>
      </c>
      <c r="Z210" s="20">
        <f>B210+D210+F210+H210+J210+L210+N210+P210+R210+T210+V210+X210</f>
        <v>0</v>
      </c>
      <c r="AA210" s="21">
        <f>IF(Z$3=0,0,Z210/Z$3)</f>
        <v>0</v>
      </c>
    </row>
    <row r="211" spans="1:27" ht="15.75" thickBot="1" x14ac:dyDescent="0.25">
      <c r="A211" s="15" t="s">
        <v>124</v>
      </c>
      <c r="B211" s="26">
        <f>B209-B210</f>
        <v>2655</v>
      </c>
      <c r="C211" s="27">
        <f>IF(B151=0,0,B211/B151)</f>
        <v>0.85783521809369956</v>
      </c>
      <c r="D211" s="26">
        <f>D209-D210</f>
        <v>2514</v>
      </c>
      <c r="E211" s="27">
        <f>IF(D151=0,0,D211/D151)</f>
        <v>0.7893249607535322</v>
      </c>
      <c r="F211" s="26">
        <f>F209-F210</f>
        <v>1605</v>
      </c>
      <c r="G211" s="27">
        <f>IF(F151=0,0,F211/F151)</f>
        <v>0.84251968503937003</v>
      </c>
      <c r="H211" s="26">
        <f>H209-H210</f>
        <v>1785</v>
      </c>
      <c r="I211" s="27">
        <f>IF(H151=0,0,H211/H151)</f>
        <v>0.78118161925601748</v>
      </c>
      <c r="J211" s="26">
        <f>J209-J210</f>
        <v>1848.4</v>
      </c>
      <c r="K211" s="27">
        <f>IF(J151=0,0,J211/J151)</f>
        <v>0.71229287090558768</v>
      </c>
      <c r="L211" s="26">
        <f>L209-L210</f>
        <v>2063.64</v>
      </c>
      <c r="M211" s="27">
        <f>IF(L151=0,0,L211/L151)</f>
        <v>0.79370769230769223</v>
      </c>
      <c r="N211" s="26">
        <f>N209-N210</f>
        <v>1831.02</v>
      </c>
      <c r="O211" s="27">
        <f>IF(N151=0,0,N211/N151)</f>
        <v>0.8155991091314031</v>
      </c>
      <c r="P211" s="26">
        <f>P209-P210</f>
        <v>1420</v>
      </c>
      <c r="Q211" s="27">
        <f>IF(P151=0,0,P211/P151)</f>
        <v>0.85542168674698793</v>
      </c>
      <c r="R211" s="26">
        <f>R209-R210</f>
        <v>1480</v>
      </c>
      <c r="S211" s="27">
        <f>IF(R151=0,0,R211/R151)</f>
        <v>0.8314606741573034</v>
      </c>
      <c r="T211" s="26">
        <f>T209-T210</f>
        <v>2020</v>
      </c>
      <c r="U211" s="27">
        <f>IF(T151=0,0,T211/T151)</f>
        <v>0.87068965517241381</v>
      </c>
      <c r="V211" s="26">
        <f>V209-V210</f>
        <v>1972</v>
      </c>
      <c r="W211" s="27">
        <f>IF(V151=0,0,V211/V151)</f>
        <v>0.73857677902621721</v>
      </c>
      <c r="X211" s="26">
        <f>X209-X210</f>
        <v>4280</v>
      </c>
      <c r="Y211" s="27">
        <f>IF(X151=0,0,X211/X151)</f>
        <v>0.86991869918699183</v>
      </c>
      <c r="Z211" s="26">
        <f>Z209-Z210</f>
        <v>25474.059999999998</v>
      </c>
      <c r="AA211" s="27">
        <f>IF(Z151=0,0,Z211/Z151)</f>
        <v>0.81490914907229683</v>
      </c>
    </row>
    <row r="212" spans="1:27" ht="16.5" thickTop="1" thickBot="1" x14ac:dyDescent="0.25">
      <c r="B212" s="30"/>
      <c r="C212" s="31"/>
      <c r="D212" s="30"/>
      <c r="E212" s="31"/>
      <c r="F212" s="30"/>
      <c r="G212" s="31"/>
      <c r="H212" s="30"/>
      <c r="I212" s="31"/>
      <c r="J212" s="30"/>
      <c r="K212" s="31"/>
      <c r="L212" s="30"/>
      <c r="M212" s="31"/>
      <c r="N212" s="30"/>
      <c r="O212" s="31"/>
      <c r="P212" s="30"/>
      <c r="Q212" s="31"/>
      <c r="R212" s="30"/>
      <c r="S212" s="31"/>
      <c r="T212" s="30"/>
      <c r="U212" s="31"/>
      <c r="V212" s="30"/>
      <c r="W212" s="31"/>
      <c r="X212" s="30"/>
      <c r="Y212" s="31"/>
      <c r="Z212" s="30"/>
      <c r="AA212" s="31"/>
    </row>
    <row r="213" spans="1:27" ht="15.75" thickBot="1" x14ac:dyDescent="0.25">
      <c r="A213" s="210" t="s">
        <v>136</v>
      </c>
    </row>
    <row r="214" spans="1:27" x14ac:dyDescent="0.2">
      <c r="A214" s="210"/>
      <c r="B214" s="208" t="s">
        <v>48</v>
      </c>
      <c r="C214" s="209"/>
      <c r="D214" s="208" t="s">
        <v>56</v>
      </c>
      <c r="E214" s="209"/>
      <c r="F214" s="208" t="s">
        <v>57</v>
      </c>
      <c r="G214" s="209"/>
      <c r="H214" s="208" t="s">
        <v>58</v>
      </c>
      <c r="I214" s="209"/>
      <c r="J214" s="208" t="s">
        <v>59</v>
      </c>
      <c r="K214" s="209"/>
      <c r="L214" s="208" t="s">
        <v>60</v>
      </c>
      <c r="M214" s="209"/>
      <c r="N214" s="208" t="s">
        <v>61</v>
      </c>
      <c r="O214" s="209"/>
      <c r="P214" s="208" t="s">
        <v>62</v>
      </c>
      <c r="Q214" s="209"/>
      <c r="R214" s="208" t="s">
        <v>236</v>
      </c>
      <c r="S214" s="209"/>
      <c r="T214" s="208" t="s">
        <v>63</v>
      </c>
      <c r="U214" s="209"/>
      <c r="V214" s="208" t="s">
        <v>64</v>
      </c>
      <c r="W214" s="209"/>
      <c r="X214" s="208" t="s">
        <v>65</v>
      </c>
      <c r="Y214" s="209"/>
      <c r="Z214" s="208">
        <f>Z2</f>
        <v>2024</v>
      </c>
      <c r="AA214" s="209"/>
    </row>
    <row r="215" spans="1:27" x14ac:dyDescent="0.2">
      <c r="A215" t="s">
        <v>125</v>
      </c>
      <c r="B215" s="20">
        <f>B151</f>
        <v>3095</v>
      </c>
      <c r="C215" s="38">
        <f t="shared" ref="C215:C221" si="208">B215</f>
        <v>3095</v>
      </c>
      <c r="D215" s="20">
        <f>D151</f>
        <v>3185</v>
      </c>
      <c r="E215" s="38">
        <f>C221+D215</f>
        <v>5768.76</v>
      </c>
      <c r="F215" s="20">
        <f>F151</f>
        <v>1905</v>
      </c>
      <c r="G215" s="38">
        <f>E221+F215</f>
        <v>7002.76</v>
      </c>
      <c r="H215" s="20">
        <f>H151</f>
        <v>2285</v>
      </c>
      <c r="I215" s="38">
        <f>G221+H215</f>
        <v>8987.76</v>
      </c>
      <c r="J215" s="20">
        <f>J151</f>
        <v>2595</v>
      </c>
      <c r="K215" s="38">
        <f>I221+J215</f>
        <v>11082.76</v>
      </c>
      <c r="L215" s="20">
        <f>L151</f>
        <v>2600</v>
      </c>
      <c r="M215" s="38">
        <f>K221+L215</f>
        <v>12936.16</v>
      </c>
      <c r="N215" s="20">
        <f>N151</f>
        <v>2245</v>
      </c>
      <c r="O215" s="38">
        <f>M221+N215</f>
        <v>14644.8</v>
      </c>
      <c r="P215" s="20">
        <f>P151</f>
        <v>1660</v>
      </c>
      <c r="Q215" s="38">
        <f>O221+P215</f>
        <v>15581.82</v>
      </c>
      <c r="R215" s="20">
        <f>R151</f>
        <v>1780</v>
      </c>
      <c r="S215" s="38">
        <f>Q221+R215</f>
        <v>17121.82</v>
      </c>
      <c r="T215" s="20">
        <f>T151</f>
        <v>2320</v>
      </c>
      <c r="U215" s="38">
        <f>S221+T215</f>
        <v>19141.82</v>
      </c>
      <c r="V215" s="20">
        <f>V151</f>
        <v>2670</v>
      </c>
      <c r="W215" s="38">
        <f>U221+V215</f>
        <v>21511.82</v>
      </c>
      <c r="X215" s="20">
        <f>X151</f>
        <v>4920</v>
      </c>
      <c r="Y215" s="38">
        <f>W221+X215</f>
        <v>25733.82</v>
      </c>
      <c r="Z215" s="200">
        <f>Z151</f>
        <v>31260</v>
      </c>
      <c r="AA215" s="201"/>
    </row>
    <row r="216" spans="1:27" x14ac:dyDescent="0.2">
      <c r="A216" t="s">
        <v>126</v>
      </c>
      <c r="B216" s="20">
        <f>B188</f>
        <v>440</v>
      </c>
      <c r="C216" s="38">
        <f t="shared" si="208"/>
        <v>440</v>
      </c>
      <c r="D216" s="20">
        <f>D188</f>
        <v>671</v>
      </c>
      <c r="E216" s="38">
        <f>D216</f>
        <v>671</v>
      </c>
      <c r="F216" s="20">
        <f>F188</f>
        <v>300</v>
      </c>
      <c r="G216" s="38">
        <f>F216</f>
        <v>300</v>
      </c>
      <c r="H216" s="20">
        <f>H188</f>
        <v>500</v>
      </c>
      <c r="I216" s="38">
        <f>H216</f>
        <v>500</v>
      </c>
      <c r="J216" s="20">
        <f>J188</f>
        <v>746.6</v>
      </c>
      <c r="K216" s="38">
        <f>J216</f>
        <v>746.6</v>
      </c>
      <c r="L216" s="20">
        <f>L188</f>
        <v>536.36</v>
      </c>
      <c r="M216" s="38">
        <f>L216</f>
        <v>536.36</v>
      </c>
      <c r="N216" s="20">
        <f>N188</f>
        <v>413.98</v>
      </c>
      <c r="O216" s="38">
        <f>N216</f>
        <v>413.98</v>
      </c>
      <c r="P216" s="20">
        <f>P188</f>
        <v>240</v>
      </c>
      <c r="Q216" s="38">
        <f>P216</f>
        <v>240</v>
      </c>
      <c r="R216" s="20">
        <f>R188</f>
        <v>300</v>
      </c>
      <c r="S216" s="38">
        <f>R216</f>
        <v>300</v>
      </c>
      <c r="T216" s="20">
        <f>T188</f>
        <v>300</v>
      </c>
      <c r="U216" s="38">
        <f>T216</f>
        <v>300</v>
      </c>
      <c r="V216" s="20">
        <f>V188</f>
        <v>698</v>
      </c>
      <c r="W216" s="38">
        <f>V216</f>
        <v>698</v>
      </c>
      <c r="X216" s="20">
        <f>X188</f>
        <v>640</v>
      </c>
      <c r="Y216" s="38">
        <f>X216</f>
        <v>640</v>
      </c>
      <c r="Z216" s="200">
        <f>Z188</f>
        <v>5785.9400000000005</v>
      </c>
      <c r="AA216" s="201"/>
    </row>
    <row r="217" spans="1:27" ht="15.75" thickBot="1" x14ac:dyDescent="0.25">
      <c r="A217" s="36" t="s">
        <v>127</v>
      </c>
      <c r="B217" s="37">
        <f>B215-B216</f>
        <v>2655</v>
      </c>
      <c r="C217" s="39">
        <f t="shared" si="208"/>
        <v>2655</v>
      </c>
      <c r="D217" s="37">
        <f t="shared" ref="D217:Y217" si="209">D215-D216</f>
        <v>2514</v>
      </c>
      <c r="E217" s="39">
        <f t="shared" si="209"/>
        <v>5097.76</v>
      </c>
      <c r="F217" s="37">
        <f t="shared" si="209"/>
        <v>1605</v>
      </c>
      <c r="G217" s="39">
        <f t="shared" si="209"/>
        <v>6702.76</v>
      </c>
      <c r="H217" s="37">
        <f t="shared" si="209"/>
        <v>1785</v>
      </c>
      <c r="I217" s="39">
        <f t="shared" si="209"/>
        <v>8487.76</v>
      </c>
      <c r="J217" s="37">
        <f t="shared" si="209"/>
        <v>1848.4</v>
      </c>
      <c r="K217" s="39">
        <f t="shared" si="209"/>
        <v>10336.16</v>
      </c>
      <c r="L217" s="37">
        <f t="shared" si="209"/>
        <v>2063.64</v>
      </c>
      <c r="M217" s="39">
        <f t="shared" si="209"/>
        <v>12399.8</v>
      </c>
      <c r="N217" s="37">
        <f t="shared" si="209"/>
        <v>1831.02</v>
      </c>
      <c r="O217" s="39">
        <f t="shared" si="209"/>
        <v>14230.82</v>
      </c>
      <c r="P217" s="37">
        <f t="shared" si="209"/>
        <v>1420</v>
      </c>
      <c r="Q217" s="39">
        <f t="shared" si="209"/>
        <v>15341.82</v>
      </c>
      <c r="R217" s="37">
        <f t="shared" si="209"/>
        <v>1480</v>
      </c>
      <c r="S217" s="39">
        <f t="shared" si="209"/>
        <v>16821.82</v>
      </c>
      <c r="T217" s="37">
        <f t="shared" si="209"/>
        <v>2020</v>
      </c>
      <c r="U217" s="39">
        <f t="shared" si="209"/>
        <v>18841.82</v>
      </c>
      <c r="V217" s="37">
        <f t="shared" si="209"/>
        <v>1972</v>
      </c>
      <c r="W217" s="39">
        <f t="shared" si="209"/>
        <v>20813.82</v>
      </c>
      <c r="X217" s="37">
        <f t="shared" si="209"/>
        <v>4280</v>
      </c>
      <c r="Y217" s="39">
        <f t="shared" si="209"/>
        <v>25093.82</v>
      </c>
      <c r="Z217" s="202">
        <f>Z215-Z216</f>
        <v>25474.059999999998</v>
      </c>
      <c r="AA217" s="203"/>
    </row>
    <row r="218" spans="1:27" x14ac:dyDescent="0.2">
      <c r="A218" s="2" t="s">
        <v>128</v>
      </c>
      <c r="B218" s="20">
        <f>-SUMIFS(Tabla2[B],Tabla2[ANY],$Z$214,Tabla2[MES],'2024'!B$2,Tabla2[TIPUS],'2024'!$A218)</f>
        <v>-71.239999999999995</v>
      </c>
      <c r="C218" s="38">
        <f t="shared" si="208"/>
        <v>-71.239999999999995</v>
      </c>
      <c r="D218" s="20">
        <f>-SUMIFS(Tabla2[B],Tabla2[ANY],$Z$214,Tabla2[MES],'2024'!D$2,Tabla2[TIPUS],'2024'!$A218)</f>
        <v>0</v>
      </c>
      <c r="E218" s="38">
        <f>D218</f>
        <v>0</v>
      </c>
      <c r="F218" s="20">
        <f>-SUMIFS(Tabla2[B],Tabla2[ANY],$Z$214,Tabla2[MES],'2024'!F$2,Tabla2[TIPUS],'2024'!$A218)</f>
        <v>0</v>
      </c>
      <c r="G218" s="38">
        <f>F218</f>
        <v>0</v>
      </c>
      <c r="H218" s="20">
        <f>-SUMIFS(Tabla2[B],Tabla2[ANY],$Z$214,Tabla2[MES],'2024'!H$2,Tabla2[TIPUS],'2024'!$A218)</f>
        <v>0</v>
      </c>
      <c r="I218" s="38">
        <f>H218</f>
        <v>0</v>
      </c>
      <c r="J218" s="20">
        <f>-SUMIFS(Tabla2[B],Tabla2[ANY],$Z$214,Tabla2[MES],'2024'!J$2,Tabla2[TIPUS],'2024'!$A218)</f>
        <v>0</v>
      </c>
      <c r="K218" s="38">
        <f>J218</f>
        <v>0</v>
      </c>
      <c r="L218" s="20">
        <f>-SUMIFS(Tabla2[B],Tabla2[ANY],$Z$214,Tabla2[MES],'2024'!L$2,Tabla2[TIPUS],'2024'!$A218)</f>
        <v>0</v>
      </c>
      <c r="M218" s="38">
        <f>L218</f>
        <v>0</v>
      </c>
      <c r="N218" s="20">
        <f>-SUMIFS(Tabla2[B],Tabla2[ANY],$Z$214,Tabla2[MES],'2024'!N$2,Tabla2[TIPUS],'2024'!$A218)</f>
        <v>-309</v>
      </c>
      <c r="O218" s="38">
        <f>N218</f>
        <v>-309</v>
      </c>
      <c r="P218" s="20">
        <f>-SUMIFS(Tabla2[B],Tabla2[ANY],$Z$214,Tabla2[MES],'2024'!P$2,Tabla2[TIPUS],'2024'!$A218)</f>
        <v>0</v>
      </c>
      <c r="Q218" s="38">
        <f>P218</f>
        <v>0</v>
      </c>
      <c r="R218" s="20">
        <f>-SUMIFS(Tabla2[B],Tabla2[ANY],$Z$214,Tabla2[MES],'2024'!R$2,Tabla2[TIPUS],'2024'!$A218)</f>
        <v>0</v>
      </c>
      <c r="S218" s="38">
        <f>R218</f>
        <v>0</v>
      </c>
      <c r="T218" s="20">
        <f>-SUMIFS(Tabla2[B],Tabla2[ANY],$Z$214,Tabla2[MES],'2024'!T$2,Tabla2[TIPUS],'2024'!$A218)</f>
        <v>0</v>
      </c>
      <c r="U218" s="38">
        <f>T218</f>
        <v>0</v>
      </c>
      <c r="V218" s="20">
        <f>-SUMIFS(Tabla2[B],Tabla2[ANY],$Z$214,Tabla2[MES],'2024'!V$2,Tabla2[TIPUS],'2024'!$A218)</f>
        <v>0</v>
      </c>
      <c r="W218" s="38">
        <f>V218</f>
        <v>0</v>
      </c>
      <c r="X218" s="20">
        <f>-SUMIFS(Tabla2[B],Tabla2[ANY],$Z$214,Tabla2[MES],'2024'!X$2,Tabla2[TIPUS],'2024'!$A218)</f>
        <v>0</v>
      </c>
      <c r="Y218" s="38">
        <f>X218</f>
        <v>0</v>
      </c>
      <c r="Z218" s="204">
        <f>-SUMIFS(Tabla2[B],Tabla2[ANY],$Z$214,Tabla2[TIPUS],'2024'!$A218)</f>
        <v>-380.24</v>
      </c>
      <c r="AA218" s="205"/>
    </row>
    <row r="219" spans="1:27" x14ac:dyDescent="0.2">
      <c r="A219" t="s">
        <v>134</v>
      </c>
      <c r="B219" s="20">
        <f>-B207</f>
        <v>0</v>
      </c>
      <c r="C219" s="38">
        <f t="shared" si="208"/>
        <v>0</v>
      </c>
      <c r="D219" s="20">
        <f>-D207</f>
        <v>0</v>
      </c>
      <c r="E219" s="38">
        <f>D219</f>
        <v>0</v>
      </c>
      <c r="F219" s="20">
        <f>-F207</f>
        <v>0</v>
      </c>
      <c r="G219" s="38">
        <f>F219</f>
        <v>0</v>
      </c>
      <c r="H219" s="20">
        <f>-H207</f>
        <v>0</v>
      </c>
      <c r="I219" s="38">
        <f>H219</f>
        <v>0</v>
      </c>
      <c r="J219" s="20">
        <f>-J207</f>
        <v>0</v>
      </c>
      <c r="K219" s="38">
        <f>J219</f>
        <v>0</v>
      </c>
      <c r="L219" s="20">
        <f>-L207</f>
        <v>0</v>
      </c>
      <c r="M219" s="38">
        <f>L219</f>
        <v>0</v>
      </c>
      <c r="N219" s="20">
        <f>-N207</f>
        <v>0</v>
      </c>
      <c r="O219" s="38">
        <f>N219</f>
        <v>0</v>
      </c>
      <c r="P219" s="20">
        <f>-P207</f>
        <v>0</v>
      </c>
      <c r="Q219" s="38">
        <f>P219</f>
        <v>0</v>
      </c>
      <c r="R219" s="20">
        <f>-R207</f>
        <v>0</v>
      </c>
      <c r="S219" s="38">
        <f>R219</f>
        <v>0</v>
      </c>
      <c r="T219" s="20">
        <f>-T207</f>
        <v>0</v>
      </c>
      <c r="U219" s="38">
        <f>T219</f>
        <v>0</v>
      </c>
      <c r="V219" s="20">
        <f>-V207</f>
        <v>0</v>
      </c>
      <c r="W219" s="38">
        <f>V219</f>
        <v>0</v>
      </c>
      <c r="X219" s="20">
        <f>-X207</f>
        <v>0</v>
      </c>
      <c r="Y219" s="38">
        <f>X219</f>
        <v>0</v>
      </c>
      <c r="Z219" s="200">
        <f>-Z207</f>
        <v>0</v>
      </c>
      <c r="AA219" s="201"/>
    </row>
    <row r="220" spans="1:27" x14ac:dyDescent="0.2">
      <c r="A220" t="s">
        <v>130</v>
      </c>
      <c r="B220" s="23">
        <f>-B210</f>
        <v>0</v>
      </c>
      <c r="C220" s="35">
        <f t="shared" si="208"/>
        <v>0</v>
      </c>
      <c r="D220" s="23">
        <f>-D210</f>
        <v>0</v>
      </c>
      <c r="E220" s="35">
        <f>D220</f>
        <v>0</v>
      </c>
      <c r="F220" s="23">
        <f>-F210</f>
        <v>0</v>
      </c>
      <c r="G220" s="35">
        <f>F220</f>
        <v>0</v>
      </c>
      <c r="H220" s="23">
        <f>-H210</f>
        <v>0</v>
      </c>
      <c r="I220" s="35">
        <f>H220</f>
        <v>0</v>
      </c>
      <c r="J220" s="23">
        <f>-J210</f>
        <v>0</v>
      </c>
      <c r="K220" s="35">
        <f>J220</f>
        <v>0</v>
      </c>
      <c r="L220" s="23">
        <f>-L210</f>
        <v>0</v>
      </c>
      <c r="M220" s="35">
        <f>L220</f>
        <v>0</v>
      </c>
      <c r="N220" s="23">
        <f>-N210</f>
        <v>0</v>
      </c>
      <c r="O220" s="35">
        <f>N220</f>
        <v>0</v>
      </c>
      <c r="P220" s="23">
        <f>-P210</f>
        <v>0</v>
      </c>
      <c r="Q220" s="35">
        <f>P220</f>
        <v>0</v>
      </c>
      <c r="R220" s="23">
        <f>-R210</f>
        <v>0</v>
      </c>
      <c r="S220" s="35">
        <f>R220</f>
        <v>0</v>
      </c>
      <c r="T220" s="23">
        <f>-T210</f>
        <v>0</v>
      </c>
      <c r="U220" s="35">
        <f>T220</f>
        <v>0</v>
      </c>
      <c r="V220" s="23">
        <f>-V210</f>
        <v>0</v>
      </c>
      <c r="W220" s="35">
        <f>V220</f>
        <v>0</v>
      </c>
      <c r="X220" s="23">
        <f>-X210</f>
        <v>0</v>
      </c>
      <c r="Y220" s="35">
        <f>X220</f>
        <v>0</v>
      </c>
      <c r="Z220" s="206">
        <f>-Z210</f>
        <v>0</v>
      </c>
      <c r="AA220" s="207"/>
    </row>
    <row r="221" spans="1:27" ht="15.75" thickBot="1" x14ac:dyDescent="0.25">
      <c r="A221" s="36" t="s">
        <v>131</v>
      </c>
      <c r="B221" s="37">
        <f>B217+B218+B219+B220</f>
        <v>2583.7600000000002</v>
      </c>
      <c r="C221" s="39">
        <f t="shared" si="208"/>
        <v>2583.7600000000002</v>
      </c>
      <c r="D221" s="37">
        <f t="shared" ref="D221:Z221" si="210">D217+D218+D219+D220</f>
        <v>2514</v>
      </c>
      <c r="E221" s="39">
        <f t="shared" si="210"/>
        <v>5097.76</v>
      </c>
      <c r="F221" s="37">
        <f t="shared" si="210"/>
        <v>1605</v>
      </c>
      <c r="G221" s="39">
        <f t="shared" si="210"/>
        <v>6702.76</v>
      </c>
      <c r="H221" s="37">
        <f t="shared" si="210"/>
        <v>1785</v>
      </c>
      <c r="I221" s="39">
        <f t="shared" si="210"/>
        <v>8487.76</v>
      </c>
      <c r="J221" s="37">
        <f t="shared" si="210"/>
        <v>1848.4</v>
      </c>
      <c r="K221" s="39">
        <f t="shared" si="210"/>
        <v>10336.16</v>
      </c>
      <c r="L221" s="37">
        <f t="shared" si="210"/>
        <v>2063.64</v>
      </c>
      <c r="M221" s="39">
        <f t="shared" si="210"/>
        <v>12399.8</v>
      </c>
      <c r="N221" s="37">
        <f t="shared" si="210"/>
        <v>1522.02</v>
      </c>
      <c r="O221" s="39">
        <f t="shared" si="210"/>
        <v>13921.82</v>
      </c>
      <c r="P221" s="37">
        <f t="shared" si="210"/>
        <v>1420</v>
      </c>
      <c r="Q221" s="39">
        <f t="shared" si="210"/>
        <v>15341.82</v>
      </c>
      <c r="R221" s="37">
        <f t="shared" si="210"/>
        <v>1480</v>
      </c>
      <c r="S221" s="39">
        <f t="shared" si="210"/>
        <v>16821.82</v>
      </c>
      <c r="T221" s="37">
        <f t="shared" si="210"/>
        <v>2020</v>
      </c>
      <c r="U221" s="39">
        <f t="shared" si="210"/>
        <v>18841.82</v>
      </c>
      <c r="V221" s="37">
        <f t="shared" si="210"/>
        <v>1972</v>
      </c>
      <c r="W221" s="39">
        <f t="shared" si="210"/>
        <v>20813.82</v>
      </c>
      <c r="X221" s="37">
        <f t="shared" si="210"/>
        <v>4280</v>
      </c>
      <c r="Y221" s="39">
        <f t="shared" si="210"/>
        <v>25093.82</v>
      </c>
      <c r="Z221" s="202">
        <f t="shared" si="210"/>
        <v>25093.819999999996</v>
      </c>
      <c r="AA221" s="203"/>
    </row>
  </sheetData>
  <mergeCells count="102">
    <mergeCell ref="Z216:AA216"/>
    <mergeCell ref="Z217:AA217"/>
    <mergeCell ref="Z218:AA218"/>
    <mergeCell ref="Z219:AA219"/>
    <mergeCell ref="Z220:AA220"/>
    <mergeCell ref="Z221:AA221"/>
    <mergeCell ref="R214:S214"/>
    <mergeCell ref="T214:U214"/>
    <mergeCell ref="V214:W214"/>
    <mergeCell ref="X214:Y214"/>
    <mergeCell ref="Z214:AA214"/>
    <mergeCell ref="Z215:AA215"/>
    <mergeCell ref="Z150:AA150"/>
    <mergeCell ref="A213:A214"/>
    <mergeCell ref="B214:C214"/>
    <mergeCell ref="D214:E214"/>
    <mergeCell ref="F214:G214"/>
    <mergeCell ref="H214:I214"/>
    <mergeCell ref="J214:K214"/>
    <mergeCell ref="L214:M214"/>
    <mergeCell ref="N214:O214"/>
    <mergeCell ref="P214:Q214"/>
    <mergeCell ref="N150:O150"/>
    <mergeCell ref="P150:Q150"/>
    <mergeCell ref="R150:S150"/>
    <mergeCell ref="T150:U150"/>
    <mergeCell ref="V150:W150"/>
    <mergeCell ref="X150:Y150"/>
    <mergeCell ref="B150:C150"/>
    <mergeCell ref="D150:E150"/>
    <mergeCell ref="F150:G150"/>
    <mergeCell ref="H150:I150"/>
    <mergeCell ref="J150:K150"/>
    <mergeCell ref="L150:M150"/>
    <mergeCell ref="Z142:AA142"/>
    <mergeCell ref="Z143:AA143"/>
    <mergeCell ref="Z144:AA144"/>
    <mergeCell ref="Z145:AA145"/>
    <mergeCell ref="Z146:AA146"/>
    <mergeCell ref="Z147:AA147"/>
    <mergeCell ref="R140:S140"/>
    <mergeCell ref="T140:U140"/>
    <mergeCell ref="V140:W140"/>
    <mergeCell ref="X140:Y140"/>
    <mergeCell ref="Z140:AA140"/>
    <mergeCell ref="Z141:AA141"/>
    <mergeCell ref="Z76:AA76"/>
    <mergeCell ref="A139:A140"/>
    <mergeCell ref="B140:C140"/>
    <mergeCell ref="D140:E140"/>
    <mergeCell ref="F140:G140"/>
    <mergeCell ref="H140:I140"/>
    <mergeCell ref="J140:K140"/>
    <mergeCell ref="L140:M140"/>
    <mergeCell ref="N140:O140"/>
    <mergeCell ref="P140:Q140"/>
    <mergeCell ref="N76:O76"/>
    <mergeCell ref="P76:Q76"/>
    <mergeCell ref="R76:S76"/>
    <mergeCell ref="T76:U76"/>
    <mergeCell ref="V76:W76"/>
    <mergeCell ref="X76:Y76"/>
    <mergeCell ref="B76:C76"/>
    <mergeCell ref="D76:E76"/>
    <mergeCell ref="F76:G76"/>
    <mergeCell ref="H76:I76"/>
    <mergeCell ref="J76:K76"/>
    <mergeCell ref="L76:M76"/>
    <mergeCell ref="Z68:AA68"/>
    <mergeCell ref="Z69:AA69"/>
    <mergeCell ref="Z70:AA70"/>
    <mergeCell ref="Z71:AA71"/>
    <mergeCell ref="Z72:AA72"/>
    <mergeCell ref="Z73:AA73"/>
    <mergeCell ref="R66:S66"/>
    <mergeCell ref="T66:U66"/>
    <mergeCell ref="V66:W66"/>
    <mergeCell ref="X66:Y66"/>
    <mergeCell ref="Z66:AA66"/>
    <mergeCell ref="Z67:AA67"/>
    <mergeCell ref="Z2:AA2"/>
    <mergeCell ref="A65:A66"/>
    <mergeCell ref="B66:C66"/>
    <mergeCell ref="D66:E66"/>
    <mergeCell ref="F66:G66"/>
    <mergeCell ref="H66:I66"/>
    <mergeCell ref="J66:K66"/>
    <mergeCell ref="L66:M66"/>
    <mergeCell ref="N66:O66"/>
    <mergeCell ref="P66:Q66"/>
    <mergeCell ref="N2:O2"/>
    <mergeCell ref="P2:Q2"/>
    <mergeCell ref="R2:S2"/>
    <mergeCell ref="T2:U2"/>
    <mergeCell ref="V2:W2"/>
    <mergeCell ref="X2:Y2"/>
    <mergeCell ref="B2:C2"/>
    <mergeCell ref="D2:E2"/>
    <mergeCell ref="F2:G2"/>
    <mergeCell ref="H2:I2"/>
    <mergeCell ref="J2:K2"/>
    <mergeCell ref="L2:M2"/>
  </mergeCells>
  <conditionalFormatting sqref="B55">
    <cfRule type="cellIs" dxfId="1319" priority="276" operator="greaterThan">
      <formula>0</formula>
    </cfRule>
    <cfRule type="cellIs" dxfId="1318" priority="275" operator="lessThan">
      <formula>0</formula>
    </cfRule>
  </conditionalFormatting>
  <conditionalFormatting sqref="B58">
    <cfRule type="cellIs" dxfId="1317" priority="272" operator="greaterThan">
      <formula>0</formula>
    </cfRule>
    <cfRule type="cellIs" dxfId="1316" priority="271" operator="lessThan">
      <formula>0</formula>
    </cfRule>
  </conditionalFormatting>
  <conditionalFormatting sqref="B61">
    <cfRule type="cellIs" dxfId="1315" priority="268" operator="greaterThan">
      <formula>0</formula>
    </cfRule>
    <cfRule type="cellIs" dxfId="1314" priority="267" operator="lessThan">
      <formula>0</formula>
    </cfRule>
  </conditionalFormatting>
  <conditionalFormatting sqref="B63">
    <cfRule type="cellIs" dxfId="1313" priority="270" operator="greaterThan">
      <formula>0</formula>
    </cfRule>
    <cfRule type="cellIs" dxfId="1312" priority="269" operator="lessThan">
      <formula>0</formula>
    </cfRule>
  </conditionalFormatting>
  <conditionalFormatting sqref="B129">
    <cfRule type="cellIs" dxfId="1311" priority="221" operator="lessThan">
      <formula>0</formula>
    </cfRule>
    <cfRule type="cellIs" dxfId="1310" priority="222" operator="greaterThan">
      <formula>0</formula>
    </cfRule>
  </conditionalFormatting>
  <conditionalFormatting sqref="B132">
    <cfRule type="cellIs" dxfId="1309" priority="218" operator="greaterThan">
      <formula>0</formula>
    </cfRule>
    <cfRule type="cellIs" dxfId="1308" priority="217" operator="lessThan">
      <formula>0</formula>
    </cfRule>
  </conditionalFormatting>
  <conditionalFormatting sqref="B135">
    <cfRule type="cellIs" dxfId="1307" priority="213" operator="lessThan">
      <formula>0</formula>
    </cfRule>
    <cfRule type="cellIs" dxfId="1306" priority="214" operator="greaterThan">
      <formula>0</formula>
    </cfRule>
  </conditionalFormatting>
  <conditionalFormatting sqref="B137">
    <cfRule type="cellIs" dxfId="1305" priority="216" operator="greaterThan">
      <formula>0</formula>
    </cfRule>
    <cfRule type="cellIs" dxfId="1304" priority="215" operator="lessThan">
      <formula>0</formula>
    </cfRule>
  </conditionalFormatting>
  <conditionalFormatting sqref="B203">
    <cfRule type="cellIs" dxfId="1303" priority="167" operator="lessThan">
      <formula>0</formula>
    </cfRule>
    <cfRule type="cellIs" dxfId="1302" priority="168" operator="greaterThan">
      <formula>0</formula>
    </cfRule>
  </conditionalFormatting>
  <conditionalFormatting sqref="B206">
    <cfRule type="cellIs" dxfId="1301" priority="164" operator="greaterThan">
      <formula>0</formula>
    </cfRule>
    <cfRule type="cellIs" dxfId="1300" priority="163" operator="lessThan">
      <formula>0</formula>
    </cfRule>
  </conditionalFormatting>
  <conditionalFormatting sqref="B209">
    <cfRule type="cellIs" dxfId="1299" priority="159" operator="lessThan">
      <formula>0</formula>
    </cfRule>
    <cfRule type="cellIs" dxfId="1298" priority="160" operator="greaterThan">
      <formula>0</formula>
    </cfRule>
  </conditionalFormatting>
  <conditionalFormatting sqref="B211">
    <cfRule type="cellIs" dxfId="1297" priority="162" operator="greaterThan">
      <formula>0</formula>
    </cfRule>
    <cfRule type="cellIs" dxfId="1296" priority="161" operator="lessThan">
      <formula>0</formula>
    </cfRule>
  </conditionalFormatting>
  <conditionalFormatting sqref="B69:Z69">
    <cfRule type="cellIs" dxfId="1295" priority="96" operator="greaterThan">
      <formula>0</formula>
    </cfRule>
    <cfRule type="cellIs" dxfId="1294" priority="95" operator="lessThan">
      <formula>0</formula>
    </cfRule>
  </conditionalFormatting>
  <conditionalFormatting sqref="B73:Z73">
    <cfRule type="cellIs" dxfId="1293" priority="90" operator="greaterThan">
      <formula>0</formula>
    </cfRule>
    <cfRule type="cellIs" dxfId="1292" priority="89" operator="lessThan">
      <formula>0</formula>
    </cfRule>
  </conditionalFormatting>
  <conditionalFormatting sqref="B143:Z143">
    <cfRule type="cellIs" dxfId="1291" priority="93" operator="lessThan">
      <formula>0</formula>
    </cfRule>
    <cfRule type="cellIs" dxfId="1290" priority="94" operator="greaterThan">
      <formula>0</formula>
    </cfRule>
  </conditionalFormatting>
  <conditionalFormatting sqref="B147:Z147">
    <cfRule type="cellIs" dxfId="1289" priority="75" operator="lessThan">
      <formula>0</formula>
    </cfRule>
    <cfRule type="cellIs" dxfId="1288" priority="76" operator="greaterThan">
      <formula>0</formula>
    </cfRule>
  </conditionalFormatting>
  <conditionalFormatting sqref="B217:Z217">
    <cfRule type="cellIs" dxfId="1287" priority="92" operator="greaterThan">
      <formula>0</formula>
    </cfRule>
    <cfRule type="cellIs" dxfId="1286" priority="91" operator="lessThan">
      <formula>0</formula>
    </cfRule>
  </conditionalFormatting>
  <conditionalFormatting sqref="B221:Z221">
    <cfRule type="cellIs" dxfId="1285" priority="74" operator="greaterThan">
      <formula>0</formula>
    </cfRule>
    <cfRule type="cellIs" dxfId="1284" priority="73" operator="lessThan">
      <formula>0</formula>
    </cfRule>
  </conditionalFormatting>
  <conditionalFormatting sqref="D55 F55 H55 J55 L55 N55 P55 R55 T55 V55 X55">
    <cfRule type="cellIs" dxfId="1283" priority="274" operator="greaterThan">
      <formula>0</formula>
    </cfRule>
    <cfRule type="cellIs" dxfId="1282" priority="273" operator="lessThan">
      <formula>0</formula>
    </cfRule>
  </conditionalFormatting>
  <conditionalFormatting sqref="D58">
    <cfRule type="cellIs" dxfId="1281" priority="71" operator="lessThan">
      <formula>0</formula>
    </cfRule>
    <cfRule type="cellIs" dxfId="1280" priority="72" operator="greaterThan">
      <formula>0</formula>
    </cfRule>
  </conditionalFormatting>
  <conditionalFormatting sqref="D61">
    <cfRule type="cellIs" dxfId="1279" priority="266" operator="greaterThan">
      <formula>0</formula>
    </cfRule>
    <cfRule type="cellIs" dxfId="1278" priority="265" operator="lessThan">
      <formula>0</formula>
    </cfRule>
  </conditionalFormatting>
  <conditionalFormatting sqref="D63">
    <cfRule type="cellIs" dxfId="1277" priority="243" operator="lessThan">
      <formula>0</formula>
    </cfRule>
    <cfRule type="cellIs" dxfId="1276" priority="244" operator="greaterThan">
      <formula>0</formula>
    </cfRule>
  </conditionalFormatting>
  <conditionalFormatting sqref="D129 F129 H129 J129 L129 N129 P129 R129 T129 V129 X129">
    <cfRule type="cellIs" dxfId="1275" priority="220" operator="greaterThan">
      <formula>0</formula>
    </cfRule>
    <cfRule type="cellIs" dxfId="1274" priority="219" operator="lessThan">
      <formula>0</formula>
    </cfRule>
  </conditionalFormatting>
  <conditionalFormatting sqref="D132">
    <cfRule type="cellIs" dxfId="1273" priority="47" operator="lessThan">
      <formula>0</formula>
    </cfRule>
    <cfRule type="cellIs" dxfId="1272" priority="48" operator="greaterThan">
      <formula>0</formula>
    </cfRule>
  </conditionalFormatting>
  <conditionalFormatting sqref="D135">
    <cfRule type="cellIs" dxfId="1271" priority="212" operator="greaterThan">
      <formula>0</formula>
    </cfRule>
    <cfRule type="cellIs" dxfId="1270" priority="211" operator="lessThan">
      <formula>0</formula>
    </cfRule>
  </conditionalFormatting>
  <conditionalFormatting sqref="D137">
    <cfRule type="cellIs" dxfId="1269" priority="189" operator="lessThan">
      <formula>0</formula>
    </cfRule>
    <cfRule type="cellIs" dxfId="1268" priority="190" operator="greaterThan">
      <formula>0</formula>
    </cfRule>
  </conditionalFormatting>
  <conditionalFormatting sqref="D203 F203 H203 J203 L203 N203 P203 R203 T203 V203 X203">
    <cfRule type="cellIs" dxfId="1267" priority="165" operator="lessThan">
      <formula>0</formula>
    </cfRule>
    <cfRule type="cellIs" dxfId="1266" priority="166" operator="greaterThan">
      <formula>0</formula>
    </cfRule>
  </conditionalFormatting>
  <conditionalFormatting sqref="D206">
    <cfRule type="cellIs" dxfId="1265" priority="23" operator="lessThan">
      <formula>0</formula>
    </cfRule>
    <cfRule type="cellIs" dxfId="1264" priority="24" operator="greaterThan">
      <formula>0</formula>
    </cfRule>
  </conditionalFormatting>
  <conditionalFormatting sqref="D209">
    <cfRule type="cellIs" dxfId="1263" priority="151" operator="lessThan">
      <formula>0</formula>
    </cfRule>
    <cfRule type="cellIs" dxfId="1262" priority="152" operator="greaterThan">
      <formula>0</formula>
    </cfRule>
  </conditionalFormatting>
  <conditionalFormatting sqref="D211">
    <cfRule type="cellIs" dxfId="1261" priority="153" operator="lessThan">
      <formula>0</formula>
    </cfRule>
    <cfRule type="cellIs" dxfId="1260" priority="154" operator="greaterThan">
      <formula>0</formula>
    </cfRule>
  </conditionalFormatting>
  <conditionalFormatting sqref="F58">
    <cfRule type="cellIs" dxfId="1259" priority="69" operator="lessThan">
      <formula>0</formula>
    </cfRule>
    <cfRule type="cellIs" dxfId="1258" priority="70" operator="greaterThan">
      <formula>0</formula>
    </cfRule>
  </conditionalFormatting>
  <conditionalFormatting sqref="F61">
    <cfRule type="cellIs" dxfId="1257" priority="263" operator="lessThan">
      <formula>0</formula>
    </cfRule>
    <cfRule type="cellIs" dxfId="1256" priority="264" operator="greaterThan">
      <formula>0</formula>
    </cfRule>
  </conditionalFormatting>
  <conditionalFormatting sqref="F63">
    <cfRule type="cellIs" dxfId="1255" priority="241" operator="lessThan">
      <formula>0</formula>
    </cfRule>
    <cfRule type="cellIs" dxfId="1254" priority="242" operator="greaterThan">
      <formula>0</formula>
    </cfRule>
  </conditionalFormatting>
  <conditionalFormatting sqref="F132">
    <cfRule type="cellIs" dxfId="1253" priority="46" operator="greaterThan">
      <formula>0</formula>
    </cfRule>
    <cfRule type="cellIs" dxfId="1252" priority="45" operator="lessThan">
      <formula>0</formula>
    </cfRule>
  </conditionalFormatting>
  <conditionalFormatting sqref="F135">
    <cfRule type="cellIs" dxfId="1251" priority="209" operator="lessThan">
      <formula>0</formula>
    </cfRule>
    <cfRule type="cellIs" dxfId="1250" priority="210" operator="greaterThan">
      <formula>0</formula>
    </cfRule>
  </conditionalFormatting>
  <conditionalFormatting sqref="F137">
    <cfRule type="cellIs" dxfId="1249" priority="187" operator="lessThan">
      <formula>0</formula>
    </cfRule>
    <cfRule type="cellIs" dxfId="1248" priority="188" operator="greaterThan">
      <formula>0</formula>
    </cfRule>
  </conditionalFormatting>
  <conditionalFormatting sqref="F206">
    <cfRule type="cellIs" dxfId="1247" priority="22" operator="greaterThan">
      <formula>0</formula>
    </cfRule>
    <cfRule type="cellIs" dxfId="1246" priority="21" operator="lessThan">
      <formula>0</formula>
    </cfRule>
  </conditionalFormatting>
  <conditionalFormatting sqref="F209">
    <cfRule type="cellIs" dxfId="1245" priority="147" operator="lessThan">
      <formula>0</formula>
    </cfRule>
    <cfRule type="cellIs" dxfId="1244" priority="148" operator="greaterThan">
      <formula>0</formula>
    </cfRule>
  </conditionalFormatting>
  <conditionalFormatting sqref="F211">
    <cfRule type="cellIs" dxfId="1243" priority="149" operator="lessThan">
      <formula>0</formula>
    </cfRule>
    <cfRule type="cellIs" dxfId="1242" priority="150" operator="greaterThan">
      <formula>0</formula>
    </cfRule>
  </conditionalFormatting>
  <conditionalFormatting sqref="H58">
    <cfRule type="cellIs" dxfId="1241" priority="67" operator="lessThan">
      <formula>0</formula>
    </cfRule>
    <cfRule type="cellIs" dxfId="1240" priority="68" operator="greaterThan">
      <formula>0</formula>
    </cfRule>
  </conditionalFormatting>
  <conditionalFormatting sqref="H61">
    <cfRule type="cellIs" dxfId="1239" priority="262" operator="greaterThan">
      <formula>0</formula>
    </cfRule>
    <cfRule type="cellIs" dxfId="1238" priority="261" operator="lessThan">
      <formula>0</formula>
    </cfRule>
  </conditionalFormatting>
  <conditionalFormatting sqref="H63">
    <cfRule type="cellIs" dxfId="1237" priority="239" operator="lessThan">
      <formula>0</formula>
    </cfRule>
    <cfRule type="cellIs" dxfId="1236" priority="240" operator="greaterThan">
      <formula>0</formula>
    </cfRule>
  </conditionalFormatting>
  <conditionalFormatting sqref="H132">
    <cfRule type="cellIs" dxfId="1235" priority="44" operator="greaterThan">
      <formula>0</formula>
    </cfRule>
    <cfRule type="cellIs" dxfId="1234" priority="43" operator="lessThan">
      <formula>0</formula>
    </cfRule>
  </conditionalFormatting>
  <conditionalFormatting sqref="H135">
    <cfRule type="cellIs" dxfId="1233" priority="207" operator="lessThan">
      <formula>0</formula>
    </cfRule>
    <cfRule type="cellIs" dxfId="1232" priority="208" operator="greaterThan">
      <formula>0</formula>
    </cfRule>
  </conditionalFormatting>
  <conditionalFormatting sqref="H137">
    <cfRule type="cellIs" dxfId="1231" priority="186" operator="greaterThan">
      <formula>0</formula>
    </cfRule>
    <cfRule type="cellIs" dxfId="1230" priority="185" operator="lessThan">
      <formula>0</formula>
    </cfRule>
  </conditionalFormatting>
  <conditionalFormatting sqref="H206">
    <cfRule type="cellIs" dxfId="1229" priority="19" operator="lessThan">
      <formula>0</formula>
    </cfRule>
    <cfRule type="cellIs" dxfId="1228" priority="20" operator="greaterThan">
      <formula>0</formula>
    </cfRule>
  </conditionalFormatting>
  <conditionalFormatting sqref="H209">
    <cfRule type="cellIs" dxfId="1227" priority="143" operator="lessThan">
      <formula>0</formula>
    </cfRule>
    <cfRule type="cellIs" dxfId="1226" priority="144" operator="greaterThan">
      <formula>0</formula>
    </cfRule>
  </conditionalFormatting>
  <conditionalFormatting sqref="H211">
    <cfRule type="cellIs" dxfId="1225" priority="146" operator="greaterThan">
      <formula>0</formula>
    </cfRule>
    <cfRule type="cellIs" dxfId="1224" priority="145" operator="lessThan">
      <formula>0</formula>
    </cfRule>
  </conditionalFormatting>
  <conditionalFormatting sqref="J58">
    <cfRule type="cellIs" dxfId="1223" priority="65" operator="lessThan">
      <formula>0</formula>
    </cfRule>
    <cfRule type="cellIs" dxfId="1222" priority="66" operator="greaterThan">
      <formula>0</formula>
    </cfRule>
  </conditionalFormatting>
  <conditionalFormatting sqref="J61">
    <cfRule type="cellIs" dxfId="1221" priority="260" operator="greaterThan">
      <formula>0</formula>
    </cfRule>
    <cfRule type="cellIs" dxfId="1220" priority="259" operator="lessThan">
      <formula>0</formula>
    </cfRule>
  </conditionalFormatting>
  <conditionalFormatting sqref="J63">
    <cfRule type="cellIs" dxfId="1219" priority="237" operator="lessThan">
      <formula>0</formula>
    </cfRule>
    <cfRule type="cellIs" dxfId="1218" priority="238" operator="greaterThan">
      <formula>0</formula>
    </cfRule>
  </conditionalFormatting>
  <conditionalFormatting sqref="J132">
    <cfRule type="cellIs" dxfId="1217" priority="41" operator="lessThan">
      <formula>0</formula>
    </cfRule>
    <cfRule type="cellIs" dxfId="1216" priority="42" operator="greaterThan">
      <formula>0</formula>
    </cfRule>
  </conditionalFormatting>
  <conditionalFormatting sqref="J135">
    <cfRule type="cellIs" dxfId="1215" priority="206" operator="greaterThan">
      <formula>0</formula>
    </cfRule>
    <cfRule type="cellIs" dxfId="1214" priority="205" operator="lessThan">
      <formula>0</formula>
    </cfRule>
  </conditionalFormatting>
  <conditionalFormatting sqref="J137">
    <cfRule type="cellIs" dxfId="1213" priority="183" operator="lessThan">
      <formula>0</formula>
    </cfRule>
    <cfRule type="cellIs" dxfId="1212" priority="184" operator="greaterThan">
      <formula>0</formula>
    </cfRule>
  </conditionalFormatting>
  <conditionalFormatting sqref="J206">
    <cfRule type="cellIs" dxfId="1211" priority="18" operator="greaterThan">
      <formula>0</formula>
    </cfRule>
    <cfRule type="cellIs" dxfId="1210" priority="17" operator="lessThan">
      <formula>0</formula>
    </cfRule>
  </conditionalFormatting>
  <conditionalFormatting sqref="J209">
    <cfRule type="cellIs" dxfId="1209" priority="140" operator="greaterThan">
      <formula>0</formula>
    </cfRule>
    <cfRule type="cellIs" dxfId="1208" priority="139" operator="lessThan">
      <formula>0</formula>
    </cfRule>
  </conditionalFormatting>
  <conditionalFormatting sqref="J211">
    <cfRule type="cellIs" dxfId="1207" priority="142" operator="greaterThan">
      <formula>0</formula>
    </cfRule>
    <cfRule type="cellIs" dxfId="1206" priority="141" operator="lessThan">
      <formula>0</formula>
    </cfRule>
  </conditionalFormatting>
  <conditionalFormatting sqref="L58">
    <cfRule type="cellIs" dxfId="1205" priority="64" operator="greaterThan">
      <formula>0</formula>
    </cfRule>
    <cfRule type="cellIs" dxfId="1204" priority="63" operator="lessThan">
      <formula>0</formula>
    </cfRule>
  </conditionalFormatting>
  <conditionalFormatting sqref="L61">
    <cfRule type="cellIs" dxfId="1203" priority="258" operator="greaterThan">
      <formula>0</formula>
    </cfRule>
    <cfRule type="cellIs" dxfId="1202" priority="257" operator="lessThan">
      <formula>0</formula>
    </cfRule>
  </conditionalFormatting>
  <conditionalFormatting sqref="L63">
    <cfRule type="cellIs" dxfId="1201" priority="235" operator="lessThan">
      <formula>0</formula>
    </cfRule>
    <cfRule type="cellIs" dxfId="1200" priority="236" operator="greaterThan">
      <formula>0</formula>
    </cfRule>
  </conditionalFormatting>
  <conditionalFormatting sqref="L132">
    <cfRule type="cellIs" dxfId="1199" priority="39" operator="lessThan">
      <formula>0</formula>
    </cfRule>
    <cfRule type="cellIs" dxfId="1198" priority="40" operator="greaterThan">
      <formula>0</formula>
    </cfRule>
  </conditionalFormatting>
  <conditionalFormatting sqref="L135">
    <cfRule type="cellIs" dxfId="1197" priority="204" operator="greaterThan">
      <formula>0</formula>
    </cfRule>
    <cfRule type="cellIs" dxfId="1196" priority="203" operator="lessThan">
      <formula>0</formula>
    </cfRule>
  </conditionalFormatting>
  <conditionalFormatting sqref="L137">
    <cfRule type="cellIs" dxfId="1195" priority="181" operator="lessThan">
      <formula>0</formula>
    </cfRule>
    <cfRule type="cellIs" dxfId="1194" priority="182" operator="greaterThan">
      <formula>0</formula>
    </cfRule>
  </conditionalFormatting>
  <conditionalFormatting sqref="L206">
    <cfRule type="cellIs" dxfId="1193" priority="16" operator="greaterThan">
      <formula>0</formula>
    </cfRule>
    <cfRule type="cellIs" dxfId="1192" priority="15" operator="lessThan">
      <formula>0</formula>
    </cfRule>
  </conditionalFormatting>
  <conditionalFormatting sqref="L209">
    <cfRule type="cellIs" dxfId="1191" priority="135" operator="lessThan">
      <formula>0</formula>
    </cfRule>
    <cfRule type="cellIs" dxfId="1190" priority="136" operator="greaterThan">
      <formula>0</formula>
    </cfRule>
  </conditionalFormatting>
  <conditionalFormatting sqref="L211">
    <cfRule type="cellIs" dxfId="1189" priority="137" operator="lessThan">
      <formula>0</formula>
    </cfRule>
    <cfRule type="cellIs" dxfId="1188" priority="138" operator="greaterThan">
      <formula>0</formula>
    </cfRule>
  </conditionalFormatting>
  <conditionalFormatting sqref="N58">
    <cfRule type="cellIs" dxfId="1187" priority="61" operator="lessThan">
      <formula>0</formula>
    </cfRule>
    <cfRule type="cellIs" dxfId="1186" priority="62" operator="greaterThan">
      <formula>0</formula>
    </cfRule>
  </conditionalFormatting>
  <conditionalFormatting sqref="N61">
    <cfRule type="cellIs" dxfId="1185" priority="256" operator="greaterThan">
      <formula>0</formula>
    </cfRule>
    <cfRule type="cellIs" dxfId="1184" priority="255" operator="lessThan">
      <formula>0</formula>
    </cfRule>
  </conditionalFormatting>
  <conditionalFormatting sqref="N63">
    <cfRule type="cellIs" dxfId="1183" priority="233" operator="lessThan">
      <formula>0</formula>
    </cfRule>
    <cfRule type="cellIs" dxfId="1182" priority="234" operator="greaterThan">
      <formula>0</formula>
    </cfRule>
  </conditionalFormatting>
  <conditionalFormatting sqref="N132">
    <cfRule type="cellIs" dxfId="1181" priority="38" operator="greaterThan">
      <formula>0</formula>
    </cfRule>
    <cfRule type="cellIs" dxfId="1180" priority="37" operator="lessThan">
      <formula>0</formula>
    </cfRule>
  </conditionalFormatting>
  <conditionalFormatting sqref="N135">
    <cfRule type="cellIs" dxfId="1179" priority="201" operator="lessThan">
      <formula>0</formula>
    </cfRule>
    <cfRule type="cellIs" dxfId="1178" priority="202" operator="greaterThan">
      <formula>0</formula>
    </cfRule>
  </conditionalFormatting>
  <conditionalFormatting sqref="N137">
    <cfRule type="cellIs" dxfId="1177" priority="180" operator="greaterThan">
      <formula>0</formula>
    </cfRule>
    <cfRule type="cellIs" dxfId="1176" priority="179" operator="lessThan">
      <formula>0</formula>
    </cfRule>
  </conditionalFormatting>
  <conditionalFormatting sqref="N206">
    <cfRule type="cellIs" dxfId="1175" priority="14" operator="greaterThan">
      <formula>0</formula>
    </cfRule>
    <cfRule type="cellIs" dxfId="1174" priority="13" operator="lessThan">
      <formula>0</formula>
    </cfRule>
  </conditionalFormatting>
  <conditionalFormatting sqref="N209">
    <cfRule type="cellIs" dxfId="1173" priority="132" operator="greaterThan">
      <formula>0</formula>
    </cfRule>
    <cfRule type="cellIs" dxfId="1172" priority="131" operator="lessThan">
      <formula>0</formula>
    </cfRule>
  </conditionalFormatting>
  <conditionalFormatting sqref="N211">
    <cfRule type="cellIs" dxfId="1171" priority="134" operator="greaterThan">
      <formula>0</formula>
    </cfRule>
    <cfRule type="cellIs" dxfId="1170" priority="133" operator="lessThan">
      <formula>0</formula>
    </cfRule>
  </conditionalFormatting>
  <conditionalFormatting sqref="P58">
    <cfRule type="cellIs" dxfId="1169" priority="59" operator="lessThan">
      <formula>0</formula>
    </cfRule>
    <cfRule type="cellIs" dxfId="1168" priority="60" operator="greaterThan">
      <formula>0</formula>
    </cfRule>
  </conditionalFormatting>
  <conditionalFormatting sqref="P61">
    <cfRule type="cellIs" dxfId="1167" priority="254" operator="greaterThan">
      <formula>0</formula>
    </cfRule>
    <cfRule type="cellIs" dxfId="1166" priority="253" operator="lessThan">
      <formula>0</formula>
    </cfRule>
  </conditionalFormatting>
  <conditionalFormatting sqref="P63">
    <cfRule type="cellIs" dxfId="1165" priority="231" operator="lessThan">
      <formula>0</formula>
    </cfRule>
    <cfRule type="cellIs" dxfId="1164" priority="232" operator="greaterThan">
      <formula>0</formula>
    </cfRule>
  </conditionalFormatting>
  <conditionalFormatting sqref="P132">
    <cfRule type="cellIs" dxfId="1163" priority="36" operator="greaterThan">
      <formula>0</formula>
    </cfRule>
    <cfRule type="cellIs" dxfId="1162" priority="35" operator="lessThan">
      <formula>0</formula>
    </cfRule>
  </conditionalFormatting>
  <conditionalFormatting sqref="P135">
    <cfRule type="cellIs" dxfId="1161" priority="200" operator="greaterThan">
      <formula>0</formula>
    </cfRule>
    <cfRule type="cellIs" dxfId="1160" priority="199" operator="lessThan">
      <formula>0</formula>
    </cfRule>
  </conditionalFormatting>
  <conditionalFormatting sqref="P137">
    <cfRule type="cellIs" dxfId="1159" priority="178" operator="greaterThan">
      <formula>0</formula>
    </cfRule>
    <cfRule type="cellIs" dxfId="1158" priority="177" operator="lessThan">
      <formula>0</formula>
    </cfRule>
  </conditionalFormatting>
  <conditionalFormatting sqref="P206">
    <cfRule type="cellIs" dxfId="1157" priority="12" operator="greaterThan">
      <formula>0</formula>
    </cfRule>
    <cfRule type="cellIs" dxfId="1156" priority="11" operator="lessThan">
      <formula>0</formula>
    </cfRule>
  </conditionalFormatting>
  <conditionalFormatting sqref="P209">
    <cfRule type="cellIs" dxfId="1155" priority="128" operator="greaterThan">
      <formula>0</formula>
    </cfRule>
    <cfRule type="cellIs" dxfId="1154" priority="127" operator="lessThan">
      <formula>0</formula>
    </cfRule>
  </conditionalFormatting>
  <conditionalFormatting sqref="P211">
    <cfRule type="cellIs" dxfId="1153" priority="130" operator="greaterThan">
      <formula>0</formula>
    </cfRule>
    <cfRule type="cellIs" dxfId="1152" priority="129" operator="lessThan">
      <formula>0</formula>
    </cfRule>
  </conditionalFormatting>
  <conditionalFormatting sqref="R58">
    <cfRule type="cellIs" dxfId="1151" priority="58" operator="greaterThan">
      <formula>0</formula>
    </cfRule>
    <cfRule type="cellIs" dxfId="1150" priority="57" operator="lessThan">
      <formula>0</formula>
    </cfRule>
  </conditionalFormatting>
  <conditionalFormatting sqref="R61">
    <cfRule type="cellIs" dxfId="1149" priority="252" operator="greaterThan">
      <formula>0</formula>
    </cfRule>
    <cfRule type="cellIs" dxfId="1148" priority="251" operator="lessThan">
      <formula>0</formula>
    </cfRule>
  </conditionalFormatting>
  <conditionalFormatting sqref="R63">
    <cfRule type="cellIs" dxfId="1147" priority="229" operator="lessThan">
      <formula>0</formula>
    </cfRule>
    <cfRule type="cellIs" dxfId="1146" priority="230" operator="greaterThan">
      <formula>0</formula>
    </cfRule>
  </conditionalFormatting>
  <conditionalFormatting sqref="R132">
    <cfRule type="cellIs" dxfId="1145" priority="34" operator="greaterThan">
      <formula>0</formula>
    </cfRule>
    <cfRule type="cellIs" dxfId="1144" priority="33" operator="lessThan">
      <formula>0</formula>
    </cfRule>
  </conditionalFormatting>
  <conditionalFormatting sqref="R135">
    <cfRule type="cellIs" dxfId="1143" priority="197" operator="lessThan">
      <formula>0</formula>
    </cfRule>
    <cfRule type="cellIs" dxfId="1142" priority="198" operator="greaterThan">
      <formula>0</formula>
    </cfRule>
  </conditionalFormatting>
  <conditionalFormatting sqref="R137">
    <cfRule type="cellIs" dxfId="1141" priority="175" operator="lessThan">
      <formula>0</formula>
    </cfRule>
    <cfRule type="cellIs" dxfId="1140" priority="176" operator="greaterThan">
      <formula>0</formula>
    </cfRule>
  </conditionalFormatting>
  <conditionalFormatting sqref="R206">
    <cfRule type="cellIs" dxfId="1139" priority="9" operator="lessThan">
      <formula>0</formula>
    </cfRule>
    <cfRule type="cellIs" dxfId="1138" priority="10" operator="greaterThan">
      <formula>0</formula>
    </cfRule>
  </conditionalFormatting>
  <conditionalFormatting sqref="R209">
    <cfRule type="cellIs" dxfId="1137" priority="123" operator="lessThan">
      <formula>0</formula>
    </cfRule>
    <cfRule type="cellIs" dxfId="1136" priority="124" operator="greaterThan">
      <formula>0</formula>
    </cfRule>
  </conditionalFormatting>
  <conditionalFormatting sqref="R211">
    <cfRule type="cellIs" dxfId="1135" priority="125" operator="lessThan">
      <formula>0</formula>
    </cfRule>
    <cfRule type="cellIs" dxfId="1134" priority="126" operator="greaterThan">
      <formula>0</formula>
    </cfRule>
  </conditionalFormatting>
  <conditionalFormatting sqref="T58">
    <cfRule type="cellIs" dxfId="1133" priority="55" operator="lessThan">
      <formula>0</formula>
    </cfRule>
    <cfRule type="cellIs" dxfId="1132" priority="56" operator="greaterThan">
      <formula>0</formula>
    </cfRule>
  </conditionalFormatting>
  <conditionalFormatting sqref="T61">
    <cfRule type="cellIs" dxfId="1131" priority="250" operator="greaterThan">
      <formula>0</formula>
    </cfRule>
    <cfRule type="cellIs" dxfId="1130" priority="249" operator="lessThan">
      <formula>0</formula>
    </cfRule>
  </conditionalFormatting>
  <conditionalFormatting sqref="T63">
    <cfRule type="cellIs" dxfId="1129" priority="228" operator="greaterThan">
      <formula>0</formula>
    </cfRule>
    <cfRule type="cellIs" dxfId="1128" priority="227" operator="lessThan">
      <formula>0</formula>
    </cfRule>
  </conditionalFormatting>
  <conditionalFormatting sqref="T132">
    <cfRule type="cellIs" dxfId="1127" priority="32" operator="greaterThan">
      <formula>0</formula>
    </cfRule>
    <cfRule type="cellIs" dxfId="1126" priority="31" operator="lessThan">
      <formula>0</formula>
    </cfRule>
  </conditionalFormatting>
  <conditionalFormatting sqref="T135">
    <cfRule type="cellIs" dxfId="1125" priority="195" operator="lessThan">
      <formula>0</formula>
    </cfRule>
    <cfRule type="cellIs" dxfId="1124" priority="196" operator="greaterThan">
      <formula>0</formula>
    </cfRule>
  </conditionalFormatting>
  <conditionalFormatting sqref="T137">
    <cfRule type="cellIs" dxfId="1123" priority="174" operator="greaterThan">
      <formula>0</formula>
    </cfRule>
    <cfRule type="cellIs" dxfId="1122" priority="173" operator="lessThan">
      <formula>0</formula>
    </cfRule>
  </conditionalFormatting>
  <conditionalFormatting sqref="T206">
    <cfRule type="cellIs" dxfId="1121" priority="8" operator="greaterThan">
      <formula>0</formula>
    </cfRule>
    <cfRule type="cellIs" dxfId="1120" priority="7" operator="lessThan">
      <formula>0</formula>
    </cfRule>
  </conditionalFormatting>
  <conditionalFormatting sqref="T209">
    <cfRule type="cellIs" dxfId="1119" priority="119" operator="lessThan">
      <formula>0</formula>
    </cfRule>
    <cfRule type="cellIs" dxfId="1118" priority="120" operator="greaterThan">
      <formula>0</formula>
    </cfRule>
  </conditionalFormatting>
  <conditionalFormatting sqref="T211">
    <cfRule type="cellIs" dxfId="1117" priority="121" operator="lessThan">
      <formula>0</formula>
    </cfRule>
    <cfRule type="cellIs" dxfId="1116" priority="122" operator="greaterThan">
      <formula>0</formula>
    </cfRule>
  </conditionalFormatting>
  <conditionalFormatting sqref="V58">
    <cfRule type="cellIs" dxfId="1115" priority="54" operator="greaterThan">
      <formula>0</formula>
    </cfRule>
    <cfRule type="cellIs" dxfId="1114" priority="53" operator="lessThan">
      <formula>0</formula>
    </cfRule>
  </conditionalFormatting>
  <conditionalFormatting sqref="V61">
    <cfRule type="cellIs" dxfId="1113" priority="248" operator="greaterThan">
      <formula>0</formula>
    </cfRule>
    <cfRule type="cellIs" dxfId="1112" priority="247" operator="lessThan">
      <formula>0</formula>
    </cfRule>
  </conditionalFormatting>
  <conditionalFormatting sqref="V63">
    <cfRule type="cellIs" dxfId="1111" priority="226" operator="greaterThan">
      <formula>0</formula>
    </cfRule>
    <cfRule type="cellIs" dxfId="1110" priority="225" operator="lessThan">
      <formula>0</formula>
    </cfRule>
  </conditionalFormatting>
  <conditionalFormatting sqref="V132">
    <cfRule type="cellIs" dxfId="1109" priority="30" operator="greaterThan">
      <formula>0</formula>
    </cfRule>
    <cfRule type="cellIs" dxfId="1108" priority="29" operator="lessThan">
      <formula>0</formula>
    </cfRule>
  </conditionalFormatting>
  <conditionalFormatting sqref="V135">
    <cfRule type="cellIs" dxfId="1107" priority="194" operator="greaterThan">
      <formula>0</formula>
    </cfRule>
    <cfRule type="cellIs" dxfId="1106" priority="193" operator="lessThan">
      <formula>0</formula>
    </cfRule>
  </conditionalFormatting>
  <conditionalFormatting sqref="V137">
    <cfRule type="cellIs" dxfId="1105" priority="172" operator="greaterThan">
      <formula>0</formula>
    </cfRule>
    <cfRule type="cellIs" dxfId="1104" priority="171" operator="lessThan">
      <formula>0</formula>
    </cfRule>
  </conditionalFormatting>
  <conditionalFormatting sqref="V206">
    <cfRule type="cellIs" dxfId="1103" priority="5" operator="lessThan">
      <formula>0</formula>
    </cfRule>
    <cfRule type="cellIs" dxfId="1102" priority="6" operator="greaterThan">
      <formula>0</formula>
    </cfRule>
  </conditionalFormatting>
  <conditionalFormatting sqref="V209">
    <cfRule type="cellIs" dxfId="1101" priority="116" operator="greaterThan">
      <formula>0</formula>
    </cfRule>
    <cfRule type="cellIs" dxfId="1100" priority="115" operator="lessThan">
      <formula>0</formula>
    </cfRule>
  </conditionalFormatting>
  <conditionalFormatting sqref="V211">
    <cfRule type="cellIs" dxfId="1099" priority="118" operator="greaterThan">
      <formula>0</formula>
    </cfRule>
    <cfRule type="cellIs" dxfId="1098" priority="117" operator="lessThan">
      <formula>0</formula>
    </cfRule>
  </conditionalFormatting>
  <conditionalFormatting sqref="X58">
    <cfRule type="cellIs" dxfId="1097" priority="51" operator="lessThan">
      <formula>0</formula>
    </cfRule>
    <cfRule type="cellIs" dxfId="1096" priority="52" operator="greaterThan">
      <formula>0</formula>
    </cfRule>
  </conditionalFormatting>
  <conditionalFormatting sqref="X61">
    <cfRule type="cellIs" dxfId="1095" priority="245" operator="lessThan">
      <formula>0</formula>
    </cfRule>
    <cfRule type="cellIs" dxfId="1094" priority="246" operator="greaterThan">
      <formula>0</formula>
    </cfRule>
  </conditionalFormatting>
  <conditionalFormatting sqref="X63">
    <cfRule type="cellIs" dxfId="1093" priority="223" operator="lessThan">
      <formula>0</formula>
    </cfRule>
    <cfRule type="cellIs" dxfId="1092" priority="224" operator="greaterThan">
      <formula>0</formula>
    </cfRule>
  </conditionalFormatting>
  <conditionalFormatting sqref="X132">
    <cfRule type="cellIs" dxfId="1091" priority="28" operator="greaterThan">
      <formula>0</formula>
    </cfRule>
    <cfRule type="cellIs" dxfId="1090" priority="27" operator="lessThan">
      <formula>0</formula>
    </cfRule>
  </conditionalFormatting>
  <conditionalFormatting sqref="X135">
    <cfRule type="cellIs" dxfId="1089" priority="191" operator="lessThan">
      <formula>0</formula>
    </cfRule>
    <cfRule type="cellIs" dxfId="1088" priority="192" operator="greaterThan">
      <formula>0</formula>
    </cfRule>
  </conditionalFormatting>
  <conditionalFormatting sqref="X137">
    <cfRule type="cellIs" dxfId="1087" priority="169" operator="lessThan">
      <formula>0</formula>
    </cfRule>
    <cfRule type="cellIs" dxfId="1086" priority="170" operator="greaterThan">
      <formula>0</formula>
    </cfRule>
  </conditionalFormatting>
  <conditionalFormatting sqref="X206">
    <cfRule type="cellIs" dxfId="1085" priority="4" operator="greaterThan">
      <formula>0</formula>
    </cfRule>
    <cfRule type="cellIs" dxfId="1084" priority="3" operator="lessThan">
      <formula>0</formula>
    </cfRule>
  </conditionalFormatting>
  <conditionalFormatting sqref="X209">
    <cfRule type="cellIs" dxfId="1083" priority="112" operator="greaterThan">
      <formula>0</formula>
    </cfRule>
    <cfRule type="cellIs" dxfId="1082" priority="111" operator="lessThan">
      <formula>0</formula>
    </cfRule>
  </conditionalFormatting>
  <conditionalFormatting sqref="X211">
    <cfRule type="cellIs" dxfId="1081" priority="113" operator="lessThan">
      <formula>0</formula>
    </cfRule>
    <cfRule type="cellIs" dxfId="1080" priority="114" operator="greaterThan">
      <formula>0</formula>
    </cfRule>
  </conditionalFormatting>
  <conditionalFormatting sqref="Z55">
    <cfRule type="cellIs" dxfId="1079" priority="102" operator="greaterThan">
      <formula>0</formula>
    </cfRule>
    <cfRule type="cellIs" dxfId="1078" priority="101" operator="lessThan">
      <formula>0</formula>
    </cfRule>
  </conditionalFormatting>
  <conditionalFormatting sqref="Z58">
    <cfRule type="cellIs" dxfId="1077" priority="50" operator="greaterThan">
      <formula>0</formula>
    </cfRule>
    <cfRule type="cellIs" dxfId="1076" priority="49" operator="lessThan">
      <formula>0</formula>
    </cfRule>
  </conditionalFormatting>
  <conditionalFormatting sqref="Z61">
    <cfRule type="cellIs" dxfId="1075" priority="100" operator="greaterThan">
      <formula>0</formula>
    </cfRule>
    <cfRule type="cellIs" dxfId="1074" priority="99" operator="lessThan">
      <formula>0</formula>
    </cfRule>
  </conditionalFormatting>
  <conditionalFormatting sqref="Z63">
    <cfRule type="cellIs" dxfId="1073" priority="97" operator="lessThan">
      <formula>0</formula>
    </cfRule>
    <cfRule type="cellIs" dxfId="1072" priority="98" operator="greaterThan">
      <formula>0</formula>
    </cfRule>
  </conditionalFormatting>
  <conditionalFormatting sqref="Z129">
    <cfRule type="cellIs" dxfId="1071" priority="81" operator="lessThan">
      <formula>0</formula>
    </cfRule>
    <cfRule type="cellIs" dxfId="1070" priority="82" operator="greaterThan">
      <formula>0</formula>
    </cfRule>
  </conditionalFormatting>
  <conditionalFormatting sqref="Z132">
    <cfRule type="cellIs" dxfId="1069" priority="26" operator="greaterThan">
      <formula>0</formula>
    </cfRule>
    <cfRule type="cellIs" dxfId="1068" priority="25" operator="lessThan">
      <formula>0</formula>
    </cfRule>
  </conditionalFormatting>
  <conditionalFormatting sqref="Z135">
    <cfRule type="cellIs" dxfId="1067" priority="79" operator="lessThan">
      <formula>0</formula>
    </cfRule>
    <cfRule type="cellIs" dxfId="1066" priority="80" operator="greaterThan">
      <formula>0</formula>
    </cfRule>
  </conditionalFormatting>
  <conditionalFormatting sqref="Z137">
    <cfRule type="cellIs" dxfId="1065" priority="77" operator="lessThan">
      <formula>0</formula>
    </cfRule>
    <cfRule type="cellIs" dxfId="1064" priority="78" operator="greaterThan">
      <formula>0</formula>
    </cfRule>
  </conditionalFormatting>
  <conditionalFormatting sqref="Z203">
    <cfRule type="cellIs" dxfId="1063" priority="87" operator="lessThan">
      <formula>0</formula>
    </cfRule>
    <cfRule type="cellIs" dxfId="1062" priority="88" operator="greaterThan">
      <formula>0</formula>
    </cfRule>
  </conditionalFormatting>
  <conditionalFormatting sqref="Z206">
    <cfRule type="cellIs" dxfId="1061" priority="1" operator="lessThan">
      <formula>0</formula>
    </cfRule>
    <cfRule type="cellIs" dxfId="1060" priority="2" operator="greaterThan">
      <formula>0</formula>
    </cfRule>
  </conditionalFormatting>
  <conditionalFormatting sqref="Z209">
    <cfRule type="cellIs" dxfId="1059" priority="86" operator="greaterThan">
      <formula>0</formula>
    </cfRule>
    <cfRule type="cellIs" dxfId="1058" priority="85" operator="lessThan">
      <formula>0</formula>
    </cfRule>
  </conditionalFormatting>
  <conditionalFormatting sqref="Z211">
    <cfRule type="cellIs" dxfId="1057" priority="84" operator="greaterThan">
      <formula>0</formula>
    </cfRule>
    <cfRule type="cellIs" dxfId="1056" priority="83" operator="lessThan">
      <formula>0</formula>
    </cfRule>
  </conditionalFormatting>
  <pageMargins left="0.7" right="0.7" top="0.75" bottom="0.75" header="0.3" footer="0.3"/>
  <pageSetup paperSize="9" orientation="portrait" horizontalDpi="0" verticalDpi="0"/>
  <headerFooter>
    <oddHeader>&amp;C&amp;"Calibri"&amp;10&amp;K000000 Internal&amp;1#_x000D_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/>
  </sheetPr>
  <dimension ref="A1:AD221"/>
  <sheetViews>
    <sheetView showGridLines="0" showRuler="0" workbookViewId="0">
      <pane xSplit="1" topLeftCell="M1" activePane="topRight" state="frozen"/>
      <selection pane="topRight" activeCell="AB3" sqref="AB3:AB63"/>
    </sheetView>
  </sheetViews>
  <sheetFormatPr defaultColWidth="10.8515625" defaultRowHeight="15" outlineLevelRow="2" x14ac:dyDescent="0.2"/>
  <cols>
    <col min="1" max="1" width="22.31640625" bestFit="1" customWidth="1"/>
    <col min="2" max="11" width="10.8515625" customWidth="1"/>
    <col min="12" max="12" width="10.8515625" customWidth="1" collapsed="1"/>
    <col min="13" max="25" width="10.8515625" customWidth="1"/>
  </cols>
  <sheetData>
    <row r="1" spans="1:28" ht="6" customHeight="1" thickBot="1" x14ac:dyDescent="0.25"/>
    <row r="2" spans="1:28" x14ac:dyDescent="0.2">
      <c r="A2">
        <v>12</v>
      </c>
      <c r="B2" s="208" t="s">
        <v>48</v>
      </c>
      <c r="C2" s="209"/>
      <c r="D2" s="208" t="s">
        <v>56</v>
      </c>
      <c r="E2" s="209"/>
      <c r="F2" s="208" t="s">
        <v>57</v>
      </c>
      <c r="G2" s="209"/>
      <c r="H2" s="208" t="s">
        <v>58</v>
      </c>
      <c r="I2" s="209"/>
      <c r="J2" s="208" t="s">
        <v>59</v>
      </c>
      <c r="K2" s="209"/>
      <c r="L2" s="208" t="s">
        <v>60</v>
      </c>
      <c r="M2" s="209"/>
      <c r="N2" s="208" t="s">
        <v>61</v>
      </c>
      <c r="O2" s="209"/>
      <c r="P2" s="208" t="s">
        <v>62</v>
      </c>
      <c r="Q2" s="209"/>
      <c r="R2" s="208" t="s">
        <v>236</v>
      </c>
      <c r="S2" s="209"/>
      <c r="T2" s="208" t="s">
        <v>63</v>
      </c>
      <c r="U2" s="209"/>
      <c r="V2" s="208" t="s">
        <v>64</v>
      </c>
      <c r="W2" s="209"/>
      <c r="X2" s="208" t="s">
        <v>65</v>
      </c>
      <c r="Y2" s="209"/>
      <c r="Z2" s="208">
        <v>2023</v>
      </c>
      <c r="AA2" s="209"/>
      <c r="AB2" t="s">
        <v>555</v>
      </c>
    </row>
    <row r="3" spans="1:28" ht="15.75" thickBot="1" x14ac:dyDescent="0.25">
      <c r="A3" s="10" t="s">
        <v>66</v>
      </c>
      <c r="B3" s="16">
        <f>B4+B22</f>
        <v>4140</v>
      </c>
      <c r="C3" s="17">
        <f>IF(B3=0,0,(B3/B3))</f>
        <v>1</v>
      </c>
      <c r="D3" s="16">
        <f>D4+D22</f>
        <v>4680</v>
      </c>
      <c r="E3" s="17">
        <f>IF(D3=0,0,(D3/D3))</f>
        <v>1</v>
      </c>
      <c r="F3" s="16">
        <f t="shared" ref="F3:X3" si="0">F4+F22</f>
        <v>3935</v>
      </c>
      <c r="G3" s="17">
        <f>IF(F3=0,0,(F3/F3))</f>
        <v>1</v>
      </c>
      <c r="H3" s="16">
        <f t="shared" si="0"/>
        <v>4580</v>
      </c>
      <c r="I3" s="17">
        <f>IF(H3=0,0,(H3/H3))</f>
        <v>1</v>
      </c>
      <c r="J3" s="16">
        <f t="shared" si="0"/>
        <v>3640</v>
      </c>
      <c r="K3" s="17">
        <f>IF(J3=0,0,(J3/J3))</f>
        <v>1</v>
      </c>
      <c r="L3" s="16">
        <f t="shared" si="0"/>
        <v>3510</v>
      </c>
      <c r="M3" s="17">
        <f>IF(L3=0,0,(L3/L3))</f>
        <v>1</v>
      </c>
      <c r="N3" s="16">
        <f t="shared" si="0"/>
        <v>3710</v>
      </c>
      <c r="O3" s="17">
        <f>IF(N3=0,0,(N3/N3))</f>
        <v>1</v>
      </c>
      <c r="P3" s="16">
        <f t="shared" si="0"/>
        <v>1430</v>
      </c>
      <c r="Q3" s="17">
        <f>IF(P3=0,0,(P3/P3))</f>
        <v>1</v>
      </c>
      <c r="R3" s="16">
        <f t="shared" si="0"/>
        <v>4520</v>
      </c>
      <c r="S3" s="17">
        <f>IF(R3=0,0,(R3/R3))</f>
        <v>1</v>
      </c>
      <c r="T3" s="16">
        <f t="shared" si="0"/>
        <v>4230</v>
      </c>
      <c r="U3" s="17">
        <f>IF(T3=0,0,(T3/T3))</f>
        <v>1</v>
      </c>
      <c r="V3" s="16">
        <f t="shared" si="0"/>
        <v>3180</v>
      </c>
      <c r="W3" s="17">
        <f>IF(V3=0,0,(V3/V3))</f>
        <v>1</v>
      </c>
      <c r="X3" s="16">
        <f t="shared" si="0"/>
        <v>7500</v>
      </c>
      <c r="Y3" s="17">
        <f>IF(X3=0,0,(X3/X3))</f>
        <v>1</v>
      </c>
      <c r="Z3" s="16">
        <f>Z4+Z22</f>
        <v>49055</v>
      </c>
      <c r="AA3" s="17">
        <f>IF(Z3=0,0,(Z3/Z3))</f>
        <v>1</v>
      </c>
      <c r="AB3" s="178">
        <f>Z3/$A$2</f>
        <v>4087.9166666666665</v>
      </c>
    </row>
    <row r="4" spans="1:28" x14ac:dyDescent="0.2">
      <c r="A4" s="32" t="s">
        <v>74</v>
      </c>
      <c r="B4" s="18">
        <f>SUM(B5:B12)</f>
        <v>3830</v>
      </c>
      <c r="C4" s="19">
        <f>IF(B$3=0,0,B4/B$3)</f>
        <v>0.9251207729468599</v>
      </c>
      <c r="D4" s="18">
        <f t="shared" ref="D4:X4" si="1">SUM(D5:D12)</f>
        <v>4350</v>
      </c>
      <c r="E4" s="19">
        <f>IF(D$3=0,0,D4/D$3)</f>
        <v>0.92948717948717952</v>
      </c>
      <c r="F4" s="18">
        <f t="shared" si="1"/>
        <v>3755</v>
      </c>
      <c r="G4" s="19">
        <f>IF(F$3=0,0,F4/F$3)</f>
        <v>0.95425667090216015</v>
      </c>
      <c r="H4" s="18">
        <f t="shared" si="1"/>
        <v>4460</v>
      </c>
      <c r="I4" s="19">
        <f>IF(H$3=0,0,H4/H$3)</f>
        <v>0.97379912663755464</v>
      </c>
      <c r="J4" s="18">
        <f t="shared" si="1"/>
        <v>3460</v>
      </c>
      <c r="K4" s="19">
        <f>IF(J$3=0,0,J4/J$3)</f>
        <v>0.9505494505494505</v>
      </c>
      <c r="L4" s="18">
        <f t="shared" si="1"/>
        <v>3450</v>
      </c>
      <c r="M4" s="19">
        <f>IF(L$3=0,0,L4/L$3)</f>
        <v>0.98290598290598286</v>
      </c>
      <c r="N4" s="18">
        <f t="shared" si="1"/>
        <v>3315</v>
      </c>
      <c r="O4" s="19">
        <f>IF(N$3=0,0,N4/N$3)</f>
        <v>0.89353099730458219</v>
      </c>
      <c r="P4" s="18">
        <f t="shared" si="1"/>
        <v>1350</v>
      </c>
      <c r="Q4" s="19">
        <f>IF(P$3=0,0,P4/P$3)</f>
        <v>0.94405594405594406</v>
      </c>
      <c r="R4" s="18">
        <f t="shared" si="1"/>
        <v>4165</v>
      </c>
      <c r="S4" s="19">
        <f>IF(R$3=0,0,R4/R$3)</f>
        <v>0.92146017699115046</v>
      </c>
      <c r="T4" s="18">
        <f t="shared" si="1"/>
        <v>4040</v>
      </c>
      <c r="U4" s="19">
        <f>IF(T$3=0,0,T4/T$3)</f>
        <v>0.95508274231678492</v>
      </c>
      <c r="V4" s="18">
        <f t="shared" si="1"/>
        <v>3120</v>
      </c>
      <c r="W4" s="19">
        <f>IF(V$3=0,0,V4/V$3)</f>
        <v>0.98113207547169812</v>
      </c>
      <c r="X4" s="18">
        <f t="shared" si="1"/>
        <v>7120</v>
      </c>
      <c r="Y4" s="19">
        <f>IF(X$3=0,0,X4/X$3)</f>
        <v>0.94933333333333336</v>
      </c>
      <c r="Z4" s="18">
        <f>SUM(Z5:Z12)</f>
        <v>46415</v>
      </c>
      <c r="AA4" s="19">
        <f>IF(Z$3=0,0,Z4/Z$3)</f>
        <v>0.94618285597798391</v>
      </c>
      <c r="AB4" s="178">
        <f t="shared" ref="AB4:AB62" si="2">Z4/$A$2</f>
        <v>3867.9166666666665</v>
      </c>
    </row>
    <row r="5" spans="1:28" hidden="1" outlineLevel="1" x14ac:dyDescent="0.2">
      <c r="A5" s="8" t="s">
        <v>67</v>
      </c>
      <c r="B5" s="20">
        <f>SUMIFS('Registre de reserves'!$P$2:$P$1178,'Registre de reserves'!$T$2:$T$1178,"SI",'Registre de reserves'!$I$2:$I$1178,'2023'!$A5,'Registre de reserves'!$B$2:$B$1178,'2023'!B$2,Tabla1[ANY],'2023'!$Z$2)+SUMIFS('Registre de reserves'!$U$2:$U$1178,'Registre de reserves'!$T$2:$T$1178,"RESERVA",'Registre de reserves'!$I$2:$I$1178,'2023'!$A5,'Registre de reserves'!$B$2:$B$1178,'2023'!B$2,Tabla1[ANY],'2023'!$Z$2)</f>
        <v>300</v>
      </c>
      <c r="C5" s="21">
        <f>IF(B$4=0,0,B5/B$4)</f>
        <v>7.8328981723237601E-2</v>
      </c>
      <c r="D5" s="20">
        <f>SUMIFS('Registre de reserves'!$P$2:$P$1178,'Registre de reserves'!$T$2:$T$1178,"SI",'Registre de reserves'!$I$2:$I$1178,'2023'!$A5,'Registre de reserves'!$B$2:$B$1178,'2023'!D$2,Tabla1[ANY],'2023'!$Z$2)+SUMIFS('Registre de reserves'!$U$2:$U$1178,'Registre de reserves'!$T$2:$T$1178,"RESERVA",'Registre de reserves'!$I$2:$I$1178,'2023'!$A5,'Registre de reserves'!$B$2:$B$1178,'2023'!D$2,Tabla1[ANY],'2023'!$Z$2)</f>
        <v>750</v>
      </c>
      <c r="E5" s="21">
        <f>IF(D$4=0,0,D5/D$4)</f>
        <v>0.17241379310344829</v>
      </c>
      <c r="F5" s="20">
        <f>SUMIFS('Registre de reserves'!$P$2:$P$1178,'Registre de reserves'!$T$2:$T$1178,"SI",'Registre de reserves'!$I$2:$I$1178,'2023'!$A5,'Registre de reserves'!$B$2:$B$1178,'2023'!F$2,Tabla1[ANY],'2023'!$Z$2)+SUMIFS('Registre de reserves'!$U$2:$U$1178,'Registre de reserves'!$T$2:$T$1178,"RESERVA",'Registre de reserves'!$I$2:$I$1178,'2023'!$A5,'Registre de reserves'!$B$2:$B$1178,'2023'!F$2,Tabla1[ANY],'2023'!$Z$2)</f>
        <v>1050</v>
      </c>
      <c r="G5" s="21">
        <f t="shared" ref="G5:G12" si="3">IF(F$4=0,0,F5/F$4)</f>
        <v>0.2796271637816245</v>
      </c>
      <c r="H5" s="20">
        <f>SUMIFS('Registre de reserves'!$P$2:$P$1178,'Registre de reserves'!$T$2:$T$1178,"SI",'Registre de reserves'!$I$2:$I$1178,'2023'!$A5,'Registre de reserves'!$B$2:$B$1178,'2023'!H$2,Tabla1[ANY],'2023'!$Z$2)+SUMIFS('Registre de reserves'!$U$2:$U$1178,'Registre de reserves'!$T$2:$T$1178,"RESERVA",'Registre de reserves'!$I$2:$I$1178,'2023'!$A5,'Registre de reserves'!$B$2:$B$1178,'2023'!H$2,Tabla1[ANY],'2023'!$Z$2)</f>
        <v>750</v>
      </c>
      <c r="I5" s="21">
        <f t="shared" ref="I5:I12" si="4">IF(H$4=0,0,H5/H$4)</f>
        <v>0.16816143497757849</v>
      </c>
      <c r="J5" s="20">
        <f>SUMIFS('Registre de reserves'!$P$2:$P$1178,'Registre de reserves'!$T$2:$T$1178,"SI",'Registre de reserves'!$I$2:$I$1178,'2023'!$A5,'Registre de reserves'!$B$2:$B$1178,'2023'!J$2,Tabla1[ANY],'2023'!$Z$2)+SUMIFS('Registre de reserves'!$U$2:$U$1178,'Registre de reserves'!$T$2:$T$1178,"RESERVA",'Registre de reserves'!$I$2:$I$1178,'2023'!$A5,'Registre de reserves'!$B$2:$B$1178,'2023'!J$2,Tabla1[ANY],'2023'!$Z$2)</f>
        <v>750</v>
      </c>
      <c r="K5" s="21">
        <f t="shared" ref="K5:K12" si="5">IF(J$4=0,0,J5/J$4)</f>
        <v>0.21676300578034682</v>
      </c>
      <c r="L5" s="20">
        <f>SUMIFS('Registre de reserves'!$P$2:$P$1178,'Registre de reserves'!$T$2:$T$1178,"SI",'Registre de reserves'!$I$2:$I$1178,'2023'!$A5,'Registre de reserves'!$B$2:$B$1178,'2023'!L$2,Tabla1[ANY],'2023'!$Z$2)+SUMIFS('Registre de reserves'!$U$2:$U$1178,'Registre de reserves'!$T$2:$T$1178,"RESERVA",'Registre de reserves'!$I$2:$I$1178,'2023'!$A5,'Registre de reserves'!$B$2:$B$1178,'2023'!L$2,Tabla1[ANY],'2023'!$Z$2)</f>
        <v>445</v>
      </c>
      <c r="M5" s="21">
        <f t="shared" ref="M5:M12" si="6">IF(L$4=0,0,L5/L$4)</f>
        <v>0.12898550724637681</v>
      </c>
      <c r="N5" s="20">
        <f>SUMIFS('Registre de reserves'!$P$2:$P$1178,'Registre de reserves'!$T$2:$T$1178,"SI",'Registre de reserves'!$I$2:$I$1178,'2023'!$A5,'Registre de reserves'!$B$2:$B$1178,'2023'!N$2,Tabla1[ANY],'2023'!$Z$2)+SUMIFS('Registre de reserves'!$U$2:$U$1178,'Registre de reserves'!$T$2:$T$1178,"RESERVA",'Registre de reserves'!$I$2:$I$1178,'2023'!$A5,'Registre de reserves'!$B$2:$B$1178,'2023'!N$2,Tabla1[ANY],'2023'!$Z$2)</f>
        <v>300</v>
      </c>
      <c r="O5" s="21">
        <f t="shared" ref="O5:O12" si="7">IF(N$4=0,0,N5/N$4)</f>
        <v>9.0497737556561084E-2</v>
      </c>
      <c r="P5" s="20">
        <f>SUMIFS('Registre de reserves'!$P$2:$P$1178,'Registre de reserves'!$T$2:$T$1178,"SI",'Registre de reserves'!$I$2:$I$1178,'2023'!$A5,'Registre de reserves'!$B$2:$B$1178,'2023'!P$2,Tabla1[ANY],'2023'!$Z$2)+SUMIFS('Registre de reserves'!$U$2:$U$1178,'Registre de reserves'!$T$2:$T$1178,"RESERVA",'Registre de reserves'!$I$2:$I$1178,'2023'!$A5,'Registre de reserves'!$B$2:$B$1178,'2023'!P$2,Tabla1[ANY],'2023'!$Z$2)</f>
        <v>150</v>
      </c>
      <c r="Q5" s="21">
        <f t="shared" ref="Q5:Q12" si="8">IF(P$4=0,0,P5/P$4)</f>
        <v>0.1111111111111111</v>
      </c>
      <c r="R5" s="20">
        <f>SUMIFS('Registre de reserves'!$P$2:$P$1178,'Registre de reserves'!$T$2:$T$1178,"SI",'Registre de reserves'!$I$2:$I$1178,'2023'!$A5,'Registre de reserves'!$B$2:$B$1178,'2023'!R$2,Tabla1[ANY],'2023'!$Z$2)+SUMIFS('Registre de reserves'!$U$2:$U$1178,'Registre de reserves'!$T$2:$T$1178,"RESERVA",'Registre de reserves'!$I$2:$I$1178,'2023'!$A5,'Registre de reserves'!$B$2:$B$1178,'2023'!R$2,Tabla1[ANY],'2023'!$Z$2)</f>
        <v>450</v>
      </c>
      <c r="S5" s="21">
        <f t="shared" ref="S5:S12" si="9">IF(R$4=0,0,R5/R$4)</f>
        <v>0.10804321728691477</v>
      </c>
      <c r="T5" s="20">
        <f>SUMIFS('Registre de reserves'!$P$2:$P$1178,'Registre de reserves'!$T$2:$T$1178,"SI",'Registre de reserves'!$I$2:$I$1178,'2023'!$A5,'Registre de reserves'!$B$2:$B$1178,'2023'!T$2,Tabla1[ANY],'2023'!$Z$2)+SUMIFS('Registre de reserves'!$U$2:$U$1178,'Registre de reserves'!$T$2:$T$1178,"RESERVA",'Registre de reserves'!$I$2:$I$1178,'2023'!$A5,'Registre de reserves'!$B$2:$B$1178,'2023'!T$2,Tabla1[ANY],'2023'!$Z$2)</f>
        <v>750</v>
      </c>
      <c r="U5" s="21">
        <f t="shared" ref="U5:U12" si="10">IF(T$4=0,0,T5/T$4)</f>
        <v>0.18564356435643564</v>
      </c>
      <c r="V5" s="20">
        <f>SUMIFS('Registre de reserves'!$P$2:$P$1178,'Registre de reserves'!$T$2:$T$1178,"SI",'Registre de reserves'!$I$2:$I$1178,'2023'!$A5,'Registre de reserves'!$B$2:$B$1178,'2023'!V$2,Tabla1[ANY],'2023'!$Z$2)+SUMIFS('Registre de reserves'!$U$2:$U$1178,'Registre de reserves'!$T$2:$T$1178,"RESERVA",'Registre de reserves'!$I$2:$I$1178,'2023'!$A5,'Registre de reserves'!$B$2:$B$1178,'2023'!V$2,Tabla1[ANY],'2023'!$Z$2)</f>
        <v>600</v>
      </c>
      <c r="W5" s="21">
        <f t="shared" ref="W5:W12" si="11">IF(V$4=0,0,V5/V$4)</f>
        <v>0.19230769230769232</v>
      </c>
      <c r="X5" s="20">
        <f>SUMIFS('Registre de reserves'!$P$2:$P$1178,'Registre de reserves'!$T$2:$T$1178,"SI",'Registre de reserves'!$I$2:$I$1178,'2023'!$A5,'Registre de reserves'!$B$2:$B$1178,'2023'!X$2,Tabla1[ANY],'2023'!$Z$2)+SUMIFS('Registre de reserves'!$U$2:$U$1178,'Registre de reserves'!$T$2:$T$1178,"RESERVA",'Registre de reserves'!$I$2:$I$1178,'2023'!$A5,'Registre de reserves'!$B$2:$B$1178,'2023'!X$2,Tabla1[ANY],'2023'!$Z$2)</f>
        <v>650</v>
      </c>
      <c r="Y5" s="21">
        <f t="shared" ref="Y5:Y12" si="12">IF(X$4=0,0,X5/X$4)</f>
        <v>9.1292134831460675E-2</v>
      </c>
      <c r="Z5" s="20">
        <f>B5+D5+F5+H5+J5+L5+N5+P5+R5+T5+V5+X5</f>
        <v>6945</v>
      </c>
      <c r="AA5" s="21">
        <f t="shared" ref="AA5:AA12" si="13">IF(Z$4=0,0,Z5/Z$4)</f>
        <v>0.14962835290315632</v>
      </c>
      <c r="AB5" s="178">
        <f t="shared" si="2"/>
        <v>578.75</v>
      </c>
    </row>
    <row r="6" spans="1:28" hidden="1" outlineLevel="1" x14ac:dyDescent="0.2">
      <c r="A6" s="8" t="s">
        <v>68</v>
      </c>
      <c r="B6" s="20">
        <f>SUMIFS('Registre de reserves'!$P$2:$P$1178,'Registre de reserves'!$T$2:$T$1178,"SI",'Registre de reserves'!$I$2:$I$1178,'2023'!$A6,'Registre de reserves'!$B$2:$B$1178,'2023'!B$2,Tabla1[ANY],'2023'!$Z$2)+SUMIFS('Registre de reserves'!$U$2:$U$1178,'Registre de reserves'!$T$2:$T$1178,"RESERVA",'Registre de reserves'!$I$2:$I$1178,'2023'!$A6,'Registre de reserves'!$B$2:$B$1178,'2023'!B$2,Tabla1[ANY],'2023'!$Z$2)</f>
        <v>1120</v>
      </c>
      <c r="C6" s="21">
        <f t="shared" ref="C6:E12" si="14">IF(B$4=0,0,B6/B$4)</f>
        <v>0.29242819843342038</v>
      </c>
      <c r="D6" s="20">
        <f>SUMIFS('Registre de reserves'!$P$2:$P$1178,'Registre de reserves'!$T$2:$T$1178,"SI",'Registre de reserves'!$I$2:$I$1178,'2023'!$A6,'Registre de reserves'!$B$2:$B$1178,'2023'!D$2,Tabla1[ANY],'2023'!$Z$2)+SUMIFS('Registre de reserves'!$U$2:$U$1178,'Registre de reserves'!$T$2:$T$1178,"RESERVA",'Registre de reserves'!$I$2:$I$1178,'2023'!$A6,'Registre de reserves'!$B$2:$B$1178,'2023'!D$2,Tabla1[ANY],'2023'!$Z$2)</f>
        <v>1710</v>
      </c>
      <c r="E6" s="21">
        <f t="shared" si="14"/>
        <v>0.39310344827586208</v>
      </c>
      <c r="F6" s="20">
        <f>SUMIFS('Registre de reserves'!$P$2:$P$1178,'Registre de reserves'!$T$2:$T$1178,"SI",'Registre de reserves'!$I$2:$I$1178,'2023'!$A6,'Registre de reserves'!$B$2:$B$1178,'2023'!F$2,Tabla1[ANY],'2023'!$Z$2)+SUMIFS('Registre de reserves'!$U$2:$U$1178,'Registre de reserves'!$T$2:$T$1178,"RESERVA",'Registre de reserves'!$I$2:$I$1178,'2023'!$A6,'Registre de reserves'!$B$2:$B$1178,'2023'!F$2,Tabla1[ANY],'2023'!$Z$2)</f>
        <v>1705</v>
      </c>
      <c r="G6" s="21">
        <f t="shared" si="3"/>
        <v>0.45406125166444739</v>
      </c>
      <c r="H6" s="20">
        <f>SUMIFS('Registre de reserves'!$P$2:$P$1178,'Registre de reserves'!$T$2:$T$1178,"SI",'Registre de reserves'!$I$2:$I$1178,'2023'!$A6,'Registre de reserves'!$B$2:$B$1178,'2023'!H$2,Tabla1[ANY],'2023'!$Z$2)+SUMIFS('Registre de reserves'!$U$2:$U$1178,'Registre de reserves'!$T$2:$T$1178,"RESERVA",'Registre de reserves'!$I$2:$I$1178,'2023'!$A6,'Registre de reserves'!$B$2:$B$1178,'2023'!H$2,Tabla1[ANY],'2023'!$Z$2)</f>
        <v>1480</v>
      </c>
      <c r="I6" s="21">
        <f t="shared" si="4"/>
        <v>0.33183856502242154</v>
      </c>
      <c r="J6" s="20">
        <f>SUMIFS('Registre de reserves'!$P$2:$P$1178,'Registre de reserves'!$T$2:$T$1178,"SI",'Registre de reserves'!$I$2:$I$1178,'2023'!$A6,'Registre de reserves'!$B$2:$B$1178,'2023'!J$2,Tabla1[ANY],'2023'!$Z$2)+SUMIFS('Registre de reserves'!$U$2:$U$1178,'Registre de reserves'!$T$2:$T$1178,"RESERVA",'Registre de reserves'!$I$2:$I$1178,'2023'!$A6,'Registre de reserves'!$B$2:$B$1178,'2023'!J$2,Tabla1[ANY],'2023'!$Z$2)</f>
        <v>1120</v>
      </c>
      <c r="K6" s="21">
        <f t="shared" si="5"/>
        <v>0.32369942196531792</v>
      </c>
      <c r="L6" s="20">
        <f>SUMIFS('Registre de reserves'!$P$2:$P$1178,'Registre de reserves'!$T$2:$T$1178,"SI",'Registre de reserves'!$I$2:$I$1178,'2023'!$A6,'Registre de reserves'!$B$2:$B$1178,'2023'!L$2,Tabla1[ANY],'2023'!$Z$2)+SUMIFS('Registre de reserves'!$U$2:$U$1178,'Registre de reserves'!$T$2:$T$1178,"RESERVA",'Registre de reserves'!$I$2:$I$1178,'2023'!$A6,'Registre de reserves'!$B$2:$B$1178,'2023'!L$2,Tabla1[ANY],'2023'!$Z$2)</f>
        <v>1365</v>
      </c>
      <c r="M6" s="21">
        <f t="shared" si="6"/>
        <v>0.39565217391304347</v>
      </c>
      <c r="N6" s="20">
        <f>SUMIFS('Registre de reserves'!$P$2:$P$1178,'Registre de reserves'!$T$2:$T$1178,"SI",'Registre de reserves'!$I$2:$I$1178,'2023'!$A6,'Registre de reserves'!$B$2:$B$1178,'2023'!N$2,Tabla1[ANY],'2023'!$Z$2)+SUMIFS('Registre de reserves'!$U$2:$U$1178,'Registre de reserves'!$T$2:$T$1178,"RESERVA",'Registre de reserves'!$I$2:$I$1178,'2023'!$A6,'Registre de reserves'!$B$2:$B$1178,'2023'!N$2,Tabla1[ANY],'2023'!$Z$2)</f>
        <v>685</v>
      </c>
      <c r="O6" s="21">
        <f t="shared" si="7"/>
        <v>0.2066365007541478</v>
      </c>
      <c r="P6" s="20">
        <f>SUMIFS('Registre de reserves'!$P$2:$P$1178,'Registre de reserves'!$T$2:$T$1178,"SI",'Registre de reserves'!$I$2:$I$1178,'2023'!$A6,'Registre de reserves'!$B$2:$B$1178,'2023'!P$2,Tabla1[ANY],'2023'!$Z$2)+SUMIFS('Registre de reserves'!$U$2:$U$1178,'Registre de reserves'!$T$2:$T$1178,"RESERVA",'Registre de reserves'!$I$2:$I$1178,'2023'!$A6,'Registre de reserves'!$B$2:$B$1178,'2023'!P$2,Tabla1[ANY],'2023'!$Z$2)</f>
        <v>600</v>
      </c>
      <c r="Q6" s="21">
        <f t="shared" si="8"/>
        <v>0.44444444444444442</v>
      </c>
      <c r="R6" s="20">
        <f>SUMIFS('Registre de reserves'!$P$2:$P$1178,'Registre de reserves'!$T$2:$T$1178,"SI",'Registre de reserves'!$I$2:$I$1178,'2023'!$A6,'Registre de reserves'!$B$2:$B$1178,'2023'!R$2,Tabla1[ANY],'2023'!$Z$2)+SUMIFS('Registre de reserves'!$U$2:$U$1178,'Registre de reserves'!$T$2:$T$1178,"RESERVA",'Registre de reserves'!$I$2:$I$1178,'2023'!$A6,'Registre de reserves'!$B$2:$B$1178,'2023'!R$2,Tabla1[ANY],'2023'!$Z$2)</f>
        <v>1265</v>
      </c>
      <c r="S6" s="21">
        <f t="shared" si="9"/>
        <v>0.30372148859543818</v>
      </c>
      <c r="T6" s="20">
        <f>SUMIFS('Registre de reserves'!$P$2:$P$1178,'Registre de reserves'!$T$2:$T$1178,"SI",'Registre de reserves'!$I$2:$I$1178,'2023'!$A6,'Registre de reserves'!$B$2:$B$1178,'2023'!T$2,Tabla1[ANY],'2023'!$Z$2)+SUMIFS('Registre de reserves'!$U$2:$U$1178,'Registre de reserves'!$T$2:$T$1178,"RESERVA",'Registre de reserves'!$I$2:$I$1178,'2023'!$A6,'Registre de reserves'!$B$2:$B$1178,'2023'!T$2,Tabla1[ANY],'2023'!$Z$2)</f>
        <v>1370</v>
      </c>
      <c r="U6" s="21">
        <f t="shared" si="10"/>
        <v>0.33910891089108913</v>
      </c>
      <c r="V6" s="20">
        <f>SUMIFS('Registre de reserves'!$P$2:$P$1178,'Registre de reserves'!$T$2:$T$1178,"SI",'Registre de reserves'!$I$2:$I$1178,'2023'!$A6,'Registre de reserves'!$B$2:$B$1178,'2023'!V$2,Tabla1[ANY],'2023'!$Z$2)+SUMIFS('Registre de reserves'!$U$2:$U$1178,'Registre de reserves'!$T$2:$T$1178,"RESERVA",'Registre de reserves'!$I$2:$I$1178,'2023'!$A6,'Registre de reserves'!$B$2:$B$1178,'2023'!V$2,Tabla1[ANY],'2023'!$Z$2)</f>
        <v>750</v>
      </c>
      <c r="W6" s="21">
        <f t="shared" si="11"/>
        <v>0.24038461538461539</v>
      </c>
      <c r="X6" s="20">
        <f>SUMIFS('Registre de reserves'!$P$2:$P$1178,'Registre de reserves'!$T$2:$T$1178,"SI",'Registre de reserves'!$I$2:$I$1178,'2023'!$A6,'Registre de reserves'!$B$2:$B$1178,'2023'!X$2,Tabla1[ANY],'2023'!$Z$2)+SUMIFS('Registre de reserves'!$U$2:$U$1178,'Registre de reserves'!$T$2:$T$1178,"RESERVA",'Registre de reserves'!$I$2:$I$1178,'2023'!$A6,'Registre de reserves'!$B$2:$B$1178,'2023'!X$2,Tabla1[ANY],'2023'!$Z$2)</f>
        <v>2230</v>
      </c>
      <c r="Y6" s="21">
        <f t="shared" si="12"/>
        <v>0.31320224719101125</v>
      </c>
      <c r="Z6" s="20">
        <f t="shared" ref="Z6:Z12" si="15">B6+D6+F6+H6+J6+L6+N6+P6+R6+T6+V6+X6</f>
        <v>15400</v>
      </c>
      <c r="AA6" s="21">
        <f t="shared" si="13"/>
        <v>0.33178929225465903</v>
      </c>
      <c r="AB6" s="178">
        <f t="shared" si="2"/>
        <v>1283.3333333333333</v>
      </c>
    </row>
    <row r="7" spans="1:28" hidden="1" outlineLevel="1" x14ac:dyDescent="0.2">
      <c r="A7" s="8" t="s">
        <v>4</v>
      </c>
      <c r="B7" s="20">
        <f>SUMIFS('Registre de reserves'!$P$2:$P$1178,'Registre de reserves'!$T$2:$T$1178,"SI",'Registre de reserves'!$I$2:$I$1178,'2023'!$A7,'Registre de reserves'!$B$2:$B$1178,'2023'!B$2,Tabla1[ANY],'2023'!$Z$2)+SUMIFS('Registre de reserves'!$U$2:$U$1178,'Registre de reserves'!$T$2:$T$1178,"RESERVA",'Registre de reserves'!$I$2:$I$1178,'2023'!$A7,'Registre de reserves'!$B$2:$B$1178,'2023'!B$2,Tabla1[ANY],'2023'!$Z$2)</f>
        <v>280</v>
      </c>
      <c r="C7" s="21">
        <f t="shared" si="14"/>
        <v>7.3107049608355096E-2</v>
      </c>
      <c r="D7" s="20">
        <f>SUMIFS('Registre de reserves'!$P$2:$P$1178,'Registre de reserves'!$T$2:$T$1178,"SI",'Registre de reserves'!$I$2:$I$1178,'2023'!$A7,'Registre de reserves'!$B$2:$B$1178,'2023'!D$2,Tabla1[ANY],'2023'!$Z$2)+SUMIFS('Registre de reserves'!$U$2:$U$1178,'Registre de reserves'!$T$2:$T$1178,"RESERVA",'Registre de reserves'!$I$2:$I$1178,'2023'!$A7,'Registre de reserves'!$B$2:$B$1178,'2023'!D$2,Tabla1[ANY],'2023'!$Z$2)</f>
        <v>290</v>
      </c>
      <c r="E7" s="21">
        <f t="shared" si="14"/>
        <v>6.6666666666666666E-2</v>
      </c>
      <c r="F7" s="20">
        <f>SUMIFS('Registre de reserves'!$P$2:$P$1178,'Registre de reserves'!$T$2:$T$1178,"SI",'Registre de reserves'!$I$2:$I$1178,'2023'!$A7,'Registre de reserves'!$B$2:$B$1178,'2023'!F$2,Tabla1[ANY],'2023'!$Z$2)+SUMIFS('Registre de reserves'!$U$2:$U$1178,'Registre de reserves'!$T$2:$T$1178,"RESERVA",'Registre de reserves'!$I$2:$I$1178,'2023'!$A7,'Registre de reserves'!$B$2:$B$1178,'2023'!F$2,Tabla1[ANY],'2023'!$Z$2)</f>
        <v>0</v>
      </c>
      <c r="G7" s="21">
        <f t="shared" si="3"/>
        <v>0</v>
      </c>
      <c r="H7" s="20">
        <f>SUMIFS('Registre de reserves'!$P$2:$P$1178,'Registre de reserves'!$T$2:$T$1178,"SI",'Registre de reserves'!$I$2:$I$1178,'2023'!$A7,'Registre de reserves'!$B$2:$B$1178,'2023'!H$2,Tabla1[ANY],'2023'!$Z$2)+SUMIFS('Registre de reserves'!$U$2:$U$1178,'Registre de reserves'!$T$2:$T$1178,"RESERVA",'Registre de reserves'!$I$2:$I$1178,'2023'!$A7,'Registre de reserves'!$B$2:$B$1178,'2023'!H$2,Tabla1[ANY],'2023'!$Z$2)</f>
        <v>510</v>
      </c>
      <c r="I7" s="21">
        <f t="shared" si="4"/>
        <v>0.11434977578475336</v>
      </c>
      <c r="J7" s="20">
        <f>SUMIFS('Registre de reserves'!$P$2:$P$1178,'Registre de reserves'!$T$2:$T$1178,"SI",'Registre de reserves'!$I$2:$I$1178,'2023'!$A7,'Registre de reserves'!$B$2:$B$1178,'2023'!J$2,Tabla1[ANY],'2023'!$Z$2)+SUMIFS('Registre de reserves'!$U$2:$U$1178,'Registre de reserves'!$T$2:$T$1178,"RESERVA",'Registre de reserves'!$I$2:$I$1178,'2023'!$A7,'Registre de reserves'!$B$2:$B$1178,'2023'!J$2,Tabla1[ANY],'2023'!$Z$2)</f>
        <v>270</v>
      </c>
      <c r="K7" s="21">
        <f t="shared" si="5"/>
        <v>7.8034682080924858E-2</v>
      </c>
      <c r="L7" s="20">
        <f>SUMIFS('Registre de reserves'!$P$2:$P$1178,'Registre de reserves'!$T$2:$T$1178,"SI",'Registre de reserves'!$I$2:$I$1178,'2023'!$A7,'Registre de reserves'!$B$2:$B$1178,'2023'!L$2,Tabla1[ANY],'2023'!$Z$2)+SUMIFS('Registre de reserves'!$U$2:$U$1178,'Registre de reserves'!$T$2:$T$1178,"RESERVA",'Registre de reserves'!$I$2:$I$1178,'2023'!$A7,'Registre de reserves'!$B$2:$B$1178,'2023'!L$2,Tabla1[ANY],'2023'!$Z$2)</f>
        <v>440</v>
      </c>
      <c r="M7" s="21">
        <f t="shared" si="6"/>
        <v>0.12753623188405797</v>
      </c>
      <c r="N7" s="20">
        <f>SUMIFS('Registre de reserves'!$P$2:$P$1178,'Registre de reserves'!$T$2:$T$1178,"SI",'Registre de reserves'!$I$2:$I$1178,'2023'!$A7,'Registre de reserves'!$B$2:$B$1178,'2023'!N$2,Tabla1[ANY],'2023'!$Z$2)+SUMIFS('Registre de reserves'!$U$2:$U$1178,'Registre de reserves'!$T$2:$T$1178,"RESERVA",'Registre de reserves'!$I$2:$I$1178,'2023'!$A7,'Registre de reserves'!$B$2:$B$1178,'2023'!N$2,Tabla1[ANY],'2023'!$Z$2)</f>
        <v>980</v>
      </c>
      <c r="O7" s="21">
        <f t="shared" si="7"/>
        <v>0.29562594268476622</v>
      </c>
      <c r="P7" s="20">
        <f>SUMIFS('Registre de reserves'!$P$2:$P$1178,'Registre de reserves'!$T$2:$T$1178,"SI",'Registre de reserves'!$I$2:$I$1178,'2023'!$A7,'Registre de reserves'!$B$2:$B$1178,'2023'!P$2,Tabla1[ANY],'2023'!$Z$2)+SUMIFS('Registre de reserves'!$U$2:$U$1178,'Registre de reserves'!$T$2:$T$1178,"RESERVA",'Registre de reserves'!$I$2:$I$1178,'2023'!$A7,'Registre de reserves'!$B$2:$B$1178,'2023'!P$2,Tabla1[ANY],'2023'!$Z$2)</f>
        <v>0</v>
      </c>
      <c r="Q7" s="21">
        <f t="shared" si="8"/>
        <v>0</v>
      </c>
      <c r="R7" s="20">
        <f>SUMIFS('Registre de reserves'!$P$2:$P$1178,'Registre de reserves'!$T$2:$T$1178,"SI",'Registre de reserves'!$I$2:$I$1178,'2023'!$A7,'Registre de reserves'!$B$2:$B$1178,'2023'!R$2,Tabla1[ANY],'2023'!$Z$2)+SUMIFS('Registre de reserves'!$U$2:$U$1178,'Registre de reserves'!$T$2:$T$1178,"RESERVA",'Registre de reserves'!$I$2:$I$1178,'2023'!$A7,'Registre de reserves'!$B$2:$B$1178,'2023'!R$2,Tabla1[ANY],'2023'!$Z$2)</f>
        <v>260</v>
      </c>
      <c r="S7" s="21">
        <f t="shared" si="9"/>
        <v>6.2424969987995196E-2</v>
      </c>
      <c r="T7" s="20">
        <f>SUMIFS('Registre de reserves'!$P$2:$P$1178,'Registre de reserves'!$T$2:$T$1178,"SI",'Registre de reserves'!$I$2:$I$1178,'2023'!$A7,'Registre de reserves'!$B$2:$B$1178,'2023'!T$2,Tabla1[ANY],'2023'!$Z$2)+SUMIFS('Registre de reserves'!$U$2:$U$1178,'Registre de reserves'!$T$2:$T$1178,"RESERVA",'Registre de reserves'!$I$2:$I$1178,'2023'!$A7,'Registre de reserves'!$B$2:$B$1178,'2023'!T$2,Tabla1[ANY],'2023'!$Z$2)</f>
        <v>0</v>
      </c>
      <c r="U7" s="21">
        <f t="shared" si="10"/>
        <v>0</v>
      </c>
      <c r="V7" s="20">
        <f>SUMIFS('Registre de reserves'!$P$2:$P$1178,'Registre de reserves'!$T$2:$T$1178,"SI",'Registre de reserves'!$I$2:$I$1178,'2023'!$A7,'Registre de reserves'!$B$2:$B$1178,'2023'!V$2,Tabla1[ANY],'2023'!$Z$2)+SUMIFS('Registre de reserves'!$U$2:$U$1178,'Registre de reserves'!$T$2:$T$1178,"RESERVA",'Registre de reserves'!$I$2:$I$1178,'2023'!$A7,'Registre de reserves'!$B$2:$B$1178,'2023'!V$2,Tabla1[ANY],'2023'!$Z$2)</f>
        <v>870</v>
      </c>
      <c r="W7" s="21">
        <f t="shared" si="11"/>
        <v>0.27884615384615385</v>
      </c>
      <c r="X7" s="20">
        <f>SUMIFS('Registre de reserves'!$P$2:$P$1178,'Registre de reserves'!$T$2:$T$1178,"SI",'Registre de reserves'!$I$2:$I$1178,'2023'!$A7,'Registre de reserves'!$B$2:$B$1178,'2023'!X$2,Tabla1[ANY],'2023'!$Z$2)+SUMIFS('Registre de reserves'!$U$2:$U$1178,'Registre de reserves'!$T$2:$T$1178,"RESERVA",'Registre de reserves'!$I$2:$I$1178,'2023'!$A7,'Registre de reserves'!$B$2:$B$1178,'2023'!X$2,Tabla1[ANY],'2023'!$Z$2)</f>
        <v>1340</v>
      </c>
      <c r="Y7" s="21">
        <f t="shared" si="12"/>
        <v>0.18820224719101122</v>
      </c>
      <c r="Z7" s="20">
        <f t="shared" si="15"/>
        <v>5240</v>
      </c>
      <c r="AA7" s="21">
        <f t="shared" si="13"/>
        <v>0.11289453840353333</v>
      </c>
      <c r="AB7" s="178">
        <f t="shared" si="2"/>
        <v>436.66666666666669</v>
      </c>
    </row>
    <row r="8" spans="1:28" hidden="1" outlineLevel="1" x14ac:dyDescent="0.2">
      <c r="A8" s="8" t="s">
        <v>71</v>
      </c>
      <c r="B8" s="20">
        <f>SUMIFS('Registre de reserves'!$P$2:$P$1178,'Registre de reserves'!$T$2:$T$1178,"SI",'Registre de reserves'!$I$2:$I$1178,'2023'!$A8,'Registre de reserves'!$B$2:$B$1178,'2023'!B$2,Tabla1[ANY],'2023'!$Z$2)+SUMIFS('Registre de reserves'!$U$2:$U$1178,'Registre de reserves'!$T$2:$T$1178,"RESERVA",'Registre de reserves'!$I$2:$I$1178,'2023'!$A8,'Registre de reserves'!$B$2:$B$1178,'2023'!B$2,Tabla1[ANY],'2023'!$Z$2)</f>
        <v>150</v>
      </c>
      <c r="C8" s="21">
        <f t="shared" si="14"/>
        <v>3.91644908616188E-2</v>
      </c>
      <c r="D8" s="20">
        <f>SUMIFS('Registre de reserves'!$P$2:$P$1178,'Registre de reserves'!$T$2:$T$1178,"SI",'Registre de reserves'!$I$2:$I$1178,'2023'!$A8,'Registre de reserves'!$B$2:$B$1178,'2023'!D$2,Tabla1[ANY],'2023'!$Z$2)+SUMIFS('Registre de reserves'!$U$2:$U$1178,'Registre de reserves'!$T$2:$T$1178,"RESERVA",'Registre de reserves'!$I$2:$I$1178,'2023'!$A8,'Registre de reserves'!$B$2:$B$1178,'2023'!D$2,Tabla1[ANY],'2023'!$Z$2)</f>
        <v>0</v>
      </c>
      <c r="E8" s="21">
        <f t="shared" si="14"/>
        <v>0</v>
      </c>
      <c r="F8" s="20">
        <f>SUMIFS('Registre de reserves'!$P$2:$P$1178,'Registre de reserves'!$T$2:$T$1178,"SI",'Registre de reserves'!$I$2:$I$1178,'2023'!$A8,'Registre de reserves'!$B$2:$B$1178,'2023'!F$2,Tabla1[ANY],'2023'!$Z$2)+SUMIFS('Registre de reserves'!$U$2:$U$1178,'Registre de reserves'!$T$2:$T$1178,"RESERVA",'Registre de reserves'!$I$2:$I$1178,'2023'!$A8,'Registre de reserves'!$B$2:$B$1178,'2023'!F$2,Tabla1[ANY],'2023'!$Z$2)</f>
        <v>0</v>
      </c>
      <c r="G8" s="21">
        <f t="shared" si="3"/>
        <v>0</v>
      </c>
      <c r="H8" s="20">
        <f>SUMIFS('Registre de reserves'!$P$2:$P$1178,'Registre de reserves'!$T$2:$T$1178,"SI",'Registre de reserves'!$I$2:$I$1178,'2023'!$A8,'Registre de reserves'!$B$2:$B$1178,'2023'!H$2,Tabla1[ANY],'2023'!$Z$2)+SUMIFS('Registre de reserves'!$U$2:$U$1178,'Registre de reserves'!$T$2:$T$1178,"RESERVA",'Registre de reserves'!$I$2:$I$1178,'2023'!$A8,'Registre de reserves'!$B$2:$B$1178,'2023'!H$2,Tabla1[ANY],'2023'!$Z$2)</f>
        <v>0</v>
      </c>
      <c r="I8" s="21">
        <f t="shared" si="4"/>
        <v>0</v>
      </c>
      <c r="J8" s="20">
        <f>SUMIFS('Registre de reserves'!$P$2:$P$1178,'Registre de reserves'!$T$2:$T$1178,"SI",'Registre de reserves'!$I$2:$I$1178,'2023'!$A8,'Registre de reserves'!$B$2:$B$1178,'2023'!J$2,Tabla1[ANY],'2023'!$Z$2)+SUMIFS('Registre de reserves'!$U$2:$U$1178,'Registre de reserves'!$T$2:$T$1178,"RESERVA",'Registre de reserves'!$I$2:$I$1178,'2023'!$A8,'Registre de reserves'!$B$2:$B$1178,'2023'!J$2,Tabla1[ANY],'2023'!$Z$2)</f>
        <v>0</v>
      </c>
      <c r="K8" s="21">
        <f t="shared" si="5"/>
        <v>0</v>
      </c>
      <c r="L8" s="20">
        <f>SUMIFS('Registre de reserves'!$P$2:$P$1178,'Registre de reserves'!$T$2:$T$1178,"SI",'Registre de reserves'!$I$2:$I$1178,'2023'!$A8,'Registre de reserves'!$B$2:$B$1178,'2023'!L$2,Tabla1[ANY],'2023'!$Z$2)+SUMIFS('Registre de reserves'!$U$2:$U$1178,'Registre de reserves'!$T$2:$T$1178,"RESERVA",'Registre de reserves'!$I$2:$I$1178,'2023'!$A8,'Registre de reserves'!$B$2:$B$1178,'2023'!L$2,Tabla1[ANY],'2023'!$Z$2)</f>
        <v>0</v>
      </c>
      <c r="M8" s="21">
        <f t="shared" si="6"/>
        <v>0</v>
      </c>
      <c r="N8" s="20">
        <f>SUMIFS('Registre de reserves'!$P$2:$P$1178,'Registre de reserves'!$T$2:$T$1178,"SI",'Registre de reserves'!$I$2:$I$1178,'2023'!$A8,'Registre de reserves'!$B$2:$B$1178,'2023'!N$2,Tabla1[ANY],'2023'!$Z$2)+SUMIFS('Registre de reserves'!$U$2:$U$1178,'Registre de reserves'!$T$2:$T$1178,"RESERVA",'Registre de reserves'!$I$2:$I$1178,'2023'!$A8,'Registre de reserves'!$B$2:$B$1178,'2023'!N$2,Tabla1[ANY],'2023'!$Z$2)</f>
        <v>0</v>
      </c>
      <c r="O8" s="21">
        <f t="shared" si="7"/>
        <v>0</v>
      </c>
      <c r="P8" s="20">
        <f>SUMIFS('Registre de reserves'!$P$2:$P$1178,'Registre de reserves'!$T$2:$T$1178,"SI",'Registre de reserves'!$I$2:$I$1178,'2023'!$A8,'Registre de reserves'!$B$2:$B$1178,'2023'!P$2,Tabla1[ANY],'2023'!$Z$2)+SUMIFS('Registre de reserves'!$U$2:$U$1178,'Registre de reserves'!$T$2:$T$1178,"RESERVA",'Registre de reserves'!$I$2:$I$1178,'2023'!$A8,'Registre de reserves'!$B$2:$B$1178,'2023'!P$2,Tabla1[ANY],'2023'!$Z$2)</f>
        <v>0</v>
      </c>
      <c r="Q8" s="21">
        <f t="shared" si="8"/>
        <v>0</v>
      </c>
      <c r="R8" s="20">
        <f>SUMIFS('Registre de reserves'!$P$2:$P$1178,'Registre de reserves'!$T$2:$T$1178,"SI",'Registre de reserves'!$I$2:$I$1178,'2023'!$A8,'Registre de reserves'!$B$2:$B$1178,'2023'!R$2,Tabla1[ANY],'2023'!$Z$2)+SUMIFS('Registre de reserves'!$U$2:$U$1178,'Registre de reserves'!$T$2:$T$1178,"RESERVA",'Registre de reserves'!$I$2:$I$1178,'2023'!$A8,'Registre de reserves'!$B$2:$B$1178,'2023'!R$2,Tabla1[ANY],'2023'!$Z$2)</f>
        <v>0</v>
      </c>
      <c r="S8" s="21">
        <f t="shared" si="9"/>
        <v>0</v>
      </c>
      <c r="T8" s="20">
        <f>SUMIFS('Registre de reserves'!$P$2:$P$1178,'Registre de reserves'!$T$2:$T$1178,"SI",'Registre de reserves'!$I$2:$I$1178,'2023'!$A8,'Registre de reserves'!$B$2:$B$1178,'2023'!T$2,Tabla1[ANY],'2023'!$Z$2)+SUMIFS('Registre de reserves'!$U$2:$U$1178,'Registre de reserves'!$T$2:$T$1178,"RESERVA",'Registre de reserves'!$I$2:$I$1178,'2023'!$A8,'Registre de reserves'!$B$2:$B$1178,'2023'!T$2,Tabla1[ANY],'2023'!$Z$2)</f>
        <v>0</v>
      </c>
      <c r="U8" s="21">
        <f t="shared" si="10"/>
        <v>0</v>
      </c>
      <c r="V8" s="20">
        <f>SUMIFS('Registre de reserves'!$P$2:$P$1178,'Registre de reserves'!$T$2:$T$1178,"SI",'Registre de reserves'!$I$2:$I$1178,'2023'!$A8,'Registre de reserves'!$B$2:$B$1178,'2023'!V$2,Tabla1[ANY],'2023'!$Z$2)+SUMIFS('Registre de reserves'!$U$2:$U$1178,'Registre de reserves'!$T$2:$T$1178,"RESERVA",'Registre de reserves'!$I$2:$I$1178,'2023'!$A8,'Registre de reserves'!$B$2:$B$1178,'2023'!V$2,Tabla1[ANY],'2023'!$Z$2)</f>
        <v>0</v>
      </c>
      <c r="W8" s="21">
        <f t="shared" si="11"/>
        <v>0</v>
      </c>
      <c r="X8" s="20">
        <f>SUMIFS('Registre de reserves'!$P$2:$P$1178,'Registre de reserves'!$T$2:$T$1178,"SI",'Registre de reserves'!$I$2:$I$1178,'2023'!$A8,'Registre de reserves'!$B$2:$B$1178,'2023'!X$2,Tabla1[ANY],'2023'!$Z$2)+SUMIFS('Registre de reserves'!$U$2:$U$1178,'Registre de reserves'!$T$2:$T$1178,"RESERVA",'Registre de reserves'!$I$2:$I$1178,'2023'!$A8,'Registre de reserves'!$B$2:$B$1178,'2023'!X$2,Tabla1[ANY],'2023'!$Z$2)</f>
        <v>0</v>
      </c>
      <c r="Y8" s="21">
        <f t="shared" si="12"/>
        <v>0</v>
      </c>
      <c r="Z8" s="20">
        <f t="shared" si="15"/>
        <v>150</v>
      </c>
      <c r="AA8" s="21">
        <f t="shared" si="13"/>
        <v>3.2317138855973283E-3</v>
      </c>
      <c r="AB8" s="178">
        <f t="shared" si="2"/>
        <v>12.5</v>
      </c>
    </row>
    <row r="9" spans="1:28" hidden="1" outlineLevel="1" x14ac:dyDescent="0.2">
      <c r="A9" s="8" t="s">
        <v>72</v>
      </c>
      <c r="B9" s="20">
        <f>SUMIFS('Registre de reserves'!$P$2:$P$1178,'Registre de reserves'!$T$2:$T$1178,"SI",'Registre de reserves'!$I$2:$I$1178,'2023'!$A9,'Registre de reserves'!$B$2:$B$1178,'2023'!B$2,Tabla1[ANY],'2023'!$Z$2)+SUMIFS('Registre de reserves'!$U$2:$U$1178,'Registre de reserves'!$T$2:$T$1178,"RESERVA",'Registre de reserves'!$I$2:$I$1178,'2023'!$A9,'Registre de reserves'!$B$2:$B$1178,'2023'!B$2,Tabla1[ANY],'2023'!$Z$2)</f>
        <v>0</v>
      </c>
      <c r="C9" s="21">
        <f>IF(B$4=0,0,B9/B$4)</f>
        <v>0</v>
      </c>
      <c r="D9" s="20">
        <f>SUMIFS('Registre de reserves'!$P$2:$P$1178,'Registre de reserves'!$T$2:$T$1178,"SI",'Registre de reserves'!$I$2:$I$1178,'2023'!$A9,'Registre de reserves'!$B$2:$B$1178,'2023'!D$2,Tabla1[ANY],'2023'!$Z$2)+SUMIFS('Registre de reserves'!$U$2:$U$1178,'Registre de reserves'!$T$2:$T$1178,"RESERVA",'Registre de reserves'!$I$2:$I$1178,'2023'!$A9,'Registre de reserves'!$B$2:$B$1178,'2023'!D$2,Tabla1[ANY],'2023'!$Z$2)</f>
        <v>0</v>
      </c>
      <c r="E9" s="21">
        <f>IF(D$4=0,0,D9/D$4)</f>
        <v>0</v>
      </c>
      <c r="F9" s="20">
        <f>SUMIFS('Registre de reserves'!$P$2:$P$1178,'Registre de reserves'!$T$2:$T$1178,"SI",'Registre de reserves'!$I$2:$I$1178,'2023'!$A9,'Registre de reserves'!$B$2:$B$1178,'2023'!F$2,Tabla1[ANY],'2023'!$Z$2)+SUMIFS('Registre de reserves'!$U$2:$U$1178,'Registre de reserves'!$T$2:$T$1178,"RESERVA",'Registre de reserves'!$I$2:$I$1178,'2023'!$A9,'Registre de reserves'!$B$2:$B$1178,'2023'!F$2,Tabla1[ANY],'2023'!$Z$2)</f>
        <v>0</v>
      </c>
      <c r="G9" s="21">
        <f t="shared" si="3"/>
        <v>0</v>
      </c>
      <c r="H9" s="20">
        <f>SUMIFS('Registre de reserves'!$P$2:$P$1178,'Registre de reserves'!$T$2:$T$1178,"SI",'Registre de reserves'!$I$2:$I$1178,'2023'!$A9,'Registre de reserves'!$B$2:$B$1178,'2023'!H$2,Tabla1[ANY],'2023'!$Z$2)+SUMIFS('Registre de reserves'!$U$2:$U$1178,'Registre de reserves'!$T$2:$T$1178,"RESERVA",'Registre de reserves'!$I$2:$I$1178,'2023'!$A9,'Registre de reserves'!$B$2:$B$1178,'2023'!H$2,Tabla1[ANY],'2023'!$Z$2)</f>
        <v>0</v>
      </c>
      <c r="I9" s="21">
        <f t="shared" si="4"/>
        <v>0</v>
      </c>
      <c r="J9" s="20">
        <f>SUMIFS('Registre de reserves'!$P$2:$P$1178,'Registre de reserves'!$T$2:$T$1178,"SI",'Registre de reserves'!$I$2:$I$1178,'2023'!$A9,'Registre de reserves'!$B$2:$B$1178,'2023'!J$2,Tabla1[ANY],'2023'!$Z$2)+SUMIFS('Registre de reserves'!$U$2:$U$1178,'Registre de reserves'!$T$2:$T$1178,"RESERVA",'Registre de reserves'!$I$2:$I$1178,'2023'!$A9,'Registre de reserves'!$B$2:$B$1178,'2023'!J$2,Tabla1[ANY],'2023'!$Z$2)</f>
        <v>0</v>
      </c>
      <c r="K9" s="21">
        <f t="shared" si="5"/>
        <v>0</v>
      </c>
      <c r="L9" s="20">
        <f>SUMIFS('Registre de reserves'!$P$2:$P$1178,'Registre de reserves'!$T$2:$T$1178,"SI",'Registre de reserves'!$I$2:$I$1178,'2023'!$A9,'Registre de reserves'!$B$2:$B$1178,'2023'!L$2,Tabla1[ANY],'2023'!$Z$2)+SUMIFS('Registre de reserves'!$U$2:$U$1178,'Registre de reserves'!$T$2:$T$1178,"RESERVA",'Registre de reserves'!$I$2:$I$1178,'2023'!$A9,'Registre de reserves'!$B$2:$B$1178,'2023'!L$2,Tabla1[ANY],'2023'!$Z$2)</f>
        <v>0</v>
      </c>
      <c r="M9" s="21">
        <f t="shared" si="6"/>
        <v>0</v>
      </c>
      <c r="N9" s="20">
        <f>SUMIFS('Registre de reserves'!$P$2:$P$1178,'Registre de reserves'!$T$2:$T$1178,"SI",'Registre de reserves'!$I$2:$I$1178,'2023'!$A9,'Registre de reserves'!$B$2:$B$1178,'2023'!N$2,Tabla1[ANY],'2023'!$Z$2)+SUMIFS('Registre de reserves'!$U$2:$U$1178,'Registre de reserves'!$T$2:$T$1178,"RESERVA",'Registre de reserves'!$I$2:$I$1178,'2023'!$A9,'Registre de reserves'!$B$2:$B$1178,'2023'!N$2,Tabla1[ANY],'2023'!$Z$2)</f>
        <v>0</v>
      </c>
      <c r="O9" s="21">
        <f t="shared" si="7"/>
        <v>0</v>
      </c>
      <c r="P9" s="20">
        <f>SUMIFS('Registre de reserves'!$P$2:$P$1178,'Registre de reserves'!$T$2:$T$1178,"SI",'Registre de reserves'!$I$2:$I$1178,'2023'!$A9,'Registre de reserves'!$B$2:$B$1178,'2023'!P$2,Tabla1[ANY],'2023'!$Z$2)+SUMIFS('Registre de reserves'!$U$2:$U$1178,'Registre de reserves'!$T$2:$T$1178,"RESERVA",'Registre de reserves'!$I$2:$I$1178,'2023'!$A9,'Registre de reserves'!$B$2:$B$1178,'2023'!P$2,Tabla1[ANY],'2023'!$Z$2)</f>
        <v>0</v>
      </c>
      <c r="Q9" s="21">
        <f t="shared" si="8"/>
        <v>0</v>
      </c>
      <c r="R9" s="20">
        <f>SUMIFS('Registre de reserves'!$P$2:$P$1178,'Registre de reserves'!$T$2:$T$1178,"SI",'Registre de reserves'!$I$2:$I$1178,'2023'!$A9,'Registre de reserves'!$B$2:$B$1178,'2023'!R$2,Tabla1[ANY],'2023'!$Z$2)+SUMIFS('Registre de reserves'!$U$2:$U$1178,'Registre de reserves'!$T$2:$T$1178,"RESERVA",'Registre de reserves'!$I$2:$I$1178,'2023'!$A9,'Registre de reserves'!$B$2:$B$1178,'2023'!R$2,Tabla1[ANY],'2023'!$Z$2)</f>
        <v>0</v>
      </c>
      <c r="S9" s="21">
        <f t="shared" si="9"/>
        <v>0</v>
      </c>
      <c r="T9" s="20">
        <f>SUMIFS('Registre de reserves'!$P$2:$P$1178,'Registre de reserves'!$T$2:$T$1178,"SI",'Registre de reserves'!$I$2:$I$1178,'2023'!$A9,'Registre de reserves'!$B$2:$B$1178,'2023'!T$2,Tabla1[ANY],'2023'!$Z$2)+SUMIFS('Registre de reserves'!$U$2:$U$1178,'Registre de reserves'!$T$2:$T$1178,"RESERVA",'Registre de reserves'!$I$2:$I$1178,'2023'!$A9,'Registre de reserves'!$B$2:$B$1178,'2023'!T$2,Tabla1[ANY],'2023'!$Z$2)</f>
        <v>0</v>
      </c>
      <c r="U9" s="21">
        <f t="shared" si="10"/>
        <v>0</v>
      </c>
      <c r="V9" s="20">
        <f>SUMIFS('Registre de reserves'!$P$2:$P$1178,'Registre de reserves'!$T$2:$T$1178,"SI",'Registre de reserves'!$I$2:$I$1178,'2023'!$A9,'Registre de reserves'!$B$2:$B$1178,'2023'!V$2,Tabla1[ANY],'2023'!$Z$2)+SUMIFS('Registre de reserves'!$U$2:$U$1178,'Registre de reserves'!$T$2:$T$1178,"RESERVA",'Registre de reserves'!$I$2:$I$1178,'2023'!$A9,'Registre de reserves'!$B$2:$B$1178,'2023'!V$2,Tabla1[ANY],'2023'!$Z$2)</f>
        <v>0</v>
      </c>
      <c r="W9" s="21">
        <f t="shared" si="11"/>
        <v>0</v>
      </c>
      <c r="X9" s="20">
        <f>SUMIFS('Registre de reserves'!$P$2:$P$1178,'Registre de reserves'!$T$2:$T$1178,"SI",'Registre de reserves'!$I$2:$I$1178,'2023'!$A9,'Registre de reserves'!$B$2:$B$1178,'2023'!X$2,Tabla1[ANY],'2023'!$Z$2)+SUMIFS('Registre de reserves'!$U$2:$U$1178,'Registre de reserves'!$T$2:$T$1178,"RESERVA",'Registre de reserves'!$I$2:$I$1178,'2023'!$A9,'Registre de reserves'!$B$2:$B$1178,'2023'!X$2,Tabla1[ANY],'2023'!$Z$2)</f>
        <v>0</v>
      </c>
      <c r="Y9" s="21">
        <f t="shared" si="12"/>
        <v>0</v>
      </c>
      <c r="Z9" s="20">
        <f t="shared" si="15"/>
        <v>0</v>
      </c>
      <c r="AA9" s="21">
        <f t="shared" si="13"/>
        <v>0</v>
      </c>
      <c r="AB9" s="178">
        <f t="shared" si="2"/>
        <v>0</v>
      </c>
    </row>
    <row r="10" spans="1:28" hidden="1" outlineLevel="1" x14ac:dyDescent="0.2">
      <c r="A10" s="8" t="s">
        <v>69</v>
      </c>
      <c r="B10" s="20">
        <f>SUMIFS('Registre de reserves'!$P$2:$P$1178,'Registre de reserves'!$T$2:$T$1178,"SI",'Registre de reserves'!$I$2:$I$1178,'2023'!$A10,'Registre de reserves'!$B$2:$B$1178,'2023'!B$2,Tabla1[ANY],'2023'!$Z$2)+SUMIFS('Registre de reserves'!$U$2:$U$1178,'Registre de reserves'!$T$2:$T$1178,"RESERVA",'Registre de reserves'!$I$2:$I$1178,'2023'!$A10,'Registre de reserves'!$B$2:$B$1178,'2023'!B$2,Tabla1[ANY],'2023'!$Z$2)</f>
        <v>1360</v>
      </c>
      <c r="C10" s="21">
        <f t="shared" si="14"/>
        <v>0.35509138381201044</v>
      </c>
      <c r="D10" s="20">
        <f>SUMIFS('Registre de reserves'!$P$2:$P$1178,'Registre de reserves'!$T$2:$T$1178,"SI",'Registre de reserves'!$I$2:$I$1178,'2023'!$A10,'Registre de reserves'!$B$2:$B$1178,'2023'!D$2,Tabla1[ANY],'2023'!$Z$2)+SUMIFS('Registre de reserves'!$U$2:$U$1178,'Registre de reserves'!$T$2:$T$1178,"RESERVA",'Registre de reserves'!$I$2:$I$1178,'2023'!$A10,'Registre de reserves'!$B$2:$B$1178,'2023'!D$2,Tabla1[ANY],'2023'!$Z$2)</f>
        <v>1600</v>
      </c>
      <c r="E10" s="21">
        <f t="shared" si="14"/>
        <v>0.36781609195402298</v>
      </c>
      <c r="F10" s="20">
        <f>SUMIFS('Registre de reserves'!$P$2:$P$1178,'Registre de reserves'!$T$2:$T$1178,"SI",'Registre de reserves'!$I$2:$I$1178,'2023'!$A10,'Registre de reserves'!$B$2:$B$1178,'2023'!F$2,Tabla1[ANY],'2023'!$Z$2)+SUMIFS('Registre de reserves'!$U$2:$U$1178,'Registre de reserves'!$T$2:$T$1178,"RESERVA",'Registre de reserves'!$I$2:$I$1178,'2023'!$A10,'Registre de reserves'!$B$2:$B$1178,'2023'!F$2,Tabla1[ANY],'2023'!$Z$2)</f>
        <v>1000</v>
      </c>
      <c r="G10" s="21">
        <f t="shared" si="3"/>
        <v>0.26631158455392812</v>
      </c>
      <c r="H10" s="20">
        <f>SUMIFS('Registre de reserves'!$P$2:$P$1178,'Registre de reserves'!$T$2:$T$1178,"SI",'Registre de reserves'!$I$2:$I$1178,'2023'!$A10,'Registre de reserves'!$B$2:$B$1178,'2023'!H$2,Tabla1[ANY],'2023'!$Z$2)+SUMIFS('Registre de reserves'!$U$2:$U$1178,'Registre de reserves'!$T$2:$T$1178,"RESERVA",'Registre de reserves'!$I$2:$I$1178,'2023'!$A10,'Registre de reserves'!$B$2:$B$1178,'2023'!H$2,Tabla1[ANY],'2023'!$Z$2)</f>
        <v>1400</v>
      </c>
      <c r="I10" s="21">
        <f t="shared" si="4"/>
        <v>0.31390134529147984</v>
      </c>
      <c r="J10" s="20">
        <f>SUMIFS('Registre de reserves'!$P$2:$P$1178,'Registre de reserves'!$T$2:$T$1178,"SI",'Registre de reserves'!$I$2:$I$1178,'2023'!$A10,'Registre de reserves'!$B$2:$B$1178,'2023'!J$2,Tabla1[ANY],'2023'!$Z$2)+SUMIFS('Registre de reserves'!$U$2:$U$1178,'Registre de reserves'!$T$2:$T$1178,"RESERVA",'Registre de reserves'!$I$2:$I$1178,'2023'!$A10,'Registre de reserves'!$B$2:$B$1178,'2023'!J$2,Tabla1[ANY],'2023'!$Z$2)</f>
        <v>1000</v>
      </c>
      <c r="K10" s="21">
        <f t="shared" si="5"/>
        <v>0.28901734104046245</v>
      </c>
      <c r="L10" s="20">
        <f>SUMIFS('Registre de reserves'!$P$2:$P$1178,'Registre de reserves'!$T$2:$T$1178,"SI",'Registre de reserves'!$I$2:$I$1178,'2023'!$A10,'Registre de reserves'!$B$2:$B$1178,'2023'!L$2,Tabla1[ANY],'2023'!$Z$2)+SUMIFS('Registre de reserves'!$U$2:$U$1178,'Registre de reserves'!$T$2:$T$1178,"RESERVA",'Registre de reserves'!$I$2:$I$1178,'2023'!$A10,'Registre de reserves'!$B$2:$B$1178,'2023'!L$2,Tabla1[ANY],'2023'!$Z$2)</f>
        <v>900</v>
      </c>
      <c r="M10" s="21">
        <f t="shared" si="6"/>
        <v>0.2608695652173913</v>
      </c>
      <c r="N10" s="20">
        <f>SUMIFS('Registre de reserves'!$P$2:$P$1178,'Registre de reserves'!$T$2:$T$1178,"SI",'Registre de reserves'!$I$2:$I$1178,'2023'!$A10,'Registre de reserves'!$B$2:$B$1178,'2023'!N$2,Tabla1[ANY],'2023'!$Z$2)+SUMIFS('Registre de reserves'!$U$2:$U$1178,'Registre de reserves'!$T$2:$T$1178,"RESERVA",'Registre de reserves'!$I$2:$I$1178,'2023'!$A10,'Registre de reserves'!$B$2:$B$1178,'2023'!N$2,Tabla1[ANY],'2023'!$Z$2)</f>
        <v>1350</v>
      </c>
      <c r="O10" s="21">
        <f t="shared" si="7"/>
        <v>0.40723981900452488</v>
      </c>
      <c r="P10" s="20">
        <f>SUMIFS('Registre de reserves'!$P$2:$P$1178,'Registre de reserves'!$T$2:$T$1178,"SI",'Registre de reserves'!$I$2:$I$1178,'2023'!$A10,'Registre de reserves'!$B$2:$B$1178,'2023'!P$2,Tabla1[ANY],'2023'!$Z$2)+SUMIFS('Registre de reserves'!$U$2:$U$1178,'Registre de reserves'!$T$2:$T$1178,"RESERVA",'Registre de reserves'!$I$2:$I$1178,'2023'!$A10,'Registre de reserves'!$B$2:$B$1178,'2023'!P$2,Tabla1[ANY],'2023'!$Z$2)</f>
        <v>600</v>
      </c>
      <c r="Q10" s="21">
        <f t="shared" si="8"/>
        <v>0.44444444444444442</v>
      </c>
      <c r="R10" s="20">
        <f>SUMIFS('Registre de reserves'!$P$2:$P$1178,'Registre de reserves'!$T$2:$T$1178,"SI",'Registre de reserves'!$I$2:$I$1178,'2023'!$A10,'Registre de reserves'!$B$2:$B$1178,'2023'!R$2,Tabla1[ANY],'2023'!$Z$2)+SUMIFS('Registre de reserves'!$U$2:$U$1178,'Registre de reserves'!$T$2:$T$1178,"RESERVA",'Registre de reserves'!$I$2:$I$1178,'2023'!$A10,'Registre de reserves'!$B$2:$B$1178,'2023'!R$2,Tabla1[ANY],'2023'!$Z$2)</f>
        <v>1000</v>
      </c>
      <c r="S10" s="21">
        <f t="shared" si="9"/>
        <v>0.24009603841536614</v>
      </c>
      <c r="T10" s="20">
        <f>SUMIFS('Registre de reserves'!$P$2:$P$1178,'Registre de reserves'!$T$2:$T$1178,"SI",'Registre de reserves'!$I$2:$I$1178,'2023'!$A10,'Registre de reserves'!$B$2:$B$1178,'2023'!T$2,Tabla1[ANY],'2023'!$Z$2)+SUMIFS('Registre de reserves'!$U$2:$U$1178,'Registre de reserves'!$T$2:$T$1178,"RESERVA",'Registre de reserves'!$I$2:$I$1178,'2023'!$A10,'Registre de reserves'!$B$2:$B$1178,'2023'!T$2,Tabla1[ANY],'2023'!$Z$2)</f>
        <v>1600</v>
      </c>
      <c r="U10" s="21">
        <f t="shared" si="10"/>
        <v>0.39603960396039606</v>
      </c>
      <c r="V10" s="20">
        <f>SUMIFS('Registre de reserves'!$P$2:$P$1178,'Registre de reserves'!$T$2:$T$1178,"SI",'Registre de reserves'!$I$2:$I$1178,'2023'!$A10,'Registre de reserves'!$B$2:$B$1178,'2023'!V$2,Tabla1[ANY],'2023'!$Z$2)+SUMIFS('Registre de reserves'!$U$2:$U$1178,'Registre de reserves'!$T$2:$T$1178,"RESERVA",'Registre de reserves'!$I$2:$I$1178,'2023'!$A10,'Registre de reserves'!$B$2:$B$1178,'2023'!V$2,Tabla1[ANY],'2023'!$Z$2)</f>
        <v>600</v>
      </c>
      <c r="W10" s="21">
        <f t="shared" si="11"/>
        <v>0.19230769230769232</v>
      </c>
      <c r="X10" s="20">
        <f>SUMIFS('Registre de reserves'!$P$2:$P$1178,'Registre de reserves'!$T$2:$T$1178,"SI",'Registre de reserves'!$I$2:$I$1178,'2023'!$A10,'Registre de reserves'!$B$2:$B$1178,'2023'!X$2,Tabla1[ANY],'2023'!$Z$2)+SUMIFS('Registre de reserves'!$U$2:$U$1178,'Registre de reserves'!$T$2:$T$1178,"RESERVA",'Registre de reserves'!$I$2:$I$1178,'2023'!$A10,'Registre de reserves'!$B$2:$B$1178,'2023'!X$2,Tabla1[ANY],'2023'!$Z$2)</f>
        <v>2300</v>
      </c>
      <c r="Y10" s="21">
        <f t="shared" si="12"/>
        <v>0.32303370786516855</v>
      </c>
      <c r="Z10" s="20">
        <f t="shared" si="15"/>
        <v>14710</v>
      </c>
      <c r="AA10" s="21">
        <f t="shared" si="13"/>
        <v>0.31692340838091132</v>
      </c>
      <c r="AB10" s="178">
        <f t="shared" si="2"/>
        <v>1225.8333333333333</v>
      </c>
    </row>
    <row r="11" spans="1:28" hidden="1" outlineLevel="1" x14ac:dyDescent="0.2">
      <c r="A11" s="8" t="s">
        <v>70</v>
      </c>
      <c r="B11" s="20">
        <f>SUMIFS('Registre de reserves'!$P$2:$P$1178,'Registre de reserves'!$T$2:$T$1178,"SI",'Registre de reserves'!$I$2:$I$1178,'2023'!$A11,'Registre de reserves'!$B$2:$B$1178,'2023'!B$2,Tabla1[ANY],'2023'!$Z$2)+SUMIFS('Registre de reserves'!$U$2:$U$1178,'Registre de reserves'!$T$2:$T$1178,"RESERVA",'Registre de reserves'!$I$2:$I$1178,'2023'!$A11,'Registre de reserves'!$B$2:$B$1178,'2023'!B$2,Tabla1[ANY],'2023'!$Z$2)</f>
        <v>620</v>
      </c>
      <c r="C11" s="21">
        <f t="shared" si="14"/>
        <v>0.16187989556135771</v>
      </c>
      <c r="D11" s="20">
        <f>SUMIFS('Registre de reserves'!$P$2:$P$1178,'Registre de reserves'!$T$2:$T$1178,"SI",'Registre de reserves'!$I$2:$I$1178,'2023'!$A11,'Registre de reserves'!$B$2:$B$1178,'2023'!D$2,Tabla1[ANY],'2023'!$Z$2)+SUMIFS('Registre de reserves'!$U$2:$U$1178,'Registre de reserves'!$T$2:$T$1178,"RESERVA",'Registre de reserves'!$I$2:$I$1178,'2023'!$A11,'Registre de reserves'!$B$2:$B$1178,'2023'!D$2,Tabla1[ANY],'2023'!$Z$2)</f>
        <v>0</v>
      </c>
      <c r="E11" s="21">
        <f t="shared" si="14"/>
        <v>0</v>
      </c>
      <c r="F11" s="20">
        <f>SUMIFS('Registre de reserves'!$P$2:$P$1178,'Registre de reserves'!$T$2:$T$1178,"SI",'Registre de reserves'!$I$2:$I$1178,'2023'!$A11,'Registre de reserves'!$B$2:$B$1178,'2023'!F$2,Tabla1[ANY],'2023'!$Z$2)+SUMIFS('Registre de reserves'!$U$2:$U$1178,'Registre de reserves'!$T$2:$T$1178,"RESERVA",'Registre de reserves'!$I$2:$I$1178,'2023'!$A11,'Registre de reserves'!$B$2:$B$1178,'2023'!F$2,Tabla1[ANY],'2023'!$Z$2)</f>
        <v>0</v>
      </c>
      <c r="G11" s="21">
        <f t="shared" si="3"/>
        <v>0</v>
      </c>
      <c r="H11" s="20">
        <f>SUMIFS('Registre de reserves'!$P$2:$P$1178,'Registre de reserves'!$T$2:$T$1178,"SI",'Registre de reserves'!$I$2:$I$1178,'2023'!$A11,'Registre de reserves'!$B$2:$B$1178,'2023'!H$2,Tabla1[ANY],'2023'!$Z$2)+SUMIFS('Registre de reserves'!$U$2:$U$1178,'Registre de reserves'!$T$2:$T$1178,"RESERVA",'Registre de reserves'!$I$2:$I$1178,'2023'!$A11,'Registre de reserves'!$B$2:$B$1178,'2023'!H$2,Tabla1[ANY],'2023'!$Z$2)</f>
        <v>320</v>
      </c>
      <c r="I11" s="21">
        <f t="shared" si="4"/>
        <v>7.1748878923766815E-2</v>
      </c>
      <c r="J11" s="20">
        <f>SUMIFS('Registre de reserves'!$P$2:$P$1178,'Registre de reserves'!$T$2:$T$1178,"SI",'Registre de reserves'!$I$2:$I$1178,'2023'!$A11,'Registre de reserves'!$B$2:$B$1178,'2023'!J$2,Tabla1[ANY],'2023'!$Z$2)+SUMIFS('Registre de reserves'!$U$2:$U$1178,'Registre de reserves'!$T$2:$T$1178,"RESERVA",'Registre de reserves'!$I$2:$I$1178,'2023'!$A11,'Registre de reserves'!$B$2:$B$1178,'2023'!J$2,Tabla1[ANY],'2023'!$Z$2)</f>
        <v>320</v>
      </c>
      <c r="K11" s="21">
        <f t="shared" si="5"/>
        <v>9.2485549132947972E-2</v>
      </c>
      <c r="L11" s="20">
        <f>SUMIFS('Registre de reserves'!$P$2:$P$1178,'Registre de reserves'!$T$2:$T$1178,"SI",'Registre de reserves'!$I$2:$I$1178,'2023'!$A11,'Registre de reserves'!$B$2:$B$1178,'2023'!L$2,Tabla1[ANY],'2023'!$Z$2)+SUMIFS('Registre de reserves'!$U$2:$U$1178,'Registre de reserves'!$T$2:$T$1178,"RESERVA",'Registre de reserves'!$I$2:$I$1178,'2023'!$A11,'Registre de reserves'!$B$2:$B$1178,'2023'!L$2,Tabla1[ANY],'2023'!$Z$2)</f>
        <v>300</v>
      </c>
      <c r="M11" s="21">
        <f t="shared" si="6"/>
        <v>8.6956521739130432E-2</v>
      </c>
      <c r="N11" s="20">
        <f>SUMIFS('Registre de reserves'!$P$2:$P$1178,'Registre de reserves'!$T$2:$T$1178,"SI",'Registre de reserves'!$I$2:$I$1178,'2023'!$A11,'Registre de reserves'!$B$2:$B$1178,'2023'!N$2,Tabla1[ANY],'2023'!$Z$2)+SUMIFS('Registre de reserves'!$U$2:$U$1178,'Registre de reserves'!$T$2:$T$1178,"RESERVA",'Registre de reserves'!$I$2:$I$1178,'2023'!$A11,'Registre de reserves'!$B$2:$B$1178,'2023'!N$2,Tabla1[ANY],'2023'!$Z$2)</f>
        <v>0</v>
      </c>
      <c r="O11" s="21">
        <f t="shared" si="7"/>
        <v>0</v>
      </c>
      <c r="P11" s="20">
        <f>SUMIFS('Registre de reserves'!$P$2:$P$1178,'Registre de reserves'!$T$2:$T$1178,"SI",'Registre de reserves'!$I$2:$I$1178,'2023'!$A11,'Registre de reserves'!$B$2:$B$1178,'2023'!P$2,Tabla1[ANY],'2023'!$Z$2)+SUMIFS('Registre de reserves'!$U$2:$U$1178,'Registre de reserves'!$T$2:$T$1178,"RESERVA",'Registre de reserves'!$I$2:$I$1178,'2023'!$A11,'Registre de reserves'!$B$2:$B$1178,'2023'!P$2,Tabla1[ANY],'2023'!$Z$2)</f>
        <v>0</v>
      </c>
      <c r="Q11" s="21">
        <f t="shared" si="8"/>
        <v>0</v>
      </c>
      <c r="R11" s="20">
        <f>SUMIFS('Registre de reserves'!$P$2:$P$1178,'Registre de reserves'!$T$2:$T$1178,"SI",'Registre de reserves'!$I$2:$I$1178,'2023'!$A11,'Registre de reserves'!$B$2:$B$1178,'2023'!R$2,Tabla1[ANY],'2023'!$Z$2)+SUMIFS('Registre de reserves'!$U$2:$U$1178,'Registre de reserves'!$T$2:$T$1178,"RESERVA",'Registre de reserves'!$I$2:$I$1178,'2023'!$A11,'Registre de reserves'!$B$2:$B$1178,'2023'!R$2,Tabla1[ANY],'2023'!$Z$2)</f>
        <v>1190</v>
      </c>
      <c r="S11" s="21">
        <f t="shared" si="9"/>
        <v>0.2857142857142857</v>
      </c>
      <c r="T11" s="20">
        <f>SUMIFS('Registre de reserves'!$P$2:$P$1178,'Registre de reserves'!$T$2:$T$1178,"SI",'Registre de reserves'!$I$2:$I$1178,'2023'!$A11,'Registre de reserves'!$B$2:$B$1178,'2023'!T$2,Tabla1[ANY],'2023'!$Z$2)+SUMIFS('Registre de reserves'!$U$2:$U$1178,'Registre de reserves'!$T$2:$T$1178,"RESERVA",'Registre de reserves'!$I$2:$I$1178,'2023'!$A11,'Registre de reserves'!$B$2:$B$1178,'2023'!T$2,Tabla1[ANY],'2023'!$Z$2)</f>
        <v>320</v>
      </c>
      <c r="U11" s="21">
        <f t="shared" si="10"/>
        <v>7.9207920792079209E-2</v>
      </c>
      <c r="V11" s="20">
        <f>SUMIFS('Registre de reserves'!$P$2:$P$1178,'Registre de reserves'!$T$2:$T$1178,"SI",'Registre de reserves'!$I$2:$I$1178,'2023'!$A11,'Registre de reserves'!$B$2:$B$1178,'2023'!V$2,Tabla1[ANY],'2023'!$Z$2)+SUMIFS('Registre de reserves'!$U$2:$U$1178,'Registre de reserves'!$T$2:$T$1178,"RESERVA",'Registre de reserves'!$I$2:$I$1178,'2023'!$A11,'Registre de reserves'!$B$2:$B$1178,'2023'!V$2,Tabla1[ANY],'2023'!$Z$2)</f>
        <v>300</v>
      </c>
      <c r="W11" s="21">
        <f t="shared" si="11"/>
        <v>9.6153846153846159E-2</v>
      </c>
      <c r="X11" s="20">
        <f>SUMIFS('Registre de reserves'!$P$2:$P$1178,'Registre de reserves'!$T$2:$T$1178,"SI",'Registre de reserves'!$I$2:$I$1178,'2023'!$A11,'Registre de reserves'!$B$2:$B$1178,'2023'!X$2,Tabla1[ANY],'2023'!$Z$2)+SUMIFS('Registre de reserves'!$U$2:$U$1178,'Registre de reserves'!$T$2:$T$1178,"RESERVA",'Registre de reserves'!$I$2:$I$1178,'2023'!$A11,'Registre de reserves'!$B$2:$B$1178,'2023'!X$2,Tabla1[ANY],'2023'!$Z$2)</f>
        <v>600</v>
      </c>
      <c r="Y11" s="21">
        <f t="shared" si="12"/>
        <v>8.4269662921348312E-2</v>
      </c>
      <c r="Z11" s="20">
        <f t="shared" si="15"/>
        <v>3970</v>
      </c>
      <c r="AA11" s="21">
        <f t="shared" si="13"/>
        <v>8.5532694172142626E-2</v>
      </c>
      <c r="AB11" s="178">
        <f t="shared" si="2"/>
        <v>330.83333333333331</v>
      </c>
    </row>
    <row r="12" spans="1:28" hidden="1" outlineLevel="1" x14ac:dyDescent="0.2">
      <c r="A12" s="8" t="s">
        <v>73</v>
      </c>
      <c r="B12" s="20">
        <f>SUMIFS('Registre de reserves'!$P$2:$P$1178,'Registre de reserves'!$T$2:$T$1178,"SI",'Registre de reserves'!$I$2:$I$1178,'2023'!$A12,'Registre de reserves'!$B$2:$B$1178,'2023'!B$2,Tabla1[ANY],'2023'!$Z$2)+SUMIFS('Registre de reserves'!$U$2:$U$1178,'Registre de reserves'!$T$2:$T$1178,"RESERVA",'Registre de reserves'!$I$2:$I$1178,'2023'!$A12,'Registre de reserves'!$B$2:$B$1178,'2023'!B$2,Tabla1[ANY],'2023'!$Z$2)</f>
        <v>0</v>
      </c>
      <c r="C12" s="21">
        <f t="shared" si="14"/>
        <v>0</v>
      </c>
      <c r="D12" s="20">
        <f>SUMIFS('Registre de reserves'!$P$2:$P$1178,'Registre de reserves'!$T$2:$T$1178,"SI",'Registre de reserves'!$I$2:$I$1178,'2023'!$A12,'Registre de reserves'!$B$2:$B$1178,'2023'!D$2,Tabla1[ANY],'2023'!$Z$2)+SUMIFS('Registre de reserves'!$U$2:$U$1178,'Registre de reserves'!$T$2:$T$1178,"RESERVA",'Registre de reserves'!$I$2:$I$1178,'2023'!$A12,'Registre de reserves'!$B$2:$B$1178,'2023'!D$2,Tabla1[ANY],'2023'!$Z$2)</f>
        <v>0</v>
      </c>
      <c r="E12" s="21">
        <f t="shared" si="14"/>
        <v>0</v>
      </c>
      <c r="F12" s="20">
        <f>SUMIFS('Registre de reserves'!$P$2:$P$1178,'Registre de reserves'!$T$2:$T$1178,"SI",'Registre de reserves'!$I$2:$I$1178,'2023'!$A12,'Registre de reserves'!$B$2:$B$1178,'2023'!F$2,Tabla1[ANY],'2023'!$Z$2)+SUMIFS('Registre de reserves'!$U$2:$U$1178,'Registre de reserves'!$T$2:$T$1178,"RESERVA",'Registre de reserves'!$I$2:$I$1178,'2023'!$A12,'Registre de reserves'!$B$2:$B$1178,'2023'!F$2,Tabla1[ANY],'2023'!$Z$2)</f>
        <v>0</v>
      </c>
      <c r="G12" s="21">
        <f t="shared" si="3"/>
        <v>0</v>
      </c>
      <c r="H12" s="20">
        <f>SUMIFS('Registre de reserves'!$P$2:$P$1178,'Registre de reserves'!$T$2:$T$1178,"SI",'Registre de reserves'!$I$2:$I$1178,'2023'!$A12,'Registre de reserves'!$B$2:$B$1178,'2023'!H$2,Tabla1[ANY],'2023'!$Z$2)+SUMIFS('Registre de reserves'!$U$2:$U$1178,'Registre de reserves'!$T$2:$T$1178,"RESERVA",'Registre de reserves'!$I$2:$I$1178,'2023'!$A12,'Registre de reserves'!$B$2:$B$1178,'2023'!H$2,Tabla1[ANY],'2023'!$Z$2)</f>
        <v>0</v>
      </c>
      <c r="I12" s="21">
        <f t="shared" si="4"/>
        <v>0</v>
      </c>
      <c r="J12" s="20">
        <f>SUMIFS('Registre de reserves'!$P$2:$P$1178,'Registre de reserves'!$T$2:$T$1178,"SI",'Registre de reserves'!$I$2:$I$1178,'2023'!$A12,'Registre de reserves'!$B$2:$B$1178,'2023'!J$2,Tabla1[ANY],'2023'!$Z$2)+SUMIFS('Registre de reserves'!$U$2:$U$1178,'Registre de reserves'!$T$2:$T$1178,"RESERVA",'Registre de reserves'!$I$2:$I$1178,'2023'!$A12,'Registre de reserves'!$B$2:$B$1178,'2023'!J$2,Tabla1[ANY],'2023'!$Z$2)</f>
        <v>0</v>
      </c>
      <c r="K12" s="21">
        <f t="shared" si="5"/>
        <v>0</v>
      </c>
      <c r="L12" s="20">
        <f>SUMIFS('Registre de reserves'!$P$2:$P$1178,'Registre de reserves'!$T$2:$T$1178,"SI",'Registre de reserves'!$I$2:$I$1178,'2023'!$A12,'Registre de reserves'!$B$2:$B$1178,'2023'!L$2,Tabla1[ANY],'2023'!$Z$2)+SUMIFS('Registre de reserves'!$U$2:$U$1178,'Registre de reserves'!$T$2:$T$1178,"RESERVA",'Registre de reserves'!$I$2:$I$1178,'2023'!$A12,'Registre de reserves'!$B$2:$B$1178,'2023'!L$2,Tabla1[ANY],'2023'!$Z$2)</f>
        <v>0</v>
      </c>
      <c r="M12" s="21">
        <f t="shared" si="6"/>
        <v>0</v>
      </c>
      <c r="N12" s="20">
        <f>SUMIFS('Registre de reserves'!$P$2:$P$1178,'Registre de reserves'!$T$2:$T$1178,"SI",'Registre de reserves'!$I$2:$I$1178,'2023'!$A12,'Registre de reserves'!$B$2:$B$1178,'2023'!N$2,Tabla1[ANY],'2023'!$Z$2)+SUMIFS('Registre de reserves'!$U$2:$U$1178,'Registre de reserves'!$T$2:$T$1178,"RESERVA",'Registre de reserves'!$I$2:$I$1178,'2023'!$A12,'Registre de reserves'!$B$2:$B$1178,'2023'!N$2,Tabla1[ANY],'2023'!$Z$2)</f>
        <v>0</v>
      </c>
      <c r="O12" s="21">
        <f t="shared" si="7"/>
        <v>0</v>
      </c>
      <c r="P12" s="20">
        <f>SUMIFS('Registre de reserves'!$P$2:$P$1178,'Registre de reserves'!$T$2:$T$1178,"SI",'Registre de reserves'!$I$2:$I$1178,'2023'!$A12,'Registre de reserves'!$B$2:$B$1178,'2023'!P$2,Tabla1[ANY],'2023'!$Z$2)+SUMIFS('Registre de reserves'!$U$2:$U$1178,'Registre de reserves'!$T$2:$T$1178,"RESERVA",'Registre de reserves'!$I$2:$I$1178,'2023'!$A12,'Registre de reserves'!$B$2:$B$1178,'2023'!P$2,Tabla1[ANY],'2023'!$Z$2)</f>
        <v>0</v>
      </c>
      <c r="Q12" s="21">
        <f t="shared" si="8"/>
        <v>0</v>
      </c>
      <c r="R12" s="20">
        <f>SUMIFS('Registre de reserves'!$P$2:$P$1178,'Registre de reserves'!$T$2:$T$1178,"SI",'Registre de reserves'!$I$2:$I$1178,'2023'!$A12,'Registre de reserves'!$B$2:$B$1178,'2023'!R$2,Tabla1[ANY],'2023'!$Z$2)+SUMIFS('Registre de reserves'!$U$2:$U$1178,'Registre de reserves'!$T$2:$T$1178,"RESERVA",'Registre de reserves'!$I$2:$I$1178,'2023'!$A12,'Registre de reserves'!$B$2:$B$1178,'2023'!R$2,Tabla1[ANY],'2023'!$Z$2)</f>
        <v>0</v>
      </c>
      <c r="S12" s="21">
        <f t="shared" si="9"/>
        <v>0</v>
      </c>
      <c r="T12" s="20">
        <f>SUMIFS('Registre de reserves'!$P$2:$P$1178,'Registre de reserves'!$T$2:$T$1178,"SI",'Registre de reserves'!$I$2:$I$1178,'2023'!$A12,'Registre de reserves'!$B$2:$B$1178,'2023'!T$2,Tabla1[ANY],'2023'!$Z$2)+SUMIFS('Registre de reserves'!$U$2:$U$1178,'Registre de reserves'!$T$2:$T$1178,"RESERVA",'Registre de reserves'!$I$2:$I$1178,'2023'!$A12,'Registre de reserves'!$B$2:$B$1178,'2023'!T$2,Tabla1[ANY],'2023'!$Z$2)</f>
        <v>0</v>
      </c>
      <c r="U12" s="21">
        <f t="shared" si="10"/>
        <v>0</v>
      </c>
      <c r="V12" s="20">
        <f>SUMIFS('Registre de reserves'!$P$2:$P$1178,'Registre de reserves'!$T$2:$T$1178,"SI",'Registre de reserves'!$I$2:$I$1178,'2023'!$A12,'Registre de reserves'!$B$2:$B$1178,'2023'!V$2,Tabla1[ANY],'2023'!$Z$2)+SUMIFS('Registre de reserves'!$U$2:$U$1178,'Registre de reserves'!$T$2:$T$1178,"RESERVA",'Registre de reserves'!$I$2:$I$1178,'2023'!$A12,'Registre de reserves'!$B$2:$B$1178,'2023'!V$2,Tabla1[ANY],'2023'!$Z$2)</f>
        <v>0</v>
      </c>
      <c r="W12" s="21">
        <f t="shared" si="11"/>
        <v>0</v>
      </c>
      <c r="X12" s="20">
        <f>SUMIFS('Registre de reserves'!$P$2:$P$1178,'Registre de reserves'!$T$2:$T$1178,"SI",'Registre de reserves'!$I$2:$I$1178,'2023'!$A12,'Registre de reserves'!$B$2:$B$1178,'2023'!X$2,Tabla1[ANY],'2023'!$Z$2)+SUMIFS('Registre de reserves'!$U$2:$U$1178,'Registre de reserves'!$T$2:$T$1178,"RESERVA",'Registre de reserves'!$I$2:$I$1178,'2023'!$A12,'Registre de reserves'!$B$2:$B$1178,'2023'!X$2,Tabla1[ANY],'2023'!$Z$2)</f>
        <v>0</v>
      </c>
      <c r="Y12" s="21">
        <f t="shared" si="12"/>
        <v>0</v>
      </c>
      <c r="Z12" s="20">
        <f t="shared" si="15"/>
        <v>0</v>
      </c>
      <c r="AA12" s="21">
        <f t="shared" si="13"/>
        <v>0</v>
      </c>
      <c r="AB12" s="178">
        <f t="shared" si="2"/>
        <v>0</v>
      </c>
    </row>
    <row r="13" spans="1:28" collapsed="1" x14ac:dyDescent="0.2">
      <c r="A13" s="33" t="s">
        <v>76</v>
      </c>
      <c r="B13" s="18">
        <f>SUM(B14:B21)</f>
        <v>0</v>
      </c>
      <c r="C13" s="19">
        <f>IF((B$13+B$31)=0,0,B13/(B$13+B$31))</f>
        <v>0</v>
      </c>
      <c r="D13" s="18">
        <f>SUM(D14:D21)</f>
        <v>0</v>
      </c>
      <c r="E13" s="19">
        <f>IF((D$13+D$31)=0,0,D13/(D$13+D$31))</f>
        <v>0</v>
      </c>
      <c r="F13" s="18">
        <f>SUM(F14:F21)</f>
        <v>0</v>
      </c>
      <c r="G13" s="19">
        <f>IF((F$13+F$31)=0,0,F13/(F$13+F$31))</f>
        <v>0</v>
      </c>
      <c r="H13" s="18">
        <f>SUM(H14:H21)</f>
        <v>0</v>
      </c>
      <c r="I13" s="19">
        <f>IF((H$13+H$31)=0,0,H13/(H$13+H$31))</f>
        <v>0</v>
      </c>
      <c r="J13" s="18">
        <f>SUM(J14:J21)</f>
        <v>0</v>
      </c>
      <c r="K13" s="19">
        <f>IF((J$13+J$31)=0,0,J13/(J$13+J$31))</f>
        <v>0</v>
      </c>
      <c r="L13" s="18">
        <f>SUM(L14:L21)</f>
        <v>0</v>
      </c>
      <c r="M13" s="19">
        <f>IF((L$13+L$31)=0,0,L13/(L$13+L$31))</f>
        <v>0</v>
      </c>
      <c r="N13" s="18">
        <f>SUM(N14:N21)</f>
        <v>0</v>
      </c>
      <c r="O13" s="19">
        <f>IF((N$13+N$31)=0,0,N13/(N$13+N$31))</f>
        <v>0</v>
      </c>
      <c r="P13" s="18">
        <f>SUM(P14:P21)</f>
        <v>0</v>
      </c>
      <c r="Q13" s="19">
        <f>IF((P$13+P$31)=0,0,P13/(P$13+P$31))</f>
        <v>0</v>
      </c>
      <c r="R13" s="18">
        <f>SUM(R14:R21)</f>
        <v>0</v>
      </c>
      <c r="S13" s="19">
        <f>IF((R$13+R$31)=0,0,R13/(R$13+R$31))</f>
        <v>0</v>
      </c>
      <c r="T13" s="18">
        <f>SUM(T14:T21)</f>
        <v>0</v>
      </c>
      <c r="U13" s="19">
        <f>IF((T$13+T$31)=0,0,T13/(T$13+T$31))</f>
        <v>0</v>
      </c>
      <c r="V13" s="18">
        <f>SUM(V14:V21)</f>
        <v>0</v>
      </c>
      <c r="W13" s="19">
        <f>IF((V$13+V$31)=0,0,V13/(V$13+V$31))</f>
        <v>0</v>
      </c>
      <c r="X13" s="18">
        <f>SUM(X14:X21)</f>
        <v>0</v>
      </c>
      <c r="Y13" s="19">
        <f>IF((X$13+X$31)=0,0,X13/(X$13+X$31))</f>
        <v>0</v>
      </c>
      <c r="Z13" s="18">
        <f>SUM(Z14:Z21)</f>
        <v>0</v>
      </c>
      <c r="AA13" s="19">
        <f>IF((Z$13+Z$31)=0,0,Z13/(Z$13+Z$31))</f>
        <v>0</v>
      </c>
      <c r="AB13" s="178">
        <f t="shared" si="2"/>
        <v>0</v>
      </c>
    </row>
    <row r="14" spans="1:28" hidden="1" outlineLevel="1" x14ac:dyDescent="0.2">
      <c r="A14" s="8" t="s">
        <v>67</v>
      </c>
      <c r="B14" s="20">
        <f>SUMIFS('Registre de reserves'!$P$2:$P$1178,'Registre de reserves'!$T$2:$T$1178,"NO",'Registre de reserves'!$I$2:$I$1178,'2023'!$A14,'Registre de reserves'!$B$2:$B$1178,'2023'!B$2,Tabla1[ANY],'2023'!$Z$2)+SUMIFS('Registre de reserves'!$P$2:$P$1178,'Registre de reserves'!$T$2:$T$1178,"RESERVA",'Registre de reserves'!$I$2:$I$1178,'2023'!$A14,'Registre de reserves'!$B$2:$B$1178,'2023'!B$2,Tabla1[ANY],'2023'!$Z$2)-SUMIFS('Registre de reserves'!$U$2:$U$1178,'Registre de reserves'!$T$2:$T$1178,"RESERVA",'Registre de reserves'!$I$2:$I$1178,'2023'!$A14,'Registre de reserves'!$B$2:$B$1178,'2023'!B$2,Tabla1[ANY],'2023'!$Z$2)</f>
        <v>0</v>
      </c>
      <c r="C14" s="21">
        <f>IF($B$13=0,0,B14/B$13)</f>
        <v>0</v>
      </c>
      <c r="D14" s="20">
        <f>SUMIFS('Registre de reserves'!$P$2:$P$1178,'Registre de reserves'!$T$2:$T$1178,"NO",'Registre de reserves'!$I$2:$I$1178,'2023'!$A14,'Registre de reserves'!$B$2:$B$1178,'2023'!D$2,Tabla1[ANY],'2023'!$Z$2)+SUMIFS('Registre de reserves'!$P$2:$P$1178,'Registre de reserves'!$T$2:$T$1178,"RESERVA",'Registre de reserves'!$I$2:$I$1178,'2023'!$A14,'Registre de reserves'!$B$2:$B$1178,'2023'!D$2,Tabla1[ANY],'2023'!$Z$2)-SUMIFS('Registre de reserves'!$U$2:$U$1178,'Registre de reserves'!$T$2:$T$1178,"RESERVA",'Registre de reserves'!$I$2:$I$1178,'2023'!$A14,'Registre de reserves'!$B$2:$B$1178,'2023'!D$2,Tabla1[ANY],'2023'!$Z$2)</f>
        <v>0</v>
      </c>
      <c r="E14" s="21">
        <f>IF($D$13=0,0,D14/D$13)</f>
        <v>0</v>
      </c>
      <c r="F14" s="20">
        <f>SUMIFS('Registre de reserves'!$P$2:$P$1178,'Registre de reserves'!$T$2:$T$1178,"NO",'Registre de reserves'!$I$2:$I$1178,'2023'!$A14,'Registre de reserves'!$B$2:$B$1178,'2023'!F$2,Tabla1[ANY],'2023'!$Z$2)+SUMIFS('Registre de reserves'!$P$2:$P$1178,'Registre de reserves'!$T$2:$T$1178,"RESERVA",'Registre de reserves'!$I$2:$I$1178,'2023'!$A14,'Registre de reserves'!$B$2:$B$1178,'2023'!F$2,Tabla1[ANY],'2023'!$Z$2)-SUMIFS('Registre de reserves'!$U$2:$U$1178,'Registre de reserves'!$T$2:$T$1178,"RESERVA",'Registre de reserves'!$I$2:$I$1178,'2023'!$A14,'Registre de reserves'!$B$2:$B$1178,'2023'!F$2,Tabla1[ANY],'2023'!$Z$2)</f>
        <v>0</v>
      </c>
      <c r="G14" s="21">
        <f>IF($F$13=0,0,F14/F$13)</f>
        <v>0</v>
      </c>
      <c r="H14" s="20">
        <f>SUMIFS('Registre de reserves'!$P$2:$P$1178,'Registre de reserves'!$T$2:$T$1178,"NO",'Registre de reserves'!$I$2:$I$1178,'2023'!$A14,'Registre de reserves'!$B$2:$B$1178,'2023'!H$2,Tabla1[ANY],'2023'!$Z$2)+SUMIFS('Registre de reserves'!$P$2:$P$1178,'Registre de reserves'!$T$2:$T$1178,"RESERVA",'Registre de reserves'!$I$2:$I$1178,'2023'!$A14,'Registre de reserves'!$B$2:$B$1178,'2023'!H$2,Tabla1[ANY],'2023'!$Z$2)-SUMIFS('Registre de reserves'!$U$2:$U$1178,'Registre de reserves'!$T$2:$T$1178,"RESERVA",'Registre de reserves'!$I$2:$I$1178,'2023'!$A14,'Registre de reserves'!$B$2:$B$1178,'2023'!H$2,Tabla1[ANY],'2023'!$Z$2)</f>
        <v>0</v>
      </c>
      <c r="I14" s="21">
        <f>IF($H$13=0,0,H14/H$13)</f>
        <v>0</v>
      </c>
      <c r="J14" s="20">
        <f>SUMIFS('Registre de reserves'!$P$2:$P$1178,'Registre de reserves'!$T$2:$T$1178,"NO",'Registre de reserves'!$I$2:$I$1178,'2023'!$A14,'Registre de reserves'!$B$2:$B$1178,'2023'!J$2,Tabla1[ANY],'2023'!$Z$2)+SUMIFS('Registre de reserves'!$P$2:$P$1178,'Registre de reserves'!$T$2:$T$1178,"RESERVA",'Registre de reserves'!$I$2:$I$1178,'2023'!$A14,'Registre de reserves'!$B$2:$B$1178,'2023'!J$2,Tabla1[ANY],'2023'!$Z$2)-SUMIFS('Registre de reserves'!$U$2:$U$1178,'Registre de reserves'!$T$2:$T$1178,"RESERVA",'Registre de reserves'!$I$2:$I$1178,'2023'!$A14,'Registre de reserves'!$B$2:$B$1178,'2023'!J$2,Tabla1[ANY],'2023'!$Z$2)</f>
        <v>0</v>
      </c>
      <c r="K14" s="21">
        <f>IF($J$13=0,0,J14/J$13)</f>
        <v>0</v>
      </c>
      <c r="L14" s="20">
        <f>SUMIFS('Registre de reserves'!$P$2:$P$1178,'Registre de reserves'!$T$2:$T$1178,"NO",'Registre de reserves'!$I$2:$I$1178,'2023'!$A14,'Registre de reserves'!$B$2:$B$1178,'2023'!L$2,Tabla1[ANY],'2023'!$Z$2)+SUMIFS('Registre de reserves'!$P$2:$P$1178,'Registre de reserves'!$T$2:$T$1178,"RESERVA",'Registre de reserves'!$I$2:$I$1178,'2023'!$A14,'Registre de reserves'!$B$2:$B$1178,'2023'!L$2,Tabla1[ANY],'2023'!$Z$2)-SUMIFS('Registre de reserves'!$U$2:$U$1178,'Registre de reserves'!$T$2:$T$1178,"RESERVA",'Registre de reserves'!$I$2:$I$1178,'2023'!$A14,'Registre de reserves'!$B$2:$B$1178,'2023'!L$2,Tabla1[ANY],'2023'!$Z$2)</f>
        <v>0</v>
      </c>
      <c r="M14" s="21">
        <f>IF($L$13=0,0,L14/L$13)</f>
        <v>0</v>
      </c>
      <c r="N14" s="20">
        <f>SUMIFS('Registre de reserves'!$P$2:$P$1178,'Registre de reserves'!$T$2:$T$1178,"NO",'Registre de reserves'!$I$2:$I$1178,'2023'!$A14,'Registre de reserves'!$B$2:$B$1178,'2023'!N$2,Tabla1[ANY],'2023'!$Z$2)+SUMIFS('Registre de reserves'!$P$2:$P$1178,'Registre de reserves'!$T$2:$T$1178,"RESERVA",'Registre de reserves'!$I$2:$I$1178,'2023'!$A14,'Registre de reserves'!$B$2:$B$1178,'2023'!N$2,Tabla1[ANY],'2023'!$Z$2)-SUMIFS('Registre de reserves'!$U$2:$U$1178,'Registre de reserves'!$T$2:$T$1178,"RESERVA",'Registre de reserves'!$I$2:$I$1178,'2023'!$A14,'Registre de reserves'!$B$2:$B$1178,'2023'!N$2,Tabla1[ANY],'2023'!$Z$2)</f>
        <v>0</v>
      </c>
      <c r="O14" s="21">
        <f>IF($N$13=0,0,N14/N$13)</f>
        <v>0</v>
      </c>
      <c r="P14" s="20">
        <f>SUMIFS('Registre de reserves'!$P$2:$P$1178,'Registre de reserves'!$T$2:$T$1178,"NO",'Registre de reserves'!$I$2:$I$1178,'2023'!$A14,'Registre de reserves'!$B$2:$B$1178,'2023'!P$2,Tabla1[ANY],'2023'!$Z$2)+SUMIFS('Registre de reserves'!$P$2:$P$1178,'Registre de reserves'!$T$2:$T$1178,"RESERVA",'Registre de reserves'!$I$2:$I$1178,'2023'!$A14,'Registre de reserves'!$B$2:$B$1178,'2023'!P$2,Tabla1[ANY],'2023'!$Z$2)-SUMIFS('Registre de reserves'!$U$2:$U$1178,'Registre de reserves'!$T$2:$T$1178,"RESERVA",'Registre de reserves'!$I$2:$I$1178,'2023'!$A14,'Registre de reserves'!$B$2:$B$1178,'2023'!P$2,Tabla1[ANY],'2023'!$Z$2)</f>
        <v>0</v>
      </c>
      <c r="Q14" s="21">
        <f>IF($P$13=0,0,P14/P$13)</f>
        <v>0</v>
      </c>
      <c r="R14" s="20">
        <f>SUMIFS('Registre de reserves'!$P$2:$P$1178,'Registre de reserves'!$T$2:$T$1178,"NO",'Registre de reserves'!$I$2:$I$1178,'2023'!$A14,'Registre de reserves'!$B$2:$B$1178,'2023'!R$2,Tabla1[ANY],'2023'!$Z$2)+SUMIFS('Registre de reserves'!$P$2:$P$1178,'Registre de reserves'!$T$2:$T$1178,"RESERVA",'Registre de reserves'!$I$2:$I$1178,'2023'!$A14,'Registre de reserves'!$B$2:$B$1178,'2023'!R$2,Tabla1[ANY],'2023'!$Z$2)-SUMIFS('Registre de reserves'!$U$2:$U$1178,'Registre de reserves'!$T$2:$T$1178,"RESERVA",'Registre de reserves'!$I$2:$I$1178,'2023'!$A14,'Registre de reserves'!$B$2:$B$1178,'2023'!R$2,Tabla1[ANY],'2023'!$Z$2)</f>
        <v>0</v>
      </c>
      <c r="S14" s="21">
        <f>IF($R$13=0,0,R14/R$13)</f>
        <v>0</v>
      </c>
      <c r="T14" s="20">
        <f>SUMIFS('Registre de reserves'!$P$2:$P$1178,'Registre de reserves'!$T$2:$T$1178,"NO",'Registre de reserves'!$I$2:$I$1178,'2023'!$A14,'Registre de reserves'!$B$2:$B$1178,'2023'!T$2,Tabla1[ANY],'2023'!$Z$2)+SUMIFS('Registre de reserves'!$P$2:$P$1178,'Registre de reserves'!$T$2:$T$1178,"RESERVA",'Registre de reserves'!$I$2:$I$1178,'2023'!$A14,'Registre de reserves'!$B$2:$B$1178,'2023'!T$2,Tabla1[ANY],'2023'!$Z$2)-SUMIFS('Registre de reserves'!$U$2:$U$1178,'Registre de reserves'!$T$2:$T$1178,"RESERVA",'Registre de reserves'!$I$2:$I$1178,'2023'!$A14,'Registre de reserves'!$B$2:$B$1178,'2023'!T$2,Tabla1[ANY],'2023'!$Z$2)</f>
        <v>0</v>
      </c>
      <c r="U14" s="21">
        <f>IF($T$13=0,0,T14/T$13)</f>
        <v>0</v>
      </c>
      <c r="V14" s="20">
        <f>SUMIFS('Registre de reserves'!$P$2:$P$1178,'Registre de reserves'!$T$2:$T$1178,"NO",'Registre de reserves'!$I$2:$I$1178,'2023'!$A14,'Registre de reserves'!$B$2:$B$1178,'2023'!V$2,Tabla1[ANY],'2023'!$Z$2)+SUMIFS('Registre de reserves'!$P$2:$P$1178,'Registre de reserves'!$T$2:$T$1178,"RESERVA",'Registre de reserves'!$I$2:$I$1178,'2023'!$A14,'Registre de reserves'!$B$2:$B$1178,'2023'!V$2,Tabla1[ANY],'2023'!$Z$2)-SUMIFS('Registre de reserves'!$U$2:$U$1178,'Registre de reserves'!$T$2:$T$1178,"RESERVA",'Registre de reserves'!$I$2:$I$1178,'2023'!$A14,'Registre de reserves'!$B$2:$B$1178,'2023'!V$2,Tabla1[ANY],'2023'!$Z$2)</f>
        <v>0</v>
      </c>
      <c r="W14" s="21">
        <f>IF($V$13=0,0,V14/V$13)</f>
        <v>0</v>
      </c>
      <c r="X14" s="20">
        <f>SUMIFS('Registre de reserves'!$P$2:$P$1178,'Registre de reserves'!$T$2:$T$1178,"NO",'Registre de reserves'!$I$2:$I$1178,'2023'!$A14,'Registre de reserves'!$B$2:$B$1178,'2023'!X$2,Tabla1[ANY],'2023'!$Z$2)+SUMIFS('Registre de reserves'!$P$2:$P$1178,'Registre de reserves'!$T$2:$T$1178,"RESERVA",'Registre de reserves'!$I$2:$I$1178,'2023'!$A14,'Registre de reserves'!$B$2:$B$1178,'2023'!X$2,Tabla1[ANY],'2023'!$Z$2)-SUMIFS('Registre de reserves'!$U$2:$U$1178,'Registre de reserves'!$T$2:$T$1178,"RESERVA",'Registre de reserves'!$I$2:$I$1178,'2023'!$A14,'Registre de reserves'!$B$2:$B$1178,'2023'!X$2,Tabla1[ANY],'2023'!$Z$2)</f>
        <v>0</v>
      </c>
      <c r="Y14" s="21">
        <f>IF($X$13=0,0,X14/X$13)</f>
        <v>0</v>
      </c>
      <c r="Z14" s="20">
        <f>B14+D14+F14+H14+J14+L14+N14+P14+R14+T14+V14+X14</f>
        <v>0</v>
      </c>
      <c r="AA14" s="21">
        <f>IF($Z$13=0,0,Z14/Z$13)</f>
        <v>0</v>
      </c>
      <c r="AB14" s="178">
        <f t="shared" si="2"/>
        <v>0</v>
      </c>
    </row>
    <row r="15" spans="1:28" hidden="1" outlineLevel="1" x14ac:dyDescent="0.2">
      <c r="A15" s="8" t="s">
        <v>68</v>
      </c>
      <c r="B15" s="20">
        <f>SUMIFS('Registre de reserves'!$P$2:$P$1178,'Registre de reserves'!$T$2:$T$1178,"NO",'Registre de reserves'!$I$2:$I$1178,'2023'!$A15,'Registre de reserves'!$B$2:$B$1178,'2023'!B$2,Tabla1[ANY],'2023'!$Z$2)+SUMIFS('Registre de reserves'!$P$2:$P$1178,'Registre de reserves'!$T$2:$T$1178,"RESERVA",'Registre de reserves'!$I$2:$I$1178,'2023'!$A15,'Registre de reserves'!$B$2:$B$1178,'2023'!B$2,Tabla1[ANY],'2023'!$Z$2)-SUMIFS('Registre de reserves'!$U$2:$U$1178,'Registre de reserves'!$T$2:$T$1178,"RESERVA",'Registre de reserves'!$I$2:$I$1178,'2023'!$A15,'Registre de reserves'!$B$2:$B$1178,'2023'!B$2,Tabla1[ANY],'2023'!$Z$2)</f>
        <v>0</v>
      </c>
      <c r="C15" s="21">
        <f t="shared" ref="C15:C21" si="16">IF($B$13=0,0,B15/B$13)</f>
        <v>0</v>
      </c>
      <c r="D15" s="20">
        <f>SUMIFS('Registre de reserves'!$P$2:$P$1178,'Registre de reserves'!$T$2:$T$1178,"NO",'Registre de reserves'!$I$2:$I$1178,'2023'!$A15,'Registre de reserves'!$B$2:$B$1178,'2023'!D$2,Tabla1[ANY],'2023'!$Z$2)+SUMIFS('Registre de reserves'!$P$2:$P$1178,'Registre de reserves'!$T$2:$T$1178,"RESERVA",'Registre de reserves'!$I$2:$I$1178,'2023'!$A15,'Registre de reserves'!$B$2:$B$1178,'2023'!D$2,Tabla1[ANY],'2023'!$Z$2)-SUMIFS('Registre de reserves'!$U$2:$U$1178,'Registre de reserves'!$T$2:$T$1178,"RESERVA",'Registre de reserves'!$I$2:$I$1178,'2023'!$A15,'Registre de reserves'!$B$2:$B$1178,'2023'!D$2,Tabla1[ANY],'2023'!$Z$2)</f>
        <v>0</v>
      </c>
      <c r="E15" s="21">
        <f t="shared" ref="E15:E21" si="17">IF($D$13=0,0,D15/D$13)</f>
        <v>0</v>
      </c>
      <c r="F15" s="20">
        <f>SUMIFS('Registre de reserves'!$P$2:$P$1178,'Registre de reserves'!$T$2:$T$1178,"NO",'Registre de reserves'!$I$2:$I$1178,'2023'!$A15,'Registre de reserves'!$B$2:$B$1178,'2023'!F$2,Tabla1[ANY],'2023'!$Z$2)+SUMIFS('Registre de reserves'!$P$2:$P$1178,'Registre de reserves'!$T$2:$T$1178,"RESERVA",'Registre de reserves'!$I$2:$I$1178,'2023'!$A15,'Registre de reserves'!$B$2:$B$1178,'2023'!F$2,Tabla1[ANY],'2023'!$Z$2)-SUMIFS('Registre de reserves'!$U$2:$U$1178,'Registre de reserves'!$T$2:$T$1178,"RESERVA",'Registre de reserves'!$I$2:$I$1178,'2023'!$A15,'Registre de reserves'!$B$2:$B$1178,'2023'!F$2,Tabla1[ANY],'2023'!$Z$2)</f>
        <v>0</v>
      </c>
      <c r="G15" s="21">
        <f t="shared" ref="G15:G21" si="18">IF($F$13=0,0,F15/F$13)</f>
        <v>0</v>
      </c>
      <c r="H15" s="20">
        <f>SUMIFS('Registre de reserves'!$P$2:$P$1178,'Registre de reserves'!$T$2:$T$1178,"NO",'Registre de reserves'!$I$2:$I$1178,'2023'!$A15,'Registre de reserves'!$B$2:$B$1178,'2023'!H$2,Tabla1[ANY],'2023'!$Z$2)+SUMIFS('Registre de reserves'!$P$2:$P$1178,'Registre de reserves'!$T$2:$T$1178,"RESERVA",'Registre de reserves'!$I$2:$I$1178,'2023'!$A15,'Registre de reserves'!$B$2:$B$1178,'2023'!H$2,Tabla1[ANY],'2023'!$Z$2)-SUMIFS('Registre de reserves'!$U$2:$U$1178,'Registre de reserves'!$T$2:$T$1178,"RESERVA",'Registre de reserves'!$I$2:$I$1178,'2023'!$A15,'Registre de reserves'!$B$2:$B$1178,'2023'!H$2,Tabla1[ANY],'2023'!$Z$2)</f>
        <v>0</v>
      </c>
      <c r="I15" s="21">
        <f t="shared" ref="I15:I21" si="19">IF($H$13=0,0,H15/H$13)</f>
        <v>0</v>
      </c>
      <c r="J15" s="20">
        <f>SUMIFS('Registre de reserves'!$P$2:$P$1178,'Registre de reserves'!$T$2:$T$1178,"NO",'Registre de reserves'!$I$2:$I$1178,'2023'!$A15,'Registre de reserves'!$B$2:$B$1178,'2023'!J$2,Tabla1[ANY],'2023'!$Z$2)+SUMIFS('Registre de reserves'!$P$2:$P$1178,'Registre de reserves'!$T$2:$T$1178,"RESERVA",'Registre de reserves'!$I$2:$I$1178,'2023'!$A15,'Registre de reserves'!$B$2:$B$1178,'2023'!J$2,Tabla1[ANY],'2023'!$Z$2)-SUMIFS('Registre de reserves'!$U$2:$U$1178,'Registre de reserves'!$T$2:$T$1178,"RESERVA",'Registre de reserves'!$I$2:$I$1178,'2023'!$A15,'Registre de reserves'!$B$2:$B$1178,'2023'!J$2,Tabla1[ANY],'2023'!$Z$2)</f>
        <v>0</v>
      </c>
      <c r="K15" s="21">
        <f t="shared" ref="K15:K21" si="20">IF($J$13=0,0,J15/J$13)</f>
        <v>0</v>
      </c>
      <c r="L15" s="20">
        <f>SUMIFS('Registre de reserves'!$P$2:$P$1178,'Registre de reserves'!$T$2:$T$1178,"NO",'Registre de reserves'!$I$2:$I$1178,'2023'!$A15,'Registre de reserves'!$B$2:$B$1178,'2023'!L$2,Tabla1[ANY],'2023'!$Z$2)+SUMIFS('Registre de reserves'!$P$2:$P$1178,'Registre de reserves'!$T$2:$T$1178,"RESERVA",'Registre de reserves'!$I$2:$I$1178,'2023'!$A15,'Registre de reserves'!$B$2:$B$1178,'2023'!L$2,Tabla1[ANY],'2023'!$Z$2)-SUMIFS('Registre de reserves'!$U$2:$U$1178,'Registre de reserves'!$T$2:$T$1178,"RESERVA",'Registre de reserves'!$I$2:$I$1178,'2023'!$A15,'Registre de reserves'!$B$2:$B$1178,'2023'!L$2,Tabla1[ANY],'2023'!$Z$2)</f>
        <v>0</v>
      </c>
      <c r="M15" s="21">
        <f t="shared" ref="M15:M21" si="21">IF($L$13=0,0,L15/L$13)</f>
        <v>0</v>
      </c>
      <c r="N15" s="20">
        <f>SUMIFS('Registre de reserves'!$P$2:$P$1178,'Registre de reserves'!$T$2:$T$1178,"NO",'Registre de reserves'!$I$2:$I$1178,'2023'!$A15,'Registre de reserves'!$B$2:$B$1178,'2023'!N$2,Tabla1[ANY],'2023'!$Z$2)+SUMIFS('Registre de reserves'!$P$2:$P$1178,'Registre de reserves'!$T$2:$T$1178,"RESERVA",'Registre de reserves'!$I$2:$I$1178,'2023'!$A15,'Registre de reserves'!$B$2:$B$1178,'2023'!N$2,Tabla1[ANY],'2023'!$Z$2)-SUMIFS('Registre de reserves'!$U$2:$U$1178,'Registre de reserves'!$T$2:$T$1178,"RESERVA",'Registre de reserves'!$I$2:$I$1178,'2023'!$A15,'Registre de reserves'!$B$2:$B$1178,'2023'!N$2,Tabla1[ANY],'2023'!$Z$2)</f>
        <v>0</v>
      </c>
      <c r="O15" s="21">
        <f t="shared" ref="O15:O21" si="22">IF($N$13=0,0,N15/N$13)</f>
        <v>0</v>
      </c>
      <c r="P15" s="20">
        <f>SUMIFS('Registre de reserves'!$P$2:$P$1178,'Registre de reserves'!$T$2:$T$1178,"NO",'Registre de reserves'!$I$2:$I$1178,'2023'!$A15,'Registre de reserves'!$B$2:$B$1178,'2023'!P$2,Tabla1[ANY],'2023'!$Z$2)+SUMIFS('Registre de reserves'!$P$2:$P$1178,'Registre de reserves'!$T$2:$T$1178,"RESERVA",'Registre de reserves'!$I$2:$I$1178,'2023'!$A15,'Registre de reserves'!$B$2:$B$1178,'2023'!P$2,Tabla1[ANY],'2023'!$Z$2)-SUMIFS('Registre de reserves'!$U$2:$U$1178,'Registre de reserves'!$T$2:$T$1178,"RESERVA",'Registre de reserves'!$I$2:$I$1178,'2023'!$A15,'Registre de reserves'!$B$2:$B$1178,'2023'!P$2,Tabla1[ANY],'2023'!$Z$2)</f>
        <v>0</v>
      </c>
      <c r="Q15" s="21">
        <f t="shared" ref="Q15:Q21" si="23">IF($P$13=0,0,P15/P$13)</f>
        <v>0</v>
      </c>
      <c r="R15" s="20">
        <f>SUMIFS('Registre de reserves'!$P$2:$P$1178,'Registre de reserves'!$T$2:$T$1178,"NO",'Registre de reserves'!$I$2:$I$1178,'2023'!$A15,'Registre de reserves'!$B$2:$B$1178,'2023'!R$2,Tabla1[ANY],'2023'!$Z$2)+SUMIFS('Registre de reserves'!$P$2:$P$1178,'Registre de reserves'!$T$2:$T$1178,"RESERVA",'Registre de reserves'!$I$2:$I$1178,'2023'!$A15,'Registre de reserves'!$B$2:$B$1178,'2023'!R$2,Tabla1[ANY],'2023'!$Z$2)-SUMIFS('Registre de reserves'!$U$2:$U$1178,'Registre de reserves'!$T$2:$T$1178,"RESERVA",'Registre de reserves'!$I$2:$I$1178,'2023'!$A15,'Registre de reserves'!$B$2:$B$1178,'2023'!R$2,Tabla1[ANY],'2023'!$Z$2)</f>
        <v>0</v>
      </c>
      <c r="S15" s="21">
        <f t="shared" ref="S15:S21" si="24">IF($R$13=0,0,R15/R$13)</f>
        <v>0</v>
      </c>
      <c r="T15" s="20">
        <f>SUMIFS('Registre de reserves'!$P$2:$P$1178,'Registre de reserves'!$T$2:$T$1178,"NO",'Registre de reserves'!$I$2:$I$1178,'2023'!$A15,'Registre de reserves'!$B$2:$B$1178,'2023'!T$2,Tabla1[ANY],'2023'!$Z$2)+SUMIFS('Registre de reserves'!$P$2:$P$1178,'Registre de reserves'!$T$2:$T$1178,"RESERVA",'Registre de reserves'!$I$2:$I$1178,'2023'!$A15,'Registre de reserves'!$B$2:$B$1178,'2023'!T$2,Tabla1[ANY],'2023'!$Z$2)-SUMIFS('Registre de reserves'!$U$2:$U$1178,'Registre de reserves'!$T$2:$T$1178,"RESERVA",'Registre de reserves'!$I$2:$I$1178,'2023'!$A15,'Registre de reserves'!$B$2:$B$1178,'2023'!T$2,Tabla1[ANY],'2023'!$Z$2)</f>
        <v>0</v>
      </c>
      <c r="U15" s="21">
        <f t="shared" ref="U15:U21" si="25">IF($T$13=0,0,T15/T$13)</f>
        <v>0</v>
      </c>
      <c r="V15" s="20">
        <f>SUMIFS('Registre de reserves'!$P$2:$P$1178,'Registre de reserves'!$T$2:$T$1178,"NO",'Registre de reserves'!$I$2:$I$1178,'2023'!$A15,'Registre de reserves'!$B$2:$B$1178,'2023'!V$2,Tabla1[ANY],'2023'!$Z$2)+SUMIFS('Registre de reserves'!$P$2:$P$1178,'Registre de reserves'!$T$2:$T$1178,"RESERVA",'Registre de reserves'!$I$2:$I$1178,'2023'!$A15,'Registre de reserves'!$B$2:$B$1178,'2023'!V$2,Tabla1[ANY],'2023'!$Z$2)-SUMIFS('Registre de reserves'!$U$2:$U$1178,'Registre de reserves'!$T$2:$T$1178,"RESERVA",'Registre de reserves'!$I$2:$I$1178,'2023'!$A15,'Registre de reserves'!$B$2:$B$1178,'2023'!V$2,Tabla1[ANY],'2023'!$Z$2)</f>
        <v>0</v>
      </c>
      <c r="W15" s="21">
        <f t="shared" ref="W15:W21" si="26">IF($V$13=0,0,V15/V$13)</f>
        <v>0</v>
      </c>
      <c r="X15" s="20">
        <f>SUMIFS('Registre de reserves'!$P$2:$P$1178,'Registre de reserves'!$T$2:$T$1178,"NO",'Registre de reserves'!$I$2:$I$1178,'2023'!$A15,'Registre de reserves'!$B$2:$B$1178,'2023'!X$2,Tabla1[ANY],'2023'!$Z$2)+SUMIFS('Registre de reserves'!$P$2:$P$1178,'Registre de reserves'!$T$2:$T$1178,"RESERVA",'Registre de reserves'!$I$2:$I$1178,'2023'!$A15,'Registre de reserves'!$B$2:$B$1178,'2023'!X$2,Tabla1[ANY],'2023'!$Z$2)-SUMIFS('Registre de reserves'!$U$2:$U$1178,'Registre de reserves'!$T$2:$T$1178,"RESERVA",'Registre de reserves'!$I$2:$I$1178,'2023'!$A15,'Registre de reserves'!$B$2:$B$1178,'2023'!X$2,Tabla1[ANY],'2023'!$Z$2)</f>
        <v>0</v>
      </c>
      <c r="Y15" s="21">
        <f t="shared" ref="Y15:Y21" si="27">IF($X$13=0,0,X15/X$13)</f>
        <v>0</v>
      </c>
      <c r="Z15" s="20">
        <f t="shared" ref="Z15:Z21" si="28">B15+D15+F15+H15+J15+L15+N15+P15+R15+T15+V15+X15</f>
        <v>0</v>
      </c>
      <c r="AA15" s="21">
        <f t="shared" ref="AA15:AA21" si="29">IF($Z$13=0,0,Z15/Z$13)</f>
        <v>0</v>
      </c>
      <c r="AB15" s="178">
        <f t="shared" si="2"/>
        <v>0</v>
      </c>
    </row>
    <row r="16" spans="1:28" hidden="1" outlineLevel="1" x14ac:dyDescent="0.2">
      <c r="A16" s="8" t="s">
        <v>4</v>
      </c>
      <c r="B16" s="20">
        <f>SUMIFS('Registre de reserves'!$P$2:$P$1178,'Registre de reserves'!$T$2:$T$1178,"NO",'Registre de reserves'!$I$2:$I$1178,'2023'!$A16,'Registre de reserves'!$B$2:$B$1178,'2023'!B$2,Tabla1[ANY],'2023'!$Z$2)+SUMIFS('Registre de reserves'!$P$2:$P$1178,'Registre de reserves'!$T$2:$T$1178,"RESERVA",'Registre de reserves'!$I$2:$I$1178,'2023'!$A16,'Registre de reserves'!$B$2:$B$1178,'2023'!B$2,Tabla1[ANY],'2023'!$Z$2)-SUMIFS('Registre de reserves'!$U$2:$U$1178,'Registre de reserves'!$T$2:$T$1178,"RESERVA",'Registre de reserves'!$I$2:$I$1178,'2023'!$A16,'Registre de reserves'!$B$2:$B$1178,'2023'!B$2,Tabla1[ANY],'2023'!$Z$2)</f>
        <v>0</v>
      </c>
      <c r="C16" s="21">
        <f t="shared" si="16"/>
        <v>0</v>
      </c>
      <c r="D16" s="20">
        <f>SUMIFS('Registre de reserves'!$P$2:$P$1178,'Registre de reserves'!$T$2:$T$1178,"NO",'Registre de reserves'!$I$2:$I$1178,'2023'!$A16,'Registre de reserves'!$B$2:$B$1178,'2023'!D$2,Tabla1[ANY],'2023'!$Z$2)+SUMIFS('Registre de reserves'!$P$2:$P$1178,'Registre de reserves'!$T$2:$T$1178,"RESERVA",'Registre de reserves'!$I$2:$I$1178,'2023'!$A16,'Registre de reserves'!$B$2:$B$1178,'2023'!D$2,Tabla1[ANY],'2023'!$Z$2)-SUMIFS('Registre de reserves'!$U$2:$U$1178,'Registre de reserves'!$T$2:$T$1178,"RESERVA",'Registre de reserves'!$I$2:$I$1178,'2023'!$A16,'Registre de reserves'!$B$2:$B$1178,'2023'!D$2,Tabla1[ANY],'2023'!$Z$2)</f>
        <v>0</v>
      </c>
      <c r="E16" s="21">
        <f t="shared" si="17"/>
        <v>0</v>
      </c>
      <c r="F16" s="20">
        <f>SUMIFS('Registre de reserves'!$P$2:$P$1178,'Registre de reserves'!$T$2:$T$1178,"NO",'Registre de reserves'!$I$2:$I$1178,'2023'!$A16,'Registre de reserves'!$B$2:$B$1178,'2023'!F$2,Tabla1[ANY],'2023'!$Z$2)+SUMIFS('Registre de reserves'!$P$2:$P$1178,'Registre de reserves'!$T$2:$T$1178,"RESERVA",'Registre de reserves'!$I$2:$I$1178,'2023'!$A16,'Registre de reserves'!$B$2:$B$1178,'2023'!F$2,Tabla1[ANY],'2023'!$Z$2)-SUMIFS('Registre de reserves'!$U$2:$U$1178,'Registre de reserves'!$T$2:$T$1178,"RESERVA",'Registre de reserves'!$I$2:$I$1178,'2023'!$A16,'Registre de reserves'!$B$2:$B$1178,'2023'!F$2,Tabla1[ANY],'2023'!$Z$2)</f>
        <v>0</v>
      </c>
      <c r="G16" s="21">
        <f t="shared" si="18"/>
        <v>0</v>
      </c>
      <c r="H16" s="20">
        <f>SUMIFS('Registre de reserves'!$P$2:$P$1178,'Registre de reserves'!$T$2:$T$1178,"NO",'Registre de reserves'!$I$2:$I$1178,'2023'!$A16,'Registre de reserves'!$B$2:$B$1178,'2023'!H$2,Tabla1[ANY],'2023'!$Z$2)+SUMIFS('Registre de reserves'!$P$2:$P$1178,'Registre de reserves'!$T$2:$T$1178,"RESERVA",'Registre de reserves'!$I$2:$I$1178,'2023'!$A16,'Registre de reserves'!$B$2:$B$1178,'2023'!H$2,Tabla1[ANY],'2023'!$Z$2)-SUMIFS('Registre de reserves'!$U$2:$U$1178,'Registre de reserves'!$T$2:$T$1178,"RESERVA",'Registre de reserves'!$I$2:$I$1178,'2023'!$A16,'Registre de reserves'!$B$2:$B$1178,'2023'!H$2,Tabla1[ANY],'2023'!$Z$2)</f>
        <v>0</v>
      </c>
      <c r="I16" s="21">
        <f t="shared" si="19"/>
        <v>0</v>
      </c>
      <c r="J16" s="20">
        <f>SUMIFS('Registre de reserves'!$P$2:$P$1178,'Registre de reserves'!$T$2:$T$1178,"NO",'Registre de reserves'!$I$2:$I$1178,'2023'!$A16,'Registre de reserves'!$B$2:$B$1178,'2023'!J$2,Tabla1[ANY],'2023'!$Z$2)+SUMIFS('Registre de reserves'!$P$2:$P$1178,'Registre de reserves'!$T$2:$T$1178,"RESERVA",'Registre de reserves'!$I$2:$I$1178,'2023'!$A16,'Registre de reserves'!$B$2:$B$1178,'2023'!J$2,Tabla1[ANY],'2023'!$Z$2)-SUMIFS('Registre de reserves'!$U$2:$U$1178,'Registre de reserves'!$T$2:$T$1178,"RESERVA",'Registre de reserves'!$I$2:$I$1178,'2023'!$A16,'Registre de reserves'!$B$2:$B$1178,'2023'!J$2,Tabla1[ANY],'2023'!$Z$2)</f>
        <v>0</v>
      </c>
      <c r="K16" s="21">
        <f t="shared" si="20"/>
        <v>0</v>
      </c>
      <c r="L16" s="20">
        <f>SUMIFS('Registre de reserves'!$P$2:$P$1178,'Registre de reserves'!$T$2:$T$1178,"NO",'Registre de reserves'!$I$2:$I$1178,'2023'!$A16,'Registre de reserves'!$B$2:$B$1178,'2023'!L$2,Tabla1[ANY],'2023'!$Z$2)+SUMIFS('Registre de reserves'!$P$2:$P$1178,'Registre de reserves'!$T$2:$T$1178,"RESERVA",'Registre de reserves'!$I$2:$I$1178,'2023'!$A16,'Registre de reserves'!$B$2:$B$1178,'2023'!L$2,Tabla1[ANY],'2023'!$Z$2)-SUMIFS('Registre de reserves'!$U$2:$U$1178,'Registre de reserves'!$T$2:$T$1178,"RESERVA",'Registre de reserves'!$I$2:$I$1178,'2023'!$A16,'Registre de reserves'!$B$2:$B$1178,'2023'!L$2,Tabla1[ANY],'2023'!$Z$2)</f>
        <v>0</v>
      </c>
      <c r="M16" s="21">
        <f t="shared" si="21"/>
        <v>0</v>
      </c>
      <c r="N16" s="20">
        <f>SUMIFS('Registre de reserves'!$P$2:$P$1178,'Registre de reserves'!$T$2:$T$1178,"NO",'Registre de reserves'!$I$2:$I$1178,'2023'!$A16,'Registre de reserves'!$B$2:$B$1178,'2023'!N$2,Tabla1[ANY],'2023'!$Z$2)+SUMIFS('Registre de reserves'!$P$2:$P$1178,'Registre de reserves'!$T$2:$T$1178,"RESERVA",'Registre de reserves'!$I$2:$I$1178,'2023'!$A16,'Registre de reserves'!$B$2:$B$1178,'2023'!N$2,Tabla1[ANY],'2023'!$Z$2)-SUMIFS('Registre de reserves'!$U$2:$U$1178,'Registre de reserves'!$T$2:$T$1178,"RESERVA",'Registre de reserves'!$I$2:$I$1178,'2023'!$A16,'Registre de reserves'!$B$2:$B$1178,'2023'!N$2,Tabla1[ANY],'2023'!$Z$2)</f>
        <v>0</v>
      </c>
      <c r="O16" s="21">
        <f t="shared" si="22"/>
        <v>0</v>
      </c>
      <c r="P16" s="20">
        <f>SUMIFS('Registre de reserves'!$P$2:$P$1178,'Registre de reserves'!$T$2:$T$1178,"NO",'Registre de reserves'!$I$2:$I$1178,'2023'!$A16,'Registre de reserves'!$B$2:$B$1178,'2023'!P$2,Tabla1[ANY],'2023'!$Z$2)+SUMIFS('Registre de reserves'!$P$2:$P$1178,'Registre de reserves'!$T$2:$T$1178,"RESERVA",'Registre de reserves'!$I$2:$I$1178,'2023'!$A16,'Registre de reserves'!$B$2:$B$1178,'2023'!P$2,Tabla1[ANY],'2023'!$Z$2)-SUMIFS('Registre de reserves'!$U$2:$U$1178,'Registre de reserves'!$T$2:$T$1178,"RESERVA",'Registre de reserves'!$I$2:$I$1178,'2023'!$A16,'Registre de reserves'!$B$2:$B$1178,'2023'!P$2,Tabla1[ANY],'2023'!$Z$2)</f>
        <v>0</v>
      </c>
      <c r="Q16" s="21">
        <f t="shared" si="23"/>
        <v>0</v>
      </c>
      <c r="R16" s="20">
        <f>SUMIFS('Registre de reserves'!$P$2:$P$1178,'Registre de reserves'!$T$2:$T$1178,"NO",'Registre de reserves'!$I$2:$I$1178,'2023'!$A16,'Registre de reserves'!$B$2:$B$1178,'2023'!R$2,Tabla1[ANY],'2023'!$Z$2)+SUMIFS('Registre de reserves'!$P$2:$P$1178,'Registre de reserves'!$T$2:$T$1178,"RESERVA",'Registre de reserves'!$I$2:$I$1178,'2023'!$A16,'Registre de reserves'!$B$2:$B$1178,'2023'!R$2,Tabla1[ANY],'2023'!$Z$2)-SUMIFS('Registre de reserves'!$U$2:$U$1178,'Registre de reserves'!$T$2:$T$1178,"RESERVA",'Registre de reserves'!$I$2:$I$1178,'2023'!$A16,'Registre de reserves'!$B$2:$B$1178,'2023'!R$2,Tabla1[ANY],'2023'!$Z$2)</f>
        <v>0</v>
      </c>
      <c r="S16" s="21">
        <f t="shared" si="24"/>
        <v>0</v>
      </c>
      <c r="T16" s="20">
        <f>SUMIFS('Registre de reserves'!$P$2:$P$1178,'Registre de reserves'!$T$2:$T$1178,"NO",'Registre de reserves'!$I$2:$I$1178,'2023'!$A16,'Registre de reserves'!$B$2:$B$1178,'2023'!T$2,Tabla1[ANY],'2023'!$Z$2)+SUMIFS('Registre de reserves'!$P$2:$P$1178,'Registre de reserves'!$T$2:$T$1178,"RESERVA",'Registre de reserves'!$I$2:$I$1178,'2023'!$A16,'Registre de reserves'!$B$2:$B$1178,'2023'!T$2,Tabla1[ANY],'2023'!$Z$2)-SUMIFS('Registre de reserves'!$U$2:$U$1178,'Registre de reserves'!$T$2:$T$1178,"RESERVA",'Registre de reserves'!$I$2:$I$1178,'2023'!$A16,'Registre de reserves'!$B$2:$B$1178,'2023'!T$2,Tabla1[ANY],'2023'!$Z$2)</f>
        <v>0</v>
      </c>
      <c r="U16" s="21">
        <f t="shared" si="25"/>
        <v>0</v>
      </c>
      <c r="V16" s="20">
        <f>SUMIFS('Registre de reserves'!$P$2:$P$1178,'Registre de reserves'!$T$2:$T$1178,"NO",'Registre de reserves'!$I$2:$I$1178,'2023'!$A16,'Registre de reserves'!$B$2:$B$1178,'2023'!V$2,Tabla1[ANY],'2023'!$Z$2)+SUMIFS('Registre de reserves'!$P$2:$P$1178,'Registre de reserves'!$T$2:$T$1178,"RESERVA",'Registre de reserves'!$I$2:$I$1178,'2023'!$A16,'Registre de reserves'!$B$2:$B$1178,'2023'!V$2,Tabla1[ANY],'2023'!$Z$2)-SUMIFS('Registre de reserves'!$U$2:$U$1178,'Registre de reserves'!$T$2:$T$1178,"RESERVA",'Registre de reserves'!$I$2:$I$1178,'2023'!$A16,'Registre de reserves'!$B$2:$B$1178,'2023'!V$2,Tabla1[ANY],'2023'!$Z$2)</f>
        <v>0</v>
      </c>
      <c r="W16" s="21">
        <f t="shared" si="26"/>
        <v>0</v>
      </c>
      <c r="X16" s="20">
        <f>SUMIFS('Registre de reserves'!$P$2:$P$1178,'Registre de reserves'!$T$2:$T$1178,"NO",'Registre de reserves'!$I$2:$I$1178,'2023'!$A16,'Registre de reserves'!$B$2:$B$1178,'2023'!X$2,Tabla1[ANY],'2023'!$Z$2)+SUMIFS('Registre de reserves'!$P$2:$P$1178,'Registre de reserves'!$T$2:$T$1178,"RESERVA",'Registre de reserves'!$I$2:$I$1178,'2023'!$A16,'Registre de reserves'!$B$2:$B$1178,'2023'!X$2,Tabla1[ANY],'2023'!$Z$2)-SUMIFS('Registre de reserves'!$U$2:$U$1178,'Registre de reserves'!$T$2:$T$1178,"RESERVA",'Registre de reserves'!$I$2:$I$1178,'2023'!$A16,'Registre de reserves'!$B$2:$B$1178,'2023'!X$2,Tabla1[ANY],'2023'!$Z$2)</f>
        <v>0</v>
      </c>
      <c r="Y16" s="21">
        <f t="shared" si="27"/>
        <v>0</v>
      </c>
      <c r="Z16" s="20">
        <f t="shared" si="28"/>
        <v>0</v>
      </c>
      <c r="AA16" s="21">
        <f t="shared" si="29"/>
        <v>0</v>
      </c>
      <c r="AB16" s="178">
        <f t="shared" si="2"/>
        <v>0</v>
      </c>
    </row>
    <row r="17" spans="1:28" hidden="1" outlineLevel="1" x14ac:dyDescent="0.2">
      <c r="A17" s="8" t="s">
        <v>71</v>
      </c>
      <c r="B17" s="20">
        <f>SUMIFS('Registre de reserves'!$P$2:$P$1178,'Registre de reserves'!$T$2:$T$1178,"NO",'Registre de reserves'!$I$2:$I$1178,'2023'!$A17,'Registre de reserves'!$B$2:$B$1178,'2023'!B$2,Tabla1[ANY],'2023'!$Z$2)+SUMIFS('Registre de reserves'!$P$2:$P$1178,'Registre de reserves'!$T$2:$T$1178,"RESERVA",'Registre de reserves'!$I$2:$I$1178,'2023'!$A17,'Registre de reserves'!$B$2:$B$1178,'2023'!B$2,Tabla1[ANY],'2023'!$Z$2)-SUMIFS('Registre de reserves'!$U$2:$U$1178,'Registre de reserves'!$T$2:$T$1178,"RESERVA",'Registre de reserves'!$I$2:$I$1178,'2023'!$A17,'Registre de reserves'!$B$2:$B$1178,'2023'!B$2,Tabla1[ANY],'2023'!$Z$2)</f>
        <v>0</v>
      </c>
      <c r="C17" s="21">
        <f t="shared" si="16"/>
        <v>0</v>
      </c>
      <c r="D17" s="20">
        <f>SUMIFS('Registre de reserves'!$P$2:$P$1178,'Registre de reserves'!$T$2:$T$1178,"NO",'Registre de reserves'!$I$2:$I$1178,'2023'!$A17,'Registre de reserves'!$B$2:$B$1178,'2023'!D$2,Tabla1[ANY],'2023'!$Z$2)+SUMIFS('Registre de reserves'!$P$2:$P$1178,'Registre de reserves'!$T$2:$T$1178,"RESERVA",'Registre de reserves'!$I$2:$I$1178,'2023'!$A17,'Registre de reserves'!$B$2:$B$1178,'2023'!D$2,Tabla1[ANY],'2023'!$Z$2)-SUMIFS('Registre de reserves'!$U$2:$U$1178,'Registre de reserves'!$T$2:$T$1178,"RESERVA",'Registre de reserves'!$I$2:$I$1178,'2023'!$A17,'Registre de reserves'!$B$2:$B$1178,'2023'!D$2,Tabla1[ANY],'2023'!$Z$2)</f>
        <v>0</v>
      </c>
      <c r="E17" s="21">
        <f t="shared" si="17"/>
        <v>0</v>
      </c>
      <c r="F17" s="20">
        <f>SUMIFS('Registre de reserves'!$P$2:$P$1178,'Registre de reserves'!$T$2:$T$1178,"NO",'Registre de reserves'!$I$2:$I$1178,'2023'!$A17,'Registre de reserves'!$B$2:$B$1178,'2023'!F$2,Tabla1[ANY],'2023'!$Z$2)+SUMIFS('Registre de reserves'!$P$2:$P$1178,'Registre de reserves'!$T$2:$T$1178,"RESERVA",'Registre de reserves'!$I$2:$I$1178,'2023'!$A17,'Registre de reserves'!$B$2:$B$1178,'2023'!F$2,Tabla1[ANY],'2023'!$Z$2)-SUMIFS('Registre de reserves'!$U$2:$U$1178,'Registre de reserves'!$T$2:$T$1178,"RESERVA",'Registre de reserves'!$I$2:$I$1178,'2023'!$A17,'Registre de reserves'!$B$2:$B$1178,'2023'!F$2,Tabla1[ANY],'2023'!$Z$2)</f>
        <v>0</v>
      </c>
      <c r="G17" s="21">
        <f t="shared" si="18"/>
        <v>0</v>
      </c>
      <c r="H17" s="20">
        <f>SUMIFS('Registre de reserves'!$P$2:$P$1178,'Registre de reserves'!$T$2:$T$1178,"NO",'Registre de reserves'!$I$2:$I$1178,'2023'!$A17,'Registre de reserves'!$B$2:$B$1178,'2023'!H$2,Tabla1[ANY],'2023'!$Z$2)+SUMIFS('Registre de reserves'!$P$2:$P$1178,'Registre de reserves'!$T$2:$T$1178,"RESERVA",'Registre de reserves'!$I$2:$I$1178,'2023'!$A17,'Registre de reserves'!$B$2:$B$1178,'2023'!H$2,Tabla1[ANY],'2023'!$Z$2)-SUMIFS('Registre de reserves'!$U$2:$U$1178,'Registre de reserves'!$T$2:$T$1178,"RESERVA",'Registre de reserves'!$I$2:$I$1178,'2023'!$A17,'Registre de reserves'!$B$2:$B$1178,'2023'!H$2,Tabla1[ANY],'2023'!$Z$2)</f>
        <v>0</v>
      </c>
      <c r="I17" s="21">
        <f t="shared" si="19"/>
        <v>0</v>
      </c>
      <c r="J17" s="20">
        <f>SUMIFS('Registre de reserves'!$P$2:$P$1178,'Registre de reserves'!$T$2:$T$1178,"NO",'Registre de reserves'!$I$2:$I$1178,'2023'!$A17,'Registre de reserves'!$B$2:$B$1178,'2023'!J$2,Tabla1[ANY],'2023'!$Z$2)+SUMIFS('Registre de reserves'!$P$2:$P$1178,'Registre de reserves'!$T$2:$T$1178,"RESERVA",'Registre de reserves'!$I$2:$I$1178,'2023'!$A17,'Registre de reserves'!$B$2:$B$1178,'2023'!J$2,Tabla1[ANY],'2023'!$Z$2)-SUMIFS('Registre de reserves'!$U$2:$U$1178,'Registre de reserves'!$T$2:$T$1178,"RESERVA",'Registre de reserves'!$I$2:$I$1178,'2023'!$A17,'Registre de reserves'!$B$2:$B$1178,'2023'!J$2,Tabla1[ANY],'2023'!$Z$2)</f>
        <v>0</v>
      </c>
      <c r="K17" s="21">
        <f t="shared" si="20"/>
        <v>0</v>
      </c>
      <c r="L17" s="20">
        <f>SUMIFS('Registre de reserves'!$P$2:$P$1178,'Registre de reserves'!$T$2:$T$1178,"NO",'Registre de reserves'!$I$2:$I$1178,'2023'!$A17,'Registre de reserves'!$B$2:$B$1178,'2023'!L$2,Tabla1[ANY],'2023'!$Z$2)+SUMIFS('Registre de reserves'!$P$2:$P$1178,'Registre de reserves'!$T$2:$T$1178,"RESERVA",'Registre de reserves'!$I$2:$I$1178,'2023'!$A17,'Registre de reserves'!$B$2:$B$1178,'2023'!L$2,Tabla1[ANY],'2023'!$Z$2)-SUMIFS('Registre de reserves'!$U$2:$U$1178,'Registre de reserves'!$T$2:$T$1178,"RESERVA",'Registre de reserves'!$I$2:$I$1178,'2023'!$A17,'Registre de reserves'!$B$2:$B$1178,'2023'!L$2,Tabla1[ANY],'2023'!$Z$2)</f>
        <v>0</v>
      </c>
      <c r="M17" s="21">
        <f t="shared" si="21"/>
        <v>0</v>
      </c>
      <c r="N17" s="20">
        <f>SUMIFS('Registre de reserves'!$P$2:$P$1178,'Registre de reserves'!$T$2:$T$1178,"NO",'Registre de reserves'!$I$2:$I$1178,'2023'!$A17,'Registre de reserves'!$B$2:$B$1178,'2023'!N$2,Tabla1[ANY],'2023'!$Z$2)+SUMIFS('Registre de reserves'!$P$2:$P$1178,'Registre de reserves'!$T$2:$T$1178,"RESERVA",'Registre de reserves'!$I$2:$I$1178,'2023'!$A17,'Registre de reserves'!$B$2:$B$1178,'2023'!N$2,Tabla1[ANY],'2023'!$Z$2)-SUMIFS('Registre de reserves'!$U$2:$U$1178,'Registre de reserves'!$T$2:$T$1178,"RESERVA",'Registre de reserves'!$I$2:$I$1178,'2023'!$A17,'Registre de reserves'!$B$2:$B$1178,'2023'!N$2,Tabla1[ANY],'2023'!$Z$2)</f>
        <v>0</v>
      </c>
      <c r="O17" s="21">
        <f t="shared" si="22"/>
        <v>0</v>
      </c>
      <c r="P17" s="20">
        <f>SUMIFS('Registre de reserves'!$P$2:$P$1178,'Registre de reserves'!$T$2:$T$1178,"NO",'Registre de reserves'!$I$2:$I$1178,'2023'!$A17,'Registre de reserves'!$B$2:$B$1178,'2023'!P$2,Tabla1[ANY],'2023'!$Z$2)+SUMIFS('Registre de reserves'!$P$2:$P$1178,'Registre de reserves'!$T$2:$T$1178,"RESERVA",'Registre de reserves'!$I$2:$I$1178,'2023'!$A17,'Registre de reserves'!$B$2:$B$1178,'2023'!P$2,Tabla1[ANY],'2023'!$Z$2)-SUMIFS('Registre de reserves'!$U$2:$U$1178,'Registre de reserves'!$T$2:$T$1178,"RESERVA",'Registre de reserves'!$I$2:$I$1178,'2023'!$A17,'Registre de reserves'!$B$2:$B$1178,'2023'!P$2,Tabla1[ANY],'2023'!$Z$2)</f>
        <v>0</v>
      </c>
      <c r="Q17" s="21">
        <f t="shared" si="23"/>
        <v>0</v>
      </c>
      <c r="R17" s="20">
        <f>SUMIFS('Registre de reserves'!$P$2:$P$1178,'Registre de reserves'!$T$2:$T$1178,"NO",'Registre de reserves'!$I$2:$I$1178,'2023'!$A17,'Registre de reserves'!$B$2:$B$1178,'2023'!R$2,Tabla1[ANY],'2023'!$Z$2)+SUMIFS('Registre de reserves'!$P$2:$P$1178,'Registre de reserves'!$T$2:$T$1178,"RESERVA",'Registre de reserves'!$I$2:$I$1178,'2023'!$A17,'Registre de reserves'!$B$2:$B$1178,'2023'!R$2,Tabla1[ANY],'2023'!$Z$2)-SUMIFS('Registre de reserves'!$U$2:$U$1178,'Registre de reserves'!$T$2:$T$1178,"RESERVA",'Registre de reserves'!$I$2:$I$1178,'2023'!$A17,'Registre de reserves'!$B$2:$B$1178,'2023'!R$2,Tabla1[ANY],'2023'!$Z$2)</f>
        <v>0</v>
      </c>
      <c r="S17" s="21">
        <f t="shared" si="24"/>
        <v>0</v>
      </c>
      <c r="T17" s="20">
        <f>SUMIFS('Registre de reserves'!$P$2:$P$1178,'Registre de reserves'!$T$2:$T$1178,"NO",'Registre de reserves'!$I$2:$I$1178,'2023'!$A17,'Registre de reserves'!$B$2:$B$1178,'2023'!T$2,Tabla1[ANY],'2023'!$Z$2)+SUMIFS('Registre de reserves'!$P$2:$P$1178,'Registre de reserves'!$T$2:$T$1178,"RESERVA",'Registre de reserves'!$I$2:$I$1178,'2023'!$A17,'Registre de reserves'!$B$2:$B$1178,'2023'!T$2,Tabla1[ANY],'2023'!$Z$2)-SUMIFS('Registre de reserves'!$U$2:$U$1178,'Registre de reserves'!$T$2:$T$1178,"RESERVA",'Registre de reserves'!$I$2:$I$1178,'2023'!$A17,'Registre de reserves'!$B$2:$B$1178,'2023'!T$2,Tabla1[ANY],'2023'!$Z$2)</f>
        <v>0</v>
      </c>
      <c r="U17" s="21">
        <f t="shared" si="25"/>
        <v>0</v>
      </c>
      <c r="V17" s="20">
        <f>SUMIFS('Registre de reserves'!$P$2:$P$1178,'Registre de reserves'!$T$2:$T$1178,"NO",'Registre de reserves'!$I$2:$I$1178,'2023'!$A17,'Registre de reserves'!$B$2:$B$1178,'2023'!V$2,Tabla1[ANY],'2023'!$Z$2)+SUMIFS('Registre de reserves'!$P$2:$P$1178,'Registre de reserves'!$T$2:$T$1178,"RESERVA",'Registre de reserves'!$I$2:$I$1178,'2023'!$A17,'Registre de reserves'!$B$2:$B$1178,'2023'!V$2,Tabla1[ANY],'2023'!$Z$2)-SUMIFS('Registre de reserves'!$U$2:$U$1178,'Registre de reserves'!$T$2:$T$1178,"RESERVA",'Registre de reserves'!$I$2:$I$1178,'2023'!$A17,'Registre de reserves'!$B$2:$B$1178,'2023'!V$2,Tabla1[ANY],'2023'!$Z$2)</f>
        <v>0</v>
      </c>
      <c r="W17" s="21">
        <f t="shared" si="26"/>
        <v>0</v>
      </c>
      <c r="X17" s="20">
        <f>SUMIFS('Registre de reserves'!$P$2:$P$1178,'Registre de reserves'!$T$2:$T$1178,"NO",'Registre de reserves'!$I$2:$I$1178,'2023'!$A17,'Registre de reserves'!$B$2:$B$1178,'2023'!X$2,Tabla1[ANY],'2023'!$Z$2)+SUMIFS('Registre de reserves'!$P$2:$P$1178,'Registre de reserves'!$T$2:$T$1178,"RESERVA",'Registre de reserves'!$I$2:$I$1178,'2023'!$A17,'Registre de reserves'!$B$2:$B$1178,'2023'!X$2,Tabla1[ANY],'2023'!$Z$2)-SUMIFS('Registre de reserves'!$U$2:$U$1178,'Registre de reserves'!$T$2:$T$1178,"RESERVA",'Registre de reserves'!$I$2:$I$1178,'2023'!$A17,'Registre de reserves'!$B$2:$B$1178,'2023'!X$2,Tabla1[ANY],'2023'!$Z$2)</f>
        <v>0</v>
      </c>
      <c r="Y17" s="21">
        <f t="shared" si="27"/>
        <v>0</v>
      </c>
      <c r="Z17" s="20">
        <f t="shared" si="28"/>
        <v>0</v>
      </c>
      <c r="AA17" s="21">
        <f t="shared" si="29"/>
        <v>0</v>
      </c>
      <c r="AB17" s="178">
        <f t="shared" si="2"/>
        <v>0</v>
      </c>
    </row>
    <row r="18" spans="1:28" hidden="1" outlineLevel="1" x14ac:dyDescent="0.2">
      <c r="A18" s="8" t="s">
        <v>72</v>
      </c>
      <c r="B18" s="20">
        <f>SUMIFS('Registre de reserves'!$P$2:$P$1178,'Registre de reserves'!$T$2:$T$1178,"NO",'Registre de reserves'!$I$2:$I$1178,'2023'!$A18,'Registre de reserves'!$B$2:$B$1178,'2023'!B$2,Tabla1[ANY],'2023'!$Z$2)+SUMIFS('Registre de reserves'!$P$2:$P$1178,'Registre de reserves'!$T$2:$T$1178,"RESERVA",'Registre de reserves'!$I$2:$I$1178,'2023'!$A18,'Registre de reserves'!$B$2:$B$1178,'2023'!B$2,Tabla1[ANY],'2023'!$Z$2)-SUMIFS('Registre de reserves'!$U$2:$U$1178,'Registre de reserves'!$T$2:$T$1178,"RESERVA",'Registre de reserves'!$I$2:$I$1178,'2023'!$A18,'Registre de reserves'!$B$2:$B$1178,'2023'!B$2,Tabla1[ANY],'2023'!$Z$2)</f>
        <v>0</v>
      </c>
      <c r="C18" s="21">
        <f t="shared" si="16"/>
        <v>0</v>
      </c>
      <c r="D18" s="20">
        <f>SUMIFS('Registre de reserves'!$P$2:$P$1178,'Registre de reserves'!$T$2:$T$1178,"NO",'Registre de reserves'!$I$2:$I$1178,'2023'!$A18,'Registre de reserves'!$B$2:$B$1178,'2023'!D$2,Tabla1[ANY],'2023'!$Z$2)+SUMIFS('Registre de reserves'!$P$2:$P$1178,'Registre de reserves'!$T$2:$T$1178,"RESERVA",'Registre de reserves'!$I$2:$I$1178,'2023'!$A18,'Registre de reserves'!$B$2:$B$1178,'2023'!D$2,Tabla1[ANY],'2023'!$Z$2)-SUMIFS('Registre de reserves'!$U$2:$U$1178,'Registre de reserves'!$T$2:$T$1178,"RESERVA",'Registre de reserves'!$I$2:$I$1178,'2023'!$A18,'Registre de reserves'!$B$2:$B$1178,'2023'!D$2,Tabla1[ANY],'2023'!$Z$2)</f>
        <v>0</v>
      </c>
      <c r="E18" s="21">
        <f t="shared" si="17"/>
        <v>0</v>
      </c>
      <c r="F18" s="20">
        <f>SUMIFS('Registre de reserves'!$P$2:$P$1178,'Registre de reserves'!$T$2:$T$1178,"NO",'Registre de reserves'!$I$2:$I$1178,'2023'!$A18,'Registre de reserves'!$B$2:$B$1178,'2023'!F$2,Tabla1[ANY],'2023'!$Z$2)+SUMIFS('Registre de reserves'!$P$2:$P$1178,'Registre de reserves'!$T$2:$T$1178,"RESERVA",'Registre de reserves'!$I$2:$I$1178,'2023'!$A18,'Registre de reserves'!$B$2:$B$1178,'2023'!F$2,Tabla1[ANY],'2023'!$Z$2)-SUMIFS('Registre de reserves'!$U$2:$U$1178,'Registre de reserves'!$T$2:$T$1178,"RESERVA",'Registre de reserves'!$I$2:$I$1178,'2023'!$A18,'Registre de reserves'!$B$2:$B$1178,'2023'!F$2,Tabla1[ANY],'2023'!$Z$2)</f>
        <v>0</v>
      </c>
      <c r="G18" s="21">
        <f t="shared" si="18"/>
        <v>0</v>
      </c>
      <c r="H18" s="20">
        <f>SUMIFS('Registre de reserves'!$P$2:$P$1178,'Registre de reserves'!$T$2:$T$1178,"NO",'Registre de reserves'!$I$2:$I$1178,'2023'!$A18,'Registre de reserves'!$B$2:$B$1178,'2023'!H$2,Tabla1[ANY],'2023'!$Z$2)+SUMIFS('Registre de reserves'!$P$2:$P$1178,'Registre de reserves'!$T$2:$T$1178,"RESERVA",'Registre de reserves'!$I$2:$I$1178,'2023'!$A18,'Registre de reserves'!$B$2:$B$1178,'2023'!H$2,Tabla1[ANY],'2023'!$Z$2)-SUMIFS('Registre de reserves'!$U$2:$U$1178,'Registre de reserves'!$T$2:$T$1178,"RESERVA",'Registre de reserves'!$I$2:$I$1178,'2023'!$A18,'Registre de reserves'!$B$2:$B$1178,'2023'!H$2,Tabla1[ANY],'2023'!$Z$2)</f>
        <v>0</v>
      </c>
      <c r="I18" s="21">
        <f t="shared" si="19"/>
        <v>0</v>
      </c>
      <c r="J18" s="20">
        <f>SUMIFS('Registre de reserves'!$P$2:$P$1178,'Registre de reserves'!$T$2:$T$1178,"NO",'Registre de reserves'!$I$2:$I$1178,'2023'!$A18,'Registre de reserves'!$B$2:$B$1178,'2023'!J$2,Tabla1[ANY],'2023'!$Z$2)+SUMIFS('Registre de reserves'!$P$2:$P$1178,'Registre de reserves'!$T$2:$T$1178,"RESERVA",'Registre de reserves'!$I$2:$I$1178,'2023'!$A18,'Registre de reserves'!$B$2:$B$1178,'2023'!J$2,Tabla1[ANY],'2023'!$Z$2)-SUMIFS('Registre de reserves'!$U$2:$U$1178,'Registre de reserves'!$T$2:$T$1178,"RESERVA",'Registre de reserves'!$I$2:$I$1178,'2023'!$A18,'Registre de reserves'!$B$2:$B$1178,'2023'!J$2,Tabla1[ANY],'2023'!$Z$2)</f>
        <v>0</v>
      </c>
      <c r="K18" s="21">
        <f t="shared" si="20"/>
        <v>0</v>
      </c>
      <c r="L18" s="20">
        <f>SUMIFS('Registre de reserves'!$P$2:$P$1178,'Registre de reserves'!$T$2:$T$1178,"NO",'Registre de reserves'!$I$2:$I$1178,'2023'!$A18,'Registre de reserves'!$B$2:$B$1178,'2023'!L$2,Tabla1[ANY],'2023'!$Z$2)+SUMIFS('Registre de reserves'!$P$2:$P$1178,'Registre de reserves'!$T$2:$T$1178,"RESERVA",'Registre de reserves'!$I$2:$I$1178,'2023'!$A18,'Registre de reserves'!$B$2:$B$1178,'2023'!L$2,Tabla1[ANY],'2023'!$Z$2)-SUMIFS('Registre de reserves'!$U$2:$U$1178,'Registre de reserves'!$T$2:$T$1178,"RESERVA",'Registre de reserves'!$I$2:$I$1178,'2023'!$A18,'Registre de reserves'!$B$2:$B$1178,'2023'!L$2,Tabla1[ANY],'2023'!$Z$2)</f>
        <v>0</v>
      </c>
      <c r="M18" s="21">
        <f t="shared" si="21"/>
        <v>0</v>
      </c>
      <c r="N18" s="20">
        <f>SUMIFS('Registre de reserves'!$P$2:$P$1178,'Registre de reserves'!$T$2:$T$1178,"NO",'Registre de reserves'!$I$2:$I$1178,'2023'!$A18,'Registre de reserves'!$B$2:$B$1178,'2023'!N$2,Tabla1[ANY],'2023'!$Z$2)+SUMIFS('Registre de reserves'!$P$2:$P$1178,'Registre de reserves'!$T$2:$T$1178,"RESERVA",'Registre de reserves'!$I$2:$I$1178,'2023'!$A18,'Registre de reserves'!$B$2:$B$1178,'2023'!N$2,Tabla1[ANY],'2023'!$Z$2)-SUMIFS('Registre de reserves'!$U$2:$U$1178,'Registre de reserves'!$T$2:$T$1178,"RESERVA",'Registre de reserves'!$I$2:$I$1178,'2023'!$A18,'Registre de reserves'!$B$2:$B$1178,'2023'!N$2,Tabla1[ANY],'2023'!$Z$2)</f>
        <v>0</v>
      </c>
      <c r="O18" s="21">
        <f t="shared" si="22"/>
        <v>0</v>
      </c>
      <c r="P18" s="20">
        <f>SUMIFS('Registre de reserves'!$P$2:$P$1178,'Registre de reserves'!$T$2:$T$1178,"NO",'Registre de reserves'!$I$2:$I$1178,'2023'!$A18,'Registre de reserves'!$B$2:$B$1178,'2023'!P$2,Tabla1[ANY],'2023'!$Z$2)+SUMIFS('Registre de reserves'!$P$2:$P$1178,'Registre de reserves'!$T$2:$T$1178,"RESERVA",'Registre de reserves'!$I$2:$I$1178,'2023'!$A18,'Registre de reserves'!$B$2:$B$1178,'2023'!P$2,Tabla1[ANY],'2023'!$Z$2)-SUMIFS('Registre de reserves'!$U$2:$U$1178,'Registre de reserves'!$T$2:$T$1178,"RESERVA",'Registre de reserves'!$I$2:$I$1178,'2023'!$A18,'Registre de reserves'!$B$2:$B$1178,'2023'!P$2,Tabla1[ANY],'2023'!$Z$2)</f>
        <v>0</v>
      </c>
      <c r="Q18" s="21">
        <f t="shared" si="23"/>
        <v>0</v>
      </c>
      <c r="R18" s="20">
        <f>SUMIFS('Registre de reserves'!$P$2:$P$1178,'Registre de reserves'!$T$2:$T$1178,"NO",'Registre de reserves'!$I$2:$I$1178,'2023'!$A18,'Registre de reserves'!$B$2:$B$1178,'2023'!R$2,Tabla1[ANY],'2023'!$Z$2)+SUMIFS('Registre de reserves'!$P$2:$P$1178,'Registre de reserves'!$T$2:$T$1178,"RESERVA",'Registre de reserves'!$I$2:$I$1178,'2023'!$A18,'Registre de reserves'!$B$2:$B$1178,'2023'!R$2,Tabla1[ANY],'2023'!$Z$2)-SUMIFS('Registre de reserves'!$U$2:$U$1178,'Registre de reserves'!$T$2:$T$1178,"RESERVA",'Registre de reserves'!$I$2:$I$1178,'2023'!$A18,'Registre de reserves'!$B$2:$B$1178,'2023'!R$2,Tabla1[ANY],'2023'!$Z$2)</f>
        <v>0</v>
      </c>
      <c r="S18" s="21">
        <f t="shared" si="24"/>
        <v>0</v>
      </c>
      <c r="T18" s="20">
        <f>SUMIFS('Registre de reserves'!$P$2:$P$1178,'Registre de reserves'!$T$2:$T$1178,"NO",'Registre de reserves'!$I$2:$I$1178,'2023'!$A18,'Registre de reserves'!$B$2:$B$1178,'2023'!T$2,Tabla1[ANY],'2023'!$Z$2)+SUMIFS('Registre de reserves'!$P$2:$P$1178,'Registre de reserves'!$T$2:$T$1178,"RESERVA",'Registre de reserves'!$I$2:$I$1178,'2023'!$A18,'Registre de reserves'!$B$2:$B$1178,'2023'!T$2,Tabla1[ANY],'2023'!$Z$2)-SUMIFS('Registre de reserves'!$U$2:$U$1178,'Registre de reserves'!$T$2:$T$1178,"RESERVA",'Registre de reserves'!$I$2:$I$1178,'2023'!$A18,'Registre de reserves'!$B$2:$B$1178,'2023'!T$2,Tabla1[ANY],'2023'!$Z$2)</f>
        <v>0</v>
      </c>
      <c r="U18" s="21">
        <f t="shared" si="25"/>
        <v>0</v>
      </c>
      <c r="V18" s="20">
        <f>SUMIFS('Registre de reserves'!$P$2:$P$1178,'Registre de reserves'!$T$2:$T$1178,"NO",'Registre de reserves'!$I$2:$I$1178,'2023'!$A18,'Registre de reserves'!$B$2:$B$1178,'2023'!V$2,Tabla1[ANY],'2023'!$Z$2)+SUMIFS('Registre de reserves'!$P$2:$P$1178,'Registre de reserves'!$T$2:$T$1178,"RESERVA",'Registre de reserves'!$I$2:$I$1178,'2023'!$A18,'Registre de reserves'!$B$2:$B$1178,'2023'!V$2,Tabla1[ANY],'2023'!$Z$2)-SUMIFS('Registre de reserves'!$U$2:$U$1178,'Registre de reserves'!$T$2:$T$1178,"RESERVA",'Registre de reserves'!$I$2:$I$1178,'2023'!$A18,'Registre de reserves'!$B$2:$B$1178,'2023'!V$2,Tabla1[ANY],'2023'!$Z$2)</f>
        <v>0</v>
      </c>
      <c r="W18" s="21">
        <f t="shared" si="26"/>
        <v>0</v>
      </c>
      <c r="X18" s="20">
        <f>SUMIFS('Registre de reserves'!$P$2:$P$1178,'Registre de reserves'!$T$2:$T$1178,"NO",'Registre de reserves'!$I$2:$I$1178,'2023'!$A18,'Registre de reserves'!$B$2:$B$1178,'2023'!X$2,Tabla1[ANY],'2023'!$Z$2)+SUMIFS('Registre de reserves'!$P$2:$P$1178,'Registre de reserves'!$T$2:$T$1178,"RESERVA",'Registre de reserves'!$I$2:$I$1178,'2023'!$A18,'Registre de reserves'!$B$2:$B$1178,'2023'!X$2,Tabla1[ANY],'2023'!$Z$2)-SUMIFS('Registre de reserves'!$U$2:$U$1178,'Registre de reserves'!$T$2:$T$1178,"RESERVA",'Registre de reserves'!$I$2:$I$1178,'2023'!$A18,'Registre de reserves'!$B$2:$B$1178,'2023'!X$2,Tabla1[ANY],'2023'!$Z$2)</f>
        <v>0</v>
      </c>
      <c r="Y18" s="21">
        <f t="shared" si="27"/>
        <v>0</v>
      </c>
      <c r="Z18" s="20">
        <f t="shared" si="28"/>
        <v>0</v>
      </c>
      <c r="AA18" s="21">
        <f t="shared" si="29"/>
        <v>0</v>
      </c>
      <c r="AB18" s="178">
        <f t="shared" si="2"/>
        <v>0</v>
      </c>
    </row>
    <row r="19" spans="1:28" hidden="1" outlineLevel="1" x14ac:dyDescent="0.2">
      <c r="A19" s="8" t="s">
        <v>69</v>
      </c>
      <c r="B19" s="20">
        <f>SUMIFS('Registre de reserves'!$P$2:$P$1178,'Registre de reserves'!$T$2:$T$1178,"NO",'Registre de reserves'!$I$2:$I$1178,'2023'!$A19,'Registre de reserves'!$B$2:$B$1178,'2023'!B$2,Tabla1[ANY],'2023'!$Z$2)+SUMIFS('Registre de reserves'!$P$2:$P$1178,'Registre de reserves'!$T$2:$T$1178,"RESERVA",'Registre de reserves'!$I$2:$I$1178,'2023'!$A19,'Registre de reserves'!$B$2:$B$1178,'2023'!B$2,Tabla1[ANY],'2023'!$Z$2)-SUMIFS('Registre de reserves'!$U$2:$U$1178,'Registre de reserves'!$T$2:$T$1178,"RESERVA",'Registre de reserves'!$I$2:$I$1178,'2023'!$A19,'Registre de reserves'!$B$2:$B$1178,'2023'!B$2,Tabla1[ANY],'2023'!$Z$2)</f>
        <v>0</v>
      </c>
      <c r="C19" s="21">
        <f t="shared" si="16"/>
        <v>0</v>
      </c>
      <c r="D19" s="20">
        <f>SUMIFS('Registre de reserves'!$P$2:$P$1178,'Registre de reserves'!$T$2:$T$1178,"NO",'Registre de reserves'!$I$2:$I$1178,'2023'!$A19,'Registre de reserves'!$B$2:$B$1178,'2023'!D$2,Tabla1[ANY],'2023'!$Z$2)+SUMIFS('Registre de reserves'!$P$2:$P$1178,'Registre de reserves'!$T$2:$T$1178,"RESERVA",'Registre de reserves'!$I$2:$I$1178,'2023'!$A19,'Registre de reserves'!$B$2:$B$1178,'2023'!D$2,Tabla1[ANY],'2023'!$Z$2)-SUMIFS('Registre de reserves'!$U$2:$U$1178,'Registre de reserves'!$T$2:$T$1178,"RESERVA",'Registre de reserves'!$I$2:$I$1178,'2023'!$A19,'Registre de reserves'!$B$2:$B$1178,'2023'!D$2,Tabla1[ANY],'2023'!$Z$2)</f>
        <v>0</v>
      </c>
      <c r="E19" s="21">
        <f t="shared" si="17"/>
        <v>0</v>
      </c>
      <c r="F19" s="20">
        <f>SUMIFS('Registre de reserves'!$P$2:$P$1178,'Registre de reserves'!$T$2:$T$1178,"NO",'Registre de reserves'!$I$2:$I$1178,'2023'!$A19,'Registre de reserves'!$B$2:$B$1178,'2023'!F$2,Tabla1[ANY],'2023'!$Z$2)+SUMIFS('Registre de reserves'!$P$2:$P$1178,'Registre de reserves'!$T$2:$T$1178,"RESERVA",'Registre de reserves'!$I$2:$I$1178,'2023'!$A19,'Registre de reserves'!$B$2:$B$1178,'2023'!F$2,Tabla1[ANY],'2023'!$Z$2)-SUMIFS('Registre de reserves'!$U$2:$U$1178,'Registre de reserves'!$T$2:$T$1178,"RESERVA",'Registre de reserves'!$I$2:$I$1178,'2023'!$A19,'Registre de reserves'!$B$2:$B$1178,'2023'!F$2,Tabla1[ANY],'2023'!$Z$2)</f>
        <v>0</v>
      </c>
      <c r="G19" s="21">
        <f t="shared" si="18"/>
        <v>0</v>
      </c>
      <c r="H19" s="20">
        <f>SUMIFS('Registre de reserves'!$P$2:$P$1178,'Registre de reserves'!$T$2:$T$1178,"NO",'Registre de reserves'!$I$2:$I$1178,'2023'!$A19,'Registre de reserves'!$B$2:$B$1178,'2023'!H$2,Tabla1[ANY],'2023'!$Z$2)+SUMIFS('Registre de reserves'!$P$2:$P$1178,'Registre de reserves'!$T$2:$T$1178,"RESERVA",'Registre de reserves'!$I$2:$I$1178,'2023'!$A19,'Registre de reserves'!$B$2:$B$1178,'2023'!H$2,Tabla1[ANY],'2023'!$Z$2)-SUMIFS('Registre de reserves'!$U$2:$U$1178,'Registre de reserves'!$T$2:$T$1178,"RESERVA",'Registre de reserves'!$I$2:$I$1178,'2023'!$A19,'Registre de reserves'!$B$2:$B$1178,'2023'!H$2,Tabla1[ANY],'2023'!$Z$2)</f>
        <v>0</v>
      </c>
      <c r="I19" s="21">
        <f t="shared" si="19"/>
        <v>0</v>
      </c>
      <c r="J19" s="20">
        <f>SUMIFS('Registre de reserves'!$P$2:$P$1178,'Registre de reserves'!$T$2:$T$1178,"NO",'Registre de reserves'!$I$2:$I$1178,'2023'!$A19,'Registre de reserves'!$B$2:$B$1178,'2023'!J$2,Tabla1[ANY],'2023'!$Z$2)+SUMIFS('Registre de reserves'!$P$2:$P$1178,'Registre de reserves'!$T$2:$T$1178,"RESERVA",'Registre de reserves'!$I$2:$I$1178,'2023'!$A19,'Registre de reserves'!$B$2:$B$1178,'2023'!J$2,Tabla1[ANY],'2023'!$Z$2)-SUMIFS('Registre de reserves'!$U$2:$U$1178,'Registre de reserves'!$T$2:$T$1178,"RESERVA",'Registre de reserves'!$I$2:$I$1178,'2023'!$A19,'Registre de reserves'!$B$2:$B$1178,'2023'!J$2,Tabla1[ANY],'2023'!$Z$2)</f>
        <v>0</v>
      </c>
      <c r="K19" s="21">
        <f t="shared" si="20"/>
        <v>0</v>
      </c>
      <c r="L19" s="20">
        <f>SUMIFS('Registre de reserves'!$P$2:$P$1178,'Registre de reserves'!$T$2:$T$1178,"NO",'Registre de reserves'!$I$2:$I$1178,'2023'!$A19,'Registre de reserves'!$B$2:$B$1178,'2023'!L$2,Tabla1[ANY],'2023'!$Z$2)+SUMIFS('Registre de reserves'!$P$2:$P$1178,'Registre de reserves'!$T$2:$T$1178,"RESERVA",'Registre de reserves'!$I$2:$I$1178,'2023'!$A19,'Registre de reserves'!$B$2:$B$1178,'2023'!L$2,Tabla1[ANY],'2023'!$Z$2)-SUMIFS('Registre de reserves'!$U$2:$U$1178,'Registre de reserves'!$T$2:$T$1178,"RESERVA",'Registre de reserves'!$I$2:$I$1178,'2023'!$A19,'Registre de reserves'!$B$2:$B$1178,'2023'!L$2,Tabla1[ANY],'2023'!$Z$2)</f>
        <v>0</v>
      </c>
      <c r="M19" s="21">
        <f t="shared" si="21"/>
        <v>0</v>
      </c>
      <c r="N19" s="20">
        <f>SUMIFS('Registre de reserves'!$P$2:$P$1178,'Registre de reserves'!$T$2:$T$1178,"NO",'Registre de reserves'!$I$2:$I$1178,'2023'!$A19,'Registre de reserves'!$B$2:$B$1178,'2023'!N$2,Tabla1[ANY],'2023'!$Z$2)+SUMIFS('Registre de reserves'!$P$2:$P$1178,'Registre de reserves'!$T$2:$T$1178,"RESERVA",'Registre de reserves'!$I$2:$I$1178,'2023'!$A19,'Registre de reserves'!$B$2:$B$1178,'2023'!N$2,Tabla1[ANY],'2023'!$Z$2)-SUMIFS('Registre de reserves'!$U$2:$U$1178,'Registre de reserves'!$T$2:$T$1178,"RESERVA",'Registre de reserves'!$I$2:$I$1178,'2023'!$A19,'Registre de reserves'!$B$2:$B$1178,'2023'!N$2,Tabla1[ANY],'2023'!$Z$2)</f>
        <v>0</v>
      </c>
      <c r="O19" s="21">
        <f t="shared" si="22"/>
        <v>0</v>
      </c>
      <c r="P19" s="20">
        <f>SUMIFS('Registre de reserves'!$P$2:$P$1178,'Registre de reserves'!$T$2:$T$1178,"NO",'Registre de reserves'!$I$2:$I$1178,'2023'!$A19,'Registre de reserves'!$B$2:$B$1178,'2023'!P$2,Tabla1[ANY],'2023'!$Z$2)+SUMIFS('Registre de reserves'!$P$2:$P$1178,'Registre de reserves'!$T$2:$T$1178,"RESERVA",'Registre de reserves'!$I$2:$I$1178,'2023'!$A19,'Registre de reserves'!$B$2:$B$1178,'2023'!P$2,Tabla1[ANY],'2023'!$Z$2)-SUMIFS('Registre de reserves'!$U$2:$U$1178,'Registre de reserves'!$T$2:$T$1178,"RESERVA",'Registre de reserves'!$I$2:$I$1178,'2023'!$A19,'Registre de reserves'!$B$2:$B$1178,'2023'!P$2,Tabla1[ANY],'2023'!$Z$2)</f>
        <v>0</v>
      </c>
      <c r="Q19" s="21">
        <f t="shared" si="23"/>
        <v>0</v>
      </c>
      <c r="R19" s="20">
        <f>SUMIFS('Registre de reserves'!$P$2:$P$1178,'Registre de reserves'!$T$2:$T$1178,"NO",'Registre de reserves'!$I$2:$I$1178,'2023'!$A19,'Registre de reserves'!$B$2:$B$1178,'2023'!R$2,Tabla1[ANY],'2023'!$Z$2)+SUMIFS('Registre de reserves'!$P$2:$P$1178,'Registre de reserves'!$T$2:$T$1178,"RESERVA",'Registre de reserves'!$I$2:$I$1178,'2023'!$A19,'Registre de reserves'!$B$2:$B$1178,'2023'!R$2,Tabla1[ANY],'2023'!$Z$2)-SUMIFS('Registre de reserves'!$U$2:$U$1178,'Registre de reserves'!$T$2:$T$1178,"RESERVA",'Registre de reserves'!$I$2:$I$1178,'2023'!$A19,'Registre de reserves'!$B$2:$B$1178,'2023'!R$2,Tabla1[ANY],'2023'!$Z$2)</f>
        <v>0</v>
      </c>
      <c r="S19" s="21">
        <f t="shared" si="24"/>
        <v>0</v>
      </c>
      <c r="T19" s="20">
        <f>SUMIFS('Registre de reserves'!$P$2:$P$1178,'Registre de reserves'!$T$2:$T$1178,"NO",'Registre de reserves'!$I$2:$I$1178,'2023'!$A19,'Registre de reserves'!$B$2:$B$1178,'2023'!T$2,Tabla1[ANY],'2023'!$Z$2)+SUMIFS('Registre de reserves'!$P$2:$P$1178,'Registre de reserves'!$T$2:$T$1178,"RESERVA",'Registre de reserves'!$I$2:$I$1178,'2023'!$A19,'Registre de reserves'!$B$2:$B$1178,'2023'!T$2,Tabla1[ANY],'2023'!$Z$2)-SUMIFS('Registre de reserves'!$U$2:$U$1178,'Registre de reserves'!$T$2:$T$1178,"RESERVA",'Registre de reserves'!$I$2:$I$1178,'2023'!$A19,'Registre de reserves'!$B$2:$B$1178,'2023'!T$2,Tabla1[ANY],'2023'!$Z$2)</f>
        <v>0</v>
      </c>
      <c r="U19" s="21">
        <f t="shared" si="25"/>
        <v>0</v>
      </c>
      <c r="V19" s="20">
        <f>SUMIFS('Registre de reserves'!$P$2:$P$1178,'Registre de reserves'!$T$2:$T$1178,"NO",'Registre de reserves'!$I$2:$I$1178,'2023'!$A19,'Registre de reserves'!$B$2:$B$1178,'2023'!V$2,Tabla1[ANY],'2023'!$Z$2)+SUMIFS('Registre de reserves'!$P$2:$P$1178,'Registre de reserves'!$T$2:$T$1178,"RESERVA",'Registre de reserves'!$I$2:$I$1178,'2023'!$A19,'Registre de reserves'!$B$2:$B$1178,'2023'!V$2,Tabla1[ANY],'2023'!$Z$2)-SUMIFS('Registre de reserves'!$U$2:$U$1178,'Registre de reserves'!$T$2:$T$1178,"RESERVA",'Registre de reserves'!$I$2:$I$1178,'2023'!$A19,'Registre de reserves'!$B$2:$B$1178,'2023'!V$2,Tabla1[ANY],'2023'!$Z$2)</f>
        <v>0</v>
      </c>
      <c r="W19" s="21">
        <f t="shared" si="26"/>
        <v>0</v>
      </c>
      <c r="X19" s="20">
        <f>SUMIFS('Registre de reserves'!$P$2:$P$1178,'Registre de reserves'!$T$2:$T$1178,"NO",'Registre de reserves'!$I$2:$I$1178,'2023'!$A19,'Registre de reserves'!$B$2:$B$1178,'2023'!X$2,Tabla1[ANY],'2023'!$Z$2)+SUMIFS('Registre de reserves'!$P$2:$P$1178,'Registre de reserves'!$T$2:$T$1178,"RESERVA",'Registre de reserves'!$I$2:$I$1178,'2023'!$A19,'Registre de reserves'!$B$2:$B$1178,'2023'!X$2,Tabla1[ANY],'2023'!$Z$2)-SUMIFS('Registre de reserves'!$U$2:$U$1178,'Registre de reserves'!$T$2:$T$1178,"RESERVA",'Registre de reserves'!$I$2:$I$1178,'2023'!$A19,'Registre de reserves'!$B$2:$B$1178,'2023'!X$2,Tabla1[ANY],'2023'!$Z$2)</f>
        <v>0</v>
      </c>
      <c r="Y19" s="21">
        <f t="shared" si="27"/>
        <v>0</v>
      </c>
      <c r="Z19" s="20">
        <f t="shared" si="28"/>
        <v>0</v>
      </c>
      <c r="AA19" s="21">
        <f t="shared" si="29"/>
        <v>0</v>
      </c>
      <c r="AB19" s="178">
        <f t="shared" si="2"/>
        <v>0</v>
      </c>
    </row>
    <row r="20" spans="1:28" hidden="1" outlineLevel="1" x14ac:dyDescent="0.2">
      <c r="A20" s="8" t="s">
        <v>70</v>
      </c>
      <c r="B20" s="20">
        <f>SUMIFS('Registre de reserves'!$P$2:$P$1178,'Registre de reserves'!$T$2:$T$1178,"NO",'Registre de reserves'!$I$2:$I$1178,'2023'!$A20,'Registre de reserves'!$B$2:$B$1178,'2023'!B$2,Tabla1[ANY],'2023'!$Z$2)+SUMIFS('Registre de reserves'!$P$2:$P$1178,'Registre de reserves'!$T$2:$T$1178,"RESERVA",'Registre de reserves'!$I$2:$I$1178,'2023'!$A20,'Registre de reserves'!$B$2:$B$1178,'2023'!B$2,Tabla1[ANY],'2023'!$Z$2)-SUMIFS('Registre de reserves'!$U$2:$U$1178,'Registre de reserves'!$T$2:$T$1178,"RESERVA",'Registre de reserves'!$I$2:$I$1178,'2023'!$A20,'Registre de reserves'!$B$2:$B$1178,'2023'!B$2,Tabla1[ANY],'2023'!$Z$2)</f>
        <v>0</v>
      </c>
      <c r="C20" s="21">
        <f t="shared" si="16"/>
        <v>0</v>
      </c>
      <c r="D20" s="20">
        <f>SUMIFS('Registre de reserves'!$P$2:$P$1178,'Registre de reserves'!$T$2:$T$1178,"NO",'Registre de reserves'!$I$2:$I$1178,'2023'!$A20,'Registre de reserves'!$B$2:$B$1178,'2023'!D$2,Tabla1[ANY],'2023'!$Z$2)+SUMIFS('Registre de reserves'!$P$2:$P$1178,'Registre de reserves'!$T$2:$T$1178,"RESERVA",'Registre de reserves'!$I$2:$I$1178,'2023'!$A20,'Registre de reserves'!$B$2:$B$1178,'2023'!D$2,Tabla1[ANY],'2023'!$Z$2)-SUMIFS('Registre de reserves'!$U$2:$U$1178,'Registre de reserves'!$T$2:$T$1178,"RESERVA",'Registre de reserves'!$I$2:$I$1178,'2023'!$A20,'Registre de reserves'!$B$2:$B$1178,'2023'!D$2,Tabla1[ANY],'2023'!$Z$2)</f>
        <v>0</v>
      </c>
      <c r="E20" s="21">
        <f t="shared" si="17"/>
        <v>0</v>
      </c>
      <c r="F20" s="20">
        <f>SUMIFS('Registre de reserves'!$P$2:$P$1178,'Registre de reserves'!$T$2:$T$1178,"NO",'Registre de reserves'!$I$2:$I$1178,'2023'!$A20,'Registre de reserves'!$B$2:$B$1178,'2023'!F$2,Tabla1[ANY],'2023'!$Z$2)+SUMIFS('Registre de reserves'!$P$2:$P$1178,'Registre de reserves'!$T$2:$T$1178,"RESERVA",'Registre de reserves'!$I$2:$I$1178,'2023'!$A20,'Registre de reserves'!$B$2:$B$1178,'2023'!F$2,Tabla1[ANY],'2023'!$Z$2)-SUMIFS('Registre de reserves'!$U$2:$U$1178,'Registre de reserves'!$T$2:$T$1178,"RESERVA",'Registre de reserves'!$I$2:$I$1178,'2023'!$A20,'Registre de reserves'!$B$2:$B$1178,'2023'!F$2,Tabla1[ANY],'2023'!$Z$2)</f>
        <v>0</v>
      </c>
      <c r="G20" s="21">
        <f t="shared" si="18"/>
        <v>0</v>
      </c>
      <c r="H20" s="20">
        <f>SUMIFS('Registre de reserves'!$P$2:$P$1178,'Registre de reserves'!$T$2:$T$1178,"NO",'Registre de reserves'!$I$2:$I$1178,'2023'!$A20,'Registre de reserves'!$B$2:$B$1178,'2023'!H$2,Tabla1[ANY],'2023'!$Z$2)+SUMIFS('Registre de reserves'!$P$2:$P$1178,'Registre de reserves'!$T$2:$T$1178,"RESERVA",'Registre de reserves'!$I$2:$I$1178,'2023'!$A20,'Registre de reserves'!$B$2:$B$1178,'2023'!H$2,Tabla1[ANY],'2023'!$Z$2)-SUMIFS('Registre de reserves'!$U$2:$U$1178,'Registre de reserves'!$T$2:$T$1178,"RESERVA",'Registre de reserves'!$I$2:$I$1178,'2023'!$A20,'Registre de reserves'!$B$2:$B$1178,'2023'!H$2,Tabla1[ANY],'2023'!$Z$2)</f>
        <v>0</v>
      </c>
      <c r="I20" s="21">
        <f t="shared" si="19"/>
        <v>0</v>
      </c>
      <c r="J20" s="20">
        <f>SUMIFS('Registre de reserves'!$P$2:$P$1178,'Registre de reserves'!$T$2:$T$1178,"NO",'Registre de reserves'!$I$2:$I$1178,'2023'!$A20,'Registre de reserves'!$B$2:$B$1178,'2023'!J$2,Tabla1[ANY],'2023'!$Z$2)+SUMIFS('Registre de reserves'!$P$2:$P$1178,'Registre de reserves'!$T$2:$T$1178,"RESERVA",'Registre de reserves'!$I$2:$I$1178,'2023'!$A20,'Registre de reserves'!$B$2:$B$1178,'2023'!J$2,Tabla1[ANY],'2023'!$Z$2)-SUMIFS('Registre de reserves'!$U$2:$U$1178,'Registre de reserves'!$T$2:$T$1178,"RESERVA",'Registre de reserves'!$I$2:$I$1178,'2023'!$A20,'Registre de reserves'!$B$2:$B$1178,'2023'!J$2,Tabla1[ANY],'2023'!$Z$2)</f>
        <v>0</v>
      </c>
      <c r="K20" s="21">
        <f t="shared" si="20"/>
        <v>0</v>
      </c>
      <c r="L20" s="20">
        <f>SUMIFS('Registre de reserves'!$P$2:$P$1178,'Registre de reserves'!$T$2:$T$1178,"NO",'Registre de reserves'!$I$2:$I$1178,'2023'!$A20,'Registre de reserves'!$B$2:$B$1178,'2023'!L$2,Tabla1[ANY],'2023'!$Z$2)+SUMIFS('Registre de reserves'!$P$2:$P$1178,'Registre de reserves'!$T$2:$T$1178,"RESERVA",'Registre de reserves'!$I$2:$I$1178,'2023'!$A20,'Registre de reserves'!$B$2:$B$1178,'2023'!L$2,Tabla1[ANY],'2023'!$Z$2)-SUMIFS('Registre de reserves'!$U$2:$U$1178,'Registre de reserves'!$T$2:$T$1178,"RESERVA",'Registre de reserves'!$I$2:$I$1178,'2023'!$A20,'Registre de reserves'!$B$2:$B$1178,'2023'!L$2,Tabla1[ANY],'2023'!$Z$2)</f>
        <v>0</v>
      </c>
      <c r="M20" s="21">
        <f t="shared" si="21"/>
        <v>0</v>
      </c>
      <c r="N20" s="20">
        <f>SUMIFS('Registre de reserves'!$P$2:$P$1178,'Registre de reserves'!$T$2:$T$1178,"NO",'Registre de reserves'!$I$2:$I$1178,'2023'!$A20,'Registre de reserves'!$B$2:$B$1178,'2023'!N$2,Tabla1[ANY],'2023'!$Z$2)+SUMIFS('Registre de reserves'!$P$2:$P$1178,'Registre de reserves'!$T$2:$T$1178,"RESERVA",'Registre de reserves'!$I$2:$I$1178,'2023'!$A20,'Registre de reserves'!$B$2:$B$1178,'2023'!N$2,Tabla1[ANY],'2023'!$Z$2)-SUMIFS('Registre de reserves'!$U$2:$U$1178,'Registre de reserves'!$T$2:$T$1178,"RESERVA",'Registre de reserves'!$I$2:$I$1178,'2023'!$A20,'Registre de reserves'!$B$2:$B$1178,'2023'!N$2,Tabla1[ANY],'2023'!$Z$2)</f>
        <v>0</v>
      </c>
      <c r="O20" s="21">
        <f t="shared" si="22"/>
        <v>0</v>
      </c>
      <c r="P20" s="20">
        <f>SUMIFS('Registre de reserves'!$P$2:$P$1178,'Registre de reserves'!$T$2:$T$1178,"NO",'Registre de reserves'!$I$2:$I$1178,'2023'!$A20,'Registre de reserves'!$B$2:$B$1178,'2023'!P$2,Tabla1[ANY],'2023'!$Z$2)+SUMIFS('Registre de reserves'!$P$2:$P$1178,'Registre de reserves'!$T$2:$T$1178,"RESERVA",'Registre de reserves'!$I$2:$I$1178,'2023'!$A20,'Registre de reserves'!$B$2:$B$1178,'2023'!P$2,Tabla1[ANY],'2023'!$Z$2)-SUMIFS('Registre de reserves'!$U$2:$U$1178,'Registre de reserves'!$T$2:$T$1178,"RESERVA",'Registre de reserves'!$I$2:$I$1178,'2023'!$A20,'Registre de reserves'!$B$2:$B$1178,'2023'!P$2,Tabla1[ANY],'2023'!$Z$2)</f>
        <v>0</v>
      </c>
      <c r="Q20" s="21">
        <f t="shared" si="23"/>
        <v>0</v>
      </c>
      <c r="R20" s="20">
        <f>SUMIFS('Registre de reserves'!$P$2:$P$1178,'Registre de reserves'!$T$2:$T$1178,"NO",'Registre de reserves'!$I$2:$I$1178,'2023'!$A20,'Registre de reserves'!$B$2:$B$1178,'2023'!R$2,Tabla1[ANY],'2023'!$Z$2)+SUMIFS('Registre de reserves'!$P$2:$P$1178,'Registre de reserves'!$T$2:$T$1178,"RESERVA",'Registre de reserves'!$I$2:$I$1178,'2023'!$A20,'Registre de reserves'!$B$2:$B$1178,'2023'!R$2,Tabla1[ANY],'2023'!$Z$2)-SUMIFS('Registre de reserves'!$U$2:$U$1178,'Registre de reserves'!$T$2:$T$1178,"RESERVA",'Registre de reserves'!$I$2:$I$1178,'2023'!$A20,'Registre de reserves'!$B$2:$B$1178,'2023'!R$2,Tabla1[ANY],'2023'!$Z$2)</f>
        <v>0</v>
      </c>
      <c r="S20" s="21">
        <f t="shared" si="24"/>
        <v>0</v>
      </c>
      <c r="T20" s="20">
        <f>SUMIFS('Registre de reserves'!$P$2:$P$1178,'Registre de reserves'!$T$2:$T$1178,"NO",'Registre de reserves'!$I$2:$I$1178,'2023'!$A20,'Registre de reserves'!$B$2:$B$1178,'2023'!T$2,Tabla1[ANY],'2023'!$Z$2)+SUMIFS('Registre de reserves'!$P$2:$P$1178,'Registre de reserves'!$T$2:$T$1178,"RESERVA",'Registre de reserves'!$I$2:$I$1178,'2023'!$A20,'Registre de reserves'!$B$2:$B$1178,'2023'!T$2,Tabla1[ANY],'2023'!$Z$2)-SUMIFS('Registre de reserves'!$U$2:$U$1178,'Registre de reserves'!$T$2:$T$1178,"RESERVA",'Registre de reserves'!$I$2:$I$1178,'2023'!$A20,'Registre de reserves'!$B$2:$B$1178,'2023'!T$2,Tabla1[ANY],'2023'!$Z$2)</f>
        <v>0</v>
      </c>
      <c r="U20" s="21">
        <f t="shared" si="25"/>
        <v>0</v>
      </c>
      <c r="V20" s="20">
        <f>SUMIFS('Registre de reserves'!$P$2:$P$1178,'Registre de reserves'!$T$2:$T$1178,"NO",'Registre de reserves'!$I$2:$I$1178,'2023'!$A20,'Registre de reserves'!$B$2:$B$1178,'2023'!V$2,Tabla1[ANY],'2023'!$Z$2)+SUMIFS('Registre de reserves'!$P$2:$P$1178,'Registre de reserves'!$T$2:$T$1178,"RESERVA",'Registre de reserves'!$I$2:$I$1178,'2023'!$A20,'Registre de reserves'!$B$2:$B$1178,'2023'!V$2,Tabla1[ANY],'2023'!$Z$2)-SUMIFS('Registre de reserves'!$U$2:$U$1178,'Registre de reserves'!$T$2:$T$1178,"RESERVA",'Registre de reserves'!$I$2:$I$1178,'2023'!$A20,'Registre de reserves'!$B$2:$B$1178,'2023'!V$2,Tabla1[ANY],'2023'!$Z$2)</f>
        <v>0</v>
      </c>
      <c r="W20" s="21">
        <f t="shared" si="26"/>
        <v>0</v>
      </c>
      <c r="X20" s="20">
        <f>SUMIFS('Registre de reserves'!$P$2:$P$1178,'Registre de reserves'!$T$2:$T$1178,"NO",'Registre de reserves'!$I$2:$I$1178,'2023'!$A20,'Registre de reserves'!$B$2:$B$1178,'2023'!X$2,Tabla1[ANY],'2023'!$Z$2)+SUMIFS('Registre de reserves'!$P$2:$P$1178,'Registre de reserves'!$T$2:$T$1178,"RESERVA",'Registre de reserves'!$I$2:$I$1178,'2023'!$A20,'Registre de reserves'!$B$2:$B$1178,'2023'!X$2,Tabla1[ANY],'2023'!$Z$2)-SUMIFS('Registre de reserves'!$U$2:$U$1178,'Registre de reserves'!$T$2:$T$1178,"RESERVA",'Registre de reserves'!$I$2:$I$1178,'2023'!$A20,'Registre de reserves'!$B$2:$B$1178,'2023'!X$2,Tabla1[ANY],'2023'!$Z$2)</f>
        <v>0</v>
      </c>
      <c r="Y20" s="21">
        <f t="shared" si="27"/>
        <v>0</v>
      </c>
      <c r="Z20" s="20">
        <f t="shared" si="28"/>
        <v>0</v>
      </c>
      <c r="AA20" s="21">
        <f t="shared" si="29"/>
        <v>0</v>
      </c>
      <c r="AB20" s="178">
        <f t="shared" si="2"/>
        <v>0</v>
      </c>
    </row>
    <row r="21" spans="1:28" hidden="1" outlineLevel="1" x14ac:dyDescent="0.2">
      <c r="A21" s="8" t="s">
        <v>73</v>
      </c>
      <c r="B21" s="20">
        <f>SUMIFS('Registre de reserves'!$P$2:$P$1178,'Registre de reserves'!$T$2:$T$1178,"NO",'Registre de reserves'!$I$2:$I$1178,'2023'!$A21,'Registre de reserves'!$B$2:$B$1178,'2023'!B$2,Tabla1[ANY],'2023'!$Z$2)+SUMIFS('Registre de reserves'!$P$2:$P$1178,'Registre de reserves'!$T$2:$T$1178,"RESERVA",'Registre de reserves'!$I$2:$I$1178,'2023'!$A21,'Registre de reserves'!$B$2:$B$1178,'2023'!B$2,Tabla1[ANY],'2023'!$Z$2)-SUMIFS('Registre de reserves'!$U$2:$U$1178,'Registre de reserves'!$T$2:$T$1178,"RESERVA",'Registre de reserves'!$I$2:$I$1178,'2023'!$A21,'Registre de reserves'!$B$2:$B$1178,'2023'!B$2,Tabla1[ANY],'2023'!$Z$2)</f>
        <v>0</v>
      </c>
      <c r="C21" s="21">
        <f t="shared" si="16"/>
        <v>0</v>
      </c>
      <c r="D21" s="20">
        <f>SUMIFS('Registre de reserves'!$P$2:$P$1178,'Registre de reserves'!$T$2:$T$1178,"NO",'Registre de reserves'!$I$2:$I$1178,'2023'!$A21,'Registre de reserves'!$B$2:$B$1178,'2023'!D$2,Tabla1[ANY],'2023'!$Z$2)+SUMIFS('Registre de reserves'!$P$2:$P$1178,'Registre de reserves'!$T$2:$T$1178,"RESERVA",'Registre de reserves'!$I$2:$I$1178,'2023'!$A21,'Registre de reserves'!$B$2:$B$1178,'2023'!D$2,Tabla1[ANY],'2023'!$Z$2)-SUMIFS('Registre de reserves'!$U$2:$U$1178,'Registre de reserves'!$T$2:$T$1178,"RESERVA",'Registre de reserves'!$I$2:$I$1178,'2023'!$A21,'Registre de reserves'!$B$2:$B$1178,'2023'!D$2,Tabla1[ANY],'2023'!$Z$2)</f>
        <v>0</v>
      </c>
      <c r="E21" s="21">
        <f t="shared" si="17"/>
        <v>0</v>
      </c>
      <c r="F21" s="20">
        <f>SUMIFS('Registre de reserves'!$P$2:$P$1178,'Registre de reserves'!$T$2:$T$1178,"NO",'Registre de reserves'!$I$2:$I$1178,'2023'!$A21,'Registre de reserves'!$B$2:$B$1178,'2023'!F$2,Tabla1[ANY],'2023'!$Z$2)+SUMIFS('Registre de reserves'!$P$2:$P$1178,'Registre de reserves'!$T$2:$T$1178,"RESERVA",'Registre de reserves'!$I$2:$I$1178,'2023'!$A21,'Registre de reserves'!$B$2:$B$1178,'2023'!F$2,Tabla1[ANY],'2023'!$Z$2)-SUMIFS('Registre de reserves'!$U$2:$U$1178,'Registre de reserves'!$T$2:$T$1178,"RESERVA",'Registre de reserves'!$I$2:$I$1178,'2023'!$A21,'Registre de reserves'!$B$2:$B$1178,'2023'!F$2,Tabla1[ANY],'2023'!$Z$2)</f>
        <v>0</v>
      </c>
      <c r="G21" s="21">
        <f t="shared" si="18"/>
        <v>0</v>
      </c>
      <c r="H21" s="20">
        <f>SUMIFS('Registre de reserves'!$P$2:$P$1178,'Registre de reserves'!$T$2:$T$1178,"NO",'Registre de reserves'!$I$2:$I$1178,'2023'!$A21,'Registre de reserves'!$B$2:$B$1178,'2023'!H$2,Tabla1[ANY],'2023'!$Z$2)+SUMIFS('Registre de reserves'!$P$2:$P$1178,'Registre de reserves'!$T$2:$T$1178,"RESERVA",'Registre de reserves'!$I$2:$I$1178,'2023'!$A21,'Registre de reserves'!$B$2:$B$1178,'2023'!H$2,Tabla1[ANY],'2023'!$Z$2)-SUMIFS('Registre de reserves'!$U$2:$U$1178,'Registre de reserves'!$T$2:$T$1178,"RESERVA",'Registre de reserves'!$I$2:$I$1178,'2023'!$A21,'Registre de reserves'!$B$2:$B$1178,'2023'!H$2,Tabla1[ANY],'2023'!$Z$2)</f>
        <v>0</v>
      </c>
      <c r="I21" s="21">
        <f t="shared" si="19"/>
        <v>0</v>
      </c>
      <c r="J21" s="20">
        <f>SUMIFS('Registre de reserves'!$P$2:$P$1178,'Registre de reserves'!$T$2:$T$1178,"NO",'Registre de reserves'!$I$2:$I$1178,'2023'!$A21,'Registre de reserves'!$B$2:$B$1178,'2023'!J$2,Tabla1[ANY],'2023'!$Z$2)+SUMIFS('Registre de reserves'!$P$2:$P$1178,'Registre de reserves'!$T$2:$T$1178,"RESERVA",'Registre de reserves'!$I$2:$I$1178,'2023'!$A21,'Registre de reserves'!$B$2:$B$1178,'2023'!J$2,Tabla1[ANY],'2023'!$Z$2)-SUMIFS('Registre de reserves'!$U$2:$U$1178,'Registre de reserves'!$T$2:$T$1178,"RESERVA",'Registre de reserves'!$I$2:$I$1178,'2023'!$A21,'Registre de reserves'!$B$2:$B$1178,'2023'!J$2,Tabla1[ANY],'2023'!$Z$2)</f>
        <v>0</v>
      </c>
      <c r="K21" s="21">
        <f t="shared" si="20"/>
        <v>0</v>
      </c>
      <c r="L21" s="20">
        <f>SUMIFS('Registre de reserves'!$P$2:$P$1178,'Registre de reserves'!$T$2:$T$1178,"NO",'Registre de reserves'!$I$2:$I$1178,'2023'!$A21,'Registre de reserves'!$B$2:$B$1178,'2023'!L$2,Tabla1[ANY],'2023'!$Z$2)+SUMIFS('Registre de reserves'!$P$2:$P$1178,'Registre de reserves'!$T$2:$T$1178,"RESERVA",'Registre de reserves'!$I$2:$I$1178,'2023'!$A21,'Registre de reserves'!$B$2:$B$1178,'2023'!L$2,Tabla1[ANY],'2023'!$Z$2)-SUMIFS('Registre de reserves'!$U$2:$U$1178,'Registre de reserves'!$T$2:$T$1178,"RESERVA",'Registre de reserves'!$I$2:$I$1178,'2023'!$A21,'Registre de reserves'!$B$2:$B$1178,'2023'!L$2,Tabla1[ANY],'2023'!$Z$2)</f>
        <v>0</v>
      </c>
      <c r="M21" s="21">
        <f t="shared" si="21"/>
        <v>0</v>
      </c>
      <c r="N21" s="20">
        <f>SUMIFS('Registre de reserves'!$P$2:$P$1178,'Registre de reserves'!$T$2:$T$1178,"NO",'Registre de reserves'!$I$2:$I$1178,'2023'!$A21,'Registre de reserves'!$B$2:$B$1178,'2023'!N$2,Tabla1[ANY],'2023'!$Z$2)+SUMIFS('Registre de reserves'!$P$2:$P$1178,'Registre de reserves'!$T$2:$T$1178,"RESERVA",'Registre de reserves'!$I$2:$I$1178,'2023'!$A21,'Registre de reserves'!$B$2:$B$1178,'2023'!N$2,Tabla1[ANY],'2023'!$Z$2)-SUMIFS('Registre de reserves'!$U$2:$U$1178,'Registre de reserves'!$T$2:$T$1178,"RESERVA",'Registre de reserves'!$I$2:$I$1178,'2023'!$A21,'Registre de reserves'!$B$2:$B$1178,'2023'!N$2,Tabla1[ANY],'2023'!$Z$2)</f>
        <v>0</v>
      </c>
      <c r="O21" s="21">
        <f t="shared" si="22"/>
        <v>0</v>
      </c>
      <c r="P21" s="20">
        <f>SUMIFS('Registre de reserves'!$P$2:$P$1178,'Registre de reserves'!$T$2:$T$1178,"NO",'Registre de reserves'!$I$2:$I$1178,'2023'!$A21,'Registre de reserves'!$B$2:$B$1178,'2023'!P$2,Tabla1[ANY],'2023'!$Z$2)+SUMIFS('Registre de reserves'!$P$2:$P$1178,'Registre de reserves'!$T$2:$T$1178,"RESERVA",'Registre de reserves'!$I$2:$I$1178,'2023'!$A21,'Registre de reserves'!$B$2:$B$1178,'2023'!P$2,Tabla1[ANY],'2023'!$Z$2)-SUMIFS('Registre de reserves'!$U$2:$U$1178,'Registre de reserves'!$T$2:$T$1178,"RESERVA",'Registre de reserves'!$I$2:$I$1178,'2023'!$A21,'Registre de reserves'!$B$2:$B$1178,'2023'!P$2,Tabla1[ANY],'2023'!$Z$2)</f>
        <v>0</v>
      </c>
      <c r="Q21" s="21">
        <f t="shared" si="23"/>
        <v>0</v>
      </c>
      <c r="R21" s="20">
        <f>SUMIFS('Registre de reserves'!$P$2:$P$1178,'Registre de reserves'!$T$2:$T$1178,"NO",'Registre de reserves'!$I$2:$I$1178,'2023'!$A21,'Registre de reserves'!$B$2:$B$1178,'2023'!R$2,Tabla1[ANY],'2023'!$Z$2)+SUMIFS('Registre de reserves'!$P$2:$P$1178,'Registre de reserves'!$T$2:$T$1178,"RESERVA",'Registre de reserves'!$I$2:$I$1178,'2023'!$A21,'Registre de reserves'!$B$2:$B$1178,'2023'!R$2,Tabla1[ANY],'2023'!$Z$2)-SUMIFS('Registre de reserves'!$U$2:$U$1178,'Registre de reserves'!$T$2:$T$1178,"RESERVA",'Registre de reserves'!$I$2:$I$1178,'2023'!$A21,'Registre de reserves'!$B$2:$B$1178,'2023'!R$2,Tabla1[ANY],'2023'!$Z$2)</f>
        <v>0</v>
      </c>
      <c r="S21" s="21">
        <f t="shared" si="24"/>
        <v>0</v>
      </c>
      <c r="T21" s="20">
        <f>SUMIFS('Registre de reserves'!$P$2:$P$1178,'Registre de reserves'!$T$2:$T$1178,"NO",'Registre de reserves'!$I$2:$I$1178,'2023'!$A21,'Registre de reserves'!$B$2:$B$1178,'2023'!T$2,Tabla1[ANY],'2023'!$Z$2)+SUMIFS('Registre de reserves'!$P$2:$P$1178,'Registre de reserves'!$T$2:$T$1178,"RESERVA",'Registre de reserves'!$I$2:$I$1178,'2023'!$A21,'Registre de reserves'!$B$2:$B$1178,'2023'!T$2,Tabla1[ANY],'2023'!$Z$2)-SUMIFS('Registre de reserves'!$U$2:$U$1178,'Registre de reserves'!$T$2:$T$1178,"RESERVA",'Registre de reserves'!$I$2:$I$1178,'2023'!$A21,'Registre de reserves'!$B$2:$B$1178,'2023'!T$2,Tabla1[ANY],'2023'!$Z$2)</f>
        <v>0</v>
      </c>
      <c r="U21" s="21">
        <f t="shared" si="25"/>
        <v>0</v>
      </c>
      <c r="V21" s="20">
        <f>SUMIFS('Registre de reserves'!$P$2:$P$1178,'Registre de reserves'!$T$2:$T$1178,"NO",'Registre de reserves'!$I$2:$I$1178,'2023'!$A21,'Registre de reserves'!$B$2:$B$1178,'2023'!V$2,Tabla1[ANY],'2023'!$Z$2)+SUMIFS('Registre de reserves'!$P$2:$P$1178,'Registre de reserves'!$T$2:$T$1178,"RESERVA",'Registre de reserves'!$I$2:$I$1178,'2023'!$A21,'Registre de reserves'!$B$2:$B$1178,'2023'!V$2,Tabla1[ANY],'2023'!$Z$2)-SUMIFS('Registre de reserves'!$U$2:$U$1178,'Registre de reserves'!$T$2:$T$1178,"RESERVA",'Registre de reserves'!$I$2:$I$1178,'2023'!$A21,'Registre de reserves'!$B$2:$B$1178,'2023'!V$2,Tabla1[ANY],'2023'!$Z$2)</f>
        <v>0</v>
      </c>
      <c r="W21" s="21">
        <f t="shared" si="26"/>
        <v>0</v>
      </c>
      <c r="X21" s="20">
        <f>SUMIFS('Registre de reserves'!$P$2:$P$1178,'Registre de reserves'!$T$2:$T$1178,"NO",'Registre de reserves'!$I$2:$I$1178,'2023'!$A21,'Registre de reserves'!$B$2:$B$1178,'2023'!X$2,Tabla1[ANY],'2023'!$Z$2)+SUMIFS('Registre de reserves'!$P$2:$P$1178,'Registre de reserves'!$T$2:$T$1178,"RESERVA",'Registre de reserves'!$I$2:$I$1178,'2023'!$A21,'Registre de reserves'!$B$2:$B$1178,'2023'!X$2,Tabla1[ANY],'2023'!$Z$2)-SUMIFS('Registre de reserves'!$U$2:$U$1178,'Registre de reserves'!$T$2:$T$1178,"RESERVA",'Registre de reserves'!$I$2:$I$1178,'2023'!$A21,'Registre de reserves'!$B$2:$B$1178,'2023'!X$2,Tabla1[ANY],'2023'!$Z$2)</f>
        <v>0</v>
      </c>
      <c r="Y21" s="21">
        <f t="shared" si="27"/>
        <v>0</v>
      </c>
      <c r="Z21" s="20">
        <f t="shared" si="28"/>
        <v>0</v>
      </c>
      <c r="AA21" s="21">
        <f t="shared" si="29"/>
        <v>0</v>
      </c>
      <c r="AB21" s="178">
        <f t="shared" si="2"/>
        <v>0</v>
      </c>
    </row>
    <row r="22" spans="1:28" collapsed="1" x14ac:dyDescent="0.2">
      <c r="A22" s="33" t="s">
        <v>75</v>
      </c>
      <c r="B22" s="22">
        <f>SUM(B23:B30)</f>
        <v>310</v>
      </c>
      <c r="C22" s="19">
        <f>IF(B$3=0,0,B22/B$3)</f>
        <v>7.4879227053140096E-2</v>
      </c>
      <c r="D22" s="22">
        <f>SUM(D23:D30)</f>
        <v>330</v>
      </c>
      <c r="E22" s="19">
        <f>IF(D$3=0,0,D22/D$3)</f>
        <v>7.0512820512820512E-2</v>
      </c>
      <c r="F22" s="22">
        <f>SUM(F23:F30)</f>
        <v>180</v>
      </c>
      <c r="G22" s="19">
        <f>IF(F$3=0,0,F22/F$3)</f>
        <v>4.5743329097839895E-2</v>
      </c>
      <c r="H22" s="22">
        <f>SUM(H23:H30)</f>
        <v>120</v>
      </c>
      <c r="I22" s="19">
        <f>IF(H$3=0,0,H22/H$3)</f>
        <v>2.6200873362445413E-2</v>
      </c>
      <c r="J22" s="22">
        <f>SUM(J23:J30)</f>
        <v>180</v>
      </c>
      <c r="K22" s="19">
        <f>IF(J$3=0,0,J22/J$3)</f>
        <v>4.9450549450549448E-2</v>
      </c>
      <c r="L22" s="22">
        <f>SUM(L23:L30)</f>
        <v>60</v>
      </c>
      <c r="M22" s="19">
        <f>IF(L$3=0,0,L22/L$3)</f>
        <v>1.7094017094017096E-2</v>
      </c>
      <c r="N22" s="22">
        <f>SUM(N23:N30)</f>
        <v>395</v>
      </c>
      <c r="O22" s="19">
        <f>IF(N$3=0,0,N22/N$3)</f>
        <v>0.10646900269541779</v>
      </c>
      <c r="P22" s="22">
        <f>SUM(P23:P30)</f>
        <v>80</v>
      </c>
      <c r="Q22" s="19">
        <f>IF(P$3=0,0,P22/P$3)</f>
        <v>5.5944055944055944E-2</v>
      </c>
      <c r="R22" s="22">
        <f>SUM(R23:R30)</f>
        <v>355</v>
      </c>
      <c r="S22" s="19">
        <f>IF(R$3=0,0,R22/R$3)</f>
        <v>7.8539823008849555E-2</v>
      </c>
      <c r="T22" s="22">
        <f>SUM(T23:T30)</f>
        <v>190</v>
      </c>
      <c r="U22" s="19">
        <f>IF(T$3=0,0,T22/T$3)</f>
        <v>4.4917257683215132E-2</v>
      </c>
      <c r="V22" s="22">
        <f>SUM(V23:V30)</f>
        <v>60</v>
      </c>
      <c r="W22" s="19">
        <f>IF(V$3=0,0,V22/V$3)</f>
        <v>1.8867924528301886E-2</v>
      </c>
      <c r="X22" s="22">
        <f>SUM(X23:X30)</f>
        <v>380</v>
      </c>
      <c r="Y22" s="19">
        <f>IF(X$3=0,0,X22/X$3)</f>
        <v>5.0666666666666665E-2</v>
      </c>
      <c r="Z22" s="18">
        <f>SUM(Z23:Z30)</f>
        <v>2640</v>
      </c>
      <c r="AA22" s="19">
        <f>IF(Z$3=0,0,Z22/Z$3)</f>
        <v>5.3817144022016102E-2</v>
      </c>
      <c r="AB22" s="178">
        <f t="shared" si="2"/>
        <v>220</v>
      </c>
    </row>
    <row r="23" spans="1:28" hidden="1" outlineLevel="1" x14ac:dyDescent="0.2">
      <c r="A23" s="8" t="s">
        <v>67</v>
      </c>
      <c r="B23" s="23">
        <f>SUMIFS('Registre de reserves'!$R$2:$R$1178,'Registre de reserves'!$T$2:$T$1178,"SI",'Registre de reserves'!$I$2:$I$1178,'2023'!$A23,'Registre de reserves'!$B$2:$B$1178,'2023'!B$2,Tabla1[ANY],'2023'!$Z$2)</f>
        <v>0</v>
      </c>
      <c r="C23" s="21">
        <f>IF(B$22=0,0,B23/B$22)</f>
        <v>0</v>
      </c>
      <c r="D23" s="23">
        <f>SUMIFS('Registre de reserves'!$R$2:$R$1178,'Registre de reserves'!$T$2:$T$1178,"SI",'Registre de reserves'!$I$2:$I$1178,'2023'!$A23,'Registre de reserves'!$B$2:$B$1178,'2023'!D$2,Tabla1[ANY],'2023'!$Z$2)</f>
        <v>0</v>
      </c>
      <c r="E23" s="21">
        <f>IF(D$22=0,0,D23/D$22)</f>
        <v>0</v>
      </c>
      <c r="F23" s="23">
        <f>SUMIFS('Registre de reserves'!$R$2:$R$1178,'Registre de reserves'!$T$2:$T$1178,"SI",'Registre de reserves'!$I$2:$I$1178,'2023'!$A23,'Registre de reserves'!$B$2:$B$1178,'2023'!F$2,Tabla1[ANY],'2023'!$Z$2)</f>
        <v>0</v>
      </c>
      <c r="G23" s="21">
        <f t="shared" ref="G23:G30" si="30">IF(F$22=0,0,F23/F$22)</f>
        <v>0</v>
      </c>
      <c r="H23" s="23">
        <f>SUMIFS('Registre de reserves'!$R$2:$R$1178,'Registre de reserves'!$T$2:$T$1178,"SI",'Registre de reserves'!$I$2:$I$1178,'2023'!$A23,'Registre de reserves'!$B$2:$B$1178,'2023'!H$2,Tabla1[ANY],'2023'!$Z$2)</f>
        <v>0</v>
      </c>
      <c r="I23" s="21">
        <f t="shared" ref="I23:I30" si="31">IF(H$22=0,0,H23/H$22)</f>
        <v>0</v>
      </c>
      <c r="J23" s="23">
        <f>SUMIFS('Registre de reserves'!$R$2:$R$1178,'Registre de reserves'!$T$2:$T$1178,"SI",'Registre de reserves'!$I$2:$I$1178,'2023'!$A23,'Registre de reserves'!$B$2:$B$1178,'2023'!J$2,Tabla1[ANY],'2023'!$Z$2)</f>
        <v>0</v>
      </c>
      <c r="K23" s="21">
        <f t="shared" ref="K23:K30" si="32">IF(J$22=0,0,J23/J$22)</f>
        <v>0</v>
      </c>
      <c r="L23" s="23">
        <f>SUMIFS('Registre de reserves'!$R$2:$R$1178,'Registre de reserves'!$T$2:$T$1178,"SI",'Registre de reserves'!$I$2:$I$1178,'2023'!$A23,'Registre de reserves'!$B$2:$B$1178,'2023'!L$2,Tabla1[ANY],'2023'!$Z$2)</f>
        <v>0</v>
      </c>
      <c r="M23" s="21">
        <f t="shared" ref="M23:M30" si="33">IF(L$22=0,0,L23/L$22)</f>
        <v>0</v>
      </c>
      <c r="N23" s="23">
        <f>SUMIFS('Registre de reserves'!$R$2:$R$1178,'Registre de reserves'!$T$2:$T$1178,"SI",'Registre de reserves'!$I$2:$I$1178,'2023'!$A23,'Registre de reserves'!$B$2:$B$1178,'2023'!N$2,Tabla1[ANY],'2023'!$Z$2)</f>
        <v>0</v>
      </c>
      <c r="O23" s="21">
        <f t="shared" ref="O23:O30" si="34">IF(N$22=0,0,N23/N$22)</f>
        <v>0</v>
      </c>
      <c r="P23" s="23">
        <f>SUMIFS('Registre de reserves'!$R$2:$R$1178,'Registre de reserves'!$T$2:$T$1178,"SI",'Registre de reserves'!$I$2:$I$1178,'2023'!$A23,'Registre de reserves'!$B$2:$B$1178,'2023'!P$2,Tabla1[ANY],'2023'!$Z$2)</f>
        <v>0</v>
      </c>
      <c r="Q23" s="21">
        <f t="shared" ref="Q23:Q30" si="35">IF(P$22=0,0,P23/P$22)</f>
        <v>0</v>
      </c>
      <c r="R23" s="23">
        <f>SUMIFS('Registre de reserves'!$R$2:$R$1178,'Registre de reserves'!$T$2:$T$1178,"SI",'Registre de reserves'!$I$2:$I$1178,'2023'!$A23,'Registre de reserves'!$B$2:$B$1178,'2023'!R$2,Tabla1[ANY],'2023'!$Z$2)</f>
        <v>0</v>
      </c>
      <c r="S23" s="21">
        <f t="shared" ref="S23:S30" si="36">IF(R$22=0,0,R23/R$22)</f>
        <v>0</v>
      </c>
      <c r="T23" s="23">
        <f>SUMIFS('Registre de reserves'!$R$2:$R$1178,'Registre de reserves'!$T$2:$T$1178,"SI",'Registre de reserves'!$I$2:$I$1178,'2023'!$A23,'Registre de reserves'!$B$2:$B$1178,'2023'!T$2,Tabla1[ANY],'2023'!$Z$2)</f>
        <v>0</v>
      </c>
      <c r="U23" s="21">
        <f t="shared" ref="U23:U30" si="37">IF(T$22=0,0,T23/T$22)</f>
        <v>0</v>
      </c>
      <c r="V23" s="23">
        <f>SUMIFS('Registre de reserves'!$R$2:$R$1178,'Registre de reserves'!$T$2:$T$1178,"SI",'Registre de reserves'!$I$2:$I$1178,'2023'!$A23,'Registre de reserves'!$B$2:$B$1178,'2023'!V$2,Tabla1[ANY],'2023'!$Z$2)</f>
        <v>0</v>
      </c>
      <c r="W23" s="21">
        <f t="shared" ref="W23:W30" si="38">IF(V$22=0,0,V23/V$22)</f>
        <v>0</v>
      </c>
      <c r="X23" s="23">
        <f>SUMIFS('Registre de reserves'!$R$2:$R$1178,'Registre de reserves'!$T$2:$T$1178,"SI",'Registre de reserves'!$I$2:$I$1178,'2023'!$A23,'Registre de reserves'!$B$2:$B$1178,'2023'!X$2,Tabla1[ANY],'2023'!$Z$2)</f>
        <v>0</v>
      </c>
      <c r="Y23" s="21">
        <f t="shared" ref="Y23:Y30" si="39">IF(X$22=0,0,X23/X$22)</f>
        <v>0</v>
      </c>
      <c r="Z23" s="20">
        <f>B23+D23+F23+H23+J23+L23+N23+P23+R23+T23+V23+X23</f>
        <v>0</v>
      </c>
      <c r="AA23" s="21">
        <f>IF(Z$22=0,0,Z23/Z$22)</f>
        <v>0</v>
      </c>
      <c r="AB23" s="178">
        <f t="shared" si="2"/>
        <v>0</v>
      </c>
    </row>
    <row r="24" spans="1:28" hidden="1" outlineLevel="1" x14ac:dyDescent="0.2">
      <c r="A24" s="8" t="s">
        <v>68</v>
      </c>
      <c r="B24" s="23">
        <f>SUMIFS('Registre de reserves'!$R$2:$R$1178,'Registre de reserves'!$T$2:$T$1178,"SI",'Registre de reserves'!$I$2:$I$1178,'2023'!$A24,'Registre de reserves'!$B$2:$B$1178,'2023'!B$2,Tabla1[ANY],'2023'!$Z$2)</f>
        <v>0</v>
      </c>
      <c r="C24" s="21">
        <f t="shared" ref="C24:E30" si="40">IF(B$22=0,0,B24/B$22)</f>
        <v>0</v>
      </c>
      <c r="D24" s="23">
        <f>SUMIFS('Registre de reserves'!$R$2:$R$1178,'Registre de reserves'!$T$2:$T$1178,"SI",'Registre de reserves'!$I$2:$I$1178,'2023'!$A24,'Registre de reserves'!$B$2:$B$1178,'2023'!D$2,Tabla1[ANY],'2023'!$Z$2)</f>
        <v>0</v>
      </c>
      <c r="E24" s="21">
        <f t="shared" si="40"/>
        <v>0</v>
      </c>
      <c r="F24" s="23">
        <f>SUMIFS('Registre de reserves'!$R$2:$R$1178,'Registre de reserves'!$T$2:$T$1178,"SI",'Registre de reserves'!$I$2:$I$1178,'2023'!$A24,'Registre de reserves'!$B$2:$B$1178,'2023'!F$2,Tabla1[ANY],'2023'!$Z$2)</f>
        <v>0</v>
      </c>
      <c r="G24" s="21">
        <f t="shared" si="30"/>
        <v>0</v>
      </c>
      <c r="H24" s="23">
        <f>SUMIFS('Registre de reserves'!$R$2:$R$1178,'Registre de reserves'!$T$2:$T$1178,"SI",'Registre de reserves'!$I$2:$I$1178,'2023'!$A24,'Registre de reserves'!$B$2:$B$1178,'2023'!H$2,Tabla1[ANY],'2023'!$Z$2)</f>
        <v>0</v>
      </c>
      <c r="I24" s="21">
        <f t="shared" si="31"/>
        <v>0</v>
      </c>
      <c r="J24" s="23">
        <f>SUMIFS('Registre de reserves'!$R$2:$R$1178,'Registre de reserves'!$T$2:$T$1178,"SI",'Registre de reserves'!$I$2:$I$1178,'2023'!$A24,'Registre de reserves'!$B$2:$B$1178,'2023'!J$2,Tabla1[ANY],'2023'!$Z$2)</f>
        <v>0</v>
      </c>
      <c r="K24" s="21">
        <f t="shared" si="32"/>
        <v>0</v>
      </c>
      <c r="L24" s="23">
        <f>SUMIFS('Registre de reserves'!$R$2:$R$1178,'Registre de reserves'!$T$2:$T$1178,"SI",'Registre de reserves'!$I$2:$I$1178,'2023'!$A24,'Registre de reserves'!$B$2:$B$1178,'2023'!L$2,Tabla1[ANY],'2023'!$Z$2)</f>
        <v>0</v>
      </c>
      <c r="M24" s="21">
        <f t="shared" si="33"/>
        <v>0</v>
      </c>
      <c r="N24" s="23">
        <f>SUMIFS('Registre de reserves'!$R$2:$R$1178,'Registre de reserves'!$T$2:$T$1178,"SI",'Registre de reserves'!$I$2:$I$1178,'2023'!$A24,'Registre de reserves'!$B$2:$B$1178,'2023'!N$2,Tabla1[ANY],'2023'!$Z$2)</f>
        <v>55</v>
      </c>
      <c r="O24" s="21">
        <f t="shared" si="34"/>
        <v>0.13924050632911392</v>
      </c>
      <c r="P24" s="23">
        <f>SUMIFS('Registre de reserves'!$R$2:$R$1178,'Registre de reserves'!$T$2:$T$1178,"SI",'Registre de reserves'!$I$2:$I$1178,'2023'!$A24,'Registre de reserves'!$B$2:$B$1178,'2023'!P$2,Tabla1[ANY],'2023'!$Z$2)</f>
        <v>0</v>
      </c>
      <c r="Q24" s="21">
        <f t="shared" si="35"/>
        <v>0</v>
      </c>
      <c r="R24" s="23">
        <f>SUMIFS('Registre de reserves'!$R$2:$R$1178,'Registre de reserves'!$T$2:$T$1178,"SI",'Registre de reserves'!$I$2:$I$1178,'2023'!$A24,'Registre de reserves'!$B$2:$B$1178,'2023'!R$2,Tabla1[ANY],'2023'!$Z$2)</f>
        <v>20</v>
      </c>
      <c r="S24" s="21">
        <f t="shared" si="36"/>
        <v>5.6338028169014086E-2</v>
      </c>
      <c r="T24" s="23">
        <f>SUMIFS('Registre de reserves'!$R$2:$R$1178,'Registre de reserves'!$T$2:$T$1178,"SI",'Registre de reserves'!$I$2:$I$1178,'2023'!$A24,'Registre de reserves'!$B$2:$B$1178,'2023'!T$2,Tabla1[ANY],'2023'!$Z$2)</f>
        <v>0</v>
      </c>
      <c r="U24" s="21">
        <f t="shared" si="37"/>
        <v>0</v>
      </c>
      <c r="V24" s="23">
        <f>SUMIFS('Registre de reserves'!$R$2:$R$1178,'Registre de reserves'!$T$2:$T$1178,"SI",'Registre de reserves'!$I$2:$I$1178,'2023'!$A24,'Registre de reserves'!$B$2:$B$1178,'2023'!V$2,Tabla1[ANY],'2023'!$Z$2)</f>
        <v>0</v>
      </c>
      <c r="W24" s="21">
        <f t="shared" si="38"/>
        <v>0</v>
      </c>
      <c r="X24" s="23">
        <f>SUMIFS('Registre de reserves'!$R$2:$R$1178,'Registre de reserves'!$T$2:$T$1178,"SI",'Registre de reserves'!$I$2:$I$1178,'2023'!$A24,'Registre de reserves'!$B$2:$B$1178,'2023'!X$2,Tabla1[ANY],'2023'!$Z$2)</f>
        <v>20</v>
      </c>
      <c r="Y24" s="21">
        <f t="shared" si="39"/>
        <v>5.2631578947368418E-2</v>
      </c>
      <c r="Z24" s="20">
        <f t="shared" ref="Z24:Z30" si="41">B24+D24+F24+H24+J24+L24+N24+P24+R24+T24+V24+X24</f>
        <v>95</v>
      </c>
      <c r="AA24" s="21">
        <f t="shared" ref="AA24:AA30" si="42">IF(Z$22=0,0,Z24/Z$22)</f>
        <v>3.5984848484848488E-2</v>
      </c>
      <c r="AB24" s="178">
        <f t="shared" si="2"/>
        <v>7.916666666666667</v>
      </c>
    </row>
    <row r="25" spans="1:28" hidden="1" outlineLevel="1" x14ac:dyDescent="0.2">
      <c r="A25" s="8" t="s">
        <v>4</v>
      </c>
      <c r="B25" s="23">
        <f>SUMIFS('Registre de reserves'!$R$2:$R$1178,'Registre de reserves'!$T$2:$T$1178,"SI",'Registre de reserves'!$I$2:$I$1178,'2023'!$A25,'Registre de reserves'!$B$2:$B$1178,'2023'!B$2,Tabla1[ANY],'2023'!$Z$2)</f>
        <v>0</v>
      </c>
      <c r="C25" s="21">
        <f t="shared" si="40"/>
        <v>0</v>
      </c>
      <c r="D25" s="23">
        <f>SUMIFS('Registre de reserves'!$R$2:$R$1178,'Registre de reserves'!$T$2:$T$1178,"SI",'Registre de reserves'!$I$2:$I$1178,'2023'!$A25,'Registre de reserves'!$B$2:$B$1178,'2023'!D$2,Tabla1[ANY],'2023'!$Z$2)</f>
        <v>210</v>
      </c>
      <c r="E25" s="21">
        <f t="shared" si="40"/>
        <v>0.63636363636363635</v>
      </c>
      <c r="F25" s="23">
        <f>SUMIFS('Registre de reserves'!$R$2:$R$1178,'Registre de reserves'!$T$2:$T$1178,"SI",'Registre de reserves'!$I$2:$I$1178,'2023'!$A25,'Registre de reserves'!$B$2:$B$1178,'2023'!F$2,Tabla1[ANY],'2023'!$Z$2)</f>
        <v>0</v>
      </c>
      <c r="G25" s="21">
        <f t="shared" si="30"/>
        <v>0</v>
      </c>
      <c r="H25" s="23">
        <f>SUMIFS('Registre de reserves'!$R$2:$R$1178,'Registre de reserves'!$T$2:$T$1178,"SI",'Registre de reserves'!$I$2:$I$1178,'2023'!$A25,'Registre de reserves'!$B$2:$B$1178,'2023'!H$2,Tabla1[ANY],'2023'!$Z$2)</f>
        <v>0</v>
      </c>
      <c r="I25" s="21">
        <f t="shared" si="31"/>
        <v>0</v>
      </c>
      <c r="J25" s="23">
        <f>SUMIFS('Registre de reserves'!$R$2:$R$1178,'Registre de reserves'!$T$2:$T$1178,"SI",'Registre de reserves'!$I$2:$I$1178,'2023'!$A25,'Registre de reserves'!$B$2:$B$1178,'2023'!J$2,Tabla1[ANY],'2023'!$Z$2)</f>
        <v>0</v>
      </c>
      <c r="K25" s="21">
        <f t="shared" si="32"/>
        <v>0</v>
      </c>
      <c r="L25" s="23">
        <f>SUMIFS('Registre de reserves'!$R$2:$R$1178,'Registre de reserves'!$T$2:$T$1178,"SI",'Registre de reserves'!$I$2:$I$1178,'2023'!$A25,'Registre de reserves'!$B$2:$B$1178,'2023'!L$2,Tabla1[ANY],'2023'!$Z$2)</f>
        <v>0</v>
      </c>
      <c r="M25" s="21">
        <f t="shared" si="33"/>
        <v>0</v>
      </c>
      <c r="N25" s="23">
        <f>SUMIFS('Registre de reserves'!$R$2:$R$1178,'Registre de reserves'!$T$2:$T$1178,"SI",'Registre de reserves'!$I$2:$I$1178,'2023'!$A25,'Registre de reserves'!$B$2:$B$1178,'2023'!N$2,Tabla1[ANY],'2023'!$Z$2)</f>
        <v>0</v>
      </c>
      <c r="O25" s="21">
        <f t="shared" si="34"/>
        <v>0</v>
      </c>
      <c r="P25" s="23">
        <f>SUMIFS('Registre de reserves'!$R$2:$R$1178,'Registre de reserves'!$T$2:$T$1178,"SI",'Registre de reserves'!$I$2:$I$1178,'2023'!$A25,'Registre de reserves'!$B$2:$B$1178,'2023'!P$2,Tabla1[ANY],'2023'!$Z$2)</f>
        <v>0</v>
      </c>
      <c r="Q25" s="21">
        <f t="shared" si="35"/>
        <v>0</v>
      </c>
      <c r="R25" s="23">
        <f>SUMIFS('Registre de reserves'!$R$2:$R$1178,'Registre de reserves'!$T$2:$T$1178,"SI",'Registre de reserves'!$I$2:$I$1178,'2023'!$A25,'Registre de reserves'!$B$2:$B$1178,'2023'!R$2,Tabla1[ANY],'2023'!$Z$2)</f>
        <v>0</v>
      </c>
      <c r="S25" s="21">
        <f t="shared" si="36"/>
        <v>0</v>
      </c>
      <c r="T25" s="23">
        <f>SUMIFS('Registre de reserves'!$R$2:$R$1178,'Registre de reserves'!$T$2:$T$1178,"SI",'Registre de reserves'!$I$2:$I$1178,'2023'!$A25,'Registre de reserves'!$B$2:$B$1178,'2023'!T$2,Tabla1[ANY],'2023'!$Z$2)</f>
        <v>0</v>
      </c>
      <c r="U25" s="21">
        <f t="shared" si="37"/>
        <v>0</v>
      </c>
      <c r="V25" s="23">
        <f>SUMIFS('Registre de reserves'!$R$2:$R$1178,'Registre de reserves'!$T$2:$T$1178,"SI",'Registre de reserves'!$I$2:$I$1178,'2023'!$A25,'Registre de reserves'!$B$2:$B$1178,'2023'!V$2,Tabla1[ANY],'2023'!$Z$2)</f>
        <v>0</v>
      </c>
      <c r="W25" s="21">
        <f t="shared" si="38"/>
        <v>0</v>
      </c>
      <c r="X25" s="23">
        <f>SUMIFS('Registre de reserves'!$R$2:$R$1178,'Registre de reserves'!$T$2:$T$1178,"SI",'Registre de reserves'!$I$2:$I$1178,'2023'!$A25,'Registre de reserves'!$B$2:$B$1178,'2023'!X$2,Tabla1[ANY],'2023'!$Z$2)</f>
        <v>0</v>
      </c>
      <c r="Y25" s="21">
        <f t="shared" si="39"/>
        <v>0</v>
      </c>
      <c r="Z25" s="20">
        <f t="shared" si="41"/>
        <v>210</v>
      </c>
      <c r="AA25" s="21">
        <f t="shared" si="42"/>
        <v>7.9545454545454544E-2</v>
      </c>
      <c r="AB25" s="178">
        <f t="shared" si="2"/>
        <v>17.5</v>
      </c>
    </row>
    <row r="26" spans="1:28" hidden="1" outlineLevel="1" x14ac:dyDescent="0.2">
      <c r="A26" s="8" t="s">
        <v>71</v>
      </c>
      <c r="B26" s="23">
        <f>SUMIFS('Registre de reserves'!$R$2:$R$1178,'Registre de reserves'!$T$2:$T$1178,"SI",'Registre de reserves'!$I$2:$I$1178,'2023'!$A26,'Registre de reserves'!$B$2:$B$1178,'2023'!B$2,Tabla1[ANY],'2023'!$Z$2)</f>
        <v>0</v>
      </c>
      <c r="C26" s="21">
        <f t="shared" si="40"/>
        <v>0</v>
      </c>
      <c r="D26" s="23">
        <f>SUMIFS('Registre de reserves'!$R$2:$R$1178,'Registre de reserves'!$T$2:$T$1178,"SI",'Registre de reserves'!$I$2:$I$1178,'2023'!$A26,'Registre de reserves'!$B$2:$B$1178,'2023'!D$2,Tabla1[ANY],'2023'!$Z$2)</f>
        <v>0</v>
      </c>
      <c r="E26" s="21">
        <f t="shared" si="40"/>
        <v>0</v>
      </c>
      <c r="F26" s="23">
        <f>SUMIFS('Registre de reserves'!$R$2:$R$1178,'Registre de reserves'!$T$2:$T$1178,"SI",'Registre de reserves'!$I$2:$I$1178,'2023'!$A26,'Registre de reserves'!$B$2:$B$1178,'2023'!F$2,Tabla1[ANY],'2023'!$Z$2)</f>
        <v>0</v>
      </c>
      <c r="G26" s="21">
        <f t="shared" si="30"/>
        <v>0</v>
      </c>
      <c r="H26" s="23">
        <f>SUMIFS('Registre de reserves'!$R$2:$R$1178,'Registre de reserves'!$T$2:$T$1178,"SI",'Registre de reserves'!$I$2:$I$1178,'2023'!$A26,'Registre de reserves'!$B$2:$B$1178,'2023'!H$2,Tabla1[ANY],'2023'!$Z$2)</f>
        <v>0</v>
      </c>
      <c r="I26" s="21">
        <f t="shared" si="31"/>
        <v>0</v>
      </c>
      <c r="J26" s="23">
        <f>SUMIFS('Registre de reserves'!$R$2:$R$1178,'Registre de reserves'!$T$2:$T$1178,"SI",'Registre de reserves'!$I$2:$I$1178,'2023'!$A26,'Registre de reserves'!$B$2:$B$1178,'2023'!J$2,Tabla1[ANY],'2023'!$Z$2)</f>
        <v>0</v>
      </c>
      <c r="K26" s="21">
        <f t="shared" si="32"/>
        <v>0</v>
      </c>
      <c r="L26" s="23">
        <f>SUMIFS('Registre de reserves'!$R$2:$R$1178,'Registre de reserves'!$T$2:$T$1178,"SI",'Registre de reserves'!$I$2:$I$1178,'2023'!$A26,'Registre de reserves'!$B$2:$B$1178,'2023'!L$2,Tabla1[ANY],'2023'!$Z$2)</f>
        <v>0</v>
      </c>
      <c r="M26" s="21">
        <f t="shared" si="33"/>
        <v>0</v>
      </c>
      <c r="N26" s="23">
        <f>SUMIFS('Registre de reserves'!$R$2:$R$1178,'Registre de reserves'!$T$2:$T$1178,"SI",'Registre de reserves'!$I$2:$I$1178,'2023'!$A26,'Registre de reserves'!$B$2:$B$1178,'2023'!N$2,Tabla1[ANY],'2023'!$Z$2)</f>
        <v>0</v>
      </c>
      <c r="O26" s="21">
        <f t="shared" si="34"/>
        <v>0</v>
      </c>
      <c r="P26" s="23">
        <f>SUMIFS('Registre de reserves'!$R$2:$R$1178,'Registre de reserves'!$T$2:$T$1178,"SI",'Registre de reserves'!$I$2:$I$1178,'2023'!$A26,'Registre de reserves'!$B$2:$B$1178,'2023'!P$2,Tabla1[ANY],'2023'!$Z$2)</f>
        <v>0</v>
      </c>
      <c r="Q26" s="21">
        <f t="shared" si="35"/>
        <v>0</v>
      </c>
      <c r="R26" s="23">
        <f>SUMIFS('Registre de reserves'!$R$2:$R$1178,'Registre de reserves'!$T$2:$T$1178,"SI",'Registre de reserves'!$I$2:$I$1178,'2023'!$A26,'Registre de reserves'!$B$2:$B$1178,'2023'!R$2,Tabla1[ANY],'2023'!$Z$2)</f>
        <v>0</v>
      </c>
      <c r="S26" s="21">
        <f t="shared" si="36"/>
        <v>0</v>
      </c>
      <c r="T26" s="23">
        <f>SUMIFS('Registre de reserves'!$R$2:$R$1178,'Registre de reserves'!$T$2:$T$1178,"SI",'Registre de reserves'!$I$2:$I$1178,'2023'!$A26,'Registre de reserves'!$B$2:$B$1178,'2023'!T$2,Tabla1[ANY],'2023'!$Z$2)</f>
        <v>0</v>
      </c>
      <c r="U26" s="21">
        <f t="shared" si="37"/>
        <v>0</v>
      </c>
      <c r="V26" s="23">
        <f>SUMIFS('Registre de reserves'!$R$2:$R$1178,'Registre de reserves'!$T$2:$T$1178,"SI",'Registre de reserves'!$I$2:$I$1178,'2023'!$A26,'Registre de reserves'!$B$2:$B$1178,'2023'!V$2,Tabla1[ANY],'2023'!$Z$2)</f>
        <v>0</v>
      </c>
      <c r="W26" s="21">
        <f t="shared" si="38"/>
        <v>0</v>
      </c>
      <c r="X26" s="23">
        <f>SUMIFS('Registre de reserves'!$R$2:$R$1178,'Registre de reserves'!$T$2:$T$1178,"SI",'Registre de reserves'!$I$2:$I$1178,'2023'!$A26,'Registre de reserves'!$B$2:$B$1178,'2023'!X$2,Tabla1[ANY],'2023'!$Z$2)</f>
        <v>0</v>
      </c>
      <c r="Y26" s="21">
        <f t="shared" si="39"/>
        <v>0</v>
      </c>
      <c r="Z26" s="20">
        <f t="shared" si="41"/>
        <v>0</v>
      </c>
      <c r="AA26" s="21">
        <f t="shared" si="42"/>
        <v>0</v>
      </c>
      <c r="AB26" s="178">
        <f t="shared" si="2"/>
        <v>0</v>
      </c>
    </row>
    <row r="27" spans="1:28" hidden="1" outlineLevel="1" x14ac:dyDescent="0.2">
      <c r="A27" s="8" t="s">
        <v>72</v>
      </c>
      <c r="B27" s="23">
        <f>SUMIFS('Registre de reserves'!$R$2:$R$1178,'Registre de reserves'!$T$2:$T$1178,"SI",'Registre de reserves'!$I$2:$I$1178,'2023'!$A27,'Registre de reserves'!$B$2:$B$1178,'2023'!B$2,Tabla1[ANY],'2023'!$Z$2)</f>
        <v>0</v>
      </c>
      <c r="C27" s="21">
        <f t="shared" si="40"/>
        <v>0</v>
      </c>
      <c r="D27" s="23">
        <f>SUMIFS('Registre de reserves'!$R$2:$R$1178,'Registre de reserves'!$T$2:$T$1178,"SI",'Registre de reserves'!$I$2:$I$1178,'2023'!$A27,'Registre de reserves'!$B$2:$B$1178,'2023'!D$2,Tabla1[ANY],'2023'!$Z$2)</f>
        <v>0</v>
      </c>
      <c r="E27" s="21">
        <f t="shared" si="40"/>
        <v>0</v>
      </c>
      <c r="F27" s="23">
        <f>SUMIFS('Registre de reserves'!$R$2:$R$1178,'Registre de reserves'!$T$2:$T$1178,"SI",'Registre de reserves'!$I$2:$I$1178,'2023'!$A27,'Registre de reserves'!$B$2:$B$1178,'2023'!F$2,Tabla1[ANY],'2023'!$Z$2)</f>
        <v>0</v>
      </c>
      <c r="G27" s="21">
        <f t="shared" si="30"/>
        <v>0</v>
      </c>
      <c r="H27" s="23">
        <f>SUMIFS('Registre de reserves'!$R$2:$R$1178,'Registre de reserves'!$T$2:$T$1178,"SI",'Registre de reserves'!$I$2:$I$1178,'2023'!$A27,'Registre de reserves'!$B$2:$B$1178,'2023'!H$2,Tabla1[ANY],'2023'!$Z$2)</f>
        <v>0</v>
      </c>
      <c r="I27" s="21">
        <f t="shared" si="31"/>
        <v>0</v>
      </c>
      <c r="J27" s="23">
        <f>SUMIFS('Registre de reserves'!$R$2:$R$1178,'Registre de reserves'!$T$2:$T$1178,"SI",'Registre de reserves'!$I$2:$I$1178,'2023'!$A27,'Registre de reserves'!$B$2:$B$1178,'2023'!J$2,Tabla1[ANY],'2023'!$Z$2)</f>
        <v>0</v>
      </c>
      <c r="K27" s="21">
        <f t="shared" si="32"/>
        <v>0</v>
      </c>
      <c r="L27" s="23">
        <f>SUMIFS('Registre de reserves'!$R$2:$R$1178,'Registre de reserves'!$T$2:$T$1178,"SI",'Registre de reserves'!$I$2:$I$1178,'2023'!$A27,'Registre de reserves'!$B$2:$B$1178,'2023'!L$2,Tabla1[ANY],'2023'!$Z$2)</f>
        <v>0</v>
      </c>
      <c r="M27" s="21">
        <f t="shared" si="33"/>
        <v>0</v>
      </c>
      <c r="N27" s="23">
        <f>SUMIFS('Registre de reserves'!$R$2:$R$1178,'Registre de reserves'!$T$2:$T$1178,"SI",'Registre de reserves'!$I$2:$I$1178,'2023'!$A27,'Registre de reserves'!$B$2:$B$1178,'2023'!N$2,Tabla1[ANY],'2023'!$Z$2)</f>
        <v>0</v>
      </c>
      <c r="O27" s="21">
        <f t="shared" si="34"/>
        <v>0</v>
      </c>
      <c r="P27" s="23">
        <f>SUMIFS('Registre de reserves'!$R$2:$R$1178,'Registre de reserves'!$T$2:$T$1178,"SI",'Registre de reserves'!$I$2:$I$1178,'2023'!$A27,'Registre de reserves'!$B$2:$B$1178,'2023'!P$2,Tabla1[ANY],'2023'!$Z$2)</f>
        <v>0</v>
      </c>
      <c r="Q27" s="21">
        <f t="shared" si="35"/>
        <v>0</v>
      </c>
      <c r="R27" s="23">
        <f>SUMIFS('Registre de reserves'!$R$2:$R$1178,'Registre de reserves'!$T$2:$T$1178,"SI",'Registre de reserves'!$I$2:$I$1178,'2023'!$A27,'Registre de reserves'!$B$2:$B$1178,'2023'!R$2,Tabla1[ANY],'2023'!$Z$2)</f>
        <v>0</v>
      </c>
      <c r="S27" s="21">
        <f t="shared" si="36"/>
        <v>0</v>
      </c>
      <c r="T27" s="23">
        <f>SUMIFS('Registre de reserves'!$R$2:$R$1178,'Registre de reserves'!$T$2:$T$1178,"SI",'Registre de reserves'!$I$2:$I$1178,'2023'!$A27,'Registre de reserves'!$B$2:$B$1178,'2023'!T$2,Tabla1[ANY],'2023'!$Z$2)</f>
        <v>0</v>
      </c>
      <c r="U27" s="21">
        <f t="shared" si="37"/>
        <v>0</v>
      </c>
      <c r="V27" s="23">
        <f>SUMIFS('Registre de reserves'!$R$2:$R$1178,'Registre de reserves'!$T$2:$T$1178,"SI",'Registre de reserves'!$I$2:$I$1178,'2023'!$A27,'Registre de reserves'!$B$2:$B$1178,'2023'!V$2,Tabla1[ANY],'2023'!$Z$2)</f>
        <v>0</v>
      </c>
      <c r="W27" s="21">
        <f t="shared" si="38"/>
        <v>0</v>
      </c>
      <c r="X27" s="23">
        <f>SUMIFS('Registre de reserves'!$R$2:$R$1178,'Registre de reserves'!$T$2:$T$1178,"SI",'Registre de reserves'!$I$2:$I$1178,'2023'!$A27,'Registre de reserves'!$B$2:$B$1178,'2023'!X$2,Tabla1[ANY],'2023'!$Z$2)</f>
        <v>0</v>
      </c>
      <c r="Y27" s="21">
        <f t="shared" si="39"/>
        <v>0</v>
      </c>
      <c r="Z27" s="20">
        <f t="shared" si="41"/>
        <v>0</v>
      </c>
      <c r="AA27" s="21">
        <f t="shared" si="42"/>
        <v>0</v>
      </c>
      <c r="AB27" s="178">
        <f t="shared" si="2"/>
        <v>0</v>
      </c>
    </row>
    <row r="28" spans="1:28" hidden="1" outlineLevel="1" x14ac:dyDescent="0.2">
      <c r="A28" s="8" t="s">
        <v>69</v>
      </c>
      <c r="B28" s="23">
        <f>SUMIFS('Registre de reserves'!$R$2:$R$1178,'Registre de reserves'!$T$2:$T$1178,"SI",'Registre de reserves'!$I$2:$I$1178,'2023'!$A28,'Registre de reserves'!$B$2:$B$1178,'2023'!B$2,Tabla1[ANY],'2023'!$Z$2)</f>
        <v>250</v>
      </c>
      <c r="C28" s="21">
        <f t="shared" si="40"/>
        <v>0.80645161290322576</v>
      </c>
      <c r="D28" s="23">
        <f>SUMIFS('Registre de reserves'!$R$2:$R$1178,'Registre de reserves'!$T$2:$T$1178,"SI",'Registre de reserves'!$I$2:$I$1178,'2023'!$A28,'Registre de reserves'!$B$2:$B$1178,'2023'!D$2,Tabla1[ANY],'2023'!$Z$2)</f>
        <v>120</v>
      </c>
      <c r="E28" s="21">
        <f t="shared" si="40"/>
        <v>0.36363636363636365</v>
      </c>
      <c r="F28" s="23">
        <f>SUMIFS('Registre de reserves'!$R$2:$R$1178,'Registre de reserves'!$T$2:$T$1178,"SI",'Registre de reserves'!$I$2:$I$1178,'2023'!$A28,'Registre de reserves'!$B$2:$B$1178,'2023'!F$2,Tabla1[ANY],'2023'!$Z$2)</f>
        <v>180</v>
      </c>
      <c r="G28" s="21">
        <f t="shared" si="30"/>
        <v>1</v>
      </c>
      <c r="H28" s="23">
        <f>SUMIFS('Registre de reserves'!$R$2:$R$1178,'Registre de reserves'!$T$2:$T$1178,"SI",'Registre de reserves'!$I$2:$I$1178,'2023'!$A28,'Registre de reserves'!$B$2:$B$1178,'2023'!H$2,Tabla1[ANY],'2023'!$Z$2)</f>
        <v>120</v>
      </c>
      <c r="I28" s="21">
        <f t="shared" si="31"/>
        <v>1</v>
      </c>
      <c r="J28" s="23">
        <f>SUMIFS('Registre de reserves'!$R$2:$R$1178,'Registre de reserves'!$T$2:$T$1178,"SI",'Registre de reserves'!$I$2:$I$1178,'2023'!$A28,'Registre de reserves'!$B$2:$B$1178,'2023'!J$2,Tabla1[ANY],'2023'!$Z$2)</f>
        <v>180</v>
      </c>
      <c r="K28" s="21">
        <f t="shared" si="32"/>
        <v>1</v>
      </c>
      <c r="L28" s="23">
        <f>SUMIFS('Registre de reserves'!$R$2:$R$1178,'Registre de reserves'!$T$2:$T$1178,"SI",'Registre de reserves'!$I$2:$I$1178,'2023'!$A28,'Registre de reserves'!$B$2:$B$1178,'2023'!L$2,Tabla1[ANY],'2023'!$Z$2)</f>
        <v>60</v>
      </c>
      <c r="M28" s="21">
        <f t="shared" si="33"/>
        <v>1</v>
      </c>
      <c r="N28" s="23">
        <f>SUMIFS('Registre de reserves'!$R$2:$R$1178,'Registre de reserves'!$T$2:$T$1178,"SI",'Registre de reserves'!$I$2:$I$1178,'2023'!$A28,'Registre de reserves'!$B$2:$B$1178,'2023'!N$2,Tabla1[ANY],'2023'!$Z$2)</f>
        <v>340</v>
      </c>
      <c r="O28" s="21">
        <f t="shared" si="34"/>
        <v>0.86075949367088611</v>
      </c>
      <c r="P28" s="23">
        <f>SUMIFS('Registre de reserves'!$R$2:$R$1178,'Registre de reserves'!$T$2:$T$1178,"SI",'Registre de reserves'!$I$2:$I$1178,'2023'!$A28,'Registre de reserves'!$B$2:$B$1178,'2023'!P$2,Tabla1[ANY],'2023'!$Z$2)</f>
        <v>80</v>
      </c>
      <c r="Q28" s="21">
        <f t="shared" si="35"/>
        <v>1</v>
      </c>
      <c r="R28" s="23">
        <f>SUMIFS('Registre de reserves'!$R$2:$R$1178,'Registre de reserves'!$T$2:$T$1178,"SI",'Registre de reserves'!$I$2:$I$1178,'2023'!$A28,'Registre de reserves'!$B$2:$B$1178,'2023'!R$2,Tabla1[ANY],'2023'!$Z$2)</f>
        <v>160</v>
      </c>
      <c r="S28" s="21">
        <f t="shared" si="36"/>
        <v>0.45070422535211269</v>
      </c>
      <c r="T28" s="23">
        <f>SUMIFS('Registre de reserves'!$R$2:$R$1178,'Registre de reserves'!$T$2:$T$1178,"SI",'Registre de reserves'!$I$2:$I$1178,'2023'!$A28,'Registre de reserves'!$B$2:$B$1178,'2023'!T$2,Tabla1[ANY],'2023'!$Z$2)</f>
        <v>110</v>
      </c>
      <c r="U28" s="21">
        <f t="shared" si="37"/>
        <v>0.57894736842105265</v>
      </c>
      <c r="V28" s="23">
        <f>SUMIFS('Registre de reserves'!$R$2:$R$1178,'Registre de reserves'!$T$2:$T$1178,"SI",'Registre de reserves'!$I$2:$I$1178,'2023'!$A28,'Registre de reserves'!$B$2:$B$1178,'2023'!V$2,Tabla1[ANY],'2023'!$Z$2)</f>
        <v>60</v>
      </c>
      <c r="W28" s="21">
        <f t="shared" si="38"/>
        <v>1</v>
      </c>
      <c r="X28" s="23">
        <f>SUMIFS('Registre de reserves'!$R$2:$R$1178,'Registre de reserves'!$T$2:$T$1178,"SI",'Registre de reserves'!$I$2:$I$1178,'2023'!$A28,'Registre de reserves'!$B$2:$B$1178,'2023'!X$2,Tabla1[ANY],'2023'!$Z$2)</f>
        <v>360</v>
      </c>
      <c r="Y28" s="21">
        <f t="shared" si="39"/>
        <v>0.94736842105263153</v>
      </c>
      <c r="Z28" s="20">
        <f t="shared" si="41"/>
        <v>2020</v>
      </c>
      <c r="AA28" s="21">
        <f t="shared" si="42"/>
        <v>0.76515151515151514</v>
      </c>
      <c r="AB28" s="178">
        <f t="shared" si="2"/>
        <v>168.33333333333334</v>
      </c>
    </row>
    <row r="29" spans="1:28" hidden="1" outlineLevel="1" x14ac:dyDescent="0.2">
      <c r="A29" s="8" t="s">
        <v>70</v>
      </c>
      <c r="B29" s="23">
        <f>SUMIFS('Registre de reserves'!$R$2:$R$1178,'Registre de reserves'!$T$2:$T$1178,"SI",'Registre de reserves'!$I$2:$I$1178,'2023'!$A29,'Registre de reserves'!$B$2:$B$1178,'2023'!B$2,Tabla1[ANY],'2023'!$Z$2)</f>
        <v>60</v>
      </c>
      <c r="C29" s="21">
        <f t="shared" si="40"/>
        <v>0.19354838709677419</v>
      </c>
      <c r="D29" s="23">
        <f>SUMIFS('Registre de reserves'!$R$2:$R$1178,'Registre de reserves'!$T$2:$T$1178,"SI",'Registre de reserves'!$I$2:$I$1178,'2023'!$A29,'Registre de reserves'!$B$2:$B$1178,'2023'!D$2,Tabla1[ANY],'2023'!$Z$2)</f>
        <v>0</v>
      </c>
      <c r="E29" s="21">
        <f t="shared" si="40"/>
        <v>0</v>
      </c>
      <c r="F29" s="23">
        <f>SUMIFS('Registre de reserves'!$R$2:$R$1178,'Registre de reserves'!$T$2:$T$1178,"SI",'Registre de reserves'!$I$2:$I$1178,'2023'!$A29,'Registre de reserves'!$B$2:$B$1178,'2023'!F$2,Tabla1[ANY],'2023'!$Z$2)</f>
        <v>0</v>
      </c>
      <c r="G29" s="21">
        <f t="shared" si="30"/>
        <v>0</v>
      </c>
      <c r="H29" s="23">
        <f>SUMIFS('Registre de reserves'!$R$2:$R$1178,'Registre de reserves'!$T$2:$T$1178,"SI",'Registre de reserves'!$I$2:$I$1178,'2023'!$A29,'Registre de reserves'!$B$2:$B$1178,'2023'!H$2,Tabla1[ANY],'2023'!$Z$2)</f>
        <v>0</v>
      </c>
      <c r="I29" s="21">
        <f t="shared" si="31"/>
        <v>0</v>
      </c>
      <c r="J29" s="23">
        <f>SUMIFS('Registre de reserves'!$R$2:$R$1178,'Registre de reserves'!$T$2:$T$1178,"SI",'Registre de reserves'!$I$2:$I$1178,'2023'!$A29,'Registre de reserves'!$B$2:$B$1178,'2023'!J$2,Tabla1[ANY],'2023'!$Z$2)</f>
        <v>0</v>
      </c>
      <c r="K29" s="21">
        <f t="shared" si="32"/>
        <v>0</v>
      </c>
      <c r="L29" s="23">
        <f>SUMIFS('Registre de reserves'!$R$2:$R$1178,'Registre de reserves'!$T$2:$T$1178,"SI",'Registre de reserves'!$I$2:$I$1178,'2023'!$A29,'Registre de reserves'!$B$2:$B$1178,'2023'!L$2,Tabla1[ANY],'2023'!$Z$2)</f>
        <v>0</v>
      </c>
      <c r="M29" s="21">
        <f t="shared" si="33"/>
        <v>0</v>
      </c>
      <c r="N29" s="23">
        <f>SUMIFS('Registre de reserves'!$R$2:$R$1178,'Registre de reserves'!$T$2:$T$1178,"SI",'Registre de reserves'!$I$2:$I$1178,'2023'!$A29,'Registre de reserves'!$B$2:$B$1178,'2023'!N$2,Tabla1[ANY],'2023'!$Z$2)</f>
        <v>0</v>
      </c>
      <c r="O29" s="21">
        <f t="shared" si="34"/>
        <v>0</v>
      </c>
      <c r="P29" s="23">
        <f>SUMIFS('Registre de reserves'!$R$2:$R$1178,'Registre de reserves'!$T$2:$T$1178,"SI",'Registre de reserves'!$I$2:$I$1178,'2023'!$A29,'Registre de reserves'!$B$2:$B$1178,'2023'!P$2,Tabla1[ANY],'2023'!$Z$2)</f>
        <v>0</v>
      </c>
      <c r="Q29" s="21">
        <f t="shared" si="35"/>
        <v>0</v>
      </c>
      <c r="R29" s="23">
        <f>SUMIFS('Registre de reserves'!$R$2:$R$1178,'Registre de reserves'!$T$2:$T$1178,"SI",'Registre de reserves'!$I$2:$I$1178,'2023'!$A29,'Registre de reserves'!$B$2:$B$1178,'2023'!R$2,Tabla1[ANY],'2023'!$Z$2)</f>
        <v>175</v>
      </c>
      <c r="S29" s="21">
        <f t="shared" si="36"/>
        <v>0.49295774647887325</v>
      </c>
      <c r="T29" s="23">
        <f>SUMIFS('Registre de reserves'!$R$2:$R$1178,'Registre de reserves'!$T$2:$T$1178,"SI",'Registre de reserves'!$I$2:$I$1178,'2023'!$A29,'Registre de reserves'!$B$2:$B$1178,'2023'!T$2,Tabla1[ANY],'2023'!$Z$2)</f>
        <v>80</v>
      </c>
      <c r="U29" s="21">
        <f t="shared" si="37"/>
        <v>0.42105263157894735</v>
      </c>
      <c r="V29" s="23">
        <f>SUMIFS('Registre de reserves'!$R$2:$R$1178,'Registre de reserves'!$T$2:$T$1178,"SI",'Registre de reserves'!$I$2:$I$1178,'2023'!$A29,'Registre de reserves'!$B$2:$B$1178,'2023'!V$2,Tabla1[ANY],'2023'!$Z$2)</f>
        <v>0</v>
      </c>
      <c r="W29" s="21">
        <f t="shared" si="38"/>
        <v>0</v>
      </c>
      <c r="X29" s="23">
        <f>SUMIFS('Registre de reserves'!$R$2:$R$1178,'Registre de reserves'!$T$2:$T$1178,"SI",'Registre de reserves'!$I$2:$I$1178,'2023'!$A29,'Registre de reserves'!$B$2:$B$1178,'2023'!X$2,Tabla1[ANY],'2023'!$Z$2)</f>
        <v>0</v>
      </c>
      <c r="Y29" s="21">
        <f t="shared" si="39"/>
        <v>0</v>
      </c>
      <c r="Z29" s="20">
        <f t="shared" si="41"/>
        <v>315</v>
      </c>
      <c r="AA29" s="21">
        <f t="shared" si="42"/>
        <v>0.11931818181818182</v>
      </c>
      <c r="AB29" s="178">
        <f t="shared" si="2"/>
        <v>26.25</v>
      </c>
    </row>
    <row r="30" spans="1:28" hidden="1" outlineLevel="1" x14ac:dyDescent="0.2">
      <c r="A30" s="8" t="s">
        <v>73</v>
      </c>
      <c r="B30" s="23">
        <f>SUMIFS('Registre de reserves'!$R$2:$R$1178,'Registre de reserves'!$T$2:$T$1178,"SI",'Registre de reserves'!$I$2:$I$1178,'2023'!$A30,'Registre de reserves'!$B$2:$B$1178,'2023'!B$2,Tabla1[ANY],'2023'!$Z$2)</f>
        <v>0</v>
      </c>
      <c r="C30" s="21">
        <f t="shared" si="40"/>
        <v>0</v>
      </c>
      <c r="D30" s="23">
        <f>SUMIFS('Registre de reserves'!$R$2:$R$1178,'Registre de reserves'!$T$2:$T$1178,"SI",'Registre de reserves'!$I$2:$I$1178,'2023'!$A30,'Registre de reserves'!$B$2:$B$1178,'2023'!D$2,Tabla1[ANY],'2023'!$Z$2)</f>
        <v>0</v>
      </c>
      <c r="E30" s="21">
        <f t="shared" si="40"/>
        <v>0</v>
      </c>
      <c r="F30" s="23">
        <f>SUMIFS('Registre de reserves'!$R$2:$R$1178,'Registre de reserves'!$T$2:$T$1178,"SI",'Registre de reserves'!$I$2:$I$1178,'2023'!$A30,'Registre de reserves'!$B$2:$B$1178,'2023'!F$2,Tabla1[ANY],'2023'!$Z$2)</f>
        <v>0</v>
      </c>
      <c r="G30" s="21">
        <f t="shared" si="30"/>
        <v>0</v>
      </c>
      <c r="H30" s="23">
        <f>SUMIFS('Registre de reserves'!$R$2:$R$1178,'Registre de reserves'!$T$2:$T$1178,"SI",'Registre de reserves'!$I$2:$I$1178,'2023'!$A30,'Registre de reserves'!$B$2:$B$1178,'2023'!H$2,Tabla1[ANY],'2023'!$Z$2)</f>
        <v>0</v>
      </c>
      <c r="I30" s="21">
        <f t="shared" si="31"/>
        <v>0</v>
      </c>
      <c r="J30" s="23">
        <f>SUMIFS('Registre de reserves'!$R$2:$R$1178,'Registre de reserves'!$T$2:$T$1178,"SI",'Registre de reserves'!$I$2:$I$1178,'2023'!$A30,'Registre de reserves'!$B$2:$B$1178,'2023'!J$2,Tabla1[ANY],'2023'!$Z$2)</f>
        <v>0</v>
      </c>
      <c r="K30" s="21">
        <f t="shared" si="32"/>
        <v>0</v>
      </c>
      <c r="L30" s="23">
        <f>SUMIFS('Registre de reserves'!$R$2:$R$1178,'Registre de reserves'!$T$2:$T$1178,"SI",'Registre de reserves'!$I$2:$I$1178,'2023'!$A30,'Registre de reserves'!$B$2:$B$1178,'2023'!L$2,Tabla1[ANY],'2023'!$Z$2)</f>
        <v>0</v>
      </c>
      <c r="M30" s="21">
        <f t="shared" si="33"/>
        <v>0</v>
      </c>
      <c r="N30" s="23">
        <f>SUMIFS('Registre de reserves'!$R$2:$R$1178,'Registre de reserves'!$T$2:$T$1178,"SI",'Registre de reserves'!$I$2:$I$1178,'2023'!$A30,'Registre de reserves'!$B$2:$B$1178,'2023'!N$2,Tabla1[ANY],'2023'!$Z$2)</f>
        <v>0</v>
      </c>
      <c r="O30" s="21">
        <f t="shared" si="34"/>
        <v>0</v>
      </c>
      <c r="P30" s="23">
        <f>SUMIFS('Registre de reserves'!$R$2:$R$1178,'Registre de reserves'!$T$2:$T$1178,"SI",'Registre de reserves'!$I$2:$I$1178,'2023'!$A30,'Registre de reserves'!$B$2:$B$1178,'2023'!P$2,Tabla1[ANY],'2023'!$Z$2)</f>
        <v>0</v>
      </c>
      <c r="Q30" s="21">
        <f t="shared" si="35"/>
        <v>0</v>
      </c>
      <c r="R30" s="23">
        <f>SUMIFS('Registre de reserves'!$R$2:$R$1178,'Registre de reserves'!$T$2:$T$1178,"SI",'Registre de reserves'!$I$2:$I$1178,'2023'!$A30,'Registre de reserves'!$B$2:$B$1178,'2023'!R$2,Tabla1[ANY],'2023'!$Z$2)</f>
        <v>0</v>
      </c>
      <c r="S30" s="21">
        <f t="shared" si="36"/>
        <v>0</v>
      </c>
      <c r="T30" s="23">
        <f>SUMIFS('Registre de reserves'!$R$2:$R$1178,'Registre de reserves'!$T$2:$T$1178,"SI",'Registre de reserves'!$I$2:$I$1178,'2023'!$A30,'Registre de reserves'!$B$2:$B$1178,'2023'!T$2,Tabla1[ANY],'2023'!$Z$2)</f>
        <v>0</v>
      </c>
      <c r="U30" s="21">
        <f t="shared" si="37"/>
        <v>0</v>
      </c>
      <c r="V30" s="23">
        <f>SUMIFS('Registre de reserves'!$R$2:$R$1178,'Registre de reserves'!$T$2:$T$1178,"SI",'Registre de reserves'!$I$2:$I$1178,'2023'!$A30,'Registre de reserves'!$B$2:$B$1178,'2023'!V$2,Tabla1[ANY],'2023'!$Z$2)</f>
        <v>0</v>
      </c>
      <c r="W30" s="21">
        <f t="shared" si="38"/>
        <v>0</v>
      </c>
      <c r="X30" s="23">
        <f>SUMIFS('Registre de reserves'!$R$2:$R$1178,'Registre de reserves'!$T$2:$T$1178,"SI",'Registre de reserves'!$I$2:$I$1178,'2023'!$A30,'Registre de reserves'!$B$2:$B$1178,'2023'!X$2,Tabla1[ANY],'2023'!$Z$2)</f>
        <v>0</v>
      </c>
      <c r="Y30" s="21">
        <f t="shared" si="39"/>
        <v>0</v>
      </c>
      <c r="Z30" s="20">
        <f t="shared" si="41"/>
        <v>0</v>
      </c>
      <c r="AA30" s="21">
        <f t="shared" si="42"/>
        <v>0</v>
      </c>
      <c r="AB30" s="178">
        <f t="shared" si="2"/>
        <v>0</v>
      </c>
    </row>
    <row r="31" spans="1:28" collapsed="1" x14ac:dyDescent="0.2">
      <c r="A31" s="33" t="s">
        <v>77</v>
      </c>
      <c r="B31" s="22">
        <f>SUM(B32:B39)</f>
        <v>0</v>
      </c>
      <c r="C31" s="19">
        <f>IF((B$31+B$13)=0,0,B31/(B$31+B$13))</f>
        <v>0</v>
      </c>
      <c r="D31" s="22">
        <f>SUM(D32:D39)</f>
        <v>0</v>
      </c>
      <c r="E31" s="19">
        <f>IF((D$31+D$13)=0,0,D31/(D$31+D$13))</f>
        <v>0</v>
      </c>
      <c r="F31" s="22">
        <f>SUM(F32:F39)</f>
        <v>0</v>
      </c>
      <c r="G31" s="19">
        <f>IF((F$31+F$13)=0,0,F31/(F$31+F$13))</f>
        <v>0</v>
      </c>
      <c r="H31" s="22">
        <f>SUM(H32:H39)</f>
        <v>0</v>
      </c>
      <c r="I31" s="19">
        <f>IF((H$31+H$13)=0,0,H31/(H$31+H$13))</f>
        <v>0</v>
      </c>
      <c r="J31" s="22">
        <f>SUM(J32:J39)</f>
        <v>0</v>
      </c>
      <c r="K31" s="19">
        <f>IF((J$31+J$13)=0,0,J31/(J$31+J$13))</f>
        <v>0</v>
      </c>
      <c r="L31" s="22">
        <f>SUM(L32:L39)</f>
        <v>0</v>
      </c>
      <c r="M31" s="19">
        <f>IF((L$31+L$13)=0,0,L31/(L$31+L$13))</f>
        <v>0</v>
      </c>
      <c r="N31" s="22">
        <f>SUM(N32:N39)</f>
        <v>0</v>
      </c>
      <c r="O31" s="19">
        <f>IF((N$31+N$13)=0,0,N31/(N$31+N$13))</f>
        <v>0</v>
      </c>
      <c r="P31" s="22">
        <f>SUM(P32:P39)</f>
        <v>0</v>
      </c>
      <c r="Q31" s="19">
        <f>IF((P$31+P$13)=0,0,P31/(P$31+P$13))</f>
        <v>0</v>
      </c>
      <c r="R31" s="22">
        <f>SUM(R32:R39)</f>
        <v>0</v>
      </c>
      <c r="S31" s="19">
        <f>IF((R$31+R$13)=0,0,R31/(R$31+R$13))</f>
        <v>0</v>
      </c>
      <c r="T31" s="22">
        <f>SUM(T32:T39)</f>
        <v>0</v>
      </c>
      <c r="U31" s="19">
        <f>IF((T$31+T$13)=0,0,T31/(T$31+T$13))</f>
        <v>0</v>
      </c>
      <c r="V31" s="22">
        <f>SUM(V32:V39)</f>
        <v>0</v>
      </c>
      <c r="W31" s="19">
        <f>IF((V$31+V$13)=0,0,V31/(V$31+V$13))</f>
        <v>0</v>
      </c>
      <c r="X31" s="22">
        <f>SUM(X32:X39)</f>
        <v>0</v>
      </c>
      <c r="Y31" s="19">
        <f>IF((X$31+X$13)=0,0,X31/(X$31+X$13))</f>
        <v>0</v>
      </c>
      <c r="Z31" s="22">
        <f>SUM(Z32:Z39)</f>
        <v>0</v>
      </c>
      <c r="AA31" s="19">
        <f>IF((Z$31+Z$13)=0,0,Z31/(Z$31+Z$13))</f>
        <v>0</v>
      </c>
      <c r="AB31" s="178">
        <f t="shared" si="2"/>
        <v>0</v>
      </c>
    </row>
    <row r="32" spans="1:28" hidden="1" outlineLevel="1" x14ac:dyDescent="0.2">
      <c r="A32" s="8" t="s">
        <v>67</v>
      </c>
      <c r="B32" s="23">
        <f>SUMIFS('Registre de reserves'!$R$2:$R$1178,'Registre de reserves'!$T$2:$T$1178,"NO",'Registre de reserves'!$I$2:$I$1178,'2023'!$A32,'Registre de reserves'!$B$2:$B$1178,'2023'!B$2,Tabla1[ANY],'2023'!$Z$2)</f>
        <v>0</v>
      </c>
      <c r="C32" s="21">
        <f>IF(B$31=0,0,B32/B$31)</f>
        <v>0</v>
      </c>
      <c r="D32" s="23">
        <f>SUMIFS('Registre de reserves'!$R$2:$R$1178,'Registre de reserves'!$T$2:$T$1178,"NO",'Registre de reserves'!$I$2:$I$1178,'2023'!$A32,'Registre de reserves'!$B$2:$B$1178,'2023'!D$2,Tabla1[ANY],'2023'!$Z$2)</f>
        <v>0</v>
      </c>
      <c r="E32" s="21">
        <f>IF(D$31=0,0,D32/D$31)</f>
        <v>0</v>
      </c>
      <c r="F32" s="23">
        <f>SUMIFS('Registre de reserves'!$R$2:$R$1178,'Registre de reserves'!$T$2:$T$1178,"NO",'Registre de reserves'!$I$2:$I$1178,'2023'!$A32,'Registre de reserves'!$B$2:$B$1178,'2023'!F$2,Tabla1[ANY],'2023'!$Z$2)</f>
        <v>0</v>
      </c>
      <c r="G32" s="21">
        <f t="shared" ref="G32:G39" si="43">IF(F$31=0,0,F32/F$31)</f>
        <v>0</v>
      </c>
      <c r="H32" s="23">
        <f>SUMIFS('Registre de reserves'!$R$2:$R$1178,'Registre de reserves'!$T$2:$T$1178,"NO",'Registre de reserves'!$I$2:$I$1178,'2023'!$A32,'Registre de reserves'!$B$2:$B$1178,'2023'!H$2,Tabla1[ANY],'2023'!$Z$2)</f>
        <v>0</v>
      </c>
      <c r="I32" s="21">
        <f t="shared" ref="I32:I39" si="44">IF(H$31=0,0,H32/H$31)</f>
        <v>0</v>
      </c>
      <c r="J32" s="23">
        <f>SUMIFS('Registre de reserves'!$R$2:$R$1178,'Registre de reserves'!$T$2:$T$1178,"NO",'Registre de reserves'!$I$2:$I$1178,'2023'!$A32,'Registre de reserves'!$B$2:$B$1178,'2023'!J$2,Tabla1[ANY],'2023'!$Z$2)</f>
        <v>0</v>
      </c>
      <c r="K32" s="21">
        <f t="shared" ref="K32:K39" si="45">IF(J$31=0,0,J32/J$31)</f>
        <v>0</v>
      </c>
      <c r="L32" s="23">
        <f>SUMIFS('Registre de reserves'!$R$2:$R$1178,'Registre de reserves'!$T$2:$T$1178,"NO",'Registre de reserves'!$I$2:$I$1178,'2023'!$A32,'Registre de reserves'!$B$2:$B$1178,'2023'!L$2,Tabla1[ANY],'2023'!$Z$2)</f>
        <v>0</v>
      </c>
      <c r="M32" s="21">
        <f t="shared" ref="M32:M39" si="46">IF(L$31=0,0,L32/L$31)</f>
        <v>0</v>
      </c>
      <c r="N32" s="23">
        <f>SUMIFS('Registre de reserves'!$R$2:$R$1178,'Registre de reserves'!$T$2:$T$1178,"NO",'Registre de reserves'!$I$2:$I$1178,'2023'!$A32,'Registre de reserves'!$B$2:$B$1178,'2023'!N$2,Tabla1[ANY],'2023'!$Z$2)</f>
        <v>0</v>
      </c>
      <c r="O32" s="21">
        <f t="shared" ref="O32:O39" si="47">IF(N$31=0,0,N32/N$31)</f>
        <v>0</v>
      </c>
      <c r="P32" s="23">
        <f>SUMIFS('Registre de reserves'!$R$2:$R$1178,'Registre de reserves'!$T$2:$T$1178,"NO",'Registre de reserves'!$I$2:$I$1178,'2023'!$A32,'Registre de reserves'!$B$2:$B$1178,'2023'!P$2,Tabla1[ANY],'2023'!$Z$2)</f>
        <v>0</v>
      </c>
      <c r="Q32" s="21">
        <f t="shared" ref="Q32:Q39" si="48">IF(P$31=0,0,P32/P$31)</f>
        <v>0</v>
      </c>
      <c r="R32" s="23">
        <f>SUMIFS('Registre de reserves'!$R$2:$R$1178,'Registre de reserves'!$T$2:$T$1178,"NO",'Registre de reserves'!$I$2:$I$1178,'2023'!$A32,'Registre de reserves'!$B$2:$B$1178,'2023'!R$2,Tabla1[ANY],'2023'!$Z$2)</f>
        <v>0</v>
      </c>
      <c r="S32" s="21">
        <f t="shared" ref="S32:S39" si="49">IF(R$31=0,0,R32/R$31)</f>
        <v>0</v>
      </c>
      <c r="T32" s="23">
        <f>SUMIFS('Registre de reserves'!$R$2:$R$1178,'Registre de reserves'!$T$2:$T$1178,"NO",'Registre de reserves'!$I$2:$I$1178,'2023'!$A32,'Registre de reserves'!$B$2:$B$1178,'2023'!T$2,Tabla1[ANY],'2023'!$Z$2)</f>
        <v>0</v>
      </c>
      <c r="U32" s="21">
        <f t="shared" ref="U32:U39" si="50">IF(T$31=0,0,T32/T$31)</f>
        <v>0</v>
      </c>
      <c r="V32" s="23">
        <f>SUMIFS('Registre de reserves'!$R$2:$R$1178,'Registre de reserves'!$T$2:$T$1178,"NO",'Registre de reserves'!$I$2:$I$1178,'2023'!$A32,'Registre de reserves'!$B$2:$B$1178,'2023'!V$2,Tabla1[ANY],'2023'!$Z$2)</f>
        <v>0</v>
      </c>
      <c r="W32" s="21">
        <f t="shared" ref="W32:W39" si="51">IF(V$31=0,0,V32/V$31)</f>
        <v>0</v>
      </c>
      <c r="X32" s="23">
        <f>SUMIFS('Registre de reserves'!$R$2:$R$1178,'Registre de reserves'!$T$2:$T$1178,"NO",'Registre de reserves'!$I$2:$I$1178,'2023'!$A32,'Registre de reserves'!$B$2:$B$1178,'2023'!X$2,Tabla1[ANY],'2023'!$Z$2)</f>
        <v>0</v>
      </c>
      <c r="Y32" s="21">
        <f t="shared" ref="Y32:Y39" si="52">IF(X$31=0,0,X32/X$31)</f>
        <v>0</v>
      </c>
      <c r="Z32" s="20">
        <f>B32+D32+F32+H32+J32+L32+N32+P32+R32+T32+V32+X32</f>
        <v>0</v>
      </c>
      <c r="AA32" s="21">
        <f>IF(Z$31=0,0,Z32/Z$31)</f>
        <v>0</v>
      </c>
      <c r="AB32" s="178">
        <f t="shared" si="2"/>
        <v>0</v>
      </c>
    </row>
    <row r="33" spans="1:28" hidden="1" outlineLevel="1" x14ac:dyDescent="0.2">
      <c r="A33" s="8" t="s">
        <v>68</v>
      </c>
      <c r="B33" s="23">
        <f>SUMIFS('Registre de reserves'!$R$2:$R$1178,'Registre de reserves'!$T$2:$T$1178,"NO",'Registre de reserves'!$I$2:$I$1178,'2023'!$A33,'Registre de reserves'!$B$2:$B$1178,'2023'!B$2,Tabla1[ANY],'2023'!$Z$2)</f>
        <v>0</v>
      </c>
      <c r="C33" s="21">
        <f>IF(B$31=0,0,B33/B$31)</f>
        <v>0</v>
      </c>
      <c r="D33" s="23">
        <f>SUMIFS('Registre de reserves'!$R$2:$R$1178,'Registre de reserves'!$T$2:$T$1178,"NO",'Registre de reserves'!$I$2:$I$1178,'2023'!$A33,'Registre de reserves'!$B$2:$B$1178,'2023'!D$2,Tabla1[ANY],'2023'!$Z$2)</f>
        <v>0</v>
      </c>
      <c r="E33" s="21">
        <f t="shared" ref="C33:E39" si="53">IF(D$31=0,0,D33/D$31)</f>
        <v>0</v>
      </c>
      <c r="F33" s="23">
        <f>SUMIFS('Registre de reserves'!$R$2:$R$1178,'Registre de reserves'!$T$2:$T$1178,"NO",'Registre de reserves'!$I$2:$I$1178,'2023'!$A33,'Registre de reserves'!$B$2:$B$1178,'2023'!F$2,Tabla1[ANY],'2023'!$Z$2)</f>
        <v>0</v>
      </c>
      <c r="G33" s="21">
        <f t="shared" si="43"/>
        <v>0</v>
      </c>
      <c r="H33" s="23">
        <f>SUMIFS('Registre de reserves'!$R$2:$R$1178,'Registre de reserves'!$T$2:$T$1178,"NO",'Registre de reserves'!$I$2:$I$1178,'2023'!$A33,'Registre de reserves'!$B$2:$B$1178,'2023'!H$2,Tabla1[ANY],'2023'!$Z$2)</f>
        <v>0</v>
      </c>
      <c r="I33" s="21">
        <f t="shared" si="44"/>
        <v>0</v>
      </c>
      <c r="J33" s="23">
        <f>SUMIFS('Registre de reserves'!$R$2:$R$1178,'Registre de reserves'!$T$2:$T$1178,"NO",'Registre de reserves'!$I$2:$I$1178,'2023'!$A33,'Registre de reserves'!$B$2:$B$1178,'2023'!J$2,Tabla1[ANY],'2023'!$Z$2)</f>
        <v>0</v>
      </c>
      <c r="K33" s="21">
        <f t="shared" si="45"/>
        <v>0</v>
      </c>
      <c r="L33" s="23">
        <f>SUMIFS('Registre de reserves'!$R$2:$R$1178,'Registre de reserves'!$T$2:$T$1178,"NO",'Registre de reserves'!$I$2:$I$1178,'2023'!$A33,'Registre de reserves'!$B$2:$B$1178,'2023'!L$2,Tabla1[ANY],'2023'!$Z$2)</f>
        <v>0</v>
      </c>
      <c r="M33" s="21">
        <f t="shared" si="46"/>
        <v>0</v>
      </c>
      <c r="N33" s="23">
        <f>SUMIFS('Registre de reserves'!$R$2:$R$1178,'Registre de reserves'!$T$2:$T$1178,"NO",'Registre de reserves'!$I$2:$I$1178,'2023'!$A33,'Registre de reserves'!$B$2:$B$1178,'2023'!N$2,Tabla1[ANY],'2023'!$Z$2)</f>
        <v>0</v>
      </c>
      <c r="O33" s="21">
        <f t="shared" si="47"/>
        <v>0</v>
      </c>
      <c r="P33" s="23">
        <f>SUMIFS('Registre de reserves'!$R$2:$R$1178,'Registre de reserves'!$T$2:$T$1178,"NO",'Registre de reserves'!$I$2:$I$1178,'2023'!$A33,'Registre de reserves'!$B$2:$B$1178,'2023'!P$2,Tabla1[ANY],'2023'!$Z$2)</f>
        <v>0</v>
      </c>
      <c r="Q33" s="21">
        <f t="shared" si="48"/>
        <v>0</v>
      </c>
      <c r="R33" s="23">
        <f>SUMIFS('Registre de reserves'!$R$2:$R$1178,'Registre de reserves'!$T$2:$T$1178,"NO",'Registre de reserves'!$I$2:$I$1178,'2023'!$A33,'Registre de reserves'!$B$2:$B$1178,'2023'!R$2,Tabla1[ANY],'2023'!$Z$2)</f>
        <v>0</v>
      </c>
      <c r="S33" s="21">
        <f t="shared" si="49"/>
        <v>0</v>
      </c>
      <c r="T33" s="23">
        <f>SUMIFS('Registre de reserves'!$R$2:$R$1178,'Registre de reserves'!$T$2:$T$1178,"NO",'Registre de reserves'!$I$2:$I$1178,'2023'!$A33,'Registre de reserves'!$B$2:$B$1178,'2023'!T$2,Tabla1[ANY],'2023'!$Z$2)</f>
        <v>0</v>
      </c>
      <c r="U33" s="21">
        <f t="shared" si="50"/>
        <v>0</v>
      </c>
      <c r="V33" s="23">
        <f>SUMIFS('Registre de reserves'!$R$2:$R$1178,'Registre de reserves'!$T$2:$T$1178,"NO",'Registre de reserves'!$I$2:$I$1178,'2023'!$A33,'Registre de reserves'!$B$2:$B$1178,'2023'!V$2,Tabla1[ANY],'2023'!$Z$2)</f>
        <v>0</v>
      </c>
      <c r="W33" s="21">
        <f t="shared" si="51"/>
        <v>0</v>
      </c>
      <c r="X33" s="23">
        <f>SUMIFS('Registre de reserves'!$R$2:$R$1178,'Registre de reserves'!$T$2:$T$1178,"NO",'Registre de reserves'!$I$2:$I$1178,'2023'!$A33,'Registre de reserves'!$B$2:$B$1178,'2023'!X$2,Tabla1[ANY],'2023'!$Z$2)</f>
        <v>0</v>
      </c>
      <c r="Y33" s="21">
        <f t="shared" si="52"/>
        <v>0</v>
      </c>
      <c r="Z33" s="20">
        <f t="shared" ref="Z33:Z39" si="54">B33+D33+F33+H33+J33+L33+N33+P33+R33+T33+V33+X33</f>
        <v>0</v>
      </c>
      <c r="AA33" s="21">
        <f t="shared" ref="AA33:AA39" si="55">IF(Z$31=0,0,Z33/Z$31)</f>
        <v>0</v>
      </c>
      <c r="AB33" s="178">
        <f t="shared" si="2"/>
        <v>0</v>
      </c>
    </row>
    <row r="34" spans="1:28" hidden="1" outlineLevel="1" x14ac:dyDescent="0.2">
      <c r="A34" s="8" t="s">
        <v>4</v>
      </c>
      <c r="B34" s="23">
        <f>SUMIFS('Registre de reserves'!$R$2:$R$1178,'Registre de reserves'!$T$2:$T$1178,"NO",'Registre de reserves'!$I$2:$I$1178,'2023'!$A34,'Registre de reserves'!$B$2:$B$1178,'2023'!B$2,Tabla1[ANY],'2023'!$Z$2)</f>
        <v>0</v>
      </c>
      <c r="C34" s="21">
        <f>IF(B$31=0,0,B34/B$31)</f>
        <v>0</v>
      </c>
      <c r="D34" s="23">
        <f>SUMIFS('Registre de reserves'!$R$2:$R$1178,'Registre de reserves'!$T$2:$T$1178,"NO",'Registre de reserves'!$I$2:$I$1178,'2023'!$A34,'Registre de reserves'!$B$2:$B$1178,'2023'!D$2,Tabla1[ANY],'2023'!$Z$2)</f>
        <v>0</v>
      </c>
      <c r="E34" s="21">
        <f t="shared" si="53"/>
        <v>0</v>
      </c>
      <c r="F34" s="23">
        <f>SUMIFS('Registre de reserves'!$R$2:$R$1178,'Registre de reserves'!$T$2:$T$1178,"NO",'Registre de reserves'!$I$2:$I$1178,'2023'!$A34,'Registre de reserves'!$B$2:$B$1178,'2023'!F$2,Tabla1[ANY],'2023'!$Z$2)</f>
        <v>0</v>
      </c>
      <c r="G34" s="21">
        <f t="shared" si="43"/>
        <v>0</v>
      </c>
      <c r="H34" s="23">
        <f>SUMIFS('Registre de reserves'!$R$2:$R$1178,'Registre de reserves'!$T$2:$T$1178,"NO",'Registre de reserves'!$I$2:$I$1178,'2023'!$A34,'Registre de reserves'!$B$2:$B$1178,'2023'!H$2,Tabla1[ANY],'2023'!$Z$2)</f>
        <v>0</v>
      </c>
      <c r="I34" s="21">
        <f t="shared" si="44"/>
        <v>0</v>
      </c>
      <c r="J34" s="23">
        <f>SUMIFS('Registre de reserves'!$R$2:$R$1178,'Registre de reserves'!$T$2:$T$1178,"NO",'Registre de reserves'!$I$2:$I$1178,'2023'!$A34,'Registre de reserves'!$B$2:$B$1178,'2023'!J$2,Tabla1[ANY],'2023'!$Z$2)</f>
        <v>0</v>
      </c>
      <c r="K34" s="21">
        <f t="shared" si="45"/>
        <v>0</v>
      </c>
      <c r="L34" s="23">
        <f>SUMIFS('Registre de reserves'!$R$2:$R$1178,'Registre de reserves'!$T$2:$T$1178,"NO",'Registre de reserves'!$I$2:$I$1178,'2023'!$A34,'Registre de reserves'!$B$2:$B$1178,'2023'!L$2,Tabla1[ANY],'2023'!$Z$2)</f>
        <v>0</v>
      </c>
      <c r="M34" s="21">
        <f t="shared" si="46"/>
        <v>0</v>
      </c>
      <c r="N34" s="23">
        <f>SUMIFS('Registre de reserves'!$R$2:$R$1178,'Registre de reserves'!$T$2:$T$1178,"NO",'Registre de reserves'!$I$2:$I$1178,'2023'!$A34,'Registre de reserves'!$B$2:$B$1178,'2023'!N$2,Tabla1[ANY],'2023'!$Z$2)</f>
        <v>0</v>
      </c>
      <c r="O34" s="21">
        <f t="shared" si="47"/>
        <v>0</v>
      </c>
      <c r="P34" s="23">
        <f>SUMIFS('Registre de reserves'!$R$2:$R$1178,'Registre de reserves'!$T$2:$T$1178,"NO",'Registre de reserves'!$I$2:$I$1178,'2023'!$A34,'Registre de reserves'!$B$2:$B$1178,'2023'!P$2,Tabla1[ANY],'2023'!$Z$2)</f>
        <v>0</v>
      </c>
      <c r="Q34" s="21">
        <f t="shared" si="48"/>
        <v>0</v>
      </c>
      <c r="R34" s="23">
        <f>SUMIFS('Registre de reserves'!$R$2:$R$1178,'Registre de reserves'!$T$2:$T$1178,"NO",'Registre de reserves'!$I$2:$I$1178,'2023'!$A34,'Registre de reserves'!$B$2:$B$1178,'2023'!R$2,Tabla1[ANY],'2023'!$Z$2)</f>
        <v>0</v>
      </c>
      <c r="S34" s="21">
        <f t="shared" si="49"/>
        <v>0</v>
      </c>
      <c r="T34" s="23">
        <f>SUMIFS('Registre de reserves'!$R$2:$R$1178,'Registre de reserves'!$T$2:$T$1178,"NO",'Registre de reserves'!$I$2:$I$1178,'2023'!$A34,'Registre de reserves'!$B$2:$B$1178,'2023'!T$2,Tabla1[ANY],'2023'!$Z$2)</f>
        <v>0</v>
      </c>
      <c r="U34" s="21">
        <f t="shared" si="50"/>
        <v>0</v>
      </c>
      <c r="V34" s="23">
        <f>SUMIFS('Registre de reserves'!$R$2:$R$1178,'Registre de reserves'!$T$2:$T$1178,"NO",'Registre de reserves'!$I$2:$I$1178,'2023'!$A34,'Registre de reserves'!$B$2:$B$1178,'2023'!V$2,Tabla1[ANY],'2023'!$Z$2)</f>
        <v>0</v>
      </c>
      <c r="W34" s="21">
        <f t="shared" si="51"/>
        <v>0</v>
      </c>
      <c r="X34" s="23">
        <f>SUMIFS('Registre de reserves'!$R$2:$R$1178,'Registre de reserves'!$T$2:$T$1178,"NO",'Registre de reserves'!$I$2:$I$1178,'2023'!$A34,'Registre de reserves'!$B$2:$B$1178,'2023'!X$2,Tabla1[ANY],'2023'!$Z$2)</f>
        <v>0</v>
      </c>
      <c r="Y34" s="21">
        <f t="shared" si="52"/>
        <v>0</v>
      </c>
      <c r="Z34" s="20">
        <f t="shared" si="54"/>
        <v>0</v>
      </c>
      <c r="AA34" s="21">
        <f t="shared" si="55"/>
        <v>0</v>
      </c>
      <c r="AB34" s="178">
        <f t="shared" si="2"/>
        <v>0</v>
      </c>
    </row>
    <row r="35" spans="1:28" hidden="1" outlineLevel="1" x14ac:dyDescent="0.2">
      <c r="A35" s="8" t="s">
        <v>71</v>
      </c>
      <c r="B35" s="23">
        <f>SUMIFS('Registre de reserves'!$R$2:$R$1178,'Registre de reserves'!$T$2:$T$1178,"NO",'Registre de reserves'!$I$2:$I$1178,'2023'!$A35,'Registre de reserves'!$B$2:$B$1178,'2023'!B$2,Tabla1[ANY],'2023'!$Z$2)</f>
        <v>0</v>
      </c>
      <c r="C35" s="21">
        <f t="shared" si="53"/>
        <v>0</v>
      </c>
      <c r="D35" s="23">
        <f>SUMIFS('Registre de reserves'!$R$2:$R$1178,'Registre de reserves'!$T$2:$T$1178,"NO",'Registre de reserves'!$I$2:$I$1178,'2023'!$A35,'Registre de reserves'!$B$2:$B$1178,'2023'!D$2,Tabla1[ANY],'2023'!$Z$2)</f>
        <v>0</v>
      </c>
      <c r="E35" s="21">
        <f t="shared" si="53"/>
        <v>0</v>
      </c>
      <c r="F35" s="23">
        <f>SUMIFS('Registre de reserves'!$R$2:$R$1178,'Registre de reserves'!$T$2:$T$1178,"NO",'Registre de reserves'!$I$2:$I$1178,'2023'!$A35,'Registre de reserves'!$B$2:$B$1178,'2023'!F$2,Tabla1[ANY],'2023'!$Z$2)</f>
        <v>0</v>
      </c>
      <c r="G35" s="21">
        <f t="shared" si="43"/>
        <v>0</v>
      </c>
      <c r="H35" s="23">
        <f>SUMIFS('Registre de reserves'!$R$2:$R$1178,'Registre de reserves'!$T$2:$T$1178,"NO",'Registre de reserves'!$I$2:$I$1178,'2023'!$A35,'Registre de reserves'!$B$2:$B$1178,'2023'!H$2,Tabla1[ANY],'2023'!$Z$2)</f>
        <v>0</v>
      </c>
      <c r="I35" s="21">
        <f t="shared" si="44"/>
        <v>0</v>
      </c>
      <c r="J35" s="23">
        <f>SUMIFS('Registre de reserves'!$R$2:$R$1178,'Registre de reserves'!$T$2:$T$1178,"NO",'Registre de reserves'!$I$2:$I$1178,'2023'!$A35,'Registre de reserves'!$B$2:$B$1178,'2023'!J$2,Tabla1[ANY],'2023'!$Z$2)</f>
        <v>0</v>
      </c>
      <c r="K35" s="21">
        <f t="shared" si="45"/>
        <v>0</v>
      </c>
      <c r="L35" s="23">
        <f>SUMIFS('Registre de reserves'!$R$2:$R$1178,'Registre de reserves'!$T$2:$T$1178,"NO",'Registre de reserves'!$I$2:$I$1178,'2023'!$A35,'Registre de reserves'!$B$2:$B$1178,'2023'!L$2,Tabla1[ANY],'2023'!$Z$2)</f>
        <v>0</v>
      </c>
      <c r="M35" s="21">
        <f t="shared" si="46"/>
        <v>0</v>
      </c>
      <c r="N35" s="23">
        <f>SUMIFS('Registre de reserves'!$R$2:$R$1178,'Registre de reserves'!$T$2:$T$1178,"NO",'Registre de reserves'!$I$2:$I$1178,'2023'!$A35,'Registre de reserves'!$B$2:$B$1178,'2023'!N$2,Tabla1[ANY],'2023'!$Z$2)</f>
        <v>0</v>
      </c>
      <c r="O35" s="21">
        <f t="shared" si="47"/>
        <v>0</v>
      </c>
      <c r="P35" s="23">
        <f>SUMIFS('Registre de reserves'!$R$2:$R$1178,'Registre de reserves'!$T$2:$T$1178,"NO",'Registre de reserves'!$I$2:$I$1178,'2023'!$A35,'Registre de reserves'!$B$2:$B$1178,'2023'!P$2,Tabla1[ANY],'2023'!$Z$2)</f>
        <v>0</v>
      </c>
      <c r="Q35" s="21">
        <f t="shared" si="48"/>
        <v>0</v>
      </c>
      <c r="R35" s="23">
        <f>SUMIFS('Registre de reserves'!$R$2:$R$1178,'Registre de reserves'!$T$2:$T$1178,"NO",'Registre de reserves'!$I$2:$I$1178,'2023'!$A35,'Registre de reserves'!$B$2:$B$1178,'2023'!R$2,Tabla1[ANY],'2023'!$Z$2)</f>
        <v>0</v>
      </c>
      <c r="S35" s="21">
        <f t="shared" si="49"/>
        <v>0</v>
      </c>
      <c r="T35" s="23">
        <f>SUMIFS('Registre de reserves'!$R$2:$R$1178,'Registre de reserves'!$T$2:$T$1178,"NO",'Registre de reserves'!$I$2:$I$1178,'2023'!$A35,'Registre de reserves'!$B$2:$B$1178,'2023'!T$2,Tabla1[ANY],'2023'!$Z$2)</f>
        <v>0</v>
      </c>
      <c r="U35" s="21">
        <f t="shared" si="50"/>
        <v>0</v>
      </c>
      <c r="V35" s="23">
        <f>SUMIFS('Registre de reserves'!$R$2:$R$1178,'Registre de reserves'!$T$2:$T$1178,"NO",'Registre de reserves'!$I$2:$I$1178,'2023'!$A35,'Registre de reserves'!$B$2:$B$1178,'2023'!V$2,Tabla1[ANY],'2023'!$Z$2)</f>
        <v>0</v>
      </c>
      <c r="W35" s="21">
        <f t="shared" si="51"/>
        <v>0</v>
      </c>
      <c r="X35" s="23">
        <f>SUMIFS('Registre de reserves'!$R$2:$R$1178,'Registre de reserves'!$T$2:$T$1178,"NO",'Registre de reserves'!$I$2:$I$1178,'2023'!$A35,'Registre de reserves'!$B$2:$B$1178,'2023'!X$2,Tabla1[ANY],'2023'!$Z$2)</f>
        <v>0</v>
      </c>
      <c r="Y35" s="21">
        <f t="shared" si="52"/>
        <v>0</v>
      </c>
      <c r="Z35" s="20">
        <f t="shared" si="54"/>
        <v>0</v>
      </c>
      <c r="AA35" s="21">
        <f t="shared" si="55"/>
        <v>0</v>
      </c>
      <c r="AB35" s="178">
        <f t="shared" si="2"/>
        <v>0</v>
      </c>
    </row>
    <row r="36" spans="1:28" hidden="1" outlineLevel="1" x14ac:dyDescent="0.2">
      <c r="A36" s="8" t="s">
        <v>72</v>
      </c>
      <c r="B36" s="23">
        <f>SUMIFS('Registre de reserves'!$R$2:$R$1178,'Registre de reserves'!$T$2:$T$1178,"NO",'Registre de reserves'!$I$2:$I$1178,'2023'!$A36,'Registre de reserves'!$B$2:$B$1178,'2023'!B$2,Tabla1[ANY],'2023'!$Z$2)</f>
        <v>0</v>
      </c>
      <c r="C36" s="21">
        <f t="shared" si="53"/>
        <v>0</v>
      </c>
      <c r="D36" s="23">
        <f>SUMIFS('Registre de reserves'!$R$2:$R$1178,'Registre de reserves'!$T$2:$T$1178,"NO",'Registre de reserves'!$I$2:$I$1178,'2023'!$A36,'Registre de reserves'!$B$2:$B$1178,'2023'!D$2,Tabla1[ANY],'2023'!$Z$2)</f>
        <v>0</v>
      </c>
      <c r="E36" s="21">
        <f t="shared" si="53"/>
        <v>0</v>
      </c>
      <c r="F36" s="23">
        <f>SUMIFS('Registre de reserves'!$R$2:$R$1178,'Registre de reserves'!$T$2:$T$1178,"NO",'Registre de reserves'!$I$2:$I$1178,'2023'!$A36,'Registre de reserves'!$B$2:$B$1178,'2023'!F$2,Tabla1[ANY],'2023'!$Z$2)</f>
        <v>0</v>
      </c>
      <c r="G36" s="21">
        <f t="shared" si="43"/>
        <v>0</v>
      </c>
      <c r="H36" s="23">
        <f>SUMIFS('Registre de reserves'!$R$2:$R$1178,'Registre de reserves'!$T$2:$T$1178,"NO",'Registre de reserves'!$I$2:$I$1178,'2023'!$A36,'Registre de reserves'!$B$2:$B$1178,'2023'!H$2,Tabla1[ANY],'2023'!$Z$2)</f>
        <v>0</v>
      </c>
      <c r="I36" s="21">
        <f t="shared" si="44"/>
        <v>0</v>
      </c>
      <c r="J36" s="23">
        <f>SUMIFS('Registre de reserves'!$R$2:$R$1178,'Registre de reserves'!$T$2:$T$1178,"NO",'Registre de reserves'!$I$2:$I$1178,'2023'!$A36,'Registre de reserves'!$B$2:$B$1178,'2023'!J$2,Tabla1[ANY],'2023'!$Z$2)</f>
        <v>0</v>
      </c>
      <c r="K36" s="21">
        <f t="shared" si="45"/>
        <v>0</v>
      </c>
      <c r="L36" s="23">
        <f>SUMIFS('Registre de reserves'!$R$2:$R$1178,'Registre de reserves'!$T$2:$T$1178,"NO",'Registre de reserves'!$I$2:$I$1178,'2023'!$A36,'Registre de reserves'!$B$2:$B$1178,'2023'!L$2,Tabla1[ANY],'2023'!$Z$2)</f>
        <v>0</v>
      </c>
      <c r="M36" s="21">
        <f t="shared" si="46"/>
        <v>0</v>
      </c>
      <c r="N36" s="23">
        <f>SUMIFS('Registre de reserves'!$R$2:$R$1178,'Registre de reserves'!$T$2:$T$1178,"NO",'Registre de reserves'!$I$2:$I$1178,'2023'!$A36,'Registre de reserves'!$B$2:$B$1178,'2023'!N$2,Tabla1[ANY],'2023'!$Z$2)</f>
        <v>0</v>
      </c>
      <c r="O36" s="21">
        <f t="shared" si="47"/>
        <v>0</v>
      </c>
      <c r="P36" s="23">
        <f>SUMIFS('Registre de reserves'!$R$2:$R$1178,'Registre de reserves'!$T$2:$T$1178,"NO",'Registre de reserves'!$I$2:$I$1178,'2023'!$A36,'Registre de reserves'!$B$2:$B$1178,'2023'!P$2,Tabla1[ANY],'2023'!$Z$2)</f>
        <v>0</v>
      </c>
      <c r="Q36" s="21">
        <f t="shared" si="48"/>
        <v>0</v>
      </c>
      <c r="R36" s="23">
        <f>SUMIFS('Registre de reserves'!$R$2:$R$1178,'Registre de reserves'!$T$2:$T$1178,"NO",'Registre de reserves'!$I$2:$I$1178,'2023'!$A36,'Registre de reserves'!$B$2:$B$1178,'2023'!R$2,Tabla1[ANY],'2023'!$Z$2)</f>
        <v>0</v>
      </c>
      <c r="S36" s="21">
        <f t="shared" si="49"/>
        <v>0</v>
      </c>
      <c r="T36" s="23">
        <f>SUMIFS('Registre de reserves'!$R$2:$R$1178,'Registre de reserves'!$T$2:$T$1178,"NO",'Registre de reserves'!$I$2:$I$1178,'2023'!$A36,'Registre de reserves'!$B$2:$B$1178,'2023'!T$2,Tabla1[ANY],'2023'!$Z$2)</f>
        <v>0</v>
      </c>
      <c r="U36" s="21">
        <f t="shared" si="50"/>
        <v>0</v>
      </c>
      <c r="V36" s="23">
        <f>SUMIFS('Registre de reserves'!$R$2:$R$1178,'Registre de reserves'!$T$2:$T$1178,"NO",'Registre de reserves'!$I$2:$I$1178,'2023'!$A36,'Registre de reserves'!$B$2:$B$1178,'2023'!V$2,Tabla1[ANY],'2023'!$Z$2)</f>
        <v>0</v>
      </c>
      <c r="W36" s="21">
        <f t="shared" si="51"/>
        <v>0</v>
      </c>
      <c r="X36" s="23">
        <f>SUMIFS('Registre de reserves'!$R$2:$R$1178,'Registre de reserves'!$T$2:$T$1178,"NO",'Registre de reserves'!$I$2:$I$1178,'2023'!$A36,'Registre de reserves'!$B$2:$B$1178,'2023'!X$2,Tabla1[ANY],'2023'!$Z$2)</f>
        <v>0</v>
      </c>
      <c r="Y36" s="21">
        <f t="shared" si="52"/>
        <v>0</v>
      </c>
      <c r="Z36" s="20">
        <f t="shared" si="54"/>
        <v>0</v>
      </c>
      <c r="AA36" s="21">
        <f t="shared" si="55"/>
        <v>0</v>
      </c>
      <c r="AB36" s="178">
        <f t="shared" si="2"/>
        <v>0</v>
      </c>
    </row>
    <row r="37" spans="1:28" hidden="1" outlineLevel="1" x14ac:dyDescent="0.2">
      <c r="A37" s="8" t="s">
        <v>69</v>
      </c>
      <c r="B37" s="23">
        <f>SUMIFS('Registre de reserves'!$R$2:$R$1178,'Registre de reserves'!$T$2:$T$1178,"NO",'Registre de reserves'!$I$2:$I$1178,'2023'!$A37,'Registre de reserves'!$B$2:$B$1178,'2023'!B$2,Tabla1[ANY],'2023'!$Z$2)</f>
        <v>0</v>
      </c>
      <c r="C37" s="21">
        <f t="shared" si="53"/>
        <v>0</v>
      </c>
      <c r="D37" s="23">
        <f>SUMIFS('Registre de reserves'!$R$2:$R$1178,'Registre de reserves'!$T$2:$T$1178,"NO",'Registre de reserves'!$I$2:$I$1178,'2023'!$A37,'Registre de reserves'!$B$2:$B$1178,'2023'!D$2,Tabla1[ANY],'2023'!$Z$2)</f>
        <v>0</v>
      </c>
      <c r="E37" s="21">
        <f t="shared" si="53"/>
        <v>0</v>
      </c>
      <c r="F37" s="23">
        <f>SUMIFS('Registre de reserves'!$R$2:$R$1178,'Registre de reserves'!$T$2:$T$1178,"NO",'Registre de reserves'!$I$2:$I$1178,'2023'!$A37,'Registre de reserves'!$B$2:$B$1178,'2023'!F$2,Tabla1[ANY],'2023'!$Z$2)</f>
        <v>0</v>
      </c>
      <c r="G37" s="21">
        <f t="shared" si="43"/>
        <v>0</v>
      </c>
      <c r="H37" s="23">
        <f>SUMIFS('Registre de reserves'!$R$2:$R$1178,'Registre de reserves'!$T$2:$T$1178,"NO",'Registre de reserves'!$I$2:$I$1178,'2023'!$A37,'Registre de reserves'!$B$2:$B$1178,'2023'!H$2,Tabla1[ANY],'2023'!$Z$2)</f>
        <v>0</v>
      </c>
      <c r="I37" s="21">
        <f t="shared" si="44"/>
        <v>0</v>
      </c>
      <c r="J37" s="23">
        <f>SUMIFS('Registre de reserves'!$R$2:$R$1178,'Registre de reserves'!$T$2:$T$1178,"NO",'Registre de reserves'!$I$2:$I$1178,'2023'!$A37,'Registre de reserves'!$B$2:$B$1178,'2023'!J$2,Tabla1[ANY],'2023'!$Z$2)</f>
        <v>0</v>
      </c>
      <c r="K37" s="21">
        <f t="shared" si="45"/>
        <v>0</v>
      </c>
      <c r="L37" s="23">
        <f>SUMIFS('Registre de reserves'!$R$2:$R$1178,'Registre de reserves'!$T$2:$T$1178,"NO",'Registre de reserves'!$I$2:$I$1178,'2023'!$A37,'Registre de reserves'!$B$2:$B$1178,'2023'!L$2,Tabla1[ANY],'2023'!$Z$2)</f>
        <v>0</v>
      </c>
      <c r="M37" s="21">
        <f t="shared" si="46"/>
        <v>0</v>
      </c>
      <c r="N37" s="23">
        <f>SUMIFS('Registre de reserves'!$R$2:$R$1178,'Registre de reserves'!$T$2:$T$1178,"NO",'Registre de reserves'!$I$2:$I$1178,'2023'!$A37,'Registre de reserves'!$B$2:$B$1178,'2023'!N$2,Tabla1[ANY],'2023'!$Z$2)</f>
        <v>0</v>
      </c>
      <c r="O37" s="21">
        <f t="shared" si="47"/>
        <v>0</v>
      </c>
      <c r="P37" s="23">
        <f>SUMIFS('Registre de reserves'!$R$2:$R$1178,'Registre de reserves'!$T$2:$T$1178,"NO",'Registre de reserves'!$I$2:$I$1178,'2023'!$A37,'Registre de reserves'!$B$2:$B$1178,'2023'!P$2,Tabla1[ANY],'2023'!$Z$2)</f>
        <v>0</v>
      </c>
      <c r="Q37" s="21">
        <f t="shared" si="48"/>
        <v>0</v>
      </c>
      <c r="R37" s="23">
        <f>SUMIFS('Registre de reserves'!$R$2:$R$1178,'Registre de reserves'!$T$2:$T$1178,"NO",'Registre de reserves'!$I$2:$I$1178,'2023'!$A37,'Registre de reserves'!$B$2:$B$1178,'2023'!R$2,Tabla1[ANY],'2023'!$Z$2)</f>
        <v>0</v>
      </c>
      <c r="S37" s="21">
        <f t="shared" si="49"/>
        <v>0</v>
      </c>
      <c r="T37" s="23">
        <f>SUMIFS('Registre de reserves'!$R$2:$R$1178,'Registre de reserves'!$T$2:$T$1178,"NO",'Registre de reserves'!$I$2:$I$1178,'2023'!$A37,'Registre de reserves'!$B$2:$B$1178,'2023'!T$2,Tabla1[ANY],'2023'!$Z$2)</f>
        <v>0</v>
      </c>
      <c r="U37" s="21">
        <f t="shared" si="50"/>
        <v>0</v>
      </c>
      <c r="V37" s="23">
        <f>SUMIFS('Registre de reserves'!$R$2:$R$1178,'Registre de reserves'!$T$2:$T$1178,"NO",'Registre de reserves'!$I$2:$I$1178,'2023'!$A37,'Registre de reserves'!$B$2:$B$1178,'2023'!V$2,Tabla1[ANY],'2023'!$Z$2)</f>
        <v>0</v>
      </c>
      <c r="W37" s="21">
        <f t="shared" si="51"/>
        <v>0</v>
      </c>
      <c r="X37" s="23">
        <f>SUMIFS('Registre de reserves'!$R$2:$R$1178,'Registre de reserves'!$T$2:$T$1178,"NO",'Registre de reserves'!$I$2:$I$1178,'2023'!$A37,'Registre de reserves'!$B$2:$B$1178,'2023'!X$2,Tabla1[ANY],'2023'!$Z$2)</f>
        <v>0</v>
      </c>
      <c r="Y37" s="21">
        <f t="shared" si="52"/>
        <v>0</v>
      </c>
      <c r="Z37" s="20">
        <f t="shared" si="54"/>
        <v>0</v>
      </c>
      <c r="AA37" s="21">
        <f t="shared" si="55"/>
        <v>0</v>
      </c>
      <c r="AB37" s="178">
        <f t="shared" si="2"/>
        <v>0</v>
      </c>
    </row>
    <row r="38" spans="1:28" hidden="1" outlineLevel="1" x14ac:dyDescent="0.2">
      <c r="A38" s="8" t="s">
        <v>70</v>
      </c>
      <c r="B38" s="23">
        <f>SUMIFS('Registre de reserves'!$R$2:$R$1178,'Registre de reserves'!$T$2:$T$1178,"NO",'Registre de reserves'!$I$2:$I$1178,'2023'!$A38,'Registre de reserves'!$B$2:$B$1178,'2023'!B$2,Tabla1[ANY],'2023'!$Z$2)</f>
        <v>0</v>
      </c>
      <c r="C38" s="21">
        <f t="shared" si="53"/>
        <v>0</v>
      </c>
      <c r="D38" s="23">
        <f>SUMIFS('Registre de reserves'!$R$2:$R$1178,'Registre de reserves'!$T$2:$T$1178,"NO",'Registre de reserves'!$I$2:$I$1178,'2023'!$A38,'Registre de reserves'!$B$2:$B$1178,'2023'!D$2,Tabla1[ANY],'2023'!$Z$2)</f>
        <v>0</v>
      </c>
      <c r="E38" s="21">
        <f t="shared" si="53"/>
        <v>0</v>
      </c>
      <c r="F38" s="23">
        <f>SUMIFS('Registre de reserves'!$R$2:$R$1178,'Registre de reserves'!$T$2:$T$1178,"NO",'Registre de reserves'!$I$2:$I$1178,'2023'!$A38,'Registre de reserves'!$B$2:$B$1178,'2023'!F$2,Tabla1[ANY],'2023'!$Z$2)</f>
        <v>0</v>
      </c>
      <c r="G38" s="21">
        <f t="shared" si="43"/>
        <v>0</v>
      </c>
      <c r="H38" s="23">
        <f>SUMIFS('Registre de reserves'!$R$2:$R$1178,'Registre de reserves'!$T$2:$T$1178,"NO",'Registre de reserves'!$I$2:$I$1178,'2023'!$A38,'Registre de reserves'!$B$2:$B$1178,'2023'!H$2,Tabla1[ANY],'2023'!$Z$2)</f>
        <v>0</v>
      </c>
      <c r="I38" s="21">
        <f t="shared" si="44"/>
        <v>0</v>
      </c>
      <c r="J38" s="23">
        <f>SUMIFS('Registre de reserves'!$R$2:$R$1178,'Registre de reserves'!$T$2:$T$1178,"NO",'Registre de reserves'!$I$2:$I$1178,'2023'!$A38,'Registre de reserves'!$B$2:$B$1178,'2023'!J$2,Tabla1[ANY],'2023'!$Z$2)</f>
        <v>0</v>
      </c>
      <c r="K38" s="21">
        <f t="shared" si="45"/>
        <v>0</v>
      </c>
      <c r="L38" s="23">
        <f>SUMIFS('Registre de reserves'!$R$2:$R$1178,'Registre de reserves'!$T$2:$T$1178,"NO",'Registre de reserves'!$I$2:$I$1178,'2023'!$A38,'Registre de reserves'!$B$2:$B$1178,'2023'!L$2,Tabla1[ANY],'2023'!$Z$2)</f>
        <v>0</v>
      </c>
      <c r="M38" s="21">
        <f t="shared" si="46"/>
        <v>0</v>
      </c>
      <c r="N38" s="23">
        <f>SUMIFS('Registre de reserves'!$R$2:$R$1178,'Registre de reserves'!$T$2:$T$1178,"NO",'Registre de reserves'!$I$2:$I$1178,'2023'!$A38,'Registre de reserves'!$B$2:$B$1178,'2023'!N$2,Tabla1[ANY],'2023'!$Z$2)</f>
        <v>0</v>
      </c>
      <c r="O38" s="21">
        <f t="shared" si="47"/>
        <v>0</v>
      </c>
      <c r="P38" s="23">
        <f>SUMIFS('Registre de reserves'!$R$2:$R$1178,'Registre de reserves'!$T$2:$T$1178,"NO",'Registre de reserves'!$I$2:$I$1178,'2023'!$A38,'Registre de reserves'!$B$2:$B$1178,'2023'!P$2,Tabla1[ANY],'2023'!$Z$2)</f>
        <v>0</v>
      </c>
      <c r="Q38" s="21">
        <f t="shared" si="48"/>
        <v>0</v>
      </c>
      <c r="R38" s="23">
        <f>SUMIFS('Registre de reserves'!$R$2:$R$1178,'Registre de reserves'!$T$2:$T$1178,"NO",'Registre de reserves'!$I$2:$I$1178,'2023'!$A38,'Registre de reserves'!$B$2:$B$1178,'2023'!R$2,Tabla1[ANY],'2023'!$Z$2)</f>
        <v>0</v>
      </c>
      <c r="S38" s="21">
        <f t="shared" si="49"/>
        <v>0</v>
      </c>
      <c r="T38" s="23">
        <f>SUMIFS('Registre de reserves'!$R$2:$R$1178,'Registre de reserves'!$T$2:$T$1178,"NO",'Registre de reserves'!$I$2:$I$1178,'2023'!$A38,'Registre de reserves'!$B$2:$B$1178,'2023'!T$2,Tabla1[ANY],'2023'!$Z$2)</f>
        <v>0</v>
      </c>
      <c r="U38" s="21">
        <f t="shared" si="50"/>
        <v>0</v>
      </c>
      <c r="V38" s="23">
        <f>SUMIFS('Registre de reserves'!$R$2:$R$1178,'Registre de reserves'!$T$2:$T$1178,"NO",'Registre de reserves'!$I$2:$I$1178,'2023'!$A38,'Registre de reserves'!$B$2:$B$1178,'2023'!V$2,Tabla1[ANY],'2023'!$Z$2)</f>
        <v>0</v>
      </c>
      <c r="W38" s="21">
        <f t="shared" si="51"/>
        <v>0</v>
      </c>
      <c r="X38" s="23">
        <f>SUMIFS('Registre de reserves'!$R$2:$R$1178,'Registre de reserves'!$T$2:$T$1178,"NO",'Registre de reserves'!$I$2:$I$1178,'2023'!$A38,'Registre de reserves'!$B$2:$B$1178,'2023'!X$2,Tabla1[ANY],'2023'!$Z$2)</f>
        <v>0</v>
      </c>
      <c r="Y38" s="21">
        <f t="shared" si="52"/>
        <v>0</v>
      </c>
      <c r="Z38" s="20">
        <f t="shared" si="54"/>
        <v>0</v>
      </c>
      <c r="AA38" s="21">
        <f t="shared" si="55"/>
        <v>0</v>
      </c>
      <c r="AB38" s="178">
        <f t="shared" si="2"/>
        <v>0</v>
      </c>
    </row>
    <row r="39" spans="1:28" hidden="1" outlineLevel="1" x14ac:dyDescent="0.2">
      <c r="A39" s="8" t="s">
        <v>73</v>
      </c>
      <c r="B39" s="23">
        <f>SUMIFS('Registre de reserves'!$R$2:$R$1178,'Registre de reserves'!$T$2:$T$1178,"NO",'Registre de reserves'!$I$2:$I$1178,'2023'!$A39,'Registre de reserves'!$B$2:$B$1178,'2023'!B$2,Tabla1[ANY],'2023'!$Z$2)</f>
        <v>0</v>
      </c>
      <c r="C39" s="21">
        <f t="shared" si="53"/>
        <v>0</v>
      </c>
      <c r="D39" s="23">
        <f>SUMIFS('Registre de reserves'!$R$2:$R$1178,'Registre de reserves'!$T$2:$T$1178,"NO",'Registre de reserves'!$I$2:$I$1178,'2023'!$A39,'Registre de reserves'!$B$2:$B$1178,'2023'!D$2,Tabla1[ANY],'2023'!$Z$2)</f>
        <v>0</v>
      </c>
      <c r="E39" s="21">
        <f t="shared" si="53"/>
        <v>0</v>
      </c>
      <c r="F39" s="23">
        <f>SUMIFS('Registre de reserves'!$R$2:$R$1178,'Registre de reserves'!$T$2:$T$1178,"NO",'Registre de reserves'!$I$2:$I$1178,'2023'!$A39,'Registre de reserves'!$B$2:$B$1178,'2023'!F$2,Tabla1[ANY],'2023'!$Z$2)</f>
        <v>0</v>
      </c>
      <c r="G39" s="21">
        <f t="shared" si="43"/>
        <v>0</v>
      </c>
      <c r="H39" s="23">
        <f>SUMIFS('Registre de reserves'!$R$2:$R$1178,'Registre de reserves'!$T$2:$T$1178,"NO",'Registre de reserves'!$I$2:$I$1178,'2023'!$A39,'Registre de reserves'!$B$2:$B$1178,'2023'!H$2,Tabla1[ANY],'2023'!$Z$2)</f>
        <v>0</v>
      </c>
      <c r="I39" s="21">
        <f t="shared" si="44"/>
        <v>0</v>
      </c>
      <c r="J39" s="23">
        <f>SUMIFS('Registre de reserves'!$R$2:$R$1178,'Registre de reserves'!$T$2:$T$1178,"NO",'Registre de reserves'!$I$2:$I$1178,'2023'!$A39,'Registre de reserves'!$B$2:$B$1178,'2023'!J$2,Tabla1[ANY],'2023'!$Z$2)</f>
        <v>0</v>
      </c>
      <c r="K39" s="21">
        <f t="shared" si="45"/>
        <v>0</v>
      </c>
      <c r="L39" s="23">
        <f>SUMIFS('Registre de reserves'!$R$2:$R$1178,'Registre de reserves'!$T$2:$T$1178,"NO",'Registre de reserves'!$I$2:$I$1178,'2023'!$A39,'Registre de reserves'!$B$2:$B$1178,'2023'!L$2,Tabla1[ANY],'2023'!$Z$2)</f>
        <v>0</v>
      </c>
      <c r="M39" s="21">
        <f t="shared" si="46"/>
        <v>0</v>
      </c>
      <c r="N39" s="23">
        <f>SUMIFS('Registre de reserves'!$R$2:$R$1178,'Registre de reserves'!$T$2:$T$1178,"NO",'Registre de reserves'!$I$2:$I$1178,'2023'!$A39,'Registre de reserves'!$B$2:$B$1178,'2023'!N$2,Tabla1[ANY],'2023'!$Z$2)</f>
        <v>0</v>
      </c>
      <c r="O39" s="21">
        <f t="shared" si="47"/>
        <v>0</v>
      </c>
      <c r="P39" s="23">
        <f>SUMIFS('Registre de reserves'!$R$2:$R$1178,'Registre de reserves'!$T$2:$T$1178,"NO",'Registre de reserves'!$I$2:$I$1178,'2023'!$A39,'Registre de reserves'!$B$2:$B$1178,'2023'!P$2,Tabla1[ANY],'2023'!$Z$2)</f>
        <v>0</v>
      </c>
      <c r="Q39" s="21">
        <f t="shared" si="48"/>
        <v>0</v>
      </c>
      <c r="R39" s="23">
        <f>SUMIFS('Registre de reserves'!$R$2:$R$1178,'Registre de reserves'!$T$2:$T$1178,"NO",'Registre de reserves'!$I$2:$I$1178,'2023'!$A39,'Registre de reserves'!$B$2:$B$1178,'2023'!R$2,Tabla1[ANY],'2023'!$Z$2)</f>
        <v>0</v>
      </c>
      <c r="S39" s="21">
        <f t="shared" si="49"/>
        <v>0</v>
      </c>
      <c r="T39" s="23">
        <f>SUMIFS('Registre de reserves'!$R$2:$R$1178,'Registre de reserves'!$T$2:$T$1178,"NO",'Registre de reserves'!$I$2:$I$1178,'2023'!$A39,'Registre de reserves'!$B$2:$B$1178,'2023'!T$2,Tabla1[ANY],'2023'!$Z$2)</f>
        <v>0</v>
      </c>
      <c r="U39" s="21">
        <f t="shared" si="50"/>
        <v>0</v>
      </c>
      <c r="V39" s="23">
        <f>SUMIFS('Registre de reserves'!$R$2:$R$1178,'Registre de reserves'!$T$2:$T$1178,"NO",'Registre de reserves'!$I$2:$I$1178,'2023'!$A39,'Registre de reserves'!$B$2:$B$1178,'2023'!V$2,Tabla1[ANY],'2023'!$Z$2)</f>
        <v>0</v>
      </c>
      <c r="W39" s="21">
        <f t="shared" si="51"/>
        <v>0</v>
      </c>
      <c r="X39" s="23">
        <f>SUMIFS('Registre de reserves'!$R$2:$R$1178,'Registre de reserves'!$T$2:$T$1178,"NO",'Registre de reserves'!$I$2:$I$1178,'2023'!$A39,'Registre de reserves'!$B$2:$B$1178,'2023'!X$2,Tabla1[ANY],'2023'!$Z$2)</f>
        <v>0</v>
      </c>
      <c r="Y39" s="21">
        <f t="shared" si="52"/>
        <v>0</v>
      </c>
      <c r="Z39" s="20">
        <f t="shared" si="54"/>
        <v>0</v>
      </c>
      <c r="AA39" s="21">
        <f t="shared" si="55"/>
        <v>0</v>
      </c>
      <c r="AB39" s="178">
        <f t="shared" si="2"/>
        <v>0</v>
      </c>
    </row>
    <row r="40" spans="1:28" ht="15.75" collapsed="1" thickBot="1" x14ac:dyDescent="0.25">
      <c r="A40" s="14" t="s">
        <v>78</v>
      </c>
      <c r="B40" s="24">
        <f>B41+B49</f>
        <v>1922.0151000000001</v>
      </c>
      <c r="C40" s="25">
        <f>IF(B3=0,0,B40/B3)</f>
        <v>0.46425485507246378</v>
      </c>
      <c r="D40" s="24">
        <f>D41+D49</f>
        <v>1571.88</v>
      </c>
      <c r="E40" s="25">
        <f>IF(D3=0,0,D40/D3)</f>
        <v>0.33587179487179492</v>
      </c>
      <c r="F40" s="24">
        <f>F41+F49</f>
        <v>1023.91</v>
      </c>
      <c r="G40" s="25">
        <f>IF(F3=0,0,F40/F3)</f>
        <v>0.26020584498094029</v>
      </c>
      <c r="H40" s="24">
        <f>H41+H49</f>
        <v>1166.57</v>
      </c>
      <c r="I40" s="25">
        <f>IF(H3=0,0,H40/H3)</f>
        <v>0.25470960698689954</v>
      </c>
      <c r="J40" s="24">
        <f>J41+J49</f>
        <v>1351.33</v>
      </c>
      <c r="K40" s="25">
        <f>IF(J3=0,0,J40/J3)</f>
        <v>0.37124450549450549</v>
      </c>
      <c r="L40" s="24">
        <f>L41+L49</f>
        <v>1204.25</v>
      </c>
      <c r="M40" s="25">
        <f>IF(L3=0,0,L40/L3)</f>
        <v>0.34309116809116808</v>
      </c>
      <c r="N40" s="24">
        <f>N41+N49</f>
        <v>1582.1</v>
      </c>
      <c r="O40" s="25">
        <f>IF(N3=0,0,N40/N3)</f>
        <v>0.42644204851752021</v>
      </c>
      <c r="P40" s="24">
        <f>P41+P49</f>
        <v>1132.42</v>
      </c>
      <c r="Q40" s="25">
        <f>IF(P3=0,0,P40/P3)</f>
        <v>0.79190209790209798</v>
      </c>
      <c r="R40" s="24">
        <f>R41+R49</f>
        <v>1139.5300000000002</v>
      </c>
      <c r="S40" s="25">
        <f>IF(R3=0,0,R40/R3)</f>
        <v>0.25210840707964605</v>
      </c>
      <c r="T40" s="24">
        <f>T41+T49</f>
        <v>1277.69</v>
      </c>
      <c r="U40" s="25">
        <f>IF(T3=0,0,T40/T3)</f>
        <v>0.30205437352245862</v>
      </c>
      <c r="V40" s="24">
        <f>V41+V49</f>
        <v>997.79000000000008</v>
      </c>
      <c r="W40" s="25">
        <f>IF(V3=0,0,V40/V3)</f>
        <v>0.31377044025157236</v>
      </c>
      <c r="X40" s="24">
        <f>X41+X49</f>
        <v>2525.46</v>
      </c>
      <c r="Y40" s="25">
        <f>IF(X3=0,0,X40/X3)</f>
        <v>0.33672800000000003</v>
      </c>
      <c r="Z40" s="24">
        <f>Z41+Z49</f>
        <v>16894.945100000001</v>
      </c>
      <c r="AA40" s="25">
        <f>IF(Z3=0,0,Z40/Z3)</f>
        <v>0.3444082173071043</v>
      </c>
      <c r="AB40" s="178">
        <f t="shared" si="2"/>
        <v>1407.9120916666668</v>
      </c>
    </row>
    <row r="41" spans="1:28" x14ac:dyDescent="0.2">
      <c r="A41" s="33" t="s">
        <v>79</v>
      </c>
      <c r="B41" s="18">
        <f>SUM(B42:B48)</f>
        <v>638</v>
      </c>
      <c r="C41" s="19">
        <f>IF(B$40=0,0,B41/B$40)</f>
        <v>0.33194328181916988</v>
      </c>
      <c r="D41" s="18">
        <f>SUM(D42:D48)</f>
        <v>684.61</v>
      </c>
      <c r="E41" s="19">
        <f>IF(D$40=0,0,D41/D$40)</f>
        <v>0.43553579153624955</v>
      </c>
      <c r="F41" s="18">
        <f>SUM(F42:F48)</f>
        <v>684.5</v>
      </c>
      <c r="G41" s="19">
        <f>IF(F$40=0,0,F41/F$40)</f>
        <v>0.66851578752038754</v>
      </c>
      <c r="H41" s="18">
        <f>SUM(H42:H48)</f>
        <v>624</v>
      </c>
      <c r="I41" s="19">
        <f>IF(H$40=0,0,H41/H$40)</f>
        <v>0.53490146326409904</v>
      </c>
      <c r="J41" s="18">
        <f>SUM(J42:J48)</f>
        <v>872.14</v>
      </c>
      <c r="K41" s="19">
        <f>IF(J$40=0,0,J41/J$40)</f>
        <v>0.64539379722199608</v>
      </c>
      <c r="L41" s="18">
        <f>SUM(L42:L48)</f>
        <v>684.5</v>
      </c>
      <c r="M41" s="19">
        <f>IF(L$40=0,0,L41/L$40)</f>
        <v>0.56840357068714964</v>
      </c>
      <c r="N41" s="18">
        <f>SUM(N42:N48)</f>
        <v>684.5</v>
      </c>
      <c r="O41" s="19">
        <f>IF(N$40=0,0,N41/N$40)</f>
        <v>0.43265280323620509</v>
      </c>
      <c r="P41" s="18">
        <f>SUM(P42:P48)</f>
        <v>684.8</v>
      </c>
      <c r="Q41" s="19">
        <f>IF(P$40=0,0,P41/P$40)</f>
        <v>0.60472262941311516</v>
      </c>
      <c r="R41" s="18">
        <f>SUM(R42:R48)</f>
        <v>705.95</v>
      </c>
      <c r="S41" s="19">
        <f>IF(R$40=0,0,R41/R$40)</f>
        <v>0.61950979789913374</v>
      </c>
      <c r="T41" s="18">
        <f>SUM(T42:T48)</f>
        <v>736.8</v>
      </c>
      <c r="U41" s="19">
        <f>IF(T$40=0,0,T41/T$40)</f>
        <v>0.57666570138296447</v>
      </c>
      <c r="V41" s="18">
        <f>SUM(V42:V48)</f>
        <v>618.84</v>
      </c>
      <c r="W41" s="19">
        <f>IF(V$40=0,0,V41/V$40)</f>
        <v>0.62021066557091165</v>
      </c>
      <c r="X41" s="18">
        <f>SUM(X42:X48)</f>
        <v>1286.97</v>
      </c>
      <c r="Y41" s="19">
        <f>IF(X$40=0,0,X41/X$40)</f>
        <v>0.50959825140766435</v>
      </c>
      <c r="Z41" s="18">
        <f>SUM(Z42:Z48)</f>
        <v>8905.61</v>
      </c>
      <c r="AA41" s="19">
        <f>IF(Z$40=0,0,Z41/Z$40)</f>
        <v>0.52711683567412126</v>
      </c>
      <c r="AB41" s="178">
        <f t="shared" si="2"/>
        <v>742.13416666666672</v>
      </c>
    </row>
    <row r="42" spans="1:28" hidden="1" outlineLevel="1" x14ac:dyDescent="0.2">
      <c r="A42" s="8" t="s">
        <v>16</v>
      </c>
      <c r="B42" s="20">
        <f>SUMIFS(Tabla2[IMPORT],Tabla2[ANY],$Z$2,Tabla2[MES],'2023'!B$2,Tabla2[TIPUS],'2023'!$A42)</f>
        <v>558</v>
      </c>
      <c r="C42" s="21">
        <f>IF(B$41=0,0,B42/B$41)</f>
        <v>0.87460815047021945</v>
      </c>
      <c r="D42" s="20">
        <f>SUMIFS(Tabla2[IMPORT],Tabla2[ANY],$Z$2,Tabla2[MES],'2023'!D$2,Tabla2[TIPUS],'2023'!$A42)</f>
        <v>558</v>
      </c>
      <c r="E42" s="21">
        <f>IF(D$41=0,0,D42/D$41)</f>
        <v>0.81506259037992435</v>
      </c>
      <c r="F42" s="20">
        <f>SUMIFS(Tabla2[IMPORT],Tabla2[ANY],$Z$2,Tabla2[MES],'2023'!F$2,Tabla2[TIPUS],'2023'!$A42)</f>
        <v>558</v>
      </c>
      <c r="G42" s="21">
        <f t="shared" ref="G42:G48" si="56">IF(F$41=0,0,F42/F$41)</f>
        <v>0.81519357195032871</v>
      </c>
      <c r="H42" s="20">
        <f>SUMIFS(Tabla2[IMPORT],Tabla2[ANY],$Z$2,Tabla2[MES],'2023'!H$2,Tabla2[TIPUS],'2023'!$A42)</f>
        <v>558</v>
      </c>
      <c r="I42" s="21">
        <f t="shared" ref="I42:I48" si="57">IF(H$41=0,0,H42/H$41)</f>
        <v>0.89423076923076927</v>
      </c>
      <c r="J42" s="20">
        <f>SUMIFS(Tabla2[IMPORT],Tabla2[ANY],$Z$2,Tabla2[MES],'2023'!J$2,Tabla2[TIPUS],'2023'!$A42)</f>
        <v>558</v>
      </c>
      <c r="K42" s="21">
        <f t="shared" ref="K42:K48" si="58">IF(J$41=0,0,J42/J$41)</f>
        <v>0.6398055358084711</v>
      </c>
      <c r="L42" s="20">
        <f>SUMIFS(Tabla2[IMPORT],Tabla2[ANY],$Z$2,Tabla2[MES],'2023'!L$2,Tabla2[TIPUS],'2023'!$A42)</f>
        <v>558</v>
      </c>
      <c r="M42" s="21">
        <f t="shared" ref="M42:M48" si="59">IF(L$41=0,0,L42/L$41)</f>
        <v>0.81519357195032871</v>
      </c>
      <c r="N42" s="20">
        <f>SUMIFS(Tabla2[IMPORT],Tabla2[ANY],$Z$2,Tabla2[MES],'2023'!N$2,Tabla2[TIPUS],'2023'!$A42)</f>
        <v>558</v>
      </c>
      <c r="O42" s="21">
        <f t="shared" ref="O42:O48" si="60">IF(N$41=0,0,N42/N$41)</f>
        <v>0.81519357195032871</v>
      </c>
      <c r="P42" s="20">
        <f>SUMIFS(Tabla2[IMPORT],Tabla2[ANY],$Z$2,Tabla2[MES],'2023'!P$2,Tabla2[TIPUS],'2023'!$A42)</f>
        <v>558</v>
      </c>
      <c r="Q42" s="21">
        <f t="shared" ref="Q42:Q48" si="61">IF(P$41=0,0,P42/P$41)</f>
        <v>0.81483644859813087</v>
      </c>
      <c r="R42" s="20">
        <f>SUMIFS(Tabla2[IMPORT],Tabla2[ANY],$Z$2,Tabla2[MES],'2023'!R$2,Tabla2[TIPUS],'2023'!$A42)</f>
        <v>558</v>
      </c>
      <c r="S42" s="21">
        <f t="shared" ref="S42:S48" si="62">IF(R$41=0,0,R42/R$41)</f>
        <v>0.79042425100927827</v>
      </c>
      <c r="T42" s="20">
        <f>SUMIFS(Tabla2[IMPORT],Tabla2[ANY],$Z$2,Tabla2[MES],'2023'!T$2,Tabla2[TIPUS],'2023'!$A42)</f>
        <v>558</v>
      </c>
      <c r="U42" s="21">
        <f t="shared" ref="U42:U48" si="63">IF(T$41=0,0,T42/T$41)</f>
        <v>0.75732899022801303</v>
      </c>
      <c r="V42" s="20">
        <f>SUMIFS(Tabla2[IMPORT],Tabla2[ANY],$Z$2,Tabla2[MES],'2023'!V$2,Tabla2[TIPUS],'2023'!$A42)</f>
        <v>558</v>
      </c>
      <c r="W42" s="21">
        <f t="shared" ref="W42:W48" si="64">IF(V$41=0,0,V42/V$41)</f>
        <v>0.90168702734147754</v>
      </c>
      <c r="X42" s="20">
        <f>SUMIFS(Tabla2[IMPORT],Tabla2[ANY],$Z$2,Tabla2[MES],'2023'!X$2,Tabla2[TIPUS],'2023'!$A42)</f>
        <v>558</v>
      </c>
      <c r="Y42" s="21">
        <f t="shared" ref="Y42:Y48" si="65">IF(X$41=0,0,X42/X$41)</f>
        <v>0.43357654024569336</v>
      </c>
      <c r="Z42" s="20">
        <f t="shared" ref="Z42:Z54" si="66">B42+D42+F42+H42+J42+L42+N42+P42+R42+T42+V42+X42</f>
        <v>6696</v>
      </c>
      <c r="AA42" s="21">
        <f>IF(Z$41=0,0,Z42/Z$41)</f>
        <v>0.75188560918342473</v>
      </c>
      <c r="AB42" s="178">
        <f t="shared" si="2"/>
        <v>558</v>
      </c>
    </row>
    <row r="43" spans="1:28" hidden="1" outlineLevel="1" x14ac:dyDescent="0.2">
      <c r="A43" s="8" t="s">
        <v>17</v>
      </c>
      <c r="B43" s="20">
        <f>SUMIFS(Tabla2[IMPORT],Tabla2[ANY],$Z$2,Tabla2[MES],'2023'!B$2,Tabla2[TIPUS],'2023'!$A43)</f>
        <v>0</v>
      </c>
      <c r="C43" s="21">
        <f t="shared" ref="C43:E48" si="67">IF(B$41=0,0,B43/B$41)</f>
        <v>0</v>
      </c>
      <c r="D43" s="20">
        <f>SUMIFS(Tabla2[IMPORT],Tabla2[ANY],$Z$2,Tabla2[MES],'2023'!D$2,Tabla2[TIPUS],'2023'!$A43)</f>
        <v>0</v>
      </c>
      <c r="E43" s="21">
        <f t="shared" si="67"/>
        <v>0</v>
      </c>
      <c r="F43" s="20">
        <f>SUMIFS(Tabla2[IMPORT],Tabla2[ANY],$Z$2,Tabla2[MES],'2023'!F$2,Tabla2[TIPUS],'2023'!$A43)</f>
        <v>0</v>
      </c>
      <c r="G43" s="21">
        <f t="shared" si="56"/>
        <v>0</v>
      </c>
      <c r="H43" s="20">
        <f>SUMIFS(Tabla2[IMPORT],Tabla2[ANY],$Z$2,Tabla2[MES],'2023'!H$2,Tabla2[TIPUS],'2023'!$A43)</f>
        <v>0</v>
      </c>
      <c r="I43" s="21">
        <f t="shared" si="57"/>
        <v>0</v>
      </c>
      <c r="J43" s="20">
        <f>SUMIFS(Tabla2[IMPORT],Tabla2[ANY],$Z$2,Tabla2[MES],'2023'!J$2,Tabla2[TIPUS],'2023'!$A43)</f>
        <v>0</v>
      </c>
      <c r="K43" s="21">
        <f t="shared" si="58"/>
        <v>0</v>
      </c>
      <c r="L43" s="20">
        <f>SUMIFS(Tabla2[IMPORT],Tabla2[ANY],$Z$2,Tabla2[MES],'2023'!L$2,Tabla2[TIPUS],'2023'!$A43)</f>
        <v>0</v>
      </c>
      <c r="M43" s="21">
        <f t="shared" si="59"/>
        <v>0</v>
      </c>
      <c r="N43" s="20">
        <f>SUMIFS(Tabla2[IMPORT],Tabla2[ANY],$Z$2,Tabla2[MES],'2023'!N$2,Tabla2[TIPUS],'2023'!$A43)</f>
        <v>0</v>
      </c>
      <c r="O43" s="21">
        <f t="shared" si="60"/>
        <v>0</v>
      </c>
      <c r="P43" s="20">
        <f>SUMIFS(Tabla2[IMPORT],Tabla2[ANY],$Z$2,Tabla2[MES],'2023'!P$2,Tabla2[TIPUS],'2023'!$A43)</f>
        <v>0</v>
      </c>
      <c r="Q43" s="21">
        <f t="shared" si="61"/>
        <v>0</v>
      </c>
      <c r="R43" s="20">
        <f>SUMIFS(Tabla2[IMPORT],Tabla2[ANY],$Z$2,Tabla2[MES],'2023'!R$2,Tabla2[TIPUS],'2023'!$A43)</f>
        <v>0</v>
      </c>
      <c r="S43" s="21">
        <f t="shared" si="62"/>
        <v>0</v>
      </c>
      <c r="T43" s="20">
        <f>SUMIFS(Tabla2[IMPORT],Tabla2[ANY],$Z$2,Tabla2[MES],'2023'!T$2,Tabla2[TIPUS],'2023'!$A43)</f>
        <v>0</v>
      </c>
      <c r="U43" s="21">
        <f t="shared" si="63"/>
        <v>0</v>
      </c>
      <c r="V43" s="20">
        <f>SUMIFS(Tabla2[IMPORT],Tabla2[ANY],$Z$2,Tabla2[MES],'2023'!V$2,Tabla2[TIPUS],'2023'!$A43)</f>
        <v>0</v>
      </c>
      <c r="W43" s="21">
        <f t="shared" si="64"/>
        <v>0</v>
      </c>
      <c r="X43" s="20">
        <f>SUMIFS(Tabla2[IMPORT],Tabla2[ANY],$Z$2,Tabla2[MES],'2023'!X$2,Tabla2[TIPUS],'2023'!$A43)</f>
        <v>0</v>
      </c>
      <c r="Y43" s="21">
        <f t="shared" si="65"/>
        <v>0</v>
      </c>
      <c r="Z43" s="20">
        <f t="shared" si="66"/>
        <v>0</v>
      </c>
      <c r="AA43" s="21">
        <f t="shared" ref="AA43:AA48" si="68">IF(Z$41=0,0,Z43/Z$41)</f>
        <v>0</v>
      </c>
      <c r="AB43" s="178">
        <f t="shared" si="2"/>
        <v>0</v>
      </c>
    </row>
    <row r="44" spans="1:28" hidden="1" outlineLevel="1" x14ac:dyDescent="0.2">
      <c r="A44" s="8" t="s">
        <v>85</v>
      </c>
      <c r="B44" s="20">
        <f>SUMIFS(Tabla2[IMPORT],Tabla2[ANY],$Z$2,Tabla2[MES],'2023'!B$2,Tabla2[TIPUS],'2023'!$A44)</f>
        <v>0</v>
      </c>
      <c r="C44" s="21">
        <f t="shared" si="67"/>
        <v>0</v>
      </c>
      <c r="D44" s="20">
        <f>SUMIFS(Tabla2[IMPORT],Tabla2[ANY],$Z$2,Tabla2[MES],'2023'!D$2,Tabla2[TIPUS],'2023'!$A44)</f>
        <v>60.5</v>
      </c>
      <c r="E44" s="21">
        <f t="shared" si="67"/>
        <v>8.837148157345058E-2</v>
      </c>
      <c r="F44" s="20">
        <f>SUMIFS(Tabla2[IMPORT],Tabla2[ANY],$Z$2,Tabla2[MES],'2023'!F$2,Tabla2[TIPUS],'2023'!$A44)</f>
        <v>60.5</v>
      </c>
      <c r="G44" s="21">
        <f t="shared" si="56"/>
        <v>8.8385682980277575E-2</v>
      </c>
      <c r="H44" s="20">
        <f>SUMIFS(Tabla2[IMPORT],Tabla2[ANY],$Z$2,Tabla2[MES],'2023'!H$2,Tabla2[TIPUS],'2023'!$A44)</f>
        <v>0</v>
      </c>
      <c r="I44" s="21">
        <f t="shared" si="57"/>
        <v>0</v>
      </c>
      <c r="J44" s="20">
        <f>SUMIFS(Tabla2[IMPORT],Tabla2[ANY],$Z$2,Tabla2[MES],'2023'!J$2,Tabla2[TIPUS],'2023'!$A44)</f>
        <v>60.5</v>
      </c>
      <c r="K44" s="21">
        <f t="shared" si="58"/>
        <v>6.9369596624395166E-2</v>
      </c>
      <c r="L44" s="20">
        <f>SUMIFS(Tabla2[IMPORT],Tabla2[ANY],$Z$2,Tabla2[MES],'2023'!L$2,Tabla2[TIPUS],'2023'!$A44)</f>
        <v>60.5</v>
      </c>
      <c r="M44" s="21">
        <f t="shared" si="59"/>
        <v>8.8385682980277575E-2</v>
      </c>
      <c r="N44" s="20">
        <f>SUMIFS(Tabla2[IMPORT],Tabla2[ANY],$Z$2,Tabla2[MES],'2023'!N$2,Tabla2[TIPUS],'2023'!$A44)</f>
        <v>60.5</v>
      </c>
      <c r="O44" s="21">
        <f t="shared" si="60"/>
        <v>8.8385682980277575E-2</v>
      </c>
      <c r="P44" s="20">
        <f>SUMIFS(Tabla2[IMPORT],Tabla2[ANY],$Z$2,Tabla2[MES],'2023'!P$2,Tabla2[TIPUS],'2023'!$A44)</f>
        <v>60.5</v>
      </c>
      <c r="Q44" s="21">
        <f t="shared" si="61"/>
        <v>8.8346962616822441E-2</v>
      </c>
      <c r="R44" s="20">
        <f>SUMIFS(Tabla2[IMPORT],Tabla2[ANY],$Z$2,Tabla2[MES],'2023'!R$2,Tabla2[TIPUS],'2023'!$A44)</f>
        <v>60.5</v>
      </c>
      <c r="S44" s="21">
        <f t="shared" si="62"/>
        <v>8.5700120405127839E-2</v>
      </c>
      <c r="T44" s="20">
        <f>SUMIFS(Tabla2[IMPORT],Tabla2[ANY],$Z$2,Tabla2[MES],'2023'!T$2,Tabla2[TIPUS],'2023'!$A44)</f>
        <v>60.5</v>
      </c>
      <c r="U44" s="21">
        <f t="shared" si="63"/>
        <v>8.2111834961997837E-2</v>
      </c>
      <c r="V44" s="20">
        <f>SUMIFS(Tabla2[IMPORT],Tabla2[ANY],$Z$2,Tabla2[MES],'2023'!V$2,Tabla2[TIPUS],'2023'!$A44)</f>
        <v>60.5</v>
      </c>
      <c r="W44" s="21">
        <f t="shared" si="64"/>
        <v>9.7763557623941566E-2</v>
      </c>
      <c r="X44" s="20">
        <f>SUMIFS(Tabla2[IMPORT],Tabla2[ANY],$Z$2,Tabla2[MES],'2023'!X$2,Tabla2[TIPUS],'2023'!$A44)</f>
        <v>60.5</v>
      </c>
      <c r="Y44" s="21">
        <f t="shared" si="65"/>
        <v>4.7009642804416572E-2</v>
      </c>
      <c r="Z44" s="20">
        <f t="shared" si="66"/>
        <v>605</v>
      </c>
      <c r="AA44" s="21">
        <f t="shared" si="68"/>
        <v>6.7934706325563324E-2</v>
      </c>
      <c r="AB44" s="178">
        <f t="shared" si="2"/>
        <v>50.416666666666664</v>
      </c>
    </row>
    <row r="45" spans="1:28" hidden="1" outlineLevel="1" x14ac:dyDescent="0.2">
      <c r="A45" s="8" t="s">
        <v>94</v>
      </c>
      <c r="B45" s="20">
        <f>SUMIFS(Tabla2[IMPORT],Tabla2[ANY],$Z$2,Tabla2[MES],'2023'!B$2,Tabla2[TIPUS],'2023'!$A45)</f>
        <v>0</v>
      </c>
      <c r="C45" s="21">
        <f t="shared" si="67"/>
        <v>0</v>
      </c>
      <c r="D45" s="20">
        <f>SUMIFS(Tabla2[IMPORT],Tabla2[ANY],$Z$2,Tabla2[MES],'2023'!D$2,Tabla2[TIPUS],'2023'!$A45)</f>
        <v>0</v>
      </c>
      <c r="E45" s="21">
        <f t="shared" si="67"/>
        <v>0</v>
      </c>
      <c r="F45" s="20">
        <f>SUMIFS(Tabla2[IMPORT],Tabla2[ANY],$Z$2,Tabla2[MES],'2023'!F$2,Tabla2[TIPUS],'2023'!$A45)</f>
        <v>0</v>
      </c>
      <c r="G45" s="21">
        <f t="shared" si="56"/>
        <v>0</v>
      </c>
      <c r="H45" s="20">
        <f>SUMIFS(Tabla2[IMPORT],Tabla2[ANY],$Z$2,Tabla2[MES],'2023'!H$2,Tabla2[TIPUS],'2023'!$A45)</f>
        <v>0</v>
      </c>
      <c r="I45" s="21">
        <f t="shared" si="57"/>
        <v>0</v>
      </c>
      <c r="J45" s="20">
        <f>SUMIFS(Tabla2[IMPORT],Tabla2[ANY],$Z$2,Tabla2[MES],'2023'!J$2,Tabla2[TIPUS],'2023'!$A45)</f>
        <v>187.64</v>
      </c>
      <c r="K45" s="21">
        <f t="shared" si="58"/>
        <v>0.21514894397688444</v>
      </c>
      <c r="L45" s="20">
        <f>SUMIFS(Tabla2[IMPORT],Tabla2[ANY],$Z$2,Tabla2[MES],'2023'!L$2,Tabla2[TIPUS],'2023'!$A45)</f>
        <v>0</v>
      </c>
      <c r="M45" s="21">
        <f t="shared" si="59"/>
        <v>0</v>
      </c>
      <c r="N45" s="20">
        <f>SUMIFS(Tabla2[IMPORT],Tabla2[ANY],$Z$2,Tabla2[MES],'2023'!N$2,Tabla2[TIPUS],'2023'!$A45)</f>
        <v>0</v>
      </c>
      <c r="O45" s="21">
        <f t="shared" si="60"/>
        <v>0</v>
      </c>
      <c r="P45" s="20">
        <f>SUMIFS(Tabla2[IMPORT],Tabla2[ANY],$Z$2,Tabla2[MES],'2023'!P$2,Tabla2[TIPUS],'2023'!$A45)</f>
        <v>0</v>
      </c>
      <c r="Q45" s="21">
        <f t="shared" si="61"/>
        <v>0</v>
      </c>
      <c r="R45" s="20">
        <f>SUMIFS(Tabla2[IMPORT],Tabla2[ANY],$Z$2,Tabla2[MES],'2023'!R$2,Tabla2[TIPUS],'2023'!$A45)</f>
        <v>0</v>
      </c>
      <c r="S45" s="21">
        <f t="shared" si="62"/>
        <v>0</v>
      </c>
      <c r="T45" s="20">
        <f>SUMIFS(Tabla2[IMPORT],Tabla2[ANY],$Z$2,Tabla2[MES],'2023'!T$2,Tabla2[TIPUS],'2023'!$A45)</f>
        <v>0</v>
      </c>
      <c r="U45" s="21">
        <f t="shared" si="63"/>
        <v>0</v>
      </c>
      <c r="V45" s="20">
        <f>SUMIFS(Tabla2[IMPORT],Tabla2[ANY],$Z$2,Tabla2[MES],'2023'!V$2,Tabla2[TIPUS],'2023'!$A45)</f>
        <v>0</v>
      </c>
      <c r="W45" s="21">
        <f t="shared" si="64"/>
        <v>0</v>
      </c>
      <c r="X45" s="20">
        <f>SUMIFS(Tabla2[IMPORT],Tabla2[ANY],$Z$2,Tabla2[MES],'2023'!X$2,Tabla2[TIPUS],'2023'!$A45)</f>
        <v>0</v>
      </c>
      <c r="Y45" s="21">
        <f t="shared" si="65"/>
        <v>0</v>
      </c>
      <c r="Z45" s="20">
        <f t="shared" si="66"/>
        <v>187.64</v>
      </c>
      <c r="AA45" s="21">
        <f t="shared" si="68"/>
        <v>2.1069864950295374E-2</v>
      </c>
      <c r="AB45" s="178">
        <f t="shared" si="2"/>
        <v>15.636666666666665</v>
      </c>
    </row>
    <row r="46" spans="1:28" hidden="1" outlineLevel="1" x14ac:dyDescent="0.2">
      <c r="A46" s="8" t="s">
        <v>118</v>
      </c>
      <c r="B46" s="20">
        <f>SUMIFS(Tabla2[IMPORT],Tabla2[ANY],$Z$2,Tabla2[MES],'2023'!B$2,Tabla2[TIPUS],'2023'!$A46)</f>
        <v>0</v>
      </c>
      <c r="C46" s="21">
        <f t="shared" si="67"/>
        <v>0</v>
      </c>
      <c r="D46" s="20">
        <f>SUMIFS(Tabla2[IMPORT],Tabla2[ANY],$Z$2,Tabla2[MES],'2023'!D$2,Tabla2[TIPUS],'2023'!$A46)</f>
        <v>0</v>
      </c>
      <c r="E46" s="21">
        <f t="shared" si="67"/>
        <v>0</v>
      </c>
      <c r="F46" s="20">
        <f>SUMIFS(Tabla2[IMPORT],Tabla2[ANY],$Z$2,Tabla2[MES],'2023'!F$2,Tabla2[TIPUS],'2023'!$A46)</f>
        <v>0</v>
      </c>
      <c r="G46" s="21">
        <f t="shared" si="56"/>
        <v>0</v>
      </c>
      <c r="H46" s="20">
        <f>SUMIFS(Tabla2[IMPORT],Tabla2[ANY],$Z$2,Tabla2[MES],'2023'!H$2,Tabla2[TIPUS],'2023'!$A46)</f>
        <v>0</v>
      </c>
      <c r="I46" s="21">
        <f t="shared" si="57"/>
        <v>0</v>
      </c>
      <c r="J46" s="20">
        <f>SUMIFS(Tabla2[IMPORT],Tabla2[ANY],$Z$2,Tabla2[MES],'2023'!J$2,Tabla2[TIPUS],'2023'!$A46)</f>
        <v>0</v>
      </c>
      <c r="K46" s="21">
        <f t="shared" si="58"/>
        <v>0</v>
      </c>
      <c r="L46" s="20">
        <f>SUMIFS(Tabla2[IMPORT],Tabla2[ANY],$Z$2,Tabla2[MES],'2023'!L$2,Tabla2[TIPUS],'2023'!$A46)</f>
        <v>0</v>
      </c>
      <c r="M46" s="21">
        <f t="shared" si="59"/>
        <v>0</v>
      </c>
      <c r="N46" s="20">
        <f>SUMIFS(Tabla2[IMPORT],Tabla2[ANY],$Z$2,Tabla2[MES],'2023'!N$2,Tabla2[TIPUS],'2023'!$A46)</f>
        <v>0</v>
      </c>
      <c r="O46" s="21">
        <f t="shared" si="60"/>
        <v>0</v>
      </c>
      <c r="P46" s="20">
        <f>SUMIFS(Tabla2[IMPORT],Tabla2[ANY],$Z$2,Tabla2[MES],'2023'!P$2,Tabla2[TIPUS],'2023'!$A46)</f>
        <v>0</v>
      </c>
      <c r="Q46" s="21">
        <f t="shared" si="61"/>
        <v>0</v>
      </c>
      <c r="R46" s="20">
        <f>SUMIFS(Tabla2[IMPORT],Tabla2[ANY],$Z$2,Tabla2[MES],'2023'!R$2,Tabla2[TIPUS],'2023'!$A46)</f>
        <v>0</v>
      </c>
      <c r="S46" s="21">
        <f t="shared" si="62"/>
        <v>0</v>
      </c>
      <c r="T46" s="20">
        <f>SUMIFS(Tabla2[IMPORT],Tabla2[ANY],$Z$2,Tabla2[MES],'2023'!T$2,Tabla2[TIPUS],'2023'!$A46)</f>
        <v>0</v>
      </c>
      <c r="U46" s="21">
        <f t="shared" si="63"/>
        <v>0</v>
      </c>
      <c r="V46" s="20">
        <f>SUMIFS(Tabla2[IMPORT],Tabla2[ANY],$Z$2,Tabla2[MES],'2023'!V$2,Tabla2[TIPUS],'2023'!$A46)</f>
        <v>0</v>
      </c>
      <c r="W46" s="21">
        <f t="shared" si="64"/>
        <v>0</v>
      </c>
      <c r="X46" s="20">
        <f>SUMIFS(Tabla2[IMPORT],Tabla2[ANY],$Z$2,Tabla2[MES],'2023'!X$2,Tabla2[TIPUS],'2023'!$A46)</f>
        <v>626.78</v>
      </c>
      <c r="Y46" s="21">
        <f t="shared" si="65"/>
        <v>0.48701989945375568</v>
      </c>
      <c r="Z46" s="20">
        <f t="shared" si="66"/>
        <v>626.78</v>
      </c>
      <c r="AA46" s="21">
        <f t="shared" si="68"/>
        <v>7.0380355753283594E-2</v>
      </c>
      <c r="AB46" s="178">
        <f t="shared" si="2"/>
        <v>52.231666666666662</v>
      </c>
    </row>
    <row r="47" spans="1:28" hidden="1" outlineLevel="1" x14ac:dyDescent="0.2">
      <c r="A47" s="8" t="s">
        <v>97</v>
      </c>
      <c r="B47" s="20">
        <f>SUMIFS(Tabla2[IMPORT],Tabla2[ANY],$Z$2,Tabla2[MES],'2023'!B$2,Tabla2[TIPUS],'2023'!$A47)</f>
        <v>18</v>
      </c>
      <c r="C47" s="21">
        <f t="shared" si="67"/>
        <v>2.8213166144200628E-2</v>
      </c>
      <c r="D47" s="20">
        <f>SUMIFS(Tabla2[IMPORT],Tabla2[ANY],$Z$2,Tabla2[MES],'2023'!D$2,Tabla2[TIPUS],'2023'!$A47)</f>
        <v>0</v>
      </c>
      <c r="E47" s="21">
        <f t="shared" si="67"/>
        <v>0</v>
      </c>
      <c r="F47" s="20">
        <f>SUMIFS(Tabla2[IMPORT],Tabla2[ANY],$Z$2,Tabla2[MES],'2023'!F$2,Tabla2[TIPUS],'2023'!$A47)</f>
        <v>0</v>
      </c>
      <c r="G47" s="21">
        <f t="shared" si="56"/>
        <v>0</v>
      </c>
      <c r="H47" s="20">
        <f>SUMIFS(Tabla2[IMPORT],Tabla2[ANY],$Z$2,Tabla2[MES],'2023'!H$2,Tabla2[TIPUS],'2023'!$A47)</f>
        <v>0</v>
      </c>
      <c r="I47" s="21">
        <f t="shared" si="57"/>
        <v>0</v>
      </c>
      <c r="J47" s="20">
        <f>SUMIFS(Tabla2[IMPORT],Tabla2[ANY],$Z$2,Tabla2[MES],'2023'!J$2,Tabla2[TIPUS],'2023'!$A47)</f>
        <v>0</v>
      </c>
      <c r="K47" s="21">
        <f t="shared" si="58"/>
        <v>0</v>
      </c>
      <c r="L47" s="20">
        <f>SUMIFS(Tabla2[IMPORT],Tabla2[ANY],$Z$2,Tabla2[MES],'2023'!L$2,Tabla2[TIPUS],'2023'!$A47)</f>
        <v>0</v>
      </c>
      <c r="M47" s="21">
        <f t="shared" si="59"/>
        <v>0</v>
      </c>
      <c r="N47" s="20">
        <f>SUMIFS(Tabla2[IMPORT],Tabla2[ANY],$Z$2,Tabla2[MES],'2023'!N$2,Tabla2[TIPUS],'2023'!$A47)</f>
        <v>0</v>
      </c>
      <c r="O47" s="21">
        <f t="shared" si="60"/>
        <v>0</v>
      </c>
      <c r="P47" s="20">
        <f>SUMIFS(Tabla2[IMPORT],Tabla2[ANY],$Z$2,Tabla2[MES],'2023'!P$2,Tabla2[TIPUS],'2023'!$A47)</f>
        <v>0</v>
      </c>
      <c r="Q47" s="21">
        <f t="shared" si="61"/>
        <v>0</v>
      </c>
      <c r="R47" s="20">
        <f>SUMIFS(Tabla2[IMPORT],Tabla2[ANY],$Z$2,Tabla2[MES],'2023'!R$2,Tabla2[TIPUS],'2023'!$A47)</f>
        <v>0</v>
      </c>
      <c r="S47" s="21">
        <f t="shared" si="62"/>
        <v>0</v>
      </c>
      <c r="T47" s="20">
        <f>SUMIFS(Tabla2[IMPORT],Tabla2[ANY],$Z$2,Tabla2[MES],'2023'!T$2,Tabla2[TIPUS],'2023'!$A47)</f>
        <v>0</v>
      </c>
      <c r="U47" s="21">
        <f t="shared" si="63"/>
        <v>0</v>
      </c>
      <c r="V47" s="20">
        <f>SUMIFS(Tabla2[IMPORT],Tabla2[ANY],$Z$2,Tabla2[MES],'2023'!V$2,Tabla2[TIPUS],'2023'!$A47)</f>
        <v>0</v>
      </c>
      <c r="W47" s="21">
        <f t="shared" si="64"/>
        <v>0</v>
      </c>
      <c r="X47" s="20">
        <f>SUMIFS(Tabla2[IMPORT],Tabla2[ANY],$Z$2,Tabla2[MES],'2023'!X$2,Tabla2[TIPUS],'2023'!$A47)</f>
        <v>0</v>
      </c>
      <c r="Y47" s="21">
        <f t="shared" si="65"/>
        <v>0</v>
      </c>
      <c r="Z47" s="20">
        <f t="shared" si="66"/>
        <v>18</v>
      </c>
      <c r="AA47" s="21">
        <f t="shared" si="68"/>
        <v>2.0211978741489912E-3</v>
      </c>
      <c r="AB47" s="178">
        <f t="shared" si="2"/>
        <v>1.5</v>
      </c>
    </row>
    <row r="48" spans="1:28" hidden="1" outlineLevel="1" x14ac:dyDescent="0.2">
      <c r="A48" s="8" t="s">
        <v>113</v>
      </c>
      <c r="B48" s="20">
        <f>SUMIFS(Tabla2[IMPORT],Tabla2[ANY],$Z$2,Tabla2[MES],'2023'!B$2,Tabla2[TIPUS],'2023'!$A48)</f>
        <v>62</v>
      </c>
      <c r="C48" s="21">
        <f t="shared" si="67"/>
        <v>9.7178683385579931E-2</v>
      </c>
      <c r="D48" s="20">
        <f>SUMIFS(Tabla2[IMPORT],Tabla2[ANY],$Z$2,Tabla2[MES],'2023'!D$2,Tabla2[TIPUS],'2023'!$A48)</f>
        <v>66.11</v>
      </c>
      <c r="E48" s="21">
        <f t="shared" si="67"/>
        <v>9.6565928046625088E-2</v>
      </c>
      <c r="F48" s="20">
        <f>SUMIFS(Tabla2[IMPORT],Tabla2[ANY],$Z$2,Tabla2[MES],'2023'!F$2,Tabla2[TIPUS],'2023'!$A48)</f>
        <v>66</v>
      </c>
      <c r="G48" s="21">
        <f t="shared" si="56"/>
        <v>9.6420745069393715E-2</v>
      </c>
      <c r="H48" s="20">
        <f>SUMIFS(Tabla2[IMPORT],Tabla2[ANY],$Z$2,Tabla2[MES],'2023'!H$2,Tabla2[TIPUS],'2023'!$A48)</f>
        <v>66</v>
      </c>
      <c r="I48" s="21">
        <f t="shared" si="57"/>
        <v>0.10576923076923077</v>
      </c>
      <c r="J48" s="20">
        <f>SUMIFS(Tabla2[IMPORT],Tabla2[ANY],$Z$2,Tabla2[MES],'2023'!J$2,Tabla2[TIPUS],'2023'!$A48)</f>
        <v>66</v>
      </c>
      <c r="K48" s="21">
        <f t="shared" si="58"/>
        <v>7.5675923590249272E-2</v>
      </c>
      <c r="L48" s="20">
        <f>SUMIFS(Tabla2[IMPORT],Tabla2[ANY],$Z$2,Tabla2[MES],'2023'!L$2,Tabla2[TIPUS],'2023'!$A48)</f>
        <v>66</v>
      </c>
      <c r="M48" s="21">
        <f t="shared" si="59"/>
        <v>9.6420745069393715E-2</v>
      </c>
      <c r="N48" s="20">
        <f>SUMIFS(Tabla2[IMPORT],Tabla2[ANY],$Z$2,Tabla2[MES],'2023'!N$2,Tabla2[TIPUS],'2023'!$A48)</f>
        <v>66</v>
      </c>
      <c r="O48" s="21">
        <f t="shared" si="60"/>
        <v>9.6420745069393715E-2</v>
      </c>
      <c r="P48" s="20">
        <f>SUMIFS(Tabla2[IMPORT],Tabla2[ANY],$Z$2,Tabla2[MES],'2023'!P$2,Tabla2[TIPUS],'2023'!$A48)</f>
        <v>66.3</v>
      </c>
      <c r="Q48" s="21">
        <f t="shared" si="61"/>
        <v>9.6816588785046731E-2</v>
      </c>
      <c r="R48" s="20">
        <f>SUMIFS(Tabla2[IMPORT],Tabla2[ANY],$Z$2,Tabla2[MES],'2023'!R$2,Tabla2[TIPUS],'2023'!$A48)</f>
        <v>87.45</v>
      </c>
      <c r="S48" s="21">
        <f t="shared" si="62"/>
        <v>0.12387562858559388</v>
      </c>
      <c r="T48" s="20">
        <f>SUMIFS(Tabla2[IMPORT],Tabla2[ANY],$Z$2,Tabla2[MES],'2023'!T$2,Tabla2[TIPUS],'2023'!$A48)</f>
        <v>118.30000000000001</v>
      </c>
      <c r="U48" s="21">
        <f t="shared" si="63"/>
        <v>0.16055917480998916</v>
      </c>
      <c r="V48" s="20">
        <f>SUMIFS(Tabla2[IMPORT],Tabla2[ANY],$Z$2,Tabla2[MES],'2023'!V$2,Tabla2[TIPUS],'2023'!$A48)</f>
        <v>0.34000000000000163</v>
      </c>
      <c r="W48" s="21">
        <f t="shared" si="64"/>
        <v>5.4941503458083129E-4</v>
      </c>
      <c r="X48" s="20">
        <f>SUMIFS(Tabla2[IMPORT],Tabla2[ANY],$Z$2,Tabla2[MES],'2023'!X$2,Tabla2[TIPUS],'2023'!$A48)</f>
        <v>41.69</v>
      </c>
      <c r="Y48" s="21">
        <f t="shared" si="65"/>
        <v>3.2393917496134329E-2</v>
      </c>
      <c r="Z48" s="20">
        <f t="shared" si="66"/>
        <v>772.19</v>
      </c>
      <c r="AA48" s="21">
        <f t="shared" si="68"/>
        <v>8.6708265913283872E-2</v>
      </c>
      <c r="AB48" s="178">
        <f t="shared" si="2"/>
        <v>64.349166666666676</v>
      </c>
    </row>
    <row r="49" spans="1:30" collapsed="1" x14ac:dyDescent="0.2">
      <c r="A49" s="34" t="s">
        <v>86</v>
      </c>
      <c r="B49" s="18">
        <f>SUM(B50:B54)</f>
        <v>1284.0151000000001</v>
      </c>
      <c r="C49" s="19">
        <f>IF(B$40=0,0,B49/B$40)</f>
        <v>0.66805671818083012</v>
      </c>
      <c r="D49" s="18">
        <f>SUM(D50:D54)</f>
        <v>887.27</v>
      </c>
      <c r="E49" s="19">
        <f>IF(D$40=0,0,D49/D$40)</f>
        <v>0.56446420846375034</v>
      </c>
      <c r="F49" s="18">
        <f>SUM(F50:F54)</f>
        <v>339.40999999999997</v>
      </c>
      <c r="G49" s="19">
        <f>IF(F$40=0,0,F49/F$40)</f>
        <v>0.33148421247961246</v>
      </c>
      <c r="H49" s="18">
        <f>SUM(H50:H54)</f>
        <v>542.56999999999994</v>
      </c>
      <c r="I49" s="19">
        <f>IF(H$40=0,0,H49/H$40)</f>
        <v>0.46509853673590096</v>
      </c>
      <c r="J49" s="18">
        <f>SUM(J50:J54)</f>
        <v>479.19</v>
      </c>
      <c r="K49" s="19">
        <f>IF(J$40=0,0,J49/J$40)</f>
        <v>0.35460620277800392</v>
      </c>
      <c r="L49" s="18">
        <f>SUM(L50:L54)</f>
        <v>519.75</v>
      </c>
      <c r="M49" s="19">
        <f>IF(L$40=0,0,L49/L$40)</f>
        <v>0.4315964293128503</v>
      </c>
      <c r="N49" s="18">
        <f>SUM(N50:N54)</f>
        <v>897.6</v>
      </c>
      <c r="O49" s="19">
        <f>IF(N$40=0,0,N49/N$40)</f>
        <v>0.56734719676379497</v>
      </c>
      <c r="P49" s="18">
        <f>SUM(P50:P54)</f>
        <v>447.62</v>
      </c>
      <c r="Q49" s="19">
        <f>IF(P$40=0,0,P49/P$40)</f>
        <v>0.39527737058688472</v>
      </c>
      <c r="R49" s="18">
        <f>SUM(R50:R54)</f>
        <v>433.58000000000004</v>
      </c>
      <c r="S49" s="19">
        <f>IF(R$40=0,0,R49/R$40)</f>
        <v>0.38049020210086609</v>
      </c>
      <c r="T49" s="18">
        <f>SUM(T50:T54)</f>
        <v>540.89</v>
      </c>
      <c r="U49" s="19">
        <f>IF(T$40=0,0,T49/T$40)</f>
        <v>0.42333429861703542</v>
      </c>
      <c r="V49" s="18">
        <f>SUM(V50:V54)</f>
        <v>378.95000000000005</v>
      </c>
      <c r="W49" s="19">
        <f>IF(V$40=0,0,V49/V$40)</f>
        <v>0.3797893344290883</v>
      </c>
      <c r="X49" s="18">
        <f>SUM(X50:X54)</f>
        <v>1238.49</v>
      </c>
      <c r="Y49" s="19">
        <f>IF(X$40=0,0,X49/X$40)</f>
        <v>0.49040174859233565</v>
      </c>
      <c r="Z49" s="18">
        <f>SUM(Z50:Z54)</f>
        <v>7989.3351000000002</v>
      </c>
      <c r="AA49" s="19">
        <f>IF(Z$40=0,0,Z49/Z$40)</f>
        <v>0.47288316432587874</v>
      </c>
      <c r="AB49" s="178">
        <f t="shared" si="2"/>
        <v>665.77792499999998</v>
      </c>
    </row>
    <row r="50" spans="1:30" hidden="1" outlineLevel="1" x14ac:dyDescent="0.2">
      <c r="A50" s="8" t="s">
        <v>87</v>
      </c>
      <c r="B50" s="20">
        <f>SUMIFS(Tabla2[IMPORT],Tabla2[ANY],$Z$2,Tabla2[MES],'2023'!B$2,Tabla2[TIPUS],'2023'!$A50)</f>
        <v>328.57549999999998</v>
      </c>
      <c r="C50" s="21">
        <f>IF(B$49=0,0,B50/B$49)</f>
        <v>0.25589691273879878</v>
      </c>
      <c r="D50" s="20">
        <f>SUMIFS(Tabla2[IMPORT],Tabla2[ANY],$Z$2,Tabla2[MES],'2023'!D$2,Tabla2[TIPUS],'2023'!$A50)</f>
        <v>196.09</v>
      </c>
      <c r="E50" s="21">
        <f>IF(D$49=0,0,D50/D$49)</f>
        <v>0.22100375308530662</v>
      </c>
      <c r="F50" s="20">
        <f>SUMIFS(Tabla2[IMPORT],Tabla2[ANY],$Z$2,Tabla2[MES],'2023'!F$2,Tabla2[TIPUS],'2023'!$A50)</f>
        <v>141.26</v>
      </c>
      <c r="G50" s="21">
        <f>IF(F$49=0,0,F50/F$49)</f>
        <v>0.4161928051618986</v>
      </c>
      <c r="H50" s="20">
        <f>SUMIFS(Tabla2[IMPORT],Tabla2[ANY],$Z$2,Tabla2[MES],'2023'!H$2,Tabla2[TIPUS],'2023'!$A50)</f>
        <v>199.40999999999997</v>
      </c>
      <c r="I50" s="21">
        <f>IF(H$49=0,0,H50/H$49)</f>
        <v>0.36752861381941498</v>
      </c>
      <c r="J50" s="20">
        <f>SUMIFS(Tabla2[IMPORT],Tabla2[ANY],$Z$2,Tabla2[MES],'2023'!J$2,Tabla2[TIPUS],'2023'!$A50)</f>
        <v>189.94</v>
      </c>
      <c r="K50" s="21">
        <f>IF(J$49=0,0,J50/J$49)</f>
        <v>0.39637721989190089</v>
      </c>
      <c r="L50" s="20">
        <f>SUMIFS(Tabla2[IMPORT],Tabla2[ANY],$Z$2,Tabla2[MES],'2023'!L$2,Tabla2[TIPUS],'2023'!$A50)</f>
        <v>128.11000000000001</v>
      </c>
      <c r="M50" s="21">
        <f>IF(L$49=0,0,L50/L$49)</f>
        <v>0.2464838864838865</v>
      </c>
      <c r="N50" s="20">
        <f>SUMIFS(Tabla2[IMPORT],Tabla2[ANY],$Z$2,Tabla2[MES],'2023'!N$2,Tabla2[TIPUS],'2023'!$A50)</f>
        <v>126.48000000000002</v>
      </c>
      <c r="O50" s="21">
        <f>IF(N$49=0,0,N50/N$49)</f>
        <v>0.14090909090909093</v>
      </c>
      <c r="P50" s="20">
        <f>SUMIFS(Tabla2[IMPORT],Tabla2[ANY],$Z$2,Tabla2[MES],'2023'!P$2,Tabla2[TIPUS],'2023'!$A50)</f>
        <v>226.19</v>
      </c>
      <c r="Q50" s="21">
        <f>IF(P$49=0,0,P50/P$49)</f>
        <v>0.50531700996380857</v>
      </c>
      <c r="R50" s="20">
        <f>SUMIFS(Tabla2[IMPORT],Tabla2[ANY],$Z$2,Tabla2[MES],'2023'!R$2,Tabla2[TIPUS],'2023'!$A50)</f>
        <v>164.68</v>
      </c>
      <c r="S50" s="21">
        <f>IF(R$49=0,0,R50/R$49)</f>
        <v>0.37981456709257805</v>
      </c>
      <c r="T50" s="20">
        <f>SUMIFS(Tabla2[IMPORT],Tabla2[ANY],$Z$2,Tabla2[MES],'2023'!T$2,Tabla2[TIPUS],'2023'!$A50)</f>
        <v>127.54999999999995</v>
      </c>
      <c r="U50" s="21">
        <f>IF(T$49=0,0,T50/T$49)</f>
        <v>0.23581504557303695</v>
      </c>
      <c r="V50" s="20">
        <f>SUMIFS(Tabla2[IMPORT],Tabla2[ANY],$Z$2,Tabla2[MES],'2023'!V$2,Tabla2[TIPUS],'2023'!$A50)</f>
        <v>168.95000000000005</v>
      </c>
      <c r="W50" s="21">
        <f>IF(V$49=0,0,V50/V$49)</f>
        <v>0.44583718168623837</v>
      </c>
      <c r="X50" s="20">
        <f>SUMIFS(Tabla2[IMPORT],Tabla2[ANY],$Z$2,Tabla2[MES],'2023'!X$2,Tabla2[TIPUS],'2023'!$A50)</f>
        <v>174.28999999999996</v>
      </c>
      <c r="Y50" s="21">
        <f>IF(X$49=0,0,X50/X$49)</f>
        <v>0.14072782178297763</v>
      </c>
      <c r="Z50" s="20">
        <f t="shared" si="66"/>
        <v>2171.5254999999997</v>
      </c>
      <c r="AA50" s="21">
        <f>IF(Z$49=0,0,Z50/Z$49)</f>
        <v>0.27180303151885565</v>
      </c>
      <c r="AB50" s="178">
        <f t="shared" si="2"/>
        <v>180.96045833333332</v>
      </c>
      <c r="AC50" s="79">
        <f>Z50+'2021'!AC50</f>
        <v>2533.6554999999998</v>
      </c>
    </row>
    <row r="51" spans="1:30" hidden="1" outlineLevel="1" x14ac:dyDescent="0.2">
      <c r="A51" s="8" t="s">
        <v>88</v>
      </c>
      <c r="B51" s="20">
        <f>SUMIFS(Tabla2[IMPORT],Tabla2[ANY],$Z$2,Tabla2[MES],'2023'!B$2,Tabla2[TIPUS],'2023'!$A51)</f>
        <v>134.0196</v>
      </c>
      <c r="C51" s="21">
        <f t="shared" ref="C51:E54" si="69">IF(B$49=0,0,B51/B$49)</f>
        <v>0.10437540804621377</v>
      </c>
      <c r="D51" s="20">
        <f>SUMIFS(Tabla2[IMPORT],Tabla2[ANY],$Z$2,Tabla2[MES],'2023'!D$2,Tabla2[TIPUS],'2023'!$A51)</f>
        <v>99.08</v>
      </c>
      <c r="E51" s="21">
        <f t="shared" si="69"/>
        <v>0.11166837602984435</v>
      </c>
      <c r="F51" s="20">
        <f>SUMIFS(Tabla2[IMPORT],Tabla2[ANY],$Z$2,Tabla2[MES],'2023'!F$2,Tabla2[TIPUS],'2023'!$A51)</f>
        <v>0</v>
      </c>
      <c r="G51" s="21">
        <f>IF(F$49=0,0,F51/F$49)</f>
        <v>0</v>
      </c>
      <c r="H51" s="20">
        <f>SUMIFS(Tabla2[IMPORT],Tabla2[ANY],$Z$2,Tabla2[MES],'2023'!H$2,Tabla2[TIPUS],'2023'!$A51)</f>
        <v>0</v>
      </c>
      <c r="I51" s="21">
        <f>IF(H$49=0,0,H51/H$49)</f>
        <v>0</v>
      </c>
      <c r="J51" s="20">
        <f>SUMIFS(Tabla2[IMPORT],Tabla2[ANY],$Z$2,Tabla2[MES],'2023'!J$2,Tabla2[TIPUS],'2023'!$A51)</f>
        <v>0</v>
      </c>
      <c r="K51" s="21">
        <f>IF(J$49=0,0,J51/J$49)</f>
        <v>0</v>
      </c>
      <c r="L51" s="20">
        <f>SUMIFS(Tabla2[IMPORT],Tabla2[ANY],$Z$2,Tabla2[MES],'2023'!L$2,Tabla2[TIPUS],'2023'!$A51)</f>
        <v>0</v>
      </c>
      <c r="M51" s="21">
        <f>IF(L$49=0,0,L51/L$49)</f>
        <v>0</v>
      </c>
      <c r="N51" s="20">
        <f>SUMIFS(Tabla2[IMPORT],Tabla2[ANY],$Z$2,Tabla2[MES],'2023'!N$2,Tabla2[TIPUS],'2023'!$A51)</f>
        <v>0</v>
      </c>
      <c r="O51" s="21">
        <f>IF(N$49=0,0,N51/N$49)</f>
        <v>0</v>
      </c>
      <c r="P51" s="20">
        <f>SUMIFS(Tabla2[IMPORT],Tabla2[ANY],$Z$2,Tabla2[MES],'2023'!P$2,Tabla2[TIPUS],'2023'!$A51)</f>
        <v>125.59</v>
      </c>
      <c r="Q51" s="21">
        <f>IF(P$49=0,0,P51/P$49)</f>
        <v>0.28057280729189937</v>
      </c>
      <c r="R51" s="20">
        <f>SUMIFS(Tabla2[IMPORT],Tabla2[ANY],$Z$2,Tabla2[MES],'2023'!R$2,Tabla2[TIPUS],'2023'!$A51)</f>
        <v>0</v>
      </c>
      <c r="S51" s="21">
        <f>IF(R$49=0,0,R51/R$49)</f>
        <v>0</v>
      </c>
      <c r="T51" s="20">
        <f>SUMIFS(Tabla2[IMPORT],Tabla2[ANY],$Z$2,Tabla2[MES],'2023'!T$2,Tabla2[TIPUS],'2023'!$A51)</f>
        <v>0</v>
      </c>
      <c r="U51" s="21">
        <f>IF(T$49=0,0,T51/T$49)</f>
        <v>0</v>
      </c>
      <c r="V51" s="20">
        <f>SUMIFS(Tabla2[IMPORT],Tabla2[ANY],$Z$2,Tabla2[MES],'2023'!V$2,Tabla2[TIPUS],'2023'!$A51)</f>
        <v>0</v>
      </c>
      <c r="W51" s="21">
        <f>IF(V$49=0,0,V51/V$49)</f>
        <v>0</v>
      </c>
      <c r="X51" s="20">
        <f>SUMIFS(Tabla2[IMPORT],Tabla2[ANY],$Z$2,Tabla2[MES],'2023'!X$2,Tabla2[TIPUS],'2023'!$A51)</f>
        <v>0</v>
      </c>
      <c r="Y51" s="21">
        <f>IF(X$49=0,0,X51/X$49)</f>
        <v>0</v>
      </c>
      <c r="Z51" s="20">
        <f t="shared" si="66"/>
        <v>358.68960000000004</v>
      </c>
      <c r="AA51" s="21">
        <f>IF(Z$49=0,0,Z51/Z$49)</f>
        <v>4.4896051487438554E-2</v>
      </c>
      <c r="AB51" s="178">
        <f t="shared" si="2"/>
        <v>29.890800000000002</v>
      </c>
      <c r="AC51">
        <f>AC50/1.21</f>
        <v>2093.9301652892559</v>
      </c>
    </row>
    <row r="52" spans="1:30" hidden="1" outlineLevel="1" x14ac:dyDescent="0.2">
      <c r="A52" s="8" t="s">
        <v>89</v>
      </c>
      <c r="B52" s="20">
        <f>SUMIFS(Tabla2[IMPORT],Tabla2[ANY],$Z$2,Tabla2[MES],'2023'!B$2,Tabla2[TIPUS],'2023'!$A52)</f>
        <v>341.42</v>
      </c>
      <c r="C52" s="21">
        <f t="shared" si="69"/>
        <v>0.26590029977061796</v>
      </c>
      <c r="D52" s="20">
        <f>SUMIFS(Tabla2[IMPORT],Tabla2[ANY],$Z$2,Tabla2[MES],'2023'!D$2,Tabla2[TIPUS],'2023'!$A52)</f>
        <v>242.1</v>
      </c>
      <c r="E52" s="21">
        <f t="shared" si="69"/>
        <v>0.27285944526468831</v>
      </c>
      <c r="F52" s="20">
        <f>SUMIFS(Tabla2[IMPORT],Tabla2[ANY],$Z$2,Tabla2[MES],'2023'!F$2,Tabla2[TIPUS],'2023'!$A52)</f>
        <v>48.15</v>
      </c>
      <c r="G52" s="21">
        <f>IF(F$49=0,0,F52/F$49)</f>
        <v>0.14186382251554169</v>
      </c>
      <c r="H52" s="20">
        <f>SUMIFS(Tabla2[IMPORT],Tabla2[ANY],$Z$2,Tabla2[MES],'2023'!H$2,Tabla2[TIPUS],'2023'!$A52)</f>
        <v>103.16</v>
      </c>
      <c r="I52" s="21">
        <f>IF(H$49=0,0,H52/H$49)</f>
        <v>0.19013214884715338</v>
      </c>
      <c r="J52" s="20">
        <f>SUMIFS(Tabla2[IMPORT],Tabla2[ANY],$Z$2,Tabla2[MES],'2023'!J$2,Tabla2[TIPUS],'2023'!$A52)</f>
        <v>64.25</v>
      </c>
      <c r="K52" s="21">
        <f>IF(J$49=0,0,J52/J$49)</f>
        <v>0.13408042738788373</v>
      </c>
      <c r="L52" s="20">
        <f>SUMIFS(Tabla2[IMPORT],Tabla2[ANY],$Z$2,Tabla2[MES],'2023'!L$2,Tabla2[TIPUS],'2023'!$A52)</f>
        <v>241.64</v>
      </c>
      <c r="M52" s="21">
        <f>IF(L$49=0,0,L52/L$49)</f>
        <v>0.46491582491582489</v>
      </c>
      <c r="N52" s="20">
        <f>SUMIFS(Tabla2[IMPORT],Tabla2[ANY],$Z$2,Tabla2[MES],'2023'!N$2,Tabla2[TIPUS],'2023'!$A52)</f>
        <v>581.12</v>
      </c>
      <c r="O52" s="21">
        <f>IF(N$49=0,0,N52/N$49)</f>
        <v>0.64741532976827099</v>
      </c>
      <c r="P52" s="20">
        <f>SUMIFS(Tabla2[IMPORT],Tabla2[ANY],$Z$2,Tabla2[MES],'2023'!P$2,Tabla2[TIPUS],'2023'!$A52)</f>
        <v>95.84</v>
      </c>
      <c r="Q52" s="21">
        <f>IF(P$49=0,0,P52/P$49)</f>
        <v>0.21411018274429203</v>
      </c>
      <c r="R52" s="20">
        <f>SUMIFS(Tabla2[IMPORT],Tabla2[ANY],$Z$2,Tabla2[MES],'2023'!R$2,Tabla2[TIPUS],'2023'!$A52)</f>
        <v>63.9</v>
      </c>
      <c r="S52" s="21">
        <f>IF(R$49=0,0,R52/R$49)</f>
        <v>0.14737764657041375</v>
      </c>
      <c r="T52" s="20">
        <f>SUMIFS(Tabla2[IMPORT],Tabla2[ANY],$Z$2,Tabla2[MES],'2023'!T$2,Tabla2[TIPUS],'2023'!$A52)</f>
        <v>123.34</v>
      </c>
      <c r="U52" s="21">
        <f>IF(T$49=0,0,T52/T$49)</f>
        <v>0.22803157758509124</v>
      </c>
      <c r="V52" s="20">
        <f>SUMIFS(Tabla2[IMPORT],Tabla2[ANY],$Z$2,Tabla2[MES],'2023'!V$2,Tabla2[TIPUS],'2023'!$A52)</f>
        <v>0</v>
      </c>
      <c r="W52" s="21">
        <f>IF(V$49=0,0,V52/V$49)</f>
        <v>0</v>
      </c>
      <c r="X52" s="20">
        <f>SUMIFS(Tabla2[IMPORT],Tabla2[ANY],$Z$2,Tabla2[MES],'2023'!X$2,Tabla2[TIPUS],'2023'!$A52)</f>
        <v>644.20000000000005</v>
      </c>
      <c r="Y52" s="21">
        <f>IF(X$49=0,0,X52/X$49)</f>
        <v>0.52014953693610766</v>
      </c>
      <c r="Z52" s="20">
        <f t="shared" si="66"/>
        <v>2549.12</v>
      </c>
      <c r="AA52" s="21">
        <f>IF(Z$49=0,0,Z52/Z$49)</f>
        <v>0.3190653500064104</v>
      </c>
      <c r="AB52" s="178">
        <f t="shared" si="2"/>
        <v>212.42666666666665</v>
      </c>
      <c r="AC52">
        <f>AC51*1.1</f>
        <v>2303.3231818181816</v>
      </c>
    </row>
    <row r="53" spans="1:30" hidden="1" outlineLevel="1" x14ac:dyDescent="0.2">
      <c r="A53" s="8" t="s">
        <v>145</v>
      </c>
      <c r="B53" s="20">
        <f>SUMIFS(Tabla2[IMPORT],Tabla2[ANY],$Z$2,Tabla2[MES],'2023'!B$2,Tabla2[TIPUS],'2023'!$A53)</f>
        <v>0</v>
      </c>
      <c r="C53" s="21">
        <f>IF(B$49=0,0,B53/B$49)</f>
        <v>0</v>
      </c>
      <c r="D53" s="20">
        <f>SUMIFS(Tabla2[IMPORT],Tabla2[ANY],$Z$2,Tabla2[MES],'2023'!D$2,Tabla2[TIPUS],'2023'!$A53)</f>
        <v>0</v>
      </c>
      <c r="E53" s="21">
        <f>IF(D$49=0,0,D53/D$49)</f>
        <v>0</v>
      </c>
      <c r="F53" s="20">
        <f>SUMIFS(Tabla2[IMPORT],Tabla2[ANY],$Z$2,Tabla2[MES],'2023'!F$2,Tabla2[TIPUS],'2023'!$A53)</f>
        <v>0</v>
      </c>
      <c r="G53" s="21">
        <f>IF(F$49=0,0,F53/F$49)</f>
        <v>0</v>
      </c>
      <c r="H53" s="20">
        <f>SUMIFS(Tabla2[IMPORT],Tabla2[ANY],$Z$2,Tabla2[MES],'2023'!H$2,Tabla2[TIPUS],'2023'!$A53)</f>
        <v>0</v>
      </c>
      <c r="I53" s="21">
        <f>IF(H$49=0,0,H53/H$49)</f>
        <v>0</v>
      </c>
      <c r="J53" s="20">
        <f>SUMIFS(Tabla2[IMPORT],Tabla2[ANY],$Z$2,Tabla2[MES],'2023'!J$2,Tabla2[TIPUS],'2023'!$A53)</f>
        <v>0</v>
      </c>
      <c r="K53" s="21">
        <f>IF(J$49=0,0,J53/J$49)</f>
        <v>0</v>
      </c>
      <c r="L53" s="20">
        <f>SUMIFS(Tabla2[IMPORT],Tabla2[ANY],$Z$2,Tabla2[MES],'2023'!L$2,Tabla2[TIPUS],'2023'!$A53)</f>
        <v>0</v>
      </c>
      <c r="M53" s="21">
        <f>IF(L$49=0,0,L53/L$49)</f>
        <v>0</v>
      </c>
      <c r="N53" s="20">
        <f>SUMIFS(Tabla2[IMPORT],Tabla2[ANY],$Z$2,Tabla2[MES],'2023'!N$2,Tabla2[TIPUS],'2023'!$A53)</f>
        <v>0</v>
      </c>
      <c r="O53" s="21">
        <f>IF(N$49=0,0,N53/N$49)</f>
        <v>0</v>
      </c>
      <c r="P53" s="20">
        <f>SUMIFS(Tabla2[IMPORT],Tabla2[ANY],$Z$2,Tabla2[MES],'2023'!P$2,Tabla2[TIPUS],'2023'!$A53)</f>
        <v>0</v>
      </c>
      <c r="Q53" s="21">
        <f>IF(P$49=0,0,P53/P$49)</f>
        <v>0</v>
      </c>
      <c r="R53" s="20">
        <f>SUMIFS(Tabla2[IMPORT],Tabla2[ANY],$Z$2,Tabla2[MES],'2023'!R$2,Tabla2[TIPUS],'2023'!$A53)</f>
        <v>0</v>
      </c>
      <c r="S53" s="21">
        <f>IF(R$49=0,0,R53/R$49)</f>
        <v>0</v>
      </c>
      <c r="T53" s="20">
        <f>SUMIFS(Tabla2[IMPORT],Tabla2[ANY],$Z$2,Tabla2[MES],'2023'!T$2,Tabla2[TIPUS],'2023'!$A53)</f>
        <v>0</v>
      </c>
      <c r="U53" s="21">
        <f>IF(T$49=0,0,T53/T$49)</f>
        <v>0</v>
      </c>
      <c r="V53" s="20">
        <f>SUMIFS(Tabla2[IMPORT],Tabla2[ANY],$Z$2,Tabla2[MES],'2023'!V$2,Tabla2[TIPUS],'2023'!$A53)</f>
        <v>0</v>
      </c>
      <c r="W53" s="21">
        <f>IF(V$49=0,0,V53/V$49)</f>
        <v>0</v>
      </c>
      <c r="X53" s="20">
        <f>SUMIFS(Tabla2[IMPORT],Tabla2[ANY],$Z$2,Tabla2[MES],'2023'!X$2,Tabla2[TIPUS],'2023'!$A53)</f>
        <v>0</v>
      </c>
      <c r="Y53" s="21">
        <f>IF(X$49=0,0,X53/X$49)</f>
        <v>0</v>
      </c>
      <c r="Z53" s="20">
        <f>B53+D53+F53+H53+J53+L53+N53+P53+R53+T53+V53+X53</f>
        <v>0</v>
      </c>
      <c r="AA53" s="21">
        <f>IF(Z$49=0,0,Z53/Z$49)</f>
        <v>0</v>
      </c>
      <c r="AB53" s="178">
        <f t="shared" si="2"/>
        <v>0</v>
      </c>
      <c r="AC53" s="79">
        <f>AC50-AC52</f>
        <v>230.33231818181821</v>
      </c>
    </row>
    <row r="54" spans="1:30" hidden="1" outlineLevel="1" x14ac:dyDescent="0.2">
      <c r="A54" s="8" t="s">
        <v>90</v>
      </c>
      <c r="B54" s="20">
        <f>SUMIFS(Tabla2[IMPORT],Tabla2[ANY],$Z$2,Tabla2[MES],'2023'!B$2,Tabla2[TIPUS],'2023'!$A54)</f>
        <v>480</v>
      </c>
      <c r="C54" s="21">
        <f t="shared" si="69"/>
        <v>0.37382737944436945</v>
      </c>
      <c r="D54" s="20">
        <f>SUMIFS(Tabla2[IMPORT],Tabla2[ANY],$Z$2,Tabla2[MES],'2023'!D$2,Tabla2[TIPUS],'2023'!$A54)</f>
        <v>350</v>
      </c>
      <c r="E54" s="21">
        <f t="shared" si="69"/>
        <v>0.39446842562016071</v>
      </c>
      <c r="F54" s="20">
        <f>SUMIFS(Tabla2[IMPORT],Tabla2[ANY],$Z$2,Tabla2[MES],'2023'!F$2,Tabla2[TIPUS],'2023'!$A54)</f>
        <v>150</v>
      </c>
      <c r="G54" s="21">
        <f>IF(F$49=0,0,F54/F$49)</f>
        <v>0.44194337232255976</v>
      </c>
      <c r="H54" s="20">
        <f>SUMIFS(Tabla2[IMPORT],Tabla2[ANY],$Z$2,Tabla2[MES],'2023'!H$2,Tabla2[TIPUS],'2023'!$A54)</f>
        <v>240</v>
      </c>
      <c r="I54" s="21">
        <f>IF(H$49=0,0,H54/H$49)</f>
        <v>0.44233923733343167</v>
      </c>
      <c r="J54" s="20">
        <f>SUMIFS(Tabla2[IMPORT],Tabla2[ANY],$Z$2,Tabla2[MES],'2023'!J$2,Tabla2[TIPUS],'2023'!$A54)</f>
        <v>225</v>
      </c>
      <c r="K54" s="21">
        <f>IF(J$49=0,0,J54/J$49)</f>
        <v>0.46954235272021538</v>
      </c>
      <c r="L54" s="20">
        <f>SUMIFS(Tabla2[IMPORT],Tabla2[ANY],$Z$2,Tabla2[MES],'2023'!L$2,Tabla2[TIPUS],'2023'!$A54)</f>
        <v>150</v>
      </c>
      <c r="M54" s="21">
        <f>IF(L$49=0,0,L54/L$49)</f>
        <v>0.28860028860028858</v>
      </c>
      <c r="N54" s="20">
        <f>SUMIFS(Tabla2[IMPORT],Tabla2[ANY],$Z$2,Tabla2[MES],'2023'!N$2,Tabla2[TIPUS],'2023'!$A54)</f>
        <v>190</v>
      </c>
      <c r="O54" s="21">
        <f>IF(N$49=0,0,N54/N$49)</f>
        <v>0.21167557932263814</v>
      </c>
      <c r="P54" s="20">
        <f>SUMIFS(Tabla2[IMPORT],Tabla2[ANY],$Z$2,Tabla2[MES],'2023'!P$2,Tabla2[TIPUS],'2023'!$A54)</f>
        <v>0</v>
      </c>
      <c r="Q54" s="21">
        <f>IF(P$49=0,0,P54/P$49)</f>
        <v>0</v>
      </c>
      <c r="R54" s="20">
        <f>SUMIFS(Tabla2[IMPORT],Tabla2[ANY],$Z$2,Tabla2[MES],'2023'!R$2,Tabla2[TIPUS],'2023'!$A54)</f>
        <v>205</v>
      </c>
      <c r="S54" s="21">
        <f>IF(R$49=0,0,R54/R$49)</f>
        <v>0.4728077863370081</v>
      </c>
      <c r="T54" s="20">
        <f>SUMIFS(Tabla2[IMPORT],Tabla2[ANY],$Z$2,Tabla2[MES],'2023'!T$2,Tabla2[TIPUS],'2023'!$A54)</f>
        <v>290</v>
      </c>
      <c r="U54" s="21">
        <f>IF(T$49=0,0,T54/T$49)</f>
        <v>0.5361533768418717</v>
      </c>
      <c r="V54" s="20">
        <f>SUMIFS(Tabla2[IMPORT],Tabla2[ANY],$Z$2,Tabla2[MES],'2023'!V$2,Tabla2[TIPUS],'2023'!$A54)</f>
        <v>210</v>
      </c>
      <c r="W54" s="21">
        <f>IF(V$49=0,0,V54/V$49)</f>
        <v>0.55416281831376168</v>
      </c>
      <c r="X54" s="20">
        <f>SUMIFS(Tabla2[IMPORT],Tabla2[ANY],$Z$2,Tabla2[MES],'2023'!X$2,Tabla2[TIPUS],'2023'!$A54)</f>
        <v>420</v>
      </c>
      <c r="Y54" s="21">
        <f>IF(X$49=0,0,X54/X$49)</f>
        <v>0.33912264128091468</v>
      </c>
      <c r="Z54" s="20">
        <f t="shared" si="66"/>
        <v>2910</v>
      </c>
      <c r="AA54" s="21">
        <f>IF(Z$49=0,0,Z54/Z$49)</f>
        <v>0.36423556698729537</v>
      </c>
      <c r="AB54" s="178">
        <f t="shared" si="2"/>
        <v>242.5</v>
      </c>
    </row>
    <row r="55" spans="1:30" ht="15.75" collapsed="1" thickBot="1" x14ac:dyDescent="0.25">
      <c r="A55" s="15" t="s">
        <v>121</v>
      </c>
      <c r="B55" s="26">
        <f>B3-B40</f>
        <v>2217.9848999999999</v>
      </c>
      <c r="C55" s="27">
        <f>IF(B3=0,0,B55/B3)</f>
        <v>0.53574514492753622</v>
      </c>
      <c r="D55" s="26">
        <f>D3-D40</f>
        <v>3108.12</v>
      </c>
      <c r="E55" s="27">
        <f>IF(D3=0,0,D55/D3)</f>
        <v>0.66412820512820514</v>
      </c>
      <c r="F55" s="26">
        <f>F3-F40</f>
        <v>2911.09</v>
      </c>
      <c r="G55" s="27">
        <f>IF(F3=0,0,F55/F3)</f>
        <v>0.73979415501905976</v>
      </c>
      <c r="H55" s="26">
        <f>H3-H40</f>
        <v>3413.4300000000003</v>
      </c>
      <c r="I55" s="27">
        <f>IF(H3=0,0,H55/H3)</f>
        <v>0.74529039301310052</v>
      </c>
      <c r="J55" s="26">
        <f>J3-J40</f>
        <v>2288.67</v>
      </c>
      <c r="K55" s="27">
        <f>IF(J3=0,0,J55/J3)</f>
        <v>0.62875549450549451</v>
      </c>
      <c r="L55" s="26">
        <f>L3-L40</f>
        <v>2305.75</v>
      </c>
      <c r="M55" s="27">
        <f>IF(L3=0,0,L55/L3)</f>
        <v>0.65690883190883187</v>
      </c>
      <c r="N55" s="26">
        <f>N3-N40</f>
        <v>2127.9</v>
      </c>
      <c r="O55" s="27">
        <f>IF(N3=0,0,N55/N3)</f>
        <v>0.57355795148247979</v>
      </c>
      <c r="P55" s="26">
        <f>P3-P40</f>
        <v>297.57999999999993</v>
      </c>
      <c r="Q55" s="27">
        <f>IF(P3=0,0,P55/P3)</f>
        <v>0.20809790209790205</v>
      </c>
      <c r="R55" s="26">
        <f>R3-R40</f>
        <v>3380.47</v>
      </c>
      <c r="S55" s="27">
        <f>IF(R3=0,0,R55/R3)</f>
        <v>0.7478915929203539</v>
      </c>
      <c r="T55" s="26">
        <f>T3-T40</f>
        <v>2952.31</v>
      </c>
      <c r="U55" s="27">
        <f>IF(T3=0,0,T55/T3)</f>
        <v>0.69794562647754133</v>
      </c>
      <c r="V55" s="26">
        <f>V3-V40</f>
        <v>2182.21</v>
      </c>
      <c r="W55" s="27">
        <f>IF(V3=0,0,V55/V3)</f>
        <v>0.6862295597484277</v>
      </c>
      <c r="X55" s="26">
        <f>X3-X40</f>
        <v>4974.54</v>
      </c>
      <c r="Y55" s="27">
        <f>IF(X3=0,0,X55/X3)</f>
        <v>0.66327199999999997</v>
      </c>
      <c r="Z55" s="26">
        <f>Z3-Z40</f>
        <v>32160.054899999999</v>
      </c>
      <c r="AA55" s="27">
        <f>IF(Z3=0,0,Z55/Z3)</f>
        <v>0.65559178269289575</v>
      </c>
      <c r="AB55" s="178">
        <f t="shared" si="2"/>
        <v>2680.0045749999999</v>
      </c>
    </row>
    <row r="56" spans="1:30" ht="16.5" thickTop="1" thickBot="1" x14ac:dyDescent="0.25">
      <c r="A56" s="13" t="s">
        <v>120</v>
      </c>
      <c r="B56" s="28">
        <f>B57</f>
        <v>28.358749999999997</v>
      </c>
      <c r="C56" s="29">
        <f>IF(B3=0,0,B56/B3)</f>
        <v>6.8499396135265692E-3</v>
      </c>
      <c r="D56" s="28">
        <f t="shared" ref="D56:Z56" si="70">D57</f>
        <v>28.358749999999997</v>
      </c>
      <c r="E56" s="29">
        <f>IF(D3=0,0,D56/D3)</f>
        <v>6.0595619658119649E-3</v>
      </c>
      <c r="F56" s="28">
        <f t="shared" si="70"/>
        <v>28.358749999999997</v>
      </c>
      <c r="G56" s="29">
        <f>IF(F3=0,0,F56/F3)</f>
        <v>7.2067979669631502E-3</v>
      </c>
      <c r="H56" s="28">
        <f t="shared" si="70"/>
        <v>28.358749999999997</v>
      </c>
      <c r="I56" s="29">
        <f>IF(H3=0,0,H56/H3)</f>
        <v>6.1918668122270737E-3</v>
      </c>
      <c r="J56" s="28">
        <f t="shared" si="70"/>
        <v>28.358749999999997</v>
      </c>
      <c r="K56" s="29">
        <f>IF(J3=0,0,J56/J3)</f>
        <v>7.7908653846153839E-3</v>
      </c>
      <c r="L56" s="28">
        <f t="shared" si="70"/>
        <v>28.358749999999997</v>
      </c>
      <c r="M56" s="29">
        <f>IF(L3=0,0,L56/L3)</f>
        <v>8.0794159544159538E-3</v>
      </c>
      <c r="N56" s="28">
        <f t="shared" si="70"/>
        <v>28.358749999999997</v>
      </c>
      <c r="O56" s="29">
        <f>IF(N3=0,0,N56/N3)</f>
        <v>7.6438679245283015E-3</v>
      </c>
      <c r="P56" s="28">
        <f t="shared" si="70"/>
        <v>28.358749999999997</v>
      </c>
      <c r="Q56" s="29">
        <f>IF(P3=0,0,P56/P3)</f>
        <v>1.9831293706293704E-2</v>
      </c>
      <c r="R56" s="28">
        <f t="shared" si="70"/>
        <v>28.358749999999997</v>
      </c>
      <c r="S56" s="29">
        <f>IF(R3=0,0,R56/R3)</f>
        <v>6.2740597345132734E-3</v>
      </c>
      <c r="T56" s="28">
        <f t="shared" si="70"/>
        <v>28.358749999999997</v>
      </c>
      <c r="U56" s="29">
        <f>IF(T3=0,0,T56/T3)</f>
        <v>6.7041962174940895E-3</v>
      </c>
      <c r="V56" s="28">
        <f t="shared" si="70"/>
        <v>28.358749999999997</v>
      </c>
      <c r="W56" s="29">
        <f>IF(V3=0,0,V56/V3)</f>
        <v>8.9178459119496848E-3</v>
      </c>
      <c r="X56" s="28">
        <f t="shared" si="70"/>
        <v>28.358749999999997</v>
      </c>
      <c r="Y56" s="29">
        <f>IF(X3=0,0,X56/X3)</f>
        <v>3.7811666666666662E-3</v>
      </c>
      <c r="Z56" s="28">
        <f t="shared" si="70"/>
        <v>340.30499999999989</v>
      </c>
      <c r="AA56" s="29">
        <f>IF(Z3=0,0,Z56/Z3)</f>
        <v>6.937213331974312E-3</v>
      </c>
      <c r="AB56" s="178">
        <f t="shared" si="2"/>
        <v>28.35874999999999</v>
      </c>
    </row>
    <row r="57" spans="1:30" hidden="1" outlineLevel="1" x14ac:dyDescent="0.2">
      <c r="A57" s="8" t="s">
        <v>81</v>
      </c>
      <c r="B57" s="20">
        <f>IF($A$2&gt;=1,'Tarifas 2022'!$J$47,0)</f>
        <v>28.358749999999997</v>
      </c>
      <c r="C57" s="21">
        <f>IF(B56=0,0,B57/B56)</f>
        <v>1</v>
      </c>
      <c r="D57" s="20">
        <f>IF($A$2&gt;=2,'Tarifas 2022'!$J$47,0)</f>
        <v>28.358749999999997</v>
      </c>
      <c r="E57" s="21">
        <f>IF(D56=0,0,D57/D56)</f>
        <v>1</v>
      </c>
      <c r="F57" s="20">
        <f>IF($A$2&gt;=3,'Tarifas 2022'!$J$47,0)</f>
        <v>28.358749999999997</v>
      </c>
      <c r="G57" s="21">
        <f>IF(F56=0,0,F57/F56)</f>
        <v>1</v>
      </c>
      <c r="H57" s="20">
        <f>IF($A$2&gt;=4,'Tarifas 2022'!$J$47,0)</f>
        <v>28.358749999999997</v>
      </c>
      <c r="I57" s="21">
        <f>IF(H56=0,0,H57/H56)</f>
        <v>1</v>
      </c>
      <c r="J57" s="20">
        <f>IF($A$2&gt;=5,'Tarifas 2022'!$J$47,0)</f>
        <v>28.358749999999997</v>
      </c>
      <c r="K57" s="21">
        <f>IF(J56=0,0,J57/J56)</f>
        <v>1</v>
      </c>
      <c r="L57" s="20">
        <f>IF($A$2&gt;=6,'Tarifas 2022'!$J$47,0)</f>
        <v>28.358749999999997</v>
      </c>
      <c r="M57" s="21">
        <f>IF(L56=0,0,L57/L56)</f>
        <v>1</v>
      </c>
      <c r="N57" s="20">
        <f>IF($A$2&gt;=7,'Tarifas 2022'!$J$47,0)</f>
        <v>28.358749999999997</v>
      </c>
      <c r="O57" s="21">
        <f>IF(N56=0,0,N57/N56)</f>
        <v>1</v>
      </c>
      <c r="P57" s="20">
        <f>IF($A$2&gt;=8,'Tarifas 2022'!$J$47,0)</f>
        <v>28.358749999999997</v>
      </c>
      <c r="Q57" s="21">
        <f>IF(P56=0,0,P57/P56)</f>
        <v>1</v>
      </c>
      <c r="R57" s="20">
        <f>IF($A$2&gt;=9,'Tarifas 2022'!$J$47,0)</f>
        <v>28.358749999999997</v>
      </c>
      <c r="S57" s="21">
        <f>IF(R56=0,0,R57/R56)</f>
        <v>1</v>
      </c>
      <c r="T57" s="20">
        <f>IF($A$2&gt;=10,'Tarifas 2022'!$J$47,0)</f>
        <v>28.358749999999997</v>
      </c>
      <c r="U57" s="21">
        <f>IF(T56=0,0,T57/T56)</f>
        <v>1</v>
      </c>
      <c r="V57" s="20">
        <f>IF($A$2&gt;=11,'Tarifas 2022'!$J$47,0)</f>
        <v>28.358749999999997</v>
      </c>
      <c r="W57" s="21">
        <f>IF(V56=0,0,V57/V56)</f>
        <v>1</v>
      </c>
      <c r="X57" s="20">
        <f>IF($A$2&gt;=12,'Tarifas 2022'!$J$47,0)</f>
        <v>28.358749999999997</v>
      </c>
      <c r="Y57" s="21">
        <f>IF(X56=0,0,X57/X56)</f>
        <v>1</v>
      </c>
      <c r="Z57" s="20">
        <f>B57+D57+F57+H57+J57+L57+N57+P57+R57+T57+V57+X57</f>
        <v>340.30499999999989</v>
      </c>
      <c r="AA57" s="21">
        <f>IF(Z56=0,0,Z57/Z56)</f>
        <v>1</v>
      </c>
      <c r="AB57" s="178">
        <f t="shared" si="2"/>
        <v>28.35874999999999</v>
      </c>
    </row>
    <row r="58" spans="1:30" ht="15.75" collapsed="1" thickBot="1" x14ac:dyDescent="0.25">
      <c r="A58" s="15" t="s">
        <v>122</v>
      </c>
      <c r="B58" s="26">
        <f>B55-B56</f>
        <v>2189.6261500000001</v>
      </c>
      <c r="C58" s="27">
        <f>IF(B$3=0,0,B58/B$3)</f>
        <v>0.52889520531400969</v>
      </c>
      <c r="D58" s="26">
        <f>D55-D56</f>
        <v>3079.76125</v>
      </c>
      <c r="E58" s="27">
        <f>IF(D$3=0,0,D58/D$3)</f>
        <v>0.65806864316239322</v>
      </c>
      <c r="F58" s="26">
        <f>F55-F56</f>
        <v>2882.7312500000003</v>
      </c>
      <c r="G58" s="27">
        <f>IF(F$3=0,0,F58/F$3)</f>
        <v>0.73258735705209665</v>
      </c>
      <c r="H58" s="26">
        <f>H55-H56</f>
        <v>3385.0712500000004</v>
      </c>
      <c r="I58" s="27">
        <f>IF(H$3=0,0,H58/H$3)</f>
        <v>0.73909852620087346</v>
      </c>
      <c r="J58" s="26">
        <f>J55-J56</f>
        <v>2260.3112500000002</v>
      </c>
      <c r="K58" s="27">
        <f>IF(J$3=0,0,J58/J$3)</f>
        <v>0.62096462912087913</v>
      </c>
      <c r="L58" s="26">
        <f>L55-L56</f>
        <v>2277.3912500000001</v>
      </c>
      <c r="M58" s="27">
        <f>IF(L$3=0,0,L58/L$3)</f>
        <v>0.64882941595441601</v>
      </c>
      <c r="N58" s="26">
        <f>N55-N56</f>
        <v>2099.5412500000002</v>
      </c>
      <c r="O58" s="27">
        <f>IF(N$3=0,0,N58/N$3)</f>
        <v>0.56591408355795159</v>
      </c>
      <c r="P58" s="26">
        <f>P55-P56</f>
        <v>269.22124999999994</v>
      </c>
      <c r="Q58" s="27">
        <f>IF(P$3=0,0,P58/P$3)</f>
        <v>0.18826660839160836</v>
      </c>
      <c r="R58" s="26">
        <f>R55-R56</f>
        <v>3352.1112499999999</v>
      </c>
      <c r="S58" s="27">
        <f>IF(R$3=0,0,R58/R$3)</f>
        <v>0.74161753318584067</v>
      </c>
      <c r="T58" s="26">
        <f>T55-T56</f>
        <v>2923.9512500000001</v>
      </c>
      <c r="U58" s="27">
        <f>IF(T$3=0,0,T58/T$3)</f>
        <v>0.69124143026004725</v>
      </c>
      <c r="V58" s="26">
        <f>V55-V56</f>
        <v>2153.8512500000002</v>
      </c>
      <c r="W58" s="27">
        <f>IF(V$3=0,0,V58/V$3)</f>
        <v>0.67731171383647804</v>
      </c>
      <c r="X58" s="26">
        <f>X55-X56</f>
        <v>4946.1812499999996</v>
      </c>
      <c r="Y58" s="27">
        <f>IF(X$3=0,0,X58/X$3)</f>
        <v>0.65949083333333325</v>
      </c>
      <c r="Z58" s="26">
        <f>Z55-Z56</f>
        <v>31819.749899999999</v>
      </c>
      <c r="AA58" s="27">
        <f>IF(Z$3=0,0,Z58/Z$3)</f>
        <v>0.64865456936092136</v>
      </c>
      <c r="AB58" s="178">
        <f t="shared" si="2"/>
        <v>2651.6458250000001</v>
      </c>
    </row>
    <row r="59" spans="1:30" ht="16.5" thickTop="1" thickBot="1" x14ac:dyDescent="0.25">
      <c r="A59" s="13" t="s">
        <v>134</v>
      </c>
      <c r="B59" s="28">
        <f>B60</f>
        <v>0</v>
      </c>
      <c r="C59" s="29">
        <f>IF(B$3=0,0,B59/B$3)</f>
        <v>0</v>
      </c>
      <c r="D59" s="28">
        <f>D60</f>
        <v>0</v>
      </c>
      <c r="E59" s="29">
        <f>IF(D$3=0,0,D59/D$3)</f>
        <v>0</v>
      </c>
      <c r="F59" s="28">
        <f>F60</f>
        <v>0</v>
      </c>
      <c r="G59" s="29">
        <f>IF(F$3=0,0,F59/F$3)</f>
        <v>0</v>
      </c>
      <c r="H59" s="28">
        <f>H60</f>
        <v>0</v>
      </c>
      <c r="I59" s="29">
        <f>IF(H$3=0,0,H59/H$3)</f>
        <v>0</v>
      </c>
      <c r="J59" s="28">
        <f>J60</f>
        <v>0</v>
      </c>
      <c r="K59" s="29">
        <f>IF(J$3=0,0,J59/J$3)</f>
        <v>0</v>
      </c>
      <c r="L59" s="28">
        <f>L60</f>
        <v>0</v>
      </c>
      <c r="M59" s="29">
        <f>IF(L$3=0,0,L59/L$3)</f>
        <v>0</v>
      </c>
      <c r="N59" s="28">
        <f>N60</f>
        <v>0</v>
      </c>
      <c r="O59" s="29">
        <f>IF(N$3=0,0,N59/N$3)</f>
        <v>0</v>
      </c>
      <c r="P59" s="28">
        <f>P60</f>
        <v>0</v>
      </c>
      <c r="Q59" s="29">
        <f>IF(P$3=0,0,P59/P$3)</f>
        <v>0</v>
      </c>
      <c r="R59" s="28">
        <f>R60</f>
        <v>0</v>
      </c>
      <c r="S59" s="29">
        <f>IF(R$3=0,0,R59/R$3)</f>
        <v>0</v>
      </c>
      <c r="T59" s="28">
        <f>T60</f>
        <v>0</v>
      </c>
      <c r="U59" s="29">
        <f>IF(T$3=0,0,T59/T$3)</f>
        <v>0</v>
      </c>
      <c r="V59" s="28">
        <f>V60</f>
        <v>0</v>
      </c>
      <c r="W59" s="29">
        <f>IF(V$3=0,0,V59/V$3)</f>
        <v>0</v>
      </c>
      <c r="X59" s="28">
        <f>X60</f>
        <v>0</v>
      </c>
      <c r="Y59" s="29">
        <f>IF(X$3=0,0,X59/X$3)</f>
        <v>0</v>
      </c>
      <c r="Z59" s="28">
        <f>Z60</f>
        <v>0</v>
      </c>
      <c r="AA59" s="29">
        <f>IF(Z$3=0,0,Z59/Z$3)</f>
        <v>0</v>
      </c>
      <c r="AB59" s="178">
        <f t="shared" si="2"/>
        <v>0</v>
      </c>
    </row>
    <row r="60" spans="1:30" hidden="1" outlineLevel="1" x14ac:dyDescent="0.2">
      <c r="A60" s="8" t="s">
        <v>133</v>
      </c>
      <c r="B60" s="20">
        <f>SUMIFS(Tabla2[IMPORT],Tabla2[ANY],2020,Tabla2[MES],'2023'!B$2,Tabla2[TIPUS],'2023'!$A60)</f>
        <v>0</v>
      </c>
      <c r="C60" s="44">
        <f>IF(B59=0,0,B60/B59)</f>
        <v>0</v>
      </c>
      <c r="D60" s="20">
        <f>SUMIFS(Tabla2[IMPORT],Tabla2[ANY],2020,Tabla2[MES],'2023'!D$2,Tabla2[TIPUS],'2023'!$A60)</f>
        <v>0</v>
      </c>
      <c r="E60" s="44">
        <f>IF(D59=0,0,D60/D59)</f>
        <v>0</v>
      </c>
      <c r="F60" s="20">
        <f>SUMIFS(Tabla2[IMPORT],Tabla2[ANY],2020,Tabla2[MES],'2023'!F$2,Tabla2[TIPUS],'2023'!$A60)</f>
        <v>0</v>
      </c>
      <c r="G60" s="44">
        <f>IF(F59=0,0,F60/F59)</f>
        <v>0</v>
      </c>
      <c r="H60" s="20">
        <f>SUMIFS(Tabla2[IMPORT],Tabla2[ANY],2020,Tabla2[MES],'2023'!H$2,Tabla2[TIPUS],'2023'!$A60)</f>
        <v>0</v>
      </c>
      <c r="I60" s="44">
        <f>IF(H59=0,0,H60/H59)</f>
        <v>0</v>
      </c>
      <c r="J60" s="20">
        <f>SUMIFS(Tabla2[IMPORT],Tabla2[ANY],2020,Tabla2[MES],'2023'!J$2,Tabla2[TIPUS],'2023'!$A60)</f>
        <v>0</v>
      </c>
      <c r="K60" s="44">
        <f>IF(J59=0,0,J60/J59)</f>
        <v>0</v>
      </c>
      <c r="L60" s="20">
        <f>SUMIFS(Tabla2[IMPORT],Tabla2[ANY],2020,Tabla2[MES],'2023'!L$2,Tabla2[TIPUS],'2023'!$A60)</f>
        <v>0</v>
      </c>
      <c r="M60" s="44">
        <f>IF(L59=0,0,L60/L59)</f>
        <v>0</v>
      </c>
      <c r="N60" s="20">
        <f>SUMIFS(Tabla2[IMPORT],Tabla2[ANY],2020,Tabla2[MES],'2023'!N$2,Tabla2[TIPUS],'2023'!$A60)</f>
        <v>0</v>
      </c>
      <c r="O60" s="44">
        <f>IF(N59=0,0,N60/N59)</f>
        <v>0</v>
      </c>
      <c r="P60" s="20">
        <f>SUMIFS(Tabla2[IMPORT],Tabla2[ANY],2020,Tabla2[MES],'2023'!P$2,Tabla2[TIPUS],'2023'!$A60)</f>
        <v>0</v>
      </c>
      <c r="Q60" s="44">
        <f>IF(P59=0,0,P60/P59)</f>
        <v>0</v>
      </c>
      <c r="R60" s="20">
        <f>SUMIFS(Tabla2[IMPORT],Tabla2[ANY],2020,Tabla2[MES],'2023'!R$2,Tabla2[TIPUS],'2023'!$A60)</f>
        <v>0</v>
      </c>
      <c r="S60" s="44">
        <f>IF(R59=0,0,R60/R59)</f>
        <v>0</v>
      </c>
      <c r="T60" s="20">
        <f>SUMIFS(Tabla2[IMPORT],Tabla2[ANY],2020,Tabla2[MES],'2023'!T$2,Tabla2[TIPUS],'2023'!$A60)</f>
        <v>0</v>
      </c>
      <c r="U60" s="44">
        <f>IF(T59=0,0,T60/T59)</f>
        <v>0</v>
      </c>
      <c r="V60" s="20">
        <f>SUMIFS(Tabla2[IMPORT],Tabla2[ANY],2020,Tabla2[MES],'2023'!V$2,Tabla2[TIPUS],'2023'!$A60)</f>
        <v>0</v>
      </c>
      <c r="W60" s="44">
        <f>IF(V59=0,0,V60/V59)</f>
        <v>0</v>
      </c>
      <c r="X60" s="20">
        <f>SUMIFS(Tabla2[IMPORT],Tabla2[ANY],2020,Tabla2[MES],'2023'!X$2,Tabla2[TIPUS],'2023'!$A60)</f>
        <v>0</v>
      </c>
      <c r="Y60" s="44">
        <f>IF(X59=0,0,X60/X59)</f>
        <v>0</v>
      </c>
      <c r="Z60" s="20">
        <f>B60+D60+F60+H60+J60+L60+N60+P60+R60+T60+V60+X60</f>
        <v>0</v>
      </c>
      <c r="AA60" s="44">
        <f>IF(Z59=0,0,Z60/Z59)</f>
        <v>0</v>
      </c>
      <c r="AB60" s="178">
        <f t="shared" si="2"/>
        <v>0</v>
      </c>
    </row>
    <row r="61" spans="1:30" ht="15.75" collapsed="1" thickBot="1" x14ac:dyDescent="0.25">
      <c r="A61" s="15" t="s">
        <v>135</v>
      </c>
      <c r="B61" s="26">
        <f>B58-B60</f>
        <v>2189.6261500000001</v>
      </c>
      <c r="C61" s="27">
        <f>IF(B$3=0,0,B61/B$3)</f>
        <v>0.52889520531400969</v>
      </c>
      <c r="D61" s="26">
        <f>D58-D60</f>
        <v>3079.76125</v>
      </c>
      <c r="E61" s="27">
        <f>IF(D$3=0,0,D61/D$3)</f>
        <v>0.65806864316239322</v>
      </c>
      <c r="F61" s="26">
        <f>F58-F60</f>
        <v>2882.7312500000003</v>
      </c>
      <c r="G61" s="27">
        <f>IF(F$3=0,0,F61/F$3)</f>
        <v>0.73258735705209665</v>
      </c>
      <c r="H61" s="26">
        <f>H58-H60</f>
        <v>3385.0712500000004</v>
      </c>
      <c r="I61" s="27">
        <f>IF(H$3=0,0,H61/H$3)</f>
        <v>0.73909852620087346</v>
      </c>
      <c r="J61" s="26">
        <f>J58-J60</f>
        <v>2260.3112500000002</v>
      </c>
      <c r="K61" s="27">
        <f>IF(J$3=0,0,J61/J$3)</f>
        <v>0.62096462912087913</v>
      </c>
      <c r="L61" s="26">
        <f>L58-L60</f>
        <v>2277.3912500000001</v>
      </c>
      <c r="M61" s="27">
        <f>IF(L$3=0,0,L61/L$3)</f>
        <v>0.64882941595441601</v>
      </c>
      <c r="N61" s="26">
        <f>N58-N60</f>
        <v>2099.5412500000002</v>
      </c>
      <c r="O61" s="27">
        <f>IF(N$3=0,0,N61/N$3)</f>
        <v>0.56591408355795159</v>
      </c>
      <c r="P61" s="26">
        <f>P58-P60</f>
        <v>269.22124999999994</v>
      </c>
      <c r="Q61" s="27">
        <f>IF(P$3=0,0,P61/P$3)</f>
        <v>0.18826660839160836</v>
      </c>
      <c r="R61" s="26">
        <f>R58-R60</f>
        <v>3352.1112499999999</v>
      </c>
      <c r="S61" s="27">
        <f>IF(R$3=0,0,R61/R$3)</f>
        <v>0.74161753318584067</v>
      </c>
      <c r="T61" s="26">
        <f>T58-T60</f>
        <v>2923.9512500000001</v>
      </c>
      <c r="U61" s="27">
        <f>IF(T$3=0,0,T61/T$3)</f>
        <v>0.69124143026004725</v>
      </c>
      <c r="V61" s="26">
        <f>V58-V60</f>
        <v>2153.8512500000002</v>
      </c>
      <c r="W61" s="27">
        <f>IF(V$3=0,0,V61/V$3)</f>
        <v>0.67731171383647804</v>
      </c>
      <c r="X61" s="26">
        <f>X58-X60</f>
        <v>4946.1812499999996</v>
      </c>
      <c r="Y61" s="27">
        <f>IF(X$3=0,0,X61/X$3)</f>
        <v>0.65949083333333325</v>
      </c>
      <c r="Z61" s="26">
        <f>Z58-Z60</f>
        <v>31819.749899999999</v>
      </c>
      <c r="AA61" s="27">
        <f>IF(Z$3=0,0,Z61/Z$3)</f>
        <v>0.64865456936092136</v>
      </c>
      <c r="AB61" s="178">
        <f t="shared" si="2"/>
        <v>2651.6458250000001</v>
      </c>
      <c r="AD61" s="79">
        <f>Z61+11500</f>
        <v>43319.749899999995</v>
      </c>
    </row>
    <row r="62" spans="1:30" ht="15.75" hidden="1" outlineLevel="1" thickTop="1" x14ac:dyDescent="0.2">
      <c r="A62" s="8" t="s">
        <v>123</v>
      </c>
      <c r="B62" s="20">
        <f>SUMIFS(Tabla2[IMPORT],Tabla2[ANY],$Z$2,Tabla2[MES],'2023'!B$2,Tabla2[TIPUS],'2023'!$A62)</f>
        <v>1231.3300000000002</v>
      </c>
      <c r="C62" s="21">
        <f>IF(B$3=0,0,B62/B$3)</f>
        <v>0.29742270531400972</v>
      </c>
      <c r="D62" s="20">
        <f>SUMIFS(Tabla2[IMPORT],Tabla2[ANY],$Z$2,Tabla2[MES],'2023'!D$2,Tabla2[TIPUS],'2023'!$A62)</f>
        <v>0</v>
      </c>
      <c r="E62" s="21">
        <f>IF(D$3=0,0,D62/D$3)</f>
        <v>0</v>
      </c>
      <c r="F62" s="20">
        <f>SUMIFS(Tabla2[IMPORT],Tabla2[ANY],$Z$2,Tabla2[MES],'2023'!F$2,Tabla2[TIPUS],'2023'!$A62)</f>
        <v>0</v>
      </c>
      <c r="G62" s="21">
        <f>IF(F$3=0,0,F62/F$3)</f>
        <v>0</v>
      </c>
      <c r="H62" s="20">
        <f>SUMIFS(Tabla2[IMPORT],Tabla2[ANY],$Z$2,Tabla2[MES],'2023'!H$2,Tabla2[TIPUS],'2023'!$A62)</f>
        <v>1167.92</v>
      </c>
      <c r="I62" s="21">
        <f>IF(H$3=0,0,H62/H$3)</f>
        <v>0.2550043668122271</v>
      </c>
      <c r="J62" s="20">
        <f>SUMIFS(Tabla2[IMPORT],Tabla2[ANY],$Z$2,Tabla2[MES],'2023'!J$2,Tabla2[TIPUS],'2023'!$A62)</f>
        <v>0</v>
      </c>
      <c r="K62" s="21">
        <f>IF(J$3=0,0,J62/J$3)</f>
        <v>0</v>
      </c>
      <c r="L62" s="20">
        <f>SUMIFS(Tabla2[IMPORT],Tabla2[ANY],$Z$2,Tabla2[MES],'2023'!L$2,Tabla2[TIPUS],'2023'!$A62)</f>
        <v>0</v>
      </c>
      <c r="M62" s="21">
        <f>IF(L$3=0,0,L62/L$3)</f>
        <v>0</v>
      </c>
      <c r="N62" s="20">
        <f>SUMIFS(Tabla2[IMPORT],Tabla2[ANY],$Z$2,Tabla2[MES],'2023'!N$2,Tabla2[TIPUS],'2023'!$A62)</f>
        <v>1733.91</v>
      </c>
      <c r="O62" s="21">
        <f>IF(N$3=0,0,N62/N$3)</f>
        <v>0.46736118598382753</v>
      </c>
      <c r="P62" s="20">
        <f>SUMIFS(Tabla2[IMPORT],Tabla2[ANY],$Z$2,Tabla2[MES],'2023'!P$2,Tabla2[TIPUS],'2023'!$A62)</f>
        <v>0</v>
      </c>
      <c r="Q62" s="21">
        <f>IF(P$3=0,0,P62/P$3)</f>
        <v>0</v>
      </c>
      <c r="R62" s="20">
        <f>SUMIFS(Tabla2[IMPORT],Tabla2[ANY],$Z$2,Tabla2[MES],'2023'!R$2,Tabla2[TIPUS],'2023'!$A62)</f>
        <v>0</v>
      </c>
      <c r="S62" s="21">
        <f>IF(R$3=0,0,R62/R$3)</f>
        <v>0</v>
      </c>
      <c r="T62" s="20">
        <f>SUMIFS(Tabla2[IMPORT],Tabla2[ANY],$Z$2,Tabla2[MES],'2023'!T$2,Tabla2[TIPUS],'2023'!$A62)</f>
        <v>1025.77</v>
      </c>
      <c r="U62" s="21">
        <f>IF(T$3=0,0,T62/T$3)</f>
        <v>0.24249881796690306</v>
      </c>
      <c r="V62" s="20">
        <f>SUMIFS(Tabla2[IMPORT],Tabla2[ANY],$Z$2,Tabla2[MES],'2023'!V$2,Tabla2[TIPUS],'2023'!$A62)</f>
        <v>0</v>
      </c>
      <c r="W62" s="21">
        <f>IF(V$3=0,0,V62/V$3)</f>
        <v>0</v>
      </c>
      <c r="X62" s="20">
        <f>SUMIFS(Tabla2[IMPORT],Tabla2[ANY],$Z$2,Tabla2[MES],'2023'!X$2,Tabla2[TIPUS],'2023'!$A62)</f>
        <v>0</v>
      </c>
      <c r="Y62" s="21">
        <f>IF(X$3=0,0,X62/X$3)</f>
        <v>0</v>
      </c>
      <c r="Z62" s="20">
        <f>B62+D62+F62+H62+J62+L62+N62+P62+R62+T62+V62+X62</f>
        <v>5158.93</v>
      </c>
      <c r="AA62" s="21">
        <f>IF(Z$3=0,0,Z62/Z$3)</f>
        <v>0.10516624197329529</v>
      </c>
      <c r="AB62" s="178">
        <f t="shared" si="2"/>
        <v>429.91083333333336</v>
      </c>
    </row>
    <row r="63" spans="1:30" ht="16.5" collapsed="1" thickTop="1" thickBot="1" x14ac:dyDescent="0.25">
      <c r="A63" s="15" t="s">
        <v>124</v>
      </c>
      <c r="B63" s="26">
        <f>B61-B62</f>
        <v>958.2961499999999</v>
      </c>
      <c r="C63" s="27">
        <f>IF(B3=0,0,B63/B3)</f>
        <v>0.23147249999999997</v>
      </c>
      <c r="D63" s="26">
        <f>D61-D62</f>
        <v>3079.76125</v>
      </c>
      <c r="E63" s="27">
        <f>IF(D3=0,0,D63/D3)</f>
        <v>0.65806864316239322</v>
      </c>
      <c r="F63" s="26">
        <f>F61-F62</f>
        <v>2882.7312500000003</v>
      </c>
      <c r="G63" s="27">
        <f>IF(F3=0,0,F63/F3)</f>
        <v>0.73258735705209665</v>
      </c>
      <c r="H63" s="26">
        <f>H61-H62</f>
        <v>2217.1512500000003</v>
      </c>
      <c r="I63" s="27">
        <f>IF(H3=0,0,H63/H3)</f>
        <v>0.48409415938864636</v>
      </c>
      <c r="J63" s="26">
        <f>J61-J62</f>
        <v>2260.3112500000002</v>
      </c>
      <c r="K63" s="27">
        <f>IF(J3=0,0,J63/J3)</f>
        <v>0.62096462912087913</v>
      </c>
      <c r="L63" s="26">
        <f>L61-L62</f>
        <v>2277.3912500000001</v>
      </c>
      <c r="M63" s="27">
        <f>IF(L3=0,0,L63/L3)</f>
        <v>0.64882941595441601</v>
      </c>
      <c r="N63" s="26">
        <f>N61-N62</f>
        <v>365.63125000000014</v>
      </c>
      <c r="O63" s="27">
        <f>IF(N3=0,0,N63/N3)</f>
        <v>9.8552897574124027E-2</v>
      </c>
      <c r="P63" s="26">
        <f>P61-P62</f>
        <v>269.22124999999994</v>
      </c>
      <c r="Q63" s="27">
        <f>IF(P3=0,0,P63/P3)</f>
        <v>0.18826660839160836</v>
      </c>
      <c r="R63" s="26">
        <f>R61-R62</f>
        <v>3352.1112499999999</v>
      </c>
      <c r="S63" s="27">
        <f>IF(R3=0,0,R63/R3)</f>
        <v>0.74161753318584067</v>
      </c>
      <c r="T63" s="26">
        <f>T61-T62</f>
        <v>1898.1812500000001</v>
      </c>
      <c r="U63" s="27">
        <f>IF(T3=0,0,T63/T3)</f>
        <v>0.44874261229314422</v>
      </c>
      <c r="V63" s="26">
        <f>V61-V62</f>
        <v>2153.8512500000002</v>
      </c>
      <c r="W63" s="27">
        <f>IF(V3=0,0,V63/V3)</f>
        <v>0.67731171383647804</v>
      </c>
      <c r="X63" s="26">
        <f>X61-X62</f>
        <v>4946.1812499999996</v>
      </c>
      <c r="Y63" s="27">
        <f>IF(X3=0,0,X63/X3)</f>
        <v>0.65949083333333325</v>
      </c>
      <c r="Z63" s="26">
        <f>Z61-Z62</f>
        <v>26660.819899999999</v>
      </c>
      <c r="AA63" s="27">
        <f>IF(Z3=0,0,Z63/Z3)</f>
        <v>0.54348832738762609</v>
      </c>
      <c r="AB63" s="178">
        <f>Z63/$A$2</f>
        <v>2221.7349916666667</v>
      </c>
      <c r="AC63" s="79">
        <f>'2020'!Z63+'2021'!Z63+'2022'!Z63+'2023'!Z63</f>
        <v>73489.554900000003</v>
      </c>
    </row>
    <row r="64" spans="1:30" ht="16.5" thickTop="1" thickBot="1" x14ac:dyDescent="0.25">
      <c r="B64" s="30"/>
      <c r="C64" s="31"/>
      <c r="D64" s="30"/>
      <c r="E64" s="31"/>
      <c r="F64" s="30"/>
      <c r="G64" s="31"/>
      <c r="H64" s="30"/>
      <c r="I64" s="31"/>
      <c r="J64" s="30"/>
      <c r="K64" s="31"/>
      <c r="L64" s="30"/>
      <c r="M64" s="31"/>
      <c r="N64" s="30"/>
      <c r="O64" s="31"/>
      <c r="P64" s="30"/>
      <c r="Q64" s="31"/>
      <c r="R64" s="30"/>
      <c r="S64" s="31"/>
      <c r="T64" s="30"/>
      <c r="U64" s="31"/>
      <c r="V64" s="30"/>
      <c r="W64" s="31"/>
      <c r="X64" s="30"/>
      <c r="Y64" s="31"/>
      <c r="Z64" s="179"/>
      <c r="AA64" s="31"/>
    </row>
    <row r="65" spans="1:30" ht="15.75" thickBot="1" x14ac:dyDescent="0.25">
      <c r="A65" s="210" t="s">
        <v>136</v>
      </c>
    </row>
    <row r="66" spans="1:30" x14ac:dyDescent="0.2">
      <c r="A66" s="210"/>
      <c r="B66" s="208" t="s">
        <v>48</v>
      </c>
      <c r="C66" s="209"/>
      <c r="D66" s="208" t="s">
        <v>56</v>
      </c>
      <c r="E66" s="209"/>
      <c r="F66" s="208" t="s">
        <v>57</v>
      </c>
      <c r="G66" s="209"/>
      <c r="H66" s="208" t="s">
        <v>58</v>
      </c>
      <c r="I66" s="209"/>
      <c r="J66" s="208" t="s">
        <v>59</v>
      </c>
      <c r="K66" s="209"/>
      <c r="L66" s="208" t="s">
        <v>60</v>
      </c>
      <c r="M66" s="209"/>
      <c r="N66" s="208" t="s">
        <v>61</v>
      </c>
      <c r="O66" s="209"/>
      <c r="P66" s="208" t="s">
        <v>62</v>
      </c>
      <c r="Q66" s="209"/>
      <c r="R66" s="208" t="s">
        <v>236</v>
      </c>
      <c r="S66" s="209"/>
      <c r="T66" s="208" t="s">
        <v>63</v>
      </c>
      <c r="U66" s="209"/>
      <c r="V66" s="208" t="s">
        <v>64</v>
      </c>
      <c r="W66" s="209"/>
      <c r="X66" s="208" t="s">
        <v>65</v>
      </c>
      <c r="Y66" s="209"/>
      <c r="Z66" s="208">
        <f>Z2</f>
        <v>2023</v>
      </c>
      <c r="AA66" s="209"/>
    </row>
    <row r="67" spans="1:30" x14ac:dyDescent="0.2">
      <c r="A67" t="s">
        <v>125</v>
      </c>
      <c r="B67" s="20">
        <f>B3</f>
        <v>4140</v>
      </c>
      <c r="C67" s="38">
        <f t="shared" ref="C67:C73" si="71">B67</f>
        <v>4140</v>
      </c>
      <c r="D67" s="20">
        <f>D3</f>
        <v>4680</v>
      </c>
      <c r="E67" s="38">
        <f>C73+D67</f>
        <v>5666.6548999999995</v>
      </c>
      <c r="F67" s="20">
        <f>F3</f>
        <v>3935</v>
      </c>
      <c r="G67" s="38">
        <f>E73+F67</f>
        <v>8029.7748999999994</v>
      </c>
      <c r="H67" s="20">
        <f>H3</f>
        <v>4580</v>
      </c>
      <c r="I67" s="38">
        <f>G73+H67</f>
        <v>11585.8649</v>
      </c>
      <c r="J67" s="20">
        <f>J3</f>
        <v>3640</v>
      </c>
      <c r="K67" s="38">
        <f>I73+J67</f>
        <v>12891.374900000001</v>
      </c>
      <c r="L67" s="20">
        <f>L3</f>
        <v>3510</v>
      </c>
      <c r="M67" s="38">
        <f>K73+L67</f>
        <v>15050.044900000001</v>
      </c>
      <c r="N67" s="20">
        <f>N3</f>
        <v>3710</v>
      </c>
      <c r="O67" s="38">
        <f>M73+N67</f>
        <v>17555.794900000001</v>
      </c>
      <c r="P67" s="20">
        <f>P3</f>
        <v>1430</v>
      </c>
      <c r="Q67" s="38">
        <f>O73+P67</f>
        <v>15669.784900000001</v>
      </c>
      <c r="R67" s="20">
        <f>R3</f>
        <v>4520</v>
      </c>
      <c r="S67" s="38">
        <f>Q73+R67</f>
        <v>19057.3649</v>
      </c>
      <c r="T67" s="20">
        <f>T3</f>
        <v>4230</v>
      </c>
      <c r="U67" s="38">
        <f>S73+T67</f>
        <v>22147.834900000002</v>
      </c>
      <c r="V67" s="20">
        <f>V3</f>
        <v>3180</v>
      </c>
      <c r="W67" s="38">
        <f>U73+V67</f>
        <v>22569.364900000004</v>
      </c>
      <c r="X67" s="20">
        <f>X3</f>
        <v>7500</v>
      </c>
      <c r="Y67" s="38">
        <f>W73+X67</f>
        <v>29071.574900000003</v>
      </c>
      <c r="Z67" s="200">
        <f>Z3</f>
        <v>49055</v>
      </c>
      <c r="AA67" s="201"/>
      <c r="AD67" t="s">
        <v>593</v>
      </c>
    </row>
    <row r="68" spans="1:30" x14ac:dyDescent="0.2">
      <c r="A68" t="s">
        <v>126</v>
      </c>
      <c r="B68" s="20">
        <f>B40</f>
        <v>1922.0151000000001</v>
      </c>
      <c r="C68" s="38">
        <f t="shared" si="71"/>
        <v>1922.0151000000001</v>
      </c>
      <c r="D68" s="20">
        <f>D40</f>
        <v>1571.88</v>
      </c>
      <c r="E68" s="38">
        <f>D68</f>
        <v>1571.88</v>
      </c>
      <c r="F68" s="20">
        <f>F40</f>
        <v>1023.91</v>
      </c>
      <c r="G68" s="38">
        <f>F68</f>
        <v>1023.91</v>
      </c>
      <c r="H68" s="20">
        <f>H40</f>
        <v>1166.57</v>
      </c>
      <c r="I68" s="38">
        <f>H68</f>
        <v>1166.57</v>
      </c>
      <c r="J68" s="20">
        <f>J40</f>
        <v>1351.33</v>
      </c>
      <c r="K68" s="38">
        <f>J68</f>
        <v>1351.33</v>
      </c>
      <c r="L68" s="20">
        <f>L40</f>
        <v>1204.25</v>
      </c>
      <c r="M68" s="38">
        <f>L68</f>
        <v>1204.25</v>
      </c>
      <c r="N68" s="20">
        <f>N40</f>
        <v>1582.1</v>
      </c>
      <c r="O68" s="38">
        <f>N68</f>
        <v>1582.1</v>
      </c>
      <c r="P68" s="20">
        <f>P40</f>
        <v>1132.42</v>
      </c>
      <c r="Q68" s="38">
        <f>P68</f>
        <v>1132.42</v>
      </c>
      <c r="R68" s="20">
        <f>R40</f>
        <v>1139.5300000000002</v>
      </c>
      <c r="S68" s="38">
        <f>R68</f>
        <v>1139.5300000000002</v>
      </c>
      <c r="T68" s="20">
        <f>T40</f>
        <v>1277.69</v>
      </c>
      <c r="U68" s="38">
        <f>T68</f>
        <v>1277.69</v>
      </c>
      <c r="V68" s="20">
        <f>V40</f>
        <v>997.79000000000008</v>
      </c>
      <c r="W68" s="38">
        <f>V68</f>
        <v>997.79000000000008</v>
      </c>
      <c r="X68" s="20">
        <f>X40</f>
        <v>2525.46</v>
      </c>
      <c r="Y68" s="38">
        <f>X68</f>
        <v>2525.46</v>
      </c>
      <c r="Z68" s="200">
        <f>Z40</f>
        <v>16894.945100000001</v>
      </c>
      <c r="AA68" s="201"/>
      <c r="AD68" t="s">
        <v>594</v>
      </c>
    </row>
    <row r="69" spans="1:30" ht="15.75" thickBot="1" x14ac:dyDescent="0.25">
      <c r="A69" s="36" t="s">
        <v>127</v>
      </c>
      <c r="B69" s="37">
        <f>B67-B68</f>
        <v>2217.9848999999999</v>
      </c>
      <c r="C69" s="39">
        <f t="shared" si="71"/>
        <v>2217.9848999999999</v>
      </c>
      <c r="D69" s="37">
        <f t="shared" ref="D69:Y69" si="72">D67-D68</f>
        <v>3108.12</v>
      </c>
      <c r="E69" s="39">
        <f t="shared" si="72"/>
        <v>4094.7748999999994</v>
      </c>
      <c r="F69" s="37">
        <f t="shared" si="72"/>
        <v>2911.09</v>
      </c>
      <c r="G69" s="39">
        <f t="shared" si="72"/>
        <v>7005.8648999999996</v>
      </c>
      <c r="H69" s="37">
        <f t="shared" si="72"/>
        <v>3413.4300000000003</v>
      </c>
      <c r="I69" s="39">
        <f t="shared" si="72"/>
        <v>10419.294900000001</v>
      </c>
      <c r="J69" s="37">
        <f t="shared" si="72"/>
        <v>2288.67</v>
      </c>
      <c r="K69" s="39">
        <f t="shared" si="72"/>
        <v>11540.044900000001</v>
      </c>
      <c r="L69" s="37">
        <f t="shared" si="72"/>
        <v>2305.75</v>
      </c>
      <c r="M69" s="39">
        <f t="shared" si="72"/>
        <v>13845.794900000001</v>
      </c>
      <c r="N69" s="37">
        <f t="shared" si="72"/>
        <v>2127.9</v>
      </c>
      <c r="O69" s="39">
        <f t="shared" si="72"/>
        <v>15973.6949</v>
      </c>
      <c r="P69" s="37">
        <f t="shared" si="72"/>
        <v>297.57999999999993</v>
      </c>
      <c r="Q69" s="39">
        <f t="shared" si="72"/>
        <v>14537.3649</v>
      </c>
      <c r="R69" s="37">
        <f t="shared" si="72"/>
        <v>3380.47</v>
      </c>
      <c r="S69" s="39">
        <f t="shared" si="72"/>
        <v>17917.834900000002</v>
      </c>
      <c r="T69" s="37">
        <f t="shared" si="72"/>
        <v>2952.31</v>
      </c>
      <c r="U69" s="39">
        <f t="shared" si="72"/>
        <v>20870.144900000003</v>
      </c>
      <c r="V69" s="37">
        <f t="shared" si="72"/>
        <v>2182.21</v>
      </c>
      <c r="W69" s="39">
        <f t="shared" si="72"/>
        <v>21571.574900000003</v>
      </c>
      <c r="X69" s="37">
        <f t="shared" si="72"/>
        <v>4974.54</v>
      </c>
      <c r="Y69" s="39">
        <f t="shared" si="72"/>
        <v>26546.114900000004</v>
      </c>
      <c r="Z69" s="202">
        <f>Z67-Z68</f>
        <v>32160.054899999999</v>
      </c>
      <c r="AA69" s="203"/>
    </row>
    <row r="70" spans="1:30" x14ac:dyDescent="0.2">
      <c r="A70" s="2" t="s">
        <v>128</v>
      </c>
      <c r="B70" s="20">
        <f>-SUMIFS(Tabla2[IMPORT],Tabla2[ANY],$Z$2,Tabla2[MES],'2023'!B$2,Tabla2[TIPUS],'2023'!$A70)</f>
        <v>0</v>
      </c>
      <c r="C70" s="38">
        <f t="shared" si="71"/>
        <v>0</v>
      </c>
      <c r="D70" s="20">
        <f>-SUMIFS(Tabla2[IMPORT],Tabla2[ANY],$Z$2,Tabla2[MES],'2023'!D$2,Tabla2[TIPUS],'2023'!$A70)</f>
        <v>0</v>
      </c>
      <c r="E70" s="38">
        <f>D70</f>
        <v>0</v>
      </c>
      <c r="F70" s="20">
        <f>-SUMIFS(Tabla2[IMPORT],Tabla2[ANY],$Z$2,Tabla2[MES],'2023'!F$2,Tabla2[TIPUS],'2023'!$A70)</f>
        <v>0</v>
      </c>
      <c r="G70" s="38">
        <f>F70</f>
        <v>0</v>
      </c>
      <c r="H70" s="20">
        <f>-SUMIFS(Tabla2[IMPORT],Tabla2[ANY],$Z$2,Tabla2[MES],'2023'!H$2,Tabla2[TIPUS],'2023'!$A70)</f>
        <v>0</v>
      </c>
      <c r="I70" s="38">
        <f>H70</f>
        <v>0</v>
      </c>
      <c r="J70" s="20">
        <f>-SUMIFS(Tabla2[IMPORT],Tabla2[ANY],$Z$2,Tabla2[MES],'2023'!J$2,Tabla2[TIPUS],'2023'!$A70)</f>
        <v>0</v>
      </c>
      <c r="K70" s="38">
        <f>J70</f>
        <v>0</v>
      </c>
      <c r="L70" s="20">
        <f>-SUMIFS(Tabla2[IMPORT],Tabla2[ANY],$Z$2,Tabla2[MES],'2023'!L$2,Tabla2[TIPUS],'2023'!$A70)</f>
        <v>0</v>
      </c>
      <c r="M70" s="38">
        <f>L70</f>
        <v>0</v>
      </c>
      <c r="N70" s="20">
        <f>-SUMIFS(Tabla2[IMPORT],Tabla2[ANY],$Z$2,Tabla2[MES],'2023'!N$2,Tabla2[TIPUS],'2023'!$A70)</f>
        <v>0</v>
      </c>
      <c r="O70" s="38">
        <f>N70</f>
        <v>0</v>
      </c>
      <c r="P70" s="20">
        <f>-SUMIFS(Tabla2[IMPORT],Tabla2[ANY],$Z$2,Tabla2[MES],'2023'!P$2,Tabla2[TIPUS],'2023'!$A70)</f>
        <v>0</v>
      </c>
      <c r="Q70" s="38">
        <f>P70</f>
        <v>0</v>
      </c>
      <c r="R70" s="20">
        <f>-SUMIFS(Tabla2[IMPORT],Tabla2[ANY],$Z$2,Tabla2[MES],'2023'!R$2,Tabla2[TIPUS],'2023'!$A70)</f>
        <v>0</v>
      </c>
      <c r="S70" s="38">
        <f>R70</f>
        <v>0</v>
      </c>
      <c r="T70" s="20">
        <f>-SUMIFS(Tabla2[IMPORT],Tabla2[ANY],$Z$2,Tabla2[MES],'2023'!T$2,Tabla2[TIPUS],'2023'!$A70)</f>
        <v>-455.01</v>
      </c>
      <c r="U70" s="38">
        <f>T70</f>
        <v>-455.01</v>
      </c>
      <c r="V70" s="20">
        <f>-SUMIFS(Tabla2[IMPORT],Tabla2[ANY],$Z$2,Tabla2[MES],'2023'!V$2,Tabla2[TIPUS],'2023'!$A70)</f>
        <v>0</v>
      </c>
      <c r="W70" s="38">
        <f>V70</f>
        <v>0</v>
      </c>
      <c r="X70" s="20">
        <f>-SUMIFS(Tabla2[IMPORT],Tabla2[ANY],$Z$2,Tabla2[MES],'2023'!X$2,Tabla2[TIPUS],'2023'!$A70)</f>
        <v>-402.34000000000003</v>
      </c>
      <c r="Y70" s="38">
        <f>X70</f>
        <v>-402.34000000000003</v>
      </c>
      <c r="Z70" s="204">
        <f>C70+E70+G70+I70+K70+O70+M70+Q70+S70+U70+W70+Y70</f>
        <v>-857.35</v>
      </c>
      <c r="AA70" s="205"/>
    </row>
    <row r="71" spans="1:30" x14ac:dyDescent="0.2">
      <c r="A71" t="s">
        <v>134</v>
      </c>
      <c r="B71" s="20">
        <f>-B59</f>
        <v>0</v>
      </c>
      <c r="C71" s="38">
        <f t="shared" si="71"/>
        <v>0</v>
      </c>
      <c r="D71" s="20">
        <f>-D59</f>
        <v>0</v>
      </c>
      <c r="E71" s="38">
        <f>D71</f>
        <v>0</v>
      </c>
      <c r="F71" s="20">
        <f>-F59</f>
        <v>0</v>
      </c>
      <c r="G71" s="38">
        <f>F71</f>
        <v>0</v>
      </c>
      <c r="H71" s="20">
        <f>-H59</f>
        <v>0</v>
      </c>
      <c r="I71" s="38">
        <f>H71</f>
        <v>0</v>
      </c>
      <c r="J71" s="20">
        <f>-J59</f>
        <v>0</v>
      </c>
      <c r="K71" s="38">
        <f>J71</f>
        <v>0</v>
      </c>
      <c r="L71" s="20">
        <f>-L59</f>
        <v>0</v>
      </c>
      <c r="M71" s="38">
        <f>L71</f>
        <v>0</v>
      </c>
      <c r="N71" s="20">
        <f>-N59</f>
        <v>0</v>
      </c>
      <c r="O71" s="38">
        <f>N71</f>
        <v>0</v>
      </c>
      <c r="P71" s="20">
        <f>-P59</f>
        <v>0</v>
      </c>
      <c r="Q71" s="38">
        <f>P71</f>
        <v>0</v>
      </c>
      <c r="R71" s="20">
        <f>-R59</f>
        <v>0</v>
      </c>
      <c r="S71" s="38">
        <f>R71</f>
        <v>0</v>
      </c>
      <c r="T71" s="20">
        <f>-T59</f>
        <v>0</v>
      </c>
      <c r="U71" s="38">
        <f>T71</f>
        <v>0</v>
      </c>
      <c r="V71" s="20">
        <f>-V59</f>
        <v>0</v>
      </c>
      <c r="W71" s="38">
        <f>V71</f>
        <v>0</v>
      </c>
      <c r="X71" s="20">
        <f>-X59</f>
        <v>0</v>
      </c>
      <c r="Y71" s="38">
        <f>X71</f>
        <v>0</v>
      </c>
      <c r="Z71" s="200">
        <f>C71+E71+G71+I71+K71+O71+M71+Q71+S71+U71+W71+Y71</f>
        <v>0</v>
      </c>
      <c r="AA71" s="201"/>
    </row>
    <row r="72" spans="1:30" x14ac:dyDescent="0.2">
      <c r="A72" t="s">
        <v>130</v>
      </c>
      <c r="B72" s="23">
        <f>-B62</f>
        <v>-1231.3300000000002</v>
      </c>
      <c r="C72" s="35">
        <f t="shared" si="71"/>
        <v>-1231.3300000000002</v>
      </c>
      <c r="D72" s="23">
        <f>-D62</f>
        <v>0</v>
      </c>
      <c r="E72" s="35">
        <f>D72</f>
        <v>0</v>
      </c>
      <c r="F72" s="23">
        <f>-F62</f>
        <v>0</v>
      </c>
      <c r="G72" s="35">
        <f>F72</f>
        <v>0</v>
      </c>
      <c r="H72" s="23">
        <f>-H62</f>
        <v>-1167.92</v>
      </c>
      <c r="I72" s="35">
        <f>H72</f>
        <v>-1167.92</v>
      </c>
      <c r="J72" s="23">
        <f>-J62</f>
        <v>0</v>
      </c>
      <c r="K72" s="35">
        <f>J72</f>
        <v>0</v>
      </c>
      <c r="L72" s="23">
        <f>-L62</f>
        <v>0</v>
      </c>
      <c r="M72" s="35">
        <f>L72</f>
        <v>0</v>
      </c>
      <c r="N72" s="23">
        <f>-N62</f>
        <v>-1733.91</v>
      </c>
      <c r="O72" s="35">
        <f>N72</f>
        <v>-1733.91</v>
      </c>
      <c r="P72" s="23">
        <f>-P62</f>
        <v>0</v>
      </c>
      <c r="Q72" s="35">
        <f>P72</f>
        <v>0</v>
      </c>
      <c r="R72" s="23">
        <f>-R62</f>
        <v>0</v>
      </c>
      <c r="S72" s="35">
        <f>R72</f>
        <v>0</v>
      </c>
      <c r="T72" s="23">
        <f>-T62</f>
        <v>-1025.77</v>
      </c>
      <c r="U72" s="35">
        <f>T72</f>
        <v>-1025.77</v>
      </c>
      <c r="V72" s="23">
        <f>-V62</f>
        <v>0</v>
      </c>
      <c r="W72" s="35">
        <f>V72</f>
        <v>0</v>
      </c>
      <c r="X72" s="23">
        <f>-X62</f>
        <v>0</v>
      </c>
      <c r="Y72" s="35">
        <f>X72</f>
        <v>0</v>
      </c>
      <c r="Z72" s="206">
        <f>C72+E72+G72+I72+K72+O72+M72+Q72+S72+U72+W72+Y72</f>
        <v>-5158.93</v>
      </c>
      <c r="AA72" s="207"/>
    </row>
    <row r="73" spans="1:30" ht="15.75" thickBot="1" x14ac:dyDescent="0.25">
      <c r="A73" s="36" t="s">
        <v>131</v>
      </c>
      <c r="B73" s="37">
        <f>B69+B70+B71+B72</f>
        <v>986.65489999999977</v>
      </c>
      <c r="C73" s="39">
        <f t="shared" si="71"/>
        <v>986.65489999999977</v>
      </c>
      <c r="D73" s="37">
        <f t="shared" ref="D73:Y73" si="73">D69+D70+D71+D72</f>
        <v>3108.12</v>
      </c>
      <c r="E73" s="39">
        <f t="shared" si="73"/>
        <v>4094.7748999999994</v>
      </c>
      <c r="F73" s="37">
        <f t="shared" si="73"/>
        <v>2911.09</v>
      </c>
      <c r="G73" s="39">
        <f t="shared" si="73"/>
        <v>7005.8648999999996</v>
      </c>
      <c r="H73" s="37">
        <f t="shared" si="73"/>
        <v>2245.5100000000002</v>
      </c>
      <c r="I73" s="39">
        <f t="shared" si="73"/>
        <v>9251.3749000000007</v>
      </c>
      <c r="J73" s="37">
        <f t="shared" si="73"/>
        <v>2288.67</v>
      </c>
      <c r="K73" s="39">
        <f t="shared" si="73"/>
        <v>11540.044900000001</v>
      </c>
      <c r="L73" s="37">
        <f t="shared" si="73"/>
        <v>2305.75</v>
      </c>
      <c r="M73" s="39">
        <f t="shared" si="73"/>
        <v>13845.794900000001</v>
      </c>
      <c r="N73" s="37">
        <f t="shared" si="73"/>
        <v>393.99</v>
      </c>
      <c r="O73" s="39">
        <f t="shared" si="73"/>
        <v>14239.784900000001</v>
      </c>
      <c r="P73" s="37">
        <f t="shared" si="73"/>
        <v>297.57999999999993</v>
      </c>
      <c r="Q73" s="39">
        <f t="shared" si="73"/>
        <v>14537.3649</v>
      </c>
      <c r="R73" s="37">
        <f t="shared" si="73"/>
        <v>3380.47</v>
      </c>
      <c r="S73" s="39">
        <f t="shared" si="73"/>
        <v>17917.834900000002</v>
      </c>
      <c r="T73" s="37">
        <f t="shared" si="73"/>
        <v>1471.5300000000002</v>
      </c>
      <c r="U73" s="39">
        <f t="shared" si="73"/>
        <v>19389.364900000004</v>
      </c>
      <c r="V73" s="37">
        <f t="shared" si="73"/>
        <v>2182.21</v>
      </c>
      <c r="W73" s="39">
        <f t="shared" si="73"/>
        <v>21571.574900000003</v>
      </c>
      <c r="X73" s="37">
        <f t="shared" si="73"/>
        <v>4572.2</v>
      </c>
      <c r="Y73" s="39">
        <f t="shared" si="73"/>
        <v>26143.774900000004</v>
      </c>
      <c r="Z73" s="202">
        <f>Z69+Z70+Z71+Z72</f>
        <v>26143.7749</v>
      </c>
      <c r="AA73" s="203"/>
    </row>
    <row r="75" spans="1:30" ht="30" thickBot="1" x14ac:dyDescent="0.45">
      <c r="A75" s="45" t="s">
        <v>102</v>
      </c>
    </row>
    <row r="76" spans="1:30" x14ac:dyDescent="0.2">
      <c r="B76" s="208" t="s">
        <v>48</v>
      </c>
      <c r="C76" s="209"/>
      <c r="D76" s="208" t="s">
        <v>56</v>
      </c>
      <c r="E76" s="209"/>
      <c r="F76" s="208" t="s">
        <v>57</v>
      </c>
      <c r="G76" s="209"/>
      <c r="H76" s="208" t="s">
        <v>58</v>
      </c>
      <c r="I76" s="209"/>
      <c r="J76" s="208" t="s">
        <v>59</v>
      </c>
      <c r="K76" s="209"/>
      <c r="L76" s="208" t="s">
        <v>60</v>
      </c>
      <c r="M76" s="209"/>
      <c r="N76" s="208" t="s">
        <v>61</v>
      </c>
      <c r="O76" s="209"/>
      <c r="P76" s="208" t="s">
        <v>62</v>
      </c>
      <c r="Q76" s="209"/>
      <c r="R76" s="208" t="s">
        <v>236</v>
      </c>
      <c r="S76" s="209"/>
      <c r="T76" s="208" t="s">
        <v>63</v>
      </c>
      <c r="U76" s="209"/>
      <c r="V76" s="208" t="s">
        <v>64</v>
      </c>
      <c r="W76" s="209"/>
      <c r="X76" s="208" t="s">
        <v>65</v>
      </c>
      <c r="Y76" s="209"/>
      <c r="Z76" s="208">
        <f>Z2</f>
        <v>2023</v>
      </c>
      <c r="AA76" s="209"/>
    </row>
    <row r="77" spans="1:30" ht="15.75" thickBot="1" x14ac:dyDescent="0.25">
      <c r="A77" s="10" t="s">
        <v>66</v>
      </c>
      <c r="B77" s="16">
        <f>B78+B96</f>
        <v>1000</v>
      </c>
      <c r="C77" s="17">
        <f>IF(B77=0,0,(B77/B77))</f>
        <v>1</v>
      </c>
      <c r="D77" s="16">
        <f>D78+D96</f>
        <v>1860</v>
      </c>
      <c r="E77" s="17">
        <f>IF(D77=0,0,(D77/D77))</f>
        <v>1</v>
      </c>
      <c r="F77" s="16">
        <f>F78+F96</f>
        <v>1400</v>
      </c>
      <c r="G77" s="17">
        <f>IF(F77=0,0,(F77/F77))</f>
        <v>1</v>
      </c>
      <c r="H77" s="16">
        <f>H78+H96</f>
        <v>1295</v>
      </c>
      <c r="I77" s="17">
        <f>IF(H77=0,0,(H77/H77))</f>
        <v>1</v>
      </c>
      <c r="J77" s="16">
        <f>J78+J96</f>
        <v>1320</v>
      </c>
      <c r="K77" s="17">
        <f>IF(J77=0,0,(J77/J77))</f>
        <v>1</v>
      </c>
      <c r="L77" s="16">
        <f>L78+L96</f>
        <v>1145</v>
      </c>
      <c r="M77" s="17">
        <f>IF(L77=0,0,(L77/L77))</f>
        <v>1</v>
      </c>
      <c r="N77" s="16">
        <f>N78+N96</f>
        <v>1250</v>
      </c>
      <c r="O77" s="17">
        <f>IF(N77=0,0,(N77/N77))</f>
        <v>1</v>
      </c>
      <c r="P77" s="16">
        <f>P78+P96</f>
        <v>350</v>
      </c>
      <c r="Q77" s="17">
        <f>IF(P77=0,0,(P77/P77))</f>
        <v>1</v>
      </c>
      <c r="R77" s="16">
        <f>R78+R96</f>
        <v>1770</v>
      </c>
      <c r="S77" s="17">
        <f>IF(R77=0,0,(R77/R77))</f>
        <v>1</v>
      </c>
      <c r="T77" s="16">
        <f>T78+T96</f>
        <v>1895</v>
      </c>
      <c r="U77" s="17">
        <f>IF(T77=0,0,(T77/T77))</f>
        <v>1</v>
      </c>
      <c r="V77" s="16">
        <f>V78+V96</f>
        <v>1640</v>
      </c>
      <c r="W77" s="17">
        <f>IF(V77=0,0,(V77/V77))</f>
        <v>1</v>
      </c>
      <c r="X77" s="16">
        <f>X78+X96</f>
        <v>3235</v>
      </c>
      <c r="Y77" s="17">
        <f>IF(X77=0,0,(X77/X77))</f>
        <v>1</v>
      </c>
      <c r="Z77" s="16">
        <f>Z78+Z96</f>
        <v>18160</v>
      </c>
      <c r="AA77" s="17">
        <f>IF(Z77=0,0,(Z77/Z77))</f>
        <v>1</v>
      </c>
    </row>
    <row r="78" spans="1:30" x14ac:dyDescent="0.2">
      <c r="A78" s="32" t="s">
        <v>74</v>
      </c>
      <c r="B78" s="18">
        <f>SUM(B79:B86)</f>
        <v>1000</v>
      </c>
      <c r="C78" s="19">
        <f>IF(B$77=0,0,B78/B$77)</f>
        <v>1</v>
      </c>
      <c r="D78" s="18">
        <f>SUM(D79:D86)</f>
        <v>1740</v>
      </c>
      <c r="E78" s="19">
        <f>IF(D$77=0,0,D78/D$77)</f>
        <v>0.93548387096774188</v>
      </c>
      <c r="F78" s="18">
        <f>SUM(F79:F86)</f>
        <v>1400</v>
      </c>
      <c r="G78" s="19">
        <f>IF(F$77=0,0,F78/F$77)</f>
        <v>1</v>
      </c>
      <c r="H78" s="18">
        <f>SUM(H79:H86)</f>
        <v>1295</v>
      </c>
      <c r="I78" s="19">
        <f>IF(H$77=0,0,H78/H$77)</f>
        <v>1</v>
      </c>
      <c r="J78" s="18">
        <f>SUM(J79:J86)</f>
        <v>1320</v>
      </c>
      <c r="K78" s="19">
        <f>IF(J$77=0,0,J78/J$77)</f>
        <v>1</v>
      </c>
      <c r="L78" s="18">
        <f>SUM(L79:L86)</f>
        <v>1145</v>
      </c>
      <c r="M78" s="19">
        <f>IF(L$77=0,0,L78/L$77)</f>
        <v>1</v>
      </c>
      <c r="N78" s="18">
        <f>SUM(N79:N86)</f>
        <v>1250</v>
      </c>
      <c r="O78" s="19">
        <f>IF(N$77=0,0,N78/N$77)</f>
        <v>1</v>
      </c>
      <c r="P78" s="18">
        <f>SUM(P79:P86)</f>
        <v>350</v>
      </c>
      <c r="Q78" s="19">
        <f>IF(P$77=0,0,P78/P$77)</f>
        <v>1</v>
      </c>
      <c r="R78" s="18">
        <f>SUM(R79:R86)</f>
        <v>1610</v>
      </c>
      <c r="S78" s="19">
        <f>IF(R$77=0,0,R78/R$77)</f>
        <v>0.90960451977401124</v>
      </c>
      <c r="T78" s="18">
        <f>SUM(T79:T86)</f>
        <v>1895</v>
      </c>
      <c r="U78" s="19">
        <f>IF(T$77=0,0,T78/T$77)</f>
        <v>1</v>
      </c>
      <c r="V78" s="18">
        <f>SUM(V79:V86)</f>
        <v>1640</v>
      </c>
      <c r="W78" s="19">
        <f>IF(V$77=0,0,V78/V$77)</f>
        <v>1</v>
      </c>
      <c r="X78" s="18">
        <f>SUM(X79:X86)</f>
        <v>3055</v>
      </c>
      <c r="Y78" s="19">
        <f>IF(X$77=0,0,X78/X$77)</f>
        <v>0.94435857805255019</v>
      </c>
      <c r="Z78" s="18">
        <f>SUM(Z79:Z86)</f>
        <v>17700</v>
      </c>
      <c r="AA78" s="19">
        <f>IF(Z$77=0,0,Z78/Z$77)</f>
        <v>0.97466960352422904</v>
      </c>
    </row>
    <row r="79" spans="1:30" hidden="1" outlineLevel="2" x14ac:dyDescent="0.2">
      <c r="A79" s="8" t="s">
        <v>67</v>
      </c>
      <c r="B79" s="20">
        <f>SUMIFS('Registre de reserves'!$U$2:$U$1178,'Registre de reserves'!$T$2:$T$1178,"SI",'Registre de reserves'!$I$2:$I$1178,'2023'!$A79,'Registre de reserves'!$B$2:$B$1178,'2023'!B$2,Tabla1[ANY],'2023'!$Z$76)+SUMIFS('Registre de reserves'!$U$2:$U$1178,'Registre de reserves'!$T$2:$T$1178,"RESERVA",'Registre de reserves'!$I$2:$I$1178,'2023'!$A79,'Registre de reserves'!$B$2:$B$1178,'2023'!B$2,Tabla1[ANY],'2023'!$Z$76)</f>
        <v>200</v>
      </c>
      <c r="C79" s="21">
        <f t="shared" ref="C79:C86" si="74">IF(B$78=0,0,B79/B$78)</f>
        <v>0.2</v>
      </c>
      <c r="D79" s="20">
        <f>SUMIFS('Registre de reserves'!$U$2:$U$1178,'Registre de reserves'!$T$2:$T$1178,"SI",'Registre de reserves'!$I$2:$I$1178,'2023'!$A79,'Registre de reserves'!$B$2:$B$1178,'2023'!D$2,Tabla1[ANY],'2023'!$Z$76)+SUMIFS('Registre de reserves'!$U$2:$U$1178,'Registre de reserves'!$T$2:$T$1178,"RESERVA",'Registre de reserves'!$I$2:$I$1178,'2023'!$A79,'Registre de reserves'!$B$2:$B$1178,'2023'!D$2,Tabla1[ANY],'2023'!$Z$76)</f>
        <v>300</v>
      </c>
      <c r="E79" s="21">
        <f t="shared" ref="E79:E86" si="75">IF(D$78=0,0,D79/D$78)</f>
        <v>0.17241379310344829</v>
      </c>
      <c r="F79" s="20">
        <f>SUMIFS('Registre de reserves'!$U$2:$U$1178,'Registre de reserves'!$T$2:$T$1178,"SI",'Registre de reserves'!$I$2:$I$1178,'2023'!$A79,'Registre de reserves'!$B$2:$B$1178,'2023'!F$2,Tabla1[ANY],'2023'!$Z$76)+SUMIFS('Registre de reserves'!$U$2:$U$1178,'Registre de reserves'!$T$2:$T$1178,"RESERVA",'Registre de reserves'!$I$2:$I$1178,'2023'!$A79,'Registre de reserves'!$B$2:$B$1178,'2023'!F$2,Tabla1[ANY],'2023'!$Z$76)</f>
        <v>350</v>
      </c>
      <c r="G79" s="21">
        <f t="shared" ref="G79:G86" si="76">IF(F$78=0,0,F79/F$78)</f>
        <v>0.25</v>
      </c>
      <c r="H79" s="20">
        <f>SUMIFS('Registre de reserves'!$U$2:$U$1178,'Registre de reserves'!$T$2:$T$1178,"SI",'Registre de reserves'!$I$2:$I$1178,'2023'!$A79,'Registre de reserves'!$B$2:$B$1178,'2023'!H$2,Tabla1[ANY],'2023'!$Z$76)+SUMIFS('Registre de reserves'!$U$2:$U$1178,'Registre de reserves'!$T$2:$T$1178,"RESERVA",'Registre de reserves'!$I$2:$I$1178,'2023'!$A79,'Registre de reserves'!$B$2:$B$1178,'2023'!H$2,Tabla1[ANY],'2023'!$Z$76)</f>
        <v>350</v>
      </c>
      <c r="I79" s="21">
        <f t="shared" ref="I79:I86" si="77">IF(H$78=0,0,H79/H$78)</f>
        <v>0.27027027027027029</v>
      </c>
      <c r="J79" s="20">
        <f>SUMIFS('Registre de reserves'!$U$2:$U$1178,'Registre de reserves'!$T$2:$T$1178,"SI",'Registre de reserves'!$I$2:$I$1178,'2023'!$A79,'Registre de reserves'!$B$2:$B$1178,'2023'!J$2,Tabla1[ANY],'2023'!$Z$76)+SUMIFS('Registre de reserves'!$U$2:$U$1178,'Registre de reserves'!$T$2:$T$1178,"RESERVA",'Registre de reserves'!$I$2:$I$1178,'2023'!$A79,'Registre de reserves'!$B$2:$B$1178,'2023'!J$2,Tabla1[ANY],'2023'!$Z$76)</f>
        <v>250</v>
      </c>
      <c r="K79" s="21">
        <f t="shared" ref="K79:K86" si="78">IF(J$78=0,0,J79/J$78)</f>
        <v>0.18939393939393939</v>
      </c>
      <c r="L79" s="20">
        <f>SUMIFS('Registre de reserves'!$U$2:$U$1178,'Registre de reserves'!$T$2:$T$1178,"SI",'Registre de reserves'!$I$2:$I$1178,'2023'!$A79,'Registre de reserves'!$B$2:$B$1178,'2023'!L$2,Tabla1[ANY],'2023'!$Z$76)+SUMIFS('Registre de reserves'!$U$2:$U$1178,'Registre de reserves'!$T$2:$T$1178,"RESERVA",'Registre de reserves'!$I$2:$I$1178,'2023'!$A79,'Registre de reserves'!$B$2:$B$1178,'2023'!L$2,Tabla1[ANY],'2023'!$Z$76)</f>
        <v>250</v>
      </c>
      <c r="M79" s="21">
        <f t="shared" ref="M79:M86" si="79">IF(L$78=0,0,L79/L$78)</f>
        <v>0.2183406113537118</v>
      </c>
      <c r="N79" s="20">
        <f>SUMIFS('Registre de reserves'!$U$2:$U$1178,'Registre de reserves'!$T$2:$T$1178,"SI",'Registre de reserves'!$I$2:$I$1178,'2023'!$A79,'Registre de reserves'!$B$2:$B$1178,'2023'!N$2,Tabla1[ANY],'2023'!$Z$76)+SUMIFS('Registre de reserves'!$U$2:$U$1178,'Registre de reserves'!$T$2:$T$1178,"RESERVA",'Registre de reserves'!$I$2:$I$1178,'2023'!$A79,'Registre de reserves'!$B$2:$B$1178,'2023'!N$2,Tabla1[ANY],'2023'!$Z$76)</f>
        <v>100</v>
      </c>
      <c r="O79" s="21">
        <f t="shared" ref="O79:O86" si="80">IF(N$78=0,0,N79/N$78)</f>
        <v>0.08</v>
      </c>
      <c r="P79" s="20">
        <f>SUMIFS('Registre de reserves'!$U$2:$U$1178,'Registre de reserves'!$T$2:$T$1178,"SI",'Registre de reserves'!$I$2:$I$1178,'2023'!$A79,'Registre de reserves'!$B$2:$B$1178,'2023'!P$2,Tabla1[ANY],'2023'!$Z$76)+SUMIFS('Registre de reserves'!$U$2:$U$1178,'Registre de reserves'!$T$2:$T$1178,"RESERVA",'Registre de reserves'!$I$2:$I$1178,'2023'!$A79,'Registre de reserves'!$B$2:$B$1178,'2023'!P$2,Tabla1[ANY],'2023'!$Z$76)</f>
        <v>50</v>
      </c>
      <c r="Q79" s="21">
        <f t="shared" ref="Q79:Q86" si="81">IF(P$78=0,0,P79/P$78)</f>
        <v>0.14285714285714285</v>
      </c>
      <c r="R79" s="20">
        <f>SUMIFS('Registre de reserves'!$U$2:$U$1178,'Registre de reserves'!$T$2:$T$1178,"SI",'Registre de reserves'!$I$2:$I$1178,'2023'!$A79,'Registre de reserves'!$B$2:$B$1178,'2023'!R$2,Tabla1[ANY],'2023'!$Z$76)+SUMIFS('Registre de reserves'!$U$2:$U$1178,'Registre de reserves'!$T$2:$T$1178,"RESERVA",'Registre de reserves'!$I$2:$I$1178,'2023'!$A79,'Registre de reserves'!$B$2:$B$1178,'2023'!R$2,Tabla1[ANY],'2023'!$Z$76)</f>
        <v>100</v>
      </c>
      <c r="S79" s="21">
        <f t="shared" ref="S79:S86" si="82">IF(R$78=0,0,R79/R$78)</f>
        <v>6.2111801242236024E-2</v>
      </c>
      <c r="T79" s="20">
        <f>SUMIFS('Registre de reserves'!$U$2:$U$1178,'Registre de reserves'!$T$2:$T$1178,"SI",'Registre de reserves'!$I$2:$I$1178,'2023'!$A79,'Registre de reserves'!$B$2:$B$1178,'2023'!T$2,Tabla1[ANY],'2023'!$Z$76)+SUMIFS('Registre de reserves'!$U$2:$U$1178,'Registre de reserves'!$T$2:$T$1178,"RESERVA",'Registre de reserves'!$I$2:$I$1178,'2023'!$A79,'Registre de reserves'!$B$2:$B$1178,'2023'!T$2,Tabla1[ANY],'2023'!$Z$76)</f>
        <v>450</v>
      </c>
      <c r="U79" s="21">
        <f t="shared" ref="U79:U86" si="83">IF(T$78=0,0,T79/T$78)</f>
        <v>0.23746701846965698</v>
      </c>
      <c r="V79" s="20">
        <f>SUMIFS('Registre de reserves'!$U$2:$U$1178,'Registre de reserves'!$T$2:$T$1178,"SI",'Registre de reserves'!$I$2:$I$1178,'2023'!$A79,'Registre de reserves'!$B$2:$B$1178,'2023'!V$2,Tabla1[ANY],'2023'!$Z$76)+SUMIFS('Registre de reserves'!$U$2:$U$1178,'Registre de reserves'!$T$2:$T$1178,"RESERVA",'Registre de reserves'!$I$2:$I$1178,'2023'!$A79,'Registre de reserves'!$B$2:$B$1178,'2023'!V$2,Tabla1[ANY],'2023'!$Z$76)</f>
        <v>200</v>
      </c>
      <c r="W79" s="21">
        <f t="shared" ref="W79:W86" si="84">IF(V$78=0,0,V79/V$78)</f>
        <v>0.12195121951219512</v>
      </c>
      <c r="X79" s="20">
        <f>SUMIFS('Registre de reserves'!$U$2:$U$1178,'Registre de reserves'!$T$2:$T$1178,"SI",'Registre de reserves'!$I$2:$I$1178,'2023'!$A79,'Registre de reserves'!$B$2:$B$1178,'2023'!X$2,Tabla1[ANY],'2023'!$Z$76)+SUMIFS('Registre de reserves'!$U$2:$U$1178,'Registre de reserves'!$T$2:$T$1178,"RESERVA",'Registre de reserves'!$I$2:$I$1178,'2023'!$A79,'Registre de reserves'!$B$2:$B$1178,'2023'!X$2,Tabla1[ANY],'2023'!$Z$76)</f>
        <v>470</v>
      </c>
      <c r="Y79" s="21">
        <f t="shared" ref="Y79:Y86" si="85">IF(X$78=0,0,X79/X$78)</f>
        <v>0.15384615384615385</v>
      </c>
      <c r="Z79" s="20">
        <f>B79+D79+F79+H79+J79+L79+N79+P79+R79+T79+V79+X79</f>
        <v>3070</v>
      </c>
      <c r="AA79" s="21">
        <f t="shared" ref="AA79:AA86" si="86">IF(Z$78=0,0,Z79/Z$78)</f>
        <v>0.17344632768361581</v>
      </c>
    </row>
    <row r="80" spans="1:30" hidden="1" outlineLevel="2" x14ac:dyDescent="0.2">
      <c r="A80" s="8" t="s">
        <v>68</v>
      </c>
      <c r="B80" s="20">
        <f>SUMIFS('Registre de reserves'!$U$2:$U$1178,'Registre de reserves'!$T$2:$T$1178,"SI",'Registre de reserves'!$I$2:$I$1178,'2023'!$A80,'Registre de reserves'!$B$2:$B$1178,'2023'!B$2,Tabla1[ANY],'2023'!$Z$76)+SUMIFS('Registre de reserves'!$U$2:$U$1178,'Registre de reserves'!$T$2:$T$1178,"RESERVA",'Registre de reserves'!$I$2:$I$1178,'2023'!$A80,'Registre de reserves'!$B$2:$B$1178,'2023'!B$2,Tabla1[ANY],'2023'!$Z$76)</f>
        <v>350</v>
      </c>
      <c r="C80" s="21">
        <f t="shared" si="74"/>
        <v>0.35</v>
      </c>
      <c r="D80" s="20">
        <f>SUMIFS('Registre de reserves'!$U$2:$U$1178,'Registre de reserves'!$T$2:$T$1178,"SI",'Registre de reserves'!$I$2:$I$1178,'2023'!$A80,'Registre de reserves'!$B$2:$B$1178,'2023'!D$2,Tabla1[ANY],'2023'!$Z$76)+SUMIFS('Registre de reserves'!$U$2:$U$1178,'Registre de reserves'!$T$2:$T$1178,"RESERVA",'Registre de reserves'!$I$2:$I$1178,'2023'!$A80,'Registre de reserves'!$B$2:$B$1178,'2023'!D$2,Tabla1[ANY],'2023'!$Z$76)</f>
        <v>650</v>
      </c>
      <c r="E80" s="21">
        <f t="shared" si="75"/>
        <v>0.37356321839080459</v>
      </c>
      <c r="F80" s="20">
        <f>SUMIFS('Registre de reserves'!$U$2:$U$1178,'Registre de reserves'!$T$2:$T$1178,"SI",'Registre de reserves'!$I$2:$I$1178,'2023'!$A80,'Registre de reserves'!$B$2:$B$1178,'2023'!F$2,Tabla1[ANY],'2023'!$Z$76)+SUMIFS('Registre de reserves'!$U$2:$U$1178,'Registre de reserves'!$T$2:$T$1178,"RESERVA",'Registre de reserves'!$I$2:$I$1178,'2023'!$A80,'Registre de reserves'!$B$2:$B$1178,'2023'!F$2,Tabla1[ANY],'2023'!$Z$76)</f>
        <v>750</v>
      </c>
      <c r="G80" s="21">
        <f t="shared" si="76"/>
        <v>0.5357142857142857</v>
      </c>
      <c r="H80" s="20">
        <f>SUMIFS('Registre de reserves'!$U$2:$U$1178,'Registre de reserves'!$T$2:$T$1178,"SI",'Registre de reserves'!$I$2:$I$1178,'2023'!$A80,'Registre de reserves'!$B$2:$B$1178,'2023'!H$2,Tabla1[ANY],'2023'!$Z$76)+SUMIFS('Registre de reserves'!$U$2:$U$1178,'Registre de reserves'!$T$2:$T$1178,"RESERVA",'Registre de reserves'!$I$2:$I$1178,'2023'!$A80,'Registre de reserves'!$B$2:$B$1178,'2023'!H$2,Tabla1[ANY],'2023'!$Z$76)</f>
        <v>495</v>
      </c>
      <c r="I80" s="21">
        <f t="shared" si="77"/>
        <v>0.38223938223938225</v>
      </c>
      <c r="J80" s="20">
        <f>SUMIFS('Registre de reserves'!$U$2:$U$1178,'Registre de reserves'!$T$2:$T$1178,"SI",'Registre de reserves'!$I$2:$I$1178,'2023'!$A80,'Registre de reserves'!$B$2:$B$1178,'2023'!J$2,Tabla1[ANY],'2023'!$Z$76)+SUMIFS('Registre de reserves'!$U$2:$U$1178,'Registre de reserves'!$T$2:$T$1178,"RESERVA",'Registre de reserves'!$I$2:$I$1178,'2023'!$A80,'Registre de reserves'!$B$2:$B$1178,'2023'!J$2,Tabla1[ANY],'2023'!$Z$76)</f>
        <v>350</v>
      </c>
      <c r="K80" s="21">
        <f t="shared" si="78"/>
        <v>0.26515151515151514</v>
      </c>
      <c r="L80" s="20">
        <f>SUMIFS('Registre de reserves'!$U$2:$U$1178,'Registre de reserves'!$T$2:$T$1178,"SI",'Registre de reserves'!$I$2:$I$1178,'2023'!$A80,'Registre de reserves'!$B$2:$B$1178,'2023'!L$2,Tabla1[ANY],'2023'!$Z$76)+SUMIFS('Registre de reserves'!$U$2:$U$1178,'Registre de reserves'!$T$2:$T$1178,"RESERVA",'Registre de reserves'!$I$2:$I$1178,'2023'!$A80,'Registre de reserves'!$B$2:$B$1178,'2023'!L$2,Tabla1[ANY],'2023'!$Z$76)</f>
        <v>595</v>
      </c>
      <c r="M80" s="21">
        <f t="shared" si="79"/>
        <v>0.51965065502183405</v>
      </c>
      <c r="N80" s="20">
        <f>SUMIFS('Registre de reserves'!$U$2:$U$1178,'Registre de reserves'!$T$2:$T$1178,"SI",'Registre de reserves'!$I$2:$I$1178,'2023'!$A80,'Registre de reserves'!$B$2:$B$1178,'2023'!N$2,Tabla1[ANY],'2023'!$Z$76)+SUMIFS('Registre de reserves'!$U$2:$U$1178,'Registre de reserves'!$T$2:$T$1178,"RESERVA",'Registre de reserves'!$I$2:$I$1178,'2023'!$A80,'Registre de reserves'!$B$2:$B$1178,'2023'!N$2,Tabla1[ANY],'2023'!$Z$76)</f>
        <v>350</v>
      </c>
      <c r="O80" s="21">
        <f t="shared" si="80"/>
        <v>0.28000000000000003</v>
      </c>
      <c r="P80" s="20">
        <f>SUMIFS('Registre de reserves'!$U$2:$U$1178,'Registre de reserves'!$T$2:$T$1178,"SI",'Registre de reserves'!$I$2:$I$1178,'2023'!$A80,'Registre de reserves'!$B$2:$B$1178,'2023'!P$2,Tabla1[ANY],'2023'!$Z$76)+SUMIFS('Registre de reserves'!$U$2:$U$1178,'Registre de reserves'!$T$2:$T$1178,"RESERVA",'Registre de reserves'!$I$2:$I$1178,'2023'!$A80,'Registre de reserves'!$B$2:$B$1178,'2023'!P$2,Tabla1[ANY],'2023'!$Z$76)</f>
        <v>200</v>
      </c>
      <c r="Q80" s="21">
        <f t="shared" si="81"/>
        <v>0.5714285714285714</v>
      </c>
      <c r="R80" s="20">
        <f>SUMIFS('Registre de reserves'!$U$2:$U$1178,'Registre de reserves'!$T$2:$T$1178,"SI",'Registre de reserves'!$I$2:$I$1178,'2023'!$A80,'Registre de reserves'!$B$2:$B$1178,'2023'!R$2,Tabla1[ANY],'2023'!$Z$76)+SUMIFS('Registre de reserves'!$U$2:$U$1178,'Registre de reserves'!$T$2:$T$1178,"RESERVA",'Registre de reserves'!$I$2:$I$1178,'2023'!$A80,'Registre de reserves'!$B$2:$B$1178,'2023'!R$2,Tabla1[ANY],'2023'!$Z$76)</f>
        <v>490</v>
      </c>
      <c r="S80" s="21">
        <f t="shared" si="82"/>
        <v>0.30434782608695654</v>
      </c>
      <c r="T80" s="20">
        <f>SUMIFS('Registre de reserves'!$U$2:$U$1178,'Registre de reserves'!$T$2:$T$1178,"SI",'Registre de reserves'!$I$2:$I$1178,'2023'!$A80,'Registre de reserves'!$B$2:$B$1178,'2023'!T$2,Tabla1[ANY],'2023'!$Z$76)+SUMIFS('Registre de reserves'!$U$2:$U$1178,'Registre de reserves'!$T$2:$T$1178,"RESERVA",'Registre de reserves'!$I$2:$I$1178,'2023'!$A80,'Registre de reserves'!$B$2:$B$1178,'2023'!T$2,Tabla1[ANY],'2023'!$Z$76)</f>
        <v>695</v>
      </c>
      <c r="U80" s="21">
        <f t="shared" si="83"/>
        <v>0.36675461741424803</v>
      </c>
      <c r="V80" s="20">
        <f>SUMIFS('Registre de reserves'!$U$2:$U$1178,'Registre de reserves'!$T$2:$T$1178,"SI",'Registre de reserves'!$I$2:$I$1178,'2023'!$A80,'Registre de reserves'!$B$2:$B$1178,'2023'!V$2,Tabla1[ANY],'2023'!$Z$76)+SUMIFS('Registre de reserves'!$U$2:$U$1178,'Registre de reserves'!$T$2:$T$1178,"RESERVA",'Registre de reserves'!$I$2:$I$1178,'2023'!$A80,'Registre de reserves'!$B$2:$B$1178,'2023'!V$2,Tabla1[ANY],'2023'!$Z$76)</f>
        <v>450</v>
      </c>
      <c r="W80" s="21">
        <f t="shared" si="84"/>
        <v>0.27439024390243905</v>
      </c>
      <c r="X80" s="20">
        <f>SUMIFS('Registre de reserves'!$U$2:$U$1178,'Registre de reserves'!$T$2:$T$1178,"SI",'Registre de reserves'!$I$2:$I$1178,'2023'!$A80,'Registre de reserves'!$B$2:$B$1178,'2023'!X$2,Tabla1[ANY],'2023'!$Z$76)+SUMIFS('Registre de reserves'!$U$2:$U$1178,'Registre de reserves'!$T$2:$T$1178,"RESERVA",'Registre de reserves'!$I$2:$I$1178,'2023'!$A80,'Registre de reserves'!$B$2:$B$1178,'2023'!X$2,Tabla1[ANY],'2023'!$Z$76)</f>
        <v>935</v>
      </c>
      <c r="Y80" s="21">
        <f t="shared" si="85"/>
        <v>0.30605564648117839</v>
      </c>
      <c r="Z80" s="20">
        <f t="shared" ref="Z80:Z86" si="87">B80+D80+F80+H80+J80+L80+N80+P80+R80+T80+V80+X80</f>
        <v>6310</v>
      </c>
      <c r="AA80" s="21">
        <f t="shared" si="86"/>
        <v>0.35649717514124296</v>
      </c>
    </row>
    <row r="81" spans="1:27" hidden="1" outlineLevel="2" x14ac:dyDescent="0.2">
      <c r="A81" s="8" t="s">
        <v>4</v>
      </c>
      <c r="B81" s="20">
        <f>SUMIFS('Registre de reserves'!$U$2:$U$1178,'Registre de reserves'!$T$2:$T$1178,"SI",'Registre de reserves'!$I$2:$I$1178,'2023'!$A81,'Registre de reserves'!$B$2:$B$1178,'2023'!B$2,Tabla1[ANY],'2023'!$Z$76)+SUMIFS('Registre de reserves'!$U$2:$U$1178,'Registre de reserves'!$T$2:$T$1178,"RESERVA",'Registre de reserves'!$I$2:$I$1178,'2023'!$A81,'Registre de reserves'!$B$2:$B$1178,'2023'!B$2,Tabla1[ANY],'2023'!$Z$76)</f>
        <v>50</v>
      </c>
      <c r="C81" s="21">
        <f t="shared" si="74"/>
        <v>0.05</v>
      </c>
      <c r="D81" s="20">
        <f>SUMIFS('Registre de reserves'!$U$2:$U$1178,'Registre de reserves'!$T$2:$T$1178,"SI",'Registre de reserves'!$I$2:$I$1178,'2023'!$A81,'Registre de reserves'!$B$2:$B$1178,'2023'!D$2,Tabla1[ANY],'2023'!$Z$76)+SUMIFS('Registre de reserves'!$U$2:$U$1178,'Registre de reserves'!$T$2:$T$1178,"RESERVA",'Registre de reserves'!$I$2:$I$1178,'2023'!$A81,'Registre de reserves'!$B$2:$B$1178,'2023'!D$2,Tabla1[ANY],'2023'!$Z$76)</f>
        <v>290</v>
      </c>
      <c r="E81" s="21">
        <f t="shared" si="75"/>
        <v>0.16666666666666666</v>
      </c>
      <c r="F81" s="20">
        <f>SUMIFS('Registre de reserves'!$U$2:$U$1178,'Registre de reserves'!$T$2:$T$1178,"SI",'Registre de reserves'!$I$2:$I$1178,'2023'!$A81,'Registre de reserves'!$B$2:$B$1178,'2023'!F$2,Tabla1[ANY],'2023'!$Z$76)+SUMIFS('Registre de reserves'!$U$2:$U$1178,'Registre de reserves'!$T$2:$T$1178,"RESERVA",'Registre de reserves'!$I$2:$I$1178,'2023'!$A81,'Registre de reserves'!$B$2:$B$1178,'2023'!F$2,Tabla1[ANY],'2023'!$Z$76)</f>
        <v>0</v>
      </c>
      <c r="G81" s="21">
        <f t="shared" si="76"/>
        <v>0</v>
      </c>
      <c r="H81" s="20">
        <f>SUMIFS('Registre de reserves'!$U$2:$U$1178,'Registre de reserves'!$T$2:$T$1178,"SI",'Registre de reserves'!$I$2:$I$1178,'2023'!$A81,'Registre de reserves'!$B$2:$B$1178,'2023'!H$2,Tabla1[ANY],'2023'!$Z$76)+SUMIFS('Registre de reserves'!$U$2:$U$1178,'Registre de reserves'!$T$2:$T$1178,"RESERVA",'Registre de reserves'!$I$2:$I$1178,'2023'!$A81,'Registre de reserves'!$B$2:$B$1178,'2023'!H$2,Tabla1[ANY],'2023'!$Z$76)</f>
        <v>100</v>
      </c>
      <c r="I81" s="21">
        <f t="shared" si="77"/>
        <v>7.7220077220077218E-2</v>
      </c>
      <c r="J81" s="20">
        <f>SUMIFS('Registre de reserves'!$U$2:$U$1178,'Registre de reserves'!$T$2:$T$1178,"SI",'Registre de reserves'!$I$2:$I$1178,'2023'!$A81,'Registre de reserves'!$B$2:$B$1178,'2023'!J$2,Tabla1[ANY],'2023'!$Z$76)+SUMIFS('Registre de reserves'!$U$2:$U$1178,'Registre de reserves'!$T$2:$T$1178,"RESERVA",'Registre de reserves'!$I$2:$I$1178,'2023'!$A81,'Registre de reserves'!$B$2:$B$1178,'2023'!J$2,Tabla1[ANY],'2023'!$Z$76)</f>
        <v>270</v>
      </c>
      <c r="K81" s="21">
        <f t="shared" si="78"/>
        <v>0.20454545454545456</v>
      </c>
      <c r="L81" s="20">
        <f>SUMIFS('Registre de reserves'!$U$2:$U$1178,'Registre de reserves'!$T$2:$T$1178,"SI",'Registre de reserves'!$I$2:$I$1178,'2023'!$A81,'Registre de reserves'!$B$2:$B$1178,'2023'!L$2,Tabla1[ANY],'2023'!$Z$76)+SUMIFS('Registre de reserves'!$U$2:$U$1178,'Registre de reserves'!$T$2:$T$1178,"RESERVA",'Registre de reserves'!$I$2:$I$1178,'2023'!$A81,'Registre de reserves'!$B$2:$B$1178,'2023'!L$2,Tabla1[ANY],'2023'!$Z$76)</f>
        <v>50</v>
      </c>
      <c r="M81" s="21">
        <f t="shared" si="79"/>
        <v>4.3668122270742356E-2</v>
      </c>
      <c r="N81" s="20">
        <f>SUMIFS('Registre de reserves'!$U$2:$U$1178,'Registre de reserves'!$T$2:$T$1178,"SI",'Registre de reserves'!$I$2:$I$1178,'2023'!$A81,'Registre de reserves'!$B$2:$B$1178,'2023'!N$2,Tabla1[ANY],'2023'!$Z$76)+SUMIFS('Registre de reserves'!$U$2:$U$1178,'Registre de reserves'!$T$2:$T$1178,"RESERVA",'Registre de reserves'!$I$2:$I$1178,'2023'!$A81,'Registre de reserves'!$B$2:$B$1178,'2023'!N$2,Tabla1[ANY],'2023'!$Z$76)</f>
        <v>500</v>
      </c>
      <c r="O81" s="21">
        <f t="shared" si="80"/>
        <v>0.4</v>
      </c>
      <c r="P81" s="20">
        <f>SUMIFS('Registre de reserves'!$U$2:$U$1178,'Registre de reserves'!$T$2:$T$1178,"SI",'Registre de reserves'!$I$2:$I$1178,'2023'!$A81,'Registre de reserves'!$B$2:$B$1178,'2023'!P$2,Tabla1[ANY],'2023'!$Z$76)+SUMIFS('Registre de reserves'!$U$2:$U$1178,'Registre de reserves'!$T$2:$T$1178,"RESERVA",'Registre de reserves'!$I$2:$I$1178,'2023'!$A81,'Registre de reserves'!$B$2:$B$1178,'2023'!P$2,Tabla1[ANY],'2023'!$Z$76)</f>
        <v>0</v>
      </c>
      <c r="Q81" s="21">
        <f t="shared" si="81"/>
        <v>0</v>
      </c>
      <c r="R81" s="20">
        <f>SUMIFS('Registre de reserves'!$U$2:$U$1178,'Registre de reserves'!$T$2:$T$1178,"SI",'Registre de reserves'!$I$2:$I$1178,'2023'!$A81,'Registre de reserves'!$B$2:$B$1178,'2023'!R$2,Tabla1[ANY],'2023'!$Z$76)+SUMIFS('Registre de reserves'!$U$2:$U$1178,'Registre de reserves'!$T$2:$T$1178,"RESERVA",'Registre de reserves'!$I$2:$I$1178,'2023'!$A81,'Registre de reserves'!$B$2:$B$1178,'2023'!R$2,Tabla1[ANY],'2023'!$Z$76)</f>
        <v>50</v>
      </c>
      <c r="S81" s="21">
        <f t="shared" si="82"/>
        <v>3.1055900621118012E-2</v>
      </c>
      <c r="T81" s="20">
        <f>SUMIFS('Registre de reserves'!$U$2:$U$1178,'Registre de reserves'!$T$2:$T$1178,"SI",'Registre de reserves'!$I$2:$I$1178,'2023'!$A81,'Registre de reserves'!$B$2:$B$1178,'2023'!T$2,Tabla1[ANY],'2023'!$Z$76)+SUMIFS('Registre de reserves'!$U$2:$U$1178,'Registre de reserves'!$T$2:$T$1178,"RESERVA",'Registre de reserves'!$I$2:$I$1178,'2023'!$A81,'Registre de reserves'!$B$2:$B$1178,'2023'!T$2,Tabla1[ANY],'2023'!$Z$76)</f>
        <v>0</v>
      </c>
      <c r="U81" s="21">
        <f t="shared" si="83"/>
        <v>0</v>
      </c>
      <c r="V81" s="20">
        <f>SUMIFS('Registre de reserves'!$U$2:$U$1178,'Registre de reserves'!$T$2:$T$1178,"SI",'Registre de reserves'!$I$2:$I$1178,'2023'!$A81,'Registre de reserves'!$B$2:$B$1178,'2023'!V$2,Tabla1[ANY],'2023'!$Z$76)+SUMIFS('Registre de reserves'!$U$2:$U$1178,'Registre de reserves'!$T$2:$T$1178,"RESERVA",'Registre de reserves'!$I$2:$I$1178,'2023'!$A81,'Registre de reserves'!$B$2:$B$1178,'2023'!V$2,Tabla1[ANY],'2023'!$Z$76)</f>
        <v>390</v>
      </c>
      <c r="W81" s="21">
        <f t="shared" si="84"/>
        <v>0.23780487804878048</v>
      </c>
      <c r="X81" s="20">
        <f>SUMIFS('Registre de reserves'!$U$2:$U$1178,'Registre de reserves'!$T$2:$T$1178,"SI",'Registre de reserves'!$I$2:$I$1178,'2023'!$A81,'Registre de reserves'!$B$2:$B$1178,'2023'!X$2,Tabla1[ANY],'2023'!$Z$76)+SUMIFS('Registre de reserves'!$U$2:$U$1178,'Registre de reserves'!$T$2:$T$1178,"RESERVA",'Registre de reserves'!$I$2:$I$1178,'2023'!$A81,'Registre de reserves'!$B$2:$B$1178,'2023'!X$2,Tabla1[ANY],'2023'!$Z$76)</f>
        <v>500</v>
      </c>
      <c r="Y81" s="21">
        <f t="shared" si="85"/>
        <v>0.16366612111292964</v>
      </c>
      <c r="Z81" s="20">
        <f t="shared" si="87"/>
        <v>2200</v>
      </c>
      <c r="AA81" s="21">
        <f t="shared" si="86"/>
        <v>0.12429378531073447</v>
      </c>
    </row>
    <row r="82" spans="1:27" hidden="1" outlineLevel="2" x14ac:dyDescent="0.2">
      <c r="A82" s="8" t="s">
        <v>71</v>
      </c>
      <c r="B82" s="20">
        <f>SUMIFS('Registre de reserves'!$U$2:$U$1178,'Registre de reserves'!$T$2:$T$1178,"SI",'Registre de reserves'!$I$2:$I$1178,'2023'!$A82,'Registre de reserves'!$B$2:$B$1178,'2023'!B$2,Tabla1[ANY],'2023'!$Z$76)+SUMIFS('Registre de reserves'!$U$2:$U$1178,'Registre de reserves'!$T$2:$T$1178,"RESERVA",'Registre de reserves'!$I$2:$I$1178,'2023'!$A82,'Registre de reserves'!$B$2:$B$1178,'2023'!B$2,Tabla1[ANY],'2023'!$Z$76)</f>
        <v>0</v>
      </c>
      <c r="C82" s="21">
        <f t="shared" si="74"/>
        <v>0</v>
      </c>
      <c r="D82" s="20">
        <f>SUMIFS('Registre de reserves'!$U$2:$U$1178,'Registre de reserves'!$T$2:$T$1178,"SI",'Registre de reserves'!$I$2:$I$1178,'2023'!$A82,'Registre de reserves'!$B$2:$B$1178,'2023'!D$2,Tabla1[ANY],'2023'!$Z$76)+SUMIFS('Registre de reserves'!$U$2:$U$1178,'Registre de reserves'!$T$2:$T$1178,"RESERVA",'Registre de reserves'!$I$2:$I$1178,'2023'!$A82,'Registre de reserves'!$B$2:$B$1178,'2023'!D$2,Tabla1[ANY],'2023'!$Z$76)</f>
        <v>0</v>
      </c>
      <c r="E82" s="21">
        <f t="shared" si="75"/>
        <v>0</v>
      </c>
      <c r="F82" s="20">
        <f>SUMIFS('Registre de reserves'!$U$2:$U$1178,'Registre de reserves'!$T$2:$T$1178,"SI",'Registre de reserves'!$I$2:$I$1178,'2023'!$A82,'Registre de reserves'!$B$2:$B$1178,'2023'!F$2,Tabla1[ANY],'2023'!$Z$76)+SUMIFS('Registre de reserves'!$U$2:$U$1178,'Registre de reserves'!$T$2:$T$1178,"RESERVA",'Registre de reserves'!$I$2:$I$1178,'2023'!$A82,'Registre de reserves'!$B$2:$B$1178,'2023'!F$2,Tabla1[ANY],'2023'!$Z$76)</f>
        <v>0</v>
      </c>
      <c r="G82" s="21">
        <f t="shared" si="76"/>
        <v>0</v>
      </c>
      <c r="H82" s="20">
        <f>SUMIFS('Registre de reserves'!$U$2:$U$1178,'Registre de reserves'!$T$2:$T$1178,"SI",'Registre de reserves'!$I$2:$I$1178,'2023'!$A82,'Registre de reserves'!$B$2:$B$1178,'2023'!H$2,Tabla1[ANY],'2023'!$Z$76)+SUMIFS('Registre de reserves'!$U$2:$U$1178,'Registre de reserves'!$T$2:$T$1178,"RESERVA",'Registre de reserves'!$I$2:$I$1178,'2023'!$A82,'Registre de reserves'!$B$2:$B$1178,'2023'!H$2,Tabla1[ANY],'2023'!$Z$76)</f>
        <v>0</v>
      </c>
      <c r="I82" s="21">
        <f t="shared" si="77"/>
        <v>0</v>
      </c>
      <c r="J82" s="20">
        <f>SUMIFS('Registre de reserves'!$U$2:$U$1178,'Registre de reserves'!$T$2:$T$1178,"SI",'Registre de reserves'!$I$2:$I$1178,'2023'!$A82,'Registre de reserves'!$B$2:$B$1178,'2023'!J$2,Tabla1[ANY],'2023'!$Z$76)+SUMIFS('Registre de reserves'!$U$2:$U$1178,'Registre de reserves'!$T$2:$T$1178,"RESERVA",'Registre de reserves'!$I$2:$I$1178,'2023'!$A82,'Registre de reserves'!$B$2:$B$1178,'2023'!J$2,Tabla1[ANY],'2023'!$Z$76)</f>
        <v>0</v>
      </c>
      <c r="K82" s="21">
        <f t="shared" si="78"/>
        <v>0</v>
      </c>
      <c r="L82" s="20">
        <f>SUMIFS('Registre de reserves'!$U$2:$U$1178,'Registre de reserves'!$T$2:$T$1178,"SI",'Registre de reserves'!$I$2:$I$1178,'2023'!$A82,'Registre de reserves'!$B$2:$B$1178,'2023'!L$2,Tabla1[ANY],'2023'!$Z$76)+SUMIFS('Registre de reserves'!$U$2:$U$1178,'Registre de reserves'!$T$2:$T$1178,"RESERVA",'Registre de reserves'!$I$2:$I$1178,'2023'!$A82,'Registre de reserves'!$B$2:$B$1178,'2023'!L$2,Tabla1[ANY],'2023'!$Z$76)</f>
        <v>0</v>
      </c>
      <c r="M82" s="21">
        <f t="shared" si="79"/>
        <v>0</v>
      </c>
      <c r="N82" s="20">
        <f>SUMIFS('Registre de reserves'!$U$2:$U$1178,'Registre de reserves'!$T$2:$T$1178,"SI",'Registre de reserves'!$I$2:$I$1178,'2023'!$A82,'Registre de reserves'!$B$2:$B$1178,'2023'!N$2,Tabla1[ANY],'2023'!$Z$76)+SUMIFS('Registre de reserves'!$U$2:$U$1178,'Registre de reserves'!$T$2:$T$1178,"RESERVA",'Registre de reserves'!$I$2:$I$1178,'2023'!$A82,'Registre de reserves'!$B$2:$B$1178,'2023'!N$2,Tabla1[ANY],'2023'!$Z$76)</f>
        <v>0</v>
      </c>
      <c r="O82" s="21">
        <f t="shared" si="80"/>
        <v>0</v>
      </c>
      <c r="P82" s="20">
        <f>SUMIFS('Registre de reserves'!$U$2:$U$1178,'Registre de reserves'!$T$2:$T$1178,"SI",'Registre de reserves'!$I$2:$I$1178,'2023'!$A82,'Registre de reserves'!$B$2:$B$1178,'2023'!P$2,Tabla1[ANY],'2023'!$Z$76)+SUMIFS('Registre de reserves'!$U$2:$U$1178,'Registre de reserves'!$T$2:$T$1178,"RESERVA",'Registre de reserves'!$I$2:$I$1178,'2023'!$A82,'Registre de reserves'!$B$2:$B$1178,'2023'!P$2,Tabla1[ANY],'2023'!$Z$76)</f>
        <v>0</v>
      </c>
      <c r="Q82" s="21">
        <f t="shared" si="81"/>
        <v>0</v>
      </c>
      <c r="R82" s="20">
        <f>SUMIFS('Registre de reserves'!$U$2:$U$1178,'Registre de reserves'!$T$2:$T$1178,"SI",'Registre de reserves'!$I$2:$I$1178,'2023'!$A82,'Registre de reserves'!$B$2:$B$1178,'2023'!R$2,Tabla1[ANY],'2023'!$Z$76)+SUMIFS('Registre de reserves'!$U$2:$U$1178,'Registre de reserves'!$T$2:$T$1178,"RESERVA",'Registre de reserves'!$I$2:$I$1178,'2023'!$A82,'Registre de reserves'!$B$2:$B$1178,'2023'!R$2,Tabla1[ANY],'2023'!$Z$76)</f>
        <v>0</v>
      </c>
      <c r="S82" s="21">
        <f t="shared" si="82"/>
        <v>0</v>
      </c>
      <c r="T82" s="20">
        <f>SUMIFS('Registre de reserves'!$U$2:$U$1178,'Registre de reserves'!$T$2:$T$1178,"SI",'Registre de reserves'!$I$2:$I$1178,'2023'!$A82,'Registre de reserves'!$B$2:$B$1178,'2023'!T$2,Tabla1[ANY],'2023'!$Z$76)+SUMIFS('Registre de reserves'!$U$2:$U$1178,'Registre de reserves'!$T$2:$T$1178,"RESERVA",'Registre de reserves'!$I$2:$I$1178,'2023'!$A82,'Registre de reserves'!$B$2:$B$1178,'2023'!T$2,Tabla1[ANY],'2023'!$Z$76)</f>
        <v>0</v>
      </c>
      <c r="U82" s="21">
        <f t="shared" si="83"/>
        <v>0</v>
      </c>
      <c r="V82" s="20">
        <f>SUMIFS('Registre de reserves'!$U$2:$U$1178,'Registre de reserves'!$T$2:$T$1178,"SI",'Registre de reserves'!$I$2:$I$1178,'2023'!$A82,'Registre de reserves'!$B$2:$B$1178,'2023'!V$2,Tabla1[ANY],'2023'!$Z$76)+SUMIFS('Registre de reserves'!$U$2:$U$1178,'Registre de reserves'!$T$2:$T$1178,"RESERVA",'Registre de reserves'!$I$2:$I$1178,'2023'!$A82,'Registre de reserves'!$B$2:$B$1178,'2023'!V$2,Tabla1[ANY],'2023'!$Z$76)</f>
        <v>0</v>
      </c>
      <c r="W82" s="21">
        <f t="shared" si="84"/>
        <v>0</v>
      </c>
      <c r="X82" s="20">
        <f>SUMIFS('Registre de reserves'!$U$2:$U$1178,'Registre de reserves'!$T$2:$T$1178,"SI",'Registre de reserves'!$I$2:$I$1178,'2023'!$A82,'Registre de reserves'!$B$2:$B$1178,'2023'!X$2,Tabla1[ANY],'2023'!$Z$76)+SUMIFS('Registre de reserves'!$U$2:$U$1178,'Registre de reserves'!$T$2:$T$1178,"RESERVA",'Registre de reserves'!$I$2:$I$1178,'2023'!$A82,'Registre de reserves'!$B$2:$B$1178,'2023'!X$2,Tabla1[ANY],'2023'!$Z$76)</f>
        <v>0</v>
      </c>
      <c r="Y82" s="21">
        <f t="shared" si="85"/>
        <v>0</v>
      </c>
      <c r="Z82" s="20">
        <f t="shared" si="87"/>
        <v>0</v>
      </c>
      <c r="AA82" s="21">
        <f t="shared" si="86"/>
        <v>0</v>
      </c>
    </row>
    <row r="83" spans="1:27" hidden="1" outlineLevel="2" x14ac:dyDescent="0.2">
      <c r="A83" s="8" t="s">
        <v>72</v>
      </c>
      <c r="B83" s="20">
        <f>SUMIFS('Registre de reserves'!$U$2:$U$1178,'Registre de reserves'!$T$2:$T$1178,"SI",'Registre de reserves'!$I$2:$I$1178,'2023'!$A83,'Registre de reserves'!$B$2:$B$1178,'2023'!B$2,Tabla1[ANY],'2023'!$Z$76)+SUMIFS('Registre de reserves'!$U$2:$U$1178,'Registre de reserves'!$T$2:$T$1178,"RESERVA",'Registre de reserves'!$I$2:$I$1178,'2023'!$A83,'Registre de reserves'!$B$2:$B$1178,'2023'!B$2,Tabla1[ANY],'2023'!$Z$76)</f>
        <v>0</v>
      </c>
      <c r="C83" s="21">
        <f t="shared" si="74"/>
        <v>0</v>
      </c>
      <c r="D83" s="20">
        <f>SUMIFS('Registre de reserves'!$U$2:$U$1178,'Registre de reserves'!$T$2:$T$1178,"SI",'Registre de reserves'!$I$2:$I$1178,'2023'!$A83,'Registre de reserves'!$B$2:$B$1178,'2023'!D$2,Tabla1[ANY],'2023'!$Z$76)+SUMIFS('Registre de reserves'!$U$2:$U$1178,'Registre de reserves'!$T$2:$T$1178,"RESERVA",'Registre de reserves'!$I$2:$I$1178,'2023'!$A83,'Registre de reserves'!$B$2:$B$1178,'2023'!D$2,Tabla1[ANY],'2023'!$Z$76)</f>
        <v>0</v>
      </c>
      <c r="E83" s="21">
        <f t="shared" si="75"/>
        <v>0</v>
      </c>
      <c r="F83" s="20">
        <f>SUMIFS('Registre de reserves'!$U$2:$U$1178,'Registre de reserves'!$T$2:$T$1178,"SI",'Registre de reserves'!$I$2:$I$1178,'2023'!$A83,'Registre de reserves'!$B$2:$B$1178,'2023'!F$2,Tabla1[ANY],'2023'!$Z$76)+SUMIFS('Registre de reserves'!$U$2:$U$1178,'Registre de reserves'!$T$2:$T$1178,"RESERVA",'Registre de reserves'!$I$2:$I$1178,'2023'!$A83,'Registre de reserves'!$B$2:$B$1178,'2023'!F$2,Tabla1[ANY],'2023'!$Z$76)</f>
        <v>0</v>
      </c>
      <c r="G83" s="21">
        <f t="shared" si="76"/>
        <v>0</v>
      </c>
      <c r="H83" s="20">
        <f>SUMIFS('Registre de reserves'!$U$2:$U$1178,'Registre de reserves'!$T$2:$T$1178,"SI",'Registre de reserves'!$I$2:$I$1178,'2023'!$A83,'Registre de reserves'!$B$2:$B$1178,'2023'!H$2,Tabla1[ANY],'2023'!$Z$76)+SUMIFS('Registre de reserves'!$U$2:$U$1178,'Registre de reserves'!$T$2:$T$1178,"RESERVA",'Registre de reserves'!$I$2:$I$1178,'2023'!$A83,'Registre de reserves'!$B$2:$B$1178,'2023'!H$2,Tabla1[ANY],'2023'!$Z$76)</f>
        <v>0</v>
      </c>
      <c r="I83" s="21">
        <f t="shared" si="77"/>
        <v>0</v>
      </c>
      <c r="J83" s="20">
        <f>SUMIFS('Registre de reserves'!$U$2:$U$1178,'Registre de reserves'!$T$2:$T$1178,"SI",'Registre de reserves'!$I$2:$I$1178,'2023'!$A83,'Registre de reserves'!$B$2:$B$1178,'2023'!J$2,Tabla1[ANY],'2023'!$Z$76)+SUMIFS('Registre de reserves'!$U$2:$U$1178,'Registre de reserves'!$T$2:$T$1178,"RESERVA",'Registre de reserves'!$I$2:$I$1178,'2023'!$A83,'Registre de reserves'!$B$2:$B$1178,'2023'!J$2,Tabla1[ANY],'2023'!$Z$76)</f>
        <v>0</v>
      </c>
      <c r="K83" s="21">
        <f t="shared" si="78"/>
        <v>0</v>
      </c>
      <c r="L83" s="20">
        <f>SUMIFS('Registre de reserves'!$U$2:$U$1178,'Registre de reserves'!$T$2:$T$1178,"SI",'Registre de reserves'!$I$2:$I$1178,'2023'!$A83,'Registre de reserves'!$B$2:$B$1178,'2023'!L$2,Tabla1[ANY],'2023'!$Z$76)+SUMIFS('Registre de reserves'!$U$2:$U$1178,'Registre de reserves'!$T$2:$T$1178,"RESERVA",'Registre de reserves'!$I$2:$I$1178,'2023'!$A83,'Registre de reserves'!$B$2:$B$1178,'2023'!L$2,Tabla1[ANY],'2023'!$Z$76)</f>
        <v>0</v>
      </c>
      <c r="M83" s="21">
        <f t="shared" si="79"/>
        <v>0</v>
      </c>
      <c r="N83" s="20">
        <f>SUMIFS('Registre de reserves'!$U$2:$U$1178,'Registre de reserves'!$T$2:$T$1178,"SI",'Registre de reserves'!$I$2:$I$1178,'2023'!$A83,'Registre de reserves'!$B$2:$B$1178,'2023'!N$2,Tabla1[ANY],'2023'!$Z$76)+SUMIFS('Registre de reserves'!$U$2:$U$1178,'Registre de reserves'!$T$2:$T$1178,"RESERVA",'Registre de reserves'!$I$2:$I$1178,'2023'!$A83,'Registre de reserves'!$B$2:$B$1178,'2023'!N$2,Tabla1[ANY],'2023'!$Z$76)</f>
        <v>0</v>
      </c>
      <c r="O83" s="21">
        <f t="shared" si="80"/>
        <v>0</v>
      </c>
      <c r="P83" s="20">
        <f>SUMIFS('Registre de reserves'!$U$2:$U$1178,'Registre de reserves'!$T$2:$T$1178,"SI",'Registre de reserves'!$I$2:$I$1178,'2023'!$A83,'Registre de reserves'!$B$2:$B$1178,'2023'!P$2,Tabla1[ANY],'2023'!$Z$76)+SUMIFS('Registre de reserves'!$U$2:$U$1178,'Registre de reserves'!$T$2:$T$1178,"RESERVA",'Registre de reserves'!$I$2:$I$1178,'2023'!$A83,'Registre de reserves'!$B$2:$B$1178,'2023'!P$2,Tabla1[ANY],'2023'!$Z$76)</f>
        <v>0</v>
      </c>
      <c r="Q83" s="21">
        <f t="shared" si="81"/>
        <v>0</v>
      </c>
      <c r="R83" s="20">
        <f>SUMIFS('Registre de reserves'!$U$2:$U$1178,'Registre de reserves'!$T$2:$T$1178,"SI",'Registre de reserves'!$I$2:$I$1178,'2023'!$A83,'Registre de reserves'!$B$2:$B$1178,'2023'!R$2,Tabla1[ANY],'2023'!$Z$76)+SUMIFS('Registre de reserves'!$U$2:$U$1178,'Registre de reserves'!$T$2:$T$1178,"RESERVA",'Registre de reserves'!$I$2:$I$1178,'2023'!$A83,'Registre de reserves'!$B$2:$B$1178,'2023'!R$2,Tabla1[ANY],'2023'!$Z$76)</f>
        <v>0</v>
      </c>
      <c r="S83" s="21">
        <f t="shared" si="82"/>
        <v>0</v>
      </c>
      <c r="T83" s="20">
        <f>SUMIFS('Registre de reserves'!$U$2:$U$1178,'Registre de reserves'!$T$2:$T$1178,"SI",'Registre de reserves'!$I$2:$I$1178,'2023'!$A83,'Registre de reserves'!$B$2:$B$1178,'2023'!T$2,Tabla1[ANY],'2023'!$Z$76)+SUMIFS('Registre de reserves'!$U$2:$U$1178,'Registre de reserves'!$T$2:$T$1178,"RESERVA",'Registre de reserves'!$I$2:$I$1178,'2023'!$A83,'Registre de reserves'!$B$2:$B$1178,'2023'!T$2,Tabla1[ANY],'2023'!$Z$76)</f>
        <v>0</v>
      </c>
      <c r="U83" s="21">
        <f t="shared" si="83"/>
        <v>0</v>
      </c>
      <c r="V83" s="20">
        <f>SUMIFS('Registre de reserves'!$U$2:$U$1178,'Registre de reserves'!$T$2:$T$1178,"SI",'Registre de reserves'!$I$2:$I$1178,'2023'!$A83,'Registre de reserves'!$B$2:$B$1178,'2023'!V$2,Tabla1[ANY],'2023'!$Z$76)+SUMIFS('Registre de reserves'!$U$2:$U$1178,'Registre de reserves'!$T$2:$T$1178,"RESERVA",'Registre de reserves'!$I$2:$I$1178,'2023'!$A83,'Registre de reserves'!$B$2:$B$1178,'2023'!V$2,Tabla1[ANY],'2023'!$Z$76)</f>
        <v>0</v>
      </c>
      <c r="W83" s="21">
        <f t="shared" si="84"/>
        <v>0</v>
      </c>
      <c r="X83" s="20">
        <f>SUMIFS('Registre de reserves'!$U$2:$U$1178,'Registre de reserves'!$T$2:$T$1178,"SI",'Registre de reserves'!$I$2:$I$1178,'2023'!$A83,'Registre de reserves'!$B$2:$B$1178,'2023'!X$2,Tabla1[ANY],'2023'!$Z$76)+SUMIFS('Registre de reserves'!$U$2:$U$1178,'Registre de reserves'!$T$2:$T$1178,"RESERVA",'Registre de reserves'!$I$2:$I$1178,'2023'!$A83,'Registre de reserves'!$B$2:$B$1178,'2023'!X$2,Tabla1[ANY],'2023'!$Z$76)</f>
        <v>0</v>
      </c>
      <c r="Y83" s="21">
        <f t="shared" si="85"/>
        <v>0</v>
      </c>
      <c r="Z83" s="20">
        <f t="shared" si="87"/>
        <v>0</v>
      </c>
      <c r="AA83" s="21">
        <f t="shared" si="86"/>
        <v>0</v>
      </c>
    </row>
    <row r="84" spans="1:27" hidden="1" outlineLevel="2" x14ac:dyDescent="0.2">
      <c r="A84" s="8" t="s">
        <v>69</v>
      </c>
      <c r="B84" s="20">
        <f>SUMIFS('Registre de reserves'!$U$2:$U$1178,'Registre de reserves'!$T$2:$T$1178,"SI",'Registre de reserves'!$I$2:$I$1178,'2023'!$A84,'Registre de reserves'!$B$2:$B$1178,'2023'!B$2,Tabla1[ANY],'2023'!$Z$76)+SUMIFS('Registre de reserves'!$U$2:$U$1178,'Registre de reserves'!$T$2:$T$1178,"RESERVA",'Registre de reserves'!$I$2:$I$1178,'2023'!$A84,'Registre de reserves'!$B$2:$B$1178,'2023'!B$2,Tabla1[ANY],'2023'!$Z$76)</f>
        <v>300</v>
      </c>
      <c r="C84" s="21">
        <f t="shared" si="74"/>
        <v>0.3</v>
      </c>
      <c r="D84" s="20">
        <f>SUMIFS('Registre de reserves'!$U$2:$U$1178,'Registre de reserves'!$T$2:$T$1178,"SI",'Registre de reserves'!$I$2:$I$1178,'2023'!$A84,'Registre de reserves'!$B$2:$B$1178,'2023'!D$2,Tabla1[ANY],'2023'!$Z$76)+SUMIFS('Registre de reserves'!$U$2:$U$1178,'Registre de reserves'!$T$2:$T$1178,"RESERVA",'Registre de reserves'!$I$2:$I$1178,'2023'!$A84,'Registre de reserves'!$B$2:$B$1178,'2023'!D$2,Tabla1[ANY],'2023'!$Z$76)</f>
        <v>500</v>
      </c>
      <c r="E84" s="21">
        <f t="shared" si="75"/>
        <v>0.28735632183908044</v>
      </c>
      <c r="F84" s="20">
        <f>SUMIFS('Registre de reserves'!$U$2:$U$1178,'Registre de reserves'!$T$2:$T$1178,"SI",'Registre de reserves'!$I$2:$I$1178,'2023'!$A84,'Registre de reserves'!$B$2:$B$1178,'2023'!F$2,Tabla1[ANY],'2023'!$Z$76)+SUMIFS('Registre de reserves'!$U$2:$U$1178,'Registre de reserves'!$T$2:$T$1178,"RESERVA",'Registre de reserves'!$I$2:$I$1178,'2023'!$A84,'Registre de reserves'!$B$2:$B$1178,'2023'!F$2,Tabla1[ANY],'2023'!$Z$76)</f>
        <v>300</v>
      </c>
      <c r="G84" s="21">
        <f t="shared" si="76"/>
        <v>0.21428571428571427</v>
      </c>
      <c r="H84" s="20">
        <f>SUMIFS('Registre de reserves'!$U$2:$U$1178,'Registre de reserves'!$T$2:$T$1178,"SI",'Registre de reserves'!$I$2:$I$1178,'2023'!$A84,'Registre de reserves'!$B$2:$B$1178,'2023'!H$2,Tabla1[ANY],'2023'!$Z$76)+SUMIFS('Registre de reserves'!$U$2:$U$1178,'Registre de reserves'!$T$2:$T$1178,"RESERVA",'Registre de reserves'!$I$2:$I$1178,'2023'!$A84,'Registre de reserves'!$B$2:$B$1178,'2023'!H$2,Tabla1[ANY],'2023'!$Z$76)</f>
        <v>300</v>
      </c>
      <c r="I84" s="21">
        <f t="shared" si="77"/>
        <v>0.23166023166023167</v>
      </c>
      <c r="J84" s="20">
        <f>SUMIFS('Registre de reserves'!$U$2:$U$1178,'Registre de reserves'!$T$2:$T$1178,"SI",'Registre de reserves'!$I$2:$I$1178,'2023'!$A84,'Registre de reserves'!$B$2:$B$1178,'2023'!J$2,Tabla1[ANY],'2023'!$Z$76)+SUMIFS('Registre de reserves'!$U$2:$U$1178,'Registre de reserves'!$T$2:$T$1178,"RESERVA",'Registre de reserves'!$I$2:$I$1178,'2023'!$A84,'Registre de reserves'!$B$2:$B$1178,'2023'!J$2,Tabla1[ANY],'2023'!$Z$76)</f>
        <v>400</v>
      </c>
      <c r="K84" s="21">
        <f t="shared" si="78"/>
        <v>0.30303030303030304</v>
      </c>
      <c r="L84" s="20">
        <f>SUMIFS('Registre de reserves'!$U$2:$U$1178,'Registre de reserves'!$T$2:$T$1178,"SI",'Registre de reserves'!$I$2:$I$1178,'2023'!$A84,'Registre de reserves'!$B$2:$B$1178,'2023'!L$2,Tabla1[ANY],'2023'!$Z$76)+SUMIFS('Registre de reserves'!$U$2:$U$1178,'Registre de reserves'!$T$2:$T$1178,"RESERVA",'Registre de reserves'!$I$2:$I$1178,'2023'!$A84,'Registre de reserves'!$B$2:$B$1178,'2023'!L$2,Tabla1[ANY],'2023'!$Z$76)</f>
        <v>200</v>
      </c>
      <c r="M84" s="21">
        <f t="shared" si="79"/>
        <v>0.17467248908296942</v>
      </c>
      <c r="N84" s="20">
        <f>SUMIFS('Registre de reserves'!$U$2:$U$1178,'Registre de reserves'!$T$2:$T$1178,"SI",'Registre de reserves'!$I$2:$I$1178,'2023'!$A84,'Registre de reserves'!$B$2:$B$1178,'2023'!N$2,Tabla1[ANY],'2023'!$Z$76)+SUMIFS('Registre de reserves'!$U$2:$U$1178,'Registre de reserves'!$T$2:$T$1178,"RESERVA",'Registre de reserves'!$I$2:$I$1178,'2023'!$A84,'Registre de reserves'!$B$2:$B$1178,'2023'!N$2,Tabla1[ANY],'2023'!$Z$76)</f>
        <v>300</v>
      </c>
      <c r="O84" s="21">
        <f t="shared" si="80"/>
        <v>0.24</v>
      </c>
      <c r="P84" s="20">
        <f>SUMIFS('Registre de reserves'!$U$2:$U$1178,'Registre de reserves'!$T$2:$T$1178,"SI",'Registre de reserves'!$I$2:$I$1178,'2023'!$A84,'Registre de reserves'!$B$2:$B$1178,'2023'!P$2,Tabla1[ANY],'2023'!$Z$76)+SUMIFS('Registre de reserves'!$U$2:$U$1178,'Registre de reserves'!$T$2:$T$1178,"RESERVA",'Registre de reserves'!$I$2:$I$1178,'2023'!$A84,'Registre de reserves'!$B$2:$B$1178,'2023'!P$2,Tabla1[ANY],'2023'!$Z$76)</f>
        <v>100</v>
      </c>
      <c r="Q84" s="21">
        <f t="shared" si="81"/>
        <v>0.2857142857142857</v>
      </c>
      <c r="R84" s="20">
        <f>SUMIFS('Registre de reserves'!$U$2:$U$1178,'Registre de reserves'!$T$2:$T$1178,"SI",'Registre de reserves'!$I$2:$I$1178,'2023'!$A84,'Registre de reserves'!$B$2:$B$1178,'2023'!R$2,Tabla1[ANY],'2023'!$Z$76)+SUMIFS('Registre de reserves'!$U$2:$U$1178,'Registre de reserves'!$T$2:$T$1178,"RESERVA",'Registre de reserves'!$I$2:$I$1178,'2023'!$A84,'Registre de reserves'!$B$2:$B$1178,'2023'!R$2,Tabla1[ANY],'2023'!$Z$76)</f>
        <v>550</v>
      </c>
      <c r="S84" s="21">
        <f t="shared" si="82"/>
        <v>0.34161490683229812</v>
      </c>
      <c r="T84" s="20">
        <f>SUMIFS('Registre de reserves'!$U$2:$U$1178,'Registre de reserves'!$T$2:$T$1178,"SI",'Registre de reserves'!$I$2:$I$1178,'2023'!$A84,'Registre de reserves'!$B$2:$B$1178,'2023'!T$2,Tabla1[ANY],'2023'!$Z$76)+SUMIFS('Registre de reserves'!$U$2:$U$1178,'Registre de reserves'!$T$2:$T$1178,"RESERVA",'Registre de reserves'!$I$2:$I$1178,'2023'!$A84,'Registre de reserves'!$B$2:$B$1178,'2023'!T$2,Tabla1[ANY],'2023'!$Z$76)</f>
        <v>700</v>
      </c>
      <c r="U84" s="21">
        <f t="shared" si="83"/>
        <v>0.36939313984168864</v>
      </c>
      <c r="V84" s="20">
        <f>SUMIFS('Registre de reserves'!$U$2:$U$1178,'Registre de reserves'!$T$2:$T$1178,"SI",'Registre de reserves'!$I$2:$I$1178,'2023'!$A84,'Registre de reserves'!$B$2:$B$1178,'2023'!V$2,Tabla1[ANY],'2023'!$Z$76)+SUMIFS('Registre de reserves'!$U$2:$U$1178,'Registre de reserves'!$T$2:$T$1178,"RESERVA",'Registre de reserves'!$I$2:$I$1178,'2023'!$A84,'Registre de reserves'!$B$2:$B$1178,'2023'!V$2,Tabla1[ANY],'2023'!$Z$76)</f>
        <v>300</v>
      </c>
      <c r="W84" s="21">
        <f t="shared" si="84"/>
        <v>0.18292682926829268</v>
      </c>
      <c r="X84" s="20">
        <f>SUMIFS('Registre de reserves'!$U$2:$U$1178,'Registre de reserves'!$T$2:$T$1178,"SI",'Registre de reserves'!$I$2:$I$1178,'2023'!$A84,'Registre de reserves'!$B$2:$B$1178,'2023'!X$2,Tabla1[ANY],'2023'!$Z$76)+SUMIFS('Registre de reserves'!$U$2:$U$1178,'Registre de reserves'!$T$2:$T$1178,"RESERVA",'Registre de reserves'!$I$2:$I$1178,'2023'!$A84,'Registre de reserves'!$B$2:$B$1178,'2023'!X$2,Tabla1[ANY],'2023'!$Z$76)</f>
        <v>1050</v>
      </c>
      <c r="Y84" s="21">
        <f t="shared" si="85"/>
        <v>0.34369885433715219</v>
      </c>
      <c r="Z84" s="20">
        <f t="shared" si="87"/>
        <v>5000</v>
      </c>
      <c r="AA84" s="21">
        <f t="shared" si="86"/>
        <v>0.2824858757062147</v>
      </c>
    </row>
    <row r="85" spans="1:27" hidden="1" outlineLevel="2" x14ac:dyDescent="0.2">
      <c r="A85" s="8" t="s">
        <v>70</v>
      </c>
      <c r="B85" s="20">
        <f>SUMIFS('Registre de reserves'!$U$2:$U$1178,'Registre de reserves'!$T$2:$T$1178,"SI",'Registre de reserves'!$I$2:$I$1178,'2023'!$A85,'Registre de reserves'!$B$2:$B$1178,'2023'!B$2,Tabla1[ANY],'2023'!$Z$76)+SUMIFS('Registre de reserves'!$U$2:$U$1178,'Registre de reserves'!$T$2:$T$1178,"RESERVA",'Registre de reserves'!$I$2:$I$1178,'2023'!$A85,'Registre de reserves'!$B$2:$B$1178,'2023'!B$2,Tabla1[ANY],'2023'!$Z$76)</f>
        <v>100</v>
      </c>
      <c r="C85" s="21">
        <f t="shared" si="74"/>
        <v>0.1</v>
      </c>
      <c r="D85" s="20">
        <f>SUMIFS('Registre de reserves'!$U$2:$U$1178,'Registre de reserves'!$T$2:$T$1178,"SI",'Registre de reserves'!$I$2:$I$1178,'2023'!$A85,'Registre de reserves'!$B$2:$B$1178,'2023'!D$2,Tabla1[ANY],'2023'!$Z$76)+SUMIFS('Registre de reserves'!$U$2:$U$1178,'Registre de reserves'!$T$2:$T$1178,"RESERVA",'Registre de reserves'!$I$2:$I$1178,'2023'!$A85,'Registre de reserves'!$B$2:$B$1178,'2023'!D$2,Tabla1[ANY],'2023'!$Z$76)</f>
        <v>0</v>
      </c>
      <c r="E85" s="21">
        <f t="shared" si="75"/>
        <v>0</v>
      </c>
      <c r="F85" s="20">
        <f>SUMIFS('Registre de reserves'!$U$2:$U$1178,'Registre de reserves'!$T$2:$T$1178,"SI",'Registre de reserves'!$I$2:$I$1178,'2023'!$A85,'Registre de reserves'!$B$2:$B$1178,'2023'!F$2,Tabla1[ANY],'2023'!$Z$76)+SUMIFS('Registre de reserves'!$U$2:$U$1178,'Registre de reserves'!$T$2:$T$1178,"RESERVA",'Registre de reserves'!$I$2:$I$1178,'2023'!$A85,'Registre de reserves'!$B$2:$B$1178,'2023'!F$2,Tabla1[ANY],'2023'!$Z$76)</f>
        <v>0</v>
      </c>
      <c r="G85" s="21">
        <f t="shared" si="76"/>
        <v>0</v>
      </c>
      <c r="H85" s="20">
        <f>SUMIFS('Registre de reserves'!$U$2:$U$1178,'Registre de reserves'!$T$2:$T$1178,"SI",'Registre de reserves'!$I$2:$I$1178,'2023'!$A85,'Registre de reserves'!$B$2:$B$1178,'2023'!H$2,Tabla1[ANY],'2023'!$Z$76)+SUMIFS('Registre de reserves'!$U$2:$U$1178,'Registre de reserves'!$T$2:$T$1178,"RESERVA",'Registre de reserves'!$I$2:$I$1178,'2023'!$A85,'Registre de reserves'!$B$2:$B$1178,'2023'!H$2,Tabla1[ANY],'2023'!$Z$76)</f>
        <v>50</v>
      </c>
      <c r="I85" s="21">
        <f t="shared" si="77"/>
        <v>3.8610038610038609E-2</v>
      </c>
      <c r="J85" s="20">
        <f>SUMIFS('Registre de reserves'!$U$2:$U$1178,'Registre de reserves'!$T$2:$T$1178,"SI",'Registre de reserves'!$I$2:$I$1178,'2023'!$A85,'Registre de reserves'!$B$2:$B$1178,'2023'!J$2,Tabla1[ANY],'2023'!$Z$76)+SUMIFS('Registre de reserves'!$U$2:$U$1178,'Registre de reserves'!$T$2:$T$1178,"RESERVA",'Registre de reserves'!$I$2:$I$1178,'2023'!$A85,'Registre de reserves'!$B$2:$B$1178,'2023'!J$2,Tabla1[ANY],'2023'!$Z$76)</f>
        <v>50</v>
      </c>
      <c r="K85" s="21">
        <f t="shared" si="78"/>
        <v>3.787878787878788E-2</v>
      </c>
      <c r="L85" s="20">
        <f>SUMIFS('Registre de reserves'!$U$2:$U$1178,'Registre de reserves'!$T$2:$T$1178,"SI",'Registre de reserves'!$I$2:$I$1178,'2023'!$A85,'Registre de reserves'!$B$2:$B$1178,'2023'!L$2,Tabla1[ANY],'2023'!$Z$76)+SUMIFS('Registre de reserves'!$U$2:$U$1178,'Registre de reserves'!$T$2:$T$1178,"RESERVA",'Registre de reserves'!$I$2:$I$1178,'2023'!$A85,'Registre de reserves'!$B$2:$B$1178,'2023'!L$2,Tabla1[ANY],'2023'!$Z$76)</f>
        <v>50</v>
      </c>
      <c r="M85" s="21">
        <f t="shared" si="79"/>
        <v>4.3668122270742356E-2</v>
      </c>
      <c r="N85" s="20">
        <f>SUMIFS('Registre de reserves'!$U$2:$U$1178,'Registre de reserves'!$T$2:$T$1178,"SI",'Registre de reserves'!$I$2:$I$1178,'2023'!$A85,'Registre de reserves'!$B$2:$B$1178,'2023'!N$2,Tabla1[ANY],'2023'!$Z$76)+SUMIFS('Registre de reserves'!$U$2:$U$1178,'Registre de reserves'!$T$2:$T$1178,"RESERVA",'Registre de reserves'!$I$2:$I$1178,'2023'!$A85,'Registre de reserves'!$B$2:$B$1178,'2023'!N$2,Tabla1[ANY],'2023'!$Z$76)</f>
        <v>0</v>
      </c>
      <c r="O85" s="21">
        <f t="shared" si="80"/>
        <v>0</v>
      </c>
      <c r="P85" s="20">
        <f>SUMIFS('Registre de reserves'!$U$2:$U$1178,'Registre de reserves'!$T$2:$T$1178,"SI",'Registre de reserves'!$I$2:$I$1178,'2023'!$A85,'Registre de reserves'!$B$2:$B$1178,'2023'!P$2,Tabla1[ANY],'2023'!$Z$76)+SUMIFS('Registre de reserves'!$U$2:$U$1178,'Registre de reserves'!$T$2:$T$1178,"RESERVA",'Registre de reserves'!$I$2:$I$1178,'2023'!$A85,'Registre de reserves'!$B$2:$B$1178,'2023'!P$2,Tabla1[ANY],'2023'!$Z$76)</f>
        <v>0</v>
      </c>
      <c r="Q85" s="21">
        <f t="shared" si="81"/>
        <v>0</v>
      </c>
      <c r="R85" s="20">
        <f>SUMIFS('Registre de reserves'!$U$2:$U$1178,'Registre de reserves'!$T$2:$T$1178,"SI",'Registre de reserves'!$I$2:$I$1178,'2023'!$A85,'Registre de reserves'!$B$2:$B$1178,'2023'!R$2,Tabla1[ANY],'2023'!$Z$76)+SUMIFS('Registre de reserves'!$U$2:$U$1178,'Registre de reserves'!$T$2:$T$1178,"RESERVA",'Registre de reserves'!$I$2:$I$1178,'2023'!$A85,'Registre de reserves'!$B$2:$B$1178,'2023'!R$2,Tabla1[ANY],'2023'!$Z$76)</f>
        <v>420</v>
      </c>
      <c r="S85" s="21">
        <f t="shared" si="82"/>
        <v>0.2608695652173913</v>
      </c>
      <c r="T85" s="20">
        <f>SUMIFS('Registre de reserves'!$U$2:$U$1178,'Registre de reserves'!$T$2:$T$1178,"SI",'Registre de reserves'!$I$2:$I$1178,'2023'!$A85,'Registre de reserves'!$B$2:$B$1178,'2023'!T$2,Tabla1[ANY],'2023'!$Z$76)+SUMIFS('Registre de reserves'!$U$2:$U$1178,'Registre de reserves'!$T$2:$T$1178,"RESERVA",'Registre de reserves'!$I$2:$I$1178,'2023'!$A85,'Registre de reserves'!$B$2:$B$1178,'2023'!T$2,Tabla1[ANY],'2023'!$Z$76)</f>
        <v>50</v>
      </c>
      <c r="U85" s="21">
        <f t="shared" si="83"/>
        <v>2.6385224274406333E-2</v>
      </c>
      <c r="V85" s="20">
        <f>SUMIFS('Registre de reserves'!$U$2:$U$1178,'Registre de reserves'!$T$2:$T$1178,"SI",'Registre de reserves'!$I$2:$I$1178,'2023'!$A85,'Registre de reserves'!$B$2:$B$1178,'2023'!V$2,Tabla1[ANY],'2023'!$Z$76)+SUMIFS('Registre de reserves'!$U$2:$U$1178,'Registre de reserves'!$T$2:$T$1178,"RESERVA",'Registre de reserves'!$I$2:$I$1178,'2023'!$A85,'Registre de reserves'!$B$2:$B$1178,'2023'!V$2,Tabla1[ANY],'2023'!$Z$76)</f>
        <v>300</v>
      </c>
      <c r="W85" s="21">
        <f t="shared" si="84"/>
        <v>0.18292682926829268</v>
      </c>
      <c r="X85" s="20">
        <f>SUMIFS('Registre de reserves'!$U$2:$U$1178,'Registre de reserves'!$T$2:$T$1178,"SI",'Registre de reserves'!$I$2:$I$1178,'2023'!$A85,'Registre de reserves'!$B$2:$B$1178,'2023'!X$2,Tabla1[ANY],'2023'!$Z$76)+SUMIFS('Registre de reserves'!$U$2:$U$1178,'Registre de reserves'!$T$2:$T$1178,"RESERVA",'Registre de reserves'!$I$2:$I$1178,'2023'!$A85,'Registre de reserves'!$B$2:$B$1178,'2023'!X$2,Tabla1[ANY],'2023'!$Z$76)</f>
        <v>100</v>
      </c>
      <c r="Y85" s="21">
        <f t="shared" si="85"/>
        <v>3.2733224222585927E-2</v>
      </c>
      <c r="Z85" s="20">
        <f t="shared" si="87"/>
        <v>1120</v>
      </c>
      <c r="AA85" s="21">
        <f t="shared" si="86"/>
        <v>6.3276836158192087E-2</v>
      </c>
    </row>
    <row r="86" spans="1:27" hidden="1" outlineLevel="2" x14ac:dyDescent="0.2">
      <c r="A86" s="8" t="s">
        <v>73</v>
      </c>
      <c r="B86" s="20">
        <f>SUMIFS('Registre de reserves'!$U$2:$U$1178,'Registre de reserves'!$T$2:$T$1178,"SI",'Registre de reserves'!$I$2:$I$1178,'2023'!$A86,'Registre de reserves'!$B$2:$B$1178,'2023'!B$2,Tabla1[ANY],'2023'!$Z$76)+SUMIFS('Registre de reserves'!$U$2:$U$1178,'Registre de reserves'!$T$2:$T$1178,"RESERVA",'Registre de reserves'!$I$2:$I$1178,'2023'!$A86,'Registre de reserves'!$B$2:$B$1178,'2023'!B$2,Tabla1[ANY],'2023'!$Z$76)</f>
        <v>0</v>
      </c>
      <c r="C86" s="21">
        <f t="shared" si="74"/>
        <v>0</v>
      </c>
      <c r="D86" s="20">
        <f>SUMIFS('Registre de reserves'!$U$2:$U$1178,'Registre de reserves'!$T$2:$T$1178,"SI",'Registre de reserves'!$I$2:$I$1178,'2023'!$A86,'Registre de reserves'!$B$2:$B$1178,'2023'!D$2,Tabla1[ANY],'2023'!$Z$76)+SUMIFS('Registre de reserves'!$U$2:$U$1178,'Registre de reserves'!$T$2:$T$1178,"RESERVA",'Registre de reserves'!$I$2:$I$1178,'2023'!$A86,'Registre de reserves'!$B$2:$B$1178,'2023'!D$2,Tabla1[ANY],'2023'!$Z$76)</f>
        <v>0</v>
      </c>
      <c r="E86" s="21">
        <f t="shared" si="75"/>
        <v>0</v>
      </c>
      <c r="F86" s="20">
        <f>SUMIFS('Registre de reserves'!$U$2:$U$1178,'Registre de reserves'!$T$2:$T$1178,"SI",'Registre de reserves'!$I$2:$I$1178,'2023'!$A86,'Registre de reserves'!$B$2:$B$1178,'2023'!F$2,Tabla1[ANY],'2023'!$Z$76)+SUMIFS('Registre de reserves'!$U$2:$U$1178,'Registre de reserves'!$T$2:$T$1178,"RESERVA",'Registre de reserves'!$I$2:$I$1178,'2023'!$A86,'Registre de reserves'!$B$2:$B$1178,'2023'!F$2,Tabla1[ANY],'2023'!$Z$76)</f>
        <v>0</v>
      </c>
      <c r="G86" s="21">
        <f t="shared" si="76"/>
        <v>0</v>
      </c>
      <c r="H86" s="20">
        <f>SUMIFS('Registre de reserves'!$U$2:$U$1178,'Registre de reserves'!$T$2:$T$1178,"SI",'Registre de reserves'!$I$2:$I$1178,'2023'!$A86,'Registre de reserves'!$B$2:$B$1178,'2023'!H$2,Tabla1[ANY],'2023'!$Z$76)+SUMIFS('Registre de reserves'!$U$2:$U$1178,'Registre de reserves'!$T$2:$T$1178,"RESERVA",'Registre de reserves'!$I$2:$I$1178,'2023'!$A86,'Registre de reserves'!$B$2:$B$1178,'2023'!H$2,Tabla1[ANY],'2023'!$Z$76)</f>
        <v>0</v>
      </c>
      <c r="I86" s="21">
        <f t="shared" si="77"/>
        <v>0</v>
      </c>
      <c r="J86" s="20">
        <f>SUMIFS('Registre de reserves'!$U$2:$U$1178,'Registre de reserves'!$T$2:$T$1178,"SI",'Registre de reserves'!$I$2:$I$1178,'2023'!$A86,'Registre de reserves'!$B$2:$B$1178,'2023'!J$2,Tabla1[ANY],'2023'!$Z$76)+SUMIFS('Registre de reserves'!$U$2:$U$1178,'Registre de reserves'!$T$2:$T$1178,"RESERVA",'Registre de reserves'!$I$2:$I$1178,'2023'!$A86,'Registre de reserves'!$B$2:$B$1178,'2023'!J$2,Tabla1[ANY],'2023'!$Z$76)</f>
        <v>0</v>
      </c>
      <c r="K86" s="21">
        <f t="shared" si="78"/>
        <v>0</v>
      </c>
      <c r="L86" s="20">
        <f>SUMIFS('Registre de reserves'!$U$2:$U$1178,'Registre de reserves'!$T$2:$T$1178,"SI",'Registre de reserves'!$I$2:$I$1178,'2023'!$A86,'Registre de reserves'!$B$2:$B$1178,'2023'!L$2,Tabla1[ANY],'2023'!$Z$76)+SUMIFS('Registre de reserves'!$U$2:$U$1178,'Registre de reserves'!$T$2:$T$1178,"RESERVA",'Registre de reserves'!$I$2:$I$1178,'2023'!$A86,'Registre de reserves'!$B$2:$B$1178,'2023'!L$2,Tabla1[ANY],'2023'!$Z$76)</f>
        <v>0</v>
      </c>
      <c r="M86" s="21">
        <f t="shared" si="79"/>
        <v>0</v>
      </c>
      <c r="N86" s="20">
        <f>SUMIFS('Registre de reserves'!$U$2:$U$1178,'Registre de reserves'!$T$2:$T$1178,"SI",'Registre de reserves'!$I$2:$I$1178,'2023'!$A86,'Registre de reserves'!$B$2:$B$1178,'2023'!N$2,Tabla1[ANY],'2023'!$Z$76)+SUMIFS('Registre de reserves'!$U$2:$U$1178,'Registre de reserves'!$T$2:$T$1178,"RESERVA",'Registre de reserves'!$I$2:$I$1178,'2023'!$A86,'Registre de reserves'!$B$2:$B$1178,'2023'!N$2,Tabla1[ANY],'2023'!$Z$76)</f>
        <v>0</v>
      </c>
      <c r="O86" s="21">
        <f t="shared" si="80"/>
        <v>0</v>
      </c>
      <c r="P86" s="20">
        <f>SUMIFS('Registre de reserves'!$U$2:$U$1178,'Registre de reserves'!$T$2:$T$1178,"SI",'Registre de reserves'!$I$2:$I$1178,'2023'!$A86,'Registre de reserves'!$B$2:$B$1178,'2023'!P$2,Tabla1[ANY],'2023'!$Z$76)+SUMIFS('Registre de reserves'!$U$2:$U$1178,'Registre de reserves'!$T$2:$T$1178,"RESERVA",'Registre de reserves'!$I$2:$I$1178,'2023'!$A86,'Registre de reserves'!$B$2:$B$1178,'2023'!P$2,Tabla1[ANY],'2023'!$Z$76)</f>
        <v>0</v>
      </c>
      <c r="Q86" s="21">
        <f t="shared" si="81"/>
        <v>0</v>
      </c>
      <c r="R86" s="20">
        <f>SUMIFS('Registre de reserves'!$U$2:$U$1178,'Registre de reserves'!$T$2:$T$1178,"SI",'Registre de reserves'!$I$2:$I$1178,'2023'!$A86,'Registre de reserves'!$B$2:$B$1178,'2023'!R$2,Tabla1[ANY],'2023'!$Z$76)+SUMIFS('Registre de reserves'!$U$2:$U$1178,'Registre de reserves'!$T$2:$T$1178,"RESERVA",'Registre de reserves'!$I$2:$I$1178,'2023'!$A86,'Registre de reserves'!$B$2:$B$1178,'2023'!R$2,Tabla1[ANY],'2023'!$Z$76)</f>
        <v>0</v>
      </c>
      <c r="S86" s="21">
        <f t="shared" si="82"/>
        <v>0</v>
      </c>
      <c r="T86" s="20">
        <f>SUMIFS('Registre de reserves'!$U$2:$U$1178,'Registre de reserves'!$T$2:$T$1178,"SI",'Registre de reserves'!$I$2:$I$1178,'2023'!$A86,'Registre de reserves'!$B$2:$B$1178,'2023'!T$2,Tabla1[ANY],'2023'!$Z$76)+SUMIFS('Registre de reserves'!$U$2:$U$1178,'Registre de reserves'!$T$2:$T$1178,"RESERVA",'Registre de reserves'!$I$2:$I$1178,'2023'!$A86,'Registre de reserves'!$B$2:$B$1178,'2023'!T$2,Tabla1[ANY],'2023'!$Z$76)</f>
        <v>0</v>
      </c>
      <c r="U86" s="21">
        <f t="shared" si="83"/>
        <v>0</v>
      </c>
      <c r="V86" s="20">
        <f>SUMIFS('Registre de reserves'!$U$2:$U$1178,'Registre de reserves'!$T$2:$T$1178,"SI",'Registre de reserves'!$I$2:$I$1178,'2023'!$A86,'Registre de reserves'!$B$2:$B$1178,'2023'!V$2,Tabla1[ANY],'2023'!$Z$76)+SUMIFS('Registre de reserves'!$U$2:$U$1178,'Registre de reserves'!$T$2:$T$1178,"RESERVA",'Registre de reserves'!$I$2:$I$1178,'2023'!$A86,'Registre de reserves'!$B$2:$B$1178,'2023'!V$2,Tabla1[ANY],'2023'!$Z$76)</f>
        <v>0</v>
      </c>
      <c r="W86" s="21">
        <f t="shared" si="84"/>
        <v>0</v>
      </c>
      <c r="X86" s="20">
        <f>SUMIFS('Registre de reserves'!$U$2:$U$1178,'Registre de reserves'!$T$2:$T$1178,"SI",'Registre de reserves'!$I$2:$I$1178,'2023'!$A86,'Registre de reserves'!$B$2:$B$1178,'2023'!X$2,Tabla1[ANY],'2023'!$Z$76)+SUMIFS('Registre de reserves'!$U$2:$U$1178,'Registre de reserves'!$T$2:$T$1178,"RESERVA",'Registre de reserves'!$I$2:$I$1178,'2023'!$A86,'Registre de reserves'!$B$2:$B$1178,'2023'!X$2,Tabla1[ANY],'2023'!$Z$76)</f>
        <v>0</v>
      </c>
      <c r="Y86" s="21">
        <f t="shared" si="85"/>
        <v>0</v>
      </c>
      <c r="Z86" s="20">
        <f t="shared" si="87"/>
        <v>0</v>
      </c>
      <c r="AA86" s="21">
        <f t="shared" si="86"/>
        <v>0</v>
      </c>
    </row>
    <row r="87" spans="1:27" collapsed="1" x14ac:dyDescent="0.2">
      <c r="A87" s="33" t="s">
        <v>76</v>
      </c>
      <c r="B87" s="18">
        <f>SUM(B88:B95)</f>
        <v>0</v>
      </c>
      <c r="C87" s="19">
        <f>IF((B$87+B$105)=0,0,B87/(B$87+B$105))</f>
        <v>0</v>
      </c>
      <c r="D87" s="18">
        <f>SUM(D88:D95)</f>
        <v>0</v>
      </c>
      <c r="E87" s="19">
        <f>IF((D$87+D$105)=0,0,D87/(D$87+D$105))</f>
        <v>0</v>
      </c>
      <c r="F87" s="18">
        <f>SUM(F88:F95)</f>
        <v>0</v>
      </c>
      <c r="G87" s="19">
        <f>IF((F$87+F$105)=0,0,F87/(F$87+F$105))</f>
        <v>0</v>
      </c>
      <c r="H87" s="18">
        <f>SUM(H88:H95)</f>
        <v>0</v>
      </c>
      <c r="I87" s="19">
        <f>IF((H$87+H$105)=0,0,H87/(H$87+H$105))</f>
        <v>0</v>
      </c>
      <c r="J87" s="18">
        <f>SUM(J88:J95)</f>
        <v>0</v>
      </c>
      <c r="K87" s="19">
        <f>IF((J$87+J$105)=0,0,J87/(J$87+J$105))</f>
        <v>0</v>
      </c>
      <c r="L87" s="18">
        <f>SUM(L88:L95)</f>
        <v>0</v>
      </c>
      <c r="M87" s="19">
        <f>IF((L$87+L$105)=0,0,L87/(L$87+L$105))</f>
        <v>0</v>
      </c>
      <c r="N87" s="18">
        <f>SUM(N88:N95)</f>
        <v>0</v>
      </c>
      <c r="O87" s="19">
        <f>IF((N$87+N$105)=0,0,N87/(N$87+N$105))</f>
        <v>0</v>
      </c>
      <c r="P87" s="18">
        <f>SUM(P88:P95)</f>
        <v>0</v>
      </c>
      <c r="Q87" s="19">
        <f>IF((P$87+P$105)=0,0,P87/(P$87+P$105))</f>
        <v>0</v>
      </c>
      <c r="R87" s="18">
        <f>SUM(R88:R95)</f>
        <v>0</v>
      </c>
      <c r="S87" s="19">
        <f>IF((R$87+R$105)=0,0,R87/(R$87+R$105))</f>
        <v>0</v>
      </c>
      <c r="T87" s="18">
        <f>SUM(T88:T95)</f>
        <v>0</v>
      </c>
      <c r="U87" s="19">
        <f>IF((T$87+T$105)=0,0,T87/(T$87+T$105))</f>
        <v>0</v>
      </c>
      <c r="V87" s="18">
        <f>SUM(V88:V95)</f>
        <v>0</v>
      </c>
      <c r="W87" s="19">
        <f>IF((V$87+V$105)=0,0,V87/(V$87+V$105))</f>
        <v>0</v>
      </c>
      <c r="X87" s="18">
        <f>SUM(X88:X95)</f>
        <v>0</v>
      </c>
      <c r="Y87" s="19">
        <f>IF((X$87+X$105)=0,0,X87/(X$87+X$105))</f>
        <v>0</v>
      </c>
      <c r="Z87" s="18">
        <f>SUM(Z88:Z95)</f>
        <v>0</v>
      </c>
      <c r="AA87" s="19">
        <f>IF((Z$87+Z$105)=0,0,Z87/(Z$87+Z$105))</f>
        <v>0</v>
      </c>
    </row>
    <row r="88" spans="1:27" hidden="1" outlineLevel="1" x14ac:dyDescent="0.2">
      <c r="A88" s="8" t="s">
        <v>67</v>
      </c>
      <c r="B88" s="20">
        <f>SUMIFS('Registre de reserves'!$U$2:$U$1178,'Registre de reserves'!$T$2:$T$1178,"NO",'Registre de reserves'!$I$2:$I$1178,'2023'!$A88,'Registre de reserves'!$B$2:$B$1178,'2023'!B$2,Tabla1[ANY],'2023'!$Z$76)</f>
        <v>0</v>
      </c>
      <c r="C88" s="21">
        <f>IF(B$87=0,0,B88/B$87)</f>
        <v>0</v>
      </c>
      <c r="D88" s="20">
        <f>SUMIFS('Registre de reserves'!$U$2:$U$1178,'Registre de reserves'!$T$2:$T$1178,"NO",'Registre de reserves'!$I$2:$I$1178,'2023'!$A88,'Registre de reserves'!$B$2:$B$1178,'2023'!D$2,Tabla1[ANY],'2023'!$Z$76)</f>
        <v>0</v>
      </c>
      <c r="E88" s="21">
        <f>IF(D$87=0,0,D88/D$87)</f>
        <v>0</v>
      </c>
      <c r="F88" s="20">
        <f>SUMIFS('Registre de reserves'!$U$2:$U$1178,'Registre de reserves'!$T$2:$T$1178,"NO",'Registre de reserves'!$I$2:$I$1178,'2023'!$A88,'Registre de reserves'!$B$2:$B$1178,'2023'!F$2,Tabla1[ANY],'2023'!$Z$76)</f>
        <v>0</v>
      </c>
      <c r="G88" s="21">
        <f t="shared" ref="G88:G95" si="88">IF(F$87=0,0,F88/F$87)</f>
        <v>0</v>
      </c>
      <c r="H88" s="20">
        <f>SUMIFS('Registre de reserves'!$U$2:$U$1178,'Registre de reserves'!$T$2:$T$1178,"NO",'Registre de reserves'!$I$2:$I$1178,'2023'!$A88,'Registre de reserves'!$B$2:$B$1178,'2023'!H$2,Tabla1[ANY],'2023'!$Z$76)</f>
        <v>0</v>
      </c>
      <c r="I88" s="21">
        <f t="shared" ref="I88:I95" si="89">IF(H$87=0,0,H88/H$87)</f>
        <v>0</v>
      </c>
      <c r="J88" s="20">
        <f>SUMIFS('Registre de reserves'!$U$2:$U$1178,'Registre de reserves'!$T$2:$T$1178,"NO",'Registre de reserves'!$I$2:$I$1178,'2023'!$A88,'Registre de reserves'!$B$2:$B$1178,'2023'!J$2,Tabla1[ANY],'2023'!$Z$76)</f>
        <v>0</v>
      </c>
      <c r="K88" s="21">
        <f t="shared" ref="K88:K95" si="90">IF(J$87=0,0,J88/J$87)</f>
        <v>0</v>
      </c>
      <c r="L88" s="20">
        <f>SUMIFS('Registre de reserves'!$U$2:$U$1178,'Registre de reserves'!$T$2:$T$1178,"NO",'Registre de reserves'!$I$2:$I$1178,'2023'!$A88,'Registre de reserves'!$B$2:$B$1178,'2023'!L$2,Tabla1[ANY],'2023'!$Z$76)</f>
        <v>0</v>
      </c>
      <c r="M88" s="21">
        <f t="shared" ref="M88:M95" si="91">IF(L$87=0,0,L88/L$87)</f>
        <v>0</v>
      </c>
      <c r="N88" s="20">
        <f>SUMIFS('Registre de reserves'!$U$2:$U$1178,'Registre de reserves'!$T$2:$T$1178,"NO",'Registre de reserves'!$I$2:$I$1178,'2023'!$A88,'Registre de reserves'!$B$2:$B$1178,'2023'!N$2,Tabla1[ANY],'2023'!$Z$76)</f>
        <v>0</v>
      </c>
      <c r="O88" s="21">
        <f t="shared" ref="O88:O95" si="92">IF(N$87=0,0,N88/N$87)</f>
        <v>0</v>
      </c>
      <c r="P88" s="20">
        <f>SUMIFS('Registre de reserves'!$U$2:$U$1178,'Registre de reserves'!$T$2:$T$1178,"NO",'Registre de reserves'!$I$2:$I$1178,'2023'!$A88,'Registre de reserves'!$B$2:$B$1178,'2023'!P$2,Tabla1[ANY],'2023'!$Z$76)</f>
        <v>0</v>
      </c>
      <c r="Q88" s="21">
        <f t="shared" ref="Q88:Q95" si="93">IF(P$87=0,0,P88/P$87)</f>
        <v>0</v>
      </c>
      <c r="R88" s="20">
        <f>SUMIFS('Registre de reserves'!$U$2:$U$1178,'Registre de reserves'!$T$2:$T$1178,"NO",'Registre de reserves'!$I$2:$I$1178,'2023'!$A88,'Registre de reserves'!$B$2:$B$1178,'2023'!R$2,Tabla1[ANY],'2023'!$Z$76)</f>
        <v>0</v>
      </c>
      <c r="S88" s="21">
        <f t="shared" ref="S88:S95" si="94">IF(R$87=0,0,R88/R$87)</f>
        <v>0</v>
      </c>
      <c r="T88" s="20">
        <f>SUMIFS('Registre de reserves'!$U$2:$U$1178,'Registre de reserves'!$T$2:$T$1178,"NO",'Registre de reserves'!$I$2:$I$1178,'2023'!$A88,'Registre de reserves'!$B$2:$B$1178,'2023'!T$2,Tabla1[ANY],'2023'!$Z$76)</f>
        <v>0</v>
      </c>
      <c r="U88" s="21">
        <f t="shared" ref="U88:U95" si="95">IF(T$87=0,0,T88/T$87)</f>
        <v>0</v>
      </c>
      <c r="V88" s="20">
        <f>SUMIFS('Registre de reserves'!$U$2:$U$1178,'Registre de reserves'!$T$2:$T$1178,"NO",'Registre de reserves'!$I$2:$I$1178,'2023'!$A88,'Registre de reserves'!$B$2:$B$1178,'2023'!V$2,Tabla1[ANY],'2023'!$Z$76)</f>
        <v>0</v>
      </c>
      <c r="W88" s="21">
        <f t="shared" ref="W88:W95" si="96">IF(V$87=0,0,V88/V$87)</f>
        <v>0</v>
      </c>
      <c r="X88" s="20">
        <f>SUMIFS('Registre de reserves'!$U$2:$U$1178,'Registre de reserves'!$T$2:$T$1178,"NO",'Registre de reserves'!$I$2:$I$1178,'2023'!$A88,'Registre de reserves'!$B$2:$B$1178,'2023'!X$2,Tabla1[ANY],'2023'!$Z$76)</f>
        <v>0</v>
      </c>
      <c r="Y88" s="21">
        <f t="shared" ref="Y88:Y95" si="97">IF(X$87=0,0,X88/X$87)</f>
        <v>0</v>
      </c>
      <c r="Z88" s="20">
        <f>B88+D88+F88+H88+J88+L88+N88+P88+R88+T88+V88+X88</f>
        <v>0</v>
      </c>
      <c r="AA88" s="21">
        <f t="shared" ref="AA88:AA95" si="98">IF(Z$87=0,0,Z88/Z$87)</f>
        <v>0</v>
      </c>
    </row>
    <row r="89" spans="1:27" hidden="1" outlineLevel="1" x14ac:dyDescent="0.2">
      <c r="A89" s="8" t="s">
        <v>68</v>
      </c>
      <c r="B89" s="20">
        <f>SUMIFS('Registre de reserves'!$U$2:$U$1178,'Registre de reserves'!$T$2:$T$1178,"NO",'Registre de reserves'!$I$2:$I$1178,'2023'!$A89,'Registre de reserves'!$B$2:$B$1178,'2023'!B$2,Tabla1[ANY],'2023'!$Z$76)</f>
        <v>0</v>
      </c>
      <c r="C89" s="21">
        <f t="shared" ref="C89:E94" si="99">IF(B$87=0,0,B89/B$87)</f>
        <v>0</v>
      </c>
      <c r="D89" s="20">
        <f>SUMIFS('Registre de reserves'!$U$2:$U$1178,'Registre de reserves'!$T$2:$T$1178,"NO",'Registre de reserves'!$I$2:$I$1178,'2023'!$A89,'Registre de reserves'!$B$2:$B$1178,'2023'!D$2,Tabla1[ANY],'2023'!$Z$76)</f>
        <v>0</v>
      </c>
      <c r="E89" s="21">
        <f t="shared" si="99"/>
        <v>0</v>
      </c>
      <c r="F89" s="20">
        <f>SUMIFS('Registre de reserves'!$U$2:$U$1178,'Registre de reserves'!$T$2:$T$1178,"NO",'Registre de reserves'!$I$2:$I$1178,'2023'!$A89,'Registre de reserves'!$B$2:$B$1178,'2023'!F$2,Tabla1[ANY],'2023'!$Z$76)</f>
        <v>0</v>
      </c>
      <c r="G89" s="21">
        <f t="shared" si="88"/>
        <v>0</v>
      </c>
      <c r="H89" s="20">
        <f>SUMIFS('Registre de reserves'!$U$2:$U$1178,'Registre de reserves'!$T$2:$T$1178,"NO",'Registre de reserves'!$I$2:$I$1178,'2023'!$A89,'Registre de reserves'!$B$2:$B$1178,'2023'!H$2,Tabla1[ANY],'2023'!$Z$76)</f>
        <v>0</v>
      </c>
      <c r="I89" s="21">
        <f t="shared" si="89"/>
        <v>0</v>
      </c>
      <c r="J89" s="20">
        <f>SUMIFS('Registre de reserves'!$U$2:$U$1178,'Registre de reserves'!$T$2:$T$1178,"NO",'Registre de reserves'!$I$2:$I$1178,'2023'!$A89,'Registre de reserves'!$B$2:$B$1178,'2023'!J$2,Tabla1[ANY],'2023'!$Z$76)</f>
        <v>0</v>
      </c>
      <c r="K89" s="21">
        <f t="shared" si="90"/>
        <v>0</v>
      </c>
      <c r="L89" s="20">
        <f>SUMIFS('Registre de reserves'!$U$2:$U$1178,'Registre de reserves'!$T$2:$T$1178,"NO",'Registre de reserves'!$I$2:$I$1178,'2023'!$A89,'Registre de reserves'!$B$2:$B$1178,'2023'!L$2,Tabla1[ANY],'2023'!$Z$76)</f>
        <v>0</v>
      </c>
      <c r="M89" s="21">
        <f t="shared" si="91"/>
        <v>0</v>
      </c>
      <c r="N89" s="20">
        <f>SUMIFS('Registre de reserves'!$U$2:$U$1178,'Registre de reserves'!$T$2:$T$1178,"NO",'Registre de reserves'!$I$2:$I$1178,'2023'!$A89,'Registre de reserves'!$B$2:$B$1178,'2023'!N$2,Tabla1[ANY],'2023'!$Z$76)</f>
        <v>0</v>
      </c>
      <c r="O89" s="21">
        <f t="shared" si="92"/>
        <v>0</v>
      </c>
      <c r="P89" s="20">
        <f>SUMIFS('Registre de reserves'!$U$2:$U$1178,'Registre de reserves'!$T$2:$T$1178,"NO",'Registre de reserves'!$I$2:$I$1178,'2023'!$A89,'Registre de reserves'!$B$2:$B$1178,'2023'!P$2,Tabla1[ANY],'2023'!$Z$76)</f>
        <v>0</v>
      </c>
      <c r="Q89" s="21">
        <f t="shared" si="93"/>
        <v>0</v>
      </c>
      <c r="R89" s="20">
        <f>SUMIFS('Registre de reserves'!$U$2:$U$1178,'Registre de reserves'!$T$2:$T$1178,"NO",'Registre de reserves'!$I$2:$I$1178,'2023'!$A89,'Registre de reserves'!$B$2:$B$1178,'2023'!R$2,Tabla1[ANY],'2023'!$Z$76)</f>
        <v>0</v>
      </c>
      <c r="S89" s="21">
        <f t="shared" si="94"/>
        <v>0</v>
      </c>
      <c r="T89" s="20">
        <f>SUMIFS('Registre de reserves'!$U$2:$U$1178,'Registre de reserves'!$T$2:$T$1178,"NO",'Registre de reserves'!$I$2:$I$1178,'2023'!$A89,'Registre de reserves'!$B$2:$B$1178,'2023'!T$2,Tabla1[ANY],'2023'!$Z$76)</f>
        <v>0</v>
      </c>
      <c r="U89" s="21">
        <f t="shared" si="95"/>
        <v>0</v>
      </c>
      <c r="V89" s="20">
        <f>SUMIFS('Registre de reserves'!$U$2:$U$1178,'Registre de reserves'!$T$2:$T$1178,"NO",'Registre de reserves'!$I$2:$I$1178,'2023'!$A89,'Registre de reserves'!$B$2:$B$1178,'2023'!V$2,Tabla1[ANY],'2023'!$Z$76)</f>
        <v>0</v>
      </c>
      <c r="W89" s="21">
        <f t="shared" si="96"/>
        <v>0</v>
      </c>
      <c r="X89" s="20">
        <f>SUMIFS('Registre de reserves'!$U$2:$U$1178,'Registre de reserves'!$T$2:$T$1178,"NO",'Registre de reserves'!$I$2:$I$1178,'2023'!$A89,'Registre de reserves'!$B$2:$B$1178,'2023'!X$2,Tabla1[ANY],'2023'!$Z$76)</f>
        <v>0</v>
      </c>
      <c r="Y89" s="21">
        <f t="shared" si="97"/>
        <v>0</v>
      </c>
      <c r="Z89" s="20">
        <f t="shared" ref="Z89:Z113" si="100">B89+D89+F89+H89+J89+L89+N89+P89+R89+T89+V89+X89</f>
        <v>0</v>
      </c>
      <c r="AA89" s="21">
        <f t="shared" si="98"/>
        <v>0</v>
      </c>
    </row>
    <row r="90" spans="1:27" hidden="1" outlineLevel="1" x14ac:dyDescent="0.2">
      <c r="A90" s="8" t="s">
        <v>4</v>
      </c>
      <c r="B90" s="20">
        <f>SUMIFS('Registre de reserves'!$U$2:$U$1178,'Registre de reserves'!$T$2:$T$1178,"NO",'Registre de reserves'!$I$2:$I$1178,'2023'!$A90,'Registre de reserves'!$B$2:$B$1178,'2023'!B$2,Tabla1[ANY],'2023'!$Z$76)</f>
        <v>0</v>
      </c>
      <c r="C90" s="21">
        <f t="shared" si="99"/>
        <v>0</v>
      </c>
      <c r="D90" s="20">
        <f>SUMIFS('Registre de reserves'!$U$2:$U$1178,'Registre de reserves'!$T$2:$T$1178,"NO",'Registre de reserves'!$I$2:$I$1178,'2023'!$A90,'Registre de reserves'!$B$2:$B$1178,'2023'!D$2,Tabla1[ANY],'2023'!$Z$76)</f>
        <v>0</v>
      </c>
      <c r="E90" s="21">
        <f t="shared" si="99"/>
        <v>0</v>
      </c>
      <c r="F90" s="20">
        <f>SUMIFS('Registre de reserves'!$U$2:$U$1178,'Registre de reserves'!$T$2:$T$1178,"NO",'Registre de reserves'!$I$2:$I$1178,'2023'!$A90,'Registre de reserves'!$B$2:$B$1178,'2023'!F$2,Tabla1[ANY],'2023'!$Z$76)</f>
        <v>0</v>
      </c>
      <c r="G90" s="21">
        <f t="shared" si="88"/>
        <v>0</v>
      </c>
      <c r="H90" s="20">
        <f>SUMIFS('Registre de reserves'!$U$2:$U$1178,'Registre de reserves'!$T$2:$T$1178,"NO",'Registre de reserves'!$I$2:$I$1178,'2023'!$A90,'Registre de reserves'!$B$2:$B$1178,'2023'!H$2,Tabla1[ANY],'2023'!$Z$76)</f>
        <v>0</v>
      </c>
      <c r="I90" s="21">
        <f t="shared" si="89"/>
        <v>0</v>
      </c>
      <c r="J90" s="20">
        <f>SUMIFS('Registre de reserves'!$U$2:$U$1178,'Registre de reserves'!$T$2:$T$1178,"NO",'Registre de reserves'!$I$2:$I$1178,'2023'!$A90,'Registre de reserves'!$B$2:$B$1178,'2023'!J$2,Tabla1[ANY],'2023'!$Z$76)</f>
        <v>0</v>
      </c>
      <c r="K90" s="21">
        <f t="shared" si="90"/>
        <v>0</v>
      </c>
      <c r="L90" s="20">
        <f>SUMIFS('Registre de reserves'!$U$2:$U$1178,'Registre de reserves'!$T$2:$T$1178,"NO",'Registre de reserves'!$I$2:$I$1178,'2023'!$A90,'Registre de reserves'!$B$2:$B$1178,'2023'!L$2,Tabla1[ANY],'2023'!$Z$76)</f>
        <v>0</v>
      </c>
      <c r="M90" s="21">
        <f t="shared" si="91"/>
        <v>0</v>
      </c>
      <c r="N90" s="20">
        <f>SUMIFS('Registre de reserves'!$U$2:$U$1178,'Registre de reserves'!$T$2:$T$1178,"NO",'Registre de reserves'!$I$2:$I$1178,'2023'!$A90,'Registre de reserves'!$B$2:$B$1178,'2023'!N$2,Tabla1[ANY],'2023'!$Z$76)</f>
        <v>0</v>
      </c>
      <c r="O90" s="21">
        <f t="shared" si="92"/>
        <v>0</v>
      </c>
      <c r="P90" s="20">
        <f>SUMIFS('Registre de reserves'!$U$2:$U$1178,'Registre de reserves'!$T$2:$T$1178,"NO",'Registre de reserves'!$I$2:$I$1178,'2023'!$A90,'Registre de reserves'!$B$2:$B$1178,'2023'!P$2,Tabla1[ANY],'2023'!$Z$76)</f>
        <v>0</v>
      </c>
      <c r="Q90" s="21">
        <f t="shared" si="93"/>
        <v>0</v>
      </c>
      <c r="R90" s="20">
        <f>SUMIFS('Registre de reserves'!$U$2:$U$1178,'Registre de reserves'!$T$2:$T$1178,"NO",'Registre de reserves'!$I$2:$I$1178,'2023'!$A90,'Registre de reserves'!$B$2:$B$1178,'2023'!R$2,Tabla1[ANY],'2023'!$Z$76)</f>
        <v>0</v>
      </c>
      <c r="S90" s="21">
        <f t="shared" si="94"/>
        <v>0</v>
      </c>
      <c r="T90" s="20">
        <f>SUMIFS('Registre de reserves'!$U$2:$U$1178,'Registre de reserves'!$T$2:$T$1178,"NO",'Registre de reserves'!$I$2:$I$1178,'2023'!$A90,'Registre de reserves'!$B$2:$B$1178,'2023'!T$2,Tabla1[ANY],'2023'!$Z$76)</f>
        <v>0</v>
      </c>
      <c r="U90" s="21">
        <f t="shared" si="95"/>
        <v>0</v>
      </c>
      <c r="V90" s="20">
        <f>SUMIFS('Registre de reserves'!$U$2:$U$1178,'Registre de reserves'!$T$2:$T$1178,"NO",'Registre de reserves'!$I$2:$I$1178,'2023'!$A90,'Registre de reserves'!$B$2:$B$1178,'2023'!V$2,Tabla1[ANY],'2023'!$Z$76)</f>
        <v>0</v>
      </c>
      <c r="W90" s="21">
        <f t="shared" si="96"/>
        <v>0</v>
      </c>
      <c r="X90" s="20">
        <f>SUMIFS('Registre de reserves'!$U$2:$U$1178,'Registre de reserves'!$T$2:$T$1178,"NO",'Registre de reserves'!$I$2:$I$1178,'2023'!$A90,'Registre de reserves'!$B$2:$B$1178,'2023'!X$2,Tabla1[ANY],'2023'!$Z$76)</f>
        <v>0</v>
      </c>
      <c r="Y90" s="21">
        <f t="shared" si="97"/>
        <v>0</v>
      </c>
      <c r="Z90" s="20">
        <f t="shared" si="100"/>
        <v>0</v>
      </c>
      <c r="AA90" s="21">
        <f t="shared" si="98"/>
        <v>0</v>
      </c>
    </row>
    <row r="91" spans="1:27" hidden="1" outlineLevel="1" x14ac:dyDescent="0.2">
      <c r="A91" s="8" t="s">
        <v>71</v>
      </c>
      <c r="B91" s="20">
        <f>SUMIFS('Registre de reserves'!$U$2:$U$1178,'Registre de reserves'!$T$2:$T$1178,"NO",'Registre de reserves'!$I$2:$I$1178,'2023'!$A91,'Registre de reserves'!$B$2:$B$1178,'2023'!B$2,Tabla1[ANY],'2023'!$Z$76)</f>
        <v>0</v>
      </c>
      <c r="C91" s="21">
        <f t="shared" si="99"/>
        <v>0</v>
      </c>
      <c r="D91" s="20">
        <f>SUMIFS('Registre de reserves'!$U$2:$U$1178,'Registre de reserves'!$T$2:$T$1178,"NO",'Registre de reserves'!$I$2:$I$1178,'2023'!$A91,'Registre de reserves'!$B$2:$B$1178,'2023'!D$2,Tabla1[ANY],'2023'!$Z$76)</f>
        <v>0</v>
      </c>
      <c r="E91" s="21">
        <f>IF(D$87=0,0,D91/D$87)</f>
        <v>0</v>
      </c>
      <c r="F91" s="20">
        <f>SUMIFS('Registre de reserves'!$U$2:$U$1178,'Registre de reserves'!$T$2:$T$1178,"NO",'Registre de reserves'!$I$2:$I$1178,'2023'!$A91,'Registre de reserves'!$B$2:$B$1178,'2023'!F$2,Tabla1[ANY],'2023'!$Z$76)</f>
        <v>0</v>
      </c>
      <c r="G91" s="21">
        <f t="shared" si="88"/>
        <v>0</v>
      </c>
      <c r="H91" s="20">
        <f>SUMIFS('Registre de reserves'!$U$2:$U$1178,'Registre de reserves'!$T$2:$T$1178,"NO",'Registre de reserves'!$I$2:$I$1178,'2023'!$A91,'Registre de reserves'!$B$2:$B$1178,'2023'!H$2,Tabla1[ANY],'2023'!$Z$76)</f>
        <v>0</v>
      </c>
      <c r="I91" s="21">
        <f t="shared" si="89"/>
        <v>0</v>
      </c>
      <c r="J91" s="20">
        <f>SUMIFS('Registre de reserves'!$U$2:$U$1178,'Registre de reserves'!$T$2:$T$1178,"NO",'Registre de reserves'!$I$2:$I$1178,'2023'!$A91,'Registre de reserves'!$B$2:$B$1178,'2023'!J$2,Tabla1[ANY],'2023'!$Z$76)</f>
        <v>0</v>
      </c>
      <c r="K91" s="21">
        <f t="shared" si="90"/>
        <v>0</v>
      </c>
      <c r="L91" s="20">
        <f>SUMIFS('Registre de reserves'!$U$2:$U$1178,'Registre de reserves'!$T$2:$T$1178,"NO",'Registre de reserves'!$I$2:$I$1178,'2023'!$A91,'Registre de reserves'!$B$2:$B$1178,'2023'!L$2,Tabla1[ANY],'2023'!$Z$76)</f>
        <v>0</v>
      </c>
      <c r="M91" s="21">
        <f t="shared" si="91"/>
        <v>0</v>
      </c>
      <c r="N91" s="20">
        <f>SUMIFS('Registre de reserves'!$U$2:$U$1178,'Registre de reserves'!$T$2:$T$1178,"NO",'Registre de reserves'!$I$2:$I$1178,'2023'!$A91,'Registre de reserves'!$B$2:$B$1178,'2023'!N$2,Tabla1[ANY],'2023'!$Z$76)</f>
        <v>0</v>
      </c>
      <c r="O91" s="21">
        <f t="shared" si="92"/>
        <v>0</v>
      </c>
      <c r="P91" s="20">
        <f>SUMIFS('Registre de reserves'!$U$2:$U$1178,'Registre de reserves'!$T$2:$T$1178,"NO",'Registre de reserves'!$I$2:$I$1178,'2023'!$A91,'Registre de reserves'!$B$2:$B$1178,'2023'!P$2,Tabla1[ANY],'2023'!$Z$76)</f>
        <v>0</v>
      </c>
      <c r="Q91" s="21">
        <f t="shared" si="93"/>
        <v>0</v>
      </c>
      <c r="R91" s="20">
        <f>SUMIFS('Registre de reserves'!$U$2:$U$1178,'Registre de reserves'!$T$2:$T$1178,"NO",'Registre de reserves'!$I$2:$I$1178,'2023'!$A91,'Registre de reserves'!$B$2:$B$1178,'2023'!R$2,Tabla1[ANY],'2023'!$Z$76)</f>
        <v>0</v>
      </c>
      <c r="S91" s="21">
        <f t="shared" si="94"/>
        <v>0</v>
      </c>
      <c r="T91" s="20">
        <f>SUMIFS('Registre de reserves'!$U$2:$U$1178,'Registre de reserves'!$T$2:$T$1178,"NO",'Registre de reserves'!$I$2:$I$1178,'2023'!$A91,'Registre de reserves'!$B$2:$B$1178,'2023'!T$2,Tabla1[ANY],'2023'!$Z$76)</f>
        <v>0</v>
      </c>
      <c r="U91" s="21">
        <f t="shared" si="95"/>
        <v>0</v>
      </c>
      <c r="V91" s="20">
        <f>SUMIFS('Registre de reserves'!$U$2:$U$1178,'Registre de reserves'!$T$2:$T$1178,"NO",'Registre de reserves'!$I$2:$I$1178,'2023'!$A91,'Registre de reserves'!$B$2:$B$1178,'2023'!V$2,Tabla1[ANY],'2023'!$Z$76)</f>
        <v>0</v>
      </c>
      <c r="W91" s="21">
        <f t="shared" si="96"/>
        <v>0</v>
      </c>
      <c r="X91" s="20">
        <f>SUMIFS('Registre de reserves'!$U$2:$U$1178,'Registre de reserves'!$T$2:$T$1178,"NO",'Registre de reserves'!$I$2:$I$1178,'2023'!$A91,'Registre de reserves'!$B$2:$B$1178,'2023'!X$2,Tabla1[ANY],'2023'!$Z$76)</f>
        <v>0</v>
      </c>
      <c r="Y91" s="21">
        <f t="shared" si="97"/>
        <v>0</v>
      </c>
      <c r="Z91" s="20">
        <f t="shared" si="100"/>
        <v>0</v>
      </c>
      <c r="AA91" s="21">
        <f t="shared" si="98"/>
        <v>0</v>
      </c>
    </row>
    <row r="92" spans="1:27" hidden="1" outlineLevel="1" x14ac:dyDescent="0.2">
      <c r="A92" s="8" t="s">
        <v>72</v>
      </c>
      <c r="B92" s="20">
        <f>SUMIFS('Registre de reserves'!$U$2:$U$1178,'Registre de reserves'!$T$2:$T$1178,"NO",'Registre de reserves'!$I$2:$I$1178,'2023'!$A92,'Registre de reserves'!$B$2:$B$1178,'2023'!B$2,Tabla1[ANY],'2023'!$Z$76)</f>
        <v>0</v>
      </c>
      <c r="C92" s="21">
        <f t="shared" si="99"/>
        <v>0</v>
      </c>
      <c r="D92" s="20">
        <f>SUMIFS('Registre de reserves'!$U$2:$U$1178,'Registre de reserves'!$T$2:$T$1178,"NO",'Registre de reserves'!$I$2:$I$1178,'2023'!$A92,'Registre de reserves'!$B$2:$B$1178,'2023'!D$2,Tabla1[ANY],'2023'!$Z$76)</f>
        <v>0</v>
      </c>
      <c r="E92" s="21">
        <f t="shared" si="99"/>
        <v>0</v>
      </c>
      <c r="F92" s="20">
        <f>SUMIFS('Registre de reserves'!$U$2:$U$1178,'Registre de reserves'!$T$2:$T$1178,"NO",'Registre de reserves'!$I$2:$I$1178,'2023'!$A92,'Registre de reserves'!$B$2:$B$1178,'2023'!F$2,Tabla1[ANY],'2023'!$Z$76)</f>
        <v>0</v>
      </c>
      <c r="G92" s="21">
        <f t="shared" si="88"/>
        <v>0</v>
      </c>
      <c r="H92" s="20">
        <f>SUMIFS('Registre de reserves'!$U$2:$U$1178,'Registre de reserves'!$T$2:$T$1178,"NO",'Registre de reserves'!$I$2:$I$1178,'2023'!$A92,'Registre de reserves'!$B$2:$B$1178,'2023'!H$2,Tabla1[ANY],'2023'!$Z$76)</f>
        <v>0</v>
      </c>
      <c r="I92" s="21">
        <f t="shared" si="89"/>
        <v>0</v>
      </c>
      <c r="J92" s="20">
        <f>SUMIFS('Registre de reserves'!$U$2:$U$1178,'Registre de reserves'!$T$2:$T$1178,"NO",'Registre de reserves'!$I$2:$I$1178,'2023'!$A92,'Registre de reserves'!$B$2:$B$1178,'2023'!J$2,Tabla1[ANY],'2023'!$Z$76)</f>
        <v>0</v>
      </c>
      <c r="K92" s="21">
        <f t="shared" si="90"/>
        <v>0</v>
      </c>
      <c r="L92" s="20">
        <f>SUMIFS('Registre de reserves'!$U$2:$U$1178,'Registre de reserves'!$T$2:$T$1178,"NO",'Registre de reserves'!$I$2:$I$1178,'2023'!$A92,'Registre de reserves'!$B$2:$B$1178,'2023'!L$2,Tabla1[ANY],'2023'!$Z$76)</f>
        <v>0</v>
      </c>
      <c r="M92" s="21">
        <f t="shared" si="91"/>
        <v>0</v>
      </c>
      <c r="N92" s="20">
        <f>SUMIFS('Registre de reserves'!$U$2:$U$1178,'Registre de reserves'!$T$2:$T$1178,"NO",'Registre de reserves'!$I$2:$I$1178,'2023'!$A92,'Registre de reserves'!$B$2:$B$1178,'2023'!N$2,Tabla1[ANY],'2023'!$Z$76)</f>
        <v>0</v>
      </c>
      <c r="O92" s="21">
        <f t="shared" si="92"/>
        <v>0</v>
      </c>
      <c r="P92" s="20">
        <f>SUMIFS('Registre de reserves'!$U$2:$U$1178,'Registre de reserves'!$T$2:$T$1178,"NO",'Registre de reserves'!$I$2:$I$1178,'2023'!$A92,'Registre de reserves'!$B$2:$B$1178,'2023'!P$2,Tabla1[ANY],'2023'!$Z$76)</f>
        <v>0</v>
      </c>
      <c r="Q92" s="21">
        <f t="shared" si="93"/>
        <v>0</v>
      </c>
      <c r="R92" s="20">
        <f>SUMIFS('Registre de reserves'!$U$2:$U$1178,'Registre de reserves'!$T$2:$T$1178,"NO",'Registre de reserves'!$I$2:$I$1178,'2023'!$A92,'Registre de reserves'!$B$2:$B$1178,'2023'!R$2,Tabla1[ANY],'2023'!$Z$76)</f>
        <v>0</v>
      </c>
      <c r="S92" s="21">
        <f t="shared" si="94"/>
        <v>0</v>
      </c>
      <c r="T92" s="20">
        <f>SUMIFS('Registre de reserves'!$U$2:$U$1178,'Registre de reserves'!$T$2:$T$1178,"NO",'Registre de reserves'!$I$2:$I$1178,'2023'!$A92,'Registre de reserves'!$B$2:$B$1178,'2023'!T$2,Tabla1[ANY],'2023'!$Z$76)</f>
        <v>0</v>
      </c>
      <c r="U92" s="21">
        <f t="shared" si="95"/>
        <v>0</v>
      </c>
      <c r="V92" s="20">
        <f>SUMIFS('Registre de reserves'!$U$2:$U$1178,'Registre de reserves'!$T$2:$T$1178,"NO",'Registre de reserves'!$I$2:$I$1178,'2023'!$A92,'Registre de reserves'!$B$2:$B$1178,'2023'!V$2,Tabla1[ANY],'2023'!$Z$76)</f>
        <v>0</v>
      </c>
      <c r="W92" s="21">
        <f t="shared" si="96"/>
        <v>0</v>
      </c>
      <c r="X92" s="20">
        <f>SUMIFS('Registre de reserves'!$U$2:$U$1178,'Registre de reserves'!$T$2:$T$1178,"NO",'Registre de reserves'!$I$2:$I$1178,'2023'!$A92,'Registre de reserves'!$B$2:$B$1178,'2023'!X$2,Tabla1[ANY],'2023'!$Z$76)</f>
        <v>0</v>
      </c>
      <c r="Y92" s="21">
        <f t="shared" si="97"/>
        <v>0</v>
      </c>
      <c r="Z92" s="20">
        <f t="shared" si="100"/>
        <v>0</v>
      </c>
      <c r="AA92" s="21">
        <f t="shared" si="98"/>
        <v>0</v>
      </c>
    </row>
    <row r="93" spans="1:27" hidden="1" outlineLevel="1" x14ac:dyDescent="0.2">
      <c r="A93" s="8" t="s">
        <v>69</v>
      </c>
      <c r="B93" s="20">
        <f>SUMIFS('Registre de reserves'!$U$2:$U$1178,'Registre de reserves'!$T$2:$T$1178,"NO",'Registre de reserves'!$I$2:$I$1178,'2023'!$A93,'Registre de reserves'!$B$2:$B$1178,'2023'!B$2,Tabla1[ANY],'2023'!$Z$76)</f>
        <v>0</v>
      </c>
      <c r="C93" s="21">
        <f t="shared" si="99"/>
        <v>0</v>
      </c>
      <c r="D93" s="20">
        <f>SUMIFS('Registre de reserves'!$U$2:$U$1178,'Registre de reserves'!$T$2:$T$1178,"NO",'Registre de reserves'!$I$2:$I$1178,'2023'!$A93,'Registre de reserves'!$B$2:$B$1178,'2023'!D$2,Tabla1[ANY],'2023'!$Z$76)</f>
        <v>0</v>
      </c>
      <c r="E93" s="21">
        <f t="shared" si="99"/>
        <v>0</v>
      </c>
      <c r="F93" s="20">
        <f>SUMIFS('Registre de reserves'!$U$2:$U$1178,'Registre de reserves'!$T$2:$T$1178,"NO",'Registre de reserves'!$I$2:$I$1178,'2023'!$A93,'Registre de reserves'!$B$2:$B$1178,'2023'!F$2,Tabla1[ANY],'2023'!$Z$76)</f>
        <v>0</v>
      </c>
      <c r="G93" s="21">
        <f t="shared" si="88"/>
        <v>0</v>
      </c>
      <c r="H93" s="20">
        <f>SUMIFS('Registre de reserves'!$U$2:$U$1178,'Registre de reserves'!$T$2:$T$1178,"NO",'Registre de reserves'!$I$2:$I$1178,'2023'!$A93,'Registre de reserves'!$B$2:$B$1178,'2023'!H$2,Tabla1[ANY],'2023'!$Z$76)</f>
        <v>0</v>
      </c>
      <c r="I93" s="21">
        <f t="shared" si="89"/>
        <v>0</v>
      </c>
      <c r="J93" s="20">
        <f>SUMIFS('Registre de reserves'!$U$2:$U$1178,'Registre de reserves'!$T$2:$T$1178,"NO",'Registre de reserves'!$I$2:$I$1178,'2023'!$A93,'Registre de reserves'!$B$2:$B$1178,'2023'!J$2,Tabla1[ANY],'2023'!$Z$76)</f>
        <v>0</v>
      </c>
      <c r="K93" s="21">
        <f t="shared" si="90"/>
        <v>0</v>
      </c>
      <c r="L93" s="20">
        <f>SUMIFS('Registre de reserves'!$U$2:$U$1178,'Registre de reserves'!$T$2:$T$1178,"NO",'Registre de reserves'!$I$2:$I$1178,'2023'!$A93,'Registre de reserves'!$B$2:$B$1178,'2023'!L$2,Tabla1[ANY],'2023'!$Z$76)</f>
        <v>0</v>
      </c>
      <c r="M93" s="21">
        <f t="shared" si="91"/>
        <v>0</v>
      </c>
      <c r="N93" s="20">
        <f>SUMIFS('Registre de reserves'!$U$2:$U$1178,'Registre de reserves'!$T$2:$T$1178,"NO",'Registre de reserves'!$I$2:$I$1178,'2023'!$A93,'Registre de reserves'!$B$2:$B$1178,'2023'!N$2,Tabla1[ANY],'2023'!$Z$76)</f>
        <v>0</v>
      </c>
      <c r="O93" s="21">
        <f t="shared" si="92"/>
        <v>0</v>
      </c>
      <c r="P93" s="20">
        <f>SUMIFS('Registre de reserves'!$U$2:$U$1178,'Registre de reserves'!$T$2:$T$1178,"NO",'Registre de reserves'!$I$2:$I$1178,'2023'!$A93,'Registre de reserves'!$B$2:$B$1178,'2023'!P$2,Tabla1[ANY],'2023'!$Z$76)</f>
        <v>0</v>
      </c>
      <c r="Q93" s="21">
        <f t="shared" si="93"/>
        <v>0</v>
      </c>
      <c r="R93" s="20">
        <f>SUMIFS('Registre de reserves'!$U$2:$U$1178,'Registre de reserves'!$T$2:$T$1178,"NO",'Registre de reserves'!$I$2:$I$1178,'2023'!$A93,'Registre de reserves'!$B$2:$B$1178,'2023'!R$2,Tabla1[ANY],'2023'!$Z$76)</f>
        <v>0</v>
      </c>
      <c r="S93" s="21">
        <f t="shared" si="94"/>
        <v>0</v>
      </c>
      <c r="T93" s="20">
        <f>SUMIFS('Registre de reserves'!$U$2:$U$1178,'Registre de reserves'!$T$2:$T$1178,"NO",'Registre de reserves'!$I$2:$I$1178,'2023'!$A93,'Registre de reserves'!$B$2:$B$1178,'2023'!T$2,Tabla1[ANY],'2023'!$Z$76)</f>
        <v>0</v>
      </c>
      <c r="U93" s="21">
        <f t="shared" si="95"/>
        <v>0</v>
      </c>
      <c r="V93" s="20">
        <f>SUMIFS('Registre de reserves'!$U$2:$U$1178,'Registre de reserves'!$T$2:$T$1178,"NO",'Registre de reserves'!$I$2:$I$1178,'2023'!$A93,'Registre de reserves'!$B$2:$B$1178,'2023'!V$2,Tabla1[ANY],'2023'!$Z$76)</f>
        <v>0</v>
      </c>
      <c r="W93" s="21">
        <f t="shared" si="96"/>
        <v>0</v>
      </c>
      <c r="X93" s="20">
        <f>SUMIFS('Registre de reserves'!$U$2:$U$1178,'Registre de reserves'!$T$2:$T$1178,"NO",'Registre de reserves'!$I$2:$I$1178,'2023'!$A93,'Registre de reserves'!$B$2:$B$1178,'2023'!X$2,Tabla1[ANY],'2023'!$Z$76)</f>
        <v>0</v>
      </c>
      <c r="Y93" s="21">
        <f t="shared" si="97"/>
        <v>0</v>
      </c>
      <c r="Z93" s="20">
        <f t="shared" si="100"/>
        <v>0</v>
      </c>
      <c r="AA93" s="21">
        <f t="shared" si="98"/>
        <v>0</v>
      </c>
    </row>
    <row r="94" spans="1:27" hidden="1" outlineLevel="1" x14ac:dyDescent="0.2">
      <c r="A94" s="8" t="s">
        <v>70</v>
      </c>
      <c r="B94" s="20">
        <f>SUMIFS('Registre de reserves'!$U$2:$U$1178,'Registre de reserves'!$T$2:$T$1178,"NO",'Registre de reserves'!$I$2:$I$1178,'2023'!$A94,'Registre de reserves'!$B$2:$B$1178,'2023'!B$2,Tabla1[ANY],'2023'!$Z$76)</f>
        <v>0</v>
      </c>
      <c r="C94" s="21">
        <f t="shared" si="99"/>
        <v>0</v>
      </c>
      <c r="D94" s="20">
        <f>SUMIFS('Registre de reserves'!$U$2:$U$1178,'Registre de reserves'!$T$2:$T$1178,"NO",'Registre de reserves'!$I$2:$I$1178,'2023'!$A94,'Registre de reserves'!$B$2:$B$1178,'2023'!D$2,Tabla1[ANY],'2023'!$Z$76)</f>
        <v>0</v>
      </c>
      <c r="E94" s="21">
        <f t="shared" si="99"/>
        <v>0</v>
      </c>
      <c r="F94" s="20">
        <f>SUMIFS('Registre de reserves'!$U$2:$U$1178,'Registre de reserves'!$T$2:$T$1178,"NO",'Registre de reserves'!$I$2:$I$1178,'2023'!$A94,'Registre de reserves'!$B$2:$B$1178,'2023'!F$2,Tabla1[ANY],'2023'!$Z$76)</f>
        <v>0</v>
      </c>
      <c r="G94" s="21">
        <f t="shared" si="88"/>
        <v>0</v>
      </c>
      <c r="H94" s="20">
        <f>SUMIFS('Registre de reserves'!$U$2:$U$1178,'Registre de reserves'!$T$2:$T$1178,"NO",'Registre de reserves'!$I$2:$I$1178,'2023'!$A94,'Registre de reserves'!$B$2:$B$1178,'2023'!H$2,Tabla1[ANY],'2023'!$Z$76)</f>
        <v>0</v>
      </c>
      <c r="I94" s="21">
        <f t="shared" si="89"/>
        <v>0</v>
      </c>
      <c r="J94" s="20">
        <f>SUMIFS('Registre de reserves'!$U$2:$U$1178,'Registre de reserves'!$T$2:$T$1178,"NO",'Registre de reserves'!$I$2:$I$1178,'2023'!$A94,'Registre de reserves'!$B$2:$B$1178,'2023'!J$2,Tabla1[ANY],'2023'!$Z$76)</f>
        <v>0</v>
      </c>
      <c r="K94" s="21">
        <f t="shared" si="90"/>
        <v>0</v>
      </c>
      <c r="L94" s="20">
        <f>SUMIFS('Registre de reserves'!$U$2:$U$1178,'Registre de reserves'!$T$2:$T$1178,"NO",'Registre de reserves'!$I$2:$I$1178,'2023'!$A94,'Registre de reserves'!$B$2:$B$1178,'2023'!L$2,Tabla1[ANY],'2023'!$Z$76)</f>
        <v>0</v>
      </c>
      <c r="M94" s="21">
        <f t="shared" si="91"/>
        <v>0</v>
      </c>
      <c r="N94" s="20">
        <f>SUMIFS('Registre de reserves'!$U$2:$U$1178,'Registre de reserves'!$T$2:$T$1178,"NO",'Registre de reserves'!$I$2:$I$1178,'2023'!$A94,'Registre de reserves'!$B$2:$B$1178,'2023'!N$2,Tabla1[ANY],'2023'!$Z$76)</f>
        <v>0</v>
      </c>
      <c r="O94" s="21">
        <f t="shared" si="92"/>
        <v>0</v>
      </c>
      <c r="P94" s="20">
        <f>SUMIFS('Registre de reserves'!$U$2:$U$1178,'Registre de reserves'!$T$2:$T$1178,"NO",'Registre de reserves'!$I$2:$I$1178,'2023'!$A94,'Registre de reserves'!$B$2:$B$1178,'2023'!P$2,Tabla1[ANY],'2023'!$Z$76)</f>
        <v>0</v>
      </c>
      <c r="Q94" s="21">
        <f t="shared" si="93"/>
        <v>0</v>
      </c>
      <c r="R94" s="20">
        <f>SUMIFS('Registre de reserves'!$U$2:$U$1178,'Registre de reserves'!$T$2:$T$1178,"NO",'Registre de reserves'!$I$2:$I$1178,'2023'!$A94,'Registre de reserves'!$B$2:$B$1178,'2023'!R$2,Tabla1[ANY],'2023'!$Z$76)</f>
        <v>0</v>
      </c>
      <c r="S94" s="21">
        <f t="shared" si="94"/>
        <v>0</v>
      </c>
      <c r="T94" s="20">
        <f>SUMIFS('Registre de reserves'!$U$2:$U$1178,'Registre de reserves'!$T$2:$T$1178,"NO",'Registre de reserves'!$I$2:$I$1178,'2023'!$A94,'Registre de reserves'!$B$2:$B$1178,'2023'!T$2,Tabla1[ANY],'2023'!$Z$76)</f>
        <v>0</v>
      </c>
      <c r="U94" s="21">
        <f t="shared" si="95"/>
        <v>0</v>
      </c>
      <c r="V94" s="20">
        <f>SUMIFS('Registre de reserves'!$U$2:$U$1178,'Registre de reserves'!$T$2:$T$1178,"NO",'Registre de reserves'!$I$2:$I$1178,'2023'!$A94,'Registre de reserves'!$B$2:$B$1178,'2023'!V$2,Tabla1[ANY],'2023'!$Z$76)</f>
        <v>0</v>
      </c>
      <c r="W94" s="21">
        <f t="shared" si="96"/>
        <v>0</v>
      </c>
      <c r="X94" s="20">
        <f>SUMIFS('Registre de reserves'!$U$2:$U$1178,'Registre de reserves'!$T$2:$T$1178,"NO",'Registre de reserves'!$I$2:$I$1178,'2023'!$A94,'Registre de reserves'!$B$2:$B$1178,'2023'!X$2,Tabla1[ANY],'2023'!$Z$76)</f>
        <v>0</v>
      </c>
      <c r="Y94" s="21">
        <f t="shared" si="97"/>
        <v>0</v>
      </c>
      <c r="Z94" s="20">
        <f t="shared" si="100"/>
        <v>0</v>
      </c>
      <c r="AA94" s="21">
        <f t="shared" si="98"/>
        <v>0</v>
      </c>
    </row>
    <row r="95" spans="1:27" hidden="1" outlineLevel="1" x14ac:dyDescent="0.2">
      <c r="A95" s="8" t="s">
        <v>73</v>
      </c>
      <c r="B95" s="20">
        <f>SUMIFS('Registre de reserves'!$U$2:$U$1178,'Registre de reserves'!$T$2:$T$1178,"NO",'Registre de reserves'!$I$2:$I$1178,'2023'!$A95,'Registre de reserves'!$B$2:$B$1178,'2023'!B$2,Tabla1[ANY],'2023'!$Z$76)</f>
        <v>0</v>
      </c>
      <c r="C95" s="21">
        <f>IF(B$87=0,0,B95/B$87)</f>
        <v>0</v>
      </c>
      <c r="D95" s="20">
        <f>SUMIFS('Registre de reserves'!$U$2:$U$1178,'Registre de reserves'!$T$2:$T$1178,"NO",'Registre de reserves'!$I$2:$I$1178,'2023'!$A95,'Registre de reserves'!$B$2:$B$1178,'2023'!D$2,Tabla1[ANY],'2023'!$Z$76)</f>
        <v>0</v>
      </c>
      <c r="E95" s="21">
        <f>IF(D$87=0,0,D95/D$87)</f>
        <v>0</v>
      </c>
      <c r="F95" s="20">
        <f>SUMIFS('Registre de reserves'!$U$2:$U$1178,'Registre de reserves'!$T$2:$T$1178,"NO",'Registre de reserves'!$I$2:$I$1178,'2023'!$A95,'Registre de reserves'!$B$2:$B$1178,'2023'!F$2,Tabla1[ANY],'2023'!$Z$76)</f>
        <v>0</v>
      </c>
      <c r="G95" s="21">
        <f t="shared" si="88"/>
        <v>0</v>
      </c>
      <c r="H95" s="20">
        <f>SUMIFS('Registre de reserves'!$U$2:$U$1178,'Registre de reserves'!$T$2:$T$1178,"NO",'Registre de reserves'!$I$2:$I$1178,'2023'!$A95,'Registre de reserves'!$B$2:$B$1178,'2023'!H$2,Tabla1[ANY],'2023'!$Z$76)</f>
        <v>0</v>
      </c>
      <c r="I95" s="21">
        <f t="shared" si="89"/>
        <v>0</v>
      </c>
      <c r="J95" s="20">
        <f>SUMIFS('Registre de reserves'!$U$2:$U$1178,'Registre de reserves'!$T$2:$T$1178,"NO",'Registre de reserves'!$I$2:$I$1178,'2023'!$A95,'Registre de reserves'!$B$2:$B$1178,'2023'!J$2,Tabla1[ANY],'2023'!$Z$76)</f>
        <v>0</v>
      </c>
      <c r="K95" s="21">
        <f t="shared" si="90"/>
        <v>0</v>
      </c>
      <c r="L95" s="20">
        <f>SUMIFS('Registre de reserves'!$U$2:$U$1178,'Registre de reserves'!$T$2:$T$1178,"NO",'Registre de reserves'!$I$2:$I$1178,'2023'!$A95,'Registre de reserves'!$B$2:$B$1178,'2023'!L$2,Tabla1[ANY],'2023'!$Z$76)</f>
        <v>0</v>
      </c>
      <c r="M95" s="21">
        <f t="shared" si="91"/>
        <v>0</v>
      </c>
      <c r="N95" s="20">
        <f>SUMIFS('Registre de reserves'!$U$2:$U$1178,'Registre de reserves'!$T$2:$T$1178,"NO",'Registre de reserves'!$I$2:$I$1178,'2023'!$A95,'Registre de reserves'!$B$2:$B$1178,'2023'!N$2,Tabla1[ANY],'2023'!$Z$76)</f>
        <v>0</v>
      </c>
      <c r="O95" s="21">
        <f t="shared" si="92"/>
        <v>0</v>
      </c>
      <c r="P95" s="20">
        <f>SUMIFS('Registre de reserves'!$U$2:$U$1178,'Registre de reserves'!$T$2:$T$1178,"NO",'Registre de reserves'!$I$2:$I$1178,'2023'!$A95,'Registre de reserves'!$B$2:$B$1178,'2023'!P$2,Tabla1[ANY],'2023'!$Z$76)</f>
        <v>0</v>
      </c>
      <c r="Q95" s="21">
        <f t="shared" si="93"/>
        <v>0</v>
      </c>
      <c r="R95" s="20">
        <f>SUMIFS('Registre de reserves'!$U$2:$U$1178,'Registre de reserves'!$T$2:$T$1178,"NO",'Registre de reserves'!$I$2:$I$1178,'2023'!$A95,'Registre de reserves'!$B$2:$B$1178,'2023'!R$2,Tabla1[ANY],'2023'!$Z$76)</f>
        <v>0</v>
      </c>
      <c r="S95" s="21">
        <f t="shared" si="94"/>
        <v>0</v>
      </c>
      <c r="T95" s="20">
        <f>SUMIFS('Registre de reserves'!$U$2:$U$1178,'Registre de reserves'!$T$2:$T$1178,"NO",'Registre de reserves'!$I$2:$I$1178,'2023'!$A95,'Registre de reserves'!$B$2:$B$1178,'2023'!T$2,Tabla1[ANY],'2023'!$Z$76)</f>
        <v>0</v>
      </c>
      <c r="U95" s="21">
        <f t="shared" si="95"/>
        <v>0</v>
      </c>
      <c r="V95" s="20">
        <f>SUMIFS('Registre de reserves'!$U$2:$U$1178,'Registre de reserves'!$T$2:$T$1178,"NO",'Registre de reserves'!$I$2:$I$1178,'2023'!$A95,'Registre de reserves'!$B$2:$B$1178,'2023'!V$2,Tabla1[ANY],'2023'!$Z$76)</f>
        <v>0</v>
      </c>
      <c r="W95" s="21">
        <f t="shared" si="96"/>
        <v>0</v>
      </c>
      <c r="X95" s="20">
        <f>SUMIFS('Registre de reserves'!$U$2:$U$1178,'Registre de reserves'!$T$2:$T$1178,"NO",'Registre de reserves'!$I$2:$I$1178,'2023'!$A95,'Registre de reserves'!$B$2:$B$1178,'2023'!X$2,Tabla1[ANY],'2023'!$Z$76)</f>
        <v>0</v>
      </c>
      <c r="Y95" s="21">
        <f t="shared" si="97"/>
        <v>0</v>
      </c>
      <c r="Z95" s="20">
        <f t="shared" si="100"/>
        <v>0</v>
      </c>
      <c r="AA95" s="21">
        <f t="shared" si="98"/>
        <v>0</v>
      </c>
    </row>
    <row r="96" spans="1:27" collapsed="1" x14ac:dyDescent="0.2">
      <c r="A96" s="33" t="s">
        <v>75</v>
      </c>
      <c r="B96" s="22">
        <f>SUM(B97:B104)</f>
        <v>0</v>
      </c>
      <c r="C96" s="19">
        <f>IF(B$77=0,0,B96/B$77)</f>
        <v>0</v>
      </c>
      <c r="D96" s="22">
        <f>SUM(D97:D104)</f>
        <v>120</v>
      </c>
      <c r="E96" s="19">
        <f>IF(D$77=0,0,D96/D$77)</f>
        <v>6.4516129032258063E-2</v>
      </c>
      <c r="F96" s="22">
        <f>SUM(F97:F104)</f>
        <v>0</v>
      </c>
      <c r="G96" s="19">
        <f>IF(F$77=0,0,F96/F$77)</f>
        <v>0</v>
      </c>
      <c r="H96" s="22">
        <f>SUM(H97:H104)</f>
        <v>0</v>
      </c>
      <c r="I96" s="19">
        <f>IF(H$77=0,0,H96/H$77)</f>
        <v>0</v>
      </c>
      <c r="J96" s="22">
        <f>SUM(J97:J104)</f>
        <v>0</v>
      </c>
      <c r="K96" s="19">
        <f>IF(J$77=0,0,J96/J$77)</f>
        <v>0</v>
      </c>
      <c r="L96" s="22">
        <f>SUM(L97:L104)</f>
        <v>0</v>
      </c>
      <c r="M96" s="19">
        <f>IF(L$77=0,0,L96/L$77)</f>
        <v>0</v>
      </c>
      <c r="N96" s="22">
        <f>SUM(N97:N104)</f>
        <v>0</v>
      </c>
      <c r="O96" s="19">
        <f>IF(N$77=0,0,N96/N$77)</f>
        <v>0</v>
      </c>
      <c r="P96" s="22">
        <f>SUM(P97:P104)</f>
        <v>0</v>
      </c>
      <c r="Q96" s="19">
        <f>IF(P$77=0,0,P96/P$77)</f>
        <v>0</v>
      </c>
      <c r="R96" s="22">
        <f>SUM(R97:R104)</f>
        <v>160</v>
      </c>
      <c r="S96" s="19">
        <f>IF(R$77=0,0,R96/R$77)</f>
        <v>9.03954802259887E-2</v>
      </c>
      <c r="T96" s="22">
        <f>SUM(T97:T104)</f>
        <v>0</v>
      </c>
      <c r="U96" s="19">
        <f>IF(T$77=0,0,T96/T$77)</f>
        <v>0</v>
      </c>
      <c r="V96" s="22">
        <f>SUM(V97:V104)</f>
        <v>0</v>
      </c>
      <c r="W96" s="19">
        <f>IF(V$77=0,0,V96/V$77)</f>
        <v>0</v>
      </c>
      <c r="X96" s="22">
        <f>SUM(X97:X104)</f>
        <v>180</v>
      </c>
      <c r="Y96" s="19">
        <f>IF(X$77=0,0,X96/X$77)</f>
        <v>5.5641421947449768E-2</v>
      </c>
      <c r="Z96" s="22">
        <f>SUM(Z97:Z104)</f>
        <v>460</v>
      </c>
      <c r="AA96" s="19">
        <f>IF(Z$77=0,0,Z96/Z$77)</f>
        <v>2.5330396475770924E-2</v>
      </c>
    </row>
    <row r="97" spans="1:27" hidden="1" outlineLevel="1" x14ac:dyDescent="0.2">
      <c r="A97" s="8" t="s">
        <v>67</v>
      </c>
      <c r="B97" s="23">
        <f>SUMIFS('Registre de reserves'!$W$2:$W$1178,'Registre de reserves'!$T$2:$T$1178,"SI",'Registre de reserves'!$I$2:$I$1178,'2023'!$A97,'Registre de reserves'!$B$2:$B$1178,'2023'!B$2,Tabla1[ANY],'2023'!$Z$76)</f>
        <v>0</v>
      </c>
      <c r="C97" s="21">
        <f>IF(B$96=0,0,B97/B$96)</f>
        <v>0</v>
      </c>
      <c r="D97" s="23">
        <f>SUMIFS('Registre de reserves'!$W$2:$W$1178,'Registre de reserves'!$T$2:$T$1178,"SI",'Registre de reserves'!$I$2:$I$1178,'2023'!$A97,'Registre de reserves'!$B$2:$B$1178,'2023'!D$2,Tabla1[ANY],'2023'!$Z$76)</f>
        <v>0</v>
      </c>
      <c r="E97" s="21">
        <f>IF(D$96=0,0,D97/D$96)</f>
        <v>0</v>
      </c>
      <c r="F97" s="23">
        <f>SUMIFS('Registre de reserves'!$W$2:$W$1178,'Registre de reserves'!$T$2:$T$1178,"SI",'Registre de reserves'!$I$2:$I$1178,'2023'!$A97,'Registre de reserves'!$B$2:$B$1178,'2023'!F$2,Tabla1[ANY],'2023'!$Z$76)</f>
        <v>0</v>
      </c>
      <c r="G97" s="21">
        <f t="shared" ref="G97:G104" si="101">IF(F$96=0,0,F97/F$96)</f>
        <v>0</v>
      </c>
      <c r="H97" s="23">
        <f>SUMIFS('Registre de reserves'!$W$2:$W$1178,'Registre de reserves'!$T$2:$T$1178,"SI",'Registre de reserves'!$I$2:$I$1178,'2023'!$A97,'Registre de reserves'!$B$2:$B$1178,'2023'!H$2,Tabla1[ANY],'2023'!$Z$76)</f>
        <v>0</v>
      </c>
      <c r="I97" s="21">
        <f t="shared" ref="I97:I104" si="102">IF(H$96=0,0,H97/H$96)</f>
        <v>0</v>
      </c>
      <c r="J97" s="23">
        <f>SUMIFS('Registre de reserves'!$W$2:$W$1178,'Registre de reserves'!$T$2:$T$1178,"SI",'Registre de reserves'!$I$2:$I$1178,'2023'!$A97,'Registre de reserves'!$B$2:$B$1178,'2023'!J$2,Tabla1[ANY],'2023'!$Z$76)</f>
        <v>0</v>
      </c>
      <c r="K97" s="21">
        <f t="shared" ref="K97:K104" si="103">IF(J$96=0,0,J97/J$96)</f>
        <v>0</v>
      </c>
      <c r="L97" s="23">
        <f>SUMIFS('Registre de reserves'!$W$2:$W$1178,'Registre de reserves'!$T$2:$T$1178,"SI",'Registre de reserves'!$I$2:$I$1178,'2023'!$A97,'Registre de reserves'!$B$2:$B$1178,'2023'!L$2,Tabla1[ANY],'2023'!$Z$76)</f>
        <v>0</v>
      </c>
      <c r="M97" s="21">
        <f t="shared" ref="M97:M104" si="104">IF(L$96=0,0,L97/L$96)</f>
        <v>0</v>
      </c>
      <c r="N97" s="23">
        <f>SUMIFS('Registre de reserves'!$W$2:$W$1178,'Registre de reserves'!$T$2:$T$1178,"SI",'Registre de reserves'!$I$2:$I$1178,'2023'!$A97,'Registre de reserves'!$B$2:$B$1178,'2023'!N$2,Tabla1[ANY],'2023'!$Z$76)</f>
        <v>0</v>
      </c>
      <c r="O97" s="21">
        <f t="shared" ref="O97:O104" si="105">IF(N$96=0,0,N97/N$96)</f>
        <v>0</v>
      </c>
      <c r="P97" s="23">
        <f>SUMIFS('Registre de reserves'!$W$2:$W$1178,'Registre de reserves'!$T$2:$T$1178,"SI",'Registre de reserves'!$I$2:$I$1178,'2023'!$A97,'Registre de reserves'!$B$2:$B$1178,'2023'!P$2,Tabla1[ANY],'2023'!$Z$76)</f>
        <v>0</v>
      </c>
      <c r="Q97" s="21">
        <f t="shared" ref="Q97:Q104" si="106">IF(P$96=0,0,P97/P$96)</f>
        <v>0</v>
      </c>
      <c r="R97" s="23">
        <f>SUMIFS('Registre de reserves'!$W$2:$W$1178,'Registre de reserves'!$T$2:$T$1178,"SI",'Registre de reserves'!$I$2:$I$1178,'2023'!$A97,'Registre de reserves'!$B$2:$B$1178,'2023'!R$2,Tabla1[ANY],'2023'!$Z$76)</f>
        <v>0</v>
      </c>
      <c r="S97" s="21">
        <f t="shared" ref="S97:S104" si="107">IF(R$96=0,0,R97/R$96)</f>
        <v>0</v>
      </c>
      <c r="T97" s="23">
        <f>SUMIFS('Registre de reserves'!$W$2:$W$1178,'Registre de reserves'!$T$2:$T$1178,"SI",'Registre de reserves'!$I$2:$I$1178,'2023'!$A97,'Registre de reserves'!$B$2:$B$1178,'2023'!T$2,Tabla1[ANY],'2023'!$Z$76)</f>
        <v>0</v>
      </c>
      <c r="U97" s="21">
        <f t="shared" ref="U97:U104" si="108">IF(T$96=0,0,T97/T$96)</f>
        <v>0</v>
      </c>
      <c r="V97" s="23">
        <f>SUMIFS('Registre de reserves'!$W$2:$W$1178,'Registre de reserves'!$T$2:$T$1178,"SI",'Registre de reserves'!$I$2:$I$1178,'2023'!$A97,'Registre de reserves'!$B$2:$B$1178,'2023'!V$2,Tabla1[ANY],'2023'!$Z$76)</f>
        <v>0</v>
      </c>
      <c r="W97" s="21">
        <f t="shared" ref="W97:W104" si="109">IF(V$96=0,0,V97/V$96)</f>
        <v>0</v>
      </c>
      <c r="X97" s="23">
        <f>SUMIFS('Registre de reserves'!$W$2:$W$1178,'Registre de reserves'!$T$2:$T$1178,"SI",'Registre de reserves'!$I$2:$I$1178,'2023'!$A97,'Registre de reserves'!$B$2:$B$1178,'2023'!X$2,Tabla1[ANY],'2023'!$Z$76)</f>
        <v>0</v>
      </c>
      <c r="Y97" s="21">
        <f t="shared" ref="Y97:Y104" si="110">IF(X$96=0,0,X97/X$96)</f>
        <v>0</v>
      </c>
      <c r="Z97" s="20">
        <f t="shared" si="100"/>
        <v>0</v>
      </c>
      <c r="AA97" s="21">
        <f t="shared" ref="AA97:AA104" si="111">IF(Z$96=0,0,Z97/Z$96)</f>
        <v>0</v>
      </c>
    </row>
    <row r="98" spans="1:27" hidden="1" outlineLevel="1" x14ac:dyDescent="0.2">
      <c r="A98" s="8" t="s">
        <v>68</v>
      </c>
      <c r="B98" s="23">
        <f>SUMIFS('Registre de reserves'!$W$2:$W$1178,'Registre de reserves'!$T$2:$T$1178,"SI",'Registre de reserves'!$I$2:$I$1178,'2023'!$A98,'Registre de reserves'!$B$2:$B$1178,'2023'!B$2,Tabla1[ANY],'2023'!$Z$76)</f>
        <v>0</v>
      </c>
      <c r="C98" s="21">
        <f t="shared" ref="C98:E104" si="112">IF(B$96=0,0,B98/B$96)</f>
        <v>0</v>
      </c>
      <c r="D98" s="23">
        <f>SUMIFS('Registre de reserves'!$W$2:$W$1178,'Registre de reserves'!$T$2:$T$1178,"SI",'Registre de reserves'!$I$2:$I$1178,'2023'!$A98,'Registre de reserves'!$B$2:$B$1178,'2023'!D$2,Tabla1[ANY],'2023'!$Z$76)</f>
        <v>0</v>
      </c>
      <c r="E98" s="21">
        <f t="shared" si="112"/>
        <v>0</v>
      </c>
      <c r="F98" s="23">
        <f>SUMIFS('Registre de reserves'!$W$2:$W$1178,'Registre de reserves'!$T$2:$T$1178,"SI",'Registre de reserves'!$I$2:$I$1178,'2023'!$A98,'Registre de reserves'!$B$2:$B$1178,'2023'!F$2,Tabla1[ANY],'2023'!$Z$76)</f>
        <v>0</v>
      </c>
      <c r="G98" s="21">
        <f t="shared" si="101"/>
        <v>0</v>
      </c>
      <c r="H98" s="23">
        <f>SUMIFS('Registre de reserves'!$W$2:$W$1178,'Registre de reserves'!$T$2:$T$1178,"SI",'Registre de reserves'!$I$2:$I$1178,'2023'!$A98,'Registre de reserves'!$B$2:$B$1178,'2023'!H$2,Tabla1[ANY],'2023'!$Z$76)</f>
        <v>0</v>
      </c>
      <c r="I98" s="21">
        <f t="shared" si="102"/>
        <v>0</v>
      </c>
      <c r="J98" s="23">
        <f>SUMIFS('Registre de reserves'!$W$2:$W$1178,'Registre de reserves'!$T$2:$T$1178,"SI",'Registre de reserves'!$I$2:$I$1178,'2023'!$A98,'Registre de reserves'!$B$2:$B$1178,'2023'!J$2,Tabla1[ANY],'2023'!$Z$76)</f>
        <v>0</v>
      </c>
      <c r="K98" s="21">
        <f t="shared" si="103"/>
        <v>0</v>
      </c>
      <c r="L98" s="23">
        <f>SUMIFS('Registre de reserves'!$W$2:$W$1178,'Registre de reserves'!$T$2:$T$1178,"SI",'Registre de reserves'!$I$2:$I$1178,'2023'!$A98,'Registre de reserves'!$B$2:$B$1178,'2023'!L$2,Tabla1[ANY],'2023'!$Z$76)</f>
        <v>0</v>
      </c>
      <c r="M98" s="21">
        <f t="shared" si="104"/>
        <v>0</v>
      </c>
      <c r="N98" s="23">
        <f>SUMIFS('Registre de reserves'!$W$2:$W$1178,'Registre de reserves'!$T$2:$T$1178,"SI",'Registre de reserves'!$I$2:$I$1178,'2023'!$A98,'Registre de reserves'!$B$2:$B$1178,'2023'!N$2,Tabla1[ANY],'2023'!$Z$76)</f>
        <v>0</v>
      </c>
      <c r="O98" s="21">
        <f t="shared" si="105"/>
        <v>0</v>
      </c>
      <c r="P98" s="23">
        <f>SUMIFS('Registre de reserves'!$W$2:$W$1178,'Registre de reserves'!$T$2:$T$1178,"SI",'Registre de reserves'!$I$2:$I$1178,'2023'!$A98,'Registre de reserves'!$B$2:$B$1178,'2023'!P$2,Tabla1[ANY],'2023'!$Z$76)</f>
        <v>0</v>
      </c>
      <c r="Q98" s="21">
        <f t="shared" si="106"/>
        <v>0</v>
      </c>
      <c r="R98" s="23">
        <f>SUMIFS('Registre de reserves'!$W$2:$W$1178,'Registre de reserves'!$T$2:$T$1178,"SI",'Registre de reserves'!$I$2:$I$1178,'2023'!$A98,'Registre de reserves'!$B$2:$B$1178,'2023'!R$2,Tabla1[ANY],'2023'!$Z$76)</f>
        <v>0</v>
      </c>
      <c r="S98" s="21">
        <f t="shared" si="107"/>
        <v>0</v>
      </c>
      <c r="T98" s="23">
        <f>SUMIFS('Registre de reserves'!$W$2:$W$1178,'Registre de reserves'!$T$2:$T$1178,"SI",'Registre de reserves'!$I$2:$I$1178,'2023'!$A98,'Registre de reserves'!$B$2:$B$1178,'2023'!T$2,Tabla1[ANY],'2023'!$Z$76)</f>
        <v>0</v>
      </c>
      <c r="U98" s="21">
        <f t="shared" si="108"/>
        <v>0</v>
      </c>
      <c r="V98" s="23">
        <f>SUMIFS('Registre de reserves'!$W$2:$W$1178,'Registre de reserves'!$T$2:$T$1178,"SI",'Registre de reserves'!$I$2:$I$1178,'2023'!$A98,'Registre de reserves'!$B$2:$B$1178,'2023'!V$2,Tabla1[ANY],'2023'!$Z$76)</f>
        <v>0</v>
      </c>
      <c r="W98" s="21">
        <f t="shared" si="109"/>
        <v>0</v>
      </c>
      <c r="X98" s="23">
        <f>SUMIFS('Registre de reserves'!$W$2:$W$1178,'Registre de reserves'!$T$2:$T$1178,"SI",'Registre de reserves'!$I$2:$I$1178,'2023'!$A98,'Registre de reserves'!$B$2:$B$1178,'2023'!X$2,Tabla1[ANY],'2023'!$Z$76)</f>
        <v>0</v>
      </c>
      <c r="Y98" s="21">
        <f t="shared" si="110"/>
        <v>0</v>
      </c>
      <c r="Z98" s="20">
        <f t="shared" si="100"/>
        <v>0</v>
      </c>
      <c r="AA98" s="21">
        <f t="shared" si="111"/>
        <v>0</v>
      </c>
    </row>
    <row r="99" spans="1:27" hidden="1" outlineLevel="1" x14ac:dyDescent="0.2">
      <c r="A99" s="8" t="s">
        <v>4</v>
      </c>
      <c r="B99" s="23">
        <f>SUMIFS('Registre de reserves'!$W$2:$W$1178,'Registre de reserves'!$T$2:$T$1178,"SI",'Registre de reserves'!$I$2:$I$1178,'2023'!$A99,'Registre de reserves'!$B$2:$B$1178,'2023'!B$2,Tabla1[ANY],'2023'!$Z$76)</f>
        <v>0</v>
      </c>
      <c r="C99" s="21">
        <f>IF(B$96=0,0,B99/B$96)</f>
        <v>0</v>
      </c>
      <c r="D99" s="23">
        <f>SUMIFS('Registre de reserves'!$W$2:$W$1178,'Registre de reserves'!$T$2:$T$1178,"SI",'Registre de reserves'!$I$2:$I$1178,'2023'!$A99,'Registre de reserves'!$B$2:$B$1178,'2023'!D$2,Tabla1[ANY],'2023'!$Z$76)</f>
        <v>60</v>
      </c>
      <c r="E99" s="21">
        <f>IF(D$96=0,0,D99/D$96)</f>
        <v>0.5</v>
      </c>
      <c r="F99" s="23">
        <f>SUMIFS('Registre de reserves'!$W$2:$W$1178,'Registre de reserves'!$T$2:$T$1178,"SI",'Registre de reserves'!$I$2:$I$1178,'2023'!$A99,'Registre de reserves'!$B$2:$B$1178,'2023'!F$2,Tabla1[ANY],'2023'!$Z$76)</f>
        <v>0</v>
      </c>
      <c r="G99" s="21">
        <f t="shared" si="101"/>
        <v>0</v>
      </c>
      <c r="H99" s="23">
        <f>SUMIFS('Registre de reserves'!$W$2:$W$1178,'Registre de reserves'!$T$2:$T$1178,"SI",'Registre de reserves'!$I$2:$I$1178,'2023'!$A99,'Registre de reserves'!$B$2:$B$1178,'2023'!H$2,Tabla1[ANY],'2023'!$Z$76)</f>
        <v>0</v>
      </c>
      <c r="I99" s="21">
        <f t="shared" si="102"/>
        <v>0</v>
      </c>
      <c r="J99" s="23">
        <f>SUMIFS('Registre de reserves'!$W$2:$W$1178,'Registre de reserves'!$T$2:$T$1178,"SI",'Registre de reserves'!$I$2:$I$1178,'2023'!$A99,'Registre de reserves'!$B$2:$B$1178,'2023'!J$2,Tabla1[ANY],'2023'!$Z$76)</f>
        <v>0</v>
      </c>
      <c r="K99" s="21">
        <f t="shared" si="103"/>
        <v>0</v>
      </c>
      <c r="L99" s="23">
        <f>SUMIFS('Registre de reserves'!$W$2:$W$1178,'Registre de reserves'!$T$2:$T$1178,"SI",'Registre de reserves'!$I$2:$I$1178,'2023'!$A99,'Registre de reserves'!$B$2:$B$1178,'2023'!L$2,Tabla1[ANY],'2023'!$Z$76)</f>
        <v>0</v>
      </c>
      <c r="M99" s="21">
        <f t="shared" si="104"/>
        <v>0</v>
      </c>
      <c r="N99" s="23">
        <f>SUMIFS('Registre de reserves'!$W$2:$W$1178,'Registre de reserves'!$T$2:$T$1178,"SI",'Registre de reserves'!$I$2:$I$1178,'2023'!$A99,'Registre de reserves'!$B$2:$B$1178,'2023'!N$2,Tabla1[ANY],'2023'!$Z$76)</f>
        <v>0</v>
      </c>
      <c r="O99" s="21">
        <f t="shared" si="105"/>
        <v>0</v>
      </c>
      <c r="P99" s="23">
        <f>SUMIFS('Registre de reserves'!$W$2:$W$1178,'Registre de reserves'!$T$2:$T$1178,"SI",'Registre de reserves'!$I$2:$I$1178,'2023'!$A99,'Registre de reserves'!$B$2:$B$1178,'2023'!P$2,Tabla1[ANY],'2023'!$Z$76)</f>
        <v>0</v>
      </c>
      <c r="Q99" s="21">
        <f t="shared" si="106"/>
        <v>0</v>
      </c>
      <c r="R99" s="23">
        <f>SUMIFS('Registre de reserves'!$W$2:$W$1178,'Registre de reserves'!$T$2:$T$1178,"SI",'Registre de reserves'!$I$2:$I$1178,'2023'!$A99,'Registre de reserves'!$B$2:$B$1178,'2023'!R$2,Tabla1[ANY],'2023'!$Z$76)</f>
        <v>0</v>
      </c>
      <c r="S99" s="21">
        <f t="shared" si="107"/>
        <v>0</v>
      </c>
      <c r="T99" s="23">
        <f>SUMIFS('Registre de reserves'!$W$2:$W$1178,'Registre de reserves'!$T$2:$T$1178,"SI",'Registre de reserves'!$I$2:$I$1178,'2023'!$A99,'Registre de reserves'!$B$2:$B$1178,'2023'!T$2,Tabla1[ANY],'2023'!$Z$76)</f>
        <v>0</v>
      </c>
      <c r="U99" s="21">
        <f t="shared" si="108"/>
        <v>0</v>
      </c>
      <c r="V99" s="23">
        <f>SUMIFS('Registre de reserves'!$W$2:$W$1178,'Registre de reserves'!$T$2:$T$1178,"SI",'Registre de reserves'!$I$2:$I$1178,'2023'!$A99,'Registre de reserves'!$B$2:$B$1178,'2023'!V$2,Tabla1[ANY],'2023'!$Z$76)</f>
        <v>0</v>
      </c>
      <c r="W99" s="21">
        <f t="shared" si="109"/>
        <v>0</v>
      </c>
      <c r="X99" s="23">
        <f>SUMIFS('Registre de reserves'!$W$2:$W$1178,'Registre de reserves'!$T$2:$T$1178,"SI",'Registre de reserves'!$I$2:$I$1178,'2023'!$A99,'Registre de reserves'!$B$2:$B$1178,'2023'!X$2,Tabla1[ANY],'2023'!$Z$76)</f>
        <v>0</v>
      </c>
      <c r="Y99" s="21">
        <f t="shared" si="110"/>
        <v>0</v>
      </c>
      <c r="Z99" s="20">
        <f t="shared" si="100"/>
        <v>60</v>
      </c>
      <c r="AA99" s="21">
        <f t="shared" si="111"/>
        <v>0.13043478260869565</v>
      </c>
    </row>
    <row r="100" spans="1:27" hidden="1" outlineLevel="1" x14ac:dyDescent="0.2">
      <c r="A100" s="8" t="s">
        <v>71</v>
      </c>
      <c r="B100" s="23">
        <f>SUMIFS('Registre de reserves'!$W$2:$W$1178,'Registre de reserves'!$T$2:$T$1178,"SI",'Registre de reserves'!$I$2:$I$1178,'2023'!$A100,'Registre de reserves'!$B$2:$B$1178,'2023'!B$2,Tabla1[ANY],'2023'!$Z$76)</f>
        <v>0</v>
      </c>
      <c r="C100" s="21">
        <f t="shared" si="112"/>
        <v>0</v>
      </c>
      <c r="D100" s="23">
        <f>SUMIFS('Registre de reserves'!$W$2:$W$1178,'Registre de reserves'!$T$2:$T$1178,"SI",'Registre de reserves'!$I$2:$I$1178,'2023'!$A100,'Registre de reserves'!$B$2:$B$1178,'2023'!D$2,Tabla1[ANY],'2023'!$Z$76)</f>
        <v>0</v>
      </c>
      <c r="E100" s="21">
        <f t="shared" si="112"/>
        <v>0</v>
      </c>
      <c r="F100" s="23">
        <f>SUMIFS('Registre de reserves'!$W$2:$W$1178,'Registre de reserves'!$T$2:$T$1178,"SI",'Registre de reserves'!$I$2:$I$1178,'2023'!$A100,'Registre de reserves'!$B$2:$B$1178,'2023'!F$2,Tabla1[ANY],'2023'!$Z$76)</f>
        <v>0</v>
      </c>
      <c r="G100" s="21">
        <f t="shared" si="101"/>
        <v>0</v>
      </c>
      <c r="H100" s="23">
        <f>SUMIFS('Registre de reserves'!$W$2:$W$1178,'Registre de reserves'!$T$2:$T$1178,"SI",'Registre de reserves'!$I$2:$I$1178,'2023'!$A100,'Registre de reserves'!$B$2:$B$1178,'2023'!H$2,Tabla1[ANY],'2023'!$Z$76)</f>
        <v>0</v>
      </c>
      <c r="I100" s="21">
        <f t="shared" si="102"/>
        <v>0</v>
      </c>
      <c r="J100" s="23">
        <f>SUMIFS('Registre de reserves'!$W$2:$W$1178,'Registre de reserves'!$T$2:$T$1178,"SI",'Registre de reserves'!$I$2:$I$1178,'2023'!$A100,'Registre de reserves'!$B$2:$B$1178,'2023'!J$2,Tabla1[ANY],'2023'!$Z$76)</f>
        <v>0</v>
      </c>
      <c r="K100" s="21">
        <f t="shared" si="103"/>
        <v>0</v>
      </c>
      <c r="L100" s="23">
        <f>SUMIFS('Registre de reserves'!$W$2:$W$1178,'Registre de reserves'!$T$2:$T$1178,"SI",'Registre de reserves'!$I$2:$I$1178,'2023'!$A100,'Registre de reserves'!$B$2:$B$1178,'2023'!L$2,Tabla1[ANY],'2023'!$Z$76)</f>
        <v>0</v>
      </c>
      <c r="M100" s="21">
        <f t="shared" si="104"/>
        <v>0</v>
      </c>
      <c r="N100" s="23">
        <f>SUMIFS('Registre de reserves'!$W$2:$W$1178,'Registre de reserves'!$T$2:$T$1178,"SI",'Registre de reserves'!$I$2:$I$1178,'2023'!$A100,'Registre de reserves'!$B$2:$B$1178,'2023'!N$2,Tabla1[ANY],'2023'!$Z$76)</f>
        <v>0</v>
      </c>
      <c r="O100" s="21">
        <f t="shared" si="105"/>
        <v>0</v>
      </c>
      <c r="P100" s="23">
        <f>SUMIFS('Registre de reserves'!$W$2:$W$1178,'Registre de reserves'!$T$2:$T$1178,"SI",'Registre de reserves'!$I$2:$I$1178,'2023'!$A100,'Registre de reserves'!$B$2:$B$1178,'2023'!P$2,Tabla1[ANY],'2023'!$Z$76)</f>
        <v>0</v>
      </c>
      <c r="Q100" s="21">
        <f t="shared" si="106"/>
        <v>0</v>
      </c>
      <c r="R100" s="23">
        <f>SUMIFS('Registre de reserves'!$W$2:$W$1178,'Registre de reserves'!$T$2:$T$1178,"SI",'Registre de reserves'!$I$2:$I$1178,'2023'!$A100,'Registre de reserves'!$B$2:$B$1178,'2023'!R$2,Tabla1[ANY],'2023'!$Z$76)</f>
        <v>0</v>
      </c>
      <c r="S100" s="21">
        <f t="shared" si="107"/>
        <v>0</v>
      </c>
      <c r="T100" s="23">
        <f>SUMIFS('Registre de reserves'!$W$2:$W$1178,'Registre de reserves'!$T$2:$T$1178,"SI",'Registre de reserves'!$I$2:$I$1178,'2023'!$A100,'Registre de reserves'!$B$2:$B$1178,'2023'!T$2,Tabla1[ANY],'2023'!$Z$76)</f>
        <v>0</v>
      </c>
      <c r="U100" s="21">
        <f t="shared" si="108"/>
        <v>0</v>
      </c>
      <c r="V100" s="23">
        <f>SUMIFS('Registre de reserves'!$W$2:$W$1178,'Registre de reserves'!$T$2:$T$1178,"SI",'Registre de reserves'!$I$2:$I$1178,'2023'!$A100,'Registre de reserves'!$B$2:$B$1178,'2023'!V$2,Tabla1[ANY],'2023'!$Z$76)</f>
        <v>0</v>
      </c>
      <c r="W100" s="21">
        <f t="shared" si="109"/>
        <v>0</v>
      </c>
      <c r="X100" s="23">
        <f>SUMIFS('Registre de reserves'!$W$2:$W$1178,'Registre de reserves'!$T$2:$T$1178,"SI",'Registre de reserves'!$I$2:$I$1178,'2023'!$A100,'Registre de reserves'!$B$2:$B$1178,'2023'!X$2,Tabla1[ANY],'2023'!$Z$76)</f>
        <v>0</v>
      </c>
      <c r="Y100" s="21">
        <f t="shared" si="110"/>
        <v>0</v>
      </c>
      <c r="Z100" s="20">
        <f t="shared" si="100"/>
        <v>0</v>
      </c>
      <c r="AA100" s="21">
        <f t="shared" si="111"/>
        <v>0</v>
      </c>
    </row>
    <row r="101" spans="1:27" hidden="1" outlineLevel="1" x14ac:dyDescent="0.2">
      <c r="A101" s="8" t="s">
        <v>72</v>
      </c>
      <c r="B101" s="23">
        <f>SUMIFS('Registre de reserves'!$W$2:$W$1178,'Registre de reserves'!$T$2:$T$1178,"SI",'Registre de reserves'!$I$2:$I$1178,'2023'!$A101,'Registre de reserves'!$B$2:$B$1178,'2023'!B$2,Tabla1[ANY],'2023'!$Z$76)</f>
        <v>0</v>
      </c>
      <c r="C101" s="21">
        <f t="shared" si="112"/>
        <v>0</v>
      </c>
      <c r="D101" s="23">
        <f>SUMIFS('Registre de reserves'!$W$2:$W$1178,'Registre de reserves'!$T$2:$T$1178,"SI",'Registre de reserves'!$I$2:$I$1178,'2023'!$A101,'Registre de reserves'!$B$2:$B$1178,'2023'!D$2,Tabla1[ANY],'2023'!$Z$76)</f>
        <v>0</v>
      </c>
      <c r="E101" s="21">
        <f t="shared" si="112"/>
        <v>0</v>
      </c>
      <c r="F101" s="23">
        <f>SUMIFS('Registre de reserves'!$W$2:$W$1178,'Registre de reserves'!$T$2:$T$1178,"SI",'Registre de reserves'!$I$2:$I$1178,'2023'!$A101,'Registre de reserves'!$B$2:$B$1178,'2023'!F$2,Tabla1[ANY],'2023'!$Z$76)</f>
        <v>0</v>
      </c>
      <c r="G101" s="21">
        <f t="shared" si="101"/>
        <v>0</v>
      </c>
      <c r="H101" s="23">
        <f>SUMIFS('Registre de reserves'!$W$2:$W$1178,'Registre de reserves'!$T$2:$T$1178,"SI",'Registre de reserves'!$I$2:$I$1178,'2023'!$A101,'Registre de reserves'!$B$2:$B$1178,'2023'!H$2,Tabla1[ANY],'2023'!$Z$76)</f>
        <v>0</v>
      </c>
      <c r="I101" s="21">
        <f t="shared" si="102"/>
        <v>0</v>
      </c>
      <c r="J101" s="23">
        <f>SUMIFS('Registre de reserves'!$W$2:$W$1178,'Registre de reserves'!$T$2:$T$1178,"SI",'Registre de reserves'!$I$2:$I$1178,'2023'!$A101,'Registre de reserves'!$B$2:$B$1178,'2023'!J$2,Tabla1[ANY],'2023'!$Z$76)</f>
        <v>0</v>
      </c>
      <c r="K101" s="21">
        <f t="shared" si="103"/>
        <v>0</v>
      </c>
      <c r="L101" s="23">
        <f>SUMIFS('Registre de reserves'!$W$2:$W$1178,'Registre de reserves'!$T$2:$T$1178,"SI",'Registre de reserves'!$I$2:$I$1178,'2023'!$A101,'Registre de reserves'!$B$2:$B$1178,'2023'!L$2,Tabla1[ANY],'2023'!$Z$76)</f>
        <v>0</v>
      </c>
      <c r="M101" s="21">
        <f t="shared" si="104"/>
        <v>0</v>
      </c>
      <c r="N101" s="23">
        <f>SUMIFS('Registre de reserves'!$W$2:$W$1178,'Registre de reserves'!$T$2:$T$1178,"SI",'Registre de reserves'!$I$2:$I$1178,'2023'!$A101,'Registre de reserves'!$B$2:$B$1178,'2023'!N$2,Tabla1[ANY],'2023'!$Z$76)</f>
        <v>0</v>
      </c>
      <c r="O101" s="21">
        <f t="shared" si="105"/>
        <v>0</v>
      </c>
      <c r="P101" s="23">
        <f>SUMIFS('Registre de reserves'!$W$2:$W$1178,'Registre de reserves'!$T$2:$T$1178,"SI",'Registre de reserves'!$I$2:$I$1178,'2023'!$A101,'Registre de reserves'!$B$2:$B$1178,'2023'!P$2,Tabla1[ANY],'2023'!$Z$76)</f>
        <v>0</v>
      </c>
      <c r="Q101" s="21">
        <f t="shared" si="106"/>
        <v>0</v>
      </c>
      <c r="R101" s="23">
        <f>SUMIFS('Registre de reserves'!$W$2:$W$1178,'Registre de reserves'!$T$2:$T$1178,"SI",'Registre de reserves'!$I$2:$I$1178,'2023'!$A101,'Registre de reserves'!$B$2:$B$1178,'2023'!R$2,Tabla1[ANY],'2023'!$Z$76)</f>
        <v>0</v>
      </c>
      <c r="S101" s="21">
        <f t="shared" si="107"/>
        <v>0</v>
      </c>
      <c r="T101" s="23">
        <f>SUMIFS('Registre de reserves'!$W$2:$W$1178,'Registre de reserves'!$T$2:$T$1178,"SI",'Registre de reserves'!$I$2:$I$1178,'2023'!$A101,'Registre de reserves'!$B$2:$B$1178,'2023'!T$2,Tabla1[ANY],'2023'!$Z$76)</f>
        <v>0</v>
      </c>
      <c r="U101" s="21">
        <f t="shared" si="108"/>
        <v>0</v>
      </c>
      <c r="V101" s="23">
        <f>SUMIFS('Registre de reserves'!$W$2:$W$1178,'Registre de reserves'!$T$2:$T$1178,"SI",'Registre de reserves'!$I$2:$I$1178,'2023'!$A101,'Registre de reserves'!$B$2:$B$1178,'2023'!V$2,Tabla1[ANY],'2023'!$Z$76)</f>
        <v>0</v>
      </c>
      <c r="W101" s="21">
        <f t="shared" si="109"/>
        <v>0</v>
      </c>
      <c r="X101" s="23">
        <f>SUMIFS('Registre de reserves'!$W$2:$W$1178,'Registre de reserves'!$T$2:$T$1178,"SI",'Registre de reserves'!$I$2:$I$1178,'2023'!$A101,'Registre de reserves'!$B$2:$B$1178,'2023'!X$2,Tabla1[ANY],'2023'!$Z$76)</f>
        <v>0</v>
      </c>
      <c r="Y101" s="21">
        <f t="shared" si="110"/>
        <v>0</v>
      </c>
      <c r="Z101" s="20">
        <f t="shared" si="100"/>
        <v>0</v>
      </c>
      <c r="AA101" s="21">
        <f t="shared" si="111"/>
        <v>0</v>
      </c>
    </row>
    <row r="102" spans="1:27" hidden="1" outlineLevel="1" x14ac:dyDescent="0.2">
      <c r="A102" s="8" t="s">
        <v>69</v>
      </c>
      <c r="B102" s="23">
        <f>SUMIFS('Registre de reserves'!$W$2:$W$1178,'Registre de reserves'!$T$2:$T$1178,"SI",'Registre de reserves'!$I$2:$I$1178,'2023'!$A102,'Registre de reserves'!$B$2:$B$1178,'2023'!B$2,Tabla1[ANY],'2023'!$Z$76)</f>
        <v>0</v>
      </c>
      <c r="C102" s="21">
        <f t="shared" si="112"/>
        <v>0</v>
      </c>
      <c r="D102" s="23">
        <f>SUMIFS('Registre de reserves'!$W$2:$W$1178,'Registre de reserves'!$T$2:$T$1178,"SI",'Registre de reserves'!$I$2:$I$1178,'2023'!$A102,'Registre de reserves'!$B$2:$B$1178,'2023'!D$2,Tabla1[ANY],'2023'!$Z$76)</f>
        <v>60</v>
      </c>
      <c r="E102" s="21">
        <f t="shared" si="112"/>
        <v>0.5</v>
      </c>
      <c r="F102" s="23">
        <f>SUMIFS('Registre de reserves'!$W$2:$W$1178,'Registre de reserves'!$T$2:$T$1178,"SI",'Registre de reserves'!$I$2:$I$1178,'2023'!$A102,'Registre de reserves'!$B$2:$B$1178,'2023'!F$2,Tabla1[ANY],'2023'!$Z$76)</f>
        <v>0</v>
      </c>
      <c r="G102" s="21">
        <f t="shared" si="101"/>
        <v>0</v>
      </c>
      <c r="H102" s="23">
        <f>SUMIFS('Registre de reserves'!$W$2:$W$1178,'Registre de reserves'!$T$2:$T$1178,"SI",'Registre de reserves'!$I$2:$I$1178,'2023'!$A102,'Registre de reserves'!$B$2:$B$1178,'2023'!H$2,Tabla1[ANY],'2023'!$Z$76)</f>
        <v>0</v>
      </c>
      <c r="I102" s="21">
        <f t="shared" si="102"/>
        <v>0</v>
      </c>
      <c r="J102" s="23">
        <f>SUMIFS('Registre de reserves'!$W$2:$W$1178,'Registre de reserves'!$T$2:$T$1178,"SI",'Registre de reserves'!$I$2:$I$1178,'2023'!$A102,'Registre de reserves'!$B$2:$B$1178,'2023'!J$2,Tabla1[ANY],'2023'!$Z$76)</f>
        <v>0</v>
      </c>
      <c r="K102" s="21">
        <f t="shared" si="103"/>
        <v>0</v>
      </c>
      <c r="L102" s="23">
        <f>SUMIFS('Registre de reserves'!$W$2:$W$1178,'Registre de reserves'!$T$2:$T$1178,"SI",'Registre de reserves'!$I$2:$I$1178,'2023'!$A102,'Registre de reserves'!$B$2:$B$1178,'2023'!L$2,Tabla1[ANY],'2023'!$Z$76)</f>
        <v>0</v>
      </c>
      <c r="M102" s="21">
        <f t="shared" si="104"/>
        <v>0</v>
      </c>
      <c r="N102" s="23">
        <f>SUMIFS('Registre de reserves'!$W$2:$W$1178,'Registre de reserves'!$T$2:$T$1178,"SI",'Registre de reserves'!$I$2:$I$1178,'2023'!$A102,'Registre de reserves'!$B$2:$B$1178,'2023'!N$2,Tabla1[ANY],'2023'!$Z$76)</f>
        <v>0</v>
      </c>
      <c r="O102" s="21">
        <f t="shared" si="105"/>
        <v>0</v>
      </c>
      <c r="P102" s="23">
        <f>SUMIFS('Registre de reserves'!$W$2:$W$1178,'Registre de reserves'!$T$2:$T$1178,"SI",'Registre de reserves'!$I$2:$I$1178,'2023'!$A102,'Registre de reserves'!$B$2:$B$1178,'2023'!P$2,Tabla1[ANY],'2023'!$Z$76)</f>
        <v>0</v>
      </c>
      <c r="Q102" s="21">
        <f t="shared" si="106"/>
        <v>0</v>
      </c>
      <c r="R102" s="23">
        <f>SUMIFS('Registre de reserves'!$W$2:$W$1178,'Registre de reserves'!$T$2:$T$1178,"SI",'Registre de reserves'!$I$2:$I$1178,'2023'!$A102,'Registre de reserves'!$B$2:$B$1178,'2023'!R$2,Tabla1[ANY],'2023'!$Z$76)</f>
        <v>160</v>
      </c>
      <c r="S102" s="21">
        <f t="shared" si="107"/>
        <v>1</v>
      </c>
      <c r="T102" s="23">
        <f>SUMIFS('Registre de reserves'!$W$2:$W$1178,'Registre de reserves'!$T$2:$T$1178,"SI",'Registre de reserves'!$I$2:$I$1178,'2023'!$A102,'Registre de reserves'!$B$2:$B$1178,'2023'!T$2,Tabla1[ANY],'2023'!$Z$76)</f>
        <v>0</v>
      </c>
      <c r="U102" s="21">
        <f t="shared" si="108"/>
        <v>0</v>
      </c>
      <c r="V102" s="23">
        <f>SUMIFS('Registre de reserves'!$W$2:$W$1178,'Registre de reserves'!$T$2:$T$1178,"SI",'Registre de reserves'!$I$2:$I$1178,'2023'!$A102,'Registre de reserves'!$B$2:$B$1178,'2023'!V$2,Tabla1[ANY],'2023'!$Z$76)</f>
        <v>0</v>
      </c>
      <c r="W102" s="21">
        <f t="shared" si="109"/>
        <v>0</v>
      </c>
      <c r="X102" s="23">
        <f>SUMIFS('Registre de reserves'!$W$2:$W$1178,'Registre de reserves'!$T$2:$T$1178,"SI",'Registre de reserves'!$I$2:$I$1178,'2023'!$A102,'Registre de reserves'!$B$2:$B$1178,'2023'!X$2,Tabla1[ANY],'2023'!$Z$76)</f>
        <v>180</v>
      </c>
      <c r="Y102" s="21">
        <f t="shared" si="110"/>
        <v>1</v>
      </c>
      <c r="Z102" s="20">
        <f t="shared" si="100"/>
        <v>400</v>
      </c>
      <c r="AA102" s="21">
        <f t="shared" si="111"/>
        <v>0.86956521739130432</v>
      </c>
    </row>
    <row r="103" spans="1:27" hidden="1" outlineLevel="1" x14ac:dyDescent="0.2">
      <c r="A103" s="8" t="s">
        <v>70</v>
      </c>
      <c r="B103" s="23">
        <f>SUMIFS('Registre de reserves'!$W$2:$W$1178,'Registre de reserves'!$T$2:$T$1178,"SI",'Registre de reserves'!$I$2:$I$1178,'2023'!$A103,'Registre de reserves'!$B$2:$B$1178,'2023'!B$2,Tabla1[ANY],'2023'!$Z$76)</f>
        <v>0</v>
      </c>
      <c r="C103" s="21">
        <f t="shared" si="112"/>
        <v>0</v>
      </c>
      <c r="D103" s="23">
        <f>SUMIFS('Registre de reserves'!$W$2:$W$1178,'Registre de reserves'!$T$2:$T$1178,"SI",'Registre de reserves'!$I$2:$I$1178,'2023'!$A103,'Registre de reserves'!$B$2:$B$1178,'2023'!D$2,Tabla1[ANY],'2023'!$Z$76)</f>
        <v>0</v>
      </c>
      <c r="E103" s="21">
        <f t="shared" si="112"/>
        <v>0</v>
      </c>
      <c r="F103" s="23">
        <f>SUMIFS('Registre de reserves'!$W$2:$W$1178,'Registre de reserves'!$T$2:$T$1178,"SI",'Registre de reserves'!$I$2:$I$1178,'2023'!$A103,'Registre de reserves'!$B$2:$B$1178,'2023'!F$2,Tabla1[ANY],'2023'!$Z$76)</f>
        <v>0</v>
      </c>
      <c r="G103" s="21">
        <f t="shared" si="101"/>
        <v>0</v>
      </c>
      <c r="H103" s="23">
        <f>SUMIFS('Registre de reserves'!$W$2:$W$1178,'Registre de reserves'!$T$2:$T$1178,"SI",'Registre de reserves'!$I$2:$I$1178,'2023'!$A103,'Registre de reserves'!$B$2:$B$1178,'2023'!H$2,Tabla1[ANY],'2023'!$Z$76)</f>
        <v>0</v>
      </c>
      <c r="I103" s="21">
        <f t="shared" si="102"/>
        <v>0</v>
      </c>
      <c r="J103" s="23">
        <f>SUMIFS('Registre de reserves'!$W$2:$W$1178,'Registre de reserves'!$T$2:$T$1178,"SI",'Registre de reserves'!$I$2:$I$1178,'2023'!$A103,'Registre de reserves'!$B$2:$B$1178,'2023'!J$2,Tabla1[ANY],'2023'!$Z$76)</f>
        <v>0</v>
      </c>
      <c r="K103" s="21">
        <f t="shared" si="103"/>
        <v>0</v>
      </c>
      <c r="L103" s="23">
        <f>SUMIFS('Registre de reserves'!$W$2:$W$1178,'Registre de reserves'!$T$2:$T$1178,"SI",'Registre de reserves'!$I$2:$I$1178,'2023'!$A103,'Registre de reserves'!$B$2:$B$1178,'2023'!L$2,Tabla1[ANY],'2023'!$Z$76)</f>
        <v>0</v>
      </c>
      <c r="M103" s="21">
        <f t="shared" si="104"/>
        <v>0</v>
      </c>
      <c r="N103" s="23">
        <f>SUMIFS('Registre de reserves'!$W$2:$W$1178,'Registre de reserves'!$T$2:$T$1178,"SI",'Registre de reserves'!$I$2:$I$1178,'2023'!$A103,'Registre de reserves'!$B$2:$B$1178,'2023'!N$2,Tabla1[ANY],'2023'!$Z$76)</f>
        <v>0</v>
      </c>
      <c r="O103" s="21">
        <f t="shared" si="105"/>
        <v>0</v>
      </c>
      <c r="P103" s="23">
        <f>SUMIFS('Registre de reserves'!$W$2:$W$1178,'Registre de reserves'!$T$2:$T$1178,"SI",'Registre de reserves'!$I$2:$I$1178,'2023'!$A103,'Registre de reserves'!$B$2:$B$1178,'2023'!P$2,Tabla1[ANY],'2023'!$Z$76)</f>
        <v>0</v>
      </c>
      <c r="Q103" s="21">
        <f t="shared" si="106"/>
        <v>0</v>
      </c>
      <c r="R103" s="23">
        <f>SUMIFS('Registre de reserves'!$W$2:$W$1178,'Registre de reserves'!$T$2:$T$1178,"SI",'Registre de reserves'!$I$2:$I$1178,'2023'!$A103,'Registre de reserves'!$B$2:$B$1178,'2023'!R$2,Tabla1[ANY],'2023'!$Z$76)</f>
        <v>0</v>
      </c>
      <c r="S103" s="21">
        <f t="shared" si="107"/>
        <v>0</v>
      </c>
      <c r="T103" s="23">
        <f>SUMIFS('Registre de reserves'!$W$2:$W$1178,'Registre de reserves'!$T$2:$T$1178,"SI",'Registre de reserves'!$I$2:$I$1178,'2023'!$A103,'Registre de reserves'!$B$2:$B$1178,'2023'!T$2,Tabla1[ANY],'2023'!$Z$76)</f>
        <v>0</v>
      </c>
      <c r="U103" s="21">
        <f t="shared" si="108"/>
        <v>0</v>
      </c>
      <c r="V103" s="23">
        <f>SUMIFS('Registre de reserves'!$W$2:$W$1178,'Registre de reserves'!$T$2:$T$1178,"SI",'Registre de reserves'!$I$2:$I$1178,'2023'!$A103,'Registre de reserves'!$B$2:$B$1178,'2023'!V$2,Tabla1[ANY],'2023'!$Z$76)</f>
        <v>0</v>
      </c>
      <c r="W103" s="21">
        <f t="shared" si="109"/>
        <v>0</v>
      </c>
      <c r="X103" s="23">
        <f>SUMIFS('Registre de reserves'!$W$2:$W$1178,'Registre de reserves'!$T$2:$T$1178,"SI",'Registre de reserves'!$I$2:$I$1178,'2023'!$A103,'Registre de reserves'!$B$2:$B$1178,'2023'!X$2,Tabla1[ANY],'2023'!$Z$76)</f>
        <v>0</v>
      </c>
      <c r="Y103" s="21">
        <f t="shared" si="110"/>
        <v>0</v>
      </c>
      <c r="Z103" s="20">
        <f t="shared" si="100"/>
        <v>0</v>
      </c>
      <c r="AA103" s="21">
        <f t="shared" si="111"/>
        <v>0</v>
      </c>
    </row>
    <row r="104" spans="1:27" hidden="1" outlineLevel="1" x14ac:dyDescent="0.2">
      <c r="A104" s="8" t="s">
        <v>73</v>
      </c>
      <c r="B104" s="23">
        <f>SUMIFS('Registre de reserves'!$W$2:$W$1178,'Registre de reserves'!$T$2:$T$1178,"SI",'Registre de reserves'!$I$2:$I$1178,'2023'!$A104,'Registre de reserves'!$B$2:$B$1178,'2023'!B$2,Tabla1[ANY],'2023'!$Z$76)</f>
        <v>0</v>
      </c>
      <c r="C104" s="21">
        <f t="shared" si="112"/>
        <v>0</v>
      </c>
      <c r="D104" s="23">
        <f>SUMIFS('Registre de reserves'!$W$2:$W$1178,'Registre de reserves'!$T$2:$T$1178,"SI",'Registre de reserves'!$I$2:$I$1178,'2023'!$A104,'Registre de reserves'!$B$2:$B$1178,'2023'!D$2,Tabla1[ANY],'2023'!$Z$76)</f>
        <v>0</v>
      </c>
      <c r="E104" s="21">
        <f t="shared" si="112"/>
        <v>0</v>
      </c>
      <c r="F104" s="23">
        <f>SUMIFS('Registre de reserves'!$W$2:$W$1178,'Registre de reserves'!$T$2:$T$1178,"SI",'Registre de reserves'!$I$2:$I$1178,'2023'!$A104,'Registre de reserves'!$B$2:$B$1178,'2023'!F$2,Tabla1[ANY],'2023'!$Z$76)</f>
        <v>0</v>
      </c>
      <c r="G104" s="21">
        <f t="shared" si="101"/>
        <v>0</v>
      </c>
      <c r="H104" s="23">
        <f>SUMIFS('Registre de reserves'!$W$2:$W$1178,'Registre de reserves'!$T$2:$T$1178,"SI",'Registre de reserves'!$I$2:$I$1178,'2023'!$A104,'Registre de reserves'!$B$2:$B$1178,'2023'!H$2,Tabla1[ANY],'2023'!$Z$76)</f>
        <v>0</v>
      </c>
      <c r="I104" s="21">
        <f t="shared" si="102"/>
        <v>0</v>
      </c>
      <c r="J104" s="23">
        <f>SUMIFS('Registre de reserves'!$W$2:$W$1178,'Registre de reserves'!$T$2:$T$1178,"SI",'Registre de reserves'!$I$2:$I$1178,'2023'!$A104,'Registre de reserves'!$B$2:$B$1178,'2023'!J$2,Tabla1[ANY],'2023'!$Z$76)</f>
        <v>0</v>
      </c>
      <c r="K104" s="21">
        <f t="shared" si="103"/>
        <v>0</v>
      </c>
      <c r="L104" s="23">
        <f>SUMIFS('Registre de reserves'!$W$2:$W$1178,'Registre de reserves'!$T$2:$T$1178,"SI",'Registre de reserves'!$I$2:$I$1178,'2023'!$A104,'Registre de reserves'!$B$2:$B$1178,'2023'!L$2,Tabla1[ANY],'2023'!$Z$76)</f>
        <v>0</v>
      </c>
      <c r="M104" s="21">
        <f t="shared" si="104"/>
        <v>0</v>
      </c>
      <c r="N104" s="23">
        <f>SUMIFS('Registre de reserves'!$W$2:$W$1178,'Registre de reserves'!$T$2:$T$1178,"SI",'Registre de reserves'!$I$2:$I$1178,'2023'!$A104,'Registre de reserves'!$B$2:$B$1178,'2023'!N$2,Tabla1[ANY],'2023'!$Z$76)</f>
        <v>0</v>
      </c>
      <c r="O104" s="21">
        <f t="shared" si="105"/>
        <v>0</v>
      </c>
      <c r="P104" s="23">
        <f>SUMIFS('Registre de reserves'!$W$2:$W$1178,'Registre de reserves'!$T$2:$T$1178,"SI",'Registre de reserves'!$I$2:$I$1178,'2023'!$A104,'Registre de reserves'!$B$2:$B$1178,'2023'!P$2,Tabla1[ANY],'2023'!$Z$76)</f>
        <v>0</v>
      </c>
      <c r="Q104" s="21">
        <f t="shared" si="106"/>
        <v>0</v>
      </c>
      <c r="R104" s="23">
        <f>SUMIFS('Registre de reserves'!$W$2:$W$1178,'Registre de reserves'!$T$2:$T$1178,"SI",'Registre de reserves'!$I$2:$I$1178,'2023'!$A104,'Registre de reserves'!$B$2:$B$1178,'2023'!R$2,Tabla1[ANY],'2023'!$Z$76)</f>
        <v>0</v>
      </c>
      <c r="S104" s="21">
        <f t="shared" si="107"/>
        <v>0</v>
      </c>
      <c r="T104" s="23">
        <f>SUMIFS('Registre de reserves'!$W$2:$W$1178,'Registre de reserves'!$T$2:$T$1178,"SI",'Registre de reserves'!$I$2:$I$1178,'2023'!$A104,'Registre de reserves'!$B$2:$B$1178,'2023'!T$2,Tabla1[ANY],'2023'!$Z$76)</f>
        <v>0</v>
      </c>
      <c r="U104" s="21">
        <f t="shared" si="108"/>
        <v>0</v>
      </c>
      <c r="V104" s="23">
        <f>SUMIFS('Registre de reserves'!$W$2:$W$1178,'Registre de reserves'!$T$2:$T$1178,"SI",'Registre de reserves'!$I$2:$I$1178,'2023'!$A104,'Registre de reserves'!$B$2:$B$1178,'2023'!V$2,Tabla1[ANY],'2023'!$Z$76)</f>
        <v>0</v>
      </c>
      <c r="W104" s="21">
        <f t="shared" si="109"/>
        <v>0</v>
      </c>
      <c r="X104" s="23">
        <f>SUMIFS('Registre de reserves'!$W$2:$W$1178,'Registre de reserves'!$T$2:$T$1178,"SI",'Registre de reserves'!$I$2:$I$1178,'2023'!$A104,'Registre de reserves'!$B$2:$B$1178,'2023'!X$2,Tabla1[ANY],'2023'!$Z$76)</f>
        <v>0</v>
      </c>
      <c r="Y104" s="21">
        <f t="shared" si="110"/>
        <v>0</v>
      </c>
      <c r="Z104" s="20">
        <f t="shared" si="100"/>
        <v>0</v>
      </c>
      <c r="AA104" s="21">
        <f t="shared" si="111"/>
        <v>0</v>
      </c>
    </row>
    <row r="105" spans="1:27" collapsed="1" x14ac:dyDescent="0.2">
      <c r="A105" s="33" t="s">
        <v>77</v>
      </c>
      <c r="B105" s="22">
        <f>SUM(B106:B113)</f>
        <v>0</v>
      </c>
      <c r="C105" s="19">
        <f>IF((B$87+B$105)=0,0,B105/(B$87+B$105))</f>
        <v>0</v>
      </c>
      <c r="D105" s="22">
        <f>SUM(D106:D113)</f>
        <v>0</v>
      </c>
      <c r="E105" s="19">
        <f>IF((D$87+D$105)=0,0,D105/(D$87+D$105))</f>
        <v>0</v>
      </c>
      <c r="F105" s="22">
        <f>SUM(F106:F113)</f>
        <v>0</v>
      </c>
      <c r="G105" s="19">
        <f>IF((F$87+F$105)=0,0,F105/(F$87+F$105))</f>
        <v>0</v>
      </c>
      <c r="H105" s="22">
        <f>SUM(H106:H113)</f>
        <v>0</v>
      </c>
      <c r="I105" s="19">
        <f>IF((H$87+H$105)=0,0,H105/(H$87+H$105))</f>
        <v>0</v>
      </c>
      <c r="J105" s="22">
        <f>SUM(J106:J113)</f>
        <v>0</v>
      </c>
      <c r="K105" s="19">
        <f>IF((J$87+J$105)=0,0,J105/(J$87+J$105))</f>
        <v>0</v>
      </c>
      <c r="L105" s="22">
        <f>SUM(L106:L113)</f>
        <v>0</v>
      </c>
      <c r="M105" s="19">
        <f>IF((L$87+L$105)=0,0,L105/(L$87+L$105))</f>
        <v>0</v>
      </c>
      <c r="N105" s="22">
        <f>SUM(N106:N113)</f>
        <v>0</v>
      </c>
      <c r="O105" s="19">
        <f>IF((N$87+N$105)=0,0,N105/(N$87+N$105))</f>
        <v>0</v>
      </c>
      <c r="P105" s="22">
        <f>SUM(P106:P113)</f>
        <v>0</v>
      </c>
      <c r="Q105" s="19">
        <f>IF((P$87+P$105)=0,0,P105/(P$87+P$105))</f>
        <v>0</v>
      </c>
      <c r="R105" s="22">
        <f>SUM(R106:R113)</f>
        <v>0</v>
      </c>
      <c r="S105" s="19">
        <f>IF((R$87+R$105)=0,0,R105/(R$87+R$105))</f>
        <v>0</v>
      </c>
      <c r="T105" s="22">
        <f>SUM(T106:T113)</f>
        <v>0</v>
      </c>
      <c r="U105" s="19">
        <f>IF((T$87+T$105)=0,0,T105/(T$87+T$105))</f>
        <v>0</v>
      </c>
      <c r="V105" s="22">
        <f>SUM(V106:V113)</f>
        <v>0</v>
      </c>
      <c r="W105" s="19">
        <f>IF((V$87+V$105)=0,0,V105/(V$87+V$105))</f>
        <v>0</v>
      </c>
      <c r="X105" s="22">
        <f>SUM(X106:X113)</f>
        <v>0</v>
      </c>
      <c r="Y105" s="19">
        <f>IF((X$87+X$105)=0,0,X105/(X$87+X$105))</f>
        <v>0</v>
      </c>
      <c r="Z105" s="22">
        <f>SUM(Z106:Z113)</f>
        <v>0</v>
      </c>
      <c r="AA105" s="19">
        <f>IF((Z$87+Z$105)=0,0,Z105/(Z$87+Z$105))</f>
        <v>0</v>
      </c>
    </row>
    <row r="106" spans="1:27" hidden="1" outlineLevel="1" x14ac:dyDescent="0.2">
      <c r="A106" s="8" t="s">
        <v>67</v>
      </c>
      <c r="B106" s="23">
        <f>SUMIFS('Registre de reserves'!$W$2:$W$1178,'Registre de reserves'!$T$2:$T$1178,"NO",'Registre de reserves'!$I$2:$I$1178,'2023'!$A106,'Registre de reserves'!$B$2:$B$1178,'2023'!B$2,Tabla1[ANY],'2023'!$Z$76)</f>
        <v>0</v>
      </c>
      <c r="C106" s="21">
        <f>IF(B$105=0,0,B106/B$105)</f>
        <v>0</v>
      </c>
      <c r="D106" s="23">
        <f>SUMIFS('Registre de reserves'!$W$2:$W$1178,'Registre de reserves'!$T$2:$T$1178,"NO",'Registre de reserves'!$I$2:$I$1178,'2023'!$A106,'Registre de reserves'!$B$2:$B$1178,'2023'!D$2,Tabla1[ANY],'2023'!$Z$76)</f>
        <v>0</v>
      </c>
      <c r="E106" s="21">
        <f>IF(D$105=0,0,D106/D$105)</f>
        <v>0</v>
      </c>
      <c r="F106" s="23">
        <f>SUMIFS('Registre de reserves'!$W$2:$W$1178,'Registre de reserves'!$T$2:$T$1178,"NO",'Registre de reserves'!$I$2:$I$1178,'2023'!$A106,'Registre de reserves'!$B$2:$B$1178,'2023'!F$2,Tabla1[ANY],'2023'!$Z$76)</f>
        <v>0</v>
      </c>
      <c r="G106" s="21">
        <f t="shared" ref="G106:G113" si="113">IF(F$105=0,0,F106/F$105)</f>
        <v>0</v>
      </c>
      <c r="H106" s="23">
        <f>SUMIFS('Registre de reserves'!$W$2:$W$1178,'Registre de reserves'!$T$2:$T$1178,"NO",'Registre de reserves'!$I$2:$I$1178,'2023'!$A106,'Registre de reserves'!$B$2:$B$1178,'2023'!H$2,Tabla1[ANY],'2023'!$Z$76)</f>
        <v>0</v>
      </c>
      <c r="I106" s="21">
        <f t="shared" ref="I106:I113" si="114">IF(H$105=0,0,H106/H$105)</f>
        <v>0</v>
      </c>
      <c r="J106" s="23">
        <f>SUMIFS('Registre de reserves'!$W$2:$W$1178,'Registre de reserves'!$T$2:$T$1178,"NO",'Registre de reserves'!$I$2:$I$1178,'2023'!$A106,'Registre de reserves'!$B$2:$B$1178,'2023'!J$2,Tabla1[ANY],'2023'!$Z$76)</f>
        <v>0</v>
      </c>
      <c r="K106" s="21">
        <f t="shared" ref="K106:K113" si="115">IF(J$105=0,0,J106/J$105)</f>
        <v>0</v>
      </c>
      <c r="L106" s="23">
        <f>SUMIFS('Registre de reserves'!$W$2:$W$1178,'Registre de reserves'!$T$2:$T$1178,"NO",'Registre de reserves'!$I$2:$I$1178,'2023'!$A106,'Registre de reserves'!$B$2:$B$1178,'2023'!L$2,Tabla1[ANY],'2023'!$Z$76)</f>
        <v>0</v>
      </c>
      <c r="M106" s="21">
        <f t="shared" ref="M106:M113" si="116">IF(L$105=0,0,L106/L$105)</f>
        <v>0</v>
      </c>
      <c r="N106" s="23">
        <f>SUMIFS('Registre de reserves'!$W$2:$W$1178,'Registre de reserves'!$T$2:$T$1178,"NO",'Registre de reserves'!$I$2:$I$1178,'2023'!$A106,'Registre de reserves'!$B$2:$B$1178,'2023'!N$2,Tabla1[ANY],'2023'!$Z$76)</f>
        <v>0</v>
      </c>
      <c r="O106" s="21">
        <f t="shared" ref="O106:O113" si="117">IF(N$105=0,0,N106/N$105)</f>
        <v>0</v>
      </c>
      <c r="P106" s="23">
        <f>SUMIFS('Registre de reserves'!$W$2:$W$1178,'Registre de reserves'!$T$2:$T$1178,"NO",'Registre de reserves'!$I$2:$I$1178,'2023'!$A106,'Registre de reserves'!$B$2:$B$1178,'2023'!P$2,Tabla1[ANY],'2023'!$Z$76)</f>
        <v>0</v>
      </c>
      <c r="Q106" s="21">
        <f t="shared" ref="Q106:Q113" si="118">IF(P$105=0,0,P106/P$105)</f>
        <v>0</v>
      </c>
      <c r="R106" s="23">
        <f>SUMIFS('Registre de reserves'!$W$2:$W$1178,'Registre de reserves'!$T$2:$T$1178,"NO",'Registre de reserves'!$I$2:$I$1178,'2023'!$A106,'Registre de reserves'!$B$2:$B$1178,'2023'!R$2,Tabla1[ANY],'2023'!$Z$76)</f>
        <v>0</v>
      </c>
      <c r="S106" s="21">
        <f t="shared" ref="S106:S113" si="119">IF(R$105=0,0,R106/R$105)</f>
        <v>0</v>
      </c>
      <c r="T106" s="23">
        <f>SUMIFS('Registre de reserves'!$W$2:$W$1178,'Registre de reserves'!$T$2:$T$1178,"NO",'Registre de reserves'!$I$2:$I$1178,'2023'!$A106,'Registre de reserves'!$B$2:$B$1178,'2023'!T$2,Tabla1[ANY],'2023'!$Z$76)</f>
        <v>0</v>
      </c>
      <c r="U106" s="21">
        <f t="shared" ref="U106:U113" si="120">IF(T$105=0,0,T106/T$105)</f>
        <v>0</v>
      </c>
      <c r="V106" s="23">
        <f>SUMIFS('Registre de reserves'!$W$2:$W$1178,'Registre de reserves'!$T$2:$T$1178,"NO",'Registre de reserves'!$I$2:$I$1178,'2023'!$A106,'Registre de reserves'!$B$2:$B$1178,'2023'!V$2,Tabla1[ANY],'2023'!$Z$76)</f>
        <v>0</v>
      </c>
      <c r="W106" s="21">
        <f t="shared" ref="W106:W113" si="121">IF(V$105=0,0,V106/V$105)</f>
        <v>0</v>
      </c>
      <c r="X106" s="23">
        <f>SUMIFS('Registre de reserves'!$W$2:$W$1178,'Registre de reserves'!$T$2:$T$1178,"NO",'Registre de reserves'!$I$2:$I$1178,'2023'!$A106,'Registre de reserves'!$B$2:$B$1178,'2023'!X$2,Tabla1[ANY],'2023'!$Z$76)</f>
        <v>0</v>
      </c>
      <c r="Y106" s="21">
        <f t="shared" ref="Y106:Y113" si="122">IF(X$105=0,0,X106/X$105)</f>
        <v>0</v>
      </c>
      <c r="Z106" s="20">
        <f t="shared" si="100"/>
        <v>0</v>
      </c>
      <c r="AA106" s="21">
        <f>IF(Z$105=0,0,Z106/Z$105)</f>
        <v>0</v>
      </c>
    </row>
    <row r="107" spans="1:27" hidden="1" outlineLevel="1" x14ac:dyDescent="0.2">
      <c r="A107" s="8" t="s">
        <v>68</v>
      </c>
      <c r="B107" s="23">
        <f>SUMIFS('Registre de reserves'!$W$2:$W$1178,'Registre de reserves'!$T$2:$T$1178,"NO",'Registre de reserves'!$I$2:$I$1178,'2023'!$A107,'Registre de reserves'!$B$2:$B$1178,'2023'!B$2,Tabla1[ANY],'2023'!$Z$76)</f>
        <v>0</v>
      </c>
      <c r="C107" s="21">
        <f t="shared" ref="C107:E113" si="123">IF(B$105=0,0,B107/B$105)</f>
        <v>0</v>
      </c>
      <c r="D107" s="23">
        <f>SUMIFS('Registre de reserves'!$W$2:$W$1178,'Registre de reserves'!$T$2:$T$1178,"NO",'Registre de reserves'!$I$2:$I$1178,'2023'!$A107,'Registre de reserves'!$B$2:$B$1178,'2023'!D$2,Tabla1[ANY],'2023'!$Z$76)</f>
        <v>0</v>
      </c>
      <c r="E107" s="21">
        <f>IF(D$105=0,0,D107/D$105)</f>
        <v>0</v>
      </c>
      <c r="F107" s="23">
        <f>SUMIFS('Registre de reserves'!$W$2:$W$1178,'Registre de reserves'!$T$2:$T$1178,"NO",'Registre de reserves'!$I$2:$I$1178,'2023'!$A107,'Registre de reserves'!$B$2:$B$1178,'2023'!F$2,Tabla1[ANY],'2023'!$Z$76)</f>
        <v>0</v>
      </c>
      <c r="G107" s="21">
        <f t="shared" si="113"/>
        <v>0</v>
      </c>
      <c r="H107" s="23">
        <f>SUMIFS('Registre de reserves'!$W$2:$W$1178,'Registre de reserves'!$T$2:$T$1178,"NO",'Registre de reserves'!$I$2:$I$1178,'2023'!$A107,'Registre de reserves'!$B$2:$B$1178,'2023'!H$2,Tabla1[ANY],'2023'!$Z$76)</f>
        <v>0</v>
      </c>
      <c r="I107" s="21">
        <f t="shared" si="114"/>
        <v>0</v>
      </c>
      <c r="J107" s="23">
        <f>SUMIFS('Registre de reserves'!$W$2:$W$1178,'Registre de reserves'!$T$2:$T$1178,"NO",'Registre de reserves'!$I$2:$I$1178,'2023'!$A107,'Registre de reserves'!$B$2:$B$1178,'2023'!J$2,Tabla1[ANY],'2023'!$Z$76)</f>
        <v>0</v>
      </c>
      <c r="K107" s="21">
        <f t="shared" si="115"/>
        <v>0</v>
      </c>
      <c r="L107" s="23">
        <f>SUMIFS('Registre de reserves'!$W$2:$W$1178,'Registre de reserves'!$T$2:$T$1178,"NO",'Registre de reserves'!$I$2:$I$1178,'2023'!$A107,'Registre de reserves'!$B$2:$B$1178,'2023'!L$2,Tabla1[ANY],'2023'!$Z$76)</f>
        <v>0</v>
      </c>
      <c r="M107" s="21">
        <f t="shared" si="116"/>
        <v>0</v>
      </c>
      <c r="N107" s="23">
        <f>SUMIFS('Registre de reserves'!$W$2:$W$1178,'Registre de reserves'!$T$2:$T$1178,"NO",'Registre de reserves'!$I$2:$I$1178,'2023'!$A107,'Registre de reserves'!$B$2:$B$1178,'2023'!N$2,Tabla1[ANY],'2023'!$Z$76)</f>
        <v>0</v>
      </c>
      <c r="O107" s="21">
        <f t="shared" si="117"/>
        <v>0</v>
      </c>
      <c r="P107" s="23">
        <f>SUMIFS('Registre de reserves'!$W$2:$W$1178,'Registre de reserves'!$T$2:$T$1178,"NO",'Registre de reserves'!$I$2:$I$1178,'2023'!$A107,'Registre de reserves'!$B$2:$B$1178,'2023'!P$2,Tabla1[ANY],'2023'!$Z$76)</f>
        <v>0</v>
      </c>
      <c r="Q107" s="21">
        <f t="shared" si="118"/>
        <v>0</v>
      </c>
      <c r="R107" s="23">
        <f>SUMIFS('Registre de reserves'!$W$2:$W$1178,'Registre de reserves'!$T$2:$T$1178,"NO",'Registre de reserves'!$I$2:$I$1178,'2023'!$A107,'Registre de reserves'!$B$2:$B$1178,'2023'!R$2,Tabla1[ANY],'2023'!$Z$76)</f>
        <v>0</v>
      </c>
      <c r="S107" s="21">
        <f t="shared" si="119"/>
        <v>0</v>
      </c>
      <c r="T107" s="23">
        <f>SUMIFS('Registre de reserves'!$W$2:$W$1178,'Registre de reserves'!$T$2:$T$1178,"NO",'Registre de reserves'!$I$2:$I$1178,'2023'!$A107,'Registre de reserves'!$B$2:$B$1178,'2023'!T$2,Tabla1[ANY],'2023'!$Z$76)</f>
        <v>0</v>
      </c>
      <c r="U107" s="21">
        <f t="shared" si="120"/>
        <v>0</v>
      </c>
      <c r="V107" s="23">
        <f>SUMIFS('Registre de reserves'!$W$2:$W$1178,'Registre de reserves'!$T$2:$T$1178,"NO",'Registre de reserves'!$I$2:$I$1178,'2023'!$A107,'Registre de reserves'!$B$2:$B$1178,'2023'!V$2,Tabla1[ANY],'2023'!$Z$76)</f>
        <v>0</v>
      </c>
      <c r="W107" s="21">
        <f t="shared" si="121"/>
        <v>0</v>
      </c>
      <c r="X107" s="23">
        <f>SUMIFS('Registre de reserves'!$W$2:$W$1178,'Registre de reserves'!$T$2:$T$1178,"NO",'Registre de reserves'!$I$2:$I$1178,'2023'!$A107,'Registre de reserves'!$B$2:$B$1178,'2023'!X$2,Tabla1[ANY],'2023'!$Z$76)</f>
        <v>0</v>
      </c>
      <c r="Y107" s="21">
        <f t="shared" si="122"/>
        <v>0</v>
      </c>
      <c r="Z107" s="20">
        <f t="shared" si="100"/>
        <v>0</v>
      </c>
      <c r="AA107" s="21">
        <f>IF(Z$105=0,0,Z107/Z$105)</f>
        <v>0</v>
      </c>
    </row>
    <row r="108" spans="1:27" hidden="1" outlineLevel="1" x14ac:dyDescent="0.2">
      <c r="A108" s="8" t="s">
        <v>4</v>
      </c>
      <c r="B108" s="23">
        <f>SUMIFS('Registre de reserves'!$W$2:$W$1178,'Registre de reserves'!$T$2:$T$1178,"NO",'Registre de reserves'!$I$2:$I$1178,'2023'!$A108,'Registre de reserves'!$B$2:$B$1178,'2023'!B$2,Tabla1[ANY],'2023'!$Z$76)</f>
        <v>0</v>
      </c>
      <c r="C108" s="21">
        <f t="shared" si="123"/>
        <v>0</v>
      </c>
      <c r="D108" s="23">
        <f>SUMIFS('Registre de reserves'!$W$2:$W$1178,'Registre de reserves'!$T$2:$T$1178,"NO",'Registre de reserves'!$I$2:$I$1178,'2023'!$A108,'Registre de reserves'!$B$2:$B$1178,'2023'!D$2,Tabla1[ANY],'2023'!$Z$76)</f>
        <v>0</v>
      </c>
      <c r="E108" s="21">
        <f t="shared" si="123"/>
        <v>0</v>
      </c>
      <c r="F108" s="23">
        <f>SUMIFS('Registre de reserves'!$W$2:$W$1178,'Registre de reserves'!$T$2:$T$1178,"NO",'Registre de reserves'!$I$2:$I$1178,'2023'!$A108,'Registre de reserves'!$B$2:$B$1178,'2023'!F$2,Tabla1[ANY],'2023'!$Z$76)</f>
        <v>0</v>
      </c>
      <c r="G108" s="21">
        <f t="shared" si="113"/>
        <v>0</v>
      </c>
      <c r="H108" s="23">
        <f>SUMIFS('Registre de reserves'!$W$2:$W$1178,'Registre de reserves'!$T$2:$T$1178,"NO",'Registre de reserves'!$I$2:$I$1178,'2023'!$A108,'Registre de reserves'!$B$2:$B$1178,'2023'!H$2,Tabla1[ANY],'2023'!$Z$76)</f>
        <v>0</v>
      </c>
      <c r="I108" s="21">
        <f t="shared" si="114"/>
        <v>0</v>
      </c>
      <c r="J108" s="23">
        <f>SUMIFS('Registre de reserves'!$W$2:$W$1178,'Registre de reserves'!$T$2:$T$1178,"NO",'Registre de reserves'!$I$2:$I$1178,'2023'!$A108,'Registre de reserves'!$B$2:$B$1178,'2023'!J$2,Tabla1[ANY],'2023'!$Z$76)</f>
        <v>0</v>
      </c>
      <c r="K108" s="21">
        <f t="shared" si="115"/>
        <v>0</v>
      </c>
      <c r="L108" s="23">
        <f>SUMIFS('Registre de reserves'!$W$2:$W$1178,'Registre de reserves'!$T$2:$T$1178,"NO",'Registre de reserves'!$I$2:$I$1178,'2023'!$A108,'Registre de reserves'!$B$2:$B$1178,'2023'!L$2,Tabla1[ANY],'2023'!$Z$76)</f>
        <v>0</v>
      </c>
      <c r="M108" s="21">
        <f t="shared" si="116"/>
        <v>0</v>
      </c>
      <c r="N108" s="23">
        <f>SUMIFS('Registre de reserves'!$W$2:$W$1178,'Registre de reserves'!$T$2:$T$1178,"NO",'Registre de reserves'!$I$2:$I$1178,'2023'!$A108,'Registre de reserves'!$B$2:$B$1178,'2023'!N$2,Tabla1[ANY],'2023'!$Z$76)</f>
        <v>0</v>
      </c>
      <c r="O108" s="21">
        <f t="shared" si="117"/>
        <v>0</v>
      </c>
      <c r="P108" s="23">
        <f>SUMIFS('Registre de reserves'!$W$2:$W$1178,'Registre de reserves'!$T$2:$T$1178,"NO",'Registre de reserves'!$I$2:$I$1178,'2023'!$A108,'Registre de reserves'!$B$2:$B$1178,'2023'!P$2,Tabla1[ANY],'2023'!$Z$76)</f>
        <v>0</v>
      </c>
      <c r="Q108" s="21">
        <f t="shared" si="118"/>
        <v>0</v>
      </c>
      <c r="R108" s="23">
        <f>SUMIFS('Registre de reserves'!$W$2:$W$1178,'Registre de reserves'!$T$2:$T$1178,"NO",'Registre de reserves'!$I$2:$I$1178,'2023'!$A108,'Registre de reserves'!$B$2:$B$1178,'2023'!R$2,Tabla1[ANY],'2023'!$Z$76)</f>
        <v>0</v>
      </c>
      <c r="S108" s="21">
        <f t="shared" si="119"/>
        <v>0</v>
      </c>
      <c r="T108" s="23">
        <f>SUMIFS('Registre de reserves'!$W$2:$W$1178,'Registre de reserves'!$T$2:$T$1178,"NO",'Registre de reserves'!$I$2:$I$1178,'2023'!$A108,'Registre de reserves'!$B$2:$B$1178,'2023'!T$2,Tabla1[ANY],'2023'!$Z$76)</f>
        <v>0</v>
      </c>
      <c r="U108" s="21">
        <f t="shared" si="120"/>
        <v>0</v>
      </c>
      <c r="V108" s="23">
        <f>SUMIFS('Registre de reserves'!$W$2:$W$1178,'Registre de reserves'!$T$2:$T$1178,"NO",'Registre de reserves'!$I$2:$I$1178,'2023'!$A108,'Registre de reserves'!$B$2:$B$1178,'2023'!V$2,Tabla1[ANY],'2023'!$Z$76)</f>
        <v>0</v>
      </c>
      <c r="W108" s="21">
        <f t="shared" si="121"/>
        <v>0</v>
      </c>
      <c r="X108" s="23">
        <f>SUMIFS('Registre de reserves'!$W$2:$W$1178,'Registre de reserves'!$T$2:$T$1178,"NO",'Registre de reserves'!$I$2:$I$1178,'2023'!$A108,'Registre de reserves'!$B$2:$B$1178,'2023'!X$2,Tabla1[ANY],'2023'!$Z$76)</f>
        <v>0</v>
      </c>
      <c r="Y108" s="21">
        <f t="shared" si="122"/>
        <v>0</v>
      </c>
      <c r="Z108" s="20">
        <f t="shared" si="100"/>
        <v>0</v>
      </c>
      <c r="AA108" s="21">
        <f t="shared" ref="AA108:AA113" si="124">IF(Z$105=0,0,Z108/Z$105)</f>
        <v>0</v>
      </c>
    </row>
    <row r="109" spans="1:27" hidden="1" outlineLevel="1" x14ac:dyDescent="0.2">
      <c r="A109" s="8" t="s">
        <v>71</v>
      </c>
      <c r="B109" s="23">
        <f>SUMIFS('Registre de reserves'!$W$2:$W$1178,'Registre de reserves'!$T$2:$T$1178,"NO",'Registre de reserves'!$I$2:$I$1178,'2023'!$A109,'Registre de reserves'!$B$2:$B$1178,'2023'!B$2,Tabla1[ANY],'2023'!$Z$76)</f>
        <v>0</v>
      </c>
      <c r="C109" s="21">
        <f t="shared" si="123"/>
        <v>0</v>
      </c>
      <c r="D109" s="23">
        <f>SUMIFS('Registre de reserves'!$W$2:$W$1178,'Registre de reserves'!$T$2:$T$1178,"NO",'Registre de reserves'!$I$2:$I$1178,'2023'!$A109,'Registre de reserves'!$B$2:$B$1178,'2023'!D$2,Tabla1[ANY],'2023'!$Z$76)</f>
        <v>0</v>
      </c>
      <c r="E109" s="21">
        <f t="shared" si="123"/>
        <v>0</v>
      </c>
      <c r="F109" s="23">
        <f>SUMIFS('Registre de reserves'!$W$2:$W$1178,'Registre de reserves'!$T$2:$T$1178,"NO",'Registre de reserves'!$I$2:$I$1178,'2023'!$A109,'Registre de reserves'!$B$2:$B$1178,'2023'!F$2,Tabla1[ANY],'2023'!$Z$76)</f>
        <v>0</v>
      </c>
      <c r="G109" s="21">
        <f t="shared" si="113"/>
        <v>0</v>
      </c>
      <c r="H109" s="23">
        <f>SUMIFS('Registre de reserves'!$W$2:$W$1178,'Registre de reserves'!$T$2:$T$1178,"NO",'Registre de reserves'!$I$2:$I$1178,'2023'!$A109,'Registre de reserves'!$B$2:$B$1178,'2023'!H$2,Tabla1[ANY],'2023'!$Z$76)</f>
        <v>0</v>
      </c>
      <c r="I109" s="21">
        <f t="shared" si="114"/>
        <v>0</v>
      </c>
      <c r="J109" s="23">
        <f>SUMIFS('Registre de reserves'!$W$2:$W$1178,'Registre de reserves'!$T$2:$T$1178,"NO",'Registre de reserves'!$I$2:$I$1178,'2023'!$A109,'Registre de reserves'!$B$2:$B$1178,'2023'!J$2,Tabla1[ANY],'2023'!$Z$76)</f>
        <v>0</v>
      </c>
      <c r="K109" s="21">
        <f t="shared" si="115"/>
        <v>0</v>
      </c>
      <c r="L109" s="23">
        <f>SUMIFS('Registre de reserves'!$W$2:$W$1178,'Registre de reserves'!$T$2:$T$1178,"NO",'Registre de reserves'!$I$2:$I$1178,'2023'!$A109,'Registre de reserves'!$B$2:$B$1178,'2023'!L$2,Tabla1[ANY],'2023'!$Z$76)</f>
        <v>0</v>
      </c>
      <c r="M109" s="21">
        <f t="shared" si="116"/>
        <v>0</v>
      </c>
      <c r="N109" s="23">
        <f>SUMIFS('Registre de reserves'!$W$2:$W$1178,'Registre de reserves'!$T$2:$T$1178,"NO",'Registre de reserves'!$I$2:$I$1178,'2023'!$A109,'Registre de reserves'!$B$2:$B$1178,'2023'!N$2,Tabla1[ANY],'2023'!$Z$76)</f>
        <v>0</v>
      </c>
      <c r="O109" s="21">
        <f t="shared" si="117"/>
        <v>0</v>
      </c>
      <c r="P109" s="23">
        <f>SUMIFS('Registre de reserves'!$W$2:$W$1178,'Registre de reserves'!$T$2:$T$1178,"NO",'Registre de reserves'!$I$2:$I$1178,'2023'!$A109,'Registre de reserves'!$B$2:$B$1178,'2023'!P$2,Tabla1[ANY],'2023'!$Z$76)</f>
        <v>0</v>
      </c>
      <c r="Q109" s="21">
        <f t="shared" si="118"/>
        <v>0</v>
      </c>
      <c r="R109" s="23">
        <f>SUMIFS('Registre de reserves'!$W$2:$W$1178,'Registre de reserves'!$T$2:$T$1178,"NO",'Registre de reserves'!$I$2:$I$1178,'2023'!$A109,'Registre de reserves'!$B$2:$B$1178,'2023'!R$2,Tabla1[ANY],'2023'!$Z$76)</f>
        <v>0</v>
      </c>
      <c r="S109" s="21">
        <f t="shared" si="119"/>
        <v>0</v>
      </c>
      <c r="T109" s="23">
        <f>SUMIFS('Registre de reserves'!$W$2:$W$1178,'Registre de reserves'!$T$2:$T$1178,"NO",'Registre de reserves'!$I$2:$I$1178,'2023'!$A109,'Registre de reserves'!$B$2:$B$1178,'2023'!T$2,Tabla1[ANY],'2023'!$Z$76)</f>
        <v>0</v>
      </c>
      <c r="U109" s="21">
        <f t="shared" si="120"/>
        <v>0</v>
      </c>
      <c r="V109" s="23">
        <f>SUMIFS('Registre de reserves'!$W$2:$W$1178,'Registre de reserves'!$T$2:$T$1178,"NO",'Registre de reserves'!$I$2:$I$1178,'2023'!$A109,'Registre de reserves'!$B$2:$B$1178,'2023'!V$2,Tabla1[ANY],'2023'!$Z$76)</f>
        <v>0</v>
      </c>
      <c r="W109" s="21">
        <f t="shared" si="121"/>
        <v>0</v>
      </c>
      <c r="X109" s="23">
        <f>SUMIFS('Registre de reserves'!$W$2:$W$1178,'Registre de reserves'!$T$2:$T$1178,"NO",'Registre de reserves'!$I$2:$I$1178,'2023'!$A109,'Registre de reserves'!$B$2:$B$1178,'2023'!X$2,Tabla1[ANY],'2023'!$Z$76)</f>
        <v>0</v>
      </c>
      <c r="Y109" s="21">
        <f t="shared" si="122"/>
        <v>0</v>
      </c>
      <c r="Z109" s="20">
        <f t="shared" si="100"/>
        <v>0</v>
      </c>
      <c r="AA109" s="21">
        <f t="shared" si="124"/>
        <v>0</v>
      </c>
    </row>
    <row r="110" spans="1:27" hidden="1" outlineLevel="1" x14ac:dyDescent="0.2">
      <c r="A110" s="8" t="s">
        <v>72</v>
      </c>
      <c r="B110" s="23">
        <f>SUMIFS('Registre de reserves'!$W$2:$W$1178,'Registre de reserves'!$T$2:$T$1178,"NO",'Registre de reserves'!$I$2:$I$1178,'2023'!$A110,'Registre de reserves'!$B$2:$B$1178,'2023'!B$2,Tabla1[ANY],'2023'!$Z$76)</f>
        <v>0</v>
      </c>
      <c r="C110" s="21">
        <f t="shared" si="123"/>
        <v>0</v>
      </c>
      <c r="D110" s="23">
        <f>SUMIFS('Registre de reserves'!$W$2:$W$1178,'Registre de reserves'!$T$2:$T$1178,"NO",'Registre de reserves'!$I$2:$I$1178,'2023'!$A110,'Registre de reserves'!$B$2:$B$1178,'2023'!D$2,Tabla1[ANY],'2023'!$Z$76)</f>
        <v>0</v>
      </c>
      <c r="E110" s="21">
        <f t="shared" si="123"/>
        <v>0</v>
      </c>
      <c r="F110" s="23">
        <f>SUMIFS('Registre de reserves'!$W$2:$W$1178,'Registre de reserves'!$T$2:$T$1178,"NO",'Registre de reserves'!$I$2:$I$1178,'2023'!$A110,'Registre de reserves'!$B$2:$B$1178,'2023'!F$2,Tabla1[ANY],'2023'!$Z$76)</f>
        <v>0</v>
      </c>
      <c r="G110" s="21">
        <f t="shared" si="113"/>
        <v>0</v>
      </c>
      <c r="H110" s="23">
        <f>SUMIFS('Registre de reserves'!$W$2:$W$1178,'Registre de reserves'!$T$2:$T$1178,"NO",'Registre de reserves'!$I$2:$I$1178,'2023'!$A110,'Registre de reserves'!$B$2:$B$1178,'2023'!H$2,Tabla1[ANY],'2023'!$Z$76)</f>
        <v>0</v>
      </c>
      <c r="I110" s="21">
        <f t="shared" si="114"/>
        <v>0</v>
      </c>
      <c r="J110" s="23">
        <f>SUMIFS('Registre de reserves'!$W$2:$W$1178,'Registre de reserves'!$T$2:$T$1178,"NO",'Registre de reserves'!$I$2:$I$1178,'2023'!$A110,'Registre de reserves'!$B$2:$B$1178,'2023'!J$2,Tabla1[ANY],'2023'!$Z$76)</f>
        <v>0</v>
      </c>
      <c r="K110" s="21">
        <f t="shared" si="115"/>
        <v>0</v>
      </c>
      <c r="L110" s="23">
        <f>SUMIFS('Registre de reserves'!$W$2:$W$1178,'Registre de reserves'!$T$2:$T$1178,"NO",'Registre de reserves'!$I$2:$I$1178,'2023'!$A110,'Registre de reserves'!$B$2:$B$1178,'2023'!L$2,Tabla1[ANY],'2023'!$Z$76)</f>
        <v>0</v>
      </c>
      <c r="M110" s="21">
        <f t="shared" si="116"/>
        <v>0</v>
      </c>
      <c r="N110" s="23">
        <f>SUMIFS('Registre de reserves'!$W$2:$W$1178,'Registre de reserves'!$T$2:$T$1178,"NO",'Registre de reserves'!$I$2:$I$1178,'2023'!$A110,'Registre de reserves'!$B$2:$B$1178,'2023'!N$2,Tabla1[ANY],'2023'!$Z$76)</f>
        <v>0</v>
      </c>
      <c r="O110" s="21">
        <f t="shared" si="117"/>
        <v>0</v>
      </c>
      <c r="P110" s="23">
        <f>SUMIFS('Registre de reserves'!$W$2:$W$1178,'Registre de reserves'!$T$2:$T$1178,"NO",'Registre de reserves'!$I$2:$I$1178,'2023'!$A110,'Registre de reserves'!$B$2:$B$1178,'2023'!P$2,Tabla1[ANY],'2023'!$Z$76)</f>
        <v>0</v>
      </c>
      <c r="Q110" s="21">
        <f t="shared" si="118"/>
        <v>0</v>
      </c>
      <c r="R110" s="23">
        <f>SUMIFS('Registre de reserves'!$W$2:$W$1178,'Registre de reserves'!$T$2:$T$1178,"NO",'Registre de reserves'!$I$2:$I$1178,'2023'!$A110,'Registre de reserves'!$B$2:$B$1178,'2023'!R$2,Tabla1[ANY],'2023'!$Z$76)</f>
        <v>0</v>
      </c>
      <c r="S110" s="21">
        <f t="shared" si="119"/>
        <v>0</v>
      </c>
      <c r="T110" s="23">
        <f>SUMIFS('Registre de reserves'!$W$2:$W$1178,'Registre de reserves'!$T$2:$T$1178,"NO",'Registre de reserves'!$I$2:$I$1178,'2023'!$A110,'Registre de reserves'!$B$2:$B$1178,'2023'!T$2,Tabla1[ANY],'2023'!$Z$76)</f>
        <v>0</v>
      </c>
      <c r="U110" s="21">
        <f t="shared" si="120"/>
        <v>0</v>
      </c>
      <c r="V110" s="23">
        <f>SUMIFS('Registre de reserves'!$W$2:$W$1178,'Registre de reserves'!$T$2:$T$1178,"NO",'Registre de reserves'!$I$2:$I$1178,'2023'!$A110,'Registre de reserves'!$B$2:$B$1178,'2023'!V$2,Tabla1[ANY],'2023'!$Z$76)</f>
        <v>0</v>
      </c>
      <c r="W110" s="21">
        <f t="shared" si="121"/>
        <v>0</v>
      </c>
      <c r="X110" s="23">
        <f>SUMIFS('Registre de reserves'!$W$2:$W$1178,'Registre de reserves'!$T$2:$T$1178,"NO",'Registre de reserves'!$I$2:$I$1178,'2023'!$A110,'Registre de reserves'!$B$2:$B$1178,'2023'!X$2,Tabla1[ANY],'2023'!$Z$76)</f>
        <v>0</v>
      </c>
      <c r="Y110" s="21">
        <f t="shared" si="122"/>
        <v>0</v>
      </c>
      <c r="Z110" s="20">
        <f t="shared" si="100"/>
        <v>0</v>
      </c>
      <c r="AA110" s="21">
        <f t="shared" si="124"/>
        <v>0</v>
      </c>
    </row>
    <row r="111" spans="1:27" hidden="1" outlineLevel="1" x14ac:dyDescent="0.2">
      <c r="A111" s="8" t="s">
        <v>69</v>
      </c>
      <c r="B111" s="23">
        <f>SUMIFS('Registre de reserves'!$W$2:$W$1178,'Registre de reserves'!$T$2:$T$1178,"NO",'Registre de reserves'!$I$2:$I$1178,'2023'!$A111,'Registre de reserves'!$B$2:$B$1178,'2023'!B$2,Tabla1[ANY],'2023'!$Z$76)</f>
        <v>0</v>
      </c>
      <c r="C111" s="21">
        <f t="shared" si="123"/>
        <v>0</v>
      </c>
      <c r="D111" s="23">
        <f>SUMIFS('Registre de reserves'!$W$2:$W$1178,'Registre de reserves'!$T$2:$T$1178,"NO",'Registre de reserves'!$I$2:$I$1178,'2023'!$A111,'Registre de reserves'!$B$2:$B$1178,'2023'!D$2,Tabla1[ANY],'2023'!$Z$76)</f>
        <v>0</v>
      </c>
      <c r="E111" s="21">
        <f t="shared" si="123"/>
        <v>0</v>
      </c>
      <c r="F111" s="23">
        <f>SUMIFS('Registre de reserves'!$W$2:$W$1178,'Registre de reserves'!$T$2:$T$1178,"NO",'Registre de reserves'!$I$2:$I$1178,'2023'!$A111,'Registre de reserves'!$B$2:$B$1178,'2023'!F$2,Tabla1[ANY],'2023'!$Z$76)</f>
        <v>0</v>
      </c>
      <c r="G111" s="21">
        <f t="shared" si="113"/>
        <v>0</v>
      </c>
      <c r="H111" s="23">
        <f>SUMIFS('Registre de reserves'!$W$2:$W$1178,'Registre de reserves'!$T$2:$T$1178,"NO",'Registre de reserves'!$I$2:$I$1178,'2023'!$A111,'Registre de reserves'!$B$2:$B$1178,'2023'!H$2,Tabla1[ANY],'2023'!$Z$76)</f>
        <v>0</v>
      </c>
      <c r="I111" s="21">
        <f t="shared" si="114"/>
        <v>0</v>
      </c>
      <c r="J111" s="23">
        <f>SUMIFS('Registre de reserves'!$W$2:$W$1178,'Registre de reserves'!$T$2:$T$1178,"NO",'Registre de reserves'!$I$2:$I$1178,'2023'!$A111,'Registre de reserves'!$B$2:$B$1178,'2023'!J$2,Tabla1[ANY],'2023'!$Z$76)</f>
        <v>0</v>
      </c>
      <c r="K111" s="21">
        <f t="shared" si="115"/>
        <v>0</v>
      </c>
      <c r="L111" s="23">
        <f>SUMIFS('Registre de reserves'!$W$2:$W$1178,'Registre de reserves'!$T$2:$T$1178,"NO",'Registre de reserves'!$I$2:$I$1178,'2023'!$A111,'Registre de reserves'!$B$2:$B$1178,'2023'!L$2,Tabla1[ANY],'2023'!$Z$76)</f>
        <v>0</v>
      </c>
      <c r="M111" s="21">
        <f t="shared" si="116"/>
        <v>0</v>
      </c>
      <c r="N111" s="23">
        <f>SUMIFS('Registre de reserves'!$W$2:$W$1178,'Registre de reserves'!$T$2:$T$1178,"NO",'Registre de reserves'!$I$2:$I$1178,'2023'!$A111,'Registre de reserves'!$B$2:$B$1178,'2023'!N$2,Tabla1[ANY],'2023'!$Z$76)</f>
        <v>0</v>
      </c>
      <c r="O111" s="21">
        <f t="shared" si="117"/>
        <v>0</v>
      </c>
      <c r="P111" s="23">
        <f>SUMIFS('Registre de reserves'!$W$2:$W$1178,'Registre de reserves'!$T$2:$T$1178,"NO",'Registre de reserves'!$I$2:$I$1178,'2023'!$A111,'Registre de reserves'!$B$2:$B$1178,'2023'!P$2,Tabla1[ANY],'2023'!$Z$76)</f>
        <v>0</v>
      </c>
      <c r="Q111" s="21">
        <f t="shared" si="118"/>
        <v>0</v>
      </c>
      <c r="R111" s="23">
        <f>SUMIFS('Registre de reserves'!$W$2:$W$1178,'Registre de reserves'!$T$2:$T$1178,"NO",'Registre de reserves'!$I$2:$I$1178,'2023'!$A111,'Registre de reserves'!$B$2:$B$1178,'2023'!R$2,Tabla1[ANY],'2023'!$Z$76)</f>
        <v>0</v>
      </c>
      <c r="S111" s="21">
        <f t="shared" si="119"/>
        <v>0</v>
      </c>
      <c r="T111" s="23">
        <f>SUMIFS('Registre de reserves'!$W$2:$W$1178,'Registre de reserves'!$T$2:$T$1178,"NO",'Registre de reserves'!$I$2:$I$1178,'2023'!$A111,'Registre de reserves'!$B$2:$B$1178,'2023'!T$2,Tabla1[ANY],'2023'!$Z$76)</f>
        <v>0</v>
      </c>
      <c r="U111" s="21">
        <f t="shared" si="120"/>
        <v>0</v>
      </c>
      <c r="V111" s="23">
        <f>SUMIFS('Registre de reserves'!$W$2:$W$1178,'Registre de reserves'!$T$2:$T$1178,"NO",'Registre de reserves'!$I$2:$I$1178,'2023'!$A111,'Registre de reserves'!$B$2:$B$1178,'2023'!V$2,Tabla1[ANY],'2023'!$Z$76)</f>
        <v>0</v>
      </c>
      <c r="W111" s="21">
        <f t="shared" si="121"/>
        <v>0</v>
      </c>
      <c r="X111" s="23">
        <f>SUMIFS('Registre de reserves'!$W$2:$W$1178,'Registre de reserves'!$T$2:$T$1178,"NO",'Registre de reserves'!$I$2:$I$1178,'2023'!$A111,'Registre de reserves'!$B$2:$B$1178,'2023'!X$2,Tabla1[ANY],'2023'!$Z$76)</f>
        <v>0</v>
      </c>
      <c r="Y111" s="21">
        <f t="shared" si="122"/>
        <v>0</v>
      </c>
      <c r="Z111" s="20">
        <f t="shared" si="100"/>
        <v>0</v>
      </c>
      <c r="AA111" s="21">
        <f t="shared" si="124"/>
        <v>0</v>
      </c>
    </row>
    <row r="112" spans="1:27" hidden="1" outlineLevel="1" x14ac:dyDescent="0.2">
      <c r="A112" s="8" t="s">
        <v>70</v>
      </c>
      <c r="B112" s="23">
        <f>SUMIFS('Registre de reserves'!$W$2:$W$1178,'Registre de reserves'!$T$2:$T$1178,"NO",'Registre de reserves'!$I$2:$I$1178,'2023'!$A112,'Registre de reserves'!$B$2:$B$1178,'2023'!B$2,Tabla1[ANY],'2023'!$Z$76)</f>
        <v>0</v>
      </c>
      <c r="C112" s="21">
        <f t="shared" si="123"/>
        <v>0</v>
      </c>
      <c r="D112" s="23">
        <f>SUMIFS('Registre de reserves'!$W$2:$W$1178,'Registre de reserves'!$T$2:$T$1178,"NO",'Registre de reserves'!$I$2:$I$1178,'2023'!$A112,'Registre de reserves'!$B$2:$B$1178,'2023'!D$2,Tabla1[ANY],'2023'!$Z$76)</f>
        <v>0</v>
      </c>
      <c r="E112" s="21">
        <f t="shared" si="123"/>
        <v>0</v>
      </c>
      <c r="F112" s="23">
        <f>SUMIFS('Registre de reserves'!$W$2:$W$1178,'Registre de reserves'!$T$2:$T$1178,"NO",'Registre de reserves'!$I$2:$I$1178,'2023'!$A112,'Registre de reserves'!$B$2:$B$1178,'2023'!F$2,Tabla1[ANY],'2023'!$Z$76)</f>
        <v>0</v>
      </c>
      <c r="G112" s="21">
        <f t="shared" si="113"/>
        <v>0</v>
      </c>
      <c r="H112" s="23">
        <f>SUMIFS('Registre de reserves'!$W$2:$W$1178,'Registre de reserves'!$T$2:$T$1178,"NO",'Registre de reserves'!$I$2:$I$1178,'2023'!$A112,'Registre de reserves'!$B$2:$B$1178,'2023'!H$2,Tabla1[ANY],'2023'!$Z$76)</f>
        <v>0</v>
      </c>
      <c r="I112" s="21">
        <f t="shared" si="114"/>
        <v>0</v>
      </c>
      <c r="J112" s="23">
        <f>SUMIFS('Registre de reserves'!$W$2:$W$1178,'Registre de reserves'!$T$2:$T$1178,"NO",'Registre de reserves'!$I$2:$I$1178,'2023'!$A112,'Registre de reserves'!$B$2:$B$1178,'2023'!J$2,Tabla1[ANY],'2023'!$Z$76)</f>
        <v>0</v>
      </c>
      <c r="K112" s="21">
        <f t="shared" si="115"/>
        <v>0</v>
      </c>
      <c r="L112" s="23">
        <f>SUMIFS('Registre de reserves'!$W$2:$W$1178,'Registre de reserves'!$T$2:$T$1178,"NO",'Registre de reserves'!$I$2:$I$1178,'2023'!$A112,'Registre de reserves'!$B$2:$B$1178,'2023'!L$2,Tabla1[ANY],'2023'!$Z$76)</f>
        <v>0</v>
      </c>
      <c r="M112" s="21">
        <f t="shared" si="116"/>
        <v>0</v>
      </c>
      <c r="N112" s="23">
        <f>SUMIFS('Registre de reserves'!$W$2:$W$1178,'Registre de reserves'!$T$2:$T$1178,"NO",'Registre de reserves'!$I$2:$I$1178,'2023'!$A112,'Registre de reserves'!$B$2:$B$1178,'2023'!N$2,Tabla1[ANY],'2023'!$Z$76)</f>
        <v>0</v>
      </c>
      <c r="O112" s="21">
        <f t="shared" si="117"/>
        <v>0</v>
      </c>
      <c r="P112" s="23">
        <f>SUMIFS('Registre de reserves'!$W$2:$W$1178,'Registre de reserves'!$T$2:$T$1178,"NO",'Registre de reserves'!$I$2:$I$1178,'2023'!$A112,'Registre de reserves'!$B$2:$B$1178,'2023'!P$2,Tabla1[ANY],'2023'!$Z$76)</f>
        <v>0</v>
      </c>
      <c r="Q112" s="21">
        <f t="shared" si="118"/>
        <v>0</v>
      </c>
      <c r="R112" s="23">
        <f>SUMIFS('Registre de reserves'!$W$2:$W$1178,'Registre de reserves'!$T$2:$T$1178,"NO",'Registre de reserves'!$I$2:$I$1178,'2023'!$A112,'Registre de reserves'!$B$2:$B$1178,'2023'!R$2,Tabla1[ANY],'2023'!$Z$76)</f>
        <v>0</v>
      </c>
      <c r="S112" s="21">
        <f t="shared" si="119"/>
        <v>0</v>
      </c>
      <c r="T112" s="23">
        <f>SUMIFS('Registre de reserves'!$W$2:$W$1178,'Registre de reserves'!$T$2:$T$1178,"NO",'Registre de reserves'!$I$2:$I$1178,'2023'!$A112,'Registre de reserves'!$B$2:$B$1178,'2023'!T$2,Tabla1[ANY],'2023'!$Z$76)</f>
        <v>0</v>
      </c>
      <c r="U112" s="21">
        <f t="shared" si="120"/>
        <v>0</v>
      </c>
      <c r="V112" s="23">
        <f>SUMIFS('Registre de reserves'!$W$2:$W$1178,'Registre de reserves'!$T$2:$T$1178,"NO",'Registre de reserves'!$I$2:$I$1178,'2023'!$A112,'Registre de reserves'!$B$2:$B$1178,'2023'!V$2,Tabla1[ANY],'2023'!$Z$76)</f>
        <v>0</v>
      </c>
      <c r="W112" s="21">
        <f t="shared" si="121"/>
        <v>0</v>
      </c>
      <c r="X112" s="23">
        <f>SUMIFS('Registre de reserves'!$W$2:$W$1178,'Registre de reserves'!$T$2:$T$1178,"NO",'Registre de reserves'!$I$2:$I$1178,'2023'!$A112,'Registre de reserves'!$B$2:$B$1178,'2023'!X$2,Tabla1[ANY],'2023'!$Z$76)</f>
        <v>0</v>
      </c>
      <c r="Y112" s="21">
        <f t="shared" si="122"/>
        <v>0</v>
      </c>
      <c r="Z112" s="20">
        <f t="shared" si="100"/>
        <v>0</v>
      </c>
      <c r="AA112" s="21">
        <f t="shared" si="124"/>
        <v>0</v>
      </c>
    </row>
    <row r="113" spans="1:27" hidden="1" outlineLevel="1" x14ac:dyDescent="0.2">
      <c r="A113" s="8" t="s">
        <v>73</v>
      </c>
      <c r="B113" s="23">
        <f>SUMIFS('Registre de reserves'!$W$2:$W$1178,'Registre de reserves'!$T$2:$T$1178,"NO",'Registre de reserves'!$I$2:$I$1178,'2023'!$A113,'Registre de reserves'!$B$2:$B$1178,'2023'!B$2,Tabla1[ANY],'2023'!$Z$76)</f>
        <v>0</v>
      </c>
      <c r="C113" s="21">
        <f t="shared" si="123"/>
        <v>0</v>
      </c>
      <c r="D113" s="23">
        <f>SUMIFS('Registre de reserves'!$W$2:$W$1178,'Registre de reserves'!$T$2:$T$1178,"NO",'Registre de reserves'!$I$2:$I$1178,'2023'!$A113,'Registre de reserves'!$B$2:$B$1178,'2023'!D$2,Tabla1[ANY],'2023'!$Z$76)</f>
        <v>0</v>
      </c>
      <c r="E113" s="21">
        <f t="shared" si="123"/>
        <v>0</v>
      </c>
      <c r="F113" s="23">
        <f>SUMIFS('Registre de reserves'!$W$2:$W$1178,'Registre de reserves'!$T$2:$T$1178,"NO",'Registre de reserves'!$I$2:$I$1178,'2023'!$A113,'Registre de reserves'!$B$2:$B$1178,'2023'!F$2,Tabla1[ANY],'2023'!$Z$76)</f>
        <v>0</v>
      </c>
      <c r="G113" s="21">
        <f t="shared" si="113"/>
        <v>0</v>
      </c>
      <c r="H113" s="23">
        <f>SUMIFS('Registre de reserves'!$W$2:$W$1178,'Registre de reserves'!$T$2:$T$1178,"NO",'Registre de reserves'!$I$2:$I$1178,'2023'!$A113,'Registre de reserves'!$B$2:$B$1178,'2023'!H$2,Tabla1[ANY],'2023'!$Z$76)</f>
        <v>0</v>
      </c>
      <c r="I113" s="21">
        <f t="shared" si="114"/>
        <v>0</v>
      </c>
      <c r="J113" s="23">
        <f>SUMIFS('Registre de reserves'!$W$2:$W$1178,'Registre de reserves'!$T$2:$T$1178,"NO",'Registre de reserves'!$I$2:$I$1178,'2023'!$A113,'Registre de reserves'!$B$2:$B$1178,'2023'!J$2,Tabla1[ANY],'2023'!$Z$76)</f>
        <v>0</v>
      </c>
      <c r="K113" s="21">
        <f t="shared" si="115"/>
        <v>0</v>
      </c>
      <c r="L113" s="23">
        <f>SUMIFS('Registre de reserves'!$W$2:$W$1178,'Registre de reserves'!$T$2:$T$1178,"NO",'Registre de reserves'!$I$2:$I$1178,'2023'!$A113,'Registre de reserves'!$B$2:$B$1178,'2023'!L$2,Tabla1[ANY],'2023'!$Z$76)</f>
        <v>0</v>
      </c>
      <c r="M113" s="21">
        <f t="shared" si="116"/>
        <v>0</v>
      </c>
      <c r="N113" s="23">
        <f>SUMIFS('Registre de reserves'!$W$2:$W$1178,'Registre de reserves'!$T$2:$T$1178,"NO",'Registre de reserves'!$I$2:$I$1178,'2023'!$A113,'Registre de reserves'!$B$2:$B$1178,'2023'!N$2,Tabla1[ANY],'2023'!$Z$76)</f>
        <v>0</v>
      </c>
      <c r="O113" s="21">
        <f t="shared" si="117"/>
        <v>0</v>
      </c>
      <c r="P113" s="23">
        <f>SUMIFS('Registre de reserves'!$W$2:$W$1178,'Registre de reserves'!$T$2:$T$1178,"NO",'Registre de reserves'!$I$2:$I$1178,'2023'!$A113,'Registre de reserves'!$B$2:$B$1178,'2023'!P$2,Tabla1[ANY],'2023'!$Z$76)</f>
        <v>0</v>
      </c>
      <c r="Q113" s="21">
        <f t="shared" si="118"/>
        <v>0</v>
      </c>
      <c r="R113" s="23">
        <f>SUMIFS('Registre de reserves'!$W$2:$W$1178,'Registre de reserves'!$T$2:$T$1178,"NO",'Registre de reserves'!$I$2:$I$1178,'2023'!$A113,'Registre de reserves'!$B$2:$B$1178,'2023'!R$2,Tabla1[ANY],'2023'!$Z$76)</f>
        <v>0</v>
      </c>
      <c r="S113" s="21">
        <f t="shared" si="119"/>
        <v>0</v>
      </c>
      <c r="T113" s="23">
        <f>SUMIFS('Registre de reserves'!$W$2:$W$1178,'Registre de reserves'!$T$2:$T$1178,"NO",'Registre de reserves'!$I$2:$I$1178,'2023'!$A113,'Registre de reserves'!$B$2:$B$1178,'2023'!T$2,Tabla1[ANY],'2023'!$Z$76)</f>
        <v>0</v>
      </c>
      <c r="U113" s="21">
        <f t="shared" si="120"/>
        <v>0</v>
      </c>
      <c r="V113" s="23">
        <f>SUMIFS('Registre de reserves'!$W$2:$W$1178,'Registre de reserves'!$T$2:$T$1178,"NO",'Registre de reserves'!$I$2:$I$1178,'2023'!$A113,'Registre de reserves'!$B$2:$B$1178,'2023'!V$2,Tabla1[ANY],'2023'!$Z$76)</f>
        <v>0</v>
      </c>
      <c r="W113" s="21">
        <f t="shared" si="121"/>
        <v>0</v>
      </c>
      <c r="X113" s="23">
        <f>SUMIFS('Registre de reserves'!$W$2:$W$1178,'Registre de reserves'!$T$2:$T$1178,"NO",'Registre de reserves'!$I$2:$I$1178,'2023'!$A113,'Registre de reserves'!$B$2:$B$1178,'2023'!X$2,Tabla1[ANY],'2023'!$Z$76)</f>
        <v>0</v>
      </c>
      <c r="Y113" s="21">
        <f t="shared" si="122"/>
        <v>0</v>
      </c>
      <c r="Z113" s="20">
        <f t="shared" si="100"/>
        <v>0</v>
      </c>
      <c r="AA113" s="21">
        <f t="shared" si="124"/>
        <v>0</v>
      </c>
    </row>
    <row r="114" spans="1:27" ht="15.75" collapsed="1" thickBot="1" x14ac:dyDescent="0.25">
      <c r="A114" s="14" t="s">
        <v>78</v>
      </c>
      <c r="B114" s="24">
        <f>B115+B123</f>
        <v>1257.0151000000001</v>
      </c>
      <c r="C114" s="25">
        <f>IF(B173=0,0,B114/B77)</f>
        <v>0</v>
      </c>
      <c r="D114" s="24">
        <f>D115+D123</f>
        <v>829.78</v>
      </c>
      <c r="E114" s="25">
        <f>IF(D173=0,0,D114/D77)</f>
        <v>0.44611827956989247</v>
      </c>
      <c r="F114" s="24">
        <f>F115+F123</f>
        <v>723.91</v>
      </c>
      <c r="G114" s="25">
        <f>IF(F173=0,0,F114/F77)</f>
        <v>0</v>
      </c>
      <c r="H114" s="24">
        <f>H115+H123</f>
        <v>776.56999999999994</v>
      </c>
      <c r="I114" s="25">
        <f>IF(H173=0,0,H114/H77)</f>
        <v>0</v>
      </c>
      <c r="J114" s="24">
        <f>J115+J123</f>
        <v>936.32999999999993</v>
      </c>
      <c r="K114" s="25">
        <f>IF(J173=0,0,J114/J77)</f>
        <v>0</v>
      </c>
      <c r="L114" s="24">
        <f>L115+L123</f>
        <v>829.25</v>
      </c>
      <c r="M114" s="25">
        <f>IF(L173=0,0,L114/L77)</f>
        <v>0</v>
      </c>
      <c r="N114" s="24">
        <f>N115+N123</f>
        <v>1072.0999999999999</v>
      </c>
      <c r="O114" s="25">
        <f>IF(N173=0,0,N114/N77)</f>
        <v>0</v>
      </c>
      <c r="P114" s="24">
        <f>P115+P123</f>
        <v>982.42</v>
      </c>
      <c r="Q114" s="25">
        <f>IF(P173=0,0,P114/P77)</f>
        <v>0</v>
      </c>
      <c r="R114" s="24">
        <f>R115+R123</f>
        <v>784.53000000000009</v>
      </c>
      <c r="S114" s="25">
        <f>IF(R173=0,0,R114/R77)</f>
        <v>0</v>
      </c>
      <c r="T114" s="24">
        <f>T115+T123</f>
        <v>817.68999999999994</v>
      </c>
      <c r="U114" s="25">
        <f>IF(T173=0,0,T114/T77)</f>
        <v>0</v>
      </c>
      <c r="V114" s="24">
        <f>V115+V123</f>
        <v>637.79</v>
      </c>
      <c r="W114" s="25">
        <f>IF(V173=0,0,V114/V77)</f>
        <v>0</v>
      </c>
      <c r="X114" s="24">
        <f>X115+X123</f>
        <v>1512.3</v>
      </c>
      <c r="Y114" s="25">
        <f>IF(X173=0,0,X114/X77)</f>
        <v>0</v>
      </c>
      <c r="Z114" s="24">
        <f>Z115+Z123</f>
        <v>11159.685100000001</v>
      </c>
      <c r="AA114" s="25">
        <f>IF(Z173=0,0,Z114/Z77)</f>
        <v>0.61452010462555073</v>
      </c>
    </row>
    <row r="115" spans="1:27" x14ac:dyDescent="0.2">
      <c r="A115" s="33" t="s">
        <v>79</v>
      </c>
      <c r="B115" s="18">
        <f>SUM(B116:B122)</f>
        <v>488</v>
      </c>
      <c r="C115" s="19">
        <f>IF(B$114=0,0,B115/B$114)</f>
        <v>0.38822127116850064</v>
      </c>
      <c r="D115" s="18">
        <f>SUM(D116:D122)</f>
        <v>534.61</v>
      </c>
      <c r="E115" s="19">
        <f>IF(D$114=0,0,D115/D$114)</f>
        <v>0.64427920653667237</v>
      </c>
      <c r="F115" s="18">
        <f>SUM(F116:F122)</f>
        <v>534.5</v>
      </c>
      <c r="G115" s="19">
        <f>IF(F$114=0,0,F115/F$114)</f>
        <v>0.73835145252862933</v>
      </c>
      <c r="H115" s="18">
        <f>SUM(H116:H122)</f>
        <v>474</v>
      </c>
      <c r="I115" s="19">
        <f>IF(H$114=0,0,H115/H$114)</f>
        <v>0.61037639877924721</v>
      </c>
      <c r="J115" s="18">
        <f>SUM(J116:J122)</f>
        <v>722.14</v>
      </c>
      <c r="K115" s="19">
        <f>IF(J$114=0,0,J115/J$114)</f>
        <v>0.77124518065212055</v>
      </c>
      <c r="L115" s="18">
        <f>SUM(L116:L122)</f>
        <v>534.5</v>
      </c>
      <c r="M115" s="19">
        <f>IF(L$114=0,0,L115/L$114)</f>
        <v>0.6445583358456437</v>
      </c>
      <c r="N115" s="18">
        <f>SUM(N116:N122)</f>
        <v>534.5</v>
      </c>
      <c r="O115" s="19">
        <f>IF(N$114=0,0,N115/N$114)</f>
        <v>0.49855423934334486</v>
      </c>
      <c r="P115" s="18">
        <f>SUM(P116:P122)</f>
        <v>534.79999999999995</v>
      </c>
      <c r="Q115" s="19">
        <f>IF(P$114=0,0,P115/P$114)</f>
        <v>0.54437002504020682</v>
      </c>
      <c r="R115" s="18">
        <f>SUM(R116:R122)</f>
        <v>555.95000000000005</v>
      </c>
      <c r="S115" s="19">
        <f>IF(R$114=0,0,R115/R$114)</f>
        <v>0.70864084228773916</v>
      </c>
      <c r="T115" s="18">
        <f>SUM(T116:T122)</f>
        <v>586.79999999999995</v>
      </c>
      <c r="U115" s="19">
        <f>IF(T$114=0,0,T115/T$114)</f>
        <v>0.71763137619391215</v>
      </c>
      <c r="V115" s="18">
        <f>SUM(V116:V122)</f>
        <v>468.84</v>
      </c>
      <c r="W115" s="19">
        <f>IF(V$114=0,0,V115/V$114)</f>
        <v>0.73510089527901035</v>
      </c>
      <c r="X115" s="18">
        <f>SUM(X116:X122)</f>
        <v>1136.97</v>
      </c>
      <c r="Y115" s="19">
        <f>IF(X$114=0,0,X115/X$114)</f>
        <v>0.75181511604840312</v>
      </c>
      <c r="Z115" s="18">
        <f>SUM(Z116:Z122)</f>
        <v>7105.6100000000006</v>
      </c>
      <c r="AA115" s="19">
        <f>IF(Z$114=0,0,Z115/Z$114)</f>
        <v>0.63672137128672213</v>
      </c>
    </row>
    <row r="116" spans="1:27" hidden="1" outlineLevel="1" x14ac:dyDescent="0.2">
      <c r="A116" s="8" t="s">
        <v>16</v>
      </c>
      <c r="B116" s="20">
        <f>SUMIFS(Tabla2[A],Tabla2[ANY],$Z$76,Tabla2[MES],'2023'!B$2,Tabla2[TIPUS],'2023'!$A116)</f>
        <v>408</v>
      </c>
      <c r="C116" s="21">
        <f>IF(B$115=0,0,B116/B$115)</f>
        <v>0.83606557377049184</v>
      </c>
      <c r="D116" s="20">
        <f>SUMIFS(Tabla2[A],Tabla2[ANY],$Z$76,Tabla2[MES],'2023'!D$2,Tabla2[TIPUS],'2023'!$A116)</f>
        <v>408</v>
      </c>
      <c r="E116" s="21">
        <f>IF(D$115=0,0,D116/D$115)</f>
        <v>0.7631731542619854</v>
      </c>
      <c r="F116" s="20">
        <f>SUMIFS(Tabla2[A],Tabla2[ANY],$Z$76,Tabla2[MES],'2023'!F$2,Tabla2[TIPUS],'2023'!$A116)</f>
        <v>408</v>
      </c>
      <c r="G116" s="21">
        <f t="shared" ref="G116:G122" si="125">IF(F$115=0,0,F116/F$115)</f>
        <v>0.76333021515434984</v>
      </c>
      <c r="H116" s="20">
        <f>SUMIFS(Tabla2[A],Tabla2[ANY],$Z$76,Tabla2[MES],'2023'!H$2,Tabla2[TIPUS],'2023'!$A116)</f>
        <v>408</v>
      </c>
      <c r="I116" s="21">
        <f t="shared" ref="I116:I122" si="126">IF(H$115=0,0,H116/H$115)</f>
        <v>0.86075949367088611</v>
      </c>
      <c r="J116" s="20">
        <f>SUMIFS(Tabla2[A],Tabla2[ANY],$Z$76,Tabla2[MES],'2023'!J$2,Tabla2[TIPUS],'2023'!$A116)</f>
        <v>408</v>
      </c>
      <c r="K116" s="21">
        <f t="shared" ref="K116:K122" si="127">IF(J$115=0,0,J116/J$115)</f>
        <v>0.56498739856537517</v>
      </c>
      <c r="L116" s="20">
        <f>SUMIFS(Tabla2[A],Tabla2[ANY],$Z$76,Tabla2[MES],'2023'!L$2,Tabla2[TIPUS],'2023'!$A116)</f>
        <v>408</v>
      </c>
      <c r="M116" s="21">
        <f t="shared" ref="M116:M122" si="128">IF(L$115=0,0,L116/L$115)</f>
        <v>0.76333021515434984</v>
      </c>
      <c r="N116" s="20">
        <f>SUMIFS(Tabla2[A],Tabla2[ANY],$Z$76,Tabla2[MES],'2023'!N$2,Tabla2[TIPUS],'2023'!$A116)</f>
        <v>408</v>
      </c>
      <c r="O116" s="21">
        <f t="shared" ref="O116:O122" si="129">IF(N$115=0,0,N116/N$115)</f>
        <v>0.76333021515434984</v>
      </c>
      <c r="P116" s="20">
        <f>SUMIFS(Tabla2[A],Tabla2[ANY],$Z$76,Tabla2[MES],'2023'!P$2,Tabla2[TIPUS],'2023'!$A116)</f>
        <v>408</v>
      </c>
      <c r="Q116" s="21">
        <f t="shared" ref="Q116:Q122" si="130">IF(P$115=0,0,P116/P$115)</f>
        <v>0.76290201944652214</v>
      </c>
      <c r="R116" s="20">
        <f>SUMIFS(Tabla2[A],Tabla2[ANY],$Z$76,Tabla2[MES],'2023'!R$2,Tabla2[TIPUS],'2023'!$A116)</f>
        <v>408</v>
      </c>
      <c r="S116" s="21">
        <f t="shared" ref="S116:S122" si="131">IF(R$115=0,0,R116/R$115)</f>
        <v>0.73387894594837655</v>
      </c>
      <c r="T116" s="20">
        <f>SUMIFS(Tabla2[A],Tabla2[ANY],$Z$76,Tabla2[MES],'2023'!T$2,Tabla2[TIPUS],'2023'!$A116)</f>
        <v>408</v>
      </c>
      <c r="U116" s="21">
        <f t="shared" ref="U116:U122" si="132">IF(T$115=0,0,T116/T$115)</f>
        <v>0.69529652351738247</v>
      </c>
      <c r="V116" s="20">
        <f>SUMIFS(Tabla2[A],Tabla2[ANY],$Z$76,Tabla2[MES],'2023'!V$2,Tabla2[TIPUS],'2023'!$A116)</f>
        <v>408</v>
      </c>
      <c r="W116" s="21">
        <f t="shared" ref="W116:W122" si="133">IF(V$115=0,0,V116/V$115)</f>
        <v>0.87023291528026625</v>
      </c>
      <c r="X116" s="20">
        <f>SUMIFS(Tabla2[A],Tabla2[ANY],$Z$76,Tabla2[MES],'2023'!X$2,Tabla2[TIPUS],'2023'!$A116)</f>
        <v>408</v>
      </c>
      <c r="Y116" s="21">
        <f t="shared" ref="Y116:Y122" si="134">IF(X$115=0,0,X116/X$115)</f>
        <v>0.35884851843056542</v>
      </c>
      <c r="Z116" s="20">
        <f t="shared" ref="Z116:Z128" si="135">B116+D116+F116+H116+J116+L116+N116+P116+R116+T116+V116+X116</f>
        <v>4896</v>
      </c>
      <c r="AA116" s="21">
        <f>IF(Z$115=0,0,Z116/Z$115)</f>
        <v>0.6890330316468255</v>
      </c>
    </row>
    <row r="117" spans="1:27" hidden="1" outlineLevel="1" x14ac:dyDescent="0.2">
      <c r="A117" s="8" t="s">
        <v>17</v>
      </c>
      <c r="B117" s="20">
        <f>SUMIFS(Tabla2[A],Tabla2[ANY],$Z$76,Tabla2[MES],'2023'!B$2,Tabla2[TIPUS],'2023'!$A117)</f>
        <v>0</v>
      </c>
      <c r="C117" s="21">
        <f t="shared" ref="C117:E122" si="136">IF(B$115=0,0,B117/B$115)</f>
        <v>0</v>
      </c>
      <c r="D117" s="20">
        <f>SUMIFS(Tabla2[A],Tabla2[ANY],$Z$76,Tabla2[MES],'2023'!D$2,Tabla2[TIPUS],'2023'!$A117)</f>
        <v>0</v>
      </c>
      <c r="E117" s="21">
        <f t="shared" si="136"/>
        <v>0</v>
      </c>
      <c r="F117" s="20">
        <f>SUMIFS(Tabla2[A],Tabla2[ANY],$Z$76,Tabla2[MES],'2023'!F$2,Tabla2[TIPUS],'2023'!$A117)</f>
        <v>0</v>
      </c>
      <c r="G117" s="21">
        <f t="shared" si="125"/>
        <v>0</v>
      </c>
      <c r="H117" s="20">
        <f>SUMIFS(Tabla2[A],Tabla2[ANY],$Z$76,Tabla2[MES],'2023'!H$2,Tabla2[TIPUS],'2023'!$A117)</f>
        <v>0</v>
      </c>
      <c r="I117" s="21">
        <f t="shared" si="126"/>
        <v>0</v>
      </c>
      <c r="J117" s="20">
        <f>SUMIFS(Tabla2[A],Tabla2[ANY],$Z$76,Tabla2[MES],'2023'!J$2,Tabla2[TIPUS],'2023'!$A117)</f>
        <v>0</v>
      </c>
      <c r="K117" s="21">
        <f t="shared" si="127"/>
        <v>0</v>
      </c>
      <c r="L117" s="20">
        <f>SUMIFS(Tabla2[A],Tabla2[ANY],$Z$76,Tabla2[MES],'2023'!L$2,Tabla2[TIPUS],'2023'!$A117)</f>
        <v>0</v>
      </c>
      <c r="M117" s="21">
        <f t="shared" si="128"/>
        <v>0</v>
      </c>
      <c r="N117" s="20">
        <f>SUMIFS(Tabla2[A],Tabla2[ANY],$Z$76,Tabla2[MES],'2023'!N$2,Tabla2[TIPUS],'2023'!$A117)</f>
        <v>0</v>
      </c>
      <c r="O117" s="21">
        <f t="shared" si="129"/>
        <v>0</v>
      </c>
      <c r="P117" s="20">
        <f>SUMIFS(Tabla2[A],Tabla2[ANY],$Z$76,Tabla2[MES],'2023'!P$2,Tabla2[TIPUS],'2023'!$A117)</f>
        <v>0</v>
      </c>
      <c r="Q117" s="21">
        <f t="shared" si="130"/>
        <v>0</v>
      </c>
      <c r="R117" s="20">
        <f>SUMIFS(Tabla2[A],Tabla2[ANY],$Z$76,Tabla2[MES],'2023'!R$2,Tabla2[TIPUS],'2023'!$A117)</f>
        <v>0</v>
      </c>
      <c r="S117" s="21">
        <f t="shared" si="131"/>
        <v>0</v>
      </c>
      <c r="T117" s="20">
        <f>SUMIFS(Tabla2[A],Tabla2[ANY],$Z$76,Tabla2[MES],'2023'!T$2,Tabla2[TIPUS],'2023'!$A117)</f>
        <v>0</v>
      </c>
      <c r="U117" s="21">
        <f t="shared" si="132"/>
        <v>0</v>
      </c>
      <c r="V117" s="20">
        <f>SUMIFS(Tabla2[A],Tabla2[ANY],$Z$76,Tabla2[MES],'2023'!V$2,Tabla2[TIPUS],'2023'!$A117)</f>
        <v>0</v>
      </c>
      <c r="W117" s="21">
        <f t="shared" si="133"/>
        <v>0</v>
      </c>
      <c r="X117" s="20">
        <f>SUMIFS(Tabla2[A],Tabla2[ANY],$Z$76,Tabla2[MES],'2023'!X$2,Tabla2[TIPUS],'2023'!$A117)</f>
        <v>0</v>
      </c>
      <c r="Y117" s="21">
        <f t="shared" si="134"/>
        <v>0</v>
      </c>
      <c r="Z117" s="20">
        <f t="shared" si="135"/>
        <v>0</v>
      </c>
      <c r="AA117" s="21">
        <f t="shared" ref="AA117:AA122" si="137">IF(Z$115=0,0,Z117/Z$115)</f>
        <v>0</v>
      </c>
    </row>
    <row r="118" spans="1:27" hidden="1" outlineLevel="1" x14ac:dyDescent="0.2">
      <c r="A118" s="8" t="s">
        <v>85</v>
      </c>
      <c r="B118" s="20">
        <f>SUMIFS(Tabla2[A],Tabla2[ANY],$Z$76,Tabla2[MES],'2023'!B$2,Tabla2[TIPUS],'2023'!$A118)</f>
        <v>0</v>
      </c>
      <c r="C118" s="21">
        <f t="shared" si="136"/>
        <v>0</v>
      </c>
      <c r="D118" s="20">
        <f>SUMIFS(Tabla2[A],Tabla2[ANY],$Z$76,Tabla2[MES],'2023'!D$2,Tabla2[TIPUS],'2023'!$A118)</f>
        <v>60.5</v>
      </c>
      <c r="E118" s="21">
        <f t="shared" si="136"/>
        <v>0.11316660743345616</v>
      </c>
      <c r="F118" s="20">
        <f>SUMIFS(Tabla2[A],Tabla2[ANY],$Z$76,Tabla2[MES],'2023'!F$2,Tabla2[TIPUS],'2023'!$A118)</f>
        <v>60.5</v>
      </c>
      <c r="G118" s="21">
        <f t="shared" si="125"/>
        <v>0.11318989710009354</v>
      </c>
      <c r="H118" s="20">
        <f>SUMIFS(Tabla2[A],Tabla2[ANY],$Z$76,Tabla2[MES],'2023'!H$2,Tabla2[TIPUS],'2023'!$A118)</f>
        <v>0</v>
      </c>
      <c r="I118" s="21">
        <f t="shared" si="126"/>
        <v>0</v>
      </c>
      <c r="J118" s="20">
        <f>SUMIFS(Tabla2[A],Tabla2[ANY],$Z$76,Tabla2[MES],'2023'!J$2,Tabla2[TIPUS],'2023'!$A118)</f>
        <v>60.5</v>
      </c>
      <c r="K118" s="21">
        <f t="shared" si="127"/>
        <v>8.3778768659816663E-2</v>
      </c>
      <c r="L118" s="20">
        <f>SUMIFS(Tabla2[A],Tabla2[ANY],$Z$76,Tabla2[MES],'2023'!L$2,Tabla2[TIPUS],'2023'!$A118)</f>
        <v>60.5</v>
      </c>
      <c r="M118" s="21">
        <f t="shared" si="128"/>
        <v>0.11318989710009354</v>
      </c>
      <c r="N118" s="20">
        <f>SUMIFS(Tabla2[A],Tabla2[ANY],$Z$76,Tabla2[MES],'2023'!N$2,Tabla2[TIPUS],'2023'!$A118)</f>
        <v>60.5</v>
      </c>
      <c r="O118" s="21">
        <f t="shared" si="129"/>
        <v>0.11318989710009354</v>
      </c>
      <c r="P118" s="20">
        <f>SUMIFS(Tabla2[A],Tabla2[ANY],$Z$76,Tabla2[MES],'2023'!P$2,Tabla2[TIPUS],'2023'!$A118)</f>
        <v>60.5</v>
      </c>
      <c r="Q118" s="21">
        <f t="shared" si="130"/>
        <v>0.1131264023934181</v>
      </c>
      <c r="R118" s="20">
        <f>SUMIFS(Tabla2[A],Tabla2[ANY],$Z$76,Tabla2[MES],'2023'!R$2,Tabla2[TIPUS],'2023'!$A118)</f>
        <v>60.5</v>
      </c>
      <c r="S118" s="21">
        <f t="shared" si="131"/>
        <v>0.10882273585754114</v>
      </c>
      <c r="T118" s="20">
        <f>SUMIFS(Tabla2[A],Tabla2[ANY],$Z$76,Tabla2[MES],'2023'!T$2,Tabla2[TIPUS],'2023'!$A118)</f>
        <v>60.5</v>
      </c>
      <c r="U118" s="21">
        <f t="shared" si="132"/>
        <v>0.10310156782549422</v>
      </c>
      <c r="V118" s="20">
        <f>SUMIFS(Tabla2[A],Tabla2[ANY],$Z$76,Tabla2[MES],'2023'!V$2,Tabla2[TIPUS],'2023'!$A118)</f>
        <v>60.5</v>
      </c>
      <c r="W118" s="21">
        <f t="shared" si="133"/>
        <v>0.12904189062366692</v>
      </c>
      <c r="X118" s="20">
        <f>SUMIFS(Tabla2[A],Tabla2[ANY],$Z$76,Tabla2[MES],'2023'!X$2,Tabla2[TIPUS],'2023'!$A118)</f>
        <v>60.5</v>
      </c>
      <c r="Y118" s="21">
        <f t="shared" si="134"/>
        <v>5.3211606286885316E-2</v>
      </c>
      <c r="Z118" s="20">
        <f t="shared" si="135"/>
        <v>605</v>
      </c>
      <c r="AA118" s="21">
        <f t="shared" si="137"/>
        <v>8.5143991859952903E-2</v>
      </c>
    </row>
    <row r="119" spans="1:27" hidden="1" outlineLevel="1" x14ac:dyDescent="0.2">
      <c r="A119" s="8" t="s">
        <v>94</v>
      </c>
      <c r="B119" s="20">
        <f>SUMIFS(Tabla2[A],Tabla2[ANY],$Z$76,Tabla2[MES],'2023'!B$2,Tabla2[TIPUS],'2023'!$A119)</f>
        <v>0</v>
      </c>
      <c r="C119" s="21">
        <f t="shared" si="136"/>
        <v>0</v>
      </c>
      <c r="D119" s="20">
        <f>SUMIFS(Tabla2[A],Tabla2[ANY],$Z$76,Tabla2[MES],'2023'!D$2,Tabla2[TIPUS],'2023'!$A119)</f>
        <v>0</v>
      </c>
      <c r="E119" s="21">
        <f t="shared" si="136"/>
        <v>0</v>
      </c>
      <c r="F119" s="20">
        <f>SUMIFS(Tabla2[A],Tabla2[ANY],$Z$76,Tabla2[MES],'2023'!F$2,Tabla2[TIPUS],'2023'!$A119)</f>
        <v>0</v>
      </c>
      <c r="G119" s="21">
        <f t="shared" si="125"/>
        <v>0</v>
      </c>
      <c r="H119" s="20">
        <f>SUMIFS(Tabla2[A],Tabla2[ANY],$Z$76,Tabla2[MES],'2023'!H$2,Tabla2[TIPUS],'2023'!$A119)</f>
        <v>0</v>
      </c>
      <c r="I119" s="21">
        <f t="shared" si="126"/>
        <v>0</v>
      </c>
      <c r="J119" s="20">
        <f>SUMIFS(Tabla2[A],Tabla2[ANY],$Z$76,Tabla2[MES],'2023'!J$2,Tabla2[TIPUS],'2023'!$A119)</f>
        <v>187.64</v>
      </c>
      <c r="K119" s="21">
        <f t="shared" si="127"/>
        <v>0.25983881241864459</v>
      </c>
      <c r="L119" s="20">
        <f>SUMIFS(Tabla2[A],Tabla2[ANY],$Z$76,Tabla2[MES],'2023'!L$2,Tabla2[TIPUS],'2023'!$A119)</f>
        <v>0</v>
      </c>
      <c r="M119" s="21">
        <f t="shared" si="128"/>
        <v>0</v>
      </c>
      <c r="N119" s="20">
        <f>SUMIFS(Tabla2[A],Tabla2[ANY],$Z$76,Tabla2[MES],'2023'!N$2,Tabla2[TIPUS],'2023'!$A119)</f>
        <v>0</v>
      </c>
      <c r="O119" s="21">
        <f t="shared" si="129"/>
        <v>0</v>
      </c>
      <c r="P119" s="20">
        <f>SUMIFS(Tabla2[A],Tabla2[ANY],$Z$76,Tabla2[MES],'2023'!P$2,Tabla2[TIPUS],'2023'!$A119)</f>
        <v>0</v>
      </c>
      <c r="Q119" s="21">
        <f t="shared" si="130"/>
        <v>0</v>
      </c>
      <c r="R119" s="20">
        <f>SUMIFS(Tabla2[A],Tabla2[ANY],$Z$76,Tabla2[MES],'2023'!R$2,Tabla2[TIPUS],'2023'!$A119)</f>
        <v>0</v>
      </c>
      <c r="S119" s="21">
        <f t="shared" si="131"/>
        <v>0</v>
      </c>
      <c r="T119" s="20">
        <f>SUMIFS(Tabla2[A],Tabla2[ANY],$Z$76,Tabla2[MES],'2023'!T$2,Tabla2[TIPUS],'2023'!$A119)</f>
        <v>0</v>
      </c>
      <c r="U119" s="21">
        <f t="shared" si="132"/>
        <v>0</v>
      </c>
      <c r="V119" s="20">
        <f>SUMIFS(Tabla2[A],Tabla2[ANY],$Z$76,Tabla2[MES],'2023'!V$2,Tabla2[TIPUS],'2023'!$A119)</f>
        <v>0</v>
      </c>
      <c r="W119" s="21">
        <f t="shared" si="133"/>
        <v>0</v>
      </c>
      <c r="X119" s="20">
        <f>SUMIFS(Tabla2[A],Tabla2[ANY],$Z$76,Tabla2[MES],'2023'!X$2,Tabla2[TIPUS],'2023'!$A119)</f>
        <v>0</v>
      </c>
      <c r="Y119" s="21">
        <f t="shared" si="134"/>
        <v>0</v>
      </c>
      <c r="Z119" s="20">
        <f t="shared" si="135"/>
        <v>187.64</v>
      </c>
      <c r="AA119" s="21">
        <f t="shared" si="137"/>
        <v>2.6407303524961259E-2</v>
      </c>
    </row>
    <row r="120" spans="1:27" hidden="1" outlineLevel="1" x14ac:dyDescent="0.2">
      <c r="A120" s="8" t="s">
        <v>118</v>
      </c>
      <c r="B120" s="20">
        <f>SUMIFS(Tabla2[A],Tabla2[ANY],$Z$76,Tabla2[MES],'2023'!B$2,Tabla2[TIPUS],'2023'!$A120)</f>
        <v>0</v>
      </c>
      <c r="C120" s="21">
        <f t="shared" si="136"/>
        <v>0</v>
      </c>
      <c r="D120" s="20">
        <f>SUMIFS(Tabla2[A],Tabla2[ANY],$Z$76,Tabla2[MES],'2023'!D$2,Tabla2[TIPUS],'2023'!$A120)</f>
        <v>0</v>
      </c>
      <c r="E120" s="21">
        <f t="shared" si="136"/>
        <v>0</v>
      </c>
      <c r="F120" s="20">
        <f>SUMIFS(Tabla2[A],Tabla2[ANY],$Z$76,Tabla2[MES],'2023'!F$2,Tabla2[TIPUS],'2023'!$A120)</f>
        <v>0</v>
      </c>
      <c r="G120" s="21">
        <f t="shared" si="125"/>
        <v>0</v>
      </c>
      <c r="H120" s="20">
        <f>SUMIFS(Tabla2[A],Tabla2[ANY],$Z$76,Tabla2[MES],'2023'!H$2,Tabla2[TIPUS],'2023'!$A120)</f>
        <v>0</v>
      </c>
      <c r="I120" s="21">
        <f t="shared" si="126"/>
        <v>0</v>
      </c>
      <c r="J120" s="20">
        <f>SUMIFS(Tabla2[A],Tabla2[ANY],$Z$76,Tabla2[MES],'2023'!J$2,Tabla2[TIPUS],'2023'!$A120)</f>
        <v>0</v>
      </c>
      <c r="K120" s="21">
        <f t="shared" si="127"/>
        <v>0</v>
      </c>
      <c r="L120" s="20">
        <f>SUMIFS(Tabla2[A],Tabla2[ANY],$Z$76,Tabla2[MES],'2023'!L$2,Tabla2[TIPUS],'2023'!$A120)</f>
        <v>0</v>
      </c>
      <c r="M120" s="21">
        <f t="shared" si="128"/>
        <v>0</v>
      </c>
      <c r="N120" s="20">
        <f>SUMIFS(Tabla2[A],Tabla2[ANY],$Z$76,Tabla2[MES],'2023'!N$2,Tabla2[TIPUS],'2023'!$A120)</f>
        <v>0</v>
      </c>
      <c r="O120" s="21">
        <f t="shared" si="129"/>
        <v>0</v>
      </c>
      <c r="P120" s="20">
        <f>SUMIFS(Tabla2[A],Tabla2[ANY],$Z$76,Tabla2[MES],'2023'!P$2,Tabla2[TIPUS],'2023'!$A120)</f>
        <v>0</v>
      </c>
      <c r="Q120" s="21">
        <f t="shared" si="130"/>
        <v>0</v>
      </c>
      <c r="R120" s="20">
        <f>SUMIFS(Tabla2[A],Tabla2[ANY],$Z$76,Tabla2[MES],'2023'!R$2,Tabla2[TIPUS],'2023'!$A120)</f>
        <v>0</v>
      </c>
      <c r="S120" s="21">
        <f t="shared" si="131"/>
        <v>0</v>
      </c>
      <c r="T120" s="20">
        <f>SUMIFS(Tabla2[A],Tabla2[ANY],$Z$76,Tabla2[MES],'2023'!T$2,Tabla2[TIPUS],'2023'!$A120)</f>
        <v>0</v>
      </c>
      <c r="U120" s="21">
        <f t="shared" si="132"/>
        <v>0</v>
      </c>
      <c r="V120" s="20">
        <f>SUMIFS(Tabla2[A],Tabla2[ANY],$Z$76,Tabla2[MES],'2023'!V$2,Tabla2[TIPUS],'2023'!$A120)</f>
        <v>0</v>
      </c>
      <c r="W120" s="21">
        <f t="shared" si="133"/>
        <v>0</v>
      </c>
      <c r="X120" s="20">
        <f>SUMIFS(Tabla2[A],Tabla2[ANY],$Z$76,Tabla2[MES],'2023'!X$2,Tabla2[TIPUS],'2023'!$A120)</f>
        <v>626.78</v>
      </c>
      <c r="Y120" s="21">
        <f t="shared" si="134"/>
        <v>0.5512722411321318</v>
      </c>
      <c r="Z120" s="20">
        <f t="shared" si="135"/>
        <v>626.78</v>
      </c>
      <c r="AA120" s="21">
        <f t="shared" si="137"/>
        <v>8.8209175566911199E-2</v>
      </c>
    </row>
    <row r="121" spans="1:27" hidden="1" outlineLevel="1" x14ac:dyDescent="0.2">
      <c r="A121" s="8" t="s">
        <v>97</v>
      </c>
      <c r="B121" s="20">
        <f>SUMIFS(Tabla2[A],Tabla2[ANY],$Z$76,Tabla2[MES],'2023'!B$2,Tabla2[TIPUS],'2023'!$A121)</f>
        <v>18</v>
      </c>
      <c r="C121" s="21">
        <f t="shared" si="136"/>
        <v>3.6885245901639344E-2</v>
      </c>
      <c r="D121" s="20">
        <f>SUMIFS(Tabla2[A],Tabla2[ANY],$Z$76,Tabla2[MES],'2023'!D$2,Tabla2[TIPUS],'2023'!$A121)</f>
        <v>0</v>
      </c>
      <c r="E121" s="21">
        <f t="shared" si="136"/>
        <v>0</v>
      </c>
      <c r="F121" s="20">
        <f>SUMIFS(Tabla2[A],Tabla2[ANY],$Z$76,Tabla2[MES],'2023'!F$2,Tabla2[TIPUS],'2023'!$A121)</f>
        <v>0</v>
      </c>
      <c r="G121" s="21">
        <f t="shared" si="125"/>
        <v>0</v>
      </c>
      <c r="H121" s="20">
        <f>SUMIFS(Tabla2[A],Tabla2[ANY],$Z$76,Tabla2[MES],'2023'!H$2,Tabla2[TIPUS],'2023'!$A121)</f>
        <v>0</v>
      </c>
      <c r="I121" s="21">
        <f t="shared" si="126"/>
        <v>0</v>
      </c>
      <c r="J121" s="20">
        <f>SUMIFS(Tabla2[A],Tabla2[ANY],$Z$76,Tabla2[MES],'2023'!J$2,Tabla2[TIPUS],'2023'!$A121)</f>
        <v>0</v>
      </c>
      <c r="K121" s="21">
        <f t="shared" si="127"/>
        <v>0</v>
      </c>
      <c r="L121" s="20">
        <f>SUMIFS(Tabla2[A],Tabla2[ANY],$Z$76,Tabla2[MES],'2023'!L$2,Tabla2[TIPUS],'2023'!$A121)</f>
        <v>0</v>
      </c>
      <c r="M121" s="21">
        <f t="shared" si="128"/>
        <v>0</v>
      </c>
      <c r="N121" s="20">
        <f>SUMIFS(Tabla2[A],Tabla2[ANY],$Z$76,Tabla2[MES],'2023'!N$2,Tabla2[TIPUS],'2023'!$A121)</f>
        <v>0</v>
      </c>
      <c r="O121" s="21">
        <f t="shared" si="129"/>
        <v>0</v>
      </c>
      <c r="P121" s="20">
        <f>SUMIFS(Tabla2[A],Tabla2[ANY],$Z$76,Tabla2[MES],'2023'!P$2,Tabla2[TIPUS],'2023'!$A121)</f>
        <v>0</v>
      </c>
      <c r="Q121" s="21">
        <f t="shared" si="130"/>
        <v>0</v>
      </c>
      <c r="R121" s="20">
        <f>SUMIFS(Tabla2[A],Tabla2[ANY],$Z$76,Tabla2[MES],'2023'!R$2,Tabla2[TIPUS],'2023'!$A121)</f>
        <v>0</v>
      </c>
      <c r="S121" s="21">
        <f t="shared" si="131"/>
        <v>0</v>
      </c>
      <c r="T121" s="20">
        <f>SUMIFS(Tabla2[A],Tabla2[ANY],$Z$76,Tabla2[MES],'2023'!T$2,Tabla2[TIPUS],'2023'!$A121)</f>
        <v>0</v>
      </c>
      <c r="U121" s="21">
        <f t="shared" si="132"/>
        <v>0</v>
      </c>
      <c r="V121" s="20">
        <f>SUMIFS(Tabla2[A],Tabla2[ANY],$Z$76,Tabla2[MES],'2023'!V$2,Tabla2[TIPUS],'2023'!$A121)</f>
        <v>0</v>
      </c>
      <c r="W121" s="21">
        <f t="shared" si="133"/>
        <v>0</v>
      </c>
      <c r="X121" s="20">
        <f>SUMIFS(Tabla2[A],Tabla2[ANY],$Z$76,Tabla2[MES],'2023'!X$2,Tabla2[TIPUS],'2023'!$A121)</f>
        <v>0</v>
      </c>
      <c r="Y121" s="21">
        <f t="shared" si="134"/>
        <v>0</v>
      </c>
      <c r="Z121" s="20">
        <f t="shared" si="135"/>
        <v>18</v>
      </c>
      <c r="AA121" s="21">
        <f t="shared" si="137"/>
        <v>2.5332096751721524E-3</v>
      </c>
    </row>
    <row r="122" spans="1:27" hidden="1" outlineLevel="1" x14ac:dyDescent="0.2">
      <c r="A122" s="8" t="s">
        <v>113</v>
      </c>
      <c r="B122" s="20">
        <f>SUMIFS(Tabla2[A],Tabla2[ANY],$Z$76,Tabla2[MES],'2023'!B$2,Tabla2[TIPUS],'2023'!$A122)</f>
        <v>62</v>
      </c>
      <c r="C122" s="21">
        <f t="shared" si="136"/>
        <v>0.12704918032786885</v>
      </c>
      <c r="D122" s="20">
        <f>SUMIFS(Tabla2[A],Tabla2[ANY],$Z$76,Tabla2[MES],'2023'!D$2,Tabla2[TIPUS],'2023'!$A122)</f>
        <v>66.11</v>
      </c>
      <c r="E122" s="21">
        <f t="shared" si="136"/>
        <v>0.12366023830455845</v>
      </c>
      <c r="F122" s="20">
        <f>SUMIFS(Tabla2[A],Tabla2[ANY],$Z$76,Tabla2[MES],'2023'!F$2,Tabla2[TIPUS],'2023'!$A122)</f>
        <v>66</v>
      </c>
      <c r="G122" s="21">
        <f t="shared" si="125"/>
        <v>0.1234798877455566</v>
      </c>
      <c r="H122" s="20">
        <f>SUMIFS(Tabla2[A],Tabla2[ANY],$Z$76,Tabla2[MES],'2023'!H$2,Tabla2[TIPUS],'2023'!$A122)</f>
        <v>66</v>
      </c>
      <c r="I122" s="21">
        <f t="shared" si="126"/>
        <v>0.13924050632911392</v>
      </c>
      <c r="J122" s="20">
        <f>SUMIFS(Tabla2[A],Tabla2[ANY],$Z$76,Tabla2[MES],'2023'!J$2,Tabla2[TIPUS],'2023'!$A122)</f>
        <v>66</v>
      </c>
      <c r="K122" s="21">
        <f t="shared" si="127"/>
        <v>9.139502035616362E-2</v>
      </c>
      <c r="L122" s="20">
        <f>SUMIFS(Tabla2[A],Tabla2[ANY],$Z$76,Tabla2[MES],'2023'!L$2,Tabla2[TIPUS],'2023'!$A122)</f>
        <v>66</v>
      </c>
      <c r="M122" s="21">
        <f t="shared" si="128"/>
        <v>0.1234798877455566</v>
      </c>
      <c r="N122" s="20">
        <f>SUMIFS(Tabla2[A],Tabla2[ANY],$Z$76,Tabla2[MES],'2023'!N$2,Tabla2[TIPUS],'2023'!$A122)</f>
        <v>66</v>
      </c>
      <c r="O122" s="21">
        <f t="shared" si="129"/>
        <v>0.1234798877455566</v>
      </c>
      <c r="P122" s="20">
        <f>SUMIFS(Tabla2[A],Tabla2[ANY],$Z$76,Tabla2[MES],'2023'!P$2,Tabla2[TIPUS],'2023'!$A122)</f>
        <v>66.3</v>
      </c>
      <c r="Q122" s="21">
        <f t="shared" si="130"/>
        <v>0.12397157816005984</v>
      </c>
      <c r="R122" s="20">
        <f>SUMIFS(Tabla2[A],Tabla2[ANY],$Z$76,Tabla2[MES],'2023'!R$2,Tabla2[TIPUS],'2023'!$A122)</f>
        <v>87.45</v>
      </c>
      <c r="S122" s="21">
        <f t="shared" si="131"/>
        <v>0.15729831819408219</v>
      </c>
      <c r="T122" s="20">
        <f>SUMIFS(Tabla2[A],Tabla2[ANY],$Z$76,Tabla2[MES],'2023'!T$2,Tabla2[TIPUS],'2023'!$A122)</f>
        <v>118.30000000000001</v>
      </c>
      <c r="U122" s="21">
        <f t="shared" si="132"/>
        <v>0.20160190865712341</v>
      </c>
      <c r="V122" s="20">
        <f>SUMIFS(Tabla2[A],Tabla2[ANY],$Z$76,Tabla2[MES],'2023'!V$2,Tabla2[TIPUS],'2023'!$A122)</f>
        <v>0.34000000000000163</v>
      </c>
      <c r="W122" s="21">
        <f t="shared" si="133"/>
        <v>7.2519409606689204E-4</v>
      </c>
      <c r="X122" s="20">
        <f>SUMIFS(Tabla2[A],Tabla2[ANY],$Z$76,Tabla2[MES],'2023'!X$2,Tabla2[TIPUS],'2023'!$A122)</f>
        <v>41.69</v>
      </c>
      <c r="Y122" s="21">
        <f t="shared" si="134"/>
        <v>3.6667634150417336E-2</v>
      </c>
      <c r="Z122" s="20">
        <f t="shared" si="135"/>
        <v>772.19</v>
      </c>
      <c r="AA122" s="21">
        <f t="shared" si="137"/>
        <v>0.10867328772617692</v>
      </c>
    </row>
    <row r="123" spans="1:27" collapsed="1" x14ac:dyDescent="0.2">
      <c r="A123" s="34" t="s">
        <v>86</v>
      </c>
      <c r="B123" s="18">
        <f>SUM(B124:B128)</f>
        <v>769.01510000000007</v>
      </c>
      <c r="C123" s="19">
        <f>IF(B$114=0,0,B123/B$114)</f>
        <v>0.61177872883149931</v>
      </c>
      <c r="D123" s="18">
        <f>SUM(D124:D128)</f>
        <v>295.17</v>
      </c>
      <c r="E123" s="19">
        <f>IF(D$114=0,0,D123/D$114)</f>
        <v>0.35572079346332763</v>
      </c>
      <c r="F123" s="18">
        <f>SUM(F124:F128)</f>
        <v>189.41</v>
      </c>
      <c r="G123" s="19">
        <f>IF(F$114=0,0,F123/F$114)</f>
        <v>0.26164854747137078</v>
      </c>
      <c r="H123" s="18">
        <f>SUM(H124:H128)</f>
        <v>302.57</v>
      </c>
      <c r="I123" s="19">
        <f>IF(H$114=0,0,H123/H$114)</f>
        <v>0.38962360122075285</v>
      </c>
      <c r="J123" s="18">
        <f>SUM(J124:J128)</f>
        <v>214.19</v>
      </c>
      <c r="K123" s="19">
        <f>IF(J$114=0,0,J123/J$114)</f>
        <v>0.2287548193478795</v>
      </c>
      <c r="L123" s="18">
        <f>SUM(L124:L128)</f>
        <v>294.75</v>
      </c>
      <c r="M123" s="19">
        <f>IF(L$114=0,0,L123/L$114)</f>
        <v>0.35544166415435635</v>
      </c>
      <c r="N123" s="18">
        <f>SUM(N124:N128)</f>
        <v>537.6</v>
      </c>
      <c r="O123" s="19">
        <f>IF(N$114=0,0,N123/N$114)</f>
        <v>0.50144576065665525</v>
      </c>
      <c r="P123" s="18">
        <f>SUM(P124:P128)</f>
        <v>447.62</v>
      </c>
      <c r="Q123" s="19">
        <f>IF(P$114=0,0,P123/P$114)</f>
        <v>0.45562997495979318</v>
      </c>
      <c r="R123" s="18">
        <f>SUM(R124:R128)</f>
        <v>228.58</v>
      </c>
      <c r="S123" s="19">
        <f>IF(R$114=0,0,R123/R$114)</f>
        <v>0.29135915771226084</v>
      </c>
      <c r="T123" s="18">
        <f>SUM(T124:T128)</f>
        <v>230.89</v>
      </c>
      <c r="U123" s="19">
        <f>IF(T$114=0,0,T123/T$114)</f>
        <v>0.2823686238060879</v>
      </c>
      <c r="V123" s="18">
        <f>SUM(V124:V128)</f>
        <v>168.95000000000005</v>
      </c>
      <c r="W123" s="19">
        <f>IF(V$114=0,0,V123/V$114)</f>
        <v>0.26489910472098976</v>
      </c>
      <c r="X123" s="18">
        <f>SUM(X124:X128)</f>
        <v>375.32999999999993</v>
      </c>
      <c r="Y123" s="19">
        <f>IF(X$114=0,0,X123/X$114)</f>
        <v>0.24818488395159685</v>
      </c>
      <c r="Z123" s="18">
        <f>SUM(Z124:Z128)</f>
        <v>4054.0751</v>
      </c>
      <c r="AA123" s="19">
        <f>IF(Z$114=0,0,Z123/Z$114)</f>
        <v>0.36327862871327793</v>
      </c>
    </row>
    <row r="124" spans="1:27" hidden="1" outlineLevel="1" x14ac:dyDescent="0.2">
      <c r="A124" s="8" t="s">
        <v>87</v>
      </c>
      <c r="B124" s="20">
        <f>SUMIFS(Tabla2[A],Tabla2[ANY],$Z$76,Tabla2[MES],'2023'!B$2,Tabla2[TIPUS],'2023'!$A124)</f>
        <v>328.57549999999998</v>
      </c>
      <c r="C124" s="21">
        <f>IF(B$123=0,0,B124/B$123)</f>
        <v>0.42726794311321059</v>
      </c>
      <c r="D124" s="20">
        <f>SUMIFS(Tabla2[A],Tabla2[ANY],$Z$76,Tabla2[MES],'2023'!D$2,Tabla2[TIPUS],'2023'!$A124)</f>
        <v>196.09</v>
      </c>
      <c r="E124" s="21">
        <f>IF(D$123=0,0,D124/D$123)</f>
        <v>0.66432903072805505</v>
      </c>
      <c r="F124" s="20">
        <f>SUMIFS(Tabla2[A],Tabla2[ANY],$Z$76,Tabla2[MES],'2023'!F$2,Tabla2[TIPUS],'2023'!$A124)</f>
        <v>141.26</v>
      </c>
      <c r="G124" s="21">
        <f>IF(F$123=0,0,F124/F$123)</f>
        <v>0.74578955704556249</v>
      </c>
      <c r="H124" s="20">
        <f>SUMIFS(Tabla2[A],Tabla2[ANY],$Z$76,Tabla2[MES],'2023'!H$2,Tabla2[TIPUS],'2023'!$A124)</f>
        <v>199.41</v>
      </c>
      <c r="I124" s="21">
        <f>IF(H$123=0,0,H124/H$123)</f>
        <v>0.65905410318273461</v>
      </c>
      <c r="J124" s="20">
        <f>SUMIFS(Tabla2[A],Tabla2[ANY],$Z$76,Tabla2[MES],'2023'!J$2,Tabla2[TIPUS],'2023'!$A124)</f>
        <v>189.94</v>
      </c>
      <c r="K124" s="21">
        <f>IF(J$123=0,0,J124/J$123)</f>
        <v>0.88678276296745884</v>
      </c>
      <c r="L124" s="20">
        <f>SUMIFS(Tabla2[A],Tabla2[ANY],$Z$76,Tabla2[MES],'2023'!L$2,Tabla2[TIPUS],'2023'!$A124)</f>
        <v>128.11000000000001</v>
      </c>
      <c r="M124" s="21">
        <f>IF(L$123=0,0,L124/L$123)</f>
        <v>0.43463952502120445</v>
      </c>
      <c r="N124" s="20">
        <f>SUMIFS(Tabla2[A],Tabla2[ANY],$Z$76,Tabla2[MES],'2023'!N$2,Tabla2[TIPUS],'2023'!$A124)</f>
        <v>126.48</v>
      </c>
      <c r="O124" s="21">
        <f>IF(N$123=0,0,N124/N$123)</f>
        <v>0.23526785714285714</v>
      </c>
      <c r="P124" s="20">
        <f>SUMIFS(Tabla2[A],Tabla2[ANY],$Z$76,Tabla2[MES],'2023'!P$2,Tabla2[TIPUS],'2023'!$A124)</f>
        <v>226.19</v>
      </c>
      <c r="Q124" s="21">
        <f>IF(P$123=0,0,P124/P$123)</f>
        <v>0.50531700996380857</v>
      </c>
      <c r="R124" s="20">
        <f>SUMIFS(Tabla2[A],Tabla2[ANY],$Z$76,Tabla2[MES],'2023'!R$2,Tabla2[TIPUS],'2023'!$A124)</f>
        <v>164.68</v>
      </c>
      <c r="S124" s="21">
        <f>IF(R$123=0,0,R124/R$123)</f>
        <v>0.72044798320062997</v>
      </c>
      <c r="T124" s="20">
        <f>SUMIFS(Tabla2[A],Tabla2[ANY],$Z$76,Tabla2[MES],'2023'!T$2,Tabla2[TIPUS],'2023'!$A124)</f>
        <v>127.55</v>
      </c>
      <c r="U124" s="21">
        <f>IF(T$123=0,0,T124/T$123)</f>
        <v>0.5524275629087444</v>
      </c>
      <c r="V124" s="20">
        <f>SUMIFS(Tabla2[A],Tabla2[ANY],$Z$76,Tabla2[MES],'2023'!V$2,Tabla2[TIPUS],'2023'!$A124)</f>
        <v>168.95000000000005</v>
      </c>
      <c r="W124" s="21">
        <f>IF(V$123=0,0,V124/V$123)</f>
        <v>1</v>
      </c>
      <c r="X124" s="20">
        <f>SUMIFS(Tabla2[A],Tabla2[ANY],$Z$76,Tabla2[MES],'2023'!X$2,Tabla2[TIPUS],'2023'!$A124)</f>
        <v>174.28999999999996</v>
      </c>
      <c r="Y124" s="21">
        <f>IF(X$123=0,0,X124/X$123)</f>
        <v>0.46436469240401779</v>
      </c>
      <c r="Z124" s="20">
        <f t="shared" si="135"/>
        <v>2171.5254999999997</v>
      </c>
      <c r="AA124" s="21">
        <f>IF(Z$123=0,0,Z124/Z$123)</f>
        <v>0.53564017597996638</v>
      </c>
    </row>
    <row r="125" spans="1:27" hidden="1" outlineLevel="1" x14ac:dyDescent="0.2">
      <c r="A125" s="8" t="s">
        <v>88</v>
      </c>
      <c r="B125" s="20">
        <f>SUMIFS(Tabla2[A],Tabla2[ANY],$Z$76,Tabla2[MES],'2023'!B$2,Tabla2[TIPUS],'2023'!$A125)</f>
        <v>134.0196</v>
      </c>
      <c r="C125" s="21">
        <f t="shared" ref="C125:E128" si="138">IF(B$123=0,0,B125/B$123)</f>
        <v>0.17427434129706945</v>
      </c>
      <c r="D125" s="20">
        <f>SUMIFS(Tabla2[A],Tabla2[ANY],$Z$76,Tabla2[MES],'2023'!D$2,Tabla2[TIPUS],'2023'!$A125)</f>
        <v>99.08</v>
      </c>
      <c r="E125" s="21">
        <f t="shared" si="138"/>
        <v>0.33567096927194495</v>
      </c>
      <c r="F125" s="20">
        <f>SUMIFS(Tabla2[A],Tabla2[ANY],$Z$76,Tabla2[MES],'2023'!F$2,Tabla2[TIPUS],'2023'!$A125)</f>
        <v>0</v>
      </c>
      <c r="G125" s="21">
        <f>IF(F$123=0,0,F125/F$123)</f>
        <v>0</v>
      </c>
      <c r="H125" s="20">
        <f>SUMIFS(Tabla2[A],Tabla2[ANY],$Z$76,Tabla2[MES],'2023'!H$2,Tabla2[TIPUS],'2023'!$A125)</f>
        <v>0</v>
      </c>
      <c r="I125" s="21">
        <f>IF(H$123=0,0,H125/H$123)</f>
        <v>0</v>
      </c>
      <c r="J125" s="20">
        <f>SUMIFS(Tabla2[A],Tabla2[ANY],$Z$76,Tabla2[MES],'2023'!J$2,Tabla2[TIPUS],'2023'!$A125)</f>
        <v>0</v>
      </c>
      <c r="K125" s="21">
        <f>IF(J$123=0,0,J125/J$123)</f>
        <v>0</v>
      </c>
      <c r="L125" s="20">
        <f>SUMIFS(Tabla2[A],Tabla2[ANY],$Z$76,Tabla2[MES],'2023'!L$2,Tabla2[TIPUS],'2023'!$A125)</f>
        <v>0</v>
      </c>
      <c r="M125" s="21">
        <f>IF(L$123=0,0,L125/L$123)</f>
        <v>0</v>
      </c>
      <c r="N125" s="20">
        <f>SUMIFS(Tabla2[A],Tabla2[ANY],$Z$76,Tabla2[MES],'2023'!N$2,Tabla2[TIPUS],'2023'!$A125)</f>
        <v>0</v>
      </c>
      <c r="O125" s="21">
        <f>IF(N$123=0,0,N125/N$123)</f>
        <v>0</v>
      </c>
      <c r="P125" s="20">
        <f>SUMIFS(Tabla2[A],Tabla2[ANY],$Z$76,Tabla2[MES],'2023'!P$2,Tabla2[TIPUS],'2023'!$A125)</f>
        <v>125.59</v>
      </c>
      <c r="Q125" s="21">
        <f>IF(P$123=0,0,P125/P$123)</f>
        <v>0.28057280729189937</v>
      </c>
      <c r="R125" s="20">
        <f>SUMIFS(Tabla2[A],Tabla2[ANY],$Z$76,Tabla2[MES],'2023'!R$2,Tabla2[TIPUS],'2023'!$A125)</f>
        <v>0</v>
      </c>
      <c r="S125" s="21">
        <f>IF(R$123=0,0,R125/R$123)</f>
        <v>0</v>
      </c>
      <c r="T125" s="20">
        <f>SUMIFS(Tabla2[A],Tabla2[ANY],$Z$76,Tabla2[MES],'2023'!T$2,Tabla2[TIPUS],'2023'!$A125)</f>
        <v>0</v>
      </c>
      <c r="U125" s="21">
        <f>IF(T$123=0,0,T125/T$123)</f>
        <v>0</v>
      </c>
      <c r="V125" s="20">
        <f>SUMIFS(Tabla2[A],Tabla2[ANY],$Z$76,Tabla2[MES],'2023'!V$2,Tabla2[TIPUS],'2023'!$A125)</f>
        <v>0</v>
      </c>
      <c r="W125" s="21">
        <f>IF(V$123=0,0,V125/V$123)</f>
        <v>0</v>
      </c>
      <c r="X125" s="20">
        <f>SUMIFS(Tabla2[A],Tabla2[ANY],$Z$76,Tabla2[MES],'2023'!X$2,Tabla2[TIPUS],'2023'!$A125)</f>
        <v>0</v>
      </c>
      <c r="Y125" s="21">
        <f>IF(X$123=0,0,X125/X$123)</f>
        <v>0</v>
      </c>
      <c r="Z125" s="20">
        <f t="shared" si="135"/>
        <v>358.68960000000004</v>
      </c>
      <c r="AA125" s="21">
        <f>IF(Z$123=0,0,Z125/Z$123)</f>
        <v>8.84763086899895E-2</v>
      </c>
    </row>
    <row r="126" spans="1:27" hidden="1" outlineLevel="1" x14ac:dyDescent="0.2">
      <c r="A126" s="8" t="s">
        <v>89</v>
      </c>
      <c r="B126" s="20">
        <f>SUMIFS(Tabla2[A],Tabla2[ANY],$Z$76,Tabla2[MES],'2023'!B$2,Tabla2[TIPUS],'2023'!$A126)</f>
        <v>306.42</v>
      </c>
      <c r="C126" s="21">
        <f t="shared" si="138"/>
        <v>0.39845771558971987</v>
      </c>
      <c r="D126" s="20">
        <f>SUMIFS(Tabla2[A],Tabla2[ANY],$Z$76,Tabla2[MES],'2023'!D$2,Tabla2[TIPUS],'2023'!$A126)</f>
        <v>0</v>
      </c>
      <c r="E126" s="21">
        <f t="shared" si="138"/>
        <v>0</v>
      </c>
      <c r="F126" s="20">
        <f>SUMIFS(Tabla2[A],Tabla2[ANY],$Z$76,Tabla2[MES],'2023'!F$2,Tabla2[TIPUS],'2023'!$A126)</f>
        <v>48.15</v>
      </c>
      <c r="G126" s="21">
        <f>IF(F$123=0,0,F126/F$123)</f>
        <v>0.25421044295443745</v>
      </c>
      <c r="H126" s="20">
        <f>SUMIFS(Tabla2[A],Tabla2[ANY],$Z$76,Tabla2[MES],'2023'!H$2,Tabla2[TIPUS],'2023'!$A126)</f>
        <v>103.16</v>
      </c>
      <c r="I126" s="21">
        <f>IF(H$123=0,0,H126/H$123)</f>
        <v>0.34094589681726545</v>
      </c>
      <c r="J126" s="20">
        <f>SUMIFS(Tabla2[A],Tabla2[ANY],$Z$76,Tabla2[MES],'2023'!J$2,Tabla2[TIPUS],'2023'!$A126)</f>
        <v>24.25</v>
      </c>
      <c r="K126" s="21">
        <f>IF(J$123=0,0,J126/J$123)</f>
        <v>0.1132172370325412</v>
      </c>
      <c r="L126" s="20">
        <f>SUMIFS(Tabla2[A],Tabla2[ANY],$Z$76,Tabla2[MES],'2023'!L$2,Tabla2[TIPUS],'2023'!$A126)</f>
        <v>166.64</v>
      </c>
      <c r="M126" s="21">
        <f>IF(L$123=0,0,L126/L$123)</f>
        <v>0.56536047497879549</v>
      </c>
      <c r="N126" s="20">
        <f>SUMIFS(Tabla2[A],Tabla2[ANY],$Z$76,Tabla2[MES],'2023'!N$2,Tabla2[TIPUS],'2023'!$A126)</f>
        <v>411.12</v>
      </c>
      <c r="O126" s="21">
        <f>IF(N$123=0,0,N126/N$123)</f>
        <v>0.76473214285714286</v>
      </c>
      <c r="P126" s="20">
        <f>SUMIFS(Tabla2[A],Tabla2[ANY],$Z$76,Tabla2[MES],'2023'!P$2,Tabla2[TIPUS],'2023'!$A126)</f>
        <v>95.84</v>
      </c>
      <c r="Q126" s="21">
        <f>IF(P$123=0,0,P126/P$123)</f>
        <v>0.21411018274429203</v>
      </c>
      <c r="R126" s="20">
        <f>SUMIFS(Tabla2[A],Tabla2[ANY],$Z$76,Tabla2[MES],'2023'!R$2,Tabla2[TIPUS],'2023'!$A126)</f>
        <v>63.9</v>
      </c>
      <c r="S126" s="21">
        <f>IF(R$123=0,0,R126/R$123)</f>
        <v>0.27955201679937003</v>
      </c>
      <c r="T126" s="20">
        <f>SUMIFS(Tabla2[A],Tabla2[ANY],$Z$76,Tabla2[MES],'2023'!T$2,Tabla2[TIPUS],'2023'!$A126)</f>
        <v>103.34</v>
      </c>
      <c r="U126" s="21">
        <f>IF(T$123=0,0,T126/T$123)</f>
        <v>0.4475724370912556</v>
      </c>
      <c r="V126" s="20">
        <f>SUMIFS(Tabla2[A],Tabla2[ANY],$Z$76,Tabla2[MES],'2023'!V$2,Tabla2[TIPUS],'2023'!$A126)</f>
        <v>0</v>
      </c>
      <c r="W126" s="21">
        <f>IF(V$123=0,0,V126/V$123)</f>
        <v>0</v>
      </c>
      <c r="X126" s="20">
        <f>SUMIFS(Tabla2[A],Tabla2[ANY],$Z$76,Tabla2[MES],'2023'!X$2,Tabla2[TIPUS],'2023'!$A126)</f>
        <v>201.04</v>
      </c>
      <c r="Y126" s="21">
        <f>IF(X$123=0,0,X126/X$123)</f>
        <v>0.53563530759598232</v>
      </c>
      <c r="Z126" s="20">
        <f t="shared" si="135"/>
        <v>1523.86</v>
      </c>
      <c r="AA126" s="21">
        <f>IF(Z$123=0,0,Z126/Z$123)</f>
        <v>0.37588351533004405</v>
      </c>
    </row>
    <row r="127" spans="1:27" hidden="1" outlineLevel="1" x14ac:dyDescent="0.2">
      <c r="A127" s="8" t="s">
        <v>145</v>
      </c>
      <c r="B127" s="20">
        <f>SUMIFS(Tabla2[A],Tabla2[ANY],$Z$76,Tabla2[MES],'2023'!B$2,Tabla2[TIPUS],'2023'!$A127)</f>
        <v>0</v>
      </c>
      <c r="C127" s="21">
        <f>IF(B$123=0,0,B127/B$123)</f>
        <v>0</v>
      </c>
      <c r="D127" s="20">
        <f>SUMIFS(Tabla2[A],Tabla2[ANY],$Z$76,Tabla2[MES],'2023'!D$2,Tabla2[TIPUS],'2023'!$A127)</f>
        <v>0</v>
      </c>
      <c r="E127" s="21">
        <f>IF(D$123=0,0,D127/D$123)</f>
        <v>0</v>
      </c>
      <c r="F127" s="20">
        <f>SUMIFS(Tabla2[A],Tabla2[ANY],$Z$76,Tabla2[MES],'2023'!F$2,Tabla2[TIPUS],'2023'!$A127)</f>
        <v>0</v>
      </c>
      <c r="G127" s="21">
        <f>IF(F$123=0,0,F127/F$123)</f>
        <v>0</v>
      </c>
      <c r="H127" s="20">
        <f>SUMIFS(Tabla2[A],Tabla2[ANY],$Z$76,Tabla2[MES],'2023'!H$2,Tabla2[TIPUS],'2023'!$A127)</f>
        <v>0</v>
      </c>
      <c r="I127" s="21">
        <f>IF(H$123=0,0,H127/H$123)</f>
        <v>0</v>
      </c>
      <c r="J127" s="20">
        <f>SUMIFS(Tabla2[A],Tabla2[ANY],$Z$76,Tabla2[MES],'2023'!J$2,Tabla2[TIPUS],'2023'!$A127)</f>
        <v>0</v>
      </c>
      <c r="K127" s="21">
        <f>IF(J$123=0,0,J127/J$123)</f>
        <v>0</v>
      </c>
      <c r="L127" s="20">
        <f>SUMIFS(Tabla2[A],Tabla2[ANY],$Z$76,Tabla2[MES],'2023'!L$2,Tabla2[TIPUS],'2023'!$A127)</f>
        <v>0</v>
      </c>
      <c r="M127" s="21">
        <f>IF(L$123=0,0,L127/L$123)</f>
        <v>0</v>
      </c>
      <c r="N127" s="20">
        <f>SUMIFS(Tabla2[A],Tabla2[ANY],$Z$76,Tabla2[MES],'2023'!N$2,Tabla2[TIPUS],'2023'!$A127)</f>
        <v>0</v>
      </c>
      <c r="O127" s="21">
        <f>IF(N$123=0,0,N127/N$123)</f>
        <v>0</v>
      </c>
      <c r="P127" s="20">
        <f>SUMIFS(Tabla2[A],Tabla2[ANY],$Z$76,Tabla2[MES],'2023'!P$2,Tabla2[TIPUS],'2023'!$A127)</f>
        <v>0</v>
      </c>
      <c r="Q127" s="21">
        <f>IF(P$123=0,0,P127/P$123)</f>
        <v>0</v>
      </c>
      <c r="R127" s="20">
        <f>SUMIFS(Tabla2[A],Tabla2[ANY],$Z$76,Tabla2[MES],'2023'!R$2,Tabla2[TIPUS],'2023'!$A127)</f>
        <v>0</v>
      </c>
      <c r="S127" s="21">
        <f>IF(R$123=0,0,R127/R$123)</f>
        <v>0</v>
      </c>
      <c r="T127" s="20">
        <f>SUMIFS(Tabla2[A],Tabla2[ANY],$Z$76,Tabla2[MES],'2023'!T$2,Tabla2[TIPUS],'2023'!$A127)</f>
        <v>0</v>
      </c>
      <c r="U127" s="21">
        <f>IF(T$123=0,0,T127/T$123)</f>
        <v>0</v>
      </c>
      <c r="V127" s="20">
        <f>SUMIFS(Tabla2[A],Tabla2[ANY],$Z$76,Tabla2[MES],'2023'!V$2,Tabla2[TIPUS],'2023'!$A127)</f>
        <v>0</v>
      </c>
      <c r="W127" s="21">
        <f>IF(V$123=0,0,V127/V$123)</f>
        <v>0</v>
      </c>
      <c r="X127" s="20">
        <f>SUMIFS(Tabla2[A],Tabla2[ANY],$Z$76,Tabla2[MES],'2023'!X$2,Tabla2[TIPUS],'2023'!$A127)</f>
        <v>0</v>
      </c>
      <c r="Y127" s="21">
        <f>IF(X$123=0,0,X127/X$123)</f>
        <v>0</v>
      </c>
      <c r="Z127" s="20">
        <f>B127+D127+F127+H127+J127+L127+N127+P127+R127+T127+V127+X127</f>
        <v>0</v>
      </c>
      <c r="AA127" s="21">
        <f>IF(Z$123=0,0,Z127/Z$123)</f>
        <v>0</v>
      </c>
    </row>
    <row r="128" spans="1:27" hidden="1" outlineLevel="1" x14ac:dyDescent="0.2">
      <c r="A128" s="8" t="s">
        <v>90</v>
      </c>
      <c r="B128" s="20">
        <f>SUMIFS(Tabla2[A],Tabla2[ANY],$Z$76,Tabla2[MES],'2023'!B$2,Tabla2[TIPUS],'2023'!$A128)</f>
        <v>0</v>
      </c>
      <c r="C128" s="21">
        <f t="shared" si="138"/>
        <v>0</v>
      </c>
      <c r="D128" s="20">
        <f>SUMIFS(Tabla2[A],Tabla2[ANY],$Z$76,Tabla2[MES],'2023'!D$2,Tabla2[TIPUS],'2023'!$A128)</f>
        <v>0</v>
      </c>
      <c r="E128" s="21">
        <f t="shared" si="138"/>
        <v>0</v>
      </c>
      <c r="F128" s="20">
        <f>SUMIFS(Tabla2[A],Tabla2[ANY],$Z$76,Tabla2[MES],'2023'!F$2,Tabla2[TIPUS],'2023'!$A128)</f>
        <v>0</v>
      </c>
      <c r="G128" s="21">
        <f>IF(F$123=0,0,F128/F$123)</f>
        <v>0</v>
      </c>
      <c r="H128" s="20">
        <f>SUMIFS(Tabla2[A],Tabla2[ANY],$Z$76,Tabla2[MES],'2023'!H$2,Tabla2[TIPUS],'2023'!$A128)</f>
        <v>0</v>
      </c>
      <c r="I128" s="21">
        <f>IF(H$123=0,0,H128/H$123)</f>
        <v>0</v>
      </c>
      <c r="J128" s="20">
        <f>SUMIFS(Tabla2[A],Tabla2[ANY],$Z$76,Tabla2[MES],'2023'!J$2,Tabla2[TIPUS],'2023'!$A128)</f>
        <v>0</v>
      </c>
      <c r="K128" s="21">
        <f>IF(J$123=0,0,J128/J$123)</f>
        <v>0</v>
      </c>
      <c r="L128" s="20">
        <f>SUMIFS(Tabla2[A],Tabla2[ANY],$Z$76,Tabla2[MES],'2023'!L$2,Tabla2[TIPUS],'2023'!$A128)</f>
        <v>0</v>
      </c>
      <c r="M128" s="21">
        <f>IF(L$123=0,0,L128/L$123)</f>
        <v>0</v>
      </c>
      <c r="N128" s="20">
        <f>SUMIFS(Tabla2[A],Tabla2[ANY],$Z$76,Tabla2[MES],'2023'!N$2,Tabla2[TIPUS],'2023'!$A128)</f>
        <v>0</v>
      </c>
      <c r="O128" s="21">
        <f>IF(N$123=0,0,N128/N$123)</f>
        <v>0</v>
      </c>
      <c r="P128" s="20">
        <f>SUMIFS(Tabla2[A],Tabla2[ANY],$Z$76,Tabla2[MES],'2023'!P$2,Tabla2[TIPUS],'2023'!$A128)</f>
        <v>0</v>
      </c>
      <c r="Q128" s="21">
        <f>IF(P$123=0,0,P128/P$123)</f>
        <v>0</v>
      </c>
      <c r="R128" s="20">
        <f>SUMIFS(Tabla2[A],Tabla2[ANY],$Z$76,Tabla2[MES],'2023'!R$2,Tabla2[TIPUS],'2023'!$A128)</f>
        <v>0</v>
      </c>
      <c r="S128" s="21">
        <f>IF(R$123=0,0,R128/R$123)</f>
        <v>0</v>
      </c>
      <c r="T128" s="20">
        <f>SUMIFS(Tabla2[A],Tabla2[ANY],$Z$76,Tabla2[MES],'2023'!T$2,Tabla2[TIPUS],'2023'!$A128)</f>
        <v>0</v>
      </c>
      <c r="U128" s="21">
        <f>IF(T$123=0,0,T128/T$123)</f>
        <v>0</v>
      </c>
      <c r="V128" s="20">
        <f>SUMIFS(Tabla2[A],Tabla2[ANY],$Z$76,Tabla2[MES],'2023'!V$2,Tabla2[TIPUS],'2023'!$A128)</f>
        <v>0</v>
      </c>
      <c r="W128" s="21">
        <f>IF(V$123=0,0,V128/V$123)</f>
        <v>0</v>
      </c>
      <c r="X128" s="20">
        <f>SUMIFS(Tabla2[A],Tabla2[ANY],$Z$76,Tabla2[MES],'2023'!X$2,Tabla2[TIPUS],'2023'!$A128)</f>
        <v>0</v>
      </c>
      <c r="Y128" s="21">
        <f>IF(X$123=0,0,X128/X$123)</f>
        <v>0</v>
      </c>
      <c r="Z128" s="20">
        <f t="shared" si="135"/>
        <v>0</v>
      </c>
      <c r="AA128" s="21">
        <f>IF(Z$123=0,0,Z128/Z$123)</f>
        <v>0</v>
      </c>
    </row>
    <row r="129" spans="1:27" ht="15.75" collapsed="1" thickBot="1" x14ac:dyDescent="0.25">
      <c r="A129" s="15" t="s">
        <v>121</v>
      </c>
      <c r="B129" s="26">
        <f>B77-B114</f>
        <v>-257.01510000000007</v>
      </c>
      <c r="C129" s="27">
        <f>IF(B77=0,0,B129/B77)</f>
        <v>-0.25701510000000005</v>
      </c>
      <c r="D129" s="26">
        <f>D77-D114</f>
        <v>1030.22</v>
      </c>
      <c r="E129" s="27">
        <f>IF(D77=0,0,D129/D77)</f>
        <v>0.55388172043010753</v>
      </c>
      <c r="F129" s="26">
        <f>F77-F114</f>
        <v>676.09</v>
      </c>
      <c r="G129" s="27">
        <f>IF(F77=0,0,F129/F77)</f>
        <v>0.48292142857142861</v>
      </c>
      <c r="H129" s="26">
        <f>H77-H114</f>
        <v>518.43000000000006</v>
      </c>
      <c r="I129" s="27">
        <f>IF(H77=0,0,H129/H77)</f>
        <v>0.40033204633204639</v>
      </c>
      <c r="J129" s="26">
        <f>J77-J114</f>
        <v>383.67000000000007</v>
      </c>
      <c r="K129" s="27">
        <f>IF(J77=0,0,J129/J77)</f>
        <v>0.29065909090909098</v>
      </c>
      <c r="L129" s="26">
        <f>L77-L114</f>
        <v>315.75</v>
      </c>
      <c r="M129" s="27">
        <f>IF(L77=0,0,L129/L77)</f>
        <v>0.27576419213973802</v>
      </c>
      <c r="N129" s="26">
        <f>N77-N114</f>
        <v>177.90000000000009</v>
      </c>
      <c r="O129" s="27">
        <f>IF(N77=0,0,N129/N77)</f>
        <v>0.14232000000000009</v>
      </c>
      <c r="P129" s="26">
        <f>P77-P114</f>
        <v>-632.41999999999996</v>
      </c>
      <c r="Q129" s="27">
        <f>IF(P77=0,0,P129/P77)</f>
        <v>-1.8069142857142857</v>
      </c>
      <c r="R129" s="26">
        <f>R77-R114</f>
        <v>985.46999999999991</v>
      </c>
      <c r="S129" s="27">
        <f>IF(R77=0,0,R129/R77)</f>
        <v>0.55676271186440673</v>
      </c>
      <c r="T129" s="26">
        <f>T77-T114</f>
        <v>1077.31</v>
      </c>
      <c r="U129" s="27">
        <f>IF(T77=0,0,T129/T77)</f>
        <v>0.56850131926121372</v>
      </c>
      <c r="V129" s="26">
        <f>V77-V114</f>
        <v>1002.21</v>
      </c>
      <c r="W129" s="27">
        <f>IF(V77=0,0,V129/V77)</f>
        <v>0.61110365853658544</v>
      </c>
      <c r="X129" s="26">
        <f>X77-X114</f>
        <v>1722.7</v>
      </c>
      <c r="Y129" s="27">
        <f>IF(X77=0,0,X129/X77)</f>
        <v>0.53251931993817625</v>
      </c>
      <c r="Z129" s="26">
        <f>Z77-Z114</f>
        <v>7000.3148999999994</v>
      </c>
      <c r="AA129" s="27">
        <f>IF(Z77=0,0,Z129/Z77)</f>
        <v>0.38547989537444932</v>
      </c>
    </row>
    <row r="130" spans="1:27" ht="16.5" thickTop="1" thickBot="1" x14ac:dyDescent="0.25">
      <c r="A130" s="13" t="s">
        <v>120</v>
      </c>
      <c r="B130" s="28">
        <f>B131</f>
        <v>76.587222222222223</v>
      </c>
      <c r="C130" s="29">
        <f>IF(B77=0,0,B130/B77)</f>
        <v>7.6587222222222223E-2</v>
      </c>
      <c r="D130" s="28">
        <f t="shared" ref="D130:X130" si="139">D131</f>
        <v>76.587222222222223</v>
      </c>
      <c r="E130" s="29">
        <f>IF(D77=0,0,D130/D77)</f>
        <v>4.1175925925925928E-2</v>
      </c>
      <c r="F130" s="28">
        <f t="shared" si="139"/>
        <v>76.587222222222223</v>
      </c>
      <c r="G130" s="29">
        <f>IF(F77=0,0,F130/F77)</f>
        <v>5.4705158730158729E-2</v>
      </c>
      <c r="H130" s="28">
        <f t="shared" si="139"/>
        <v>76.587222222222223</v>
      </c>
      <c r="I130" s="29">
        <f>IF(H77=0,0,H130/H77)</f>
        <v>5.9140712140712141E-2</v>
      </c>
      <c r="J130" s="28">
        <f t="shared" si="139"/>
        <v>76.587222222222223</v>
      </c>
      <c r="K130" s="29">
        <f>IF(J77=0,0,J130/J77)</f>
        <v>5.8020622895622896E-2</v>
      </c>
      <c r="L130" s="28">
        <f t="shared" si="139"/>
        <v>76.587222222222223</v>
      </c>
      <c r="M130" s="29">
        <f>IF(L77=0,0,L130/L77)</f>
        <v>6.6888403687530323E-2</v>
      </c>
      <c r="N130" s="28">
        <f t="shared" si="139"/>
        <v>76.587222222222223</v>
      </c>
      <c r="O130" s="29">
        <f>IF(N77=0,0,N130/N77)</f>
        <v>6.1269777777777777E-2</v>
      </c>
      <c r="P130" s="28">
        <f t="shared" si="139"/>
        <v>76.587222222222223</v>
      </c>
      <c r="Q130" s="29">
        <f>IF(P77=0,0,P130/P77)</f>
        <v>0.21882063492063492</v>
      </c>
      <c r="R130" s="28">
        <f t="shared" si="139"/>
        <v>76.587222222222223</v>
      </c>
      <c r="S130" s="29">
        <f>IF(R77=0,0,R130/R77)</f>
        <v>4.3269617074701824E-2</v>
      </c>
      <c r="T130" s="28">
        <f t="shared" si="139"/>
        <v>76.587222222222223</v>
      </c>
      <c r="U130" s="29">
        <f>IF(T77=0,0,T130/T77)</f>
        <v>4.04154206977426E-2</v>
      </c>
      <c r="V130" s="28">
        <f t="shared" si="139"/>
        <v>76.587222222222223</v>
      </c>
      <c r="W130" s="29">
        <f>IF(V77=0,0,V130/V77)</f>
        <v>4.6699525745257452E-2</v>
      </c>
      <c r="X130" s="28">
        <f t="shared" si="139"/>
        <v>76.587222222222223</v>
      </c>
      <c r="Y130" s="29">
        <f>IF(X77=0,0,X130/X77)</f>
        <v>2.3674566374720936E-2</v>
      </c>
      <c r="Z130" s="28">
        <f>Z131</f>
        <v>919.04666666666651</v>
      </c>
      <c r="AA130" s="29">
        <f>IF(Z77=0,0,Z130/Z77)</f>
        <v>5.0608296622613798E-2</v>
      </c>
    </row>
    <row r="131" spans="1:27" outlineLevel="1" x14ac:dyDescent="0.2">
      <c r="A131" s="8" t="s">
        <v>81</v>
      </c>
      <c r="B131" s="20">
        <f>IF($A$2&gt;=1,Tarifas!$I$47,0)</f>
        <v>76.587222222222223</v>
      </c>
      <c r="C131" s="21">
        <f>IF(B130=0,0,B131/B130)</f>
        <v>1</v>
      </c>
      <c r="D131" s="20">
        <f>IF($A$2&gt;=2,Tarifas!$I$47,0)</f>
        <v>76.587222222222223</v>
      </c>
      <c r="E131" s="21">
        <f>IF(D130=0,0,D131/D130)</f>
        <v>1</v>
      </c>
      <c r="F131" s="20">
        <f>IF($A$2&gt;=3,Tarifas!$I$47,0)</f>
        <v>76.587222222222223</v>
      </c>
      <c r="G131" s="21">
        <f>IF(F130=0,0,F131/F130)</f>
        <v>1</v>
      </c>
      <c r="H131" s="20">
        <f>IF($A$2&gt;=4,Tarifas!$I$47,0)</f>
        <v>76.587222222222223</v>
      </c>
      <c r="I131" s="21">
        <f>IF(H130=0,0,H131/H130)</f>
        <v>1</v>
      </c>
      <c r="J131" s="20">
        <f>IF($A$2&gt;=5,Tarifas!$I$47,0)</f>
        <v>76.587222222222223</v>
      </c>
      <c r="K131" s="21">
        <f>IF(J130=0,0,J131/J130)</f>
        <v>1</v>
      </c>
      <c r="L131" s="20">
        <f>IF($A$2&gt;=6,Tarifas!$I$47,0)</f>
        <v>76.587222222222223</v>
      </c>
      <c r="M131" s="21">
        <f>IF(L130=0,0,L131/L130)</f>
        <v>1</v>
      </c>
      <c r="N131" s="20">
        <f>IF($A$2&gt;=7,Tarifas!$I$47,0)</f>
        <v>76.587222222222223</v>
      </c>
      <c r="O131" s="21">
        <f>IF(N130=0,0,N131/N130)</f>
        <v>1</v>
      </c>
      <c r="P131" s="20">
        <f>IF($A$2&gt;=8,Tarifas!$I$47,0)</f>
        <v>76.587222222222223</v>
      </c>
      <c r="Q131" s="21">
        <f>IF(P130=0,0,P131/P130)</f>
        <v>1</v>
      </c>
      <c r="R131" s="20">
        <f>IF($A$2&gt;=9,Tarifas!$I$47,0)</f>
        <v>76.587222222222223</v>
      </c>
      <c r="S131" s="21">
        <f>IF(R130=0,0,R131/R130)</f>
        <v>1</v>
      </c>
      <c r="T131" s="20">
        <f>IF($A$2&gt;=10,Tarifas!$I$47,0)</f>
        <v>76.587222222222223</v>
      </c>
      <c r="U131" s="21">
        <f>IF(T130=0,0,T131/T130)</f>
        <v>1</v>
      </c>
      <c r="V131" s="20">
        <f>IF($A$2&gt;=11,Tarifas!$I$47,0)</f>
        <v>76.587222222222223</v>
      </c>
      <c r="W131" s="21">
        <f>IF(V130=0,0,V131/V130)</f>
        <v>1</v>
      </c>
      <c r="X131" s="20">
        <f>IF($A$2&gt;=12,Tarifas!$I$47,0)</f>
        <v>76.587222222222223</v>
      </c>
      <c r="Y131" s="21">
        <f>IF(X130=0,0,X131/X130)</f>
        <v>1</v>
      </c>
      <c r="Z131" s="20">
        <f>B131+D131+F131+H131+J131+L131+N131+P131+R131+T131+V131+X131</f>
        <v>919.04666666666651</v>
      </c>
      <c r="AA131" s="21">
        <f>IF(Z130=0,0,Z131/Z130)</f>
        <v>1</v>
      </c>
    </row>
    <row r="132" spans="1:27" ht="15.75" thickBot="1" x14ac:dyDescent="0.25">
      <c r="A132" s="15" t="s">
        <v>122</v>
      </c>
      <c r="B132" s="26">
        <f>B129-B130</f>
        <v>-333.60232222222231</v>
      </c>
      <c r="C132" s="27">
        <f>IF(B$77=0,0,B132/B$77)</f>
        <v>-0.3336023222222223</v>
      </c>
      <c r="D132" s="26">
        <f>D129-D130</f>
        <v>953.63277777777785</v>
      </c>
      <c r="E132" s="27">
        <f>IF(D$77=0,0,D132/D$77)</f>
        <v>0.51270579450418163</v>
      </c>
      <c r="F132" s="26">
        <f>F129-F130</f>
        <v>599.50277777777785</v>
      </c>
      <c r="G132" s="27">
        <f>IF(F$77=0,0,F132/F$77)</f>
        <v>0.42821626984126987</v>
      </c>
      <c r="H132" s="26">
        <f>H129-H130</f>
        <v>441.84277777777783</v>
      </c>
      <c r="I132" s="27">
        <f>IF(H$77=0,0,H132/H$77)</f>
        <v>0.34119133419133424</v>
      </c>
      <c r="J132" s="26">
        <f>J129-J130</f>
        <v>307.08277777777784</v>
      </c>
      <c r="K132" s="27">
        <f>IF(J$77=0,0,J132/J$77)</f>
        <v>0.23263846801346805</v>
      </c>
      <c r="L132" s="26">
        <f>L129-L130</f>
        <v>239.16277777777776</v>
      </c>
      <c r="M132" s="27">
        <f>IF(L$77=0,0,L132/L$77)</f>
        <v>0.20887578845220764</v>
      </c>
      <c r="N132" s="26">
        <f>N129-N130</f>
        <v>101.31277777777787</v>
      </c>
      <c r="O132" s="27">
        <f>IF(N$77=0,0,N132/N$77)</f>
        <v>8.1050222222222287E-2</v>
      </c>
      <c r="P132" s="26">
        <f>P129-P130</f>
        <v>-709.00722222222214</v>
      </c>
      <c r="Q132" s="27">
        <f>IF(P$77=0,0,P132/P$77)</f>
        <v>-2.0257349206349202</v>
      </c>
      <c r="R132" s="26">
        <f>R129-R130</f>
        <v>908.88277777777773</v>
      </c>
      <c r="S132" s="27">
        <f>IF(R$77=0,0,R132/R$77)</f>
        <v>0.51349309478970495</v>
      </c>
      <c r="T132" s="26">
        <f>T129-T130</f>
        <v>1000.7227777777778</v>
      </c>
      <c r="U132" s="27">
        <f>IF(T$77=0,0,T132/T$77)</f>
        <v>0.5280858985634711</v>
      </c>
      <c r="V132" s="26">
        <f>V129-V130</f>
        <v>925.62277777777786</v>
      </c>
      <c r="W132" s="27">
        <f>IF(V$77=0,0,V132/V$77)</f>
        <v>0.56440413279132795</v>
      </c>
      <c r="X132" s="26">
        <f>X129-X130</f>
        <v>1646.1127777777779</v>
      </c>
      <c r="Y132" s="27">
        <f>IF(X$77=0,0,X132/X$77)</f>
        <v>0.50884475356345527</v>
      </c>
      <c r="Z132" s="26">
        <f>Z129-Z130</f>
        <v>6081.2682333333332</v>
      </c>
      <c r="AA132" s="27">
        <f>IF(Z$77=0,0,Z132/Z$77)</f>
        <v>0.33487159875183553</v>
      </c>
    </row>
    <row r="133" spans="1:27" ht="16.5" thickTop="1" thickBot="1" x14ac:dyDescent="0.25">
      <c r="A133" s="13" t="s">
        <v>134</v>
      </c>
      <c r="B133" s="28">
        <f>B134</f>
        <v>0</v>
      </c>
      <c r="C133" s="29">
        <f>IF(B$77=0,0,B133/B$77)</f>
        <v>0</v>
      </c>
      <c r="D133" s="28">
        <f>D134</f>
        <v>0</v>
      </c>
      <c r="E133" s="29">
        <f>IF(D$77=0,0,D133/D$77)</f>
        <v>0</v>
      </c>
      <c r="F133" s="28">
        <f>F134</f>
        <v>0</v>
      </c>
      <c r="G133" s="29">
        <f>IF(F$77=0,0,F133/F$77)</f>
        <v>0</v>
      </c>
      <c r="H133" s="28">
        <f>H134</f>
        <v>0</v>
      </c>
      <c r="I133" s="29">
        <f>IF(H$77=0,0,H133/H$77)</f>
        <v>0</v>
      </c>
      <c r="J133" s="28">
        <f>J134</f>
        <v>0</v>
      </c>
      <c r="K133" s="29">
        <f>IF(J$77=0,0,J133/J$77)</f>
        <v>0</v>
      </c>
      <c r="L133" s="28">
        <f>L134</f>
        <v>0</v>
      </c>
      <c r="M133" s="29">
        <f>IF(L$77=0,0,L133/L$77)</f>
        <v>0</v>
      </c>
      <c r="N133" s="28">
        <f>N134</f>
        <v>0</v>
      </c>
      <c r="O133" s="29">
        <f>IF(N$77=0,0,N133/N$77)</f>
        <v>0</v>
      </c>
      <c r="P133" s="28">
        <f>P134</f>
        <v>0</v>
      </c>
      <c r="Q133" s="29">
        <f>IF(P$77=0,0,P133/P$77)</f>
        <v>0</v>
      </c>
      <c r="R133" s="28">
        <f>R134</f>
        <v>0</v>
      </c>
      <c r="S133" s="29">
        <f>IF(R$77=0,0,R133/R$77)</f>
        <v>0</v>
      </c>
      <c r="T133" s="28">
        <f>T134</f>
        <v>0</v>
      </c>
      <c r="U133" s="29">
        <f>IF(T$77=0,0,T133/T$77)</f>
        <v>0</v>
      </c>
      <c r="V133" s="28">
        <f>V134</f>
        <v>0</v>
      </c>
      <c r="W133" s="29">
        <f>IF(V$77=0,0,V133/V$77)</f>
        <v>0</v>
      </c>
      <c r="X133" s="28">
        <f>X134</f>
        <v>0</v>
      </c>
      <c r="Y133" s="29">
        <f>IF(X$77=0,0,X133/X$77)</f>
        <v>0</v>
      </c>
      <c r="Z133" s="28">
        <f>Z134</f>
        <v>0</v>
      </c>
      <c r="AA133" s="29">
        <f>IF(Z$77=0,0,Z133/Z$77)</f>
        <v>0</v>
      </c>
    </row>
    <row r="134" spans="1:27" hidden="1" outlineLevel="1" x14ac:dyDescent="0.2">
      <c r="A134" s="8" t="s">
        <v>133</v>
      </c>
      <c r="B134" s="20">
        <f>SUMIFS(Tabla2[A],Tabla2[ANY],2020,Tabla2[MES],'2023'!B$2,Tabla2[TIPUS],'2023'!$A134)</f>
        <v>0</v>
      </c>
      <c r="C134" s="44">
        <f>IF(B133=0,0,B134/B133)</f>
        <v>0</v>
      </c>
      <c r="D134" s="20">
        <f>SUMIFS(Tabla2[A],Tabla2[ANY],2020,Tabla2[MES],'2023'!D$2,Tabla2[TIPUS],'2023'!$A134)</f>
        <v>0</v>
      </c>
      <c r="E134" s="44">
        <f>IF(D133=0,0,D134/D133)</f>
        <v>0</v>
      </c>
      <c r="F134" s="20">
        <f>SUMIFS(Tabla2[A],Tabla2[ANY],2020,Tabla2[MES],'2023'!F$2,Tabla2[TIPUS],'2023'!$A134)</f>
        <v>0</v>
      </c>
      <c r="G134" s="44">
        <f>IF(F133=0,0,F134/F133)</f>
        <v>0</v>
      </c>
      <c r="H134" s="20">
        <f>SUMIFS(Tabla2[A],Tabla2[ANY],2020,Tabla2[MES],'2023'!H$2,Tabla2[TIPUS],'2023'!$A134)</f>
        <v>0</v>
      </c>
      <c r="I134" s="44">
        <f>IF(H133=0,0,H134/H133)</f>
        <v>0</v>
      </c>
      <c r="J134" s="20">
        <f>SUMIFS(Tabla2[A],Tabla2[ANY],2020,Tabla2[MES],'2023'!J$2,Tabla2[TIPUS],'2023'!$A134)</f>
        <v>0</v>
      </c>
      <c r="K134" s="44">
        <f>IF(J133=0,0,J134/J133)</f>
        <v>0</v>
      </c>
      <c r="L134" s="20">
        <f>SUMIFS(Tabla2[A],Tabla2[ANY],2020,Tabla2[MES],'2023'!L$2,Tabla2[TIPUS],'2023'!$A134)</f>
        <v>0</v>
      </c>
      <c r="M134" s="44">
        <f>IF(L133=0,0,L134/L133)</f>
        <v>0</v>
      </c>
      <c r="N134" s="20">
        <f>SUMIFS(Tabla2[A],Tabla2[ANY],2020,Tabla2[MES],'2023'!N$2,Tabla2[TIPUS],'2023'!$A134)</f>
        <v>0</v>
      </c>
      <c r="O134" s="44">
        <f>IF(N133=0,0,N134/N133)</f>
        <v>0</v>
      </c>
      <c r="P134" s="20">
        <f>SUMIFS(Tabla2[A],Tabla2[ANY],2020,Tabla2[MES],'2023'!P$2,Tabla2[TIPUS],'2023'!$A134)</f>
        <v>0</v>
      </c>
      <c r="Q134" s="44">
        <f>IF(P133=0,0,P134/P133)</f>
        <v>0</v>
      </c>
      <c r="R134" s="20">
        <f>SUMIFS(Tabla2[A],Tabla2[ANY],2020,Tabla2[MES],'2023'!R$2,Tabla2[TIPUS],'2023'!$A134)</f>
        <v>0</v>
      </c>
      <c r="S134" s="44">
        <f>IF(R133=0,0,R134/R133)</f>
        <v>0</v>
      </c>
      <c r="T134" s="20">
        <f>SUMIFS(Tabla2[A],Tabla2[ANY],2020,Tabla2[MES],'2023'!T$2,Tabla2[TIPUS],'2023'!$A134)</f>
        <v>0</v>
      </c>
      <c r="U134" s="44">
        <f>IF(T133=0,0,T134/T133)</f>
        <v>0</v>
      </c>
      <c r="V134" s="20">
        <f>SUMIFS(Tabla2[A],Tabla2[ANY],2020,Tabla2[MES],'2023'!V$2,Tabla2[TIPUS],'2023'!$A134)</f>
        <v>0</v>
      </c>
      <c r="W134" s="44">
        <f>IF(V133=0,0,V134/V133)</f>
        <v>0</v>
      </c>
      <c r="X134" s="20">
        <f>SUMIFS(Tabla2[A],Tabla2[ANY],2020,Tabla2[MES],'2023'!X$2,Tabla2[TIPUS],'2023'!$A134)</f>
        <v>0</v>
      </c>
      <c r="Y134" s="44">
        <f>IF(X133=0,0,X134/X133)</f>
        <v>0</v>
      </c>
      <c r="Z134" s="20">
        <f>B134+D134+F134+H134+J134+L134+N134+P134+R134+T134+V134+X134</f>
        <v>0</v>
      </c>
      <c r="AA134" s="44">
        <f>IF(Z133=0,0,Z134/Z133)</f>
        <v>0</v>
      </c>
    </row>
    <row r="135" spans="1:27" ht="15.75" collapsed="1" thickBot="1" x14ac:dyDescent="0.25">
      <c r="A135" s="15" t="s">
        <v>135</v>
      </c>
      <c r="B135" s="26">
        <f>B132-B134</f>
        <v>-333.60232222222231</v>
      </c>
      <c r="C135" s="27">
        <f>IF(B$77=0,0,B135/B$77)</f>
        <v>-0.3336023222222223</v>
      </c>
      <c r="D135" s="26">
        <f>D132-D134</f>
        <v>953.63277777777785</v>
      </c>
      <c r="E135" s="27">
        <f>IF(D$77=0,0,D135/D$77)</f>
        <v>0.51270579450418163</v>
      </c>
      <c r="F135" s="26">
        <f>F132-F134</f>
        <v>599.50277777777785</v>
      </c>
      <c r="G135" s="27">
        <f>IF(F$77=0,0,F135/F$77)</f>
        <v>0.42821626984126987</v>
      </c>
      <c r="H135" s="26">
        <f>H132-H134</f>
        <v>441.84277777777783</v>
      </c>
      <c r="I135" s="27">
        <f>IF(H$77=0,0,H135/H$77)</f>
        <v>0.34119133419133424</v>
      </c>
      <c r="J135" s="26">
        <f>J132-J134</f>
        <v>307.08277777777784</v>
      </c>
      <c r="K135" s="27">
        <f>IF(J$77=0,0,J135/J$77)</f>
        <v>0.23263846801346805</v>
      </c>
      <c r="L135" s="26">
        <f>L132-L134</f>
        <v>239.16277777777776</v>
      </c>
      <c r="M135" s="27">
        <f>IF(L$77=0,0,L135/L$77)</f>
        <v>0.20887578845220764</v>
      </c>
      <c r="N135" s="26">
        <f>N132-N134</f>
        <v>101.31277777777787</v>
      </c>
      <c r="O135" s="27">
        <f>IF(N$77=0,0,N135/N$77)</f>
        <v>8.1050222222222287E-2</v>
      </c>
      <c r="P135" s="26">
        <f>P132-P134</f>
        <v>-709.00722222222214</v>
      </c>
      <c r="Q135" s="27">
        <f>IF(P$77=0,0,P135/P$77)</f>
        <v>-2.0257349206349202</v>
      </c>
      <c r="R135" s="26">
        <f>R132-R134</f>
        <v>908.88277777777773</v>
      </c>
      <c r="S135" s="27">
        <f>IF(R$77=0,0,R135/R$77)</f>
        <v>0.51349309478970495</v>
      </c>
      <c r="T135" s="26">
        <f>T132-T134</f>
        <v>1000.7227777777778</v>
      </c>
      <c r="U135" s="27">
        <f>IF(T$77=0,0,T135/T$77)</f>
        <v>0.5280858985634711</v>
      </c>
      <c r="V135" s="26">
        <f>V132-V134</f>
        <v>925.62277777777786</v>
      </c>
      <c r="W135" s="27">
        <f>IF(V$77=0,0,V135/V$77)</f>
        <v>0.56440413279132795</v>
      </c>
      <c r="X135" s="26">
        <f>X132-X134</f>
        <v>1646.1127777777779</v>
      </c>
      <c r="Y135" s="27">
        <f>IF(X$77=0,0,X135/X$77)</f>
        <v>0.50884475356345527</v>
      </c>
      <c r="Z135" s="26">
        <f>Z132-Z134</f>
        <v>6081.2682333333332</v>
      </c>
      <c r="AA135" s="27">
        <f>IF(Z$77=0,0,Z135/Z$77)</f>
        <v>0.33487159875183553</v>
      </c>
    </row>
    <row r="136" spans="1:27" ht="15.75" thickTop="1" x14ac:dyDescent="0.2">
      <c r="A136" s="8" t="s">
        <v>123</v>
      </c>
      <c r="B136" s="20">
        <f>SUMIFS(Tabla2[A],Tabla2[ANY],$Z$76,Tabla2[MES],'2023'!B$2,Tabla2[TIPUS],'2023'!$A136)</f>
        <v>1231.3300000000002</v>
      </c>
      <c r="C136" s="21">
        <f>IF(B$77=0,0,B136/B$77)</f>
        <v>1.2313300000000003</v>
      </c>
      <c r="D136" s="20">
        <f>SUMIFS(Tabla2[A],Tabla2[ANY],$Z$76,Tabla2[MES],'2023'!D$2,Tabla2[TIPUS],'2023'!$A136)</f>
        <v>0</v>
      </c>
      <c r="E136" s="21">
        <f>IF(D$77=0,0,D136/D$77)</f>
        <v>0</v>
      </c>
      <c r="F136" s="20">
        <f>SUMIFS(Tabla2[A],Tabla2[ANY],$Z$76,Tabla2[MES],'2023'!F$2,Tabla2[TIPUS],'2023'!$A136)</f>
        <v>0</v>
      </c>
      <c r="G136" s="21">
        <f>IF(F$77=0,0,F136/F$77)</f>
        <v>0</v>
      </c>
      <c r="H136" s="20">
        <f>SUMIFS(Tabla2[A],Tabla2[ANY],$Z$76,Tabla2[MES],'2023'!H$2,Tabla2[TIPUS],'2023'!$A136)</f>
        <v>1167.92</v>
      </c>
      <c r="I136" s="21">
        <f>IF(H$77=0,0,H136/H$77)</f>
        <v>0.90186872586872591</v>
      </c>
      <c r="J136" s="20">
        <f>SUMIFS(Tabla2[A],Tabla2[ANY],$Z$76,Tabla2[MES],'2023'!J$2,Tabla2[TIPUS],'2023'!$A136)</f>
        <v>0</v>
      </c>
      <c r="K136" s="21">
        <f>IF(J$77=0,0,J136/J$77)</f>
        <v>0</v>
      </c>
      <c r="L136" s="20">
        <f>SUMIFS(Tabla2[A],Tabla2[ANY],$Z$76,Tabla2[MES],'2023'!L$2,Tabla2[TIPUS],'2023'!$A136)</f>
        <v>0</v>
      </c>
      <c r="M136" s="21">
        <f>IF(L$77=0,0,L136/L$77)</f>
        <v>0</v>
      </c>
      <c r="N136" s="20">
        <f>SUMIFS(Tabla2[A],Tabla2[ANY],$Z$76,Tabla2[MES],'2023'!N$2,Tabla2[TIPUS],'2023'!$A136)</f>
        <v>1733.91</v>
      </c>
      <c r="O136" s="21">
        <f>IF(N$77=0,0,N136/N$77)</f>
        <v>1.3871280000000001</v>
      </c>
      <c r="P136" s="20">
        <f>SUMIFS(Tabla2[A],Tabla2[ANY],$Z$76,Tabla2[MES],'2023'!P$2,Tabla2[TIPUS],'2023'!$A136)</f>
        <v>0</v>
      </c>
      <c r="Q136" s="21">
        <f>IF(P$77=0,0,P136/P$77)</f>
        <v>0</v>
      </c>
      <c r="R136" s="20">
        <f>SUMIFS(Tabla2[A],Tabla2[ANY],$Z$76,Tabla2[MES],'2023'!R$2,Tabla2[TIPUS],'2023'!$A136)</f>
        <v>0</v>
      </c>
      <c r="S136" s="21">
        <f>IF(R$77=0,0,R136/R$77)</f>
        <v>0</v>
      </c>
      <c r="T136" s="20">
        <f>SUMIFS(Tabla2[A],Tabla2[ANY],$Z$76,Tabla2[MES],'2023'!T$2,Tabla2[TIPUS],'2023'!$A136)</f>
        <v>1025.77</v>
      </c>
      <c r="U136" s="21">
        <f>IF(T$77=0,0,T136/T$77)</f>
        <v>0.54130343007915571</v>
      </c>
      <c r="V136" s="20">
        <f>SUMIFS(Tabla2[A],Tabla2[ANY],$Z$76,Tabla2[MES],'2023'!V$2,Tabla2[TIPUS],'2023'!$A136)</f>
        <v>0</v>
      </c>
      <c r="W136" s="21">
        <f>IF(V$77=0,0,V136/V$77)</f>
        <v>0</v>
      </c>
      <c r="X136" s="20">
        <f>SUMIFS(Tabla2[A],Tabla2[ANY],$Z$76,Tabla2[MES],'2023'!X$2,Tabla2[TIPUS],'2023'!$A136)</f>
        <v>0</v>
      </c>
      <c r="Y136" s="21">
        <f>IF(X$77=0,0,X136/X$77)</f>
        <v>0</v>
      </c>
      <c r="Z136" s="20">
        <f>B136+D136+F136+H136+J136+L136+N136+P136+R136+T136+V136+X136</f>
        <v>5158.93</v>
      </c>
      <c r="AA136" s="21">
        <f>IF(Z$77=0,0,Z136/Z$77)</f>
        <v>0.28408204845814977</v>
      </c>
    </row>
    <row r="137" spans="1:27" ht="15.75" thickBot="1" x14ac:dyDescent="0.25">
      <c r="A137" s="15" t="s">
        <v>124</v>
      </c>
      <c r="B137" s="26">
        <f>B135-B136</f>
        <v>-1564.9323222222224</v>
      </c>
      <c r="C137" s="27">
        <f>IF(B77=0,0,B137/B77)</f>
        <v>-1.5649323222222224</v>
      </c>
      <c r="D137" s="26">
        <f>D135-D136</f>
        <v>953.63277777777785</v>
      </c>
      <c r="E137" s="27">
        <f>IF(D77=0,0,D137/D77)</f>
        <v>0.51270579450418163</v>
      </c>
      <c r="F137" s="26">
        <f>F135-F136</f>
        <v>599.50277777777785</v>
      </c>
      <c r="G137" s="27">
        <f>IF(F77=0,0,F137/F77)</f>
        <v>0.42821626984126987</v>
      </c>
      <c r="H137" s="26">
        <f>H135-H136</f>
        <v>-726.07722222222219</v>
      </c>
      <c r="I137" s="27">
        <f>IF(H77=0,0,H137/H77)</f>
        <v>-0.56067739167739161</v>
      </c>
      <c r="J137" s="26">
        <f>J135-J136</f>
        <v>307.08277777777784</v>
      </c>
      <c r="K137" s="27">
        <f>IF(J77=0,0,J137/J77)</f>
        <v>0.23263846801346805</v>
      </c>
      <c r="L137" s="26">
        <f>L135-L136</f>
        <v>239.16277777777776</v>
      </c>
      <c r="M137" s="27">
        <f>IF(L77=0,0,L137/L77)</f>
        <v>0.20887578845220764</v>
      </c>
      <c r="N137" s="26">
        <f>N135-N136</f>
        <v>-1632.5972222222222</v>
      </c>
      <c r="O137" s="27">
        <f>IF(N77=0,0,N137/N77)</f>
        <v>-1.3060777777777777</v>
      </c>
      <c r="P137" s="26">
        <f>P135-P136</f>
        <v>-709.00722222222214</v>
      </c>
      <c r="Q137" s="27">
        <f>IF(P77=0,0,P137/P77)</f>
        <v>-2.0257349206349202</v>
      </c>
      <c r="R137" s="26">
        <f>R135-R136</f>
        <v>908.88277777777773</v>
      </c>
      <c r="S137" s="27">
        <f>IF(R77=0,0,R137/R77)</f>
        <v>0.51349309478970495</v>
      </c>
      <c r="T137" s="26">
        <f>T135-T136</f>
        <v>-25.047222222222217</v>
      </c>
      <c r="U137" s="27">
        <f>IF(T77=0,0,T137/T77)</f>
        <v>-1.3217531515684547E-2</v>
      </c>
      <c r="V137" s="26">
        <f>V135-V136</f>
        <v>925.62277777777786</v>
      </c>
      <c r="W137" s="27">
        <f>IF(V77=0,0,V137/V77)</f>
        <v>0.56440413279132795</v>
      </c>
      <c r="X137" s="26">
        <f>X135-X136</f>
        <v>1646.1127777777779</v>
      </c>
      <c r="Y137" s="27">
        <f>IF(X77=0,0,X137/X77)</f>
        <v>0.50884475356345527</v>
      </c>
      <c r="Z137" s="26">
        <f>Z135-Z136</f>
        <v>922.33823333333294</v>
      </c>
      <c r="AA137" s="27">
        <f>IF(Z77=0,0,Z137/Z77)</f>
        <v>5.0789550293685731E-2</v>
      </c>
    </row>
    <row r="138" spans="1:27" ht="16.5" thickTop="1" thickBot="1" x14ac:dyDescent="0.25">
      <c r="B138" s="30"/>
      <c r="C138" s="31"/>
      <c r="D138" s="30"/>
      <c r="E138" s="31"/>
      <c r="F138" s="30"/>
      <c r="G138" s="31"/>
      <c r="H138" s="30"/>
      <c r="I138" s="31"/>
      <c r="J138" s="30"/>
      <c r="K138" s="31"/>
      <c r="L138" s="30"/>
      <c r="M138" s="31"/>
      <c r="N138" s="30"/>
      <c r="O138" s="31"/>
      <c r="P138" s="30"/>
      <c r="Q138" s="31"/>
      <c r="R138" s="30"/>
      <c r="S138" s="31"/>
      <c r="T138" s="30"/>
      <c r="U138" s="31"/>
      <c r="V138" s="30"/>
      <c r="W138" s="31"/>
      <c r="X138" s="30"/>
      <c r="Y138" s="31"/>
      <c r="Z138" s="30"/>
      <c r="AA138" s="31"/>
    </row>
    <row r="139" spans="1:27" ht="15.75" thickBot="1" x14ac:dyDescent="0.25">
      <c r="A139" s="210" t="s">
        <v>136</v>
      </c>
    </row>
    <row r="140" spans="1:27" x14ac:dyDescent="0.2">
      <c r="A140" s="210"/>
      <c r="B140" s="208" t="s">
        <v>48</v>
      </c>
      <c r="C140" s="209"/>
      <c r="D140" s="208" t="s">
        <v>56</v>
      </c>
      <c r="E140" s="209"/>
      <c r="F140" s="208" t="s">
        <v>57</v>
      </c>
      <c r="G140" s="209"/>
      <c r="H140" s="208" t="s">
        <v>58</v>
      </c>
      <c r="I140" s="209"/>
      <c r="J140" s="208" t="s">
        <v>59</v>
      </c>
      <c r="K140" s="209"/>
      <c r="L140" s="208" t="s">
        <v>60</v>
      </c>
      <c r="M140" s="209"/>
      <c r="N140" s="208" t="s">
        <v>61</v>
      </c>
      <c r="O140" s="209"/>
      <c r="P140" s="208" t="s">
        <v>62</v>
      </c>
      <c r="Q140" s="209"/>
      <c r="R140" s="208" t="s">
        <v>236</v>
      </c>
      <c r="S140" s="209"/>
      <c r="T140" s="208" t="s">
        <v>63</v>
      </c>
      <c r="U140" s="209"/>
      <c r="V140" s="208" t="s">
        <v>64</v>
      </c>
      <c r="W140" s="209"/>
      <c r="X140" s="208" t="s">
        <v>65</v>
      </c>
      <c r="Y140" s="209"/>
      <c r="Z140" s="208">
        <f>Z2</f>
        <v>2023</v>
      </c>
      <c r="AA140" s="209"/>
    </row>
    <row r="141" spans="1:27" x14ac:dyDescent="0.2">
      <c r="A141" t="s">
        <v>125</v>
      </c>
      <c r="B141" s="20">
        <f>B77</f>
        <v>1000</v>
      </c>
      <c r="C141" s="38">
        <f t="shared" ref="C141:C147" si="140">B141</f>
        <v>1000</v>
      </c>
      <c r="D141" s="20">
        <f>D77</f>
        <v>1860</v>
      </c>
      <c r="E141" s="38">
        <f>C147+D141</f>
        <v>371.65489999999977</v>
      </c>
      <c r="F141" s="20">
        <f>F77</f>
        <v>1400</v>
      </c>
      <c r="G141" s="38">
        <f>E147+F141</f>
        <v>941.8748999999998</v>
      </c>
      <c r="H141" s="20">
        <f>H77</f>
        <v>1295</v>
      </c>
      <c r="I141" s="38">
        <f>G147+H141</f>
        <v>1512.9648999999999</v>
      </c>
      <c r="J141" s="20">
        <f>J77</f>
        <v>1320</v>
      </c>
      <c r="K141" s="38">
        <f>I147+J141</f>
        <v>888.47489999999993</v>
      </c>
      <c r="L141" s="20">
        <f>L77</f>
        <v>1145</v>
      </c>
      <c r="M141" s="38">
        <f>K147+L141</f>
        <v>1097.1449</v>
      </c>
      <c r="N141" s="20">
        <f>N77</f>
        <v>1250</v>
      </c>
      <c r="O141" s="38">
        <f>M147+N141</f>
        <v>1517.8949</v>
      </c>
      <c r="P141" s="20">
        <f>P77</f>
        <v>350</v>
      </c>
      <c r="Q141" s="38">
        <f>O147+P141</f>
        <v>-938.11509999999998</v>
      </c>
      <c r="R141" s="20">
        <f>R77</f>
        <v>1770</v>
      </c>
      <c r="S141" s="38">
        <f>Q147+R141</f>
        <v>-150.53510000000006</v>
      </c>
      <c r="T141" s="20">
        <f>T77</f>
        <v>1895</v>
      </c>
      <c r="U141" s="38">
        <f>S147+T141</f>
        <v>959.93489999999986</v>
      </c>
      <c r="V141" s="20">
        <f>V77</f>
        <v>1640</v>
      </c>
      <c r="W141" s="38">
        <f>U147+V141</f>
        <v>756.47489999999993</v>
      </c>
      <c r="X141" s="20">
        <f>X77</f>
        <v>3235</v>
      </c>
      <c r="Y141" s="38">
        <f>W147+X141</f>
        <v>3353.6849000000002</v>
      </c>
      <c r="Z141" s="200">
        <f>Z77</f>
        <v>18160</v>
      </c>
      <c r="AA141" s="201"/>
    </row>
    <row r="142" spans="1:27" x14ac:dyDescent="0.2">
      <c r="A142" t="s">
        <v>126</v>
      </c>
      <c r="B142" s="20">
        <f>B114</f>
        <v>1257.0151000000001</v>
      </c>
      <c r="C142" s="38">
        <f t="shared" si="140"/>
        <v>1257.0151000000001</v>
      </c>
      <c r="D142" s="20">
        <f>D114</f>
        <v>829.78</v>
      </c>
      <c r="E142" s="38">
        <f>D142</f>
        <v>829.78</v>
      </c>
      <c r="F142" s="20">
        <f>F114</f>
        <v>723.91</v>
      </c>
      <c r="G142" s="38">
        <f>F142</f>
        <v>723.91</v>
      </c>
      <c r="H142" s="20">
        <f>H114</f>
        <v>776.56999999999994</v>
      </c>
      <c r="I142" s="38">
        <f>H142</f>
        <v>776.56999999999994</v>
      </c>
      <c r="J142" s="20">
        <f>J114</f>
        <v>936.32999999999993</v>
      </c>
      <c r="K142" s="38">
        <f>J142</f>
        <v>936.32999999999993</v>
      </c>
      <c r="L142" s="20">
        <f>L114</f>
        <v>829.25</v>
      </c>
      <c r="M142" s="38">
        <f>L142</f>
        <v>829.25</v>
      </c>
      <c r="N142" s="20">
        <f>N114</f>
        <v>1072.0999999999999</v>
      </c>
      <c r="O142" s="38">
        <f>N142</f>
        <v>1072.0999999999999</v>
      </c>
      <c r="P142" s="20">
        <f>P114</f>
        <v>982.42</v>
      </c>
      <c r="Q142" s="38">
        <f>P142</f>
        <v>982.42</v>
      </c>
      <c r="R142" s="20">
        <f>R114</f>
        <v>784.53000000000009</v>
      </c>
      <c r="S142" s="38">
        <f>R142</f>
        <v>784.53000000000009</v>
      </c>
      <c r="T142" s="20">
        <f>T114</f>
        <v>817.68999999999994</v>
      </c>
      <c r="U142" s="38">
        <f>T142</f>
        <v>817.68999999999994</v>
      </c>
      <c r="V142" s="20">
        <f>V114</f>
        <v>637.79</v>
      </c>
      <c r="W142" s="38">
        <f>V142</f>
        <v>637.79</v>
      </c>
      <c r="X142" s="20">
        <f>X114</f>
        <v>1512.3</v>
      </c>
      <c r="Y142" s="38">
        <f>X142</f>
        <v>1512.3</v>
      </c>
      <c r="Z142" s="200">
        <f>Z114</f>
        <v>11159.685100000001</v>
      </c>
      <c r="AA142" s="201"/>
    </row>
    <row r="143" spans="1:27" ht="15.75" thickBot="1" x14ac:dyDescent="0.25">
      <c r="A143" s="36" t="s">
        <v>127</v>
      </c>
      <c r="B143" s="37">
        <f>B141-B142</f>
        <v>-257.01510000000007</v>
      </c>
      <c r="C143" s="39">
        <f t="shared" si="140"/>
        <v>-257.01510000000007</v>
      </c>
      <c r="D143" s="37">
        <f t="shared" ref="D143:Y143" si="141">D141-D142</f>
        <v>1030.22</v>
      </c>
      <c r="E143" s="39">
        <f t="shared" si="141"/>
        <v>-458.1251000000002</v>
      </c>
      <c r="F143" s="37">
        <f t="shared" si="141"/>
        <v>676.09</v>
      </c>
      <c r="G143" s="39">
        <f t="shared" si="141"/>
        <v>217.96489999999983</v>
      </c>
      <c r="H143" s="37">
        <f t="shared" si="141"/>
        <v>518.43000000000006</v>
      </c>
      <c r="I143" s="39">
        <f t="shared" si="141"/>
        <v>736.39490000000001</v>
      </c>
      <c r="J143" s="37">
        <f t="shared" si="141"/>
        <v>383.67000000000007</v>
      </c>
      <c r="K143" s="39">
        <f t="shared" si="141"/>
        <v>-47.855099999999993</v>
      </c>
      <c r="L143" s="37">
        <f t="shared" si="141"/>
        <v>315.75</v>
      </c>
      <c r="M143" s="39">
        <f t="shared" si="141"/>
        <v>267.89490000000001</v>
      </c>
      <c r="N143" s="37">
        <f t="shared" si="141"/>
        <v>177.90000000000009</v>
      </c>
      <c r="O143" s="39">
        <f t="shared" si="141"/>
        <v>445.7949000000001</v>
      </c>
      <c r="P143" s="37">
        <f t="shared" si="141"/>
        <v>-632.41999999999996</v>
      </c>
      <c r="Q143" s="39">
        <f t="shared" si="141"/>
        <v>-1920.5351000000001</v>
      </c>
      <c r="R143" s="37">
        <f t="shared" si="141"/>
        <v>985.46999999999991</v>
      </c>
      <c r="S143" s="39">
        <f t="shared" si="141"/>
        <v>-935.06510000000014</v>
      </c>
      <c r="T143" s="37">
        <f t="shared" si="141"/>
        <v>1077.31</v>
      </c>
      <c r="U143" s="39">
        <f t="shared" si="141"/>
        <v>142.24489999999992</v>
      </c>
      <c r="V143" s="37">
        <f t="shared" si="141"/>
        <v>1002.21</v>
      </c>
      <c r="W143" s="39">
        <f t="shared" si="141"/>
        <v>118.68489999999997</v>
      </c>
      <c r="X143" s="37">
        <f t="shared" si="141"/>
        <v>1722.7</v>
      </c>
      <c r="Y143" s="39">
        <f t="shared" si="141"/>
        <v>1841.3849000000002</v>
      </c>
      <c r="Z143" s="202">
        <f>Z141-Z142</f>
        <v>7000.3148999999994</v>
      </c>
      <c r="AA143" s="203"/>
    </row>
    <row r="144" spans="1:27" x14ac:dyDescent="0.2">
      <c r="A144" s="2" t="s">
        <v>128</v>
      </c>
      <c r="B144" s="20">
        <f>-SUMIFS(Tabla2[A],Tabla2[ANY],$Z$76,Tabla2[MES],'2023'!B$2,Tabla2[TIPUS],'2023'!$A144)</f>
        <v>0</v>
      </c>
      <c r="C144" s="38">
        <f t="shared" si="140"/>
        <v>0</v>
      </c>
      <c r="D144" s="20">
        <f>-SUMIFS(Tabla2[A],Tabla2[ANY],$Z$76,Tabla2[MES],'2023'!D$2,Tabla2[TIPUS],'2023'!$A144)</f>
        <v>0</v>
      </c>
      <c r="E144" s="38">
        <f>D144</f>
        <v>0</v>
      </c>
      <c r="F144" s="20">
        <f>-SUMIFS(Tabla2[A],Tabla2[ANY],$Z$76,Tabla2[MES],'2023'!F$2,Tabla2[TIPUS],'2023'!$A144)</f>
        <v>0</v>
      </c>
      <c r="G144" s="38">
        <f>F144</f>
        <v>0</v>
      </c>
      <c r="H144" s="20">
        <f>-SUMIFS(Tabla2[A],Tabla2[ANY],$Z$76,Tabla2[MES],'2023'!H$2,Tabla2[TIPUS],'2023'!$A144)</f>
        <v>0</v>
      </c>
      <c r="I144" s="38">
        <f>H144</f>
        <v>0</v>
      </c>
      <c r="J144" s="20">
        <f>-SUMIFS(Tabla2[A],Tabla2[ANY],$Z$76,Tabla2[MES],'2023'!J$2,Tabla2[TIPUS],'2023'!$A144)</f>
        <v>0</v>
      </c>
      <c r="K144" s="38">
        <f>J144</f>
        <v>0</v>
      </c>
      <c r="L144" s="20">
        <f>-SUMIFS(Tabla2[A],Tabla2[ANY],$Z$76,Tabla2[MES],'2023'!L$2,Tabla2[TIPUS],'2023'!$A144)</f>
        <v>0</v>
      </c>
      <c r="M144" s="38">
        <f>L144</f>
        <v>0</v>
      </c>
      <c r="N144" s="20">
        <f>-SUMIFS(Tabla2[A],Tabla2[ANY],$Z$76,Tabla2[MES],'2023'!N$2,Tabla2[TIPUS],'2023'!$A144)</f>
        <v>0</v>
      </c>
      <c r="O144" s="38">
        <f>N144</f>
        <v>0</v>
      </c>
      <c r="P144" s="20">
        <f>-SUMIFS(Tabla2[A],Tabla2[ANY],$Z$76,Tabla2[MES],'2023'!P$2,Tabla2[TIPUS],'2023'!$A144)</f>
        <v>0</v>
      </c>
      <c r="Q144" s="38">
        <f>P144</f>
        <v>0</v>
      </c>
      <c r="R144" s="20">
        <f>-SUMIFS(Tabla2[A],Tabla2[ANY],$Z$76,Tabla2[MES],'2023'!R$2,Tabla2[TIPUS],'2023'!$A144)</f>
        <v>0</v>
      </c>
      <c r="S144" s="38">
        <f>R144</f>
        <v>0</v>
      </c>
      <c r="T144" s="20">
        <f>-SUMIFS(Tabla2[A],Tabla2[ANY],$Z$76,Tabla2[MES],'2023'!T$2,Tabla2[TIPUS],'2023'!$A144)</f>
        <v>0</v>
      </c>
      <c r="U144" s="38">
        <f>T144</f>
        <v>0</v>
      </c>
      <c r="V144" s="20">
        <f>-SUMIFS(Tabla2[A],Tabla2[ANY],$Z$76,Tabla2[MES],'2023'!V$2,Tabla2[TIPUS],'2023'!$A144)</f>
        <v>0</v>
      </c>
      <c r="W144" s="38">
        <f>V144</f>
        <v>0</v>
      </c>
      <c r="X144" s="20">
        <f>-SUMIFS(Tabla2[A],Tabla2[ANY],$Z$76,Tabla2[MES],'2023'!X$2,Tabla2[TIPUS],'2023'!$A144)</f>
        <v>-303.34000000000003</v>
      </c>
      <c r="Y144" s="38">
        <f>X144</f>
        <v>-303.34000000000003</v>
      </c>
      <c r="Z144" s="204">
        <f>-SUMIFS(Tabla2[A],Tabla2[ANY],$Z$140,Tabla2[TIPUS],'2023'!$A144)</f>
        <v>-303.34000000000003</v>
      </c>
      <c r="AA144" s="205"/>
    </row>
    <row r="145" spans="1:27" x14ac:dyDescent="0.2">
      <c r="A145" t="s">
        <v>134</v>
      </c>
      <c r="B145" s="20">
        <f>-B133</f>
        <v>0</v>
      </c>
      <c r="C145" s="38">
        <f t="shared" si="140"/>
        <v>0</v>
      </c>
      <c r="D145" s="20">
        <f>-D133</f>
        <v>0</v>
      </c>
      <c r="E145" s="38">
        <f>D145</f>
        <v>0</v>
      </c>
      <c r="F145" s="20">
        <f>-F133</f>
        <v>0</v>
      </c>
      <c r="G145" s="38">
        <f>F145</f>
        <v>0</v>
      </c>
      <c r="H145" s="20">
        <f>-H133</f>
        <v>0</v>
      </c>
      <c r="I145" s="38">
        <f>H145</f>
        <v>0</v>
      </c>
      <c r="J145" s="20">
        <f>-J133</f>
        <v>0</v>
      </c>
      <c r="K145" s="38">
        <f>J145</f>
        <v>0</v>
      </c>
      <c r="L145" s="20">
        <f>-L133</f>
        <v>0</v>
      </c>
      <c r="M145" s="38">
        <f>L145</f>
        <v>0</v>
      </c>
      <c r="N145" s="20">
        <f>-N133</f>
        <v>0</v>
      </c>
      <c r="O145" s="38">
        <f>N145</f>
        <v>0</v>
      </c>
      <c r="P145" s="20">
        <f>-P133</f>
        <v>0</v>
      </c>
      <c r="Q145" s="38">
        <f>P145</f>
        <v>0</v>
      </c>
      <c r="R145" s="20">
        <f>-R133</f>
        <v>0</v>
      </c>
      <c r="S145" s="38">
        <f>R145</f>
        <v>0</v>
      </c>
      <c r="T145" s="20">
        <f>-T133</f>
        <v>0</v>
      </c>
      <c r="U145" s="38">
        <f>T145</f>
        <v>0</v>
      </c>
      <c r="V145" s="20">
        <f>-V133</f>
        <v>0</v>
      </c>
      <c r="W145" s="38">
        <f>V145</f>
        <v>0</v>
      </c>
      <c r="X145" s="20">
        <f>-X133</f>
        <v>0</v>
      </c>
      <c r="Y145" s="38">
        <f>X145</f>
        <v>0</v>
      </c>
      <c r="Z145" s="200">
        <f>-Z133</f>
        <v>0</v>
      </c>
      <c r="AA145" s="201"/>
    </row>
    <row r="146" spans="1:27" x14ac:dyDescent="0.2">
      <c r="A146" t="s">
        <v>130</v>
      </c>
      <c r="B146" s="23">
        <f>-B136</f>
        <v>-1231.3300000000002</v>
      </c>
      <c r="C146" s="35">
        <f t="shared" si="140"/>
        <v>-1231.3300000000002</v>
      </c>
      <c r="D146" s="23">
        <f>-D136</f>
        <v>0</v>
      </c>
      <c r="E146" s="35">
        <f>D146</f>
        <v>0</v>
      </c>
      <c r="F146" s="23">
        <f>-F136</f>
        <v>0</v>
      </c>
      <c r="G146" s="35">
        <f>F146</f>
        <v>0</v>
      </c>
      <c r="H146" s="23">
        <f>-H136</f>
        <v>-1167.92</v>
      </c>
      <c r="I146" s="35">
        <f>H146</f>
        <v>-1167.92</v>
      </c>
      <c r="J146" s="23">
        <f>-J136</f>
        <v>0</v>
      </c>
      <c r="K146" s="35">
        <f>J146</f>
        <v>0</v>
      </c>
      <c r="L146" s="23">
        <f>-L136</f>
        <v>0</v>
      </c>
      <c r="M146" s="35">
        <f>L146</f>
        <v>0</v>
      </c>
      <c r="N146" s="23">
        <f>-N136</f>
        <v>-1733.91</v>
      </c>
      <c r="O146" s="35">
        <f>N146</f>
        <v>-1733.91</v>
      </c>
      <c r="P146" s="23">
        <f>-P136</f>
        <v>0</v>
      </c>
      <c r="Q146" s="35">
        <f>P146</f>
        <v>0</v>
      </c>
      <c r="R146" s="23">
        <f>-R136</f>
        <v>0</v>
      </c>
      <c r="S146" s="35">
        <f>R146</f>
        <v>0</v>
      </c>
      <c r="T146" s="23">
        <f>-T136</f>
        <v>-1025.77</v>
      </c>
      <c r="U146" s="35">
        <f>T146</f>
        <v>-1025.77</v>
      </c>
      <c r="V146" s="23">
        <f>-V136</f>
        <v>0</v>
      </c>
      <c r="W146" s="35">
        <f>V146</f>
        <v>0</v>
      </c>
      <c r="X146" s="23">
        <f>-X136</f>
        <v>0</v>
      </c>
      <c r="Y146" s="35">
        <f>X146</f>
        <v>0</v>
      </c>
      <c r="Z146" s="200">
        <f>-Z136</f>
        <v>-5158.93</v>
      </c>
      <c r="AA146" s="207"/>
    </row>
    <row r="147" spans="1:27" ht="15.75" thickBot="1" x14ac:dyDescent="0.25">
      <c r="A147" s="36" t="s">
        <v>131</v>
      </c>
      <c r="B147" s="37">
        <f>B143+B144+B145+B146</f>
        <v>-1488.3451000000002</v>
      </c>
      <c r="C147" s="39">
        <f t="shared" si="140"/>
        <v>-1488.3451000000002</v>
      </c>
      <c r="D147" s="37">
        <f t="shared" ref="D147:Z147" si="142">D143+D144+D145+D146</f>
        <v>1030.22</v>
      </c>
      <c r="E147" s="39">
        <f t="shared" si="142"/>
        <v>-458.1251000000002</v>
      </c>
      <c r="F147" s="37">
        <f t="shared" si="142"/>
        <v>676.09</v>
      </c>
      <c r="G147" s="39">
        <f t="shared" si="142"/>
        <v>217.96489999999983</v>
      </c>
      <c r="H147" s="37">
        <f t="shared" si="142"/>
        <v>-649.49</v>
      </c>
      <c r="I147" s="39">
        <f t="shared" si="142"/>
        <v>-431.52510000000007</v>
      </c>
      <c r="J147" s="37">
        <f t="shared" si="142"/>
        <v>383.67000000000007</v>
      </c>
      <c r="K147" s="39">
        <f t="shared" si="142"/>
        <v>-47.855099999999993</v>
      </c>
      <c r="L147" s="37">
        <f t="shared" si="142"/>
        <v>315.75</v>
      </c>
      <c r="M147" s="39">
        <f t="shared" si="142"/>
        <v>267.89490000000001</v>
      </c>
      <c r="N147" s="37">
        <f t="shared" si="142"/>
        <v>-1556.01</v>
      </c>
      <c r="O147" s="39">
        <f t="shared" si="142"/>
        <v>-1288.1151</v>
      </c>
      <c r="P147" s="37">
        <f t="shared" si="142"/>
        <v>-632.41999999999996</v>
      </c>
      <c r="Q147" s="39">
        <f t="shared" si="142"/>
        <v>-1920.5351000000001</v>
      </c>
      <c r="R147" s="37">
        <f t="shared" si="142"/>
        <v>985.46999999999991</v>
      </c>
      <c r="S147" s="39">
        <f t="shared" si="142"/>
        <v>-935.06510000000014</v>
      </c>
      <c r="T147" s="37">
        <f t="shared" si="142"/>
        <v>51.539999999999964</v>
      </c>
      <c r="U147" s="39">
        <f t="shared" si="142"/>
        <v>-883.52510000000007</v>
      </c>
      <c r="V147" s="37">
        <f t="shared" si="142"/>
        <v>1002.21</v>
      </c>
      <c r="W147" s="39">
        <f t="shared" si="142"/>
        <v>118.68489999999997</v>
      </c>
      <c r="X147" s="37">
        <f t="shared" si="142"/>
        <v>1419.3600000000001</v>
      </c>
      <c r="Y147" s="39">
        <f t="shared" si="142"/>
        <v>1538.0449000000003</v>
      </c>
      <c r="Z147" s="202">
        <f t="shared" si="142"/>
        <v>1538.044899999999</v>
      </c>
      <c r="AA147" s="203"/>
    </row>
    <row r="149" spans="1:27" ht="30" thickBot="1" x14ac:dyDescent="0.45">
      <c r="A149" s="45" t="s">
        <v>103</v>
      </c>
    </row>
    <row r="150" spans="1:27" x14ac:dyDescent="0.2">
      <c r="B150" s="208" t="s">
        <v>48</v>
      </c>
      <c r="C150" s="209"/>
      <c r="D150" s="208" t="s">
        <v>56</v>
      </c>
      <c r="E150" s="209"/>
      <c r="F150" s="208" t="s">
        <v>57</v>
      </c>
      <c r="G150" s="209"/>
      <c r="H150" s="208" t="s">
        <v>58</v>
      </c>
      <c r="I150" s="209"/>
      <c r="J150" s="208" t="s">
        <v>59</v>
      </c>
      <c r="K150" s="209"/>
      <c r="L150" s="208" t="s">
        <v>60</v>
      </c>
      <c r="M150" s="209"/>
      <c r="N150" s="208" t="s">
        <v>61</v>
      </c>
      <c r="O150" s="209"/>
      <c r="P150" s="208" t="s">
        <v>62</v>
      </c>
      <c r="Q150" s="209"/>
      <c r="R150" s="208" t="s">
        <v>236</v>
      </c>
      <c r="S150" s="209"/>
      <c r="T150" s="208" t="s">
        <v>63</v>
      </c>
      <c r="U150" s="209"/>
      <c r="V150" s="208" t="s">
        <v>64</v>
      </c>
      <c r="W150" s="209"/>
      <c r="X150" s="208" t="s">
        <v>65</v>
      </c>
      <c r="Y150" s="209"/>
      <c r="Z150" s="208">
        <f>Z2</f>
        <v>2023</v>
      </c>
      <c r="AA150" s="209"/>
    </row>
    <row r="151" spans="1:27" ht="15.75" thickBot="1" x14ac:dyDescent="0.25">
      <c r="A151" s="10" t="s">
        <v>66</v>
      </c>
      <c r="B151" s="16">
        <f>B152+B170</f>
        <v>3140</v>
      </c>
      <c r="C151" s="17">
        <f>IF(B151=0,0,(B151/B151))</f>
        <v>1</v>
      </c>
      <c r="D151" s="16">
        <f>D152+D170</f>
        <v>2820</v>
      </c>
      <c r="E151" s="17">
        <f>IF(D151=0,0,(D151/D151))</f>
        <v>1</v>
      </c>
      <c r="F151" s="16">
        <f>F152+F170</f>
        <v>2535</v>
      </c>
      <c r="G151" s="17">
        <f>IF(F151=0,0,(F151/F151))</f>
        <v>1</v>
      </c>
      <c r="H151" s="16">
        <f>H152+H170</f>
        <v>3240</v>
      </c>
      <c r="I151" s="17">
        <f>IF(H151=0,0,(H151/H151))</f>
        <v>1</v>
      </c>
      <c r="J151" s="16">
        <f>J152+J170</f>
        <v>2320</v>
      </c>
      <c r="K151" s="17">
        <f>IF(J151=0,0,(J151/J151))</f>
        <v>1</v>
      </c>
      <c r="L151" s="16">
        <f>L152+L170</f>
        <v>2365</v>
      </c>
      <c r="M151" s="17">
        <f>IF(L151=0,0,(L151/L151))</f>
        <v>1</v>
      </c>
      <c r="N151" s="16">
        <f>N152+N170</f>
        <v>2460</v>
      </c>
      <c r="O151" s="17">
        <f>IF(N151=0,0,(N151/N151))</f>
        <v>1</v>
      </c>
      <c r="P151" s="16">
        <f>P152+P170</f>
        <v>1080</v>
      </c>
      <c r="Q151" s="17">
        <f>IF(P151=0,0,(P151/P151))</f>
        <v>1</v>
      </c>
      <c r="R151" s="16">
        <f>R152+R170</f>
        <v>2730</v>
      </c>
      <c r="S151" s="17">
        <f>IF(R151=0,0,(R151/R151))</f>
        <v>1</v>
      </c>
      <c r="T151" s="16">
        <f>T152+T170</f>
        <v>2335</v>
      </c>
      <c r="U151" s="17">
        <f>IF(T151=0,0,(T151/T151))</f>
        <v>1</v>
      </c>
      <c r="V151" s="16">
        <f>V152+V170</f>
        <v>1540</v>
      </c>
      <c r="W151" s="17">
        <f>IF(V151=0,0,(V151/V151))</f>
        <v>1</v>
      </c>
      <c r="X151" s="16">
        <f>X152+X170</f>
        <v>4265</v>
      </c>
      <c r="Y151" s="17">
        <f>IF(X151=0,0,(X151/X151))</f>
        <v>1</v>
      </c>
      <c r="Z151" s="16">
        <f>Z152+Z170</f>
        <v>30830</v>
      </c>
      <c r="AA151" s="17">
        <f>IF(Z151=0,0,(Z151/Z151))</f>
        <v>1</v>
      </c>
    </row>
    <row r="152" spans="1:27" x14ac:dyDescent="0.2">
      <c r="A152" s="32" t="s">
        <v>74</v>
      </c>
      <c r="B152" s="18">
        <f>SUM(B153:B160)</f>
        <v>2830</v>
      </c>
      <c r="C152" s="19">
        <f>IF(B$151=0,0,B152/B$151)</f>
        <v>0.90127388535031849</v>
      </c>
      <c r="D152" s="18">
        <f>SUM(D153:D160)</f>
        <v>2610</v>
      </c>
      <c r="E152" s="19">
        <f>IF(D$151=0,0,D152/D$151)</f>
        <v>0.92553191489361697</v>
      </c>
      <c r="F152" s="18">
        <f>SUM(F153:F160)</f>
        <v>2355</v>
      </c>
      <c r="G152" s="19">
        <f>IF(F$151=0,0,F152/F$151)</f>
        <v>0.92899408284023666</v>
      </c>
      <c r="H152" s="18">
        <f>SUM(H153:H160)</f>
        <v>3120</v>
      </c>
      <c r="I152" s="19">
        <f>IF(H$151=0,0,H152/H$151)</f>
        <v>0.96296296296296291</v>
      </c>
      <c r="J152" s="18">
        <f>SUM(J153:J160)</f>
        <v>2140</v>
      </c>
      <c r="K152" s="19">
        <f>IF(J$151=0,0,J152/J$151)</f>
        <v>0.92241379310344829</v>
      </c>
      <c r="L152" s="18">
        <f>SUM(L153:L160)</f>
        <v>2305</v>
      </c>
      <c r="M152" s="19">
        <f>IF(L$151=0,0,L152/L$151)</f>
        <v>0.97463002114164909</v>
      </c>
      <c r="N152" s="18">
        <f>SUM(N153:N160)</f>
        <v>2175</v>
      </c>
      <c r="O152" s="19">
        <f>IF(N$151=0,0,N152/N$151)</f>
        <v>0.88414634146341464</v>
      </c>
      <c r="P152" s="18">
        <f>SUM(P153:P160)</f>
        <v>1000</v>
      </c>
      <c r="Q152" s="19">
        <f>IF(P$151=0,0,P152/P$151)</f>
        <v>0.92592592592592593</v>
      </c>
      <c r="R152" s="18">
        <f>SUM(R153:R160)</f>
        <v>2535</v>
      </c>
      <c r="S152" s="19">
        <f>IF(R$151=0,0,R152/R$151)</f>
        <v>0.9285714285714286</v>
      </c>
      <c r="T152" s="18">
        <f>SUM(T153:T160)</f>
        <v>2145</v>
      </c>
      <c r="U152" s="19">
        <f>IF(T$151=0,0,T152/T$151)</f>
        <v>0.9186295503211992</v>
      </c>
      <c r="V152" s="18">
        <f>SUM(V153:V160)</f>
        <v>1480</v>
      </c>
      <c r="W152" s="19">
        <f>IF(V$151=0,0,V152/V$151)</f>
        <v>0.96103896103896103</v>
      </c>
      <c r="X152" s="18">
        <f>SUM(X153:X160)</f>
        <v>4065</v>
      </c>
      <c r="Y152" s="19">
        <f>IF(X$151=0,0,X152/X$151)</f>
        <v>0.95310668229777262</v>
      </c>
      <c r="Z152" s="18">
        <f>SUM(Z153:Z160)</f>
        <v>28760</v>
      </c>
      <c r="AA152" s="19">
        <f>IF(Z$3=0,0,Z152/Z$3)</f>
        <v>0.58628070533075116</v>
      </c>
    </row>
    <row r="153" spans="1:27" hidden="1" outlineLevel="1" x14ac:dyDescent="0.2">
      <c r="A153" s="8" t="s">
        <v>67</v>
      </c>
      <c r="B153" s="20">
        <f>SUMIFS('Registre de reserves'!$V$2:$V$1178,'Registre de reserves'!$T$2:$T$1178,"SI",'Registre de reserves'!$I$2:$I$1178,'2023'!$A153,'Registre de reserves'!$B$2:$B$1178,'2023'!B$2,Tabla1[ANY],'2023'!$Z$150)+SUMIFS('Registre de reserves'!$V$2:$V$1178,'Registre de reserves'!$T$2:$T$1178,"RESERVA",'Registre de reserves'!$I$2:$I$1178,'2023'!$A153,'Registre de reserves'!$B$2:$B$1178,'2023'!B$2,Tabla1[ANY],'2023'!$Z$150)</f>
        <v>100</v>
      </c>
      <c r="C153" s="21">
        <f>IF(B$152=0,0,B153/B$152)</f>
        <v>3.5335689045936397E-2</v>
      </c>
      <c r="D153" s="20">
        <f>SUMIFS('Registre de reserves'!$V$2:$V$1178,'Registre de reserves'!$T$2:$T$1178,"SI",'Registre de reserves'!$I$2:$I$1178,'2023'!$A153,'Registre de reserves'!$B$2:$B$1178,'2023'!D$2,Tabla1[ANY],'2023'!$Z$150)+SUMIFS('Registre de reserves'!$V$2:$V$1178,'Registre de reserves'!$T$2:$T$1178,"RESERVA",'Registre de reserves'!$I$2:$I$1178,'2023'!$A153,'Registre de reserves'!$B$2:$B$1178,'2023'!D$2,Tabla1[ANY],'2023'!$Z$150)</f>
        <v>450</v>
      </c>
      <c r="E153" s="21">
        <f t="shared" ref="E153:E160" si="143">IF(D$152=0,0,D153/D$152)</f>
        <v>0.17241379310344829</v>
      </c>
      <c r="F153" s="20">
        <f>SUMIFS('Registre de reserves'!$V$2:$V$1178,'Registre de reserves'!$T$2:$T$1178,"SI",'Registre de reserves'!$I$2:$I$1178,'2023'!$A153,'Registre de reserves'!$B$2:$B$1178,'2023'!F$2,Tabla1[ANY],'2023'!$Z$150)+SUMIFS('Registre de reserves'!$V$2:$V$1178,'Registre de reserves'!$T$2:$T$1178,"RESERVA",'Registre de reserves'!$I$2:$I$1178,'2023'!$A153,'Registre de reserves'!$B$2:$B$1178,'2023'!F$2,Tabla1[ANY],'2023'!$Z$150)</f>
        <v>700</v>
      </c>
      <c r="G153" s="21">
        <f t="shared" ref="G153:G160" si="144">IF(F$152=0,0,F153/F$152)</f>
        <v>0.29723991507430997</v>
      </c>
      <c r="H153" s="20">
        <f>SUMIFS('Registre de reserves'!$V$2:$V$1178,'Registre de reserves'!$T$2:$T$1178,"SI",'Registre de reserves'!$I$2:$I$1178,'2023'!$A153,'Registre de reserves'!$B$2:$B$1178,'2023'!H$2,Tabla1[ANY],'2023'!$Z$150)+SUMIFS('Registre de reserves'!$V$2:$V$1178,'Registre de reserves'!$T$2:$T$1178,"RESERVA",'Registre de reserves'!$I$2:$I$1178,'2023'!$A153,'Registre de reserves'!$B$2:$B$1178,'2023'!H$2,Tabla1[ANY],'2023'!$Z$150)</f>
        <v>400</v>
      </c>
      <c r="I153" s="21">
        <f t="shared" ref="I153:I160" si="145">IF(H$152=0,0,H153/H$152)</f>
        <v>0.12820512820512819</v>
      </c>
      <c r="J153" s="20">
        <f>SUMIFS('Registre de reserves'!$V$2:$V$1178,'Registre de reserves'!$T$2:$T$1178,"SI",'Registre de reserves'!$I$2:$I$1178,'2023'!$A153,'Registre de reserves'!$B$2:$B$1178,'2023'!J$2,Tabla1[ANY],'2023'!$Z$150)+SUMIFS('Registre de reserves'!$V$2:$V$1178,'Registre de reserves'!$T$2:$T$1178,"RESERVA",'Registre de reserves'!$I$2:$I$1178,'2023'!$A153,'Registre de reserves'!$B$2:$B$1178,'2023'!J$2,Tabla1[ANY],'2023'!$Z$150)</f>
        <v>500</v>
      </c>
      <c r="K153" s="21">
        <f t="shared" ref="K153:K160" si="146">IF(J$152=0,0,J153/J$152)</f>
        <v>0.23364485981308411</v>
      </c>
      <c r="L153" s="20">
        <f>SUMIFS('Registre de reserves'!$V$2:$V$1178,'Registre de reserves'!$T$2:$T$1178,"SI",'Registre de reserves'!$I$2:$I$1178,'2023'!$A153,'Registre de reserves'!$B$2:$B$1178,'2023'!L$2,Tabla1[ANY],'2023'!$Z$150)+SUMIFS('Registre de reserves'!$V$2:$V$1178,'Registre de reserves'!$T$2:$T$1178,"RESERVA",'Registre de reserves'!$I$2:$I$1178,'2023'!$A153,'Registre de reserves'!$B$2:$B$1178,'2023'!L$2,Tabla1[ANY],'2023'!$Z$150)</f>
        <v>195</v>
      </c>
      <c r="M153" s="21">
        <f t="shared" ref="M153:M160" si="147">IF(L$152=0,0,L153/L$152)</f>
        <v>8.4598698481561818E-2</v>
      </c>
      <c r="N153" s="20">
        <f>SUMIFS('Registre de reserves'!$V$2:$V$1178,'Registre de reserves'!$T$2:$T$1178,"SI",'Registre de reserves'!$I$2:$I$1178,'2023'!$A153,'Registre de reserves'!$B$2:$B$1178,'2023'!N$2,Tabla1[ANY],'2023'!$Z$150)+SUMIFS('Registre de reserves'!$V$2:$V$1178,'Registre de reserves'!$T$2:$T$1178,"RESERVA",'Registre de reserves'!$I$2:$I$1178,'2023'!$A153,'Registre de reserves'!$B$2:$B$1178,'2023'!N$2,Tabla1[ANY],'2023'!$Z$150)</f>
        <v>200</v>
      </c>
      <c r="O153" s="21">
        <f t="shared" ref="O153:O160" si="148">IF(N$152=0,0,N153/N$152)</f>
        <v>9.1954022988505746E-2</v>
      </c>
      <c r="P153" s="20">
        <f>SUMIFS('Registre de reserves'!$V$2:$V$1178,'Registre de reserves'!$T$2:$T$1178,"SI",'Registre de reserves'!$I$2:$I$1178,'2023'!$A153,'Registre de reserves'!$B$2:$B$1178,'2023'!P$2,Tabla1[ANY],'2023'!$Z$150)+SUMIFS('Registre de reserves'!$V$2:$V$1178,'Registre de reserves'!$T$2:$T$1178,"RESERVA",'Registre de reserves'!$I$2:$I$1178,'2023'!$A153,'Registre de reserves'!$B$2:$B$1178,'2023'!P$2,Tabla1[ANY],'2023'!$Z$150)</f>
        <v>100</v>
      </c>
      <c r="Q153" s="21">
        <f t="shared" ref="Q153:Q160" si="149">IF(P$152=0,0,P153/P$152)</f>
        <v>0.1</v>
      </c>
      <c r="R153" s="20">
        <f>SUMIFS('Registre de reserves'!$V$2:$V$1178,'Registre de reserves'!$T$2:$T$1178,"SI",'Registre de reserves'!$I$2:$I$1178,'2023'!$A153,'Registre de reserves'!$B$2:$B$1178,'2023'!R$2,Tabla1[ANY],'2023'!$Z$150)+SUMIFS('Registre de reserves'!$V$2:$V$1178,'Registre de reserves'!$T$2:$T$1178,"RESERVA",'Registre de reserves'!$I$2:$I$1178,'2023'!$A153,'Registre de reserves'!$B$2:$B$1178,'2023'!R$2,Tabla1[ANY],'2023'!$Z$150)</f>
        <v>350</v>
      </c>
      <c r="S153" s="21">
        <f t="shared" ref="S153:S160" si="150">IF(R$152=0,0,R153/R$152)</f>
        <v>0.13806706114398423</v>
      </c>
      <c r="T153" s="20">
        <f>SUMIFS('Registre de reserves'!$V$2:$V$1178,'Registre de reserves'!$T$2:$T$1178,"SI",'Registre de reserves'!$I$2:$I$1178,'2023'!$A153,'Registre de reserves'!$B$2:$B$1178,'2023'!T$2,Tabla1[ANY],'2023'!$Z$150)+SUMIFS('Registre de reserves'!$V$2:$V$1178,'Registre de reserves'!$T$2:$T$1178,"RESERVA",'Registre de reserves'!$I$2:$I$1178,'2023'!$A153,'Registre de reserves'!$B$2:$B$1178,'2023'!T$2,Tabla1[ANY],'2023'!$Z$150)</f>
        <v>300</v>
      </c>
      <c r="U153" s="21">
        <f t="shared" ref="U153:U160" si="151">IF(T$152=0,0,T153/T$152)</f>
        <v>0.13986013986013987</v>
      </c>
      <c r="V153" s="20">
        <f>SUMIFS('Registre de reserves'!$V$2:$V$1178,'Registre de reserves'!$T$2:$T$1178,"SI",'Registre de reserves'!$I$2:$I$1178,'2023'!$A153,'Registre de reserves'!$B$2:$B$1178,'2023'!V$2,Tabla1[ANY],'2023'!$Z$150)+SUMIFS('Registre de reserves'!$V$2:$V$1178,'Registre de reserves'!$T$2:$T$1178,"RESERVA",'Registre de reserves'!$I$2:$I$1178,'2023'!$A153,'Registre de reserves'!$B$2:$B$1178,'2023'!V$2,Tabla1[ANY],'2023'!$Z$150)</f>
        <v>400</v>
      </c>
      <c r="W153" s="21">
        <f t="shared" ref="W153:W160" si="152">IF(V$152=0,0,V153/V$152)</f>
        <v>0.27027027027027029</v>
      </c>
      <c r="X153" s="20">
        <f>SUMIFS('Registre de reserves'!$V$2:$V$1178,'Registre de reserves'!$T$2:$T$1178,"SI",'Registre de reserves'!$I$2:$I$1178,'2023'!$A153,'Registre de reserves'!$B$2:$B$1178,'2023'!X$2,Tabla1[ANY],'2023'!$Z$150)+SUMIFS('Registre de reserves'!$V$2:$V$1178,'Registre de reserves'!$T$2:$T$1178,"RESERVA",'Registre de reserves'!$I$2:$I$1178,'2023'!$A153,'Registre de reserves'!$B$2:$B$1178,'2023'!X$2,Tabla1[ANY],'2023'!$Z$150)</f>
        <v>180</v>
      </c>
      <c r="Y153" s="21">
        <f t="shared" ref="Y153:Y160" si="153">IF(X$152=0,0,X153/X$152)</f>
        <v>4.4280442804428041E-2</v>
      </c>
      <c r="Z153" s="20">
        <f>B153+D153+F153+H153+J153+L153+N153+P153+R153+T153+V153+X153</f>
        <v>3875</v>
      </c>
      <c r="AA153" s="21">
        <f t="shared" ref="AA153:AA160" si="154">IF(Z$4=0,0,Z153/Z$4)</f>
        <v>8.3485942044597652E-2</v>
      </c>
    </row>
    <row r="154" spans="1:27" hidden="1" outlineLevel="1" x14ac:dyDescent="0.2">
      <c r="A154" s="8" t="s">
        <v>68</v>
      </c>
      <c r="B154" s="20">
        <f>SUMIFS('Registre de reserves'!$V$2:$V$1178,'Registre de reserves'!$T$2:$T$1178,"SI",'Registre de reserves'!$I$2:$I$1178,'2023'!$A154,'Registre de reserves'!$B$2:$B$1178,'2023'!B$2,Tabla1[ANY],'2023'!$Z$150)+SUMIFS('Registre de reserves'!$V$2:$V$1178,'Registre de reserves'!$T$2:$T$1178,"RESERVA",'Registre de reserves'!$I$2:$I$1178,'2023'!$A154,'Registre de reserves'!$B$2:$B$1178,'2023'!B$2,Tabla1[ANY],'2023'!$Z$150)</f>
        <v>770</v>
      </c>
      <c r="C154" s="21">
        <f t="shared" ref="C154:C160" si="155">IF(B$152=0,0,B154/B$152)</f>
        <v>0.27208480565371024</v>
      </c>
      <c r="D154" s="20">
        <f>SUMIFS('Registre de reserves'!$V$2:$V$1178,'Registre de reserves'!$T$2:$T$1178,"SI",'Registre de reserves'!$I$2:$I$1178,'2023'!$A154,'Registre de reserves'!$B$2:$B$1178,'2023'!D$2,Tabla1[ANY],'2023'!$Z$150)+SUMIFS('Registre de reserves'!$V$2:$V$1178,'Registre de reserves'!$T$2:$T$1178,"RESERVA",'Registre de reserves'!$I$2:$I$1178,'2023'!$A154,'Registre de reserves'!$B$2:$B$1178,'2023'!D$2,Tabla1[ANY],'2023'!$Z$150)</f>
        <v>1060</v>
      </c>
      <c r="E154" s="21">
        <f t="shared" si="143"/>
        <v>0.4061302681992337</v>
      </c>
      <c r="F154" s="20">
        <f>SUMIFS('Registre de reserves'!$V$2:$V$1178,'Registre de reserves'!$T$2:$T$1178,"SI",'Registre de reserves'!$I$2:$I$1178,'2023'!$A154,'Registre de reserves'!$B$2:$B$1178,'2023'!F$2,Tabla1[ANY],'2023'!$Z$150)+SUMIFS('Registre de reserves'!$V$2:$V$1178,'Registre de reserves'!$T$2:$T$1178,"RESERVA",'Registre de reserves'!$I$2:$I$1178,'2023'!$A154,'Registre de reserves'!$B$2:$B$1178,'2023'!F$2,Tabla1[ANY],'2023'!$Z$150)</f>
        <v>955</v>
      </c>
      <c r="G154" s="21">
        <f t="shared" si="144"/>
        <v>0.40552016985138006</v>
      </c>
      <c r="H154" s="20">
        <f>SUMIFS('Registre de reserves'!$V$2:$V$1178,'Registre de reserves'!$T$2:$T$1178,"SI",'Registre de reserves'!$I$2:$I$1178,'2023'!$A154,'Registre de reserves'!$B$2:$B$1178,'2023'!H$2,Tabla1[ANY],'2023'!$Z$150)+SUMIFS('Registre de reserves'!$V$2:$V$1178,'Registre de reserves'!$T$2:$T$1178,"RESERVA",'Registre de reserves'!$I$2:$I$1178,'2023'!$A154,'Registre de reserves'!$B$2:$B$1178,'2023'!H$2,Tabla1[ANY],'2023'!$Z$150)</f>
        <v>940</v>
      </c>
      <c r="I154" s="21">
        <f t="shared" si="145"/>
        <v>0.30128205128205127</v>
      </c>
      <c r="J154" s="20">
        <f>SUMIFS('Registre de reserves'!$V$2:$V$1178,'Registre de reserves'!$T$2:$T$1178,"SI",'Registre de reserves'!$I$2:$I$1178,'2023'!$A154,'Registre de reserves'!$B$2:$B$1178,'2023'!J$2,Tabla1[ANY],'2023'!$Z$150)+SUMIFS('Registre de reserves'!$V$2:$V$1178,'Registre de reserves'!$T$2:$T$1178,"RESERVA",'Registre de reserves'!$I$2:$I$1178,'2023'!$A154,'Registre de reserves'!$B$2:$B$1178,'2023'!J$2,Tabla1[ANY],'2023'!$Z$150)</f>
        <v>770</v>
      </c>
      <c r="K154" s="21">
        <f t="shared" si="146"/>
        <v>0.35981308411214952</v>
      </c>
      <c r="L154" s="20">
        <f>SUMIFS('Registre de reserves'!$V$2:$V$1178,'Registre de reserves'!$T$2:$T$1178,"SI",'Registre de reserves'!$I$2:$I$1178,'2023'!$A154,'Registre de reserves'!$B$2:$B$1178,'2023'!L$2,Tabla1[ANY],'2023'!$Z$150)+SUMIFS('Registre de reserves'!$V$2:$V$1178,'Registre de reserves'!$T$2:$T$1178,"RESERVA",'Registre de reserves'!$I$2:$I$1178,'2023'!$A154,'Registre de reserves'!$B$2:$B$1178,'2023'!L$2,Tabla1[ANY],'2023'!$Z$150)</f>
        <v>770</v>
      </c>
      <c r="M154" s="21">
        <f t="shared" si="147"/>
        <v>0.33405639913232105</v>
      </c>
      <c r="N154" s="20">
        <f>SUMIFS('Registre de reserves'!$V$2:$V$1178,'Registre de reserves'!$T$2:$T$1178,"SI",'Registre de reserves'!$I$2:$I$1178,'2023'!$A154,'Registre de reserves'!$B$2:$B$1178,'2023'!N$2,Tabla1[ANY],'2023'!$Z$150)+SUMIFS('Registre de reserves'!$V$2:$V$1178,'Registre de reserves'!$T$2:$T$1178,"RESERVA",'Registre de reserves'!$I$2:$I$1178,'2023'!$A154,'Registre de reserves'!$B$2:$B$1178,'2023'!N$2,Tabla1[ANY],'2023'!$Z$150)</f>
        <v>335</v>
      </c>
      <c r="O154" s="21">
        <f t="shared" si="148"/>
        <v>0.15402298850574714</v>
      </c>
      <c r="P154" s="20">
        <f>SUMIFS('Registre de reserves'!$V$2:$V$1178,'Registre de reserves'!$T$2:$T$1178,"SI",'Registre de reserves'!$I$2:$I$1178,'2023'!$A154,'Registre de reserves'!$B$2:$B$1178,'2023'!P$2,Tabla1[ANY],'2023'!$Z$150)+SUMIFS('Registre de reserves'!$V$2:$V$1178,'Registre de reserves'!$T$2:$T$1178,"RESERVA",'Registre de reserves'!$I$2:$I$1178,'2023'!$A154,'Registre de reserves'!$B$2:$B$1178,'2023'!P$2,Tabla1[ANY],'2023'!$Z$150)</f>
        <v>400</v>
      </c>
      <c r="Q154" s="21">
        <f t="shared" si="149"/>
        <v>0.4</v>
      </c>
      <c r="R154" s="20">
        <f>SUMIFS('Registre de reserves'!$V$2:$V$1178,'Registre de reserves'!$T$2:$T$1178,"SI",'Registre de reserves'!$I$2:$I$1178,'2023'!$A154,'Registre de reserves'!$B$2:$B$1178,'2023'!R$2,Tabla1[ANY],'2023'!$Z$150)+SUMIFS('Registre de reserves'!$V$2:$V$1178,'Registre de reserves'!$T$2:$T$1178,"RESERVA",'Registre de reserves'!$I$2:$I$1178,'2023'!$A154,'Registre de reserves'!$B$2:$B$1178,'2023'!R$2,Tabla1[ANY],'2023'!$Z$150)</f>
        <v>775</v>
      </c>
      <c r="S154" s="21">
        <f t="shared" si="150"/>
        <v>0.3057199211045365</v>
      </c>
      <c r="T154" s="20">
        <f>SUMIFS('Registre de reserves'!$V$2:$V$1178,'Registre de reserves'!$T$2:$T$1178,"SI",'Registre de reserves'!$I$2:$I$1178,'2023'!$A154,'Registre de reserves'!$B$2:$B$1178,'2023'!T$2,Tabla1[ANY],'2023'!$Z$150)+SUMIFS('Registre de reserves'!$V$2:$V$1178,'Registre de reserves'!$T$2:$T$1178,"RESERVA",'Registre de reserves'!$I$2:$I$1178,'2023'!$A154,'Registre de reserves'!$B$2:$B$1178,'2023'!T$2,Tabla1[ANY],'2023'!$Z$150)</f>
        <v>675</v>
      </c>
      <c r="U154" s="21">
        <f t="shared" si="151"/>
        <v>0.31468531468531469</v>
      </c>
      <c r="V154" s="20">
        <f>SUMIFS('Registre de reserves'!$V$2:$V$1178,'Registre de reserves'!$T$2:$T$1178,"SI",'Registre de reserves'!$I$2:$I$1178,'2023'!$A154,'Registre de reserves'!$B$2:$B$1178,'2023'!V$2,Tabla1[ANY],'2023'!$Z$150)+SUMIFS('Registre de reserves'!$V$2:$V$1178,'Registre de reserves'!$T$2:$T$1178,"RESERVA",'Registre de reserves'!$I$2:$I$1178,'2023'!$A154,'Registre de reserves'!$B$2:$B$1178,'2023'!V$2,Tabla1[ANY],'2023'!$Z$150)</f>
        <v>300</v>
      </c>
      <c r="W154" s="21">
        <f t="shared" si="152"/>
        <v>0.20270270270270271</v>
      </c>
      <c r="X154" s="20">
        <f>SUMIFS('Registre de reserves'!$V$2:$V$1178,'Registre de reserves'!$T$2:$T$1178,"SI",'Registre de reserves'!$I$2:$I$1178,'2023'!$A154,'Registre de reserves'!$B$2:$B$1178,'2023'!X$2,Tabla1[ANY],'2023'!$Z$150)+SUMIFS('Registre de reserves'!$V$2:$V$1178,'Registre de reserves'!$T$2:$T$1178,"RESERVA",'Registre de reserves'!$I$2:$I$1178,'2023'!$A154,'Registre de reserves'!$B$2:$B$1178,'2023'!X$2,Tabla1[ANY],'2023'!$Z$150)</f>
        <v>1295</v>
      </c>
      <c r="Y154" s="21">
        <f t="shared" si="153"/>
        <v>0.31857318573185733</v>
      </c>
      <c r="Z154" s="20">
        <f t="shared" ref="Z154:Z160" si="156">B154+D154+F154+H154+J154+L154+N154+P154+R154+T154+V154+X154</f>
        <v>9045</v>
      </c>
      <c r="AA154" s="21">
        <f t="shared" si="154"/>
        <v>0.19487234730151889</v>
      </c>
    </row>
    <row r="155" spans="1:27" hidden="1" outlineLevel="1" x14ac:dyDescent="0.2">
      <c r="A155" s="8" t="s">
        <v>4</v>
      </c>
      <c r="B155" s="20">
        <f>SUMIFS('Registre de reserves'!$V$2:$V$1178,'Registre de reserves'!$T$2:$T$1178,"SI",'Registre de reserves'!$I$2:$I$1178,'2023'!$A155,'Registre de reserves'!$B$2:$B$1178,'2023'!B$2,Tabla1[ANY],'2023'!$Z$150)+SUMIFS('Registre de reserves'!$V$2:$V$1178,'Registre de reserves'!$T$2:$T$1178,"RESERVA",'Registre de reserves'!$I$2:$I$1178,'2023'!$A155,'Registre de reserves'!$B$2:$B$1178,'2023'!B$2,Tabla1[ANY],'2023'!$Z$150)</f>
        <v>230</v>
      </c>
      <c r="C155" s="21">
        <f t="shared" si="155"/>
        <v>8.1272084805653705E-2</v>
      </c>
      <c r="D155" s="20">
        <f>SUMIFS('Registre de reserves'!$V$2:$V$1178,'Registre de reserves'!$T$2:$T$1178,"SI",'Registre de reserves'!$I$2:$I$1178,'2023'!$A155,'Registre de reserves'!$B$2:$B$1178,'2023'!D$2,Tabla1[ANY],'2023'!$Z$150)+SUMIFS('Registre de reserves'!$V$2:$V$1178,'Registre de reserves'!$T$2:$T$1178,"RESERVA",'Registre de reserves'!$I$2:$I$1178,'2023'!$A155,'Registre de reserves'!$B$2:$B$1178,'2023'!D$2,Tabla1[ANY],'2023'!$Z$150)</f>
        <v>0</v>
      </c>
      <c r="E155" s="21">
        <f t="shared" si="143"/>
        <v>0</v>
      </c>
      <c r="F155" s="20">
        <f>SUMIFS('Registre de reserves'!$V$2:$V$1178,'Registre de reserves'!$T$2:$T$1178,"SI",'Registre de reserves'!$I$2:$I$1178,'2023'!$A155,'Registre de reserves'!$B$2:$B$1178,'2023'!F$2,Tabla1[ANY],'2023'!$Z$150)+SUMIFS('Registre de reserves'!$V$2:$V$1178,'Registre de reserves'!$T$2:$T$1178,"RESERVA",'Registre de reserves'!$I$2:$I$1178,'2023'!$A155,'Registre de reserves'!$B$2:$B$1178,'2023'!F$2,Tabla1[ANY],'2023'!$Z$150)</f>
        <v>0</v>
      </c>
      <c r="G155" s="21">
        <f t="shared" si="144"/>
        <v>0</v>
      </c>
      <c r="H155" s="20">
        <f>SUMIFS('Registre de reserves'!$V$2:$V$1178,'Registre de reserves'!$T$2:$T$1178,"SI",'Registre de reserves'!$I$2:$I$1178,'2023'!$A155,'Registre de reserves'!$B$2:$B$1178,'2023'!H$2,Tabla1[ANY],'2023'!$Z$150)+SUMIFS('Registre de reserves'!$V$2:$V$1178,'Registre de reserves'!$T$2:$T$1178,"RESERVA",'Registre de reserves'!$I$2:$I$1178,'2023'!$A155,'Registre de reserves'!$B$2:$B$1178,'2023'!H$2,Tabla1[ANY],'2023'!$Z$150)</f>
        <v>410</v>
      </c>
      <c r="I155" s="21">
        <f t="shared" si="145"/>
        <v>0.13141025641025642</v>
      </c>
      <c r="J155" s="20">
        <f>SUMIFS('Registre de reserves'!$V$2:$V$1178,'Registre de reserves'!$T$2:$T$1178,"SI",'Registre de reserves'!$I$2:$I$1178,'2023'!$A155,'Registre de reserves'!$B$2:$B$1178,'2023'!J$2,Tabla1[ANY],'2023'!$Z$150)+SUMIFS('Registre de reserves'!$V$2:$V$1178,'Registre de reserves'!$T$2:$T$1178,"RESERVA",'Registre de reserves'!$I$2:$I$1178,'2023'!$A155,'Registre de reserves'!$B$2:$B$1178,'2023'!J$2,Tabla1[ANY],'2023'!$Z$150)</f>
        <v>0</v>
      </c>
      <c r="K155" s="21">
        <f t="shared" si="146"/>
        <v>0</v>
      </c>
      <c r="L155" s="20">
        <f>SUMIFS('Registre de reserves'!$V$2:$V$1178,'Registre de reserves'!$T$2:$T$1178,"SI",'Registre de reserves'!$I$2:$I$1178,'2023'!$A155,'Registre de reserves'!$B$2:$B$1178,'2023'!L$2,Tabla1[ANY],'2023'!$Z$150)+SUMIFS('Registre de reserves'!$V$2:$V$1178,'Registre de reserves'!$T$2:$T$1178,"RESERVA",'Registre de reserves'!$I$2:$I$1178,'2023'!$A155,'Registre de reserves'!$B$2:$B$1178,'2023'!L$2,Tabla1[ANY],'2023'!$Z$150)</f>
        <v>390</v>
      </c>
      <c r="M155" s="21">
        <f t="shared" si="147"/>
        <v>0.16919739696312364</v>
      </c>
      <c r="N155" s="20">
        <f>SUMIFS('Registre de reserves'!$V$2:$V$1178,'Registre de reserves'!$T$2:$T$1178,"SI",'Registre de reserves'!$I$2:$I$1178,'2023'!$A155,'Registre de reserves'!$B$2:$B$1178,'2023'!N$2,Tabla1[ANY],'2023'!$Z$150)+SUMIFS('Registre de reserves'!$V$2:$V$1178,'Registre de reserves'!$T$2:$T$1178,"RESERVA",'Registre de reserves'!$I$2:$I$1178,'2023'!$A155,'Registre de reserves'!$B$2:$B$1178,'2023'!N$2,Tabla1[ANY],'2023'!$Z$150)</f>
        <v>480</v>
      </c>
      <c r="O155" s="21">
        <f t="shared" si="148"/>
        <v>0.22068965517241379</v>
      </c>
      <c r="P155" s="20">
        <f>SUMIFS('Registre de reserves'!$V$2:$V$1178,'Registre de reserves'!$T$2:$T$1178,"SI",'Registre de reserves'!$I$2:$I$1178,'2023'!$A155,'Registre de reserves'!$B$2:$B$1178,'2023'!P$2,Tabla1[ANY],'2023'!$Z$150)+SUMIFS('Registre de reserves'!$V$2:$V$1178,'Registre de reserves'!$T$2:$T$1178,"RESERVA",'Registre de reserves'!$I$2:$I$1178,'2023'!$A155,'Registre de reserves'!$B$2:$B$1178,'2023'!P$2,Tabla1[ANY],'2023'!$Z$150)</f>
        <v>0</v>
      </c>
      <c r="Q155" s="21">
        <f t="shared" si="149"/>
        <v>0</v>
      </c>
      <c r="R155" s="20">
        <f>SUMIFS('Registre de reserves'!$V$2:$V$1178,'Registre de reserves'!$T$2:$T$1178,"SI",'Registre de reserves'!$I$2:$I$1178,'2023'!$A155,'Registre de reserves'!$B$2:$B$1178,'2023'!R$2,Tabla1[ANY],'2023'!$Z$150)+SUMIFS('Registre de reserves'!$V$2:$V$1178,'Registre de reserves'!$T$2:$T$1178,"RESERVA",'Registre de reserves'!$I$2:$I$1178,'2023'!$A155,'Registre de reserves'!$B$2:$B$1178,'2023'!R$2,Tabla1[ANY],'2023'!$Z$150)</f>
        <v>190</v>
      </c>
      <c r="S155" s="21">
        <f t="shared" si="150"/>
        <v>7.4950690335305714E-2</v>
      </c>
      <c r="T155" s="20">
        <f>SUMIFS('Registre de reserves'!$V$2:$V$1178,'Registre de reserves'!$T$2:$T$1178,"SI",'Registre de reserves'!$I$2:$I$1178,'2023'!$A155,'Registre de reserves'!$B$2:$B$1178,'2023'!T$2,Tabla1[ANY],'2023'!$Z$150)+SUMIFS('Registre de reserves'!$V$2:$V$1178,'Registre de reserves'!$T$2:$T$1178,"RESERVA",'Registre de reserves'!$I$2:$I$1178,'2023'!$A155,'Registre de reserves'!$B$2:$B$1178,'2023'!T$2,Tabla1[ANY],'2023'!$Z$150)</f>
        <v>0</v>
      </c>
      <c r="U155" s="21">
        <f t="shared" si="151"/>
        <v>0</v>
      </c>
      <c r="V155" s="20">
        <f>SUMIFS('Registre de reserves'!$V$2:$V$1178,'Registre de reserves'!$T$2:$T$1178,"SI",'Registre de reserves'!$I$2:$I$1178,'2023'!$A155,'Registre de reserves'!$B$2:$B$1178,'2023'!V$2,Tabla1[ANY],'2023'!$Z$150)+SUMIFS('Registre de reserves'!$V$2:$V$1178,'Registre de reserves'!$T$2:$T$1178,"RESERVA",'Registre de reserves'!$I$2:$I$1178,'2023'!$A155,'Registre de reserves'!$B$2:$B$1178,'2023'!V$2,Tabla1[ANY],'2023'!$Z$150)</f>
        <v>480</v>
      </c>
      <c r="W155" s="21">
        <f t="shared" si="152"/>
        <v>0.32432432432432434</v>
      </c>
      <c r="X155" s="20">
        <f>SUMIFS('Registre de reserves'!$V$2:$V$1178,'Registre de reserves'!$T$2:$T$1178,"SI",'Registre de reserves'!$I$2:$I$1178,'2023'!$A155,'Registre de reserves'!$B$2:$B$1178,'2023'!X$2,Tabla1[ANY],'2023'!$Z$150)+SUMIFS('Registre de reserves'!$V$2:$V$1178,'Registre de reserves'!$T$2:$T$1178,"RESERVA",'Registre de reserves'!$I$2:$I$1178,'2023'!$A155,'Registre de reserves'!$B$2:$B$1178,'2023'!X$2,Tabla1[ANY],'2023'!$Z$150)</f>
        <v>840</v>
      </c>
      <c r="Y155" s="21">
        <f t="shared" si="153"/>
        <v>0.20664206642066421</v>
      </c>
      <c r="Z155" s="20">
        <f t="shared" si="156"/>
        <v>3020</v>
      </c>
      <c r="AA155" s="21">
        <f t="shared" si="154"/>
        <v>6.5065172896692877E-2</v>
      </c>
    </row>
    <row r="156" spans="1:27" hidden="1" outlineLevel="1" x14ac:dyDescent="0.2">
      <c r="A156" s="8" t="s">
        <v>71</v>
      </c>
      <c r="B156" s="20">
        <f>SUMIFS('Registre de reserves'!$V$2:$V$1178,'Registre de reserves'!$T$2:$T$1178,"SI",'Registre de reserves'!$I$2:$I$1178,'2023'!$A156,'Registre de reserves'!$B$2:$B$1178,'2023'!B$2,Tabla1[ANY],'2023'!$Z$150)+SUMIFS('Registre de reserves'!$V$2:$V$1178,'Registre de reserves'!$T$2:$T$1178,"RESERVA",'Registre de reserves'!$I$2:$I$1178,'2023'!$A156,'Registre de reserves'!$B$2:$B$1178,'2023'!B$2,Tabla1[ANY],'2023'!$Z$150)</f>
        <v>150</v>
      </c>
      <c r="C156" s="21">
        <f t="shared" si="155"/>
        <v>5.3003533568904596E-2</v>
      </c>
      <c r="D156" s="20">
        <f>SUMIFS('Registre de reserves'!$V$2:$V$1178,'Registre de reserves'!$T$2:$T$1178,"SI",'Registre de reserves'!$I$2:$I$1178,'2023'!$A156,'Registre de reserves'!$B$2:$B$1178,'2023'!D$2,Tabla1[ANY],'2023'!$Z$150)+SUMIFS('Registre de reserves'!$V$2:$V$1178,'Registre de reserves'!$T$2:$T$1178,"RESERVA",'Registre de reserves'!$I$2:$I$1178,'2023'!$A156,'Registre de reserves'!$B$2:$B$1178,'2023'!D$2,Tabla1[ANY],'2023'!$Z$150)</f>
        <v>0</v>
      </c>
      <c r="E156" s="21">
        <f t="shared" si="143"/>
        <v>0</v>
      </c>
      <c r="F156" s="20">
        <f>SUMIFS('Registre de reserves'!$V$2:$V$1178,'Registre de reserves'!$T$2:$T$1178,"SI",'Registre de reserves'!$I$2:$I$1178,'2023'!$A156,'Registre de reserves'!$B$2:$B$1178,'2023'!F$2,Tabla1[ANY],'2023'!$Z$150)+SUMIFS('Registre de reserves'!$V$2:$V$1178,'Registre de reserves'!$T$2:$T$1178,"RESERVA",'Registre de reserves'!$I$2:$I$1178,'2023'!$A156,'Registre de reserves'!$B$2:$B$1178,'2023'!F$2,Tabla1[ANY],'2023'!$Z$150)</f>
        <v>0</v>
      </c>
      <c r="G156" s="21">
        <f t="shared" si="144"/>
        <v>0</v>
      </c>
      <c r="H156" s="20">
        <f>SUMIFS('Registre de reserves'!$V$2:$V$1178,'Registre de reserves'!$T$2:$T$1178,"SI",'Registre de reserves'!$I$2:$I$1178,'2023'!$A156,'Registre de reserves'!$B$2:$B$1178,'2023'!H$2,Tabla1[ANY],'2023'!$Z$150)+SUMIFS('Registre de reserves'!$V$2:$V$1178,'Registre de reserves'!$T$2:$T$1178,"RESERVA",'Registre de reserves'!$I$2:$I$1178,'2023'!$A156,'Registre de reserves'!$B$2:$B$1178,'2023'!H$2,Tabla1[ANY],'2023'!$Z$150)</f>
        <v>0</v>
      </c>
      <c r="I156" s="21">
        <f t="shared" si="145"/>
        <v>0</v>
      </c>
      <c r="J156" s="20">
        <f>SUMIFS('Registre de reserves'!$V$2:$V$1178,'Registre de reserves'!$T$2:$T$1178,"SI",'Registre de reserves'!$I$2:$I$1178,'2023'!$A156,'Registre de reserves'!$B$2:$B$1178,'2023'!J$2,Tabla1[ANY],'2023'!$Z$150)+SUMIFS('Registre de reserves'!$V$2:$V$1178,'Registre de reserves'!$T$2:$T$1178,"RESERVA",'Registre de reserves'!$I$2:$I$1178,'2023'!$A156,'Registre de reserves'!$B$2:$B$1178,'2023'!J$2,Tabla1[ANY],'2023'!$Z$150)</f>
        <v>0</v>
      </c>
      <c r="K156" s="21">
        <f t="shared" si="146"/>
        <v>0</v>
      </c>
      <c r="L156" s="20">
        <f>SUMIFS('Registre de reserves'!$V$2:$V$1178,'Registre de reserves'!$T$2:$T$1178,"SI",'Registre de reserves'!$I$2:$I$1178,'2023'!$A156,'Registre de reserves'!$B$2:$B$1178,'2023'!L$2,Tabla1[ANY],'2023'!$Z$150)+SUMIFS('Registre de reserves'!$V$2:$V$1178,'Registre de reserves'!$T$2:$T$1178,"RESERVA",'Registre de reserves'!$I$2:$I$1178,'2023'!$A156,'Registre de reserves'!$B$2:$B$1178,'2023'!L$2,Tabla1[ANY],'2023'!$Z$150)</f>
        <v>0</v>
      </c>
      <c r="M156" s="21">
        <f t="shared" si="147"/>
        <v>0</v>
      </c>
      <c r="N156" s="20">
        <f>SUMIFS('Registre de reserves'!$V$2:$V$1178,'Registre de reserves'!$T$2:$T$1178,"SI",'Registre de reserves'!$I$2:$I$1178,'2023'!$A156,'Registre de reserves'!$B$2:$B$1178,'2023'!N$2,Tabla1[ANY],'2023'!$Z$150)+SUMIFS('Registre de reserves'!$V$2:$V$1178,'Registre de reserves'!$T$2:$T$1178,"RESERVA",'Registre de reserves'!$I$2:$I$1178,'2023'!$A156,'Registre de reserves'!$B$2:$B$1178,'2023'!N$2,Tabla1[ANY],'2023'!$Z$150)</f>
        <v>0</v>
      </c>
      <c r="O156" s="21">
        <f t="shared" si="148"/>
        <v>0</v>
      </c>
      <c r="P156" s="20">
        <f>SUMIFS('Registre de reserves'!$V$2:$V$1178,'Registre de reserves'!$T$2:$T$1178,"SI",'Registre de reserves'!$I$2:$I$1178,'2023'!$A156,'Registre de reserves'!$B$2:$B$1178,'2023'!P$2,Tabla1[ANY],'2023'!$Z$150)+SUMIFS('Registre de reserves'!$V$2:$V$1178,'Registre de reserves'!$T$2:$T$1178,"RESERVA",'Registre de reserves'!$I$2:$I$1178,'2023'!$A156,'Registre de reserves'!$B$2:$B$1178,'2023'!P$2,Tabla1[ANY],'2023'!$Z$150)</f>
        <v>0</v>
      </c>
      <c r="Q156" s="21">
        <f t="shared" si="149"/>
        <v>0</v>
      </c>
      <c r="R156" s="20">
        <f>SUMIFS('Registre de reserves'!$V$2:$V$1178,'Registre de reserves'!$T$2:$T$1178,"SI",'Registre de reserves'!$I$2:$I$1178,'2023'!$A156,'Registre de reserves'!$B$2:$B$1178,'2023'!R$2,Tabla1[ANY],'2023'!$Z$150)+SUMIFS('Registre de reserves'!$V$2:$V$1178,'Registre de reserves'!$T$2:$T$1178,"RESERVA",'Registre de reserves'!$I$2:$I$1178,'2023'!$A156,'Registre de reserves'!$B$2:$B$1178,'2023'!R$2,Tabla1[ANY],'2023'!$Z$150)</f>
        <v>0</v>
      </c>
      <c r="S156" s="21">
        <f t="shared" si="150"/>
        <v>0</v>
      </c>
      <c r="T156" s="20">
        <f>SUMIFS('Registre de reserves'!$V$2:$V$1178,'Registre de reserves'!$T$2:$T$1178,"SI",'Registre de reserves'!$I$2:$I$1178,'2023'!$A156,'Registre de reserves'!$B$2:$B$1178,'2023'!T$2,Tabla1[ANY],'2023'!$Z$150)+SUMIFS('Registre de reserves'!$V$2:$V$1178,'Registre de reserves'!$T$2:$T$1178,"RESERVA",'Registre de reserves'!$I$2:$I$1178,'2023'!$A156,'Registre de reserves'!$B$2:$B$1178,'2023'!T$2,Tabla1[ANY],'2023'!$Z$150)</f>
        <v>0</v>
      </c>
      <c r="U156" s="21">
        <f t="shared" si="151"/>
        <v>0</v>
      </c>
      <c r="V156" s="20">
        <f>SUMIFS('Registre de reserves'!$V$2:$V$1178,'Registre de reserves'!$T$2:$T$1178,"SI",'Registre de reserves'!$I$2:$I$1178,'2023'!$A156,'Registre de reserves'!$B$2:$B$1178,'2023'!V$2,Tabla1[ANY],'2023'!$Z$150)+SUMIFS('Registre de reserves'!$V$2:$V$1178,'Registre de reserves'!$T$2:$T$1178,"RESERVA",'Registre de reserves'!$I$2:$I$1178,'2023'!$A156,'Registre de reserves'!$B$2:$B$1178,'2023'!V$2,Tabla1[ANY],'2023'!$Z$150)</f>
        <v>0</v>
      </c>
      <c r="W156" s="21">
        <f t="shared" si="152"/>
        <v>0</v>
      </c>
      <c r="X156" s="20">
        <f>SUMIFS('Registre de reserves'!$V$2:$V$1178,'Registre de reserves'!$T$2:$T$1178,"SI",'Registre de reserves'!$I$2:$I$1178,'2023'!$A156,'Registre de reserves'!$B$2:$B$1178,'2023'!X$2,Tabla1[ANY],'2023'!$Z$150)+SUMIFS('Registre de reserves'!$V$2:$V$1178,'Registre de reserves'!$T$2:$T$1178,"RESERVA",'Registre de reserves'!$I$2:$I$1178,'2023'!$A156,'Registre de reserves'!$B$2:$B$1178,'2023'!X$2,Tabla1[ANY],'2023'!$Z$150)</f>
        <v>0</v>
      </c>
      <c r="Y156" s="21">
        <f t="shared" si="153"/>
        <v>0</v>
      </c>
      <c r="Z156" s="20">
        <f t="shared" si="156"/>
        <v>150</v>
      </c>
      <c r="AA156" s="21">
        <f t="shared" si="154"/>
        <v>3.2317138855973283E-3</v>
      </c>
    </row>
    <row r="157" spans="1:27" hidden="1" outlineLevel="1" x14ac:dyDescent="0.2">
      <c r="A157" s="8" t="s">
        <v>72</v>
      </c>
      <c r="B157" s="20">
        <f>SUMIFS('Registre de reserves'!$V$2:$V$1178,'Registre de reserves'!$T$2:$T$1178,"SI",'Registre de reserves'!$I$2:$I$1178,'2023'!$A157,'Registre de reserves'!$B$2:$B$1178,'2023'!B$2,Tabla1[ANY],'2023'!$Z$150)+SUMIFS('Registre de reserves'!$V$2:$V$1178,'Registre de reserves'!$T$2:$T$1178,"RESERVA",'Registre de reserves'!$I$2:$I$1178,'2023'!$A157,'Registre de reserves'!$B$2:$B$1178,'2023'!B$2,Tabla1[ANY],'2023'!$Z$150)</f>
        <v>0</v>
      </c>
      <c r="C157" s="21">
        <f t="shared" si="155"/>
        <v>0</v>
      </c>
      <c r="D157" s="20">
        <f>SUMIFS('Registre de reserves'!$V$2:$V$1178,'Registre de reserves'!$T$2:$T$1178,"SI",'Registre de reserves'!$I$2:$I$1178,'2023'!$A157,'Registre de reserves'!$B$2:$B$1178,'2023'!D$2,Tabla1[ANY],'2023'!$Z$150)+SUMIFS('Registre de reserves'!$V$2:$V$1178,'Registre de reserves'!$T$2:$T$1178,"RESERVA",'Registre de reserves'!$I$2:$I$1178,'2023'!$A157,'Registre de reserves'!$B$2:$B$1178,'2023'!D$2,Tabla1[ANY],'2023'!$Z$150)</f>
        <v>0</v>
      </c>
      <c r="E157" s="21">
        <f t="shared" si="143"/>
        <v>0</v>
      </c>
      <c r="F157" s="20">
        <f>SUMIFS('Registre de reserves'!$V$2:$V$1178,'Registre de reserves'!$T$2:$T$1178,"SI",'Registre de reserves'!$I$2:$I$1178,'2023'!$A157,'Registre de reserves'!$B$2:$B$1178,'2023'!F$2,Tabla1[ANY],'2023'!$Z$150)+SUMIFS('Registre de reserves'!$V$2:$V$1178,'Registre de reserves'!$T$2:$T$1178,"RESERVA",'Registre de reserves'!$I$2:$I$1178,'2023'!$A157,'Registre de reserves'!$B$2:$B$1178,'2023'!F$2,Tabla1[ANY],'2023'!$Z$150)</f>
        <v>0</v>
      </c>
      <c r="G157" s="21">
        <f t="shared" si="144"/>
        <v>0</v>
      </c>
      <c r="H157" s="20">
        <f>SUMIFS('Registre de reserves'!$V$2:$V$1178,'Registre de reserves'!$T$2:$T$1178,"SI",'Registre de reserves'!$I$2:$I$1178,'2023'!$A157,'Registre de reserves'!$B$2:$B$1178,'2023'!H$2,Tabla1[ANY],'2023'!$Z$150)+SUMIFS('Registre de reserves'!$V$2:$V$1178,'Registre de reserves'!$T$2:$T$1178,"RESERVA",'Registre de reserves'!$I$2:$I$1178,'2023'!$A157,'Registre de reserves'!$B$2:$B$1178,'2023'!H$2,Tabla1[ANY],'2023'!$Z$150)</f>
        <v>0</v>
      </c>
      <c r="I157" s="21">
        <f t="shared" si="145"/>
        <v>0</v>
      </c>
      <c r="J157" s="20">
        <f>SUMIFS('Registre de reserves'!$V$2:$V$1178,'Registre de reserves'!$T$2:$T$1178,"SI",'Registre de reserves'!$I$2:$I$1178,'2023'!$A157,'Registre de reserves'!$B$2:$B$1178,'2023'!J$2,Tabla1[ANY],'2023'!$Z$150)+SUMIFS('Registre de reserves'!$V$2:$V$1178,'Registre de reserves'!$T$2:$T$1178,"RESERVA",'Registre de reserves'!$I$2:$I$1178,'2023'!$A157,'Registre de reserves'!$B$2:$B$1178,'2023'!J$2,Tabla1[ANY],'2023'!$Z$150)</f>
        <v>0</v>
      </c>
      <c r="K157" s="21">
        <f t="shared" si="146"/>
        <v>0</v>
      </c>
      <c r="L157" s="20">
        <f>SUMIFS('Registre de reserves'!$V$2:$V$1178,'Registre de reserves'!$T$2:$T$1178,"SI",'Registre de reserves'!$I$2:$I$1178,'2023'!$A157,'Registre de reserves'!$B$2:$B$1178,'2023'!L$2,Tabla1[ANY],'2023'!$Z$150)+SUMIFS('Registre de reserves'!$V$2:$V$1178,'Registre de reserves'!$T$2:$T$1178,"RESERVA",'Registre de reserves'!$I$2:$I$1178,'2023'!$A157,'Registre de reserves'!$B$2:$B$1178,'2023'!L$2,Tabla1[ANY],'2023'!$Z$150)</f>
        <v>0</v>
      </c>
      <c r="M157" s="21">
        <f t="shared" si="147"/>
        <v>0</v>
      </c>
      <c r="N157" s="20">
        <f>SUMIFS('Registre de reserves'!$V$2:$V$1178,'Registre de reserves'!$T$2:$T$1178,"SI",'Registre de reserves'!$I$2:$I$1178,'2023'!$A157,'Registre de reserves'!$B$2:$B$1178,'2023'!N$2,Tabla1[ANY],'2023'!$Z$150)+SUMIFS('Registre de reserves'!$V$2:$V$1178,'Registre de reserves'!$T$2:$T$1178,"RESERVA",'Registre de reserves'!$I$2:$I$1178,'2023'!$A157,'Registre de reserves'!$B$2:$B$1178,'2023'!N$2,Tabla1[ANY],'2023'!$Z$150)</f>
        <v>0</v>
      </c>
      <c r="O157" s="21">
        <f t="shared" si="148"/>
        <v>0</v>
      </c>
      <c r="P157" s="20">
        <f>SUMIFS('Registre de reserves'!$V$2:$V$1178,'Registre de reserves'!$T$2:$T$1178,"SI",'Registre de reserves'!$I$2:$I$1178,'2023'!$A157,'Registre de reserves'!$B$2:$B$1178,'2023'!P$2,Tabla1[ANY],'2023'!$Z$150)+SUMIFS('Registre de reserves'!$V$2:$V$1178,'Registre de reserves'!$T$2:$T$1178,"RESERVA",'Registre de reserves'!$I$2:$I$1178,'2023'!$A157,'Registre de reserves'!$B$2:$B$1178,'2023'!P$2,Tabla1[ANY],'2023'!$Z$150)</f>
        <v>0</v>
      </c>
      <c r="Q157" s="21">
        <f t="shared" si="149"/>
        <v>0</v>
      </c>
      <c r="R157" s="20">
        <f>SUMIFS('Registre de reserves'!$V$2:$V$1178,'Registre de reserves'!$T$2:$T$1178,"SI",'Registre de reserves'!$I$2:$I$1178,'2023'!$A157,'Registre de reserves'!$B$2:$B$1178,'2023'!R$2,Tabla1[ANY],'2023'!$Z$150)+SUMIFS('Registre de reserves'!$V$2:$V$1178,'Registre de reserves'!$T$2:$T$1178,"RESERVA",'Registre de reserves'!$I$2:$I$1178,'2023'!$A157,'Registre de reserves'!$B$2:$B$1178,'2023'!R$2,Tabla1[ANY],'2023'!$Z$150)</f>
        <v>0</v>
      </c>
      <c r="S157" s="21">
        <f t="shared" si="150"/>
        <v>0</v>
      </c>
      <c r="T157" s="20">
        <f>SUMIFS('Registre de reserves'!$V$2:$V$1178,'Registre de reserves'!$T$2:$T$1178,"SI",'Registre de reserves'!$I$2:$I$1178,'2023'!$A157,'Registre de reserves'!$B$2:$B$1178,'2023'!T$2,Tabla1[ANY],'2023'!$Z$150)+SUMIFS('Registre de reserves'!$V$2:$V$1178,'Registre de reserves'!$T$2:$T$1178,"RESERVA",'Registre de reserves'!$I$2:$I$1178,'2023'!$A157,'Registre de reserves'!$B$2:$B$1178,'2023'!T$2,Tabla1[ANY],'2023'!$Z$150)</f>
        <v>0</v>
      </c>
      <c r="U157" s="21">
        <f t="shared" si="151"/>
        <v>0</v>
      </c>
      <c r="V157" s="20">
        <f>SUMIFS('Registre de reserves'!$V$2:$V$1178,'Registre de reserves'!$T$2:$T$1178,"SI",'Registre de reserves'!$I$2:$I$1178,'2023'!$A157,'Registre de reserves'!$B$2:$B$1178,'2023'!V$2,Tabla1[ANY],'2023'!$Z$150)+SUMIFS('Registre de reserves'!$V$2:$V$1178,'Registre de reserves'!$T$2:$T$1178,"RESERVA",'Registre de reserves'!$I$2:$I$1178,'2023'!$A157,'Registre de reserves'!$B$2:$B$1178,'2023'!V$2,Tabla1[ANY],'2023'!$Z$150)</f>
        <v>0</v>
      </c>
      <c r="W157" s="21">
        <f t="shared" si="152"/>
        <v>0</v>
      </c>
      <c r="X157" s="20">
        <f>SUMIFS('Registre de reserves'!$V$2:$V$1178,'Registre de reserves'!$T$2:$T$1178,"SI",'Registre de reserves'!$I$2:$I$1178,'2023'!$A157,'Registre de reserves'!$B$2:$B$1178,'2023'!X$2,Tabla1[ANY],'2023'!$Z$150)+SUMIFS('Registre de reserves'!$V$2:$V$1178,'Registre de reserves'!$T$2:$T$1178,"RESERVA",'Registre de reserves'!$I$2:$I$1178,'2023'!$A157,'Registre de reserves'!$B$2:$B$1178,'2023'!X$2,Tabla1[ANY],'2023'!$Z$150)</f>
        <v>0</v>
      </c>
      <c r="Y157" s="21">
        <f t="shared" si="153"/>
        <v>0</v>
      </c>
      <c r="Z157" s="20">
        <f t="shared" si="156"/>
        <v>0</v>
      </c>
      <c r="AA157" s="21">
        <f t="shared" si="154"/>
        <v>0</v>
      </c>
    </row>
    <row r="158" spans="1:27" hidden="1" outlineLevel="1" x14ac:dyDescent="0.2">
      <c r="A158" s="8" t="s">
        <v>69</v>
      </c>
      <c r="B158" s="20">
        <f>SUMIFS('Registre de reserves'!$V$2:$V$1178,'Registre de reserves'!$T$2:$T$1178,"SI",'Registre de reserves'!$I$2:$I$1178,'2023'!$A158,'Registre de reserves'!$B$2:$B$1178,'2023'!B$2,Tabla1[ANY],'2023'!$Z$150)+SUMIFS('Registre de reserves'!$V$2:$V$1178,'Registre de reserves'!$T$2:$T$1178,"RESERVA",'Registre de reserves'!$I$2:$I$1178,'2023'!$A158,'Registre de reserves'!$B$2:$B$1178,'2023'!B$2,Tabla1[ANY],'2023'!$Z$150)</f>
        <v>1060</v>
      </c>
      <c r="C158" s="21">
        <f t="shared" si="155"/>
        <v>0.37455830388692579</v>
      </c>
      <c r="D158" s="20">
        <f>SUMIFS('Registre de reserves'!$V$2:$V$1178,'Registre de reserves'!$T$2:$T$1178,"SI",'Registre de reserves'!$I$2:$I$1178,'2023'!$A158,'Registre de reserves'!$B$2:$B$1178,'2023'!D$2,Tabla1[ANY],'2023'!$Z$150)+SUMIFS('Registre de reserves'!$V$2:$V$1178,'Registre de reserves'!$T$2:$T$1178,"RESERVA",'Registre de reserves'!$I$2:$I$1178,'2023'!$A158,'Registre de reserves'!$B$2:$B$1178,'2023'!D$2,Tabla1[ANY],'2023'!$Z$150)</f>
        <v>1100</v>
      </c>
      <c r="E158" s="21">
        <f t="shared" si="143"/>
        <v>0.42145593869731801</v>
      </c>
      <c r="F158" s="20">
        <f>SUMIFS('Registre de reserves'!$V$2:$V$1178,'Registre de reserves'!$T$2:$T$1178,"SI",'Registre de reserves'!$I$2:$I$1178,'2023'!$A158,'Registre de reserves'!$B$2:$B$1178,'2023'!F$2,Tabla1[ANY],'2023'!$Z$150)+SUMIFS('Registre de reserves'!$V$2:$V$1178,'Registre de reserves'!$T$2:$T$1178,"RESERVA",'Registre de reserves'!$I$2:$I$1178,'2023'!$A158,'Registre de reserves'!$B$2:$B$1178,'2023'!F$2,Tabla1[ANY],'2023'!$Z$150)</f>
        <v>700</v>
      </c>
      <c r="G158" s="21">
        <f t="shared" si="144"/>
        <v>0.29723991507430997</v>
      </c>
      <c r="H158" s="20">
        <f>SUMIFS('Registre de reserves'!$V$2:$V$1178,'Registre de reserves'!$T$2:$T$1178,"SI",'Registre de reserves'!$I$2:$I$1178,'2023'!$A158,'Registre de reserves'!$B$2:$B$1178,'2023'!H$2,Tabla1[ANY],'2023'!$Z$150)+SUMIFS('Registre de reserves'!$V$2:$V$1178,'Registre de reserves'!$T$2:$T$1178,"RESERVA",'Registre de reserves'!$I$2:$I$1178,'2023'!$A158,'Registre de reserves'!$B$2:$B$1178,'2023'!H$2,Tabla1[ANY],'2023'!$Z$150)</f>
        <v>1100</v>
      </c>
      <c r="I158" s="21">
        <f t="shared" si="145"/>
        <v>0.35256410256410259</v>
      </c>
      <c r="J158" s="20">
        <f>SUMIFS('Registre de reserves'!$V$2:$V$1178,'Registre de reserves'!$T$2:$T$1178,"SI",'Registre de reserves'!$I$2:$I$1178,'2023'!$A158,'Registre de reserves'!$B$2:$B$1178,'2023'!J$2,Tabla1[ANY],'2023'!$Z$150)+SUMIFS('Registre de reserves'!$V$2:$V$1178,'Registre de reserves'!$T$2:$T$1178,"RESERVA",'Registre de reserves'!$I$2:$I$1178,'2023'!$A158,'Registre de reserves'!$B$2:$B$1178,'2023'!J$2,Tabla1[ANY],'2023'!$Z$150)</f>
        <v>600</v>
      </c>
      <c r="K158" s="21">
        <f t="shared" si="146"/>
        <v>0.28037383177570091</v>
      </c>
      <c r="L158" s="20">
        <f>SUMIFS('Registre de reserves'!$V$2:$V$1178,'Registre de reserves'!$T$2:$T$1178,"SI",'Registre de reserves'!$I$2:$I$1178,'2023'!$A158,'Registre de reserves'!$B$2:$B$1178,'2023'!L$2,Tabla1[ANY],'2023'!$Z$150)+SUMIFS('Registre de reserves'!$V$2:$V$1178,'Registre de reserves'!$T$2:$T$1178,"RESERVA",'Registre de reserves'!$I$2:$I$1178,'2023'!$A158,'Registre de reserves'!$B$2:$B$1178,'2023'!L$2,Tabla1[ANY],'2023'!$Z$150)</f>
        <v>700</v>
      </c>
      <c r="M158" s="21">
        <f t="shared" si="147"/>
        <v>0.3036876355748373</v>
      </c>
      <c r="N158" s="20">
        <f>SUMIFS('Registre de reserves'!$V$2:$V$1178,'Registre de reserves'!$T$2:$T$1178,"SI",'Registre de reserves'!$I$2:$I$1178,'2023'!$A158,'Registre de reserves'!$B$2:$B$1178,'2023'!N$2,Tabla1[ANY],'2023'!$Z$150)+SUMIFS('Registre de reserves'!$V$2:$V$1178,'Registre de reserves'!$T$2:$T$1178,"RESERVA",'Registre de reserves'!$I$2:$I$1178,'2023'!$A158,'Registre de reserves'!$B$2:$B$1178,'2023'!N$2,Tabla1[ANY],'2023'!$Z$150)</f>
        <v>1160</v>
      </c>
      <c r="O158" s="21">
        <f t="shared" si="148"/>
        <v>0.53333333333333333</v>
      </c>
      <c r="P158" s="20">
        <f>SUMIFS('Registre de reserves'!$V$2:$V$1178,'Registre de reserves'!$T$2:$T$1178,"SI",'Registre de reserves'!$I$2:$I$1178,'2023'!$A158,'Registre de reserves'!$B$2:$B$1178,'2023'!P$2,Tabla1[ANY],'2023'!$Z$150)+SUMIFS('Registre de reserves'!$V$2:$V$1178,'Registre de reserves'!$T$2:$T$1178,"RESERVA",'Registre de reserves'!$I$2:$I$1178,'2023'!$A158,'Registre de reserves'!$B$2:$B$1178,'2023'!P$2,Tabla1[ANY],'2023'!$Z$150)</f>
        <v>500</v>
      </c>
      <c r="Q158" s="21">
        <f t="shared" si="149"/>
        <v>0.5</v>
      </c>
      <c r="R158" s="20">
        <f>SUMIFS('Registre de reserves'!$V$2:$V$1178,'Registre de reserves'!$T$2:$T$1178,"SI",'Registre de reserves'!$I$2:$I$1178,'2023'!$A158,'Registre de reserves'!$B$2:$B$1178,'2023'!R$2,Tabla1[ANY],'2023'!$Z$150)+SUMIFS('Registre de reserves'!$V$2:$V$1178,'Registre de reserves'!$T$2:$T$1178,"RESERVA",'Registre de reserves'!$I$2:$I$1178,'2023'!$A158,'Registre de reserves'!$B$2:$B$1178,'2023'!R$2,Tabla1[ANY],'2023'!$Z$150)</f>
        <v>450</v>
      </c>
      <c r="S158" s="21">
        <f t="shared" si="150"/>
        <v>0.17751479289940827</v>
      </c>
      <c r="T158" s="20">
        <f>SUMIFS('Registre de reserves'!$V$2:$V$1178,'Registre de reserves'!$T$2:$T$1178,"SI",'Registre de reserves'!$I$2:$I$1178,'2023'!$A158,'Registre de reserves'!$B$2:$B$1178,'2023'!T$2,Tabla1[ANY],'2023'!$Z$150)+SUMIFS('Registre de reserves'!$V$2:$V$1178,'Registre de reserves'!$T$2:$T$1178,"RESERVA",'Registre de reserves'!$I$2:$I$1178,'2023'!$A158,'Registre de reserves'!$B$2:$B$1178,'2023'!T$2,Tabla1[ANY],'2023'!$Z$150)</f>
        <v>900</v>
      </c>
      <c r="U158" s="21">
        <f t="shared" si="151"/>
        <v>0.41958041958041958</v>
      </c>
      <c r="V158" s="20">
        <f>SUMIFS('Registre de reserves'!$V$2:$V$1178,'Registre de reserves'!$T$2:$T$1178,"SI",'Registre de reserves'!$I$2:$I$1178,'2023'!$A158,'Registre de reserves'!$B$2:$B$1178,'2023'!V$2,Tabla1[ANY],'2023'!$Z$150)+SUMIFS('Registre de reserves'!$V$2:$V$1178,'Registre de reserves'!$T$2:$T$1178,"RESERVA",'Registre de reserves'!$I$2:$I$1178,'2023'!$A158,'Registre de reserves'!$B$2:$B$1178,'2023'!V$2,Tabla1[ANY],'2023'!$Z$150)</f>
        <v>300</v>
      </c>
      <c r="W158" s="21">
        <f t="shared" si="152"/>
        <v>0.20270270270270271</v>
      </c>
      <c r="X158" s="20">
        <f>SUMIFS('Registre de reserves'!$V$2:$V$1178,'Registre de reserves'!$T$2:$T$1178,"SI",'Registre de reserves'!$I$2:$I$1178,'2023'!$A158,'Registre de reserves'!$B$2:$B$1178,'2023'!X$2,Tabla1[ANY],'2023'!$Z$150)+SUMIFS('Registre de reserves'!$V$2:$V$1178,'Registre de reserves'!$T$2:$T$1178,"RESERVA",'Registre de reserves'!$I$2:$I$1178,'2023'!$A158,'Registre de reserves'!$B$2:$B$1178,'2023'!X$2,Tabla1[ANY],'2023'!$Z$150)</f>
        <v>1250</v>
      </c>
      <c r="Y158" s="21">
        <f t="shared" si="153"/>
        <v>0.30750307503075031</v>
      </c>
      <c r="Z158" s="20">
        <f t="shared" si="156"/>
        <v>9820</v>
      </c>
      <c r="AA158" s="21">
        <f t="shared" si="154"/>
        <v>0.21156953571043843</v>
      </c>
    </row>
    <row r="159" spans="1:27" hidden="1" outlineLevel="1" x14ac:dyDescent="0.2">
      <c r="A159" s="8" t="s">
        <v>70</v>
      </c>
      <c r="B159" s="20">
        <f>SUMIFS('Registre de reserves'!$V$2:$V$1178,'Registre de reserves'!$T$2:$T$1178,"SI",'Registre de reserves'!$I$2:$I$1178,'2023'!$A159,'Registre de reserves'!$B$2:$B$1178,'2023'!B$2,Tabla1[ANY],'2023'!$Z$150)+SUMIFS('Registre de reserves'!$V$2:$V$1178,'Registre de reserves'!$T$2:$T$1178,"RESERVA",'Registre de reserves'!$I$2:$I$1178,'2023'!$A159,'Registre de reserves'!$B$2:$B$1178,'2023'!B$2,Tabla1[ANY],'2023'!$Z$150)</f>
        <v>520</v>
      </c>
      <c r="C159" s="21">
        <f t="shared" si="155"/>
        <v>0.18374558303886926</v>
      </c>
      <c r="D159" s="20">
        <f>SUMIFS('Registre de reserves'!$V$2:$V$1178,'Registre de reserves'!$T$2:$T$1178,"SI",'Registre de reserves'!$I$2:$I$1178,'2023'!$A159,'Registre de reserves'!$B$2:$B$1178,'2023'!D$2,Tabla1[ANY],'2023'!$Z$150)+SUMIFS('Registre de reserves'!$V$2:$V$1178,'Registre de reserves'!$T$2:$T$1178,"RESERVA",'Registre de reserves'!$I$2:$I$1178,'2023'!$A159,'Registre de reserves'!$B$2:$B$1178,'2023'!D$2,Tabla1[ANY],'2023'!$Z$150)</f>
        <v>0</v>
      </c>
      <c r="E159" s="21">
        <f t="shared" si="143"/>
        <v>0</v>
      </c>
      <c r="F159" s="20">
        <f>SUMIFS('Registre de reserves'!$V$2:$V$1178,'Registre de reserves'!$T$2:$T$1178,"SI",'Registre de reserves'!$I$2:$I$1178,'2023'!$A159,'Registre de reserves'!$B$2:$B$1178,'2023'!F$2,Tabla1[ANY],'2023'!$Z$150)+SUMIFS('Registre de reserves'!$V$2:$V$1178,'Registre de reserves'!$T$2:$T$1178,"RESERVA",'Registre de reserves'!$I$2:$I$1178,'2023'!$A159,'Registre de reserves'!$B$2:$B$1178,'2023'!F$2,Tabla1[ANY],'2023'!$Z$150)</f>
        <v>0</v>
      </c>
      <c r="G159" s="21">
        <f t="shared" si="144"/>
        <v>0</v>
      </c>
      <c r="H159" s="20">
        <f>SUMIFS('Registre de reserves'!$V$2:$V$1178,'Registre de reserves'!$T$2:$T$1178,"SI",'Registre de reserves'!$I$2:$I$1178,'2023'!$A159,'Registre de reserves'!$B$2:$B$1178,'2023'!H$2,Tabla1[ANY],'2023'!$Z$150)+SUMIFS('Registre de reserves'!$V$2:$V$1178,'Registre de reserves'!$T$2:$T$1178,"RESERVA",'Registre de reserves'!$I$2:$I$1178,'2023'!$A159,'Registre de reserves'!$B$2:$B$1178,'2023'!H$2,Tabla1[ANY],'2023'!$Z$150)</f>
        <v>270</v>
      </c>
      <c r="I159" s="21">
        <f t="shared" si="145"/>
        <v>8.6538461538461536E-2</v>
      </c>
      <c r="J159" s="20">
        <f>SUMIFS('Registre de reserves'!$V$2:$V$1178,'Registre de reserves'!$T$2:$T$1178,"SI",'Registre de reserves'!$I$2:$I$1178,'2023'!$A159,'Registre de reserves'!$B$2:$B$1178,'2023'!J$2,Tabla1[ANY],'2023'!$Z$150)+SUMIFS('Registre de reserves'!$V$2:$V$1178,'Registre de reserves'!$T$2:$T$1178,"RESERVA",'Registre de reserves'!$I$2:$I$1178,'2023'!$A159,'Registre de reserves'!$B$2:$B$1178,'2023'!J$2,Tabla1[ANY],'2023'!$Z$150)</f>
        <v>270</v>
      </c>
      <c r="K159" s="21">
        <f t="shared" si="146"/>
        <v>0.12616822429906541</v>
      </c>
      <c r="L159" s="20">
        <f>SUMIFS('Registre de reserves'!$V$2:$V$1178,'Registre de reserves'!$T$2:$T$1178,"SI",'Registre de reserves'!$I$2:$I$1178,'2023'!$A159,'Registre de reserves'!$B$2:$B$1178,'2023'!L$2,Tabla1[ANY],'2023'!$Z$150)+SUMIFS('Registre de reserves'!$V$2:$V$1178,'Registre de reserves'!$T$2:$T$1178,"RESERVA",'Registre de reserves'!$I$2:$I$1178,'2023'!$A159,'Registre de reserves'!$B$2:$B$1178,'2023'!L$2,Tabla1[ANY],'2023'!$Z$150)</f>
        <v>250</v>
      </c>
      <c r="M159" s="21">
        <f t="shared" si="147"/>
        <v>0.10845986984815618</v>
      </c>
      <c r="N159" s="20">
        <f>SUMIFS('Registre de reserves'!$V$2:$V$1178,'Registre de reserves'!$T$2:$T$1178,"SI",'Registre de reserves'!$I$2:$I$1178,'2023'!$A159,'Registre de reserves'!$B$2:$B$1178,'2023'!N$2,Tabla1[ANY],'2023'!$Z$150)+SUMIFS('Registre de reserves'!$V$2:$V$1178,'Registre de reserves'!$T$2:$T$1178,"RESERVA",'Registre de reserves'!$I$2:$I$1178,'2023'!$A159,'Registre de reserves'!$B$2:$B$1178,'2023'!N$2,Tabla1[ANY],'2023'!$Z$150)</f>
        <v>0</v>
      </c>
      <c r="O159" s="21">
        <f t="shared" si="148"/>
        <v>0</v>
      </c>
      <c r="P159" s="20">
        <f>SUMIFS('Registre de reserves'!$V$2:$V$1178,'Registre de reserves'!$T$2:$T$1178,"SI",'Registre de reserves'!$I$2:$I$1178,'2023'!$A159,'Registre de reserves'!$B$2:$B$1178,'2023'!P$2,Tabla1[ANY],'2023'!$Z$150)+SUMIFS('Registre de reserves'!$V$2:$V$1178,'Registre de reserves'!$T$2:$T$1178,"RESERVA",'Registre de reserves'!$I$2:$I$1178,'2023'!$A159,'Registre de reserves'!$B$2:$B$1178,'2023'!P$2,Tabla1[ANY],'2023'!$Z$150)</f>
        <v>0</v>
      </c>
      <c r="Q159" s="21">
        <f t="shared" si="149"/>
        <v>0</v>
      </c>
      <c r="R159" s="20">
        <f>SUMIFS('Registre de reserves'!$V$2:$V$1178,'Registre de reserves'!$T$2:$T$1178,"SI",'Registre de reserves'!$I$2:$I$1178,'2023'!$A159,'Registre de reserves'!$B$2:$B$1178,'2023'!R$2,Tabla1[ANY],'2023'!$Z$150)+SUMIFS('Registre de reserves'!$V$2:$V$1178,'Registre de reserves'!$T$2:$T$1178,"RESERVA",'Registre de reserves'!$I$2:$I$1178,'2023'!$A159,'Registre de reserves'!$B$2:$B$1178,'2023'!R$2,Tabla1[ANY],'2023'!$Z$150)</f>
        <v>770</v>
      </c>
      <c r="S159" s="21">
        <f t="shared" si="150"/>
        <v>0.30374753451676528</v>
      </c>
      <c r="T159" s="20">
        <f>SUMIFS('Registre de reserves'!$V$2:$V$1178,'Registre de reserves'!$T$2:$T$1178,"SI",'Registre de reserves'!$I$2:$I$1178,'2023'!$A159,'Registre de reserves'!$B$2:$B$1178,'2023'!T$2,Tabla1[ANY],'2023'!$Z$150)+SUMIFS('Registre de reserves'!$V$2:$V$1178,'Registre de reserves'!$T$2:$T$1178,"RESERVA",'Registre de reserves'!$I$2:$I$1178,'2023'!$A159,'Registre de reserves'!$B$2:$B$1178,'2023'!T$2,Tabla1[ANY],'2023'!$Z$150)</f>
        <v>270</v>
      </c>
      <c r="U159" s="21">
        <f t="shared" si="151"/>
        <v>0.12587412587412589</v>
      </c>
      <c r="V159" s="20">
        <f>SUMIFS('Registre de reserves'!$V$2:$V$1178,'Registre de reserves'!$T$2:$T$1178,"SI",'Registre de reserves'!$I$2:$I$1178,'2023'!$A159,'Registre de reserves'!$B$2:$B$1178,'2023'!V$2,Tabla1[ANY],'2023'!$Z$150)+SUMIFS('Registre de reserves'!$V$2:$V$1178,'Registre de reserves'!$T$2:$T$1178,"RESERVA",'Registre de reserves'!$I$2:$I$1178,'2023'!$A159,'Registre de reserves'!$B$2:$B$1178,'2023'!V$2,Tabla1[ANY],'2023'!$Z$150)</f>
        <v>0</v>
      </c>
      <c r="W159" s="21">
        <f t="shared" si="152"/>
        <v>0</v>
      </c>
      <c r="X159" s="20">
        <f>SUMIFS('Registre de reserves'!$V$2:$V$1178,'Registre de reserves'!$T$2:$T$1178,"SI",'Registre de reserves'!$I$2:$I$1178,'2023'!$A159,'Registre de reserves'!$B$2:$B$1178,'2023'!X$2,Tabla1[ANY],'2023'!$Z$150)+SUMIFS('Registre de reserves'!$V$2:$V$1178,'Registre de reserves'!$T$2:$T$1178,"RESERVA",'Registre de reserves'!$I$2:$I$1178,'2023'!$A159,'Registre de reserves'!$B$2:$B$1178,'2023'!X$2,Tabla1[ANY],'2023'!$Z$150)</f>
        <v>500</v>
      </c>
      <c r="Y159" s="21">
        <f t="shared" si="153"/>
        <v>0.12300123001230012</v>
      </c>
      <c r="Z159" s="20">
        <f t="shared" si="156"/>
        <v>2850</v>
      </c>
      <c r="AA159" s="21">
        <f t="shared" si="154"/>
        <v>6.1402563826349239E-2</v>
      </c>
    </row>
    <row r="160" spans="1:27" hidden="1" outlineLevel="1" x14ac:dyDescent="0.2">
      <c r="A160" s="8" t="s">
        <v>73</v>
      </c>
      <c r="B160" s="20">
        <f>SUMIFS('Registre de reserves'!$V$2:$V$1178,'Registre de reserves'!$T$2:$T$1178,"SI",'Registre de reserves'!$I$2:$I$1178,'2023'!$A160,'Registre de reserves'!$B$2:$B$1178,'2023'!B$2,Tabla1[ANY],'2023'!$Z$150)+SUMIFS('Registre de reserves'!$V$2:$V$1178,'Registre de reserves'!$T$2:$T$1178,"RESERVA",'Registre de reserves'!$I$2:$I$1178,'2023'!$A160,'Registre de reserves'!$B$2:$B$1178,'2023'!B$2,Tabla1[ANY],'2023'!$Z$150)</f>
        <v>0</v>
      </c>
      <c r="C160" s="21">
        <f t="shared" si="155"/>
        <v>0</v>
      </c>
      <c r="D160" s="20">
        <f>SUMIFS('Registre de reserves'!$V$2:$V$1178,'Registre de reserves'!$T$2:$T$1178,"SI",'Registre de reserves'!$I$2:$I$1178,'2023'!$A160,'Registre de reserves'!$B$2:$B$1178,'2023'!D$2,Tabla1[ANY],'2023'!$Z$150)+SUMIFS('Registre de reserves'!$V$2:$V$1178,'Registre de reserves'!$T$2:$T$1178,"RESERVA",'Registre de reserves'!$I$2:$I$1178,'2023'!$A160,'Registre de reserves'!$B$2:$B$1178,'2023'!D$2,Tabla1[ANY],'2023'!$Z$150)</f>
        <v>0</v>
      </c>
      <c r="E160" s="21">
        <f t="shared" si="143"/>
        <v>0</v>
      </c>
      <c r="F160" s="20">
        <f>SUMIFS('Registre de reserves'!$V$2:$V$1178,'Registre de reserves'!$T$2:$T$1178,"SI",'Registre de reserves'!$I$2:$I$1178,'2023'!$A160,'Registre de reserves'!$B$2:$B$1178,'2023'!F$2,Tabla1[ANY],'2023'!$Z$150)+SUMIFS('Registre de reserves'!$V$2:$V$1178,'Registre de reserves'!$T$2:$T$1178,"RESERVA",'Registre de reserves'!$I$2:$I$1178,'2023'!$A160,'Registre de reserves'!$B$2:$B$1178,'2023'!F$2,Tabla1[ANY],'2023'!$Z$150)</f>
        <v>0</v>
      </c>
      <c r="G160" s="21">
        <f t="shared" si="144"/>
        <v>0</v>
      </c>
      <c r="H160" s="20">
        <f>SUMIFS('Registre de reserves'!$V$2:$V$1178,'Registre de reserves'!$T$2:$T$1178,"SI",'Registre de reserves'!$I$2:$I$1178,'2023'!$A160,'Registre de reserves'!$B$2:$B$1178,'2023'!H$2,Tabla1[ANY],'2023'!$Z$150)+SUMIFS('Registre de reserves'!$V$2:$V$1178,'Registre de reserves'!$T$2:$T$1178,"RESERVA",'Registre de reserves'!$I$2:$I$1178,'2023'!$A160,'Registre de reserves'!$B$2:$B$1178,'2023'!H$2,Tabla1[ANY],'2023'!$Z$150)</f>
        <v>0</v>
      </c>
      <c r="I160" s="21">
        <f t="shared" si="145"/>
        <v>0</v>
      </c>
      <c r="J160" s="20">
        <f>SUMIFS('Registre de reserves'!$V$2:$V$1178,'Registre de reserves'!$T$2:$T$1178,"SI",'Registre de reserves'!$I$2:$I$1178,'2023'!$A160,'Registre de reserves'!$B$2:$B$1178,'2023'!J$2,Tabla1[ANY],'2023'!$Z$150)+SUMIFS('Registre de reserves'!$V$2:$V$1178,'Registre de reserves'!$T$2:$T$1178,"RESERVA",'Registre de reserves'!$I$2:$I$1178,'2023'!$A160,'Registre de reserves'!$B$2:$B$1178,'2023'!J$2,Tabla1[ANY],'2023'!$Z$150)</f>
        <v>0</v>
      </c>
      <c r="K160" s="21">
        <f t="shared" si="146"/>
        <v>0</v>
      </c>
      <c r="L160" s="20">
        <f>SUMIFS('Registre de reserves'!$V$2:$V$1178,'Registre de reserves'!$T$2:$T$1178,"SI",'Registre de reserves'!$I$2:$I$1178,'2023'!$A160,'Registre de reserves'!$B$2:$B$1178,'2023'!L$2,Tabla1[ANY],'2023'!$Z$150)+SUMIFS('Registre de reserves'!$V$2:$V$1178,'Registre de reserves'!$T$2:$T$1178,"RESERVA",'Registre de reserves'!$I$2:$I$1178,'2023'!$A160,'Registre de reserves'!$B$2:$B$1178,'2023'!L$2,Tabla1[ANY],'2023'!$Z$150)</f>
        <v>0</v>
      </c>
      <c r="M160" s="21">
        <f t="shared" si="147"/>
        <v>0</v>
      </c>
      <c r="N160" s="20">
        <f>SUMIFS('Registre de reserves'!$V$2:$V$1178,'Registre de reserves'!$T$2:$T$1178,"SI",'Registre de reserves'!$I$2:$I$1178,'2023'!$A160,'Registre de reserves'!$B$2:$B$1178,'2023'!N$2,Tabla1[ANY],'2023'!$Z$150)+SUMIFS('Registre de reserves'!$V$2:$V$1178,'Registre de reserves'!$T$2:$T$1178,"RESERVA",'Registre de reserves'!$I$2:$I$1178,'2023'!$A160,'Registre de reserves'!$B$2:$B$1178,'2023'!N$2,Tabla1[ANY],'2023'!$Z$150)</f>
        <v>0</v>
      </c>
      <c r="O160" s="21">
        <f t="shared" si="148"/>
        <v>0</v>
      </c>
      <c r="P160" s="20">
        <f>SUMIFS('Registre de reserves'!$V$2:$V$1178,'Registre de reserves'!$T$2:$T$1178,"SI",'Registre de reserves'!$I$2:$I$1178,'2023'!$A160,'Registre de reserves'!$B$2:$B$1178,'2023'!P$2,Tabla1[ANY],'2023'!$Z$150)+SUMIFS('Registre de reserves'!$V$2:$V$1178,'Registre de reserves'!$T$2:$T$1178,"RESERVA",'Registre de reserves'!$I$2:$I$1178,'2023'!$A160,'Registre de reserves'!$B$2:$B$1178,'2023'!P$2,Tabla1[ANY],'2023'!$Z$150)</f>
        <v>0</v>
      </c>
      <c r="Q160" s="21">
        <f t="shared" si="149"/>
        <v>0</v>
      </c>
      <c r="R160" s="20">
        <f>SUMIFS('Registre de reserves'!$V$2:$V$1178,'Registre de reserves'!$T$2:$T$1178,"SI",'Registre de reserves'!$I$2:$I$1178,'2023'!$A160,'Registre de reserves'!$B$2:$B$1178,'2023'!R$2,Tabla1[ANY],'2023'!$Z$150)+SUMIFS('Registre de reserves'!$V$2:$V$1178,'Registre de reserves'!$T$2:$T$1178,"RESERVA",'Registre de reserves'!$I$2:$I$1178,'2023'!$A160,'Registre de reserves'!$B$2:$B$1178,'2023'!R$2,Tabla1[ANY],'2023'!$Z$150)</f>
        <v>0</v>
      </c>
      <c r="S160" s="21">
        <f t="shared" si="150"/>
        <v>0</v>
      </c>
      <c r="T160" s="20">
        <f>SUMIFS('Registre de reserves'!$V$2:$V$1178,'Registre de reserves'!$T$2:$T$1178,"SI",'Registre de reserves'!$I$2:$I$1178,'2023'!$A160,'Registre de reserves'!$B$2:$B$1178,'2023'!T$2,Tabla1[ANY],'2023'!$Z$150)+SUMIFS('Registre de reserves'!$V$2:$V$1178,'Registre de reserves'!$T$2:$T$1178,"RESERVA",'Registre de reserves'!$I$2:$I$1178,'2023'!$A160,'Registre de reserves'!$B$2:$B$1178,'2023'!T$2,Tabla1[ANY],'2023'!$Z$150)</f>
        <v>0</v>
      </c>
      <c r="U160" s="21">
        <f t="shared" si="151"/>
        <v>0</v>
      </c>
      <c r="V160" s="20">
        <f>SUMIFS('Registre de reserves'!$V$2:$V$1178,'Registre de reserves'!$T$2:$T$1178,"SI",'Registre de reserves'!$I$2:$I$1178,'2023'!$A160,'Registre de reserves'!$B$2:$B$1178,'2023'!V$2,Tabla1[ANY],'2023'!$Z$150)+SUMIFS('Registre de reserves'!$V$2:$V$1178,'Registre de reserves'!$T$2:$T$1178,"RESERVA",'Registre de reserves'!$I$2:$I$1178,'2023'!$A160,'Registre de reserves'!$B$2:$B$1178,'2023'!V$2,Tabla1[ANY],'2023'!$Z$150)</f>
        <v>0</v>
      </c>
      <c r="W160" s="21">
        <f t="shared" si="152"/>
        <v>0</v>
      </c>
      <c r="X160" s="20">
        <f>SUMIFS('Registre de reserves'!$V$2:$V$1178,'Registre de reserves'!$T$2:$T$1178,"SI",'Registre de reserves'!$I$2:$I$1178,'2023'!$A160,'Registre de reserves'!$B$2:$B$1178,'2023'!X$2,Tabla1[ANY],'2023'!$Z$150)+SUMIFS('Registre de reserves'!$V$2:$V$1178,'Registre de reserves'!$T$2:$T$1178,"RESERVA",'Registre de reserves'!$I$2:$I$1178,'2023'!$A160,'Registre de reserves'!$B$2:$B$1178,'2023'!X$2,Tabla1[ANY],'2023'!$Z$150)</f>
        <v>0</v>
      </c>
      <c r="Y160" s="21">
        <f t="shared" si="153"/>
        <v>0</v>
      </c>
      <c r="Z160" s="20">
        <f t="shared" si="156"/>
        <v>0</v>
      </c>
      <c r="AA160" s="21">
        <f t="shared" si="154"/>
        <v>0</v>
      </c>
    </row>
    <row r="161" spans="1:27" collapsed="1" x14ac:dyDescent="0.2">
      <c r="A161" s="33" t="s">
        <v>76</v>
      </c>
      <c r="B161" s="18">
        <f>SUM(B162:B169)</f>
        <v>0</v>
      </c>
      <c r="C161" s="19">
        <f>IF((B$161+B$179)=0,0,B161/(B$161+B$179))</f>
        <v>0</v>
      </c>
      <c r="D161" s="18">
        <f>SUM(D162:D169)</f>
        <v>0</v>
      </c>
      <c r="E161" s="19">
        <f>IF((D$161+D$179)=0,0,D161/(D$161+D$179))</f>
        <v>0</v>
      </c>
      <c r="F161" s="18">
        <f>SUM(F162:F169)</f>
        <v>0</v>
      </c>
      <c r="G161" s="19">
        <f>IF((F$161+F$179)=0,0,F161/(F$161+F$179))</f>
        <v>0</v>
      </c>
      <c r="H161" s="18">
        <f>SUM(H162:H169)</f>
        <v>0</v>
      </c>
      <c r="I161" s="19">
        <f>IF((H$161+H$179)=0,0,H161/(H$161+H$179))</f>
        <v>0</v>
      </c>
      <c r="J161" s="18">
        <f>SUM(J162:J169)</f>
        <v>0</v>
      </c>
      <c r="K161" s="19">
        <f>IF((J$161+J$179)=0,0,J161/(J$161+J$179))</f>
        <v>0</v>
      </c>
      <c r="L161" s="18">
        <f>SUM(L162:L169)</f>
        <v>0</v>
      </c>
      <c r="M161" s="19">
        <f>IF((L$161+L$179)=0,0,L161/(L$161+L$179))</f>
        <v>0</v>
      </c>
      <c r="N161" s="18">
        <f>SUM(N162:N169)</f>
        <v>0</v>
      </c>
      <c r="O161" s="19">
        <f>IF((N$161+N$179)=0,0,N161/(N$161+N$179))</f>
        <v>0</v>
      </c>
      <c r="P161" s="18">
        <f>SUM(P162:P169)</f>
        <v>0</v>
      </c>
      <c r="Q161" s="19">
        <f>IF((P$161+P$179)=0,0,P161/(P$161+P$179))</f>
        <v>0</v>
      </c>
      <c r="R161" s="18">
        <f>SUM(R162:R169)</f>
        <v>0</v>
      </c>
      <c r="S161" s="19">
        <f>IF((R$161+R$179)=0,0,R161/(R$161+R$179))</f>
        <v>0</v>
      </c>
      <c r="T161" s="18">
        <f>SUM(T162:T169)</f>
        <v>0</v>
      </c>
      <c r="U161" s="19">
        <f>IF((T$161+T$179)=0,0,T161/(T$161+T$179))</f>
        <v>0</v>
      </c>
      <c r="V161" s="18">
        <f>SUM(V162:V169)</f>
        <v>0</v>
      </c>
      <c r="W161" s="19">
        <f>IF((V$161+V$179)=0,0,V161/(V$161+V$179))</f>
        <v>0</v>
      </c>
      <c r="X161" s="18">
        <f>SUM(X162:X169)</f>
        <v>0</v>
      </c>
      <c r="Y161" s="19">
        <f>IF((X$161+X$179)=0,0,X161/(X$161+X$179))</f>
        <v>0</v>
      </c>
      <c r="Z161" s="18">
        <f>SUM(Z162:Z169)</f>
        <v>0</v>
      </c>
      <c r="AA161" s="19">
        <f>IF((Z$13+Z$31)=0,0,Z161/(Z$13+Z$31))</f>
        <v>0</v>
      </c>
    </row>
    <row r="162" spans="1:27" hidden="1" outlineLevel="1" x14ac:dyDescent="0.2">
      <c r="A162" s="8" t="s">
        <v>67</v>
      </c>
      <c r="B162" s="20">
        <f>SUMIFS('Registre de reserves'!$V$2:$V$1178,'Registre de reserves'!$T$2:$T$1178,"NO",'Registre de reserves'!$I$2:$I$1178,'2023'!$A162,'Registre de reserves'!$B$2:$B$1178,'2023'!B$2,Tabla1[ANY],'2023'!$Z$150)</f>
        <v>0</v>
      </c>
      <c r="C162" s="21">
        <f>IF(B$161=0,0,B162/B$161)</f>
        <v>0</v>
      </c>
      <c r="D162" s="20">
        <f>SUMIFS('Registre de reserves'!$V$2:$V$1178,'Registre de reserves'!$T$2:$T$1178,"NO",'Registre de reserves'!$I$2:$I$1178,'2023'!$A162,'Registre de reserves'!$B$2:$B$1178,'2023'!D$2,Tabla1[ANY],'2023'!$Z$150)</f>
        <v>0</v>
      </c>
      <c r="E162" s="21">
        <f>IF(D$161=0,0,D162/D$161)</f>
        <v>0</v>
      </c>
      <c r="F162" s="20">
        <f>SUMIFS('Registre de reserves'!$V$2:$V$1178,'Registre de reserves'!$T$2:$T$1178,"NO",'Registre de reserves'!$I$2:$I$1178,'2023'!$A162,'Registre de reserves'!$B$2:$B$1178,'2023'!F$2,Tabla1[ANY],'2023'!$Z$150)</f>
        <v>0</v>
      </c>
      <c r="G162" s="21">
        <f t="shared" ref="G162:G169" si="157">IF(F$161=0,0,F162/F$161)</f>
        <v>0</v>
      </c>
      <c r="H162" s="20">
        <f>SUMIFS('Registre de reserves'!$V$2:$V$1178,'Registre de reserves'!$T$2:$T$1178,"NO",'Registre de reserves'!$I$2:$I$1178,'2023'!$A162,'Registre de reserves'!$B$2:$B$1178,'2023'!H$2,Tabla1[ANY],'2023'!$Z$150)</f>
        <v>0</v>
      </c>
      <c r="I162" s="21">
        <f t="shared" ref="I162:I169" si="158">IF(H$161=0,0,H162/H$161)</f>
        <v>0</v>
      </c>
      <c r="J162" s="20">
        <f>SUMIFS('Registre de reserves'!$V$2:$V$1178,'Registre de reserves'!$T$2:$T$1178,"NO",'Registre de reserves'!$I$2:$I$1178,'2023'!$A162,'Registre de reserves'!$B$2:$B$1178,'2023'!J$2,Tabla1[ANY],'2023'!$Z$150)</f>
        <v>0</v>
      </c>
      <c r="K162" s="21">
        <f t="shared" ref="K162:K169" si="159">IF(J$161=0,0,J162/J$161)</f>
        <v>0</v>
      </c>
      <c r="L162" s="20">
        <f>SUMIFS('Registre de reserves'!$V$2:$V$1178,'Registre de reserves'!$T$2:$T$1178,"NO",'Registre de reserves'!$I$2:$I$1178,'2023'!$A162,'Registre de reserves'!$B$2:$B$1178,'2023'!L$2,Tabla1[ANY],'2023'!$Z$150)</f>
        <v>0</v>
      </c>
      <c r="M162" s="21">
        <f t="shared" ref="M162:M169" si="160">IF(L$161=0,0,L162/L$161)</f>
        <v>0</v>
      </c>
      <c r="N162" s="20">
        <f>SUMIFS('Registre de reserves'!$V$2:$V$1178,'Registre de reserves'!$T$2:$T$1178,"NO",'Registre de reserves'!$I$2:$I$1178,'2023'!$A162,'Registre de reserves'!$B$2:$B$1178,'2023'!N$2,Tabla1[ANY],'2023'!$Z$150)</f>
        <v>0</v>
      </c>
      <c r="O162" s="21">
        <f t="shared" ref="O162:O169" si="161">IF(N$161=0,0,N162/N$161)</f>
        <v>0</v>
      </c>
      <c r="P162" s="20">
        <f>SUMIFS('Registre de reserves'!$V$2:$V$1178,'Registre de reserves'!$T$2:$T$1178,"NO",'Registre de reserves'!$I$2:$I$1178,'2023'!$A162,'Registre de reserves'!$B$2:$B$1178,'2023'!P$2,Tabla1[ANY],'2023'!$Z$150)</f>
        <v>0</v>
      </c>
      <c r="Q162" s="21">
        <f t="shared" ref="Q162:Q169" si="162">IF(P$161=0,0,P162/P$161)</f>
        <v>0</v>
      </c>
      <c r="R162" s="20">
        <f>SUMIFS('Registre de reserves'!$V$2:$V$1178,'Registre de reserves'!$T$2:$T$1178,"NO",'Registre de reserves'!$I$2:$I$1178,'2023'!$A162,'Registre de reserves'!$B$2:$B$1178,'2023'!R$2,Tabla1[ANY],'2023'!$Z$150)</f>
        <v>0</v>
      </c>
      <c r="S162" s="21">
        <f t="shared" ref="S162:S169" si="163">IF(R$161=0,0,R162/R$161)</f>
        <v>0</v>
      </c>
      <c r="T162" s="20">
        <f>SUMIFS('Registre de reserves'!$V$2:$V$1178,'Registre de reserves'!$T$2:$T$1178,"NO",'Registre de reserves'!$I$2:$I$1178,'2023'!$A162,'Registre de reserves'!$B$2:$B$1178,'2023'!T$2,Tabla1[ANY],'2023'!$Z$150)</f>
        <v>0</v>
      </c>
      <c r="U162" s="21">
        <f t="shared" ref="U162:U169" si="164">IF(T$161=0,0,T162/T$161)</f>
        <v>0</v>
      </c>
      <c r="V162" s="20">
        <f>SUMIFS('Registre de reserves'!$V$2:$V$1178,'Registre de reserves'!$T$2:$T$1178,"NO",'Registre de reserves'!$I$2:$I$1178,'2023'!$A162,'Registre de reserves'!$B$2:$B$1178,'2023'!V$2,Tabla1[ANY],'2023'!$Z$150)</f>
        <v>0</v>
      </c>
      <c r="W162" s="21">
        <f t="shared" ref="W162:W169" si="165">IF(V$161=0,0,V162/V$161)</f>
        <v>0</v>
      </c>
      <c r="X162" s="20">
        <f>SUMIFS('Registre de reserves'!$V$2:$V$1178,'Registre de reserves'!$T$2:$T$1178,"NO",'Registre de reserves'!$I$2:$I$1178,'2023'!$A162,'Registre de reserves'!$B$2:$B$1178,'2023'!X$2,Tabla1[ANY],'2023'!$Z$150)</f>
        <v>0</v>
      </c>
      <c r="Y162" s="21">
        <f t="shared" ref="Y162:Y169" si="166">IF(X$161=0,0,X162/X$161)</f>
        <v>0</v>
      </c>
      <c r="Z162" s="20">
        <f>B162+D162+F162+H162+J162+L162+N162+P162+R162+T162+V162+X162</f>
        <v>0</v>
      </c>
      <c r="AA162" s="21">
        <f>IF(Z$13=0,0,Z162/Z$13)</f>
        <v>0</v>
      </c>
    </row>
    <row r="163" spans="1:27" hidden="1" outlineLevel="1" x14ac:dyDescent="0.2">
      <c r="A163" s="8" t="s">
        <v>68</v>
      </c>
      <c r="B163" s="20">
        <f>SUMIFS('Registre de reserves'!$V$2:$V$1178,'Registre de reserves'!$T$2:$T$1178,"NO",'Registre de reserves'!$I$2:$I$1178,'2023'!$A163,'Registre de reserves'!$B$2:$B$1178,'2023'!B$2,Tabla1[ANY],'2023'!$Z$150)</f>
        <v>0</v>
      </c>
      <c r="C163" s="21">
        <f t="shared" ref="C163:E169" si="167">IF(B$161=0,0,B163/B$161)</f>
        <v>0</v>
      </c>
      <c r="D163" s="20">
        <f>SUMIFS('Registre de reserves'!$V$2:$V$1178,'Registre de reserves'!$T$2:$T$1178,"NO",'Registre de reserves'!$I$2:$I$1178,'2023'!$A163,'Registre de reserves'!$B$2:$B$1178,'2023'!D$2,Tabla1[ANY],'2023'!$Z$150)</f>
        <v>0</v>
      </c>
      <c r="E163" s="21">
        <f t="shared" si="167"/>
        <v>0</v>
      </c>
      <c r="F163" s="20">
        <f>SUMIFS('Registre de reserves'!$V$2:$V$1178,'Registre de reserves'!$T$2:$T$1178,"NO",'Registre de reserves'!$I$2:$I$1178,'2023'!$A163,'Registre de reserves'!$B$2:$B$1178,'2023'!F$2,Tabla1[ANY],'2023'!$Z$150)</f>
        <v>0</v>
      </c>
      <c r="G163" s="21">
        <f t="shared" si="157"/>
        <v>0</v>
      </c>
      <c r="H163" s="20">
        <f>SUMIFS('Registre de reserves'!$V$2:$V$1178,'Registre de reserves'!$T$2:$T$1178,"NO",'Registre de reserves'!$I$2:$I$1178,'2023'!$A163,'Registre de reserves'!$B$2:$B$1178,'2023'!H$2,Tabla1[ANY],'2023'!$Z$150)</f>
        <v>0</v>
      </c>
      <c r="I163" s="21">
        <f t="shared" si="158"/>
        <v>0</v>
      </c>
      <c r="J163" s="20">
        <f>SUMIFS('Registre de reserves'!$V$2:$V$1178,'Registre de reserves'!$T$2:$T$1178,"NO",'Registre de reserves'!$I$2:$I$1178,'2023'!$A163,'Registre de reserves'!$B$2:$B$1178,'2023'!J$2,Tabla1[ANY],'2023'!$Z$150)</f>
        <v>0</v>
      </c>
      <c r="K163" s="21">
        <f t="shared" si="159"/>
        <v>0</v>
      </c>
      <c r="L163" s="20">
        <f>SUMIFS('Registre de reserves'!$V$2:$V$1178,'Registre de reserves'!$T$2:$T$1178,"NO",'Registre de reserves'!$I$2:$I$1178,'2023'!$A163,'Registre de reserves'!$B$2:$B$1178,'2023'!L$2,Tabla1[ANY],'2023'!$Z$150)</f>
        <v>0</v>
      </c>
      <c r="M163" s="21">
        <f t="shared" si="160"/>
        <v>0</v>
      </c>
      <c r="N163" s="20">
        <f>SUMIFS('Registre de reserves'!$V$2:$V$1178,'Registre de reserves'!$T$2:$T$1178,"NO",'Registre de reserves'!$I$2:$I$1178,'2023'!$A163,'Registre de reserves'!$B$2:$B$1178,'2023'!N$2,Tabla1[ANY],'2023'!$Z$150)</f>
        <v>0</v>
      </c>
      <c r="O163" s="21">
        <f t="shared" si="161"/>
        <v>0</v>
      </c>
      <c r="P163" s="20">
        <f>SUMIFS('Registre de reserves'!$V$2:$V$1178,'Registre de reserves'!$T$2:$T$1178,"NO",'Registre de reserves'!$I$2:$I$1178,'2023'!$A163,'Registre de reserves'!$B$2:$B$1178,'2023'!P$2,Tabla1[ANY],'2023'!$Z$150)</f>
        <v>0</v>
      </c>
      <c r="Q163" s="21">
        <f t="shared" si="162"/>
        <v>0</v>
      </c>
      <c r="R163" s="20">
        <f>SUMIFS('Registre de reserves'!$V$2:$V$1178,'Registre de reserves'!$T$2:$T$1178,"NO",'Registre de reserves'!$I$2:$I$1178,'2023'!$A163,'Registre de reserves'!$B$2:$B$1178,'2023'!R$2,Tabla1[ANY],'2023'!$Z$150)</f>
        <v>0</v>
      </c>
      <c r="S163" s="21">
        <f t="shared" si="163"/>
        <v>0</v>
      </c>
      <c r="T163" s="20">
        <f>SUMIFS('Registre de reserves'!$V$2:$V$1178,'Registre de reserves'!$T$2:$T$1178,"NO",'Registre de reserves'!$I$2:$I$1178,'2023'!$A163,'Registre de reserves'!$B$2:$B$1178,'2023'!T$2,Tabla1[ANY],'2023'!$Z$150)</f>
        <v>0</v>
      </c>
      <c r="U163" s="21">
        <f t="shared" si="164"/>
        <v>0</v>
      </c>
      <c r="V163" s="20">
        <f>SUMIFS('Registre de reserves'!$V$2:$V$1178,'Registre de reserves'!$T$2:$T$1178,"NO",'Registre de reserves'!$I$2:$I$1178,'2023'!$A163,'Registre de reserves'!$B$2:$B$1178,'2023'!V$2,Tabla1[ANY],'2023'!$Z$150)</f>
        <v>0</v>
      </c>
      <c r="W163" s="21">
        <f t="shared" si="165"/>
        <v>0</v>
      </c>
      <c r="X163" s="20">
        <f>SUMIFS('Registre de reserves'!$V$2:$V$1178,'Registre de reserves'!$T$2:$T$1178,"NO",'Registre de reserves'!$I$2:$I$1178,'2023'!$A163,'Registre de reserves'!$B$2:$B$1178,'2023'!X$2,Tabla1[ANY],'2023'!$Z$150)</f>
        <v>0</v>
      </c>
      <c r="Y163" s="21">
        <f t="shared" si="166"/>
        <v>0</v>
      </c>
      <c r="Z163" s="20">
        <f t="shared" ref="Z163:Z187" si="168">B163+D163+F163+H163+J163+L163+N163+P163+R163+T163+V163+X163</f>
        <v>0</v>
      </c>
      <c r="AA163" s="21">
        <f t="shared" ref="AA163:AA169" si="169">IF(Z$13=0,0,Z163/Z$13)</f>
        <v>0</v>
      </c>
    </row>
    <row r="164" spans="1:27" hidden="1" outlineLevel="1" x14ac:dyDescent="0.2">
      <c r="A164" s="8" t="s">
        <v>4</v>
      </c>
      <c r="B164" s="20">
        <f>SUMIFS('Registre de reserves'!$V$2:$V$1178,'Registre de reserves'!$T$2:$T$1178,"NO",'Registre de reserves'!$I$2:$I$1178,'2023'!$A164,'Registre de reserves'!$B$2:$B$1178,'2023'!B$2,Tabla1[ANY],'2023'!$Z$150)</f>
        <v>0</v>
      </c>
      <c r="C164" s="21">
        <f t="shared" si="167"/>
        <v>0</v>
      </c>
      <c r="D164" s="20">
        <f>SUMIFS('Registre de reserves'!$V$2:$V$1178,'Registre de reserves'!$T$2:$T$1178,"NO",'Registre de reserves'!$I$2:$I$1178,'2023'!$A164,'Registre de reserves'!$B$2:$B$1178,'2023'!D$2,Tabla1[ANY],'2023'!$Z$150)</f>
        <v>0</v>
      </c>
      <c r="E164" s="21">
        <f t="shared" si="167"/>
        <v>0</v>
      </c>
      <c r="F164" s="20">
        <f>SUMIFS('Registre de reserves'!$V$2:$V$1178,'Registre de reserves'!$T$2:$T$1178,"NO",'Registre de reserves'!$I$2:$I$1178,'2023'!$A164,'Registre de reserves'!$B$2:$B$1178,'2023'!F$2,Tabla1[ANY],'2023'!$Z$150)</f>
        <v>0</v>
      </c>
      <c r="G164" s="21">
        <f t="shared" si="157"/>
        <v>0</v>
      </c>
      <c r="H164" s="20">
        <f>SUMIFS('Registre de reserves'!$V$2:$V$1178,'Registre de reserves'!$T$2:$T$1178,"NO",'Registre de reserves'!$I$2:$I$1178,'2023'!$A164,'Registre de reserves'!$B$2:$B$1178,'2023'!H$2,Tabla1[ANY],'2023'!$Z$150)</f>
        <v>0</v>
      </c>
      <c r="I164" s="21">
        <f t="shared" si="158"/>
        <v>0</v>
      </c>
      <c r="J164" s="20">
        <f>SUMIFS('Registre de reserves'!$V$2:$V$1178,'Registre de reserves'!$T$2:$T$1178,"NO",'Registre de reserves'!$I$2:$I$1178,'2023'!$A164,'Registre de reserves'!$B$2:$B$1178,'2023'!J$2,Tabla1[ANY],'2023'!$Z$150)</f>
        <v>0</v>
      </c>
      <c r="K164" s="21">
        <f t="shared" si="159"/>
        <v>0</v>
      </c>
      <c r="L164" s="20">
        <f>SUMIFS('Registre de reserves'!$V$2:$V$1178,'Registre de reserves'!$T$2:$T$1178,"NO",'Registre de reserves'!$I$2:$I$1178,'2023'!$A164,'Registre de reserves'!$B$2:$B$1178,'2023'!L$2,Tabla1[ANY],'2023'!$Z$150)</f>
        <v>0</v>
      </c>
      <c r="M164" s="21">
        <f t="shared" si="160"/>
        <v>0</v>
      </c>
      <c r="N164" s="20">
        <f>SUMIFS('Registre de reserves'!$V$2:$V$1178,'Registre de reserves'!$T$2:$T$1178,"NO",'Registre de reserves'!$I$2:$I$1178,'2023'!$A164,'Registre de reserves'!$B$2:$B$1178,'2023'!N$2,Tabla1[ANY],'2023'!$Z$150)</f>
        <v>0</v>
      </c>
      <c r="O164" s="21">
        <f t="shared" si="161"/>
        <v>0</v>
      </c>
      <c r="P164" s="20">
        <f>SUMIFS('Registre de reserves'!$V$2:$V$1178,'Registre de reserves'!$T$2:$T$1178,"NO",'Registre de reserves'!$I$2:$I$1178,'2023'!$A164,'Registre de reserves'!$B$2:$B$1178,'2023'!P$2,Tabla1[ANY],'2023'!$Z$150)</f>
        <v>0</v>
      </c>
      <c r="Q164" s="21">
        <f t="shared" si="162"/>
        <v>0</v>
      </c>
      <c r="R164" s="20">
        <f>SUMIFS('Registre de reserves'!$V$2:$V$1178,'Registre de reserves'!$T$2:$T$1178,"NO",'Registre de reserves'!$I$2:$I$1178,'2023'!$A164,'Registre de reserves'!$B$2:$B$1178,'2023'!R$2,Tabla1[ANY],'2023'!$Z$150)</f>
        <v>0</v>
      </c>
      <c r="S164" s="21">
        <f t="shared" si="163"/>
        <v>0</v>
      </c>
      <c r="T164" s="20">
        <f>SUMIFS('Registre de reserves'!$V$2:$V$1178,'Registre de reserves'!$T$2:$T$1178,"NO",'Registre de reserves'!$I$2:$I$1178,'2023'!$A164,'Registre de reserves'!$B$2:$B$1178,'2023'!T$2,Tabla1[ANY],'2023'!$Z$150)</f>
        <v>0</v>
      </c>
      <c r="U164" s="21">
        <f t="shared" si="164"/>
        <v>0</v>
      </c>
      <c r="V164" s="20">
        <f>SUMIFS('Registre de reserves'!$V$2:$V$1178,'Registre de reserves'!$T$2:$T$1178,"NO",'Registre de reserves'!$I$2:$I$1178,'2023'!$A164,'Registre de reserves'!$B$2:$B$1178,'2023'!V$2,Tabla1[ANY],'2023'!$Z$150)</f>
        <v>0</v>
      </c>
      <c r="W164" s="21">
        <f t="shared" si="165"/>
        <v>0</v>
      </c>
      <c r="X164" s="20">
        <f>SUMIFS('Registre de reserves'!$V$2:$V$1178,'Registre de reserves'!$T$2:$T$1178,"NO",'Registre de reserves'!$I$2:$I$1178,'2023'!$A164,'Registre de reserves'!$B$2:$B$1178,'2023'!X$2,Tabla1[ANY],'2023'!$Z$150)</f>
        <v>0</v>
      </c>
      <c r="Y164" s="21">
        <f t="shared" si="166"/>
        <v>0</v>
      </c>
      <c r="Z164" s="20">
        <f t="shared" si="168"/>
        <v>0</v>
      </c>
      <c r="AA164" s="21">
        <f t="shared" si="169"/>
        <v>0</v>
      </c>
    </row>
    <row r="165" spans="1:27" hidden="1" outlineLevel="1" x14ac:dyDescent="0.2">
      <c r="A165" s="8" t="s">
        <v>71</v>
      </c>
      <c r="B165" s="20">
        <f>SUMIFS('Registre de reserves'!$V$2:$V$1178,'Registre de reserves'!$T$2:$T$1178,"NO",'Registre de reserves'!$I$2:$I$1178,'2023'!$A165,'Registre de reserves'!$B$2:$B$1178,'2023'!B$2,Tabla1[ANY],'2023'!$Z$150)</f>
        <v>0</v>
      </c>
      <c r="C165" s="21">
        <f t="shared" si="167"/>
        <v>0</v>
      </c>
      <c r="D165" s="20">
        <f>SUMIFS('Registre de reserves'!$V$2:$V$1178,'Registre de reserves'!$T$2:$T$1178,"NO",'Registre de reserves'!$I$2:$I$1178,'2023'!$A165,'Registre de reserves'!$B$2:$B$1178,'2023'!D$2,Tabla1[ANY],'2023'!$Z$150)</f>
        <v>0</v>
      </c>
      <c r="E165" s="21">
        <f t="shared" si="167"/>
        <v>0</v>
      </c>
      <c r="F165" s="20">
        <f>SUMIFS('Registre de reserves'!$V$2:$V$1178,'Registre de reserves'!$T$2:$T$1178,"NO",'Registre de reserves'!$I$2:$I$1178,'2023'!$A165,'Registre de reserves'!$B$2:$B$1178,'2023'!F$2,Tabla1[ANY],'2023'!$Z$150)</f>
        <v>0</v>
      </c>
      <c r="G165" s="21">
        <f t="shared" si="157"/>
        <v>0</v>
      </c>
      <c r="H165" s="20">
        <f>SUMIFS('Registre de reserves'!$V$2:$V$1178,'Registre de reserves'!$T$2:$T$1178,"NO",'Registre de reserves'!$I$2:$I$1178,'2023'!$A165,'Registre de reserves'!$B$2:$B$1178,'2023'!H$2,Tabla1[ANY],'2023'!$Z$150)</f>
        <v>0</v>
      </c>
      <c r="I165" s="21">
        <f t="shared" si="158"/>
        <v>0</v>
      </c>
      <c r="J165" s="20">
        <f>SUMIFS('Registre de reserves'!$V$2:$V$1178,'Registre de reserves'!$T$2:$T$1178,"NO",'Registre de reserves'!$I$2:$I$1178,'2023'!$A165,'Registre de reserves'!$B$2:$B$1178,'2023'!J$2,Tabla1[ANY],'2023'!$Z$150)</f>
        <v>0</v>
      </c>
      <c r="K165" s="21">
        <f t="shared" si="159"/>
        <v>0</v>
      </c>
      <c r="L165" s="20">
        <f>SUMIFS('Registre de reserves'!$V$2:$V$1178,'Registre de reserves'!$T$2:$T$1178,"NO",'Registre de reserves'!$I$2:$I$1178,'2023'!$A165,'Registre de reserves'!$B$2:$B$1178,'2023'!L$2,Tabla1[ANY],'2023'!$Z$150)</f>
        <v>0</v>
      </c>
      <c r="M165" s="21">
        <f t="shared" si="160"/>
        <v>0</v>
      </c>
      <c r="N165" s="20">
        <f>SUMIFS('Registre de reserves'!$V$2:$V$1178,'Registre de reserves'!$T$2:$T$1178,"NO",'Registre de reserves'!$I$2:$I$1178,'2023'!$A165,'Registre de reserves'!$B$2:$B$1178,'2023'!N$2,Tabla1[ANY],'2023'!$Z$150)</f>
        <v>0</v>
      </c>
      <c r="O165" s="21">
        <f t="shared" si="161"/>
        <v>0</v>
      </c>
      <c r="P165" s="20">
        <f>SUMIFS('Registre de reserves'!$V$2:$V$1178,'Registre de reserves'!$T$2:$T$1178,"NO",'Registre de reserves'!$I$2:$I$1178,'2023'!$A165,'Registre de reserves'!$B$2:$B$1178,'2023'!P$2,Tabla1[ANY],'2023'!$Z$150)</f>
        <v>0</v>
      </c>
      <c r="Q165" s="21">
        <f t="shared" si="162"/>
        <v>0</v>
      </c>
      <c r="R165" s="20">
        <f>SUMIFS('Registre de reserves'!$V$2:$V$1178,'Registre de reserves'!$T$2:$T$1178,"NO",'Registre de reserves'!$I$2:$I$1178,'2023'!$A165,'Registre de reserves'!$B$2:$B$1178,'2023'!R$2,Tabla1[ANY],'2023'!$Z$150)</f>
        <v>0</v>
      </c>
      <c r="S165" s="21">
        <f t="shared" si="163"/>
        <v>0</v>
      </c>
      <c r="T165" s="20">
        <f>SUMIFS('Registre de reserves'!$V$2:$V$1178,'Registre de reserves'!$T$2:$T$1178,"NO",'Registre de reserves'!$I$2:$I$1178,'2023'!$A165,'Registre de reserves'!$B$2:$B$1178,'2023'!T$2,Tabla1[ANY],'2023'!$Z$150)</f>
        <v>0</v>
      </c>
      <c r="U165" s="21">
        <f t="shared" si="164"/>
        <v>0</v>
      </c>
      <c r="V165" s="20">
        <f>SUMIFS('Registre de reserves'!$V$2:$V$1178,'Registre de reserves'!$T$2:$T$1178,"NO",'Registre de reserves'!$I$2:$I$1178,'2023'!$A165,'Registre de reserves'!$B$2:$B$1178,'2023'!V$2,Tabla1[ANY],'2023'!$Z$150)</f>
        <v>0</v>
      </c>
      <c r="W165" s="21">
        <f t="shared" si="165"/>
        <v>0</v>
      </c>
      <c r="X165" s="20">
        <f>SUMIFS('Registre de reserves'!$V$2:$V$1178,'Registre de reserves'!$T$2:$T$1178,"NO",'Registre de reserves'!$I$2:$I$1178,'2023'!$A165,'Registre de reserves'!$B$2:$B$1178,'2023'!X$2,Tabla1[ANY],'2023'!$Z$150)</f>
        <v>0</v>
      </c>
      <c r="Y165" s="21">
        <f t="shared" si="166"/>
        <v>0</v>
      </c>
      <c r="Z165" s="20">
        <f t="shared" si="168"/>
        <v>0</v>
      </c>
      <c r="AA165" s="21">
        <f t="shared" si="169"/>
        <v>0</v>
      </c>
    </row>
    <row r="166" spans="1:27" hidden="1" outlineLevel="1" x14ac:dyDescent="0.2">
      <c r="A166" s="8" t="s">
        <v>72</v>
      </c>
      <c r="B166" s="20">
        <f>SUMIFS('Registre de reserves'!$V$2:$V$1178,'Registre de reserves'!$T$2:$T$1178,"NO",'Registre de reserves'!$I$2:$I$1178,'2023'!$A166,'Registre de reserves'!$B$2:$B$1178,'2023'!B$2,Tabla1[ANY],'2023'!$Z$150)</f>
        <v>0</v>
      </c>
      <c r="C166" s="21">
        <f t="shared" si="167"/>
        <v>0</v>
      </c>
      <c r="D166" s="20">
        <f>SUMIFS('Registre de reserves'!$V$2:$V$1178,'Registre de reserves'!$T$2:$T$1178,"NO",'Registre de reserves'!$I$2:$I$1178,'2023'!$A166,'Registre de reserves'!$B$2:$B$1178,'2023'!D$2,Tabla1[ANY],'2023'!$Z$150)</f>
        <v>0</v>
      </c>
      <c r="E166" s="21">
        <f t="shared" si="167"/>
        <v>0</v>
      </c>
      <c r="F166" s="20">
        <f>SUMIFS('Registre de reserves'!$V$2:$V$1178,'Registre de reserves'!$T$2:$T$1178,"NO",'Registre de reserves'!$I$2:$I$1178,'2023'!$A166,'Registre de reserves'!$B$2:$B$1178,'2023'!F$2,Tabla1[ANY],'2023'!$Z$150)</f>
        <v>0</v>
      </c>
      <c r="G166" s="21">
        <f t="shared" si="157"/>
        <v>0</v>
      </c>
      <c r="H166" s="20">
        <f>SUMIFS('Registre de reserves'!$V$2:$V$1178,'Registre de reserves'!$T$2:$T$1178,"NO",'Registre de reserves'!$I$2:$I$1178,'2023'!$A166,'Registre de reserves'!$B$2:$B$1178,'2023'!H$2,Tabla1[ANY],'2023'!$Z$150)</f>
        <v>0</v>
      </c>
      <c r="I166" s="21">
        <f t="shared" si="158"/>
        <v>0</v>
      </c>
      <c r="J166" s="20">
        <f>SUMIFS('Registre de reserves'!$V$2:$V$1178,'Registre de reserves'!$T$2:$T$1178,"NO",'Registre de reserves'!$I$2:$I$1178,'2023'!$A166,'Registre de reserves'!$B$2:$B$1178,'2023'!J$2,Tabla1[ANY],'2023'!$Z$150)</f>
        <v>0</v>
      </c>
      <c r="K166" s="21">
        <f t="shared" si="159"/>
        <v>0</v>
      </c>
      <c r="L166" s="20">
        <f>SUMIFS('Registre de reserves'!$V$2:$V$1178,'Registre de reserves'!$T$2:$T$1178,"NO",'Registre de reserves'!$I$2:$I$1178,'2023'!$A166,'Registre de reserves'!$B$2:$B$1178,'2023'!L$2,Tabla1[ANY],'2023'!$Z$150)</f>
        <v>0</v>
      </c>
      <c r="M166" s="21">
        <f t="shared" si="160"/>
        <v>0</v>
      </c>
      <c r="N166" s="20">
        <f>SUMIFS('Registre de reserves'!$V$2:$V$1178,'Registre de reserves'!$T$2:$T$1178,"NO",'Registre de reserves'!$I$2:$I$1178,'2023'!$A166,'Registre de reserves'!$B$2:$B$1178,'2023'!N$2,Tabla1[ANY],'2023'!$Z$150)</f>
        <v>0</v>
      </c>
      <c r="O166" s="21">
        <f t="shared" si="161"/>
        <v>0</v>
      </c>
      <c r="P166" s="20">
        <f>SUMIFS('Registre de reserves'!$V$2:$V$1178,'Registre de reserves'!$T$2:$T$1178,"NO",'Registre de reserves'!$I$2:$I$1178,'2023'!$A166,'Registre de reserves'!$B$2:$B$1178,'2023'!P$2,Tabla1[ANY],'2023'!$Z$150)</f>
        <v>0</v>
      </c>
      <c r="Q166" s="21">
        <f t="shared" si="162"/>
        <v>0</v>
      </c>
      <c r="R166" s="20">
        <f>SUMIFS('Registre de reserves'!$V$2:$V$1178,'Registre de reserves'!$T$2:$T$1178,"NO",'Registre de reserves'!$I$2:$I$1178,'2023'!$A166,'Registre de reserves'!$B$2:$B$1178,'2023'!R$2,Tabla1[ANY],'2023'!$Z$150)</f>
        <v>0</v>
      </c>
      <c r="S166" s="21">
        <f t="shared" si="163"/>
        <v>0</v>
      </c>
      <c r="T166" s="20">
        <f>SUMIFS('Registre de reserves'!$V$2:$V$1178,'Registre de reserves'!$T$2:$T$1178,"NO",'Registre de reserves'!$I$2:$I$1178,'2023'!$A166,'Registre de reserves'!$B$2:$B$1178,'2023'!T$2,Tabla1[ANY],'2023'!$Z$150)</f>
        <v>0</v>
      </c>
      <c r="U166" s="21">
        <f t="shared" si="164"/>
        <v>0</v>
      </c>
      <c r="V166" s="20">
        <f>SUMIFS('Registre de reserves'!$V$2:$V$1178,'Registre de reserves'!$T$2:$T$1178,"NO",'Registre de reserves'!$I$2:$I$1178,'2023'!$A166,'Registre de reserves'!$B$2:$B$1178,'2023'!V$2,Tabla1[ANY],'2023'!$Z$150)</f>
        <v>0</v>
      </c>
      <c r="W166" s="21">
        <f t="shared" si="165"/>
        <v>0</v>
      </c>
      <c r="X166" s="20">
        <f>SUMIFS('Registre de reserves'!$V$2:$V$1178,'Registre de reserves'!$T$2:$T$1178,"NO",'Registre de reserves'!$I$2:$I$1178,'2023'!$A166,'Registre de reserves'!$B$2:$B$1178,'2023'!X$2,Tabla1[ANY],'2023'!$Z$150)</f>
        <v>0</v>
      </c>
      <c r="Y166" s="21">
        <f t="shared" si="166"/>
        <v>0</v>
      </c>
      <c r="Z166" s="20">
        <f t="shared" si="168"/>
        <v>0</v>
      </c>
      <c r="AA166" s="21">
        <f t="shared" si="169"/>
        <v>0</v>
      </c>
    </row>
    <row r="167" spans="1:27" hidden="1" outlineLevel="1" x14ac:dyDescent="0.2">
      <c r="A167" s="8" t="s">
        <v>69</v>
      </c>
      <c r="B167" s="20">
        <f>SUMIFS('Registre de reserves'!$V$2:$V$1178,'Registre de reserves'!$T$2:$T$1178,"NO",'Registre de reserves'!$I$2:$I$1178,'2023'!$A167,'Registre de reserves'!$B$2:$B$1178,'2023'!B$2,Tabla1[ANY],'2023'!$Z$150)</f>
        <v>0</v>
      </c>
      <c r="C167" s="21">
        <f t="shared" si="167"/>
        <v>0</v>
      </c>
      <c r="D167" s="20">
        <f>SUMIFS('Registre de reserves'!$V$2:$V$1178,'Registre de reserves'!$T$2:$T$1178,"NO",'Registre de reserves'!$I$2:$I$1178,'2023'!$A167,'Registre de reserves'!$B$2:$B$1178,'2023'!D$2,Tabla1[ANY],'2023'!$Z$150)</f>
        <v>0</v>
      </c>
      <c r="E167" s="21">
        <f t="shared" si="167"/>
        <v>0</v>
      </c>
      <c r="F167" s="20">
        <f>SUMIFS('Registre de reserves'!$V$2:$V$1178,'Registre de reserves'!$T$2:$T$1178,"NO",'Registre de reserves'!$I$2:$I$1178,'2023'!$A167,'Registre de reserves'!$B$2:$B$1178,'2023'!F$2,Tabla1[ANY],'2023'!$Z$150)</f>
        <v>0</v>
      </c>
      <c r="G167" s="21">
        <f t="shared" si="157"/>
        <v>0</v>
      </c>
      <c r="H167" s="20">
        <f>SUMIFS('Registre de reserves'!$V$2:$V$1178,'Registre de reserves'!$T$2:$T$1178,"NO",'Registre de reserves'!$I$2:$I$1178,'2023'!$A167,'Registre de reserves'!$B$2:$B$1178,'2023'!H$2,Tabla1[ANY],'2023'!$Z$150)</f>
        <v>0</v>
      </c>
      <c r="I167" s="21">
        <f t="shared" si="158"/>
        <v>0</v>
      </c>
      <c r="J167" s="20">
        <f>SUMIFS('Registre de reserves'!$V$2:$V$1178,'Registre de reserves'!$T$2:$T$1178,"NO",'Registre de reserves'!$I$2:$I$1178,'2023'!$A167,'Registre de reserves'!$B$2:$B$1178,'2023'!J$2,Tabla1[ANY],'2023'!$Z$150)</f>
        <v>0</v>
      </c>
      <c r="K167" s="21">
        <f t="shared" si="159"/>
        <v>0</v>
      </c>
      <c r="L167" s="20">
        <f>SUMIFS('Registre de reserves'!$V$2:$V$1178,'Registre de reserves'!$T$2:$T$1178,"NO",'Registre de reserves'!$I$2:$I$1178,'2023'!$A167,'Registre de reserves'!$B$2:$B$1178,'2023'!L$2,Tabla1[ANY],'2023'!$Z$150)</f>
        <v>0</v>
      </c>
      <c r="M167" s="21">
        <f t="shared" si="160"/>
        <v>0</v>
      </c>
      <c r="N167" s="20">
        <f>SUMIFS('Registre de reserves'!$V$2:$V$1178,'Registre de reserves'!$T$2:$T$1178,"NO",'Registre de reserves'!$I$2:$I$1178,'2023'!$A167,'Registre de reserves'!$B$2:$B$1178,'2023'!N$2,Tabla1[ANY],'2023'!$Z$150)</f>
        <v>0</v>
      </c>
      <c r="O167" s="21">
        <f t="shared" si="161"/>
        <v>0</v>
      </c>
      <c r="P167" s="20">
        <f>SUMIFS('Registre de reserves'!$V$2:$V$1178,'Registre de reserves'!$T$2:$T$1178,"NO",'Registre de reserves'!$I$2:$I$1178,'2023'!$A167,'Registre de reserves'!$B$2:$B$1178,'2023'!P$2,Tabla1[ANY],'2023'!$Z$150)</f>
        <v>0</v>
      </c>
      <c r="Q167" s="21">
        <f t="shared" si="162"/>
        <v>0</v>
      </c>
      <c r="R167" s="20">
        <f>SUMIFS('Registre de reserves'!$V$2:$V$1178,'Registre de reserves'!$T$2:$T$1178,"NO",'Registre de reserves'!$I$2:$I$1178,'2023'!$A167,'Registre de reserves'!$B$2:$B$1178,'2023'!R$2,Tabla1[ANY],'2023'!$Z$150)</f>
        <v>0</v>
      </c>
      <c r="S167" s="21">
        <f t="shared" si="163"/>
        <v>0</v>
      </c>
      <c r="T167" s="20">
        <f>SUMIFS('Registre de reserves'!$V$2:$V$1178,'Registre de reserves'!$T$2:$T$1178,"NO",'Registre de reserves'!$I$2:$I$1178,'2023'!$A167,'Registre de reserves'!$B$2:$B$1178,'2023'!T$2,Tabla1[ANY],'2023'!$Z$150)</f>
        <v>0</v>
      </c>
      <c r="U167" s="21">
        <f t="shared" si="164"/>
        <v>0</v>
      </c>
      <c r="V167" s="20">
        <f>SUMIFS('Registre de reserves'!$V$2:$V$1178,'Registre de reserves'!$T$2:$T$1178,"NO",'Registre de reserves'!$I$2:$I$1178,'2023'!$A167,'Registre de reserves'!$B$2:$B$1178,'2023'!V$2,Tabla1[ANY],'2023'!$Z$150)</f>
        <v>0</v>
      </c>
      <c r="W167" s="21">
        <f t="shared" si="165"/>
        <v>0</v>
      </c>
      <c r="X167" s="20">
        <f>SUMIFS('Registre de reserves'!$V$2:$V$1178,'Registre de reserves'!$T$2:$T$1178,"NO",'Registre de reserves'!$I$2:$I$1178,'2023'!$A167,'Registre de reserves'!$B$2:$B$1178,'2023'!X$2,Tabla1[ANY],'2023'!$Z$150)</f>
        <v>0</v>
      </c>
      <c r="Y167" s="21">
        <f t="shared" si="166"/>
        <v>0</v>
      </c>
      <c r="Z167" s="20">
        <f t="shared" si="168"/>
        <v>0</v>
      </c>
      <c r="AA167" s="21">
        <f t="shared" si="169"/>
        <v>0</v>
      </c>
    </row>
    <row r="168" spans="1:27" hidden="1" outlineLevel="1" x14ac:dyDescent="0.2">
      <c r="A168" s="8" t="s">
        <v>70</v>
      </c>
      <c r="B168" s="20">
        <f>SUMIFS('Registre de reserves'!$V$2:$V$1178,'Registre de reserves'!$T$2:$T$1178,"NO",'Registre de reserves'!$I$2:$I$1178,'2023'!$A168,'Registre de reserves'!$B$2:$B$1178,'2023'!B$2,Tabla1[ANY],'2023'!$Z$150)</f>
        <v>0</v>
      </c>
      <c r="C168" s="21">
        <f t="shared" si="167"/>
        <v>0</v>
      </c>
      <c r="D168" s="20">
        <f>SUMIFS('Registre de reserves'!$V$2:$V$1178,'Registre de reserves'!$T$2:$T$1178,"NO",'Registre de reserves'!$I$2:$I$1178,'2023'!$A168,'Registre de reserves'!$B$2:$B$1178,'2023'!D$2,Tabla1[ANY],'2023'!$Z$150)</f>
        <v>0</v>
      </c>
      <c r="E168" s="21">
        <f t="shared" si="167"/>
        <v>0</v>
      </c>
      <c r="F168" s="20">
        <f>SUMIFS('Registre de reserves'!$V$2:$V$1178,'Registre de reserves'!$T$2:$T$1178,"NO",'Registre de reserves'!$I$2:$I$1178,'2023'!$A168,'Registre de reserves'!$B$2:$B$1178,'2023'!F$2,Tabla1[ANY],'2023'!$Z$150)</f>
        <v>0</v>
      </c>
      <c r="G168" s="21">
        <f t="shared" si="157"/>
        <v>0</v>
      </c>
      <c r="H168" s="20">
        <f>SUMIFS('Registre de reserves'!$V$2:$V$1178,'Registre de reserves'!$T$2:$T$1178,"NO",'Registre de reserves'!$I$2:$I$1178,'2023'!$A168,'Registre de reserves'!$B$2:$B$1178,'2023'!H$2,Tabla1[ANY],'2023'!$Z$150)</f>
        <v>0</v>
      </c>
      <c r="I168" s="21">
        <f t="shared" si="158"/>
        <v>0</v>
      </c>
      <c r="J168" s="20">
        <f>SUMIFS('Registre de reserves'!$V$2:$V$1178,'Registre de reserves'!$T$2:$T$1178,"NO",'Registre de reserves'!$I$2:$I$1178,'2023'!$A168,'Registre de reserves'!$B$2:$B$1178,'2023'!J$2,Tabla1[ANY],'2023'!$Z$150)</f>
        <v>0</v>
      </c>
      <c r="K168" s="21">
        <f t="shared" si="159"/>
        <v>0</v>
      </c>
      <c r="L168" s="20">
        <f>SUMIFS('Registre de reserves'!$V$2:$V$1178,'Registre de reserves'!$T$2:$T$1178,"NO",'Registre de reserves'!$I$2:$I$1178,'2023'!$A168,'Registre de reserves'!$B$2:$B$1178,'2023'!L$2,Tabla1[ANY],'2023'!$Z$150)</f>
        <v>0</v>
      </c>
      <c r="M168" s="21">
        <f t="shared" si="160"/>
        <v>0</v>
      </c>
      <c r="N168" s="20">
        <f>SUMIFS('Registre de reserves'!$V$2:$V$1178,'Registre de reserves'!$T$2:$T$1178,"NO",'Registre de reserves'!$I$2:$I$1178,'2023'!$A168,'Registre de reserves'!$B$2:$B$1178,'2023'!N$2,Tabla1[ANY],'2023'!$Z$150)</f>
        <v>0</v>
      </c>
      <c r="O168" s="21">
        <f t="shared" si="161"/>
        <v>0</v>
      </c>
      <c r="P168" s="20">
        <f>SUMIFS('Registre de reserves'!$V$2:$V$1178,'Registre de reserves'!$T$2:$T$1178,"NO",'Registre de reserves'!$I$2:$I$1178,'2023'!$A168,'Registre de reserves'!$B$2:$B$1178,'2023'!P$2,Tabla1[ANY],'2023'!$Z$150)</f>
        <v>0</v>
      </c>
      <c r="Q168" s="21">
        <f t="shared" si="162"/>
        <v>0</v>
      </c>
      <c r="R168" s="20">
        <f>SUMIFS('Registre de reserves'!$V$2:$V$1178,'Registre de reserves'!$T$2:$T$1178,"NO",'Registre de reserves'!$I$2:$I$1178,'2023'!$A168,'Registre de reserves'!$B$2:$B$1178,'2023'!R$2,Tabla1[ANY],'2023'!$Z$150)</f>
        <v>0</v>
      </c>
      <c r="S168" s="21">
        <f t="shared" si="163"/>
        <v>0</v>
      </c>
      <c r="T168" s="20">
        <f>SUMIFS('Registre de reserves'!$V$2:$V$1178,'Registre de reserves'!$T$2:$T$1178,"NO",'Registre de reserves'!$I$2:$I$1178,'2023'!$A168,'Registre de reserves'!$B$2:$B$1178,'2023'!T$2,Tabla1[ANY],'2023'!$Z$150)</f>
        <v>0</v>
      </c>
      <c r="U168" s="21">
        <f t="shared" si="164"/>
        <v>0</v>
      </c>
      <c r="V168" s="20">
        <f>SUMIFS('Registre de reserves'!$V$2:$V$1178,'Registre de reserves'!$T$2:$T$1178,"NO",'Registre de reserves'!$I$2:$I$1178,'2023'!$A168,'Registre de reserves'!$B$2:$B$1178,'2023'!V$2,Tabla1[ANY],'2023'!$Z$150)</f>
        <v>0</v>
      </c>
      <c r="W168" s="21">
        <f t="shared" si="165"/>
        <v>0</v>
      </c>
      <c r="X168" s="20">
        <f>SUMIFS('Registre de reserves'!$V$2:$V$1178,'Registre de reserves'!$T$2:$T$1178,"NO",'Registre de reserves'!$I$2:$I$1178,'2023'!$A168,'Registre de reserves'!$B$2:$B$1178,'2023'!X$2,Tabla1[ANY],'2023'!$Z$150)</f>
        <v>0</v>
      </c>
      <c r="Y168" s="21">
        <f t="shared" si="166"/>
        <v>0</v>
      </c>
      <c r="Z168" s="20">
        <f t="shared" si="168"/>
        <v>0</v>
      </c>
      <c r="AA168" s="21">
        <f t="shared" si="169"/>
        <v>0</v>
      </c>
    </row>
    <row r="169" spans="1:27" hidden="1" outlineLevel="1" x14ac:dyDescent="0.2">
      <c r="A169" s="8" t="s">
        <v>73</v>
      </c>
      <c r="B169" s="20">
        <f>SUMIFS('Registre de reserves'!$V$2:$V$1178,'Registre de reserves'!$T$2:$T$1178,"NO",'Registre de reserves'!$I$2:$I$1178,'2023'!$A169,'Registre de reserves'!$B$2:$B$1178,'2023'!B$2,Tabla1[ANY],'2023'!$Z$150)</f>
        <v>0</v>
      </c>
      <c r="C169" s="21">
        <f t="shared" si="167"/>
        <v>0</v>
      </c>
      <c r="D169" s="20">
        <f>SUMIFS('Registre de reserves'!$V$2:$V$1178,'Registre de reserves'!$T$2:$T$1178,"NO",'Registre de reserves'!$I$2:$I$1178,'2023'!$A169,'Registre de reserves'!$B$2:$B$1178,'2023'!D$2,Tabla1[ANY],'2023'!$Z$150)</f>
        <v>0</v>
      </c>
      <c r="E169" s="21">
        <f t="shared" si="167"/>
        <v>0</v>
      </c>
      <c r="F169" s="20">
        <f>SUMIFS('Registre de reserves'!$V$2:$V$1178,'Registre de reserves'!$T$2:$T$1178,"NO",'Registre de reserves'!$I$2:$I$1178,'2023'!$A169,'Registre de reserves'!$B$2:$B$1178,'2023'!F$2,Tabla1[ANY],'2023'!$Z$150)</f>
        <v>0</v>
      </c>
      <c r="G169" s="21">
        <f t="shared" si="157"/>
        <v>0</v>
      </c>
      <c r="H169" s="20">
        <f>SUMIFS('Registre de reserves'!$V$2:$V$1178,'Registre de reserves'!$T$2:$T$1178,"NO",'Registre de reserves'!$I$2:$I$1178,'2023'!$A169,'Registre de reserves'!$B$2:$B$1178,'2023'!H$2,Tabla1[ANY],'2023'!$Z$150)</f>
        <v>0</v>
      </c>
      <c r="I169" s="21">
        <f t="shared" si="158"/>
        <v>0</v>
      </c>
      <c r="J169" s="20">
        <f>SUMIFS('Registre de reserves'!$V$2:$V$1178,'Registre de reserves'!$T$2:$T$1178,"NO",'Registre de reserves'!$I$2:$I$1178,'2023'!$A169,'Registre de reserves'!$B$2:$B$1178,'2023'!J$2,Tabla1[ANY],'2023'!$Z$150)</f>
        <v>0</v>
      </c>
      <c r="K169" s="21">
        <f t="shared" si="159"/>
        <v>0</v>
      </c>
      <c r="L169" s="20">
        <f>SUMIFS('Registre de reserves'!$V$2:$V$1178,'Registre de reserves'!$T$2:$T$1178,"NO",'Registre de reserves'!$I$2:$I$1178,'2023'!$A169,'Registre de reserves'!$B$2:$B$1178,'2023'!L$2,Tabla1[ANY],'2023'!$Z$150)</f>
        <v>0</v>
      </c>
      <c r="M169" s="21">
        <f t="shared" si="160"/>
        <v>0</v>
      </c>
      <c r="N169" s="20">
        <f>SUMIFS('Registre de reserves'!$V$2:$V$1178,'Registre de reserves'!$T$2:$T$1178,"NO",'Registre de reserves'!$I$2:$I$1178,'2023'!$A169,'Registre de reserves'!$B$2:$B$1178,'2023'!N$2,Tabla1[ANY],'2023'!$Z$150)</f>
        <v>0</v>
      </c>
      <c r="O169" s="21">
        <f t="shared" si="161"/>
        <v>0</v>
      </c>
      <c r="P169" s="20">
        <f>SUMIFS('Registre de reserves'!$V$2:$V$1178,'Registre de reserves'!$T$2:$T$1178,"NO",'Registre de reserves'!$I$2:$I$1178,'2023'!$A169,'Registre de reserves'!$B$2:$B$1178,'2023'!P$2,Tabla1[ANY],'2023'!$Z$150)</f>
        <v>0</v>
      </c>
      <c r="Q169" s="21">
        <f t="shared" si="162"/>
        <v>0</v>
      </c>
      <c r="R169" s="20">
        <f>SUMIFS('Registre de reserves'!$V$2:$V$1178,'Registre de reserves'!$T$2:$T$1178,"NO",'Registre de reserves'!$I$2:$I$1178,'2023'!$A169,'Registre de reserves'!$B$2:$B$1178,'2023'!R$2,Tabla1[ANY],'2023'!$Z$150)</f>
        <v>0</v>
      </c>
      <c r="S169" s="21">
        <f t="shared" si="163"/>
        <v>0</v>
      </c>
      <c r="T169" s="20">
        <f>SUMIFS('Registre de reserves'!$V$2:$V$1178,'Registre de reserves'!$T$2:$T$1178,"NO",'Registre de reserves'!$I$2:$I$1178,'2023'!$A169,'Registre de reserves'!$B$2:$B$1178,'2023'!T$2,Tabla1[ANY],'2023'!$Z$150)</f>
        <v>0</v>
      </c>
      <c r="U169" s="21">
        <f t="shared" si="164"/>
        <v>0</v>
      </c>
      <c r="V169" s="20">
        <f>SUMIFS('Registre de reserves'!$V$2:$V$1178,'Registre de reserves'!$T$2:$T$1178,"NO",'Registre de reserves'!$I$2:$I$1178,'2023'!$A169,'Registre de reserves'!$B$2:$B$1178,'2023'!V$2,Tabla1[ANY],'2023'!$Z$150)</f>
        <v>0</v>
      </c>
      <c r="W169" s="21">
        <f t="shared" si="165"/>
        <v>0</v>
      </c>
      <c r="X169" s="20">
        <f>SUMIFS('Registre de reserves'!$V$2:$V$1178,'Registre de reserves'!$T$2:$T$1178,"NO",'Registre de reserves'!$I$2:$I$1178,'2023'!$A169,'Registre de reserves'!$B$2:$B$1178,'2023'!X$2,Tabla1[ANY],'2023'!$Z$150)</f>
        <v>0</v>
      </c>
      <c r="Y169" s="21">
        <f t="shared" si="166"/>
        <v>0</v>
      </c>
      <c r="Z169" s="20">
        <f t="shared" si="168"/>
        <v>0</v>
      </c>
      <c r="AA169" s="21">
        <f t="shared" si="169"/>
        <v>0</v>
      </c>
    </row>
    <row r="170" spans="1:27" collapsed="1" x14ac:dyDescent="0.2">
      <c r="A170" s="33" t="s">
        <v>75</v>
      </c>
      <c r="B170" s="22">
        <f>SUM(B171:B178)</f>
        <v>310</v>
      </c>
      <c r="C170" s="19">
        <f>IF(B$151=0,0,B170/B$151)</f>
        <v>9.8726114649681534E-2</v>
      </c>
      <c r="D170" s="22">
        <f>SUM(D171:D178)</f>
        <v>210</v>
      </c>
      <c r="E170" s="19">
        <f>IF(D$151=0,0,D170/D$151)</f>
        <v>7.4468085106382975E-2</v>
      </c>
      <c r="F170" s="22">
        <f>SUM(F171:F178)</f>
        <v>180</v>
      </c>
      <c r="G170" s="19">
        <f>IF(F$151=0,0,F170/F$151)</f>
        <v>7.1005917159763315E-2</v>
      </c>
      <c r="H170" s="22">
        <f>SUM(H171:H178)</f>
        <v>120</v>
      </c>
      <c r="I170" s="19">
        <f>IF(H$151=0,0,H170/H$151)</f>
        <v>3.7037037037037035E-2</v>
      </c>
      <c r="J170" s="22">
        <f>SUM(J171:J178)</f>
        <v>180</v>
      </c>
      <c r="K170" s="19">
        <f>IF(J$151=0,0,J170/J$151)</f>
        <v>7.7586206896551727E-2</v>
      </c>
      <c r="L170" s="22">
        <f>SUM(L171:L178)</f>
        <v>60</v>
      </c>
      <c r="M170" s="19">
        <f>IF(L$151=0,0,L170/L$151)</f>
        <v>2.5369978858350951E-2</v>
      </c>
      <c r="N170" s="22">
        <f>SUM(N171:N178)</f>
        <v>285</v>
      </c>
      <c r="O170" s="19">
        <f>IF(N$151=0,0,N170/N$151)</f>
        <v>0.11585365853658537</v>
      </c>
      <c r="P170" s="22">
        <f>SUM(P171:P178)</f>
        <v>80</v>
      </c>
      <c r="Q170" s="19">
        <f>IF(P$151=0,0,P170/P$151)</f>
        <v>7.407407407407407E-2</v>
      </c>
      <c r="R170" s="22">
        <f>SUM(R171:R178)</f>
        <v>195</v>
      </c>
      <c r="S170" s="19">
        <f>IF(R$151=0,0,R170/R$151)</f>
        <v>7.1428571428571425E-2</v>
      </c>
      <c r="T170" s="22">
        <f>SUM(T171:T178)</f>
        <v>190</v>
      </c>
      <c r="U170" s="19">
        <f>IF(T$151=0,0,T170/T$151)</f>
        <v>8.137044967880086E-2</v>
      </c>
      <c r="V170" s="22">
        <f>SUM(V171:V178)</f>
        <v>60</v>
      </c>
      <c r="W170" s="19">
        <f>IF(V$151=0,0,V170/V$151)</f>
        <v>3.896103896103896E-2</v>
      </c>
      <c r="X170" s="22">
        <f>SUM(X171:X178)</f>
        <v>200</v>
      </c>
      <c r="Y170" s="19">
        <f>IF(X$151=0,0,X170/X$151)</f>
        <v>4.6893317702227433E-2</v>
      </c>
      <c r="Z170" s="22">
        <f>SUM(Z171:Z178)</f>
        <v>2070</v>
      </c>
      <c r="AA170" s="19">
        <f>IF(Z$3=0,0,Z170/Z$3)</f>
        <v>4.2197533380898988E-2</v>
      </c>
    </row>
    <row r="171" spans="1:27" hidden="1" outlineLevel="1" x14ac:dyDescent="0.2">
      <c r="A171" s="8" t="s">
        <v>67</v>
      </c>
      <c r="B171" s="23">
        <f>SUMIFS('Registre de reserves'!$X$2:$X$1178,'Registre de reserves'!$T$2:$T$1178,"SI",'Registre de reserves'!$I$2:$I$1178,'2023'!$A171,'Registre de reserves'!$B$2:$B$1178,'2023'!B$2,Tabla1[ANY],'2023'!$Z$150)</f>
        <v>0</v>
      </c>
      <c r="C171" s="21">
        <f>IF(B$170=0,0,B171/B$170)</f>
        <v>0</v>
      </c>
      <c r="D171" s="23">
        <f>SUMIFS('Registre de reserves'!$X$2:$X$1178,'Registre de reserves'!$T$2:$T$1178,"SI",'Registre de reserves'!$I$2:$I$1178,'2023'!$A171,'Registre de reserves'!$B$2:$B$1178,'2023'!D$2,Tabla1[ANY],'2023'!$Z$150)</f>
        <v>0</v>
      </c>
      <c r="E171" s="21">
        <f>IF(D$170=0,0,D171/D$170)</f>
        <v>0</v>
      </c>
      <c r="F171" s="23">
        <f>SUMIFS('Registre de reserves'!$X$2:$X$1178,'Registre de reserves'!$T$2:$T$1178,"SI",'Registre de reserves'!$I$2:$I$1178,'2023'!$A171,'Registre de reserves'!$B$2:$B$1178,'2023'!F$2,Tabla1[ANY],'2023'!$Z$150)</f>
        <v>0</v>
      </c>
      <c r="G171" s="21">
        <f t="shared" ref="G171:G178" si="170">IF(F$170=0,0,F171/F$170)</f>
        <v>0</v>
      </c>
      <c r="H171" s="23">
        <f>SUMIFS('Registre de reserves'!$X$2:$X$1178,'Registre de reserves'!$T$2:$T$1178,"SI",'Registre de reserves'!$I$2:$I$1178,'2023'!$A171,'Registre de reserves'!$B$2:$B$1178,'2023'!H$2,Tabla1[ANY],'2023'!$Z$150)</f>
        <v>0</v>
      </c>
      <c r="I171" s="21">
        <f t="shared" ref="I171:I178" si="171">IF(H$170=0,0,H171/H$170)</f>
        <v>0</v>
      </c>
      <c r="J171" s="23">
        <f>SUMIFS('Registre de reserves'!$X$2:$X$1178,'Registre de reserves'!$T$2:$T$1178,"SI",'Registre de reserves'!$I$2:$I$1178,'2023'!$A171,'Registre de reserves'!$B$2:$B$1178,'2023'!J$2,Tabla1[ANY],'2023'!$Z$150)</f>
        <v>0</v>
      </c>
      <c r="K171" s="21">
        <f t="shared" ref="K171:K178" si="172">IF(J$170=0,0,J171/J$170)</f>
        <v>0</v>
      </c>
      <c r="L171" s="23">
        <f>SUMIFS('Registre de reserves'!$X$2:$X$1178,'Registre de reserves'!$T$2:$T$1178,"SI",'Registre de reserves'!$I$2:$I$1178,'2023'!$A171,'Registre de reserves'!$B$2:$B$1178,'2023'!L$2,Tabla1[ANY],'2023'!$Z$150)</f>
        <v>0</v>
      </c>
      <c r="M171" s="21">
        <f t="shared" ref="M171:M178" si="173">IF(L$170=0,0,L171/L$170)</f>
        <v>0</v>
      </c>
      <c r="N171" s="23">
        <f>SUMIFS('Registre de reserves'!$X$2:$X$1178,'Registre de reserves'!$T$2:$T$1178,"SI",'Registre de reserves'!$I$2:$I$1178,'2023'!$A171,'Registre de reserves'!$B$2:$B$1178,'2023'!N$2,Tabla1[ANY],'2023'!$Z$150)</f>
        <v>0</v>
      </c>
      <c r="O171" s="21">
        <f t="shared" ref="O171:O178" si="174">IF(N$170=0,0,N171/N$170)</f>
        <v>0</v>
      </c>
      <c r="P171" s="23">
        <f>SUMIFS('Registre de reserves'!$X$2:$X$1178,'Registre de reserves'!$T$2:$T$1178,"SI",'Registre de reserves'!$I$2:$I$1178,'2023'!$A171,'Registre de reserves'!$B$2:$B$1178,'2023'!P$2,Tabla1[ANY],'2023'!$Z$150)</f>
        <v>0</v>
      </c>
      <c r="Q171" s="21">
        <f t="shared" ref="Q171:Q178" si="175">IF(P$170=0,0,P171/P$170)</f>
        <v>0</v>
      </c>
      <c r="R171" s="23">
        <f>SUMIFS('Registre de reserves'!$X$2:$X$1178,'Registre de reserves'!$T$2:$T$1178,"SI",'Registre de reserves'!$I$2:$I$1178,'2023'!$A171,'Registre de reserves'!$B$2:$B$1178,'2023'!R$2,Tabla1[ANY],'2023'!$Z$150)</f>
        <v>0</v>
      </c>
      <c r="S171" s="21">
        <f t="shared" ref="S171:S178" si="176">IF(R$170=0,0,R171/R$170)</f>
        <v>0</v>
      </c>
      <c r="T171" s="23">
        <f>SUMIFS('Registre de reserves'!$X$2:$X$1178,'Registre de reserves'!$T$2:$T$1178,"SI",'Registre de reserves'!$I$2:$I$1178,'2023'!$A171,'Registre de reserves'!$B$2:$B$1178,'2023'!T$2,Tabla1[ANY],'2023'!$Z$150)</f>
        <v>0</v>
      </c>
      <c r="U171" s="21">
        <f t="shared" ref="U171:U178" si="177">IF(T$170=0,0,T171/T$170)</f>
        <v>0</v>
      </c>
      <c r="V171" s="23">
        <f>SUMIFS('Registre de reserves'!$X$2:$X$1178,'Registre de reserves'!$T$2:$T$1178,"SI",'Registre de reserves'!$I$2:$I$1178,'2023'!$A171,'Registre de reserves'!$B$2:$B$1178,'2023'!V$2,Tabla1[ANY],'2023'!$Z$150)</f>
        <v>0</v>
      </c>
      <c r="W171" s="21">
        <f t="shared" ref="W171:W178" si="178">IF(V$170=0,0,V171/V$170)</f>
        <v>0</v>
      </c>
      <c r="X171" s="23">
        <f>SUMIFS('Registre de reserves'!$X$2:$X$1178,'Registre de reserves'!$T$2:$T$1178,"SI",'Registre de reserves'!$I$2:$I$1178,'2023'!$A171,'Registre de reserves'!$B$2:$B$1178,'2023'!X$2,Tabla1[ANY],'2023'!$Z$150)</f>
        <v>0</v>
      </c>
      <c r="Y171" s="21">
        <f t="shared" ref="Y171:Y178" si="179">IF(X$170=0,0,X171/X$170)</f>
        <v>0</v>
      </c>
      <c r="Z171" s="20">
        <f t="shared" si="168"/>
        <v>0</v>
      </c>
      <c r="AA171" s="21">
        <f>IF(Z$22=0,0,Z171/Z$22)</f>
        <v>0</v>
      </c>
    </row>
    <row r="172" spans="1:27" hidden="1" outlineLevel="1" x14ac:dyDescent="0.2">
      <c r="A172" s="8" t="s">
        <v>68</v>
      </c>
      <c r="B172" s="23">
        <f>SUMIFS('Registre de reserves'!$X$2:$X$1178,'Registre de reserves'!$T$2:$T$1178,"SI",'Registre de reserves'!$I$2:$I$1178,'2023'!$A172,'Registre de reserves'!$B$2:$B$1178,'2023'!B$2,Tabla1[ANY],'2023'!$Z$150)</f>
        <v>0</v>
      </c>
      <c r="C172" s="21">
        <f t="shared" ref="C172:E178" si="180">IF(B$170=0,0,B172/B$170)</f>
        <v>0</v>
      </c>
      <c r="D172" s="23">
        <f>SUMIFS('Registre de reserves'!$X$2:$X$1178,'Registre de reserves'!$T$2:$T$1178,"SI",'Registre de reserves'!$I$2:$I$1178,'2023'!$A172,'Registre de reserves'!$B$2:$B$1178,'2023'!D$2,Tabla1[ANY],'2023'!$Z$150)</f>
        <v>0</v>
      </c>
      <c r="E172" s="21">
        <f t="shared" si="180"/>
        <v>0</v>
      </c>
      <c r="F172" s="23">
        <f>SUMIFS('Registre de reserves'!$X$2:$X$1178,'Registre de reserves'!$T$2:$T$1178,"SI",'Registre de reserves'!$I$2:$I$1178,'2023'!$A172,'Registre de reserves'!$B$2:$B$1178,'2023'!F$2,Tabla1[ANY],'2023'!$Z$150)</f>
        <v>0</v>
      </c>
      <c r="G172" s="21">
        <f t="shared" si="170"/>
        <v>0</v>
      </c>
      <c r="H172" s="23">
        <f>SUMIFS('Registre de reserves'!$X$2:$X$1178,'Registre de reserves'!$T$2:$T$1178,"SI",'Registre de reserves'!$I$2:$I$1178,'2023'!$A172,'Registre de reserves'!$B$2:$B$1178,'2023'!H$2,Tabla1[ANY],'2023'!$Z$150)</f>
        <v>0</v>
      </c>
      <c r="I172" s="21">
        <f t="shared" si="171"/>
        <v>0</v>
      </c>
      <c r="J172" s="23">
        <f>SUMIFS('Registre de reserves'!$X$2:$X$1178,'Registre de reserves'!$T$2:$T$1178,"SI",'Registre de reserves'!$I$2:$I$1178,'2023'!$A172,'Registre de reserves'!$B$2:$B$1178,'2023'!J$2,Tabla1[ANY],'2023'!$Z$150)</f>
        <v>0</v>
      </c>
      <c r="K172" s="21">
        <f t="shared" si="172"/>
        <v>0</v>
      </c>
      <c r="L172" s="23">
        <f>SUMIFS('Registre de reserves'!$X$2:$X$1178,'Registre de reserves'!$T$2:$T$1178,"SI",'Registre de reserves'!$I$2:$I$1178,'2023'!$A172,'Registre de reserves'!$B$2:$B$1178,'2023'!L$2,Tabla1[ANY],'2023'!$Z$150)</f>
        <v>0</v>
      </c>
      <c r="M172" s="21">
        <f t="shared" si="173"/>
        <v>0</v>
      </c>
      <c r="N172" s="23">
        <f>SUMIFS('Registre de reserves'!$X$2:$X$1178,'Registre de reserves'!$T$2:$T$1178,"SI",'Registre de reserves'!$I$2:$I$1178,'2023'!$A172,'Registre de reserves'!$B$2:$B$1178,'2023'!N$2,Tabla1[ANY],'2023'!$Z$150)</f>
        <v>55</v>
      </c>
      <c r="O172" s="21">
        <f t="shared" si="174"/>
        <v>0.19298245614035087</v>
      </c>
      <c r="P172" s="23">
        <f>SUMIFS('Registre de reserves'!$X$2:$X$1178,'Registre de reserves'!$T$2:$T$1178,"SI",'Registre de reserves'!$I$2:$I$1178,'2023'!$A172,'Registre de reserves'!$B$2:$B$1178,'2023'!P$2,Tabla1[ANY],'2023'!$Z$150)</f>
        <v>0</v>
      </c>
      <c r="Q172" s="21">
        <f t="shared" si="175"/>
        <v>0</v>
      </c>
      <c r="R172" s="23">
        <f>SUMIFS('Registre de reserves'!$X$2:$X$1178,'Registre de reserves'!$T$2:$T$1178,"SI",'Registre de reserves'!$I$2:$I$1178,'2023'!$A172,'Registre de reserves'!$B$2:$B$1178,'2023'!R$2,Tabla1[ANY],'2023'!$Z$150)</f>
        <v>20</v>
      </c>
      <c r="S172" s="21">
        <f t="shared" si="176"/>
        <v>0.10256410256410256</v>
      </c>
      <c r="T172" s="23">
        <f>SUMIFS('Registre de reserves'!$X$2:$X$1178,'Registre de reserves'!$T$2:$T$1178,"SI",'Registre de reserves'!$I$2:$I$1178,'2023'!$A172,'Registre de reserves'!$B$2:$B$1178,'2023'!T$2,Tabla1[ANY],'2023'!$Z$150)</f>
        <v>0</v>
      </c>
      <c r="U172" s="21">
        <f t="shared" si="177"/>
        <v>0</v>
      </c>
      <c r="V172" s="23">
        <f>SUMIFS('Registre de reserves'!$X$2:$X$1178,'Registre de reserves'!$T$2:$T$1178,"SI",'Registre de reserves'!$I$2:$I$1178,'2023'!$A172,'Registre de reserves'!$B$2:$B$1178,'2023'!V$2,Tabla1[ANY],'2023'!$Z$150)</f>
        <v>0</v>
      </c>
      <c r="W172" s="21">
        <f t="shared" si="178"/>
        <v>0</v>
      </c>
      <c r="X172" s="23">
        <f>SUMIFS('Registre de reserves'!$X$2:$X$1178,'Registre de reserves'!$T$2:$T$1178,"SI",'Registre de reserves'!$I$2:$I$1178,'2023'!$A172,'Registre de reserves'!$B$2:$B$1178,'2023'!X$2,Tabla1[ANY],'2023'!$Z$150)</f>
        <v>20</v>
      </c>
      <c r="Y172" s="21">
        <f t="shared" si="179"/>
        <v>0.1</v>
      </c>
      <c r="Z172" s="20">
        <f t="shared" si="168"/>
        <v>95</v>
      </c>
      <c r="AA172" s="21">
        <f t="shared" ref="AA172:AA178" si="181">IF(Z$22=0,0,Z172/Z$22)</f>
        <v>3.5984848484848488E-2</v>
      </c>
    </row>
    <row r="173" spans="1:27" hidden="1" outlineLevel="1" x14ac:dyDescent="0.2">
      <c r="A173" s="8" t="s">
        <v>4</v>
      </c>
      <c r="B173" s="23">
        <f>SUMIFS('Registre de reserves'!$X$2:$X$1178,'Registre de reserves'!$T$2:$T$1178,"SI",'Registre de reserves'!$I$2:$I$1178,'2023'!$A173,'Registre de reserves'!$B$2:$B$1178,'2023'!B$2,Tabla1[ANY],'2023'!$Z$150)</f>
        <v>0</v>
      </c>
      <c r="C173" s="21">
        <f t="shared" si="180"/>
        <v>0</v>
      </c>
      <c r="D173" s="23">
        <f>SUMIFS('Registre de reserves'!$X$2:$X$1178,'Registre de reserves'!$T$2:$T$1178,"SI",'Registre de reserves'!$I$2:$I$1178,'2023'!$A173,'Registre de reserves'!$B$2:$B$1178,'2023'!D$2,Tabla1[ANY],'2023'!$Z$150)</f>
        <v>150</v>
      </c>
      <c r="E173" s="21">
        <f t="shared" si="180"/>
        <v>0.7142857142857143</v>
      </c>
      <c r="F173" s="23">
        <f>SUMIFS('Registre de reserves'!$X$2:$X$1178,'Registre de reserves'!$T$2:$T$1178,"SI",'Registre de reserves'!$I$2:$I$1178,'2023'!$A173,'Registre de reserves'!$B$2:$B$1178,'2023'!F$2,Tabla1[ANY],'2023'!$Z$150)</f>
        <v>0</v>
      </c>
      <c r="G173" s="21">
        <f t="shared" si="170"/>
        <v>0</v>
      </c>
      <c r="H173" s="23">
        <f>SUMIFS('Registre de reserves'!$X$2:$X$1178,'Registre de reserves'!$T$2:$T$1178,"SI",'Registre de reserves'!$I$2:$I$1178,'2023'!$A173,'Registre de reserves'!$B$2:$B$1178,'2023'!H$2,Tabla1[ANY],'2023'!$Z$150)</f>
        <v>0</v>
      </c>
      <c r="I173" s="21">
        <f t="shared" si="171"/>
        <v>0</v>
      </c>
      <c r="J173" s="23">
        <f>SUMIFS('Registre de reserves'!$X$2:$X$1178,'Registre de reserves'!$T$2:$T$1178,"SI",'Registre de reserves'!$I$2:$I$1178,'2023'!$A173,'Registre de reserves'!$B$2:$B$1178,'2023'!J$2,Tabla1[ANY],'2023'!$Z$150)</f>
        <v>0</v>
      </c>
      <c r="K173" s="21">
        <f t="shared" si="172"/>
        <v>0</v>
      </c>
      <c r="L173" s="23">
        <f>SUMIFS('Registre de reserves'!$X$2:$X$1178,'Registre de reserves'!$T$2:$T$1178,"SI",'Registre de reserves'!$I$2:$I$1178,'2023'!$A173,'Registre de reserves'!$B$2:$B$1178,'2023'!L$2,Tabla1[ANY],'2023'!$Z$150)</f>
        <v>0</v>
      </c>
      <c r="M173" s="21">
        <f t="shared" si="173"/>
        <v>0</v>
      </c>
      <c r="N173" s="23">
        <f>SUMIFS('Registre de reserves'!$X$2:$X$1178,'Registre de reserves'!$T$2:$T$1178,"SI",'Registre de reserves'!$I$2:$I$1178,'2023'!$A173,'Registre de reserves'!$B$2:$B$1178,'2023'!N$2,Tabla1[ANY],'2023'!$Z$150)</f>
        <v>0</v>
      </c>
      <c r="O173" s="21">
        <f t="shared" si="174"/>
        <v>0</v>
      </c>
      <c r="P173" s="23">
        <f>SUMIFS('Registre de reserves'!$X$2:$X$1178,'Registre de reserves'!$T$2:$T$1178,"SI",'Registre de reserves'!$I$2:$I$1178,'2023'!$A173,'Registre de reserves'!$B$2:$B$1178,'2023'!P$2,Tabla1[ANY],'2023'!$Z$150)</f>
        <v>0</v>
      </c>
      <c r="Q173" s="21">
        <f t="shared" si="175"/>
        <v>0</v>
      </c>
      <c r="R173" s="23">
        <f>SUMIFS('Registre de reserves'!$X$2:$X$1178,'Registre de reserves'!$T$2:$T$1178,"SI",'Registre de reserves'!$I$2:$I$1178,'2023'!$A173,'Registre de reserves'!$B$2:$B$1178,'2023'!R$2,Tabla1[ANY],'2023'!$Z$150)</f>
        <v>0</v>
      </c>
      <c r="S173" s="21">
        <f t="shared" si="176"/>
        <v>0</v>
      </c>
      <c r="T173" s="23">
        <f>SUMIFS('Registre de reserves'!$X$2:$X$1178,'Registre de reserves'!$T$2:$T$1178,"SI",'Registre de reserves'!$I$2:$I$1178,'2023'!$A173,'Registre de reserves'!$B$2:$B$1178,'2023'!T$2,Tabla1[ANY],'2023'!$Z$150)</f>
        <v>0</v>
      </c>
      <c r="U173" s="21">
        <f t="shared" si="177"/>
        <v>0</v>
      </c>
      <c r="V173" s="23">
        <f>SUMIFS('Registre de reserves'!$X$2:$X$1178,'Registre de reserves'!$T$2:$T$1178,"SI",'Registre de reserves'!$I$2:$I$1178,'2023'!$A173,'Registre de reserves'!$B$2:$B$1178,'2023'!V$2,Tabla1[ANY],'2023'!$Z$150)</f>
        <v>0</v>
      </c>
      <c r="W173" s="21">
        <f t="shared" si="178"/>
        <v>0</v>
      </c>
      <c r="X173" s="23">
        <f>SUMIFS('Registre de reserves'!$X$2:$X$1178,'Registre de reserves'!$T$2:$T$1178,"SI",'Registre de reserves'!$I$2:$I$1178,'2023'!$A173,'Registre de reserves'!$B$2:$B$1178,'2023'!X$2,Tabla1[ANY],'2023'!$Z$150)</f>
        <v>0</v>
      </c>
      <c r="Y173" s="21">
        <f t="shared" si="179"/>
        <v>0</v>
      </c>
      <c r="Z173" s="20">
        <f t="shared" si="168"/>
        <v>150</v>
      </c>
      <c r="AA173" s="21">
        <f t="shared" si="181"/>
        <v>5.6818181818181816E-2</v>
      </c>
    </row>
    <row r="174" spans="1:27" hidden="1" outlineLevel="1" x14ac:dyDescent="0.2">
      <c r="A174" s="8" t="s">
        <v>71</v>
      </c>
      <c r="B174" s="23">
        <f>SUMIFS('Registre de reserves'!$X$2:$X$1178,'Registre de reserves'!$T$2:$T$1178,"SI",'Registre de reserves'!$I$2:$I$1178,'2023'!$A174,'Registre de reserves'!$B$2:$B$1178,'2023'!B$2,Tabla1[ANY],'2023'!$Z$150)</f>
        <v>0</v>
      </c>
      <c r="C174" s="21">
        <f t="shared" si="180"/>
        <v>0</v>
      </c>
      <c r="D174" s="23">
        <f>SUMIFS('Registre de reserves'!$X$2:$X$1178,'Registre de reserves'!$T$2:$T$1178,"SI",'Registre de reserves'!$I$2:$I$1178,'2023'!$A174,'Registre de reserves'!$B$2:$B$1178,'2023'!D$2,Tabla1[ANY],'2023'!$Z$150)</f>
        <v>0</v>
      </c>
      <c r="E174" s="21">
        <f t="shared" si="180"/>
        <v>0</v>
      </c>
      <c r="F174" s="23">
        <f>SUMIFS('Registre de reserves'!$X$2:$X$1178,'Registre de reserves'!$T$2:$T$1178,"SI",'Registre de reserves'!$I$2:$I$1178,'2023'!$A174,'Registre de reserves'!$B$2:$B$1178,'2023'!F$2,Tabla1[ANY],'2023'!$Z$150)</f>
        <v>0</v>
      </c>
      <c r="G174" s="21">
        <f t="shared" si="170"/>
        <v>0</v>
      </c>
      <c r="H174" s="23">
        <f>SUMIFS('Registre de reserves'!$X$2:$X$1178,'Registre de reserves'!$T$2:$T$1178,"SI",'Registre de reserves'!$I$2:$I$1178,'2023'!$A174,'Registre de reserves'!$B$2:$B$1178,'2023'!H$2,Tabla1[ANY],'2023'!$Z$150)</f>
        <v>0</v>
      </c>
      <c r="I174" s="21">
        <f t="shared" si="171"/>
        <v>0</v>
      </c>
      <c r="J174" s="23">
        <f>SUMIFS('Registre de reserves'!$X$2:$X$1178,'Registre de reserves'!$T$2:$T$1178,"SI",'Registre de reserves'!$I$2:$I$1178,'2023'!$A174,'Registre de reserves'!$B$2:$B$1178,'2023'!J$2,Tabla1[ANY],'2023'!$Z$150)</f>
        <v>0</v>
      </c>
      <c r="K174" s="21">
        <f t="shared" si="172"/>
        <v>0</v>
      </c>
      <c r="L174" s="23">
        <f>SUMIFS('Registre de reserves'!$X$2:$X$1178,'Registre de reserves'!$T$2:$T$1178,"SI",'Registre de reserves'!$I$2:$I$1178,'2023'!$A174,'Registre de reserves'!$B$2:$B$1178,'2023'!L$2,Tabla1[ANY],'2023'!$Z$150)</f>
        <v>0</v>
      </c>
      <c r="M174" s="21">
        <f t="shared" si="173"/>
        <v>0</v>
      </c>
      <c r="N174" s="23">
        <f>SUMIFS('Registre de reserves'!$X$2:$X$1178,'Registre de reserves'!$T$2:$T$1178,"SI",'Registre de reserves'!$I$2:$I$1178,'2023'!$A174,'Registre de reserves'!$B$2:$B$1178,'2023'!N$2,Tabla1[ANY],'2023'!$Z$150)</f>
        <v>0</v>
      </c>
      <c r="O174" s="21">
        <f t="shared" si="174"/>
        <v>0</v>
      </c>
      <c r="P174" s="23">
        <f>SUMIFS('Registre de reserves'!$X$2:$X$1178,'Registre de reserves'!$T$2:$T$1178,"SI",'Registre de reserves'!$I$2:$I$1178,'2023'!$A174,'Registre de reserves'!$B$2:$B$1178,'2023'!P$2,Tabla1[ANY],'2023'!$Z$150)</f>
        <v>0</v>
      </c>
      <c r="Q174" s="21">
        <f t="shared" si="175"/>
        <v>0</v>
      </c>
      <c r="R174" s="23">
        <f>SUMIFS('Registre de reserves'!$X$2:$X$1178,'Registre de reserves'!$T$2:$T$1178,"SI",'Registre de reserves'!$I$2:$I$1178,'2023'!$A174,'Registre de reserves'!$B$2:$B$1178,'2023'!R$2,Tabla1[ANY],'2023'!$Z$150)</f>
        <v>0</v>
      </c>
      <c r="S174" s="21">
        <f t="shared" si="176"/>
        <v>0</v>
      </c>
      <c r="T174" s="23">
        <f>SUMIFS('Registre de reserves'!$X$2:$X$1178,'Registre de reserves'!$T$2:$T$1178,"SI",'Registre de reserves'!$I$2:$I$1178,'2023'!$A174,'Registre de reserves'!$B$2:$B$1178,'2023'!T$2,Tabla1[ANY],'2023'!$Z$150)</f>
        <v>0</v>
      </c>
      <c r="U174" s="21">
        <f t="shared" si="177"/>
        <v>0</v>
      </c>
      <c r="V174" s="23">
        <f>SUMIFS('Registre de reserves'!$X$2:$X$1178,'Registre de reserves'!$T$2:$T$1178,"SI",'Registre de reserves'!$I$2:$I$1178,'2023'!$A174,'Registre de reserves'!$B$2:$B$1178,'2023'!V$2,Tabla1[ANY],'2023'!$Z$150)</f>
        <v>0</v>
      </c>
      <c r="W174" s="21">
        <f t="shared" si="178"/>
        <v>0</v>
      </c>
      <c r="X174" s="23">
        <f>SUMIFS('Registre de reserves'!$X$2:$X$1178,'Registre de reserves'!$T$2:$T$1178,"SI",'Registre de reserves'!$I$2:$I$1178,'2023'!$A174,'Registre de reserves'!$B$2:$B$1178,'2023'!X$2,Tabla1[ANY],'2023'!$Z$150)</f>
        <v>0</v>
      </c>
      <c r="Y174" s="21">
        <f t="shared" si="179"/>
        <v>0</v>
      </c>
      <c r="Z174" s="20">
        <f t="shared" si="168"/>
        <v>0</v>
      </c>
      <c r="AA174" s="21">
        <f t="shared" si="181"/>
        <v>0</v>
      </c>
    </row>
    <row r="175" spans="1:27" hidden="1" outlineLevel="1" x14ac:dyDescent="0.2">
      <c r="A175" s="8" t="s">
        <v>72</v>
      </c>
      <c r="B175" s="23">
        <f>SUMIFS('Registre de reserves'!$X$2:$X$1178,'Registre de reserves'!$T$2:$T$1178,"SI",'Registre de reserves'!$I$2:$I$1178,'2023'!$A175,'Registre de reserves'!$B$2:$B$1178,'2023'!B$2,Tabla1[ANY],'2023'!$Z$150)</f>
        <v>0</v>
      </c>
      <c r="C175" s="21">
        <f t="shared" si="180"/>
        <v>0</v>
      </c>
      <c r="D175" s="23">
        <f>SUMIFS('Registre de reserves'!$X$2:$X$1178,'Registre de reserves'!$T$2:$T$1178,"SI",'Registre de reserves'!$I$2:$I$1178,'2023'!$A175,'Registre de reserves'!$B$2:$B$1178,'2023'!D$2,Tabla1[ANY],'2023'!$Z$150)</f>
        <v>0</v>
      </c>
      <c r="E175" s="21">
        <f t="shared" si="180"/>
        <v>0</v>
      </c>
      <c r="F175" s="23">
        <f>SUMIFS('Registre de reserves'!$X$2:$X$1178,'Registre de reserves'!$T$2:$T$1178,"SI",'Registre de reserves'!$I$2:$I$1178,'2023'!$A175,'Registre de reserves'!$B$2:$B$1178,'2023'!F$2,Tabla1[ANY],'2023'!$Z$150)</f>
        <v>0</v>
      </c>
      <c r="G175" s="21">
        <f t="shared" si="170"/>
        <v>0</v>
      </c>
      <c r="H175" s="23">
        <f>SUMIFS('Registre de reserves'!$X$2:$X$1178,'Registre de reserves'!$T$2:$T$1178,"SI",'Registre de reserves'!$I$2:$I$1178,'2023'!$A175,'Registre de reserves'!$B$2:$B$1178,'2023'!H$2,Tabla1[ANY],'2023'!$Z$150)</f>
        <v>0</v>
      </c>
      <c r="I175" s="21">
        <f t="shared" si="171"/>
        <v>0</v>
      </c>
      <c r="J175" s="23">
        <f>SUMIFS('Registre de reserves'!$X$2:$X$1178,'Registre de reserves'!$T$2:$T$1178,"SI",'Registre de reserves'!$I$2:$I$1178,'2023'!$A175,'Registre de reserves'!$B$2:$B$1178,'2023'!J$2,Tabla1[ANY],'2023'!$Z$150)</f>
        <v>0</v>
      </c>
      <c r="K175" s="21">
        <f t="shared" si="172"/>
        <v>0</v>
      </c>
      <c r="L175" s="23">
        <f>SUMIFS('Registre de reserves'!$X$2:$X$1178,'Registre de reserves'!$T$2:$T$1178,"SI",'Registre de reserves'!$I$2:$I$1178,'2023'!$A175,'Registre de reserves'!$B$2:$B$1178,'2023'!L$2,Tabla1[ANY],'2023'!$Z$150)</f>
        <v>0</v>
      </c>
      <c r="M175" s="21">
        <f t="shared" si="173"/>
        <v>0</v>
      </c>
      <c r="N175" s="23">
        <f>SUMIFS('Registre de reserves'!$X$2:$X$1178,'Registre de reserves'!$T$2:$T$1178,"SI",'Registre de reserves'!$I$2:$I$1178,'2023'!$A175,'Registre de reserves'!$B$2:$B$1178,'2023'!N$2,Tabla1[ANY],'2023'!$Z$150)</f>
        <v>0</v>
      </c>
      <c r="O175" s="21">
        <f t="shared" si="174"/>
        <v>0</v>
      </c>
      <c r="P175" s="23">
        <f>SUMIFS('Registre de reserves'!$X$2:$X$1178,'Registre de reserves'!$T$2:$T$1178,"SI",'Registre de reserves'!$I$2:$I$1178,'2023'!$A175,'Registre de reserves'!$B$2:$B$1178,'2023'!P$2,Tabla1[ANY],'2023'!$Z$150)</f>
        <v>0</v>
      </c>
      <c r="Q175" s="21">
        <f t="shared" si="175"/>
        <v>0</v>
      </c>
      <c r="R175" s="23">
        <f>SUMIFS('Registre de reserves'!$X$2:$X$1178,'Registre de reserves'!$T$2:$T$1178,"SI",'Registre de reserves'!$I$2:$I$1178,'2023'!$A175,'Registre de reserves'!$B$2:$B$1178,'2023'!R$2,Tabla1[ANY],'2023'!$Z$150)</f>
        <v>0</v>
      </c>
      <c r="S175" s="21">
        <f t="shared" si="176"/>
        <v>0</v>
      </c>
      <c r="T175" s="23">
        <f>SUMIFS('Registre de reserves'!$X$2:$X$1178,'Registre de reserves'!$T$2:$T$1178,"SI",'Registre de reserves'!$I$2:$I$1178,'2023'!$A175,'Registre de reserves'!$B$2:$B$1178,'2023'!T$2,Tabla1[ANY],'2023'!$Z$150)</f>
        <v>0</v>
      </c>
      <c r="U175" s="21">
        <f t="shared" si="177"/>
        <v>0</v>
      </c>
      <c r="V175" s="23">
        <f>SUMIFS('Registre de reserves'!$X$2:$X$1178,'Registre de reserves'!$T$2:$T$1178,"SI",'Registre de reserves'!$I$2:$I$1178,'2023'!$A175,'Registre de reserves'!$B$2:$B$1178,'2023'!V$2,Tabla1[ANY],'2023'!$Z$150)</f>
        <v>0</v>
      </c>
      <c r="W175" s="21">
        <f t="shared" si="178"/>
        <v>0</v>
      </c>
      <c r="X175" s="23">
        <f>SUMIFS('Registre de reserves'!$X$2:$X$1178,'Registre de reserves'!$T$2:$T$1178,"SI",'Registre de reserves'!$I$2:$I$1178,'2023'!$A175,'Registre de reserves'!$B$2:$B$1178,'2023'!X$2,Tabla1[ANY],'2023'!$Z$150)</f>
        <v>0</v>
      </c>
      <c r="Y175" s="21">
        <f t="shared" si="179"/>
        <v>0</v>
      </c>
      <c r="Z175" s="20">
        <f t="shared" si="168"/>
        <v>0</v>
      </c>
      <c r="AA175" s="21">
        <f t="shared" si="181"/>
        <v>0</v>
      </c>
    </row>
    <row r="176" spans="1:27" hidden="1" outlineLevel="1" x14ac:dyDescent="0.2">
      <c r="A176" s="8" t="s">
        <v>69</v>
      </c>
      <c r="B176" s="23">
        <f>SUMIFS('Registre de reserves'!$X$2:$X$1178,'Registre de reserves'!$T$2:$T$1178,"SI",'Registre de reserves'!$I$2:$I$1178,'2023'!$A176,'Registre de reserves'!$B$2:$B$1178,'2023'!B$2,Tabla1[ANY],'2023'!$Z$150)</f>
        <v>250</v>
      </c>
      <c r="C176" s="21">
        <f t="shared" si="180"/>
        <v>0.80645161290322576</v>
      </c>
      <c r="D176" s="23">
        <f>SUMIFS('Registre de reserves'!$X$2:$X$1178,'Registre de reserves'!$T$2:$T$1178,"SI",'Registre de reserves'!$I$2:$I$1178,'2023'!$A176,'Registre de reserves'!$B$2:$B$1178,'2023'!D$2,Tabla1[ANY],'2023'!$Z$150)</f>
        <v>60</v>
      </c>
      <c r="E176" s="21">
        <f t="shared" si="180"/>
        <v>0.2857142857142857</v>
      </c>
      <c r="F176" s="23">
        <f>SUMIFS('Registre de reserves'!$X$2:$X$1178,'Registre de reserves'!$T$2:$T$1178,"SI",'Registre de reserves'!$I$2:$I$1178,'2023'!$A176,'Registre de reserves'!$B$2:$B$1178,'2023'!F$2,Tabla1[ANY],'2023'!$Z$150)</f>
        <v>180</v>
      </c>
      <c r="G176" s="21">
        <f t="shared" si="170"/>
        <v>1</v>
      </c>
      <c r="H176" s="23">
        <f>SUMIFS('Registre de reserves'!$X$2:$X$1178,'Registre de reserves'!$T$2:$T$1178,"SI",'Registre de reserves'!$I$2:$I$1178,'2023'!$A176,'Registre de reserves'!$B$2:$B$1178,'2023'!H$2,Tabla1[ANY],'2023'!$Z$150)</f>
        <v>120</v>
      </c>
      <c r="I176" s="21">
        <f t="shared" si="171"/>
        <v>1</v>
      </c>
      <c r="J176" s="23">
        <f>SUMIFS('Registre de reserves'!$X$2:$X$1178,'Registre de reserves'!$T$2:$T$1178,"SI",'Registre de reserves'!$I$2:$I$1178,'2023'!$A176,'Registre de reserves'!$B$2:$B$1178,'2023'!J$2,Tabla1[ANY],'2023'!$Z$150)</f>
        <v>180</v>
      </c>
      <c r="K176" s="21">
        <f t="shared" si="172"/>
        <v>1</v>
      </c>
      <c r="L176" s="23">
        <f>SUMIFS('Registre de reserves'!$X$2:$X$1178,'Registre de reserves'!$T$2:$T$1178,"SI",'Registre de reserves'!$I$2:$I$1178,'2023'!$A176,'Registre de reserves'!$B$2:$B$1178,'2023'!L$2,Tabla1[ANY],'2023'!$Z$150)</f>
        <v>60</v>
      </c>
      <c r="M176" s="21">
        <f t="shared" si="173"/>
        <v>1</v>
      </c>
      <c r="N176" s="23">
        <f>SUMIFS('Registre de reserves'!$X$2:$X$1178,'Registre de reserves'!$T$2:$T$1178,"SI",'Registre de reserves'!$I$2:$I$1178,'2023'!$A176,'Registre de reserves'!$B$2:$B$1178,'2023'!N$2,Tabla1[ANY],'2023'!$Z$150)</f>
        <v>230</v>
      </c>
      <c r="O176" s="21">
        <f t="shared" si="174"/>
        <v>0.80701754385964908</v>
      </c>
      <c r="P176" s="23">
        <f>SUMIFS('Registre de reserves'!$X$2:$X$1178,'Registre de reserves'!$T$2:$T$1178,"SI",'Registre de reserves'!$I$2:$I$1178,'2023'!$A176,'Registre de reserves'!$B$2:$B$1178,'2023'!P$2,Tabla1[ANY],'2023'!$Z$150)</f>
        <v>80</v>
      </c>
      <c r="Q176" s="21">
        <f t="shared" si="175"/>
        <v>1</v>
      </c>
      <c r="R176" s="23">
        <f>SUMIFS('Registre de reserves'!$X$2:$X$1178,'Registre de reserves'!$T$2:$T$1178,"SI",'Registre de reserves'!$I$2:$I$1178,'2023'!$A176,'Registre de reserves'!$B$2:$B$1178,'2023'!R$2,Tabla1[ANY],'2023'!$Z$150)</f>
        <v>0</v>
      </c>
      <c r="S176" s="21">
        <f t="shared" si="176"/>
        <v>0</v>
      </c>
      <c r="T176" s="23">
        <f>SUMIFS('Registre de reserves'!$X$2:$X$1178,'Registre de reserves'!$T$2:$T$1178,"SI",'Registre de reserves'!$I$2:$I$1178,'2023'!$A176,'Registre de reserves'!$B$2:$B$1178,'2023'!T$2,Tabla1[ANY],'2023'!$Z$150)</f>
        <v>110</v>
      </c>
      <c r="U176" s="21">
        <f t="shared" si="177"/>
        <v>0.57894736842105265</v>
      </c>
      <c r="V176" s="23">
        <f>SUMIFS('Registre de reserves'!$X$2:$X$1178,'Registre de reserves'!$T$2:$T$1178,"SI",'Registre de reserves'!$I$2:$I$1178,'2023'!$A176,'Registre de reserves'!$B$2:$B$1178,'2023'!V$2,Tabla1[ANY],'2023'!$Z$150)</f>
        <v>60</v>
      </c>
      <c r="W176" s="21">
        <f t="shared" si="178"/>
        <v>1</v>
      </c>
      <c r="X176" s="23">
        <f>SUMIFS('Registre de reserves'!$X$2:$X$1178,'Registre de reserves'!$T$2:$T$1178,"SI",'Registre de reserves'!$I$2:$I$1178,'2023'!$A176,'Registre de reserves'!$B$2:$B$1178,'2023'!X$2,Tabla1[ANY],'2023'!$Z$150)</f>
        <v>180</v>
      </c>
      <c r="Y176" s="21">
        <f t="shared" si="179"/>
        <v>0.9</v>
      </c>
      <c r="Z176" s="20">
        <f t="shared" si="168"/>
        <v>1510</v>
      </c>
      <c r="AA176" s="21">
        <f t="shared" si="181"/>
        <v>0.57196969696969702</v>
      </c>
    </row>
    <row r="177" spans="1:27" hidden="1" outlineLevel="1" x14ac:dyDescent="0.2">
      <c r="A177" s="8" t="s">
        <v>70</v>
      </c>
      <c r="B177" s="23">
        <f>SUMIFS('Registre de reserves'!$X$2:$X$1178,'Registre de reserves'!$T$2:$T$1178,"SI",'Registre de reserves'!$I$2:$I$1178,'2023'!$A177,'Registre de reserves'!$B$2:$B$1178,'2023'!B$2,Tabla1[ANY],'2023'!$Z$150)</f>
        <v>60</v>
      </c>
      <c r="C177" s="21">
        <f t="shared" si="180"/>
        <v>0.19354838709677419</v>
      </c>
      <c r="D177" s="23">
        <f>SUMIFS('Registre de reserves'!$X$2:$X$1178,'Registre de reserves'!$T$2:$T$1178,"SI",'Registre de reserves'!$I$2:$I$1178,'2023'!$A177,'Registre de reserves'!$B$2:$B$1178,'2023'!D$2,Tabla1[ANY],'2023'!$Z$150)</f>
        <v>0</v>
      </c>
      <c r="E177" s="21">
        <f t="shared" si="180"/>
        <v>0</v>
      </c>
      <c r="F177" s="23">
        <f>SUMIFS('Registre de reserves'!$X$2:$X$1178,'Registre de reserves'!$T$2:$T$1178,"SI",'Registre de reserves'!$I$2:$I$1178,'2023'!$A177,'Registre de reserves'!$B$2:$B$1178,'2023'!F$2,Tabla1[ANY],'2023'!$Z$150)</f>
        <v>0</v>
      </c>
      <c r="G177" s="21">
        <f t="shared" si="170"/>
        <v>0</v>
      </c>
      <c r="H177" s="23">
        <f>SUMIFS('Registre de reserves'!$X$2:$X$1178,'Registre de reserves'!$T$2:$T$1178,"SI",'Registre de reserves'!$I$2:$I$1178,'2023'!$A177,'Registre de reserves'!$B$2:$B$1178,'2023'!H$2,Tabla1[ANY],'2023'!$Z$150)</f>
        <v>0</v>
      </c>
      <c r="I177" s="21">
        <f t="shared" si="171"/>
        <v>0</v>
      </c>
      <c r="J177" s="23">
        <f>SUMIFS('Registre de reserves'!$X$2:$X$1178,'Registre de reserves'!$T$2:$T$1178,"SI",'Registre de reserves'!$I$2:$I$1178,'2023'!$A177,'Registre de reserves'!$B$2:$B$1178,'2023'!J$2,Tabla1[ANY],'2023'!$Z$150)</f>
        <v>0</v>
      </c>
      <c r="K177" s="21">
        <f t="shared" si="172"/>
        <v>0</v>
      </c>
      <c r="L177" s="23">
        <f>SUMIFS('Registre de reserves'!$X$2:$X$1178,'Registre de reserves'!$T$2:$T$1178,"SI",'Registre de reserves'!$I$2:$I$1178,'2023'!$A177,'Registre de reserves'!$B$2:$B$1178,'2023'!L$2,Tabla1[ANY],'2023'!$Z$150)</f>
        <v>0</v>
      </c>
      <c r="M177" s="21">
        <f t="shared" si="173"/>
        <v>0</v>
      </c>
      <c r="N177" s="23">
        <f>SUMIFS('Registre de reserves'!$X$2:$X$1178,'Registre de reserves'!$T$2:$T$1178,"SI",'Registre de reserves'!$I$2:$I$1178,'2023'!$A177,'Registre de reserves'!$B$2:$B$1178,'2023'!N$2,Tabla1[ANY],'2023'!$Z$150)</f>
        <v>0</v>
      </c>
      <c r="O177" s="21">
        <f t="shared" si="174"/>
        <v>0</v>
      </c>
      <c r="P177" s="23">
        <f>SUMIFS('Registre de reserves'!$X$2:$X$1178,'Registre de reserves'!$T$2:$T$1178,"SI",'Registre de reserves'!$I$2:$I$1178,'2023'!$A177,'Registre de reserves'!$B$2:$B$1178,'2023'!P$2,Tabla1[ANY],'2023'!$Z$150)</f>
        <v>0</v>
      </c>
      <c r="Q177" s="21">
        <f t="shared" si="175"/>
        <v>0</v>
      </c>
      <c r="R177" s="23">
        <f>SUMIFS('Registre de reserves'!$X$2:$X$1178,'Registre de reserves'!$T$2:$T$1178,"SI",'Registre de reserves'!$I$2:$I$1178,'2023'!$A177,'Registre de reserves'!$B$2:$B$1178,'2023'!R$2,Tabla1[ANY],'2023'!$Z$150)</f>
        <v>175</v>
      </c>
      <c r="S177" s="21">
        <f t="shared" si="176"/>
        <v>0.89743589743589747</v>
      </c>
      <c r="T177" s="23">
        <f>SUMIFS('Registre de reserves'!$X$2:$X$1178,'Registre de reserves'!$T$2:$T$1178,"SI",'Registre de reserves'!$I$2:$I$1178,'2023'!$A177,'Registre de reserves'!$B$2:$B$1178,'2023'!T$2,Tabla1[ANY],'2023'!$Z$150)</f>
        <v>80</v>
      </c>
      <c r="U177" s="21">
        <f t="shared" si="177"/>
        <v>0.42105263157894735</v>
      </c>
      <c r="V177" s="23">
        <f>SUMIFS('Registre de reserves'!$X$2:$X$1178,'Registre de reserves'!$T$2:$T$1178,"SI",'Registre de reserves'!$I$2:$I$1178,'2023'!$A177,'Registre de reserves'!$B$2:$B$1178,'2023'!V$2,Tabla1[ANY],'2023'!$Z$150)</f>
        <v>0</v>
      </c>
      <c r="W177" s="21">
        <f t="shared" si="178"/>
        <v>0</v>
      </c>
      <c r="X177" s="23">
        <f>SUMIFS('Registre de reserves'!$X$2:$X$1178,'Registre de reserves'!$T$2:$T$1178,"SI",'Registre de reserves'!$I$2:$I$1178,'2023'!$A177,'Registre de reserves'!$B$2:$B$1178,'2023'!X$2,Tabla1[ANY],'2023'!$Z$150)</f>
        <v>0</v>
      </c>
      <c r="Y177" s="21">
        <f t="shared" si="179"/>
        <v>0</v>
      </c>
      <c r="Z177" s="20">
        <f t="shared" si="168"/>
        <v>315</v>
      </c>
      <c r="AA177" s="21">
        <f t="shared" si="181"/>
        <v>0.11931818181818182</v>
      </c>
    </row>
    <row r="178" spans="1:27" hidden="1" outlineLevel="1" x14ac:dyDescent="0.2">
      <c r="A178" s="8" t="s">
        <v>73</v>
      </c>
      <c r="B178" s="23">
        <f>SUMIFS('Registre de reserves'!$X$2:$X$1178,'Registre de reserves'!$T$2:$T$1178,"SI",'Registre de reserves'!$I$2:$I$1178,'2023'!$A178,'Registre de reserves'!$B$2:$B$1178,'2023'!B$2,Tabla1[ANY],'2023'!$Z$150)</f>
        <v>0</v>
      </c>
      <c r="C178" s="21">
        <f t="shared" si="180"/>
        <v>0</v>
      </c>
      <c r="D178" s="23">
        <f>SUMIFS('Registre de reserves'!$X$2:$X$1178,'Registre de reserves'!$T$2:$T$1178,"SI",'Registre de reserves'!$I$2:$I$1178,'2023'!$A178,'Registre de reserves'!$B$2:$B$1178,'2023'!D$2,Tabla1[ANY],'2023'!$Z$150)</f>
        <v>0</v>
      </c>
      <c r="E178" s="21">
        <f t="shared" si="180"/>
        <v>0</v>
      </c>
      <c r="F178" s="23">
        <f>SUMIFS('Registre de reserves'!$X$2:$X$1178,'Registre de reserves'!$T$2:$T$1178,"SI",'Registre de reserves'!$I$2:$I$1178,'2023'!$A178,'Registre de reserves'!$B$2:$B$1178,'2023'!F$2,Tabla1[ANY],'2023'!$Z$150)</f>
        <v>0</v>
      </c>
      <c r="G178" s="21">
        <f t="shared" si="170"/>
        <v>0</v>
      </c>
      <c r="H178" s="23">
        <f>SUMIFS('Registre de reserves'!$X$2:$X$1178,'Registre de reserves'!$T$2:$T$1178,"SI",'Registre de reserves'!$I$2:$I$1178,'2023'!$A178,'Registre de reserves'!$B$2:$B$1178,'2023'!H$2,Tabla1[ANY],'2023'!$Z$150)</f>
        <v>0</v>
      </c>
      <c r="I178" s="21">
        <f t="shared" si="171"/>
        <v>0</v>
      </c>
      <c r="J178" s="23">
        <f>SUMIFS('Registre de reserves'!$X$2:$X$1178,'Registre de reserves'!$T$2:$T$1178,"SI",'Registre de reserves'!$I$2:$I$1178,'2023'!$A178,'Registre de reserves'!$B$2:$B$1178,'2023'!J$2,Tabla1[ANY],'2023'!$Z$150)</f>
        <v>0</v>
      </c>
      <c r="K178" s="21">
        <f t="shared" si="172"/>
        <v>0</v>
      </c>
      <c r="L178" s="23">
        <f>SUMIFS('Registre de reserves'!$X$2:$X$1178,'Registre de reserves'!$T$2:$T$1178,"SI",'Registre de reserves'!$I$2:$I$1178,'2023'!$A178,'Registre de reserves'!$B$2:$B$1178,'2023'!L$2,Tabla1[ANY],'2023'!$Z$150)</f>
        <v>0</v>
      </c>
      <c r="M178" s="21">
        <f t="shared" si="173"/>
        <v>0</v>
      </c>
      <c r="N178" s="23">
        <f>SUMIFS('Registre de reserves'!$X$2:$X$1178,'Registre de reserves'!$T$2:$T$1178,"SI",'Registre de reserves'!$I$2:$I$1178,'2023'!$A178,'Registre de reserves'!$B$2:$B$1178,'2023'!N$2,Tabla1[ANY],'2023'!$Z$150)</f>
        <v>0</v>
      </c>
      <c r="O178" s="21">
        <f t="shared" si="174"/>
        <v>0</v>
      </c>
      <c r="P178" s="23">
        <f>SUMIFS('Registre de reserves'!$X$2:$X$1178,'Registre de reserves'!$T$2:$T$1178,"SI",'Registre de reserves'!$I$2:$I$1178,'2023'!$A178,'Registre de reserves'!$B$2:$B$1178,'2023'!P$2,Tabla1[ANY],'2023'!$Z$150)</f>
        <v>0</v>
      </c>
      <c r="Q178" s="21">
        <f t="shared" si="175"/>
        <v>0</v>
      </c>
      <c r="R178" s="23">
        <f>SUMIFS('Registre de reserves'!$X$2:$X$1178,'Registre de reserves'!$T$2:$T$1178,"SI",'Registre de reserves'!$I$2:$I$1178,'2023'!$A178,'Registre de reserves'!$B$2:$B$1178,'2023'!R$2,Tabla1[ANY],'2023'!$Z$150)</f>
        <v>0</v>
      </c>
      <c r="S178" s="21">
        <f t="shared" si="176"/>
        <v>0</v>
      </c>
      <c r="T178" s="23">
        <f>SUMIFS('Registre de reserves'!$X$2:$X$1178,'Registre de reserves'!$T$2:$T$1178,"SI",'Registre de reserves'!$I$2:$I$1178,'2023'!$A178,'Registre de reserves'!$B$2:$B$1178,'2023'!T$2,Tabla1[ANY],'2023'!$Z$150)</f>
        <v>0</v>
      </c>
      <c r="U178" s="21">
        <f t="shared" si="177"/>
        <v>0</v>
      </c>
      <c r="V178" s="23">
        <f>SUMIFS('Registre de reserves'!$X$2:$X$1178,'Registre de reserves'!$T$2:$T$1178,"SI",'Registre de reserves'!$I$2:$I$1178,'2023'!$A178,'Registre de reserves'!$B$2:$B$1178,'2023'!V$2,Tabla1[ANY],'2023'!$Z$150)</f>
        <v>0</v>
      </c>
      <c r="W178" s="21">
        <f t="shared" si="178"/>
        <v>0</v>
      </c>
      <c r="X178" s="23">
        <f>SUMIFS('Registre de reserves'!$X$2:$X$1178,'Registre de reserves'!$T$2:$T$1178,"SI",'Registre de reserves'!$I$2:$I$1178,'2023'!$A178,'Registre de reserves'!$B$2:$B$1178,'2023'!X$2,Tabla1[ANY],'2023'!$Z$150)</f>
        <v>0</v>
      </c>
      <c r="Y178" s="21">
        <f t="shared" si="179"/>
        <v>0</v>
      </c>
      <c r="Z178" s="20">
        <f t="shared" si="168"/>
        <v>0</v>
      </c>
      <c r="AA178" s="21">
        <f t="shared" si="181"/>
        <v>0</v>
      </c>
    </row>
    <row r="179" spans="1:27" collapsed="1" x14ac:dyDescent="0.2">
      <c r="A179" s="33" t="s">
        <v>77</v>
      </c>
      <c r="B179" s="22">
        <f>SUM(B180:B187)</f>
        <v>0</v>
      </c>
      <c r="C179" s="19">
        <f>IF((B$161+B$179)=0,0,B179/(B$161+B$179))</f>
        <v>0</v>
      </c>
      <c r="D179" s="22">
        <f>SUM(D180:D187)</f>
        <v>0</v>
      </c>
      <c r="E179" s="19">
        <f>IF((D$161+D$179)=0,0,D179/(D$161+D$179))</f>
        <v>0</v>
      </c>
      <c r="F179" s="22">
        <f>SUM(F180:F187)</f>
        <v>0</v>
      </c>
      <c r="G179" s="19">
        <f>IF((F$161+F$179)=0,0,F179/(F$161+F$179))</f>
        <v>0</v>
      </c>
      <c r="H179" s="22">
        <f>SUM(H180:H187)</f>
        <v>0</v>
      </c>
      <c r="I179" s="19">
        <f>IF((H$161+H$179)=0,0,H179/(H$161+H$179))</f>
        <v>0</v>
      </c>
      <c r="J179" s="22">
        <f>SUM(J180:J187)</f>
        <v>0</v>
      </c>
      <c r="K179" s="19">
        <f>IF((J$161+J$179)=0,0,J179/(J$161+J$179))</f>
        <v>0</v>
      </c>
      <c r="L179" s="22">
        <f>SUM(L180:L187)</f>
        <v>0</v>
      </c>
      <c r="M179" s="19">
        <f>IF((L$161+L$179)=0,0,L179/(L$161+L$179))</f>
        <v>0</v>
      </c>
      <c r="N179" s="22">
        <f>SUM(N180:N187)</f>
        <v>0</v>
      </c>
      <c r="O179" s="19">
        <f>IF((N$161+N$179)=0,0,N179/(N$161+N$179))</f>
        <v>0</v>
      </c>
      <c r="P179" s="22">
        <f>SUM(P180:P187)</f>
        <v>0</v>
      </c>
      <c r="Q179" s="19">
        <f>IF((P$161+P$179)=0,0,P179/(P$161+P$179))</f>
        <v>0</v>
      </c>
      <c r="R179" s="22">
        <f>SUM(R180:R187)</f>
        <v>0</v>
      </c>
      <c r="S179" s="19">
        <f>IF((R$161+R$179)=0,0,R179/(R$161+R$179))</f>
        <v>0</v>
      </c>
      <c r="T179" s="22">
        <f>SUM(T180:T187)</f>
        <v>0</v>
      </c>
      <c r="U179" s="19">
        <f>IF((T$161+T$179)=0,0,T179/(T$161+T$179))</f>
        <v>0</v>
      </c>
      <c r="V179" s="22">
        <f>SUM(V180:V187)</f>
        <v>0</v>
      </c>
      <c r="W179" s="19">
        <f>IF((V$161+V$179)=0,0,V179/(V$161+V$179))</f>
        <v>0</v>
      </c>
      <c r="X179" s="22">
        <f>SUM(X180:X187)</f>
        <v>0</v>
      </c>
      <c r="Y179" s="19">
        <f>IF((X$161+X$179)=0,0,X179/(X$161+X$179))</f>
        <v>0</v>
      </c>
      <c r="Z179" s="22">
        <f>SUM(Z180:Z187)</f>
        <v>0</v>
      </c>
      <c r="AA179" s="19">
        <f>IF((Z$31+Z$13)=0,0,Z179/(Z$31+Z$13))</f>
        <v>0</v>
      </c>
    </row>
    <row r="180" spans="1:27" hidden="1" outlineLevel="1" x14ac:dyDescent="0.2">
      <c r="A180" s="8" t="s">
        <v>67</v>
      </c>
      <c r="B180" s="23">
        <f>SUMIFS('Registre de reserves'!$X$2:$X$1178,'Registre de reserves'!$T$2:$T$1178,"NO",'Registre de reserves'!$I$2:$I$1178,'2023'!$A180,'Registre de reserves'!$B$2:$B$1178,'2023'!B$2,Tabla1[ANY],'2023'!$Z$150)</f>
        <v>0</v>
      </c>
      <c r="C180" s="21">
        <f>IF(B$179=0,0,B180/B$179)</f>
        <v>0</v>
      </c>
      <c r="D180" s="23">
        <f>SUMIFS('Registre de reserves'!$X$2:$X$1178,'Registre de reserves'!$T$2:$T$1178,"NO",'Registre de reserves'!$I$2:$I$1178,'2023'!$A180,'Registre de reserves'!$B$2:$B$1178,'2023'!D$2,Tabla1[ANY],'2023'!$Z$150)</f>
        <v>0</v>
      </c>
      <c r="E180" s="21">
        <f>IF(D$179=0,0,D180/D$179)</f>
        <v>0</v>
      </c>
      <c r="F180" s="23">
        <f>SUMIFS('Registre de reserves'!$X$2:$X$1178,'Registre de reserves'!$T$2:$T$1178,"NO",'Registre de reserves'!$I$2:$I$1178,'2023'!$A180,'Registre de reserves'!$B$2:$B$1178,'2023'!F$2,Tabla1[ANY],'2023'!$Z$150)</f>
        <v>0</v>
      </c>
      <c r="G180" s="21">
        <f t="shared" ref="G180:G187" si="182">IF(F$179=0,0,F180/F$179)</f>
        <v>0</v>
      </c>
      <c r="H180" s="23">
        <f>SUMIFS('Registre de reserves'!$X$2:$X$1178,'Registre de reserves'!$T$2:$T$1178,"NO",'Registre de reserves'!$I$2:$I$1178,'2023'!$A180,'Registre de reserves'!$B$2:$B$1178,'2023'!H$2,Tabla1[ANY],'2023'!$Z$150)</f>
        <v>0</v>
      </c>
      <c r="I180" s="21">
        <f t="shared" ref="I180:I187" si="183">IF(H$179=0,0,H180/H$179)</f>
        <v>0</v>
      </c>
      <c r="J180" s="23">
        <f>SUMIFS('Registre de reserves'!$X$2:$X$1178,'Registre de reserves'!$T$2:$T$1178,"NO",'Registre de reserves'!$I$2:$I$1178,'2023'!$A180,'Registre de reserves'!$B$2:$B$1178,'2023'!J$2,Tabla1[ANY],'2023'!$Z$150)</f>
        <v>0</v>
      </c>
      <c r="K180" s="21">
        <f t="shared" ref="K180:K187" si="184">IF(J$179=0,0,J180/J$179)</f>
        <v>0</v>
      </c>
      <c r="L180" s="23">
        <f>SUMIFS('Registre de reserves'!$X$2:$X$1178,'Registre de reserves'!$T$2:$T$1178,"NO",'Registre de reserves'!$I$2:$I$1178,'2023'!$A180,'Registre de reserves'!$B$2:$B$1178,'2023'!L$2,Tabla1[ANY],'2023'!$Z$150)</f>
        <v>0</v>
      </c>
      <c r="M180" s="21">
        <f t="shared" ref="M180:M187" si="185">IF(L$179=0,0,L180/L$179)</f>
        <v>0</v>
      </c>
      <c r="N180" s="23">
        <f>SUMIFS('Registre de reserves'!$X$2:$X$1178,'Registre de reserves'!$T$2:$T$1178,"NO",'Registre de reserves'!$I$2:$I$1178,'2023'!$A180,'Registre de reserves'!$B$2:$B$1178,'2023'!N$2,Tabla1[ANY],'2023'!$Z$150)</f>
        <v>0</v>
      </c>
      <c r="O180" s="21">
        <f t="shared" ref="O180:O187" si="186">IF(N$179=0,0,N180/N$179)</f>
        <v>0</v>
      </c>
      <c r="P180" s="23">
        <f>SUMIFS('Registre de reserves'!$X$2:$X$1178,'Registre de reserves'!$T$2:$T$1178,"NO",'Registre de reserves'!$I$2:$I$1178,'2023'!$A180,'Registre de reserves'!$B$2:$B$1178,'2023'!P$2,Tabla1[ANY],'2023'!$Z$150)</f>
        <v>0</v>
      </c>
      <c r="Q180" s="21">
        <f t="shared" ref="Q180:Q187" si="187">IF(P$179=0,0,P180/P$179)</f>
        <v>0</v>
      </c>
      <c r="R180" s="23">
        <f>SUMIFS('Registre de reserves'!$X$2:$X$1178,'Registre de reserves'!$T$2:$T$1178,"NO",'Registre de reserves'!$I$2:$I$1178,'2023'!$A180,'Registre de reserves'!$B$2:$B$1178,'2023'!R$2,Tabla1[ANY],'2023'!$Z$150)</f>
        <v>0</v>
      </c>
      <c r="S180" s="21">
        <f t="shared" ref="S180:S187" si="188">IF(R$179=0,0,R180/R$179)</f>
        <v>0</v>
      </c>
      <c r="T180" s="23">
        <f>SUMIFS('Registre de reserves'!$X$2:$X$1178,'Registre de reserves'!$T$2:$T$1178,"NO",'Registre de reserves'!$I$2:$I$1178,'2023'!$A180,'Registre de reserves'!$B$2:$B$1178,'2023'!T$2,Tabla1[ANY],'2023'!$Z$150)</f>
        <v>0</v>
      </c>
      <c r="U180" s="21">
        <f t="shared" ref="U180:U187" si="189">IF(T$179=0,0,T180/T$179)</f>
        <v>0</v>
      </c>
      <c r="V180" s="23">
        <f>SUMIFS('Registre de reserves'!$X$2:$X$1178,'Registre de reserves'!$T$2:$T$1178,"NO",'Registre de reserves'!$I$2:$I$1178,'2023'!$A180,'Registre de reserves'!$B$2:$B$1178,'2023'!V$2,Tabla1[ANY],'2023'!$Z$150)</f>
        <v>0</v>
      </c>
      <c r="W180" s="21">
        <f t="shared" ref="W180:W187" si="190">IF(V$179=0,0,V180/V$179)</f>
        <v>0</v>
      </c>
      <c r="X180" s="23">
        <f>SUMIFS('Registre de reserves'!$X$2:$X$1178,'Registre de reserves'!$T$2:$T$1178,"NO",'Registre de reserves'!$I$2:$I$1178,'2023'!$A180,'Registre de reserves'!$B$2:$B$1178,'2023'!X$2,Tabla1[ANY],'2023'!$Z$150)</f>
        <v>0</v>
      </c>
      <c r="Y180" s="21">
        <f t="shared" ref="Y180:Y187" si="191">IF(X$179=0,0,X180/X$179)</f>
        <v>0</v>
      </c>
      <c r="Z180" s="20">
        <f t="shared" si="168"/>
        <v>0</v>
      </c>
      <c r="AA180" s="21">
        <f>IF(Z$31=0,0,Z180/Z$31)</f>
        <v>0</v>
      </c>
    </row>
    <row r="181" spans="1:27" hidden="1" outlineLevel="1" x14ac:dyDescent="0.2">
      <c r="A181" s="8" t="s">
        <v>68</v>
      </c>
      <c r="B181" s="23">
        <f>SUMIFS('Registre de reserves'!$X$2:$X$1178,'Registre de reserves'!$T$2:$T$1178,"NO",'Registre de reserves'!$I$2:$I$1178,'2023'!$A181,'Registre de reserves'!$B$2:$B$1178,'2023'!B$2,Tabla1[ANY],'2023'!$Z$150)</f>
        <v>0</v>
      </c>
      <c r="C181" s="21">
        <f t="shared" ref="C181:E187" si="192">IF(B$179=0,0,B181/B$179)</f>
        <v>0</v>
      </c>
      <c r="D181" s="23">
        <f>SUMIFS('Registre de reserves'!$X$2:$X$1178,'Registre de reserves'!$T$2:$T$1178,"NO",'Registre de reserves'!$I$2:$I$1178,'2023'!$A181,'Registre de reserves'!$B$2:$B$1178,'2023'!D$2,Tabla1[ANY],'2023'!$Z$150)</f>
        <v>0</v>
      </c>
      <c r="E181" s="21">
        <f t="shared" si="192"/>
        <v>0</v>
      </c>
      <c r="F181" s="23">
        <f>SUMIFS('Registre de reserves'!$X$2:$X$1178,'Registre de reserves'!$T$2:$T$1178,"NO",'Registre de reserves'!$I$2:$I$1178,'2023'!$A181,'Registre de reserves'!$B$2:$B$1178,'2023'!F$2,Tabla1[ANY],'2023'!$Z$150)</f>
        <v>0</v>
      </c>
      <c r="G181" s="21">
        <f t="shared" si="182"/>
        <v>0</v>
      </c>
      <c r="H181" s="23">
        <f>SUMIFS('Registre de reserves'!$X$2:$X$1178,'Registre de reserves'!$T$2:$T$1178,"NO",'Registre de reserves'!$I$2:$I$1178,'2023'!$A181,'Registre de reserves'!$B$2:$B$1178,'2023'!H$2,Tabla1[ANY],'2023'!$Z$150)</f>
        <v>0</v>
      </c>
      <c r="I181" s="21">
        <f t="shared" si="183"/>
        <v>0</v>
      </c>
      <c r="J181" s="23">
        <f>SUMIFS('Registre de reserves'!$X$2:$X$1178,'Registre de reserves'!$T$2:$T$1178,"NO",'Registre de reserves'!$I$2:$I$1178,'2023'!$A181,'Registre de reserves'!$B$2:$B$1178,'2023'!J$2,Tabla1[ANY],'2023'!$Z$150)</f>
        <v>0</v>
      </c>
      <c r="K181" s="21">
        <f t="shared" si="184"/>
        <v>0</v>
      </c>
      <c r="L181" s="23">
        <f>SUMIFS('Registre de reserves'!$X$2:$X$1178,'Registre de reserves'!$T$2:$T$1178,"NO",'Registre de reserves'!$I$2:$I$1178,'2023'!$A181,'Registre de reserves'!$B$2:$B$1178,'2023'!L$2,Tabla1[ANY],'2023'!$Z$150)</f>
        <v>0</v>
      </c>
      <c r="M181" s="21">
        <f t="shared" si="185"/>
        <v>0</v>
      </c>
      <c r="N181" s="23">
        <f>SUMIFS('Registre de reserves'!$X$2:$X$1178,'Registre de reserves'!$T$2:$T$1178,"NO",'Registre de reserves'!$I$2:$I$1178,'2023'!$A181,'Registre de reserves'!$B$2:$B$1178,'2023'!N$2,Tabla1[ANY],'2023'!$Z$150)</f>
        <v>0</v>
      </c>
      <c r="O181" s="21">
        <f t="shared" si="186"/>
        <v>0</v>
      </c>
      <c r="P181" s="23">
        <f>SUMIFS('Registre de reserves'!$X$2:$X$1178,'Registre de reserves'!$T$2:$T$1178,"NO",'Registre de reserves'!$I$2:$I$1178,'2023'!$A181,'Registre de reserves'!$B$2:$B$1178,'2023'!P$2,Tabla1[ANY],'2023'!$Z$150)</f>
        <v>0</v>
      </c>
      <c r="Q181" s="21">
        <f t="shared" si="187"/>
        <v>0</v>
      </c>
      <c r="R181" s="23">
        <f>SUMIFS('Registre de reserves'!$X$2:$X$1178,'Registre de reserves'!$T$2:$T$1178,"NO",'Registre de reserves'!$I$2:$I$1178,'2023'!$A181,'Registre de reserves'!$B$2:$B$1178,'2023'!R$2,Tabla1[ANY],'2023'!$Z$150)</f>
        <v>0</v>
      </c>
      <c r="S181" s="21">
        <f t="shared" si="188"/>
        <v>0</v>
      </c>
      <c r="T181" s="23">
        <f>SUMIFS('Registre de reserves'!$X$2:$X$1178,'Registre de reserves'!$T$2:$T$1178,"NO",'Registre de reserves'!$I$2:$I$1178,'2023'!$A181,'Registre de reserves'!$B$2:$B$1178,'2023'!T$2,Tabla1[ANY],'2023'!$Z$150)</f>
        <v>0</v>
      </c>
      <c r="U181" s="21">
        <f t="shared" si="189"/>
        <v>0</v>
      </c>
      <c r="V181" s="23">
        <f>SUMIFS('Registre de reserves'!$X$2:$X$1178,'Registre de reserves'!$T$2:$T$1178,"NO",'Registre de reserves'!$I$2:$I$1178,'2023'!$A181,'Registre de reserves'!$B$2:$B$1178,'2023'!V$2,Tabla1[ANY],'2023'!$Z$150)</f>
        <v>0</v>
      </c>
      <c r="W181" s="21">
        <f t="shared" si="190"/>
        <v>0</v>
      </c>
      <c r="X181" s="23">
        <f>SUMIFS('Registre de reserves'!$X$2:$X$1178,'Registre de reserves'!$T$2:$T$1178,"NO",'Registre de reserves'!$I$2:$I$1178,'2023'!$A181,'Registre de reserves'!$B$2:$B$1178,'2023'!X$2,Tabla1[ANY],'2023'!$Z$150)</f>
        <v>0</v>
      </c>
      <c r="Y181" s="21">
        <f t="shared" si="191"/>
        <v>0</v>
      </c>
      <c r="Z181" s="20">
        <f t="shared" si="168"/>
        <v>0</v>
      </c>
      <c r="AA181" s="21">
        <f t="shared" ref="AA181:AA187" si="193">IF(Z$31=0,0,Z181/Z$31)</f>
        <v>0</v>
      </c>
    </row>
    <row r="182" spans="1:27" hidden="1" outlineLevel="1" x14ac:dyDescent="0.2">
      <c r="A182" s="8" t="s">
        <v>4</v>
      </c>
      <c r="B182" s="23">
        <f>SUMIFS('Registre de reserves'!$X$2:$X$1178,'Registre de reserves'!$T$2:$T$1178,"NO",'Registre de reserves'!$I$2:$I$1178,'2023'!$A182,'Registre de reserves'!$B$2:$B$1178,'2023'!B$2,Tabla1[ANY],'2023'!$Z$150)</f>
        <v>0</v>
      </c>
      <c r="C182" s="21">
        <f t="shared" si="192"/>
        <v>0</v>
      </c>
      <c r="D182" s="23">
        <f>SUMIFS('Registre de reserves'!$X$2:$X$1178,'Registre de reserves'!$T$2:$T$1178,"NO",'Registre de reserves'!$I$2:$I$1178,'2023'!$A182,'Registre de reserves'!$B$2:$B$1178,'2023'!D$2,Tabla1[ANY],'2023'!$Z$150)</f>
        <v>0</v>
      </c>
      <c r="E182" s="21">
        <f t="shared" si="192"/>
        <v>0</v>
      </c>
      <c r="F182" s="23">
        <f>SUMIFS('Registre de reserves'!$X$2:$X$1178,'Registre de reserves'!$T$2:$T$1178,"NO",'Registre de reserves'!$I$2:$I$1178,'2023'!$A182,'Registre de reserves'!$B$2:$B$1178,'2023'!F$2,Tabla1[ANY],'2023'!$Z$150)</f>
        <v>0</v>
      </c>
      <c r="G182" s="21">
        <f t="shared" si="182"/>
        <v>0</v>
      </c>
      <c r="H182" s="23">
        <f>SUMIFS('Registre de reserves'!$X$2:$X$1178,'Registre de reserves'!$T$2:$T$1178,"NO",'Registre de reserves'!$I$2:$I$1178,'2023'!$A182,'Registre de reserves'!$B$2:$B$1178,'2023'!H$2,Tabla1[ANY],'2023'!$Z$150)</f>
        <v>0</v>
      </c>
      <c r="I182" s="21">
        <f t="shared" si="183"/>
        <v>0</v>
      </c>
      <c r="J182" s="23">
        <f>SUMIFS('Registre de reserves'!$X$2:$X$1178,'Registre de reserves'!$T$2:$T$1178,"NO",'Registre de reserves'!$I$2:$I$1178,'2023'!$A182,'Registre de reserves'!$B$2:$B$1178,'2023'!J$2,Tabla1[ANY],'2023'!$Z$150)</f>
        <v>0</v>
      </c>
      <c r="K182" s="21">
        <f t="shared" si="184"/>
        <v>0</v>
      </c>
      <c r="L182" s="23">
        <f>SUMIFS('Registre de reserves'!$X$2:$X$1178,'Registre de reserves'!$T$2:$T$1178,"NO",'Registre de reserves'!$I$2:$I$1178,'2023'!$A182,'Registre de reserves'!$B$2:$B$1178,'2023'!L$2,Tabla1[ANY],'2023'!$Z$150)</f>
        <v>0</v>
      </c>
      <c r="M182" s="21">
        <f t="shared" si="185"/>
        <v>0</v>
      </c>
      <c r="N182" s="23">
        <f>SUMIFS('Registre de reserves'!$X$2:$X$1178,'Registre de reserves'!$T$2:$T$1178,"NO",'Registre de reserves'!$I$2:$I$1178,'2023'!$A182,'Registre de reserves'!$B$2:$B$1178,'2023'!N$2,Tabla1[ANY],'2023'!$Z$150)</f>
        <v>0</v>
      </c>
      <c r="O182" s="21">
        <f t="shared" si="186"/>
        <v>0</v>
      </c>
      <c r="P182" s="23">
        <f>SUMIFS('Registre de reserves'!$X$2:$X$1178,'Registre de reserves'!$T$2:$T$1178,"NO",'Registre de reserves'!$I$2:$I$1178,'2023'!$A182,'Registre de reserves'!$B$2:$B$1178,'2023'!P$2,Tabla1[ANY],'2023'!$Z$150)</f>
        <v>0</v>
      </c>
      <c r="Q182" s="21">
        <f t="shared" si="187"/>
        <v>0</v>
      </c>
      <c r="R182" s="23">
        <f>SUMIFS('Registre de reserves'!$X$2:$X$1178,'Registre de reserves'!$T$2:$T$1178,"NO",'Registre de reserves'!$I$2:$I$1178,'2023'!$A182,'Registre de reserves'!$B$2:$B$1178,'2023'!R$2,Tabla1[ANY],'2023'!$Z$150)</f>
        <v>0</v>
      </c>
      <c r="S182" s="21">
        <f t="shared" si="188"/>
        <v>0</v>
      </c>
      <c r="T182" s="23">
        <f>SUMIFS('Registre de reserves'!$X$2:$X$1178,'Registre de reserves'!$T$2:$T$1178,"NO",'Registre de reserves'!$I$2:$I$1178,'2023'!$A182,'Registre de reserves'!$B$2:$B$1178,'2023'!T$2,Tabla1[ANY],'2023'!$Z$150)</f>
        <v>0</v>
      </c>
      <c r="U182" s="21">
        <f t="shared" si="189"/>
        <v>0</v>
      </c>
      <c r="V182" s="23">
        <f>SUMIFS('Registre de reserves'!$X$2:$X$1178,'Registre de reserves'!$T$2:$T$1178,"NO",'Registre de reserves'!$I$2:$I$1178,'2023'!$A182,'Registre de reserves'!$B$2:$B$1178,'2023'!V$2,Tabla1[ANY],'2023'!$Z$150)</f>
        <v>0</v>
      </c>
      <c r="W182" s="21">
        <f t="shared" si="190"/>
        <v>0</v>
      </c>
      <c r="X182" s="23">
        <f>SUMIFS('Registre de reserves'!$X$2:$X$1178,'Registre de reserves'!$T$2:$T$1178,"NO",'Registre de reserves'!$I$2:$I$1178,'2023'!$A182,'Registre de reserves'!$B$2:$B$1178,'2023'!X$2,Tabla1[ANY],'2023'!$Z$150)</f>
        <v>0</v>
      </c>
      <c r="Y182" s="21">
        <f t="shared" si="191"/>
        <v>0</v>
      </c>
      <c r="Z182" s="20">
        <f t="shared" si="168"/>
        <v>0</v>
      </c>
      <c r="AA182" s="21">
        <f t="shared" si="193"/>
        <v>0</v>
      </c>
    </row>
    <row r="183" spans="1:27" hidden="1" outlineLevel="1" x14ac:dyDescent="0.2">
      <c r="A183" s="8" t="s">
        <v>71</v>
      </c>
      <c r="B183" s="23">
        <f>SUMIFS('Registre de reserves'!$X$2:$X$1178,'Registre de reserves'!$T$2:$T$1178,"NO",'Registre de reserves'!$I$2:$I$1178,'2023'!$A183,'Registre de reserves'!$B$2:$B$1178,'2023'!B$2,Tabla1[ANY],'2023'!$Z$150)</f>
        <v>0</v>
      </c>
      <c r="C183" s="21">
        <f t="shared" si="192"/>
        <v>0</v>
      </c>
      <c r="D183" s="23">
        <f>SUMIFS('Registre de reserves'!$X$2:$X$1178,'Registre de reserves'!$T$2:$T$1178,"NO",'Registre de reserves'!$I$2:$I$1178,'2023'!$A183,'Registre de reserves'!$B$2:$B$1178,'2023'!D$2,Tabla1[ANY],'2023'!$Z$150)</f>
        <v>0</v>
      </c>
      <c r="E183" s="21">
        <f t="shared" si="192"/>
        <v>0</v>
      </c>
      <c r="F183" s="23">
        <f>SUMIFS('Registre de reserves'!$X$2:$X$1178,'Registre de reserves'!$T$2:$T$1178,"NO",'Registre de reserves'!$I$2:$I$1178,'2023'!$A183,'Registre de reserves'!$B$2:$B$1178,'2023'!F$2,Tabla1[ANY],'2023'!$Z$150)</f>
        <v>0</v>
      </c>
      <c r="G183" s="21">
        <f t="shared" si="182"/>
        <v>0</v>
      </c>
      <c r="H183" s="23">
        <f>SUMIFS('Registre de reserves'!$X$2:$X$1178,'Registre de reserves'!$T$2:$T$1178,"NO",'Registre de reserves'!$I$2:$I$1178,'2023'!$A183,'Registre de reserves'!$B$2:$B$1178,'2023'!H$2,Tabla1[ANY],'2023'!$Z$150)</f>
        <v>0</v>
      </c>
      <c r="I183" s="21">
        <f t="shared" si="183"/>
        <v>0</v>
      </c>
      <c r="J183" s="23">
        <f>SUMIFS('Registre de reserves'!$X$2:$X$1178,'Registre de reserves'!$T$2:$T$1178,"NO",'Registre de reserves'!$I$2:$I$1178,'2023'!$A183,'Registre de reserves'!$B$2:$B$1178,'2023'!J$2,Tabla1[ANY],'2023'!$Z$150)</f>
        <v>0</v>
      </c>
      <c r="K183" s="21">
        <f t="shared" si="184"/>
        <v>0</v>
      </c>
      <c r="L183" s="23">
        <f>SUMIFS('Registre de reserves'!$X$2:$X$1178,'Registre de reserves'!$T$2:$T$1178,"NO",'Registre de reserves'!$I$2:$I$1178,'2023'!$A183,'Registre de reserves'!$B$2:$B$1178,'2023'!L$2,Tabla1[ANY],'2023'!$Z$150)</f>
        <v>0</v>
      </c>
      <c r="M183" s="21">
        <f t="shared" si="185"/>
        <v>0</v>
      </c>
      <c r="N183" s="23">
        <f>SUMIFS('Registre de reserves'!$X$2:$X$1178,'Registre de reserves'!$T$2:$T$1178,"NO",'Registre de reserves'!$I$2:$I$1178,'2023'!$A183,'Registre de reserves'!$B$2:$B$1178,'2023'!N$2,Tabla1[ANY],'2023'!$Z$150)</f>
        <v>0</v>
      </c>
      <c r="O183" s="21">
        <f t="shared" si="186"/>
        <v>0</v>
      </c>
      <c r="P183" s="23">
        <f>SUMIFS('Registre de reserves'!$X$2:$X$1178,'Registre de reserves'!$T$2:$T$1178,"NO",'Registre de reserves'!$I$2:$I$1178,'2023'!$A183,'Registre de reserves'!$B$2:$B$1178,'2023'!P$2,Tabla1[ANY],'2023'!$Z$150)</f>
        <v>0</v>
      </c>
      <c r="Q183" s="21">
        <f t="shared" si="187"/>
        <v>0</v>
      </c>
      <c r="R183" s="23">
        <f>SUMIFS('Registre de reserves'!$X$2:$X$1178,'Registre de reserves'!$T$2:$T$1178,"NO",'Registre de reserves'!$I$2:$I$1178,'2023'!$A183,'Registre de reserves'!$B$2:$B$1178,'2023'!R$2,Tabla1[ANY],'2023'!$Z$150)</f>
        <v>0</v>
      </c>
      <c r="S183" s="21">
        <f t="shared" si="188"/>
        <v>0</v>
      </c>
      <c r="T183" s="23">
        <f>SUMIFS('Registre de reserves'!$X$2:$X$1178,'Registre de reserves'!$T$2:$T$1178,"NO",'Registre de reserves'!$I$2:$I$1178,'2023'!$A183,'Registre de reserves'!$B$2:$B$1178,'2023'!T$2,Tabla1[ANY],'2023'!$Z$150)</f>
        <v>0</v>
      </c>
      <c r="U183" s="21">
        <f t="shared" si="189"/>
        <v>0</v>
      </c>
      <c r="V183" s="23">
        <f>SUMIFS('Registre de reserves'!$X$2:$X$1178,'Registre de reserves'!$T$2:$T$1178,"NO",'Registre de reserves'!$I$2:$I$1178,'2023'!$A183,'Registre de reserves'!$B$2:$B$1178,'2023'!V$2,Tabla1[ANY],'2023'!$Z$150)</f>
        <v>0</v>
      </c>
      <c r="W183" s="21">
        <f t="shared" si="190"/>
        <v>0</v>
      </c>
      <c r="X183" s="23">
        <f>SUMIFS('Registre de reserves'!$X$2:$X$1178,'Registre de reserves'!$T$2:$T$1178,"NO",'Registre de reserves'!$I$2:$I$1178,'2023'!$A183,'Registre de reserves'!$B$2:$B$1178,'2023'!X$2,Tabla1[ANY],'2023'!$Z$150)</f>
        <v>0</v>
      </c>
      <c r="Y183" s="21">
        <f t="shared" si="191"/>
        <v>0</v>
      </c>
      <c r="Z183" s="20">
        <f t="shared" si="168"/>
        <v>0</v>
      </c>
      <c r="AA183" s="21">
        <f t="shared" si="193"/>
        <v>0</v>
      </c>
    </row>
    <row r="184" spans="1:27" hidden="1" outlineLevel="1" x14ac:dyDescent="0.2">
      <c r="A184" s="8" t="s">
        <v>72</v>
      </c>
      <c r="B184" s="23">
        <f>SUMIFS('Registre de reserves'!$X$2:$X$1178,'Registre de reserves'!$T$2:$T$1178,"NO",'Registre de reserves'!$I$2:$I$1178,'2023'!$A184,'Registre de reserves'!$B$2:$B$1178,'2023'!B$2,Tabla1[ANY],'2023'!$Z$150)</f>
        <v>0</v>
      </c>
      <c r="C184" s="21">
        <f t="shared" si="192"/>
        <v>0</v>
      </c>
      <c r="D184" s="23">
        <f>SUMIFS('Registre de reserves'!$X$2:$X$1178,'Registre de reserves'!$T$2:$T$1178,"NO",'Registre de reserves'!$I$2:$I$1178,'2023'!$A184,'Registre de reserves'!$B$2:$B$1178,'2023'!D$2,Tabla1[ANY],'2023'!$Z$150)</f>
        <v>0</v>
      </c>
      <c r="E184" s="21">
        <f t="shared" si="192"/>
        <v>0</v>
      </c>
      <c r="F184" s="23">
        <f>SUMIFS('Registre de reserves'!$X$2:$X$1178,'Registre de reserves'!$T$2:$T$1178,"NO",'Registre de reserves'!$I$2:$I$1178,'2023'!$A184,'Registre de reserves'!$B$2:$B$1178,'2023'!F$2,Tabla1[ANY],'2023'!$Z$150)</f>
        <v>0</v>
      </c>
      <c r="G184" s="21">
        <f t="shared" si="182"/>
        <v>0</v>
      </c>
      <c r="H184" s="23">
        <f>SUMIFS('Registre de reserves'!$X$2:$X$1178,'Registre de reserves'!$T$2:$T$1178,"NO",'Registre de reserves'!$I$2:$I$1178,'2023'!$A184,'Registre de reserves'!$B$2:$B$1178,'2023'!H$2,Tabla1[ANY],'2023'!$Z$150)</f>
        <v>0</v>
      </c>
      <c r="I184" s="21">
        <f t="shared" si="183"/>
        <v>0</v>
      </c>
      <c r="J184" s="23">
        <f>SUMIFS('Registre de reserves'!$X$2:$X$1178,'Registre de reserves'!$T$2:$T$1178,"NO",'Registre de reserves'!$I$2:$I$1178,'2023'!$A184,'Registre de reserves'!$B$2:$B$1178,'2023'!J$2,Tabla1[ANY],'2023'!$Z$150)</f>
        <v>0</v>
      </c>
      <c r="K184" s="21">
        <f t="shared" si="184"/>
        <v>0</v>
      </c>
      <c r="L184" s="23">
        <f>SUMIFS('Registre de reserves'!$X$2:$X$1178,'Registre de reserves'!$T$2:$T$1178,"NO",'Registre de reserves'!$I$2:$I$1178,'2023'!$A184,'Registre de reserves'!$B$2:$B$1178,'2023'!L$2,Tabla1[ANY],'2023'!$Z$150)</f>
        <v>0</v>
      </c>
      <c r="M184" s="21">
        <f t="shared" si="185"/>
        <v>0</v>
      </c>
      <c r="N184" s="23">
        <f>SUMIFS('Registre de reserves'!$X$2:$X$1178,'Registre de reserves'!$T$2:$T$1178,"NO",'Registre de reserves'!$I$2:$I$1178,'2023'!$A184,'Registre de reserves'!$B$2:$B$1178,'2023'!N$2,Tabla1[ANY],'2023'!$Z$150)</f>
        <v>0</v>
      </c>
      <c r="O184" s="21">
        <f t="shared" si="186"/>
        <v>0</v>
      </c>
      <c r="P184" s="23">
        <f>SUMIFS('Registre de reserves'!$X$2:$X$1178,'Registre de reserves'!$T$2:$T$1178,"NO",'Registre de reserves'!$I$2:$I$1178,'2023'!$A184,'Registre de reserves'!$B$2:$B$1178,'2023'!P$2,Tabla1[ANY],'2023'!$Z$150)</f>
        <v>0</v>
      </c>
      <c r="Q184" s="21">
        <f t="shared" si="187"/>
        <v>0</v>
      </c>
      <c r="R184" s="23">
        <f>SUMIFS('Registre de reserves'!$X$2:$X$1178,'Registre de reserves'!$T$2:$T$1178,"NO",'Registre de reserves'!$I$2:$I$1178,'2023'!$A184,'Registre de reserves'!$B$2:$B$1178,'2023'!R$2,Tabla1[ANY],'2023'!$Z$150)</f>
        <v>0</v>
      </c>
      <c r="S184" s="21">
        <f t="shared" si="188"/>
        <v>0</v>
      </c>
      <c r="T184" s="23">
        <f>SUMIFS('Registre de reserves'!$X$2:$X$1178,'Registre de reserves'!$T$2:$T$1178,"NO",'Registre de reserves'!$I$2:$I$1178,'2023'!$A184,'Registre de reserves'!$B$2:$B$1178,'2023'!T$2,Tabla1[ANY],'2023'!$Z$150)</f>
        <v>0</v>
      </c>
      <c r="U184" s="21">
        <f t="shared" si="189"/>
        <v>0</v>
      </c>
      <c r="V184" s="23">
        <f>SUMIFS('Registre de reserves'!$X$2:$X$1178,'Registre de reserves'!$T$2:$T$1178,"NO",'Registre de reserves'!$I$2:$I$1178,'2023'!$A184,'Registre de reserves'!$B$2:$B$1178,'2023'!V$2,Tabla1[ANY],'2023'!$Z$150)</f>
        <v>0</v>
      </c>
      <c r="W184" s="21">
        <f t="shared" si="190"/>
        <v>0</v>
      </c>
      <c r="X184" s="23">
        <f>SUMIFS('Registre de reserves'!$X$2:$X$1178,'Registre de reserves'!$T$2:$T$1178,"NO",'Registre de reserves'!$I$2:$I$1178,'2023'!$A184,'Registre de reserves'!$B$2:$B$1178,'2023'!X$2,Tabla1[ANY],'2023'!$Z$150)</f>
        <v>0</v>
      </c>
      <c r="Y184" s="21">
        <f t="shared" si="191"/>
        <v>0</v>
      </c>
      <c r="Z184" s="20">
        <f t="shared" si="168"/>
        <v>0</v>
      </c>
      <c r="AA184" s="21">
        <f t="shared" si="193"/>
        <v>0</v>
      </c>
    </row>
    <row r="185" spans="1:27" hidden="1" outlineLevel="1" x14ac:dyDescent="0.2">
      <c r="A185" s="8" t="s">
        <v>69</v>
      </c>
      <c r="B185" s="23">
        <f>SUMIFS('Registre de reserves'!$X$2:$X$1178,'Registre de reserves'!$T$2:$T$1178,"NO",'Registre de reserves'!$I$2:$I$1178,'2023'!$A185,'Registre de reserves'!$B$2:$B$1178,'2023'!B$2,Tabla1[ANY],'2023'!$Z$150)</f>
        <v>0</v>
      </c>
      <c r="C185" s="21">
        <f t="shared" si="192"/>
        <v>0</v>
      </c>
      <c r="D185" s="23">
        <f>SUMIFS('Registre de reserves'!$X$2:$X$1178,'Registre de reserves'!$T$2:$T$1178,"NO",'Registre de reserves'!$I$2:$I$1178,'2023'!$A185,'Registre de reserves'!$B$2:$B$1178,'2023'!D$2,Tabla1[ANY],'2023'!$Z$150)</f>
        <v>0</v>
      </c>
      <c r="E185" s="21">
        <f t="shared" si="192"/>
        <v>0</v>
      </c>
      <c r="F185" s="23">
        <f>SUMIFS('Registre de reserves'!$X$2:$X$1178,'Registre de reserves'!$T$2:$T$1178,"NO",'Registre de reserves'!$I$2:$I$1178,'2023'!$A185,'Registre de reserves'!$B$2:$B$1178,'2023'!F$2,Tabla1[ANY],'2023'!$Z$150)</f>
        <v>0</v>
      </c>
      <c r="G185" s="21">
        <f t="shared" si="182"/>
        <v>0</v>
      </c>
      <c r="H185" s="23">
        <f>SUMIFS('Registre de reserves'!$X$2:$X$1178,'Registre de reserves'!$T$2:$T$1178,"NO",'Registre de reserves'!$I$2:$I$1178,'2023'!$A185,'Registre de reserves'!$B$2:$B$1178,'2023'!H$2,Tabla1[ANY],'2023'!$Z$150)</f>
        <v>0</v>
      </c>
      <c r="I185" s="21">
        <f t="shared" si="183"/>
        <v>0</v>
      </c>
      <c r="J185" s="23">
        <f>SUMIFS('Registre de reserves'!$X$2:$X$1178,'Registre de reserves'!$T$2:$T$1178,"NO",'Registre de reserves'!$I$2:$I$1178,'2023'!$A185,'Registre de reserves'!$B$2:$B$1178,'2023'!J$2,Tabla1[ANY],'2023'!$Z$150)</f>
        <v>0</v>
      </c>
      <c r="K185" s="21">
        <f t="shared" si="184"/>
        <v>0</v>
      </c>
      <c r="L185" s="23">
        <f>SUMIFS('Registre de reserves'!$X$2:$X$1178,'Registre de reserves'!$T$2:$T$1178,"NO",'Registre de reserves'!$I$2:$I$1178,'2023'!$A185,'Registre de reserves'!$B$2:$B$1178,'2023'!L$2,Tabla1[ANY],'2023'!$Z$150)</f>
        <v>0</v>
      </c>
      <c r="M185" s="21">
        <f t="shared" si="185"/>
        <v>0</v>
      </c>
      <c r="N185" s="23">
        <f>SUMIFS('Registre de reserves'!$X$2:$X$1178,'Registre de reserves'!$T$2:$T$1178,"NO",'Registre de reserves'!$I$2:$I$1178,'2023'!$A185,'Registre de reserves'!$B$2:$B$1178,'2023'!N$2,Tabla1[ANY],'2023'!$Z$150)</f>
        <v>0</v>
      </c>
      <c r="O185" s="21">
        <f t="shared" si="186"/>
        <v>0</v>
      </c>
      <c r="P185" s="23">
        <f>SUMIFS('Registre de reserves'!$X$2:$X$1178,'Registre de reserves'!$T$2:$T$1178,"NO",'Registre de reserves'!$I$2:$I$1178,'2023'!$A185,'Registre de reserves'!$B$2:$B$1178,'2023'!P$2,Tabla1[ANY],'2023'!$Z$150)</f>
        <v>0</v>
      </c>
      <c r="Q185" s="21">
        <f t="shared" si="187"/>
        <v>0</v>
      </c>
      <c r="R185" s="23">
        <f>SUMIFS('Registre de reserves'!$X$2:$X$1178,'Registre de reserves'!$T$2:$T$1178,"NO",'Registre de reserves'!$I$2:$I$1178,'2023'!$A185,'Registre de reserves'!$B$2:$B$1178,'2023'!R$2,Tabla1[ANY],'2023'!$Z$150)</f>
        <v>0</v>
      </c>
      <c r="S185" s="21">
        <f t="shared" si="188"/>
        <v>0</v>
      </c>
      <c r="T185" s="23">
        <f>SUMIFS('Registre de reserves'!$X$2:$X$1178,'Registre de reserves'!$T$2:$T$1178,"NO",'Registre de reserves'!$I$2:$I$1178,'2023'!$A185,'Registre de reserves'!$B$2:$B$1178,'2023'!T$2,Tabla1[ANY],'2023'!$Z$150)</f>
        <v>0</v>
      </c>
      <c r="U185" s="21">
        <f t="shared" si="189"/>
        <v>0</v>
      </c>
      <c r="V185" s="23">
        <f>SUMIFS('Registre de reserves'!$X$2:$X$1178,'Registre de reserves'!$T$2:$T$1178,"NO",'Registre de reserves'!$I$2:$I$1178,'2023'!$A185,'Registre de reserves'!$B$2:$B$1178,'2023'!V$2,Tabla1[ANY],'2023'!$Z$150)</f>
        <v>0</v>
      </c>
      <c r="W185" s="21">
        <f t="shared" si="190"/>
        <v>0</v>
      </c>
      <c r="X185" s="23">
        <f>SUMIFS('Registre de reserves'!$X$2:$X$1178,'Registre de reserves'!$T$2:$T$1178,"NO",'Registre de reserves'!$I$2:$I$1178,'2023'!$A185,'Registre de reserves'!$B$2:$B$1178,'2023'!X$2,Tabla1[ANY],'2023'!$Z$150)</f>
        <v>0</v>
      </c>
      <c r="Y185" s="21">
        <f t="shared" si="191"/>
        <v>0</v>
      </c>
      <c r="Z185" s="20">
        <f t="shared" si="168"/>
        <v>0</v>
      </c>
      <c r="AA185" s="21">
        <f t="shared" si="193"/>
        <v>0</v>
      </c>
    </row>
    <row r="186" spans="1:27" hidden="1" outlineLevel="1" x14ac:dyDescent="0.2">
      <c r="A186" s="8" t="s">
        <v>70</v>
      </c>
      <c r="B186" s="23">
        <f>SUMIFS('Registre de reserves'!$X$2:$X$1178,'Registre de reserves'!$T$2:$T$1178,"NO",'Registre de reserves'!$I$2:$I$1178,'2023'!$A186,'Registre de reserves'!$B$2:$B$1178,'2023'!B$2,Tabla1[ANY],'2023'!$Z$150)</f>
        <v>0</v>
      </c>
      <c r="C186" s="21">
        <f t="shared" si="192"/>
        <v>0</v>
      </c>
      <c r="D186" s="23">
        <f>SUMIFS('Registre de reserves'!$X$2:$X$1178,'Registre de reserves'!$T$2:$T$1178,"NO",'Registre de reserves'!$I$2:$I$1178,'2023'!$A186,'Registre de reserves'!$B$2:$B$1178,'2023'!D$2,Tabla1[ANY],'2023'!$Z$150)</f>
        <v>0</v>
      </c>
      <c r="E186" s="21">
        <f t="shared" si="192"/>
        <v>0</v>
      </c>
      <c r="F186" s="23">
        <f>SUMIFS('Registre de reserves'!$X$2:$X$1178,'Registre de reserves'!$T$2:$T$1178,"NO",'Registre de reserves'!$I$2:$I$1178,'2023'!$A186,'Registre de reserves'!$B$2:$B$1178,'2023'!F$2,Tabla1[ANY],'2023'!$Z$150)</f>
        <v>0</v>
      </c>
      <c r="G186" s="21">
        <f t="shared" si="182"/>
        <v>0</v>
      </c>
      <c r="H186" s="23">
        <f>SUMIFS('Registre de reserves'!$X$2:$X$1178,'Registre de reserves'!$T$2:$T$1178,"NO",'Registre de reserves'!$I$2:$I$1178,'2023'!$A186,'Registre de reserves'!$B$2:$B$1178,'2023'!H$2,Tabla1[ANY],'2023'!$Z$150)</f>
        <v>0</v>
      </c>
      <c r="I186" s="21">
        <f t="shared" si="183"/>
        <v>0</v>
      </c>
      <c r="J186" s="23">
        <f>SUMIFS('Registre de reserves'!$X$2:$X$1178,'Registre de reserves'!$T$2:$T$1178,"NO",'Registre de reserves'!$I$2:$I$1178,'2023'!$A186,'Registre de reserves'!$B$2:$B$1178,'2023'!J$2,Tabla1[ANY],'2023'!$Z$150)</f>
        <v>0</v>
      </c>
      <c r="K186" s="21">
        <f t="shared" si="184"/>
        <v>0</v>
      </c>
      <c r="L186" s="23">
        <f>SUMIFS('Registre de reserves'!$X$2:$X$1178,'Registre de reserves'!$T$2:$T$1178,"NO",'Registre de reserves'!$I$2:$I$1178,'2023'!$A186,'Registre de reserves'!$B$2:$B$1178,'2023'!L$2,Tabla1[ANY],'2023'!$Z$150)</f>
        <v>0</v>
      </c>
      <c r="M186" s="21">
        <f t="shared" si="185"/>
        <v>0</v>
      </c>
      <c r="N186" s="23">
        <f>SUMIFS('Registre de reserves'!$X$2:$X$1178,'Registre de reserves'!$T$2:$T$1178,"NO",'Registre de reserves'!$I$2:$I$1178,'2023'!$A186,'Registre de reserves'!$B$2:$B$1178,'2023'!N$2,Tabla1[ANY],'2023'!$Z$150)</f>
        <v>0</v>
      </c>
      <c r="O186" s="21">
        <f t="shared" si="186"/>
        <v>0</v>
      </c>
      <c r="P186" s="23">
        <f>SUMIFS('Registre de reserves'!$X$2:$X$1178,'Registre de reserves'!$T$2:$T$1178,"NO",'Registre de reserves'!$I$2:$I$1178,'2023'!$A186,'Registre de reserves'!$B$2:$B$1178,'2023'!P$2,Tabla1[ANY],'2023'!$Z$150)</f>
        <v>0</v>
      </c>
      <c r="Q186" s="21">
        <f t="shared" si="187"/>
        <v>0</v>
      </c>
      <c r="R186" s="23">
        <f>SUMIFS('Registre de reserves'!$X$2:$X$1178,'Registre de reserves'!$T$2:$T$1178,"NO",'Registre de reserves'!$I$2:$I$1178,'2023'!$A186,'Registre de reserves'!$B$2:$B$1178,'2023'!R$2,Tabla1[ANY],'2023'!$Z$150)</f>
        <v>0</v>
      </c>
      <c r="S186" s="21">
        <f t="shared" si="188"/>
        <v>0</v>
      </c>
      <c r="T186" s="23">
        <f>SUMIFS('Registre de reserves'!$X$2:$X$1178,'Registre de reserves'!$T$2:$T$1178,"NO",'Registre de reserves'!$I$2:$I$1178,'2023'!$A186,'Registre de reserves'!$B$2:$B$1178,'2023'!T$2,Tabla1[ANY],'2023'!$Z$150)</f>
        <v>0</v>
      </c>
      <c r="U186" s="21">
        <f t="shared" si="189"/>
        <v>0</v>
      </c>
      <c r="V186" s="23">
        <f>SUMIFS('Registre de reserves'!$X$2:$X$1178,'Registre de reserves'!$T$2:$T$1178,"NO",'Registre de reserves'!$I$2:$I$1178,'2023'!$A186,'Registre de reserves'!$B$2:$B$1178,'2023'!V$2,Tabla1[ANY],'2023'!$Z$150)</f>
        <v>0</v>
      </c>
      <c r="W186" s="21">
        <f t="shared" si="190"/>
        <v>0</v>
      </c>
      <c r="X186" s="23">
        <f>SUMIFS('Registre de reserves'!$X$2:$X$1178,'Registre de reserves'!$T$2:$T$1178,"NO",'Registre de reserves'!$I$2:$I$1178,'2023'!$A186,'Registre de reserves'!$B$2:$B$1178,'2023'!X$2,Tabla1[ANY],'2023'!$Z$150)</f>
        <v>0</v>
      </c>
      <c r="Y186" s="21">
        <f t="shared" si="191"/>
        <v>0</v>
      </c>
      <c r="Z186" s="20">
        <f t="shared" si="168"/>
        <v>0</v>
      </c>
      <c r="AA186" s="21">
        <f t="shared" si="193"/>
        <v>0</v>
      </c>
    </row>
    <row r="187" spans="1:27" hidden="1" outlineLevel="1" x14ac:dyDescent="0.2">
      <c r="A187" s="8" t="s">
        <v>73</v>
      </c>
      <c r="B187" s="23">
        <f>SUMIFS('Registre de reserves'!$X$2:$X$1178,'Registre de reserves'!$T$2:$T$1178,"NO",'Registre de reserves'!$I$2:$I$1178,'2023'!$A187,'Registre de reserves'!$B$2:$B$1178,'2023'!B$2,Tabla1[ANY],'2023'!$Z$150)</f>
        <v>0</v>
      </c>
      <c r="C187" s="21">
        <f t="shared" si="192"/>
        <v>0</v>
      </c>
      <c r="D187" s="23">
        <f>SUMIFS('Registre de reserves'!$X$2:$X$1178,'Registre de reserves'!$T$2:$T$1178,"NO",'Registre de reserves'!$I$2:$I$1178,'2023'!$A187,'Registre de reserves'!$B$2:$B$1178,'2023'!D$2,Tabla1[ANY],'2023'!$Z$150)</f>
        <v>0</v>
      </c>
      <c r="E187" s="21">
        <f t="shared" si="192"/>
        <v>0</v>
      </c>
      <c r="F187" s="23">
        <f>SUMIFS('Registre de reserves'!$X$2:$X$1178,'Registre de reserves'!$T$2:$T$1178,"NO",'Registre de reserves'!$I$2:$I$1178,'2023'!$A187,'Registre de reserves'!$B$2:$B$1178,'2023'!F$2,Tabla1[ANY],'2023'!$Z$150)</f>
        <v>0</v>
      </c>
      <c r="G187" s="21">
        <f t="shared" si="182"/>
        <v>0</v>
      </c>
      <c r="H187" s="23">
        <f>SUMIFS('Registre de reserves'!$X$2:$X$1178,'Registre de reserves'!$T$2:$T$1178,"NO",'Registre de reserves'!$I$2:$I$1178,'2023'!$A187,'Registre de reserves'!$B$2:$B$1178,'2023'!H$2,Tabla1[ANY],'2023'!$Z$150)</f>
        <v>0</v>
      </c>
      <c r="I187" s="21">
        <f t="shared" si="183"/>
        <v>0</v>
      </c>
      <c r="J187" s="23">
        <f>SUMIFS('Registre de reserves'!$X$2:$X$1178,'Registre de reserves'!$T$2:$T$1178,"NO",'Registre de reserves'!$I$2:$I$1178,'2023'!$A187,'Registre de reserves'!$B$2:$B$1178,'2023'!J$2,Tabla1[ANY],'2023'!$Z$150)</f>
        <v>0</v>
      </c>
      <c r="K187" s="21">
        <f t="shared" si="184"/>
        <v>0</v>
      </c>
      <c r="L187" s="23">
        <f>SUMIFS('Registre de reserves'!$X$2:$X$1178,'Registre de reserves'!$T$2:$T$1178,"NO",'Registre de reserves'!$I$2:$I$1178,'2023'!$A187,'Registre de reserves'!$B$2:$B$1178,'2023'!L$2,Tabla1[ANY],'2023'!$Z$150)</f>
        <v>0</v>
      </c>
      <c r="M187" s="21">
        <f t="shared" si="185"/>
        <v>0</v>
      </c>
      <c r="N187" s="23">
        <f>SUMIFS('Registre de reserves'!$X$2:$X$1178,'Registre de reserves'!$T$2:$T$1178,"NO",'Registre de reserves'!$I$2:$I$1178,'2023'!$A187,'Registre de reserves'!$B$2:$B$1178,'2023'!N$2,Tabla1[ANY],'2023'!$Z$150)</f>
        <v>0</v>
      </c>
      <c r="O187" s="21">
        <f t="shared" si="186"/>
        <v>0</v>
      </c>
      <c r="P187" s="23">
        <f>SUMIFS('Registre de reserves'!$X$2:$X$1178,'Registre de reserves'!$T$2:$T$1178,"NO",'Registre de reserves'!$I$2:$I$1178,'2023'!$A187,'Registre de reserves'!$B$2:$B$1178,'2023'!P$2,Tabla1[ANY],'2023'!$Z$150)</f>
        <v>0</v>
      </c>
      <c r="Q187" s="21">
        <f t="shared" si="187"/>
        <v>0</v>
      </c>
      <c r="R187" s="23">
        <f>SUMIFS('Registre de reserves'!$X$2:$X$1178,'Registre de reserves'!$T$2:$T$1178,"NO",'Registre de reserves'!$I$2:$I$1178,'2023'!$A187,'Registre de reserves'!$B$2:$B$1178,'2023'!R$2,Tabla1[ANY],'2023'!$Z$150)</f>
        <v>0</v>
      </c>
      <c r="S187" s="21">
        <f t="shared" si="188"/>
        <v>0</v>
      </c>
      <c r="T187" s="23">
        <f>SUMIFS('Registre de reserves'!$X$2:$X$1178,'Registre de reserves'!$T$2:$T$1178,"NO",'Registre de reserves'!$I$2:$I$1178,'2023'!$A187,'Registre de reserves'!$B$2:$B$1178,'2023'!T$2,Tabla1[ANY],'2023'!$Z$150)</f>
        <v>0</v>
      </c>
      <c r="U187" s="21">
        <f t="shared" si="189"/>
        <v>0</v>
      </c>
      <c r="V187" s="23">
        <f>SUMIFS('Registre de reserves'!$X$2:$X$1178,'Registre de reserves'!$T$2:$T$1178,"NO",'Registre de reserves'!$I$2:$I$1178,'2023'!$A187,'Registre de reserves'!$B$2:$B$1178,'2023'!V$2,Tabla1[ANY],'2023'!$Z$150)</f>
        <v>0</v>
      </c>
      <c r="W187" s="21">
        <f t="shared" si="190"/>
        <v>0</v>
      </c>
      <c r="X187" s="23">
        <f>SUMIFS('Registre de reserves'!$X$2:$X$1178,'Registre de reserves'!$T$2:$T$1178,"NO",'Registre de reserves'!$I$2:$I$1178,'2023'!$A187,'Registre de reserves'!$B$2:$B$1178,'2023'!X$2,Tabla1[ANY],'2023'!$Z$150)</f>
        <v>0</v>
      </c>
      <c r="Y187" s="21">
        <f t="shared" si="191"/>
        <v>0</v>
      </c>
      <c r="Z187" s="20">
        <f t="shared" si="168"/>
        <v>0</v>
      </c>
      <c r="AA187" s="21">
        <f t="shared" si="193"/>
        <v>0</v>
      </c>
    </row>
    <row r="188" spans="1:27" ht="15.75" collapsed="1" thickBot="1" x14ac:dyDescent="0.25">
      <c r="A188" s="14" t="s">
        <v>78</v>
      </c>
      <c r="B188" s="24">
        <f>B189+B197</f>
        <v>665</v>
      </c>
      <c r="C188" s="25">
        <f>IF(B151=0,0,B188/B151)</f>
        <v>0.21178343949044587</v>
      </c>
      <c r="D188" s="24">
        <f>D189+D197</f>
        <v>742.1</v>
      </c>
      <c r="E188" s="25">
        <f>IF(D151=0,0,D188/D151)</f>
        <v>0.26315602836879431</v>
      </c>
      <c r="F188" s="24">
        <f>F189+F197</f>
        <v>300</v>
      </c>
      <c r="G188" s="25">
        <f>IF(F151=0,0,F188/F151)</f>
        <v>0.11834319526627218</v>
      </c>
      <c r="H188" s="24">
        <f>H189+H197</f>
        <v>390</v>
      </c>
      <c r="I188" s="25">
        <f>IF(H151=0,0,H188/H151)</f>
        <v>0.12037037037037036</v>
      </c>
      <c r="J188" s="24">
        <f>J189+J197</f>
        <v>415</v>
      </c>
      <c r="K188" s="25">
        <f>IF(J151=0,0,J188/J151)</f>
        <v>0.1788793103448276</v>
      </c>
      <c r="L188" s="24">
        <f>L189+L197</f>
        <v>375</v>
      </c>
      <c r="M188" s="25">
        <f>IF(L151=0,0,L188/L151)</f>
        <v>0.15856236786469344</v>
      </c>
      <c r="N188" s="24">
        <f>N189+N197</f>
        <v>510</v>
      </c>
      <c r="O188" s="25">
        <f>IF(N151=0,0,N188/N151)</f>
        <v>0.2073170731707317</v>
      </c>
      <c r="P188" s="24">
        <f>P189+P197</f>
        <v>150</v>
      </c>
      <c r="Q188" s="25">
        <f>IF(P151=0,0,P188/P151)</f>
        <v>0.1388888888888889</v>
      </c>
      <c r="R188" s="24">
        <f>R189+R197</f>
        <v>355</v>
      </c>
      <c r="S188" s="25">
        <f>IF(R151=0,0,R188/R151)</f>
        <v>0.13003663003663005</v>
      </c>
      <c r="T188" s="24">
        <f>T189+T197</f>
        <v>460</v>
      </c>
      <c r="U188" s="25">
        <f>IF(T151=0,0,T188/T151)</f>
        <v>0.19700214132762311</v>
      </c>
      <c r="V188" s="24">
        <f>V189+V197</f>
        <v>360</v>
      </c>
      <c r="W188" s="25">
        <f>IF(V151=0,0,V188/V151)</f>
        <v>0.23376623376623376</v>
      </c>
      <c r="X188" s="24">
        <f>X189+X197</f>
        <v>1013.16</v>
      </c>
      <c r="Y188" s="25">
        <f>IF(X188=0,0,X188/X188)</f>
        <v>1</v>
      </c>
      <c r="Z188" s="24">
        <f>Z189+Z197</f>
        <v>5735.26</v>
      </c>
      <c r="AA188" s="25">
        <f>IF(Z151=0,0,Z188/Z151)</f>
        <v>0.186028543626338</v>
      </c>
    </row>
    <row r="189" spans="1:27" x14ac:dyDescent="0.2">
      <c r="A189" s="33" t="s">
        <v>79</v>
      </c>
      <c r="B189" s="18">
        <f>SUM(B190:B196)</f>
        <v>150</v>
      </c>
      <c r="C189" s="19">
        <f>IF(B$188=0,0,B189/B$188)</f>
        <v>0.22556390977443608</v>
      </c>
      <c r="D189" s="18">
        <f>SUM(D190:D196)</f>
        <v>150</v>
      </c>
      <c r="E189" s="19">
        <f>IF(D$188=0,0,D189/D$188)</f>
        <v>0.20212909311413554</v>
      </c>
      <c r="F189" s="18">
        <f>SUM(F190:F196)</f>
        <v>150</v>
      </c>
      <c r="G189" s="19">
        <f>IF(F$188=0,0,F189/F$188)</f>
        <v>0.5</v>
      </c>
      <c r="H189" s="18">
        <f>SUM(H190:H196)</f>
        <v>150</v>
      </c>
      <c r="I189" s="19">
        <f>IF(H$188=0,0,H189/H$188)</f>
        <v>0.38461538461538464</v>
      </c>
      <c r="J189" s="18">
        <f>SUM(J190:J196)</f>
        <v>150</v>
      </c>
      <c r="K189" s="19">
        <f>IF(J$188=0,0,J189/J$188)</f>
        <v>0.36144578313253012</v>
      </c>
      <c r="L189" s="18">
        <f>SUM(L190:L196)</f>
        <v>150</v>
      </c>
      <c r="M189" s="19">
        <f>IF(L$188=0,0,L189/L$188)</f>
        <v>0.4</v>
      </c>
      <c r="N189" s="18">
        <f>SUM(N190:N196)</f>
        <v>150</v>
      </c>
      <c r="O189" s="19">
        <f>IF(N$188=0,0,N189/N$188)</f>
        <v>0.29411764705882354</v>
      </c>
      <c r="P189" s="18">
        <f>SUM(P190:P196)</f>
        <v>150</v>
      </c>
      <c r="Q189" s="19">
        <f>IF(P$188=0,0,P189/P$188)</f>
        <v>1</v>
      </c>
      <c r="R189" s="18">
        <f>SUM(R190:R196)</f>
        <v>150</v>
      </c>
      <c r="S189" s="19">
        <f>IF(R$188=0,0,R189/R$188)</f>
        <v>0.42253521126760563</v>
      </c>
      <c r="T189" s="18">
        <f>SUM(T190:T196)</f>
        <v>150</v>
      </c>
      <c r="U189" s="19">
        <f>IF(T$188=0,0,T189/T$188)</f>
        <v>0.32608695652173914</v>
      </c>
      <c r="V189" s="18">
        <f>SUM(V190:V196)</f>
        <v>150</v>
      </c>
      <c r="W189" s="19">
        <f>IF(V$188=0,0,V189/V$188)</f>
        <v>0.41666666666666669</v>
      </c>
      <c r="X189" s="18">
        <f>SUM(X190:X196)</f>
        <v>150</v>
      </c>
      <c r="Y189" s="19">
        <f>IF(X$188=0,0,X189/X$188)</f>
        <v>0.14805164041217578</v>
      </c>
      <c r="Z189" s="18">
        <f>SUM(Z190:Z196)</f>
        <v>1800</v>
      </c>
      <c r="AA189" s="19">
        <f>IF(Z$40=0,0,Z189/Z$40)</f>
        <v>0.10654074276926771</v>
      </c>
    </row>
    <row r="190" spans="1:27" hidden="1" outlineLevel="1" x14ac:dyDescent="0.2">
      <c r="A190" s="8" t="s">
        <v>16</v>
      </c>
      <c r="B190" s="20">
        <f>SUMIFS(Tabla2[B],Tabla2[ANY],$Z$150,Tabla2[MES],'2023'!B$2,Tabla2[TIPUS],'2023'!$A190)</f>
        <v>150</v>
      </c>
      <c r="C190" s="21">
        <f>IF(B$189=0,0,B190/B$189)</f>
        <v>1</v>
      </c>
      <c r="D190" s="20">
        <f>SUMIFS(Tabla2[B],Tabla2[ANY],$Z$150,Tabla2[MES],'2023'!D$2,Tabla2[TIPUS],'2023'!$A190)</f>
        <v>150</v>
      </c>
      <c r="E190" s="21">
        <f>IF(D$189=0,0,D190/D$189)</f>
        <v>1</v>
      </c>
      <c r="F190" s="20">
        <f>SUMIFS(Tabla2[B],Tabla2[ANY],$Z$150,Tabla2[MES],'2023'!F$2,Tabla2[TIPUS],'2023'!$A190)</f>
        <v>150</v>
      </c>
      <c r="G190" s="21">
        <f t="shared" ref="G190:G196" si="194">IF(F$189=0,0,F190/F$189)</f>
        <v>1</v>
      </c>
      <c r="H190" s="20">
        <f>SUMIFS(Tabla2[B],Tabla2[ANY],$Z$150,Tabla2[MES],'2023'!H$2,Tabla2[TIPUS],'2023'!$A190)</f>
        <v>150</v>
      </c>
      <c r="I190" s="21">
        <f t="shared" ref="I190:I196" si="195">IF(H$189=0,0,H190/H$189)</f>
        <v>1</v>
      </c>
      <c r="J190" s="20">
        <f>SUMIFS(Tabla2[B],Tabla2[ANY],$Z$150,Tabla2[MES],'2023'!J$2,Tabla2[TIPUS],'2023'!$A190)</f>
        <v>150</v>
      </c>
      <c r="K190" s="21">
        <f t="shared" ref="K190:K196" si="196">IF(J$189=0,0,J190/J$189)</f>
        <v>1</v>
      </c>
      <c r="L190" s="20">
        <f>SUMIFS(Tabla2[B],Tabla2[ANY],$Z$150,Tabla2[MES],'2023'!L$2,Tabla2[TIPUS],'2023'!$A190)</f>
        <v>150</v>
      </c>
      <c r="M190" s="21">
        <f t="shared" ref="M190:M196" si="197">IF(L$189=0,0,L190/L$189)</f>
        <v>1</v>
      </c>
      <c r="N190" s="20">
        <f>SUMIFS(Tabla2[B],Tabla2[ANY],$Z$150,Tabla2[MES],'2023'!N$2,Tabla2[TIPUS],'2023'!$A190)</f>
        <v>150</v>
      </c>
      <c r="O190" s="21">
        <f t="shared" ref="O190:O196" si="198">IF(N$189=0,0,N190/N$189)</f>
        <v>1</v>
      </c>
      <c r="P190" s="20">
        <f>SUMIFS(Tabla2[B],Tabla2[ANY],$Z$150,Tabla2[MES],'2023'!P$2,Tabla2[TIPUS],'2023'!$A190)</f>
        <v>150</v>
      </c>
      <c r="Q190" s="21">
        <f t="shared" ref="Q190:Q196" si="199">IF(P$189=0,0,P190/P$189)</f>
        <v>1</v>
      </c>
      <c r="R190" s="20">
        <f>SUMIFS(Tabla2[B],Tabla2[ANY],$Z$150,Tabla2[MES],'2023'!R$2,Tabla2[TIPUS],'2023'!$A190)</f>
        <v>150</v>
      </c>
      <c r="S190" s="21">
        <f t="shared" ref="S190:S196" si="200">IF(R$189=0,0,R190/R$189)</f>
        <v>1</v>
      </c>
      <c r="T190" s="20">
        <f>SUMIFS(Tabla2[B],Tabla2[ANY],$Z$150,Tabla2[MES],'2023'!T$2,Tabla2[TIPUS],'2023'!$A190)</f>
        <v>150</v>
      </c>
      <c r="U190" s="21">
        <f t="shared" ref="U190:U196" si="201">IF(T$189=0,0,T190/T$189)</f>
        <v>1</v>
      </c>
      <c r="V190" s="20">
        <f>SUMIFS(Tabla2[B],Tabla2[ANY],$Z$150,Tabla2[MES],'2023'!V$2,Tabla2[TIPUS],'2023'!$A190)</f>
        <v>150</v>
      </c>
      <c r="W190" s="21">
        <f t="shared" ref="W190:W196" si="202">IF(V$189=0,0,V190/V$189)</f>
        <v>1</v>
      </c>
      <c r="X190" s="20">
        <f>SUMIFS(Tabla2[B],Tabla2[ANY],$Z$150,Tabla2[MES],'2023'!X$2,Tabla2[TIPUS],'2023'!$A190)</f>
        <v>150</v>
      </c>
      <c r="Y190" s="21">
        <f t="shared" ref="Y190:Y196" si="203">IF(X$189=0,0,X190/X$189)</f>
        <v>1</v>
      </c>
      <c r="Z190" s="20">
        <f t="shared" ref="Z190:Z202" si="204">B190+D190+F190+H190+J190+L190+N190+P190+R190+T190+V190+X190</f>
        <v>1800</v>
      </c>
      <c r="AA190" s="21">
        <f>IF(Z$41=0,0,Z190/Z$41)</f>
        <v>0.20211978741489914</v>
      </c>
    </row>
    <row r="191" spans="1:27" hidden="1" outlineLevel="1" x14ac:dyDescent="0.2">
      <c r="A191" s="8" t="s">
        <v>17</v>
      </c>
      <c r="B191" s="20">
        <f>SUMIFS(Tabla2[B],Tabla2[ANY],$Z$150,Tabla2[MES],'2023'!B$2,Tabla2[TIPUS],'2023'!$A191)</f>
        <v>0</v>
      </c>
      <c r="C191" s="21">
        <f t="shared" ref="C191:E196" si="205">IF(B$189=0,0,B191/B$189)</f>
        <v>0</v>
      </c>
      <c r="D191" s="20">
        <f>SUMIFS(Tabla2[B],Tabla2[ANY],$Z$150,Tabla2[MES],'2023'!D$2,Tabla2[TIPUS],'2023'!$A191)</f>
        <v>0</v>
      </c>
      <c r="E191" s="21">
        <f t="shared" si="205"/>
        <v>0</v>
      </c>
      <c r="F191" s="20">
        <f>SUMIFS(Tabla2[B],Tabla2[ANY],$Z$150,Tabla2[MES],'2023'!F$2,Tabla2[TIPUS],'2023'!$A191)</f>
        <v>0</v>
      </c>
      <c r="G191" s="21">
        <f t="shared" si="194"/>
        <v>0</v>
      </c>
      <c r="H191" s="20">
        <f>SUMIFS(Tabla2[B],Tabla2[ANY],$Z$150,Tabla2[MES],'2023'!H$2,Tabla2[TIPUS],'2023'!$A191)</f>
        <v>0</v>
      </c>
      <c r="I191" s="21">
        <f t="shared" si="195"/>
        <v>0</v>
      </c>
      <c r="J191" s="20">
        <f>SUMIFS(Tabla2[B],Tabla2[ANY],$Z$150,Tabla2[MES],'2023'!J$2,Tabla2[TIPUS],'2023'!$A191)</f>
        <v>0</v>
      </c>
      <c r="K191" s="21">
        <f t="shared" si="196"/>
        <v>0</v>
      </c>
      <c r="L191" s="20">
        <f>SUMIFS(Tabla2[B],Tabla2[ANY],$Z$150,Tabla2[MES],'2023'!L$2,Tabla2[TIPUS],'2023'!$A191)</f>
        <v>0</v>
      </c>
      <c r="M191" s="21">
        <f t="shared" si="197"/>
        <v>0</v>
      </c>
      <c r="N191" s="20">
        <f>SUMIFS(Tabla2[B],Tabla2[ANY],$Z$150,Tabla2[MES],'2023'!N$2,Tabla2[TIPUS],'2023'!$A191)</f>
        <v>0</v>
      </c>
      <c r="O191" s="21">
        <f t="shared" si="198"/>
        <v>0</v>
      </c>
      <c r="P191" s="20">
        <f>SUMIFS(Tabla2[B],Tabla2[ANY],$Z$150,Tabla2[MES],'2023'!P$2,Tabla2[TIPUS],'2023'!$A191)</f>
        <v>0</v>
      </c>
      <c r="Q191" s="21">
        <f t="shared" si="199"/>
        <v>0</v>
      </c>
      <c r="R191" s="20">
        <f>SUMIFS(Tabla2[B],Tabla2[ANY],$Z$150,Tabla2[MES],'2023'!R$2,Tabla2[TIPUS],'2023'!$A191)</f>
        <v>0</v>
      </c>
      <c r="S191" s="21">
        <f t="shared" si="200"/>
        <v>0</v>
      </c>
      <c r="T191" s="20">
        <f>SUMIFS(Tabla2[B],Tabla2[ANY],$Z$150,Tabla2[MES],'2023'!T$2,Tabla2[TIPUS],'2023'!$A191)</f>
        <v>0</v>
      </c>
      <c r="U191" s="21">
        <f t="shared" si="201"/>
        <v>0</v>
      </c>
      <c r="V191" s="20">
        <f>SUMIFS(Tabla2[B],Tabla2[ANY],$Z$150,Tabla2[MES],'2023'!V$2,Tabla2[TIPUS],'2023'!$A191)</f>
        <v>0</v>
      </c>
      <c r="W191" s="21">
        <f t="shared" si="202"/>
        <v>0</v>
      </c>
      <c r="X191" s="20">
        <f>SUMIFS(Tabla2[B],Tabla2[ANY],$Z$150,Tabla2[MES],'2023'!X$2,Tabla2[TIPUS],'2023'!$A191)</f>
        <v>0</v>
      </c>
      <c r="Y191" s="21">
        <f t="shared" si="203"/>
        <v>0</v>
      </c>
      <c r="Z191" s="20">
        <f t="shared" si="204"/>
        <v>0</v>
      </c>
      <c r="AA191" s="21">
        <f t="shared" ref="AA191:AA196" si="206">IF(Z$41=0,0,Z191/Z$41)</f>
        <v>0</v>
      </c>
    </row>
    <row r="192" spans="1:27" hidden="1" outlineLevel="1" x14ac:dyDescent="0.2">
      <c r="A192" s="8" t="s">
        <v>85</v>
      </c>
      <c r="B192" s="20">
        <f>SUMIFS(Tabla2[B],Tabla2[ANY],$Z$150,Tabla2[MES],'2023'!B$2,Tabla2[TIPUS],'2023'!$A192)</f>
        <v>0</v>
      </c>
      <c r="C192" s="21">
        <f t="shared" si="205"/>
        <v>0</v>
      </c>
      <c r="D192" s="20">
        <f>SUMIFS(Tabla2[B],Tabla2[ANY],$Z$150,Tabla2[MES],'2023'!D$2,Tabla2[TIPUS],'2023'!$A192)</f>
        <v>0</v>
      </c>
      <c r="E192" s="21">
        <f t="shared" si="205"/>
        <v>0</v>
      </c>
      <c r="F192" s="20">
        <f>SUMIFS(Tabla2[B],Tabla2[ANY],$Z$150,Tabla2[MES],'2023'!F$2,Tabla2[TIPUS],'2023'!$A192)</f>
        <v>0</v>
      </c>
      <c r="G192" s="21">
        <f t="shared" si="194"/>
        <v>0</v>
      </c>
      <c r="H192" s="20">
        <f>SUMIFS(Tabla2[B],Tabla2[ANY],$Z$150,Tabla2[MES],'2023'!H$2,Tabla2[TIPUS],'2023'!$A192)</f>
        <v>0</v>
      </c>
      <c r="I192" s="21">
        <f t="shared" si="195"/>
        <v>0</v>
      </c>
      <c r="J192" s="20">
        <f>SUMIFS(Tabla2[B],Tabla2[ANY],$Z$150,Tabla2[MES],'2023'!J$2,Tabla2[TIPUS],'2023'!$A192)</f>
        <v>0</v>
      </c>
      <c r="K192" s="21">
        <f t="shared" si="196"/>
        <v>0</v>
      </c>
      <c r="L192" s="20">
        <f>SUMIFS(Tabla2[B],Tabla2[ANY],$Z$150,Tabla2[MES],'2023'!L$2,Tabla2[TIPUS],'2023'!$A192)</f>
        <v>0</v>
      </c>
      <c r="M192" s="21">
        <f t="shared" si="197"/>
        <v>0</v>
      </c>
      <c r="N192" s="20">
        <f>SUMIFS(Tabla2[B],Tabla2[ANY],$Z$150,Tabla2[MES],'2023'!N$2,Tabla2[TIPUS],'2023'!$A192)</f>
        <v>0</v>
      </c>
      <c r="O192" s="21">
        <f t="shared" si="198"/>
        <v>0</v>
      </c>
      <c r="P192" s="20">
        <f>SUMIFS(Tabla2[B],Tabla2[ANY],$Z$150,Tabla2[MES],'2023'!P$2,Tabla2[TIPUS],'2023'!$A192)</f>
        <v>0</v>
      </c>
      <c r="Q192" s="21">
        <f t="shared" si="199"/>
        <v>0</v>
      </c>
      <c r="R192" s="20">
        <f>SUMIFS(Tabla2[B],Tabla2[ANY],$Z$150,Tabla2[MES],'2023'!R$2,Tabla2[TIPUS],'2023'!$A192)</f>
        <v>0</v>
      </c>
      <c r="S192" s="21">
        <f t="shared" si="200"/>
        <v>0</v>
      </c>
      <c r="T192" s="20">
        <f>SUMIFS(Tabla2[B],Tabla2[ANY],$Z$150,Tabla2[MES],'2023'!T$2,Tabla2[TIPUS],'2023'!$A192)</f>
        <v>0</v>
      </c>
      <c r="U192" s="21">
        <f t="shared" si="201"/>
        <v>0</v>
      </c>
      <c r="V192" s="20">
        <f>SUMIFS(Tabla2[B],Tabla2[ANY],$Z$150,Tabla2[MES],'2023'!V$2,Tabla2[TIPUS],'2023'!$A192)</f>
        <v>0</v>
      </c>
      <c r="W192" s="21">
        <f t="shared" si="202"/>
        <v>0</v>
      </c>
      <c r="X192" s="20">
        <f>SUMIFS(Tabla2[B],Tabla2[ANY],$Z$150,Tabla2[MES],'2023'!X$2,Tabla2[TIPUS],'2023'!$A192)</f>
        <v>0</v>
      </c>
      <c r="Y192" s="21">
        <f t="shared" si="203"/>
        <v>0</v>
      </c>
      <c r="Z192" s="20">
        <f t="shared" si="204"/>
        <v>0</v>
      </c>
      <c r="AA192" s="21">
        <f t="shared" si="206"/>
        <v>0</v>
      </c>
    </row>
    <row r="193" spans="1:27" hidden="1" outlineLevel="1" x14ac:dyDescent="0.2">
      <c r="A193" s="8" t="s">
        <v>94</v>
      </c>
      <c r="B193" s="20">
        <f>SUMIFS(Tabla2[B],Tabla2[ANY],$Z$150,Tabla2[MES],'2023'!B$2,Tabla2[TIPUS],'2023'!$A193)</f>
        <v>0</v>
      </c>
      <c r="C193" s="21">
        <f t="shared" si="205"/>
        <v>0</v>
      </c>
      <c r="D193" s="20">
        <f>SUMIFS(Tabla2[B],Tabla2[ANY],$Z$150,Tabla2[MES],'2023'!D$2,Tabla2[TIPUS],'2023'!$A193)</f>
        <v>0</v>
      </c>
      <c r="E193" s="21">
        <f t="shared" si="205"/>
        <v>0</v>
      </c>
      <c r="F193" s="20">
        <f>SUMIFS(Tabla2[B],Tabla2[ANY],$Z$150,Tabla2[MES],'2023'!F$2,Tabla2[TIPUS],'2023'!$A193)</f>
        <v>0</v>
      </c>
      <c r="G193" s="21">
        <f t="shared" si="194"/>
        <v>0</v>
      </c>
      <c r="H193" s="20">
        <f>SUMIFS(Tabla2[B],Tabla2[ANY],$Z$150,Tabla2[MES],'2023'!H$2,Tabla2[TIPUS],'2023'!$A193)</f>
        <v>0</v>
      </c>
      <c r="I193" s="21">
        <f t="shared" si="195"/>
        <v>0</v>
      </c>
      <c r="J193" s="20">
        <f>SUMIFS(Tabla2[B],Tabla2[ANY],$Z$150,Tabla2[MES],'2023'!J$2,Tabla2[TIPUS],'2023'!$A193)</f>
        <v>0</v>
      </c>
      <c r="K193" s="21">
        <f t="shared" si="196"/>
        <v>0</v>
      </c>
      <c r="L193" s="20">
        <f>SUMIFS(Tabla2[B],Tabla2[ANY],$Z$150,Tabla2[MES],'2023'!L$2,Tabla2[TIPUS],'2023'!$A193)</f>
        <v>0</v>
      </c>
      <c r="M193" s="21">
        <f t="shared" si="197"/>
        <v>0</v>
      </c>
      <c r="N193" s="20">
        <f>SUMIFS(Tabla2[B],Tabla2[ANY],$Z$150,Tabla2[MES],'2023'!N$2,Tabla2[TIPUS],'2023'!$A193)</f>
        <v>0</v>
      </c>
      <c r="O193" s="21">
        <f t="shared" si="198"/>
        <v>0</v>
      </c>
      <c r="P193" s="20">
        <f>SUMIFS(Tabla2[B],Tabla2[ANY],$Z$150,Tabla2[MES],'2023'!P$2,Tabla2[TIPUS],'2023'!$A193)</f>
        <v>0</v>
      </c>
      <c r="Q193" s="21">
        <f t="shared" si="199"/>
        <v>0</v>
      </c>
      <c r="R193" s="20">
        <f>SUMIFS(Tabla2[B],Tabla2[ANY],$Z$150,Tabla2[MES],'2023'!R$2,Tabla2[TIPUS],'2023'!$A193)</f>
        <v>0</v>
      </c>
      <c r="S193" s="21">
        <f t="shared" si="200"/>
        <v>0</v>
      </c>
      <c r="T193" s="20">
        <f>SUMIFS(Tabla2[B],Tabla2[ANY],$Z$150,Tabla2[MES],'2023'!T$2,Tabla2[TIPUS],'2023'!$A193)</f>
        <v>0</v>
      </c>
      <c r="U193" s="21">
        <f t="shared" si="201"/>
        <v>0</v>
      </c>
      <c r="V193" s="20">
        <f>SUMIFS(Tabla2[B],Tabla2[ANY],$Z$150,Tabla2[MES],'2023'!V$2,Tabla2[TIPUS],'2023'!$A193)</f>
        <v>0</v>
      </c>
      <c r="W193" s="21">
        <f t="shared" si="202"/>
        <v>0</v>
      </c>
      <c r="X193" s="20">
        <f>SUMIFS(Tabla2[B],Tabla2[ANY],$Z$150,Tabla2[MES],'2023'!X$2,Tabla2[TIPUS],'2023'!$A193)</f>
        <v>0</v>
      </c>
      <c r="Y193" s="21">
        <f t="shared" si="203"/>
        <v>0</v>
      </c>
      <c r="Z193" s="20">
        <f t="shared" si="204"/>
        <v>0</v>
      </c>
      <c r="AA193" s="21">
        <f t="shared" si="206"/>
        <v>0</v>
      </c>
    </row>
    <row r="194" spans="1:27" hidden="1" outlineLevel="1" x14ac:dyDescent="0.2">
      <c r="A194" s="8" t="s">
        <v>118</v>
      </c>
      <c r="B194" s="20">
        <f>SUMIFS(Tabla2[B],Tabla2[ANY],$Z$150,Tabla2[MES],'2023'!B$2,Tabla2[TIPUS],'2023'!$A194)</f>
        <v>0</v>
      </c>
      <c r="C194" s="21">
        <f t="shared" si="205"/>
        <v>0</v>
      </c>
      <c r="D194" s="20">
        <f>SUMIFS(Tabla2[B],Tabla2[ANY],$Z$150,Tabla2[MES],'2023'!D$2,Tabla2[TIPUS],'2023'!$A194)</f>
        <v>0</v>
      </c>
      <c r="E194" s="21">
        <f t="shared" si="205"/>
        <v>0</v>
      </c>
      <c r="F194" s="20">
        <f>SUMIFS(Tabla2[B],Tabla2[ANY],$Z$150,Tabla2[MES],'2023'!F$2,Tabla2[TIPUS],'2023'!$A194)</f>
        <v>0</v>
      </c>
      <c r="G194" s="21">
        <f t="shared" si="194"/>
        <v>0</v>
      </c>
      <c r="H194" s="20">
        <f>SUMIFS(Tabla2[B],Tabla2[ANY],$Z$150,Tabla2[MES],'2023'!H$2,Tabla2[TIPUS],'2023'!$A194)</f>
        <v>0</v>
      </c>
      <c r="I194" s="21">
        <f t="shared" si="195"/>
        <v>0</v>
      </c>
      <c r="J194" s="20">
        <f>SUMIFS(Tabla2[B],Tabla2[ANY],$Z$150,Tabla2[MES],'2023'!J$2,Tabla2[TIPUS],'2023'!$A194)</f>
        <v>0</v>
      </c>
      <c r="K194" s="21">
        <f t="shared" si="196"/>
        <v>0</v>
      </c>
      <c r="L194" s="20">
        <f>SUMIFS(Tabla2[B],Tabla2[ANY],$Z$150,Tabla2[MES],'2023'!L$2,Tabla2[TIPUS],'2023'!$A194)</f>
        <v>0</v>
      </c>
      <c r="M194" s="21">
        <f t="shared" si="197"/>
        <v>0</v>
      </c>
      <c r="N194" s="20">
        <f>SUMIFS(Tabla2[B],Tabla2[ANY],$Z$150,Tabla2[MES],'2023'!N$2,Tabla2[TIPUS],'2023'!$A194)</f>
        <v>0</v>
      </c>
      <c r="O194" s="21">
        <f t="shared" si="198"/>
        <v>0</v>
      </c>
      <c r="P194" s="20">
        <f>SUMIFS(Tabla2[B],Tabla2[ANY],$Z$150,Tabla2[MES],'2023'!P$2,Tabla2[TIPUS],'2023'!$A194)</f>
        <v>0</v>
      </c>
      <c r="Q194" s="21">
        <f t="shared" si="199"/>
        <v>0</v>
      </c>
      <c r="R194" s="20">
        <f>SUMIFS(Tabla2[B],Tabla2[ANY],$Z$150,Tabla2[MES],'2023'!R$2,Tabla2[TIPUS],'2023'!$A194)</f>
        <v>0</v>
      </c>
      <c r="S194" s="21">
        <f t="shared" si="200"/>
        <v>0</v>
      </c>
      <c r="T194" s="20">
        <f>SUMIFS(Tabla2[B],Tabla2[ANY],$Z$150,Tabla2[MES],'2023'!T$2,Tabla2[TIPUS],'2023'!$A194)</f>
        <v>0</v>
      </c>
      <c r="U194" s="21">
        <f t="shared" si="201"/>
        <v>0</v>
      </c>
      <c r="V194" s="20">
        <f>SUMIFS(Tabla2[B],Tabla2[ANY],$Z$150,Tabla2[MES],'2023'!V$2,Tabla2[TIPUS],'2023'!$A194)</f>
        <v>0</v>
      </c>
      <c r="W194" s="21">
        <f t="shared" si="202"/>
        <v>0</v>
      </c>
      <c r="X194" s="20">
        <f>SUMIFS(Tabla2[B],Tabla2[ANY],$Z$150,Tabla2[MES],'2023'!X$2,Tabla2[TIPUS],'2023'!$A194)</f>
        <v>0</v>
      </c>
      <c r="Y194" s="21">
        <f t="shared" si="203"/>
        <v>0</v>
      </c>
      <c r="Z194" s="20">
        <f t="shared" si="204"/>
        <v>0</v>
      </c>
      <c r="AA194" s="21">
        <f t="shared" si="206"/>
        <v>0</v>
      </c>
    </row>
    <row r="195" spans="1:27" hidden="1" outlineLevel="1" x14ac:dyDescent="0.2">
      <c r="A195" s="8" t="s">
        <v>97</v>
      </c>
      <c r="B195" s="20">
        <f>SUMIFS(Tabla2[B],Tabla2[ANY],$Z$150,Tabla2[MES],'2023'!B$2,Tabla2[TIPUS],'2023'!$A195)</f>
        <v>0</v>
      </c>
      <c r="C195" s="21">
        <f t="shared" si="205"/>
        <v>0</v>
      </c>
      <c r="D195" s="20">
        <f>SUMIFS(Tabla2[B],Tabla2[ANY],$Z$150,Tabla2[MES],'2023'!D$2,Tabla2[TIPUS],'2023'!$A195)</f>
        <v>0</v>
      </c>
      <c r="E195" s="21">
        <f t="shared" si="205"/>
        <v>0</v>
      </c>
      <c r="F195" s="20">
        <f>SUMIFS(Tabla2[B],Tabla2[ANY],$Z$150,Tabla2[MES],'2023'!F$2,Tabla2[TIPUS],'2023'!$A195)</f>
        <v>0</v>
      </c>
      <c r="G195" s="21">
        <f t="shared" si="194"/>
        <v>0</v>
      </c>
      <c r="H195" s="20">
        <f>SUMIFS(Tabla2[B],Tabla2[ANY],$Z$150,Tabla2[MES],'2023'!H$2,Tabla2[TIPUS],'2023'!$A195)</f>
        <v>0</v>
      </c>
      <c r="I195" s="21">
        <f t="shared" si="195"/>
        <v>0</v>
      </c>
      <c r="J195" s="20">
        <f>SUMIFS(Tabla2[B],Tabla2[ANY],$Z$150,Tabla2[MES],'2023'!J$2,Tabla2[TIPUS],'2023'!$A195)</f>
        <v>0</v>
      </c>
      <c r="K195" s="21">
        <f t="shared" si="196"/>
        <v>0</v>
      </c>
      <c r="L195" s="20">
        <f>SUMIFS(Tabla2[B],Tabla2[ANY],$Z$150,Tabla2[MES],'2023'!L$2,Tabla2[TIPUS],'2023'!$A195)</f>
        <v>0</v>
      </c>
      <c r="M195" s="21">
        <f t="shared" si="197"/>
        <v>0</v>
      </c>
      <c r="N195" s="20">
        <f>SUMIFS(Tabla2[B],Tabla2[ANY],$Z$150,Tabla2[MES],'2023'!N$2,Tabla2[TIPUS],'2023'!$A195)</f>
        <v>0</v>
      </c>
      <c r="O195" s="21">
        <f t="shared" si="198"/>
        <v>0</v>
      </c>
      <c r="P195" s="20">
        <f>SUMIFS(Tabla2[B],Tabla2[ANY],$Z$150,Tabla2[MES],'2023'!P$2,Tabla2[TIPUS],'2023'!$A195)</f>
        <v>0</v>
      </c>
      <c r="Q195" s="21">
        <f t="shared" si="199"/>
        <v>0</v>
      </c>
      <c r="R195" s="20">
        <f>SUMIFS(Tabla2[B],Tabla2[ANY],$Z$150,Tabla2[MES],'2023'!R$2,Tabla2[TIPUS],'2023'!$A195)</f>
        <v>0</v>
      </c>
      <c r="S195" s="21">
        <f t="shared" si="200"/>
        <v>0</v>
      </c>
      <c r="T195" s="20">
        <f>SUMIFS(Tabla2[B],Tabla2[ANY],$Z$150,Tabla2[MES],'2023'!T$2,Tabla2[TIPUS],'2023'!$A195)</f>
        <v>0</v>
      </c>
      <c r="U195" s="21">
        <f t="shared" si="201"/>
        <v>0</v>
      </c>
      <c r="V195" s="20">
        <f>SUMIFS(Tabla2[B],Tabla2[ANY],$Z$150,Tabla2[MES],'2023'!V$2,Tabla2[TIPUS],'2023'!$A195)</f>
        <v>0</v>
      </c>
      <c r="W195" s="21">
        <f t="shared" si="202"/>
        <v>0</v>
      </c>
      <c r="X195" s="20">
        <f>SUMIFS(Tabla2[B],Tabla2[ANY],$Z$150,Tabla2[MES],'2023'!X$2,Tabla2[TIPUS],'2023'!$A195)</f>
        <v>0</v>
      </c>
      <c r="Y195" s="21">
        <f t="shared" si="203"/>
        <v>0</v>
      </c>
      <c r="Z195" s="20">
        <f t="shared" si="204"/>
        <v>0</v>
      </c>
      <c r="AA195" s="21">
        <f t="shared" si="206"/>
        <v>0</v>
      </c>
    </row>
    <row r="196" spans="1:27" hidden="1" outlineLevel="1" x14ac:dyDescent="0.2">
      <c r="A196" s="8" t="s">
        <v>113</v>
      </c>
      <c r="B196" s="20">
        <f>SUMIFS(Tabla2[B],Tabla2[ANY],$Z$150,Tabla2[MES],'2023'!B$2,Tabla2[TIPUS],'2023'!$A196)</f>
        <v>0</v>
      </c>
      <c r="C196" s="21">
        <f t="shared" si="205"/>
        <v>0</v>
      </c>
      <c r="D196" s="20">
        <f>SUMIFS(Tabla2[B],Tabla2[ANY],$Z$150,Tabla2[MES],'2023'!D$2,Tabla2[TIPUS],'2023'!$A196)</f>
        <v>0</v>
      </c>
      <c r="E196" s="21">
        <f t="shared" si="205"/>
        <v>0</v>
      </c>
      <c r="F196" s="20">
        <f>SUMIFS(Tabla2[B],Tabla2[ANY],$Z$150,Tabla2[MES],'2023'!F$2,Tabla2[TIPUS],'2023'!$A196)</f>
        <v>0</v>
      </c>
      <c r="G196" s="21">
        <f t="shared" si="194"/>
        <v>0</v>
      </c>
      <c r="H196" s="20">
        <f>SUMIFS(Tabla2[B],Tabla2[ANY],$Z$150,Tabla2[MES],'2023'!H$2,Tabla2[TIPUS],'2023'!$A196)</f>
        <v>0</v>
      </c>
      <c r="I196" s="21">
        <f t="shared" si="195"/>
        <v>0</v>
      </c>
      <c r="J196" s="20">
        <f>SUMIFS(Tabla2[B],Tabla2[ANY],$Z$150,Tabla2[MES],'2023'!J$2,Tabla2[TIPUS],'2023'!$A196)</f>
        <v>0</v>
      </c>
      <c r="K196" s="21">
        <f t="shared" si="196"/>
        <v>0</v>
      </c>
      <c r="L196" s="20">
        <f>SUMIFS(Tabla2[B],Tabla2[ANY],$Z$150,Tabla2[MES],'2023'!L$2,Tabla2[TIPUS],'2023'!$A196)</f>
        <v>0</v>
      </c>
      <c r="M196" s="21">
        <f t="shared" si="197"/>
        <v>0</v>
      </c>
      <c r="N196" s="20">
        <f>SUMIFS(Tabla2[B],Tabla2[ANY],$Z$150,Tabla2[MES],'2023'!N$2,Tabla2[TIPUS],'2023'!$A196)</f>
        <v>0</v>
      </c>
      <c r="O196" s="21">
        <f t="shared" si="198"/>
        <v>0</v>
      </c>
      <c r="P196" s="20">
        <f>SUMIFS(Tabla2[B],Tabla2[ANY],$Z$150,Tabla2[MES],'2023'!P$2,Tabla2[TIPUS],'2023'!$A196)</f>
        <v>0</v>
      </c>
      <c r="Q196" s="21">
        <f t="shared" si="199"/>
        <v>0</v>
      </c>
      <c r="R196" s="20">
        <f>SUMIFS(Tabla2[B],Tabla2[ANY],$Z$150,Tabla2[MES],'2023'!R$2,Tabla2[TIPUS],'2023'!$A196)</f>
        <v>0</v>
      </c>
      <c r="S196" s="21">
        <f t="shared" si="200"/>
        <v>0</v>
      </c>
      <c r="T196" s="20">
        <f>SUMIFS(Tabla2[B],Tabla2[ANY],$Z$150,Tabla2[MES],'2023'!T$2,Tabla2[TIPUS],'2023'!$A196)</f>
        <v>0</v>
      </c>
      <c r="U196" s="21">
        <f t="shared" si="201"/>
        <v>0</v>
      </c>
      <c r="V196" s="20">
        <f>SUMIFS(Tabla2[B],Tabla2[ANY],$Z$150,Tabla2[MES],'2023'!V$2,Tabla2[TIPUS],'2023'!$A196)</f>
        <v>0</v>
      </c>
      <c r="W196" s="21">
        <f t="shared" si="202"/>
        <v>0</v>
      </c>
      <c r="X196" s="20">
        <f>SUMIFS(Tabla2[B],Tabla2[ANY],$Z$150,Tabla2[MES],'2023'!X$2,Tabla2[TIPUS],'2023'!$A196)</f>
        <v>0</v>
      </c>
      <c r="Y196" s="21">
        <f t="shared" si="203"/>
        <v>0</v>
      </c>
      <c r="Z196" s="20">
        <f t="shared" si="204"/>
        <v>0</v>
      </c>
      <c r="AA196" s="21">
        <f t="shared" si="206"/>
        <v>0</v>
      </c>
    </row>
    <row r="197" spans="1:27" collapsed="1" x14ac:dyDescent="0.2">
      <c r="A197" s="34" t="s">
        <v>86</v>
      </c>
      <c r="B197" s="18">
        <f>SUM(B198:B202)</f>
        <v>515</v>
      </c>
      <c r="C197" s="19">
        <f>IF(B$188=0,0,B197/B$188)</f>
        <v>0.77443609022556392</v>
      </c>
      <c r="D197" s="18">
        <f>SUM(D198:D202)</f>
        <v>592.1</v>
      </c>
      <c r="E197" s="19">
        <f>IF(D$188=0,0,D197/D$188)</f>
        <v>0.79787090688586448</v>
      </c>
      <c r="F197" s="18">
        <f>SUM(F198:F202)</f>
        <v>150</v>
      </c>
      <c r="G197" s="19">
        <f>IF(F$188=0,0,F197/F$188)</f>
        <v>0.5</v>
      </c>
      <c r="H197" s="18">
        <f>SUM(H198:H202)</f>
        <v>240</v>
      </c>
      <c r="I197" s="19">
        <f>IF(H$188=0,0,H197/H$188)</f>
        <v>0.61538461538461542</v>
      </c>
      <c r="J197" s="18">
        <f>SUM(J198:J202)</f>
        <v>265</v>
      </c>
      <c r="K197" s="19">
        <f>IF(J$188=0,0,J197/J$188)</f>
        <v>0.63855421686746983</v>
      </c>
      <c r="L197" s="18">
        <f>SUM(L198:L202)</f>
        <v>225</v>
      </c>
      <c r="M197" s="19">
        <f>IF(L$188=0,0,L197/L$188)</f>
        <v>0.6</v>
      </c>
      <c r="N197" s="18">
        <f>SUM(N198:N202)</f>
        <v>360</v>
      </c>
      <c r="O197" s="19">
        <f>IF(N$188=0,0,N197/N$188)</f>
        <v>0.70588235294117652</v>
      </c>
      <c r="P197" s="18">
        <f>SUM(P198:P202)</f>
        <v>0</v>
      </c>
      <c r="Q197" s="19">
        <f>IF(P$188=0,0,P197/P$188)</f>
        <v>0</v>
      </c>
      <c r="R197" s="18">
        <f>SUM(R198:R202)</f>
        <v>205</v>
      </c>
      <c r="S197" s="19">
        <f>IF(R$188=0,0,R197/R$188)</f>
        <v>0.57746478873239437</v>
      </c>
      <c r="T197" s="18">
        <f>SUM(T198:T202)</f>
        <v>310</v>
      </c>
      <c r="U197" s="19">
        <f>IF(T$188=0,0,T197/T$188)</f>
        <v>0.67391304347826086</v>
      </c>
      <c r="V197" s="18">
        <f>SUM(V198:V202)</f>
        <v>210</v>
      </c>
      <c r="W197" s="19">
        <f>IF(V$188=0,0,V197/V$188)</f>
        <v>0.58333333333333337</v>
      </c>
      <c r="X197" s="18">
        <f>SUM(X198:X202)</f>
        <v>863.16</v>
      </c>
      <c r="Y197" s="19">
        <f>IF(X$188=0,0,X197/X$188)</f>
        <v>0.85194835958782422</v>
      </c>
      <c r="Z197" s="18">
        <f>SUM(Z198:Z202)</f>
        <v>3935.26</v>
      </c>
      <c r="AA197" s="19">
        <f>IF(Z$40=0,0,Z197/Z$40)</f>
        <v>0.23292529077232693</v>
      </c>
    </row>
    <row r="198" spans="1:27" hidden="1" outlineLevel="1" x14ac:dyDescent="0.2">
      <c r="A198" s="8" t="s">
        <v>87</v>
      </c>
      <c r="B198" s="20">
        <f>SUMIFS(Tabla2[B],Tabla2[ANY],$Z$150,Tabla2[MES],'2023'!B$2,Tabla2[TIPUS],'2023'!$A198)</f>
        <v>0</v>
      </c>
      <c r="C198" s="21">
        <f>IF(B$197=0,0,B198/B$197)</f>
        <v>0</v>
      </c>
      <c r="D198" s="20">
        <f>SUMIFS(Tabla2[B],Tabla2[ANY],$Z$150,Tabla2[MES],'2023'!D$2,Tabla2[TIPUS],'2023'!$A198)</f>
        <v>0</v>
      </c>
      <c r="E198" s="21">
        <f>IF(D$197=0,0,D198/D$197)</f>
        <v>0</v>
      </c>
      <c r="F198" s="20">
        <f>SUMIFS(Tabla2[B],Tabla2[ANY],$Z$150,Tabla2[MES],'2023'!F$2,Tabla2[TIPUS],'2023'!$A198)</f>
        <v>0</v>
      </c>
      <c r="G198" s="21">
        <f>IF(F$197=0,0,F198/F$197)</f>
        <v>0</v>
      </c>
      <c r="H198" s="20">
        <f>SUMIFS(Tabla2[B],Tabla2[ANY],$Z$150,Tabla2[MES],'2023'!H$2,Tabla2[TIPUS],'2023'!$A198)</f>
        <v>0</v>
      </c>
      <c r="I198" s="21">
        <f>IF(H$197=0,0,H198/H$197)</f>
        <v>0</v>
      </c>
      <c r="J198" s="20">
        <f>SUMIFS(Tabla2[B],Tabla2[ANY],$Z$150,Tabla2[MES],'2023'!J$2,Tabla2[TIPUS],'2023'!$A198)</f>
        <v>0</v>
      </c>
      <c r="K198" s="21">
        <f>IF(J$197=0,0,J198/J$197)</f>
        <v>0</v>
      </c>
      <c r="L198" s="20">
        <f>SUMIFS(Tabla2[B],Tabla2[ANY],$Z$150,Tabla2[MES],'2023'!L$2,Tabla2[TIPUS],'2023'!$A198)</f>
        <v>0</v>
      </c>
      <c r="M198" s="21">
        <f>IF(L$197=0,0,L198/L$197)</f>
        <v>0</v>
      </c>
      <c r="N198" s="20">
        <f>SUMIFS(Tabla2[B],Tabla2[ANY],$Z$150,Tabla2[MES],'2023'!N$2,Tabla2[TIPUS],'2023'!$A198)</f>
        <v>0</v>
      </c>
      <c r="O198" s="21">
        <f>IF(N$197=0,0,N198/N$197)</f>
        <v>0</v>
      </c>
      <c r="P198" s="20">
        <f>SUMIFS(Tabla2[B],Tabla2[ANY],$Z$150,Tabla2[MES],'2023'!P$2,Tabla2[TIPUS],'2023'!$A198)</f>
        <v>0</v>
      </c>
      <c r="Q198" s="21">
        <f>IF(P$197=0,0,P198/P$197)</f>
        <v>0</v>
      </c>
      <c r="R198" s="20">
        <f>SUMIFS(Tabla2[B],Tabla2[ANY],$Z$150,Tabla2[MES],'2023'!R$2,Tabla2[TIPUS],'2023'!$A198)</f>
        <v>0</v>
      </c>
      <c r="S198" s="21">
        <f>IF(R$197=0,0,R198/R$197)</f>
        <v>0</v>
      </c>
      <c r="T198" s="20">
        <f>SUMIFS(Tabla2[B],Tabla2[ANY],$Z$150,Tabla2[MES],'2023'!T$2,Tabla2[TIPUS],'2023'!$A198)</f>
        <v>0</v>
      </c>
      <c r="U198" s="21">
        <f>IF(T$197=0,0,T198/T$197)</f>
        <v>0</v>
      </c>
      <c r="V198" s="20">
        <f>SUMIFS(Tabla2[B],Tabla2[ANY],$Z$150,Tabla2[MES],'2023'!V$2,Tabla2[TIPUS],'2023'!$A198)</f>
        <v>0</v>
      </c>
      <c r="W198" s="21">
        <f>IF(V$197=0,0,V198/V$197)</f>
        <v>0</v>
      </c>
      <c r="X198" s="20">
        <f>SUMIFS(Tabla2[B],Tabla2[ANY],$Z$150,Tabla2[MES],'2023'!X$2,Tabla2[TIPUS],'2023'!$A198)</f>
        <v>0</v>
      </c>
      <c r="Y198" s="21">
        <f>IF(X$197=0,0,X198/X$197)</f>
        <v>0</v>
      </c>
      <c r="Z198" s="20">
        <f t="shared" si="204"/>
        <v>0</v>
      </c>
      <c r="AA198" s="21">
        <f>IF(Z$49=0,0,Z198/Z$49)</f>
        <v>0</v>
      </c>
    </row>
    <row r="199" spans="1:27" hidden="1" outlineLevel="1" x14ac:dyDescent="0.2">
      <c r="A199" s="8" t="s">
        <v>88</v>
      </c>
      <c r="B199" s="20">
        <f>SUMIFS(Tabla2[B],Tabla2[ANY],$Z$150,Tabla2[MES],'2023'!B$2,Tabla2[TIPUS],'2023'!$A199)</f>
        <v>0</v>
      </c>
      <c r="C199" s="21">
        <f t="shared" ref="C199:E202" si="207">IF(B$197=0,0,B199/B$197)</f>
        <v>0</v>
      </c>
      <c r="D199" s="20">
        <f>SUMIFS(Tabla2[B],Tabla2[ANY],$Z$150,Tabla2[MES],'2023'!D$2,Tabla2[TIPUS],'2023'!$A199)</f>
        <v>0</v>
      </c>
      <c r="E199" s="21">
        <f t="shared" si="207"/>
        <v>0</v>
      </c>
      <c r="F199" s="20">
        <f>SUMIFS(Tabla2[B],Tabla2[ANY],$Z$150,Tabla2[MES],'2023'!F$2,Tabla2[TIPUS],'2023'!$A199)</f>
        <v>0</v>
      </c>
      <c r="G199" s="21">
        <f>IF(F$197=0,0,F199/F$197)</f>
        <v>0</v>
      </c>
      <c r="H199" s="20">
        <f>SUMIFS(Tabla2[B],Tabla2[ANY],$Z$150,Tabla2[MES],'2023'!H$2,Tabla2[TIPUS],'2023'!$A199)</f>
        <v>0</v>
      </c>
      <c r="I199" s="21">
        <f>IF(H$197=0,0,H199/H$197)</f>
        <v>0</v>
      </c>
      <c r="J199" s="20">
        <f>SUMIFS(Tabla2[B],Tabla2[ANY],$Z$150,Tabla2[MES],'2023'!J$2,Tabla2[TIPUS],'2023'!$A199)</f>
        <v>0</v>
      </c>
      <c r="K199" s="21">
        <f>IF(J$197=0,0,J199/J$197)</f>
        <v>0</v>
      </c>
      <c r="L199" s="20">
        <f>SUMIFS(Tabla2[B],Tabla2[ANY],$Z$150,Tabla2[MES],'2023'!L$2,Tabla2[TIPUS],'2023'!$A199)</f>
        <v>0</v>
      </c>
      <c r="M199" s="21">
        <f>IF(L$197=0,0,L199/L$197)</f>
        <v>0</v>
      </c>
      <c r="N199" s="20">
        <f>SUMIFS(Tabla2[B],Tabla2[ANY],$Z$150,Tabla2[MES],'2023'!N$2,Tabla2[TIPUS],'2023'!$A199)</f>
        <v>0</v>
      </c>
      <c r="O199" s="21">
        <f>IF(N$197=0,0,N199/N$197)</f>
        <v>0</v>
      </c>
      <c r="P199" s="20">
        <f>SUMIFS(Tabla2[B],Tabla2[ANY],$Z$150,Tabla2[MES],'2023'!P$2,Tabla2[TIPUS],'2023'!$A199)</f>
        <v>0</v>
      </c>
      <c r="Q199" s="21">
        <f>IF(P$197=0,0,P199/P$197)</f>
        <v>0</v>
      </c>
      <c r="R199" s="20">
        <f>SUMIFS(Tabla2[B],Tabla2[ANY],$Z$150,Tabla2[MES],'2023'!R$2,Tabla2[TIPUS],'2023'!$A199)</f>
        <v>0</v>
      </c>
      <c r="S199" s="21">
        <f>IF(R$197=0,0,R199/R$197)</f>
        <v>0</v>
      </c>
      <c r="T199" s="20">
        <f>SUMIFS(Tabla2[B],Tabla2[ANY],$Z$150,Tabla2[MES],'2023'!T$2,Tabla2[TIPUS],'2023'!$A199)</f>
        <v>0</v>
      </c>
      <c r="U199" s="21">
        <f>IF(T$197=0,0,T199/T$197)</f>
        <v>0</v>
      </c>
      <c r="V199" s="20">
        <f>SUMIFS(Tabla2[B],Tabla2[ANY],$Z$150,Tabla2[MES],'2023'!V$2,Tabla2[TIPUS],'2023'!$A199)</f>
        <v>0</v>
      </c>
      <c r="W199" s="21">
        <f>IF(V$197=0,0,V199/V$197)</f>
        <v>0</v>
      </c>
      <c r="X199" s="20">
        <f>SUMIFS(Tabla2[B],Tabla2[ANY],$Z$150,Tabla2[MES],'2023'!X$2,Tabla2[TIPUS],'2023'!$A199)</f>
        <v>0</v>
      </c>
      <c r="Y199" s="21">
        <f>IF(X$197=0,0,X199/X$197)</f>
        <v>0</v>
      </c>
      <c r="Z199" s="20">
        <f t="shared" si="204"/>
        <v>0</v>
      </c>
      <c r="AA199" s="21">
        <f>IF(Z$49=0,0,Z199/Z$49)</f>
        <v>0</v>
      </c>
    </row>
    <row r="200" spans="1:27" hidden="1" outlineLevel="1" x14ac:dyDescent="0.2">
      <c r="A200" s="8" t="s">
        <v>89</v>
      </c>
      <c r="B200" s="20">
        <f>SUMIFS(Tabla2[B],Tabla2[ANY],$Z$150,Tabla2[MES],'2023'!B$2,Tabla2[TIPUS],'2023'!$A200)</f>
        <v>35</v>
      </c>
      <c r="C200" s="21">
        <f t="shared" si="207"/>
        <v>6.7961165048543687E-2</v>
      </c>
      <c r="D200" s="20">
        <f>SUMIFS(Tabla2[B],Tabla2[ANY],$Z$150,Tabla2[MES],'2023'!D$2,Tabla2[TIPUS],'2023'!$A200)</f>
        <v>242.1</v>
      </c>
      <c r="E200" s="21">
        <f t="shared" si="207"/>
        <v>0.40888363452119569</v>
      </c>
      <c r="F200" s="20">
        <f>SUMIFS(Tabla2[B],Tabla2[ANY],$Z$150,Tabla2[MES],'2023'!F$2,Tabla2[TIPUS],'2023'!$A200)</f>
        <v>0</v>
      </c>
      <c r="G200" s="21">
        <f>IF(F$197=0,0,F200/F$197)</f>
        <v>0</v>
      </c>
      <c r="H200" s="20">
        <f>SUMIFS(Tabla2[B],Tabla2[ANY],$Z$150,Tabla2[MES],'2023'!H$2,Tabla2[TIPUS],'2023'!$A200)</f>
        <v>0</v>
      </c>
      <c r="I200" s="21">
        <f>IF(H$197=0,0,H200/H$197)</f>
        <v>0</v>
      </c>
      <c r="J200" s="20">
        <f>SUMIFS(Tabla2[B],Tabla2[ANY],$Z$150,Tabla2[MES],'2023'!J$2,Tabla2[TIPUS],'2023'!$A200)</f>
        <v>40</v>
      </c>
      <c r="K200" s="21">
        <f>IF(J$197=0,0,J200/J$197)</f>
        <v>0.15094339622641509</v>
      </c>
      <c r="L200" s="20">
        <f>SUMIFS(Tabla2[B],Tabla2[ANY],$Z$150,Tabla2[MES],'2023'!L$2,Tabla2[TIPUS],'2023'!$A200)</f>
        <v>75</v>
      </c>
      <c r="M200" s="21">
        <f>IF(L$197=0,0,L200/L$197)</f>
        <v>0.33333333333333331</v>
      </c>
      <c r="N200" s="20">
        <f>SUMIFS(Tabla2[B],Tabla2[ANY],$Z$150,Tabla2[MES],'2023'!N$2,Tabla2[TIPUS],'2023'!$A200)</f>
        <v>170</v>
      </c>
      <c r="O200" s="21">
        <f>IF(N$197=0,0,N200/N$197)</f>
        <v>0.47222222222222221</v>
      </c>
      <c r="P200" s="20">
        <f>SUMIFS(Tabla2[B],Tabla2[ANY],$Z$150,Tabla2[MES],'2023'!P$2,Tabla2[TIPUS],'2023'!$A200)</f>
        <v>0</v>
      </c>
      <c r="Q200" s="21">
        <f>IF(P$197=0,0,P200/P$197)</f>
        <v>0</v>
      </c>
      <c r="R200" s="20">
        <f>SUMIFS(Tabla2[B],Tabla2[ANY],$Z$150,Tabla2[MES],'2023'!R$2,Tabla2[TIPUS],'2023'!$A200)</f>
        <v>0</v>
      </c>
      <c r="S200" s="21">
        <f>IF(R$197=0,0,R200/R$197)</f>
        <v>0</v>
      </c>
      <c r="T200" s="20">
        <f>SUMIFS(Tabla2[B],Tabla2[ANY],$Z$150,Tabla2[MES],'2023'!T$2,Tabla2[TIPUS],'2023'!$A200)</f>
        <v>20</v>
      </c>
      <c r="U200" s="21">
        <f>IF(T$197=0,0,T200/T$197)</f>
        <v>6.4516129032258063E-2</v>
      </c>
      <c r="V200" s="20">
        <f>SUMIFS(Tabla2[B],Tabla2[ANY],$Z$150,Tabla2[MES],'2023'!V$2,Tabla2[TIPUS],'2023'!$A200)</f>
        <v>0</v>
      </c>
      <c r="W200" s="21">
        <f>IF(V$197=0,0,V200/V$197)</f>
        <v>0</v>
      </c>
      <c r="X200" s="20">
        <f>SUMIFS(Tabla2[B],Tabla2[ANY],$Z$150,Tabla2[MES],'2023'!X$2,Tabla2[TIPUS],'2023'!$A200)</f>
        <v>443.15999999999997</v>
      </c>
      <c r="Y200" s="21">
        <f>IF(X$197=0,0,X200/X$197)</f>
        <v>0.51341582093702209</v>
      </c>
      <c r="Z200" s="20">
        <f t="shared" si="204"/>
        <v>1025.26</v>
      </c>
      <c r="AA200" s="21">
        <f>IF(Z$49=0,0,Z200/Z$49)</f>
        <v>0.12832857642934517</v>
      </c>
    </row>
    <row r="201" spans="1:27" hidden="1" outlineLevel="1" x14ac:dyDescent="0.2">
      <c r="A201" s="8" t="s">
        <v>145</v>
      </c>
      <c r="B201" s="20">
        <f>SUMIFS(Tabla2[B],Tabla2[ANY],$Z$150,Tabla2[MES],'2023'!B$2,Tabla2[TIPUS],'2023'!$A201)</f>
        <v>0</v>
      </c>
      <c r="C201" s="21">
        <f>IF(B$197=0,0,B201/B$197)</f>
        <v>0</v>
      </c>
      <c r="D201" s="20">
        <f>SUMIFS(Tabla2[B],Tabla2[ANY],$Z$150,Tabla2[MES],'2023'!D$2,Tabla2[TIPUS],'2023'!$A201)</f>
        <v>0</v>
      </c>
      <c r="E201" s="21">
        <f>IF(D$197=0,0,D201/D$197)</f>
        <v>0</v>
      </c>
      <c r="F201" s="20">
        <f>SUMIFS(Tabla2[B],Tabla2[ANY],$Z$150,Tabla2[MES],'2023'!F$2,Tabla2[TIPUS],'2023'!$A201)</f>
        <v>0</v>
      </c>
      <c r="G201" s="21">
        <f>IF(F$197=0,0,F201/F$197)</f>
        <v>0</v>
      </c>
      <c r="H201" s="20">
        <f>SUMIFS(Tabla2[B],Tabla2[ANY],$Z$150,Tabla2[MES],'2023'!H$2,Tabla2[TIPUS],'2023'!$A201)</f>
        <v>0</v>
      </c>
      <c r="I201" s="21">
        <f>IF(H$197=0,0,H201/H$197)</f>
        <v>0</v>
      </c>
      <c r="J201" s="20">
        <f>SUMIFS(Tabla2[B],Tabla2[ANY],$Z$150,Tabla2[MES],'2023'!J$2,Tabla2[TIPUS],'2023'!$A201)</f>
        <v>0</v>
      </c>
      <c r="K201" s="21">
        <f>IF(J$197=0,0,J201/J$197)</f>
        <v>0</v>
      </c>
      <c r="L201" s="20">
        <f>SUMIFS(Tabla2[B],Tabla2[ANY],$Z$150,Tabla2[MES],'2023'!L$2,Tabla2[TIPUS],'2023'!$A201)</f>
        <v>0</v>
      </c>
      <c r="M201" s="21">
        <f>IF(L$197=0,0,L201/L$197)</f>
        <v>0</v>
      </c>
      <c r="N201" s="20">
        <f>SUMIFS(Tabla2[B],Tabla2[ANY],$Z$150,Tabla2[MES],'2023'!N$2,Tabla2[TIPUS],'2023'!$A201)</f>
        <v>0</v>
      </c>
      <c r="O201" s="21">
        <f>IF(N$197=0,0,N201/N$197)</f>
        <v>0</v>
      </c>
      <c r="P201" s="20">
        <f>SUMIFS(Tabla2[B],Tabla2[ANY],$Z$150,Tabla2[MES],'2023'!P$2,Tabla2[TIPUS],'2023'!$A201)</f>
        <v>0</v>
      </c>
      <c r="Q201" s="21">
        <f>IF(P$197=0,0,P201/P$197)</f>
        <v>0</v>
      </c>
      <c r="R201" s="20">
        <f>SUMIFS(Tabla2[B],Tabla2[ANY],$Z$150,Tabla2[MES],'2023'!R$2,Tabla2[TIPUS],'2023'!$A201)</f>
        <v>0</v>
      </c>
      <c r="S201" s="21">
        <f>IF(R$197=0,0,R201/R$197)</f>
        <v>0</v>
      </c>
      <c r="T201" s="20">
        <f>SUMIFS(Tabla2[B],Tabla2[ANY],$Z$150,Tabla2[MES],'2023'!T$2,Tabla2[TIPUS],'2023'!$A201)</f>
        <v>0</v>
      </c>
      <c r="U201" s="21">
        <f>IF(T$197=0,0,T201/T$197)</f>
        <v>0</v>
      </c>
      <c r="V201" s="20">
        <f>SUMIFS(Tabla2[B],Tabla2[ANY],$Z$150,Tabla2[MES],'2023'!V$2,Tabla2[TIPUS],'2023'!$A201)</f>
        <v>0</v>
      </c>
      <c r="W201" s="21">
        <f>IF(V$197=0,0,V201/V$197)</f>
        <v>0</v>
      </c>
      <c r="X201" s="20">
        <f>SUMIFS(Tabla2[B],Tabla2[ANY],$Z$150,Tabla2[MES],'2023'!X$2,Tabla2[TIPUS],'2023'!$A201)</f>
        <v>0</v>
      </c>
      <c r="Y201" s="21">
        <f>IF(X$197=0,0,X201/X$197)</f>
        <v>0</v>
      </c>
      <c r="Z201" s="20">
        <f>B201+D201+F201+H201+J201+L201+N201+P201+R201+T201+V201+X201</f>
        <v>0</v>
      </c>
      <c r="AA201" s="21">
        <f>IF(Z$49=0,0,Z201/Z$49)</f>
        <v>0</v>
      </c>
    </row>
    <row r="202" spans="1:27" hidden="1" outlineLevel="1" x14ac:dyDescent="0.2">
      <c r="A202" s="8" t="s">
        <v>90</v>
      </c>
      <c r="B202" s="20">
        <f>SUMIFS(Tabla2[B],Tabla2[ANY],$Z$150,Tabla2[MES],'2023'!B$2,Tabla2[TIPUS],'2023'!$A202)</f>
        <v>480</v>
      </c>
      <c r="C202" s="21">
        <f t="shared" si="207"/>
        <v>0.93203883495145634</v>
      </c>
      <c r="D202" s="20">
        <f>SUMIFS(Tabla2[B],Tabla2[ANY],$Z$150,Tabla2[MES],'2023'!D$2,Tabla2[TIPUS],'2023'!$A202)</f>
        <v>350</v>
      </c>
      <c r="E202" s="21">
        <f t="shared" si="207"/>
        <v>0.5911163654788042</v>
      </c>
      <c r="F202" s="20">
        <f>SUMIFS(Tabla2[B],Tabla2[ANY],$Z$150,Tabla2[MES],'2023'!F$2,Tabla2[TIPUS],'2023'!$A202)</f>
        <v>150</v>
      </c>
      <c r="G202" s="21">
        <f>IF(F$197=0,0,F202/F$197)</f>
        <v>1</v>
      </c>
      <c r="H202" s="20">
        <f>SUMIFS(Tabla2[B],Tabla2[ANY],$Z$150,Tabla2[MES],'2023'!H$2,Tabla2[TIPUS],'2023'!$A202)</f>
        <v>240</v>
      </c>
      <c r="I202" s="21">
        <f>IF(H$197=0,0,H202/H$197)</f>
        <v>1</v>
      </c>
      <c r="J202" s="20">
        <f>SUMIFS(Tabla2[B],Tabla2[ANY],$Z$150,Tabla2[MES],'2023'!J$2,Tabla2[TIPUS],'2023'!$A202)</f>
        <v>225</v>
      </c>
      <c r="K202" s="21">
        <f>IF(J$197=0,0,J202/J$197)</f>
        <v>0.84905660377358494</v>
      </c>
      <c r="L202" s="20">
        <f>SUMIFS(Tabla2[B],Tabla2[ANY],$Z$150,Tabla2[MES],'2023'!L$2,Tabla2[TIPUS],'2023'!$A202)</f>
        <v>150</v>
      </c>
      <c r="M202" s="21">
        <f>IF(L$197=0,0,L202/L$197)</f>
        <v>0.66666666666666663</v>
      </c>
      <c r="N202" s="20">
        <f>SUMIFS(Tabla2[B],Tabla2[ANY],$Z$150,Tabla2[MES],'2023'!N$2,Tabla2[TIPUS],'2023'!$A202)</f>
        <v>190</v>
      </c>
      <c r="O202" s="21">
        <f>IF(N$197=0,0,N202/N$197)</f>
        <v>0.52777777777777779</v>
      </c>
      <c r="P202" s="20">
        <f>SUMIFS(Tabla2[B],Tabla2[ANY],$Z$150,Tabla2[MES],'2023'!P$2,Tabla2[TIPUS],'2023'!$A202)</f>
        <v>0</v>
      </c>
      <c r="Q202" s="21">
        <f>IF(P$197=0,0,P202/P$197)</f>
        <v>0</v>
      </c>
      <c r="R202" s="20">
        <f>SUMIFS(Tabla2[B],Tabla2[ANY],$Z$150,Tabla2[MES],'2023'!R$2,Tabla2[TIPUS],'2023'!$A202)</f>
        <v>205</v>
      </c>
      <c r="S202" s="21">
        <f>IF(R$197=0,0,R202/R$197)</f>
        <v>1</v>
      </c>
      <c r="T202" s="20">
        <f>SUMIFS(Tabla2[B],Tabla2[ANY],$Z$150,Tabla2[MES],'2023'!T$2,Tabla2[TIPUS],'2023'!$A202)</f>
        <v>290</v>
      </c>
      <c r="U202" s="21">
        <f>IF(T$197=0,0,T202/T$197)</f>
        <v>0.93548387096774188</v>
      </c>
      <c r="V202" s="20">
        <f>SUMIFS(Tabla2[B],Tabla2[ANY],$Z$150,Tabla2[MES],'2023'!V$2,Tabla2[TIPUS],'2023'!$A202)</f>
        <v>210</v>
      </c>
      <c r="W202" s="21">
        <f>IF(V$197=0,0,V202/V$197)</f>
        <v>1</v>
      </c>
      <c r="X202" s="20">
        <f>SUMIFS(Tabla2[B],Tabla2[ANY],$Z$150,Tabla2[MES],'2023'!X$2,Tabla2[TIPUS],'2023'!$A202)</f>
        <v>420</v>
      </c>
      <c r="Y202" s="21">
        <f>IF(X$197=0,0,X202/X$197)</f>
        <v>0.48658417906297791</v>
      </c>
      <c r="Z202" s="20">
        <f t="shared" si="204"/>
        <v>2910</v>
      </c>
      <c r="AA202" s="21">
        <f>IF(Z$49=0,0,Z202/Z$49)</f>
        <v>0.36423556698729537</v>
      </c>
    </row>
    <row r="203" spans="1:27" ht="15.75" collapsed="1" thickBot="1" x14ac:dyDescent="0.25">
      <c r="A203" s="15" t="s">
        <v>121</v>
      </c>
      <c r="B203" s="26">
        <f>B151-B188</f>
        <v>2475</v>
      </c>
      <c r="C203" s="27">
        <f>IF(B151=0,0,B203/B151)</f>
        <v>0.78821656050955413</v>
      </c>
      <c r="D203" s="26">
        <f>D151-D188</f>
        <v>2077.9</v>
      </c>
      <c r="E203" s="27">
        <f>IF(D151=0,0,D203/D151)</f>
        <v>0.73684397163120574</v>
      </c>
      <c r="F203" s="26">
        <f>F151-F188</f>
        <v>2235</v>
      </c>
      <c r="G203" s="27">
        <f>IF(F151=0,0,F203/F151)</f>
        <v>0.88165680473372776</v>
      </c>
      <c r="H203" s="26">
        <f>H151-H188</f>
        <v>2850</v>
      </c>
      <c r="I203" s="27">
        <f>IF(H151=0,0,H203/H151)</f>
        <v>0.87962962962962965</v>
      </c>
      <c r="J203" s="26">
        <f>J151-J188</f>
        <v>1905</v>
      </c>
      <c r="K203" s="27">
        <f>IF(J151=0,0,J203/J151)</f>
        <v>0.82112068965517238</v>
      </c>
      <c r="L203" s="26">
        <f>L151-L188</f>
        <v>1990</v>
      </c>
      <c r="M203" s="27">
        <f>IF(L151=0,0,L203/L151)</f>
        <v>0.84143763213530653</v>
      </c>
      <c r="N203" s="26">
        <f>N151-N188</f>
        <v>1950</v>
      </c>
      <c r="O203" s="27">
        <f>IF(N151=0,0,N203/N151)</f>
        <v>0.79268292682926833</v>
      </c>
      <c r="P203" s="26">
        <f>P151-P188</f>
        <v>930</v>
      </c>
      <c r="Q203" s="27">
        <f>IF(P151=0,0,P203/P151)</f>
        <v>0.86111111111111116</v>
      </c>
      <c r="R203" s="26">
        <f>R151-R188</f>
        <v>2375</v>
      </c>
      <c r="S203" s="27">
        <f>IF(R151=0,0,R203/R151)</f>
        <v>0.86996336996336998</v>
      </c>
      <c r="T203" s="26">
        <f>T151-T188</f>
        <v>1875</v>
      </c>
      <c r="U203" s="27">
        <f>IF(T151=0,0,T203/T151)</f>
        <v>0.80299785867237683</v>
      </c>
      <c r="V203" s="26">
        <f>V151-V188</f>
        <v>1180</v>
      </c>
      <c r="W203" s="27">
        <f>IF(V151=0,0,V203/V151)</f>
        <v>0.76623376623376627</v>
      </c>
      <c r="X203" s="26">
        <f>X151-X188</f>
        <v>3251.84</v>
      </c>
      <c r="Y203" s="27">
        <f>IF(X151=0,0,X203/X151)</f>
        <v>0.76244783118405635</v>
      </c>
      <c r="Z203" s="26">
        <f>Z151-Z188</f>
        <v>25094.739999999998</v>
      </c>
      <c r="AA203" s="27">
        <f>IF(Z151=0,0,Z203/Z151)</f>
        <v>0.81397145637366197</v>
      </c>
    </row>
    <row r="204" spans="1:27" ht="16.5" thickTop="1" thickBot="1" x14ac:dyDescent="0.25">
      <c r="A204" s="13" t="s">
        <v>120</v>
      </c>
      <c r="B204" s="28">
        <f>B205</f>
        <v>0</v>
      </c>
      <c r="C204" s="29">
        <f>IF(B151=0,0,B204/B151)</f>
        <v>0</v>
      </c>
      <c r="D204" s="28">
        <f>D205</f>
        <v>0</v>
      </c>
      <c r="E204" s="29">
        <f>IF(D151=0,0,D204/D151)</f>
        <v>0</v>
      </c>
      <c r="F204" s="28">
        <f>F205</f>
        <v>0</v>
      </c>
      <c r="G204" s="29">
        <f>IF(F151=0,0,F204/F151)</f>
        <v>0</v>
      </c>
      <c r="H204" s="28">
        <f>H205</f>
        <v>0</v>
      </c>
      <c r="I204" s="29">
        <f>IF(H151=0,0,H204/H151)</f>
        <v>0</v>
      </c>
      <c r="J204" s="28">
        <f>J205</f>
        <v>0</v>
      </c>
      <c r="K204" s="29">
        <f>IF(J151=0,0,J204/J151)</f>
        <v>0</v>
      </c>
      <c r="L204" s="28">
        <f>L205</f>
        <v>0</v>
      </c>
      <c r="M204" s="29">
        <f>IF(L151=0,0,L204/L151)</f>
        <v>0</v>
      </c>
      <c r="N204" s="28">
        <f>N205</f>
        <v>0</v>
      </c>
      <c r="O204" s="29">
        <f>IF(N151=0,0,N204/N151)</f>
        <v>0</v>
      </c>
      <c r="P204" s="28">
        <f>P205</f>
        <v>0</v>
      </c>
      <c r="Q204" s="29">
        <f>IF(P151=0,0,P204/P151)</f>
        <v>0</v>
      </c>
      <c r="R204" s="28">
        <f>R205</f>
        <v>0</v>
      </c>
      <c r="S204" s="29">
        <f>IF(R151=0,0,R204/R151)</f>
        <v>0</v>
      </c>
      <c r="T204" s="28">
        <f>T205</f>
        <v>0</v>
      </c>
      <c r="U204" s="29">
        <f>IF(T151=0,0,T204/T151)</f>
        <v>0</v>
      </c>
      <c r="V204" s="28">
        <f>V205</f>
        <v>0</v>
      </c>
      <c r="W204" s="29">
        <f>IF(V151=0,0,V204/V151)</f>
        <v>0</v>
      </c>
      <c r="X204" s="28">
        <f>X205</f>
        <v>0</v>
      </c>
      <c r="Y204" s="29">
        <f>IF(X151=0,0,X204/X151)</f>
        <v>0</v>
      </c>
      <c r="Z204" s="28">
        <f>Z205</f>
        <v>0</v>
      </c>
      <c r="AA204" s="29">
        <f>IF(Z151=0,0,Z204/Z151)</f>
        <v>0</v>
      </c>
    </row>
    <row r="205" spans="1:27" outlineLevel="1" x14ac:dyDescent="0.2">
      <c r="A205" s="8" t="s">
        <v>81</v>
      </c>
      <c r="B205" s="20">
        <v>0</v>
      </c>
      <c r="C205" s="21">
        <f>IF(B204=0,0,B205/B204)</f>
        <v>0</v>
      </c>
      <c r="D205" s="20">
        <v>0</v>
      </c>
      <c r="E205" s="21">
        <f>IF(D204=0,0,D205/D204)</f>
        <v>0</v>
      </c>
      <c r="F205" s="20">
        <v>0</v>
      </c>
      <c r="G205" s="21">
        <f>IF(F204=0,0,F205/F204)</f>
        <v>0</v>
      </c>
      <c r="H205" s="20">
        <v>0</v>
      </c>
      <c r="I205" s="21">
        <f>IF(H204=0,0,H205/H204)</f>
        <v>0</v>
      </c>
      <c r="J205" s="20">
        <v>0</v>
      </c>
      <c r="K205" s="21">
        <f>IF(J204=0,0,J205/J204)</f>
        <v>0</v>
      </c>
      <c r="L205" s="20">
        <v>0</v>
      </c>
      <c r="M205" s="21">
        <f>IF(L204=0,0,L205/L204)</f>
        <v>0</v>
      </c>
      <c r="N205" s="20">
        <v>0</v>
      </c>
      <c r="O205" s="21">
        <f>IF(N204=0,0,N205/N204)</f>
        <v>0</v>
      </c>
      <c r="P205" s="20">
        <v>0</v>
      </c>
      <c r="Q205" s="21">
        <f>IF(P204=0,0,P205/P204)</f>
        <v>0</v>
      </c>
      <c r="R205" s="20">
        <v>0</v>
      </c>
      <c r="S205" s="21">
        <f>IF(R204=0,0,R205/R204)</f>
        <v>0</v>
      </c>
      <c r="T205" s="20">
        <v>0</v>
      </c>
      <c r="U205" s="21">
        <f>IF(T204=0,0,T205/T204)</f>
        <v>0</v>
      </c>
      <c r="V205" s="20">
        <v>0</v>
      </c>
      <c r="W205" s="21">
        <f>IF(V204=0,0,V205/V204)</f>
        <v>0</v>
      </c>
      <c r="X205" s="20">
        <v>0</v>
      </c>
      <c r="Y205" s="21">
        <f>IF(X204=0,0,X205/X204)</f>
        <v>0</v>
      </c>
      <c r="Z205" s="20">
        <f>B205+D205+F205+H205+J205+L205+N205+P205+R205+T205+V205+X205</f>
        <v>0</v>
      </c>
      <c r="AA205" s="21">
        <f>IF(Z204=0,0,Z205/Z204)</f>
        <v>0</v>
      </c>
    </row>
    <row r="206" spans="1:27" ht="15.75" thickBot="1" x14ac:dyDescent="0.25">
      <c r="A206" s="15" t="s">
        <v>122</v>
      </c>
      <c r="B206" s="26">
        <f>B203-B204</f>
        <v>2475</v>
      </c>
      <c r="C206" s="27">
        <f>IF(B$151=0,0,B206/B$151)</f>
        <v>0.78821656050955413</v>
      </c>
      <c r="D206" s="26">
        <f>D203-D204</f>
        <v>2077.9</v>
      </c>
      <c r="E206" s="27">
        <f>IF(D$151=0,0,D206/D$151)</f>
        <v>0.73684397163120574</v>
      </c>
      <c r="F206" s="26">
        <f>F203-F204</f>
        <v>2235</v>
      </c>
      <c r="G206" s="27">
        <f>IF(F$151=0,0,F206/F$151)</f>
        <v>0.88165680473372776</v>
      </c>
      <c r="H206" s="26">
        <f>H203-H204</f>
        <v>2850</v>
      </c>
      <c r="I206" s="27">
        <f>IF(H$151=0,0,H206/H$151)</f>
        <v>0.87962962962962965</v>
      </c>
      <c r="J206" s="26">
        <f>J203-J204</f>
        <v>1905</v>
      </c>
      <c r="K206" s="27">
        <f>IF(J$151=0,0,J206/J$151)</f>
        <v>0.82112068965517238</v>
      </c>
      <c r="L206" s="26">
        <f>L203-L204</f>
        <v>1990</v>
      </c>
      <c r="M206" s="27">
        <f>IF(L$151=0,0,L206/L$151)</f>
        <v>0.84143763213530653</v>
      </c>
      <c r="N206" s="26">
        <f>N203-N204</f>
        <v>1950</v>
      </c>
      <c r="O206" s="27">
        <f>IF(N$151=0,0,N206/N$151)</f>
        <v>0.79268292682926833</v>
      </c>
      <c r="P206" s="26">
        <f>P203-P204</f>
        <v>930</v>
      </c>
      <c r="Q206" s="27">
        <f>IF(P$151=0,0,P206/P$151)</f>
        <v>0.86111111111111116</v>
      </c>
      <c r="R206" s="26">
        <f>R203-R204</f>
        <v>2375</v>
      </c>
      <c r="S206" s="27">
        <f>IF(R$151=0,0,R206/R$151)</f>
        <v>0.86996336996336998</v>
      </c>
      <c r="T206" s="26">
        <f>T203-T204</f>
        <v>1875</v>
      </c>
      <c r="U206" s="27">
        <f>IF(T$151=0,0,T206/T$151)</f>
        <v>0.80299785867237683</v>
      </c>
      <c r="V206" s="26">
        <f>V203-V204</f>
        <v>1180</v>
      </c>
      <c r="W206" s="27">
        <f>IF(V$151=0,0,V206/V$151)</f>
        <v>0.76623376623376627</v>
      </c>
      <c r="X206" s="26">
        <f>X203-X204</f>
        <v>3251.84</v>
      </c>
      <c r="Y206" s="27">
        <f>IF(X$151=0,0,X206/X$151)</f>
        <v>0.76244783118405635</v>
      </c>
      <c r="Z206" s="26">
        <f>Z203-Z204</f>
        <v>25094.739999999998</v>
      </c>
      <c r="AA206" s="27">
        <f>IF(Z$3=0,0,Z206/Z$3)</f>
        <v>0.5115633472632759</v>
      </c>
    </row>
    <row r="207" spans="1:27" ht="16.5" thickTop="1" thickBot="1" x14ac:dyDescent="0.25">
      <c r="A207" s="13" t="s">
        <v>134</v>
      </c>
      <c r="B207" s="28">
        <f>B208</f>
        <v>0</v>
      </c>
      <c r="C207" s="29">
        <f>IF(B$151=0,0,B207/B$151)</f>
        <v>0</v>
      </c>
      <c r="D207" s="28">
        <f>D208</f>
        <v>0</v>
      </c>
      <c r="E207" s="29">
        <f>IF(D$151=0,0,D207/D$151)</f>
        <v>0</v>
      </c>
      <c r="F207" s="28">
        <f>F208</f>
        <v>0</v>
      </c>
      <c r="G207" s="29">
        <f>IF(F$151=0,0,F207/F$151)</f>
        <v>0</v>
      </c>
      <c r="H207" s="28">
        <f>H208</f>
        <v>0</v>
      </c>
      <c r="I207" s="29">
        <f>IF(H$151=0,0,H207/H$151)</f>
        <v>0</v>
      </c>
      <c r="J207" s="28">
        <f>J208</f>
        <v>0</v>
      </c>
      <c r="K207" s="29">
        <f>IF(J$151=0,0,J207/J$151)</f>
        <v>0</v>
      </c>
      <c r="L207" s="28">
        <f>L208</f>
        <v>0</v>
      </c>
      <c r="M207" s="29">
        <f>IF(L$151=0,0,L207/L$151)</f>
        <v>0</v>
      </c>
      <c r="N207" s="28">
        <f>N208</f>
        <v>0</v>
      </c>
      <c r="O207" s="29">
        <f>IF(N$151=0,0,N207/N$151)</f>
        <v>0</v>
      </c>
      <c r="P207" s="28">
        <f>P208</f>
        <v>0</v>
      </c>
      <c r="Q207" s="29">
        <f>IF(P$151=0,0,P207/P$151)</f>
        <v>0</v>
      </c>
      <c r="R207" s="28">
        <f>R208</f>
        <v>0</v>
      </c>
      <c r="S207" s="29">
        <f>IF(R$151=0,0,R207/R$151)</f>
        <v>0</v>
      </c>
      <c r="T207" s="28">
        <f>T208</f>
        <v>0</v>
      </c>
      <c r="U207" s="29">
        <f>IF(T$151=0,0,T207/T$151)</f>
        <v>0</v>
      </c>
      <c r="V207" s="28">
        <f>V208</f>
        <v>0</v>
      </c>
      <c r="W207" s="29">
        <f>IF(V$151=0,0,V207/V$151)</f>
        <v>0</v>
      </c>
      <c r="X207" s="28">
        <f>X208</f>
        <v>0</v>
      </c>
      <c r="Y207" s="29">
        <f>IF(X$151=0,0,X207/X$151)</f>
        <v>0</v>
      </c>
      <c r="Z207" s="28">
        <f>Z208</f>
        <v>0</v>
      </c>
      <c r="AA207" s="29">
        <f>IF(Z$3=0,0,Z207/Z$3)</f>
        <v>0</v>
      </c>
    </row>
    <row r="208" spans="1:27" hidden="1" outlineLevel="1" x14ac:dyDescent="0.2">
      <c r="A208" s="8" t="s">
        <v>133</v>
      </c>
      <c r="B208" s="20">
        <f>SUMIFS(Tabla2[B],Tabla2[ANY],2020,Tabla2[MES],'2023'!B$2,Tabla2[TIPUS],'2023'!$A208)</f>
        <v>0</v>
      </c>
      <c r="C208" s="44">
        <f>IF(B207=0,0,B208/B207)</f>
        <v>0</v>
      </c>
      <c r="D208" s="20">
        <f>SUMIFS(Tabla2[B],Tabla2[ANY],2020,Tabla2[MES],'2023'!D$2,Tabla2[TIPUS],'2023'!$A208)</f>
        <v>0</v>
      </c>
      <c r="E208" s="44">
        <f>IF(D207=0,0,D208/D207)</f>
        <v>0</v>
      </c>
      <c r="F208" s="20">
        <f>SUMIFS(Tabla2[B],Tabla2[ANY],2020,Tabla2[MES],'2023'!F$2,Tabla2[TIPUS],'2023'!$A208)</f>
        <v>0</v>
      </c>
      <c r="G208" s="44">
        <f>IF(F207=0,0,F208/F207)</f>
        <v>0</v>
      </c>
      <c r="H208" s="20">
        <f>SUMIFS(Tabla2[B],Tabla2[ANY],2020,Tabla2[MES],'2023'!H$2,Tabla2[TIPUS],'2023'!$A208)</f>
        <v>0</v>
      </c>
      <c r="I208" s="44">
        <f>IF(H207=0,0,H208/H207)</f>
        <v>0</v>
      </c>
      <c r="J208" s="20">
        <f>SUMIFS(Tabla2[B],Tabla2[ANY],2020,Tabla2[MES],'2023'!J$2,Tabla2[TIPUS],'2023'!$A208)</f>
        <v>0</v>
      </c>
      <c r="K208" s="44">
        <f>IF(J207=0,0,J208/J207)</f>
        <v>0</v>
      </c>
      <c r="L208" s="20">
        <f>SUMIFS(Tabla2[B],Tabla2[ANY],2020,Tabla2[MES],'2023'!L$2,Tabla2[TIPUS],'2023'!$A208)</f>
        <v>0</v>
      </c>
      <c r="M208" s="44">
        <f>IF(L207=0,0,L208/L207)</f>
        <v>0</v>
      </c>
      <c r="N208" s="20">
        <f>SUMIFS(Tabla2[B],Tabla2[ANY],2020,Tabla2[MES],'2023'!N$2,Tabla2[TIPUS],'2023'!$A208)</f>
        <v>0</v>
      </c>
      <c r="O208" s="44">
        <f>IF(N207=0,0,N208/N207)</f>
        <v>0</v>
      </c>
      <c r="P208" s="20">
        <f>SUMIFS(Tabla2[B],Tabla2[ANY],2020,Tabla2[MES],'2023'!P$2,Tabla2[TIPUS],'2023'!$A208)</f>
        <v>0</v>
      </c>
      <c r="Q208" s="44">
        <f>IF(P207=0,0,P208/P207)</f>
        <v>0</v>
      </c>
      <c r="R208" s="20">
        <f>SUMIFS(Tabla2[B],Tabla2[ANY],2020,Tabla2[MES],'2023'!R$2,Tabla2[TIPUS],'2023'!$A208)</f>
        <v>0</v>
      </c>
      <c r="S208" s="44">
        <f>IF(R207=0,0,R208/R207)</f>
        <v>0</v>
      </c>
      <c r="T208" s="20">
        <f>SUMIFS(Tabla2[B],Tabla2[ANY],2020,Tabla2[MES],'2023'!T$2,Tabla2[TIPUS],'2023'!$A208)</f>
        <v>0</v>
      </c>
      <c r="U208" s="44">
        <f>IF(T207=0,0,T208/T207)</f>
        <v>0</v>
      </c>
      <c r="V208" s="20">
        <f>SUMIFS(Tabla2[B],Tabla2[ANY],2020,Tabla2[MES],'2023'!V$2,Tabla2[TIPUS],'2023'!$A208)</f>
        <v>0</v>
      </c>
      <c r="W208" s="44">
        <f>IF(V207=0,0,V208/V207)</f>
        <v>0</v>
      </c>
      <c r="X208" s="20">
        <f>SUMIFS(Tabla2[B],Tabla2[ANY],2020,Tabla2[MES],'2023'!X$2,Tabla2[TIPUS],'2023'!$A208)</f>
        <v>0</v>
      </c>
      <c r="Y208" s="44">
        <f>IF(X207=0,0,X208/X207)</f>
        <v>0</v>
      </c>
      <c r="Z208" s="20">
        <f>B208+D208+F208+H208+J208+L208+N208+P208+R208+T208+V208+X208</f>
        <v>0</v>
      </c>
      <c r="AA208" s="44">
        <f>IF(Z207=0,0,Z208/Z207)</f>
        <v>0</v>
      </c>
    </row>
    <row r="209" spans="1:27" ht="15.75" collapsed="1" thickBot="1" x14ac:dyDescent="0.25">
      <c r="A209" s="15" t="s">
        <v>135</v>
      </c>
      <c r="B209" s="26">
        <f>B206-B208</f>
        <v>2475</v>
      </c>
      <c r="C209" s="27">
        <f>IF(B$151=0,0,B209/B$151)</f>
        <v>0.78821656050955413</v>
      </c>
      <c r="D209" s="26">
        <f>D206-D208</f>
        <v>2077.9</v>
      </c>
      <c r="E209" s="27">
        <f>IF(D$151=0,0,D209/D$151)</f>
        <v>0.73684397163120574</v>
      </c>
      <c r="F209" s="26">
        <f>F206-F208</f>
        <v>2235</v>
      </c>
      <c r="G209" s="27">
        <f>IF(F$151=0,0,F209/F$151)</f>
        <v>0.88165680473372776</v>
      </c>
      <c r="H209" s="26">
        <f>H206-H208</f>
        <v>2850</v>
      </c>
      <c r="I209" s="27">
        <f>IF(H$151=0,0,H209/H$151)</f>
        <v>0.87962962962962965</v>
      </c>
      <c r="J209" s="26">
        <f>J206-J208</f>
        <v>1905</v>
      </c>
      <c r="K209" s="27">
        <f>IF(J$151=0,0,J209/J$151)</f>
        <v>0.82112068965517238</v>
      </c>
      <c r="L209" s="26">
        <f>L206-L208</f>
        <v>1990</v>
      </c>
      <c r="M209" s="27">
        <f>IF(L$151=0,0,L209/L$151)</f>
        <v>0.84143763213530653</v>
      </c>
      <c r="N209" s="26">
        <f>N206-N208</f>
        <v>1950</v>
      </c>
      <c r="O209" s="27">
        <f>IF(N$151=0,0,N209/N$151)</f>
        <v>0.79268292682926833</v>
      </c>
      <c r="P209" s="26">
        <f>P206-P208</f>
        <v>930</v>
      </c>
      <c r="Q209" s="27">
        <f>IF(P$151=0,0,P209/P$151)</f>
        <v>0.86111111111111116</v>
      </c>
      <c r="R209" s="26">
        <f>R206-R208</f>
        <v>2375</v>
      </c>
      <c r="S209" s="27">
        <f>IF(R$151=0,0,R209/R$151)</f>
        <v>0.86996336996336998</v>
      </c>
      <c r="T209" s="26">
        <f>T206-T208</f>
        <v>1875</v>
      </c>
      <c r="U209" s="27">
        <f>IF(T$151=0,0,T209/T$151)</f>
        <v>0.80299785867237683</v>
      </c>
      <c r="V209" s="26">
        <f>V206-V208</f>
        <v>1180</v>
      </c>
      <c r="W209" s="27">
        <f>IF(V$151=0,0,V209/V$151)</f>
        <v>0.76623376623376627</v>
      </c>
      <c r="X209" s="26">
        <f>X206-X208</f>
        <v>3251.84</v>
      </c>
      <c r="Y209" s="27">
        <f>IF(X$151=0,0,X209/X$151)</f>
        <v>0.76244783118405635</v>
      </c>
      <c r="Z209" s="26">
        <f>Z206-Z208</f>
        <v>25094.739999999998</v>
      </c>
      <c r="AA209" s="27">
        <f>IF(Z$3=0,0,Z209/Z$3)</f>
        <v>0.5115633472632759</v>
      </c>
    </row>
    <row r="210" spans="1:27" ht="15.75" thickTop="1" x14ac:dyDescent="0.2">
      <c r="A210" s="8" t="s">
        <v>123</v>
      </c>
      <c r="B210" s="20">
        <f>SUMIFS(Tabla2[B],Tabla2[ANY],$Z$2,Tabla2[MES],'2023'!B$2,Tabla2[TIPUS],'2023'!$A210)</f>
        <v>0</v>
      </c>
      <c r="C210" s="21">
        <f>IF(B$151=0,0,B210/B$151)</f>
        <v>0</v>
      </c>
      <c r="D210" s="20">
        <f>SUMIFS(Tabla2[B],Tabla2[ANY],$Z$2,Tabla2[MES],'2023'!D$2,Tabla2[TIPUS],'2023'!$A210)</f>
        <v>0</v>
      </c>
      <c r="E210" s="21">
        <f>IF(D$151=0,0,D210/D$151)</f>
        <v>0</v>
      </c>
      <c r="F210" s="20">
        <f>SUMIFS(Tabla2[B],Tabla2[ANY],$Z$2,Tabla2[MES],'2023'!F$2,Tabla2[TIPUS],'2023'!$A210)</f>
        <v>0</v>
      </c>
      <c r="G210" s="21">
        <f>IF(F$151=0,0,F210/F$151)</f>
        <v>0</v>
      </c>
      <c r="H210" s="20">
        <f>SUMIFS(Tabla2[B],Tabla2[ANY],$Z$2,Tabla2[MES],'2023'!H$2,Tabla2[TIPUS],'2023'!$A210)</f>
        <v>0</v>
      </c>
      <c r="I210" s="21">
        <f>IF(H$151=0,0,H210/H$151)</f>
        <v>0</v>
      </c>
      <c r="J210" s="20">
        <f>SUMIFS(Tabla2[B],Tabla2[ANY],$Z$2,Tabla2[MES],'2023'!J$2,Tabla2[TIPUS],'2023'!$A210)</f>
        <v>0</v>
      </c>
      <c r="K210" s="21">
        <f>IF(J$151=0,0,J210/J$151)</f>
        <v>0</v>
      </c>
      <c r="L210" s="20">
        <f>SUMIFS(Tabla2[B],Tabla2[ANY],$Z$2,Tabla2[MES],'2023'!L$2,Tabla2[TIPUS],'2023'!$A210)</f>
        <v>0</v>
      </c>
      <c r="M210" s="21">
        <f>IF(L$151=0,0,L210/L$151)</f>
        <v>0</v>
      </c>
      <c r="N210" s="20">
        <f>SUMIFS(Tabla2[B],Tabla2[ANY],$Z$2,Tabla2[MES],'2023'!N$2,Tabla2[TIPUS],'2023'!$A210)</f>
        <v>0</v>
      </c>
      <c r="O210" s="21">
        <f>IF(N$151=0,0,N210/N$151)</f>
        <v>0</v>
      </c>
      <c r="P210" s="20">
        <f>SUMIFS(Tabla2[B],Tabla2[ANY],$Z$2,Tabla2[MES],'2023'!P$2,Tabla2[TIPUS],'2023'!$A210)</f>
        <v>0</v>
      </c>
      <c r="Q210" s="21">
        <f>IF(P$151=0,0,P210/P$151)</f>
        <v>0</v>
      </c>
      <c r="R210" s="20">
        <f>SUMIFS(Tabla2[B],Tabla2[ANY],$Z$2,Tabla2[MES],'2023'!R$2,Tabla2[TIPUS],'2023'!$A210)</f>
        <v>0</v>
      </c>
      <c r="S210" s="21">
        <f>IF(R$151=0,0,R210/R$151)</f>
        <v>0</v>
      </c>
      <c r="T210" s="20">
        <f>SUMIFS(Tabla2[B],Tabla2[ANY],$Z$2,Tabla2[MES],'2023'!T$2,Tabla2[TIPUS],'2023'!$A210)</f>
        <v>0</v>
      </c>
      <c r="U210" s="21">
        <f>IF(T$151=0,0,T210/T$151)</f>
        <v>0</v>
      </c>
      <c r="V210" s="20">
        <f>SUMIFS(Tabla2[B],Tabla2[ANY],$Z$2,Tabla2[MES],'2023'!V$2,Tabla2[TIPUS],'2023'!$A210)</f>
        <v>0</v>
      </c>
      <c r="W210" s="21">
        <f>IF(V$151=0,0,V210/V$151)</f>
        <v>0</v>
      </c>
      <c r="X210" s="20">
        <f>SUMIFS(Tabla2[B],Tabla2[ANY],2020,Tabla2[MES],'2023'!X$2,Tabla2[TIPUS],'2023'!$A210)</f>
        <v>0</v>
      </c>
      <c r="Y210" s="21">
        <f>IF(X$151=0,0,X210/X$151)</f>
        <v>0</v>
      </c>
      <c r="Z210" s="20">
        <f>B210+D210+F210+H210+J210+L210+N210+P210+R210+T210+V210+X210</f>
        <v>0</v>
      </c>
      <c r="AA210" s="21">
        <f>IF(Z$3=0,0,Z210/Z$3)</f>
        <v>0</v>
      </c>
    </row>
    <row r="211" spans="1:27" ht="15.75" thickBot="1" x14ac:dyDescent="0.25">
      <c r="A211" s="15" t="s">
        <v>124</v>
      </c>
      <c r="B211" s="26">
        <f>B209-B210</f>
        <v>2475</v>
      </c>
      <c r="C211" s="27">
        <f>IF(B151=0,0,B211/B151)</f>
        <v>0.78821656050955413</v>
      </c>
      <c r="D211" s="26">
        <f>D209-D210</f>
        <v>2077.9</v>
      </c>
      <c r="E211" s="27">
        <f>IF(D151=0,0,D211/D151)</f>
        <v>0.73684397163120574</v>
      </c>
      <c r="F211" s="26">
        <f>F209-F210</f>
        <v>2235</v>
      </c>
      <c r="G211" s="27">
        <f>IF(F151=0,0,F211/F151)</f>
        <v>0.88165680473372776</v>
      </c>
      <c r="H211" s="26">
        <f>H209-H210</f>
        <v>2850</v>
      </c>
      <c r="I211" s="27">
        <f>IF(H151=0,0,H211/H151)</f>
        <v>0.87962962962962965</v>
      </c>
      <c r="J211" s="26">
        <f>J209-J210</f>
        <v>1905</v>
      </c>
      <c r="K211" s="27">
        <f>IF(J151=0,0,J211/J151)</f>
        <v>0.82112068965517238</v>
      </c>
      <c r="L211" s="26">
        <f>L209-L210</f>
        <v>1990</v>
      </c>
      <c r="M211" s="27">
        <f>IF(L151=0,0,L211/L151)</f>
        <v>0.84143763213530653</v>
      </c>
      <c r="N211" s="26">
        <f>N209-N210</f>
        <v>1950</v>
      </c>
      <c r="O211" s="27">
        <f>IF(N151=0,0,N211/N151)</f>
        <v>0.79268292682926833</v>
      </c>
      <c r="P211" s="26">
        <f>P209-P210</f>
        <v>930</v>
      </c>
      <c r="Q211" s="27">
        <f>IF(P151=0,0,P211/P151)</f>
        <v>0.86111111111111116</v>
      </c>
      <c r="R211" s="26">
        <f>R209-R210</f>
        <v>2375</v>
      </c>
      <c r="S211" s="27">
        <f>IF(R151=0,0,R211/R151)</f>
        <v>0.86996336996336998</v>
      </c>
      <c r="T211" s="26">
        <f>T209-T210</f>
        <v>1875</v>
      </c>
      <c r="U211" s="27">
        <f>IF(T151=0,0,T211/T151)</f>
        <v>0.80299785867237683</v>
      </c>
      <c r="V211" s="26">
        <f>V209-V210</f>
        <v>1180</v>
      </c>
      <c r="W211" s="27">
        <f>IF(V151=0,0,V211/V151)</f>
        <v>0.76623376623376627</v>
      </c>
      <c r="X211" s="26">
        <f>X209-X210</f>
        <v>3251.84</v>
      </c>
      <c r="Y211" s="27">
        <f>IF(X151=0,0,X211/X151)</f>
        <v>0.76244783118405635</v>
      </c>
      <c r="Z211" s="26">
        <f>Z209-Z210</f>
        <v>25094.739999999998</v>
      </c>
      <c r="AA211" s="27">
        <f>IF(Z151=0,0,Z211/Z151)</f>
        <v>0.81397145637366197</v>
      </c>
    </row>
    <row r="212" spans="1:27" ht="16.5" thickTop="1" thickBot="1" x14ac:dyDescent="0.25">
      <c r="B212" s="30"/>
      <c r="C212" s="31"/>
      <c r="D212" s="30"/>
      <c r="E212" s="31"/>
      <c r="F212" s="30"/>
      <c r="G212" s="31"/>
      <c r="H212" s="30"/>
      <c r="I212" s="31"/>
      <c r="J212" s="30"/>
      <c r="K212" s="31"/>
      <c r="L212" s="30"/>
      <c r="M212" s="31"/>
      <c r="N212" s="30"/>
      <c r="O212" s="31"/>
      <c r="P212" s="30"/>
      <c r="Q212" s="31"/>
      <c r="R212" s="30"/>
      <c r="S212" s="31"/>
      <c r="T212" s="30"/>
      <c r="U212" s="31"/>
      <c r="V212" s="30"/>
      <c r="W212" s="31"/>
      <c r="X212" s="30"/>
      <c r="Y212" s="31"/>
      <c r="Z212" s="30"/>
      <c r="AA212" s="31"/>
    </row>
    <row r="213" spans="1:27" ht="15.75" thickBot="1" x14ac:dyDescent="0.25">
      <c r="A213" s="210" t="s">
        <v>136</v>
      </c>
    </row>
    <row r="214" spans="1:27" x14ac:dyDescent="0.2">
      <c r="A214" s="210"/>
      <c r="B214" s="208" t="s">
        <v>48</v>
      </c>
      <c r="C214" s="209"/>
      <c r="D214" s="208" t="s">
        <v>56</v>
      </c>
      <c r="E214" s="209"/>
      <c r="F214" s="208" t="s">
        <v>57</v>
      </c>
      <c r="G214" s="209"/>
      <c r="H214" s="208" t="s">
        <v>58</v>
      </c>
      <c r="I214" s="209"/>
      <c r="J214" s="208" t="s">
        <v>59</v>
      </c>
      <c r="K214" s="209"/>
      <c r="L214" s="208" t="s">
        <v>60</v>
      </c>
      <c r="M214" s="209"/>
      <c r="N214" s="208" t="s">
        <v>61</v>
      </c>
      <c r="O214" s="209"/>
      <c r="P214" s="208" t="s">
        <v>62</v>
      </c>
      <c r="Q214" s="209"/>
      <c r="R214" s="208" t="s">
        <v>236</v>
      </c>
      <c r="S214" s="209"/>
      <c r="T214" s="208" t="s">
        <v>63</v>
      </c>
      <c r="U214" s="209"/>
      <c r="V214" s="208" t="s">
        <v>64</v>
      </c>
      <c r="W214" s="209"/>
      <c r="X214" s="208" t="s">
        <v>65</v>
      </c>
      <c r="Y214" s="209"/>
      <c r="Z214" s="208">
        <f>Z2</f>
        <v>2023</v>
      </c>
      <c r="AA214" s="209"/>
    </row>
    <row r="215" spans="1:27" x14ac:dyDescent="0.2">
      <c r="A215" t="s">
        <v>125</v>
      </c>
      <c r="B215" s="20">
        <f>B151</f>
        <v>3140</v>
      </c>
      <c r="C215" s="38">
        <f t="shared" ref="C215:C221" si="208">B215</f>
        <v>3140</v>
      </c>
      <c r="D215" s="20">
        <f>D151</f>
        <v>2820</v>
      </c>
      <c r="E215" s="38">
        <f>C221+D215</f>
        <v>5295</v>
      </c>
      <c r="F215" s="20">
        <f>F151</f>
        <v>2535</v>
      </c>
      <c r="G215" s="38">
        <f>E221+F215</f>
        <v>7087.9</v>
      </c>
      <c r="H215" s="20">
        <f>H151</f>
        <v>3240</v>
      </c>
      <c r="I215" s="38">
        <f>G221+H215</f>
        <v>10027.9</v>
      </c>
      <c r="J215" s="20">
        <f>J151</f>
        <v>2320</v>
      </c>
      <c r="K215" s="38">
        <f>I221+J215</f>
        <v>11957.9</v>
      </c>
      <c r="L215" s="20">
        <f>L151</f>
        <v>2365</v>
      </c>
      <c r="M215" s="38">
        <f>K221+L215</f>
        <v>13907.9</v>
      </c>
      <c r="N215" s="20">
        <f>N151</f>
        <v>2460</v>
      </c>
      <c r="O215" s="38">
        <f>M221+N215</f>
        <v>15992.9</v>
      </c>
      <c r="P215" s="20">
        <f>P151</f>
        <v>1080</v>
      </c>
      <c r="Q215" s="38">
        <f>O221+P215</f>
        <v>16562.900000000001</v>
      </c>
      <c r="R215" s="20">
        <f>R151</f>
        <v>2730</v>
      </c>
      <c r="S215" s="38">
        <f>Q221+R215</f>
        <v>19142.900000000001</v>
      </c>
      <c r="T215" s="20">
        <f>T151</f>
        <v>2335</v>
      </c>
      <c r="U215" s="38">
        <f>S221+T215</f>
        <v>21122.9</v>
      </c>
      <c r="V215" s="20">
        <f>V151</f>
        <v>1540</v>
      </c>
      <c r="W215" s="38">
        <f>U221+V215</f>
        <v>21747.890000000003</v>
      </c>
      <c r="X215" s="20">
        <f>X151</f>
        <v>4265</v>
      </c>
      <c r="Y215" s="38">
        <f>W221+X215</f>
        <v>25652.890000000003</v>
      </c>
      <c r="Z215" s="200">
        <f>Z151</f>
        <v>30830</v>
      </c>
      <c r="AA215" s="201"/>
    </row>
    <row r="216" spans="1:27" x14ac:dyDescent="0.2">
      <c r="A216" t="s">
        <v>126</v>
      </c>
      <c r="B216" s="20">
        <f>B188</f>
        <v>665</v>
      </c>
      <c r="C216" s="38">
        <f t="shared" si="208"/>
        <v>665</v>
      </c>
      <c r="D216" s="20">
        <f>D188</f>
        <v>742.1</v>
      </c>
      <c r="E216" s="38">
        <f>D216</f>
        <v>742.1</v>
      </c>
      <c r="F216" s="20">
        <f>F188</f>
        <v>300</v>
      </c>
      <c r="G216" s="38">
        <f>F216</f>
        <v>300</v>
      </c>
      <c r="H216" s="20">
        <f>H188</f>
        <v>390</v>
      </c>
      <c r="I216" s="38">
        <f>H216</f>
        <v>390</v>
      </c>
      <c r="J216" s="20">
        <f>J188</f>
        <v>415</v>
      </c>
      <c r="K216" s="38">
        <f>J216</f>
        <v>415</v>
      </c>
      <c r="L216" s="20">
        <f>L188</f>
        <v>375</v>
      </c>
      <c r="M216" s="38">
        <f>L216</f>
        <v>375</v>
      </c>
      <c r="N216" s="20">
        <f>N188</f>
        <v>510</v>
      </c>
      <c r="O216" s="38">
        <f>N216</f>
        <v>510</v>
      </c>
      <c r="P216" s="20">
        <f>P188</f>
        <v>150</v>
      </c>
      <c r="Q216" s="38">
        <f>P216</f>
        <v>150</v>
      </c>
      <c r="R216" s="20">
        <f>R188</f>
        <v>355</v>
      </c>
      <c r="S216" s="38">
        <f>R216</f>
        <v>355</v>
      </c>
      <c r="T216" s="20">
        <f>T188</f>
        <v>460</v>
      </c>
      <c r="U216" s="38">
        <f>T216</f>
        <v>460</v>
      </c>
      <c r="V216" s="20">
        <f>V188</f>
        <v>360</v>
      </c>
      <c r="W216" s="38">
        <f>V216</f>
        <v>360</v>
      </c>
      <c r="X216" s="20">
        <f>X188</f>
        <v>1013.16</v>
      </c>
      <c r="Y216" s="38">
        <f>X216</f>
        <v>1013.16</v>
      </c>
      <c r="Z216" s="200">
        <f>Z188</f>
        <v>5735.26</v>
      </c>
      <c r="AA216" s="201"/>
    </row>
    <row r="217" spans="1:27" ht="15.75" thickBot="1" x14ac:dyDescent="0.25">
      <c r="A217" s="36" t="s">
        <v>127</v>
      </c>
      <c r="B217" s="37">
        <f>B215-B216</f>
        <v>2475</v>
      </c>
      <c r="C217" s="39">
        <f t="shared" si="208"/>
        <v>2475</v>
      </c>
      <c r="D217" s="37">
        <f t="shared" ref="D217:Y217" si="209">D215-D216</f>
        <v>2077.9</v>
      </c>
      <c r="E217" s="39">
        <f t="shared" si="209"/>
        <v>4552.8999999999996</v>
      </c>
      <c r="F217" s="37">
        <f t="shared" si="209"/>
        <v>2235</v>
      </c>
      <c r="G217" s="39">
        <f t="shared" si="209"/>
        <v>6787.9</v>
      </c>
      <c r="H217" s="37">
        <f t="shared" si="209"/>
        <v>2850</v>
      </c>
      <c r="I217" s="39">
        <f t="shared" si="209"/>
        <v>9637.9</v>
      </c>
      <c r="J217" s="37">
        <f t="shared" si="209"/>
        <v>1905</v>
      </c>
      <c r="K217" s="39">
        <f t="shared" si="209"/>
        <v>11542.9</v>
      </c>
      <c r="L217" s="37">
        <f t="shared" si="209"/>
        <v>1990</v>
      </c>
      <c r="M217" s="39">
        <f t="shared" si="209"/>
        <v>13532.9</v>
      </c>
      <c r="N217" s="37">
        <f t="shared" si="209"/>
        <v>1950</v>
      </c>
      <c r="O217" s="39">
        <f t="shared" si="209"/>
        <v>15482.9</v>
      </c>
      <c r="P217" s="37">
        <f t="shared" si="209"/>
        <v>930</v>
      </c>
      <c r="Q217" s="39">
        <f t="shared" si="209"/>
        <v>16412.900000000001</v>
      </c>
      <c r="R217" s="37">
        <f t="shared" si="209"/>
        <v>2375</v>
      </c>
      <c r="S217" s="39">
        <f t="shared" si="209"/>
        <v>18787.900000000001</v>
      </c>
      <c r="T217" s="37">
        <f t="shared" si="209"/>
        <v>1875</v>
      </c>
      <c r="U217" s="39">
        <f t="shared" si="209"/>
        <v>20662.900000000001</v>
      </c>
      <c r="V217" s="37">
        <f t="shared" si="209"/>
        <v>1180</v>
      </c>
      <c r="W217" s="39">
        <f t="shared" si="209"/>
        <v>21387.890000000003</v>
      </c>
      <c r="X217" s="37">
        <f t="shared" si="209"/>
        <v>3251.84</v>
      </c>
      <c r="Y217" s="39">
        <f t="shared" si="209"/>
        <v>24639.730000000003</v>
      </c>
      <c r="Z217" s="202">
        <f>Z215-Z216</f>
        <v>25094.739999999998</v>
      </c>
      <c r="AA217" s="203"/>
    </row>
    <row r="218" spans="1:27" x14ac:dyDescent="0.2">
      <c r="A218" s="2" t="s">
        <v>128</v>
      </c>
      <c r="B218" s="20">
        <f>-SUMIFS(Tabla2[B],Tabla2[ANY],$Z$214,Tabla2[MES],'2023'!B$2,Tabla2[TIPUS],'2023'!$A218)</f>
        <v>0</v>
      </c>
      <c r="C218" s="38">
        <f t="shared" si="208"/>
        <v>0</v>
      </c>
      <c r="D218" s="20">
        <f>-SUMIFS(Tabla2[B],Tabla2[ANY],$Z$214,Tabla2[MES],'2023'!D$2,Tabla2[TIPUS],'2023'!$A218)</f>
        <v>0</v>
      </c>
      <c r="E218" s="38">
        <f>D218</f>
        <v>0</v>
      </c>
      <c r="F218" s="20">
        <f>-SUMIFS(Tabla2[B],Tabla2[ANY],$Z$214,Tabla2[MES],'2023'!F$2,Tabla2[TIPUS],'2023'!$A218)</f>
        <v>0</v>
      </c>
      <c r="G218" s="38">
        <f>F218</f>
        <v>0</v>
      </c>
      <c r="H218" s="20">
        <f>-SUMIFS(Tabla2[B],Tabla2[ANY],$Z$214,Tabla2[MES],'2023'!H$2,Tabla2[TIPUS],'2023'!$A218)</f>
        <v>0</v>
      </c>
      <c r="I218" s="38">
        <f>H218</f>
        <v>0</v>
      </c>
      <c r="J218" s="20">
        <f>-SUMIFS(Tabla2[B],Tabla2[ANY],$Z$214,Tabla2[MES],'2023'!J$2,Tabla2[TIPUS],'2023'!$A218)</f>
        <v>0</v>
      </c>
      <c r="K218" s="38">
        <f>J218</f>
        <v>0</v>
      </c>
      <c r="L218" s="20">
        <f>-SUMIFS(Tabla2[B],Tabla2[ANY],$Z$214,Tabla2[MES],'2023'!L$2,Tabla2[TIPUS],'2023'!$A218)</f>
        <v>0</v>
      </c>
      <c r="M218" s="38">
        <f>L218</f>
        <v>0</v>
      </c>
      <c r="N218" s="20">
        <f>-SUMIFS(Tabla2[B],Tabla2[ANY],$Z$214,Tabla2[MES],'2023'!N$2,Tabla2[TIPUS],'2023'!$A218)</f>
        <v>0</v>
      </c>
      <c r="O218" s="38">
        <f>N218</f>
        <v>0</v>
      </c>
      <c r="P218" s="20">
        <f>-SUMIFS(Tabla2[B],Tabla2[ANY],$Z$214,Tabla2[MES],'2023'!P$2,Tabla2[TIPUS],'2023'!$A218)</f>
        <v>0</v>
      </c>
      <c r="Q218" s="38">
        <f>P218</f>
        <v>0</v>
      </c>
      <c r="R218" s="20">
        <f>-SUMIFS(Tabla2[B],Tabla2[ANY],$Z$214,Tabla2[MES],'2023'!R$2,Tabla2[TIPUS],'2023'!$A218)</f>
        <v>0</v>
      </c>
      <c r="S218" s="38">
        <f>R218</f>
        <v>0</v>
      </c>
      <c r="T218" s="20">
        <f>-SUMIFS(Tabla2[B],Tabla2[ANY],$Z$214,Tabla2[MES],'2023'!T$2,Tabla2[TIPUS],'2023'!$A218)</f>
        <v>-455.01</v>
      </c>
      <c r="U218" s="38">
        <f>T218</f>
        <v>-455.01</v>
      </c>
      <c r="V218" s="20">
        <f>-SUMIFS(Tabla2[B],Tabla2[ANY],$Z$214,Tabla2[MES],'2023'!V$2,Tabla2[TIPUS],'2023'!$A218)</f>
        <v>0</v>
      </c>
      <c r="W218" s="38">
        <f>V218</f>
        <v>0</v>
      </c>
      <c r="X218" s="20">
        <f>-SUMIFS(Tabla2[B],Tabla2[ANY],$Z$214,Tabla2[MES],'2023'!X$2,Tabla2[TIPUS],'2023'!$A218)</f>
        <v>-99</v>
      </c>
      <c r="Y218" s="38">
        <f>X218</f>
        <v>-99</v>
      </c>
      <c r="Z218" s="204">
        <f>-SUMIFS(Tabla2[B],Tabla2[ANY],$Z$214,Tabla2[TIPUS],'2023'!$A218)</f>
        <v>-554.01</v>
      </c>
      <c r="AA218" s="205"/>
    </row>
    <row r="219" spans="1:27" x14ac:dyDescent="0.2">
      <c r="A219" t="s">
        <v>134</v>
      </c>
      <c r="B219" s="20">
        <f>-B207</f>
        <v>0</v>
      </c>
      <c r="C219" s="38">
        <f t="shared" si="208"/>
        <v>0</v>
      </c>
      <c r="D219" s="20">
        <f>-D207</f>
        <v>0</v>
      </c>
      <c r="E219" s="38">
        <f>D219</f>
        <v>0</v>
      </c>
      <c r="F219" s="20">
        <f>-F207</f>
        <v>0</v>
      </c>
      <c r="G219" s="38">
        <f>F219</f>
        <v>0</v>
      </c>
      <c r="H219" s="20">
        <f>-H207</f>
        <v>0</v>
      </c>
      <c r="I219" s="38">
        <f>H219</f>
        <v>0</v>
      </c>
      <c r="J219" s="20">
        <f>-J207</f>
        <v>0</v>
      </c>
      <c r="K219" s="38">
        <f>J219</f>
        <v>0</v>
      </c>
      <c r="L219" s="20">
        <f>-L207</f>
        <v>0</v>
      </c>
      <c r="M219" s="38">
        <f>L219</f>
        <v>0</v>
      </c>
      <c r="N219" s="20">
        <f>-N207</f>
        <v>0</v>
      </c>
      <c r="O219" s="38">
        <f>N219</f>
        <v>0</v>
      </c>
      <c r="P219" s="20">
        <f>-P207</f>
        <v>0</v>
      </c>
      <c r="Q219" s="38">
        <f>P219</f>
        <v>0</v>
      </c>
      <c r="R219" s="20">
        <f>-R207</f>
        <v>0</v>
      </c>
      <c r="S219" s="38">
        <f>R219</f>
        <v>0</v>
      </c>
      <c r="T219" s="20">
        <f>-T207</f>
        <v>0</v>
      </c>
      <c r="U219" s="38">
        <f>T219</f>
        <v>0</v>
      </c>
      <c r="V219" s="20">
        <f>-V207</f>
        <v>0</v>
      </c>
      <c r="W219" s="38">
        <f>V219</f>
        <v>0</v>
      </c>
      <c r="X219" s="20">
        <f>-X207</f>
        <v>0</v>
      </c>
      <c r="Y219" s="38">
        <f>X219</f>
        <v>0</v>
      </c>
      <c r="Z219" s="200">
        <f>-Z207</f>
        <v>0</v>
      </c>
      <c r="AA219" s="201"/>
    </row>
    <row r="220" spans="1:27" x14ac:dyDescent="0.2">
      <c r="A220" t="s">
        <v>130</v>
      </c>
      <c r="B220" s="23">
        <f>-B210</f>
        <v>0</v>
      </c>
      <c r="C220" s="35">
        <f t="shared" si="208"/>
        <v>0</v>
      </c>
      <c r="D220" s="23">
        <f>-D210</f>
        <v>0</v>
      </c>
      <c r="E220" s="35">
        <f>D220</f>
        <v>0</v>
      </c>
      <c r="F220" s="23">
        <f>-F210</f>
        <v>0</v>
      </c>
      <c r="G220" s="35">
        <f>F220</f>
        <v>0</v>
      </c>
      <c r="H220" s="23">
        <f>-H210</f>
        <v>0</v>
      </c>
      <c r="I220" s="35">
        <f>H220</f>
        <v>0</v>
      </c>
      <c r="J220" s="23">
        <f>-J210</f>
        <v>0</v>
      </c>
      <c r="K220" s="35">
        <f>J220</f>
        <v>0</v>
      </c>
      <c r="L220" s="23">
        <f>-L210</f>
        <v>0</v>
      </c>
      <c r="M220" s="35">
        <f>L220</f>
        <v>0</v>
      </c>
      <c r="N220" s="23">
        <f>-N210</f>
        <v>0</v>
      </c>
      <c r="O220" s="35">
        <f>N220</f>
        <v>0</v>
      </c>
      <c r="P220" s="23">
        <f>-P210</f>
        <v>0</v>
      </c>
      <c r="Q220" s="35">
        <f>P220</f>
        <v>0</v>
      </c>
      <c r="R220" s="23">
        <f>-R210</f>
        <v>0</v>
      </c>
      <c r="S220" s="35">
        <f>R220</f>
        <v>0</v>
      </c>
      <c r="T220" s="23">
        <f>-T210</f>
        <v>0</v>
      </c>
      <c r="U220" s="35">
        <f>T220</f>
        <v>0</v>
      </c>
      <c r="V220" s="23">
        <f>-V210</f>
        <v>0</v>
      </c>
      <c r="W220" s="35">
        <f>V220</f>
        <v>0</v>
      </c>
      <c r="X220" s="23">
        <f>-X210</f>
        <v>0</v>
      </c>
      <c r="Y220" s="35">
        <f>X220</f>
        <v>0</v>
      </c>
      <c r="Z220" s="206">
        <f>-Z210</f>
        <v>0</v>
      </c>
      <c r="AA220" s="207"/>
    </row>
    <row r="221" spans="1:27" ht="15.75" thickBot="1" x14ac:dyDescent="0.25">
      <c r="A221" s="36" t="s">
        <v>131</v>
      </c>
      <c r="B221" s="37">
        <f>B217+B218+B219+B220</f>
        <v>2475</v>
      </c>
      <c r="C221" s="39">
        <f t="shared" si="208"/>
        <v>2475</v>
      </c>
      <c r="D221" s="37">
        <f t="shared" ref="D221:Z221" si="210">D217+D218+D219+D220</f>
        <v>2077.9</v>
      </c>
      <c r="E221" s="39">
        <f t="shared" si="210"/>
        <v>4552.8999999999996</v>
      </c>
      <c r="F221" s="37">
        <f t="shared" si="210"/>
        <v>2235</v>
      </c>
      <c r="G221" s="39">
        <f t="shared" si="210"/>
        <v>6787.9</v>
      </c>
      <c r="H221" s="37">
        <f t="shared" si="210"/>
        <v>2850</v>
      </c>
      <c r="I221" s="39">
        <f t="shared" si="210"/>
        <v>9637.9</v>
      </c>
      <c r="J221" s="37">
        <f t="shared" si="210"/>
        <v>1905</v>
      </c>
      <c r="K221" s="39">
        <f t="shared" si="210"/>
        <v>11542.9</v>
      </c>
      <c r="L221" s="37">
        <f t="shared" si="210"/>
        <v>1990</v>
      </c>
      <c r="M221" s="39">
        <f t="shared" si="210"/>
        <v>13532.9</v>
      </c>
      <c r="N221" s="37">
        <f t="shared" si="210"/>
        <v>1950</v>
      </c>
      <c r="O221" s="39">
        <f t="shared" si="210"/>
        <v>15482.9</v>
      </c>
      <c r="P221" s="37">
        <f t="shared" si="210"/>
        <v>930</v>
      </c>
      <c r="Q221" s="39">
        <f t="shared" si="210"/>
        <v>16412.900000000001</v>
      </c>
      <c r="R221" s="37">
        <f t="shared" si="210"/>
        <v>2375</v>
      </c>
      <c r="S221" s="39">
        <f t="shared" si="210"/>
        <v>18787.900000000001</v>
      </c>
      <c r="T221" s="37">
        <f t="shared" si="210"/>
        <v>1419.99</v>
      </c>
      <c r="U221" s="39">
        <f t="shared" si="210"/>
        <v>20207.890000000003</v>
      </c>
      <c r="V221" s="37">
        <f t="shared" si="210"/>
        <v>1180</v>
      </c>
      <c r="W221" s="39">
        <f t="shared" si="210"/>
        <v>21387.890000000003</v>
      </c>
      <c r="X221" s="37">
        <f t="shared" si="210"/>
        <v>3152.84</v>
      </c>
      <c r="Y221" s="39">
        <f t="shared" si="210"/>
        <v>24540.730000000003</v>
      </c>
      <c r="Z221" s="202">
        <f t="shared" si="210"/>
        <v>24540.73</v>
      </c>
      <c r="AA221" s="203"/>
    </row>
  </sheetData>
  <mergeCells count="102">
    <mergeCell ref="Z216:AA216"/>
    <mergeCell ref="Z217:AA217"/>
    <mergeCell ref="Z218:AA218"/>
    <mergeCell ref="Z219:AA219"/>
    <mergeCell ref="Z220:AA220"/>
    <mergeCell ref="Z221:AA221"/>
    <mergeCell ref="R214:S214"/>
    <mergeCell ref="T214:U214"/>
    <mergeCell ref="V214:W214"/>
    <mergeCell ref="X214:Y214"/>
    <mergeCell ref="Z214:AA214"/>
    <mergeCell ref="Z215:AA215"/>
    <mergeCell ref="Z150:AA150"/>
    <mergeCell ref="A213:A214"/>
    <mergeCell ref="B214:C214"/>
    <mergeCell ref="D214:E214"/>
    <mergeCell ref="F214:G214"/>
    <mergeCell ref="H214:I214"/>
    <mergeCell ref="J214:K214"/>
    <mergeCell ref="L214:M214"/>
    <mergeCell ref="N214:O214"/>
    <mergeCell ref="P214:Q214"/>
    <mergeCell ref="N150:O150"/>
    <mergeCell ref="P150:Q150"/>
    <mergeCell ref="R150:S150"/>
    <mergeCell ref="T150:U150"/>
    <mergeCell ref="V150:W150"/>
    <mergeCell ref="X150:Y150"/>
    <mergeCell ref="B150:C150"/>
    <mergeCell ref="D150:E150"/>
    <mergeCell ref="F150:G150"/>
    <mergeCell ref="H150:I150"/>
    <mergeCell ref="J150:K150"/>
    <mergeCell ref="L150:M150"/>
    <mergeCell ref="Z142:AA142"/>
    <mergeCell ref="Z143:AA143"/>
    <mergeCell ref="Z144:AA144"/>
    <mergeCell ref="Z145:AA145"/>
    <mergeCell ref="Z146:AA146"/>
    <mergeCell ref="Z147:AA147"/>
    <mergeCell ref="R140:S140"/>
    <mergeCell ref="T140:U140"/>
    <mergeCell ref="V140:W140"/>
    <mergeCell ref="X140:Y140"/>
    <mergeCell ref="Z140:AA140"/>
    <mergeCell ref="Z141:AA141"/>
    <mergeCell ref="Z76:AA76"/>
    <mergeCell ref="A139:A140"/>
    <mergeCell ref="B140:C140"/>
    <mergeCell ref="D140:E140"/>
    <mergeCell ref="F140:G140"/>
    <mergeCell ref="H140:I140"/>
    <mergeCell ref="J140:K140"/>
    <mergeCell ref="L140:M140"/>
    <mergeCell ref="N140:O140"/>
    <mergeCell ref="P140:Q140"/>
    <mergeCell ref="N76:O76"/>
    <mergeCell ref="P76:Q76"/>
    <mergeCell ref="R76:S76"/>
    <mergeCell ref="T76:U76"/>
    <mergeCell ref="V76:W76"/>
    <mergeCell ref="X76:Y76"/>
    <mergeCell ref="B76:C76"/>
    <mergeCell ref="D76:E76"/>
    <mergeCell ref="F76:G76"/>
    <mergeCell ref="H76:I76"/>
    <mergeCell ref="J76:K76"/>
    <mergeCell ref="L76:M76"/>
    <mergeCell ref="Z68:AA68"/>
    <mergeCell ref="Z69:AA69"/>
    <mergeCell ref="Z70:AA70"/>
    <mergeCell ref="Z71:AA71"/>
    <mergeCell ref="Z72:AA72"/>
    <mergeCell ref="Z73:AA73"/>
    <mergeCell ref="R66:S66"/>
    <mergeCell ref="T66:U66"/>
    <mergeCell ref="V66:W66"/>
    <mergeCell ref="X66:Y66"/>
    <mergeCell ref="Z66:AA66"/>
    <mergeCell ref="Z67:AA67"/>
    <mergeCell ref="Z2:AA2"/>
    <mergeCell ref="A65:A66"/>
    <mergeCell ref="B66:C66"/>
    <mergeCell ref="D66:E66"/>
    <mergeCell ref="F66:G66"/>
    <mergeCell ref="H66:I66"/>
    <mergeCell ref="J66:K66"/>
    <mergeCell ref="L66:M66"/>
    <mergeCell ref="N66:O66"/>
    <mergeCell ref="P66:Q66"/>
    <mergeCell ref="N2:O2"/>
    <mergeCell ref="P2:Q2"/>
    <mergeCell ref="R2:S2"/>
    <mergeCell ref="T2:U2"/>
    <mergeCell ref="V2:W2"/>
    <mergeCell ref="X2:Y2"/>
    <mergeCell ref="B2:C2"/>
    <mergeCell ref="D2:E2"/>
    <mergeCell ref="F2:G2"/>
    <mergeCell ref="H2:I2"/>
    <mergeCell ref="J2:K2"/>
    <mergeCell ref="L2:M2"/>
  </mergeCells>
  <conditionalFormatting sqref="B55">
    <cfRule type="cellIs" dxfId="1055" priority="276" operator="greaterThan">
      <formula>0</formula>
    </cfRule>
    <cfRule type="cellIs" dxfId="1054" priority="275" operator="lessThan">
      <formula>0</formula>
    </cfRule>
  </conditionalFormatting>
  <conditionalFormatting sqref="B58">
    <cfRule type="cellIs" dxfId="1053" priority="272" operator="greaterThan">
      <formula>0</formula>
    </cfRule>
    <cfRule type="cellIs" dxfId="1052" priority="271" operator="lessThan">
      <formula>0</formula>
    </cfRule>
  </conditionalFormatting>
  <conditionalFormatting sqref="B61">
    <cfRule type="cellIs" dxfId="1051" priority="268" operator="greaterThan">
      <formula>0</formula>
    </cfRule>
    <cfRule type="cellIs" dxfId="1050" priority="267" operator="lessThan">
      <formula>0</formula>
    </cfRule>
  </conditionalFormatting>
  <conditionalFormatting sqref="B63">
    <cfRule type="cellIs" dxfId="1049" priority="270" operator="greaterThan">
      <formula>0</formula>
    </cfRule>
    <cfRule type="cellIs" dxfId="1048" priority="269" operator="lessThan">
      <formula>0</formula>
    </cfRule>
  </conditionalFormatting>
  <conditionalFormatting sqref="B129">
    <cfRule type="cellIs" dxfId="1047" priority="221" operator="lessThan">
      <formula>0</formula>
    </cfRule>
    <cfRule type="cellIs" dxfId="1046" priority="222" operator="greaterThan">
      <formula>0</formula>
    </cfRule>
  </conditionalFormatting>
  <conditionalFormatting sqref="B132">
    <cfRule type="cellIs" dxfId="1045" priority="218" operator="greaterThan">
      <formula>0</formula>
    </cfRule>
    <cfRule type="cellIs" dxfId="1044" priority="217" operator="lessThan">
      <formula>0</formula>
    </cfRule>
  </conditionalFormatting>
  <conditionalFormatting sqref="B135">
    <cfRule type="cellIs" dxfId="1043" priority="213" operator="lessThan">
      <formula>0</formula>
    </cfRule>
    <cfRule type="cellIs" dxfId="1042" priority="214" operator="greaterThan">
      <formula>0</formula>
    </cfRule>
  </conditionalFormatting>
  <conditionalFormatting sqref="B137">
    <cfRule type="cellIs" dxfId="1041" priority="216" operator="greaterThan">
      <formula>0</formula>
    </cfRule>
    <cfRule type="cellIs" dxfId="1040" priority="215" operator="lessThan">
      <formula>0</formula>
    </cfRule>
  </conditionalFormatting>
  <conditionalFormatting sqref="B203">
    <cfRule type="cellIs" dxfId="1039" priority="167" operator="lessThan">
      <formula>0</formula>
    </cfRule>
    <cfRule type="cellIs" dxfId="1038" priority="168" operator="greaterThan">
      <formula>0</formula>
    </cfRule>
  </conditionalFormatting>
  <conditionalFormatting sqref="B206">
    <cfRule type="cellIs" dxfId="1037" priority="164" operator="greaterThan">
      <formula>0</formula>
    </cfRule>
    <cfRule type="cellIs" dxfId="1036" priority="163" operator="lessThan">
      <formula>0</formula>
    </cfRule>
  </conditionalFormatting>
  <conditionalFormatting sqref="B209">
    <cfRule type="cellIs" dxfId="1035" priority="159" operator="lessThan">
      <formula>0</formula>
    </cfRule>
    <cfRule type="cellIs" dxfId="1034" priority="160" operator="greaterThan">
      <formula>0</formula>
    </cfRule>
  </conditionalFormatting>
  <conditionalFormatting sqref="B211">
    <cfRule type="cellIs" dxfId="1033" priority="162" operator="greaterThan">
      <formula>0</formula>
    </cfRule>
    <cfRule type="cellIs" dxfId="1032" priority="161" operator="lessThan">
      <formula>0</formula>
    </cfRule>
  </conditionalFormatting>
  <conditionalFormatting sqref="B69:Z69">
    <cfRule type="cellIs" dxfId="1031" priority="96" operator="greaterThan">
      <formula>0</formula>
    </cfRule>
    <cfRule type="cellIs" dxfId="1030" priority="95" operator="lessThan">
      <formula>0</formula>
    </cfRule>
  </conditionalFormatting>
  <conditionalFormatting sqref="B73:Z73">
    <cfRule type="cellIs" dxfId="1029" priority="90" operator="greaterThan">
      <formula>0</formula>
    </cfRule>
    <cfRule type="cellIs" dxfId="1028" priority="89" operator="lessThan">
      <formula>0</formula>
    </cfRule>
  </conditionalFormatting>
  <conditionalFormatting sqref="B143:Z143">
    <cfRule type="cellIs" dxfId="1027" priority="93" operator="lessThan">
      <formula>0</formula>
    </cfRule>
    <cfRule type="cellIs" dxfId="1026" priority="94" operator="greaterThan">
      <formula>0</formula>
    </cfRule>
  </conditionalFormatting>
  <conditionalFormatting sqref="B147:Z147">
    <cfRule type="cellIs" dxfId="1025" priority="75" operator="lessThan">
      <formula>0</formula>
    </cfRule>
    <cfRule type="cellIs" dxfId="1024" priority="76" operator="greaterThan">
      <formula>0</formula>
    </cfRule>
  </conditionalFormatting>
  <conditionalFormatting sqref="B217:Z217">
    <cfRule type="cellIs" dxfId="1023" priority="92" operator="greaterThan">
      <formula>0</formula>
    </cfRule>
    <cfRule type="cellIs" dxfId="1022" priority="91" operator="lessThan">
      <formula>0</formula>
    </cfRule>
  </conditionalFormatting>
  <conditionalFormatting sqref="B221:Z221">
    <cfRule type="cellIs" dxfId="1021" priority="74" operator="greaterThan">
      <formula>0</formula>
    </cfRule>
    <cfRule type="cellIs" dxfId="1020" priority="73" operator="lessThan">
      <formula>0</formula>
    </cfRule>
  </conditionalFormatting>
  <conditionalFormatting sqref="D55 F55 H55 J55 L55 N55 P55 R55 T55 V55 X55">
    <cfRule type="cellIs" dxfId="1019" priority="274" operator="greaterThan">
      <formula>0</formula>
    </cfRule>
    <cfRule type="cellIs" dxfId="1018" priority="273" operator="lessThan">
      <formula>0</formula>
    </cfRule>
  </conditionalFormatting>
  <conditionalFormatting sqref="D58">
    <cfRule type="cellIs" dxfId="1017" priority="71" operator="lessThan">
      <formula>0</formula>
    </cfRule>
    <cfRule type="cellIs" dxfId="1016" priority="72" operator="greaterThan">
      <formula>0</formula>
    </cfRule>
  </conditionalFormatting>
  <conditionalFormatting sqref="D61">
    <cfRule type="cellIs" dxfId="1015" priority="266" operator="greaterThan">
      <formula>0</formula>
    </cfRule>
    <cfRule type="cellIs" dxfId="1014" priority="265" operator="lessThan">
      <formula>0</formula>
    </cfRule>
  </conditionalFormatting>
  <conditionalFormatting sqref="D63">
    <cfRule type="cellIs" dxfId="1013" priority="243" operator="lessThan">
      <formula>0</formula>
    </cfRule>
    <cfRule type="cellIs" dxfId="1012" priority="244" operator="greaterThan">
      <formula>0</formula>
    </cfRule>
  </conditionalFormatting>
  <conditionalFormatting sqref="D129 F129 H129 J129 L129 N129 P129 R129 T129 V129 X129">
    <cfRule type="cellIs" dxfId="1011" priority="220" operator="greaterThan">
      <formula>0</formula>
    </cfRule>
    <cfRule type="cellIs" dxfId="1010" priority="219" operator="lessThan">
      <formula>0</formula>
    </cfRule>
  </conditionalFormatting>
  <conditionalFormatting sqref="D132">
    <cfRule type="cellIs" dxfId="1009" priority="47" operator="lessThan">
      <formula>0</formula>
    </cfRule>
    <cfRule type="cellIs" dxfId="1008" priority="48" operator="greaterThan">
      <formula>0</formula>
    </cfRule>
  </conditionalFormatting>
  <conditionalFormatting sqref="D135">
    <cfRule type="cellIs" dxfId="1007" priority="212" operator="greaterThan">
      <formula>0</formula>
    </cfRule>
    <cfRule type="cellIs" dxfId="1006" priority="211" operator="lessThan">
      <formula>0</formula>
    </cfRule>
  </conditionalFormatting>
  <conditionalFormatting sqref="D137">
    <cfRule type="cellIs" dxfId="1005" priority="189" operator="lessThan">
      <formula>0</formula>
    </cfRule>
    <cfRule type="cellIs" dxfId="1004" priority="190" operator="greaterThan">
      <formula>0</formula>
    </cfRule>
  </conditionalFormatting>
  <conditionalFormatting sqref="D203 F203 H203 J203 L203 N203 P203 R203 T203 V203 X203">
    <cfRule type="cellIs" dxfId="1003" priority="165" operator="lessThan">
      <formula>0</formula>
    </cfRule>
    <cfRule type="cellIs" dxfId="1002" priority="166" operator="greaterThan">
      <formula>0</formula>
    </cfRule>
  </conditionalFormatting>
  <conditionalFormatting sqref="D206">
    <cfRule type="cellIs" dxfId="1001" priority="23" operator="lessThan">
      <formula>0</formula>
    </cfRule>
    <cfRule type="cellIs" dxfId="1000" priority="24" operator="greaterThan">
      <formula>0</formula>
    </cfRule>
  </conditionalFormatting>
  <conditionalFormatting sqref="D209">
    <cfRule type="cellIs" dxfId="999" priority="151" operator="lessThan">
      <formula>0</formula>
    </cfRule>
    <cfRule type="cellIs" dxfId="998" priority="152" operator="greaterThan">
      <formula>0</formula>
    </cfRule>
  </conditionalFormatting>
  <conditionalFormatting sqref="D211">
    <cfRule type="cellIs" dxfId="997" priority="153" operator="lessThan">
      <formula>0</formula>
    </cfRule>
    <cfRule type="cellIs" dxfId="996" priority="154" operator="greaterThan">
      <formula>0</formula>
    </cfRule>
  </conditionalFormatting>
  <conditionalFormatting sqref="F58">
    <cfRule type="cellIs" dxfId="995" priority="69" operator="lessThan">
      <formula>0</formula>
    </cfRule>
    <cfRule type="cellIs" dxfId="994" priority="70" operator="greaterThan">
      <formula>0</formula>
    </cfRule>
  </conditionalFormatting>
  <conditionalFormatting sqref="F61">
    <cfRule type="cellIs" dxfId="993" priority="263" operator="lessThan">
      <formula>0</formula>
    </cfRule>
    <cfRule type="cellIs" dxfId="992" priority="264" operator="greaterThan">
      <formula>0</formula>
    </cfRule>
  </conditionalFormatting>
  <conditionalFormatting sqref="F63">
    <cfRule type="cellIs" dxfId="991" priority="241" operator="lessThan">
      <formula>0</formula>
    </cfRule>
    <cfRule type="cellIs" dxfId="990" priority="242" operator="greaterThan">
      <formula>0</formula>
    </cfRule>
  </conditionalFormatting>
  <conditionalFormatting sqref="F132">
    <cfRule type="cellIs" dxfId="989" priority="46" operator="greaterThan">
      <formula>0</formula>
    </cfRule>
    <cfRule type="cellIs" dxfId="988" priority="45" operator="lessThan">
      <formula>0</formula>
    </cfRule>
  </conditionalFormatting>
  <conditionalFormatting sqref="F135">
    <cfRule type="cellIs" dxfId="987" priority="209" operator="lessThan">
      <formula>0</formula>
    </cfRule>
    <cfRule type="cellIs" dxfId="986" priority="210" operator="greaterThan">
      <formula>0</formula>
    </cfRule>
  </conditionalFormatting>
  <conditionalFormatting sqref="F137">
    <cfRule type="cellIs" dxfId="985" priority="187" operator="lessThan">
      <formula>0</formula>
    </cfRule>
    <cfRule type="cellIs" dxfId="984" priority="188" operator="greaterThan">
      <formula>0</formula>
    </cfRule>
  </conditionalFormatting>
  <conditionalFormatting sqref="F206">
    <cfRule type="cellIs" dxfId="983" priority="22" operator="greaterThan">
      <formula>0</formula>
    </cfRule>
    <cfRule type="cellIs" dxfId="982" priority="21" operator="lessThan">
      <formula>0</formula>
    </cfRule>
  </conditionalFormatting>
  <conditionalFormatting sqref="F209">
    <cfRule type="cellIs" dxfId="981" priority="147" operator="lessThan">
      <formula>0</formula>
    </cfRule>
    <cfRule type="cellIs" dxfId="980" priority="148" operator="greaterThan">
      <formula>0</formula>
    </cfRule>
  </conditionalFormatting>
  <conditionalFormatting sqref="F211">
    <cfRule type="cellIs" dxfId="979" priority="149" operator="lessThan">
      <formula>0</formula>
    </cfRule>
    <cfRule type="cellIs" dxfId="978" priority="150" operator="greaterThan">
      <formula>0</formula>
    </cfRule>
  </conditionalFormatting>
  <conditionalFormatting sqref="H58">
    <cfRule type="cellIs" dxfId="977" priority="67" operator="lessThan">
      <formula>0</formula>
    </cfRule>
    <cfRule type="cellIs" dxfId="976" priority="68" operator="greaterThan">
      <formula>0</formula>
    </cfRule>
  </conditionalFormatting>
  <conditionalFormatting sqref="H61">
    <cfRule type="cellIs" dxfId="975" priority="262" operator="greaterThan">
      <formula>0</formula>
    </cfRule>
    <cfRule type="cellIs" dxfId="974" priority="261" operator="lessThan">
      <formula>0</formula>
    </cfRule>
  </conditionalFormatting>
  <conditionalFormatting sqref="H63">
    <cfRule type="cellIs" dxfId="973" priority="239" operator="lessThan">
      <formula>0</formula>
    </cfRule>
    <cfRule type="cellIs" dxfId="972" priority="240" operator="greaterThan">
      <formula>0</formula>
    </cfRule>
  </conditionalFormatting>
  <conditionalFormatting sqref="H132">
    <cfRule type="cellIs" dxfId="971" priority="44" operator="greaterThan">
      <formula>0</formula>
    </cfRule>
    <cfRule type="cellIs" dxfId="970" priority="43" operator="lessThan">
      <formula>0</formula>
    </cfRule>
  </conditionalFormatting>
  <conditionalFormatting sqref="H135">
    <cfRule type="cellIs" dxfId="969" priority="207" operator="lessThan">
      <formula>0</formula>
    </cfRule>
    <cfRule type="cellIs" dxfId="968" priority="208" operator="greaterThan">
      <formula>0</formula>
    </cfRule>
  </conditionalFormatting>
  <conditionalFormatting sqref="H137">
    <cfRule type="cellIs" dxfId="967" priority="186" operator="greaterThan">
      <formula>0</formula>
    </cfRule>
    <cfRule type="cellIs" dxfId="966" priority="185" operator="lessThan">
      <formula>0</formula>
    </cfRule>
  </conditionalFormatting>
  <conditionalFormatting sqref="H206">
    <cfRule type="cellIs" dxfId="965" priority="19" operator="lessThan">
      <formula>0</formula>
    </cfRule>
    <cfRule type="cellIs" dxfId="964" priority="20" operator="greaterThan">
      <formula>0</formula>
    </cfRule>
  </conditionalFormatting>
  <conditionalFormatting sqref="H209">
    <cfRule type="cellIs" dxfId="963" priority="143" operator="lessThan">
      <formula>0</formula>
    </cfRule>
    <cfRule type="cellIs" dxfId="962" priority="144" operator="greaterThan">
      <formula>0</formula>
    </cfRule>
  </conditionalFormatting>
  <conditionalFormatting sqref="H211">
    <cfRule type="cellIs" dxfId="961" priority="146" operator="greaterThan">
      <formula>0</formula>
    </cfRule>
    <cfRule type="cellIs" dxfId="960" priority="145" operator="lessThan">
      <formula>0</formula>
    </cfRule>
  </conditionalFormatting>
  <conditionalFormatting sqref="J58">
    <cfRule type="cellIs" dxfId="959" priority="65" operator="lessThan">
      <formula>0</formula>
    </cfRule>
    <cfRule type="cellIs" dxfId="958" priority="66" operator="greaterThan">
      <formula>0</formula>
    </cfRule>
  </conditionalFormatting>
  <conditionalFormatting sqref="J61">
    <cfRule type="cellIs" dxfId="957" priority="260" operator="greaterThan">
      <formula>0</formula>
    </cfRule>
    <cfRule type="cellIs" dxfId="956" priority="259" operator="lessThan">
      <formula>0</formula>
    </cfRule>
  </conditionalFormatting>
  <conditionalFormatting sqref="J63">
    <cfRule type="cellIs" dxfId="955" priority="237" operator="lessThan">
      <formula>0</formula>
    </cfRule>
    <cfRule type="cellIs" dxfId="954" priority="238" operator="greaterThan">
      <formula>0</formula>
    </cfRule>
  </conditionalFormatting>
  <conditionalFormatting sqref="J132">
    <cfRule type="cellIs" dxfId="953" priority="41" operator="lessThan">
      <formula>0</formula>
    </cfRule>
    <cfRule type="cellIs" dxfId="952" priority="42" operator="greaterThan">
      <formula>0</formula>
    </cfRule>
  </conditionalFormatting>
  <conditionalFormatting sqref="J135">
    <cfRule type="cellIs" dxfId="951" priority="206" operator="greaterThan">
      <formula>0</formula>
    </cfRule>
    <cfRule type="cellIs" dxfId="950" priority="205" operator="lessThan">
      <formula>0</formula>
    </cfRule>
  </conditionalFormatting>
  <conditionalFormatting sqref="J137">
    <cfRule type="cellIs" dxfId="949" priority="183" operator="lessThan">
      <formula>0</formula>
    </cfRule>
    <cfRule type="cellIs" dxfId="948" priority="184" operator="greaterThan">
      <formula>0</formula>
    </cfRule>
  </conditionalFormatting>
  <conditionalFormatting sqref="J206">
    <cfRule type="cellIs" dxfId="947" priority="18" operator="greaterThan">
      <formula>0</formula>
    </cfRule>
    <cfRule type="cellIs" dxfId="946" priority="17" operator="lessThan">
      <formula>0</formula>
    </cfRule>
  </conditionalFormatting>
  <conditionalFormatting sqref="J209">
    <cfRule type="cellIs" dxfId="945" priority="140" operator="greaterThan">
      <formula>0</formula>
    </cfRule>
    <cfRule type="cellIs" dxfId="944" priority="139" operator="lessThan">
      <formula>0</formula>
    </cfRule>
  </conditionalFormatting>
  <conditionalFormatting sqref="J211">
    <cfRule type="cellIs" dxfId="943" priority="142" operator="greaterThan">
      <formula>0</formula>
    </cfRule>
    <cfRule type="cellIs" dxfId="942" priority="141" operator="lessThan">
      <formula>0</formula>
    </cfRule>
  </conditionalFormatting>
  <conditionalFormatting sqref="L58">
    <cfRule type="cellIs" dxfId="941" priority="64" operator="greaterThan">
      <formula>0</formula>
    </cfRule>
    <cfRule type="cellIs" dxfId="940" priority="63" operator="lessThan">
      <formula>0</formula>
    </cfRule>
  </conditionalFormatting>
  <conditionalFormatting sqref="L61">
    <cfRule type="cellIs" dxfId="939" priority="258" operator="greaterThan">
      <formula>0</formula>
    </cfRule>
    <cfRule type="cellIs" dxfId="938" priority="257" operator="lessThan">
      <formula>0</formula>
    </cfRule>
  </conditionalFormatting>
  <conditionalFormatting sqref="L63">
    <cfRule type="cellIs" dxfId="937" priority="235" operator="lessThan">
      <formula>0</formula>
    </cfRule>
    <cfRule type="cellIs" dxfId="936" priority="236" operator="greaterThan">
      <formula>0</formula>
    </cfRule>
  </conditionalFormatting>
  <conditionalFormatting sqref="L132">
    <cfRule type="cellIs" dxfId="935" priority="39" operator="lessThan">
      <formula>0</formula>
    </cfRule>
    <cfRule type="cellIs" dxfId="934" priority="40" operator="greaterThan">
      <formula>0</formula>
    </cfRule>
  </conditionalFormatting>
  <conditionalFormatting sqref="L135">
    <cfRule type="cellIs" dxfId="933" priority="204" operator="greaterThan">
      <formula>0</formula>
    </cfRule>
    <cfRule type="cellIs" dxfId="932" priority="203" operator="lessThan">
      <formula>0</formula>
    </cfRule>
  </conditionalFormatting>
  <conditionalFormatting sqref="L137">
    <cfRule type="cellIs" dxfId="931" priority="181" operator="lessThan">
      <formula>0</formula>
    </cfRule>
    <cfRule type="cellIs" dxfId="930" priority="182" operator="greaterThan">
      <formula>0</formula>
    </cfRule>
  </conditionalFormatting>
  <conditionalFormatting sqref="L206">
    <cfRule type="cellIs" dxfId="929" priority="16" operator="greaterThan">
      <formula>0</formula>
    </cfRule>
    <cfRule type="cellIs" dxfId="928" priority="15" operator="lessThan">
      <formula>0</formula>
    </cfRule>
  </conditionalFormatting>
  <conditionalFormatting sqref="L209">
    <cfRule type="cellIs" dxfId="927" priority="135" operator="lessThan">
      <formula>0</formula>
    </cfRule>
    <cfRule type="cellIs" dxfId="926" priority="136" operator="greaterThan">
      <formula>0</formula>
    </cfRule>
  </conditionalFormatting>
  <conditionalFormatting sqref="L211">
    <cfRule type="cellIs" dxfId="925" priority="137" operator="lessThan">
      <formula>0</formula>
    </cfRule>
    <cfRule type="cellIs" dxfId="924" priority="138" operator="greaterThan">
      <formula>0</formula>
    </cfRule>
  </conditionalFormatting>
  <conditionalFormatting sqref="N58">
    <cfRule type="cellIs" dxfId="923" priority="61" operator="lessThan">
      <formula>0</formula>
    </cfRule>
    <cfRule type="cellIs" dxfId="922" priority="62" operator="greaterThan">
      <formula>0</formula>
    </cfRule>
  </conditionalFormatting>
  <conditionalFormatting sqref="N61">
    <cfRule type="cellIs" dxfId="921" priority="256" operator="greaterThan">
      <formula>0</formula>
    </cfRule>
    <cfRule type="cellIs" dxfId="920" priority="255" operator="lessThan">
      <formula>0</formula>
    </cfRule>
  </conditionalFormatting>
  <conditionalFormatting sqref="N63">
    <cfRule type="cellIs" dxfId="919" priority="233" operator="lessThan">
      <formula>0</formula>
    </cfRule>
    <cfRule type="cellIs" dxfId="918" priority="234" operator="greaterThan">
      <formula>0</formula>
    </cfRule>
  </conditionalFormatting>
  <conditionalFormatting sqref="N132">
    <cfRule type="cellIs" dxfId="917" priority="38" operator="greaterThan">
      <formula>0</formula>
    </cfRule>
    <cfRule type="cellIs" dxfId="916" priority="37" operator="lessThan">
      <formula>0</formula>
    </cfRule>
  </conditionalFormatting>
  <conditionalFormatting sqref="N135">
    <cfRule type="cellIs" dxfId="915" priority="201" operator="lessThan">
      <formula>0</formula>
    </cfRule>
    <cfRule type="cellIs" dxfId="914" priority="202" operator="greaterThan">
      <formula>0</formula>
    </cfRule>
  </conditionalFormatting>
  <conditionalFormatting sqref="N137">
    <cfRule type="cellIs" dxfId="913" priority="180" operator="greaterThan">
      <formula>0</formula>
    </cfRule>
    <cfRule type="cellIs" dxfId="912" priority="179" operator="lessThan">
      <formula>0</formula>
    </cfRule>
  </conditionalFormatting>
  <conditionalFormatting sqref="N206">
    <cfRule type="cellIs" dxfId="911" priority="14" operator="greaterThan">
      <formula>0</formula>
    </cfRule>
    <cfRule type="cellIs" dxfId="910" priority="13" operator="lessThan">
      <formula>0</formula>
    </cfRule>
  </conditionalFormatting>
  <conditionalFormatting sqref="N209">
    <cfRule type="cellIs" dxfId="909" priority="132" operator="greaterThan">
      <formula>0</formula>
    </cfRule>
    <cfRule type="cellIs" dxfId="908" priority="131" operator="lessThan">
      <formula>0</formula>
    </cfRule>
  </conditionalFormatting>
  <conditionalFormatting sqref="N211">
    <cfRule type="cellIs" dxfId="907" priority="134" operator="greaterThan">
      <formula>0</formula>
    </cfRule>
    <cfRule type="cellIs" dxfId="906" priority="133" operator="lessThan">
      <formula>0</formula>
    </cfRule>
  </conditionalFormatting>
  <conditionalFormatting sqref="P58">
    <cfRule type="cellIs" dxfId="905" priority="59" operator="lessThan">
      <formula>0</formula>
    </cfRule>
    <cfRule type="cellIs" dxfId="904" priority="60" operator="greaterThan">
      <formula>0</formula>
    </cfRule>
  </conditionalFormatting>
  <conditionalFormatting sqref="P61">
    <cfRule type="cellIs" dxfId="903" priority="254" operator="greaterThan">
      <formula>0</formula>
    </cfRule>
    <cfRule type="cellIs" dxfId="902" priority="253" operator="lessThan">
      <formula>0</formula>
    </cfRule>
  </conditionalFormatting>
  <conditionalFormatting sqref="P63">
    <cfRule type="cellIs" dxfId="901" priority="231" operator="lessThan">
      <formula>0</formula>
    </cfRule>
    <cfRule type="cellIs" dxfId="900" priority="232" operator="greaterThan">
      <formula>0</formula>
    </cfRule>
  </conditionalFormatting>
  <conditionalFormatting sqref="P132">
    <cfRule type="cellIs" dxfId="899" priority="36" operator="greaterThan">
      <formula>0</formula>
    </cfRule>
    <cfRule type="cellIs" dxfId="898" priority="35" operator="lessThan">
      <formula>0</formula>
    </cfRule>
  </conditionalFormatting>
  <conditionalFormatting sqref="P135">
    <cfRule type="cellIs" dxfId="897" priority="200" operator="greaterThan">
      <formula>0</formula>
    </cfRule>
    <cfRule type="cellIs" dxfId="896" priority="199" operator="lessThan">
      <formula>0</formula>
    </cfRule>
  </conditionalFormatting>
  <conditionalFormatting sqref="P137">
    <cfRule type="cellIs" dxfId="895" priority="178" operator="greaterThan">
      <formula>0</formula>
    </cfRule>
    <cfRule type="cellIs" dxfId="894" priority="177" operator="lessThan">
      <formula>0</formula>
    </cfRule>
  </conditionalFormatting>
  <conditionalFormatting sqref="P206">
    <cfRule type="cellIs" dxfId="893" priority="12" operator="greaterThan">
      <formula>0</formula>
    </cfRule>
    <cfRule type="cellIs" dxfId="892" priority="11" operator="lessThan">
      <formula>0</formula>
    </cfRule>
  </conditionalFormatting>
  <conditionalFormatting sqref="P209">
    <cfRule type="cellIs" dxfId="891" priority="128" operator="greaterThan">
      <formula>0</formula>
    </cfRule>
    <cfRule type="cellIs" dxfId="890" priority="127" operator="lessThan">
      <formula>0</formula>
    </cfRule>
  </conditionalFormatting>
  <conditionalFormatting sqref="P211">
    <cfRule type="cellIs" dxfId="889" priority="130" operator="greaterThan">
      <formula>0</formula>
    </cfRule>
    <cfRule type="cellIs" dxfId="888" priority="129" operator="lessThan">
      <formula>0</formula>
    </cfRule>
  </conditionalFormatting>
  <conditionalFormatting sqref="R58">
    <cfRule type="cellIs" dxfId="887" priority="58" operator="greaterThan">
      <formula>0</formula>
    </cfRule>
    <cfRule type="cellIs" dxfId="886" priority="57" operator="lessThan">
      <formula>0</formula>
    </cfRule>
  </conditionalFormatting>
  <conditionalFormatting sqref="R61">
    <cfRule type="cellIs" dxfId="885" priority="252" operator="greaterThan">
      <formula>0</formula>
    </cfRule>
    <cfRule type="cellIs" dxfId="884" priority="251" operator="lessThan">
      <formula>0</formula>
    </cfRule>
  </conditionalFormatting>
  <conditionalFormatting sqref="R63">
    <cfRule type="cellIs" dxfId="883" priority="229" operator="lessThan">
      <formula>0</formula>
    </cfRule>
    <cfRule type="cellIs" dxfId="882" priority="230" operator="greaterThan">
      <formula>0</formula>
    </cfRule>
  </conditionalFormatting>
  <conditionalFormatting sqref="R132">
    <cfRule type="cellIs" dxfId="881" priority="34" operator="greaterThan">
      <formula>0</formula>
    </cfRule>
    <cfRule type="cellIs" dxfId="880" priority="33" operator="lessThan">
      <formula>0</formula>
    </cfRule>
  </conditionalFormatting>
  <conditionalFormatting sqref="R135">
    <cfRule type="cellIs" dxfId="879" priority="197" operator="lessThan">
      <formula>0</formula>
    </cfRule>
    <cfRule type="cellIs" dxfId="878" priority="198" operator="greaterThan">
      <formula>0</formula>
    </cfRule>
  </conditionalFormatting>
  <conditionalFormatting sqref="R137">
    <cfRule type="cellIs" dxfId="877" priority="175" operator="lessThan">
      <formula>0</formula>
    </cfRule>
    <cfRule type="cellIs" dxfId="876" priority="176" operator="greaterThan">
      <formula>0</formula>
    </cfRule>
  </conditionalFormatting>
  <conditionalFormatting sqref="R206">
    <cfRule type="cellIs" dxfId="875" priority="9" operator="lessThan">
      <formula>0</formula>
    </cfRule>
    <cfRule type="cellIs" dxfId="874" priority="10" operator="greaterThan">
      <formula>0</formula>
    </cfRule>
  </conditionalFormatting>
  <conditionalFormatting sqref="R209">
    <cfRule type="cellIs" dxfId="873" priority="123" operator="lessThan">
      <formula>0</formula>
    </cfRule>
    <cfRule type="cellIs" dxfId="872" priority="124" operator="greaterThan">
      <formula>0</formula>
    </cfRule>
  </conditionalFormatting>
  <conditionalFormatting sqref="R211">
    <cfRule type="cellIs" dxfId="871" priority="125" operator="lessThan">
      <formula>0</formula>
    </cfRule>
    <cfRule type="cellIs" dxfId="870" priority="126" operator="greaterThan">
      <formula>0</formula>
    </cfRule>
  </conditionalFormatting>
  <conditionalFormatting sqref="T58">
    <cfRule type="cellIs" dxfId="869" priority="55" operator="lessThan">
      <formula>0</formula>
    </cfRule>
    <cfRule type="cellIs" dxfId="868" priority="56" operator="greaterThan">
      <formula>0</formula>
    </cfRule>
  </conditionalFormatting>
  <conditionalFormatting sqref="T61">
    <cfRule type="cellIs" dxfId="867" priority="250" operator="greaterThan">
      <formula>0</formula>
    </cfRule>
    <cfRule type="cellIs" dxfId="866" priority="249" operator="lessThan">
      <formula>0</formula>
    </cfRule>
  </conditionalFormatting>
  <conditionalFormatting sqref="T63">
    <cfRule type="cellIs" dxfId="865" priority="228" operator="greaterThan">
      <formula>0</formula>
    </cfRule>
    <cfRule type="cellIs" dxfId="864" priority="227" operator="lessThan">
      <formula>0</formula>
    </cfRule>
  </conditionalFormatting>
  <conditionalFormatting sqref="T132">
    <cfRule type="cellIs" dxfId="863" priority="32" operator="greaterThan">
      <formula>0</formula>
    </cfRule>
    <cfRule type="cellIs" dxfId="862" priority="31" operator="lessThan">
      <formula>0</formula>
    </cfRule>
  </conditionalFormatting>
  <conditionalFormatting sqref="T135">
    <cfRule type="cellIs" dxfId="861" priority="195" operator="lessThan">
      <formula>0</formula>
    </cfRule>
    <cfRule type="cellIs" dxfId="860" priority="196" operator="greaterThan">
      <formula>0</formula>
    </cfRule>
  </conditionalFormatting>
  <conditionalFormatting sqref="T137">
    <cfRule type="cellIs" dxfId="859" priority="174" operator="greaterThan">
      <formula>0</formula>
    </cfRule>
    <cfRule type="cellIs" dxfId="858" priority="173" operator="lessThan">
      <formula>0</formula>
    </cfRule>
  </conditionalFormatting>
  <conditionalFormatting sqref="T206">
    <cfRule type="cellIs" dxfId="857" priority="8" operator="greaterThan">
      <formula>0</formula>
    </cfRule>
    <cfRule type="cellIs" dxfId="856" priority="7" operator="lessThan">
      <formula>0</formula>
    </cfRule>
  </conditionalFormatting>
  <conditionalFormatting sqref="T209">
    <cfRule type="cellIs" dxfId="855" priority="119" operator="lessThan">
      <formula>0</formula>
    </cfRule>
    <cfRule type="cellIs" dxfId="854" priority="120" operator="greaterThan">
      <formula>0</formula>
    </cfRule>
  </conditionalFormatting>
  <conditionalFormatting sqref="T211">
    <cfRule type="cellIs" dxfId="853" priority="121" operator="lessThan">
      <formula>0</formula>
    </cfRule>
    <cfRule type="cellIs" dxfId="852" priority="122" operator="greaterThan">
      <formula>0</formula>
    </cfRule>
  </conditionalFormatting>
  <conditionalFormatting sqref="V58">
    <cfRule type="cellIs" dxfId="851" priority="54" operator="greaterThan">
      <formula>0</formula>
    </cfRule>
    <cfRule type="cellIs" dxfId="850" priority="53" operator="lessThan">
      <formula>0</formula>
    </cfRule>
  </conditionalFormatting>
  <conditionalFormatting sqref="V61">
    <cfRule type="cellIs" dxfId="849" priority="248" operator="greaterThan">
      <formula>0</formula>
    </cfRule>
    <cfRule type="cellIs" dxfId="848" priority="247" operator="lessThan">
      <formula>0</formula>
    </cfRule>
  </conditionalFormatting>
  <conditionalFormatting sqref="V63">
    <cfRule type="cellIs" dxfId="847" priority="226" operator="greaterThan">
      <formula>0</formula>
    </cfRule>
    <cfRule type="cellIs" dxfId="846" priority="225" operator="lessThan">
      <formula>0</formula>
    </cfRule>
  </conditionalFormatting>
  <conditionalFormatting sqref="V132">
    <cfRule type="cellIs" dxfId="845" priority="30" operator="greaterThan">
      <formula>0</formula>
    </cfRule>
    <cfRule type="cellIs" dxfId="844" priority="29" operator="lessThan">
      <formula>0</formula>
    </cfRule>
  </conditionalFormatting>
  <conditionalFormatting sqref="V135">
    <cfRule type="cellIs" dxfId="843" priority="194" operator="greaterThan">
      <formula>0</formula>
    </cfRule>
    <cfRule type="cellIs" dxfId="842" priority="193" operator="lessThan">
      <formula>0</formula>
    </cfRule>
  </conditionalFormatting>
  <conditionalFormatting sqref="V137">
    <cfRule type="cellIs" dxfId="841" priority="172" operator="greaterThan">
      <formula>0</formula>
    </cfRule>
    <cfRule type="cellIs" dxfId="840" priority="171" operator="lessThan">
      <formula>0</formula>
    </cfRule>
  </conditionalFormatting>
  <conditionalFormatting sqref="V206">
    <cfRule type="cellIs" dxfId="839" priority="5" operator="lessThan">
      <formula>0</formula>
    </cfRule>
    <cfRule type="cellIs" dxfId="838" priority="6" operator="greaterThan">
      <formula>0</formula>
    </cfRule>
  </conditionalFormatting>
  <conditionalFormatting sqref="V209">
    <cfRule type="cellIs" dxfId="837" priority="116" operator="greaterThan">
      <formula>0</formula>
    </cfRule>
    <cfRule type="cellIs" dxfId="836" priority="115" operator="lessThan">
      <formula>0</formula>
    </cfRule>
  </conditionalFormatting>
  <conditionalFormatting sqref="V211">
    <cfRule type="cellIs" dxfId="835" priority="118" operator="greaterThan">
      <formula>0</formula>
    </cfRule>
    <cfRule type="cellIs" dxfId="834" priority="117" operator="lessThan">
      <formula>0</formula>
    </cfRule>
  </conditionalFormatting>
  <conditionalFormatting sqref="X58">
    <cfRule type="cellIs" dxfId="833" priority="51" operator="lessThan">
      <formula>0</formula>
    </cfRule>
    <cfRule type="cellIs" dxfId="832" priority="52" operator="greaterThan">
      <formula>0</formula>
    </cfRule>
  </conditionalFormatting>
  <conditionalFormatting sqref="X61">
    <cfRule type="cellIs" dxfId="831" priority="245" operator="lessThan">
      <formula>0</formula>
    </cfRule>
    <cfRule type="cellIs" dxfId="830" priority="246" operator="greaterThan">
      <formula>0</formula>
    </cfRule>
  </conditionalFormatting>
  <conditionalFormatting sqref="X63">
    <cfRule type="cellIs" dxfId="829" priority="223" operator="lessThan">
      <formula>0</formula>
    </cfRule>
    <cfRule type="cellIs" dxfId="828" priority="224" operator="greaterThan">
      <formula>0</formula>
    </cfRule>
  </conditionalFormatting>
  <conditionalFormatting sqref="X132">
    <cfRule type="cellIs" dxfId="827" priority="28" operator="greaterThan">
      <formula>0</formula>
    </cfRule>
    <cfRule type="cellIs" dxfId="826" priority="27" operator="lessThan">
      <formula>0</formula>
    </cfRule>
  </conditionalFormatting>
  <conditionalFormatting sqref="X135">
    <cfRule type="cellIs" dxfId="825" priority="191" operator="lessThan">
      <formula>0</formula>
    </cfRule>
    <cfRule type="cellIs" dxfId="824" priority="192" operator="greaterThan">
      <formula>0</formula>
    </cfRule>
  </conditionalFormatting>
  <conditionalFormatting sqref="X137">
    <cfRule type="cellIs" dxfId="823" priority="169" operator="lessThan">
      <formula>0</formula>
    </cfRule>
    <cfRule type="cellIs" dxfId="822" priority="170" operator="greaterThan">
      <formula>0</formula>
    </cfRule>
  </conditionalFormatting>
  <conditionalFormatting sqref="X206">
    <cfRule type="cellIs" dxfId="821" priority="4" operator="greaterThan">
      <formula>0</formula>
    </cfRule>
    <cfRule type="cellIs" dxfId="820" priority="3" operator="lessThan">
      <formula>0</formula>
    </cfRule>
  </conditionalFormatting>
  <conditionalFormatting sqref="X209">
    <cfRule type="cellIs" dxfId="819" priority="112" operator="greaterThan">
      <formula>0</formula>
    </cfRule>
    <cfRule type="cellIs" dxfId="818" priority="111" operator="lessThan">
      <formula>0</formula>
    </cfRule>
  </conditionalFormatting>
  <conditionalFormatting sqref="X211">
    <cfRule type="cellIs" dxfId="817" priority="113" operator="lessThan">
      <formula>0</formula>
    </cfRule>
    <cfRule type="cellIs" dxfId="816" priority="114" operator="greaterThan">
      <formula>0</formula>
    </cfRule>
  </conditionalFormatting>
  <conditionalFormatting sqref="Z55">
    <cfRule type="cellIs" dxfId="815" priority="102" operator="greaterThan">
      <formula>0</formula>
    </cfRule>
    <cfRule type="cellIs" dxfId="814" priority="101" operator="lessThan">
      <formula>0</formula>
    </cfRule>
  </conditionalFormatting>
  <conditionalFormatting sqref="Z58">
    <cfRule type="cellIs" dxfId="813" priority="50" operator="greaterThan">
      <formula>0</formula>
    </cfRule>
    <cfRule type="cellIs" dxfId="812" priority="49" operator="lessThan">
      <formula>0</formula>
    </cfRule>
  </conditionalFormatting>
  <conditionalFormatting sqref="Z61">
    <cfRule type="cellIs" dxfId="811" priority="100" operator="greaterThan">
      <formula>0</formula>
    </cfRule>
    <cfRule type="cellIs" dxfId="810" priority="99" operator="lessThan">
      <formula>0</formula>
    </cfRule>
  </conditionalFormatting>
  <conditionalFormatting sqref="Z63">
    <cfRule type="cellIs" dxfId="809" priority="97" operator="lessThan">
      <formula>0</formula>
    </cfRule>
    <cfRule type="cellIs" dxfId="808" priority="98" operator="greaterThan">
      <formula>0</formula>
    </cfRule>
  </conditionalFormatting>
  <conditionalFormatting sqref="Z129">
    <cfRule type="cellIs" dxfId="807" priority="81" operator="lessThan">
      <formula>0</formula>
    </cfRule>
    <cfRule type="cellIs" dxfId="806" priority="82" operator="greaterThan">
      <formula>0</formula>
    </cfRule>
  </conditionalFormatting>
  <conditionalFormatting sqref="Z132">
    <cfRule type="cellIs" dxfId="805" priority="26" operator="greaterThan">
      <formula>0</formula>
    </cfRule>
    <cfRule type="cellIs" dxfId="804" priority="25" operator="lessThan">
      <formula>0</formula>
    </cfRule>
  </conditionalFormatting>
  <conditionalFormatting sqref="Z135">
    <cfRule type="cellIs" dxfId="803" priority="79" operator="lessThan">
      <formula>0</formula>
    </cfRule>
    <cfRule type="cellIs" dxfId="802" priority="80" operator="greaterThan">
      <formula>0</formula>
    </cfRule>
  </conditionalFormatting>
  <conditionalFormatting sqref="Z137">
    <cfRule type="cellIs" dxfId="801" priority="77" operator="lessThan">
      <formula>0</formula>
    </cfRule>
    <cfRule type="cellIs" dxfId="800" priority="78" operator="greaterThan">
      <formula>0</formula>
    </cfRule>
  </conditionalFormatting>
  <conditionalFormatting sqref="Z203">
    <cfRule type="cellIs" dxfId="799" priority="87" operator="lessThan">
      <formula>0</formula>
    </cfRule>
    <cfRule type="cellIs" dxfId="798" priority="88" operator="greaterThan">
      <formula>0</formula>
    </cfRule>
  </conditionalFormatting>
  <conditionalFormatting sqref="Z206">
    <cfRule type="cellIs" dxfId="797" priority="1" operator="lessThan">
      <formula>0</formula>
    </cfRule>
    <cfRule type="cellIs" dxfId="796" priority="2" operator="greaterThan">
      <formula>0</formula>
    </cfRule>
  </conditionalFormatting>
  <conditionalFormatting sqref="Z209">
    <cfRule type="cellIs" dxfId="795" priority="86" operator="greaterThan">
      <formula>0</formula>
    </cfRule>
    <cfRule type="cellIs" dxfId="794" priority="85" operator="lessThan">
      <formula>0</formula>
    </cfRule>
  </conditionalFormatting>
  <conditionalFormatting sqref="Z211">
    <cfRule type="cellIs" dxfId="793" priority="84" operator="greaterThan">
      <formula>0</formula>
    </cfRule>
    <cfRule type="cellIs" dxfId="792" priority="83" operator="lessThan">
      <formula>0</formula>
    </cfRule>
  </conditionalFormatting>
  <pageMargins left="0.7" right="0.7" top="0.75" bottom="0.75" header="0.3" footer="0.3"/>
  <pageSetup paperSize="9" orientation="portrait" horizontalDpi="0" verticalDpi="0"/>
  <headerFooter>
    <oddHeader>&amp;C&amp;"Calibri"&amp;10&amp;K000000 Internal&amp;1#_x000D_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/>
  </sheetPr>
  <dimension ref="A1:AE221"/>
  <sheetViews>
    <sheetView showGridLines="0" showRuler="0" topLeftCell="A2" workbookViewId="0">
      <pane xSplit="1" topLeftCell="Q2" activePane="topRight" state="frozen"/>
      <selection activeCell="A2" sqref="A2"/>
      <selection pane="topRight" activeCell="Z3" sqref="Z3"/>
    </sheetView>
  </sheetViews>
  <sheetFormatPr defaultColWidth="10.8515625" defaultRowHeight="15" outlineLevelRow="2" x14ac:dyDescent="0.2"/>
  <cols>
    <col min="1" max="1" width="22.31640625" bestFit="1" customWidth="1"/>
    <col min="2" max="11" width="10.8515625" customWidth="1"/>
    <col min="12" max="12" width="10.8515625" customWidth="1" collapsed="1"/>
    <col min="13" max="25" width="10.8515625" customWidth="1"/>
  </cols>
  <sheetData>
    <row r="1" spans="1:30" ht="6" customHeight="1" thickBot="1" x14ac:dyDescent="0.25"/>
    <row r="2" spans="1:30" x14ac:dyDescent="0.2">
      <c r="A2">
        <v>12</v>
      </c>
      <c r="B2" s="208" t="s">
        <v>48</v>
      </c>
      <c r="C2" s="209"/>
      <c r="D2" s="208" t="s">
        <v>56</v>
      </c>
      <c r="E2" s="209"/>
      <c r="F2" s="208" t="s">
        <v>57</v>
      </c>
      <c r="G2" s="209"/>
      <c r="H2" s="208" t="s">
        <v>58</v>
      </c>
      <c r="I2" s="209"/>
      <c r="J2" s="208" t="s">
        <v>59</v>
      </c>
      <c r="K2" s="209"/>
      <c r="L2" s="208" t="s">
        <v>60</v>
      </c>
      <c r="M2" s="209"/>
      <c r="N2" s="208" t="s">
        <v>61</v>
      </c>
      <c r="O2" s="209"/>
      <c r="P2" s="208" t="s">
        <v>62</v>
      </c>
      <c r="Q2" s="209"/>
      <c r="R2" s="208" t="s">
        <v>236</v>
      </c>
      <c r="S2" s="209"/>
      <c r="T2" s="208" t="s">
        <v>63</v>
      </c>
      <c r="U2" s="209"/>
      <c r="V2" s="208" t="s">
        <v>64</v>
      </c>
      <c r="W2" s="209"/>
      <c r="X2" s="208" t="s">
        <v>65</v>
      </c>
      <c r="Y2" s="209"/>
      <c r="Z2" s="208">
        <v>2022</v>
      </c>
      <c r="AA2" s="209"/>
    </row>
    <row r="3" spans="1:30" ht="15.75" thickBot="1" x14ac:dyDescent="0.25">
      <c r="A3" s="10" t="s">
        <v>66</v>
      </c>
      <c r="B3" s="16">
        <f>B4+B22</f>
        <v>1430</v>
      </c>
      <c r="C3" s="17">
        <f>IF(B3=0,0,(B3/B3))</f>
        <v>1</v>
      </c>
      <c r="D3" s="16">
        <f>D4+D22</f>
        <v>1855</v>
      </c>
      <c r="E3" s="17">
        <f>IF(D3=0,0,(D3/D3))</f>
        <v>1</v>
      </c>
      <c r="F3" s="16">
        <f t="shared" ref="F3:X3" si="0">F4+F22</f>
        <v>3125</v>
      </c>
      <c r="G3" s="17">
        <f>IF(F3=0,0,(F3/F3))</f>
        <v>1</v>
      </c>
      <c r="H3" s="16">
        <f t="shared" si="0"/>
        <v>4265</v>
      </c>
      <c r="I3" s="17">
        <f>IF(H3=0,0,(H3/H3))</f>
        <v>1</v>
      </c>
      <c r="J3" s="16">
        <f t="shared" si="0"/>
        <v>3875</v>
      </c>
      <c r="K3" s="17">
        <f>IF(J3=0,0,(J3/J3))</f>
        <v>1</v>
      </c>
      <c r="L3" s="16">
        <f t="shared" si="0"/>
        <v>3500</v>
      </c>
      <c r="M3" s="17">
        <f>IF(L3=0,0,(L3/L3))</f>
        <v>1</v>
      </c>
      <c r="N3" s="16">
        <f t="shared" si="0"/>
        <v>2995</v>
      </c>
      <c r="O3" s="17">
        <f>IF(N3=0,0,(N3/N3))</f>
        <v>1</v>
      </c>
      <c r="P3" s="16">
        <f t="shared" si="0"/>
        <v>1475</v>
      </c>
      <c r="Q3" s="17">
        <f>IF(P3=0,0,(P3/P3))</f>
        <v>1</v>
      </c>
      <c r="R3" s="16">
        <f t="shared" si="0"/>
        <v>3355</v>
      </c>
      <c r="S3" s="17">
        <f>IF(R3=0,0,(R3/R3))</f>
        <v>1</v>
      </c>
      <c r="T3" s="16">
        <f t="shared" si="0"/>
        <v>4115</v>
      </c>
      <c r="U3" s="17">
        <f>IF(T3=0,0,(T3/T3))</f>
        <v>1</v>
      </c>
      <c r="V3" s="16">
        <f t="shared" si="0"/>
        <v>2890</v>
      </c>
      <c r="W3" s="17">
        <f>IF(V3=0,0,(V3/V3))</f>
        <v>1</v>
      </c>
      <c r="X3" s="16">
        <f t="shared" si="0"/>
        <v>5010</v>
      </c>
      <c r="Y3" s="17">
        <f>IF(X3=0,0,(X3/X3))</f>
        <v>1</v>
      </c>
      <c r="Z3" s="16">
        <f>Z4+Z22</f>
        <v>37890</v>
      </c>
      <c r="AA3" s="17">
        <f>IF(Z3=0,0,(Z3/Z3))</f>
        <v>1</v>
      </c>
      <c r="AB3">
        <f>Z3/12</f>
        <v>3157.5</v>
      </c>
    </row>
    <row r="4" spans="1:30" x14ac:dyDescent="0.2">
      <c r="A4" s="32" t="s">
        <v>74</v>
      </c>
      <c r="B4" s="18">
        <f>SUM(B5:B12)</f>
        <v>1330</v>
      </c>
      <c r="C4" s="19">
        <f>IF(B$3=0,0,B4/B$3)</f>
        <v>0.93006993006993011</v>
      </c>
      <c r="D4" s="18">
        <f t="shared" ref="D4:X4" si="1">SUM(D5:D12)</f>
        <v>1735</v>
      </c>
      <c r="E4" s="19">
        <f>IF(D$3=0,0,D4/D$3)</f>
        <v>0.93530997304582209</v>
      </c>
      <c r="F4" s="18">
        <f t="shared" si="1"/>
        <v>2905</v>
      </c>
      <c r="G4" s="19">
        <f>IF(F$3=0,0,F4/F$3)</f>
        <v>0.92959999999999998</v>
      </c>
      <c r="H4" s="18">
        <f t="shared" si="1"/>
        <v>3980</v>
      </c>
      <c r="I4" s="19">
        <f>IF(H$3=0,0,H4/H$3)</f>
        <v>0.93317702227432586</v>
      </c>
      <c r="J4" s="18">
        <f t="shared" si="1"/>
        <v>3685</v>
      </c>
      <c r="K4" s="19">
        <f>IF(J$3=0,0,J4/J$3)</f>
        <v>0.95096774193548383</v>
      </c>
      <c r="L4" s="18">
        <f t="shared" si="1"/>
        <v>3355</v>
      </c>
      <c r="M4" s="19">
        <f>IF(L$3=0,0,L4/L$3)</f>
        <v>0.95857142857142852</v>
      </c>
      <c r="N4" s="18">
        <f t="shared" si="1"/>
        <v>2865</v>
      </c>
      <c r="O4" s="19">
        <f>IF(N$3=0,0,N4/N$3)</f>
        <v>0.95659432387312182</v>
      </c>
      <c r="P4" s="18">
        <f t="shared" si="1"/>
        <v>1415</v>
      </c>
      <c r="Q4" s="19">
        <f>IF(P$3=0,0,P4/P$3)</f>
        <v>0.95932203389830506</v>
      </c>
      <c r="R4" s="18">
        <f t="shared" si="1"/>
        <v>3045</v>
      </c>
      <c r="S4" s="19">
        <f>IF(R$3=0,0,R4/R$3)</f>
        <v>0.90760059612518629</v>
      </c>
      <c r="T4" s="18">
        <f t="shared" si="1"/>
        <v>3855</v>
      </c>
      <c r="U4" s="19">
        <f>IF(T$3=0,0,T4/T$3)</f>
        <v>0.93681652490887002</v>
      </c>
      <c r="V4" s="18">
        <f t="shared" si="1"/>
        <v>2710</v>
      </c>
      <c r="W4" s="19">
        <f>IF(V$3=0,0,V4/V$3)</f>
        <v>0.93771626297577859</v>
      </c>
      <c r="X4" s="18">
        <f t="shared" si="1"/>
        <v>4870</v>
      </c>
      <c r="Y4" s="19">
        <f>IF(X$3=0,0,X4/X$3)</f>
        <v>0.97205588822355293</v>
      </c>
      <c r="Z4" s="18">
        <f>SUM(Z5:Z12)</f>
        <v>35750</v>
      </c>
      <c r="AA4" s="19">
        <f>IF(Z$3=0,0,Z4/Z$3)</f>
        <v>0.94352071786751124</v>
      </c>
    </row>
    <row r="5" spans="1:30" hidden="1" outlineLevel="1" x14ac:dyDescent="0.2">
      <c r="A5" s="8" t="s">
        <v>67</v>
      </c>
      <c r="B5" s="20">
        <f>SUMIFS('Registre de reserves'!$P$2:$P$1178,'Registre de reserves'!$T$2:$T$1178,"SI",'Registre de reserves'!$I$2:$I$1178,'2022'!$A5,'Registre de reserves'!$B$2:$B$1178,'2022'!B$2,Tabla1[ANY],'2022'!$Z$2)+SUMIFS('Registre de reserves'!$U$2:$U$1178,'Registre de reserves'!$T$2:$T$1178,"RESERVA",'Registre de reserves'!$I$2:$I$1178,'2022'!$A5,'Registre de reserves'!$B$2:$B$1178,'2022'!B$2,Tabla1[ANY],'2022'!$Z$2)</f>
        <v>0</v>
      </c>
      <c r="C5" s="21">
        <f>IF(B$4=0,0,B5/B$4)</f>
        <v>0</v>
      </c>
      <c r="D5" s="20">
        <f>SUMIFS('Registre de reserves'!$P$2:$P$1178,'Registre de reserves'!$T$2:$T$1178,"SI",'Registre de reserves'!$I$2:$I$1178,'2022'!$A5,'Registre de reserves'!$B$2:$B$1178,'2022'!D$2,Tabla1[ANY],'2022'!$Z$2)+SUMIFS('Registre de reserves'!$U$2:$U$1178,'Registre de reserves'!$T$2:$T$1178,"RESERVA",'Registre de reserves'!$I$2:$I$1178,'2022'!$A5,'Registre de reserves'!$B$2:$B$1178,'2022'!D$2,Tabla1[ANY],'2022'!$Z$2)</f>
        <v>0</v>
      </c>
      <c r="E5" s="21">
        <f>IF(D$4=0,0,D5/D$4)</f>
        <v>0</v>
      </c>
      <c r="F5" s="20">
        <f>SUMIFS('Registre de reserves'!$P$2:$P$1178,'Registre de reserves'!$T$2:$T$1178,"SI",'Registre de reserves'!$I$2:$I$1178,'2022'!$A5,'Registre de reserves'!$B$2:$B$1178,'2022'!F$2,Tabla1[ANY],'2022'!$Z$2)+SUMIFS('Registre de reserves'!$U$2:$U$1178,'Registre de reserves'!$T$2:$T$1178,"RESERVA",'Registre de reserves'!$I$2:$I$1178,'2022'!$A5,'Registre de reserves'!$B$2:$B$1178,'2022'!F$2,Tabla1[ANY],'2022'!$Z$2)</f>
        <v>435</v>
      </c>
      <c r="G5" s="21">
        <f t="shared" ref="G5:G12" si="2">IF(F$4=0,0,F5/F$4)</f>
        <v>0.14974182444061962</v>
      </c>
      <c r="H5" s="20">
        <f>SUMIFS('Registre de reserves'!$P$2:$P$1178,'Registre de reserves'!$T$2:$T$1178,"SI",'Registre de reserves'!$I$2:$I$1178,'2022'!$A5,'Registre de reserves'!$B$2:$B$1178,'2022'!H$2,Tabla1[ANY],'2022'!$Z$2)+SUMIFS('Registre de reserves'!$U$2:$U$1178,'Registre de reserves'!$T$2:$T$1178,"RESERVA",'Registre de reserves'!$I$2:$I$1178,'2022'!$A5,'Registre de reserves'!$B$2:$B$1178,'2022'!H$2,Tabla1[ANY],'2022'!$Z$2)</f>
        <v>780</v>
      </c>
      <c r="I5" s="21">
        <f t="shared" ref="I5:I12" si="3">IF(H$4=0,0,H5/H$4)</f>
        <v>0.19597989949748743</v>
      </c>
      <c r="J5" s="20">
        <f>SUMIFS('Registre de reserves'!$P$2:$P$1178,'Registre de reserves'!$T$2:$T$1178,"SI",'Registre de reserves'!$I$2:$I$1178,'2022'!$A5,'Registre de reserves'!$B$2:$B$1178,'2022'!J$2,Tabla1[ANY],'2022'!$Z$2)+SUMIFS('Registre de reserves'!$U$2:$U$1178,'Registre de reserves'!$T$2:$T$1178,"RESERVA",'Registre de reserves'!$I$2:$I$1178,'2022'!$A5,'Registre de reserves'!$B$2:$B$1178,'2022'!J$2,Tabla1[ANY],'2022'!$Z$2)</f>
        <v>440</v>
      </c>
      <c r="K5" s="21">
        <f t="shared" ref="K5:K12" si="4">IF(J$4=0,0,J5/J$4)</f>
        <v>0.11940298507462686</v>
      </c>
      <c r="L5" s="20">
        <f>SUMIFS('Registre de reserves'!$P$2:$P$1178,'Registre de reserves'!$T$2:$T$1178,"SI",'Registre de reserves'!$I$2:$I$1178,'2022'!$A5,'Registre de reserves'!$B$2:$B$1178,'2022'!L$2,Tabla1[ANY],'2022'!$Z$2)+SUMIFS('Registre de reserves'!$U$2:$U$1178,'Registre de reserves'!$T$2:$T$1178,"RESERVA",'Registre de reserves'!$I$2:$I$1178,'2022'!$A5,'Registre de reserves'!$B$2:$B$1178,'2022'!L$2,Tabla1[ANY],'2022'!$Z$2)</f>
        <v>440</v>
      </c>
      <c r="M5" s="21">
        <f t="shared" ref="M5:M12" si="5">IF(L$4=0,0,L5/L$4)</f>
        <v>0.13114754098360656</v>
      </c>
      <c r="N5" s="20">
        <f>SUMIFS('Registre de reserves'!$P$2:$P$1178,'Registre de reserves'!$T$2:$T$1178,"SI",'Registre de reserves'!$I$2:$I$1178,'2022'!$A5,'Registre de reserves'!$B$2:$B$1178,'2022'!N$2,Tabla1[ANY],'2022'!$Z$2)+SUMIFS('Registre de reserves'!$U$2:$U$1178,'Registre de reserves'!$T$2:$T$1178,"RESERVA",'Registre de reserves'!$I$2:$I$1178,'2022'!$A5,'Registre de reserves'!$B$2:$B$1178,'2022'!N$2,Tabla1[ANY],'2022'!$Z$2)</f>
        <v>0</v>
      </c>
      <c r="O5" s="21">
        <f t="shared" ref="O5:O12" si="6">IF(N$4=0,0,N5/N$4)</f>
        <v>0</v>
      </c>
      <c r="P5" s="20">
        <f>SUMIFS('Registre de reserves'!$P$2:$P$1178,'Registre de reserves'!$T$2:$T$1178,"SI",'Registre de reserves'!$I$2:$I$1178,'2022'!$A5,'Registre de reserves'!$B$2:$B$1178,'2022'!P$2,Tabla1[ANY],'2022'!$Z$2)+SUMIFS('Registre de reserves'!$U$2:$U$1178,'Registre de reserves'!$T$2:$T$1178,"RESERVA",'Registre de reserves'!$I$2:$I$1178,'2022'!$A5,'Registre de reserves'!$B$2:$B$1178,'2022'!P$2,Tabla1[ANY],'2022'!$Z$2)</f>
        <v>0</v>
      </c>
      <c r="Q5" s="21">
        <f t="shared" ref="Q5:Q12" si="7">IF(P$4=0,0,P5/P$4)</f>
        <v>0</v>
      </c>
      <c r="R5" s="20">
        <f>SUMIFS('Registre de reserves'!$P$2:$P$1178,'Registre de reserves'!$T$2:$T$1178,"SI",'Registre de reserves'!$I$2:$I$1178,'2022'!$A5,'Registre de reserves'!$B$2:$B$1178,'2022'!R$2,Tabla1[ANY],'2022'!$Z$2)+SUMIFS('Registre de reserves'!$U$2:$U$1178,'Registre de reserves'!$T$2:$T$1178,"RESERVA",'Registre de reserves'!$I$2:$I$1178,'2022'!$A5,'Registre de reserves'!$B$2:$B$1178,'2022'!R$2,Tabla1[ANY],'2022'!$Z$2)</f>
        <v>450</v>
      </c>
      <c r="S5" s="21">
        <f t="shared" ref="S5:S12" si="8">IF(R$4=0,0,R5/R$4)</f>
        <v>0.14778325123152711</v>
      </c>
      <c r="T5" s="20">
        <f>SUMIFS('Registre de reserves'!$P$2:$P$1178,'Registre de reserves'!$T$2:$T$1178,"SI",'Registre de reserves'!$I$2:$I$1178,'2022'!$A5,'Registre de reserves'!$B$2:$B$1178,'2022'!T$2,Tabla1[ANY],'2022'!$Z$2)+SUMIFS('Registre de reserves'!$U$2:$U$1178,'Registre de reserves'!$T$2:$T$1178,"RESERVA",'Registre de reserves'!$I$2:$I$1178,'2022'!$A5,'Registre de reserves'!$B$2:$B$1178,'2022'!T$2,Tabla1[ANY],'2022'!$Z$2)</f>
        <v>600</v>
      </c>
      <c r="U5" s="21">
        <f t="shared" ref="U5:U12" si="9">IF(T$4=0,0,T5/T$4)</f>
        <v>0.1556420233463035</v>
      </c>
      <c r="V5" s="20">
        <f>SUMIFS('Registre de reserves'!$P$2:$P$1178,'Registre de reserves'!$T$2:$T$1178,"SI",'Registre de reserves'!$I$2:$I$1178,'2022'!$A5,'Registre de reserves'!$B$2:$B$1178,'2022'!V$2,Tabla1[ANY],'2022'!$Z$2)+SUMIFS('Registre de reserves'!$U$2:$U$1178,'Registre de reserves'!$T$2:$T$1178,"RESERVA",'Registre de reserves'!$I$2:$I$1178,'2022'!$A5,'Registre de reserves'!$B$2:$B$1178,'2022'!V$2,Tabla1[ANY],'2022'!$Z$2)</f>
        <v>600</v>
      </c>
      <c r="W5" s="21">
        <f t="shared" ref="W5:W12" si="10">IF(V$4=0,0,V5/V$4)</f>
        <v>0.22140221402214022</v>
      </c>
      <c r="X5" s="20">
        <f>SUMIFS('Registre de reserves'!$P$2:$P$1178,'Registre de reserves'!$T$2:$T$1178,"SI",'Registre de reserves'!$I$2:$I$1178,'2022'!$A5,'Registre de reserves'!$B$2:$B$1178,'2022'!X$2,Tabla1[ANY],'2022'!$Z$2)+SUMIFS('Registre de reserves'!$U$2:$U$1178,'Registre de reserves'!$T$2:$T$1178,"RESERVA",'Registre de reserves'!$I$2:$I$1178,'2022'!$A5,'Registre de reserves'!$B$2:$B$1178,'2022'!X$2,Tabla1[ANY],'2022'!$Z$2)</f>
        <v>680</v>
      </c>
      <c r="Y5" s="21">
        <f t="shared" ref="Y5:Y12" si="11">IF(X$4=0,0,X5/X$4)</f>
        <v>0.13963039014373715</v>
      </c>
      <c r="Z5" s="20">
        <f>B5+D5+F5+H5+J5+L5+N5+P5+R5+T5+V5+X5</f>
        <v>4425</v>
      </c>
      <c r="AA5" s="21">
        <f t="shared" ref="AA5:AA12" si="12">IF(Z$4=0,0,Z5/Z$4)</f>
        <v>0.12377622377622377</v>
      </c>
    </row>
    <row r="6" spans="1:30" hidden="1" outlineLevel="1" x14ac:dyDescent="0.2">
      <c r="A6" s="8" t="s">
        <v>68</v>
      </c>
      <c r="B6" s="20">
        <f>SUMIFS('Registre de reserves'!$P$2:$P$1178,'Registre de reserves'!$T$2:$T$1178,"SI",'Registre de reserves'!$I$2:$I$1178,'2022'!$A6,'Registre de reserves'!$B$2:$B$1178,'2022'!B$2,Tabla1[ANY],'2022'!$Z$2)+SUMIFS('Registre de reserves'!$U$2:$U$1178,'Registre de reserves'!$T$2:$T$1178,"RESERVA",'Registre de reserves'!$I$2:$I$1178,'2022'!$A6,'Registre de reserves'!$B$2:$B$1178,'2022'!B$2,Tabla1[ANY],'2022'!$Z$2)</f>
        <v>795</v>
      </c>
      <c r="C6" s="21">
        <f t="shared" ref="C6:E12" si="13">IF(B$4=0,0,B6/B$4)</f>
        <v>0.59774436090225569</v>
      </c>
      <c r="D6" s="20">
        <f>SUMIFS('Registre de reserves'!$P$2:$P$1178,'Registre de reserves'!$T$2:$T$1178,"SI",'Registre de reserves'!$I$2:$I$1178,'2022'!$A6,'Registre de reserves'!$B$2:$B$1178,'2022'!D$2,Tabla1[ANY],'2022'!$Z$2)+SUMIFS('Registre de reserves'!$U$2:$U$1178,'Registre de reserves'!$T$2:$T$1178,"RESERVA",'Registre de reserves'!$I$2:$I$1178,'2022'!$A6,'Registre de reserves'!$B$2:$B$1178,'2022'!D$2,Tabla1[ANY],'2022'!$Z$2)</f>
        <v>810</v>
      </c>
      <c r="E6" s="21">
        <f t="shared" si="13"/>
        <v>0.4668587896253602</v>
      </c>
      <c r="F6" s="20">
        <f>SUMIFS('Registre de reserves'!$P$2:$P$1178,'Registre de reserves'!$T$2:$T$1178,"SI",'Registre de reserves'!$I$2:$I$1178,'2022'!$A6,'Registre de reserves'!$B$2:$B$1178,'2022'!F$2,Tabla1[ANY],'2022'!$Z$2)+SUMIFS('Registre de reserves'!$U$2:$U$1178,'Registre de reserves'!$T$2:$T$1178,"RESERVA",'Registre de reserves'!$I$2:$I$1178,'2022'!$A6,'Registre de reserves'!$B$2:$B$1178,'2022'!F$2,Tabla1[ANY],'2022'!$Z$2)</f>
        <v>1145</v>
      </c>
      <c r="G6" s="21">
        <f t="shared" si="2"/>
        <v>0.39414802065404475</v>
      </c>
      <c r="H6" s="20">
        <f>SUMIFS('Registre de reserves'!$P$2:$P$1178,'Registre de reserves'!$T$2:$T$1178,"SI",'Registre de reserves'!$I$2:$I$1178,'2022'!$A6,'Registre de reserves'!$B$2:$B$1178,'2022'!H$2,Tabla1[ANY],'2022'!$Z$2)+SUMIFS('Registre de reserves'!$U$2:$U$1178,'Registre de reserves'!$T$2:$T$1178,"RESERVA",'Registre de reserves'!$I$2:$I$1178,'2022'!$A6,'Registre de reserves'!$B$2:$B$1178,'2022'!H$2,Tabla1[ANY],'2022'!$Z$2)</f>
        <v>1445</v>
      </c>
      <c r="I6" s="21">
        <f t="shared" si="3"/>
        <v>0.36306532663316582</v>
      </c>
      <c r="J6" s="20">
        <f>SUMIFS('Registre de reserves'!$P$2:$P$1178,'Registre de reserves'!$T$2:$T$1178,"SI",'Registre de reserves'!$I$2:$I$1178,'2022'!$A6,'Registre de reserves'!$B$2:$B$1178,'2022'!J$2,Tabla1[ANY],'2022'!$Z$2)+SUMIFS('Registre de reserves'!$U$2:$U$1178,'Registre de reserves'!$T$2:$T$1178,"RESERVA",'Registre de reserves'!$I$2:$I$1178,'2022'!$A6,'Registre de reserves'!$B$2:$B$1178,'2022'!J$2,Tabla1[ANY],'2022'!$Z$2)</f>
        <v>1450</v>
      </c>
      <c r="K6" s="21">
        <f t="shared" si="4"/>
        <v>0.39348710990502034</v>
      </c>
      <c r="L6" s="20">
        <f>SUMIFS('Registre de reserves'!$P$2:$P$1178,'Registre de reserves'!$T$2:$T$1178,"SI",'Registre de reserves'!$I$2:$I$1178,'2022'!$A6,'Registre de reserves'!$B$2:$B$1178,'2022'!L$2,Tabla1[ANY],'2022'!$Z$2)+SUMIFS('Registre de reserves'!$U$2:$U$1178,'Registre de reserves'!$T$2:$T$1178,"RESERVA",'Registre de reserves'!$I$2:$I$1178,'2022'!$A6,'Registre de reserves'!$B$2:$B$1178,'2022'!L$2,Tabla1[ANY],'2022'!$Z$2)</f>
        <v>685</v>
      </c>
      <c r="M6" s="21">
        <f t="shared" si="5"/>
        <v>0.20417287630402384</v>
      </c>
      <c r="N6" s="20">
        <f>SUMIFS('Registre de reserves'!$P$2:$P$1178,'Registre de reserves'!$T$2:$T$1178,"SI",'Registre de reserves'!$I$2:$I$1178,'2022'!$A6,'Registre de reserves'!$B$2:$B$1178,'2022'!N$2,Tabla1[ANY],'2022'!$Z$2)+SUMIFS('Registre de reserves'!$U$2:$U$1178,'Registre de reserves'!$T$2:$T$1178,"RESERVA",'Registre de reserves'!$I$2:$I$1178,'2022'!$A6,'Registre de reserves'!$B$2:$B$1178,'2022'!N$2,Tabla1[ANY],'2022'!$Z$2)</f>
        <v>875</v>
      </c>
      <c r="O6" s="21">
        <f t="shared" si="6"/>
        <v>0.30541012216404889</v>
      </c>
      <c r="P6" s="20">
        <f>SUMIFS('Registre de reserves'!$P$2:$P$1178,'Registre de reserves'!$T$2:$T$1178,"SI",'Registre de reserves'!$I$2:$I$1178,'2022'!$A6,'Registre de reserves'!$B$2:$B$1178,'2022'!P$2,Tabla1[ANY],'2022'!$Z$2)+SUMIFS('Registre de reserves'!$U$2:$U$1178,'Registre de reserves'!$T$2:$T$1178,"RESERVA",'Registre de reserves'!$I$2:$I$1178,'2022'!$A6,'Registre de reserves'!$B$2:$B$1178,'2022'!P$2,Tabla1[ANY],'2022'!$Z$2)</f>
        <v>395</v>
      </c>
      <c r="Q6" s="21">
        <f t="shared" si="7"/>
        <v>0.27915194346289751</v>
      </c>
      <c r="R6" s="20">
        <f>SUMIFS('Registre de reserves'!$P$2:$P$1178,'Registre de reserves'!$T$2:$T$1178,"SI",'Registre de reserves'!$I$2:$I$1178,'2022'!$A6,'Registre de reserves'!$B$2:$B$1178,'2022'!R$2,Tabla1[ANY],'2022'!$Z$2)+SUMIFS('Registre de reserves'!$U$2:$U$1178,'Registre de reserves'!$T$2:$T$1178,"RESERVA",'Registre de reserves'!$I$2:$I$1178,'2022'!$A6,'Registre de reserves'!$B$2:$B$1178,'2022'!R$2,Tabla1[ANY],'2022'!$Z$2)</f>
        <v>1120</v>
      </c>
      <c r="S6" s="21">
        <f t="shared" si="8"/>
        <v>0.36781609195402298</v>
      </c>
      <c r="T6" s="20">
        <f>SUMIFS('Registre de reserves'!$P$2:$P$1178,'Registre de reserves'!$T$2:$T$1178,"SI",'Registre de reserves'!$I$2:$I$1178,'2022'!$A6,'Registre de reserves'!$B$2:$B$1178,'2022'!T$2,Tabla1[ANY],'2022'!$Z$2)+SUMIFS('Registre de reserves'!$U$2:$U$1178,'Registre de reserves'!$T$2:$T$1178,"RESERVA",'Registre de reserves'!$I$2:$I$1178,'2022'!$A6,'Registre de reserves'!$B$2:$B$1178,'2022'!T$2,Tabla1[ANY],'2022'!$Z$2)</f>
        <v>1190</v>
      </c>
      <c r="U6" s="21">
        <f t="shared" si="9"/>
        <v>0.30869001297016863</v>
      </c>
      <c r="V6" s="20">
        <f>SUMIFS('Registre de reserves'!$P$2:$P$1178,'Registre de reserves'!$T$2:$T$1178,"SI",'Registre de reserves'!$I$2:$I$1178,'2022'!$A6,'Registre de reserves'!$B$2:$B$1178,'2022'!V$2,Tabla1[ANY],'2022'!$Z$2)+SUMIFS('Registre de reserves'!$U$2:$U$1178,'Registre de reserves'!$T$2:$T$1178,"RESERVA",'Registre de reserves'!$I$2:$I$1178,'2022'!$A6,'Registre de reserves'!$B$2:$B$1178,'2022'!V$2,Tabla1[ANY],'2022'!$Z$2)</f>
        <v>1020</v>
      </c>
      <c r="W6" s="21">
        <f t="shared" si="10"/>
        <v>0.37638376383763839</v>
      </c>
      <c r="X6" s="20">
        <f>SUMIFS('Registre de reserves'!$P$2:$P$1178,'Registre de reserves'!$T$2:$T$1178,"SI",'Registre de reserves'!$I$2:$I$1178,'2022'!$A6,'Registre de reserves'!$B$2:$B$1178,'2022'!X$2,Tabla1[ANY],'2022'!$Z$2)+SUMIFS('Registre de reserves'!$U$2:$U$1178,'Registre de reserves'!$T$2:$T$1178,"RESERVA",'Registre de reserves'!$I$2:$I$1178,'2022'!$A6,'Registre de reserves'!$B$2:$B$1178,'2022'!X$2,Tabla1[ANY],'2022'!$Z$2)</f>
        <v>930</v>
      </c>
      <c r="Y6" s="21">
        <f t="shared" si="11"/>
        <v>0.19096509240246407</v>
      </c>
      <c r="Z6" s="20">
        <f t="shared" ref="Z6:Z12" si="14">B6+D6+F6+H6+J6+L6+N6+P6+R6+T6+V6+X6</f>
        <v>11860</v>
      </c>
      <c r="AA6" s="21">
        <f t="shared" si="12"/>
        <v>0.33174825174825173</v>
      </c>
    </row>
    <row r="7" spans="1:30" hidden="1" outlineLevel="1" x14ac:dyDescent="0.2">
      <c r="A7" s="8" t="s">
        <v>4</v>
      </c>
      <c r="B7" s="20">
        <f>SUMIFS('Registre de reserves'!$P$2:$P$1178,'Registre de reserves'!$T$2:$T$1178,"SI",'Registre de reserves'!$I$2:$I$1178,'2022'!$A7,'Registre de reserves'!$B$2:$B$1178,'2022'!B$2,Tabla1[ANY],'2022'!$Z$2)+SUMIFS('Registre de reserves'!$U$2:$U$1178,'Registre de reserves'!$T$2:$T$1178,"RESERVA",'Registre de reserves'!$I$2:$I$1178,'2022'!$A7,'Registre de reserves'!$B$2:$B$1178,'2022'!B$2,Tabla1[ANY],'2022'!$Z$2)</f>
        <v>0</v>
      </c>
      <c r="C7" s="21">
        <f t="shared" si="13"/>
        <v>0</v>
      </c>
      <c r="D7" s="20">
        <f>SUMIFS('Registre de reserves'!$P$2:$P$1178,'Registre de reserves'!$T$2:$T$1178,"SI",'Registre de reserves'!$I$2:$I$1178,'2022'!$A7,'Registre de reserves'!$B$2:$B$1178,'2022'!D$2,Tabla1[ANY],'2022'!$Z$2)+SUMIFS('Registre de reserves'!$U$2:$U$1178,'Registre de reserves'!$T$2:$T$1178,"RESERVA",'Registre de reserves'!$I$2:$I$1178,'2022'!$A7,'Registre de reserves'!$B$2:$B$1178,'2022'!D$2,Tabla1[ANY],'2022'!$Z$2)</f>
        <v>145</v>
      </c>
      <c r="E7" s="21">
        <f t="shared" si="13"/>
        <v>8.3573487031700283E-2</v>
      </c>
      <c r="F7" s="20">
        <f>SUMIFS('Registre de reserves'!$P$2:$P$1178,'Registre de reserves'!$T$2:$T$1178,"SI",'Registre de reserves'!$I$2:$I$1178,'2022'!$A7,'Registre de reserves'!$B$2:$B$1178,'2022'!F$2,Tabla1[ANY],'2022'!$Z$2)+SUMIFS('Registre de reserves'!$U$2:$U$1178,'Registre de reserves'!$T$2:$T$1178,"RESERVA",'Registre de reserves'!$I$2:$I$1178,'2022'!$A7,'Registre de reserves'!$B$2:$B$1178,'2022'!F$2,Tabla1[ANY],'2022'!$Z$2)</f>
        <v>740</v>
      </c>
      <c r="G7" s="21">
        <f t="shared" si="2"/>
        <v>0.25473321858864029</v>
      </c>
      <c r="H7" s="20">
        <f>SUMIFS('Registre de reserves'!$P$2:$P$1178,'Registre de reserves'!$T$2:$T$1178,"SI",'Registre de reserves'!$I$2:$I$1178,'2022'!$A7,'Registre de reserves'!$B$2:$B$1178,'2022'!H$2,Tabla1[ANY],'2022'!$Z$2)+SUMIFS('Registre de reserves'!$U$2:$U$1178,'Registre de reserves'!$T$2:$T$1178,"RESERVA",'Registre de reserves'!$I$2:$I$1178,'2022'!$A7,'Registre de reserves'!$B$2:$B$1178,'2022'!H$2,Tabla1[ANY],'2022'!$Z$2)</f>
        <v>0</v>
      </c>
      <c r="I7" s="21">
        <f t="shared" si="3"/>
        <v>0</v>
      </c>
      <c r="J7" s="20">
        <f>SUMIFS('Registre de reserves'!$P$2:$P$1178,'Registre de reserves'!$T$2:$T$1178,"SI",'Registre de reserves'!$I$2:$I$1178,'2022'!$A7,'Registre de reserves'!$B$2:$B$1178,'2022'!J$2,Tabla1[ANY],'2022'!$Z$2)+SUMIFS('Registre de reserves'!$U$2:$U$1178,'Registre de reserves'!$T$2:$T$1178,"RESERVA",'Registre de reserves'!$I$2:$I$1178,'2022'!$A7,'Registre de reserves'!$B$2:$B$1178,'2022'!J$2,Tabla1[ANY],'2022'!$Z$2)</f>
        <v>930</v>
      </c>
      <c r="K7" s="21">
        <f t="shared" si="4"/>
        <v>0.25237449118046135</v>
      </c>
      <c r="L7" s="20">
        <f>SUMIFS('Registre de reserves'!$P$2:$P$1178,'Registre de reserves'!$T$2:$T$1178,"SI",'Registre de reserves'!$I$2:$I$1178,'2022'!$A7,'Registre de reserves'!$B$2:$B$1178,'2022'!L$2,Tabla1[ANY],'2022'!$Z$2)+SUMIFS('Registre de reserves'!$U$2:$U$1178,'Registre de reserves'!$T$2:$T$1178,"RESERVA",'Registre de reserves'!$I$2:$I$1178,'2022'!$A7,'Registre de reserves'!$B$2:$B$1178,'2022'!L$2,Tabla1[ANY],'2022'!$Z$2)</f>
        <v>2030</v>
      </c>
      <c r="M7" s="21">
        <f t="shared" si="5"/>
        <v>0.60506706408345756</v>
      </c>
      <c r="N7" s="20">
        <f>SUMIFS('Registre de reserves'!$P$2:$P$1178,'Registre de reserves'!$T$2:$T$1178,"SI",'Registre de reserves'!$I$2:$I$1178,'2022'!$A7,'Registre de reserves'!$B$2:$B$1178,'2022'!N$2,Tabla1[ANY],'2022'!$Z$2)+SUMIFS('Registre de reserves'!$U$2:$U$1178,'Registre de reserves'!$T$2:$T$1178,"RESERVA",'Registre de reserves'!$I$2:$I$1178,'2022'!$A7,'Registre de reserves'!$B$2:$B$1178,'2022'!N$2,Tabla1[ANY],'2022'!$Z$2)</f>
        <v>870</v>
      </c>
      <c r="O7" s="21">
        <f t="shared" si="6"/>
        <v>0.30366492146596857</v>
      </c>
      <c r="P7" s="20">
        <f>SUMIFS('Registre de reserves'!$P$2:$P$1178,'Registre de reserves'!$T$2:$T$1178,"SI",'Registre de reserves'!$I$2:$I$1178,'2022'!$A7,'Registre de reserves'!$B$2:$B$1178,'2022'!P$2,Tabla1[ANY],'2022'!$Z$2)+SUMIFS('Registre de reserves'!$U$2:$U$1178,'Registre de reserves'!$T$2:$T$1178,"RESERVA",'Registre de reserves'!$I$2:$I$1178,'2022'!$A7,'Registre de reserves'!$B$2:$B$1178,'2022'!P$2,Tabla1[ANY],'2022'!$Z$2)</f>
        <v>0</v>
      </c>
      <c r="Q7" s="21">
        <f t="shared" si="7"/>
        <v>0</v>
      </c>
      <c r="R7" s="20">
        <f>SUMIFS('Registre de reserves'!$P$2:$P$1178,'Registre de reserves'!$T$2:$T$1178,"SI",'Registre de reserves'!$I$2:$I$1178,'2022'!$A7,'Registre de reserves'!$B$2:$B$1178,'2022'!R$2,Tabla1[ANY],'2022'!$Z$2)+SUMIFS('Registre de reserves'!$U$2:$U$1178,'Registre de reserves'!$T$2:$T$1178,"RESERVA",'Registre de reserves'!$I$2:$I$1178,'2022'!$A7,'Registre de reserves'!$B$2:$B$1178,'2022'!R$2,Tabla1[ANY],'2022'!$Z$2)</f>
        <v>575</v>
      </c>
      <c r="S7" s="21">
        <f t="shared" si="8"/>
        <v>0.18883415435139572</v>
      </c>
      <c r="T7" s="20">
        <f>SUMIFS('Registre de reserves'!$P$2:$P$1178,'Registre de reserves'!$T$2:$T$1178,"SI",'Registre de reserves'!$I$2:$I$1178,'2022'!$A7,'Registre de reserves'!$B$2:$B$1178,'2022'!T$2,Tabla1[ANY],'2022'!$Z$2)+SUMIFS('Registre de reserves'!$U$2:$U$1178,'Registre de reserves'!$T$2:$T$1178,"RESERVA",'Registre de reserves'!$I$2:$I$1178,'2022'!$A7,'Registre de reserves'!$B$2:$B$1178,'2022'!T$2,Tabla1[ANY],'2022'!$Z$2)</f>
        <v>0</v>
      </c>
      <c r="U7" s="21">
        <f t="shared" si="9"/>
        <v>0</v>
      </c>
      <c r="V7" s="20">
        <f>SUMIFS('Registre de reserves'!$P$2:$P$1178,'Registre de reserves'!$T$2:$T$1178,"SI",'Registre de reserves'!$I$2:$I$1178,'2022'!$A7,'Registre de reserves'!$B$2:$B$1178,'2022'!V$2,Tabla1[ANY],'2022'!$Z$2)+SUMIFS('Registre de reserves'!$U$2:$U$1178,'Registre de reserves'!$T$2:$T$1178,"RESERVA",'Registre de reserves'!$I$2:$I$1178,'2022'!$A7,'Registre de reserves'!$B$2:$B$1178,'2022'!V$2,Tabla1[ANY],'2022'!$Z$2)</f>
        <v>290</v>
      </c>
      <c r="W7" s="21">
        <f t="shared" si="10"/>
        <v>0.1070110701107011</v>
      </c>
      <c r="X7" s="20">
        <f>SUMIFS('Registre de reserves'!$P$2:$P$1178,'Registre de reserves'!$T$2:$T$1178,"SI",'Registre de reserves'!$I$2:$I$1178,'2022'!$A7,'Registre de reserves'!$B$2:$B$1178,'2022'!X$2,Tabla1[ANY],'2022'!$Z$2)+SUMIFS('Registre de reserves'!$U$2:$U$1178,'Registre de reserves'!$T$2:$T$1178,"RESERVA",'Registre de reserves'!$I$2:$I$1178,'2022'!$A7,'Registre de reserves'!$B$2:$B$1178,'2022'!X$2,Tabla1[ANY],'2022'!$Z$2)</f>
        <v>620</v>
      </c>
      <c r="Y7" s="21">
        <f t="shared" si="11"/>
        <v>0.12731006160164271</v>
      </c>
      <c r="Z7" s="20">
        <f t="shared" si="14"/>
        <v>6200</v>
      </c>
      <c r="AA7" s="21">
        <f t="shared" si="12"/>
        <v>0.17342657342657342</v>
      </c>
    </row>
    <row r="8" spans="1:30" hidden="1" outlineLevel="1" x14ac:dyDescent="0.2">
      <c r="A8" s="8" t="s">
        <v>71</v>
      </c>
      <c r="B8" s="20">
        <f>SUMIFS('Registre de reserves'!$P$2:$P$1178,'Registre de reserves'!$T$2:$T$1178,"SI",'Registre de reserves'!$I$2:$I$1178,'2022'!$A8,'Registre de reserves'!$B$2:$B$1178,'2022'!B$2,Tabla1[ANY],'2022'!$Z$2)+SUMIFS('Registre de reserves'!$U$2:$U$1178,'Registre de reserves'!$T$2:$T$1178,"RESERVA",'Registre de reserves'!$I$2:$I$1178,'2022'!$A8,'Registre de reserves'!$B$2:$B$1178,'2022'!B$2,Tabla1[ANY],'2022'!$Z$2)</f>
        <v>145</v>
      </c>
      <c r="C8" s="21">
        <f t="shared" si="13"/>
        <v>0.10902255639097744</v>
      </c>
      <c r="D8" s="20">
        <f>SUMIFS('Registre de reserves'!$P$2:$P$1178,'Registre de reserves'!$T$2:$T$1178,"SI",'Registre de reserves'!$I$2:$I$1178,'2022'!$A8,'Registre de reserves'!$B$2:$B$1178,'2022'!D$2,Tabla1[ANY],'2022'!$Z$2)+SUMIFS('Registre de reserves'!$U$2:$U$1178,'Registre de reserves'!$T$2:$T$1178,"RESERVA",'Registre de reserves'!$I$2:$I$1178,'2022'!$A8,'Registre de reserves'!$B$2:$B$1178,'2022'!D$2,Tabla1[ANY],'2022'!$Z$2)</f>
        <v>0</v>
      </c>
      <c r="E8" s="21">
        <f t="shared" si="13"/>
        <v>0</v>
      </c>
      <c r="F8" s="20">
        <f>SUMIFS('Registre de reserves'!$P$2:$P$1178,'Registre de reserves'!$T$2:$T$1178,"SI",'Registre de reserves'!$I$2:$I$1178,'2022'!$A8,'Registre de reserves'!$B$2:$B$1178,'2022'!F$2,Tabla1[ANY],'2022'!$Z$2)+SUMIFS('Registre de reserves'!$U$2:$U$1178,'Registre de reserves'!$T$2:$T$1178,"RESERVA",'Registre de reserves'!$I$2:$I$1178,'2022'!$A8,'Registre de reserves'!$B$2:$B$1178,'2022'!F$2,Tabla1[ANY],'2022'!$Z$2)</f>
        <v>0</v>
      </c>
      <c r="G8" s="21">
        <f t="shared" si="2"/>
        <v>0</v>
      </c>
      <c r="H8" s="20">
        <f>SUMIFS('Registre de reserves'!$P$2:$P$1178,'Registre de reserves'!$T$2:$T$1178,"SI",'Registre de reserves'!$I$2:$I$1178,'2022'!$A8,'Registre de reserves'!$B$2:$B$1178,'2022'!H$2,Tabla1[ANY],'2022'!$Z$2)+SUMIFS('Registre de reserves'!$U$2:$U$1178,'Registre de reserves'!$T$2:$T$1178,"RESERVA",'Registre de reserves'!$I$2:$I$1178,'2022'!$A8,'Registre de reserves'!$B$2:$B$1178,'2022'!H$2,Tabla1[ANY],'2022'!$Z$2)</f>
        <v>0</v>
      </c>
      <c r="I8" s="21">
        <f t="shared" si="3"/>
        <v>0</v>
      </c>
      <c r="J8" s="20">
        <f>SUMIFS('Registre de reserves'!$P$2:$P$1178,'Registre de reserves'!$T$2:$T$1178,"SI",'Registre de reserves'!$I$2:$I$1178,'2022'!$A8,'Registre de reserves'!$B$2:$B$1178,'2022'!J$2,Tabla1[ANY],'2022'!$Z$2)+SUMIFS('Registre de reserves'!$U$2:$U$1178,'Registre de reserves'!$T$2:$T$1178,"RESERVA",'Registre de reserves'!$I$2:$I$1178,'2022'!$A8,'Registre de reserves'!$B$2:$B$1178,'2022'!J$2,Tabla1[ANY],'2022'!$Z$2)</f>
        <v>0</v>
      </c>
      <c r="K8" s="21">
        <f t="shared" si="4"/>
        <v>0</v>
      </c>
      <c r="L8" s="20">
        <f>SUMIFS('Registre de reserves'!$P$2:$P$1178,'Registre de reserves'!$T$2:$T$1178,"SI",'Registre de reserves'!$I$2:$I$1178,'2022'!$A8,'Registre de reserves'!$B$2:$B$1178,'2022'!L$2,Tabla1[ANY],'2022'!$Z$2)+SUMIFS('Registre de reserves'!$U$2:$U$1178,'Registre de reserves'!$T$2:$T$1178,"RESERVA",'Registre de reserves'!$I$2:$I$1178,'2022'!$A8,'Registre de reserves'!$B$2:$B$1178,'2022'!L$2,Tabla1[ANY],'2022'!$Z$2)</f>
        <v>0</v>
      </c>
      <c r="M8" s="21">
        <f t="shared" si="5"/>
        <v>0</v>
      </c>
      <c r="N8" s="20">
        <f>SUMIFS('Registre de reserves'!$P$2:$P$1178,'Registre de reserves'!$T$2:$T$1178,"SI",'Registre de reserves'!$I$2:$I$1178,'2022'!$A8,'Registre de reserves'!$B$2:$B$1178,'2022'!N$2,Tabla1[ANY],'2022'!$Z$2)+SUMIFS('Registre de reserves'!$U$2:$U$1178,'Registre de reserves'!$T$2:$T$1178,"RESERVA",'Registre de reserves'!$I$2:$I$1178,'2022'!$A8,'Registre de reserves'!$B$2:$B$1178,'2022'!N$2,Tabla1[ANY],'2022'!$Z$2)</f>
        <v>0</v>
      </c>
      <c r="O8" s="21">
        <f t="shared" si="6"/>
        <v>0</v>
      </c>
      <c r="P8" s="20">
        <f>SUMIFS('Registre de reserves'!$P$2:$P$1178,'Registre de reserves'!$T$2:$T$1178,"SI",'Registre de reserves'!$I$2:$I$1178,'2022'!$A8,'Registre de reserves'!$B$2:$B$1178,'2022'!P$2,Tabla1[ANY],'2022'!$Z$2)+SUMIFS('Registre de reserves'!$U$2:$U$1178,'Registre de reserves'!$T$2:$T$1178,"RESERVA",'Registre de reserves'!$I$2:$I$1178,'2022'!$A8,'Registre de reserves'!$B$2:$B$1178,'2022'!P$2,Tabla1[ANY],'2022'!$Z$2)</f>
        <v>0</v>
      </c>
      <c r="Q8" s="21">
        <f t="shared" si="7"/>
        <v>0</v>
      </c>
      <c r="R8" s="20">
        <f>SUMIFS('Registre de reserves'!$P$2:$P$1178,'Registre de reserves'!$T$2:$T$1178,"SI",'Registre de reserves'!$I$2:$I$1178,'2022'!$A8,'Registre de reserves'!$B$2:$B$1178,'2022'!R$2,Tabla1[ANY],'2022'!$Z$2)+SUMIFS('Registre de reserves'!$U$2:$U$1178,'Registre de reserves'!$T$2:$T$1178,"RESERVA",'Registre de reserves'!$I$2:$I$1178,'2022'!$A8,'Registre de reserves'!$B$2:$B$1178,'2022'!R$2,Tabla1[ANY],'2022'!$Z$2)</f>
        <v>0</v>
      </c>
      <c r="S8" s="21">
        <f t="shared" si="8"/>
        <v>0</v>
      </c>
      <c r="T8" s="20">
        <f>SUMIFS('Registre de reserves'!$P$2:$P$1178,'Registre de reserves'!$T$2:$T$1178,"SI",'Registre de reserves'!$I$2:$I$1178,'2022'!$A8,'Registre de reserves'!$B$2:$B$1178,'2022'!T$2,Tabla1[ANY],'2022'!$Z$2)+SUMIFS('Registre de reserves'!$U$2:$U$1178,'Registre de reserves'!$T$2:$T$1178,"RESERVA",'Registre de reserves'!$I$2:$I$1178,'2022'!$A8,'Registre de reserves'!$B$2:$B$1178,'2022'!T$2,Tabla1[ANY],'2022'!$Z$2)</f>
        <v>0</v>
      </c>
      <c r="U8" s="21">
        <f t="shared" si="9"/>
        <v>0</v>
      </c>
      <c r="V8" s="20">
        <f>SUMIFS('Registre de reserves'!$P$2:$P$1178,'Registre de reserves'!$T$2:$T$1178,"SI",'Registre de reserves'!$I$2:$I$1178,'2022'!$A8,'Registre de reserves'!$B$2:$B$1178,'2022'!V$2,Tabla1[ANY],'2022'!$Z$2)+SUMIFS('Registre de reserves'!$U$2:$U$1178,'Registre de reserves'!$T$2:$T$1178,"RESERVA",'Registre de reserves'!$I$2:$I$1178,'2022'!$A8,'Registre de reserves'!$B$2:$B$1178,'2022'!V$2,Tabla1[ANY],'2022'!$Z$2)</f>
        <v>0</v>
      </c>
      <c r="W8" s="21">
        <f t="shared" si="10"/>
        <v>0</v>
      </c>
      <c r="X8" s="20">
        <f>SUMIFS('Registre de reserves'!$P$2:$P$1178,'Registre de reserves'!$T$2:$T$1178,"SI",'Registre de reserves'!$I$2:$I$1178,'2022'!$A8,'Registre de reserves'!$B$2:$B$1178,'2022'!X$2,Tabla1[ANY],'2022'!$Z$2)+SUMIFS('Registre de reserves'!$U$2:$U$1178,'Registre de reserves'!$T$2:$T$1178,"RESERVA",'Registre de reserves'!$I$2:$I$1178,'2022'!$A8,'Registre de reserves'!$B$2:$B$1178,'2022'!X$2,Tabla1[ANY],'2022'!$Z$2)</f>
        <v>0</v>
      </c>
      <c r="Y8" s="21">
        <f t="shared" si="11"/>
        <v>0</v>
      </c>
      <c r="Z8" s="20">
        <f t="shared" si="14"/>
        <v>145</v>
      </c>
      <c r="AA8" s="21">
        <f t="shared" si="12"/>
        <v>4.0559440559440564E-3</v>
      </c>
    </row>
    <row r="9" spans="1:30" hidden="1" outlineLevel="1" x14ac:dyDescent="0.2">
      <c r="A9" s="8" t="s">
        <v>72</v>
      </c>
      <c r="B9" s="20">
        <f>SUMIFS('Registre de reserves'!$P$2:$P$1178,'Registre de reserves'!$T$2:$T$1178,"SI",'Registre de reserves'!$I$2:$I$1178,'2022'!$A9,'Registre de reserves'!$B$2:$B$1178,'2022'!B$2,Tabla1[ANY],'2022'!$Z$2)+SUMIFS('Registre de reserves'!$U$2:$U$1178,'Registre de reserves'!$T$2:$T$1178,"RESERVA",'Registre de reserves'!$I$2:$I$1178,'2022'!$A9,'Registre de reserves'!$B$2:$B$1178,'2022'!B$2,Tabla1[ANY],'2022'!$Z$2)</f>
        <v>0</v>
      </c>
      <c r="C9" s="21">
        <f>IF(B$4=0,0,B9/B$4)</f>
        <v>0</v>
      </c>
      <c r="D9" s="20">
        <f>SUMIFS('Registre de reserves'!$P$2:$P$1178,'Registre de reserves'!$T$2:$T$1178,"SI",'Registre de reserves'!$I$2:$I$1178,'2022'!$A9,'Registre de reserves'!$B$2:$B$1178,'2022'!D$2,Tabla1[ANY],'2022'!$Z$2)+SUMIFS('Registre de reserves'!$U$2:$U$1178,'Registre de reserves'!$T$2:$T$1178,"RESERVA",'Registre de reserves'!$I$2:$I$1178,'2022'!$A9,'Registre de reserves'!$B$2:$B$1178,'2022'!D$2,Tabla1[ANY],'2022'!$Z$2)</f>
        <v>0</v>
      </c>
      <c r="E9" s="21">
        <f>IF(D$4=0,0,D9/D$4)</f>
        <v>0</v>
      </c>
      <c r="F9" s="20">
        <f>SUMIFS('Registre de reserves'!$P$2:$P$1178,'Registre de reserves'!$T$2:$T$1178,"SI",'Registre de reserves'!$I$2:$I$1178,'2022'!$A9,'Registre de reserves'!$B$2:$B$1178,'2022'!F$2,Tabla1[ANY],'2022'!$Z$2)+SUMIFS('Registre de reserves'!$U$2:$U$1178,'Registre de reserves'!$T$2:$T$1178,"RESERVA",'Registre de reserves'!$I$2:$I$1178,'2022'!$A9,'Registre de reserves'!$B$2:$B$1178,'2022'!F$2,Tabla1[ANY],'2022'!$Z$2)</f>
        <v>0</v>
      </c>
      <c r="G9" s="21">
        <f t="shared" si="2"/>
        <v>0</v>
      </c>
      <c r="H9" s="20">
        <f>SUMIFS('Registre de reserves'!$P$2:$P$1178,'Registre de reserves'!$T$2:$T$1178,"SI",'Registre de reserves'!$I$2:$I$1178,'2022'!$A9,'Registre de reserves'!$B$2:$B$1178,'2022'!H$2,Tabla1[ANY],'2022'!$Z$2)+SUMIFS('Registre de reserves'!$U$2:$U$1178,'Registre de reserves'!$T$2:$T$1178,"RESERVA",'Registre de reserves'!$I$2:$I$1178,'2022'!$A9,'Registre de reserves'!$B$2:$B$1178,'2022'!H$2,Tabla1[ANY],'2022'!$Z$2)</f>
        <v>0</v>
      </c>
      <c r="I9" s="21">
        <f t="shared" si="3"/>
        <v>0</v>
      </c>
      <c r="J9" s="20">
        <f>SUMIFS('Registre de reserves'!$P$2:$P$1178,'Registre de reserves'!$T$2:$T$1178,"SI",'Registre de reserves'!$I$2:$I$1178,'2022'!$A9,'Registre de reserves'!$B$2:$B$1178,'2022'!J$2,Tabla1[ANY],'2022'!$Z$2)+SUMIFS('Registre de reserves'!$U$2:$U$1178,'Registre de reserves'!$T$2:$T$1178,"RESERVA",'Registre de reserves'!$I$2:$I$1178,'2022'!$A9,'Registre de reserves'!$B$2:$B$1178,'2022'!J$2,Tabla1[ANY],'2022'!$Z$2)</f>
        <v>0</v>
      </c>
      <c r="K9" s="21">
        <f t="shared" si="4"/>
        <v>0</v>
      </c>
      <c r="L9" s="20">
        <f>SUMIFS('Registre de reserves'!$P$2:$P$1178,'Registre de reserves'!$T$2:$T$1178,"SI",'Registre de reserves'!$I$2:$I$1178,'2022'!$A9,'Registre de reserves'!$B$2:$B$1178,'2022'!L$2,Tabla1[ANY],'2022'!$Z$2)+SUMIFS('Registre de reserves'!$U$2:$U$1178,'Registre de reserves'!$T$2:$T$1178,"RESERVA",'Registre de reserves'!$I$2:$I$1178,'2022'!$A9,'Registre de reserves'!$B$2:$B$1178,'2022'!L$2,Tabla1[ANY],'2022'!$Z$2)</f>
        <v>0</v>
      </c>
      <c r="M9" s="21">
        <f t="shared" si="5"/>
        <v>0</v>
      </c>
      <c r="N9" s="20">
        <f>SUMIFS('Registre de reserves'!$P$2:$P$1178,'Registre de reserves'!$T$2:$T$1178,"SI",'Registre de reserves'!$I$2:$I$1178,'2022'!$A9,'Registre de reserves'!$B$2:$B$1178,'2022'!N$2,Tabla1[ANY],'2022'!$Z$2)+SUMIFS('Registre de reserves'!$U$2:$U$1178,'Registre de reserves'!$T$2:$T$1178,"RESERVA",'Registre de reserves'!$I$2:$I$1178,'2022'!$A9,'Registre de reserves'!$B$2:$B$1178,'2022'!N$2,Tabla1[ANY],'2022'!$Z$2)</f>
        <v>0</v>
      </c>
      <c r="O9" s="21">
        <f t="shared" si="6"/>
        <v>0</v>
      </c>
      <c r="P9" s="20">
        <f>SUMIFS('Registre de reserves'!$P$2:$P$1178,'Registre de reserves'!$T$2:$T$1178,"SI",'Registre de reserves'!$I$2:$I$1178,'2022'!$A9,'Registre de reserves'!$B$2:$B$1178,'2022'!P$2,Tabla1[ANY],'2022'!$Z$2)+SUMIFS('Registre de reserves'!$U$2:$U$1178,'Registre de reserves'!$T$2:$T$1178,"RESERVA",'Registre de reserves'!$I$2:$I$1178,'2022'!$A9,'Registre de reserves'!$B$2:$B$1178,'2022'!P$2,Tabla1[ANY],'2022'!$Z$2)</f>
        <v>0</v>
      </c>
      <c r="Q9" s="21">
        <f t="shared" si="7"/>
        <v>0</v>
      </c>
      <c r="R9" s="20">
        <f>SUMIFS('Registre de reserves'!$P$2:$P$1178,'Registre de reserves'!$T$2:$T$1178,"SI",'Registre de reserves'!$I$2:$I$1178,'2022'!$A9,'Registre de reserves'!$B$2:$B$1178,'2022'!R$2,Tabla1[ANY],'2022'!$Z$2)+SUMIFS('Registre de reserves'!$U$2:$U$1178,'Registre de reserves'!$T$2:$T$1178,"RESERVA",'Registre de reserves'!$I$2:$I$1178,'2022'!$A9,'Registre de reserves'!$B$2:$B$1178,'2022'!R$2,Tabla1[ANY],'2022'!$Z$2)</f>
        <v>0</v>
      </c>
      <c r="S9" s="21">
        <f t="shared" si="8"/>
        <v>0</v>
      </c>
      <c r="T9" s="20">
        <f>SUMIFS('Registre de reserves'!$P$2:$P$1178,'Registre de reserves'!$T$2:$T$1178,"SI",'Registre de reserves'!$I$2:$I$1178,'2022'!$A9,'Registre de reserves'!$B$2:$B$1178,'2022'!T$2,Tabla1[ANY],'2022'!$Z$2)+SUMIFS('Registre de reserves'!$U$2:$U$1178,'Registre de reserves'!$T$2:$T$1178,"RESERVA",'Registre de reserves'!$I$2:$I$1178,'2022'!$A9,'Registre de reserves'!$B$2:$B$1178,'2022'!T$2,Tabla1[ANY],'2022'!$Z$2)</f>
        <v>0</v>
      </c>
      <c r="U9" s="21">
        <f t="shared" si="9"/>
        <v>0</v>
      </c>
      <c r="V9" s="20">
        <f>SUMIFS('Registre de reserves'!$P$2:$P$1178,'Registre de reserves'!$T$2:$T$1178,"SI",'Registre de reserves'!$I$2:$I$1178,'2022'!$A9,'Registre de reserves'!$B$2:$B$1178,'2022'!V$2,Tabla1[ANY],'2022'!$Z$2)+SUMIFS('Registre de reserves'!$U$2:$U$1178,'Registre de reserves'!$T$2:$T$1178,"RESERVA",'Registre de reserves'!$I$2:$I$1178,'2022'!$A9,'Registre de reserves'!$B$2:$B$1178,'2022'!V$2,Tabla1[ANY],'2022'!$Z$2)</f>
        <v>0</v>
      </c>
      <c r="W9" s="21">
        <f t="shared" si="10"/>
        <v>0</v>
      </c>
      <c r="X9" s="20">
        <f>SUMIFS('Registre de reserves'!$P$2:$P$1178,'Registre de reserves'!$T$2:$T$1178,"SI",'Registre de reserves'!$I$2:$I$1178,'2022'!$A9,'Registre de reserves'!$B$2:$B$1178,'2022'!X$2,Tabla1[ANY],'2022'!$Z$2)+SUMIFS('Registre de reserves'!$U$2:$U$1178,'Registre de reserves'!$T$2:$T$1178,"RESERVA",'Registre de reserves'!$I$2:$I$1178,'2022'!$A9,'Registre de reserves'!$B$2:$B$1178,'2022'!X$2,Tabla1[ANY],'2022'!$Z$2)</f>
        <v>0</v>
      </c>
      <c r="Y9" s="21">
        <f t="shared" si="11"/>
        <v>0</v>
      </c>
      <c r="Z9" s="20">
        <f t="shared" si="14"/>
        <v>0</v>
      </c>
      <c r="AA9" s="21">
        <f t="shared" si="12"/>
        <v>0</v>
      </c>
    </row>
    <row r="10" spans="1:30" hidden="1" outlineLevel="1" x14ac:dyDescent="0.2">
      <c r="A10" s="8" t="s">
        <v>69</v>
      </c>
      <c r="B10" s="20">
        <f>SUMIFS('Registre de reserves'!$P$2:$P$1178,'Registre de reserves'!$T$2:$T$1178,"SI",'Registre de reserves'!$I$2:$I$1178,'2022'!$A10,'Registre de reserves'!$B$2:$B$1178,'2022'!B$2,Tabla1[ANY],'2022'!$Z$2)+SUMIFS('Registre de reserves'!$U$2:$U$1178,'Registre de reserves'!$T$2:$T$1178,"RESERVA",'Registre de reserves'!$I$2:$I$1178,'2022'!$A10,'Registre de reserves'!$B$2:$B$1178,'2022'!B$2,Tabla1[ANY],'2022'!$Z$2)</f>
        <v>390</v>
      </c>
      <c r="C10" s="21">
        <f t="shared" si="13"/>
        <v>0.2932330827067669</v>
      </c>
      <c r="D10" s="20">
        <f>SUMIFS('Registre de reserves'!$P$2:$P$1178,'Registre de reserves'!$T$2:$T$1178,"SI",'Registre de reserves'!$I$2:$I$1178,'2022'!$A10,'Registre de reserves'!$B$2:$B$1178,'2022'!D$2,Tabla1[ANY],'2022'!$Z$2)+SUMIFS('Registre de reserves'!$U$2:$U$1178,'Registre de reserves'!$T$2:$T$1178,"RESERVA",'Registre de reserves'!$I$2:$I$1178,'2022'!$A10,'Registre de reserves'!$B$2:$B$1178,'2022'!D$2,Tabla1[ANY],'2022'!$Z$2)</f>
        <v>780</v>
      </c>
      <c r="E10" s="21">
        <f t="shared" si="13"/>
        <v>0.44956772334293948</v>
      </c>
      <c r="F10" s="20">
        <f>SUMIFS('Registre de reserves'!$P$2:$P$1178,'Registre de reserves'!$T$2:$T$1178,"SI",'Registre de reserves'!$I$2:$I$1178,'2022'!$A10,'Registre de reserves'!$B$2:$B$1178,'2022'!F$2,Tabla1[ANY],'2022'!$Z$2)+SUMIFS('Registre de reserves'!$U$2:$U$1178,'Registre de reserves'!$T$2:$T$1178,"RESERVA",'Registre de reserves'!$I$2:$I$1178,'2022'!$A10,'Registre de reserves'!$B$2:$B$1178,'2022'!F$2,Tabla1[ANY],'2022'!$Z$2)</f>
        <v>585</v>
      </c>
      <c r="G10" s="21">
        <f t="shared" si="2"/>
        <v>0.20137693631669534</v>
      </c>
      <c r="H10" s="20">
        <f>SUMIFS('Registre de reserves'!$P$2:$P$1178,'Registre de reserves'!$T$2:$T$1178,"SI",'Registre de reserves'!$I$2:$I$1178,'2022'!$A10,'Registre de reserves'!$B$2:$B$1178,'2022'!H$2,Tabla1[ANY],'2022'!$Z$2)+SUMIFS('Registre de reserves'!$U$2:$U$1178,'Registre de reserves'!$T$2:$T$1178,"RESERVA",'Registre de reserves'!$I$2:$I$1178,'2022'!$A10,'Registre de reserves'!$B$2:$B$1178,'2022'!H$2,Tabla1[ANY],'2022'!$Z$2)</f>
        <v>1755</v>
      </c>
      <c r="I10" s="21">
        <f t="shared" si="3"/>
        <v>0.44095477386934673</v>
      </c>
      <c r="J10" s="20">
        <f>SUMIFS('Registre de reserves'!$P$2:$P$1178,'Registre de reserves'!$T$2:$T$1178,"SI",'Registre de reserves'!$I$2:$I$1178,'2022'!$A10,'Registre de reserves'!$B$2:$B$1178,'2022'!J$2,Tabla1[ANY],'2022'!$Z$2)+SUMIFS('Registre de reserves'!$U$2:$U$1178,'Registre de reserves'!$T$2:$T$1178,"RESERVA",'Registre de reserves'!$I$2:$I$1178,'2022'!$A10,'Registre de reserves'!$B$2:$B$1178,'2022'!J$2,Tabla1[ANY],'2022'!$Z$2)</f>
        <v>590</v>
      </c>
      <c r="K10" s="21">
        <f t="shared" si="4"/>
        <v>0.16010854816824965</v>
      </c>
      <c r="L10" s="20">
        <f>SUMIFS('Registre de reserves'!$P$2:$P$1178,'Registre de reserves'!$T$2:$T$1178,"SI",'Registre de reserves'!$I$2:$I$1178,'2022'!$A10,'Registre de reserves'!$B$2:$B$1178,'2022'!L$2,Tabla1[ANY],'2022'!$Z$2)+SUMIFS('Registre de reserves'!$U$2:$U$1178,'Registre de reserves'!$T$2:$T$1178,"RESERVA",'Registre de reserves'!$I$2:$I$1178,'2022'!$A10,'Registre de reserves'!$B$2:$B$1178,'2022'!L$2,Tabla1[ANY],'2022'!$Z$2)</f>
        <v>200</v>
      </c>
      <c r="M10" s="21">
        <f t="shared" si="5"/>
        <v>5.9612518628912071E-2</v>
      </c>
      <c r="N10" s="20">
        <f>SUMIFS('Registre de reserves'!$P$2:$P$1178,'Registre de reserves'!$T$2:$T$1178,"SI",'Registre de reserves'!$I$2:$I$1178,'2022'!$A10,'Registre de reserves'!$B$2:$B$1178,'2022'!N$2,Tabla1[ANY],'2022'!$Z$2)+SUMIFS('Registre de reserves'!$U$2:$U$1178,'Registre de reserves'!$T$2:$T$1178,"RESERVA",'Registre de reserves'!$I$2:$I$1178,'2022'!$A10,'Registre de reserves'!$B$2:$B$1178,'2022'!N$2,Tabla1[ANY],'2022'!$Z$2)</f>
        <v>800</v>
      </c>
      <c r="O10" s="21">
        <f t="shared" si="6"/>
        <v>0.27923211169284468</v>
      </c>
      <c r="P10" s="20">
        <f>SUMIFS('Registre de reserves'!$P$2:$P$1178,'Registre de reserves'!$T$2:$T$1178,"SI",'Registre de reserves'!$I$2:$I$1178,'2022'!$A10,'Registre de reserves'!$B$2:$B$1178,'2022'!P$2,Tabla1[ANY],'2022'!$Z$2)+SUMIFS('Registre de reserves'!$U$2:$U$1178,'Registre de reserves'!$T$2:$T$1178,"RESERVA",'Registre de reserves'!$I$2:$I$1178,'2022'!$A10,'Registre de reserves'!$B$2:$B$1178,'2022'!P$2,Tabla1[ANY],'2022'!$Z$2)</f>
        <v>400</v>
      </c>
      <c r="Q10" s="21">
        <f t="shared" si="7"/>
        <v>0.28268551236749118</v>
      </c>
      <c r="R10" s="20">
        <f>SUMIFS('Registre de reserves'!$P$2:$P$1178,'Registre de reserves'!$T$2:$T$1178,"SI",'Registre de reserves'!$I$2:$I$1178,'2022'!$A10,'Registre de reserves'!$B$2:$B$1178,'2022'!R$2,Tabla1[ANY],'2022'!$Z$2)+SUMIFS('Registre de reserves'!$U$2:$U$1178,'Registre de reserves'!$T$2:$T$1178,"RESERVA",'Registre de reserves'!$I$2:$I$1178,'2022'!$A10,'Registre de reserves'!$B$2:$B$1178,'2022'!R$2,Tabla1[ANY],'2022'!$Z$2)</f>
        <v>600</v>
      </c>
      <c r="S10" s="21">
        <f t="shared" si="8"/>
        <v>0.19704433497536947</v>
      </c>
      <c r="T10" s="20">
        <f>SUMIFS('Registre de reserves'!$P$2:$P$1178,'Registre de reserves'!$T$2:$T$1178,"SI",'Registre de reserves'!$I$2:$I$1178,'2022'!$A10,'Registre de reserves'!$B$2:$B$1178,'2022'!T$2,Tabla1[ANY],'2022'!$Z$2)+SUMIFS('Registre de reserves'!$U$2:$U$1178,'Registre de reserves'!$T$2:$T$1178,"RESERVA",'Registre de reserves'!$I$2:$I$1178,'2022'!$A10,'Registre de reserves'!$B$2:$B$1178,'2022'!T$2,Tabla1[ANY],'2022'!$Z$2)</f>
        <v>1445</v>
      </c>
      <c r="U10" s="21">
        <f t="shared" si="9"/>
        <v>0.3748378728923476</v>
      </c>
      <c r="V10" s="20">
        <f>SUMIFS('Registre de reserves'!$P$2:$P$1178,'Registre de reserves'!$T$2:$T$1178,"SI",'Registre de reserves'!$I$2:$I$1178,'2022'!$A10,'Registre de reserves'!$B$2:$B$1178,'2022'!V$2,Tabla1[ANY],'2022'!$Z$2)+SUMIFS('Registre de reserves'!$U$2:$U$1178,'Registre de reserves'!$T$2:$T$1178,"RESERVA",'Registre de reserves'!$I$2:$I$1178,'2022'!$A10,'Registre de reserves'!$B$2:$B$1178,'2022'!V$2,Tabla1[ANY],'2022'!$Z$2)</f>
        <v>800</v>
      </c>
      <c r="W10" s="21">
        <f t="shared" si="10"/>
        <v>0.29520295202952029</v>
      </c>
      <c r="X10" s="20">
        <f>SUMIFS('Registre de reserves'!$P$2:$P$1178,'Registre de reserves'!$T$2:$T$1178,"SI",'Registre de reserves'!$I$2:$I$1178,'2022'!$A10,'Registre de reserves'!$B$2:$B$1178,'2022'!X$2,Tabla1[ANY],'2022'!$Z$2)+SUMIFS('Registre de reserves'!$U$2:$U$1178,'Registre de reserves'!$T$2:$T$1178,"RESERVA",'Registre de reserves'!$I$2:$I$1178,'2022'!$A10,'Registre de reserves'!$B$2:$B$1178,'2022'!X$2,Tabla1[ANY],'2022'!$Z$2)</f>
        <v>1350</v>
      </c>
      <c r="Y10" s="21">
        <f t="shared" si="11"/>
        <v>0.27720739219712526</v>
      </c>
      <c r="Z10" s="20">
        <f t="shared" si="14"/>
        <v>9695</v>
      </c>
      <c r="AA10" s="21">
        <f t="shared" si="12"/>
        <v>0.27118881118881116</v>
      </c>
    </row>
    <row r="11" spans="1:30" hidden="1" outlineLevel="1" x14ac:dyDescent="0.2">
      <c r="A11" s="8" t="s">
        <v>70</v>
      </c>
      <c r="B11" s="20">
        <f>SUMIFS('Registre de reserves'!$P$2:$P$1178,'Registre de reserves'!$T$2:$T$1178,"SI",'Registre de reserves'!$I$2:$I$1178,'2022'!$A11,'Registre de reserves'!$B$2:$B$1178,'2022'!B$2,Tabla1[ANY],'2022'!$Z$2)+SUMIFS('Registre de reserves'!$U$2:$U$1178,'Registre de reserves'!$T$2:$T$1178,"RESERVA",'Registre de reserves'!$I$2:$I$1178,'2022'!$A11,'Registre de reserves'!$B$2:$B$1178,'2022'!B$2,Tabla1[ANY],'2022'!$Z$2)</f>
        <v>0</v>
      </c>
      <c r="C11" s="21">
        <f t="shared" si="13"/>
        <v>0</v>
      </c>
      <c r="D11" s="20">
        <f>SUMIFS('Registre de reserves'!$P$2:$P$1178,'Registre de reserves'!$T$2:$T$1178,"SI",'Registre de reserves'!$I$2:$I$1178,'2022'!$A11,'Registre de reserves'!$B$2:$B$1178,'2022'!D$2,Tabla1[ANY],'2022'!$Z$2)+SUMIFS('Registre de reserves'!$U$2:$U$1178,'Registre de reserves'!$T$2:$T$1178,"RESERVA",'Registre de reserves'!$I$2:$I$1178,'2022'!$A11,'Registre de reserves'!$B$2:$B$1178,'2022'!D$2,Tabla1[ANY],'2022'!$Z$2)</f>
        <v>0</v>
      </c>
      <c r="E11" s="21">
        <f t="shared" si="13"/>
        <v>0</v>
      </c>
      <c r="F11" s="20">
        <f>SUMIFS('Registre de reserves'!$P$2:$P$1178,'Registre de reserves'!$T$2:$T$1178,"SI",'Registre de reserves'!$I$2:$I$1178,'2022'!$A11,'Registre de reserves'!$B$2:$B$1178,'2022'!F$2,Tabla1[ANY],'2022'!$Z$2)+SUMIFS('Registre de reserves'!$U$2:$U$1178,'Registre de reserves'!$T$2:$T$1178,"RESERVA",'Registre de reserves'!$I$2:$I$1178,'2022'!$A11,'Registre de reserves'!$B$2:$B$1178,'2022'!F$2,Tabla1[ANY],'2022'!$Z$2)</f>
        <v>0</v>
      </c>
      <c r="G11" s="21">
        <f t="shared" si="2"/>
        <v>0</v>
      </c>
      <c r="H11" s="20">
        <f>SUMIFS('Registre de reserves'!$P$2:$P$1178,'Registre de reserves'!$T$2:$T$1178,"SI",'Registre de reserves'!$I$2:$I$1178,'2022'!$A11,'Registre de reserves'!$B$2:$B$1178,'2022'!H$2,Tabla1[ANY],'2022'!$Z$2)+SUMIFS('Registre de reserves'!$U$2:$U$1178,'Registre de reserves'!$T$2:$T$1178,"RESERVA",'Registre de reserves'!$I$2:$I$1178,'2022'!$A11,'Registre de reserves'!$B$2:$B$1178,'2022'!H$2,Tabla1[ANY],'2022'!$Z$2)</f>
        <v>0</v>
      </c>
      <c r="I11" s="21">
        <f t="shared" si="3"/>
        <v>0</v>
      </c>
      <c r="J11" s="20">
        <f>SUMIFS('Registre de reserves'!$P$2:$P$1178,'Registre de reserves'!$T$2:$T$1178,"SI",'Registre de reserves'!$I$2:$I$1178,'2022'!$A11,'Registre de reserves'!$B$2:$B$1178,'2022'!J$2,Tabla1[ANY],'2022'!$Z$2)+SUMIFS('Registre de reserves'!$U$2:$U$1178,'Registre de reserves'!$T$2:$T$1178,"RESERVA",'Registre de reserves'!$I$2:$I$1178,'2022'!$A11,'Registre de reserves'!$B$2:$B$1178,'2022'!J$2,Tabla1[ANY],'2022'!$Z$2)</f>
        <v>275</v>
      </c>
      <c r="K11" s="21">
        <f t="shared" si="4"/>
        <v>7.4626865671641784E-2</v>
      </c>
      <c r="L11" s="20">
        <f>SUMIFS('Registre de reserves'!$P$2:$P$1178,'Registre de reserves'!$T$2:$T$1178,"SI",'Registre de reserves'!$I$2:$I$1178,'2022'!$A11,'Registre de reserves'!$B$2:$B$1178,'2022'!L$2,Tabla1[ANY],'2022'!$Z$2)+SUMIFS('Registre de reserves'!$U$2:$U$1178,'Registre de reserves'!$T$2:$T$1178,"RESERVA",'Registre de reserves'!$I$2:$I$1178,'2022'!$A11,'Registre de reserves'!$B$2:$B$1178,'2022'!L$2,Tabla1[ANY],'2022'!$Z$2)</f>
        <v>0</v>
      </c>
      <c r="M11" s="21">
        <f t="shared" si="5"/>
        <v>0</v>
      </c>
      <c r="N11" s="20">
        <f>SUMIFS('Registre de reserves'!$P$2:$P$1178,'Registre de reserves'!$T$2:$T$1178,"SI",'Registre de reserves'!$I$2:$I$1178,'2022'!$A11,'Registre de reserves'!$B$2:$B$1178,'2022'!N$2,Tabla1[ANY],'2022'!$Z$2)+SUMIFS('Registre de reserves'!$U$2:$U$1178,'Registre de reserves'!$T$2:$T$1178,"RESERVA",'Registre de reserves'!$I$2:$I$1178,'2022'!$A11,'Registre de reserves'!$B$2:$B$1178,'2022'!N$2,Tabla1[ANY],'2022'!$Z$2)</f>
        <v>320</v>
      </c>
      <c r="O11" s="21">
        <f t="shared" si="6"/>
        <v>0.11169284467713787</v>
      </c>
      <c r="P11" s="20">
        <f>SUMIFS('Registre de reserves'!$P$2:$P$1178,'Registre de reserves'!$T$2:$T$1178,"SI",'Registre de reserves'!$I$2:$I$1178,'2022'!$A11,'Registre de reserves'!$B$2:$B$1178,'2022'!P$2,Tabla1[ANY],'2022'!$Z$2)+SUMIFS('Registre de reserves'!$U$2:$U$1178,'Registre de reserves'!$T$2:$T$1178,"RESERVA",'Registre de reserves'!$I$2:$I$1178,'2022'!$A11,'Registre de reserves'!$B$2:$B$1178,'2022'!P$2,Tabla1[ANY],'2022'!$Z$2)</f>
        <v>620</v>
      </c>
      <c r="Q11" s="21">
        <f t="shared" si="7"/>
        <v>0.43816254416961131</v>
      </c>
      <c r="R11" s="20">
        <f>SUMIFS('Registre de reserves'!$P$2:$P$1178,'Registre de reserves'!$T$2:$T$1178,"SI",'Registre de reserves'!$I$2:$I$1178,'2022'!$A11,'Registre de reserves'!$B$2:$B$1178,'2022'!R$2,Tabla1[ANY],'2022'!$Z$2)+SUMIFS('Registre de reserves'!$U$2:$U$1178,'Registre de reserves'!$T$2:$T$1178,"RESERVA",'Registre de reserves'!$I$2:$I$1178,'2022'!$A11,'Registre de reserves'!$B$2:$B$1178,'2022'!R$2,Tabla1[ANY],'2022'!$Z$2)</f>
        <v>300</v>
      </c>
      <c r="S11" s="21">
        <f t="shared" si="8"/>
        <v>9.8522167487684734E-2</v>
      </c>
      <c r="T11" s="20">
        <f>SUMIFS('Registre de reserves'!$P$2:$P$1178,'Registre de reserves'!$T$2:$T$1178,"SI",'Registre de reserves'!$I$2:$I$1178,'2022'!$A11,'Registre de reserves'!$B$2:$B$1178,'2022'!T$2,Tabla1[ANY],'2022'!$Z$2)+SUMIFS('Registre de reserves'!$U$2:$U$1178,'Registre de reserves'!$T$2:$T$1178,"RESERVA",'Registre de reserves'!$I$2:$I$1178,'2022'!$A11,'Registre de reserves'!$B$2:$B$1178,'2022'!T$2,Tabla1[ANY],'2022'!$Z$2)</f>
        <v>620</v>
      </c>
      <c r="U11" s="21">
        <f t="shared" si="9"/>
        <v>0.1608300907911803</v>
      </c>
      <c r="V11" s="20">
        <f>SUMIFS('Registre de reserves'!$P$2:$P$1178,'Registre de reserves'!$T$2:$T$1178,"SI",'Registre de reserves'!$I$2:$I$1178,'2022'!$A11,'Registre de reserves'!$B$2:$B$1178,'2022'!V$2,Tabla1[ANY],'2022'!$Z$2)+SUMIFS('Registre de reserves'!$U$2:$U$1178,'Registre de reserves'!$T$2:$T$1178,"RESERVA",'Registre de reserves'!$I$2:$I$1178,'2022'!$A11,'Registre de reserves'!$B$2:$B$1178,'2022'!V$2,Tabla1[ANY],'2022'!$Z$2)</f>
        <v>0</v>
      </c>
      <c r="W11" s="21">
        <f t="shared" si="10"/>
        <v>0</v>
      </c>
      <c r="X11" s="20">
        <f>SUMIFS('Registre de reserves'!$P$2:$P$1178,'Registre de reserves'!$T$2:$T$1178,"SI",'Registre de reserves'!$I$2:$I$1178,'2022'!$A11,'Registre de reserves'!$B$2:$B$1178,'2022'!X$2,Tabla1[ANY],'2022'!$Z$2)+SUMIFS('Registre de reserves'!$U$2:$U$1178,'Registre de reserves'!$T$2:$T$1178,"RESERVA",'Registre de reserves'!$I$2:$I$1178,'2022'!$A11,'Registre de reserves'!$B$2:$B$1178,'2022'!X$2,Tabla1[ANY],'2022'!$Z$2)</f>
        <v>1290</v>
      </c>
      <c r="Y11" s="21">
        <f t="shared" si="11"/>
        <v>0.26488706365503079</v>
      </c>
      <c r="Z11" s="20">
        <f t="shared" si="14"/>
        <v>3425</v>
      </c>
      <c r="AA11" s="21">
        <f t="shared" si="12"/>
        <v>9.5804195804195802E-2</v>
      </c>
    </row>
    <row r="12" spans="1:30" hidden="1" outlineLevel="1" x14ac:dyDescent="0.2">
      <c r="A12" s="8" t="s">
        <v>73</v>
      </c>
      <c r="B12" s="20">
        <f>SUMIFS('Registre de reserves'!$P$2:$P$1178,'Registre de reserves'!$T$2:$T$1178,"SI",'Registre de reserves'!$I$2:$I$1178,'2022'!$A12,'Registre de reserves'!$B$2:$B$1178,'2022'!B$2,Tabla1[ANY],'2022'!$Z$2)+SUMIFS('Registre de reserves'!$U$2:$U$1178,'Registre de reserves'!$T$2:$T$1178,"RESERVA",'Registre de reserves'!$I$2:$I$1178,'2022'!$A12,'Registre de reserves'!$B$2:$B$1178,'2022'!B$2,Tabla1[ANY],'2022'!$Z$2)</f>
        <v>0</v>
      </c>
      <c r="C12" s="21">
        <f t="shared" si="13"/>
        <v>0</v>
      </c>
      <c r="D12" s="20">
        <f>SUMIFS('Registre de reserves'!$P$2:$P$1178,'Registre de reserves'!$T$2:$T$1178,"SI",'Registre de reserves'!$I$2:$I$1178,'2022'!$A12,'Registre de reserves'!$B$2:$B$1178,'2022'!D$2,Tabla1[ANY],'2022'!$Z$2)+SUMIFS('Registre de reserves'!$U$2:$U$1178,'Registre de reserves'!$T$2:$T$1178,"RESERVA",'Registre de reserves'!$I$2:$I$1178,'2022'!$A12,'Registre de reserves'!$B$2:$B$1178,'2022'!D$2,Tabla1[ANY],'2022'!$Z$2)</f>
        <v>0</v>
      </c>
      <c r="E12" s="21">
        <f t="shared" si="13"/>
        <v>0</v>
      </c>
      <c r="F12" s="20">
        <f>SUMIFS('Registre de reserves'!$P$2:$P$1178,'Registre de reserves'!$T$2:$T$1178,"SI",'Registre de reserves'!$I$2:$I$1178,'2022'!$A12,'Registre de reserves'!$B$2:$B$1178,'2022'!F$2,Tabla1[ANY],'2022'!$Z$2)+SUMIFS('Registre de reserves'!$U$2:$U$1178,'Registre de reserves'!$T$2:$T$1178,"RESERVA",'Registre de reserves'!$I$2:$I$1178,'2022'!$A12,'Registre de reserves'!$B$2:$B$1178,'2022'!F$2,Tabla1[ANY],'2022'!$Z$2)</f>
        <v>0</v>
      </c>
      <c r="G12" s="21">
        <f t="shared" si="2"/>
        <v>0</v>
      </c>
      <c r="H12" s="20">
        <f>SUMIFS('Registre de reserves'!$P$2:$P$1178,'Registre de reserves'!$T$2:$T$1178,"SI",'Registre de reserves'!$I$2:$I$1178,'2022'!$A12,'Registre de reserves'!$B$2:$B$1178,'2022'!H$2,Tabla1[ANY],'2022'!$Z$2)+SUMIFS('Registre de reserves'!$U$2:$U$1178,'Registre de reserves'!$T$2:$T$1178,"RESERVA",'Registre de reserves'!$I$2:$I$1178,'2022'!$A12,'Registre de reserves'!$B$2:$B$1178,'2022'!H$2,Tabla1[ANY],'2022'!$Z$2)</f>
        <v>0</v>
      </c>
      <c r="I12" s="21">
        <f t="shared" si="3"/>
        <v>0</v>
      </c>
      <c r="J12" s="20">
        <f>SUMIFS('Registre de reserves'!$P$2:$P$1178,'Registre de reserves'!$T$2:$T$1178,"SI",'Registre de reserves'!$I$2:$I$1178,'2022'!$A12,'Registre de reserves'!$B$2:$B$1178,'2022'!J$2,Tabla1[ANY],'2022'!$Z$2)+SUMIFS('Registre de reserves'!$U$2:$U$1178,'Registre de reserves'!$T$2:$T$1178,"RESERVA",'Registre de reserves'!$I$2:$I$1178,'2022'!$A12,'Registre de reserves'!$B$2:$B$1178,'2022'!J$2,Tabla1[ANY],'2022'!$Z$2)</f>
        <v>0</v>
      </c>
      <c r="K12" s="21">
        <f t="shared" si="4"/>
        <v>0</v>
      </c>
      <c r="L12" s="20">
        <f>SUMIFS('Registre de reserves'!$P$2:$P$1178,'Registre de reserves'!$T$2:$T$1178,"SI",'Registre de reserves'!$I$2:$I$1178,'2022'!$A12,'Registre de reserves'!$B$2:$B$1178,'2022'!L$2,Tabla1[ANY],'2022'!$Z$2)+SUMIFS('Registre de reserves'!$U$2:$U$1178,'Registre de reserves'!$T$2:$T$1178,"RESERVA",'Registre de reserves'!$I$2:$I$1178,'2022'!$A12,'Registre de reserves'!$B$2:$B$1178,'2022'!L$2,Tabla1[ANY],'2022'!$Z$2)</f>
        <v>0</v>
      </c>
      <c r="M12" s="21">
        <f t="shared" si="5"/>
        <v>0</v>
      </c>
      <c r="N12" s="20">
        <f>SUMIFS('Registre de reserves'!$P$2:$P$1178,'Registre de reserves'!$T$2:$T$1178,"SI",'Registre de reserves'!$I$2:$I$1178,'2022'!$A12,'Registre de reserves'!$B$2:$B$1178,'2022'!N$2,Tabla1[ANY],'2022'!$Z$2)+SUMIFS('Registre de reserves'!$U$2:$U$1178,'Registre de reserves'!$T$2:$T$1178,"RESERVA",'Registre de reserves'!$I$2:$I$1178,'2022'!$A12,'Registre de reserves'!$B$2:$B$1178,'2022'!N$2,Tabla1[ANY],'2022'!$Z$2)</f>
        <v>0</v>
      </c>
      <c r="O12" s="21">
        <f t="shared" si="6"/>
        <v>0</v>
      </c>
      <c r="P12" s="20">
        <f>SUMIFS('Registre de reserves'!$P$2:$P$1178,'Registre de reserves'!$T$2:$T$1178,"SI",'Registre de reserves'!$I$2:$I$1178,'2022'!$A12,'Registre de reserves'!$B$2:$B$1178,'2022'!P$2,Tabla1[ANY],'2022'!$Z$2)+SUMIFS('Registre de reserves'!$U$2:$U$1178,'Registre de reserves'!$T$2:$T$1178,"RESERVA",'Registre de reserves'!$I$2:$I$1178,'2022'!$A12,'Registre de reserves'!$B$2:$B$1178,'2022'!P$2,Tabla1[ANY],'2022'!$Z$2)</f>
        <v>0</v>
      </c>
      <c r="Q12" s="21">
        <f t="shared" si="7"/>
        <v>0</v>
      </c>
      <c r="R12" s="20">
        <f>SUMIFS('Registre de reserves'!$P$2:$P$1178,'Registre de reserves'!$T$2:$T$1178,"SI",'Registre de reserves'!$I$2:$I$1178,'2022'!$A12,'Registre de reserves'!$B$2:$B$1178,'2022'!R$2,Tabla1[ANY],'2022'!$Z$2)+SUMIFS('Registre de reserves'!$U$2:$U$1178,'Registre de reserves'!$T$2:$T$1178,"RESERVA",'Registre de reserves'!$I$2:$I$1178,'2022'!$A12,'Registre de reserves'!$B$2:$B$1178,'2022'!R$2,Tabla1[ANY],'2022'!$Z$2)</f>
        <v>0</v>
      </c>
      <c r="S12" s="21">
        <f t="shared" si="8"/>
        <v>0</v>
      </c>
      <c r="T12" s="20">
        <f>SUMIFS('Registre de reserves'!$P$2:$P$1178,'Registre de reserves'!$T$2:$T$1178,"SI",'Registre de reserves'!$I$2:$I$1178,'2022'!$A12,'Registre de reserves'!$B$2:$B$1178,'2022'!T$2,Tabla1[ANY],'2022'!$Z$2)+SUMIFS('Registre de reserves'!$U$2:$U$1178,'Registre de reserves'!$T$2:$T$1178,"RESERVA",'Registre de reserves'!$I$2:$I$1178,'2022'!$A12,'Registre de reserves'!$B$2:$B$1178,'2022'!T$2,Tabla1[ANY],'2022'!$Z$2)</f>
        <v>0</v>
      </c>
      <c r="U12" s="21">
        <f t="shared" si="9"/>
        <v>0</v>
      </c>
      <c r="V12" s="20">
        <f>SUMIFS('Registre de reserves'!$P$2:$P$1178,'Registre de reserves'!$T$2:$T$1178,"SI",'Registre de reserves'!$I$2:$I$1178,'2022'!$A12,'Registre de reserves'!$B$2:$B$1178,'2022'!V$2,Tabla1[ANY],'2022'!$Z$2)+SUMIFS('Registre de reserves'!$U$2:$U$1178,'Registre de reserves'!$T$2:$T$1178,"RESERVA",'Registre de reserves'!$I$2:$I$1178,'2022'!$A12,'Registre de reserves'!$B$2:$B$1178,'2022'!V$2,Tabla1[ANY],'2022'!$Z$2)</f>
        <v>0</v>
      </c>
      <c r="W12" s="21">
        <f t="shared" si="10"/>
        <v>0</v>
      </c>
      <c r="X12" s="20">
        <f>SUMIFS('Registre de reserves'!$P$2:$P$1178,'Registre de reserves'!$T$2:$T$1178,"SI",'Registre de reserves'!$I$2:$I$1178,'2022'!$A12,'Registre de reserves'!$B$2:$B$1178,'2022'!X$2,Tabla1[ANY],'2022'!$Z$2)+SUMIFS('Registre de reserves'!$U$2:$U$1178,'Registre de reserves'!$T$2:$T$1178,"RESERVA",'Registre de reserves'!$I$2:$I$1178,'2022'!$A12,'Registre de reserves'!$B$2:$B$1178,'2022'!X$2,Tabla1[ANY],'2022'!$Z$2)</f>
        <v>0</v>
      </c>
      <c r="Y12" s="21">
        <f t="shared" si="11"/>
        <v>0</v>
      </c>
      <c r="Z12" s="20">
        <f t="shared" si="14"/>
        <v>0</v>
      </c>
      <c r="AA12" s="21">
        <f t="shared" si="12"/>
        <v>0</v>
      </c>
    </row>
    <row r="13" spans="1:30" collapsed="1" x14ac:dyDescent="0.2">
      <c r="A13" s="33" t="s">
        <v>76</v>
      </c>
      <c r="B13" s="18">
        <f>SUM(B14:B21)</f>
        <v>530</v>
      </c>
      <c r="C13" s="19">
        <f>IF((B$13+B$31)=0,0,B13/(B$13+B$31))</f>
        <v>1</v>
      </c>
      <c r="D13" s="18">
        <f>SUM(D14:D21)</f>
        <v>270</v>
      </c>
      <c r="E13" s="19">
        <f>IF((D$13+D$31)=0,0,D13/(D$13+D$31))</f>
        <v>1</v>
      </c>
      <c r="F13" s="18">
        <f>SUM(F14:F21)</f>
        <v>0</v>
      </c>
      <c r="G13" s="19">
        <f>IF((F$13+F$31)=0,0,F13/(F$13+F$31))</f>
        <v>0</v>
      </c>
      <c r="H13" s="18">
        <f>SUM(H14:H21)</f>
        <v>0</v>
      </c>
      <c r="I13" s="19">
        <f>IF((H$13+H$31)=0,0,H13/(H$13+H$31))</f>
        <v>0</v>
      </c>
      <c r="J13" s="18">
        <f>SUM(J14:J21)</f>
        <v>0</v>
      </c>
      <c r="K13" s="19">
        <f>IF((J$13+J$31)=0,0,J13/(J$13+J$31))</f>
        <v>0</v>
      </c>
      <c r="L13" s="18">
        <f>SUM(L14:L21)</f>
        <v>0</v>
      </c>
      <c r="M13" s="19">
        <f>IF((L$13+L$31)=0,0,L13/(L$13+L$31))</f>
        <v>0</v>
      </c>
      <c r="N13" s="18">
        <f>SUM(N14:N21)</f>
        <v>0</v>
      </c>
      <c r="O13" s="19">
        <f>IF((N$13+N$31)=0,0,N13/(N$13+N$31))</f>
        <v>0</v>
      </c>
      <c r="P13" s="18">
        <f>SUM(P14:P21)</f>
        <v>0</v>
      </c>
      <c r="Q13" s="19">
        <f>IF((P$13+P$31)=0,0,P13/(P$13+P$31))</f>
        <v>0</v>
      </c>
      <c r="R13" s="18">
        <f>SUM(R14:R21)</f>
        <v>240</v>
      </c>
      <c r="S13" s="19">
        <f>IF((R$13+R$31)=0,0,R13/(R$13+R$31))</f>
        <v>1</v>
      </c>
      <c r="T13" s="18">
        <f>SUM(T14:T21)</f>
        <v>0</v>
      </c>
      <c r="U13" s="19">
        <f>IF((T$13+T$31)=0,0,T13/(T$13+T$31))</f>
        <v>0</v>
      </c>
      <c r="V13" s="18">
        <f>SUM(V14:V21)</f>
        <v>0</v>
      </c>
      <c r="W13" s="19">
        <f>IF((V$13+V$31)=0,0,V13/(V$13+V$31))</f>
        <v>0</v>
      </c>
      <c r="X13" s="18">
        <f>SUM(X14:X21)</f>
        <v>-50</v>
      </c>
      <c r="Y13" s="19">
        <f>IF((X$13+X$31)=0,0,X13/(X$13+X$31))</f>
        <v>1</v>
      </c>
      <c r="Z13" s="18">
        <f>SUM(Z14:Z21)</f>
        <v>990</v>
      </c>
      <c r="AA13" s="19">
        <f>IF((Z$13+Z$31)=0,0,Z13/(Z$13+Z$31))</f>
        <v>1</v>
      </c>
      <c r="AD13">
        <v>3500</v>
      </c>
    </row>
    <row r="14" spans="1:30" hidden="1" outlineLevel="1" x14ac:dyDescent="0.2">
      <c r="A14" s="8" t="s">
        <v>67</v>
      </c>
      <c r="B14" s="20">
        <f>SUMIFS('Registre de reserves'!$P$2:$P$1178,'Registre de reserves'!$T$2:$T$1178,"NO",'Registre de reserves'!$I$2:$I$1178,'2022'!$A14,'Registre de reserves'!$B$2:$B$1178,'2022'!B$2,Tabla1[ANY],'2022'!$Z$2)+SUMIFS('Registre de reserves'!$P$2:$P$1178,'Registre de reserves'!$T$2:$T$1178,"RESERVA",'Registre de reserves'!$I$2:$I$1178,'2022'!$A14,'Registre de reserves'!$B$2:$B$1178,'2022'!B$2,Tabla1[ANY],'2022'!$Z$2)-SUMIFS('Registre de reserves'!$U$2:$U$1178,'Registre de reserves'!$T$2:$T$1178,"RESERVA",'Registre de reserves'!$I$2:$I$1178,'2022'!$A14,'Registre de reserves'!$B$2:$B$1178,'2022'!B$2,Tabla1[ANY],'2022'!$Z$2)</f>
        <v>0</v>
      </c>
      <c r="C14" s="21">
        <f>IF($B$13=0,0,B14/B$13)</f>
        <v>0</v>
      </c>
      <c r="D14" s="20">
        <f>SUMIFS('Registre de reserves'!$P$2:$P$1178,'Registre de reserves'!$T$2:$T$1178,"NO",'Registre de reserves'!$I$2:$I$1178,'2022'!$A14,'Registre de reserves'!$B$2:$B$1178,'2022'!D$2,Tabla1[ANY],'2022'!$Z$2)+SUMIFS('Registre de reserves'!$P$2:$P$1178,'Registre de reserves'!$T$2:$T$1178,"RESERVA",'Registre de reserves'!$I$2:$I$1178,'2022'!$A14,'Registre de reserves'!$B$2:$B$1178,'2022'!D$2,Tabla1[ANY],'2022'!$Z$2)-SUMIFS('Registre de reserves'!$U$2:$U$1178,'Registre de reserves'!$T$2:$T$1178,"RESERVA",'Registre de reserves'!$I$2:$I$1178,'2022'!$A14,'Registre de reserves'!$B$2:$B$1178,'2022'!D$2,Tabla1[ANY],'2022'!$Z$2)</f>
        <v>0</v>
      </c>
      <c r="E14" s="21">
        <f>IF($D$13=0,0,D14/D$13)</f>
        <v>0</v>
      </c>
      <c r="F14" s="20">
        <f>SUMIFS('Registre de reserves'!$P$2:$P$1178,'Registre de reserves'!$T$2:$T$1178,"NO",'Registre de reserves'!$I$2:$I$1178,'2022'!$A14,'Registre de reserves'!$B$2:$B$1178,'2022'!F$2,Tabla1[ANY],'2022'!$Z$2)+SUMIFS('Registre de reserves'!$P$2:$P$1178,'Registre de reserves'!$T$2:$T$1178,"RESERVA",'Registre de reserves'!$I$2:$I$1178,'2022'!$A14,'Registre de reserves'!$B$2:$B$1178,'2022'!F$2,Tabla1[ANY],'2022'!$Z$2)-SUMIFS('Registre de reserves'!$U$2:$U$1178,'Registre de reserves'!$T$2:$T$1178,"RESERVA",'Registre de reserves'!$I$2:$I$1178,'2022'!$A14,'Registre de reserves'!$B$2:$B$1178,'2022'!F$2,Tabla1[ANY],'2022'!$Z$2)</f>
        <v>0</v>
      </c>
      <c r="G14" s="21">
        <f>IF($F$13=0,0,F14/F$13)</f>
        <v>0</v>
      </c>
      <c r="H14" s="20">
        <f>SUMIFS('Registre de reserves'!$P$2:$P$1178,'Registre de reserves'!$T$2:$T$1178,"NO",'Registre de reserves'!$I$2:$I$1178,'2022'!$A14,'Registre de reserves'!$B$2:$B$1178,'2022'!H$2,Tabla1[ANY],'2022'!$Z$2)+SUMIFS('Registre de reserves'!$P$2:$P$1178,'Registre de reserves'!$T$2:$T$1178,"RESERVA",'Registre de reserves'!$I$2:$I$1178,'2022'!$A14,'Registre de reserves'!$B$2:$B$1178,'2022'!H$2,Tabla1[ANY],'2022'!$Z$2)-SUMIFS('Registre de reserves'!$U$2:$U$1178,'Registre de reserves'!$T$2:$T$1178,"RESERVA",'Registre de reserves'!$I$2:$I$1178,'2022'!$A14,'Registre de reserves'!$B$2:$B$1178,'2022'!H$2,Tabla1[ANY],'2022'!$Z$2)</f>
        <v>0</v>
      </c>
      <c r="I14" s="21">
        <f>IF($H$13=0,0,H14/H$13)</f>
        <v>0</v>
      </c>
      <c r="J14" s="20">
        <f>SUMIFS('Registre de reserves'!$P$2:$P$1178,'Registre de reserves'!$T$2:$T$1178,"NO",'Registre de reserves'!$I$2:$I$1178,'2022'!$A14,'Registre de reserves'!$B$2:$B$1178,'2022'!J$2,Tabla1[ANY],'2022'!$Z$2)+SUMIFS('Registre de reserves'!$P$2:$P$1178,'Registre de reserves'!$T$2:$T$1178,"RESERVA",'Registre de reserves'!$I$2:$I$1178,'2022'!$A14,'Registre de reserves'!$B$2:$B$1178,'2022'!J$2,Tabla1[ANY],'2022'!$Z$2)-SUMIFS('Registre de reserves'!$U$2:$U$1178,'Registre de reserves'!$T$2:$T$1178,"RESERVA",'Registre de reserves'!$I$2:$I$1178,'2022'!$A14,'Registre de reserves'!$B$2:$B$1178,'2022'!J$2,Tabla1[ANY],'2022'!$Z$2)</f>
        <v>0</v>
      </c>
      <c r="K14" s="21">
        <f>IF($J$13=0,0,J14/J$13)</f>
        <v>0</v>
      </c>
      <c r="L14" s="20">
        <f>SUMIFS('Registre de reserves'!$P$2:$P$1178,'Registre de reserves'!$T$2:$T$1178,"NO",'Registre de reserves'!$I$2:$I$1178,'2022'!$A14,'Registre de reserves'!$B$2:$B$1178,'2022'!L$2,Tabla1[ANY],'2022'!$Z$2)+SUMIFS('Registre de reserves'!$P$2:$P$1178,'Registre de reserves'!$T$2:$T$1178,"RESERVA",'Registre de reserves'!$I$2:$I$1178,'2022'!$A14,'Registre de reserves'!$B$2:$B$1178,'2022'!L$2,Tabla1[ANY],'2022'!$Z$2)-SUMIFS('Registre de reserves'!$U$2:$U$1178,'Registre de reserves'!$T$2:$T$1178,"RESERVA",'Registre de reserves'!$I$2:$I$1178,'2022'!$A14,'Registre de reserves'!$B$2:$B$1178,'2022'!L$2,Tabla1[ANY],'2022'!$Z$2)</f>
        <v>0</v>
      </c>
      <c r="M14" s="21">
        <f>IF($L$13=0,0,L14/L$13)</f>
        <v>0</v>
      </c>
      <c r="N14" s="20">
        <f>SUMIFS('Registre de reserves'!$P$2:$P$1178,'Registre de reserves'!$T$2:$T$1178,"NO",'Registre de reserves'!$I$2:$I$1178,'2022'!$A14,'Registre de reserves'!$B$2:$B$1178,'2022'!N$2,Tabla1[ANY],'2022'!$Z$2)+SUMIFS('Registre de reserves'!$P$2:$P$1178,'Registre de reserves'!$T$2:$T$1178,"RESERVA",'Registre de reserves'!$I$2:$I$1178,'2022'!$A14,'Registre de reserves'!$B$2:$B$1178,'2022'!N$2,Tabla1[ANY],'2022'!$Z$2)-SUMIFS('Registre de reserves'!$U$2:$U$1178,'Registre de reserves'!$T$2:$T$1178,"RESERVA",'Registre de reserves'!$I$2:$I$1178,'2022'!$A14,'Registre de reserves'!$B$2:$B$1178,'2022'!N$2,Tabla1[ANY],'2022'!$Z$2)</f>
        <v>0</v>
      </c>
      <c r="O14" s="21">
        <f>IF($N$13=0,0,N14/N$13)</f>
        <v>0</v>
      </c>
      <c r="P14" s="20">
        <f>SUMIFS('Registre de reserves'!$P$2:$P$1178,'Registre de reserves'!$T$2:$T$1178,"NO",'Registre de reserves'!$I$2:$I$1178,'2022'!$A14,'Registre de reserves'!$B$2:$B$1178,'2022'!P$2,Tabla1[ANY],'2022'!$Z$2)+SUMIFS('Registre de reserves'!$P$2:$P$1178,'Registre de reserves'!$T$2:$T$1178,"RESERVA",'Registre de reserves'!$I$2:$I$1178,'2022'!$A14,'Registre de reserves'!$B$2:$B$1178,'2022'!P$2,Tabla1[ANY],'2022'!$Z$2)-SUMIFS('Registre de reserves'!$U$2:$U$1178,'Registre de reserves'!$T$2:$T$1178,"RESERVA",'Registre de reserves'!$I$2:$I$1178,'2022'!$A14,'Registre de reserves'!$B$2:$B$1178,'2022'!P$2,Tabla1[ANY],'2022'!$Z$2)</f>
        <v>0</v>
      </c>
      <c r="Q14" s="21">
        <f>IF($P$13=0,0,P14/P$13)</f>
        <v>0</v>
      </c>
      <c r="R14" s="20">
        <f>SUMIFS('Registre de reserves'!$P$2:$P$1178,'Registre de reserves'!$T$2:$T$1178,"NO",'Registre de reserves'!$I$2:$I$1178,'2022'!$A14,'Registre de reserves'!$B$2:$B$1178,'2022'!R$2,Tabla1[ANY],'2022'!$Z$2)+SUMIFS('Registre de reserves'!$P$2:$P$1178,'Registre de reserves'!$T$2:$T$1178,"RESERVA",'Registre de reserves'!$I$2:$I$1178,'2022'!$A14,'Registre de reserves'!$B$2:$B$1178,'2022'!R$2,Tabla1[ANY],'2022'!$Z$2)-SUMIFS('Registre de reserves'!$U$2:$U$1178,'Registre de reserves'!$T$2:$T$1178,"RESERVA",'Registre de reserves'!$I$2:$I$1178,'2022'!$A14,'Registre de reserves'!$B$2:$B$1178,'2022'!R$2,Tabla1[ANY],'2022'!$Z$2)</f>
        <v>0</v>
      </c>
      <c r="S14" s="21">
        <f>IF($R$13=0,0,R14/R$13)</f>
        <v>0</v>
      </c>
      <c r="T14" s="20">
        <f>SUMIFS('Registre de reserves'!$P$2:$P$1178,'Registre de reserves'!$T$2:$T$1178,"NO",'Registre de reserves'!$I$2:$I$1178,'2022'!$A14,'Registre de reserves'!$B$2:$B$1178,'2022'!T$2,Tabla1[ANY],'2022'!$Z$2)+SUMIFS('Registre de reserves'!$P$2:$P$1178,'Registre de reserves'!$T$2:$T$1178,"RESERVA",'Registre de reserves'!$I$2:$I$1178,'2022'!$A14,'Registre de reserves'!$B$2:$B$1178,'2022'!T$2,Tabla1[ANY],'2022'!$Z$2)-SUMIFS('Registre de reserves'!$U$2:$U$1178,'Registre de reserves'!$T$2:$T$1178,"RESERVA",'Registre de reserves'!$I$2:$I$1178,'2022'!$A14,'Registre de reserves'!$B$2:$B$1178,'2022'!T$2,Tabla1[ANY],'2022'!$Z$2)</f>
        <v>0</v>
      </c>
      <c r="U14" s="21">
        <f>IF($T$13=0,0,T14/T$13)</f>
        <v>0</v>
      </c>
      <c r="V14" s="20">
        <f>SUMIFS('Registre de reserves'!$P$2:$P$1178,'Registre de reserves'!$T$2:$T$1178,"NO",'Registre de reserves'!$I$2:$I$1178,'2022'!$A14,'Registre de reserves'!$B$2:$B$1178,'2022'!V$2,Tabla1[ANY],'2022'!$Z$2)+SUMIFS('Registre de reserves'!$P$2:$P$1178,'Registre de reserves'!$T$2:$T$1178,"RESERVA",'Registre de reserves'!$I$2:$I$1178,'2022'!$A14,'Registre de reserves'!$B$2:$B$1178,'2022'!V$2,Tabla1[ANY],'2022'!$Z$2)-SUMIFS('Registre de reserves'!$U$2:$U$1178,'Registre de reserves'!$T$2:$T$1178,"RESERVA",'Registre de reserves'!$I$2:$I$1178,'2022'!$A14,'Registre de reserves'!$B$2:$B$1178,'2022'!V$2,Tabla1[ANY],'2022'!$Z$2)</f>
        <v>0</v>
      </c>
      <c r="W14" s="21">
        <f>IF($V$13=0,0,V14/V$13)</f>
        <v>0</v>
      </c>
      <c r="X14" s="20">
        <f>SUMIFS('Registre de reserves'!$P$2:$P$1178,'Registre de reserves'!$T$2:$T$1178,"NO",'Registre de reserves'!$I$2:$I$1178,'2022'!$A14,'Registre de reserves'!$B$2:$B$1178,'2022'!X$2,Tabla1[ANY],'2022'!$Z$2)+SUMIFS('Registre de reserves'!$P$2:$P$1178,'Registre de reserves'!$T$2:$T$1178,"RESERVA",'Registre de reserves'!$I$2:$I$1178,'2022'!$A14,'Registre de reserves'!$B$2:$B$1178,'2022'!X$2,Tabla1[ANY],'2022'!$Z$2)-SUMIFS('Registre de reserves'!$U$2:$U$1178,'Registre de reserves'!$T$2:$T$1178,"RESERVA",'Registre de reserves'!$I$2:$I$1178,'2022'!$A14,'Registre de reserves'!$B$2:$B$1178,'2022'!X$2,Tabla1[ANY],'2022'!$Z$2)</f>
        <v>0</v>
      </c>
      <c r="Y14" s="21">
        <f>IF($X$13=0,0,X14/X$13)</f>
        <v>0</v>
      </c>
      <c r="Z14" s="20">
        <f>B14+D14+F14+H14+J14+L14+N14+P14+R14+T14+V14+X14</f>
        <v>0</v>
      </c>
      <c r="AA14" s="21">
        <f>IF($Z$13=0,0,Z14/Z$13)</f>
        <v>0</v>
      </c>
    </row>
    <row r="15" spans="1:30" hidden="1" outlineLevel="1" x14ac:dyDescent="0.2">
      <c r="A15" s="8" t="s">
        <v>68</v>
      </c>
      <c r="B15" s="20">
        <f>SUMIFS('Registre de reserves'!$P$2:$P$1178,'Registre de reserves'!$T$2:$T$1178,"NO",'Registre de reserves'!$I$2:$I$1178,'2022'!$A15,'Registre de reserves'!$B$2:$B$1178,'2022'!B$2,Tabla1[ANY],'2022'!$Z$2)+SUMIFS('Registre de reserves'!$P$2:$P$1178,'Registre de reserves'!$T$2:$T$1178,"RESERVA",'Registre de reserves'!$I$2:$I$1178,'2022'!$A15,'Registre de reserves'!$B$2:$B$1178,'2022'!B$2,Tabla1[ANY],'2022'!$Z$2)-SUMIFS('Registre de reserves'!$U$2:$U$1178,'Registre de reserves'!$T$2:$T$1178,"RESERVA",'Registre de reserves'!$I$2:$I$1178,'2022'!$A15,'Registre de reserves'!$B$2:$B$1178,'2022'!B$2,Tabla1[ANY],'2022'!$Z$2)</f>
        <v>190</v>
      </c>
      <c r="C15" s="21">
        <f t="shared" ref="C15:C21" si="15">IF($B$13=0,0,B15/B$13)</f>
        <v>0.35849056603773582</v>
      </c>
      <c r="D15" s="20">
        <f>SUMIFS('Registre de reserves'!$P$2:$P$1178,'Registre de reserves'!$T$2:$T$1178,"NO",'Registre de reserves'!$I$2:$I$1178,'2022'!$A15,'Registre de reserves'!$B$2:$B$1178,'2022'!D$2,Tabla1[ANY],'2022'!$Z$2)+SUMIFS('Registre de reserves'!$P$2:$P$1178,'Registre de reserves'!$T$2:$T$1178,"RESERVA",'Registre de reserves'!$I$2:$I$1178,'2022'!$A15,'Registre de reserves'!$B$2:$B$1178,'2022'!D$2,Tabla1[ANY],'2022'!$Z$2)-SUMIFS('Registre de reserves'!$U$2:$U$1178,'Registre de reserves'!$T$2:$T$1178,"RESERVA",'Registre de reserves'!$I$2:$I$1178,'2022'!$A15,'Registre de reserves'!$B$2:$B$1178,'2022'!D$2,Tabla1[ANY],'2022'!$Z$2)</f>
        <v>0</v>
      </c>
      <c r="E15" s="21">
        <f t="shared" ref="E15:E21" si="16">IF($D$13=0,0,D15/D$13)</f>
        <v>0</v>
      </c>
      <c r="F15" s="20">
        <f>SUMIFS('Registre de reserves'!$P$2:$P$1178,'Registre de reserves'!$T$2:$T$1178,"NO",'Registre de reserves'!$I$2:$I$1178,'2022'!$A15,'Registre de reserves'!$B$2:$B$1178,'2022'!F$2,Tabla1[ANY],'2022'!$Z$2)+SUMIFS('Registre de reserves'!$P$2:$P$1178,'Registre de reserves'!$T$2:$T$1178,"RESERVA",'Registre de reserves'!$I$2:$I$1178,'2022'!$A15,'Registre de reserves'!$B$2:$B$1178,'2022'!F$2,Tabla1[ANY],'2022'!$Z$2)-SUMIFS('Registre de reserves'!$U$2:$U$1178,'Registre de reserves'!$T$2:$T$1178,"RESERVA",'Registre de reserves'!$I$2:$I$1178,'2022'!$A15,'Registre de reserves'!$B$2:$B$1178,'2022'!F$2,Tabla1[ANY],'2022'!$Z$2)</f>
        <v>0</v>
      </c>
      <c r="G15" s="21">
        <f t="shared" ref="G15:G21" si="17">IF($F$13=0,0,F15/F$13)</f>
        <v>0</v>
      </c>
      <c r="H15" s="20">
        <f>SUMIFS('Registre de reserves'!$P$2:$P$1178,'Registre de reserves'!$T$2:$T$1178,"NO",'Registre de reserves'!$I$2:$I$1178,'2022'!$A15,'Registre de reserves'!$B$2:$B$1178,'2022'!H$2,Tabla1[ANY],'2022'!$Z$2)+SUMIFS('Registre de reserves'!$P$2:$P$1178,'Registre de reserves'!$T$2:$T$1178,"RESERVA",'Registre de reserves'!$I$2:$I$1178,'2022'!$A15,'Registre de reserves'!$B$2:$B$1178,'2022'!H$2,Tabla1[ANY],'2022'!$Z$2)-SUMIFS('Registre de reserves'!$U$2:$U$1178,'Registre de reserves'!$T$2:$T$1178,"RESERVA",'Registre de reserves'!$I$2:$I$1178,'2022'!$A15,'Registre de reserves'!$B$2:$B$1178,'2022'!H$2,Tabla1[ANY],'2022'!$Z$2)</f>
        <v>0</v>
      </c>
      <c r="I15" s="21">
        <f t="shared" ref="I15:I21" si="18">IF($H$13=0,0,H15/H$13)</f>
        <v>0</v>
      </c>
      <c r="J15" s="20">
        <f>SUMIFS('Registre de reserves'!$P$2:$P$1178,'Registre de reserves'!$T$2:$T$1178,"NO",'Registre de reserves'!$I$2:$I$1178,'2022'!$A15,'Registre de reserves'!$B$2:$B$1178,'2022'!J$2,Tabla1[ANY],'2022'!$Z$2)+SUMIFS('Registre de reserves'!$P$2:$P$1178,'Registre de reserves'!$T$2:$T$1178,"RESERVA",'Registre de reserves'!$I$2:$I$1178,'2022'!$A15,'Registre de reserves'!$B$2:$B$1178,'2022'!J$2,Tabla1[ANY],'2022'!$Z$2)-SUMIFS('Registre de reserves'!$U$2:$U$1178,'Registre de reserves'!$T$2:$T$1178,"RESERVA",'Registre de reserves'!$I$2:$I$1178,'2022'!$A15,'Registre de reserves'!$B$2:$B$1178,'2022'!J$2,Tabla1[ANY],'2022'!$Z$2)</f>
        <v>0</v>
      </c>
      <c r="K15" s="21">
        <f t="shared" ref="K15:K21" si="19">IF($J$13=0,0,J15/J$13)</f>
        <v>0</v>
      </c>
      <c r="L15" s="20">
        <f>SUMIFS('Registre de reserves'!$P$2:$P$1178,'Registre de reserves'!$T$2:$T$1178,"NO",'Registre de reserves'!$I$2:$I$1178,'2022'!$A15,'Registre de reserves'!$B$2:$B$1178,'2022'!L$2,Tabla1[ANY],'2022'!$Z$2)+SUMIFS('Registre de reserves'!$P$2:$P$1178,'Registre de reserves'!$T$2:$T$1178,"RESERVA",'Registre de reserves'!$I$2:$I$1178,'2022'!$A15,'Registre de reserves'!$B$2:$B$1178,'2022'!L$2,Tabla1[ANY],'2022'!$Z$2)-SUMIFS('Registre de reserves'!$U$2:$U$1178,'Registre de reserves'!$T$2:$T$1178,"RESERVA",'Registre de reserves'!$I$2:$I$1178,'2022'!$A15,'Registre de reserves'!$B$2:$B$1178,'2022'!L$2,Tabla1[ANY],'2022'!$Z$2)</f>
        <v>0</v>
      </c>
      <c r="M15" s="21">
        <f t="shared" ref="M15:M21" si="20">IF($L$13=0,0,L15/L$13)</f>
        <v>0</v>
      </c>
      <c r="N15" s="20">
        <f>SUMIFS('Registre de reserves'!$P$2:$P$1178,'Registre de reserves'!$T$2:$T$1178,"NO",'Registre de reserves'!$I$2:$I$1178,'2022'!$A15,'Registre de reserves'!$B$2:$B$1178,'2022'!N$2,Tabla1[ANY],'2022'!$Z$2)+SUMIFS('Registre de reserves'!$P$2:$P$1178,'Registre de reserves'!$T$2:$T$1178,"RESERVA",'Registre de reserves'!$I$2:$I$1178,'2022'!$A15,'Registre de reserves'!$B$2:$B$1178,'2022'!N$2,Tabla1[ANY],'2022'!$Z$2)-SUMIFS('Registre de reserves'!$U$2:$U$1178,'Registre de reserves'!$T$2:$T$1178,"RESERVA",'Registre de reserves'!$I$2:$I$1178,'2022'!$A15,'Registre de reserves'!$B$2:$B$1178,'2022'!N$2,Tabla1[ANY],'2022'!$Z$2)</f>
        <v>0</v>
      </c>
      <c r="O15" s="21">
        <f t="shared" ref="O15:O21" si="21">IF($N$13=0,0,N15/N$13)</f>
        <v>0</v>
      </c>
      <c r="P15" s="20">
        <f>SUMIFS('Registre de reserves'!$P$2:$P$1178,'Registre de reserves'!$T$2:$T$1178,"NO",'Registre de reserves'!$I$2:$I$1178,'2022'!$A15,'Registre de reserves'!$B$2:$B$1178,'2022'!P$2,Tabla1[ANY],'2022'!$Z$2)+SUMIFS('Registre de reserves'!$P$2:$P$1178,'Registre de reserves'!$T$2:$T$1178,"RESERVA",'Registre de reserves'!$I$2:$I$1178,'2022'!$A15,'Registre de reserves'!$B$2:$B$1178,'2022'!P$2,Tabla1[ANY],'2022'!$Z$2)-SUMIFS('Registre de reserves'!$U$2:$U$1178,'Registre de reserves'!$T$2:$T$1178,"RESERVA",'Registre de reserves'!$I$2:$I$1178,'2022'!$A15,'Registre de reserves'!$B$2:$B$1178,'2022'!P$2,Tabla1[ANY],'2022'!$Z$2)</f>
        <v>0</v>
      </c>
      <c r="Q15" s="21">
        <f t="shared" ref="Q15:Q21" si="22">IF($P$13=0,0,P15/P$13)</f>
        <v>0</v>
      </c>
      <c r="R15" s="20">
        <f>SUMIFS('Registre de reserves'!$P$2:$P$1178,'Registre de reserves'!$T$2:$T$1178,"NO",'Registre de reserves'!$I$2:$I$1178,'2022'!$A15,'Registre de reserves'!$B$2:$B$1178,'2022'!R$2,Tabla1[ANY],'2022'!$Z$2)+SUMIFS('Registre de reserves'!$P$2:$P$1178,'Registre de reserves'!$T$2:$T$1178,"RESERVA",'Registre de reserves'!$I$2:$I$1178,'2022'!$A15,'Registre de reserves'!$B$2:$B$1178,'2022'!R$2,Tabla1[ANY],'2022'!$Z$2)-SUMIFS('Registre de reserves'!$U$2:$U$1178,'Registre de reserves'!$T$2:$T$1178,"RESERVA",'Registre de reserves'!$I$2:$I$1178,'2022'!$A15,'Registre de reserves'!$B$2:$B$1178,'2022'!R$2,Tabla1[ANY],'2022'!$Z$2)</f>
        <v>0</v>
      </c>
      <c r="S15" s="21">
        <f t="shared" ref="S15:S21" si="23">IF($R$13=0,0,R15/R$13)</f>
        <v>0</v>
      </c>
      <c r="T15" s="20">
        <f>SUMIFS('Registre de reserves'!$P$2:$P$1178,'Registre de reserves'!$T$2:$T$1178,"NO",'Registre de reserves'!$I$2:$I$1178,'2022'!$A15,'Registre de reserves'!$B$2:$B$1178,'2022'!T$2,Tabla1[ANY],'2022'!$Z$2)+SUMIFS('Registre de reserves'!$P$2:$P$1178,'Registre de reserves'!$T$2:$T$1178,"RESERVA",'Registre de reserves'!$I$2:$I$1178,'2022'!$A15,'Registre de reserves'!$B$2:$B$1178,'2022'!T$2,Tabla1[ANY],'2022'!$Z$2)-SUMIFS('Registre de reserves'!$U$2:$U$1178,'Registre de reserves'!$T$2:$T$1178,"RESERVA",'Registre de reserves'!$I$2:$I$1178,'2022'!$A15,'Registre de reserves'!$B$2:$B$1178,'2022'!T$2,Tabla1[ANY],'2022'!$Z$2)</f>
        <v>0</v>
      </c>
      <c r="U15" s="21">
        <f t="shared" ref="U15:U21" si="24">IF($T$13=0,0,T15/T$13)</f>
        <v>0</v>
      </c>
      <c r="V15" s="20">
        <f>SUMIFS('Registre de reserves'!$P$2:$P$1178,'Registre de reserves'!$T$2:$T$1178,"NO",'Registre de reserves'!$I$2:$I$1178,'2022'!$A15,'Registre de reserves'!$B$2:$B$1178,'2022'!V$2,Tabla1[ANY],'2022'!$Z$2)+SUMIFS('Registre de reserves'!$P$2:$P$1178,'Registre de reserves'!$T$2:$T$1178,"RESERVA",'Registre de reserves'!$I$2:$I$1178,'2022'!$A15,'Registre de reserves'!$B$2:$B$1178,'2022'!V$2,Tabla1[ANY],'2022'!$Z$2)-SUMIFS('Registre de reserves'!$U$2:$U$1178,'Registre de reserves'!$T$2:$T$1178,"RESERVA",'Registre de reserves'!$I$2:$I$1178,'2022'!$A15,'Registre de reserves'!$B$2:$B$1178,'2022'!V$2,Tabla1[ANY],'2022'!$Z$2)</f>
        <v>0</v>
      </c>
      <c r="W15" s="21">
        <f t="shared" ref="W15:W21" si="25">IF($V$13=0,0,V15/V$13)</f>
        <v>0</v>
      </c>
      <c r="X15" s="20">
        <f>SUMIFS('Registre de reserves'!$P$2:$P$1178,'Registre de reserves'!$T$2:$T$1178,"NO",'Registre de reserves'!$I$2:$I$1178,'2022'!$A15,'Registre de reserves'!$B$2:$B$1178,'2022'!X$2,Tabla1[ANY],'2022'!$Z$2)+SUMIFS('Registre de reserves'!$P$2:$P$1178,'Registre de reserves'!$T$2:$T$1178,"RESERVA",'Registre de reserves'!$I$2:$I$1178,'2022'!$A15,'Registre de reserves'!$B$2:$B$1178,'2022'!X$2,Tabla1[ANY],'2022'!$Z$2)-SUMIFS('Registre de reserves'!$U$2:$U$1178,'Registre de reserves'!$T$2:$T$1178,"RESERVA",'Registre de reserves'!$I$2:$I$1178,'2022'!$A15,'Registre de reserves'!$B$2:$B$1178,'2022'!X$2,Tabla1[ANY],'2022'!$Z$2)</f>
        <v>0</v>
      </c>
      <c r="Y15" s="21">
        <f t="shared" ref="Y15:Y21" si="26">IF($X$13=0,0,X15/X$13)</f>
        <v>0</v>
      </c>
      <c r="Z15" s="20">
        <f t="shared" ref="Z15:Z21" si="27">B15+D15+F15+H15+J15+L15+N15+P15+R15+T15+V15+X15</f>
        <v>190</v>
      </c>
      <c r="AA15" s="21">
        <f t="shared" ref="AA15:AA21" si="28">IF($Z$13=0,0,Z15/Z$13)</f>
        <v>0.19191919191919191</v>
      </c>
    </row>
    <row r="16" spans="1:30" hidden="1" outlineLevel="1" x14ac:dyDescent="0.2">
      <c r="A16" s="8" t="s">
        <v>4</v>
      </c>
      <c r="B16" s="20">
        <f>SUMIFS('Registre de reserves'!$P$2:$P$1178,'Registre de reserves'!$T$2:$T$1178,"NO",'Registre de reserves'!$I$2:$I$1178,'2022'!$A16,'Registre de reserves'!$B$2:$B$1178,'2022'!B$2,Tabla1[ANY],'2022'!$Z$2)+SUMIFS('Registre de reserves'!$P$2:$P$1178,'Registre de reserves'!$T$2:$T$1178,"RESERVA",'Registre de reserves'!$I$2:$I$1178,'2022'!$A16,'Registre de reserves'!$B$2:$B$1178,'2022'!B$2,Tabla1[ANY],'2022'!$Z$2)-SUMIFS('Registre de reserves'!$U$2:$U$1178,'Registre de reserves'!$T$2:$T$1178,"RESERVA",'Registre de reserves'!$I$2:$I$1178,'2022'!$A16,'Registre de reserves'!$B$2:$B$1178,'2022'!B$2,Tabla1[ANY],'2022'!$Z$2)</f>
        <v>0</v>
      </c>
      <c r="C16" s="21">
        <f t="shared" si="15"/>
        <v>0</v>
      </c>
      <c r="D16" s="20">
        <f>SUMIFS('Registre de reserves'!$P$2:$P$1178,'Registre de reserves'!$T$2:$T$1178,"NO",'Registre de reserves'!$I$2:$I$1178,'2022'!$A16,'Registre de reserves'!$B$2:$B$1178,'2022'!D$2,Tabla1[ANY],'2022'!$Z$2)+SUMIFS('Registre de reserves'!$P$2:$P$1178,'Registre de reserves'!$T$2:$T$1178,"RESERVA",'Registre de reserves'!$I$2:$I$1178,'2022'!$A16,'Registre de reserves'!$B$2:$B$1178,'2022'!D$2,Tabla1[ANY],'2022'!$Z$2)-SUMIFS('Registre de reserves'!$U$2:$U$1178,'Registre de reserves'!$T$2:$T$1178,"RESERVA",'Registre de reserves'!$I$2:$I$1178,'2022'!$A16,'Registre de reserves'!$B$2:$B$1178,'2022'!D$2,Tabla1[ANY],'2022'!$Z$2)</f>
        <v>270</v>
      </c>
      <c r="E16" s="21">
        <f t="shared" si="16"/>
        <v>1</v>
      </c>
      <c r="F16" s="20">
        <f>SUMIFS('Registre de reserves'!$P$2:$P$1178,'Registre de reserves'!$T$2:$T$1178,"NO",'Registre de reserves'!$I$2:$I$1178,'2022'!$A16,'Registre de reserves'!$B$2:$B$1178,'2022'!F$2,Tabla1[ANY],'2022'!$Z$2)+SUMIFS('Registre de reserves'!$P$2:$P$1178,'Registre de reserves'!$T$2:$T$1178,"RESERVA",'Registre de reserves'!$I$2:$I$1178,'2022'!$A16,'Registre de reserves'!$B$2:$B$1178,'2022'!F$2,Tabla1[ANY],'2022'!$Z$2)-SUMIFS('Registre de reserves'!$U$2:$U$1178,'Registre de reserves'!$T$2:$T$1178,"RESERVA",'Registre de reserves'!$I$2:$I$1178,'2022'!$A16,'Registre de reserves'!$B$2:$B$1178,'2022'!F$2,Tabla1[ANY],'2022'!$Z$2)</f>
        <v>0</v>
      </c>
      <c r="G16" s="21">
        <f t="shared" si="17"/>
        <v>0</v>
      </c>
      <c r="H16" s="20">
        <f>SUMIFS('Registre de reserves'!$P$2:$P$1178,'Registre de reserves'!$T$2:$T$1178,"NO",'Registre de reserves'!$I$2:$I$1178,'2022'!$A16,'Registre de reserves'!$B$2:$B$1178,'2022'!H$2,Tabla1[ANY],'2022'!$Z$2)+SUMIFS('Registre de reserves'!$P$2:$P$1178,'Registre de reserves'!$T$2:$T$1178,"RESERVA",'Registre de reserves'!$I$2:$I$1178,'2022'!$A16,'Registre de reserves'!$B$2:$B$1178,'2022'!H$2,Tabla1[ANY],'2022'!$Z$2)-SUMIFS('Registre de reserves'!$U$2:$U$1178,'Registre de reserves'!$T$2:$T$1178,"RESERVA",'Registre de reserves'!$I$2:$I$1178,'2022'!$A16,'Registre de reserves'!$B$2:$B$1178,'2022'!H$2,Tabla1[ANY],'2022'!$Z$2)</f>
        <v>0</v>
      </c>
      <c r="I16" s="21">
        <f t="shared" si="18"/>
        <v>0</v>
      </c>
      <c r="J16" s="20">
        <f>SUMIFS('Registre de reserves'!$P$2:$P$1178,'Registre de reserves'!$T$2:$T$1178,"NO",'Registre de reserves'!$I$2:$I$1178,'2022'!$A16,'Registre de reserves'!$B$2:$B$1178,'2022'!J$2,Tabla1[ANY],'2022'!$Z$2)+SUMIFS('Registre de reserves'!$P$2:$P$1178,'Registre de reserves'!$T$2:$T$1178,"RESERVA",'Registre de reserves'!$I$2:$I$1178,'2022'!$A16,'Registre de reserves'!$B$2:$B$1178,'2022'!J$2,Tabla1[ANY],'2022'!$Z$2)-SUMIFS('Registre de reserves'!$U$2:$U$1178,'Registre de reserves'!$T$2:$T$1178,"RESERVA",'Registre de reserves'!$I$2:$I$1178,'2022'!$A16,'Registre de reserves'!$B$2:$B$1178,'2022'!J$2,Tabla1[ANY],'2022'!$Z$2)</f>
        <v>0</v>
      </c>
      <c r="K16" s="21">
        <f t="shared" si="19"/>
        <v>0</v>
      </c>
      <c r="L16" s="20">
        <f>SUMIFS('Registre de reserves'!$P$2:$P$1178,'Registre de reserves'!$T$2:$T$1178,"NO",'Registre de reserves'!$I$2:$I$1178,'2022'!$A16,'Registre de reserves'!$B$2:$B$1178,'2022'!L$2,Tabla1[ANY],'2022'!$Z$2)+SUMIFS('Registre de reserves'!$P$2:$P$1178,'Registre de reserves'!$T$2:$T$1178,"RESERVA",'Registre de reserves'!$I$2:$I$1178,'2022'!$A16,'Registre de reserves'!$B$2:$B$1178,'2022'!L$2,Tabla1[ANY],'2022'!$Z$2)-SUMIFS('Registre de reserves'!$U$2:$U$1178,'Registre de reserves'!$T$2:$T$1178,"RESERVA",'Registre de reserves'!$I$2:$I$1178,'2022'!$A16,'Registre de reserves'!$B$2:$B$1178,'2022'!L$2,Tabla1[ANY],'2022'!$Z$2)</f>
        <v>0</v>
      </c>
      <c r="M16" s="21">
        <f t="shared" si="20"/>
        <v>0</v>
      </c>
      <c r="N16" s="20">
        <f>SUMIFS('Registre de reserves'!$P$2:$P$1178,'Registre de reserves'!$T$2:$T$1178,"NO",'Registre de reserves'!$I$2:$I$1178,'2022'!$A16,'Registre de reserves'!$B$2:$B$1178,'2022'!N$2,Tabla1[ANY],'2022'!$Z$2)+SUMIFS('Registre de reserves'!$P$2:$P$1178,'Registre de reserves'!$T$2:$T$1178,"RESERVA",'Registre de reserves'!$I$2:$I$1178,'2022'!$A16,'Registre de reserves'!$B$2:$B$1178,'2022'!N$2,Tabla1[ANY],'2022'!$Z$2)-SUMIFS('Registre de reserves'!$U$2:$U$1178,'Registre de reserves'!$T$2:$T$1178,"RESERVA",'Registre de reserves'!$I$2:$I$1178,'2022'!$A16,'Registre de reserves'!$B$2:$B$1178,'2022'!N$2,Tabla1[ANY],'2022'!$Z$2)</f>
        <v>0</v>
      </c>
      <c r="O16" s="21">
        <f t="shared" si="21"/>
        <v>0</v>
      </c>
      <c r="P16" s="20">
        <f>SUMIFS('Registre de reserves'!$P$2:$P$1178,'Registre de reserves'!$T$2:$T$1178,"NO",'Registre de reserves'!$I$2:$I$1178,'2022'!$A16,'Registre de reserves'!$B$2:$B$1178,'2022'!P$2,Tabla1[ANY],'2022'!$Z$2)+SUMIFS('Registre de reserves'!$P$2:$P$1178,'Registre de reserves'!$T$2:$T$1178,"RESERVA",'Registre de reserves'!$I$2:$I$1178,'2022'!$A16,'Registre de reserves'!$B$2:$B$1178,'2022'!P$2,Tabla1[ANY],'2022'!$Z$2)-SUMIFS('Registre de reserves'!$U$2:$U$1178,'Registre de reserves'!$T$2:$T$1178,"RESERVA",'Registre de reserves'!$I$2:$I$1178,'2022'!$A16,'Registre de reserves'!$B$2:$B$1178,'2022'!P$2,Tabla1[ANY],'2022'!$Z$2)</f>
        <v>0</v>
      </c>
      <c r="Q16" s="21">
        <f t="shared" si="22"/>
        <v>0</v>
      </c>
      <c r="R16" s="20">
        <f>SUMIFS('Registre de reserves'!$P$2:$P$1178,'Registre de reserves'!$T$2:$T$1178,"NO",'Registre de reserves'!$I$2:$I$1178,'2022'!$A16,'Registre de reserves'!$B$2:$B$1178,'2022'!R$2,Tabla1[ANY],'2022'!$Z$2)+SUMIFS('Registre de reserves'!$P$2:$P$1178,'Registre de reserves'!$T$2:$T$1178,"RESERVA",'Registre de reserves'!$I$2:$I$1178,'2022'!$A16,'Registre de reserves'!$B$2:$B$1178,'2022'!R$2,Tabla1[ANY],'2022'!$Z$2)-SUMIFS('Registre de reserves'!$U$2:$U$1178,'Registre de reserves'!$T$2:$T$1178,"RESERVA",'Registre de reserves'!$I$2:$I$1178,'2022'!$A16,'Registre de reserves'!$B$2:$B$1178,'2022'!R$2,Tabla1[ANY],'2022'!$Z$2)</f>
        <v>240</v>
      </c>
      <c r="S16" s="21">
        <f t="shared" si="23"/>
        <v>1</v>
      </c>
      <c r="T16" s="20">
        <f>SUMIFS('Registre de reserves'!$P$2:$P$1178,'Registre de reserves'!$T$2:$T$1178,"NO",'Registre de reserves'!$I$2:$I$1178,'2022'!$A16,'Registre de reserves'!$B$2:$B$1178,'2022'!T$2,Tabla1[ANY],'2022'!$Z$2)+SUMIFS('Registre de reserves'!$P$2:$P$1178,'Registre de reserves'!$T$2:$T$1178,"RESERVA",'Registre de reserves'!$I$2:$I$1178,'2022'!$A16,'Registre de reserves'!$B$2:$B$1178,'2022'!T$2,Tabla1[ANY],'2022'!$Z$2)-SUMIFS('Registre de reserves'!$U$2:$U$1178,'Registre de reserves'!$T$2:$T$1178,"RESERVA",'Registre de reserves'!$I$2:$I$1178,'2022'!$A16,'Registre de reserves'!$B$2:$B$1178,'2022'!T$2,Tabla1[ANY],'2022'!$Z$2)</f>
        <v>0</v>
      </c>
      <c r="U16" s="21">
        <f t="shared" si="24"/>
        <v>0</v>
      </c>
      <c r="V16" s="20">
        <f>SUMIFS('Registre de reserves'!$P$2:$P$1178,'Registre de reserves'!$T$2:$T$1178,"NO",'Registre de reserves'!$I$2:$I$1178,'2022'!$A16,'Registre de reserves'!$B$2:$B$1178,'2022'!V$2,Tabla1[ANY],'2022'!$Z$2)+SUMIFS('Registre de reserves'!$P$2:$P$1178,'Registre de reserves'!$T$2:$T$1178,"RESERVA",'Registre de reserves'!$I$2:$I$1178,'2022'!$A16,'Registre de reserves'!$B$2:$B$1178,'2022'!V$2,Tabla1[ANY],'2022'!$Z$2)-SUMIFS('Registre de reserves'!$U$2:$U$1178,'Registre de reserves'!$T$2:$T$1178,"RESERVA",'Registre de reserves'!$I$2:$I$1178,'2022'!$A16,'Registre de reserves'!$B$2:$B$1178,'2022'!V$2,Tabla1[ANY],'2022'!$Z$2)</f>
        <v>0</v>
      </c>
      <c r="W16" s="21">
        <f t="shared" si="25"/>
        <v>0</v>
      </c>
      <c r="X16" s="20">
        <f>SUMIFS('Registre de reserves'!$P$2:$P$1178,'Registre de reserves'!$T$2:$T$1178,"NO",'Registre de reserves'!$I$2:$I$1178,'2022'!$A16,'Registre de reserves'!$B$2:$B$1178,'2022'!X$2,Tabla1[ANY],'2022'!$Z$2)+SUMIFS('Registre de reserves'!$P$2:$P$1178,'Registre de reserves'!$T$2:$T$1178,"RESERVA",'Registre de reserves'!$I$2:$I$1178,'2022'!$A16,'Registre de reserves'!$B$2:$B$1178,'2022'!X$2,Tabla1[ANY],'2022'!$Z$2)-SUMIFS('Registre de reserves'!$U$2:$U$1178,'Registre de reserves'!$T$2:$T$1178,"RESERVA",'Registre de reserves'!$I$2:$I$1178,'2022'!$A16,'Registre de reserves'!$B$2:$B$1178,'2022'!X$2,Tabla1[ANY],'2022'!$Z$2)</f>
        <v>0</v>
      </c>
      <c r="Y16" s="21">
        <f t="shared" si="26"/>
        <v>0</v>
      </c>
      <c r="Z16" s="20">
        <f t="shared" si="27"/>
        <v>510</v>
      </c>
      <c r="AA16" s="21">
        <f t="shared" si="28"/>
        <v>0.51515151515151514</v>
      </c>
    </row>
    <row r="17" spans="1:30" hidden="1" outlineLevel="1" x14ac:dyDescent="0.2">
      <c r="A17" s="8" t="s">
        <v>71</v>
      </c>
      <c r="B17" s="20">
        <f>SUMIFS('Registre de reserves'!$P$2:$P$1178,'Registre de reserves'!$T$2:$T$1178,"NO",'Registre de reserves'!$I$2:$I$1178,'2022'!$A17,'Registre de reserves'!$B$2:$B$1178,'2022'!B$2,Tabla1[ANY],'2022'!$Z$2)+SUMIFS('Registre de reserves'!$P$2:$P$1178,'Registre de reserves'!$T$2:$T$1178,"RESERVA",'Registre de reserves'!$I$2:$I$1178,'2022'!$A17,'Registre de reserves'!$B$2:$B$1178,'2022'!B$2,Tabla1[ANY],'2022'!$Z$2)-SUMIFS('Registre de reserves'!$U$2:$U$1178,'Registre de reserves'!$T$2:$T$1178,"RESERVA",'Registre de reserves'!$I$2:$I$1178,'2022'!$A17,'Registre de reserves'!$B$2:$B$1178,'2022'!B$2,Tabla1[ANY],'2022'!$Z$2)</f>
        <v>0</v>
      </c>
      <c r="C17" s="21">
        <f t="shared" si="15"/>
        <v>0</v>
      </c>
      <c r="D17" s="20">
        <f>SUMIFS('Registre de reserves'!$P$2:$P$1178,'Registre de reserves'!$T$2:$T$1178,"NO",'Registre de reserves'!$I$2:$I$1178,'2022'!$A17,'Registre de reserves'!$B$2:$B$1178,'2022'!D$2,Tabla1[ANY],'2022'!$Z$2)+SUMIFS('Registre de reserves'!$P$2:$P$1178,'Registre de reserves'!$T$2:$T$1178,"RESERVA",'Registre de reserves'!$I$2:$I$1178,'2022'!$A17,'Registre de reserves'!$B$2:$B$1178,'2022'!D$2,Tabla1[ANY],'2022'!$Z$2)-SUMIFS('Registre de reserves'!$U$2:$U$1178,'Registre de reserves'!$T$2:$T$1178,"RESERVA",'Registre de reserves'!$I$2:$I$1178,'2022'!$A17,'Registre de reserves'!$B$2:$B$1178,'2022'!D$2,Tabla1[ANY],'2022'!$Z$2)</f>
        <v>0</v>
      </c>
      <c r="E17" s="21">
        <f t="shared" si="16"/>
        <v>0</v>
      </c>
      <c r="F17" s="20">
        <f>SUMIFS('Registre de reserves'!$P$2:$P$1178,'Registre de reserves'!$T$2:$T$1178,"NO",'Registre de reserves'!$I$2:$I$1178,'2022'!$A17,'Registre de reserves'!$B$2:$B$1178,'2022'!F$2,Tabla1[ANY],'2022'!$Z$2)+SUMIFS('Registre de reserves'!$P$2:$P$1178,'Registre de reserves'!$T$2:$T$1178,"RESERVA",'Registre de reserves'!$I$2:$I$1178,'2022'!$A17,'Registre de reserves'!$B$2:$B$1178,'2022'!F$2,Tabla1[ANY],'2022'!$Z$2)-SUMIFS('Registre de reserves'!$U$2:$U$1178,'Registre de reserves'!$T$2:$T$1178,"RESERVA",'Registre de reserves'!$I$2:$I$1178,'2022'!$A17,'Registre de reserves'!$B$2:$B$1178,'2022'!F$2,Tabla1[ANY],'2022'!$Z$2)</f>
        <v>0</v>
      </c>
      <c r="G17" s="21">
        <f t="shared" si="17"/>
        <v>0</v>
      </c>
      <c r="H17" s="20">
        <f>SUMIFS('Registre de reserves'!$P$2:$P$1178,'Registre de reserves'!$T$2:$T$1178,"NO",'Registre de reserves'!$I$2:$I$1178,'2022'!$A17,'Registre de reserves'!$B$2:$B$1178,'2022'!H$2,Tabla1[ANY],'2022'!$Z$2)+SUMIFS('Registre de reserves'!$P$2:$P$1178,'Registre de reserves'!$T$2:$T$1178,"RESERVA",'Registre de reserves'!$I$2:$I$1178,'2022'!$A17,'Registre de reserves'!$B$2:$B$1178,'2022'!H$2,Tabla1[ANY],'2022'!$Z$2)-SUMIFS('Registre de reserves'!$U$2:$U$1178,'Registre de reserves'!$T$2:$T$1178,"RESERVA",'Registre de reserves'!$I$2:$I$1178,'2022'!$A17,'Registre de reserves'!$B$2:$B$1178,'2022'!H$2,Tabla1[ANY],'2022'!$Z$2)</f>
        <v>0</v>
      </c>
      <c r="I17" s="21">
        <f t="shared" si="18"/>
        <v>0</v>
      </c>
      <c r="J17" s="20">
        <f>SUMIFS('Registre de reserves'!$P$2:$P$1178,'Registre de reserves'!$T$2:$T$1178,"NO",'Registre de reserves'!$I$2:$I$1178,'2022'!$A17,'Registre de reserves'!$B$2:$B$1178,'2022'!J$2,Tabla1[ANY],'2022'!$Z$2)+SUMIFS('Registre de reserves'!$P$2:$P$1178,'Registre de reserves'!$T$2:$T$1178,"RESERVA",'Registre de reserves'!$I$2:$I$1178,'2022'!$A17,'Registre de reserves'!$B$2:$B$1178,'2022'!J$2,Tabla1[ANY],'2022'!$Z$2)-SUMIFS('Registre de reserves'!$U$2:$U$1178,'Registre de reserves'!$T$2:$T$1178,"RESERVA",'Registre de reserves'!$I$2:$I$1178,'2022'!$A17,'Registre de reserves'!$B$2:$B$1178,'2022'!J$2,Tabla1[ANY],'2022'!$Z$2)</f>
        <v>0</v>
      </c>
      <c r="K17" s="21">
        <f t="shared" si="19"/>
        <v>0</v>
      </c>
      <c r="L17" s="20">
        <f>SUMIFS('Registre de reserves'!$P$2:$P$1178,'Registre de reserves'!$T$2:$T$1178,"NO",'Registre de reserves'!$I$2:$I$1178,'2022'!$A17,'Registre de reserves'!$B$2:$B$1178,'2022'!L$2,Tabla1[ANY],'2022'!$Z$2)+SUMIFS('Registre de reserves'!$P$2:$P$1178,'Registre de reserves'!$T$2:$T$1178,"RESERVA",'Registre de reserves'!$I$2:$I$1178,'2022'!$A17,'Registre de reserves'!$B$2:$B$1178,'2022'!L$2,Tabla1[ANY],'2022'!$Z$2)-SUMIFS('Registre de reserves'!$U$2:$U$1178,'Registre de reserves'!$T$2:$T$1178,"RESERVA",'Registre de reserves'!$I$2:$I$1178,'2022'!$A17,'Registre de reserves'!$B$2:$B$1178,'2022'!L$2,Tabla1[ANY],'2022'!$Z$2)</f>
        <v>0</v>
      </c>
      <c r="M17" s="21">
        <f t="shared" si="20"/>
        <v>0</v>
      </c>
      <c r="N17" s="20">
        <f>SUMIFS('Registre de reserves'!$P$2:$P$1178,'Registre de reserves'!$T$2:$T$1178,"NO",'Registre de reserves'!$I$2:$I$1178,'2022'!$A17,'Registre de reserves'!$B$2:$B$1178,'2022'!N$2,Tabla1[ANY],'2022'!$Z$2)+SUMIFS('Registre de reserves'!$P$2:$P$1178,'Registre de reserves'!$T$2:$T$1178,"RESERVA",'Registre de reserves'!$I$2:$I$1178,'2022'!$A17,'Registre de reserves'!$B$2:$B$1178,'2022'!N$2,Tabla1[ANY],'2022'!$Z$2)-SUMIFS('Registre de reserves'!$U$2:$U$1178,'Registre de reserves'!$T$2:$T$1178,"RESERVA",'Registre de reserves'!$I$2:$I$1178,'2022'!$A17,'Registre de reserves'!$B$2:$B$1178,'2022'!N$2,Tabla1[ANY],'2022'!$Z$2)</f>
        <v>0</v>
      </c>
      <c r="O17" s="21">
        <f t="shared" si="21"/>
        <v>0</v>
      </c>
      <c r="P17" s="20">
        <f>SUMIFS('Registre de reserves'!$P$2:$P$1178,'Registre de reserves'!$T$2:$T$1178,"NO",'Registre de reserves'!$I$2:$I$1178,'2022'!$A17,'Registre de reserves'!$B$2:$B$1178,'2022'!P$2,Tabla1[ANY],'2022'!$Z$2)+SUMIFS('Registre de reserves'!$P$2:$P$1178,'Registre de reserves'!$T$2:$T$1178,"RESERVA",'Registre de reserves'!$I$2:$I$1178,'2022'!$A17,'Registre de reserves'!$B$2:$B$1178,'2022'!P$2,Tabla1[ANY],'2022'!$Z$2)-SUMIFS('Registre de reserves'!$U$2:$U$1178,'Registre de reserves'!$T$2:$T$1178,"RESERVA",'Registre de reserves'!$I$2:$I$1178,'2022'!$A17,'Registre de reserves'!$B$2:$B$1178,'2022'!P$2,Tabla1[ANY],'2022'!$Z$2)</f>
        <v>0</v>
      </c>
      <c r="Q17" s="21">
        <f t="shared" si="22"/>
        <v>0</v>
      </c>
      <c r="R17" s="20">
        <f>SUMIFS('Registre de reserves'!$P$2:$P$1178,'Registre de reserves'!$T$2:$T$1178,"NO",'Registre de reserves'!$I$2:$I$1178,'2022'!$A17,'Registre de reserves'!$B$2:$B$1178,'2022'!R$2,Tabla1[ANY],'2022'!$Z$2)+SUMIFS('Registre de reserves'!$P$2:$P$1178,'Registre de reserves'!$T$2:$T$1178,"RESERVA",'Registre de reserves'!$I$2:$I$1178,'2022'!$A17,'Registre de reserves'!$B$2:$B$1178,'2022'!R$2,Tabla1[ANY],'2022'!$Z$2)-SUMIFS('Registre de reserves'!$U$2:$U$1178,'Registre de reserves'!$T$2:$T$1178,"RESERVA",'Registre de reserves'!$I$2:$I$1178,'2022'!$A17,'Registre de reserves'!$B$2:$B$1178,'2022'!R$2,Tabla1[ANY],'2022'!$Z$2)</f>
        <v>0</v>
      </c>
      <c r="S17" s="21">
        <f t="shared" si="23"/>
        <v>0</v>
      </c>
      <c r="T17" s="20">
        <f>SUMIFS('Registre de reserves'!$P$2:$P$1178,'Registre de reserves'!$T$2:$T$1178,"NO",'Registre de reserves'!$I$2:$I$1178,'2022'!$A17,'Registre de reserves'!$B$2:$B$1178,'2022'!T$2,Tabla1[ANY],'2022'!$Z$2)+SUMIFS('Registre de reserves'!$P$2:$P$1178,'Registre de reserves'!$T$2:$T$1178,"RESERVA",'Registre de reserves'!$I$2:$I$1178,'2022'!$A17,'Registre de reserves'!$B$2:$B$1178,'2022'!T$2,Tabla1[ANY],'2022'!$Z$2)-SUMIFS('Registre de reserves'!$U$2:$U$1178,'Registre de reserves'!$T$2:$T$1178,"RESERVA",'Registre de reserves'!$I$2:$I$1178,'2022'!$A17,'Registre de reserves'!$B$2:$B$1178,'2022'!T$2,Tabla1[ANY],'2022'!$Z$2)</f>
        <v>0</v>
      </c>
      <c r="U17" s="21">
        <f t="shared" si="24"/>
        <v>0</v>
      </c>
      <c r="V17" s="20">
        <f>SUMIFS('Registre de reserves'!$P$2:$P$1178,'Registre de reserves'!$T$2:$T$1178,"NO",'Registre de reserves'!$I$2:$I$1178,'2022'!$A17,'Registre de reserves'!$B$2:$B$1178,'2022'!V$2,Tabla1[ANY],'2022'!$Z$2)+SUMIFS('Registre de reserves'!$P$2:$P$1178,'Registre de reserves'!$T$2:$T$1178,"RESERVA",'Registre de reserves'!$I$2:$I$1178,'2022'!$A17,'Registre de reserves'!$B$2:$B$1178,'2022'!V$2,Tabla1[ANY],'2022'!$Z$2)-SUMIFS('Registre de reserves'!$U$2:$U$1178,'Registre de reserves'!$T$2:$T$1178,"RESERVA",'Registre de reserves'!$I$2:$I$1178,'2022'!$A17,'Registre de reserves'!$B$2:$B$1178,'2022'!V$2,Tabla1[ANY],'2022'!$Z$2)</f>
        <v>0</v>
      </c>
      <c r="W17" s="21">
        <f t="shared" si="25"/>
        <v>0</v>
      </c>
      <c r="X17" s="20">
        <f>SUMIFS('Registre de reserves'!$P$2:$P$1178,'Registre de reserves'!$T$2:$T$1178,"NO",'Registre de reserves'!$I$2:$I$1178,'2022'!$A17,'Registre de reserves'!$B$2:$B$1178,'2022'!X$2,Tabla1[ANY],'2022'!$Z$2)+SUMIFS('Registre de reserves'!$P$2:$P$1178,'Registre de reserves'!$T$2:$T$1178,"RESERVA",'Registre de reserves'!$I$2:$I$1178,'2022'!$A17,'Registre de reserves'!$B$2:$B$1178,'2022'!X$2,Tabla1[ANY],'2022'!$Z$2)-SUMIFS('Registre de reserves'!$U$2:$U$1178,'Registre de reserves'!$T$2:$T$1178,"RESERVA",'Registre de reserves'!$I$2:$I$1178,'2022'!$A17,'Registre de reserves'!$B$2:$B$1178,'2022'!X$2,Tabla1[ANY],'2022'!$Z$2)</f>
        <v>0</v>
      </c>
      <c r="Y17" s="21">
        <f t="shared" si="26"/>
        <v>0</v>
      </c>
      <c r="Z17" s="20">
        <f t="shared" si="27"/>
        <v>0</v>
      </c>
      <c r="AA17" s="21">
        <f t="shared" si="28"/>
        <v>0</v>
      </c>
    </row>
    <row r="18" spans="1:30" hidden="1" outlineLevel="1" x14ac:dyDescent="0.2">
      <c r="A18" s="8" t="s">
        <v>72</v>
      </c>
      <c r="B18" s="20">
        <f>SUMIFS('Registre de reserves'!$P$2:$P$1178,'Registre de reserves'!$T$2:$T$1178,"NO",'Registre de reserves'!$I$2:$I$1178,'2022'!$A18,'Registre de reserves'!$B$2:$B$1178,'2022'!B$2,Tabla1[ANY],'2022'!$Z$2)+SUMIFS('Registre de reserves'!$P$2:$P$1178,'Registre de reserves'!$T$2:$T$1178,"RESERVA",'Registre de reserves'!$I$2:$I$1178,'2022'!$A18,'Registre de reserves'!$B$2:$B$1178,'2022'!B$2,Tabla1[ANY],'2022'!$Z$2)-SUMIFS('Registre de reserves'!$U$2:$U$1178,'Registre de reserves'!$T$2:$T$1178,"RESERVA",'Registre de reserves'!$I$2:$I$1178,'2022'!$A18,'Registre de reserves'!$B$2:$B$1178,'2022'!B$2,Tabla1[ANY],'2022'!$Z$2)</f>
        <v>0</v>
      </c>
      <c r="C18" s="21">
        <f t="shared" si="15"/>
        <v>0</v>
      </c>
      <c r="D18" s="20">
        <f>SUMIFS('Registre de reserves'!$P$2:$P$1178,'Registre de reserves'!$T$2:$T$1178,"NO",'Registre de reserves'!$I$2:$I$1178,'2022'!$A18,'Registre de reserves'!$B$2:$B$1178,'2022'!D$2,Tabla1[ANY],'2022'!$Z$2)+SUMIFS('Registre de reserves'!$P$2:$P$1178,'Registre de reserves'!$T$2:$T$1178,"RESERVA",'Registre de reserves'!$I$2:$I$1178,'2022'!$A18,'Registre de reserves'!$B$2:$B$1178,'2022'!D$2,Tabla1[ANY],'2022'!$Z$2)-SUMIFS('Registre de reserves'!$U$2:$U$1178,'Registre de reserves'!$T$2:$T$1178,"RESERVA",'Registre de reserves'!$I$2:$I$1178,'2022'!$A18,'Registre de reserves'!$B$2:$B$1178,'2022'!D$2,Tabla1[ANY],'2022'!$Z$2)</f>
        <v>0</v>
      </c>
      <c r="E18" s="21">
        <f t="shared" si="16"/>
        <v>0</v>
      </c>
      <c r="F18" s="20">
        <f>SUMIFS('Registre de reserves'!$P$2:$P$1178,'Registre de reserves'!$T$2:$T$1178,"NO",'Registre de reserves'!$I$2:$I$1178,'2022'!$A18,'Registre de reserves'!$B$2:$B$1178,'2022'!F$2,Tabla1[ANY],'2022'!$Z$2)+SUMIFS('Registre de reserves'!$P$2:$P$1178,'Registre de reserves'!$T$2:$T$1178,"RESERVA",'Registre de reserves'!$I$2:$I$1178,'2022'!$A18,'Registre de reserves'!$B$2:$B$1178,'2022'!F$2,Tabla1[ANY],'2022'!$Z$2)-SUMIFS('Registre de reserves'!$U$2:$U$1178,'Registre de reserves'!$T$2:$T$1178,"RESERVA",'Registre de reserves'!$I$2:$I$1178,'2022'!$A18,'Registre de reserves'!$B$2:$B$1178,'2022'!F$2,Tabla1[ANY],'2022'!$Z$2)</f>
        <v>0</v>
      </c>
      <c r="G18" s="21">
        <f t="shared" si="17"/>
        <v>0</v>
      </c>
      <c r="H18" s="20">
        <f>SUMIFS('Registre de reserves'!$P$2:$P$1178,'Registre de reserves'!$T$2:$T$1178,"NO",'Registre de reserves'!$I$2:$I$1178,'2022'!$A18,'Registre de reserves'!$B$2:$B$1178,'2022'!H$2,Tabla1[ANY],'2022'!$Z$2)+SUMIFS('Registre de reserves'!$P$2:$P$1178,'Registre de reserves'!$T$2:$T$1178,"RESERVA",'Registre de reserves'!$I$2:$I$1178,'2022'!$A18,'Registre de reserves'!$B$2:$B$1178,'2022'!H$2,Tabla1[ANY],'2022'!$Z$2)-SUMIFS('Registre de reserves'!$U$2:$U$1178,'Registre de reserves'!$T$2:$T$1178,"RESERVA",'Registre de reserves'!$I$2:$I$1178,'2022'!$A18,'Registre de reserves'!$B$2:$B$1178,'2022'!H$2,Tabla1[ANY],'2022'!$Z$2)</f>
        <v>0</v>
      </c>
      <c r="I18" s="21">
        <f t="shared" si="18"/>
        <v>0</v>
      </c>
      <c r="J18" s="20">
        <f>SUMIFS('Registre de reserves'!$P$2:$P$1178,'Registre de reserves'!$T$2:$T$1178,"NO",'Registre de reserves'!$I$2:$I$1178,'2022'!$A18,'Registre de reserves'!$B$2:$B$1178,'2022'!J$2,Tabla1[ANY],'2022'!$Z$2)+SUMIFS('Registre de reserves'!$P$2:$P$1178,'Registre de reserves'!$T$2:$T$1178,"RESERVA",'Registre de reserves'!$I$2:$I$1178,'2022'!$A18,'Registre de reserves'!$B$2:$B$1178,'2022'!J$2,Tabla1[ANY],'2022'!$Z$2)-SUMIFS('Registre de reserves'!$U$2:$U$1178,'Registre de reserves'!$T$2:$T$1178,"RESERVA",'Registre de reserves'!$I$2:$I$1178,'2022'!$A18,'Registre de reserves'!$B$2:$B$1178,'2022'!J$2,Tabla1[ANY],'2022'!$Z$2)</f>
        <v>0</v>
      </c>
      <c r="K18" s="21">
        <f t="shared" si="19"/>
        <v>0</v>
      </c>
      <c r="L18" s="20">
        <f>SUMIFS('Registre de reserves'!$P$2:$P$1178,'Registre de reserves'!$T$2:$T$1178,"NO",'Registre de reserves'!$I$2:$I$1178,'2022'!$A18,'Registre de reserves'!$B$2:$B$1178,'2022'!L$2,Tabla1[ANY],'2022'!$Z$2)+SUMIFS('Registre de reserves'!$P$2:$P$1178,'Registre de reserves'!$T$2:$T$1178,"RESERVA",'Registre de reserves'!$I$2:$I$1178,'2022'!$A18,'Registre de reserves'!$B$2:$B$1178,'2022'!L$2,Tabla1[ANY],'2022'!$Z$2)-SUMIFS('Registre de reserves'!$U$2:$U$1178,'Registre de reserves'!$T$2:$T$1178,"RESERVA",'Registre de reserves'!$I$2:$I$1178,'2022'!$A18,'Registre de reserves'!$B$2:$B$1178,'2022'!L$2,Tabla1[ANY],'2022'!$Z$2)</f>
        <v>0</v>
      </c>
      <c r="M18" s="21">
        <f t="shared" si="20"/>
        <v>0</v>
      </c>
      <c r="N18" s="20">
        <f>SUMIFS('Registre de reserves'!$P$2:$P$1178,'Registre de reserves'!$T$2:$T$1178,"NO",'Registre de reserves'!$I$2:$I$1178,'2022'!$A18,'Registre de reserves'!$B$2:$B$1178,'2022'!N$2,Tabla1[ANY],'2022'!$Z$2)+SUMIFS('Registre de reserves'!$P$2:$P$1178,'Registre de reserves'!$T$2:$T$1178,"RESERVA",'Registre de reserves'!$I$2:$I$1178,'2022'!$A18,'Registre de reserves'!$B$2:$B$1178,'2022'!N$2,Tabla1[ANY],'2022'!$Z$2)-SUMIFS('Registre de reserves'!$U$2:$U$1178,'Registre de reserves'!$T$2:$T$1178,"RESERVA",'Registre de reserves'!$I$2:$I$1178,'2022'!$A18,'Registre de reserves'!$B$2:$B$1178,'2022'!N$2,Tabla1[ANY],'2022'!$Z$2)</f>
        <v>0</v>
      </c>
      <c r="O18" s="21">
        <f t="shared" si="21"/>
        <v>0</v>
      </c>
      <c r="P18" s="20">
        <f>SUMIFS('Registre de reserves'!$P$2:$P$1178,'Registre de reserves'!$T$2:$T$1178,"NO",'Registre de reserves'!$I$2:$I$1178,'2022'!$A18,'Registre de reserves'!$B$2:$B$1178,'2022'!P$2,Tabla1[ANY],'2022'!$Z$2)+SUMIFS('Registre de reserves'!$P$2:$P$1178,'Registre de reserves'!$T$2:$T$1178,"RESERVA",'Registre de reserves'!$I$2:$I$1178,'2022'!$A18,'Registre de reserves'!$B$2:$B$1178,'2022'!P$2,Tabla1[ANY],'2022'!$Z$2)-SUMIFS('Registre de reserves'!$U$2:$U$1178,'Registre de reserves'!$T$2:$T$1178,"RESERVA",'Registre de reserves'!$I$2:$I$1178,'2022'!$A18,'Registre de reserves'!$B$2:$B$1178,'2022'!P$2,Tabla1[ANY],'2022'!$Z$2)</f>
        <v>0</v>
      </c>
      <c r="Q18" s="21">
        <f t="shared" si="22"/>
        <v>0</v>
      </c>
      <c r="R18" s="20">
        <f>SUMIFS('Registre de reserves'!$P$2:$P$1178,'Registre de reserves'!$T$2:$T$1178,"NO",'Registre de reserves'!$I$2:$I$1178,'2022'!$A18,'Registre de reserves'!$B$2:$B$1178,'2022'!R$2,Tabla1[ANY],'2022'!$Z$2)+SUMIFS('Registre de reserves'!$P$2:$P$1178,'Registre de reserves'!$T$2:$T$1178,"RESERVA",'Registre de reserves'!$I$2:$I$1178,'2022'!$A18,'Registre de reserves'!$B$2:$B$1178,'2022'!R$2,Tabla1[ANY],'2022'!$Z$2)-SUMIFS('Registre de reserves'!$U$2:$U$1178,'Registre de reserves'!$T$2:$T$1178,"RESERVA",'Registre de reserves'!$I$2:$I$1178,'2022'!$A18,'Registre de reserves'!$B$2:$B$1178,'2022'!R$2,Tabla1[ANY],'2022'!$Z$2)</f>
        <v>0</v>
      </c>
      <c r="S18" s="21">
        <f t="shared" si="23"/>
        <v>0</v>
      </c>
      <c r="T18" s="20">
        <f>SUMIFS('Registre de reserves'!$P$2:$P$1178,'Registre de reserves'!$T$2:$T$1178,"NO",'Registre de reserves'!$I$2:$I$1178,'2022'!$A18,'Registre de reserves'!$B$2:$B$1178,'2022'!T$2,Tabla1[ANY],'2022'!$Z$2)+SUMIFS('Registre de reserves'!$P$2:$P$1178,'Registre de reserves'!$T$2:$T$1178,"RESERVA",'Registre de reserves'!$I$2:$I$1178,'2022'!$A18,'Registre de reserves'!$B$2:$B$1178,'2022'!T$2,Tabla1[ANY],'2022'!$Z$2)-SUMIFS('Registre de reserves'!$U$2:$U$1178,'Registre de reserves'!$T$2:$T$1178,"RESERVA",'Registre de reserves'!$I$2:$I$1178,'2022'!$A18,'Registre de reserves'!$B$2:$B$1178,'2022'!T$2,Tabla1[ANY],'2022'!$Z$2)</f>
        <v>0</v>
      </c>
      <c r="U18" s="21">
        <f t="shared" si="24"/>
        <v>0</v>
      </c>
      <c r="V18" s="20">
        <f>SUMIFS('Registre de reserves'!$P$2:$P$1178,'Registre de reserves'!$T$2:$T$1178,"NO",'Registre de reserves'!$I$2:$I$1178,'2022'!$A18,'Registre de reserves'!$B$2:$B$1178,'2022'!V$2,Tabla1[ANY],'2022'!$Z$2)+SUMIFS('Registre de reserves'!$P$2:$P$1178,'Registre de reserves'!$T$2:$T$1178,"RESERVA",'Registre de reserves'!$I$2:$I$1178,'2022'!$A18,'Registre de reserves'!$B$2:$B$1178,'2022'!V$2,Tabla1[ANY],'2022'!$Z$2)-SUMIFS('Registre de reserves'!$U$2:$U$1178,'Registre de reserves'!$T$2:$T$1178,"RESERVA",'Registre de reserves'!$I$2:$I$1178,'2022'!$A18,'Registre de reserves'!$B$2:$B$1178,'2022'!V$2,Tabla1[ANY],'2022'!$Z$2)</f>
        <v>0</v>
      </c>
      <c r="W18" s="21">
        <f t="shared" si="25"/>
        <v>0</v>
      </c>
      <c r="X18" s="20">
        <f>SUMIFS('Registre de reserves'!$P$2:$P$1178,'Registre de reserves'!$T$2:$T$1178,"NO",'Registre de reserves'!$I$2:$I$1178,'2022'!$A18,'Registre de reserves'!$B$2:$B$1178,'2022'!X$2,Tabla1[ANY],'2022'!$Z$2)+SUMIFS('Registre de reserves'!$P$2:$P$1178,'Registre de reserves'!$T$2:$T$1178,"RESERVA",'Registre de reserves'!$I$2:$I$1178,'2022'!$A18,'Registre de reserves'!$B$2:$B$1178,'2022'!X$2,Tabla1[ANY],'2022'!$Z$2)-SUMIFS('Registre de reserves'!$U$2:$U$1178,'Registre de reserves'!$T$2:$T$1178,"RESERVA",'Registre de reserves'!$I$2:$I$1178,'2022'!$A18,'Registre de reserves'!$B$2:$B$1178,'2022'!X$2,Tabla1[ANY],'2022'!$Z$2)</f>
        <v>0</v>
      </c>
      <c r="Y18" s="21">
        <f t="shared" si="26"/>
        <v>0</v>
      </c>
      <c r="Z18" s="20">
        <f t="shared" si="27"/>
        <v>0</v>
      </c>
      <c r="AA18" s="21">
        <f t="shared" si="28"/>
        <v>0</v>
      </c>
    </row>
    <row r="19" spans="1:30" hidden="1" outlineLevel="1" x14ac:dyDescent="0.2">
      <c r="A19" s="8" t="s">
        <v>69</v>
      </c>
      <c r="B19" s="20">
        <f>SUMIFS('Registre de reserves'!$P$2:$P$1178,'Registre de reserves'!$T$2:$T$1178,"NO",'Registre de reserves'!$I$2:$I$1178,'2022'!$A19,'Registre de reserves'!$B$2:$B$1178,'2022'!B$2,Tabla1[ANY],'2022'!$Z$2)+SUMIFS('Registre de reserves'!$P$2:$P$1178,'Registre de reserves'!$T$2:$T$1178,"RESERVA",'Registre de reserves'!$I$2:$I$1178,'2022'!$A19,'Registre de reserves'!$B$2:$B$1178,'2022'!B$2,Tabla1[ANY],'2022'!$Z$2)-SUMIFS('Registre de reserves'!$U$2:$U$1178,'Registre de reserves'!$T$2:$T$1178,"RESERVA",'Registre de reserves'!$I$2:$I$1178,'2022'!$A19,'Registre de reserves'!$B$2:$B$1178,'2022'!B$2,Tabla1[ANY],'2022'!$Z$2)</f>
        <v>340</v>
      </c>
      <c r="C19" s="21">
        <f t="shared" si="15"/>
        <v>0.64150943396226412</v>
      </c>
      <c r="D19" s="20">
        <f>SUMIFS('Registre de reserves'!$P$2:$P$1178,'Registre de reserves'!$T$2:$T$1178,"NO",'Registre de reserves'!$I$2:$I$1178,'2022'!$A19,'Registre de reserves'!$B$2:$B$1178,'2022'!D$2,Tabla1[ANY],'2022'!$Z$2)+SUMIFS('Registre de reserves'!$P$2:$P$1178,'Registre de reserves'!$T$2:$T$1178,"RESERVA",'Registre de reserves'!$I$2:$I$1178,'2022'!$A19,'Registre de reserves'!$B$2:$B$1178,'2022'!D$2,Tabla1[ANY],'2022'!$Z$2)-SUMIFS('Registre de reserves'!$U$2:$U$1178,'Registre de reserves'!$T$2:$T$1178,"RESERVA",'Registre de reserves'!$I$2:$I$1178,'2022'!$A19,'Registre de reserves'!$B$2:$B$1178,'2022'!D$2,Tabla1[ANY],'2022'!$Z$2)</f>
        <v>0</v>
      </c>
      <c r="E19" s="21">
        <f t="shared" si="16"/>
        <v>0</v>
      </c>
      <c r="F19" s="20">
        <f>SUMIFS('Registre de reserves'!$P$2:$P$1178,'Registre de reserves'!$T$2:$T$1178,"NO",'Registre de reserves'!$I$2:$I$1178,'2022'!$A19,'Registre de reserves'!$B$2:$B$1178,'2022'!F$2,Tabla1[ANY],'2022'!$Z$2)+SUMIFS('Registre de reserves'!$P$2:$P$1178,'Registre de reserves'!$T$2:$T$1178,"RESERVA",'Registre de reserves'!$I$2:$I$1178,'2022'!$A19,'Registre de reserves'!$B$2:$B$1178,'2022'!F$2,Tabla1[ANY],'2022'!$Z$2)-SUMIFS('Registre de reserves'!$U$2:$U$1178,'Registre de reserves'!$T$2:$T$1178,"RESERVA",'Registre de reserves'!$I$2:$I$1178,'2022'!$A19,'Registre de reserves'!$B$2:$B$1178,'2022'!F$2,Tabla1[ANY],'2022'!$Z$2)</f>
        <v>0</v>
      </c>
      <c r="G19" s="21">
        <f t="shared" si="17"/>
        <v>0</v>
      </c>
      <c r="H19" s="20">
        <f>SUMIFS('Registre de reserves'!$P$2:$P$1178,'Registre de reserves'!$T$2:$T$1178,"NO",'Registre de reserves'!$I$2:$I$1178,'2022'!$A19,'Registre de reserves'!$B$2:$B$1178,'2022'!H$2,Tabla1[ANY],'2022'!$Z$2)+SUMIFS('Registre de reserves'!$P$2:$P$1178,'Registre de reserves'!$T$2:$T$1178,"RESERVA",'Registre de reserves'!$I$2:$I$1178,'2022'!$A19,'Registre de reserves'!$B$2:$B$1178,'2022'!H$2,Tabla1[ANY],'2022'!$Z$2)-SUMIFS('Registre de reserves'!$U$2:$U$1178,'Registre de reserves'!$T$2:$T$1178,"RESERVA",'Registre de reserves'!$I$2:$I$1178,'2022'!$A19,'Registre de reserves'!$B$2:$B$1178,'2022'!H$2,Tabla1[ANY],'2022'!$Z$2)</f>
        <v>0</v>
      </c>
      <c r="I19" s="21">
        <f t="shared" si="18"/>
        <v>0</v>
      </c>
      <c r="J19" s="20">
        <f>SUMIFS('Registre de reserves'!$P$2:$P$1178,'Registre de reserves'!$T$2:$T$1178,"NO",'Registre de reserves'!$I$2:$I$1178,'2022'!$A19,'Registre de reserves'!$B$2:$B$1178,'2022'!J$2,Tabla1[ANY],'2022'!$Z$2)+SUMIFS('Registre de reserves'!$P$2:$P$1178,'Registre de reserves'!$T$2:$T$1178,"RESERVA",'Registre de reserves'!$I$2:$I$1178,'2022'!$A19,'Registre de reserves'!$B$2:$B$1178,'2022'!J$2,Tabla1[ANY],'2022'!$Z$2)-SUMIFS('Registre de reserves'!$U$2:$U$1178,'Registre de reserves'!$T$2:$T$1178,"RESERVA",'Registre de reserves'!$I$2:$I$1178,'2022'!$A19,'Registre de reserves'!$B$2:$B$1178,'2022'!J$2,Tabla1[ANY],'2022'!$Z$2)</f>
        <v>0</v>
      </c>
      <c r="K19" s="21">
        <f t="shared" si="19"/>
        <v>0</v>
      </c>
      <c r="L19" s="20">
        <f>SUMIFS('Registre de reserves'!$P$2:$P$1178,'Registre de reserves'!$T$2:$T$1178,"NO",'Registre de reserves'!$I$2:$I$1178,'2022'!$A19,'Registre de reserves'!$B$2:$B$1178,'2022'!L$2,Tabla1[ANY],'2022'!$Z$2)+SUMIFS('Registre de reserves'!$P$2:$P$1178,'Registre de reserves'!$T$2:$T$1178,"RESERVA",'Registre de reserves'!$I$2:$I$1178,'2022'!$A19,'Registre de reserves'!$B$2:$B$1178,'2022'!L$2,Tabla1[ANY],'2022'!$Z$2)-SUMIFS('Registre de reserves'!$U$2:$U$1178,'Registre de reserves'!$T$2:$T$1178,"RESERVA",'Registre de reserves'!$I$2:$I$1178,'2022'!$A19,'Registre de reserves'!$B$2:$B$1178,'2022'!L$2,Tabla1[ANY],'2022'!$Z$2)</f>
        <v>0</v>
      </c>
      <c r="M19" s="21">
        <f t="shared" si="20"/>
        <v>0</v>
      </c>
      <c r="N19" s="20">
        <f>SUMIFS('Registre de reserves'!$P$2:$P$1178,'Registre de reserves'!$T$2:$T$1178,"NO",'Registre de reserves'!$I$2:$I$1178,'2022'!$A19,'Registre de reserves'!$B$2:$B$1178,'2022'!N$2,Tabla1[ANY],'2022'!$Z$2)+SUMIFS('Registre de reserves'!$P$2:$P$1178,'Registre de reserves'!$T$2:$T$1178,"RESERVA",'Registre de reserves'!$I$2:$I$1178,'2022'!$A19,'Registre de reserves'!$B$2:$B$1178,'2022'!N$2,Tabla1[ANY],'2022'!$Z$2)-SUMIFS('Registre de reserves'!$U$2:$U$1178,'Registre de reserves'!$T$2:$T$1178,"RESERVA",'Registre de reserves'!$I$2:$I$1178,'2022'!$A19,'Registre de reserves'!$B$2:$B$1178,'2022'!N$2,Tabla1[ANY],'2022'!$Z$2)</f>
        <v>0</v>
      </c>
      <c r="O19" s="21">
        <f t="shared" si="21"/>
        <v>0</v>
      </c>
      <c r="P19" s="20">
        <f>SUMIFS('Registre de reserves'!$P$2:$P$1178,'Registre de reserves'!$T$2:$T$1178,"NO",'Registre de reserves'!$I$2:$I$1178,'2022'!$A19,'Registre de reserves'!$B$2:$B$1178,'2022'!P$2,Tabla1[ANY],'2022'!$Z$2)+SUMIFS('Registre de reserves'!$P$2:$P$1178,'Registre de reserves'!$T$2:$T$1178,"RESERVA",'Registre de reserves'!$I$2:$I$1178,'2022'!$A19,'Registre de reserves'!$B$2:$B$1178,'2022'!P$2,Tabla1[ANY],'2022'!$Z$2)-SUMIFS('Registre de reserves'!$U$2:$U$1178,'Registre de reserves'!$T$2:$T$1178,"RESERVA",'Registre de reserves'!$I$2:$I$1178,'2022'!$A19,'Registre de reserves'!$B$2:$B$1178,'2022'!P$2,Tabla1[ANY],'2022'!$Z$2)</f>
        <v>0</v>
      </c>
      <c r="Q19" s="21">
        <f t="shared" si="22"/>
        <v>0</v>
      </c>
      <c r="R19" s="20">
        <f>SUMIFS('Registre de reserves'!$P$2:$P$1178,'Registre de reserves'!$T$2:$T$1178,"NO",'Registre de reserves'!$I$2:$I$1178,'2022'!$A19,'Registre de reserves'!$B$2:$B$1178,'2022'!R$2,Tabla1[ANY],'2022'!$Z$2)+SUMIFS('Registre de reserves'!$P$2:$P$1178,'Registre de reserves'!$T$2:$T$1178,"RESERVA",'Registre de reserves'!$I$2:$I$1178,'2022'!$A19,'Registre de reserves'!$B$2:$B$1178,'2022'!R$2,Tabla1[ANY],'2022'!$Z$2)-SUMIFS('Registre de reserves'!$U$2:$U$1178,'Registre de reserves'!$T$2:$T$1178,"RESERVA",'Registre de reserves'!$I$2:$I$1178,'2022'!$A19,'Registre de reserves'!$B$2:$B$1178,'2022'!R$2,Tabla1[ANY],'2022'!$Z$2)</f>
        <v>0</v>
      </c>
      <c r="S19" s="21">
        <f t="shared" si="23"/>
        <v>0</v>
      </c>
      <c r="T19" s="20">
        <f>SUMIFS('Registre de reserves'!$P$2:$P$1178,'Registre de reserves'!$T$2:$T$1178,"NO",'Registre de reserves'!$I$2:$I$1178,'2022'!$A19,'Registre de reserves'!$B$2:$B$1178,'2022'!T$2,Tabla1[ANY],'2022'!$Z$2)+SUMIFS('Registre de reserves'!$P$2:$P$1178,'Registre de reserves'!$T$2:$T$1178,"RESERVA",'Registre de reserves'!$I$2:$I$1178,'2022'!$A19,'Registre de reserves'!$B$2:$B$1178,'2022'!T$2,Tabla1[ANY],'2022'!$Z$2)-SUMIFS('Registre de reserves'!$U$2:$U$1178,'Registre de reserves'!$T$2:$T$1178,"RESERVA",'Registre de reserves'!$I$2:$I$1178,'2022'!$A19,'Registre de reserves'!$B$2:$B$1178,'2022'!T$2,Tabla1[ANY],'2022'!$Z$2)</f>
        <v>0</v>
      </c>
      <c r="U19" s="21">
        <f t="shared" si="24"/>
        <v>0</v>
      </c>
      <c r="V19" s="20">
        <f>SUMIFS('Registre de reserves'!$P$2:$P$1178,'Registre de reserves'!$T$2:$T$1178,"NO",'Registre de reserves'!$I$2:$I$1178,'2022'!$A19,'Registre de reserves'!$B$2:$B$1178,'2022'!V$2,Tabla1[ANY],'2022'!$Z$2)+SUMIFS('Registre de reserves'!$P$2:$P$1178,'Registre de reserves'!$T$2:$T$1178,"RESERVA",'Registre de reserves'!$I$2:$I$1178,'2022'!$A19,'Registre de reserves'!$B$2:$B$1178,'2022'!V$2,Tabla1[ANY],'2022'!$Z$2)-SUMIFS('Registre de reserves'!$U$2:$U$1178,'Registre de reserves'!$T$2:$T$1178,"RESERVA",'Registre de reserves'!$I$2:$I$1178,'2022'!$A19,'Registre de reserves'!$B$2:$B$1178,'2022'!V$2,Tabla1[ANY],'2022'!$Z$2)</f>
        <v>0</v>
      </c>
      <c r="W19" s="21">
        <f t="shared" si="25"/>
        <v>0</v>
      </c>
      <c r="X19" s="20">
        <f>SUMIFS('Registre de reserves'!$P$2:$P$1178,'Registre de reserves'!$T$2:$T$1178,"NO",'Registre de reserves'!$I$2:$I$1178,'2022'!$A19,'Registre de reserves'!$B$2:$B$1178,'2022'!X$2,Tabla1[ANY],'2022'!$Z$2)+SUMIFS('Registre de reserves'!$P$2:$P$1178,'Registre de reserves'!$T$2:$T$1178,"RESERVA",'Registre de reserves'!$I$2:$I$1178,'2022'!$A19,'Registre de reserves'!$B$2:$B$1178,'2022'!X$2,Tabla1[ANY],'2022'!$Z$2)-SUMIFS('Registre de reserves'!$U$2:$U$1178,'Registre de reserves'!$T$2:$T$1178,"RESERVA",'Registre de reserves'!$I$2:$I$1178,'2022'!$A19,'Registre de reserves'!$B$2:$B$1178,'2022'!X$2,Tabla1[ANY],'2022'!$Z$2)</f>
        <v>0</v>
      </c>
      <c r="Y19" s="21">
        <f t="shared" si="26"/>
        <v>0</v>
      </c>
      <c r="Z19" s="20">
        <f t="shared" si="27"/>
        <v>340</v>
      </c>
      <c r="AA19" s="21">
        <f t="shared" si="28"/>
        <v>0.34343434343434343</v>
      </c>
    </row>
    <row r="20" spans="1:30" hidden="1" outlineLevel="1" x14ac:dyDescent="0.2">
      <c r="A20" s="8" t="s">
        <v>70</v>
      </c>
      <c r="B20" s="20">
        <f>SUMIFS('Registre de reserves'!$P$2:$P$1178,'Registre de reserves'!$T$2:$T$1178,"NO",'Registre de reserves'!$I$2:$I$1178,'2022'!$A20,'Registre de reserves'!$B$2:$B$1178,'2022'!B$2,Tabla1[ANY],'2022'!$Z$2)+SUMIFS('Registre de reserves'!$P$2:$P$1178,'Registre de reserves'!$T$2:$T$1178,"RESERVA",'Registre de reserves'!$I$2:$I$1178,'2022'!$A20,'Registre de reserves'!$B$2:$B$1178,'2022'!B$2,Tabla1[ANY],'2022'!$Z$2)-SUMIFS('Registre de reserves'!$U$2:$U$1178,'Registre de reserves'!$T$2:$T$1178,"RESERVA",'Registre de reserves'!$I$2:$I$1178,'2022'!$A20,'Registre de reserves'!$B$2:$B$1178,'2022'!B$2,Tabla1[ANY],'2022'!$Z$2)</f>
        <v>0</v>
      </c>
      <c r="C20" s="21">
        <f t="shared" si="15"/>
        <v>0</v>
      </c>
      <c r="D20" s="20">
        <f>SUMIFS('Registre de reserves'!$P$2:$P$1178,'Registre de reserves'!$T$2:$T$1178,"NO",'Registre de reserves'!$I$2:$I$1178,'2022'!$A20,'Registre de reserves'!$B$2:$B$1178,'2022'!D$2,Tabla1[ANY],'2022'!$Z$2)+SUMIFS('Registre de reserves'!$P$2:$P$1178,'Registre de reserves'!$T$2:$T$1178,"RESERVA",'Registre de reserves'!$I$2:$I$1178,'2022'!$A20,'Registre de reserves'!$B$2:$B$1178,'2022'!D$2,Tabla1[ANY],'2022'!$Z$2)-SUMIFS('Registre de reserves'!$U$2:$U$1178,'Registre de reserves'!$T$2:$T$1178,"RESERVA",'Registre de reserves'!$I$2:$I$1178,'2022'!$A20,'Registre de reserves'!$B$2:$B$1178,'2022'!D$2,Tabla1[ANY],'2022'!$Z$2)</f>
        <v>0</v>
      </c>
      <c r="E20" s="21">
        <f t="shared" si="16"/>
        <v>0</v>
      </c>
      <c r="F20" s="20">
        <f>SUMIFS('Registre de reserves'!$P$2:$P$1178,'Registre de reserves'!$T$2:$T$1178,"NO",'Registre de reserves'!$I$2:$I$1178,'2022'!$A20,'Registre de reserves'!$B$2:$B$1178,'2022'!F$2,Tabla1[ANY],'2022'!$Z$2)+SUMIFS('Registre de reserves'!$P$2:$P$1178,'Registre de reserves'!$T$2:$T$1178,"RESERVA",'Registre de reserves'!$I$2:$I$1178,'2022'!$A20,'Registre de reserves'!$B$2:$B$1178,'2022'!F$2,Tabla1[ANY],'2022'!$Z$2)-SUMIFS('Registre de reserves'!$U$2:$U$1178,'Registre de reserves'!$T$2:$T$1178,"RESERVA",'Registre de reserves'!$I$2:$I$1178,'2022'!$A20,'Registre de reserves'!$B$2:$B$1178,'2022'!F$2,Tabla1[ANY],'2022'!$Z$2)</f>
        <v>0</v>
      </c>
      <c r="G20" s="21">
        <f t="shared" si="17"/>
        <v>0</v>
      </c>
      <c r="H20" s="20">
        <f>SUMIFS('Registre de reserves'!$P$2:$P$1178,'Registre de reserves'!$T$2:$T$1178,"NO",'Registre de reserves'!$I$2:$I$1178,'2022'!$A20,'Registre de reserves'!$B$2:$B$1178,'2022'!H$2,Tabla1[ANY],'2022'!$Z$2)+SUMIFS('Registre de reserves'!$P$2:$P$1178,'Registre de reserves'!$T$2:$T$1178,"RESERVA",'Registre de reserves'!$I$2:$I$1178,'2022'!$A20,'Registre de reserves'!$B$2:$B$1178,'2022'!H$2,Tabla1[ANY],'2022'!$Z$2)-SUMIFS('Registre de reserves'!$U$2:$U$1178,'Registre de reserves'!$T$2:$T$1178,"RESERVA",'Registre de reserves'!$I$2:$I$1178,'2022'!$A20,'Registre de reserves'!$B$2:$B$1178,'2022'!H$2,Tabla1[ANY],'2022'!$Z$2)</f>
        <v>0</v>
      </c>
      <c r="I20" s="21">
        <f t="shared" si="18"/>
        <v>0</v>
      </c>
      <c r="J20" s="20">
        <f>SUMIFS('Registre de reserves'!$P$2:$P$1178,'Registre de reserves'!$T$2:$T$1178,"NO",'Registre de reserves'!$I$2:$I$1178,'2022'!$A20,'Registre de reserves'!$B$2:$B$1178,'2022'!J$2,Tabla1[ANY],'2022'!$Z$2)+SUMIFS('Registre de reserves'!$P$2:$P$1178,'Registre de reserves'!$T$2:$T$1178,"RESERVA",'Registre de reserves'!$I$2:$I$1178,'2022'!$A20,'Registre de reserves'!$B$2:$B$1178,'2022'!J$2,Tabla1[ANY],'2022'!$Z$2)-SUMIFS('Registre de reserves'!$U$2:$U$1178,'Registre de reserves'!$T$2:$T$1178,"RESERVA",'Registre de reserves'!$I$2:$I$1178,'2022'!$A20,'Registre de reserves'!$B$2:$B$1178,'2022'!J$2,Tabla1[ANY],'2022'!$Z$2)</f>
        <v>0</v>
      </c>
      <c r="K20" s="21">
        <f t="shared" si="19"/>
        <v>0</v>
      </c>
      <c r="L20" s="20">
        <f>SUMIFS('Registre de reserves'!$P$2:$P$1178,'Registre de reserves'!$T$2:$T$1178,"NO",'Registre de reserves'!$I$2:$I$1178,'2022'!$A20,'Registre de reserves'!$B$2:$B$1178,'2022'!L$2,Tabla1[ANY],'2022'!$Z$2)+SUMIFS('Registre de reserves'!$P$2:$P$1178,'Registre de reserves'!$T$2:$T$1178,"RESERVA",'Registre de reserves'!$I$2:$I$1178,'2022'!$A20,'Registre de reserves'!$B$2:$B$1178,'2022'!L$2,Tabla1[ANY],'2022'!$Z$2)-SUMIFS('Registre de reserves'!$U$2:$U$1178,'Registre de reserves'!$T$2:$T$1178,"RESERVA",'Registre de reserves'!$I$2:$I$1178,'2022'!$A20,'Registre de reserves'!$B$2:$B$1178,'2022'!L$2,Tabla1[ANY],'2022'!$Z$2)</f>
        <v>0</v>
      </c>
      <c r="M20" s="21">
        <f t="shared" si="20"/>
        <v>0</v>
      </c>
      <c r="N20" s="20">
        <f>SUMIFS('Registre de reserves'!$P$2:$P$1178,'Registre de reserves'!$T$2:$T$1178,"NO",'Registre de reserves'!$I$2:$I$1178,'2022'!$A20,'Registre de reserves'!$B$2:$B$1178,'2022'!N$2,Tabla1[ANY],'2022'!$Z$2)+SUMIFS('Registre de reserves'!$P$2:$P$1178,'Registre de reserves'!$T$2:$T$1178,"RESERVA",'Registre de reserves'!$I$2:$I$1178,'2022'!$A20,'Registre de reserves'!$B$2:$B$1178,'2022'!N$2,Tabla1[ANY],'2022'!$Z$2)-SUMIFS('Registre de reserves'!$U$2:$U$1178,'Registre de reserves'!$T$2:$T$1178,"RESERVA",'Registre de reserves'!$I$2:$I$1178,'2022'!$A20,'Registre de reserves'!$B$2:$B$1178,'2022'!N$2,Tabla1[ANY],'2022'!$Z$2)</f>
        <v>0</v>
      </c>
      <c r="O20" s="21">
        <f t="shared" si="21"/>
        <v>0</v>
      </c>
      <c r="P20" s="20">
        <f>SUMIFS('Registre de reserves'!$P$2:$P$1178,'Registre de reserves'!$T$2:$T$1178,"NO",'Registre de reserves'!$I$2:$I$1178,'2022'!$A20,'Registre de reserves'!$B$2:$B$1178,'2022'!P$2,Tabla1[ANY],'2022'!$Z$2)+SUMIFS('Registre de reserves'!$P$2:$P$1178,'Registre de reserves'!$T$2:$T$1178,"RESERVA",'Registre de reserves'!$I$2:$I$1178,'2022'!$A20,'Registre de reserves'!$B$2:$B$1178,'2022'!P$2,Tabla1[ANY],'2022'!$Z$2)-SUMIFS('Registre de reserves'!$U$2:$U$1178,'Registre de reserves'!$T$2:$T$1178,"RESERVA",'Registre de reserves'!$I$2:$I$1178,'2022'!$A20,'Registre de reserves'!$B$2:$B$1178,'2022'!P$2,Tabla1[ANY],'2022'!$Z$2)</f>
        <v>0</v>
      </c>
      <c r="Q20" s="21">
        <f t="shared" si="22"/>
        <v>0</v>
      </c>
      <c r="R20" s="20">
        <f>SUMIFS('Registre de reserves'!$P$2:$P$1178,'Registre de reserves'!$T$2:$T$1178,"NO",'Registre de reserves'!$I$2:$I$1178,'2022'!$A20,'Registre de reserves'!$B$2:$B$1178,'2022'!R$2,Tabla1[ANY],'2022'!$Z$2)+SUMIFS('Registre de reserves'!$P$2:$P$1178,'Registre de reserves'!$T$2:$T$1178,"RESERVA",'Registre de reserves'!$I$2:$I$1178,'2022'!$A20,'Registre de reserves'!$B$2:$B$1178,'2022'!R$2,Tabla1[ANY],'2022'!$Z$2)-SUMIFS('Registre de reserves'!$U$2:$U$1178,'Registre de reserves'!$T$2:$T$1178,"RESERVA",'Registre de reserves'!$I$2:$I$1178,'2022'!$A20,'Registre de reserves'!$B$2:$B$1178,'2022'!R$2,Tabla1[ANY],'2022'!$Z$2)</f>
        <v>0</v>
      </c>
      <c r="S20" s="21">
        <f t="shared" si="23"/>
        <v>0</v>
      </c>
      <c r="T20" s="20">
        <f>SUMIFS('Registre de reserves'!$P$2:$P$1178,'Registre de reserves'!$T$2:$T$1178,"NO",'Registre de reserves'!$I$2:$I$1178,'2022'!$A20,'Registre de reserves'!$B$2:$B$1178,'2022'!T$2,Tabla1[ANY],'2022'!$Z$2)+SUMIFS('Registre de reserves'!$P$2:$P$1178,'Registre de reserves'!$T$2:$T$1178,"RESERVA",'Registre de reserves'!$I$2:$I$1178,'2022'!$A20,'Registre de reserves'!$B$2:$B$1178,'2022'!T$2,Tabla1[ANY],'2022'!$Z$2)-SUMIFS('Registre de reserves'!$U$2:$U$1178,'Registre de reserves'!$T$2:$T$1178,"RESERVA",'Registre de reserves'!$I$2:$I$1178,'2022'!$A20,'Registre de reserves'!$B$2:$B$1178,'2022'!T$2,Tabla1[ANY],'2022'!$Z$2)</f>
        <v>0</v>
      </c>
      <c r="U20" s="21">
        <f t="shared" si="24"/>
        <v>0</v>
      </c>
      <c r="V20" s="20">
        <f>SUMIFS('Registre de reserves'!$P$2:$P$1178,'Registre de reserves'!$T$2:$T$1178,"NO",'Registre de reserves'!$I$2:$I$1178,'2022'!$A20,'Registre de reserves'!$B$2:$B$1178,'2022'!V$2,Tabla1[ANY],'2022'!$Z$2)+SUMIFS('Registre de reserves'!$P$2:$P$1178,'Registre de reserves'!$T$2:$T$1178,"RESERVA",'Registre de reserves'!$I$2:$I$1178,'2022'!$A20,'Registre de reserves'!$B$2:$B$1178,'2022'!V$2,Tabla1[ANY],'2022'!$Z$2)-SUMIFS('Registre de reserves'!$U$2:$U$1178,'Registre de reserves'!$T$2:$T$1178,"RESERVA",'Registre de reserves'!$I$2:$I$1178,'2022'!$A20,'Registre de reserves'!$B$2:$B$1178,'2022'!V$2,Tabla1[ANY],'2022'!$Z$2)</f>
        <v>0</v>
      </c>
      <c r="W20" s="21">
        <f t="shared" si="25"/>
        <v>0</v>
      </c>
      <c r="X20" s="20">
        <f>SUMIFS('Registre de reserves'!$P$2:$P$1178,'Registre de reserves'!$T$2:$T$1178,"NO",'Registre de reserves'!$I$2:$I$1178,'2022'!$A20,'Registre de reserves'!$B$2:$B$1178,'2022'!X$2,Tabla1[ANY],'2022'!$Z$2)+SUMIFS('Registre de reserves'!$P$2:$P$1178,'Registre de reserves'!$T$2:$T$1178,"RESERVA",'Registre de reserves'!$I$2:$I$1178,'2022'!$A20,'Registre de reserves'!$B$2:$B$1178,'2022'!X$2,Tabla1[ANY],'2022'!$Z$2)-SUMIFS('Registre de reserves'!$U$2:$U$1178,'Registre de reserves'!$T$2:$T$1178,"RESERVA",'Registre de reserves'!$I$2:$I$1178,'2022'!$A20,'Registre de reserves'!$B$2:$B$1178,'2022'!X$2,Tabla1[ANY],'2022'!$Z$2)</f>
        <v>-50</v>
      </c>
      <c r="Y20" s="21">
        <f t="shared" si="26"/>
        <v>1</v>
      </c>
      <c r="Z20" s="20">
        <f t="shared" si="27"/>
        <v>-50</v>
      </c>
      <c r="AA20" s="21">
        <f t="shared" si="28"/>
        <v>-5.0505050505050504E-2</v>
      </c>
    </row>
    <row r="21" spans="1:30" hidden="1" outlineLevel="1" x14ac:dyDescent="0.2">
      <c r="A21" s="8" t="s">
        <v>73</v>
      </c>
      <c r="B21" s="20">
        <f>SUMIFS('Registre de reserves'!$P$2:$P$1178,'Registre de reserves'!$T$2:$T$1178,"NO",'Registre de reserves'!$I$2:$I$1178,'2022'!$A21,'Registre de reserves'!$B$2:$B$1178,'2022'!B$2,Tabla1[ANY],'2022'!$Z$2)+SUMIFS('Registre de reserves'!$P$2:$P$1178,'Registre de reserves'!$T$2:$T$1178,"RESERVA",'Registre de reserves'!$I$2:$I$1178,'2022'!$A21,'Registre de reserves'!$B$2:$B$1178,'2022'!B$2,Tabla1[ANY],'2022'!$Z$2)-SUMIFS('Registre de reserves'!$U$2:$U$1178,'Registre de reserves'!$T$2:$T$1178,"RESERVA",'Registre de reserves'!$I$2:$I$1178,'2022'!$A21,'Registre de reserves'!$B$2:$B$1178,'2022'!B$2,Tabla1[ANY],'2022'!$Z$2)</f>
        <v>0</v>
      </c>
      <c r="C21" s="21">
        <f t="shared" si="15"/>
        <v>0</v>
      </c>
      <c r="D21" s="20">
        <f>SUMIFS('Registre de reserves'!$P$2:$P$1178,'Registre de reserves'!$T$2:$T$1178,"NO",'Registre de reserves'!$I$2:$I$1178,'2022'!$A21,'Registre de reserves'!$B$2:$B$1178,'2022'!D$2,Tabla1[ANY],'2022'!$Z$2)+SUMIFS('Registre de reserves'!$P$2:$P$1178,'Registre de reserves'!$T$2:$T$1178,"RESERVA",'Registre de reserves'!$I$2:$I$1178,'2022'!$A21,'Registre de reserves'!$B$2:$B$1178,'2022'!D$2,Tabla1[ANY],'2022'!$Z$2)-SUMIFS('Registre de reserves'!$U$2:$U$1178,'Registre de reserves'!$T$2:$T$1178,"RESERVA",'Registre de reserves'!$I$2:$I$1178,'2022'!$A21,'Registre de reserves'!$B$2:$B$1178,'2022'!D$2,Tabla1[ANY],'2022'!$Z$2)</f>
        <v>0</v>
      </c>
      <c r="E21" s="21">
        <f t="shared" si="16"/>
        <v>0</v>
      </c>
      <c r="F21" s="20">
        <f>SUMIFS('Registre de reserves'!$P$2:$P$1178,'Registre de reserves'!$T$2:$T$1178,"NO",'Registre de reserves'!$I$2:$I$1178,'2022'!$A21,'Registre de reserves'!$B$2:$B$1178,'2022'!F$2,Tabla1[ANY],'2022'!$Z$2)+SUMIFS('Registre de reserves'!$P$2:$P$1178,'Registre de reserves'!$T$2:$T$1178,"RESERVA",'Registre de reserves'!$I$2:$I$1178,'2022'!$A21,'Registre de reserves'!$B$2:$B$1178,'2022'!F$2,Tabla1[ANY],'2022'!$Z$2)-SUMIFS('Registre de reserves'!$U$2:$U$1178,'Registre de reserves'!$T$2:$T$1178,"RESERVA",'Registre de reserves'!$I$2:$I$1178,'2022'!$A21,'Registre de reserves'!$B$2:$B$1178,'2022'!F$2,Tabla1[ANY],'2022'!$Z$2)</f>
        <v>0</v>
      </c>
      <c r="G21" s="21">
        <f t="shared" si="17"/>
        <v>0</v>
      </c>
      <c r="H21" s="20">
        <f>SUMIFS('Registre de reserves'!$P$2:$P$1178,'Registre de reserves'!$T$2:$T$1178,"NO",'Registre de reserves'!$I$2:$I$1178,'2022'!$A21,'Registre de reserves'!$B$2:$B$1178,'2022'!H$2,Tabla1[ANY],'2022'!$Z$2)+SUMIFS('Registre de reserves'!$P$2:$P$1178,'Registre de reserves'!$T$2:$T$1178,"RESERVA",'Registre de reserves'!$I$2:$I$1178,'2022'!$A21,'Registre de reserves'!$B$2:$B$1178,'2022'!H$2,Tabla1[ANY],'2022'!$Z$2)-SUMIFS('Registre de reserves'!$U$2:$U$1178,'Registre de reserves'!$T$2:$T$1178,"RESERVA",'Registre de reserves'!$I$2:$I$1178,'2022'!$A21,'Registre de reserves'!$B$2:$B$1178,'2022'!H$2,Tabla1[ANY],'2022'!$Z$2)</f>
        <v>0</v>
      </c>
      <c r="I21" s="21">
        <f t="shared" si="18"/>
        <v>0</v>
      </c>
      <c r="J21" s="20">
        <f>SUMIFS('Registre de reserves'!$P$2:$P$1178,'Registre de reserves'!$T$2:$T$1178,"NO",'Registre de reserves'!$I$2:$I$1178,'2022'!$A21,'Registre de reserves'!$B$2:$B$1178,'2022'!J$2,Tabla1[ANY],'2022'!$Z$2)+SUMIFS('Registre de reserves'!$P$2:$P$1178,'Registre de reserves'!$T$2:$T$1178,"RESERVA",'Registre de reserves'!$I$2:$I$1178,'2022'!$A21,'Registre de reserves'!$B$2:$B$1178,'2022'!J$2,Tabla1[ANY],'2022'!$Z$2)-SUMIFS('Registre de reserves'!$U$2:$U$1178,'Registre de reserves'!$T$2:$T$1178,"RESERVA",'Registre de reserves'!$I$2:$I$1178,'2022'!$A21,'Registre de reserves'!$B$2:$B$1178,'2022'!J$2,Tabla1[ANY],'2022'!$Z$2)</f>
        <v>0</v>
      </c>
      <c r="K21" s="21">
        <f t="shared" si="19"/>
        <v>0</v>
      </c>
      <c r="L21" s="20">
        <f>SUMIFS('Registre de reserves'!$P$2:$P$1178,'Registre de reserves'!$T$2:$T$1178,"NO",'Registre de reserves'!$I$2:$I$1178,'2022'!$A21,'Registre de reserves'!$B$2:$B$1178,'2022'!L$2,Tabla1[ANY],'2022'!$Z$2)+SUMIFS('Registre de reserves'!$P$2:$P$1178,'Registre de reserves'!$T$2:$T$1178,"RESERVA",'Registre de reserves'!$I$2:$I$1178,'2022'!$A21,'Registre de reserves'!$B$2:$B$1178,'2022'!L$2,Tabla1[ANY],'2022'!$Z$2)-SUMIFS('Registre de reserves'!$U$2:$U$1178,'Registre de reserves'!$T$2:$T$1178,"RESERVA",'Registre de reserves'!$I$2:$I$1178,'2022'!$A21,'Registre de reserves'!$B$2:$B$1178,'2022'!L$2,Tabla1[ANY],'2022'!$Z$2)</f>
        <v>0</v>
      </c>
      <c r="M21" s="21">
        <f t="shared" si="20"/>
        <v>0</v>
      </c>
      <c r="N21" s="20">
        <f>SUMIFS('Registre de reserves'!$P$2:$P$1178,'Registre de reserves'!$T$2:$T$1178,"NO",'Registre de reserves'!$I$2:$I$1178,'2022'!$A21,'Registre de reserves'!$B$2:$B$1178,'2022'!N$2,Tabla1[ANY],'2022'!$Z$2)+SUMIFS('Registre de reserves'!$P$2:$P$1178,'Registre de reserves'!$T$2:$T$1178,"RESERVA",'Registre de reserves'!$I$2:$I$1178,'2022'!$A21,'Registre de reserves'!$B$2:$B$1178,'2022'!N$2,Tabla1[ANY],'2022'!$Z$2)-SUMIFS('Registre de reserves'!$U$2:$U$1178,'Registre de reserves'!$T$2:$T$1178,"RESERVA",'Registre de reserves'!$I$2:$I$1178,'2022'!$A21,'Registre de reserves'!$B$2:$B$1178,'2022'!N$2,Tabla1[ANY],'2022'!$Z$2)</f>
        <v>0</v>
      </c>
      <c r="O21" s="21">
        <f t="shared" si="21"/>
        <v>0</v>
      </c>
      <c r="P21" s="20">
        <f>SUMIFS('Registre de reserves'!$P$2:$P$1178,'Registre de reserves'!$T$2:$T$1178,"NO",'Registre de reserves'!$I$2:$I$1178,'2022'!$A21,'Registre de reserves'!$B$2:$B$1178,'2022'!P$2,Tabla1[ANY],'2022'!$Z$2)+SUMIFS('Registre de reserves'!$P$2:$P$1178,'Registre de reserves'!$T$2:$T$1178,"RESERVA",'Registre de reserves'!$I$2:$I$1178,'2022'!$A21,'Registre de reserves'!$B$2:$B$1178,'2022'!P$2,Tabla1[ANY],'2022'!$Z$2)-SUMIFS('Registre de reserves'!$U$2:$U$1178,'Registre de reserves'!$T$2:$T$1178,"RESERVA",'Registre de reserves'!$I$2:$I$1178,'2022'!$A21,'Registre de reserves'!$B$2:$B$1178,'2022'!P$2,Tabla1[ANY],'2022'!$Z$2)</f>
        <v>0</v>
      </c>
      <c r="Q21" s="21">
        <f t="shared" si="22"/>
        <v>0</v>
      </c>
      <c r="R21" s="20">
        <f>SUMIFS('Registre de reserves'!$P$2:$P$1178,'Registre de reserves'!$T$2:$T$1178,"NO",'Registre de reserves'!$I$2:$I$1178,'2022'!$A21,'Registre de reserves'!$B$2:$B$1178,'2022'!R$2,Tabla1[ANY],'2022'!$Z$2)+SUMIFS('Registre de reserves'!$P$2:$P$1178,'Registre de reserves'!$T$2:$T$1178,"RESERVA",'Registre de reserves'!$I$2:$I$1178,'2022'!$A21,'Registre de reserves'!$B$2:$B$1178,'2022'!R$2,Tabla1[ANY],'2022'!$Z$2)-SUMIFS('Registre de reserves'!$U$2:$U$1178,'Registre de reserves'!$T$2:$T$1178,"RESERVA",'Registre de reserves'!$I$2:$I$1178,'2022'!$A21,'Registre de reserves'!$B$2:$B$1178,'2022'!R$2,Tabla1[ANY],'2022'!$Z$2)</f>
        <v>0</v>
      </c>
      <c r="S21" s="21">
        <f t="shared" si="23"/>
        <v>0</v>
      </c>
      <c r="T21" s="20">
        <f>SUMIFS('Registre de reserves'!$P$2:$P$1178,'Registre de reserves'!$T$2:$T$1178,"NO",'Registre de reserves'!$I$2:$I$1178,'2022'!$A21,'Registre de reserves'!$B$2:$B$1178,'2022'!T$2,Tabla1[ANY],'2022'!$Z$2)+SUMIFS('Registre de reserves'!$P$2:$P$1178,'Registre de reserves'!$T$2:$T$1178,"RESERVA",'Registre de reserves'!$I$2:$I$1178,'2022'!$A21,'Registre de reserves'!$B$2:$B$1178,'2022'!T$2,Tabla1[ANY],'2022'!$Z$2)-SUMIFS('Registre de reserves'!$U$2:$U$1178,'Registre de reserves'!$T$2:$T$1178,"RESERVA",'Registre de reserves'!$I$2:$I$1178,'2022'!$A21,'Registre de reserves'!$B$2:$B$1178,'2022'!T$2,Tabla1[ANY],'2022'!$Z$2)</f>
        <v>0</v>
      </c>
      <c r="U21" s="21">
        <f t="shared" si="24"/>
        <v>0</v>
      </c>
      <c r="V21" s="20">
        <f>SUMIFS('Registre de reserves'!$P$2:$P$1178,'Registre de reserves'!$T$2:$T$1178,"NO",'Registre de reserves'!$I$2:$I$1178,'2022'!$A21,'Registre de reserves'!$B$2:$B$1178,'2022'!V$2,Tabla1[ANY],'2022'!$Z$2)+SUMIFS('Registre de reserves'!$P$2:$P$1178,'Registre de reserves'!$T$2:$T$1178,"RESERVA",'Registre de reserves'!$I$2:$I$1178,'2022'!$A21,'Registre de reserves'!$B$2:$B$1178,'2022'!V$2,Tabla1[ANY],'2022'!$Z$2)-SUMIFS('Registre de reserves'!$U$2:$U$1178,'Registre de reserves'!$T$2:$T$1178,"RESERVA",'Registre de reserves'!$I$2:$I$1178,'2022'!$A21,'Registre de reserves'!$B$2:$B$1178,'2022'!V$2,Tabla1[ANY],'2022'!$Z$2)</f>
        <v>0</v>
      </c>
      <c r="W21" s="21">
        <f t="shared" si="25"/>
        <v>0</v>
      </c>
      <c r="X21" s="20">
        <f>SUMIFS('Registre de reserves'!$P$2:$P$1178,'Registre de reserves'!$T$2:$T$1178,"NO",'Registre de reserves'!$I$2:$I$1178,'2022'!$A21,'Registre de reserves'!$B$2:$B$1178,'2022'!X$2,Tabla1[ANY],'2022'!$Z$2)+SUMIFS('Registre de reserves'!$P$2:$P$1178,'Registre de reserves'!$T$2:$T$1178,"RESERVA",'Registre de reserves'!$I$2:$I$1178,'2022'!$A21,'Registre de reserves'!$B$2:$B$1178,'2022'!X$2,Tabla1[ANY],'2022'!$Z$2)-SUMIFS('Registre de reserves'!$U$2:$U$1178,'Registre de reserves'!$T$2:$T$1178,"RESERVA",'Registre de reserves'!$I$2:$I$1178,'2022'!$A21,'Registre de reserves'!$B$2:$B$1178,'2022'!X$2,Tabla1[ANY],'2022'!$Z$2)</f>
        <v>0</v>
      </c>
      <c r="Y21" s="21">
        <f t="shared" si="26"/>
        <v>0</v>
      </c>
      <c r="Z21" s="20">
        <f t="shared" si="27"/>
        <v>0</v>
      </c>
      <c r="AA21" s="21">
        <f t="shared" si="28"/>
        <v>0</v>
      </c>
    </row>
    <row r="22" spans="1:30" collapsed="1" x14ac:dyDescent="0.2">
      <c r="A22" s="33" t="s">
        <v>75</v>
      </c>
      <c r="B22" s="22">
        <f>SUM(B23:B30)</f>
        <v>100</v>
      </c>
      <c r="C22" s="19">
        <f>IF(B$3=0,0,B22/B$3)</f>
        <v>6.9930069930069935E-2</v>
      </c>
      <c r="D22" s="22">
        <f>SUM(D23:D30)</f>
        <v>120</v>
      </c>
      <c r="E22" s="19">
        <f>IF(D$3=0,0,D22/D$3)</f>
        <v>6.4690026954177901E-2</v>
      </c>
      <c r="F22" s="22">
        <f>SUM(F23:F30)</f>
        <v>220</v>
      </c>
      <c r="G22" s="19">
        <f>IF(F$3=0,0,F22/F$3)</f>
        <v>7.0400000000000004E-2</v>
      </c>
      <c r="H22" s="22">
        <f>SUM(H23:H30)</f>
        <v>285</v>
      </c>
      <c r="I22" s="19">
        <f>IF(H$3=0,0,H22/H$3)</f>
        <v>6.6822977725674096E-2</v>
      </c>
      <c r="J22" s="22">
        <f>SUM(J23:J30)</f>
        <v>190</v>
      </c>
      <c r="K22" s="19">
        <f>IF(J$3=0,0,J22/J$3)</f>
        <v>4.9032258064516131E-2</v>
      </c>
      <c r="L22" s="22">
        <f>SUM(L23:L30)</f>
        <v>145</v>
      </c>
      <c r="M22" s="19">
        <f>IF(L$3=0,0,L22/L$3)</f>
        <v>4.1428571428571426E-2</v>
      </c>
      <c r="N22" s="22">
        <f>SUM(N23:N30)</f>
        <v>130</v>
      </c>
      <c r="O22" s="19">
        <f>IF(N$3=0,0,N22/N$3)</f>
        <v>4.340567612687813E-2</v>
      </c>
      <c r="P22" s="22">
        <f>SUM(P23:P30)</f>
        <v>60</v>
      </c>
      <c r="Q22" s="19">
        <f>IF(P$3=0,0,P22/P$3)</f>
        <v>4.0677966101694912E-2</v>
      </c>
      <c r="R22" s="22">
        <f>SUM(R23:R30)</f>
        <v>310</v>
      </c>
      <c r="S22" s="19">
        <f>IF(R$3=0,0,R22/R$3)</f>
        <v>9.2399403874813713E-2</v>
      </c>
      <c r="T22" s="22">
        <f>SUM(T23:T30)</f>
        <v>260</v>
      </c>
      <c r="U22" s="19">
        <f>IF(T$3=0,0,T22/T$3)</f>
        <v>6.3183475091130009E-2</v>
      </c>
      <c r="V22" s="22">
        <f>SUM(V23:V30)</f>
        <v>180</v>
      </c>
      <c r="W22" s="19">
        <f>IF(V$3=0,0,V22/V$3)</f>
        <v>6.228373702422145E-2</v>
      </c>
      <c r="X22" s="22">
        <f>SUM(X23:X30)</f>
        <v>140</v>
      </c>
      <c r="Y22" s="19">
        <f>IF(X$3=0,0,X22/X$3)</f>
        <v>2.7944111776447105E-2</v>
      </c>
      <c r="Z22" s="18">
        <f>SUM(Z23:Z30)</f>
        <v>2140</v>
      </c>
      <c r="AA22" s="19">
        <f>IF(Z$3=0,0,Z22/Z$3)</f>
        <v>5.6479282132488783E-2</v>
      </c>
      <c r="AD22">
        <v>3500</v>
      </c>
    </row>
    <row r="23" spans="1:30" hidden="1" outlineLevel="1" x14ac:dyDescent="0.2">
      <c r="A23" s="8" t="s">
        <v>67</v>
      </c>
      <c r="B23" s="23">
        <f>SUMIFS('Registre de reserves'!$R$2:$R$1178,'Registre de reserves'!$T$2:$T$1178,"SI",'Registre de reserves'!$I$2:$I$1178,'2022'!$A23,'Registre de reserves'!$B$2:$B$1178,'2022'!B$2,Tabla1[ANY],'2022'!$Z$2)</f>
        <v>0</v>
      </c>
      <c r="C23" s="21">
        <f>IF(B$22=0,0,B23/B$22)</f>
        <v>0</v>
      </c>
      <c r="D23" s="23">
        <f>SUMIFS('Registre de reserves'!$R$2:$R$1178,'Registre de reserves'!$T$2:$T$1178,"SI",'Registre de reserves'!$I$2:$I$1178,'2022'!$A23,'Registre de reserves'!$B$2:$B$1178,'2022'!D$2,Tabla1[ANY],'2022'!$Z$2)</f>
        <v>0</v>
      </c>
      <c r="E23" s="21">
        <f>IF(D$22=0,0,D23/D$22)</f>
        <v>0</v>
      </c>
      <c r="F23" s="23">
        <f>SUMIFS('Registre de reserves'!$R$2:$R$1178,'Registre de reserves'!$T$2:$T$1178,"SI",'Registre de reserves'!$I$2:$I$1178,'2022'!$A23,'Registre de reserves'!$B$2:$B$1178,'2022'!F$2,Tabla1[ANY],'2022'!$Z$2)</f>
        <v>0</v>
      </c>
      <c r="G23" s="21">
        <f t="shared" ref="G23:G30" si="29">IF(F$22=0,0,F23/F$22)</f>
        <v>0</v>
      </c>
      <c r="H23" s="23">
        <f>SUMIFS('Registre de reserves'!$R$2:$R$1178,'Registre de reserves'!$T$2:$T$1178,"SI",'Registre de reserves'!$I$2:$I$1178,'2022'!$A23,'Registre de reserves'!$B$2:$B$1178,'2022'!H$2,Tabla1[ANY],'2022'!$Z$2)</f>
        <v>60</v>
      </c>
      <c r="I23" s="21">
        <f t="shared" ref="I23:I30" si="30">IF(H$22=0,0,H23/H$22)</f>
        <v>0.21052631578947367</v>
      </c>
      <c r="J23" s="23">
        <f>SUMIFS('Registre de reserves'!$R$2:$R$1178,'Registre de reserves'!$T$2:$T$1178,"SI",'Registre de reserves'!$I$2:$I$1178,'2022'!$A23,'Registre de reserves'!$B$2:$B$1178,'2022'!J$2,Tabla1[ANY],'2022'!$Z$2)</f>
        <v>40</v>
      </c>
      <c r="K23" s="21">
        <f t="shared" ref="K23:K30" si="31">IF(J$22=0,0,J23/J$22)</f>
        <v>0.21052631578947367</v>
      </c>
      <c r="L23" s="23">
        <f>SUMIFS('Registre de reserves'!$R$2:$R$1178,'Registre de reserves'!$T$2:$T$1178,"SI",'Registre de reserves'!$I$2:$I$1178,'2022'!$A23,'Registre de reserves'!$B$2:$B$1178,'2022'!L$2,Tabla1[ANY],'2022'!$Z$2)</f>
        <v>5</v>
      </c>
      <c r="M23" s="21">
        <f t="shared" ref="M23:M30" si="32">IF(L$22=0,0,L23/L$22)</f>
        <v>3.4482758620689655E-2</v>
      </c>
      <c r="N23" s="23">
        <f>SUMIFS('Registre de reserves'!$R$2:$R$1178,'Registre de reserves'!$T$2:$T$1178,"SI",'Registre de reserves'!$I$2:$I$1178,'2022'!$A23,'Registre de reserves'!$B$2:$B$1178,'2022'!N$2,Tabla1[ANY],'2022'!$Z$2)</f>
        <v>0</v>
      </c>
      <c r="O23" s="21">
        <f t="shared" ref="O23:O30" si="33">IF(N$22=0,0,N23/N$22)</f>
        <v>0</v>
      </c>
      <c r="P23" s="23">
        <f>SUMIFS('Registre de reserves'!$R$2:$R$1178,'Registre de reserves'!$T$2:$T$1178,"SI",'Registre de reserves'!$I$2:$I$1178,'2022'!$A23,'Registre de reserves'!$B$2:$B$1178,'2022'!P$2,Tabla1[ANY],'2022'!$Z$2)</f>
        <v>0</v>
      </c>
      <c r="Q23" s="21">
        <f t="shared" ref="Q23:Q30" si="34">IF(P$22=0,0,P23/P$22)</f>
        <v>0</v>
      </c>
      <c r="R23" s="23">
        <f>SUMIFS('Registre de reserves'!$R$2:$R$1178,'Registre de reserves'!$T$2:$T$1178,"SI",'Registre de reserves'!$I$2:$I$1178,'2022'!$A23,'Registre de reserves'!$B$2:$B$1178,'2022'!R$2,Tabla1[ANY],'2022'!$Z$2)</f>
        <v>0</v>
      </c>
      <c r="S23" s="21">
        <f t="shared" ref="S23:S30" si="35">IF(R$22=0,0,R23/R$22)</f>
        <v>0</v>
      </c>
      <c r="T23" s="23">
        <f>SUMIFS('Registre de reserves'!$R$2:$R$1178,'Registre de reserves'!$T$2:$T$1178,"SI",'Registre de reserves'!$I$2:$I$1178,'2022'!$A23,'Registre de reserves'!$B$2:$B$1178,'2022'!T$2,Tabla1[ANY],'2022'!$Z$2)</f>
        <v>0</v>
      </c>
      <c r="U23" s="21">
        <f t="shared" ref="U23:U30" si="36">IF(T$22=0,0,T23/T$22)</f>
        <v>0</v>
      </c>
      <c r="V23" s="23">
        <f>SUMIFS('Registre de reserves'!$R$2:$R$1178,'Registre de reserves'!$T$2:$T$1178,"SI",'Registre de reserves'!$I$2:$I$1178,'2022'!$A23,'Registre de reserves'!$B$2:$B$1178,'2022'!V$2,Tabla1[ANY],'2022'!$Z$2)</f>
        <v>0</v>
      </c>
      <c r="W23" s="21">
        <f t="shared" ref="W23:W30" si="37">IF(V$22=0,0,V23/V$22)</f>
        <v>0</v>
      </c>
      <c r="X23" s="23">
        <f>SUMIFS('Registre de reserves'!$R$2:$R$1178,'Registre de reserves'!$T$2:$T$1178,"SI",'Registre de reserves'!$I$2:$I$1178,'2022'!$A23,'Registre de reserves'!$B$2:$B$1178,'2022'!X$2,Tabla1[ANY],'2022'!$Z$2)</f>
        <v>0</v>
      </c>
      <c r="Y23" s="21">
        <f t="shared" ref="Y23:Y30" si="38">IF(X$22=0,0,X23/X$22)</f>
        <v>0</v>
      </c>
      <c r="Z23" s="20">
        <f>B23+D23+F23+H23+J23+L23+N23+P23+R23+T23+V23+X23</f>
        <v>105</v>
      </c>
      <c r="AA23" s="21">
        <f>IF(Z$22=0,0,Z23/Z$22)</f>
        <v>4.9065420560747662E-2</v>
      </c>
    </row>
    <row r="24" spans="1:30" hidden="1" outlineLevel="1" x14ac:dyDescent="0.2">
      <c r="A24" s="8" t="s">
        <v>68</v>
      </c>
      <c r="B24" s="23">
        <f>SUMIFS('Registre de reserves'!$R$2:$R$1178,'Registre de reserves'!$T$2:$T$1178,"SI",'Registre de reserves'!$I$2:$I$1178,'2022'!$A24,'Registre de reserves'!$B$2:$B$1178,'2022'!B$2,Tabla1[ANY],'2022'!$Z$2)</f>
        <v>100</v>
      </c>
      <c r="C24" s="21">
        <f t="shared" ref="C24:E30" si="39">IF(B$22=0,0,B24/B$22)</f>
        <v>1</v>
      </c>
      <c r="D24" s="23">
        <f>SUMIFS('Registre de reserves'!$R$2:$R$1178,'Registre de reserves'!$T$2:$T$1178,"SI",'Registre de reserves'!$I$2:$I$1178,'2022'!$A24,'Registre de reserves'!$B$2:$B$1178,'2022'!D$2,Tabla1[ANY],'2022'!$Z$2)</f>
        <v>0</v>
      </c>
      <c r="E24" s="21">
        <f t="shared" si="39"/>
        <v>0</v>
      </c>
      <c r="F24" s="23">
        <f>SUMIFS('Registre de reserves'!$R$2:$R$1178,'Registre de reserves'!$T$2:$T$1178,"SI",'Registre de reserves'!$I$2:$I$1178,'2022'!$A24,'Registre de reserves'!$B$2:$B$1178,'2022'!F$2,Tabla1[ANY],'2022'!$Z$2)</f>
        <v>70</v>
      </c>
      <c r="G24" s="21">
        <f t="shared" si="29"/>
        <v>0.31818181818181818</v>
      </c>
      <c r="H24" s="23">
        <f>SUMIFS('Registre de reserves'!$R$2:$R$1178,'Registre de reserves'!$T$2:$T$1178,"SI",'Registre de reserves'!$I$2:$I$1178,'2022'!$A24,'Registre de reserves'!$B$2:$B$1178,'2022'!H$2,Tabla1[ANY],'2022'!$Z$2)</f>
        <v>10</v>
      </c>
      <c r="I24" s="21">
        <f t="shared" si="30"/>
        <v>3.5087719298245612E-2</v>
      </c>
      <c r="J24" s="23">
        <f>SUMIFS('Registre de reserves'!$R$2:$R$1178,'Registre de reserves'!$T$2:$T$1178,"SI",'Registre de reserves'!$I$2:$I$1178,'2022'!$A24,'Registre de reserves'!$B$2:$B$1178,'2022'!J$2,Tabla1[ANY],'2022'!$Z$2)</f>
        <v>0</v>
      </c>
      <c r="K24" s="21">
        <f t="shared" si="31"/>
        <v>0</v>
      </c>
      <c r="L24" s="23">
        <f>SUMIFS('Registre de reserves'!$R$2:$R$1178,'Registre de reserves'!$T$2:$T$1178,"SI",'Registre de reserves'!$I$2:$I$1178,'2022'!$A24,'Registre de reserves'!$B$2:$B$1178,'2022'!L$2,Tabla1[ANY],'2022'!$Z$2)</f>
        <v>20</v>
      </c>
      <c r="M24" s="21">
        <f t="shared" si="32"/>
        <v>0.13793103448275862</v>
      </c>
      <c r="N24" s="23">
        <f>SUMIFS('Registre de reserves'!$R$2:$R$1178,'Registre de reserves'!$T$2:$T$1178,"SI",'Registre de reserves'!$I$2:$I$1178,'2022'!$A24,'Registre de reserves'!$B$2:$B$1178,'2022'!N$2,Tabla1[ANY],'2022'!$Z$2)</f>
        <v>10</v>
      </c>
      <c r="O24" s="21">
        <f t="shared" si="33"/>
        <v>7.6923076923076927E-2</v>
      </c>
      <c r="P24" s="23">
        <f>SUMIFS('Registre de reserves'!$R$2:$R$1178,'Registre de reserves'!$T$2:$T$1178,"SI",'Registre de reserves'!$I$2:$I$1178,'2022'!$A24,'Registre de reserves'!$B$2:$B$1178,'2022'!P$2,Tabla1[ANY],'2022'!$Z$2)</f>
        <v>0</v>
      </c>
      <c r="Q24" s="21">
        <f t="shared" si="34"/>
        <v>0</v>
      </c>
      <c r="R24" s="23">
        <f>SUMIFS('Registre de reserves'!$R$2:$R$1178,'Registre de reserves'!$T$2:$T$1178,"SI",'Registre de reserves'!$I$2:$I$1178,'2022'!$A24,'Registre de reserves'!$B$2:$B$1178,'2022'!R$2,Tabla1[ANY],'2022'!$Z$2)</f>
        <v>100</v>
      </c>
      <c r="S24" s="21">
        <f t="shared" si="35"/>
        <v>0.32258064516129031</v>
      </c>
      <c r="T24" s="23">
        <f>SUMIFS('Registre de reserves'!$R$2:$R$1178,'Registre de reserves'!$T$2:$T$1178,"SI",'Registre de reserves'!$I$2:$I$1178,'2022'!$A24,'Registre de reserves'!$B$2:$B$1178,'2022'!T$2,Tabla1[ANY],'2022'!$Z$2)</f>
        <v>0</v>
      </c>
      <c r="U24" s="21">
        <f t="shared" si="36"/>
        <v>0</v>
      </c>
      <c r="V24" s="23">
        <f>SUMIFS('Registre de reserves'!$R$2:$R$1178,'Registre de reserves'!$T$2:$T$1178,"SI",'Registre de reserves'!$I$2:$I$1178,'2022'!$A24,'Registre de reserves'!$B$2:$B$1178,'2022'!V$2,Tabla1[ANY],'2022'!$Z$2)</f>
        <v>0</v>
      </c>
      <c r="W24" s="21">
        <f t="shared" si="37"/>
        <v>0</v>
      </c>
      <c r="X24" s="23">
        <f>SUMIFS('Registre de reserves'!$R$2:$R$1178,'Registre de reserves'!$T$2:$T$1178,"SI",'Registre de reserves'!$I$2:$I$1178,'2022'!$A24,'Registre de reserves'!$B$2:$B$1178,'2022'!X$2,Tabla1[ANY],'2022'!$Z$2)</f>
        <v>20</v>
      </c>
      <c r="Y24" s="21">
        <f t="shared" si="38"/>
        <v>0.14285714285714285</v>
      </c>
      <c r="Z24" s="20">
        <f t="shared" ref="Z24:Z30" si="40">B24+D24+F24+H24+J24+L24+N24+P24+R24+T24+V24+X24</f>
        <v>330</v>
      </c>
      <c r="AA24" s="21">
        <f t="shared" ref="AA24:AA30" si="41">IF(Z$22=0,0,Z24/Z$22)</f>
        <v>0.1542056074766355</v>
      </c>
    </row>
    <row r="25" spans="1:30" hidden="1" outlineLevel="1" x14ac:dyDescent="0.2">
      <c r="A25" s="8" t="s">
        <v>4</v>
      </c>
      <c r="B25" s="23">
        <f>SUMIFS('Registre de reserves'!$R$2:$R$1178,'Registre de reserves'!$T$2:$T$1178,"SI",'Registre de reserves'!$I$2:$I$1178,'2022'!$A25,'Registre de reserves'!$B$2:$B$1178,'2022'!B$2,Tabla1[ANY],'2022'!$Z$2)</f>
        <v>0</v>
      </c>
      <c r="C25" s="21">
        <f t="shared" si="39"/>
        <v>0</v>
      </c>
      <c r="D25" s="23">
        <f>SUMIFS('Registre de reserves'!$R$2:$R$1178,'Registre de reserves'!$T$2:$T$1178,"SI",'Registre de reserves'!$I$2:$I$1178,'2022'!$A25,'Registre de reserves'!$B$2:$B$1178,'2022'!D$2,Tabla1[ANY],'2022'!$Z$2)</f>
        <v>20</v>
      </c>
      <c r="E25" s="21">
        <f t="shared" si="39"/>
        <v>0.16666666666666666</v>
      </c>
      <c r="F25" s="23">
        <f>SUMIFS('Registre de reserves'!$R$2:$R$1178,'Registre de reserves'!$T$2:$T$1178,"SI",'Registre de reserves'!$I$2:$I$1178,'2022'!$A25,'Registre de reserves'!$B$2:$B$1178,'2022'!F$2,Tabla1[ANY],'2022'!$Z$2)</f>
        <v>0</v>
      </c>
      <c r="G25" s="21">
        <f t="shared" si="29"/>
        <v>0</v>
      </c>
      <c r="H25" s="23">
        <f>SUMIFS('Registre de reserves'!$R$2:$R$1178,'Registre de reserves'!$T$2:$T$1178,"SI",'Registre de reserves'!$I$2:$I$1178,'2022'!$A25,'Registre de reserves'!$B$2:$B$1178,'2022'!H$2,Tabla1[ANY],'2022'!$Z$2)</f>
        <v>0</v>
      </c>
      <c r="I25" s="21">
        <f t="shared" si="30"/>
        <v>0</v>
      </c>
      <c r="J25" s="23">
        <f>SUMIFS('Registre de reserves'!$R$2:$R$1178,'Registre de reserves'!$T$2:$T$1178,"SI",'Registre de reserves'!$I$2:$I$1178,'2022'!$A25,'Registre de reserves'!$B$2:$B$1178,'2022'!J$2,Tabla1[ANY],'2022'!$Z$2)</f>
        <v>0</v>
      </c>
      <c r="K25" s="21">
        <f t="shared" si="31"/>
        <v>0</v>
      </c>
      <c r="L25" s="23">
        <f>SUMIFS('Registre de reserves'!$R$2:$R$1178,'Registre de reserves'!$T$2:$T$1178,"SI",'Registre de reserves'!$I$2:$I$1178,'2022'!$A25,'Registre de reserves'!$B$2:$B$1178,'2022'!L$2,Tabla1[ANY],'2022'!$Z$2)</f>
        <v>60</v>
      </c>
      <c r="M25" s="21">
        <f t="shared" si="32"/>
        <v>0.41379310344827586</v>
      </c>
      <c r="N25" s="23">
        <f>SUMIFS('Registre de reserves'!$R$2:$R$1178,'Registre de reserves'!$T$2:$T$1178,"SI",'Registre de reserves'!$I$2:$I$1178,'2022'!$A25,'Registre de reserves'!$B$2:$B$1178,'2022'!N$2,Tabla1[ANY],'2022'!$Z$2)</f>
        <v>0</v>
      </c>
      <c r="O25" s="21">
        <f t="shared" si="33"/>
        <v>0</v>
      </c>
      <c r="P25" s="23">
        <f>SUMIFS('Registre de reserves'!$R$2:$R$1178,'Registre de reserves'!$T$2:$T$1178,"SI",'Registre de reserves'!$I$2:$I$1178,'2022'!$A25,'Registre de reserves'!$B$2:$B$1178,'2022'!P$2,Tabla1[ANY],'2022'!$Z$2)</f>
        <v>0</v>
      </c>
      <c r="Q25" s="21">
        <f t="shared" si="34"/>
        <v>0</v>
      </c>
      <c r="R25" s="23">
        <f>SUMIFS('Registre de reserves'!$R$2:$R$1178,'Registre de reserves'!$T$2:$T$1178,"SI",'Registre de reserves'!$I$2:$I$1178,'2022'!$A25,'Registre de reserves'!$B$2:$B$1178,'2022'!R$2,Tabla1[ANY],'2022'!$Z$2)</f>
        <v>0</v>
      </c>
      <c r="S25" s="21">
        <f t="shared" si="35"/>
        <v>0</v>
      </c>
      <c r="T25" s="23">
        <f>SUMIFS('Registre de reserves'!$R$2:$R$1178,'Registre de reserves'!$T$2:$T$1178,"SI",'Registre de reserves'!$I$2:$I$1178,'2022'!$A25,'Registre de reserves'!$B$2:$B$1178,'2022'!T$2,Tabla1[ANY],'2022'!$Z$2)</f>
        <v>0</v>
      </c>
      <c r="U25" s="21">
        <f t="shared" si="36"/>
        <v>0</v>
      </c>
      <c r="V25" s="23">
        <f>SUMIFS('Registre de reserves'!$R$2:$R$1178,'Registre de reserves'!$T$2:$T$1178,"SI",'Registre de reserves'!$I$2:$I$1178,'2022'!$A25,'Registre de reserves'!$B$2:$B$1178,'2022'!V$2,Tabla1[ANY],'2022'!$Z$2)</f>
        <v>0</v>
      </c>
      <c r="W25" s="21">
        <f t="shared" si="37"/>
        <v>0</v>
      </c>
      <c r="X25" s="23">
        <f>SUMIFS('Registre de reserves'!$R$2:$R$1178,'Registre de reserves'!$T$2:$T$1178,"SI",'Registre de reserves'!$I$2:$I$1178,'2022'!$A25,'Registre de reserves'!$B$2:$B$1178,'2022'!X$2,Tabla1[ANY],'2022'!$Z$2)</f>
        <v>0</v>
      </c>
      <c r="Y25" s="21">
        <f t="shared" si="38"/>
        <v>0</v>
      </c>
      <c r="Z25" s="20">
        <f t="shared" si="40"/>
        <v>80</v>
      </c>
      <c r="AA25" s="21">
        <f t="shared" si="41"/>
        <v>3.7383177570093455E-2</v>
      </c>
    </row>
    <row r="26" spans="1:30" hidden="1" outlineLevel="1" x14ac:dyDescent="0.2">
      <c r="A26" s="8" t="s">
        <v>71</v>
      </c>
      <c r="B26" s="23">
        <f>SUMIFS('Registre de reserves'!$R$2:$R$1178,'Registre de reserves'!$T$2:$T$1178,"SI",'Registre de reserves'!$I$2:$I$1178,'2022'!$A26,'Registre de reserves'!$B$2:$B$1178,'2022'!B$2,Tabla1[ANY],'2022'!$Z$2)</f>
        <v>0</v>
      </c>
      <c r="C26" s="21">
        <f t="shared" si="39"/>
        <v>0</v>
      </c>
      <c r="D26" s="23">
        <f>SUMIFS('Registre de reserves'!$R$2:$R$1178,'Registre de reserves'!$T$2:$T$1178,"SI",'Registre de reserves'!$I$2:$I$1178,'2022'!$A26,'Registre de reserves'!$B$2:$B$1178,'2022'!D$2,Tabla1[ANY],'2022'!$Z$2)</f>
        <v>0</v>
      </c>
      <c r="E26" s="21">
        <f t="shared" si="39"/>
        <v>0</v>
      </c>
      <c r="F26" s="23">
        <f>SUMIFS('Registre de reserves'!$R$2:$R$1178,'Registre de reserves'!$T$2:$T$1178,"SI",'Registre de reserves'!$I$2:$I$1178,'2022'!$A26,'Registre de reserves'!$B$2:$B$1178,'2022'!F$2,Tabla1[ANY],'2022'!$Z$2)</f>
        <v>0</v>
      </c>
      <c r="G26" s="21">
        <f t="shared" si="29"/>
        <v>0</v>
      </c>
      <c r="H26" s="23">
        <f>SUMIFS('Registre de reserves'!$R$2:$R$1178,'Registre de reserves'!$T$2:$T$1178,"SI",'Registre de reserves'!$I$2:$I$1178,'2022'!$A26,'Registre de reserves'!$B$2:$B$1178,'2022'!H$2,Tabla1[ANY],'2022'!$Z$2)</f>
        <v>0</v>
      </c>
      <c r="I26" s="21">
        <f t="shared" si="30"/>
        <v>0</v>
      </c>
      <c r="J26" s="23">
        <f>SUMIFS('Registre de reserves'!$R$2:$R$1178,'Registre de reserves'!$T$2:$T$1178,"SI",'Registre de reserves'!$I$2:$I$1178,'2022'!$A26,'Registre de reserves'!$B$2:$B$1178,'2022'!J$2,Tabla1[ANY],'2022'!$Z$2)</f>
        <v>0</v>
      </c>
      <c r="K26" s="21">
        <f t="shared" si="31"/>
        <v>0</v>
      </c>
      <c r="L26" s="23">
        <f>SUMIFS('Registre de reserves'!$R$2:$R$1178,'Registre de reserves'!$T$2:$T$1178,"SI",'Registre de reserves'!$I$2:$I$1178,'2022'!$A26,'Registre de reserves'!$B$2:$B$1178,'2022'!L$2,Tabla1[ANY],'2022'!$Z$2)</f>
        <v>0</v>
      </c>
      <c r="M26" s="21">
        <f t="shared" si="32"/>
        <v>0</v>
      </c>
      <c r="N26" s="23">
        <f>SUMIFS('Registre de reserves'!$R$2:$R$1178,'Registre de reserves'!$T$2:$T$1178,"SI",'Registre de reserves'!$I$2:$I$1178,'2022'!$A26,'Registre de reserves'!$B$2:$B$1178,'2022'!N$2,Tabla1[ANY],'2022'!$Z$2)</f>
        <v>0</v>
      </c>
      <c r="O26" s="21">
        <f t="shared" si="33"/>
        <v>0</v>
      </c>
      <c r="P26" s="23">
        <f>SUMIFS('Registre de reserves'!$R$2:$R$1178,'Registre de reserves'!$T$2:$T$1178,"SI",'Registre de reserves'!$I$2:$I$1178,'2022'!$A26,'Registre de reserves'!$B$2:$B$1178,'2022'!P$2,Tabla1[ANY],'2022'!$Z$2)</f>
        <v>0</v>
      </c>
      <c r="Q26" s="21">
        <f t="shared" si="34"/>
        <v>0</v>
      </c>
      <c r="R26" s="23">
        <f>SUMIFS('Registre de reserves'!$R$2:$R$1178,'Registre de reserves'!$T$2:$T$1178,"SI",'Registre de reserves'!$I$2:$I$1178,'2022'!$A26,'Registre de reserves'!$B$2:$B$1178,'2022'!R$2,Tabla1[ANY],'2022'!$Z$2)</f>
        <v>0</v>
      </c>
      <c r="S26" s="21">
        <f t="shared" si="35"/>
        <v>0</v>
      </c>
      <c r="T26" s="23">
        <f>SUMIFS('Registre de reserves'!$R$2:$R$1178,'Registre de reserves'!$T$2:$T$1178,"SI",'Registre de reserves'!$I$2:$I$1178,'2022'!$A26,'Registre de reserves'!$B$2:$B$1178,'2022'!T$2,Tabla1[ANY],'2022'!$Z$2)</f>
        <v>0</v>
      </c>
      <c r="U26" s="21">
        <f t="shared" si="36"/>
        <v>0</v>
      </c>
      <c r="V26" s="23">
        <f>SUMIFS('Registre de reserves'!$R$2:$R$1178,'Registre de reserves'!$T$2:$T$1178,"SI",'Registre de reserves'!$I$2:$I$1178,'2022'!$A26,'Registre de reserves'!$B$2:$B$1178,'2022'!V$2,Tabla1[ANY],'2022'!$Z$2)</f>
        <v>0</v>
      </c>
      <c r="W26" s="21">
        <f t="shared" si="37"/>
        <v>0</v>
      </c>
      <c r="X26" s="23">
        <f>SUMIFS('Registre de reserves'!$R$2:$R$1178,'Registre de reserves'!$T$2:$T$1178,"SI",'Registre de reserves'!$I$2:$I$1178,'2022'!$A26,'Registre de reserves'!$B$2:$B$1178,'2022'!X$2,Tabla1[ANY],'2022'!$Z$2)</f>
        <v>0</v>
      </c>
      <c r="Y26" s="21">
        <f t="shared" si="38"/>
        <v>0</v>
      </c>
      <c r="Z26" s="20">
        <f t="shared" si="40"/>
        <v>0</v>
      </c>
      <c r="AA26" s="21">
        <f t="shared" si="41"/>
        <v>0</v>
      </c>
    </row>
    <row r="27" spans="1:30" hidden="1" outlineLevel="1" x14ac:dyDescent="0.2">
      <c r="A27" s="8" t="s">
        <v>72</v>
      </c>
      <c r="B27" s="23">
        <f>SUMIFS('Registre de reserves'!$R$2:$R$1178,'Registre de reserves'!$T$2:$T$1178,"SI",'Registre de reserves'!$I$2:$I$1178,'2022'!$A27,'Registre de reserves'!$B$2:$B$1178,'2022'!B$2,Tabla1[ANY],'2022'!$Z$2)</f>
        <v>0</v>
      </c>
      <c r="C27" s="21">
        <f t="shared" si="39"/>
        <v>0</v>
      </c>
      <c r="D27" s="23">
        <f>SUMIFS('Registre de reserves'!$R$2:$R$1178,'Registre de reserves'!$T$2:$T$1178,"SI",'Registre de reserves'!$I$2:$I$1178,'2022'!$A27,'Registre de reserves'!$B$2:$B$1178,'2022'!D$2,Tabla1[ANY],'2022'!$Z$2)</f>
        <v>0</v>
      </c>
      <c r="E27" s="21">
        <f t="shared" si="39"/>
        <v>0</v>
      </c>
      <c r="F27" s="23">
        <f>SUMIFS('Registre de reserves'!$R$2:$R$1178,'Registre de reserves'!$T$2:$T$1178,"SI",'Registre de reserves'!$I$2:$I$1178,'2022'!$A27,'Registre de reserves'!$B$2:$B$1178,'2022'!F$2,Tabla1[ANY],'2022'!$Z$2)</f>
        <v>0</v>
      </c>
      <c r="G27" s="21">
        <f t="shared" si="29"/>
        <v>0</v>
      </c>
      <c r="H27" s="23">
        <f>SUMIFS('Registre de reserves'!$R$2:$R$1178,'Registre de reserves'!$T$2:$T$1178,"SI",'Registre de reserves'!$I$2:$I$1178,'2022'!$A27,'Registre de reserves'!$B$2:$B$1178,'2022'!H$2,Tabla1[ANY],'2022'!$Z$2)</f>
        <v>0</v>
      </c>
      <c r="I27" s="21">
        <f t="shared" si="30"/>
        <v>0</v>
      </c>
      <c r="J27" s="23">
        <f>SUMIFS('Registre de reserves'!$R$2:$R$1178,'Registre de reserves'!$T$2:$T$1178,"SI",'Registre de reserves'!$I$2:$I$1178,'2022'!$A27,'Registre de reserves'!$B$2:$B$1178,'2022'!J$2,Tabla1[ANY],'2022'!$Z$2)</f>
        <v>0</v>
      </c>
      <c r="K27" s="21">
        <f t="shared" si="31"/>
        <v>0</v>
      </c>
      <c r="L27" s="23">
        <f>SUMIFS('Registre de reserves'!$R$2:$R$1178,'Registre de reserves'!$T$2:$T$1178,"SI",'Registre de reserves'!$I$2:$I$1178,'2022'!$A27,'Registre de reserves'!$B$2:$B$1178,'2022'!L$2,Tabla1[ANY],'2022'!$Z$2)</f>
        <v>0</v>
      </c>
      <c r="M27" s="21">
        <f t="shared" si="32"/>
        <v>0</v>
      </c>
      <c r="N27" s="23">
        <f>SUMIFS('Registre de reserves'!$R$2:$R$1178,'Registre de reserves'!$T$2:$T$1178,"SI",'Registre de reserves'!$I$2:$I$1178,'2022'!$A27,'Registre de reserves'!$B$2:$B$1178,'2022'!N$2,Tabla1[ANY],'2022'!$Z$2)</f>
        <v>0</v>
      </c>
      <c r="O27" s="21">
        <f t="shared" si="33"/>
        <v>0</v>
      </c>
      <c r="P27" s="23">
        <f>SUMIFS('Registre de reserves'!$R$2:$R$1178,'Registre de reserves'!$T$2:$T$1178,"SI",'Registre de reserves'!$I$2:$I$1178,'2022'!$A27,'Registre de reserves'!$B$2:$B$1178,'2022'!P$2,Tabla1[ANY],'2022'!$Z$2)</f>
        <v>0</v>
      </c>
      <c r="Q27" s="21">
        <f t="shared" si="34"/>
        <v>0</v>
      </c>
      <c r="R27" s="23">
        <f>SUMIFS('Registre de reserves'!$R$2:$R$1178,'Registre de reserves'!$T$2:$T$1178,"SI",'Registre de reserves'!$I$2:$I$1178,'2022'!$A27,'Registre de reserves'!$B$2:$B$1178,'2022'!R$2,Tabla1[ANY],'2022'!$Z$2)</f>
        <v>0</v>
      </c>
      <c r="S27" s="21">
        <f t="shared" si="35"/>
        <v>0</v>
      </c>
      <c r="T27" s="23">
        <f>SUMIFS('Registre de reserves'!$R$2:$R$1178,'Registre de reserves'!$T$2:$T$1178,"SI",'Registre de reserves'!$I$2:$I$1178,'2022'!$A27,'Registre de reserves'!$B$2:$B$1178,'2022'!T$2,Tabla1[ANY],'2022'!$Z$2)</f>
        <v>0</v>
      </c>
      <c r="U27" s="21">
        <f t="shared" si="36"/>
        <v>0</v>
      </c>
      <c r="V27" s="23">
        <f>SUMIFS('Registre de reserves'!$R$2:$R$1178,'Registre de reserves'!$T$2:$T$1178,"SI",'Registre de reserves'!$I$2:$I$1178,'2022'!$A27,'Registre de reserves'!$B$2:$B$1178,'2022'!V$2,Tabla1[ANY],'2022'!$Z$2)</f>
        <v>0</v>
      </c>
      <c r="W27" s="21">
        <f t="shared" si="37"/>
        <v>0</v>
      </c>
      <c r="X27" s="23">
        <f>SUMIFS('Registre de reserves'!$R$2:$R$1178,'Registre de reserves'!$T$2:$T$1178,"SI",'Registre de reserves'!$I$2:$I$1178,'2022'!$A27,'Registre de reserves'!$B$2:$B$1178,'2022'!X$2,Tabla1[ANY],'2022'!$Z$2)</f>
        <v>0</v>
      </c>
      <c r="Y27" s="21">
        <f t="shared" si="38"/>
        <v>0</v>
      </c>
      <c r="Z27" s="20">
        <f t="shared" si="40"/>
        <v>0</v>
      </c>
      <c r="AA27" s="21">
        <f t="shared" si="41"/>
        <v>0</v>
      </c>
    </row>
    <row r="28" spans="1:30" hidden="1" outlineLevel="1" x14ac:dyDescent="0.2">
      <c r="A28" s="8" t="s">
        <v>69</v>
      </c>
      <c r="B28" s="23">
        <f>SUMIFS('Registre de reserves'!$R$2:$R$1178,'Registre de reserves'!$T$2:$T$1178,"SI",'Registre de reserves'!$I$2:$I$1178,'2022'!$A28,'Registre de reserves'!$B$2:$B$1178,'2022'!B$2,Tabla1[ANY],'2022'!$Z$2)</f>
        <v>0</v>
      </c>
      <c r="C28" s="21">
        <f t="shared" si="39"/>
        <v>0</v>
      </c>
      <c r="D28" s="23">
        <f>SUMIFS('Registre de reserves'!$R$2:$R$1178,'Registre de reserves'!$T$2:$T$1178,"SI",'Registre de reserves'!$I$2:$I$1178,'2022'!$A28,'Registre de reserves'!$B$2:$B$1178,'2022'!D$2,Tabla1[ANY],'2022'!$Z$2)</f>
        <v>100</v>
      </c>
      <c r="E28" s="21">
        <f t="shared" si="39"/>
        <v>0.83333333333333337</v>
      </c>
      <c r="F28" s="23">
        <f>SUMIFS('Registre de reserves'!$R$2:$R$1178,'Registre de reserves'!$T$2:$T$1178,"SI",'Registre de reserves'!$I$2:$I$1178,'2022'!$A28,'Registre de reserves'!$B$2:$B$1178,'2022'!F$2,Tabla1[ANY],'2022'!$Z$2)</f>
        <v>150</v>
      </c>
      <c r="G28" s="21">
        <f t="shared" si="29"/>
        <v>0.68181818181818177</v>
      </c>
      <c r="H28" s="23">
        <f>SUMIFS('Registre de reserves'!$R$2:$R$1178,'Registre de reserves'!$T$2:$T$1178,"SI",'Registre de reserves'!$I$2:$I$1178,'2022'!$A28,'Registre de reserves'!$B$2:$B$1178,'2022'!H$2,Tabla1[ANY],'2022'!$Z$2)</f>
        <v>215</v>
      </c>
      <c r="I28" s="21">
        <f t="shared" si="30"/>
        <v>0.75438596491228072</v>
      </c>
      <c r="J28" s="23">
        <f>SUMIFS('Registre de reserves'!$R$2:$R$1178,'Registre de reserves'!$T$2:$T$1178,"SI",'Registre de reserves'!$I$2:$I$1178,'2022'!$A28,'Registre de reserves'!$B$2:$B$1178,'2022'!J$2,Tabla1[ANY],'2022'!$Z$2)</f>
        <v>100</v>
      </c>
      <c r="K28" s="21">
        <f t="shared" si="31"/>
        <v>0.52631578947368418</v>
      </c>
      <c r="L28" s="23">
        <f>SUMIFS('Registre de reserves'!$R$2:$R$1178,'Registre de reserves'!$T$2:$T$1178,"SI",'Registre de reserves'!$I$2:$I$1178,'2022'!$A28,'Registre de reserves'!$B$2:$B$1178,'2022'!L$2,Tabla1[ANY],'2022'!$Z$2)</f>
        <v>60</v>
      </c>
      <c r="M28" s="21">
        <f t="shared" si="32"/>
        <v>0.41379310344827586</v>
      </c>
      <c r="N28" s="23">
        <f>SUMIFS('Registre de reserves'!$R$2:$R$1178,'Registre de reserves'!$T$2:$T$1178,"SI",'Registre de reserves'!$I$2:$I$1178,'2022'!$A28,'Registre de reserves'!$B$2:$B$1178,'2022'!N$2,Tabla1[ANY],'2022'!$Z$2)</f>
        <v>120</v>
      </c>
      <c r="O28" s="21">
        <f t="shared" si="33"/>
        <v>0.92307692307692313</v>
      </c>
      <c r="P28" s="23">
        <f>SUMIFS('Registre de reserves'!$R$2:$R$1178,'Registre de reserves'!$T$2:$T$1178,"SI",'Registre de reserves'!$I$2:$I$1178,'2022'!$A28,'Registre de reserves'!$B$2:$B$1178,'2022'!P$2,Tabla1[ANY],'2022'!$Z$2)</f>
        <v>60</v>
      </c>
      <c r="Q28" s="21">
        <f t="shared" si="34"/>
        <v>1</v>
      </c>
      <c r="R28" s="23">
        <f>SUMIFS('Registre de reserves'!$R$2:$R$1178,'Registre de reserves'!$T$2:$T$1178,"SI",'Registre de reserves'!$I$2:$I$1178,'2022'!$A28,'Registre de reserves'!$B$2:$B$1178,'2022'!R$2,Tabla1[ANY],'2022'!$Z$2)</f>
        <v>60</v>
      </c>
      <c r="S28" s="21">
        <f t="shared" si="35"/>
        <v>0.19354838709677419</v>
      </c>
      <c r="T28" s="23">
        <f>SUMIFS('Registre de reserves'!$R$2:$R$1178,'Registre de reserves'!$T$2:$T$1178,"SI",'Registre de reserves'!$I$2:$I$1178,'2022'!$A28,'Registre de reserves'!$B$2:$B$1178,'2022'!T$2,Tabla1[ANY],'2022'!$Z$2)</f>
        <v>260</v>
      </c>
      <c r="U28" s="21">
        <f t="shared" si="36"/>
        <v>1</v>
      </c>
      <c r="V28" s="23">
        <f>SUMIFS('Registre de reserves'!$R$2:$R$1178,'Registre de reserves'!$T$2:$T$1178,"SI",'Registre de reserves'!$I$2:$I$1178,'2022'!$A28,'Registre de reserves'!$B$2:$B$1178,'2022'!V$2,Tabla1[ANY],'2022'!$Z$2)</f>
        <v>180</v>
      </c>
      <c r="W28" s="21">
        <f t="shared" si="37"/>
        <v>1</v>
      </c>
      <c r="X28" s="23">
        <f>SUMIFS('Registre de reserves'!$R$2:$R$1178,'Registre de reserves'!$T$2:$T$1178,"SI",'Registre de reserves'!$I$2:$I$1178,'2022'!$A28,'Registre de reserves'!$B$2:$B$1178,'2022'!X$2,Tabla1[ANY],'2022'!$Z$2)</f>
        <v>120</v>
      </c>
      <c r="Y28" s="21">
        <f t="shared" si="38"/>
        <v>0.8571428571428571</v>
      </c>
      <c r="Z28" s="20">
        <f t="shared" si="40"/>
        <v>1425</v>
      </c>
      <c r="AA28" s="21">
        <f t="shared" si="41"/>
        <v>0.66588785046728971</v>
      </c>
    </row>
    <row r="29" spans="1:30" hidden="1" outlineLevel="1" x14ac:dyDescent="0.2">
      <c r="A29" s="8" t="s">
        <v>70</v>
      </c>
      <c r="B29" s="23">
        <f>SUMIFS('Registre de reserves'!$R$2:$R$1178,'Registre de reserves'!$T$2:$T$1178,"SI",'Registre de reserves'!$I$2:$I$1178,'2022'!$A29,'Registre de reserves'!$B$2:$B$1178,'2022'!B$2,Tabla1[ANY],'2022'!$Z$2)</f>
        <v>0</v>
      </c>
      <c r="C29" s="21">
        <f t="shared" si="39"/>
        <v>0</v>
      </c>
      <c r="D29" s="23">
        <f>SUMIFS('Registre de reserves'!$R$2:$R$1178,'Registre de reserves'!$T$2:$T$1178,"SI",'Registre de reserves'!$I$2:$I$1178,'2022'!$A29,'Registre de reserves'!$B$2:$B$1178,'2022'!D$2,Tabla1[ANY],'2022'!$Z$2)</f>
        <v>0</v>
      </c>
      <c r="E29" s="21">
        <f t="shared" si="39"/>
        <v>0</v>
      </c>
      <c r="F29" s="23">
        <f>SUMIFS('Registre de reserves'!$R$2:$R$1178,'Registre de reserves'!$T$2:$T$1178,"SI",'Registre de reserves'!$I$2:$I$1178,'2022'!$A29,'Registre de reserves'!$B$2:$B$1178,'2022'!F$2,Tabla1[ANY],'2022'!$Z$2)</f>
        <v>0</v>
      </c>
      <c r="G29" s="21">
        <f t="shared" si="29"/>
        <v>0</v>
      </c>
      <c r="H29" s="23">
        <f>SUMIFS('Registre de reserves'!$R$2:$R$1178,'Registre de reserves'!$T$2:$T$1178,"SI",'Registre de reserves'!$I$2:$I$1178,'2022'!$A29,'Registre de reserves'!$B$2:$B$1178,'2022'!H$2,Tabla1[ANY],'2022'!$Z$2)</f>
        <v>0</v>
      </c>
      <c r="I29" s="21">
        <f t="shared" si="30"/>
        <v>0</v>
      </c>
      <c r="J29" s="23">
        <f>SUMIFS('Registre de reserves'!$R$2:$R$1178,'Registre de reserves'!$T$2:$T$1178,"SI",'Registre de reserves'!$I$2:$I$1178,'2022'!$A29,'Registre de reserves'!$B$2:$B$1178,'2022'!J$2,Tabla1[ANY],'2022'!$Z$2)</f>
        <v>50</v>
      </c>
      <c r="K29" s="21">
        <f t="shared" si="31"/>
        <v>0.26315789473684209</v>
      </c>
      <c r="L29" s="23">
        <f>SUMIFS('Registre de reserves'!$R$2:$R$1178,'Registre de reserves'!$T$2:$T$1178,"SI",'Registre de reserves'!$I$2:$I$1178,'2022'!$A29,'Registre de reserves'!$B$2:$B$1178,'2022'!L$2,Tabla1[ANY],'2022'!$Z$2)</f>
        <v>0</v>
      </c>
      <c r="M29" s="21">
        <f t="shared" si="32"/>
        <v>0</v>
      </c>
      <c r="N29" s="23">
        <f>SUMIFS('Registre de reserves'!$R$2:$R$1178,'Registre de reserves'!$T$2:$T$1178,"SI",'Registre de reserves'!$I$2:$I$1178,'2022'!$A29,'Registre de reserves'!$B$2:$B$1178,'2022'!N$2,Tabla1[ANY],'2022'!$Z$2)</f>
        <v>0</v>
      </c>
      <c r="O29" s="21">
        <f t="shared" si="33"/>
        <v>0</v>
      </c>
      <c r="P29" s="23">
        <f>SUMIFS('Registre de reserves'!$R$2:$R$1178,'Registre de reserves'!$T$2:$T$1178,"SI",'Registre de reserves'!$I$2:$I$1178,'2022'!$A29,'Registre de reserves'!$B$2:$B$1178,'2022'!P$2,Tabla1[ANY],'2022'!$Z$2)</f>
        <v>0</v>
      </c>
      <c r="Q29" s="21">
        <f t="shared" si="34"/>
        <v>0</v>
      </c>
      <c r="R29" s="23">
        <f>SUMIFS('Registre de reserves'!$R$2:$R$1178,'Registre de reserves'!$T$2:$T$1178,"SI",'Registre de reserves'!$I$2:$I$1178,'2022'!$A29,'Registre de reserves'!$B$2:$B$1178,'2022'!R$2,Tabla1[ANY],'2022'!$Z$2)</f>
        <v>150</v>
      </c>
      <c r="S29" s="21">
        <f t="shared" si="35"/>
        <v>0.4838709677419355</v>
      </c>
      <c r="T29" s="23">
        <f>SUMIFS('Registre de reserves'!$R$2:$R$1178,'Registre de reserves'!$T$2:$T$1178,"SI",'Registre de reserves'!$I$2:$I$1178,'2022'!$A29,'Registre de reserves'!$B$2:$B$1178,'2022'!T$2,Tabla1[ANY],'2022'!$Z$2)</f>
        <v>0</v>
      </c>
      <c r="U29" s="21">
        <f t="shared" si="36"/>
        <v>0</v>
      </c>
      <c r="V29" s="23">
        <f>SUMIFS('Registre de reserves'!$R$2:$R$1178,'Registre de reserves'!$T$2:$T$1178,"SI",'Registre de reserves'!$I$2:$I$1178,'2022'!$A29,'Registre de reserves'!$B$2:$B$1178,'2022'!V$2,Tabla1[ANY],'2022'!$Z$2)</f>
        <v>0</v>
      </c>
      <c r="W29" s="21">
        <f t="shared" si="37"/>
        <v>0</v>
      </c>
      <c r="X29" s="23">
        <f>SUMIFS('Registre de reserves'!$R$2:$R$1178,'Registre de reserves'!$T$2:$T$1178,"SI",'Registre de reserves'!$I$2:$I$1178,'2022'!$A29,'Registre de reserves'!$B$2:$B$1178,'2022'!X$2,Tabla1[ANY],'2022'!$Z$2)</f>
        <v>0</v>
      </c>
      <c r="Y29" s="21">
        <f t="shared" si="38"/>
        <v>0</v>
      </c>
      <c r="Z29" s="20">
        <f t="shared" si="40"/>
        <v>200</v>
      </c>
      <c r="AA29" s="21">
        <f t="shared" si="41"/>
        <v>9.3457943925233641E-2</v>
      </c>
    </row>
    <row r="30" spans="1:30" hidden="1" outlineLevel="1" x14ac:dyDescent="0.2">
      <c r="A30" s="8" t="s">
        <v>73</v>
      </c>
      <c r="B30" s="23">
        <f>SUMIFS('Registre de reserves'!$R$2:$R$1178,'Registre de reserves'!$T$2:$T$1178,"SI",'Registre de reserves'!$I$2:$I$1178,'2022'!$A30,'Registre de reserves'!$B$2:$B$1178,'2022'!B$2,Tabla1[ANY],'2022'!$Z$2)</f>
        <v>0</v>
      </c>
      <c r="C30" s="21">
        <f t="shared" si="39"/>
        <v>0</v>
      </c>
      <c r="D30" s="23">
        <f>SUMIFS('Registre de reserves'!$R$2:$R$1178,'Registre de reserves'!$T$2:$T$1178,"SI",'Registre de reserves'!$I$2:$I$1178,'2022'!$A30,'Registre de reserves'!$B$2:$B$1178,'2022'!D$2,Tabla1[ANY],'2022'!$Z$2)</f>
        <v>0</v>
      </c>
      <c r="E30" s="21">
        <f t="shared" si="39"/>
        <v>0</v>
      </c>
      <c r="F30" s="23">
        <f>SUMIFS('Registre de reserves'!$R$2:$R$1178,'Registre de reserves'!$T$2:$T$1178,"SI",'Registre de reserves'!$I$2:$I$1178,'2022'!$A30,'Registre de reserves'!$B$2:$B$1178,'2022'!F$2,Tabla1[ANY],'2022'!$Z$2)</f>
        <v>0</v>
      </c>
      <c r="G30" s="21">
        <f t="shared" si="29"/>
        <v>0</v>
      </c>
      <c r="H30" s="23">
        <f>SUMIFS('Registre de reserves'!$R$2:$R$1178,'Registre de reserves'!$T$2:$T$1178,"SI",'Registre de reserves'!$I$2:$I$1178,'2022'!$A30,'Registre de reserves'!$B$2:$B$1178,'2022'!H$2,Tabla1[ANY],'2022'!$Z$2)</f>
        <v>0</v>
      </c>
      <c r="I30" s="21">
        <f t="shared" si="30"/>
        <v>0</v>
      </c>
      <c r="J30" s="23">
        <f>SUMIFS('Registre de reserves'!$R$2:$R$1178,'Registre de reserves'!$T$2:$T$1178,"SI",'Registre de reserves'!$I$2:$I$1178,'2022'!$A30,'Registre de reserves'!$B$2:$B$1178,'2022'!J$2,Tabla1[ANY],'2022'!$Z$2)</f>
        <v>0</v>
      </c>
      <c r="K30" s="21">
        <f t="shared" si="31"/>
        <v>0</v>
      </c>
      <c r="L30" s="23">
        <f>SUMIFS('Registre de reserves'!$R$2:$R$1178,'Registre de reserves'!$T$2:$T$1178,"SI",'Registre de reserves'!$I$2:$I$1178,'2022'!$A30,'Registre de reserves'!$B$2:$B$1178,'2022'!L$2,Tabla1[ANY],'2022'!$Z$2)</f>
        <v>0</v>
      </c>
      <c r="M30" s="21">
        <f t="shared" si="32"/>
        <v>0</v>
      </c>
      <c r="N30" s="23">
        <f>SUMIFS('Registre de reserves'!$R$2:$R$1178,'Registre de reserves'!$T$2:$T$1178,"SI",'Registre de reserves'!$I$2:$I$1178,'2022'!$A30,'Registre de reserves'!$B$2:$B$1178,'2022'!N$2,Tabla1[ANY],'2022'!$Z$2)</f>
        <v>0</v>
      </c>
      <c r="O30" s="21">
        <f t="shared" si="33"/>
        <v>0</v>
      </c>
      <c r="P30" s="23">
        <f>SUMIFS('Registre de reserves'!$R$2:$R$1178,'Registre de reserves'!$T$2:$T$1178,"SI",'Registre de reserves'!$I$2:$I$1178,'2022'!$A30,'Registre de reserves'!$B$2:$B$1178,'2022'!P$2,Tabla1[ANY],'2022'!$Z$2)</f>
        <v>0</v>
      </c>
      <c r="Q30" s="21">
        <f t="shared" si="34"/>
        <v>0</v>
      </c>
      <c r="R30" s="23">
        <f>SUMIFS('Registre de reserves'!$R$2:$R$1178,'Registre de reserves'!$T$2:$T$1178,"SI",'Registre de reserves'!$I$2:$I$1178,'2022'!$A30,'Registre de reserves'!$B$2:$B$1178,'2022'!R$2,Tabla1[ANY],'2022'!$Z$2)</f>
        <v>0</v>
      </c>
      <c r="S30" s="21">
        <f t="shared" si="35"/>
        <v>0</v>
      </c>
      <c r="T30" s="23">
        <f>SUMIFS('Registre de reserves'!$R$2:$R$1178,'Registre de reserves'!$T$2:$T$1178,"SI",'Registre de reserves'!$I$2:$I$1178,'2022'!$A30,'Registre de reserves'!$B$2:$B$1178,'2022'!T$2,Tabla1[ANY],'2022'!$Z$2)</f>
        <v>0</v>
      </c>
      <c r="U30" s="21">
        <f t="shared" si="36"/>
        <v>0</v>
      </c>
      <c r="V30" s="23">
        <f>SUMIFS('Registre de reserves'!$R$2:$R$1178,'Registre de reserves'!$T$2:$T$1178,"SI",'Registre de reserves'!$I$2:$I$1178,'2022'!$A30,'Registre de reserves'!$B$2:$B$1178,'2022'!V$2,Tabla1[ANY],'2022'!$Z$2)</f>
        <v>0</v>
      </c>
      <c r="W30" s="21">
        <f t="shared" si="37"/>
        <v>0</v>
      </c>
      <c r="X30" s="23">
        <f>SUMIFS('Registre de reserves'!$R$2:$R$1178,'Registre de reserves'!$T$2:$T$1178,"SI",'Registre de reserves'!$I$2:$I$1178,'2022'!$A30,'Registre de reserves'!$B$2:$B$1178,'2022'!X$2,Tabla1[ANY],'2022'!$Z$2)</f>
        <v>0</v>
      </c>
      <c r="Y30" s="21">
        <f t="shared" si="38"/>
        <v>0</v>
      </c>
      <c r="Z30" s="20">
        <f t="shared" si="40"/>
        <v>0</v>
      </c>
      <c r="AA30" s="21">
        <f t="shared" si="41"/>
        <v>0</v>
      </c>
    </row>
    <row r="31" spans="1:30" collapsed="1" x14ac:dyDescent="0.2">
      <c r="A31" s="33" t="s">
        <v>77</v>
      </c>
      <c r="B31" s="22">
        <f>SUM(B32:B39)</f>
        <v>0</v>
      </c>
      <c r="C31" s="19">
        <f>IF((B$31+B$13)=0,0,B31/(B$31+B$13))</f>
        <v>0</v>
      </c>
      <c r="D31" s="22">
        <f>SUM(D32:D39)</f>
        <v>0</v>
      </c>
      <c r="E31" s="19">
        <f>IF((D$31+D$13)=0,0,D31/(D$31+D$13))</f>
        <v>0</v>
      </c>
      <c r="F31" s="22">
        <f>SUM(F32:F39)</f>
        <v>0</v>
      </c>
      <c r="G31" s="19">
        <f>IF((F$31+F$13)=0,0,F31/(F$31+F$13))</f>
        <v>0</v>
      </c>
      <c r="H31" s="22">
        <f>SUM(H32:H39)</f>
        <v>0</v>
      </c>
      <c r="I31" s="19">
        <f>IF((H$31+H$13)=0,0,H31/(H$31+H$13))</f>
        <v>0</v>
      </c>
      <c r="J31" s="22">
        <f>SUM(J32:J39)</f>
        <v>0</v>
      </c>
      <c r="K31" s="19">
        <f>IF((J$31+J$13)=0,0,J31/(J$31+J$13))</f>
        <v>0</v>
      </c>
      <c r="L31" s="22">
        <f>SUM(L32:L39)</f>
        <v>0</v>
      </c>
      <c r="M31" s="19">
        <f>IF((L$31+L$13)=0,0,L31/(L$31+L$13))</f>
        <v>0</v>
      </c>
      <c r="N31" s="22">
        <f>SUM(N32:N39)</f>
        <v>0</v>
      </c>
      <c r="O31" s="19">
        <f>IF((N$31+N$13)=0,0,N31/(N$31+N$13))</f>
        <v>0</v>
      </c>
      <c r="P31" s="22">
        <f>SUM(P32:P39)</f>
        <v>0</v>
      </c>
      <c r="Q31" s="19">
        <f>IF((P$31+P$13)=0,0,P31/(P$31+P$13))</f>
        <v>0</v>
      </c>
      <c r="R31" s="22">
        <f>SUM(R32:R39)</f>
        <v>0</v>
      </c>
      <c r="S31" s="19">
        <f>IF((R$31+R$13)=0,0,R31/(R$31+R$13))</f>
        <v>0</v>
      </c>
      <c r="T31" s="22">
        <f>SUM(T32:T39)</f>
        <v>0</v>
      </c>
      <c r="U31" s="19">
        <f>IF((T$31+T$13)=0,0,T31/(T$31+T$13))</f>
        <v>0</v>
      </c>
      <c r="V31" s="22">
        <f>SUM(V32:V39)</f>
        <v>0</v>
      </c>
      <c r="W31" s="19">
        <f>IF((V$31+V$13)=0,0,V31/(V$31+V$13))</f>
        <v>0</v>
      </c>
      <c r="X31" s="22">
        <f>SUM(X32:X39)</f>
        <v>0</v>
      </c>
      <c r="Y31" s="19">
        <f>IF((X$31+X$13)=0,0,X31/(X$31+X$13))</f>
        <v>0</v>
      </c>
      <c r="Z31" s="22">
        <f>SUM(Z32:Z39)</f>
        <v>0</v>
      </c>
      <c r="AA31" s="19">
        <f>IF((Z$31+Z$13)=0,0,Z31/(Z$31+Z$13))</f>
        <v>0</v>
      </c>
      <c r="AD31">
        <v>4000</v>
      </c>
    </row>
    <row r="32" spans="1:30" hidden="1" outlineLevel="1" x14ac:dyDescent="0.2">
      <c r="A32" s="8" t="s">
        <v>67</v>
      </c>
      <c r="B32" s="23">
        <f>SUMIFS('Registre de reserves'!$R$2:$R$1178,'Registre de reserves'!$T$2:$T$1178,"NO",'Registre de reserves'!$I$2:$I$1178,'2022'!$A32,'Registre de reserves'!$B$2:$B$1178,'2022'!B$2,Tabla1[ANY],'2022'!$Z$2)</f>
        <v>0</v>
      </c>
      <c r="C32" s="21">
        <f>IF(B$31=0,0,B32/B$31)</f>
        <v>0</v>
      </c>
      <c r="D32" s="23">
        <f>SUMIFS('Registre de reserves'!$R$2:$R$1178,'Registre de reserves'!$T$2:$T$1178,"NO",'Registre de reserves'!$I$2:$I$1178,'2022'!$A32,'Registre de reserves'!$B$2:$B$1178,'2022'!D$2,Tabla1[ANY],'2022'!$Z$2)</f>
        <v>0</v>
      </c>
      <c r="E32" s="21">
        <f>IF(D$31=0,0,D32/D$31)</f>
        <v>0</v>
      </c>
      <c r="F32" s="23">
        <f>SUMIFS('Registre de reserves'!$R$2:$R$1178,'Registre de reserves'!$T$2:$T$1178,"NO",'Registre de reserves'!$I$2:$I$1178,'2022'!$A32,'Registre de reserves'!$B$2:$B$1178,'2022'!F$2,Tabla1[ANY],'2022'!$Z$2)</f>
        <v>0</v>
      </c>
      <c r="G32" s="21">
        <f t="shared" ref="G32:G39" si="42">IF(F$31=0,0,F32/F$31)</f>
        <v>0</v>
      </c>
      <c r="H32" s="23">
        <f>SUMIFS('Registre de reserves'!$R$2:$R$1178,'Registre de reserves'!$T$2:$T$1178,"NO",'Registre de reserves'!$I$2:$I$1178,'2022'!$A32,'Registre de reserves'!$B$2:$B$1178,'2022'!H$2,Tabla1[ANY],'2022'!$Z$2)</f>
        <v>0</v>
      </c>
      <c r="I32" s="21">
        <f t="shared" ref="I32:I39" si="43">IF(H$31=0,0,H32/H$31)</f>
        <v>0</v>
      </c>
      <c r="J32" s="23">
        <f>SUMIFS('Registre de reserves'!$R$2:$R$1178,'Registre de reserves'!$T$2:$T$1178,"NO",'Registre de reserves'!$I$2:$I$1178,'2022'!$A32,'Registre de reserves'!$B$2:$B$1178,'2022'!J$2,Tabla1[ANY],'2022'!$Z$2)</f>
        <v>0</v>
      </c>
      <c r="K32" s="21">
        <f t="shared" ref="K32:K39" si="44">IF(J$31=0,0,J32/J$31)</f>
        <v>0</v>
      </c>
      <c r="L32" s="23">
        <f>SUMIFS('Registre de reserves'!$R$2:$R$1178,'Registre de reserves'!$T$2:$T$1178,"NO",'Registre de reserves'!$I$2:$I$1178,'2022'!$A32,'Registre de reserves'!$B$2:$B$1178,'2022'!L$2,Tabla1[ANY],'2022'!$Z$2)</f>
        <v>0</v>
      </c>
      <c r="M32" s="21">
        <f t="shared" ref="M32:M39" si="45">IF(L$31=0,0,L32/L$31)</f>
        <v>0</v>
      </c>
      <c r="N32" s="23">
        <f>SUMIFS('Registre de reserves'!$R$2:$R$1178,'Registre de reserves'!$T$2:$T$1178,"NO",'Registre de reserves'!$I$2:$I$1178,'2022'!$A32,'Registre de reserves'!$B$2:$B$1178,'2022'!N$2,Tabla1[ANY],'2022'!$Z$2)</f>
        <v>0</v>
      </c>
      <c r="O32" s="21">
        <f t="shared" ref="O32:O39" si="46">IF(N$31=0,0,N32/N$31)</f>
        <v>0</v>
      </c>
      <c r="P32" s="23">
        <f>SUMIFS('Registre de reserves'!$R$2:$R$1178,'Registre de reserves'!$T$2:$T$1178,"NO",'Registre de reserves'!$I$2:$I$1178,'2022'!$A32,'Registre de reserves'!$B$2:$B$1178,'2022'!P$2,Tabla1[ANY],'2022'!$Z$2)</f>
        <v>0</v>
      </c>
      <c r="Q32" s="21">
        <f t="shared" ref="Q32:Q39" si="47">IF(P$31=0,0,P32/P$31)</f>
        <v>0</v>
      </c>
      <c r="R32" s="23">
        <f>SUMIFS('Registre de reserves'!$R$2:$R$1178,'Registre de reserves'!$T$2:$T$1178,"NO",'Registre de reserves'!$I$2:$I$1178,'2022'!$A32,'Registre de reserves'!$B$2:$B$1178,'2022'!R$2,Tabla1[ANY],'2022'!$Z$2)</f>
        <v>0</v>
      </c>
      <c r="S32" s="21">
        <f t="shared" ref="S32:S39" si="48">IF(R$31=0,0,R32/R$31)</f>
        <v>0</v>
      </c>
      <c r="T32" s="23">
        <f>SUMIFS('Registre de reserves'!$R$2:$R$1178,'Registre de reserves'!$T$2:$T$1178,"NO",'Registre de reserves'!$I$2:$I$1178,'2022'!$A32,'Registre de reserves'!$B$2:$B$1178,'2022'!T$2,Tabla1[ANY],'2022'!$Z$2)</f>
        <v>0</v>
      </c>
      <c r="U32" s="21">
        <f t="shared" ref="U32:U39" si="49">IF(T$31=0,0,T32/T$31)</f>
        <v>0</v>
      </c>
      <c r="V32" s="23">
        <f>SUMIFS('Registre de reserves'!$R$2:$R$1178,'Registre de reserves'!$T$2:$T$1178,"NO",'Registre de reserves'!$I$2:$I$1178,'2022'!$A32,'Registre de reserves'!$B$2:$B$1178,'2022'!V$2,Tabla1[ANY],'2022'!$Z$2)</f>
        <v>0</v>
      </c>
      <c r="W32" s="21">
        <f t="shared" ref="W32:W39" si="50">IF(V$31=0,0,V32/V$31)</f>
        <v>0</v>
      </c>
      <c r="X32" s="23">
        <f>SUMIFS('Registre de reserves'!$R$2:$R$1178,'Registre de reserves'!$T$2:$T$1178,"NO",'Registre de reserves'!$I$2:$I$1178,'2022'!$A32,'Registre de reserves'!$B$2:$B$1178,'2022'!X$2,Tabla1[ANY],'2022'!$Z$2)</f>
        <v>0</v>
      </c>
      <c r="Y32" s="21">
        <f t="shared" ref="Y32:Y39" si="51">IF(X$31=0,0,X32/X$31)</f>
        <v>0</v>
      </c>
      <c r="Z32" s="20">
        <f>B32+D32+F32+H32+J32+L32+N32+P32+R32+T32+V32+X32</f>
        <v>0</v>
      </c>
      <c r="AA32" s="21">
        <f>IF(Z$31=0,0,Z32/Z$31)</f>
        <v>0</v>
      </c>
    </row>
    <row r="33" spans="1:31" hidden="1" outlineLevel="1" x14ac:dyDescent="0.2">
      <c r="A33" s="8" t="s">
        <v>68</v>
      </c>
      <c r="B33" s="23">
        <f>SUMIFS('Registre de reserves'!$R$2:$R$1178,'Registre de reserves'!$T$2:$T$1178,"NO",'Registre de reserves'!$I$2:$I$1178,'2022'!$A33,'Registre de reserves'!$B$2:$B$1178,'2022'!B$2,Tabla1[ANY],'2022'!$Z$2)</f>
        <v>0</v>
      </c>
      <c r="C33" s="21">
        <f>IF(B$31=0,0,B33/B$31)</f>
        <v>0</v>
      </c>
      <c r="D33" s="23">
        <f>SUMIFS('Registre de reserves'!$R$2:$R$1178,'Registre de reserves'!$T$2:$T$1178,"NO",'Registre de reserves'!$I$2:$I$1178,'2022'!$A33,'Registre de reserves'!$B$2:$B$1178,'2022'!D$2,Tabla1[ANY],'2022'!$Z$2)</f>
        <v>0</v>
      </c>
      <c r="E33" s="21">
        <f t="shared" ref="C33:E39" si="52">IF(D$31=0,0,D33/D$31)</f>
        <v>0</v>
      </c>
      <c r="F33" s="23">
        <f>SUMIFS('Registre de reserves'!$R$2:$R$1178,'Registre de reserves'!$T$2:$T$1178,"NO",'Registre de reserves'!$I$2:$I$1178,'2022'!$A33,'Registre de reserves'!$B$2:$B$1178,'2022'!F$2,Tabla1[ANY],'2022'!$Z$2)</f>
        <v>0</v>
      </c>
      <c r="G33" s="21">
        <f t="shared" si="42"/>
        <v>0</v>
      </c>
      <c r="H33" s="23">
        <f>SUMIFS('Registre de reserves'!$R$2:$R$1178,'Registre de reserves'!$T$2:$T$1178,"NO",'Registre de reserves'!$I$2:$I$1178,'2022'!$A33,'Registre de reserves'!$B$2:$B$1178,'2022'!H$2,Tabla1[ANY],'2022'!$Z$2)</f>
        <v>0</v>
      </c>
      <c r="I33" s="21">
        <f t="shared" si="43"/>
        <v>0</v>
      </c>
      <c r="J33" s="23">
        <f>SUMIFS('Registre de reserves'!$R$2:$R$1178,'Registre de reserves'!$T$2:$T$1178,"NO",'Registre de reserves'!$I$2:$I$1178,'2022'!$A33,'Registre de reserves'!$B$2:$B$1178,'2022'!J$2,Tabla1[ANY],'2022'!$Z$2)</f>
        <v>0</v>
      </c>
      <c r="K33" s="21">
        <f t="shared" si="44"/>
        <v>0</v>
      </c>
      <c r="L33" s="23">
        <f>SUMIFS('Registre de reserves'!$R$2:$R$1178,'Registre de reserves'!$T$2:$T$1178,"NO",'Registre de reserves'!$I$2:$I$1178,'2022'!$A33,'Registre de reserves'!$B$2:$B$1178,'2022'!L$2,Tabla1[ANY],'2022'!$Z$2)</f>
        <v>0</v>
      </c>
      <c r="M33" s="21">
        <f t="shared" si="45"/>
        <v>0</v>
      </c>
      <c r="N33" s="23">
        <f>SUMIFS('Registre de reserves'!$R$2:$R$1178,'Registre de reserves'!$T$2:$T$1178,"NO",'Registre de reserves'!$I$2:$I$1178,'2022'!$A33,'Registre de reserves'!$B$2:$B$1178,'2022'!N$2,Tabla1[ANY],'2022'!$Z$2)</f>
        <v>0</v>
      </c>
      <c r="O33" s="21">
        <f t="shared" si="46"/>
        <v>0</v>
      </c>
      <c r="P33" s="23">
        <f>SUMIFS('Registre de reserves'!$R$2:$R$1178,'Registre de reserves'!$T$2:$T$1178,"NO",'Registre de reserves'!$I$2:$I$1178,'2022'!$A33,'Registre de reserves'!$B$2:$B$1178,'2022'!P$2,Tabla1[ANY],'2022'!$Z$2)</f>
        <v>0</v>
      </c>
      <c r="Q33" s="21">
        <f t="shared" si="47"/>
        <v>0</v>
      </c>
      <c r="R33" s="23">
        <f>SUMIFS('Registre de reserves'!$R$2:$R$1178,'Registre de reserves'!$T$2:$T$1178,"NO",'Registre de reserves'!$I$2:$I$1178,'2022'!$A33,'Registre de reserves'!$B$2:$B$1178,'2022'!R$2,Tabla1[ANY],'2022'!$Z$2)</f>
        <v>0</v>
      </c>
      <c r="S33" s="21">
        <f t="shared" si="48"/>
        <v>0</v>
      </c>
      <c r="T33" s="23">
        <f>SUMIFS('Registre de reserves'!$R$2:$R$1178,'Registre de reserves'!$T$2:$T$1178,"NO",'Registre de reserves'!$I$2:$I$1178,'2022'!$A33,'Registre de reserves'!$B$2:$B$1178,'2022'!T$2,Tabla1[ANY],'2022'!$Z$2)</f>
        <v>0</v>
      </c>
      <c r="U33" s="21">
        <f t="shared" si="49"/>
        <v>0</v>
      </c>
      <c r="V33" s="23">
        <f>SUMIFS('Registre de reserves'!$R$2:$R$1178,'Registre de reserves'!$T$2:$T$1178,"NO",'Registre de reserves'!$I$2:$I$1178,'2022'!$A33,'Registre de reserves'!$B$2:$B$1178,'2022'!V$2,Tabla1[ANY],'2022'!$Z$2)</f>
        <v>0</v>
      </c>
      <c r="W33" s="21">
        <f t="shared" si="50"/>
        <v>0</v>
      </c>
      <c r="X33" s="23">
        <f>SUMIFS('Registre de reserves'!$R$2:$R$1178,'Registre de reserves'!$T$2:$T$1178,"NO",'Registre de reserves'!$I$2:$I$1178,'2022'!$A33,'Registre de reserves'!$B$2:$B$1178,'2022'!X$2,Tabla1[ANY],'2022'!$Z$2)</f>
        <v>0</v>
      </c>
      <c r="Y33" s="21">
        <f t="shared" si="51"/>
        <v>0</v>
      </c>
      <c r="Z33" s="20">
        <f t="shared" ref="Z33:Z39" si="53">B33+D33+F33+H33+J33+L33+N33+P33+R33+T33+V33+X33</f>
        <v>0</v>
      </c>
      <c r="AA33" s="21">
        <f t="shared" ref="AA33:AA39" si="54">IF(Z$31=0,0,Z33/Z$31)</f>
        <v>0</v>
      </c>
    </row>
    <row r="34" spans="1:31" hidden="1" outlineLevel="1" x14ac:dyDescent="0.2">
      <c r="A34" s="8" t="s">
        <v>4</v>
      </c>
      <c r="B34" s="23">
        <f>SUMIFS('Registre de reserves'!$R$2:$R$1178,'Registre de reserves'!$T$2:$T$1178,"NO",'Registre de reserves'!$I$2:$I$1178,'2022'!$A34,'Registre de reserves'!$B$2:$B$1178,'2022'!B$2,Tabla1[ANY],'2022'!$Z$2)</f>
        <v>0</v>
      </c>
      <c r="C34" s="21">
        <f>IF(B$31=0,0,B34/B$31)</f>
        <v>0</v>
      </c>
      <c r="D34" s="23">
        <f>SUMIFS('Registre de reserves'!$R$2:$R$1178,'Registre de reserves'!$T$2:$T$1178,"NO",'Registre de reserves'!$I$2:$I$1178,'2022'!$A34,'Registre de reserves'!$B$2:$B$1178,'2022'!D$2,Tabla1[ANY],'2022'!$Z$2)</f>
        <v>0</v>
      </c>
      <c r="E34" s="21">
        <f t="shared" si="52"/>
        <v>0</v>
      </c>
      <c r="F34" s="23">
        <f>SUMIFS('Registre de reserves'!$R$2:$R$1178,'Registre de reserves'!$T$2:$T$1178,"NO",'Registre de reserves'!$I$2:$I$1178,'2022'!$A34,'Registre de reserves'!$B$2:$B$1178,'2022'!F$2,Tabla1[ANY],'2022'!$Z$2)</f>
        <v>0</v>
      </c>
      <c r="G34" s="21">
        <f t="shared" si="42"/>
        <v>0</v>
      </c>
      <c r="H34" s="23">
        <f>SUMIFS('Registre de reserves'!$R$2:$R$1178,'Registre de reserves'!$T$2:$T$1178,"NO",'Registre de reserves'!$I$2:$I$1178,'2022'!$A34,'Registre de reserves'!$B$2:$B$1178,'2022'!H$2,Tabla1[ANY],'2022'!$Z$2)</f>
        <v>0</v>
      </c>
      <c r="I34" s="21">
        <f t="shared" si="43"/>
        <v>0</v>
      </c>
      <c r="J34" s="23">
        <f>SUMIFS('Registre de reserves'!$R$2:$R$1178,'Registre de reserves'!$T$2:$T$1178,"NO",'Registre de reserves'!$I$2:$I$1178,'2022'!$A34,'Registre de reserves'!$B$2:$B$1178,'2022'!J$2,Tabla1[ANY],'2022'!$Z$2)</f>
        <v>0</v>
      </c>
      <c r="K34" s="21">
        <f t="shared" si="44"/>
        <v>0</v>
      </c>
      <c r="L34" s="23">
        <f>SUMIFS('Registre de reserves'!$R$2:$R$1178,'Registre de reserves'!$T$2:$T$1178,"NO",'Registre de reserves'!$I$2:$I$1178,'2022'!$A34,'Registre de reserves'!$B$2:$B$1178,'2022'!L$2,Tabla1[ANY],'2022'!$Z$2)</f>
        <v>0</v>
      </c>
      <c r="M34" s="21">
        <f t="shared" si="45"/>
        <v>0</v>
      </c>
      <c r="N34" s="23">
        <f>SUMIFS('Registre de reserves'!$R$2:$R$1178,'Registre de reserves'!$T$2:$T$1178,"NO",'Registre de reserves'!$I$2:$I$1178,'2022'!$A34,'Registre de reserves'!$B$2:$B$1178,'2022'!N$2,Tabla1[ANY],'2022'!$Z$2)</f>
        <v>0</v>
      </c>
      <c r="O34" s="21">
        <f t="shared" si="46"/>
        <v>0</v>
      </c>
      <c r="P34" s="23">
        <f>SUMIFS('Registre de reserves'!$R$2:$R$1178,'Registre de reserves'!$T$2:$T$1178,"NO",'Registre de reserves'!$I$2:$I$1178,'2022'!$A34,'Registre de reserves'!$B$2:$B$1178,'2022'!P$2,Tabla1[ANY],'2022'!$Z$2)</f>
        <v>0</v>
      </c>
      <c r="Q34" s="21">
        <f t="shared" si="47"/>
        <v>0</v>
      </c>
      <c r="R34" s="23">
        <f>SUMIFS('Registre de reserves'!$R$2:$R$1178,'Registre de reserves'!$T$2:$T$1178,"NO",'Registre de reserves'!$I$2:$I$1178,'2022'!$A34,'Registre de reserves'!$B$2:$B$1178,'2022'!R$2,Tabla1[ANY],'2022'!$Z$2)</f>
        <v>0</v>
      </c>
      <c r="S34" s="21">
        <f t="shared" si="48"/>
        <v>0</v>
      </c>
      <c r="T34" s="23">
        <f>SUMIFS('Registre de reserves'!$R$2:$R$1178,'Registre de reserves'!$T$2:$T$1178,"NO",'Registre de reserves'!$I$2:$I$1178,'2022'!$A34,'Registre de reserves'!$B$2:$B$1178,'2022'!T$2,Tabla1[ANY],'2022'!$Z$2)</f>
        <v>0</v>
      </c>
      <c r="U34" s="21">
        <f t="shared" si="49"/>
        <v>0</v>
      </c>
      <c r="V34" s="23">
        <f>SUMIFS('Registre de reserves'!$R$2:$R$1178,'Registre de reserves'!$T$2:$T$1178,"NO",'Registre de reserves'!$I$2:$I$1178,'2022'!$A34,'Registre de reserves'!$B$2:$B$1178,'2022'!V$2,Tabla1[ANY],'2022'!$Z$2)</f>
        <v>0</v>
      </c>
      <c r="W34" s="21">
        <f t="shared" si="50"/>
        <v>0</v>
      </c>
      <c r="X34" s="23">
        <f>SUMIFS('Registre de reserves'!$R$2:$R$1178,'Registre de reserves'!$T$2:$T$1178,"NO",'Registre de reserves'!$I$2:$I$1178,'2022'!$A34,'Registre de reserves'!$B$2:$B$1178,'2022'!X$2,Tabla1[ANY],'2022'!$Z$2)</f>
        <v>0</v>
      </c>
      <c r="Y34" s="21">
        <f t="shared" si="51"/>
        <v>0</v>
      </c>
      <c r="Z34" s="20">
        <f t="shared" si="53"/>
        <v>0</v>
      </c>
      <c r="AA34" s="21">
        <f t="shared" si="54"/>
        <v>0</v>
      </c>
    </row>
    <row r="35" spans="1:31" hidden="1" outlineLevel="1" x14ac:dyDescent="0.2">
      <c r="A35" s="8" t="s">
        <v>71</v>
      </c>
      <c r="B35" s="23">
        <f>SUMIFS('Registre de reserves'!$R$2:$R$1178,'Registre de reserves'!$T$2:$T$1178,"NO",'Registre de reserves'!$I$2:$I$1178,'2022'!$A35,'Registre de reserves'!$B$2:$B$1178,'2022'!B$2,Tabla1[ANY],'2022'!$Z$2)</f>
        <v>0</v>
      </c>
      <c r="C35" s="21">
        <f t="shared" si="52"/>
        <v>0</v>
      </c>
      <c r="D35" s="23">
        <f>SUMIFS('Registre de reserves'!$R$2:$R$1178,'Registre de reserves'!$T$2:$T$1178,"NO",'Registre de reserves'!$I$2:$I$1178,'2022'!$A35,'Registre de reserves'!$B$2:$B$1178,'2022'!D$2,Tabla1[ANY],'2022'!$Z$2)</f>
        <v>0</v>
      </c>
      <c r="E35" s="21">
        <f t="shared" si="52"/>
        <v>0</v>
      </c>
      <c r="F35" s="23">
        <f>SUMIFS('Registre de reserves'!$R$2:$R$1178,'Registre de reserves'!$T$2:$T$1178,"NO",'Registre de reserves'!$I$2:$I$1178,'2022'!$A35,'Registre de reserves'!$B$2:$B$1178,'2022'!F$2,Tabla1[ANY],'2022'!$Z$2)</f>
        <v>0</v>
      </c>
      <c r="G35" s="21">
        <f t="shared" si="42"/>
        <v>0</v>
      </c>
      <c r="H35" s="23">
        <f>SUMIFS('Registre de reserves'!$R$2:$R$1178,'Registre de reserves'!$T$2:$T$1178,"NO",'Registre de reserves'!$I$2:$I$1178,'2022'!$A35,'Registre de reserves'!$B$2:$B$1178,'2022'!H$2,Tabla1[ANY],'2022'!$Z$2)</f>
        <v>0</v>
      </c>
      <c r="I35" s="21">
        <f t="shared" si="43"/>
        <v>0</v>
      </c>
      <c r="J35" s="23">
        <f>SUMIFS('Registre de reserves'!$R$2:$R$1178,'Registre de reserves'!$T$2:$T$1178,"NO",'Registre de reserves'!$I$2:$I$1178,'2022'!$A35,'Registre de reserves'!$B$2:$B$1178,'2022'!J$2,Tabla1[ANY],'2022'!$Z$2)</f>
        <v>0</v>
      </c>
      <c r="K35" s="21">
        <f t="shared" si="44"/>
        <v>0</v>
      </c>
      <c r="L35" s="23">
        <f>SUMIFS('Registre de reserves'!$R$2:$R$1178,'Registre de reserves'!$T$2:$T$1178,"NO",'Registre de reserves'!$I$2:$I$1178,'2022'!$A35,'Registre de reserves'!$B$2:$B$1178,'2022'!L$2,Tabla1[ANY],'2022'!$Z$2)</f>
        <v>0</v>
      </c>
      <c r="M35" s="21">
        <f t="shared" si="45"/>
        <v>0</v>
      </c>
      <c r="N35" s="23">
        <f>SUMIFS('Registre de reserves'!$R$2:$R$1178,'Registre de reserves'!$T$2:$T$1178,"NO",'Registre de reserves'!$I$2:$I$1178,'2022'!$A35,'Registre de reserves'!$B$2:$B$1178,'2022'!N$2,Tabla1[ANY],'2022'!$Z$2)</f>
        <v>0</v>
      </c>
      <c r="O35" s="21">
        <f t="shared" si="46"/>
        <v>0</v>
      </c>
      <c r="P35" s="23">
        <f>SUMIFS('Registre de reserves'!$R$2:$R$1178,'Registre de reserves'!$T$2:$T$1178,"NO",'Registre de reserves'!$I$2:$I$1178,'2022'!$A35,'Registre de reserves'!$B$2:$B$1178,'2022'!P$2,Tabla1[ANY],'2022'!$Z$2)</f>
        <v>0</v>
      </c>
      <c r="Q35" s="21">
        <f t="shared" si="47"/>
        <v>0</v>
      </c>
      <c r="R35" s="23">
        <f>SUMIFS('Registre de reserves'!$R$2:$R$1178,'Registre de reserves'!$T$2:$T$1178,"NO",'Registre de reserves'!$I$2:$I$1178,'2022'!$A35,'Registre de reserves'!$B$2:$B$1178,'2022'!R$2,Tabla1[ANY],'2022'!$Z$2)</f>
        <v>0</v>
      </c>
      <c r="S35" s="21">
        <f t="shared" si="48"/>
        <v>0</v>
      </c>
      <c r="T35" s="23">
        <f>SUMIFS('Registre de reserves'!$R$2:$R$1178,'Registre de reserves'!$T$2:$T$1178,"NO",'Registre de reserves'!$I$2:$I$1178,'2022'!$A35,'Registre de reserves'!$B$2:$B$1178,'2022'!T$2,Tabla1[ANY],'2022'!$Z$2)</f>
        <v>0</v>
      </c>
      <c r="U35" s="21">
        <f t="shared" si="49"/>
        <v>0</v>
      </c>
      <c r="V35" s="23">
        <f>SUMIFS('Registre de reserves'!$R$2:$R$1178,'Registre de reserves'!$T$2:$T$1178,"NO",'Registre de reserves'!$I$2:$I$1178,'2022'!$A35,'Registre de reserves'!$B$2:$B$1178,'2022'!V$2,Tabla1[ANY],'2022'!$Z$2)</f>
        <v>0</v>
      </c>
      <c r="W35" s="21">
        <f t="shared" si="50"/>
        <v>0</v>
      </c>
      <c r="X35" s="23">
        <f>SUMIFS('Registre de reserves'!$R$2:$R$1178,'Registre de reserves'!$T$2:$T$1178,"NO",'Registre de reserves'!$I$2:$I$1178,'2022'!$A35,'Registre de reserves'!$B$2:$B$1178,'2022'!X$2,Tabla1[ANY],'2022'!$Z$2)</f>
        <v>0</v>
      </c>
      <c r="Y35" s="21">
        <f t="shared" si="51"/>
        <v>0</v>
      </c>
      <c r="Z35" s="20">
        <f t="shared" si="53"/>
        <v>0</v>
      </c>
      <c r="AA35" s="21">
        <f t="shared" si="54"/>
        <v>0</v>
      </c>
    </row>
    <row r="36" spans="1:31" hidden="1" outlineLevel="1" x14ac:dyDescent="0.2">
      <c r="A36" s="8" t="s">
        <v>72</v>
      </c>
      <c r="B36" s="23">
        <f>SUMIFS('Registre de reserves'!$R$2:$R$1178,'Registre de reserves'!$T$2:$T$1178,"NO",'Registre de reserves'!$I$2:$I$1178,'2022'!$A36,'Registre de reserves'!$B$2:$B$1178,'2022'!B$2,Tabla1[ANY],'2022'!$Z$2)</f>
        <v>0</v>
      </c>
      <c r="C36" s="21">
        <f t="shared" si="52"/>
        <v>0</v>
      </c>
      <c r="D36" s="23">
        <f>SUMIFS('Registre de reserves'!$R$2:$R$1178,'Registre de reserves'!$T$2:$T$1178,"NO",'Registre de reserves'!$I$2:$I$1178,'2022'!$A36,'Registre de reserves'!$B$2:$B$1178,'2022'!D$2,Tabla1[ANY],'2022'!$Z$2)</f>
        <v>0</v>
      </c>
      <c r="E36" s="21">
        <f t="shared" si="52"/>
        <v>0</v>
      </c>
      <c r="F36" s="23">
        <f>SUMIFS('Registre de reserves'!$R$2:$R$1178,'Registre de reserves'!$T$2:$T$1178,"NO",'Registre de reserves'!$I$2:$I$1178,'2022'!$A36,'Registre de reserves'!$B$2:$B$1178,'2022'!F$2,Tabla1[ANY],'2022'!$Z$2)</f>
        <v>0</v>
      </c>
      <c r="G36" s="21">
        <f t="shared" si="42"/>
        <v>0</v>
      </c>
      <c r="H36" s="23">
        <f>SUMIFS('Registre de reserves'!$R$2:$R$1178,'Registre de reserves'!$T$2:$T$1178,"NO",'Registre de reserves'!$I$2:$I$1178,'2022'!$A36,'Registre de reserves'!$B$2:$B$1178,'2022'!H$2,Tabla1[ANY],'2022'!$Z$2)</f>
        <v>0</v>
      </c>
      <c r="I36" s="21">
        <f t="shared" si="43"/>
        <v>0</v>
      </c>
      <c r="J36" s="23">
        <f>SUMIFS('Registre de reserves'!$R$2:$R$1178,'Registre de reserves'!$T$2:$T$1178,"NO",'Registre de reserves'!$I$2:$I$1178,'2022'!$A36,'Registre de reserves'!$B$2:$B$1178,'2022'!J$2,Tabla1[ANY],'2022'!$Z$2)</f>
        <v>0</v>
      </c>
      <c r="K36" s="21">
        <f t="shared" si="44"/>
        <v>0</v>
      </c>
      <c r="L36" s="23">
        <f>SUMIFS('Registre de reserves'!$R$2:$R$1178,'Registre de reserves'!$T$2:$T$1178,"NO",'Registre de reserves'!$I$2:$I$1178,'2022'!$A36,'Registre de reserves'!$B$2:$B$1178,'2022'!L$2,Tabla1[ANY],'2022'!$Z$2)</f>
        <v>0</v>
      </c>
      <c r="M36" s="21">
        <f t="shared" si="45"/>
        <v>0</v>
      </c>
      <c r="N36" s="23">
        <f>SUMIFS('Registre de reserves'!$R$2:$R$1178,'Registre de reserves'!$T$2:$T$1178,"NO",'Registre de reserves'!$I$2:$I$1178,'2022'!$A36,'Registre de reserves'!$B$2:$B$1178,'2022'!N$2,Tabla1[ANY],'2022'!$Z$2)</f>
        <v>0</v>
      </c>
      <c r="O36" s="21">
        <f t="shared" si="46"/>
        <v>0</v>
      </c>
      <c r="P36" s="23">
        <f>SUMIFS('Registre de reserves'!$R$2:$R$1178,'Registre de reserves'!$T$2:$T$1178,"NO",'Registre de reserves'!$I$2:$I$1178,'2022'!$A36,'Registre de reserves'!$B$2:$B$1178,'2022'!P$2,Tabla1[ANY],'2022'!$Z$2)</f>
        <v>0</v>
      </c>
      <c r="Q36" s="21">
        <f t="shared" si="47"/>
        <v>0</v>
      </c>
      <c r="R36" s="23">
        <f>SUMIFS('Registre de reserves'!$R$2:$R$1178,'Registre de reserves'!$T$2:$T$1178,"NO",'Registre de reserves'!$I$2:$I$1178,'2022'!$A36,'Registre de reserves'!$B$2:$B$1178,'2022'!R$2,Tabla1[ANY],'2022'!$Z$2)</f>
        <v>0</v>
      </c>
      <c r="S36" s="21">
        <f t="shared" si="48"/>
        <v>0</v>
      </c>
      <c r="T36" s="23">
        <f>SUMIFS('Registre de reserves'!$R$2:$R$1178,'Registre de reserves'!$T$2:$T$1178,"NO",'Registre de reserves'!$I$2:$I$1178,'2022'!$A36,'Registre de reserves'!$B$2:$B$1178,'2022'!T$2,Tabla1[ANY],'2022'!$Z$2)</f>
        <v>0</v>
      </c>
      <c r="U36" s="21">
        <f t="shared" si="49"/>
        <v>0</v>
      </c>
      <c r="V36" s="23">
        <f>SUMIFS('Registre de reserves'!$R$2:$R$1178,'Registre de reserves'!$T$2:$T$1178,"NO",'Registre de reserves'!$I$2:$I$1178,'2022'!$A36,'Registre de reserves'!$B$2:$B$1178,'2022'!V$2,Tabla1[ANY],'2022'!$Z$2)</f>
        <v>0</v>
      </c>
      <c r="W36" s="21">
        <f t="shared" si="50"/>
        <v>0</v>
      </c>
      <c r="X36" s="23">
        <f>SUMIFS('Registre de reserves'!$R$2:$R$1178,'Registre de reserves'!$T$2:$T$1178,"NO",'Registre de reserves'!$I$2:$I$1178,'2022'!$A36,'Registre de reserves'!$B$2:$B$1178,'2022'!X$2,Tabla1[ANY],'2022'!$Z$2)</f>
        <v>0</v>
      </c>
      <c r="Y36" s="21">
        <f t="shared" si="51"/>
        <v>0</v>
      </c>
      <c r="Z36" s="20">
        <f t="shared" si="53"/>
        <v>0</v>
      </c>
      <c r="AA36" s="21">
        <f t="shared" si="54"/>
        <v>0</v>
      </c>
    </row>
    <row r="37" spans="1:31" hidden="1" outlineLevel="1" x14ac:dyDescent="0.2">
      <c r="A37" s="8" t="s">
        <v>69</v>
      </c>
      <c r="B37" s="23">
        <f>SUMIFS('Registre de reserves'!$R$2:$R$1178,'Registre de reserves'!$T$2:$T$1178,"NO",'Registre de reserves'!$I$2:$I$1178,'2022'!$A37,'Registre de reserves'!$B$2:$B$1178,'2022'!B$2,Tabla1[ANY],'2022'!$Z$2)</f>
        <v>0</v>
      </c>
      <c r="C37" s="21">
        <f t="shared" si="52"/>
        <v>0</v>
      </c>
      <c r="D37" s="23">
        <f>SUMIFS('Registre de reserves'!$R$2:$R$1178,'Registre de reserves'!$T$2:$T$1178,"NO",'Registre de reserves'!$I$2:$I$1178,'2022'!$A37,'Registre de reserves'!$B$2:$B$1178,'2022'!D$2,Tabla1[ANY],'2022'!$Z$2)</f>
        <v>0</v>
      </c>
      <c r="E37" s="21">
        <f t="shared" si="52"/>
        <v>0</v>
      </c>
      <c r="F37" s="23">
        <f>SUMIFS('Registre de reserves'!$R$2:$R$1178,'Registre de reserves'!$T$2:$T$1178,"NO",'Registre de reserves'!$I$2:$I$1178,'2022'!$A37,'Registre de reserves'!$B$2:$B$1178,'2022'!F$2,Tabla1[ANY],'2022'!$Z$2)</f>
        <v>0</v>
      </c>
      <c r="G37" s="21">
        <f t="shared" si="42"/>
        <v>0</v>
      </c>
      <c r="H37" s="23">
        <f>SUMIFS('Registre de reserves'!$R$2:$R$1178,'Registre de reserves'!$T$2:$T$1178,"NO",'Registre de reserves'!$I$2:$I$1178,'2022'!$A37,'Registre de reserves'!$B$2:$B$1178,'2022'!H$2,Tabla1[ANY],'2022'!$Z$2)</f>
        <v>0</v>
      </c>
      <c r="I37" s="21">
        <f t="shared" si="43"/>
        <v>0</v>
      </c>
      <c r="J37" s="23">
        <f>SUMIFS('Registre de reserves'!$R$2:$R$1178,'Registre de reserves'!$T$2:$T$1178,"NO",'Registre de reserves'!$I$2:$I$1178,'2022'!$A37,'Registre de reserves'!$B$2:$B$1178,'2022'!J$2,Tabla1[ANY],'2022'!$Z$2)</f>
        <v>0</v>
      </c>
      <c r="K37" s="21">
        <f t="shared" si="44"/>
        <v>0</v>
      </c>
      <c r="L37" s="23">
        <f>SUMIFS('Registre de reserves'!$R$2:$R$1178,'Registre de reserves'!$T$2:$T$1178,"NO",'Registre de reserves'!$I$2:$I$1178,'2022'!$A37,'Registre de reserves'!$B$2:$B$1178,'2022'!L$2,Tabla1[ANY],'2022'!$Z$2)</f>
        <v>0</v>
      </c>
      <c r="M37" s="21">
        <f t="shared" si="45"/>
        <v>0</v>
      </c>
      <c r="N37" s="23">
        <f>SUMIFS('Registre de reserves'!$R$2:$R$1178,'Registre de reserves'!$T$2:$T$1178,"NO",'Registre de reserves'!$I$2:$I$1178,'2022'!$A37,'Registre de reserves'!$B$2:$B$1178,'2022'!N$2,Tabla1[ANY],'2022'!$Z$2)</f>
        <v>0</v>
      </c>
      <c r="O37" s="21">
        <f t="shared" si="46"/>
        <v>0</v>
      </c>
      <c r="P37" s="23">
        <f>SUMIFS('Registre de reserves'!$R$2:$R$1178,'Registre de reserves'!$T$2:$T$1178,"NO",'Registre de reserves'!$I$2:$I$1178,'2022'!$A37,'Registre de reserves'!$B$2:$B$1178,'2022'!P$2,Tabla1[ANY],'2022'!$Z$2)</f>
        <v>0</v>
      </c>
      <c r="Q37" s="21">
        <f t="shared" si="47"/>
        <v>0</v>
      </c>
      <c r="R37" s="23">
        <f>SUMIFS('Registre de reserves'!$R$2:$R$1178,'Registre de reserves'!$T$2:$T$1178,"NO",'Registre de reserves'!$I$2:$I$1178,'2022'!$A37,'Registre de reserves'!$B$2:$B$1178,'2022'!R$2,Tabla1[ANY],'2022'!$Z$2)</f>
        <v>0</v>
      </c>
      <c r="S37" s="21">
        <f t="shared" si="48"/>
        <v>0</v>
      </c>
      <c r="T37" s="23">
        <f>SUMIFS('Registre de reserves'!$R$2:$R$1178,'Registre de reserves'!$T$2:$T$1178,"NO",'Registre de reserves'!$I$2:$I$1178,'2022'!$A37,'Registre de reserves'!$B$2:$B$1178,'2022'!T$2,Tabla1[ANY],'2022'!$Z$2)</f>
        <v>0</v>
      </c>
      <c r="U37" s="21">
        <f t="shared" si="49"/>
        <v>0</v>
      </c>
      <c r="V37" s="23">
        <f>SUMIFS('Registre de reserves'!$R$2:$R$1178,'Registre de reserves'!$T$2:$T$1178,"NO",'Registre de reserves'!$I$2:$I$1178,'2022'!$A37,'Registre de reserves'!$B$2:$B$1178,'2022'!V$2,Tabla1[ANY],'2022'!$Z$2)</f>
        <v>0</v>
      </c>
      <c r="W37" s="21">
        <f t="shared" si="50"/>
        <v>0</v>
      </c>
      <c r="X37" s="23">
        <f>SUMIFS('Registre de reserves'!$R$2:$R$1178,'Registre de reserves'!$T$2:$T$1178,"NO",'Registre de reserves'!$I$2:$I$1178,'2022'!$A37,'Registre de reserves'!$B$2:$B$1178,'2022'!X$2,Tabla1[ANY],'2022'!$Z$2)</f>
        <v>0</v>
      </c>
      <c r="Y37" s="21">
        <f t="shared" si="51"/>
        <v>0</v>
      </c>
      <c r="Z37" s="20">
        <f t="shared" si="53"/>
        <v>0</v>
      </c>
      <c r="AA37" s="21">
        <f t="shared" si="54"/>
        <v>0</v>
      </c>
    </row>
    <row r="38" spans="1:31" hidden="1" outlineLevel="1" x14ac:dyDescent="0.2">
      <c r="A38" s="8" t="s">
        <v>70</v>
      </c>
      <c r="B38" s="23">
        <f>SUMIFS('Registre de reserves'!$R$2:$R$1178,'Registre de reserves'!$T$2:$T$1178,"NO",'Registre de reserves'!$I$2:$I$1178,'2022'!$A38,'Registre de reserves'!$B$2:$B$1178,'2022'!B$2,Tabla1[ANY],'2022'!$Z$2)</f>
        <v>0</v>
      </c>
      <c r="C38" s="21">
        <f t="shared" si="52"/>
        <v>0</v>
      </c>
      <c r="D38" s="23">
        <f>SUMIFS('Registre de reserves'!$R$2:$R$1178,'Registre de reserves'!$T$2:$T$1178,"NO",'Registre de reserves'!$I$2:$I$1178,'2022'!$A38,'Registre de reserves'!$B$2:$B$1178,'2022'!D$2,Tabla1[ANY],'2022'!$Z$2)</f>
        <v>0</v>
      </c>
      <c r="E38" s="21">
        <f t="shared" si="52"/>
        <v>0</v>
      </c>
      <c r="F38" s="23">
        <f>SUMIFS('Registre de reserves'!$R$2:$R$1178,'Registre de reserves'!$T$2:$T$1178,"NO",'Registre de reserves'!$I$2:$I$1178,'2022'!$A38,'Registre de reserves'!$B$2:$B$1178,'2022'!F$2,Tabla1[ANY],'2022'!$Z$2)</f>
        <v>0</v>
      </c>
      <c r="G38" s="21">
        <f t="shared" si="42"/>
        <v>0</v>
      </c>
      <c r="H38" s="23">
        <f>SUMIFS('Registre de reserves'!$R$2:$R$1178,'Registre de reserves'!$T$2:$T$1178,"NO",'Registre de reserves'!$I$2:$I$1178,'2022'!$A38,'Registre de reserves'!$B$2:$B$1178,'2022'!H$2,Tabla1[ANY],'2022'!$Z$2)</f>
        <v>0</v>
      </c>
      <c r="I38" s="21">
        <f t="shared" si="43"/>
        <v>0</v>
      </c>
      <c r="J38" s="23">
        <f>SUMIFS('Registre de reserves'!$R$2:$R$1178,'Registre de reserves'!$T$2:$T$1178,"NO",'Registre de reserves'!$I$2:$I$1178,'2022'!$A38,'Registre de reserves'!$B$2:$B$1178,'2022'!J$2,Tabla1[ANY],'2022'!$Z$2)</f>
        <v>0</v>
      </c>
      <c r="K38" s="21">
        <f t="shared" si="44"/>
        <v>0</v>
      </c>
      <c r="L38" s="23">
        <f>SUMIFS('Registre de reserves'!$R$2:$R$1178,'Registre de reserves'!$T$2:$T$1178,"NO",'Registre de reserves'!$I$2:$I$1178,'2022'!$A38,'Registre de reserves'!$B$2:$B$1178,'2022'!L$2,Tabla1[ANY],'2022'!$Z$2)</f>
        <v>0</v>
      </c>
      <c r="M38" s="21">
        <f t="shared" si="45"/>
        <v>0</v>
      </c>
      <c r="N38" s="23">
        <f>SUMIFS('Registre de reserves'!$R$2:$R$1178,'Registre de reserves'!$T$2:$T$1178,"NO",'Registre de reserves'!$I$2:$I$1178,'2022'!$A38,'Registre de reserves'!$B$2:$B$1178,'2022'!N$2,Tabla1[ANY],'2022'!$Z$2)</f>
        <v>0</v>
      </c>
      <c r="O38" s="21">
        <f t="shared" si="46"/>
        <v>0</v>
      </c>
      <c r="P38" s="23">
        <f>SUMIFS('Registre de reserves'!$R$2:$R$1178,'Registre de reserves'!$T$2:$T$1178,"NO",'Registre de reserves'!$I$2:$I$1178,'2022'!$A38,'Registre de reserves'!$B$2:$B$1178,'2022'!P$2,Tabla1[ANY],'2022'!$Z$2)</f>
        <v>0</v>
      </c>
      <c r="Q38" s="21">
        <f t="shared" si="47"/>
        <v>0</v>
      </c>
      <c r="R38" s="23">
        <f>SUMIFS('Registre de reserves'!$R$2:$R$1178,'Registre de reserves'!$T$2:$T$1178,"NO",'Registre de reserves'!$I$2:$I$1178,'2022'!$A38,'Registre de reserves'!$B$2:$B$1178,'2022'!R$2,Tabla1[ANY],'2022'!$Z$2)</f>
        <v>0</v>
      </c>
      <c r="S38" s="21">
        <f t="shared" si="48"/>
        <v>0</v>
      </c>
      <c r="T38" s="23">
        <f>SUMIFS('Registre de reserves'!$R$2:$R$1178,'Registre de reserves'!$T$2:$T$1178,"NO",'Registre de reserves'!$I$2:$I$1178,'2022'!$A38,'Registre de reserves'!$B$2:$B$1178,'2022'!T$2,Tabla1[ANY],'2022'!$Z$2)</f>
        <v>0</v>
      </c>
      <c r="U38" s="21">
        <f t="shared" si="49"/>
        <v>0</v>
      </c>
      <c r="V38" s="23">
        <f>SUMIFS('Registre de reserves'!$R$2:$R$1178,'Registre de reserves'!$T$2:$T$1178,"NO",'Registre de reserves'!$I$2:$I$1178,'2022'!$A38,'Registre de reserves'!$B$2:$B$1178,'2022'!V$2,Tabla1[ANY],'2022'!$Z$2)</f>
        <v>0</v>
      </c>
      <c r="W38" s="21">
        <f t="shared" si="50"/>
        <v>0</v>
      </c>
      <c r="X38" s="23">
        <f>SUMIFS('Registre de reserves'!$R$2:$R$1178,'Registre de reserves'!$T$2:$T$1178,"NO",'Registre de reserves'!$I$2:$I$1178,'2022'!$A38,'Registre de reserves'!$B$2:$B$1178,'2022'!X$2,Tabla1[ANY],'2022'!$Z$2)</f>
        <v>0</v>
      </c>
      <c r="Y38" s="21">
        <f t="shared" si="51"/>
        <v>0</v>
      </c>
      <c r="Z38" s="20">
        <f t="shared" si="53"/>
        <v>0</v>
      </c>
      <c r="AA38" s="21">
        <f t="shared" si="54"/>
        <v>0</v>
      </c>
    </row>
    <row r="39" spans="1:31" hidden="1" outlineLevel="1" x14ac:dyDescent="0.2">
      <c r="A39" s="8" t="s">
        <v>73</v>
      </c>
      <c r="B39" s="23">
        <f>SUMIFS('Registre de reserves'!$R$2:$R$1178,'Registre de reserves'!$T$2:$T$1178,"NO",'Registre de reserves'!$I$2:$I$1178,'2022'!$A39,'Registre de reserves'!$B$2:$B$1178,'2022'!B$2,Tabla1[ANY],'2022'!$Z$2)</f>
        <v>0</v>
      </c>
      <c r="C39" s="21">
        <f t="shared" si="52"/>
        <v>0</v>
      </c>
      <c r="D39" s="23">
        <f>SUMIFS('Registre de reserves'!$R$2:$R$1178,'Registre de reserves'!$T$2:$T$1178,"NO",'Registre de reserves'!$I$2:$I$1178,'2022'!$A39,'Registre de reserves'!$B$2:$B$1178,'2022'!D$2,Tabla1[ANY],'2022'!$Z$2)</f>
        <v>0</v>
      </c>
      <c r="E39" s="21">
        <f t="shared" si="52"/>
        <v>0</v>
      </c>
      <c r="F39" s="23">
        <f>SUMIFS('Registre de reserves'!$R$2:$R$1178,'Registre de reserves'!$T$2:$T$1178,"NO",'Registre de reserves'!$I$2:$I$1178,'2022'!$A39,'Registre de reserves'!$B$2:$B$1178,'2022'!F$2,Tabla1[ANY],'2022'!$Z$2)</f>
        <v>0</v>
      </c>
      <c r="G39" s="21">
        <f t="shared" si="42"/>
        <v>0</v>
      </c>
      <c r="H39" s="23">
        <f>SUMIFS('Registre de reserves'!$R$2:$R$1178,'Registre de reserves'!$T$2:$T$1178,"NO",'Registre de reserves'!$I$2:$I$1178,'2022'!$A39,'Registre de reserves'!$B$2:$B$1178,'2022'!H$2,Tabla1[ANY],'2022'!$Z$2)</f>
        <v>0</v>
      </c>
      <c r="I39" s="21">
        <f t="shared" si="43"/>
        <v>0</v>
      </c>
      <c r="J39" s="23">
        <f>SUMIFS('Registre de reserves'!$R$2:$R$1178,'Registre de reserves'!$T$2:$T$1178,"NO",'Registre de reserves'!$I$2:$I$1178,'2022'!$A39,'Registre de reserves'!$B$2:$B$1178,'2022'!J$2,Tabla1[ANY],'2022'!$Z$2)</f>
        <v>0</v>
      </c>
      <c r="K39" s="21">
        <f t="shared" si="44"/>
        <v>0</v>
      </c>
      <c r="L39" s="23">
        <f>SUMIFS('Registre de reserves'!$R$2:$R$1178,'Registre de reserves'!$T$2:$T$1178,"NO",'Registre de reserves'!$I$2:$I$1178,'2022'!$A39,'Registre de reserves'!$B$2:$B$1178,'2022'!L$2,Tabla1[ANY],'2022'!$Z$2)</f>
        <v>0</v>
      </c>
      <c r="M39" s="21">
        <f t="shared" si="45"/>
        <v>0</v>
      </c>
      <c r="N39" s="23">
        <f>SUMIFS('Registre de reserves'!$R$2:$R$1178,'Registre de reserves'!$T$2:$T$1178,"NO",'Registre de reserves'!$I$2:$I$1178,'2022'!$A39,'Registre de reserves'!$B$2:$B$1178,'2022'!N$2,Tabla1[ANY],'2022'!$Z$2)</f>
        <v>0</v>
      </c>
      <c r="O39" s="21">
        <f t="shared" si="46"/>
        <v>0</v>
      </c>
      <c r="P39" s="23">
        <f>SUMIFS('Registre de reserves'!$R$2:$R$1178,'Registre de reserves'!$T$2:$T$1178,"NO",'Registre de reserves'!$I$2:$I$1178,'2022'!$A39,'Registre de reserves'!$B$2:$B$1178,'2022'!P$2,Tabla1[ANY],'2022'!$Z$2)</f>
        <v>0</v>
      </c>
      <c r="Q39" s="21">
        <f t="shared" si="47"/>
        <v>0</v>
      </c>
      <c r="R39" s="23">
        <f>SUMIFS('Registre de reserves'!$R$2:$R$1178,'Registre de reserves'!$T$2:$T$1178,"NO",'Registre de reserves'!$I$2:$I$1178,'2022'!$A39,'Registre de reserves'!$B$2:$B$1178,'2022'!R$2,Tabla1[ANY],'2022'!$Z$2)</f>
        <v>0</v>
      </c>
      <c r="S39" s="21">
        <f t="shared" si="48"/>
        <v>0</v>
      </c>
      <c r="T39" s="23">
        <f>SUMIFS('Registre de reserves'!$R$2:$R$1178,'Registre de reserves'!$T$2:$T$1178,"NO",'Registre de reserves'!$I$2:$I$1178,'2022'!$A39,'Registre de reserves'!$B$2:$B$1178,'2022'!T$2,Tabla1[ANY],'2022'!$Z$2)</f>
        <v>0</v>
      </c>
      <c r="U39" s="21">
        <f t="shared" si="49"/>
        <v>0</v>
      </c>
      <c r="V39" s="23">
        <f>SUMIFS('Registre de reserves'!$R$2:$R$1178,'Registre de reserves'!$T$2:$T$1178,"NO",'Registre de reserves'!$I$2:$I$1178,'2022'!$A39,'Registre de reserves'!$B$2:$B$1178,'2022'!V$2,Tabla1[ANY],'2022'!$Z$2)</f>
        <v>0</v>
      </c>
      <c r="W39" s="21">
        <f t="shared" si="50"/>
        <v>0</v>
      </c>
      <c r="X39" s="23">
        <f>SUMIFS('Registre de reserves'!$R$2:$R$1178,'Registre de reserves'!$T$2:$T$1178,"NO",'Registre de reserves'!$I$2:$I$1178,'2022'!$A39,'Registre de reserves'!$B$2:$B$1178,'2022'!X$2,Tabla1[ANY],'2022'!$Z$2)</f>
        <v>0</v>
      </c>
      <c r="Y39" s="21">
        <f t="shared" si="51"/>
        <v>0</v>
      </c>
      <c r="Z39" s="20">
        <f t="shared" si="53"/>
        <v>0</v>
      </c>
      <c r="AA39" s="21">
        <f t="shared" si="54"/>
        <v>0</v>
      </c>
    </row>
    <row r="40" spans="1:31" ht="15.75" collapsed="1" thickBot="1" x14ac:dyDescent="0.25">
      <c r="A40" s="14" t="s">
        <v>78</v>
      </c>
      <c r="B40" s="24">
        <f>B41+B49</f>
        <v>875.7</v>
      </c>
      <c r="C40" s="25">
        <f>IF(B3=0,0,B40/B3)</f>
        <v>0.61237762237762239</v>
      </c>
      <c r="D40" s="24">
        <f>D41+D49</f>
        <v>751.34999999999991</v>
      </c>
      <c r="E40" s="25">
        <f>IF(D3=0,0,D40/D3)</f>
        <v>0.4050404312668463</v>
      </c>
      <c r="F40" s="24">
        <f>F41+F49</f>
        <v>1063.21</v>
      </c>
      <c r="G40" s="25">
        <f>IF(F3=0,0,F40/F3)</f>
        <v>0.34022720000000001</v>
      </c>
      <c r="H40" s="24">
        <f>H41+H49</f>
        <v>714.93000000000006</v>
      </c>
      <c r="I40" s="25">
        <f>IF(H3=0,0,H40/H3)</f>
        <v>0.1676271981242673</v>
      </c>
      <c r="J40" s="24">
        <f>J41+J49</f>
        <v>857.74</v>
      </c>
      <c r="K40" s="25">
        <f>IF(J3=0,0,J40/J3)</f>
        <v>0.22135225806451614</v>
      </c>
      <c r="L40" s="24">
        <f>L41+L49</f>
        <v>1278.6199999999999</v>
      </c>
      <c r="M40" s="25">
        <f>IF(L3=0,0,L40/L3)</f>
        <v>0.36531999999999998</v>
      </c>
      <c r="N40" s="24">
        <f>N41+N49</f>
        <v>748.19</v>
      </c>
      <c r="O40" s="25">
        <f>IF(N3=0,0,N40/N3)</f>
        <v>0.24981302170283809</v>
      </c>
      <c r="P40" s="24">
        <f>P41+P49</f>
        <v>882.4</v>
      </c>
      <c r="Q40" s="25">
        <f>IF(P3=0,0,P40/P3)</f>
        <v>0.59823728813559318</v>
      </c>
      <c r="R40" s="24">
        <f>R41+R49</f>
        <v>1014.4200000000001</v>
      </c>
      <c r="S40" s="25">
        <f>IF(R3=0,0,R40/R3)</f>
        <v>0.30236065573770493</v>
      </c>
      <c r="T40" s="24">
        <f>T41+T49</f>
        <v>770</v>
      </c>
      <c r="U40" s="25">
        <f>IF(T3=0,0,T40/T3)</f>
        <v>0.18712029161603888</v>
      </c>
      <c r="V40" s="24">
        <f>V41+V49</f>
        <v>1624.85</v>
      </c>
      <c r="W40" s="25">
        <f>IF(V3=0,0,V40/V3)</f>
        <v>0.56223183391003462</v>
      </c>
      <c r="X40" s="24">
        <f>X41+X49</f>
        <v>620</v>
      </c>
      <c r="Y40" s="25">
        <f>IF(X3=0,0,X40/X3)</f>
        <v>0.12375249500998003</v>
      </c>
      <c r="Z40" s="24">
        <f>Z41+Z49</f>
        <v>11201.41</v>
      </c>
      <c r="AA40" s="25">
        <f>IF(Z3=0,0,Z40/Z3)</f>
        <v>0.29562971760358936</v>
      </c>
      <c r="AD40">
        <v>5000</v>
      </c>
    </row>
    <row r="41" spans="1:31" x14ac:dyDescent="0.2">
      <c r="A41" s="33" t="s">
        <v>79</v>
      </c>
      <c r="B41" s="18">
        <f>SUM(B42:B48)</f>
        <v>875.7</v>
      </c>
      <c r="C41" s="19">
        <f>IF(B$40=0,0,B41/B$40)</f>
        <v>1</v>
      </c>
      <c r="D41" s="18">
        <f>SUM(D42:D48)</f>
        <v>481.34999999999997</v>
      </c>
      <c r="E41" s="19">
        <f>IF(D$40=0,0,D41/D$40)</f>
        <v>0.64064683569574765</v>
      </c>
      <c r="F41" s="18">
        <f>SUM(F42:F48)</f>
        <v>484.62</v>
      </c>
      <c r="G41" s="19">
        <f>IF(F$40=0,0,F41/F$40)</f>
        <v>0.45580835394700953</v>
      </c>
      <c r="H41" s="18">
        <f>SUM(H42:H48)</f>
        <v>356.46</v>
      </c>
      <c r="I41" s="19">
        <f>IF(H$40=0,0,H41/H$40)</f>
        <v>0.49859426797029072</v>
      </c>
      <c r="J41" s="18">
        <f>SUM(J42:J48)</f>
        <v>423.5</v>
      </c>
      <c r="K41" s="19">
        <f>IF(J$40=0,0,J41/J$40)</f>
        <v>0.49373936157810061</v>
      </c>
      <c r="L41" s="18">
        <f>SUM(L42:L48)</f>
        <v>1006.12</v>
      </c>
      <c r="M41" s="19">
        <f>IF(L$40=0,0,L41/L$40)</f>
        <v>0.78687960457368111</v>
      </c>
      <c r="N41" s="18">
        <f>SUM(N42:N48)</f>
        <v>640.82000000000005</v>
      </c>
      <c r="O41" s="19">
        <f>IF(N$40=0,0,N41/N$40)</f>
        <v>0.85649367139362997</v>
      </c>
      <c r="P41" s="18">
        <f>SUM(P42:P48)</f>
        <v>620</v>
      </c>
      <c r="Q41" s="19">
        <f>IF(P$40=0,0,P41/P$40)</f>
        <v>0.70262919310970084</v>
      </c>
      <c r="R41" s="18">
        <f>SUM(R42:R48)</f>
        <v>558</v>
      </c>
      <c r="S41" s="19">
        <f>IF(R$40=0,0,R41/R$40)</f>
        <v>0.55006801916365999</v>
      </c>
      <c r="T41" s="18">
        <f>SUM(T42:T48)</f>
        <v>620</v>
      </c>
      <c r="U41" s="19">
        <f>IF(T$40=0,0,T41/T$40)</f>
        <v>0.80519480519480524</v>
      </c>
      <c r="V41" s="18">
        <f>SUM(V42:V48)</f>
        <v>620.29999999999995</v>
      </c>
      <c r="W41" s="19">
        <f>IF(V$40=0,0,V41/V$40)</f>
        <v>0.38175831615226019</v>
      </c>
      <c r="X41" s="18">
        <f>SUM(X42:X48)</f>
        <v>620</v>
      </c>
      <c r="Y41" s="19">
        <f>IF(X$40=0,0,X41/X$40)</f>
        <v>1</v>
      </c>
      <c r="Z41" s="18">
        <f>SUM(Z42:Z48)</f>
        <v>7306.87</v>
      </c>
      <c r="AA41" s="19">
        <f>IF(Z$40=0,0,Z41/Z$40)</f>
        <v>0.65231698509384084</v>
      </c>
      <c r="AE41" s="180"/>
    </row>
    <row r="42" spans="1:31" hidden="1" outlineLevel="1" x14ac:dyDescent="0.2">
      <c r="A42" s="8" t="s">
        <v>16</v>
      </c>
      <c r="B42" s="20">
        <f>SUMIFS(Tabla2[IMPORT],Tabla2[ANY],$Z$2,Tabla2[MES],'2022'!B$2,Tabla2[TIPUS],'2022'!$A42)</f>
        <v>204</v>
      </c>
      <c r="C42" s="21">
        <f>IF(B$41=0,0,B42/B$41)</f>
        <v>0.23295649194929768</v>
      </c>
      <c r="D42" s="20">
        <f>SUMIFS(Tabla2[IMPORT],Tabla2[ANY],$Z$2,Tabla2[MES],'2022'!D$2,Tabla2[TIPUS],'2022'!$A42)</f>
        <v>204</v>
      </c>
      <c r="E42" s="21">
        <f>IF(D$41=0,0,D42/D$41)</f>
        <v>0.42380803988781557</v>
      </c>
      <c r="F42" s="20">
        <f>SUMIFS(Tabla2[IMPORT],Tabla2[ANY],$Z$2,Tabla2[MES],'2022'!F$2,Tabla2[TIPUS],'2022'!$A42)</f>
        <v>204</v>
      </c>
      <c r="G42" s="21">
        <f t="shared" ref="G42:G48" si="55">IF(F$41=0,0,F42/F$41)</f>
        <v>0.42094837192026741</v>
      </c>
      <c r="H42" s="20">
        <f>SUMIFS(Tabla2[IMPORT],Tabla2[ANY],$Z$2,Tabla2[MES],'2022'!H$2,Tabla2[TIPUS],'2022'!$A42)</f>
        <v>0</v>
      </c>
      <c r="I42" s="21">
        <f t="shared" ref="I42:I48" si="56">IF(H$41=0,0,H42/H$41)</f>
        <v>0</v>
      </c>
      <c r="J42" s="20">
        <f>SUMIFS(Tabla2[IMPORT],Tabla2[ANY],$Z$2,Tabla2[MES],'2022'!J$2,Tabla2[TIPUS],'2022'!$A42)</f>
        <v>204</v>
      </c>
      <c r="K42" s="21">
        <f t="shared" ref="K42:K48" si="57">IF(J$41=0,0,J42/J$41)</f>
        <v>0.4817001180637544</v>
      </c>
      <c r="L42" s="20">
        <f>SUMIFS(Tabla2[IMPORT],Tabla2[ANY],$Z$2,Tabla2[MES],'2022'!L$2,Tabla2[TIPUS],'2022'!$A42)</f>
        <v>944.12</v>
      </c>
      <c r="M42" s="21">
        <f t="shared" ref="M42:M48" si="58">IF(L$41=0,0,L42/L$41)</f>
        <v>0.93837713195245098</v>
      </c>
      <c r="N42" s="20">
        <f>SUMIFS(Tabla2[IMPORT],Tabla2[ANY],$Z$2,Tabla2[MES],'2022'!N$2,Tabla2[TIPUS],'2022'!$A42)</f>
        <v>558</v>
      </c>
      <c r="O42" s="21">
        <f t="shared" ref="O42:O48" si="59">IF(N$41=0,0,N42/N$41)</f>
        <v>0.87075933959614238</v>
      </c>
      <c r="P42" s="20">
        <f>SUMIFS(Tabla2[IMPORT],Tabla2[ANY],$Z$2,Tabla2[MES],'2022'!P$2,Tabla2[TIPUS],'2022'!$A42)</f>
        <v>558</v>
      </c>
      <c r="Q42" s="21">
        <f t="shared" ref="Q42:Q48" si="60">IF(P$41=0,0,P42/P$41)</f>
        <v>0.9</v>
      </c>
      <c r="R42" s="20">
        <f>SUMIFS(Tabla2[IMPORT],Tabla2[ANY],$Z$2,Tabla2[MES],'2022'!R$2,Tabla2[TIPUS],'2022'!$A42)</f>
        <v>558</v>
      </c>
      <c r="S42" s="21">
        <f t="shared" ref="S42:S48" si="61">IF(R$41=0,0,R42/R$41)</f>
        <v>1</v>
      </c>
      <c r="T42" s="20">
        <f>SUMIFS(Tabla2[IMPORT],Tabla2[ANY],$Z$2,Tabla2[MES],'2022'!T$2,Tabla2[TIPUS],'2022'!$A42)</f>
        <v>558</v>
      </c>
      <c r="U42" s="21">
        <f t="shared" ref="U42:U48" si="62">IF(T$41=0,0,T42/T$41)</f>
        <v>0.9</v>
      </c>
      <c r="V42" s="20">
        <f>SUMIFS(Tabla2[IMPORT],Tabla2[ANY],$Z$2,Tabla2[MES],'2022'!V$2,Tabla2[TIPUS],'2022'!$A42)</f>
        <v>558</v>
      </c>
      <c r="W42" s="21">
        <f t="shared" ref="W42:W48" si="63">IF(V$41=0,0,V42/V$41)</f>
        <v>0.89956472674512344</v>
      </c>
      <c r="X42" s="20">
        <f>SUMIFS(Tabla2[IMPORT],Tabla2[ANY],$Z$2,Tabla2[MES],'2022'!X$2,Tabla2[TIPUS],'2022'!$A42)</f>
        <v>558</v>
      </c>
      <c r="Y42" s="21">
        <f t="shared" ref="Y42:Y48" si="64">IF(X$41=0,0,X42/X$41)</f>
        <v>0.9</v>
      </c>
      <c r="Z42" s="20">
        <f t="shared" ref="Z42:Z54" si="65">B42+D42+F42+H42+J42+L42+N42+P42+R42+T42+V42+X42</f>
        <v>5108.12</v>
      </c>
      <c r="AA42" s="21">
        <f>IF(Z$41=0,0,Z42/Z$41)</f>
        <v>0.69908456014682074</v>
      </c>
      <c r="AE42" s="180"/>
    </row>
    <row r="43" spans="1:31" hidden="1" outlineLevel="1" x14ac:dyDescent="0.2">
      <c r="A43" s="8" t="s">
        <v>17</v>
      </c>
      <c r="B43" s="20">
        <f>SUMIFS(Tabla2[IMPORT],Tabla2[ANY],$Z$2,Tabla2[MES],'2022'!B$2,Tabla2[TIPUS],'2022'!$A43)</f>
        <v>215.22</v>
      </c>
      <c r="C43" s="21">
        <f t="shared" ref="C43:E48" si="66">IF(B$41=0,0,B43/B$41)</f>
        <v>0.24576909900650906</v>
      </c>
      <c r="D43" s="20">
        <f>SUMIFS(Tabla2[IMPORT],Tabla2[ANY],$Z$2,Tabla2[MES],'2022'!D$2,Tabla2[TIPUS],'2022'!$A43)</f>
        <v>212.4</v>
      </c>
      <c r="E43" s="21">
        <f t="shared" si="66"/>
        <v>0.44125895917731384</v>
      </c>
      <c r="F43" s="20">
        <f>SUMIFS(Tabla2[IMPORT],Tabla2[ANY],$Z$2,Tabla2[MES],'2022'!F$2,Tabla2[TIPUS],'2022'!$A43)</f>
        <v>212.4</v>
      </c>
      <c r="G43" s="21">
        <f t="shared" si="55"/>
        <v>0.43828154017580784</v>
      </c>
      <c r="H43" s="20">
        <f>SUMIFS(Tabla2[IMPORT],Tabla2[ANY],$Z$2,Tabla2[MES],'2022'!H$2,Tabla2[TIPUS],'2022'!$A43)</f>
        <v>212.4</v>
      </c>
      <c r="I43" s="21">
        <f t="shared" si="56"/>
        <v>0.59585928294899848</v>
      </c>
      <c r="J43" s="20">
        <f>SUMIFS(Tabla2[IMPORT],Tabla2[ANY],$Z$2,Tabla2[MES],'2022'!J$2,Tabla2[TIPUS],'2022'!$A43)</f>
        <v>212.4</v>
      </c>
      <c r="K43" s="21">
        <f t="shared" si="57"/>
        <v>0.50153482880755607</v>
      </c>
      <c r="L43" s="20">
        <f>SUMIFS(Tabla2[IMPORT],Tabla2[ANY],$Z$2,Tabla2[MES],'2022'!L$2,Tabla2[TIPUS],'2022'!$A43)</f>
        <v>0</v>
      </c>
      <c r="M43" s="21">
        <f t="shared" si="58"/>
        <v>0</v>
      </c>
      <c r="N43" s="20">
        <f>SUMIFS(Tabla2[IMPORT],Tabla2[ANY],$Z$2,Tabla2[MES],'2022'!N$2,Tabla2[TIPUS],'2022'!$A43)</f>
        <v>2.82</v>
      </c>
      <c r="O43" s="21">
        <f t="shared" si="59"/>
        <v>4.4006117162385689E-3</v>
      </c>
      <c r="P43" s="20">
        <f>SUMIFS(Tabla2[IMPORT],Tabla2[ANY],$Z$2,Tabla2[MES],'2022'!P$2,Tabla2[TIPUS],'2022'!$A43)</f>
        <v>0</v>
      </c>
      <c r="Q43" s="21">
        <f t="shared" si="60"/>
        <v>0</v>
      </c>
      <c r="R43" s="20">
        <f>SUMIFS(Tabla2[IMPORT],Tabla2[ANY],$Z$2,Tabla2[MES],'2022'!R$2,Tabla2[TIPUS],'2022'!$A43)</f>
        <v>0</v>
      </c>
      <c r="S43" s="21">
        <f t="shared" si="61"/>
        <v>0</v>
      </c>
      <c r="T43" s="20">
        <f>SUMIFS(Tabla2[IMPORT],Tabla2[ANY],$Z$2,Tabla2[MES],'2022'!T$2,Tabla2[TIPUS],'2022'!$A43)</f>
        <v>0</v>
      </c>
      <c r="U43" s="21">
        <f t="shared" si="62"/>
        <v>0</v>
      </c>
      <c r="V43" s="20">
        <f>SUMIFS(Tabla2[IMPORT],Tabla2[ANY],$Z$2,Tabla2[MES],'2022'!V$2,Tabla2[TIPUS],'2022'!$A43)</f>
        <v>0</v>
      </c>
      <c r="W43" s="21">
        <f t="shared" si="63"/>
        <v>0</v>
      </c>
      <c r="X43" s="20">
        <f>SUMIFS(Tabla2[IMPORT],Tabla2[ANY],$Z$2,Tabla2[MES],'2022'!X$2,Tabla2[TIPUS],'2022'!$A43)</f>
        <v>0</v>
      </c>
      <c r="Y43" s="21">
        <f t="shared" si="64"/>
        <v>0</v>
      </c>
      <c r="Z43" s="20">
        <f t="shared" si="65"/>
        <v>1067.6399999999999</v>
      </c>
      <c r="AA43" s="21">
        <f t="shared" ref="AA43:AA48" si="67">IF(Z$41=0,0,Z43/Z$41)</f>
        <v>0.14611454699481446</v>
      </c>
      <c r="AE43" s="180"/>
    </row>
    <row r="44" spans="1:31" hidden="1" outlineLevel="1" x14ac:dyDescent="0.2">
      <c r="A44" s="8" t="s">
        <v>85</v>
      </c>
      <c r="B44" s="20">
        <f>SUMIFS(Tabla2[IMPORT],Tabla2[ANY],$Z$2,Tabla2[MES],'2022'!B$2,Tabla2[TIPUS],'2022'!$A44)</f>
        <v>0</v>
      </c>
      <c r="C44" s="21">
        <f t="shared" si="66"/>
        <v>0</v>
      </c>
      <c r="D44" s="20">
        <f>SUMIFS(Tabla2[IMPORT],Tabla2[ANY],$Z$2,Tabla2[MES],'2022'!D$2,Tabla2[TIPUS],'2022'!$A44)</f>
        <v>0</v>
      </c>
      <c r="E44" s="21">
        <f t="shared" si="66"/>
        <v>0</v>
      </c>
      <c r="F44" s="20">
        <f>SUMIFS(Tabla2[IMPORT],Tabla2[ANY],$Z$2,Tabla2[MES],'2022'!F$2,Tabla2[TIPUS],'2022'!$A44)</f>
        <v>0</v>
      </c>
      <c r="G44" s="21">
        <f t="shared" si="55"/>
        <v>0</v>
      </c>
      <c r="H44" s="20">
        <f>SUMIFS(Tabla2[IMPORT],Tabla2[ANY],$Z$2,Tabla2[MES],'2022'!H$2,Tabla2[TIPUS],'2022'!$A44)</f>
        <v>90</v>
      </c>
      <c r="I44" s="21">
        <f t="shared" si="56"/>
        <v>0.25248274701228751</v>
      </c>
      <c r="J44" s="20">
        <f>SUMIFS(Tabla2[IMPORT],Tabla2[ANY],$Z$2,Tabla2[MES],'2022'!J$2,Tabla2[TIPUS],'2022'!$A44)</f>
        <v>0</v>
      </c>
      <c r="K44" s="21">
        <f t="shared" si="57"/>
        <v>0</v>
      </c>
      <c r="L44" s="20">
        <f>SUMIFS(Tabla2[IMPORT],Tabla2[ANY],$Z$2,Tabla2[MES],'2022'!L$2,Tabla2[TIPUS],'2022'!$A44)</f>
        <v>0</v>
      </c>
      <c r="M44" s="21">
        <f t="shared" si="58"/>
        <v>0</v>
      </c>
      <c r="N44" s="20">
        <f>SUMIFS(Tabla2[IMPORT],Tabla2[ANY],$Z$2,Tabla2[MES],'2022'!N$2,Tabla2[TIPUS],'2022'!$A44)</f>
        <v>0</v>
      </c>
      <c r="O44" s="21">
        <f t="shared" si="59"/>
        <v>0</v>
      </c>
      <c r="P44" s="20">
        <f>SUMIFS(Tabla2[IMPORT],Tabla2[ANY],$Z$2,Tabla2[MES],'2022'!P$2,Tabla2[TIPUS],'2022'!$A44)</f>
        <v>0</v>
      </c>
      <c r="Q44" s="21">
        <f t="shared" si="60"/>
        <v>0</v>
      </c>
      <c r="R44" s="20">
        <f>SUMIFS(Tabla2[IMPORT],Tabla2[ANY],$Z$2,Tabla2[MES],'2022'!R$2,Tabla2[TIPUS],'2022'!$A44)</f>
        <v>0</v>
      </c>
      <c r="S44" s="21">
        <f t="shared" si="61"/>
        <v>0</v>
      </c>
      <c r="T44" s="20">
        <f>SUMIFS(Tabla2[IMPORT],Tabla2[ANY],$Z$2,Tabla2[MES],'2022'!T$2,Tabla2[TIPUS],'2022'!$A44)</f>
        <v>0</v>
      </c>
      <c r="U44" s="21">
        <f t="shared" si="62"/>
        <v>0</v>
      </c>
      <c r="V44" s="20">
        <f>SUMIFS(Tabla2[IMPORT],Tabla2[ANY],$Z$2,Tabla2[MES],'2022'!V$2,Tabla2[TIPUS],'2022'!$A44)</f>
        <v>0</v>
      </c>
      <c r="W44" s="21">
        <f t="shared" si="63"/>
        <v>0</v>
      </c>
      <c r="X44" s="20">
        <f>SUMIFS(Tabla2[IMPORT],Tabla2[ANY],$Z$2,Tabla2[MES],'2022'!X$2,Tabla2[TIPUS],'2022'!$A44)</f>
        <v>0</v>
      </c>
      <c r="Y44" s="21">
        <f t="shared" si="64"/>
        <v>0</v>
      </c>
      <c r="Z44" s="20">
        <f t="shared" si="65"/>
        <v>90</v>
      </c>
      <c r="AA44" s="21">
        <f t="shared" si="67"/>
        <v>1.2317175480061915E-2</v>
      </c>
      <c r="AE44" s="180"/>
    </row>
    <row r="45" spans="1:31" hidden="1" outlineLevel="1" x14ac:dyDescent="0.2">
      <c r="A45" s="8" t="s">
        <v>94</v>
      </c>
      <c r="B45" s="20">
        <f>SUMIFS(Tabla2[IMPORT],Tabla2[ANY],$Z$2,Tabla2[MES],'2022'!B$2,Tabla2[TIPUS],'2022'!$A45)</f>
        <v>397.48</v>
      </c>
      <c r="C45" s="21">
        <f t="shared" si="66"/>
        <v>0.45389973735297479</v>
      </c>
      <c r="D45" s="20">
        <f>SUMIFS(Tabla2[IMPORT],Tabla2[ANY],$Z$2,Tabla2[MES],'2022'!D$2,Tabla2[TIPUS],'2022'!$A45)</f>
        <v>0</v>
      </c>
      <c r="E45" s="21">
        <f t="shared" si="66"/>
        <v>0</v>
      </c>
      <c r="F45" s="20">
        <f>SUMIFS(Tabla2[IMPORT],Tabla2[ANY],$Z$2,Tabla2[MES],'2022'!F$2,Tabla2[TIPUS],'2022'!$A45)</f>
        <v>0</v>
      </c>
      <c r="G45" s="21">
        <f t="shared" si="55"/>
        <v>0</v>
      </c>
      <c r="H45" s="20">
        <f>SUMIFS(Tabla2[IMPORT],Tabla2[ANY],$Z$2,Tabla2[MES],'2022'!H$2,Tabla2[TIPUS],'2022'!$A45)</f>
        <v>0</v>
      </c>
      <c r="I45" s="21">
        <f t="shared" si="56"/>
        <v>0</v>
      </c>
      <c r="J45" s="20">
        <f>SUMIFS(Tabla2[IMPORT],Tabla2[ANY],$Z$2,Tabla2[MES],'2022'!J$2,Tabla2[TIPUS],'2022'!$A45)</f>
        <v>-54.900000000000006</v>
      </c>
      <c r="K45" s="21">
        <f t="shared" si="57"/>
        <v>-0.12963400236127509</v>
      </c>
      <c r="L45" s="20">
        <f>SUMIFS(Tabla2[IMPORT],Tabla2[ANY],$Z$2,Tabla2[MES],'2022'!L$2,Tabla2[TIPUS],'2022'!$A45)</f>
        <v>0</v>
      </c>
      <c r="M45" s="21">
        <f t="shared" si="58"/>
        <v>0</v>
      </c>
      <c r="N45" s="20">
        <f>SUMIFS(Tabla2[IMPORT],Tabla2[ANY],$Z$2,Tabla2[MES],'2022'!N$2,Tabla2[TIPUS],'2022'!$A45)</f>
        <v>0</v>
      </c>
      <c r="O45" s="21">
        <f t="shared" si="59"/>
        <v>0</v>
      </c>
      <c r="P45" s="20">
        <f>SUMIFS(Tabla2[IMPORT],Tabla2[ANY],$Z$2,Tabla2[MES],'2022'!P$2,Tabla2[TIPUS],'2022'!$A45)</f>
        <v>0</v>
      </c>
      <c r="Q45" s="21">
        <f t="shared" si="60"/>
        <v>0</v>
      </c>
      <c r="R45" s="20">
        <f>SUMIFS(Tabla2[IMPORT],Tabla2[ANY],$Z$2,Tabla2[MES],'2022'!R$2,Tabla2[TIPUS],'2022'!$A45)</f>
        <v>0</v>
      </c>
      <c r="S45" s="21">
        <f t="shared" si="61"/>
        <v>0</v>
      </c>
      <c r="T45" s="20">
        <f>SUMIFS(Tabla2[IMPORT],Tabla2[ANY],$Z$2,Tabla2[MES],'2022'!T$2,Tabla2[TIPUS],'2022'!$A45)</f>
        <v>0</v>
      </c>
      <c r="U45" s="21">
        <f t="shared" si="62"/>
        <v>0</v>
      </c>
      <c r="V45" s="20">
        <f>SUMIFS(Tabla2[IMPORT],Tabla2[ANY],$Z$2,Tabla2[MES],'2022'!V$2,Tabla2[TIPUS],'2022'!$A45)</f>
        <v>0</v>
      </c>
      <c r="W45" s="21">
        <f t="shared" si="63"/>
        <v>0</v>
      </c>
      <c r="X45" s="20">
        <f>SUMIFS(Tabla2[IMPORT],Tabla2[ANY],$Z$2,Tabla2[MES],'2022'!X$2,Tabla2[TIPUS],'2022'!$A45)</f>
        <v>0</v>
      </c>
      <c r="Y45" s="21">
        <f t="shared" si="64"/>
        <v>0</v>
      </c>
      <c r="Z45" s="20">
        <f t="shared" si="65"/>
        <v>342.58000000000004</v>
      </c>
      <c r="AA45" s="21">
        <f t="shared" si="67"/>
        <v>4.6884644177329016E-2</v>
      </c>
      <c r="AE45" s="180"/>
    </row>
    <row r="46" spans="1:31" hidden="1" outlineLevel="1" x14ac:dyDescent="0.2">
      <c r="A46" s="8" t="s">
        <v>118</v>
      </c>
      <c r="B46" s="20">
        <f>SUMIFS(Tabla2[IMPORT],Tabla2[ANY],$Z$2,Tabla2[MES],'2022'!B$2,Tabla2[TIPUS],'2022'!$A46)</f>
        <v>0</v>
      </c>
      <c r="C46" s="21">
        <f t="shared" si="66"/>
        <v>0</v>
      </c>
      <c r="D46" s="20">
        <f>SUMIFS(Tabla2[IMPORT],Tabla2[ANY],$Z$2,Tabla2[MES],'2022'!D$2,Tabla2[TIPUS],'2022'!$A46)</f>
        <v>0</v>
      </c>
      <c r="E46" s="21">
        <f t="shared" si="66"/>
        <v>0</v>
      </c>
      <c r="F46" s="20">
        <f>SUMIFS(Tabla2[IMPORT],Tabla2[ANY],$Z$2,Tabla2[MES],'2022'!F$2,Tabla2[TIPUS],'2022'!$A46)</f>
        <v>0</v>
      </c>
      <c r="G46" s="21">
        <f t="shared" si="55"/>
        <v>0</v>
      </c>
      <c r="H46" s="20">
        <f>SUMIFS(Tabla2[IMPORT],Tabla2[ANY],$Z$2,Tabla2[MES],'2022'!H$2,Tabla2[TIPUS],'2022'!$A46)</f>
        <v>0</v>
      </c>
      <c r="I46" s="21">
        <f t="shared" si="56"/>
        <v>0</v>
      </c>
      <c r="J46" s="20">
        <f>SUMIFS(Tabla2[IMPORT],Tabla2[ANY],$Z$2,Tabla2[MES],'2022'!J$2,Tabla2[TIPUS],'2022'!$A46)</f>
        <v>0</v>
      </c>
      <c r="K46" s="21">
        <f t="shared" si="57"/>
        <v>0</v>
      </c>
      <c r="L46" s="20">
        <f>SUMIFS(Tabla2[IMPORT],Tabla2[ANY],$Z$2,Tabla2[MES],'2022'!L$2,Tabla2[TIPUS],'2022'!$A46)</f>
        <v>0</v>
      </c>
      <c r="M46" s="21">
        <f t="shared" si="58"/>
        <v>0</v>
      </c>
      <c r="N46" s="20">
        <f>SUMIFS(Tabla2[IMPORT],Tabla2[ANY],$Z$2,Tabla2[MES],'2022'!N$2,Tabla2[TIPUS],'2022'!$A46)</f>
        <v>0</v>
      </c>
      <c r="O46" s="21">
        <f t="shared" si="59"/>
        <v>0</v>
      </c>
      <c r="P46" s="20">
        <f>SUMIFS(Tabla2[IMPORT],Tabla2[ANY],$Z$2,Tabla2[MES],'2022'!P$2,Tabla2[TIPUS],'2022'!$A46)</f>
        <v>0</v>
      </c>
      <c r="Q46" s="21">
        <f t="shared" si="60"/>
        <v>0</v>
      </c>
      <c r="R46" s="20">
        <f>SUMIFS(Tabla2[IMPORT],Tabla2[ANY],$Z$2,Tabla2[MES],'2022'!R$2,Tabla2[TIPUS],'2022'!$A46)</f>
        <v>0</v>
      </c>
      <c r="S46" s="21">
        <f t="shared" si="61"/>
        <v>0</v>
      </c>
      <c r="T46" s="20">
        <f>SUMIFS(Tabla2[IMPORT],Tabla2[ANY],$Z$2,Tabla2[MES],'2022'!T$2,Tabla2[TIPUS],'2022'!$A46)</f>
        <v>0</v>
      </c>
      <c r="U46" s="21">
        <f t="shared" si="62"/>
        <v>0</v>
      </c>
      <c r="V46" s="20">
        <f>SUMIFS(Tabla2[IMPORT],Tabla2[ANY],$Z$2,Tabla2[MES],'2022'!V$2,Tabla2[TIPUS],'2022'!$A46)</f>
        <v>0</v>
      </c>
      <c r="W46" s="21">
        <f t="shared" si="63"/>
        <v>0</v>
      </c>
      <c r="X46" s="20">
        <f>SUMIFS(Tabla2[IMPORT],Tabla2[ANY],$Z$2,Tabla2[MES],'2022'!X$2,Tabla2[TIPUS],'2022'!$A46)</f>
        <v>0</v>
      </c>
      <c r="Y46" s="21">
        <f t="shared" si="64"/>
        <v>0</v>
      </c>
      <c r="Z46" s="20">
        <f t="shared" si="65"/>
        <v>0</v>
      </c>
      <c r="AA46" s="21">
        <f t="shared" si="67"/>
        <v>0</v>
      </c>
      <c r="AE46" s="180"/>
    </row>
    <row r="47" spans="1:31" hidden="1" outlineLevel="1" x14ac:dyDescent="0.2">
      <c r="A47" s="8" t="s">
        <v>97</v>
      </c>
      <c r="B47" s="20">
        <f>SUMIFS(Tabla2[IMPORT],Tabla2[ANY],$Z$2,Tabla2[MES],'2022'!B$2,Tabla2[TIPUS],'2022'!$A47)</f>
        <v>0</v>
      </c>
      <c r="C47" s="21">
        <f t="shared" si="66"/>
        <v>0</v>
      </c>
      <c r="D47" s="20">
        <f>SUMIFS(Tabla2[IMPORT],Tabla2[ANY],$Z$2,Tabla2[MES],'2022'!D$2,Tabla2[TIPUS],'2022'!$A47)</f>
        <v>0</v>
      </c>
      <c r="E47" s="21">
        <f t="shared" si="66"/>
        <v>0</v>
      </c>
      <c r="F47" s="20">
        <f>SUMIFS(Tabla2[IMPORT],Tabla2[ANY],$Z$2,Tabla2[MES],'2022'!F$2,Tabla2[TIPUS],'2022'!$A47)</f>
        <v>0</v>
      </c>
      <c r="G47" s="21">
        <f t="shared" si="55"/>
        <v>0</v>
      </c>
      <c r="H47" s="20">
        <f>SUMIFS(Tabla2[IMPORT],Tabla2[ANY],$Z$2,Tabla2[MES],'2022'!H$2,Tabla2[TIPUS],'2022'!$A47)</f>
        <v>0</v>
      </c>
      <c r="I47" s="21">
        <f t="shared" si="56"/>
        <v>0</v>
      </c>
      <c r="J47" s="20">
        <f>SUMIFS(Tabla2[IMPORT],Tabla2[ANY],$Z$2,Tabla2[MES],'2022'!J$2,Tabla2[TIPUS],'2022'!$A47)</f>
        <v>0</v>
      </c>
      <c r="K47" s="21">
        <f t="shared" si="57"/>
        <v>0</v>
      </c>
      <c r="L47" s="20">
        <f>SUMIFS(Tabla2[IMPORT],Tabla2[ANY],$Z$2,Tabla2[MES],'2022'!L$2,Tabla2[TIPUS],'2022'!$A47)</f>
        <v>0</v>
      </c>
      <c r="M47" s="21">
        <f t="shared" si="58"/>
        <v>0</v>
      </c>
      <c r="N47" s="20">
        <f>SUMIFS(Tabla2[IMPORT],Tabla2[ANY],$Z$2,Tabla2[MES],'2022'!N$2,Tabla2[TIPUS],'2022'!$A47)</f>
        <v>0</v>
      </c>
      <c r="O47" s="21">
        <f t="shared" si="59"/>
        <v>0</v>
      </c>
      <c r="P47" s="20">
        <f>SUMIFS(Tabla2[IMPORT],Tabla2[ANY],$Z$2,Tabla2[MES],'2022'!P$2,Tabla2[TIPUS],'2022'!$A47)</f>
        <v>0</v>
      </c>
      <c r="Q47" s="21">
        <f t="shared" si="60"/>
        <v>0</v>
      </c>
      <c r="R47" s="20">
        <f>SUMIFS(Tabla2[IMPORT],Tabla2[ANY],$Z$2,Tabla2[MES],'2022'!R$2,Tabla2[TIPUS],'2022'!$A47)</f>
        <v>0</v>
      </c>
      <c r="S47" s="21">
        <f t="shared" si="61"/>
        <v>0</v>
      </c>
      <c r="T47" s="20">
        <f>SUMIFS(Tabla2[IMPORT],Tabla2[ANY],$Z$2,Tabla2[MES],'2022'!T$2,Tabla2[TIPUS],'2022'!$A47)</f>
        <v>0</v>
      </c>
      <c r="U47" s="21">
        <f t="shared" si="62"/>
        <v>0</v>
      </c>
      <c r="V47" s="20">
        <f>SUMIFS(Tabla2[IMPORT],Tabla2[ANY],$Z$2,Tabla2[MES],'2022'!V$2,Tabla2[TIPUS],'2022'!$A47)</f>
        <v>0</v>
      </c>
      <c r="W47" s="21">
        <f t="shared" si="63"/>
        <v>0</v>
      </c>
      <c r="X47" s="20">
        <f>SUMIFS(Tabla2[IMPORT],Tabla2[ANY],$Z$2,Tabla2[MES],'2022'!X$2,Tabla2[TIPUS],'2022'!$A47)</f>
        <v>0</v>
      </c>
      <c r="Y47" s="21">
        <f t="shared" si="64"/>
        <v>0</v>
      </c>
      <c r="Z47" s="20">
        <f t="shared" si="65"/>
        <v>0</v>
      </c>
      <c r="AA47" s="21">
        <f t="shared" si="67"/>
        <v>0</v>
      </c>
      <c r="AE47" s="180"/>
    </row>
    <row r="48" spans="1:31" hidden="1" outlineLevel="1" x14ac:dyDescent="0.2">
      <c r="A48" s="8" t="s">
        <v>113</v>
      </c>
      <c r="B48" s="20">
        <f>SUMIFS(Tabla2[IMPORT],Tabla2[ANY],$Z$2,Tabla2[MES],'2022'!B$2,Tabla2[TIPUS],'2022'!$A48)</f>
        <v>59</v>
      </c>
      <c r="C48" s="21">
        <f t="shared" si="66"/>
        <v>6.7374671691218455E-2</v>
      </c>
      <c r="D48" s="20">
        <f>SUMIFS(Tabla2[IMPORT],Tabla2[ANY],$Z$2,Tabla2[MES],'2022'!D$2,Tabla2[TIPUS],'2022'!$A48)</f>
        <v>64.95</v>
      </c>
      <c r="E48" s="21">
        <f t="shared" si="66"/>
        <v>0.13493300093487068</v>
      </c>
      <c r="F48" s="20">
        <f>SUMIFS(Tabla2[IMPORT],Tabla2[ANY],$Z$2,Tabla2[MES],'2022'!F$2,Tabla2[TIPUS],'2022'!$A48)</f>
        <v>68.22</v>
      </c>
      <c r="G48" s="21">
        <f t="shared" si="55"/>
        <v>0.14077008790392473</v>
      </c>
      <c r="H48" s="20">
        <f>SUMIFS(Tabla2[IMPORT],Tabla2[ANY],$Z$2,Tabla2[MES],'2022'!H$2,Tabla2[TIPUS],'2022'!$A48)</f>
        <v>54.06</v>
      </c>
      <c r="I48" s="21">
        <f t="shared" si="56"/>
        <v>0.15165797003871404</v>
      </c>
      <c r="J48" s="20">
        <f>SUMIFS(Tabla2[IMPORT],Tabla2[ANY],$Z$2,Tabla2[MES],'2022'!J$2,Tabla2[TIPUS],'2022'!$A48)</f>
        <v>62</v>
      </c>
      <c r="K48" s="21">
        <f t="shared" si="57"/>
        <v>0.14639905548996457</v>
      </c>
      <c r="L48" s="20">
        <f>SUMIFS(Tabla2[IMPORT],Tabla2[ANY],$Z$2,Tabla2[MES],'2022'!L$2,Tabla2[TIPUS],'2022'!$A48)</f>
        <v>62</v>
      </c>
      <c r="M48" s="21">
        <f t="shared" si="58"/>
        <v>6.1622868047548997E-2</v>
      </c>
      <c r="N48" s="20">
        <f>SUMIFS(Tabla2[IMPORT],Tabla2[ANY],$Z$2,Tabla2[MES],'2022'!N$2,Tabla2[TIPUS],'2022'!$A48)</f>
        <v>80</v>
      </c>
      <c r="O48" s="21">
        <f t="shared" si="59"/>
        <v>0.12484004868761898</v>
      </c>
      <c r="P48" s="20">
        <f>SUMIFS(Tabla2[IMPORT],Tabla2[ANY],$Z$2,Tabla2[MES],'2022'!P$2,Tabla2[TIPUS],'2022'!$A48)</f>
        <v>62</v>
      </c>
      <c r="Q48" s="21">
        <f t="shared" si="60"/>
        <v>0.1</v>
      </c>
      <c r="R48" s="20">
        <f>SUMIFS(Tabla2[IMPORT],Tabla2[ANY],$Z$2,Tabla2[MES],'2022'!R$2,Tabla2[TIPUS],'2022'!$A48)</f>
        <v>0</v>
      </c>
      <c r="S48" s="21">
        <f t="shared" si="61"/>
        <v>0</v>
      </c>
      <c r="T48" s="20">
        <f>SUMIFS(Tabla2[IMPORT],Tabla2[ANY],$Z$2,Tabla2[MES],'2022'!T$2,Tabla2[TIPUS],'2022'!$A48)</f>
        <v>62</v>
      </c>
      <c r="U48" s="21">
        <f t="shared" si="62"/>
        <v>0.1</v>
      </c>
      <c r="V48" s="20">
        <f>SUMIFS(Tabla2[IMPORT],Tabla2[ANY],$Z$2,Tabla2[MES],'2022'!V$2,Tabla2[TIPUS],'2022'!$A48)</f>
        <v>62.3</v>
      </c>
      <c r="W48" s="21">
        <f t="shared" si="63"/>
        <v>0.10043527325487668</v>
      </c>
      <c r="X48" s="20">
        <f>SUMIFS(Tabla2[IMPORT],Tabla2[ANY],$Z$2,Tabla2[MES],'2022'!X$2,Tabla2[TIPUS],'2022'!$A48)</f>
        <v>62</v>
      </c>
      <c r="Y48" s="21">
        <f t="shared" si="64"/>
        <v>0.1</v>
      </c>
      <c r="Z48" s="20">
        <f t="shared" si="65"/>
        <v>698.53</v>
      </c>
      <c r="AA48" s="21">
        <f t="shared" si="67"/>
        <v>9.5599073200973869E-2</v>
      </c>
      <c r="AE48" s="180"/>
    </row>
    <row r="49" spans="1:31" collapsed="1" x14ac:dyDescent="0.2">
      <c r="A49" s="34" t="s">
        <v>86</v>
      </c>
      <c r="B49" s="18">
        <f>SUM(B50:B54)</f>
        <v>0</v>
      </c>
      <c r="C49" s="19">
        <f>IF(B$40=0,0,B49/B$40)</f>
        <v>0</v>
      </c>
      <c r="D49" s="18">
        <f>SUM(D50:D54)</f>
        <v>270</v>
      </c>
      <c r="E49" s="19">
        <f>IF(D$40=0,0,D49/D$40)</f>
        <v>0.3593531643042524</v>
      </c>
      <c r="F49" s="18">
        <f>SUM(F50:F54)</f>
        <v>578.58999999999992</v>
      </c>
      <c r="G49" s="19">
        <f>IF(F$40=0,0,F49/F$40)</f>
        <v>0.54419164605299042</v>
      </c>
      <c r="H49" s="18">
        <f>SUM(H50:H54)</f>
        <v>358.47</v>
      </c>
      <c r="I49" s="19">
        <f>IF(H$40=0,0,H49/H$40)</f>
        <v>0.50140573202970917</v>
      </c>
      <c r="J49" s="18">
        <f>SUM(J50:J54)</f>
        <v>434.24</v>
      </c>
      <c r="K49" s="19">
        <f>IF(J$40=0,0,J49/J$40)</f>
        <v>0.50626063842189939</v>
      </c>
      <c r="L49" s="18">
        <f>SUM(L50:L54)</f>
        <v>272.5</v>
      </c>
      <c r="M49" s="19">
        <f>IF(L$40=0,0,L49/L$40)</f>
        <v>0.21312039542631903</v>
      </c>
      <c r="N49" s="18">
        <f>SUM(N50:N54)</f>
        <v>107.37</v>
      </c>
      <c r="O49" s="19">
        <f>IF(N$40=0,0,N49/N$40)</f>
        <v>0.14350632860637003</v>
      </c>
      <c r="P49" s="18">
        <f>SUM(P50:P54)</f>
        <v>262.39999999999998</v>
      </c>
      <c r="Q49" s="19">
        <f>IF(P$40=0,0,P49/P$40)</f>
        <v>0.29737080689029916</v>
      </c>
      <c r="R49" s="18">
        <f>SUM(R50:R54)</f>
        <v>456.42</v>
      </c>
      <c r="S49" s="19">
        <f>IF(R$40=0,0,R49/R$40)</f>
        <v>0.44993198083633995</v>
      </c>
      <c r="T49" s="18">
        <f>SUM(T50:T54)</f>
        <v>150</v>
      </c>
      <c r="U49" s="19">
        <f>IF(T$40=0,0,T49/T$40)</f>
        <v>0.19480519480519481</v>
      </c>
      <c r="V49" s="18">
        <f>SUM(V50:V54)</f>
        <v>1004.5500000000001</v>
      </c>
      <c r="W49" s="19">
        <f>IF(V$40=0,0,V49/V$40)</f>
        <v>0.61824168384773992</v>
      </c>
      <c r="X49" s="18">
        <f>SUM(X50:X54)</f>
        <v>0</v>
      </c>
      <c r="Y49" s="19">
        <f>IF(X$40=0,0,X49/X$40)</f>
        <v>0</v>
      </c>
      <c r="Z49" s="18">
        <f>SUM(Z50:Z54)</f>
        <v>3894.54</v>
      </c>
      <c r="AA49" s="19">
        <f>IF(Z$40=0,0,Z49/Z$40)</f>
        <v>0.34768301490615916</v>
      </c>
      <c r="AE49" s="180"/>
    </row>
    <row r="50" spans="1:31" hidden="1" outlineLevel="1" x14ac:dyDescent="0.2">
      <c r="A50" s="8" t="s">
        <v>87</v>
      </c>
      <c r="B50" s="20">
        <f>SUMIFS(Tabla2[IMPORT],Tabla2[ANY],$Z$2,Tabla2[MES],'2022'!B$2,Tabla2[TIPUS],'2022'!$A50)</f>
        <v>0</v>
      </c>
      <c r="C50" s="21">
        <f>IF(B$49=0,0,B50/B$49)</f>
        <v>0</v>
      </c>
      <c r="D50" s="20">
        <f>SUMIFS(Tabla2[IMPORT],Tabla2[ANY],$Z$2,Tabla2[MES],'2022'!D$2,Tabla2[TIPUS],'2022'!$A50)</f>
        <v>0</v>
      </c>
      <c r="E50" s="21">
        <f>IF(D$49=0,0,D50/D$49)</f>
        <v>0</v>
      </c>
      <c r="F50" s="20">
        <f>SUMIFS(Tabla2[IMPORT],Tabla2[ANY],$Z$2,Tabla2[MES],'2022'!F$2,Tabla2[TIPUS],'2022'!$A50)</f>
        <v>0</v>
      </c>
      <c r="G50" s="21">
        <f>IF(F$49=0,0,F50/F$49)</f>
        <v>0</v>
      </c>
      <c r="H50" s="20">
        <f>SUMIFS(Tabla2[IMPORT],Tabla2[ANY],$Z$2,Tabla2[MES],'2022'!H$2,Tabla2[TIPUS],'2022'!$A50)</f>
        <v>0</v>
      </c>
      <c r="I50" s="21">
        <f>IF(H$49=0,0,H50/H$49)</f>
        <v>0</v>
      </c>
      <c r="J50" s="20">
        <f>SUMIFS(Tabla2[IMPORT],Tabla2[ANY],$Z$2,Tabla2[MES],'2022'!J$2,Tabla2[TIPUS],'2022'!$A50)</f>
        <v>284.24</v>
      </c>
      <c r="K50" s="21">
        <f>IF(J$49=0,0,J50/J$49)</f>
        <v>0.65456890198968309</v>
      </c>
      <c r="L50" s="20">
        <f>SUMIFS(Tabla2[IMPORT],Tabla2[ANY],$Z$2,Tabla2[MES],'2022'!L$2,Tabla2[TIPUS],'2022'!$A50)</f>
        <v>0</v>
      </c>
      <c r="M50" s="21">
        <f>IF(L$49=0,0,L50/L$49)</f>
        <v>0</v>
      </c>
      <c r="N50" s="20">
        <f>SUMIFS(Tabla2[IMPORT],Tabla2[ANY],$Z$2,Tabla2[MES],'2022'!N$2,Tabla2[TIPUS],'2022'!$A50)</f>
        <v>0</v>
      </c>
      <c r="O50" s="21">
        <f>IF(N$49=0,0,N50/N$49)</f>
        <v>0</v>
      </c>
      <c r="P50" s="20">
        <f>SUMIFS(Tabla2[IMPORT],Tabla2[ANY],$Z$2,Tabla2[MES],'2022'!P$2,Tabla2[TIPUS],'2022'!$A50)</f>
        <v>252.59000000000003</v>
      </c>
      <c r="Q50" s="21">
        <f>IF(P$49=0,0,P50/P$49)</f>
        <v>0.96261432926829293</v>
      </c>
      <c r="R50" s="20">
        <f>SUMIFS(Tabla2[IMPORT],Tabla2[ANY],$Z$2,Tabla2[MES],'2022'!R$2,Tabla2[TIPUS],'2022'!$A50)</f>
        <v>0</v>
      </c>
      <c r="S50" s="21">
        <f>IF(R$49=0,0,R50/R$49)</f>
        <v>0</v>
      </c>
      <c r="T50" s="20">
        <f>SUMIFS(Tabla2[IMPORT],Tabla2[ANY],$Z$2,Tabla2[MES],'2022'!T$2,Tabla2[TIPUS],'2022'!$A50)</f>
        <v>0</v>
      </c>
      <c r="U50" s="21">
        <f>IF(T$49=0,0,T50/T$49)</f>
        <v>0</v>
      </c>
      <c r="V50" s="20">
        <f>SUMIFS(Tabla2[IMPORT],Tabla2[ANY],$Z$2,Tabla2[MES],'2022'!V$2,Tabla2[TIPUS],'2022'!$A50)</f>
        <v>818.43000000000006</v>
      </c>
      <c r="W50" s="21">
        <f>IF(V$49=0,0,V50/V$49)</f>
        <v>0.81472301030312078</v>
      </c>
      <c r="X50" s="20">
        <f>SUMIFS(Tabla2[IMPORT],Tabla2[ANY],$Z$2,Tabla2[MES],'2022'!X$2,Tabla2[TIPUS],'2022'!$A50)</f>
        <v>0</v>
      </c>
      <c r="Y50" s="21">
        <f>IF(X$49=0,0,X50/X$49)</f>
        <v>0</v>
      </c>
      <c r="Z50" s="20">
        <f t="shared" si="65"/>
        <v>1355.2600000000002</v>
      </c>
      <c r="AA50" s="21">
        <f>IF(Z$49=0,0,Z50/Z$49)</f>
        <v>0.34798974975221725</v>
      </c>
      <c r="AC50" s="79">
        <f>Z50+'2021'!AC50</f>
        <v>1717.3900000000003</v>
      </c>
      <c r="AE50" s="180"/>
    </row>
    <row r="51" spans="1:31" hidden="1" outlineLevel="1" x14ac:dyDescent="0.2">
      <c r="A51" s="8" t="s">
        <v>88</v>
      </c>
      <c r="B51" s="20">
        <f>SUMIFS(Tabla2[IMPORT],Tabla2[ANY],$Z$2,Tabla2[MES],'2022'!B$2,Tabla2[TIPUS],'2022'!$A51)</f>
        <v>0</v>
      </c>
      <c r="C51" s="21">
        <f t="shared" ref="C51:E54" si="68">IF(B$49=0,0,B51/B$49)</f>
        <v>0</v>
      </c>
      <c r="D51" s="20">
        <f>SUMIFS(Tabla2[IMPORT],Tabla2[ANY],$Z$2,Tabla2[MES],'2022'!D$2,Tabla2[TIPUS],'2022'!$A51)</f>
        <v>0</v>
      </c>
      <c r="E51" s="21">
        <f t="shared" si="68"/>
        <v>0</v>
      </c>
      <c r="F51" s="20">
        <f>SUMIFS(Tabla2[IMPORT],Tabla2[ANY],$Z$2,Tabla2[MES],'2022'!F$2,Tabla2[TIPUS],'2022'!$A51)</f>
        <v>0</v>
      </c>
      <c r="G51" s="21">
        <f>IF(F$49=0,0,F51/F$49)</f>
        <v>0</v>
      </c>
      <c r="H51" s="20">
        <f>SUMIFS(Tabla2[IMPORT],Tabla2[ANY],$Z$2,Tabla2[MES],'2022'!H$2,Tabla2[TIPUS],'2022'!$A51)</f>
        <v>0</v>
      </c>
      <c r="I51" s="21">
        <f>IF(H$49=0,0,H51/H$49)</f>
        <v>0</v>
      </c>
      <c r="J51" s="20">
        <f>SUMIFS(Tabla2[IMPORT],Tabla2[ANY],$Z$2,Tabla2[MES],'2022'!J$2,Tabla2[TIPUS],'2022'!$A51)</f>
        <v>0</v>
      </c>
      <c r="K51" s="21">
        <f>IF(J$49=0,0,J51/J$49)</f>
        <v>0</v>
      </c>
      <c r="L51" s="20">
        <f>SUMIFS(Tabla2[IMPORT],Tabla2[ANY],$Z$2,Tabla2[MES],'2022'!L$2,Tabla2[TIPUS],'2022'!$A51)</f>
        <v>0</v>
      </c>
      <c r="M51" s="21">
        <f>IF(L$49=0,0,L51/L$49)</f>
        <v>0</v>
      </c>
      <c r="N51" s="20">
        <f>SUMIFS(Tabla2[IMPORT],Tabla2[ANY],$Z$2,Tabla2[MES],'2022'!N$2,Tabla2[TIPUS],'2022'!$A51)</f>
        <v>0</v>
      </c>
      <c r="O51" s="21">
        <f>IF(N$49=0,0,N51/N$49)</f>
        <v>0</v>
      </c>
      <c r="P51" s="20">
        <f>SUMIFS(Tabla2[IMPORT],Tabla2[ANY],$Z$2,Tabla2[MES],'2022'!P$2,Tabla2[TIPUS],'2022'!$A51)</f>
        <v>0</v>
      </c>
      <c r="Q51" s="21">
        <f>IF(P$49=0,0,P51/P$49)</f>
        <v>0</v>
      </c>
      <c r="R51" s="20">
        <f>SUMIFS(Tabla2[IMPORT],Tabla2[ANY],$Z$2,Tabla2[MES],'2022'!R$2,Tabla2[TIPUS],'2022'!$A51)</f>
        <v>0</v>
      </c>
      <c r="S51" s="21">
        <f>IF(R$49=0,0,R51/R$49)</f>
        <v>0</v>
      </c>
      <c r="T51" s="20">
        <f>SUMIFS(Tabla2[IMPORT],Tabla2[ANY],$Z$2,Tabla2[MES],'2022'!T$2,Tabla2[TIPUS],'2022'!$A51)</f>
        <v>0</v>
      </c>
      <c r="U51" s="21">
        <f>IF(T$49=0,0,T51/T$49)</f>
        <v>0</v>
      </c>
      <c r="V51" s="20">
        <f>SUMIFS(Tabla2[IMPORT],Tabla2[ANY],$Z$2,Tabla2[MES],'2022'!V$2,Tabla2[TIPUS],'2022'!$A51)</f>
        <v>0</v>
      </c>
      <c r="W51" s="21">
        <f>IF(V$49=0,0,V51/V$49)</f>
        <v>0</v>
      </c>
      <c r="X51" s="20">
        <f>SUMIFS(Tabla2[IMPORT],Tabla2[ANY],$Z$2,Tabla2[MES],'2022'!X$2,Tabla2[TIPUS],'2022'!$A51)</f>
        <v>0</v>
      </c>
      <c r="Y51" s="21">
        <f>IF(X$49=0,0,X51/X$49)</f>
        <v>0</v>
      </c>
      <c r="Z51" s="20">
        <f t="shared" si="65"/>
        <v>0</v>
      </c>
      <c r="AA51" s="21">
        <f>IF(Z$49=0,0,Z51/Z$49)</f>
        <v>0</v>
      </c>
      <c r="AC51">
        <f>AC50/1.21</f>
        <v>1419.3305785123971</v>
      </c>
      <c r="AE51" s="180"/>
    </row>
    <row r="52" spans="1:31" hidden="1" outlineLevel="1" x14ac:dyDescent="0.2">
      <c r="A52" s="8" t="s">
        <v>89</v>
      </c>
      <c r="B52" s="20">
        <f>SUMIFS(Tabla2[IMPORT],Tabla2[ANY],$Z$2,Tabla2[MES],'2022'!B$2,Tabla2[TIPUS],'2022'!$A52)</f>
        <v>0</v>
      </c>
      <c r="C52" s="21">
        <f t="shared" si="68"/>
        <v>0</v>
      </c>
      <c r="D52" s="20">
        <f>SUMIFS(Tabla2[IMPORT],Tabla2[ANY],$Z$2,Tabla2[MES],'2022'!D$2,Tabla2[TIPUS],'2022'!$A52)</f>
        <v>0</v>
      </c>
      <c r="E52" s="21">
        <f t="shared" si="68"/>
        <v>0</v>
      </c>
      <c r="F52" s="20">
        <f>SUMIFS(Tabla2[IMPORT],Tabla2[ANY],$Z$2,Tabla2[MES],'2022'!F$2,Tabla2[TIPUS],'2022'!$A52)</f>
        <v>458.59</v>
      </c>
      <c r="G52" s="21">
        <f>IF(F$49=0,0,F52/F$49)</f>
        <v>0.79259924990062058</v>
      </c>
      <c r="H52" s="20">
        <f>SUMIFS(Tabla2[IMPORT],Tabla2[ANY],$Z$2,Tabla2[MES],'2022'!H$2,Tabla2[TIPUS],'2022'!$A52)</f>
        <v>238.47</v>
      </c>
      <c r="I52" s="21">
        <f>IF(H$49=0,0,H52/H$49)</f>
        <v>0.66524395346890952</v>
      </c>
      <c r="J52" s="20">
        <f>SUMIFS(Tabla2[IMPORT],Tabla2[ANY],$Z$2,Tabla2[MES],'2022'!J$2,Tabla2[TIPUS],'2022'!$A52)</f>
        <v>0</v>
      </c>
      <c r="K52" s="21">
        <f>IF(J$49=0,0,J52/J$49)</f>
        <v>0</v>
      </c>
      <c r="L52" s="20">
        <f>SUMIFS(Tabla2[IMPORT],Tabla2[ANY],$Z$2,Tabla2[MES],'2022'!L$2,Tabla2[TIPUS],'2022'!$A52)</f>
        <v>172.5</v>
      </c>
      <c r="M52" s="21">
        <f>IF(L$49=0,0,L52/L$49)</f>
        <v>0.6330275229357798</v>
      </c>
      <c r="N52" s="20">
        <f>SUMIFS(Tabla2[IMPORT],Tabla2[ANY],$Z$2,Tabla2[MES],'2022'!N$2,Tabla2[TIPUS],'2022'!$A52)</f>
        <v>107.37</v>
      </c>
      <c r="O52" s="21">
        <f>IF(N$49=0,0,N52/N$49)</f>
        <v>1</v>
      </c>
      <c r="P52" s="20">
        <f>SUMIFS(Tabla2[IMPORT],Tabla2[ANY],$Z$2,Tabla2[MES],'2022'!P$2,Tabla2[TIPUS],'2022'!$A52)</f>
        <v>9.8099999999999454</v>
      </c>
      <c r="Q52" s="21">
        <f>IF(P$49=0,0,P52/P$49)</f>
        <v>3.7385670731707114E-2</v>
      </c>
      <c r="R52" s="20">
        <f>SUMIFS(Tabla2[IMPORT],Tabla2[ANY],$Z$2,Tabla2[MES],'2022'!R$2,Tabla2[TIPUS],'2022'!$A52)</f>
        <v>336.42</v>
      </c>
      <c r="S52" s="21">
        <f>IF(R$49=0,0,R52/R$49)</f>
        <v>0.73708426449322995</v>
      </c>
      <c r="T52" s="20">
        <f>SUMIFS(Tabla2[IMPORT],Tabla2[ANY],$Z$2,Tabla2[MES],'2022'!T$2,Tabla2[TIPUS],'2022'!$A52)</f>
        <v>0</v>
      </c>
      <c r="U52" s="21">
        <f>IF(T$49=0,0,T52/T$49)</f>
        <v>0</v>
      </c>
      <c r="V52" s="20">
        <f>SUMIFS(Tabla2[IMPORT],Tabla2[ANY],$Z$2,Tabla2[MES],'2022'!V$2,Tabla2[TIPUS],'2022'!$A52)</f>
        <v>26.12</v>
      </c>
      <c r="W52" s="21">
        <f>IF(V$49=0,0,V52/V$49)</f>
        <v>2.6001692300034841E-2</v>
      </c>
      <c r="X52" s="20">
        <f>SUMIFS(Tabla2[IMPORT],Tabla2[ANY],$Z$2,Tabla2[MES],'2022'!X$2,Tabla2[TIPUS],'2022'!$A52)</f>
        <v>0</v>
      </c>
      <c r="Y52" s="21">
        <f>IF(X$49=0,0,X52/X$49)</f>
        <v>0</v>
      </c>
      <c r="Z52" s="20">
        <f t="shared" si="65"/>
        <v>1349.2799999999997</v>
      </c>
      <c r="AA52" s="21">
        <f>IF(Z$49=0,0,Z52/Z$49)</f>
        <v>0.34645426674267044</v>
      </c>
      <c r="AC52">
        <f>AC51*1.1</f>
        <v>1561.263636363637</v>
      </c>
      <c r="AE52" s="180"/>
    </row>
    <row r="53" spans="1:31" hidden="1" outlineLevel="1" x14ac:dyDescent="0.2">
      <c r="A53" s="8" t="s">
        <v>145</v>
      </c>
      <c r="B53" s="20">
        <f>SUMIFS(Tabla2[IMPORT],Tabla2[ANY],$Z$2,Tabla2[MES],'2022'!B$2,Tabla2[TIPUS],'2022'!$A53)</f>
        <v>0</v>
      </c>
      <c r="C53" s="21">
        <f>IF(B$49=0,0,B53/B$49)</f>
        <v>0</v>
      </c>
      <c r="D53" s="20">
        <f>SUMIFS(Tabla2[IMPORT],Tabla2[ANY],$Z$2,Tabla2[MES],'2022'!D$2,Tabla2[TIPUS],'2022'!$A53)</f>
        <v>0</v>
      </c>
      <c r="E53" s="21">
        <f>IF(D$49=0,0,D53/D$49)</f>
        <v>0</v>
      </c>
      <c r="F53" s="20">
        <f>SUMIFS(Tabla2[IMPORT],Tabla2[ANY],$Z$2,Tabla2[MES],'2022'!F$2,Tabla2[TIPUS],'2022'!$A53)</f>
        <v>0</v>
      </c>
      <c r="G53" s="21">
        <f>IF(F$49=0,0,F53/F$49)</f>
        <v>0</v>
      </c>
      <c r="H53" s="20">
        <f>SUMIFS(Tabla2[IMPORT],Tabla2[ANY],$Z$2,Tabla2[MES],'2022'!H$2,Tabla2[TIPUS],'2022'!$A53)</f>
        <v>0</v>
      </c>
      <c r="I53" s="21">
        <f>IF(H$49=0,0,H53/H$49)</f>
        <v>0</v>
      </c>
      <c r="J53" s="20">
        <f>SUMIFS(Tabla2[IMPORT],Tabla2[ANY],$Z$2,Tabla2[MES],'2022'!J$2,Tabla2[TIPUS],'2022'!$A53)</f>
        <v>0</v>
      </c>
      <c r="K53" s="21">
        <f>IF(J$49=0,0,J53/J$49)</f>
        <v>0</v>
      </c>
      <c r="L53" s="20">
        <f>SUMIFS(Tabla2[IMPORT],Tabla2[ANY],$Z$2,Tabla2[MES],'2022'!L$2,Tabla2[TIPUS],'2022'!$A53)</f>
        <v>0</v>
      </c>
      <c r="M53" s="21">
        <f>IF(L$49=0,0,L53/L$49)</f>
        <v>0</v>
      </c>
      <c r="N53" s="20">
        <f>SUMIFS(Tabla2[IMPORT],Tabla2[ANY],$Z$2,Tabla2[MES],'2022'!N$2,Tabla2[TIPUS],'2022'!$A53)</f>
        <v>0</v>
      </c>
      <c r="O53" s="21">
        <f>IF(N$49=0,0,N53/N$49)</f>
        <v>0</v>
      </c>
      <c r="P53" s="20">
        <f>SUMIFS(Tabla2[IMPORT],Tabla2[ANY],$Z$2,Tabla2[MES],'2022'!P$2,Tabla2[TIPUS],'2022'!$A53)</f>
        <v>0</v>
      </c>
      <c r="Q53" s="21">
        <f>IF(P$49=0,0,P53/P$49)</f>
        <v>0</v>
      </c>
      <c r="R53" s="20">
        <f>SUMIFS(Tabla2[IMPORT],Tabla2[ANY],$Z$2,Tabla2[MES],'2022'!R$2,Tabla2[TIPUS],'2022'!$A53)</f>
        <v>0</v>
      </c>
      <c r="S53" s="21">
        <f>IF(R$49=0,0,R53/R$49)</f>
        <v>0</v>
      </c>
      <c r="T53" s="20">
        <f>SUMIFS(Tabla2[IMPORT],Tabla2[ANY],$Z$2,Tabla2[MES],'2022'!T$2,Tabla2[TIPUS],'2022'!$A53)</f>
        <v>0</v>
      </c>
      <c r="U53" s="21">
        <f>IF(T$49=0,0,T53/T$49)</f>
        <v>0</v>
      </c>
      <c r="V53" s="20">
        <f>SUMIFS(Tabla2[IMPORT],Tabla2[ANY],$Z$2,Tabla2[MES],'2022'!V$2,Tabla2[TIPUS],'2022'!$A53)</f>
        <v>0</v>
      </c>
      <c r="W53" s="21">
        <f>IF(V$49=0,0,V53/V$49)</f>
        <v>0</v>
      </c>
      <c r="X53" s="20">
        <f>SUMIFS(Tabla2[IMPORT],Tabla2[ANY],$Z$2,Tabla2[MES],'2022'!X$2,Tabla2[TIPUS],'2022'!$A53)</f>
        <v>0</v>
      </c>
      <c r="Y53" s="21">
        <f>IF(X$49=0,0,X53/X$49)</f>
        <v>0</v>
      </c>
      <c r="Z53" s="20">
        <f>B53+D53+F53+H53+J53+L53+N53+P53+R53+T53+V53+X53</f>
        <v>0</v>
      </c>
      <c r="AA53" s="21">
        <f>IF(Z$49=0,0,Z53/Z$49)</f>
        <v>0</v>
      </c>
      <c r="AC53" s="79">
        <f>AC50-AC52</f>
        <v>156.12636363636329</v>
      </c>
      <c r="AE53" s="180"/>
    </row>
    <row r="54" spans="1:31" hidden="1" outlineLevel="1" x14ac:dyDescent="0.2">
      <c r="A54" s="8" t="s">
        <v>90</v>
      </c>
      <c r="B54" s="20">
        <f>SUMIFS(Tabla2[IMPORT],Tabla2[ANY],$Z$2,Tabla2[MES],'2022'!B$2,Tabla2[TIPUS],'2022'!$A54)</f>
        <v>0</v>
      </c>
      <c r="C54" s="21">
        <f t="shared" si="68"/>
        <v>0</v>
      </c>
      <c r="D54" s="20">
        <f>SUMIFS(Tabla2[IMPORT],Tabla2[ANY],$Z$2,Tabla2[MES],'2022'!D$2,Tabla2[TIPUS],'2022'!$A54)</f>
        <v>270</v>
      </c>
      <c r="E54" s="21">
        <f t="shared" si="68"/>
        <v>1</v>
      </c>
      <c r="F54" s="20">
        <f>SUMIFS(Tabla2[IMPORT],Tabla2[ANY],$Z$2,Tabla2[MES],'2022'!F$2,Tabla2[TIPUS],'2022'!$A54)</f>
        <v>120</v>
      </c>
      <c r="G54" s="21">
        <f>IF(F$49=0,0,F54/F$49)</f>
        <v>0.20740075009937955</v>
      </c>
      <c r="H54" s="20">
        <f>SUMIFS(Tabla2[IMPORT],Tabla2[ANY],$Z$2,Tabla2[MES],'2022'!H$2,Tabla2[TIPUS],'2022'!$A54)</f>
        <v>120</v>
      </c>
      <c r="I54" s="21">
        <f>IF(H$49=0,0,H54/H$49)</f>
        <v>0.33475604653109042</v>
      </c>
      <c r="J54" s="20">
        <f>SUMIFS(Tabla2[IMPORT],Tabla2[ANY],$Z$2,Tabla2[MES],'2022'!J$2,Tabla2[TIPUS],'2022'!$A54)</f>
        <v>150</v>
      </c>
      <c r="K54" s="21">
        <f>IF(J$49=0,0,J54/J$49)</f>
        <v>0.34543109801031685</v>
      </c>
      <c r="L54" s="20">
        <f>SUMIFS(Tabla2[IMPORT],Tabla2[ANY],$Z$2,Tabla2[MES],'2022'!L$2,Tabla2[TIPUS],'2022'!$A54)</f>
        <v>100</v>
      </c>
      <c r="M54" s="21">
        <f>IF(L$49=0,0,L54/L$49)</f>
        <v>0.3669724770642202</v>
      </c>
      <c r="N54" s="20">
        <f>SUMIFS(Tabla2[IMPORT],Tabla2[ANY],$Z$2,Tabla2[MES],'2022'!N$2,Tabla2[TIPUS],'2022'!$A54)</f>
        <v>0</v>
      </c>
      <c r="O54" s="21">
        <f>IF(N$49=0,0,N54/N$49)</f>
        <v>0</v>
      </c>
      <c r="P54" s="20">
        <f>SUMIFS(Tabla2[IMPORT],Tabla2[ANY],$Z$2,Tabla2[MES],'2022'!P$2,Tabla2[TIPUS],'2022'!$A54)</f>
        <v>0</v>
      </c>
      <c r="Q54" s="21">
        <f>IF(P$49=0,0,P54/P$49)</f>
        <v>0</v>
      </c>
      <c r="R54" s="20">
        <f>SUMIFS(Tabla2[IMPORT],Tabla2[ANY],$Z$2,Tabla2[MES],'2022'!R$2,Tabla2[TIPUS],'2022'!$A54)</f>
        <v>120</v>
      </c>
      <c r="S54" s="21">
        <f>IF(R$49=0,0,R54/R$49)</f>
        <v>0.26291573550677005</v>
      </c>
      <c r="T54" s="20">
        <f>SUMIFS(Tabla2[IMPORT],Tabla2[ANY],$Z$2,Tabla2[MES],'2022'!T$2,Tabla2[TIPUS],'2022'!$A54)</f>
        <v>150</v>
      </c>
      <c r="U54" s="21">
        <f>IF(T$49=0,0,T54/T$49)</f>
        <v>1</v>
      </c>
      <c r="V54" s="20">
        <f>SUMIFS(Tabla2[IMPORT],Tabla2[ANY],$Z$2,Tabla2[MES],'2022'!V$2,Tabla2[TIPUS],'2022'!$A54)</f>
        <v>160</v>
      </c>
      <c r="W54" s="21">
        <f>IF(V$49=0,0,V54/V$49)</f>
        <v>0.15927529739684435</v>
      </c>
      <c r="X54" s="20">
        <f>SUMIFS(Tabla2[IMPORT],Tabla2[ANY],$Z$2,Tabla2[MES],'2022'!X$2,Tabla2[TIPUS],'2022'!$A54)</f>
        <v>0</v>
      </c>
      <c r="Y54" s="21">
        <f>IF(X$49=0,0,X54/X$49)</f>
        <v>0</v>
      </c>
      <c r="Z54" s="20">
        <f t="shared" si="65"/>
        <v>1190</v>
      </c>
      <c r="AA54" s="21">
        <f>IF(Z$49=0,0,Z54/Z$49)</f>
        <v>0.30555598350511226</v>
      </c>
      <c r="AE54" s="180"/>
    </row>
    <row r="55" spans="1:31" ht="15.75" collapsed="1" thickBot="1" x14ac:dyDescent="0.25">
      <c r="A55" s="15" t="s">
        <v>121</v>
      </c>
      <c r="B55" s="26">
        <f>B3-B40</f>
        <v>554.29999999999995</v>
      </c>
      <c r="C55" s="27">
        <f>IF(B3=0,0,B55/B3)</f>
        <v>0.38762237762237761</v>
      </c>
      <c r="D55" s="26">
        <f>D3-D40</f>
        <v>1103.6500000000001</v>
      </c>
      <c r="E55" s="27">
        <f>IF(D3=0,0,D55/D3)</f>
        <v>0.5949595687331537</v>
      </c>
      <c r="F55" s="26">
        <f>F3-F40</f>
        <v>2061.79</v>
      </c>
      <c r="G55" s="27">
        <f>IF(F3=0,0,F55/F3)</f>
        <v>0.65977279999999994</v>
      </c>
      <c r="H55" s="26">
        <f>H3-H40</f>
        <v>3550.0699999999997</v>
      </c>
      <c r="I55" s="27">
        <f>IF(H3=0,0,H55/H3)</f>
        <v>0.83237280187573259</v>
      </c>
      <c r="J55" s="26">
        <f>J3-J40</f>
        <v>3017.26</v>
      </c>
      <c r="K55" s="27">
        <f>IF(J3=0,0,J55/J3)</f>
        <v>0.77864774193548392</v>
      </c>
      <c r="L55" s="26">
        <f>L3-L40</f>
        <v>2221.38</v>
      </c>
      <c r="M55" s="27">
        <f>IF(L3=0,0,L55/L3)</f>
        <v>0.63468000000000002</v>
      </c>
      <c r="N55" s="26">
        <f>N3-N40</f>
        <v>2246.81</v>
      </c>
      <c r="O55" s="27">
        <f>IF(N3=0,0,N55/N3)</f>
        <v>0.75018697829716197</v>
      </c>
      <c r="P55" s="26">
        <f>P3-P40</f>
        <v>592.6</v>
      </c>
      <c r="Q55" s="27">
        <f>IF(P3=0,0,P55/P3)</f>
        <v>0.40176271186440682</v>
      </c>
      <c r="R55" s="26">
        <f>R3-R40</f>
        <v>2340.58</v>
      </c>
      <c r="S55" s="27">
        <f>IF(R3=0,0,R55/R3)</f>
        <v>0.69763934426229501</v>
      </c>
      <c r="T55" s="26">
        <f>T3-T40</f>
        <v>3345</v>
      </c>
      <c r="U55" s="27">
        <f>IF(T3=0,0,T55/T3)</f>
        <v>0.81287970838396106</v>
      </c>
      <c r="V55" s="26">
        <f>V3-V40</f>
        <v>1265.1500000000001</v>
      </c>
      <c r="W55" s="27">
        <f>IF(V3=0,0,V55/V3)</f>
        <v>0.43776816608996544</v>
      </c>
      <c r="X55" s="26">
        <f>X3-X40</f>
        <v>4390</v>
      </c>
      <c r="Y55" s="27">
        <f>IF(X3=0,0,X55/X3)</f>
        <v>0.87624750499001991</v>
      </c>
      <c r="Z55" s="26">
        <f>Z3-Z40</f>
        <v>26688.59</v>
      </c>
      <c r="AA55" s="27">
        <f>IF(Z3=0,0,Z55/Z3)</f>
        <v>0.70437028239641064</v>
      </c>
      <c r="AE55" s="180"/>
    </row>
    <row r="56" spans="1:31" ht="16.5" thickTop="1" thickBot="1" x14ac:dyDescent="0.25">
      <c r="A56" s="13" t="s">
        <v>120</v>
      </c>
      <c r="B56" s="28">
        <f>B57</f>
        <v>76.587222222222223</v>
      </c>
      <c r="C56" s="29">
        <f>IF(B3=0,0,B56/B3)</f>
        <v>5.3557498057498057E-2</v>
      </c>
      <c r="D56" s="28">
        <f t="shared" ref="D56:Z56" si="69">D57</f>
        <v>76.587222222222223</v>
      </c>
      <c r="E56" s="29">
        <f>IF(D3=0,0,D56/D3)</f>
        <v>4.1286912249176404E-2</v>
      </c>
      <c r="F56" s="28">
        <f t="shared" si="69"/>
        <v>76.587222222222223</v>
      </c>
      <c r="G56" s="29">
        <f>IF(F3=0,0,F56/F3)</f>
        <v>2.450791111111111E-2</v>
      </c>
      <c r="H56" s="28">
        <f t="shared" si="69"/>
        <v>76.587222222222223</v>
      </c>
      <c r="I56" s="29">
        <f>IF(H3=0,0,H56/H3)</f>
        <v>1.7957144717988798E-2</v>
      </c>
      <c r="J56" s="28">
        <f t="shared" si="69"/>
        <v>76.587222222222223</v>
      </c>
      <c r="K56" s="29">
        <f>IF(J3=0,0,J56/J3)</f>
        <v>1.9764444444444446E-2</v>
      </c>
      <c r="L56" s="28">
        <f t="shared" si="69"/>
        <v>76.587222222222223</v>
      </c>
      <c r="M56" s="29">
        <f>IF(L3=0,0,L56/L3)</f>
        <v>2.1882063492063491E-2</v>
      </c>
      <c r="N56" s="28">
        <f t="shared" si="69"/>
        <v>76.587222222222223</v>
      </c>
      <c r="O56" s="29">
        <f>IF(N3=0,0,N56/N3)</f>
        <v>2.5571693563346317E-2</v>
      </c>
      <c r="P56" s="28">
        <f t="shared" si="69"/>
        <v>76.587222222222223</v>
      </c>
      <c r="Q56" s="29">
        <f>IF(P3=0,0,P56/P3)</f>
        <v>5.1923540489642185E-2</v>
      </c>
      <c r="R56" s="28">
        <f t="shared" si="69"/>
        <v>76.587222222222223</v>
      </c>
      <c r="S56" s="29">
        <f>IF(R3=0,0,R56/R3)</f>
        <v>2.2827786057294255E-2</v>
      </c>
      <c r="T56" s="28">
        <f t="shared" si="69"/>
        <v>76.587222222222223</v>
      </c>
      <c r="U56" s="29">
        <f>IF(T3=0,0,T56/T3)</f>
        <v>1.861171864452545E-2</v>
      </c>
      <c r="V56" s="28">
        <f t="shared" si="69"/>
        <v>76.587222222222223</v>
      </c>
      <c r="W56" s="29">
        <f>IF(V3=0,0,V56/V3)</f>
        <v>2.6500768935024992E-2</v>
      </c>
      <c r="X56" s="28">
        <f t="shared" si="69"/>
        <v>76.587222222222223</v>
      </c>
      <c r="Y56" s="29">
        <f>IF(X3=0,0,X56/X3)</f>
        <v>1.5286870703038368E-2</v>
      </c>
      <c r="Z56" s="28">
        <f t="shared" si="69"/>
        <v>919.04666666666651</v>
      </c>
      <c r="AA56" s="29">
        <f>IF(Z3=0,0,Z56/Z3)</f>
        <v>2.425565232691123E-2</v>
      </c>
    </row>
    <row r="57" spans="1:31" hidden="1" outlineLevel="1" x14ac:dyDescent="0.2">
      <c r="A57" s="8" t="s">
        <v>81</v>
      </c>
      <c r="B57" s="20">
        <f>IF($A$2&gt;=1,Tarifas!$I$47,0)</f>
        <v>76.587222222222223</v>
      </c>
      <c r="C57" s="21">
        <f>IF(B56=0,0,B57/B56)</f>
        <v>1</v>
      </c>
      <c r="D57" s="20">
        <f>IF($A$2&gt;=2,Tarifas!$I$47,0)</f>
        <v>76.587222222222223</v>
      </c>
      <c r="E57" s="21">
        <f>IF(D56=0,0,D57/D56)</f>
        <v>1</v>
      </c>
      <c r="F57" s="20">
        <f>IF($A$2&gt;=3,Tarifas!$I$47,0)</f>
        <v>76.587222222222223</v>
      </c>
      <c r="G57" s="21">
        <f>IF(F56=0,0,F57/F56)</f>
        <v>1</v>
      </c>
      <c r="H57" s="20">
        <f>IF($A$2&gt;=4,Tarifas!$I$47,0)</f>
        <v>76.587222222222223</v>
      </c>
      <c r="I57" s="21">
        <f>IF(H56=0,0,H57/H56)</f>
        <v>1</v>
      </c>
      <c r="J57" s="20">
        <f>IF($A$2&gt;=5,Tarifas!$I$47,0)</f>
        <v>76.587222222222223</v>
      </c>
      <c r="K57" s="21">
        <f>IF(J56=0,0,J57/J56)</f>
        <v>1</v>
      </c>
      <c r="L57" s="20">
        <f>IF($A$2&gt;=6,Tarifas!$I$47,0)</f>
        <v>76.587222222222223</v>
      </c>
      <c r="M57" s="21">
        <f>IF(L56=0,0,L57/L56)</f>
        <v>1</v>
      </c>
      <c r="N57" s="20">
        <f>IF($A$2&gt;=7,Tarifas!$I$47,0)</f>
        <v>76.587222222222223</v>
      </c>
      <c r="O57" s="21">
        <f>IF(N56=0,0,N57/N56)</f>
        <v>1</v>
      </c>
      <c r="P57" s="20">
        <f>IF($A$2&gt;=8,Tarifas!$I$47,0)</f>
        <v>76.587222222222223</v>
      </c>
      <c r="Q57" s="21">
        <f>IF(P56=0,0,P57/P56)</f>
        <v>1</v>
      </c>
      <c r="R57" s="20">
        <f>IF($A$2&gt;=9,Tarifas!$I$47,0)</f>
        <v>76.587222222222223</v>
      </c>
      <c r="S57" s="21">
        <f>IF(R56=0,0,R57/R56)</f>
        <v>1</v>
      </c>
      <c r="T57" s="20">
        <f>IF($A$2&gt;=10,Tarifas!$I$47,0)</f>
        <v>76.587222222222223</v>
      </c>
      <c r="U57" s="21">
        <f>IF(T56=0,0,T57/T56)</f>
        <v>1</v>
      </c>
      <c r="V57" s="20">
        <f>IF($A$2&gt;=11,Tarifas!$I$47,0)</f>
        <v>76.587222222222223</v>
      </c>
      <c r="W57" s="21">
        <f>IF(V56=0,0,V57/V56)</f>
        <v>1</v>
      </c>
      <c r="X57" s="20">
        <f>IF($A$2&gt;=12,Tarifas!$I$47,0)</f>
        <v>76.587222222222223</v>
      </c>
      <c r="Y57" s="21">
        <f>IF(X56=0,0,X57/X56)</f>
        <v>1</v>
      </c>
      <c r="Z57" s="20">
        <f>B57+D57+F57+H57+J57+L57+N57+P57+R57+T57+V57+X57</f>
        <v>919.04666666666651</v>
      </c>
      <c r="AA57" s="21">
        <f>IF(Z56=0,0,Z57/Z56)</f>
        <v>1</v>
      </c>
    </row>
    <row r="58" spans="1:31" ht="15.75" collapsed="1" thickBot="1" x14ac:dyDescent="0.25">
      <c r="A58" s="15" t="s">
        <v>122</v>
      </c>
      <c r="B58" s="26">
        <f>B55-B56</f>
        <v>477.71277777777772</v>
      </c>
      <c r="C58" s="27">
        <f>IF(B$3=0,0,B58/B$3)</f>
        <v>0.33406487956487951</v>
      </c>
      <c r="D58" s="26">
        <f>D55-D56</f>
        <v>1027.0627777777779</v>
      </c>
      <c r="E58" s="27">
        <f>IF(D$3=0,0,D58/D$3)</f>
        <v>0.55367265648397734</v>
      </c>
      <c r="F58" s="26">
        <f>F55-F56</f>
        <v>1985.2027777777778</v>
      </c>
      <c r="G58" s="27">
        <f>IF(F$3=0,0,F58/F$3)</f>
        <v>0.63526488888888888</v>
      </c>
      <c r="H58" s="26">
        <f>H55-H56</f>
        <v>3473.4827777777773</v>
      </c>
      <c r="I58" s="27">
        <f>IF(H$3=0,0,H58/H$3)</f>
        <v>0.81441565715774378</v>
      </c>
      <c r="J58" s="26">
        <f>J55-J56</f>
        <v>2940.6727777777778</v>
      </c>
      <c r="K58" s="27">
        <f>IF(J$3=0,0,J58/J$3)</f>
        <v>0.75888329749103944</v>
      </c>
      <c r="L58" s="26">
        <f>L55-L56</f>
        <v>2144.7927777777777</v>
      </c>
      <c r="M58" s="27">
        <f>IF(L$3=0,0,L58/L$3)</f>
        <v>0.61279793650793646</v>
      </c>
      <c r="N58" s="26">
        <f>N55-N56</f>
        <v>2170.2227777777775</v>
      </c>
      <c r="O58" s="27">
        <f>IF(N$3=0,0,N58/N$3)</f>
        <v>0.72461528473381553</v>
      </c>
      <c r="P58" s="26">
        <f>P55-P56</f>
        <v>516.01277777777784</v>
      </c>
      <c r="Q58" s="27">
        <f>IF(P$3=0,0,P58/P$3)</f>
        <v>0.34983917137476461</v>
      </c>
      <c r="R58" s="26">
        <f>R55-R56</f>
        <v>2263.9927777777775</v>
      </c>
      <c r="S58" s="27">
        <f>IF(R$3=0,0,R58/R$3)</f>
        <v>0.67481155820500072</v>
      </c>
      <c r="T58" s="26">
        <f>T55-T56</f>
        <v>3268.4127777777776</v>
      </c>
      <c r="U58" s="27">
        <f>IF(T$3=0,0,T58/T$3)</f>
        <v>0.79426798973943558</v>
      </c>
      <c r="V58" s="26">
        <f>V55-V56</f>
        <v>1188.5627777777779</v>
      </c>
      <c r="W58" s="27">
        <f>IF(V$3=0,0,V58/V$3)</f>
        <v>0.41126739715494043</v>
      </c>
      <c r="X58" s="26">
        <f>X55-X56</f>
        <v>4313.4127777777776</v>
      </c>
      <c r="Y58" s="27">
        <f>IF(X$3=0,0,X58/X$3)</f>
        <v>0.86096063428698155</v>
      </c>
      <c r="Z58" s="26">
        <f>Z55-Z56</f>
        <v>25769.543333333335</v>
      </c>
      <c r="AA58" s="27">
        <f>IF(Z$3=0,0,Z58/Z$3)</f>
        <v>0.68011463006949946</v>
      </c>
    </row>
    <row r="59" spans="1:31" ht="16.5" thickTop="1" thickBot="1" x14ac:dyDescent="0.25">
      <c r="A59" s="13" t="s">
        <v>134</v>
      </c>
      <c r="B59" s="28">
        <f>B60</f>
        <v>0</v>
      </c>
      <c r="C59" s="29">
        <f>IF(B$3=0,0,B59/B$3)</f>
        <v>0</v>
      </c>
      <c r="D59" s="28">
        <f>D60</f>
        <v>0</v>
      </c>
      <c r="E59" s="29">
        <f>IF(D$3=0,0,D59/D$3)</f>
        <v>0</v>
      </c>
      <c r="F59" s="28">
        <f>F60</f>
        <v>0</v>
      </c>
      <c r="G59" s="29">
        <f>IF(F$3=0,0,F59/F$3)</f>
        <v>0</v>
      </c>
      <c r="H59" s="28">
        <f>H60</f>
        <v>0</v>
      </c>
      <c r="I59" s="29">
        <f>IF(H$3=0,0,H59/H$3)</f>
        <v>0</v>
      </c>
      <c r="J59" s="28">
        <f>J60</f>
        <v>0</v>
      </c>
      <c r="K59" s="29">
        <f>IF(J$3=0,0,J59/J$3)</f>
        <v>0</v>
      </c>
      <c r="L59" s="28">
        <f>L60</f>
        <v>0</v>
      </c>
      <c r="M59" s="29">
        <f>IF(L$3=0,0,L59/L$3)</f>
        <v>0</v>
      </c>
      <c r="N59" s="28">
        <f>N60</f>
        <v>0</v>
      </c>
      <c r="O59" s="29">
        <f>IF(N$3=0,0,N59/N$3)</f>
        <v>0</v>
      </c>
      <c r="P59" s="28">
        <f>P60</f>
        <v>0</v>
      </c>
      <c r="Q59" s="29">
        <f>IF(P$3=0,0,P59/P$3)</f>
        <v>0</v>
      </c>
      <c r="R59" s="28">
        <f>R60</f>
        <v>0</v>
      </c>
      <c r="S59" s="29">
        <f>IF(R$3=0,0,R59/R$3)</f>
        <v>0</v>
      </c>
      <c r="T59" s="28">
        <f>T60</f>
        <v>0</v>
      </c>
      <c r="U59" s="29">
        <f>IF(T$3=0,0,T59/T$3)</f>
        <v>0</v>
      </c>
      <c r="V59" s="28">
        <f>V60</f>
        <v>0</v>
      </c>
      <c r="W59" s="29">
        <f>IF(V$3=0,0,V59/V$3)</f>
        <v>0</v>
      </c>
      <c r="X59" s="28">
        <f>X60</f>
        <v>0</v>
      </c>
      <c r="Y59" s="29">
        <f>IF(X$3=0,0,X59/X$3)</f>
        <v>0</v>
      </c>
      <c r="Z59" s="28">
        <f>Z60</f>
        <v>0</v>
      </c>
      <c r="AA59" s="29">
        <f>IF(Z$3=0,0,Z59/Z$3)</f>
        <v>0</v>
      </c>
    </row>
    <row r="60" spans="1:31" hidden="1" outlineLevel="1" x14ac:dyDescent="0.2">
      <c r="A60" s="8" t="s">
        <v>133</v>
      </c>
      <c r="B60" s="20">
        <f>SUMIFS(Tabla2[IMPORT],Tabla2[ANY],2020,Tabla2[MES],'2022'!B$2,Tabla2[TIPUS],'2022'!$A60)</f>
        <v>0</v>
      </c>
      <c r="C60" s="44">
        <f>IF(B59=0,0,B60/B59)</f>
        <v>0</v>
      </c>
      <c r="D60" s="20">
        <f>SUMIFS(Tabla2[IMPORT],Tabla2[ANY],2020,Tabla2[MES],'2022'!D$2,Tabla2[TIPUS],'2022'!$A60)</f>
        <v>0</v>
      </c>
      <c r="E60" s="44">
        <f>IF(D59=0,0,D60/D59)</f>
        <v>0</v>
      </c>
      <c r="F60" s="20">
        <f>SUMIFS(Tabla2[IMPORT],Tabla2[ANY],2020,Tabla2[MES],'2022'!F$2,Tabla2[TIPUS],'2022'!$A60)</f>
        <v>0</v>
      </c>
      <c r="G60" s="44">
        <f>IF(F59=0,0,F60/F59)</f>
        <v>0</v>
      </c>
      <c r="H60" s="20">
        <f>SUMIFS(Tabla2[IMPORT],Tabla2[ANY],2020,Tabla2[MES],'2022'!H$2,Tabla2[TIPUS],'2022'!$A60)</f>
        <v>0</v>
      </c>
      <c r="I60" s="44">
        <f>IF(H59=0,0,H60/H59)</f>
        <v>0</v>
      </c>
      <c r="J60" s="20">
        <f>SUMIFS(Tabla2[IMPORT],Tabla2[ANY],2020,Tabla2[MES],'2022'!J$2,Tabla2[TIPUS],'2022'!$A60)</f>
        <v>0</v>
      </c>
      <c r="K60" s="44">
        <f>IF(J59=0,0,J60/J59)</f>
        <v>0</v>
      </c>
      <c r="L60" s="20">
        <f>SUMIFS(Tabla2[IMPORT],Tabla2[ANY],2020,Tabla2[MES],'2022'!L$2,Tabla2[TIPUS],'2022'!$A60)</f>
        <v>0</v>
      </c>
      <c r="M60" s="44">
        <f>IF(L59=0,0,L60/L59)</f>
        <v>0</v>
      </c>
      <c r="N60" s="20">
        <f>SUMIFS(Tabla2[IMPORT],Tabla2[ANY],2020,Tabla2[MES],'2022'!N$2,Tabla2[TIPUS],'2022'!$A60)</f>
        <v>0</v>
      </c>
      <c r="O60" s="44">
        <f>IF(N59=0,0,N60/N59)</f>
        <v>0</v>
      </c>
      <c r="P60" s="20">
        <f>SUMIFS(Tabla2[IMPORT],Tabla2[ANY],2020,Tabla2[MES],'2022'!P$2,Tabla2[TIPUS],'2022'!$A60)</f>
        <v>0</v>
      </c>
      <c r="Q60" s="44">
        <f>IF(P59=0,0,P60/P59)</f>
        <v>0</v>
      </c>
      <c r="R60" s="20">
        <f>SUMIFS(Tabla2[IMPORT],Tabla2[ANY],2020,Tabla2[MES],'2022'!R$2,Tabla2[TIPUS],'2022'!$A60)</f>
        <v>0</v>
      </c>
      <c r="S60" s="44">
        <f>IF(R59=0,0,R60/R59)</f>
        <v>0</v>
      </c>
      <c r="T60" s="20">
        <f>SUMIFS(Tabla2[IMPORT],Tabla2[ANY],2020,Tabla2[MES],'2022'!T$2,Tabla2[TIPUS],'2022'!$A60)</f>
        <v>0</v>
      </c>
      <c r="U60" s="44">
        <f>IF(T59=0,0,T60/T59)</f>
        <v>0</v>
      </c>
      <c r="V60" s="20">
        <f>SUMIFS(Tabla2[IMPORT],Tabla2[ANY],2020,Tabla2[MES],'2022'!V$2,Tabla2[TIPUS],'2022'!$A60)</f>
        <v>0</v>
      </c>
      <c r="W60" s="44">
        <f>IF(V59=0,0,V60/V59)</f>
        <v>0</v>
      </c>
      <c r="X60" s="20">
        <f>SUMIFS(Tabla2[IMPORT],Tabla2[ANY],2020,Tabla2[MES],'2022'!X$2,Tabla2[TIPUS],'2022'!$A60)</f>
        <v>0</v>
      </c>
      <c r="Y60" s="44">
        <f>IF(X59=0,0,X60/X59)</f>
        <v>0</v>
      </c>
      <c r="Z60" s="20">
        <f>B60+D60+F60+H60+J60+L60+N60+P60+R60+T60+V60+X60</f>
        <v>0</v>
      </c>
      <c r="AA60" s="44">
        <f>IF(Z59=0,0,Z60/Z59)</f>
        <v>0</v>
      </c>
    </row>
    <row r="61" spans="1:31" ht="15.75" collapsed="1" thickBot="1" x14ac:dyDescent="0.25">
      <c r="A61" s="15" t="s">
        <v>135</v>
      </c>
      <c r="B61" s="26">
        <f>B58-B60</f>
        <v>477.71277777777772</v>
      </c>
      <c r="C61" s="27">
        <f>IF(B$3=0,0,B61/B$3)</f>
        <v>0.33406487956487951</v>
      </c>
      <c r="D61" s="26">
        <f>D58-D60</f>
        <v>1027.0627777777779</v>
      </c>
      <c r="E61" s="27">
        <f>IF(D$3=0,0,D61/D$3)</f>
        <v>0.55367265648397734</v>
      </c>
      <c r="F61" s="26">
        <f>F58-F60</f>
        <v>1985.2027777777778</v>
      </c>
      <c r="G61" s="27">
        <f>IF(F$3=0,0,F61/F$3)</f>
        <v>0.63526488888888888</v>
      </c>
      <c r="H61" s="26">
        <f>H58-H60</f>
        <v>3473.4827777777773</v>
      </c>
      <c r="I61" s="27">
        <f>IF(H$3=0,0,H61/H$3)</f>
        <v>0.81441565715774378</v>
      </c>
      <c r="J61" s="26">
        <f>J58-J60</f>
        <v>2940.6727777777778</v>
      </c>
      <c r="K61" s="27">
        <f>IF(J$3=0,0,J61/J$3)</f>
        <v>0.75888329749103944</v>
      </c>
      <c r="L61" s="26">
        <f>L58-L60</f>
        <v>2144.7927777777777</v>
      </c>
      <c r="M61" s="27">
        <f>IF(L$3=0,0,L61/L$3)</f>
        <v>0.61279793650793646</v>
      </c>
      <c r="N61" s="26">
        <f>N58-N60</f>
        <v>2170.2227777777775</v>
      </c>
      <c r="O61" s="27">
        <f>IF(N$3=0,0,N61/N$3)</f>
        <v>0.72461528473381553</v>
      </c>
      <c r="P61" s="26">
        <f>P58-P60</f>
        <v>516.01277777777784</v>
      </c>
      <c r="Q61" s="27">
        <f>IF(P$3=0,0,P61/P$3)</f>
        <v>0.34983917137476461</v>
      </c>
      <c r="R61" s="26">
        <f>R58-R60</f>
        <v>2263.9927777777775</v>
      </c>
      <c r="S61" s="27">
        <f>IF(R$3=0,0,R61/R$3)</f>
        <v>0.67481155820500072</v>
      </c>
      <c r="T61" s="26">
        <f>T58-T60</f>
        <v>3268.4127777777776</v>
      </c>
      <c r="U61" s="27">
        <f>IF(T$3=0,0,T61/T$3)</f>
        <v>0.79426798973943558</v>
      </c>
      <c r="V61" s="26">
        <f>V58-V60</f>
        <v>1188.5627777777779</v>
      </c>
      <c r="W61" s="27">
        <f>IF(V$3=0,0,V61/V$3)</f>
        <v>0.41126739715494043</v>
      </c>
      <c r="X61" s="26">
        <f>X58-X60</f>
        <v>4313.4127777777776</v>
      </c>
      <c r="Y61" s="27">
        <f>IF(X$3=0,0,X61/X$3)</f>
        <v>0.86096063428698155</v>
      </c>
      <c r="Z61" s="26">
        <f>Z58-Z60</f>
        <v>25769.543333333335</v>
      </c>
      <c r="AA61" s="27">
        <f>IF(Z$3=0,0,Z61/Z$3)</f>
        <v>0.68011463006949946</v>
      </c>
    </row>
    <row r="62" spans="1:31" ht="15.75" hidden="1" outlineLevel="1" thickTop="1" x14ac:dyDescent="0.2">
      <c r="A62" s="8" t="s">
        <v>123</v>
      </c>
      <c r="B62" s="20">
        <f>SUMIFS(Tabla2[IMPORT],Tabla2[ANY],$Z$2,Tabla2[MES],'2022'!B$2,Tabla2[TIPUS],'2022'!$A62)</f>
        <v>302.14</v>
      </c>
      <c r="C62" s="21">
        <f>IF(B$3=0,0,B62/B$3)</f>
        <v>0.21128671328671328</v>
      </c>
      <c r="D62" s="20">
        <f>SUMIFS(Tabla2[IMPORT],Tabla2[ANY],$Z$2,Tabla2[MES],'2022'!D$2,Tabla2[TIPUS],'2022'!$A62)</f>
        <v>0</v>
      </c>
      <c r="E62" s="21">
        <f>IF(D$3=0,0,D62/D$3)</f>
        <v>0</v>
      </c>
      <c r="F62" s="20">
        <f>SUMIFS(Tabla2[IMPORT],Tabla2[ANY],$Z$2,Tabla2[MES],'2022'!F$2,Tabla2[TIPUS],'2022'!$A62)</f>
        <v>0</v>
      </c>
      <c r="G62" s="21">
        <f>IF(F$3=0,0,F62/F$3)</f>
        <v>0</v>
      </c>
      <c r="H62" s="20">
        <f>SUMIFS(Tabla2[IMPORT],Tabla2[ANY],$Z$2,Tabla2[MES],'2022'!H$2,Tabla2[TIPUS],'2022'!$A62)</f>
        <v>309.11</v>
      </c>
      <c r="I62" s="21">
        <f>IF(H$3=0,0,H62/H$3)</f>
        <v>7.2475967174677608E-2</v>
      </c>
      <c r="J62" s="20">
        <f>SUMIFS(Tabla2[IMPORT],Tabla2[ANY],$Z$2,Tabla2[MES],'2022'!J$2,Tabla2[TIPUS],'2022'!$A62)</f>
        <v>0</v>
      </c>
      <c r="K62" s="21">
        <f>IF(J$3=0,0,J62/J$3)</f>
        <v>0</v>
      </c>
      <c r="L62" s="20">
        <f>SUMIFS(Tabla2[IMPORT],Tabla2[ANY],$Z$2,Tabla2[MES],'2022'!L$2,Tabla2[TIPUS],'2022'!$A62)</f>
        <v>0</v>
      </c>
      <c r="M62" s="21">
        <f>IF(L$3=0,0,L62/L$3)</f>
        <v>0</v>
      </c>
      <c r="N62" s="20">
        <f>SUMIFS(Tabla2[IMPORT],Tabla2[ANY],$Z$2,Tabla2[MES],'2022'!N$2,Tabla2[TIPUS],'2022'!$A62)</f>
        <v>1170.7</v>
      </c>
      <c r="O62" s="21">
        <f>IF(N$3=0,0,N62/N$3)</f>
        <v>0.39088480801335562</v>
      </c>
      <c r="P62" s="20">
        <f>SUMIFS(Tabla2[IMPORT],Tabla2[ANY],$Z$2,Tabla2[MES],'2022'!P$2,Tabla2[TIPUS],'2022'!$A62)</f>
        <v>0</v>
      </c>
      <c r="Q62" s="21">
        <f>IF(P$3=0,0,P62/P$3)</f>
        <v>0</v>
      </c>
      <c r="R62" s="20">
        <f>SUMIFS(Tabla2[IMPORT],Tabla2[ANY],$Z$2,Tabla2[MES],'2022'!R$2,Tabla2[TIPUS],'2022'!$A62)</f>
        <v>0</v>
      </c>
      <c r="S62" s="21">
        <f>IF(R$3=0,0,R62/R$3)</f>
        <v>0</v>
      </c>
      <c r="T62" s="20">
        <f>SUMIFS(Tabla2[IMPORT],Tabla2[ANY],$Z$2,Tabla2[MES],'2022'!T$2,Tabla2[TIPUS],'2022'!$A62)</f>
        <v>605.01</v>
      </c>
      <c r="U62" s="21">
        <f>IF(T$3=0,0,T62/T$3)</f>
        <v>0.1470255164034022</v>
      </c>
      <c r="V62" s="20">
        <f>SUMIFS(Tabla2[IMPORT],Tabla2[ANY],$Z$2,Tabla2[MES],'2022'!V$2,Tabla2[TIPUS],'2022'!$A62)</f>
        <v>0</v>
      </c>
      <c r="W62" s="21">
        <f>IF(V$3=0,0,V62/V$3)</f>
        <v>0</v>
      </c>
      <c r="X62" s="20">
        <f>SUMIFS(Tabla2[IMPORT],Tabla2[ANY],$Z$2,Tabla2[MES],'2022'!X$2,Tabla2[TIPUS],'2022'!$A62)</f>
        <v>0</v>
      </c>
      <c r="Y62" s="21">
        <f>IF(X$3=0,0,X62/X$3)</f>
        <v>0</v>
      </c>
      <c r="Z62" s="20">
        <f>B62+D62+F62+H62+J62+L62+N62+P62+R62+T62+V62+X62</f>
        <v>2386.96</v>
      </c>
      <c r="AA62" s="21">
        <f>IF(Z$3=0,0,Z62/Z$3)</f>
        <v>6.2997096859329638E-2</v>
      </c>
    </row>
    <row r="63" spans="1:31" ht="16.5" collapsed="1" thickTop="1" thickBot="1" x14ac:dyDescent="0.25">
      <c r="A63" s="15" t="s">
        <v>124</v>
      </c>
      <c r="B63" s="26">
        <f>B61-B62</f>
        <v>175.57277777777773</v>
      </c>
      <c r="C63" s="27">
        <f>IF(B3=0,0,B63/B3)</f>
        <v>0.12277816627816625</v>
      </c>
      <c r="D63" s="26">
        <f>D61-D62</f>
        <v>1027.0627777777779</v>
      </c>
      <c r="E63" s="27">
        <f>IF(D3=0,0,D63/D3)</f>
        <v>0.55367265648397734</v>
      </c>
      <c r="F63" s="26">
        <f>F61-F62</f>
        <v>1985.2027777777778</v>
      </c>
      <c r="G63" s="27">
        <f>IF(F3=0,0,F63/F3)</f>
        <v>0.63526488888888888</v>
      </c>
      <c r="H63" s="26">
        <f>H61-H62</f>
        <v>3164.3727777777772</v>
      </c>
      <c r="I63" s="27">
        <f>IF(H3=0,0,H63/H3)</f>
        <v>0.74193968998306614</v>
      </c>
      <c r="J63" s="26">
        <f>J61-J62</f>
        <v>2940.6727777777778</v>
      </c>
      <c r="K63" s="27">
        <f>IF(J3=0,0,J63/J3)</f>
        <v>0.75888329749103944</v>
      </c>
      <c r="L63" s="26">
        <f>L61-L62</f>
        <v>2144.7927777777777</v>
      </c>
      <c r="M63" s="27">
        <f>IF(L3=0,0,L63/L3)</f>
        <v>0.61279793650793646</v>
      </c>
      <c r="N63" s="26">
        <f>N61-N62</f>
        <v>999.52277777777749</v>
      </c>
      <c r="O63" s="27">
        <f>IF(N3=0,0,N63/N3)</f>
        <v>0.33373047672045991</v>
      </c>
      <c r="P63" s="26">
        <f>P61-P62</f>
        <v>516.01277777777784</v>
      </c>
      <c r="Q63" s="27">
        <f>IF(P3=0,0,P63/P3)</f>
        <v>0.34983917137476461</v>
      </c>
      <c r="R63" s="26">
        <f>R61-R62</f>
        <v>2263.9927777777775</v>
      </c>
      <c r="S63" s="27">
        <f>IF(R3=0,0,R63/R3)</f>
        <v>0.67481155820500072</v>
      </c>
      <c r="T63" s="26">
        <f>T61-T62</f>
        <v>2663.4027777777774</v>
      </c>
      <c r="U63" s="27">
        <f>IF(T3=0,0,T63/T3)</f>
        <v>0.64724247333603335</v>
      </c>
      <c r="V63" s="26">
        <f>V61-V62</f>
        <v>1188.5627777777779</v>
      </c>
      <c r="W63" s="27">
        <f>IF(V3=0,0,V63/V3)</f>
        <v>0.41126739715494043</v>
      </c>
      <c r="X63" s="26">
        <f>X61-X62</f>
        <v>4313.4127777777776</v>
      </c>
      <c r="Y63" s="27">
        <f>IF(X3=0,0,X63/X3)</f>
        <v>0.86096063428698155</v>
      </c>
      <c r="Z63" s="26">
        <f>Z61-Z62</f>
        <v>23382.583333333336</v>
      </c>
      <c r="AA63" s="27">
        <f>IF(Z3=0,0,Z63/Z3)</f>
        <v>0.61711753321016982</v>
      </c>
    </row>
    <row r="64" spans="1:31" ht="16.5" thickTop="1" thickBot="1" x14ac:dyDescent="0.25">
      <c r="B64" s="30"/>
      <c r="C64" s="31"/>
      <c r="D64" s="30"/>
      <c r="E64" s="31"/>
      <c r="F64" s="30"/>
      <c r="G64" s="31"/>
      <c r="H64" s="30"/>
      <c r="I64" s="31"/>
      <c r="J64" s="30"/>
      <c r="K64" s="31"/>
      <c r="L64" s="30"/>
      <c r="M64" s="31"/>
      <c r="N64" s="30"/>
      <c r="O64" s="31"/>
      <c r="P64" s="30"/>
      <c r="Q64" s="31"/>
      <c r="R64" s="30"/>
      <c r="S64" s="31"/>
      <c r="T64" s="30"/>
      <c r="U64" s="31"/>
      <c r="V64" s="30"/>
      <c r="W64" s="31"/>
      <c r="X64" s="30"/>
      <c r="Y64" s="31"/>
      <c r="Z64" s="30"/>
      <c r="AA64" s="31"/>
    </row>
    <row r="65" spans="1:27" ht="15.75" thickBot="1" x14ac:dyDescent="0.25">
      <c r="A65" s="210" t="s">
        <v>136</v>
      </c>
    </row>
    <row r="66" spans="1:27" x14ac:dyDescent="0.2">
      <c r="A66" s="210"/>
      <c r="B66" s="208" t="s">
        <v>48</v>
      </c>
      <c r="C66" s="209"/>
      <c r="D66" s="208" t="s">
        <v>56</v>
      </c>
      <c r="E66" s="209"/>
      <c r="F66" s="208" t="s">
        <v>57</v>
      </c>
      <c r="G66" s="209"/>
      <c r="H66" s="208" t="s">
        <v>58</v>
      </c>
      <c r="I66" s="209"/>
      <c r="J66" s="208" t="s">
        <v>59</v>
      </c>
      <c r="K66" s="209"/>
      <c r="L66" s="208" t="s">
        <v>60</v>
      </c>
      <c r="M66" s="209"/>
      <c r="N66" s="208" t="s">
        <v>61</v>
      </c>
      <c r="O66" s="209"/>
      <c r="P66" s="208" t="s">
        <v>62</v>
      </c>
      <c r="Q66" s="209"/>
      <c r="R66" s="208" t="s">
        <v>236</v>
      </c>
      <c r="S66" s="209"/>
      <c r="T66" s="208" t="s">
        <v>63</v>
      </c>
      <c r="U66" s="209"/>
      <c r="V66" s="208" t="s">
        <v>64</v>
      </c>
      <c r="W66" s="209"/>
      <c r="X66" s="208" t="s">
        <v>65</v>
      </c>
      <c r="Y66" s="209"/>
      <c r="Z66" s="208">
        <f>Z2</f>
        <v>2022</v>
      </c>
      <c r="AA66" s="209"/>
    </row>
    <row r="67" spans="1:27" x14ac:dyDescent="0.2">
      <c r="A67" t="s">
        <v>125</v>
      </c>
      <c r="B67" s="20">
        <f>B3</f>
        <v>1430</v>
      </c>
      <c r="C67" s="38">
        <f t="shared" ref="C67:C73" si="70">B67</f>
        <v>1430</v>
      </c>
      <c r="D67" s="20">
        <f>D3</f>
        <v>1855</v>
      </c>
      <c r="E67" s="38">
        <f>C73+D67</f>
        <v>2107.16</v>
      </c>
      <c r="F67" s="20">
        <f>F3</f>
        <v>3125</v>
      </c>
      <c r="G67" s="38">
        <f>E73+F67</f>
        <v>4480.8099999999995</v>
      </c>
      <c r="H67" s="20">
        <f>H3</f>
        <v>4265</v>
      </c>
      <c r="I67" s="38">
        <f>G73+H67</f>
        <v>7682.5999999999995</v>
      </c>
      <c r="J67" s="20">
        <f>J3</f>
        <v>3875</v>
      </c>
      <c r="K67" s="38">
        <f>I73+J67</f>
        <v>10533.56</v>
      </c>
      <c r="L67" s="20">
        <f>L3</f>
        <v>3500</v>
      </c>
      <c r="M67" s="38">
        <f>K73+L67</f>
        <v>13175.82</v>
      </c>
      <c r="N67" s="20">
        <f>N3</f>
        <v>2995</v>
      </c>
      <c r="O67" s="38">
        <f>M73+N67</f>
        <v>14892.2</v>
      </c>
      <c r="P67" s="20">
        <f>P3</f>
        <v>1475</v>
      </c>
      <c r="Q67" s="38">
        <f>O73+P67</f>
        <v>14448.31</v>
      </c>
      <c r="R67" s="20">
        <f>R3</f>
        <v>3355</v>
      </c>
      <c r="S67" s="38">
        <f>Q73+R67</f>
        <v>16920.91</v>
      </c>
      <c r="T67" s="20">
        <f>T3</f>
        <v>4115</v>
      </c>
      <c r="U67" s="38">
        <f>S73+T67</f>
        <v>20021.489999999998</v>
      </c>
      <c r="V67" s="20">
        <f>V3</f>
        <v>2890</v>
      </c>
      <c r="W67" s="38">
        <f>U73+V67</f>
        <v>21536.48</v>
      </c>
      <c r="X67" s="20">
        <f>X3</f>
        <v>5010</v>
      </c>
      <c r="Y67" s="38">
        <f>W73+X67</f>
        <v>24921.63</v>
      </c>
      <c r="Z67" s="200">
        <f>Z3</f>
        <v>37890</v>
      </c>
      <c r="AA67" s="201"/>
    </row>
    <row r="68" spans="1:27" x14ac:dyDescent="0.2">
      <c r="A68" t="s">
        <v>126</v>
      </c>
      <c r="B68" s="20">
        <f>B40</f>
        <v>875.7</v>
      </c>
      <c r="C68" s="38">
        <f t="shared" si="70"/>
        <v>875.7</v>
      </c>
      <c r="D68" s="20">
        <f>D40</f>
        <v>751.34999999999991</v>
      </c>
      <c r="E68" s="38">
        <f>D68</f>
        <v>751.34999999999991</v>
      </c>
      <c r="F68" s="20">
        <f>F40</f>
        <v>1063.21</v>
      </c>
      <c r="G68" s="38">
        <f>F68</f>
        <v>1063.21</v>
      </c>
      <c r="H68" s="20">
        <f>H40</f>
        <v>714.93000000000006</v>
      </c>
      <c r="I68" s="38">
        <f>H68</f>
        <v>714.93000000000006</v>
      </c>
      <c r="J68" s="20">
        <f>J40</f>
        <v>857.74</v>
      </c>
      <c r="K68" s="38">
        <f>J68</f>
        <v>857.74</v>
      </c>
      <c r="L68" s="20">
        <f>L40</f>
        <v>1278.6199999999999</v>
      </c>
      <c r="M68" s="38">
        <f>L68</f>
        <v>1278.6199999999999</v>
      </c>
      <c r="N68" s="20">
        <f>N40</f>
        <v>748.19</v>
      </c>
      <c r="O68" s="38">
        <f>N68</f>
        <v>748.19</v>
      </c>
      <c r="P68" s="20">
        <f>P40</f>
        <v>882.4</v>
      </c>
      <c r="Q68" s="38">
        <f>P68</f>
        <v>882.4</v>
      </c>
      <c r="R68" s="20">
        <f>R40</f>
        <v>1014.4200000000001</v>
      </c>
      <c r="S68" s="38">
        <f>R68</f>
        <v>1014.4200000000001</v>
      </c>
      <c r="T68" s="20">
        <f>T40</f>
        <v>770</v>
      </c>
      <c r="U68" s="38">
        <f>T68</f>
        <v>770</v>
      </c>
      <c r="V68" s="20">
        <f>V40</f>
        <v>1624.85</v>
      </c>
      <c r="W68" s="38">
        <f>V68</f>
        <v>1624.85</v>
      </c>
      <c r="X68" s="20">
        <f>X40</f>
        <v>620</v>
      </c>
      <c r="Y68" s="38">
        <f>X68</f>
        <v>620</v>
      </c>
      <c r="Z68" s="200">
        <f>Z40</f>
        <v>11201.41</v>
      </c>
      <c r="AA68" s="201"/>
    </row>
    <row r="69" spans="1:27" ht="15.75" thickBot="1" x14ac:dyDescent="0.25">
      <c r="A69" s="36" t="s">
        <v>127</v>
      </c>
      <c r="B69" s="37">
        <f>B67-B68</f>
        <v>554.29999999999995</v>
      </c>
      <c r="C69" s="39">
        <f t="shared" si="70"/>
        <v>554.29999999999995</v>
      </c>
      <c r="D69" s="37">
        <f t="shared" ref="D69:Y69" si="71">D67-D68</f>
        <v>1103.6500000000001</v>
      </c>
      <c r="E69" s="39">
        <f t="shared" si="71"/>
        <v>1355.81</v>
      </c>
      <c r="F69" s="37">
        <f t="shared" si="71"/>
        <v>2061.79</v>
      </c>
      <c r="G69" s="39">
        <f t="shared" si="71"/>
        <v>3417.5999999999995</v>
      </c>
      <c r="H69" s="37">
        <f t="shared" si="71"/>
        <v>3550.0699999999997</v>
      </c>
      <c r="I69" s="39">
        <f t="shared" si="71"/>
        <v>6967.6699999999992</v>
      </c>
      <c r="J69" s="37">
        <f t="shared" si="71"/>
        <v>3017.26</v>
      </c>
      <c r="K69" s="39">
        <f t="shared" si="71"/>
        <v>9675.82</v>
      </c>
      <c r="L69" s="37">
        <f t="shared" si="71"/>
        <v>2221.38</v>
      </c>
      <c r="M69" s="39">
        <f t="shared" si="71"/>
        <v>11897.2</v>
      </c>
      <c r="N69" s="37">
        <f t="shared" si="71"/>
        <v>2246.81</v>
      </c>
      <c r="O69" s="39">
        <f t="shared" si="71"/>
        <v>14144.01</v>
      </c>
      <c r="P69" s="37">
        <f t="shared" si="71"/>
        <v>592.6</v>
      </c>
      <c r="Q69" s="39">
        <f t="shared" si="71"/>
        <v>13565.91</v>
      </c>
      <c r="R69" s="37">
        <f t="shared" si="71"/>
        <v>2340.58</v>
      </c>
      <c r="S69" s="39">
        <f t="shared" si="71"/>
        <v>15906.49</v>
      </c>
      <c r="T69" s="37">
        <f t="shared" si="71"/>
        <v>3345</v>
      </c>
      <c r="U69" s="39">
        <f t="shared" si="71"/>
        <v>19251.489999999998</v>
      </c>
      <c r="V69" s="37">
        <f t="shared" si="71"/>
        <v>1265.1500000000001</v>
      </c>
      <c r="W69" s="39">
        <f t="shared" si="71"/>
        <v>19911.63</v>
      </c>
      <c r="X69" s="37">
        <f t="shared" si="71"/>
        <v>4390</v>
      </c>
      <c r="Y69" s="39">
        <f t="shared" si="71"/>
        <v>24301.63</v>
      </c>
      <c r="Z69" s="202">
        <f>Z67-Z68</f>
        <v>26688.59</v>
      </c>
      <c r="AA69" s="203"/>
    </row>
    <row r="70" spans="1:27" x14ac:dyDescent="0.2">
      <c r="A70" s="2" t="s">
        <v>128</v>
      </c>
      <c r="B70" s="20">
        <f>-SUMIFS(Tabla2[IMPORT],Tabla2[ANY],$Z$2,Tabla2[MES],'2022'!B$2,Tabla2[TIPUS],'2022'!$A70)</f>
        <v>0</v>
      </c>
      <c r="C70" s="38">
        <f t="shared" si="70"/>
        <v>0</v>
      </c>
      <c r="D70" s="20">
        <f>-SUMIFS(Tabla2[IMPORT],Tabla2[ANY],$Z$2,Tabla2[MES],'2022'!D$2,Tabla2[TIPUS],'2022'!$A70)</f>
        <v>0</v>
      </c>
      <c r="E70" s="38">
        <f>D70</f>
        <v>0</v>
      </c>
      <c r="F70" s="20">
        <f>-SUMIFS(Tabla2[IMPORT],Tabla2[ANY],$Z$2,Tabla2[MES],'2022'!F$2,Tabla2[TIPUS],'2022'!$A70)</f>
        <v>0</v>
      </c>
      <c r="G70" s="38">
        <f>F70</f>
        <v>0</v>
      </c>
      <c r="H70" s="20">
        <f>-SUMIFS(Tabla2[IMPORT],Tabla2[ANY],$Z$2,Tabla2[MES],'2022'!H$2,Tabla2[TIPUS],'2022'!$A70)</f>
        <v>0</v>
      </c>
      <c r="I70" s="38">
        <f>H70</f>
        <v>0</v>
      </c>
      <c r="J70" s="20">
        <f>-SUMIFS(Tabla2[IMPORT],Tabla2[ANY],$Z$2,Tabla2[MES],'2022'!J$2,Tabla2[TIPUS],'2022'!$A70)</f>
        <v>0</v>
      </c>
      <c r="K70" s="38">
        <f>J70</f>
        <v>0</v>
      </c>
      <c r="L70" s="20">
        <f>-SUMIFS(Tabla2[IMPORT],Tabla2[ANY],$Z$2,Tabla2[MES],'2022'!L$2,Tabla2[TIPUS],'2022'!$A70)</f>
        <v>0</v>
      </c>
      <c r="M70" s="38">
        <f>L70</f>
        <v>0</v>
      </c>
      <c r="N70" s="20">
        <f>-SUMIFS(Tabla2[IMPORT],Tabla2[ANY],$Z$2,Tabla2[MES],'2022'!N$2,Tabla2[TIPUS],'2022'!$A70)</f>
        <v>0</v>
      </c>
      <c r="O70" s="38">
        <f>N70</f>
        <v>0</v>
      </c>
      <c r="P70" s="20">
        <f>-SUMIFS(Tabla2[IMPORT],Tabla2[ANY],$Z$2,Tabla2[MES],'2022'!P$2,Tabla2[TIPUS],'2022'!$A70)</f>
        <v>0</v>
      </c>
      <c r="Q70" s="38">
        <f>P70</f>
        <v>0</v>
      </c>
      <c r="R70" s="20">
        <f>-SUMIFS(Tabla2[IMPORT],Tabla2[ANY],$Z$2,Tabla2[MES],'2022'!R$2,Tabla2[TIPUS],'2022'!$A70)</f>
        <v>0</v>
      </c>
      <c r="S70" s="38">
        <f>R70</f>
        <v>0</v>
      </c>
      <c r="T70" s="20">
        <f>-SUMIFS(Tabla2[IMPORT],Tabla2[ANY],$Z$2,Tabla2[MES],'2022'!T$2,Tabla2[TIPUS],'2022'!$A70)</f>
        <v>0</v>
      </c>
      <c r="U70" s="38">
        <f>T70</f>
        <v>0</v>
      </c>
      <c r="V70" s="20">
        <f>-SUMIFS(Tabla2[IMPORT],Tabla2[ANY],$Z$2,Tabla2[MES],'2022'!V$2,Tabla2[TIPUS],'2022'!$A70)</f>
        <v>0</v>
      </c>
      <c r="W70" s="38">
        <f>V70</f>
        <v>0</v>
      </c>
      <c r="X70" s="20">
        <f>-SUMIFS(Tabla2[IMPORT],Tabla2[ANY],$Z$2,Tabla2[MES],'2022'!X$2,Tabla2[TIPUS],'2022'!$A70)</f>
        <v>0</v>
      </c>
      <c r="Y70" s="38">
        <f>X70</f>
        <v>0</v>
      </c>
      <c r="Z70" s="204">
        <f>C70+E70+G70+I70+K70+O70+M70+Q70+S70+U70+W70+Y70</f>
        <v>0</v>
      </c>
      <c r="AA70" s="205"/>
    </row>
    <row r="71" spans="1:27" x14ac:dyDescent="0.2">
      <c r="A71" t="s">
        <v>134</v>
      </c>
      <c r="B71" s="20">
        <f>-B59</f>
        <v>0</v>
      </c>
      <c r="C71" s="38">
        <f t="shared" si="70"/>
        <v>0</v>
      </c>
      <c r="D71" s="20">
        <f>-D59</f>
        <v>0</v>
      </c>
      <c r="E71" s="38">
        <f>D71</f>
        <v>0</v>
      </c>
      <c r="F71" s="20">
        <f>-F59</f>
        <v>0</v>
      </c>
      <c r="G71" s="38">
        <f>F71</f>
        <v>0</v>
      </c>
      <c r="H71" s="20">
        <f>-H59</f>
        <v>0</v>
      </c>
      <c r="I71" s="38">
        <f>H71</f>
        <v>0</v>
      </c>
      <c r="J71" s="20">
        <f>-J59</f>
        <v>0</v>
      </c>
      <c r="K71" s="38">
        <f>J71</f>
        <v>0</v>
      </c>
      <c r="L71" s="20">
        <f>-L59</f>
        <v>0</v>
      </c>
      <c r="M71" s="38">
        <f>L71</f>
        <v>0</v>
      </c>
      <c r="N71" s="20">
        <f>-N59</f>
        <v>0</v>
      </c>
      <c r="O71" s="38">
        <f>N71</f>
        <v>0</v>
      </c>
      <c r="P71" s="20">
        <f>-P59</f>
        <v>0</v>
      </c>
      <c r="Q71" s="38">
        <f>P71</f>
        <v>0</v>
      </c>
      <c r="R71" s="20">
        <f>-R59</f>
        <v>0</v>
      </c>
      <c r="S71" s="38">
        <f>R71</f>
        <v>0</v>
      </c>
      <c r="T71" s="20">
        <f>-T59</f>
        <v>0</v>
      </c>
      <c r="U71" s="38">
        <f>T71</f>
        <v>0</v>
      </c>
      <c r="V71" s="20">
        <f>-V59</f>
        <v>0</v>
      </c>
      <c r="W71" s="38">
        <f>V71</f>
        <v>0</v>
      </c>
      <c r="X71" s="20">
        <f>-X59</f>
        <v>0</v>
      </c>
      <c r="Y71" s="38">
        <f>X71</f>
        <v>0</v>
      </c>
      <c r="Z71" s="200">
        <f>C71+E71+G71+I71+K71+O71+M71+Q71+S71+U71+W71+Y71</f>
        <v>0</v>
      </c>
      <c r="AA71" s="201"/>
    </row>
    <row r="72" spans="1:27" x14ac:dyDescent="0.2">
      <c r="A72" t="s">
        <v>130</v>
      </c>
      <c r="B72" s="23">
        <f>-B62</f>
        <v>-302.14</v>
      </c>
      <c r="C72" s="35">
        <f t="shared" si="70"/>
        <v>-302.14</v>
      </c>
      <c r="D72" s="23">
        <f>-D62</f>
        <v>0</v>
      </c>
      <c r="E72" s="35">
        <f>D72</f>
        <v>0</v>
      </c>
      <c r="F72" s="23">
        <f>-F62</f>
        <v>0</v>
      </c>
      <c r="G72" s="35">
        <f>F72</f>
        <v>0</v>
      </c>
      <c r="H72" s="23">
        <f>-H62</f>
        <v>-309.11</v>
      </c>
      <c r="I72" s="35">
        <f>H72</f>
        <v>-309.11</v>
      </c>
      <c r="J72" s="23">
        <f>-J62</f>
        <v>0</v>
      </c>
      <c r="K72" s="35">
        <f>J72</f>
        <v>0</v>
      </c>
      <c r="L72" s="23">
        <f>-L62</f>
        <v>0</v>
      </c>
      <c r="M72" s="35">
        <f>L72</f>
        <v>0</v>
      </c>
      <c r="N72" s="23">
        <f>-N62</f>
        <v>-1170.7</v>
      </c>
      <c r="O72" s="35">
        <f>N72</f>
        <v>-1170.7</v>
      </c>
      <c r="P72" s="23">
        <f>-P62</f>
        <v>0</v>
      </c>
      <c r="Q72" s="35">
        <f>P72</f>
        <v>0</v>
      </c>
      <c r="R72" s="23">
        <f>-R62</f>
        <v>0</v>
      </c>
      <c r="S72" s="35">
        <f>R72</f>
        <v>0</v>
      </c>
      <c r="T72" s="23">
        <f>-T62</f>
        <v>-605.01</v>
      </c>
      <c r="U72" s="35">
        <f>T72</f>
        <v>-605.01</v>
      </c>
      <c r="V72" s="23">
        <f>-V62</f>
        <v>0</v>
      </c>
      <c r="W72" s="35">
        <f>V72</f>
        <v>0</v>
      </c>
      <c r="X72" s="23">
        <f>-X62</f>
        <v>0</v>
      </c>
      <c r="Y72" s="35">
        <f>X72</f>
        <v>0</v>
      </c>
      <c r="Z72" s="206">
        <f>C72+E72+G72+I72+K72+O72+M72+Q72+S72+U72+W72+Y72</f>
        <v>-2386.96</v>
      </c>
      <c r="AA72" s="207"/>
    </row>
    <row r="73" spans="1:27" ht="15.75" thickBot="1" x14ac:dyDescent="0.25">
      <c r="A73" s="36" t="s">
        <v>131</v>
      </c>
      <c r="B73" s="37">
        <f>B69+B70+B71+B72</f>
        <v>252.15999999999997</v>
      </c>
      <c r="C73" s="39">
        <f t="shared" si="70"/>
        <v>252.15999999999997</v>
      </c>
      <c r="D73" s="37">
        <f t="shared" ref="D73:Y73" si="72">D69+D70+D71+D72</f>
        <v>1103.6500000000001</v>
      </c>
      <c r="E73" s="39">
        <f t="shared" si="72"/>
        <v>1355.81</v>
      </c>
      <c r="F73" s="37">
        <f t="shared" si="72"/>
        <v>2061.79</v>
      </c>
      <c r="G73" s="39">
        <f t="shared" si="72"/>
        <v>3417.5999999999995</v>
      </c>
      <c r="H73" s="37">
        <f t="shared" si="72"/>
        <v>3240.9599999999996</v>
      </c>
      <c r="I73" s="39">
        <f t="shared" si="72"/>
        <v>6658.5599999999995</v>
      </c>
      <c r="J73" s="37">
        <f t="shared" si="72"/>
        <v>3017.26</v>
      </c>
      <c r="K73" s="39">
        <f t="shared" si="72"/>
        <v>9675.82</v>
      </c>
      <c r="L73" s="37">
        <f t="shared" si="72"/>
        <v>2221.38</v>
      </c>
      <c r="M73" s="39">
        <f t="shared" si="72"/>
        <v>11897.2</v>
      </c>
      <c r="N73" s="37">
        <f t="shared" si="72"/>
        <v>1076.1099999999999</v>
      </c>
      <c r="O73" s="39">
        <f t="shared" si="72"/>
        <v>12973.31</v>
      </c>
      <c r="P73" s="37">
        <f t="shared" si="72"/>
        <v>592.6</v>
      </c>
      <c r="Q73" s="39">
        <f t="shared" si="72"/>
        <v>13565.91</v>
      </c>
      <c r="R73" s="37">
        <f t="shared" si="72"/>
        <v>2340.58</v>
      </c>
      <c r="S73" s="39">
        <f t="shared" si="72"/>
        <v>15906.49</v>
      </c>
      <c r="T73" s="37">
        <f t="shared" si="72"/>
        <v>2739.99</v>
      </c>
      <c r="U73" s="39">
        <f t="shared" si="72"/>
        <v>18646.48</v>
      </c>
      <c r="V73" s="37">
        <f t="shared" si="72"/>
        <v>1265.1500000000001</v>
      </c>
      <c r="W73" s="39">
        <f t="shared" si="72"/>
        <v>19911.63</v>
      </c>
      <c r="X73" s="37">
        <f t="shared" si="72"/>
        <v>4390</v>
      </c>
      <c r="Y73" s="39">
        <f t="shared" si="72"/>
        <v>24301.63</v>
      </c>
      <c r="Z73" s="202">
        <f>Z69+Z70+Z71+Z72</f>
        <v>24301.63</v>
      </c>
      <c r="AA73" s="203"/>
    </row>
    <row r="75" spans="1:27" ht="30" thickBot="1" x14ac:dyDescent="0.45">
      <c r="A75" s="45" t="s">
        <v>102</v>
      </c>
    </row>
    <row r="76" spans="1:27" x14ac:dyDescent="0.2">
      <c r="B76" s="208" t="s">
        <v>48</v>
      </c>
      <c r="C76" s="209"/>
      <c r="D76" s="208" t="s">
        <v>56</v>
      </c>
      <c r="E76" s="209"/>
      <c r="F76" s="208" t="s">
        <v>57</v>
      </c>
      <c r="G76" s="209"/>
      <c r="H76" s="208" t="s">
        <v>58</v>
      </c>
      <c r="I76" s="209"/>
      <c r="J76" s="208" t="s">
        <v>59</v>
      </c>
      <c r="K76" s="209"/>
      <c r="L76" s="208" t="s">
        <v>60</v>
      </c>
      <c r="M76" s="209"/>
      <c r="N76" s="208" t="s">
        <v>61</v>
      </c>
      <c r="O76" s="209"/>
      <c r="P76" s="208" t="s">
        <v>62</v>
      </c>
      <c r="Q76" s="209"/>
      <c r="R76" s="208" t="s">
        <v>236</v>
      </c>
      <c r="S76" s="209"/>
      <c r="T76" s="208" t="s">
        <v>63</v>
      </c>
      <c r="U76" s="209"/>
      <c r="V76" s="208" t="s">
        <v>64</v>
      </c>
      <c r="W76" s="209"/>
      <c r="X76" s="208" t="s">
        <v>65</v>
      </c>
      <c r="Y76" s="209"/>
      <c r="Z76" s="208">
        <f>Z2</f>
        <v>2022</v>
      </c>
      <c r="AA76" s="209"/>
    </row>
    <row r="77" spans="1:27" ht="15.75" thickBot="1" x14ac:dyDescent="0.25">
      <c r="A77" s="10" t="s">
        <v>66</v>
      </c>
      <c r="B77" s="16">
        <f>B78+B96</f>
        <v>570</v>
      </c>
      <c r="C77" s="17">
        <f>IF(B77=0,0,(B77/B77))</f>
        <v>1</v>
      </c>
      <c r="D77" s="16">
        <f>D78+D96</f>
        <v>1115</v>
      </c>
      <c r="E77" s="17">
        <f>IF(D77=0,0,(D77/D77))</f>
        <v>1</v>
      </c>
      <c r="F77" s="16">
        <f>F78+F96</f>
        <v>1645</v>
      </c>
      <c r="G77" s="17">
        <f>IF(F77=0,0,(F77/F77))</f>
        <v>1</v>
      </c>
      <c r="H77" s="16">
        <f>H78+H96</f>
        <v>2455</v>
      </c>
      <c r="I77" s="17">
        <f>IF(H77=0,0,(H77/H77))</f>
        <v>1</v>
      </c>
      <c r="J77" s="16">
        <f>J78+J96</f>
        <v>1875</v>
      </c>
      <c r="K77" s="17">
        <f>IF(J77=0,0,(J77/J77))</f>
        <v>1</v>
      </c>
      <c r="L77" s="16">
        <f>L78+L96</f>
        <v>1655</v>
      </c>
      <c r="M77" s="17">
        <f>IF(L77=0,0,(L77/L77))</f>
        <v>1</v>
      </c>
      <c r="N77" s="16">
        <f>N78+N96</f>
        <v>700</v>
      </c>
      <c r="O77" s="17">
        <f>IF(N77=0,0,(N77/N77))</f>
        <v>1</v>
      </c>
      <c r="P77" s="16">
        <f>P78+P96</f>
        <v>345</v>
      </c>
      <c r="Q77" s="17">
        <f>IF(P77=0,0,(P77/P77))</f>
        <v>1</v>
      </c>
      <c r="R77" s="16">
        <f>R78+R96</f>
        <v>995</v>
      </c>
      <c r="S77" s="17">
        <f>IF(R77=0,0,(R77/R77))</f>
        <v>1</v>
      </c>
      <c r="T77" s="16">
        <f>T78+T96</f>
        <v>1970</v>
      </c>
      <c r="U77" s="17">
        <f>IF(T77=0,0,(T77/T77))</f>
        <v>1</v>
      </c>
      <c r="V77" s="16">
        <f>V78+V96</f>
        <v>1390</v>
      </c>
      <c r="W77" s="17">
        <f>IF(V77=0,0,(V77/V77))</f>
        <v>1</v>
      </c>
      <c r="X77" s="16">
        <f>X78+X96</f>
        <v>1435</v>
      </c>
      <c r="Y77" s="17">
        <f>IF(X77=0,0,(X77/X77))</f>
        <v>1</v>
      </c>
      <c r="Z77" s="16">
        <f>Z78+Z96</f>
        <v>16150</v>
      </c>
      <c r="AA77" s="17">
        <f>IF(Z77=0,0,(Z77/Z77))</f>
        <v>1</v>
      </c>
    </row>
    <row r="78" spans="1:27" x14ac:dyDescent="0.2">
      <c r="A78" s="32" t="s">
        <v>74</v>
      </c>
      <c r="B78" s="18">
        <f>SUM(B79:B86)</f>
        <v>570</v>
      </c>
      <c r="C78" s="19">
        <f>IF(B$77=0,0,B78/B$77)</f>
        <v>1</v>
      </c>
      <c r="D78" s="18">
        <f>SUM(D79:D86)</f>
        <v>1065</v>
      </c>
      <c r="E78" s="19">
        <f>IF(D$77=0,0,D78/D$77)</f>
        <v>0.95515695067264572</v>
      </c>
      <c r="F78" s="18">
        <f>SUM(F79:F86)</f>
        <v>1595</v>
      </c>
      <c r="G78" s="19">
        <f>IF(F$77=0,0,F78/F$77)</f>
        <v>0.96960486322188455</v>
      </c>
      <c r="H78" s="18">
        <f>SUM(H79:H86)</f>
        <v>2345</v>
      </c>
      <c r="I78" s="19">
        <f>IF(H$77=0,0,H78/H$77)</f>
        <v>0.95519348268839099</v>
      </c>
      <c r="J78" s="18">
        <f>SUM(J79:J86)</f>
        <v>1785</v>
      </c>
      <c r="K78" s="19">
        <f>IF(J$77=0,0,J78/J$77)</f>
        <v>0.95199999999999996</v>
      </c>
      <c r="L78" s="18">
        <f>SUM(L79:L86)</f>
        <v>1655</v>
      </c>
      <c r="M78" s="19">
        <f>IF(L$77=0,0,L78/L$77)</f>
        <v>1</v>
      </c>
      <c r="N78" s="18">
        <f>SUM(N79:N86)</f>
        <v>700</v>
      </c>
      <c r="O78" s="19">
        <f>IF(N$77=0,0,N78/N$77)</f>
        <v>1</v>
      </c>
      <c r="P78" s="18">
        <f>SUM(P79:P86)</f>
        <v>345</v>
      </c>
      <c r="Q78" s="19">
        <f>IF(P$77=0,0,P78/P$77)</f>
        <v>1</v>
      </c>
      <c r="R78" s="18">
        <f>SUM(R79:R86)</f>
        <v>995</v>
      </c>
      <c r="S78" s="19">
        <f>IF(R$77=0,0,R78/R$77)</f>
        <v>1</v>
      </c>
      <c r="T78" s="18">
        <f>SUM(T79:T86)</f>
        <v>1970</v>
      </c>
      <c r="U78" s="19">
        <f>IF(T$77=0,0,T78/T$77)</f>
        <v>1</v>
      </c>
      <c r="V78" s="18">
        <f>SUM(V79:V86)</f>
        <v>1330</v>
      </c>
      <c r="W78" s="19">
        <f>IF(V$77=0,0,V78/V$77)</f>
        <v>0.95683453237410077</v>
      </c>
      <c r="X78" s="18">
        <f>SUM(X79:X86)</f>
        <v>1435</v>
      </c>
      <c r="Y78" s="19">
        <f>IF(X$77=0,0,X78/X$77)</f>
        <v>1</v>
      </c>
      <c r="Z78" s="18">
        <f>SUM(Z79:Z86)</f>
        <v>15790</v>
      </c>
      <c r="AA78" s="19">
        <f>IF(Z$77=0,0,Z78/Z$77)</f>
        <v>0.97770897832817338</v>
      </c>
    </row>
    <row r="79" spans="1:27" hidden="1" outlineLevel="2" x14ac:dyDescent="0.2">
      <c r="A79" s="8" t="s">
        <v>67</v>
      </c>
      <c r="B79" s="20">
        <f>SUMIFS('Registre de reserves'!$U$2:$U$1178,'Registre de reserves'!$T$2:$T$1178,"SI",'Registre de reserves'!$I$2:$I$1178,'2022'!$A79,'Registre de reserves'!$B$2:$B$1178,'2022'!B$2,Tabla1[ANY],'2022'!$Z$76)+SUMIFS('Registre de reserves'!$U$2:$U$1178,'Registre de reserves'!$T$2:$T$1178,"RESERVA",'Registre de reserves'!$I$2:$I$1178,'2022'!$A79,'Registre de reserves'!$B$2:$B$1178,'2022'!B$2,Tabla1[ANY],'2022'!$Z$76)</f>
        <v>0</v>
      </c>
      <c r="C79" s="21">
        <f t="shared" ref="C79:C86" si="73">IF(B$78=0,0,B79/B$78)</f>
        <v>0</v>
      </c>
      <c r="D79" s="20">
        <f>SUMIFS('Registre de reserves'!$U$2:$U$1178,'Registre de reserves'!$T$2:$T$1178,"SI",'Registre de reserves'!$I$2:$I$1178,'2022'!$A79,'Registre de reserves'!$B$2:$B$1178,'2022'!D$2,Tabla1[ANY],'2022'!$Z$76)+SUMIFS('Registre de reserves'!$U$2:$U$1178,'Registre de reserves'!$T$2:$T$1178,"RESERVA",'Registre de reserves'!$I$2:$I$1178,'2022'!$A79,'Registre de reserves'!$B$2:$B$1178,'2022'!D$2,Tabla1[ANY],'2022'!$Z$76)</f>
        <v>0</v>
      </c>
      <c r="E79" s="21">
        <f t="shared" ref="E79:E86" si="74">IF(D$78=0,0,D79/D$78)</f>
        <v>0</v>
      </c>
      <c r="F79" s="20">
        <f>SUMIFS('Registre de reserves'!$U$2:$U$1178,'Registre de reserves'!$T$2:$T$1178,"SI",'Registre de reserves'!$I$2:$I$1178,'2022'!$A79,'Registre de reserves'!$B$2:$B$1178,'2022'!F$2,Tabla1[ANY],'2022'!$Z$76)+SUMIFS('Registre de reserves'!$U$2:$U$1178,'Registre de reserves'!$T$2:$T$1178,"RESERVA",'Registre de reserves'!$I$2:$I$1178,'2022'!$A79,'Registre de reserves'!$B$2:$B$1178,'2022'!F$2,Tabla1[ANY],'2022'!$Z$76)</f>
        <v>245</v>
      </c>
      <c r="G79" s="21">
        <f t="shared" ref="G79:G86" si="75">IF(F$78=0,0,F79/F$78)</f>
        <v>0.15360501567398119</v>
      </c>
      <c r="H79" s="20">
        <f>SUMIFS('Registre de reserves'!$U$2:$U$1178,'Registre de reserves'!$T$2:$T$1178,"SI",'Registre de reserves'!$I$2:$I$1178,'2022'!$A79,'Registre de reserves'!$B$2:$B$1178,'2022'!H$2,Tabla1[ANY],'2022'!$Z$76)+SUMIFS('Registre de reserves'!$U$2:$U$1178,'Registre de reserves'!$T$2:$T$1178,"RESERVA",'Registre de reserves'!$I$2:$I$1178,'2022'!$A79,'Registre de reserves'!$B$2:$B$1178,'2022'!H$2,Tabla1[ANY],'2022'!$Z$76)</f>
        <v>590</v>
      </c>
      <c r="I79" s="21">
        <f t="shared" ref="I79:I86" si="76">IF(H$78=0,0,H79/H$78)</f>
        <v>0.25159914712153519</v>
      </c>
      <c r="J79" s="20">
        <f>SUMIFS('Registre de reserves'!$U$2:$U$1178,'Registre de reserves'!$T$2:$T$1178,"SI",'Registre de reserves'!$I$2:$I$1178,'2022'!$A79,'Registre de reserves'!$B$2:$B$1178,'2022'!J$2,Tabla1[ANY],'2022'!$Z$76)+SUMIFS('Registre de reserves'!$U$2:$U$1178,'Registre de reserves'!$T$2:$T$1178,"RESERVA",'Registre de reserves'!$I$2:$I$1178,'2022'!$A79,'Registre de reserves'!$B$2:$B$1178,'2022'!J$2,Tabla1[ANY],'2022'!$Z$76)</f>
        <v>245</v>
      </c>
      <c r="K79" s="21">
        <f t="shared" ref="K79:K86" si="77">IF(J$78=0,0,J79/J$78)</f>
        <v>0.13725490196078433</v>
      </c>
      <c r="L79" s="20">
        <f>SUMIFS('Registre de reserves'!$U$2:$U$1178,'Registre de reserves'!$T$2:$T$1178,"SI",'Registre de reserves'!$I$2:$I$1178,'2022'!$A79,'Registre de reserves'!$B$2:$B$1178,'2022'!L$2,Tabla1[ANY],'2022'!$Z$76)+SUMIFS('Registre de reserves'!$U$2:$U$1178,'Registre de reserves'!$T$2:$T$1178,"RESERVA",'Registre de reserves'!$I$2:$I$1178,'2022'!$A79,'Registre de reserves'!$B$2:$B$1178,'2022'!L$2,Tabla1[ANY],'2022'!$Z$76)</f>
        <v>345</v>
      </c>
      <c r="M79" s="21">
        <f t="shared" ref="M79:M86" si="78">IF(L$78=0,0,L79/L$78)</f>
        <v>0.20845921450151059</v>
      </c>
      <c r="N79" s="20">
        <f>SUMIFS('Registre de reserves'!$U$2:$U$1178,'Registre de reserves'!$T$2:$T$1178,"SI",'Registre de reserves'!$I$2:$I$1178,'2022'!$A79,'Registre de reserves'!$B$2:$B$1178,'2022'!N$2,Tabla1[ANY],'2022'!$Z$76)+SUMIFS('Registre de reserves'!$U$2:$U$1178,'Registre de reserves'!$T$2:$T$1178,"RESERVA",'Registre de reserves'!$I$2:$I$1178,'2022'!$A79,'Registre de reserves'!$B$2:$B$1178,'2022'!N$2,Tabla1[ANY],'2022'!$Z$76)</f>
        <v>0</v>
      </c>
      <c r="O79" s="21">
        <f t="shared" ref="O79:O86" si="79">IF(N$78=0,0,N79/N$78)</f>
        <v>0</v>
      </c>
      <c r="P79" s="20">
        <f>SUMIFS('Registre de reserves'!$U$2:$U$1178,'Registre de reserves'!$T$2:$T$1178,"SI",'Registre de reserves'!$I$2:$I$1178,'2022'!$A79,'Registre de reserves'!$B$2:$B$1178,'2022'!P$2,Tabla1[ANY],'2022'!$Z$76)+SUMIFS('Registre de reserves'!$U$2:$U$1178,'Registre de reserves'!$T$2:$T$1178,"RESERVA",'Registre de reserves'!$I$2:$I$1178,'2022'!$A79,'Registre de reserves'!$B$2:$B$1178,'2022'!P$2,Tabla1[ANY],'2022'!$Z$76)</f>
        <v>0</v>
      </c>
      <c r="Q79" s="21">
        <f t="shared" ref="Q79:Q86" si="80">IF(P$78=0,0,P79/P$78)</f>
        <v>0</v>
      </c>
      <c r="R79" s="20">
        <f>SUMIFS('Registre de reserves'!$U$2:$U$1178,'Registre de reserves'!$T$2:$T$1178,"SI",'Registre de reserves'!$I$2:$I$1178,'2022'!$A79,'Registre de reserves'!$B$2:$B$1178,'2022'!R$2,Tabla1[ANY],'2022'!$Z$76)+SUMIFS('Registre de reserves'!$U$2:$U$1178,'Registre de reserves'!$T$2:$T$1178,"RESERVA",'Registre de reserves'!$I$2:$I$1178,'2022'!$A79,'Registre de reserves'!$B$2:$B$1178,'2022'!R$2,Tabla1[ANY],'2022'!$Z$76)</f>
        <v>150</v>
      </c>
      <c r="S79" s="21">
        <f t="shared" ref="S79:S86" si="81">IF(R$78=0,0,R79/R$78)</f>
        <v>0.15075376884422109</v>
      </c>
      <c r="T79" s="20">
        <f>SUMIFS('Registre de reserves'!$U$2:$U$1178,'Registre de reserves'!$T$2:$T$1178,"SI",'Registre de reserves'!$I$2:$I$1178,'2022'!$A79,'Registre de reserves'!$B$2:$B$1178,'2022'!T$2,Tabla1[ANY],'2022'!$Z$76)+SUMIFS('Registre de reserves'!$U$2:$U$1178,'Registre de reserves'!$T$2:$T$1178,"RESERVA",'Registre de reserves'!$I$2:$I$1178,'2022'!$A79,'Registre de reserves'!$B$2:$B$1178,'2022'!T$2,Tabla1[ANY],'2022'!$Z$76)</f>
        <v>300</v>
      </c>
      <c r="U79" s="21">
        <f t="shared" ref="U79:U86" si="82">IF(T$78=0,0,T79/T$78)</f>
        <v>0.15228426395939088</v>
      </c>
      <c r="V79" s="20">
        <f>SUMIFS('Registre de reserves'!$U$2:$U$1178,'Registre de reserves'!$T$2:$T$1178,"SI",'Registre de reserves'!$I$2:$I$1178,'2022'!$A79,'Registre de reserves'!$B$2:$B$1178,'2022'!V$2,Tabla1[ANY],'2022'!$Z$76)+SUMIFS('Registre de reserves'!$U$2:$U$1178,'Registre de reserves'!$T$2:$T$1178,"RESERVA",'Registre de reserves'!$I$2:$I$1178,'2022'!$A79,'Registre de reserves'!$B$2:$B$1178,'2022'!V$2,Tabla1[ANY],'2022'!$Z$76)</f>
        <v>300</v>
      </c>
      <c r="W79" s="21">
        <f t="shared" ref="W79:W86" si="83">IF(V$78=0,0,V79/V$78)</f>
        <v>0.22556390977443608</v>
      </c>
      <c r="X79" s="20">
        <f>SUMIFS('Registre de reserves'!$U$2:$U$1178,'Registre de reserves'!$T$2:$T$1178,"SI",'Registre de reserves'!$I$2:$I$1178,'2022'!$A79,'Registre de reserves'!$B$2:$B$1178,'2022'!X$2,Tabla1[ANY],'2022'!$Z$76)+SUMIFS('Registre de reserves'!$U$2:$U$1178,'Registre de reserves'!$T$2:$T$1178,"RESERVA",'Registre de reserves'!$I$2:$I$1178,'2022'!$A79,'Registre de reserves'!$B$2:$B$1178,'2022'!X$2,Tabla1[ANY],'2022'!$Z$76)</f>
        <v>350</v>
      </c>
      <c r="Y79" s="21">
        <f t="shared" ref="Y79:Y86" si="84">IF(X$78=0,0,X79/X$78)</f>
        <v>0.24390243902439024</v>
      </c>
      <c r="Z79" s="20">
        <f>B79+D79+F79+H79+J79+L79+N79+P79+R79+T79+V79+X79</f>
        <v>2525</v>
      </c>
      <c r="AA79" s="21">
        <f t="shared" ref="AA79:AA86" si="85">IF(Z$78=0,0,Z79/Z$78)</f>
        <v>0.15991133628879037</v>
      </c>
    </row>
    <row r="80" spans="1:27" hidden="1" outlineLevel="2" x14ac:dyDescent="0.2">
      <c r="A80" s="8" t="s">
        <v>68</v>
      </c>
      <c r="B80" s="20">
        <f>SUMIFS('Registre de reserves'!$U$2:$U$1178,'Registre de reserves'!$T$2:$T$1178,"SI",'Registre de reserves'!$I$2:$I$1178,'2022'!$A80,'Registre de reserves'!$B$2:$B$1178,'2022'!B$2,Tabla1[ANY],'2022'!$Z$76)+SUMIFS('Registre de reserves'!$U$2:$U$1178,'Registre de reserves'!$T$2:$T$1178,"RESERVA",'Registre de reserves'!$I$2:$I$1178,'2022'!$A80,'Registre de reserves'!$B$2:$B$1178,'2022'!B$2,Tabla1[ANY],'2022'!$Z$76)</f>
        <v>420</v>
      </c>
      <c r="C80" s="21">
        <f t="shared" si="73"/>
        <v>0.73684210526315785</v>
      </c>
      <c r="D80" s="20">
        <f>SUMIFS('Registre de reserves'!$U$2:$U$1178,'Registre de reserves'!$T$2:$T$1178,"SI",'Registre de reserves'!$I$2:$I$1178,'2022'!$A80,'Registre de reserves'!$B$2:$B$1178,'2022'!D$2,Tabla1[ANY],'2022'!$Z$76)+SUMIFS('Registre de reserves'!$U$2:$U$1178,'Registre de reserves'!$T$2:$T$1178,"RESERVA",'Registre de reserves'!$I$2:$I$1178,'2022'!$A80,'Registre de reserves'!$B$2:$B$1178,'2022'!D$2,Tabla1[ANY],'2022'!$Z$76)</f>
        <v>525</v>
      </c>
      <c r="E80" s="21">
        <f t="shared" si="74"/>
        <v>0.49295774647887325</v>
      </c>
      <c r="F80" s="20">
        <f>SUMIFS('Registre de reserves'!$U$2:$U$1178,'Registre de reserves'!$T$2:$T$1178,"SI",'Registre de reserves'!$I$2:$I$1178,'2022'!$A80,'Registre de reserves'!$B$2:$B$1178,'2022'!F$2,Tabla1[ANY],'2022'!$Z$76)+SUMIFS('Registre de reserves'!$U$2:$U$1178,'Registre de reserves'!$T$2:$T$1178,"RESERVA",'Registre de reserves'!$I$2:$I$1178,'2022'!$A80,'Registre de reserves'!$B$2:$B$1178,'2022'!F$2,Tabla1[ANY],'2022'!$Z$76)</f>
        <v>635</v>
      </c>
      <c r="G80" s="21">
        <f t="shared" si="75"/>
        <v>0.39811912225705332</v>
      </c>
      <c r="H80" s="20">
        <f>SUMIFS('Registre de reserves'!$U$2:$U$1178,'Registre de reserves'!$T$2:$T$1178,"SI",'Registre de reserves'!$I$2:$I$1178,'2022'!$A80,'Registre de reserves'!$B$2:$B$1178,'2022'!H$2,Tabla1[ANY],'2022'!$Z$76)+SUMIFS('Registre de reserves'!$U$2:$U$1178,'Registre de reserves'!$T$2:$T$1178,"RESERVA",'Registre de reserves'!$I$2:$I$1178,'2022'!$A80,'Registre de reserves'!$B$2:$B$1178,'2022'!H$2,Tabla1[ANY],'2022'!$Z$76)</f>
        <v>775</v>
      </c>
      <c r="I80" s="21">
        <f t="shared" si="76"/>
        <v>0.33049040511727079</v>
      </c>
      <c r="J80" s="20">
        <f>SUMIFS('Registre de reserves'!$U$2:$U$1178,'Registre de reserves'!$T$2:$T$1178,"SI",'Registre de reserves'!$I$2:$I$1178,'2022'!$A80,'Registre de reserves'!$B$2:$B$1178,'2022'!J$2,Tabla1[ANY],'2022'!$Z$76)+SUMIFS('Registre de reserves'!$U$2:$U$1178,'Registre de reserves'!$T$2:$T$1178,"RESERVA",'Registre de reserves'!$I$2:$I$1178,'2022'!$A80,'Registre de reserves'!$B$2:$B$1178,'2022'!J$2,Tabla1[ANY],'2022'!$Z$76)</f>
        <v>725</v>
      </c>
      <c r="K80" s="21">
        <f t="shared" si="77"/>
        <v>0.4061624649859944</v>
      </c>
      <c r="L80" s="20">
        <f>SUMIFS('Registre de reserves'!$U$2:$U$1178,'Registre de reserves'!$T$2:$T$1178,"SI",'Registre de reserves'!$I$2:$I$1178,'2022'!$A80,'Registre de reserves'!$B$2:$B$1178,'2022'!L$2,Tabla1[ANY],'2022'!$Z$76)+SUMIFS('Registre de reserves'!$U$2:$U$1178,'Registre de reserves'!$T$2:$T$1178,"RESERVA",'Registre de reserves'!$I$2:$I$1178,'2022'!$A80,'Registre de reserves'!$B$2:$B$1178,'2022'!L$2,Tabla1[ANY],'2022'!$Z$76)</f>
        <v>340</v>
      </c>
      <c r="M80" s="21">
        <f t="shared" si="78"/>
        <v>0.20543806646525681</v>
      </c>
      <c r="N80" s="20">
        <f>SUMIFS('Registre de reserves'!$U$2:$U$1178,'Registre de reserves'!$T$2:$T$1178,"SI",'Registre de reserves'!$I$2:$I$1178,'2022'!$A80,'Registre de reserves'!$B$2:$B$1178,'2022'!N$2,Tabla1[ANY],'2022'!$Z$76)+SUMIFS('Registre de reserves'!$U$2:$U$1178,'Registre de reserves'!$T$2:$T$1178,"RESERVA",'Registre de reserves'!$I$2:$I$1178,'2022'!$A80,'Registre de reserves'!$B$2:$B$1178,'2022'!N$2,Tabla1[ANY],'2022'!$Z$76)</f>
        <v>400</v>
      </c>
      <c r="O80" s="21">
        <f t="shared" si="79"/>
        <v>0.5714285714285714</v>
      </c>
      <c r="P80" s="20">
        <f>SUMIFS('Registre de reserves'!$U$2:$U$1178,'Registre de reserves'!$T$2:$T$1178,"SI",'Registre de reserves'!$I$2:$I$1178,'2022'!$A80,'Registre de reserves'!$B$2:$B$1178,'2022'!P$2,Tabla1[ANY],'2022'!$Z$76)+SUMIFS('Registre de reserves'!$U$2:$U$1178,'Registre de reserves'!$T$2:$T$1178,"RESERVA",'Registre de reserves'!$I$2:$I$1178,'2022'!$A80,'Registre de reserves'!$B$2:$B$1178,'2022'!P$2,Tabla1[ANY],'2022'!$Z$76)</f>
        <v>195</v>
      </c>
      <c r="Q80" s="21">
        <f t="shared" si="80"/>
        <v>0.56521739130434778</v>
      </c>
      <c r="R80" s="20">
        <f>SUMIFS('Registre de reserves'!$U$2:$U$1178,'Registre de reserves'!$T$2:$T$1178,"SI",'Registre de reserves'!$I$2:$I$1178,'2022'!$A80,'Registre de reserves'!$B$2:$B$1178,'2022'!R$2,Tabla1[ANY],'2022'!$Z$76)+SUMIFS('Registre de reserves'!$U$2:$U$1178,'Registre de reserves'!$T$2:$T$1178,"RESERVA",'Registre de reserves'!$I$2:$I$1178,'2022'!$A80,'Registre de reserves'!$B$2:$B$1178,'2022'!R$2,Tabla1[ANY],'2022'!$Z$76)</f>
        <v>445</v>
      </c>
      <c r="S80" s="21">
        <f t="shared" si="81"/>
        <v>0.44723618090452261</v>
      </c>
      <c r="T80" s="20">
        <f>SUMIFS('Registre de reserves'!$U$2:$U$1178,'Registre de reserves'!$T$2:$T$1178,"SI",'Registre de reserves'!$I$2:$I$1178,'2022'!$A80,'Registre de reserves'!$B$2:$B$1178,'2022'!T$2,Tabla1[ANY],'2022'!$Z$76)+SUMIFS('Registre de reserves'!$U$2:$U$1178,'Registre de reserves'!$T$2:$T$1178,"RESERVA",'Registre de reserves'!$I$2:$I$1178,'2022'!$A80,'Registre de reserves'!$B$2:$B$1178,'2022'!T$2,Tabla1[ANY],'2022'!$Z$76)</f>
        <v>550</v>
      </c>
      <c r="U80" s="21">
        <f t="shared" si="82"/>
        <v>0.27918781725888325</v>
      </c>
      <c r="V80" s="20">
        <f>SUMIFS('Registre de reserves'!$U$2:$U$1178,'Registre de reserves'!$T$2:$T$1178,"SI",'Registre de reserves'!$I$2:$I$1178,'2022'!$A80,'Registre de reserves'!$B$2:$B$1178,'2022'!V$2,Tabla1[ANY],'2022'!$Z$76)+SUMIFS('Registre de reserves'!$U$2:$U$1178,'Registre de reserves'!$T$2:$T$1178,"RESERVA",'Registre de reserves'!$I$2:$I$1178,'2022'!$A80,'Registre de reserves'!$B$2:$B$1178,'2022'!V$2,Tabla1[ANY],'2022'!$Z$76)</f>
        <v>630</v>
      </c>
      <c r="W80" s="21">
        <f t="shared" si="83"/>
        <v>0.47368421052631576</v>
      </c>
      <c r="X80" s="20">
        <f>SUMIFS('Registre de reserves'!$U$2:$U$1178,'Registre de reserves'!$T$2:$T$1178,"SI",'Registre de reserves'!$I$2:$I$1178,'2022'!$A80,'Registre de reserves'!$B$2:$B$1178,'2022'!X$2,Tabla1[ANY],'2022'!$Z$76)+SUMIFS('Registre de reserves'!$U$2:$U$1178,'Registre de reserves'!$T$2:$T$1178,"RESERVA",'Registre de reserves'!$I$2:$I$1178,'2022'!$A80,'Registre de reserves'!$B$2:$B$1178,'2022'!X$2,Tabla1[ANY],'2022'!$Z$76)</f>
        <v>585</v>
      </c>
      <c r="Y80" s="21">
        <f t="shared" si="84"/>
        <v>0.40766550522648082</v>
      </c>
      <c r="Z80" s="20">
        <f t="shared" ref="Z80:Z86" si="86">B80+D80+F80+H80+J80+L80+N80+P80+R80+T80+V80+X80</f>
        <v>6225</v>
      </c>
      <c r="AA80" s="21">
        <f t="shared" si="85"/>
        <v>0.39423685877137427</v>
      </c>
    </row>
    <row r="81" spans="1:27" hidden="1" outlineLevel="2" x14ac:dyDescent="0.2">
      <c r="A81" s="8" t="s">
        <v>4</v>
      </c>
      <c r="B81" s="20">
        <f>SUMIFS('Registre de reserves'!$U$2:$U$1178,'Registre de reserves'!$T$2:$T$1178,"SI",'Registre de reserves'!$I$2:$I$1178,'2022'!$A81,'Registre de reserves'!$B$2:$B$1178,'2022'!B$2,Tabla1[ANY],'2022'!$Z$76)+SUMIFS('Registre de reserves'!$U$2:$U$1178,'Registre de reserves'!$T$2:$T$1178,"RESERVA",'Registre de reserves'!$I$2:$I$1178,'2022'!$A81,'Registre de reserves'!$B$2:$B$1178,'2022'!B$2,Tabla1[ANY],'2022'!$Z$76)</f>
        <v>0</v>
      </c>
      <c r="C81" s="21">
        <f t="shared" si="73"/>
        <v>0</v>
      </c>
      <c r="D81" s="20">
        <f>SUMIFS('Registre de reserves'!$U$2:$U$1178,'Registre de reserves'!$T$2:$T$1178,"SI",'Registre de reserves'!$I$2:$I$1178,'2022'!$A81,'Registre de reserves'!$B$2:$B$1178,'2022'!D$2,Tabla1[ANY],'2022'!$Z$76)+SUMIFS('Registre de reserves'!$U$2:$U$1178,'Registre de reserves'!$T$2:$T$1178,"RESERVA",'Registre de reserves'!$I$2:$I$1178,'2022'!$A81,'Registre de reserves'!$B$2:$B$1178,'2022'!D$2,Tabla1[ANY],'2022'!$Z$76)</f>
        <v>50</v>
      </c>
      <c r="E81" s="21">
        <f t="shared" si="74"/>
        <v>4.6948356807511735E-2</v>
      </c>
      <c r="F81" s="20">
        <f>SUMIFS('Registre de reserves'!$U$2:$U$1178,'Registre de reserves'!$T$2:$T$1178,"SI",'Registre de reserves'!$I$2:$I$1178,'2022'!$A81,'Registre de reserves'!$B$2:$B$1178,'2022'!F$2,Tabla1[ANY],'2022'!$Z$76)+SUMIFS('Registre de reserves'!$U$2:$U$1178,'Registre de reserves'!$T$2:$T$1178,"RESERVA",'Registre de reserves'!$I$2:$I$1178,'2022'!$A81,'Registre de reserves'!$B$2:$B$1178,'2022'!F$2,Tabla1[ANY],'2022'!$Z$76)</f>
        <v>420</v>
      </c>
      <c r="G81" s="21">
        <f t="shared" si="75"/>
        <v>0.26332288401253917</v>
      </c>
      <c r="H81" s="20">
        <f>SUMIFS('Registre de reserves'!$U$2:$U$1178,'Registre de reserves'!$T$2:$T$1178,"SI",'Registre de reserves'!$I$2:$I$1178,'2022'!$A81,'Registre de reserves'!$B$2:$B$1178,'2022'!H$2,Tabla1[ANY],'2022'!$Z$76)+SUMIFS('Registre de reserves'!$U$2:$U$1178,'Registre de reserves'!$T$2:$T$1178,"RESERVA",'Registre de reserves'!$I$2:$I$1178,'2022'!$A81,'Registre de reserves'!$B$2:$B$1178,'2022'!H$2,Tabla1[ANY],'2022'!$Z$76)</f>
        <v>0</v>
      </c>
      <c r="I81" s="21">
        <f t="shared" si="76"/>
        <v>0</v>
      </c>
      <c r="J81" s="20">
        <f>SUMIFS('Registre de reserves'!$U$2:$U$1178,'Registre de reserves'!$T$2:$T$1178,"SI",'Registre de reserves'!$I$2:$I$1178,'2022'!$A81,'Registre de reserves'!$B$2:$B$1178,'2022'!J$2,Tabla1[ANY],'2022'!$Z$76)+SUMIFS('Registre de reserves'!$U$2:$U$1178,'Registre de reserves'!$T$2:$T$1178,"RESERVA",'Registre de reserves'!$I$2:$I$1178,'2022'!$A81,'Registre de reserves'!$B$2:$B$1178,'2022'!J$2,Tabla1[ANY],'2022'!$Z$76)</f>
        <v>470</v>
      </c>
      <c r="K81" s="21">
        <f t="shared" si="77"/>
        <v>0.26330532212885155</v>
      </c>
      <c r="L81" s="20">
        <f>SUMIFS('Registre de reserves'!$U$2:$U$1178,'Registre de reserves'!$T$2:$T$1178,"SI",'Registre de reserves'!$I$2:$I$1178,'2022'!$A81,'Registre de reserves'!$B$2:$B$1178,'2022'!L$2,Tabla1[ANY],'2022'!$Z$76)+SUMIFS('Registre de reserves'!$U$2:$U$1178,'Registre de reserves'!$T$2:$T$1178,"RESERVA",'Registre de reserves'!$I$2:$I$1178,'2022'!$A81,'Registre de reserves'!$B$2:$B$1178,'2022'!L$2,Tabla1[ANY],'2022'!$Z$76)</f>
        <v>920</v>
      </c>
      <c r="M81" s="21">
        <f t="shared" si="78"/>
        <v>0.5558912386706949</v>
      </c>
      <c r="N81" s="20">
        <f>SUMIFS('Registre de reserves'!$U$2:$U$1178,'Registre de reserves'!$T$2:$T$1178,"SI",'Registre de reserves'!$I$2:$I$1178,'2022'!$A81,'Registre de reserves'!$B$2:$B$1178,'2022'!N$2,Tabla1[ANY],'2022'!$Z$76)+SUMIFS('Registre de reserves'!$U$2:$U$1178,'Registre de reserves'!$T$2:$T$1178,"RESERVA",'Registre de reserves'!$I$2:$I$1178,'2022'!$A81,'Registre de reserves'!$B$2:$B$1178,'2022'!N$2,Tabla1[ANY],'2022'!$Z$76)</f>
        <v>150</v>
      </c>
      <c r="O81" s="21">
        <f t="shared" si="79"/>
        <v>0.21428571428571427</v>
      </c>
      <c r="P81" s="20">
        <f>SUMIFS('Registre de reserves'!$U$2:$U$1178,'Registre de reserves'!$T$2:$T$1178,"SI",'Registre de reserves'!$I$2:$I$1178,'2022'!$A81,'Registre de reserves'!$B$2:$B$1178,'2022'!P$2,Tabla1[ANY],'2022'!$Z$76)+SUMIFS('Registre de reserves'!$U$2:$U$1178,'Registre de reserves'!$T$2:$T$1178,"RESERVA",'Registre de reserves'!$I$2:$I$1178,'2022'!$A81,'Registre de reserves'!$B$2:$B$1178,'2022'!P$2,Tabla1[ANY],'2022'!$Z$76)</f>
        <v>0</v>
      </c>
      <c r="Q81" s="21">
        <f t="shared" si="80"/>
        <v>0</v>
      </c>
      <c r="R81" s="20">
        <f>SUMIFS('Registre de reserves'!$U$2:$U$1178,'Registre de reserves'!$T$2:$T$1178,"SI",'Registre de reserves'!$I$2:$I$1178,'2022'!$A81,'Registre de reserves'!$B$2:$B$1178,'2022'!R$2,Tabla1[ANY],'2022'!$Z$76)+SUMIFS('Registre de reserves'!$U$2:$U$1178,'Registre de reserves'!$T$2:$T$1178,"RESERVA",'Registre de reserves'!$I$2:$I$1178,'2022'!$A81,'Registre de reserves'!$B$2:$B$1178,'2022'!R$2,Tabla1[ANY],'2022'!$Z$76)</f>
        <v>100</v>
      </c>
      <c r="S81" s="21">
        <f t="shared" si="81"/>
        <v>0.10050251256281408</v>
      </c>
      <c r="T81" s="20">
        <f>SUMIFS('Registre de reserves'!$U$2:$U$1178,'Registre de reserves'!$T$2:$T$1178,"SI",'Registre de reserves'!$I$2:$I$1178,'2022'!$A81,'Registre de reserves'!$B$2:$B$1178,'2022'!T$2,Tabla1[ANY],'2022'!$Z$76)+SUMIFS('Registre de reserves'!$U$2:$U$1178,'Registre de reserves'!$T$2:$T$1178,"RESERVA",'Registre de reserves'!$I$2:$I$1178,'2022'!$A81,'Registre de reserves'!$B$2:$B$1178,'2022'!T$2,Tabla1[ANY],'2022'!$Z$76)</f>
        <v>0</v>
      </c>
      <c r="U81" s="21">
        <f t="shared" si="82"/>
        <v>0</v>
      </c>
      <c r="V81" s="20">
        <f>SUMIFS('Registre de reserves'!$U$2:$U$1178,'Registre de reserves'!$T$2:$T$1178,"SI",'Registre de reserves'!$I$2:$I$1178,'2022'!$A81,'Registre de reserves'!$B$2:$B$1178,'2022'!V$2,Tabla1[ANY],'2022'!$Z$76)+SUMIFS('Registre de reserves'!$U$2:$U$1178,'Registre de reserves'!$T$2:$T$1178,"RESERVA",'Registre de reserves'!$I$2:$I$1178,'2022'!$A81,'Registre de reserves'!$B$2:$B$1178,'2022'!V$2,Tabla1[ANY],'2022'!$Z$76)</f>
        <v>50</v>
      </c>
      <c r="W81" s="21">
        <f t="shared" si="83"/>
        <v>3.7593984962406013E-2</v>
      </c>
      <c r="X81" s="20">
        <f>SUMIFS('Registre de reserves'!$U$2:$U$1178,'Registre de reserves'!$T$2:$T$1178,"SI",'Registre de reserves'!$I$2:$I$1178,'2022'!$A81,'Registre de reserves'!$B$2:$B$1178,'2022'!X$2,Tabla1[ANY],'2022'!$Z$76)+SUMIFS('Registre de reserves'!$U$2:$U$1178,'Registre de reserves'!$T$2:$T$1178,"RESERVA",'Registre de reserves'!$I$2:$I$1178,'2022'!$A81,'Registre de reserves'!$B$2:$B$1178,'2022'!X$2,Tabla1[ANY],'2022'!$Z$76)</f>
        <v>50</v>
      </c>
      <c r="Y81" s="21">
        <f t="shared" si="84"/>
        <v>3.484320557491289E-2</v>
      </c>
      <c r="Z81" s="20">
        <f t="shared" si="86"/>
        <v>2210</v>
      </c>
      <c r="AA81" s="21">
        <f t="shared" si="85"/>
        <v>0.13996200126662445</v>
      </c>
    </row>
    <row r="82" spans="1:27" hidden="1" outlineLevel="2" x14ac:dyDescent="0.2">
      <c r="A82" s="8" t="s">
        <v>71</v>
      </c>
      <c r="B82" s="20">
        <f>SUMIFS('Registre de reserves'!$U$2:$U$1178,'Registre de reserves'!$T$2:$T$1178,"SI",'Registre de reserves'!$I$2:$I$1178,'2022'!$A82,'Registre de reserves'!$B$2:$B$1178,'2022'!B$2,Tabla1[ANY],'2022'!$Z$76)+SUMIFS('Registre de reserves'!$U$2:$U$1178,'Registre de reserves'!$T$2:$T$1178,"RESERVA",'Registre de reserves'!$I$2:$I$1178,'2022'!$A82,'Registre de reserves'!$B$2:$B$1178,'2022'!B$2,Tabla1[ANY],'2022'!$Z$76)</f>
        <v>50</v>
      </c>
      <c r="C82" s="21">
        <f t="shared" si="73"/>
        <v>8.771929824561403E-2</v>
      </c>
      <c r="D82" s="20">
        <f>SUMIFS('Registre de reserves'!$U$2:$U$1178,'Registre de reserves'!$T$2:$T$1178,"SI",'Registre de reserves'!$I$2:$I$1178,'2022'!$A82,'Registre de reserves'!$B$2:$B$1178,'2022'!D$2,Tabla1[ANY],'2022'!$Z$76)+SUMIFS('Registre de reserves'!$U$2:$U$1178,'Registre de reserves'!$T$2:$T$1178,"RESERVA",'Registre de reserves'!$I$2:$I$1178,'2022'!$A82,'Registre de reserves'!$B$2:$B$1178,'2022'!D$2,Tabla1[ANY],'2022'!$Z$76)</f>
        <v>0</v>
      </c>
      <c r="E82" s="21">
        <f t="shared" si="74"/>
        <v>0</v>
      </c>
      <c r="F82" s="20">
        <f>SUMIFS('Registre de reserves'!$U$2:$U$1178,'Registre de reserves'!$T$2:$T$1178,"SI",'Registre de reserves'!$I$2:$I$1178,'2022'!$A82,'Registre de reserves'!$B$2:$B$1178,'2022'!F$2,Tabla1[ANY],'2022'!$Z$76)+SUMIFS('Registre de reserves'!$U$2:$U$1178,'Registre de reserves'!$T$2:$T$1178,"RESERVA",'Registre de reserves'!$I$2:$I$1178,'2022'!$A82,'Registre de reserves'!$B$2:$B$1178,'2022'!F$2,Tabla1[ANY],'2022'!$Z$76)</f>
        <v>0</v>
      </c>
      <c r="G82" s="21">
        <f t="shared" si="75"/>
        <v>0</v>
      </c>
      <c r="H82" s="20">
        <f>SUMIFS('Registre de reserves'!$U$2:$U$1178,'Registre de reserves'!$T$2:$T$1178,"SI",'Registre de reserves'!$I$2:$I$1178,'2022'!$A82,'Registre de reserves'!$B$2:$B$1178,'2022'!H$2,Tabla1[ANY],'2022'!$Z$76)+SUMIFS('Registre de reserves'!$U$2:$U$1178,'Registre de reserves'!$T$2:$T$1178,"RESERVA",'Registre de reserves'!$I$2:$I$1178,'2022'!$A82,'Registre de reserves'!$B$2:$B$1178,'2022'!H$2,Tabla1[ANY],'2022'!$Z$76)</f>
        <v>0</v>
      </c>
      <c r="I82" s="21">
        <f t="shared" si="76"/>
        <v>0</v>
      </c>
      <c r="J82" s="20">
        <f>SUMIFS('Registre de reserves'!$U$2:$U$1178,'Registre de reserves'!$T$2:$T$1178,"SI",'Registre de reserves'!$I$2:$I$1178,'2022'!$A82,'Registre de reserves'!$B$2:$B$1178,'2022'!J$2,Tabla1[ANY],'2022'!$Z$76)+SUMIFS('Registre de reserves'!$U$2:$U$1178,'Registre de reserves'!$T$2:$T$1178,"RESERVA",'Registre de reserves'!$I$2:$I$1178,'2022'!$A82,'Registre de reserves'!$B$2:$B$1178,'2022'!J$2,Tabla1[ANY],'2022'!$Z$76)</f>
        <v>0</v>
      </c>
      <c r="K82" s="21">
        <f t="shared" si="77"/>
        <v>0</v>
      </c>
      <c r="L82" s="20">
        <f>SUMIFS('Registre de reserves'!$U$2:$U$1178,'Registre de reserves'!$T$2:$T$1178,"SI",'Registre de reserves'!$I$2:$I$1178,'2022'!$A82,'Registre de reserves'!$B$2:$B$1178,'2022'!L$2,Tabla1[ANY],'2022'!$Z$76)+SUMIFS('Registre de reserves'!$U$2:$U$1178,'Registre de reserves'!$T$2:$T$1178,"RESERVA",'Registre de reserves'!$I$2:$I$1178,'2022'!$A82,'Registre de reserves'!$B$2:$B$1178,'2022'!L$2,Tabla1[ANY],'2022'!$Z$76)</f>
        <v>0</v>
      </c>
      <c r="M82" s="21">
        <f t="shared" si="78"/>
        <v>0</v>
      </c>
      <c r="N82" s="20">
        <f>SUMIFS('Registre de reserves'!$U$2:$U$1178,'Registre de reserves'!$T$2:$T$1178,"SI",'Registre de reserves'!$I$2:$I$1178,'2022'!$A82,'Registre de reserves'!$B$2:$B$1178,'2022'!N$2,Tabla1[ANY],'2022'!$Z$76)+SUMIFS('Registre de reserves'!$U$2:$U$1178,'Registre de reserves'!$T$2:$T$1178,"RESERVA",'Registre de reserves'!$I$2:$I$1178,'2022'!$A82,'Registre de reserves'!$B$2:$B$1178,'2022'!N$2,Tabla1[ANY],'2022'!$Z$76)</f>
        <v>0</v>
      </c>
      <c r="O82" s="21">
        <f t="shared" si="79"/>
        <v>0</v>
      </c>
      <c r="P82" s="20">
        <f>SUMIFS('Registre de reserves'!$U$2:$U$1178,'Registre de reserves'!$T$2:$T$1178,"SI",'Registre de reserves'!$I$2:$I$1178,'2022'!$A82,'Registre de reserves'!$B$2:$B$1178,'2022'!P$2,Tabla1[ANY],'2022'!$Z$76)+SUMIFS('Registre de reserves'!$U$2:$U$1178,'Registre de reserves'!$T$2:$T$1178,"RESERVA",'Registre de reserves'!$I$2:$I$1178,'2022'!$A82,'Registre de reserves'!$B$2:$B$1178,'2022'!P$2,Tabla1[ANY],'2022'!$Z$76)</f>
        <v>0</v>
      </c>
      <c r="Q82" s="21">
        <f t="shared" si="80"/>
        <v>0</v>
      </c>
      <c r="R82" s="20">
        <f>SUMIFS('Registre de reserves'!$U$2:$U$1178,'Registre de reserves'!$T$2:$T$1178,"SI",'Registre de reserves'!$I$2:$I$1178,'2022'!$A82,'Registre de reserves'!$B$2:$B$1178,'2022'!R$2,Tabla1[ANY],'2022'!$Z$76)+SUMIFS('Registre de reserves'!$U$2:$U$1178,'Registre de reserves'!$T$2:$T$1178,"RESERVA",'Registre de reserves'!$I$2:$I$1178,'2022'!$A82,'Registre de reserves'!$B$2:$B$1178,'2022'!R$2,Tabla1[ANY],'2022'!$Z$76)</f>
        <v>0</v>
      </c>
      <c r="S82" s="21">
        <f t="shared" si="81"/>
        <v>0</v>
      </c>
      <c r="T82" s="20">
        <f>SUMIFS('Registre de reserves'!$U$2:$U$1178,'Registre de reserves'!$T$2:$T$1178,"SI",'Registre de reserves'!$I$2:$I$1178,'2022'!$A82,'Registre de reserves'!$B$2:$B$1178,'2022'!T$2,Tabla1[ANY],'2022'!$Z$76)+SUMIFS('Registre de reserves'!$U$2:$U$1178,'Registre de reserves'!$T$2:$T$1178,"RESERVA",'Registre de reserves'!$I$2:$I$1178,'2022'!$A82,'Registre de reserves'!$B$2:$B$1178,'2022'!T$2,Tabla1[ANY],'2022'!$Z$76)</f>
        <v>0</v>
      </c>
      <c r="U82" s="21">
        <f t="shared" si="82"/>
        <v>0</v>
      </c>
      <c r="V82" s="20">
        <f>SUMIFS('Registre de reserves'!$U$2:$U$1178,'Registre de reserves'!$T$2:$T$1178,"SI",'Registre de reserves'!$I$2:$I$1178,'2022'!$A82,'Registre de reserves'!$B$2:$B$1178,'2022'!V$2,Tabla1[ANY],'2022'!$Z$76)+SUMIFS('Registre de reserves'!$U$2:$U$1178,'Registre de reserves'!$T$2:$T$1178,"RESERVA",'Registre de reserves'!$I$2:$I$1178,'2022'!$A82,'Registre de reserves'!$B$2:$B$1178,'2022'!V$2,Tabla1[ANY],'2022'!$Z$76)</f>
        <v>0</v>
      </c>
      <c r="W82" s="21">
        <f t="shared" si="83"/>
        <v>0</v>
      </c>
      <c r="X82" s="20">
        <f>SUMIFS('Registre de reserves'!$U$2:$U$1178,'Registre de reserves'!$T$2:$T$1178,"SI",'Registre de reserves'!$I$2:$I$1178,'2022'!$A82,'Registre de reserves'!$B$2:$B$1178,'2022'!X$2,Tabla1[ANY],'2022'!$Z$76)+SUMIFS('Registre de reserves'!$U$2:$U$1178,'Registre de reserves'!$T$2:$T$1178,"RESERVA",'Registre de reserves'!$I$2:$I$1178,'2022'!$A82,'Registre de reserves'!$B$2:$B$1178,'2022'!X$2,Tabla1[ANY],'2022'!$Z$76)</f>
        <v>0</v>
      </c>
      <c r="Y82" s="21">
        <f t="shared" si="84"/>
        <v>0</v>
      </c>
      <c r="Z82" s="20">
        <f t="shared" si="86"/>
        <v>50</v>
      </c>
      <c r="AA82" s="21">
        <f t="shared" si="85"/>
        <v>3.1665611146295125E-3</v>
      </c>
    </row>
    <row r="83" spans="1:27" hidden="1" outlineLevel="2" x14ac:dyDescent="0.2">
      <c r="A83" s="8" t="s">
        <v>72</v>
      </c>
      <c r="B83" s="20">
        <f>SUMIFS('Registre de reserves'!$U$2:$U$1178,'Registre de reserves'!$T$2:$T$1178,"SI",'Registre de reserves'!$I$2:$I$1178,'2022'!$A83,'Registre de reserves'!$B$2:$B$1178,'2022'!B$2,Tabla1[ANY],'2022'!$Z$76)+SUMIFS('Registre de reserves'!$U$2:$U$1178,'Registre de reserves'!$T$2:$T$1178,"RESERVA",'Registre de reserves'!$I$2:$I$1178,'2022'!$A83,'Registre de reserves'!$B$2:$B$1178,'2022'!B$2,Tabla1[ANY],'2022'!$Z$76)</f>
        <v>0</v>
      </c>
      <c r="C83" s="21">
        <f t="shared" si="73"/>
        <v>0</v>
      </c>
      <c r="D83" s="20">
        <f>SUMIFS('Registre de reserves'!$U$2:$U$1178,'Registre de reserves'!$T$2:$T$1178,"SI",'Registre de reserves'!$I$2:$I$1178,'2022'!$A83,'Registre de reserves'!$B$2:$B$1178,'2022'!D$2,Tabla1[ANY],'2022'!$Z$76)+SUMIFS('Registre de reserves'!$U$2:$U$1178,'Registre de reserves'!$T$2:$T$1178,"RESERVA",'Registre de reserves'!$I$2:$I$1178,'2022'!$A83,'Registre de reserves'!$B$2:$B$1178,'2022'!D$2,Tabla1[ANY],'2022'!$Z$76)</f>
        <v>0</v>
      </c>
      <c r="E83" s="21">
        <f t="shared" si="74"/>
        <v>0</v>
      </c>
      <c r="F83" s="20">
        <f>SUMIFS('Registre de reserves'!$U$2:$U$1178,'Registre de reserves'!$T$2:$T$1178,"SI",'Registre de reserves'!$I$2:$I$1178,'2022'!$A83,'Registre de reserves'!$B$2:$B$1178,'2022'!F$2,Tabla1[ANY],'2022'!$Z$76)+SUMIFS('Registre de reserves'!$U$2:$U$1178,'Registre de reserves'!$T$2:$T$1178,"RESERVA",'Registre de reserves'!$I$2:$I$1178,'2022'!$A83,'Registre de reserves'!$B$2:$B$1178,'2022'!F$2,Tabla1[ANY],'2022'!$Z$76)</f>
        <v>0</v>
      </c>
      <c r="G83" s="21">
        <f t="shared" si="75"/>
        <v>0</v>
      </c>
      <c r="H83" s="20">
        <f>SUMIFS('Registre de reserves'!$U$2:$U$1178,'Registre de reserves'!$T$2:$T$1178,"SI",'Registre de reserves'!$I$2:$I$1178,'2022'!$A83,'Registre de reserves'!$B$2:$B$1178,'2022'!H$2,Tabla1[ANY],'2022'!$Z$76)+SUMIFS('Registre de reserves'!$U$2:$U$1178,'Registre de reserves'!$T$2:$T$1178,"RESERVA",'Registre de reserves'!$I$2:$I$1178,'2022'!$A83,'Registre de reserves'!$B$2:$B$1178,'2022'!H$2,Tabla1[ANY],'2022'!$Z$76)</f>
        <v>0</v>
      </c>
      <c r="I83" s="21">
        <f t="shared" si="76"/>
        <v>0</v>
      </c>
      <c r="J83" s="20">
        <f>SUMIFS('Registre de reserves'!$U$2:$U$1178,'Registre de reserves'!$T$2:$T$1178,"SI",'Registre de reserves'!$I$2:$I$1178,'2022'!$A83,'Registre de reserves'!$B$2:$B$1178,'2022'!J$2,Tabla1[ANY],'2022'!$Z$76)+SUMIFS('Registre de reserves'!$U$2:$U$1178,'Registre de reserves'!$T$2:$T$1178,"RESERVA",'Registre de reserves'!$I$2:$I$1178,'2022'!$A83,'Registre de reserves'!$B$2:$B$1178,'2022'!J$2,Tabla1[ANY],'2022'!$Z$76)</f>
        <v>0</v>
      </c>
      <c r="K83" s="21">
        <f t="shared" si="77"/>
        <v>0</v>
      </c>
      <c r="L83" s="20">
        <f>SUMIFS('Registre de reserves'!$U$2:$U$1178,'Registre de reserves'!$T$2:$T$1178,"SI",'Registre de reserves'!$I$2:$I$1178,'2022'!$A83,'Registre de reserves'!$B$2:$B$1178,'2022'!L$2,Tabla1[ANY],'2022'!$Z$76)+SUMIFS('Registre de reserves'!$U$2:$U$1178,'Registre de reserves'!$T$2:$T$1178,"RESERVA",'Registre de reserves'!$I$2:$I$1178,'2022'!$A83,'Registre de reserves'!$B$2:$B$1178,'2022'!L$2,Tabla1[ANY],'2022'!$Z$76)</f>
        <v>0</v>
      </c>
      <c r="M83" s="21">
        <f t="shared" si="78"/>
        <v>0</v>
      </c>
      <c r="N83" s="20">
        <f>SUMIFS('Registre de reserves'!$U$2:$U$1178,'Registre de reserves'!$T$2:$T$1178,"SI",'Registre de reserves'!$I$2:$I$1178,'2022'!$A83,'Registre de reserves'!$B$2:$B$1178,'2022'!N$2,Tabla1[ANY],'2022'!$Z$76)+SUMIFS('Registre de reserves'!$U$2:$U$1178,'Registre de reserves'!$T$2:$T$1178,"RESERVA",'Registre de reserves'!$I$2:$I$1178,'2022'!$A83,'Registre de reserves'!$B$2:$B$1178,'2022'!N$2,Tabla1[ANY],'2022'!$Z$76)</f>
        <v>0</v>
      </c>
      <c r="O83" s="21">
        <f t="shared" si="79"/>
        <v>0</v>
      </c>
      <c r="P83" s="20">
        <f>SUMIFS('Registre de reserves'!$U$2:$U$1178,'Registre de reserves'!$T$2:$T$1178,"SI",'Registre de reserves'!$I$2:$I$1178,'2022'!$A83,'Registre de reserves'!$B$2:$B$1178,'2022'!P$2,Tabla1[ANY],'2022'!$Z$76)+SUMIFS('Registre de reserves'!$U$2:$U$1178,'Registre de reserves'!$T$2:$T$1178,"RESERVA",'Registre de reserves'!$I$2:$I$1178,'2022'!$A83,'Registre de reserves'!$B$2:$B$1178,'2022'!P$2,Tabla1[ANY],'2022'!$Z$76)</f>
        <v>0</v>
      </c>
      <c r="Q83" s="21">
        <f t="shared" si="80"/>
        <v>0</v>
      </c>
      <c r="R83" s="20">
        <f>SUMIFS('Registre de reserves'!$U$2:$U$1178,'Registre de reserves'!$T$2:$T$1178,"SI",'Registre de reserves'!$I$2:$I$1178,'2022'!$A83,'Registre de reserves'!$B$2:$B$1178,'2022'!R$2,Tabla1[ANY],'2022'!$Z$76)+SUMIFS('Registre de reserves'!$U$2:$U$1178,'Registre de reserves'!$T$2:$T$1178,"RESERVA",'Registre de reserves'!$I$2:$I$1178,'2022'!$A83,'Registre de reserves'!$B$2:$B$1178,'2022'!R$2,Tabla1[ANY],'2022'!$Z$76)</f>
        <v>0</v>
      </c>
      <c r="S83" s="21">
        <f t="shared" si="81"/>
        <v>0</v>
      </c>
      <c r="T83" s="20">
        <f>SUMIFS('Registre de reserves'!$U$2:$U$1178,'Registre de reserves'!$T$2:$T$1178,"SI",'Registre de reserves'!$I$2:$I$1178,'2022'!$A83,'Registre de reserves'!$B$2:$B$1178,'2022'!T$2,Tabla1[ANY],'2022'!$Z$76)+SUMIFS('Registre de reserves'!$U$2:$U$1178,'Registre de reserves'!$T$2:$T$1178,"RESERVA",'Registre de reserves'!$I$2:$I$1178,'2022'!$A83,'Registre de reserves'!$B$2:$B$1178,'2022'!T$2,Tabla1[ANY],'2022'!$Z$76)</f>
        <v>0</v>
      </c>
      <c r="U83" s="21">
        <f t="shared" si="82"/>
        <v>0</v>
      </c>
      <c r="V83" s="20">
        <f>SUMIFS('Registre de reserves'!$U$2:$U$1178,'Registre de reserves'!$T$2:$T$1178,"SI",'Registre de reserves'!$I$2:$I$1178,'2022'!$A83,'Registre de reserves'!$B$2:$B$1178,'2022'!V$2,Tabla1[ANY],'2022'!$Z$76)+SUMIFS('Registre de reserves'!$U$2:$U$1178,'Registre de reserves'!$T$2:$T$1178,"RESERVA",'Registre de reserves'!$I$2:$I$1178,'2022'!$A83,'Registre de reserves'!$B$2:$B$1178,'2022'!V$2,Tabla1[ANY],'2022'!$Z$76)</f>
        <v>0</v>
      </c>
      <c r="W83" s="21">
        <f t="shared" si="83"/>
        <v>0</v>
      </c>
      <c r="X83" s="20">
        <f>SUMIFS('Registre de reserves'!$U$2:$U$1178,'Registre de reserves'!$T$2:$T$1178,"SI",'Registre de reserves'!$I$2:$I$1178,'2022'!$A83,'Registre de reserves'!$B$2:$B$1178,'2022'!X$2,Tabla1[ANY],'2022'!$Z$76)+SUMIFS('Registre de reserves'!$U$2:$U$1178,'Registre de reserves'!$T$2:$T$1178,"RESERVA",'Registre de reserves'!$I$2:$I$1178,'2022'!$A83,'Registre de reserves'!$B$2:$B$1178,'2022'!X$2,Tabla1[ANY],'2022'!$Z$76)</f>
        <v>0</v>
      </c>
      <c r="Y83" s="21">
        <f t="shared" si="84"/>
        <v>0</v>
      </c>
      <c r="Z83" s="20">
        <f t="shared" si="86"/>
        <v>0</v>
      </c>
      <c r="AA83" s="21">
        <f t="shared" si="85"/>
        <v>0</v>
      </c>
    </row>
    <row r="84" spans="1:27" hidden="1" outlineLevel="2" x14ac:dyDescent="0.2">
      <c r="A84" s="8" t="s">
        <v>69</v>
      </c>
      <c r="B84" s="20">
        <f>SUMIFS('Registre de reserves'!$U$2:$U$1178,'Registre de reserves'!$T$2:$T$1178,"SI",'Registre de reserves'!$I$2:$I$1178,'2022'!$A84,'Registre de reserves'!$B$2:$B$1178,'2022'!B$2,Tabla1[ANY],'2022'!$Z$76)+SUMIFS('Registre de reserves'!$U$2:$U$1178,'Registre de reserves'!$T$2:$T$1178,"RESERVA",'Registre de reserves'!$I$2:$I$1178,'2022'!$A84,'Registre de reserves'!$B$2:$B$1178,'2022'!B$2,Tabla1[ANY],'2022'!$Z$76)</f>
        <v>100</v>
      </c>
      <c r="C84" s="21">
        <f t="shared" si="73"/>
        <v>0.17543859649122806</v>
      </c>
      <c r="D84" s="20">
        <f>SUMIFS('Registre de reserves'!$U$2:$U$1178,'Registre de reserves'!$T$2:$T$1178,"SI",'Registre de reserves'!$I$2:$I$1178,'2022'!$A84,'Registre de reserves'!$B$2:$B$1178,'2022'!D$2,Tabla1[ANY],'2022'!$Z$76)+SUMIFS('Registre de reserves'!$U$2:$U$1178,'Registre de reserves'!$T$2:$T$1178,"RESERVA",'Registre de reserves'!$I$2:$I$1178,'2022'!$A84,'Registre de reserves'!$B$2:$B$1178,'2022'!D$2,Tabla1[ANY],'2022'!$Z$76)</f>
        <v>490</v>
      </c>
      <c r="E84" s="21">
        <f t="shared" si="74"/>
        <v>0.460093896713615</v>
      </c>
      <c r="F84" s="20">
        <f>SUMIFS('Registre de reserves'!$U$2:$U$1178,'Registre de reserves'!$T$2:$T$1178,"SI",'Registre de reserves'!$I$2:$I$1178,'2022'!$A84,'Registre de reserves'!$B$2:$B$1178,'2022'!F$2,Tabla1[ANY],'2022'!$Z$76)+SUMIFS('Registre de reserves'!$U$2:$U$1178,'Registre de reserves'!$T$2:$T$1178,"RESERVA",'Registre de reserves'!$I$2:$I$1178,'2022'!$A84,'Registre de reserves'!$B$2:$B$1178,'2022'!F$2,Tabla1[ANY],'2022'!$Z$76)</f>
        <v>295</v>
      </c>
      <c r="G84" s="21">
        <f t="shared" si="75"/>
        <v>0.18495297805642633</v>
      </c>
      <c r="H84" s="20">
        <f>SUMIFS('Registre de reserves'!$U$2:$U$1178,'Registre de reserves'!$T$2:$T$1178,"SI",'Registre de reserves'!$I$2:$I$1178,'2022'!$A84,'Registre de reserves'!$B$2:$B$1178,'2022'!H$2,Tabla1[ANY],'2022'!$Z$76)+SUMIFS('Registre de reserves'!$U$2:$U$1178,'Registre de reserves'!$T$2:$T$1178,"RESERVA",'Registre de reserves'!$I$2:$I$1178,'2022'!$A84,'Registre de reserves'!$B$2:$B$1178,'2022'!H$2,Tabla1[ANY],'2022'!$Z$76)</f>
        <v>980</v>
      </c>
      <c r="I84" s="21">
        <f t="shared" si="76"/>
        <v>0.41791044776119401</v>
      </c>
      <c r="J84" s="20">
        <f>SUMIFS('Registre de reserves'!$U$2:$U$1178,'Registre de reserves'!$T$2:$T$1178,"SI",'Registre de reserves'!$I$2:$I$1178,'2022'!$A84,'Registre de reserves'!$B$2:$B$1178,'2022'!J$2,Tabla1[ANY],'2022'!$Z$76)+SUMIFS('Registre de reserves'!$U$2:$U$1178,'Registre de reserves'!$T$2:$T$1178,"RESERVA",'Registre de reserves'!$I$2:$I$1178,'2022'!$A84,'Registre de reserves'!$B$2:$B$1178,'2022'!J$2,Tabla1[ANY],'2022'!$Z$76)</f>
        <v>295</v>
      </c>
      <c r="K84" s="21">
        <f t="shared" si="77"/>
        <v>0.16526610644257703</v>
      </c>
      <c r="L84" s="20">
        <f>SUMIFS('Registre de reserves'!$U$2:$U$1178,'Registre de reserves'!$T$2:$T$1178,"SI",'Registre de reserves'!$I$2:$I$1178,'2022'!$A84,'Registre de reserves'!$B$2:$B$1178,'2022'!L$2,Tabla1[ANY],'2022'!$Z$76)+SUMIFS('Registre de reserves'!$U$2:$U$1178,'Registre de reserves'!$T$2:$T$1178,"RESERVA",'Registre de reserves'!$I$2:$I$1178,'2022'!$A84,'Registre de reserves'!$B$2:$B$1178,'2022'!L$2,Tabla1[ANY],'2022'!$Z$76)</f>
        <v>50</v>
      </c>
      <c r="M84" s="21">
        <f t="shared" si="78"/>
        <v>3.0211480362537766E-2</v>
      </c>
      <c r="N84" s="20">
        <f>SUMIFS('Registre de reserves'!$U$2:$U$1178,'Registre de reserves'!$T$2:$T$1178,"SI",'Registre de reserves'!$I$2:$I$1178,'2022'!$A84,'Registre de reserves'!$B$2:$B$1178,'2022'!N$2,Tabla1[ANY],'2022'!$Z$76)+SUMIFS('Registre de reserves'!$U$2:$U$1178,'Registre de reserves'!$T$2:$T$1178,"RESERVA",'Registre de reserves'!$I$2:$I$1178,'2022'!$A84,'Registre de reserves'!$B$2:$B$1178,'2022'!N$2,Tabla1[ANY],'2022'!$Z$76)</f>
        <v>150</v>
      </c>
      <c r="O84" s="21">
        <f t="shared" si="79"/>
        <v>0.21428571428571427</v>
      </c>
      <c r="P84" s="20">
        <f>SUMIFS('Registre de reserves'!$U$2:$U$1178,'Registre de reserves'!$T$2:$T$1178,"SI",'Registre de reserves'!$I$2:$I$1178,'2022'!$A84,'Registre de reserves'!$B$2:$B$1178,'2022'!P$2,Tabla1[ANY],'2022'!$Z$76)+SUMIFS('Registre de reserves'!$U$2:$U$1178,'Registre de reserves'!$T$2:$T$1178,"RESERVA",'Registre de reserves'!$I$2:$I$1178,'2022'!$A84,'Registre de reserves'!$B$2:$B$1178,'2022'!P$2,Tabla1[ANY],'2022'!$Z$76)</f>
        <v>100</v>
      </c>
      <c r="Q84" s="21">
        <f t="shared" si="80"/>
        <v>0.28985507246376813</v>
      </c>
      <c r="R84" s="20">
        <f>SUMIFS('Registre de reserves'!$U$2:$U$1178,'Registre de reserves'!$T$2:$T$1178,"SI",'Registre de reserves'!$I$2:$I$1178,'2022'!$A84,'Registre de reserves'!$B$2:$B$1178,'2022'!R$2,Tabla1[ANY],'2022'!$Z$76)+SUMIFS('Registre de reserves'!$U$2:$U$1178,'Registre de reserves'!$T$2:$T$1178,"RESERVA",'Registre de reserves'!$I$2:$I$1178,'2022'!$A84,'Registre de reserves'!$B$2:$B$1178,'2022'!R$2,Tabla1[ANY],'2022'!$Z$76)</f>
        <v>250</v>
      </c>
      <c r="S84" s="21">
        <f t="shared" si="81"/>
        <v>0.25125628140703515</v>
      </c>
      <c r="T84" s="20">
        <f>SUMIFS('Registre de reserves'!$U$2:$U$1178,'Registre de reserves'!$T$2:$T$1178,"SI",'Registre de reserves'!$I$2:$I$1178,'2022'!$A84,'Registre de reserves'!$B$2:$B$1178,'2022'!T$2,Tabla1[ANY],'2022'!$Z$76)+SUMIFS('Registre de reserves'!$U$2:$U$1178,'Registre de reserves'!$T$2:$T$1178,"RESERVA",'Registre de reserves'!$I$2:$I$1178,'2022'!$A84,'Registre de reserves'!$B$2:$B$1178,'2022'!T$2,Tabla1[ANY],'2022'!$Z$76)</f>
        <v>750</v>
      </c>
      <c r="U84" s="21">
        <f t="shared" si="82"/>
        <v>0.38071065989847713</v>
      </c>
      <c r="V84" s="20">
        <f>SUMIFS('Registre de reserves'!$U$2:$U$1178,'Registre de reserves'!$T$2:$T$1178,"SI",'Registre de reserves'!$I$2:$I$1178,'2022'!$A84,'Registre de reserves'!$B$2:$B$1178,'2022'!V$2,Tabla1[ANY],'2022'!$Z$76)+SUMIFS('Registre de reserves'!$U$2:$U$1178,'Registre de reserves'!$T$2:$T$1178,"RESERVA",'Registre de reserves'!$I$2:$I$1178,'2022'!$A84,'Registre de reserves'!$B$2:$B$1178,'2022'!V$2,Tabla1[ANY],'2022'!$Z$76)</f>
        <v>350</v>
      </c>
      <c r="W84" s="21">
        <f t="shared" si="83"/>
        <v>0.26315789473684209</v>
      </c>
      <c r="X84" s="20">
        <f>SUMIFS('Registre de reserves'!$U$2:$U$1178,'Registre de reserves'!$T$2:$T$1178,"SI",'Registre de reserves'!$I$2:$I$1178,'2022'!$A84,'Registre de reserves'!$B$2:$B$1178,'2022'!X$2,Tabla1[ANY],'2022'!$Z$76)+SUMIFS('Registre de reserves'!$U$2:$U$1178,'Registre de reserves'!$T$2:$T$1178,"RESERVA",'Registre de reserves'!$I$2:$I$1178,'2022'!$A84,'Registre de reserves'!$B$2:$B$1178,'2022'!X$2,Tabla1[ANY],'2022'!$Z$76)</f>
        <v>250</v>
      </c>
      <c r="Y84" s="21">
        <f t="shared" si="84"/>
        <v>0.17421602787456447</v>
      </c>
      <c r="Z84" s="20">
        <f t="shared" si="86"/>
        <v>4060</v>
      </c>
      <c r="AA84" s="21">
        <f t="shared" si="85"/>
        <v>0.25712476250791638</v>
      </c>
    </row>
    <row r="85" spans="1:27" hidden="1" outlineLevel="2" x14ac:dyDescent="0.2">
      <c r="A85" s="8" t="s">
        <v>70</v>
      </c>
      <c r="B85" s="20">
        <f>SUMIFS('Registre de reserves'!$U$2:$U$1178,'Registre de reserves'!$T$2:$T$1178,"SI",'Registre de reserves'!$I$2:$I$1178,'2022'!$A85,'Registre de reserves'!$B$2:$B$1178,'2022'!B$2,Tabla1[ANY],'2022'!$Z$76)+SUMIFS('Registre de reserves'!$U$2:$U$1178,'Registre de reserves'!$T$2:$T$1178,"RESERVA",'Registre de reserves'!$I$2:$I$1178,'2022'!$A85,'Registre de reserves'!$B$2:$B$1178,'2022'!B$2,Tabla1[ANY],'2022'!$Z$76)</f>
        <v>0</v>
      </c>
      <c r="C85" s="21">
        <f t="shared" si="73"/>
        <v>0</v>
      </c>
      <c r="D85" s="20">
        <f>SUMIFS('Registre de reserves'!$U$2:$U$1178,'Registre de reserves'!$T$2:$T$1178,"SI",'Registre de reserves'!$I$2:$I$1178,'2022'!$A85,'Registre de reserves'!$B$2:$B$1178,'2022'!D$2,Tabla1[ANY],'2022'!$Z$76)+SUMIFS('Registre de reserves'!$U$2:$U$1178,'Registre de reserves'!$T$2:$T$1178,"RESERVA",'Registre de reserves'!$I$2:$I$1178,'2022'!$A85,'Registre de reserves'!$B$2:$B$1178,'2022'!D$2,Tabla1[ANY],'2022'!$Z$76)</f>
        <v>0</v>
      </c>
      <c r="E85" s="21">
        <f t="shared" si="74"/>
        <v>0</v>
      </c>
      <c r="F85" s="20">
        <f>SUMIFS('Registre de reserves'!$U$2:$U$1178,'Registre de reserves'!$T$2:$T$1178,"SI",'Registre de reserves'!$I$2:$I$1178,'2022'!$A85,'Registre de reserves'!$B$2:$B$1178,'2022'!F$2,Tabla1[ANY],'2022'!$Z$76)+SUMIFS('Registre de reserves'!$U$2:$U$1178,'Registre de reserves'!$T$2:$T$1178,"RESERVA",'Registre de reserves'!$I$2:$I$1178,'2022'!$A85,'Registre de reserves'!$B$2:$B$1178,'2022'!F$2,Tabla1[ANY],'2022'!$Z$76)</f>
        <v>0</v>
      </c>
      <c r="G85" s="21">
        <f t="shared" si="75"/>
        <v>0</v>
      </c>
      <c r="H85" s="20">
        <f>SUMIFS('Registre de reserves'!$U$2:$U$1178,'Registre de reserves'!$T$2:$T$1178,"SI",'Registre de reserves'!$I$2:$I$1178,'2022'!$A85,'Registre de reserves'!$B$2:$B$1178,'2022'!H$2,Tabla1[ANY],'2022'!$Z$76)+SUMIFS('Registre de reserves'!$U$2:$U$1178,'Registre de reserves'!$T$2:$T$1178,"RESERVA",'Registre de reserves'!$I$2:$I$1178,'2022'!$A85,'Registre de reserves'!$B$2:$B$1178,'2022'!H$2,Tabla1[ANY],'2022'!$Z$76)</f>
        <v>0</v>
      </c>
      <c r="I85" s="21">
        <f t="shared" si="76"/>
        <v>0</v>
      </c>
      <c r="J85" s="20">
        <f>SUMIFS('Registre de reserves'!$U$2:$U$1178,'Registre de reserves'!$T$2:$T$1178,"SI",'Registre de reserves'!$I$2:$I$1178,'2022'!$A85,'Registre de reserves'!$B$2:$B$1178,'2022'!J$2,Tabla1[ANY],'2022'!$Z$76)+SUMIFS('Registre de reserves'!$U$2:$U$1178,'Registre de reserves'!$T$2:$T$1178,"RESERVA",'Registre de reserves'!$I$2:$I$1178,'2022'!$A85,'Registre de reserves'!$B$2:$B$1178,'2022'!J$2,Tabla1[ANY],'2022'!$Z$76)</f>
        <v>50</v>
      </c>
      <c r="K85" s="21">
        <f t="shared" si="77"/>
        <v>2.8011204481792718E-2</v>
      </c>
      <c r="L85" s="20">
        <f>SUMIFS('Registre de reserves'!$U$2:$U$1178,'Registre de reserves'!$T$2:$T$1178,"SI",'Registre de reserves'!$I$2:$I$1178,'2022'!$A85,'Registre de reserves'!$B$2:$B$1178,'2022'!L$2,Tabla1[ANY],'2022'!$Z$76)+SUMIFS('Registre de reserves'!$U$2:$U$1178,'Registre de reserves'!$T$2:$T$1178,"RESERVA",'Registre de reserves'!$I$2:$I$1178,'2022'!$A85,'Registre de reserves'!$B$2:$B$1178,'2022'!L$2,Tabla1[ANY],'2022'!$Z$76)</f>
        <v>0</v>
      </c>
      <c r="M85" s="21">
        <f t="shared" si="78"/>
        <v>0</v>
      </c>
      <c r="N85" s="20">
        <f>SUMIFS('Registre de reserves'!$U$2:$U$1178,'Registre de reserves'!$T$2:$T$1178,"SI",'Registre de reserves'!$I$2:$I$1178,'2022'!$A85,'Registre de reserves'!$B$2:$B$1178,'2022'!N$2,Tabla1[ANY],'2022'!$Z$76)+SUMIFS('Registre de reserves'!$U$2:$U$1178,'Registre de reserves'!$T$2:$T$1178,"RESERVA",'Registre de reserves'!$I$2:$I$1178,'2022'!$A85,'Registre de reserves'!$B$2:$B$1178,'2022'!N$2,Tabla1[ANY],'2022'!$Z$76)</f>
        <v>0</v>
      </c>
      <c r="O85" s="21">
        <f t="shared" si="79"/>
        <v>0</v>
      </c>
      <c r="P85" s="20">
        <f>SUMIFS('Registre de reserves'!$U$2:$U$1178,'Registre de reserves'!$T$2:$T$1178,"SI",'Registre de reserves'!$I$2:$I$1178,'2022'!$A85,'Registre de reserves'!$B$2:$B$1178,'2022'!P$2,Tabla1[ANY],'2022'!$Z$76)+SUMIFS('Registre de reserves'!$U$2:$U$1178,'Registre de reserves'!$T$2:$T$1178,"RESERVA",'Registre de reserves'!$I$2:$I$1178,'2022'!$A85,'Registre de reserves'!$B$2:$B$1178,'2022'!P$2,Tabla1[ANY],'2022'!$Z$76)</f>
        <v>50</v>
      </c>
      <c r="Q85" s="21">
        <f t="shared" si="80"/>
        <v>0.14492753623188406</v>
      </c>
      <c r="R85" s="20">
        <f>SUMIFS('Registre de reserves'!$U$2:$U$1178,'Registre de reserves'!$T$2:$T$1178,"SI",'Registre de reserves'!$I$2:$I$1178,'2022'!$A85,'Registre de reserves'!$B$2:$B$1178,'2022'!R$2,Tabla1[ANY],'2022'!$Z$76)+SUMIFS('Registre de reserves'!$U$2:$U$1178,'Registre de reserves'!$T$2:$T$1178,"RESERVA",'Registre de reserves'!$I$2:$I$1178,'2022'!$A85,'Registre de reserves'!$B$2:$B$1178,'2022'!R$2,Tabla1[ANY],'2022'!$Z$76)</f>
        <v>50</v>
      </c>
      <c r="S85" s="21">
        <f t="shared" si="81"/>
        <v>5.0251256281407038E-2</v>
      </c>
      <c r="T85" s="20">
        <f>SUMIFS('Registre de reserves'!$U$2:$U$1178,'Registre de reserves'!$T$2:$T$1178,"SI",'Registre de reserves'!$I$2:$I$1178,'2022'!$A85,'Registre de reserves'!$B$2:$B$1178,'2022'!T$2,Tabla1[ANY],'2022'!$Z$76)+SUMIFS('Registre de reserves'!$U$2:$U$1178,'Registre de reserves'!$T$2:$T$1178,"RESERVA",'Registre de reserves'!$I$2:$I$1178,'2022'!$A85,'Registre de reserves'!$B$2:$B$1178,'2022'!T$2,Tabla1[ANY],'2022'!$Z$76)</f>
        <v>370</v>
      </c>
      <c r="U85" s="21">
        <f t="shared" si="82"/>
        <v>0.18781725888324874</v>
      </c>
      <c r="V85" s="20">
        <f>SUMIFS('Registre de reserves'!$U$2:$U$1178,'Registre de reserves'!$T$2:$T$1178,"SI",'Registre de reserves'!$I$2:$I$1178,'2022'!$A85,'Registre de reserves'!$B$2:$B$1178,'2022'!V$2,Tabla1[ANY],'2022'!$Z$76)+SUMIFS('Registre de reserves'!$U$2:$U$1178,'Registre de reserves'!$T$2:$T$1178,"RESERVA",'Registre de reserves'!$I$2:$I$1178,'2022'!$A85,'Registre de reserves'!$B$2:$B$1178,'2022'!V$2,Tabla1[ANY],'2022'!$Z$76)</f>
        <v>0</v>
      </c>
      <c r="W85" s="21">
        <f t="shared" si="83"/>
        <v>0</v>
      </c>
      <c r="X85" s="20">
        <f>SUMIFS('Registre de reserves'!$U$2:$U$1178,'Registre de reserves'!$T$2:$T$1178,"SI",'Registre de reserves'!$I$2:$I$1178,'2022'!$A85,'Registre de reserves'!$B$2:$B$1178,'2022'!X$2,Tabla1[ANY],'2022'!$Z$76)+SUMIFS('Registre de reserves'!$U$2:$U$1178,'Registre de reserves'!$T$2:$T$1178,"RESERVA",'Registre de reserves'!$I$2:$I$1178,'2022'!$A85,'Registre de reserves'!$B$2:$B$1178,'2022'!X$2,Tabla1[ANY],'2022'!$Z$76)</f>
        <v>200</v>
      </c>
      <c r="Y85" s="21">
        <f t="shared" si="84"/>
        <v>0.13937282229965156</v>
      </c>
      <c r="Z85" s="20">
        <f t="shared" si="86"/>
        <v>720</v>
      </c>
      <c r="AA85" s="21">
        <f t="shared" si="85"/>
        <v>4.5598480050664976E-2</v>
      </c>
    </row>
    <row r="86" spans="1:27" hidden="1" outlineLevel="2" x14ac:dyDescent="0.2">
      <c r="A86" s="8" t="s">
        <v>73</v>
      </c>
      <c r="B86" s="20">
        <f>SUMIFS('Registre de reserves'!$U$2:$U$1178,'Registre de reserves'!$T$2:$T$1178,"SI",'Registre de reserves'!$I$2:$I$1178,'2022'!$A86,'Registre de reserves'!$B$2:$B$1178,'2022'!B$2,Tabla1[ANY],'2022'!$Z$76)+SUMIFS('Registre de reserves'!$U$2:$U$1178,'Registre de reserves'!$T$2:$T$1178,"RESERVA",'Registre de reserves'!$I$2:$I$1178,'2022'!$A86,'Registre de reserves'!$B$2:$B$1178,'2022'!B$2,Tabla1[ANY],'2022'!$Z$76)</f>
        <v>0</v>
      </c>
      <c r="C86" s="21">
        <f t="shared" si="73"/>
        <v>0</v>
      </c>
      <c r="D86" s="20">
        <f>SUMIFS('Registre de reserves'!$U$2:$U$1178,'Registre de reserves'!$T$2:$T$1178,"SI",'Registre de reserves'!$I$2:$I$1178,'2022'!$A86,'Registre de reserves'!$B$2:$B$1178,'2022'!D$2,Tabla1[ANY],'2022'!$Z$76)+SUMIFS('Registre de reserves'!$U$2:$U$1178,'Registre de reserves'!$T$2:$T$1178,"RESERVA",'Registre de reserves'!$I$2:$I$1178,'2022'!$A86,'Registre de reserves'!$B$2:$B$1178,'2022'!D$2,Tabla1[ANY],'2022'!$Z$76)</f>
        <v>0</v>
      </c>
      <c r="E86" s="21">
        <f t="shared" si="74"/>
        <v>0</v>
      </c>
      <c r="F86" s="20">
        <f>SUMIFS('Registre de reserves'!$U$2:$U$1178,'Registre de reserves'!$T$2:$T$1178,"SI",'Registre de reserves'!$I$2:$I$1178,'2022'!$A86,'Registre de reserves'!$B$2:$B$1178,'2022'!F$2,Tabla1[ANY],'2022'!$Z$76)+SUMIFS('Registre de reserves'!$U$2:$U$1178,'Registre de reserves'!$T$2:$T$1178,"RESERVA",'Registre de reserves'!$I$2:$I$1178,'2022'!$A86,'Registre de reserves'!$B$2:$B$1178,'2022'!F$2,Tabla1[ANY],'2022'!$Z$76)</f>
        <v>0</v>
      </c>
      <c r="G86" s="21">
        <f t="shared" si="75"/>
        <v>0</v>
      </c>
      <c r="H86" s="20">
        <f>SUMIFS('Registre de reserves'!$U$2:$U$1178,'Registre de reserves'!$T$2:$T$1178,"SI",'Registre de reserves'!$I$2:$I$1178,'2022'!$A86,'Registre de reserves'!$B$2:$B$1178,'2022'!H$2,Tabla1[ANY],'2022'!$Z$76)+SUMIFS('Registre de reserves'!$U$2:$U$1178,'Registre de reserves'!$T$2:$T$1178,"RESERVA",'Registre de reserves'!$I$2:$I$1178,'2022'!$A86,'Registre de reserves'!$B$2:$B$1178,'2022'!H$2,Tabla1[ANY],'2022'!$Z$76)</f>
        <v>0</v>
      </c>
      <c r="I86" s="21">
        <f t="shared" si="76"/>
        <v>0</v>
      </c>
      <c r="J86" s="20">
        <f>SUMIFS('Registre de reserves'!$U$2:$U$1178,'Registre de reserves'!$T$2:$T$1178,"SI",'Registre de reserves'!$I$2:$I$1178,'2022'!$A86,'Registre de reserves'!$B$2:$B$1178,'2022'!J$2,Tabla1[ANY],'2022'!$Z$76)+SUMIFS('Registre de reserves'!$U$2:$U$1178,'Registre de reserves'!$T$2:$T$1178,"RESERVA",'Registre de reserves'!$I$2:$I$1178,'2022'!$A86,'Registre de reserves'!$B$2:$B$1178,'2022'!J$2,Tabla1[ANY],'2022'!$Z$76)</f>
        <v>0</v>
      </c>
      <c r="K86" s="21">
        <f t="shared" si="77"/>
        <v>0</v>
      </c>
      <c r="L86" s="20">
        <f>SUMIFS('Registre de reserves'!$U$2:$U$1178,'Registre de reserves'!$T$2:$T$1178,"SI",'Registre de reserves'!$I$2:$I$1178,'2022'!$A86,'Registre de reserves'!$B$2:$B$1178,'2022'!L$2,Tabla1[ANY],'2022'!$Z$76)+SUMIFS('Registre de reserves'!$U$2:$U$1178,'Registre de reserves'!$T$2:$T$1178,"RESERVA",'Registre de reserves'!$I$2:$I$1178,'2022'!$A86,'Registre de reserves'!$B$2:$B$1178,'2022'!L$2,Tabla1[ANY],'2022'!$Z$76)</f>
        <v>0</v>
      </c>
      <c r="M86" s="21">
        <f t="shared" si="78"/>
        <v>0</v>
      </c>
      <c r="N86" s="20">
        <f>SUMIFS('Registre de reserves'!$U$2:$U$1178,'Registre de reserves'!$T$2:$T$1178,"SI",'Registre de reserves'!$I$2:$I$1178,'2022'!$A86,'Registre de reserves'!$B$2:$B$1178,'2022'!N$2,Tabla1[ANY],'2022'!$Z$76)+SUMIFS('Registre de reserves'!$U$2:$U$1178,'Registre de reserves'!$T$2:$T$1178,"RESERVA",'Registre de reserves'!$I$2:$I$1178,'2022'!$A86,'Registre de reserves'!$B$2:$B$1178,'2022'!N$2,Tabla1[ANY],'2022'!$Z$76)</f>
        <v>0</v>
      </c>
      <c r="O86" s="21">
        <f t="shared" si="79"/>
        <v>0</v>
      </c>
      <c r="P86" s="20">
        <f>SUMIFS('Registre de reserves'!$U$2:$U$1178,'Registre de reserves'!$T$2:$T$1178,"SI",'Registre de reserves'!$I$2:$I$1178,'2022'!$A86,'Registre de reserves'!$B$2:$B$1178,'2022'!P$2,Tabla1[ANY],'2022'!$Z$76)+SUMIFS('Registre de reserves'!$U$2:$U$1178,'Registre de reserves'!$T$2:$T$1178,"RESERVA",'Registre de reserves'!$I$2:$I$1178,'2022'!$A86,'Registre de reserves'!$B$2:$B$1178,'2022'!P$2,Tabla1[ANY],'2022'!$Z$76)</f>
        <v>0</v>
      </c>
      <c r="Q86" s="21">
        <f t="shared" si="80"/>
        <v>0</v>
      </c>
      <c r="R86" s="20">
        <f>SUMIFS('Registre de reserves'!$U$2:$U$1178,'Registre de reserves'!$T$2:$T$1178,"SI",'Registre de reserves'!$I$2:$I$1178,'2022'!$A86,'Registre de reserves'!$B$2:$B$1178,'2022'!R$2,Tabla1[ANY],'2022'!$Z$76)+SUMIFS('Registre de reserves'!$U$2:$U$1178,'Registre de reserves'!$T$2:$T$1178,"RESERVA",'Registre de reserves'!$I$2:$I$1178,'2022'!$A86,'Registre de reserves'!$B$2:$B$1178,'2022'!R$2,Tabla1[ANY],'2022'!$Z$76)</f>
        <v>0</v>
      </c>
      <c r="S86" s="21">
        <f t="shared" si="81"/>
        <v>0</v>
      </c>
      <c r="T86" s="20">
        <f>SUMIFS('Registre de reserves'!$U$2:$U$1178,'Registre de reserves'!$T$2:$T$1178,"SI",'Registre de reserves'!$I$2:$I$1178,'2022'!$A86,'Registre de reserves'!$B$2:$B$1178,'2022'!T$2,Tabla1[ANY],'2022'!$Z$76)+SUMIFS('Registre de reserves'!$U$2:$U$1178,'Registre de reserves'!$T$2:$T$1178,"RESERVA",'Registre de reserves'!$I$2:$I$1178,'2022'!$A86,'Registre de reserves'!$B$2:$B$1178,'2022'!T$2,Tabla1[ANY],'2022'!$Z$76)</f>
        <v>0</v>
      </c>
      <c r="U86" s="21">
        <f t="shared" si="82"/>
        <v>0</v>
      </c>
      <c r="V86" s="20">
        <f>SUMIFS('Registre de reserves'!$U$2:$U$1178,'Registre de reserves'!$T$2:$T$1178,"SI",'Registre de reserves'!$I$2:$I$1178,'2022'!$A86,'Registre de reserves'!$B$2:$B$1178,'2022'!V$2,Tabla1[ANY],'2022'!$Z$76)+SUMIFS('Registre de reserves'!$U$2:$U$1178,'Registre de reserves'!$T$2:$T$1178,"RESERVA",'Registre de reserves'!$I$2:$I$1178,'2022'!$A86,'Registre de reserves'!$B$2:$B$1178,'2022'!V$2,Tabla1[ANY],'2022'!$Z$76)</f>
        <v>0</v>
      </c>
      <c r="W86" s="21">
        <f t="shared" si="83"/>
        <v>0</v>
      </c>
      <c r="X86" s="20">
        <f>SUMIFS('Registre de reserves'!$U$2:$U$1178,'Registre de reserves'!$T$2:$T$1178,"SI",'Registre de reserves'!$I$2:$I$1178,'2022'!$A86,'Registre de reserves'!$B$2:$B$1178,'2022'!X$2,Tabla1[ANY],'2022'!$Z$76)+SUMIFS('Registre de reserves'!$U$2:$U$1178,'Registre de reserves'!$T$2:$T$1178,"RESERVA",'Registre de reserves'!$I$2:$I$1178,'2022'!$A86,'Registre de reserves'!$B$2:$B$1178,'2022'!X$2,Tabla1[ANY],'2022'!$Z$76)</f>
        <v>0</v>
      </c>
      <c r="Y86" s="21">
        <f t="shared" si="84"/>
        <v>0</v>
      </c>
      <c r="Z86" s="20">
        <f t="shared" si="86"/>
        <v>0</v>
      </c>
      <c r="AA86" s="21">
        <f t="shared" si="85"/>
        <v>0</v>
      </c>
    </row>
    <row r="87" spans="1:27" collapsed="1" x14ac:dyDescent="0.2">
      <c r="A87" s="33" t="s">
        <v>76</v>
      </c>
      <c r="B87" s="18">
        <f>SUM(B88:B95)</f>
        <v>0</v>
      </c>
      <c r="C87" s="19">
        <f>IF((B$87+B$105)=0,0,B87/(B$87+B$105))</f>
        <v>0</v>
      </c>
      <c r="D87" s="18">
        <f>SUM(D88:D95)</f>
        <v>0</v>
      </c>
      <c r="E87" s="19">
        <f>IF((D$87+D$105)=0,0,D87/(D$87+D$105))</f>
        <v>0</v>
      </c>
      <c r="F87" s="18">
        <f>SUM(F88:F95)</f>
        <v>0</v>
      </c>
      <c r="G87" s="19">
        <f>IF((F$87+F$105)=0,0,F87/(F$87+F$105))</f>
        <v>0</v>
      </c>
      <c r="H87" s="18">
        <f>SUM(H88:H95)</f>
        <v>0</v>
      </c>
      <c r="I87" s="19">
        <f>IF((H$87+H$105)=0,0,H87/(H$87+H$105))</f>
        <v>0</v>
      </c>
      <c r="J87" s="18">
        <f>SUM(J88:J95)</f>
        <v>0</v>
      </c>
      <c r="K87" s="19">
        <f>IF((J$87+J$105)=0,0,J87/(J$87+J$105))</f>
        <v>0</v>
      </c>
      <c r="L87" s="18">
        <f>SUM(L88:L95)</f>
        <v>0</v>
      </c>
      <c r="M87" s="19">
        <f>IF((L$87+L$105)=0,0,L87/(L$87+L$105))</f>
        <v>0</v>
      </c>
      <c r="N87" s="18">
        <f>SUM(N88:N95)</f>
        <v>0</v>
      </c>
      <c r="O87" s="19">
        <f>IF((N$87+N$105)=0,0,N87/(N$87+N$105))</f>
        <v>0</v>
      </c>
      <c r="P87" s="18">
        <f>SUM(P88:P95)</f>
        <v>0</v>
      </c>
      <c r="Q87" s="19">
        <f>IF((P$87+P$105)=0,0,P87/(P$87+P$105))</f>
        <v>0</v>
      </c>
      <c r="R87" s="18">
        <f>SUM(R88:R95)</f>
        <v>0</v>
      </c>
      <c r="S87" s="19">
        <f>IF((R$87+R$105)=0,0,R87/(R$87+R$105))</f>
        <v>0</v>
      </c>
      <c r="T87" s="18">
        <f>SUM(T88:T95)</f>
        <v>0</v>
      </c>
      <c r="U87" s="19">
        <f>IF((T$87+T$105)=0,0,T87/(T$87+T$105))</f>
        <v>0</v>
      </c>
      <c r="V87" s="18">
        <f>SUM(V88:V95)</f>
        <v>0</v>
      </c>
      <c r="W87" s="19">
        <f>IF((V$87+V$105)=0,0,V87/(V$87+V$105))</f>
        <v>0</v>
      </c>
      <c r="X87" s="18">
        <f>SUM(X88:X95)</f>
        <v>0</v>
      </c>
      <c r="Y87" s="19">
        <f>IF((X$87+X$105)=0,0,X87/(X$87+X$105))</f>
        <v>0</v>
      </c>
      <c r="Z87" s="18">
        <f>SUM(Z88:Z95)</f>
        <v>0</v>
      </c>
      <c r="AA87" s="19">
        <f>IF((Z$87+Z$105)=0,0,Z87/(Z$87+Z$105))</f>
        <v>0</v>
      </c>
    </row>
    <row r="88" spans="1:27" hidden="1" outlineLevel="1" x14ac:dyDescent="0.2">
      <c r="A88" s="8" t="s">
        <v>67</v>
      </c>
      <c r="B88" s="20">
        <f>SUMIFS('Registre de reserves'!$U$2:$U$1178,'Registre de reserves'!$T$2:$T$1178,"NO",'Registre de reserves'!$I$2:$I$1178,'2022'!$A88,'Registre de reserves'!$B$2:$B$1178,'2022'!B$2,Tabla1[ANY],'2022'!$Z$76)</f>
        <v>0</v>
      </c>
      <c r="C88" s="21">
        <f>IF(B$87=0,0,B88/B$87)</f>
        <v>0</v>
      </c>
      <c r="D88" s="20">
        <f>SUMIFS('Registre de reserves'!$U$2:$U$1178,'Registre de reserves'!$T$2:$T$1178,"NO",'Registre de reserves'!$I$2:$I$1178,'2022'!$A88,'Registre de reserves'!$B$2:$B$1178,'2022'!D$2,Tabla1[ANY],'2022'!$Z$76)</f>
        <v>0</v>
      </c>
      <c r="E88" s="21">
        <f>IF(D$87=0,0,D88/D$87)</f>
        <v>0</v>
      </c>
      <c r="F88" s="20">
        <f>SUMIFS('Registre de reserves'!$U$2:$U$1178,'Registre de reserves'!$T$2:$T$1178,"NO",'Registre de reserves'!$I$2:$I$1178,'2022'!$A88,'Registre de reserves'!$B$2:$B$1178,'2022'!F$2,Tabla1[ANY],'2022'!$Z$76)</f>
        <v>0</v>
      </c>
      <c r="G88" s="21">
        <f t="shared" ref="G88:G95" si="87">IF(F$87=0,0,F88/F$87)</f>
        <v>0</v>
      </c>
      <c r="H88" s="20">
        <f>SUMIFS('Registre de reserves'!$U$2:$U$1178,'Registre de reserves'!$T$2:$T$1178,"NO",'Registre de reserves'!$I$2:$I$1178,'2022'!$A88,'Registre de reserves'!$B$2:$B$1178,'2022'!H$2,Tabla1[ANY],'2022'!$Z$76)</f>
        <v>0</v>
      </c>
      <c r="I88" s="21">
        <f t="shared" ref="I88:I95" si="88">IF(H$87=0,0,H88/H$87)</f>
        <v>0</v>
      </c>
      <c r="J88" s="20">
        <f>SUMIFS('Registre de reserves'!$U$2:$U$1178,'Registre de reserves'!$T$2:$T$1178,"NO",'Registre de reserves'!$I$2:$I$1178,'2022'!$A88,'Registre de reserves'!$B$2:$B$1178,'2022'!J$2,Tabla1[ANY],'2022'!$Z$76)</f>
        <v>0</v>
      </c>
      <c r="K88" s="21">
        <f t="shared" ref="K88:K95" si="89">IF(J$87=0,0,J88/J$87)</f>
        <v>0</v>
      </c>
      <c r="L88" s="20">
        <f>SUMIFS('Registre de reserves'!$U$2:$U$1178,'Registre de reserves'!$T$2:$T$1178,"NO",'Registre de reserves'!$I$2:$I$1178,'2022'!$A88,'Registre de reserves'!$B$2:$B$1178,'2022'!L$2,Tabla1[ANY],'2022'!$Z$76)</f>
        <v>0</v>
      </c>
      <c r="M88" s="21">
        <f t="shared" ref="M88:M95" si="90">IF(L$87=0,0,L88/L$87)</f>
        <v>0</v>
      </c>
      <c r="N88" s="20">
        <f>SUMIFS('Registre de reserves'!$U$2:$U$1178,'Registre de reserves'!$T$2:$T$1178,"NO",'Registre de reserves'!$I$2:$I$1178,'2022'!$A88,'Registre de reserves'!$B$2:$B$1178,'2022'!N$2,Tabla1[ANY],'2022'!$Z$76)</f>
        <v>0</v>
      </c>
      <c r="O88" s="21">
        <f t="shared" ref="O88:O95" si="91">IF(N$87=0,0,N88/N$87)</f>
        <v>0</v>
      </c>
      <c r="P88" s="20">
        <f>SUMIFS('Registre de reserves'!$U$2:$U$1178,'Registre de reserves'!$T$2:$T$1178,"NO",'Registre de reserves'!$I$2:$I$1178,'2022'!$A88,'Registre de reserves'!$B$2:$B$1178,'2022'!P$2,Tabla1[ANY],'2022'!$Z$76)</f>
        <v>0</v>
      </c>
      <c r="Q88" s="21">
        <f t="shared" ref="Q88:Q95" si="92">IF(P$87=0,0,P88/P$87)</f>
        <v>0</v>
      </c>
      <c r="R88" s="20">
        <f>SUMIFS('Registre de reserves'!$U$2:$U$1178,'Registre de reserves'!$T$2:$T$1178,"NO",'Registre de reserves'!$I$2:$I$1178,'2022'!$A88,'Registre de reserves'!$B$2:$B$1178,'2022'!R$2,Tabla1[ANY],'2022'!$Z$76)</f>
        <v>0</v>
      </c>
      <c r="S88" s="21">
        <f t="shared" ref="S88:S95" si="93">IF(R$87=0,0,R88/R$87)</f>
        <v>0</v>
      </c>
      <c r="T88" s="20">
        <f>SUMIFS('Registre de reserves'!$U$2:$U$1178,'Registre de reserves'!$T$2:$T$1178,"NO",'Registre de reserves'!$I$2:$I$1178,'2022'!$A88,'Registre de reserves'!$B$2:$B$1178,'2022'!T$2,Tabla1[ANY],'2022'!$Z$76)</f>
        <v>0</v>
      </c>
      <c r="U88" s="21">
        <f t="shared" ref="U88:U95" si="94">IF(T$87=0,0,T88/T$87)</f>
        <v>0</v>
      </c>
      <c r="V88" s="20">
        <f>SUMIFS('Registre de reserves'!$U$2:$U$1178,'Registre de reserves'!$T$2:$T$1178,"NO",'Registre de reserves'!$I$2:$I$1178,'2022'!$A88,'Registre de reserves'!$B$2:$B$1178,'2022'!V$2,Tabla1[ANY],'2022'!$Z$76)</f>
        <v>0</v>
      </c>
      <c r="W88" s="21">
        <f t="shared" ref="W88:W95" si="95">IF(V$87=0,0,V88/V$87)</f>
        <v>0</v>
      </c>
      <c r="X88" s="20">
        <f>SUMIFS('Registre de reserves'!$U$2:$U$1178,'Registre de reserves'!$T$2:$T$1178,"NO",'Registre de reserves'!$I$2:$I$1178,'2022'!$A88,'Registre de reserves'!$B$2:$B$1178,'2022'!X$2,Tabla1[ANY],'2022'!$Z$76)</f>
        <v>0</v>
      </c>
      <c r="Y88" s="21">
        <f t="shared" ref="Y88:Y95" si="96">IF(X$87=0,0,X88/X$87)</f>
        <v>0</v>
      </c>
      <c r="Z88" s="20">
        <f>B88+D88+F88+H88+J88+L88+N88+P88+R88+T88+V88+X88</f>
        <v>0</v>
      </c>
      <c r="AA88" s="21">
        <f t="shared" ref="AA88:AA95" si="97">IF(Z$87=0,0,Z88/Z$87)</f>
        <v>0</v>
      </c>
    </row>
    <row r="89" spans="1:27" hidden="1" outlineLevel="1" x14ac:dyDescent="0.2">
      <c r="A89" s="8" t="s">
        <v>68</v>
      </c>
      <c r="B89" s="20">
        <f>SUMIFS('Registre de reserves'!$U$2:$U$1178,'Registre de reserves'!$T$2:$T$1178,"NO",'Registre de reserves'!$I$2:$I$1178,'2022'!$A89,'Registre de reserves'!$B$2:$B$1178,'2022'!B$2,Tabla1[ANY],'2022'!$Z$76)</f>
        <v>0</v>
      </c>
      <c r="C89" s="21">
        <f t="shared" ref="C89:E94" si="98">IF(B$87=0,0,B89/B$87)</f>
        <v>0</v>
      </c>
      <c r="D89" s="20">
        <f>SUMIFS('Registre de reserves'!$U$2:$U$1178,'Registre de reserves'!$T$2:$T$1178,"NO",'Registre de reserves'!$I$2:$I$1178,'2022'!$A89,'Registre de reserves'!$B$2:$B$1178,'2022'!D$2,Tabla1[ANY],'2022'!$Z$76)</f>
        <v>0</v>
      </c>
      <c r="E89" s="21">
        <f t="shared" si="98"/>
        <v>0</v>
      </c>
      <c r="F89" s="20">
        <f>SUMIFS('Registre de reserves'!$U$2:$U$1178,'Registre de reserves'!$T$2:$T$1178,"NO",'Registre de reserves'!$I$2:$I$1178,'2022'!$A89,'Registre de reserves'!$B$2:$B$1178,'2022'!F$2,Tabla1[ANY],'2022'!$Z$76)</f>
        <v>0</v>
      </c>
      <c r="G89" s="21">
        <f t="shared" si="87"/>
        <v>0</v>
      </c>
      <c r="H89" s="20">
        <f>SUMIFS('Registre de reserves'!$U$2:$U$1178,'Registre de reserves'!$T$2:$T$1178,"NO",'Registre de reserves'!$I$2:$I$1178,'2022'!$A89,'Registre de reserves'!$B$2:$B$1178,'2022'!H$2,Tabla1[ANY],'2022'!$Z$76)</f>
        <v>0</v>
      </c>
      <c r="I89" s="21">
        <f t="shared" si="88"/>
        <v>0</v>
      </c>
      <c r="J89" s="20">
        <f>SUMIFS('Registre de reserves'!$U$2:$U$1178,'Registre de reserves'!$T$2:$T$1178,"NO",'Registre de reserves'!$I$2:$I$1178,'2022'!$A89,'Registre de reserves'!$B$2:$B$1178,'2022'!J$2,Tabla1[ANY],'2022'!$Z$76)</f>
        <v>0</v>
      </c>
      <c r="K89" s="21">
        <f t="shared" si="89"/>
        <v>0</v>
      </c>
      <c r="L89" s="20">
        <f>SUMIFS('Registre de reserves'!$U$2:$U$1178,'Registre de reserves'!$T$2:$T$1178,"NO",'Registre de reserves'!$I$2:$I$1178,'2022'!$A89,'Registre de reserves'!$B$2:$B$1178,'2022'!L$2,Tabla1[ANY],'2022'!$Z$76)</f>
        <v>0</v>
      </c>
      <c r="M89" s="21">
        <f t="shared" si="90"/>
        <v>0</v>
      </c>
      <c r="N89" s="20">
        <f>SUMIFS('Registre de reserves'!$U$2:$U$1178,'Registre de reserves'!$T$2:$T$1178,"NO",'Registre de reserves'!$I$2:$I$1178,'2022'!$A89,'Registre de reserves'!$B$2:$B$1178,'2022'!N$2,Tabla1[ANY],'2022'!$Z$76)</f>
        <v>0</v>
      </c>
      <c r="O89" s="21">
        <f t="shared" si="91"/>
        <v>0</v>
      </c>
      <c r="P89" s="20">
        <f>SUMIFS('Registre de reserves'!$U$2:$U$1178,'Registre de reserves'!$T$2:$T$1178,"NO",'Registre de reserves'!$I$2:$I$1178,'2022'!$A89,'Registre de reserves'!$B$2:$B$1178,'2022'!P$2,Tabla1[ANY],'2022'!$Z$76)</f>
        <v>0</v>
      </c>
      <c r="Q89" s="21">
        <f t="shared" si="92"/>
        <v>0</v>
      </c>
      <c r="R89" s="20">
        <f>SUMIFS('Registre de reserves'!$U$2:$U$1178,'Registre de reserves'!$T$2:$T$1178,"NO",'Registre de reserves'!$I$2:$I$1178,'2022'!$A89,'Registre de reserves'!$B$2:$B$1178,'2022'!R$2,Tabla1[ANY],'2022'!$Z$76)</f>
        <v>0</v>
      </c>
      <c r="S89" s="21">
        <f t="shared" si="93"/>
        <v>0</v>
      </c>
      <c r="T89" s="20">
        <f>SUMIFS('Registre de reserves'!$U$2:$U$1178,'Registre de reserves'!$T$2:$T$1178,"NO",'Registre de reserves'!$I$2:$I$1178,'2022'!$A89,'Registre de reserves'!$B$2:$B$1178,'2022'!T$2,Tabla1[ANY],'2022'!$Z$76)</f>
        <v>0</v>
      </c>
      <c r="U89" s="21">
        <f t="shared" si="94"/>
        <v>0</v>
      </c>
      <c r="V89" s="20">
        <f>SUMIFS('Registre de reserves'!$U$2:$U$1178,'Registre de reserves'!$T$2:$T$1178,"NO",'Registre de reserves'!$I$2:$I$1178,'2022'!$A89,'Registre de reserves'!$B$2:$B$1178,'2022'!V$2,Tabla1[ANY],'2022'!$Z$76)</f>
        <v>0</v>
      </c>
      <c r="W89" s="21">
        <f t="shared" si="95"/>
        <v>0</v>
      </c>
      <c r="X89" s="20">
        <f>SUMIFS('Registre de reserves'!$U$2:$U$1178,'Registre de reserves'!$T$2:$T$1178,"NO",'Registre de reserves'!$I$2:$I$1178,'2022'!$A89,'Registre de reserves'!$B$2:$B$1178,'2022'!X$2,Tabla1[ANY],'2022'!$Z$76)</f>
        <v>0</v>
      </c>
      <c r="Y89" s="21">
        <f t="shared" si="96"/>
        <v>0</v>
      </c>
      <c r="Z89" s="20">
        <f t="shared" ref="Z89:Z113" si="99">B89+D89+F89+H89+J89+L89+N89+P89+R89+T89+V89+X89</f>
        <v>0</v>
      </c>
      <c r="AA89" s="21">
        <f t="shared" si="97"/>
        <v>0</v>
      </c>
    </row>
    <row r="90" spans="1:27" hidden="1" outlineLevel="1" x14ac:dyDescent="0.2">
      <c r="A90" s="8" t="s">
        <v>4</v>
      </c>
      <c r="B90" s="20">
        <f>SUMIFS('Registre de reserves'!$U$2:$U$1178,'Registre de reserves'!$T$2:$T$1178,"NO",'Registre de reserves'!$I$2:$I$1178,'2022'!$A90,'Registre de reserves'!$B$2:$B$1178,'2022'!B$2,Tabla1[ANY],'2022'!$Z$76)</f>
        <v>0</v>
      </c>
      <c r="C90" s="21">
        <f t="shared" si="98"/>
        <v>0</v>
      </c>
      <c r="D90" s="20">
        <f>SUMIFS('Registre de reserves'!$U$2:$U$1178,'Registre de reserves'!$T$2:$T$1178,"NO",'Registre de reserves'!$I$2:$I$1178,'2022'!$A90,'Registre de reserves'!$B$2:$B$1178,'2022'!D$2,Tabla1[ANY],'2022'!$Z$76)</f>
        <v>0</v>
      </c>
      <c r="E90" s="21">
        <f t="shared" si="98"/>
        <v>0</v>
      </c>
      <c r="F90" s="20">
        <f>SUMIFS('Registre de reserves'!$U$2:$U$1178,'Registre de reserves'!$T$2:$T$1178,"NO",'Registre de reserves'!$I$2:$I$1178,'2022'!$A90,'Registre de reserves'!$B$2:$B$1178,'2022'!F$2,Tabla1[ANY],'2022'!$Z$76)</f>
        <v>0</v>
      </c>
      <c r="G90" s="21">
        <f t="shared" si="87"/>
        <v>0</v>
      </c>
      <c r="H90" s="20">
        <f>SUMIFS('Registre de reserves'!$U$2:$U$1178,'Registre de reserves'!$T$2:$T$1178,"NO",'Registre de reserves'!$I$2:$I$1178,'2022'!$A90,'Registre de reserves'!$B$2:$B$1178,'2022'!H$2,Tabla1[ANY],'2022'!$Z$76)</f>
        <v>0</v>
      </c>
      <c r="I90" s="21">
        <f t="shared" si="88"/>
        <v>0</v>
      </c>
      <c r="J90" s="20">
        <f>SUMIFS('Registre de reserves'!$U$2:$U$1178,'Registre de reserves'!$T$2:$T$1178,"NO",'Registre de reserves'!$I$2:$I$1178,'2022'!$A90,'Registre de reserves'!$B$2:$B$1178,'2022'!J$2,Tabla1[ANY],'2022'!$Z$76)</f>
        <v>0</v>
      </c>
      <c r="K90" s="21">
        <f t="shared" si="89"/>
        <v>0</v>
      </c>
      <c r="L90" s="20">
        <f>SUMIFS('Registre de reserves'!$U$2:$U$1178,'Registre de reserves'!$T$2:$T$1178,"NO",'Registre de reserves'!$I$2:$I$1178,'2022'!$A90,'Registre de reserves'!$B$2:$B$1178,'2022'!L$2,Tabla1[ANY],'2022'!$Z$76)</f>
        <v>0</v>
      </c>
      <c r="M90" s="21">
        <f t="shared" si="90"/>
        <v>0</v>
      </c>
      <c r="N90" s="20">
        <f>SUMIFS('Registre de reserves'!$U$2:$U$1178,'Registre de reserves'!$T$2:$T$1178,"NO",'Registre de reserves'!$I$2:$I$1178,'2022'!$A90,'Registre de reserves'!$B$2:$B$1178,'2022'!N$2,Tabla1[ANY],'2022'!$Z$76)</f>
        <v>0</v>
      </c>
      <c r="O90" s="21">
        <f t="shared" si="91"/>
        <v>0</v>
      </c>
      <c r="P90" s="20">
        <f>SUMIFS('Registre de reserves'!$U$2:$U$1178,'Registre de reserves'!$T$2:$T$1178,"NO",'Registre de reserves'!$I$2:$I$1178,'2022'!$A90,'Registre de reserves'!$B$2:$B$1178,'2022'!P$2,Tabla1[ANY],'2022'!$Z$76)</f>
        <v>0</v>
      </c>
      <c r="Q90" s="21">
        <f t="shared" si="92"/>
        <v>0</v>
      </c>
      <c r="R90" s="20">
        <f>SUMIFS('Registre de reserves'!$U$2:$U$1178,'Registre de reserves'!$T$2:$T$1178,"NO",'Registre de reserves'!$I$2:$I$1178,'2022'!$A90,'Registre de reserves'!$B$2:$B$1178,'2022'!R$2,Tabla1[ANY],'2022'!$Z$76)</f>
        <v>0</v>
      </c>
      <c r="S90" s="21">
        <f t="shared" si="93"/>
        <v>0</v>
      </c>
      <c r="T90" s="20">
        <f>SUMIFS('Registre de reserves'!$U$2:$U$1178,'Registre de reserves'!$T$2:$T$1178,"NO",'Registre de reserves'!$I$2:$I$1178,'2022'!$A90,'Registre de reserves'!$B$2:$B$1178,'2022'!T$2,Tabla1[ANY],'2022'!$Z$76)</f>
        <v>0</v>
      </c>
      <c r="U90" s="21">
        <f t="shared" si="94"/>
        <v>0</v>
      </c>
      <c r="V90" s="20">
        <f>SUMIFS('Registre de reserves'!$U$2:$U$1178,'Registre de reserves'!$T$2:$T$1178,"NO",'Registre de reserves'!$I$2:$I$1178,'2022'!$A90,'Registre de reserves'!$B$2:$B$1178,'2022'!V$2,Tabla1[ANY],'2022'!$Z$76)</f>
        <v>0</v>
      </c>
      <c r="W90" s="21">
        <f t="shared" si="95"/>
        <v>0</v>
      </c>
      <c r="X90" s="20">
        <f>SUMIFS('Registre de reserves'!$U$2:$U$1178,'Registre de reserves'!$T$2:$T$1178,"NO",'Registre de reserves'!$I$2:$I$1178,'2022'!$A90,'Registre de reserves'!$B$2:$B$1178,'2022'!X$2,Tabla1[ANY],'2022'!$Z$76)</f>
        <v>0</v>
      </c>
      <c r="Y90" s="21">
        <f t="shared" si="96"/>
        <v>0</v>
      </c>
      <c r="Z90" s="20">
        <f t="shared" si="99"/>
        <v>0</v>
      </c>
      <c r="AA90" s="21">
        <f t="shared" si="97"/>
        <v>0</v>
      </c>
    </row>
    <row r="91" spans="1:27" hidden="1" outlineLevel="1" x14ac:dyDescent="0.2">
      <c r="A91" s="8" t="s">
        <v>71</v>
      </c>
      <c r="B91" s="20">
        <f>SUMIFS('Registre de reserves'!$U$2:$U$1178,'Registre de reserves'!$T$2:$T$1178,"NO",'Registre de reserves'!$I$2:$I$1178,'2022'!$A91,'Registre de reserves'!$B$2:$B$1178,'2022'!B$2,Tabla1[ANY],'2022'!$Z$76)</f>
        <v>0</v>
      </c>
      <c r="C91" s="21">
        <f t="shared" si="98"/>
        <v>0</v>
      </c>
      <c r="D91" s="20">
        <f>SUMIFS('Registre de reserves'!$U$2:$U$1178,'Registre de reserves'!$T$2:$T$1178,"NO",'Registre de reserves'!$I$2:$I$1178,'2022'!$A91,'Registre de reserves'!$B$2:$B$1178,'2022'!D$2,Tabla1[ANY],'2022'!$Z$76)</f>
        <v>0</v>
      </c>
      <c r="E91" s="21">
        <f>IF(D$87=0,0,D91/D$87)</f>
        <v>0</v>
      </c>
      <c r="F91" s="20">
        <f>SUMIFS('Registre de reserves'!$U$2:$U$1178,'Registre de reserves'!$T$2:$T$1178,"NO",'Registre de reserves'!$I$2:$I$1178,'2022'!$A91,'Registre de reserves'!$B$2:$B$1178,'2022'!F$2,Tabla1[ANY],'2022'!$Z$76)</f>
        <v>0</v>
      </c>
      <c r="G91" s="21">
        <f t="shared" si="87"/>
        <v>0</v>
      </c>
      <c r="H91" s="20">
        <f>SUMIFS('Registre de reserves'!$U$2:$U$1178,'Registre de reserves'!$T$2:$T$1178,"NO",'Registre de reserves'!$I$2:$I$1178,'2022'!$A91,'Registre de reserves'!$B$2:$B$1178,'2022'!H$2,Tabla1[ANY],'2022'!$Z$76)</f>
        <v>0</v>
      </c>
      <c r="I91" s="21">
        <f t="shared" si="88"/>
        <v>0</v>
      </c>
      <c r="J91" s="20">
        <f>SUMIFS('Registre de reserves'!$U$2:$U$1178,'Registre de reserves'!$T$2:$T$1178,"NO",'Registre de reserves'!$I$2:$I$1178,'2022'!$A91,'Registre de reserves'!$B$2:$B$1178,'2022'!J$2,Tabla1[ANY],'2022'!$Z$76)</f>
        <v>0</v>
      </c>
      <c r="K91" s="21">
        <f t="shared" si="89"/>
        <v>0</v>
      </c>
      <c r="L91" s="20">
        <f>SUMIFS('Registre de reserves'!$U$2:$U$1178,'Registre de reserves'!$T$2:$T$1178,"NO",'Registre de reserves'!$I$2:$I$1178,'2022'!$A91,'Registre de reserves'!$B$2:$B$1178,'2022'!L$2,Tabla1[ANY],'2022'!$Z$76)</f>
        <v>0</v>
      </c>
      <c r="M91" s="21">
        <f t="shared" si="90"/>
        <v>0</v>
      </c>
      <c r="N91" s="20">
        <f>SUMIFS('Registre de reserves'!$U$2:$U$1178,'Registre de reserves'!$T$2:$T$1178,"NO",'Registre de reserves'!$I$2:$I$1178,'2022'!$A91,'Registre de reserves'!$B$2:$B$1178,'2022'!N$2,Tabla1[ANY],'2022'!$Z$76)</f>
        <v>0</v>
      </c>
      <c r="O91" s="21">
        <f t="shared" si="91"/>
        <v>0</v>
      </c>
      <c r="P91" s="20">
        <f>SUMIFS('Registre de reserves'!$U$2:$U$1178,'Registre de reserves'!$T$2:$T$1178,"NO",'Registre de reserves'!$I$2:$I$1178,'2022'!$A91,'Registre de reserves'!$B$2:$B$1178,'2022'!P$2,Tabla1[ANY],'2022'!$Z$76)</f>
        <v>0</v>
      </c>
      <c r="Q91" s="21">
        <f t="shared" si="92"/>
        <v>0</v>
      </c>
      <c r="R91" s="20">
        <f>SUMIFS('Registre de reserves'!$U$2:$U$1178,'Registre de reserves'!$T$2:$T$1178,"NO",'Registre de reserves'!$I$2:$I$1178,'2022'!$A91,'Registre de reserves'!$B$2:$B$1178,'2022'!R$2,Tabla1[ANY],'2022'!$Z$76)</f>
        <v>0</v>
      </c>
      <c r="S91" s="21">
        <f t="shared" si="93"/>
        <v>0</v>
      </c>
      <c r="T91" s="20">
        <f>SUMIFS('Registre de reserves'!$U$2:$U$1178,'Registre de reserves'!$T$2:$T$1178,"NO",'Registre de reserves'!$I$2:$I$1178,'2022'!$A91,'Registre de reserves'!$B$2:$B$1178,'2022'!T$2,Tabla1[ANY],'2022'!$Z$76)</f>
        <v>0</v>
      </c>
      <c r="U91" s="21">
        <f t="shared" si="94"/>
        <v>0</v>
      </c>
      <c r="V91" s="20">
        <f>SUMIFS('Registre de reserves'!$U$2:$U$1178,'Registre de reserves'!$T$2:$T$1178,"NO",'Registre de reserves'!$I$2:$I$1178,'2022'!$A91,'Registre de reserves'!$B$2:$B$1178,'2022'!V$2,Tabla1[ANY],'2022'!$Z$76)</f>
        <v>0</v>
      </c>
      <c r="W91" s="21">
        <f t="shared" si="95"/>
        <v>0</v>
      </c>
      <c r="X91" s="20">
        <f>SUMIFS('Registre de reserves'!$U$2:$U$1178,'Registre de reserves'!$T$2:$T$1178,"NO",'Registre de reserves'!$I$2:$I$1178,'2022'!$A91,'Registre de reserves'!$B$2:$B$1178,'2022'!X$2,Tabla1[ANY],'2022'!$Z$76)</f>
        <v>0</v>
      </c>
      <c r="Y91" s="21">
        <f t="shared" si="96"/>
        <v>0</v>
      </c>
      <c r="Z91" s="20">
        <f t="shared" si="99"/>
        <v>0</v>
      </c>
      <c r="AA91" s="21">
        <f t="shared" si="97"/>
        <v>0</v>
      </c>
    </row>
    <row r="92" spans="1:27" hidden="1" outlineLevel="1" x14ac:dyDescent="0.2">
      <c r="A92" s="8" t="s">
        <v>72</v>
      </c>
      <c r="B92" s="20">
        <f>SUMIFS('Registre de reserves'!$U$2:$U$1178,'Registre de reserves'!$T$2:$T$1178,"NO",'Registre de reserves'!$I$2:$I$1178,'2022'!$A92,'Registre de reserves'!$B$2:$B$1178,'2022'!B$2,Tabla1[ANY],'2022'!$Z$76)</f>
        <v>0</v>
      </c>
      <c r="C92" s="21">
        <f t="shared" si="98"/>
        <v>0</v>
      </c>
      <c r="D92" s="20">
        <f>SUMIFS('Registre de reserves'!$U$2:$U$1178,'Registre de reserves'!$T$2:$T$1178,"NO",'Registre de reserves'!$I$2:$I$1178,'2022'!$A92,'Registre de reserves'!$B$2:$B$1178,'2022'!D$2,Tabla1[ANY],'2022'!$Z$76)</f>
        <v>0</v>
      </c>
      <c r="E92" s="21">
        <f t="shared" si="98"/>
        <v>0</v>
      </c>
      <c r="F92" s="20">
        <f>SUMIFS('Registre de reserves'!$U$2:$U$1178,'Registre de reserves'!$T$2:$T$1178,"NO",'Registre de reserves'!$I$2:$I$1178,'2022'!$A92,'Registre de reserves'!$B$2:$B$1178,'2022'!F$2,Tabla1[ANY],'2022'!$Z$76)</f>
        <v>0</v>
      </c>
      <c r="G92" s="21">
        <f t="shared" si="87"/>
        <v>0</v>
      </c>
      <c r="H92" s="20">
        <f>SUMIFS('Registre de reserves'!$U$2:$U$1178,'Registre de reserves'!$T$2:$T$1178,"NO",'Registre de reserves'!$I$2:$I$1178,'2022'!$A92,'Registre de reserves'!$B$2:$B$1178,'2022'!H$2,Tabla1[ANY],'2022'!$Z$76)</f>
        <v>0</v>
      </c>
      <c r="I92" s="21">
        <f t="shared" si="88"/>
        <v>0</v>
      </c>
      <c r="J92" s="20">
        <f>SUMIFS('Registre de reserves'!$U$2:$U$1178,'Registre de reserves'!$T$2:$T$1178,"NO",'Registre de reserves'!$I$2:$I$1178,'2022'!$A92,'Registre de reserves'!$B$2:$B$1178,'2022'!J$2,Tabla1[ANY],'2022'!$Z$76)</f>
        <v>0</v>
      </c>
      <c r="K92" s="21">
        <f t="shared" si="89"/>
        <v>0</v>
      </c>
      <c r="L92" s="20">
        <f>SUMIFS('Registre de reserves'!$U$2:$U$1178,'Registre de reserves'!$T$2:$T$1178,"NO",'Registre de reserves'!$I$2:$I$1178,'2022'!$A92,'Registre de reserves'!$B$2:$B$1178,'2022'!L$2,Tabla1[ANY],'2022'!$Z$76)</f>
        <v>0</v>
      </c>
      <c r="M92" s="21">
        <f t="shared" si="90"/>
        <v>0</v>
      </c>
      <c r="N92" s="20">
        <f>SUMIFS('Registre de reserves'!$U$2:$U$1178,'Registre de reserves'!$T$2:$T$1178,"NO",'Registre de reserves'!$I$2:$I$1178,'2022'!$A92,'Registre de reserves'!$B$2:$B$1178,'2022'!N$2,Tabla1[ANY],'2022'!$Z$76)</f>
        <v>0</v>
      </c>
      <c r="O92" s="21">
        <f t="shared" si="91"/>
        <v>0</v>
      </c>
      <c r="P92" s="20">
        <f>SUMIFS('Registre de reserves'!$U$2:$U$1178,'Registre de reserves'!$T$2:$T$1178,"NO",'Registre de reserves'!$I$2:$I$1178,'2022'!$A92,'Registre de reserves'!$B$2:$B$1178,'2022'!P$2,Tabla1[ANY],'2022'!$Z$76)</f>
        <v>0</v>
      </c>
      <c r="Q92" s="21">
        <f t="shared" si="92"/>
        <v>0</v>
      </c>
      <c r="R92" s="20">
        <f>SUMIFS('Registre de reserves'!$U$2:$U$1178,'Registre de reserves'!$T$2:$T$1178,"NO",'Registre de reserves'!$I$2:$I$1178,'2022'!$A92,'Registre de reserves'!$B$2:$B$1178,'2022'!R$2,Tabla1[ANY],'2022'!$Z$76)</f>
        <v>0</v>
      </c>
      <c r="S92" s="21">
        <f t="shared" si="93"/>
        <v>0</v>
      </c>
      <c r="T92" s="20">
        <f>SUMIFS('Registre de reserves'!$U$2:$U$1178,'Registre de reserves'!$T$2:$T$1178,"NO",'Registre de reserves'!$I$2:$I$1178,'2022'!$A92,'Registre de reserves'!$B$2:$B$1178,'2022'!T$2,Tabla1[ANY],'2022'!$Z$76)</f>
        <v>0</v>
      </c>
      <c r="U92" s="21">
        <f t="shared" si="94"/>
        <v>0</v>
      </c>
      <c r="V92" s="20">
        <f>SUMIFS('Registre de reserves'!$U$2:$U$1178,'Registre de reserves'!$T$2:$T$1178,"NO",'Registre de reserves'!$I$2:$I$1178,'2022'!$A92,'Registre de reserves'!$B$2:$B$1178,'2022'!V$2,Tabla1[ANY],'2022'!$Z$76)</f>
        <v>0</v>
      </c>
      <c r="W92" s="21">
        <f t="shared" si="95"/>
        <v>0</v>
      </c>
      <c r="X92" s="20">
        <f>SUMIFS('Registre de reserves'!$U$2:$U$1178,'Registre de reserves'!$T$2:$T$1178,"NO",'Registre de reserves'!$I$2:$I$1178,'2022'!$A92,'Registre de reserves'!$B$2:$B$1178,'2022'!X$2,Tabla1[ANY],'2022'!$Z$76)</f>
        <v>0</v>
      </c>
      <c r="Y92" s="21">
        <f t="shared" si="96"/>
        <v>0</v>
      </c>
      <c r="Z92" s="20">
        <f t="shared" si="99"/>
        <v>0</v>
      </c>
      <c r="AA92" s="21">
        <f t="shared" si="97"/>
        <v>0</v>
      </c>
    </row>
    <row r="93" spans="1:27" hidden="1" outlineLevel="1" x14ac:dyDescent="0.2">
      <c r="A93" s="8" t="s">
        <v>69</v>
      </c>
      <c r="B93" s="20">
        <f>SUMIFS('Registre de reserves'!$U$2:$U$1178,'Registre de reserves'!$T$2:$T$1178,"NO",'Registre de reserves'!$I$2:$I$1178,'2022'!$A93,'Registre de reserves'!$B$2:$B$1178,'2022'!B$2,Tabla1[ANY],'2022'!$Z$76)</f>
        <v>0</v>
      </c>
      <c r="C93" s="21">
        <f t="shared" si="98"/>
        <v>0</v>
      </c>
      <c r="D93" s="20">
        <f>SUMIFS('Registre de reserves'!$U$2:$U$1178,'Registre de reserves'!$T$2:$T$1178,"NO",'Registre de reserves'!$I$2:$I$1178,'2022'!$A93,'Registre de reserves'!$B$2:$B$1178,'2022'!D$2,Tabla1[ANY],'2022'!$Z$76)</f>
        <v>0</v>
      </c>
      <c r="E93" s="21">
        <f t="shared" si="98"/>
        <v>0</v>
      </c>
      <c r="F93" s="20">
        <f>SUMIFS('Registre de reserves'!$U$2:$U$1178,'Registre de reserves'!$T$2:$T$1178,"NO",'Registre de reserves'!$I$2:$I$1178,'2022'!$A93,'Registre de reserves'!$B$2:$B$1178,'2022'!F$2,Tabla1[ANY],'2022'!$Z$76)</f>
        <v>0</v>
      </c>
      <c r="G93" s="21">
        <f t="shared" si="87"/>
        <v>0</v>
      </c>
      <c r="H93" s="20">
        <f>SUMIFS('Registre de reserves'!$U$2:$U$1178,'Registre de reserves'!$T$2:$T$1178,"NO",'Registre de reserves'!$I$2:$I$1178,'2022'!$A93,'Registre de reserves'!$B$2:$B$1178,'2022'!H$2,Tabla1[ANY],'2022'!$Z$76)</f>
        <v>0</v>
      </c>
      <c r="I93" s="21">
        <f t="shared" si="88"/>
        <v>0</v>
      </c>
      <c r="J93" s="20">
        <f>SUMIFS('Registre de reserves'!$U$2:$U$1178,'Registre de reserves'!$T$2:$T$1178,"NO",'Registre de reserves'!$I$2:$I$1178,'2022'!$A93,'Registre de reserves'!$B$2:$B$1178,'2022'!J$2,Tabla1[ANY],'2022'!$Z$76)</f>
        <v>0</v>
      </c>
      <c r="K93" s="21">
        <f t="shared" si="89"/>
        <v>0</v>
      </c>
      <c r="L93" s="20">
        <f>SUMIFS('Registre de reserves'!$U$2:$U$1178,'Registre de reserves'!$T$2:$T$1178,"NO",'Registre de reserves'!$I$2:$I$1178,'2022'!$A93,'Registre de reserves'!$B$2:$B$1178,'2022'!L$2,Tabla1[ANY],'2022'!$Z$76)</f>
        <v>0</v>
      </c>
      <c r="M93" s="21">
        <f t="shared" si="90"/>
        <v>0</v>
      </c>
      <c r="N93" s="20">
        <f>SUMIFS('Registre de reserves'!$U$2:$U$1178,'Registre de reserves'!$T$2:$T$1178,"NO",'Registre de reserves'!$I$2:$I$1178,'2022'!$A93,'Registre de reserves'!$B$2:$B$1178,'2022'!N$2,Tabla1[ANY],'2022'!$Z$76)</f>
        <v>0</v>
      </c>
      <c r="O93" s="21">
        <f t="shared" si="91"/>
        <v>0</v>
      </c>
      <c r="P93" s="20">
        <f>SUMIFS('Registre de reserves'!$U$2:$U$1178,'Registre de reserves'!$T$2:$T$1178,"NO",'Registre de reserves'!$I$2:$I$1178,'2022'!$A93,'Registre de reserves'!$B$2:$B$1178,'2022'!P$2,Tabla1[ANY],'2022'!$Z$76)</f>
        <v>0</v>
      </c>
      <c r="Q93" s="21">
        <f t="shared" si="92"/>
        <v>0</v>
      </c>
      <c r="R93" s="20">
        <f>SUMIFS('Registre de reserves'!$U$2:$U$1178,'Registre de reserves'!$T$2:$T$1178,"NO",'Registre de reserves'!$I$2:$I$1178,'2022'!$A93,'Registre de reserves'!$B$2:$B$1178,'2022'!R$2,Tabla1[ANY],'2022'!$Z$76)</f>
        <v>0</v>
      </c>
      <c r="S93" s="21">
        <f t="shared" si="93"/>
        <v>0</v>
      </c>
      <c r="T93" s="20">
        <f>SUMIFS('Registre de reserves'!$U$2:$U$1178,'Registre de reserves'!$T$2:$T$1178,"NO",'Registre de reserves'!$I$2:$I$1178,'2022'!$A93,'Registre de reserves'!$B$2:$B$1178,'2022'!T$2,Tabla1[ANY],'2022'!$Z$76)</f>
        <v>0</v>
      </c>
      <c r="U93" s="21">
        <f t="shared" si="94"/>
        <v>0</v>
      </c>
      <c r="V93" s="20">
        <f>SUMIFS('Registre de reserves'!$U$2:$U$1178,'Registre de reserves'!$T$2:$T$1178,"NO",'Registre de reserves'!$I$2:$I$1178,'2022'!$A93,'Registre de reserves'!$B$2:$B$1178,'2022'!V$2,Tabla1[ANY],'2022'!$Z$76)</f>
        <v>0</v>
      </c>
      <c r="W93" s="21">
        <f t="shared" si="95"/>
        <v>0</v>
      </c>
      <c r="X93" s="20">
        <f>SUMIFS('Registre de reserves'!$U$2:$U$1178,'Registre de reserves'!$T$2:$T$1178,"NO",'Registre de reserves'!$I$2:$I$1178,'2022'!$A93,'Registre de reserves'!$B$2:$B$1178,'2022'!X$2,Tabla1[ANY],'2022'!$Z$76)</f>
        <v>0</v>
      </c>
      <c r="Y93" s="21">
        <f t="shared" si="96"/>
        <v>0</v>
      </c>
      <c r="Z93" s="20">
        <f t="shared" si="99"/>
        <v>0</v>
      </c>
      <c r="AA93" s="21">
        <f t="shared" si="97"/>
        <v>0</v>
      </c>
    </row>
    <row r="94" spans="1:27" hidden="1" outlineLevel="1" x14ac:dyDescent="0.2">
      <c r="A94" s="8" t="s">
        <v>70</v>
      </c>
      <c r="B94" s="20">
        <f>SUMIFS('Registre de reserves'!$U$2:$U$1178,'Registre de reserves'!$T$2:$T$1178,"NO",'Registre de reserves'!$I$2:$I$1178,'2022'!$A94,'Registre de reserves'!$B$2:$B$1178,'2022'!B$2,Tabla1[ANY],'2022'!$Z$76)</f>
        <v>0</v>
      </c>
      <c r="C94" s="21">
        <f t="shared" si="98"/>
        <v>0</v>
      </c>
      <c r="D94" s="20">
        <f>SUMIFS('Registre de reserves'!$U$2:$U$1178,'Registre de reserves'!$T$2:$T$1178,"NO",'Registre de reserves'!$I$2:$I$1178,'2022'!$A94,'Registre de reserves'!$B$2:$B$1178,'2022'!D$2,Tabla1[ANY],'2022'!$Z$76)</f>
        <v>0</v>
      </c>
      <c r="E94" s="21">
        <f t="shared" si="98"/>
        <v>0</v>
      </c>
      <c r="F94" s="20">
        <f>SUMIFS('Registre de reserves'!$U$2:$U$1178,'Registre de reserves'!$T$2:$T$1178,"NO",'Registre de reserves'!$I$2:$I$1178,'2022'!$A94,'Registre de reserves'!$B$2:$B$1178,'2022'!F$2,Tabla1[ANY],'2022'!$Z$76)</f>
        <v>0</v>
      </c>
      <c r="G94" s="21">
        <f t="shared" si="87"/>
        <v>0</v>
      </c>
      <c r="H94" s="20">
        <f>SUMIFS('Registre de reserves'!$U$2:$U$1178,'Registre de reserves'!$T$2:$T$1178,"NO",'Registre de reserves'!$I$2:$I$1178,'2022'!$A94,'Registre de reserves'!$B$2:$B$1178,'2022'!H$2,Tabla1[ANY],'2022'!$Z$76)</f>
        <v>0</v>
      </c>
      <c r="I94" s="21">
        <f t="shared" si="88"/>
        <v>0</v>
      </c>
      <c r="J94" s="20">
        <f>SUMIFS('Registre de reserves'!$U$2:$U$1178,'Registre de reserves'!$T$2:$T$1178,"NO",'Registre de reserves'!$I$2:$I$1178,'2022'!$A94,'Registre de reserves'!$B$2:$B$1178,'2022'!J$2,Tabla1[ANY],'2022'!$Z$76)</f>
        <v>0</v>
      </c>
      <c r="K94" s="21">
        <f t="shared" si="89"/>
        <v>0</v>
      </c>
      <c r="L94" s="20">
        <f>SUMIFS('Registre de reserves'!$U$2:$U$1178,'Registre de reserves'!$T$2:$T$1178,"NO",'Registre de reserves'!$I$2:$I$1178,'2022'!$A94,'Registre de reserves'!$B$2:$B$1178,'2022'!L$2,Tabla1[ANY],'2022'!$Z$76)</f>
        <v>0</v>
      </c>
      <c r="M94" s="21">
        <f t="shared" si="90"/>
        <v>0</v>
      </c>
      <c r="N94" s="20">
        <f>SUMIFS('Registre de reserves'!$U$2:$U$1178,'Registre de reserves'!$T$2:$T$1178,"NO",'Registre de reserves'!$I$2:$I$1178,'2022'!$A94,'Registre de reserves'!$B$2:$B$1178,'2022'!N$2,Tabla1[ANY],'2022'!$Z$76)</f>
        <v>0</v>
      </c>
      <c r="O94" s="21">
        <f t="shared" si="91"/>
        <v>0</v>
      </c>
      <c r="P94" s="20">
        <f>SUMIFS('Registre de reserves'!$U$2:$U$1178,'Registre de reserves'!$T$2:$T$1178,"NO",'Registre de reserves'!$I$2:$I$1178,'2022'!$A94,'Registre de reserves'!$B$2:$B$1178,'2022'!P$2,Tabla1[ANY],'2022'!$Z$76)</f>
        <v>0</v>
      </c>
      <c r="Q94" s="21">
        <f t="shared" si="92"/>
        <v>0</v>
      </c>
      <c r="R94" s="20">
        <f>SUMIFS('Registre de reserves'!$U$2:$U$1178,'Registre de reserves'!$T$2:$T$1178,"NO",'Registre de reserves'!$I$2:$I$1178,'2022'!$A94,'Registre de reserves'!$B$2:$B$1178,'2022'!R$2,Tabla1[ANY],'2022'!$Z$76)</f>
        <v>0</v>
      </c>
      <c r="S94" s="21">
        <f t="shared" si="93"/>
        <v>0</v>
      </c>
      <c r="T94" s="20">
        <f>SUMIFS('Registre de reserves'!$U$2:$U$1178,'Registre de reserves'!$T$2:$T$1178,"NO",'Registre de reserves'!$I$2:$I$1178,'2022'!$A94,'Registre de reserves'!$B$2:$B$1178,'2022'!T$2,Tabla1[ANY],'2022'!$Z$76)</f>
        <v>0</v>
      </c>
      <c r="U94" s="21">
        <f t="shared" si="94"/>
        <v>0</v>
      </c>
      <c r="V94" s="20">
        <f>SUMIFS('Registre de reserves'!$U$2:$U$1178,'Registre de reserves'!$T$2:$T$1178,"NO",'Registre de reserves'!$I$2:$I$1178,'2022'!$A94,'Registre de reserves'!$B$2:$B$1178,'2022'!V$2,Tabla1[ANY],'2022'!$Z$76)</f>
        <v>0</v>
      </c>
      <c r="W94" s="21">
        <f t="shared" si="95"/>
        <v>0</v>
      </c>
      <c r="X94" s="20">
        <f>SUMIFS('Registre de reserves'!$U$2:$U$1178,'Registre de reserves'!$T$2:$T$1178,"NO",'Registre de reserves'!$I$2:$I$1178,'2022'!$A94,'Registre de reserves'!$B$2:$B$1178,'2022'!X$2,Tabla1[ANY],'2022'!$Z$76)</f>
        <v>0</v>
      </c>
      <c r="Y94" s="21">
        <f t="shared" si="96"/>
        <v>0</v>
      </c>
      <c r="Z94" s="20">
        <f t="shared" si="99"/>
        <v>0</v>
      </c>
      <c r="AA94" s="21">
        <f t="shared" si="97"/>
        <v>0</v>
      </c>
    </row>
    <row r="95" spans="1:27" hidden="1" outlineLevel="1" x14ac:dyDescent="0.2">
      <c r="A95" s="8" t="s">
        <v>73</v>
      </c>
      <c r="B95" s="20">
        <f>SUMIFS('Registre de reserves'!$U$2:$U$1178,'Registre de reserves'!$T$2:$T$1178,"NO",'Registre de reserves'!$I$2:$I$1178,'2022'!$A95,'Registre de reserves'!$B$2:$B$1178,'2022'!B$2,Tabla1[ANY],'2022'!$Z$76)</f>
        <v>0</v>
      </c>
      <c r="C95" s="21">
        <f>IF(B$87=0,0,B95/B$87)</f>
        <v>0</v>
      </c>
      <c r="D95" s="20">
        <f>SUMIFS('Registre de reserves'!$U$2:$U$1178,'Registre de reserves'!$T$2:$T$1178,"NO",'Registre de reserves'!$I$2:$I$1178,'2022'!$A95,'Registre de reserves'!$B$2:$B$1178,'2022'!D$2,Tabla1[ANY],'2022'!$Z$76)</f>
        <v>0</v>
      </c>
      <c r="E95" s="21">
        <f>IF(D$87=0,0,D95/D$87)</f>
        <v>0</v>
      </c>
      <c r="F95" s="20">
        <f>SUMIFS('Registre de reserves'!$U$2:$U$1178,'Registre de reserves'!$T$2:$T$1178,"NO",'Registre de reserves'!$I$2:$I$1178,'2022'!$A95,'Registre de reserves'!$B$2:$B$1178,'2022'!F$2,Tabla1[ANY],'2022'!$Z$76)</f>
        <v>0</v>
      </c>
      <c r="G95" s="21">
        <f t="shared" si="87"/>
        <v>0</v>
      </c>
      <c r="H95" s="20">
        <f>SUMIFS('Registre de reserves'!$U$2:$U$1178,'Registre de reserves'!$T$2:$T$1178,"NO",'Registre de reserves'!$I$2:$I$1178,'2022'!$A95,'Registre de reserves'!$B$2:$B$1178,'2022'!H$2,Tabla1[ANY],'2022'!$Z$76)</f>
        <v>0</v>
      </c>
      <c r="I95" s="21">
        <f t="shared" si="88"/>
        <v>0</v>
      </c>
      <c r="J95" s="20">
        <f>SUMIFS('Registre de reserves'!$U$2:$U$1178,'Registre de reserves'!$T$2:$T$1178,"NO",'Registre de reserves'!$I$2:$I$1178,'2022'!$A95,'Registre de reserves'!$B$2:$B$1178,'2022'!J$2,Tabla1[ANY],'2022'!$Z$76)</f>
        <v>0</v>
      </c>
      <c r="K95" s="21">
        <f t="shared" si="89"/>
        <v>0</v>
      </c>
      <c r="L95" s="20">
        <f>SUMIFS('Registre de reserves'!$U$2:$U$1178,'Registre de reserves'!$T$2:$T$1178,"NO",'Registre de reserves'!$I$2:$I$1178,'2022'!$A95,'Registre de reserves'!$B$2:$B$1178,'2022'!L$2,Tabla1[ANY],'2022'!$Z$76)</f>
        <v>0</v>
      </c>
      <c r="M95" s="21">
        <f t="shared" si="90"/>
        <v>0</v>
      </c>
      <c r="N95" s="20">
        <f>SUMIFS('Registre de reserves'!$U$2:$U$1178,'Registre de reserves'!$T$2:$T$1178,"NO",'Registre de reserves'!$I$2:$I$1178,'2022'!$A95,'Registre de reserves'!$B$2:$B$1178,'2022'!N$2,Tabla1[ANY],'2022'!$Z$76)</f>
        <v>0</v>
      </c>
      <c r="O95" s="21">
        <f t="shared" si="91"/>
        <v>0</v>
      </c>
      <c r="P95" s="20">
        <f>SUMIFS('Registre de reserves'!$U$2:$U$1178,'Registre de reserves'!$T$2:$T$1178,"NO",'Registre de reserves'!$I$2:$I$1178,'2022'!$A95,'Registre de reserves'!$B$2:$B$1178,'2022'!P$2,Tabla1[ANY],'2022'!$Z$76)</f>
        <v>0</v>
      </c>
      <c r="Q95" s="21">
        <f t="shared" si="92"/>
        <v>0</v>
      </c>
      <c r="R95" s="20">
        <f>SUMIFS('Registre de reserves'!$U$2:$U$1178,'Registre de reserves'!$T$2:$T$1178,"NO",'Registre de reserves'!$I$2:$I$1178,'2022'!$A95,'Registre de reserves'!$B$2:$B$1178,'2022'!R$2,Tabla1[ANY],'2022'!$Z$76)</f>
        <v>0</v>
      </c>
      <c r="S95" s="21">
        <f t="shared" si="93"/>
        <v>0</v>
      </c>
      <c r="T95" s="20">
        <f>SUMIFS('Registre de reserves'!$U$2:$U$1178,'Registre de reserves'!$T$2:$T$1178,"NO",'Registre de reserves'!$I$2:$I$1178,'2022'!$A95,'Registre de reserves'!$B$2:$B$1178,'2022'!T$2,Tabla1[ANY],'2022'!$Z$76)</f>
        <v>0</v>
      </c>
      <c r="U95" s="21">
        <f t="shared" si="94"/>
        <v>0</v>
      </c>
      <c r="V95" s="20">
        <f>SUMIFS('Registre de reserves'!$U$2:$U$1178,'Registre de reserves'!$T$2:$T$1178,"NO",'Registre de reserves'!$I$2:$I$1178,'2022'!$A95,'Registre de reserves'!$B$2:$B$1178,'2022'!V$2,Tabla1[ANY],'2022'!$Z$76)</f>
        <v>0</v>
      </c>
      <c r="W95" s="21">
        <f t="shared" si="95"/>
        <v>0</v>
      </c>
      <c r="X95" s="20">
        <f>SUMIFS('Registre de reserves'!$U$2:$U$1178,'Registre de reserves'!$T$2:$T$1178,"NO",'Registre de reserves'!$I$2:$I$1178,'2022'!$A95,'Registre de reserves'!$B$2:$B$1178,'2022'!X$2,Tabla1[ANY],'2022'!$Z$76)</f>
        <v>0</v>
      </c>
      <c r="Y95" s="21">
        <f t="shared" si="96"/>
        <v>0</v>
      </c>
      <c r="Z95" s="20">
        <f t="shared" si="99"/>
        <v>0</v>
      </c>
      <c r="AA95" s="21">
        <f t="shared" si="97"/>
        <v>0</v>
      </c>
    </row>
    <row r="96" spans="1:27" collapsed="1" x14ac:dyDescent="0.2">
      <c r="A96" s="33" t="s">
        <v>75</v>
      </c>
      <c r="B96" s="22">
        <f>SUM(B97:B104)</f>
        <v>0</v>
      </c>
      <c r="C96" s="19">
        <f>IF(B$77=0,0,B96/B$77)</f>
        <v>0</v>
      </c>
      <c r="D96" s="22">
        <f>SUM(D97:D104)</f>
        <v>50</v>
      </c>
      <c r="E96" s="19">
        <f>IF(D$77=0,0,D96/D$77)</f>
        <v>4.4843049327354258E-2</v>
      </c>
      <c r="F96" s="22">
        <f>SUM(F97:F104)</f>
        <v>50</v>
      </c>
      <c r="G96" s="19">
        <f>IF(F$77=0,0,F96/F$77)</f>
        <v>3.0395136778115502E-2</v>
      </c>
      <c r="H96" s="22">
        <f>SUM(H97:H104)</f>
        <v>110</v>
      </c>
      <c r="I96" s="19">
        <f>IF(H$77=0,0,H96/H$77)</f>
        <v>4.4806517311608958E-2</v>
      </c>
      <c r="J96" s="22">
        <f>SUM(J97:J104)</f>
        <v>90</v>
      </c>
      <c r="K96" s="19">
        <f>IF(J$77=0,0,J96/J$77)</f>
        <v>4.8000000000000001E-2</v>
      </c>
      <c r="L96" s="22">
        <f>SUM(L97:L104)</f>
        <v>0</v>
      </c>
      <c r="M96" s="19">
        <f>IF(L$77=0,0,L96/L$77)</f>
        <v>0</v>
      </c>
      <c r="N96" s="22">
        <f>SUM(N97:N104)</f>
        <v>0</v>
      </c>
      <c r="O96" s="19">
        <f>IF(N$77=0,0,N96/N$77)</f>
        <v>0</v>
      </c>
      <c r="P96" s="22">
        <f>SUM(P97:P104)</f>
        <v>0</v>
      </c>
      <c r="Q96" s="19">
        <f>IF(P$77=0,0,P96/P$77)</f>
        <v>0</v>
      </c>
      <c r="R96" s="22">
        <f>SUM(R97:R104)</f>
        <v>0</v>
      </c>
      <c r="S96" s="19">
        <f>IF(R$77=0,0,R96/R$77)</f>
        <v>0</v>
      </c>
      <c r="T96" s="22">
        <f>SUM(T97:T104)</f>
        <v>0</v>
      </c>
      <c r="U96" s="19">
        <f>IF(T$77=0,0,T96/T$77)</f>
        <v>0</v>
      </c>
      <c r="V96" s="22">
        <f>SUM(V97:V104)</f>
        <v>60</v>
      </c>
      <c r="W96" s="19">
        <f>IF(V$77=0,0,V96/V$77)</f>
        <v>4.3165467625899283E-2</v>
      </c>
      <c r="X96" s="22">
        <f>SUM(X97:X104)</f>
        <v>0</v>
      </c>
      <c r="Y96" s="19">
        <f>IF(X$77=0,0,X96/X$77)</f>
        <v>0</v>
      </c>
      <c r="Z96" s="22">
        <f>SUM(Z97:Z104)</f>
        <v>360</v>
      </c>
      <c r="AA96" s="19">
        <f>IF(Z$77=0,0,Z96/Z$77)</f>
        <v>2.2291021671826627E-2</v>
      </c>
    </row>
    <row r="97" spans="1:27" hidden="1" outlineLevel="1" x14ac:dyDescent="0.2">
      <c r="A97" s="8" t="s">
        <v>67</v>
      </c>
      <c r="B97" s="23">
        <f>SUMIFS('Registre de reserves'!$W$2:$W$1178,'Registre de reserves'!$T$2:$T$1178,"SI",'Registre de reserves'!$I$2:$I$1178,'2022'!$A97,'Registre de reserves'!$B$2:$B$1178,'2022'!B$2,Tabla1[ANY],'2022'!$Z$76)</f>
        <v>0</v>
      </c>
      <c r="C97" s="21">
        <f>IF(B$96=0,0,B97/B$96)</f>
        <v>0</v>
      </c>
      <c r="D97" s="23">
        <f>SUMIFS('Registre de reserves'!$W$2:$W$1178,'Registre de reserves'!$T$2:$T$1178,"SI",'Registre de reserves'!$I$2:$I$1178,'2022'!$A97,'Registre de reserves'!$B$2:$B$1178,'2022'!D$2,Tabla1[ANY],'2022'!$Z$76)</f>
        <v>0</v>
      </c>
      <c r="E97" s="21">
        <f>IF(D$96=0,0,D97/D$96)</f>
        <v>0</v>
      </c>
      <c r="F97" s="23">
        <f>SUMIFS('Registre de reserves'!$W$2:$W$1178,'Registre de reserves'!$T$2:$T$1178,"SI",'Registre de reserves'!$I$2:$I$1178,'2022'!$A97,'Registre de reserves'!$B$2:$B$1178,'2022'!F$2,Tabla1[ANY],'2022'!$Z$76)</f>
        <v>0</v>
      </c>
      <c r="G97" s="21">
        <f t="shared" ref="G97:G104" si="100">IF(F$96=0,0,F97/F$96)</f>
        <v>0</v>
      </c>
      <c r="H97" s="23">
        <f>SUMIFS('Registre de reserves'!$W$2:$W$1178,'Registre de reserves'!$T$2:$T$1178,"SI",'Registre de reserves'!$I$2:$I$1178,'2022'!$A97,'Registre de reserves'!$B$2:$B$1178,'2022'!H$2,Tabla1[ANY],'2022'!$Z$76)</f>
        <v>60</v>
      </c>
      <c r="I97" s="21">
        <f t="shared" ref="I97:I104" si="101">IF(H$96=0,0,H97/H$96)</f>
        <v>0.54545454545454541</v>
      </c>
      <c r="J97" s="23">
        <f>SUMIFS('Registre de reserves'!$W$2:$W$1178,'Registre de reserves'!$T$2:$T$1178,"SI",'Registre de reserves'!$I$2:$I$1178,'2022'!$A97,'Registre de reserves'!$B$2:$B$1178,'2022'!J$2,Tabla1[ANY],'2022'!$Z$76)</f>
        <v>40</v>
      </c>
      <c r="K97" s="21">
        <f t="shared" ref="K97:K104" si="102">IF(J$96=0,0,J97/J$96)</f>
        <v>0.44444444444444442</v>
      </c>
      <c r="L97" s="23">
        <f>SUMIFS('Registre de reserves'!$W$2:$W$1178,'Registre de reserves'!$T$2:$T$1178,"SI",'Registre de reserves'!$I$2:$I$1178,'2022'!$A97,'Registre de reserves'!$B$2:$B$1178,'2022'!L$2,Tabla1[ANY],'2022'!$Z$76)</f>
        <v>0</v>
      </c>
      <c r="M97" s="21">
        <f t="shared" ref="M97:M104" si="103">IF(L$96=0,0,L97/L$96)</f>
        <v>0</v>
      </c>
      <c r="N97" s="23">
        <f>SUMIFS('Registre de reserves'!$W$2:$W$1178,'Registre de reserves'!$T$2:$T$1178,"SI",'Registre de reserves'!$I$2:$I$1178,'2022'!$A97,'Registre de reserves'!$B$2:$B$1178,'2022'!N$2,Tabla1[ANY],'2022'!$Z$76)</f>
        <v>0</v>
      </c>
      <c r="O97" s="21">
        <f t="shared" ref="O97:O104" si="104">IF(N$96=0,0,N97/N$96)</f>
        <v>0</v>
      </c>
      <c r="P97" s="23">
        <f>SUMIFS('Registre de reserves'!$W$2:$W$1178,'Registre de reserves'!$T$2:$T$1178,"SI",'Registre de reserves'!$I$2:$I$1178,'2022'!$A97,'Registre de reserves'!$B$2:$B$1178,'2022'!P$2,Tabla1[ANY],'2022'!$Z$76)</f>
        <v>0</v>
      </c>
      <c r="Q97" s="21">
        <f t="shared" ref="Q97:Q104" si="105">IF(P$96=0,0,P97/P$96)</f>
        <v>0</v>
      </c>
      <c r="R97" s="23">
        <f>SUMIFS('Registre de reserves'!$W$2:$W$1178,'Registre de reserves'!$T$2:$T$1178,"SI",'Registre de reserves'!$I$2:$I$1178,'2022'!$A97,'Registre de reserves'!$B$2:$B$1178,'2022'!R$2,Tabla1[ANY],'2022'!$Z$76)</f>
        <v>0</v>
      </c>
      <c r="S97" s="21">
        <f t="shared" ref="S97:S104" si="106">IF(R$96=0,0,R97/R$96)</f>
        <v>0</v>
      </c>
      <c r="T97" s="23">
        <f>SUMIFS('Registre de reserves'!$W$2:$W$1178,'Registre de reserves'!$T$2:$T$1178,"SI",'Registre de reserves'!$I$2:$I$1178,'2022'!$A97,'Registre de reserves'!$B$2:$B$1178,'2022'!T$2,Tabla1[ANY],'2022'!$Z$76)</f>
        <v>0</v>
      </c>
      <c r="U97" s="21">
        <f t="shared" ref="U97:U104" si="107">IF(T$96=0,0,T97/T$96)</f>
        <v>0</v>
      </c>
      <c r="V97" s="23">
        <f>SUMIFS('Registre de reserves'!$W$2:$W$1178,'Registre de reserves'!$T$2:$T$1178,"SI",'Registre de reserves'!$I$2:$I$1178,'2022'!$A97,'Registre de reserves'!$B$2:$B$1178,'2022'!V$2,Tabla1[ANY],'2022'!$Z$76)</f>
        <v>0</v>
      </c>
      <c r="W97" s="21">
        <f t="shared" ref="W97:W104" si="108">IF(V$96=0,0,V97/V$96)</f>
        <v>0</v>
      </c>
      <c r="X97" s="23">
        <f>SUMIFS('Registre de reserves'!$W$2:$W$1178,'Registre de reserves'!$T$2:$T$1178,"SI",'Registre de reserves'!$I$2:$I$1178,'2022'!$A97,'Registre de reserves'!$B$2:$B$1178,'2022'!X$2,Tabla1[ANY],'2022'!$Z$76)</f>
        <v>0</v>
      </c>
      <c r="Y97" s="21">
        <f t="shared" ref="Y97:Y104" si="109">IF(X$96=0,0,X97/X$96)</f>
        <v>0</v>
      </c>
      <c r="Z97" s="20">
        <f t="shared" si="99"/>
        <v>100</v>
      </c>
      <c r="AA97" s="21">
        <f t="shared" ref="AA97:AA104" si="110">IF(Z$96=0,0,Z97/Z$96)</f>
        <v>0.27777777777777779</v>
      </c>
    </row>
    <row r="98" spans="1:27" hidden="1" outlineLevel="1" x14ac:dyDescent="0.2">
      <c r="A98" s="8" t="s">
        <v>68</v>
      </c>
      <c r="B98" s="23">
        <f>SUMIFS('Registre de reserves'!$W$2:$W$1178,'Registre de reserves'!$T$2:$T$1178,"SI",'Registre de reserves'!$I$2:$I$1178,'2022'!$A98,'Registre de reserves'!$B$2:$B$1178,'2022'!B$2,Tabla1[ANY],'2022'!$Z$76)</f>
        <v>0</v>
      </c>
      <c r="C98" s="21">
        <f t="shared" ref="C98:E104" si="111">IF(B$96=0,0,B98/B$96)</f>
        <v>0</v>
      </c>
      <c r="D98" s="23">
        <f>SUMIFS('Registre de reserves'!$W$2:$W$1178,'Registre de reserves'!$T$2:$T$1178,"SI",'Registre de reserves'!$I$2:$I$1178,'2022'!$A98,'Registre de reserves'!$B$2:$B$1178,'2022'!D$2,Tabla1[ANY],'2022'!$Z$76)</f>
        <v>0</v>
      </c>
      <c r="E98" s="21">
        <f t="shared" si="111"/>
        <v>0</v>
      </c>
      <c r="F98" s="23">
        <f>SUMIFS('Registre de reserves'!$W$2:$W$1178,'Registre de reserves'!$T$2:$T$1178,"SI",'Registre de reserves'!$I$2:$I$1178,'2022'!$A98,'Registre de reserves'!$B$2:$B$1178,'2022'!F$2,Tabla1[ANY],'2022'!$Z$76)</f>
        <v>0</v>
      </c>
      <c r="G98" s="21">
        <f t="shared" si="100"/>
        <v>0</v>
      </c>
      <c r="H98" s="23">
        <f>SUMIFS('Registre de reserves'!$W$2:$W$1178,'Registre de reserves'!$T$2:$T$1178,"SI",'Registre de reserves'!$I$2:$I$1178,'2022'!$A98,'Registre de reserves'!$B$2:$B$1178,'2022'!H$2,Tabla1[ANY],'2022'!$Z$76)</f>
        <v>0</v>
      </c>
      <c r="I98" s="21">
        <f t="shared" si="101"/>
        <v>0</v>
      </c>
      <c r="J98" s="23">
        <f>SUMIFS('Registre de reserves'!$W$2:$W$1178,'Registre de reserves'!$T$2:$T$1178,"SI",'Registre de reserves'!$I$2:$I$1178,'2022'!$A98,'Registre de reserves'!$B$2:$B$1178,'2022'!J$2,Tabla1[ANY],'2022'!$Z$76)</f>
        <v>0</v>
      </c>
      <c r="K98" s="21">
        <f t="shared" si="102"/>
        <v>0</v>
      </c>
      <c r="L98" s="23">
        <f>SUMIFS('Registre de reserves'!$W$2:$W$1178,'Registre de reserves'!$T$2:$T$1178,"SI",'Registre de reserves'!$I$2:$I$1178,'2022'!$A98,'Registre de reserves'!$B$2:$B$1178,'2022'!L$2,Tabla1[ANY],'2022'!$Z$76)</f>
        <v>0</v>
      </c>
      <c r="M98" s="21">
        <f t="shared" si="103"/>
        <v>0</v>
      </c>
      <c r="N98" s="23">
        <f>SUMIFS('Registre de reserves'!$W$2:$W$1178,'Registre de reserves'!$T$2:$T$1178,"SI",'Registre de reserves'!$I$2:$I$1178,'2022'!$A98,'Registre de reserves'!$B$2:$B$1178,'2022'!N$2,Tabla1[ANY],'2022'!$Z$76)</f>
        <v>0</v>
      </c>
      <c r="O98" s="21">
        <f t="shared" si="104"/>
        <v>0</v>
      </c>
      <c r="P98" s="23">
        <f>SUMIFS('Registre de reserves'!$W$2:$W$1178,'Registre de reserves'!$T$2:$T$1178,"SI",'Registre de reserves'!$I$2:$I$1178,'2022'!$A98,'Registre de reserves'!$B$2:$B$1178,'2022'!P$2,Tabla1[ANY],'2022'!$Z$76)</f>
        <v>0</v>
      </c>
      <c r="Q98" s="21">
        <f t="shared" si="105"/>
        <v>0</v>
      </c>
      <c r="R98" s="23">
        <f>SUMIFS('Registre de reserves'!$W$2:$W$1178,'Registre de reserves'!$T$2:$T$1178,"SI",'Registre de reserves'!$I$2:$I$1178,'2022'!$A98,'Registre de reserves'!$B$2:$B$1178,'2022'!R$2,Tabla1[ANY],'2022'!$Z$76)</f>
        <v>0</v>
      </c>
      <c r="S98" s="21">
        <f t="shared" si="106"/>
        <v>0</v>
      </c>
      <c r="T98" s="23">
        <f>SUMIFS('Registre de reserves'!$W$2:$W$1178,'Registre de reserves'!$T$2:$T$1178,"SI",'Registre de reserves'!$I$2:$I$1178,'2022'!$A98,'Registre de reserves'!$B$2:$B$1178,'2022'!T$2,Tabla1[ANY],'2022'!$Z$76)</f>
        <v>0</v>
      </c>
      <c r="U98" s="21">
        <f t="shared" si="107"/>
        <v>0</v>
      </c>
      <c r="V98" s="23">
        <f>SUMIFS('Registre de reserves'!$W$2:$W$1178,'Registre de reserves'!$T$2:$T$1178,"SI",'Registre de reserves'!$I$2:$I$1178,'2022'!$A98,'Registre de reserves'!$B$2:$B$1178,'2022'!V$2,Tabla1[ANY],'2022'!$Z$76)</f>
        <v>0</v>
      </c>
      <c r="W98" s="21">
        <f t="shared" si="108"/>
        <v>0</v>
      </c>
      <c r="X98" s="23">
        <f>SUMIFS('Registre de reserves'!$W$2:$W$1178,'Registre de reserves'!$T$2:$T$1178,"SI",'Registre de reserves'!$I$2:$I$1178,'2022'!$A98,'Registre de reserves'!$B$2:$B$1178,'2022'!X$2,Tabla1[ANY],'2022'!$Z$76)</f>
        <v>0</v>
      </c>
      <c r="Y98" s="21">
        <f t="shared" si="109"/>
        <v>0</v>
      </c>
      <c r="Z98" s="20">
        <f t="shared" si="99"/>
        <v>0</v>
      </c>
      <c r="AA98" s="21">
        <f t="shared" si="110"/>
        <v>0</v>
      </c>
    </row>
    <row r="99" spans="1:27" hidden="1" outlineLevel="1" x14ac:dyDescent="0.2">
      <c r="A99" s="8" t="s">
        <v>4</v>
      </c>
      <c r="B99" s="23">
        <f>SUMIFS('Registre de reserves'!$W$2:$W$1178,'Registre de reserves'!$T$2:$T$1178,"SI",'Registre de reserves'!$I$2:$I$1178,'2022'!$A99,'Registre de reserves'!$B$2:$B$1178,'2022'!B$2,Tabla1[ANY],'2022'!$Z$76)</f>
        <v>0</v>
      </c>
      <c r="C99" s="21">
        <f>IF(B$96=0,0,B99/B$96)</f>
        <v>0</v>
      </c>
      <c r="D99" s="23">
        <f>SUMIFS('Registre de reserves'!$W$2:$W$1178,'Registre de reserves'!$T$2:$T$1178,"SI",'Registre de reserves'!$I$2:$I$1178,'2022'!$A99,'Registre de reserves'!$B$2:$B$1178,'2022'!D$2,Tabla1[ANY],'2022'!$Z$76)</f>
        <v>0</v>
      </c>
      <c r="E99" s="21">
        <f>IF(D$96=0,0,D99/D$96)</f>
        <v>0</v>
      </c>
      <c r="F99" s="23">
        <f>SUMIFS('Registre de reserves'!$W$2:$W$1178,'Registre de reserves'!$T$2:$T$1178,"SI",'Registre de reserves'!$I$2:$I$1178,'2022'!$A99,'Registre de reserves'!$B$2:$B$1178,'2022'!F$2,Tabla1[ANY],'2022'!$Z$76)</f>
        <v>0</v>
      </c>
      <c r="G99" s="21">
        <f t="shared" si="100"/>
        <v>0</v>
      </c>
      <c r="H99" s="23">
        <f>SUMIFS('Registre de reserves'!$W$2:$W$1178,'Registre de reserves'!$T$2:$T$1178,"SI",'Registre de reserves'!$I$2:$I$1178,'2022'!$A99,'Registre de reserves'!$B$2:$B$1178,'2022'!H$2,Tabla1[ANY],'2022'!$Z$76)</f>
        <v>0</v>
      </c>
      <c r="I99" s="21">
        <f t="shared" si="101"/>
        <v>0</v>
      </c>
      <c r="J99" s="23">
        <f>SUMIFS('Registre de reserves'!$W$2:$W$1178,'Registre de reserves'!$T$2:$T$1178,"SI",'Registre de reserves'!$I$2:$I$1178,'2022'!$A99,'Registre de reserves'!$B$2:$B$1178,'2022'!J$2,Tabla1[ANY],'2022'!$Z$76)</f>
        <v>0</v>
      </c>
      <c r="K99" s="21">
        <f t="shared" si="102"/>
        <v>0</v>
      </c>
      <c r="L99" s="23">
        <f>SUMIFS('Registre de reserves'!$W$2:$W$1178,'Registre de reserves'!$T$2:$T$1178,"SI",'Registre de reserves'!$I$2:$I$1178,'2022'!$A99,'Registre de reserves'!$B$2:$B$1178,'2022'!L$2,Tabla1[ANY],'2022'!$Z$76)</f>
        <v>0</v>
      </c>
      <c r="M99" s="21">
        <f t="shared" si="103"/>
        <v>0</v>
      </c>
      <c r="N99" s="23">
        <f>SUMIFS('Registre de reserves'!$W$2:$W$1178,'Registre de reserves'!$T$2:$T$1178,"SI",'Registre de reserves'!$I$2:$I$1178,'2022'!$A99,'Registre de reserves'!$B$2:$B$1178,'2022'!N$2,Tabla1[ANY],'2022'!$Z$76)</f>
        <v>0</v>
      </c>
      <c r="O99" s="21">
        <f t="shared" si="104"/>
        <v>0</v>
      </c>
      <c r="P99" s="23">
        <f>SUMIFS('Registre de reserves'!$W$2:$W$1178,'Registre de reserves'!$T$2:$T$1178,"SI",'Registre de reserves'!$I$2:$I$1178,'2022'!$A99,'Registre de reserves'!$B$2:$B$1178,'2022'!P$2,Tabla1[ANY],'2022'!$Z$76)</f>
        <v>0</v>
      </c>
      <c r="Q99" s="21">
        <f t="shared" si="105"/>
        <v>0</v>
      </c>
      <c r="R99" s="23">
        <f>SUMIFS('Registre de reserves'!$W$2:$W$1178,'Registre de reserves'!$T$2:$T$1178,"SI",'Registre de reserves'!$I$2:$I$1178,'2022'!$A99,'Registre de reserves'!$B$2:$B$1178,'2022'!R$2,Tabla1[ANY],'2022'!$Z$76)</f>
        <v>0</v>
      </c>
      <c r="S99" s="21">
        <f t="shared" si="106"/>
        <v>0</v>
      </c>
      <c r="T99" s="23">
        <f>SUMIFS('Registre de reserves'!$W$2:$W$1178,'Registre de reserves'!$T$2:$T$1178,"SI",'Registre de reserves'!$I$2:$I$1178,'2022'!$A99,'Registre de reserves'!$B$2:$B$1178,'2022'!T$2,Tabla1[ANY],'2022'!$Z$76)</f>
        <v>0</v>
      </c>
      <c r="U99" s="21">
        <f t="shared" si="107"/>
        <v>0</v>
      </c>
      <c r="V99" s="23">
        <f>SUMIFS('Registre de reserves'!$W$2:$W$1178,'Registre de reserves'!$T$2:$T$1178,"SI",'Registre de reserves'!$I$2:$I$1178,'2022'!$A99,'Registre de reserves'!$B$2:$B$1178,'2022'!V$2,Tabla1[ANY],'2022'!$Z$76)</f>
        <v>0</v>
      </c>
      <c r="W99" s="21">
        <f t="shared" si="108"/>
        <v>0</v>
      </c>
      <c r="X99" s="23">
        <f>SUMIFS('Registre de reserves'!$W$2:$W$1178,'Registre de reserves'!$T$2:$T$1178,"SI",'Registre de reserves'!$I$2:$I$1178,'2022'!$A99,'Registre de reserves'!$B$2:$B$1178,'2022'!X$2,Tabla1[ANY],'2022'!$Z$76)</f>
        <v>0</v>
      </c>
      <c r="Y99" s="21">
        <f t="shared" si="109"/>
        <v>0</v>
      </c>
      <c r="Z99" s="20">
        <f t="shared" si="99"/>
        <v>0</v>
      </c>
      <c r="AA99" s="21">
        <f t="shared" si="110"/>
        <v>0</v>
      </c>
    </row>
    <row r="100" spans="1:27" hidden="1" outlineLevel="1" x14ac:dyDescent="0.2">
      <c r="A100" s="8" t="s">
        <v>71</v>
      </c>
      <c r="B100" s="23">
        <f>SUMIFS('Registre de reserves'!$W$2:$W$1178,'Registre de reserves'!$T$2:$T$1178,"SI",'Registre de reserves'!$I$2:$I$1178,'2022'!$A100,'Registre de reserves'!$B$2:$B$1178,'2022'!B$2,Tabla1[ANY],'2022'!$Z$76)</f>
        <v>0</v>
      </c>
      <c r="C100" s="21">
        <f t="shared" si="111"/>
        <v>0</v>
      </c>
      <c r="D100" s="23">
        <f>SUMIFS('Registre de reserves'!$W$2:$W$1178,'Registre de reserves'!$T$2:$T$1178,"SI",'Registre de reserves'!$I$2:$I$1178,'2022'!$A100,'Registre de reserves'!$B$2:$B$1178,'2022'!D$2,Tabla1[ANY],'2022'!$Z$76)</f>
        <v>0</v>
      </c>
      <c r="E100" s="21">
        <f t="shared" si="111"/>
        <v>0</v>
      </c>
      <c r="F100" s="23">
        <f>SUMIFS('Registre de reserves'!$W$2:$W$1178,'Registre de reserves'!$T$2:$T$1178,"SI",'Registre de reserves'!$I$2:$I$1178,'2022'!$A100,'Registre de reserves'!$B$2:$B$1178,'2022'!F$2,Tabla1[ANY],'2022'!$Z$76)</f>
        <v>0</v>
      </c>
      <c r="G100" s="21">
        <f t="shared" si="100"/>
        <v>0</v>
      </c>
      <c r="H100" s="23">
        <f>SUMIFS('Registre de reserves'!$W$2:$W$1178,'Registre de reserves'!$T$2:$T$1178,"SI",'Registre de reserves'!$I$2:$I$1178,'2022'!$A100,'Registre de reserves'!$B$2:$B$1178,'2022'!H$2,Tabla1[ANY],'2022'!$Z$76)</f>
        <v>0</v>
      </c>
      <c r="I100" s="21">
        <f t="shared" si="101"/>
        <v>0</v>
      </c>
      <c r="J100" s="23">
        <f>SUMIFS('Registre de reserves'!$W$2:$W$1178,'Registre de reserves'!$T$2:$T$1178,"SI",'Registre de reserves'!$I$2:$I$1178,'2022'!$A100,'Registre de reserves'!$B$2:$B$1178,'2022'!J$2,Tabla1[ANY],'2022'!$Z$76)</f>
        <v>0</v>
      </c>
      <c r="K100" s="21">
        <f t="shared" si="102"/>
        <v>0</v>
      </c>
      <c r="L100" s="23">
        <f>SUMIFS('Registre de reserves'!$W$2:$W$1178,'Registre de reserves'!$T$2:$T$1178,"SI",'Registre de reserves'!$I$2:$I$1178,'2022'!$A100,'Registre de reserves'!$B$2:$B$1178,'2022'!L$2,Tabla1[ANY],'2022'!$Z$76)</f>
        <v>0</v>
      </c>
      <c r="M100" s="21">
        <f t="shared" si="103"/>
        <v>0</v>
      </c>
      <c r="N100" s="23">
        <f>SUMIFS('Registre de reserves'!$W$2:$W$1178,'Registre de reserves'!$T$2:$T$1178,"SI",'Registre de reserves'!$I$2:$I$1178,'2022'!$A100,'Registre de reserves'!$B$2:$B$1178,'2022'!N$2,Tabla1[ANY],'2022'!$Z$76)</f>
        <v>0</v>
      </c>
      <c r="O100" s="21">
        <f t="shared" si="104"/>
        <v>0</v>
      </c>
      <c r="P100" s="23">
        <f>SUMIFS('Registre de reserves'!$W$2:$W$1178,'Registre de reserves'!$T$2:$T$1178,"SI",'Registre de reserves'!$I$2:$I$1178,'2022'!$A100,'Registre de reserves'!$B$2:$B$1178,'2022'!P$2,Tabla1[ANY],'2022'!$Z$76)</f>
        <v>0</v>
      </c>
      <c r="Q100" s="21">
        <f t="shared" si="105"/>
        <v>0</v>
      </c>
      <c r="R100" s="23">
        <f>SUMIFS('Registre de reserves'!$W$2:$W$1178,'Registre de reserves'!$T$2:$T$1178,"SI",'Registre de reserves'!$I$2:$I$1178,'2022'!$A100,'Registre de reserves'!$B$2:$B$1178,'2022'!R$2,Tabla1[ANY],'2022'!$Z$76)</f>
        <v>0</v>
      </c>
      <c r="S100" s="21">
        <f t="shared" si="106"/>
        <v>0</v>
      </c>
      <c r="T100" s="23">
        <f>SUMIFS('Registre de reserves'!$W$2:$W$1178,'Registre de reserves'!$T$2:$T$1178,"SI",'Registre de reserves'!$I$2:$I$1178,'2022'!$A100,'Registre de reserves'!$B$2:$B$1178,'2022'!T$2,Tabla1[ANY],'2022'!$Z$76)</f>
        <v>0</v>
      </c>
      <c r="U100" s="21">
        <f t="shared" si="107"/>
        <v>0</v>
      </c>
      <c r="V100" s="23">
        <f>SUMIFS('Registre de reserves'!$W$2:$W$1178,'Registre de reserves'!$T$2:$T$1178,"SI",'Registre de reserves'!$I$2:$I$1178,'2022'!$A100,'Registre de reserves'!$B$2:$B$1178,'2022'!V$2,Tabla1[ANY],'2022'!$Z$76)</f>
        <v>0</v>
      </c>
      <c r="W100" s="21">
        <f t="shared" si="108"/>
        <v>0</v>
      </c>
      <c r="X100" s="23">
        <f>SUMIFS('Registre de reserves'!$W$2:$W$1178,'Registre de reserves'!$T$2:$T$1178,"SI",'Registre de reserves'!$I$2:$I$1178,'2022'!$A100,'Registre de reserves'!$B$2:$B$1178,'2022'!X$2,Tabla1[ANY],'2022'!$Z$76)</f>
        <v>0</v>
      </c>
      <c r="Y100" s="21">
        <f t="shared" si="109"/>
        <v>0</v>
      </c>
      <c r="Z100" s="20">
        <f t="shared" si="99"/>
        <v>0</v>
      </c>
      <c r="AA100" s="21">
        <f t="shared" si="110"/>
        <v>0</v>
      </c>
    </row>
    <row r="101" spans="1:27" hidden="1" outlineLevel="1" x14ac:dyDescent="0.2">
      <c r="A101" s="8" t="s">
        <v>72</v>
      </c>
      <c r="B101" s="23">
        <f>SUMIFS('Registre de reserves'!$W$2:$W$1178,'Registre de reserves'!$T$2:$T$1178,"SI",'Registre de reserves'!$I$2:$I$1178,'2022'!$A101,'Registre de reserves'!$B$2:$B$1178,'2022'!B$2,Tabla1[ANY],'2022'!$Z$76)</f>
        <v>0</v>
      </c>
      <c r="C101" s="21">
        <f t="shared" si="111"/>
        <v>0</v>
      </c>
      <c r="D101" s="23">
        <f>SUMIFS('Registre de reserves'!$W$2:$W$1178,'Registre de reserves'!$T$2:$T$1178,"SI",'Registre de reserves'!$I$2:$I$1178,'2022'!$A101,'Registre de reserves'!$B$2:$B$1178,'2022'!D$2,Tabla1[ANY],'2022'!$Z$76)</f>
        <v>0</v>
      </c>
      <c r="E101" s="21">
        <f t="shared" si="111"/>
        <v>0</v>
      </c>
      <c r="F101" s="23">
        <f>SUMIFS('Registre de reserves'!$W$2:$W$1178,'Registre de reserves'!$T$2:$T$1178,"SI",'Registre de reserves'!$I$2:$I$1178,'2022'!$A101,'Registre de reserves'!$B$2:$B$1178,'2022'!F$2,Tabla1[ANY],'2022'!$Z$76)</f>
        <v>0</v>
      </c>
      <c r="G101" s="21">
        <f t="shared" si="100"/>
        <v>0</v>
      </c>
      <c r="H101" s="23">
        <f>SUMIFS('Registre de reserves'!$W$2:$W$1178,'Registre de reserves'!$T$2:$T$1178,"SI",'Registre de reserves'!$I$2:$I$1178,'2022'!$A101,'Registre de reserves'!$B$2:$B$1178,'2022'!H$2,Tabla1[ANY],'2022'!$Z$76)</f>
        <v>0</v>
      </c>
      <c r="I101" s="21">
        <f t="shared" si="101"/>
        <v>0</v>
      </c>
      <c r="J101" s="23">
        <f>SUMIFS('Registre de reserves'!$W$2:$W$1178,'Registre de reserves'!$T$2:$T$1178,"SI",'Registre de reserves'!$I$2:$I$1178,'2022'!$A101,'Registre de reserves'!$B$2:$B$1178,'2022'!J$2,Tabla1[ANY],'2022'!$Z$76)</f>
        <v>0</v>
      </c>
      <c r="K101" s="21">
        <f t="shared" si="102"/>
        <v>0</v>
      </c>
      <c r="L101" s="23">
        <f>SUMIFS('Registre de reserves'!$W$2:$W$1178,'Registre de reserves'!$T$2:$T$1178,"SI",'Registre de reserves'!$I$2:$I$1178,'2022'!$A101,'Registre de reserves'!$B$2:$B$1178,'2022'!L$2,Tabla1[ANY],'2022'!$Z$76)</f>
        <v>0</v>
      </c>
      <c r="M101" s="21">
        <f t="shared" si="103"/>
        <v>0</v>
      </c>
      <c r="N101" s="23">
        <f>SUMIFS('Registre de reserves'!$W$2:$W$1178,'Registre de reserves'!$T$2:$T$1178,"SI",'Registre de reserves'!$I$2:$I$1178,'2022'!$A101,'Registre de reserves'!$B$2:$B$1178,'2022'!N$2,Tabla1[ANY],'2022'!$Z$76)</f>
        <v>0</v>
      </c>
      <c r="O101" s="21">
        <f t="shared" si="104"/>
        <v>0</v>
      </c>
      <c r="P101" s="23">
        <f>SUMIFS('Registre de reserves'!$W$2:$W$1178,'Registre de reserves'!$T$2:$T$1178,"SI",'Registre de reserves'!$I$2:$I$1178,'2022'!$A101,'Registre de reserves'!$B$2:$B$1178,'2022'!P$2,Tabla1[ANY],'2022'!$Z$76)</f>
        <v>0</v>
      </c>
      <c r="Q101" s="21">
        <f t="shared" si="105"/>
        <v>0</v>
      </c>
      <c r="R101" s="23">
        <f>SUMIFS('Registre de reserves'!$W$2:$W$1178,'Registre de reserves'!$T$2:$T$1178,"SI",'Registre de reserves'!$I$2:$I$1178,'2022'!$A101,'Registre de reserves'!$B$2:$B$1178,'2022'!R$2,Tabla1[ANY],'2022'!$Z$76)</f>
        <v>0</v>
      </c>
      <c r="S101" s="21">
        <f t="shared" si="106"/>
        <v>0</v>
      </c>
      <c r="T101" s="23">
        <f>SUMIFS('Registre de reserves'!$W$2:$W$1178,'Registre de reserves'!$T$2:$T$1178,"SI",'Registre de reserves'!$I$2:$I$1178,'2022'!$A101,'Registre de reserves'!$B$2:$B$1178,'2022'!T$2,Tabla1[ANY],'2022'!$Z$76)</f>
        <v>0</v>
      </c>
      <c r="U101" s="21">
        <f t="shared" si="107"/>
        <v>0</v>
      </c>
      <c r="V101" s="23">
        <f>SUMIFS('Registre de reserves'!$W$2:$W$1178,'Registre de reserves'!$T$2:$T$1178,"SI",'Registre de reserves'!$I$2:$I$1178,'2022'!$A101,'Registre de reserves'!$B$2:$B$1178,'2022'!V$2,Tabla1[ANY],'2022'!$Z$76)</f>
        <v>0</v>
      </c>
      <c r="W101" s="21">
        <f t="shared" si="108"/>
        <v>0</v>
      </c>
      <c r="X101" s="23">
        <f>SUMIFS('Registre de reserves'!$W$2:$W$1178,'Registre de reserves'!$T$2:$T$1178,"SI",'Registre de reserves'!$I$2:$I$1178,'2022'!$A101,'Registre de reserves'!$B$2:$B$1178,'2022'!X$2,Tabla1[ANY],'2022'!$Z$76)</f>
        <v>0</v>
      </c>
      <c r="Y101" s="21">
        <f t="shared" si="109"/>
        <v>0</v>
      </c>
      <c r="Z101" s="20">
        <f t="shared" si="99"/>
        <v>0</v>
      </c>
      <c r="AA101" s="21">
        <f t="shared" si="110"/>
        <v>0</v>
      </c>
    </row>
    <row r="102" spans="1:27" hidden="1" outlineLevel="1" x14ac:dyDescent="0.2">
      <c r="A102" s="8" t="s">
        <v>69</v>
      </c>
      <c r="B102" s="23">
        <f>SUMIFS('Registre de reserves'!$W$2:$W$1178,'Registre de reserves'!$T$2:$T$1178,"SI",'Registre de reserves'!$I$2:$I$1178,'2022'!$A102,'Registre de reserves'!$B$2:$B$1178,'2022'!B$2,Tabla1[ANY],'2022'!$Z$76)</f>
        <v>0</v>
      </c>
      <c r="C102" s="21">
        <f t="shared" si="111"/>
        <v>0</v>
      </c>
      <c r="D102" s="23">
        <f>SUMIFS('Registre de reserves'!$W$2:$W$1178,'Registre de reserves'!$T$2:$T$1178,"SI",'Registre de reserves'!$I$2:$I$1178,'2022'!$A102,'Registre de reserves'!$B$2:$B$1178,'2022'!D$2,Tabla1[ANY],'2022'!$Z$76)</f>
        <v>50</v>
      </c>
      <c r="E102" s="21">
        <f t="shared" si="111"/>
        <v>1</v>
      </c>
      <c r="F102" s="23">
        <f>SUMIFS('Registre de reserves'!$W$2:$W$1178,'Registre de reserves'!$T$2:$T$1178,"SI",'Registre de reserves'!$I$2:$I$1178,'2022'!$A102,'Registre de reserves'!$B$2:$B$1178,'2022'!F$2,Tabla1[ANY],'2022'!$Z$76)</f>
        <v>50</v>
      </c>
      <c r="G102" s="21">
        <f t="shared" si="100"/>
        <v>1</v>
      </c>
      <c r="H102" s="23">
        <f>SUMIFS('Registre de reserves'!$W$2:$W$1178,'Registre de reserves'!$T$2:$T$1178,"SI",'Registre de reserves'!$I$2:$I$1178,'2022'!$A102,'Registre de reserves'!$B$2:$B$1178,'2022'!H$2,Tabla1[ANY],'2022'!$Z$76)</f>
        <v>50</v>
      </c>
      <c r="I102" s="21">
        <f t="shared" si="101"/>
        <v>0.45454545454545453</v>
      </c>
      <c r="J102" s="23">
        <f>SUMIFS('Registre de reserves'!$W$2:$W$1178,'Registre de reserves'!$T$2:$T$1178,"SI",'Registre de reserves'!$I$2:$I$1178,'2022'!$A102,'Registre de reserves'!$B$2:$B$1178,'2022'!J$2,Tabla1[ANY],'2022'!$Z$76)</f>
        <v>50</v>
      </c>
      <c r="K102" s="21">
        <f t="shared" si="102"/>
        <v>0.55555555555555558</v>
      </c>
      <c r="L102" s="23">
        <f>SUMIFS('Registre de reserves'!$W$2:$W$1178,'Registre de reserves'!$T$2:$T$1178,"SI",'Registre de reserves'!$I$2:$I$1178,'2022'!$A102,'Registre de reserves'!$B$2:$B$1178,'2022'!L$2,Tabla1[ANY],'2022'!$Z$76)</f>
        <v>0</v>
      </c>
      <c r="M102" s="21">
        <f t="shared" si="103"/>
        <v>0</v>
      </c>
      <c r="N102" s="23">
        <f>SUMIFS('Registre de reserves'!$W$2:$W$1178,'Registre de reserves'!$T$2:$T$1178,"SI",'Registre de reserves'!$I$2:$I$1178,'2022'!$A102,'Registre de reserves'!$B$2:$B$1178,'2022'!N$2,Tabla1[ANY],'2022'!$Z$76)</f>
        <v>0</v>
      </c>
      <c r="O102" s="21">
        <f t="shared" si="104"/>
        <v>0</v>
      </c>
      <c r="P102" s="23">
        <f>SUMIFS('Registre de reserves'!$W$2:$W$1178,'Registre de reserves'!$T$2:$T$1178,"SI",'Registre de reserves'!$I$2:$I$1178,'2022'!$A102,'Registre de reserves'!$B$2:$B$1178,'2022'!P$2,Tabla1[ANY],'2022'!$Z$76)</f>
        <v>0</v>
      </c>
      <c r="Q102" s="21">
        <f t="shared" si="105"/>
        <v>0</v>
      </c>
      <c r="R102" s="23">
        <f>SUMIFS('Registre de reserves'!$W$2:$W$1178,'Registre de reserves'!$T$2:$T$1178,"SI",'Registre de reserves'!$I$2:$I$1178,'2022'!$A102,'Registre de reserves'!$B$2:$B$1178,'2022'!R$2,Tabla1[ANY],'2022'!$Z$76)</f>
        <v>0</v>
      </c>
      <c r="S102" s="21">
        <f t="shared" si="106"/>
        <v>0</v>
      </c>
      <c r="T102" s="23">
        <f>SUMIFS('Registre de reserves'!$W$2:$W$1178,'Registre de reserves'!$T$2:$T$1178,"SI",'Registre de reserves'!$I$2:$I$1178,'2022'!$A102,'Registre de reserves'!$B$2:$B$1178,'2022'!T$2,Tabla1[ANY],'2022'!$Z$76)</f>
        <v>0</v>
      </c>
      <c r="U102" s="21">
        <f t="shared" si="107"/>
        <v>0</v>
      </c>
      <c r="V102" s="23">
        <f>SUMIFS('Registre de reserves'!$W$2:$W$1178,'Registre de reserves'!$T$2:$T$1178,"SI",'Registre de reserves'!$I$2:$I$1178,'2022'!$A102,'Registre de reserves'!$B$2:$B$1178,'2022'!V$2,Tabla1[ANY],'2022'!$Z$76)</f>
        <v>60</v>
      </c>
      <c r="W102" s="21">
        <f t="shared" si="108"/>
        <v>1</v>
      </c>
      <c r="X102" s="23">
        <f>SUMIFS('Registre de reserves'!$W$2:$W$1178,'Registre de reserves'!$T$2:$T$1178,"SI",'Registre de reserves'!$I$2:$I$1178,'2022'!$A102,'Registre de reserves'!$B$2:$B$1178,'2022'!X$2,Tabla1[ANY],'2022'!$Z$76)</f>
        <v>0</v>
      </c>
      <c r="Y102" s="21">
        <f t="shared" si="109"/>
        <v>0</v>
      </c>
      <c r="Z102" s="20">
        <f t="shared" si="99"/>
        <v>260</v>
      </c>
      <c r="AA102" s="21">
        <f t="shared" si="110"/>
        <v>0.72222222222222221</v>
      </c>
    </row>
    <row r="103" spans="1:27" hidden="1" outlineLevel="1" x14ac:dyDescent="0.2">
      <c r="A103" s="8" t="s">
        <v>70</v>
      </c>
      <c r="B103" s="23">
        <f>SUMIFS('Registre de reserves'!$W$2:$W$1178,'Registre de reserves'!$T$2:$T$1178,"SI",'Registre de reserves'!$I$2:$I$1178,'2022'!$A103,'Registre de reserves'!$B$2:$B$1178,'2022'!B$2,Tabla1[ANY],'2022'!$Z$76)</f>
        <v>0</v>
      </c>
      <c r="C103" s="21">
        <f t="shared" si="111"/>
        <v>0</v>
      </c>
      <c r="D103" s="23">
        <f>SUMIFS('Registre de reserves'!$W$2:$W$1178,'Registre de reserves'!$T$2:$T$1178,"SI",'Registre de reserves'!$I$2:$I$1178,'2022'!$A103,'Registre de reserves'!$B$2:$B$1178,'2022'!D$2,Tabla1[ANY],'2022'!$Z$76)</f>
        <v>0</v>
      </c>
      <c r="E103" s="21">
        <f t="shared" si="111"/>
        <v>0</v>
      </c>
      <c r="F103" s="23">
        <f>SUMIFS('Registre de reserves'!$W$2:$W$1178,'Registre de reserves'!$T$2:$T$1178,"SI",'Registre de reserves'!$I$2:$I$1178,'2022'!$A103,'Registre de reserves'!$B$2:$B$1178,'2022'!F$2,Tabla1[ANY],'2022'!$Z$76)</f>
        <v>0</v>
      </c>
      <c r="G103" s="21">
        <f t="shared" si="100"/>
        <v>0</v>
      </c>
      <c r="H103" s="23">
        <f>SUMIFS('Registre de reserves'!$W$2:$W$1178,'Registre de reserves'!$T$2:$T$1178,"SI",'Registre de reserves'!$I$2:$I$1178,'2022'!$A103,'Registre de reserves'!$B$2:$B$1178,'2022'!H$2,Tabla1[ANY],'2022'!$Z$76)</f>
        <v>0</v>
      </c>
      <c r="I103" s="21">
        <f t="shared" si="101"/>
        <v>0</v>
      </c>
      <c r="J103" s="23">
        <f>SUMIFS('Registre de reserves'!$W$2:$W$1178,'Registre de reserves'!$T$2:$T$1178,"SI",'Registre de reserves'!$I$2:$I$1178,'2022'!$A103,'Registre de reserves'!$B$2:$B$1178,'2022'!J$2,Tabla1[ANY],'2022'!$Z$76)</f>
        <v>0</v>
      </c>
      <c r="K103" s="21">
        <f t="shared" si="102"/>
        <v>0</v>
      </c>
      <c r="L103" s="23">
        <f>SUMIFS('Registre de reserves'!$W$2:$W$1178,'Registre de reserves'!$T$2:$T$1178,"SI",'Registre de reserves'!$I$2:$I$1178,'2022'!$A103,'Registre de reserves'!$B$2:$B$1178,'2022'!L$2,Tabla1[ANY],'2022'!$Z$76)</f>
        <v>0</v>
      </c>
      <c r="M103" s="21">
        <f t="shared" si="103"/>
        <v>0</v>
      </c>
      <c r="N103" s="23">
        <f>SUMIFS('Registre de reserves'!$W$2:$W$1178,'Registre de reserves'!$T$2:$T$1178,"SI",'Registre de reserves'!$I$2:$I$1178,'2022'!$A103,'Registre de reserves'!$B$2:$B$1178,'2022'!N$2,Tabla1[ANY],'2022'!$Z$76)</f>
        <v>0</v>
      </c>
      <c r="O103" s="21">
        <f t="shared" si="104"/>
        <v>0</v>
      </c>
      <c r="P103" s="23">
        <f>SUMIFS('Registre de reserves'!$W$2:$W$1178,'Registre de reserves'!$T$2:$T$1178,"SI",'Registre de reserves'!$I$2:$I$1178,'2022'!$A103,'Registre de reserves'!$B$2:$B$1178,'2022'!P$2,Tabla1[ANY],'2022'!$Z$76)</f>
        <v>0</v>
      </c>
      <c r="Q103" s="21">
        <f t="shared" si="105"/>
        <v>0</v>
      </c>
      <c r="R103" s="23">
        <f>SUMIFS('Registre de reserves'!$W$2:$W$1178,'Registre de reserves'!$T$2:$T$1178,"SI",'Registre de reserves'!$I$2:$I$1178,'2022'!$A103,'Registre de reserves'!$B$2:$B$1178,'2022'!R$2,Tabla1[ANY],'2022'!$Z$76)</f>
        <v>0</v>
      </c>
      <c r="S103" s="21">
        <f t="shared" si="106"/>
        <v>0</v>
      </c>
      <c r="T103" s="23">
        <f>SUMIFS('Registre de reserves'!$W$2:$W$1178,'Registre de reserves'!$T$2:$T$1178,"SI",'Registre de reserves'!$I$2:$I$1178,'2022'!$A103,'Registre de reserves'!$B$2:$B$1178,'2022'!T$2,Tabla1[ANY],'2022'!$Z$76)</f>
        <v>0</v>
      </c>
      <c r="U103" s="21">
        <f t="shared" si="107"/>
        <v>0</v>
      </c>
      <c r="V103" s="23">
        <f>SUMIFS('Registre de reserves'!$W$2:$W$1178,'Registre de reserves'!$T$2:$T$1178,"SI",'Registre de reserves'!$I$2:$I$1178,'2022'!$A103,'Registre de reserves'!$B$2:$B$1178,'2022'!V$2,Tabla1[ANY],'2022'!$Z$76)</f>
        <v>0</v>
      </c>
      <c r="W103" s="21">
        <f t="shared" si="108"/>
        <v>0</v>
      </c>
      <c r="X103" s="23">
        <f>SUMIFS('Registre de reserves'!$W$2:$W$1178,'Registre de reserves'!$T$2:$T$1178,"SI",'Registre de reserves'!$I$2:$I$1178,'2022'!$A103,'Registre de reserves'!$B$2:$B$1178,'2022'!X$2,Tabla1[ANY],'2022'!$Z$76)</f>
        <v>0</v>
      </c>
      <c r="Y103" s="21">
        <f t="shared" si="109"/>
        <v>0</v>
      </c>
      <c r="Z103" s="20">
        <f t="shared" si="99"/>
        <v>0</v>
      </c>
      <c r="AA103" s="21">
        <f t="shared" si="110"/>
        <v>0</v>
      </c>
    </row>
    <row r="104" spans="1:27" hidden="1" outlineLevel="1" x14ac:dyDescent="0.2">
      <c r="A104" s="8" t="s">
        <v>73</v>
      </c>
      <c r="B104" s="23">
        <f>SUMIFS('Registre de reserves'!$W$2:$W$1178,'Registre de reserves'!$T$2:$T$1178,"SI",'Registre de reserves'!$I$2:$I$1178,'2022'!$A104,'Registre de reserves'!$B$2:$B$1178,'2022'!B$2,Tabla1[ANY],'2022'!$Z$76)</f>
        <v>0</v>
      </c>
      <c r="C104" s="21">
        <f t="shared" si="111"/>
        <v>0</v>
      </c>
      <c r="D104" s="23">
        <f>SUMIFS('Registre de reserves'!$W$2:$W$1178,'Registre de reserves'!$T$2:$T$1178,"SI",'Registre de reserves'!$I$2:$I$1178,'2022'!$A104,'Registre de reserves'!$B$2:$B$1178,'2022'!D$2,Tabla1[ANY],'2022'!$Z$76)</f>
        <v>0</v>
      </c>
      <c r="E104" s="21">
        <f t="shared" si="111"/>
        <v>0</v>
      </c>
      <c r="F104" s="23">
        <f>SUMIFS('Registre de reserves'!$W$2:$W$1178,'Registre de reserves'!$T$2:$T$1178,"SI",'Registre de reserves'!$I$2:$I$1178,'2022'!$A104,'Registre de reserves'!$B$2:$B$1178,'2022'!F$2,Tabla1[ANY],'2022'!$Z$76)</f>
        <v>0</v>
      </c>
      <c r="G104" s="21">
        <f t="shared" si="100"/>
        <v>0</v>
      </c>
      <c r="H104" s="23">
        <f>SUMIFS('Registre de reserves'!$W$2:$W$1178,'Registre de reserves'!$T$2:$T$1178,"SI",'Registre de reserves'!$I$2:$I$1178,'2022'!$A104,'Registre de reserves'!$B$2:$B$1178,'2022'!H$2,Tabla1[ANY],'2022'!$Z$76)</f>
        <v>0</v>
      </c>
      <c r="I104" s="21">
        <f t="shared" si="101"/>
        <v>0</v>
      </c>
      <c r="J104" s="23">
        <f>SUMIFS('Registre de reserves'!$W$2:$W$1178,'Registre de reserves'!$T$2:$T$1178,"SI",'Registre de reserves'!$I$2:$I$1178,'2022'!$A104,'Registre de reserves'!$B$2:$B$1178,'2022'!J$2,Tabla1[ANY],'2022'!$Z$76)</f>
        <v>0</v>
      </c>
      <c r="K104" s="21">
        <f t="shared" si="102"/>
        <v>0</v>
      </c>
      <c r="L104" s="23">
        <f>SUMIFS('Registre de reserves'!$W$2:$W$1178,'Registre de reserves'!$T$2:$T$1178,"SI",'Registre de reserves'!$I$2:$I$1178,'2022'!$A104,'Registre de reserves'!$B$2:$B$1178,'2022'!L$2,Tabla1[ANY],'2022'!$Z$76)</f>
        <v>0</v>
      </c>
      <c r="M104" s="21">
        <f t="shared" si="103"/>
        <v>0</v>
      </c>
      <c r="N104" s="23">
        <f>SUMIFS('Registre de reserves'!$W$2:$W$1178,'Registre de reserves'!$T$2:$T$1178,"SI",'Registre de reserves'!$I$2:$I$1178,'2022'!$A104,'Registre de reserves'!$B$2:$B$1178,'2022'!N$2,Tabla1[ANY],'2022'!$Z$76)</f>
        <v>0</v>
      </c>
      <c r="O104" s="21">
        <f t="shared" si="104"/>
        <v>0</v>
      </c>
      <c r="P104" s="23">
        <f>SUMIFS('Registre de reserves'!$W$2:$W$1178,'Registre de reserves'!$T$2:$T$1178,"SI",'Registre de reserves'!$I$2:$I$1178,'2022'!$A104,'Registre de reserves'!$B$2:$B$1178,'2022'!P$2,Tabla1[ANY],'2022'!$Z$76)</f>
        <v>0</v>
      </c>
      <c r="Q104" s="21">
        <f t="shared" si="105"/>
        <v>0</v>
      </c>
      <c r="R104" s="23">
        <f>SUMIFS('Registre de reserves'!$W$2:$W$1178,'Registre de reserves'!$T$2:$T$1178,"SI",'Registre de reserves'!$I$2:$I$1178,'2022'!$A104,'Registre de reserves'!$B$2:$B$1178,'2022'!R$2,Tabla1[ANY],'2022'!$Z$76)</f>
        <v>0</v>
      </c>
      <c r="S104" s="21">
        <f t="shared" si="106"/>
        <v>0</v>
      </c>
      <c r="T104" s="23">
        <f>SUMIFS('Registre de reserves'!$W$2:$W$1178,'Registre de reserves'!$T$2:$T$1178,"SI",'Registre de reserves'!$I$2:$I$1178,'2022'!$A104,'Registre de reserves'!$B$2:$B$1178,'2022'!T$2,Tabla1[ANY],'2022'!$Z$76)</f>
        <v>0</v>
      </c>
      <c r="U104" s="21">
        <f t="shared" si="107"/>
        <v>0</v>
      </c>
      <c r="V104" s="23">
        <f>SUMIFS('Registre de reserves'!$W$2:$W$1178,'Registre de reserves'!$T$2:$T$1178,"SI",'Registre de reserves'!$I$2:$I$1178,'2022'!$A104,'Registre de reserves'!$B$2:$B$1178,'2022'!V$2,Tabla1[ANY],'2022'!$Z$76)</f>
        <v>0</v>
      </c>
      <c r="W104" s="21">
        <f t="shared" si="108"/>
        <v>0</v>
      </c>
      <c r="X104" s="23">
        <f>SUMIFS('Registre de reserves'!$W$2:$W$1178,'Registre de reserves'!$T$2:$T$1178,"SI",'Registre de reserves'!$I$2:$I$1178,'2022'!$A104,'Registre de reserves'!$B$2:$B$1178,'2022'!X$2,Tabla1[ANY],'2022'!$Z$76)</f>
        <v>0</v>
      </c>
      <c r="Y104" s="21">
        <f t="shared" si="109"/>
        <v>0</v>
      </c>
      <c r="Z104" s="20">
        <f t="shared" si="99"/>
        <v>0</v>
      </c>
      <c r="AA104" s="21">
        <f t="shared" si="110"/>
        <v>0</v>
      </c>
    </row>
    <row r="105" spans="1:27" collapsed="1" x14ac:dyDescent="0.2">
      <c r="A105" s="33" t="s">
        <v>77</v>
      </c>
      <c r="B105" s="22">
        <f>SUM(B106:B113)</f>
        <v>0</v>
      </c>
      <c r="C105" s="19">
        <f>IF((B$87+B$105)=0,0,B105/(B$87+B$105))</f>
        <v>0</v>
      </c>
      <c r="D105" s="22">
        <f>SUM(D106:D113)</f>
        <v>0</v>
      </c>
      <c r="E105" s="19">
        <f>IF((D$87+D$105)=0,0,D105/(D$87+D$105))</f>
        <v>0</v>
      </c>
      <c r="F105" s="22">
        <f>SUM(F106:F113)</f>
        <v>0</v>
      </c>
      <c r="G105" s="19">
        <f>IF((F$87+F$105)=0,0,F105/(F$87+F$105))</f>
        <v>0</v>
      </c>
      <c r="H105" s="22">
        <f>SUM(H106:H113)</f>
        <v>0</v>
      </c>
      <c r="I105" s="19">
        <f>IF((H$87+H$105)=0,0,H105/(H$87+H$105))</f>
        <v>0</v>
      </c>
      <c r="J105" s="22">
        <f>SUM(J106:J113)</f>
        <v>0</v>
      </c>
      <c r="K105" s="19">
        <f>IF((J$87+J$105)=0,0,J105/(J$87+J$105))</f>
        <v>0</v>
      </c>
      <c r="L105" s="22">
        <f>SUM(L106:L113)</f>
        <v>0</v>
      </c>
      <c r="M105" s="19">
        <f>IF((L$87+L$105)=0,0,L105/(L$87+L$105))</f>
        <v>0</v>
      </c>
      <c r="N105" s="22">
        <f>SUM(N106:N113)</f>
        <v>0</v>
      </c>
      <c r="O105" s="19">
        <f>IF((N$87+N$105)=0,0,N105/(N$87+N$105))</f>
        <v>0</v>
      </c>
      <c r="P105" s="22">
        <f>SUM(P106:P113)</f>
        <v>0</v>
      </c>
      <c r="Q105" s="19">
        <f>IF((P$87+P$105)=0,0,P105/(P$87+P$105))</f>
        <v>0</v>
      </c>
      <c r="R105" s="22">
        <f>SUM(R106:R113)</f>
        <v>0</v>
      </c>
      <c r="S105" s="19">
        <f>IF((R$87+R$105)=0,0,R105/(R$87+R$105))</f>
        <v>0</v>
      </c>
      <c r="T105" s="22">
        <f>SUM(T106:T113)</f>
        <v>0</v>
      </c>
      <c r="U105" s="19">
        <f>IF((T$87+T$105)=0,0,T105/(T$87+T$105))</f>
        <v>0</v>
      </c>
      <c r="V105" s="22">
        <f>SUM(V106:V113)</f>
        <v>0</v>
      </c>
      <c r="W105" s="19">
        <f>IF((V$87+V$105)=0,0,V105/(V$87+V$105))</f>
        <v>0</v>
      </c>
      <c r="X105" s="22">
        <f>SUM(X106:X113)</f>
        <v>0</v>
      </c>
      <c r="Y105" s="19">
        <f>IF((X$87+X$105)=0,0,X105/(X$87+X$105))</f>
        <v>0</v>
      </c>
      <c r="Z105" s="22">
        <f>SUM(Z106:Z113)</f>
        <v>0</v>
      </c>
      <c r="AA105" s="19">
        <f>IF((Z$87+Z$105)=0,0,Z105/(Z$87+Z$105))</f>
        <v>0</v>
      </c>
    </row>
    <row r="106" spans="1:27" hidden="1" outlineLevel="1" x14ac:dyDescent="0.2">
      <c r="A106" s="8" t="s">
        <v>67</v>
      </c>
      <c r="B106" s="23">
        <f>SUMIFS('Registre de reserves'!$W$2:$W$1178,'Registre de reserves'!$T$2:$T$1178,"NO",'Registre de reserves'!$I$2:$I$1178,'2022'!$A106,'Registre de reserves'!$B$2:$B$1178,'2022'!B$2,Tabla1[ANY],'2022'!$Z$76)</f>
        <v>0</v>
      </c>
      <c r="C106" s="21">
        <f>IF(B$105=0,0,B106/B$105)</f>
        <v>0</v>
      </c>
      <c r="D106" s="23">
        <f>SUMIFS('Registre de reserves'!$W$2:$W$1178,'Registre de reserves'!$T$2:$T$1178,"NO",'Registre de reserves'!$I$2:$I$1178,'2022'!$A106,'Registre de reserves'!$B$2:$B$1178,'2022'!D$2,Tabla1[ANY],'2022'!$Z$76)</f>
        <v>0</v>
      </c>
      <c r="E106" s="21">
        <f>IF(D$105=0,0,D106/D$105)</f>
        <v>0</v>
      </c>
      <c r="F106" s="23">
        <f>SUMIFS('Registre de reserves'!$W$2:$W$1178,'Registre de reserves'!$T$2:$T$1178,"NO",'Registre de reserves'!$I$2:$I$1178,'2022'!$A106,'Registre de reserves'!$B$2:$B$1178,'2022'!F$2,Tabla1[ANY],'2022'!$Z$76)</f>
        <v>0</v>
      </c>
      <c r="G106" s="21">
        <f t="shared" ref="G106:G113" si="112">IF(F$105=0,0,F106/F$105)</f>
        <v>0</v>
      </c>
      <c r="H106" s="23">
        <f>SUMIFS('Registre de reserves'!$W$2:$W$1178,'Registre de reserves'!$T$2:$T$1178,"NO",'Registre de reserves'!$I$2:$I$1178,'2022'!$A106,'Registre de reserves'!$B$2:$B$1178,'2022'!H$2,Tabla1[ANY],'2022'!$Z$76)</f>
        <v>0</v>
      </c>
      <c r="I106" s="21">
        <f t="shared" ref="I106:I113" si="113">IF(H$105=0,0,H106/H$105)</f>
        <v>0</v>
      </c>
      <c r="J106" s="23">
        <f>SUMIFS('Registre de reserves'!$W$2:$W$1178,'Registre de reserves'!$T$2:$T$1178,"NO",'Registre de reserves'!$I$2:$I$1178,'2022'!$A106,'Registre de reserves'!$B$2:$B$1178,'2022'!J$2,Tabla1[ANY],'2022'!$Z$76)</f>
        <v>0</v>
      </c>
      <c r="K106" s="21">
        <f t="shared" ref="K106:K113" si="114">IF(J$105=0,0,J106/J$105)</f>
        <v>0</v>
      </c>
      <c r="L106" s="23">
        <f>SUMIFS('Registre de reserves'!$W$2:$W$1178,'Registre de reserves'!$T$2:$T$1178,"NO",'Registre de reserves'!$I$2:$I$1178,'2022'!$A106,'Registre de reserves'!$B$2:$B$1178,'2022'!L$2,Tabla1[ANY],'2022'!$Z$76)</f>
        <v>0</v>
      </c>
      <c r="M106" s="21">
        <f t="shared" ref="M106:M113" si="115">IF(L$105=0,0,L106/L$105)</f>
        <v>0</v>
      </c>
      <c r="N106" s="23">
        <f>SUMIFS('Registre de reserves'!$W$2:$W$1178,'Registre de reserves'!$T$2:$T$1178,"NO",'Registre de reserves'!$I$2:$I$1178,'2022'!$A106,'Registre de reserves'!$B$2:$B$1178,'2022'!N$2,Tabla1[ANY],'2022'!$Z$76)</f>
        <v>0</v>
      </c>
      <c r="O106" s="21">
        <f t="shared" ref="O106:O113" si="116">IF(N$105=0,0,N106/N$105)</f>
        <v>0</v>
      </c>
      <c r="P106" s="23">
        <f>SUMIFS('Registre de reserves'!$W$2:$W$1178,'Registre de reserves'!$T$2:$T$1178,"NO",'Registre de reserves'!$I$2:$I$1178,'2022'!$A106,'Registre de reserves'!$B$2:$B$1178,'2022'!P$2,Tabla1[ANY],'2022'!$Z$76)</f>
        <v>0</v>
      </c>
      <c r="Q106" s="21">
        <f t="shared" ref="Q106:Q113" si="117">IF(P$105=0,0,P106/P$105)</f>
        <v>0</v>
      </c>
      <c r="R106" s="23">
        <f>SUMIFS('Registre de reserves'!$W$2:$W$1178,'Registre de reserves'!$T$2:$T$1178,"NO",'Registre de reserves'!$I$2:$I$1178,'2022'!$A106,'Registre de reserves'!$B$2:$B$1178,'2022'!R$2,Tabla1[ANY],'2022'!$Z$76)</f>
        <v>0</v>
      </c>
      <c r="S106" s="21">
        <f t="shared" ref="S106:S113" si="118">IF(R$105=0,0,R106/R$105)</f>
        <v>0</v>
      </c>
      <c r="T106" s="23">
        <f>SUMIFS('Registre de reserves'!$W$2:$W$1178,'Registre de reserves'!$T$2:$T$1178,"NO",'Registre de reserves'!$I$2:$I$1178,'2022'!$A106,'Registre de reserves'!$B$2:$B$1178,'2022'!T$2,Tabla1[ANY],'2022'!$Z$76)</f>
        <v>0</v>
      </c>
      <c r="U106" s="21">
        <f t="shared" ref="U106:U113" si="119">IF(T$105=0,0,T106/T$105)</f>
        <v>0</v>
      </c>
      <c r="V106" s="23">
        <f>SUMIFS('Registre de reserves'!$W$2:$W$1178,'Registre de reserves'!$T$2:$T$1178,"NO",'Registre de reserves'!$I$2:$I$1178,'2022'!$A106,'Registre de reserves'!$B$2:$B$1178,'2022'!V$2,Tabla1[ANY],'2022'!$Z$76)</f>
        <v>0</v>
      </c>
      <c r="W106" s="21">
        <f t="shared" ref="W106:W113" si="120">IF(V$105=0,0,V106/V$105)</f>
        <v>0</v>
      </c>
      <c r="X106" s="23">
        <f>SUMIFS('Registre de reserves'!$W$2:$W$1178,'Registre de reserves'!$T$2:$T$1178,"NO",'Registre de reserves'!$I$2:$I$1178,'2022'!$A106,'Registre de reserves'!$B$2:$B$1178,'2022'!X$2,Tabla1[ANY],'2022'!$Z$76)</f>
        <v>0</v>
      </c>
      <c r="Y106" s="21">
        <f t="shared" ref="Y106:Y113" si="121">IF(X$105=0,0,X106/X$105)</f>
        <v>0</v>
      </c>
      <c r="Z106" s="20">
        <f t="shared" si="99"/>
        <v>0</v>
      </c>
      <c r="AA106" s="21">
        <f>IF(Z$105=0,0,Z106/Z$105)</f>
        <v>0</v>
      </c>
    </row>
    <row r="107" spans="1:27" hidden="1" outlineLevel="1" x14ac:dyDescent="0.2">
      <c r="A107" s="8" t="s">
        <v>68</v>
      </c>
      <c r="B107" s="23">
        <f>SUMIFS('Registre de reserves'!$W$2:$W$1178,'Registre de reserves'!$T$2:$T$1178,"NO",'Registre de reserves'!$I$2:$I$1178,'2022'!$A107,'Registre de reserves'!$B$2:$B$1178,'2022'!B$2,Tabla1[ANY],'2022'!$Z$76)</f>
        <v>0</v>
      </c>
      <c r="C107" s="21">
        <f t="shared" ref="C107:E113" si="122">IF(B$105=0,0,B107/B$105)</f>
        <v>0</v>
      </c>
      <c r="D107" s="23">
        <f>SUMIFS('Registre de reserves'!$W$2:$W$1178,'Registre de reserves'!$T$2:$T$1178,"NO",'Registre de reserves'!$I$2:$I$1178,'2022'!$A107,'Registre de reserves'!$B$2:$B$1178,'2022'!D$2,Tabla1[ANY],'2022'!$Z$76)</f>
        <v>0</v>
      </c>
      <c r="E107" s="21">
        <f>IF(D$105=0,0,D107/D$105)</f>
        <v>0</v>
      </c>
      <c r="F107" s="23">
        <f>SUMIFS('Registre de reserves'!$W$2:$W$1178,'Registre de reserves'!$T$2:$T$1178,"NO",'Registre de reserves'!$I$2:$I$1178,'2022'!$A107,'Registre de reserves'!$B$2:$B$1178,'2022'!F$2,Tabla1[ANY],'2022'!$Z$76)</f>
        <v>0</v>
      </c>
      <c r="G107" s="21">
        <f t="shared" si="112"/>
        <v>0</v>
      </c>
      <c r="H107" s="23">
        <f>SUMIFS('Registre de reserves'!$W$2:$W$1178,'Registre de reserves'!$T$2:$T$1178,"NO",'Registre de reserves'!$I$2:$I$1178,'2022'!$A107,'Registre de reserves'!$B$2:$B$1178,'2022'!H$2,Tabla1[ANY],'2022'!$Z$76)</f>
        <v>0</v>
      </c>
      <c r="I107" s="21">
        <f t="shared" si="113"/>
        <v>0</v>
      </c>
      <c r="J107" s="23">
        <f>SUMIFS('Registre de reserves'!$W$2:$W$1178,'Registre de reserves'!$T$2:$T$1178,"NO",'Registre de reserves'!$I$2:$I$1178,'2022'!$A107,'Registre de reserves'!$B$2:$B$1178,'2022'!J$2,Tabla1[ANY],'2022'!$Z$76)</f>
        <v>0</v>
      </c>
      <c r="K107" s="21">
        <f t="shared" si="114"/>
        <v>0</v>
      </c>
      <c r="L107" s="23">
        <f>SUMIFS('Registre de reserves'!$W$2:$W$1178,'Registre de reserves'!$T$2:$T$1178,"NO",'Registre de reserves'!$I$2:$I$1178,'2022'!$A107,'Registre de reserves'!$B$2:$B$1178,'2022'!L$2,Tabla1[ANY],'2022'!$Z$76)</f>
        <v>0</v>
      </c>
      <c r="M107" s="21">
        <f t="shared" si="115"/>
        <v>0</v>
      </c>
      <c r="N107" s="23">
        <f>SUMIFS('Registre de reserves'!$W$2:$W$1178,'Registre de reserves'!$T$2:$T$1178,"NO",'Registre de reserves'!$I$2:$I$1178,'2022'!$A107,'Registre de reserves'!$B$2:$B$1178,'2022'!N$2,Tabla1[ANY],'2022'!$Z$76)</f>
        <v>0</v>
      </c>
      <c r="O107" s="21">
        <f t="shared" si="116"/>
        <v>0</v>
      </c>
      <c r="P107" s="23">
        <f>SUMIFS('Registre de reserves'!$W$2:$W$1178,'Registre de reserves'!$T$2:$T$1178,"NO",'Registre de reserves'!$I$2:$I$1178,'2022'!$A107,'Registre de reserves'!$B$2:$B$1178,'2022'!P$2,Tabla1[ANY],'2022'!$Z$76)</f>
        <v>0</v>
      </c>
      <c r="Q107" s="21">
        <f t="shared" si="117"/>
        <v>0</v>
      </c>
      <c r="R107" s="23">
        <f>SUMIFS('Registre de reserves'!$W$2:$W$1178,'Registre de reserves'!$T$2:$T$1178,"NO",'Registre de reserves'!$I$2:$I$1178,'2022'!$A107,'Registre de reserves'!$B$2:$B$1178,'2022'!R$2,Tabla1[ANY],'2022'!$Z$76)</f>
        <v>0</v>
      </c>
      <c r="S107" s="21">
        <f t="shared" si="118"/>
        <v>0</v>
      </c>
      <c r="T107" s="23">
        <f>SUMIFS('Registre de reserves'!$W$2:$W$1178,'Registre de reserves'!$T$2:$T$1178,"NO",'Registre de reserves'!$I$2:$I$1178,'2022'!$A107,'Registre de reserves'!$B$2:$B$1178,'2022'!T$2,Tabla1[ANY],'2022'!$Z$76)</f>
        <v>0</v>
      </c>
      <c r="U107" s="21">
        <f t="shared" si="119"/>
        <v>0</v>
      </c>
      <c r="V107" s="23">
        <f>SUMIFS('Registre de reserves'!$W$2:$W$1178,'Registre de reserves'!$T$2:$T$1178,"NO",'Registre de reserves'!$I$2:$I$1178,'2022'!$A107,'Registre de reserves'!$B$2:$B$1178,'2022'!V$2,Tabla1[ANY],'2022'!$Z$76)</f>
        <v>0</v>
      </c>
      <c r="W107" s="21">
        <f t="shared" si="120"/>
        <v>0</v>
      </c>
      <c r="X107" s="23">
        <f>SUMIFS('Registre de reserves'!$W$2:$W$1178,'Registre de reserves'!$T$2:$T$1178,"NO",'Registre de reserves'!$I$2:$I$1178,'2022'!$A107,'Registre de reserves'!$B$2:$B$1178,'2022'!X$2,Tabla1[ANY],'2022'!$Z$76)</f>
        <v>0</v>
      </c>
      <c r="Y107" s="21">
        <f t="shared" si="121"/>
        <v>0</v>
      </c>
      <c r="Z107" s="20">
        <f t="shared" si="99"/>
        <v>0</v>
      </c>
      <c r="AA107" s="21">
        <f>IF(Z$105=0,0,Z107/Z$105)</f>
        <v>0</v>
      </c>
    </row>
    <row r="108" spans="1:27" hidden="1" outlineLevel="1" x14ac:dyDescent="0.2">
      <c r="A108" s="8" t="s">
        <v>4</v>
      </c>
      <c r="B108" s="23">
        <f>SUMIFS('Registre de reserves'!$W$2:$W$1178,'Registre de reserves'!$T$2:$T$1178,"NO",'Registre de reserves'!$I$2:$I$1178,'2022'!$A108,'Registre de reserves'!$B$2:$B$1178,'2022'!B$2,Tabla1[ANY],'2022'!$Z$76)</f>
        <v>0</v>
      </c>
      <c r="C108" s="21">
        <f t="shared" si="122"/>
        <v>0</v>
      </c>
      <c r="D108" s="23">
        <f>SUMIFS('Registre de reserves'!$W$2:$W$1178,'Registre de reserves'!$T$2:$T$1178,"NO",'Registre de reserves'!$I$2:$I$1178,'2022'!$A108,'Registre de reserves'!$B$2:$B$1178,'2022'!D$2,Tabla1[ANY],'2022'!$Z$76)</f>
        <v>0</v>
      </c>
      <c r="E108" s="21">
        <f t="shared" si="122"/>
        <v>0</v>
      </c>
      <c r="F108" s="23">
        <f>SUMIFS('Registre de reserves'!$W$2:$W$1178,'Registre de reserves'!$T$2:$T$1178,"NO",'Registre de reserves'!$I$2:$I$1178,'2022'!$A108,'Registre de reserves'!$B$2:$B$1178,'2022'!F$2,Tabla1[ANY],'2022'!$Z$76)</f>
        <v>0</v>
      </c>
      <c r="G108" s="21">
        <f t="shared" si="112"/>
        <v>0</v>
      </c>
      <c r="H108" s="23">
        <f>SUMIFS('Registre de reserves'!$W$2:$W$1178,'Registre de reserves'!$T$2:$T$1178,"NO",'Registre de reserves'!$I$2:$I$1178,'2022'!$A108,'Registre de reserves'!$B$2:$B$1178,'2022'!H$2,Tabla1[ANY],'2022'!$Z$76)</f>
        <v>0</v>
      </c>
      <c r="I108" s="21">
        <f t="shared" si="113"/>
        <v>0</v>
      </c>
      <c r="J108" s="23">
        <f>SUMIFS('Registre de reserves'!$W$2:$W$1178,'Registre de reserves'!$T$2:$T$1178,"NO",'Registre de reserves'!$I$2:$I$1178,'2022'!$A108,'Registre de reserves'!$B$2:$B$1178,'2022'!J$2,Tabla1[ANY],'2022'!$Z$76)</f>
        <v>0</v>
      </c>
      <c r="K108" s="21">
        <f t="shared" si="114"/>
        <v>0</v>
      </c>
      <c r="L108" s="23">
        <f>SUMIFS('Registre de reserves'!$W$2:$W$1178,'Registre de reserves'!$T$2:$T$1178,"NO",'Registre de reserves'!$I$2:$I$1178,'2022'!$A108,'Registre de reserves'!$B$2:$B$1178,'2022'!L$2,Tabla1[ANY],'2022'!$Z$76)</f>
        <v>0</v>
      </c>
      <c r="M108" s="21">
        <f t="shared" si="115"/>
        <v>0</v>
      </c>
      <c r="N108" s="23">
        <f>SUMIFS('Registre de reserves'!$W$2:$W$1178,'Registre de reserves'!$T$2:$T$1178,"NO",'Registre de reserves'!$I$2:$I$1178,'2022'!$A108,'Registre de reserves'!$B$2:$B$1178,'2022'!N$2,Tabla1[ANY],'2022'!$Z$76)</f>
        <v>0</v>
      </c>
      <c r="O108" s="21">
        <f t="shared" si="116"/>
        <v>0</v>
      </c>
      <c r="P108" s="23">
        <f>SUMIFS('Registre de reserves'!$W$2:$W$1178,'Registre de reserves'!$T$2:$T$1178,"NO",'Registre de reserves'!$I$2:$I$1178,'2022'!$A108,'Registre de reserves'!$B$2:$B$1178,'2022'!P$2,Tabla1[ANY],'2022'!$Z$76)</f>
        <v>0</v>
      </c>
      <c r="Q108" s="21">
        <f t="shared" si="117"/>
        <v>0</v>
      </c>
      <c r="R108" s="23">
        <f>SUMIFS('Registre de reserves'!$W$2:$W$1178,'Registre de reserves'!$T$2:$T$1178,"NO",'Registre de reserves'!$I$2:$I$1178,'2022'!$A108,'Registre de reserves'!$B$2:$B$1178,'2022'!R$2,Tabla1[ANY],'2022'!$Z$76)</f>
        <v>0</v>
      </c>
      <c r="S108" s="21">
        <f t="shared" si="118"/>
        <v>0</v>
      </c>
      <c r="T108" s="23">
        <f>SUMIFS('Registre de reserves'!$W$2:$W$1178,'Registre de reserves'!$T$2:$T$1178,"NO",'Registre de reserves'!$I$2:$I$1178,'2022'!$A108,'Registre de reserves'!$B$2:$B$1178,'2022'!T$2,Tabla1[ANY],'2022'!$Z$76)</f>
        <v>0</v>
      </c>
      <c r="U108" s="21">
        <f t="shared" si="119"/>
        <v>0</v>
      </c>
      <c r="V108" s="23">
        <f>SUMIFS('Registre de reserves'!$W$2:$W$1178,'Registre de reserves'!$T$2:$T$1178,"NO",'Registre de reserves'!$I$2:$I$1178,'2022'!$A108,'Registre de reserves'!$B$2:$B$1178,'2022'!V$2,Tabla1[ANY],'2022'!$Z$76)</f>
        <v>0</v>
      </c>
      <c r="W108" s="21">
        <f t="shared" si="120"/>
        <v>0</v>
      </c>
      <c r="X108" s="23">
        <f>SUMIFS('Registre de reserves'!$W$2:$W$1178,'Registre de reserves'!$T$2:$T$1178,"NO",'Registre de reserves'!$I$2:$I$1178,'2022'!$A108,'Registre de reserves'!$B$2:$B$1178,'2022'!X$2,Tabla1[ANY],'2022'!$Z$76)</f>
        <v>0</v>
      </c>
      <c r="Y108" s="21">
        <f t="shared" si="121"/>
        <v>0</v>
      </c>
      <c r="Z108" s="20">
        <f t="shared" si="99"/>
        <v>0</v>
      </c>
      <c r="AA108" s="21">
        <f t="shared" ref="AA108:AA113" si="123">IF(Z$105=0,0,Z108/Z$105)</f>
        <v>0</v>
      </c>
    </row>
    <row r="109" spans="1:27" hidden="1" outlineLevel="1" x14ac:dyDescent="0.2">
      <c r="A109" s="8" t="s">
        <v>71</v>
      </c>
      <c r="B109" s="23">
        <f>SUMIFS('Registre de reserves'!$W$2:$W$1178,'Registre de reserves'!$T$2:$T$1178,"NO",'Registre de reserves'!$I$2:$I$1178,'2022'!$A109,'Registre de reserves'!$B$2:$B$1178,'2022'!B$2,Tabla1[ANY],'2022'!$Z$76)</f>
        <v>0</v>
      </c>
      <c r="C109" s="21">
        <f t="shared" si="122"/>
        <v>0</v>
      </c>
      <c r="D109" s="23">
        <f>SUMIFS('Registre de reserves'!$W$2:$W$1178,'Registre de reserves'!$T$2:$T$1178,"NO",'Registre de reserves'!$I$2:$I$1178,'2022'!$A109,'Registre de reserves'!$B$2:$B$1178,'2022'!D$2,Tabla1[ANY],'2022'!$Z$76)</f>
        <v>0</v>
      </c>
      <c r="E109" s="21">
        <f t="shared" si="122"/>
        <v>0</v>
      </c>
      <c r="F109" s="23">
        <f>SUMIFS('Registre de reserves'!$W$2:$W$1178,'Registre de reserves'!$T$2:$T$1178,"NO",'Registre de reserves'!$I$2:$I$1178,'2022'!$A109,'Registre de reserves'!$B$2:$B$1178,'2022'!F$2,Tabla1[ANY],'2022'!$Z$76)</f>
        <v>0</v>
      </c>
      <c r="G109" s="21">
        <f t="shared" si="112"/>
        <v>0</v>
      </c>
      <c r="H109" s="23">
        <f>SUMIFS('Registre de reserves'!$W$2:$W$1178,'Registre de reserves'!$T$2:$T$1178,"NO",'Registre de reserves'!$I$2:$I$1178,'2022'!$A109,'Registre de reserves'!$B$2:$B$1178,'2022'!H$2,Tabla1[ANY],'2022'!$Z$76)</f>
        <v>0</v>
      </c>
      <c r="I109" s="21">
        <f t="shared" si="113"/>
        <v>0</v>
      </c>
      <c r="J109" s="23">
        <f>SUMIFS('Registre de reserves'!$W$2:$W$1178,'Registre de reserves'!$T$2:$T$1178,"NO",'Registre de reserves'!$I$2:$I$1178,'2022'!$A109,'Registre de reserves'!$B$2:$B$1178,'2022'!J$2,Tabla1[ANY],'2022'!$Z$76)</f>
        <v>0</v>
      </c>
      <c r="K109" s="21">
        <f t="shared" si="114"/>
        <v>0</v>
      </c>
      <c r="L109" s="23">
        <f>SUMIFS('Registre de reserves'!$W$2:$W$1178,'Registre de reserves'!$T$2:$T$1178,"NO",'Registre de reserves'!$I$2:$I$1178,'2022'!$A109,'Registre de reserves'!$B$2:$B$1178,'2022'!L$2,Tabla1[ANY],'2022'!$Z$76)</f>
        <v>0</v>
      </c>
      <c r="M109" s="21">
        <f t="shared" si="115"/>
        <v>0</v>
      </c>
      <c r="N109" s="23">
        <f>SUMIFS('Registre de reserves'!$W$2:$W$1178,'Registre de reserves'!$T$2:$T$1178,"NO",'Registre de reserves'!$I$2:$I$1178,'2022'!$A109,'Registre de reserves'!$B$2:$B$1178,'2022'!N$2,Tabla1[ANY],'2022'!$Z$76)</f>
        <v>0</v>
      </c>
      <c r="O109" s="21">
        <f t="shared" si="116"/>
        <v>0</v>
      </c>
      <c r="P109" s="23">
        <f>SUMIFS('Registre de reserves'!$W$2:$W$1178,'Registre de reserves'!$T$2:$T$1178,"NO",'Registre de reserves'!$I$2:$I$1178,'2022'!$A109,'Registre de reserves'!$B$2:$B$1178,'2022'!P$2,Tabla1[ANY],'2022'!$Z$76)</f>
        <v>0</v>
      </c>
      <c r="Q109" s="21">
        <f t="shared" si="117"/>
        <v>0</v>
      </c>
      <c r="R109" s="23">
        <f>SUMIFS('Registre de reserves'!$W$2:$W$1178,'Registre de reserves'!$T$2:$T$1178,"NO",'Registre de reserves'!$I$2:$I$1178,'2022'!$A109,'Registre de reserves'!$B$2:$B$1178,'2022'!R$2,Tabla1[ANY],'2022'!$Z$76)</f>
        <v>0</v>
      </c>
      <c r="S109" s="21">
        <f t="shared" si="118"/>
        <v>0</v>
      </c>
      <c r="T109" s="23">
        <f>SUMIFS('Registre de reserves'!$W$2:$W$1178,'Registre de reserves'!$T$2:$T$1178,"NO",'Registre de reserves'!$I$2:$I$1178,'2022'!$A109,'Registre de reserves'!$B$2:$B$1178,'2022'!T$2,Tabla1[ANY],'2022'!$Z$76)</f>
        <v>0</v>
      </c>
      <c r="U109" s="21">
        <f t="shared" si="119"/>
        <v>0</v>
      </c>
      <c r="V109" s="23">
        <f>SUMIFS('Registre de reserves'!$W$2:$W$1178,'Registre de reserves'!$T$2:$T$1178,"NO",'Registre de reserves'!$I$2:$I$1178,'2022'!$A109,'Registre de reserves'!$B$2:$B$1178,'2022'!V$2,Tabla1[ANY],'2022'!$Z$76)</f>
        <v>0</v>
      </c>
      <c r="W109" s="21">
        <f t="shared" si="120"/>
        <v>0</v>
      </c>
      <c r="X109" s="23">
        <f>SUMIFS('Registre de reserves'!$W$2:$W$1178,'Registre de reserves'!$T$2:$T$1178,"NO",'Registre de reserves'!$I$2:$I$1178,'2022'!$A109,'Registre de reserves'!$B$2:$B$1178,'2022'!X$2,Tabla1[ANY],'2022'!$Z$76)</f>
        <v>0</v>
      </c>
      <c r="Y109" s="21">
        <f t="shared" si="121"/>
        <v>0</v>
      </c>
      <c r="Z109" s="20">
        <f t="shared" si="99"/>
        <v>0</v>
      </c>
      <c r="AA109" s="21">
        <f t="shared" si="123"/>
        <v>0</v>
      </c>
    </row>
    <row r="110" spans="1:27" hidden="1" outlineLevel="1" x14ac:dyDescent="0.2">
      <c r="A110" s="8" t="s">
        <v>72</v>
      </c>
      <c r="B110" s="23">
        <f>SUMIFS('Registre de reserves'!$W$2:$W$1178,'Registre de reserves'!$T$2:$T$1178,"NO",'Registre de reserves'!$I$2:$I$1178,'2022'!$A110,'Registre de reserves'!$B$2:$B$1178,'2022'!B$2,Tabla1[ANY],'2022'!$Z$76)</f>
        <v>0</v>
      </c>
      <c r="C110" s="21">
        <f t="shared" si="122"/>
        <v>0</v>
      </c>
      <c r="D110" s="23">
        <f>SUMIFS('Registre de reserves'!$W$2:$W$1178,'Registre de reserves'!$T$2:$T$1178,"NO",'Registre de reserves'!$I$2:$I$1178,'2022'!$A110,'Registre de reserves'!$B$2:$B$1178,'2022'!D$2,Tabla1[ANY],'2022'!$Z$76)</f>
        <v>0</v>
      </c>
      <c r="E110" s="21">
        <f t="shared" si="122"/>
        <v>0</v>
      </c>
      <c r="F110" s="23">
        <f>SUMIFS('Registre de reserves'!$W$2:$W$1178,'Registre de reserves'!$T$2:$T$1178,"NO",'Registre de reserves'!$I$2:$I$1178,'2022'!$A110,'Registre de reserves'!$B$2:$B$1178,'2022'!F$2,Tabla1[ANY],'2022'!$Z$76)</f>
        <v>0</v>
      </c>
      <c r="G110" s="21">
        <f t="shared" si="112"/>
        <v>0</v>
      </c>
      <c r="H110" s="23">
        <f>SUMIFS('Registre de reserves'!$W$2:$W$1178,'Registre de reserves'!$T$2:$T$1178,"NO",'Registre de reserves'!$I$2:$I$1178,'2022'!$A110,'Registre de reserves'!$B$2:$B$1178,'2022'!H$2,Tabla1[ANY],'2022'!$Z$76)</f>
        <v>0</v>
      </c>
      <c r="I110" s="21">
        <f t="shared" si="113"/>
        <v>0</v>
      </c>
      <c r="J110" s="23">
        <f>SUMIFS('Registre de reserves'!$W$2:$W$1178,'Registre de reserves'!$T$2:$T$1178,"NO",'Registre de reserves'!$I$2:$I$1178,'2022'!$A110,'Registre de reserves'!$B$2:$B$1178,'2022'!J$2,Tabla1[ANY],'2022'!$Z$76)</f>
        <v>0</v>
      </c>
      <c r="K110" s="21">
        <f t="shared" si="114"/>
        <v>0</v>
      </c>
      <c r="L110" s="23">
        <f>SUMIFS('Registre de reserves'!$W$2:$W$1178,'Registre de reserves'!$T$2:$T$1178,"NO",'Registre de reserves'!$I$2:$I$1178,'2022'!$A110,'Registre de reserves'!$B$2:$B$1178,'2022'!L$2,Tabla1[ANY],'2022'!$Z$76)</f>
        <v>0</v>
      </c>
      <c r="M110" s="21">
        <f t="shared" si="115"/>
        <v>0</v>
      </c>
      <c r="N110" s="23">
        <f>SUMIFS('Registre de reserves'!$W$2:$W$1178,'Registre de reserves'!$T$2:$T$1178,"NO",'Registre de reserves'!$I$2:$I$1178,'2022'!$A110,'Registre de reserves'!$B$2:$B$1178,'2022'!N$2,Tabla1[ANY],'2022'!$Z$76)</f>
        <v>0</v>
      </c>
      <c r="O110" s="21">
        <f t="shared" si="116"/>
        <v>0</v>
      </c>
      <c r="P110" s="23">
        <f>SUMIFS('Registre de reserves'!$W$2:$W$1178,'Registre de reserves'!$T$2:$T$1178,"NO",'Registre de reserves'!$I$2:$I$1178,'2022'!$A110,'Registre de reserves'!$B$2:$B$1178,'2022'!P$2,Tabla1[ANY],'2022'!$Z$76)</f>
        <v>0</v>
      </c>
      <c r="Q110" s="21">
        <f t="shared" si="117"/>
        <v>0</v>
      </c>
      <c r="R110" s="23">
        <f>SUMIFS('Registre de reserves'!$W$2:$W$1178,'Registre de reserves'!$T$2:$T$1178,"NO",'Registre de reserves'!$I$2:$I$1178,'2022'!$A110,'Registre de reserves'!$B$2:$B$1178,'2022'!R$2,Tabla1[ANY],'2022'!$Z$76)</f>
        <v>0</v>
      </c>
      <c r="S110" s="21">
        <f t="shared" si="118"/>
        <v>0</v>
      </c>
      <c r="T110" s="23">
        <f>SUMIFS('Registre de reserves'!$W$2:$W$1178,'Registre de reserves'!$T$2:$T$1178,"NO",'Registre de reserves'!$I$2:$I$1178,'2022'!$A110,'Registre de reserves'!$B$2:$B$1178,'2022'!T$2,Tabla1[ANY],'2022'!$Z$76)</f>
        <v>0</v>
      </c>
      <c r="U110" s="21">
        <f t="shared" si="119"/>
        <v>0</v>
      </c>
      <c r="V110" s="23">
        <f>SUMIFS('Registre de reserves'!$W$2:$W$1178,'Registre de reserves'!$T$2:$T$1178,"NO",'Registre de reserves'!$I$2:$I$1178,'2022'!$A110,'Registre de reserves'!$B$2:$B$1178,'2022'!V$2,Tabla1[ANY],'2022'!$Z$76)</f>
        <v>0</v>
      </c>
      <c r="W110" s="21">
        <f t="shared" si="120"/>
        <v>0</v>
      </c>
      <c r="X110" s="23">
        <f>SUMIFS('Registre de reserves'!$W$2:$W$1178,'Registre de reserves'!$T$2:$T$1178,"NO",'Registre de reserves'!$I$2:$I$1178,'2022'!$A110,'Registre de reserves'!$B$2:$B$1178,'2022'!X$2,Tabla1[ANY],'2022'!$Z$76)</f>
        <v>0</v>
      </c>
      <c r="Y110" s="21">
        <f t="shared" si="121"/>
        <v>0</v>
      </c>
      <c r="Z110" s="20">
        <f t="shared" si="99"/>
        <v>0</v>
      </c>
      <c r="AA110" s="21">
        <f t="shared" si="123"/>
        <v>0</v>
      </c>
    </row>
    <row r="111" spans="1:27" hidden="1" outlineLevel="1" x14ac:dyDescent="0.2">
      <c r="A111" s="8" t="s">
        <v>69</v>
      </c>
      <c r="B111" s="23">
        <f>SUMIFS('Registre de reserves'!$W$2:$W$1178,'Registre de reserves'!$T$2:$T$1178,"NO",'Registre de reserves'!$I$2:$I$1178,'2022'!$A111,'Registre de reserves'!$B$2:$B$1178,'2022'!B$2,Tabla1[ANY],'2022'!$Z$76)</f>
        <v>0</v>
      </c>
      <c r="C111" s="21">
        <f t="shared" si="122"/>
        <v>0</v>
      </c>
      <c r="D111" s="23">
        <f>SUMIFS('Registre de reserves'!$W$2:$W$1178,'Registre de reserves'!$T$2:$T$1178,"NO",'Registre de reserves'!$I$2:$I$1178,'2022'!$A111,'Registre de reserves'!$B$2:$B$1178,'2022'!D$2,Tabla1[ANY],'2022'!$Z$76)</f>
        <v>0</v>
      </c>
      <c r="E111" s="21">
        <f t="shared" si="122"/>
        <v>0</v>
      </c>
      <c r="F111" s="23">
        <f>SUMIFS('Registre de reserves'!$W$2:$W$1178,'Registre de reserves'!$T$2:$T$1178,"NO",'Registre de reserves'!$I$2:$I$1178,'2022'!$A111,'Registre de reserves'!$B$2:$B$1178,'2022'!F$2,Tabla1[ANY],'2022'!$Z$76)</f>
        <v>0</v>
      </c>
      <c r="G111" s="21">
        <f t="shared" si="112"/>
        <v>0</v>
      </c>
      <c r="H111" s="23">
        <f>SUMIFS('Registre de reserves'!$W$2:$W$1178,'Registre de reserves'!$T$2:$T$1178,"NO",'Registre de reserves'!$I$2:$I$1178,'2022'!$A111,'Registre de reserves'!$B$2:$B$1178,'2022'!H$2,Tabla1[ANY],'2022'!$Z$76)</f>
        <v>0</v>
      </c>
      <c r="I111" s="21">
        <f t="shared" si="113"/>
        <v>0</v>
      </c>
      <c r="J111" s="23">
        <f>SUMIFS('Registre de reserves'!$W$2:$W$1178,'Registre de reserves'!$T$2:$T$1178,"NO",'Registre de reserves'!$I$2:$I$1178,'2022'!$A111,'Registre de reserves'!$B$2:$B$1178,'2022'!J$2,Tabla1[ANY],'2022'!$Z$76)</f>
        <v>0</v>
      </c>
      <c r="K111" s="21">
        <f t="shared" si="114"/>
        <v>0</v>
      </c>
      <c r="L111" s="23">
        <f>SUMIFS('Registre de reserves'!$W$2:$W$1178,'Registre de reserves'!$T$2:$T$1178,"NO",'Registre de reserves'!$I$2:$I$1178,'2022'!$A111,'Registre de reserves'!$B$2:$B$1178,'2022'!L$2,Tabla1[ANY],'2022'!$Z$76)</f>
        <v>0</v>
      </c>
      <c r="M111" s="21">
        <f t="shared" si="115"/>
        <v>0</v>
      </c>
      <c r="N111" s="23">
        <f>SUMIFS('Registre de reserves'!$W$2:$W$1178,'Registre de reserves'!$T$2:$T$1178,"NO",'Registre de reserves'!$I$2:$I$1178,'2022'!$A111,'Registre de reserves'!$B$2:$B$1178,'2022'!N$2,Tabla1[ANY],'2022'!$Z$76)</f>
        <v>0</v>
      </c>
      <c r="O111" s="21">
        <f t="shared" si="116"/>
        <v>0</v>
      </c>
      <c r="P111" s="23">
        <f>SUMIFS('Registre de reserves'!$W$2:$W$1178,'Registre de reserves'!$T$2:$T$1178,"NO",'Registre de reserves'!$I$2:$I$1178,'2022'!$A111,'Registre de reserves'!$B$2:$B$1178,'2022'!P$2,Tabla1[ANY],'2022'!$Z$76)</f>
        <v>0</v>
      </c>
      <c r="Q111" s="21">
        <f t="shared" si="117"/>
        <v>0</v>
      </c>
      <c r="R111" s="23">
        <f>SUMIFS('Registre de reserves'!$W$2:$W$1178,'Registre de reserves'!$T$2:$T$1178,"NO",'Registre de reserves'!$I$2:$I$1178,'2022'!$A111,'Registre de reserves'!$B$2:$B$1178,'2022'!R$2,Tabla1[ANY],'2022'!$Z$76)</f>
        <v>0</v>
      </c>
      <c r="S111" s="21">
        <f t="shared" si="118"/>
        <v>0</v>
      </c>
      <c r="T111" s="23">
        <f>SUMIFS('Registre de reserves'!$W$2:$W$1178,'Registre de reserves'!$T$2:$T$1178,"NO",'Registre de reserves'!$I$2:$I$1178,'2022'!$A111,'Registre de reserves'!$B$2:$B$1178,'2022'!T$2,Tabla1[ANY],'2022'!$Z$76)</f>
        <v>0</v>
      </c>
      <c r="U111" s="21">
        <f t="shared" si="119"/>
        <v>0</v>
      </c>
      <c r="V111" s="23">
        <f>SUMIFS('Registre de reserves'!$W$2:$W$1178,'Registre de reserves'!$T$2:$T$1178,"NO",'Registre de reserves'!$I$2:$I$1178,'2022'!$A111,'Registre de reserves'!$B$2:$B$1178,'2022'!V$2,Tabla1[ANY],'2022'!$Z$76)</f>
        <v>0</v>
      </c>
      <c r="W111" s="21">
        <f t="shared" si="120"/>
        <v>0</v>
      </c>
      <c r="X111" s="23">
        <f>SUMIFS('Registre de reserves'!$W$2:$W$1178,'Registre de reserves'!$T$2:$T$1178,"NO",'Registre de reserves'!$I$2:$I$1178,'2022'!$A111,'Registre de reserves'!$B$2:$B$1178,'2022'!X$2,Tabla1[ANY],'2022'!$Z$76)</f>
        <v>0</v>
      </c>
      <c r="Y111" s="21">
        <f t="shared" si="121"/>
        <v>0</v>
      </c>
      <c r="Z111" s="20">
        <f t="shared" si="99"/>
        <v>0</v>
      </c>
      <c r="AA111" s="21">
        <f t="shared" si="123"/>
        <v>0</v>
      </c>
    </row>
    <row r="112" spans="1:27" hidden="1" outlineLevel="1" x14ac:dyDescent="0.2">
      <c r="A112" s="8" t="s">
        <v>70</v>
      </c>
      <c r="B112" s="23">
        <f>SUMIFS('Registre de reserves'!$W$2:$W$1178,'Registre de reserves'!$T$2:$T$1178,"NO",'Registre de reserves'!$I$2:$I$1178,'2022'!$A112,'Registre de reserves'!$B$2:$B$1178,'2022'!B$2,Tabla1[ANY],'2022'!$Z$76)</f>
        <v>0</v>
      </c>
      <c r="C112" s="21">
        <f t="shared" si="122"/>
        <v>0</v>
      </c>
      <c r="D112" s="23">
        <f>SUMIFS('Registre de reserves'!$W$2:$W$1178,'Registre de reserves'!$T$2:$T$1178,"NO",'Registre de reserves'!$I$2:$I$1178,'2022'!$A112,'Registre de reserves'!$B$2:$B$1178,'2022'!D$2,Tabla1[ANY],'2022'!$Z$76)</f>
        <v>0</v>
      </c>
      <c r="E112" s="21">
        <f t="shared" si="122"/>
        <v>0</v>
      </c>
      <c r="F112" s="23">
        <f>SUMIFS('Registre de reserves'!$W$2:$W$1178,'Registre de reserves'!$T$2:$T$1178,"NO",'Registre de reserves'!$I$2:$I$1178,'2022'!$A112,'Registre de reserves'!$B$2:$B$1178,'2022'!F$2,Tabla1[ANY],'2022'!$Z$76)</f>
        <v>0</v>
      </c>
      <c r="G112" s="21">
        <f t="shared" si="112"/>
        <v>0</v>
      </c>
      <c r="H112" s="23">
        <f>SUMIFS('Registre de reserves'!$W$2:$W$1178,'Registre de reserves'!$T$2:$T$1178,"NO",'Registre de reserves'!$I$2:$I$1178,'2022'!$A112,'Registre de reserves'!$B$2:$B$1178,'2022'!H$2,Tabla1[ANY],'2022'!$Z$76)</f>
        <v>0</v>
      </c>
      <c r="I112" s="21">
        <f t="shared" si="113"/>
        <v>0</v>
      </c>
      <c r="J112" s="23">
        <f>SUMIFS('Registre de reserves'!$W$2:$W$1178,'Registre de reserves'!$T$2:$T$1178,"NO",'Registre de reserves'!$I$2:$I$1178,'2022'!$A112,'Registre de reserves'!$B$2:$B$1178,'2022'!J$2,Tabla1[ANY],'2022'!$Z$76)</f>
        <v>0</v>
      </c>
      <c r="K112" s="21">
        <f t="shared" si="114"/>
        <v>0</v>
      </c>
      <c r="L112" s="23">
        <f>SUMIFS('Registre de reserves'!$W$2:$W$1178,'Registre de reserves'!$T$2:$T$1178,"NO",'Registre de reserves'!$I$2:$I$1178,'2022'!$A112,'Registre de reserves'!$B$2:$B$1178,'2022'!L$2,Tabla1[ANY],'2022'!$Z$76)</f>
        <v>0</v>
      </c>
      <c r="M112" s="21">
        <f t="shared" si="115"/>
        <v>0</v>
      </c>
      <c r="N112" s="23">
        <f>SUMIFS('Registre de reserves'!$W$2:$W$1178,'Registre de reserves'!$T$2:$T$1178,"NO",'Registre de reserves'!$I$2:$I$1178,'2022'!$A112,'Registre de reserves'!$B$2:$B$1178,'2022'!N$2,Tabla1[ANY],'2022'!$Z$76)</f>
        <v>0</v>
      </c>
      <c r="O112" s="21">
        <f t="shared" si="116"/>
        <v>0</v>
      </c>
      <c r="P112" s="23">
        <f>SUMIFS('Registre de reserves'!$W$2:$W$1178,'Registre de reserves'!$T$2:$T$1178,"NO",'Registre de reserves'!$I$2:$I$1178,'2022'!$A112,'Registre de reserves'!$B$2:$B$1178,'2022'!P$2,Tabla1[ANY],'2022'!$Z$76)</f>
        <v>0</v>
      </c>
      <c r="Q112" s="21">
        <f t="shared" si="117"/>
        <v>0</v>
      </c>
      <c r="R112" s="23">
        <f>SUMIFS('Registre de reserves'!$W$2:$W$1178,'Registre de reserves'!$T$2:$T$1178,"NO",'Registre de reserves'!$I$2:$I$1178,'2022'!$A112,'Registre de reserves'!$B$2:$B$1178,'2022'!R$2,Tabla1[ANY],'2022'!$Z$76)</f>
        <v>0</v>
      </c>
      <c r="S112" s="21">
        <f t="shared" si="118"/>
        <v>0</v>
      </c>
      <c r="T112" s="23">
        <f>SUMIFS('Registre de reserves'!$W$2:$W$1178,'Registre de reserves'!$T$2:$T$1178,"NO",'Registre de reserves'!$I$2:$I$1178,'2022'!$A112,'Registre de reserves'!$B$2:$B$1178,'2022'!T$2,Tabla1[ANY],'2022'!$Z$76)</f>
        <v>0</v>
      </c>
      <c r="U112" s="21">
        <f t="shared" si="119"/>
        <v>0</v>
      </c>
      <c r="V112" s="23">
        <f>SUMIFS('Registre de reserves'!$W$2:$W$1178,'Registre de reserves'!$T$2:$T$1178,"NO",'Registre de reserves'!$I$2:$I$1178,'2022'!$A112,'Registre de reserves'!$B$2:$B$1178,'2022'!V$2,Tabla1[ANY],'2022'!$Z$76)</f>
        <v>0</v>
      </c>
      <c r="W112" s="21">
        <f t="shared" si="120"/>
        <v>0</v>
      </c>
      <c r="X112" s="23">
        <f>SUMIFS('Registre de reserves'!$W$2:$W$1178,'Registre de reserves'!$T$2:$T$1178,"NO",'Registre de reserves'!$I$2:$I$1178,'2022'!$A112,'Registre de reserves'!$B$2:$B$1178,'2022'!X$2,Tabla1[ANY],'2022'!$Z$76)</f>
        <v>0</v>
      </c>
      <c r="Y112" s="21">
        <f t="shared" si="121"/>
        <v>0</v>
      </c>
      <c r="Z112" s="20">
        <f t="shared" si="99"/>
        <v>0</v>
      </c>
      <c r="AA112" s="21">
        <f t="shared" si="123"/>
        <v>0</v>
      </c>
    </row>
    <row r="113" spans="1:27" hidden="1" outlineLevel="1" x14ac:dyDescent="0.2">
      <c r="A113" s="8" t="s">
        <v>73</v>
      </c>
      <c r="B113" s="23">
        <f>SUMIFS('Registre de reserves'!$W$2:$W$1178,'Registre de reserves'!$T$2:$T$1178,"NO",'Registre de reserves'!$I$2:$I$1178,'2022'!$A113,'Registre de reserves'!$B$2:$B$1178,'2022'!B$2,Tabla1[ANY],'2022'!$Z$76)</f>
        <v>0</v>
      </c>
      <c r="C113" s="21">
        <f t="shared" si="122"/>
        <v>0</v>
      </c>
      <c r="D113" s="23">
        <f>SUMIFS('Registre de reserves'!$W$2:$W$1178,'Registre de reserves'!$T$2:$T$1178,"NO",'Registre de reserves'!$I$2:$I$1178,'2022'!$A113,'Registre de reserves'!$B$2:$B$1178,'2022'!D$2,Tabla1[ANY],'2022'!$Z$76)</f>
        <v>0</v>
      </c>
      <c r="E113" s="21">
        <f t="shared" si="122"/>
        <v>0</v>
      </c>
      <c r="F113" s="23">
        <f>SUMIFS('Registre de reserves'!$W$2:$W$1178,'Registre de reserves'!$T$2:$T$1178,"NO",'Registre de reserves'!$I$2:$I$1178,'2022'!$A113,'Registre de reserves'!$B$2:$B$1178,'2022'!F$2,Tabla1[ANY],'2022'!$Z$76)</f>
        <v>0</v>
      </c>
      <c r="G113" s="21">
        <f t="shared" si="112"/>
        <v>0</v>
      </c>
      <c r="H113" s="23">
        <f>SUMIFS('Registre de reserves'!$W$2:$W$1178,'Registre de reserves'!$T$2:$T$1178,"NO",'Registre de reserves'!$I$2:$I$1178,'2022'!$A113,'Registre de reserves'!$B$2:$B$1178,'2022'!H$2,Tabla1[ANY],'2022'!$Z$76)</f>
        <v>0</v>
      </c>
      <c r="I113" s="21">
        <f t="shared" si="113"/>
        <v>0</v>
      </c>
      <c r="J113" s="23">
        <f>SUMIFS('Registre de reserves'!$W$2:$W$1178,'Registre de reserves'!$T$2:$T$1178,"NO",'Registre de reserves'!$I$2:$I$1178,'2022'!$A113,'Registre de reserves'!$B$2:$B$1178,'2022'!J$2,Tabla1[ANY],'2022'!$Z$76)</f>
        <v>0</v>
      </c>
      <c r="K113" s="21">
        <f t="shared" si="114"/>
        <v>0</v>
      </c>
      <c r="L113" s="23">
        <f>SUMIFS('Registre de reserves'!$W$2:$W$1178,'Registre de reserves'!$T$2:$T$1178,"NO",'Registre de reserves'!$I$2:$I$1178,'2022'!$A113,'Registre de reserves'!$B$2:$B$1178,'2022'!L$2,Tabla1[ANY],'2022'!$Z$76)</f>
        <v>0</v>
      </c>
      <c r="M113" s="21">
        <f t="shared" si="115"/>
        <v>0</v>
      </c>
      <c r="N113" s="23">
        <f>SUMIFS('Registre de reserves'!$W$2:$W$1178,'Registre de reserves'!$T$2:$T$1178,"NO",'Registre de reserves'!$I$2:$I$1178,'2022'!$A113,'Registre de reserves'!$B$2:$B$1178,'2022'!N$2,Tabla1[ANY],'2022'!$Z$76)</f>
        <v>0</v>
      </c>
      <c r="O113" s="21">
        <f t="shared" si="116"/>
        <v>0</v>
      </c>
      <c r="P113" s="23">
        <f>SUMIFS('Registre de reserves'!$W$2:$W$1178,'Registre de reserves'!$T$2:$T$1178,"NO",'Registre de reserves'!$I$2:$I$1178,'2022'!$A113,'Registre de reserves'!$B$2:$B$1178,'2022'!P$2,Tabla1[ANY],'2022'!$Z$76)</f>
        <v>0</v>
      </c>
      <c r="Q113" s="21">
        <f t="shared" si="117"/>
        <v>0</v>
      </c>
      <c r="R113" s="23">
        <f>SUMIFS('Registre de reserves'!$W$2:$W$1178,'Registre de reserves'!$T$2:$T$1178,"NO",'Registre de reserves'!$I$2:$I$1178,'2022'!$A113,'Registre de reserves'!$B$2:$B$1178,'2022'!R$2,Tabla1[ANY],'2022'!$Z$76)</f>
        <v>0</v>
      </c>
      <c r="S113" s="21">
        <f t="shared" si="118"/>
        <v>0</v>
      </c>
      <c r="T113" s="23">
        <f>SUMIFS('Registre de reserves'!$W$2:$W$1178,'Registre de reserves'!$T$2:$T$1178,"NO",'Registre de reserves'!$I$2:$I$1178,'2022'!$A113,'Registre de reserves'!$B$2:$B$1178,'2022'!T$2,Tabla1[ANY],'2022'!$Z$76)</f>
        <v>0</v>
      </c>
      <c r="U113" s="21">
        <f t="shared" si="119"/>
        <v>0</v>
      </c>
      <c r="V113" s="23">
        <f>SUMIFS('Registre de reserves'!$W$2:$W$1178,'Registre de reserves'!$T$2:$T$1178,"NO",'Registre de reserves'!$I$2:$I$1178,'2022'!$A113,'Registre de reserves'!$B$2:$B$1178,'2022'!V$2,Tabla1[ANY],'2022'!$Z$76)</f>
        <v>0</v>
      </c>
      <c r="W113" s="21">
        <f t="shared" si="120"/>
        <v>0</v>
      </c>
      <c r="X113" s="23">
        <f>SUMIFS('Registre de reserves'!$W$2:$W$1178,'Registre de reserves'!$T$2:$T$1178,"NO",'Registre de reserves'!$I$2:$I$1178,'2022'!$A113,'Registre de reserves'!$B$2:$B$1178,'2022'!X$2,Tabla1[ANY],'2022'!$Z$76)</f>
        <v>0</v>
      </c>
      <c r="Y113" s="21">
        <f t="shared" si="121"/>
        <v>0</v>
      </c>
      <c r="Z113" s="20">
        <f t="shared" si="99"/>
        <v>0</v>
      </c>
      <c r="AA113" s="21">
        <f t="shared" si="123"/>
        <v>0</v>
      </c>
    </row>
    <row r="114" spans="1:27" ht="15.75" collapsed="1" thickBot="1" x14ac:dyDescent="0.25">
      <c r="A114" s="14" t="s">
        <v>78</v>
      </c>
      <c r="B114" s="24">
        <f>B115+B123</f>
        <v>875.7</v>
      </c>
      <c r="C114" s="25">
        <f>IF(B173=0,0,B114/B77)</f>
        <v>0</v>
      </c>
      <c r="D114" s="24">
        <f>D115+D123</f>
        <v>481.34999999999997</v>
      </c>
      <c r="E114" s="25">
        <f>IF(D173=0,0,D114/D77)</f>
        <v>0.43170403587443945</v>
      </c>
      <c r="F114" s="24">
        <f>F115+F123</f>
        <v>903.21</v>
      </c>
      <c r="G114" s="25">
        <f>IF(F173=0,0,F114/F77)</f>
        <v>0</v>
      </c>
      <c r="H114" s="24">
        <f>H115+H123</f>
        <v>474.93000000000006</v>
      </c>
      <c r="I114" s="25">
        <f>IF(H173=0,0,H114/H77)</f>
        <v>0</v>
      </c>
      <c r="J114" s="24">
        <f>J115+J123</f>
        <v>707.74</v>
      </c>
      <c r="K114" s="25">
        <f>IF(J173=0,0,J114/J77)</f>
        <v>0</v>
      </c>
      <c r="L114" s="24">
        <f>L115+L123</f>
        <v>1028.6199999999999</v>
      </c>
      <c r="M114" s="25">
        <f>IF(L173=0,0,L114/L77)</f>
        <v>0.62152265861027178</v>
      </c>
      <c r="N114" s="24">
        <f>N115+N123</f>
        <v>507.92</v>
      </c>
      <c r="O114" s="25">
        <f>IF(N173=0,0,N114/N77)</f>
        <v>0</v>
      </c>
      <c r="P114" s="24">
        <f>P115+P123</f>
        <v>882.4</v>
      </c>
      <c r="Q114" s="25">
        <f>IF(P173=0,0,P114/P77)</f>
        <v>0</v>
      </c>
      <c r="R114" s="24">
        <f>R115+R123</f>
        <v>864.42000000000007</v>
      </c>
      <c r="S114" s="25">
        <f>IF(R173=0,0,R114/R77)</f>
        <v>0</v>
      </c>
      <c r="T114" s="24">
        <f>T115+T123</f>
        <v>470</v>
      </c>
      <c r="U114" s="25">
        <f>IF(T173=0,0,T114/T77)</f>
        <v>0</v>
      </c>
      <c r="V114" s="24">
        <f>V115+V123</f>
        <v>1474.85</v>
      </c>
      <c r="W114" s="25">
        <f>IF(V173=0,0,V114/V77)</f>
        <v>0</v>
      </c>
      <c r="X114" s="24">
        <f>X115+X123</f>
        <v>470</v>
      </c>
      <c r="Y114" s="25">
        <f>IF(X173=0,0,X114/X77)</f>
        <v>0</v>
      </c>
      <c r="Z114" s="24">
        <f>Z115+Z123</f>
        <v>9141.14</v>
      </c>
      <c r="AA114" s="25">
        <f>IF(Z173=0,0,Z114/Z77)</f>
        <v>0.56601486068111451</v>
      </c>
    </row>
    <row r="115" spans="1:27" x14ac:dyDescent="0.2">
      <c r="A115" s="33" t="s">
        <v>79</v>
      </c>
      <c r="B115" s="18">
        <f>SUM(B116:B122)</f>
        <v>875.7</v>
      </c>
      <c r="C115" s="19">
        <f>IF(B$114=0,0,B115/B$114)</f>
        <v>1</v>
      </c>
      <c r="D115" s="18">
        <f>SUM(D116:D122)</f>
        <v>481.34999999999997</v>
      </c>
      <c r="E115" s="19">
        <f>IF(D$114=0,0,D115/D$114)</f>
        <v>1</v>
      </c>
      <c r="F115" s="18">
        <f>SUM(F116:F122)</f>
        <v>484.62</v>
      </c>
      <c r="G115" s="19">
        <f>IF(F$114=0,0,F115/F$114)</f>
        <v>0.53655296110539075</v>
      </c>
      <c r="H115" s="18">
        <f>SUM(H116:H122)</f>
        <v>266.46000000000004</v>
      </c>
      <c r="I115" s="19">
        <f>IF(H$114=0,0,H115/H$114)</f>
        <v>0.56105110226770261</v>
      </c>
      <c r="J115" s="18">
        <f>SUM(J116:J122)</f>
        <v>423.5</v>
      </c>
      <c r="K115" s="19">
        <f>IF(J$114=0,0,J115/J$114)</f>
        <v>0.59838358719303697</v>
      </c>
      <c r="L115" s="18">
        <f>SUM(L116:L122)</f>
        <v>856.12</v>
      </c>
      <c r="M115" s="19">
        <f>IF(L$114=0,0,L115/L$114)</f>
        <v>0.83229958585289032</v>
      </c>
      <c r="N115" s="18">
        <f>SUM(N116:N122)</f>
        <v>490.82</v>
      </c>
      <c r="O115" s="19">
        <f>IF(N$114=0,0,N115/N$114)</f>
        <v>0.96633328083162695</v>
      </c>
      <c r="P115" s="18">
        <f>SUM(P116:P122)</f>
        <v>470</v>
      </c>
      <c r="Q115" s="19">
        <f>IF(P$114=0,0,P115/P$114)</f>
        <v>0.5326382592928377</v>
      </c>
      <c r="R115" s="18">
        <f>SUM(R116:R122)</f>
        <v>408</v>
      </c>
      <c r="S115" s="19">
        <f>IF(R$114=0,0,R115/R$114)</f>
        <v>0.47199278128687439</v>
      </c>
      <c r="T115" s="18">
        <f>SUM(T116:T122)</f>
        <v>470</v>
      </c>
      <c r="U115" s="19">
        <f>IF(T$114=0,0,T115/T$114)</f>
        <v>1</v>
      </c>
      <c r="V115" s="18">
        <f>SUM(V116:V122)</f>
        <v>470.3</v>
      </c>
      <c r="W115" s="19">
        <f>IF(V$114=0,0,V115/V$114)</f>
        <v>0.31887988609011086</v>
      </c>
      <c r="X115" s="18">
        <f>SUM(X116:X122)</f>
        <v>470</v>
      </c>
      <c r="Y115" s="19">
        <f>IF(X$114=0,0,X115/X$114)</f>
        <v>1</v>
      </c>
      <c r="Z115" s="18">
        <f>SUM(Z116:Z122)</f>
        <v>6166.87</v>
      </c>
      <c r="AA115" s="19">
        <f>IF(Z$114=0,0,Z115/Z$114)</f>
        <v>0.67462810984187971</v>
      </c>
    </row>
    <row r="116" spans="1:27" hidden="1" outlineLevel="1" x14ac:dyDescent="0.2">
      <c r="A116" s="8" t="s">
        <v>16</v>
      </c>
      <c r="B116" s="20">
        <f>SUMIFS(Tabla2[A],Tabla2[ANY],$Z$76,Tabla2[MES],'2022'!B$2,Tabla2[TIPUS],'2022'!$A116)</f>
        <v>204</v>
      </c>
      <c r="C116" s="21">
        <f>IF(B$115=0,0,B116/B$115)</f>
        <v>0.23295649194929768</v>
      </c>
      <c r="D116" s="20">
        <f>SUMIFS(Tabla2[A],Tabla2[ANY],$Z$76,Tabla2[MES],'2022'!D$2,Tabla2[TIPUS],'2022'!$A116)</f>
        <v>204</v>
      </c>
      <c r="E116" s="21">
        <f>IF(D$115=0,0,D116/D$115)</f>
        <v>0.42380803988781557</v>
      </c>
      <c r="F116" s="20">
        <f>SUMIFS(Tabla2[A],Tabla2[ANY],$Z$76,Tabla2[MES],'2022'!F$2,Tabla2[TIPUS],'2022'!$A116)</f>
        <v>204</v>
      </c>
      <c r="G116" s="21">
        <f t="shared" ref="G116:G122" si="124">IF(F$115=0,0,F116/F$115)</f>
        <v>0.42094837192026741</v>
      </c>
      <c r="H116" s="20">
        <f>SUMIFS(Tabla2[A],Tabla2[ANY],$Z$76,Tabla2[MES],'2022'!H$2,Tabla2[TIPUS],'2022'!$A116)</f>
        <v>0</v>
      </c>
      <c r="I116" s="21">
        <f t="shared" ref="I116:I122" si="125">IF(H$115=0,0,H116/H$115)</f>
        <v>0</v>
      </c>
      <c r="J116" s="20">
        <f>SUMIFS(Tabla2[A],Tabla2[ANY],$Z$76,Tabla2[MES],'2022'!J$2,Tabla2[TIPUS],'2022'!$A116)</f>
        <v>204</v>
      </c>
      <c r="K116" s="21">
        <f t="shared" ref="K116:K122" si="126">IF(J$115=0,0,J116/J$115)</f>
        <v>0.4817001180637544</v>
      </c>
      <c r="L116" s="20">
        <f>SUMIFS(Tabla2[A],Tabla2[ANY],$Z$76,Tabla2[MES],'2022'!L$2,Tabla2[TIPUS],'2022'!$A116)</f>
        <v>794.12</v>
      </c>
      <c r="M116" s="21">
        <f t="shared" ref="M116:M122" si="127">IF(L$115=0,0,L116/L$115)</f>
        <v>0.92758024575994025</v>
      </c>
      <c r="N116" s="20">
        <f>SUMIFS(Tabla2[A],Tabla2[ANY],$Z$76,Tabla2[MES],'2022'!N$2,Tabla2[TIPUS],'2022'!$A116)</f>
        <v>408</v>
      </c>
      <c r="O116" s="21">
        <f t="shared" ref="O116:O122" si="128">IF(N$115=0,0,N116/N$115)</f>
        <v>0.83126196976488331</v>
      </c>
      <c r="P116" s="20">
        <f>SUMIFS(Tabla2[A],Tabla2[ANY],$Z$76,Tabla2[MES],'2022'!P$2,Tabla2[TIPUS],'2022'!$A116)</f>
        <v>408</v>
      </c>
      <c r="Q116" s="21">
        <f t="shared" ref="Q116:Q122" si="129">IF(P$115=0,0,P116/P$115)</f>
        <v>0.86808510638297876</v>
      </c>
      <c r="R116" s="20">
        <f>SUMIFS(Tabla2[A],Tabla2[ANY],$Z$76,Tabla2[MES],'2022'!R$2,Tabla2[TIPUS],'2022'!$A116)</f>
        <v>408</v>
      </c>
      <c r="S116" s="21">
        <f t="shared" ref="S116:S122" si="130">IF(R$115=0,0,R116/R$115)</f>
        <v>1</v>
      </c>
      <c r="T116" s="20">
        <f>SUMIFS(Tabla2[A],Tabla2[ANY],$Z$76,Tabla2[MES],'2022'!T$2,Tabla2[TIPUS],'2022'!$A116)</f>
        <v>408</v>
      </c>
      <c r="U116" s="21">
        <f t="shared" ref="U116:U122" si="131">IF(T$115=0,0,T116/T$115)</f>
        <v>0.86808510638297876</v>
      </c>
      <c r="V116" s="20">
        <f>SUMIFS(Tabla2[A],Tabla2[ANY],$Z$76,Tabla2[MES],'2022'!V$2,Tabla2[TIPUS],'2022'!$A116)</f>
        <v>408</v>
      </c>
      <c r="W116" s="21">
        <f t="shared" ref="W116:W122" si="132">IF(V$115=0,0,V116/V$115)</f>
        <v>0.86753136295981281</v>
      </c>
      <c r="X116" s="20">
        <f>SUMIFS(Tabla2[A],Tabla2[ANY],$Z$76,Tabla2[MES],'2022'!X$2,Tabla2[TIPUS],'2022'!$A116)</f>
        <v>408</v>
      </c>
      <c r="Y116" s="21">
        <f t="shared" ref="Y116:Y122" si="133">IF(X$115=0,0,X116/X$115)</f>
        <v>0.86808510638297876</v>
      </c>
      <c r="Z116" s="20">
        <f t="shared" ref="Z116:Z128" si="134">B116+D116+F116+H116+J116+L116+N116+P116+R116+T116+V116+X116</f>
        <v>4058.12</v>
      </c>
      <c r="AA116" s="21">
        <f>IF(Z$115=0,0,Z116/Z$115)</f>
        <v>0.65805181558878323</v>
      </c>
    </row>
    <row r="117" spans="1:27" hidden="1" outlineLevel="1" x14ac:dyDescent="0.2">
      <c r="A117" s="8" t="s">
        <v>17</v>
      </c>
      <c r="B117" s="20">
        <f>SUMIFS(Tabla2[A],Tabla2[ANY],$Z$76,Tabla2[MES],'2022'!B$2,Tabla2[TIPUS],'2022'!$A117)</f>
        <v>215.22</v>
      </c>
      <c r="C117" s="21">
        <f t="shared" ref="C117:E122" si="135">IF(B$115=0,0,B117/B$115)</f>
        <v>0.24576909900650906</v>
      </c>
      <c r="D117" s="20">
        <f>SUMIFS(Tabla2[A],Tabla2[ANY],$Z$76,Tabla2[MES],'2022'!D$2,Tabla2[TIPUS],'2022'!$A117)</f>
        <v>212.4</v>
      </c>
      <c r="E117" s="21">
        <f t="shared" si="135"/>
        <v>0.44125895917731384</v>
      </c>
      <c r="F117" s="20">
        <f>SUMIFS(Tabla2[A],Tabla2[ANY],$Z$76,Tabla2[MES],'2022'!F$2,Tabla2[TIPUS],'2022'!$A117)</f>
        <v>212.4</v>
      </c>
      <c r="G117" s="21">
        <f t="shared" si="124"/>
        <v>0.43828154017580784</v>
      </c>
      <c r="H117" s="20">
        <f>SUMIFS(Tabla2[A],Tabla2[ANY],$Z$76,Tabla2[MES],'2022'!H$2,Tabla2[TIPUS],'2022'!$A117)</f>
        <v>212.4</v>
      </c>
      <c r="I117" s="21">
        <f t="shared" si="125"/>
        <v>0.79711776626885833</v>
      </c>
      <c r="J117" s="20">
        <f>SUMIFS(Tabla2[A],Tabla2[ANY],$Z$76,Tabla2[MES],'2022'!J$2,Tabla2[TIPUS],'2022'!$A117)</f>
        <v>212.4</v>
      </c>
      <c r="K117" s="21">
        <f t="shared" si="126"/>
        <v>0.50153482880755607</v>
      </c>
      <c r="L117" s="20">
        <f>SUMIFS(Tabla2[A],Tabla2[ANY],$Z$76,Tabla2[MES],'2022'!L$2,Tabla2[TIPUS],'2022'!$A117)</f>
        <v>0</v>
      </c>
      <c r="M117" s="21">
        <f t="shared" si="127"/>
        <v>0</v>
      </c>
      <c r="N117" s="20">
        <f>SUMIFS(Tabla2[A],Tabla2[ANY],$Z$76,Tabla2[MES],'2022'!N$2,Tabla2[TIPUS],'2022'!$A117)</f>
        <v>2.82</v>
      </c>
      <c r="O117" s="21">
        <f t="shared" si="128"/>
        <v>5.7454871439631631E-3</v>
      </c>
      <c r="P117" s="20">
        <f>SUMIFS(Tabla2[A],Tabla2[ANY],$Z$76,Tabla2[MES],'2022'!P$2,Tabla2[TIPUS],'2022'!$A117)</f>
        <v>0</v>
      </c>
      <c r="Q117" s="21">
        <f t="shared" si="129"/>
        <v>0</v>
      </c>
      <c r="R117" s="20">
        <f>SUMIFS(Tabla2[A],Tabla2[ANY],$Z$76,Tabla2[MES],'2022'!R$2,Tabla2[TIPUS],'2022'!$A117)</f>
        <v>0</v>
      </c>
      <c r="S117" s="21">
        <f t="shared" si="130"/>
        <v>0</v>
      </c>
      <c r="T117" s="20">
        <f>SUMIFS(Tabla2[A],Tabla2[ANY],$Z$76,Tabla2[MES],'2022'!T$2,Tabla2[TIPUS],'2022'!$A117)</f>
        <v>0</v>
      </c>
      <c r="U117" s="21">
        <f t="shared" si="131"/>
        <v>0</v>
      </c>
      <c r="V117" s="20">
        <f>SUMIFS(Tabla2[A],Tabla2[ANY],$Z$76,Tabla2[MES],'2022'!V$2,Tabla2[TIPUS],'2022'!$A117)</f>
        <v>0</v>
      </c>
      <c r="W117" s="21">
        <f t="shared" si="132"/>
        <v>0</v>
      </c>
      <c r="X117" s="20">
        <f>SUMIFS(Tabla2[A],Tabla2[ANY],$Z$76,Tabla2[MES],'2022'!X$2,Tabla2[TIPUS],'2022'!$A117)</f>
        <v>0</v>
      </c>
      <c r="Y117" s="21">
        <f t="shared" si="133"/>
        <v>0</v>
      </c>
      <c r="Z117" s="20">
        <f t="shared" si="134"/>
        <v>1067.6399999999999</v>
      </c>
      <c r="AA117" s="21">
        <f t="shared" ref="AA117:AA122" si="136">IF(Z$115=0,0,Z117/Z$115)</f>
        <v>0.17312510236148967</v>
      </c>
    </row>
    <row r="118" spans="1:27" hidden="1" outlineLevel="1" x14ac:dyDescent="0.2">
      <c r="A118" s="8" t="s">
        <v>85</v>
      </c>
      <c r="B118" s="20">
        <f>SUMIFS(Tabla2[A],Tabla2[ANY],$Z$76,Tabla2[MES],'2022'!B$2,Tabla2[TIPUS],'2022'!$A118)</f>
        <v>0</v>
      </c>
      <c r="C118" s="21">
        <f t="shared" si="135"/>
        <v>0</v>
      </c>
      <c r="D118" s="20">
        <f>SUMIFS(Tabla2[A],Tabla2[ANY],$Z$76,Tabla2[MES],'2022'!D$2,Tabla2[TIPUS],'2022'!$A118)</f>
        <v>0</v>
      </c>
      <c r="E118" s="21">
        <f t="shared" si="135"/>
        <v>0</v>
      </c>
      <c r="F118" s="20">
        <f>SUMIFS(Tabla2[A],Tabla2[ANY],$Z$76,Tabla2[MES],'2022'!F$2,Tabla2[TIPUS],'2022'!$A118)</f>
        <v>0</v>
      </c>
      <c r="G118" s="21">
        <f t="shared" si="124"/>
        <v>0</v>
      </c>
      <c r="H118" s="20">
        <f>SUMIFS(Tabla2[A],Tabla2[ANY],$Z$76,Tabla2[MES],'2022'!H$2,Tabla2[TIPUS],'2022'!$A118)</f>
        <v>0</v>
      </c>
      <c r="I118" s="21">
        <f t="shared" si="125"/>
        <v>0</v>
      </c>
      <c r="J118" s="20">
        <f>SUMIFS(Tabla2[A],Tabla2[ANY],$Z$76,Tabla2[MES],'2022'!J$2,Tabla2[TIPUS],'2022'!$A118)</f>
        <v>0</v>
      </c>
      <c r="K118" s="21">
        <f t="shared" si="126"/>
        <v>0</v>
      </c>
      <c r="L118" s="20">
        <f>SUMIFS(Tabla2[A],Tabla2[ANY],$Z$76,Tabla2[MES],'2022'!L$2,Tabla2[TIPUS],'2022'!$A118)</f>
        <v>0</v>
      </c>
      <c r="M118" s="21">
        <f t="shared" si="127"/>
        <v>0</v>
      </c>
      <c r="N118" s="20">
        <f>SUMIFS(Tabla2[A],Tabla2[ANY],$Z$76,Tabla2[MES],'2022'!N$2,Tabla2[TIPUS],'2022'!$A118)</f>
        <v>0</v>
      </c>
      <c r="O118" s="21">
        <f t="shared" si="128"/>
        <v>0</v>
      </c>
      <c r="P118" s="20">
        <f>SUMIFS(Tabla2[A],Tabla2[ANY],$Z$76,Tabla2[MES],'2022'!P$2,Tabla2[TIPUS],'2022'!$A118)</f>
        <v>0</v>
      </c>
      <c r="Q118" s="21">
        <f t="shared" si="129"/>
        <v>0</v>
      </c>
      <c r="R118" s="20">
        <f>SUMIFS(Tabla2[A],Tabla2[ANY],$Z$76,Tabla2[MES],'2022'!R$2,Tabla2[TIPUS],'2022'!$A118)</f>
        <v>0</v>
      </c>
      <c r="S118" s="21">
        <f t="shared" si="130"/>
        <v>0</v>
      </c>
      <c r="T118" s="20">
        <f>SUMIFS(Tabla2[A],Tabla2[ANY],$Z$76,Tabla2[MES],'2022'!T$2,Tabla2[TIPUS],'2022'!$A118)</f>
        <v>0</v>
      </c>
      <c r="U118" s="21">
        <f t="shared" si="131"/>
        <v>0</v>
      </c>
      <c r="V118" s="20">
        <f>SUMIFS(Tabla2[A],Tabla2[ANY],$Z$76,Tabla2[MES],'2022'!V$2,Tabla2[TIPUS],'2022'!$A118)</f>
        <v>0</v>
      </c>
      <c r="W118" s="21">
        <f t="shared" si="132"/>
        <v>0</v>
      </c>
      <c r="X118" s="20">
        <f>SUMIFS(Tabla2[A],Tabla2[ANY],$Z$76,Tabla2[MES],'2022'!X$2,Tabla2[TIPUS],'2022'!$A118)</f>
        <v>0</v>
      </c>
      <c r="Y118" s="21">
        <f t="shared" si="133"/>
        <v>0</v>
      </c>
      <c r="Z118" s="20">
        <f t="shared" si="134"/>
        <v>0</v>
      </c>
      <c r="AA118" s="21">
        <f t="shared" si="136"/>
        <v>0</v>
      </c>
    </row>
    <row r="119" spans="1:27" hidden="1" outlineLevel="1" x14ac:dyDescent="0.2">
      <c r="A119" s="8" t="s">
        <v>94</v>
      </c>
      <c r="B119" s="20">
        <f>SUMIFS(Tabla2[A],Tabla2[ANY],$Z$76,Tabla2[MES],'2022'!B$2,Tabla2[TIPUS],'2022'!$A119)</f>
        <v>397.48</v>
      </c>
      <c r="C119" s="21">
        <f t="shared" si="135"/>
        <v>0.45389973735297479</v>
      </c>
      <c r="D119" s="20">
        <f>SUMIFS(Tabla2[A],Tabla2[ANY],$Z$76,Tabla2[MES],'2022'!D$2,Tabla2[TIPUS],'2022'!$A119)</f>
        <v>0</v>
      </c>
      <c r="E119" s="21">
        <f t="shared" si="135"/>
        <v>0</v>
      </c>
      <c r="F119" s="20">
        <f>SUMIFS(Tabla2[A],Tabla2[ANY],$Z$76,Tabla2[MES],'2022'!F$2,Tabla2[TIPUS],'2022'!$A119)</f>
        <v>0</v>
      </c>
      <c r="G119" s="21">
        <f t="shared" si="124"/>
        <v>0</v>
      </c>
      <c r="H119" s="20">
        <f>SUMIFS(Tabla2[A],Tabla2[ANY],$Z$76,Tabla2[MES],'2022'!H$2,Tabla2[TIPUS],'2022'!$A119)</f>
        <v>0</v>
      </c>
      <c r="I119" s="21">
        <f t="shared" si="125"/>
        <v>0</v>
      </c>
      <c r="J119" s="20">
        <f>SUMIFS(Tabla2[A],Tabla2[ANY],$Z$76,Tabla2[MES],'2022'!J$2,Tabla2[TIPUS],'2022'!$A119)</f>
        <v>-54.900000000000006</v>
      </c>
      <c r="K119" s="21">
        <f t="shared" si="126"/>
        <v>-0.12963400236127509</v>
      </c>
      <c r="L119" s="20">
        <f>SUMIFS(Tabla2[A],Tabla2[ANY],$Z$76,Tabla2[MES],'2022'!L$2,Tabla2[TIPUS],'2022'!$A119)</f>
        <v>0</v>
      </c>
      <c r="M119" s="21">
        <f t="shared" si="127"/>
        <v>0</v>
      </c>
      <c r="N119" s="20">
        <f>SUMIFS(Tabla2[A],Tabla2[ANY],$Z$76,Tabla2[MES],'2022'!N$2,Tabla2[TIPUS],'2022'!$A119)</f>
        <v>0</v>
      </c>
      <c r="O119" s="21">
        <f t="shared" si="128"/>
        <v>0</v>
      </c>
      <c r="P119" s="20">
        <f>SUMIFS(Tabla2[A],Tabla2[ANY],$Z$76,Tabla2[MES],'2022'!P$2,Tabla2[TIPUS],'2022'!$A119)</f>
        <v>0</v>
      </c>
      <c r="Q119" s="21">
        <f t="shared" si="129"/>
        <v>0</v>
      </c>
      <c r="R119" s="20">
        <f>SUMIFS(Tabla2[A],Tabla2[ANY],$Z$76,Tabla2[MES],'2022'!R$2,Tabla2[TIPUS],'2022'!$A119)</f>
        <v>0</v>
      </c>
      <c r="S119" s="21">
        <f t="shared" si="130"/>
        <v>0</v>
      </c>
      <c r="T119" s="20">
        <f>SUMIFS(Tabla2[A],Tabla2[ANY],$Z$76,Tabla2[MES],'2022'!T$2,Tabla2[TIPUS],'2022'!$A119)</f>
        <v>0</v>
      </c>
      <c r="U119" s="21">
        <f t="shared" si="131"/>
        <v>0</v>
      </c>
      <c r="V119" s="20">
        <f>SUMIFS(Tabla2[A],Tabla2[ANY],$Z$76,Tabla2[MES],'2022'!V$2,Tabla2[TIPUS],'2022'!$A119)</f>
        <v>0</v>
      </c>
      <c r="W119" s="21">
        <f t="shared" si="132"/>
        <v>0</v>
      </c>
      <c r="X119" s="20">
        <f>SUMIFS(Tabla2[A],Tabla2[ANY],$Z$76,Tabla2[MES],'2022'!X$2,Tabla2[TIPUS],'2022'!$A119)</f>
        <v>0</v>
      </c>
      <c r="Y119" s="21">
        <f t="shared" si="133"/>
        <v>0</v>
      </c>
      <c r="Z119" s="20">
        <f t="shared" si="134"/>
        <v>342.58000000000004</v>
      </c>
      <c r="AA119" s="21">
        <f t="shared" si="136"/>
        <v>5.5551681809410614E-2</v>
      </c>
    </row>
    <row r="120" spans="1:27" hidden="1" outlineLevel="1" x14ac:dyDescent="0.2">
      <c r="A120" s="8" t="s">
        <v>118</v>
      </c>
      <c r="B120" s="20">
        <f>SUMIFS(Tabla2[A],Tabla2[ANY],$Z$76,Tabla2[MES],'2022'!B$2,Tabla2[TIPUS],'2022'!$A120)</f>
        <v>0</v>
      </c>
      <c r="C120" s="21">
        <f t="shared" si="135"/>
        <v>0</v>
      </c>
      <c r="D120" s="20">
        <f>SUMIFS(Tabla2[A],Tabla2[ANY],$Z$76,Tabla2[MES],'2022'!D$2,Tabla2[TIPUS],'2022'!$A120)</f>
        <v>0</v>
      </c>
      <c r="E120" s="21">
        <f t="shared" si="135"/>
        <v>0</v>
      </c>
      <c r="F120" s="20">
        <f>SUMIFS(Tabla2[A],Tabla2[ANY],$Z$76,Tabla2[MES],'2022'!F$2,Tabla2[TIPUS],'2022'!$A120)</f>
        <v>0</v>
      </c>
      <c r="G120" s="21">
        <f t="shared" si="124"/>
        <v>0</v>
      </c>
      <c r="H120" s="20">
        <f>SUMIFS(Tabla2[A],Tabla2[ANY],$Z$76,Tabla2[MES],'2022'!H$2,Tabla2[TIPUS],'2022'!$A120)</f>
        <v>0</v>
      </c>
      <c r="I120" s="21">
        <f t="shared" si="125"/>
        <v>0</v>
      </c>
      <c r="J120" s="20">
        <f>SUMIFS(Tabla2[A],Tabla2[ANY],$Z$76,Tabla2[MES],'2022'!J$2,Tabla2[TIPUS],'2022'!$A120)</f>
        <v>0</v>
      </c>
      <c r="K120" s="21">
        <f t="shared" si="126"/>
        <v>0</v>
      </c>
      <c r="L120" s="20">
        <f>SUMIFS(Tabla2[A],Tabla2[ANY],$Z$76,Tabla2[MES],'2022'!L$2,Tabla2[TIPUS],'2022'!$A120)</f>
        <v>0</v>
      </c>
      <c r="M120" s="21">
        <f t="shared" si="127"/>
        <v>0</v>
      </c>
      <c r="N120" s="20">
        <f>SUMIFS(Tabla2[A],Tabla2[ANY],$Z$76,Tabla2[MES],'2022'!N$2,Tabla2[TIPUS],'2022'!$A120)</f>
        <v>0</v>
      </c>
      <c r="O120" s="21">
        <f t="shared" si="128"/>
        <v>0</v>
      </c>
      <c r="P120" s="20">
        <f>SUMIFS(Tabla2[A],Tabla2[ANY],$Z$76,Tabla2[MES],'2022'!P$2,Tabla2[TIPUS],'2022'!$A120)</f>
        <v>0</v>
      </c>
      <c r="Q120" s="21">
        <f t="shared" si="129"/>
        <v>0</v>
      </c>
      <c r="R120" s="20">
        <f>SUMIFS(Tabla2[A],Tabla2[ANY],$Z$76,Tabla2[MES],'2022'!R$2,Tabla2[TIPUS],'2022'!$A120)</f>
        <v>0</v>
      </c>
      <c r="S120" s="21">
        <f t="shared" si="130"/>
        <v>0</v>
      </c>
      <c r="T120" s="20">
        <f>SUMIFS(Tabla2[A],Tabla2[ANY],$Z$76,Tabla2[MES],'2022'!T$2,Tabla2[TIPUS],'2022'!$A120)</f>
        <v>0</v>
      </c>
      <c r="U120" s="21">
        <f t="shared" si="131"/>
        <v>0</v>
      </c>
      <c r="V120" s="20">
        <f>SUMIFS(Tabla2[A],Tabla2[ANY],$Z$76,Tabla2[MES],'2022'!V$2,Tabla2[TIPUS],'2022'!$A120)</f>
        <v>0</v>
      </c>
      <c r="W120" s="21">
        <f t="shared" si="132"/>
        <v>0</v>
      </c>
      <c r="X120" s="20">
        <f>SUMIFS(Tabla2[A],Tabla2[ANY],$Z$76,Tabla2[MES],'2022'!X$2,Tabla2[TIPUS],'2022'!$A120)</f>
        <v>0</v>
      </c>
      <c r="Y120" s="21">
        <f t="shared" si="133"/>
        <v>0</v>
      </c>
      <c r="Z120" s="20">
        <f t="shared" si="134"/>
        <v>0</v>
      </c>
      <c r="AA120" s="21">
        <f t="shared" si="136"/>
        <v>0</v>
      </c>
    </row>
    <row r="121" spans="1:27" hidden="1" outlineLevel="1" x14ac:dyDescent="0.2">
      <c r="A121" s="8" t="s">
        <v>97</v>
      </c>
      <c r="B121" s="20">
        <f>SUMIFS(Tabla2[A],Tabla2[ANY],$Z$76,Tabla2[MES],'2022'!B$2,Tabla2[TIPUS],'2022'!$A121)</f>
        <v>0</v>
      </c>
      <c r="C121" s="21">
        <f t="shared" si="135"/>
        <v>0</v>
      </c>
      <c r="D121" s="20">
        <f>SUMIFS(Tabla2[A],Tabla2[ANY],$Z$76,Tabla2[MES],'2022'!D$2,Tabla2[TIPUS],'2022'!$A121)</f>
        <v>0</v>
      </c>
      <c r="E121" s="21">
        <f t="shared" si="135"/>
        <v>0</v>
      </c>
      <c r="F121" s="20">
        <f>SUMIFS(Tabla2[A],Tabla2[ANY],$Z$76,Tabla2[MES],'2022'!F$2,Tabla2[TIPUS],'2022'!$A121)</f>
        <v>0</v>
      </c>
      <c r="G121" s="21">
        <f t="shared" si="124"/>
        <v>0</v>
      </c>
      <c r="H121" s="20">
        <f>SUMIFS(Tabla2[A],Tabla2[ANY],$Z$76,Tabla2[MES],'2022'!H$2,Tabla2[TIPUS],'2022'!$A121)</f>
        <v>0</v>
      </c>
      <c r="I121" s="21">
        <f t="shared" si="125"/>
        <v>0</v>
      </c>
      <c r="J121" s="20">
        <f>SUMIFS(Tabla2[A],Tabla2[ANY],$Z$76,Tabla2[MES],'2022'!J$2,Tabla2[TIPUS],'2022'!$A121)</f>
        <v>0</v>
      </c>
      <c r="K121" s="21">
        <f t="shared" si="126"/>
        <v>0</v>
      </c>
      <c r="L121" s="20">
        <f>SUMIFS(Tabla2[A],Tabla2[ANY],$Z$76,Tabla2[MES],'2022'!L$2,Tabla2[TIPUS],'2022'!$A121)</f>
        <v>0</v>
      </c>
      <c r="M121" s="21">
        <f t="shared" si="127"/>
        <v>0</v>
      </c>
      <c r="N121" s="20">
        <f>SUMIFS(Tabla2[A],Tabla2[ANY],$Z$76,Tabla2[MES],'2022'!N$2,Tabla2[TIPUS],'2022'!$A121)</f>
        <v>0</v>
      </c>
      <c r="O121" s="21">
        <f t="shared" si="128"/>
        <v>0</v>
      </c>
      <c r="P121" s="20">
        <f>SUMIFS(Tabla2[A],Tabla2[ANY],$Z$76,Tabla2[MES],'2022'!P$2,Tabla2[TIPUS],'2022'!$A121)</f>
        <v>0</v>
      </c>
      <c r="Q121" s="21">
        <f t="shared" si="129"/>
        <v>0</v>
      </c>
      <c r="R121" s="20">
        <f>SUMIFS(Tabla2[A],Tabla2[ANY],$Z$76,Tabla2[MES],'2022'!R$2,Tabla2[TIPUS],'2022'!$A121)</f>
        <v>0</v>
      </c>
      <c r="S121" s="21">
        <f t="shared" si="130"/>
        <v>0</v>
      </c>
      <c r="T121" s="20">
        <f>SUMIFS(Tabla2[A],Tabla2[ANY],$Z$76,Tabla2[MES],'2022'!T$2,Tabla2[TIPUS],'2022'!$A121)</f>
        <v>0</v>
      </c>
      <c r="U121" s="21">
        <f t="shared" si="131"/>
        <v>0</v>
      </c>
      <c r="V121" s="20">
        <f>SUMIFS(Tabla2[A],Tabla2[ANY],$Z$76,Tabla2[MES],'2022'!V$2,Tabla2[TIPUS],'2022'!$A121)</f>
        <v>0</v>
      </c>
      <c r="W121" s="21">
        <f t="shared" si="132"/>
        <v>0</v>
      </c>
      <c r="X121" s="20">
        <f>SUMIFS(Tabla2[A],Tabla2[ANY],$Z$76,Tabla2[MES],'2022'!X$2,Tabla2[TIPUS],'2022'!$A121)</f>
        <v>0</v>
      </c>
      <c r="Y121" s="21">
        <f t="shared" si="133"/>
        <v>0</v>
      </c>
      <c r="Z121" s="20">
        <f t="shared" si="134"/>
        <v>0</v>
      </c>
      <c r="AA121" s="21">
        <f t="shared" si="136"/>
        <v>0</v>
      </c>
    </row>
    <row r="122" spans="1:27" hidden="1" outlineLevel="1" x14ac:dyDescent="0.2">
      <c r="A122" s="8" t="s">
        <v>113</v>
      </c>
      <c r="B122" s="20">
        <f>SUMIFS(Tabla2[A],Tabla2[ANY],$Z$76,Tabla2[MES],'2022'!B$2,Tabla2[TIPUS],'2022'!$A122)</f>
        <v>59</v>
      </c>
      <c r="C122" s="21">
        <f t="shared" si="135"/>
        <v>6.7374671691218455E-2</v>
      </c>
      <c r="D122" s="20">
        <f>SUMIFS(Tabla2[A],Tabla2[ANY],$Z$76,Tabla2[MES],'2022'!D$2,Tabla2[TIPUS],'2022'!$A122)</f>
        <v>64.95</v>
      </c>
      <c r="E122" s="21">
        <f t="shared" si="135"/>
        <v>0.13493300093487068</v>
      </c>
      <c r="F122" s="20">
        <f>SUMIFS(Tabla2[A],Tabla2[ANY],$Z$76,Tabla2[MES],'2022'!F$2,Tabla2[TIPUS],'2022'!$A122)</f>
        <v>68.22</v>
      </c>
      <c r="G122" s="21">
        <f t="shared" si="124"/>
        <v>0.14077008790392473</v>
      </c>
      <c r="H122" s="20">
        <f>SUMIFS(Tabla2[A],Tabla2[ANY],$Z$76,Tabla2[MES],'2022'!H$2,Tabla2[TIPUS],'2022'!$A122)</f>
        <v>54.06</v>
      </c>
      <c r="I122" s="21">
        <f t="shared" si="125"/>
        <v>0.20288223373114161</v>
      </c>
      <c r="J122" s="20">
        <f>SUMIFS(Tabla2[A],Tabla2[ANY],$Z$76,Tabla2[MES],'2022'!J$2,Tabla2[TIPUS],'2022'!$A122)</f>
        <v>62</v>
      </c>
      <c r="K122" s="21">
        <f t="shared" si="126"/>
        <v>0.14639905548996457</v>
      </c>
      <c r="L122" s="20">
        <f>SUMIFS(Tabla2[A],Tabla2[ANY],$Z$76,Tabla2[MES],'2022'!L$2,Tabla2[TIPUS],'2022'!$A122)</f>
        <v>62</v>
      </c>
      <c r="M122" s="21">
        <f t="shared" si="127"/>
        <v>7.2419754240059808E-2</v>
      </c>
      <c r="N122" s="20">
        <f>SUMIFS(Tabla2[A],Tabla2[ANY],$Z$76,Tabla2[MES],'2022'!N$2,Tabla2[TIPUS],'2022'!$A122)</f>
        <v>80</v>
      </c>
      <c r="O122" s="21">
        <f t="shared" si="128"/>
        <v>0.16299254309115357</v>
      </c>
      <c r="P122" s="20">
        <f>SUMIFS(Tabla2[A],Tabla2[ANY],$Z$76,Tabla2[MES],'2022'!P$2,Tabla2[TIPUS],'2022'!$A122)</f>
        <v>62</v>
      </c>
      <c r="Q122" s="21">
        <f t="shared" si="129"/>
        <v>0.13191489361702127</v>
      </c>
      <c r="R122" s="20">
        <f>SUMIFS(Tabla2[A],Tabla2[ANY],$Z$76,Tabla2[MES],'2022'!R$2,Tabla2[TIPUS],'2022'!$A122)</f>
        <v>0</v>
      </c>
      <c r="S122" s="21">
        <f t="shared" si="130"/>
        <v>0</v>
      </c>
      <c r="T122" s="20">
        <f>SUMIFS(Tabla2[A],Tabla2[ANY],$Z$76,Tabla2[MES],'2022'!T$2,Tabla2[TIPUS],'2022'!$A122)</f>
        <v>62</v>
      </c>
      <c r="U122" s="21">
        <f t="shared" si="131"/>
        <v>0.13191489361702127</v>
      </c>
      <c r="V122" s="20">
        <f>SUMIFS(Tabla2[A],Tabla2[ANY],$Z$76,Tabla2[MES],'2022'!V$2,Tabla2[TIPUS],'2022'!$A122)</f>
        <v>62.3</v>
      </c>
      <c r="W122" s="21">
        <f t="shared" si="132"/>
        <v>0.1324686370401871</v>
      </c>
      <c r="X122" s="20">
        <f>SUMIFS(Tabla2[A],Tabla2[ANY],$Z$76,Tabla2[MES],'2022'!X$2,Tabla2[TIPUS],'2022'!$A122)</f>
        <v>62</v>
      </c>
      <c r="Y122" s="21">
        <f t="shared" si="133"/>
        <v>0.13191489361702127</v>
      </c>
      <c r="Z122" s="20">
        <f t="shared" si="134"/>
        <v>698.53</v>
      </c>
      <c r="AA122" s="21">
        <f t="shared" si="136"/>
        <v>0.1132714002403164</v>
      </c>
    </row>
    <row r="123" spans="1:27" collapsed="1" x14ac:dyDescent="0.2">
      <c r="A123" s="34" t="s">
        <v>86</v>
      </c>
      <c r="B123" s="18">
        <f>SUM(B124:B128)</f>
        <v>0</v>
      </c>
      <c r="C123" s="19">
        <f>IF(B$114=0,0,B123/B$114)</f>
        <v>0</v>
      </c>
      <c r="D123" s="18">
        <f>SUM(D124:D128)</f>
        <v>0</v>
      </c>
      <c r="E123" s="19">
        <f>IF(D$114=0,0,D123/D$114)</f>
        <v>0</v>
      </c>
      <c r="F123" s="18">
        <f>SUM(F124:F128)</f>
        <v>418.59</v>
      </c>
      <c r="G123" s="19">
        <f>IF(F$114=0,0,F123/F$114)</f>
        <v>0.4634470388946092</v>
      </c>
      <c r="H123" s="18">
        <f>SUM(H124:H128)</f>
        <v>208.47</v>
      </c>
      <c r="I123" s="19">
        <f>IF(H$114=0,0,H123/H$114)</f>
        <v>0.43894889773229734</v>
      </c>
      <c r="J123" s="18">
        <f>SUM(J124:J128)</f>
        <v>284.24</v>
      </c>
      <c r="K123" s="19">
        <f>IF(J$114=0,0,J123/J$114)</f>
        <v>0.40161641280696303</v>
      </c>
      <c r="L123" s="18">
        <f>SUM(L124:L128)</f>
        <v>172.5</v>
      </c>
      <c r="M123" s="19">
        <f>IF(L$114=0,0,L123/L$114)</f>
        <v>0.16770041414710973</v>
      </c>
      <c r="N123" s="18">
        <f>SUM(N124:N128)</f>
        <v>17.100000000000001</v>
      </c>
      <c r="O123" s="19">
        <f>IF(N$114=0,0,N123/N$114)</f>
        <v>3.3666719168372973E-2</v>
      </c>
      <c r="P123" s="18">
        <f>SUM(P124:P128)</f>
        <v>412.4</v>
      </c>
      <c r="Q123" s="19">
        <f>IF(P$114=0,0,P123/P$114)</f>
        <v>0.4673617407071623</v>
      </c>
      <c r="R123" s="18">
        <f>SUM(R124:R128)</f>
        <v>456.42</v>
      </c>
      <c r="S123" s="19">
        <f>IF(R$114=0,0,R123/R$114)</f>
        <v>0.5280072187131255</v>
      </c>
      <c r="T123" s="18">
        <f>SUM(T124:T128)</f>
        <v>0</v>
      </c>
      <c r="U123" s="19">
        <f>IF(T$114=0,0,T123/T$114)</f>
        <v>0</v>
      </c>
      <c r="V123" s="18">
        <f>SUM(V124:V128)</f>
        <v>1004.55</v>
      </c>
      <c r="W123" s="19">
        <f>IF(V$114=0,0,V123/V$114)</f>
        <v>0.68112011390988914</v>
      </c>
      <c r="X123" s="18">
        <f>SUM(X124:X128)</f>
        <v>0</v>
      </c>
      <c r="Y123" s="19">
        <f>IF(X$114=0,0,X123/X$114)</f>
        <v>0</v>
      </c>
      <c r="Z123" s="18">
        <f>SUM(Z124:Z128)</f>
        <v>2974.2699999999995</v>
      </c>
      <c r="AA123" s="19">
        <f>IF(Z$114=0,0,Z123/Z$114)</f>
        <v>0.32537189015812029</v>
      </c>
    </row>
    <row r="124" spans="1:27" hidden="1" outlineLevel="1" x14ac:dyDescent="0.2">
      <c r="A124" s="8" t="s">
        <v>87</v>
      </c>
      <c r="B124" s="20">
        <f>SUMIFS(Tabla2[A],Tabla2[ANY],$Z$76,Tabla2[MES],'2022'!B$2,Tabla2[TIPUS],'2022'!$A124)</f>
        <v>0</v>
      </c>
      <c r="C124" s="21">
        <f>IF(B$123=0,0,B124/B$123)</f>
        <v>0</v>
      </c>
      <c r="D124" s="20">
        <f>SUMIFS(Tabla2[A],Tabla2[ANY],$Z$76,Tabla2[MES],'2022'!D$2,Tabla2[TIPUS],'2022'!$A124)</f>
        <v>0</v>
      </c>
      <c r="E124" s="21">
        <f>IF(D$123=0,0,D124/D$123)</f>
        <v>0</v>
      </c>
      <c r="F124" s="20">
        <f>SUMIFS(Tabla2[A],Tabla2[ANY],$Z$76,Tabla2[MES],'2022'!F$2,Tabla2[TIPUS],'2022'!$A124)</f>
        <v>0</v>
      </c>
      <c r="G124" s="21">
        <f>IF(F$123=0,0,F124/F$123)</f>
        <v>0</v>
      </c>
      <c r="H124" s="20">
        <f>SUMIFS(Tabla2[A],Tabla2[ANY],$Z$76,Tabla2[MES],'2022'!H$2,Tabla2[TIPUS],'2022'!$A124)</f>
        <v>0</v>
      </c>
      <c r="I124" s="21">
        <f>IF(H$123=0,0,H124/H$123)</f>
        <v>0</v>
      </c>
      <c r="J124" s="20">
        <f>SUMIFS(Tabla2[A],Tabla2[ANY],$Z$76,Tabla2[MES],'2022'!J$2,Tabla2[TIPUS],'2022'!$A124)</f>
        <v>284.24</v>
      </c>
      <c r="K124" s="21">
        <f>IF(J$123=0,0,J124/J$123)</f>
        <v>1</v>
      </c>
      <c r="L124" s="20">
        <f>SUMIFS(Tabla2[A],Tabla2[ANY],$Z$76,Tabla2[MES],'2022'!L$2,Tabla2[TIPUS],'2022'!$A124)</f>
        <v>0</v>
      </c>
      <c r="M124" s="21">
        <f>IF(L$123=0,0,L124/L$123)</f>
        <v>0</v>
      </c>
      <c r="N124" s="20">
        <f>SUMIFS(Tabla2[A],Tabla2[ANY],$Z$76,Tabla2[MES],'2022'!N$2,Tabla2[TIPUS],'2022'!$A124)</f>
        <v>0</v>
      </c>
      <c r="O124" s="21">
        <f>IF(N$123=0,0,N124/N$123)</f>
        <v>0</v>
      </c>
      <c r="P124" s="20">
        <f>SUMIFS(Tabla2[A],Tabla2[ANY],$Z$76,Tabla2[MES],'2022'!P$2,Tabla2[TIPUS],'2022'!$A124)</f>
        <v>402.59000000000003</v>
      </c>
      <c r="Q124" s="21">
        <f>IF(P$123=0,0,P124/P$123)</f>
        <v>0.97621241513094092</v>
      </c>
      <c r="R124" s="20">
        <f>SUMIFS(Tabla2[A],Tabla2[ANY],$Z$76,Tabla2[MES],'2022'!R$2,Tabla2[TIPUS],'2022'!$A124)</f>
        <v>0</v>
      </c>
      <c r="S124" s="21">
        <f>IF(R$123=0,0,R124/R$123)</f>
        <v>0</v>
      </c>
      <c r="T124" s="20">
        <f>SUMIFS(Tabla2[A],Tabla2[ANY],$Z$76,Tabla2[MES],'2022'!T$2,Tabla2[TIPUS],'2022'!$A124)</f>
        <v>0</v>
      </c>
      <c r="U124" s="21">
        <f>IF(T$123=0,0,T124/T$123)</f>
        <v>0</v>
      </c>
      <c r="V124" s="20">
        <f>SUMIFS(Tabla2[A],Tabla2[ANY],$Z$76,Tabla2[MES],'2022'!V$2,Tabla2[TIPUS],'2022'!$A124)</f>
        <v>818.43</v>
      </c>
      <c r="W124" s="21">
        <f>IF(V$123=0,0,V124/V$123)</f>
        <v>0.81472301030312078</v>
      </c>
      <c r="X124" s="20">
        <f>SUMIFS(Tabla2[A],Tabla2[ANY],$Z$76,Tabla2[MES],'2022'!X$2,Tabla2[TIPUS],'2022'!$A124)</f>
        <v>0</v>
      </c>
      <c r="Y124" s="21">
        <f>IF(X$123=0,0,X124/X$123)</f>
        <v>0</v>
      </c>
      <c r="Z124" s="20">
        <f t="shared" si="134"/>
        <v>1505.26</v>
      </c>
      <c r="AA124" s="21">
        <f>IF(Z$123=0,0,Z124/Z$123)</f>
        <v>0.50609393229262989</v>
      </c>
    </row>
    <row r="125" spans="1:27" hidden="1" outlineLevel="1" x14ac:dyDescent="0.2">
      <c r="A125" s="8" t="s">
        <v>88</v>
      </c>
      <c r="B125" s="20">
        <f>SUMIFS(Tabla2[A],Tabla2[ANY],$Z$76,Tabla2[MES],'2022'!B$2,Tabla2[TIPUS],'2022'!$A125)</f>
        <v>0</v>
      </c>
      <c r="C125" s="21">
        <f t="shared" ref="C125:E128" si="137">IF(B$123=0,0,B125/B$123)</f>
        <v>0</v>
      </c>
      <c r="D125" s="20">
        <f>SUMIFS(Tabla2[A],Tabla2[ANY],$Z$76,Tabla2[MES],'2022'!D$2,Tabla2[TIPUS],'2022'!$A125)</f>
        <v>0</v>
      </c>
      <c r="E125" s="21">
        <f t="shared" si="137"/>
        <v>0</v>
      </c>
      <c r="F125" s="20">
        <f>SUMIFS(Tabla2[A],Tabla2[ANY],$Z$76,Tabla2[MES],'2022'!F$2,Tabla2[TIPUS],'2022'!$A125)</f>
        <v>0</v>
      </c>
      <c r="G125" s="21">
        <f>IF(F$123=0,0,F125/F$123)</f>
        <v>0</v>
      </c>
      <c r="H125" s="20">
        <f>SUMIFS(Tabla2[A],Tabla2[ANY],$Z$76,Tabla2[MES],'2022'!H$2,Tabla2[TIPUS],'2022'!$A125)</f>
        <v>0</v>
      </c>
      <c r="I125" s="21">
        <f>IF(H$123=0,0,H125/H$123)</f>
        <v>0</v>
      </c>
      <c r="J125" s="20">
        <f>SUMIFS(Tabla2[A],Tabla2[ANY],$Z$76,Tabla2[MES],'2022'!J$2,Tabla2[TIPUS],'2022'!$A125)</f>
        <v>0</v>
      </c>
      <c r="K125" s="21">
        <f>IF(J$123=0,0,J125/J$123)</f>
        <v>0</v>
      </c>
      <c r="L125" s="20">
        <f>SUMIFS(Tabla2[A],Tabla2[ANY],$Z$76,Tabla2[MES],'2022'!L$2,Tabla2[TIPUS],'2022'!$A125)</f>
        <v>0</v>
      </c>
      <c r="M125" s="21">
        <f>IF(L$123=0,0,L125/L$123)</f>
        <v>0</v>
      </c>
      <c r="N125" s="20">
        <f>SUMIFS(Tabla2[A],Tabla2[ANY],$Z$76,Tabla2[MES],'2022'!N$2,Tabla2[TIPUS],'2022'!$A125)</f>
        <v>0</v>
      </c>
      <c r="O125" s="21">
        <f>IF(N$123=0,0,N125/N$123)</f>
        <v>0</v>
      </c>
      <c r="P125" s="20">
        <f>SUMIFS(Tabla2[A],Tabla2[ANY],$Z$76,Tabla2[MES],'2022'!P$2,Tabla2[TIPUS],'2022'!$A125)</f>
        <v>0</v>
      </c>
      <c r="Q125" s="21">
        <f>IF(P$123=0,0,P125/P$123)</f>
        <v>0</v>
      </c>
      <c r="R125" s="20">
        <f>SUMIFS(Tabla2[A],Tabla2[ANY],$Z$76,Tabla2[MES],'2022'!R$2,Tabla2[TIPUS],'2022'!$A125)</f>
        <v>0</v>
      </c>
      <c r="S125" s="21">
        <f>IF(R$123=0,0,R125/R$123)</f>
        <v>0</v>
      </c>
      <c r="T125" s="20">
        <f>SUMIFS(Tabla2[A],Tabla2[ANY],$Z$76,Tabla2[MES],'2022'!T$2,Tabla2[TIPUS],'2022'!$A125)</f>
        <v>0</v>
      </c>
      <c r="U125" s="21">
        <f>IF(T$123=0,0,T125/T$123)</f>
        <v>0</v>
      </c>
      <c r="V125" s="20">
        <f>SUMIFS(Tabla2[A],Tabla2[ANY],$Z$76,Tabla2[MES],'2022'!V$2,Tabla2[TIPUS],'2022'!$A125)</f>
        <v>0</v>
      </c>
      <c r="W125" s="21">
        <f>IF(V$123=0,0,V125/V$123)</f>
        <v>0</v>
      </c>
      <c r="X125" s="20">
        <f>SUMIFS(Tabla2[A],Tabla2[ANY],$Z$76,Tabla2[MES],'2022'!X$2,Tabla2[TIPUS],'2022'!$A125)</f>
        <v>0</v>
      </c>
      <c r="Y125" s="21">
        <f>IF(X$123=0,0,X125/X$123)</f>
        <v>0</v>
      </c>
      <c r="Z125" s="20">
        <f t="shared" si="134"/>
        <v>0</v>
      </c>
      <c r="AA125" s="21">
        <f>IF(Z$123=0,0,Z125/Z$123)</f>
        <v>0</v>
      </c>
    </row>
    <row r="126" spans="1:27" hidden="1" outlineLevel="1" x14ac:dyDescent="0.2">
      <c r="A126" s="8" t="s">
        <v>89</v>
      </c>
      <c r="B126" s="20">
        <f>SUMIFS(Tabla2[A],Tabla2[ANY],$Z$76,Tabla2[MES],'2022'!B$2,Tabla2[TIPUS],'2022'!$A126)</f>
        <v>0</v>
      </c>
      <c r="C126" s="21">
        <f t="shared" si="137"/>
        <v>0</v>
      </c>
      <c r="D126" s="20">
        <f>SUMIFS(Tabla2[A],Tabla2[ANY],$Z$76,Tabla2[MES],'2022'!D$2,Tabla2[TIPUS],'2022'!$A126)</f>
        <v>0</v>
      </c>
      <c r="E126" s="21">
        <f t="shared" si="137"/>
        <v>0</v>
      </c>
      <c r="F126" s="20">
        <f>SUMIFS(Tabla2[A],Tabla2[ANY],$Z$76,Tabla2[MES],'2022'!F$2,Tabla2[TIPUS],'2022'!$A126)</f>
        <v>418.59</v>
      </c>
      <c r="G126" s="21">
        <f>IF(F$123=0,0,F126/F$123)</f>
        <v>1</v>
      </c>
      <c r="H126" s="20">
        <f>SUMIFS(Tabla2[A],Tabla2[ANY],$Z$76,Tabla2[MES],'2022'!H$2,Tabla2[TIPUS],'2022'!$A126)</f>
        <v>208.47</v>
      </c>
      <c r="I126" s="21">
        <f>IF(H$123=0,0,H126/H$123)</f>
        <v>1</v>
      </c>
      <c r="J126" s="20">
        <f>SUMIFS(Tabla2[A],Tabla2[ANY],$Z$76,Tabla2[MES],'2022'!J$2,Tabla2[TIPUS],'2022'!$A126)</f>
        <v>0</v>
      </c>
      <c r="K126" s="21">
        <f>IF(J$123=0,0,J126/J$123)</f>
        <v>0</v>
      </c>
      <c r="L126" s="20">
        <f>SUMIFS(Tabla2[A],Tabla2[ANY],$Z$76,Tabla2[MES],'2022'!L$2,Tabla2[TIPUS],'2022'!$A126)</f>
        <v>172.5</v>
      </c>
      <c r="M126" s="21">
        <f>IF(L$123=0,0,L126/L$123)</f>
        <v>1</v>
      </c>
      <c r="N126" s="20">
        <f>SUMIFS(Tabla2[A],Tabla2[ANY],$Z$76,Tabla2[MES],'2022'!N$2,Tabla2[TIPUS],'2022'!$A126)</f>
        <v>17.100000000000001</v>
      </c>
      <c r="O126" s="21">
        <f>IF(N$123=0,0,N126/N$123)</f>
        <v>1</v>
      </c>
      <c r="P126" s="20">
        <f>SUMIFS(Tabla2[A],Tabla2[ANY],$Z$76,Tabla2[MES],'2022'!P$2,Tabla2[TIPUS],'2022'!$A126)</f>
        <v>9.8099999999999454</v>
      </c>
      <c r="Q126" s="21">
        <f>IF(P$123=0,0,P126/P$123)</f>
        <v>2.3787584869059034E-2</v>
      </c>
      <c r="R126" s="20">
        <f>SUMIFS(Tabla2[A],Tabla2[ANY],$Z$76,Tabla2[MES],'2022'!R$2,Tabla2[TIPUS],'2022'!$A126)</f>
        <v>336.42</v>
      </c>
      <c r="S126" s="21">
        <f>IF(R$123=0,0,R126/R$123)</f>
        <v>0.73708426449322995</v>
      </c>
      <c r="T126" s="20">
        <f>SUMIFS(Tabla2[A],Tabla2[ANY],$Z$76,Tabla2[MES],'2022'!T$2,Tabla2[TIPUS],'2022'!$A126)</f>
        <v>0</v>
      </c>
      <c r="U126" s="21">
        <f>IF(T$123=0,0,T126/T$123)</f>
        <v>0</v>
      </c>
      <c r="V126" s="20">
        <f>SUMIFS(Tabla2[A],Tabla2[ANY],$Z$76,Tabla2[MES],'2022'!V$2,Tabla2[TIPUS],'2022'!$A126)</f>
        <v>26.12</v>
      </c>
      <c r="W126" s="21">
        <f>IF(V$123=0,0,V126/V$123)</f>
        <v>2.6001692300034844E-2</v>
      </c>
      <c r="X126" s="20">
        <f>SUMIFS(Tabla2[A],Tabla2[ANY],$Z$76,Tabla2[MES],'2022'!X$2,Tabla2[TIPUS],'2022'!$A126)</f>
        <v>0</v>
      </c>
      <c r="Y126" s="21">
        <f>IF(X$123=0,0,X126/X$123)</f>
        <v>0</v>
      </c>
      <c r="Z126" s="20">
        <f t="shared" si="134"/>
        <v>1189.0099999999998</v>
      </c>
      <c r="AA126" s="21">
        <f>IF(Z$123=0,0,Z126/Z$123)</f>
        <v>0.39976532056605485</v>
      </c>
    </row>
    <row r="127" spans="1:27" hidden="1" outlineLevel="1" x14ac:dyDescent="0.2">
      <c r="A127" s="8" t="s">
        <v>145</v>
      </c>
      <c r="B127" s="20">
        <f>SUMIFS(Tabla2[A],Tabla2[ANY],$Z$76,Tabla2[MES],'2022'!B$2,Tabla2[TIPUS],'2022'!$A127)</f>
        <v>0</v>
      </c>
      <c r="C127" s="21">
        <f>IF(B$123=0,0,B127/B$123)</f>
        <v>0</v>
      </c>
      <c r="D127" s="20">
        <f>SUMIFS(Tabla2[A],Tabla2[ANY],$Z$76,Tabla2[MES],'2022'!D$2,Tabla2[TIPUS],'2022'!$A127)</f>
        <v>0</v>
      </c>
      <c r="E127" s="21">
        <f>IF(D$123=0,0,D127/D$123)</f>
        <v>0</v>
      </c>
      <c r="F127" s="20">
        <f>SUMIFS(Tabla2[A],Tabla2[ANY],$Z$76,Tabla2[MES],'2022'!F$2,Tabla2[TIPUS],'2022'!$A127)</f>
        <v>0</v>
      </c>
      <c r="G127" s="21">
        <f>IF(F$123=0,0,F127/F$123)</f>
        <v>0</v>
      </c>
      <c r="H127" s="20">
        <f>SUMIFS(Tabla2[A],Tabla2[ANY],$Z$76,Tabla2[MES],'2022'!H$2,Tabla2[TIPUS],'2022'!$A127)</f>
        <v>0</v>
      </c>
      <c r="I127" s="21">
        <f>IF(H$123=0,0,H127/H$123)</f>
        <v>0</v>
      </c>
      <c r="J127" s="20">
        <f>SUMIFS(Tabla2[A],Tabla2[ANY],$Z$76,Tabla2[MES],'2022'!J$2,Tabla2[TIPUS],'2022'!$A127)</f>
        <v>0</v>
      </c>
      <c r="K127" s="21">
        <f>IF(J$123=0,0,J127/J$123)</f>
        <v>0</v>
      </c>
      <c r="L127" s="20">
        <f>SUMIFS(Tabla2[A],Tabla2[ANY],$Z$76,Tabla2[MES],'2022'!L$2,Tabla2[TIPUS],'2022'!$A127)</f>
        <v>0</v>
      </c>
      <c r="M127" s="21">
        <f>IF(L$123=0,0,L127/L$123)</f>
        <v>0</v>
      </c>
      <c r="N127" s="20">
        <f>SUMIFS(Tabla2[A],Tabla2[ANY],$Z$76,Tabla2[MES],'2022'!N$2,Tabla2[TIPUS],'2022'!$A127)</f>
        <v>0</v>
      </c>
      <c r="O127" s="21">
        <f>IF(N$123=0,0,N127/N$123)</f>
        <v>0</v>
      </c>
      <c r="P127" s="20">
        <f>SUMIFS(Tabla2[A],Tabla2[ANY],$Z$76,Tabla2[MES],'2022'!P$2,Tabla2[TIPUS],'2022'!$A127)</f>
        <v>0</v>
      </c>
      <c r="Q127" s="21">
        <f>IF(P$123=0,0,P127/P$123)</f>
        <v>0</v>
      </c>
      <c r="R127" s="20">
        <f>SUMIFS(Tabla2[A],Tabla2[ANY],$Z$76,Tabla2[MES],'2022'!R$2,Tabla2[TIPUS],'2022'!$A127)</f>
        <v>0</v>
      </c>
      <c r="S127" s="21">
        <f>IF(R$123=0,0,R127/R$123)</f>
        <v>0</v>
      </c>
      <c r="T127" s="20">
        <f>SUMIFS(Tabla2[A],Tabla2[ANY],$Z$76,Tabla2[MES],'2022'!T$2,Tabla2[TIPUS],'2022'!$A127)</f>
        <v>0</v>
      </c>
      <c r="U127" s="21">
        <f>IF(T$123=0,0,T127/T$123)</f>
        <v>0</v>
      </c>
      <c r="V127" s="20">
        <f>SUMIFS(Tabla2[A],Tabla2[ANY],$Z$76,Tabla2[MES],'2022'!V$2,Tabla2[TIPUS],'2022'!$A127)</f>
        <v>0</v>
      </c>
      <c r="W127" s="21">
        <f>IF(V$123=0,0,V127/V$123)</f>
        <v>0</v>
      </c>
      <c r="X127" s="20">
        <f>SUMIFS(Tabla2[A],Tabla2[ANY],$Z$76,Tabla2[MES],'2022'!X$2,Tabla2[TIPUS],'2022'!$A127)</f>
        <v>0</v>
      </c>
      <c r="Y127" s="21">
        <f>IF(X$123=0,0,X127/X$123)</f>
        <v>0</v>
      </c>
      <c r="Z127" s="20">
        <f>B127+D127+F127+H127+J127+L127+N127+P127+R127+T127+V127+X127</f>
        <v>0</v>
      </c>
      <c r="AA127" s="21">
        <f>IF(Z$123=0,0,Z127/Z$123)</f>
        <v>0</v>
      </c>
    </row>
    <row r="128" spans="1:27" hidden="1" outlineLevel="1" x14ac:dyDescent="0.2">
      <c r="A128" s="8" t="s">
        <v>90</v>
      </c>
      <c r="B128" s="20">
        <f>SUMIFS(Tabla2[A],Tabla2[ANY],$Z$76,Tabla2[MES],'2022'!B$2,Tabla2[TIPUS],'2022'!$A128)</f>
        <v>0</v>
      </c>
      <c r="C128" s="21">
        <f t="shared" si="137"/>
        <v>0</v>
      </c>
      <c r="D128" s="20">
        <f>SUMIFS(Tabla2[A],Tabla2[ANY],$Z$76,Tabla2[MES],'2022'!D$2,Tabla2[TIPUS],'2022'!$A128)</f>
        <v>0</v>
      </c>
      <c r="E128" s="21">
        <f t="shared" si="137"/>
        <v>0</v>
      </c>
      <c r="F128" s="20">
        <f>SUMIFS(Tabla2[A],Tabla2[ANY],$Z$76,Tabla2[MES],'2022'!F$2,Tabla2[TIPUS],'2022'!$A128)</f>
        <v>0</v>
      </c>
      <c r="G128" s="21">
        <f>IF(F$123=0,0,F128/F$123)</f>
        <v>0</v>
      </c>
      <c r="H128" s="20">
        <f>SUMIFS(Tabla2[A],Tabla2[ANY],$Z$76,Tabla2[MES],'2022'!H$2,Tabla2[TIPUS],'2022'!$A128)</f>
        <v>0</v>
      </c>
      <c r="I128" s="21">
        <f>IF(H$123=0,0,H128/H$123)</f>
        <v>0</v>
      </c>
      <c r="J128" s="20">
        <f>SUMIFS(Tabla2[A],Tabla2[ANY],$Z$76,Tabla2[MES],'2022'!J$2,Tabla2[TIPUS],'2022'!$A128)</f>
        <v>0</v>
      </c>
      <c r="K128" s="21">
        <f>IF(J$123=0,0,J128/J$123)</f>
        <v>0</v>
      </c>
      <c r="L128" s="20">
        <f>SUMIFS(Tabla2[A],Tabla2[ANY],$Z$76,Tabla2[MES],'2022'!L$2,Tabla2[TIPUS],'2022'!$A128)</f>
        <v>0</v>
      </c>
      <c r="M128" s="21">
        <f>IF(L$123=0,0,L128/L$123)</f>
        <v>0</v>
      </c>
      <c r="N128" s="20">
        <f>SUMIFS(Tabla2[A],Tabla2[ANY],$Z$76,Tabla2[MES],'2022'!N$2,Tabla2[TIPUS],'2022'!$A128)</f>
        <v>0</v>
      </c>
      <c r="O128" s="21">
        <f>IF(N$123=0,0,N128/N$123)</f>
        <v>0</v>
      </c>
      <c r="P128" s="20">
        <f>SUMIFS(Tabla2[A],Tabla2[ANY],$Z$76,Tabla2[MES],'2022'!P$2,Tabla2[TIPUS],'2022'!$A128)</f>
        <v>0</v>
      </c>
      <c r="Q128" s="21">
        <f>IF(P$123=0,0,P128/P$123)</f>
        <v>0</v>
      </c>
      <c r="R128" s="20">
        <f>SUMIFS(Tabla2[A],Tabla2[ANY],$Z$76,Tabla2[MES],'2022'!R$2,Tabla2[TIPUS],'2022'!$A128)</f>
        <v>120</v>
      </c>
      <c r="S128" s="21">
        <f>IF(R$123=0,0,R128/R$123)</f>
        <v>0.26291573550677005</v>
      </c>
      <c r="T128" s="20">
        <f>SUMIFS(Tabla2[A],Tabla2[ANY],$Z$76,Tabla2[MES],'2022'!T$2,Tabla2[TIPUS],'2022'!$A128)</f>
        <v>0</v>
      </c>
      <c r="U128" s="21">
        <f>IF(T$123=0,0,T128/T$123)</f>
        <v>0</v>
      </c>
      <c r="V128" s="20">
        <f>SUMIFS(Tabla2[A],Tabla2[ANY],$Z$76,Tabla2[MES],'2022'!V$2,Tabla2[TIPUS],'2022'!$A128)</f>
        <v>160</v>
      </c>
      <c r="W128" s="21">
        <f>IF(V$123=0,0,V128/V$123)</f>
        <v>0.15927529739684437</v>
      </c>
      <c r="X128" s="20">
        <f>SUMIFS(Tabla2[A],Tabla2[ANY],$Z$76,Tabla2[MES],'2022'!X$2,Tabla2[TIPUS],'2022'!$A128)</f>
        <v>0</v>
      </c>
      <c r="Y128" s="21">
        <f>IF(X$123=0,0,X128/X$123)</f>
        <v>0</v>
      </c>
      <c r="Z128" s="20">
        <f t="shared" si="134"/>
        <v>280</v>
      </c>
      <c r="AA128" s="21">
        <f>IF(Z$123=0,0,Z128/Z$123)</f>
        <v>9.4140747141315359E-2</v>
      </c>
    </row>
    <row r="129" spans="1:27" ht="15.75" collapsed="1" thickBot="1" x14ac:dyDescent="0.25">
      <c r="A129" s="15" t="s">
        <v>121</v>
      </c>
      <c r="B129" s="26">
        <f>B77-B114</f>
        <v>-305.70000000000005</v>
      </c>
      <c r="C129" s="27">
        <f>IF(B77=0,0,B129/B77)</f>
        <v>-0.5363157894736843</v>
      </c>
      <c r="D129" s="26">
        <f>D77-D114</f>
        <v>633.65000000000009</v>
      </c>
      <c r="E129" s="27">
        <f>IF(D77=0,0,D129/D77)</f>
        <v>0.5682959641255606</v>
      </c>
      <c r="F129" s="26">
        <f>F77-F114</f>
        <v>741.79</v>
      </c>
      <c r="G129" s="27">
        <f>IF(F77=0,0,F129/F77)</f>
        <v>0.45093617021276594</v>
      </c>
      <c r="H129" s="26">
        <f>H77-H114</f>
        <v>1980.07</v>
      </c>
      <c r="I129" s="27">
        <f>IF(H77=0,0,H129/H77)</f>
        <v>0.80654582484725046</v>
      </c>
      <c r="J129" s="26">
        <f>J77-J114</f>
        <v>1167.26</v>
      </c>
      <c r="K129" s="27">
        <f>IF(J77=0,0,J129/J77)</f>
        <v>0.62253866666666668</v>
      </c>
      <c r="L129" s="26">
        <f>L77-L114</f>
        <v>626.38000000000011</v>
      </c>
      <c r="M129" s="27">
        <f>IF(L77=0,0,L129/L77)</f>
        <v>0.37847734138972816</v>
      </c>
      <c r="N129" s="26">
        <f>N77-N114</f>
        <v>192.07999999999998</v>
      </c>
      <c r="O129" s="27">
        <f>IF(N77=0,0,N129/N77)</f>
        <v>0.27439999999999998</v>
      </c>
      <c r="P129" s="26">
        <f>P77-P114</f>
        <v>-537.4</v>
      </c>
      <c r="Q129" s="27">
        <f>IF(P77=0,0,P129/P77)</f>
        <v>-1.5576811594202897</v>
      </c>
      <c r="R129" s="26">
        <f>R77-R114</f>
        <v>130.57999999999993</v>
      </c>
      <c r="S129" s="27">
        <f>IF(R77=0,0,R129/R77)</f>
        <v>0.13123618090452255</v>
      </c>
      <c r="T129" s="26">
        <f>T77-T114</f>
        <v>1500</v>
      </c>
      <c r="U129" s="27">
        <f>IF(T77=0,0,T129/T77)</f>
        <v>0.76142131979695427</v>
      </c>
      <c r="V129" s="26">
        <f>V77-V114</f>
        <v>-84.849999999999909</v>
      </c>
      <c r="W129" s="27">
        <f>IF(V77=0,0,V129/V77)</f>
        <v>-6.1043165467625837E-2</v>
      </c>
      <c r="X129" s="26">
        <f>X77-X114</f>
        <v>965</v>
      </c>
      <c r="Y129" s="27">
        <f>IF(X77=0,0,X129/X77)</f>
        <v>0.67247386759581884</v>
      </c>
      <c r="Z129" s="26">
        <f>Z77-Z114</f>
        <v>7008.8600000000006</v>
      </c>
      <c r="AA129" s="27">
        <f>IF(Z77=0,0,Z129/Z77)</f>
        <v>0.43398513931888549</v>
      </c>
    </row>
    <row r="130" spans="1:27" ht="16.5" thickTop="1" thickBot="1" x14ac:dyDescent="0.25">
      <c r="A130" s="13" t="s">
        <v>120</v>
      </c>
      <c r="B130" s="28">
        <f>B131</f>
        <v>76.587222222222223</v>
      </c>
      <c r="C130" s="29">
        <f>IF(B77=0,0,B130/B77)</f>
        <v>0.1343635477582846</v>
      </c>
      <c r="D130" s="28">
        <f t="shared" ref="D130:X130" si="138">D131</f>
        <v>76.587222222222223</v>
      </c>
      <c r="E130" s="29">
        <f>IF(D77=0,0,D130/D77)</f>
        <v>6.868809167912307E-2</v>
      </c>
      <c r="F130" s="28">
        <f t="shared" si="138"/>
        <v>76.587222222222223</v>
      </c>
      <c r="G130" s="29">
        <f>IF(F77=0,0,F130/F77)</f>
        <v>4.6557581898007433E-2</v>
      </c>
      <c r="H130" s="28">
        <f t="shared" si="138"/>
        <v>76.587222222222223</v>
      </c>
      <c r="I130" s="29">
        <f>IF(H77=0,0,H130/H77)</f>
        <v>3.119642453043675E-2</v>
      </c>
      <c r="J130" s="28">
        <f t="shared" si="138"/>
        <v>76.587222222222223</v>
      </c>
      <c r="K130" s="29">
        <f>IF(J77=0,0,J130/J77)</f>
        <v>4.0846518518518518E-2</v>
      </c>
      <c r="L130" s="28">
        <f t="shared" si="138"/>
        <v>76.587222222222223</v>
      </c>
      <c r="M130" s="29">
        <f>IF(L77=0,0,L130/L77)</f>
        <v>4.6276267203759651E-2</v>
      </c>
      <c r="N130" s="28">
        <f t="shared" si="138"/>
        <v>76.587222222222223</v>
      </c>
      <c r="O130" s="29">
        <f>IF(N77=0,0,N130/N77)</f>
        <v>0.10941031746031746</v>
      </c>
      <c r="P130" s="28">
        <f t="shared" si="138"/>
        <v>76.587222222222223</v>
      </c>
      <c r="Q130" s="29">
        <f>IF(P77=0,0,P130/P77)</f>
        <v>0.22199194847020934</v>
      </c>
      <c r="R130" s="28">
        <f t="shared" si="138"/>
        <v>76.587222222222223</v>
      </c>
      <c r="S130" s="29">
        <f>IF(R77=0,0,R130/R77)</f>
        <v>7.6972082635399217E-2</v>
      </c>
      <c r="T130" s="28">
        <f t="shared" si="138"/>
        <v>76.587222222222223</v>
      </c>
      <c r="U130" s="29">
        <f>IF(T77=0,0,T130/T77)</f>
        <v>3.8876762549351379E-2</v>
      </c>
      <c r="V130" s="28">
        <f t="shared" si="138"/>
        <v>76.587222222222223</v>
      </c>
      <c r="W130" s="29">
        <f>IF(V77=0,0,V130/V77)</f>
        <v>5.5098721023181453E-2</v>
      </c>
      <c r="X130" s="28">
        <f t="shared" si="138"/>
        <v>76.587222222222223</v>
      </c>
      <c r="Y130" s="29">
        <f>IF(X77=0,0,X130/X77)</f>
        <v>5.3370886566008517E-2</v>
      </c>
      <c r="Z130" s="28">
        <f>Z131</f>
        <v>919.04666666666651</v>
      </c>
      <c r="AA130" s="29">
        <f>IF(Z77=0,0,Z130/Z77)</f>
        <v>5.6906914344685235E-2</v>
      </c>
    </row>
    <row r="131" spans="1:27" outlineLevel="1" x14ac:dyDescent="0.2">
      <c r="A131" s="8" t="s">
        <v>81</v>
      </c>
      <c r="B131" s="20">
        <f>IF($A$2&gt;=1,Tarifas!$I$47,0)</f>
        <v>76.587222222222223</v>
      </c>
      <c r="C131" s="21">
        <f>IF(B130=0,0,B131/B130)</f>
        <v>1</v>
      </c>
      <c r="D131" s="20">
        <f>IF($A$2&gt;=2,Tarifas!$I$47,0)</f>
        <v>76.587222222222223</v>
      </c>
      <c r="E131" s="21">
        <f>IF(D130=0,0,D131/D130)</f>
        <v>1</v>
      </c>
      <c r="F131" s="20">
        <f>IF($A$2&gt;=3,Tarifas!$I$47,0)</f>
        <v>76.587222222222223</v>
      </c>
      <c r="G131" s="21">
        <f>IF(F130=0,0,F131/F130)</f>
        <v>1</v>
      </c>
      <c r="H131" s="20">
        <f>IF($A$2&gt;=4,Tarifas!$I$47,0)</f>
        <v>76.587222222222223</v>
      </c>
      <c r="I131" s="21">
        <f>IF(H130=0,0,H131/H130)</f>
        <v>1</v>
      </c>
      <c r="J131" s="20">
        <f>IF($A$2&gt;=5,Tarifas!$I$47,0)</f>
        <v>76.587222222222223</v>
      </c>
      <c r="K131" s="21">
        <f>IF(J130=0,0,J131/J130)</f>
        <v>1</v>
      </c>
      <c r="L131" s="20">
        <f>IF($A$2&gt;=6,Tarifas!$I$47,0)</f>
        <v>76.587222222222223</v>
      </c>
      <c r="M131" s="21">
        <f>IF(L130=0,0,L131/L130)</f>
        <v>1</v>
      </c>
      <c r="N131" s="20">
        <f>IF($A$2&gt;=7,Tarifas!$I$47,0)</f>
        <v>76.587222222222223</v>
      </c>
      <c r="O131" s="21">
        <f>IF(N130=0,0,N131/N130)</f>
        <v>1</v>
      </c>
      <c r="P131" s="20">
        <f>IF($A$2&gt;=8,Tarifas!$I$47,0)</f>
        <v>76.587222222222223</v>
      </c>
      <c r="Q131" s="21">
        <f>IF(P130=0,0,P131/P130)</f>
        <v>1</v>
      </c>
      <c r="R131" s="20">
        <f>IF($A$2&gt;=9,Tarifas!$I$47,0)</f>
        <v>76.587222222222223</v>
      </c>
      <c r="S131" s="21">
        <f>IF(R130=0,0,R131/R130)</f>
        <v>1</v>
      </c>
      <c r="T131" s="20">
        <f>IF($A$2&gt;=10,Tarifas!$I$47,0)</f>
        <v>76.587222222222223</v>
      </c>
      <c r="U131" s="21">
        <f>IF(T130=0,0,T131/T130)</f>
        <v>1</v>
      </c>
      <c r="V131" s="20">
        <f>IF($A$2&gt;=11,Tarifas!$I$47,0)</f>
        <v>76.587222222222223</v>
      </c>
      <c r="W131" s="21">
        <f>IF(V130=0,0,V131/V130)</f>
        <v>1</v>
      </c>
      <c r="X131" s="20">
        <f>IF($A$2&gt;=12,Tarifas!$I$47,0)</f>
        <v>76.587222222222223</v>
      </c>
      <c r="Y131" s="21">
        <f>IF(X130=0,0,X131/X130)</f>
        <v>1</v>
      </c>
      <c r="Z131" s="20">
        <f>B131+D131+F131+H131+J131+L131+N131+P131+R131+T131+V131+X131</f>
        <v>919.04666666666651</v>
      </c>
      <c r="AA131" s="21">
        <f>IF(Z130=0,0,Z131/Z130)</f>
        <v>1</v>
      </c>
    </row>
    <row r="132" spans="1:27" ht="15.75" thickBot="1" x14ac:dyDescent="0.25">
      <c r="A132" s="15" t="s">
        <v>122</v>
      </c>
      <c r="B132" s="26">
        <f>B129-B130</f>
        <v>-382.28722222222228</v>
      </c>
      <c r="C132" s="27">
        <f>IF(B$77=0,0,B132/B$77)</f>
        <v>-0.67067933723196893</v>
      </c>
      <c r="D132" s="26">
        <f>D129-D130</f>
        <v>557.06277777777791</v>
      </c>
      <c r="E132" s="27">
        <f>IF(D$77=0,0,D132/D$77)</f>
        <v>0.49960787244643756</v>
      </c>
      <c r="F132" s="26">
        <f>F129-F130</f>
        <v>665.20277777777778</v>
      </c>
      <c r="G132" s="27">
        <f>IF(F$77=0,0,F132/F$77)</f>
        <v>0.40437858831475854</v>
      </c>
      <c r="H132" s="26">
        <f>H129-H130</f>
        <v>1903.4827777777778</v>
      </c>
      <c r="I132" s="27">
        <f>IF(H$77=0,0,H132/H$77)</f>
        <v>0.77534940031681376</v>
      </c>
      <c r="J132" s="26">
        <f>J129-J130</f>
        <v>1090.6727777777778</v>
      </c>
      <c r="K132" s="27">
        <f>IF(J$77=0,0,J132/J$77)</f>
        <v>0.58169214814814818</v>
      </c>
      <c r="L132" s="26">
        <f>L129-L130</f>
        <v>549.79277777777793</v>
      </c>
      <c r="M132" s="27">
        <f>IF(L$77=0,0,L132/L$77)</f>
        <v>0.33220107418596856</v>
      </c>
      <c r="N132" s="26">
        <f>N129-N130</f>
        <v>115.49277777777776</v>
      </c>
      <c r="O132" s="27">
        <f>IF(N$77=0,0,N132/N$77)</f>
        <v>0.16498968253968252</v>
      </c>
      <c r="P132" s="26">
        <f>P129-P130</f>
        <v>-613.98722222222216</v>
      </c>
      <c r="Q132" s="27">
        <f>IF(P$77=0,0,P132/P$77)</f>
        <v>-1.779673107890499</v>
      </c>
      <c r="R132" s="26">
        <f>R129-R130</f>
        <v>53.992777777777704</v>
      </c>
      <c r="S132" s="27">
        <f>IF(R$77=0,0,R132/R$77)</f>
        <v>5.4264098269123318E-2</v>
      </c>
      <c r="T132" s="26">
        <f>T129-T130</f>
        <v>1423.4127777777778</v>
      </c>
      <c r="U132" s="27">
        <f>IF(T$77=0,0,T132/T$77)</f>
        <v>0.72254455724760291</v>
      </c>
      <c r="V132" s="26">
        <f>V129-V130</f>
        <v>-161.43722222222215</v>
      </c>
      <c r="W132" s="27">
        <f>IF(V$77=0,0,V132/V$77)</f>
        <v>-0.1161418864908073</v>
      </c>
      <c r="X132" s="26">
        <f>X129-X130</f>
        <v>888.41277777777782</v>
      </c>
      <c r="Y132" s="27">
        <f>IF(X$77=0,0,X132/X$77)</f>
        <v>0.61910298102981032</v>
      </c>
      <c r="Z132" s="26">
        <f>Z129-Z130</f>
        <v>6089.8133333333344</v>
      </c>
      <c r="AA132" s="27">
        <f>IF(Z$77=0,0,Z132/Z$77)</f>
        <v>0.37707822497420029</v>
      </c>
    </row>
    <row r="133" spans="1:27" ht="16.5" thickTop="1" thickBot="1" x14ac:dyDescent="0.25">
      <c r="A133" s="13" t="s">
        <v>134</v>
      </c>
      <c r="B133" s="28">
        <f>B134</f>
        <v>0</v>
      </c>
      <c r="C133" s="29">
        <f>IF(B$77=0,0,B133/B$77)</f>
        <v>0</v>
      </c>
      <c r="D133" s="28">
        <f>D134</f>
        <v>0</v>
      </c>
      <c r="E133" s="29">
        <f>IF(D$77=0,0,D133/D$77)</f>
        <v>0</v>
      </c>
      <c r="F133" s="28">
        <f>F134</f>
        <v>0</v>
      </c>
      <c r="G133" s="29">
        <f>IF(F$77=0,0,F133/F$77)</f>
        <v>0</v>
      </c>
      <c r="H133" s="28">
        <f>H134</f>
        <v>0</v>
      </c>
      <c r="I133" s="29">
        <f>IF(H$77=0,0,H133/H$77)</f>
        <v>0</v>
      </c>
      <c r="J133" s="28">
        <f>J134</f>
        <v>0</v>
      </c>
      <c r="K133" s="29">
        <f>IF(J$77=0,0,J133/J$77)</f>
        <v>0</v>
      </c>
      <c r="L133" s="28">
        <f>L134</f>
        <v>0</v>
      </c>
      <c r="M133" s="29">
        <f>IF(L$77=0,0,L133/L$77)</f>
        <v>0</v>
      </c>
      <c r="N133" s="28">
        <f>N134</f>
        <v>0</v>
      </c>
      <c r="O133" s="29">
        <f>IF(N$77=0,0,N133/N$77)</f>
        <v>0</v>
      </c>
      <c r="P133" s="28">
        <f>P134</f>
        <v>0</v>
      </c>
      <c r="Q133" s="29">
        <f>IF(P$77=0,0,P133/P$77)</f>
        <v>0</v>
      </c>
      <c r="R133" s="28">
        <f>R134</f>
        <v>0</v>
      </c>
      <c r="S133" s="29">
        <f>IF(R$77=0,0,R133/R$77)</f>
        <v>0</v>
      </c>
      <c r="T133" s="28">
        <f>T134</f>
        <v>0</v>
      </c>
      <c r="U133" s="29">
        <f>IF(T$77=0,0,T133/T$77)</f>
        <v>0</v>
      </c>
      <c r="V133" s="28">
        <f>V134</f>
        <v>0</v>
      </c>
      <c r="W133" s="29">
        <f>IF(V$77=0,0,V133/V$77)</f>
        <v>0</v>
      </c>
      <c r="X133" s="28">
        <f>X134</f>
        <v>0</v>
      </c>
      <c r="Y133" s="29">
        <f>IF(X$77=0,0,X133/X$77)</f>
        <v>0</v>
      </c>
      <c r="Z133" s="28">
        <f>Z134</f>
        <v>0</v>
      </c>
      <c r="AA133" s="29">
        <f>IF(Z$77=0,0,Z133/Z$77)</f>
        <v>0</v>
      </c>
    </row>
    <row r="134" spans="1:27" hidden="1" outlineLevel="1" x14ac:dyDescent="0.2">
      <c r="A134" s="8" t="s">
        <v>133</v>
      </c>
      <c r="B134" s="20">
        <f>SUMIFS(Tabla2[A],Tabla2[ANY],2020,Tabla2[MES],'2022'!B$2,Tabla2[TIPUS],'2022'!$A134)</f>
        <v>0</v>
      </c>
      <c r="C134" s="44">
        <f>IF(B133=0,0,B134/B133)</f>
        <v>0</v>
      </c>
      <c r="D134" s="20">
        <f>SUMIFS(Tabla2[A],Tabla2[ANY],2020,Tabla2[MES],'2022'!D$2,Tabla2[TIPUS],'2022'!$A134)</f>
        <v>0</v>
      </c>
      <c r="E134" s="44">
        <f>IF(D133=0,0,D134/D133)</f>
        <v>0</v>
      </c>
      <c r="F134" s="20">
        <f>SUMIFS(Tabla2[A],Tabla2[ANY],2020,Tabla2[MES],'2022'!F$2,Tabla2[TIPUS],'2022'!$A134)</f>
        <v>0</v>
      </c>
      <c r="G134" s="44">
        <f>IF(F133=0,0,F134/F133)</f>
        <v>0</v>
      </c>
      <c r="H134" s="20">
        <f>SUMIFS(Tabla2[A],Tabla2[ANY],2020,Tabla2[MES],'2022'!H$2,Tabla2[TIPUS],'2022'!$A134)</f>
        <v>0</v>
      </c>
      <c r="I134" s="44">
        <f>IF(H133=0,0,H134/H133)</f>
        <v>0</v>
      </c>
      <c r="J134" s="20">
        <f>SUMIFS(Tabla2[A],Tabla2[ANY],2020,Tabla2[MES],'2022'!J$2,Tabla2[TIPUS],'2022'!$A134)</f>
        <v>0</v>
      </c>
      <c r="K134" s="44">
        <f>IF(J133=0,0,J134/J133)</f>
        <v>0</v>
      </c>
      <c r="L134" s="20">
        <f>SUMIFS(Tabla2[A],Tabla2[ANY],2020,Tabla2[MES],'2022'!L$2,Tabla2[TIPUS],'2022'!$A134)</f>
        <v>0</v>
      </c>
      <c r="M134" s="44">
        <f>IF(L133=0,0,L134/L133)</f>
        <v>0</v>
      </c>
      <c r="N134" s="20">
        <f>SUMIFS(Tabla2[A],Tabla2[ANY],2020,Tabla2[MES],'2022'!N$2,Tabla2[TIPUS],'2022'!$A134)</f>
        <v>0</v>
      </c>
      <c r="O134" s="44">
        <f>IF(N133=0,0,N134/N133)</f>
        <v>0</v>
      </c>
      <c r="P134" s="20">
        <f>SUMIFS(Tabla2[A],Tabla2[ANY],2020,Tabla2[MES],'2022'!P$2,Tabla2[TIPUS],'2022'!$A134)</f>
        <v>0</v>
      </c>
      <c r="Q134" s="44">
        <f>IF(P133=0,0,P134/P133)</f>
        <v>0</v>
      </c>
      <c r="R134" s="20">
        <f>SUMIFS(Tabla2[A],Tabla2[ANY],2020,Tabla2[MES],'2022'!R$2,Tabla2[TIPUS],'2022'!$A134)</f>
        <v>0</v>
      </c>
      <c r="S134" s="44">
        <f>IF(R133=0,0,R134/R133)</f>
        <v>0</v>
      </c>
      <c r="T134" s="20">
        <f>SUMIFS(Tabla2[A],Tabla2[ANY],2020,Tabla2[MES],'2022'!T$2,Tabla2[TIPUS],'2022'!$A134)</f>
        <v>0</v>
      </c>
      <c r="U134" s="44">
        <f>IF(T133=0,0,T134/T133)</f>
        <v>0</v>
      </c>
      <c r="V134" s="20">
        <f>SUMIFS(Tabla2[A],Tabla2[ANY],2020,Tabla2[MES],'2022'!V$2,Tabla2[TIPUS],'2022'!$A134)</f>
        <v>0</v>
      </c>
      <c r="W134" s="44">
        <f>IF(V133=0,0,V134/V133)</f>
        <v>0</v>
      </c>
      <c r="X134" s="20">
        <f>SUMIFS(Tabla2[A],Tabla2[ANY],2020,Tabla2[MES],'2022'!X$2,Tabla2[TIPUS],'2022'!$A134)</f>
        <v>0</v>
      </c>
      <c r="Y134" s="44">
        <f>IF(X133=0,0,X134/X133)</f>
        <v>0</v>
      </c>
      <c r="Z134" s="20">
        <f>B134+D134+F134+H134+J134+L134+N134+P134+R134+T134+V134+X134</f>
        <v>0</v>
      </c>
      <c r="AA134" s="44">
        <f>IF(Z133=0,0,Z134/Z133)</f>
        <v>0</v>
      </c>
    </row>
    <row r="135" spans="1:27" ht="15.75" collapsed="1" thickBot="1" x14ac:dyDescent="0.25">
      <c r="A135" s="15" t="s">
        <v>135</v>
      </c>
      <c r="B135" s="26">
        <f>B132-B134</f>
        <v>-382.28722222222228</v>
      </c>
      <c r="C135" s="27">
        <f>IF(B$77=0,0,B135/B$77)</f>
        <v>-0.67067933723196893</v>
      </c>
      <c r="D135" s="26">
        <f>D132-D134</f>
        <v>557.06277777777791</v>
      </c>
      <c r="E135" s="27">
        <f>IF(D$77=0,0,D135/D$77)</f>
        <v>0.49960787244643756</v>
      </c>
      <c r="F135" s="26">
        <f>F132-F134</f>
        <v>665.20277777777778</v>
      </c>
      <c r="G135" s="27">
        <f>IF(F$77=0,0,F135/F$77)</f>
        <v>0.40437858831475854</v>
      </c>
      <c r="H135" s="26">
        <f>H132-H134</f>
        <v>1903.4827777777778</v>
      </c>
      <c r="I135" s="27">
        <f>IF(H$77=0,0,H135/H$77)</f>
        <v>0.77534940031681376</v>
      </c>
      <c r="J135" s="26">
        <f>J132-J134</f>
        <v>1090.6727777777778</v>
      </c>
      <c r="K135" s="27">
        <f>IF(J$77=0,0,J135/J$77)</f>
        <v>0.58169214814814818</v>
      </c>
      <c r="L135" s="26">
        <f>L132-L134</f>
        <v>549.79277777777793</v>
      </c>
      <c r="M135" s="27">
        <f>IF(L$77=0,0,L135/L$77)</f>
        <v>0.33220107418596856</v>
      </c>
      <c r="N135" s="26">
        <f>N132-N134</f>
        <v>115.49277777777776</v>
      </c>
      <c r="O135" s="27">
        <f>IF(N$77=0,0,N135/N$77)</f>
        <v>0.16498968253968252</v>
      </c>
      <c r="P135" s="26">
        <f>P132-P134</f>
        <v>-613.98722222222216</v>
      </c>
      <c r="Q135" s="27">
        <f>IF(P$77=0,0,P135/P$77)</f>
        <v>-1.779673107890499</v>
      </c>
      <c r="R135" s="26">
        <f>R132-R134</f>
        <v>53.992777777777704</v>
      </c>
      <c r="S135" s="27">
        <f>IF(R$77=0,0,R135/R$77)</f>
        <v>5.4264098269123318E-2</v>
      </c>
      <c r="T135" s="26">
        <f>T132-T134</f>
        <v>1423.4127777777778</v>
      </c>
      <c r="U135" s="27">
        <f>IF(T$77=0,0,T135/T$77)</f>
        <v>0.72254455724760291</v>
      </c>
      <c r="V135" s="26">
        <f>V132-V134</f>
        <v>-161.43722222222215</v>
      </c>
      <c r="W135" s="27">
        <f>IF(V$77=0,0,V135/V$77)</f>
        <v>-0.1161418864908073</v>
      </c>
      <c r="X135" s="26">
        <f>X132-X134</f>
        <v>888.41277777777782</v>
      </c>
      <c r="Y135" s="27">
        <f>IF(X$77=0,0,X135/X$77)</f>
        <v>0.61910298102981032</v>
      </c>
      <c r="Z135" s="26">
        <f>Z132-Z134</f>
        <v>6089.8133333333344</v>
      </c>
      <c r="AA135" s="27">
        <f>IF(Z$77=0,0,Z135/Z$77)</f>
        <v>0.37707822497420029</v>
      </c>
    </row>
    <row r="136" spans="1:27" ht="15.75" thickTop="1" x14ac:dyDescent="0.2">
      <c r="A136" s="8" t="s">
        <v>123</v>
      </c>
      <c r="B136" s="20">
        <f>SUMIFS(Tabla2[A],Tabla2[ANY],$Z$76,Tabla2[MES],'2022'!B$2,Tabla2[TIPUS],'2022'!$A136)</f>
        <v>302.14</v>
      </c>
      <c r="C136" s="21">
        <f>IF(B$77=0,0,B136/B$77)</f>
        <v>0.53007017543859647</v>
      </c>
      <c r="D136" s="20">
        <f>SUMIFS(Tabla2[A],Tabla2[ANY],$Z$76,Tabla2[MES],'2022'!D$2,Tabla2[TIPUS],'2022'!$A136)</f>
        <v>0</v>
      </c>
      <c r="E136" s="21">
        <f>IF(D$77=0,0,D136/D$77)</f>
        <v>0</v>
      </c>
      <c r="F136" s="20">
        <f>SUMIFS(Tabla2[A],Tabla2[ANY],$Z$76,Tabla2[MES],'2022'!F$2,Tabla2[TIPUS],'2022'!$A136)</f>
        <v>0</v>
      </c>
      <c r="G136" s="21">
        <f>IF(F$77=0,0,F136/F$77)</f>
        <v>0</v>
      </c>
      <c r="H136" s="20">
        <f>SUMIFS(Tabla2[A],Tabla2[ANY],$Z$76,Tabla2[MES],'2022'!H$2,Tabla2[TIPUS],'2022'!$A136)</f>
        <v>309.11</v>
      </c>
      <c r="I136" s="21">
        <f>IF(H$77=0,0,H136/H$77)</f>
        <v>0.12591038696537679</v>
      </c>
      <c r="J136" s="20">
        <f>SUMIFS(Tabla2[A],Tabla2[ANY],$Z$76,Tabla2[MES],'2022'!J$2,Tabla2[TIPUS],'2022'!$A136)</f>
        <v>0</v>
      </c>
      <c r="K136" s="21">
        <f>IF(J$77=0,0,J136/J$77)</f>
        <v>0</v>
      </c>
      <c r="L136" s="20">
        <f>SUMIFS(Tabla2[A],Tabla2[ANY],$Z$76,Tabla2[MES],'2022'!L$2,Tabla2[TIPUS],'2022'!$A136)</f>
        <v>0</v>
      </c>
      <c r="M136" s="21">
        <f>IF(L$77=0,0,L136/L$77)</f>
        <v>0</v>
      </c>
      <c r="N136" s="20">
        <f>SUMIFS(Tabla2[A],Tabla2[ANY],$Z$76,Tabla2[MES],'2022'!N$2,Tabla2[TIPUS],'2022'!$A136)</f>
        <v>1170.7</v>
      </c>
      <c r="O136" s="21">
        <f>IF(N$77=0,0,N136/N$77)</f>
        <v>1.6724285714285716</v>
      </c>
      <c r="P136" s="20">
        <f>SUMIFS(Tabla2[A],Tabla2[ANY],$Z$76,Tabla2[MES],'2022'!P$2,Tabla2[TIPUS],'2022'!$A136)</f>
        <v>0</v>
      </c>
      <c r="Q136" s="21">
        <f>IF(P$77=0,0,P136/P$77)</f>
        <v>0</v>
      </c>
      <c r="R136" s="20">
        <f>SUMIFS(Tabla2[A],Tabla2[ANY],$Z$76,Tabla2[MES],'2022'!R$2,Tabla2[TIPUS],'2022'!$A136)</f>
        <v>0</v>
      </c>
      <c r="S136" s="21">
        <f>IF(R$77=0,0,R136/R$77)</f>
        <v>0</v>
      </c>
      <c r="T136" s="20">
        <f>SUMIFS(Tabla2[A],Tabla2[ANY],$Z$76,Tabla2[MES],'2022'!T$2,Tabla2[TIPUS],'2022'!$A136)</f>
        <v>605.01</v>
      </c>
      <c r="U136" s="21">
        <f>IF(T$77=0,0,T136/T$77)</f>
        <v>0.30711167512690357</v>
      </c>
      <c r="V136" s="20">
        <f>SUMIFS(Tabla2[A],Tabla2[ANY],$Z$76,Tabla2[MES],'2022'!V$2,Tabla2[TIPUS],'2022'!$A136)</f>
        <v>0</v>
      </c>
      <c r="W136" s="21">
        <f>IF(V$77=0,0,V136/V$77)</f>
        <v>0</v>
      </c>
      <c r="X136" s="20">
        <f>SUMIFS(Tabla2[A],Tabla2[ANY],$Z$76,Tabla2[MES],'2022'!X$2,Tabla2[TIPUS],'2022'!$A136)</f>
        <v>0</v>
      </c>
      <c r="Y136" s="21">
        <f>IF(X$77=0,0,X136/X$77)</f>
        <v>0</v>
      </c>
      <c r="Z136" s="20">
        <f>B136+D136+F136+H136+J136+L136+N136+P136+R136+T136+V136+X136</f>
        <v>2386.96</v>
      </c>
      <c r="AA136" s="21">
        <f>IF(Z$77=0,0,Z136/Z$77)</f>
        <v>0.14779938080495356</v>
      </c>
    </row>
    <row r="137" spans="1:27" ht="15.75" thickBot="1" x14ac:dyDescent="0.25">
      <c r="A137" s="15" t="s">
        <v>124</v>
      </c>
      <c r="B137" s="26">
        <f>B135-B136</f>
        <v>-684.42722222222233</v>
      </c>
      <c r="C137" s="27">
        <f>IF(B77=0,0,B137/B77)</f>
        <v>-1.2007495126705654</v>
      </c>
      <c r="D137" s="26">
        <f>D135-D136</f>
        <v>557.06277777777791</v>
      </c>
      <c r="E137" s="27">
        <f>IF(D77=0,0,D137/D77)</f>
        <v>0.49960787244643756</v>
      </c>
      <c r="F137" s="26">
        <f>F135-F136</f>
        <v>665.20277777777778</v>
      </c>
      <c r="G137" s="27">
        <f>IF(F77=0,0,F137/F77)</f>
        <v>0.40437858831475854</v>
      </c>
      <c r="H137" s="26">
        <f>H135-H136</f>
        <v>1594.3727777777776</v>
      </c>
      <c r="I137" s="27">
        <f>IF(H77=0,0,H137/H77)</f>
        <v>0.64943901335143694</v>
      </c>
      <c r="J137" s="26">
        <f>J135-J136</f>
        <v>1090.6727777777778</v>
      </c>
      <c r="K137" s="27">
        <f>IF(J77=0,0,J137/J77)</f>
        <v>0.58169214814814818</v>
      </c>
      <c r="L137" s="26">
        <f>L135-L136</f>
        <v>549.79277777777793</v>
      </c>
      <c r="M137" s="27">
        <f>IF(L77=0,0,L137/L77)</f>
        <v>0.33220107418596856</v>
      </c>
      <c r="N137" s="26">
        <f>N135-N136</f>
        <v>-1055.2072222222223</v>
      </c>
      <c r="O137" s="27">
        <f>IF(N77=0,0,N137/N77)</f>
        <v>-1.507438888888889</v>
      </c>
      <c r="P137" s="26">
        <f>P135-P136</f>
        <v>-613.98722222222216</v>
      </c>
      <c r="Q137" s="27">
        <f>IF(P77=0,0,P137/P77)</f>
        <v>-1.779673107890499</v>
      </c>
      <c r="R137" s="26">
        <f>R135-R136</f>
        <v>53.992777777777704</v>
      </c>
      <c r="S137" s="27">
        <f>IF(R77=0,0,R137/R77)</f>
        <v>5.4264098269123318E-2</v>
      </c>
      <c r="T137" s="26">
        <f>T135-T136</f>
        <v>818.40277777777783</v>
      </c>
      <c r="U137" s="27">
        <f>IF(T77=0,0,T137/T77)</f>
        <v>0.4154328821206994</v>
      </c>
      <c r="V137" s="26">
        <f>V135-V136</f>
        <v>-161.43722222222215</v>
      </c>
      <c r="W137" s="27">
        <f>IF(V77=0,0,V137/V77)</f>
        <v>-0.1161418864908073</v>
      </c>
      <c r="X137" s="26">
        <f>X135-X136</f>
        <v>888.41277777777782</v>
      </c>
      <c r="Y137" s="27">
        <f>IF(X77=0,0,X137/X77)</f>
        <v>0.61910298102981032</v>
      </c>
      <c r="Z137" s="26">
        <f>Z135-Z136</f>
        <v>3702.8533333333344</v>
      </c>
      <c r="AA137" s="27">
        <f>IF(Z77=0,0,Z137/Z77)</f>
        <v>0.22927884416924671</v>
      </c>
    </row>
    <row r="138" spans="1:27" ht="16.5" thickTop="1" thickBot="1" x14ac:dyDescent="0.25">
      <c r="B138" s="30"/>
      <c r="C138" s="31"/>
      <c r="D138" s="30"/>
      <c r="E138" s="31"/>
      <c r="F138" s="30"/>
      <c r="G138" s="31"/>
      <c r="H138" s="30"/>
      <c r="I138" s="31"/>
      <c r="J138" s="30"/>
      <c r="K138" s="31"/>
      <c r="L138" s="30"/>
      <c r="M138" s="31"/>
      <c r="N138" s="30"/>
      <c r="O138" s="31"/>
      <c r="P138" s="30"/>
      <c r="Q138" s="31"/>
      <c r="R138" s="30"/>
      <c r="S138" s="31"/>
      <c r="T138" s="30"/>
      <c r="U138" s="31"/>
      <c r="V138" s="30"/>
      <c r="W138" s="31"/>
      <c r="X138" s="30"/>
      <c r="Y138" s="31"/>
      <c r="Z138" s="30"/>
      <c r="AA138" s="31"/>
    </row>
    <row r="139" spans="1:27" ht="15.75" thickBot="1" x14ac:dyDescent="0.25">
      <c r="A139" s="210" t="s">
        <v>136</v>
      </c>
    </row>
    <row r="140" spans="1:27" x14ac:dyDescent="0.2">
      <c r="A140" s="210"/>
      <c r="B140" s="208" t="s">
        <v>48</v>
      </c>
      <c r="C140" s="209"/>
      <c r="D140" s="208" t="s">
        <v>56</v>
      </c>
      <c r="E140" s="209"/>
      <c r="F140" s="208" t="s">
        <v>57</v>
      </c>
      <c r="G140" s="209"/>
      <c r="H140" s="208" t="s">
        <v>58</v>
      </c>
      <c r="I140" s="209"/>
      <c r="J140" s="208" t="s">
        <v>59</v>
      </c>
      <c r="K140" s="209"/>
      <c r="L140" s="208" t="s">
        <v>60</v>
      </c>
      <c r="M140" s="209"/>
      <c r="N140" s="208" t="s">
        <v>61</v>
      </c>
      <c r="O140" s="209"/>
      <c r="P140" s="208" t="s">
        <v>62</v>
      </c>
      <c r="Q140" s="209"/>
      <c r="R140" s="208" t="s">
        <v>236</v>
      </c>
      <c r="S140" s="209"/>
      <c r="T140" s="208" t="s">
        <v>63</v>
      </c>
      <c r="U140" s="209"/>
      <c r="V140" s="208" t="s">
        <v>64</v>
      </c>
      <c r="W140" s="209"/>
      <c r="X140" s="208" t="s">
        <v>65</v>
      </c>
      <c r="Y140" s="209"/>
      <c r="Z140" s="208">
        <f>Z2</f>
        <v>2022</v>
      </c>
      <c r="AA140" s="209"/>
    </row>
    <row r="141" spans="1:27" x14ac:dyDescent="0.2">
      <c r="A141" t="s">
        <v>125</v>
      </c>
      <c r="B141" s="20">
        <f>B77</f>
        <v>570</v>
      </c>
      <c r="C141" s="38">
        <f t="shared" ref="C141:C147" si="139">B141</f>
        <v>570</v>
      </c>
      <c r="D141" s="20">
        <f>D77</f>
        <v>1115</v>
      </c>
      <c r="E141" s="38">
        <f>C147+D141</f>
        <v>507.15999999999997</v>
      </c>
      <c r="F141" s="20">
        <f>F77</f>
        <v>1645</v>
      </c>
      <c r="G141" s="38">
        <f>E147+F141</f>
        <v>1670.81</v>
      </c>
      <c r="H141" s="20">
        <f>H77</f>
        <v>2455</v>
      </c>
      <c r="I141" s="38">
        <f>G147+H141</f>
        <v>3222.6</v>
      </c>
      <c r="J141" s="20">
        <f>J77</f>
        <v>1875</v>
      </c>
      <c r="K141" s="38">
        <f>I147+J141</f>
        <v>4313.5599999999995</v>
      </c>
      <c r="L141" s="20">
        <f>L77</f>
        <v>1655</v>
      </c>
      <c r="M141" s="38">
        <f>K147+L141</f>
        <v>5260.82</v>
      </c>
      <c r="N141" s="20">
        <f>N77</f>
        <v>700</v>
      </c>
      <c r="O141" s="38">
        <f>M147+N141</f>
        <v>4932.2</v>
      </c>
      <c r="P141" s="20">
        <f>P77</f>
        <v>345</v>
      </c>
      <c r="Q141" s="38">
        <f>O147+P141</f>
        <v>3598.58</v>
      </c>
      <c r="R141" s="20">
        <f>R77</f>
        <v>995</v>
      </c>
      <c r="S141" s="38">
        <f>Q147+R141</f>
        <v>3711.18</v>
      </c>
      <c r="T141" s="20">
        <f>T77</f>
        <v>1970</v>
      </c>
      <c r="U141" s="38">
        <f>S147+T141</f>
        <v>4816.76</v>
      </c>
      <c r="V141" s="20">
        <f>V77</f>
        <v>1390</v>
      </c>
      <c r="W141" s="38">
        <f>U147+V141</f>
        <v>5131.75</v>
      </c>
      <c r="X141" s="20">
        <f>X77</f>
        <v>1435</v>
      </c>
      <c r="Y141" s="38">
        <f>W147+X141</f>
        <v>5091.8999999999996</v>
      </c>
      <c r="Z141" s="200">
        <f>Z77</f>
        <v>16150</v>
      </c>
      <c r="AA141" s="201"/>
    </row>
    <row r="142" spans="1:27" x14ac:dyDescent="0.2">
      <c r="A142" t="s">
        <v>126</v>
      </c>
      <c r="B142" s="20">
        <f>B114</f>
        <v>875.7</v>
      </c>
      <c r="C142" s="38">
        <f t="shared" si="139"/>
        <v>875.7</v>
      </c>
      <c r="D142" s="20">
        <f>D114</f>
        <v>481.34999999999997</v>
      </c>
      <c r="E142" s="38">
        <f>D142</f>
        <v>481.34999999999997</v>
      </c>
      <c r="F142" s="20">
        <f>F114</f>
        <v>903.21</v>
      </c>
      <c r="G142" s="38">
        <f>F142</f>
        <v>903.21</v>
      </c>
      <c r="H142" s="20">
        <f>H114</f>
        <v>474.93000000000006</v>
      </c>
      <c r="I142" s="38">
        <f>H142</f>
        <v>474.93000000000006</v>
      </c>
      <c r="J142" s="20">
        <f>J114</f>
        <v>707.74</v>
      </c>
      <c r="K142" s="38">
        <f>J142</f>
        <v>707.74</v>
      </c>
      <c r="L142" s="20">
        <f>L114</f>
        <v>1028.6199999999999</v>
      </c>
      <c r="M142" s="38">
        <f>L142</f>
        <v>1028.6199999999999</v>
      </c>
      <c r="N142" s="20">
        <f>N114</f>
        <v>507.92</v>
      </c>
      <c r="O142" s="38">
        <f>N142</f>
        <v>507.92</v>
      </c>
      <c r="P142" s="20">
        <f>P114</f>
        <v>882.4</v>
      </c>
      <c r="Q142" s="38">
        <f>P142</f>
        <v>882.4</v>
      </c>
      <c r="R142" s="20">
        <f>R114</f>
        <v>864.42000000000007</v>
      </c>
      <c r="S142" s="38">
        <f>R142</f>
        <v>864.42000000000007</v>
      </c>
      <c r="T142" s="20">
        <f>T114</f>
        <v>470</v>
      </c>
      <c r="U142" s="38">
        <f>T142</f>
        <v>470</v>
      </c>
      <c r="V142" s="20">
        <f>V114</f>
        <v>1474.85</v>
      </c>
      <c r="W142" s="38">
        <f>V142</f>
        <v>1474.85</v>
      </c>
      <c r="X142" s="20">
        <f>X114</f>
        <v>470</v>
      </c>
      <c r="Y142" s="38">
        <f>X142</f>
        <v>470</v>
      </c>
      <c r="Z142" s="200">
        <f>Z114</f>
        <v>9141.14</v>
      </c>
      <c r="AA142" s="201"/>
    </row>
    <row r="143" spans="1:27" ht="15.75" thickBot="1" x14ac:dyDescent="0.25">
      <c r="A143" s="36" t="s">
        <v>127</v>
      </c>
      <c r="B143" s="37">
        <f>B141-B142</f>
        <v>-305.70000000000005</v>
      </c>
      <c r="C143" s="39">
        <f t="shared" si="139"/>
        <v>-305.70000000000005</v>
      </c>
      <c r="D143" s="37">
        <f t="shared" ref="D143:Y143" si="140">D141-D142</f>
        <v>633.65000000000009</v>
      </c>
      <c r="E143" s="39">
        <f t="shared" si="140"/>
        <v>25.810000000000002</v>
      </c>
      <c r="F143" s="37">
        <f t="shared" si="140"/>
        <v>741.79</v>
      </c>
      <c r="G143" s="39">
        <f t="shared" si="140"/>
        <v>767.59999999999991</v>
      </c>
      <c r="H143" s="37">
        <f t="shared" si="140"/>
        <v>1980.07</v>
      </c>
      <c r="I143" s="39">
        <f t="shared" si="140"/>
        <v>2747.67</v>
      </c>
      <c r="J143" s="37">
        <f t="shared" si="140"/>
        <v>1167.26</v>
      </c>
      <c r="K143" s="39">
        <f t="shared" si="140"/>
        <v>3605.8199999999997</v>
      </c>
      <c r="L143" s="37">
        <f t="shared" si="140"/>
        <v>626.38000000000011</v>
      </c>
      <c r="M143" s="39">
        <f t="shared" si="140"/>
        <v>4232.2</v>
      </c>
      <c r="N143" s="37">
        <f t="shared" si="140"/>
        <v>192.07999999999998</v>
      </c>
      <c r="O143" s="39">
        <f t="shared" si="140"/>
        <v>4424.28</v>
      </c>
      <c r="P143" s="37">
        <f t="shared" si="140"/>
        <v>-537.4</v>
      </c>
      <c r="Q143" s="39">
        <f t="shared" si="140"/>
        <v>2716.18</v>
      </c>
      <c r="R143" s="37">
        <f t="shared" si="140"/>
        <v>130.57999999999993</v>
      </c>
      <c r="S143" s="39">
        <f t="shared" si="140"/>
        <v>2846.7599999999998</v>
      </c>
      <c r="T143" s="37">
        <f t="shared" si="140"/>
        <v>1500</v>
      </c>
      <c r="U143" s="39">
        <f t="shared" si="140"/>
        <v>4346.76</v>
      </c>
      <c r="V143" s="37">
        <f t="shared" si="140"/>
        <v>-84.849999999999909</v>
      </c>
      <c r="W143" s="39">
        <f t="shared" si="140"/>
        <v>3656.9</v>
      </c>
      <c r="X143" s="37">
        <f t="shared" si="140"/>
        <v>965</v>
      </c>
      <c r="Y143" s="39">
        <f t="shared" si="140"/>
        <v>4621.8999999999996</v>
      </c>
      <c r="Z143" s="202">
        <f>Z141-Z142</f>
        <v>7008.8600000000006</v>
      </c>
      <c r="AA143" s="203"/>
    </row>
    <row r="144" spans="1:27" x14ac:dyDescent="0.2">
      <c r="A144" s="2" t="s">
        <v>128</v>
      </c>
      <c r="B144" s="20">
        <f>-SUMIFS(Tabla2[A],Tabla2[ANY],$Z$76,Tabla2[MES],'2022'!B$2,Tabla2[TIPUS],'2022'!$A144)</f>
        <v>0</v>
      </c>
      <c r="C144" s="38">
        <f t="shared" si="139"/>
        <v>0</v>
      </c>
      <c r="D144" s="20">
        <f>-SUMIFS(Tabla2[A],Tabla2[ANY],$Z$76,Tabla2[MES],'2022'!D$2,Tabla2[TIPUS],'2022'!$A144)</f>
        <v>0</v>
      </c>
      <c r="E144" s="38">
        <f>D144</f>
        <v>0</v>
      </c>
      <c r="F144" s="20">
        <f>-SUMIFS(Tabla2[A],Tabla2[ANY],$Z$76,Tabla2[MES],'2022'!F$2,Tabla2[TIPUS],'2022'!$A144)</f>
        <v>0</v>
      </c>
      <c r="G144" s="38">
        <f>F144</f>
        <v>0</v>
      </c>
      <c r="H144" s="20">
        <f>-SUMIFS(Tabla2[A],Tabla2[ANY],$Z$76,Tabla2[MES],'2022'!H$2,Tabla2[TIPUS],'2022'!$A144)</f>
        <v>0</v>
      </c>
      <c r="I144" s="38">
        <f>H144</f>
        <v>0</v>
      </c>
      <c r="J144" s="20">
        <f>-SUMIFS(Tabla2[A],Tabla2[ANY],$Z$76,Tabla2[MES],'2022'!J$2,Tabla2[TIPUS],'2022'!$A144)</f>
        <v>0</v>
      </c>
      <c r="K144" s="38">
        <f>J144</f>
        <v>0</v>
      </c>
      <c r="L144" s="20">
        <f>-SUMIFS(Tabla2[A],Tabla2[ANY],$Z$76,Tabla2[MES],'2022'!L$2,Tabla2[TIPUS],'2022'!$A144)</f>
        <v>0</v>
      </c>
      <c r="M144" s="38">
        <f>L144</f>
        <v>0</v>
      </c>
      <c r="N144" s="20">
        <f>-SUMIFS(Tabla2[A],Tabla2[ANY],$Z$76,Tabla2[MES],'2022'!N$2,Tabla2[TIPUS],'2022'!$A144)</f>
        <v>0</v>
      </c>
      <c r="O144" s="38">
        <f>N144</f>
        <v>0</v>
      </c>
      <c r="P144" s="20">
        <f>-SUMIFS(Tabla2[A],Tabla2[ANY],$Z$76,Tabla2[MES],'2022'!P$2,Tabla2[TIPUS],'2022'!$A144)</f>
        <v>0</v>
      </c>
      <c r="Q144" s="38">
        <f>P144</f>
        <v>0</v>
      </c>
      <c r="R144" s="20">
        <f>-SUMIFS(Tabla2[A],Tabla2[ANY],$Z$76,Tabla2[MES],'2022'!R$2,Tabla2[TIPUS],'2022'!$A144)</f>
        <v>0</v>
      </c>
      <c r="S144" s="38">
        <f>R144</f>
        <v>0</v>
      </c>
      <c r="T144" s="20">
        <f>-SUMIFS(Tabla2[A],Tabla2[ANY],$Z$76,Tabla2[MES],'2022'!T$2,Tabla2[TIPUS],'2022'!$A144)</f>
        <v>0</v>
      </c>
      <c r="U144" s="38">
        <f>T144</f>
        <v>0</v>
      </c>
      <c r="V144" s="20">
        <f>-SUMIFS(Tabla2[A],Tabla2[ANY],$Z$76,Tabla2[MES],'2022'!V$2,Tabla2[TIPUS],'2022'!$A144)</f>
        <v>0</v>
      </c>
      <c r="W144" s="38">
        <f>V144</f>
        <v>0</v>
      </c>
      <c r="X144" s="20">
        <f>-SUMIFS(Tabla2[A],Tabla2[ANY],$Z$76,Tabla2[MES],'2022'!X$2,Tabla2[TIPUS],'2022'!$A144)</f>
        <v>0</v>
      </c>
      <c r="Y144" s="38">
        <f>X144</f>
        <v>0</v>
      </c>
      <c r="Z144" s="204">
        <f>-SUMIFS(Tabla2[A],Tabla2[ANY],$Z$140,Tabla2[TIPUS],'2022'!$A144)</f>
        <v>0</v>
      </c>
      <c r="AA144" s="205"/>
    </row>
    <row r="145" spans="1:27" x14ac:dyDescent="0.2">
      <c r="A145" t="s">
        <v>134</v>
      </c>
      <c r="B145" s="20">
        <f>-B133</f>
        <v>0</v>
      </c>
      <c r="C145" s="38">
        <f t="shared" si="139"/>
        <v>0</v>
      </c>
      <c r="D145" s="20">
        <f>-D133</f>
        <v>0</v>
      </c>
      <c r="E145" s="38">
        <f>D145</f>
        <v>0</v>
      </c>
      <c r="F145" s="20">
        <f>-F133</f>
        <v>0</v>
      </c>
      <c r="G145" s="38">
        <f>F145</f>
        <v>0</v>
      </c>
      <c r="H145" s="20">
        <f>-H133</f>
        <v>0</v>
      </c>
      <c r="I145" s="38">
        <f>H145</f>
        <v>0</v>
      </c>
      <c r="J145" s="20">
        <f>-J133</f>
        <v>0</v>
      </c>
      <c r="K145" s="38">
        <f>J145</f>
        <v>0</v>
      </c>
      <c r="L145" s="20">
        <f>-L133</f>
        <v>0</v>
      </c>
      <c r="M145" s="38">
        <f>L145</f>
        <v>0</v>
      </c>
      <c r="N145" s="20">
        <f>-N133</f>
        <v>0</v>
      </c>
      <c r="O145" s="38">
        <f>N145</f>
        <v>0</v>
      </c>
      <c r="P145" s="20">
        <f>-P133</f>
        <v>0</v>
      </c>
      <c r="Q145" s="38">
        <f>P145</f>
        <v>0</v>
      </c>
      <c r="R145" s="20">
        <f>-R133</f>
        <v>0</v>
      </c>
      <c r="S145" s="38">
        <f>R145</f>
        <v>0</v>
      </c>
      <c r="T145" s="20">
        <f>-T133</f>
        <v>0</v>
      </c>
      <c r="U145" s="38">
        <f>T145</f>
        <v>0</v>
      </c>
      <c r="V145" s="20">
        <f>-V133</f>
        <v>0</v>
      </c>
      <c r="W145" s="38">
        <f>V145</f>
        <v>0</v>
      </c>
      <c r="X145" s="20">
        <f>-X133</f>
        <v>0</v>
      </c>
      <c r="Y145" s="38">
        <f>X145</f>
        <v>0</v>
      </c>
      <c r="Z145" s="200">
        <f>-Z133</f>
        <v>0</v>
      </c>
      <c r="AA145" s="201"/>
    </row>
    <row r="146" spans="1:27" x14ac:dyDescent="0.2">
      <c r="A146" t="s">
        <v>130</v>
      </c>
      <c r="B146" s="23">
        <f>-B136</f>
        <v>-302.14</v>
      </c>
      <c r="C146" s="35">
        <f t="shared" si="139"/>
        <v>-302.14</v>
      </c>
      <c r="D146" s="23">
        <f>-D136</f>
        <v>0</v>
      </c>
      <c r="E146" s="35">
        <f>D146</f>
        <v>0</v>
      </c>
      <c r="F146" s="23">
        <f>-F136</f>
        <v>0</v>
      </c>
      <c r="G146" s="35">
        <f>F146</f>
        <v>0</v>
      </c>
      <c r="H146" s="23">
        <f>-H136</f>
        <v>-309.11</v>
      </c>
      <c r="I146" s="35">
        <f>H146</f>
        <v>-309.11</v>
      </c>
      <c r="J146" s="23">
        <f>-J136</f>
        <v>0</v>
      </c>
      <c r="K146" s="35">
        <f>J146</f>
        <v>0</v>
      </c>
      <c r="L146" s="23">
        <f>-L136</f>
        <v>0</v>
      </c>
      <c r="M146" s="35">
        <f>L146</f>
        <v>0</v>
      </c>
      <c r="N146" s="23">
        <f>-N136</f>
        <v>-1170.7</v>
      </c>
      <c r="O146" s="35">
        <f>N146</f>
        <v>-1170.7</v>
      </c>
      <c r="P146" s="23">
        <f>-P136</f>
        <v>0</v>
      </c>
      <c r="Q146" s="35">
        <f>P146</f>
        <v>0</v>
      </c>
      <c r="R146" s="23">
        <f>-R136</f>
        <v>0</v>
      </c>
      <c r="S146" s="35">
        <f>R146</f>
        <v>0</v>
      </c>
      <c r="T146" s="23">
        <f>-T136</f>
        <v>-605.01</v>
      </c>
      <c r="U146" s="35">
        <f>T146</f>
        <v>-605.01</v>
      </c>
      <c r="V146" s="23">
        <f>-V136</f>
        <v>0</v>
      </c>
      <c r="W146" s="35">
        <f>V146</f>
        <v>0</v>
      </c>
      <c r="X146" s="23">
        <f>-X136</f>
        <v>0</v>
      </c>
      <c r="Y146" s="35">
        <f>X146</f>
        <v>0</v>
      </c>
      <c r="Z146" s="200">
        <f>-Z136</f>
        <v>-2386.96</v>
      </c>
      <c r="AA146" s="207"/>
    </row>
    <row r="147" spans="1:27" ht="15.75" thickBot="1" x14ac:dyDescent="0.25">
      <c r="A147" s="36" t="s">
        <v>131</v>
      </c>
      <c r="B147" s="37">
        <f>B143+B144+B145+B146</f>
        <v>-607.84</v>
      </c>
      <c r="C147" s="39">
        <f t="shared" si="139"/>
        <v>-607.84</v>
      </c>
      <c r="D147" s="37">
        <f t="shared" ref="D147:Z147" si="141">D143+D144+D145+D146</f>
        <v>633.65000000000009</v>
      </c>
      <c r="E147" s="39">
        <f t="shared" si="141"/>
        <v>25.810000000000002</v>
      </c>
      <c r="F147" s="37">
        <f t="shared" si="141"/>
        <v>741.79</v>
      </c>
      <c r="G147" s="39">
        <f t="shared" si="141"/>
        <v>767.59999999999991</v>
      </c>
      <c r="H147" s="37">
        <f t="shared" si="141"/>
        <v>1670.96</v>
      </c>
      <c r="I147" s="39">
        <f t="shared" si="141"/>
        <v>2438.56</v>
      </c>
      <c r="J147" s="37">
        <f t="shared" si="141"/>
        <v>1167.26</v>
      </c>
      <c r="K147" s="39">
        <f t="shared" si="141"/>
        <v>3605.8199999999997</v>
      </c>
      <c r="L147" s="37">
        <f t="shared" si="141"/>
        <v>626.38000000000011</v>
      </c>
      <c r="M147" s="39">
        <f t="shared" si="141"/>
        <v>4232.2</v>
      </c>
      <c r="N147" s="37">
        <f t="shared" si="141"/>
        <v>-978.62000000000012</v>
      </c>
      <c r="O147" s="39">
        <f t="shared" si="141"/>
        <v>3253.58</v>
      </c>
      <c r="P147" s="37">
        <f t="shared" si="141"/>
        <v>-537.4</v>
      </c>
      <c r="Q147" s="39">
        <f t="shared" si="141"/>
        <v>2716.18</v>
      </c>
      <c r="R147" s="37">
        <f t="shared" si="141"/>
        <v>130.57999999999993</v>
      </c>
      <c r="S147" s="39">
        <f t="shared" si="141"/>
        <v>2846.7599999999998</v>
      </c>
      <c r="T147" s="37">
        <f t="shared" si="141"/>
        <v>894.99</v>
      </c>
      <c r="U147" s="39">
        <f t="shared" si="141"/>
        <v>3741.75</v>
      </c>
      <c r="V147" s="37">
        <f t="shared" si="141"/>
        <v>-84.849999999999909</v>
      </c>
      <c r="W147" s="39">
        <f t="shared" si="141"/>
        <v>3656.9</v>
      </c>
      <c r="X147" s="37">
        <f t="shared" si="141"/>
        <v>965</v>
      </c>
      <c r="Y147" s="39">
        <f t="shared" si="141"/>
        <v>4621.8999999999996</v>
      </c>
      <c r="Z147" s="202">
        <f t="shared" si="141"/>
        <v>4621.9000000000005</v>
      </c>
      <c r="AA147" s="203"/>
    </row>
    <row r="149" spans="1:27" ht="30" thickBot="1" x14ac:dyDescent="0.45">
      <c r="A149" s="45" t="s">
        <v>103</v>
      </c>
    </row>
    <row r="150" spans="1:27" x14ac:dyDescent="0.2">
      <c r="B150" s="208" t="s">
        <v>48</v>
      </c>
      <c r="C150" s="209"/>
      <c r="D150" s="208" t="s">
        <v>56</v>
      </c>
      <c r="E150" s="209"/>
      <c r="F150" s="208" t="s">
        <v>57</v>
      </c>
      <c r="G150" s="209"/>
      <c r="H150" s="208" t="s">
        <v>58</v>
      </c>
      <c r="I150" s="209"/>
      <c r="J150" s="208" t="s">
        <v>59</v>
      </c>
      <c r="K150" s="209"/>
      <c r="L150" s="208" t="s">
        <v>60</v>
      </c>
      <c r="M150" s="209"/>
      <c r="N150" s="208" t="s">
        <v>61</v>
      </c>
      <c r="O150" s="209"/>
      <c r="P150" s="208" t="s">
        <v>62</v>
      </c>
      <c r="Q150" s="209"/>
      <c r="R150" s="208" t="s">
        <v>236</v>
      </c>
      <c r="S150" s="209"/>
      <c r="T150" s="208" t="s">
        <v>63</v>
      </c>
      <c r="U150" s="209"/>
      <c r="V150" s="208" t="s">
        <v>64</v>
      </c>
      <c r="W150" s="209"/>
      <c r="X150" s="208" t="s">
        <v>65</v>
      </c>
      <c r="Y150" s="209"/>
      <c r="Z150" s="208">
        <f>Z2</f>
        <v>2022</v>
      </c>
      <c r="AA150" s="209"/>
    </row>
    <row r="151" spans="1:27" ht="15.75" thickBot="1" x14ac:dyDescent="0.25">
      <c r="A151" s="10" t="s">
        <v>66</v>
      </c>
      <c r="B151" s="16">
        <f>B152+B170</f>
        <v>860</v>
      </c>
      <c r="C151" s="17">
        <f>IF(B151=0,0,(B151/B151))</f>
        <v>1</v>
      </c>
      <c r="D151" s="16">
        <f>D152+D170</f>
        <v>740</v>
      </c>
      <c r="E151" s="17">
        <f>IF(D151=0,0,(D151/D151))</f>
        <v>1</v>
      </c>
      <c r="F151" s="16">
        <f>F152+F170</f>
        <v>1480</v>
      </c>
      <c r="G151" s="17">
        <f>IF(F151=0,0,(F151/F151))</f>
        <v>1</v>
      </c>
      <c r="H151" s="16">
        <f>H152+H170</f>
        <v>1810</v>
      </c>
      <c r="I151" s="17">
        <f>IF(H151=0,0,(H151/H151))</f>
        <v>1</v>
      </c>
      <c r="J151" s="16">
        <f>J152+J170</f>
        <v>2000</v>
      </c>
      <c r="K151" s="17">
        <f>IF(J151=0,0,(J151/J151))</f>
        <v>1</v>
      </c>
      <c r="L151" s="16">
        <f>L152+L170</f>
        <v>1795</v>
      </c>
      <c r="M151" s="17">
        <f>IF(L151=0,0,(L151/L151))</f>
        <v>1</v>
      </c>
      <c r="N151" s="16">
        <f>N152+N170</f>
        <v>2315</v>
      </c>
      <c r="O151" s="17">
        <f>IF(N151=0,0,(N151/N151))</f>
        <v>1</v>
      </c>
      <c r="P151" s="16">
        <f>P152+P170</f>
        <v>1130</v>
      </c>
      <c r="Q151" s="17">
        <f>IF(P151=0,0,(P151/P151))</f>
        <v>1</v>
      </c>
      <c r="R151" s="16">
        <f>R152+R170</f>
        <v>2340</v>
      </c>
      <c r="S151" s="17">
        <f>IF(R151=0,0,(R151/R151))</f>
        <v>1</v>
      </c>
      <c r="T151" s="16">
        <f>T152+T170</f>
        <v>2145</v>
      </c>
      <c r="U151" s="17">
        <f>IF(T151=0,0,(T151/T151))</f>
        <v>1</v>
      </c>
      <c r="V151" s="16">
        <f>V152+V170</f>
        <v>1500</v>
      </c>
      <c r="W151" s="17">
        <f>IF(V151=0,0,(V151/V151))</f>
        <v>1</v>
      </c>
      <c r="X151" s="16">
        <f>X152+X170</f>
        <v>3575</v>
      </c>
      <c r="Y151" s="17">
        <f>IF(X151=0,0,(X151/X151))</f>
        <v>1</v>
      </c>
      <c r="Z151" s="16">
        <f>Z152+Z170</f>
        <v>21690</v>
      </c>
      <c r="AA151" s="17">
        <f>IF(Z151=0,0,(Z151/Z151))</f>
        <v>1</v>
      </c>
    </row>
    <row r="152" spans="1:27" x14ac:dyDescent="0.2">
      <c r="A152" s="32" t="s">
        <v>74</v>
      </c>
      <c r="B152" s="18">
        <f>SUM(B153:B160)</f>
        <v>760</v>
      </c>
      <c r="C152" s="19">
        <f>IF(B$151=0,0,B152/B$151)</f>
        <v>0.88372093023255816</v>
      </c>
      <c r="D152" s="18">
        <f>SUM(D153:D160)</f>
        <v>670</v>
      </c>
      <c r="E152" s="19">
        <f>IF(D$151=0,0,D152/D$151)</f>
        <v>0.90540540540540537</v>
      </c>
      <c r="F152" s="18">
        <f>SUM(F153:F160)</f>
        <v>1375</v>
      </c>
      <c r="G152" s="19">
        <f>IF(F$151=0,0,F152/F$151)</f>
        <v>0.92905405405405406</v>
      </c>
      <c r="H152" s="18">
        <f>SUM(H153:H160)</f>
        <v>1635</v>
      </c>
      <c r="I152" s="19">
        <f>IF(H$151=0,0,H152/H$151)</f>
        <v>0.90331491712707179</v>
      </c>
      <c r="J152" s="18">
        <f>SUM(J153:J160)</f>
        <v>1900</v>
      </c>
      <c r="K152" s="19">
        <f>IF(J$151=0,0,J152/J$151)</f>
        <v>0.95</v>
      </c>
      <c r="L152" s="18">
        <f>SUM(L153:L160)</f>
        <v>1650</v>
      </c>
      <c r="M152" s="19">
        <f>IF(L$151=0,0,L152/L$151)</f>
        <v>0.91922005571030641</v>
      </c>
      <c r="N152" s="18">
        <f>SUM(N153:N160)</f>
        <v>2185</v>
      </c>
      <c r="O152" s="19">
        <f>IF(N$151=0,0,N152/N$151)</f>
        <v>0.94384449244060475</v>
      </c>
      <c r="P152" s="18">
        <f>SUM(P153:P160)</f>
        <v>1070</v>
      </c>
      <c r="Q152" s="19">
        <f>IF(P$151=0,0,P152/P$151)</f>
        <v>0.94690265486725667</v>
      </c>
      <c r="R152" s="18">
        <f>SUM(R153:R160)</f>
        <v>2100</v>
      </c>
      <c r="S152" s="19">
        <f>IF(R$151=0,0,R152/R$151)</f>
        <v>0.89743589743589747</v>
      </c>
      <c r="T152" s="18">
        <f>SUM(T153:T160)</f>
        <v>1885</v>
      </c>
      <c r="U152" s="19">
        <f>IF(T$151=0,0,T152/T$151)</f>
        <v>0.87878787878787878</v>
      </c>
      <c r="V152" s="18">
        <f>SUM(V153:V160)</f>
        <v>1380</v>
      </c>
      <c r="W152" s="19">
        <f>IF(V$151=0,0,V152/V$151)</f>
        <v>0.92</v>
      </c>
      <c r="X152" s="18">
        <f>SUM(X153:X160)</f>
        <v>3435</v>
      </c>
      <c r="Y152" s="19">
        <f>IF(X$151=0,0,X152/X$151)</f>
        <v>0.96083916083916088</v>
      </c>
      <c r="Z152" s="18">
        <f>SUM(Z153:Z160)</f>
        <v>20045</v>
      </c>
      <c r="AA152" s="19">
        <f>IF(Z$3=0,0,Z152/Z$3)</f>
        <v>0.5290314067036157</v>
      </c>
    </row>
    <row r="153" spans="1:27" hidden="1" outlineLevel="1" x14ac:dyDescent="0.2">
      <c r="A153" s="8" t="s">
        <v>67</v>
      </c>
      <c r="B153" s="20">
        <f>SUMIFS('Registre de reserves'!$V$2:$V$1178,'Registre de reserves'!$T$2:$T$1178,"SI",'Registre de reserves'!$I$2:$I$1178,'2022'!$A153,'Registre de reserves'!$B$2:$B$1178,'2022'!B$2,Tabla1[ANY],'2022'!$Z$150)+SUMIFS('Registre de reserves'!$V$2:$V$1178,'Registre de reserves'!$T$2:$T$1178,"RESERVA",'Registre de reserves'!$I$2:$I$1178,'2022'!$A153,'Registre de reserves'!$B$2:$B$1178,'2022'!B$2,Tabla1[ANY],'2022'!$Z$150)</f>
        <v>0</v>
      </c>
      <c r="C153" s="21">
        <f>IF(B$152=0,0,B153/B$152)</f>
        <v>0</v>
      </c>
      <c r="D153" s="20">
        <f>SUMIFS('Registre de reserves'!$V$2:$V$1178,'Registre de reserves'!$T$2:$T$1178,"SI",'Registre de reserves'!$I$2:$I$1178,'2022'!$A153,'Registre de reserves'!$B$2:$B$1178,'2022'!D$2,Tabla1[ANY],'2022'!$Z$150)+SUMIFS('Registre de reserves'!$V$2:$V$1178,'Registre de reserves'!$T$2:$T$1178,"RESERVA",'Registre de reserves'!$I$2:$I$1178,'2022'!$A153,'Registre de reserves'!$B$2:$B$1178,'2022'!D$2,Tabla1[ANY],'2022'!$Z$150)</f>
        <v>0</v>
      </c>
      <c r="E153" s="21">
        <f t="shared" ref="E153:E160" si="142">IF(D$152=0,0,D153/D$152)</f>
        <v>0</v>
      </c>
      <c r="F153" s="20">
        <f>SUMIFS('Registre de reserves'!$V$2:$V$1178,'Registre de reserves'!$T$2:$T$1178,"SI",'Registre de reserves'!$I$2:$I$1178,'2022'!$A153,'Registre de reserves'!$B$2:$B$1178,'2022'!F$2,Tabla1[ANY],'2022'!$Z$150)+SUMIFS('Registre de reserves'!$V$2:$V$1178,'Registre de reserves'!$T$2:$T$1178,"RESERVA",'Registre de reserves'!$I$2:$I$1178,'2022'!$A153,'Registre de reserves'!$B$2:$B$1178,'2022'!F$2,Tabla1[ANY],'2022'!$Z$150)</f>
        <v>190</v>
      </c>
      <c r="G153" s="21">
        <f t="shared" ref="G153:G160" si="143">IF(F$152=0,0,F153/F$152)</f>
        <v>0.13818181818181818</v>
      </c>
      <c r="H153" s="20">
        <f>SUMIFS('Registre de reserves'!$V$2:$V$1178,'Registre de reserves'!$T$2:$T$1178,"SI",'Registre de reserves'!$I$2:$I$1178,'2022'!$A153,'Registre de reserves'!$B$2:$B$1178,'2022'!H$2,Tabla1[ANY],'2022'!$Z$150)+SUMIFS('Registre de reserves'!$V$2:$V$1178,'Registre de reserves'!$T$2:$T$1178,"RESERVA",'Registre de reserves'!$I$2:$I$1178,'2022'!$A153,'Registre de reserves'!$B$2:$B$1178,'2022'!H$2,Tabla1[ANY],'2022'!$Z$150)</f>
        <v>190</v>
      </c>
      <c r="I153" s="21">
        <f t="shared" ref="I153:I160" si="144">IF(H$152=0,0,H153/H$152)</f>
        <v>0.11620795107033639</v>
      </c>
      <c r="J153" s="20">
        <f>SUMIFS('Registre de reserves'!$V$2:$V$1178,'Registre de reserves'!$T$2:$T$1178,"SI",'Registre de reserves'!$I$2:$I$1178,'2022'!$A153,'Registre de reserves'!$B$2:$B$1178,'2022'!J$2,Tabla1[ANY],'2022'!$Z$150)+SUMIFS('Registre de reserves'!$V$2:$V$1178,'Registre de reserves'!$T$2:$T$1178,"RESERVA",'Registre de reserves'!$I$2:$I$1178,'2022'!$A153,'Registre de reserves'!$B$2:$B$1178,'2022'!J$2,Tabla1[ANY],'2022'!$Z$150)</f>
        <v>195</v>
      </c>
      <c r="K153" s="21">
        <f t="shared" ref="K153:K160" si="145">IF(J$152=0,0,J153/J$152)</f>
        <v>0.10263157894736842</v>
      </c>
      <c r="L153" s="20">
        <f>SUMIFS('Registre de reserves'!$V$2:$V$1178,'Registre de reserves'!$T$2:$T$1178,"SI",'Registre de reserves'!$I$2:$I$1178,'2022'!$A153,'Registre de reserves'!$B$2:$B$1178,'2022'!L$2,Tabla1[ANY],'2022'!$Z$150)+SUMIFS('Registre de reserves'!$V$2:$V$1178,'Registre de reserves'!$T$2:$T$1178,"RESERVA",'Registre de reserves'!$I$2:$I$1178,'2022'!$A153,'Registre de reserves'!$B$2:$B$1178,'2022'!L$2,Tabla1[ANY],'2022'!$Z$150)</f>
        <v>95</v>
      </c>
      <c r="M153" s="21">
        <f t="shared" ref="M153:M160" si="146">IF(L$152=0,0,L153/L$152)</f>
        <v>5.7575757575757579E-2</v>
      </c>
      <c r="N153" s="20">
        <f>SUMIFS('Registre de reserves'!$V$2:$V$1178,'Registre de reserves'!$T$2:$T$1178,"SI",'Registre de reserves'!$I$2:$I$1178,'2022'!$A153,'Registre de reserves'!$B$2:$B$1178,'2022'!N$2,Tabla1[ANY],'2022'!$Z$150)+SUMIFS('Registre de reserves'!$V$2:$V$1178,'Registre de reserves'!$T$2:$T$1178,"RESERVA",'Registre de reserves'!$I$2:$I$1178,'2022'!$A153,'Registre de reserves'!$B$2:$B$1178,'2022'!N$2,Tabla1[ANY],'2022'!$Z$150)</f>
        <v>0</v>
      </c>
      <c r="O153" s="21">
        <f t="shared" ref="O153:O160" si="147">IF(N$152=0,0,N153/N$152)</f>
        <v>0</v>
      </c>
      <c r="P153" s="20">
        <f>SUMIFS('Registre de reserves'!$V$2:$V$1178,'Registre de reserves'!$T$2:$T$1178,"SI",'Registre de reserves'!$I$2:$I$1178,'2022'!$A153,'Registre de reserves'!$B$2:$B$1178,'2022'!P$2,Tabla1[ANY],'2022'!$Z$150)+SUMIFS('Registre de reserves'!$V$2:$V$1178,'Registre de reserves'!$T$2:$T$1178,"RESERVA",'Registre de reserves'!$I$2:$I$1178,'2022'!$A153,'Registre de reserves'!$B$2:$B$1178,'2022'!P$2,Tabla1[ANY],'2022'!$Z$150)</f>
        <v>0</v>
      </c>
      <c r="Q153" s="21">
        <f t="shared" ref="Q153:Q160" si="148">IF(P$152=0,0,P153/P$152)</f>
        <v>0</v>
      </c>
      <c r="R153" s="20">
        <f>SUMIFS('Registre de reserves'!$V$2:$V$1178,'Registre de reserves'!$T$2:$T$1178,"SI",'Registre de reserves'!$I$2:$I$1178,'2022'!$A153,'Registre de reserves'!$B$2:$B$1178,'2022'!R$2,Tabla1[ANY],'2022'!$Z$150)+SUMIFS('Registre de reserves'!$V$2:$V$1178,'Registre de reserves'!$T$2:$T$1178,"RESERVA",'Registre de reserves'!$I$2:$I$1178,'2022'!$A153,'Registre de reserves'!$B$2:$B$1178,'2022'!R$2,Tabla1[ANY],'2022'!$Z$150)</f>
        <v>300</v>
      </c>
      <c r="S153" s="21">
        <f t="shared" ref="S153:S160" si="149">IF(R$152=0,0,R153/R$152)</f>
        <v>0.14285714285714285</v>
      </c>
      <c r="T153" s="20">
        <f>SUMIFS('Registre de reserves'!$V$2:$V$1178,'Registre de reserves'!$T$2:$T$1178,"SI",'Registre de reserves'!$I$2:$I$1178,'2022'!$A153,'Registre de reserves'!$B$2:$B$1178,'2022'!T$2,Tabla1[ANY],'2022'!$Z$150)+SUMIFS('Registre de reserves'!$V$2:$V$1178,'Registre de reserves'!$T$2:$T$1178,"RESERVA",'Registre de reserves'!$I$2:$I$1178,'2022'!$A153,'Registre de reserves'!$B$2:$B$1178,'2022'!T$2,Tabla1[ANY],'2022'!$Z$150)</f>
        <v>300</v>
      </c>
      <c r="U153" s="21">
        <f t="shared" ref="U153:U160" si="150">IF(T$152=0,0,T153/T$152)</f>
        <v>0.15915119363395225</v>
      </c>
      <c r="V153" s="20">
        <f>SUMIFS('Registre de reserves'!$V$2:$V$1178,'Registre de reserves'!$T$2:$T$1178,"SI",'Registre de reserves'!$I$2:$I$1178,'2022'!$A153,'Registre de reserves'!$B$2:$B$1178,'2022'!V$2,Tabla1[ANY],'2022'!$Z$150)+SUMIFS('Registre de reserves'!$V$2:$V$1178,'Registre de reserves'!$T$2:$T$1178,"RESERVA",'Registre de reserves'!$I$2:$I$1178,'2022'!$A153,'Registre de reserves'!$B$2:$B$1178,'2022'!V$2,Tabla1[ANY],'2022'!$Z$150)</f>
        <v>300</v>
      </c>
      <c r="W153" s="21">
        <f t="shared" ref="W153:W160" si="151">IF(V$152=0,0,V153/V$152)</f>
        <v>0.21739130434782608</v>
      </c>
      <c r="X153" s="20">
        <f>SUMIFS('Registre de reserves'!$V$2:$V$1178,'Registre de reserves'!$T$2:$T$1178,"SI",'Registre de reserves'!$I$2:$I$1178,'2022'!$A153,'Registre de reserves'!$B$2:$B$1178,'2022'!X$2,Tabla1[ANY],'2022'!$Z$150)+SUMIFS('Registre de reserves'!$V$2:$V$1178,'Registre de reserves'!$T$2:$T$1178,"RESERVA",'Registre de reserves'!$I$2:$I$1178,'2022'!$A153,'Registre de reserves'!$B$2:$B$1178,'2022'!X$2,Tabla1[ANY],'2022'!$Z$150)</f>
        <v>330</v>
      </c>
      <c r="Y153" s="21">
        <f t="shared" ref="Y153:Y160" si="152">IF(X$152=0,0,X153/X$152)</f>
        <v>9.606986899563319E-2</v>
      </c>
      <c r="Z153" s="20">
        <f>B153+D153+F153+H153+J153+L153+N153+P153+R153+T153+V153+X153</f>
        <v>1900</v>
      </c>
      <c r="AA153" s="21">
        <f t="shared" ref="AA153:AA160" si="153">IF(Z$4=0,0,Z153/Z$4)</f>
        <v>5.3146853146853149E-2</v>
      </c>
    </row>
    <row r="154" spans="1:27" hidden="1" outlineLevel="1" x14ac:dyDescent="0.2">
      <c r="A154" s="8" t="s">
        <v>68</v>
      </c>
      <c r="B154" s="20">
        <f>SUMIFS('Registre de reserves'!$V$2:$V$1178,'Registre de reserves'!$T$2:$T$1178,"SI",'Registre de reserves'!$I$2:$I$1178,'2022'!$A154,'Registre de reserves'!$B$2:$B$1178,'2022'!B$2,Tabla1[ANY],'2022'!$Z$150)+SUMIFS('Registre de reserves'!$V$2:$V$1178,'Registre de reserves'!$T$2:$T$1178,"RESERVA",'Registre de reserves'!$I$2:$I$1178,'2022'!$A154,'Registre de reserves'!$B$2:$B$1178,'2022'!B$2,Tabla1[ANY],'2022'!$Z$150)</f>
        <v>375</v>
      </c>
      <c r="C154" s="21">
        <f t="shared" ref="C154:C160" si="154">IF(B$152=0,0,B154/B$152)</f>
        <v>0.49342105263157893</v>
      </c>
      <c r="D154" s="20">
        <f>SUMIFS('Registre de reserves'!$V$2:$V$1178,'Registre de reserves'!$T$2:$T$1178,"SI",'Registre de reserves'!$I$2:$I$1178,'2022'!$A154,'Registre de reserves'!$B$2:$B$1178,'2022'!D$2,Tabla1[ANY],'2022'!$Z$150)+SUMIFS('Registre de reserves'!$V$2:$V$1178,'Registre de reserves'!$T$2:$T$1178,"RESERVA",'Registre de reserves'!$I$2:$I$1178,'2022'!$A154,'Registre de reserves'!$B$2:$B$1178,'2022'!D$2,Tabla1[ANY],'2022'!$Z$150)</f>
        <v>285</v>
      </c>
      <c r="E154" s="21">
        <f t="shared" si="142"/>
        <v>0.42537313432835822</v>
      </c>
      <c r="F154" s="20">
        <f>SUMIFS('Registre de reserves'!$V$2:$V$1178,'Registre de reserves'!$T$2:$T$1178,"SI",'Registre de reserves'!$I$2:$I$1178,'2022'!$A154,'Registre de reserves'!$B$2:$B$1178,'2022'!F$2,Tabla1[ANY],'2022'!$Z$150)+SUMIFS('Registre de reserves'!$V$2:$V$1178,'Registre de reserves'!$T$2:$T$1178,"RESERVA",'Registre de reserves'!$I$2:$I$1178,'2022'!$A154,'Registre de reserves'!$B$2:$B$1178,'2022'!F$2,Tabla1[ANY],'2022'!$Z$150)</f>
        <v>575</v>
      </c>
      <c r="G154" s="21">
        <f t="shared" si="143"/>
        <v>0.41818181818181815</v>
      </c>
      <c r="H154" s="20">
        <f>SUMIFS('Registre de reserves'!$V$2:$V$1178,'Registre de reserves'!$T$2:$T$1178,"SI",'Registre de reserves'!$I$2:$I$1178,'2022'!$A154,'Registre de reserves'!$B$2:$B$1178,'2022'!H$2,Tabla1[ANY],'2022'!$Z$150)+SUMIFS('Registre de reserves'!$V$2:$V$1178,'Registre de reserves'!$T$2:$T$1178,"RESERVA",'Registre de reserves'!$I$2:$I$1178,'2022'!$A154,'Registre de reserves'!$B$2:$B$1178,'2022'!H$2,Tabla1[ANY],'2022'!$Z$150)</f>
        <v>670</v>
      </c>
      <c r="I154" s="21">
        <f t="shared" si="144"/>
        <v>0.40978593272171254</v>
      </c>
      <c r="J154" s="20">
        <f>SUMIFS('Registre de reserves'!$V$2:$V$1178,'Registre de reserves'!$T$2:$T$1178,"SI",'Registre de reserves'!$I$2:$I$1178,'2022'!$A154,'Registre de reserves'!$B$2:$B$1178,'2022'!J$2,Tabla1[ANY],'2022'!$Z$150)+SUMIFS('Registre de reserves'!$V$2:$V$1178,'Registre de reserves'!$T$2:$T$1178,"RESERVA",'Registre de reserves'!$I$2:$I$1178,'2022'!$A154,'Registre de reserves'!$B$2:$B$1178,'2022'!J$2,Tabla1[ANY],'2022'!$Z$150)</f>
        <v>725</v>
      </c>
      <c r="K154" s="21">
        <f t="shared" si="145"/>
        <v>0.38157894736842107</v>
      </c>
      <c r="L154" s="20">
        <f>SUMIFS('Registre de reserves'!$V$2:$V$1178,'Registre de reserves'!$T$2:$T$1178,"SI",'Registre de reserves'!$I$2:$I$1178,'2022'!$A154,'Registre de reserves'!$B$2:$B$1178,'2022'!L$2,Tabla1[ANY],'2022'!$Z$150)+SUMIFS('Registre de reserves'!$V$2:$V$1178,'Registre de reserves'!$T$2:$T$1178,"RESERVA",'Registre de reserves'!$I$2:$I$1178,'2022'!$A154,'Registre de reserves'!$B$2:$B$1178,'2022'!L$2,Tabla1[ANY],'2022'!$Z$150)</f>
        <v>345</v>
      </c>
      <c r="M154" s="21">
        <f t="shared" si="146"/>
        <v>0.20909090909090908</v>
      </c>
      <c r="N154" s="20">
        <f>SUMIFS('Registre de reserves'!$V$2:$V$1178,'Registre de reserves'!$T$2:$T$1178,"SI",'Registre de reserves'!$I$2:$I$1178,'2022'!$A154,'Registre de reserves'!$B$2:$B$1178,'2022'!N$2,Tabla1[ANY],'2022'!$Z$150)+SUMIFS('Registre de reserves'!$V$2:$V$1178,'Registre de reserves'!$T$2:$T$1178,"RESERVA",'Registre de reserves'!$I$2:$I$1178,'2022'!$A154,'Registre de reserves'!$B$2:$B$1178,'2022'!N$2,Tabla1[ANY],'2022'!$Z$150)</f>
        <v>475</v>
      </c>
      <c r="O154" s="21">
        <f t="shared" si="147"/>
        <v>0.21739130434782608</v>
      </c>
      <c r="P154" s="20">
        <f>SUMIFS('Registre de reserves'!$V$2:$V$1178,'Registre de reserves'!$T$2:$T$1178,"SI",'Registre de reserves'!$I$2:$I$1178,'2022'!$A154,'Registre de reserves'!$B$2:$B$1178,'2022'!P$2,Tabla1[ANY],'2022'!$Z$150)+SUMIFS('Registre de reserves'!$V$2:$V$1178,'Registre de reserves'!$T$2:$T$1178,"RESERVA",'Registre de reserves'!$I$2:$I$1178,'2022'!$A154,'Registre de reserves'!$B$2:$B$1178,'2022'!P$2,Tabla1[ANY],'2022'!$Z$150)</f>
        <v>200</v>
      </c>
      <c r="Q154" s="21">
        <f t="shared" si="148"/>
        <v>0.18691588785046728</v>
      </c>
      <c r="R154" s="20">
        <f>SUMIFS('Registre de reserves'!$V$2:$V$1178,'Registre de reserves'!$T$2:$T$1178,"SI",'Registre de reserves'!$I$2:$I$1178,'2022'!$A154,'Registre de reserves'!$B$2:$B$1178,'2022'!R$2,Tabla1[ANY],'2022'!$Z$150)+SUMIFS('Registre de reserves'!$V$2:$V$1178,'Registre de reserves'!$T$2:$T$1178,"RESERVA",'Registre de reserves'!$I$2:$I$1178,'2022'!$A154,'Registre de reserves'!$B$2:$B$1178,'2022'!R$2,Tabla1[ANY],'2022'!$Z$150)</f>
        <v>725</v>
      </c>
      <c r="S154" s="21">
        <f t="shared" si="149"/>
        <v>0.34523809523809523</v>
      </c>
      <c r="T154" s="20">
        <f>SUMIFS('Registre de reserves'!$V$2:$V$1178,'Registre de reserves'!$T$2:$T$1178,"SI",'Registre de reserves'!$I$2:$I$1178,'2022'!$A154,'Registre de reserves'!$B$2:$B$1178,'2022'!T$2,Tabla1[ANY],'2022'!$Z$150)+SUMIFS('Registre de reserves'!$V$2:$V$1178,'Registre de reserves'!$T$2:$T$1178,"RESERVA",'Registre de reserves'!$I$2:$I$1178,'2022'!$A154,'Registre de reserves'!$B$2:$B$1178,'2022'!T$2,Tabla1[ANY],'2022'!$Z$150)</f>
        <v>640</v>
      </c>
      <c r="U154" s="21">
        <f t="shared" si="150"/>
        <v>0.33952254641909813</v>
      </c>
      <c r="V154" s="20">
        <f>SUMIFS('Registre de reserves'!$V$2:$V$1178,'Registre de reserves'!$T$2:$T$1178,"SI",'Registre de reserves'!$I$2:$I$1178,'2022'!$A154,'Registre de reserves'!$B$2:$B$1178,'2022'!V$2,Tabla1[ANY],'2022'!$Z$150)+SUMIFS('Registre de reserves'!$V$2:$V$1178,'Registre de reserves'!$T$2:$T$1178,"RESERVA",'Registre de reserves'!$I$2:$I$1178,'2022'!$A154,'Registre de reserves'!$B$2:$B$1178,'2022'!V$2,Tabla1[ANY],'2022'!$Z$150)</f>
        <v>390</v>
      </c>
      <c r="W154" s="21">
        <f t="shared" si="151"/>
        <v>0.28260869565217389</v>
      </c>
      <c r="X154" s="20">
        <f>SUMIFS('Registre de reserves'!$V$2:$V$1178,'Registre de reserves'!$T$2:$T$1178,"SI",'Registre de reserves'!$I$2:$I$1178,'2022'!$A154,'Registre de reserves'!$B$2:$B$1178,'2022'!X$2,Tabla1[ANY],'2022'!$Z$150)+SUMIFS('Registre de reserves'!$V$2:$V$1178,'Registre de reserves'!$T$2:$T$1178,"RESERVA",'Registre de reserves'!$I$2:$I$1178,'2022'!$A154,'Registre de reserves'!$B$2:$B$1178,'2022'!X$2,Tabla1[ANY],'2022'!$Z$150)</f>
        <v>345</v>
      </c>
      <c r="Y154" s="21">
        <f t="shared" si="152"/>
        <v>0.10043668122270742</v>
      </c>
      <c r="Z154" s="20">
        <f t="shared" ref="Z154:Z160" si="155">B154+D154+F154+H154+J154+L154+N154+P154+R154+T154+V154+X154</f>
        <v>5750</v>
      </c>
      <c r="AA154" s="21">
        <f t="shared" si="153"/>
        <v>0.16083916083916083</v>
      </c>
    </row>
    <row r="155" spans="1:27" hidden="1" outlineLevel="1" x14ac:dyDescent="0.2">
      <c r="A155" s="8" t="s">
        <v>4</v>
      </c>
      <c r="B155" s="20">
        <f>SUMIFS('Registre de reserves'!$V$2:$V$1178,'Registre de reserves'!$T$2:$T$1178,"SI",'Registre de reserves'!$I$2:$I$1178,'2022'!$A155,'Registre de reserves'!$B$2:$B$1178,'2022'!B$2,Tabla1[ANY],'2022'!$Z$150)+SUMIFS('Registre de reserves'!$V$2:$V$1178,'Registre de reserves'!$T$2:$T$1178,"RESERVA",'Registre de reserves'!$I$2:$I$1178,'2022'!$A155,'Registre de reserves'!$B$2:$B$1178,'2022'!B$2,Tabla1[ANY],'2022'!$Z$150)</f>
        <v>0</v>
      </c>
      <c r="C155" s="21">
        <f t="shared" si="154"/>
        <v>0</v>
      </c>
      <c r="D155" s="20">
        <f>SUMIFS('Registre de reserves'!$V$2:$V$1178,'Registre de reserves'!$T$2:$T$1178,"SI",'Registre de reserves'!$I$2:$I$1178,'2022'!$A155,'Registre de reserves'!$B$2:$B$1178,'2022'!D$2,Tabla1[ANY],'2022'!$Z$150)+SUMIFS('Registre de reserves'!$V$2:$V$1178,'Registre de reserves'!$T$2:$T$1178,"RESERVA",'Registre de reserves'!$I$2:$I$1178,'2022'!$A155,'Registre de reserves'!$B$2:$B$1178,'2022'!D$2,Tabla1[ANY],'2022'!$Z$150)</f>
        <v>95</v>
      </c>
      <c r="E155" s="21">
        <f t="shared" si="142"/>
        <v>0.1417910447761194</v>
      </c>
      <c r="F155" s="20">
        <f>SUMIFS('Registre de reserves'!$V$2:$V$1178,'Registre de reserves'!$T$2:$T$1178,"SI",'Registre de reserves'!$I$2:$I$1178,'2022'!$A155,'Registre de reserves'!$B$2:$B$1178,'2022'!F$2,Tabla1[ANY],'2022'!$Z$150)+SUMIFS('Registre de reserves'!$V$2:$V$1178,'Registre de reserves'!$T$2:$T$1178,"RESERVA",'Registre de reserves'!$I$2:$I$1178,'2022'!$A155,'Registre de reserves'!$B$2:$B$1178,'2022'!F$2,Tabla1[ANY],'2022'!$Z$150)</f>
        <v>320</v>
      </c>
      <c r="G155" s="21">
        <f t="shared" si="143"/>
        <v>0.23272727272727273</v>
      </c>
      <c r="H155" s="20">
        <f>SUMIFS('Registre de reserves'!$V$2:$V$1178,'Registre de reserves'!$T$2:$T$1178,"SI",'Registre de reserves'!$I$2:$I$1178,'2022'!$A155,'Registre de reserves'!$B$2:$B$1178,'2022'!H$2,Tabla1[ANY],'2022'!$Z$150)+SUMIFS('Registre de reserves'!$V$2:$V$1178,'Registre de reserves'!$T$2:$T$1178,"RESERVA",'Registre de reserves'!$I$2:$I$1178,'2022'!$A155,'Registre de reserves'!$B$2:$B$1178,'2022'!H$2,Tabla1[ANY],'2022'!$Z$150)</f>
        <v>0</v>
      </c>
      <c r="I155" s="21">
        <f t="shared" si="144"/>
        <v>0</v>
      </c>
      <c r="J155" s="20">
        <f>SUMIFS('Registre de reserves'!$V$2:$V$1178,'Registre de reserves'!$T$2:$T$1178,"SI",'Registre de reserves'!$I$2:$I$1178,'2022'!$A155,'Registre de reserves'!$B$2:$B$1178,'2022'!J$2,Tabla1[ANY],'2022'!$Z$150)+SUMIFS('Registre de reserves'!$V$2:$V$1178,'Registre de reserves'!$T$2:$T$1178,"RESERVA",'Registre de reserves'!$I$2:$I$1178,'2022'!$A155,'Registre de reserves'!$B$2:$B$1178,'2022'!J$2,Tabla1[ANY],'2022'!$Z$150)</f>
        <v>460</v>
      </c>
      <c r="K155" s="21">
        <f t="shared" si="145"/>
        <v>0.24210526315789474</v>
      </c>
      <c r="L155" s="20">
        <f>SUMIFS('Registre de reserves'!$V$2:$V$1178,'Registre de reserves'!$T$2:$T$1178,"SI",'Registre de reserves'!$I$2:$I$1178,'2022'!$A155,'Registre de reserves'!$B$2:$B$1178,'2022'!L$2,Tabla1[ANY],'2022'!$Z$150)+SUMIFS('Registre de reserves'!$V$2:$V$1178,'Registre de reserves'!$T$2:$T$1178,"RESERVA",'Registre de reserves'!$I$2:$I$1178,'2022'!$A155,'Registre de reserves'!$B$2:$B$1178,'2022'!L$2,Tabla1[ANY],'2022'!$Z$150)</f>
        <v>1060</v>
      </c>
      <c r="M155" s="21">
        <f t="shared" si="146"/>
        <v>0.64242424242424245</v>
      </c>
      <c r="N155" s="20">
        <f>SUMIFS('Registre de reserves'!$V$2:$V$1178,'Registre de reserves'!$T$2:$T$1178,"SI",'Registre de reserves'!$I$2:$I$1178,'2022'!$A155,'Registre de reserves'!$B$2:$B$1178,'2022'!N$2,Tabla1[ANY],'2022'!$Z$150)+SUMIFS('Registre de reserves'!$V$2:$V$1178,'Registre de reserves'!$T$2:$T$1178,"RESERVA",'Registre de reserves'!$I$2:$I$1178,'2022'!$A155,'Registre de reserves'!$B$2:$B$1178,'2022'!N$2,Tabla1[ANY],'2022'!$Z$150)</f>
        <v>740</v>
      </c>
      <c r="O155" s="21">
        <f t="shared" si="147"/>
        <v>0.33867276887871856</v>
      </c>
      <c r="P155" s="20">
        <f>SUMIFS('Registre de reserves'!$V$2:$V$1178,'Registre de reserves'!$T$2:$T$1178,"SI",'Registre de reserves'!$I$2:$I$1178,'2022'!$A155,'Registre de reserves'!$B$2:$B$1178,'2022'!P$2,Tabla1[ANY],'2022'!$Z$150)+SUMIFS('Registre de reserves'!$V$2:$V$1178,'Registre de reserves'!$T$2:$T$1178,"RESERVA",'Registre de reserves'!$I$2:$I$1178,'2022'!$A155,'Registre de reserves'!$B$2:$B$1178,'2022'!P$2,Tabla1[ANY],'2022'!$Z$150)</f>
        <v>0</v>
      </c>
      <c r="Q155" s="21">
        <f t="shared" si="148"/>
        <v>0</v>
      </c>
      <c r="R155" s="20">
        <f>SUMIFS('Registre de reserves'!$V$2:$V$1178,'Registre de reserves'!$T$2:$T$1178,"SI",'Registre de reserves'!$I$2:$I$1178,'2022'!$A155,'Registre de reserves'!$B$2:$B$1178,'2022'!R$2,Tabla1[ANY],'2022'!$Z$150)+SUMIFS('Registre de reserves'!$V$2:$V$1178,'Registre de reserves'!$T$2:$T$1178,"RESERVA",'Registre de reserves'!$I$2:$I$1178,'2022'!$A155,'Registre de reserves'!$B$2:$B$1178,'2022'!R$2,Tabla1[ANY],'2022'!$Z$150)</f>
        <v>475</v>
      </c>
      <c r="S155" s="21">
        <f t="shared" si="149"/>
        <v>0.22619047619047619</v>
      </c>
      <c r="T155" s="20">
        <f>SUMIFS('Registre de reserves'!$V$2:$V$1178,'Registre de reserves'!$T$2:$T$1178,"SI",'Registre de reserves'!$I$2:$I$1178,'2022'!$A155,'Registre de reserves'!$B$2:$B$1178,'2022'!T$2,Tabla1[ANY],'2022'!$Z$150)+SUMIFS('Registre de reserves'!$V$2:$V$1178,'Registre de reserves'!$T$2:$T$1178,"RESERVA",'Registre de reserves'!$I$2:$I$1178,'2022'!$A155,'Registre de reserves'!$B$2:$B$1178,'2022'!T$2,Tabla1[ANY],'2022'!$Z$150)</f>
        <v>0</v>
      </c>
      <c r="U155" s="21">
        <f t="shared" si="150"/>
        <v>0</v>
      </c>
      <c r="V155" s="20">
        <f>SUMIFS('Registre de reserves'!$V$2:$V$1178,'Registre de reserves'!$T$2:$T$1178,"SI",'Registre de reserves'!$I$2:$I$1178,'2022'!$A155,'Registre de reserves'!$B$2:$B$1178,'2022'!V$2,Tabla1[ANY],'2022'!$Z$150)+SUMIFS('Registre de reserves'!$V$2:$V$1178,'Registre de reserves'!$T$2:$T$1178,"RESERVA",'Registre de reserves'!$I$2:$I$1178,'2022'!$A155,'Registre de reserves'!$B$2:$B$1178,'2022'!V$2,Tabla1[ANY],'2022'!$Z$150)</f>
        <v>240</v>
      </c>
      <c r="W155" s="21">
        <f t="shared" si="151"/>
        <v>0.17391304347826086</v>
      </c>
      <c r="X155" s="20">
        <f>SUMIFS('Registre de reserves'!$V$2:$V$1178,'Registre de reserves'!$T$2:$T$1178,"SI",'Registre de reserves'!$I$2:$I$1178,'2022'!$A155,'Registre de reserves'!$B$2:$B$1178,'2022'!X$2,Tabla1[ANY],'2022'!$Z$150)+SUMIFS('Registre de reserves'!$V$2:$V$1178,'Registre de reserves'!$T$2:$T$1178,"RESERVA",'Registre de reserves'!$I$2:$I$1178,'2022'!$A155,'Registre de reserves'!$B$2:$B$1178,'2022'!X$2,Tabla1[ANY],'2022'!$Z$150)</f>
        <v>570</v>
      </c>
      <c r="Y155" s="21">
        <f t="shared" si="152"/>
        <v>0.16593886462882096</v>
      </c>
      <c r="Z155" s="20">
        <f t="shared" si="155"/>
        <v>3960</v>
      </c>
      <c r="AA155" s="21">
        <f t="shared" si="153"/>
        <v>0.11076923076923077</v>
      </c>
    </row>
    <row r="156" spans="1:27" hidden="1" outlineLevel="1" x14ac:dyDescent="0.2">
      <c r="A156" s="8" t="s">
        <v>71</v>
      </c>
      <c r="B156" s="20">
        <f>SUMIFS('Registre de reserves'!$V$2:$V$1178,'Registre de reserves'!$T$2:$T$1178,"SI",'Registre de reserves'!$I$2:$I$1178,'2022'!$A156,'Registre de reserves'!$B$2:$B$1178,'2022'!B$2,Tabla1[ANY],'2022'!$Z$150)+SUMIFS('Registre de reserves'!$V$2:$V$1178,'Registre de reserves'!$T$2:$T$1178,"RESERVA",'Registre de reserves'!$I$2:$I$1178,'2022'!$A156,'Registre de reserves'!$B$2:$B$1178,'2022'!B$2,Tabla1[ANY],'2022'!$Z$150)</f>
        <v>95</v>
      </c>
      <c r="C156" s="21">
        <f t="shared" si="154"/>
        <v>0.125</v>
      </c>
      <c r="D156" s="20">
        <f>SUMIFS('Registre de reserves'!$V$2:$V$1178,'Registre de reserves'!$T$2:$T$1178,"SI",'Registre de reserves'!$I$2:$I$1178,'2022'!$A156,'Registre de reserves'!$B$2:$B$1178,'2022'!D$2,Tabla1[ANY],'2022'!$Z$150)+SUMIFS('Registre de reserves'!$V$2:$V$1178,'Registre de reserves'!$T$2:$T$1178,"RESERVA",'Registre de reserves'!$I$2:$I$1178,'2022'!$A156,'Registre de reserves'!$B$2:$B$1178,'2022'!D$2,Tabla1[ANY],'2022'!$Z$150)</f>
        <v>0</v>
      </c>
      <c r="E156" s="21">
        <f t="shared" si="142"/>
        <v>0</v>
      </c>
      <c r="F156" s="20">
        <f>SUMIFS('Registre de reserves'!$V$2:$V$1178,'Registre de reserves'!$T$2:$T$1178,"SI",'Registre de reserves'!$I$2:$I$1178,'2022'!$A156,'Registre de reserves'!$B$2:$B$1178,'2022'!F$2,Tabla1[ANY],'2022'!$Z$150)+SUMIFS('Registre de reserves'!$V$2:$V$1178,'Registre de reserves'!$T$2:$T$1178,"RESERVA",'Registre de reserves'!$I$2:$I$1178,'2022'!$A156,'Registre de reserves'!$B$2:$B$1178,'2022'!F$2,Tabla1[ANY],'2022'!$Z$150)</f>
        <v>0</v>
      </c>
      <c r="G156" s="21">
        <f t="shared" si="143"/>
        <v>0</v>
      </c>
      <c r="H156" s="20">
        <f>SUMIFS('Registre de reserves'!$V$2:$V$1178,'Registre de reserves'!$T$2:$T$1178,"SI",'Registre de reserves'!$I$2:$I$1178,'2022'!$A156,'Registre de reserves'!$B$2:$B$1178,'2022'!H$2,Tabla1[ANY],'2022'!$Z$150)+SUMIFS('Registre de reserves'!$V$2:$V$1178,'Registre de reserves'!$T$2:$T$1178,"RESERVA",'Registre de reserves'!$I$2:$I$1178,'2022'!$A156,'Registre de reserves'!$B$2:$B$1178,'2022'!H$2,Tabla1[ANY],'2022'!$Z$150)</f>
        <v>0</v>
      </c>
      <c r="I156" s="21">
        <f t="shared" si="144"/>
        <v>0</v>
      </c>
      <c r="J156" s="20">
        <f>SUMIFS('Registre de reserves'!$V$2:$V$1178,'Registre de reserves'!$T$2:$T$1178,"SI",'Registre de reserves'!$I$2:$I$1178,'2022'!$A156,'Registre de reserves'!$B$2:$B$1178,'2022'!J$2,Tabla1[ANY],'2022'!$Z$150)+SUMIFS('Registre de reserves'!$V$2:$V$1178,'Registre de reserves'!$T$2:$T$1178,"RESERVA",'Registre de reserves'!$I$2:$I$1178,'2022'!$A156,'Registre de reserves'!$B$2:$B$1178,'2022'!J$2,Tabla1[ANY],'2022'!$Z$150)</f>
        <v>0</v>
      </c>
      <c r="K156" s="21">
        <f t="shared" si="145"/>
        <v>0</v>
      </c>
      <c r="L156" s="20">
        <f>SUMIFS('Registre de reserves'!$V$2:$V$1178,'Registre de reserves'!$T$2:$T$1178,"SI",'Registre de reserves'!$I$2:$I$1178,'2022'!$A156,'Registre de reserves'!$B$2:$B$1178,'2022'!L$2,Tabla1[ANY],'2022'!$Z$150)+SUMIFS('Registre de reserves'!$V$2:$V$1178,'Registre de reserves'!$T$2:$T$1178,"RESERVA",'Registre de reserves'!$I$2:$I$1178,'2022'!$A156,'Registre de reserves'!$B$2:$B$1178,'2022'!L$2,Tabla1[ANY],'2022'!$Z$150)</f>
        <v>0</v>
      </c>
      <c r="M156" s="21">
        <f t="shared" si="146"/>
        <v>0</v>
      </c>
      <c r="N156" s="20">
        <f>SUMIFS('Registre de reserves'!$V$2:$V$1178,'Registre de reserves'!$T$2:$T$1178,"SI",'Registre de reserves'!$I$2:$I$1178,'2022'!$A156,'Registre de reserves'!$B$2:$B$1178,'2022'!N$2,Tabla1[ANY],'2022'!$Z$150)+SUMIFS('Registre de reserves'!$V$2:$V$1178,'Registre de reserves'!$T$2:$T$1178,"RESERVA",'Registre de reserves'!$I$2:$I$1178,'2022'!$A156,'Registre de reserves'!$B$2:$B$1178,'2022'!N$2,Tabla1[ANY],'2022'!$Z$150)</f>
        <v>0</v>
      </c>
      <c r="O156" s="21">
        <f t="shared" si="147"/>
        <v>0</v>
      </c>
      <c r="P156" s="20">
        <f>SUMIFS('Registre de reserves'!$V$2:$V$1178,'Registre de reserves'!$T$2:$T$1178,"SI",'Registre de reserves'!$I$2:$I$1178,'2022'!$A156,'Registre de reserves'!$B$2:$B$1178,'2022'!P$2,Tabla1[ANY],'2022'!$Z$150)+SUMIFS('Registre de reserves'!$V$2:$V$1178,'Registre de reserves'!$T$2:$T$1178,"RESERVA",'Registre de reserves'!$I$2:$I$1178,'2022'!$A156,'Registre de reserves'!$B$2:$B$1178,'2022'!P$2,Tabla1[ANY],'2022'!$Z$150)</f>
        <v>0</v>
      </c>
      <c r="Q156" s="21">
        <f t="shared" si="148"/>
        <v>0</v>
      </c>
      <c r="R156" s="20">
        <f>SUMIFS('Registre de reserves'!$V$2:$V$1178,'Registre de reserves'!$T$2:$T$1178,"SI",'Registre de reserves'!$I$2:$I$1178,'2022'!$A156,'Registre de reserves'!$B$2:$B$1178,'2022'!R$2,Tabla1[ANY],'2022'!$Z$150)+SUMIFS('Registre de reserves'!$V$2:$V$1178,'Registre de reserves'!$T$2:$T$1178,"RESERVA",'Registre de reserves'!$I$2:$I$1178,'2022'!$A156,'Registre de reserves'!$B$2:$B$1178,'2022'!R$2,Tabla1[ANY],'2022'!$Z$150)</f>
        <v>0</v>
      </c>
      <c r="S156" s="21">
        <f t="shared" si="149"/>
        <v>0</v>
      </c>
      <c r="T156" s="20">
        <f>SUMIFS('Registre de reserves'!$V$2:$V$1178,'Registre de reserves'!$T$2:$T$1178,"SI",'Registre de reserves'!$I$2:$I$1178,'2022'!$A156,'Registre de reserves'!$B$2:$B$1178,'2022'!T$2,Tabla1[ANY],'2022'!$Z$150)+SUMIFS('Registre de reserves'!$V$2:$V$1178,'Registre de reserves'!$T$2:$T$1178,"RESERVA",'Registre de reserves'!$I$2:$I$1178,'2022'!$A156,'Registre de reserves'!$B$2:$B$1178,'2022'!T$2,Tabla1[ANY],'2022'!$Z$150)</f>
        <v>0</v>
      </c>
      <c r="U156" s="21">
        <f t="shared" si="150"/>
        <v>0</v>
      </c>
      <c r="V156" s="20">
        <f>SUMIFS('Registre de reserves'!$V$2:$V$1178,'Registre de reserves'!$T$2:$T$1178,"SI",'Registre de reserves'!$I$2:$I$1178,'2022'!$A156,'Registre de reserves'!$B$2:$B$1178,'2022'!V$2,Tabla1[ANY],'2022'!$Z$150)+SUMIFS('Registre de reserves'!$V$2:$V$1178,'Registre de reserves'!$T$2:$T$1178,"RESERVA",'Registre de reserves'!$I$2:$I$1178,'2022'!$A156,'Registre de reserves'!$B$2:$B$1178,'2022'!V$2,Tabla1[ANY],'2022'!$Z$150)</f>
        <v>0</v>
      </c>
      <c r="W156" s="21">
        <f t="shared" si="151"/>
        <v>0</v>
      </c>
      <c r="X156" s="20">
        <f>SUMIFS('Registre de reserves'!$V$2:$V$1178,'Registre de reserves'!$T$2:$T$1178,"SI",'Registre de reserves'!$I$2:$I$1178,'2022'!$A156,'Registre de reserves'!$B$2:$B$1178,'2022'!X$2,Tabla1[ANY],'2022'!$Z$150)+SUMIFS('Registre de reserves'!$V$2:$V$1178,'Registre de reserves'!$T$2:$T$1178,"RESERVA",'Registre de reserves'!$I$2:$I$1178,'2022'!$A156,'Registre de reserves'!$B$2:$B$1178,'2022'!X$2,Tabla1[ANY],'2022'!$Z$150)</f>
        <v>0</v>
      </c>
      <c r="Y156" s="21">
        <f t="shared" si="152"/>
        <v>0</v>
      </c>
      <c r="Z156" s="20">
        <f t="shared" si="155"/>
        <v>95</v>
      </c>
      <c r="AA156" s="21">
        <f t="shared" si="153"/>
        <v>2.6573426573426573E-3</v>
      </c>
    </row>
    <row r="157" spans="1:27" hidden="1" outlineLevel="1" x14ac:dyDescent="0.2">
      <c r="A157" s="8" t="s">
        <v>72</v>
      </c>
      <c r="B157" s="20">
        <f>SUMIFS('Registre de reserves'!$V$2:$V$1178,'Registre de reserves'!$T$2:$T$1178,"SI",'Registre de reserves'!$I$2:$I$1178,'2022'!$A157,'Registre de reserves'!$B$2:$B$1178,'2022'!B$2,Tabla1[ANY],'2022'!$Z$150)+SUMIFS('Registre de reserves'!$V$2:$V$1178,'Registre de reserves'!$T$2:$T$1178,"RESERVA",'Registre de reserves'!$I$2:$I$1178,'2022'!$A157,'Registre de reserves'!$B$2:$B$1178,'2022'!B$2,Tabla1[ANY],'2022'!$Z$150)</f>
        <v>0</v>
      </c>
      <c r="C157" s="21">
        <f t="shared" si="154"/>
        <v>0</v>
      </c>
      <c r="D157" s="20">
        <f>SUMIFS('Registre de reserves'!$V$2:$V$1178,'Registre de reserves'!$T$2:$T$1178,"SI",'Registre de reserves'!$I$2:$I$1178,'2022'!$A157,'Registre de reserves'!$B$2:$B$1178,'2022'!D$2,Tabla1[ANY],'2022'!$Z$150)+SUMIFS('Registre de reserves'!$V$2:$V$1178,'Registre de reserves'!$T$2:$T$1178,"RESERVA",'Registre de reserves'!$I$2:$I$1178,'2022'!$A157,'Registre de reserves'!$B$2:$B$1178,'2022'!D$2,Tabla1[ANY],'2022'!$Z$150)</f>
        <v>0</v>
      </c>
      <c r="E157" s="21">
        <f t="shared" si="142"/>
        <v>0</v>
      </c>
      <c r="F157" s="20">
        <f>SUMIFS('Registre de reserves'!$V$2:$V$1178,'Registre de reserves'!$T$2:$T$1178,"SI",'Registre de reserves'!$I$2:$I$1178,'2022'!$A157,'Registre de reserves'!$B$2:$B$1178,'2022'!F$2,Tabla1[ANY],'2022'!$Z$150)+SUMIFS('Registre de reserves'!$V$2:$V$1178,'Registre de reserves'!$T$2:$T$1178,"RESERVA",'Registre de reserves'!$I$2:$I$1178,'2022'!$A157,'Registre de reserves'!$B$2:$B$1178,'2022'!F$2,Tabla1[ANY],'2022'!$Z$150)</f>
        <v>0</v>
      </c>
      <c r="G157" s="21">
        <f t="shared" si="143"/>
        <v>0</v>
      </c>
      <c r="H157" s="20">
        <f>SUMIFS('Registre de reserves'!$V$2:$V$1178,'Registre de reserves'!$T$2:$T$1178,"SI",'Registre de reserves'!$I$2:$I$1178,'2022'!$A157,'Registre de reserves'!$B$2:$B$1178,'2022'!H$2,Tabla1[ANY],'2022'!$Z$150)+SUMIFS('Registre de reserves'!$V$2:$V$1178,'Registre de reserves'!$T$2:$T$1178,"RESERVA",'Registre de reserves'!$I$2:$I$1178,'2022'!$A157,'Registre de reserves'!$B$2:$B$1178,'2022'!H$2,Tabla1[ANY],'2022'!$Z$150)</f>
        <v>0</v>
      </c>
      <c r="I157" s="21">
        <f t="shared" si="144"/>
        <v>0</v>
      </c>
      <c r="J157" s="20">
        <f>SUMIFS('Registre de reserves'!$V$2:$V$1178,'Registre de reserves'!$T$2:$T$1178,"SI",'Registre de reserves'!$I$2:$I$1178,'2022'!$A157,'Registre de reserves'!$B$2:$B$1178,'2022'!J$2,Tabla1[ANY],'2022'!$Z$150)+SUMIFS('Registre de reserves'!$V$2:$V$1178,'Registre de reserves'!$T$2:$T$1178,"RESERVA",'Registre de reserves'!$I$2:$I$1178,'2022'!$A157,'Registre de reserves'!$B$2:$B$1178,'2022'!J$2,Tabla1[ANY],'2022'!$Z$150)</f>
        <v>0</v>
      </c>
      <c r="K157" s="21">
        <f t="shared" si="145"/>
        <v>0</v>
      </c>
      <c r="L157" s="20">
        <f>SUMIFS('Registre de reserves'!$V$2:$V$1178,'Registre de reserves'!$T$2:$T$1178,"SI",'Registre de reserves'!$I$2:$I$1178,'2022'!$A157,'Registre de reserves'!$B$2:$B$1178,'2022'!L$2,Tabla1[ANY],'2022'!$Z$150)+SUMIFS('Registre de reserves'!$V$2:$V$1178,'Registre de reserves'!$T$2:$T$1178,"RESERVA",'Registre de reserves'!$I$2:$I$1178,'2022'!$A157,'Registre de reserves'!$B$2:$B$1178,'2022'!L$2,Tabla1[ANY],'2022'!$Z$150)</f>
        <v>0</v>
      </c>
      <c r="M157" s="21">
        <f t="shared" si="146"/>
        <v>0</v>
      </c>
      <c r="N157" s="20">
        <f>SUMIFS('Registre de reserves'!$V$2:$V$1178,'Registre de reserves'!$T$2:$T$1178,"SI",'Registre de reserves'!$I$2:$I$1178,'2022'!$A157,'Registre de reserves'!$B$2:$B$1178,'2022'!N$2,Tabla1[ANY],'2022'!$Z$150)+SUMIFS('Registre de reserves'!$V$2:$V$1178,'Registre de reserves'!$T$2:$T$1178,"RESERVA",'Registre de reserves'!$I$2:$I$1178,'2022'!$A157,'Registre de reserves'!$B$2:$B$1178,'2022'!N$2,Tabla1[ANY],'2022'!$Z$150)</f>
        <v>0</v>
      </c>
      <c r="O157" s="21">
        <f t="shared" si="147"/>
        <v>0</v>
      </c>
      <c r="P157" s="20">
        <f>SUMIFS('Registre de reserves'!$V$2:$V$1178,'Registre de reserves'!$T$2:$T$1178,"SI",'Registre de reserves'!$I$2:$I$1178,'2022'!$A157,'Registre de reserves'!$B$2:$B$1178,'2022'!P$2,Tabla1[ANY],'2022'!$Z$150)+SUMIFS('Registre de reserves'!$V$2:$V$1178,'Registre de reserves'!$T$2:$T$1178,"RESERVA",'Registre de reserves'!$I$2:$I$1178,'2022'!$A157,'Registre de reserves'!$B$2:$B$1178,'2022'!P$2,Tabla1[ANY],'2022'!$Z$150)</f>
        <v>0</v>
      </c>
      <c r="Q157" s="21">
        <f t="shared" si="148"/>
        <v>0</v>
      </c>
      <c r="R157" s="20">
        <f>SUMIFS('Registre de reserves'!$V$2:$V$1178,'Registre de reserves'!$T$2:$T$1178,"SI",'Registre de reserves'!$I$2:$I$1178,'2022'!$A157,'Registre de reserves'!$B$2:$B$1178,'2022'!R$2,Tabla1[ANY],'2022'!$Z$150)+SUMIFS('Registre de reserves'!$V$2:$V$1178,'Registre de reserves'!$T$2:$T$1178,"RESERVA",'Registre de reserves'!$I$2:$I$1178,'2022'!$A157,'Registre de reserves'!$B$2:$B$1178,'2022'!R$2,Tabla1[ANY],'2022'!$Z$150)</f>
        <v>0</v>
      </c>
      <c r="S157" s="21">
        <f t="shared" si="149"/>
        <v>0</v>
      </c>
      <c r="T157" s="20">
        <f>SUMIFS('Registre de reserves'!$V$2:$V$1178,'Registre de reserves'!$T$2:$T$1178,"SI",'Registre de reserves'!$I$2:$I$1178,'2022'!$A157,'Registre de reserves'!$B$2:$B$1178,'2022'!T$2,Tabla1[ANY],'2022'!$Z$150)+SUMIFS('Registre de reserves'!$V$2:$V$1178,'Registre de reserves'!$T$2:$T$1178,"RESERVA",'Registre de reserves'!$I$2:$I$1178,'2022'!$A157,'Registre de reserves'!$B$2:$B$1178,'2022'!T$2,Tabla1[ANY],'2022'!$Z$150)</f>
        <v>0</v>
      </c>
      <c r="U157" s="21">
        <f t="shared" si="150"/>
        <v>0</v>
      </c>
      <c r="V157" s="20">
        <f>SUMIFS('Registre de reserves'!$V$2:$V$1178,'Registre de reserves'!$T$2:$T$1178,"SI",'Registre de reserves'!$I$2:$I$1178,'2022'!$A157,'Registre de reserves'!$B$2:$B$1178,'2022'!V$2,Tabla1[ANY],'2022'!$Z$150)+SUMIFS('Registre de reserves'!$V$2:$V$1178,'Registre de reserves'!$T$2:$T$1178,"RESERVA",'Registre de reserves'!$I$2:$I$1178,'2022'!$A157,'Registre de reserves'!$B$2:$B$1178,'2022'!V$2,Tabla1[ANY],'2022'!$Z$150)</f>
        <v>0</v>
      </c>
      <c r="W157" s="21">
        <f t="shared" si="151"/>
        <v>0</v>
      </c>
      <c r="X157" s="20">
        <f>SUMIFS('Registre de reserves'!$V$2:$V$1178,'Registre de reserves'!$T$2:$T$1178,"SI",'Registre de reserves'!$I$2:$I$1178,'2022'!$A157,'Registre de reserves'!$B$2:$B$1178,'2022'!X$2,Tabla1[ANY],'2022'!$Z$150)+SUMIFS('Registre de reserves'!$V$2:$V$1178,'Registre de reserves'!$T$2:$T$1178,"RESERVA",'Registre de reserves'!$I$2:$I$1178,'2022'!$A157,'Registre de reserves'!$B$2:$B$1178,'2022'!X$2,Tabla1[ANY],'2022'!$Z$150)</f>
        <v>0</v>
      </c>
      <c r="Y157" s="21">
        <f t="shared" si="152"/>
        <v>0</v>
      </c>
      <c r="Z157" s="20">
        <f t="shared" si="155"/>
        <v>0</v>
      </c>
      <c r="AA157" s="21">
        <f t="shared" si="153"/>
        <v>0</v>
      </c>
    </row>
    <row r="158" spans="1:27" hidden="1" outlineLevel="1" x14ac:dyDescent="0.2">
      <c r="A158" s="8" t="s">
        <v>69</v>
      </c>
      <c r="B158" s="20">
        <f>SUMIFS('Registre de reserves'!$V$2:$V$1178,'Registre de reserves'!$T$2:$T$1178,"SI",'Registre de reserves'!$I$2:$I$1178,'2022'!$A158,'Registre de reserves'!$B$2:$B$1178,'2022'!B$2,Tabla1[ANY],'2022'!$Z$150)+SUMIFS('Registre de reserves'!$V$2:$V$1178,'Registre de reserves'!$T$2:$T$1178,"RESERVA",'Registre de reserves'!$I$2:$I$1178,'2022'!$A158,'Registre de reserves'!$B$2:$B$1178,'2022'!B$2,Tabla1[ANY],'2022'!$Z$150)</f>
        <v>290</v>
      </c>
      <c r="C158" s="21">
        <f t="shared" si="154"/>
        <v>0.38157894736842107</v>
      </c>
      <c r="D158" s="20">
        <f>SUMIFS('Registre de reserves'!$V$2:$V$1178,'Registre de reserves'!$T$2:$T$1178,"SI",'Registre de reserves'!$I$2:$I$1178,'2022'!$A158,'Registre de reserves'!$B$2:$B$1178,'2022'!D$2,Tabla1[ANY],'2022'!$Z$150)+SUMIFS('Registre de reserves'!$V$2:$V$1178,'Registre de reserves'!$T$2:$T$1178,"RESERVA",'Registre de reserves'!$I$2:$I$1178,'2022'!$A158,'Registre de reserves'!$B$2:$B$1178,'2022'!D$2,Tabla1[ANY],'2022'!$Z$150)</f>
        <v>290</v>
      </c>
      <c r="E158" s="21">
        <f t="shared" si="142"/>
        <v>0.43283582089552236</v>
      </c>
      <c r="F158" s="20">
        <f>SUMIFS('Registre de reserves'!$V$2:$V$1178,'Registre de reserves'!$T$2:$T$1178,"SI",'Registre de reserves'!$I$2:$I$1178,'2022'!$A158,'Registre de reserves'!$B$2:$B$1178,'2022'!F$2,Tabla1[ANY],'2022'!$Z$150)+SUMIFS('Registre de reserves'!$V$2:$V$1178,'Registre de reserves'!$T$2:$T$1178,"RESERVA",'Registre de reserves'!$I$2:$I$1178,'2022'!$A158,'Registre de reserves'!$B$2:$B$1178,'2022'!F$2,Tabla1[ANY],'2022'!$Z$150)</f>
        <v>290</v>
      </c>
      <c r="G158" s="21">
        <f t="shared" si="143"/>
        <v>0.21090909090909091</v>
      </c>
      <c r="H158" s="20">
        <f>SUMIFS('Registre de reserves'!$V$2:$V$1178,'Registre de reserves'!$T$2:$T$1178,"SI",'Registre de reserves'!$I$2:$I$1178,'2022'!$A158,'Registre de reserves'!$B$2:$B$1178,'2022'!H$2,Tabla1[ANY],'2022'!$Z$150)+SUMIFS('Registre de reserves'!$V$2:$V$1178,'Registre de reserves'!$T$2:$T$1178,"RESERVA",'Registre de reserves'!$I$2:$I$1178,'2022'!$A158,'Registre de reserves'!$B$2:$B$1178,'2022'!H$2,Tabla1[ANY],'2022'!$Z$150)</f>
        <v>775</v>
      </c>
      <c r="I158" s="21">
        <f t="shared" si="144"/>
        <v>0.47400611620795108</v>
      </c>
      <c r="J158" s="20">
        <f>SUMIFS('Registre de reserves'!$V$2:$V$1178,'Registre de reserves'!$T$2:$T$1178,"SI",'Registre de reserves'!$I$2:$I$1178,'2022'!$A158,'Registre de reserves'!$B$2:$B$1178,'2022'!J$2,Tabla1[ANY],'2022'!$Z$150)+SUMIFS('Registre de reserves'!$V$2:$V$1178,'Registre de reserves'!$T$2:$T$1178,"RESERVA",'Registre de reserves'!$I$2:$I$1178,'2022'!$A158,'Registre de reserves'!$B$2:$B$1178,'2022'!J$2,Tabla1[ANY],'2022'!$Z$150)</f>
        <v>295</v>
      </c>
      <c r="K158" s="21">
        <f t="shared" si="145"/>
        <v>0.15526315789473685</v>
      </c>
      <c r="L158" s="20">
        <f>SUMIFS('Registre de reserves'!$V$2:$V$1178,'Registre de reserves'!$T$2:$T$1178,"SI",'Registre de reserves'!$I$2:$I$1178,'2022'!$A158,'Registre de reserves'!$B$2:$B$1178,'2022'!L$2,Tabla1[ANY],'2022'!$Z$150)+SUMIFS('Registre de reserves'!$V$2:$V$1178,'Registre de reserves'!$T$2:$T$1178,"RESERVA",'Registre de reserves'!$I$2:$I$1178,'2022'!$A158,'Registre de reserves'!$B$2:$B$1178,'2022'!L$2,Tabla1[ANY],'2022'!$Z$150)</f>
        <v>150</v>
      </c>
      <c r="M158" s="21">
        <f t="shared" si="146"/>
        <v>9.0909090909090912E-2</v>
      </c>
      <c r="N158" s="20">
        <f>SUMIFS('Registre de reserves'!$V$2:$V$1178,'Registre de reserves'!$T$2:$T$1178,"SI",'Registre de reserves'!$I$2:$I$1178,'2022'!$A158,'Registre de reserves'!$B$2:$B$1178,'2022'!N$2,Tabla1[ANY],'2022'!$Z$150)+SUMIFS('Registre de reserves'!$V$2:$V$1178,'Registre de reserves'!$T$2:$T$1178,"RESERVA",'Registre de reserves'!$I$2:$I$1178,'2022'!$A158,'Registre de reserves'!$B$2:$B$1178,'2022'!N$2,Tabla1[ANY],'2022'!$Z$150)</f>
        <v>650</v>
      </c>
      <c r="O158" s="21">
        <f t="shared" si="147"/>
        <v>0.2974828375286041</v>
      </c>
      <c r="P158" s="20">
        <f>SUMIFS('Registre de reserves'!$V$2:$V$1178,'Registre de reserves'!$T$2:$T$1178,"SI",'Registre de reserves'!$I$2:$I$1178,'2022'!$A158,'Registre de reserves'!$B$2:$B$1178,'2022'!P$2,Tabla1[ANY],'2022'!$Z$150)+SUMIFS('Registre de reserves'!$V$2:$V$1178,'Registre de reserves'!$T$2:$T$1178,"RESERVA",'Registre de reserves'!$I$2:$I$1178,'2022'!$A158,'Registre de reserves'!$B$2:$B$1178,'2022'!P$2,Tabla1[ANY],'2022'!$Z$150)</f>
        <v>300</v>
      </c>
      <c r="Q158" s="21">
        <f t="shared" si="148"/>
        <v>0.28037383177570091</v>
      </c>
      <c r="R158" s="20">
        <f>SUMIFS('Registre de reserves'!$V$2:$V$1178,'Registre de reserves'!$T$2:$T$1178,"SI",'Registre de reserves'!$I$2:$I$1178,'2022'!$A158,'Registre de reserves'!$B$2:$B$1178,'2022'!R$2,Tabla1[ANY],'2022'!$Z$150)+SUMIFS('Registre de reserves'!$V$2:$V$1178,'Registre de reserves'!$T$2:$T$1178,"RESERVA",'Registre de reserves'!$I$2:$I$1178,'2022'!$A158,'Registre de reserves'!$B$2:$B$1178,'2022'!R$2,Tabla1[ANY],'2022'!$Z$150)</f>
        <v>350</v>
      </c>
      <c r="S158" s="21">
        <f t="shared" si="149"/>
        <v>0.16666666666666666</v>
      </c>
      <c r="T158" s="20">
        <f>SUMIFS('Registre de reserves'!$V$2:$V$1178,'Registre de reserves'!$T$2:$T$1178,"SI",'Registre de reserves'!$I$2:$I$1178,'2022'!$A158,'Registre de reserves'!$B$2:$B$1178,'2022'!T$2,Tabla1[ANY],'2022'!$Z$150)+SUMIFS('Registre de reserves'!$V$2:$V$1178,'Registre de reserves'!$T$2:$T$1178,"RESERVA",'Registre de reserves'!$I$2:$I$1178,'2022'!$A158,'Registre de reserves'!$B$2:$B$1178,'2022'!T$2,Tabla1[ANY],'2022'!$Z$150)</f>
        <v>695</v>
      </c>
      <c r="U158" s="21">
        <f t="shared" si="150"/>
        <v>0.3687002652519894</v>
      </c>
      <c r="V158" s="20">
        <f>SUMIFS('Registre de reserves'!$V$2:$V$1178,'Registre de reserves'!$T$2:$T$1178,"SI",'Registre de reserves'!$I$2:$I$1178,'2022'!$A158,'Registre de reserves'!$B$2:$B$1178,'2022'!V$2,Tabla1[ANY],'2022'!$Z$150)+SUMIFS('Registre de reserves'!$V$2:$V$1178,'Registre de reserves'!$T$2:$T$1178,"RESERVA",'Registre de reserves'!$I$2:$I$1178,'2022'!$A158,'Registre de reserves'!$B$2:$B$1178,'2022'!V$2,Tabla1[ANY],'2022'!$Z$150)</f>
        <v>450</v>
      </c>
      <c r="W158" s="21">
        <f t="shared" si="151"/>
        <v>0.32608695652173914</v>
      </c>
      <c r="X158" s="20">
        <f>SUMIFS('Registre de reserves'!$V$2:$V$1178,'Registre de reserves'!$T$2:$T$1178,"SI",'Registre de reserves'!$I$2:$I$1178,'2022'!$A158,'Registre de reserves'!$B$2:$B$1178,'2022'!X$2,Tabla1[ANY],'2022'!$Z$150)+SUMIFS('Registre de reserves'!$V$2:$V$1178,'Registre de reserves'!$T$2:$T$1178,"RESERVA",'Registre de reserves'!$I$2:$I$1178,'2022'!$A158,'Registre de reserves'!$B$2:$B$1178,'2022'!X$2,Tabla1[ANY],'2022'!$Z$150)</f>
        <v>1100</v>
      </c>
      <c r="Y158" s="21">
        <f t="shared" si="152"/>
        <v>0.32023289665211063</v>
      </c>
      <c r="Z158" s="20">
        <f t="shared" si="155"/>
        <v>5635</v>
      </c>
      <c r="AA158" s="21">
        <f t="shared" si="153"/>
        <v>0.15762237762237763</v>
      </c>
    </row>
    <row r="159" spans="1:27" hidden="1" outlineLevel="1" x14ac:dyDescent="0.2">
      <c r="A159" s="8" t="s">
        <v>70</v>
      </c>
      <c r="B159" s="20">
        <f>SUMIFS('Registre de reserves'!$V$2:$V$1178,'Registre de reserves'!$T$2:$T$1178,"SI",'Registre de reserves'!$I$2:$I$1178,'2022'!$A159,'Registre de reserves'!$B$2:$B$1178,'2022'!B$2,Tabla1[ANY],'2022'!$Z$150)+SUMIFS('Registre de reserves'!$V$2:$V$1178,'Registre de reserves'!$T$2:$T$1178,"RESERVA",'Registre de reserves'!$I$2:$I$1178,'2022'!$A159,'Registre de reserves'!$B$2:$B$1178,'2022'!B$2,Tabla1[ANY],'2022'!$Z$150)</f>
        <v>0</v>
      </c>
      <c r="C159" s="21">
        <f t="shared" si="154"/>
        <v>0</v>
      </c>
      <c r="D159" s="20">
        <f>SUMIFS('Registre de reserves'!$V$2:$V$1178,'Registre de reserves'!$T$2:$T$1178,"SI",'Registre de reserves'!$I$2:$I$1178,'2022'!$A159,'Registre de reserves'!$B$2:$B$1178,'2022'!D$2,Tabla1[ANY],'2022'!$Z$150)+SUMIFS('Registre de reserves'!$V$2:$V$1178,'Registre de reserves'!$T$2:$T$1178,"RESERVA",'Registre de reserves'!$I$2:$I$1178,'2022'!$A159,'Registre de reserves'!$B$2:$B$1178,'2022'!D$2,Tabla1[ANY],'2022'!$Z$150)</f>
        <v>0</v>
      </c>
      <c r="E159" s="21">
        <f t="shared" si="142"/>
        <v>0</v>
      </c>
      <c r="F159" s="20">
        <f>SUMIFS('Registre de reserves'!$V$2:$V$1178,'Registre de reserves'!$T$2:$T$1178,"SI",'Registre de reserves'!$I$2:$I$1178,'2022'!$A159,'Registre de reserves'!$B$2:$B$1178,'2022'!F$2,Tabla1[ANY],'2022'!$Z$150)+SUMIFS('Registre de reserves'!$V$2:$V$1178,'Registre de reserves'!$T$2:$T$1178,"RESERVA",'Registre de reserves'!$I$2:$I$1178,'2022'!$A159,'Registre de reserves'!$B$2:$B$1178,'2022'!F$2,Tabla1[ANY],'2022'!$Z$150)</f>
        <v>0</v>
      </c>
      <c r="G159" s="21">
        <f t="shared" si="143"/>
        <v>0</v>
      </c>
      <c r="H159" s="20">
        <f>SUMIFS('Registre de reserves'!$V$2:$V$1178,'Registre de reserves'!$T$2:$T$1178,"SI",'Registre de reserves'!$I$2:$I$1178,'2022'!$A159,'Registre de reserves'!$B$2:$B$1178,'2022'!H$2,Tabla1[ANY],'2022'!$Z$150)+SUMIFS('Registre de reserves'!$V$2:$V$1178,'Registre de reserves'!$T$2:$T$1178,"RESERVA",'Registre de reserves'!$I$2:$I$1178,'2022'!$A159,'Registre de reserves'!$B$2:$B$1178,'2022'!H$2,Tabla1[ANY],'2022'!$Z$150)</f>
        <v>0</v>
      </c>
      <c r="I159" s="21">
        <f t="shared" si="144"/>
        <v>0</v>
      </c>
      <c r="J159" s="20">
        <f>SUMIFS('Registre de reserves'!$V$2:$V$1178,'Registre de reserves'!$T$2:$T$1178,"SI",'Registre de reserves'!$I$2:$I$1178,'2022'!$A159,'Registre de reserves'!$B$2:$B$1178,'2022'!J$2,Tabla1[ANY],'2022'!$Z$150)+SUMIFS('Registre de reserves'!$V$2:$V$1178,'Registre de reserves'!$T$2:$T$1178,"RESERVA",'Registre de reserves'!$I$2:$I$1178,'2022'!$A159,'Registre de reserves'!$B$2:$B$1178,'2022'!J$2,Tabla1[ANY],'2022'!$Z$150)</f>
        <v>225</v>
      </c>
      <c r="K159" s="21">
        <f t="shared" si="145"/>
        <v>0.11842105263157894</v>
      </c>
      <c r="L159" s="20">
        <f>SUMIFS('Registre de reserves'!$V$2:$V$1178,'Registre de reserves'!$T$2:$T$1178,"SI",'Registre de reserves'!$I$2:$I$1178,'2022'!$A159,'Registre de reserves'!$B$2:$B$1178,'2022'!L$2,Tabla1[ANY],'2022'!$Z$150)+SUMIFS('Registre de reserves'!$V$2:$V$1178,'Registre de reserves'!$T$2:$T$1178,"RESERVA",'Registre de reserves'!$I$2:$I$1178,'2022'!$A159,'Registre de reserves'!$B$2:$B$1178,'2022'!L$2,Tabla1[ANY],'2022'!$Z$150)</f>
        <v>0</v>
      </c>
      <c r="M159" s="21">
        <f t="shared" si="146"/>
        <v>0</v>
      </c>
      <c r="N159" s="20">
        <f>SUMIFS('Registre de reserves'!$V$2:$V$1178,'Registre de reserves'!$T$2:$T$1178,"SI",'Registre de reserves'!$I$2:$I$1178,'2022'!$A159,'Registre de reserves'!$B$2:$B$1178,'2022'!N$2,Tabla1[ANY],'2022'!$Z$150)+SUMIFS('Registre de reserves'!$V$2:$V$1178,'Registre de reserves'!$T$2:$T$1178,"RESERVA",'Registre de reserves'!$I$2:$I$1178,'2022'!$A159,'Registre de reserves'!$B$2:$B$1178,'2022'!N$2,Tabla1[ANY],'2022'!$Z$150)</f>
        <v>320</v>
      </c>
      <c r="O159" s="21">
        <f t="shared" si="147"/>
        <v>0.14645308924485126</v>
      </c>
      <c r="P159" s="20">
        <f>SUMIFS('Registre de reserves'!$V$2:$V$1178,'Registre de reserves'!$T$2:$T$1178,"SI",'Registre de reserves'!$I$2:$I$1178,'2022'!$A159,'Registre de reserves'!$B$2:$B$1178,'2022'!P$2,Tabla1[ANY],'2022'!$Z$150)+SUMIFS('Registre de reserves'!$V$2:$V$1178,'Registre de reserves'!$T$2:$T$1178,"RESERVA",'Registre de reserves'!$I$2:$I$1178,'2022'!$A159,'Registre de reserves'!$B$2:$B$1178,'2022'!P$2,Tabla1[ANY],'2022'!$Z$150)</f>
        <v>570</v>
      </c>
      <c r="Q159" s="21">
        <f t="shared" si="148"/>
        <v>0.53271028037383172</v>
      </c>
      <c r="R159" s="20">
        <f>SUMIFS('Registre de reserves'!$V$2:$V$1178,'Registre de reserves'!$T$2:$T$1178,"SI",'Registre de reserves'!$I$2:$I$1178,'2022'!$A159,'Registre de reserves'!$B$2:$B$1178,'2022'!R$2,Tabla1[ANY],'2022'!$Z$150)+SUMIFS('Registre de reserves'!$V$2:$V$1178,'Registre de reserves'!$T$2:$T$1178,"RESERVA",'Registre de reserves'!$I$2:$I$1178,'2022'!$A159,'Registre de reserves'!$B$2:$B$1178,'2022'!R$2,Tabla1[ANY],'2022'!$Z$150)</f>
        <v>250</v>
      </c>
      <c r="S159" s="21">
        <f t="shared" si="149"/>
        <v>0.11904761904761904</v>
      </c>
      <c r="T159" s="20">
        <f>SUMIFS('Registre de reserves'!$V$2:$V$1178,'Registre de reserves'!$T$2:$T$1178,"SI",'Registre de reserves'!$I$2:$I$1178,'2022'!$A159,'Registre de reserves'!$B$2:$B$1178,'2022'!T$2,Tabla1[ANY],'2022'!$Z$150)+SUMIFS('Registre de reserves'!$V$2:$V$1178,'Registre de reserves'!$T$2:$T$1178,"RESERVA",'Registre de reserves'!$I$2:$I$1178,'2022'!$A159,'Registre de reserves'!$B$2:$B$1178,'2022'!T$2,Tabla1[ANY],'2022'!$Z$150)</f>
        <v>250</v>
      </c>
      <c r="U159" s="21">
        <f t="shared" si="150"/>
        <v>0.13262599469496023</v>
      </c>
      <c r="V159" s="20">
        <f>SUMIFS('Registre de reserves'!$V$2:$V$1178,'Registre de reserves'!$T$2:$T$1178,"SI",'Registre de reserves'!$I$2:$I$1178,'2022'!$A159,'Registre de reserves'!$B$2:$B$1178,'2022'!V$2,Tabla1[ANY],'2022'!$Z$150)+SUMIFS('Registre de reserves'!$V$2:$V$1178,'Registre de reserves'!$T$2:$T$1178,"RESERVA",'Registre de reserves'!$I$2:$I$1178,'2022'!$A159,'Registre de reserves'!$B$2:$B$1178,'2022'!V$2,Tabla1[ANY],'2022'!$Z$150)</f>
        <v>0</v>
      </c>
      <c r="W159" s="21">
        <f t="shared" si="151"/>
        <v>0</v>
      </c>
      <c r="X159" s="20">
        <f>SUMIFS('Registre de reserves'!$V$2:$V$1178,'Registre de reserves'!$T$2:$T$1178,"SI",'Registre de reserves'!$I$2:$I$1178,'2022'!$A159,'Registre de reserves'!$B$2:$B$1178,'2022'!X$2,Tabla1[ANY],'2022'!$Z$150)+SUMIFS('Registre de reserves'!$V$2:$V$1178,'Registre de reserves'!$T$2:$T$1178,"RESERVA",'Registre de reserves'!$I$2:$I$1178,'2022'!$A159,'Registre de reserves'!$B$2:$B$1178,'2022'!X$2,Tabla1[ANY],'2022'!$Z$150)</f>
        <v>1090</v>
      </c>
      <c r="Y159" s="21">
        <f t="shared" si="152"/>
        <v>0.31732168850072778</v>
      </c>
      <c r="Z159" s="20">
        <f t="shared" si="155"/>
        <v>2705</v>
      </c>
      <c r="AA159" s="21">
        <f t="shared" si="153"/>
        <v>7.5664335664335669E-2</v>
      </c>
    </row>
    <row r="160" spans="1:27" hidden="1" outlineLevel="1" x14ac:dyDescent="0.2">
      <c r="A160" s="8" t="s">
        <v>73</v>
      </c>
      <c r="B160" s="20">
        <f>SUMIFS('Registre de reserves'!$V$2:$V$1178,'Registre de reserves'!$T$2:$T$1178,"SI",'Registre de reserves'!$I$2:$I$1178,'2022'!$A160,'Registre de reserves'!$B$2:$B$1178,'2022'!B$2,Tabla1[ANY],'2022'!$Z$150)+SUMIFS('Registre de reserves'!$V$2:$V$1178,'Registre de reserves'!$T$2:$T$1178,"RESERVA",'Registre de reserves'!$I$2:$I$1178,'2022'!$A160,'Registre de reserves'!$B$2:$B$1178,'2022'!B$2,Tabla1[ANY],'2022'!$Z$150)</f>
        <v>0</v>
      </c>
      <c r="C160" s="21">
        <f t="shared" si="154"/>
        <v>0</v>
      </c>
      <c r="D160" s="20">
        <f>SUMIFS('Registre de reserves'!$V$2:$V$1178,'Registre de reserves'!$T$2:$T$1178,"SI",'Registre de reserves'!$I$2:$I$1178,'2022'!$A160,'Registre de reserves'!$B$2:$B$1178,'2022'!D$2,Tabla1[ANY],'2022'!$Z$150)+SUMIFS('Registre de reserves'!$V$2:$V$1178,'Registre de reserves'!$T$2:$T$1178,"RESERVA",'Registre de reserves'!$I$2:$I$1178,'2022'!$A160,'Registre de reserves'!$B$2:$B$1178,'2022'!D$2,Tabla1[ANY],'2022'!$Z$150)</f>
        <v>0</v>
      </c>
      <c r="E160" s="21">
        <f t="shared" si="142"/>
        <v>0</v>
      </c>
      <c r="F160" s="20">
        <f>SUMIFS('Registre de reserves'!$V$2:$V$1178,'Registre de reserves'!$T$2:$T$1178,"SI",'Registre de reserves'!$I$2:$I$1178,'2022'!$A160,'Registre de reserves'!$B$2:$B$1178,'2022'!F$2,Tabla1[ANY],'2022'!$Z$150)+SUMIFS('Registre de reserves'!$V$2:$V$1178,'Registre de reserves'!$T$2:$T$1178,"RESERVA",'Registre de reserves'!$I$2:$I$1178,'2022'!$A160,'Registre de reserves'!$B$2:$B$1178,'2022'!F$2,Tabla1[ANY],'2022'!$Z$150)</f>
        <v>0</v>
      </c>
      <c r="G160" s="21">
        <f t="shared" si="143"/>
        <v>0</v>
      </c>
      <c r="H160" s="20">
        <f>SUMIFS('Registre de reserves'!$V$2:$V$1178,'Registre de reserves'!$T$2:$T$1178,"SI",'Registre de reserves'!$I$2:$I$1178,'2022'!$A160,'Registre de reserves'!$B$2:$B$1178,'2022'!H$2,Tabla1[ANY],'2022'!$Z$150)+SUMIFS('Registre de reserves'!$V$2:$V$1178,'Registre de reserves'!$T$2:$T$1178,"RESERVA",'Registre de reserves'!$I$2:$I$1178,'2022'!$A160,'Registre de reserves'!$B$2:$B$1178,'2022'!H$2,Tabla1[ANY],'2022'!$Z$150)</f>
        <v>0</v>
      </c>
      <c r="I160" s="21">
        <f t="shared" si="144"/>
        <v>0</v>
      </c>
      <c r="J160" s="20">
        <f>SUMIFS('Registre de reserves'!$V$2:$V$1178,'Registre de reserves'!$T$2:$T$1178,"SI",'Registre de reserves'!$I$2:$I$1178,'2022'!$A160,'Registre de reserves'!$B$2:$B$1178,'2022'!J$2,Tabla1[ANY],'2022'!$Z$150)+SUMIFS('Registre de reserves'!$V$2:$V$1178,'Registre de reserves'!$T$2:$T$1178,"RESERVA",'Registre de reserves'!$I$2:$I$1178,'2022'!$A160,'Registre de reserves'!$B$2:$B$1178,'2022'!J$2,Tabla1[ANY],'2022'!$Z$150)</f>
        <v>0</v>
      </c>
      <c r="K160" s="21">
        <f t="shared" si="145"/>
        <v>0</v>
      </c>
      <c r="L160" s="20">
        <f>SUMIFS('Registre de reserves'!$V$2:$V$1178,'Registre de reserves'!$T$2:$T$1178,"SI",'Registre de reserves'!$I$2:$I$1178,'2022'!$A160,'Registre de reserves'!$B$2:$B$1178,'2022'!L$2,Tabla1[ANY],'2022'!$Z$150)+SUMIFS('Registre de reserves'!$V$2:$V$1178,'Registre de reserves'!$T$2:$T$1178,"RESERVA",'Registre de reserves'!$I$2:$I$1178,'2022'!$A160,'Registre de reserves'!$B$2:$B$1178,'2022'!L$2,Tabla1[ANY],'2022'!$Z$150)</f>
        <v>0</v>
      </c>
      <c r="M160" s="21">
        <f t="shared" si="146"/>
        <v>0</v>
      </c>
      <c r="N160" s="20">
        <f>SUMIFS('Registre de reserves'!$V$2:$V$1178,'Registre de reserves'!$T$2:$T$1178,"SI",'Registre de reserves'!$I$2:$I$1178,'2022'!$A160,'Registre de reserves'!$B$2:$B$1178,'2022'!N$2,Tabla1[ANY],'2022'!$Z$150)+SUMIFS('Registre de reserves'!$V$2:$V$1178,'Registre de reserves'!$T$2:$T$1178,"RESERVA",'Registre de reserves'!$I$2:$I$1178,'2022'!$A160,'Registre de reserves'!$B$2:$B$1178,'2022'!N$2,Tabla1[ANY],'2022'!$Z$150)</f>
        <v>0</v>
      </c>
      <c r="O160" s="21">
        <f t="shared" si="147"/>
        <v>0</v>
      </c>
      <c r="P160" s="20">
        <f>SUMIFS('Registre de reserves'!$V$2:$V$1178,'Registre de reserves'!$T$2:$T$1178,"SI",'Registre de reserves'!$I$2:$I$1178,'2022'!$A160,'Registre de reserves'!$B$2:$B$1178,'2022'!P$2,Tabla1[ANY],'2022'!$Z$150)+SUMIFS('Registre de reserves'!$V$2:$V$1178,'Registre de reserves'!$T$2:$T$1178,"RESERVA",'Registre de reserves'!$I$2:$I$1178,'2022'!$A160,'Registre de reserves'!$B$2:$B$1178,'2022'!P$2,Tabla1[ANY],'2022'!$Z$150)</f>
        <v>0</v>
      </c>
      <c r="Q160" s="21">
        <f t="shared" si="148"/>
        <v>0</v>
      </c>
      <c r="R160" s="20">
        <f>SUMIFS('Registre de reserves'!$V$2:$V$1178,'Registre de reserves'!$T$2:$T$1178,"SI",'Registre de reserves'!$I$2:$I$1178,'2022'!$A160,'Registre de reserves'!$B$2:$B$1178,'2022'!R$2,Tabla1[ANY],'2022'!$Z$150)+SUMIFS('Registre de reserves'!$V$2:$V$1178,'Registre de reserves'!$T$2:$T$1178,"RESERVA",'Registre de reserves'!$I$2:$I$1178,'2022'!$A160,'Registre de reserves'!$B$2:$B$1178,'2022'!R$2,Tabla1[ANY],'2022'!$Z$150)</f>
        <v>0</v>
      </c>
      <c r="S160" s="21">
        <f t="shared" si="149"/>
        <v>0</v>
      </c>
      <c r="T160" s="20">
        <f>SUMIFS('Registre de reserves'!$V$2:$V$1178,'Registre de reserves'!$T$2:$T$1178,"SI",'Registre de reserves'!$I$2:$I$1178,'2022'!$A160,'Registre de reserves'!$B$2:$B$1178,'2022'!T$2,Tabla1[ANY],'2022'!$Z$150)+SUMIFS('Registre de reserves'!$V$2:$V$1178,'Registre de reserves'!$T$2:$T$1178,"RESERVA",'Registre de reserves'!$I$2:$I$1178,'2022'!$A160,'Registre de reserves'!$B$2:$B$1178,'2022'!T$2,Tabla1[ANY],'2022'!$Z$150)</f>
        <v>0</v>
      </c>
      <c r="U160" s="21">
        <f t="shared" si="150"/>
        <v>0</v>
      </c>
      <c r="V160" s="20">
        <f>SUMIFS('Registre de reserves'!$V$2:$V$1178,'Registre de reserves'!$T$2:$T$1178,"SI",'Registre de reserves'!$I$2:$I$1178,'2022'!$A160,'Registre de reserves'!$B$2:$B$1178,'2022'!V$2,Tabla1[ANY],'2022'!$Z$150)+SUMIFS('Registre de reserves'!$V$2:$V$1178,'Registre de reserves'!$T$2:$T$1178,"RESERVA",'Registre de reserves'!$I$2:$I$1178,'2022'!$A160,'Registre de reserves'!$B$2:$B$1178,'2022'!V$2,Tabla1[ANY],'2022'!$Z$150)</f>
        <v>0</v>
      </c>
      <c r="W160" s="21">
        <f t="shared" si="151"/>
        <v>0</v>
      </c>
      <c r="X160" s="20">
        <f>SUMIFS('Registre de reserves'!$V$2:$V$1178,'Registre de reserves'!$T$2:$T$1178,"SI",'Registre de reserves'!$I$2:$I$1178,'2022'!$A160,'Registre de reserves'!$B$2:$B$1178,'2022'!X$2,Tabla1[ANY],'2022'!$Z$150)+SUMIFS('Registre de reserves'!$V$2:$V$1178,'Registre de reserves'!$T$2:$T$1178,"RESERVA",'Registre de reserves'!$I$2:$I$1178,'2022'!$A160,'Registre de reserves'!$B$2:$B$1178,'2022'!X$2,Tabla1[ANY],'2022'!$Z$150)</f>
        <v>0</v>
      </c>
      <c r="Y160" s="21">
        <f t="shared" si="152"/>
        <v>0</v>
      </c>
      <c r="Z160" s="20">
        <f t="shared" si="155"/>
        <v>0</v>
      </c>
      <c r="AA160" s="21">
        <f t="shared" si="153"/>
        <v>0</v>
      </c>
    </row>
    <row r="161" spans="1:27" collapsed="1" x14ac:dyDescent="0.2">
      <c r="A161" s="33" t="s">
        <v>76</v>
      </c>
      <c r="B161" s="18">
        <f>SUM(B162:B169)</f>
        <v>0</v>
      </c>
      <c r="C161" s="19">
        <f>IF((B$161+B$179)=0,0,B161/(B$161+B$179))</f>
        <v>0</v>
      </c>
      <c r="D161" s="18">
        <f>SUM(D162:D169)</f>
        <v>0</v>
      </c>
      <c r="E161" s="19">
        <f>IF((D$161+D$179)=0,0,D161/(D$161+D$179))</f>
        <v>0</v>
      </c>
      <c r="F161" s="18">
        <f>SUM(F162:F169)</f>
        <v>0</v>
      </c>
      <c r="G161" s="19">
        <f>IF((F$161+F$179)=0,0,F161/(F$161+F$179))</f>
        <v>0</v>
      </c>
      <c r="H161" s="18">
        <f>SUM(H162:H169)</f>
        <v>0</v>
      </c>
      <c r="I161" s="19">
        <f>IF((H$161+H$179)=0,0,H161/(H$161+H$179))</f>
        <v>0</v>
      </c>
      <c r="J161" s="18">
        <f>SUM(J162:J169)</f>
        <v>0</v>
      </c>
      <c r="K161" s="19">
        <f>IF((J$161+J$179)=0,0,J161/(J$161+J$179))</f>
        <v>0</v>
      </c>
      <c r="L161" s="18">
        <f>SUM(L162:L169)</f>
        <v>0</v>
      </c>
      <c r="M161" s="19">
        <f>IF((L$161+L$179)=0,0,L161/(L$161+L$179))</f>
        <v>0</v>
      </c>
      <c r="N161" s="18">
        <f>SUM(N162:N169)</f>
        <v>0</v>
      </c>
      <c r="O161" s="19">
        <f>IF((N$161+N$179)=0,0,N161/(N$161+N$179))</f>
        <v>0</v>
      </c>
      <c r="P161" s="18">
        <f>SUM(P162:P169)</f>
        <v>0</v>
      </c>
      <c r="Q161" s="19">
        <f>IF((P$161+P$179)=0,0,P161/(P$161+P$179))</f>
        <v>0</v>
      </c>
      <c r="R161" s="18">
        <f>SUM(R162:R169)</f>
        <v>0</v>
      </c>
      <c r="S161" s="19">
        <f>IF((R$161+R$179)=0,0,R161/(R$161+R$179))</f>
        <v>0</v>
      </c>
      <c r="T161" s="18">
        <f>SUM(T162:T169)</f>
        <v>0</v>
      </c>
      <c r="U161" s="19">
        <f>IF((T$161+T$179)=0,0,T161/(T$161+T$179))</f>
        <v>0</v>
      </c>
      <c r="V161" s="18">
        <f>SUM(V162:V169)</f>
        <v>0</v>
      </c>
      <c r="W161" s="19">
        <f>IF((V$161+V$179)=0,0,V161/(V$161+V$179))</f>
        <v>0</v>
      </c>
      <c r="X161" s="18">
        <f>SUM(X162:X169)</f>
        <v>0</v>
      </c>
      <c r="Y161" s="19">
        <f>IF((X$161+X$179)=0,0,X161/(X$161+X$179))</f>
        <v>0</v>
      </c>
      <c r="Z161" s="18">
        <f>SUM(Z162:Z169)</f>
        <v>0</v>
      </c>
      <c r="AA161" s="19">
        <f>IF((Z$13+Z$31)=0,0,Z161/(Z$13+Z$31))</f>
        <v>0</v>
      </c>
    </row>
    <row r="162" spans="1:27" hidden="1" outlineLevel="1" x14ac:dyDescent="0.2">
      <c r="A162" s="8" t="s">
        <v>67</v>
      </c>
      <c r="B162" s="20">
        <f>SUMIFS('Registre de reserves'!$V$2:$V$1178,'Registre de reserves'!$T$2:$T$1178,"NO",'Registre de reserves'!$I$2:$I$1178,'2022'!$A162,'Registre de reserves'!$B$2:$B$1178,'2022'!B$2,Tabla1[ANY],'2022'!$Z$150)</f>
        <v>0</v>
      </c>
      <c r="C162" s="21">
        <f>IF(B$161=0,0,B162/B$161)</f>
        <v>0</v>
      </c>
      <c r="D162" s="20">
        <f>SUMIFS('Registre de reserves'!$V$2:$V$1178,'Registre de reserves'!$T$2:$T$1178,"NO",'Registre de reserves'!$I$2:$I$1178,'2022'!$A162,'Registre de reserves'!$B$2:$B$1178,'2022'!D$2,Tabla1[ANY],'2022'!$Z$150)</f>
        <v>0</v>
      </c>
      <c r="E162" s="21">
        <f>IF(D$161=0,0,D162/D$161)</f>
        <v>0</v>
      </c>
      <c r="F162" s="20">
        <f>SUMIFS('Registre de reserves'!$V$2:$V$1178,'Registre de reserves'!$T$2:$T$1178,"NO",'Registre de reserves'!$I$2:$I$1178,'2022'!$A162,'Registre de reserves'!$B$2:$B$1178,'2022'!F$2,Tabla1[ANY],'2022'!$Z$150)</f>
        <v>0</v>
      </c>
      <c r="G162" s="21">
        <f t="shared" ref="G162:G169" si="156">IF(F$161=0,0,F162/F$161)</f>
        <v>0</v>
      </c>
      <c r="H162" s="20">
        <f>SUMIFS('Registre de reserves'!$V$2:$V$1178,'Registre de reserves'!$T$2:$T$1178,"NO",'Registre de reserves'!$I$2:$I$1178,'2022'!$A162,'Registre de reserves'!$B$2:$B$1178,'2022'!H$2,Tabla1[ANY],'2022'!$Z$150)</f>
        <v>0</v>
      </c>
      <c r="I162" s="21">
        <f t="shared" ref="I162:I169" si="157">IF(H$161=0,0,H162/H$161)</f>
        <v>0</v>
      </c>
      <c r="J162" s="20">
        <f>SUMIFS('Registre de reserves'!$V$2:$V$1178,'Registre de reserves'!$T$2:$T$1178,"NO",'Registre de reserves'!$I$2:$I$1178,'2022'!$A162,'Registre de reserves'!$B$2:$B$1178,'2022'!J$2,Tabla1[ANY],'2022'!$Z$150)</f>
        <v>0</v>
      </c>
      <c r="K162" s="21">
        <f t="shared" ref="K162:K169" si="158">IF(J$161=0,0,J162/J$161)</f>
        <v>0</v>
      </c>
      <c r="L162" s="20">
        <f>SUMIFS('Registre de reserves'!$V$2:$V$1178,'Registre de reserves'!$T$2:$T$1178,"NO",'Registre de reserves'!$I$2:$I$1178,'2022'!$A162,'Registre de reserves'!$B$2:$B$1178,'2022'!L$2,Tabla1[ANY],'2022'!$Z$150)</f>
        <v>0</v>
      </c>
      <c r="M162" s="21">
        <f t="shared" ref="M162:M169" si="159">IF(L$161=0,0,L162/L$161)</f>
        <v>0</v>
      </c>
      <c r="N162" s="20">
        <f>SUMIFS('Registre de reserves'!$V$2:$V$1178,'Registre de reserves'!$T$2:$T$1178,"NO",'Registre de reserves'!$I$2:$I$1178,'2022'!$A162,'Registre de reserves'!$B$2:$B$1178,'2022'!N$2,Tabla1[ANY],'2022'!$Z$150)</f>
        <v>0</v>
      </c>
      <c r="O162" s="21">
        <f t="shared" ref="O162:O169" si="160">IF(N$161=0,0,N162/N$161)</f>
        <v>0</v>
      </c>
      <c r="P162" s="20">
        <f>SUMIFS('Registre de reserves'!$V$2:$V$1178,'Registre de reserves'!$T$2:$T$1178,"NO",'Registre de reserves'!$I$2:$I$1178,'2022'!$A162,'Registre de reserves'!$B$2:$B$1178,'2022'!P$2,Tabla1[ANY],'2022'!$Z$150)</f>
        <v>0</v>
      </c>
      <c r="Q162" s="21">
        <f t="shared" ref="Q162:Q169" si="161">IF(P$161=0,0,P162/P$161)</f>
        <v>0</v>
      </c>
      <c r="R162" s="20">
        <f>SUMIFS('Registre de reserves'!$V$2:$V$1178,'Registre de reserves'!$T$2:$T$1178,"NO",'Registre de reserves'!$I$2:$I$1178,'2022'!$A162,'Registre de reserves'!$B$2:$B$1178,'2022'!R$2,Tabla1[ANY],'2022'!$Z$150)</f>
        <v>0</v>
      </c>
      <c r="S162" s="21">
        <f t="shared" ref="S162:S169" si="162">IF(R$161=0,0,R162/R$161)</f>
        <v>0</v>
      </c>
      <c r="T162" s="20">
        <f>SUMIFS('Registre de reserves'!$V$2:$V$1178,'Registre de reserves'!$T$2:$T$1178,"NO",'Registre de reserves'!$I$2:$I$1178,'2022'!$A162,'Registre de reserves'!$B$2:$B$1178,'2022'!T$2,Tabla1[ANY],'2022'!$Z$150)</f>
        <v>0</v>
      </c>
      <c r="U162" s="21">
        <f t="shared" ref="U162:U169" si="163">IF(T$161=0,0,T162/T$161)</f>
        <v>0</v>
      </c>
      <c r="V162" s="20">
        <f>SUMIFS('Registre de reserves'!$V$2:$V$1178,'Registre de reserves'!$T$2:$T$1178,"NO",'Registre de reserves'!$I$2:$I$1178,'2022'!$A162,'Registre de reserves'!$B$2:$B$1178,'2022'!V$2,Tabla1[ANY],'2022'!$Z$150)</f>
        <v>0</v>
      </c>
      <c r="W162" s="21">
        <f t="shared" ref="W162:W169" si="164">IF(V$161=0,0,V162/V$161)</f>
        <v>0</v>
      </c>
      <c r="X162" s="20">
        <f>SUMIFS('Registre de reserves'!$V$2:$V$1178,'Registre de reserves'!$T$2:$T$1178,"NO",'Registre de reserves'!$I$2:$I$1178,'2022'!$A162,'Registre de reserves'!$B$2:$B$1178,'2022'!X$2,Tabla1[ANY],'2022'!$Z$150)</f>
        <v>0</v>
      </c>
      <c r="Y162" s="21">
        <f t="shared" ref="Y162:Y169" si="165">IF(X$161=0,0,X162/X$161)</f>
        <v>0</v>
      </c>
      <c r="Z162" s="20">
        <f>B162+D162+F162+H162+J162+L162+N162+P162+R162+T162+V162+X162</f>
        <v>0</v>
      </c>
      <c r="AA162" s="21">
        <f>IF(Z$13=0,0,Z162/Z$13)</f>
        <v>0</v>
      </c>
    </row>
    <row r="163" spans="1:27" hidden="1" outlineLevel="1" x14ac:dyDescent="0.2">
      <c r="A163" s="8" t="s">
        <v>68</v>
      </c>
      <c r="B163" s="20">
        <f>SUMIFS('Registre de reserves'!$V$2:$V$1178,'Registre de reserves'!$T$2:$T$1178,"NO",'Registre de reserves'!$I$2:$I$1178,'2022'!$A163,'Registre de reserves'!$B$2:$B$1178,'2022'!B$2,Tabla1[ANY],'2022'!$Z$150)</f>
        <v>0</v>
      </c>
      <c r="C163" s="21">
        <f t="shared" ref="C163:E169" si="166">IF(B$161=0,0,B163/B$161)</f>
        <v>0</v>
      </c>
      <c r="D163" s="20">
        <f>SUMIFS('Registre de reserves'!$V$2:$V$1178,'Registre de reserves'!$T$2:$T$1178,"NO",'Registre de reserves'!$I$2:$I$1178,'2022'!$A163,'Registre de reserves'!$B$2:$B$1178,'2022'!D$2,Tabla1[ANY],'2022'!$Z$150)</f>
        <v>0</v>
      </c>
      <c r="E163" s="21">
        <f t="shared" si="166"/>
        <v>0</v>
      </c>
      <c r="F163" s="20">
        <f>SUMIFS('Registre de reserves'!$V$2:$V$1178,'Registre de reserves'!$T$2:$T$1178,"NO",'Registre de reserves'!$I$2:$I$1178,'2022'!$A163,'Registre de reserves'!$B$2:$B$1178,'2022'!F$2,Tabla1[ANY],'2022'!$Z$150)</f>
        <v>0</v>
      </c>
      <c r="G163" s="21">
        <f t="shared" si="156"/>
        <v>0</v>
      </c>
      <c r="H163" s="20">
        <f>SUMIFS('Registre de reserves'!$V$2:$V$1178,'Registre de reserves'!$T$2:$T$1178,"NO",'Registre de reserves'!$I$2:$I$1178,'2022'!$A163,'Registre de reserves'!$B$2:$B$1178,'2022'!H$2,Tabla1[ANY],'2022'!$Z$150)</f>
        <v>0</v>
      </c>
      <c r="I163" s="21">
        <f t="shared" si="157"/>
        <v>0</v>
      </c>
      <c r="J163" s="20">
        <f>SUMIFS('Registre de reserves'!$V$2:$V$1178,'Registre de reserves'!$T$2:$T$1178,"NO",'Registre de reserves'!$I$2:$I$1178,'2022'!$A163,'Registre de reserves'!$B$2:$B$1178,'2022'!J$2,Tabla1[ANY],'2022'!$Z$150)</f>
        <v>0</v>
      </c>
      <c r="K163" s="21">
        <f t="shared" si="158"/>
        <v>0</v>
      </c>
      <c r="L163" s="20">
        <f>SUMIFS('Registre de reserves'!$V$2:$V$1178,'Registre de reserves'!$T$2:$T$1178,"NO",'Registre de reserves'!$I$2:$I$1178,'2022'!$A163,'Registre de reserves'!$B$2:$B$1178,'2022'!L$2,Tabla1[ANY],'2022'!$Z$150)</f>
        <v>0</v>
      </c>
      <c r="M163" s="21">
        <f t="shared" si="159"/>
        <v>0</v>
      </c>
      <c r="N163" s="20">
        <f>SUMIFS('Registre de reserves'!$V$2:$V$1178,'Registre de reserves'!$T$2:$T$1178,"NO",'Registre de reserves'!$I$2:$I$1178,'2022'!$A163,'Registre de reserves'!$B$2:$B$1178,'2022'!N$2,Tabla1[ANY],'2022'!$Z$150)</f>
        <v>0</v>
      </c>
      <c r="O163" s="21">
        <f t="shared" si="160"/>
        <v>0</v>
      </c>
      <c r="P163" s="20">
        <f>SUMIFS('Registre de reserves'!$V$2:$V$1178,'Registre de reserves'!$T$2:$T$1178,"NO",'Registre de reserves'!$I$2:$I$1178,'2022'!$A163,'Registre de reserves'!$B$2:$B$1178,'2022'!P$2,Tabla1[ANY],'2022'!$Z$150)</f>
        <v>0</v>
      </c>
      <c r="Q163" s="21">
        <f t="shared" si="161"/>
        <v>0</v>
      </c>
      <c r="R163" s="20">
        <f>SUMIFS('Registre de reserves'!$V$2:$V$1178,'Registre de reserves'!$T$2:$T$1178,"NO",'Registre de reserves'!$I$2:$I$1178,'2022'!$A163,'Registre de reserves'!$B$2:$B$1178,'2022'!R$2,Tabla1[ANY],'2022'!$Z$150)</f>
        <v>0</v>
      </c>
      <c r="S163" s="21">
        <f t="shared" si="162"/>
        <v>0</v>
      </c>
      <c r="T163" s="20">
        <f>SUMIFS('Registre de reserves'!$V$2:$V$1178,'Registre de reserves'!$T$2:$T$1178,"NO",'Registre de reserves'!$I$2:$I$1178,'2022'!$A163,'Registre de reserves'!$B$2:$B$1178,'2022'!T$2,Tabla1[ANY],'2022'!$Z$150)</f>
        <v>0</v>
      </c>
      <c r="U163" s="21">
        <f t="shared" si="163"/>
        <v>0</v>
      </c>
      <c r="V163" s="20">
        <f>SUMIFS('Registre de reserves'!$V$2:$V$1178,'Registre de reserves'!$T$2:$T$1178,"NO",'Registre de reserves'!$I$2:$I$1178,'2022'!$A163,'Registre de reserves'!$B$2:$B$1178,'2022'!V$2,Tabla1[ANY],'2022'!$Z$150)</f>
        <v>0</v>
      </c>
      <c r="W163" s="21">
        <f t="shared" si="164"/>
        <v>0</v>
      </c>
      <c r="X163" s="20">
        <f>SUMIFS('Registre de reserves'!$V$2:$V$1178,'Registre de reserves'!$T$2:$T$1178,"NO",'Registre de reserves'!$I$2:$I$1178,'2022'!$A163,'Registre de reserves'!$B$2:$B$1178,'2022'!X$2,Tabla1[ANY],'2022'!$Z$150)</f>
        <v>0</v>
      </c>
      <c r="Y163" s="21">
        <f t="shared" si="165"/>
        <v>0</v>
      </c>
      <c r="Z163" s="20">
        <f t="shared" ref="Z163:Z187" si="167">B163+D163+F163+H163+J163+L163+N163+P163+R163+T163+V163+X163</f>
        <v>0</v>
      </c>
      <c r="AA163" s="21">
        <f t="shared" ref="AA163:AA169" si="168">IF(Z$13=0,0,Z163/Z$13)</f>
        <v>0</v>
      </c>
    </row>
    <row r="164" spans="1:27" hidden="1" outlineLevel="1" x14ac:dyDescent="0.2">
      <c r="A164" s="8" t="s">
        <v>4</v>
      </c>
      <c r="B164" s="20">
        <f>SUMIFS('Registre de reserves'!$V$2:$V$1178,'Registre de reserves'!$T$2:$T$1178,"NO",'Registre de reserves'!$I$2:$I$1178,'2022'!$A164,'Registre de reserves'!$B$2:$B$1178,'2022'!B$2,Tabla1[ANY],'2022'!$Z$150)</f>
        <v>0</v>
      </c>
      <c r="C164" s="21">
        <f t="shared" si="166"/>
        <v>0</v>
      </c>
      <c r="D164" s="20">
        <f>SUMIFS('Registre de reserves'!$V$2:$V$1178,'Registre de reserves'!$T$2:$T$1178,"NO",'Registre de reserves'!$I$2:$I$1178,'2022'!$A164,'Registre de reserves'!$B$2:$B$1178,'2022'!D$2,Tabla1[ANY],'2022'!$Z$150)</f>
        <v>0</v>
      </c>
      <c r="E164" s="21">
        <f t="shared" si="166"/>
        <v>0</v>
      </c>
      <c r="F164" s="20">
        <f>SUMIFS('Registre de reserves'!$V$2:$V$1178,'Registre de reserves'!$T$2:$T$1178,"NO",'Registre de reserves'!$I$2:$I$1178,'2022'!$A164,'Registre de reserves'!$B$2:$B$1178,'2022'!F$2,Tabla1[ANY],'2022'!$Z$150)</f>
        <v>0</v>
      </c>
      <c r="G164" s="21">
        <f t="shared" si="156"/>
        <v>0</v>
      </c>
      <c r="H164" s="20">
        <f>SUMIFS('Registre de reserves'!$V$2:$V$1178,'Registre de reserves'!$T$2:$T$1178,"NO",'Registre de reserves'!$I$2:$I$1178,'2022'!$A164,'Registre de reserves'!$B$2:$B$1178,'2022'!H$2,Tabla1[ANY],'2022'!$Z$150)</f>
        <v>0</v>
      </c>
      <c r="I164" s="21">
        <f t="shared" si="157"/>
        <v>0</v>
      </c>
      <c r="J164" s="20">
        <f>SUMIFS('Registre de reserves'!$V$2:$V$1178,'Registre de reserves'!$T$2:$T$1178,"NO",'Registre de reserves'!$I$2:$I$1178,'2022'!$A164,'Registre de reserves'!$B$2:$B$1178,'2022'!J$2,Tabla1[ANY],'2022'!$Z$150)</f>
        <v>0</v>
      </c>
      <c r="K164" s="21">
        <f t="shared" si="158"/>
        <v>0</v>
      </c>
      <c r="L164" s="20">
        <f>SUMIFS('Registre de reserves'!$V$2:$V$1178,'Registre de reserves'!$T$2:$T$1178,"NO",'Registre de reserves'!$I$2:$I$1178,'2022'!$A164,'Registre de reserves'!$B$2:$B$1178,'2022'!L$2,Tabla1[ANY],'2022'!$Z$150)</f>
        <v>0</v>
      </c>
      <c r="M164" s="21">
        <f t="shared" si="159"/>
        <v>0</v>
      </c>
      <c r="N164" s="20">
        <f>SUMIFS('Registre de reserves'!$V$2:$V$1178,'Registre de reserves'!$T$2:$T$1178,"NO",'Registre de reserves'!$I$2:$I$1178,'2022'!$A164,'Registre de reserves'!$B$2:$B$1178,'2022'!N$2,Tabla1[ANY],'2022'!$Z$150)</f>
        <v>0</v>
      </c>
      <c r="O164" s="21">
        <f t="shared" si="160"/>
        <v>0</v>
      </c>
      <c r="P164" s="20">
        <f>SUMIFS('Registre de reserves'!$V$2:$V$1178,'Registre de reserves'!$T$2:$T$1178,"NO",'Registre de reserves'!$I$2:$I$1178,'2022'!$A164,'Registre de reserves'!$B$2:$B$1178,'2022'!P$2,Tabla1[ANY],'2022'!$Z$150)</f>
        <v>0</v>
      </c>
      <c r="Q164" s="21">
        <f t="shared" si="161"/>
        <v>0</v>
      </c>
      <c r="R164" s="20">
        <f>SUMIFS('Registre de reserves'!$V$2:$V$1178,'Registre de reserves'!$T$2:$T$1178,"NO",'Registre de reserves'!$I$2:$I$1178,'2022'!$A164,'Registre de reserves'!$B$2:$B$1178,'2022'!R$2,Tabla1[ANY],'2022'!$Z$150)</f>
        <v>0</v>
      </c>
      <c r="S164" s="21">
        <f t="shared" si="162"/>
        <v>0</v>
      </c>
      <c r="T164" s="20">
        <f>SUMIFS('Registre de reserves'!$V$2:$V$1178,'Registre de reserves'!$T$2:$T$1178,"NO",'Registre de reserves'!$I$2:$I$1178,'2022'!$A164,'Registre de reserves'!$B$2:$B$1178,'2022'!T$2,Tabla1[ANY],'2022'!$Z$150)</f>
        <v>0</v>
      </c>
      <c r="U164" s="21">
        <f t="shared" si="163"/>
        <v>0</v>
      </c>
      <c r="V164" s="20">
        <f>SUMIFS('Registre de reserves'!$V$2:$V$1178,'Registre de reserves'!$T$2:$T$1178,"NO",'Registre de reserves'!$I$2:$I$1178,'2022'!$A164,'Registre de reserves'!$B$2:$B$1178,'2022'!V$2,Tabla1[ANY],'2022'!$Z$150)</f>
        <v>0</v>
      </c>
      <c r="W164" s="21">
        <f t="shared" si="164"/>
        <v>0</v>
      </c>
      <c r="X164" s="20">
        <f>SUMIFS('Registre de reserves'!$V$2:$V$1178,'Registre de reserves'!$T$2:$T$1178,"NO",'Registre de reserves'!$I$2:$I$1178,'2022'!$A164,'Registre de reserves'!$B$2:$B$1178,'2022'!X$2,Tabla1[ANY],'2022'!$Z$150)</f>
        <v>0</v>
      </c>
      <c r="Y164" s="21">
        <f t="shared" si="165"/>
        <v>0</v>
      </c>
      <c r="Z164" s="20">
        <f t="shared" si="167"/>
        <v>0</v>
      </c>
      <c r="AA164" s="21">
        <f t="shared" si="168"/>
        <v>0</v>
      </c>
    </row>
    <row r="165" spans="1:27" hidden="1" outlineLevel="1" x14ac:dyDescent="0.2">
      <c r="A165" s="8" t="s">
        <v>71</v>
      </c>
      <c r="B165" s="20">
        <f>SUMIFS('Registre de reserves'!$V$2:$V$1178,'Registre de reserves'!$T$2:$T$1178,"NO",'Registre de reserves'!$I$2:$I$1178,'2022'!$A165,'Registre de reserves'!$B$2:$B$1178,'2022'!B$2,Tabla1[ANY],'2022'!$Z$150)</f>
        <v>0</v>
      </c>
      <c r="C165" s="21">
        <f t="shared" si="166"/>
        <v>0</v>
      </c>
      <c r="D165" s="20">
        <f>SUMIFS('Registre de reserves'!$V$2:$V$1178,'Registre de reserves'!$T$2:$T$1178,"NO",'Registre de reserves'!$I$2:$I$1178,'2022'!$A165,'Registre de reserves'!$B$2:$B$1178,'2022'!D$2,Tabla1[ANY],'2022'!$Z$150)</f>
        <v>0</v>
      </c>
      <c r="E165" s="21">
        <f t="shared" si="166"/>
        <v>0</v>
      </c>
      <c r="F165" s="20">
        <f>SUMIFS('Registre de reserves'!$V$2:$V$1178,'Registre de reserves'!$T$2:$T$1178,"NO",'Registre de reserves'!$I$2:$I$1178,'2022'!$A165,'Registre de reserves'!$B$2:$B$1178,'2022'!F$2,Tabla1[ANY],'2022'!$Z$150)</f>
        <v>0</v>
      </c>
      <c r="G165" s="21">
        <f t="shared" si="156"/>
        <v>0</v>
      </c>
      <c r="H165" s="20">
        <f>SUMIFS('Registre de reserves'!$V$2:$V$1178,'Registre de reserves'!$T$2:$T$1178,"NO",'Registre de reserves'!$I$2:$I$1178,'2022'!$A165,'Registre de reserves'!$B$2:$B$1178,'2022'!H$2,Tabla1[ANY],'2022'!$Z$150)</f>
        <v>0</v>
      </c>
      <c r="I165" s="21">
        <f t="shared" si="157"/>
        <v>0</v>
      </c>
      <c r="J165" s="20">
        <f>SUMIFS('Registre de reserves'!$V$2:$V$1178,'Registre de reserves'!$T$2:$T$1178,"NO",'Registre de reserves'!$I$2:$I$1178,'2022'!$A165,'Registre de reserves'!$B$2:$B$1178,'2022'!J$2,Tabla1[ANY],'2022'!$Z$150)</f>
        <v>0</v>
      </c>
      <c r="K165" s="21">
        <f t="shared" si="158"/>
        <v>0</v>
      </c>
      <c r="L165" s="20">
        <f>SUMIFS('Registre de reserves'!$V$2:$V$1178,'Registre de reserves'!$T$2:$T$1178,"NO",'Registre de reserves'!$I$2:$I$1178,'2022'!$A165,'Registre de reserves'!$B$2:$B$1178,'2022'!L$2,Tabla1[ANY],'2022'!$Z$150)</f>
        <v>0</v>
      </c>
      <c r="M165" s="21">
        <f t="shared" si="159"/>
        <v>0</v>
      </c>
      <c r="N165" s="20">
        <f>SUMIFS('Registre de reserves'!$V$2:$V$1178,'Registre de reserves'!$T$2:$T$1178,"NO",'Registre de reserves'!$I$2:$I$1178,'2022'!$A165,'Registre de reserves'!$B$2:$B$1178,'2022'!N$2,Tabla1[ANY],'2022'!$Z$150)</f>
        <v>0</v>
      </c>
      <c r="O165" s="21">
        <f t="shared" si="160"/>
        <v>0</v>
      </c>
      <c r="P165" s="20">
        <f>SUMIFS('Registre de reserves'!$V$2:$V$1178,'Registre de reserves'!$T$2:$T$1178,"NO",'Registre de reserves'!$I$2:$I$1178,'2022'!$A165,'Registre de reserves'!$B$2:$B$1178,'2022'!P$2,Tabla1[ANY],'2022'!$Z$150)</f>
        <v>0</v>
      </c>
      <c r="Q165" s="21">
        <f t="shared" si="161"/>
        <v>0</v>
      </c>
      <c r="R165" s="20">
        <f>SUMIFS('Registre de reserves'!$V$2:$V$1178,'Registre de reserves'!$T$2:$T$1178,"NO",'Registre de reserves'!$I$2:$I$1178,'2022'!$A165,'Registre de reserves'!$B$2:$B$1178,'2022'!R$2,Tabla1[ANY],'2022'!$Z$150)</f>
        <v>0</v>
      </c>
      <c r="S165" s="21">
        <f t="shared" si="162"/>
        <v>0</v>
      </c>
      <c r="T165" s="20">
        <f>SUMIFS('Registre de reserves'!$V$2:$V$1178,'Registre de reserves'!$T$2:$T$1178,"NO",'Registre de reserves'!$I$2:$I$1178,'2022'!$A165,'Registre de reserves'!$B$2:$B$1178,'2022'!T$2,Tabla1[ANY],'2022'!$Z$150)</f>
        <v>0</v>
      </c>
      <c r="U165" s="21">
        <f t="shared" si="163"/>
        <v>0</v>
      </c>
      <c r="V165" s="20">
        <f>SUMIFS('Registre de reserves'!$V$2:$V$1178,'Registre de reserves'!$T$2:$T$1178,"NO",'Registre de reserves'!$I$2:$I$1178,'2022'!$A165,'Registre de reserves'!$B$2:$B$1178,'2022'!V$2,Tabla1[ANY],'2022'!$Z$150)</f>
        <v>0</v>
      </c>
      <c r="W165" s="21">
        <f t="shared" si="164"/>
        <v>0</v>
      </c>
      <c r="X165" s="20">
        <f>SUMIFS('Registre de reserves'!$V$2:$V$1178,'Registre de reserves'!$T$2:$T$1178,"NO",'Registre de reserves'!$I$2:$I$1178,'2022'!$A165,'Registre de reserves'!$B$2:$B$1178,'2022'!X$2,Tabla1[ANY],'2022'!$Z$150)</f>
        <v>0</v>
      </c>
      <c r="Y165" s="21">
        <f t="shared" si="165"/>
        <v>0</v>
      </c>
      <c r="Z165" s="20">
        <f t="shared" si="167"/>
        <v>0</v>
      </c>
      <c r="AA165" s="21">
        <f t="shared" si="168"/>
        <v>0</v>
      </c>
    </row>
    <row r="166" spans="1:27" hidden="1" outlineLevel="1" x14ac:dyDescent="0.2">
      <c r="A166" s="8" t="s">
        <v>72</v>
      </c>
      <c r="B166" s="20">
        <f>SUMIFS('Registre de reserves'!$V$2:$V$1178,'Registre de reserves'!$T$2:$T$1178,"NO",'Registre de reserves'!$I$2:$I$1178,'2022'!$A166,'Registre de reserves'!$B$2:$B$1178,'2022'!B$2,Tabla1[ANY],'2022'!$Z$150)</f>
        <v>0</v>
      </c>
      <c r="C166" s="21">
        <f t="shared" si="166"/>
        <v>0</v>
      </c>
      <c r="D166" s="20">
        <f>SUMIFS('Registre de reserves'!$V$2:$V$1178,'Registre de reserves'!$T$2:$T$1178,"NO",'Registre de reserves'!$I$2:$I$1178,'2022'!$A166,'Registre de reserves'!$B$2:$B$1178,'2022'!D$2,Tabla1[ANY],'2022'!$Z$150)</f>
        <v>0</v>
      </c>
      <c r="E166" s="21">
        <f t="shared" si="166"/>
        <v>0</v>
      </c>
      <c r="F166" s="20">
        <f>SUMIFS('Registre de reserves'!$V$2:$V$1178,'Registre de reserves'!$T$2:$T$1178,"NO",'Registre de reserves'!$I$2:$I$1178,'2022'!$A166,'Registre de reserves'!$B$2:$B$1178,'2022'!F$2,Tabla1[ANY],'2022'!$Z$150)</f>
        <v>0</v>
      </c>
      <c r="G166" s="21">
        <f t="shared" si="156"/>
        <v>0</v>
      </c>
      <c r="H166" s="20">
        <f>SUMIFS('Registre de reserves'!$V$2:$V$1178,'Registre de reserves'!$T$2:$T$1178,"NO",'Registre de reserves'!$I$2:$I$1178,'2022'!$A166,'Registre de reserves'!$B$2:$B$1178,'2022'!H$2,Tabla1[ANY],'2022'!$Z$150)</f>
        <v>0</v>
      </c>
      <c r="I166" s="21">
        <f t="shared" si="157"/>
        <v>0</v>
      </c>
      <c r="J166" s="20">
        <f>SUMIFS('Registre de reserves'!$V$2:$V$1178,'Registre de reserves'!$T$2:$T$1178,"NO",'Registre de reserves'!$I$2:$I$1178,'2022'!$A166,'Registre de reserves'!$B$2:$B$1178,'2022'!J$2,Tabla1[ANY],'2022'!$Z$150)</f>
        <v>0</v>
      </c>
      <c r="K166" s="21">
        <f t="shared" si="158"/>
        <v>0</v>
      </c>
      <c r="L166" s="20">
        <f>SUMIFS('Registre de reserves'!$V$2:$V$1178,'Registre de reserves'!$T$2:$T$1178,"NO",'Registre de reserves'!$I$2:$I$1178,'2022'!$A166,'Registre de reserves'!$B$2:$B$1178,'2022'!L$2,Tabla1[ANY],'2022'!$Z$150)</f>
        <v>0</v>
      </c>
      <c r="M166" s="21">
        <f t="shared" si="159"/>
        <v>0</v>
      </c>
      <c r="N166" s="20">
        <f>SUMIFS('Registre de reserves'!$V$2:$V$1178,'Registre de reserves'!$T$2:$T$1178,"NO",'Registre de reserves'!$I$2:$I$1178,'2022'!$A166,'Registre de reserves'!$B$2:$B$1178,'2022'!N$2,Tabla1[ANY],'2022'!$Z$150)</f>
        <v>0</v>
      </c>
      <c r="O166" s="21">
        <f t="shared" si="160"/>
        <v>0</v>
      </c>
      <c r="P166" s="20">
        <f>SUMIFS('Registre de reserves'!$V$2:$V$1178,'Registre de reserves'!$T$2:$T$1178,"NO",'Registre de reserves'!$I$2:$I$1178,'2022'!$A166,'Registre de reserves'!$B$2:$B$1178,'2022'!P$2,Tabla1[ANY],'2022'!$Z$150)</f>
        <v>0</v>
      </c>
      <c r="Q166" s="21">
        <f t="shared" si="161"/>
        <v>0</v>
      </c>
      <c r="R166" s="20">
        <f>SUMIFS('Registre de reserves'!$V$2:$V$1178,'Registre de reserves'!$T$2:$T$1178,"NO",'Registre de reserves'!$I$2:$I$1178,'2022'!$A166,'Registre de reserves'!$B$2:$B$1178,'2022'!R$2,Tabla1[ANY],'2022'!$Z$150)</f>
        <v>0</v>
      </c>
      <c r="S166" s="21">
        <f t="shared" si="162"/>
        <v>0</v>
      </c>
      <c r="T166" s="20">
        <f>SUMIFS('Registre de reserves'!$V$2:$V$1178,'Registre de reserves'!$T$2:$T$1178,"NO",'Registre de reserves'!$I$2:$I$1178,'2022'!$A166,'Registre de reserves'!$B$2:$B$1178,'2022'!T$2,Tabla1[ANY],'2022'!$Z$150)</f>
        <v>0</v>
      </c>
      <c r="U166" s="21">
        <f t="shared" si="163"/>
        <v>0</v>
      </c>
      <c r="V166" s="20">
        <f>SUMIFS('Registre de reserves'!$V$2:$V$1178,'Registre de reserves'!$T$2:$T$1178,"NO",'Registre de reserves'!$I$2:$I$1178,'2022'!$A166,'Registre de reserves'!$B$2:$B$1178,'2022'!V$2,Tabla1[ANY],'2022'!$Z$150)</f>
        <v>0</v>
      </c>
      <c r="W166" s="21">
        <f t="shared" si="164"/>
        <v>0</v>
      </c>
      <c r="X166" s="20">
        <f>SUMIFS('Registre de reserves'!$V$2:$V$1178,'Registre de reserves'!$T$2:$T$1178,"NO",'Registre de reserves'!$I$2:$I$1178,'2022'!$A166,'Registre de reserves'!$B$2:$B$1178,'2022'!X$2,Tabla1[ANY],'2022'!$Z$150)</f>
        <v>0</v>
      </c>
      <c r="Y166" s="21">
        <f t="shared" si="165"/>
        <v>0</v>
      </c>
      <c r="Z166" s="20">
        <f t="shared" si="167"/>
        <v>0</v>
      </c>
      <c r="AA166" s="21">
        <f t="shared" si="168"/>
        <v>0</v>
      </c>
    </row>
    <row r="167" spans="1:27" hidden="1" outlineLevel="1" x14ac:dyDescent="0.2">
      <c r="A167" s="8" t="s">
        <v>69</v>
      </c>
      <c r="B167" s="20">
        <f>SUMIFS('Registre de reserves'!$V$2:$V$1178,'Registre de reserves'!$T$2:$T$1178,"NO",'Registre de reserves'!$I$2:$I$1178,'2022'!$A167,'Registre de reserves'!$B$2:$B$1178,'2022'!B$2,Tabla1[ANY],'2022'!$Z$150)</f>
        <v>0</v>
      </c>
      <c r="C167" s="21">
        <f t="shared" si="166"/>
        <v>0</v>
      </c>
      <c r="D167" s="20">
        <f>SUMIFS('Registre de reserves'!$V$2:$V$1178,'Registre de reserves'!$T$2:$T$1178,"NO",'Registre de reserves'!$I$2:$I$1178,'2022'!$A167,'Registre de reserves'!$B$2:$B$1178,'2022'!D$2,Tabla1[ANY],'2022'!$Z$150)</f>
        <v>0</v>
      </c>
      <c r="E167" s="21">
        <f t="shared" si="166"/>
        <v>0</v>
      </c>
      <c r="F167" s="20">
        <f>SUMIFS('Registre de reserves'!$V$2:$V$1178,'Registre de reserves'!$T$2:$T$1178,"NO",'Registre de reserves'!$I$2:$I$1178,'2022'!$A167,'Registre de reserves'!$B$2:$B$1178,'2022'!F$2,Tabla1[ANY],'2022'!$Z$150)</f>
        <v>0</v>
      </c>
      <c r="G167" s="21">
        <f t="shared" si="156"/>
        <v>0</v>
      </c>
      <c r="H167" s="20">
        <f>SUMIFS('Registre de reserves'!$V$2:$V$1178,'Registre de reserves'!$T$2:$T$1178,"NO",'Registre de reserves'!$I$2:$I$1178,'2022'!$A167,'Registre de reserves'!$B$2:$B$1178,'2022'!H$2,Tabla1[ANY],'2022'!$Z$150)</f>
        <v>0</v>
      </c>
      <c r="I167" s="21">
        <f t="shared" si="157"/>
        <v>0</v>
      </c>
      <c r="J167" s="20">
        <f>SUMIFS('Registre de reserves'!$V$2:$V$1178,'Registre de reserves'!$T$2:$T$1178,"NO",'Registre de reserves'!$I$2:$I$1178,'2022'!$A167,'Registre de reserves'!$B$2:$B$1178,'2022'!J$2,Tabla1[ANY],'2022'!$Z$150)</f>
        <v>0</v>
      </c>
      <c r="K167" s="21">
        <f t="shared" si="158"/>
        <v>0</v>
      </c>
      <c r="L167" s="20">
        <f>SUMIFS('Registre de reserves'!$V$2:$V$1178,'Registre de reserves'!$T$2:$T$1178,"NO",'Registre de reserves'!$I$2:$I$1178,'2022'!$A167,'Registre de reserves'!$B$2:$B$1178,'2022'!L$2,Tabla1[ANY],'2022'!$Z$150)</f>
        <v>0</v>
      </c>
      <c r="M167" s="21">
        <f t="shared" si="159"/>
        <v>0</v>
      </c>
      <c r="N167" s="20">
        <f>SUMIFS('Registre de reserves'!$V$2:$V$1178,'Registre de reserves'!$T$2:$T$1178,"NO",'Registre de reserves'!$I$2:$I$1178,'2022'!$A167,'Registre de reserves'!$B$2:$B$1178,'2022'!N$2,Tabla1[ANY],'2022'!$Z$150)</f>
        <v>0</v>
      </c>
      <c r="O167" s="21">
        <f t="shared" si="160"/>
        <v>0</v>
      </c>
      <c r="P167" s="20">
        <f>SUMIFS('Registre de reserves'!$V$2:$V$1178,'Registre de reserves'!$T$2:$T$1178,"NO",'Registre de reserves'!$I$2:$I$1178,'2022'!$A167,'Registre de reserves'!$B$2:$B$1178,'2022'!P$2,Tabla1[ANY],'2022'!$Z$150)</f>
        <v>0</v>
      </c>
      <c r="Q167" s="21">
        <f t="shared" si="161"/>
        <v>0</v>
      </c>
      <c r="R167" s="20">
        <f>SUMIFS('Registre de reserves'!$V$2:$V$1178,'Registre de reserves'!$T$2:$T$1178,"NO",'Registre de reserves'!$I$2:$I$1178,'2022'!$A167,'Registre de reserves'!$B$2:$B$1178,'2022'!R$2,Tabla1[ANY],'2022'!$Z$150)</f>
        <v>0</v>
      </c>
      <c r="S167" s="21">
        <f t="shared" si="162"/>
        <v>0</v>
      </c>
      <c r="T167" s="20">
        <f>SUMIFS('Registre de reserves'!$V$2:$V$1178,'Registre de reserves'!$T$2:$T$1178,"NO",'Registre de reserves'!$I$2:$I$1178,'2022'!$A167,'Registre de reserves'!$B$2:$B$1178,'2022'!T$2,Tabla1[ANY],'2022'!$Z$150)</f>
        <v>0</v>
      </c>
      <c r="U167" s="21">
        <f t="shared" si="163"/>
        <v>0</v>
      </c>
      <c r="V167" s="20">
        <f>SUMIFS('Registre de reserves'!$V$2:$V$1178,'Registre de reserves'!$T$2:$T$1178,"NO",'Registre de reserves'!$I$2:$I$1178,'2022'!$A167,'Registre de reserves'!$B$2:$B$1178,'2022'!V$2,Tabla1[ANY],'2022'!$Z$150)</f>
        <v>0</v>
      </c>
      <c r="W167" s="21">
        <f t="shared" si="164"/>
        <v>0</v>
      </c>
      <c r="X167" s="20">
        <f>SUMIFS('Registre de reserves'!$V$2:$V$1178,'Registre de reserves'!$T$2:$T$1178,"NO",'Registre de reserves'!$I$2:$I$1178,'2022'!$A167,'Registre de reserves'!$B$2:$B$1178,'2022'!X$2,Tabla1[ANY],'2022'!$Z$150)</f>
        <v>0</v>
      </c>
      <c r="Y167" s="21">
        <f t="shared" si="165"/>
        <v>0</v>
      </c>
      <c r="Z167" s="20">
        <f t="shared" si="167"/>
        <v>0</v>
      </c>
      <c r="AA167" s="21">
        <f t="shared" si="168"/>
        <v>0</v>
      </c>
    </row>
    <row r="168" spans="1:27" hidden="1" outlineLevel="1" x14ac:dyDescent="0.2">
      <c r="A168" s="8" t="s">
        <v>70</v>
      </c>
      <c r="B168" s="20">
        <f>SUMIFS('Registre de reserves'!$V$2:$V$1178,'Registre de reserves'!$T$2:$T$1178,"NO",'Registre de reserves'!$I$2:$I$1178,'2022'!$A168,'Registre de reserves'!$B$2:$B$1178,'2022'!B$2,Tabla1[ANY],'2022'!$Z$150)</f>
        <v>0</v>
      </c>
      <c r="C168" s="21">
        <f t="shared" si="166"/>
        <v>0</v>
      </c>
      <c r="D168" s="20">
        <f>SUMIFS('Registre de reserves'!$V$2:$V$1178,'Registre de reserves'!$T$2:$T$1178,"NO",'Registre de reserves'!$I$2:$I$1178,'2022'!$A168,'Registre de reserves'!$B$2:$B$1178,'2022'!D$2,Tabla1[ANY],'2022'!$Z$150)</f>
        <v>0</v>
      </c>
      <c r="E168" s="21">
        <f t="shared" si="166"/>
        <v>0</v>
      </c>
      <c r="F168" s="20">
        <f>SUMIFS('Registre de reserves'!$V$2:$V$1178,'Registre de reserves'!$T$2:$T$1178,"NO",'Registre de reserves'!$I$2:$I$1178,'2022'!$A168,'Registre de reserves'!$B$2:$B$1178,'2022'!F$2,Tabla1[ANY],'2022'!$Z$150)</f>
        <v>0</v>
      </c>
      <c r="G168" s="21">
        <f t="shared" si="156"/>
        <v>0</v>
      </c>
      <c r="H168" s="20">
        <f>SUMIFS('Registre de reserves'!$V$2:$V$1178,'Registre de reserves'!$T$2:$T$1178,"NO",'Registre de reserves'!$I$2:$I$1178,'2022'!$A168,'Registre de reserves'!$B$2:$B$1178,'2022'!H$2,Tabla1[ANY],'2022'!$Z$150)</f>
        <v>0</v>
      </c>
      <c r="I168" s="21">
        <f t="shared" si="157"/>
        <v>0</v>
      </c>
      <c r="J168" s="20">
        <f>SUMIFS('Registre de reserves'!$V$2:$V$1178,'Registre de reserves'!$T$2:$T$1178,"NO",'Registre de reserves'!$I$2:$I$1178,'2022'!$A168,'Registre de reserves'!$B$2:$B$1178,'2022'!J$2,Tabla1[ANY],'2022'!$Z$150)</f>
        <v>0</v>
      </c>
      <c r="K168" s="21">
        <f t="shared" si="158"/>
        <v>0</v>
      </c>
      <c r="L168" s="20">
        <f>SUMIFS('Registre de reserves'!$V$2:$V$1178,'Registre de reserves'!$T$2:$T$1178,"NO",'Registre de reserves'!$I$2:$I$1178,'2022'!$A168,'Registre de reserves'!$B$2:$B$1178,'2022'!L$2,Tabla1[ANY],'2022'!$Z$150)</f>
        <v>0</v>
      </c>
      <c r="M168" s="21">
        <f t="shared" si="159"/>
        <v>0</v>
      </c>
      <c r="N168" s="20">
        <f>SUMIFS('Registre de reserves'!$V$2:$V$1178,'Registre de reserves'!$T$2:$T$1178,"NO",'Registre de reserves'!$I$2:$I$1178,'2022'!$A168,'Registre de reserves'!$B$2:$B$1178,'2022'!N$2,Tabla1[ANY],'2022'!$Z$150)</f>
        <v>0</v>
      </c>
      <c r="O168" s="21">
        <f t="shared" si="160"/>
        <v>0</v>
      </c>
      <c r="P168" s="20">
        <f>SUMIFS('Registre de reserves'!$V$2:$V$1178,'Registre de reserves'!$T$2:$T$1178,"NO",'Registre de reserves'!$I$2:$I$1178,'2022'!$A168,'Registre de reserves'!$B$2:$B$1178,'2022'!P$2,Tabla1[ANY],'2022'!$Z$150)</f>
        <v>0</v>
      </c>
      <c r="Q168" s="21">
        <f t="shared" si="161"/>
        <v>0</v>
      </c>
      <c r="R168" s="20">
        <f>SUMIFS('Registre de reserves'!$V$2:$V$1178,'Registre de reserves'!$T$2:$T$1178,"NO",'Registre de reserves'!$I$2:$I$1178,'2022'!$A168,'Registre de reserves'!$B$2:$B$1178,'2022'!R$2,Tabla1[ANY],'2022'!$Z$150)</f>
        <v>0</v>
      </c>
      <c r="S168" s="21">
        <f t="shared" si="162"/>
        <v>0</v>
      </c>
      <c r="T168" s="20">
        <f>SUMIFS('Registre de reserves'!$V$2:$V$1178,'Registre de reserves'!$T$2:$T$1178,"NO",'Registre de reserves'!$I$2:$I$1178,'2022'!$A168,'Registre de reserves'!$B$2:$B$1178,'2022'!T$2,Tabla1[ANY],'2022'!$Z$150)</f>
        <v>0</v>
      </c>
      <c r="U168" s="21">
        <f t="shared" si="163"/>
        <v>0</v>
      </c>
      <c r="V168" s="20">
        <f>SUMIFS('Registre de reserves'!$V$2:$V$1178,'Registre de reserves'!$T$2:$T$1178,"NO",'Registre de reserves'!$I$2:$I$1178,'2022'!$A168,'Registre de reserves'!$B$2:$B$1178,'2022'!V$2,Tabla1[ANY],'2022'!$Z$150)</f>
        <v>0</v>
      </c>
      <c r="W168" s="21">
        <f t="shared" si="164"/>
        <v>0</v>
      </c>
      <c r="X168" s="20">
        <f>SUMIFS('Registre de reserves'!$V$2:$V$1178,'Registre de reserves'!$T$2:$T$1178,"NO",'Registre de reserves'!$I$2:$I$1178,'2022'!$A168,'Registre de reserves'!$B$2:$B$1178,'2022'!X$2,Tabla1[ANY],'2022'!$Z$150)</f>
        <v>0</v>
      </c>
      <c r="Y168" s="21">
        <f t="shared" si="165"/>
        <v>0</v>
      </c>
      <c r="Z168" s="20">
        <f t="shared" si="167"/>
        <v>0</v>
      </c>
      <c r="AA168" s="21">
        <f t="shared" si="168"/>
        <v>0</v>
      </c>
    </row>
    <row r="169" spans="1:27" hidden="1" outlineLevel="1" x14ac:dyDescent="0.2">
      <c r="A169" s="8" t="s">
        <v>73</v>
      </c>
      <c r="B169" s="20">
        <f>SUMIFS('Registre de reserves'!$V$2:$V$1178,'Registre de reserves'!$T$2:$T$1178,"NO",'Registre de reserves'!$I$2:$I$1178,'2022'!$A169,'Registre de reserves'!$B$2:$B$1178,'2022'!B$2,Tabla1[ANY],'2022'!$Z$150)</f>
        <v>0</v>
      </c>
      <c r="C169" s="21">
        <f t="shared" si="166"/>
        <v>0</v>
      </c>
      <c r="D169" s="20">
        <f>SUMIFS('Registre de reserves'!$V$2:$V$1178,'Registre de reserves'!$T$2:$T$1178,"NO",'Registre de reserves'!$I$2:$I$1178,'2022'!$A169,'Registre de reserves'!$B$2:$B$1178,'2022'!D$2,Tabla1[ANY],'2022'!$Z$150)</f>
        <v>0</v>
      </c>
      <c r="E169" s="21">
        <f t="shared" si="166"/>
        <v>0</v>
      </c>
      <c r="F169" s="20">
        <f>SUMIFS('Registre de reserves'!$V$2:$V$1178,'Registre de reserves'!$T$2:$T$1178,"NO",'Registre de reserves'!$I$2:$I$1178,'2022'!$A169,'Registre de reserves'!$B$2:$B$1178,'2022'!F$2,Tabla1[ANY],'2022'!$Z$150)</f>
        <v>0</v>
      </c>
      <c r="G169" s="21">
        <f t="shared" si="156"/>
        <v>0</v>
      </c>
      <c r="H169" s="20">
        <f>SUMIFS('Registre de reserves'!$V$2:$V$1178,'Registre de reserves'!$T$2:$T$1178,"NO",'Registre de reserves'!$I$2:$I$1178,'2022'!$A169,'Registre de reserves'!$B$2:$B$1178,'2022'!H$2,Tabla1[ANY],'2022'!$Z$150)</f>
        <v>0</v>
      </c>
      <c r="I169" s="21">
        <f t="shared" si="157"/>
        <v>0</v>
      </c>
      <c r="J169" s="20">
        <f>SUMIFS('Registre de reserves'!$V$2:$V$1178,'Registre de reserves'!$T$2:$T$1178,"NO",'Registre de reserves'!$I$2:$I$1178,'2022'!$A169,'Registre de reserves'!$B$2:$B$1178,'2022'!J$2,Tabla1[ANY],'2022'!$Z$150)</f>
        <v>0</v>
      </c>
      <c r="K169" s="21">
        <f t="shared" si="158"/>
        <v>0</v>
      </c>
      <c r="L169" s="20">
        <f>SUMIFS('Registre de reserves'!$V$2:$V$1178,'Registre de reserves'!$T$2:$T$1178,"NO",'Registre de reserves'!$I$2:$I$1178,'2022'!$A169,'Registre de reserves'!$B$2:$B$1178,'2022'!L$2,Tabla1[ANY],'2022'!$Z$150)</f>
        <v>0</v>
      </c>
      <c r="M169" s="21">
        <f t="shared" si="159"/>
        <v>0</v>
      </c>
      <c r="N169" s="20">
        <f>SUMIFS('Registre de reserves'!$V$2:$V$1178,'Registre de reserves'!$T$2:$T$1178,"NO",'Registre de reserves'!$I$2:$I$1178,'2022'!$A169,'Registre de reserves'!$B$2:$B$1178,'2022'!N$2,Tabla1[ANY],'2022'!$Z$150)</f>
        <v>0</v>
      </c>
      <c r="O169" s="21">
        <f t="shared" si="160"/>
        <v>0</v>
      </c>
      <c r="P169" s="20">
        <f>SUMIFS('Registre de reserves'!$V$2:$V$1178,'Registre de reserves'!$T$2:$T$1178,"NO",'Registre de reserves'!$I$2:$I$1178,'2022'!$A169,'Registre de reserves'!$B$2:$B$1178,'2022'!P$2,Tabla1[ANY],'2022'!$Z$150)</f>
        <v>0</v>
      </c>
      <c r="Q169" s="21">
        <f t="shared" si="161"/>
        <v>0</v>
      </c>
      <c r="R169" s="20">
        <f>SUMIFS('Registre de reserves'!$V$2:$V$1178,'Registre de reserves'!$T$2:$T$1178,"NO",'Registre de reserves'!$I$2:$I$1178,'2022'!$A169,'Registre de reserves'!$B$2:$B$1178,'2022'!R$2,Tabla1[ANY],'2022'!$Z$150)</f>
        <v>0</v>
      </c>
      <c r="S169" s="21">
        <f t="shared" si="162"/>
        <v>0</v>
      </c>
      <c r="T169" s="20">
        <f>SUMIFS('Registre de reserves'!$V$2:$V$1178,'Registre de reserves'!$T$2:$T$1178,"NO",'Registre de reserves'!$I$2:$I$1178,'2022'!$A169,'Registre de reserves'!$B$2:$B$1178,'2022'!T$2,Tabla1[ANY],'2022'!$Z$150)</f>
        <v>0</v>
      </c>
      <c r="U169" s="21">
        <f t="shared" si="163"/>
        <v>0</v>
      </c>
      <c r="V169" s="20">
        <f>SUMIFS('Registre de reserves'!$V$2:$V$1178,'Registre de reserves'!$T$2:$T$1178,"NO",'Registre de reserves'!$I$2:$I$1178,'2022'!$A169,'Registre de reserves'!$B$2:$B$1178,'2022'!V$2,Tabla1[ANY],'2022'!$Z$150)</f>
        <v>0</v>
      </c>
      <c r="W169" s="21">
        <f t="shared" si="164"/>
        <v>0</v>
      </c>
      <c r="X169" s="20">
        <f>SUMIFS('Registre de reserves'!$V$2:$V$1178,'Registre de reserves'!$T$2:$T$1178,"NO",'Registre de reserves'!$I$2:$I$1178,'2022'!$A169,'Registre de reserves'!$B$2:$B$1178,'2022'!X$2,Tabla1[ANY],'2022'!$Z$150)</f>
        <v>0</v>
      </c>
      <c r="Y169" s="21">
        <f t="shared" si="165"/>
        <v>0</v>
      </c>
      <c r="Z169" s="20">
        <f t="shared" si="167"/>
        <v>0</v>
      </c>
      <c r="AA169" s="21">
        <f t="shared" si="168"/>
        <v>0</v>
      </c>
    </row>
    <row r="170" spans="1:27" collapsed="1" x14ac:dyDescent="0.2">
      <c r="A170" s="33" t="s">
        <v>75</v>
      </c>
      <c r="B170" s="22">
        <f>SUM(B171:B178)</f>
        <v>100</v>
      </c>
      <c r="C170" s="19">
        <f>IF(B$151=0,0,B170/B$151)</f>
        <v>0.11627906976744186</v>
      </c>
      <c r="D170" s="22">
        <f>SUM(D171:D178)</f>
        <v>70</v>
      </c>
      <c r="E170" s="19">
        <f>IF(D$151=0,0,D170/D$151)</f>
        <v>9.45945945945946E-2</v>
      </c>
      <c r="F170" s="22">
        <f>SUM(F171:F178)</f>
        <v>105</v>
      </c>
      <c r="G170" s="19">
        <f>IF(F$151=0,0,F170/F$151)</f>
        <v>7.0945945945945943E-2</v>
      </c>
      <c r="H170" s="22">
        <f>SUM(H171:H178)</f>
        <v>175</v>
      </c>
      <c r="I170" s="19">
        <f>IF(H$151=0,0,H170/H$151)</f>
        <v>9.668508287292818E-2</v>
      </c>
      <c r="J170" s="22">
        <f>SUM(J171:J178)</f>
        <v>100</v>
      </c>
      <c r="K170" s="19">
        <f>IF(J$151=0,0,J170/J$151)</f>
        <v>0.05</v>
      </c>
      <c r="L170" s="22">
        <f>SUM(L171:L178)</f>
        <v>145</v>
      </c>
      <c r="M170" s="19">
        <f>IF(L$151=0,0,L170/L$151)</f>
        <v>8.0779944289693595E-2</v>
      </c>
      <c r="N170" s="22">
        <f>SUM(N171:N178)</f>
        <v>130</v>
      </c>
      <c r="O170" s="19">
        <f>IF(N$151=0,0,N170/N$151)</f>
        <v>5.6155507559395246E-2</v>
      </c>
      <c r="P170" s="22">
        <f>SUM(P171:P178)</f>
        <v>60</v>
      </c>
      <c r="Q170" s="19">
        <f>IF(P$151=0,0,P170/P$151)</f>
        <v>5.3097345132743362E-2</v>
      </c>
      <c r="R170" s="22">
        <f>SUM(R171:R178)</f>
        <v>240</v>
      </c>
      <c r="S170" s="19">
        <f>IF(R$151=0,0,R170/R$151)</f>
        <v>0.10256410256410256</v>
      </c>
      <c r="T170" s="22">
        <f>SUM(T171:T178)</f>
        <v>260</v>
      </c>
      <c r="U170" s="19">
        <f>IF(T$151=0,0,T170/T$151)</f>
        <v>0.12121212121212122</v>
      </c>
      <c r="V170" s="22">
        <f>SUM(V171:V178)</f>
        <v>120</v>
      </c>
      <c r="W170" s="19">
        <f>IF(V$151=0,0,V170/V$151)</f>
        <v>0.08</v>
      </c>
      <c r="X170" s="22">
        <f>SUM(X171:X178)</f>
        <v>140</v>
      </c>
      <c r="Y170" s="19">
        <f>IF(X$151=0,0,X170/X$151)</f>
        <v>3.9160839160839164E-2</v>
      </c>
      <c r="Z170" s="22">
        <f>SUM(Z171:Z178)</f>
        <v>1645</v>
      </c>
      <c r="AA170" s="19">
        <f>IF(Z$3=0,0,Z170/Z$3)</f>
        <v>4.3415149115861702E-2</v>
      </c>
    </row>
    <row r="171" spans="1:27" hidden="1" outlineLevel="1" x14ac:dyDescent="0.2">
      <c r="A171" s="8" t="s">
        <v>67</v>
      </c>
      <c r="B171" s="23">
        <f>SUMIFS('Registre de reserves'!$X$2:$X$1178,'Registre de reserves'!$T$2:$T$1178,"SI",'Registre de reserves'!$I$2:$I$1178,'2022'!$A171,'Registre de reserves'!$B$2:$B$1178,'2022'!B$2,Tabla1[ANY],'2022'!$Z$150)</f>
        <v>0</v>
      </c>
      <c r="C171" s="21">
        <f>IF(B$170=0,0,B171/B$170)</f>
        <v>0</v>
      </c>
      <c r="D171" s="23">
        <f>SUMIFS('Registre de reserves'!$X$2:$X$1178,'Registre de reserves'!$T$2:$T$1178,"SI",'Registre de reserves'!$I$2:$I$1178,'2022'!$A171,'Registre de reserves'!$B$2:$B$1178,'2022'!D$2,Tabla1[ANY],'2022'!$Z$150)</f>
        <v>0</v>
      </c>
      <c r="E171" s="21">
        <f>IF(D$170=0,0,D171/D$170)</f>
        <v>0</v>
      </c>
      <c r="F171" s="23">
        <f>SUMIFS('Registre de reserves'!$X$2:$X$1178,'Registre de reserves'!$T$2:$T$1178,"SI",'Registre de reserves'!$I$2:$I$1178,'2022'!$A171,'Registre de reserves'!$B$2:$B$1178,'2022'!F$2,Tabla1[ANY],'2022'!$Z$150)</f>
        <v>0</v>
      </c>
      <c r="G171" s="21">
        <f t="shared" ref="G171:G178" si="169">IF(F$170=0,0,F171/F$170)</f>
        <v>0</v>
      </c>
      <c r="H171" s="23">
        <f>SUMIFS('Registre de reserves'!$X$2:$X$1178,'Registre de reserves'!$T$2:$T$1178,"SI",'Registre de reserves'!$I$2:$I$1178,'2022'!$A171,'Registre de reserves'!$B$2:$B$1178,'2022'!H$2,Tabla1[ANY],'2022'!$Z$150)</f>
        <v>0</v>
      </c>
      <c r="I171" s="21">
        <f t="shared" ref="I171:I178" si="170">IF(H$170=0,0,H171/H$170)</f>
        <v>0</v>
      </c>
      <c r="J171" s="23">
        <f>SUMIFS('Registre de reserves'!$X$2:$X$1178,'Registre de reserves'!$T$2:$T$1178,"SI",'Registre de reserves'!$I$2:$I$1178,'2022'!$A171,'Registre de reserves'!$B$2:$B$1178,'2022'!J$2,Tabla1[ANY],'2022'!$Z$150)</f>
        <v>0</v>
      </c>
      <c r="K171" s="21">
        <f t="shared" ref="K171:K178" si="171">IF(J$170=0,0,J171/J$170)</f>
        <v>0</v>
      </c>
      <c r="L171" s="23">
        <f>SUMIFS('Registre de reserves'!$X$2:$X$1178,'Registre de reserves'!$T$2:$T$1178,"SI",'Registre de reserves'!$I$2:$I$1178,'2022'!$A171,'Registre de reserves'!$B$2:$B$1178,'2022'!L$2,Tabla1[ANY],'2022'!$Z$150)</f>
        <v>5</v>
      </c>
      <c r="M171" s="21">
        <f t="shared" ref="M171:M178" si="172">IF(L$170=0,0,L171/L$170)</f>
        <v>3.4482758620689655E-2</v>
      </c>
      <c r="N171" s="23">
        <f>SUMIFS('Registre de reserves'!$X$2:$X$1178,'Registre de reserves'!$T$2:$T$1178,"SI",'Registre de reserves'!$I$2:$I$1178,'2022'!$A171,'Registre de reserves'!$B$2:$B$1178,'2022'!N$2,Tabla1[ANY],'2022'!$Z$150)</f>
        <v>0</v>
      </c>
      <c r="O171" s="21">
        <f t="shared" ref="O171:O178" si="173">IF(N$170=0,0,N171/N$170)</f>
        <v>0</v>
      </c>
      <c r="P171" s="23">
        <f>SUMIFS('Registre de reserves'!$X$2:$X$1178,'Registre de reserves'!$T$2:$T$1178,"SI",'Registre de reserves'!$I$2:$I$1178,'2022'!$A171,'Registre de reserves'!$B$2:$B$1178,'2022'!P$2,Tabla1[ANY],'2022'!$Z$150)</f>
        <v>0</v>
      </c>
      <c r="Q171" s="21">
        <f t="shared" ref="Q171:Q178" si="174">IF(P$170=0,0,P171/P$170)</f>
        <v>0</v>
      </c>
      <c r="R171" s="23">
        <f>SUMIFS('Registre de reserves'!$X$2:$X$1178,'Registre de reserves'!$T$2:$T$1178,"SI",'Registre de reserves'!$I$2:$I$1178,'2022'!$A171,'Registre de reserves'!$B$2:$B$1178,'2022'!R$2,Tabla1[ANY],'2022'!$Z$150)</f>
        <v>0</v>
      </c>
      <c r="S171" s="21">
        <f t="shared" ref="S171:S178" si="175">IF(R$170=0,0,R171/R$170)</f>
        <v>0</v>
      </c>
      <c r="T171" s="23">
        <f>SUMIFS('Registre de reserves'!$X$2:$X$1178,'Registre de reserves'!$T$2:$T$1178,"SI",'Registre de reserves'!$I$2:$I$1178,'2022'!$A171,'Registre de reserves'!$B$2:$B$1178,'2022'!T$2,Tabla1[ANY],'2022'!$Z$150)</f>
        <v>0</v>
      </c>
      <c r="U171" s="21">
        <f t="shared" ref="U171:U178" si="176">IF(T$170=0,0,T171/T$170)</f>
        <v>0</v>
      </c>
      <c r="V171" s="23">
        <f>SUMIFS('Registre de reserves'!$X$2:$X$1178,'Registre de reserves'!$T$2:$T$1178,"SI",'Registre de reserves'!$I$2:$I$1178,'2022'!$A171,'Registre de reserves'!$B$2:$B$1178,'2022'!V$2,Tabla1[ANY],'2022'!$Z$150)</f>
        <v>0</v>
      </c>
      <c r="W171" s="21">
        <f t="shared" ref="W171:W178" si="177">IF(V$170=0,0,V171/V$170)</f>
        <v>0</v>
      </c>
      <c r="X171" s="23">
        <f>SUMIFS('Registre de reserves'!$X$2:$X$1178,'Registre de reserves'!$T$2:$T$1178,"SI",'Registre de reserves'!$I$2:$I$1178,'2022'!$A171,'Registre de reserves'!$B$2:$B$1178,'2022'!X$2,Tabla1[ANY],'2022'!$Z$150)</f>
        <v>0</v>
      </c>
      <c r="Y171" s="21">
        <f t="shared" ref="Y171:Y178" si="178">IF(X$170=0,0,X171/X$170)</f>
        <v>0</v>
      </c>
      <c r="Z171" s="20">
        <f t="shared" si="167"/>
        <v>5</v>
      </c>
      <c r="AA171" s="21">
        <f>IF(Z$22=0,0,Z171/Z$22)</f>
        <v>2.3364485981308409E-3</v>
      </c>
    </row>
    <row r="172" spans="1:27" hidden="1" outlineLevel="1" x14ac:dyDescent="0.2">
      <c r="A172" s="8" t="s">
        <v>68</v>
      </c>
      <c r="B172" s="23">
        <f>SUMIFS('Registre de reserves'!$X$2:$X$1178,'Registre de reserves'!$T$2:$T$1178,"SI",'Registre de reserves'!$I$2:$I$1178,'2022'!$A172,'Registre de reserves'!$B$2:$B$1178,'2022'!B$2,Tabla1[ANY],'2022'!$Z$150)</f>
        <v>100</v>
      </c>
      <c r="C172" s="21">
        <f t="shared" ref="C172:E178" si="179">IF(B$170=0,0,B172/B$170)</f>
        <v>1</v>
      </c>
      <c r="D172" s="23">
        <f>SUMIFS('Registre de reserves'!$X$2:$X$1178,'Registre de reserves'!$T$2:$T$1178,"SI",'Registre de reserves'!$I$2:$I$1178,'2022'!$A172,'Registre de reserves'!$B$2:$B$1178,'2022'!D$2,Tabla1[ANY],'2022'!$Z$150)</f>
        <v>0</v>
      </c>
      <c r="E172" s="21">
        <f t="shared" si="179"/>
        <v>0</v>
      </c>
      <c r="F172" s="23">
        <f>SUMIFS('Registre de reserves'!$X$2:$X$1178,'Registre de reserves'!$T$2:$T$1178,"SI",'Registre de reserves'!$I$2:$I$1178,'2022'!$A172,'Registre de reserves'!$B$2:$B$1178,'2022'!F$2,Tabla1[ANY],'2022'!$Z$150)</f>
        <v>5</v>
      </c>
      <c r="G172" s="21">
        <f t="shared" si="169"/>
        <v>4.7619047619047616E-2</v>
      </c>
      <c r="H172" s="23">
        <f>SUMIFS('Registre de reserves'!$X$2:$X$1178,'Registre de reserves'!$T$2:$T$1178,"SI",'Registre de reserves'!$I$2:$I$1178,'2022'!$A172,'Registre de reserves'!$B$2:$B$1178,'2022'!H$2,Tabla1[ANY],'2022'!$Z$150)</f>
        <v>10</v>
      </c>
      <c r="I172" s="21">
        <f t="shared" si="170"/>
        <v>5.7142857142857141E-2</v>
      </c>
      <c r="J172" s="23">
        <f>SUMIFS('Registre de reserves'!$X$2:$X$1178,'Registre de reserves'!$T$2:$T$1178,"SI",'Registre de reserves'!$I$2:$I$1178,'2022'!$A172,'Registre de reserves'!$B$2:$B$1178,'2022'!J$2,Tabla1[ANY],'2022'!$Z$150)</f>
        <v>0</v>
      </c>
      <c r="K172" s="21">
        <f t="shared" si="171"/>
        <v>0</v>
      </c>
      <c r="L172" s="23">
        <f>SUMIFS('Registre de reserves'!$X$2:$X$1178,'Registre de reserves'!$T$2:$T$1178,"SI",'Registre de reserves'!$I$2:$I$1178,'2022'!$A172,'Registre de reserves'!$B$2:$B$1178,'2022'!L$2,Tabla1[ANY],'2022'!$Z$150)</f>
        <v>20</v>
      </c>
      <c r="M172" s="21">
        <f t="shared" si="172"/>
        <v>0.13793103448275862</v>
      </c>
      <c r="N172" s="23">
        <f>SUMIFS('Registre de reserves'!$X$2:$X$1178,'Registre de reserves'!$T$2:$T$1178,"SI",'Registre de reserves'!$I$2:$I$1178,'2022'!$A172,'Registre de reserves'!$B$2:$B$1178,'2022'!N$2,Tabla1[ANY],'2022'!$Z$150)</f>
        <v>10</v>
      </c>
      <c r="O172" s="21">
        <f t="shared" si="173"/>
        <v>7.6923076923076927E-2</v>
      </c>
      <c r="P172" s="23">
        <f>SUMIFS('Registre de reserves'!$X$2:$X$1178,'Registre de reserves'!$T$2:$T$1178,"SI",'Registre de reserves'!$I$2:$I$1178,'2022'!$A172,'Registre de reserves'!$B$2:$B$1178,'2022'!P$2,Tabla1[ANY],'2022'!$Z$150)</f>
        <v>0</v>
      </c>
      <c r="Q172" s="21">
        <f t="shared" si="174"/>
        <v>0</v>
      </c>
      <c r="R172" s="23">
        <f>SUMIFS('Registre de reserves'!$X$2:$X$1178,'Registre de reserves'!$T$2:$T$1178,"SI",'Registre de reserves'!$I$2:$I$1178,'2022'!$A172,'Registre de reserves'!$B$2:$B$1178,'2022'!R$2,Tabla1[ANY],'2022'!$Z$150)</f>
        <v>30</v>
      </c>
      <c r="S172" s="21">
        <f t="shared" si="175"/>
        <v>0.125</v>
      </c>
      <c r="T172" s="23">
        <f>SUMIFS('Registre de reserves'!$X$2:$X$1178,'Registre de reserves'!$T$2:$T$1178,"SI",'Registre de reserves'!$I$2:$I$1178,'2022'!$A172,'Registre de reserves'!$B$2:$B$1178,'2022'!T$2,Tabla1[ANY],'2022'!$Z$150)</f>
        <v>0</v>
      </c>
      <c r="U172" s="21">
        <f t="shared" si="176"/>
        <v>0</v>
      </c>
      <c r="V172" s="23">
        <f>SUMIFS('Registre de reserves'!$X$2:$X$1178,'Registre de reserves'!$T$2:$T$1178,"SI",'Registre de reserves'!$I$2:$I$1178,'2022'!$A172,'Registre de reserves'!$B$2:$B$1178,'2022'!V$2,Tabla1[ANY],'2022'!$Z$150)</f>
        <v>0</v>
      </c>
      <c r="W172" s="21">
        <f t="shared" si="177"/>
        <v>0</v>
      </c>
      <c r="X172" s="23">
        <f>SUMIFS('Registre de reserves'!$X$2:$X$1178,'Registre de reserves'!$T$2:$T$1178,"SI",'Registre de reserves'!$I$2:$I$1178,'2022'!$A172,'Registre de reserves'!$B$2:$B$1178,'2022'!X$2,Tabla1[ANY],'2022'!$Z$150)</f>
        <v>20</v>
      </c>
      <c r="Y172" s="21">
        <f t="shared" si="178"/>
        <v>0.14285714285714285</v>
      </c>
      <c r="Z172" s="20">
        <f t="shared" si="167"/>
        <v>195</v>
      </c>
      <c r="AA172" s="21">
        <f t="shared" ref="AA172:AA178" si="180">IF(Z$22=0,0,Z172/Z$22)</f>
        <v>9.11214953271028E-2</v>
      </c>
    </row>
    <row r="173" spans="1:27" hidden="1" outlineLevel="1" x14ac:dyDescent="0.2">
      <c r="A173" s="8" t="s">
        <v>4</v>
      </c>
      <c r="B173" s="23">
        <f>SUMIFS('Registre de reserves'!$X$2:$X$1178,'Registre de reserves'!$T$2:$T$1178,"SI",'Registre de reserves'!$I$2:$I$1178,'2022'!$A173,'Registre de reserves'!$B$2:$B$1178,'2022'!B$2,Tabla1[ANY],'2022'!$Z$150)</f>
        <v>0</v>
      </c>
      <c r="C173" s="21">
        <f t="shared" si="179"/>
        <v>0</v>
      </c>
      <c r="D173" s="23">
        <f>SUMIFS('Registre de reserves'!$X$2:$X$1178,'Registre de reserves'!$T$2:$T$1178,"SI",'Registre de reserves'!$I$2:$I$1178,'2022'!$A173,'Registre de reserves'!$B$2:$B$1178,'2022'!D$2,Tabla1[ANY],'2022'!$Z$150)</f>
        <v>20</v>
      </c>
      <c r="E173" s="21">
        <f t="shared" si="179"/>
        <v>0.2857142857142857</v>
      </c>
      <c r="F173" s="23">
        <f>SUMIFS('Registre de reserves'!$X$2:$X$1178,'Registre de reserves'!$T$2:$T$1178,"SI",'Registre de reserves'!$I$2:$I$1178,'2022'!$A173,'Registre de reserves'!$B$2:$B$1178,'2022'!F$2,Tabla1[ANY],'2022'!$Z$150)</f>
        <v>0</v>
      </c>
      <c r="G173" s="21">
        <f t="shared" si="169"/>
        <v>0</v>
      </c>
      <c r="H173" s="23">
        <f>SUMIFS('Registre de reserves'!$X$2:$X$1178,'Registre de reserves'!$T$2:$T$1178,"SI",'Registre de reserves'!$I$2:$I$1178,'2022'!$A173,'Registre de reserves'!$B$2:$B$1178,'2022'!H$2,Tabla1[ANY],'2022'!$Z$150)</f>
        <v>0</v>
      </c>
      <c r="I173" s="21">
        <f t="shared" si="170"/>
        <v>0</v>
      </c>
      <c r="J173" s="23">
        <f>SUMIFS('Registre de reserves'!$X$2:$X$1178,'Registre de reserves'!$T$2:$T$1178,"SI",'Registre de reserves'!$I$2:$I$1178,'2022'!$A173,'Registre de reserves'!$B$2:$B$1178,'2022'!J$2,Tabla1[ANY],'2022'!$Z$150)</f>
        <v>0</v>
      </c>
      <c r="K173" s="21">
        <f t="shared" si="171"/>
        <v>0</v>
      </c>
      <c r="L173" s="23">
        <f>SUMIFS('Registre de reserves'!$X$2:$X$1178,'Registre de reserves'!$T$2:$T$1178,"SI",'Registre de reserves'!$I$2:$I$1178,'2022'!$A173,'Registre de reserves'!$B$2:$B$1178,'2022'!L$2,Tabla1[ANY],'2022'!$Z$150)</f>
        <v>60</v>
      </c>
      <c r="M173" s="21">
        <f t="shared" si="172"/>
        <v>0.41379310344827586</v>
      </c>
      <c r="N173" s="23">
        <f>SUMIFS('Registre de reserves'!$X$2:$X$1178,'Registre de reserves'!$T$2:$T$1178,"SI",'Registre de reserves'!$I$2:$I$1178,'2022'!$A173,'Registre de reserves'!$B$2:$B$1178,'2022'!N$2,Tabla1[ANY],'2022'!$Z$150)</f>
        <v>0</v>
      </c>
      <c r="O173" s="21">
        <f t="shared" si="173"/>
        <v>0</v>
      </c>
      <c r="P173" s="23">
        <f>SUMIFS('Registre de reserves'!$X$2:$X$1178,'Registre de reserves'!$T$2:$T$1178,"SI",'Registre de reserves'!$I$2:$I$1178,'2022'!$A173,'Registre de reserves'!$B$2:$B$1178,'2022'!P$2,Tabla1[ANY],'2022'!$Z$150)</f>
        <v>0</v>
      </c>
      <c r="Q173" s="21">
        <f t="shared" si="174"/>
        <v>0</v>
      </c>
      <c r="R173" s="23">
        <f>SUMIFS('Registre de reserves'!$X$2:$X$1178,'Registre de reserves'!$T$2:$T$1178,"SI",'Registre de reserves'!$I$2:$I$1178,'2022'!$A173,'Registre de reserves'!$B$2:$B$1178,'2022'!R$2,Tabla1[ANY],'2022'!$Z$150)</f>
        <v>0</v>
      </c>
      <c r="S173" s="21">
        <f t="shared" si="175"/>
        <v>0</v>
      </c>
      <c r="T173" s="23">
        <f>SUMIFS('Registre de reserves'!$X$2:$X$1178,'Registre de reserves'!$T$2:$T$1178,"SI",'Registre de reserves'!$I$2:$I$1178,'2022'!$A173,'Registre de reserves'!$B$2:$B$1178,'2022'!T$2,Tabla1[ANY],'2022'!$Z$150)</f>
        <v>0</v>
      </c>
      <c r="U173" s="21">
        <f t="shared" si="176"/>
        <v>0</v>
      </c>
      <c r="V173" s="23">
        <f>SUMIFS('Registre de reserves'!$X$2:$X$1178,'Registre de reserves'!$T$2:$T$1178,"SI",'Registre de reserves'!$I$2:$I$1178,'2022'!$A173,'Registre de reserves'!$B$2:$B$1178,'2022'!V$2,Tabla1[ANY],'2022'!$Z$150)</f>
        <v>0</v>
      </c>
      <c r="W173" s="21">
        <f t="shared" si="177"/>
        <v>0</v>
      </c>
      <c r="X173" s="23">
        <f>SUMIFS('Registre de reserves'!$X$2:$X$1178,'Registre de reserves'!$T$2:$T$1178,"SI",'Registre de reserves'!$I$2:$I$1178,'2022'!$A173,'Registre de reserves'!$B$2:$B$1178,'2022'!X$2,Tabla1[ANY],'2022'!$Z$150)</f>
        <v>0</v>
      </c>
      <c r="Y173" s="21">
        <f t="shared" si="178"/>
        <v>0</v>
      </c>
      <c r="Z173" s="20">
        <f t="shared" si="167"/>
        <v>80</v>
      </c>
      <c r="AA173" s="21">
        <f t="shared" si="180"/>
        <v>3.7383177570093455E-2</v>
      </c>
    </row>
    <row r="174" spans="1:27" hidden="1" outlineLevel="1" x14ac:dyDescent="0.2">
      <c r="A174" s="8" t="s">
        <v>71</v>
      </c>
      <c r="B174" s="23">
        <f>SUMIFS('Registre de reserves'!$X$2:$X$1178,'Registre de reserves'!$T$2:$T$1178,"SI",'Registre de reserves'!$I$2:$I$1178,'2022'!$A174,'Registre de reserves'!$B$2:$B$1178,'2022'!B$2,Tabla1[ANY],'2022'!$Z$150)</f>
        <v>0</v>
      </c>
      <c r="C174" s="21">
        <f t="shared" si="179"/>
        <v>0</v>
      </c>
      <c r="D174" s="23">
        <f>SUMIFS('Registre de reserves'!$X$2:$X$1178,'Registre de reserves'!$T$2:$T$1178,"SI",'Registre de reserves'!$I$2:$I$1178,'2022'!$A174,'Registre de reserves'!$B$2:$B$1178,'2022'!D$2,Tabla1[ANY],'2022'!$Z$150)</f>
        <v>0</v>
      </c>
      <c r="E174" s="21">
        <f t="shared" si="179"/>
        <v>0</v>
      </c>
      <c r="F174" s="23">
        <f>SUMIFS('Registre de reserves'!$X$2:$X$1178,'Registre de reserves'!$T$2:$T$1178,"SI",'Registre de reserves'!$I$2:$I$1178,'2022'!$A174,'Registre de reserves'!$B$2:$B$1178,'2022'!F$2,Tabla1[ANY],'2022'!$Z$150)</f>
        <v>0</v>
      </c>
      <c r="G174" s="21">
        <f t="shared" si="169"/>
        <v>0</v>
      </c>
      <c r="H174" s="23">
        <f>SUMIFS('Registre de reserves'!$X$2:$X$1178,'Registre de reserves'!$T$2:$T$1178,"SI",'Registre de reserves'!$I$2:$I$1178,'2022'!$A174,'Registre de reserves'!$B$2:$B$1178,'2022'!H$2,Tabla1[ANY],'2022'!$Z$150)</f>
        <v>0</v>
      </c>
      <c r="I174" s="21">
        <f t="shared" si="170"/>
        <v>0</v>
      </c>
      <c r="J174" s="23">
        <f>SUMIFS('Registre de reserves'!$X$2:$X$1178,'Registre de reserves'!$T$2:$T$1178,"SI",'Registre de reserves'!$I$2:$I$1178,'2022'!$A174,'Registre de reserves'!$B$2:$B$1178,'2022'!J$2,Tabla1[ANY],'2022'!$Z$150)</f>
        <v>0</v>
      </c>
      <c r="K174" s="21">
        <f t="shared" si="171"/>
        <v>0</v>
      </c>
      <c r="L174" s="23">
        <f>SUMIFS('Registre de reserves'!$X$2:$X$1178,'Registre de reserves'!$T$2:$T$1178,"SI",'Registre de reserves'!$I$2:$I$1178,'2022'!$A174,'Registre de reserves'!$B$2:$B$1178,'2022'!L$2,Tabla1[ANY],'2022'!$Z$150)</f>
        <v>0</v>
      </c>
      <c r="M174" s="21">
        <f t="shared" si="172"/>
        <v>0</v>
      </c>
      <c r="N174" s="23">
        <f>SUMIFS('Registre de reserves'!$X$2:$X$1178,'Registre de reserves'!$T$2:$T$1178,"SI",'Registre de reserves'!$I$2:$I$1178,'2022'!$A174,'Registre de reserves'!$B$2:$B$1178,'2022'!N$2,Tabla1[ANY],'2022'!$Z$150)</f>
        <v>0</v>
      </c>
      <c r="O174" s="21">
        <f t="shared" si="173"/>
        <v>0</v>
      </c>
      <c r="P174" s="23">
        <f>SUMIFS('Registre de reserves'!$X$2:$X$1178,'Registre de reserves'!$T$2:$T$1178,"SI",'Registre de reserves'!$I$2:$I$1178,'2022'!$A174,'Registre de reserves'!$B$2:$B$1178,'2022'!P$2,Tabla1[ANY],'2022'!$Z$150)</f>
        <v>0</v>
      </c>
      <c r="Q174" s="21">
        <f t="shared" si="174"/>
        <v>0</v>
      </c>
      <c r="R174" s="23">
        <f>SUMIFS('Registre de reserves'!$X$2:$X$1178,'Registre de reserves'!$T$2:$T$1178,"SI",'Registre de reserves'!$I$2:$I$1178,'2022'!$A174,'Registre de reserves'!$B$2:$B$1178,'2022'!R$2,Tabla1[ANY],'2022'!$Z$150)</f>
        <v>0</v>
      </c>
      <c r="S174" s="21">
        <f t="shared" si="175"/>
        <v>0</v>
      </c>
      <c r="T174" s="23">
        <f>SUMIFS('Registre de reserves'!$X$2:$X$1178,'Registre de reserves'!$T$2:$T$1178,"SI",'Registre de reserves'!$I$2:$I$1178,'2022'!$A174,'Registre de reserves'!$B$2:$B$1178,'2022'!T$2,Tabla1[ANY],'2022'!$Z$150)</f>
        <v>0</v>
      </c>
      <c r="U174" s="21">
        <f t="shared" si="176"/>
        <v>0</v>
      </c>
      <c r="V174" s="23">
        <f>SUMIFS('Registre de reserves'!$X$2:$X$1178,'Registre de reserves'!$T$2:$T$1178,"SI",'Registre de reserves'!$I$2:$I$1178,'2022'!$A174,'Registre de reserves'!$B$2:$B$1178,'2022'!V$2,Tabla1[ANY],'2022'!$Z$150)</f>
        <v>0</v>
      </c>
      <c r="W174" s="21">
        <f t="shared" si="177"/>
        <v>0</v>
      </c>
      <c r="X174" s="23">
        <f>SUMIFS('Registre de reserves'!$X$2:$X$1178,'Registre de reserves'!$T$2:$T$1178,"SI",'Registre de reserves'!$I$2:$I$1178,'2022'!$A174,'Registre de reserves'!$B$2:$B$1178,'2022'!X$2,Tabla1[ANY],'2022'!$Z$150)</f>
        <v>0</v>
      </c>
      <c r="Y174" s="21">
        <f t="shared" si="178"/>
        <v>0</v>
      </c>
      <c r="Z174" s="20">
        <f t="shared" si="167"/>
        <v>0</v>
      </c>
      <c r="AA174" s="21">
        <f t="shared" si="180"/>
        <v>0</v>
      </c>
    </row>
    <row r="175" spans="1:27" hidden="1" outlineLevel="1" x14ac:dyDescent="0.2">
      <c r="A175" s="8" t="s">
        <v>72</v>
      </c>
      <c r="B175" s="23">
        <f>SUMIFS('Registre de reserves'!$X$2:$X$1178,'Registre de reserves'!$T$2:$T$1178,"SI",'Registre de reserves'!$I$2:$I$1178,'2022'!$A175,'Registre de reserves'!$B$2:$B$1178,'2022'!B$2,Tabla1[ANY],'2022'!$Z$150)</f>
        <v>0</v>
      </c>
      <c r="C175" s="21">
        <f t="shared" si="179"/>
        <v>0</v>
      </c>
      <c r="D175" s="23">
        <f>SUMIFS('Registre de reserves'!$X$2:$X$1178,'Registre de reserves'!$T$2:$T$1178,"SI",'Registre de reserves'!$I$2:$I$1178,'2022'!$A175,'Registre de reserves'!$B$2:$B$1178,'2022'!D$2,Tabla1[ANY],'2022'!$Z$150)</f>
        <v>0</v>
      </c>
      <c r="E175" s="21">
        <f t="shared" si="179"/>
        <v>0</v>
      </c>
      <c r="F175" s="23">
        <f>SUMIFS('Registre de reserves'!$X$2:$X$1178,'Registre de reserves'!$T$2:$T$1178,"SI",'Registre de reserves'!$I$2:$I$1178,'2022'!$A175,'Registre de reserves'!$B$2:$B$1178,'2022'!F$2,Tabla1[ANY],'2022'!$Z$150)</f>
        <v>0</v>
      </c>
      <c r="G175" s="21">
        <f t="shared" si="169"/>
        <v>0</v>
      </c>
      <c r="H175" s="23">
        <f>SUMIFS('Registre de reserves'!$X$2:$X$1178,'Registre de reserves'!$T$2:$T$1178,"SI",'Registre de reserves'!$I$2:$I$1178,'2022'!$A175,'Registre de reserves'!$B$2:$B$1178,'2022'!H$2,Tabla1[ANY],'2022'!$Z$150)</f>
        <v>0</v>
      </c>
      <c r="I175" s="21">
        <f t="shared" si="170"/>
        <v>0</v>
      </c>
      <c r="J175" s="23">
        <f>SUMIFS('Registre de reserves'!$X$2:$X$1178,'Registre de reserves'!$T$2:$T$1178,"SI",'Registre de reserves'!$I$2:$I$1178,'2022'!$A175,'Registre de reserves'!$B$2:$B$1178,'2022'!J$2,Tabla1[ANY],'2022'!$Z$150)</f>
        <v>0</v>
      </c>
      <c r="K175" s="21">
        <f t="shared" si="171"/>
        <v>0</v>
      </c>
      <c r="L175" s="23">
        <f>SUMIFS('Registre de reserves'!$X$2:$X$1178,'Registre de reserves'!$T$2:$T$1178,"SI",'Registre de reserves'!$I$2:$I$1178,'2022'!$A175,'Registre de reserves'!$B$2:$B$1178,'2022'!L$2,Tabla1[ANY],'2022'!$Z$150)</f>
        <v>0</v>
      </c>
      <c r="M175" s="21">
        <f t="shared" si="172"/>
        <v>0</v>
      </c>
      <c r="N175" s="23">
        <f>SUMIFS('Registre de reserves'!$X$2:$X$1178,'Registre de reserves'!$T$2:$T$1178,"SI",'Registre de reserves'!$I$2:$I$1178,'2022'!$A175,'Registre de reserves'!$B$2:$B$1178,'2022'!N$2,Tabla1[ANY],'2022'!$Z$150)</f>
        <v>0</v>
      </c>
      <c r="O175" s="21">
        <f t="shared" si="173"/>
        <v>0</v>
      </c>
      <c r="P175" s="23">
        <f>SUMIFS('Registre de reserves'!$X$2:$X$1178,'Registre de reserves'!$T$2:$T$1178,"SI",'Registre de reserves'!$I$2:$I$1178,'2022'!$A175,'Registre de reserves'!$B$2:$B$1178,'2022'!P$2,Tabla1[ANY],'2022'!$Z$150)</f>
        <v>0</v>
      </c>
      <c r="Q175" s="21">
        <f t="shared" si="174"/>
        <v>0</v>
      </c>
      <c r="R175" s="23">
        <f>SUMIFS('Registre de reserves'!$X$2:$X$1178,'Registre de reserves'!$T$2:$T$1178,"SI",'Registre de reserves'!$I$2:$I$1178,'2022'!$A175,'Registre de reserves'!$B$2:$B$1178,'2022'!R$2,Tabla1[ANY],'2022'!$Z$150)</f>
        <v>0</v>
      </c>
      <c r="S175" s="21">
        <f t="shared" si="175"/>
        <v>0</v>
      </c>
      <c r="T175" s="23">
        <f>SUMIFS('Registre de reserves'!$X$2:$X$1178,'Registre de reserves'!$T$2:$T$1178,"SI",'Registre de reserves'!$I$2:$I$1178,'2022'!$A175,'Registre de reserves'!$B$2:$B$1178,'2022'!T$2,Tabla1[ANY],'2022'!$Z$150)</f>
        <v>0</v>
      </c>
      <c r="U175" s="21">
        <f t="shared" si="176"/>
        <v>0</v>
      </c>
      <c r="V175" s="23">
        <f>SUMIFS('Registre de reserves'!$X$2:$X$1178,'Registre de reserves'!$T$2:$T$1178,"SI",'Registre de reserves'!$I$2:$I$1178,'2022'!$A175,'Registre de reserves'!$B$2:$B$1178,'2022'!V$2,Tabla1[ANY],'2022'!$Z$150)</f>
        <v>0</v>
      </c>
      <c r="W175" s="21">
        <f t="shared" si="177"/>
        <v>0</v>
      </c>
      <c r="X175" s="23">
        <f>SUMIFS('Registre de reserves'!$X$2:$X$1178,'Registre de reserves'!$T$2:$T$1178,"SI",'Registre de reserves'!$I$2:$I$1178,'2022'!$A175,'Registre de reserves'!$B$2:$B$1178,'2022'!X$2,Tabla1[ANY],'2022'!$Z$150)</f>
        <v>0</v>
      </c>
      <c r="Y175" s="21">
        <f t="shared" si="178"/>
        <v>0</v>
      </c>
      <c r="Z175" s="20">
        <f t="shared" si="167"/>
        <v>0</v>
      </c>
      <c r="AA175" s="21">
        <f t="shared" si="180"/>
        <v>0</v>
      </c>
    </row>
    <row r="176" spans="1:27" hidden="1" outlineLevel="1" x14ac:dyDescent="0.2">
      <c r="A176" s="8" t="s">
        <v>69</v>
      </c>
      <c r="B176" s="23">
        <f>SUMIFS('Registre de reserves'!$X$2:$X$1178,'Registre de reserves'!$T$2:$T$1178,"SI",'Registre de reserves'!$I$2:$I$1178,'2022'!$A176,'Registre de reserves'!$B$2:$B$1178,'2022'!B$2,Tabla1[ANY],'2022'!$Z$150)</f>
        <v>0</v>
      </c>
      <c r="C176" s="21">
        <f t="shared" si="179"/>
        <v>0</v>
      </c>
      <c r="D176" s="23">
        <f>SUMIFS('Registre de reserves'!$X$2:$X$1178,'Registre de reserves'!$T$2:$T$1178,"SI",'Registre de reserves'!$I$2:$I$1178,'2022'!$A176,'Registre de reserves'!$B$2:$B$1178,'2022'!D$2,Tabla1[ANY],'2022'!$Z$150)</f>
        <v>50</v>
      </c>
      <c r="E176" s="21">
        <f t="shared" si="179"/>
        <v>0.7142857142857143</v>
      </c>
      <c r="F176" s="23">
        <f>SUMIFS('Registre de reserves'!$X$2:$X$1178,'Registre de reserves'!$T$2:$T$1178,"SI",'Registre de reserves'!$I$2:$I$1178,'2022'!$A176,'Registre de reserves'!$B$2:$B$1178,'2022'!F$2,Tabla1[ANY],'2022'!$Z$150)</f>
        <v>100</v>
      </c>
      <c r="G176" s="21">
        <f t="shared" si="169"/>
        <v>0.95238095238095233</v>
      </c>
      <c r="H176" s="23">
        <f>SUMIFS('Registre de reserves'!$X$2:$X$1178,'Registre de reserves'!$T$2:$T$1178,"SI",'Registre de reserves'!$I$2:$I$1178,'2022'!$A176,'Registre de reserves'!$B$2:$B$1178,'2022'!H$2,Tabla1[ANY],'2022'!$Z$150)</f>
        <v>165</v>
      </c>
      <c r="I176" s="21">
        <f t="shared" si="170"/>
        <v>0.94285714285714284</v>
      </c>
      <c r="J176" s="23">
        <f>SUMIFS('Registre de reserves'!$X$2:$X$1178,'Registre de reserves'!$T$2:$T$1178,"SI",'Registre de reserves'!$I$2:$I$1178,'2022'!$A176,'Registre de reserves'!$B$2:$B$1178,'2022'!J$2,Tabla1[ANY],'2022'!$Z$150)</f>
        <v>50</v>
      </c>
      <c r="K176" s="21">
        <f t="shared" si="171"/>
        <v>0.5</v>
      </c>
      <c r="L176" s="23">
        <f>SUMIFS('Registre de reserves'!$X$2:$X$1178,'Registre de reserves'!$T$2:$T$1178,"SI",'Registre de reserves'!$I$2:$I$1178,'2022'!$A176,'Registre de reserves'!$B$2:$B$1178,'2022'!L$2,Tabla1[ANY],'2022'!$Z$150)</f>
        <v>60</v>
      </c>
      <c r="M176" s="21">
        <f t="shared" si="172"/>
        <v>0.41379310344827586</v>
      </c>
      <c r="N176" s="23">
        <f>SUMIFS('Registre de reserves'!$X$2:$X$1178,'Registre de reserves'!$T$2:$T$1178,"SI",'Registre de reserves'!$I$2:$I$1178,'2022'!$A176,'Registre de reserves'!$B$2:$B$1178,'2022'!N$2,Tabla1[ANY],'2022'!$Z$150)</f>
        <v>120</v>
      </c>
      <c r="O176" s="21">
        <f t="shared" si="173"/>
        <v>0.92307692307692313</v>
      </c>
      <c r="P176" s="23">
        <f>SUMIFS('Registre de reserves'!$X$2:$X$1178,'Registre de reserves'!$T$2:$T$1178,"SI",'Registre de reserves'!$I$2:$I$1178,'2022'!$A176,'Registre de reserves'!$B$2:$B$1178,'2022'!P$2,Tabla1[ANY],'2022'!$Z$150)</f>
        <v>60</v>
      </c>
      <c r="Q176" s="21">
        <f t="shared" si="174"/>
        <v>1</v>
      </c>
      <c r="R176" s="23">
        <f>SUMIFS('Registre de reserves'!$X$2:$X$1178,'Registre de reserves'!$T$2:$T$1178,"SI",'Registre de reserves'!$I$2:$I$1178,'2022'!$A176,'Registre de reserves'!$B$2:$B$1178,'2022'!R$2,Tabla1[ANY],'2022'!$Z$150)</f>
        <v>60</v>
      </c>
      <c r="S176" s="21">
        <f t="shared" si="175"/>
        <v>0.25</v>
      </c>
      <c r="T176" s="23">
        <f>SUMIFS('Registre de reserves'!$X$2:$X$1178,'Registre de reserves'!$T$2:$T$1178,"SI",'Registre de reserves'!$I$2:$I$1178,'2022'!$A176,'Registre de reserves'!$B$2:$B$1178,'2022'!T$2,Tabla1[ANY],'2022'!$Z$150)</f>
        <v>260</v>
      </c>
      <c r="U176" s="21">
        <f t="shared" si="176"/>
        <v>1</v>
      </c>
      <c r="V176" s="23">
        <f>SUMIFS('Registre de reserves'!$X$2:$X$1178,'Registre de reserves'!$T$2:$T$1178,"SI",'Registre de reserves'!$I$2:$I$1178,'2022'!$A176,'Registre de reserves'!$B$2:$B$1178,'2022'!V$2,Tabla1[ANY],'2022'!$Z$150)</f>
        <v>120</v>
      </c>
      <c r="W176" s="21">
        <f t="shared" si="177"/>
        <v>1</v>
      </c>
      <c r="X176" s="23">
        <f>SUMIFS('Registre de reserves'!$X$2:$X$1178,'Registre de reserves'!$T$2:$T$1178,"SI",'Registre de reserves'!$I$2:$I$1178,'2022'!$A176,'Registre de reserves'!$B$2:$B$1178,'2022'!X$2,Tabla1[ANY],'2022'!$Z$150)</f>
        <v>120</v>
      </c>
      <c r="Y176" s="21">
        <f t="shared" si="178"/>
        <v>0.8571428571428571</v>
      </c>
      <c r="Z176" s="20">
        <f t="shared" si="167"/>
        <v>1165</v>
      </c>
      <c r="AA176" s="21">
        <f t="shared" si="180"/>
        <v>0.54439252336448596</v>
      </c>
    </row>
    <row r="177" spans="1:27" hidden="1" outlineLevel="1" x14ac:dyDescent="0.2">
      <c r="A177" s="8" t="s">
        <v>70</v>
      </c>
      <c r="B177" s="23">
        <f>SUMIFS('Registre de reserves'!$X$2:$X$1178,'Registre de reserves'!$T$2:$T$1178,"SI",'Registre de reserves'!$I$2:$I$1178,'2022'!$A177,'Registre de reserves'!$B$2:$B$1178,'2022'!B$2,Tabla1[ANY],'2022'!$Z$150)</f>
        <v>0</v>
      </c>
      <c r="C177" s="21">
        <f t="shared" si="179"/>
        <v>0</v>
      </c>
      <c r="D177" s="23">
        <f>SUMIFS('Registre de reserves'!$X$2:$X$1178,'Registre de reserves'!$T$2:$T$1178,"SI",'Registre de reserves'!$I$2:$I$1178,'2022'!$A177,'Registre de reserves'!$B$2:$B$1178,'2022'!D$2,Tabla1[ANY],'2022'!$Z$150)</f>
        <v>0</v>
      </c>
      <c r="E177" s="21">
        <f t="shared" si="179"/>
        <v>0</v>
      </c>
      <c r="F177" s="23">
        <f>SUMIFS('Registre de reserves'!$X$2:$X$1178,'Registre de reserves'!$T$2:$T$1178,"SI",'Registre de reserves'!$I$2:$I$1178,'2022'!$A177,'Registre de reserves'!$B$2:$B$1178,'2022'!F$2,Tabla1[ANY],'2022'!$Z$150)</f>
        <v>0</v>
      </c>
      <c r="G177" s="21">
        <f t="shared" si="169"/>
        <v>0</v>
      </c>
      <c r="H177" s="23">
        <f>SUMIFS('Registre de reserves'!$X$2:$X$1178,'Registre de reserves'!$T$2:$T$1178,"SI",'Registre de reserves'!$I$2:$I$1178,'2022'!$A177,'Registre de reserves'!$B$2:$B$1178,'2022'!H$2,Tabla1[ANY],'2022'!$Z$150)</f>
        <v>0</v>
      </c>
      <c r="I177" s="21">
        <f t="shared" si="170"/>
        <v>0</v>
      </c>
      <c r="J177" s="23">
        <f>SUMIFS('Registre de reserves'!$X$2:$X$1178,'Registre de reserves'!$T$2:$T$1178,"SI",'Registre de reserves'!$I$2:$I$1178,'2022'!$A177,'Registre de reserves'!$B$2:$B$1178,'2022'!J$2,Tabla1[ANY],'2022'!$Z$150)</f>
        <v>50</v>
      </c>
      <c r="K177" s="21">
        <f t="shared" si="171"/>
        <v>0.5</v>
      </c>
      <c r="L177" s="23">
        <f>SUMIFS('Registre de reserves'!$X$2:$X$1178,'Registre de reserves'!$T$2:$T$1178,"SI",'Registre de reserves'!$I$2:$I$1178,'2022'!$A177,'Registre de reserves'!$B$2:$B$1178,'2022'!L$2,Tabla1[ANY],'2022'!$Z$150)</f>
        <v>0</v>
      </c>
      <c r="M177" s="21">
        <f t="shared" si="172"/>
        <v>0</v>
      </c>
      <c r="N177" s="23">
        <f>SUMIFS('Registre de reserves'!$X$2:$X$1178,'Registre de reserves'!$T$2:$T$1178,"SI",'Registre de reserves'!$I$2:$I$1178,'2022'!$A177,'Registre de reserves'!$B$2:$B$1178,'2022'!N$2,Tabla1[ANY],'2022'!$Z$150)</f>
        <v>0</v>
      </c>
      <c r="O177" s="21">
        <f t="shared" si="173"/>
        <v>0</v>
      </c>
      <c r="P177" s="23">
        <f>SUMIFS('Registre de reserves'!$X$2:$X$1178,'Registre de reserves'!$T$2:$T$1178,"SI",'Registre de reserves'!$I$2:$I$1178,'2022'!$A177,'Registre de reserves'!$B$2:$B$1178,'2022'!P$2,Tabla1[ANY],'2022'!$Z$150)</f>
        <v>0</v>
      </c>
      <c r="Q177" s="21">
        <f t="shared" si="174"/>
        <v>0</v>
      </c>
      <c r="R177" s="23">
        <f>SUMIFS('Registre de reserves'!$X$2:$X$1178,'Registre de reserves'!$T$2:$T$1178,"SI",'Registre de reserves'!$I$2:$I$1178,'2022'!$A177,'Registre de reserves'!$B$2:$B$1178,'2022'!R$2,Tabla1[ANY],'2022'!$Z$150)</f>
        <v>150</v>
      </c>
      <c r="S177" s="21">
        <f t="shared" si="175"/>
        <v>0.625</v>
      </c>
      <c r="T177" s="23">
        <f>SUMIFS('Registre de reserves'!$X$2:$X$1178,'Registre de reserves'!$T$2:$T$1178,"SI",'Registre de reserves'!$I$2:$I$1178,'2022'!$A177,'Registre de reserves'!$B$2:$B$1178,'2022'!T$2,Tabla1[ANY],'2022'!$Z$150)</f>
        <v>0</v>
      </c>
      <c r="U177" s="21">
        <f t="shared" si="176"/>
        <v>0</v>
      </c>
      <c r="V177" s="23">
        <f>SUMIFS('Registre de reserves'!$X$2:$X$1178,'Registre de reserves'!$T$2:$T$1178,"SI",'Registre de reserves'!$I$2:$I$1178,'2022'!$A177,'Registre de reserves'!$B$2:$B$1178,'2022'!V$2,Tabla1[ANY],'2022'!$Z$150)</f>
        <v>0</v>
      </c>
      <c r="W177" s="21">
        <f t="shared" si="177"/>
        <v>0</v>
      </c>
      <c r="X177" s="23">
        <f>SUMIFS('Registre de reserves'!$X$2:$X$1178,'Registre de reserves'!$T$2:$T$1178,"SI",'Registre de reserves'!$I$2:$I$1178,'2022'!$A177,'Registre de reserves'!$B$2:$B$1178,'2022'!X$2,Tabla1[ANY],'2022'!$Z$150)</f>
        <v>0</v>
      </c>
      <c r="Y177" s="21">
        <f t="shared" si="178"/>
        <v>0</v>
      </c>
      <c r="Z177" s="20">
        <f t="shared" si="167"/>
        <v>200</v>
      </c>
      <c r="AA177" s="21">
        <f t="shared" si="180"/>
        <v>9.3457943925233641E-2</v>
      </c>
    </row>
    <row r="178" spans="1:27" hidden="1" outlineLevel="1" x14ac:dyDescent="0.2">
      <c r="A178" s="8" t="s">
        <v>73</v>
      </c>
      <c r="B178" s="23">
        <f>SUMIFS('Registre de reserves'!$X$2:$X$1178,'Registre de reserves'!$T$2:$T$1178,"SI",'Registre de reserves'!$I$2:$I$1178,'2022'!$A178,'Registre de reserves'!$B$2:$B$1178,'2022'!B$2,Tabla1[ANY],'2022'!$Z$150)</f>
        <v>0</v>
      </c>
      <c r="C178" s="21">
        <f t="shared" si="179"/>
        <v>0</v>
      </c>
      <c r="D178" s="23">
        <f>SUMIFS('Registre de reserves'!$X$2:$X$1178,'Registre de reserves'!$T$2:$T$1178,"SI",'Registre de reserves'!$I$2:$I$1178,'2022'!$A178,'Registre de reserves'!$B$2:$B$1178,'2022'!D$2,Tabla1[ANY],'2022'!$Z$150)</f>
        <v>0</v>
      </c>
      <c r="E178" s="21">
        <f t="shared" si="179"/>
        <v>0</v>
      </c>
      <c r="F178" s="23">
        <f>SUMIFS('Registre de reserves'!$X$2:$X$1178,'Registre de reserves'!$T$2:$T$1178,"SI",'Registre de reserves'!$I$2:$I$1178,'2022'!$A178,'Registre de reserves'!$B$2:$B$1178,'2022'!F$2,Tabla1[ANY],'2022'!$Z$150)</f>
        <v>0</v>
      </c>
      <c r="G178" s="21">
        <f t="shared" si="169"/>
        <v>0</v>
      </c>
      <c r="H178" s="23">
        <f>SUMIFS('Registre de reserves'!$X$2:$X$1178,'Registre de reserves'!$T$2:$T$1178,"SI",'Registre de reserves'!$I$2:$I$1178,'2022'!$A178,'Registre de reserves'!$B$2:$B$1178,'2022'!H$2,Tabla1[ANY],'2022'!$Z$150)</f>
        <v>0</v>
      </c>
      <c r="I178" s="21">
        <f t="shared" si="170"/>
        <v>0</v>
      </c>
      <c r="J178" s="23">
        <f>SUMIFS('Registre de reserves'!$X$2:$X$1178,'Registre de reserves'!$T$2:$T$1178,"SI",'Registre de reserves'!$I$2:$I$1178,'2022'!$A178,'Registre de reserves'!$B$2:$B$1178,'2022'!J$2,Tabla1[ANY],'2022'!$Z$150)</f>
        <v>0</v>
      </c>
      <c r="K178" s="21">
        <f t="shared" si="171"/>
        <v>0</v>
      </c>
      <c r="L178" s="23">
        <f>SUMIFS('Registre de reserves'!$X$2:$X$1178,'Registre de reserves'!$T$2:$T$1178,"SI",'Registre de reserves'!$I$2:$I$1178,'2022'!$A178,'Registre de reserves'!$B$2:$B$1178,'2022'!L$2,Tabla1[ANY],'2022'!$Z$150)</f>
        <v>0</v>
      </c>
      <c r="M178" s="21">
        <f t="shared" si="172"/>
        <v>0</v>
      </c>
      <c r="N178" s="23">
        <f>SUMIFS('Registre de reserves'!$X$2:$X$1178,'Registre de reserves'!$T$2:$T$1178,"SI",'Registre de reserves'!$I$2:$I$1178,'2022'!$A178,'Registre de reserves'!$B$2:$B$1178,'2022'!N$2,Tabla1[ANY],'2022'!$Z$150)</f>
        <v>0</v>
      </c>
      <c r="O178" s="21">
        <f t="shared" si="173"/>
        <v>0</v>
      </c>
      <c r="P178" s="23">
        <f>SUMIFS('Registre de reserves'!$X$2:$X$1178,'Registre de reserves'!$T$2:$T$1178,"SI",'Registre de reserves'!$I$2:$I$1178,'2022'!$A178,'Registre de reserves'!$B$2:$B$1178,'2022'!P$2,Tabla1[ANY],'2022'!$Z$150)</f>
        <v>0</v>
      </c>
      <c r="Q178" s="21">
        <f t="shared" si="174"/>
        <v>0</v>
      </c>
      <c r="R178" s="23">
        <f>SUMIFS('Registre de reserves'!$X$2:$X$1178,'Registre de reserves'!$T$2:$T$1178,"SI",'Registre de reserves'!$I$2:$I$1178,'2022'!$A178,'Registre de reserves'!$B$2:$B$1178,'2022'!R$2,Tabla1[ANY],'2022'!$Z$150)</f>
        <v>0</v>
      </c>
      <c r="S178" s="21">
        <f t="shared" si="175"/>
        <v>0</v>
      </c>
      <c r="T178" s="23">
        <f>SUMIFS('Registre de reserves'!$X$2:$X$1178,'Registre de reserves'!$T$2:$T$1178,"SI",'Registre de reserves'!$I$2:$I$1178,'2022'!$A178,'Registre de reserves'!$B$2:$B$1178,'2022'!T$2,Tabla1[ANY],'2022'!$Z$150)</f>
        <v>0</v>
      </c>
      <c r="U178" s="21">
        <f t="shared" si="176"/>
        <v>0</v>
      </c>
      <c r="V178" s="23">
        <f>SUMIFS('Registre de reserves'!$X$2:$X$1178,'Registre de reserves'!$T$2:$T$1178,"SI",'Registre de reserves'!$I$2:$I$1178,'2022'!$A178,'Registre de reserves'!$B$2:$B$1178,'2022'!V$2,Tabla1[ANY],'2022'!$Z$150)</f>
        <v>0</v>
      </c>
      <c r="W178" s="21">
        <f t="shared" si="177"/>
        <v>0</v>
      </c>
      <c r="X178" s="23">
        <f>SUMIFS('Registre de reserves'!$X$2:$X$1178,'Registre de reserves'!$T$2:$T$1178,"SI",'Registre de reserves'!$I$2:$I$1178,'2022'!$A178,'Registre de reserves'!$B$2:$B$1178,'2022'!X$2,Tabla1[ANY],'2022'!$Z$150)</f>
        <v>0</v>
      </c>
      <c r="Y178" s="21">
        <f t="shared" si="178"/>
        <v>0</v>
      </c>
      <c r="Z178" s="20">
        <f t="shared" si="167"/>
        <v>0</v>
      </c>
      <c r="AA178" s="21">
        <f t="shared" si="180"/>
        <v>0</v>
      </c>
    </row>
    <row r="179" spans="1:27" collapsed="1" x14ac:dyDescent="0.2">
      <c r="A179" s="33" t="s">
        <v>77</v>
      </c>
      <c r="B179" s="22">
        <f>SUM(B180:B187)</f>
        <v>0</v>
      </c>
      <c r="C179" s="19">
        <f>IF((B$161+B$179)=0,0,B179/(B$161+B$179))</f>
        <v>0</v>
      </c>
      <c r="D179" s="22">
        <f>SUM(D180:D187)</f>
        <v>0</v>
      </c>
      <c r="E179" s="19">
        <f>IF((D$161+D$179)=0,0,D179/(D$161+D$179))</f>
        <v>0</v>
      </c>
      <c r="F179" s="22">
        <f>SUM(F180:F187)</f>
        <v>0</v>
      </c>
      <c r="G179" s="19">
        <f>IF((F$161+F$179)=0,0,F179/(F$161+F$179))</f>
        <v>0</v>
      </c>
      <c r="H179" s="22">
        <f>SUM(H180:H187)</f>
        <v>0</v>
      </c>
      <c r="I179" s="19">
        <f>IF((H$161+H$179)=0,0,H179/(H$161+H$179))</f>
        <v>0</v>
      </c>
      <c r="J179" s="22">
        <f>SUM(J180:J187)</f>
        <v>0</v>
      </c>
      <c r="K179" s="19">
        <f>IF((J$161+J$179)=0,0,J179/(J$161+J$179))</f>
        <v>0</v>
      </c>
      <c r="L179" s="22">
        <f>SUM(L180:L187)</f>
        <v>0</v>
      </c>
      <c r="M179" s="19">
        <f>IF((L$161+L$179)=0,0,L179/(L$161+L$179))</f>
        <v>0</v>
      </c>
      <c r="N179" s="22">
        <f>SUM(N180:N187)</f>
        <v>0</v>
      </c>
      <c r="O179" s="19">
        <f>IF((N$161+N$179)=0,0,N179/(N$161+N$179))</f>
        <v>0</v>
      </c>
      <c r="P179" s="22">
        <f>SUM(P180:P187)</f>
        <v>0</v>
      </c>
      <c r="Q179" s="19">
        <f>IF((P$161+P$179)=0,0,P179/(P$161+P$179))</f>
        <v>0</v>
      </c>
      <c r="R179" s="22">
        <f>SUM(R180:R187)</f>
        <v>0</v>
      </c>
      <c r="S179" s="19">
        <f>IF((R$161+R$179)=0,0,R179/(R$161+R$179))</f>
        <v>0</v>
      </c>
      <c r="T179" s="22">
        <f>SUM(T180:T187)</f>
        <v>0</v>
      </c>
      <c r="U179" s="19">
        <f>IF((T$161+T$179)=0,0,T179/(T$161+T$179))</f>
        <v>0</v>
      </c>
      <c r="V179" s="22">
        <f>SUM(V180:V187)</f>
        <v>0</v>
      </c>
      <c r="W179" s="19">
        <f>IF((V$161+V$179)=0,0,V179/(V$161+V$179))</f>
        <v>0</v>
      </c>
      <c r="X179" s="22">
        <f>SUM(X180:X187)</f>
        <v>0</v>
      </c>
      <c r="Y179" s="19">
        <f>IF((X$161+X$179)=0,0,X179/(X$161+X$179))</f>
        <v>0</v>
      </c>
      <c r="Z179" s="22">
        <f>SUM(Z180:Z187)</f>
        <v>0</v>
      </c>
      <c r="AA179" s="19">
        <f>IF((Z$31+Z$13)=0,0,Z179/(Z$31+Z$13))</f>
        <v>0</v>
      </c>
    </row>
    <row r="180" spans="1:27" hidden="1" outlineLevel="1" x14ac:dyDescent="0.2">
      <c r="A180" s="8" t="s">
        <v>67</v>
      </c>
      <c r="B180" s="23">
        <f>SUMIFS('Registre de reserves'!$X$2:$X$1178,'Registre de reserves'!$T$2:$T$1178,"NO",'Registre de reserves'!$I$2:$I$1178,'2022'!$A180,'Registre de reserves'!$B$2:$B$1178,'2022'!B$2,Tabla1[ANY],'2022'!$Z$150)</f>
        <v>0</v>
      </c>
      <c r="C180" s="21">
        <f>IF(B$179=0,0,B180/B$179)</f>
        <v>0</v>
      </c>
      <c r="D180" s="23">
        <f>SUMIFS('Registre de reserves'!$X$2:$X$1178,'Registre de reserves'!$T$2:$T$1178,"NO",'Registre de reserves'!$I$2:$I$1178,'2022'!$A180,'Registre de reserves'!$B$2:$B$1178,'2022'!D$2,Tabla1[ANY],'2022'!$Z$150)</f>
        <v>0</v>
      </c>
      <c r="E180" s="21">
        <f>IF(D$179=0,0,D180/D$179)</f>
        <v>0</v>
      </c>
      <c r="F180" s="23">
        <f>SUMIFS('Registre de reserves'!$X$2:$X$1178,'Registre de reserves'!$T$2:$T$1178,"NO",'Registre de reserves'!$I$2:$I$1178,'2022'!$A180,'Registre de reserves'!$B$2:$B$1178,'2022'!F$2,Tabla1[ANY],'2022'!$Z$150)</f>
        <v>0</v>
      </c>
      <c r="G180" s="21">
        <f t="shared" ref="G180:G187" si="181">IF(F$179=0,0,F180/F$179)</f>
        <v>0</v>
      </c>
      <c r="H180" s="23">
        <f>SUMIFS('Registre de reserves'!$X$2:$X$1178,'Registre de reserves'!$T$2:$T$1178,"NO",'Registre de reserves'!$I$2:$I$1178,'2022'!$A180,'Registre de reserves'!$B$2:$B$1178,'2022'!H$2,Tabla1[ANY],'2022'!$Z$150)</f>
        <v>0</v>
      </c>
      <c r="I180" s="21">
        <f t="shared" ref="I180:I187" si="182">IF(H$179=0,0,H180/H$179)</f>
        <v>0</v>
      </c>
      <c r="J180" s="23">
        <f>SUMIFS('Registre de reserves'!$X$2:$X$1178,'Registre de reserves'!$T$2:$T$1178,"NO",'Registre de reserves'!$I$2:$I$1178,'2022'!$A180,'Registre de reserves'!$B$2:$B$1178,'2022'!J$2,Tabla1[ANY],'2022'!$Z$150)</f>
        <v>0</v>
      </c>
      <c r="K180" s="21">
        <f t="shared" ref="K180:K187" si="183">IF(J$179=0,0,J180/J$179)</f>
        <v>0</v>
      </c>
      <c r="L180" s="23">
        <f>SUMIFS('Registre de reserves'!$X$2:$X$1178,'Registre de reserves'!$T$2:$T$1178,"NO",'Registre de reserves'!$I$2:$I$1178,'2022'!$A180,'Registre de reserves'!$B$2:$B$1178,'2022'!L$2,Tabla1[ANY],'2022'!$Z$150)</f>
        <v>0</v>
      </c>
      <c r="M180" s="21">
        <f t="shared" ref="M180:M187" si="184">IF(L$179=0,0,L180/L$179)</f>
        <v>0</v>
      </c>
      <c r="N180" s="23">
        <f>SUMIFS('Registre de reserves'!$X$2:$X$1178,'Registre de reserves'!$T$2:$T$1178,"NO",'Registre de reserves'!$I$2:$I$1178,'2022'!$A180,'Registre de reserves'!$B$2:$B$1178,'2022'!N$2,Tabla1[ANY],'2022'!$Z$150)</f>
        <v>0</v>
      </c>
      <c r="O180" s="21">
        <f t="shared" ref="O180:O187" si="185">IF(N$179=0,0,N180/N$179)</f>
        <v>0</v>
      </c>
      <c r="P180" s="23">
        <f>SUMIFS('Registre de reserves'!$X$2:$X$1178,'Registre de reserves'!$T$2:$T$1178,"NO",'Registre de reserves'!$I$2:$I$1178,'2022'!$A180,'Registre de reserves'!$B$2:$B$1178,'2022'!P$2,Tabla1[ANY],'2022'!$Z$150)</f>
        <v>0</v>
      </c>
      <c r="Q180" s="21">
        <f t="shared" ref="Q180:Q187" si="186">IF(P$179=0,0,P180/P$179)</f>
        <v>0</v>
      </c>
      <c r="R180" s="23">
        <f>SUMIFS('Registre de reserves'!$X$2:$X$1178,'Registre de reserves'!$T$2:$T$1178,"NO",'Registre de reserves'!$I$2:$I$1178,'2022'!$A180,'Registre de reserves'!$B$2:$B$1178,'2022'!R$2,Tabla1[ANY],'2022'!$Z$150)</f>
        <v>0</v>
      </c>
      <c r="S180" s="21">
        <f t="shared" ref="S180:S187" si="187">IF(R$179=0,0,R180/R$179)</f>
        <v>0</v>
      </c>
      <c r="T180" s="23">
        <f>SUMIFS('Registre de reserves'!$X$2:$X$1178,'Registre de reserves'!$T$2:$T$1178,"NO",'Registre de reserves'!$I$2:$I$1178,'2022'!$A180,'Registre de reserves'!$B$2:$B$1178,'2022'!T$2,Tabla1[ANY],'2022'!$Z$150)</f>
        <v>0</v>
      </c>
      <c r="U180" s="21">
        <f t="shared" ref="U180:U187" si="188">IF(T$179=0,0,T180/T$179)</f>
        <v>0</v>
      </c>
      <c r="V180" s="23">
        <f>SUMIFS('Registre de reserves'!$X$2:$X$1178,'Registre de reserves'!$T$2:$T$1178,"NO",'Registre de reserves'!$I$2:$I$1178,'2022'!$A180,'Registre de reserves'!$B$2:$B$1178,'2022'!V$2,Tabla1[ANY],'2022'!$Z$150)</f>
        <v>0</v>
      </c>
      <c r="W180" s="21">
        <f t="shared" ref="W180:W187" si="189">IF(V$179=0,0,V180/V$179)</f>
        <v>0</v>
      </c>
      <c r="X180" s="23">
        <f>SUMIFS('Registre de reserves'!$X$2:$X$1178,'Registre de reserves'!$T$2:$T$1178,"NO",'Registre de reserves'!$I$2:$I$1178,'2022'!$A180,'Registre de reserves'!$B$2:$B$1178,'2022'!X$2,Tabla1[ANY],'2022'!$Z$150)</f>
        <v>0</v>
      </c>
      <c r="Y180" s="21">
        <f t="shared" ref="Y180:Y187" si="190">IF(X$179=0,0,X180/X$179)</f>
        <v>0</v>
      </c>
      <c r="Z180" s="20">
        <f t="shared" si="167"/>
        <v>0</v>
      </c>
      <c r="AA180" s="21">
        <f>IF(Z$31=0,0,Z180/Z$31)</f>
        <v>0</v>
      </c>
    </row>
    <row r="181" spans="1:27" hidden="1" outlineLevel="1" x14ac:dyDescent="0.2">
      <c r="A181" s="8" t="s">
        <v>68</v>
      </c>
      <c r="B181" s="23">
        <f>SUMIFS('Registre de reserves'!$X$2:$X$1178,'Registre de reserves'!$T$2:$T$1178,"NO",'Registre de reserves'!$I$2:$I$1178,'2022'!$A181,'Registre de reserves'!$B$2:$B$1178,'2022'!B$2,Tabla1[ANY],'2022'!$Z$150)</f>
        <v>0</v>
      </c>
      <c r="C181" s="21">
        <f t="shared" ref="C181:E187" si="191">IF(B$179=0,0,B181/B$179)</f>
        <v>0</v>
      </c>
      <c r="D181" s="23">
        <f>SUMIFS('Registre de reserves'!$X$2:$X$1178,'Registre de reserves'!$T$2:$T$1178,"NO",'Registre de reserves'!$I$2:$I$1178,'2022'!$A181,'Registre de reserves'!$B$2:$B$1178,'2022'!D$2,Tabla1[ANY],'2022'!$Z$150)</f>
        <v>0</v>
      </c>
      <c r="E181" s="21">
        <f t="shared" si="191"/>
        <v>0</v>
      </c>
      <c r="F181" s="23">
        <f>SUMIFS('Registre de reserves'!$X$2:$X$1178,'Registre de reserves'!$T$2:$T$1178,"NO",'Registre de reserves'!$I$2:$I$1178,'2022'!$A181,'Registre de reserves'!$B$2:$B$1178,'2022'!F$2,Tabla1[ANY],'2022'!$Z$150)</f>
        <v>0</v>
      </c>
      <c r="G181" s="21">
        <f t="shared" si="181"/>
        <v>0</v>
      </c>
      <c r="H181" s="23">
        <f>SUMIFS('Registre de reserves'!$X$2:$X$1178,'Registre de reserves'!$T$2:$T$1178,"NO",'Registre de reserves'!$I$2:$I$1178,'2022'!$A181,'Registre de reserves'!$B$2:$B$1178,'2022'!H$2,Tabla1[ANY],'2022'!$Z$150)</f>
        <v>0</v>
      </c>
      <c r="I181" s="21">
        <f t="shared" si="182"/>
        <v>0</v>
      </c>
      <c r="J181" s="23">
        <f>SUMIFS('Registre de reserves'!$X$2:$X$1178,'Registre de reserves'!$T$2:$T$1178,"NO",'Registre de reserves'!$I$2:$I$1178,'2022'!$A181,'Registre de reserves'!$B$2:$B$1178,'2022'!J$2,Tabla1[ANY],'2022'!$Z$150)</f>
        <v>0</v>
      </c>
      <c r="K181" s="21">
        <f t="shared" si="183"/>
        <v>0</v>
      </c>
      <c r="L181" s="23">
        <f>SUMIFS('Registre de reserves'!$X$2:$X$1178,'Registre de reserves'!$T$2:$T$1178,"NO",'Registre de reserves'!$I$2:$I$1178,'2022'!$A181,'Registre de reserves'!$B$2:$B$1178,'2022'!L$2,Tabla1[ANY],'2022'!$Z$150)</f>
        <v>0</v>
      </c>
      <c r="M181" s="21">
        <f t="shared" si="184"/>
        <v>0</v>
      </c>
      <c r="N181" s="23">
        <f>SUMIFS('Registre de reserves'!$X$2:$X$1178,'Registre de reserves'!$T$2:$T$1178,"NO",'Registre de reserves'!$I$2:$I$1178,'2022'!$A181,'Registre de reserves'!$B$2:$B$1178,'2022'!N$2,Tabla1[ANY],'2022'!$Z$150)</f>
        <v>0</v>
      </c>
      <c r="O181" s="21">
        <f t="shared" si="185"/>
        <v>0</v>
      </c>
      <c r="P181" s="23">
        <f>SUMIFS('Registre de reserves'!$X$2:$X$1178,'Registre de reserves'!$T$2:$T$1178,"NO",'Registre de reserves'!$I$2:$I$1178,'2022'!$A181,'Registre de reserves'!$B$2:$B$1178,'2022'!P$2,Tabla1[ANY],'2022'!$Z$150)</f>
        <v>0</v>
      </c>
      <c r="Q181" s="21">
        <f t="shared" si="186"/>
        <v>0</v>
      </c>
      <c r="R181" s="23">
        <f>SUMIFS('Registre de reserves'!$X$2:$X$1178,'Registre de reserves'!$T$2:$T$1178,"NO",'Registre de reserves'!$I$2:$I$1178,'2022'!$A181,'Registre de reserves'!$B$2:$B$1178,'2022'!R$2,Tabla1[ANY],'2022'!$Z$150)</f>
        <v>0</v>
      </c>
      <c r="S181" s="21">
        <f t="shared" si="187"/>
        <v>0</v>
      </c>
      <c r="T181" s="23">
        <f>SUMIFS('Registre de reserves'!$X$2:$X$1178,'Registre de reserves'!$T$2:$T$1178,"NO",'Registre de reserves'!$I$2:$I$1178,'2022'!$A181,'Registre de reserves'!$B$2:$B$1178,'2022'!T$2,Tabla1[ANY],'2022'!$Z$150)</f>
        <v>0</v>
      </c>
      <c r="U181" s="21">
        <f t="shared" si="188"/>
        <v>0</v>
      </c>
      <c r="V181" s="23">
        <f>SUMIFS('Registre de reserves'!$X$2:$X$1178,'Registre de reserves'!$T$2:$T$1178,"NO",'Registre de reserves'!$I$2:$I$1178,'2022'!$A181,'Registre de reserves'!$B$2:$B$1178,'2022'!V$2,Tabla1[ANY],'2022'!$Z$150)</f>
        <v>0</v>
      </c>
      <c r="W181" s="21">
        <f t="shared" si="189"/>
        <v>0</v>
      </c>
      <c r="X181" s="23">
        <f>SUMIFS('Registre de reserves'!$X$2:$X$1178,'Registre de reserves'!$T$2:$T$1178,"NO",'Registre de reserves'!$I$2:$I$1178,'2022'!$A181,'Registre de reserves'!$B$2:$B$1178,'2022'!X$2,Tabla1[ANY],'2022'!$Z$150)</f>
        <v>0</v>
      </c>
      <c r="Y181" s="21">
        <f t="shared" si="190"/>
        <v>0</v>
      </c>
      <c r="Z181" s="20">
        <f t="shared" si="167"/>
        <v>0</v>
      </c>
      <c r="AA181" s="21">
        <f t="shared" ref="AA181:AA187" si="192">IF(Z$31=0,0,Z181/Z$31)</f>
        <v>0</v>
      </c>
    </row>
    <row r="182" spans="1:27" hidden="1" outlineLevel="1" x14ac:dyDescent="0.2">
      <c r="A182" s="8" t="s">
        <v>4</v>
      </c>
      <c r="B182" s="23">
        <f>SUMIFS('Registre de reserves'!$X$2:$X$1178,'Registre de reserves'!$T$2:$T$1178,"NO",'Registre de reserves'!$I$2:$I$1178,'2022'!$A182,'Registre de reserves'!$B$2:$B$1178,'2022'!B$2,Tabla1[ANY],'2022'!$Z$150)</f>
        <v>0</v>
      </c>
      <c r="C182" s="21">
        <f t="shared" si="191"/>
        <v>0</v>
      </c>
      <c r="D182" s="23">
        <f>SUMIFS('Registre de reserves'!$X$2:$X$1178,'Registre de reserves'!$T$2:$T$1178,"NO",'Registre de reserves'!$I$2:$I$1178,'2022'!$A182,'Registre de reserves'!$B$2:$B$1178,'2022'!D$2,Tabla1[ANY],'2022'!$Z$150)</f>
        <v>0</v>
      </c>
      <c r="E182" s="21">
        <f t="shared" si="191"/>
        <v>0</v>
      </c>
      <c r="F182" s="23">
        <f>SUMIFS('Registre de reserves'!$X$2:$X$1178,'Registre de reserves'!$T$2:$T$1178,"NO",'Registre de reserves'!$I$2:$I$1178,'2022'!$A182,'Registre de reserves'!$B$2:$B$1178,'2022'!F$2,Tabla1[ANY],'2022'!$Z$150)</f>
        <v>0</v>
      </c>
      <c r="G182" s="21">
        <f t="shared" si="181"/>
        <v>0</v>
      </c>
      <c r="H182" s="23">
        <f>SUMIFS('Registre de reserves'!$X$2:$X$1178,'Registre de reserves'!$T$2:$T$1178,"NO",'Registre de reserves'!$I$2:$I$1178,'2022'!$A182,'Registre de reserves'!$B$2:$B$1178,'2022'!H$2,Tabla1[ANY],'2022'!$Z$150)</f>
        <v>0</v>
      </c>
      <c r="I182" s="21">
        <f t="shared" si="182"/>
        <v>0</v>
      </c>
      <c r="J182" s="23">
        <f>SUMIFS('Registre de reserves'!$X$2:$X$1178,'Registre de reserves'!$T$2:$T$1178,"NO",'Registre de reserves'!$I$2:$I$1178,'2022'!$A182,'Registre de reserves'!$B$2:$B$1178,'2022'!J$2,Tabla1[ANY],'2022'!$Z$150)</f>
        <v>0</v>
      </c>
      <c r="K182" s="21">
        <f t="shared" si="183"/>
        <v>0</v>
      </c>
      <c r="L182" s="23">
        <f>SUMIFS('Registre de reserves'!$X$2:$X$1178,'Registre de reserves'!$T$2:$T$1178,"NO",'Registre de reserves'!$I$2:$I$1178,'2022'!$A182,'Registre de reserves'!$B$2:$B$1178,'2022'!L$2,Tabla1[ANY],'2022'!$Z$150)</f>
        <v>0</v>
      </c>
      <c r="M182" s="21">
        <f t="shared" si="184"/>
        <v>0</v>
      </c>
      <c r="N182" s="23">
        <f>SUMIFS('Registre de reserves'!$X$2:$X$1178,'Registre de reserves'!$T$2:$T$1178,"NO",'Registre de reserves'!$I$2:$I$1178,'2022'!$A182,'Registre de reserves'!$B$2:$B$1178,'2022'!N$2,Tabla1[ANY],'2022'!$Z$150)</f>
        <v>0</v>
      </c>
      <c r="O182" s="21">
        <f t="shared" si="185"/>
        <v>0</v>
      </c>
      <c r="P182" s="23">
        <f>SUMIFS('Registre de reserves'!$X$2:$X$1178,'Registre de reserves'!$T$2:$T$1178,"NO",'Registre de reserves'!$I$2:$I$1178,'2022'!$A182,'Registre de reserves'!$B$2:$B$1178,'2022'!P$2,Tabla1[ANY],'2022'!$Z$150)</f>
        <v>0</v>
      </c>
      <c r="Q182" s="21">
        <f t="shared" si="186"/>
        <v>0</v>
      </c>
      <c r="R182" s="23">
        <f>SUMIFS('Registre de reserves'!$X$2:$X$1178,'Registre de reserves'!$T$2:$T$1178,"NO",'Registre de reserves'!$I$2:$I$1178,'2022'!$A182,'Registre de reserves'!$B$2:$B$1178,'2022'!R$2,Tabla1[ANY],'2022'!$Z$150)</f>
        <v>0</v>
      </c>
      <c r="S182" s="21">
        <f t="shared" si="187"/>
        <v>0</v>
      </c>
      <c r="T182" s="23">
        <f>SUMIFS('Registre de reserves'!$X$2:$X$1178,'Registre de reserves'!$T$2:$T$1178,"NO",'Registre de reserves'!$I$2:$I$1178,'2022'!$A182,'Registre de reserves'!$B$2:$B$1178,'2022'!T$2,Tabla1[ANY],'2022'!$Z$150)</f>
        <v>0</v>
      </c>
      <c r="U182" s="21">
        <f t="shared" si="188"/>
        <v>0</v>
      </c>
      <c r="V182" s="23">
        <f>SUMIFS('Registre de reserves'!$X$2:$X$1178,'Registre de reserves'!$T$2:$T$1178,"NO",'Registre de reserves'!$I$2:$I$1178,'2022'!$A182,'Registre de reserves'!$B$2:$B$1178,'2022'!V$2,Tabla1[ANY],'2022'!$Z$150)</f>
        <v>0</v>
      </c>
      <c r="W182" s="21">
        <f t="shared" si="189"/>
        <v>0</v>
      </c>
      <c r="X182" s="23">
        <f>SUMIFS('Registre de reserves'!$X$2:$X$1178,'Registre de reserves'!$T$2:$T$1178,"NO",'Registre de reserves'!$I$2:$I$1178,'2022'!$A182,'Registre de reserves'!$B$2:$B$1178,'2022'!X$2,Tabla1[ANY],'2022'!$Z$150)</f>
        <v>0</v>
      </c>
      <c r="Y182" s="21">
        <f t="shared" si="190"/>
        <v>0</v>
      </c>
      <c r="Z182" s="20">
        <f t="shared" si="167"/>
        <v>0</v>
      </c>
      <c r="AA182" s="21">
        <f t="shared" si="192"/>
        <v>0</v>
      </c>
    </row>
    <row r="183" spans="1:27" hidden="1" outlineLevel="1" x14ac:dyDescent="0.2">
      <c r="A183" s="8" t="s">
        <v>71</v>
      </c>
      <c r="B183" s="23">
        <f>SUMIFS('Registre de reserves'!$X$2:$X$1178,'Registre de reserves'!$T$2:$T$1178,"NO",'Registre de reserves'!$I$2:$I$1178,'2022'!$A183,'Registre de reserves'!$B$2:$B$1178,'2022'!B$2,Tabla1[ANY],'2022'!$Z$150)</f>
        <v>0</v>
      </c>
      <c r="C183" s="21">
        <f t="shared" si="191"/>
        <v>0</v>
      </c>
      <c r="D183" s="23">
        <f>SUMIFS('Registre de reserves'!$X$2:$X$1178,'Registre de reserves'!$T$2:$T$1178,"NO",'Registre de reserves'!$I$2:$I$1178,'2022'!$A183,'Registre de reserves'!$B$2:$B$1178,'2022'!D$2,Tabla1[ANY],'2022'!$Z$150)</f>
        <v>0</v>
      </c>
      <c r="E183" s="21">
        <f t="shared" si="191"/>
        <v>0</v>
      </c>
      <c r="F183" s="23">
        <f>SUMIFS('Registre de reserves'!$X$2:$X$1178,'Registre de reserves'!$T$2:$T$1178,"NO",'Registre de reserves'!$I$2:$I$1178,'2022'!$A183,'Registre de reserves'!$B$2:$B$1178,'2022'!F$2,Tabla1[ANY],'2022'!$Z$150)</f>
        <v>0</v>
      </c>
      <c r="G183" s="21">
        <f t="shared" si="181"/>
        <v>0</v>
      </c>
      <c r="H183" s="23">
        <f>SUMIFS('Registre de reserves'!$X$2:$X$1178,'Registre de reserves'!$T$2:$T$1178,"NO",'Registre de reserves'!$I$2:$I$1178,'2022'!$A183,'Registre de reserves'!$B$2:$B$1178,'2022'!H$2,Tabla1[ANY],'2022'!$Z$150)</f>
        <v>0</v>
      </c>
      <c r="I183" s="21">
        <f t="shared" si="182"/>
        <v>0</v>
      </c>
      <c r="J183" s="23">
        <f>SUMIFS('Registre de reserves'!$X$2:$X$1178,'Registre de reserves'!$T$2:$T$1178,"NO",'Registre de reserves'!$I$2:$I$1178,'2022'!$A183,'Registre de reserves'!$B$2:$B$1178,'2022'!J$2,Tabla1[ANY],'2022'!$Z$150)</f>
        <v>0</v>
      </c>
      <c r="K183" s="21">
        <f t="shared" si="183"/>
        <v>0</v>
      </c>
      <c r="L183" s="23">
        <f>SUMIFS('Registre de reserves'!$X$2:$X$1178,'Registre de reserves'!$T$2:$T$1178,"NO",'Registre de reserves'!$I$2:$I$1178,'2022'!$A183,'Registre de reserves'!$B$2:$B$1178,'2022'!L$2,Tabla1[ANY],'2022'!$Z$150)</f>
        <v>0</v>
      </c>
      <c r="M183" s="21">
        <f t="shared" si="184"/>
        <v>0</v>
      </c>
      <c r="N183" s="23">
        <f>SUMIFS('Registre de reserves'!$X$2:$X$1178,'Registre de reserves'!$T$2:$T$1178,"NO",'Registre de reserves'!$I$2:$I$1178,'2022'!$A183,'Registre de reserves'!$B$2:$B$1178,'2022'!N$2,Tabla1[ANY],'2022'!$Z$150)</f>
        <v>0</v>
      </c>
      <c r="O183" s="21">
        <f t="shared" si="185"/>
        <v>0</v>
      </c>
      <c r="P183" s="23">
        <f>SUMIFS('Registre de reserves'!$X$2:$X$1178,'Registre de reserves'!$T$2:$T$1178,"NO",'Registre de reserves'!$I$2:$I$1178,'2022'!$A183,'Registre de reserves'!$B$2:$B$1178,'2022'!P$2,Tabla1[ANY],'2022'!$Z$150)</f>
        <v>0</v>
      </c>
      <c r="Q183" s="21">
        <f t="shared" si="186"/>
        <v>0</v>
      </c>
      <c r="R183" s="23">
        <f>SUMIFS('Registre de reserves'!$X$2:$X$1178,'Registre de reserves'!$T$2:$T$1178,"NO",'Registre de reserves'!$I$2:$I$1178,'2022'!$A183,'Registre de reserves'!$B$2:$B$1178,'2022'!R$2,Tabla1[ANY],'2022'!$Z$150)</f>
        <v>0</v>
      </c>
      <c r="S183" s="21">
        <f t="shared" si="187"/>
        <v>0</v>
      </c>
      <c r="T183" s="23">
        <f>SUMIFS('Registre de reserves'!$X$2:$X$1178,'Registre de reserves'!$T$2:$T$1178,"NO",'Registre de reserves'!$I$2:$I$1178,'2022'!$A183,'Registre de reserves'!$B$2:$B$1178,'2022'!T$2,Tabla1[ANY],'2022'!$Z$150)</f>
        <v>0</v>
      </c>
      <c r="U183" s="21">
        <f t="shared" si="188"/>
        <v>0</v>
      </c>
      <c r="V183" s="23">
        <f>SUMIFS('Registre de reserves'!$X$2:$X$1178,'Registre de reserves'!$T$2:$T$1178,"NO",'Registre de reserves'!$I$2:$I$1178,'2022'!$A183,'Registre de reserves'!$B$2:$B$1178,'2022'!V$2,Tabla1[ANY],'2022'!$Z$150)</f>
        <v>0</v>
      </c>
      <c r="W183" s="21">
        <f t="shared" si="189"/>
        <v>0</v>
      </c>
      <c r="X183" s="23">
        <f>SUMIFS('Registre de reserves'!$X$2:$X$1178,'Registre de reserves'!$T$2:$T$1178,"NO",'Registre de reserves'!$I$2:$I$1178,'2022'!$A183,'Registre de reserves'!$B$2:$B$1178,'2022'!X$2,Tabla1[ANY],'2022'!$Z$150)</f>
        <v>0</v>
      </c>
      <c r="Y183" s="21">
        <f t="shared" si="190"/>
        <v>0</v>
      </c>
      <c r="Z183" s="20">
        <f t="shared" si="167"/>
        <v>0</v>
      </c>
      <c r="AA183" s="21">
        <f t="shared" si="192"/>
        <v>0</v>
      </c>
    </row>
    <row r="184" spans="1:27" hidden="1" outlineLevel="1" x14ac:dyDescent="0.2">
      <c r="A184" s="8" t="s">
        <v>72</v>
      </c>
      <c r="B184" s="23">
        <f>SUMIFS('Registre de reserves'!$X$2:$X$1178,'Registre de reserves'!$T$2:$T$1178,"NO",'Registre de reserves'!$I$2:$I$1178,'2022'!$A184,'Registre de reserves'!$B$2:$B$1178,'2022'!B$2,Tabla1[ANY],'2022'!$Z$150)</f>
        <v>0</v>
      </c>
      <c r="C184" s="21">
        <f t="shared" si="191"/>
        <v>0</v>
      </c>
      <c r="D184" s="23">
        <f>SUMIFS('Registre de reserves'!$X$2:$X$1178,'Registre de reserves'!$T$2:$T$1178,"NO",'Registre de reserves'!$I$2:$I$1178,'2022'!$A184,'Registre de reserves'!$B$2:$B$1178,'2022'!D$2,Tabla1[ANY],'2022'!$Z$150)</f>
        <v>0</v>
      </c>
      <c r="E184" s="21">
        <f t="shared" si="191"/>
        <v>0</v>
      </c>
      <c r="F184" s="23">
        <f>SUMIFS('Registre de reserves'!$X$2:$X$1178,'Registre de reserves'!$T$2:$T$1178,"NO",'Registre de reserves'!$I$2:$I$1178,'2022'!$A184,'Registre de reserves'!$B$2:$B$1178,'2022'!F$2,Tabla1[ANY],'2022'!$Z$150)</f>
        <v>0</v>
      </c>
      <c r="G184" s="21">
        <f t="shared" si="181"/>
        <v>0</v>
      </c>
      <c r="H184" s="23">
        <f>SUMIFS('Registre de reserves'!$X$2:$X$1178,'Registre de reserves'!$T$2:$T$1178,"NO",'Registre de reserves'!$I$2:$I$1178,'2022'!$A184,'Registre de reserves'!$B$2:$B$1178,'2022'!H$2,Tabla1[ANY],'2022'!$Z$150)</f>
        <v>0</v>
      </c>
      <c r="I184" s="21">
        <f t="shared" si="182"/>
        <v>0</v>
      </c>
      <c r="J184" s="23">
        <f>SUMIFS('Registre de reserves'!$X$2:$X$1178,'Registre de reserves'!$T$2:$T$1178,"NO",'Registre de reserves'!$I$2:$I$1178,'2022'!$A184,'Registre de reserves'!$B$2:$B$1178,'2022'!J$2,Tabla1[ANY],'2022'!$Z$150)</f>
        <v>0</v>
      </c>
      <c r="K184" s="21">
        <f t="shared" si="183"/>
        <v>0</v>
      </c>
      <c r="L184" s="23">
        <f>SUMIFS('Registre de reserves'!$X$2:$X$1178,'Registre de reserves'!$T$2:$T$1178,"NO",'Registre de reserves'!$I$2:$I$1178,'2022'!$A184,'Registre de reserves'!$B$2:$B$1178,'2022'!L$2,Tabla1[ANY],'2022'!$Z$150)</f>
        <v>0</v>
      </c>
      <c r="M184" s="21">
        <f t="shared" si="184"/>
        <v>0</v>
      </c>
      <c r="N184" s="23">
        <f>SUMIFS('Registre de reserves'!$X$2:$X$1178,'Registre de reserves'!$T$2:$T$1178,"NO",'Registre de reserves'!$I$2:$I$1178,'2022'!$A184,'Registre de reserves'!$B$2:$B$1178,'2022'!N$2,Tabla1[ANY],'2022'!$Z$150)</f>
        <v>0</v>
      </c>
      <c r="O184" s="21">
        <f t="shared" si="185"/>
        <v>0</v>
      </c>
      <c r="P184" s="23">
        <f>SUMIFS('Registre de reserves'!$X$2:$X$1178,'Registre de reserves'!$T$2:$T$1178,"NO",'Registre de reserves'!$I$2:$I$1178,'2022'!$A184,'Registre de reserves'!$B$2:$B$1178,'2022'!P$2,Tabla1[ANY],'2022'!$Z$150)</f>
        <v>0</v>
      </c>
      <c r="Q184" s="21">
        <f t="shared" si="186"/>
        <v>0</v>
      </c>
      <c r="R184" s="23">
        <f>SUMIFS('Registre de reserves'!$X$2:$X$1178,'Registre de reserves'!$T$2:$T$1178,"NO",'Registre de reserves'!$I$2:$I$1178,'2022'!$A184,'Registre de reserves'!$B$2:$B$1178,'2022'!R$2,Tabla1[ANY],'2022'!$Z$150)</f>
        <v>0</v>
      </c>
      <c r="S184" s="21">
        <f t="shared" si="187"/>
        <v>0</v>
      </c>
      <c r="T184" s="23">
        <f>SUMIFS('Registre de reserves'!$X$2:$X$1178,'Registre de reserves'!$T$2:$T$1178,"NO",'Registre de reserves'!$I$2:$I$1178,'2022'!$A184,'Registre de reserves'!$B$2:$B$1178,'2022'!T$2,Tabla1[ANY],'2022'!$Z$150)</f>
        <v>0</v>
      </c>
      <c r="U184" s="21">
        <f t="shared" si="188"/>
        <v>0</v>
      </c>
      <c r="V184" s="23">
        <f>SUMIFS('Registre de reserves'!$X$2:$X$1178,'Registre de reserves'!$T$2:$T$1178,"NO",'Registre de reserves'!$I$2:$I$1178,'2022'!$A184,'Registre de reserves'!$B$2:$B$1178,'2022'!V$2,Tabla1[ANY],'2022'!$Z$150)</f>
        <v>0</v>
      </c>
      <c r="W184" s="21">
        <f t="shared" si="189"/>
        <v>0</v>
      </c>
      <c r="X184" s="23">
        <f>SUMIFS('Registre de reserves'!$X$2:$X$1178,'Registre de reserves'!$T$2:$T$1178,"NO",'Registre de reserves'!$I$2:$I$1178,'2022'!$A184,'Registre de reserves'!$B$2:$B$1178,'2022'!X$2,Tabla1[ANY],'2022'!$Z$150)</f>
        <v>0</v>
      </c>
      <c r="Y184" s="21">
        <f t="shared" si="190"/>
        <v>0</v>
      </c>
      <c r="Z184" s="20">
        <f t="shared" si="167"/>
        <v>0</v>
      </c>
      <c r="AA184" s="21">
        <f t="shared" si="192"/>
        <v>0</v>
      </c>
    </row>
    <row r="185" spans="1:27" hidden="1" outlineLevel="1" x14ac:dyDescent="0.2">
      <c r="A185" s="8" t="s">
        <v>69</v>
      </c>
      <c r="B185" s="23">
        <f>SUMIFS('Registre de reserves'!$X$2:$X$1178,'Registre de reserves'!$T$2:$T$1178,"NO",'Registre de reserves'!$I$2:$I$1178,'2022'!$A185,'Registre de reserves'!$B$2:$B$1178,'2022'!B$2,Tabla1[ANY],'2022'!$Z$150)</f>
        <v>0</v>
      </c>
      <c r="C185" s="21">
        <f t="shared" si="191"/>
        <v>0</v>
      </c>
      <c r="D185" s="23">
        <f>SUMIFS('Registre de reserves'!$X$2:$X$1178,'Registre de reserves'!$T$2:$T$1178,"NO",'Registre de reserves'!$I$2:$I$1178,'2022'!$A185,'Registre de reserves'!$B$2:$B$1178,'2022'!D$2,Tabla1[ANY],'2022'!$Z$150)</f>
        <v>0</v>
      </c>
      <c r="E185" s="21">
        <f t="shared" si="191"/>
        <v>0</v>
      </c>
      <c r="F185" s="23">
        <f>SUMIFS('Registre de reserves'!$X$2:$X$1178,'Registre de reserves'!$T$2:$T$1178,"NO",'Registre de reserves'!$I$2:$I$1178,'2022'!$A185,'Registre de reserves'!$B$2:$B$1178,'2022'!F$2,Tabla1[ANY],'2022'!$Z$150)</f>
        <v>0</v>
      </c>
      <c r="G185" s="21">
        <f t="shared" si="181"/>
        <v>0</v>
      </c>
      <c r="H185" s="23">
        <f>SUMIFS('Registre de reserves'!$X$2:$X$1178,'Registre de reserves'!$T$2:$T$1178,"NO",'Registre de reserves'!$I$2:$I$1178,'2022'!$A185,'Registre de reserves'!$B$2:$B$1178,'2022'!H$2,Tabla1[ANY],'2022'!$Z$150)</f>
        <v>0</v>
      </c>
      <c r="I185" s="21">
        <f t="shared" si="182"/>
        <v>0</v>
      </c>
      <c r="J185" s="23">
        <f>SUMIFS('Registre de reserves'!$X$2:$X$1178,'Registre de reserves'!$T$2:$T$1178,"NO",'Registre de reserves'!$I$2:$I$1178,'2022'!$A185,'Registre de reserves'!$B$2:$B$1178,'2022'!J$2,Tabla1[ANY],'2022'!$Z$150)</f>
        <v>0</v>
      </c>
      <c r="K185" s="21">
        <f t="shared" si="183"/>
        <v>0</v>
      </c>
      <c r="L185" s="23">
        <f>SUMIFS('Registre de reserves'!$X$2:$X$1178,'Registre de reserves'!$T$2:$T$1178,"NO",'Registre de reserves'!$I$2:$I$1178,'2022'!$A185,'Registre de reserves'!$B$2:$B$1178,'2022'!L$2,Tabla1[ANY],'2022'!$Z$150)</f>
        <v>0</v>
      </c>
      <c r="M185" s="21">
        <f t="shared" si="184"/>
        <v>0</v>
      </c>
      <c r="N185" s="23">
        <f>SUMIFS('Registre de reserves'!$X$2:$X$1178,'Registre de reserves'!$T$2:$T$1178,"NO",'Registre de reserves'!$I$2:$I$1178,'2022'!$A185,'Registre de reserves'!$B$2:$B$1178,'2022'!N$2,Tabla1[ANY],'2022'!$Z$150)</f>
        <v>0</v>
      </c>
      <c r="O185" s="21">
        <f t="shared" si="185"/>
        <v>0</v>
      </c>
      <c r="P185" s="23">
        <f>SUMIFS('Registre de reserves'!$X$2:$X$1178,'Registre de reserves'!$T$2:$T$1178,"NO",'Registre de reserves'!$I$2:$I$1178,'2022'!$A185,'Registre de reserves'!$B$2:$B$1178,'2022'!P$2,Tabla1[ANY],'2022'!$Z$150)</f>
        <v>0</v>
      </c>
      <c r="Q185" s="21">
        <f t="shared" si="186"/>
        <v>0</v>
      </c>
      <c r="R185" s="23">
        <f>SUMIFS('Registre de reserves'!$X$2:$X$1178,'Registre de reserves'!$T$2:$T$1178,"NO",'Registre de reserves'!$I$2:$I$1178,'2022'!$A185,'Registre de reserves'!$B$2:$B$1178,'2022'!R$2,Tabla1[ANY],'2022'!$Z$150)</f>
        <v>0</v>
      </c>
      <c r="S185" s="21">
        <f t="shared" si="187"/>
        <v>0</v>
      </c>
      <c r="T185" s="23">
        <f>SUMIFS('Registre de reserves'!$X$2:$X$1178,'Registre de reserves'!$T$2:$T$1178,"NO",'Registre de reserves'!$I$2:$I$1178,'2022'!$A185,'Registre de reserves'!$B$2:$B$1178,'2022'!T$2,Tabla1[ANY],'2022'!$Z$150)</f>
        <v>0</v>
      </c>
      <c r="U185" s="21">
        <f t="shared" si="188"/>
        <v>0</v>
      </c>
      <c r="V185" s="23">
        <f>SUMIFS('Registre de reserves'!$X$2:$X$1178,'Registre de reserves'!$T$2:$T$1178,"NO",'Registre de reserves'!$I$2:$I$1178,'2022'!$A185,'Registre de reserves'!$B$2:$B$1178,'2022'!V$2,Tabla1[ANY],'2022'!$Z$150)</f>
        <v>0</v>
      </c>
      <c r="W185" s="21">
        <f t="shared" si="189"/>
        <v>0</v>
      </c>
      <c r="X185" s="23">
        <f>SUMIFS('Registre de reserves'!$X$2:$X$1178,'Registre de reserves'!$T$2:$T$1178,"NO",'Registre de reserves'!$I$2:$I$1178,'2022'!$A185,'Registre de reserves'!$B$2:$B$1178,'2022'!X$2,Tabla1[ANY],'2022'!$Z$150)</f>
        <v>0</v>
      </c>
      <c r="Y185" s="21">
        <f t="shared" si="190"/>
        <v>0</v>
      </c>
      <c r="Z185" s="20">
        <f t="shared" si="167"/>
        <v>0</v>
      </c>
      <c r="AA185" s="21">
        <f t="shared" si="192"/>
        <v>0</v>
      </c>
    </row>
    <row r="186" spans="1:27" hidden="1" outlineLevel="1" x14ac:dyDescent="0.2">
      <c r="A186" s="8" t="s">
        <v>70</v>
      </c>
      <c r="B186" s="23">
        <f>SUMIFS('Registre de reserves'!$X$2:$X$1178,'Registre de reserves'!$T$2:$T$1178,"NO",'Registre de reserves'!$I$2:$I$1178,'2022'!$A186,'Registre de reserves'!$B$2:$B$1178,'2022'!B$2,Tabla1[ANY],'2022'!$Z$150)</f>
        <v>0</v>
      </c>
      <c r="C186" s="21">
        <f t="shared" si="191"/>
        <v>0</v>
      </c>
      <c r="D186" s="23">
        <f>SUMIFS('Registre de reserves'!$X$2:$X$1178,'Registre de reserves'!$T$2:$T$1178,"NO",'Registre de reserves'!$I$2:$I$1178,'2022'!$A186,'Registre de reserves'!$B$2:$B$1178,'2022'!D$2,Tabla1[ANY],'2022'!$Z$150)</f>
        <v>0</v>
      </c>
      <c r="E186" s="21">
        <f t="shared" si="191"/>
        <v>0</v>
      </c>
      <c r="F186" s="23">
        <f>SUMIFS('Registre de reserves'!$X$2:$X$1178,'Registre de reserves'!$T$2:$T$1178,"NO",'Registre de reserves'!$I$2:$I$1178,'2022'!$A186,'Registre de reserves'!$B$2:$B$1178,'2022'!F$2,Tabla1[ANY],'2022'!$Z$150)</f>
        <v>0</v>
      </c>
      <c r="G186" s="21">
        <f t="shared" si="181"/>
        <v>0</v>
      </c>
      <c r="H186" s="23">
        <f>SUMIFS('Registre de reserves'!$X$2:$X$1178,'Registre de reserves'!$T$2:$T$1178,"NO",'Registre de reserves'!$I$2:$I$1178,'2022'!$A186,'Registre de reserves'!$B$2:$B$1178,'2022'!H$2,Tabla1[ANY],'2022'!$Z$150)</f>
        <v>0</v>
      </c>
      <c r="I186" s="21">
        <f t="shared" si="182"/>
        <v>0</v>
      </c>
      <c r="J186" s="23">
        <f>SUMIFS('Registre de reserves'!$X$2:$X$1178,'Registre de reserves'!$T$2:$T$1178,"NO",'Registre de reserves'!$I$2:$I$1178,'2022'!$A186,'Registre de reserves'!$B$2:$B$1178,'2022'!J$2,Tabla1[ANY],'2022'!$Z$150)</f>
        <v>0</v>
      </c>
      <c r="K186" s="21">
        <f t="shared" si="183"/>
        <v>0</v>
      </c>
      <c r="L186" s="23">
        <f>SUMIFS('Registre de reserves'!$X$2:$X$1178,'Registre de reserves'!$T$2:$T$1178,"NO",'Registre de reserves'!$I$2:$I$1178,'2022'!$A186,'Registre de reserves'!$B$2:$B$1178,'2022'!L$2,Tabla1[ANY],'2022'!$Z$150)</f>
        <v>0</v>
      </c>
      <c r="M186" s="21">
        <f t="shared" si="184"/>
        <v>0</v>
      </c>
      <c r="N186" s="23">
        <f>SUMIFS('Registre de reserves'!$X$2:$X$1178,'Registre de reserves'!$T$2:$T$1178,"NO",'Registre de reserves'!$I$2:$I$1178,'2022'!$A186,'Registre de reserves'!$B$2:$B$1178,'2022'!N$2,Tabla1[ANY],'2022'!$Z$150)</f>
        <v>0</v>
      </c>
      <c r="O186" s="21">
        <f t="shared" si="185"/>
        <v>0</v>
      </c>
      <c r="P186" s="23">
        <f>SUMIFS('Registre de reserves'!$X$2:$X$1178,'Registre de reserves'!$T$2:$T$1178,"NO",'Registre de reserves'!$I$2:$I$1178,'2022'!$A186,'Registre de reserves'!$B$2:$B$1178,'2022'!P$2,Tabla1[ANY],'2022'!$Z$150)</f>
        <v>0</v>
      </c>
      <c r="Q186" s="21">
        <f t="shared" si="186"/>
        <v>0</v>
      </c>
      <c r="R186" s="23">
        <f>SUMIFS('Registre de reserves'!$X$2:$X$1178,'Registre de reserves'!$T$2:$T$1178,"NO",'Registre de reserves'!$I$2:$I$1178,'2022'!$A186,'Registre de reserves'!$B$2:$B$1178,'2022'!R$2,Tabla1[ANY],'2022'!$Z$150)</f>
        <v>0</v>
      </c>
      <c r="S186" s="21">
        <f t="shared" si="187"/>
        <v>0</v>
      </c>
      <c r="T186" s="23">
        <f>SUMIFS('Registre de reserves'!$X$2:$X$1178,'Registre de reserves'!$T$2:$T$1178,"NO",'Registre de reserves'!$I$2:$I$1178,'2022'!$A186,'Registre de reserves'!$B$2:$B$1178,'2022'!T$2,Tabla1[ANY],'2022'!$Z$150)</f>
        <v>0</v>
      </c>
      <c r="U186" s="21">
        <f t="shared" si="188"/>
        <v>0</v>
      </c>
      <c r="V186" s="23">
        <f>SUMIFS('Registre de reserves'!$X$2:$X$1178,'Registre de reserves'!$T$2:$T$1178,"NO",'Registre de reserves'!$I$2:$I$1178,'2022'!$A186,'Registre de reserves'!$B$2:$B$1178,'2022'!V$2,Tabla1[ANY],'2022'!$Z$150)</f>
        <v>0</v>
      </c>
      <c r="W186" s="21">
        <f t="shared" si="189"/>
        <v>0</v>
      </c>
      <c r="X186" s="23">
        <f>SUMIFS('Registre de reserves'!$X$2:$X$1178,'Registre de reserves'!$T$2:$T$1178,"NO",'Registre de reserves'!$I$2:$I$1178,'2022'!$A186,'Registre de reserves'!$B$2:$B$1178,'2022'!X$2,Tabla1[ANY],'2022'!$Z$150)</f>
        <v>0</v>
      </c>
      <c r="Y186" s="21">
        <f t="shared" si="190"/>
        <v>0</v>
      </c>
      <c r="Z186" s="20">
        <f t="shared" si="167"/>
        <v>0</v>
      </c>
      <c r="AA186" s="21">
        <f t="shared" si="192"/>
        <v>0</v>
      </c>
    </row>
    <row r="187" spans="1:27" hidden="1" outlineLevel="1" x14ac:dyDescent="0.2">
      <c r="A187" s="8" t="s">
        <v>73</v>
      </c>
      <c r="B187" s="23">
        <f>SUMIFS('Registre de reserves'!$X$2:$X$1178,'Registre de reserves'!$T$2:$T$1178,"NO",'Registre de reserves'!$I$2:$I$1178,'2022'!$A187,'Registre de reserves'!$B$2:$B$1178,'2022'!B$2,Tabla1[ANY],'2022'!$Z$150)</f>
        <v>0</v>
      </c>
      <c r="C187" s="21">
        <f t="shared" si="191"/>
        <v>0</v>
      </c>
      <c r="D187" s="23">
        <f>SUMIFS('Registre de reserves'!$X$2:$X$1178,'Registre de reserves'!$T$2:$T$1178,"NO",'Registre de reserves'!$I$2:$I$1178,'2022'!$A187,'Registre de reserves'!$B$2:$B$1178,'2022'!D$2,Tabla1[ANY],'2022'!$Z$150)</f>
        <v>0</v>
      </c>
      <c r="E187" s="21">
        <f t="shared" si="191"/>
        <v>0</v>
      </c>
      <c r="F187" s="23">
        <f>SUMIFS('Registre de reserves'!$X$2:$X$1178,'Registre de reserves'!$T$2:$T$1178,"NO",'Registre de reserves'!$I$2:$I$1178,'2022'!$A187,'Registre de reserves'!$B$2:$B$1178,'2022'!F$2,Tabla1[ANY],'2022'!$Z$150)</f>
        <v>0</v>
      </c>
      <c r="G187" s="21">
        <f t="shared" si="181"/>
        <v>0</v>
      </c>
      <c r="H187" s="23">
        <f>SUMIFS('Registre de reserves'!$X$2:$X$1178,'Registre de reserves'!$T$2:$T$1178,"NO",'Registre de reserves'!$I$2:$I$1178,'2022'!$A187,'Registre de reserves'!$B$2:$B$1178,'2022'!H$2,Tabla1[ANY],'2022'!$Z$150)</f>
        <v>0</v>
      </c>
      <c r="I187" s="21">
        <f t="shared" si="182"/>
        <v>0</v>
      </c>
      <c r="J187" s="23">
        <f>SUMIFS('Registre de reserves'!$X$2:$X$1178,'Registre de reserves'!$T$2:$T$1178,"NO",'Registre de reserves'!$I$2:$I$1178,'2022'!$A187,'Registre de reserves'!$B$2:$B$1178,'2022'!J$2,Tabla1[ANY],'2022'!$Z$150)</f>
        <v>0</v>
      </c>
      <c r="K187" s="21">
        <f t="shared" si="183"/>
        <v>0</v>
      </c>
      <c r="L187" s="23">
        <f>SUMIFS('Registre de reserves'!$X$2:$X$1178,'Registre de reserves'!$T$2:$T$1178,"NO",'Registre de reserves'!$I$2:$I$1178,'2022'!$A187,'Registre de reserves'!$B$2:$B$1178,'2022'!L$2,Tabla1[ANY],'2022'!$Z$150)</f>
        <v>0</v>
      </c>
      <c r="M187" s="21">
        <f t="shared" si="184"/>
        <v>0</v>
      </c>
      <c r="N187" s="23">
        <f>SUMIFS('Registre de reserves'!$X$2:$X$1178,'Registre de reserves'!$T$2:$T$1178,"NO",'Registre de reserves'!$I$2:$I$1178,'2022'!$A187,'Registre de reserves'!$B$2:$B$1178,'2022'!N$2,Tabla1[ANY],'2022'!$Z$150)</f>
        <v>0</v>
      </c>
      <c r="O187" s="21">
        <f t="shared" si="185"/>
        <v>0</v>
      </c>
      <c r="P187" s="23">
        <f>SUMIFS('Registre de reserves'!$X$2:$X$1178,'Registre de reserves'!$T$2:$T$1178,"NO",'Registre de reserves'!$I$2:$I$1178,'2022'!$A187,'Registre de reserves'!$B$2:$B$1178,'2022'!P$2,Tabla1[ANY],'2022'!$Z$150)</f>
        <v>0</v>
      </c>
      <c r="Q187" s="21">
        <f t="shared" si="186"/>
        <v>0</v>
      </c>
      <c r="R187" s="23">
        <f>SUMIFS('Registre de reserves'!$X$2:$X$1178,'Registre de reserves'!$T$2:$T$1178,"NO",'Registre de reserves'!$I$2:$I$1178,'2022'!$A187,'Registre de reserves'!$B$2:$B$1178,'2022'!R$2,Tabla1[ANY],'2022'!$Z$150)</f>
        <v>0</v>
      </c>
      <c r="S187" s="21">
        <f t="shared" si="187"/>
        <v>0</v>
      </c>
      <c r="T187" s="23">
        <f>SUMIFS('Registre de reserves'!$X$2:$X$1178,'Registre de reserves'!$T$2:$T$1178,"NO",'Registre de reserves'!$I$2:$I$1178,'2022'!$A187,'Registre de reserves'!$B$2:$B$1178,'2022'!T$2,Tabla1[ANY],'2022'!$Z$150)</f>
        <v>0</v>
      </c>
      <c r="U187" s="21">
        <f t="shared" si="188"/>
        <v>0</v>
      </c>
      <c r="V187" s="23">
        <f>SUMIFS('Registre de reserves'!$X$2:$X$1178,'Registre de reserves'!$T$2:$T$1178,"NO",'Registre de reserves'!$I$2:$I$1178,'2022'!$A187,'Registre de reserves'!$B$2:$B$1178,'2022'!V$2,Tabla1[ANY],'2022'!$Z$150)</f>
        <v>0</v>
      </c>
      <c r="W187" s="21">
        <f t="shared" si="189"/>
        <v>0</v>
      </c>
      <c r="X187" s="23">
        <f>SUMIFS('Registre de reserves'!$X$2:$X$1178,'Registre de reserves'!$T$2:$T$1178,"NO",'Registre de reserves'!$I$2:$I$1178,'2022'!$A187,'Registre de reserves'!$B$2:$B$1178,'2022'!X$2,Tabla1[ANY],'2022'!$Z$150)</f>
        <v>0</v>
      </c>
      <c r="Y187" s="21">
        <f t="shared" si="190"/>
        <v>0</v>
      </c>
      <c r="Z187" s="20">
        <f t="shared" si="167"/>
        <v>0</v>
      </c>
      <c r="AA187" s="21">
        <f t="shared" si="192"/>
        <v>0</v>
      </c>
    </row>
    <row r="188" spans="1:27" ht="15.75" collapsed="1" thickBot="1" x14ac:dyDescent="0.25">
      <c r="A188" s="14" t="s">
        <v>78</v>
      </c>
      <c r="B188" s="24">
        <f>B189+B197</f>
        <v>0</v>
      </c>
      <c r="C188" s="25">
        <f>IF(B151=0,0,B188/B151)</f>
        <v>0</v>
      </c>
      <c r="D188" s="24">
        <f>D189+D197</f>
        <v>270</v>
      </c>
      <c r="E188" s="25">
        <f>IF(D151=0,0,D188/D151)</f>
        <v>0.36486486486486486</v>
      </c>
      <c r="F188" s="24">
        <f>F189+F197</f>
        <v>160</v>
      </c>
      <c r="G188" s="25">
        <f>IF(F151=0,0,F188/F151)</f>
        <v>0.10810810810810811</v>
      </c>
      <c r="H188" s="24">
        <f>H189+H197</f>
        <v>240</v>
      </c>
      <c r="I188" s="25">
        <f>IF(H151=0,0,H188/H151)</f>
        <v>0.13259668508287292</v>
      </c>
      <c r="J188" s="24">
        <f>J189+J197</f>
        <v>150</v>
      </c>
      <c r="K188" s="25">
        <f>IF(J151=0,0,J188/J151)</f>
        <v>7.4999999999999997E-2</v>
      </c>
      <c r="L188" s="24">
        <f>L189+L197</f>
        <v>250</v>
      </c>
      <c r="M188" s="25">
        <f>IF(L151=0,0,L188/L151)</f>
        <v>0.1392757660167131</v>
      </c>
      <c r="N188" s="24">
        <f>N189+N197</f>
        <v>240.27</v>
      </c>
      <c r="O188" s="25">
        <f>IF(N151=0,0,N188/N151)</f>
        <v>0.10378833693304536</v>
      </c>
      <c r="P188" s="24">
        <f>P189+P197</f>
        <v>150</v>
      </c>
      <c r="Q188" s="25">
        <f>IF(P151=0,0,P188/P151)</f>
        <v>0.13274336283185842</v>
      </c>
      <c r="R188" s="24">
        <f>R189+R197</f>
        <v>150</v>
      </c>
      <c r="S188" s="25">
        <f>IF(R151=0,0,R188/R151)</f>
        <v>6.4102564102564097E-2</v>
      </c>
      <c r="T188" s="24">
        <f>T189+T197</f>
        <v>300</v>
      </c>
      <c r="U188" s="25">
        <f>IF(T151=0,0,T188/T151)</f>
        <v>0.13986013986013987</v>
      </c>
      <c r="V188" s="24">
        <f>V189+V197</f>
        <v>150</v>
      </c>
      <c r="W188" s="25">
        <f>IF(V151=0,0,V188/V151)</f>
        <v>0.1</v>
      </c>
      <c r="X188" s="24">
        <f>X189+X197</f>
        <v>150</v>
      </c>
      <c r="Y188" s="25">
        <f>IF(X188=0,0,X188/X188)</f>
        <v>1</v>
      </c>
      <c r="Z188" s="24">
        <f>Z189+Z197</f>
        <v>2210.27</v>
      </c>
      <c r="AA188" s="25">
        <f>IF(Z151=0,0,Z188/Z151)</f>
        <v>0.10190272014753342</v>
      </c>
    </row>
    <row r="189" spans="1:27" x14ac:dyDescent="0.2">
      <c r="A189" s="33" t="s">
        <v>79</v>
      </c>
      <c r="B189" s="18">
        <f>SUM(B190:B196)</f>
        <v>0</v>
      </c>
      <c r="C189" s="19">
        <f>IF(B$188=0,0,B189/B$188)</f>
        <v>0</v>
      </c>
      <c r="D189" s="18">
        <f>SUM(D190:D196)</f>
        <v>0</v>
      </c>
      <c r="E189" s="19">
        <f>IF(D$188=0,0,D189/D$188)</f>
        <v>0</v>
      </c>
      <c r="F189" s="18">
        <f>SUM(F190:F196)</f>
        <v>0</v>
      </c>
      <c r="G189" s="19">
        <f>IF(F$188=0,0,F189/F$188)</f>
        <v>0</v>
      </c>
      <c r="H189" s="18">
        <f>SUM(H190:H196)</f>
        <v>90</v>
      </c>
      <c r="I189" s="19">
        <f>IF(H$188=0,0,H189/H$188)</f>
        <v>0.375</v>
      </c>
      <c r="J189" s="18">
        <f>SUM(J190:J196)</f>
        <v>0</v>
      </c>
      <c r="K189" s="19">
        <f>IF(J$188=0,0,J189/J$188)</f>
        <v>0</v>
      </c>
      <c r="L189" s="18">
        <f>SUM(L190:L196)</f>
        <v>150</v>
      </c>
      <c r="M189" s="19">
        <f>IF(L$188=0,0,L189/L$188)</f>
        <v>0.6</v>
      </c>
      <c r="N189" s="18">
        <f>SUM(N190:N196)</f>
        <v>150</v>
      </c>
      <c r="O189" s="19">
        <f>IF(N$188=0,0,N189/N$188)</f>
        <v>0.62429766512673235</v>
      </c>
      <c r="P189" s="18">
        <f>SUM(P190:P196)</f>
        <v>150</v>
      </c>
      <c r="Q189" s="19">
        <f>IF(P$188=0,0,P189/P$188)</f>
        <v>1</v>
      </c>
      <c r="R189" s="18">
        <f>SUM(R190:R196)</f>
        <v>150</v>
      </c>
      <c r="S189" s="19">
        <f>IF(R$188=0,0,R189/R$188)</f>
        <v>1</v>
      </c>
      <c r="T189" s="18">
        <f>SUM(T190:T196)</f>
        <v>150</v>
      </c>
      <c r="U189" s="19">
        <f>IF(T$188=0,0,T189/T$188)</f>
        <v>0.5</v>
      </c>
      <c r="V189" s="18">
        <f>SUM(V190:V196)</f>
        <v>150</v>
      </c>
      <c r="W189" s="19">
        <f>IF(V$188=0,0,V189/V$188)</f>
        <v>1</v>
      </c>
      <c r="X189" s="18">
        <f>SUM(X190:X196)</f>
        <v>150</v>
      </c>
      <c r="Y189" s="19">
        <f>IF(X$188=0,0,X189/X$188)</f>
        <v>1</v>
      </c>
      <c r="Z189" s="18">
        <f>SUM(Z190:Z196)</f>
        <v>1140</v>
      </c>
      <c r="AA189" s="19">
        <f>IF(Z$40=0,0,Z189/Z$40)</f>
        <v>0.10177290180432642</v>
      </c>
    </row>
    <row r="190" spans="1:27" hidden="1" outlineLevel="1" x14ac:dyDescent="0.2">
      <c r="A190" s="8" t="s">
        <v>16</v>
      </c>
      <c r="B190" s="20">
        <f>SUMIFS(Tabla2[B],Tabla2[ANY],$Z$150,Tabla2[MES],'2022'!B$2,Tabla2[TIPUS],'2022'!$A190)</f>
        <v>0</v>
      </c>
      <c r="C190" s="21">
        <f>IF(B$189=0,0,B190/B$189)</f>
        <v>0</v>
      </c>
      <c r="D190" s="20">
        <f>SUMIFS(Tabla2[B],Tabla2[ANY],$Z$150,Tabla2[MES],'2022'!D$2,Tabla2[TIPUS],'2022'!$A190)</f>
        <v>0</v>
      </c>
      <c r="E190" s="21">
        <f>IF(D$189=0,0,D190/D$189)</f>
        <v>0</v>
      </c>
      <c r="F190" s="20">
        <f>SUMIFS(Tabla2[B],Tabla2[ANY],$Z$150,Tabla2[MES],'2022'!F$2,Tabla2[TIPUS],'2022'!$A190)</f>
        <v>0</v>
      </c>
      <c r="G190" s="21">
        <f t="shared" ref="G190:G196" si="193">IF(F$189=0,0,F190/F$189)</f>
        <v>0</v>
      </c>
      <c r="H190" s="20">
        <f>SUMIFS(Tabla2[B],Tabla2[ANY],$Z$150,Tabla2[MES],'2022'!H$2,Tabla2[TIPUS],'2022'!$A190)</f>
        <v>0</v>
      </c>
      <c r="I190" s="21">
        <f t="shared" ref="I190:I196" si="194">IF(H$189=0,0,H190/H$189)</f>
        <v>0</v>
      </c>
      <c r="J190" s="20">
        <f>SUMIFS(Tabla2[B],Tabla2[ANY],$Z$150,Tabla2[MES],'2022'!J$2,Tabla2[TIPUS],'2022'!$A190)</f>
        <v>0</v>
      </c>
      <c r="K190" s="21">
        <f t="shared" ref="K190:K196" si="195">IF(J$189=0,0,J190/J$189)</f>
        <v>0</v>
      </c>
      <c r="L190" s="20">
        <f>SUMIFS(Tabla2[B],Tabla2[ANY],$Z$150,Tabla2[MES],'2022'!L$2,Tabla2[TIPUS],'2022'!$A190)</f>
        <v>150</v>
      </c>
      <c r="M190" s="21">
        <f t="shared" ref="M190:M196" si="196">IF(L$189=0,0,L190/L$189)</f>
        <v>1</v>
      </c>
      <c r="N190" s="20">
        <f>SUMIFS(Tabla2[B],Tabla2[ANY],$Z$150,Tabla2[MES],'2022'!N$2,Tabla2[TIPUS],'2022'!$A190)</f>
        <v>150</v>
      </c>
      <c r="O190" s="21">
        <f t="shared" ref="O190:O196" si="197">IF(N$189=0,0,N190/N$189)</f>
        <v>1</v>
      </c>
      <c r="P190" s="20">
        <f>SUMIFS(Tabla2[B],Tabla2[ANY],$Z$150,Tabla2[MES],'2022'!P$2,Tabla2[TIPUS],'2022'!$A190)</f>
        <v>150</v>
      </c>
      <c r="Q190" s="21">
        <f t="shared" ref="Q190:Q196" si="198">IF(P$189=0,0,P190/P$189)</f>
        <v>1</v>
      </c>
      <c r="R190" s="20">
        <f>SUMIFS(Tabla2[B],Tabla2[ANY],$Z$150,Tabla2[MES],'2022'!R$2,Tabla2[TIPUS],'2022'!$A190)</f>
        <v>150</v>
      </c>
      <c r="S190" s="21">
        <f t="shared" ref="S190:S196" si="199">IF(R$189=0,0,R190/R$189)</f>
        <v>1</v>
      </c>
      <c r="T190" s="20">
        <f>SUMIFS(Tabla2[B],Tabla2[ANY],$Z$150,Tabla2[MES],'2022'!T$2,Tabla2[TIPUS],'2022'!$A190)</f>
        <v>150</v>
      </c>
      <c r="U190" s="21">
        <f t="shared" ref="U190:U196" si="200">IF(T$189=0,0,T190/T$189)</f>
        <v>1</v>
      </c>
      <c r="V190" s="20">
        <f>SUMIFS(Tabla2[B],Tabla2[ANY],$Z$150,Tabla2[MES],'2022'!V$2,Tabla2[TIPUS],'2022'!$A190)</f>
        <v>150</v>
      </c>
      <c r="W190" s="21">
        <f t="shared" ref="W190:W196" si="201">IF(V$189=0,0,V190/V$189)</f>
        <v>1</v>
      </c>
      <c r="X190" s="20">
        <f>SUMIFS(Tabla2[B],Tabla2[ANY],$Z$150,Tabla2[MES],'2022'!X$2,Tabla2[TIPUS],'2022'!$A190)</f>
        <v>150</v>
      </c>
      <c r="Y190" s="21">
        <f t="shared" ref="Y190:Y196" si="202">IF(X$189=0,0,X190/X$189)</f>
        <v>1</v>
      </c>
      <c r="Z190" s="20">
        <f t="shared" ref="Z190:Z202" si="203">B190+D190+F190+H190+J190+L190+N190+P190+R190+T190+V190+X190</f>
        <v>1050</v>
      </c>
      <c r="AA190" s="21">
        <f>IF(Z$41=0,0,Z190/Z$41)</f>
        <v>0.14370038060072235</v>
      </c>
    </row>
    <row r="191" spans="1:27" hidden="1" outlineLevel="1" x14ac:dyDescent="0.2">
      <c r="A191" s="8" t="s">
        <v>17</v>
      </c>
      <c r="B191" s="20">
        <f>SUMIFS(Tabla2[B],Tabla2[ANY],$Z$150,Tabla2[MES],'2022'!B$2,Tabla2[TIPUS],'2022'!$A191)</f>
        <v>0</v>
      </c>
      <c r="C191" s="21">
        <f t="shared" ref="C191:E196" si="204">IF(B$189=0,0,B191/B$189)</f>
        <v>0</v>
      </c>
      <c r="D191" s="20">
        <f>SUMIFS(Tabla2[B],Tabla2[ANY],$Z$150,Tabla2[MES],'2022'!D$2,Tabla2[TIPUS],'2022'!$A191)</f>
        <v>0</v>
      </c>
      <c r="E191" s="21">
        <f t="shared" si="204"/>
        <v>0</v>
      </c>
      <c r="F191" s="20">
        <f>SUMIFS(Tabla2[B],Tabla2[ANY],$Z$150,Tabla2[MES],'2022'!F$2,Tabla2[TIPUS],'2022'!$A191)</f>
        <v>0</v>
      </c>
      <c r="G191" s="21">
        <f t="shared" si="193"/>
        <v>0</v>
      </c>
      <c r="H191" s="20">
        <f>SUMIFS(Tabla2[B],Tabla2[ANY],$Z$150,Tabla2[MES],'2022'!H$2,Tabla2[TIPUS],'2022'!$A191)</f>
        <v>0</v>
      </c>
      <c r="I191" s="21">
        <f t="shared" si="194"/>
        <v>0</v>
      </c>
      <c r="J191" s="20">
        <f>SUMIFS(Tabla2[B],Tabla2[ANY],$Z$150,Tabla2[MES],'2022'!J$2,Tabla2[TIPUS],'2022'!$A191)</f>
        <v>0</v>
      </c>
      <c r="K191" s="21">
        <f t="shared" si="195"/>
        <v>0</v>
      </c>
      <c r="L191" s="20">
        <f>SUMIFS(Tabla2[B],Tabla2[ANY],$Z$150,Tabla2[MES],'2022'!L$2,Tabla2[TIPUS],'2022'!$A191)</f>
        <v>0</v>
      </c>
      <c r="M191" s="21">
        <f t="shared" si="196"/>
        <v>0</v>
      </c>
      <c r="N191" s="20">
        <f>SUMIFS(Tabla2[B],Tabla2[ANY],$Z$150,Tabla2[MES],'2022'!N$2,Tabla2[TIPUS],'2022'!$A191)</f>
        <v>0</v>
      </c>
      <c r="O191" s="21">
        <f t="shared" si="197"/>
        <v>0</v>
      </c>
      <c r="P191" s="20">
        <f>SUMIFS(Tabla2[B],Tabla2[ANY],$Z$150,Tabla2[MES],'2022'!P$2,Tabla2[TIPUS],'2022'!$A191)</f>
        <v>0</v>
      </c>
      <c r="Q191" s="21">
        <f t="shared" si="198"/>
        <v>0</v>
      </c>
      <c r="R191" s="20">
        <f>SUMIFS(Tabla2[B],Tabla2[ANY],$Z$150,Tabla2[MES],'2022'!R$2,Tabla2[TIPUS],'2022'!$A191)</f>
        <v>0</v>
      </c>
      <c r="S191" s="21">
        <f t="shared" si="199"/>
        <v>0</v>
      </c>
      <c r="T191" s="20">
        <f>SUMIFS(Tabla2[B],Tabla2[ANY],$Z$150,Tabla2[MES],'2022'!T$2,Tabla2[TIPUS],'2022'!$A191)</f>
        <v>0</v>
      </c>
      <c r="U191" s="21">
        <f t="shared" si="200"/>
        <v>0</v>
      </c>
      <c r="V191" s="20">
        <f>SUMIFS(Tabla2[B],Tabla2[ANY],$Z$150,Tabla2[MES],'2022'!V$2,Tabla2[TIPUS],'2022'!$A191)</f>
        <v>0</v>
      </c>
      <c r="W191" s="21">
        <f t="shared" si="201"/>
        <v>0</v>
      </c>
      <c r="X191" s="20">
        <f>SUMIFS(Tabla2[B],Tabla2[ANY],$Z$150,Tabla2[MES],'2022'!X$2,Tabla2[TIPUS],'2022'!$A191)</f>
        <v>0</v>
      </c>
      <c r="Y191" s="21">
        <f t="shared" si="202"/>
        <v>0</v>
      </c>
      <c r="Z191" s="20">
        <f t="shared" si="203"/>
        <v>0</v>
      </c>
      <c r="AA191" s="21">
        <f t="shared" ref="AA191:AA196" si="205">IF(Z$41=0,0,Z191/Z$41)</f>
        <v>0</v>
      </c>
    </row>
    <row r="192" spans="1:27" hidden="1" outlineLevel="1" x14ac:dyDescent="0.2">
      <c r="A192" s="8" t="s">
        <v>85</v>
      </c>
      <c r="B192" s="20">
        <f>SUMIFS(Tabla2[B],Tabla2[ANY],$Z$150,Tabla2[MES],'2022'!B$2,Tabla2[TIPUS],'2022'!$A192)</f>
        <v>0</v>
      </c>
      <c r="C192" s="21">
        <f t="shared" si="204"/>
        <v>0</v>
      </c>
      <c r="D192" s="20">
        <f>SUMIFS(Tabla2[B],Tabla2[ANY],$Z$150,Tabla2[MES],'2022'!D$2,Tabla2[TIPUS],'2022'!$A192)</f>
        <v>0</v>
      </c>
      <c r="E192" s="21">
        <f t="shared" si="204"/>
        <v>0</v>
      </c>
      <c r="F192" s="20">
        <f>SUMIFS(Tabla2[B],Tabla2[ANY],$Z$150,Tabla2[MES],'2022'!F$2,Tabla2[TIPUS],'2022'!$A192)</f>
        <v>0</v>
      </c>
      <c r="G192" s="21">
        <f t="shared" si="193"/>
        <v>0</v>
      </c>
      <c r="H192" s="20">
        <f>SUMIFS(Tabla2[B],Tabla2[ANY],$Z$150,Tabla2[MES],'2022'!H$2,Tabla2[TIPUS],'2022'!$A192)</f>
        <v>90</v>
      </c>
      <c r="I192" s="21">
        <f t="shared" si="194"/>
        <v>1</v>
      </c>
      <c r="J192" s="20">
        <f>SUMIFS(Tabla2[B],Tabla2[ANY],$Z$150,Tabla2[MES],'2022'!J$2,Tabla2[TIPUS],'2022'!$A192)</f>
        <v>0</v>
      </c>
      <c r="K192" s="21">
        <f t="shared" si="195"/>
        <v>0</v>
      </c>
      <c r="L192" s="20">
        <f>SUMIFS(Tabla2[B],Tabla2[ANY],$Z$150,Tabla2[MES],'2022'!L$2,Tabla2[TIPUS],'2022'!$A192)</f>
        <v>0</v>
      </c>
      <c r="M192" s="21">
        <f t="shared" si="196"/>
        <v>0</v>
      </c>
      <c r="N192" s="20">
        <f>SUMIFS(Tabla2[B],Tabla2[ANY],$Z$150,Tabla2[MES],'2022'!N$2,Tabla2[TIPUS],'2022'!$A192)</f>
        <v>0</v>
      </c>
      <c r="O192" s="21">
        <f t="shared" si="197"/>
        <v>0</v>
      </c>
      <c r="P192" s="20">
        <f>SUMIFS(Tabla2[B],Tabla2[ANY],$Z$150,Tabla2[MES],'2022'!P$2,Tabla2[TIPUS],'2022'!$A192)</f>
        <v>0</v>
      </c>
      <c r="Q192" s="21">
        <f t="shared" si="198"/>
        <v>0</v>
      </c>
      <c r="R192" s="20">
        <f>SUMIFS(Tabla2[B],Tabla2[ANY],$Z$150,Tabla2[MES],'2022'!R$2,Tabla2[TIPUS],'2022'!$A192)</f>
        <v>0</v>
      </c>
      <c r="S192" s="21">
        <f t="shared" si="199"/>
        <v>0</v>
      </c>
      <c r="T192" s="20">
        <f>SUMIFS(Tabla2[B],Tabla2[ANY],$Z$150,Tabla2[MES],'2022'!T$2,Tabla2[TIPUS],'2022'!$A192)</f>
        <v>0</v>
      </c>
      <c r="U192" s="21">
        <f t="shared" si="200"/>
        <v>0</v>
      </c>
      <c r="V192" s="20">
        <f>SUMIFS(Tabla2[B],Tabla2[ANY],$Z$150,Tabla2[MES],'2022'!V$2,Tabla2[TIPUS],'2022'!$A192)</f>
        <v>0</v>
      </c>
      <c r="W192" s="21">
        <f t="shared" si="201"/>
        <v>0</v>
      </c>
      <c r="X192" s="20">
        <f>SUMIFS(Tabla2[B],Tabla2[ANY],$Z$150,Tabla2[MES],'2022'!X$2,Tabla2[TIPUS],'2022'!$A192)</f>
        <v>0</v>
      </c>
      <c r="Y192" s="21">
        <f t="shared" si="202"/>
        <v>0</v>
      </c>
      <c r="Z192" s="20">
        <f t="shared" si="203"/>
        <v>90</v>
      </c>
      <c r="AA192" s="21">
        <f t="shared" si="205"/>
        <v>1.2317175480061915E-2</v>
      </c>
    </row>
    <row r="193" spans="1:27" hidden="1" outlineLevel="1" x14ac:dyDescent="0.2">
      <c r="A193" s="8" t="s">
        <v>94</v>
      </c>
      <c r="B193" s="20">
        <f>SUMIFS(Tabla2[B],Tabla2[ANY],$Z$150,Tabla2[MES],'2022'!B$2,Tabla2[TIPUS],'2022'!$A193)</f>
        <v>0</v>
      </c>
      <c r="C193" s="21">
        <f t="shared" si="204"/>
        <v>0</v>
      </c>
      <c r="D193" s="20">
        <f>SUMIFS(Tabla2[B],Tabla2[ANY],$Z$150,Tabla2[MES],'2022'!D$2,Tabla2[TIPUS],'2022'!$A193)</f>
        <v>0</v>
      </c>
      <c r="E193" s="21">
        <f t="shared" si="204"/>
        <v>0</v>
      </c>
      <c r="F193" s="20">
        <f>SUMIFS(Tabla2[B],Tabla2[ANY],$Z$150,Tabla2[MES],'2022'!F$2,Tabla2[TIPUS],'2022'!$A193)</f>
        <v>0</v>
      </c>
      <c r="G193" s="21">
        <f t="shared" si="193"/>
        <v>0</v>
      </c>
      <c r="H193" s="20">
        <f>SUMIFS(Tabla2[B],Tabla2[ANY],$Z$150,Tabla2[MES],'2022'!H$2,Tabla2[TIPUS],'2022'!$A193)</f>
        <v>0</v>
      </c>
      <c r="I193" s="21">
        <f t="shared" si="194"/>
        <v>0</v>
      </c>
      <c r="J193" s="20">
        <f>SUMIFS(Tabla2[B],Tabla2[ANY],$Z$150,Tabla2[MES],'2022'!J$2,Tabla2[TIPUS],'2022'!$A193)</f>
        <v>0</v>
      </c>
      <c r="K193" s="21">
        <f t="shared" si="195"/>
        <v>0</v>
      </c>
      <c r="L193" s="20">
        <f>SUMIFS(Tabla2[B],Tabla2[ANY],$Z$150,Tabla2[MES],'2022'!L$2,Tabla2[TIPUS],'2022'!$A193)</f>
        <v>0</v>
      </c>
      <c r="M193" s="21">
        <f t="shared" si="196"/>
        <v>0</v>
      </c>
      <c r="N193" s="20">
        <f>SUMIFS(Tabla2[B],Tabla2[ANY],$Z$150,Tabla2[MES],'2022'!N$2,Tabla2[TIPUS],'2022'!$A193)</f>
        <v>0</v>
      </c>
      <c r="O193" s="21">
        <f t="shared" si="197"/>
        <v>0</v>
      </c>
      <c r="P193" s="20">
        <f>SUMIFS(Tabla2[B],Tabla2[ANY],$Z$150,Tabla2[MES],'2022'!P$2,Tabla2[TIPUS],'2022'!$A193)</f>
        <v>0</v>
      </c>
      <c r="Q193" s="21">
        <f t="shared" si="198"/>
        <v>0</v>
      </c>
      <c r="R193" s="20">
        <f>SUMIFS(Tabla2[B],Tabla2[ANY],$Z$150,Tabla2[MES],'2022'!R$2,Tabla2[TIPUS],'2022'!$A193)</f>
        <v>0</v>
      </c>
      <c r="S193" s="21">
        <f t="shared" si="199"/>
        <v>0</v>
      </c>
      <c r="T193" s="20">
        <f>SUMIFS(Tabla2[B],Tabla2[ANY],$Z$150,Tabla2[MES],'2022'!T$2,Tabla2[TIPUS],'2022'!$A193)</f>
        <v>0</v>
      </c>
      <c r="U193" s="21">
        <f t="shared" si="200"/>
        <v>0</v>
      </c>
      <c r="V193" s="20">
        <f>SUMIFS(Tabla2[B],Tabla2[ANY],$Z$150,Tabla2[MES],'2022'!V$2,Tabla2[TIPUS],'2022'!$A193)</f>
        <v>0</v>
      </c>
      <c r="W193" s="21">
        <f t="shared" si="201"/>
        <v>0</v>
      </c>
      <c r="X193" s="20">
        <f>SUMIFS(Tabla2[B],Tabla2[ANY],$Z$150,Tabla2[MES],'2022'!X$2,Tabla2[TIPUS],'2022'!$A193)</f>
        <v>0</v>
      </c>
      <c r="Y193" s="21">
        <f t="shared" si="202"/>
        <v>0</v>
      </c>
      <c r="Z193" s="20">
        <f t="shared" si="203"/>
        <v>0</v>
      </c>
      <c r="AA193" s="21">
        <f t="shared" si="205"/>
        <v>0</v>
      </c>
    </row>
    <row r="194" spans="1:27" hidden="1" outlineLevel="1" x14ac:dyDescent="0.2">
      <c r="A194" s="8" t="s">
        <v>118</v>
      </c>
      <c r="B194" s="20">
        <f>SUMIFS(Tabla2[B],Tabla2[ANY],$Z$150,Tabla2[MES],'2022'!B$2,Tabla2[TIPUS],'2022'!$A194)</f>
        <v>0</v>
      </c>
      <c r="C194" s="21">
        <f t="shared" si="204"/>
        <v>0</v>
      </c>
      <c r="D194" s="20">
        <f>SUMIFS(Tabla2[B],Tabla2[ANY],$Z$150,Tabla2[MES],'2022'!D$2,Tabla2[TIPUS],'2022'!$A194)</f>
        <v>0</v>
      </c>
      <c r="E194" s="21">
        <f t="shared" si="204"/>
        <v>0</v>
      </c>
      <c r="F194" s="20">
        <f>SUMIFS(Tabla2[B],Tabla2[ANY],$Z$150,Tabla2[MES],'2022'!F$2,Tabla2[TIPUS],'2022'!$A194)</f>
        <v>0</v>
      </c>
      <c r="G194" s="21">
        <f t="shared" si="193"/>
        <v>0</v>
      </c>
      <c r="H194" s="20">
        <f>SUMIFS(Tabla2[B],Tabla2[ANY],$Z$150,Tabla2[MES],'2022'!H$2,Tabla2[TIPUS],'2022'!$A194)</f>
        <v>0</v>
      </c>
      <c r="I194" s="21">
        <f t="shared" si="194"/>
        <v>0</v>
      </c>
      <c r="J194" s="20">
        <f>SUMIFS(Tabla2[B],Tabla2[ANY],$Z$150,Tabla2[MES],'2022'!J$2,Tabla2[TIPUS],'2022'!$A194)</f>
        <v>0</v>
      </c>
      <c r="K194" s="21">
        <f t="shared" si="195"/>
        <v>0</v>
      </c>
      <c r="L194" s="20">
        <f>SUMIFS(Tabla2[B],Tabla2[ANY],$Z$150,Tabla2[MES],'2022'!L$2,Tabla2[TIPUS],'2022'!$A194)</f>
        <v>0</v>
      </c>
      <c r="M194" s="21">
        <f t="shared" si="196"/>
        <v>0</v>
      </c>
      <c r="N194" s="20">
        <f>SUMIFS(Tabla2[B],Tabla2[ANY],$Z$150,Tabla2[MES],'2022'!N$2,Tabla2[TIPUS],'2022'!$A194)</f>
        <v>0</v>
      </c>
      <c r="O194" s="21">
        <f t="shared" si="197"/>
        <v>0</v>
      </c>
      <c r="P194" s="20">
        <f>SUMIFS(Tabla2[B],Tabla2[ANY],$Z$150,Tabla2[MES],'2022'!P$2,Tabla2[TIPUS],'2022'!$A194)</f>
        <v>0</v>
      </c>
      <c r="Q194" s="21">
        <f t="shared" si="198"/>
        <v>0</v>
      </c>
      <c r="R194" s="20">
        <f>SUMIFS(Tabla2[B],Tabla2[ANY],$Z$150,Tabla2[MES],'2022'!R$2,Tabla2[TIPUS],'2022'!$A194)</f>
        <v>0</v>
      </c>
      <c r="S194" s="21">
        <f t="shared" si="199"/>
        <v>0</v>
      </c>
      <c r="T194" s="20">
        <f>SUMIFS(Tabla2[B],Tabla2[ANY],$Z$150,Tabla2[MES],'2022'!T$2,Tabla2[TIPUS],'2022'!$A194)</f>
        <v>0</v>
      </c>
      <c r="U194" s="21">
        <f t="shared" si="200"/>
        <v>0</v>
      </c>
      <c r="V194" s="20">
        <f>SUMIFS(Tabla2[B],Tabla2[ANY],$Z$150,Tabla2[MES],'2022'!V$2,Tabla2[TIPUS],'2022'!$A194)</f>
        <v>0</v>
      </c>
      <c r="W194" s="21">
        <f t="shared" si="201"/>
        <v>0</v>
      </c>
      <c r="X194" s="20">
        <f>SUMIFS(Tabla2[B],Tabla2[ANY],$Z$150,Tabla2[MES],'2022'!X$2,Tabla2[TIPUS],'2022'!$A194)</f>
        <v>0</v>
      </c>
      <c r="Y194" s="21">
        <f t="shared" si="202"/>
        <v>0</v>
      </c>
      <c r="Z194" s="20">
        <f t="shared" si="203"/>
        <v>0</v>
      </c>
      <c r="AA194" s="21">
        <f t="shared" si="205"/>
        <v>0</v>
      </c>
    </row>
    <row r="195" spans="1:27" hidden="1" outlineLevel="1" x14ac:dyDescent="0.2">
      <c r="A195" s="8" t="s">
        <v>97</v>
      </c>
      <c r="B195" s="20">
        <f>SUMIFS(Tabla2[B],Tabla2[ANY],$Z$150,Tabla2[MES],'2022'!B$2,Tabla2[TIPUS],'2022'!$A195)</f>
        <v>0</v>
      </c>
      <c r="C195" s="21">
        <f t="shared" si="204"/>
        <v>0</v>
      </c>
      <c r="D195" s="20">
        <f>SUMIFS(Tabla2[B],Tabla2[ANY],$Z$150,Tabla2[MES],'2022'!D$2,Tabla2[TIPUS],'2022'!$A195)</f>
        <v>0</v>
      </c>
      <c r="E195" s="21">
        <f t="shared" si="204"/>
        <v>0</v>
      </c>
      <c r="F195" s="20">
        <f>SUMIFS(Tabla2[B],Tabla2[ANY],$Z$150,Tabla2[MES],'2022'!F$2,Tabla2[TIPUS],'2022'!$A195)</f>
        <v>0</v>
      </c>
      <c r="G195" s="21">
        <f t="shared" si="193"/>
        <v>0</v>
      </c>
      <c r="H195" s="20">
        <f>SUMIFS(Tabla2[B],Tabla2[ANY],$Z$150,Tabla2[MES],'2022'!H$2,Tabla2[TIPUS],'2022'!$A195)</f>
        <v>0</v>
      </c>
      <c r="I195" s="21">
        <f t="shared" si="194"/>
        <v>0</v>
      </c>
      <c r="J195" s="20">
        <f>SUMIFS(Tabla2[B],Tabla2[ANY],$Z$150,Tabla2[MES],'2022'!J$2,Tabla2[TIPUS],'2022'!$A195)</f>
        <v>0</v>
      </c>
      <c r="K195" s="21">
        <f t="shared" si="195"/>
        <v>0</v>
      </c>
      <c r="L195" s="20">
        <f>SUMIFS(Tabla2[B],Tabla2[ANY],$Z$150,Tabla2[MES],'2022'!L$2,Tabla2[TIPUS],'2022'!$A195)</f>
        <v>0</v>
      </c>
      <c r="M195" s="21">
        <f t="shared" si="196"/>
        <v>0</v>
      </c>
      <c r="N195" s="20">
        <f>SUMIFS(Tabla2[B],Tabla2[ANY],$Z$150,Tabla2[MES],'2022'!N$2,Tabla2[TIPUS],'2022'!$A195)</f>
        <v>0</v>
      </c>
      <c r="O195" s="21">
        <f t="shared" si="197"/>
        <v>0</v>
      </c>
      <c r="P195" s="20">
        <f>SUMIFS(Tabla2[B],Tabla2[ANY],$Z$150,Tabla2[MES],'2022'!P$2,Tabla2[TIPUS],'2022'!$A195)</f>
        <v>0</v>
      </c>
      <c r="Q195" s="21">
        <f t="shared" si="198"/>
        <v>0</v>
      </c>
      <c r="R195" s="20">
        <f>SUMIFS(Tabla2[B],Tabla2[ANY],$Z$150,Tabla2[MES],'2022'!R$2,Tabla2[TIPUS],'2022'!$A195)</f>
        <v>0</v>
      </c>
      <c r="S195" s="21">
        <f t="shared" si="199"/>
        <v>0</v>
      </c>
      <c r="T195" s="20">
        <f>SUMIFS(Tabla2[B],Tabla2[ANY],$Z$150,Tabla2[MES],'2022'!T$2,Tabla2[TIPUS],'2022'!$A195)</f>
        <v>0</v>
      </c>
      <c r="U195" s="21">
        <f t="shared" si="200"/>
        <v>0</v>
      </c>
      <c r="V195" s="20">
        <f>SUMIFS(Tabla2[B],Tabla2[ANY],$Z$150,Tabla2[MES],'2022'!V$2,Tabla2[TIPUS],'2022'!$A195)</f>
        <v>0</v>
      </c>
      <c r="W195" s="21">
        <f t="shared" si="201"/>
        <v>0</v>
      </c>
      <c r="X195" s="20">
        <f>SUMIFS(Tabla2[B],Tabla2[ANY],$Z$150,Tabla2[MES],'2022'!X$2,Tabla2[TIPUS],'2022'!$A195)</f>
        <v>0</v>
      </c>
      <c r="Y195" s="21">
        <f t="shared" si="202"/>
        <v>0</v>
      </c>
      <c r="Z195" s="20">
        <f t="shared" si="203"/>
        <v>0</v>
      </c>
      <c r="AA195" s="21">
        <f t="shared" si="205"/>
        <v>0</v>
      </c>
    </row>
    <row r="196" spans="1:27" hidden="1" outlineLevel="1" x14ac:dyDescent="0.2">
      <c r="A196" s="8" t="s">
        <v>113</v>
      </c>
      <c r="B196" s="20">
        <f>SUMIFS(Tabla2[B],Tabla2[ANY],$Z$150,Tabla2[MES],'2022'!B$2,Tabla2[TIPUS],'2022'!$A196)</f>
        <v>0</v>
      </c>
      <c r="C196" s="21">
        <f t="shared" si="204"/>
        <v>0</v>
      </c>
      <c r="D196" s="20">
        <f>SUMIFS(Tabla2[B],Tabla2[ANY],$Z$150,Tabla2[MES],'2022'!D$2,Tabla2[TIPUS],'2022'!$A196)</f>
        <v>0</v>
      </c>
      <c r="E196" s="21">
        <f t="shared" si="204"/>
        <v>0</v>
      </c>
      <c r="F196" s="20">
        <f>SUMIFS(Tabla2[B],Tabla2[ANY],$Z$150,Tabla2[MES],'2022'!F$2,Tabla2[TIPUS],'2022'!$A196)</f>
        <v>0</v>
      </c>
      <c r="G196" s="21">
        <f t="shared" si="193"/>
        <v>0</v>
      </c>
      <c r="H196" s="20">
        <f>SUMIFS(Tabla2[B],Tabla2[ANY],$Z$150,Tabla2[MES],'2022'!H$2,Tabla2[TIPUS],'2022'!$A196)</f>
        <v>0</v>
      </c>
      <c r="I196" s="21">
        <f t="shared" si="194"/>
        <v>0</v>
      </c>
      <c r="J196" s="20">
        <f>SUMIFS(Tabla2[B],Tabla2[ANY],$Z$150,Tabla2[MES],'2022'!J$2,Tabla2[TIPUS],'2022'!$A196)</f>
        <v>0</v>
      </c>
      <c r="K196" s="21">
        <f t="shared" si="195"/>
        <v>0</v>
      </c>
      <c r="L196" s="20">
        <f>SUMIFS(Tabla2[B],Tabla2[ANY],$Z$150,Tabla2[MES],'2022'!L$2,Tabla2[TIPUS],'2022'!$A196)</f>
        <v>0</v>
      </c>
      <c r="M196" s="21">
        <f t="shared" si="196"/>
        <v>0</v>
      </c>
      <c r="N196" s="20">
        <f>SUMIFS(Tabla2[B],Tabla2[ANY],$Z$150,Tabla2[MES],'2022'!N$2,Tabla2[TIPUS],'2022'!$A196)</f>
        <v>0</v>
      </c>
      <c r="O196" s="21">
        <f t="shared" si="197"/>
        <v>0</v>
      </c>
      <c r="P196" s="20">
        <f>SUMIFS(Tabla2[B],Tabla2[ANY],$Z$150,Tabla2[MES],'2022'!P$2,Tabla2[TIPUS],'2022'!$A196)</f>
        <v>0</v>
      </c>
      <c r="Q196" s="21">
        <f t="shared" si="198"/>
        <v>0</v>
      </c>
      <c r="R196" s="20">
        <f>SUMIFS(Tabla2[B],Tabla2[ANY],$Z$150,Tabla2[MES],'2022'!R$2,Tabla2[TIPUS],'2022'!$A196)</f>
        <v>0</v>
      </c>
      <c r="S196" s="21">
        <f t="shared" si="199"/>
        <v>0</v>
      </c>
      <c r="T196" s="20">
        <f>SUMIFS(Tabla2[B],Tabla2[ANY],$Z$150,Tabla2[MES],'2022'!T$2,Tabla2[TIPUS],'2022'!$A196)</f>
        <v>0</v>
      </c>
      <c r="U196" s="21">
        <f t="shared" si="200"/>
        <v>0</v>
      </c>
      <c r="V196" s="20">
        <f>SUMIFS(Tabla2[B],Tabla2[ANY],$Z$150,Tabla2[MES],'2022'!V$2,Tabla2[TIPUS],'2022'!$A196)</f>
        <v>0</v>
      </c>
      <c r="W196" s="21">
        <f t="shared" si="201"/>
        <v>0</v>
      </c>
      <c r="X196" s="20">
        <f>SUMIFS(Tabla2[B],Tabla2[ANY],$Z$150,Tabla2[MES],'2022'!X$2,Tabla2[TIPUS],'2022'!$A196)</f>
        <v>0</v>
      </c>
      <c r="Y196" s="21">
        <f t="shared" si="202"/>
        <v>0</v>
      </c>
      <c r="Z196" s="20">
        <f t="shared" si="203"/>
        <v>0</v>
      </c>
      <c r="AA196" s="21">
        <f t="shared" si="205"/>
        <v>0</v>
      </c>
    </row>
    <row r="197" spans="1:27" collapsed="1" x14ac:dyDescent="0.2">
      <c r="A197" s="34" t="s">
        <v>86</v>
      </c>
      <c r="B197" s="18">
        <f>SUM(B198:B202)</f>
        <v>0</v>
      </c>
      <c r="C197" s="19">
        <f>IF(B$188=0,0,B197/B$188)</f>
        <v>0</v>
      </c>
      <c r="D197" s="18">
        <f>SUM(D198:D202)</f>
        <v>270</v>
      </c>
      <c r="E197" s="19">
        <f>IF(D$188=0,0,D197/D$188)</f>
        <v>1</v>
      </c>
      <c r="F197" s="18">
        <f>SUM(F198:F202)</f>
        <v>160</v>
      </c>
      <c r="G197" s="19">
        <f>IF(F$188=0,0,F197/F$188)</f>
        <v>1</v>
      </c>
      <c r="H197" s="18">
        <f>SUM(H198:H202)</f>
        <v>150</v>
      </c>
      <c r="I197" s="19">
        <f>IF(H$188=0,0,H197/H$188)</f>
        <v>0.625</v>
      </c>
      <c r="J197" s="18">
        <f>SUM(J198:J202)</f>
        <v>150</v>
      </c>
      <c r="K197" s="19">
        <f>IF(J$188=0,0,J197/J$188)</f>
        <v>1</v>
      </c>
      <c r="L197" s="18">
        <f>SUM(L198:L202)</f>
        <v>100</v>
      </c>
      <c r="M197" s="19">
        <f>IF(L$188=0,0,L197/L$188)</f>
        <v>0.4</v>
      </c>
      <c r="N197" s="18">
        <f>SUM(N198:N202)</f>
        <v>90.27000000000001</v>
      </c>
      <c r="O197" s="19">
        <f>IF(N$188=0,0,N197/N$188)</f>
        <v>0.3757023348732676</v>
      </c>
      <c r="P197" s="18">
        <f>SUM(P198:P202)</f>
        <v>0</v>
      </c>
      <c r="Q197" s="19">
        <f>IF(P$188=0,0,P197/P$188)</f>
        <v>0</v>
      </c>
      <c r="R197" s="18">
        <f>SUM(R198:R202)</f>
        <v>0</v>
      </c>
      <c r="S197" s="19">
        <f>IF(R$188=0,0,R197/R$188)</f>
        <v>0</v>
      </c>
      <c r="T197" s="18">
        <f>SUM(T198:T202)</f>
        <v>150</v>
      </c>
      <c r="U197" s="19">
        <f>IF(T$188=0,0,T197/T$188)</f>
        <v>0.5</v>
      </c>
      <c r="V197" s="18">
        <f>SUM(V198:V202)</f>
        <v>0</v>
      </c>
      <c r="W197" s="19">
        <f>IF(V$188=0,0,V197/V$188)</f>
        <v>0</v>
      </c>
      <c r="X197" s="18">
        <f>SUM(X198:X202)</f>
        <v>0</v>
      </c>
      <c r="Y197" s="19">
        <f>IF(X$188=0,0,X197/X$188)</f>
        <v>0</v>
      </c>
      <c r="Z197" s="18">
        <f>SUM(Z198:Z202)</f>
        <v>1070.27</v>
      </c>
      <c r="AA197" s="19">
        <f>IF(Z$40=0,0,Z197/Z$40)</f>
        <v>9.5547792643961793E-2</v>
      </c>
    </row>
    <row r="198" spans="1:27" hidden="1" outlineLevel="1" x14ac:dyDescent="0.2">
      <c r="A198" s="8" t="s">
        <v>87</v>
      </c>
      <c r="B198" s="20">
        <f>SUMIFS(Tabla2[B],Tabla2[ANY],$Z$150,Tabla2[MES],'2022'!B$2,Tabla2[TIPUS],'2022'!$A198)</f>
        <v>0</v>
      </c>
      <c r="C198" s="21">
        <f>IF(B$197=0,0,B198/B$197)</f>
        <v>0</v>
      </c>
      <c r="D198" s="20">
        <f>SUMIFS(Tabla2[B],Tabla2[ANY],$Z$150,Tabla2[MES],'2022'!D$2,Tabla2[TIPUS],'2022'!$A198)</f>
        <v>0</v>
      </c>
      <c r="E198" s="21">
        <f>IF(D$197=0,0,D198/D$197)</f>
        <v>0</v>
      </c>
      <c r="F198" s="20">
        <f>SUMIFS(Tabla2[B],Tabla2[ANY],$Z$150,Tabla2[MES],'2022'!F$2,Tabla2[TIPUS],'2022'!$A198)</f>
        <v>0</v>
      </c>
      <c r="G198" s="21">
        <f>IF(F$197=0,0,F198/F$197)</f>
        <v>0</v>
      </c>
      <c r="H198" s="20">
        <f>SUMIFS(Tabla2[B],Tabla2[ANY],$Z$150,Tabla2[MES],'2022'!H$2,Tabla2[TIPUS],'2022'!$A198)</f>
        <v>0</v>
      </c>
      <c r="I198" s="21">
        <f>IF(H$197=0,0,H198/H$197)</f>
        <v>0</v>
      </c>
      <c r="J198" s="20">
        <f>SUMIFS(Tabla2[B],Tabla2[ANY],$Z$150,Tabla2[MES],'2022'!J$2,Tabla2[TIPUS],'2022'!$A198)</f>
        <v>0</v>
      </c>
      <c r="K198" s="21">
        <f>IF(J$197=0,0,J198/J$197)</f>
        <v>0</v>
      </c>
      <c r="L198" s="20">
        <f>SUMIFS(Tabla2[B],Tabla2[ANY],$Z$150,Tabla2[MES],'2022'!L$2,Tabla2[TIPUS],'2022'!$A198)</f>
        <v>0</v>
      </c>
      <c r="M198" s="21">
        <f>IF(L$197=0,0,L198/L$197)</f>
        <v>0</v>
      </c>
      <c r="N198" s="20">
        <f>SUMIFS(Tabla2[B],Tabla2[ANY],$Z$150,Tabla2[MES],'2022'!N$2,Tabla2[TIPUS],'2022'!$A198)</f>
        <v>0</v>
      </c>
      <c r="O198" s="21">
        <f>IF(N$197=0,0,N198/N$197)</f>
        <v>0</v>
      </c>
      <c r="P198" s="20">
        <f>SUMIFS(Tabla2[B],Tabla2[ANY],$Z$150,Tabla2[MES],'2022'!P$2,Tabla2[TIPUS],'2022'!$A198)</f>
        <v>0</v>
      </c>
      <c r="Q198" s="21">
        <f>IF(P$197=0,0,P198/P$197)</f>
        <v>0</v>
      </c>
      <c r="R198" s="20">
        <f>SUMIFS(Tabla2[B],Tabla2[ANY],$Z$150,Tabla2[MES],'2022'!R$2,Tabla2[TIPUS],'2022'!$A198)</f>
        <v>0</v>
      </c>
      <c r="S198" s="21">
        <f>IF(R$197=0,0,R198/R$197)</f>
        <v>0</v>
      </c>
      <c r="T198" s="20">
        <f>SUMIFS(Tabla2[B],Tabla2[ANY],$Z$150,Tabla2[MES],'2022'!T$2,Tabla2[TIPUS],'2022'!$A198)</f>
        <v>0</v>
      </c>
      <c r="U198" s="21">
        <f>IF(T$197=0,0,T198/T$197)</f>
        <v>0</v>
      </c>
      <c r="V198" s="20">
        <f>SUMIFS(Tabla2[B],Tabla2[ANY],$Z$150,Tabla2[MES],'2022'!V$2,Tabla2[TIPUS],'2022'!$A198)</f>
        <v>0</v>
      </c>
      <c r="W198" s="21">
        <f>IF(V$197=0,0,V198/V$197)</f>
        <v>0</v>
      </c>
      <c r="X198" s="20">
        <f>SUMIFS(Tabla2[B],Tabla2[ANY],$Z$150,Tabla2[MES],'2022'!X$2,Tabla2[TIPUS],'2022'!$A198)</f>
        <v>0</v>
      </c>
      <c r="Y198" s="21">
        <f>IF(X$197=0,0,X198/X$197)</f>
        <v>0</v>
      </c>
      <c r="Z198" s="20">
        <f t="shared" si="203"/>
        <v>0</v>
      </c>
      <c r="AA198" s="21">
        <f>IF(Z$49=0,0,Z198/Z$49)</f>
        <v>0</v>
      </c>
    </row>
    <row r="199" spans="1:27" hidden="1" outlineLevel="1" x14ac:dyDescent="0.2">
      <c r="A199" s="8" t="s">
        <v>88</v>
      </c>
      <c r="B199" s="20">
        <f>SUMIFS(Tabla2[B],Tabla2[ANY],$Z$150,Tabla2[MES],'2022'!B$2,Tabla2[TIPUS],'2022'!$A199)</f>
        <v>0</v>
      </c>
      <c r="C199" s="21">
        <f t="shared" ref="C199:E202" si="206">IF(B$197=0,0,B199/B$197)</f>
        <v>0</v>
      </c>
      <c r="D199" s="20">
        <f>SUMIFS(Tabla2[B],Tabla2[ANY],$Z$150,Tabla2[MES],'2022'!D$2,Tabla2[TIPUS],'2022'!$A199)</f>
        <v>0</v>
      </c>
      <c r="E199" s="21">
        <f t="shared" si="206"/>
        <v>0</v>
      </c>
      <c r="F199" s="20">
        <f>SUMIFS(Tabla2[B],Tabla2[ANY],$Z$150,Tabla2[MES],'2022'!F$2,Tabla2[TIPUS],'2022'!$A199)</f>
        <v>0</v>
      </c>
      <c r="G199" s="21">
        <f>IF(F$197=0,0,F199/F$197)</f>
        <v>0</v>
      </c>
      <c r="H199" s="20">
        <f>SUMIFS(Tabla2[B],Tabla2[ANY],$Z$150,Tabla2[MES],'2022'!H$2,Tabla2[TIPUS],'2022'!$A199)</f>
        <v>0</v>
      </c>
      <c r="I199" s="21">
        <f>IF(H$197=0,0,H199/H$197)</f>
        <v>0</v>
      </c>
      <c r="J199" s="20">
        <f>SUMIFS(Tabla2[B],Tabla2[ANY],$Z$150,Tabla2[MES],'2022'!J$2,Tabla2[TIPUS],'2022'!$A199)</f>
        <v>0</v>
      </c>
      <c r="K199" s="21">
        <f>IF(J$197=0,0,J199/J$197)</f>
        <v>0</v>
      </c>
      <c r="L199" s="20">
        <f>SUMIFS(Tabla2[B],Tabla2[ANY],$Z$150,Tabla2[MES],'2022'!L$2,Tabla2[TIPUS],'2022'!$A199)</f>
        <v>0</v>
      </c>
      <c r="M199" s="21">
        <f>IF(L$197=0,0,L199/L$197)</f>
        <v>0</v>
      </c>
      <c r="N199" s="20">
        <f>SUMIFS(Tabla2[B],Tabla2[ANY],$Z$150,Tabla2[MES],'2022'!N$2,Tabla2[TIPUS],'2022'!$A199)</f>
        <v>0</v>
      </c>
      <c r="O199" s="21">
        <f>IF(N$197=0,0,N199/N$197)</f>
        <v>0</v>
      </c>
      <c r="P199" s="20">
        <f>SUMIFS(Tabla2[B],Tabla2[ANY],$Z$150,Tabla2[MES],'2022'!P$2,Tabla2[TIPUS],'2022'!$A199)</f>
        <v>0</v>
      </c>
      <c r="Q199" s="21">
        <f>IF(P$197=0,0,P199/P$197)</f>
        <v>0</v>
      </c>
      <c r="R199" s="20">
        <f>SUMIFS(Tabla2[B],Tabla2[ANY],$Z$150,Tabla2[MES],'2022'!R$2,Tabla2[TIPUS],'2022'!$A199)</f>
        <v>0</v>
      </c>
      <c r="S199" s="21">
        <f>IF(R$197=0,0,R199/R$197)</f>
        <v>0</v>
      </c>
      <c r="T199" s="20">
        <f>SUMIFS(Tabla2[B],Tabla2[ANY],$Z$150,Tabla2[MES],'2022'!T$2,Tabla2[TIPUS],'2022'!$A199)</f>
        <v>0</v>
      </c>
      <c r="U199" s="21">
        <f>IF(T$197=0,0,T199/T$197)</f>
        <v>0</v>
      </c>
      <c r="V199" s="20">
        <f>SUMIFS(Tabla2[B],Tabla2[ANY],$Z$150,Tabla2[MES],'2022'!V$2,Tabla2[TIPUS],'2022'!$A199)</f>
        <v>0</v>
      </c>
      <c r="W199" s="21">
        <f>IF(V$197=0,0,V199/V$197)</f>
        <v>0</v>
      </c>
      <c r="X199" s="20">
        <f>SUMIFS(Tabla2[B],Tabla2[ANY],$Z$150,Tabla2[MES],'2022'!X$2,Tabla2[TIPUS],'2022'!$A199)</f>
        <v>0</v>
      </c>
      <c r="Y199" s="21">
        <f>IF(X$197=0,0,X199/X$197)</f>
        <v>0</v>
      </c>
      <c r="Z199" s="20">
        <f t="shared" si="203"/>
        <v>0</v>
      </c>
      <c r="AA199" s="21">
        <f>IF(Z$49=0,0,Z199/Z$49)</f>
        <v>0</v>
      </c>
    </row>
    <row r="200" spans="1:27" hidden="1" outlineLevel="1" x14ac:dyDescent="0.2">
      <c r="A200" s="8" t="s">
        <v>89</v>
      </c>
      <c r="B200" s="20">
        <f>SUMIFS(Tabla2[B],Tabla2[ANY],$Z$150,Tabla2[MES],'2022'!B$2,Tabla2[TIPUS],'2022'!$A200)</f>
        <v>0</v>
      </c>
      <c r="C200" s="21">
        <f t="shared" si="206"/>
        <v>0</v>
      </c>
      <c r="D200" s="20">
        <f>SUMIFS(Tabla2[B],Tabla2[ANY],$Z$150,Tabla2[MES],'2022'!D$2,Tabla2[TIPUS],'2022'!$A200)</f>
        <v>0</v>
      </c>
      <c r="E200" s="21">
        <f t="shared" si="206"/>
        <v>0</v>
      </c>
      <c r="F200" s="20">
        <f>SUMIFS(Tabla2[B],Tabla2[ANY],$Z$150,Tabla2[MES],'2022'!F$2,Tabla2[TIPUS],'2022'!$A200)</f>
        <v>40</v>
      </c>
      <c r="G200" s="21">
        <f>IF(F$197=0,0,F200/F$197)</f>
        <v>0.25</v>
      </c>
      <c r="H200" s="20">
        <f>SUMIFS(Tabla2[B],Tabla2[ANY],$Z$150,Tabla2[MES],'2022'!H$2,Tabla2[TIPUS],'2022'!$A200)</f>
        <v>30</v>
      </c>
      <c r="I200" s="21">
        <f>IF(H$197=0,0,H200/H$197)</f>
        <v>0.2</v>
      </c>
      <c r="J200" s="20">
        <f>SUMIFS(Tabla2[B],Tabla2[ANY],$Z$150,Tabla2[MES],'2022'!J$2,Tabla2[TIPUS],'2022'!$A200)</f>
        <v>0</v>
      </c>
      <c r="K200" s="21">
        <f>IF(J$197=0,0,J200/J$197)</f>
        <v>0</v>
      </c>
      <c r="L200" s="20">
        <f>SUMIFS(Tabla2[B],Tabla2[ANY],$Z$150,Tabla2[MES],'2022'!L$2,Tabla2[TIPUS],'2022'!$A200)</f>
        <v>0</v>
      </c>
      <c r="M200" s="21">
        <f>IF(L$197=0,0,L200/L$197)</f>
        <v>0</v>
      </c>
      <c r="N200" s="20">
        <f>SUMIFS(Tabla2[B],Tabla2[ANY],$Z$150,Tabla2[MES],'2022'!N$2,Tabla2[TIPUS],'2022'!$A200)</f>
        <v>90.27000000000001</v>
      </c>
      <c r="O200" s="21">
        <f>IF(N$197=0,0,N200/N$197)</f>
        <v>1</v>
      </c>
      <c r="P200" s="20">
        <f>SUMIFS(Tabla2[B],Tabla2[ANY],$Z$150,Tabla2[MES],'2022'!P$2,Tabla2[TIPUS],'2022'!$A200)</f>
        <v>0</v>
      </c>
      <c r="Q200" s="21">
        <f>IF(P$197=0,0,P200/P$197)</f>
        <v>0</v>
      </c>
      <c r="R200" s="20">
        <f>SUMIFS(Tabla2[B],Tabla2[ANY],$Z$150,Tabla2[MES],'2022'!R$2,Tabla2[TIPUS],'2022'!$A200)</f>
        <v>0</v>
      </c>
      <c r="S200" s="21">
        <f>IF(R$197=0,0,R200/R$197)</f>
        <v>0</v>
      </c>
      <c r="T200" s="20">
        <f>SUMIFS(Tabla2[B],Tabla2[ANY],$Z$150,Tabla2[MES],'2022'!T$2,Tabla2[TIPUS],'2022'!$A200)</f>
        <v>0</v>
      </c>
      <c r="U200" s="21">
        <f>IF(T$197=0,0,T200/T$197)</f>
        <v>0</v>
      </c>
      <c r="V200" s="20">
        <f>SUMIFS(Tabla2[B],Tabla2[ANY],$Z$150,Tabla2[MES],'2022'!V$2,Tabla2[TIPUS],'2022'!$A200)</f>
        <v>0</v>
      </c>
      <c r="W200" s="21">
        <f>IF(V$197=0,0,V200/V$197)</f>
        <v>0</v>
      </c>
      <c r="X200" s="20">
        <f>SUMIFS(Tabla2[B],Tabla2[ANY],$Z$150,Tabla2[MES],'2022'!X$2,Tabla2[TIPUS],'2022'!$A200)</f>
        <v>0</v>
      </c>
      <c r="Y200" s="21">
        <f>IF(X$197=0,0,X200/X$197)</f>
        <v>0</v>
      </c>
      <c r="Z200" s="20">
        <f t="shared" si="203"/>
        <v>160.27000000000001</v>
      </c>
      <c r="AA200" s="21">
        <f>IF(Z$49=0,0,Z200/Z$49)</f>
        <v>4.1152485274255753E-2</v>
      </c>
    </row>
    <row r="201" spans="1:27" hidden="1" outlineLevel="1" x14ac:dyDescent="0.2">
      <c r="A201" s="8" t="s">
        <v>145</v>
      </c>
      <c r="B201" s="20">
        <f>SUMIFS(Tabla2[B],Tabla2[ANY],$Z$150,Tabla2[MES],'2022'!B$2,Tabla2[TIPUS],'2022'!$A201)</f>
        <v>0</v>
      </c>
      <c r="C201" s="21">
        <f>IF(B$197=0,0,B201/B$197)</f>
        <v>0</v>
      </c>
      <c r="D201" s="20">
        <f>SUMIFS(Tabla2[B],Tabla2[ANY],$Z$150,Tabla2[MES],'2022'!D$2,Tabla2[TIPUS],'2022'!$A201)</f>
        <v>0</v>
      </c>
      <c r="E201" s="21">
        <f>IF(D$197=0,0,D201/D$197)</f>
        <v>0</v>
      </c>
      <c r="F201" s="20">
        <f>SUMIFS(Tabla2[B],Tabla2[ANY],$Z$150,Tabla2[MES],'2022'!F$2,Tabla2[TIPUS],'2022'!$A201)</f>
        <v>0</v>
      </c>
      <c r="G201" s="21">
        <f>IF(F$197=0,0,F201/F$197)</f>
        <v>0</v>
      </c>
      <c r="H201" s="20">
        <f>SUMIFS(Tabla2[B],Tabla2[ANY],$Z$150,Tabla2[MES],'2022'!H$2,Tabla2[TIPUS],'2022'!$A201)</f>
        <v>0</v>
      </c>
      <c r="I201" s="21">
        <f>IF(H$197=0,0,H201/H$197)</f>
        <v>0</v>
      </c>
      <c r="J201" s="20">
        <f>SUMIFS(Tabla2[B],Tabla2[ANY],$Z$150,Tabla2[MES],'2022'!J$2,Tabla2[TIPUS],'2022'!$A201)</f>
        <v>0</v>
      </c>
      <c r="K201" s="21">
        <f>IF(J$197=0,0,J201/J$197)</f>
        <v>0</v>
      </c>
      <c r="L201" s="20">
        <f>SUMIFS(Tabla2[B],Tabla2[ANY],$Z$150,Tabla2[MES],'2022'!L$2,Tabla2[TIPUS],'2022'!$A201)</f>
        <v>0</v>
      </c>
      <c r="M201" s="21">
        <f>IF(L$197=0,0,L201/L$197)</f>
        <v>0</v>
      </c>
      <c r="N201" s="20">
        <f>SUMIFS(Tabla2[B],Tabla2[ANY],$Z$150,Tabla2[MES],'2022'!N$2,Tabla2[TIPUS],'2022'!$A201)</f>
        <v>0</v>
      </c>
      <c r="O201" s="21">
        <f>IF(N$197=0,0,N201/N$197)</f>
        <v>0</v>
      </c>
      <c r="P201" s="20">
        <f>SUMIFS(Tabla2[B],Tabla2[ANY],$Z$150,Tabla2[MES],'2022'!P$2,Tabla2[TIPUS],'2022'!$A201)</f>
        <v>0</v>
      </c>
      <c r="Q201" s="21">
        <f>IF(P$197=0,0,P201/P$197)</f>
        <v>0</v>
      </c>
      <c r="R201" s="20">
        <f>SUMIFS(Tabla2[B],Tabla2[ANY],$Z$150,Tabla2[MES],'2022'!R$2,Tabla2[TIPUS],'2022'!$A201)</f>
        <v>0</v>
      </c>
      <c r="S201" s="21">
        <f>IF(R$197=0,0,R201/R$197)</f>
        <v>0</v>
      </c>
      <c r="T201" s="20">
        <f>SUMIFS(Tabla2[B],Tabla2[ANY],$Z$150,Tabla2[MES],'2022'!T$2,Tabla2[TIPUS],'2022'!$A201)</f>
        <v>0</v>
      </c>
      <c r="U201" s="21">
        <f>IF(T$197=0,0,T201/T$197)</f>
        <v>0</v>
      </c>
      <c r="V201" s="20">
        <f>SUMIFS(Tabla2[B],Tabla2[ANY],$Z$150,Tabla2[MES],'2022'!V$2,Tabla2[TIPUS],'2022'!$A201)</f>
        <v>0</v>
      </c>
      <c r="W201" s="21">
        <f>IF(V$197=0,0,V201/V$197)</f>
        <v>0</v>
      </c>
      <c r="X201" s="20">
        <f>SUMIFS(Tabla2[B],Tabla2[ANY],$Z$150,Tabla2[MES],'2022'!X$2,Tabla2[TIPUS],'2022'!$A201)</f>
        <v>0</v>
      </c>
      <c r="Y201" s="21">
        <f>IF(X$197=0,0,X201/X$197)</f>
        <v>0</v>
      </c>
      <c r="Z201" s="20">
        <f>B201+D201+F201+H201+J201+L201+N201+P201+R201+T201+V201+X201</f>
        <v>0</v>
      </c>
      <c r="AA201" s="21">
        <f>IF(Z$49=0,0,Z201/Z$49)</f>
        <v>0</v>
      </c>
    </row>
    <row r="202" spans="1:27" hidden="1" outlineLevel="1" x14ac:dyDescent="0.2">
      <c r="A202" s="8" t="s">
        <v>90</v>
      </c>
      <c r="B202" s="20">
        <f>SUMIFS(Tabla2[B],Tabla2[ANY],$Z$150,Tabla2[MES],'2022'!B$2,Tabla2[TIPUS],'2022'!$A202)</f>
        <v>0</v>
      </c>
      <c r="C202" s="21">
        <f t="shared" si="206"/>
        <v>0</v>
      </c>
      <c r="D202" s="20">
        <f>SUMIFS(Tabla2[B],Tabla2[ANY],$Z$150,Tabla2[MES],'2022'!D$2,Tabla2[TIPUS],'2022'!$A202)</f>
        <v>270</v>
      </c>
      <c r="E202" s="21">
        <f t="shared" si="206"/>
        <v>1</v>
      </c>
      <c r="F202" s="20">
        <f>SUMIFS(Tabla2[B],Tabla2[ANY],$Z$150,Tabla2[MES],'2022'!F$2,Tabla2[TIPUS],'2022'!$A202)</f>
        <v>120</v>
      </c>
      <c r="G202" s="21">
        <f>IF(F$197=0,0,F202/F$197)</f>
        <v>0.75</v>
      </c>
      <c r="H202" s="20">
        <f>SUMIFS(Tabla2[B],Tabla2[ANY],$Z$150,Tabla2[MES],'2022'!H$2,Tabla2[TIPUS],'2022'!$A202)</f>
        <v>120</v>
      </c>
      <c r="I202" s="21">
        <f>IF(H$197=0,0,H202/H$197)</f>
        <v>0.8</v>
      </c>
      <c r="J202" s="20">
        <f>SUMIFS(Tabla2[B],Tabla2[ANY],$Z$150,Tabla2[MES],'2022'!J$2,Tabla2[TIPUS],'2022'!$A202)</f>
        <v>150</v>
      </c>
      <c r="K202" s="21">
        <f>IF(J$197=0,0,J202/J$197)</f>
        <v>1</v>
      </c>
      <c r="L202" s="20">
        <f>SUMIFS(Tabla2[B],Tabla2[ANY],$Z$150,Tabla2[MES],'2022'!L$2,Tabla2[TIPUS],'2022'!$A202)</f>
        <v>100</v>
      </c>
      <c r="M202" s="21">
        <f>IF(L$197=0,0,L202/L$197)</f>
        <v>1</v>
      </c>
      <c r="N202" s="20">
        <f>SUMIFS(Tabla2[B],Tabla2[ANY],$Z$150,Tabla2[MES],'2022'!N$2,Tabla2[TIPUS],'2022'!$A202)</f>
        <v>0</v>
      </c>
      <c r="O202" s="21">
        <f>IF(N$197=0,0,N202/N$197)</f>
        <v>0</v>
      </c>
      <c r="P202" s="20">
        <f>SUMIFS(Tabla2[B],Tabla2[ANY],$Z$150,Tabla2[MES],'2022'!P$2,Tabla2[TIPUS],'2022'!$A202)</f>
        <v>0</v>
      </c>
      <c r="Q202" s="21">
        <f>IF(P$197=0,0,P202/P$197)</f>
        <v>0</v>
      </c>
      <c r="R202" s="20">
        <f>SUMIFS(Tabla2[B],Tabla2[ANY],$Z$150,Tabla2[MES],'2022'!R$2,Tabla2[TIPUS],'2022'!$A202)</f>
        <v>0</v>
      </c>
      <c r="S202" s="21">
        <f>IF(R$197=0,0,R202/R$197)</f>
        <v>0</v>
      </c>
      <c r="T202" s="20">
        <f>SUMIFS(Tabla2[B],Tabla2[ANY],$Z$150,Tabla2[MES],'2022'!T$2,Tabla2[TIPUS],'2022'!$A202)</f>
        <v>150</v>
      </c>
      <c r="U202" s="21">
        <f>IF(T$197=0,0,T202/T$197)</f>
        <v>1</v>
      </c>
      <c r="V202" s="20">
        <f>SUMIFS(Tabla2[B],Tabla2[ANY],$Z$150,Tabla2[MES],'2022'!V$2,Tabla2[TIPUS],'2022'!$A202)</f>
        <v>0</v>
      </c>
      <c r="W202" s="21">
        <f>IF(V$197=0,0,V202/V$197)</f>
        <v>0</v>
      </c>
      <c r="X202" s="20">
        <f>SUMIFS(Tabla2[B],Tabla2[ANY],$Z$150,Tabla2[MES],'2022'!X$2,Tabla2[TIPUS],'2022'!$A202)</f>
        <v>0</v>
      </c>
      <c r="Y202" s="21">
        <f>IF(X$197=0,0,X202/X$197)</f>
        <v>0</v>
      </c>
      <c r="Z202" s="20">
        <f t="shared" si="203"/>
        <v>910</v>
      </c>
      <c r="AA202" s="21">
        <f>IF(Z$49=0,0,Z202/Z$49)</f>
        <v>0.23366045797449764</v>
      </c>
    </row>
    <row r="203" spans="1:27" ht="15.75" collapsed="1" thickBot="1" x14ac:dyDescent="0.25">
      <c r="A203" s="15" t="s">
        <v>121</v>
      </c>
      <c r="B203" s="26">
        <f>B151-B188</f>
        <v>860</v>
      </c>
      <c r="C203" s="27">
        <f>IF(B151=0,0,B203/B151)</f>
        <v>1</v>
      </c>
      <c r="D203" s="26">
        <f>D151-D188</f>
        <v>470</v>
      </c>
      <c r="E203" s="27">
        <f>IF(D151=0,0,D203/D151)</f>
        <v>0.63513513513513509</v>
      </c>
      <c r="F203" s="26">
        <f>F151-F188</f>
        <v>1320</v>
      </c>
      <c r="G203" s="27">
        <f>IF(F151=0,0,F203/F151)</f>
        <v>0.89189189189189189</v>
      </c>
      <c r="H203" s="26">
        <f>H151-H188</f>
        <v>1570</v>
      </c>
      <c r="I203" s="27">
        <f>IF(H151=0,0,H203/H151)</f>
        <v>0.86740331491712708</v>
      </c>
      <c r="J203" s="26">
        <f>J151-J188</f>
        <v>1850</v>
      </c>
      <c r="K203" s="27">
        <f>IF(J151=0,0,J203/J151)</f>
        <v>0.92500000000000004</v>
      </c>
      <c r="L203" s="26">
        <f>L151-L188</f>
        <v>1545</v>
      </c>
      <c r="M203" s="27">
        <f>IF(L151=0,0,L203/L151)</f>
        <v>0.8607242339832869</v>
      </c>
      <c r="N203" s="26">
        <f>N151-N188</f>
        <v>2074.73</v>
      </c>
      <c r="O203" s="27">
        <f>IF(N151=0,0,N203/N151)</f>
        <v>0.89621166306695466</v>
      </c>
      <c r="P203" s="26">
        <f>P151-P188</f>
        <v>980</v>
      </c>
      <c r="Q203" s="27">
        <f>IF(P151=0,0,P203/P151)</f>
        <v>0.86725663716814161</v>
      </c>
      <c r="R203" s="26">
        <f>R151-R188</f>
        <v>2190</v>
      </c>
      <c r="S203" s="27">
        <f>IF(R151=0,0,R203/R151)</f>
        <v>0.9358974358974359</v>
      </c>
      <c r="T203" s="26">
        <f>T151-T188</f>
        <v>1845</v>
      </c>
      <c r="U203" s="27">
        <f>IF(T151=0,0,T203/T151)</f>
        <v>0.8601398601398601</v>
      </c>
      <c r="V203" s="26">
        <f>V151-V188</f>
        <v>1350</v>
      </c>
      <c r="W203" s="27">
        <f>IF(V151=0,0,V203/V151)</f>
        <v>0.9</v>
      </c>
      <c r="X203" s="26">
        <f>X151-X188</f>
        <v>3425</v>
      </c>
      <c r="Y203" s="27">
        <f>IF(X151=0,0,X203/X151)</f>
        <v>0.95804195804195802</v>
      </c>
      <c r="Z203" s="26">
        <f>Z151-Z188</f>
        <v>19479.73</v>
      </c>
      <c r="AA203" s="27">
        <f>IF(Z151=0,0,Z203/Z151)</f>
        <v>0.89809727985246657</v>
      </c>
    </row>
    <row r="204" spans="1:27" ht="16.5" thickTop="1" thickBot="1" x14ac:dyDescent="0.25">
      <c r="A204" s="13" t="s">
        <v>120</v>
      </c>
      <c r="B204" s="28">
        <f>B205</f>
        <v>0</v>
      </c>
      <c r="C204" s="29">
        <f>IF(B151=0,0,B204/B151)</f>
        <v>0</v>
      </c>
      <c r="D204" s="28">
        <f>D205</f>
        <v>0</v>
      </c>
      <c r="E204" s="29">
        <f>IF(D151=0,0,D204/D151)</f>
        <v>0</v>
      </c>
      <c r="F204" s="28">
        <f>F205</f>
        <v>0</v>
      </c>
      <c r="G204" s="29">
        <f>IF(F151=0,0,F204/F151)</f>
        <v>0</v>
      </c>
      <c r="H204" s="28">
        <f>H205</f>
        <v>0</v>
      </c>
      <c r="I204" s="29">
        <f>IF(H151=0,0,H204/H151)</f>
        <v>0</v>
      </c>
      <c r="J204" s="28">
        <f>J205</f>
        <v>0</v>
      </c>
      <c r="K204" s="29">
        <f>IF(J151=0,0,J204/J151)</f>
        <v>0</v>
      </c>
      <c r="L204" s="28">
        <f>L205</f>
        <v>0</v>
      </c>
      <c r="M204" s="29">
        <f>IF(L151=0,0,L204/L151)</f>
        <v>0</v>
      </c>
      <c r="N204" s="28">
        <f>N205</f>
        <v>0</v>
      </c>
      <c r="O204" s="29">
        <f>IF(N151=0,0,N204/N151)</f>
        <v>0</v>
      </c>
      <c r="P204" s="28">
        <f>P205</f>
        <v>0</v>
      </c>
      <c r="Q204" s="29">
        <f>IF(P151=0,0,P204/P151)</f>
        <v>0</v>
      </c>
      <c r="R204" s="28">
        <f>R205</f>
        <v>0</v>
      </c>
      <c r="S204" s="29">
        <f>IF(R151=0,0,R204/R151)</f>
        <v>0</v>
      </c>
      <c r="T204" s="28">
        <f>T205</f>
        <v>0</v>
      </c>
      <c r="U204" s="29">
        <f>IF(T151=0,0,T204/T151)</f>
        <v>0</v>
      </c>
      <c r="V204" s="28">
        <f>V205</f>
        <v>0</v>
      </c>
      <c r="W204" s="29">
        <f>IF(V151=0,0,V204/V151)</f>
        <v>0</v>
      </c>
      <c r="X204" s="28">
        <f>X205</f>
        <v>0</v>
      </c>
      <c r="Y204" s="29">
        <f>IF(X151=0,0,X204/X151)</f>
        <v>0</v>
      </c>
      <c r="Z204" s="28">
        <f>Z205</f>
        <v>0</v>
      </c>
      <c r="AA204" s="29">
        <f>IF(Z151=0,0,Z204/Z151)</f>
        <v>0</v>
      </c>
    </row>
    <row r="205" spans="1:27" outlineLevel="1" x14ac:dyDescent="0.2">
      <c r="A205" s="8" t="s">
        <v>81</v>
      </c>
      <c r="B205" s="20">
        <v>0</v>
      </c>
      <c r="C205" s="21">
        <f>IF(B204=0,0,B205/B204)</f>
        <v>0</v>
      </c>
      <c r="D205" s="20">
        <v>0</v>
      </c>
      <c r="E205" s="21">
        <f>IF(D204=0,0,D205/D204)</f>
        <v>0</v>
      </c>
      <c r="F205" s="20">
        <v>0</v>
      </c>
      <c r="G205" s="21">
        <f>IF(F204=0,0,F205/F204)</f>
        <v>0</v>
      </c>
      <c r="H205" s="20">
        <v>0</v>
      </c>
      <c r="I205" s="21">
        <f>IF(H204=0,0,H205/H204)</f>
        <v>0</v>
      </c>
      <c r="J205" s="20">
        <v>0</v>
      </c>
      <c r="K205" s="21">
        <f>IF(J204=0,0,J205/J204)</f>
        <v>0</v>
      </c>
      <c r="L205" s="20">
        <v>0</v>
      </c>
      <c r="M205" s="21">
        <f>IF(L204=0,0,L205/L204)</f>
        <v>0</v>
      </c>
      <c r="N205" s="20">
        <v>0</v>
      </c>
      <c r="O205" s="21">
        <f>IF(N204=0,0,N205/N204)</f>
        <v>0</v>
      </c>
      <c r="P205" s="20">
        <v>0</v>
      </c>
      <c r="Q205" s="21">
        <f>IF(P204=0,0,P205/P204)</f>
        <v>0</v>
      </c>
      <c r="R205" s="20">
        <v>0</v>
      </c>
      <c r="S205" s="21">
        <f>IF(R204=0,0,R205/R204)</f>
        <v>0</v>
      </c>
      <c r="T205" s="20">
        <v>0</v>
      </c>
      <c r="U205" s="21">
        <f>IF(T204=0,0,T205/T204)</f>
        <v>0</v>
      </c>
      <c r="V205" s="20">
        <v>0</v>
      </c>
      <c r="W205" s="21">
        <f>IF(V204=0,0,V205/V204)</f>
        <v>0</v>
      </c>
      <c r="X205" s="20">
        <v>0</v>
      </c>
      <c r="Y205" s="21">
        <f>IF(X204=0,0,X205/X204)</f>
        <v>0</v>
      </c>
      <c r="Z205" s="20">
        <f>B205+D205+F205+H205+J205+L205+N205+P205+R205+T205+V205+X205</f>
        <v>0</v>
      </c>
      <c r="AA205" s="21">
        <f>IF(Z204=0,0,Z205/Z204)</f>
        <v>0</v>
      </c>
    </row>
    <row r="206" spans="1:27" ht="15.75" thickBot="1" x14ac:dyDescent="0.25">
      <c r="A206" s="15" t="s">
        <v>122</v>
      </c>
      <c r="B206" s="26">
        <f>B203-B204</f>
        <v>860</v>
      </c>
      <c r="C206" s="27">
        <f>IF(B$151=0,0,B206/B$151)</f>
        <v>1</v>
      </c>
      <c r="D206" s="26">
        <f>D203-D204</f>
        <v>470</v>
      </c>
      <c r="E206" s="27">
        <f>IF(D$151=0,0,D206/D$151)</f>
        <v>0.63513513513513509</v>
      </c>
      <c r="F206" s="26">
        <f>F203-F204</f>
        <v>1320</v>
      </c>
      <c r="G206" s="27">
        <f>IF(F$151=0,0,F206/F$151)</f>
        <v>0.89189189189189189</v>
      </c>
      <c r="H206" s="26">
        <f>H203-H204</f>
        <v>1570</v>
      </c>
      <c r="I206" s="27">
        <f>IF(H$151=0,0,H206/H$151)</f>
        <v>0.86740331491712708</v>
      </c>
      <c r="J206" s="26">
        <f>J203-J204</f>
        <v>1850</v>
      </c>
      <c r="K206" s="27">
        <f>IF(J$151=0,0,J206/J$151)</f>
        <v>0.92500000000000004</v>
      </c>
      <c r="L206" s="26">
        <f>L203-L204</f>
        <v>1545</v>
      </c>
      <c r="M206" s="27">
        <f>IF(L$151=0,0,L206/L$151)</f>
        <v>0.8607242339832869</v>
      </c>
      <c r="N206" s="26">
        <f>N203-N204</f>
        <v>2074.73</v>
      </c>
      <c r="O206" s="27">
        <f>IF(N$151=0,0,N206/N$151)</f>
        <v>0.89621166306695466</v>
      </c>
      <c r="P206" s="26">
        <f>P203-P204</f>
        <v>980</v>
      </c>
      <c r="Q206" s="27">
        <f>IF(P$151=0,0,P206/P$151)</f>
        <v>0.86725663716814161</v>
      </c>
      <c r="R206" s="26">
        <f>R203-R204</f>
        <v>2190</v>
      </c>
      <c r="S206" s="27">
        <f>IF(R$151=0,0,R206/R$151)</f>
        <v>0.9358974358974359</v>
      </c>
      <c r="T206" s="26">
        <f>T203-T204</f>
        <v>1845</v>
      </c>
      <c r="U206" s="27">
        <f>IF(T$151=0,0,T206/T$151)</f>
        <v>0.8601398601398601</v>
      </c>
      <c r="V206" s="26">
        <f>V203-V204</f>
        <v>1350</v>
      </c>
      <c r="W206" s="27">
        <f>IF(V$151=0,0,V206/V$151)</f>
        <v>0.9</v>
      </c>
      <c r="X206" s="26">
        <f>X203-X204</f>
        <v>3425</v>
      </c>
      <c r="Y206" s="27">
        <f>IF(X$151=0,0,X206/X$151)</f>
        <v>0.95804195804195802</v>
      </c>
      <c r="Z206" s="26">
        <f>Z203-Z204</f>
        <v>19479.73</v>
      </c>
      <c r="AA206" s="27">
        <f>IF(Z$3=0,0,Z206/Z$3)</f>
        <v>0.51411269464238585</v>
      </c>
    </row>
    <row r="207" spans="1:27" ht="16.5" thickTop="1" thickBot="1" x14ac:dyDescent="0.25">
      <c r="A207" s="13" t="s">
        <v>134</v>
      </c>
      <c r="B207" s="28">
        <f>B208</f>
        <v>0</v>
      </c>
      <c r="C207" s="29">
        <f>IF(B$151=0,0,B207/B$151)</f>
        <v>0</v>
      </c>
      <c r="D207" s="28">
        <f>D208</f>
        <v>0</v>
      </c>
      <c r="E207" s="29">
        <f>IF(D$151=0,0,D207/D$151)</f>
        <v>0</v>
      </c>
      <c r="F207" s="28">
        <f>F208</f>
        <v>0</v>
      </c>
      <c r="G207" s="29">
        <f>IF(F$151=0,0,F207/F$151)</f>
        <v>0</v>
      </c>
      <c r="H207" s="28">
        <f>H208</f>
        <v>0</v>
      </c>
      <c r="I207" s="29">
        <f>IF(H$151=0,0,H207/H$151)</f>
        <v>0</v>
      </c>
      <c r="J207" s="28">
        <f>J208</f>
        <v>0</v>
      </c>
      <c r="K207" s="29">
        <f>IF(J$151=0,0,J207/J$151)</f>
        <v>0</v>
      </c>
      <c r="L207" s="28">
        <f>L208</f>
        <v>0</v>
      </c>
      <c r="M207" s="29">
        <f>IF(L$151=0,0,L207/L$151)</f>
        <v>0</v>
      </c>
      <c r="N207" s="28">
        <f>N208</f>
        <v>0</v>
      </c>
      <c r="O207" s="29">
        <f>IF(N$151=0,0,N207/N$151)</f>
        <v>0</v>
      </c>
      <c r="P207" s="28">
        <f>P208</f>
        <v>0</v>
      </c>
      <c r="Q207" s="29">
        <f>IF(P$151=0,0,P207/P$151)</f>
        <v>0</v>
      </c>
      <c r="R207" s="28">
        <f>R208</f>
        <v>0</v>
      </c>
      <c r="S207" s="29">
        <f>IF(R$151=0,0,R207/R$151)</f>
        <v>0</v>
      </c>
      <c r="T207" s="28">
        <f>T208</f>
        <v>0</v>
      </c>
      <c r="U207" s="29">
        <f>IF(T$151=0,0,T207/T$151)</f>
        <v>0</v>
      </c>
      <c r="V207" s="28">
        <f>V208</f>
        <v>0</v>
      </c>
      <c r="W207" s="29">
        <f>IF(V$151=0,0,V207/V$151)</f>
        <v>0</v>
      </c>
      <c r="X207" s="28">
        <f>X208</f>
        <v>0</v>
      </c>
      <c r="Y207" s="29">
        <f>IF(X$151=0,0,X207/X$151)</f>
        <v>0</v>
      </c>
      <c r="Z207" s="28">
        <f>Z208</f>
        <v>0</v>
      </c>
      <c r="AA207" s="29">
        <f>IF(Z$3=0,0,Z207/Z$3)</f>
        <v>0</v>
      </c>
    </row>
    <row r="208" spans="1:27" hidden="1" outlineLevel="1" x14ac:dyDescent="0.2">
      <c r="A208" s="8" t="s">
        <v>133</v>
      </c>
      <c r="B208" s="20">
        <f>SUMIFS(Tabla2[B],Tabla2[ANY],2020,Tabla2[MES],'2022'!B$2,Tabla2[TIPUS],'2022'!$A208)</f>
        <v>0</v>
      </c>
      <c r="C208" s="44">
        <f>IF(B207=0,0,B208/B207)</f>
        <v>0</v>
      </c>
      <c r="D208" s="20">
        <f>SUMIFS(Tabla2[B],Tabla2[ANY],2020,Tabla2[MES],'2022'!D$2,Tabla2[TIPUS],'2022'!$A208)</f>
        <v>0</v>
      </c>
      <c r="E208" s="44">
        <f>IF(D207=0,0,D208/D207)</f>
        <v>0</v>
      </c>
      <c r="F208" s="20">
        <f>SUMIFS(Tabla2[B],Tabla2[ANY],2020,Tabla2[MES],'2022'!F$2,Tabla2[TIPUS],'2022'!$A208)</f>
        <v>0</v>
      </c>
      <c r="G208" s="44">
        <f>IF(F207=0,0,F208/F207)</f>
        <v>0</v>
      </c>
      <c r="H208" s="20">
        <f>SUMIFS(Tabla2[B],Tabla2[ANY],2020,Tabla2[MES],'2022'!H$2,Tabla2[TIPUS],'2022'!$A208)</f>
        <v>0</v>
      </c>
      <c r="I208" s="44">
        <f>IF(H207=0,0,H208/H207)</f>
        <v>0</v>
      </c>
      <c r="J208" s="20">
        <f>SUMIFS(Tabla2[B],Tabla2[ANY],2020,Tabla2[MES],'2022'!J$2,Tabla2[TIPUS],'2022'!$A208)</f>
        <v>0</v>
      </c>
      <c r="K208" s="44">
        <f>IF(J207=0,0,J208/J207)</f>
        <v>0</v>
      </c>
      <c r="L208" s="20">
        <f>SUMIFS(Tabla2[B],Tabla2[ANY],2020,Tabla2[MES],'2022'!L$2,Tabla2[TIPUS],'2022'!$A208)</f>
        <v>0</v>
      </c>
      <c r="M208" s="44">
        <f>IF(L207=0,0,L208/L207)</f>
        <v>0</v>
      </c>
      <c r="N208" s="20">
        <f>SUMIFS(Tabla2[B],Tabla2[ANY],2020,Tabla2[MES],'2022'!N$2,Tabla2[TIPUS],'2022'!$A208)</f>
        <v>0</v>
      </c>
      <c r="O208" s="44">
        <f>IF(N207=0,0,N208/N207)</f>
        <v>0</v>
      </c>
      <c r="P208" s="20">
        <f>SUMIFS(Tabla2[B],Tabla2[ANY],2020,Tabla2[MES],'2022'!P$2,Tabla2[TIPUS],'2022'!$A208)</f>
        <v>0</v>
      </c>
      <c r="Q208" s="44">
        <f>IF(P207=0,0,P208/P207)</f>
        <v>0</v>
      </c>
      <c r="R208" s="20">
        <f>SUMIFS(Tabla2[B],Tabla2[ANY],2020,Tabla2[MES],'2022'!R$2,Tabla2[TIPUS],'2022'!$A208)</f>
        <v>0</v>
      </c>
      <c r="S208" s="44">
        <f>IF(R207=0,0,R208/R207)</f>
        <v>0</v>
      </c>
      <c r="T208" s="20">
        <f>SUMIFS(Tabla2[B],Tabla2[ANY],2020,Tabla2[MES],'2022'!T$2,Tabla2[TIPUS],'2022'!$A208)</f>
        <v>0</v>
      </c>
      <c r="U208" s="44">
        <f>IF(T207=0,0,T208/T207)</f>
        <v>0</v>
      </c>
      <c r="V208" s="20">
        <f>SUMIFS(Tabla2[B],Tabla2[ANY],2020,Tabla2[MES],'2022'!V$2,Tabla2[TIPUS],'2022'!$A208)</f>
        <v>0</v>
      </c>
      <c r="W208" s="44">
        <f>IF(V207=0,0,V208/V207)</f>
        <v>0</v>
      </c>
      <c r="X208" s="20">
        <f>SUMIFS(Tabla2[B],Tabla2[ANY],2020,Tabla2[MES],'2022'!X$2,Tabla2[TIPUS],'2022'!$A208)</f>
        <v>0</v>
      </c>
      <c r="Y208" s="44">
        <f>IF(X207=0,0,X208/X207)</f>
        <v>0</v>
      </c>
      <c r="Z208" s="20">
        <f>B208+D208+F208+H208+J208+L208+N208+P208+R208+T208+V208+X208</f>
        <v>0</v>
      </c>
      <c r="AA208" s="44">
        <f>IF(Z207=0,0,Z208/Z207)</f>
        <v>0</v>
      </c>
    </row>
    <row r="209" spans="1:27" ht="15.75" collapsed="1" thickBot="1" x14ac:dyDescent="0.25">
      <c r="A209" s="15" t="s">
        <v>135</v>
      </c>
      <c r="B209" s="26">
        <f>B206-B208</f>
        <v>860</v>
      </c>
      <c r="C209" s="27">
        <f>IF(B$151=0,0,B209/B$151)</f>
        <v>1</v>
      </c>
      <c r="D209" s="26">
        <f>D206-D208</f>
        <v>470</v>
      </c>
      <c r="E209" s="27">
        <f>IF(D$151=0,0,D209/D$151)</f>
        <v>0.63513513513513509</v>
      </c>
      <c r="F209" s="26">
        <f>F206-F208</f>
        <v>1320</v>
      </c>
      <c r="G209" s="27">
        <f>IF(F$151=0,0,F209/F$151)</f>
        <v>0.89189189189189189</v>
      </c>
      <c r="H209" s="26">
        <f>H206-H208</f>
        <v>1570</v>
      </c>
      <c r="I209" s="27">
        <f>IF(H$151=0,0,H209/H$151)</f>
        <v>0.86740331491712708</v>
      </c>
      <c r="J209" s="26">
        <f>J206-J208</f>
        <v>1850</v>
      </c>
      <c r="K209" s="27">
        <f>IF(J$151=0,0,J209/J$151)</f>
        <v>0.92500000000000004</v>
      </c>
      <c r="L209" s="26">
        <f>L206-L208</f>
        <v>1545</v>
      </c>
      <c r="M209" s="27">
        <f>IF(L$151=0,0,L209/L$151)</f>
        <v>0.8607242339832869</v>
      </c>
      <c r="N209" s="26">
        <f>N206-N208</f>
        <v>2074.73</v>
      </c>
      <c r="O209" s="27">
        <f>IF(N$151=0,0,N209/N$151)</f>
        <v>0.89621166306695466</v>
      </c>
      <c r="P209" s="26">
        <f>P206-P208</f>
        <v>980</v>
      </c>
      <c r="Q209" s="27">
        <f>IF(P$151=0,0,P209/P$151)</f>
        <v>0.86725663716814161</v>
      </c>
      <c r="R209" s="26">
        <f>R206-R208</f>
        <v>2190</v>
      </c>
      <c r="S209" s="27">
        <f>IF(R$151=0,0,R209/R$151)</f>
        <v>0.9358974358974359</v>
      </c>
      <c r="T209" s="26">
        <f>T206-T208</f>
        <v>1845</v>
      </c>
      <c r="U209" s="27">
        <f>IF(T$151=0,0,T209/T$151)</f>
        <v>0.8601398601398601</v>
      </c>
      <c r="V209" s="26">
        <f>V206-V208</f>
        <v>1350</v>
      </c>
      <c r="W209" s="27">
        <f>IF(V$151=0,0,V209/V$151)</f>
        <v>0.9</v>
      </c>
      <c r="X209" s="26">
        <f>X206-X208</f>
        <v>3425</v>
      </c>
      <c r="Y209" s="27">
        <f>IF(X$151=0,0,X209/X$151)</f>
        <v>0.95804195804195802</v>
      </c>
      <c r="Z209" s="26">
        <f>Z206-Z208</f>
        <v>19479.73</v>
      </c>
      <c r="AA209" s="27">
        <f>IF(Z$3=0,0,Z209/Z$3)</f>
        <v>0.51411269464238585</v>
      </c>
    </row>
    <row r="210" spans="1:27" ht="15.75" thickTop="1" x14ac:dyDescent="0.2">
      <c r="A210" s="8" t="s">
        <v>123</v>
      </c>
      <c r="B210" s="20">
        <f>SUMIFS(Tabla2[B],Tabla2[ANY],$Z$2,Tabla2[MES],'2022'!B$2,Tabla2[TIPUS],'2022'!$A210)</f>
        <v>0</v>
      </c>
      <c r="C210" s="21">
        <f>IF(B$151=0,0,B210/B$151)</f>
        <v>0</v>
      </c>
      <c r="D210" s="20">
        <f>SUMIFS(Tabla2[B],Tabla2[ANY],$Z$2,Tabla2[MES],'2022'!D$2,Tabla2[TIPUS],'2022'!$A210)</f>
        <v>0</v>
      </c>
      <c r="E210" s="21">
        <f>IF(D$151=0,0,D210/D$151)</f>
        <v>0</v>
      </c>
      <c r="F210" s="20">
        <f>SUMIFS(Tabla2[B],Tabla2[ANY],$Z$2,Tabla2[MES],'2022'!F$2,Tabla2[TIPUS],'2022'!$A210)</f>
        <v>0</v>
      </c>
      <c r="G210" s="21">
        <f>IF(F$151=0,0,F210/F$151)</f>
        <v>0</v>
      </c>
      <c r="H210" s="20">
        <f>SUMIFS(Tabla2[B],Tabla2[ANY],$Z$2,Tabla2[MES],'2022'!H$2,Tabla2[TIPUS],'2022'!$A210)</f>
        <v>0</v>
      </c>
      <c r="I210" s="21">
        <f>IF(H$151=0,0,H210/H$151)</f>
        <v>0</v>
      </c>
      <c r="J210" s="20">
        <f>SUMIFS(Tabla2[B],Tabla2[ANY],$Z$2,Tabla2[MES],'2022'!J$2,Tabla2[TIPUS],'2022'!$A210)</f>
        <v>0</v>
      </c>
      <c r="K210" s="21">
        <f>IF(J$151=0,0,J210/J$151)</f>
        <v>0</v>
      </c>
      <c r="L210" s="20">
        <f>SUMIFS(Tabla2[B],Tabla2[ANY],$Z$2,Tabla2[MES],'2022'!L$2,Tabla2[TIPUS],'2022'!$A210)</f>
        <v>0</v>
      </c>
      <c r="M210" s="21">
        <f>IF(L$151=0,0,L210/L$151)</f>
        <v>0</v>
      </c>
      <c r="N210" s="20">
        <f>SUMIFS(Tabla2[B],Tabla2[ANY],$Z$2,Tabla2[MES],'2022'!N$2,Tabla2[TIPUS],'2022'!$A210)</f>
        <v>0</v>
      </c>
      <c r="O210" s="21">
        <f>IF(N$151=0,0,N210/N$151)</f>
        <v>0</v>
      </c>
      <c r="P210" s="20">
        <f>SUMIFS(Tabla2[B],Tabla2[ANY],$Z$2,Tabla2[MES],'2022'!P$2,Tabla2[TIPUS],'2022'!$A210)</f>
        <v>0</v>
      </c>
      <c r="Q210" s="21">
        <f>IF(P$151=0,0,P210/P$151)</f>
        <v>0</v>
      </c>
      <c r="R210" s="20">
        <f>SUMIFS(Tabla2[B],Tabla2[ANY],$Z$2,Tabla2[MES],'2022'!R$2,Tabla2[TIPUS],'2022'!$A210)</f>
        <v>0</v>
      </c>
      <c r="S210" s="21">
        <f>IF(R$151=0,0,R210/R$151)</f>
        <v>0</v>
      </c>
      <c r="T210" s="20">
        <f>SUMIFS(Tabla2[B],Tabla2[ANY],$Z$2,Tabla2[MES],'2022'!T$2,Tabla2[TIPUS],'2022'!$A210)</f>
        <v>0</v>
      </c>
      <c r="U210" s="21">
        <f>IF(T$151=0,0,T210/T$151)</f>
        <v>0</v>
      </c>
      <c r="V210" s="20">
        <f>SUMIFS(Tabla2[B],Tabla2[ANY],$Z$2,Tabla2[MES],'2022'!V$2,Tabla2[TIPUS],'2022'!$A210)</f>
        <v>0</v>
      </c>
      <c r="W210" s="21">
        <f>IF(V$151=0,0,V210/V$151)</f>
        <v>0</v>
      </c>
      <c r="X210" s="20">
        <f>SUMIFS(Tabla2[B],Tabla2[ANY],2020,Tabla2[MES],'2022'!X$2,Tabla2[TIPUS],'2022'!$A210)</f>
        <v>0</v>
      </c>
      <c r="Y210" s="21">
        <f>IF(X$151=0,0,X210/X$151)</f>
        <v>0</v>
      </c>
      <c r="Z210" s="20">
        <f>B210+D210+F210+H210+J210+L210+N210+P210+R210+T210+V210+X210</f>
        <v>0</v>
      </c>
      <c r="AA210" s="21">
        <f>IF(Z$3=0,0,Z210/Z$3)</f>
        <v>0</v>
      </c>
    </row>
    <row r="211" spans="1:27" ht="15.75" thickBot="1" x14ac:dyDescent="0.25">
      <c r="A211" s="15" t="s">
        <v>124</v>
      </c>
      <c r="B211" s="26">
        <f>B209-B210</f>
        <v>860</v>
      </c>
      <c r="C211" s="27">
        <f>IF(B151=0,0,B211/B151)</f>
        <v>1</v>
      </c>
      <c r="D211" s="26">
        <f>D209-D210</f>
        <v>470</v>
      </c>
      <c r="E211" s="27">
        <f>IF(D151=0,0,D211/D151)</f>
        <v>0.63513513513513509</v>
      </c>
      <c r="F211" s="26">
        <f>F209-F210</f>
        <v>1320</v>
      </c>
      <c r="G211" s="27">
        <f>IF(F151=0,0,F211/F151)</f>
        <v>0.89189189189189189</v>
      </c>
      <c r="H211" s="26">
        <f>H209-H210</f>
        <v>1570</v>
      </c>
      <c r="I211" s="27">
        <f>IF(H151=0,0,H211/H151)</f>
        <v>0.86740331491712708</v>
      </c>
      <c r="J211" s="26">
        <f>J209-J210</f>
        <v>1850</v>
      </c>
      <c r="K211" s="27">
        <f>IF(J151=0,0,J211/J151)</f>
        <v>0.92500000000000004</v>
      </c>
      <c r="L211" s="26">
        <f>L209-L210</f>
        <v>1545</v>
      </c>
      <c r="M211" s="27">
        <f>IF(L151=0,0,L211/L151)</f>
        <v>0.8607242339832869</v>
      </c>
      <c r="N211" s="26">
        <f>N209-N210</f>
        <v>2074.73</v>
      </c>
      <c r="O211" s="27">
        <f>IF(N151=0,0,N211/N151)</f>
        <v>0.89621166306695466</v>
      </c>
      <c r="P211" s="26">
        <f>P209-P210</f>
        <v>980</v>
      </c>
      <c r="Q211" s="27">
        <f>IF(P151=0,0,P211/P151)</f>
        <v>0.86725663716814161</v>
      </c>
      <c r="R211" s="26">
        <f>R209-R210</f>
        <v>2190</v>
      </c>
      <c r="S211" s="27">
        <f>IF(R151=0,0,R211/R151)</f>
        <v>0.9358974358974359</v>
      </c>
      <c r="T211" s="26">
        <f>T209-T210</f>
        <v>1845</v>
      </c>
      <c r="U211" s="27">
        <f>IF(T151=0,0,T211/T151)</f>
        <v>0.8601398601398601</v>
      </c>
      <c r="V211" s="26">
        <f>V209-V210</f>
        <v>1350</v>
      </c>
      <c r="W211" s="27">
        <f>IF(V151=0,0,V211/V151)</f>
        <v>0.9</v>
      </c>
      <c r="X211" s="26">
        <f>X209-X210</f>
        <v>3425</v>
      </c>
      <c r="Y211" s="27">
        <f>IF(X151=0,0,X211/X151)</f>
        <v>0.95804195804195802</v>
      </c>
      <c r="Z211" s="26">
        <f>Z209-Z210</f>
        <v>19479.73</v>
      </c>
      <c r="AA211" s="27">
        <f>IF(Z151=0,0,Z211/Z151)</f>
        <v>0.89809727985246657</v>
      </c>
    </row>
    <row r="212" spans="1:27" ht="16.5" thickTop="1" thickBot="1" x14ac:dyDescent="0.25">
      <c r="B212" s="30"/>
      <c r="C212" s="31"/>
      <c r="D212" s="30"/>
      <c r="E212" s="31"/>
      <c r="F212" s="30"/>
      <c r="G212" s="31"/>
      <c r="H212" s="30"/>
      <c r="I212" s="31"/>
      <c r="J212" s="30"/>
      <c r="K212" s="31"/>
      <c r="L212" s="30"/>
      <c r="M212" s="31"/>
      <c r="N212" s="30"/>
      <c r="O212" s="31"/>
      <c r="P212" s="30"/>
      <c r="Q212" s="31"/>
      <c r="R212" s="30"/>
      <c r="S212" s="31"/>
      <c r="T212" s="30"/>
      <c r="U212" s="31"/>
      <c r="V212" s="30"/>
      <c r="W212" s="31"/>
      <c r="X212" s="30"/>
      <c r="Y212" s="31"/>
      <c r="Z212" s="30"/>
      <c r="AA212" s="31"/>
    </row>
    <row r="213" spans="1:27" ht="15.75" thickBot="1" x14ac:dyDescent="0.25">
      <c r="A213" s="210" t="s">
        <v>136</v>
      </c>
    </row>
    <row r="214" spans="1:27" x14ac:dyDescent="0.2">
      <c r="A214" s="210"/>
      <c r="B214" s="208" t="s">
        <v>48</v>
      </c>
      <c r="C214" s="209"/>
      <c r="D214" s="208" t="s">
        <v>56</v>
      </c>
      <c r="E214" s="209"/>
      <c r="F214" s="208" t="s">
        <v>57</v>
      </c>
      <c r="G214" s="209"/>
      <c r="H214" s="208" t="s">
        <v>58</v>
      </c>
      <c r="I214" s="209"/>
      <c r="J214" s="208" t="s">
        <v>59</v>
      </c>
      <c r="K214" s="209"/>
      <c r="L214" s="208" t="s">
        <v>60</v>
      </c>
      <c r="M214" s="209"/>
      <c r="N214" s="208" t="s">
        <v>61</v>
      </c>
      <c r="O214" s="209"/>
      <c r="P214" s="208" t="s">
        <v>62</v>
      </c>
      <c r="Q214" s="209"/>
      <c r="R214" s="208" t="s">
        <v>236</v>
      </c>
      <c r="S214" s="209"/>
      <c r="T214" s="208" t="s">
        <v>63</v>
      </c>
      <c r="U214" s="209"/>
      <c r="V214" s="208" t="s">
        <v>64</v>
      </c>
      <c r="W214" s="209"/>
      <c r="X214" s="208" t="s">
        <v>65</v>
      </c>
      <c r="Y214" s="209"/>
      <c r="Z214" s="208">
        <f>Z2</f>
        <v>2022</v>
      </c>
      <c r="AA214" s="209"/>
    </row>
    <row r="215" spans="1:27" x14ac:dyDescent="0.2">
      <c r="A215" t="s">
        <v>125</v>
      </c>
      <c r="B215" s="20">
        <f>B151</f>
        <v>860</v>
      </c>
      <c r="C215" s="38">
        <f t="shared" ref="C215:C221" si="207">B215</f>
        <v>860</v>
      </c>
      <c r="D215" s="20">
        <f>D151</f>
        <v>740</v>
      </c>
      <c r="E215" s="38">
        <f>C221+D215</f>
        <v>1600</v>
      </c>
      <c r="F215" s="20">
        <f>F151</f>
        <v>1480</v>
      </c>
      <c r="G215" s="38">
        <f>E221+F215</f>
        <v>2810</v>
      </c>
      <c r="H215" s="20">
        <f>H151</f>
        <v>1810</v>
      </c>
      <c r="I215" s="38">
        <f>G221+H215</f>
        <v>4460</v>
      </c>
      <c r="J215" s="20">
        <f>J151</f>
        <v>2000</v>
      </c>
      <c r="K215" s="38">
        <f>I221+J215</f>
        <v>6220</v>
      </c>
      <c r="L215" s="20">
        <f>L151</f>
        <v>1795</v>
      </c>
      <c r="M215" s="38">
        <f>K221+L215</f>
        <v>7865</v>
      </c>
      <c r="N215" s="20">
        <f>N151</f>
        <v>2315</v>
      </c>
      <c r="O215" s="38">
        <f>M221+N215</f>
        <v>9930</v>
      </c>
      <c r="P215" s="20">
        <f>P151</f>
        <v>1130</v>
      </c>
      <c r="Q215" s="38">
        <f>O221+P215</f>
        <v>10819.73</v>
      </c>
      <c r="R215" s="20">
        <f>R151</f>
        <v>2340</v>
      </c>
      <c r="S215" s="38">
        <f>Q221+R215</f>
        <v>13009.73</v>
      </c>
      <c r="T215" s="20">
        <f>T151</f>
        <v>2145</v>
      </c>
      <c r="U215" s="38">
        <f>S221+T215</f>
        <v>15004.73</v>
      </c>
      <c r="V215" s="20">
        <f>V151</f>
        <v>1500</v>
      </c>
      <c r="W215" s="38">
        <f>U221+V215</f>
        <v>16204.73</v>
      </c>
      <c r="X215" s="20">
        <f>X151</f>
        <v>3575</v>
      </c>
      <c r="Y215" s="38">
        <f>W221+X215</f>
        <v>19629.73</v>
      </c>
      <c r="Z215" s="200">
        <f>Z151</f>
        <v>21690</v>
      </c>
      <c r="AA215" s="201"/>
    </row>
    <row r="216" spans="1:27" x14ac:dyDescent="0.2">
      <c r="A216" t="s">
        <v>126</v>
      </c>
      <c r="B216" s="20">
        <f>B188</f>
        <v>0</v>
      </c>
      <c r="C216" s="38">
        <f t="shared" si="207"/>
        <v>0</v>
      </c>
      <c r="D216" s="20">
        <f>D188</f>
        <v>270</v>
      </c>
      <c r="E216" s="38">
        <f>D216</f>
        <v>270</v>
      </c>
      <c r="F216" s="20">
        <f>F188</f>
        <v>160</v>
      </c>
      <c r="G216" s="38">
        <f>F216</f>
        <v>160</v>
      </c>
      <c r="H216" s="20">
        <f>H188</f>
        <v>240</v>
      </c>
      <c r="I216" s="38">
        <f>H216</f>
        <v>240</v>
      </c>
      <c r="J216" s="20">
        <f>J188</f>
        <v>150</v>
      </c>
      <c r="K216" s="38">
        <f>J216</f>
        <v>150</v>
      </c>
      <c r="L216" s="20">
        <f>L188</f>
        <v>250</v>
      </c>
      <c r="M216" s="38">
        <f>L216</f>
        <v>250</v>
      </c>
      <c r="N216" s="20">
        <f>N188</f>
        <v>240.27</v>
      </c>
      <c r="O216" s="38">
        <f>N216</f>
        <v>240.27</v>
      </c>
      <c r="P216" s="20">
        <f>P188</f>
        <v>150</v>
      </c>
      <c r="Q216" s="38">
        <f>P216</f>
        <v>150</v>
      </c>
      <c r="R216" s="20">
        <f>R188</f>
        <v>150</v>
      </c>
      <c r="S216" s="38">
        <f>R216</f>
        <v>150</v>
      </c>
      <c r="T216" s="20">
        <f>T188</f>
        <v>300</v>
      </c>
      <c r="U216" s="38">
        <f>T216</f>
        <v>300</v>
      </c>
      <c r="V216" s="20">
        <f>V188</f>
        <v>150</v>
      </c>
      <c r="W216" s="38">
        <f>V216</f>
        <v>150</v>
      </c>
      <c r="X216" s="20">
        <f>X188</f>
        <v>150</v>
      </c>
      <c r="Y216" s="38">
        <f>X216</f>
        <v>150</v>
      </c>
      <c r="Z216" s="200">
        <f>Z188</f>
        <v>2210.27</v>
      </c>
      <c r="AA216" s="201"/>
    </row>
    <row r="217" spans="1:27" ht="15.75" thickBot="1" x14ac:dyDescent="0.25">
      <c r="A217" s="36" t="s">
        <v>127</v>
      </c>
      <c r="B217" s="37">
        <f>B215-B216</f>
        <v>860</v>
      </c>
      <c r="C217" s="39">
        <f t="shared" si="207"/>
        <v>860</v>
      </c>
      <c r="D217" s="37">
        <f t="shared" ref="D217:Y217" si="208">D215-D216</f>
        <v>470</v>
      </c>
      <c r="E217" s="39">
        <f t="shared" si="208"/>
        <v>1330</v>
      </c>
      <c r="F217" s="37">
        <f t="shared" si="208"/>
        <v>1320</v>
      </c>
      <c r="G217" s="39">
        <f t="shared" si="208"/>
        <v>2650</v>
      </c>
      <c r="H217" s="37">
        <f t="shared" si="208"/>
        <v>1570</v>
      </c>
      <c r="I217" s="39">
        <f t="shared" si="208"/>
        <v>4220</v>
      </c>
      <c r="J217" s="37">
        <f t="shared" si="208"/>
        <v>1850</v>
      </c>
      <c r="K217" s="39">
        <f t="shared" si="208"/>
        <v>6070</v>
      </c>
      <c r="L217" s="37">
        <f t="shared" si="208"/>
        <v>1545</v>
      </c>
      <c r="M217" s="39">
        <f t="shared" si="208"/>
        <v>7615</v>
      </c>
      <c r="N217" s="37">
        <f t="shared" si="208"/>
        <v>2074.73</v>
      </c>
      <c r="O217" s="39">
        <f t="shared" si="208"/>
        <v>9689.73</v>
      </c>
      <c r="P217" s="37">
        <f t="shared" si="208"/>
        <v>980</v>
      </c>
      <c r="Q217" s="39">
        <f t="shared" si="208"/>
        <v>10669.73</v>
      </c>
      <c r="R217" s="37">
        <f t="shared" si="208"/>
        <v>2190</v>
      </c>
      <c r="S217" s="39">
        <f t="shared" si="208"/>
        <v>12859.73</v>
      </c>
      <c r="T217" s="37">
        <f t="shared" si="208"/>
        <v>1845</v>
      </c>
      <c r="U217" s="39">
        <f t="shared" si="208"/>
        <v>14704.73</v>
      </c>
      <c r="V217" s="37">
        <f t="shared" si="208"/>
        <v>1350</v>
      </c>
      <c r="W217" s="39">
        <f t="shared" si="208"/>
        <v>16054.73</v>
      </c>
      <c r="X217" s="37">
        <f t="shared" si="208"/>
        <v>3425</v>
      </c>
      <c r="Y217" s="39">
        <f t="shared" si="208"/>
        <v>19479.73</v>
      </c>
      <c r="Z217" s="202">
        <f>Z215-Z216</f>
        <v>19479.73</v>
      </c>
      <c r="AA217" s="203"/>
    </row>
    <row r="218" spans="1:27" x14ac:dyDescent="0.2">
      <c r="A218" s="2" t="s">
        <v>128</v>
      </c>
      <c r="B218" s="20">
        <f>-SUMIFS(Tabla2[B],Tabla2[ANY],$Z$214,Tabla2[MES],'2022'!B$2,Tabla2[TIPUS],'2022'!$A218)</f>
        <v>0</v>
      </c>
      <c r="C218" s="38">
        <f t="shared" si="207"/>
        <v>0</v>
      </c>
      <c r="D218" s="20">
        <f>-SUMIFS(Tabla2[B],Tabla2[ANY],$Z$214,Tabla2[MES],'2022'!D$2,Tabla2[TIPUS],'2022'!$A218)</f>
        <v>0</v>
      </c>
      <c r="E218" s="38">
        <f>D218</f>
        <v>0</v>
      </c>
      <c r="F218" s="20">
        <f>-SUMIFS(Tabla2[B],Tabla2[ANY],$Z$214,Tabla2[MES],'2022'!F$2,Tabla2[TIPUS],'2022'!$A218)</f>
        <v>0</v>
      </c>
      <c r="G218" s="38">
        <f>F218</f>
        <v>0</v>
      </c>
      <c r="H218" s="20">
        <f>-SUMIFS(Tabla2[B],Tabla2[ANY],$Z$214,Tabla2[MES],'2022'!H$2,Tabla2[TIPUS],'2022'!$A218)</f>
        <v>0</v>
      </c>
      <c r="I218" s="38">
        <f>H218</f>
        <v>0</v>
      </c>
      <c r="J218" s="20">
        <f>-SUMIFS(Tabla2[B],Tabla2[ANY],$Z$214,Tabla2[MES],'2022'!J$2,Tabla2[TIPUS],'2022'!$A218)</f>
        <v>0</v>
      </c>
      <c r="K218" s="38">
        <f>J218</f>
        <v>0</v>
      </c>
      <c r="L218" s="20">
        <f>-SUMIFS(Tabla2[B],Tabla2[ANY],$Z$214,Tabla2[MES],'2022'!L$2,Tabla2[TIPUS],'2022'!$A218)</f>
        <v>0</v>
      </c>
      <c r="M218" s="38">
        <f>L218</f>
        <v>0</v>
      </c>
      <c r="N218" s="20">
        <f>-SUMIFS(Tabla2[B],Tabla2[ANY],$Z$214,Tabla2[MES],'2022'!N$2,Tabla2[TIPUS],'2022'!$A218)</f>
        <v>0</v>
      </c>
      <c r="O218" s="38">
        <f>N218</f>
        <v>0</v>
      </c>
      <c r="P218" s="20">
        <f>-SUMIFS(Tabla2[B],Tabla2[ANY],$Z$214,Tabla2[MES],'2022'!P$2,Tabla2[TIPUS],'2022'!$A218)</f>
        <v>0</v>
      </c>
      <c r="Q218" s="38">
        <f>P218</f>
        <v>0</v>
      </c>
      <c r="R218" s="20">
        <f>-SUMIFS(Tabla2[B],Tabla2[ANY],$Z$214,Tabla2[MES],'2022'!R$2,Tabla2[TIPUS],'2022'!$A218)</f>
        <v>0</v>
      </c>
      <c r="S218" s="38">
        <f>R218</f>
        <v>0</v>
      </c>
      <c r="T218" s="20">
        <f>-SUMIFS(Tabla2[B],Tabla2[ANY],$Z$214,Tabla2[MES],'2022'!T$2,Tabla2[TIPUS],'2022'!$A218)</f>
        <v>0</v>
      </c>
      <c r="U218" s="38">
        <f>T218</f>
        <v>0</v>
      </c>
      <c r="V218" s="20">
        <f>-SUMIFS(Tabla2[B],Tabla2[ANY],$Z$214,Tabla2[MES],'2022'!V$2,Tabla2[TIPUS],'2022'!$A218)</f>
        <v>0</v>
      </c>
      <c r="W218" s="38">
        <f>V218</f>
        <v>0</v>
      </c>
      <c r="X218" s="20">
        <f>-SUMIFS(Tabla2[B],Tabla2[ANY],$Z$214,Tabla2[MES],'2022'!X$2,Tabla2[TIPUS],'2022'!$A218)</f>
        <v>0</v>
      </c>
      <c r="Y218" s="38">
        <f>X218</f>
        <v>0</v>
      </c>
      <c r="Z218" s="204">
        <f>-SUMIFS(Tabla2[B],Tabla2[ANY],$Z$214,Tabla2[TIPUS],'2022'!$A218)</f>
        <v>0</v>
      </c>
      <c r="AA218" s="205"/>
    </row>
    <row r="219" spans="1:27" x14ac:dyDescent="0.2">
      <c r="A219" t="s">
        <v>134</v>
      </c>
      <c r="B219" s="20">
        <f>-B207</f>
        <v>0</v>
      </c>
      <c r="C219" s="38">
        <f t="shared" si="207"/>
        <v>0</v>
      </c>
      <c r="D219" s="20">
        <f>-D207</f>
        <v>0</v>
      </c>
      <c r="E219" s="38">
        <f>D219</f>
        <v>0</v>
      </c>
      <c r="F219" s="20">
        <f>-F207</f>
        <v>0</v>
      </c>
      <c r="G219" s="38">
        <f>F219</f>
        <v>0</v>
      </c>
      <c r="H219" s="20">
        <f>-H207</f>
        <v>0</v>
      </c>
      <c r="I219" s="38">
        <f>H219</f>
        <v>0</v>
      </c>
      <c r="J219" s="20">
        <f>-J207</f>
        <v>0</v>
      </c>
      <c r="K219" s="38">
        <f>J219</f>
        <v>0</v>
      </c>
      <c r="L219" s="20">
        <f>-L207</f>
        <v>0</v>
      </c>
      <c r="M219" s="38">
        <f>L219</f>
        <v>0</v>
      </c>
      <c r="N219" s="20">
        <f>-N207</f>
        <v>0</v>
      </c>
      <c r="O219" s="38">
        <f>N219</f>
        <v>0</v>
      </c>
      <c r="P219" s="20">
        <f>-P207</f>
        <v>0</v>
      </c>
      <c r="Q219" s="38">
        <f>P219</f>
        <v>0</v>
      </c>
      <c r="R219" s="20">
        <f>-R207</f>
        <v>0</v>
      </c>
      <c r="S219" s="38">
        <f>R219</f>
        <v>0</v>
      </c>
      <c r="T219" s="20">
        <f>-T207</f>
        <v>0</v>
      </c>
      <c r="U219" s="38">
        <f>T219</f>
        <v>0</v>
      </c>
      <c r="V219" s="20">
        <f>-V207</f>
        <v>0</v>
      </c>
      <c r="W219" s="38">
        <f>V219</f>
        <v>0</v>
      </c>
      <c r="X219" s="20">
        <f>-X207</f>
        <v>0</v>
      </c>
      <c r="Y219" s="38">
        <f>X219</f>
        <v>0</v>
      </c>
      <c r="Z219" s="200">
        <f>-Z207</f>
        <v>0</v>
      </c>
      <c r="AA219" s="201"/>
    </row>
    <row r="220" spans="1:27" x14ac:dyDescent="0.2">
      <c r="A220" t="s">
        <v>130</v>
      </c>
      <c r="B220" s="23">
        <f>-B210</f>
        <v>0</v>
      </c>
      <c r="C220" s="35">
        <f t="shared" si="207"/>
        <v>0</v>
      </c>
      <c r="D220" s="23">
        <f>-D210</f>
        <v>0</v>
      </c>
      <c r="E220" s="35">
        <f>D220</f>
        <v>0</v>
      </c>
      <c r="F220" s="23">
        <f>-F210</f>
        <v>0</v>
      </c>
      <c r="G220" s="35">
        <f>F220</f>
        <v>0</v>
      </c>
      <c r="H220" s="23">
        <f>-H210</f>
        <v>0</v>
      </c>
      <c r="I220" s="35">
        <f>H220</f>
        <v>0</v>
      </c>
      <c r="J220" s="23">
        <f>-J210</f>
        <v>0</v>
      </c>
      <c r="K220" s="35">
        <f>J220</f>
        <v>0</v>
      </c>
      <c r="L220" s="23">
        <f>-L210</f>
        <v>0</v>
      </c>
      <c r="M220" s="35">
        <f>L220</f>
        <v>0</v>
      </c>
      <c r="N220" s="23">
        <f>-N210</f>
        <v>0</v>
      </c>
      <c r="O220" s="35">
        <f>N220</f>
        <v>0</v>
      </c>
      <c r="P220" s="23">
        <f>-P210</f>
        <v>0</v>
      </c>
      <c r="Q220" s="35">
        <f>P220</f>
        <v>0</v>
      </c>
      <c r="R220" s="23">
        <f>-R210</f>
        <v>0</v>
      </c>
      <c r="S220" s="35">
        <f>R220</f>
        <v>0</v>
      </c>
      <c r="T220" s="23">
        <f>-T210</f>
        <v>0</v>
      </c>
      <c r="U220" s="35">
        <f>T220</f>
        <v>0</v>
      </c>
      <c r="V220" s="23">
        <f>-V210</f>
        <v>0</v>
      </c>
      <c r="W220" s="35">
        <f>V220</f>
        <v>0</v>
      </c>
      <c r="X220" s="23">
        <f>-X210</f>
        <v>0</v>
      </c>
      <c r="Y220" s="35">
        <f>X220</f>
        <v>0</v>
      </c>
      <c r="Z220" s="206">
        <f>-Z210</f>
        <v>0</v>
      </c>
      <c r="AA220" s="207"/>
    </row>
    <row r="221" spans="1:27" ht="15.75" thickBot="1" x14ac:dyDescent="0.25">
      <c r="A221" s="36" t="s">
        <v>131</v>
      </c>
      <c r="B221" s="37">
        <f>B217+B218+B219+B220</f>
        <v>860</v>
      </c>
      <c r="C221" s="39">
        <f t="shared" si="207"/>
        <v>860</v>
      </c>
      <c r="D221" s="37">
        <f t="shared" ref="D221:Z221" si="209">D217+D218+D219+D220</f>
        <v>470</v>
      </c>
      <c r="E221" s="39">
        <f t="shared" si="209"/>
        <v>1330</v>
      </c>
      <c r="F221" s="37">
        <f t="shared" si="209"/>
        <v>1320</v>
      </c>
      <c r="G221" s="39">
        <f t="shared" si="209"/>
        <v>2650</v>
      </c>
      <c r="H221" s="37">
        <f t="shared" si="209"/>
        <v>1570</v>
      </c>
      <c r="I221" s="39">
        <f t="shared" si="209"/>
        <v>4220</v>
      </c>
      <c r="J221" s="37">
        <f t="shared" si="209"/>
        <v>1850</v>
      </c>
      <c r="K221" s="39">
        <f t="shared" si="209"/>
        <v>6070</v>
      </c>
      <c r="L221" s="37">
        <f t="shared" si="209"/>
        <v>1545</v>
      </c>
      <c r="M221" s="39">
        <f t="shared" si="209"/>
        <v>7615</v>
      </c>
      <c r="N221" s="37">
        <f t="shared" si="209"/>
        <v>2074.73</v>
      </c>
      <c r="O221" s="39">
        <f t="shared" si="209"/>
        <v>9689.73</v>
      </c>
      <c r="P221" s="37">
        <f t="shared" si="209"/>
        <v>980</v>
      </c>
      <c r="Q221" s="39">
        <f t="shared" si="209"/>
        <v>10669.73</v>
      </c>
      <c r="R221" s="37">
        <f t="shared" si="209"/>
        <v>2190</v>
      </c>
      <c r="S221" s="39">
        <f t="shared" si="209"/>
        <v>12859.73</v>
      </c>
      <c r="T221" s="37">
        <f t="shared" si="209"/>
        <v>1845</v>
      </c>
      <c r="U221" s="39">
        <f t="shared" si="209"/>
        <v>14704.73</v>
      </c>
      <c r="V221" s="37">
        <f t="shared" si="209"/>
        <v>1350</v>
      </c>
      <c r="W221" s="39">
        <f t="shared" si="209"/>
        <v>16054.73</v>
      </c>
      <c r="X221" s="37">
        <f t="shared" si="209"/>
        <v>3425</v>
      </c>
      <c r="Y221" s="39">
        <f t="shared" si="209"/>
        <v>19479.73</v>
      </c>
      <c r="Z221" s="202">
        <f t="shared" si="209"/>
        <v>19479.73</v>
      </c>
      <c r="AA221" s="203"/>
    </row>
  </sheetData>
  <mergeCells count="102">
    <mergeCell ref="Z216:AA216"/>
    <mergeCell ref="Z217:AA217"/>
    <mergeCell ref="Z218:AA218"/>
    <mergeCell ref="Z219:AA219"/>
    <mergeCell ref="Z220:AA220"/>
    <mergeCell ref="Z221:AA221"/>
    <mergeCell ref="R214:S214"/>
    <mergeCell ref="T214:U214"/>
    <mergeCell ref="V214:W214"/>
    <mergeCell ref="X214:Y214"/>
    <mergeCell ref="Z214:AA214"/>
    <mergeCell ref="Z215:AA215"/>
    <mergeCell ref="Z150:AA150"/>
    <mergeCell ref="A213:A214"/>
    <mergeCell ref="B214:C214"/>
    <mergeCell ref="D214:E214"/>
    <mergeCell ref="F214:G214"/>
    <mergeCell ref="H214:I214"/>
    <mergeCell ref="J214:K214"/>
    <mergeCell ref="L214:M214"/>
    <mergeCell ref="N214:O214"/>
    <mergeCell ref="P214:Q214"/>
    <mergeCell ref="N150:O150"/>
    <mergeCell ref="P150:Q150"/>
    <mergeCell ref="R150:S150"/>
    <mergeCell ref="T150:U150"/>
    <mergeCell ref="V150:W150"/>
    <mergeCell ref="X150:Y150"/>
    <mergeCell ref="B150:C150"/>
    <mergeCell ref="D150:E150"/>
    <mergeCell ref="F150:G150"/>
    <mergeCell ref="H150:I150"/>
    <mergeCell ref="J150:K150"/>
    <mergeCell ref="L150:M150"/>
    <mergeCell ref="Z142:AA142"/>
    <mergeCell ref="Z143:AA143"/>
    <mergeCell ref="Z144:AA144"/>
    <mergeCell ref="Z145:AA145"/>
    <mergeCell ref="Z146:AA146"/>
    <mergeCell ref="Z147:AA147"/>
    <mergeCell ref="R140:S140"/>
    <mergeCell ref="T140:U140"/>
    <mergeCell ref="V140:W140"/>
    <mergeCell ref="X140:Y140"/>
    <mergeCell ref="Z140:AA140"/>
    <mergeCell ref="Z141:AA141"/>
    <mergeCell ref="Z76:AA76"/>
    <mergeCell ref="A139:A140"/>
    <mergeCell ref="B140:C140"/>
    <mergeCell ref="D140:E140"/>
    <mergeCell ref="F140:G140"/>
    <mergeCell ref="H140:I140"/>
    <mergeCell ref="J140:K140"/>
    <mergeCell ref="L140:M140"/>
    <mergeCell ref="N140:O140"/>
    <mergeCell ref="P140:Q140"/>
    <mergeCell ref="N76:O76"/>
    <mergeCell ref="P76:Q76"/>
    <mergeCell ref="R76:S76"/>
    <mergeCell ref="T76:U76"/>
    <mergeCell ref="V76:W76"/>
    <mergeCell ref="X76:Y76"/>
    <mergeCell ref="B76:C76"/>
    <mergeCell ref="D76:E76"/>
    <mergeCell ref="F76:G76"/>
    <mergeCell ref="H76:I76"/>
    <mergeCell ref="J76:K76"/>
    <mergeCell ref="L76:M76"/>
    <mergeCell ref="Z68:AA68"/>
    <mergeCell ref="Z69:AA69"/>
    <mergeCell ref="Z70:AA70"/>
    <mergeCell ref="Z71:AA71"/>
    <mergeCell ref="Z72:AA72"/>
    <mergeCell ref="Z73:AA73"/>
    <mergeCell ref="R66:S66"/>
    <mergeCell ref="T66:U66"/>
    <mergeCell ref="V66:W66"/>
    <mergeCell ref="X66:Y66"/>
    <mergeCell ref="Z66:AA66"/>
    <mergeCell ref="Z67:AA67"/>
    <mergeCell ref="Z2:AA2"/>
    <mergeCell ref="A65:A66"/>
    <mergeCell ref="B66:C66"/>
    <mergeCell ref="D66:E66"/>
    <mergeCell ref="F66:G66"/>
    <mergeCell ref="H66:I66"/>
    <mergeCell ref="J66:K66"/>
    <mergeCell ref="L66:M66"/>
    <mergeCell ref="N66:O66"/>
    <mergeCell ref="P66:Q66"/>
    <mergeCell ref="N2:O2"/>
    <mergeCell ref="P2:Q2"/>
    <mergeCell ref="R2:S2"/>
    <mergeCell ref="T2:U2"/>
    <mergeCell ref="V2:W2"/>
    <mergeCell ref="X2:Y2"/>
    <mergeCell ref="B2:C2"/>
    <mergeCell ref="D2:E2"/>
    <mergeCell ref="F2:G2"/>
    <mergeCell ref="H2:I2"/>
    <mergeCell ref="J2:K2"/>
    <mergeCell ref="L2:M2"/>
  </mergeCells>
  <conditionalFormatting sqref="B55">
    <cfRule type="cellIs" dxfId="791" priority="276" operator="greaterThan">
      <formula>0</formula>
    </cfRule>
    <cfRule type="cellIs" dxfId="790" priority="275" operator="lessThan">
      <formula>0</formula>
    </cfRule>
  </conditionalFormatting>
  <conditionalFormatting sqref="B58">
    <cfRule type="cellIs" dxfId="789" priority="272" operator="greaterThan">
      <formula>0</formula>
    </cfRule>
    <cfRule type="cellIs" dxfId="788" priority="271" operator="lessThan">
      <formula>0</formula>
    </cfRule>
  </conditionalFormatting>
  <conditionalFormatting sqref="B61">
    <cfRule type="cellIs" dxfId="787" priority="268" operator="greaterThan">
      <formula>0</formula>
    </cfRule>
    <cfRule type="cellIs" dxfId="786" priority="267" operator="lessThan">
      <formula>0</formula>
    </cfRule>
  </conditionalFormatting>
  <conditionalFormatting sqref="B63">
    <cfRule type="cellIs" dxfId="785" priority="270" operator="greaterThan">
      <formula>0</formula>
    </cfRule>
    <cfRule type="cellIs" dxfId="784" priority="269" operator="lessThan">
      <formula>0</formula>
    </cfRule>
  </conditionalFormatting>
  <conditionalFormatting sqref="B129">
    <cfRule type="cellIs" dxfId="783" priority="221" operator="lessThan">
      <formula>0</formula>
    </cfRule>
    <cfRule type="cellIs" dxfId="782" priority="222" operator="greaterThan">
      <formula>0</formula>
    </cfRule>
  </conditionalFormatting>
  <conditionalFormatting sqref="B132">
    <cfRule type="cellIs" dxfId="781" priority="218" operator="greaterThan">
      <formula>0</formula>
    </cfRule>
    <cfRule type="cellIs" dxfId="780" priority="217" operator="lessThan">
      <formula>0</formula>
    </cfRule>
  </conditionalFormatting>
  <conditionalFormatting sqref="B135">
    <cfRule type="cellIs" dxfId="779" priority="213" operator="lessThan">
      <formula>0</formula>
    </cfRule>
    <cfRule type="cellIs" dxfId="778" priority="214" operator="greaterThan">
      <formula>0</formula>
    </cfRule>
  </conditionalFormatting>
  <conditionalFormatting sqref="B137">
    <cfRule type="cellIs" dxfId="777" priority="216" operator="greaterThan">
      <formula>0</formula>
    </cfRule>
    <cfRule type="cellIs" dxfId="776" priority="215" operator="lessThan">
      <formula>0</formula>
    </cfRule>
  </conditionalFormatting>
  <conditionalFormatting sqref="B203">
    <cfRule type="cellIs" dxfId="775" priority="167" operator="lessThan">
      <formula>0</formula>
    </cfRule>
    <cfRule type="cellIs" dxfId="774" priority="168" operator="greaterThan">
      <formula>0</formula>
    </cfRule>
  </conditionalFormatting>
  <conditionalFormatting sqref="B206">
    <cfRule type="cellIs" dxfId="773" priority="164" operator="greaterThan">
      <formula>0</formula>
    </cfRule>
    <cfRule type="cellIs" dxfId="772" priority="163" operator="lessThan">
      <formula>0</formula>
    </cfRule>
  </conditionalFormatting>
  <conditionalFormatting sqref="B209">
    <cfRule type="cellIs" dxfId="771" priority="159" operator="lessThan">
      <formula>0</formula>
    </cfRule>
    <cfRule type="cellIs" dxfId="770" priority="160" operator="greaterThan">
      <formula>0</formula>
    </cfRule>
  </conditionalFormatting>
  <conditionalFormatting sqref="B211">
    <cfRule type="cellIs" dxfId="769" priority="162" operator="greaterThan">
      <formula>0</formula>
    </cfRule>
    <cfRule type="cellIs" dxfId="768" priority="161" operator="lessThan">
      <formula>0</formula>
    </cfRule>
  </conditionalFormatting>
  <conditionalFormatting sqref="B69:Z69">
    <cfRule type="cellIs" dxfId="767" priority="96" operator="greaterThan">
      <formula>0</formula>
    </cfRule>
    <cfRule type="cellIs" dxfId="766" priority="95" operator="lessThan">
      <formula>0</formula>
    </cfRule>
  </conditionalFormatting>
  <conditionalFormatting sqref="B73:Z73">
    <cfRule type="cellIs" dxfId="765" priority="90" operator="greaterThan">
      <formula>0</formula>
    </cfRule>
    <cfRule type="cellIs" dxfId="764" priority="89" operator="lessThan">
      <formula>0</formula>
    </cfRule>
  </conditionalFormatting>
  <conditionalFormatting sqref="B143:Z143">
    <cfRule type="cellIs" dxfId="763" priority="93" operator="lessThan">
      <formula>0</formula>
    </cfRule>
    <cfRule type="cellIs" dxfId="762" priority="94" operator="greaterThan">
      <formula>0</formula>
    </cfRule>
  </conditionalFormatting>
  <conditionalFormatting sqref="B147:Z147">
    <cfRule type="cellIs" dxfId="761" priority="75" operator="lessThan">
      <formula>0</formula>
    </cfRule>
    <cfRule type="cellIs" dxfId="760" priority="76" operator="greaterThan">
      <formula>0</formula>
    </cfRule>
  </conditionalFormatting>
  <conditionalFormatting sqref="B217:Z217">
    <cfRule type="cellIs" dxfId="759" priority="92" operator="greaterThan">
      <formula>0</formula>
    </cfRule>
    <cfRule type="cellIs" dxfId="758" priority="91" operator="lessThan">
      <formula>0</formula>
    </cfRule>
  </conditionalFormatting>
  <conditionalFormatting sqref="B221:Z221">
    <cfRule type="cellIs" dxfId="757" priority="74" operator="greaterThan">
      <formula>0</formula>
    </cfRule>
    <cfRule type="cellIs" dxfId="756" priority="73" operator="lessThan">
      <formula>0</formula>
    </cfRule>
  </conditionalFormatting>
  <conditionalFormatting sqref="D55 F55 H55 J55 L55 N55 P55 R55 T55 V55 X55">
    <cfRule type="cellIs" dxfId="755" priority="274" operator="greaterThan">
      <formula>0</formula>
    </cfRule>
    <cfRule type="cellIs" dxfId="754" priority="273" operator="lessThan">
      <formula>0</formula>
    </cfRule>
  </conditionalFormatting>
  <conditionalFormatting sqref="D58">
    <cfRule type="cellIs" dxfId="753" priority="71" operator="lessThan">
      <formula>0</formula>
    </cfRule>
    <cfRule type="cellIs" dxfId="752" priority="72" operator="greaterThan">
      <formula>0</formula>
    </cfRule>
  </conditionalFormatting>
  <conditionalFormatting sqref="D61">
    <cfRule type="cellIs" dxfId="751" priority="266" operator="greaterThan">
      <formula>0</formula>
    </cfRule>
    <cfRule type="cellIs" dxfId="750" priority="265" operator="lessThan">
      <formula>0</formula>
    </cfRule>
  </conditionalFormatting>
  <conditionalFormatting sqref="D63">
    <cfRule type="cellIs" dxfId="749" priority="243" operator="lessThan">
      <formula>0</formula>
    </cfRule>
    <cfRule type="cellIs" dxfId="748" priority="244" operator="greaterThan">
      <formula>0</formula>
    </cfRule>
  </conditionalFormatting>
  <conditionalFormatting sqref="D129 F129 H129 J129 L129 N129 P129 R129 T129 V129 X129">
    <cfRule type="cellIs" dxfId="747" priority="220" operator="greaterThan">
      <formula>0</formula>
    </cfRule>
    <cfRule type="cellIs" dxfId="746" priority="219" operator="lessThan">
      <formula>0</formula>
    </cfRule>
  </conditionalFormatting>
  <conditionalFormatting sqref="D132">
    <cfRule type="cellIs" dxfId="745" priority="47" operator="lessThan">
      <formula>0</formula>
    </cfRule>
    <cfRule type="cellIs" dxfId="744" priority="48" operator="greaterThan">
      <formula>0</formula>
    </cfRule>
  </conditionalFormatting>
  <conditionalFormatting sqref="D135">
    <cfRule type="cellIs" dxfId="743" priority="212" operator="greaterThan">
      <formula>0</formula>
    </cfRule>
    <cfRule type="cellIs" dxfId="742" priority="211" operator="lessThan">
      <formula>0</formula>
    </cfRule>
  </conditionalFormatting>
  <conditionalFormatting sqref="D137">
    <cfRule type="cellIs" dxfId="741" priority="189" operator="lessThan">
      <formula>0</formula>
    </cfRule>
    <cfRule type="cellIs" dxfId="740" priority="190" operator="greaterThan">
      <formula>0</formula>
    </cfRule>
  </conditionalFormatting>
  <conditionalFormatting sqref="D203 F203 H203 J203 L203 N203 P203 R203 T203 V203 X203">
    <cfRule type="cellIs" dxfId="739" priority="165" operator="lessThan">
      <formula>0</formula>
    </cfRule>
    <cfRule type="cellIs" dxfId="738" priority="166" operator="greaterThan">
      <formula>0</formula>
    </cfRule>
  </conditionalFormatting>
  <conditionalFormatting sqref="D206">
    <cfRule type="cellIs" dxfId="737" priority="23" operator="lessThan">
      <formula>0</formula>
    </cfRule>
    <cfRule type="cellIs" dxfId="736" priority="24" operator="greaterThan">
      <formula>0</formula>
    </cfRule>
  </conditionalFormatting>
  <conditionalFormatting sqref="D209">
    <cfRule type="cellIs" dxfId="735" priority="151" operator="lessThan">
      <formula>0</formula>
    </cfRule>
    <cfRule type="cellIs" dxfId="734" priority="152" operator="greaterThan">
      <formula>0</formula>
    </cfRule>
  </conditionalFormatting>
  <conditionalFormatting sqref="D211">
    <cfRule type="cellIs" dxfId="733" priority="153" operator="lessThan">
      <formula>0</formula>
    </cfRule>
    <cfRule type="cellIs" dxfId="732" priority="154" operator="greaterThan">
      <formula>0</formula>
    </cfRule>
  </conditionalFormatting>
  <conditionalFormatting sqref="F58">
    <cfRule type="cellIs" dxfId="731" priority="69" operator="lessThan">
      <formula>0</formula>
    </cfRule>
    <cfRule type="cellIs" dxfId="730" priority="70" operator="greaterThan">
      <formula>0</formula>
    </cfRule>
  </conditionalFormatting>
  <conditionalFormatting sqref="F61">
    <cfRule type="cellIs" dxfId="729" priority="263" operator="lessThan">
      <formula>0</formula>
    </cfRule>
    <cfRule type="cellIs" dxfId="728" priority="264" operator="greaterThan">
      <formula>0</formula>
    </cfRule>
  </conditionalFormatting>
  <conditionalFormatting sqref="F63">
    <cfRule type="cellIs" dxfId="727" priority="241" operator="lessThan">
      <formula>0</formula>
    </cfRule>
    <cfRule type="cellIs" dxfId="726" priority="242" operator="greaterThan">
      <formula>0</formula>
    </cfRule>
  </conditionalFormatting>
  <conditionalFormatting sqref="F132">
    <cfRule type="cellIs" dxfId="725" priority="46" operator="greaterThan">
      <formula>0</formula>
    </cfRule>
    <cfRule type="cellIs" dxfId="724" priority="45" operator="lessThan">
      <formula>0</formula>
    </cfRule>
  </conditionalFormatting>
  <conditionalFormatting sqref="F135">
    <cfRule type="cellIs" dxfId="723" priority="209" operator="lessThan">
      <formula>0</formula>
    </cfRule>
    <cfRule type="cellIs" dxfId="722" priority="210" operator="greaterThan">
      <formula>0</formula>
    </cfRule>
  </conditionalFormatting>
  <conditionalFormatting sqref="F137">
    <cfRule type="cellIs" dxfId="721" priority="187" operator="lessThan">
      <formula>0</formula>
    </cfRule>
    <cfRule type="cellIs" dxfId="720" priority="188" operator="greaterThan">
      <formula>0</formula>
    </cfRule>
  </conditionalFormatting>
  <conditionalFormatting sqref="F206">
    <cfRule type="cellIs" dxfId="719" priority="22" operator="greaterThan">
      <formula>0</formula>
    </cfRule>
    <cfRule type="cellIs" dxfId="718" priority="21" operator="lessThan">
      <formula>0</formula>
    </cfRule>
  </conditionalFormatting>
  <conditionalFormatting sqref="F209">
    <cfRule type="cellIs" dxfId="717" priority="147" operator="lessThan">
      <formula>0</formula>
    </cfRule>
    <cfRule type="cellIs" dxfId="716" priority="148" operator="greaterThan">
      <formula>0</formula>
    </cfRule>
  </conditionalFormatting>
  <conditionalFormatting sqref="F211">
    <cfRule type="cellIs" dxfId="715" priority="149" operator="lessThan">
      <formula>0</formula>
    </cfRule>
    <cfRule type="cellIs" dxfId="714" priority="150" operator="greaterThan">
      <formula>0</formula>
    </cfRule>
  </conditionalFormatting>
  <conditionalFormatting sqref="H58">
    <cfRule type="cellIs" dxfId="713" priority="67" operator="lessThan">
      <formula>0</formula>
    </cfRule>
    <cfRule type="cellIs" dxfId="712" priority="68" operator="greaterThan">
      <formula>0</formula>
    </cfRule>
  </conditionalFormatting>
  <conditionalFormatting sqref="H61">
    <cfRule type="cellIs" dxfId="711" priority="262" operator="greaterThan">
      <formula>0</formula>
    </cfRule>
    <cfRule type="cellIs" dxfId="710" priority="261" operator="lessThan">
      <formula>0</formula>
    </cfRule>
  </conditionalFormatting>
  <conditionalFormatting sqref="H63">
    <cfRule type="cellIs" dxfId="709" priority="239" operator="lessThan">
      <formula>0</formula>
    </cfRule>
    <cfRule type="cellIs" dxfId="708" priority="240" operator="greaterThan">
      <formula>0</formula>
    </cfRule>
  </conditionalFormatting>
  <conditionalFormatting sqref="H132">
    <cfRule type="cellIs" dxfId="707" priority="44" operator="greaterThan">
      <formula>0</formula>
    </cfRule>
    <cfRule type="cellIs" dxfId="706" priority="43" operator="lessThan">
      <formula>0</formula>
    </cfRule>
  </conditionalFormatting>
  <conditionalFormatting sqref="H135">
    <cfRule type="cellIs" dxfId="705" priority="207" operator="lessThan">
      <formula>0</formula>
    </cfRule>
    <cfRule type="cellIs" dxfId="704" priority="208" operator="greaterThan">
      <formula>0</formula>
    </cfRule>
  </conditionalFormatting>
  <conditionalFormatting sqref="H137">
    <cfRule type="cellIs" dxfId="703" priority="186" operator="greaterThan">
      <formula>0</formula>
    </cfRule>
    <cfRule type="cellIs" dxfId="702" priority="185" operator="lessThan">
      <formula>0</formula>
    </cfRule>
  </conditionalFormatting>
  <conditionalFormatting sqref="H206">
    <cfRule type="cellIs" dxfId="701" priority="19" operator="lessThan">
      <formula>0</formula>
    </cfRule>
    <cfRule type="cellIs" dxfId="700" priority="20" operator="greaterThan">
      <formula>0</formula>
    </cfRule>
  </conditionalFormatting>
  <conditionalFormatting sqref="H209">
    <cfRule type="cellIs" dxfId="699" priority="143" operator="lessThan">
      <formula>0</formula>
    </cfRule>
    <cfRule type="cellIs" dxfId="698" priority="144" operator="greaterThan">
      <formula>0</formula>
    </cfRule>
  </conditionalFormatting>
  <conditionalFormatting sqref="H211">
    <cfRule type="cellIs" dxfId="697" priority="146" operator="greaterThan">
      <formula>0</formula>
    </cfRule>
    <cfRule type="cellIs" dxfId="696" priority="145" operator="lessThan">
      <formula>0</formula>
    </cfRule>
  </conditionalFormatting>
  <conditionalFormatting sqref="J58">
    <cfRule type="cellIs" dxfId="695" priority="65" operator="lessThan">
      <formula>0</formula>
    </cfRule>
    <cfRule type="cellIs" dxfId="694" priority="66" operator="greaterThan">
      <formula>0</formula>
    </cfRule>
  </conditionalFormatting>
  <conditionalFormatting sqref="J61">
    <cfRule type="cellIs" dxfId="693" priority="260" operator="greaterThan">
      <formula>0</formula>
    </cfRule>
    <cfRule type="cellIs" dxfId="692" priority="259" operator="lessThan">
      <formula>0</formula>
    </cfRule>
  </conditionalFormatting>
  <conditionalFormatting sqref="J63">
    <cfRule type="cellIs" dxfId="691" priority="237" operator="lessThan">
      <formula>0</formula>
    </cfRule>
    <cfRule type="cellIs" dxfId="690" priority="238" operator="greaterThan">
      <formula>0</formula>
    </cfRule>
  </conditionalFormatting>
  <conditionalFormatting sqref="J132">
    <cfRule type="cellIs" dxfId="689" priority="41" operator="lessThan">
      <formula>0</formula>
    </cfRule>
    <cfRule type="cellIs" dxfId="688" priority="42" operator="greaterThan">
      <formula>0</formula>
    </cfRule>
  </conditionalFormatting>
  <conditionalFormatting sqref="J135">
    <cfRule type="cellIs" dxfId="687" priority="206" operator="greaterThan">
      <formula>0</formula>
    </cfRule>
    <cfRule type="cellIs" dxfId="686" priority="205" operator="lessThan">
      <formula>0</formula>
    </cfRule>
  </conditionalFormatting>
  <conditionalFormatting sqref="J137">
    <cfRule type="cellIs" dxfId="685" priority="183" operator="lessThan">
      <formula>0</formula>
    </cfRule>
    <cfRule type="cellIs" dxfId="684" priority="184" operator="greaterThan">
      <formula>0</formula>
    </cfRule>
  </conditionalFormatting>
  <conditionalFormatting sqref="J206">
    <cfRule type="cellIs" dxfId="683" priority="18" operator="greaterThan">
      <formula>0</formula>
    </cfRule>
    <cfRule type="cellIs" dxfId="682" priority="17" operator="lessThan">
      <formula>0</formula>
    </cfRule>
  </conditionalFormatting>
  <conditionalFormatting sqref="J209">
    <cfRule type="cellIs" dxfId="681" priority="140" operator="greaterThan">
      <formula>0</formula>
    </cfRule>
    <cfRule type="cellIs" dxfId="680" priority="139" operator="lessThan">
      <formula>0</formula>
    </cfRule>
  </conditionalFormatting>
  <conditionalFormatting sqref="J211">
    <cfRule type="cellIs" dxfId="679" priority="142" operator="greaterThan">
      <formula>0</formula>
    </cfRule>
    <cfRule type="cellIs" dxfId="678" priority="141" operator="lessThan">
      <formula>0</formula>
    </cfRule>
  </conditionalFormatting>
  <conditionalFormatting sqref="L58">
    <cfRule type="cellIs" dxfId="677" priority="64" operator="greaterThan">
      <formula>0</formula>
    </cfRule>
    <cfRule type="cellIs" dxfId="676" priority="63" operator="lessThan">
      <formula>0</formula>
    </cfRule>
  </conditionalFormatting>
  <conditionalFormatting sqref="L61">
    <cfRule type="cellIs" dxfId="675" priority="258" operator="greaterThan">
      <formula>0</formula>
    </cfRule>
    <cfRule type="cellIs" dxfId="674" priority="257" operator="lessThan">
      <formula>0</formula>
    </cfRule>
  </conditionalFormatting>
  <conditionalFormatting sqref="L63">
    <cfRule type="cellIs" dxfId="673" priority="235" operator="lessThan">
      <formula>0</formula>
    </cfRule>
    <cfRule type="cellIs" dxfId="672" priority="236" operator="greaterThan">
      <formula>0</formula>
    </cfRule>
  </conditionalFormatting>
  <conditionalFormatting sqref="L132">
    <cfRule type="cellIs" dxfId="671" priority="39" operator="lessThan">
      <formula>0</formula>
    </cfRule>
    <cfRule type="cellIs" dxfId="670" priority="40" operator="greaterThan">
      <formula>0</formula>
    </cfRule>
  </conditionalFormatting>
  <conditionalFormatting sqref="L135">
    <cfRule type="cellIs" dxfId="669" priority="204" operator="greaterThan">
      <formula>0</formula>
    </cfRule>
    <cfRule type="cellIs" dxfId="668" priority="203" operator="lessThan">
      <formula>0</formula>
    </cfRule>
  </conditionalFormatting>
  <conditionalFormatting sqref="L137">
    <cfRule type="cellIs" dxfId="667" priority="181" operator="lessThan">
      <formula>0</formula>
    </cfRule>
    <cfRule type="cellIs" dxfId="666" priority="182" operator="greaterThan">
      <formula>0</formula>
    </cfRule>
  </conditionalFormatting>
  <conditionalFormatting sqref="L206">
    <cfRule type="cellIs" dxfId="665" priority="16" operator="greaterThan">
      <formula>0</formula>
    </cfRule>
    <cfRule type="cellIs" dxfId="664" priority="15" operator="lessThan">
      <formula>0</formula>
    </cfRule>
  </conditionalFormatting>
  <conditionalFormatting sqref="L209">
    <cfRule type="cellIs" dxfId="663" priority="135" operator="lessThan">
      <formula>0</formula>
    </cfRule>
    <cfRule type="cellIs" dxfId="662" priority="136" operator="greaterThan">
      <formula>0</formula>
    </cfRule>
  </conditionalFormatting>
  <conditionalFormatting sqref="L211">
    <cfRule type="cellIs" dxfId="661" priority="137" operator="lessThan">
      <formula>0</formula>
    </cfRule>
    <cfRule type="cellIs" dxfId="660" priority="138" operator="greaterThan">
      <formula>0</formula>
    </cfRule>
  </conditionalFormatting>
  <conditionalFormatting sqref="N58">
    <cfRule type="cellIs" dxfId="659" priority="61" operator="lessThan">
      <formula>0</formula>
    </cfRule>
    <cfRule type="cellIs" dxfId="658" priority="62" operator="greaterThan">
      <formula>0</formula>
    </cfRule>
  </conditionalFormatting>
  <conditionalFormatting sqref="N61">
    <cfRule type="cellIs" dxfId="657" priority="256" operator="greaterThan">
      <formula>0</formula>
    </cfRule>
    <cfRule type="cellIs" dxfId="656" priority="255" operator="lessThan">
      <formula>0</formula>
    </cfRule>
  </conditionalFormatting>
  <conditionalFormatting sqref="N63">
    <cfRule type="cellIs" dxfId="655" priority="233" operator="lessThan">
      <formula>0</formula>
    </cfRule>
    <cfRule type="cellIs" dxfId="654" priority="234" operator="greaterThan">
      <formula>0</formula>
    </cfRule>
  </conditionalFormatting>
  <conditionalFormatting sqref="N132">
    <cfRule type="cellIs" dxfId="653" priority="38" operator="greaterThan">
      <formula>0</formula>
    </cfRule>
    <cfRule type="cellIs" dxfId="652" priority="37" operator="lessThan">
      <formula>0</formula>
    </cfRule>
  </conditionalFormatting>
  <conditionalFormatting sqref="N135">
    <cfRule type="cellIs" dxfId="651" priority="201" operator="lessThan">
      <formula>0</formula>
    </cfRule>
    <cfRule type="cellIs" dxfId="650" priority="202" operator="greaterThan">
      <formula>0</formula>
    </cfRule>
  </conditionalFormatting>
  <conditionalFormatting sqref="N137">
    <cfRule type="cellIs" dxfId="649" priority="180" operator="greaterThan">
      <formula>0</formula>
    </cfRule>
    <cfRule type="cellIs" dxfId="648" priority="179" operator="lessThan">
      <formula>0</formula>
    </cfRule>
  </conditionalFormatting>
  <conditionalFormatting sqref="N206">
    <cfRule type="cellIs" dxfId="647" priority="14" operator="greaterThan">
      <formula>0</formula>
    </cfRule>
    <cfRule type="cellIs" dxfId="646" priority="13" operator="lessThan">
      <formula>0</formula>
    </cfRule>
  </conditionalFormatting>
  <conditionalFormatting sqref="N209">
    <cfRule type="cellIs" dxfId="645" priority="132" operator="greaterThan">
      <formula>0</formula>
    </cfRule>
    <cfRule type="cellIs" dxfId="644" priority="131" operator="lessThan">
      <formula>0</formula>
    </cfRule>
  </conditionalFormatting>
  <conditionalFormatting sqref="N211">
    <cfRule type="cellIs" dxfId="643" priority="134" operator="greaterThan">
      <formula>0</formula>
    </cfRule>
    <cfRule type="cellIs" dxfId="642" priority="133" operator="lessThan">
      <formula>0</formula>
    </cfRule>
  </conditionalFormatting>
  <conditionalFormatting sqref="P58">
    <cfRule type="cellIs" dxfId="641" priority="59" operator="lessThan">
      <formula>0</formula>
    </cfRule>
    <cfRule type="cellIs" dxfId="640" priority="60" operator="greaterThan">
      <formula>0</formula>
    </cfRule>
  </conditionalFormatting>
  <conditionalFormatting sqref="P61">
    <cfRule type="cellIs" dxfId="639" priority="254" operator="greaterThan">
      <formula>0</formula>
    </cfRule>
    <cfRule type="cellIs" dxfId="638" priority="253" operator="lessThan">
      <formula>0</formula>
    </cfRule>
  </conditionalFormatting>
  <conditionalFormatting sqref="P63">
    <cfRule type="cellIs" dxfId="637" priority="231" operator="lessThan">
      <formula>0</formula>
    </cfRule>
    <cfRule type="cellIs" dxfId="636" priority="232" operator="greaterThan">
      <formula>0</formula>
    </cfRule>
  </conditionalFormatting>
  <conditionalFormatting sqref="P132">
    <cfRule type="cellIs" dxfId="635" priority="36" operator="greaterThan">
      <formula>0</formula>
    </cfRule>
    <cfRule type="cellIs" dxfId="634" priority="35" operator="lessThan">
      <formula>0</formula>
    </cfRule>
  </conditionalFormatting>
  <conditionalFormatting sqref="P135">
    <cfRule type="cellIs" dxfId="633" priority="200" operator="greaterThan">
      <formula>0</formula>
    </cfRule>
    <cfRule type="cellIs" dxfId="632" priority="199" operator="lessThan">
      <formula>0</formula>
    </cfRule>
  </conditionalFormatting>
  <conditionalFormatting sqref="P137">
    <cfRule type="cellIs" dxfId="631" priority="178" operator="greaterThan">
      <formula>0</formula>
    </cfRule>
    <cfRule type="cellIs" dxfId="630" priority="177" operator="lessThan">
      <formula>0</formula>
    </cfRule>
  </conditionalFormatting>
  <conditionalFormatting sqref="P206">
    <cfRule type="cellIs" dxfId="629" priority="12" operator="greaterThan">
      <formula>0</formula>
    </cfRule>
    <cfRule type="cellIs" dxfId="628" priority="11" operator="lessThan">
      <formula>0</formula>
    </cfRule>
  </conditionalFormatting>
  <conditionalFormatting sqref="P209">
    <cfRule type="cellIs" dxfId="627" priority="128" operator="greaterThan">
      <formula>0</formula>
    </cfRule>
    <cfRule type="cellIs" dxfId="626" priority="127" operator="lessThan">
      <formula>0</formula>
    </cfRule>
  </conditionalFormatting>
  <conditionalFormatting sqref="P211">
    <cfRule type="cellIs" dxfId="625" priority="130" operator="greaterThan">
      <formula>0</formula>
    </cfRule>
    <cfRule type="cellIs" dxfId="624" priority="129" operator="lessThan">
      <formula>0</formula>
    </cfRule>
  </conditionalFormatting>
  <conditionalFormatting sqref="R58">
    <cfRule type="cellIs" dxfId="623" priority="58" operator="greaterThan">
      <formula>0</formula>
    </cfRule>
    <cfRule type="cellIs" dxfId="622" priority="57" operator="lessThan">
      <formula>0</formula>
    </cfRule>
  </conditionalFormatting>
  <conditionalFormatting sqref="R61">
    <cfRule type="cellIs" dxfId="621" priority="252" operator="greaterThan">
      <formula>0</formula>
    </cfRule>
    <cfRule type="cellIs" dxfId="620" priority="251" operator="lessThan">
      <formula>0</formula>
    </cfRule>
  </conditionalFormatting>
  <conditionalFormatting sqref="R63">
    <cfRule type="cellIs" dxfId="619" priority="229" operator="lessThan">
      <formula>0</formula>
    </cfRule>
    <cfRule type="cellIs" dxfId="618" priority="230" operator="greaterThan">
      <formula>0</formula>
    </cfRule>
  </conditionalFormatting>
  <conditionalFormatting sqref="R132">
    <cfRule type="cellIs" dxfId="617" priority="34" operator="greaterThan">
      <formula>0</formula>
    </cfRule>
    <cfRule type="cellIs" dxfId="616" priority="33" operator="lessThan">
      <formula>0</formula>
    </cfRule>
  </conditionalFormatting>
  <conditionalFormatting sqref="R135">
    <cfRule type="cellIs" dxfId="615" priority="197" operator="lessThan">
      <formula>0</formula>
    </cfRule>
    <cfRule type="cellIs" dxfId="614" priority="198" operator="greaterThan">
      <formula>0</formula>
    </cfRule>
  </conditionalFormatting>
  <conditionalFormatting sqref="R137">
    <cfRule type="cellIs" dxfId="613" priority="175" operator="lessThan">
      <formula>0</formula>
    </cfRule>
    <cfRule type="cellIs" dxfId="612" priority="176" operator="greaterThan">
      <formula>0</formula>
    </cfRule>
  </conditionalFormatting>
  <conditionalFormatting sqref="R206">
    <cfRule type="cellIs" dxfId="611" priority="9" operator="lessThan">
      <formula>0</formula>
    </cfRule>
    <cfRule type="cellIs" dxfId="610" priority="10" operator="greaterThan">
      <formula>0</formula>
    </cfRule>
  </conditionalFormatting>
  <conditionalFormatting sqref="R209">
    <cfRule type="cellIs" dxfId="609" priority="123" operator="lessThan">
      <formula>0</formula>
    </cfRule>
    <cfRule type="cellIs" dxfId="608" priority="124" operator="greaterThan">
      <formula>0</formula>
    </cfRule>
  </conditionalFormatting>
  <conditionalFormatting sqref="R211">
    <cfRule type="cellIs" dxfId="607" priority="125" operator="lessThan">
      <formula>0</formula>
    </cfRule>
    <cfRule type="cellIs" dxfId="606" priority="126" operator="greaterThan">
      <formula>0</formula>
    </cfRule>
  </conditionalFormatting>
  <conditionalFormatting sqref="T58">
    <cfRule type="cellIs" dxfId="605" priority="55" operator="lessThan">
      <formula>0</formula>
    </cfRule>
    <cfRule type="cellIs" dxfId="604" priority="56" operator="greaterThan">
      <formula>0</formula>
    </cfRule>
  </conditionalFormatting>
  <conditionalFormatting sqref="T61">
    <cfRule type="cellIs" dxfId="603" priority="250" operator="greaterThan">
      <formula>0</formula>
    </cfRule>
    <cfRule type="cellIs" dxfId="602" priority="249" operator="lessThan">
      <formula>0</formula>
    </cfRule>
  </conditionalFormatting>
  <conditionalFormatting sqref="T63">
    <cfRule type="cellIs" dxfId="601" priority="228" operator="greaterThan">
      <formula>0</formula>
    </cfRule>
    <cfRule type="cellIs" dxfId="600" priority="227" operator="lessThan">
      <formula>0</formula>
    </cfRule>
  </conditionalFormatting>
  <conditionalFormatting sqref="T132">
    <cfRule type="cellIs" dxfId="599" priority="32" operator="greaterThan">
      <formula>0</formula>
    </cfRule>
    <cfRule type="cellIs" dxfId="598" priority="31" operator="lessThan">
      <formula>0</formula>
    </cfRule>
  </conditionalFormatting>
  <conditionalFormatting sqref="T135">
    <cfRule type="cellIs" dxfId="597" priority="195" operator="lessThan">
      <formula>0</formula>
    </cfRule>
    <cfRule type="cellIs" dxfId="596" priority="196" operator="greaterThan">
      <formula>0</formula>
    </cfRule>
  </conditionalFormatting>
  <conditionalFormatting sqref="T137">
    <cfRule type="cellIs" dxfId="595" priority="174" operator="greaterThan">
      <formula>0</formula>
    </cfRule>
    <cfRule type="cellIs" dxfId="594" priority="173" operator="lessThan">
      <formula>0</formula>
    </cfRule>
  </conditionalFormatting>
  <conditionalFormatting sqref="T206">
    <cfRule type="cellIs" dxfId="593" priority="8" operator="greaterThan">
      <formula>0</formula>
    </cfRule>
    <cfRule type="cellIs" dxfId="592" priority="7" operator="lessThan">
      <formula>0</formula>
    </cfRule>
  </conditionalFormatting>
  <conditionalFormatting sqref="T209">
    <cfRule type="cellIs" dxfId="591" priority="119" operator="lessThan">
      <formula>0</formula>
    </cfRule>
    <cfRule type="cellIs" dxfId="590" priority="120" operator="greaterThan">
      <formula>0</formula>
    </cfRule>
  </conditionalFormatting>
  <conditionalFormatting sqref="T211">
    <cfRule type="cellIs" dxfId="589" priority="121" operator="lessThan">
      <formula>0</formula>
    </cfRule>
    <cfRule type="cellIs" dxfId="588" priority="122" operator="greaterThan">
      <formula>0</formula>
    </cfRule>
  </conditionalFormatting>
  <conditionalFormatting sqref="V58">
    <cfRule type="cellIs" dxfId="587" priority="54" operator="greaterThan">
      <formula>0</formula>
    </cfRule>
    <cfRule type="cellIs" dxfId="586" priority="53" operator="lessThan">
      <formula>0</formula>
    </cfRule>
  </conditionalFormatting>
  <conditionalFormatting sqref="V61">
    <cfRule type="cellIs" dxfId="585" priority="248" operator="greaterThan">
      <formula>0</formula>
    </cfRule>
    <cfRule type="cellIs" dxfId="584" priority="247" operator="lessThan">
      <formula>0</formula>
    </cfRule>
  </conditionalFormatting>
  <conditionalFormatting sqref="V63">
    <cfRule type="cellIs" dxfId="583" priority="226" operator="greaterThan">
      <formula>0</formula>
    </cfRule>
    <cfRule type="cellIs" dxfId="582" priority="225" operator="lessThan">
      <formula>0</formula>
    </cfRule>
  </conditionalFormatting>
  <conditionalFormatting sqref="V132">
    <cfRule type="cellIs" dxfId="581" priority="30" operator="greaterThan">
      <formula>0</formula>
    </cfRule>
    <cfRule type="cellIs" dxfId="580" priority="29" operator="lessThan">
      <formula>0</formula>
    </cfRule>
  </conditionalFormatting>
  <conditionalFormatting sqref="V135">
    <cfRule type="cellIs" dxfId="579" priority="194" operator="greaterThan">
      <formula>0</formula>
    </cfRule>
    <cfRule type="cellIs" dxfId="578" priority="193" operator="lessThan">
      <formula>0</formula>
    </cfRule>
  </conditionalFormatting>
  <conditionalFormatting sqref="V137">
    <cfRule type="cellIs" dxfId="577" priority="172" operator="greaterThan">
      <formula>0</formula>
    </cfRule>
    <cfRule type="cellIs" dxfId="576" priority="171" operator="lessThan">
      <formula>0</formula>
    </cfRule>
  </conditionalFormatting>
  <conditionalFormatting sqref="V206">
    <cfRule type="cellIs" dxfId="575" priority="5" operator="lessThan">
      <formula>0</formula>
    </cfRule>
    <cfRule type="cellIs" dxfId="574" priority="6" operator="greaterThan">
      <formula>0</formula>
    </cfRule>
  </conditionalFormatting>
  <conditionalFormatting sqref="V209">
    <cfRule type="cellIs" dxfId="573" priority="116" operator="greaterThan">
      <formula>0</formula>
    </cfRule>
    <cfRule type="cellIs" dxfId="572" priority="115" operator="lessThan">
      <formula>0</formula>
    </cfRule>
  </conditionalFormatting>
  <conditionalFormatting sqref="V211">
    <cfRule type="cellIs" dxfId="571" priority="118" operator="greaterThan">
      <formula>0</formula>
    </cfRule>
    <cfRule type="cellIs" dxfId="570" priority="117" operator="lessThan">
      <formula>0</formula>
    </cfRule>
  </conditionalFormatting>
  <conditionalFormatting sqref="X58">
    <cfRule type="cellIs" dxfId="569" priority="51" operator="lessThan">
      <formula>0</formula>
    </cfRule>
    <cfRule type="cellIs" dxfId="568" priority="52" operator="greaterThan">
      <formula>0</formula>
    </cfRule>
  </conditionalFormatting>
  <conditionalFormatting sqref="X61">
    <cfRule type="cellIs" dxfId="567" priority="245" operator="lessThan">
      <formula>0</formula>
    </cfRule>
    <cfRule type="cellIs" dxfId="566" priority="246" operator="greaterThan">
      <formula>0</formula>
    </cfRule>
  </conditionalFormatting>
  <conditionalFormatting sqref="X63">
    <cfRule type="cellIs" dxfId="565" priority="223" operator="lessThan">
      <formula>0</formula>
    </cfRule>
    <cfRule type="cellIs" dxfId="564" priority="224" operator="greaterThan">
      <formula>0</formula>
    </cfRule>
  </conditionalFormatting>
  <conditionalFormatting sqref="X132">
    <cfRule type="cellIs" dxfId="563" priority="28" operator="greaterThan">
      <formula>0</formula>
    </cfRule>
    <cfRule type="cellIs" dxfId="562" priority="27" operator="lessThan">
      <formula>0</formula>
    </cfRule>
  </conditionalFormatting>
  <conditionalFormatting sqref="X135">
    <cfRule type="cellIs" dxfId="561" priority="191" operator="lessThan">
      <formula>0</formula>
    </cfRule>
    <cfRule type="cellIs" dxfId="560" priority="192" operator="greaterThan">
      <formula>0</formula>
    </cfRule>
  </conditionalFormatting>
  <conditionalFormatting sqref="X137">
    <cfRule type="cellIs" dxfId="559" priority="169" operator="lessThan">
      <formula>0</formula>
    </cfRule>
    <cfRule type="cellIs" dxfId="558" priority="170" operator="greaterThan">
      <formula>0</formula>
    </cfRule>
  </conditionalFormatting>
  <conditionalFormatting sqref="X206">
    <cfRule type="cellIs" dxfId="557" priority="4" operator="greaterThan">
      <formula>0</formula>
    </cfRule>
    <cfRule type="cellIs" dxfId="556" priority="3" operator="lessThan">
      <formula>0</formula>
    </cfRule>
  </conditionalFormatting>
  <conditionalFormatting sqref="X209">
    <cfRule type="cellIs" dxfId="555" priority="112" operator="greaterThan">
      <formula>0</formula>
    </cfRule>
    <cfRule type="cellIs" dxfId="554" priority="111" operator="lessThan">
      <formula>0</formula>
    </cfRule>
  </conditionalFormatting>
  <conditionalFormatting sqref="X211">
    <cfRule type="cellIs" dxfId="553" priority="113" operator="lessThan">
      <formula>0</formula>
    </cfRule>
    <cfRule type="cellIs" dxfId="552" priority="114" operator="greaterThan">
      <formula>0</formula>
    </cfRule>
  </conditionalFormatting>
  <conditionalFormatting sqref="Z55">
    <cfRule type="cellIs" dxfId="551" priority="102" operator="greaterThan">
      <formula>0</formula>
    </cfRule>
    <cfRule type="cellIs" dxfId="550" priority="101" operator="lessThan">
      <formula>0</formula>
    </cfRule>
  </conditionalFormatting>
  <conditionalFormatting sqref="Z58">
    <cfRule type="cellIs" dxfId="549" priority="50" operator="greaterThan">
      <formula>0</formula>
    </cfRule>
    <cfRule type="cellIs" dxfId="548" priority="49" operator="lessThan">
      <formula>0</formula>
    </cfRule>
  </conditionalFormatting>
  <conditionalFormatting sqref="Z61">
    <cfRule type="cellIs" dxfId="547" priority="100" operator="greaterThan">
      <formula>0</formula>
    </cfRule>
    <cfRule type="cellIs" dxfId="546" priority="99" operator="lessThan">
      <formula>0</formula>
    </cfRule>
  </conditionalFormatting>
  <conditionalFormatting sqref="Z63">
    <cfRule type="cellIs" dxfId="545" priority="97" operator="lessThan">
      <formula>0</formula>
    </cfRule>
    <cfRule type="cellIs" dxfId="544" priority="98" operator="greaterThan">
      <formula>0</formula>
    </cfRule>
  </conditionalFormatting>
  <conditionalFormatting sqref="Z129">
    <cfRule type="cellIs" dxfId="543" priority="81" operator="lessThan">
      <formula>0</formula>
    </cfRule>
    <cfRule type="cellIs" dxfId="542" priority="82" operator="greaterThan">
      <formula>0</formula>
    </cfRule>
  </conditionalFormatting>
  <conditionalFormatting sqref="Z132">
    <cfRule type="cellIs" dxfId="541" priority="26" operator="greaterThan">
      <formula>0</formula>
    </cfRule>
    <cfRule type="cellIs" dxfId="540" priority="25" operator="lessThan">
      <formula>0</formula>
    </cfRule>
  </conditionalFormatting>
  <conditionalFormatting sqref="Z135">
    <cfRule type="cellIs" dxfId="539" priority="79" operator="lessThan">
      <formula>0</formula>
    </cfRule>
    <cfRule type="cellIs" dxfId="538" priority="80" operator="greaterThan">
      <formula>0</formula>
    </cfRule>
  </conditionalFormatting>
  <conditionalFormatting sqref="Z137">
    <cfRule type="cellIs" dxfId="537" priority="77" operator="lessThan">
      <formula>0</formula>
    </cfRule>
    <cfRule type="cellIs" dxfId="536" priority="78" operator="greaterThan">
      <formula>0</formula>
    </cfRule>
  </conditionalFormatting>
  <conditionalFormatting sqref="Z203">
    <cfRule type="cellIs" dxfId="535" priority="87" operator="lessThan">
      <formula>0</formula>
    </cfRule>
    <cfRule type="cellIs" dxfId="534" priority="88" operator="greaterThan">
      <formula>0</formula>
    </cfRule>
  </conditionalFormatting>
  <conditionalFormatting sqref="Z206">
    <cfRule type="cellIs" dxfId="533" priority="1" operator="lessThan">
      <formula>0</formula>
    </cfRule>
    <cfRule type="cellIs" dxfId="532" priority="2" operator="greaterThan">
      <formula>0</formula>
    </cfRule>
  </conditionalFormatting>
  <conditionalFormatting sqref="Z209">
    <cfRule type="cellIs" dxfId="531" priority="86" operator="greaterThan">
      <formula>0</formula>
    </cfRule>
    <cfRule type="cellIs" dxfId="530" priority="85" operator="lessThan">
      <formula>0</formula>
    </cfRule>
  </conditionalFormatting>
  <conditionalFormatting sqref="Z211">
    <cfRule type="cellIs" dxfId="529" priority="84" operator="greaterThan">
      <formula>0</formula>
    </cfRule>
    <cfRule type="cellIs" dxfId="528" priority="83" operator="lessThan">
      <formula>0</formula>
    </cfRule>
  </conditionalFormatting>
  <pageMargins left="0.7" right="0.7" top="0.75" bottom="0.75" header="0.3" footer="0.3"/>
  <pageSetup paperSize="9" orientation="portrait" horizontalDpi="0" verticalDpi="0"/>
  <headerFooter>
    <oddHeader>&amp;C&amp;"Calibri"&amp;10&amp;K000000 Internal&amp;1#_x000D_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4"/>
  </sheetPr>
  <dimension ref="A1:AC221"/>
  <sheetViews>
    <sheetView showGridLines="0" showRuler="0" workbookViewId="0">
      <pane xSplit="1" topLeftCell="Q1" activePane="topRight" state="frozen"/>
      <selection pane="topRight" activeCell="Z46" sqref="Z46"/>
    </sheetView>
  </sheetViews>
  <sheetFormatPr defaultColWidth="10.8515625" defaultRowHeight="15" outlineLevelRow="2" x14ac:dyDescent="0.2"/>
  <cols>
    <col min="1" max="1" width="22.31640625" bestFit="1" customWidth="1"/>
    <col min="2" max="11" width="10.8515625" customWidth="1"/>
    <col min="12" max="12" width="10.8515625" customWidth="1" collapsed="1"/>
    <col min="13" max="25" width="10.8515625" customWidth="1"/>
  </cols>
  <sheetData>
    <row r="1" spans="1:27" ht="6" customHeight="1" thickBot="1" x14ac:dyDescent="0.25"/>
    <row r="2" spans="1:27" x14ac:dyDescent="0.2">
      <c r="A2">
        <v>12</v>
      </c>
      <c r="B2" s="208" t="s">
        <v>48</v>
      </c>
      <c r="C2" s="209"/>
      <c r="D2" s="208" t="s">
        <v>56</v>
      </c>
      <c r="E2" s="209"/>
      <c r="F2" s="208" t="s">
        <v>57</v>
      </c>
      <c r="G2" s="209"/>
      <c r="H2" s="208" t="s">
        <v>58</v>
      </c>
      <c r="I2" s="209"/>
      <c r="J2" s="208" t="s">
        <v>59</v>
      </c>
      <c r="K2" s="209"/>
      <c r="L2" s="208" t="s">
        <v>60</v>
      </c>
      <c r="M2" s="209"/>
      <c r="N2" s="208" t="s">
        <v>61</v>
      </c>
      <c r="O2" s="209"/>
      <c r="P2" s="208" t="s">
        <v>62</v>
      </c>
      <c r="Q2" s="209"/>
      <c r="R2" s="208" t="s">
        <v>236</v>
      </c>
      <c r="S2" s="209"/>
      <c r="T2" s="208" t="s">
        <v>63</v>
      </c>
      <c r="U2" s="209"/>
      <c r="V2" s="208" t="s">
        <v>64</v>
      </c>
      <c r="W2" s="209"/>
      <c r="X2" s="208" t="s">
        <v>65</v>
      </c>
      <c r="Y2" s="209"/>
      <c r="Z2" s="208">
        <v>2021</v>
      </c>
      <c r="AA2" s="209"/>
    </row>
    <row r="3" spans="1:27" ht="15.75" thickBot="1" x14ac:dyDescent="0.25">
      <c r="A3" s="10" t="s">
        <v>66</v>
      </c>
      <c r="B3" s="16">
        <f>B4+B22</f>
        <v>472.2</v>
      </c>
      <c r="C3" s="17">
        <f>IF(B3=0,0,(B3/B3))</f>
        <v>1</v>
      </c>
      <c r="D3" s="16">
        <f>D4+D22</f>
        <v>472.2</v>
      </c>
      <c r="E3" s="17">
        <f>IF(D3=0,0,(D3/D3))</f>
        <v>1</v>
      </c>
      <c r="F3" s="16">
        <f t="shared" ref="F3:X3" si="0">F4+F22</f>
        <v>2472.1999999999998</v>
      </c>
      <c r="G3" s="17">
        <f>IF(F3=0,0,(F3/F3))</f>
        <v>1</v>
      </c>
      <c r="H3" s="16">
        <f t="shared" si="0"/>
        <v>472.2</v>
      </c>
      <c r="I3" s="17">
        <f>IF(H3=0,0,(H3/H3))</f>
        <v>1</v>
      </c>
      <c r="J3" s="16">
        <f t="shared" si="0"/>
        <v>1445.13</v>
      </c>
      <c r="K3" s="17">
        <f>IF(J3=0,0,(J3/J3))</f>
        <v>1</v>
      </c>
      <c r="L3" s="16">
        <f t="shared" si="0"/>
        <v>2117.13</v>
      </c>
      <c r="M3" s="17">
        <f>IF(L3=0,0,(L3/L3))</f>
        <v>1</v>
      </c>
      <c r="N3" s="16">
        <f t="shared" si="0"/>
        <v>1160</v>
      </c>
      <c r="O3" s="17">
        <f>IF(N3=0,0,(N3/N3))</f>
        <v>1</v>
      </c>
      <c r="P3" s="16">
        <f t="shared" si="0"/>
        <v>1120</v>
      </c>
      <c r="Q3" s="17">
        <f>IF(P3=0,0,(P3/P3))</f>
        <v>1</v>
      </c>
      <c r="R3" s="16">
        <f t="shared" si="0"/>
        <v>1375</v>
      </c>
      <c r="S3" s="17">
        <f>IF(R3=0,0,(R3/R3))</f>
        <v>1</v>
      </c>
      <c r="T3" s="16">
        <f t="shared" si="0"/>
        <v>2475</v>
      </c>
      <c r="U3" s="17">
        <f>IF(T3=0,0,(T3/T3))</f>
        <v>1</v>
      </c>
      <c r="V3" s="16">
        <f t="shared" si="0"/>
        <v>2145</v>
      </c>
      <c r="W3" s="17">
        <f>IF(V3=0,0,(V3/V3))</f>
        <v>1</v>
      </c>
      <c r="X3" s="16">
        <f t="shared" si="0"/>
        <v>3260</v>
      </c>
      <c r="Y3" s="17">
        <f>IF(X3=0,0,(X3/X3))</f>
        <v>1</v>
      </c>
      <c r="Z3" s="16">
        <f>Z4+Z22</f>
        <v>18986.059999999998</v>
      </c>
      <c r="AA3" s="17">
        <f>IF(Z3=0,0,(Z3/Z3))</f>
        <v>1</v>
      </c>
    </row>
    <row r="4" spans="1:27" x14ac:dyDescent="0.2">
      <c r="A4" s="32" t="s">
        <v>74</v>
      </c>
      <c r="B4" s="18">
        <f>SUM(B5:B12)</f>
        <v>472.2</v>
      </c>
      <c r="C4" s="19">
        <f>IF(B$3=0,0,B4/B$3)</f>
        <v>1</v>
      </c>
      <c r="D4" s="18">
        <f t="shared" ref="D4:X4" si="1">SUM(D5:D12)</f>
        <v>472.2</v>
      </c>
      <c r="E4" s="19">
        <f>IF(D$3=0,0,D4/D$3)</f>
        <v>1</v>
      </c>
      <c r="F4" s="18">
        <f t="shared" si="1"/>
        <v>2472.1999999999998</v>
      </c>
      <c r="G4" s="19">
        <f>IF(F$3=0,0,F4/F$3)</f>
        <v>1</v>
      </c>
      <c r="H4" s="18">
        <f t="shared" si="1"/>
        <v>472.2</v>
      </c>
      <c r="I4" s="19">
        <f>IF(H$3=0,0,H4/H$3)</f>
        <v>1</v>
      </c>
      <c r="J4" s="18">
        <f t="shared" si="1"/>
        <v>1430.13</v>
      </c>
      <c r="K4" s="19">
        <f>IF(J$3=0,0,J4/J$3)</f>
        <v>0.9896203109754832</v>
      </c>
      <c r="L4" s="18">
        <f t="shared" si="1"/>
        <v>1942.13</v>
      </c>
      <c r="M4" s="19">
        <f>IF(L$3=0,0,L4/L$3)</f>
        <v>0.91734092852115834</v>
      </c>
      <c r="N4" s="18">
        <f t="shared" si="1"/>
        <v>1160</v>
      </c>
      <c r="O4" s="19">
        <f>IF(N$3=0,0,N4/N$3)</f>
        <v>1</v>
      </c>
      <c r="P4" s="18">
        <f t="shared" si="1"/>
        <v>1120</v>
      </c>
      <c r="Q4" s="19">
        <f>IF(P$3=0,0,P4/P$3)</f>
        <v>1</v>
      </c>
      <c r="R4" s="18">
        <f t="shared" si="1"/>
        <v>1375</v>
      </c>
      <c r="S4" s="19">
        <f>IF(R$3=0,0,R4/R$3)</f>
        <v>1</v>
      </c>
      <c r="T4" s="18">
        <f t="shared" si="1"/>
        <v>2305</v>
      </c>
      <c r="U4" s="19">
        <f>IF(T$3=0,0,T4/T$3)</f>
        <v>0.93131313131313131</v>
      </c>
      <c r="V4" s="18">
        <f t="shared" si="1"/>
        <v>2040</v>
      </c>
      <c r="W4" s="19">
        <f>IF(V$3=0,0,V4/V$3)</f>
        <v>0.95104895104895104</v>
      </c>
      <c r="X4" s="18">
        <f t="shared" si="1"/>
        <v>3060</v>
      </c>
      <c r="Y4" s="19">
        <f>IF(X$3=0,0,X4/X$3)</f>
        <v>0.93865030674846628</v>
      </c>
      <c r="Z4" s="18">
        <f>SUM(Z5:Z12)</f>
        <v>18321.059999999998</v>
      </c>
      <c r="AA4" s="19">
        <f>IF(Z$3=0,0,Z4/Z$3)</f>
        <v>0.9649743021985604</v>
      </c>
    </row>
    <row r="5" spans="1:27" hidden="1" outlineLevel="1" x14ac:dyDescent="0.2">
      <c r="A5" s="8" t="s">
        <v>67</v>
      </c>
      <c r="B5" s="20">
        <f>SUMIFS('Registre de reserves'!$P$2:$P$1178,'Registre de reserves'!$T$2:$T$1178,"SI",'Registre de reserves'!$I$2:$I$1178,'2021'!$A5,'Registre de reserves'!$B$2:$B$1178,'2021'!B$2,Tabla1[ANY],'2021'!$Z$2)+SUMIFS('Registre de reserves'!$U$2:$U$1178,'Registre de reserves'!$T$2:$T$1178,"RESERVA",'Registre de reserves'!$I$2:$I$1178,'2021'!$A5,'Registre de reserves'!$B$2:$B$1178,'2021'!B$2,Tabla1[ANY],'2021'!$Z$2)</f>
        <v>0</v>
      </c>
      <c r="C5" s="21">
        <f>IF(B$4=0,0,B5/B$4)</f>
        <v>0</v>
      </c>
      <c r="D5" s="20">
        <f>SUMIFS('Registre de reserves'!$P$2:$P$1178,'Registre de reserves'!$T$2:$T$1178,"SI",'Registre de reserves'!$I$2:$I$1178,'2021'!$A5,'Registre de reserves'!$B$2:$B$1178,'2021'!D$2,Tabla1[ANY],'2021'!$Z$2)+SUMIFS('Registre de reserves'!$U$2:$U$1178,'Registre de reserves'!$T$2:$T$1178,"RESERVA",'Registre de reserves'!$I$2:$I$1178,'2021'!$A5,'Registre de reserves'!$B$2:$B$1178,'2021'!D$2,Tabla1[ANY],'2021'!$Z$2)</f>
        <v>0</v>
      </c>
      <c r="E5" s="21">
        <f>IF(D$4=0,0,D5/D$4)</f>
        <v>0</v>
      </c>
      <c r="F5" s="20">
        <f>SUMIFS('Registre de reserves'!$P$2:$P$1178,'Registre de reserves'!$T$2:$T$1178,"SI",'Registre de reserves'!$I$2:$I$1178,'2021'!$A5,'Registre de reserves'!$B$2:$B$1178,'2021'!F$2,Tabla1[ANY],'2021'!$Z$2)+SUMIFS('Registre de reserves'!$U$2:$U$1178,'Registre de reserves'!$T$2:$T$1178,"RESERVA",'Registre de reserves'!$I$2:$I$1178,'2021'!$A5,'Registre de reserves'!$B$2:$B$1178,'2021'!F$2,Tabla1[ANY],'2021'!$Z$2)</f>
        <v>0</v>
      </c>
      <c r="G5" s="21">
        <f t="shared" ref="G5:G12" si="2">IF(F$4=0,0,F5/F$4)</f>
        <v>0</v>
      </c>
      <c r="H5" s="20">
        <f>SUMIFS('Registre de reserves'!$P$2:$P$1178,'Registre de reserves'!$T$2:$T$1178,"SI",'Registre de reserves'!$I$2:$I$1178,'2021'!$A5,'Registre de reserves'!$B$2:$B$1178,'2021'!H$2,Tabla1[ANY],'2021'!$Z$2)+SUMIFS('Registre de reserves'!$U$2:$U$1178,'Registre de reserves'!$T$2:$T$1178,"RESERVA",'Registre de reserves'!$I$2:$I$1178,'2021'!$A5,'Registre de reserves'!$B$2:$B$1178,'2021'!H$2,Tabla1[ANY],'2021'!$Z$2)</f>
        <v>0</v>
      </c>
      <c r="I5" s="21">
        <f t="shared" ref="I5:I12" si="3">IF(H$4=0,0,H5/H$4)</f>
        <v>0</v>
      </c>
      <c r="J5" s="20">
        <f>SUMIFS('Registre de reserves'!$P$2:$P$1178,'Registre de reserves'!$T$2:$T$1178,"SI",'Registre de reserves'!$I$2:$I$1178,'2021'!$A5,'Registre de reserves'!$B$2:$B$1178,'2021'!J$2,Tabla1[ANY],'2021'!$Z$2)+SUMIFS('Registre de reserves'!$U$2:$U$1178,'Registre de reserves'!$T$2:$T$1178,"RESERVA",'Registre de reserves'!$I$2:$I$1178,'2021'!$A5,'Registre de reserves'!$B$2:$B$1178,'2021'!J$2,Tabla1[ANY],'2021'!$Z$2)</f>
        <v>0</v>
      </c>
      <c r="K5" s="21">
        <f t="shared" ref="K5:K12" si="4">IF(J$4=0,0,J5/J$4)</f>
        <v>0</v>
      </c>
      <c r="L5" s="20">
        <f>SUMIFS('Registre de reserves'!$P$2:$P$1178,'Registre de reserves'!$T$2:$T$1178,"SI",'Registre de reserves'!$I$2:$I$1178,'2021'!$A5,'Registre de reserves'!$B$2:$B$1178,'2021'!L$2,Tabla1[ANY],'2021'!$Z$2)+SUMIFS('Registre de reserves'!$U$2:$U$1178,'Registre de reserves'!$T$2:$T$1178,"RESERVA",'Registre de reserves'!$I$2:$I$1178,'2021'!$A5,'Registre de reserves'!$B$2:$B$1178,'2021'!L$2,Tabla1[ANY],'2021'!$Z$2)</f>
        <v>145</v>
      </c>
      <c r="M5" s="21">
        <f t="shared" ref="M5:M12" si="5">IF(L$4=0,0,L5/L$4)</f>
        <v>7.4660295654770795E-2</v>
      </c>
      <c r="N5" s="20">
        <f>SUMIFS('Registre de reserves'!$P$2:$P$1178,'Registre de reserves'!$T$2:$T$1178,"SI",'Registre de reserves'!$I$2:$I$1178,'2021'!$A5,'Registre de reserves'!$B$2:$B$1178,'2021'!N$2,Tabla1[ANY],'2021'!$Z$2)+SUMIFS('Registre de reserves'!$U$2:$U$1178,'Registre de reserves'!$T$2:$T$1178,"RESERVA",'Registre de reserves'!$I$2:$I$1178,'2021'!$A5,'Registre de reserves'!$B$2:$B$1178,'2021'!N$2,Tabla1[ANY],'2021'!$Z$2)</f>
        <v>145</v>
      </c>
      <c r="O5" s="21">
        <f t="shared" ref="O5:O12" si="6">IF(N$4=0,0,N5/N$4)</f>
        <v>0.125</v>
      </c>
      <c r="P5" s="20">
        <f>SUMIFS('Registre de reserves'!$P$2:$P$1178,'Registre de reserves'!$T$2:$T$1178,"SI",'Registre de reserves'!$I$2:$I$1178,'2021'!$A5,'Registre de reserves'!$B$2:$B$1178,'2021'!P$2,Tabla1[ANY],'2021'!$Z$2)+SUMIFS('Registre de reserves'!$U$2:$U$1178,'Registre de reserves'!$T$2:$T$1178,"RESERVA",'Registre de reserves'!$I$2:$I$1178,'2021'!$A5,'Registre de reserves'!$B$2:$B$1178,'2021'!P$2,Tabla1[ANY],'2021'!$Z$2)</f>
        <v>145</v>
      </c>
      <c r="Q5" s="21">
        <f t="shared" ref="Q5:Q12" si="7">IF(P$4=0,0,P5/P$4)</f>
        <v>0.12946428571428573</v>
      </c>
      <c r="R5" s="20">
        <f>SUMIFS('Registre de reserves'!$P$2:$P$1178,'Registre de reserves'!$T$2:$T$1178,"SI",'Registre de reserves'!$I$2:$I$1178,'2021'!$A5,'Registre de reserves'!$B$2:$B$1178,'2021'!R$2,Tabla1[ANY],'2021'!$Z$2)+SUMIFS('Registre de reserves'!$U$2:$U$1178,'Registre de reserves'!$T$2:$T$1178,"RESERVA",'Registre de reserves'!$I$2:$I$1178,'2021'!$A5,'Registre de reserves'!$B$2:$B$1178,'2021'!R$2,Tabla1[ANY],'2021'!$Z$2)</f>
        <v>0</v>
      </c>
      <c r="S5" s="21">
        <f t="shared" ref="S5:S12" si="8">IF(R$4=0,0,R5/R$4)</f>
        <v>0</v>
      </c>
      <c r="T5" s="20">
        <f>SUMIFS('Registre de reserves'!$P$2:$P$1178,'Registre de reserves'!$T$2:$T$1178,"SI",'Registre de reserves'!$I$2:$I$1178,'2021'!$A5,'Registre de reserves'!$B$2:$B$1178,'2021'!T$2,Tabla1[ANY],'2021'!$Z$2)+SUMIFS('Registre de reserves'!$U$2:$U$1178,'Registre de reserves'!$T$2:$T$1178,"RESERVA",'Registre de reserves'!$I$2:$I$1178,'2021'!$A5,'Registre de reserves'!$B$2:$B$1178,'2021'!T$2,Tabla1[ANY],'2021'!$Z$2)</f>
        <v>290</v>
      </c>
      <c r="U5" s="21">
        <f t="shared" ref="U5:U12" si="9">IF(T$4=0,0,T5/T$4)</f>
        <v>0.12581344902386118</v>
      </c>
      <c r="V5" s="20">
        <f>SUMIFS('Registre de reserves'!$P$2:$P$1178,'Registre de reserves'!$T$2:$T$1178,"SI",'Registre de reserves'!$I$2:$I$1178,'2021'!$A5,'Registre de reserves'!$B$2:$B$1178,'2021'!V$2,Tabla1[ANY],'2021'!$Z$2)+SUMIFS('Registre de reserves'!$U$2:$U$1178,'Registre de reserves'!$T$2:$T$1178,"RESERVA",'Registre de reserves'!$I$2:$I$1178,'2021'!$A5,'Registre de reserves'!$B$2:$B$1178,'2021'!V$2,Tabla1[ANY],'2021'!$Z$2)</f>
        <v>290</v>
      </c>
      <c r="W5" s="21">
        <f t="shared" ref="W5:W12" si="10">IF(V$4=0,0,V5/V$4)</f>
        <v>0.14215686274509803</v>
      </c>
      <c r="X5" s="20">
        <f>SUMIFS('Registre de reserves'!$P$2:$P$1178,'Registre de reserves'!$T$2:$T$1178,"SI",'Registre de reserves'!$I$2:$I$1178,'2021'!$A5,'Registre de reserves'!$B$2:$B$1178,'2021'!X$2,Tabla1[ANY],'2021'!$Z$2)+SUMIFS('Registre de reserves'!$U$2:$U$1178,'Registre de reserves'!$T$2:$T$1178,"RESERVA",'Registre de reserves'!$I$2:$I$1178,'2021'!$A5,'Registre de reserves'!$B$2:$B$1178,'2021'!X$2,Tabla1[ANY],'2021'!$Z$2)</f>
        <v>145</v>
      </c>
      <c r="Y5" s="21">
        <f t="shared" ref="Y5:Y12" si="11">IF(X$4=0,0,X5/X$4)</f>
        <v>4.7385620915032678E-2</v>
      </c>
      <c r="Z5" s="20">
        <f>B5+D5+F5+H5+J5+L5+N5+P5+R5+T5+V5+X5</f>
        <v>1160</v>
      </c>
      <c r="AA5" s="21">
        <f t="shared" ref="AA5:AA12" si="12">IF(Z$4=0,0,Z5/Z$4)</f>
        <v>6.3315113863499167E-2</v>
      </c>
    </row>
    <row r="6" spans="1:27" hidden="1" outlineLevel="1" x14ac:dyDescent="0.2">
      <c r="A6" s="8" t="s">
        <v>68</v>
      </c>
      <c r="B6" s="20">
        <f>SUMIFS('Registre de reserves'!$P$2:$P$1178,'Registre de reserves'!$T$2:$T$1178,"SI",'Registre de reserves'!$I$2:$I$1178,'2021'!$A6,'Registre de reserves'!$B$2:$B$1178,'2021'!B$2,Tabla1[ANY],'2021'!$Z$2)+SUMIFS('Registre de reserves'!$U$2:$U$1178,'Registre de reserves'!$T$2:$T$1178,"RESERVA",'Registre de reserves'!$I$2:$I$1178,'2021'!$A6,'Registre de reserves'!$B$2:$B$1178,'2021'!B$2,Tabla1[ANY],'2021'!$Z$2)</f>
        <v>0</v>
      </c>
      <c r="C6" s="21">
        <f t="shared" ref="C6:E12" si="13">IF(B$4=0,0,B6/B$4)</f>
        <v>0</v>
      </c>
      <c r="D6" s="20">
        <f>SUMIFS('Registre de reserves'!$P$2:$P$1178,'Registre de reserves'!$T$2:$T$1178,"SI",'Registre de reserves'!$I$2:$I$1178,'2021'!$A6,'Registre de reserves'!$B$2:$B$1178,'2021'!D$2,Tabla1[ANY],'2021'!$Z$2)+SUMIFS('Registre de reserves'!$U$2:$U$1178,'Registre de reserves'!$T$2:$T$1178,"RESERVA",'Registre de reserves'!$I$2:$I$1178,'2021'!$A6,'Registre de reserves'!$B$2:$B$1178,'2021'!D$2,Tabla1[ANY],'2021'!$Z$2)</f>
        <v>0</v>
      </c>
      <c r="E6" s="21">
        <f t="shared" si="13"/>
        <v>0</v>
      </c>
      <c r="F6" s="20">
        <f>SUMIFS('Registre de reserves'!$P$2:$P$1178,'Registre de reserves'!$T$2:$T$1178,"SI",'Registre de reserves'!$I$2:$I$1178,'2021'!$A6,'Registre de reserves'!$B$2:$B$1178,'2021'!F$2,Tabla1[ANY],'2021'!$Z$2)+SUMIFS('Registre de reserves'!$U$2:$U$1178,'Registre de reserves'!$T$2:$T$1178,"RESERVA",'Registre de reserves'!$I$2:$I$1178,'2021'!$A6,'Registre de reserves'!$B$2:$B$1178,'2021'!F$2,Tabla1[ANY],'2021'!$Z$2)</f>
        <v>0</v>
      </c>
      <c r="G6" s="21">
        <f t="shared" si="2"/>
        <v>0</v>
      </c>
      <c r="H6" s="20">
        <f>SUMIFS('Registre de reserves'!$P$2:$P$1178,'Registre de reserves'!$T$2:$T$1178,"SI",'Registre de reserves'!$I$2:$I$1178,'2021'!$A6,'Registre de reserves'!$B$2:$B$1178,'2021'!H$2,Tabla1[ANY],'2021'!$Z$2)+SUMIFS('Registre de reserves'!$U$2:$U$1178,'Registre de reserves'!$T$2:$T$1178,"RESERVA",'Registre de reserves'!$I$2:$I$1178,'2021'!$A6,'Registre de reserves'!$B$2:$B$1178,'2021'!H$2,Tabla1[ANY],'2021'!$Z$2)</f>
        <v>0</v>
      </c>
      <c r="I6" s="21">
        <f t="shared" si="3"/>
        <v>0</v>
      </c>
      <c r="J6" s="20">
        <f>SUMIFS('Registre de reserves'!$P$2:$P$1178,'Registre de reserves'!$T$2:$T$1178,"SI",'Registre de reserves'!$I$2:$I$1178,'2021'!$A6,'Registre de reserves'!$B$2:$B$1178,'2021'!J$2,Tabla1[ANY],'2021'!$Z$2)+SUMIFS('Registre de reserves'!$U$2:$U$1178,'Registre de reserves'!$T$2:$T$1178,"RESERVA",'Registre de reserves'!$I$2:$I$1178,'2021'!$A6,'Registre de reserves'!$B$2:$B$1178,'2021'!J$2,Tabla1[ANY],'2021'!$Z$2)</f>
        <v>475</v>
      </c>
      <c r="K6" s="21">
        <f t="shared" si="4"/>
        <v>0.33213763783711969</v>
      </c>
      <c r="L6" s="20">
        <f>SUMIFS('Registre de reserves'!$P$2:$P$1178,'Registre de reserves'!$T$2:$T$1178,"SI",'Registre de reserves'!$I$2:$I$1178,'2021'!$A6,'Registre de reserves'!$B$2:$B$1178,'2021'!L$2,Tabla1[ANY],'2021'!$Z$2)+SUMIFS('Registre de reserves'!$U$2:$U$1178,'Registre de reserves'!$T$2:$T$1178,"RESERVA",'Registre de reserves'!$I$2:$I$1178,'2021'!$A6,'Registre de reserves'!$B$2:$B$1178,'2021'!L$2,Tabla1[ANY],'2021'!$Z$2)</f>
        <v>555</v>
      </c>
      <c r="M6" s="21">
        <f t="shared" si="5"/>
        <v>0.2857687178510192</v>
      </c>
      <c r="N6" s="20">
        <f>SUMIFS('Registre de reserves'!$P$2:$P$1178,'Registre de reserves'!$T$2:$T$1178,"SI",'Registre de reserves'!$I$2:$I$1178,'2021'!$A6,'Registre de reserves'!$B$2:$B$1178,'2021'!N$2,Tabla1[ANY],'2021'!$Z$2)+SUMIFS('Registre de reserves'!$U$2:$U$1178,'Registre de reserves'!$T$2:$T$1178,"RESERVA",'Registre de reserves'!$I$2:$I$1178,'2021'!$A6,'Registre de reserves'!$B$2:$B$1178,'2021'!N$2,Tabla1[ANY],'2021'!$Z$2)</f>
        <v>145</v>
      </c>
      <c r="O6" s="21">
        <f t="shared" si="6"/>
        <v>0.125</v>
      </c>
      <c r="P6" s="20">
        <f>SUMIFS('Registre de reserves'!$P$2:$P$1178,'Registre de reserves'!$T$2:$T$1178,"SI",'Registre de reserves'!$I$2:$I$1178,'2021'!$A6,'Registre de reserves'!$B$2:$B$1178,'2021'!P$2,Tabla1[ANY],'2021'!$Z$2)+SUMIFS('Registre de reserves'!$U$2:$U$1178,'Registre de reserves'!$T$2:$T$1178,"RESERVA",'Registre de reserves'!$I$2:$I$1178,'2021'!$A6,'Registre de reserves'!$B$2:$B$1178,'2021'!P$2,Tabla1[ANY],'2021'!$Z$2)</f>
        <v>975</v>
      </c>
      <c r="Q6" s="21">
        <f t="shared" si="7"/>
        <v>0.8705357142857143</v>
      </c>
      <c r="R6" s="20">
        <f>SUMIFS('Registre de reserves'!$P$2:$P$1178,'Registre de reserves'!$T$2:$T$1178,"SI",'Registre de reserves'!$I$2:$I$1178,'2021'!$A6,'Registre de reserves'!$B$2:$B$1178,'2021'!R$2,Tabla1[ANY],'2021'!$Z$2)+SUMIFS('Registre de reserves'!$U$2:$U$1178,'Registre de reserves'!$T$2:$T$1178,"RESERVA",'Registre de reserves'!$I$2:$I$1178,'2021'!$A6,'Registre de reserves'!$B$2:$B$1178,'2021'!R$2,Tabla1[ANY],'2021'!$Z$2)</f>
        <v>1070</v>
      </c>
      <c r="S6" s="21">
        <f t="shared" si="8"/>
        <v>0.7781818181818182</v>
      </c>
      <c r="T6" s="20">
        <f>SUMIFS('Registre de reserves'!$P$2:$P$1178,'Registre de reserves'!$T$2:$T$1178,"SI",'Registre de reserves'!$I$2:$I$1178,'2021'!$A6,'Registre de reserves'!$B$2:$B$1178,'2021'!T$2,Tabla1[ANY],'2021'!$Z$2)+SUMIFS('Registre de reserves'!$U$2:$U$1178,'Registre de reserves'!$T$2:$T$1178,"RESERVA",'Registre de reserves'!$I$2:$I$1178,'2021'!$A6,'Registre de reserves'!$B$2:$B$1178,'2021'!T$2,Tabla1[ANY],'2021'!$Z$2)</f>
        <v>1105</v>
      </c>
      <c r="U6" s="21">
        <f t="shared" si="9"/>
        <v>0.4793926247288503</v>
      </c>
      <c r="V6" s="20">
        <f>SUMIFS('Registre de reserves'!$P$2:$P$1178,'Registre de reserves'!$T$2:$T$1178,"SI",'Registre de reserves'!$I$2:$I$1178,'2021'!$A6,'Registre de reserves'!$B$2:$B$1178,'2021'!V$2,Tabla1[ANY],'2021'!$Z$2)+SUMIFS('Registre de reserves'!$U$2:$U$1178,'Registre de reserves'!$T$2:$T$1178,"RESERVA",'Registre de reserves'!$I$2:$I$1178,'2021'!$A6,'Registre de reserves'!$B$2:$B$1178,'2021'!V$2,Tabla1[ANY],'2021'!$Z$2)</f>
        <v>665</v>
      </c>
      <c r="W6" s="21">
        <f t="shared" si="10"/>
        <v>0.32598039215686275</v>
      </c>
      <c r="X6" s="20">
        <f>SUMIFS('Registre de reserves'!$P$2:$P$1178,'Registre de reserves'!$T$2:$T$1178,"SI",'Registre de reserves'!$I$2:$I$1178,'2021'!$A6,'Registre de reserves'!$B$2:$B$1178,'2021'!X$2,Tabla1[ANY],'2021'!$Z$2)+SUMIFS('Registre de reserves'!$U$2:$U$1178,'Registre de reserves'!$T$2:$T$1178,"RESERVA",'Registre de reserves'!$I$2:$I$1178,'2021'!$A6,'Registre de reserves'!$B$2:$B$1178,'2021'!X$2,Tabla1[ANY],'2021'!$Z$2)</f>
        <v>530</v>
      </c>
      <c r="Y6" s="21">
        <f t="shared" si="11"/>
        <v>0.17320261437908496</v>
      </c>
      <c r="Z6" s="20">
        <f t="shared" ref="Z6:Z12" si="14">B6+D6+F6+H6+J6+L6+N6+P6+R6+T6+V6+X6</f>
        <v>5520</v>
      </c>
      <c r="AA6" s="21">
        <f t="shared" si="12"/>
        <v>0.30129261079872022</v>
      </c>
    </row>
    <row r="7" spans="1:27" hidden="1" outlineLevel="1" x14ac:dyDescent="0.2">
      <c r="A7" s="8" t="s">
        <v>4</v>
      </c>
      <c r="B7" s="20">
        <f>SUMIFS('Registre de reserves'!$P$2:$P$1178,'Registre de reserves'!$T$2:$T$1178,"SI",'Registre de reserves'!$I$2:$I$1178,'2021'!$A7,'Registre de reserves'!$B$2:$B$1178,'2021'!B$2,Tabla1[ANY],'2021'!$Z$2)+SUMIFS('Registre de reserves'!$U$2:$U$1178,'Registre de reserves'!$T$2:$T$1178,"RESERVA",'Registre de reserves'!$I$2:$I$1178,'2021'!$A7,'Registre de reserves'!$B$2:$B$1178,'2021'!B$2,Tabla1[ANY],'2021'!$Z$2)</f>
        <v>0</v>
      </c>
      <c r="C7" s="21">
        <f t="shared" si="13"/>
        <v>0</v>
      </c>
      <c r="D7" s="20">
        <f>SUMIFS('Registre de reserves'!$P$2:$P$1178,'Registre de reserves'!$T$2:$T$1178,"SI",'Registre de reserves'!$I$2:$I$1178,'2021'!$A7,'Registre de reserves'!$B$2:$B$1178,'2021'!D$2,Tabla1[ANY],'2021'!$Z$2)+SUMIFS('Registre de reserves'!$U$2:$U$1178,'Registre de reserves'!$T$2:$T$1178,"RESERVA",'Registre de reserves'!$I$2:$I$1178,'2021'!$A7,'Registre de reserves'!$B$2:$B$1178,'2021'!D$2,Tabla1[ANY],'2021'!$Z$2)</f>
        <v>0</v>
      </c>
      <c r="E7" s="21">
        <f t="shared" si="13"/>
        <v>0</v>
      </c>
      <c r="F7" s="20">
        <f>SUMIFS('Registre de reserves'!$P$2:$P$1178,'Registre de reserves'!$T$2:$T$1178,"SI",'Registre de reserves'!$I$2:$I$1178,'2021'!$A7,'Registre de reserves'!$B$2:$B$1178,'2021'!F$2,Tabla1[ANY],'2021'!$Z$2)+SUMIFS('Registre de reserves'!$U$2:$U$1178,'Registre de reserves'!$T$2:$T$1178,"RESERVA",'Registre de reserves'!$I$2:$I$1178,'2021'!$A7,'Registre de reserves'!$B$2:$B$1178,'2021'!F$2,Tabla1[ANY],'2021'!$Z$2)</f>
        <v>0</v>
      </c>
      <c r="G7" s="21">
        <f t="shared" si="2"/>
        <v>0</v>
      </c>
      <c r="H7" s="20">
        <f>SUMIFS('Registre de reserves'!$P$2:$P$1178,'Registre de reserves'!$T$2:$T$1178,"SI",'Registre de reserves'!$I$2:$I$1178,'2021'!$A7,'Registre de reserves'!$B$2:$B$1178,'2021'!H$2,Tabla1[ANY],'2021'!$Z$2)+SUMIFS('Registre de reserves'!$U$2:$U$1178,'Registre de reserves'!$T$2:$T$1178,"RESERVA",'Registre de reserves'!$I$2:$I$1178,'2021'!$A7,'Registre de reserves'!$B$2:$B$1178,'2021'!H$2,Tabla1[ANY],'2021'!$Z$2)</f>
        <v>0</v>
      </c>
      <c r="I7" s="21">
        <f t="shared" si="3"/>
        <v>0</v>
      </c>
      <c r="J7" s="20">
        <f>SUMIFS('Registre de reserves'!$P$2:$P$1178,'Registre de reserves'!$T$2:$T$1178,"SI",'Registre de reserves'!$I$2:$I$1178,'2021'!$A7,'Registre de reserves'!$B$2:$B$1178,'2021'!J$2,Tabla1[ANY],'2021'!$Z$2)+SUMIFS('Registre de reserves'!$U$2:$U$1178,'Registre de reserves'!$T$2:$T$1178,"RESERVA",'Registre de reserves'!$I$2:$I$1178,'2021'!$A7,'Registre de reserves'!$B$2:$B$1178,'2021'!J$2,Tabla1[ANY],'2021'!$Z$2)</f>
        <v>300</v>
      </c>
      <c r="K7" s="21">
        <f t="shared" si="4"/>
        <v>0.20977113968660191</v>
      </c>
      <c r="L7" s="20">
        <f>SUMIFS('Registre de reserves'!$P$2:$P$1178,'Registre de reserves'!$T$2:$T$1178,"SI",'Registre de reserves'!$I$2:$I$1178,'2021'!$A7,'Registre de reserves'!$B$2:$B$1178,'2021'!L$2,Tabla1[ANY],'2021'!$Z$2)+SUMIFS('Registre de reserves'!$U$2:$U$1178,'Registre de reserves'!$T$2:$T$1178,"RESERVA",'Registre de reserves'!$I$2:$I$1178,'2021'!$A7,'Registre de reserves'!$B$2:$B$1178,'2021'!L$2,Tabla1[ANY],'2021'!$Z$2)</f>
        <v>893</v>
      </c>
      <c r="M7" s="21">
        <f t="shared" si="5"/>
        <v>0.45980444151524352</v>
      </c>
      <c r="N7" s="20">
        <f>SUMIFS('Registre de reserves'!$P$2:$P$1178,'Registre de reserves'!$T$2:$T$1178,"SI",'Registre de reserves'!$I$2:$I$1178,'2021'!$A7,'Registre de reserves'!$B$2:$B$1178,'2021'!N$2,Tabla1[ANY],'2021'!$Z$2)+SUMIFS('Registre de reserves'!$U$2:$U$1178,'Registre de reserves'!$T$2:$T$1178,"RESERVA",'Registre de reserves'!$I$2:$I$1178,'2021'!$A7,'Registre de reserves'!$B$2:$B$1178,'2021'!N$2,Tabla1[ANY],'2021'!$Z$2)</f>
        <v>870</v>
      </c>
      <c r="O7" s="21">
        <f t="shared" si="6"/>
        <v>0.75</v>
      </c>
      <c r="P7" s="20">
        <f>SUMIFS('Registre de reserves'!$P$2:$P$1178,'Registre de reserves'!$T$2:$T$1178,"SI",'Registre de reserves'!$I$2:$I$1178,'2021'!$A7,'Registre de reserves'!$B$2:$B$1178,'2021'!P$2,Tabla1[ANY],'2021'!$Z$2)+SUMIFS('Registre de reserves'!$U$2:$U$1178,'Registre de reserves'!$T$2:$T$1178,"RESERVA",'Registre de reserves'!$I$2:$I$1178,'2021'!$A7,'Registre de reserves'!$B$2:$B$1178,'2021'!P$2,Tabla1[ANY],'2021'!$Z$2)</f>
        <v>0</v>
      </c>
      <c r="Q7" s="21">
        <f t="shared" si="7"/>
        <v>0</v>
      </c>
      <c r="R7" s="20">
        <f>SUMIFS('Registre de reserves'!$P$2:$P$1178,'Registre de reserves'!$T$2:$T$1178,"SI",'Registre de reserves'!$I$2:$I$1178,'2021'!$A7,'Registre de reserves'!$B$2:$B$1178,'2021'!R$2,Tabla1[ANY],'2021'!$Z$2)+SUMIFS('Registre de reserves'!$U$2:$U$1178,'Registre de reserves'!$T$2:$T$1178,"RESERVA",'Registre de reserves'!$I$2:$I$1178,'2021'!$A7,'Registre de reserves'!$B$2:$B$1178,'2021'!R$2,Tabla1[ANY],'2021'!$Z$2)</f>
        <v>160</v>
      </c>
      <c r="S7" s="21">
        <f t="shared" si="8"/>
        <v>0.11636363636363636</v>
      </c>
      <c r="T7" s="20">
        <f>SUMIFS('Registre de reserves'!$P$2:$P$1178,'Registre de reserves'!$T$2:$T$1178,"SI",'Registre de reserves'!$I$2:$I$1178,'2021'!$A7,'Registre de reserves'!$B$2:$B$1178,'2021'!T$2,Tabla1[ANY],'2021'!$Z$2)+SUMIFS('Registre de reserves'!$U$2:$U$1178,'Registre de reserves'!$T$2:$T$1178,"RESERVA",'Registre de reserves'!$I$2:$I$1178,'2021'!$A7,'Registre de reserves'!$B$2:$B$1178,'2021'!T$2,Tabla1[ANY],'2021'!$Z$2)</f>
        <v>270</v>
      </c>
      <c r="U7" s="21">
        <f t="shared" si="9"/>
        <v>0.11713665943600868</v>
      </c>
      <c r="V7" s="20">
        <f>SUMIFS('Registre de reserves'!$P$2:$P$1178,'Registre de reserves'!$T$2:$T$1178,"SI",'Registre de reserves'!$I$2:$I$1178,'2021'!$A7,'Registre de reserves'!$B$2:$B$1178,'2021'!V$2,Tabla1[ANY],'2021'!$Z$2)+SUMIFS('Registre de reserves'!$U$2:$U$1178,'Registre de reserves'!$T$2:$T$1178,"RESERVA",'Registre de reserves'!$I$2:$I$1178,'2021'!$A7,'Registre de reserves'!$B$2:$B$1178,'2021'!V$2,Tabla1[ANY],'2021'!$Z$2)</f>
        <v>500</v>
      </c>
      <c r="W7" s="21">
        <f t="shared" si="10"/>
        <v>0.24509803921568626</v>
      </c>
      <c r="X7" s="20">
        <f>SUMIFS('Registre de reserves'!$P$2:$P$1178,'Registre de reserves'!$T$2:$T$1178,"SI",'Registre de reserves'!$I$2:$I$1178,'2021'!$A7,'Registre de reserves'!$B$2:$B$1178,'2021'!X$2,Tabla1[ANY],'2021'!$Z$2)+SUMIFS('Registre de reserves'!$U$2:$U$1178,'Registre de reserves'!$T$2:$T$1178,"RESERVA",'Registre de reserves'!$I$2:$I$1178,'2021'!$A7,'Registre de reserves'!$B$2:$B$1178,'2021'!X$2,Tabla1[ANY],'2021'!$Z$2)</f>
        <v>865</v>
      </c>
      <c r="Y7" s="21">
        <f t="shared" si="11"/>
        <v>0.2826797385620915</v>
      </c>
      <c r="Z7" s="20">
        <f t="shared" si="14"/>
        <v>3858</v>
      </c>
      <c r="AA7" s="21">
        <f t="shared" si="12"/>
        <v>0.21057733559084466</v>
      </c>
    </row>
    <row r="8" spans="1:27" hidden="1" outlineLevel="1" x14ac:dyDescent="0.2">
      <c r="A8" s="8" t="s">
        <v>71</v>
      </c>
      <c r="B8" s="20">
        <f>SUMIFS('Registre de reserves'!$P$2:$P$1178,'Registre de reserves'!$T$2:$T$1178,"SI",'Registre de reserves'!$I$2:$I$1178,'2021'!$A8,'Registre de reserves'!$B$2:$B$1178,'2021'!B$2,Tabla1[ANY],'2021'!$Z$2)+SUMIFS('Registre de reserves'!$U$2:$U$1178,'Registre de reserves'!$T$2:$T$1178,"RESERVA",'Registre de reserves'!$I$2:$I$1178,'2021'!$A8,'Registre de reserves'!$B$2:$B$1178,'2021'!B$2,Tabla1[ANY],'2021'!$Z$2)</f>
        <v>0</v>
      </c>
      <c r="C8" s="21">
        <f t="shared" si="13"/>
        <v>0</v>
      </c>
      <c r="D8" s="20">
        <f>SUMIFS('Registre de reserves'!$P$2:$P$1178,'Registre de reserves'!$T$2:$T$1178,"SI",'Registre de reserves'!$I$2:$I$1178,'2021'!$A8,'Registre de reserves'!$B$2:$B$1178,'2021'!D$2,Tabla1[ANY],'2021'!$Z$2)+SUMIFS('Registre de reserves'!$U$2:$U$1178,'Registre de reserves'!$T$2:$T$1178,"RESERVA",'Registre de reserves'!$I$2:$I$1178,'2021'!$A8,'Registre de reserves'!$B$2:$B$1178,'2021'!D$2,Tabla1[ANY],'2021'!$Z$2)</f>
        <v>0</v>
      </c>
      <c r="E8" s="21">
        <f t="shared" si="13"/>
        <v>0</v>
      </c>
      <c r="F8" s="20">
        <f>SUMIFS('Registre de reserves'!$P$2:$P$1178,'Registre de reserves'!$T$2:$T$1178,"SI",'Registre de reserves'!$I$2:$I$1178,'2021'!$A8,'Registre de reserves'!$B$2:$B$1178,'2021'!F$2,Tabla1[ANY],'2021'!$Z$2)+SUMIFS('Registre de reserves'!$U$2:$U$1178,'Registre de reserves'!$T$2:$T$1178,"RESERVA",'Registre de reserves'!$I$2:$I$1178,'2021'!$A8,'Registre de reserves'!$B$2:$B$1178,'2021'!F$2,Tabla1[ANY],'2021'!$Z$2)</f>
        <v>0</v>
      </c>
      <c r="G8" s="21">
        <f t="shared" si="2"/>
        <v>0</v>
      </c>
      <c r="H8" s="20">
        <f>SUMIFS('Registre de reserves'!$P$2:$P$1178,'Registre de reserves'!$T$2:$T$1178,"SI",'Registre de reserves'!$I$2:$I$1178,'2021'!$A8,'Registre de reserves'!$B$2:$B$1178,'2021'!H$2,Tabla1[ANY],'2021'!$Z$2)+SUMIFS('Registre de reserves'!$U$2:$U$1178,'Registre de reserves'!$T$2:$T$1178,"RESERVA",'Registre de reserves'!$I$2:$I$1178,'2021'!$A8,'Registre de reserves'!$B$2:$B$1178,'2021'!H$2,Tabla1[ANY],'2021'!$Z$2)</f>
        <v>0</v>
      </c>
      <c r="I8" s="21">
        <f t="shared" si="3"/>
        <v>0</v>
      </c>
      <c r="J8" s="20">
        <f>SUMIFS('Registre de reserves'!$P$2:$P$1178,'Registre de reserves'!$T$2:$T$1178,"SI",'Registre de reserves'!$I$2:$I$1178,'2021'!$A8,'Registre de reserves'!$B$2:$B$1178,'2021'!J$2,Tabla1[ANY],'2021'!$Z$2)+SUMIFS('Registre de reserves'!$U$2:$U$1178,'Registre de reserves'!$T$2:$T$1178,"RESERVA",'Registre de reserves'!$I$2:$I$1178,'2021'!$A8,'Registre de reserves'!$B$2:$B$1178,'2021'!J$2,Tabla1[ANY],'2021'!$Z$2)</f>
        <v>0</v>
      </c>
      <c r="K8" s="21">
        <f t="shared" si="4"/>
        <v>0</v>
      </c>
      <c r="L8" s="20">
        <f>SUMIFS('Registre de reserves'!$P$2:$P$1178,'Registre de reserves'!$T$2:$T$1178,"SI",'Registre de reserves'!$I$2:$I$1178,'2021'!$A8,'Registre de reserves'!$B$2:$B$1178,'2021'!L$2,Tabla1[ANY],'2021'!$Z$2)+SUMIFS('Registre de reserves'!$U$2:$U$1178,'Registre de reserves'!$T$2:$T$1178,"RESERVA",'Registre de reserves'!$I$2:$I$1178,'2021'!$A8,'Registre de reserves'!$B$2:$B$1178,'2021'!L$2,Tabla1[ANY],'2021'!$Z$2)</f>
        <v>0</v>
      </c>
      <c r="M8" s="21">
        <f t="shared" si="5"/>
        <v>0</v>
      </c>
      <c r="N8" s="20">
        <f>SUMIFS('Registre de reserves'!$P$2:$P$1178,'Registre de reserves'!$T$2:$T$1178,"SI",'Registre de reserves'!$I$2:$I$1178,'2021'!$A8,'Registre de reserves'!$B$2:$B$1178,'2021'!N$2,Tabla1[ANY],'2021'!$Z$2)+SUMIFS('Registre de reserves'!$U$2:$U$1178,'Registre de reserves'!$T$2:$T$1178,"RESERVA",'Registre de reserves'!$I$2:$I$1178,'2021'!$A8,'Registre de reserves'!$B$2:$B$1178,'2021'!N$2,Tabla1[ANY],'2021'!$Z$2)</f>
        <v>0</v>
      </c>
      <c r="O8" s="21">
        <f t="shared" si="6"/>
        <v>0</v>
      </c>
      <c r="P8" s="20">
        <f>SUMIFS('Registre de reserves'!$P$2:$P$1178,'Registre de reserves'!$T$2:$T$1178,"SI",'Registre de reserves'!$I$2:$I$1178,'2021'!$A8,'Registre de reserves'!$B$2:$B$1178,'2021'!P$2,Tabla1[ANY],'2021'!$Z$2)+SUMIFS('Registre de reserves'!$U$2:$U$1178,'Registre de reserves'!$T$2:$T$1178,"RESERVA",'Registre de reserves'!$I$2:$I$1178,'2021'!$A8,'Registre de reserves'!$B$2:$B$1178,'2021'!P$2,Tabla1[ANY],'2021'!$Z$2)</f>
        <v>0</v>
      </c>
      <c r="Q8" s="21">
        <f t="shared" si="7"/>
        <v>0</v>
      </c>
      <c r="R8" s="20">
        <f>SUMIFS('Registre de reserves'!$P$2:$P$1178,'Registre de reserves'!$T$2:$T$1178,"SI",'Registre de reserves'!$I$2:$I$1178,'2021'!$A8,'Registre de reserves'!$B$2:$B$1178,'2021'!R$2,Tabla1[ANY],'2021'!$Z$2)+SUMIFS('Registre de reserves'!$U$2:$U$1178,'Registre de reserves'!$T$2:$T$1178,"RESERVA",'Registre de reserves'!$I$2:$I$1178,'2021'!$A8,'Registre de reserves'!$B$2:$B$1178,'2021'!R$2,Tabla1[ANY],'2021'!$Z$2)</f>
        <v>145</v>
      </c>
      <c r="S8" s="21">
        <f t="shared" si="8"/>
        <v>0.10545454545454545</v>
      </c>
      <c r="T8" s="20">
        <f>SUMIFS('Registre de reserves'!$P$2:$P$1178,'Registre de reserves'!$T$2:$T$1178,"SI",'Registre de reserves'!$I$2:$I$1178,'2021'!$A8,'Registre de reserves'!$B$2:$B$1178,'2021'!T$2,Tabla1[ANY],'2021'!$Z$2)+SUMIFS('Registre de reserves'!$U$2:$U$1178,'Registre de reserves'!$T$2:$T$1178,"RESERVA",'Registre de reserves'!$I$2:$I$1178,'2021'!$A8,'Registre de reserves'!$B$2:$B$1178,'2021'!T$2,Tabla1[ANY],'2021'!$Z$2)</f>
        <v>0</v>
      </c>
      <c r="U8" s="21">
        <f t="shared" si="9"/>
        <v>0</v>
      </c>
      <c r="V8" s="20">
        <f>SUMIFS('Registre de reserves'!$P$2:$P$1178,'Registre de reserves'!$T$2:$T$1178,"SI",'Registre de reserves'!$I$2:$I$1178,'2021'!$A8,'Registre de reserves'!$B$2:$B$1178,'2021'!V$2,Tabla1[ANY],'2021'!$Z$2)+SUMIFS('Registre de reserves'!$U$2:$U$1178,'Registre de reserves'!$T$2:$T$1178,"RESERVA",'Registre de reserves'!$I$2:$I$1178,'2021'!$A8,'Registre de reserves'!$B$2:$B$1178,'2021'!V$2,Tabla1[ANY],'2021'!$Z$2)</f>
        <v>0</v>
      </c>
      <c r="W8" s="21">
        <f t="shared" si="10"/>
        <v>0</v>
      </c>
      <c r="X8" s="20">
        <f>SUMIFS('Registre de reserves'!$P$2:$P$1178,'Registre de reserves'!$T$2:$T$1178,"SI",'Registre de reserves'!$I$2:$I$1178,'2021'!$A8,'Registre de reserves'!$B$2:$B$1178,'2021'!X$2,Tabla1[ANY],'2021'!$Z$2)+SUMIFS('Registre de reserves'!$U$2:$U$1178,'Registre de reserves'!$T$2:$T$1178,"RESERVA",'Registre de reserves'!$I$2:$I$1178,'2021'!$A8,'Registre de reserves'!$B$2:$B$1178,'2021'!X$2,Tabla1[ANY],'2021'!$Z$2)</f>
        <v>145</v>
      </c>
      <c r="Y8" s="21">
        <f t="shared" si="11"/>
        <v>4.7385620915032678E-2</v>
      </c>
      <c r="Z8" s="20">
        <f t="shared" si="14"/>
        <v>290</v>
      </c>
      <c r="AA8" s="21">
        <f t="shared" si="12"/>
        <v>1.5828778465874792E-2</v>
      </c>
    </row>
    <row r="9" spans="1:27" hidden="1" outlineLevel="1" x14ac:dyDescent="0.2">
      <c r="A9" s="8" t="s">
        <v>72</v>
      </c>
      <c r="B9" s="20">
        <f>SUMIFS('Registre de reserves'!$P$2:$P$1178,'Registre de reserves'!$T$2:$T$1178,"SI",'Registre de reserves'!$I$2:$I$1178,'2021'!$A9,'Registre de reserves'!$B$2:$B$1178,'2021'!B$2,Tabla1[ANY],'2021'!$Z$2)+SUMIFS('Registre de reserves'!$U$2:$U$1178,'Registre de reserves'!$T$2:$T$1178,"RESERVA",'Registre de reserves'!$I$2:$I$1178,'2021'!$A9,'Registre de reserves'!$B$2:$B$1178,'2021'!B$2,Tabla1[ANY],'2021'!$Z$2)</f>
        <v>0</v>
      </c>
      <c r="C9" s="21">
        <f>IF(B$4=0,0,B9/B$4)</f>
        <v>0</v>
      </c>
      <c r="D9" s="20">
        <f>SUMIFS('Registre de reserves'!$P$2:$P$1178,'Registre de reserves'!$T$2:$T$1178,"SI",'Registre de reserves'!$I$2:$I$1178,'2021'!$A9,'Registre de reserves'!$B$2:$B$1178,'2021'!D$2,Tabla1[ANY],'2021'!$Z$2)+SUMIFS('Registre de reserves'!$U$2:$U$1178,'Registre de reserves'!$T$2:$T$1178,"RESERVA",'Registre de reserves'!$I$2:$I$1178,'2021'!$A9,'Registre de reserves'!$B$2:$B$1178,'2021'!D$2,Tabla1[ANY],'2021'!$Z$2)</f>
        <v>0</v>
      </c>
      <c r="E9" s="21">
        <f>IF(D$4=0,0,D9/D$4)</f>
        <v>0</v>
      </c>
      <c r="F9" s="20">
        <f>SUMIFS('Registre de reserves'!$P$2:$P$1178,'Registre de reserves'!$T$2:$T$1178,"SI",'Registre de reserves'!$I$2:$I$1178,'2021'!$A9,'Registre de reserves'!$B$2:$B$1178,'2021'!F$2,Tabla1[ANY],'2021'!$Z$2)+SUMIFS('Registre de reserves'!$U$2:$U$1178,'Registre de reserves'!$T$2:$T$1178,"RESERVA",'Registre de reserves'!$I$2:$I$1178,'2021'!$A9,'Registre de reserves'!$B$2:$B$1178,'2021'!F$2,Tabla1[ANY],'2021'!$Z$2)</f>
        <v>0</v>
      </c>
      <c r="G9" s="21">
        <f t="shared" si="2"/>
        <v>0</v>
      </c>
      <c r="H9" s="20">
        <f>SUMIFS('Registre de reserves'!$P$2:$P$1178,'Registre de reserves'!$T$2:$T$1178,"SI",'Registre de reserves'!$I$2:$I$1178,'2021'!$A9,'Registre de reserves'!$B$2:$B$1178,'2021'!H$2,Tabla1[ANY],'2021'!$Z$2)+SUMIFS('Registre de reserves'!$U$2:$U$1178,'Registre de reserves'!$T$2:$T$1178,"RESERVA",'Registre de reserves'!$I$2:$I$1178,'2021'!$A9,'Registre de reserves'!$B$2:$B$1178,'2021'!H$2,Tabla1[ANY],'2021'!$Z$2)</f>
        <v>0</v>
      </c>
      <c r="I9" s="21">
        <f t="shared" si="3"/>
        <v>0</v>
      </c>
      <c r="J9" s="20">
        <f>SUMIFS('Registre de reserves'!$P$2:$P$1178,'Registre de reserves'!$T$2:$T$1178,"SI",'Registre de reserves'!$I$2:$I$1178,'2021'!$A9,'Registre de reserves'!$B$2:$B$1178,'2021'!J$2,Tabla1[ANY],'2021'!$Z$2)+SUMIFS('Registre de reserves'!$U$2:$U$1178,'Registre de reserves'!$T$2:$T$1178,"RESERVA",'Registre de reserves'!$I$2:$I$1178,'2021'!$A9,'Registre de reserves'!$B$2:$B$1178,'2021'!J$2,Tabla1[ANY],'2021'!$Z$2)</f>
        <v>0</v>
      </c>
      <c r="K9" s="21">
        <f t="shared" si="4"/>
        <v>0</v>
      </c>
      <c r="L9" s="20">
        <f>SUMIFS('Registre de reserves'!$P$2:$P$1178,'Registre de reserves'!$T$2:$T$1178,"SI",'Registre de reserves'!$I$2:$I$1178,'2021'!$A9,'Registre de reserves'!$B$2:$B$1178,'2021'!L$2,Tabla1[ANY],'2021'!$Z$2)+SUMIFS('Registre de reserves'!$U$2:$U$1178,'Registre de reserves'!$T$2:$T$1178,"RESERVA",'Registre de reserves'!$I$2:$I$1178,'2021'!$A9,'Registre de reserves'!$B$2:$B$1178,'2021'!L$2,Tabla1[ANY],'2021'!$Z$2)</f>
        <v>0</v>
      </c>
      <c r="M9" s="21">
        <f t="shared" si="5"/>
        <v>0</v>
      </c>
      <c r="N9" s="20">
        <f>SUMIFS('Registre de reserves'!$P$2:$P$1178,'Registre de reserves'!$T$2:$T$1178,"SI",'Registre de reserves'!$I$2:$I$1178,'2021'!$A9,'Registre de reserves'!$B$2:$B$1178,'2021'!N$2,Tabla1[ANY],'2021'!$Z$2)+SUMIFS('Registre de reserves'!$U$2:$U$1178,'Registre de reserves'!$T$2:$T$1178,"RESERVA",'Registre de reserves'!$I$2:$I$1178,'2021'!$A9,'Registre de reserves'!$B$2:$B$1178,'2021'!N$2,Tabla1[ANY],'2021'!$Z$2)</f>
        <v>0</v>
      </c>
      <c r="O9" s="21">
        <f t="shared" si="6"/>
        <v>0</v>
      </c>
      <c r="P9" s="20">
        <f>SUMIFS('Registre de reserves'!$P$2:$P$1178,'Registre de reserves'!$T$2:$T$1178,"SI",'Registre de reserves'!$I$2:$I$1178,'2021'!$A9,'Registre de reserves'!$B$2:$B$1178,'2021'!P$2,Tabla1[ANY],'2021'!$Z$2)+SUMIFS('Registre de reserves'!$U$2:$U$1178,'Registre de reserves'!$T$2:$T$1178,"RESERVA",'Registre de reserves'!$I$2:$I$1178,'2021'!$A9,'Registre de reserves'!$B$2:$B$1178,'2021'!P$2,Tabla1[ANY],'2021'!$Z$2)</f>
        <v>0</v>
      </c>
      <c r="Q9" s="21">
        <f t="shared" si="7"/>
        <v>0</v>
      </c>
      <c r="R9" s="20">
        <f>SUMIFS('Registre de reserves'!$P$2:$P$1178,'Registre de reserves'!$T$2:$T$1178,"SI",'Registre de reserves'!$I$2:$I$1178,'2021'!$A9,'Registre de reserves'!$B$2:$B$1178,'2021'!R$2,Tabla1[ANY],'2021'!$Z$2)+SUMIFS('Registre de reserves'!$U$2:$U$1178,'Registre de reserves'!$T$2:$T$1178,"RESERVA",'Registre de reserves'!$I$2:$I$1178,'2021'!$A9,'Registre de reserves'!$B$2:$B$1178,'2021'!R$2,Tabla1[ANY],'2021'!$Z$2)</f>
        <v>0</v>
      </c>
      <c r="S9" s="21">
        <f t="shared" si="8"/>
        <v>0</v>
      </c>
      <c r="T9" s="20">
        <f>SUMIFS('Registre de reserves'!$P$2:$P$1178,'Registre de reserves'!$T$2:$T$1178,"SI",'Registre de reserves'!$I$2:$I$1178,'2021'!$A9,'Registre de reserves'!$B$2:$B$1178,'2021'!T$2,Tabla1[ANY],'2021'!$Z$2)+SUMIFS('Registre de reserves'!$U$2:$U$1178,'Registre de reserves'!$T$2:$T$1178,"RESERVA",'Registre de reserves'!$I$2:$I$1178,'2021'!$A9,'Registre de reserves'!$B$2:$B$1178,'2021'!T$2,Tabla1[ANY],'2021'!$Z$2)</f>
        <v>0</v>
      </c>
      <c r="U9" s="21">
        <f t="shared" si="9"/>
        <v>0</v>
      </c>
      <c r="V9" s="20">
        <f>SUMIFS('Registre de reserves'!$P$2:$P$1178,'Registre de reserves'!$T$2:$T$1178,"SI",'Registre de reserves'!$I$2:$I$1178,'2021'!$A9,'Registre de reserves'!$B$2:$B$1178,'2021'!V$2,Tabla1[ANY],'2021'!$Z$2)+SUMIFS('Registre de reserves'!$U$2:$U$1178,'Registre de reserves'!$T$2:$T$1178,"RESERVA",'Registre de reserves'!$I$2:$I$1178,'2021'!$A9,'Registre de reserves'!$B$2:$B$1178,'2021'!V$2,Tabla1[ANY],'2021'!$Z$2)</f>
        <v>0</v>
      </c>
      <c r="W9" s="21">
        <f t="shared" si="10"/>
        <v>0</v>
      </c>
      <c r="X9" s="20">
        <f>SUMIFS('Registre de reserves'!$P$2:$P$1178,'Registre de reserves'!$T$2:$T$1178,"SI",'Registre de reserves'!$I$2:$I$1178,'2021'!$A9,'Registre de reserves'!$B$2:$B$1178,'2021'!X$2,Tabla1[ANY],'2021'!$Z$2)+SUMIFS('Registre de reserves'!$U$2:$U$1178,'Registre de reserves'!$T$2:$T$1178,"RESERVA",'Registre de reserves'!$I$2:$I$1178,'2021'!$A9,'Registre de reserves'!$B$2:$B$1178,'2021'!X$2,Tabla1[ANY],'2021'!$Z$2)</f>
        <v>0</v>
      </c>
      <c r="Y9" s="21">
        <f t="shared" si="11"/>
        <v>0</v>
      </c>
      <c r="Z9" s="20">
        <f t="shared" si="14"/>
        <v>0</v>
      </c>
      <c r="AA9" s="21">
        <f t="shared" si="12"/>
        <v>0</v>
      </c>
    </row>
    <row r="10" spans="1:27" hidden="1" outlineLevel="1" x14ac:dyDescent="0.2">
      <c r="A10" s="8" t="s">
        <v>69</v>
      </c>
      <c r="B10" s="20">
        <f>SUMIFS('Registre de reserves'!$P$2:$P$1178,'Registre de reserves'!$T$2:$T$1178,"SI",'Registre de reserves'!$I$2:$I$1178,'2021'!$A10,'Registre de reserves'!$B$2:$B$1178,'2021'!B$2,Tabla1[ANY],'2021'!$Z$2)+SUMIFS('Registre de reserves'!$U$2:$U$1178,'Registre de reserves'!$T$2:$T$1178,"RESERVA",'Registre de reserves'!$I$2:$I$1178,'2021'!$A10,'Registre de reserves'!$B$2:$B$1178,'2021'!B$2,Tabla1[ANY],'2021'!$Z$2)</f>
        <v>0</v>
      </c>
      <c r="C10" s="21">
        <f t="shared" si="13"/>
        <v>0</v>
      </c>
      <c r="D10" s="20">
        <f>SUMIFS('Registre de reserves'!$P$2:$P$1178,'Registre de reserves'!$T$2:$T$1178,"SI",'Registre de reserves'!$I$2:$I$1178,'2021'!$A10,'Registre de reserves'!$B$2:$B$1178,'2021'!D$2,Tabla1[ANY],'2021'!$Z$2)+SUMIFS('Registre de reserves'!$U$2:$U$1178,'Registre de reserves'!$T$2:$T$1178,"RESERVA",'Registre de reserves'!$I$2:$I$1178,'2021'!$A10,'Registre de reserves'!$B$2:$B$1178,'2021'!D$2,Tabla1[ANY],'2021'!$Z$2)</f>
        <v>0</v>
      </c>
      <c r="E10" s="21">
        <f t="shared" si="13"/>
        <v>0</v>
      </c>
      <c r="F10" s="20">
        <f>SUMIFS('Registre de reserves'!$P$2:$P$1178,'Registre de reserves'!$T$2:$T$1178,"SI",'Registre de reserves'!$I$2:$I$1178,'2021'!$A10,'Registre de reserves'!$B$2:$B$1178,'2021'!F$2,Tabla1[ANY],'2021'!$Z$2)+SUMIFS('Registre de reserves'!$U$2:$U$1178,'Registre de reserves'!$T$2:$T$1178,"RESERVA",'Registre de reserves'!$I$2:$I$1178,'2021'!$A10,'Registre de reserves'!$B$2:$B$1178,'2021'!F$2,Tabla1[ANY],'2021'!$Z$2)</f>
        <v>0</v>
      </c>
      <c r="G10" s="21">
        <f t="shared" si="2"/>
        <v>0</v>
      </c>
      <c r="H10" s="20">
        <f>SUMIFS('Registre de reserves'!$P$2:$P$1178,'Registre de reserves'!$T$2:$T$1178,"SI",'Registre de reserves'!$I$2:$I$1178,'2021'!$A10,'Registre de reserves'!$B$2:$B$1178,'2021'!H$2,Tabla1[ANY],'2021'!$Z$2)+SUMIFS('Registre de reserves'!$U$2:$U$1178,'Registre de reserves'!$T$2:$T$1178,"RESERVA",'Registre de reserves'!$I$2:$I$1178,'2021'!$A10,'Registre de reserves'!$B$2:$B$1178,'2021'!H$2,Tabla1[ANY],'2021'!$Z$2)</f>
        <v>0</v>
      </c>
      <c r="I10" s="21">
        <f t="shared" si="3"/>
        <v>0</v>
      </c>
      <c r="J10" s="20">
        <f>SUMIFS('Registre de reserves'!$P$2:$P$1178,'Registre de reserves'!$T$2:$T$1178,"SI",'Registre de reserves'!$I$2:$I$1178,'2021'!$A10,'Registre de reserves'!$B$2:$B$1178,'2021'!J$2,Tabla1[ANY],'2021'!$Z$2)+SUMIFS('Registre de reserves'!$U$2:$U$1178,'Registre de reserves'!$T$2:$T$1178,"RESERVA",'Registre de reserves'!$I$2:$I$1178,'2021'!$A10,'Registre de reserves'!$B$2:$B$1178,'2021'!J$2,Tabla1[ANY],'2021'!$Z$2)</f>
        <v>0</v>
      </c>
      <c r="K10" s="21">
        <f t="shared" si="4"/>
        <v>0</v>
      </c>
      <c r="L10" s="20">
        <f>SUMIFS('Registre de reserves'!$P$2:$P$1178,'Registre de reserves'!$T$2:$T$1178,"SI",'Registre de reserves'!$I$2:$I$1178,'2021'!$A10,'Registre de reserves'!$B$2:$B$1178,'2021'!L$2,Tabla1[ANY],'2021'!$Z$2)+SUMIFS('Registre de reserves'!$U$2:$U$1178,'Registre de reserves'!$T$2:$T$1178,"RESERVA",'Registre de reserves'!$I$2:$I$1178,'2021'!$A10,'Registre de reserves'!$B$2:$B$1178,'2021'!L$2,Tabla1[ANY],'2021'!$Z$2)</f>
        <v>195</v>
      </c>
      <c r="M10" s="21">
        <f t="shared" si="5"/>
        <v>0.10040522519089864</v>
      </c>
      <c r="N10" s="20">
        <f>SUMIFS('Registre de reserves'!$P$2:$P$1178,'Registre de reserves'!$T$2:$T$1178,"SI",'Registre de reserves'!$I$2:$I$1178,'2021'!$A10,'Registre de reserves'!$B$2:$B$1178,'2021'!N$2,Tabla1[ANY],'2021'!$Z$2)+SUMIFS('Registre de reserves'!$U$2:$U$1178,'Registre de reserves'!$T$2:$T$1178,"RESERVA",'Registre de reserves'!$I$2:$I$1178,'2021'!$A10,'Registre de reserves'!$B$2:$B$1178,'2021'!N$2,Tabla1[ANY],'2021'!$Z$2)</f>
        <v>0</v>
      </c>
      <c r="O10" s="21">
        <f t="shared" si="6"/>
        <v>0</v>
      </c>
      <c r="P10" s="20">
        <f>SUMIFS('Registre de reserves'!$P$2:$P$1178,'Registre de reserves'!$T$2:$T$1178,"SI",'Registre de reserves'!$I$2:$I$1178,'2021'!$A10,'Registre de reserves'!$B$2:$B$1178,'2021'!P$2,Tabla1[ANY],'2021'!$Z$2)+SUMIFS('Registre de reserves'!$U$2:$U$1178,'Registre de reserves'!$T$2:$T$1178,"RESERVA",'Registre de reserves'!$I$2:$I$1178,'2021'!$A10,'Registre de reserves'!$B$2:$B$1178,'2021'!P$2,Tabla1[ANY],'2021'!$Z$2)</f>
        <v>0</v>
      </c>
      <c r="Q10" s="21">
        <f t="shared" si="7"/>
        <v>0</v>
      </c>
      <c r="R10" s="20">
        <f>SUMIFS('Registre de reserves'!$P$2:$P$1178,'Registre de reserves'!$T$2:$T$1178,"SI",'Registre de reserves'!$I$2:$I$1178,'2021'!$A10,'Registre de reserves'!$B$2:$B$1178,'2021'!R$2,Tabla1[ANY],'2021'!$Z$2)+SUMIFS('Registre de reserves'!$U$2:$U$1178,'Registre de reserves'!$T$2:$T$1178,"RESERVA",'Registre de reserves'!$I$2:$I$1178,'2021'!$A10,'Registre de reserves'!$B$2:$B$1178,'2021'!R$2,Tabla1[ANY],'2021'!$Z$2)</f>
        <v>0</v>
      </c>
      <c r="S10" s="21">
        <f t="shared" si="8"/>
        <v>0</v>
      </c>
      <c r="T10" s="20">
        <f>SUMIFS('Registre de reserves'!$P$2:$P$1178,'Registre de reserves'!$T$2:$T$1178,"SI",'Registre de reserves'!$I$2:$I$1178,'2021'!$A10,'Registre de reserves'!$B$2:$B$1178,'2021'!T$2,Tabla1[ANY],'2021'!$Z$2)+SUMIFS('Registre de reserves'!$U$2:$U$1178,'Registre de reserves'!$T$2:$T$1178,"RESERVA",'Registre de reserves'!$I$2:$I$1178,'2021'!$A10,'Registre de reserves'!$B$2:$B$1178,'2021'!T$2,Tabla1[ANY],'2021'!$Z$2)</f>
        <v>640</v>
      </c>
      <c r="U10" s="21">
        <f t="shared" si="9"/>
        <v>0.27765726681127983</v>
      </c>
      <c r="V10" s="20">
        <f>SUMIFS('Registre de reserves'!$P$2:$P$1178,'Registre de reserves'!$T$2:$T$1178,"SI",'Registre de reserves'!$I$2:$I$1178,'2021'!$A10,'Registre de reserves'!$B$2:$B$1178,'2021'!V$2,Tabla1[ANY],'2021'!$Z$2)+SUMIFS('Registre de reserves'!$U$2:$U$1178,'Registre de reserves'!$T$2:$T$1178,"RESERVA",'Registre de reserves'!$I$2:$I$1178,'2021'!$A10,'Registre de reserves'!$B$2:$B$1178,'2021'!V$2,Tabla1[ANY],'2021'!$Z$2)</f>
        <v>585</v>
      </c>
      <c r="W10" s="21">
        <f t="shared" si="10"/>
        <v>0.28676470588235292</v>
      </c>
      <c r="X10" s="20">
        <f>SUMIFS('Registre de reserves'!$P$2:$P$1178,'Registre de reserves'!$T$2:$T$1178,"SI",'Registre de reserves'!$I$2:$I$1178,'2021'!$A10,'Registre de reserves'!$B$2:$B$1178,'2021'!X$2,Tabla1[ANY],'2021'!$Z$2)+SUMIFS('Registre de reserves'!$U$2:$U$1178,'Registre de reserves'!$T$2:$T$1178,"RESERVA",'Registre de reserves'!$I$2:$I$1178,'2021'!$A10,'Registre de reserves'!$B$2:$B$1178,'2021'!X$2,Tabla1[ANY],'2021'!$Z$2)</f>
        <v>1075</v>
      </c>
      <c r="Y10" s="21">
        <f t="shared" si="11"/>
        <v>0.35130718954248363</v>
      </c>
      <c r="Z10" s="20">
        <f t="shared" si="14"/>
        <v>2495</v>
      </c>
      <c r="AA10" s="21">
        <f t="shared" si="12"/>
        <v>0.13618207680123312</v>
      </c>
    </row>
    <row r="11" spans="1:27" hidden="1" outlineLevel="1" x14ac:dyDescent="0.2">
      <c r="A11" s="8" t="s">
        <v>70</v>
      </c>
      <c r="B11" s="20">
        <f>SUMIFS('Registre de reserves'!$P$2:$P$1178,'Registre de reserves'!$T$2:$T$1178,"SI",'Registre de reserves'!$I$2:$I$1178,'2021'!$A11,'Registre de reserves'!$B$2:$B$1178,'2021'!B$2,Tabla1[ANY],'2021'!$Z$2)+SUMIFS('Registre de reserves'!$U$2:$U$1178,'Registre de reserves'!$T$2:$T$1178,"RESERVA",'Registre de reserves'!$I$2:$I$1178,'2021'!$A11,'Registre de reserves'!$B$2:$B$1178,'2021'!B$2,Tabla1[ANY],'2021'!$Z$2)</f>
        <v>0</v>
      </c>
      <c r="C11" s="21">
        <f t="shared" si="13"/>
        <v>0</v>
      </c>
      <c r="D11" s="20">
        <f>SUMIFS('Registre de reserves'!$P$2:$P$1178,'Registre de reserves'!$T$2:$T$1178,"SI",'Registre de reserves'!$I$2:$I$1178,'2021'!$A11,'Registre de reserves'!$B$2:$B$1178,'2021'!D$2,Tabla1[ANY],'2021'!$Z$2)+SUMIFS('Registre de reserves'!$U$2:$U$1178,'Registre de reserves'!$T$2:$T$1178,"RESERVA",'Registre de reserves'!$I$2:$I$1178,'2021'!$A11,'Registre de reserves'!$B$2:$B$1178,'2021'!D$2,Tabla1[ANY],'2021'!$Z$2)</f>
        <v>0</v>
      </c>
      <c r="E11" s="21">
        <f t="shared" si="13"/>
        <v>0</v>
      </c>
      <c r="F11" s="20">
        <f>SUMIFS('Registre de reserves'!$P$2:$P$1178,'Registre de reserves'!$T$2:$T$1178,"SI",'Registre de reserves'!$I$2:$I$1178,'2021'!$A11,'Registre de reserves'!$B$2:$B$1178,'2021'!F$2,Tabla1[ANY],'2021'!$Z$2)+SUMIFS('Registre de reserves'!$U$2:$U$1178,'Registre de reserves'!$T$2:$T$1178,"RESERVA",'Registre de reserves'!$I$2:$I$1178,'2021'!$A11,'Registre de reserves'!$B$2:$B$1178,'2021'!F$2,Tabla1[ANY],'2021'!$Z$2)</f>
        <v>0</v>
      </c>
      <c r="G11" s="21">
        <f t="shared" si="2"/>
        <v>0</v>
      </c>
      <c r="H11" s="20">
        <f>SUMIFS('Registre de reserves'!$P$2:$P$1178,'Registre de reserves'!$T$2:$T$1178,"SI",'Registre de reserves'!$I$2:$I$1178,'2021'!$A11,'Registre de reserves'!$B$2:$B$1178,'2021'!H$2,Tabla1[ANY],'2021'!$Z$2)+SUMIFS('Registre de reserves'!$U$2:$U$1178,'Registre de reserves'!$T$2:$T$1178,"RESERVA",'Registre de reserves'!$I$2:$I$1178,'2021'!$A11,'Registre de reserves'!$B$2:$B$1178,'2021'!H$2,Tabla1[ANY],'2021'!$Z$2)</f>
        <v>0</v>
      </c>
      <c r="I11" s="21">
        <f t="shared" si="3"/>
        <v>0</v>
      </c>
      <c r="J11" s="20">
        <f>SUMIFS('Registre de reserves'!$P$2:$P$1178,'Registre de reserves'!$T$2:$T$1178,"SI",'Registre de reserves'!$I$2:$I$1178,'2021'!$A11,'Registre de reserves'!$B$2:$B$1178,'2021'!J$2,Tabla1[ANY],'2021'!$Z$2)+SUMIFS('Registre de reserves'!$U$2:$U$1178,'Registre de reserves'!$T$2:$T$1178,"RESERVA",'Registre de reserves'!$I$2:$I$1178,'2021'!$A11,'Registre de reserves'!$B$2:$B$1178,'2021'!J$2,Tabla1[ANY],'2021'!$Z$2)</f>
        <v>0</v>
      </c>
      <c r="K11" s="21">
        <f t="shared" si="4"/>
        <v>0</v>
      </c>
      <c r="L11" s="20">
        <f>SUMIFS('Registre de reserves'!$P$2:$P$1178,'Registre de reserves'!$T$2:$T$1178,"SI",'Registre de reserves'!$I$2:$I$1178,'2021'!$A11,'Registre de reserves'!$B$2:$B$1178,'2021'!L$2,Tabla1[ANY],'2021'!$Z$2)+SUMIFS('Registre de reserves'!$U$2:$U$1178,'Registre de reserves'!$T$2:$T$1178,"RESERVA",'Registre de reserves'!$I$2:$I$1178,'2021'!$A11,'Registre de reserves'!$B$2:$B$1178,'2021'!L$2,Tabla1[ANY],'2021'!$Z$2)</f>
        <v>0</v>
      </c>
      <c r="M11" s="21">
        <f t="shared" si="5"/>
        <v>0</v>
      </c>
      <c r="N11" s="20">
        <f>SUMIFS('Registre de reserves'!$P$2:$P$1178,'Registre de reserves'!$T$2:$T$1178,"SI",'Registre de reserves'!$I$2:$I$1178,'2021'!$A11,'Registre de reserves'!$B$2:$B$1178,'2021'!N$2,Tabla1[ANY],'2021'!$Z$2)+SUMIFS('Registre de reserves'!$U$2:$U$1178,'Registre de reserves'!$T$2:$T$1178,"RESERVA",'Registre de reserves'!$I$2:$I$1178,'2021'!$A11,'Registre de reserves'!$B$2:$B$1178,'2021'!N$2,Tabla1[ANY],'2021'!$Z$2)</f>
        <v>0</v>
      </c>
      <c r="O11" s="21">
        <f t="shared" si="6"/>
        <v>0</v>
      </c>
      <c r="P11" s="20">
        <f>SUMIFS('Registre de reserves'!$P$2:$P$1178,'Registre de reserves'!$T$2:$T$1178,"SI",'Registre de reserves'!$I$2:$I$1178,'2021'!$A11,'Registre de reserves'!$B$2:$B$1178,'2021'!P$2,Tabla1[ANY],'2021'!$Z$2)+SUMIFS('Registre de reserves'!$U$2:$U$1178,'Registre de reserves'!$T$2:$T$1178,"RESERVA",'Registre de reserves'!$I$2:$I$1178,'2021'!$A11,'Registre de reserves'!$B$2:$B$1178,'2021'!P$2,Tabla1[ANY],'2021'!$Z$2)</f>
        <v>0</v>
      </c>
      <c r="Q11" s="21">
        <f t="shared" si="7"/>
        <v>0</v>
      </c>
      <c r="R11" s="20">
        <f>SUMIFS('Registre de reserves'!$P$2:$P$1178,'Registre de reserves'!$T$2:$T$1178,"SI",'Registre de reserves'!$I$2:$I$1178,'2021'!$A11,'Registre de reserves'!$B$2:$B$1178,'2021'!R$2,Tabla1[ANY],'2021'!$Z$2)+SUMIFS('Registre de reserves'!$U$2:$U$1178,'Registre de reserves'!$T$2:$T$1178,"RESERVA",'Registre de reserves'!$I$2:$I$1178,'2021'!$A11,'Registre de reserves'!$B$2:$B$1178,'2021'!R$2,Tabla1[ANY],'2021'!$Z$2)</f>
        <v>0</v>
      </c>
      <c r="S11" s="21">
        <f t="shared" si="8"/>
        <v>0</v>
      </c>
      <c r="T11" s="20">
        <f>SUMIFS('Registre de reserves'!$P$2:$P$1178,'Registre de reserves'!$T$2:$T$1178,"SI",'Registre de reserves'!$I$2:$I$1178,'2021'!$A11,'Registre de reserves'!$B$2:$B$1178,'2021'!T$2,Tabla1[ANY],'2021'!$Z$2)+SUMIFS('Registre de reserves'!$U$2:$U$1178,'Registre de reserves'!$T$2:$T$1178,"RESERVA",'Registre de reserves'!$I$2:$I$1178,'2021'!$A11,'Registre de reserves'!$B$2:$B$1178,'2021'!T$2,Tabla1[ANY],'2021'!$Z$2)</f>
        <v>0</v>
      </c>
      <c r="U11" s="21">
        <f t="shared" si="9"/>
        <v>0</v>
      </c>
      <c r="V11" s="20">
        <f>SUMIFS('Registre de reserves'!$P$2:$P$1178,'Registre de reserves'!$T$2:$T$1178,"SI",'Registre de reserves'!$I$2:$I$1178,'2021'!$A11,'Registre de reserves'!$B$2:$B$1178,'2021'!V$2,Tabla1[ANY],'2021'!$Z$2)+SUMIFS('Registre de reserves'!$U$2:$U$1178,'Registre de reserves'!$T$2:$T$1178,"RESERVA",'Registre de reserves'!$I$2:$I$1178,'2021'!$A11,'Registre de reserves'!$B$2:$B$1178,'2021'!V$2,Tabla1[ANY],'2021'!$Z$2)</f>
        <v>0</v>
      </c>
      <c r="W11" s="21">
        <f t="shared" si="10"/>
        <v>0</v>
      </c>
      <c r="X11" s="20">
        <f>SUMIFS('Registre de reserves'!$P$2:$P$1178,'Registre de reserves'!$T$2:$T$1178,"SI",'Registre de reserves'!$I$2:$I$1178,'2021'!$A11,'Registre de reserves'!$B$2:$B$1178,'2021'!X$2,Tabla1[ANY],'2021'!$Z$2)+SUMIFS('Registre de reserves'!$U$2:$U$1178,'Registre de reserves'!$T$2:$T$1178,"RESERVA",'Registre de reserves'!$I$2:$I$1178,'2021'!$A11,'Registre de reserves'!$B$2:$B$1178,'2021'!X$2,Tabla1[ANY],'2021'!$Z$2)</f>
        <v>300</v>
      </c>
      <c r="Y11" s="21">
        <f t="shared" si="11"/>
        <v>9.8039215686274508E-2</v>
      </c>
      <c r="Z11" s="20">
        <f t="shared" si="14"/>
        <v>300</v>
      </c>
      <c r="AA11" s="21">
        <f t="shared" si="12"/>
        <v>1.6374598412973923E-2</v>
      </c>
    </row>
    <row r="12" spans="1:27" hidden="1" outlineLevel="1" x14ac:dyDescent="0.2">
      <c r="A12" s="8" t="s">
        <v>73</v>
      </c>
      <c r="B12" s="20">
        <f>SUMIFS('Registre de reserves'!$P$2:$P$1178,'Registre de reserves'!$T$2:$T$1178,"SI",'Registre de reserves'!$I$2:$I$1178,'2021'!$A12,'Registre de reserves'!$B$2:$B$1178,'2021'!B$2,Tabla1[ANY],'2021'!$Z$2)+SUMIFS('Registre de reserves'!$U$2:$U$1178,'Registre de reserves'!$T$2:$T$1178,"RESERVA",'Registre de reserves'!$I$2:$I$1178,'2021'!$A12,'Registre de reserves'!$B$2:$B$1178,'2021'!B$2,Tabla1[ANY],'2021'!$Z$2)</f>
        <v>472.2</v>
      </c>
      <c r="C12" s="21">
        <f t="shared" si="13"/>
        <v>1</v>
      </c>
      <c r="D12" s="20">
        <f>SUMIFS('Registre de reserves'!$P$2:$P$1178,'Registre de reserves'!$T$2:$T$1178,"SI",'Registre de reserves'!$I$2:$I$1178,'2021'!$A12,'Registre de reserves'!$B$2:$B$1178,'2021'!D$2,Tabla1[ANY],'2021'!$Z$2)+SUMIFS('Registre de reserves'!$U$2:$U$1178,'Registre de reserves'!$T$2:$T$1178,"RESERVA",'Registre de reserves'!$I$2:$I$1178,'2021'!$A12,'Registre de reserves'!$B$2:$B$1178,'2021'!D$2,Tabla1[ANY],'2021'!$Z$2)</f>
        <v>472.2</v>
      </c>
      <c r="E12" s="21">
        <f t="shared" si="13"/>
        <v>1</v>
      </c>
      <c r="F12" s="20">
        <f>SUMIFS('Registre de reserves'!$P$2:$P$1178,'Registre de reserves'!$T$2:$T$1178,"SI",'Registre de reserves'!$I$2:$I$1178,'2021'!$A12,'Registre de reserves'!$B$2:$B$1178,'2021'!F$2,Tabla1[ANY],'2021'!$Z$2)+SUMIFS('Registre de reserves'!$U$2:$U$1178,'Registre de reserves'!$T$2:$T$1178,"RESERVA",'Registre de reserves'!$I$2:$I$1178,'2021'!$A12,'Registre de reserves'!$B$2:$B$1178,'2021'!F$2,Tabla1[ANY],'2021'!$Z$2)</f>
        <v>2472.1999999999998</v>
      </c>
      <c r="G12" s="21">
        <f t="shared" si="2"/>
        <v>1</v>
      </c>
      <c r="H12" s="20">
        <f>SUMIFS('Registre de reserves'!$P$2:$P$1178,'Registre de reserves'!$T$2:$T$1178,"SI",'Registre de reserves'!$I$2:$I$1178,'2021'!$A12,'Registre de reserves'!$B$2:$B$1178,'2021'!H$2,Tabla1[ANY],'2021'!$Z$2)+SUMIFS('Registre de reserves'!$U$2:$U$1178,'Registre de reserves'!$T$2:$T$1178,"RESERVA",'Registre de reserves'!$I$2:$I$1178,'2021'!$A12,'Registre de reserves'!$B$2:$B$1178,'2021'!H$2,Tabla1[ANY],'2021'!$Z$2)</f>
        <v>472.2</v>
      </c>
      <c r="I12" s="21">
        <f t="shared" si="3"/>
        <v>1</v>
      </c>
      <c r="J12" s="20">
        <f>SUMIFS('Registre de reserves'!$P$2:$P$1178,'Registre de reserves'!$T$2:$T$1178,"SI",'Registre de reserves'!$I$2:$I$1178,'2021'!$A12,'Registre de reserves'!$B$2:$B$1178,'2021'!J$2,Tabla1[ANY],'2021'!$Z$2)+SUMIFS('Registre de reserves'!$U$2:$U$1178,'Registre de reserves'!$T$2:$T$1178,"RESERVA",'Registre de reserves'!$I$2:$I$1178,'2021'!$A12,'Registre de reserves'!$B$2:$B$1178,'2021'!J$2,Tabla1[ANY],'2021'!$Z$2)</f>
        <v>655.13</v>
      </c>
      <c r="K12" s="21">
        <f t="shared" si="4"/>
        <v>0.45809122247627831</v>
      </c>
      <c r="L12" s="20">
        <f>SUMIFS('Registre de reserves'!$P$2:$P$1178,'Registre de reserves'!$T$2:$T$1178,"SI",'Registre de reserves'!$I$2:$I$1178,'2021'!$A12,'Registre de reserves'!$B$2:$B$1178,'2021'!L$2,Tabla1[ANY],'2021'!$Z$2)+SUMIFS('Registre de reserves'!$U$2:$U$1178,'Registre de reserves'!$T$2:$T$1178,"RESERVA",'Registre de reserves'!$I$2:$I$1178,'2021'!$A12,'Registre de reserves'!$B$2:$B$1178,'2021'!L$2,Tabla1[ANY],'2021'!$Z$2)</f>
        <v>154.13</v>
      </c>
      <c r="M12" s="21">
        <f t="shared" si="5"/>
        <v>7.9361319788067736E-2</v>
      </c>
      <c r="N12" s="20">
        <f>SUMIFS('Registre de reserves'!$P$2:$P$1178,'Registre de reserves'!$T$2:$T$1178,"SI",'Registre de reserves'!$I$2:$I$1178,'2021'!$A12,'Registre de reserves'!$B$2:$B$1178,'2021'!N$2,Tabla1[ANY],'2021'!$Z$2)+SUMIFS('Registre de reserves'!$U$2:$U$1178,'Registre de reserves'!$T$2:$T$1178,"RESERVA",'Registre de reserves'!$I$2:$I$1178,'2021'!$A12,'Registre de reserves'!$B$2:$B$1178,'2021'!N$2,Tabla1[ANY],'2021'!$Z$2)</f>
        <v>0</v>
      </c>
      <c r="O12" s="21">
        <f t="shared" si="6"/>
        <v>0</v>
      </c>
      <c r="P12" s="20">
        <f>SUMIFS('Registre de reserves'!$P$2:$P$1178,'Registre de reserves'!$T$2:$T$1178,"SI",'Registre de reserves'!$I$2:$I$1178,'2021'!$A12,'Registre de reserves'!$B$2:$B$1178,'2021'!P$2,Tabla1[ANY],'2021'!$Z$2)+SUMIFS('Registre de reserves'!$U$2:$U$1178,'Registre de reserves'!$T$2:$T$1178,"RESERVA",'Registre de reserves'!$I$2:$I$1178,'2021'!$A12,'Registre de reserves'!$B$2:$B$1178,'2021'!P$2,Tabla1[ANY],'2021'!$Z$2)</f>
        <v>0</v>
      </c>
      <c r="Q12" s="21">
        <f t="shared" si="7"/>
        <v>0</v>
      </c>
      <c r="R12" s="20">
        <f>SUMIFS('Registre de reserves'!$P$2:$P$1178,'Registre de reserves'!$T$2:$T$1178,"SI",'Registre de reserves'!$I$2:$I$1178,'2021'!$A12,'Registre de reserves'!$B$2:$B$1178,'2021'!R$2,Tabla1[ANY],'2021'!$Z$2)+SUMIFS('Registre de reserves'!$U$2:$U$1178,'Registre de reserves'!$T$2:$T$1178,"RESERVA",'Registre de reserves'!$I$2:$I$1178,'2021'!$A12,'Registre de reserves'!$B$2:$B$1178,'2021'!R$2,Tabla1[ANY],'2021'!$Z$2)</f>
        <v>0</v>
      </c>
      <c r="S12" s="21">
        <f t="shared" si="8"/>
        <v>0</v>
      </c>
      <c r="T12" s="20">
        <f>SUMIFS('Registre de reserves'!$P$2:$P$1178,'Registre de reserves'!$T$2:$T$1178,"SI",'Registre de reserves'!$I$2:$I$1178,'2021'!$A12,'Registre de reserves'!$B$2:$B$1178,'2021'!T$2,Tabla1[ANY],'2021'!$Z$2)+SUMIFS('Registre de reserves'!$U$2:$U$1178,'Registre de reserves'!$T$2:$T$1178,"RESERVA",'Registre de reserves'!$I$2:$I$1178,'2021'!$A12,'Registre de reserves'!$B$2:$B$1178,'2021'!T$2,Tabla1[ANY],'2021'!$Z$2)</f>
        <v>0</v>
      </c>
      <c r="U12" s="21">
        <f t="shared" si="9"/>
        <v>0</v>
      </c>
      <c r="V12" s="20">
        <f>SUMIFS('Registre de reserves'!$P$2:$P$1178,'Registre de reserves'!$T$2:$T$1178,"SI",'Registre de reserves'!$I$2:$I$1178,'2021'!$A12,'Registre de reserves'!$B$2:$B$1178,'2021'!V$2,Tabla1[ANY],'2021'!$Z$2)+SUMIFS('Registre de reserves'!$U$2:$U$1178,'Registre de reserves'!$T$2:$T$1178,"RESERVA",'Registre de reserves'!$I$2:$I$1178,'2021'!$A12,'Registre de reserves'!$B$2:$B$1178,'2021'!V$2,Tabla1[ANY],'2021'!$Z$2)</f>
        <v>0</v>
      </c>
      <c r="W12" s="21">
        <f t="shared" si="10"/>
        <v>0</v>
      </c>
      <c r="X12" s="20">
        <f>SUMIFS('Registre de reserves'!$P$2:$P$1178,'Registre de reserves'!$T$2:$T$1178,"SI",'Registre de reserves'!$I$2:$I$1178,'2021'!$A12,'Registre de reserves'!$B$2:$B$1178,'2021'!X$2,Tabla1[ANY],'2021'!$Z$2)+SUMIFS('Registre de reserves'!$U$2:$U$1178,'Registre de reserves'!$T$2:$T$1178,"RESERVA",'Registre de reserves'!$I$2:$I$1178,'2021'!$A12,'Registre de reserves'!$B$2:$B$1178,'2021'!X$2,Tabla1[ANY],'2021'!$Z$2)</f>
        <v>0</v>
      </c>
      <c r="Y12" s="21">
        <f t="shared" si="11"/>
        <v>0</v>
      </c>
      <c r="Z12" s="20">
        <f t="shared" si="14"/>
        <v>4698.0599999999995</v>
      </c>
      <c r="AA12" s="21">
        <f t="shared" si="12"/>
        <v>0.25642948606685423</v>
      </c>
    </row>
    <row r="13" spans="1:27" collapsed="1" x14ac:dyDescent="0.2">
      <c r="A13" s="33" t="s">
        <v>76</v>
      </c>
      <c r="B13" s="18">
        <f>SUM(B14:B21)</f>
        <v>0</v>
      </c>
      <c r="C13" s="19">
        <f>IF((B$13+B$31)=0,0,B13/(B$13+B$31))</f>
        <v>0</v>
      </c>
      <c r="D13" s="18">
        <f>SUM(D14:D21)</f>
        <v>0</v>
      </c>
      <c r="E13" s="19">
        <f>IF((D$13+D$31)=0,0,D13/(D$13+D$31))</f>
        <v>0</v>
      </c>
      <c r="F13" s="18">
        <f>SUM(F14:F21)</f>
        <v>0</v>
      </c>
      <c r="G13" s="19">
        <f>IF((F$13+F$31)=0,0,F13/(F$13+F$31))</f>
        <v>0</v>
      </c>
      <c r="H13" s="18">
        <f>SUM(H14:H21)</f>
        <v>0</v>
      </c>
      <c r="I13" s="19">
        <f>IF((H$13+H$31)=0,0,H13/(H$13+H$31))</f>
        <v>0</v>
      </c>
      <c r="J13" s="18">
        <f>SUM(J14:J21)</f>
        <v>0</v>
      </c>
      <c r="K13" s="19">
        <f>IF((J$13+J$31)=0,0,J13/(J$13+J$31))</f>
        <v>0</v>
      </c>
      <c r="L13" s="18">
        <f>SUM(L14:L21)</f>
        <v>0</v>
      </c>
      <c r="M13" s="19">
        <f>IF((L$13+L$31)=0,0,L13/(L$13+L$31))</f>
        <v>0</v>
      </c>
      <c r="N13" s="18">
        <f>SUM(N14:N21)</f>
        <v>340</v>
      </c>
      <c r="O13" s="19">
        <f>IF((N$13+N$31)=0,0,N13/(N$13+N$31))</f>
        <v>1</v>
      </c>
      <c r="P13" s="18">
        <f>SUM(P14:P21)</f>
        <v>0</v>
      </c>
      <c r="Q13" s="19">
        <f>IF((P$13+P$31)=0,0,P13/(P$13+P$31))</f>
        <v>0</v>
      </c>
      <c r="R13" s="18">
        <f>SUM(R14:R21)</f>
        <v>0</v>
      </c>
      <c r="S13" s="19">
        <f>IF((R$13+R$31)=0,0,R13/(R$13+R$31))</f>
        <v>0</v>
      </c>
      <c r="T13" s="18">
        <f>SUM(T14:T21)</f>
        <v>0</v>
      </c>
      <c r="U13" s="19">
        <f>IF((T$13+T$31)=0,0,T13/(T$13+T$31))</f>
        <v>0</v>
      </c>
      <c r="V13" s="18">
        <f>SUM(V14:V21)</f>
        <v>145</v>
      </c>
      <c r="W13" s="19">
        <f>IF((V$13+V$31)=0,0,V13/(V$13+V$31))</f>
        <v>1</v>
      </c>
      <c r="X13" s="18">
        <f>SUM(X14:X21)</f>
        <v>1295</v>
      </c>
      <c r="Y13" s="19">
        <f>IF((X$13+X$31)=0,0,X13/(X$13+X$31))</f>
        <v>1</v>
      </c>
      <c r="Z13" s="18">
        <f>SUM(Z14:Z21)</f>
        <v>1780</v>
      </c>
      <c r="AA13" s="19">
        <f>IF((Z$13+Z$31)=0,0,Z13/(Z$13+Z$31))</f>
        <v>1</v>
      </c>
    </row>
    <row r="14" spans="1:27" hidden="1" outlineLevel="1" x14ac:dyDescent="0.2">
      <c r="A14" s="8" t="s">
        <v>67</v>
      </c>
      <c r="B14" s="20">
        <f>SUMIFS('Registre de reserves'!$P$2:$P$1178,'Registre de reserves'!$T$2:$T$1178,"NO",'Registre de reserves'!$I$2:$I$1178,'2021'!$A14,'Registre de reserves'!$B$2:$B$1178,'2021'!B$2,Tabla1[ANY],'2021'!$Z$2)+SUMIFS('Registre de reserves'!$P$2:$P$1178,'Registre de reserves'!$T$2:$T$1178,"RESERVA",'Registre de reserves'!$I$2:$I$1178,'2021'!$A14,'Registre de reserves'!$B$2:$B$1178,'2021'!B$2,Tabla1[ANY],'2021'!$Z$2)-SUMIFS('Registre de reserves'!$U$2:$U$1178,'Registre de reserves'!$T$2:$T$1178,"RESERVA",'Registre de reserves'!$I$2:$I$1178,'2021'!$A14,'Registre de reserves'!$B$2:$B$1178,'2021'!B$2,Tabla1[ANY],'2021'!$Z$2)</f>
        <v>0</v>
      </c>
      <c r="C14" s="21">
        <f>IF($B$13=0,0,B14/B$13)</f>
        <v>0</v>
      </c>
      <c r="D14" s="20">
        <f>SUMIFS('Registre de reserves'!$P$2:$P$1178,'Registre de reserves'!$T$2:$T$1178,"NO",'Registre de reserves'!$I$2:$I$1178,'2021'!$A14,'Registre de reserves'!$B$2:$B$1178,'2021'!D$2,Tabla1[ANY],'2021'!$Z$2)+SUMIFS('Registre de reserves'!$P$2:$P$1178,'Registre de reserves'!$T$2:$T$1178,"RESERVA",'Registre de reserves'!$I$2:$I$1178,'2021'!$A14,'Registre de reserves'!$B$2:$B$1178,'2021'!D$2,Tabla1[ANY],'2021'!$Z$2)-SUMIFS('Registre de reserves'!$U$2:$U$1178,'Registre de reserves'!$T$2:$T$1178,"RESERVA",'Registre de reserves'!$I$2:$I$1178,'2021'!$A14,'Registre de reserves'!$B$2:$B$1178,'2021'!D$2,Tabla1[ANY],'2021'!$Z$2)</f>
        <v>0</v>
      </c>
      <c r="E14" s="21">
        <f>IF($D$13=0,0,D14/D$13)</f>
        <v>0</v>
      </c>
      <c r="F14" s="20">
        <f>SUMIFS('Registre de reserves'!$P$2:$P$1178,'Registre de reserves'!$T$2:$T$1178,"NO",'Registre de reserves'!$I$2:$I$1178,'2021'!$A14,'Registre de reserves'!$B$2:$B$1178,'2021'!F$2,Tabla1[ANY],'2021'!$Z$2)+SUMIFS('Registre de reserves'!$P$2:$P$1178,'Registre de reserves'!$T$2:$T$1178,"RESERVA",'Registre de reserves'!$I$2:$I$1178,'2021'!$A14,'Registre de reserves'!$B$2:$B$1178,'2021'!F$2,Tabla1[ANY],'2021'!$Z$2)-SUMIFS('Registre de reserves'!$U$2:$U$1178,'Registre de reserves'!$T$2:$T$1178,"RESERVA",'Registre de reserves'!$I$2:$I$1178,'2021'!$A14,'Registre de reserves'!$B$2:$B$1178,'2021'!F$2,Tabla1[ANY],'2021'!$Z$2)</f>
        <v>0</v>
      </c>
      <c r="G14" s="21">
        <f>IF($F$13=0,0,F14/F$13)</f>
        <v>0</v>
      </c>
      <c r="H14" s="20">
        <f>SUMIFS('Registre de reserves'!$P$2:$P$1178,'Registre de reserves'!$T$2:$T$1178,"NO",'Registre de reserves'!$I$2:$I$1178,'2021'!$A14,'Registre de reserves'!$B$2:$B$1178,'2021'!H$2,Tabla1[ANY],'2021'!$Z$2)+SUMIFS('Registre de reserves'!$P$2:$P$1178,'Registre de reserves'!$T$2:$T$1178,"RESERVA",'Registre de reserves'!$I$2:$I$1178,'2021'!$A14,'Registre de reserves'!$B$2:$B$1178,'2021'!H$2,Tabla1[ANY],'2021'!$Z$2)-SUMIFS('Registre de reserves'!$U$2:$U$1178,'Registre de reserves'!$T$2:$T$1178,"RESERVA",'Registre de reserves'!$I$2:$I$1178,'2021'!$A14,'Registre de reserves'!$B$2:$B$1178,'2021'!H$2,Tabla1[ANY],'2021'!$Z$2)</f>
        <v>0</v>
      </c>
      <c r="I14" s="21">
        <f>IF($H$13=0,0,H14/H$13)</f>
        <v>0</v>
      </c>
      <c r="J14" s="20">
        <f>SUMIFS('Registre de reserves'!$P$2:$P$1178,'Registre de reserves'!$T$2:$T$1178,"NO",'Registre de reserves'!$I$2:$I$1178,'2021'!$A14,'Registre de reserves'!$B$2:$B$1178,'2021'!J$2,Tabla1[ANY],'2021'!$Z$2)+SUMIFS('Registre de reserves'!$P$2:$P$1178,'Registre de reserves'!$T$2:$T$1178,"RESERVA",'Registre de reserves'!$I$2:$I$1178,'2021'!$A14,'Registre de reserves'!$B$2:$B$1178,'2021'!J$2,Tabla1[ANY],'2021'!$Z$2)-SUMIFS('Registre de reserves'!$U$2:$U$1178,'Registre de reserves'!$T$2:$T$1178,"RESERVA",'Registre de reserves'!$I$2:$I$1178,'2021'!$A14,'Registre de reserves'!$B$2:$B$1178,'2021'!J$2,Tabla1[ANY],'2021'!$Z$2)</f>
        <v>0</v>
      </c>
      <c r="K14" s="21">
        <f>IF($J$13=0,0,J14/J$13)</f>
        <v>0</v>
      </c>
      <c r="L14" s="20">
        <f>SUMIFS('Registre de reserves'!$P$2:$P$1178,'Registre de reserves'!$T$2:$T$1178,"NO",'Registre de reserves'!$I$2:$I$1178,'2021'!$A14,'Registre de reserves'!$B$2:$B$1178,'2021'!L$2,Tabla1[ANY],'2021'!$Z$2)+SUMIFS('Registre de reserves'!$P$2:$P$1178,'Registre de reserves'!$T$2:$T$1178,"RESERVA",'Registre de reserves'!$I$2:$I$1178,'2021'!$A14,'Registre de reserves'!$B$2:$B$1178,'2021'!L$2,Tabla1[ANY],'2021'!$Z$2)-SUMIFS('Registre de reserves'!$U$2:$U$1178,'Registre de reserves'!$T$2:$T$1178,"RESERVA",'Registre de reserves'!$I$2:$I$1178,'2021'!$A14,'Registre de reserves'!$B$2:$B$1178,'2021'!L$2,Tabla1[ANY],'2021'!$Z$2)</f>
        <v>0</v>
      </c>
      <c r="M14" s="21">
        <f>IF($L$13=0,0,L14/L$13)</f>
        <v>0</v>
      </c>
      <c r="N14" s="20">
        <f>SUMIFS('Registre de reserves'!$P$2:$P$1178,'Registre de reserves'!$T$2:$T$1178,"NO",'Registre de reserves'!$I$2:$I$1178,'2021'!$A14,'Registre de reserves'!$B$2:$B$1178,'2021'!N$2,Tabla1[ANY],'2021'!$Z$2)+SUMIFS('Registre de reserves'!$P$2:$P$1178,'Registre de reserves'!$T$2:$T$1178,"RESERVA",'Registre de reserves'!$I$2:$I$1178,'2021'!$A14,'Registre de reserves'!$B$2:$B$1178,'2021'!N$2,Tabla1[ANY],'2021'!$Z$2)-SUMIFS('Registre de reserves'!$U$2:$U$1178,'Registre de reserves'!$T$2:$T$1178,"RESERVA",'Registre de reserves'!$I$2:$I$1178,'2021'!$A14,'Registre de reserves'!$B$2:$B$1178,'2021'!N$2,Tabla1[ANY],'2021'!$Z$2)</f>
        <v>145</v>
      </c>
      <c r="O14" s="21">
        <f>IF($N$13=0,0,N14/N$13)</f>
        <v>0.4264705882352941</v>
      </c>
      <c r="P14" s="20">
        <f>SUMIFS('Registre de reserves'!$P$2:$P$1178,'Registre de reserves'!$T$2:$T$1178,"NO",'Registre de reserves'!$I$2:$I$1178,'2021'!$A14,'Registre de reserves'!$B$2:$B$1178,'2021'!P$2,Tabla1[ANY],'2021'!$Z$2)+SUMIFS('Registre de reserves'!$P$2:$P$1178,'Registre de reserves'!$T$2:$T$1178,"RESERVA",'Registre de reserves'!$I$2:$I$1178,'2021'!$A14,'Registre de reserves'!$B$2:$B$1178,'2021'!P$2,Tabla1[ANY],'2021'!$Z$2)-SUMIFS('Registre de reserves'!$U$2:$U$1178,'Registre de reserves'!$T$2:$T$1178,"RESERVA",'Registre de reserves'!$I$2:$I$1178,'2021'!$A14,'Registre de reserves'!$B$2:$B$1178,'2021'!P$2,Tabla1[ANY],'2021'!$Z$2)</f>
        <v>0</v>
      </c>
      <c r="Q14" s="21">
        <f>IF($P$13=0,0,P14/P$13)</f>
        <v>0</v>
      </c>
      <c r="R14" s="20">
        <f>SUMIFS('Registre de reserves'!$P$2:$P$1178,'Registre de reserves'!$T$2:$T$1178,"NO",'Registre de reserves'!$I$2:$I$1178,'2021'!$A14,'Registre de reserves'!$B$2:$B$1178,'2021'!R$2,Tabla1[ANY],'2021'!$Z$2)+SUMIFS('Registre de reserves'!$P$2:$P$1178,'Registre de reserves'!$T$2:$T$1178,"RESERVA",'Registre de reserves'!$I$2:$I$1178,'2021'!$A14,'Registre de reserves'!$B$2:$B$1178,'2021'!R$2,Tabla1[ANY],'2021'!$Z$2)-SUMIFS('Registre de reserves'!$U$2:$U$1178,'Registre de reserves'!$T$2:$T$1178,"RESERVA",'Registre de reserves'!$I$2:$I$1178,'2021'!$A14,'Registre de reserves'!$B$2:$B$1178,'2021'!R$2,Tabla1[ANY],'2021'!$Z$2)</f>
        <v>0</v>
      </c>
      <c r="S14" s="21">
        <f>IF($R$13=0,0,R14/R$13)</f>
        <v>0</v>
      </c>
      <c r="T14" s="20">
        <f>SUMIFS('Registre de reserves'!$P$2:$P$1178,'Registre de reserves'!$T$2:$T$1178,"NO",'Registre de reserves'!$I$2:$I$1178,'2021'!$A14,'Registre de reserves'!$B$2:$B$1178,'2021'!T$2,Tabla1[ANY],'2021'!$Z$2)+SUMIFS('Registre de reserves'!$P$2:$P$1178,'Registre de reserves'!$T$2:$T$1178,"RESERVA",'Registre de reserves'!$I$2:$I$1178,'2021'!$A14,'Registre de reserves'!$B$2:$B$1178,'2021'!T$2,Tabla1[ANY],'2021'!$Z$2)-SUMIFS('Registre de reserves'!$U$2:$U$1178,'Registre de reserves'!$T$2:$T$1178,"RESERVA",'Registre de reserves'!$I$2:$I$1178,'2021'!$A14,'Registre de reserves'!$B$2:$B$1178,'2021'!T$2,Tabla1[ANY],'2021'!$Z$2)</f>
        <v>0</v>
      </c>
      <c r="U14" s="21">
        <f>IF($T$13=0,0,T14/T$13)</f>
        <v>0</v>
      </c>
      <c r="V14" s="20">
        <f>SUMIFS('Registre de reserves'!$P$2:$P$1178,'Registre de reserves'!$T$2:$T$1178,"NO",'Registre de reserves'!$I$2:$I$1178,'2021'!$A14,'Registre de reserves'!$B$2:$B$1178,'2021'!V$2,Tabla1[ANY],'2021'!$Z$2)+SUMIFS('Registre de reserves'!$P$2:$P$1178,'Registre de reserves'!$T$2:$T$1178,"RESERVA",'Registre de reserves'!$I$2:$I$1178,'2021'!$A14,'Registre de reserves'!$B$2:$B$1178,'2021'!V$2,Tabla1[ANY],'2021'!$Z$2)-SUMIFS('Registre de reserves'!$U$2:$U$1178,'Registre de reserves'!$T$2:$T$1178,"RESERVA",'Registre de reserves'!$I$2:$I$1178,'2021'!$A14,'Registre de reserves'!$B$2:$B$1178,'2021'!V$2,Tabla1[ANY],'2021'!$Z$2)</f>
        <v>0</v>
      </c>
      <c r="W14" s="21">
        <f>IF($V$13=0,0,V14/V$13)</f>
        <v>0</v>
      </c>
      <c r="X14" s="20">
        <f>SUMIFS('Registre de reserves'!$P$2:$P$1178,'Registre de reserves'!$T$2:$T$1178,"NO",'Registre de reserves'!$I$2:$I$1178,'2021'!$A14,'Registre de reserves'!$B$2:$B$1178,'2021'!X$2,Tabla1[ANY],'2021'!$Z$2)+SUMIFS('Registre de reserves'!$P$2:$P$1178,'Registre de reserves'!$T$2:$T$1178,"RESERVA",'Registre de reserves'!$I$2:$I$1178,'2021'!$A14,'Registre de reserves'!$B$2:$B$1178,'2021'!X$2,Tabla1[ANY],'2021'!$Z$2)-SUMIFS('Registre de reserves'!$U$2:$U$1178,'Registre de reserves'!$T$2:$T$1178,"RESERVA",'Registre de reserves'!$I$2:$I$1178,'2021'!$A14,'Registre de reserves'!$B$2:$B$1178,'2021'!X$2,Tabla1[ANY],'2021'!$Z$2)</f>
        <v>0</v>
      </c>
      <c r="Y14" s="21">
        <f>IF($X$13=0,0,X14/X$13)</f>
        <v>0</v>
      </c>
      <c r="Z14" s="20">
        <f>B14+D14+F14+H14+J14+L14+N14+P14+R14+T14+V14+X14</f>
        <v>145</v>
      </c>
      <c r="AA14" s="21">
        <f>IF($Z$13=0,0,Z14/Z$13)</f>
        <v>8.1460674157303375E-2</v>
      </c>
    </row>
    <row r="15" spans="1:27" hidden="1" outlineLevel="1" x14ac:dyDescent="0.2">
      <c r="A15" s="8" t="s">
        <v>68</v>
      </c>
      <c r="B15" s="20">
        <f>SUMIFS('Registre de reserves'!$P$2:$P$1178,'Registre de reserves'!$T$2:$T$1178,"NO",'Registre de reserves'!$I$2:$I$1178,'2021'!$A15,'Registre de reserves'!$B$2:$B$1178,'2021'!B$2,Tabla1[ANY],'2021'!$Z$2)+SUMIFS('Registre de reserves'!$P$2:$P$1178,'Registre de reserves'!$T$2:$T$1178,"RESERVA",'Registre de reserves'!$I$2:$I$1178,'2021'!$A15,'Registre de reserves'!$B$2:$B$1178,'2021'!B$2,Tabla1[ANY],'2021'!$Z$2)-SUMIFS('Registre de reserves'!$U$2:$U$1178,'Registre de reserves'!$T$2:$T$1178,"RESERVA",'Registre de reserves'!$I$2:$I$1178,'2021'!$A15,'Registre de reserves'!$B$2:$B$1178,'2021'!B$2,Tabla1[ANY],'2021'!$Z$2)</f>
        <v>0</v>
      </c>
      <c r="C15" s="21">
        <f t="shared" ref="C15:C21" si="15">IF($B$13=0,0,B15/B$13)</f>
        <v>0</v>
      </c>
      <c r="D15" s="20">
        <f>SUMIFS('Registre de reserves'!$P$2:$P$1178,'Registre de reserves'!$T$2:$T$1178,"NO",'Registre de reserves'!$I$2:$I$1178,'2021'!$A15,'Registre de reserves'!$B$2:$B$1178,'2021'!D$2,Tabla1[ANY],'2021'!$Z$2)+SUMIFS('Registre de reserves'!$P$2:$P$1178,'Registre de reserves'!$T$2:$T$1178,"RESERVA",'Registre de reserves'!$I$2:$I$1178,'2021'!$A15,'Registre de reserves'!$B$2:$B$1178,'2021'!D$2,Tabla1[ANY],'2021'!$Z$2)-SUMIFS('Registre de reserves'!$U$2:$U$1178,'Registre de reserves'!$T$2:$T$1178,"RESERVA",'Registre de reserves'!$I$2:$I$1178,'2021'!$A15,'Registre de reserves'!$B$2:$B$1178,'2021'!D$2,Tabla1[ANY],'2021'!$Z$2)</f>
        <v>0</v>
      </c>
      <c r="E15" s="21">
        <f t="shared" ref="E15:E21" si="16">IF($D$13=0,0,D15/D$13)</f>
        <v>0</v>
      </c>
      <c r="F15" s="20">
        <f>SUMIFS('Registre de reserves'!$P$2:$P$1178,'Registre de reserves'!$T$2:$T$1178,"NO",'Registre de reserves'!$I$2:$I$1178,'2021'!$A15,'Registre de reserves'!$B$2:$B$1178,'2021'!F$2,Tabla1[ANY],'2021'!$Z$2)+SUMIFS('Registre de reserves'!$P$2:$P$1178,'Registre de reserves'!$T$2:$T$1178,"RESERVA",'Registre de reserves'!$I$2:$I$1178,'2021'!$A15,'Registre de reserves'!$B$2:$B$1178,'2021'!F$2,Tabla1[ANY],'2021'!$Z$2)-SUMIFS('Registre de reserves'!$U$2:$U$1178,'Registre de reserves'!$T$2:$T$1178,"RESERVA",'Registre de reserves'!$I$2:$I$1178,'2021'!$A15,'Registre de reserves'!$B$2:$B$1178,'2021'!F$2,Tabla1[ANY],'2021'!$Z$2)</f>
        <v>0</v>
      </c>
      <c r="G15" s="21">
        <f t="shared" ref="G15:G21" si="17">IF($F$13=0,0,F15/F$13)</f>
        <v>0</v>
      </c>
      <c r="H15" s="20">
        <f>SUMIFS('Registre de reserves'!$P$2:$P$1178,'Registre de reserves'!$T$2:$T$1178,"NO",'Registre de reserves'!$I$2:$I$1178,'2021'!$A15,'Registre de reserves'!$B$2:$B$1178,'2021'!H$2,Tabla1[ANY],'2021'!$Z$2)+SUMIFS('Registre de reserves'!$P$2:$P$1178,'Registre de reserves'!$T$2:$T$1178,"RESERVA",'Registre de reserves'!$I$2:$I$1178,'2021'!$A15,'Registre de reserves'!$B$2:$B$1178,'2021'!H$2,Tabla1[ANY],'2021'!$Z$2)-SUMIFS('Registre de reserves'!$U$2:$U$1178,'Registre de reserves'!$T$2:$T$1178,"RESERVA",'Registre de reserves'!$I$2:$I$1178,'2021'!$A15,'Registre de reserves'!$B$2:$B$1178,'2021'!H$2,Tabla1[ANY],'2021'!$Z$2)</f>
        <v>0</v>
      </c>
      <c r="I15" s="21">
        <f t="shared" ref="I15:I21" si="18">IF($H$13=0,0,H15/H$13)</f>
        <v>0</v>
      </c>
      <c r="J15" s="20">
        <f>SUMIFS('Registre de reserves'!$P$2:$P$1178,'Registre de reserves'!$T$2:$T$1178,"NO",'Registre de reserves'!$I$2:$I$1178,'2021'!$A15,'Registre de reserves'!$B$2:$B$1178,'2021'!J$2,Tabla1[ANY],'2021'!$Z$2)+SUMIFS('Registre de reserves'!$P$2:$P$1178,'Registre de reserves'!$T$2:$T$1178,"RESERVA",'Registre de reserves'!$I$2:$I$1178,'2021'!$A15,'Registre de reserves'!$B$2:$B$1178,'2021'!J$2,Tabla1[ANY],'2021'!$Z$2)-SUMIFS('Registre de reserves'!$U$2:$U$1178,'Registre de reserves'!$T$2:$T$1178,"RESERVA",'Registre de reserves'!$I$2:$I$1178,'2021'!$A15,'Registre de reserves'!$B$2:$B$1178,'2021'!J$2,Tabla1[ANY],'2021'!$Z$2)</f>
        <v>0</v>
      </c>
      <c r="K15" s="21">
        <f t="shared" ref="K15:K21" si="19">IF($J$13=0,0,J15/J$13)</f>
        <v>0</v>
      </c>
      <c r="L15" s="20">
        <f>SUMIFS('Registre de reserves'!$P$2:$P$1178,'Registre de reserves'!$T$2:$T$1178,"NO",'Registre de reserves'!$I$2:$I$1178,'2021'!$A15,'Registre de reserves'!$B$2:$B$1178,'2021'!L$2,Tabla1[ANY],'2021'!$Z$2)+SUMIFS('Registre de reserves'!$P$2:$P$1178,'Registre de reserves'!$T$2:$T$1178,"RESERVA",'Registre de reserves'!$I$2:$I$1178,'2021'!$A15,'Registre de reserves'!$B$2:$B$1178,'2021'!L$2,Tabla1[ANY],'2021'!$Z$2)-SUMIFS('Registre de reserves'!$U$2:$U$1178,'Registre de reserves'!$T$2:$T$1178,"RESERVA",'Registre de reserves'!$I$2:$I$1178,'2021'!$A15,'Registre de reserves'!$B$2:$B$1178,'2021'!L$2,Tabla1[ANY],'2021'!$Z$2)</f>
        <v>0</v>
      </c>
      <c r="M15" s="21">
        <f t="shared" ref="M15:M21" si="20">IF($L$13=0,0,L15/L$13)</f>
        <v>0</v>
      </c>
      <c r="N15" s="20">
        <f>SUMIFS('Registre de reserves'!$P$2:$P$1178,'Registre de reserves'!$T$2:$T$1178,"NO",'Registre de reserves'!$I$2:$I$1178,'2021'!$A15,'Registre de reserves'!$B$2:$B$1178,'2021'!N$2,Tabla1[ANY],'2021'!$Z$2)+SUMIFS('Registre de reserves'!$P$2:$P$1178,'Registre de reserves'!$T$2:$T$1178,"RESERVA",'Registre de reserves'!$I$2:$I$1178,'2021'!$A15,'Registre de reserves'!$B$2:$B$1178,'2021'!N$2,Tabla1[ANY],'2021'!$Z$2)-SUMIFS('Registre de reserves'!$U$2:$U$1178,'Registre de reserves'!$T$2:$T$1178,"RESERVA",'Registre de reserves'!$I$2:$I$1178,'2021'!$A15,'Registre de reserves'!$B$2:$B$1178,'2021'!N$2,Tabla1[ANY],'2021'!$Z$2)</f>
        <v>195</v>
      </c>
      <c r="O15" s="21">
        <f t="shared" ref="O15:O21" si="21">IF($N$13=0,0,N15/N$13)</f>
        <v>0.57352941176470584</v>
      </c>
      <c r="P15" s="20">
        <f>SUMIFS('Registre de reserves'!$P$2:$P$1178,'Registre de reserves'!$T$2:$T$1178,"NO",'Registre de reserves'!$I$2:$I$1178,'2021'!$A15,'Registre de reserves'!$B$2:$B$1178,'2021'!P$2,Tabla1[ANY],'2021'!$Z$2)+SUMIFS('Registre de reserves'!$P$2:$P$1178,'Registre de reserves'!$T$2:$T$1178,"RESERVA",'Registre de reserves'!$I$2:$I$1178,'2021'!$A15,'Registre de reserves'!$B$2:$B$1178,'2021'!P$2,Tabla1[ANY],'2021'!$Z$2)-SUMIFS('Registre de reserves'!$U$2:$U$1178,'Registre de reserves'!$T$2:$T$1178,"RESERVA",'Registre de reserves'!$I$2:$I$1178,'2021'!$A15,'Registre de reserves'!$B$2:$B$1178,'2021'!P$2,Tabla1[ANY],'2021'!$Z$2)</f>
        <v>0</v>
      </c>
      <c r="Q15" s="21">
        <f t="shared" ref="Q15:Q21" si="22">IF($P$13=0,0,P15/P$13)</f>
        <v>0</v>
      </c>
      <c r="R15" s="20">
        <f>SUMIFS('Registre de reserves'!$P$2:$P$1178,'Registre de reserves'!$T$2:$T$1178,"NO",'Registre de reserves'!$I$2:$I$1178,'2021'!$A15,'Registre de reserves'!$B$2:$B$1178,'2021'!R$2,Tabla1[ANY],'2021'!$Z$2)+SUMIFS('Registre de reserves'!$P$2:$P$1178,'Registre de reserves'!$T$2:$T$1178,"RESERVA",'Registre de reserves'!$I$2:$I$1178,'2021'!$A15,'Registre de reserves'!$B$2:$B$1178,'2021'!R$2,Tabla1[ANY],'2021'!$Z$2)-SUMIFS('Registre de reserves'!$U$2:$U$1178,'Registre de reserves'!$T$2:$T$1178,"RESERVA",'Registre de reserves'!$I$2:$I$1178,'2021'!$A15,'Registre de reserves'!$B$2:$B$1178,'2021'!R$2,Tabla1[ANY],'2021'!$Z$2)</f>
        <v>0</v>
      </c>
      <c r="S15" s="21">
        <f t="shared" ref="S15:S21" si="23">IF($R$13=0,0,R15/R$13)</f>
        <v>0</v>
      </c>
      <c r="T15" s="20">
        <f>SUMIFS('Registre de reserves'!$P$2:$P$1178,'Registre de reserves'!$T$2:$T$1178,"NO",'Registre de reserves'!$I$2:$I$1178,'2021'!$A15,'Registre de reserves'!$B$2:$B$1178,'2021'!T$2,Tabla1[ANY],'2021'!$Z$2)+SUMIFS('Registre de reserves'!$P$2:$P$1178,'Registre de reserves'!$T$2:$T$1178,"RESERVA",'Registre de reserves'!$I$2:$I$1178,'2021'!$A15,'Registre de reserves'!$B$2:$B$1178,'2021'!T$2,Tabla1[ANY],'2021'!$Z$2)-SUMIFS('Registre de reserves'!$U$2:$U$1178,'Registre de reserves'!$T$2:$T$1178,"RESERVA",'Registre de reserves'!$I$2:$I$1178,'2021'!$A15,'Registre de reserves'!$B$2:$B$1178,'2021'!T$2,Tabla1[ANY],'2021'!$Z$2)</f>
        <v>0</v>
      </c>
      <c r="U15" s="21">
        <f t="shared" ref="U15:U21" si="24">IF($T$13=0,0,T15/T$13)</f>
        <v>0</v>
      </c>
      <c r="V15" s="20">
        <f>SUMIFS('Registre de reserves'!$P$2:$P$1178,'Registre de reserves'!$T$2:$T$1178,"NO",'Registre de reserves'!$I$2:$I$1178,'2021'!$A15,'Registre de reserves'!$B$2:$B$1178,'2021'!V$2,Tabla1[ANY],'2021'!$Z$2)+SUMIFS('Registre de reserves'!$P$2:$P$1178,'Registre de reserves'!$T$2:$T$1178,"RESERVA",'Registre de reserves'!$I$2:$I$1178,'2021'!$A15,'Registre de reserves'!$B$2:$B$1178,'2021'!V$2,Tabla1[ANY],'2021'!$Z$2)-SUMIFS('Registre de reserves'!$U$2:$U$1178,'Registre de reserves'!$T$2:$T$1178,"RESERVA",'Registre de reserves'!$I$2:$I$1178,'2021'!$A15,'Registre de reserves'!$B$2:$B$1178,'2021'!V$2,Tabla1[ANY],'2021'!$Z$2)</f>
        <v>145</v>
      </c>
      <c r="W15" s="21">
        <f t="shared" ref="W15:W21" si="25">IF($V$13=0,0,V15/V$13)</f>
        <v>1</v>
      </c>
      <c r="X15" s="20">
        <f>SUMIFS('Registre de reserves'!$P$2:$P$1178,'Registre de reserves'!$T$2:$T$1178,"NO",'Registre de reserves'!$I$2:$I$1178,'2021'!$A15,'Registre de reserves'!$B$2:$B$1178,'2021'!X$2,Tabla1[ANY],'2021'!$Z$2)+SUMIFS('Registre de reserves'!$P$2:$P$1178,'Registre de reserves'!$T$2:$T$1178,"RESERVA",'Registre de reserves'!$I$2:$I$1178,'2021'!$A15,'Registre de reserves'!$B$2:$B$1178,'2021'!X$2,Tabla1[ANY],'2021'!$Z$2)-SUMIFS('Registre de reserves'!$U$2:$U$1178,'Registre de reserves'!$T$2:$T$1178,"RESERVA",'Registre de reserves'!$I$2:$I$1178,'2021'!$A15,'Registre de reserves'!$B$2:$B$1178,'2021'!X$2,Tabla1[ANY],'2021'!$Z$2)</f>
        <v>135</v>
      </c>
      <c r="Y15" s="21">
        <f t="shared" ref="Y15:Y21" si="26">IF($X$13=0,0,X15/X$13)</f>
        <v>0.10424710424710425</v>
      </c>
      <c r="Z15" s="20">
        <f t="shared" ref="Z15:Z21" si="27">B15+D15+F15+H15+J15+L15+N15+P15+R15+T15+V15+X15</f>
        <v>475</v>
      </c>
      <c r="AA15" s="21">
        <f t="shared" ref="AA15:AA21" si="28">IF($Z$13=0,0,Z15/Z$13)</f>
        <v>0.26685393258426965</v>
      </c>
    </row>
    <row r="16" spans="1:27" hidden="1" outlineLevel="1" x14ac:dyDescent="0.2">
      <c r="A16" s="8" t="s">
        <v>4</v>
      </c>
      <c r="B16" s="20">
        <f>SUMIFS('Registre de reserves'!$P$2:$P$1178,'Registre de reserves'!$T$2:$T$1178,"NO",'Registre de reserves'!$I$2:$I$1178,'2021'!$A16,'Registre de reserves'!$B$2:$B$1178,'2021'!B$2,Tabla1[ANY],'2021'!$Z$2)+SUMIFS('Registre de reserves'!$P$2:$P$1178,'Registre de reserves'!$T$2:$T$1178,"RESERVA",'Registre de reserves'!$I$2:$I$1178,'2021'!$A16,'Registre de reserves'!$B$2:$B$1178,'2021'!B$2,Tabla1[ANY],'2021'!$Z$2)-SUMIFS('Registre de reserves'!$U$2:$U$1178,'Registre de reserves'!$T$2:$T$1178,"RESERVA",'Registre de reserves'!$I$2:$I$1178,'2021'!$A16,'Registre de reserves'!$B$2:$B$1178,'2021'!B$2,Tabla1[ANY],'2021'!$Z$2)</f>
        <v>0</v>
      </c>
      <c r="C16" s="21">
        <f t="shared" si="15"/>
        <v>0</v>
      </c>
      <c r="D16" s="20">
        <f>SUMIFS('Registre de reserves'!$P$2:$P$1178,'Registre de reserves'!$T$2:$T$1178,"NO",'Registre de reserves'!$I$2:$I$1178,'2021'!$A16,'Registre de reserves'!$B$2:$B$1178,'2021'!D$2,Tabla1[ANY],'2021'!$Z$2)+SUMIFS('Registre de reserves'!$P$2:$P$1178,'Registre de reserves'!$T$2:$T$1178,"RESERVA",'Registre de reserves'!$I$2:$I$1178,'2021'!$A16,'Registre de reserves'!$B$2:$B$1178,'2021'!D$2,Tabla1[ANY],'2021'!$Z$2)-SUMIFS('Registre de reserves'!$U$2:$U$1178,'Registre de reserves'!$T$2:$T$1178,"RESERVA",'Registre de reserves'!$I$2:$I$1178,'2021'!$A16,'Registre de reserves'!$B$2:$B$1178,'2021'!D$2,Tabla1[ANY],'2021'!$Z$2)</f>
        <v>0</v>
      </c>
      <c r="E16" s="21">
        <f t="shared" si="16"/>
        <v>0</v>
      </c>
      <c r="F16" s="20">
        <f>SUMIFS('Registre de reserves'!$P$2:$P$1178,'Registre de reserves'!$T$2:$T$1178,"NO",'Registre de reserves'!$I$2:$I$1178,'2021'!$A16,'Registre de reserves'!$B$2:$B$1178,'2021'!F$2,Tabla1[ANY],'2021'!$Z$2)+SUMIFS('Registre de reserves'!$P$2:$P$1178,'Registre de reserves'!$T$2:$T$1178,"RESERVA",'Registre de reserves'!$I$2:$I$1178,'2021'!$A16,'Registre de reserves'!$B$2:$B$1178,'2021'!F$2,Tabla1[ANY],'2021'!$Z$2)-SUMIFS('Registre de reserves'!$U$2:$U$1178,'Registre de reserves'!$T$2:$T$1178,"RESERVA",'Registre de reserves'!$I$2:$I$1178,'2021'!$A16,'Registre de reserves'!$B$2:$B$1178,'2021'!F$2,Tabla1[ANY],'2021'!$Z$2)</f>
        <v>0</v>
      </c>
      <c r="G16" s="21">
        <f t="shared" si="17"/>
        <v>0</v>
      </c>
      <c r="H16" s="20">
        <f>SUMIFS('Registre de reserves'!$P$2:$P$1178,'Registre de reserves'!$T$2:$T$1178,"NO",'Registre de reserves'!$I$2:$I$1178,'2021'!$A16,'Registre de reserves'!$B$2:$B$1178,'2021'!H$2,Tabla1[ANY],'2021'!$Z$2)+SUMIFS('Registre de reserves'!$P$2:$P$1178,'Registre de reserves'!$T$2:$T$1178,"RESERVA",'Registre de reserves'!$I$2:$I$1178,'2021'!$A16,'Registre de reserves'!$B$2:$B$1178,'2021'!H$2,Tabla1[ANY],'2021'!$Z$2)-SUMIFS('Registre de reserves'!$U$2:$U$1178,'Registre de reserves'!$T$2:$T$1178,"RESERVA",'Registre de reserves'!$I$2:$I$1178,'2021'!$A16,'Registre de reserves'!$B$2:$B$1178,'2021'!H$2,Tabla1[ANY],'2021'!$Z$2)</f>
        <v>0</v>
      </c>
      <c r="I16" s="21">
        <f t="shared" si="18"/>
        <v>0</v>
      </c>
      <c r="J16" s="20">
        <f>SUMIFS('Registre de reserves'!$P$2:$P$1178,'Registre de reserves'!$T$2:$T$1178,"NO",'Registre de reserves'!$I$2:$I$1178,'2021'!$A16,'Registre de reserves'!$B$2:$B$1178,'2021'!J$2,Tabla1[ANY],'2021'!$Z$2)+SUMIFS('Registre de reserves'!$P$2:$P$1178,'Registre de reserves'!$T$2:$T$1178,"RESERVA",'Registre de reserves'!$I$2:$I$1178,'2021'!$A16,'Registre de reserves'!$B$2:$B$1178,'2021'!J$2,Tabla1[ANY],'2021'!$Z$2)-SUMIFS('Registre de reserves'!$U$2:$U$1178,'Registre de reserves'!$T$2:$T$1178,"RESERVA",'Registre de reserves'!$I$2:$I$1178,'2021'!$A16,'Registre de reserves'!$B$2:$B$1178,'2021'!J$2,Tabla1[ANY],'2021'!$Z$2)</f>
        <v>0</v>
      </c>
      <c r="K16" s="21">
        <f t="shared" si="19"/>
        <v>0</v>
      </c>
      <c r="L16" s="20">
        <f>SUMIFS('Registre de reserves'!$P$2:$P$1178,'Registre de reserves'!$T$2:$T$1178,"NO",'Registre de reserves'!$I$2:$I$1178,'2021'!$A16,'Registre de reserves'!$B$2:$B$1178,'2021'!L$2,Tabla1[ANY],'2021'!$Z$2)+SUMIFS('Registre de reserves'!$P$2:$P$1178,'Registre de reserves'!$T$2:$T$1178,"RESERVA",'Registre de reserves'!$I$2:$I$1178,'2021'!$A16,'Registre de reserves'!$B$2:$B$1178,'2021'!L$2,Tabla1[ANY],'2021'!$Z$2)-SUMIFS('Registre de reserves'!$U$2:$U$1178,'Registre de reserves'!$T$2:$T$1178,"RESERVA",'Registre de reserves'!$I$2:$I$1178,'2021'!$A16,'Registre de reserves'!$B$2:$B$1178,'2021'!L$2,Tabla1[ANY],'2021'!$Z$2)</f>
        <v>0</v>
      </c>
      <c r="M16" s="21">
        <f t="shared" si="20"/>
        <v>0</v>
      </c>
      <c r="N16" s="20">
        <f>SUMIFS('Registre de reserves'!$P$2:$P$1178,'Registre de reserves'!$T$2:$T$1178,"NO",'Registre de reserves'!$I$2:$I$1178,'2021'!$A16,'Registre de reserves'!$B$2:$B$1178,'2021'!N$2,Tabla1[ANY],'2021'!$Z$2)+SUMIFS('Registre de reserves'!$P$2:$P$1178,'Registre de reserves'!$T$2:$T$1178,"RESERVA",'Registre de reserves'!$I$2:$I$1178,'2021'!$A16,'Registre de reserves'!$B$2:$B$1178,'2021'!N$2,Tabla1[ANY],'2021'!$Z$2)-SUMIFS('Registre de reserves'!$U$2:$U$1178,'Registre de reserves'!$T$2:$T$1178,"RESERVA",'Registre de reserves'!$I$2:$I$1178,'2021'!$A16,'Registre de reserves'!$B$2:$B$1178,'2021'!N$2,Tabla1[ANY],'2021'!$Z$2)</f>
        <v>0</v>
      </c>
      <c r="O16" s="21">
        <f t="shared" si="21"/>
        <v>0</v>
      </c>
      <c r="P16" s="20">
        <f>SUMIFS('Registre de reserves'!$P$2:$P$1178,'Registre de reserves'!$T$2:$T$1178,"NO",'Registre de reserves'!$I$2:$I$1178,'2021'!$A16,'Registre de reserves'!$B$2:$B$1178,'2021'!P$2,Tabla1[ANY],'2021'!$Z$2)+SUMIFS('Registre de reserves'!$P$2:$P$1178,'Registre de reserves'!$T$2:$T$1178,"RESERVA",'Registre de reserves'!$I$2:$I$1178,'2021'!$A16,'Registre de reserves'!$B$2:$B$1178,'2021'!P$2,Tabla1[ANY],'2021'!$Z$2)-SUMIFS('Registre de reserves'!$U$2:$U$1178,'Registre de reserves'!$T$2:$T$1178,"RESERVA",'Registre de reserves'!$I$2:$I$1178,'2021'!$A16,'Registre de reserves'!$B$2:$B$1178,'2021'!P$2,Tabla1[ANY],'2021'!$Z$2)</f>
        <v>0</v>
      </c>
      <c r="Q16" s="21">
        <f t="shared" si="22"/>
        <v>0</v>
      </c>
      <c r="R16" s="20">
        <f>SUMIFS('Registre de reserves'!$P$2:$P$1178,'Registre de reserves'!$T$2:$T$1178,"NO",'Registre de reserves'!$I$2:$I$1178,'2021'!$A16,'Registre de reserves'!$B$2:$B$1178,'2021'!R$2,Tabla1[ANY],'2021'!$Z$2)+SUMIFS('Registre de reserves'!$P$2:$P$1178,'Registre de reserves'!$T$2:$T$1178,"RESERVA",'Registre de reserves'!$I$2:$I$1178,'2021'!$A16,'Registre de reserves'!$B$2:$B$1178,'2021'!R$2,Tabla1[ANY],'2021'!$Z$2)-SUMIFS('Registre de reserves'!$U$2:$U$1178,'Registre de reserves'!$T$2:$T$1178,"RESERVA",'Registre de reserves'!$I$2:$I$1178,'2021'!$A16,'Registre de reserves'!$B$2:$B$1178,'2021'!R$2,Tabla1[ANY],'2021'!$Z$2)</f>
        <v>0</v>
      </c>
      <c r="S16" s="21">
        <f t="shared" si="23"/>
        <v>0</v>
      </c>
      <c r="T16" s="20">
        <f>SUMIFS('Registre de reserves'!$P$2:$P$1178,'Registre de reserves'!$T$2:$T$1178,"NO",'Registre de reserves'!$I$2:$I$1178,'2021'!$A16,'Registre de reserves'!$B$2:$B$1178,'2021'!T$2,Tabla1[ANY],'2021'!$Z$2)+SUMIFS('Registre de reserves'!$P$2:$P$1178,'Registre de reserves'!$T$2:$T$1178,"RESERVA",'Registre de reserves'!$I$2:$I$1178,'2021'!$A16,'Registre de reserves'!$B$2:$B$1178,'2021'!T$2,Tabla1[ANY],'2021'!$Z$2)-SUMIFS('Registre de reserves'!$U$2:$U$1178,'Registre de reserves'!$T$2:$T$1178,"RESERVA",'Registre de reserves'!$I$2:$I$1178,'2021'!$A16,'Registre de reserves'!$B$2:$B$1178,'2021'!T$2,Tabla1[ANY],'2021'!$Z$2)</f>
        <v>0</v>
      </c>
      <c r="U16" s="21">
        <f t="shared" si="24"/>
        <v>0</v>
      </c>
      <c r="V16" s="20">
        <f>SUMIFS('Registre de reserves'!$P$2:$P$1178,'Registre de reserves'!$T$2:$T$1178,"NO",'Registre de reserves'!$I$2:$I$1178,'2021'!$A16,'Registre de reserves'!$B$2:$B$1178,'2021'!V$2,Tabla1[ANY],'2021'!$Z$2)+SUMIFS('Registre de reserves'!$P$2:$P$1178,'Registre de reserves'!$T$2:$T$1178,"RESERVA",'Registre de reserves'!$I$2:$I$1178,'2021'!$A16,'Registre de reserves'!$B$2:$B$1178,'2021'!V$2,Tabla1[ANY],'2021'!$Z$2)-SUMIFS('Registre de reserves'!$U$2:$U$1178,'Registre de reserves'!$T$2:$T$1178,"RESERVA",'Registre de reserves'!$I$2:$I$1178,'2021'!$A16,'Registre de reserves'!$B$2:$B$1178,'2021'!V$2,Tabla1[ANY],'2021'!$Z$2)</f>
        <v>0</v>
      </c>
      <c r="W16" s="21">
        <f t="shared" si="25"/>
        <v>0</v>
      </c>
      <c r="X16" s="20">
        <f>SUMIFS('Registre de reserves'!$P$2:$P$1178,'Registre de reserves'!$T$2:$T$1178,"NO",'Registre de reserves'!$I$2:$I$1178,'2021'!$A16,'Registre de reserves'!$B$2:$B$1178,'2021'!X$2,Tabla1[ANY],'2021'!$Z$2)+SUMIFS('Registre de reserves'!$P$2:$P$1178,'Registre de reserves'!$T$2:$T$1178,"RESERVA",'Registre de reserves'!$I$2:$I$1178,'2021'!$A16,'Registre de reserves'!$B$2:$B$1178,'2021'!X$2,Tabla1[ANY],'2021'!$Z$2)-SUMIFS('Registre de reserves'!$U$2:$U$1178,'Registre de reserves'!$T$2:$T$1178,"RESERVA",'Registre de reserves'!$I$2:$I$1178,'2021'!$A16,'Registre de reserves'!$B$2:$B$1178,'2021'!X$2,Tabla1[ANY],'2021'!$Z$2)</f>
        <v>570</v>
      </c>
      <c r="Y16" s="21">
        <f t="shared" si="26"/>
        <v>0.44015444015444016</v>
      </c>
      <c r="Z16" s="20">
        <f t="shared" si="27"/>
        <v>570</v>
      </c>
      <c r="AA16" s="21">
        <f t="shared" si="28"/>
        <v>0.3202247191011236</v>
      </c>
    </row>
    <row r="17" spans="1:27" hidden="1" outlineLevel="1" x14ac:dyDescent="0.2">
      <c r="A17" s="8" t="s">
        <v>71</v>
      </c>
      <c r="B17" s="20">
        <f>SUMIFS('Registre de reserves'!$P$2:$P$1178,'Registre de reserves'!$T$2:$T$1178,"NO",'Registre de reserves'!$I$2:$I$1178,'2021'!$A17,'Registre de reserves'!$B$2:$B$1178,'2021'!B$2,Tabla1[ANY],'2021'!$Z$2)+SUMIFS('Registre de reserves'!$P$2:$P$1178,'Registre de reserves'!$T$2:$T$1178,"RESERVA",'Registre de reserves'!$I$2:$I$1178,'2021'!$A17,'Registre de reserves'!$B$2:$B$1178,'2021'!B$2,Tabla1[ANY],'2021'!$Z$2)-SUMIFS('Registre de reserves'!$U$2:$U$1178,'Registre de reserves'!$T$2:$T$1178,"RESERVA",'Registre de reserves'!$I$2:$I$1178,'2021'!$A17,'Registre de reserves'!$B$2:$B$1178,'2021'!B$2,Tabla1[ANY],'2021'!$Z$2)</f>
        <v>0</v>
      </c>
      <c r="C17" s="21">
        <f t="shared" si="15"/>
        <v>0</v>
      </c>
      <c r="D17" s="20">
        <f>SUMIFS('Registre de reserves'!$P$2:$P$1178,'Registre de reserves'!$T$2:$T$1178,"NO",'Registre de reserves'!$I$2:$I$1178,'2021'!$A17,'Registre de reserves'!$B$2:$B$1178,'2021'!D$2,Tabla1[ANY],'2021'!$Z$2)+SUMIFS('Registre de reserves'!$P$2:$P$1178,'Registre de reserves'!$T$2:$T$1178,"RESERVA",'Registre de reserves'!$I$2:$I$1178,'2021'!$A17,'Registre de reserves'!$B$2:$B$1178,'2021'!D$2,Tabla1[ANY],'2021'!$Z$2)-SUMIFS('Registre de reserves'!$U$2:$U$1178,'Registre de reserves'!$T$2:$T$1178,"RESERVA",'Registre de reserves'!$I$2:$I$1178,'2021'!$A17,'Registre de reserves'!$B$2:$B$1178,'2021'!D$2,Tabla1[ANY],'2021'!$Z$2)</f>
        <v>0</v>
      </c>
      <c r="E17" s="21">
        <f t="shared" si="16"/>
        <v>0</v>
      </c>
      <c r="F17" s="20">
        <f>SUMIFS('Registre de reserves'!$P$2:$P$1178,'Registre de reserves'!$T$2:$T$1178,"NO",'Registre de reserves'!$I$2:$I$1178,'2021'!$A17,'Registre de reserves'!$B$2:$B$1178,'2021'!F$2,Tabla1[ANY],'2021'!$Z$2)+SUMIFS('Registre de reserves'!$P$2:$P$1178,'Registre de reserves'!$T$2:$T$1178,"RESERVA",'Registre de reserves'!$I$2:$I$1178,'2021'!$A17,'Registre de reserves'!$B$2:$B$1178,'2021'!F$2,Tabla1[ANY],'2021'!$Z$2)-SUMIFS('Registre de reserves'!$U$2:$U$1178,'Registre de reserves'!$T$2:$T$1178,"RESERVA",'Registre de reserves'!$I$2:$I$1178,'2021'!$A17,'Registre de reserves'!$B$2:$B$1178,'2021'!F$2,Tabla1[ANY],'2021'!$Z$2)</f>
        <v>0</v>
      </c>
      <c r="G17" s="21">
        <f t="shared" si="17"/>
        <v>0</v>
      </c>
      <c r="H17" s="20">
        <f>SUMIFS('Registre de reserves'!$P$2:$P$1178,'Registre de reserves'!$T$2:$T$1178,"NO",'Registre de reserves'!$I$2:$I$1178,'2021'!$A17,'Registre de reserves'!$B$2:$B$1178,'2021'!H$2,Tabla1[ANY],'2021'!$Z$2)+SUMIFS('Registre de reserves'!$P$2:$P$1178,'Registre de reserves'!$T$2:$T$1178,"RESERVA",'Registre de reserves'!$I$2:$I$1178,'2021'!$A17,'Registre de reserves'!$B$2:$B$1178,'2021'!H$2,Tabla1[ANY],'2021'!$Z$2)-SUMIFS('Registre de reserves'!$U$2:$U$1178,'Registre de reserves'!$T$2:$T$1178,"RESERVA",'Registre de reserves'!$I$2:$I$1178,'2021'!$A17,'Registre de reserves'!$B$2:$B$1178,'2021'!H$2,Tabla1[ANY],'2021'!$Z$2)</f>
        <v>0</v>
      </c>
      <c r="I17" s="21">
        <f t="shared" si="18"/>
        <v>0</v>
      </c>
      <c r="J17" s="20">
        <f>SUMIFS('Registre de reserves'!$P$2:$P$1178,'Registre de reserves'!$T$2:$T$1178,"NO",'Registre de reserves'!$I$2:$I$1178,'2021'!$A17,'Registre de reserves'!$B$2:$B$1178,'2021'!J$2,Tabla1[ANY],'2021'!$Z$2)+SUMIFS('Registre de reserves'!$P$2:$P$1178,'Registre de reserves'!$T$2:$T$1178,"RESERVA",'Registre de reserves'!$I$2:$I$1178,'2021'!$A17,'Registre de reserves'!$B$2:$B$1178,'2021'!J$2,Tabla1[ANY],'2021'!$Z$2)-SUMIFS('Registre de reserves'!$U$2:$U$1178,'Registre de reserves'!$T$2:$T$1178,"RESERVA",'Registre de reserves'!$I$2:$I$1178,'2021'!$A17,'Registre de reserves'!$B$2:$B$1178,'2021'!J$2,Tabla1[ANY],'2021'!$Z$2)</f>
        <v>0</v>
      </c>
      <c r="K17" s="21">
        <f t="shared" si="19"/>
        <v>0</v>
      </c>
      <c r="L17" s="20">
        <f>SUMIFS('Registre de reserves'!$P$2:$P$1178,'Registre de reserves'!$T$2:$T$1178,"NO",'Registre de reserves'!$I$2:$I$1178,'2021'!$A17,'Registre de reserves'!$B$2:$B$1178,'2021'!L$2,Tabla1[ANY],'2021'!$Z$2)+SUMIFS('Registre de reserves'!$P$2:$P$1178,'Registre de reserves'!$T$2:$T$1178,"RESERVA",'Registre de reserves'!$I$2:$I$1178,'2021'!$A17,'Registre de reserves'!$B$2:$B$1178,'2021'!L$2,Tabla1[ANY],'2021'!$Z$2)-SUMIFS('Registre de reserves'!$U$2:$U$1178,'Registre de reserves'!$T$2:$T$1178,"RESERVA",'Registre de reserves'!$I$2:$I$1178,'2021'!$A17,'Registre de reserves'!$B$2:$B$1178,'2021'!L$2,Tabla1[ANY],'2021'!$Z$2)</f>
        <v>0</v>
      </c>
      <c r="M17" s="21">
        <f t="shared" si="20"/>
        <v>0</v>
      </c>
      <c r="N17" s="20">
        <f>SUMIFS('Registre de reserves'!$P$2:$P$1178,'Registre de reserves'!$T$2:$T$1178,"NO",'Registre de reserves'!$I$2:$I$1178,'2021'!$A17,'Registre de reserves'!$B$2:$B$1178,'2021'!N$2,Tabla1[ANY],'2021'!$Z$2)+SUMIFS('Registre de reserves'!$P$2:$P$1178,'Registre de reserves'!$T$2:$T$1178,"RESERVA",'Registre de reserves'!$I$2:$I$1178,'2021'!$A17,'Registre de reserves'!$B$2:$B$1178,'2021'!N$2,Tabla1[ANY],'2021'!$Z$2)-SUMIFS('Registre de reserves'!$U$2:$U$1178,'Registre de reserves'!$T$2:$T$1178,"RESERVA",'Registre de reserves'!$I$2:$I$1178,'2021'!$A17,'Registre de reserves'!$B$2:$B$1178,'2021'!N$2,Tabla1[ANY],'2021'!$Z$2)</f>
        <v>0</v>
      </c>
      <c r="O17" s="21">
        <f t="shared" si="21"/>
        <v>0</v>
      </c>
      <c r="P17" s="20">
        <f>SUMIFS('Registre de reserves'!$P$2:$P$1178,'Registre de reserves'!$T$2:$T$1178,"NO",'Registre de reserves'!$I$2:$I$1178,'2021'!$A17,'Registre de reserves'!$B$2:$B$1178,'2021'!P$2,Tabla1[ANY],'2021'!$Z$2)+SUMIFS('Registre de reserves'!$P$2:$P$1178,'Registre de reserves'!$T$2:$T$1178,"RESERVA",'Registre de reserves'!$I$2:$I$1178,'2021'!$A17,'Registre de reserves'!$B$2:$B$1178,'2021'!P$2,Tabla1[ANY],'2021'!$Z$2)-SUMIFS('Registre de reserves'!$U$2:$U$1178,'Registre de reserves'!$T$2:$T$1178,"RESERVA",'Registre de reserves'!$I$2:$I$1178,'2021'!$A17,'Registre de reserves'!$B$2:$B$1178,'2021'!P$2,Tabla1[ANY],'2021'!$Z$2)</f>
        <v>0</v>
      </c>
      <c r="Q17" s="21">
        <f t="shared" si="22"/>
        <v>0</v>
      </c>
      <c r="R17" s="20">
        <f>SUMIFS('Registre de reserves'!$P$2:$P$1178,'Registre de reserves'!$T$2:$T$1178,"NO",'Registre de reserves'!$I$2:$I$1178,'2021'!$A17,'Registre de reserves'!$B$2:$B$1178,'2021'!R$2,Tabla1[ANY],'2021'!$Z$2)+SUMIFS('Registre de reserves'!$P$2:$P$1178,'Registre de reserves'!$T$2:$T$1178,"RESERVA",'Registre de reserves'!$I$2:$I$1178,'2021'!$A17,'Registre de reserves'!$B$2:$B$1178,'2021'!R$2,Tabla1[ANY],'2021'!$Z$2)-SUMIFS('Registre de reserves'!$U$2:$U$1178,'Registre de reserves'!$T$2:$T$1178,"RESERVA",'Registre de reserves'!$I$2:$I$1178,'2021'!$A17,'Registre de reserves'!$B$2:$B$1178,'2021'!R$2,Tabla1[ANY],'2021'!$Z$2)</f>
        <v>0</v>
      </c>
      <c r="S17" s="21">
        <f t="shared" si="23"/>
        <v>0</v>
      </c>
      <c r="T17" s="20">
        <f>SUMIFS('Registre de reserves'!$P$2:$P$1178,'Registre de reserves'!$T$2:$T$1178,"NO",'Registre de reserves'!$I$2:$I$1178,'2021'!$A17,'Registre de reserves'!$B$2:$B$1178,'2021'!T$2,Tabla1[ANY],'2021'!$Z$2)+SUMIFS('Registre de reserves'!$P$2:$P$1178,'Registre de reserves'!$T$2:$T$1178,"RESERVA",'Registre de reserves'!$I$2:$I$1178,'2021'!$A17,'Registre de reserves'!$B$2:$B$1178,'2021'!T$2,Tabla1[ANY],'2021'!$Z$2)-SUMIFS('Registre de reserves'!$U$2:$U$1178,'Registre de reserves'!$T$2:$T$1178,"RESERVA",'Registre de reserves'!$I$2:$I$1178,'2021'!$A17,'Registre de reserves'!$B$2:$B$1178,'2021'!T$2,Tabla1[ANY],'2021'!$Z$2)</f>
        <v>0</v>
      </c>
      <c r="U17" s="21">
        <f t="shared" si="24"/>
        <v>0</v>
      </c>
      <c r="V17" s="20">
        <f>SUMIFS('Registre de reserves'!$P$2:$P$1178,'Registre de reserves'!$T$2:$T$1178,"NO",'Registre de reserves'!$I$2:$I$1178,'2021'!$A17,'Registre de reserves'!$B$2:$B$1178,'2021'!V$2,Tabla1[ANY],'2021'!$Z$2)+SUMIFS('Registre de reserves'!$P$2:$P$1178,'Registre de reserves'!$T$2:$T$1178,"RESERVA",'Registre de reserves'!$I$2:$I$1178,'2021'!$A17,'Registre de reserves'!$B$2:$B$1178,'2021'!V$2,Tabla1[ANY],'2021'!$Z$2)-SUMIFS('Registre de reserves'!$U$2:$U$1178,'Registre de reserves'!$T$2:$T$1178,"RESERVA",'Registre de reserves'!$I$2:$I$1178,'2021'!$A17,'Registre de reserves'!$B$2:$B$1178,'2021'!V$2,Tabla1[ANY],'2021'!$Z$2)</f>
        <v>0</v>
      </c>
      <c r="W17" s="21">
        <f t="shared" si="25"/>
        <v>0</v>
      </c>
      <c r="X17" s="20">
        <f>SUMIFS('Registre de reserves'!$P$2:$P$1178,'Registre de reserves'!$T$2:$T$1178,"NO",'Registre de reserves'!$I$2:$I$1178,'2021'!$A17,'Registre de reserves'!$B$2:$B$1178,'2021'!X$2,Tabla1[ANY],'2021'!$Z$2)+SUMIFS('Registre de reserves'!$P$2:$P$1178,'Registre de reserves'!$T$2:$T$1178,"RESERVA",'Registre de reserves'!$I$2:$I$1178,'2021'!$A17,'Registre de reserves'!$B$2:$B$1178,'2021'!X$2,Tabla1[ANY],'2021'!$Z$2)-SUMIFS('Registre de reserves'!$U$2:$U$1178,'Registre de reserves'!$T$2:$T$1178,"RESERVA",'Registre de reserves'!$I$2:$I$1178,'2021'!$A17,'Registre de reserves'!$B$2:$B$1178,'2021'!X$2,Tabla1[ANY],'2021'!$Z$2)</f>
        <v>0</v>
      </c>
      <c r="Y17" s="21">
        <f t="shared" si="26"/>
        <v>0</v>
      </c>
      <c r="Z17" s="20">
        <f t="shared" si="27"/>
        <v>0</v>
      </c>
      <c r="AA17" s="21">
        <f t="shared" si="28"/>
        <v>0</v>
      </c>
    </row>
    <row r="18" spans="1:27" hidden="1" outlineLevel="1" x14ac:dyDescent="0.2">
      <c r="A18" s="8" t="s">
        <v>72</v>
      </c>
      <c r="B18" s="20">
        <f>SUMIFS('Registre de reserves'!$P$2:$P$1178,'Registre de reserves'!$T$2:$T$1178,"NO",'Registre de reserves'!$I$2:$I$1178,'2021'!$A18,'Registre de reserves'!$B$2:$B$1178,'2021'!B$2,Tabla1[ANY],'2021'!$Z$2)+SUMIFS('Registre de reserves'!$P$2:$P$1178,'Registre de reserves'!$T$2:$T$1178,"RESERVA",'Registre de reserves'!$I$2:$I$1178,'2021'!$A18,'Registre de reserves'!$B$2:$B$1178,'2021'!B$2,Tabla1[ANY],'2021'!$Z$2)-SUMIFS('Registre de reserves'!$U$2:$U$1178,'Registre de reserves'!$T$2:$T$1178,"RESERVA",'Registre de reserves'!$I$2:$I$1178,'2021'!$A18,'Registre de reserves'!$B$2:$B$1178,'2021'!B$2,Tabla1[ANY],'2021'!$Z$2)</f>
        <v>0</v>
      </c>
      <c r="C18" s="21">
        <f t="shared" si="15"/>
        <v>0</v>
      </c>
      <c r="D18" s="20">
        <f>SUMIFS('Registre de reserves'!$P$2:$P$1178,'Registre de reserves'!$T$2:$T$1178,"NO",'Registre de reserves'!$I$2:$I$1178,'2021'!$A18,'Registre de reserves'!$B$2:$B$1178,'2021'!D$2,Tabla1[ANY],'2021'!$Z$2)+SUMIFS('Registre de reserves'!$P$2:$P$1178,'Registre de reserves'!$T$2:$T$1178,"RESERVA",'Registre de reserves'!$I$2:$I$1178,'2021'!$A18,'Registre de reserves'!$B$2:$B$1178,'2021'!D$2,Tabla1[ANY],'2021'!$Z$2)-SUMIFS('Registre de reserves'!$U$2:$U$1178,'Registre de reserves'!$T$2:$T$1178,"RESERVA",'Registre de reserves'!$I$2:$I$1178,'2021'!$A18,'Registre de reserves'!$B$2:$B$1178,'2021'!D$2,Tabla1[ANY],'2021'!$Z$2)</f>
        <v>0</v>
      </c>
      <c r="E18" s="21">
        <f t="shared" si="16"/>
        <v>0</v>
      </c>
      <c r="F18" s="20">
        <f>SUMIFS('Registre de reserves'!$P$2:$P$1178,'Registre de reserves'!$T$2:$T$1178,"NO",'Registre de reserves'!$I$2:$I$1178,'2021'!$A18,'Registre de reserves'!$B$2:$B$1178,'2021'!F$2,Tabla1[ANY],'2021'!$Z$2)+SUMIFS('Registre de reserves'!$P$2:$P$1178,'Registre de reserves'!$T$2:$T$1178,"RESERVA",'Registre de reserves'!$I$2:$I$1178,'2021'!$A18,'Registre de reserves'!$B$2:$B$1178,'2021'!F$2,Tabla1[ANY],'2021'!$Z$2)-SUMIFS('Registre de reserves'!$U$2:$U$1178,'Registre de reserves'!$T$2:$T$1178,"RESERVA",'Registre de reserves'!$I$2:$I$1178,'2021'!$A18,'Registre de reserves'!$B$2:$B$1178,'2021'!F$2,Tabla1[ANY],'2021'!$Z$2)</f>
        <v>0</v>
      </c>
      <c r="G18" s="21">
        <f t="shared" si="17"/>
        <v>0</v>
      </c>
      <c r="H18" s="20">
        <f>SUMIFS('Registre de reserves'!$P$2:$P$1178,'Registre de reserves'!$T$2:$T$1178,"NO",'Registre de reserves'!$I$2:$I$1178,'2021'!$A18,'Registre de reserves'!$B$2:$B$1178,'2021'!H$2,Tabla1[ANY],'2021'!$Z$2)+SUMIFS('Registre de reserves'!$P$2:$P$1178,'Registre de reserves'!$T$2:$T$1178,"RESERVA",'Registre de reserves'!$I$2:$I$1178,'2021'!$A18,'Registre de reserves'!$B$2:$B$1178,'2021'!H$2,Tabla1[ANY],'2021'!$Z$2)-SUMIFS('Registre de reserves'!$U$2:$U$1178,'Registre de reserves'!$T$2:$T$1178,"RESERVA",'Registre de reserves'!$I$2:$I$1178,'2021'!$A18,'Registre de reserves'!$B$2:$B$1178,'2021'!H$2,Tabla1[ANY],'2021'!$Z$2)</f>
        <v>0</v>
      </c>
      <c r="I18" s="21">
        <f t="shared" si="18"/>
        <v>0</v>
      </c>
      <c r="J18" s="20">
        <f>SUMIFS('Registre de reserves'!$P$2:$P$1178,'Registre de reserves'!$T$2:$T$1178,"NO",'Registre de reserves'!$I$2:$I$1178,'2021'!$A18,'Registre de reserves'!$B$2:$B$1178,'2021'!J$2,Tabla1[ANY],'2021'!$Z$2)+SUMIFS('Registre de reserves'!$P$2:$P$1178,'Registre de reserves'!$T$2:$T$1178,"RESERVA",'Registre de reserves'!$I$2:$I$1178,'2021'!$A18,'Registre de reserves'!$B$2:$B$1178,'2021'!J$2,Tabla1[ANY],'2021'!$Z$2)-SUMIFS('Registre de reserves'!$U$2:$U$1178,'Registre de reserves'!$T$2:$T$1178,"RESERVA",'Registre de reserves'!$I$2:$I$1178,'2021'!$A18,'Registre de reserves'!$B$2:$B$1178,'2021'!J$2,Tabla1[ANY],'2021'!$Z$2)</f>
        <v>0</v>
      </c>
      <c r="K18" s="21">
        <f t="shared" si="19"/>
        <v>0</v>
      </c>
      <c r="L18" s="20">
        <f>SUMIFS('Registre de reserves'!$P$2:$P$1178,'Registre de reserves'!$T$2:$T$1178,"NO",'Registre de reserves'!$I$2:$I$1178,'2021'!$A18,'Registre de reserves'!$B$2:$B$1178,'2021'!L$2,Tabla1[ANY],'2021'!$Z$2)+SUMIFS('Registre de reserves'!$P$2:$P$1178,'Registre de reserves'!$T$2:$T$1178,"RESERVA",'Registre de reserves'!$I$2:$I$1178,'2021'!$A18,'Registre de reserves'!$B$2:$B$1178,'2021'!L$2,Tabla1[ANY],'2021'!$Z$2)-SUMIFS('Registre de reserves'!$U$2:$U$1178,'Registre de reserves'!$T$2:$T$1178,"RESERVA",'Registre de reserves'!$I$2:$I$1178,'2021'!$A18,'Registre de reserves'!$B$2:$B$1178,'2021'!L$2,Tabla1[ANY],'2021'!$Z$2)</f>
        <v>0</v>
      </c>
      <c r="M18" s="21">
        <f t="shared" si="20"/>
        <v>0</v>
      </c>
      <c r="N18" s="20">
        <f>SUMIFS('Registre de reserves'!$P$2:$P$1178,'Registre de reserves'!$T$2:$T$1178,"NO",'Registre de reserves'!$I$2:$I$1178,'2021'!$A18,'Registre de reserves'!$B$2:$B$1178,'2021'!N$2,Tabla1[ANY],'2021'!$Z$2)+SUMIFS('Registre de reserves'!$P$2:$P$1178,'Registre de reserves'!$T$2:$T$1178,"RESERVA",'Registre de reserves'!$I$2:$I$1178,'2021'!$A18,'Registre de reserves'!$B$2:$B$1178,'2021'!N$2,Tabla1[ANY],'2021'!$Z$2)-SUMIFS('Registre de reserves'!$U$2:$U$1178,'Registre de reserves'!$T$2:$T$1178,"RESERVA",'Registre de reserves'!$I$2:$I$1178,'2021'!$A18,'Registre de reserves'!$B$2:$B$1178,'2021'!N$2,Tabla1[ANY],'2021'!$Z$2)</f>
        <v>0</v>
      </c>
      <c r="O18" s="21">
        <f t="shared" si="21"/>
        <v>0</v>
      </c>
      <c r="P18" s="20">
        <f>SUMIFS('Registre de reserves'!$P$2:$P$1178,'Registre de reserves'!$T$2:$T$1178,"NO",'Registre de reserves'!$I$2:$I$1178,'2021'!$A18,'Registre de reserves'!$B$2:$B$1178,'2021'!P$2,Tabla1[ANY],'2021'!$Z$2)+SUMIFS('Registre de reserves'!$P$2:$P$1178,'Registre de reserves'!$T$2:$T$1178,"RESERVA",'Registre de reserves'!$I$2:$I$1178,'2021'!$A18,'Registre de reserves'!$B$2:$B$1178,'2021'!P$2,Tabla1[ANY],'2021'!$Z$2)-SUMIFS('Registre de reserves'!$U$2:$U$1178,'Registre de reserves'!$T$2:$T$1178,"RESERVA",'Registre de reserves'!$I$2:$I$1178,'2021'!$A18,'Registre de reserves'!$B$2:$B$1178,'2021'!P$2,Tabla1[ANY],'2021'!$Z$2)</f>
        <v>0</v>
      </c>
      <c r="Q18" s="21">
        <f t="shared" si="22"/>
        <v>0</v>
      </c>
      <c r="R18" s="20">
        <f>SUMIFS('Registre de reserves'!$P$2:$P$1178,'Registre de reserves'!$T$2:$T$1178,"NO",'Registre de reserves'!$I$2:$I$1178,'2021'!$A18,'Registre de reserves'!$B$2:$B$1178,'2021'!R$2,Tabla1[ANY],'2021'!$Z$2)+SUMIFS('Registre de reserves'!$P$2:$P$1178,'Registre de reserves'!$T$2:$T$1178,"RESERVA",'Registre de reserves'!$I$2:$I$1178,'2021'!$A18,'Registre de reserves'!$B$2:$B$1178,'2021'!R$2,Tabla1[ANY],'2021'!$Z$2)-SUMIFS('Registre de reserves'!$U$2:$U$1178,'Registre de reserves'!$T$2:$T$1178,"RESERVA",'Registre de reserves'!$I$2:$I$1178,'2021'!$A18,'Registre de reserves'!$B$2:$B$1178,'2021'!R$2,Tabla1[ANY],'2021'!$Z$2)</f>
        <v>0</v>
      </c>
      <c r="S18" s="21">
        <f t="shared" si="23"/>
        <v>0</v>
      </c>
      <c r="T18" s="20">
        <f>SUMIFS('Registre de reserves'!$P$2:$P$1178,'Registre de reserves'!$T$2:$T$1178,"NO",'Registre de reserves'!$I$2:$I$1178,'2021'!$A18,'Registre de reserves'!$B$2:$B$1178,'2021'!T$2,Tabla1[ANY],'2021'!$Z$2)+SUMIFS('Registre de reserves'!$P$2:$P$1178,'Registre de reserves'!$T$2:$T$1178,"RESERVA",'Registre de reserves'!$I$2:$I$1178,'2021'!$A18,'Registre de reserves'!$B$2:$B$1178,'2021'!T$2,Tabla1[ANY],'2021'!$Z$2)-SUMIFS('Registre de reserves'!$U$2:$U$1178,'Registre de reserves'!$T$2:$T$1178,"RESERVA",'Registre de reserves'!$I$2:$I$1178,'2021'!$A18,'Registre de reserves'!$B$2:$B$1178,'2021'!T$2,Tabla1[ANY],'2021'!$Z$2)</f>
        <v>0</v>
      </c>
      <c r="U18" s="21">
        <f t="shared" si="24"/>
        <v>0</v>
      </c>
      <c r="V18" s="20">
        <f>SUMIFS('Registre de reserves'!$P$2:$P$1178,'Registre de reserves'!$T$2:$T$1178,"NO",'Registre de reserves'!$I$2:$I$1178,'2021'!$A18,'Registre de reserves'!$B$2:$B$1178,'2021'!V$2,Tabla1[ANY],'2021'!$Z$2)+SUMIFS('Registre de reserves'!$P$2:$P$1178,'Registre de reserves'!$T$2:$T$1178,"RESERVA",'Registre de reserves'!$I$2:$I$1178,'2021'!$A18,'Registre de reserves'!$B$2:$B$1178,'2021'!V$2,Tabla1[ANY],'2021'!$Z$2)-SUMIFS('Registre de reserves'!$U$2:$U$1178,'Registre de reserves'!$T$2:$T$1178,"RESERVA",'Registre de reserves'!$I$2:$I$1178,'2021'!$A18,'Registre de reserves'!$B$2:$B$1178,'2021'!V$2,Tabla1[ANY],'2021'!$Z$2)</f>
        <v>0</v>
      </c>
      <c r="W18" s="21">
        <f t="shared" si="25"/>
        <v>0</v>
      </c>
      <c r="X18" s="20">
        <f>SUMIFS('Registre de reserves'!$P$2:$P$1178,'Registre de reserves'!$T$2:$T$1178,"NO",'Registre de reserves'!$I$2:$I$1178,'2021'!$A18,'Registre de reserves'!$B$2:$B$1178,'2021'!X$2,Tabla1[ANY],'2021'!$Z$2)+SUMIFS('Registre de reserves'!$P$2:$P$1178,'Registre de reserves'!$T$2:$T$1178,"RESERVA",'Registre de reserves'!$I$2:$I$1178,'2021'!$A18,'Registre de reserves'!$B$2:$B$1178,'2021'!X$2,Tabla1[ANY],'2021'!$Z$2)-SUMIFS('Registre de reserves'!$U$2:$U$1178,'Registre de reserves'!$T$2:$T$1178,"RESERVA",'Registre de reserves'!$I$2:$I$1178,'2021'!$A18,'Registre de reserves'!$B$2:$B$1178,'2021'!X$2,Tabla1[ANY],'2021'!$Z$2)</f>
        <v>0</v>
      </c>
      <c r="Y18" s="21">
        <f t="shared" si="26"/>
        <v>0</v>
      </c>
      <c r="Z18" s="20">
        <f t="shared" si="27"/>
        <v>0</v>
      </c>
      <c r="AA18" s="21">
        <f t="shared" si="28"/>
        <v>0</v>
      </c>
    </row>
    <row r="19" spans="1:27" hidden="1" outlineLevel="1" x14ac:dyDescent="0.2">
      <c r="A19" s="8" t="s">
        <v>69</v>
      </c>
      <c r="B19" s="20">
        <f>SUMIFS('Registre de reserves'!$P$2:$P$1178,'Registre de reserves'!$T$2:$T$1178,"NO",'Registre de reserves'!$I$2:$I$1178,'2021'!$A19,'Registre de reserves'!$B$2:$B$1178,'2021'!B$2,Tabla1[ANY],'2021'!$Z$2)+SUMIFS('Registre de reserves'!$P$2:$P$1178,'Registre de reserves'!$T$2:$T$1178,"RESERVA",'Registre de reserves'!$I$2:$I$1178,'2021'!$A19,'Registre de reserves'!$B$2:$B$1178,'2021'!B$2,Tabla1[ANY],'2021'!$Z$2)-SUMIFS('Registre de reserves'!$U$2:$U$1178,'Registre de reserves'!$T$2:$T$1178,"RESERVA",'Registre de reserves'!$I$2:$I$1178,'2021'!$A19,'Registre de reserves'!$B$2:$B$1178,'2021'!B$2,Tabla1[ANY],'2021'!$Z$2)</f>
        <v>0</v>
      </c>
      <c r="C19" s="21">
        <f t="shared" si="15"/>
        <v>0</v>
      </c>
      <c r="D19" s="20">
        <f>SUMIFS('Registre de reserves'!$P$2:$P$1178,'Registre de reserves'!$T$2:$T$1178,"NO",'Registre de reserves'!$I$2:$I$1178,'2021'!$A19,'Registre de reserves'!$B$2:$B$1178,'2021'!D$2,Tabla1[ANY],'2021'!$Z$2)+SUMIFS('Registre de reserves'!$P$2:$P$1178,'Registre de reserves'!$T$2:$T$1178,"RESERVA",'Registre de reserves'!$I$2:$I$1178,'2021'!$A19,'Registre de reserves'!$B$2:$B$1178,'2021'!D$2,Tabla1[ANY],'2021'!$Z$2)-SUMIFS('Registre de reserves'!$U$2:$U$1178,'Registre de reserves'!$T$2:$T$1178,"RESERVA",'Registre de reserves'!$I$2:$I$1178,'2021'!$A19,'Registre de reserves'!$B$2:$B$1178,'2021'!D$2,Tabla1[ANY],'2021'!$Z$2)</f>
        <v>0</v>
      </c>
      <c r="E19" s="21">
        <f t="shared" si="16"/>
        <v>0</v>
      </c>
      <c r="F19" s="20">
        <f>SUMIFS('Registre de reserves'!$P$2:$P$1178,'Registre de reserves'!$T$2:$T$1178,"NO",'Registre de reserves'!$I$2:$I$1178,'2021'!$A19,'Registre de reserves'!$B$2:$B$1178,'2021'!F$2,Tabla1[ANY],'2021'!$Z$2)+SUMIFS('Registre de reserves'!$P$2:$P$1178,'Registre de reserves'!$T$2:$T$1178,"RESERVA",'Registre de reserves'!$I$2:$I$1178,'2021'!$A19,'Registre de reserves'!$B$2:$B$1178,'2021'!F$2,Tabla1[ANY],'2021'!$Z$2)-SUMIFS('Registre de reserves'!$U$2:$U$1178,'Registre de reserves'!$T$2:$T$1178,"RESERVA",'Registre de reserves'!$I$2:$I$1178,'2021'!$A19,'Registre de reserves'!$B$2:$B$1178,'2021'!F$2,Tabla1[ANY],'2021'!$Z$2)</f>
        <v>0</v>
      </c>
      <c r="G19" s="21">
        <f t="shared" si="17"/>
        <v>0</v>
      </c>
      <c r="H19" s="20">
        <f>SUMIFS('Registre de reserves'!$P$2:$P$1178,'Registre de reserves'!$T$2:$T$1178,"NO",'Registre de reserves'!$I$2:$I$1178,'2021'!$A19,'Registre de reserves'!$B$2:$B$1178,'2021'!H$2,Tabla1[ANY],'2021'!$Z$2)+SUMIFS('Registre de reserves'!$P$2:$P$1178,'Registre de reserves'!$T$2:$T$1178,"RESERVA",'Registre de reserves'!$I$2:$I$1178,'2021'!$A19,'Registre de reserves'!$B$2:$B$1178,'2021'!H$2,Tabla1[ANY],'2021'!$Z$2)-SUMIFS('Registre de reserves'!$U$2:$U$1178,'Registre de reserves'!$T$2:$T$1178,"RESERVA",'Registre de reserves'!$I$2:$I$1178,'2021'!$A19,'Registre de reserves'!$B$2:$B$1178,'2021'!H$2,Tabla1[ANY],'2021'!$Z$2)</f>
        <v>0</v>
      </c>
      <c r="I19" s="21">
        <f t="shared" si="18"/>
        <v>0</v>
      </c>
      <c r="J19" s="20">
        <f>SUMIFS('Registre de reserves'!$P$2:$P$1178,'Registre de reserves'!$T$2:$T$1178,"NO",'Registre de reserves'!$I$2:$I$1178,'2021'!$A19,'Registre de reserves'!$B$2:$B$1178,'2021'!J$2,Tabla1[ANY],'2021'!$Z$2)+SUMIFS('Registre de reserves'!$P$2:$P$1178,'Registre de reserves'!$T$2:$T$1178,"RESERVA",'Registre de reserves'!$I$2:$I$1178,'2021'!$A19,'Registre de reserves'!$B$2:$B$1178,'2021'!J$2,Tabla1[ANY],'2021'!$Z$2)-SUMIFS('Registre de reserves'!$U$2:$U$1178,'Registre de reserves'!$T$2:$T$1178,"RESERVA",'Registre de reserves'!$I$2:$I$1178,'2021'!$A19,'Registre de reserves'!$B$2:$B$1178,'2021'!J$2,Tabla1[ANY],'2021'!$Z$2)</f>
        <v>0</v>
      </c>
      <c r="K19" s="21">
        <f t="shared" si="19"/>
        <v>0</v>
      </c>
      <c r="L19" s="20">
        <f>SUMIFS('Registre de reserves'!$P$2:$P$1178,'Registre de reserves'!$T$2:$T$1178,"NO",'Registre de reserves'!$I$2:$I$1178,'2021'!$A19,'Registre de reserves'!$B$2:$B$1178,'2021'!L$2,Tabla1[ANY],'2021'!$Z$2)+SUMIFS('Registre de reserves'!$P$2:$P$1178,'Registre de reserves'!$T$2:$T$1178,"RESERVA",'Registre de reserves'!$I$2:$I$1178,'2021'!$A19,'Registre de reserves'!$B$2:$B$1178,'2021'!L$2,Tabla1[ANY],'2021'!$Z$2)-SUMIFS('Registre de reserves'!$U$2:$U$1178,'Registre de reserves'!$T$2:$T$1178,"RESERVA",'Registre de reserves'!$I$2:$I$1178,'2021'!$A19,'Registre de reserves'!$B$2:$B$1178,'2021'!L$2,Tabla1[ANY],'2021'!$Z$2)</f>
        <v>0</v>
      </c>
      <c r="M19" s="21">
        <f t="shared" si="20"/>
        <v>0</v>
      </c>
      <c r="N19" s="20">
        <f>SUMIFS('Registre de reserves'!$P$2:$P$1178,'Registre de reserves'!$T$2:$T$1178,"NO",'Registre de reserves'!$I$2:$I$1178,'2021'!$A19,'Registre de reserves'!$B$2:$B$1178,'2021'!N$2,Tabla1[ANY],'2021'!$Z$2)+SUMIFS('Registre de reserves'!$P$2:$P$1178,'Registre de reserves'!$T$2:$T$1178,"RESERVA",'Registre de reserves'!$I$2:$I$1178,'2021'!$A19,'Registre de reserves'!$B$2:$B$1178,'2021'!N$2,Tabla1[ANY],'2021'!$Z$2)-SUMIFS('Registre de reserves'!$U$2:$U$1178,'Registre de reserves'!$T$2:$T$1178,"RESERVA",'Registre de reserves'!$I$2:$I$1178,'2021'!$A19,'Registre de reserves'!$B$2:$B$1178,'2021'!N$2,Tabla1[ANY],'2021'!$Z$2)</f>
        <v>0</v>
      </c>
      <c r="O19" s="21">
        <f t="shared" si="21"/>
        <v>0</v>
      </c>
      <c r="P19" s="20">
        <f>SUMIFS('Registre de reserves'!$P$2:$P$1178,'Registre de reserves'!$T$2:$T$1178,"NO",'Registre de reserves'!$I$2:$I$1178,'2021'!$A19,'Registre de reserves'!$B$2:$B$1178,'2021'!P$2,Tabla1[ANY],'2021'!$Z$2)+SUMIFS('Registre de reserves'!$P$2:$P$1178,'Registre de reserves'!$T$2:$T$1178,"RESERVA",'Registre de reserves'!$I$2:$I$1178,'2021'!$A19,'Registre de reserves'!$B$2:$B$1178,'2021'!P$2,Tabla1[ANY],'2021'!$Z$2)-SUMIFS('Registre de reserves'!$U$2:$U$1178,'Registre de reserves'!$T$2:$T$1178,"RESERVA",'Registre de reserves'!$I$2:$I$1178,'2021'!$A19,'Registre de reserves'!$B$2:$B$1178,'2021'!P$2,Tabla1[ANY],'2021'!$Z$2)</f>
        <v>0</v>
      </c>
      <c r="Q19" s="21">
        <f t="shared" si="22"/>
        <v>0</v>
      </c>
      <c r="R19" s="20">
        <f>SUMIFS('Registre de reserves'!$P$2:$P$1178,'Registre de reserves'!$T$2:$T$1178,"NO",'Registre de reserves'!$I$2:$I$1178,'2021'!$A19,'Registre de reserves'!$B$2:$B$1178,'2021'!R$2,Tabla1[ANY],'2021'!$Z$2)+SUMIFS('Registre de reserves'!$P$2:$P$1178,'Registre de reserves'!$T$2:$T$1178,"RESERVA",'Registre de reserves'!$I$2:$I$1178,'2021'!$A19,'Registre de reserves'!$B$2:$B$1178,'2021'!R$2,Tabla1[ANY],'2021'!$Z$2)-SUMIFS('Registre de reserves'!$U$2:$U$1178,'Registre de reserves'!$T$2:$T$1178,"RESERVA",'Registre de reserves'!$I$2:$I$1178,'2021'!$A19,'Registre de reserves'!$B$2:$B$1178,'2021'!R$2,Tabla1[ANY],'2021'!$Z$2)</f>
        <v>0</v>
      </c>
      <c r="S19" s="21">
        <f t="shared" si="23"/>
        <v>0</v>
      </c>
      <c r="T19" s="20">
        <f>SUMIFS('Registre de reserves'!$P$2:$P$1178,'Registre de reserves'!$T$2:$T$1178,"NO",'Registre de reserves'!$I$2:$I$1178,'2021'!$A19,'Registre de reserves'!$B$2:$B$1178,'2021'!T$2,Tabla1[ANY],'2021'!$Z$2)+SUMIFS('Registre de reserves'!$P$2:$P$1178,'Registre de reserves'!$T$2:$T$1178,"RESERVA",'Registre de reserves'!$I$2:$I$1178,'2021'!$A19,'Registre de reserves'!$B$2:$B$1178,'2021'!T$2,Tabla1[ANY],'2021'!$Z$2)-SUMIFS('Registre de reserves'!$U$2:$U$1178,'Registre de reserves'!$T$2:$T$1178,"RESERVA",'Registre de reserves'!$I$2:$I$1178,'2021'!$A19,'Registre de reserves'!$B$2:$B$1178,'2021'!T$2,Tabla1[ANY],'2021'!$Z$2)</f>
        <v>0</v>
      </c>
      <c r="U19" s="21">
        <f t="shared" si="24"/>
        <v>0</v>
      </c>
      <c r="V19" s="20">
        <f>SUMIFS('Registre de reserves'!$P$2:$P$1178,'Registre de reserves'!$T$2:$T$1178,"NO",'Registre de reserves'!$I$2:$I$1178,'2021'!$A19,'Registre de reserves'!$B$2:$B$1178,'2021'!V$2,Tabla1[ANY],'2021'!$Z$2)+SUMIFS('Registre de reserves'!$P$2:$P$1178,'Registre de reserves'!$T$2:$T$1178,"RESERVA",'Registre de reserves'!$I$2:$I$1178,'2021'!$A19,'Registre de reserves'!$B$2:$B$1178,'2021'!V$2,Tabla1[ANY],'2021'!$Z$2)-SUMIFS('Registre de reserves'!$U$2:$U$1178,'Registre de reserves'!$T$2:$T$1178,"RESERVA",'Registre de reserves'!$I$2:$I$1178,'2021'!$A19,'Registre de reserves'!$B$2:$B$1178,'2021'!V$2,Tabla1[ANY],'2021'!$Z$2)</f>
        <v>0</v>
      </c>
      <c r="W19" s="21">
        <f t="shared" si="25"/>
        <v>0</v>
      </c>
      <c r="X19" s="20">
        <f>SUMIFS('Registre de reserves'!$P$2:$P$1178,'Registre de reserves'!$T$2:$T$1178,"NO",'Registre de reserves'!$I$2:$I$1178,'2021'!$A19,'Registre de reserves'!$B$2:$B$1178,'2021'!X$2,Tabla1[ANY],'2021'!$Z$2)+SUMIFS('Registre de reserves'!$P$2:$P$1178,'Registre de reserves'!$T$2:$T$1178,"RESERVA",'Registre de reserves'!$I$2:$I$1178,'2021'!$A19,'Registre de reserves'!$B$2:$B$1178,'2021'!X$2,Tabla1[ANY],'2021'!$Z$2)-SUMIFS('Registre de reserves'!$U$2:$U$1178,'Registre de reserves'!$T$2:$T$1178,"RESERVA",'Registre de reserves'!$I$2:$I$1178,'2021'!$A19,'Registre de reserves'!$B$2:$B$1178,'2021'!X$2,Tabla1[ANY],'2021'!$Z$2)</f>
        <v>590</v>
      </c>
      <c r="Y19" s="21">
        <f t="shared" si="26"/>
        <v>0.45559845559845558</v>
      </c>
      <c r="Z19" s="20">
        <f t="shared" si="27"/>
        <v>590</v>
      </c>
      <c r="AA19" s="21">
        <f t="shared" si="28"/>
        <v>0.33146067415730335</v>
      </c>
    </row>
    <row r="20" spans="1:27" hidden="1" outlineLevel="1" x14ac:dyDescent="0.2">
      <c r="A20" s="8" t="s">
        <v>70</v>
      </c>
      <c r="B20" s="20">
        <f>SUMIFS('Registre de reserves'!$P$2:$P$1178,'Registre de reserves'!$T$2:$T$1178,"NO",'Registre de reserves'!$I$2:$I$1178,'2021'!$A20,'Registre de reserves'!$B$2:$B$1178,'2021'!B$2,Tabla1[ANY],'2021'!$Z$2)+SUMIFS('Registre de reserves'!$P$2:$P$1178,'Registre de reserves'!$T$2:$T$1178,"RESERVA",'Registre de reserves'!$I$2:$I$1178,'2021'!$A20,'Registre de reserves'!$B$2:$B$1178,'2021'!B$2,Tabla1[ANY],'2021'!$Z$2)-SUMIFS('Registre de reserves'!$U$2:$U$1178,'Registre de reserves'!$T$2:$T$1178,"RESERVA",'Registre de reserves'!$I$2:$I$1178,'2021'!$A20,'Registre de reserves'!$B$2:$B$1178,'2021'!B$2,Tabla1[ANY],'2021'!$Z$2)</f>
        <v>0</v>
      </c>
      <c r="C20" s="21">
        <f t="shared" si="15"/>
        <v>0</v>
      </c>
      <c r="D20" s="20">
        <f>SUMIFS('Registre de reserves'!$P$2:$P$1178,'Registre de reserves'!$T$2:$T$1178,"NO",'Registre de reserves'!$I$2:$I$1178,'2021'!$A20,'Registre de reserves'!$B$2:$B$1178,'2021'!D$2,Tabla1[ANY],'2021'!$Z$2)+SUMIFS('Registre de reserves'!$P$2:$P$1178,'Registre de reserves'!$T$2:$T$1178,"RESERVA",'Registre de reserves'!$I$2:$I$1178,'2021'!$A20,'Registre de reserves'!$B$2:$B$1178,'2021'!D$2,Tabla1[ANY],'2021'!$Z$2)-SUMIFS('Registre de reserves'!$U$2:$U$1178,'Registre de reserves'!$T$2:$T$1178,"RESERVA",'Registre de reserves'!$I$2:$I$1178,'2021'!$A20,'Registre de reserves'!$B$2:$B$1178,'2021'!D$2,Tabla1[ANY],'2021'!$Z$2)</f>
        <v>0</v>
      </c>
      <c r="E20" s="21">
        <f t="shared" si="16"/>
        <v>0</v>
      </c>
      <c r="F20" s="20">
        <f>SUMIFS('Registre de reserves'!$P$2:$P$1178,'Registre de reserves'!$T$2:$T$1178,"NO",'Registre de reserves'!$I$2:$I$1178,'2021'!$A20,'Registre de reserves'!$B$2:$B$1178,'2021'!F$2,Tabla1[ANY],'2021'!$Z$2)+SUMIFS('Registre de reserves'!$P$2:$P$1178,'Registre de reserves'!$T$2:$T$1178,"RESERVA",'Registre de reserves'!$I$2:$I$1178,'2021'!$A20,'Registre de reserves'!$B$2:$B$1178,'2021'!F$2,Tabla1[ANY],'2021'!$Z$2)-SUMIFS('Registre de reserves'!$U$2:$U$1178,'Registre de reserves'!$T$2:$T$1178,"RESERVA",'Registre de reserves'!$I$2:$I$1178,'2021'!$A20,'Registre de reserves'!$B$2:$B$1178,'2021'!F$2,Tabla1[ANY],'2021'!$Z$2)</f>
        <v>0</v>
      </c>
      <c r="G20" s="21">
        <f t="shared" si="17"/>
        <v>0</v>
      </c>
      <c r="H20" s="20">
        <f>SUMIFS('Registre de reserves'!$P$2:$P$1178,'Registre de reserves'!$T$2:$T$1178,"NO",'Registre de reserves'!$I$2:$I$1178,'2021'!$A20,'Registre de reserves'!$B$2:$B$1178,'2021'!H$2,Tabla1[ANY],'2021'!$Z$2)+SUMIFS('Registre de reserves'!$P$2:$P$1178,'Registre de reserves'!$T$2:$T$1178,"RESERVA",'Registre de reserves'!$I$2:$I$1178,'2021'!$A20,'Registre de reserves'!$B$2:$B$1178,'2021'!H$2,Tabla1[ANY],'2021'!$Z$2)-SUMIFS('Registre de reserves'!$U$2:$U$1178,'Registre de reserves'!$T$2:$T$1178,"RESERVA",'Registre de reserves'!$I$2:$I$1178,'2021'!$A20,'Registre de reserves'!$B$2:$B$1178,'2021'!H$2,Tabla1[ANY],'2021'!$Z$2)</f>
        <v>0</v>
      </c>
      <c r="I20" s="21">
        <f t="shared" si="18"/>
        <v>0</v>
      </c>
      <c r="J20" s="20">
        <f>SUMIFS('Registre de reserves'!$P$2:$P$1178,'Registre de reserves'!$T$2:$T$1178,"NO",'Registre de reserves'!$I$2:$I$1178,'2021'!$A20,'Registre de reserves'!$B$2:$B$1178,'2021'!J$2,Tabla1[ANY],'2021'!$Z$2)+SUMIFS('Registre de reserves'!$P$2:$P$1178,'Registre de reserves'!$T$2:$T$1178,"RESERVA",'Registre de reserves'!$I$2:$I$1178,'2021'!$A20,'Registre de reserves'!$B$2:$B$1178,'2021'!J$2,Tabla1[ANY],'2021'!$Z$2)-SUMIFS('Registre de reserves'!$U$2:$U$1178,'Registre de reserves'!$T$2:$T$1178,"RESERVA",'Registre de reserves'!$I$2:$I$1178,'2021'!$A20,'Registre de reserves'!$B$2:$B$1178,'2021'!J$2,Tabla1[ANY],'2021'!$Z$2)</f>
        <v>0</v>
      </c>
      <c r="K20" s="21">
        <f t="shared" si="19"/>
        <v>0</v>
      </c>
      <c r="L20" s="20">
        <f>SUMIFS('Registre de reserves'!$P$2:$P$1178,'Registre de reserves'!$T$2:$T$1178,"NO",'Registre de reserves'!$I$2:$I$1178,'2021'!$A20,'Registre de reserves'!$B$2:$B$1178,'2021'!L$2,Tabla1[ANY],'2021'!$Z$2)+SUMIFS('Registre de reserves'!$P$2:$P$1178,'Registre de reserves'!$T$2:$T$1178,"RESERVA",'Registre de reserves'!$I$2:$I$1178,'2021'!$A20,'Registre de reserves'!$B$2:$B$1178,'2021'!L$2,Tabla1[ANY],'2021'!$Z$2)-SUMIFS('Registre de reserves'!$U$2:$U$1178,'Registre de reserves'!$T$2:$T$1178,"RESERVA",'Registre de reserves'!$I$2:$I$1178,'2021'!$A20,'Registre de reserves'!$B$2:$B$1178,'2021'!L$2,Tabla1[ANY],'2021'!$Z$2)</f>
        <v>0</v>
      </c>
      <c r="M20" s="21">
        <f t="shared" si="20"/>
        <v>0</v>
      </c>
      <c r="N20" s="20">
        <f>SUMIFS('Registre de reserves'!$P$2:$P$1178,'Registre de reserves'!$T$2:$T$1178,"NO",'Registre de reserves'!$I$2:$I$1178,'2021'!$A20,'Registre de reserves'!$B$2:$B$1178,'2021'!N$2,Tabla1[ANY],'2021'!$Z$2)+SUMIFS('Registre de reserves'!$P$2:$P$1178,'Registre de reserves'!$T$2:$T$1178,"RESERVA",'Registre de reserves'!$I$2:$I$1178,'2021'!$A20,'Registre de reserves'!$B$2:$B$1178,'2021'!N$2,Tabla1[ANY],'2021'!$Z$2)-SUMIFS('Registre de reserves'!$U$2:$U$1178,'Registre de reserves'!$T$2:$T$1178,"RESERVA",'Registre de reserves'!$I$2:$I$1178,'2021'!$A20,'Registre de reserves'!$B$2:$B$1178,'2021'!N$2,Tabla1[ANY],'2021'!$Z$2)</f>
        <v>0</v>
      </c>
      <c r="O20" s="21">
        <f t="shared" si="21"/>
        <v>0</v>
      </c>
      <c r="P20" s="20">
        <f>SUMIFS('Registre de reserves'!$P$2:$P$1178,'Registre de reserves'!$T$2:$T$1178,"NO",'Registre de reserves'!$I$2:$I$1178,'2021'!$A20,'Registre de reserves'!$B$2:$B$1178,'2021'!P$2,Tabla1[ANY],'2021'!$Z$2)+SUMIFS('Registre de reserves'!$P$2:$P$1178,'Registre de reserves'!$T$2:$T$1178,"RESERVA",'Registre de reserves'!$I$2:$I$1178,'2021'!$A20,'Registre de reserves'!$B$2:$B$1178,'2021'!P$2,Tabla1[ANY],'2021'!$Z$2)-SUMIFS('Registre de reserves'!$U$2:$U$1178,'Registre de reserves'!$T$2:$T$1178,"RESERVA",'Registre de reserves'!$I$2:$I$1178,'2021'!$A20,'Registre de reserves'!$B$2:$B$1178,'2021'!P$2,Tabla1[ANY],'2021'!$Z$2)</f>
        <v>0</v>
      </c>
      <c r="Q20" s="21">
        <f t="shared" si="22"/>
        <v>0</v>
      </c>
      <c r="R20" s="20">
        <f>SUMIFS('Registre de reserves'!$P$2:$P$1178,'Registre de reserves'!$T$2:$T$1178,"NO",'Registre de reserves'!$I$2:$I$1178,'2021'!$A20,'Registre de reserves'!$B$2:$B$1178,'2021'!R$2,Tabla1[ANY],'2021'!$Z$2)+SUMIFS('Registre de reserves'!$P$2:$P$1178,'Registre de reserves'!$T$2:$T$1178,"RESERVA",'Registre de reserves'!$I$2:$I$1178,'2021'!$A20,'Registre de reserves'!$B$2:$B$1178,'2021'!R$2,Tabla1[ANY],'2021'!$Z$2)-SUMIFS('Registre de reserves'!$U$2:$U$1178,'Registre de reserves'!$T$2:$T$1178,"RESERVA",'Registre de reserves'!$I$2:$I$1178,'2021'!$A20,'Registre de reserves'!$B$2:$B$1178,'2021'!R$2,Tabla1[ANY],'2021'!$Z$2)</f>
        <v>0</v>
      </c>
      <c r="S20" s="21">
        <f t="shared" si="23"/>
        <v>0</v>
      </c>
      <c r="T20" s="20">
        <f>SUMIFS('Registre de reserves'!$P$2:$P$1178,'Registre de reserves'!$T$2:$T$1178,"NO",'Registre de reserves'!$I$2:$I$1178,'2021'!$A20,'Registre de reserves'!$B$2:$B$1178,'2021'!T$2,Tabla1[ANY],'2021'!$Z$2)+SUMIFS('Registre de reserves'!$P$2:$P$1178,'Registre de reserves'!$T$2:$T$1178,"RESERVA",'Registre de reserves'!$I$2:$I$1178,'2021'!$A20,'Registre de reserves'!$B$2:$B$1178,'2021'!T$2,Tabla1[ANY],'2021'!$Z$2)-SUMIFS('Registre de reserves'!$U$2:$U$1178,'Registre de reserves'!$T$2:$T$1178,"RESERVA",'Registre de reserves'!$I$2:$I$1178,'2021'!$A20,'Registre de reserves'!$B$2:$B$1178,'2021'!T$2,Tabla1[ANY],'2021'!$Z$2)</f>
        <v>0</v>
      </c>
      <c r="U20" s="21">
        <f t="shared" si="24"/>
        <v>0</v>
      </c>
      <c r="V20" s="20">
        <f>SUMIFS('Registre de reserves'!$P$2:$P$1178,'Registre de reserves'!$T$2:$T$1178,"NO",'Registre de reserves'!$I$2:$I$1178,'2021'!$A20,'Registre de reserves'!$B$2:$B$1178,'2021'!V$2,Tabla1[ANY],'2021'!$Z$2)+SUMIFS('Registre de reserves'!$P$2:$P$1178,'Registre de reserves'!$T$2:$T$1178,"RESERVA",'Registre de reserves'!$I$2:$I$1178,'2021'!$A20,'Registre de reserves'!$B$2:$B$1178,'2021'!V$2,Tabla1[ANY],'2021'!$Z$2)-SUMIFS('Registre de reserves'!$U$2:$U$1178,'Registre de reserves'!$T$2:$T$1178,"RESERVA",'Registre de reserves'!$I$2:$I$1178,'2021'!$A20,'Registre de reserves'!$B$2:$B$1178,'2021'!V$2,Tabla1[ANY],'2021'!$Z$2)</f>
        <v>0</v>
      </c>
      <c r="W20" s="21">
        <f t="shared" si="25"/>
        <v>0</v>
      </c>
      <c r="X20" s="20">
        <f>SUMIFS('Registre de reserves'!$P$2:$P$1178,'Registre de reserves'!$T$2:$T$1178,"NO",'Registre de reserves'!$I$2:$I$1178,'2021'!$A20,'Registre de reserves'!$B$2:$B$1178,'2021'!X$2,Tabla1[ANY],'2021'!$Z$2)+SUMIFS('Registre de reserves'!$P$2:$P$1178,'Registre de reserves'!$T$2:$T$1178,"RESERVA",'Registre de reserves'!$I$2:$I$1178,'2021'!$A20,'Registre de reserves'!$B$2:$B$1178,'2021'!X$2,Tabla1[ANY],'2021'!$Z$2)-SUMIFS('Registre de reserves'!$U$2:$U$1178,'Registre de reserves'!$T$2:$T$1178,"RESERVA",'Registre de reserves'!$I$2:$I$1178,'2021'!$A20,'Registre de reserves'!$B$2:$B$1178,'2021'!X$2,Tabla1[ANY],'2021'!$Z$2)</f>
        <v>0</v>
      </c>
      <c r="Y20" s="21">
        <f t="shared" si="26"/>
        <v>0</v>
      </c>
      <c r="Z20" s="20">
        <f t="shared" si="27"/>
        <v>0</v>
      </c>
      <c r="AA20" s="21">
        <f t="shared" si="28"/>
        <v>0</v>
      </c>
    </row>
    <row r="21" spans="1:27" hidden="1" outlineLevel="1" x14ac:dyDescent="0.2">
      <c r="A21" s="8" t="s">
        <v>73</v>
      </c>
      <c r="B21" s="20">
        <f>SUMIFS('Registre de reserves'!$P$2:$P$1178,'Registre de reserves'!$T$2:$T$1178,"NO",'Registre de reserves'!$I$2:$I$1178,'2021'!$A21,'Registre de reserves'!$B$2:$B$1178,'2021'!B$2,Tabla1[ANY],'2021'!$Z$2)+SUMIFS('Registre de reserves'!$P$2:$P$1178,'Registre de reserves'!$T$2:$T$1178,"RESERVA",'Registre de reserves'!$I$2:$I$1178,'2021'!$A21,'Registre de reserves'!$B$2:$B$1178,'2021'!B$2,Tabla1[ANY],'2021'!$Z$2)-SUMIFS('Registre de reserves'!$U$2:$U$1178,'Registre de reserves'!$T$2:$T$1178,"RESERVA",'Registre de reserves'!$I$2:$I$1178,'2021'!$A21,'Registre de reserves'!$B$2:$B$1178,'2021'!B$2,Tabla1[ANY],'2021'!$Z$2)</f>
        <v>0</v>
      </c>
      <c r="C21" s="21">
        <f t="shared" si="15"/>
        <v>0</v>
      </c>
      <c r="D21" s="20">
        <f>SUMIFS('Registre de reserves'!$P$2:$P$1178,'Registre de reserves'!$T$2:$T$1178,"NO",'Registre de reserves'!$I$2:$I$1178,'2021'!$A21,'Registre de reserves'!$B$2:$B$1178,'2021'!D$2,Tabla1[ANY],'2021'!$Z$2)+SUMIFS('Registre de reserves'!$P$2:$P$1178,'Registre de reserves'!$T$2:$T$1178,"RESERVA",'Registre de reserves'!$I$2:$I$1178,'2021'!$A21,'Registre de reserves'!$B$2:$B$1178,'2021'!D$2,Tabla1[ANY],'2021'!$Z$2)-SUMIFS('Registre de reserves'!$U$2:$U$1178,'Registre de reserves'!$T$2:$T$1178,"RESERVA",'Registre de reserves'!$I$2:$I$1178,'2021'!$A21,'Registre de reserves'!$B$2:$B$1178,'2021'!D$2,Tabla1[ANY],'2021'!$Z$2)</f>
        <v>0</v>
      </c>
      <c r="E21" s="21">
        <f t="shared" si="16"/>
        <v>0</v>
      </c>
      <c r="F21" s="20">
        <f>SUMIFS('Registre de reserves'!$P$2:$P$1178,'Registre de reserves'!$T$2:$T$1178,"NO",'Registre de reserves'!$I$2:$I$1178,'2021'!$A21,'Registre de reserves'!$B$2:$B$1178,'2021'!F$2,Tabla1[ANY],'2021'!$Z$2)+SUMIFS('Registre de reserves'!$P$2:$P$1178,'Registre de reserves'!$T$2:$T$1178,"RESERVA",'Registre de reserves'!$I$2:$I$1178,'2021'!$A21,'Registre de reserves'!$B$2:$B$1178,'2021'!F$2,Tabla1[ANY],'2021'!$Z$2)-SUMIFS('Registre de reserves'!$U$2:$U$1178,'Registre de reserves'!$T$2:$T$1178,"RESERVA",'Registre de reserves'!$I$2:$I$1178,'2021'!$A21,'Registre de reserves'!$B$2:$B$1178,'2021'!F$2,Tabla1[ANY],'2021'!$Z$2)</f>
        <v>0</v>
      </c>
      <c r="G21" s="21">
        <f t="shared" si="17"/>
        <v>0</v>
      </c>
      <c r="H21" s="20">
        <f>SUMIFS('Registre de reserves'!$P$2:$P$1178,'Registre de reserves'!$T$2:$T$1178,"NO",'Registre de reserves'!$I$2:$I$1178,'2021'!$A21,'Registre de reserves'!$B$2:$B$1178,'2021'!H$2,Tabla1[ANY],'2021'!$Z$2)+SUMIFS('Registre de reserves'!$P$2:$P$1178,'Registre de reserves'!$T$2:$T$1178,"RESERVA",'Registre de reserves'!$I$2:$I$1178,'2021'!$A21,'Registre de reserves'!$B$2:$B$1178,'2021'!H$2,Tabla1[ANY],'2021'!$Z$2)-SUMIFS('Registre de reserves'!$U$2:$U$1178,'Registre de reserves'!$T$2:$T$1178,"RESERVA",'Registre de reserves'!$I$2:$I$1178,'2021'!$A21,'Registre de reserves'!$B$2:$B$1178,'2021'!H$2,Tabla1[ANY],'2021'!$Z$2)</f>
        <v>0</v>
      </c>
      <c r="I21" s="21">
        <f t="shared" si="18"/>
        <v>0</v>
      </c>
      <c r="J21" s="20">
        <f>SUMIFS('Registre de reserves'!$P$2:$P$1178,'Registre de reserves'!$T$2:$T$1178,"NO",'Registre de reserves'!$I$2:$I$1178,'2021'!$A21,'Registre de reserves'!$B$2:$B$1178,'2021'!J$2,Tabla1[ANY],'2021'!$Z$2)+SUMIFS('Registre de reserves'!$P$2:$P$1178,'Registre de reserves'!$T$2:$T$1178,"RESERVA",'Registre de reserves'!$I$2:$I$1178,'2021'!$A21,'Registre de reserves'!$B$2:$B$1178,'2021'!J$2,Tabla1[ANY],'2021'!$Z$2)-SUMIFS('Registre de reserves'!$U$2:$U$1178,'Registre de reserves'!$T$2:$T$1178,"RESERVA",'Registre de reserves'!$I$2:$I$1178,'2021'!$A21,'Registre de reserves'!$B$2:$B$1178,'2021'!J$2,Tabla1[ANY],'2021'!$Z$2)</f>
        <v>0</v>
      </c>
      <c r="K21" s="21">
        <f t="shared" si="19"/>
        <v>0</v>
      </c>
      <c r="L21" s="20">
        <f>SUMIFS('Registre de reserves'!$P$2:$P$1178,'Registre de reserves'!$T$2:$T$1178,"NO",'Registre de reserves'!$I$2:$I$1178,'2021'!$A21,'Registre de reserves'!$B$2:$B$1178,'2021'!L$2,Tabla1[ANY],'2021'!$Z$2)+SUMIFS('Registre de reserves'!$P$2:$P$1178,'Registre de reserves'!$T$2:$T$1178,"RESERVA",'Registre de reserves'!$I$2:$I$1178,'2021'!$A21,'Registre de reserves'!$B$2:$B$1178,'2021'!L$2,Tabla1[ANY],'2021'!$Z$2)-SUMIFS('Registre de reserves'!$U$2:$U$1178,'Registre de reserves'!$T$2:$T$1178,"RESERVA",'Registre de reserves'!$I$2:$I$1178,'2021'!$A21,'Registre de reserves'!$B$2:$B$1178,'2021'!L$2,Tabla1[ANY],'2021'!$Z$2)</f>
        <v>0</v>
      </c>
      <c r="M21" s="21">
        <f t="shared" si="20"/>
        <v>0</v>
      </c>
      <c r="N21" s="20">
        <f>SUMIFS('Registre de reserves'!$P$2:$P$1178,'Registre de reserves'!$T$2:$T$1178,"NO",'Registre de reserves'!$I$2:$I$1178,'2021'!$A21,'Registre de reserves'!$B$2:$B$1178,'2021'!N$2,Tabla1[ANY],'2021'!$Z$2)+SUMIFS('Registre de reserves'!$P$2:$P$1178,'Registre de reserves'!$T$2:$T$1178,"RESERVA",'Registre de reserves'!$I$2:$I$1178,'2021'!$A21,'Registre de reserves'!$B$2:$B$1178,'2021'!N$2,Tabla1[ANY],'2021'!$Z$2)-SUMIFS('Registre de reserves'!$U$2:$U$1178,'Registre de reserves'!$T$2:$T$1178,"RESERVA",'Registre de reserves'!$I$2:$I$1178,'2021'!$A21,'Registre de reserves'!$B$2:$B$1178,'2021'!N$2,Tabla1[ANY],'2021'!$Z$2)</f>
        <v>0</v>
      </c>
      <c r="O21" s="21">
        <f t="shared" si="21"/>
        <v>0</v>
      </c>
      <c r="P21" s="20">
        <f>SUMIFS('Registre de reserves'!$P$2:$P$1178,'Registre de reserves'!$T$2:$T$1178,"NO",'Registre de reserves'!$I$2:$I$1178,'2021'!$A21,'Registre de reserves'!$B$2:$B$1178,'2021'!P$2,Tabla1[ANY],'2021'!$Z$2)+SUMIFS('Registre de reserves'!$P$2:$P$1178,'Registre de reserves'!$T$2:$T$1178,"RESERVA",'Registre de reserves'!$I$2:$I$1178,'2021'!$A21,'Registre de reserves'!$B$2:$B$1178,'2021'!P$2,Tabla1[ANY],'2021'!$Z$2)-SUMIFS('Registre de reserves'!$U$2:$U$1178,'Registre de reserves'!$T$2:$T$1178,"RESERVA",'Registre de reserves'!$I$2:$I$1178,'2021'!$A21,'Registre de reserves'!$B$2:$B$1178,'2021'!P$2,Tabla1[ANY],'2021'!$Z$2)</f>
        <v>0</v>
      </c>
      <c r="Q21" s="21">
        <f t="shared" si="22"/>
        <v>0</v>
      </c>
      <c r="R21" s="20">
        <f>SUMIFS('Registre de reserves'!$P$2:$P$1178,'Registre de reserves'!$T$2:$T$1178,"NO",'Registre de reserves'!$I$2:$I$1178,'2021'!$A21,'Registre de reserves'!$B$2:$B$1178,'2021'!R$2,Tabla1[ANY],'2021'!$Z$2)+SUMIFS('Registre de reserves'!$P$2:$P$1178,'Registre de reserves'!$T$2:$T$1178,"RESERVA",'Registre de reserves'!$I$2:$I$1178,'2021'!$A21,'Registre de reserves'!$B$2:$B$1178,'2021'!R$2,Tabla1[ANY],'2021'!$Z$2)-SUMIFS('Registre de reserves'!$U$2:$U$1178,'Registre de reserves'!$T$2:$T$1178,"RESERVA",'Registre de reserves'!$I$2:$I$1178,'2021'!$A21,'Registre de reserves'!$B$2:$B$1178,'2021'!R$2,Tabla1[ANY],'2021'!$Z$2)</f>
        <v>0</v>
      </c>
      <c r="S21" s="21">
        <f t="shared" si="23"/>
        <v>0</v>
      </c>
      <c r="T21" s="20">
        <f>SUMIFS('Registre de reserves'!$P$2:$P$1178,'Registre de reserves'!$T$2:$T$1178,"NO",'Registre de reserves'!$I$2:$I$1178,'2021'!$A21,'Registre de reserves'!$B$2:$B$1178,'2021'!T$2,Tabla1[ANY],'2021'!$Z$2)+SUMIFS('Registre de reserves'!$P$2:$P$1178,'Registre de reserves'!$T$2:$T$1178,"RESERVA",'Registre de reserves'!$I$2:$I$1178,'2021'!$A21,'Registre de reserves'!$B$2:$B$1178,'2021'!T$2,Tabla1[ANY],'2021'!$Z$2)-SUMIFS('Registre de reserves'!$U$2:$U$1178,'Registre de reserves'!$T$2:$T$1178,"RESERVA",'Registre de reserves'!$I$2:$I$1178,'2021'!$A21,'Registre de reserves'!$B$2:$B$1178,'2021'!T$2,Tabla1[ANY],'2021'!$Z$2)</f>
        <v>0</v>
      </c>
      <c r="U21" s="21">
        <f t="shared" si="24"/>
        <v>0</v>
      </c>
      <c r="V21" s="20">
        <f>SUMIFS('Registre de reserves'!$P$2:$P$1178,'Registre de reserves'!$T$2:$T$1178,"NO",'Registre de reserves'!$I$2:$I$1178,'2021'!$A21,'Registre de reserves'!$B$2:$B$1178,'2021'!V$2,Tabla1[ANY],'2021'!$Z$2)+SUMIFS('Registre de reserves'!$P$2:$P$1178,'Registre de reserves'!$T$2:$T$1178,"RESERVA",'Registre de reserves'!$I$2:$I$1178,'2021'!$A21,'Registre de reserves'!$B$2:$B$1178,'2021'!V$2,Tabla1[ANY],'2021'!$Z$2)-SUMIFS('Registre de reserves'!$U$2:$U$1178,'Registre de reserves'!$T$2:$T$1178,"RESERVA",'Registre de reserves'!$I$2:$I$1178,'2021'!$A21,'Registre de reserves'!$B$2:$B$1178,'2021'!V$2,Tabla1[ANY],'2021'!$Z$2)</f>
        <v>0</v>
      </c>
      <c r="W21" s="21">
        <f t="shared" si="25"/>
        <v>0</v>
      </c>
      <c r="X21" s="20">
        <f>SUMIFS('Registre de reserves'!$P$2:$P$1178,'Registre de reserves'!$T$2:$T$1178,"NO",'Registre de reserves'!$I$2:$I$1178,'2021'!$A21,'Registre de reserves'!$B$2:$B$1178,'2021'!X$2,Tabla1[ANY],'2021'!$Z$2)+SUMIFS('Registre de reserves'!$P$2:$P$1178,'Registre de reserves'!$T$2:$T$1178,"RESERVA",'Registre de reserves'!$I$2:$I$1178,'2021'!$A21,'Registre de reserves'!$B$2:$B$1178,'2021'!X$2,Tabla1[ANY],'2021'!$Z$2)-SUMIFS('Registre de reserves'!$U$2:$U$1178,'Registre de reserves'!$T$2:$T$1178,"RESERVA",'Registre de reserves'!$I$2:$I$1178,'2021'!$A21,'Registre de reserves'!$B$2:$B$1178,'2021'!X$2,Tabla1[ANY],'2021'!$Z$2)</f>
        <v>0</v>
      </c>
      <c r="Y21" s="21">
        <f t="shared" si="26"/>
        <v>0</v>
      </c>
      <c r="Z21" s="20">
        <f t="shared" si="27"/>
        <v>0</v>
      </c>
      <c r="AA21" s="21">
        <f t="shared" si="28"/>
        <v>0</v>
      </c>
    </row>
    <row r="22" spans="1:27" collapsed="1" x14ac:dyDescent="0.2">
      <c r="A22" s="33" t="s">
        <v>75</v>
      </c>
      <c r="B22" s="22">
        <f>SUM(B23:B30)</f>
        <v>0</v>
      </c>
      <c r="C22" s="19">
        <f>IF(B$3=0,0,B22/B$3)</f>
        <v>0</v>
      </c>
      <c r="D22" s="22">
        <f>SUM(D23:D30)</f>
        <v>0</v>
      </c>
      <c r="E22" s="19">
        <f>IF(D$3=0,0,D22/D$3)</f>
        <v>0</v>
      </c>
      <c r="F22" s="22">
        <f>SUM(F23:F30)</f>
        <v>0</v>
      </c>
      <c r="G22" s="19">
        <f>IF(F$3=0,0,F22/F$3)</f>
        <v>0</v>
      </c>
      <c r="H22" s="22">
        <f>SUM(H23:H30)</f>
        <v>0</v>
      </c>
      <c r="I22" s="19">
        <f>IF(H$3=0,0,H22/H$3)</f>
        <v>0</v>
      </c>
      <c r="J22" s="22">
        <f>SUM(J23:J30)</f>
        <v>15</v>
      </c>
      <c r="K22" s="19">
        <f>IF(J$3=0,0,J22/J$3)</f>
        <v>1.0379689024516825E-2</v>
      </c>
      <c r="L22" s="22">
        <f>SUM(L23:L30)</f>
        <v>175</v>
      </c>
      <c r="M22" s="19">
        <f>IF(L$3=0,0,L22/L$3)</f>
        <v>8.2659071478841634E-2</v>
      </c>
      <c r="N22" s="22">
        <f>SUM(N23:N30)</f>
        <v>0</v>
      </c>
      <c r="O22" s="19">
        <f>IF(N$3=0,0,N22/N$3)</f>
        <v>0</v>
      </c>
      <c r="P22" s="22">
        <f>SUM(P23:P30)</f>
        <v>0</v>
      </c>
      <c r="Q22" s="19">
        <f>IF(P$3=0,0,P22/P$3)</f>
        <v>0</v>
      </c>
      <c r="R22" s="22">
        <f>SUM(R23:R30)</f>
        <v>0</v>
      </c>
      <c r="S22" s="19">
        <f>IF(R$3=0,0,R22/R$3)</f>
        <v>0</v>
      </c>
      <c r="T22" s="22">
        <f>SUM(T23:T30)</f>
        <v>170</v>
      </c>
      <c r="U22" s="19">
        <f>IF(T$3=0,0,T22/T$3)</f>
        <v>6.8686868686868685E-2</v>
      </c>
      <c r="V22" s="22">
        <f>SUM(V23:V30)</f>
        <v>105</v>
      </c>
      <c r="W22" s="19">
        <f>IF(V$3=0,0,V22/V$3)</f>
        <v>4.8951048951048952E-2</v>
      </c>
      <c r="X22" s="22">
        <f>SUM(X23:X30)</f>
        <v>200</v>
      </c>
      <c r="Y22" s="19">
        <f>IF(X$3=0,0,X22/X$3)</f>
        <v>6.1349693251533742E-2</v>
      </c>
      <c r="Z22" s="22">
        <f>SUM(Z23:Z30)</f>
        <v>665</v>
      </c>
      <c r="AA22" s="19">
        <f>IF(Z$3=0,0,Z22/Z$3)</f>
        <v>3.502569780143959E-2</v>
      </c>
    </row>
    <row r="23" spans="1:27" hidden="1" outlineLevel="1" x14ac:dyDescent="0.2">
      <c r="A23" s="8" t="s">
        <v>67</v>
      </c>
      <c r="B23" s="23">
        <f>SUMIFS('Registre de reserves'!$R$2:$R$1178,'Registre de reserves'!$T$2:$T$1178,"SI",'Registre de reserves'!$I$2:$I$1178,'2021'!$A23,'Registre de reserves'!$B$2:$B$1178,'2021'!B$2,Tabla1[ANY],'2021'!$Z$2)</f>
        <v>0</v>
      </c>
      <c r="C23" s="21">
        <f>IF(B$22=0,0,B23/B$22)</f>
        <v>0</v>
      </c>
      <c r="D23" s="23">
        <f>SUMIFS('Registre de reserves'!$R$2:$R$1178,'Registre de reserves'!$T$2:$T$1178,"SI",'Registre de reserves'!$I$2:$I$1178,'2021'!$A23,'Registre de reserves'!$B$2:$B$1178,'2021'!D$2,Tabla1[ANY],'2021'!$Z$2)</f>
        <v>0</v>
      </c>
      <c r="E23" s="21">
        <f>IF(D$22=0,0,D23/D$22)</f>
        <v>0</v>
      </c>
      <c r="F23" s="23">
        <f>SUMIFS('Registre de reserves'!$R$2:$R$1178,'Registre de reserves'!$T$2:$T$1178,"SI",'Registre de reserves'!$I$2:$I$1178,'2021'!$A23,'Registre de reserves'!$B$2:$B$1178,'2021'!F$2,Tabla1[ANY],'2021'!$Z$2)</f>
        <v>0</v>
      </c>
      <c r="G23" s="21">
        <f t="shared" ref="G23:G30" si="29">IF(F$22=0,0,F23/F$22)</f>
        <v>0</v>
      </c>
      <c r="H23" s="23">
        <f>SUMIFS('Registre de reserves'!$R$2:$R$1178,'Registre de reserves'!$T$2:$T$1178,"SI",'Registre de reserves'!$I$2:$I$1178,'2021'!$A23,'Registre de reserves'!$B$2:$B$1178,'2021'!H$2,Tabla1[ANY],'2021'!$Z$2)</f>
        <v>0</v>
      </c>
      <c r="I23" s="21">
        <f t="shared" ref="I23:I30" si="30">IF(H$22=0,0,H23/H$22)</f>
        <v>0</v>
      </c>
      <c r="J23" s="23">
        <f>SUMIFS('Registre de reserves'!$R$2:$R$1178,'Registre de reserves'!$T$2:$T$1178,"SI",'Registre de reserves'!$I$2:$I$1178,'2021'!$A23,'Registre de reserves'!$B$2:$B$1178,'2021'!J$2,Tabla1[ANY],'2021'!$Z$2)</f>
        <v>0</v>
      </c>
      <c r="K23" s="21">
        <f t="shared" ref="K23:K30" si="31">IF(J$22=0,0,J23/J$22)</f>
        <v>0</v>
      </c>
      <c r="L23" s="23">
        <f>SUMIFS('Registre de reserves'!$R$2:$R$1178,'Registre de reserves'!$T$2:$T$1178,"SI",'Registre de reserves'!$I$2:$I$1178,'2021'!$A23,'Registre de reserves'!$B$2:$B$1178,'2021'!L$2,Tabla1[ANY],'2021'!$Z$2)</f>
        <v>0</v>
      </c>
      <c r="M23" s="21">
        <f t="shared" ref="M23:M30" si="32">IF(L$22=0,0,L23/L$22)</f>
        <v>0</v>
      </c>
      <c r="N23" s="23">
        <f>SUMIFS('Registre de reserves'!$R$2:$R$1178,'Registre de reserves'!$T$2:$T$1178,"SI",'Registre de reserves'!$I$2:$I$1178,'2021'!$A23,'Registre de reserves'!$B$2:$B$1178,'2021'!N$2,Tabla1[ANY],'2021'!$Z$2)</f>
        <v>0</v>
      </c>
      <c r="O23" s="21">
        <f t="shared" ref="O23:O30" si="33">IF(N$22=0,0,N23/N$22)</f>
        <v>0</v>
      </c>
      <c r="P23" s="23">
        <f>SUMIFS('Registre de reserves'!$R$2:$R$1178,'Registre de reserves'!$T$2:$T$1178,"SI",'Registre de reserves'!$I$2:$I$1178,'2021'!$A23,'Registre de reserves'!$B$2:$B$1178,'2021'!P$2,Tabla1[ANY],'2021'!$Z$2)</f>
        <v>0</v>
      </c>
      <c r="Q23" s="21">
        <f t="shared" ref="Q23:Q30" si="34">IF(P$22=0,0,P23/P$22)</f>
        <v>0</v>
      </c>
      <c r="R23" s="23">
        <f>SUMIFS('Registre de reserves'!$R$2:$R$1178,'Registre de reserves'!$T$2:$T$1178,"SI",'Registre de reserves'!$I$2:$I$1178,'2021'!$A23,'Registre de reserves'!$B$2:$B$1178,'2021'!R$2,Tabla1[ANY],'2021'!$Z$2)</f>
        <v>0</v>
      </c>
      <c r="S23" s="21">
        <f t="shared" ref="S23:S30" si="35">IF(R$22=0,0,R23/R$22)</f>
        <v>0</v>
      </c>
      <c r="T23" s="23">
        <f>SUMIFS('Registre de reserves'!$R$2:$R$1178,'Registre de reserves'!$T$2:$T$1178,"SI",'Registre de reserves'!$I$2:$I$1178,'2021'!$A23,'Registre de reserves'!$B$2:$B$1178,'2021'!T$2,Tabla1[ANY],'2021'!$Z$2)</f>
        <v>0</v>
      </c>
      <c r="U23" s="21">
        <f t="shared" ref="U23:U30" si="36">IF(T$22=0,0,T23/T$22)</f>
        <v>0</v>
      </c>
      <c r="V23" s="23">
        <f>SUMIFS('Registre de reserves'!$R$2:$R$1178,'Registre de reserves'!$T$2:$T$1178,"SI",'Registre de reserves'!$I$2:$I$1178,'2021'!$A23,'Registre de reserves'!$B$2:$B$1178,'2021'!V$2,Tabla1[ANY],'2021'!$Z$2)</f>
        <v>0</v>
      </c>
      <c r="W23" s="21">
        <f t="shared" ref="W23:W30" si="37">IF(V$22=0,0,V23/V$22)</f>
        <v>0</v>
      </c>
      <c r="X23" s="23">
        <f>SUMIFS('Registre de reserves'!$R$2:$R$1178,'Registre de reserves'!$T$2:$T$1178,"SI",'Registre de reserves'!$I$2:$I$1178,'2021'!$A23,'Registre de reserves'!$B$2:$B$1178,'2021'!X$2,Tabla1[ANY],'2021'!$Z$2)</f>
        <v>0</v>
      </c>
      <c r="Y23" s="21">
        <f t="shared" ref="Y23:Y30" si="38">IF(X$22=0,0,X23/X$22)</f>
        <v>0</v>
      </c>
      <c r="Z23" s="20">
        <f>B23+D23+F23+H23+J23+L23+N23+P23+R23+T23+V23+X23</f>
        <v>0</v>
      </c>
      <c r="AA23" s="21">
        <f>IF(Z$22=0,0,Z23/Z$22)</f>
        <v>0</v>
      </c>
    </row>
    <row r="24" spans="1:27" hidden="1" outlineLevel="1" x14ac:dyDescent="0.2">
      <c r="A24" s="8" t="s">
        <v>68</v>
      </c>
      <c r="B24" s="23">
        <f>SUMIFS('Registre de reserves'!$R$2:$R$1178,'Registre de reserves'!$T$2:$T$1178,"SI",'Registre de reserves'!$I$2:$I$1178,'2021'!$A24,'Registre de reserves'!$B$2:$B$1178,'2021'!B$2,Tabla1[ANY],'2021'!$Z$2)</f>
        <v>0</v>
      </c>
      <c r="C24" s="21">
        <f t="shared" ref="C24:E30" si="39">IF(B$22=0,0,B24/B$22)</f>
        <v>0</v>
      </c>
      <c r="D24" s="23">
        <f>SUMIFS('Registre de reserves'!$R$2:$R$1178,'Registre de reserves'!$T$2:$T$1178,"SI",'Registre de reserves'!$I$2:$I$1178,'2021'!$A24,'Registre de reserves'!$B$2:$B$1178,'2021'!D$2,Tabla1[ANY],'2021'!$Z$2)</f>
        <v>0</v>
      </c>
      <c r="E24" s="21">
        <f t="shared" si="39"/>
        <v>0</v>
      </c>
      <c r="F24" s="23">
        <f>SUMIFS('Registre de reserves'!$R$2:$R$1178,'Registre de reserves'!$T$2:$T$1178,"SI",'Registre de reserves'!$I$2:$I$1178,'2021'!$A24,'Registre de reserves'!$B$2:$B$1178,'2021'!F$2,Tabla1[ANY],'2021'!$Z$2)</f>
        <v>0</v>
      </c>
      <c r="G24" s="21">
        <f t="shared" si="29"/>
        <v>0</v>
      </c>
      <c r="H24" s="23">
        <f>SUMIFS('Registre de reserves'!$R$2:$R$1178,'Registre de reserves'!$T$2:$T$1178,"SI",'Registre de reserves'!$I$2:$I$1178,'2021'!$A24,'Registre de reserves'!$B$2:$B$1178,'2021'!H$2,Tabla1[ANY],'2021'!$Z$2)</f>
        <v>0</v>
      </c>
      <c r="I24" s="21">
        <f t="shared" si="30"/>
        <v>0</v>
      </c>
      <c r="J24" s="23">
        <f>SUMIFS('Registre de reserves'!$R$2:$R$1178,'Registre de reserves'!$T$2:$T$1178,"SI",'Registre de reserves'!$I$2:$I$1178,'2021'!$A24,'Registre de reserves'!$B$2:$B$1178,'2021'!J$2,Tabla1[ANY],'2021'!$Z$2)</f>
        <v>15</v>
      </c>
      <c r="K24" s="21">
        <f t="shared" si="31"/>
        <v>1</v>
      </c>
      <c r="L24" s="23">
        <f>SUMIFS('Registre de reserves'!$R$2:$R$1178,'Registre de reserves'!$T$2:$T$1178,"SI",'Registre de reserves'!$I$2:$I$1178,'2021'!$A24,'Registre de reserves'!$B$2:$B$1178,'2021'!L$2,Tabla1[ANY],'2021'!$Z$2)</f>
        <v>10</v>
      </c>
      <c r="M24" s="21">
        <f t="shared" si="32"/>
        <v>5.7142857142857141E-2</v>
      </c>
      <c r="N24" s="23">
        <f>SUMIFS('Registre de reserves'!$R$2:$R$1178,'Registre de reserves'!$T$2:$T$1178,"SI",'Registre de reserves'!$I$2:$I$1178,'2021'!$A24,'Registre de reserves'!$B$2:$B$1178,'2021'!N$2,Tabla1[ANY],'2021'!$Z$2)</f>
        <v>0</v>
      </c>
      <c r="O24" s="21">
        <f t="shared" si="33"/>
        <v>0</v>
      </c>
      <c r="P24" s="23">
        <f>SUMIFS('Registre de reserves'!$R$2:$R$1178,'Registre de reserves'!$T$2:$T$1178,"SI",'Registre de reserves'!$I$2:$I$1178,'2021'!$A24,'Registre de reserves'!$B$2:$B$1178,'2021'!P$2,Tabla1[ANY],'2021'!$Z$2)</f>
        <v>0</v>
      </c>
      <c r="Q24" s="21">
        <f t="shared" si="34"/>
        <v>0</v>
      </c>
      <c r="R24" s="23">
        <f>SUMIFS('Registre de reserves'!$R$2:$R$1178,'Registre de reserves'!$T$2:$T$1178,"SI",'Registre de reserves'!$I$2:$I$1178,'2021'!$A24,'Registre de reserves'!$B$2:$B$1178,'2021'!R$2,Tabla1[ANY],'2021'!$Z$2)</f>
        <v>0</v>
      </c>
      <c r="S24" s="21">
        <f t="shared" si="35"/>
        <v>0</v>
      </c>
      <c r="T24" s="23">
        <f>SUMIFS('Registre de reserves'!$R$2:$R$1178,'Registre de reserves'!$T$2:$T$1178,"SI",'Registre de reserves'!$I$2:$I$1178,'2021'!$A24,'Registre de reserves'!$B$2:$B$1178,'2021'!T$2,Tabla1[ANY],'2021'!$Z$2)</f>
        <v>20</v>
      </c>
      <c r="U24" s="21">
        <f t="shared" si="36"/>
        <v>0.11764705882352941</v>
      </c>
      <c r="V24" s="23">
        <f>SUMIFS('Registre de reserves'!$R$2:$R$1178,'Registre de reserves'!$T$2:$T$1178,"SI",'Registre de reserves'!$I$2:$I$1178,'2021'!$A24,'Registre de reserves'!$B$2:$B$1178,'2021'!V$2,Tabla1[ANY],'2021'!$Z$2)</f>
        <v>0</v>
      </c>
      <c r="W24" s="21">
        <f t="shared" si="37"/>
        <v>0</v>
      </c>
      <c r="X24" s="23">
        <f>SUMIFS('Registre de reserves'!$R$2:$R$1178,'Registre de reserves'!$T$2:$T$1178,"SI",'Registre de reserves'!$I$2:$I$1178,'2021'!$A24,'Registre de reserves'!$B$2:$B$1178,'2021'!X$2,Tabla1[ANY],'2021'!$Z$2)</f>
        <v>5</v>
      </c>
      <c r="Y24" s="21">
        <f t="shared" si="38"/>
        <v>2.5000000000000001E-2</v>
      </c>
      <c r="Z24" s="20">
        <f t="shared" ref="Z24:Z30" si="40">B24+D24+F24+H24+J24+L24+N24+P24+R24+T24+V24+X24</f>
        <v>50</v>
      </c>
      <c r="AA24" s="21">
        <f t="shared" ref="AA24:AA30" si="41">IF(Z$22=0,0,Z24/Z$22)</f>
        <v>7.5187969924812026E-2</v>
      </c>
    </row>
    <row r="25" spans="1:27" hidden="1" outlineLevel="1" x14ac:dyDescent="0.2">
      <c r="A25" s="8" t="s">
        <v>4</v>
      </c>
      <c r="B25" s="23">
        <f>SUMIFS('Registre de reserves'!$R$2:$R$1178,'Registre de reserves'!$T$2:$T$1178,"SI",'Registre de reserves'!$I$2:$I$1178,'2021'!$A25,'Registre de reserves'!$B$2:$B$1178,'2021'!B$2,Tabla1[ANY],'2021'!$Z$2)</f>
        <v>0</v>
      </c>
      <c r="C25" s="21">
        <f t="shared" si="39"/>
        <v>0</v>
      </c>
      <c r="D25" s="23">
        <f>SUMIFS('Registre de reserves'!$R$2:$R$1178,'Registre de reserves'!$T$2:$T$1178,"SI",'Registre de reserves'!$I$2:$I$1178,'2021'!$A25,'Registre de reserves'!$B$2:$B$1178,'2021'!D$2,Tabla1[ANY],'2021'!$Z$2)</f>
        <v>0</v>
      </c>
      <c r="E25" s="21">
        <f t="shared" si="39"/>
        <v>0</v>
      </c>
      <c r="F25" s="23">
        <f>SUMIFS('Registre de reserves'!$R$2:$R$1178,'Registre de reserves'!$T$2:$T$1178,"SI",'Registre de reserves'!$I$2:$I$1178,'2021'!$A25,'Registre de reserves'!$B$2:$B$1178,'2021'!F$2,Tabla1[ANY],'2021'!$Z$2)</f>
        <v>0</v>
      </c>
      <c r="G25" s="21">
        <f t="shared" si="29"/>
        <v>0</v>
      </c>
      <c r="H25" s="23">
        <f>SUMIFS('Registre de reserves'!$R$2:$R$1178,'Registre de reserves'!$T$2:$T$1178,"SI",'Registre de reserves'!$I$2:$I$1178,'2021'!$A25,'Registre de reserves'!$B$2:$B$1178,'2021'!H$2,Tabla1[ANY],'2021'!$Z$2)</f>
        <v>0</v>
      </c>
      <c r="I25" s="21">
        <f t="shared" si="30"/>
        <v>0</v>
      </c>
      <c r="J25" s="23">
        <f>SUMIFS('Registre de reserves'!$R$2:$R$1178,'Registre de reserves'!$T$2:$T$1178,"SI",'Registre de reserves'!$I$2:$I$1178,'2021'!$A25,'Registre de reserves'!$B$2:$B$1178,'2021'!J$2,Tabla1[ANY],'2021'!$Z$2)</f>
        <v>0</v>
      </c>
      <c r="K25" s="21">
        <f t="shared" si="31"/>
        <v>0</v>
      </c>
      <c r="L25" s="23">
        <f>SUMIFS('Registre de reserves'!$R$2:$R$1178,'Registre de reserves'!$T$2:$T$1178,"SI",'Registre de reserves'!$I$2:$I$1178,'2021'!$A25,'Registre de reserves'!$B$2:$B$1178,'2021'!L$2,Tabla1[ANY],'2021'!$Z$2)</f>
        <v>85</v>
      </c>
      <c r="M25" s="21">
        <f t="shared" si="32"/>
        <v>0.48571428571428571</v>
      </c>
      <c r="N25" s="23">
        <f>SUMIFS('Registre de reserves'!$R$2:$R$1178,'Registre de reserves'!$T$2:$T$1178,"SI",'Registre de reserves'!$I$2:$I$1178,'2021'!$A25,'Registre de reserves'!$B$2:$B$1178,'2021'!N$2,Tabla1[ANY],'2021'!$Z$2)</f>
        <v>0</v>
      </c>
      <c r="O25" s="21">
        <f t="shared" si="33"/>
        <v>0</v>
      </c>
      <c r="P25" s="23">
        <f>SUMIFS('Registre de reserves'!$R$2:$R$1178,'Registre de reserves'!$T$2:$T$1178,"SI",'Registre de reserves'!$I$2:$I$1178,'2021'!$A25,'Registre de reserves'!$B$2:$B$1178,'2021'!P$2,Tabla1[ANY],'2021'!$Z$2)</f>
        <v>0</v>
      </c>
      <c r="Q25" s="21">
        <f t="shared" si="34"/>
        <v>0</v>
      </c>
      <c r="R25" s="23">
        <f>SUMIFS('Registre de reserves'!$R$2:$R$1178,'Registre de reserves'!$T$2:$T$1178,"SI",'Registre de reserves'!$I$2:$I$1178,'2021'!$A25,'Registre de reserves'!$B$2:$B$1178,'2021'!R$2,Tabla1[ANY],'2021'!$Z$2)</f>
        <v>0</v>
      </c>
      <c r="S25" s="21">
        <f t="shared" si="35"/>
        <v>0</v>
      </c>
      <c r="T25" s="23">
        <f>SUMIFS('Registre de reserves'!$R$2:$R$1178,'Registre de reserves'!$T$2:$T$1178,"SI",'Registre de reserves'!$I$2:$I$1178,'2021'!$A25,'Registre de reserves'!$B$2:$B$1178,'2021'!T$2,Tabla1[ANY],'2021'!$Z$2)</f>
        <v>0</v>
      </c>
      <c r="U25" s="21">
        <f t="shared" si="36"/>
        <v>0</v>
      </c>
      <c r="V25" s="23">
        <f>SUMIFS('Registre de reserves'!$R$2:$R$1178,'Registre de reserves'!$T$2:$T$1178,"SI",'Registre de reserves'!$I$2:$I$1178,'2021'!$A25,'Registre de reserves'!$B$2:$B$1178,'2021'!V$2,Tabla1[ANY],'2021'!$Z$2)</f>
        <v>0</v>
      </c>
      <c r="W25" s="21">
        <f t="shared" si="37"/>
        <v>0</v>
      </c>
      <c r="X25" s="23">
        <f>SUMIFS('Registre de reserves'!$R$2:$R$1178,'Registre de reserves'!$T$2:$T$1178,"SI",'Registre de reserves'!$I$2:$I$1178,'2021'!$A25,'Registre de reserves'!$B$2:$B$1178,'2021'!X$2,Tabla1[ANY],'2021'!$Z$2)</f>
        <v>0</v>
      </c>
      <c r="Y25" s="21">
        <f t="shared" si="38"/>
        <v>0</v>
      </c>
      <c r="Z25" s="20">
        <f t="shared" si="40"/>
        <v>85</v>
      </c>
      <c r="AA25" s="21">
        <f t="shared" si="41"/>
        <v>0.12781954887218044</v>
      </c>
    </row>
    <row r="26" spans="1:27" hidden="1" outlineLevel="1" x14ac:dyDescent="0.2">
      <c r="A26" s="8" t="s">
        <v>71</v>
      </c>
      <c r="B26" s="23">
        <f>SUMIFS('Registre de reserves'!$R$2:$R$1178,'Registre de reserves'!$T$2:$T$1178,"SI",'Registre de reserves'!$I$2:$I$1178,'2021'!$A26,'Registre de reserves'!$B$2:$B$1178,'2021'!B$2,Tabla1[ANY],'2021'!$Z$2)</f>
        <v>0</v>
      </c>
      <c r="C26" s="21">
        <f t="shared" si="39"/>
        <v>0</v>
      </c>
      <c r="D26" s="23">
        <f>SUMIFS('Registre de reserves'!$R$2:$R$1178,'Registre de reserves'!$T$2:$T$1178,"SI",'Registre de reserves'!$I$2:$I$1178,'2021'!$A26,'Registre de reserves'!$B$2:$B$1178,'2021'!D$2,Tabla1[ANY],'2021'!$Z$2)</f>
        <v>0</v>
      </c>
      <c r="E26" s="21">
        <f t="shared" si="39"/>
        <v>0</v>
      </c>
      <c r="F26" s="23">
        <f>SUMIFS('Registre de reserves'!$R$2:$R$1178,'Registre de reserves'!$T$2:$T$1178,"SI",'Registre de reserves'!$I$2:$I$1178,'2021'!$A26,'Registre de reserves'!$B$2:$B$1178,'2021'!F$2,Tabla1[ANY],'2021'!$Z$2)</f>
        <v>0</v>
      </c>
      <c r="G26" s="21">
        <f t="shared" si="29"/>
        <v>0</v>
      </c>
      <c r="H26" s="23">
        <f>SUMIFS('Registre de reserves'!$R$2:$R$1178,'Registre de reserves'!$T$2:$T$1178,"SI",'Registre de reserves'!$I$2:$I$1178,'2021'!$A26,'Registre de reserves'!$B$2:$B$1178,'2021'!H$2,Tabla1[ANY],'2021'!$Z$2)</f>
        <v>0</v>
      </c>
      <c r="I26" s="21">
        <f t="shared" si="30"/>
        <v>0</v>
      </c>
      <c r="J26" s="23">
        <f>SUMIFS('Registre de reserves'!$R$2:$R$1178,'Registre de reserves'!$T$2:$T$1178,"SI",'Registre de reserves'!$I$2:$I$1178,'2021'!$A26,'Registre de reserves'!$B$2:$B$1178,'2021'!J$2,Tabla1[ANY],'2021'!$Z$2)</f>
        <v>0</v>
      </c>
      <c r="K26" s="21">
        <f t="shared" si="31"/>
        <v>0</v>
      </c>
      <c r="L26" s="23">
        <f>SUMIFS('Registre de reserves'!$R$2:$R$1178,'Registre de reserves'!$T$2:$T$1178,"SI",'Registre de reserves'!$I$2:$I$1178,'2021'!$A26,'Registre de reserves'!$B$2:$B$1178,'2021'!L$2,Tabla1[ANY],'2021'!$Z$2)</f>
        <v>0</v>
      </c>
      <c r="M26" s="21">
        <f t="shared" si="32"/>
        <v>0</v>
      </c>
      <c r="N26" s="23">
        <f>SUMIFS('Registre de reserves'!$R$2:$R$1178,'Registre de reserves'!$T$2:$T$1178,"SI",'Registre de reserves'!$I$2:$I$1178,'2021'!$A26,'Registre de reserves'!$B$2:$B$1178,'2021'!N$2,Tabla1[ANY],'2021'!$Z$2)</f>
        <v>0</v>
      </c>
      <c r="O26" s="21">
        <f t="shared" si="33"/>
        <v>0</v>
      </c>
      <c r="P26" s="23">
        <f>SUMIFS('Registre de reserves'!$R$2:$R$1178,'Registre de reserves'!$T$2:$T$1178,"SI",'Registre de reserves'!$I$2:$I$1178,'2021'!$A26,'Registre de reserves'!$B$2:$B$1178,'2021'!P$2,Tabla1[ANY],'2021'!$Z$2)</f>
        <v>0</v>
      </c>
      <c r="Q26" s="21">
        <f t="shared" si="34"/>
        <v>0</v>
      </c>
      <c r="R26" s="23">
        <f>SUMIFS('Registre de reserves'!$R$2:$R$1178,'Registre de reserves'!$T$2:$T$1178,"SI",'Registre de reserves'!$I$2:$I$1178,'2021'!$A26,'Registre de reserves'!$B$2:$B$1178,'2021'!R$2,Tabla1[ANY],'2021'!$Z$2)</f>
        <v>0</v>
      </c>
      <c r="S26" s="21">
        <f t="shared" si="35"/>
        <v>0</v>
      </c>
      <c r="T26" s="23">
        <f>SUMIFS('Registre de reserves'!$R$2:$R$1178,'Registre de reserves'!$T$2:$T$1178,"SI",'Registre de reserves'!$I$2:$I$1178,'2021'!$A26,'Registre de reserves'!$B$2:$B$1178,'2021'!T$2,Tabla1[ANY],'2021'!$Z$2)</f>
        <v>0</v>
      </c>
      <c r="U26" s="21">
        <f t="shared" si="36"/>
        <v>0</v>
      </c>
      <c r="V26" s="23">
        <f>SUMIFS('Registre de reserves'!$R$2:$R$1178,'Registre de reserves'!$T$2:$T$1178,"SI",'Registre de reserves'!$I$2:$I$1178,'2021'!$A26,'Registre de reserves'!$B$2:$B$1178,'2021'!V$2,Tabla1[ANY],'2021'!$Z$2)</f>
        <v>0</v>
      </c>
      <c r="W26" s="21">
        <f t="shared" si="37"/>
        <v>0</v>
      </c>
      <c r="X26" s="23">
        <f>SUMIFS('Registre de reserves'!$R$2:$R$1178,'Registre de reserves'!$T$2:$T$1178,"SI",'Registre de reserves'!$I$2:$I$1178,'2021'!$A26,'Registre de reserves'!$B$2:$B$1178,'2021'!X$2,Tabla1[ANY],'2021'!$Z$2)</f>
        <v>20</v>
      </c>
      <c r="Y26" s="21">
        <f t="shared" si="38"/>
        <v>0.1</v>
      </c>
      <c r="Z26" s="20">
        <f t="shared" si="40"/>
        <v>20</v>
      </c>
      <c r="AA26" s="21">
        <f t="shared" si="41"/>
        <v>3.007518796992481E-2</v>
      </c>
    </row>
    <row r="27" spans="1:27" hidden="1" outlineLevel="1" x14ac:dyDescent="0.2">
      <c r="A27" s="8" t="s">
        <v>72</v>
      </c>
      <c r="B27" s="23">
        <f>SUMIFS('Registre de reserves'!$R$2:$R$1178,'Registre de reserves'!$T$2:$T$1178,"SI",'Registre de reserves'!$I$2:$I$1178,'2021'!$A27,'Registre de reserves'!$B$2:$B$1178,'2021'!B$2,Tabla1[ANY],'2021'!$Z$2)</f>
        <v>0</v>
      </c>
      <c r="C27" s="21">
        <f t="shared" si="39"/>
        <v>0</v>
      </c>
      <c r="D27" s="23">
        <f>SUMIFS('Registre de reserves'!$R$2:$R$1178,'Registre de reserves'!$T$2:$T$1178,"SI",'Registre de reserves'!$I$2:$I$1178,'2021'!$A27,'Registre de reserves'!$B$2:$B$1178,'2021'!D$2,Tabla1[ANY],'2021'!$Z$2)</f>
        <v>0</v>
      </c>
      <c r="E27" s="21">
        <f t="shared" si="39"/>
        <v>0</v>
      </c>
      <c r="F27" s="23">
        <f>SUMIFS('Registre de reserves'!$R$2:$R$1178,'Registre de reserves'!$T$2:$T$1178,"SI",'Registre de reserves'!$I$2:$I$1178,'2021'!$A27,'Registre de reserves'!$B$2:$B$1178,'2021'!F$2,Tabla1[ANY],'2021'!$Z$2)</f>
        <v>0</v>
      </c>
      <c r="G27" s="21">
        <f t="shared" si="29"/>
        <v>0</v>
      </c>
      <c r="H27" s="23">
        <f>SUMIFS('Registre de reserves'!$R$2:$R$1178,'Registre de reserves'!$T$2:$T$1178,"SI",'Registre de reserves'!$I$2:$I$1178,'2021'!$A27,'Registre de reserves'!$B$2:$B$1178,'2021'!H$2,Tabla1[ANY],'2021'!$Z$2)</f>
        <v>0</v>
      </c>
      <c r="I27" s="21">
        <f t="shared" si="30"/>
        <v>0</v>
      </c>
      <c r="J27" s="23">
        <f>SUMIFS('Registre de reserves'!$R$2:$R$1178,'Registre de reserves'!$T$2:$T$1178,"SI",'Registre de reserves'!$I$2:$I$1178,'2021'!$A27,'Registre de reserves'!$B$2:$B$1178,'2021'!J$2,Tabla1[ANY],'2021'!$Z$2)</f>
        <v>0</v>
      </c>
      <c r="K27" s="21">
        <f t="shared" si="31"/>
        <v>0</v>
      </c>
      <c r="L27" s="23">
        <f>SUMIFS('Registre de reserves'!$R$2:$R$1178,'Registre de reserves'!$T$2:$T$1178,"SI",'Registre de reserves'!$I$2:$I$1178,'2021'!$A27,'Registre de reserves'!$B$2:$B$1178,'2021'!L$2,Tabla1[ANY],'2021'!$Z$2)</f>
        <v>0</v>
      </c>
      <c r="M27" s="21">
        <f t="shared" si="32"/>
        <v>0</v>
      </c>
      <c r="N27" s="23">
        <f>SUMIFS('Registre de reserves'!$R$2:$R$1178,'Registre de reserves'!$T$2:$T$1178,"SI",'Registre de reserves'!$I$2:$I$1178,'2021'!$A27,'Registre de reserves'!$B$2:$B$1178,'2021'!N$2,Tabla1[ANY],'2021'!$Z$2)</f>
        <v>0</v>
      </c>
      <c r="O27" s="21">
        <f t="shared" si="33"/>
        <v>0</v>
      </c>
      <c r="P27" s="23">
        <f>SUMIFS('Registre de reserves'!$R$2:$R$1178,'Registre de reserves'!$T$2:$T$1178,"SI",'Registre de reserves'!$I$2:$I$1178,'2021'!$A27,'Registre de reserves'!$B$2:$B$1178,'2021'!P$2,Tabla1[ANY],'2021'!$Z$2)</f>
        <v>0</v>
      </c>
      <c r="Q27" s="21">
        <f t="shared" si="34"/>
        <v>0</v>
      </c>
      <c r="R27" s="23">
        <f>SUMIFS('Registre de reserves'!$R$2:$R$1178,'Registre de reserves'!$T$2:$T$1178,"SI",'Registre de reserves'!$I$2:$I$1178,'2021'!$A27,'Registre de reserves'!$B$2:$B$1178,'2021'!R$2,Tabla1[ANY],'2021'!$Z$2)</f>
        <v>0</v>
      </c>
      <c r="S27" s="21">
        <f t="shared" si="35"/>
        <v>0</v>
      </c>
      <c r="T27" s="23">
        <f>SUMIFS('Registre de reserves'!$R$2:$R$1178,'Registre de reserves'!$T$2:$T$1178,"SI",'Registre de reserves'!$I$2:$I$1178,'2021'!$A27,'Registre de reserves'!$B$2:$B$1178,'2021'!T$2,Tabla1[ANY],'2021'!$Z$2)</f>
        <v>0</v>
      </c>
      <c r="U27" s="21">
        <f t="shared" si="36"/>
        <v>0</v>
      </c>
      <c r="V27" s="23">
        <f>SUMIFS('Registre de reserves'!$R$2:$R$1178,'Registre de reserves'!$T$2:$T$1178,"SI",'Registre de reserves'!$I$2:$I$1178,'2021'!$A27,'Registre de reserves'!$B$2:$B$1178,'2021'!V$2,Tabla1[ANY],'2021'!$Z$2)</f>
        <v>0</v>
      </c>
      <c r="W27" s="21">
        <f t="shared" si="37"/>
        <v>0</v>
      </c>
      <c r="X27" s="23">
        <f>SUMIFS('Registre de reserves'!$R$2:$R$1178,'Registre de reserves'!$T$2:$T$1178,"SI",'Registre de reserves'!$I$2:$I$1178,'2021'!$A27,'Registre de reserves'!$B$2:$B$1178,'2021'!X$2,Tabla1[ANY],'2021'!$Z$2)</f>
        <v>0</v>
      </c>
      <c r="Y27" s="21">
        <f t="shared" si="38"/>
        <v>0</v>
      </c>
      <c r="Z27" s="20">
        <f t="shared" si="40"/>
        <v>0</v>
      </c>
      <c r="AA27" s="21">
        <f t="shared" si="41"/>
        <v>0</v>
      </c>
    </row>
    <row r="28" spans="1:27" hidden="1" outlineLevel="1" x14ac:dyDescent="0.2">
      <c r="A28" s="8" t="s">
        <v>69</v>
      </c>
      <c r="B28" s="23">
        <f>SUMIFS('Registre de reserves'!$R$2:$R$1178,'Registre de reserves'!$T$2:$T$1178,"SI",'Registre de reserves'!$I$2:$I$1178,'2021'!$A28,'Registre de reserves'!$B$2:$B$1178,'2021'!B$2,Tabla1[ANY],'2021'!$Z$2)</f>
        <v>0</v>
      </c>
      <c r="C28" s="21">
        <f t="shared" si="39"/>
        <v>0</v>
      </c>
      <c r="D28" s="23">
        <f>SUMIFS('Registre de reserves'!$R$2:$R$1178,'Registre de reserves'!$T$2:$T$1178,"SI",'Registre de reserves'!$I$2:$I$1178,'2021'!$A28,'Registre de reserves'!$B$2:$B$1178,'2021'!D$2,Tabla1[ANY],'2021'!$Z$2)</f>
        <v>0</v>
      </c>
      <c r="E28" s="21">
        <f t="shared" si="39"/>
        <v>0</v>
      </c>
      <c r="F28" s="23">
        <f>SUMIFS('Registre de reserves'!$R$2:$R$1178,'Registre de reserves'!$T$2:$T$1178,"SI",'Registre de reserves'!$I$2:$I$1178,'2021'!$A28,'Registre de reserves'!$B$2:$B$1178,'2021'!F$2,Tabla1[ANY],'2021'!$Z$2)</f>
        <v>0</v>
      </c>
      <c r="G28" s="21">
        <f t="shared" si="29"/>
        <v>0</v>
      </c>
      <c r="H28" s="23">
        <f>SUMIFS('Registre de reserves'!$R$2:$R$1178,'Registre de reserves'!$T$2:$T$1178,"SI",'Registre de reserves'!$I$2:$I$1178,'2021'!$A28,'Registre de reserves'!$B$2:$B$1178,'2021'!H$2,Tabla1[ANY],'2021'!$Z$2)</f>
        <v>0</v>
      </c>
      <c r="I28" s="21">
        <f t="shared" si="30"/>
        <v>0</v>
      </c>
      <c r="J28" s="23">
        <f>SUMIFS('Registre de reserves'!$R$2:$R$1178,'Registre de reserves'!$T$2:$T$1178,"SI",'Registre de reserves'!$I$2:$I$1178,'2021'!$A28,'Registre de reserves'!$B$2:$B$1178,'2021'!J$2,Tabla1[ANY],'2021'!$Z$2)</f>
        <v>0</v>
      </c>
      <c r="K28" s="21">
        <f t="shared" si="31"/>
        <v>0</v>
      </c>
      <c r="L28" s="23">
        <f>SUMIFS('Registre de reserves'!$R$2:$R$1178,'Registre de reserves'!$T$2:$T$1178,"SI",'Registre de reserves'!$I$2:$I$1178,'2021'!$A28,'Registre de reserves'!$B$2:$B$1178,'2021'!L$2,Tabla1[ANY],'2021'!$Z$2)</f>
        <v>80</v>
      </c>
      <c r="M28" s="21">
        <f t="shared" si="32"/>
        <v>0.45714285714285713</v>
      </c>
      <c r="N28" s="23">
        <f>SUMIFS('Registre de reserves'!$R$2:$R$1178,'Registre de reserves'!$T$2:$T$1178,"SI",'Registre de reserves'!$I$2:$I$1178,'2021'!$A28,'Registre de reserves'!$B$2:$B$1178,'2021'!N$2,Tabla1[ANY],'2021'!$Z$2)</f>
        <v>0</v>
      </c>
      <c r="O28" s="21">
        <f t="shared" si="33"/>
        <v>0</v>
      </c>
      <c r="P28" s="23">
        <f>SUMIFS('Registre de reserves'!$R$2:$R$1178,'Registre de reserves'!$T$2:$T$1178,"SI",'Registre de reserves'!$I$2:$I$1178,'2021'!$A28,'Registre de reserves'!$B$2:$B$1178,'2021'!P$2,Tabla1[ANY],'2021'!$Z$2)</f>
        <v>0</v>
      </c>
      <c r="Q28" s="21">
        <f t="shared" si="34"/>
        <v>0</v>
      </c>
      <c r="R28" s="23">
        <f>SUMIFS('Registre de reserves'!$R$2:$R$1178,'Registre de reserves'!$T$2:$T$1178,"SI",'Registre de reserves'!$I$2:$I$1178,'2021'!$A28,'Registre de reserves'!$B$2:$B$1178,'2021'!R$2,Tabla1[ANY],'2021'!$Z$2)</f>
        <v>0</v>
      </c>
      <c r="S28" s="21">
        <f t="shared" si="35"/>
        <v>0</v>
      </c>
      <c r="T28" s="23">
        <f>SUMIFS('Registre de reserves'!$R$2:$R$1178,'Registre de reserves'!$T$2:$T$1178,"SI",'Registre de reserves'!$I$2:$I$1178,'2021'!$A28,'Registre de reserves'!$B$2:$B$1178,'2021'!T$2,Tabla1[ANY],'2021'!$Z$2)</f>
        <v>150</v>
      </c>
      <c r="U28" s="21">
        <f t="shared" si="36"/>
        <v>0.88235294117647056</v>
      </c>
      <c r="V28" s="23">
        <f>SUMIFS('Registre de reserves'!$R$2:$R$1178,'Registre de reserves'!$T$2:$T$1178,"SI",'Registre de reserves'!$I$2:$I$1178,'2021'!$A28,'Registre de reserves'!$B$2:$B$1178,'2021'!V$2,Tabla1[ANY],'2021'!$Z$2)</f>
        <v>105</v>
      </c>
      <c r="W28" s="21">
        <f t="shared" si="37"/>
        <v>1</v>
      </c>
      <c r="X28" s="23">
        <f>SUMIFS('Registre de reserves'!$R$2:$R$1178,'Registre de reserves'!$T$2:$T$1178,"SI",'Registre de reserves'!$I$2:$I$1178,'2021'!$A28,'Registre de reserves'!$B$2:$B$1178,'2021'!X$2,Tabla1[ANY],'2021'!$Z$2)</f>
        <v>175</v>
      </c>
      <c r="Y28" s="21">
        <f t="shared" si="38"/>
        <v>0.875</v>
      </c>
      <c r="Z28" s="20">
        <f t="shared" si="40"/>
        <v>510</v>
      </c>
      <c r="AA28" s="21">
        <f t="shared" si="41"/>
        <v>0.76691729323308266</v>
      </c>
    </row>
    <row r="29" spans="1:27" hidden="1" outlineLevel="1" x14ac:dyDescent="0.2">
      <c r="A29" s="8" t="s">
        <v>70</v>
      </c>
      <c r="B29" s="23">
        <f>SUMIFS('Registre de reserves'!$R$2:$R$1178,'Registre de reserves'!$T$2:$T$1178,"SI",'Registre de reserves'!$I$2:$I$1178,'2021'!$A29,'Registre de reserves'!$B$2:$B$1178,'2021'!B$2,Tabla1[ANY],'2021'!$Z$2)</f>
        <v>0</v>
      </c>
      <c r="C29" s="21">
        <f t="shared" si="39"/>
        <v>0</v>
      </c>
      <c r="D29" s="23">
        <f>SUMIFS('Registre de reserves'!$R$2:$R$1178,'Registre de reserves'!$T$2:$T$1178,"SI",'Registre de reserves'!$I$2:$I$1178,'2021'!$A29,'Registre de reserves'!$B$2:$B$1178,'2021'!D$2,Tabla1[ANY],'2021'!$Z$2)</f>
        <v>0</v>
      </c>
      <c r="E29" s="21">
        <f t="shared" si="39"/>
        <v>0</v>
      </c>
      <c r="F29" s="23">
        <f>SUMIFS('Registre de reserves'!$R$2:$R$1178,'Registre de reserves'!$T$2:$T$1178,"SI",'Registre de reserves'!$I$2:$I$1178,'2021'!$A29,'Registre de reserves'!$B$2:$B$1178,'2021'!F$2,Tabla1[ANY],'2021'!$Z$2)</f>
        <v>0</v>
      </c>
      <c r="G29" s="21">
        <f t="shared" si="29"/>
        <v>0</v>
      </c>
      <c r="H29" s="23">
        <f>SUMIFS('Registre de reserves'!$R$2:$R$1178,'Registre de reserves'!$T$2:$T$1178,"SI",'Registre de reserves'!$I$2:$I$1178,'2021'!$A29,'Registre de reserves'!$B$2:$B$1178,'2021'!H$2,Tabla1[ANY],'2021'!$Z$2)</f>
        <v>0</v>
      </c>
      <c r="I29" s="21">
        <f t="shared" si="30"/>
        <v>0</v>
      </c>
      <c r="J29" s="23">
        <f>SUMIFS('Registre de reserves'!$R$2:$R$1178,'Registre de reserves'!$T$2:$T$1178,"SI",'Registre de reserves'!$I$2:$I$1178,'2021'!$A29,'Registre de reserves'!$B$2:$B$1178,'2021'!J$2,Tabla1[ANY],'2021'!$Z$2)</f>
        <v>0</v>
      </c>
      <c r="K29" s="21">
        <f t="shared" si="31"/>
        <v>0</v>
      </c>
      <c r="L29" s="23">
        <f>SUMIFS('Registre de reserves'!$R$2:$R$1178,'Registre de reserves'!$T$2:$T$1178,"SI",'Registre de reserves'!$I$2:$I$1178,'2021'!$A29,'Registre de reserves'!$B$2:$B$1178,'2021'!L$2,Tabla1[ANY],'2021'!$Z$2)</f>
        <v>0</v>
      </c>
      <c r="M29" s="21">
        <f t="shared" si="32"/>
        <v>0</v>
      </c>
      <c r="N29" s="23">
        <f>SUMIFS('Registre de reserves'!$R$2:$R$1178,'Registre de reserves'!$T$2:$T$1178,"SI",'Registre de reserves'!$I$2:$I$1178,'2021'!$A29,'Registre de reserves'!$B$2:$B$1178,'2021'!N$2,Tabla1[ANY],'2021'!$Z$2)</f>
        <v>0</v>
      </c>
      <c r="O29" s="21">
        <f t="shared" si="33"/>
        <v>0</v>
      </c>
      <c r="P29" s="23">
        <f>SUMIFS('Registre de reserves'!$R$2:$R$1178,'Registre de reserves'!$T$2:$T$1178,"SI",'Registre de reserves'!$I$2:$I$1178,'2021'!$A29,'Registre de reserves'!$B$2:$B$1178,'2021'!P$2,Tabla1[ANY],'2021'!$Z$2)</f>
        <v>0</v>
      </c>
      <c r="Q29" s="21">
        <f t="shared" si="34"/>
        <v>0</v>
      </c>
      <c r="R29" s="23">
        <f>SUMIFS('Registre de reserves'!$R$2:$R$1178,'Registre de reserves'!$T$2:$T$1178,"SI",'Registre de reserves'!$I$2:$I$1178,'2021'!$A29,'Registre de reserves'!$B$2:$B$1178,'2021'!R$2,Tabla1[ANY],'2021'!$Z$2)</f>
        <v>0</v>
      </c>
      <c r="S29" s="21">
        <f t="shared" si="35"/>
        <v>0</v>
      </c>
      <c r="T29" s="23">
        <f>SUMIFS('Registre de reserves'!$R$2:$R$1178,'Registre de reserves'!$T$2:$T$1178,"SI",'Registre de reserves'!$I$2:$I$1178,'2021'!$A29,'Registre de reserves'!$B$2:$B$1178,'2021'!T$2,Tabla1[ANY],'2021'!$Z$2)</f>
        <v>0</v>
      </c>
      <c r="U29" s="21">
        <f t="shared" si="36"/>
        <v>0</v>
      </c>
      <c r="V29" s="23">
        <f>SUMIFS('Registre de reserves'!$R$2:$R$1178,'Registre de reserves'!$T$2:$T$1178,"SI",'Registre de reserves'!$I$2:$I$1178,'2021'!$A29,'Registre de reserves'!$B$2:$B$1178,'2021'!V$2,Tabla1[ANY],'2021'!$Z$2)</f>
        <v>0</v>
      </c>
      <c r="W29" s="21">
        <f t="shared" si="37"/>
        <v>0</v>
      </c>
      <c r="X29" s="23">
        <f>SUMIFS('Registre de reserves'!$R$2:$R$1178,'Registre de reserves'!$T$2:$T$1178,"SI",'Registre de reserves'!$I$2:$I$1178,'2021'!$A29,'Registre de reserves'!$B$2:$B$1178,'2021'!X$2,Tabla1[ANY],'2021'!$Z$2)</f>
        <v>0</v>
      </c>
      <c r="Y29" s="21">
        <f t="shared" si="38"/>
        <v>0</v>
      </c>
      <c r="Z29" s="20">
        <f t="shared" si="40"/>
        <v>0</v>
      </c>
      <c r="AA29" s="21">
        <f t="shared" si="41"/>
        <v>0</v>
      </c>
    </row>
    <row r="30" spans="1:27" hidden="1" outlineLevel="1" x14ac:dyDescent="0.2">
      <c r="A30" s="8" t="s">
        <v>73</v>
      </c>
      <c r="B30" s="23">
        <f>SUMIFS('Registre de reserves'!$R$2:$R$1178,'Registre de reserves'!$T$2:$T$1178,"SI",'Registre de reserves'!$I$2:$I$1178,'2021'!$A30,'Registre de reserves'!$B$2:$B$1178,'2021'!B$2,Tabla1[ANY],'2021'!$Z$2)</f>
        <v>0</v>
      </c>
      <c r="C30" s="21">
        <f t="shared" si="39"/>
        <v>0</v>
      </c>
      <c r="D30" s="23">
        <f>SUMIFS('Registre de reserves'!$R$2:$R$1178,'Registre de reserves'!$T$2:$T$1178,"SI",'Registre de reserves'!$I$2:$I$1178,'2021'!$A30,'Registre de reserves'!$B$2:$B$1178,'2021'!D$2,Tabla1[ANY],'2021'!$Z$2)</f>
        <v>0</v>
      </c>
      <c r="E30" s="21">
        <f t="shared" si="39"/>
        <v>0</v>
      </c>
      <c r="F30" s="23">
        <f>SUMIFS('Registre de reserves'!$R$2:$R$1178,'Registre de reserves'!$T$2:$T$1178,"SI",'Registre de reserves'!$I$2:$I$1178,'2021'!$A30,'Registre de reserves'!$B$2:$B$1178,'2021'!F$2,Tabla1[ANY],'2021'!$Z$2)</f>
        <v>0</v>
      </c>
      <c r="G30" s="21">
        <f t="shared" si="29"/>
        <v>0</v>
      </c>
      <c r="H30" s="23">
        <f>SUMIFS('Registre de reserves'!$R$2:$R$1178,'Registre de reserves'!$T$2:$T$1178,"SI",'Registre de reserves'!$I$2:$I$1178,'2021'!$A30,'Registre de reserves'!$B$2:$B$1178,'2021'!H$2,Tabla1[ANY],'2021'!$Z$2)</f>
        <v>0</v>
      </c>
      <c r="I30" s="21">
        <f t="shared" si="30"/>
        <v>0</v>
      </c>
      <c r="J30" s="23">
        <f>SUMIFS('Registre de reserves'!$R$2:$R$1178,'Registre de reserves'!$T$2:$T$1178,"SI",'Registre de reserves'!$I$2:$I$1178,'2021'!$A30,'Registre de reserves'!$B$2:$B$1178,'2021'!J$2,Tabla1[ANY],'2021'!$Z$2)</f>
        <v>0</v>
      </c>
      <c r="K30" s="21">
        <f t="shared" si="31"/>
        <v>0</v>
      </c>
      <c r="L30" s="23">
        <f>SUMIFS('Registre de reserves'!$R$2:$R$1178,'Registre de reserves'!$T$2:$T$1178,"SI",'Registre de reserves'!$I$2:$I$1178,'2021'!$A30,'Registre de reserves'!$B$2:$B$1178,'2021'!L$2,Tabla1[ANY],'2021'!$Z$2)</f>
        <v>0</v>
      </c>
      <c r="M30" s="21">
        <f t="shared" si="32"/>
        <v>0</v>
      </c>
      <c r="N30" s="23">
        <f>SUMIFS('Registre de reserves'!$R$2:$R$1178,'Registre de reserves'!$T$2:$T$1178,"SI",'Registre de reserves'!$I$2:$I$1178,'2021'!$A30,'Registre de reserves'!$B$2:$B$1178,'2021'!N$2,Tabla1[ANY],'2021'!$Z$2)</f>
        <v>0</v>
      </c>
      <c r="O30" s="21">
        <f t="shared" si="33"/>
        <v>0</v>
      </c>
      <c r="P30" s="23">
        <f>SUMIFS('Registre de reserves'!$R$2:$R$1178,'Registre de reserves'!$T$2:$T$1178,"SI",'Registre de reserves'!$I$2:$I$1178,'2021'!$A30,'Registre de reserves'!$B$2:$B$1178,'2021'!P$2,Tabla1[ANY],'2021'!$Z$2)</f>
        <v>0</v>
      </c>
      <c r="Q30" s="21">
        <f t="shared" si="34"/>
        <v>0</v>
      </c>
      <c r="R30" s="23">
        <f>SUMIFS('Registre de reserves'!$R$2:$R$1178,'Registre de reserves'!$T$2:$T$1178,"SI",'Registre de reserves'!$I$2:$I$1178,'2021'!$A30,'Registre de reserves'!$B$2:$B$1178,'2021'!R$2,Tabla1[ANY],'2021'!$Z$2)</f>
        <v>0</v>
      </c>
      <c r="S30" s="21">
        <f t="shared" si="35"/>
        <v>0</v>
      </c>
      <c r="T30" s="23">
        <f>SUMIFS('Registre de reserves'!$R$2:$R$1178,'Registre de reserves'!$T$2:$T$1178,"SI",'Registre de reserves'!$I$2:$I$1178,'2021'!$A30,'Registre de reserves'!$B$2:$B$1178,'2021'!T$2,Tabla1[ANY],'2021'!$Z$2)</f>
        <v>0</v>
      </c>
      <c r="U30" s="21">
        <f t="shared" si="36"/>
        <v>0</v>
      </c>
      <c r="V30" s="23">
        <f>SUMIFS('Registre de reserves'!$R$2:$R$1178,'Registre de reserves'!$T$2:$T$1178,"SI",'Registre de reserves'!$I$2:$I$1178,'2021'!$A30,'Registre de reserves'!$B$2:$B$1178,'2021'!V$2,Tabla1[ANY],'2021'!$Z$2)</f>
        <v>0</v>
      </c>
      <c r="W30" s="21">
        <f t="shared" si="37"/>
        <v>0</v>
      </c>
      <c r="X30" s="23">
        <f>SUMIFS('Registre de reserves'!$R$2:$R$1178,'Registre de reserves'!$T$2:$T$1178,"SI",'Registre de reserves'!$I$2:$I$1178,'2021'!$A30,'Registre de reserves'!$B$2:$B$1178,'2021'!X$2,Tabla1[ANY],'2021'!$Z$2)</f>
        <v>0</v>
      </c>
      <c r="Y30" s="21">
        <f t="shared" si="38"/>
        <v>0</v>
      </c>
      <c r="Z30" s="20">
        <f t="shared" si="40"/>
        <v>0</v>
      </c>
      <c r="AA30" s="21">
        <f t="shared" si="41"/>
        <v>0</v>
      </c>
    </row>
    <row r="31" spans="1:27" collapsed="1" x14ac:dyDescent="0.2">
      <c r="A31" s="33" t="s">
        <v>77</v>
      </c>
      <c r="B31" s="22">
        <f>SUM(B32:B39)</f>
        <v>0</v>
      </c>
      <c r="C31" s="19">
        <f>IF((B$31+B$13)=0,0,B31/(B$31+B$13))</f>
        <v>0</v>
      </c>
      <c r="D31" s="22">
        <f>SUM(D32:D39)</f>
        <v>0</v>
      </c>
      <c r="E31" s="19">
        <f>IF((D$31+D$13)=0,0,D31/(D$31+D$13))</f>
        <v>0</v>
      </c>
      <c r="F31" s="22">
        <f>SUM(F32:F39)</f>
        <v>0</v>
      </c>
      <c r="G31" s="19">
        <f>IF((F$31+F$13)=0,0,F31/(F$31+F$13))</f>
        <v>0</v>
      </c>
      <c r="H31" s="22">
        <f>SUM(H32:H39)</f>
        <v>0</v>
      </c>
      <c r="I31" s="19">
        <f>IF((H$31+H$13)=0,0,H31/(H$31+H$13))</f>
        <v>0</v>
      </c>
      <c r="J31" s="22">
        <f>SUM(J32:J39)</f>
        <v>0</v>
      </c>
      <c r="K31" s="19">
        <f>IF((J$31+J$13)=0,0,J31/(J$31+J$13))</f>
        <v>0</v>
      </c>
      <c r="L31" s="22">
        <f>SUM(L32:L39)</f>
        <v>0</v>
      </c>
      <c r="M31" s="19">
        <f>IF((L$31+L$13)=0,0,L31/(L$31+L$13))</f>
        <v>0</v>
      </c>
      <c r="N31" s="22">
        <f>SUM(N32:N39)</f>
        <v>0</v>
      </c>
      <c r="O31" s="19">
        <f>IF((N$31+N$13)=0,0,N31/(N$31+N$13))</f>
        <v>0</v>
      </c>
      <c r="P31" s="22">
        <f>SUM(P32:P39)</f>
        <v>0</v>
      </c>
      <c r="Q31" s="19">
        <f>IF((P$31+P$13)=0,0,P31/(P$31+P$13))</f>
        <v>0</v>
      </c>
      <c r="R31" s="22">
        <f>SUM(R32:R39)</f>
        <v>0</v>
      </c>
      <c r="S31" s="19">
        <f>IF((R$31+R$13)=0,0,R31/(R$31+R$13))</f>
        <v>0</v>
      </c>
      <c r="T31" s="22">
        <f>SUM(T32:T39)</f>
        <v>0</v>
      </c>
      <c r="U31" s="19">
        <f>IF((T$31+T$13)=0,0,T31/(T$31+T$13))</f>
        <v>0</v>
      </c>
      <c r="V31" s="22">
        <f>SUM(V32:V39)</f>
        <v>0</v>
      </c>
      <c r="W31" s="19">
        <f>IF((V$31+V$13)=0,0,V31/(V$31+V$13))</f>
        <v>0</v>
      </c>
      <c r="X31" s="22">
        <f>SUM(X32:X39)</f>
        <v>0</v>
      </c>
      <c r="Y31" s="19">
        <f>IF((X$31+X$13)=0,0,X31/(X$31+X$13))</f>
        <v>0</v>
      </c>
      <c r="Z31" s="22">
        <f>SUM(Z32:Z39)</f>
        <v>0</v>
      </c>
      <c r="AA31" s="19">
        <f>IF((Z$31+Z$13)=0,0,Z31/(Z$31+Z$13))</f>
        <v>0</v>
      </c>
    </row>
    <row r="32" spans="1:27" hidden="1" outlineLevel="1" x14ac:dyDescent="0.2">
      <c r="A32" s="8" t="s">
        <v>67</v>
      </c>
      <c r="B32" s="23">
        <f>SUMIFS('Registre de reserves'!$R$2:$R$1178,'Registre de reserves'!$T$2:$T$1178,"NO",'Registre de reserves'!$I$2:$I$1178,'2021'!$A32,'Registre de reserves'!$B$2:$B$1178,'2021'!B$2,Tabla1[ANY],'2021'!$Z$2)</f>
        <v>0</v>
      </c>
      <c r="C32" s="21">
        <f>IF(B$31=0,0,B32/B$31)</f>
        <v>0</v>
      </c>
      <c r="D32" s="23">
        <f>SUMIFS('Registre de reserves'!$R$2:$R$1178,'Registre de reserves'!$T$2:$T$1178,"NO",'Registre de reserves'!$I$2:$I$1178,'2021'!$A32,'Registre de reserves'!$B$2:$B$1178,'2021'!D$2,Tabla1[ANY],'2021'!$Z$2)</f>
        <v>0</v>
      </c>
      <c r="E32" s="21">
        <f>IF(D$31=0,0,D32/D$31)</f>
        <v>0</v>
      </c>
      <c r="F32" s="23">
        <f>SUMIFS('Registre de reserves'!$R$2:$R$1178,'Registre de reserves'!$T$2:$T$1178,"NO",'Registre de reserves'!$I$2:$I$1178,'2021'!$A32,'Registre de reserves'!$B$2:$B$1178,'2021'!F$2,Tabla1[ANY],'2021'!$Z$2)</f>
        <v>0</v>
      </c>
      <c r="G32" s="21">
        <f t="shared" ref="G32:G39" si="42">IF(F$31=0,0,F32/F$31)</f>
        <v>0</v>
      </c>
      <c r="H32" s="23">
        <f>SUMIFS('Registre de reserves'!$R$2:$R$1178,'Registre de reserves'!$T$2:$T$1178,"NO",'Registre de reserves'!$I$2:$I$1178,'2021'!$A32,'Registre de reserves'!$B$2:$B$1178,'2021'!H$2,Tabla1[ANY],'2021'!$Z$2)</f>
        <v>0</v>
      </c>
      <c r="I32" s="21">
        <f t="shared" ref="I32:I39" si="43">IF(H$31=0,0,H32/H$31)</f>
        <v>0</v>
      </c>
      <c r="J32" s="23">
        <f>SUMIFS('Registre de reserves'!$R$2:$R$1178,'Registre de reserves'!$T$2:$T$1178,"NO",'Registre de reserves'!$I$2:$I$1178,'2021'!$A32,'Registre de reserves'!$B$2:$B$1178,'2021'!J$2,Tabla1[ANY],'2021'!$Z$2)</f>
        <v>0</v>
      </c>
      <c r="K32" s="21">
        <f t="shared" ref="K32:K39" si="44">IF(J$31=0,0,J32/J$31)</f>
        <v>0</v>
      </c>
      <c r="L32" s="23">
        <f>SUMIFS('Registre de reserves'!$R$2:$R$1178,'Registre de reserves'!$T$2:$T$1178,"NO",'Registre de reserves'!$I$2:$I$1178,'2021'!$A32,'Registre de reserves'!$B$2:$B$1178,'2021'!L$2,Tabla1[ANY],'2021'!$Z$2)</f>
        <v>0</v>
      </c>
      <c r="M32" s="21">
        <f t="shared" ref="M32:M39" si="45">IF(L$31=0,0,L32/L$31)</f>
        <v>0</v>
      </c>
      <c r="N32" s="23">
        <f>SUMIFS('Registre de reserves'!$R$2:$R$1178,'Registre de reserves'!$T$2:$T$1178,"NO",'Registre de reserves'!$I$2:$I$1178,'2021'!$A32,'Registre de reserves'!$B$2:$B$1178,'2021'!N$2,Tabla1[ANY],'2021'!$Z$2)</f>
        <v>0</v>
      </c>
      <c r="O32" s="21">
        <f t="shared" ref="O32:O39" si="46">IF(N$31=0,0,N32/N$31)</f>
        <v>0</v>
      </c>
      <c r="P32" s="23">
        <f>SUMIFS('Registre de reserves'!$R$2:$R$1178,'Registre de reserves'!$T$2:$T$1178,"NO",'Registre de reserves'!$I$2:$I$1178,'2021'!$A32,'Registre de reserves'!$B$2:$B$1178,'2021'!P$2,Tabla1[ANY],'2021'!$Z$2)</f>
        <v>0</v>
      </c>
      <c r="Q32" s="21">
        <f t="shared" ref="Q32:Q39" si="47">IF(P$31=0,0,P32/P$31)</f>
        <v>0</v>
      </c>
      <c r="R32" s="23">
        <f>SUMIFS('Registre de reserves'!$R$2:$R$1178,'Registre de reserves'!$T$2:$T$1178,"NO",'Registre de reserves'!$I$2:$I$1178,'2021'!$A32,'Registre de reserves'!$B$2:$B$1178,'2021'!R$2,Tabla1[ANY],'2021'!$Z$2)</f>
        <v>0</v>
      </c>
      <c r="S32" s="21">
        <f t="shared" ref="S32:S39" si="48">IF(R$31=0,0,R32/R$31)</f>
        <v>0</v>
      </c>
      <c r="T32" s="23">
        <f>SUMIFS('Registre de reserves'!$R$2:$R$1178,'Registre de reserves'!$T$2:$T$1178,"NO",'Registre de reserves'!$I$2:$I$1178,'2021'!$A32,'Registre de reserves'!$B$2:$B$1178,'2021'!T$2,Tabla1[ANY],'2021'!$Z$2)</f>
        <v>0</v>
      </c>
      <c r="U32" s="21">
        <f t="shared" ref="U32:U39" si="49">IF(T$31=0,0,T32/T$31)</f>
        <v>0</v>
      </c>
      <c r="V32" s="23">
        <f>SUMIFS('Registre de reserves'!$R$2:$R$1178,'Registre de reserves'!$T$2:$T$1178,"NO",'Registre de reserves'!$I$2:$I$1178,'2021'!$A32,'Registre de reserves'!$B$2:$B$1178,'2021'!V$2,Tabla1[ANY],'2021'!$Z$2)</f>
        <v>0</v>
      </c>
      <c r="W32" s="21">
        <f t="shared" ref="W32:W39" si="50">IF(V$31=0,0,V32/V$31)</f>
        <v>0</v>
      </c>
      <c r="X32" s="23">
        <f>SUMIFS('Registre de reserves'!$R$2:$R$1178,'Registre de reserves'!$T$2:$T$1178,"NO",'Registre de reserves'!$I$2:$I$1178,'2021'!$A32,'Registre de reserves'!$B$2:$B$1178,'2021'!X$2,Tabla1[ANY],'2021'!$Z$2)</f>
        <v>0</v>
      </c>
      <c r="Y32" s="21">
        <f t="shared" ref="Y32:Y39" si="51">IF(X$31=0,0,X32/X$31)</f>
        <v>0</v>
      </c>
      <c r="Z32" s="20">
        <f>B32+D32+F32+H32+J32+L32+N32+P32+R32+T32+V32+X32</f>
        <v>0</v>
      </c>
      <c r="AA32" s="21">
        <f>IF(Z$31=0,0,Z32/Z$31)</f>
        <v>0</v>
      </c>
    </row>
    <row r="33" spans="1:27" hidden="1" outlineLevel="1" x14ac:dyDescent="0.2">
      <c r="A33" s="8" t="s">
        <v>68</v>
      </c>
      <c r="B33" s="23">
        <f>SUMIFS('Registre de reserves'!$R$2:$R$1178,'Registre de reserves'!$T$2:$T$1178,"NO",'Registre de reserves'!$I$2:$I$1178,'2021'!$A33,'Registre de reserves'!$B$2:$B$1178,'2021'!B$2,Tabla1[ANY],'2021'!$Z$2)</f>
        <v>0</v>
      </c>
      <c r="C33" s="21">
        <f>IF(B$31=0,0,B33/B$31)</f>
        <v>0</v>
      </c>
      <c r="D33" s="23">
        <f>SUMIFS('Registre de reserves'!$R$2:$R$1178,'Registre de reserves'!$T$2:$T$1178,"NO",'Registre de reserves'!$I$2:$I$1178,'2021'!$A33,'Registre de reserves'!$B$2:$B$1178,'2021'!D$2,Tabla1[ANY],'2021'!$Z$2)</f>
        <v>0</v>
      </c>
      <c r="E33" s="21">
        <f t="shared" ref="C33:E39" si="52">IF(D$31=0,0,D33/D$31)</f>
        <v>0</v>
      </c>
      <c r="F33" s="23">
        <f>SUMIFS('Registre de reserves'!$R$2:$R$1178,'Registre de reserves'!$T$2:$T$1178,"NO",'Registre de reserves'!$I$2:$I$1178,'2021'!$A33,'Registre de reserves'!$B$2:$B$1178,'2021'!F$2,Tabla1[ANY],'2021'!$Z$2)</f>
        <v>0</v>
      </c>
      <c r="G33" s="21">
        <f t="shared" si="42"/>
        <v>0</v>
      </c>
      <c r="H33" s="23">
        <f>SUMIFS('Registre de reserves'!$R$2:$R$1178,'Registre de reserves'!$T$2:$T$1178,"NO",'Registre de reserves'!$I$2:$I$1178,'2021'!$A33,'Registre de reserves'!$B$2:$B$1178,'2021'!H$2,Tabla1[ANY],'2021'!$Z$2)</f>
        <v>0</v>
      </c>
      <c r="I33" s="21">
        <f t="shared" si="43"/>
        <v>0</v>
      </c>
      <c r="J33" s="23">
        <f>SUMIFS('Registre de reserves'!$R$2:$R$1178,'Registre de reserves'!$T$2:$T$1178,"NO",'Registre de reserves'!$I$2:$I$1178,'2021'!$A33,'Registre de reserves'!$B$2:$B$1178,'2021'!J$2,Tabla1[ANY],'2021'!$Z$2)</f>
        <v>0</v>
      </c>
      <c r="K33" s="21">
        <f t="shared" si="44"/>
        <v>0</v>
      </c>
      <c r="L33" s="23">
        <f>SUMIFS('Registre de reserves'!$R$2:$R$1178,'Registre de reserves'!$T$2:$T$1178,"NO",'Registre de reserves'!$I$2:$I$1178,'2021'!$A33,'Registre de reserves'!$B$2:$B$1178,'2021'!L$2,Tabla1[ANY],'2021'!$Z$2)</f>
        <v>0</v>
      </c>
      <c r="M33" s="21">
        <f t="shared" si="45"/>
        <v>0</v>
      </c>
      <c r="N33" s="23">
        <f>SUMIFS('Registre de reserves'!$R$2:$R$1178,'Registre de reserves'!$T$2:$T$1178,"NO",'Registre de reserves'!$I$2:$I$1178,'2021'!$A33,'Registre de reserves'!$B$2:$B$1178,'2021'!N$2,Tabla1[ANY],'2021'!$Z$2)</f>
        <v>0</v>
      </c>
      <c r="O33" s="21">
        <f t="shared" si="46"/>
        <v>0</v>
      </c>
      <c r="P33" s="23">
        <f>SUMIFS('Registre de reserves'!$R$2:$R$1178,'Registre de reserves'!$T$2:$T$1178,"NO",'Registre de reserves'!$I$2:$I$1178,'2021'!$A33,'Registre de reserves'!$B$2:$B$1178,'2021'!P$2,Tabla1[ANY],'2021'!$Z$2)</f>
        <v>0</v>
      </c>
      <c r="Q33" s="21">
        <f t="shared" si="47"/>
        <v>0</v>
      </c>
      <c r="R33" s="23">
        <f>SUMIFS('Registre de reserves'!$R$2:$R$1178,'Registre de reserves'!$T$2:$T$1178,"NO",'Registre de reserves'!$I$2:$I$1178,'2021'!$A33,'Registre de reserves'!$B$2:$B$1178,'2021'!R$2,Tabla1[ANY],'2021'!$Z$2)</f>
        <v>0</v>
      </c>
      <c r="S33" s="21">
        <f t="shared" si="48"/>
        <v>0</v>
      </c>
      <c r="T33" s="23">
        <f>SUMIFS('Registre de reserves'!$R$2:$R$1178,'Registre de reserves'!$T$2:$T$1178,"NO",'Registre de reserves'!$I$2:$I$1178,'2021'!$A33,'Registre de reserves'!$B$2:$B$1178,'2021'!T$2,Tabla1[ANY],'2021'!$Z$2)</f>
        <v>0</v>
      </c>
      <c r="U33" s="21">
        <f t="shared" si="49"/>
        <v>0</v>
      </c>
      <c r="V33" s="23">
        <f>SUMIFS('Registre de reserves'!$R$2:$R$1178,'Registre de reserves'!$T$2:$T$1178,"NO",'Registre de reserves'!$I$2:$I$1178,'2021'!$A33,'Registre de reserves'!$B$2:$B$1178,'2021'!V$2,Tabla1[ANY],'2021'!$Z$2)</f>
        <v>0</v>
      </c>
      <c r="W33" s="21">
        <f t="shared" si="50"/>
        <v>0</v>
      </c>
      <c r="X33" s="23">
        <f>SUMIFS('Registre de reserves'!$R$2:$R$1178,'Registre de reserves'!$T$2:$T$1178,"NO",'Registre de reserves'!$I$2:$I$1178,'2021'!$A33,'Registre de reserves'!$B$2:$B$1178,'2021'!X$2,Tabla1[ANY],'2021'!$Z$2)</f>
        <v>0</v>
      </c>
      <c r="Y33" s="21">
        <f t="shared" si="51"/>
        <v>0</v>
      </c>
      <c r="Z33" s="20">
        <f t="shared" ref="Z33:Z39" si="53">B33+D33+F33+H33+J33+L33+N33+P33+R33+T33+V33+X33</f>
        <v>0</v>
      </c>
      <c r="AA33" s="21">
        <f t="shared" ref="AA33:AA39" si="54">IF(Z$31=0,0,Z33/Z$31)</f>
        <v>0</v>
      </c>
    </row>
    <row r="34" spans="1:27" hidden="1" outlineLevel="1" x14ac:dyDescent="0.2">
      <c r="A34" s="8" t="s">
        <v>4</v>
      </c>
      <c r="B34" s="23">
        <f>SUMIFS('Registre de reserves'!$R$2:$R$1178,'Registre de reserves'!$T$2:$T$1178,"NO",'Registre de reserves'!$I$2:$I$1178,'2021'!$A34,'Registre de reserves'!$B$2:$B$1178,'2021'!B$2,Tabla1[ANY],'2021'!$Z$2)</f>
        <v>0</v>
      </c>
      <c r="C34" s="21">
        <f>IF(B$31=0,0,B34/B$31)</f>
        <v>0</v>
      </c>
      <c r="D34" s="23">
        <f>SUMIFS('Registre de reserves'!$R$2:$R$1178,'Registre de reserves'!$T$2:$T$1178,"NO",'Registre de reserves'!$I$2:$I$1178,'2021'!$A34,'Registre de reserves'!$B$2:$B$1178,'2021'!D$2,Tabla1[ANY],'2021'!$Z$2)</f>
        <v>0</v>
      </c>
      <c r="E34" s="21">
        <f t="shared" si="52"/>
        <v>0</v>
      </c>
      <c r="F34" s="23">
        <f>SUMIFS('Registre de reserves'!$R$2:$R$1178,'Registre de reserves'!$T$2:$T$1178,"NO",'Registre de reserves'!$I$2:$I$1178,'2021'!$A34,'Registre de reserves'!$B$2:$B$1178,'2021'!F$2,Tabla1[ANY],'2021'!$Z$2)</f>
        <v>0</v>
      </c>
      <c r="G34" s="21">
        <f t="shared" si="42"/>
        <v>0</v>
      </c>
      <c r="H34" s="23">
        <f>SUMIFS('Registre de reserves'!$R$2:$R$1178,'Registre de reserves'!$T$2:$T$1178,"NO",'Registre de reserves'!$I$2:$I$1178,'2021'!$A34,'Registre de reserves'!$B$2:$B$1178,'2021'!H$2,Tabla1[ANY],'2021'!$Z$2)</f>
        <v>0</v>
      </c>
      <c r="I34" s="21">
        <f t="shared" si="43"/>
        <v>0</v>
      </c>
      <c r="J34" s="23">
        <f>SUMIFS('Registre de reserves'!$R$2:$R$1178,'Registre de reserves'!$T$2:$T$1178,"NO",'Registre de reserves'!$I$2:$I$1178,'2021'!$A34,'Registre de reserves'!$B$2:$B$1178,'2021'!J$2,Tabla1[ANY],'2021'!$Z$2)</f>
        <v>0</v>
      </c>
      <c r="K34" s="21">
        <f t="shared" si="44"/>
        <v>0</v>
      </c>
      <c r="L34" s="23">
        <f>SUMIFS('Registre de reserves'!$R$2:$R$1178,'Registre de reserves'!$T$2:$T$1178,"NO",'Registre de reserves'!$I$2:$I$1178,'2021'!$A34,'Registre de reserves'!$B$2:$B$1178,'2021'!L$2,Tabla1[ANY],'2021'!$Z$2)</f>
        <v>0</v>
      </c>
      <c r="M34" s="21">
        <f t="shared" si="45"/>
        <v>0</v>
      </c>
      <c r="N34" s="23">
        <f>SUMIFS('Registre de reserves'!$R$2:$R$1178,'Registre de reserves'!$T$2:$T$1178,"NO",'Registre de reserves'!$I$2:$I$1178,'2021'!$A34,'Registre de reserves'!$B$2:$B$1178,'2021'!N$2,Tabla1[ANY],'2021'!$Z$2)</f>
        <v>0</v>
      </c>
      <c r="O34" s="21">
        <f t="shared" si="46"/>
        <v>0</v>
      </c>
      <c r="P34" s="23">
        <f>SUMIFS('Registre de reserves'!$R$2:$R$1178,'Registre de reserves'!$T$2:$T$1178,"NO",'Registre de reserves'!$I$2:$I$1178,'2021'!$A34,'Registre de reserves'!$B$2:$B$1178,'2021'!P$2,Tabla1[ANY],'2021'!$Z$2)</f>
        <v>0</v>
      </c>
      <c r="Q34" s="21">
        <f t="shared" si="47"/>
        <v>0</v>
      </c>
      <c r="R34" s="23">
        <f>SUMIFS('Registre de reserves'!$R$2:$R$1178,'Registre de reserves'!$T$2:$T$1178,"NO",'Registre de reserves'!$I$2:$I$1178,'2021'!$A34,'Registre de reserves'!$B$2:$B$1178,'2021'!R$2,Tabla1[ANY],'2021'!$Z$2)</f>
        <v>0</v>
      </c>
      <c r="S34" s="21">
        <f t="shared" si="48"/>
        <v>0</v>
      </c>
      <c r="T34" s="23">
        <f>SUMIFS('Registre de reserves'!$R$2:$R$1178,'Registre de reserves'!$T$2:$T$1178,"NO",'Registre de reserves'!$I$2:$I$1178,'2021'!$A34,'Registre de reserves'!$B$2:$B$1178,'2021'!T$2,Tabla1[ANY],'2021'!$Z$2)</f>
        <v>0</v>
      </c>
      <c r="U34" s="21">
        <f t="shared" si="49"/>
        <v>0</v>
      </c>
      <c r="V34" s="23">
        <f>SUMIFS('Registre de reserves'!$R$2:$R$1178,'Registre de reserves'!$T$2:$T$1178,"NO",'Registre de reserves'!$I$2:$I$1178,'2021'!$A34,'Registre de reserves'!$B$2:$B$1178,'2021'!V$2,Tabla1[ANY],'2021'!$Z$2)</f>
        <v>0</v>
      </c>
      <c r="W34" s="21">
        <f t="shared" si="50"/>
        <v>0</v>
      </c>
      <c r="X34" s="23">
        <f>SUMIFS('Registre de reserves'!$R$2:$R$1178,'Registre de reserves'!$T$2:$T$1178,"NO",'Registre de reserves'!$I$2:$I$1178,'2021'!$A34,'Registre de reserves'!$B$2:$B$1178,'2021'!X$2,Tabla1[ANY],'2021'!$Z$2)</f>
        <v>0</v>
      </c>
      <c r="Y34" s="21">
        <f t="shared" si="51"/>
        <v>0</v>
      </c>
      <c r="Z34" s="20">
        <f t="shared" si="53"/>
        <v>0</v>
      </c>
      <c r="AA34" s="21">
        <f t="shared" si="54"/>
        <v>0</v>
      </c>
    </row>
    <row r="35" spans="1:27" hidden="1" outlineLevel="1" x14ac:dyDescent="0.2">
      <c r="A35" s="8" t="s">
        <v>71</v>
      </c>
      <c r="B35" s="23">
        <f>SUMIFS('Registre de reserves'!$R$2:$R$1178,'Registre de reserves'!$T$2:$T$1178,"NO",'Registre de reserves'!$I$2:$I$1178,'2021'!$A35,'Registre de reserves'!$B$2:$B$1178,'2021'!B$2,Tabla1[ANY],'2021'!$Z$2)</f>
        <v>0</v>
      </c>
      <c r="C35" s="21">
        <f t="shared" si="52"/>
        <v>0</v>
      </c>
      <c r="D35" s="23">
        <f>SUMIFS('Registre de reserves'!$R$2:$R$1178,'Registre de reserves'!$T$2:$T$1178,"NO",'Registre de reserves'!$I$2:$I$1178,'2021'!$A35,'Registre de reserves'!$B$2:$B$1178,'2021'!D$2,Tabla1[ANY],'2021'!$Z$2)</f>
        <v>0</v>
      </c>
      <c r="E35" s="21">
        <f t="shared" si="52"/>
        <v>0</v>
      </c>
      <c r="F35" s="23">
        <f>SUMIFS('Registre de reserves'!$R$2:$R$1178,'Registre de reserves'!$T$2:$T$1178,"NO",'Registre de reserves'!$I$2:$I$1178,'2021'!$A35,'Registre de reserves'!$B$2:$B$1178,'2021'!F$2,Tabla1[ANY],'2021'!$Z$2)</f>
        <v>0</v>
      </c>
      <c r="G35" s="21">
        <f t="shared" si="42"/>
        <v>0</v>
      </c>
      <c r="H35" s="23">
        <f>SUMIFS('Registre de reserves'!$R$2:$R$1178,'Registre de reserves'!$T$2:$T$1178,"NO",'Registre de reserves'!$I$2:$I$1178,'2021'!$A35,'Registre de reserves'!$B$2:$B$1178,'2021'!H$2,Tabla1[ANY],'2021'!$Z$2)</f>
        <v>0</v>
      </c>
      <c r="I35" s="21">
        <f t="shared" si="43"/>
        <v>0</v>
      </c>
      <c r="J35" s="23">
        <f>SUMIFS('Registre de reserves'!$R$2:$R$1178,'Registre de reserves'!$T$2:$T$1178,"NO",'Registre de reserves'!$I$2:$I$1178,'2021'!$A35,'Registre de reserves'!$B$2:$B$1178,'2021'!J$2,Tabla1[ANY],'2021'!$Z$2)</f>
        <v>0</v>
      </c>
      <c r="K35" s="21">
        <f t="shared" si="44"/>
        <v>0</v>
      </c>
      <c r="L35" s="23">
        <f>SUMIFS('Registre de reserves'!$R$2:$R$1178,'Registre de reserves'!$T$2:$T$1178,"NO",'Registre de reserves'!$I$2:$I$1178,'2021'!$A35,'Registre de reserves'!$B$2:$B$1178,'2021'!L$2,Tabla1[ANY],'2021'!$Z$2)</f>
        <v>0</v>
      </c>
      <c r="M35" s="21">
        <f t="shared" si="45"/>
        <v>0</v>
      </c>
      <c r="N35" s="23">
        <f>SUMIFS('Registre de reserves'!$R$2:$R$1178,'Registre de reserves'!$T$2:$T$1178,"NO",'Registre de reserves'!$I$2:$I$1178,'2021'!$A35,'Registre de reserves'!$B$2:$B$1178,'2021'!N$2,Tabla1[ANY],'2021'!$Z$2)</f>
        <v>0</v>
      </c>
      <c r="O35" s="21">
        <f t="shared" si="46"/>
        <v>0</v>
      </c>
      <c r="P35" s="23">
        <f>SUMIFS('Registre de reserves'!$R$2:$R$1178,'Registre de reserves'!$T$2:$T$1178,"NO",'Registre de reserves'!$I$2:$I$1178,'2021'!$A35,'Registre de reserves'!$B$2:$B$1178,'2021'!P$2,Tabla1[ANY],'2021'!$Z$2)</f>
        <v>0</v>
      </c>
      <c r="Q35" s="21">
        <f t="shared" si="47"/>
        <v>0</v>
      </c>
      <c r="R35" s="23">
        <f>SUMIFS('Registre de reserves'!$R$2:$R$1178,'Registre de reserves'!$T$2:$T$1178,"NO",'Registre de reserves'!$I$2:$I$1178,'2021'!$A35,'Registre de reserves'!$B$2:$B$1178,'2021'!R$2,Tabla1[ANY],'2021'!$Z$2)</f>
        <v>0</v>
      </c>
      <c r="S35" s="21">
        <f t="shared" si="48"/>
        <v>0</v>
      </c>
      <c r="T35" s="23">
        <f>SUMIFS('Registre de reserves'!$R$2:$R$1178,'Registre de reserves'!$T$2:$T$1178,"NO",'Registre de reserves'!$I$2:$I$1178,'2021'!$A35,'Registre de reserves'!$B$2:$B$1178,'2021'!T$2,Tabla1[ANY],'2021'!$Z$2)</f>
        <v>0</v>
      </c>
      <c r="U35" s="21">
        <f t="shared" si="49"/>
        <v>0</v>
      </c>
      <c r="V35" s="23">
        <f>SUMIFS('Registre de reserves'!$R$2:$R$1178,'Registre de reserves'!$T$2:$T$1178,"NO",'Registre de reserves'!$I$2:$I$1178,'2021'!$A35,'Registre de reserves'!$B$2:$B$1178,'2021'!V$2,Tabla1[ANY],'2021'!$Z$2)</f>
        <v>0</v>
      </c>
      <c r="W35" s="21">
        <f t="shared" si="50"/>
        <v>0</v>
      </c>
      <c r="X35" s="23">
        <f>SUMIFS('Registre de reserves'!$R$2:$R$1178,'Registre de reserves'!$T$2:$T$1178,"NO",'Registre de reserves'!$I$2:$I$1178,'2021'!$A35,'Registre de reserves'!$B$2:$B$1178,'2021'!X$2,Tabla1[ANY],'2021'!$Z$2)</f>
        <v>0</v>
      </c>
      <c r="Y35" s="21">
        <f t="shared" si="51"/>
        <v>0</v>
      </c>
      <c r="Z35" s="20">
        <f t="shared" si="53"/>
        <v>0</v>
      </c>
      <c r="AA35" s="21">
        <f t="shared" si="54"/>
        <v>0</v>
      </c>
    </row>
    <row r="36" spans="1:27" hidden="1" outlineLevel="1" x14ac:dyDescent="0.2">
      <c r="A36" s="8" t="s">
        <v>72</v>
      </c>
      <c r="B36" s="23">
        <f>SUMIFS('Registre de reserves'!$R$2:$R$1178,'Registre de reserves'!$T$2:$T$1178,"NO",'Registre de reserves'!$I$2:$I$1178,'2021'!$A36,'Registre de reserves'!$B$2:$B$1178,'2021'!B$2,Tabla1[ANY],'2021'!$Z$2)</f>
        <v>0</v>
      </c>
      <c r="C36" s="21">
        <f t="shared" si="52"/>
        <v>0</v>
      </c>
      <c r="D36" s="23">
        <f>SUMIFS('Registre de reserves'!$R$2:$R$1178,'Registre de reserves'!$T$2:$T$1178,"NO",'Registre de reserves'!$I$2:$I$1178,'2021'!$A36,'Registre de reserves'!$B$2:$B$1178,'2021'!D$2,Tabla1[ANY],'2021'!$Z$2)</f>
        <v>0</v>
      </c>
      <c r="E36" s="21">
        <f t="shared" si="52"/>
        <v>0</v>
      </c>
      <c r="F36" s="23">
        <f>SUMIFS('Registre de reserves'!$R$2:$R$1178,'Registre de reserves'!$T$2:$T$1178,"NO",'Registre de reserves'!$I$2:$I$1178,'2021'!$A36,'Registre de reserves'!$B$2:$B$1178,'2021'!F$2,Tabla1[ANY],'2021'!$Z$2)</f>
        <v>0</v>
      </c>
      <c r="G36" s="21">
        <f t="shared" si="42"/>
        <v>0</v>
      </c>
      <c r="H36" s="23">
        <f>SUMIFS('Registre de reserves'!$R$2:$R$1178,'Registre de reserves'!$T$2:$T$1178,"NO",'Registre de reserves'!$I$2:$I$1178,'2021'!$A36,'Registre de reserves'!$B$2:$B$1178,'2021'!H$2,Tabla1[ANY],'2021'!$Z$2)</f>
        <v>0</v>
      </c>
      <c r="I36" s="21">
        <f t="shared" si="43"/>
        <v>0</v>
      </c>
      <c r="J36" s="23">
        <f>SUMIFS('Registre de reserves'!$R$2:$R$1178,'Registre de reserves'!$T$2:$T$1178,"NO",'Registre de reserves'!$I$2:$I$1178,'2021'!$A36,'Registre de reserves'!$B$2:$B$1178,'2021'!J$2,Tabla1[ANY],'2021'!$Z$2)</f>
        <v>0</v>
      </c>
      <c r="K36" s="21">
        <f t="shared" si="44"/>
        <v>0</v>
      </c>
      <c r="L36" s="23">
        <f>SUMIFS('Registre de reserves'!$R$2:$R$1178,'Registre de reserves'!$T$2:$T$1178,"NO",'Registre de reserves'!$I$2:$I$1178,'2021'!$A36,'Registre de reserves'!$B$2:$B$1178,'2021'!L$2,Tabla1[ANY],'2021'!$Z$2)</f>
        <v>0</v>
      </c>
      <c r="M36" s="21">
        <f t="shared" si="45"/>
        <v>0</v>
      </c>
      <c r="N36" s="23">
        <f>SUMIFS('Registre de reserves'!$R$2:$R$1178,'Registre de reserves'!$T$2:$T$1178,"NO",'Registre de reserves'!$I$2:$I$1178,'2021'!$A36,'Registre de reserves'!$B$2:$B$1178,'2021'!N$2,Tabla1[ANY],'2021'!$Z$2)</f>
        <v>0</v>
      </c>
      <c r="O36" s="21">
        <f t="shared" si="46"/>
        <v>0</v>
      </c>
      <c r="P36" s="23">
        <f>SUMIFS('Registre de reserves'!$R$2:$R$1178,'Registre de reserves'!$T$2:$T$1178,"NO",'Registre de reserves'!$I$2:$I$1178,'2021'!$A36,'Registre de reserves'!$B$2:$B$1178,'2021'!P$2,Tabla1[ANY],'2021'!$Z$2)</f>
        <v>0</v>
      </c>
      <c r="Q36" s="21">
        <f t="shared" si="47"/>
        <v>0</v>
      </c>
      <c r="R36" s="23">
        <f>SUMIFS('Registre de reserves'!$R$2:$R$1178,'Registre de reserves'!$T$2:$T$1178,"NO",'Registre de reserves'!$I$2:$I$1178,'2021'!$A36,'Registre de reserves'!$B$2:$B$1178,'2021'!R$2,Tabla1[ANY],'2021'!$Z$2)</f>
        <v>0</v>
      </c>
      <c r="S36" s="21">
        <f t="shared" si="48"/>
        <v>0</v>
      </c>
      <c r="T36" s="23">
        <f>SUMIFS('Registre de reserves'!$R$2:$R$1178,'Registre de reserves'!$T$2:$T$1178,"NO",'Registre de reserves'!$I$2:$I$1178,'2021'!$A36,'Registre de reserves'!$B$2:$B$1178,'2021'!T$2,Tabla1[ANY],'2021'!$Z$2)</f>
        <v>0</v>
      </c>
      <c r="U36" s="21">
        <f t="shared" si="49"/>
        <v>0</v>
      </c>
      <c r="V36" s="23">
        <f>SUMIFS('Registre de reserves'!$R$2:$R$1178,'Registre de reserves'!$T$2:$T$1178,"NO",'Registre de reserves'!$I$2:$I$1178,'2021'!$A36,'Registre de reserves'!$B$2:$B$1178,'2021'!V$2,Tabla1[ANY],'2021'!$Z$2)</f>
        <v>0</v>
      </c>
      <c r="W36" s="21">
        <f t="shared" si="50"/>
        <v>0</v>
      </c>
      <c r="X36" s="23">
        <f>SUMIFS('Registre de reserves'!$R$2:$R$1178,'Registre de reserves'!$T$2:$T$1178,"NO",'Registre de reserves'!$I$2:$I$1178,'2021'!$A36,'Registre de reserves'!$B$2:$B$1178,'2021'!X$2,Tabla1[ANY],'2021'!$Z$2)</f>
        <v>0</v>
      </c>
      <c r="Y36" s="21">
        <f t="shared" si="51"/>
        <v>0</v>
      </c>
      <c r="Z36" s="20">
        <f t="shared" si="53"/>
        <v>0</v>
      </c>
      <c r="AA36" s="21">
        <f t="shared" si="54"/>
        <v>0</v>
      </c>
    </row>
    <row r="37" spans="1:27" hidden="1" outlineLevel="1" x14ac:dyDescent="0.2">
      <c r="A37" s="8" t="s">
        <v>69</v>
      </c>
      <c r="B37" s="23">
        <f>SUMIFS('Registre de reserves'!$R$2:$R$1178,'Registre de reserves'!$T$2:$T$1178,"NO",'Registre de reserves'!$I$2:$I$1178,'2021'!$A37,'Registre de reserves'!$B$2:$B$1178,'2021'!B$2,Tabla1[ANY],'2021'!$Z$2)</f>
        <v>0</v>
      </c>
      <c r="C37" s="21">
        <f t="shared" si="52"/>
        <v>0</v>
      </c>
      <c r="D37" s="23">
        <f>SUMIFS('Registre de reserves'!$R$2:$R$1178,'Registre de reserves'!$T$2:$T$1178,"NO",'Registre de reserves'!$I$2:$I$1178,'2021'!$A37,'Registre de reserves'!$B$2:$B$1178,'2021'!D$2,Tabla1[ANY],'2021'!$Z$2)</f>
        <v>0</v>
      </c>
      <c r="E37" s="21">
        <f t="shared" si="52"/>
        <v>0</v>
      </c>
      <c r="F37" s="23">
        <f>SUMIFS('Registre de reserves'!$R$2:$R$1178,'Registre de reserves'!$T$2:$T$1178,"NO",'Registre de reserves'!$I$2:$I$1178,'2021'!$A37,'Registre de reserves'!$B$2:$B$1178,'2021'!F$2,Tabla1[ANY],'2021'!$Z$2)</f>
        <v>0</v>
      </c>
      <c r="G37" s="21">
        <f t="shared" si="42"/>
        <v>0</v>
      </c>
      <c r="H37" s="23">
        <f>SUMIFS('Registre de reserves'!$R$2:$R$1178,'Registre de reserves'!$T$2:$T$1178,"NO",'Registre de reserves'!$I$2:$I$1178,'2021'!$A37,'Registre de reserves'!$B$2:$B$1178,'2021'!H$2,Tabla1[ANY],'2021'!$Z$2)</f>
        <v>0</v>
      </c>
      <c r="I37" s="21">
        <f t="shared" si="43"/>
        <v>0</v>
      </c>
      <c r="J37" s="23">
        <f>SUMIFS('Registre de reserves'!$R$2:$R$1178,'Registre de reserves'!$T$2:$T$1178,"NO",'Registre de reserves'!$I$2:$I$1178,'2021'!$A37,'Registre de reserves'!$B$2:$B$1178,'2021'!J$2,Tabla1[ANY],'2021'!$Z$2)</f>
        <v>0</v>
      </c>
      <c r="K37" s="21">
        <f t="shared" si="44"/>
        <v>0</v>
      </c>
      <c r="L37" s="23">
        <f>SUMIFS('Registre de reserves'!$R$2:$R$1178,'Registre de reserves'!$T$2:$T$1178,"NO",'Registre de reserves'!$I$2:$I$1178,'2021'!$A37,'Registre de reserves'!$B$2:$B$1178,'2021'!L$2,Tabla1[ANY],'2021'!$Z$2)</f>
        <v>0</v>
      </c>
      <c r="M37" s="21">
        <f t="shared" si="45"/>
        <v>0</v>
      </c>
      <c r="N37" s="23">
        <f>SUMIFS('Registre de reserves'!$R$2:$R$1178,'Registre de reserves'!$T$2:$T$1178,"NO",'Registre de reserves'!$I$2:$I$1178,'2021'!$A37,'Registre de reserves'!$B$2:$B$1178,'2021'!N$2,Tabla1[ANY],'2021'!$Z$2)</f>
        <v>0</v>
      </c>
      <c r="O37" s="21">
        <f t="shared" si="46"/>
        <v>0</v>
      </c>
      <c r="P37" s="23">
        <f>SUMIFS('Registre de reserves'!$R$2:$R$1178,'Registre de reserves'!$T$2:$T$1178,"NO",'Registre de reserves'!$I$2:$I$1178,'2021'!$A37,'Registre de reserves'!$B$2:$B$1178,'2021'!P$2,Tabla1[ANY],'2021'!$Z$2)</f>
        <v>0</v>
      </c>
      <c r="Q37" s="21">
        <f t="shared" si="47"/>
        <v>0</v>
      </c>
      <c r="R37" s="23">
        <f>SUMIFS('Registre de reserves'!$R$2:$R$1178,'Registre de reserves'!$T$2:$T$1178,"NO",'Registre de reserves'!$I$2:$I$1178,'2021'!$A37,'Registre de reserves'!$B$2:$B$1178,'2021'!R$2,Tabla1[ANY],'2021'!$Z$2)</f>
        <v>0</v>
      </c>
      <c r="S37" s="21">
        <f t="shared" si="48"/>
        <v>0</v>
      </c>
      <c r="T37" s="23">
        <f>SUMIFS('Registre de reserves'!$R$2:$R$1178,'Registre de reserves'!$T$2:$T$1178,"NO",'Registre de reserves'!$I$2:$I$1178,'2021'!$A37,'Registre de reserves'!$B$2:$B$1178,'2021'!T$2,Tabla1[ANY],'2021'!$Z$2)</f>
        <v>0</v>
      </c>
      <c r="U37" s="21">
        <f t="shared" si="49"/>
        <v>0</v>
      </c>
      <c r="V37" s="23">
        <f>SUMIFS('Registre de reserves'!$R$2:$R$1178,'Registre de reserves'!$T$2:$T$1178,"NO",'Registre de reserves'!$I$2:$I$1178,'2021'!$A37,'Registre de reserves'!$B$2:$B$1178,'2021'!V$2,Tabla1[ANY],'2021'!$Z$2)</f>
        <v>0</v>
      </c>
      <c r="W37" s="21">
        <f t="shared" si="50"/>
        <v>0</v>
      </c>
      <c r="X37" s="23">
        <f>SUMIFS('Registre de reserves'!$R$2:$R$1178,'Registre de reserves'!$T$2:$T$1178,"NO",'Registre de reserves'!$I$2:$I$1178,'2021'!$A37,'Registre de reserves'!$B$2:$B$1178,'2021'!X$2,Tabla1[ANY],'2021'!$Z$2)</f>
        <v>0</v>
      </c>
      <c r="Y37" s="21">
        <f t="shared" si="51"/>
        <v>0</v>
      </c>
      <c r="Z37" s="20">
        <f t="shared" si="53"/>
        <v>0</v>
      </c>
      <c r="AA37" s="21">
        <f t="shared" si="54"/>
        <v>0</v>
      </c>
    </row>
    <row r="38" spans="1:27" hidden="1" outlineLevel="1" x14ac:dyDescent="0.2">
      <c r="A38" s="8" t="s">
        <v>70</v>
      </c>
      <c r="B38" s="23">
        <f>SUMIFS('Registre de reserves'!$R$2:$R$1178,'Registre de reserves'!$T$2:$T$1178,"NO",'Registre de reserves'!$I$2:$I$1178,'2021'!$A38,'Registre de reserves'!$B$2:$B$1178,'2021'!B$2,Tabla1[ANY],'2021'!$Z$2)</f>
        <v>0</v>
      </c>
      <c r="C38" s="21">
        <f t="shared" si="52"/>
        <v>0</v>
      </c>
      <c r="D38" s="23">
        <f>SUMIFS('Registre de reserves'!$R$2:$R$1178,'Registre de reserves'!$T$2:$T$1178,"NO",'Registre de reserves'!$I$2:$I$1178,'2021'!$A38,'Registre de reserves'!$B$2:$B$1178,'2021'!D$2,Tabla1[ANY],'2021'!$Z$2)</f>
        <v>0</v>
      </c>
      <c r="E38" s="21">
        <f t="shared" si="52"/>
        <v>0</v>
      </c>
      <c r="F38" s="23">
        <f>SUMIFS('Registre de reserves'!$R$2:$R$1178,'Registre de reserves'!$T$2:$T$1178,"NO",'Registre de reserves'!$I$2:$I$1178,'2021'!$A38,'Registre de reserves'!$B$2:$B$1178,'2021'!F$2,Tabla1[ANY],'2021'!$Z$2)</f>
        <v>0</v>
      </c>
      <c r="G38" s="21">
        <f t="shared" si="42"/>
        <v>0</v>
      </c>
      <c r="H38" s="23">
        <f>SUMIFS('Registre de reserves'!$R$2:$R$1178,'Registre de reserves'!$T$2:$T$1178,"NO",'Registre de reserves'!$I$2:$I$1178,'2021'!$A38,'Registre de reserves'!$B$2:$B$1178,'2021'!H$2,Tabla1[ANY],'2021'!$Z$2)</f>
        <v>0</v>
      </c>
      <c r="I38" s="21">
        <f t="shared" si="43"/>
        <v>0</v>
      </c>
      <c r="J38" s="23">
        <f>SUMIFS('Registre de reserves'!$R$2:$R$1178,'Registre de reserves'!$T$2:$T$1178,"NO",'Registre de reserves'!$I$2:$I$1178,'2021'!$A38,'Registre de reserves'!$B$2:$B$1178,'2021'!J$2,Tabla1[ANY],'2021'!$Z$2)</f>
        <v>0</v>
      </c>
      <c r="K38" s="21">
        <f t="shared" si="44"/>
        <v>0</v>
      </c>
      <c r="L38" s="23">
        <f>SUMIFS('Registre de reserves'!$R$2:$R$1178,'Registre de reserves'!$T$2:$T$1178,"NO",'Registre de reserves'!$I$2:$I$1178,'2021'!$A38,'Registre de reserves'!$B$2:$B$1178,'2021'!L$2,Tabla1[ANY],'2021'!$Z$2)</f>
        <v>0</v>
      </c>
      <c r="M38" s="21">
        <f t="shared" si="45"/>
        <v>0</v>
      </c>
      <c r="N38" s="23">
        <f>SUMIFS('Registre de reserves'!$R$2:$R$1178,'Registre de reserves'!$T$2:$T$1178,"NO",'Registre de reserves'!$I$2:$I$1178,'2021'!$A38,'Registre de reserves'!$B$2:$B$1178,'2021'!N$2,Tabla1[ANY],'2021'!$Z$2)</f>
        <v>0</v>
      </c>
      <c r="O38" s="21">
        <f t="shared" si="46"/>
        <v>0</v>
      </c>
      <c r="P38" s="23">
        <f>SUMIFS('Registre de reserves'!$R$2:$R$1178,'Registre de reserves'!$T$2:$T$1178,"NO",'Registre de reserves'!$I$2:$I$1178,'2021'!$A38,'Registre de reserves'!$B$2:$B$1178,'2021'!P$2,Tabla1[ANY],'2021'!$Z$2)</f>
        <v>0</v>
      </c>
      <c r="Q38" s="21">
        <f t="shared" si="47"/>
        <v>0</v>
      </c>
      <c r="R38" s="23">
        <f>SUMIFS('Registre de reserves'!$R$2:$R$1178,'Registre de reserves'!$T$2:$T$1178,"NO",'Registre de reserves'!$I$2:$I$1178,'2021'!$A38,'Registre de reserves'!$B$2:$B$1178,'2021'!R$2,Tabla1[ANY],'2021'!$Z$2)</f>
        <v>0</v>
      </c>
      <c r="S38" s="21">
        <f t="shared" si="48"/>
        <v>0</v>
      </c>
      <c r="T38" s="23">
        <f>SUMIFS('Registre de reserves'!$R$2:$R$1178,'Registre de reserves'!$T$2:$T$1178,"NO",'Registre de reserves'!$I$2:$I$1178,'2021'!$A38,'Registre de reserves'!$B$2:$B$1178,'2021'!T$2,Tabla1[ANY],'2021'!$Z$2)</f>
        <v>0</v>
      </c>
      <c r="U38" s="21">
        <f t="shared" si="49"/>
        <v>0</v>
      </c>
      <c r="V38" s="23">
        <f>SUMIFS('Registre de reserves'!$R$2:$R$1178,'Registre de reserves'!$T$2:$T$1178,"NO",'Registre de reserves'!$I$2:$I$1178,'2021'!$A38,'Registre de reserves'!$B$2:$B$1178,'2021'!V$2,Tabla1[ANY],'2021'!$Z$2)</f>
        <v>0</v>
      </c>
      <c r="W38" s="21">
        <f t="shared" si="50"/>
        <v>0</v>
      </c>
      <c r="X38" s="23">
        <f>SUMIFS('Registre de reserves'!$R$2:$R$1178,'Registre de reserves'!$T$2:$T$1178,"NO",'Registre de reserves'!$I$2:$I$1178,'2021'!$A38,'Registre de reserves'!$B$2:$B$1178,'2021'!X$2,Tabla1[ANY],'2021'!$Z$2)</f>
        <v>0</v>
      </c>
      <c r="Y38" s="21">
        <f t="shared" si="51"/>
        <v>0</v>
      </c>
      <c r="Z38" s="20">
        <f t="shared" si="53"/>
        <v>0</v>
      </c>
      <c r="AA38" s="21">
        <f t="shared" si="54"/>
        <v>0</v>
      </c>
    </row>
    <row r="39" spans="1:27" hidden="1" outlineLevel="1" x14ac:dyDescent="0.2">
      <c r="A39" s="8" t="s">
        <v>73</v>
      </c>
      <c r="B39" s="23">
        <f>SUMIFS('Registre de reserves'!$R$2:$R$1178,'Registre de reserves'!$T$2:$T$1178,"NO",'Registre de reserves'!$I$2:$I$1178,'2021'!$A39,'Registre de reserves'!$B$2:$B$1178,'2021'!B$2,Tabla1[ANY],'2021'!$Z$2)</f>
        <v>0</v>
      </c>
      <c r="C39" s="21">
        <f t="shared" si="52"/>
        <v>0</v>
      </c>
      <c r="D39" s="23">
        <f>SUMIFS('Registre de reserves'!$R$2:$R$1178,'Registre de reserves'!$T$2:$T$1178,"NO",'Registre de reserves'!$I$2:$I$1178,'2021'!$A39,'Registre de reserves'!$B$2:$B$1178,'2021'!D$2,Tabla1[ANY],'2021'!$Z$2)</f>
        <v>0</v>
      </c>
      <c r="E39" s="21">
        <f t="shared" si="52"/>
        <v>0</v>
      </c>
      <c r="F39" s="23">
        <f>SUMIFS('Registre de reserves'!$R$2:$R$1178,'Registre de reserves'!$T$2:$T$1178,"NO",'Registre de reserves'!$I$2:$I$1178,'2021'!$A39,'Registre de reserves'!$B$2:$B$1178,'2021'!F$2,Tabla1[ANY],'2021'!$Z$2)</f>
        <v>0</v>
      </c>
      <c r="G39" s="21">
        <f t="shared" si="42"/>
        <v>0</v>
      </c>
      <c r="H39" s="23">
        <f>SUMIFS('Registre de reserves'!$R$2:$R$1178,'Registre de reserves'!$T$2:$T$1178,"NO",'Registre de reserves'!$I$2:$I$1178,'2021'!$A39,'Registre de reserves'!$B$2:$B$1178,'2021'!H$2,Tabla1[ANY],'2021'!$Z$2)</f>
        <v>0</v>
      </c>
      <c r="I39" s="21">
        <f t="shared" si="43"/>
        <v>0</v>
      </c>
      <c r="J39" s="23">
        <f>SUMIFS('Registre de reserves'!$R$2:$R$1178,'Registre de reserves'!$T$2:$T$1178,"NO",'Registre de reserves'!$I$2:$I$1178,'2021'!$A39,'Registre de reserves'!$B$2:$B$1178,'2021'!J$2,Tabla1[ANY],'2021'!$Z$2)</f>
        <v>0</v>
      </c>
      <c r="K39" s="21">
        <f t="shared" si="44"/>
        <v>0</v>
      </c>
      <c r="L39" s="23">
        <f>SUMIFS('Registre de reserves'!$R$2:$R$1178,'Registre de reserves'!$T$2:$T$1178,"NO",'Registre de reserves'!$I$2:$I$1178,'2021'!$A39,'Registre de reserves'!$B$2:$B$1178,'2021'!L$2,Tabla1[ANY],'2021'!$Z$2)</f>
        <v>0</v>
      </c>
      <c r="M39" s="21">
        <f t="shared" si="45"/>
        <v>0</v>
      </c>
      <c r="N39" s="23">
        <f>SUMIFS('Registre de reserves'!$R$2:$R$1178,'Registre de reserves'!$T$2:$T$1178,"NO",'Registre de reserves'!$I$2:$I$1178,'2021'!$A39,'Registre de reserves'!$B$2:$B$1178,'2021'!N$2,Tabla1[ANY],'2021'!$Z$2)</f>
        <v>0</v>
      </c>
      <c r="O39" s="21">
        <f t="shared" si="46"/>
        <v>0</v>
      </c>
      <c r="P39" s="23">
        <f>SUMIFS('Registre de reserves'!$R$2:$R$1178,'Registre de reserves'!$T$2:$T$1178,"NO",'Registre de reserves'!$I$2:$I$1178,'2021'!$A39,'Registre de reserves'!$B$2:$B$1178,'2021'!P$2,Tabla1[ANY],'2021'!$Z$2)</f>
        <v>0</v>
      </c>
      <c r="Q39" s="21">
        <f t="shared" si="47"/>
        <v>0</v>
      </c>
      <c r="R39" s="23">
        <f>SUMIFS('Registre de reserves'!$R$2:$R$1178,'Registre de reserves'!$T$2:$T$1178,"NO",'Registre de reserves'!$I$2:$I$1178,'2021'!$A39,'Registre de reserves'!$B$2:$B$1178,'2021'!R$2,Tabla1[ANY],'2021'!$Z$2)</f>
        <v>0</v>
      </c>
      <c r="S39" s="21">
        <f t="shared" si="48"/>
        <v>0</v>
      </c>
      <c r="T39" s="23">
        <f>SUMIFS('Registre de reserves'!$R$2:$R$1178,'Registre de reserves'!$T$2:$T$1178,"NO",'Registre de reserves'!$I$2:$I$1178,'2021'!$A39,'Registre de reserves'!$B$2:$B$1178,'2021'!T$2,Tabla1[ANY],'2021'!$Z$2)</f>
        <v>0</v>
      </c>
      <c r="U39" s="21">
        <f t="shared" si="49"/>
        <v>0</v>
      </c>
      <c r="V39" s="23">
        <f>SUMIFS('Registre de reserves'!$R$2:$R$1178,'Registre de reserves'!$T$2:$T$1178,"NO",'Registre de reserves'!$I$2:$I$1178,'2021'!$A39,'Registre de reserves'!$B$2:$B$1178,'2021'!V$2,Tabla1[ANY],'2021'!$Z$2)</f>
        <v>0</v>
      </c>
      <c r="W39" s="21">
        <f t="shared" si="50"/>
        <v>0</v>
      </c>
      <c r="X39" s="23">
        <f>SUMIFS('Registre de reserves'!$R$2:$R$1178,'Registre de reserves'!$T$2:$T$1178,"NO",'Registre de reserves'!$I$2:$I$1178,'2021'!$A39,'Registre de reserves'!$B$2:$B$1178,'2021'!X$2,Tabla1[ANY],'2021'!$Z$2)</f>
        <v>0</v>
      </c>
      <c r="Y39" s="21">
        <f t="shared" si="51"/>
        <v>0</v>
      </c>
      <c r="Z39" s="20">
        <f t="shared" si="53"/>
        <v>0</v>
      </c>
      <c r="AA39" s="21">
        <f t="shared" si="54"/>
        <v>0</v>
      </c>
    </row>
    <row r="40" spans="1:27" ht="15.75" collapsed="1" thickBot="1" x14ac:dyDescent="0.25">
      <c r="A40" s="14" t="s">
        <v>78</v>
      </c>
      <c r="B40" s="24">
        <f>B41+B49</f>
        <v>639.96</v>
      </c>
      <c r="C40" s="25">
        <f>IF(B3=0,0,B40/B3)</f>
        <v>1.3552731893265566</v>
      </c>
      <c r="D40" s="24">
        <f>D41+D49</f>
        <v>372.09</v>
      </c>
      <c r="E40" s="25">
        <f>IF(D3=0,0,D40/D3)</f>
        <v>0.78799237611181694</v>
      </c>
      <c r="F40" s="24">
        <f>F41+F49</f>
        <v>263.95</v>
      </c>
      <c r="G40" s="25">
        <f>IF(F3=0,0,F40/F3)</f>
        <v>0.10676725184046598</v>
      </c>
      <c r="H40" s="24">
        <f>H41+H49</f>
        <v>353</v>
      </c>
      <c r="I40" s="25">
        <f>IF(H3=0,0,H40/H3)</f>
        <v>0.74756459127488351</v>
      </c>
      <c r="J40" s="24">
        <f>J41+J49</f>
        <v>313.92</v>
      </c>
      <c r="K40" s="25">
        <f>IF(J3=0,0,J40/J3)</f>
        <v>0.2172261319050881</v>
      </c>
      <c r="L40" s="24">
        <f>L41+L49</f>
        <v>292.24</v>
      </c>
      <c r="M40" s="25">
        <f>IF(L3=0,0,L40/L3)</f>
        <v>0.13803592599415246</v>
      </c>
      <c r="N40" s="24">
        <f>N41+N49</f>
        <v>400.75</v>
      </c>
      <c r="O40" s="25">
        <f>IF(N3=0,0,N40/N3)</f>
        <v>0.34547413793103449</v>
      </c>
      <c r="P40" s="24">
        <f>P41+P49</f>
        <v>366</v>
      </c>
      <c r="Q40" s="25">
        <f>IF(P3=0,0,P40/P3)</f>
        <v>0.32678571428571429</v>
      </c>
      <c r="R40" s="24">
        <f>R41+R49</f>
        <v>837.67000000000007</v>
      </c>
      <c r="S40" s="25">
        <f>IF(R3=0,0,R40/R3)</f>
        <v>0.60921454545454545</v>
      </c>
      <c r="T40" s="24">
        <f>T41+T49</f>
        <v>504.76000000000005</v>
      </c>
      <c r="U40" s="25">
        <f>IF(T3=0,0,T40/T3)</f>
        <v>0.20394343434343437</v>
      </c>
      <c r="V40" s="24">
        <f>V41+V49</f>
        <v>652.87</v>
      </c>
      <c r="W40" s="25">
        <f>IF(V3=0,0,V40/V3)</f>
        <v>0.30436829836829837</v>
      </c>
      <c r="X40" s="24">
        <f>X41+X49</f>
        <v>1561.86</v>
      </c>
      <c r="Y40" s="25">
        <f>IF(X3=0,0,X40/X3)</f>
        <v>0.47909815950920243</v>
      </c>
      <c r="Z40" s="24">
        <f>Z41+Z49</f>
        <v>6559.0700000000006</v>
      </c>
      <c r="AA40" s="25">
        <f>IF(Z3=0,0,Z40/Z3)</f>
        <v>0.3454676747044938</v>
      </c>
    </row>
    <row r="41" spans="1:27" x14ac:dyDescent="0.2">
      <c r="A41" s="33" t="s">
        <v>79</v>
      </c>
      <c r="B41" s="18">
        <f>SUM(B42:B48)</f>
        <v>639.96</v>
      </c>
      <c r="C41" s="19">
        <f>IF(B$40=0,0,B41/B$40)</f>
        <v>1</v>
      </c>
      <c r="D41" s="18">
        <f>SUM(D42:D48)</f>
        <v>343.64</v>
      </c>
      <c r="E41" s="19">
        <f>IF(D$40=0,0,D41/D$40)</f>
        <v>0.92354000376253065</v>
      </c>
      <c r="F41" s="18">
        <f>SUM(F42:F48)</f>
        <v>263.95</v>
      </c>
      <c r="G41" s="19">
        <f>IF(F$40=0,0,F41/F$40)</f>
        <v>1</v>
      </c>
      <c r="H41" s="18">
        <f>SUM(H42:H48)</f>
        <v>353</v>
      </c>
      <c r="I41" s="19">
        <f>IF(H$40=0,0,H41/H$40)</f>
        <v>1</v>
      </c>
      <c r="J41" s="18">
        <f>SUM(J42:J48)</f>
        <v>263</v>
      </c>
      <c r="K41" s="19">
        <f>IF(J$40=0,0,J41/J$40)</f>
        <v>0.83779306829765543</v>
      </c>
      <c r="L41" s="18">
        <f>SUM(L42:L48)</f>
        <v>278.24</v>
      </c>
      <c r="M41" s="19">
        <f>IF(L$40=0,0,L41/L$40)</f>
        <v>0.95209416917601974</v>
      </c>
      <c r="N41" s="18">
        <f>SUM(N42:N48)</f>
        <v>314.49</v>
      </c>
      <c r="O41" s="19">
        <f>IF(N$40=0,0,N41/N$40)</f>
        <v>0.7847535870243294</v>
      </c>
      <c r="P41" s="18">
        <f>SUM(P42:P48)</f>
        <v>366</v>
      </c>
      <c r="Q41" s="19">
        <f>IF(P$40=0,0,P41/P$40)</f>
        <v>1</v>
      </c>
      <c r="R41" s="18">
        <f>SUM(R42:R48)</f>
        <v>597.97</v>
      </c>
      <c r="S41" s="19">
        <f>IF(R$40=0,0,R41/R$40)</f>
        <v>0.71384912913199705</v>
      </c>
      <c r="T41" s="18">
        <f>SUM(T42:T48)</f>
        <v>469.27000000000004</v>
      </c>
      <c r="U41" s="19">
        <f>IF(T$40=0,0,T41/T$40)</f>
        <v>0.92968935731832947</v>
      </c>
      <c r="V41" s="18">
        <f>SUM(V42:V48)</f>
        <v>468.97</v>
      </c>
      <c r="W41" s="19">
        <f>IF(V$40=0,0,V41/V$40)</f>
        <v>0.71832064576408783</v>
      </c>
      <c r="X41" s="18">
        <f>SUM(X42:X48)</f>
        <v>1078.79</v>
      </c>
      <c r="Y41" s="19">
        <f>IF(X$40=0,0,X41/X$40)</f>
        <v>0.69070851420741941</v>
      </c>
      <c r="Z41" s="18">
        <f>SUM(Z42:Z48)</f>
        <v>5437.2800000000007</v>
      </c>
      <c r="AA41" s="19">
        <f>IF(Z$40=0,0,Z41/Z$40)</f>
        <v>0.82897118036550921</v>
      </c>
    </row>
    <row r="42" spans="1:27" hidden="1" outlineLevel="1" x14ac:dyDescent="0.2">
      <c r="A42" s="8" t="s">
        <v>16</v>
      </c>
      <c r="B42" s="20">
        <f>SUMIFS(Tabla2[IMPORT],Tabla2[ANY],$Z$2,Tabla2[MES],'2021'!B$2,Tabla2[TIPUS],'2021'!$A42)</f>
        <v>204</v>
      </c>
      <c r="C42" s="21">
        <f>IF(B$41=0,0,B42/B$41)</f>
        <v>0.31876992312019498</v>
      </c>
      <c r="D42" s="20">
        <f>SUMIFS(Tabla2[IMPORT],Tabla2[ANY],$Z$2,Tabla2[MES],'2021'!D$2,Tabla2[TIPUS],'2021'!$A42)</f>
        <v>204</v>
      </c>
      <c r="E42" s="21">
        <f>IF(D$41=0,0,D42/D$41)</f>
        <v>0.59364451169828891</v>
      </c>
      <c r="F42" s="20">
        <f>SUMIFS(Tabla2[IMPORT],Tabla2[ANY],$Z$2,Tabla2[MES],'2021'!F$2,Tabla2[TIPUS],'2021'!$A42)</f>
        <v>204</v>
      </c>
      <c r="G42" s="21">
        <f t="shared" ref="G42:G48" si="55">IF(F$41=0,0,F42/F$41)</f>
        <v>0.77287365031255928</v>
      </c>
      <c r="H42" s="20">
        <f>SUMIFS(Tabla2[IMPORT],Tabla2[ANY],$Z$2,Tabla2[MES],'2021'!H$2,Tabla2[TIPUS],'2021'!$A42)</f>
        <v>204</v>
      </c>
      <c r="I42" s="21">
        <f t="shared" ref="I42:I48" si="56">IF(H$41=0,0,H42/H$41)</f>
        <v>0.57790368271954673</v>
      </c>
      <c r="J42" s="20">
        <f>SUMIFS(Tabla2[IMPORT],Tabla2[ANY],$Z$2,Tabla2[MES],'2021'!J$2,Tabla2[TIPUS],'2021'!$A42)</f>
        <v>204</v>
      </c>
      <c r="K42" s="21">
        <f t="shared" ref="K42:K48" si="57">IF(J$41=0,0,J42/J$41)</f>
        <v>0.7756653992395437</v>
      </c>
      <c r="L42" s="20">
        <f>SUMIFS(Tabla2[IMPORT],Tabla2[ANY],$Z$2,Tabla2[MES],'2021'!L$2,Tabla2[TIPUS],'2021'!$A42)</f>
        <v>204</v>
      </c>
      <c r="M42" s="21">
        <f t="shared" ref="M42:M48" si="58">IF(L$41=0,0,L42/L$41)</f>
        <v>0.73317998849913746</v>
      </c>
      <c r="N42" s="20">
        <f>SUMIFS(Tabla2[IMPORT],Tabla2[ANY],$Z$2,Tabla2[MES],'2021'!N$2,Tabla2[TIPUS],'2021'!$A42)</f>
        <v>204</v>
      </c>
      <c r="O42" s="21">
        <f t="shared" ref="O42:O48" si="59">IF(N$41=0,0,N42/N$41)</f>
        <v>0.64866927406276831</v>
      </c>
      <c r="P42" s="20">
        <f>SUMIFS(Tabla2[IMPORT],Tabla2[ANY],$Z$2,Tabla2[MES],'2021'!P$2,Tabla2[TIPUS],'2021'!$A42)</f>
        <v>204</v>
      </c>
      <c r="Q42" s="21">
        <f t="shared" ref="Q42:Q48" si="60">IF(P$41=0,0,P42/P$41)</f>
        <v>0.55737704918032782</v>
      </c>
      <c r="R42" s="20">
        <f>SUMIFS(Tabla2[IMPORT],Tabla2[ANY],$Z$2,Tabla2[MES],'2021'!R$2,Tabla2[TIPUS],'2021'!$A42)</f>
        <v>204</v>
      </c>
      <c r="S42" s="21">
        <f t="shared" ref="S42:S48" si="61">IF(R$41=0,0,R42/R$41)</f>
        <v>0.34115423850694848</v>
      </c>
      <c r="T42" s="20">
        <f>SUMIFS(Tabla2[IMPORT],Tabla2[ANY],$Z$2,Tabla2[MES],'2021'!T$2,Tabla2[TIPUS],'2021'!$A42)</f>
        <v>204</v>
      </c>
      <c r="U42" s="21">
        <f t="shared" ref="U42:U48" si="62">IF(T$41=0,0,T42/T$41)</f>
        <v>0.43471775310588784</v>
      </c>
      <c r="V42" s="20">
        <f>SUMIFS(Tabla2[IMPORT],Tabla2[ANY],$Z$2,Tabla2[MES],'2021'!V$2,Tabla2[TIPUS],'2021'!$A42)</f>
        <v>204</v>
      </c>
      <c r="W42" s="21">
        <f t="shared" ref="W42:W48" si="63">IF(V$41=0,0,V42/V$41)</f>
        <v>0.43499584195151075</v>
      </c>
      <c r="X42" s="20">
        <f>SUMIFS(Tabla2[IMPORT],Tabla2[ANY],$Z$2,Tabla2[MES],'2021'!X$2,Tabla2[TIPUS],'2021'!$A42)</f>
        <v>204</v>
      </c>
      <c r="Y42" s="21">
        <f t="shared" ref="Y42:Y48" si="64">IF(X$41=0,0,X42/X$41)</f>
        <v>0.18910075176818472</v>
      </c>
      <c r="Z42" s="20">
        <f t="shared" ref="Z42:Z54" si="65">B42+D42+F42+H42+J42+L42+N42+P42+R42+T42+V42+X42</f>
        <v>2448</v>
      </c>
      <c r="AA42" s="21">
        <f>IF(Z$41=0,0,Z42/Z$41)</f>
        <v>0.45022511255627806</v>
      </c>
    </row>
    <row r="43" spans="1:27" hidden="1" outlineLevel="1" x14ac:dyDescent="0.2">
      <c r="A43" s="8" t="s">
        <v>17</v>
      </c>
      <c r="B43" s="20">
        <f>SUMIFS(Tabla2[IMPORT],Tabla2[ANY],$Z$2,Tabla2[MES],'2021'!B$2,Tabla2[TIPUS],'2021'!$A43)</f>
        <v>0</v>
      </c>
      <c r="C43" s="21">
        <f t="shared" ref="C43:E48" si="66">IF(B$41=0,0,B43/B$41)</f>
        <v>0</v>
      </c>
      <c r="D43" s="20">
        <f>SUMIFS(Tabla2[IMPORT],Tabla2[ANY],$Z$2,Tabla2[MES],'2021'!D$2,Tabla2[TIPUS],'2021'!$A43)</f>
        <v>84.060000000000016</v>
      </c>
      <c r="E43" s="21">
        <f t="shared" si="66"/>
        <v>0.24461645908508911</v>
      </c>
      <c r="F43" s="20">
        <f>SUMIFS(Tabla2[IMPORT],Tabla2[ANY],$Z$2,Tabla2[MES],'2021'!F$2,Tabla2[TIPUS],'2021'!$A43)</f>
        <v>0.95</v>
      </c>
      <c r="G43" s="21">
        <f t="shared" si="55"/>
        <v>3.5991665088084862E-3</v>
      </c>
      <c r="H43" s="20">
        <f>SUMIFS(Tabla2[IMPORT],Tabla2[ANY],$Z$2,Tabla2[MES],'2021'!H$2,Tabla2[TIPUS],'2021'!$A43)</f>
        <v>0</v>
      </c>
      <c r="I43" s="21">
        <f t="shared" si="56"/>
        <v>0</v>
      </c>
      <c r="J43" s="20">
        <f>SUMIFS(Tabla2[IMPORT],Tabla2[ANY],$Z$2,Tabla2[MES],'2021'!J$2,Tabla2[TIPUS],'2021'!$A43)</f>
        <v>0</v>
      </c>
      <c r="K43" s="21">
        <f t="shared" si="57"/>
        <v>0</v>
      </c>
      <c r="L43" s="20">
        <f>SUMIFS(Tabla2[IMPORT],Tabla2[ANY],$Z$2,Tabla2[MES],'2021'!L$2,Tabla2[TIPUS],'2021'!$A43)</f>
        <v>15.24</v>
      </c>
      <c r="M43" s="21">
        <f t="shared" si="58"/>
        <v>5.4772857964347325E-2</v>
      </c>
      <c r="N43" s="20">
        <f>SUMIFS(Tabla2[IMPORT],Tabla2[ANY],$Z$2,Tabla2[MES],'2021'!N$2,Tabla2[TIPUS],'2021'!$A43)</f>
        <v>51.49</v>
      </c>
      <c r="O43" s="21">
        <f t="shared" si="59"/>
        <v>0.16372539667398009</v>
      </c>
      <c r="P43" s="20">
        <f>SUMIFS(Tabla2[IMPORT],Tabla2[ANY],$Z$2,Tabla2[MES],'2021'!P$2,Tabla2[TIPUS],'2021'!$A43)</f>
        <v>103</v>
      </c>
      <c r="Q43" s="21">
        <f t="shared" si="60"/>
        <v>0.28142076502732238</v>
      </c>
      <c r="R43" s="20">
        <f>SUMIFS(Tabla2[IMPORT],Tabla2[ANY],$Z$2,Tabla2[MES],'2021'!R$2,Tabla2[TIPUS],'2021'!$A43)</f>
        <v>154.97</v>
      </c>
      <c r="S43" s="21">
        <f t="shared" si="61"/>
        <v>0.25916015853638141</v>
      </c>
      <c r="T43" s="20">
        <f>SUMIFS(Tabla2[IMPORT],Tabla2[ANY],$Z$2,Tabla2[MES],'2021'!T$2,Tabla2[TIPUS],'2021'!$A43)</f>
        <v>205.97</v>
      </c>
      <c r="U43" s="21">
        <f t="shared" si="62"/>
        <v>0.43891576278048883</v>
      </c>
      <c r="V43" s="20">
        <f>SUMIFS(Tabla2[IMPORT],Tabla2[ANY],$Z$2,Tabla2[MES],'2021'!V$2,Tabla2[TIPUS],'2021'!$A43)</f>
        <v>205.97</v>
      </c>
      <c r="W43" s="21">
        <f t="shared" si="63"/>
        <v>0.43919653709192485</v>
      </c>
      <c r="X43" s="20">
        <f>SUMIFS(Tabla2[IMPORT],Tabla2[ANY],$Z$2,Tabla2[MES],'2021'!X$2,Tabla2[TIPUS],'2021'!$A43)</f>
        <v>208.79</v>
      </c>
      <c r="Y43" s="21">
        <f t="shared" si="64"/>
        <v>0.19354091157685926</v>
      </c>
      <c r="Z43" s="20">
        <f t="shared" si="65"/>
        <v>1030.44</v>
      </c>
      <c r="AA43" s="21">
        <f t="shared" ref="AA43:AA48" si="67">IF(Z$41=0,0,Z43/Z$41)</f>
        <v>0.18951387458435098</v>
      </c>
    </row>
    <row r="44" spans="1:27" hidden="1" outlineLevel="1" x14ac:dyDescent="0.2">
      <c r="A44" s="8" t="s">
        <v>85</v>
      </c>
      <c r="B44" s="20">
        <f>SUMIFS(Tabla2[IMPORT],Tabla2[ANY],$Z$2,Tabla2[MES],'2021'!B$2,Tabla2[TIPUS],'2021'!$A44)</f>
        <v>0</v>
      </c>
      <c r="C44" s="21">
        <f t="shared" si="66"/>
        <v>0</v>
      </c>
      <c r="D44" s="20">
        <f>SUMIFS(Tabla2[IMPORT],Tabla2[ANY],$Z$2,Tabla2[MES],'2021'!D$2,Tabla2[TIPUS],'2021'!$A44)</f>
        <v>0</v>
      </c>
      <c r="E44" s="21">
        <f t="shared" si="66"/>
        <v>0</v>
      </c>
      <c r="F44" s="20">
        <f>SUMIFS(Tabla2[IMPORT],Tabla2[ANY],$Z$2,Tabla2[MES],'2021'!F$2,Tabla2[TIPUS],'2021'!$A44)</f>
        <v>0</v>
      </c>
      <c r="G44" s="21">
        <f t="shared" si="55"/>
        <v>0</v>
      </c>
      <c r="H44" s="20">
        <f>SUMIFS(Tabla2[IMPORT],Tabla2[ANY],$Z$2,Tabla2[MES],'2021'!H$2,Tabla2[TIPUS],'2021'!$A44)</f>
        <v>90</v>
      </c>
      <c r="I44" s="21">
        <f t="shared" si="56"/>
        <v>0.25495750708215298</v>
      </c>
      <c r="J44" s="20">
        <f>SUMIFS(Tabla2[IMPORT],Tabla2[ANY],$Z$2,Tabla2[MES],'2021'!J$2,Tabla2[TIPUS],'2021'!$A44)</f>
        <v>0</v>
      </c>
      <c r="K44" s="21">
        <f t="shared" si="57"/>
        <v>0</v>
      </c>
      <c r="L44" s="20">
        <f>SUMIFS(Tabla2[IMPORT],Tabla2[ANY],$Z$2,Tabla2[MES],'2021'!L$2,Tabla2[TIPUS],'2021'!$A44)</f>
        <v>0</v>
      </c>
      <c r="M44" s="21">
        <f t="shared" si="58"/>
        <v>0</v>
      </c>
      <c r="N44" s="20">
        <f>SUMIFS(Tabla2[IMPORT],Tabla2[ANY],$Z$2,Tabla2[MES],'2021'!N$2,Tabla2[TIPUS],'2021'!$A44)</f>
        <v>0</v>
      </c>
      <c r="O44" s="21">
        <f t="shared" si="59"/>
        <v>0</v>
      </c>
      <c r="P44" s="20">
        <f>SUMIFS(Tabla2[IMPORT],Tabla2[ANY],$Z$2,Tabla2[MES],'2021'!P$2,Tabla2[TIPUS],'2021'!$A44)</f>
        <v>0</v>
      </c>
      <c r="Q44" s="21">
        <f t="shared" si="60"/>
        <v>0</v>
      </c>
      <c r="R44" s="20">
        <f>SUMIFS(Tabla2[IMPORT],Tabla2[ANY],$Z$2,Tabla2[MES],'2021'!R$2,Tabla2[TIPUS],'2021'!$A44)</f>
        <v>180</v>
      </c>
      <c r="S44" s="21">
        <f t="shared" si="61"/>
        <v>0.30101844574142517</v>
      </c>
      <c r="T44" s="20">
        <f>SUMIFS(Tabla2[IMPORT],Tabla2[ANY],$Z$2,Tabla2[MES],'2021'!T$2,Tabla2[TIPUS],'2021'!$A44)</f>
        <v>0</v>
      </c>
      <c r="U44" s="21">
        <f t="shared" si="62"/>
        <v>0</v>
      </c>
      <c r="V44" s="20">
        <f>SUMIFS(Tabla2[IMPORT],Tabla2[ANY],$Z$2,Tabla2[MES],'2021'!V$2,Tabla2[TIPUS],'2021'!$A44)</f>
        <v>0</v>
      </c>
      <c r="W44" s="21">
        <f t="shared" si="63"/>
        <v>0</v>
      </c>
      <c r="X44" s="20">
        <f>SUMIFS(Tabla2[IMPORT],Tabla2[ANY],$Z$2,Tabla2[MES],'2021'!X$2,Tabla2[TIPUS],'2021'!$A44)</f>
        <v>90</v>
      </c>
      <c r="Y44" s="21">
        <f t="shared" si="64"/>
        <v>8.3426802250669729E-2</v>
      </c>
      <c r="Z44" s="20">
        <f t="shared" si="65"/>
        <v>360</v>
      </c>
      <c r="AA44" s="21">
        <f t="shared" si="67"/>
        <v>6.6209575375923244E-2</v>
      </c>
    </row>
    <row r="45" spans="1:27" hidden="1" outlineLevel="1" x14ac:dyDescent="0.2">
      <c r="A45" s="8" t="s">
        <v>94</v>
      </c>
      <c r="B45" s="20">
        <f>SUMIFS(Tabla2[IMPORT],Tabla2[ANY],$Z$2,Tabla2[MES],'2021'!B$2,Tabla2[TIPUS],'2021'!$A45)</f>
        <v>382.66</v>
      </c>
      <c r="C45" s="21">
        <f t="shared" si="66"/>
        <v>0.59794362147634228</v>
      </c>
      <c r="D45" s="20">
        <f>SUMIFS(Tabla2[IMPORT],Tabla2[ANY],$Z$2,Tabla2[MES],'2021'!D$2,Tabla2[TIPUS],'2021'!$A45)</f>
        <v>0</v>
      </c>
      <c r="E45" s="21">
        <f t="shared" si="66"/>
        <v>0</v>
      </c>
      <c r="F45" s="20">
        <f>SUMIFS(Tabla2[IMPORT],Tabla2[ANY],$Z$2,Tabla2[MES],'2021'!F$2,Tabla2[TIPUS],'2021'!$A45)</f>
        <v>0</v>
      </c>
      <c r="G45" s="21">
        <f t="shared" si="55"/>
        <v>0</v>
      </c>
      <c r="H45" s="20">
        <f>SUMIFS(Tabla2[IMPORT],Tabla2[ANY],$Z$2,Tabla2[MES],'2021'!H$2,Tabla2[TIPUS],'2021'!$A45)</f>
        <v>0</v>
      </c>
      <c r="I45" s="21">
        <f t="shared" si="56"/>
        <v>0</v>
      </c>
      <c r="J45" s="20">
        <f>SUMIFS(Tabla2[IMPORT],Tabla2[ANY],$Z$2,Tabla2[MES],'2021'!J$2,Tabla2[TIPUS],'2021'!$A45)</f>
        <v>0</v>
      </c>
      <c r="K45" s="21">
        <f t="shared" si="57"/>
        <v>0</v>
      </c>
      <c r="L45" s="20">
        <f>SUMIFS(Tabla2[IMPORT],Tabla2[ANY],$Z$2,Tabla2[MES],'2021'!L$2,Tabla2[TIPUS],'2021'!$A45)</f>
        <v>0</v>
      </c>
      <c r="M45" s="21">
        <f t="shared" si="58"/>
        <v>0</v>
      </c>
      <c r="N45" s="20">
        <f>SUMIFS(Tabla2[IMPORT],Tabla2[ANY],$Z$2,Tabla2[MES],'2021'!N$2,Tabla2[TIPUS],'2021'!$A45)</f>
        <v>0</v>
      </c>
      <c r="O45" s="21">
        <f t="shared" si="59"/>
        <v>0</v>
      </c>
      <c r="P45" s="20">
        <f>SUMIFS(Tabla2[IMPORT],Tabla2[ANY],$Z$2,Tabla2[MES],'2021'!P$2,Tabla2[TIPUS],'2021'!$A45)</f>
        <v>0</v>
      </c>
      <c r="Q45" s="21">
        <f t="shared" si="60"/>
        <v>0</v>
      </c>
      <c r="R45" s="20">
        <f>SUMIFS(Tabla2[IMPORT],Tabla2[ANY],$Z$2,Tabla2[MES],'2021'!R$2,Tabla2[TIPUS],'2021'!$A45)</f>
        <v>0</v>
      </c>
      <c r="S45" s="21">
        <f t="shared" si="61"/>
        <v>0</v>
      </c>
      <c r="T45" s="20">
        <f>SUMIFS(Tabla2[IMPORT],Tabla2[ANY],$Z$2,Tabla2[MES],'2021'!T$2,Tabla2[TIPUS],'2021'!$A45)</f>
        <v>0</v>
      </c>
      <c r="U45" s="21">
        <f t="shared" si="62"/>
        <v>0</v>
      </c>
      <c r="V45" s="20">
        <f>SUMIFS(Tabla2[IMPORT],Tabla2[ANY],$Z$2,Tabla2[MES],'2021'!V$2,Tabla2[TIPUS],'2021'!$A45)</f>
        <v>0</v>
      </c>
      <c r="W45" s="21">
        <f t="shared" si="63"/>
        <v>0</v>
      </c>
      <c r="X45" s="20">
        <f>SUMIFS(Tabla2[IMPORT],Tabla2[ANY],$Z$2,Tabla2[MES],'2021'!X$2,Tabla2[TIPUS],'2021'!$A45)</f>
        <v>0</v>
      </c>
      <c r="Y45" s="21">
        <f t="shared" si="64"/>
        <v>0</v>
      </c>
      <c r="Z45" s="20">
        <f t="shared" si="65"/>
        <v>382.66</v>
      </c>
      <c r="AA45" s="21">
        <f t="shared" si="67"/>
        <v>7.0377100314863314E-2</v>
      </c>
    </row>
    <row r="46" spans="1:27" hidden="1" outlineLevel="1" x14ac:dyDescent="0.2">
      <c r="A46" s="8" t="s">
        <v>118</v>
      </c>
      <c r="B46" s="20">
        <f>SUMIFS(Tabla2[IMPORT],Tabla2[ANY],$Z$2,Tabla2[MES],'2021'!B$2,Tabla2[TIPUS],'2021'!$A46)</f>
        <v>0</v>
      </c>
      <c r="C46" s="21">
        <f t="shared" si="66"/>
        <v>0</v>
      </c>
      <c r="D46" s="20">
        <f>SUMIFS(Tabla2[IMPORT],Tabla2[ANY],$Z$2,Tabla2[MES],'2021'!D$2,Tabla2[TIPUS],'2021'!$A46)</f>
        <v>0</v>
      </c>
      <c r="E46" s="21">
        <f t="shared" si="66"/>
        <v>0</v>
      </c>
      <c r="F46" s="20">
        <f>SUMIFS(Tabla2[IMPORT],Tabla2[ANY],$Z$2,Tabla2[MES],'2021'!F$2,Tabla2[TIPUS],'2021'!$A46)</f>
        <v>0</v>
      </c>
      <c r="G46" s="21">
        <f t="shared" si="55"/>
        <v>0</v>
      </c>
      <c r="H46" s="20">
        <f>SUMIFS(Tabla2[IMPORT],Tabla2[ANY],$Z$2,Tabla2[MES],'2021'!H$2,Tabla2[TIPUS],'2021'!$A46)</f>
        <v>0</v>
      </c>
      <c r="I46" s="21">
        <f t="shared" si="56"/>
        <v>0</v>
      </c>
      <c r="J46" s="20">
        <f>SUMIFS(Tabla2[IMPORT],Tabla2[ANY],$Z$2,Tabla2[MES],'2021'!J$2,Tabla2[TIPUS],'2021'!$A46)</f>
        <v>0</v>
      </c>
      <c r="K46" s="21">
        <f t="shared" si="57"/>
        <v>0</v>
      </c>
      <c r="L46" s="20">
        <f>SUMIFS(Tabla2[IMPORT],Tabla2[ANY],$Z$2,Tabla2[MES],'2021'!L$2,Tabla2[TIPUS],'2021'!$A46)</f>
        <v>0</v>
      </c>
      <c r="M46" s="21">
        <f t="shared" si="58"/>
        <v>0</v>
      </c>
      <c r="N46" s="20">
        <f>SUMIFS(Tabla2[IMPORT],Tabla2[ANY],$Z$2,Tabla2[MES],'2021'!N$2,Tabla2[TIPUS],'2021'!$A46)</f>
        <v>0</v>
      </c>
      <c r="O46" s="21">
        <f t="shared" si="59"/>
        <v>0</v>
      </c>
      <c r="P46" s="20">
        <f>SUMIFS(Tabla2[IMPORT],Tabla2[ANY],$Z$2,Tabla2[MES],'2021'!P$2,Tabla2[TIPUS],'2021'!$A46)</f>
        <v>0</v>
      </c>
      <c r="Q46" s="21">
        <f t="shared" si="60"/>
        <v>0</v>
      </c>
      <c r="R46" s="20">
        <f>SUMIFS(Tabla2[IMPORT],Tabla2[ANY],$Z$2,Tabla2[MES],'2021'!R$2,Tabla2[TIPUS],'2021'!$A46)</f>
        <v>0</v>
      </c>
      <c r="S46" s="21">
        <f t="shared" si="61"/>
        <v>0</v>
      </c>
      <c r="T46" s="20">
        <f>SUMIFS(Tabla2[IMPORT],Tabla2[ANY],$Z$2,Tabla2[MES],'2021'!T$2,Tabla2[TIPUS],'2021'!$A46)</f>
        <v>0</v>
      </c>
      <c r="U46" s="21">
        <f t="shared" si="62"/>
        <v>0</v>
      </c>
      <c r="V46" s="20">
        <f>SUMIFS(Tabla2[IMPORT],Tabla2[ANY],$Z$2,Tabla2[MES],'2021'!V$2,Tabla2[TIPUS],'2021'!$A46)</f>
        <v>0</v>
      </c>
      <c r="W46" s="21">
        <f t="shared" si="63"/>
        <v>0</v>
      </c>
      <c r="X46" s="20">
        <f>SUMIFS(Tabla2[IMPORT],Tabla2[ANY],$Z$2,Tabla2[MES],'2021'!X$2,Tabla2[TIPUS],'2021'!$A46)</f>
        <v>499</v>
      </c>
      <c r="Y46" s="21">
        <f t="shared" si="64"/>
        <v>0.46255527025649107</v>
      </c>
      <c r="Z46" s="20">
        <f t="shared" si="65"/>
        <v>499</v>
      </c>
      <c r="AA46" s="21">
        <f t="shared" si="67"/>
        <v>9.1773828090515833E-2</v>
      </c>
    </row>
    <row r="47" spans="1:27" hidden="1" outlineLevel="1" x14ac:dyDescent="0.2">
      <c r="A47" s="8" t="s">
        <v>97</v>
      </c>
      <c r="B47" s="20">
        <f>SUMIFS(Tabla2[IMPORT],Tabla2[ANY],$Z$2,Tabla2[MES],'2021'!B$2,Tabla2[TIPUS],'2021'!$A47)</f>
        <v>0</v>
      </c>
      <c r="C47" s="21">
        <f t="shared" si="66"/>
        <v>0</v>
      </c>
      <c r="D47" s="20">
        <f>SUMIFS(Tabla2[IMPORT],Tabla2[ANY],$Z$2,Tabla2[MES],'2021'!D$2,Tabla2[TIPUS],'2021'!$A47)</f>
        <v>0</v>
      </c>
      <c r="E47" s="21">
        <f t="shared" si="66"/>
        <v>0</v>
      </c>
      <c r="F47" s="20">
        <f>SUMIFS(Tabla2[IMPORT],Tabla2[ANY],$Z$2,Tabla2[MES],'2021'!F$2,Tabla2[TIPUS],'2021'!$A47)</f>
        <v>0</v>
      </c>
      <c r="G47" s="21">
        <f t="shared" si="55"/>
        <v>0</v>
      </c>
      <c r="H47" s="20">
        <f>SUMIFS(Tabla2[IMPORT],Tabla2[ANY],$Z$2,Tabla2[MES],'2021'!H$2,Tabla2[TIPUS],'2021'!$A47)</f>
        <v>0</v>
      </c>
      <c r="I47" s="21">
        <f t="shared" si="56"/>
        <v>0</v>
      </c>
      <c r="J47" s="20">
        <f>SUMIFS(Tabla2[IMPORT],Tabla2[ANY],$Z$2,Tabla2[MES],'2021'!J$2,Tabla2[TIPUS],'2021'!$A47)</f>
        <v>0</v>
      </c>
      <c r="K47" s="21">
        <f t="shared" si="57"/>
        <v>0</v>
      </c>
      <c r="L47" s="20">
        <f>SUMIFS(Tabla2[IMPORT],Tabla2[ANY],$Z$2,Tabla2[MES],'2021'!L$2,Tabla2[TIPUS],'2021'!$A47)</f>
        <v>0</v>
      </c>
      <c r="M47" s="21">
        <f t="shared" si="58"/>
        <v>0</v>
      </c>
      <c r="N47" s="20">
        <f>SUMIFS(Tabla2[IMPORT],Tabla2[ANY],$Z$2,Tabla2[MES],'2021'!N$2,Tabla2[TIPUS],'2021'!$A47)</f>
        <v>0</v>
      </c>
      <c r="O47" s="21">
        <f t="shared" si="59"/>
        <v>0</v>
      </c>
      <c r="P47" s="20">
        <f>SUMIFS(Tabla2[IMPORT],Tabla2[ANY],$Z$2,Tabla2[MES],'2021'!P$2,Tabla2[TIPUS],'2021'!$A47)</f>
        <v>0</v>
      </c>
      <c r="Q47" s="21">
        <f t="shared" si="60"/>
        <v>0</v>
      </c>
      <c r="R47" s="20">
        <f>SUMIFS(Tabla2[IMPORT],Tabla2[ANY],$Z$2,Tabla2[MES],'2021'!R$2,Tabla2[TIPUS],'2021'!$A47)</f>
        <v>0</v>
      </c>
      <c r="S47" s="21">
        <f t="shared" si="61"/>
        <v>0</v>
      </c>
      <c r="T47" s="20">
        <f>SUMIFS(Tabla2[IMPORT],Tabla2[ANY],$Z$2,Tabla2[MES],'2021'!T$2,Tabla2[TIPUS],'2021'!$A47)</f>
        <v>0</v>
      </c>
      <c r="U47" s="21">
        <f t="shared" si="62"/>
        <v>0</v>
      </c>
      <c r="V47" s="20">
        <f>SUMIFS(Tabla2[IMPORT],Tabla2[ANY],$Z$2,Tabla2[MES],'2021'!V$2,Tabla2[TIPUS],'2021'!$A47)</f>
        <v>0</v>
      </c>
      <c r="W47" s="21">
        <f t="shared" si="63"/>
        <v>0</v>
      </c>
      <c r="X47" s="20">
        <f>SUMIFS(Tabla2[IMPORT],Tabla2[ANY],$Z$2,Tabla2[MES],'2021'!X$2,Tabla2[TIPUS],'2021'!$A47)</f>
        <v>18</v>
      </c>
      <c r="Y47" s="21">
        <f t="shared" si="64"/>
        <v>1.6685360450133947E-2</v>
      </c>
      <c r="Z47" s="20">
        <f t="shared" si="65"/>
        <v>18</v>
      </c>
      <c r="AA47" s="21">
        <f t="shared" si="67"/>
        <v>3.3104787687961625E-3</v>
      </c>
    </row>
    <row r="48" spans="1:27" hidden="1" outlineLevel="1" x14ac:dyDescent="0.2">
      <c r="A48" s="8" t="s">
        <v>113</v>
      </c>
      <c r="B48" s="20">
        <f>SUMIFS(Tabla2[IMPORT],Tabla2[ANY],$Z$2,Tabla2[MES],'2021'!B$2,Tabla2[TIPUS],'2021'!$A48)</f>
        <v>53.3</v>
      </c>
      <c r="C48" s="21">
        <f t="shared" si="66"/>
        <v>8.3286455403462703E-2</v>
      </c>
      <c r="D48" s="20">
        <f>SUMIFS(Tabla2[IMPORT],Tabla2[ANY],$Z$2,Tabla2[MES],'2021'!D$2,Tabla2[TIPUS],'2021'!$A48)</f>
        <v>55.58</v>
      </c>
      <c r="E48" s="21">
        <f t="shared" si="66"/>
        <v>0.16173902921662206</v>
      </c>
      <c r="F48" s="20">
        <f>SUMIFS(Tabla2[IMPORT],Tabla2[ANY],$Z$2,Tabla2[MES],'2021'!F$2,Tabla2[TIPUS],'2021'!$A48)</f>
        <v>59</v>
      </c>
      <c r="G48" s="21">
        <f t="shared" si="55"/>
        <v>0.22352718317863232</v>
      </c>
      <c r="H48" s="20">
        <f>SUMIFS(Tabla2[IMPORT],Tabla2[ANY],$Z$2,Tabla2[MES],'2021'!H$2,Tabla2[TIPUS],'2021'!$A48)</f>
        <v>59</v>
      </c>
      <c r="I48" s="21">
        <f t="shared" si="56"/>
        <v>0.16713881019830029</v>
      </c>
      <c r="J48" s="20">
        <f>SUMIFS(Tabla2[IMPORT],Tabla2[ANY],$Z$2,Tabla2[MES],'2021'!J$2,Tabla2[TIPUS],'2021'!$A48)</f>
        <v>59</v>
      </c>
      <c r="K48" s="21">
        <f t="shared" si="57"/>
        <v>0.22433460076045628</v>
      </c>
      <c r="L48" s="20">
        <f>SUMIFS(Tabla2[IMPORT],Tabla2[ANY],$Z$2,Tabla2[MES],'2021'!L$2,Tabla2[TIPUS],'2021'!$A48)</f>
        <v>59</v>
      </c>
      <c r="M48" s="21">
        <f t="shared" si="58"/>
        <v>0.21204715353651524</v>
      </c>
      <c r="N48" s="20">
        <f>SUMIFS(Tabla2[IMPORT],Tabla2[ANY],$Z$2,Tabla2[MES],'2021'!N$2,Tabla2[TIPUS],'2021'!$A48)</f>
        <v>59</v>
      </c>
      <c r="O48" s="21">
        <f t="shared" si="59"/>
        <v>0.1876053292632516</v>
      </c>
      <c r="P48" s="20">
        <f>SUMIFS(Tabla2[IMPORT],Tabla2[ANY],$Z$2,Tabla2[MES],'2021'!P$2,Tabla2[TIPUS],'2021'!$A48)</f>
        <v>59</v>
      </c>
      <c r="Q48" s="21">
        <f t="shared" si="60"/>
        <v>0.16120218579234974</v>
      </c>
      <c r="R48" s="20">
        <f>SUMIFS(Tabla2[IMPORT],Tabla2[ANY],$Z$2,Tabla2[MES],'2021'!R$2,Tabla2[TIPUS],'2021'!$A48)</f>
        <v>59</v>
      </c>
      <c r="S48" s="21">
        <f t="shared" si="61"/>
        <v>9.8667157215244911E-2</v>
      </c>
      <c r="T48" s="20">
        <f>SUMIFS(Tabla2[IMPORT],Tabla2[ANY],$Z$2,Tabla2[MES],'2021'!T$2,Tabla2[TIPUS],'2021'!$A48)</f>
        <v>59.3</v>
      </c>
      <c r="U48" s="21">
        <f t="shared" si="62"/>
        <v>0.12636648411362328</v>
      </c>
      <c r="V48" s="20">
        <f>SUMIFS(Tabla2[IMPORT],Tabla2[ANY],$Z$2,Tabla2[MES],'2021'!V$2,Tabla2[TIPUS],'2021'!$A48)</f>
        <v>59</v>
      </c>
      <c r="W48" s="21">
        <f t="shared" si="63"/>
        <v>0.12580762095656439</v>
      </c>
      <c r="X48" s="20">
        <f>SUMIFS(Tabla2[IMPORT],Tabla2[ANY],$Z$2,Tabla2[MES],'2021'!X$2,Tabla2[TIPUS],'2021'!$A48)</f>
        <v>59</v>
      </c>
      <c r="Y48" s="21">
        <f t="shared" si="64"/>
        <v>5.4690903697661268E-2</v>
      </c>
      <c r="Z48" s="20">
        <f t="shared" si="65"/>
        <v>699.18</v>
      </c>
      <c r="AA48" s="21">
        <f t="shared" si="67"/>
        <v>0.12859003030927227</v>
      </c>
    </row>
    <row r="49" spans="1:29" collapsed="1" x14ac:dyDescent="0.2">
      <c r="A49" s="34" t="s">
        <v>86</v>
      </c>
      <c r="B49" s="18">
        <f>SUM(B50:B54)</f>
        <v>0</v>
      </c>
      <c r="C49" s="19">
        <f>IF(B$40=0,0,B49/B$40)</f>
        <v>0</v>
      </c>
      <c r="D49" s="18">
        <f>SUM(D50:D54)</f>
        <v>28.45</v>
      </c>
      <c r="E49" s="19">
        <f>IF(D$40=0,0,D49/D$40)</f>
        <v>7.6459996237469435E-2</v>
      </c>
      <c r="F49" s="18">
        <f>SUM(F50:F54)</f>
        <v>0</v>
      </c>
      <c r="G49" s="19">
        <f>IF(F$40=0,0,F49/F$40)</f>
        <v>0</v>
      </c>
      <c r="H49" s="18">
        <f>SUM(H50:H54)</f>
        <v>0</v>
      </c>
      <c r="I49" s="19">
        <f>IF(H$40=0,0,H49/H$40)</f>
        <v>0</v>
      </c>
      <c r="J49" s="18">
        <f>SUM(J50:J54)</f>
        <v>50.92</v>
      </c>
      <c r="K49" s="19">
        <f>IF(J$40=0,0,J49/J$40)</f>
        <v>0.16220693170234454</v>
      </c>
      <c r="L49" s="18">
        <f>SUM(L50:L54)</f>
        <v>14</v>
      </c>
      <c r="M49" s="19">
        <f>IF(L$40=0,0,L49/L$40)</f>
        <v>4.790583082398029E-2</v>
      </c>
      <c r="N49" s="18">
        <f>SUM(N50:N54)</f>
        <v>86.26</v>
      </c>
      <c r="O49" s="19">
        <f>IF(N$40=0,0,N49/N$40)</f>
        <v>0.21524641297567063</v>
      </c>
      <c r="P49" s="18">
        <f>SUM(P50:P54)</f>
        <v>0</v>
      </c>
      <c r="Q49" s="19">
        <f>IF(P$40=0,0,P49/P$40)</f>
        <v>0</v>
      </c>
      <c r="R49" s="18">
        <f>SUM(R50:R54)</f>
        <v>239.7</v>
      </c>
      <c r="S49" s="19">
        <f>IF(R$40=0,0,R49/R$40)</f>
        <v>0.28615087086800289</v>
      </c>
      <c r="T49" s="18">
        <f>SUM(T50:T54)</f>
        <v>35.49</v>
      </c>
      <c r="U49" s="19">
        <f>IF(T$40=0,0,T49/T$40)</f>
        <v>7.031064268167049E-2</v>
      </c>
      <c r="V49" s="18">
        <f>SUM(V50:V54)</f>
        <v>183.89999999999998</v>
      </c>
      <c r="W49" s="19">
        <f>IF(V$40=0,0,V49/V$40)</f>
        <v>0.28167935423591217</v>
      </c>
      <c r="X49" s="18">
        <f>SUM(X50:X54)</f>
        <v>483.07</v>
      </c>
      <c r="Y49" s="19">
        <f>IF(X$40=0,0,X49/X$40)</f>
        <v>0.30929148579258064</v>
      </c>
      <c r="Z49" s="18">
        <f>SUM(Z50:Z54)</f>
        <v>1121.79</v>
      </c>
      <c r="AA49" s="19">
        <f>IF(Z$40=0,0,Z49/Z$40)</f>
        <v>0.17102881963449085</v>
      </c>
    </row>
    <row r="50" spans="1:29" hidden="1" outlineLevel="1" x14ac:dyDescent="0.2">
      <c r="A50" s="8" t="s">
        <v>87</v>
      </c>
      <c r="B50" s="20">
        <f>SUMIFS(Tabla2[IMPORT],Tabla2[ANY],$Z$2,Tabla2[MES],'2021'!B$2,Tabla2[TIPUS],'2021'!$A50)</f>
        <v>0</v>
      </c>
      <c r="C50" s="21">
        <f>IF(B$49=0,0,B50/B$49)</f>
        <v>0</v>
      </c>
      <c r="D50" s="20">
        <f>SUMIFS(Tabla2[IMPORT],Tabla2[ANY],$Z$2,Tabla2[MES],'2021'!D$2,Tabla2[TIPUS],'2021'!$A50)</f>
        <v>0</v>
      </c>
      <c r="E50" s="21">
        <f>IF(D$49=0,0,D50/D$49)</f>
        <v>0</v>
      </c>
      <c r="F50" s="20">
        <f>SUMIFS(Tabla2[IMPORT],Tabla2[ANY],$Z$2,Tabla2[MES],'2021'!F$2,Tabla2[TIPUS],'2021'!$A50)</f>
        <v>0</v>
      </c>
      <c r="G50" s="21">
        <f>IF(F$49=0,0,F50/F$49)</f>
        <v>0</v>
      </c>
      <c r="H50" s="20">
        <f>SUMIFS(Tabla2[IMPORT],Tabla2[ANY],$Z$2,Tabla2[MES],'2021'!H$2,Tabla2[TIPUS],'2021'!$A50)</f>
        <v>0</v>
      </c>
      <c r="I50" s="21">
        <f>IF(H$49=0,0,H50/H$49)</f>
        <v>0</v>
      </c>
      <c r="J50" s="20">
        <f>SUMIFS(Tabla2[IMPORT],Tabla2[ANY],$Z$2,Tabla2[MES],'2021'!J$2,Tabla2[TIPUS],'2021'!$A50)</f>
        <v>0</v>
      </c>
      <c r="K50" s="21">
        <f>IF(J$49=0,0,J50/J$49)</f>
        <v>0</v>
      </c>
      <c r="L50" s="20">
        <f>SUMIFS(Tabla2[IMPORT],Tabla2[ANY],$Z$2,Tabla2[MES],'2021'!L$2,Tabla2[TIPUS],'2021'!$A50)</f>
        <v>0</v>
      </c>
      <c r="M50" s="21">
        <f>IF(L$49=0,0,L50/L$49)</f>
        <v>0</v>
      </c>
      <c r="N50" s="20">
        <f>SUMIFS(Tabla2[IMPORT],Tabla2[ANY],$Z$2,Tabla2[MES],'2021'!N$2,Tabla2[TIPUS],'2021'!$A50)</f>
        <v>86.26</v>
      </c>
      <c r="O50" s="21">
        <f>IF(N$49=0,0,N50/N$49)</f>
        <v>1</v>
      </c>
      <c r="P50" s="20">
        <f>SUMIFS(Tabla2[IMPORT],Tabla2[ANY],$Z$2,Tabla2[MES],'2021'!P$2,Tabla2[TIPUS],'2021'!$A50)</f>
        <v>0</v>
      </c>
      <c r="Q50" s="21">
        <f>IF(P$49=0,0,P50/P$49)</f>
        <v>0</v>
      </c>
      <c r="R50" s="20">
        <f>SUMIFS(Tabla2[IMPORT],Tabla2[ANY],$Z$2,Tabla2[MES],'2021'!R$2,Tabla2[TIPUS],'2021'!$A50)</f>
        <v>107.7</v>
      </c>
      <c r="S50" s="21">
        <f>IF(R$49=0,0,R50/R$49)</f>
        <v>0.44931163954943681</v>
      </c>
      <c r="T50" s="20">
        <f>SUMIFS(Tabla2[IMPORT],Tabla2[ANY],$Z$2,Tabla2[MES],'2021'!T$2,Tabla2[TIPUS],'2021'!$A50)</f>
        <v>0</v>
      </c>
      <c r="U50" s="21">
        <f>IF(T$49=0,0,T50/T$49)</f>
        <v>0</v>
      </c>
      <c r="V50" s="20">
        <f>SUMIFS(Tabla2[IMPORT],Tabla2[ANY],$Z$2,Tabla2[MES],'2021'!V$2,Tabla2[TIPUS],'2021'!$A50)</f>
        <v>0</v>
      </c>
      <c r="W50" s="21">
        <f>IF(V$49=0,0,V50/V$49)</f>
        <v>0</v>
      </c>
      <c r="X50" s="20">
        <f>SUMIFS(Tabla2[IMPORT],Tabla2[ANY],$Z$2,Tabla2[MES],'2021'!X$2,Tabla2[TIPUS],'2021'!$A50)</f>
        <v>254.43</v>
      </c>
      <c r="Y50" s="21">
        <f>IF(X$49=0,0,X50/X$49)</f>
        <v>0.52669385389281054</v>
      </c>
      <c r="Z50" s="20">
        <f t="shared" si="65"/>
        <v>448.39</v>
      </c>
      <c r="AA50" s="21">
        <f>IF(Z$49=0,0,Z50/Z$49)</f>
        <v>0.39970939302364972</v>
      </c>
      <c r="AC50" s="79">
        <f>Z50-N50</f>
        <v>362.13</v>
      </c>
    </row>
    <row r="51" spans="1:29" hidden="1" outlineLevel="1" x14ac:dyDescent="0.2">
      <c r="A51" s="8" t="s">
        <v>88</v>
      </c>
      <c r="B51" s="20">
        <f>SUMIFS(Tabla2[IMPORT],Tabla2[ANY],$Z$2,Tabla2[MES],'2021'!B$2,Tabla2[TIPUS],'2021'!$A51)</f>
        <v>0</v>
      </c>
      <c r="C51" s="21">
        <f t="shared" ref="C51:E54" si="68">IF(B$49=0,0,B51/B$49)</f>
        <v>0</v>
      </c>
      <c r="D51" s="20">
        <f>SUMIFS(Tabla2[IMPORT],Tabla2[ANY],$Z$2,Tabla2[MES],'2021'!D$2,Tabla2[TIPUS],'2021'!$A51)</f>
        <v>28.45</v>
      </c>
      <c r="E51" s="21">
        <f t="shared" si="68"/>
        <v>1</v>
      </c>
      <c r="F51" s="20">
        <f>SUMIFS(Tabla2[IMPORT],Tabla2[ANY],$Z$2,Tabla2[MES],'2021'!F$2,Tabla2[TIPUS],'2021'!$A51)</f>
        <v>0</v>
      </c>
      <c r="G51" s="21">
        <f>IF(F$49=0,0,F51/F$49)</f>
        <v>0</v>
      </c>
      <c r="H51" s="20">
        <f>SUMIFS(Tabla2[IMPORT],Tabla2[ANY],$Z$2,Tabla2[MES],'2021'!H$2,Tabla2[TIPUS],'2021'!$A51)</f>
        <v>0</v>
      </c>
      <c r="I51" s="21">
        <f>IF(H$49=0,0,H51/H$49)</f>
        <v>0</v>
      </c>
      <c r="J51" s="20">
        <f>SUMIFS(Tabla2[IMPORT],Tabla2[ANY],$Z$2,Tabla2[MES],'2021'!J$2,Tabla2[TIPUS],'2021'!$A51)</f>
        <v>0</v>
      </c>
      <c r="K51" s="21">
        <f>IF(J$49=0,0,J51/J$49)</f>
        <v>0</v>
      </c>
      <c r="L51" s="20">
        <f>SUMIFS(Tabla2[IMPORT],Tabla2[ANY],$Z$2,Tabla2[MES],'2021'!L$2,Tabla2[TIPUS],'2021'!$A51)</f>
        <v>0</v>
      </c>
      <c r="M51" s="21">
        <f>IF(L$49=0,0,L51/L$49)</f>
        <v>0</v>
      </c>
      <c r="N51" s="20">
        <f>SUMIFS(Tabla2[IMPORT],Tabla2[ANY],$Z$2,Tabla2[MES],'2021'!N$2,Tabla2[TIPUS],'2021'!$A51)</f>
        <v>0</v>
      </c>
      <c r="O51" s="21">
        <f>IF(N$49=0,0,N51/N$49)</f>
        <v>0</v>
      </c>
      <c r="P51" s="20">
        <f>SUMIFS(Tabla2[IMPORT],Tabla2[ANY],$Z$2,Tabla2[MES],'2021'!P$2,Tabla2[TIPUS],'2021'!$A51)</f>
        <v>0</v>
      </c>
      <c r="Q51" s="21">
        <f>IF(P$49=0,0,P51/P$49)</f>
        <v>0</v>
      </c>
      <c r="R51" s="20">
        <f>SUMIFS(Tabla2[IMPORT],Tabla2[ANY],$Z$2,Tabla2[MES],'2021'!R$2,Tabla2[TIPUS],'2021'!$A51)</f>
        <v>0</v>
      </c>
      <c r="S51" s="21">
        <f>IF(R$49=0,0,R51/R$49)</f>
        <v>0</v>
      </c>
      <c r="T51" s="20">
        <f>SUMIFS(Tabla2[IMPORT],Tabla2[ANY],$Z$2,Tabla2[MES],'2021'!T$2,Tabla2[TIPUS],'2021'!$A51)</f>
        <v>0</v>
      </c>
      <c r="U51" s="21">
        <f>IF(T$49=0,0,T51/T$49)</f>
        <v>0</v>
      </c>
      <c r="V51" s="20">
        <f>SUMIFS(Tabla2[IMPORT],Tabla2[ANY],$Z$2,Tabla2[MES],'2021'!V$2,Tabla2[TIPUS],'2021'!$A51)</f>
        <v>0</v>
      </c>
      <c r="W51" s="21">
        <f>IF(V$49=0,0,V51/V$49)</f>
        <v>0</v>
      </c>
      <c r="X51" s="20">
        <f>SUMIFS(Tabla2[IMPORT],Tabla2[ANY],$Z$2,Tabla2[MES],'2021'!X$2,Tabla2[TIPUS],'2021'!$A51)</f>
        <v>0</v>
      </c>
      <c r="Y51" s="21">
        <f>IF(X$49=0,0,X51/X$49)</f>
        <v>0</v>
      </c>
      <c r="Z51" s="20">
        <f t="shared" si="65"/>
        <v>28.45</v>
      </c>
      <c r="AA51" s="21">
        <f>IF(Z$49=0,0,Z51/Z$49)</f>
        <v>2.5361252997441588E-2</v>
      </c>
    </row>
    <row r="52" spans="1:29" hidden="1" outlineLevel="1" x14ac:dyDescent="0.2">
      <c r="A52" s="8" t="s">
        <v>89</v>
      </c>
      <c r="B52" s="20">
        <f>SUMIFS(Tabla2[IMPORT],Tabla2[ANY],$Z$2,Tabla2[MES],'2021'!B$2,Tabla2[TIPUS],'2021'!$A52)</f>
        <v>0</v>
      </c>
      <c r="C52" s="21">
        <f t="shared" si="68"/>
        <v>0</v>
      </c>
      <c r="D52" s="20">
        <f>SUMIFS(Tabla2[IMPORT],Tabla2[ANY],$Z$2,Tabla2[MES],'2021'!D$2,Tabla2[TIPUS],'2021'!$A52)</f>
        <v>0</v>
      </c>
      <c r="E52" s="21">
        <f t="shared" si="68"/>
        <v>0</v>
      </c>
      <c r="F52" s="20">
        <f>SUMIFS(Tabla2[IMPORT],Tabla2[ANY],$Z$2,Tabla2[MES],'2021'!F$2,Tabla2[TIPUS],'2021'!$A52)</f>
        <v>0</v>
      </c>
      <c r="G52" s="21">
        <f>IF(F$49=0,0,F52/F$49)</f>
        <v>0</v>
      </c>
      <c r="H52" s="20">
        <f>SUMIFS(Tabla2[IMPORT],Tabla2[ANY],$Z$2,Tabla2[MES],'2021'!H$2,Tabla2[TIPUS],'2021'!$A52)</f>
        <v>0</v>
      </c>
      <c r="I52" s="21">
        <f>IF(H$49=0,0,H52/H$49)</f>
        <v>0</v>
      </c>
      <c r="J52" s="20">
        <f>SUMIFS(Tabla2[IMPORT],Tabla2[ANY],$Z$2,Tabla2[MES],'2021'!J$2,Tabla2[TIPUS],'2021'!$A52)</f>
        <v>50.92</v>
      </c>
      <c r="K52" s="21">
        <f>IF(J$49=0,0,J52/J$49)</f>
        <v>1</v>
      </c>
      <c r="L52" s="20">
        <f>SUMIFS(Tabla2[IMPORT],Tabla2[ANY],$Z$2,Tabla2[MES],'2021'!L$2,Tabla2[TIPUS],'2021'!$A52)</f>
        <v>14</v>
      </c>
      <c r="M52" s="21">
        <f>IF(L$49=0,0,L52/L$49)</f>
        <v>1</v>
      </c>
      <c r="N52" s="20">
        <f>SUMIFS(Tabla2[IMPORT],Tabla2[ANY],$Z$2,Tabla2[MES],'2021'!N$2,Tabla2[TIPUS],'2021'!$A52)</f>
        <v>0</v>
      </c>
      <c r="O52" s="21">
        <f>IF(N$49=0,0,N52/N$49)</f>
        <v>0</v>
      </c>
      <c r="P52" s="20">
        <f>SUMIFS(Tabla2[IMPORT],Tabla2[ANY],$Z$2,Tabla2[MES],'2021'!P$2,Tabla2[TIPUS],'2021'!$A52)</f>
        <v>0</v>
      </c>
      <c r="Q52" s="21">
        <f>IF(P$49=0,0,P52/P$49)</f>
        <v>0</v>
      </c>
      <c r="R52" s="20">
        <f>SUMIFS(Tabla2[IMPORT],Tabla2[ANY],$Z$2,Tabla2[MES],'2021'!R$2,Tabla2[TIPUS],'2021'!$A52)</f>
        <v>132</v>
      </c>
      <c r="S52" s="21">
        <f>IF(R$49=0,0,R52/R$49)</f>
        <v>0.55068836045056324</v>
      </c>
      <c r="T52" s="20">
        <f>SUMIFS(Tabla2[IMPORT],Tabla2[ANY],$Z$2,Tabla2[MES],'2021'!T$2,Tabla2[TIPUS],'2021'!$A52)</f>
        <v>35.49</v>
      </c>
      <c r="U52" s="21">
        <f>IF(T$49=0,0,T52/T$49)</f>
        <v>1</v>
      </c>
      <c r="V52" s="20">
        <f>SUMIFS(Tabla2[IMPORT],Tabla2[ANY],$Z$2,Tabla2[MES],'2021'!V$2,Tabla2[TIPUS],'2021'!$A52)</f>
        <v>93.899999999999991</v>
      </c>
      <c r="W52" s="21">
        <f>IF(V$49=0,0,V52/V$49)</f>
        <v>0.51060358890701474</v>
      </c>
      <c r="X52" s="20">
        <f>SUMIFS(Tabla2[IMPORT],Tabla2[ANY],$Z$2,Tabla2[MES],'2021'!X$2,Tabla2[TIPUS],'2021'!$A52)</f>
        <v>48.64</v>
      </c>
      <c r="Y52" s="21">
        <f>IF(X$49=0,0,X52/X$49)</f>
        <v>0.10068934108928312</v>
      </c>
      <c r="Z52" s="20">
        <f t="shared" si="65"/>
        <v>374.95</v>
      </c>
      <c r="AA52" s="21">
        <f>IF(Z$49=0,0,Z52/Z$49)</f>
        <v>0.3342425944249815</v>
      </c>
    </row>
    <row r="53" spans="1:29" hidden="1" outlineLevel="1" x14ac:dyDescent="0.2">
      <c r="A53" s="8" t="s">
        <v>145</v>
      </c>
      <c r="B53" s="20">
        <f>SUMIFS(Tabla2[IMPORT],Tabla2[ANY],$Z$2,Tabla2[MES],'2021'!B$2,Tabla2[TIPUS],'2021'!$A53)</f>
        <v>0</v>
      </c>
      <c r="C53" s="21">
        <f>IF(B$49=0,0,B53/B$49)</f>
        <v>0</v>
      </c>
      <c r="D53" s="20">
        <f>SUMIFS(Tabla2[IMPORT],Tabla2[ANY],$Z$2,Tabla2[MES],'2021'!D$2,Tabla2[TIPUS],'2021'!$A53)</f>
        <v>0</v>
      </c>
      <c r="E53" s="21">
        <f>IF(D$49=0,0,D53/D$49)</f>
        <v>0</v>
      </c>
      <c r="F53" s="20">
        <f>SUMIFS(Tabla2[IMPORT],Tabla2[ANY],$Z$2,Tabla2[MES],'2021'!F$2,Tabla2[TIPUS],'2021'!$A53)</f>
        <v>0</v>
      </c>
      <c r="G53" s="21">
        <f>IF(F$49=0,0,F53/F$49)</f>
        <v>0</v>
      </c>
      <c r="H53" s="20">
        <f>SUMIFS(Tabla2[IMPORT],Tabla2[ANY],$Z$2,Tabla2[MES],'2021'!H$2,Tabla2[TIPUS],'2021'!$A53)</f>
        <v>0</v>
      </c>
      <c r="I53" s="21">
        <f>IF(H$49=0,0,H53/H$49)</f>
        <v>0</v>
      </c>
      <c r="J53" s="20">
        <f>SUMIFS(Tabla2[IMPORT],Tabla2[ANY],$Z$2,Tabla2[MES],'2021'!J$2,Tabla2[TIPUS],'2021'!$A53)</f>
        <v>0</v>
      </c>
      <c r="K53" s="21">
        <f>IF(J$49=0,0,J53/J$49)</f>
        <v>0</v>
      </c>
      <c r="L53" s="20">
        <f>SUMIFS(Tabla2[IMPORT],Tabla2[ANY],$Z$2,Tabla2[MES],'2021'!L$2,Tabla2[TIPUS],'2021'!$A53)</f>
        <v>0</v>
      </c>
      <c r="M53" s="21">
        <f>IF(L$49=0,0,L53/L$49)</f>
        <v>0</v>
      </c>
      <c r="N53" s="20">
        <f>SUMIFS(Tabla2[IMPORT],Tabla2[ANY],$Z$2,Tabla2[MES],'2021'!N$2,Tabla2[TIPUS],'2021'!$A53)</f>
        <v>0</v>
      </c>
      <c r="O53" s="21">
        <f>IF(N$49=0,0,N53/N$49)</f>
        <v>0</v>
      </c>
      <c r="P53" s="20">
        <f>SUMIFS(Tabla2[IMPORT],Tabla2[ANY],$Z$2,Tabla2[MES],'2021'!P$2,Tabla2[TIPUS],'2021'!$A53)</f>
        <v>0</v>
      </c>
      <c r="Q53" s="21">
        <f>IF(P$49=0,0,P53/P$49)</f>
        <v>0</v>
      </c>
      <c r="R53" s="20">
        <f>SUMIFS(Tabla2[IMPORT],Tabla2[ANY],$Z$2,Tabla2[MES],'2021'!R$2,Tabla2[TIPUS],'2021'!$A53)</f>
        <v>0</v>
      </c>
      <c r="S53" s="21">
        <f>IF(R$49=0,0,R53/R$49)</f>
        <v>0</v>
      </c>
      <c r="T53" s="20">
        <f>SUMIFS(Tabla2[IMPORT],Tabla2[ANY],$Z$2,Tabla2[MES],'2021'!T$2,Tabla2[TIPUS],'2021'!$A53)</f>
        <v>0</v>
      </c>
      <c r="U53" s="21">
        <f>IF(T$49=0,0,T53/T$49)</f>
        <v>0</v>
      </c>
      <c r="V53" s="20">
        <f>SUMIFS(Tabla2[IMPORT],Tabla2[ANY],$Z$2,Tabla2[MES],'2021'!V$2,Tabla2[TIPUS],'2021'!$A53)</f>
        <v>0</v>
      </c>
      <c r="W53" s="21">
        <f>IF(V$49=0,0,V53/V$49)</f>
        <v>0</v>
      </c>
      <c r="X53" s="20">
        <f>SUMIFS(Tabla2[IMPORT],Tabla2[ANY],$Z$2,Tabla2[MES],'2021'!X$2,Tabla2[TIPUS],'2021'!$A53)</f>
        <v>0</v>
      </c>
      <c r="Y53" s="21">
        <f>IF(X$49=0,0,X53/X$49)</f>
        <v>0</v>
      </c>
      <c r="Z53" s="20">
        <f>B53+D53+F53+H53+J53+L53+N53+P53+R53+T53+V53+X53</f>
        <v>0</v>
      </c>
      <c r="AA53" s="21">
        <f>IF(Z$49=0,0,Z53/Z$49)</f>
        <v>0</v>
      </c>
    </row>
    <row r="54" spans="1:29" hidden="1" outlineLevel="1" x14ac:dyDescent="0.2">
      <c r="A54" s="8" t="s">
        <v>90</v>
      </c>
      <c r="B54" s="20">
        <f>SUMIFS(Tabla2[IMPORT],Tabla2[ANY],$Z$2,Tabla2[MES],'2021'!B$2,Tabla2[TIPUS],'2021'!$A54)</f>
        <v>0</v>
      </c>
      <c r="C54" s="21">
        <f t="shared" si="68"/>
        <v>0</v>
      </c>
      <c r="D54" s="20">
        <f>SUMIFS(Tabla2[IMPORT],Tabla2[ANY],$Z$2,Tabla2[MES],'2021'!D$2,Tabla2[TIPUS],'2021'!$A54)</f>
        <v>0</v>
      </c>
      <c r="E54" s="21">
        <f t="shared" si="68"/>
        <v>0</v>
      </c>
      <c r="F54" s="20">
        <f>SUMIFS(Tabla2[IMPORT],Tabla2[ANY],$Z$2,Tabla2[MES],'2021'!F$2,Tabla2[TIPUS],'2021'!$A54)</f>
        <v>0</v>
      </c>
      <c r="G54" s="21">
        <f>IF(F$49=0,0,F54/F$49)</f>
        <v>0</v>
      </c>
      <c r="H54" s="20">
        <f>SUMIFS(Tabla2[IMPORT],Tabla2[ANY],$Z$2,Tabla2[MES],'2021'!H$2,Tabla2[TIPUS],'2021'!$A54)</f>
        <v>0</v>
      </c>
      <c r="I54" s="21">
        <f>IF(H$49=0,0,H54/H$49)</f>
        <v>0</v>
      </c>
      <c r="J54" s="20">
        <f>SUMIFS(Tabla2[IMPORT],Tabla2[ANY],$Z$2,Tabla2[MES],'2021'!J$2,Tabla2[TIPUS],'2021'!$A54)</f>
        <v>0</v>
      </c>
      <c r="K54" s="21">
        <f>IF(J$49=0,0,J54/J$49)</f>
        <v>0</v>
      </c>
      <c r="L54" s="20">
        <f>SUMIFS(Tabla2[IMPORT],Tabla2[ANY],$Z$2,Tabla2[MES],'2021'!L$2,Tabla2[TIPUS],'2021'!$A54)</f>
        <v>0</v>
      </c>
      <c r="M54" s="21">
        <f>IF(L$49=0,0,L54/L$49)</f>
        <v>0</v>
      </c>
      <c r="N54" s="20">
        <f>SUMIFS(Tabla2[IMPORT],Tabla2[ANY],$Z$2,Tabla2[MES],'2021'!N$2,Tabla2[TIPUS],'2021'!$A54)</f>
        <v>0</v>
      </c>
      <c r="O54" s="21">
        <f>IF(N$49=0,0,N54/N$49)</f>
        <v>0</v>
      </c>
      <c r="P54" s="20">
        <f>SUMIFS(Tabla2[IMPORT],Tabla2[ANY],$Z$2,Tabla2[MES],'2021'!P$2,Tabla2[TIPUS],'2021'!$A54)</f>
        <v>0</v>
      </c>
      <c r="Q54" s="21">
        <f>IF(P$49=0,0,P54/P$49)</f>
        <v>0</v>
      </c>
      <c r="R54" s="20">
        <f>SUMIFS(Tabla2[IMPORT],Tabla2[ANY],$Z$2,Tabla2[MES],'2021'!R$2,Tabla2[TIPUS],'2021'!$A54)</f>
        <v>0</v>
      </c>
      <c r="S54" s="21">
        <f>IF(R$49=0,0,R54/R$49)</f>
        <v>0</v>
      </c>
      <c r="T54" s="20">
        <f>SUMIFS(Tabla2[IMPORT],Tabla2[ANY],$Z$2,Tabla2[MES],'2021'!T$2,Tabla2[TIPUS],'2021'!$A54)</f>
        <v>0</v>
      </c>
      <c r="U54" s="21">
        <f>IF(T$49=0,0,T54/T$49)</f>
        <v>0</v>
      </c>
      <c r="V54" s="20">
        <f>SUMIFS(Tabla2[IMPORT],Tabla2[ANY],$Z$2,Tabla2[MES],'2021'!V$2,Tabla2[TIPUS],'2021'!$A54)</f>
        <v>90</v>
      </c>
      <c r="W54" s="21">
        <f>IF(V$49=0,0,V54/V$49)</f>
        <v>0.48939641109298537</v>
      </c>
      <c r="X54" s="20">
        <f>SUMIFS(Tabla2[IMPORT],Tabla2[ANY],$Z$2,Tabla2[MES],'2021'!X$2,Tabla2[TIPUS],'2021'!$A54)</f>
        <v>180</v>
      </c>
      <c r="Y54" s="21">
        <f>IF(X$49=0,0,X54/X$49)</f>
        <v>0.37261680501790634</v>
      </c>
      <c r="Z54" s="20">
        <f t="shared" si="65"/>
        <v>270</v>
      </c>
      <c r="AA54" s="21">
        <f>IF(Z$49=0,0,Z54/Z$49)</f>
        <v>0.24068675955392721</v>
      </c>
    </row>
    <row r="55" spans="1:29" ht="15.75" collapsed="1" thickBot="1" x14ac:dyDescent="0.25">
      <c r="A55" s="15" t="s">
        <v>121</v>
      </c>
      <c r="B55" s="26">
        <f>B3-B40</f>
        <v>-167.76000000000005</v>
      </c>
      <c r="C55" s="27">
        <f>IF(B3=0,0,B55/B3)</f>
        <v>-0.35527318932655666</v>
      </c>
      <c r="D55" s="26">
        <f>D3-D40</f>
        <v>100.11000000000001</v>
      </c>
      <c r="E55" s="27">
        <f>IF(D3=0,0,D55/D3)</f>
        <v>0.21200762388818301</v>
      </c>
      <c r="F55" s="26">
        <f>F3-F40</f>
        <v>2208.25</v>
      </c>
      <c r="G55" s="27">
        <f>IF(F3=0,0,F55/F3)</f>
        <v>0.89323274815953413</v>
      </c>
      <c r="H55" s="26">
        <f>H3-H40</f>
        <v>119.19999999999999</v>
      </c>
      <c r="I55" s="27">
        <f>IF(H3=0,0,H55/H3)</f>
        <v>0.25243540872511644</v>
      </c>
      <c r="J55" s="26">
        <f>J3-J40</f>
        <v>1131.21</v>
      </c>
      <c r="K55" s="27">
        <f>IF(J3=0,0,J55/J3)</f>
        <v>0.7827738680949119</v>
      </c>
      <c r="L55" s="26">
        <f>L3-L40</f>
        <v>1824.89</v>
      </c>
      <c r="M55" s="27">
        <f>IF(L3=0,0,L55/L3)</f>
        <v>0.86196407400584751</v>
      </c>
      <c r="N55" s="26">
        <f>N3-N40</f>
        <v>759.25</v>
      </c>
      <c r="O55" s="27">
        <f>IF(N3=0,0,N55/N3)</f>
        <v>0.65452586206896557</v>
      </c>
      <c r="P55" s="26">
        <f>P3-P40</f>
        <v>754</v>
      </c>
      <c r="Q55" s="27">
        <f>IF(P3=0,0,P55/P3)</f>
        <v>0.67321428571428577</v>
      </c>
      <c r="R55" s="26">
        <f>R3-R40</f>
        <v>537.32999999999993</v>
      </c>
      <c r="S55" s="27">
        <f>IF(R3=0,0,R55/R3)</f>
        <v>0.39078545454545449</v>
      </c>
      <c r="T55" s="26">
        <f>T3-T40</f>
        <v>1970.24</v>
      </c>
      <c r="U55" s="27">
        <f>IF(T3=0,0,T55/T3)</f>
        <v>0.79605656565656568</v>
      </c>
      <c r="V55" s="26">
        <f>V3-V40</f>
        <v>1492.13</v>
      </c>
      <c r="W55" s="27">
        <f>IF(V3=0,0,V55/V3)</f>
        <v>0.69563170163170174</v>
      </c>
      <c r="X55" s="26">
        <f>X3-X40</f>
        <v>1698.14</v>
      </c>
      <c r="Y55" s="27">
        <f>IF(X3=0,0,X55/X3)</f>
        <v>0.52090184049079757</v>
      </c>
      <c r="Z55" s="26">
        <f>Z3-Z40</f>
        <v>12426.989999999998</v>
      </c>
      <c r="AA55" s="27">
        <f>IF(Z3=0,0,Z55/Z3)</f>
        <v>0.6545323252955062</v>
      </c>
    </row>
    <row r="56" spans="1:29" ht="16.5" thickTop="1" thickBot="1" x14ac:dyDescent="0.25">
      <c r="A56" s="13" t="s">
        <v>120</v>
      </c>
      <c r="B56" s="28">
        <f>B57</f>
        <v>10.472222222222223</v>
      </c>
      <c r="C56" s="29">
        <f>IF(B3=0,0,B56/B3)</f>
        <v>2.2177514235964049E-2</v>
      </c>
      <c r="D56" s="28">
        <f t="shared" ref="D56:Z56" si="69">D57</f>
        <v>10.472222222222223</v>
      </c>
      <c r="E56" s="29">
        <f>IF(D3=0,0,D56/D3)</f>
        <v>2.2177514235964049E-2</v>
      </c>
      <c r="F56" s="28">
        <f t="shared" si="69"/>
        <v>10.472222222222223</v>
      </c>
      <c r="G56" s="29">
        <f>IF(F3=0,0,F56/F3)</f>
        <v>4.2359931325225402E-3</v>
      </c>
      <c r="H56" s="28">
        <f t="shared" si="69"/>
        <v>10.472222222222223</v>
      </c>
      <c r="I56" s="29">
        <f>IF(H3=0,0,H56/H3)</f>
        <v>2.2177514235964049E-2</v>
      </c>
      <c r="J56" s="28">
        <f t="shared" si="69"/>
        <v>10.472222222222223</v>
      </c>
      <c r="K56" s="29">
        <f>IF(J3=0,0,J56/J3)</f>
        <v>7.24656067082008E-3</v>
      </c>
      <c r="L56" s="28">
        <f t="shared" si="69"/>
        <v>10.472222222222223</v>
      </c>
      <c r="M56" s="29">
        <f>IF(L3=0,0,L56/L3)</f>
        <v>4.9464238011941745E-3</v>
      </c>
      <c r="N56" s="28">
        <f t="shared" si="69"/>
        <v>10.472222222222223</v>
      </c>
      <c r="O56" s="29">
        <f>IF(N3=0,0,N56/N3)</f>
        <v>9.0277777777777787E-3</v>
      </c>
      <c r="P56" s="28">
        <f t="shared" si="69"/>
        <v>59.087222222222223</v>
      </c>
      <c r="Q56" s="29">
        <f>IF(P3=0,0,P56/P3)</f>
        <v>5.2756448412698415E-2</v>
      </c>
      <c r="R56" s="28">
        <f t="shared" si="69"/>
        <v>59.087222222222223</v>
      </c>
      <c r="S56" s="29">
        <f>IF(R3=0,0,R56/R3)</f>
        <v>4.2972525252525255E-2</v>
      </c>
      <c r="T56" s="28">
        <f t="shared" si="69"/>
        <v>59.087222222222223</v>
      </c>
      <c r="U56" s="29">
        <f>IF(T3=0,0,T56/T3)</f>
        <v>2.3873625140291808E-2</v>
      </c>
      <c r="V56" s="28">
        <f t="shared" si="69"/>
        <v>59.087222222222223</v>
      </c>
      <c r="W56" s="29">
        <f>IF(V3=0,0,V56/V3)</f>
        <v>2.7546490546490547E-2</v>
      </c>
      <c r="X56" s="28">
        <f t="shared" si="69"/>
        <v>59.087222222222223</v>
      </c>
      <c r="Y56" s="29">
        <f>IF(X3=0,0,X56/X3)</f>
        <v>1.8124914792092706E-2</v>
      </c>
      <c r="Z56" s="28">
        <f t="shared" si="69"/>
        <v>368.74166666666673</v>
      </c>
      <c r="AA56" s="29">
        <f>IF(Z3=0,0,Z56/Z3)</f>
        <v>1.9421705539046374E-2</v>
      </c>
    </row>
    <row r="57" spans="1:29" hidden="1" outlineLevel="1" x14ac:dyDescent="0.2">
      <c r="A57" s="8" t="s">
        <v>81</v>
      </c>
      <c r="B57" s="20">
        <f>IF($A$2&gt;=1,Tarifas!$G$47,0)</f>
        <v>10.472222222222223</v>
      </c>
      <c r="C57" s="21">
        <f>IF(B56=0,0,B57/B56)</f>
        <v>1</v>
      </c>
      <c r="D57" s="20">
        <f>IF($A$2&gt;=2,Tarifas!$G$47,0)</f>
        <v>10.472222222222223</v>
      </c>
      <c r="E57" s="21">
        <f>IF(D56=0,0,D57/D56)</f>
        <v>1</v>
      </c>
      <c r="F57" s="20">
        <f>IF($A$2&gt;=3,Tarifas!$G$47,0)</f>
        <v>10.472222222222223</v>
      </c>
      <c r="G57" s="21">
        <f>IF(F56=0,0,F57/F56)</f>
        <v>1</v>
      </c>
      <c r="H57" s="20">
        <f>IF($A$2&gt;=4,Tarifas!$G$47,0)</f>
        <v>10.472222222222223</v>
      </c>
      <c r="I57" s="21">
        <f>IF(H56=0,0,H57/H56)</f>
        <v>1</v>
      </c>
      <c r="J57" s="20">
        <f>IF($A$2&gt;=5,Tarifas!$G$47,0)</f>
        <v>10.472222222222223</v>
      </c>
      <c r="K57" s="21">
        <f>IF(J56=0,0,J57/J56)</f>
        <v>1</v>
      </c>
      <c r="L57" s="20">
        <f>IF($A$2&gt;=6,Tarifas!$G$47,0)</f>
        <v>10.472222222222223</v>
      </c>
      <c r="M57" s="21">
        <f>IF(L56=0,0,L57/L56)</f>
        <v>1</v>
      </c>
      <c r="N57" s="20">
        <f>IF($A$2&gt;=7,Tarifas!$G$47,0)</f>
        <v>10.472222222222223</v>
      </c>
      <c r="O57" s="21">
        <f>IF(N56=0,0,N57/N56)</f>
        <v>1</v>
      </c>
      <c r="P57" s="20">
        <f>IF($A$2&gt;=8,Tarifas!$H$47,0)</f>
        <v>59.087222222222223</v>
      </c>
      <c r="Q57" s="21">
        <f>IF(P56=0,0,P57/P56)</f>
        <v>1</v>
      </c>
      <c r="R57" s="20">
        <f>IF($A$2&gt;=9,Tarifas!$H$47,0)</f>
        <v>59.087222222222223</v>
      </c>
      <c r="S57" s="21">
        <f>IF(R56=0,0,R57/R56)</f>
        <v>1</v>
      </c>
      <c r="T57" s="20">
        <f>IF($A$2&gt;=10,Tarifas!$H$47,0)</f>
        <v>59.087222222222223</v>
      </c>
      <c r="U57" s="21">
        <f>IF(T56=0,0,T57/T56)</f>
        <v>1</v>
      </c>
      <c r="V57" s="20">
        <f>IF($A$2&gt;=11,Tarifas!$H$47,0)</f>
        <v>59.087222222222223</v>
      </c>
      <c r="W57" s="21">
        <f>IF(V56=0,0,V57/V56)</f>
        <v>1</v>
      </c>
      <c r="X57" s="20">
        <f>IF($A$2&gt;=12,Tarifas!$H$47,0)</f>
        <v>59.087222222222223</v>
      </c>
      <c r="Y57" s="21">
        <f>IF(X56=0,0,X57/X56)</f>
        <v>1</v>
      </c>
      <c r="Z57" s="20">
        <f>B57+D57+F57+H57+J57+L57+N57+P57+R57+T57+V57+X57</f>
        <v>368.74166666666673</v>
      </c>
      <c r="AA57" s="21">
        <f>IF(Z56=0,0,Z57/Z56)</f>
        <v>1</v>
      </c>
    </row>
    <row r="58" spans="1:29" ht="15.75" collapsed="1" thickBot="1" x14ac:dyDescent="0.25">
      <c r="A58" s="15" t="s">
        <v>122</v>
      </c>
      <c r="B58" s="26">
        <f>B55-B56</f>
        <v>-178.23222222222228</v>
      </c>
      <c r="C58" s="27">
        <f>IF(B$3=0,0,B58/B$3)</f>
        <v>-0.3774507035625207</v>
      </c>
      <c r="D58" s="26">
        <f>D55-D56</f>
        <v>89.637777777777785</v>
      </c>
      <c r="E58" s="27">
        <f>IF(D$3=0,0,D58/D$3)</f>
        <v>0.18983010965221894</v>
      </c>
      <c r="F58" s="26">
        <f>F55-F56</f>
        <v>2197.7777777777778</v>
      </c>
      <c r="G58" s="27">
        <f>IF(F$3=0,0,F58/F$3)</f>
        <v>0.88899675502701159</v>
      </c>
      <c r="H58" s="26">
        <f>H55-H56</f>
        <v>108.72777777777776</v>
      </c>
      <c r="I58" s="27">
        <f>IF(H$3=0,0,H58/H$3)</f>
        <v>0.2302578944891524</v>
      </c>
      <c r="J58" s="26">
        <f>J55-J56</f>
        <v>1120.7377777777779</v>
      </c>
      <c r="K58" s="27">
        <f>IF(J$3=0,0,J58/J$3)</f>
        <v>0.77552730742409182</v>
      </c>
      <c r="L58" s="26">
        <f>L55-L56</f>
        <v>1814.4177777777779</v>
      </c>
      <c r="M58" s="27">
        <f>IF(L$3=0,0,L58/L$3)</f>
        <v>0.85701765020465337</v>
      </c>
      <c r="N58" s="26">
        <f>N55-N56</f>
        <v>748.77777777777783</v>
      </c>
      <c r="O58" s="27">
        <f>IF(N$3=0,0,N58/N$3)</f>
        <v>0.64549808429118782</v>
      </c>
      <c r="P58" s="26">
        <f>P55-P56</f>
        <v>694.91277777777782</v>
      </c>
      <c r="Q58" s="27">
        <f>IF(P$3=0,0,P58/P$3)</f>
        <v>0.62045783730158732</v>
      </c>
      <c r="R58" s="26">
        <f>R55-R56</f>
        <v>478.24277777777769</v>
      </c>
      <c r="S58" s="27">
        <f>IF(R$3=0,0,R58/R$3)</f>
        <v>0.34781292929292923</v>
      </c>
      <c r="T58" s="26">
        <f>T55-T56</f>
        <v>1911.1527777777778</v>
      </c>
      <c r="U58" s="27">
        <f>IF(T$3=0,0,T58/T$3)</f>
        <v>0.7721829405162739</v>
      </c>
      <c r="V58" s="26">
        <f>V55-V56</f>
        <v>1433.0427777777779</v>
      </c>
      <c r="W58" s="27">
        <f>IF(V$3=0,0,V58/V$3)</f>
        <v>0.66808521108521113</v>
      </c>
      <c r="X58" s="26">
        <f>X55-X56</f>
        <v>1639.0527777777779</v>
      </c>
      <c r="Y58" s="27">
        <f>IF(X$3=0,0,X58/X$3)</f>
        <v>0.50277692569870491</v>
      </c>
      <c r="Z58" s="26">
        <f>Z55-Z56</f>
        <v>12058.248333333331</v>
      </c>
      <c r="AA58" s="27">
        <f>IF(Z$3=0,0,Z58/Z$3)</f>
        <v>0.63511061975645988</v>
      </c>
    </row>
    <row r="59" spans="1:29" ht="16.5" thickTop="1" thickBot="1" x14ac:dyDescent="0.25">
      <c r="A59" s="13" t="s">
        <v>134</v>
      </c>
      <c r="B59" s="28">
        <f>B60</f>
        <v>0</v>
      </c>
      <c r="C59" s="29">
        <f>IF(B$3=0,0,B59/B$3)</f>
        <v>0</v>
      </c>
      <c r="D59" s="28">
        <f>D60</f>
        <v>0</v>
      </c>
      <c r="E59" s="29">
        <f>IF(D$3=0,0,D59/D$3)</f>
        <v>0</v>
      </c>
      <c r="F59" s="28">
        <f>F60</f>
        <v>0</v>
      </c>
      <c r="G59" s="29">
        <f>IF(F$3=0,0,F59/F$3)</f>
        <v>0</v>
      </c>
      <c r="H59" s="28">
        <f>H60</f>
        <v>0</v>
      </c>
      <c r="I59" s="29">
        <f>IF(H$3=0,0,H59/H$3)</f>
        <v>0</v>
      </c>
      <c r="J59" s="28">
        <f>J60</f>
        <v>0</v>
      </c>
      <c r="K59" s="29">
        <f>IF(J$3=0,0,J59/J$3)</f>
        <v>0</v>
      </c>
      <c r="L59" s="28">
        <f>L60</f>
        <v>0</v>
      </c>
      <c r="M59" s="29">
        <f>IF(L$3=0,0,L59/L$3)</f>
        <v>0</v>
      </c>
      <c r="N59" s="28">
        <f>N60</f>
        <v>0</v>
      </c>
      <c r="O59" s="29">
        <f>IF(N$3=0,0,N59/N$3)</f>
        <v>0</v>
      </c>
      <c r="P59" s="28">
        <f>P60</f>
        <v>0</v>
      </c>
      <c r="Q59" s="29">
        <f>IF(P$3=0,0,P59/P$3)</f>
        <v>0</v>
      </c>
      <c r="R59" s="28">
        <f>R60</f>
        <v>0</v>
      </c>
      <c r="S59" s="29">
        <f>IF(R$3=0,0,R59/R$3)</f>
        <v>0</v>
      </c>
      <c r="T59" s="28">
        <f>T60</f>
        <v>0</v>
      </c>
      <c r="U59" s="29">
        <f>IF(T$3=0,0,T59/T$3)</f>
        <v>0</v>
      </c>
      <c r="V59" s="28">
        <f>V60</f>
        <v>0</v>
      </c>
      <c r="W59" s="29">
        <f>IF(V$3=0,0,V59/V$3)</f>
        <v>0</v>
      </c>
      <c r="X59" s="28">
        <f>X60</f>
        <v>0</v>
      </c>
      <c r="Y59" s="29">
        <f>IF(X$3=0,0,X59/X$3)</f>
        <v>0</v>
      </c>
      <c r="Z59" s="28">
        <f>Z60</f>
        <v>0</v>
      </c>
      <c r="AA59" s="29">
        <f>IF(Z$3=0,0,Z59/Z$3)</f>
        <v>0</v>
      </c>
    </row>
    <row r="60" spans="1:29" hidden="1" outlineLevel="1" x14ac:dyDescent="0.2">
      <c r="A60" s="8" t="s">
        <v>133</v>
      </c>
      <c r="B60" s="20">
        <f>SUMIFS(Tabla2[IMPORT],Tabla2[ANY],2020,Tabla2[MES],'2021'!B$2,Tabla2[TIPUS],'2021'!$A60)</f>
        <v>0</v>
      </c>
      <c r="C60" s="44">
        <f>IF(B59=0,0,B60/B59)</f>
        <v>0</v>
      </c>
      <c r="D60" s="20">
        <f>SUMIFS(Tabla2[IMPORT],Tabla2[ANY],2020,Tabla2[MES],'2021'!D$2,Tabla2[TIPUS],'2021'!$A60)</f>
        <v>0</v>
      </c>
      <c r="E60" s="44">
        <f>IF(D59=0,0,D60/D59)</f>
        <v>0</v>
      </c>
      <c r="F60" s="20">
        <f>SUMIFS(Tabla2[IMPORT],Tabla2[ANY],2020,Tabla2[MES],'2021'!F$2,Tabla2[TIPUS],'2021'!$A60)</f>
        <v>0</v>
      </c>
      <c r="G60" s="44">
        <f>IF(F59=0,0,F60/F59)</f>
        <v>0</v>
      </c>
      <c r="H60" s="20">
        <f>SUMIFS(Tabla2[IMPORT],Tabla2[ANY],2020,Tabla2[MES],'2021'!H$2,Tabla2[TIPUS],'2021'!$A60)</f>
        <v>0</v>
      </c>
      <c r="I60" s="44">
        <f>IF(H59=0,0,H60/H59)</f>
        <v>0</v>
      </c>
      <c r="J60" s="20">
        <f>SUMIFS(Tabla2[IMPORT],Tabla2[ANY],2020,Tabla2[MES],'2021'!J$2,Tabla2[TIPUS],'2021'!$A60)</f>
        <v>0</v>
      </c>
      <c r="K60" s="44">
        <f>IF(J59=0,0,J60/J59)</f>
        <v>0</v>
      </c>
      <c r="L60" s="20">
        <f>SUMIFS(Tabla2[IMPORT],Tabla2[ANY],2020,Tabla2[MES],'2021'!L$2,Tabla2[TIPUS],'2021'!$A60)</f>
        <v>0</v>
      </c>
      <c r="M60" s="44">
        <f>IF(L59=0,0,L60/L59)</f>
        <v>0</v>
      </c>
      <c r="N60" s="20">
        <f>SUMIFS(Tabla2[IMPORT],Tabla2[ANY],2020,Tabla2[MES],'2021'!N$2,Tabla2[TIPUS],'2021'!$A60)</f>
        <v>0</v>
      </c>
      <c r="O60" s="44">
        <f>IF(N59=0,0,N60/N59)</f>
        <v>0</v>
      </c>
      <c r="P60" s="20">
        <f>SUMIFS(Tabla2[IMPORT],Tabla2[ANY],2020,Tabla2[MES],'2021'!P$2,Tabla2[TIPUS],'2021'!$A60)</f>
        <v>0</v>
      </c>
      <c r="Q60" s="44">
        <f>IF(P59=0,0,P60/P59)</f>
        <v>0</v>
      </c>
      <c r="R60" s="20">
        <f>SUMIFS(Tabla2[IMPORT],Tabla2[ANY],2020,Tabla2[MES],'2021'!R$2,Tabla2[TIPUS],'2021'!$A60)</f>
        <v>0</v>
      </c>
      <c r="S60" s="44">
        <f>IF(R59=0,0,R60/R59)</f>
        <v>0</v>
      </c>
      <c r="T60" s="20">
        <f>SUMIFS(Tabla2[IMPORT],Tabla2[ANY],2020,Tabla2[MES],'2021'!T$2,Tabla2[TIPUS],'2021'!$A60)</f>
        <v>0</v>
      </c>
      <c r="U60" s="44">
        <f>IF(T59=0,0,T60/T59)</f>
        <v>0</v>
      </c>
      <c r="V60" s="20">
        <f>SUMIFS(Tabla2[IMPORT],Tabla2[ANY],2020,Tabla2[MES],'2021'!V$2,Tabla2[TIPUS],'2021'!$A60)</f>
        <v>0</v>
      </c>
      <c r="W60" s="44">
        <f>IF(V59=0,0,V60/V59)</f>
        <v>0</v>
      </c>
      <c r="X60" s="20">
        <f>SUMIFS(Tabla2[IMPORT],Tabla2[ANY],2020,Tabla2[MES],'2021'!X$2,Tabla2[TIPUS],'2021'!$A60)</f>
        <v>0</v>
      </c>
      <c r="Y60" s="44">
        <f>IF(X59=0,0,X60/X59)</f>
        <v>0</v>
      </c>
      <c r="Z60" s="20">
        <f>B60+D60+F60+H60+J60+L60+N60+P60+R60+T60+V60+X60</f>
        <v>0</v>
      </c>
      <c r="AA60" s="44">
        <f>IF(Z59=0,0,Z60/Z59)</f>
        <v>0</v>
      </c>
    </row>
    <row r="61" spans="1:29" ht="15.75" collapsed="1" thickBot="1" x14ac:dyDescent="0.25">
      <c r="A61" s="15" t="s">
        <v>135</v>
      </c>
      <c r="B61" s="26">
        <f>B58-B60</f>
        <v>-178.23222222222228</v>
      </c>
      <c r="C61" s="27">
        <f>IF(B$3=0,0,B61/B$3)</f>
        <v>-0.3774507035625207</v>
      </c>
      <c r="D61" s="26">
        <f>D58-D60</f>
        <v>89.637777777777785</v>
      </c>
      <c r="E61" s="27">
        <f>IF(D$3=0,0,D61/D$3)</f>
        <v>0.18983010965221894</v>
      </c>
      <c r="F61" s="26">
        <f>F58-F60</f>
        <v>2197.7777777777778</v>
      </c>
      <c r="G61" s="27">
        <f>IF(F$3=0,0,F61/F$3)</f>
        <v>0.88899675502701159</v>
      </c>
      <c r="H61" s="26">
        <f>H58-H60</f>
        <v>108.72777777777776</v>
      </c>
      <c r="I61" s="27">
        <f>IF(H$3=0,0,H61/H$3)</f>
        <v>0.2302578944891524</v>
      </c>
      <c r="J61" s="26">
        <f>J58-J60</f>
        <v>1120.7377777777779</v>
      </c>
      <c r="K61" s="27">
        <f>IF(J$3=0,0,J61/J$3)</f>
        <v>0.77552730742409182</v>
      </c>
      <c r="L61" s="26">
        <f>L58-L60</f>
        <v>1814.4177777777779</v>
      </c>
      <c r="M61" s="27">
        <f>IF(L$3=0,0,L61/L$3)</f>
        <v>0.85701765020465337</v>
      </c>
      <c r="N61" s="26">
        <f>N58-N60</f>
        <v>748.77777777777783</v>
      </c>
      <c r="O61" s="27">
        <f>IF(N$3=0,0,N61/N$3)</f>
        <v>0.64549808429118782</v>
      </c>
      <c r="P61" s="26">
        <f>P58-P60</f>
        <v>694.91277777777782</v>
      </c>
      <c r="Q61" s="27">
        <f>IF(P$3=0,0,P61/P$3)</f>
        <v>0.62045783730158732</v>
      </c>
      <c r="R61" s="26">
        <f>R58-R60</f>
        <v>478.24277777777769</v>
      </c>
      <c r="S61" s="27">
        <f>IF(R$3=0,0,R61/R$3)</f>
        <v>0.34781292929292923</v>
      </c>
      <c r="T61" s="26">
        <f>T58-T60</f>
        <v>1911.1527777777778</v>
      </c>
      <c r="U61" s="27">
        <f>IF(T$3=0,0,T61/T$3)</f>
        <v>0.7721829405162739</v>
      </c>
      <c r="V61" s="26">
        <f>V58-V60</f>
        <v>1433.0427777777779</v>
      </c>
      <c r="W61" s="27">
        <f>IF(V$3=0,0,V61/V$3)</f>
        <v>0.66808521108521113</v>
      </c>
      <c r="X61" s="26">
        <f>X58-X60</f>
        <v>1639.0527777777779</v>
      </c>
      <c r="Y61" s="27">
        <f>IF(X$3=0,0,X61/X$3)</f>
        <v>0.50277692569870491</v>
      </c>
      <c r="Z61" s="26">
        <f>Z58-Z60</f>
        <v>12058.248333333331</v>
      </c>
      <c r="AA61" s="27">
        <f>IF(Z$3=0,0,Z61/Z$3)</f>
        <v>0.63511061975645988</v>
      </c>
    </row>
    <row r="62" spans="1:29" ht="15.75" hidden="1" outlineLevel="1" thickTop="1" x14ac:dyDescent="0.2">
      <c r="A62" s="8" t="s">
        <v>123</v>
      </c>
      <c r="B62" s="20">
        <f>SUMIFS(Tabla2[IMPORT],Tabla2[ANY],$Z$2,Tabla2[MES],'2021'!B$2,Tabla2[TIPUS],'2021'!$A62)</f>
        <v>0</v>
      </c>
      <c r="C62" s="21">
        <f>IF(B$3=0,0,B62/B$3)</f>
        <v>0</v>
      </c>
      <c r="D62" s="20">
        <f>SUMIFS(Tabla2[IMPORT],Tabla2[ANY],$Z$2,Tabla2[MES],'2021'!D$2,Tabla2[TIPUS],'2021'!$A62)</f>
        <v>3.07</v>
      </c>
      <c r="E62" s="21">
        <f>IF(D$3=0,0,D62/D$3)</f>
        <v>6.501482422702245E-3</v>
      </c>
      <c r="F62" s="20">
        <f>SUMIFS(Tabla2[IMPORT],Tabla2[ANY],$Z$2,Tabla2[MES],'2021'!F$2,Tabla2[TIPUS],'2021'!$A62)</f>
        <v>0</v>
      </c>
      <c r="G62" s="21">
        <f>IF(F$3=0,0,F62/F$3)</f>
        <v>0</v>
      </c>
      <c r="H62" s="20">
        <f>SUMIFS(Tabla2[IMPORT],Tabla2[ANY],$Z$2,Tabla2[MES],'2021'!H$2,Tabla2[TIPUS],'2021'!$A62)</f>
        <v>114</v>
      </c>
      <c r="I62" s="21">
        <f>IF(H$3=0,0,H62/H$3)</f>
        <v>0.24142312579415504</v>
      </c>
      <c r="J62" s="20">
        <f>SUMIFS(Tabla2[IMPORT],Tabla2[ANY],$Z$2,Tabla2[MES],'2021'!J$2,Tabla2[TIPUS],'2021'!$A62)</f>
        <v>0</v>
      </c>
      <c r="K62" s="21">
        <f>IF(J$3=0,0,J62/J$3)</f>
        <v>0</v>
      </c>
      <c r="L62" s="20">
        <f>SUMIFS(Tabla2[IMPORT],Tabla2[ANY],$Z$2,Tabla2[MES],'2021'!L$2,Tabla2[TIPUS],'2021'!$A62)</f>
        <v>0</v>
      </c>
      <c r="M62" s="21">
        <f>IF(L$3=0,0,L62/L$3)</f>
        <v>0</v>
      </c>
      <c r="N62" s="20">
        <f>SUMIFS(Tabla2[IMPORT],Tabla2[ANY],$Z$2,Tabla2[MES],'2021'!N$2,Tabla2[TIPUS],'2021'!$A62)</f>
        <v>114</v>
      </c>
      <c r="O62" s="21">
        <f>IF(N$3=0,0,N62/N$3)</f>
        <v>9.8275862068965519E-2</v>
      </c>
      <c r="P62" s="20">
        <f>SUMIFS(Tabla2[IMPORT],Tabla2[ANY],$Z$2,Tabla2[MES],'2021'!P$2,Tabla2[TIPUS],'2021'!$A62)</f>
        <v>0</v>
      </c>
      <c r="Q62" s="21">
        <f>IF(P$3=0,0,P62/P$3)</f>
        <v>0</v>
      </c>
      <c r="R62" s="20">
        <f>SUMIFS(Tabla2[IMPORT],Tabla2[ANY],$Z$2,Tabla2[MES],'2021'!R$2,Tabla2[TIPUS],'2021'!$A62)</f>
        <v>30.79</v>
      </c>
      <c r="S62" s="21">
        <f>IF(R$3=0,0,R62/R$3)</f>
        <v>2.2392727272727272E-2</v>
      </c>
      <c r="T62" s="20">
        <f>SUMIFS(Tabla2[IMPORT],Tabla2[ANY],$Z$2,Tabla2[MES],'2021'!T$2,Tabla2[TIPUS],'2021'!$A62)</f>
        <v>130.07</v>
      </c>
      <c r="U62" s="21">
        <f>IF(T$3=0,0,T62/T$3)</f>
        <v>5.2553535353535352E-2</v>
      </c>
      <c r="V62" s="20">
        <f>SUMIFS(Tabla2[IMPORT],Tabla2[ANY],$Z$2,Tabla2[MES],'2021'!V$2,Tabla2[TIPUS],'2021'!$A62)</f>
        <v>0</v>
      </c>
      <c r="W62" s="21">
        <f>IF(V$3=0,0,V62/V$3)</f>
        <v>0</v>
      </c>
      <c r="X62" s="20">
        <f>SUMIFS(Tabla2[IMPORT],Tabla2[ANY],$Z$2,Tabla2[MES],'2021'!X$2,Tabla2[TIPUS],'2021'!$A62)</f>
        <v>0</v>
      </c>
      <c r="Y62" s="21">
        <f>IF(X$3=0,0,X62/X$3)</f>
        <v>0</v>
      </c>
      <c r="Z62" s="20">
        <f>B62+D62+F62+H62+J62+L62+N62+P62+R62+T62+V62+X62</f>
        <v>391.93</v>
      </c>
      <c r="AA62" s="21">
        <f>IF(Z$3=0,0,Z62/Z$3)</f>
        <v>2.0643040209501078E-2</v>
      </c>
    </row>
    <row r="63" spans="1:29" ht="16.5" collapsed="1" thickTop="1" thickBot="1" x14ac:dyDescent="0.25">
      <c r="A63" s="15" t="s">
        <v>124</v>
      </c>
      <c r="B63" s="26">
        <f>B61-B62</f>
        <v>-178.23222222222228</v>
      </c>
      <c r="C63" s="27">
        <f>IF(B3=0,0,B63/B3)</f>
        <v>-0.3774507035625207</v>
      </c>
      <c r="D63" s="26">
        <f>D61-D62</f>
        <v>86.567777777777792</v>
      </c>
      <c r="E63" s="27">
        <f>IF(D3=0,0,D63/D3)</f>
        <v>0.18332862722951671</v>
      </c>
      <c r="F63" s="26">
        <f>F61-F62</f>
        <v>2197.7777777777778</v>
      </c>
      <c r="G63" s="27">
        <f>IF(F3=0,0,F63/F3)</f>
        <v>0.88899675502701159</v>
      </c>
      <c r="H63" s="26">
        <f>H61-H62</f>
        <v>-5.2722222222222399</v>
      </c>
      <c r="I63" s="27">
        <f>IF(H3=0,0,H63/H3)</f>
        <v>-1.1165231305002627E-2</v>
      </c>
      <c r="J63" s="26">
        <f>J61-J62</f>
        <v>1120.7377777777779</v>
      </c>
      <c r="K63" s="27">
        <f>IF(J3=0,0,J63/J3)</f>
        <v>0.77552730742409182</v>
      </c>
      <c r="L63" s="26">
        <f>L61-L62</f>
        <v>1814.4177777777779</v>
      </c>
      <c r="M63" s="27">
        <f>IF(L3=0,0,L63/L3)</f>
        <v>0.85701765020465337</v>
      </c>
      <c r="N63" s="26">
        <f>N61-N62</f>
        <v>634.77777777777783</v>
      </c>
      <c r="O63" s="27">
        <f>IF(N3=0,0,N63/N3)</f>
        <v>0.54722222222222228</v>
      </c>
      <c r="P63" s="26">
        <f>P61-P62</f>
        <v>694.91277777777782</v>
      </c>
      <c r="Q63" s="27">
        <f>IF(P3=0,0,P63/P3)</f>
        <v>0.62045783730158732</v>
      </c>
      <c r="R63" s="26">
        <f>R61-R62</f>
        <v>447.45277777777767</v>
      </c>
      <c r="S63" s="27">
        <f>IF(R3=0,0,R63/R3)</f>
        <v>0.32542020202020194</v>
      </c>
      <c r="T63" s="26">
        <f>T61-T62</f>
        <v>1781.0827777777779</v>
      </c>
      <c r="U63" s="27">
        <f>IF(T3=0,0,T63/T3)</f>
        <v>0.71962940516273854</v>
      </c>
      <c r="V63" s="26">
        <f>V61-V62</f>
        <v>1433.0427777777779</v>
      </c>
      <c r="W63" s="27">
        <f>IF(V3=0,0,V63/V3)</f>
        <v>0.66808521108521113</v>
      </c>
      <c r="X63" s="26">
        <f>X61-X62</f>
        <v>1639.0527777777779</v>
      </c>
      <c r="Y63" s="27">
        <f>IF(X3=0,0,X63/X3)</f>
        <v>0.50277692569870491</v>
      </c>
      <c r="Z63" s="26">
        <f>Z61-Z62</f>
        <v>11666.318333333331</v>
      </c>
      <c r="AA63" s="27">
        <f>IF(Z3=0,0,Z63/Z3)</f>
        <v>0.61446757954695874</v>
      </c>
    </row>
    <row r="64" spans="1:29" ht="16.5" thickTop="1" thickBot="1" x14ac:dyDescent="0.25">
      <c r="B64" s="30"/>
      <c r="C64" s="31"/>
      <c r="D64" s="30"/>
      <c r="E64" s="31"/>
      <c r="F64" s="30"/>
      <c r="G64" s="31"/>
      <c r="H64" s="30"/>
      <c r="I64" s="31"/>
      <c r="J64" s="30"/>
      <c r="K64" s="31"/>
      <c r="L64" s="30"/>
      <c r="M64" s="31"/>
      <c r="N64" s="30"/>
      <c r="O64" s="31"/>
      <c r="P64" s="30"/>
      <c r="Q64" s="31"/>
      <c r="R64" s="30"/>
      <c r="S64" s="31"/>
      <c r="T64" s="30"/>
      <c r="U64" s="31"/>
      <c r="V64" s="30"/>
      <c r="W64" s="31"/>
      <c r="X64" s="30"/>
      <c r="Y64" s="31"/>
      <c r="Z64" s="30"/>
      <c r="AA64" s="31"/>
    </row>
    <row r="65" spans="1:27" ht="15.75" thickBot="1" x14ac:dyDescent="0.25">
      <c r="A65" s="210" t="s">
        <v>136</v>
      </c>
    </row>
    <row r="66" spans="1:27" x14ac:dyDescent="0.2">
      <c r="A66" s="210"/>
      <c r="B66" s="208" t="s">
        <v>48</v>
      </c>
      <c r="C66" s="209"/>
      <c r="D66" s="208" t="s">
        <v>56</v>
      </c>
      <c r="E66" s="209"/>
      <c r="F66" s="208" t="s">
        <v>57</v>
      </c>
      <c r="G66" s="209"/>
      <c r="H66" s="208" t="s">
        <v>58</v>
      </c>
      <c r="I66" s="209"/>
      <c r="J66" s="208" t="s">
        <v>59</v>
      </c>
      <c r="K66" s="209"/>
      <c r="L66" s="208" t="s">
        <v>60</v>
      </c>
      <c r="M66" s="209"/>
      <c r="N66" s="208" t="s">
        <v>61</v>
      </c>
      <c r="O66" s="209"/>
      <c r="P66" s="208" t="s">
        <v>62</v>
      </c>
      <c r="Q66" s="209"/>
      <c r="R66" s="208" t="s">
        <v>236</v>
      </c>
      <c r="S66" s="209"/>
      <c r="T66" s="208" t="s">
        <v>63</v>
      </c>
      <c r="U66" s="209"/>
      <c r="V66" s="208" t="s">
        <v>64</v>
      </c>
      <c r="W66" s="209"/>
      <c r="X66" s="208" t="s">
        <v>65</v>
      </c>
      <c r="Y66" s="209"/>
      <c r="Z66" s="208">
        <f>Z2</f>
        <v>2021</v>
      </c>
      <c r="AA66" s="209"/>
    </row>
    <row r="67" spans="1:27" x14ac:dyDescent="0.2">
      <c r="A67" t="s">
        <v>125</v>
      </c>
      <c r="B67" s="20">
        <f>B3</f>
        <v>472.2</v>
      </c>
      <c r="C67" s="38">
        <f t="shared" ref="C67:C73" si="70">B67</f>
        <v>472.2</v>
      </c>
      <c r="D67" s="20">
        <f>D3</f>
        <v>472.2</v>
      </c>
      <c r="E67" s="38">
        <f>C73+D67</f>
        <v>304.43999999999994</v>
      </c>
      <c r="F67" s="20">
        <f>F3</f>
        <v>2472.1999999999998</v>
      </c>
      <c r="G67" s="38">
        <f>E73+F67</f>
        <v>2401.4799999999996</v>
      </c>
      <c r="H67" s="20">
        <f>H3</f>
        <v>472.2</v>
      </c>
      <c r="I67" s="38">
        <f>G73+H67</f>
        <v>2609.7299999999996</v>
      </c>
      <c r="J67" s="20">
        <f>J3</f>
        <v>1445.13</v>
      </c>
      <c r="K67" s="38">
        <f>I73+J67</f>
        <v>3587.8599999999997</v>
      </c>
      <c r="L67" s="20">
        <f>L3</f>
        <v>2117.13</v>
      </c>
      <c r="M67" s="38">
        <f>K73+L67</f>
        <v>5391.07</v>
      </c>
      <c r="N67" s="20">
        <f>N3</f>
        <v>1160</v>
      </c>
      <c r="O67" s="38">
        <f>M73+N67</f>
        <v>6258.83</v>
      </c>
      <c r="P67" s="20">
        <f>P3</f>
        <v>1120</v>
      </c>
      <c r="Q67" s="38">
        <f>O73+P67</f>
        <v>5420.8</v>
      </c>
      <c r="R67" s="20">
        <f>R3</f>
        <v>1375</v>
      </c>
      <c r="S67" s="38">
        <f>Q73+R67</f>
        <v>6429.8</v>
      </c>
      <c r="T67" s="20">
        <f>T3</f>
        <v>2475</v>
      </c>
      <c r="U67" s="38">
        <f>S73+T67</f>
        <v>8036.34</v>
      </c>
      <c r="V67" s="20">
        <f>V3</f>
        <v>2145</v>
      </c>
      <c r="W67" s="38">
        <f>U73+V67</f>
        <v>9546.51</v>
      </c>
      <c r="X67" s="20">
        <f>X3</f>
        <v>3260</v>
      </c>
      <c r="Y67" s="38">
        <f>W73+X67</f>
        <v>12153.64</v>
      </c>
      <c r="Z67" s="200">
        <f>Z3</f>
        <v>18986.059999999998</v>
      </c>
      <c r="AA67" s="201"/>
    </row>
    <row r="68" spans="1:27" x14ac:dyDescent="0.2">
      <c r="A68" t="s">
        <v>126</v>
      </c>
      <c r="B68" s="20">
        <f>B40</f>
        <v>639.96</v>
      </c>
      <c r="C68" s="38">
        <f t="shared" si="70"/>
        <v>639.96</v>
      </c>
      <c r="D68" s="20">
        <f>D40</f>
        <v>372.09</v>
      </c>
      <c r="E68" s="38">
        <f>D68</f>
        <v>372.09</v>
      </c>
      <c r="F68" s="20">
        <f>F40</f>
        <v>263.95</v>
      </c>
      <c r="G68" s="38">
        <f>F68</f>
        <v>263.95</v>
      </c>
      <c r="H68" s="20">
        <f>H40</f>
        <v>353</v>
      </c>
      <c r="I68" s="38">
        <f>H68</f>
        <v>353</v>
      </c>
      <c r="J68" s="20">
        <f>J40</f>
        <v>313.92</v>
      </c>
      <c r="K68" s="38">
        <f>J68</f>
        <v>313.92</v>
      </c>
      <c r="L68" s="20">
        <f>L40</f>
        <v>292.24</v>
      </c>
      <c r="M68" s="38">
        <f>L68</f>
        <v>292.24</v>
      </c>
      <c r="N68" s="20">
        <f>N40</f>
        <v>400.75</v>
      </c>
      <c r="O68" s="38">
        <f>N68</f>
        <v>400.75</v>
      </c>
      <c r="P68" s="20">
        <f>P40</f>
        <v>366</v>
      </c>
      <c r="Q68" s="38">
        <f>P68</f>
        <v>366</v>
      </c>
      <c r="R68" s="20">
        <f>R40</f>
        <v>837.67000000000007</v>
      </c>
      <c r="S68" s="38">
        <f>R68</f>
        <v>837.67000000000007</v>
      </c>
      <c r="T68" s="20">
        <f>T40</f>
        <v>504.76000000000005</v>
      </c>
      <c r="U68" s="38">
        <f>T68</f>
        <v>504.76000000000005</v>
      </c>
      <c r="V68" s="20">
        <f>V40</f>
        <v>652.87</v>
      </c>
      <c r="W68" s="38">
        <f>V68</f>
        <v>652.87</v>
      </c>
      <c r="X68" s="20">
        <f>X40</f>
        <v>1561.86</v>
      </c>
      <c r="Y68" s="38">
        <f>X68</f>
        <v>1561.86</v>
      </c>
      <c r="Z68" s="200">
        <f>Z40</f>
        <v>6559.0700000000006</v>
      </c>
      <c r="AA68" s="201"/>
    </row>
    <row r="69" spans="1:27" ht="15.75" thickBot="1" x14ac:dyDescent="0.25">
      <c r="A69" s="36" t="s">
        <v>127</v>
      </c>
      <c r="B69" s="37">
        <f>B67-B68</f>
        <v>-167.76000000000005</v>
      </c>
      <c r="C69" s="39">
        <f t="shared" si="70"/>
        <v>-167.76000000000005</v>
      </c>
      <c r="D69" s="37">
        <f t="shared" ref="D69:Y69" si="71">D67-D68</f>
        <v>100.11000000000001</v>
      </c>
      <c r="E69" s="39">
        <f t="shared" si="71"/>
        <v>-67.650000000000034</v>
      </c>
      <c r="F69" s="37">
        <f t="shared" si="71"/>
        <v>2208.25</v>
      </c>
      <c r="G69" s="39">
        <f t="shared" si="71"/>
        <v>2137.5299999999997</v>
      </c>
      <c r="H69" s="37">
        <f t="shared" si="71"/>
        <v>119.19999999999999</v>
      </c>
      <c r="I69" s="39">
        <f t="shared" si="71"/>
        <v>2256.7299999999996</v>
      </c>
      <c r="J69" s="37">
        <f t="shared" si="71"/>
        <v>1131.21</v>
      </c>
      <c r="K69" s="39">
        <f t="shared" si="71"/>
        <v>3273.9399999999996</v>
      </c>
      <c r="L69" s="37">
        <f t="shared" si="71"/>
        <v>1824.89</v>
      </c>
      <c r="M69" s="39">
        <f t="shared" si="71"/>
        <v>5098.83</v>
      </c>
      <c r="N69" s="37">
        <f t="shared" si="71"/>
        <v>759.25</v>
      </c>
      <c r="O69" s="39">
        <f t="shared" si="71"/>
        <v>5858.08</v>
      </c>
      <c r="P69" s="37">
        <f t="shared" si="71"/>
        <v>754</v>
      </c>
      <c r="Q69" s="39">
        <f t="shared" si="71"/>
        <v>5054.8</v>
      </c>
      <c r="R69" s="37">
        <f t="shared" si="71"/>
        <v>537.32999999999993</v>
      </c>
      <c r="S69" s="39">
        <f t="shared" si="71"/>
        <v>5592.13</v>
      </c>
      <c r="T69" s="37">
        <f t="shared" si="71"/>
        <v>1970.24</v>
      </c>
      <c r="U69" s="39">
        <f t="shared" si="71"/>
        <v>7531.58</v>
      </c>
      <c r="V69" s="37">
        <f t="shared" si="71"/>
        <v>1492.13</v>
      </c>
      <c r="W69" s="39">
        <f t="shared" si="71"/>
        <v>8893.64</v>
      </c>
      <c r="X69" s="37">
        <f t="shared" si="71"/>
        <v>1698.14</v>
      </c>
      <c r="Y69" s="39">
        <f t="shared" si="71"/>
        <v>10591.779999999999</v>
      </c>
      <c r="Z69" s="202">
        <f>Z67-Z68</f>
        <v>12426.989999999998</v>
      </c>
      <c r="AA69" s="203"/>
    </row>
    <row r="70" spans="1:27" x14ac:dyDescent="0.2">
      <c r="A70" s="2" t="s">
        <v>128</v>
      </c>
      <c r="B70" s="20">
        <f>-SUMIFS(Tabla2[IMPORT],Tabla2[ANY],$Z$2,Tabla2[MES],'2021'!B$2,Tabla2[TIPUS],'2021'!$A70)</f>
        <v>0</v>
      </c>
      <c r="C70" s="38">
        <f t="shared" si="70"/>
        <v>0</v>
      </c>
      <c r="D70" s="20">
        <f>-SUMIFS(Tabla2[IMPORT],Tabla2[ANY],$Z$2,Tabla2[MES],'2021'!D$2,Tabla2[TIPUS],'2021'!$A70)</f>
        <v>0</v>
      </c>
      <c r="E70" s="38">
        <f>D70</f>
        <v>0</v>
      </c>
      <c r="F70" s="20">
        <f>-SUMIFS(Tabla2[IMPORT],Tabla2[ANY],$Z$2,Tabla2[MES],'2021'!F$2,Tabla2[TIPUS],'2021'!$A70)</f>
        <v>0</v>
      </c>
      <c r="G70" s="38">
        <f>F70</f>
        <v>0</v>
      </c>
      <c r="H70" s="20">
        <f>-SUMIFS(Tabla2[IMPORT],Tabla2[ANY],$Z$2,Tabla2[MES],'2021'!H$2,Tabla2[TIPUS],'2021'!$A70)</f>
        <v>0</v>
      </c>
      <c r="I70" s="38">
        <f>H70</f>
        <v>0</v>
      </c>
      <c r="J70" s="20">
        <f>-SUMIFS(Tabla2[IMPORT],Tabla2[ANY],$Z$2,Tabla2[MES],'2021'!J$2,Tabla2[TIPUS],'2021'!$A70)</f>
        <v>0</v>
      </c>
      <c r="K70" s="38">
        <f>J70</f>
        <v>0</v>
      </c>
      <c r="L70" s="20">
        <f>-SUMIFS(Tabla2[IMPORT],Tabla2[ANY],$Z$2,Tabla2[MES],'2021'!L$2,Tabla2[TIPUS],'2021'!$A70)</f>
        <v>0</v>
      </c>
      <c r="M70" s="38">
        <f>L70</f>
        <v>0</v>
      </c>
      <c r="N70" s="20">
        <f>-SUMIFS(Tabla2[IMPORT],Tabla2[ANY],$Z$2,Tabla2[MES],'2021'!N$2,Tabla2[TIPUS],'2021'!$A70)</f>
        <v>-1443.28</v>
      </c>
      <c r="O70" s="38">
        <f>N70</f>
        <v>-1443.28</v>
      </c>
      <c r="P70" s="20">
        <f>-SUMIFS(Tabla2[IMPORT],Tabla2[ANY],$Z$2,Tabla2[MES],'2021'!P$2,Tabla2[TIPUS],'2021'!$A70)</f>
        <v>0</v>
      </c>
      <c r="Q70" s="38">
        <f>P70</f>
        <v>0</v>
      </c>
      <c r="R70" s="20">
        <f>-SUMIFS(Tabla2[IMPORT],Tabla2[ANY],$Z$2,Tabla2[MES],'2021'!R$2,Tabla2[TIPUS],'2021'!$A70)</f>
        <v>0</v>
      </c>
      <c r="S70" s="38">
        <f>R70</f>
        <v>0</v>
      </c>
      <c r="T70" s="20">
        <f>-SUMIFS(Tabla2[IMPORT],Tabla2[ANY],$Z$2,Tabla2[MES],'2021'!T$2,Tabla2[TIPUS],'2021'!$A70)</f>
        <v>0</v>
      </c>
      <c r="U70" s="38">
        <f>T70</f>
        <v>0</v>
      </c>
      <c r="V70" s="20">
        <f>-SUMIFS(Tabla2[IMPORT],Tabla2[ANY],$Z$2,Tabla2[MES],'2021'!V$2,Tabla2[TIPUS],'2021'!$A70)</f>
        <v>0</v>
      </c>
      <c r="W70" s="38">
        <f>V70</f>
        <v>0</v>
      </c>
      <c r="X70" s="20">
        <f>-SUMIFS(Tabla2[IMPORT],Tabla2[ANY],$Z$2,Tabla2[MES],'2021'!X$2,Tabla2[TIPUS],'2021'!$A70)</f>
        <v>-210</v>
      </c>
      <c r="Y70" s="38">
        <f>X70</f>
        <v>-210</v>
      </c>
      <c r="Z70" s="204">
        <f>C70+E70+G70+I70+K70+O70+M70+Q70+S70+U70+W70+Y70</f>
        <v>-1653.28</v>
      </c>
      <c r="AA70" s="205"/>
    </row>
    <row r="71" spans="1:27" x14ac:dyDescent="0.2">
      <c r="A71" t="s">
        <v>134</v>
      </c>
      <c r="B71" s="20">
        <f>-B59</f>
        <v>0</v>
      </c>
      <c r="C71" s="38">
        <f t="shared" si="70"/>
        <v>0</v>
      </c>
      <c r="D71" s="20">
        <f>-D59</f>
        <v>0</v>
      </c>
      <c r="E71" s="38">
        <f>D71</f>
        <v>0</v>
      </c>
      <c r="F71" s="20">
        <f>-F59</f>
        <v>0</v>
      </c>
      <c r="G71" s="38">
        <f>F71</f>
        <v>0</v>
      </c>
      <c r="H71" s="20">
        <f>-H59</f>
        <v>0</v>
      </c>
      <c r="I71" s="38">
        <f>H71</f>
        <v>0</v>
      </c>
      <c r="J71" s="20">
        <f>-J59</f>
        <v>0</v>
      </c>
      <c r="K71" s="38">
        <f>J71</f>
        <v>0</v>
      </c>
      <c r="L71" s="20">
        <f>-L59</f>
        <v>0</v>
      </c>
      <c r="M71" s="38">
        <f>L71</f>
        <v>0</v>
      </c>
      <c r="N71" s="20">
        <f>-N59</f>
        <v>0</v>
      </c>
      <c r="O71" s="38">
        <f>N71</f>
        <v>0</v>
      </c>
      <c r="P71" s="20">
        <f>-P59</f>
        <v>0</v>
      </c>
      <c r="Q71" s="38">
        <f>P71</f>
        <v>0</v>
      </c>
      <c r="R71" s="20">
        <f>-R59</f>
        <v>0</v>
      </c>
      <c r="S71" s="38">
        <f>R71</f>
        <v>0</v>
      </c>
      <c r="T71" s="20">
        <f>-T59</f>
        <v>0</v>
      </c>
      <c r="U71" s="38">
        <f>T71</f>
        <v>0</v>
      </c>
      <c r="V71" s="20">
        <f>-V59</f>
        <v>0</v>
      </c>
      <c r="W71" s="38">
        <f>V71</f>
        <v>0</v>
      </c>
      <c r="X71" s="20">
        <f>-X59</f>
        <v>0</v>
      </c>
      <c r="Y71" s="38">
        <f>X71</f>
        <v>0</v>
      </c>
      <c r="Z71" s="200">
        <f>C71+E71+G71+I71+K71+O71+M71+Q71+S71+U71+W71+Y71</f>
        <v>0</v>
      </c>
      <c r="AA71" s="201"/>
    </row>
    <row r="72" spans="1:27" x14ac:dyDescent="0.2">
      <c r="A72" t="s">
        <v>130</v>
      </c>
      <c r="B72" s="23">
        <f>-B62</f>
        <v>0</v>
      </c>
      <c r="C72" s="35">
        <f t="shared" si="70"/>
        <v>0</v>
      </c>
      <c r="D72" s="23">
        <f>-D62</f>
        <v>-3.07</v>
      </c>
      <c r="E72" s="35">
        <f>D72</f>
        <v>-3.07</v>
      </c>
      <c r="F72" s="23">
        <f>-F62</f>
        <v>0</v>
      </c>
      <c r="G72" s="35">
        <f>F72</f>
        <v>0</v>
      </c>
      <c r="H72" s="23">
        <f>-H62</f>
        <v>-114</v>
      </c>
      <c r="I72" s="35">
        <f>H72</f>
        <v>-114</v>
      </c>
      <c r="J72" s="23">
        <f>-J62</f>
        <v>0</v>
      </c>
      <c r="K72" s="35">
        <f>J72</f>
        <v>0</v>
      </c>
      <c r="L72" s="23">
        <f>-L62</f>
        <v>0</v>
      </c>
      <c r="M72" s="35">
        <f>L72</f>
        <v>0</v>
      </c>
      <c r="N72" s="23">
        <f>-N62</f>
        <v>-114</v>
      </c>
      <c r="O72" s="35">
        <f>N72</f>
        <v>-114</v>
      </c>
      <c r="P72" s="23">
        <f>-P62</f>
        <v>0</v>
      </c>
      <c r="Q72" s="35">
        <f>P72</f>
        <v>0</v>
      </c>
      <c r="R72" s="23">
        <f>-R62</f>
        <v>-30.79</v>
      </c>
      <c r="S72" s="35">
        <f>R72</f>
        <v>-30.79</v>
      </c>
      <c r="T72" s="23">
        <f>-T62</f>
        <v>-130.07</v>
      </c>
      <c r="U72" s="35">
        <f>T72</f>
        <v>-130.07</v>
      </c>
      <c r="V72" s="23">
        <f>-V62</f>
        <v>0</v>
      </c>
      <c r="W72" s="35">
        <f>V72</f>
        <v>0</v>
      </c>
      <c r="X72" s="23">
        <f>-X62</f>
        <v>0</v>
      </c>
      <c r="Y72" s="35">
        <f>X72</f>
        <v>0</v>
      </c>
      <c r="Z72" s="206">
        <f>C72+E72+G72+I72+K72+O72+M72+Q72+S72+U72+W72+Y72</f>
        <v>-391.93</v>
      </c>
      <c r="AA72" s="207"/>
    </row>
    <row r="73" spans="1:27" ht="15.75" thickBot="1" x14ac:dyDescent="0.25">
      <c r="A73" s="36" t="s">
        <v>131</v>
      </c>
      <c r="B73" s="37">
        <f>B69+B70+B71+B72</f>
        <v>-167.76000000000005</v>
      </c>
      <c r="C73" s="39">
        <f t="shared" si="70"/>
        <v>-167.76000000000005</v>
      </c>
      <c r="D73" s="37">
        <f t="shared" ref="D73:Y73" si="72">D69+D70+D71+D72</f>
        <v>97.04000000000002</v>
      </c>
      <c r="E73" s="39">
        <f t="shared" si="72"/>
        <v>-70.720000000000027</v>
      </c>
      <c r="F73" s="37">
        <f t="shared" si="72"/>
        <v>2208.25</v>
      </c>
      <c r="G73" s="39">
        <f t="shared" si="72"/>
        <v>2137.5299999999997</v>
      </c>
      <c r="H73" s="37">
        <f t="shared" si="72"/>
        <v>5.1999999999999886</v>
      </c>
      <c r="I73" s="39">
        <f t="shared" si="72"/>
        <v>2142.7299999999996</v>
      </c>
      <c r="J73" s="37">
        <f t="shared" si="72"/>
        <v>1131.21</v>
      </c>
      <c r="K73" s="39">
        <f t="shared" si="72"/>
        <v>3273.9399999999996</v>
      </c>
      <c r="L73" s="37">
        <f t="shared" si="72"/>
        <v>1824.89</v>
      </c>
      <c r="M73" s="39">
        <f t="shared" si="72"/>
        <v>5098.83</v>
      </c>
      <c r="N73" s="37">
        <f t="shared" si="72"/>
        <v>-798.03</v>
      </c>
      <c r="O73" s="39">
        <f t="shared" si="72"/>
        <v>4300.8</v>
      </c>
      <c r="P73" s="37">
        <f t="shared" si="72"/>
        <v>754</v>
      </c>
      <c r="Q73" s="39">
        <f t="shared" si="72"/>
        <v>5054.8</v>
      </c>
      <c r="R73" s="37">
        <f t="shared" si="72"/>
        <v>506.53999999999991</v>
      </c>
      <c r="S73" s="39">
        <f t="shared" si="72"/>
        <v>5561.34</v>
      </c>
      <c r="T73" s="37">
        <f t="shared" si="72"/>
        <v>1840.17</v>
      </c>
      <c r="U73" s="39">
        <f t="shared" si="72"/>
        <v>7401.51</v>
      </c>
      <c r="V73" s="37">
        <f t="shared" si="72"/>
        <v>1492.13</v>
      </c>
      <c r="W73" s="39">
        <f t="shared" si="72"/>
        <v>8893.64</v>
      </c>
      <c r="X73" s="37">
        <f t="shared" si="72"/>
        <v>1488.14</v>
      </c>
      <c r="Y73" s="39">
        <f t="shared" si="72"/>
        <v>10381.779999999999</v>
      </c>
      <c r="Z73" s="202">
        <f>Z69+Z70+Z71+Z72</f>
        <v>10381.779999999997</v>
      </c>
      <c r="AA73" s="203"/>
    </row>
    <row r="75" spans="1:27" ht="30" thickBot="1" x14ac:dyDescent="0.45">
      <c r="A75" s="45" t="s">
        <v>102</v>
      </c>
    </row>
    <row r="76" spans="1:27" x14ac:dyDescent="0.2">
      <c r="B76" s="208" t="s">
        <v>48</v>
      </c>
      <c r="C76" s="209"/>
      <c r="D76" s="208" t="s">
        <v>56</v>
      </c>
      <c r="E76" s="209"/>
      <c r="F76" s="208" t="s">
        <v>57</v>
      </c>
      <c r="G76" s="209"/>
      <c r="H76" s="208" t="s">
        <v>58</v>
      </c>
      <c r="I76" s="209"/>
      <c r="J76" s="208" t="s">
        <v>59</v>
      </c>
      <c r="K76" s="209"/>
      <c r="L76" s="208" t="s">
        <v>60</v>
      </c>
      <c r="M76" s="209"/>
      <c r="N76" s="208" t="s">
        <v>61</v>
      </c>
      <c r="O76" s="209"/>
      <c r="P76" s="208" t="s">
        <v>62</v>
      </c>
      <c r="Q76" s="209"/>
      <c r="R76" s="208" t="s">
        <v>236</v>
      </c>
      <c r="S76" s="209"/>
      <c r="T76" s="208" t="s">
        <v>63</v>
      </c>
      <c r="U76" s="209"/>
      <c r="V76" s="208" t="s">
        <v>64</v>
      </c>
      <c r="W76" s="209"/>
      <c r="X76" s="208" t="s">
        <v>65</v>
      </c>
      <c r="Y76" s="209"/>
      <c r="Z76" s="208">
        <f>Z2</f>
        <v>2021</v>
      </c>
      <c r="AA76" s="209"/>
    </row>
    <row r="77" spans="1:27" ht="15.75" thickBot="1" x14ac:dyDescent="0.25">
      <c r="A77" s="10" t="s">
        <v>66</v>
      </c>
      <c r="B77" s="16">
        <f>B78+B96</f>
        <v>472.2</v>
      </c>
      <c r="C77" s="17">
        <f>IF(B77=0,0,(B77/B77))</f>
        <v>1</v>
      </c>
      <c r="D77" s="16">
        <f>D78+D96</f>
        <v>472.2</v>
      </c>
      <c r="E77" s="17">
        <f>IF(D77=0,0,(D77/D77))</f>
        <v>1</v>
      </c>
      <c r="F77" s="16">
        <f>F78+F96</f>
        <v>2472.1999999999998</v>
      </c>
      <c r="G77" s="17">
        <f>IF(F77=0,0,(F77/F77))</f>
        <v>1</v>
      </c>
      <c r="H77" s="16">
        <f>H78+H96</f>
        <v>472.2</v>
      </c>
      <c r="I77" s="17">
        <f>IF(H77=0,0,(H77/H77))</f>
        <v>1</v>
      </c>
      <c r="J77" s="16">
        <f>J78+J96</f>
        <v>900.13</v>
      </c>
      <c r="K77" s="17">
        <f>IF(J77=0,0,(J77/J77))</f>
        <v>1</v>
      </c>
      <c r="L77" s="16">
        <f>L78+L96</f>
        <v>1127.1300000000001</v>
      </c>
      <c r="M77" s="17">
        <f>IF(L77=0,0,(L77/L77))</f>
        <v>1</v>
      </c>
      <c r="N77" s="16">
        <f>N78+N96</f>
        <v>390</v>
      </c>
      <c r="O77" s="17">
        <f>IF(N77=0,0,(N77/N77))</f>
        <v>1</v>
      </c>
      <c r="P77" s="16">
        <f>P78+P96</f>
        <v>345</v>
      </c>
      <c r="Q77" s="17">
        <f>IF(P77=0,0,(P77/P77))</f>
        <v>1</v>
      </c>
      <c r="R77" s="16">
        <f>R78+R96</f>
        <v>540</v>
      </c>
      <c r="S77" s="17">
        <f>IF(R77=0,0,(R77/R77))</f>
        <v>1</v>
      </c>
      <c r="T77" s="16">
        <f>T78+T96</f>
        <v>1275</v>
      </c>
      <c r="U77" s="17">
        <f>IF(T77=0,0,(T77/T77))</f>
        <v>1</v>
      </c>
      <c r="V77" s="16">
        <f>V78+V96</f>
        <v>1260</v>
      </c>
      <c r="W77" s="17">
        <f>IF(V77=0,0,(V77/V77))</f>
        <v>1</v>
      </c>
      <c r="X77" s="16">
        <f>X78+X96</f>
        <v>1990</v>
      </c>
      <c r="Y77" s="17">
        <f>IF(X77=0,0,(X77/X77))</f>
        <v>1</v>
      </c>
      <c r="Z77" s="16">
        <f>Z78+Z96</f>
        <v>11716.06</v>
      </c>
      <c r="AA77" s="17">
        <f>IF(Z77=0,0,(Z77/Z77))</f>
        <v>1</v>
      </c>
    </row>
    <row r="78" spans="1:27" x14ac:dyDescent="0.2">
      <c r="A78" s="32" t="s">
        <v>74</v>
      </c>
      <c r="B78" s="18">
        <f>SUM(B79:B86)</f>
        <v>472.2</v>
      </c>
      <c r="C78" s="19">
        <f>IF(B$77=0,0,B78/B$77)</f>
        <v>1</v>
      </c>
      <c r="D78" s="18">
        <f>SUM(D79:D86)</f>
        <v>472.2</v>
      </c>
      <c r="E78" s="19">
        <f>IF(D$77=0,0,D78/D$77)</f>
        <v>1</v>
      </c>
      <c r="F78" s="18">
        <f>SUM(F79:F86)</f>
        <v>2472.1999999999998</v>
      </c>
      <c r="G78" s="19">
        <f>IF(F$77=0,0,F78/F$77)</f>
        <v>1</v>
      </c>
      <c r="H78" s="18">
        <f>SUM(H79:H86)</f>
        <v>472.2</v>
      </c>
      <c r="I78" s="19">
        <f>IF(H$77=0,0,H78/H$77)</f>
        <v>1</v>
      </c>
      <c r="J78" s="18">
        <f>SUM(J79:J86)</f>
        <v>900.13</v>
      </c>
      <c r="K78" s="19">
        <f>IF(J$77=0,0,J78/J$77)</f>
        <v>1</v>
      </c>
      <c r="L78" s="18">
        <f>SUM(L79:L86)</f>
        <v>1127.1300000000001</v>
      </c>
      <c r="M78" s="19">
        <f>IF(L$77=0,0,L78/L$77)</f>
        <v>1</v>
      </c>
      <c r="N78" s="18">
        <f>SUM(N79:N86)</f>
        <v>390</v>
      </c>
      <c r="O78" s="19">
        <f>IF(N$77=0,0,N78/N$77)</f>
        <v>1</v>
      </c>
      <c r="P78" s="18">
        <f>SUM(P79:P86)</f>
        <v>345</v>
      </c>
      <c r="Q78" s="19">
        <f>IF(P$77=0,0,P78/P$77)</f>
        <v>1</v>
      </c>
      <c r="R78" s="18">
        <f>SUM(R79:R86)</f>
        <v>540</v>
      </c>
      <c r="S78" s="19">
        <f>IF(R$77=0,0,R78/R$77)</f>
        <v>1</v>
      </c>
      <c r="T78" s="18">
        <f>SUM(T79:T86)</f>
        <v>1275</v>
      </c>
      <c r="U78" s="19">
        <f>IF(T$77=0,0,T78/T$77)</f>
        <v>1</v>
      </c>
      <c r="V78" s="18">
        <f>SUM(V79:V86)</f>
        <v>1160</v>
      </c>
      <c r="W78" s="19">
        <f>IF(V$77=0,0,V78/V$77)</f>
        <v>0.92063492063492058</v>
      </c>
      <c r="X78" s="18">
        <f>SUM(X79:X86)</f>
        <v>1870</v>
      </c>
      <c r="Y78" s="19">
        <f>IF(X$77=0,0,X78/X$77)</f>
        <v>0.93969849246231152</v>
      </c>
      <c r="Z78" s="18">
        <f>SUM(Z79:Z86)</f>
        <v>11496.06</v>
      </c>
      <c r="AA78" s="19">
        <f>IF(Z$77=0,0,Z78/Z$77)</f>
        <v>0.98122235632115229</v>
      </c>
    </row>
    <row r="79" spans="1:27" hidden="1" outlineLevel="2" x14ac:dyDescent="0.2">
      <c r="A79" s="8" t="s">
        <v>67</v>
      </c>
      <c r="B79" s="20">
        <f>SUMIFS('Registre de reserves'!$U$2:$U$1178,'Registre de reserves'!$T$2:$T$1178,"SI",'Registre de reserves'!$I$2:$I$1178,'2021'!$A79,'Registre de reserves'!$B$2:$B$1178,'2021'!B$2,Tabla1[ANY],'2021'!$Z$76)+SUMIFS('Registre de reserves'!$U$2:$U$1178,'Registre de reserves'!$T$2:$T$1178,"RESERVA",'Registre de reserves'!$I$2:$I$1178,'2021'!$A79,'Registre de reserves'!$B$2:$B$1178,'2021'!B$2,Tabla1[ANY],'2021'!$Z$76)</f>
        <v>0</v>
      </c>
      <c r="C79" s="21">
        <f t="shared" ref="C79:C86" si="73">IF(B$78=0,0,B79/B$78)</f>
        <v>0</v>
      </c>
      <c r="D79" s="20">
        <f>SUMIFS('Registre de reserves'!$U$2:$U$1178,'Registre de reserves'!$T$2:$T$1178,"SI",'Registre de reserves'!$I$2:$I$1178,'2021'!$A79,'Registre de reserves'!$B$2:$B$1178,'2021'!D$2,Tabla1[ANY],'2021'!$Z$76)+SUMIFS('Registre de reserves'!$U$2:$U$1178,'Registre de reserves'!$T$2:$T$1178,"RESERVA",'Registre de reserves'!$I$2:$I$1178,'2021'!$A79,'Registre de reserves'!$B$2:$B$1178,'2021'!D$2,Tabla1[ANY],'2021'!$Z$76)</f>
        <v>0</v>
      </c>
      <c r="E79" s="21">
        <f t="shared" ref="E79:E86" si="74">IF(D$78=0,0,D79/D$78)</f>
        <v>0</v>
      </c>
      <c r="F79" s="20">
        <f>SUMIFS('Registre de reserves'!$U$2:$U$1178,'Registre de reserves'!$T$2:$T$1178,"SI",'Registre de reserves'!$I$2:$I$1178,'2021'!$A79,'Registre de reserves'!$B$2:$B$1178,'2021'!F$2,Tabla1[ANY],'2021'!$Z$76)+SUMIFS('Registre de reserves'!$U$2:$U$1178,'Registre de reserves'!$T$2:$T$1178,"RESERVA",'Registre de reserves'!$I$2:$I$1178,'2021'!$A79,'Registre de reserves'!$B$2:$B$1178,'2021'!F$2,Tabla1[ANY],'2021'!$Z$76)</f>
        <v>0</v>
      </c>
      <c r="G79" s="21">
        <f t="shared" ref="G79:G86" si="75">IF(F$78=0,0,F79/F$78)</f>
        <v>0</v>
      </c>
      <c r="H79" s="20">
        <f>SUMIFS('Registre de reserves'!$U$2:$U$1178,'Registre de reserves'!$T$2:$T$1178,"SI",'Registre de reserves'!$I$2:$I$1178,'2021'!$A79,'Registre de reserves'!$B$2:$B$1178,'2021'!H$2,Tabla1[ANY],'2021'!$Z$76)+SUMIFS('Registre de reserves'!$U$2:$U$1178,'Registre de reserves'!$T$2:$T$1178,"RESERVA",'Registre de reserves'!$I$2:$I$1178,'2021'!$A79,'Registre de reserves'!$B$2:$B$1178,'2021'!H$2,Tabla1[ANY],'2021'!$Z$76)</f>
        <v>0</v>
      </c>
      <c r="I79" s="21">
        <f t="shared" ref="I79:I86" si="76">IF(H$78=0,0,H79/H$78)</f>
        <v>0</v>
      </c>
      <c r="J79" s="20">
        <f>SUMIFS('Registre de reserves'!$U$2:$U$1178,'Registre de reserves'!$T$2:$T$1178,"SI",'Registre de reserves'!$I$2:$I$1178,'2021'!$A79,'Registre de reserves'!$B$2:$B$1178,'2021'!J$2,Tabla1[ANY],'2021'!$Z$76)+SUMIFS('Registre de reserves'!$U$2:$U$1178,'Registre de reserves'!$T$2:$T$1178,"RESERVA",'Registre de reserves'!$I$2:$I$1178,'2021'!$A79,'Registre de reserves'!$B$2:$B$1178,'2021'!J$2,Tabla1[ANY],'2021'!$Z$76)</f>
        <v>0</v>
      </c>
      <c r="K79" s="21">
        <f t="shared" ref="K79:K86" si="77">IF(J$78=0,0,J79/J$78)</f>
        <v>0</v>
      </c>
      <c r="L79" s="20">
        <f>SUMIFS('Registre de reserves'!$U$2:$U$1178,'Registre de reserves'!$T$2:$T$1178,"SI",'Registre de reserves'!$I$2:$I$1178,'2021'!$A79,'Registre de reserves'!$B$2:$B$1178,'2021'!L$2,Tabla1[ANY],'2021'!$Z$76)+SUMIFS('Registre de reserves'!$U$2:$U$1178,'Registre de reserves'!$T$2:$T$1178,"RESERVA",'Registre de reserves'!$I$2:$I$1178,'2021'!$A79,'Registre de reserves'!$B$2:$B$1178,'2021'!L$2,Tabla1[ANY],'2021'!$Z$76)</f>
        <v>50</v>
      </c>
      <c r="M79" s="21">
        <f t="shared" ref="M79:M86" si="78">IF(L$78=0,0,L79/L$78)</f>
        <v>4.4360455315713358E-2</v>
      </c>
      <c r="N79" s="20">
        <f>SUMIFS('Registre de reserves'!$U$2:$U$1178,'Registre de reserves'!$T$2:$T$1178,"SI",'Registre de reserves'!$I$2:$I$1178,'2021'!$A79,'Registre de reserves'!$B$2:$B$1178,'2021'!N$2,Tabla1[ANY],'2021'!$Z$76)+SUMIFS('Registre de reserves'!$U$2:$U$1178,'Registre de reserves'!$T$2:$T$1178,"RESERVA",'Registre de reserves'!$I$2:$I$1178,'2021'!$A79,'Registre de reserves'!$B$2:$B$1178,'2021'!N$2,Tabla1[ANY],'2021'!$Z$76)</f>
        <v>145</v>
      </c>
      <c r="O79" s="21">
        <f t="shared" ref="O79:O86" si="79">IF(N$78=0,0,N79/N$78)</f>
        <v>0.37179487179487181</v>
      </c>
      <c r="P79" s="20">
        <f>SUMIFS('Registre de reserves'!$U$2:$U$1178,'Registre de reserves'!$T$2:$T$1178,"SI",'Registre de reserves'!$I$2:$I$1178,'2021'!$A79,'Registre de reserves'!$B$2:$B$1178,'2021'!P$2,Tabla1[ANY],'2021'!$Z$76)+SUMIFS('Registre de reserves'!$U$2:$U$1178,'Registre de reserves'!$T$2:$T$1178,"RESERVA",'Registre de reserves'!$I$2:$I$1178,'2021'!$A79,'Registre de reserves'!$B$2:$B$1178,'2021'!P$2,Tabla1[ANY],'2021'!$Z$76)</f>
        <v>50</v>
      </c>
      <c r="Q79" s="21">
        <f t="shared" ref="Q79:Q86" si="80">IF(P$78=0,0,P79/P$78)</f>
        <v>0.14492753623188406</v>
      </c>
      <c r="R79" s="20">
        <f>SUMIFS('Registre de reserves'!$U$2:$U$1178,'Registre de reserves'!$T$2:$T$1178,"SI",'Registre de reserves'!$I$2:$I$1178,'2021'!$A79,'Registre de reserves'!$B$2:$B$1178,'2021'!R$2,Tabla1[ANY],'2021'!$Z$76)+SUMIFS('Registre de reserves'!$U$2:$U$1178,'Registre de reserves'!$T$2:$T$1178,"RESERVA",'Registre de reserves'!$I$2:$I$1178,'2021'!$A79,'Registre de reserves'!$B$2:$B$1178,'2021'!R$2,Tabla1[ANY],'2021'!$Z$76)</f>
        <v>0</v>
      </c>
      <c r="S79" s="21">
        <f t="shared" ref="S79:S86" si="81">IF(R$78=0,0,R79/R$78)</f>
        <v>0</v>
      </c>
      <c r="T79" s="20">
        <f>SUMIFS('Registre de reserves'!$U$2:$U$1178,'Registre de reserves'!$T$2:$T$1178,"SI",'Registre de reserves'!$I$2:$I$1178,'2021'!$A79,'Registre de reserves'!$B$2:$B$1178,'2021'!T$2,Tabla1[ANY],'2021'!$Z$76)+SUMIFS('Registre de reserves'!$U$2:$U$1178,'Registre de reserves'!$T$2:$T$1178,"RESERVA",'Registre de reserves'!$I$2:$I$1178,'2021'!$A79,'Registre de reserves'!$B$2:$B$1178,'2021'!T$2,Tabla1[ANY],'2021'!$Z$76)</f>
        <v>290</v>
      </c>
      <c r="U79" s="21">
        <f t="shared" ref="U79:U86" si="82">IF(T$78=0,0,T79/T$78)</f>
        <v>0.22745098039215686</v>
      </c>
      <c r="V79" s="20">
        <f>SUMIFS('Registre de reserves'!$U$2:$U$1178,'Registre de reserves'!$T$2:$T$1178,"SI",'Registre de reserves'!$I$2:$I$1178,'2021'!$A79,'Registre de reserves'!$B$2:$B$1178,'2021'!V$2,Tabla1[ANY],'2021'!$Z$76)+SUMIFS('Registre de reserves'!$U$2:$U$1178,'Registre de reserves'!$T$2:$T$1178,"RESERVA",'Registre de reserves'!$I$2:$I$1178,'2021'!$A79,'Registre de reserves'!$B$2:$B$1178,'2021'!V$2,Tabla1[ANY],'2021'!$Z$76)</f>
        <v>100</v>
      </c>
      <c r="W79" s="21">
        <f t="shared" ref="W79:W86" si="83">IF(V$78=0,0,V79/V$78)</f>
        <v>8.6206896551724144E-2</v>
      </c>
      <c r="X79" s="20">
        <f>SUMIFS('Registre de reserves'!$U$2:$U$1178,'Registre de reserves'!$T$2:$T$1178,"SI",'Registre de reserves'!$I$2:$I$1178,'2021'!$A79,'Registre de reserves'!$B$2:$B$1178,'2021'!X$2,Tabla1[ANY],'2021'!$Z$76)+SUMIFS('Registre de reserves'!$U$2:$U$1178,'Registre de reserves'!$T$2:$T$1178,"RESERVA",'Registre de reserves'!$I$2:$I$1178,'2021'!$A79,'Registre de reserves'!$B$2:$B$1178,'2021'!X$2,Tabla1[ANY],'2021'!$Z$76)</f>
        <v>145</v>
      </c>
      <c r="Y79" s="21">
        <f t="shared" ref="Y79:Y86" si="84">IF(X$78=0,0,X79/X$78)</f>
        <v>7.7540106951871662E-2</v>
      </c>
      <c r="Z79" s="20">
        <f>B79+D79+F79+H79+J79+L79+N79+P79+R79+T79+V79+X79</f>
        <v>780</v>
      </c>
      <c r="AA79" s="21">
        <f t="shared" ref="AA79:AA86" si="85">IF(Z$78=0,0,Z79/Z$78)</f>
        <v>6.7849332727908523E-2</v>
      </c>
    </row>
    <row r="80" spans="1:27" hidden="1" outlineLevel="2" x14ac:dyDescent="0.2">
      <c r="A80" s="8" t="s">
        <v>68</v>
      </c>
      <c r="B80" s="20">
        <f>SUMIFS('Registre de reserves'!$U$2:$U$1178,'Registre de reserves'!$T$2:$T$1178,"SI",'Registre de reserves'!$I$2:$I$1178,'2021'!$A80,'Registre de reserves'!$B$2:$B$1178,'2021'!B$2,Tabla1[ANY],'2021'!$Z$76)+SUMIFS('Registre de reserves'!$U$2:$U$1178,'Registre de reserves'!$T$2:$T$1178,"RESERVA",'Registre de reserves'!$I$2:$I$1178,'2021'!$A80,'Registre de reserves'!$B$2:$B$1178,'2021'!B$2,Tabla1[ANY],'2021'!$Z$76)</f>
        <v>0</v>
      </c>
      <c r="C80" s="21">
        <f t="shared" si="73"/>
        <v>0</v>
      </c>
      <c r="D80" s="20">
        <f>SUMIFS('Registre de reserves'!$U$2:$U$1178,'Registre de reserves'!$T$2:$T$1178,"SI",'Registre de reserves'!$I$2:$I$1178,'2021'!$A80,'Registre de reserves'!$B$2:$B$1178,'2021'!D$2,Tabla1[ANY],'2021'!$Z$76)+SUMIFS('Registre de reserves'!$U$2:$U$1178,'Registre de reserves'!$T$2:$T$1178,"RESERVA",'Registre de reserves'!$I$2:$I$1178,'2021'!$A80,'Registre de reserves'!$B$2:$B$1178,'2021'!D$2,Tabla1[ANY],'2021'!$Z$76)</f>
        <v>0</v>
      </c>
      <c r="E80" s="21">
        <f t="shared" si="74"/>
        <v>0</v>
      </c>
      <c r="F80" s="20">
        <f>SUMIFS('Registre de reserves'!$U$2:$U$1178,'Registre de reserves'!$T$2:$T$1178,"SI",'Registre de reserves'!$I$2:$I$1178,'2021'!$A80,'Registre de reserves'!$B$2:$B$1178,'2021'!F$2,Tabla1[ANY],'2021'!$Z$76)+SUMIFS('Registre de reserves'!$U$2:$U$1178,'Registre de reserves'!$T$2:$T$1178,"RESERVA",'Registre de reserves'!$I$2:$I$1178,'2021'!$A80,'Registre de reserves'!$B$2:$B$1178,'2021'!F$2,Tabla1[ANY],'2021'!$Z$76)</f>
        <v>0</v>
      </c>
      <c r="G80" s="21">
        <f t="shared" si="75"/>
        <v>0</v>
      </c>
      <c r="H80" s="20">
        <f>SUMIFS('Registre de reserves'!$U$2:$U$1178,'Registre de reserves'!$T$2:$T$1178,"SI",'Registre de reserves'!$I$2:$I$1178,'2021'!$A80,'Registre de reserves'!$B$2:$B$1178,'2021'!H$2,Tabla1[ANY],'2021'!$Z$76)+SUMIFS('Registre de reserves'!$U$2:$U$1178,'Registre de reserves'!$T$2:$T$1178,"RESERVA",'Registre de reserves'!$I$2:$I$1178,'2021'!$A80,'Registre de reserves'!$B$2:$B$1178,'2021'!H$2,Tabla1[ANY],'2021'!$Z$76)</f>
        <v>0</v>
      </c>
      <c r="I80" s="21">
        <f t="shared" si="76"/>
        <v>0</v>
      </c>
      <c r="J80" s="20">
        <f>SUMIFS('Registre de reserves'!$U$2:$U$1178,'Registre de reserves'!$T$2:$T$1178,"SI",'Registre de reserves'!$I$2:$I$1178,'2021'!$A80,'Registre de reserves'!$B$2:$B$1178,'2021'!J$2,Tabla1[ANY],'2021'!$Z$76)+SUMIFS('Registre de reserves'!$U$2:$U$1178,'Registre de reserves'!$T$2:$T$1178,"RESERVA",'Registre de reserves'!$I$2:$I$1178,'2021'!$A80,'Registre de reserves'!$B$2:$B$1178,'2021'!J$2,Tabla1[ANY],'2021'!$Z$76)</f>
        <v>245</v>
      </c>
      <c r="K80" s="21">
        <f t="shared" si="77"/>
        <v>0.27218290691344582</v>
      </c>
      <c r="L80" s="20">
        <f>SUMIFS('Registre de reserves'!$U$2:$U$1178,'Registre de reserves'!$T$2:$T$1178,"SI",'Registre de reserves'!$I$2:$I$1178,'2021'!$A80,'Registre de reserves'!$B$2:$B$1178,'2021'!L$2,Tabla1[ANY],'2021'!$Z$76)+SUMIFS('Registre de reserves'!$U$2:$U$1178,'Registre de reserves'!$T$2:$T$1178,"RESERVA",'Registre de reserves'!$I$2:$I$1178,'2021'!$A80,'Registre de reserves'!$B$2:$B$1178,'2021'!L$2,Tabla1[ANY],'2021'!$Z$76)</f>
        <v>295</v>
      </c>
      <c r="M80" s="21">
        <f t="shared" si="78"/>
        <v>0.26172668636270879</v>
      </c>
      <c r="N80" s="20">
        <f>SUMIFS('Registre de reserves'!$U$2:$U$1178,'Registre de reserves'!$T$2:$T$1178,"SI",'Registre de reserves'!$I$2:$I$1178,'2021'!$A80,'Registre de reserves'!$B$2:$B$1178,'2021'!N$2,Tabla1[ANY],'2021'!$Z$76)+SUMIFS('Registre de reserves'!$U$2:$U$1178,'Registre de reserves'!$T$2:$T$1178,"RESERVA",'Registre de reserves'!$I$2:$I$1178,'2021'!$A80,'Registre de reserves'!$B$2:$B$1178,'2021'!N$2,Tabla1[ANY],'2021'!$Z$76)</f>
        <v>145</v>
      </c>
      <c r="O80" s="21">
        <f t="shared" si="79"/>
        <v>0.37179487179487181</v>
      </c>
      <c r="P80" s="20">
        <f>SUMIFS('Registre de reserves'!$U$2:$U$1178,'Registre de reserves'!$T$2:$T$1178,"SI",'Registre de reserves'!$I$2:$I$1178,'2021'!$A80,'Registre de reserves'!$B$2:$B$1178,'2021'!P$2,Tabla1[ANY],'2021'!$Z$76)+SUMIFS('Registre de reserves'!$U$2:$U$1178,'Registre de reserves'!$T$2:$T$1178,"RESERVA",'Registre de reserves'!$I$2:$I$1178,'2021'!$A80,'Registre de reserves'!$B$2:$B$1178,'2021'!P$2,Tabla1[ANY],'2021'!$Z$76)</f>
        <v>295</v>
      </c>
      <c r="Q80" s="21">
        <f t="shared" si="80"/>
        <v>0.85507246376811596</v>
      </c>
      <c r="R80" s="20">
        <f>SUMIFS('Registre de reserves'!$U$2:$U$1178,'Registre de reserves'!$T$2:$T$1178,"SI",'Registre de reserves'!$I$2:$I$1178,'2021'!$A80,'Registre de reserves'!$B$2:$B$1178,'2021'!R$2,Tabla1[ANY],'2021'!$Z$76)+SUMIFS('Registre de reserves'!$U$2:$U$1178,'Registre de reserves'!$T$2:$T$1178,"RESERVA",'Registre de reserves'!$I$2:$I$1178,'2021'!$A80,'Registre de reserves'!$B$2:$B$1178,'2021'!R$2,Tabla1[ANY],'2021'!$Z$76)</f>
        <v>490</v>
      </c>
      <c r="S80" s="21">
        <f t="shared" si="81"/>
        <v>0.90740740740740744</v>
      </c>
      <c r="T80" s="20">
        <f>SUMIFS('Registre de reserves'!$U$2:$U$1178,'Registre de reserves'!$T$2:$T$1178,"SI",'Registre de reserves'!$I$2:$I$1178,'2021'!$A80,'Registre de reserves'!$B$2:$B$1178,'2021'!T$2,Tabla1[ANY],'2021'!$Z$76)+SUMIFS('Registre de reserves'!$U$2:$U$1178,'Registre de reserves'!$T$2:$T$1178,"RESERVA",'Registre de reserves'!$I$2:$I$1178,'2021'!$A80,'Registre de reserves'!$B$2:$B$1178,'2021'!T$2,Tabla1[ANY],'2021'!$Z$76)</f>
        <v>540</v>
      </c>
      <c r="U80" s="21">
        <f t="shared" si="82"/>
        <v>0.42352941176470588</v>
      </c>
      <c r="V80" s="20">
        <f>SUMIFS('Registre de reserves'!$U$2:$U$1178,'Registre de reserves'!$T$2:$T$1178,"SI",'Registre de reserves'!$I$2:$I$1178,'2021'!$A80,'Registre de reserves'!$B$2:$B$1178,'2021'!V$2,Tabla1[ANY],'2021'!$Z$76)+SUMIFS('Registre de reserves'!$U$2:$U$1178,'Registre de reserves'!$T$2:$T$1178,"RESERVA",'Registre de reserves'!$I$2:$I$1178,'2021'!$A80,'Registre de reserves'!$B$2:$B$1178,'2021'!V$2,Tabla1[ANY],'2021'!$Z$76)</f>
        <v>570</v>
      </c>
      <c r="W80" s="21">
        <f t="shared" si="83"/>
        <v>0.49137931034482757</v>
      </c>
      <c r="X80" s="20">
        <f>SUMIFS('Registre de reserves'!$U$2:$U$1178,'Registre de reserves'!$T$2:$T$1178,"SI",'Registre de reserves'!$I$2:$I$1178,'2021'!$A80,'Registre de reserves'!$B$2:$B$1178,'2021'!X$2,Tabla1[ANY],'2021'!$Z$76)+SUMIFS('Registre de reserves'!$U$2:$U$1178,'Registre de reserves'!$T$2:$T$1178,"RESERVA",'Registre de reserves'!$I$2:$I$1178,'2021'!$A80,'Registre de reserves'!$B$2:$B$1178,'2021'!X$2,Tabla1[ANY],'2021'!$Z$76)</f>
        <v>200</v>
      </c>
      <c r="Y80" s="21">
        <f t="shared" si="84"/>
        <v>0.10695187165775401</v>
      </c>
      <c r="Z80" s="20">
        <f t="shared" ref="Z80:Z86" si="86">B80+D80+F80+H80+J80+L80+N80+P80+R80+T80+V80+X80</f>
        <v>2780</v>
      </c>
      <c r="AA80" s="21">
        <f t="shared" si="85"/>
        <v>0.24182198074818678</v>
      </c>
    </row>
    <row r="81" spans="1:27" hidden="1" outlineLevel="2" x14ac:dyDescent="0.2">
      <c r="A81" s="8" t="s">
        <v>4</v>
      </c>
      <c r="B81" s="20">
        <f>SUMIFS('Registre de reserves'!$U$2:$U$1178,'Registre de reserves'!$T$2:$T$1178,"SI",'Registre de reserves'!$I$2:$I$1178,'2021'!$A81,'Registre de reserves'!$B$2:$B$1178,'2021'!B$2,Tabla1[ANY],'2021'!$Z$76)+SUMIFS('Registre de reserves'!$U$2:$U$1178,'Registre de reserves'!$T$2:$T$1178,"RESERVA",'Registre de reserves'!$I$2:$I$1178,'2021'!$A81,'Registre de reserves'!$B$2:$B$1178,'2021'!B$2,Tabla1[ANY],'2021'!$Z$76)</f>
        <v>0</v>
      </c>
      <c r="C81" s="21">
        <f t="shared" si="73"/>
        <v>0</v>
      </c>
      <c r="D81" s="20">
        <f>SUMIFS('Registre de reserves'!$U$2:$U$1178,'Registre de reserves'!$T$2:$T$1178,"SI",'Registre de reserves'!$I$2:$I$1178,'2021'!$A81,'Registre de reserves'!$B$2:$B$1178,'2021'!D$2,Tabla1[ANY],'2021'!$Z$76)+SUMIFS('Registre de reserves'!$U$2:$U$1178,'Registre de reserves'!$T$2:$T$1178,"RESERVA",'Registre de reserves'!$I$2:$I$1178,'2021'!$A81,'Registre de reserves'!$B$2:$B$1178,'2021'!D$2,Tabla1[ANY],'2021'!$Z$76)</f>
        <v>0</v>
      </c>
      <c r="E81" s="21">
        <f t="shared" si="74"/>
        <v>0</v>
      </c>
      <c r="F81" s="20">
        <f>SUMIFS('Registre de reserves'!$U$2:$U$1178,'Registre de reserves'!$T$2:$T$1178,"SI",'Registre de reserves'!$I$2:$I$1178,'2021'!$A81,'Registre de reserves'!$B$2:$B$1178,'2021'!F$2,Tabla1[ANY],'2021'!$Z$76)+SUMIFS('Registre de reserves'!$U$2:$U$1178,'Registre de reserves'!$T$2:$T$1178,"RESERVA",'Registre de reserves'!$I$2:$I$1178,'2021'!$A81,'Registre de reserves'!$B$2:$B$1178,'2021'!F$2,Tabla1[ANY],'2021'!$Z$76)</f>
        <v>0</v>
      </c>
      <c r="G81" s="21">
        <f t="shared" si="75"/>
        <v>0</v>
      </c>
      <c r="H81" s="20">
        <f>SUMIFS('Registre de reserves'!$U$2:$U$1178,'Registre de reserves'!$T$2:$T$1178,"SI",'Registre de reserves'!$I$2:$I$1178,'2021'!$A81,'Registre de reserves'!$B$2:$B$1178,'2021'!H$2,Tabla1[ANY],'2021'!$Z$76)+SUMIFS('Registre de reserves'!$U$2:$U$1178,'Registre de reserves'!$T$2:$T$1178,"RESERVA",'Registre de reserves'!$I$2:$I$1178,'2021'!$A81,'Registre de reserves'!$B$2:$B$1178,'2021'!H$2,Tabla1[ANY],'2021'!$Z$76)</f>
        <v>0</v>
      </c>
      <c r="I81" s="21">
        <f t="shared" si="76"/>
        <v>0</v>
      </c>
      <c r="J81" s="20">
        <f>SUMIFS('Registre de reserves'!$U$2:$U$1178,'Registre de reserves'!$T$2:$T$1178,"SI",'Registre de reserves'!$I$2:$I$1178,'2021'!$A81,'Registre de reserves'!$B$2:$B$1178,'2021'!J$2,Tabla1[ANY],'2021'!$Z$76)+SUMIFS('Registre de reserves'!$U$2:$U$1178,'Registre de reserves'!$T$2:$T$1178,"RESERVA",'Registre de reserves'!$I$2:$I$1178,'2021'!$A81,'Registre de reserves'!$B$2:$B$1178,'2021'!J$2,Tabla1[ANY],'2021'!$Z$76)</f>
        <v>0</v>
      </c>
      <c r="K81" s="21">
        <f t="shared" si="77"/>
        <v>0</v>
      </c>
      <c r="L81" s="20">
        <f>SUMIFS('Registre de reserves'!$U$2:$U$1178,'Registre de reserves'!$T$2:$T$1178,"SI",'Registre de reserves'!$I$2:$I$1178,'2021'!$A81,'Registre de reserves'!$B$2:$B$1178,'2021'!L$2,Tabla1[ANY],'2021'!$Z$76)+SUMIFS('Registre de reserves'!$U$2:$U$1178,'Registre de reserves'!$T$2:$T$1178,"RESERVA",'Registre de reserves'!$I$2:$I$1178,'2021'!$A81,'Registre de reserves'!$B$2:$B$1178,'2021'!L$2,Tabla1[ANY],'2021'!$Z$76)</f>
        <v>433</v>
      </c>
      <c r="M81" s="21">
        <f t="shared" si="78"/>
        <v>0.38416154303407768</v>
      </c>
      <c r="N81" s="20">
        <f>SUMIFS('Registre de reserves'!$U$2:$U$1178,'Registre de reserves'!$T$2:$T$1178,"SI",'Registre de reserves'!$I$2:$I$1178,'2021'!$A81,'Registre de reserves'!$B$2:$B$1178,'2021'!N$2,Tabla1[ANY],'2021'!$Z$76)+SUMIFS('Registre de reserves'!$U$2:$U$1178,'Registre de reserves'!$T$2:$T$1178,"RESERVA",'Registre de reserves'!$I$2:$I$1178,'2021'!$A81,'Registre de reserves'!$B$2:$B$1178,'2021'!N$2,Tabla1[ANY],'2021'!$Z$76)</f>
        <v>100</v>
      </c>
      <c r="O81" s="21">
        <f t="shared" si="79"/>
        <v>0.25641025641025639</v>
      </c>
      <c r="P81" s="20">
        <f>SUMIFS('Registre de reserves'!$U$2:$U$1178,'Registre de reserves'!$T$2:$T$1178,"SI",'Registre de reserves'!$I$2:$I$1178,'2021'!$A81,'Registre de reserves'!$B$2:$B$1178,'2021'!P$2,Tabla1[ANY],'2021'!$Z$76)+SUMIFS('Registre de reserves'!$U$2:$U$1178,'Registre de reserves'!$T$2:$T$1178,"RESERVA",'Registre de reserves'!$I$2:$I$1178,'2021'!$A81,'Registre de reserves'!$B$2:$B$1178,'2021'!P$2,Tabla1[ANY],'2021'!$Z$76)</f>
        <v>0</v>
      </c>
      <c r="Q81" s="21">
        <f t="shared" si="80"/>
        <v>0</v>
      </c>
      <c r="R81" s="20">
        <f>SUMIFS('Registre de reserves'!$U$2:$U$1178,'Registre de reserves'!$T$2:$T$1178,"SI",'Registre de reserves'!$I$2:$I$1178,'2021'!$A81,'Registre de reserves'!$B$2:$B$1178,'2021'!R$2,Tabla1[ANY],'2021'!$Z$76)+SUMIFS('Registre de reserves'!$U$2:$U$1178,'Registre de reserves'!$T$2:$T$1178,"RESERVA",'Registre de reserves'!$I$2:$I$1178,'2021'!$A81,'Registre de reserves'!$B$2:$B$1178,'2021'!R$2,Tabla1[ANY],'2021'!$Z$76)</f>
        <v>0</v>
      </c>
      <c r="S81" s="21">
        <f t="shared" si="81"/>
        <v>0</v>
      </c>
      <c r="T81" s="20">
        <f>SUMIFS('Registre de reserves'!$U$2:$U$1178,'Registre de reserves'!$T$2:$T$1178,"SI",'Registre de reserves'!$I$2:$I$1178,'2021'!$A81,'Registre de reserves'!$B$2:$B$1178,'2021'!T$2,Tabla1[ANY],'2021'!$Z$76)+SUMIFS('Registre de reserves'!$U$2:$U$1178,'Registre de reserves'!$T$2:$T$1178,"RESERVA",'Registre de reserves'!$I$2:$I$1178,'2021'!$A81,'Registre de reserves'!$B$2:$B$1178,'2021'!T$2,Tabla1[ANY],'2021'!$Z$76)</f>
        <v>50</v>
      </c>
      <c r="U81" s="21">
        <f t="shared" si="82"/>
        <v>3.9215686274509803E-2</v>
      </c>
      <c r="V81" s="20">
        <f>SUMIFS('Registre de reserves'!$U$2:$U$1178,'Registre de reserves'!$T$2:$T$1178,"SI",'Registre de reserves'!$I$2:$I$1178,'2021'!$A81,'Registre de reserves'!$B$2:$B$1178,'2021'!V$2,Tabla1[ANY],'2021'!$Z$76)+SUMIFS('Registre de reserves'!$U$2:$U$1178,'Registre de reserves'!$T$2:$T$1178,"RESERVA",'Registre de reserves'!$I$2:$I$1178,'2021'!$A81,'Registre de reserves'!$B$2:$B$1178,'2021'!V$2,Tabla1[ANY],'2021'!$Z$76)</f>
        <v>50</v>
      </c>
      <c r="W81" s="21">
        <f t="shared" si="83"/>
        <v>4.3103448275862072E-2</v>
      </c>
      <c r="X81" s="20">
        <f>SUMIFS('Registre de reserves'!$U$2:$U$1178,'Registre de reserves'!$T$2:$T$1178,"SI",'Registre de reserves'!$I$2:$I$1178,'2021'!$A81,'Registre de reserves'!$B$2:$B$1178,'2021'!X$2,Tabla1[ANY],'2021'!$Z$76)+SUMIFS('Registre de reserves'!$U$2:$U$1178,'Registre de reserves'!$T$2:$T$1178,"RESERVA",'Registre de reserves'!$I$2:$I$1178,'2021'!$A81,'Registre de reserves'!$B$2:$B$1178,'2021'!X$2,Tabla1[ANY],'2021'!$Z$76)</f>
        <v>150</v>
      </c>
      <c r="Y81" s="21">
        <f t="shared" si="84"/>
        <v>8.0213903743315509E-2</v>
      </c>
      <c r="Z81" s="20">
        <f t="shared" si="86"/>
        <v>783</v>
      </c>
      <c r="AA81" s="21">
        <f t="shared" si="85"/>
        <v>6.8110291699938943E-2</v>
      </c>
    </row>
    <row r="82" spans="1:27" hidden="1" outlineLevel="2" x14ac:dyDescent="0.2">
      <c r="A82" s="8" t="s">
        <v>71</v>
      </c>
      <c r="B82" s="20">
        <f>SUMIFS('Registre de reserves'!$U$2:$U$1178,'Registre de reserves'!$T$2:$T$1178,"SI",'Registre de reserves'!$I$2:$I$1178,'2021'!$A82,'Registre de reserves'!$B$2:$B$1178,'2021'!B$2,Tabla1[ANY],'2021'!$Z$76)+SUMIFS('Registre de reserves'!$U$2:$U$1178,'Registre de reserves'!$T$2:$T$1178,"RESERVA",'Registre de reserves'!$I$2:$I$1178,'2021'!$A82,'Registre de reserves'!$B$2:$B$1178,'2021'!B$2,Tabla1[ANY],'2021'!$Z$76)</f>
        <v>0</v>
      </c>
      <c r="C82" s="21">
        <f t="shared" si="73"/>
        <v>0</v>
      </c>
      <c r="D82" s="20">
        <f>SUMIFS('Registre de reserves'!$U$2:$U$1178,'Registre de reserves'!$T$2:$T$1178,"SI",'Registre de reserves'!$I$2:$I$1178,'2021'!$A82,'Registre de reserves'!$B$2:$B$1178,'2021'!D$2,Tabla1[ANY],'2021'!$Z$76)+SUMIFS('Registre de reserves'!$U$2:$U$1178,'Registre de reserves'!$T$2:$T$1178,"RESERVA",'Registre de reserves'!$I$2:$I$1178,'2021'!$A82,'Registre de reserves'!$B$2:$B$1178,'2021'!D$2,Tabla1[ANY],'2021'!$Z$76)</f>
        <v>0</v>
      </c>
      <c r="E82" s="21">
        <f t="shared" si="74"/>
        <v>0</v>
      </c>
      <c r="F82" s="20">
        <f>SUMIFS('Registre de reserves'!$U$2:$U$1178,'Registre de reserves'!$T$2:$T$1178,"SI",'Registre de reserves'!$I$2:$I$1178,'2021'!$A82,'Registre de reserves'!$B$2:$B$1178,'2021'!F$2,Tabla1[ANY],'2021'!$Z$76)+SUMIFS('Registre de reserves'!$U$2:$U$1178,'Registre de reserves'!$T$2:$T$1178,"RESERVA",'Registre de reserves'!$I$2:$I$1178,'2021'!$A82,'Registre de reserves'!$B$2:$B$1178,'2021'!F$2,Tabla1[ANY],'2021'!$Z$76)</f>
        <v>0</v>
      </c>
      <c r="G82" s="21">
        <f t="shared" si="75"/>
        <v>0</v>
      </c>
      <c r="H82" s="20">
        <f>SUMIFS('Registre de reserves'!$U$2:$U$1178,'Registre de reserves'!$T$2:$T$1178,"SI",'Registre de reserves'!$I$2:$I$1178,'2021'!$A82,'Registre de reserves'!$B$2:$B$1178,'2021'!H$2,Tabla1[ANY],'2021'!$Z$76)+SUMIFS('Registre de reserves'!$U$2:$U$1178,'Registre de reserves'!$T$2:$T$1178,"RESERVA",'Registre de reserves'!$I$2:$I$1178,'2021'!$A82,'Registre de reserves'!$B$2:$B$1178,'2021'!H$2,Tabla1[ANY],'2021'!$Z$76)</f>
        <v>0</v>
      </c>
      <c r="I82" s="21">
        <f t="shared" si="76"/>
        <v>0</v>
      </c>
      <c r="J82" s="20">
        <f>SUMIFS('Registre de reserves'!$U$2:$U$1178,'Registre de reserves'!$T$2:$T$1178,"SI",'Registre de reserves'!$I$2:$I$1178,'2021'!$A82,'Registre de reserves'!$B$2:$B$1178,'2021'!J$2,Tabla1[ANY],'2021'!$Z$76)+SUMIFS('Registre de reserves'!$U$2:$U$1178,'Registre de reserves'!$T$2:$T$1178,"RESERVA",'Registre de reserves'!$I$2:$I$1178,'2021'!$A82,'Registre de reserves'!$B$2:$B$1178,'2021'!J$2,Tabla1[ANY],'2021'!$Z$76)</f>
        <v>0</v>
      </c>
      <c r="K82" s="21">
        <f t="shared" si="77"/>
        <v>0</v>
      </c>
      <c r="L82" s="20">
        <f>SUMIFS('Registre de reserves'!$U$2:$U$1178,'Registre de reserves'!$T$2:$T$1178,"SI",'Registre de reserves'!$I$2:$I$1178,'2021'!$A82,'Registre de reserves'!$B$2:$B$1178,'2021'!L$2,Tabla1[ANY],'2021'!$Z$76)+SUMIFS('Registre de reserves'!$U$2:$U$1178,'Registre de reserves'!$T$2:$T$1178,"RESERVA",'Registre de reserves'!$I$2:$I$1178,'2021'!$A82,'Registre de reserves'!$B$2:$B$1178,'2021'!L$2,Tabla1[ANY],'2021'!$Z$76)</f>
        <v>0</v>
      </c>
      <c r="M82" s="21">
        <f t="shared" si="78"/>
        <v>0</v>
      </c>
      <c r="N82" s="20">
        <f>SUMIFS('Registre de reserves'!$U$2:$U$1178,'Registre de reserves'!$T$2:$T$1178,"SI",'Registre de reserves'!$I$2:$I$1178,'2021'!$A82,'Registre de reserves'!$B$2:$B$1178,'2021'!N$2,Tabla1[ANY],'2021'!$Z$76)+SUMIFS('Registre de reserves'!$U$2:$U$1178,'Registre de reserves'!$T$2:$T$1178,"RESERVA",'Registre de reserves'!$I$2:$I$1178,'2021'!$A82,'Registre de reserves'!$B$2:$B$1178,'2021'!N$2,Tabla1[ANY],'2021'!$Z$76)</f>
        <v>0</v>
      </c>
      <c r="O82" s="21">
        <f t="shared" si="79"/>
        <v>0</v>
      </c>
      <c r="P82" s="20">
        <f>SUMIFS('Registre de reserves'!$U$2:$U$1178,'Registre de reserves'!$T$2:$T$1178,"SI",'Registre de reserves'!$I$2:$I$1178,'2021'!$A82,'Registre de reserves'!$B$2:$B$1178,'2021'!P$2,Tabla1[ANY],'2021'!$Z$76)+SUMIFS('Registre de reserves'!$U$2:$U$1178,'Registre de reserves'!$T$2:$T$1178,"RESERVA",'Registre de reserves'!$I$2:$I$1178,'2021'!$A82,'Registre de reserves'!$B$2:$B$1178,'2021'!P$2,Tabla1[ANY],'2021'!$Z$76)</f>
        <v>0</v>
      </c>
      <c r="Q82" s="21">
        <f t="shared" si="80"/>
        <v>0</v>
      </c>
      <c r="R82" s="20">
        <f>SUMIFS('Registre de reserves'!$U$2:$U$1178,'Registre de reserves'!$T$2:$T$1178,"SI",'Registre de reserves'!$I$2:$I$1178,'2021'!$A82,'Registre de reserves'!$B$2:$B$1178,'2021'!R$2,Tabla1[ANY],'2021'!$Z$76)+SUMIFS('Registre de reserves'!$U$2:$U$1178,'Registre de reserves'!$T$2:$T$1178,"RESERVA",'Registre de reserves'!$I$2:$I$1178,'2021'!$A82,'Registre de reserves'!$B$2:$B$1178,'2021'!R$2,Tabla1[ANY],'2021'!$Z$76)</f>
        <v>50</v>
      </c>
      <c r="S82" s="21">
        <f t="shared" si="81"/>
        <v>9.2592592592592587E-2</v>
      </c>
      <c r="T82" s="20">
        <f>SUMIFS('Registre de reserves'!$U$2:$U$1178,'Registre de reserves'!$T$2:$T$1178,"SI",'Registre de reserves'!$I$2:$I$1178,'2021'!$A82,'Registre de reserves'!$B$2:$B$1178,'2021'!T$2,Tabla1[ANY],'2021'!$Z$76)+SUMIFS('Registre de reserves'!$U$2:$U$1178,'Registre de reserves'!$T$2:$T$1178,"RESERVA",'Registre de reserves'!$I$2:$I$1178,'2021'!$A82,'Registre de reserves'!$B$2:$B$1178,'2021'!T$2,Tabla1[ANY],'2021'!$Z$76)</f>
        <v>0</v>
      </c>
      <c r="U82" s="21">
        <f t="shared" si="82"/>
        <v>0</v>
      </c>
      <c r="V82" s="20">
        <f>SUMIFS('Registre de reserves'!$U$2:$U$1178,'Registre de reserves'!$T$2:$T$1178,"SI",'Registre de reserves'!$I$2:$I$1178,'2021'!$A82,'Registre de reserves'!$B$2:$B$1178,'2021'!V$2,Tabla1[ANY],'2021'!$Z$76)+SUMIFS('Registre de reserves'!$U$2:$U$1178,'Registre de reserves'!$T$2:$T$1178,"RESERVA",'Registre de reserves'!$I$2:$I$1178,'2021'!$A82,'Registre de reserves'!$B$2:$B$1178,'2021'!V$2,Tabla1[ANY],'2021'!$Z$76)</f>
        <v>0</v>
      </c>
      <c r="W82" s="21">
        <f t="shared" si="83"/>
        <v>0</v>
      </c>
      <c r="X82" s="20">
        <f>SUMIFS('Registre de reserves'!$U$2:$U$1178,'Registre de reserves'!$T$2:$T$1178,"SI",'Registre de reserves'!$I$2:$I$1178,'2021'!$A82,'Registre de reserves'!$B$2:$B$1178,'2021'!X$2,Tabla1[ANY],'2021'!$Z$76)+SUMIFS('Registre de reserves'!$U$2:$U$1178,'Registre de reserves'!$T$2:$T$1178,"RESERVA",'Registre de reserves'!$I$2:$I$1178,'2021'!$A82,'Registre de reserves'!$B$2:$B$1178,'2021'!X$2,Tabla1[ANY],'2021'!$Z$76)</f>
        <v>145</v>
      </c>
      <c r="Y82" s="21">
        <f t="shared" si="84"/>
        <v>7.7540106951871662E-2</v>
      </c>
      <c r="Z82" s="20">
        <f t="shared" si="86"/>
        <v>195</v>
      </c>
      <c r="AA82" s="21">
        <f t="shared" si="85"/>
        <v>1.6962333181977131E-2</v>
      </c>
    </row>
    <row r="83" spans="1:27" hidden="1" outlineLevel="2" x14ac:dyDescent="0.2">
      <c r="A83" s="8" t="s">
        <v>72</v>
      </c>
      <c r="B83" s="20">
        <f>SUMIFS('Registre de reserves'!$U$2:$U$1178,'Registre de reserves'!$T$2:$T$1178,"SI",'Registre de reserves'!$I$2:$I$1178,'2021'!$A83,'Registre de reserves'!$B$2:$B$1178,'2021'!B$2,Tabla1[ANY],'2021'!$Z$76)+SUMIFS('Registre de reserves'!$U$2:$U$1178,'Registre de reserves'!$T$2:$T$1178,"RESERVA",'Registre de reserves'!$I$2:$I$1178,'2021'!$A83,'Registre de reserves'!$B$2:$B$1178,'2021'!B$2,Tabla1[ANY],'2021'!$Z$76)</f>
        <v>0</v>
      </c>
      <c r="C83" s="21">
        <f t="shared" si="73"/>
        <v>0</v>
      </c>
      <c r="D83" s="20">
        <f>SUMIFS('Registre de reserves'!$U$2:$U$1178,'Registre de reserves'!$T$2:$T$1178,"SI",'Registre de reserves'!$I$2:$I$1178,'2021'!$A83,'Registre de reserves'!$B$2:$B$1178,'2021'!D$2,Tabla1[ANY],'2021'!$Z$76)+SUMIFS('Registre de reserves'!$U$2:$U$1178,'Registre de reserves'!$T$2:$T$1178,"RESERVA",'Registre de reserves'!$I$2:$I$1178,'2021'!$A83,'Registre de reserves'!$B$2:$B$1178,'2021'!D$2,Tabla1[ANY],'2021'!$Z$76)</f>
        <v>0</v>
      </c>
      <c r="E83" s="21">
        <f t="shared" si="74"/>
        <v>0</v>
      </c>
      <c r="F83" s="20">
        <f>SUMIFS('Registre de reserves'!$U$2:$U$1178,'Registre de reserves'!$T$2:$T$1178,"SI",'Registre de reserves'!$I$2:$I$1178,'2021'!$A83,'Registre de reserves'!$B$2:$B$1178,'2021'!F$2,Tabla1[ANY],'2021'!$Z$76)+SUMIFS('Registre de reserves'!$U$2:$U$1178,'Registre de reserves'!$T$2:$T$1178,"RESERVA",'Registre de reserves'!$I$2:$I$1178,'2021'!$A83,'Registre de reserves'!$B$2:$B$1178,'2021'!F$2,Tabla1[ANY],'2021'!$Z$76)</f>
        <v>0</v>
      </c>
      <c r="G83" s="21">
        <f t="shared" si="75"/>
        <v>0</v>
      </c>
      <c r="H83" s="20">
        <f>SUMIFS('Registre de reserves'!$U$2:$U$1178,'Registre de reserves'!$T$2:$T$1178,"SI",'Registre de reserves'!$I$2:$I$1178,'2021'!$A83,'Registre de reserves'!$B$2:$B$1178,'2021'!H$2,Tabla1[ANY],'2021'!$Z$76)+SUMIFS('Registre de reserves'!$U$2:$U$1178,'Registre de reserves'!$T$2:$T$1178,"RESERVA",'Registre de reserves'!$I$2:$I$1178,'2021'!$A83,'Registre de reserves'!$B$2:$B$1178,'2021'!H$2,Tabla1[ANY],'2021'!$Z$76)</f>
        <v>0</v>
      </c>
      <c r="I83" s="21">
        <f t="shared" si="76"/>
        <v>0</v>
      </c>
      <c r="J83" s="20">
        <f>SUMIFS('Registre de reserves'!$U$2:$U$1178,'Registre de reserves'!$T$2:$T$1178,"SI",'Registre de reserves'!$I$2:$I$1178,'2021'!$A83,'Registre de reserves'!$B$2:$B$1178,'2021'!J$2,Tabla1[ANY],'2021'!$Z$76)+SUMIFS('Registre de reserves'!$U$2:$U$1178,'Registre de reserves'!$T$2:$T$1178,"RESERVA",'Registre de reserves'!$I$2:$I$1178,'2021'!$A83,'Registre de reserves'!$B$2:$B$1178,'2021'!J$2,Tabla1[ANY],'2021'!$Z$76)</f>
        <v>0</v>
      </c>
      <c r="K83" s="21">
        <f t="shared" si="77"/>
        <v>0</v>
      </c>
      <c r="L83" s="20">
        <f>SUMIFS('Registre de reserves'!$U$2:$U$1178,'Registre de reserves'!$T$2:$T$1178,"SI",'Registre de reserves'!$I$2:$I$1178,'2021'!$A83,'Registre de reserves'!$B$2:$B$1178,'2021'!L$2,Tabla1[ANY],'2021'!$Z$76)+SUMIFS('Registre de reserves'!$U$2:$U$1178,'Registre de reserves'!$T$2:$T$1178,"RESERVA",'Registre de reserves'!$I$2:$I$1178,'2021'!$A83,'Registre de reserves'!$B$2:$B$1178,'2021'!L$2,Tabla1[ANY],'2021'!$Z$76)</f>
        <v>0</v>
      </c>
      <c r="M83" s="21">
        <f t="shared" si="78"/>
        <v>0</v>
      </c>
      <c r="N83" s="20">
        <f>SUMIFS('Registre de reserves'!$U$2:$U$1178,'Registre de reserves'!$T$2:$T$1178,"SI",'Registre de reserves'!$I$2:$I$1178,'2021'!$A83,'Registre de reserves'!$B$2:$B$1178,'2021'!N$2,Tabla1[ANY],'2021'!$Z$76)+SUMIFS('Registre de reserves'!$U$2:$U$1178,'Registre de reserves'!$T$2:$T$1178,"RESERVA",'Registre de reserves'!$I$2:$I$1178,'2021'!$A83,'Registre de reserves'!$B$2:$B$1178,'2021'!N$2,Tabla1[ANY],'2021'!$Z$76)</f>
        <v>0</v>
      </c>
      <c r="O83" s="21">
        <f t="shared" si="79"/>
        <v>0</v>
      </c>
      <c r="P83" s="20">
        <f>SUMIFS('Registre de reserves'!$U$2:$U$1178,'Registre de reserves'!$T$2:$T$1178,"SI",'Registre de reserves'!$I$2:$I$1178,'2021'!$A83,'Registre de reserves'!$B$2:$B$1178,'2021'!P$2,Tabla1[ANY],'2021'!$Z$76)+SUMIFS('Registre de reserves'!$U$2:$U$1178,'Registre de reserves'!$T$2:$T$1178,"RESERVA",'Registre de reserves'!$I$2:$I$1178,'2021'!$A83,'Registre de reserves'!$B$2:$B$1178,'2021'!P$2,Tabla1[ANY],'2021'!$Z$76)</f>
        <v>0</v>
      </c>
      <c r="Q83" s="21">
        <f t="shared" si="80"/>
        <v>0</v>
      </c>
      <c r="R83" s="20">
        <f>SUMIFS('Registre de reserves'!$U$2:$U$1178,'Registre de reserves'!$T$2:$T$1178,"SI",'Registre de reserves'!$I$2:$I$1178,'2021'!$A83,'Registre de reserves'!$B$2:$B$1178,'2021'!R$2,Tabla1[ANY],'2021'!$Z$76)+SUMIFS('Registre de reserves'!$U$2:$U$1178,'Registre de reserves'!$T$2:$T$1178,"RESERVA",'Registre de reserves'!$I$2:$I$1178,'2021'!$A83,'Registre de reserves'!$B$2:$B$1178,'2021'!R$2,Tabla1[ANY],'2021'!$Z$76)</f>
        <v>0</v>
      </c>
      <c r="S83" s="21">
        <f t="shared" si="81"/>
        <v>0</v>
      </c>
      <c r="T83" s="20">
        <f>SUMIFS('Registre de reserves'!$U$2:$U$1178,'Registre de reserves'!$T$2:$T$1178,"SI",'Registre de reserves'!$I$2:$I$1178,'2021'!$A83,'Registre de reserves'!$B$2:$B$1178,'2021'!T$2,Tabla1[ANY],'2021'!$Z$76)+SUMIFS('Registre de reserves'!$U$2:$U$1178,'Registre de reserves'!$T$2:$T$1178,"RESERVA",'Registre de reserves'!$I$2:$I$1178,'2021'!$A83,'Registre de reserves'!$B$2:$B$1178,'2021'!T$2,Tabla1[ANY],'2021'!$Z$76)</f>
        <v>0</v>
      </c>
      <c r="U83" s="21">
        <f t="shared" si="82"/>
        <v>0</v>
      </c>
      <c r="V83" s="20">
        <f>SUMIFS('Registre de reserves'!$U$2:$U$1178,'Registre de reserves'!$T$2:$T$1178,"SI",'Registre de reserves'!$I$2:$I$1178,'2021'!$A83,'Registre de reserves'!$B$2:$B$1178,'2021'!V$2,Tabla1[ANY],'2021'!$Z$76)+SUMIFS('Registre de reserves'!$U$2:$U$1178,'Registre de reserves'!$T$2:$T$1178,"RESERVA",'Registre de reserves'!$I$2:$I$1178,'2021'!$A83,'Registre de reserves'!$B$2:$B$1178,'2021'!V$2,Tabla1[ANY],'2021'!$Z$76)</f>
        <v>0</v>
      </c>
      <c r="W83" s="21">
        <f t="shared" si="83"/>
        <v>0</v>
      </c>
      <c r="X83" s="20">
        <f>SUMIFS('Registre de reserves'!$U$2:$U$1178,'Registre de reserves'!$T$2:$T$1178,"SI",'Registre de reserves'!$I$2:$I$1178,'2021'!$A83,'Registre de reserves'!$B$2:$B$1178,'2021'!X$2,Tabla1[ANY],'2021'!$Z$76)+SUMIFS('Registre de reserves'!$U$2:$U$1178,'Registre de reserves'!$T$2:$T$1178,"RESERVA",'Registre de reserves'!$I$2:$I$1178,'2021'!$A83,'Registre de reserves'!$B$2:$B$1178,'2021'!X$2,Tabla1[ANY],'2021'!$Z$76)</f>
        <v>0</v>
      </c>
      <c r="Y83" s="21">
        <f t="shared" si="84"/>
        <v>0</v>
      </c>
      <c r="Z83" s="20">
        <f t="shared" si="86"/>
        <v>0</v>
      </c>
      <c r="AA83" s="21">
        <f t="shared" si="85"/>
        <v>0</v>
      </c>
    </row>
    <row r="84" spans="1:27" hidden="1" outlineLevel="2" x14ac:dyDescent="0.2">
      <c r="A84" s="8" t="s">
        <v>69</v>
      </c>
      <c r="B84" s="20">
        <f>SUMIFS('Registre de reserves'!$U$2:$U$1178,'Registre de reserves'!$T$2:$T$1178,"SI",'Registre de reserves'!$I$2:$I$1178,'2021'!$A84,'Registre de reserves'!$B$2:$B$1178,'2021'!B$2,Tabla1[ANY],'2021'!$Z$76)+SUMIFS('Registre de reserves'!$U$2:$U$1178,'Registre de reserves'!$T$2:$T$1178,"RESERVA",'Registre de reserves'!$I$2:$I$1178,'2021'!$A84,'Registre de reserves'!$B$2:$B$1178,'2021'!B$2,Tabla1[ANY],'2021'!$Z$76)</f>
        <v>0</v>
      </c>
      <c r="C84" s="21">
        <f t="shared" si="73"/>
        <v>0</v>
      </c>
      <c r="D84" s="20">
        <f>SUMIFS('Registre de reserves'!$U$2:$U$1178,'Registre de reserves'!$T$2:$T$1178,"SI",'Registre de reserves'!$I$2:$I$1178,'2021'!$A84,'Registre de reserves'!$B$2:$B$1178,'2021'!D$2,Tabla1[ANY],'2021'!$Z$76)+SUMIFS('Registre de reserves'!$U$2:$U$1178,'Registre de reserves'!$T$2:$T$1178,"RESERVA",'Registre de reserves'!$I$2:$I$1178,'2021'!$A84,'Registre de reserves'!$B$2:$B$1178,'2021'!D$2,Tabla1[ANY],'2021'!$Z$76)</f>
        <v>0</v>
      </c>
      <c r="E84" s="21">
        <f t="shared" si="74"/>
        <v>0</v>
      </c>
      <c r="F84" s="20">
        <f>SUMIFS('Registre de reserves'!$U$2:$U$1178,'Registre de reserves'!$T$2:$T$1178,"SI",'Registre de reserves'!$I$2:$I$1178,'2021'!$A84,'Registre de reserves'!$B$2:$B$1178,'2021'!F$2,Tabla1[ANY],'2021'!$Z$76)+SUMIFS('Registre de reserves'!$U$2:$U$1178,'Registre de reserves'!$T$2:$T$1178,"RESERVA",'Registre de reserves'!$I$2:$I$1178,'2021'!$A84,'Registre de reserves'!$B$2:$B$1178,'2021'!F$2,Tabla1[ANY],'2021'!$Z$76)</f>
        <v>0</v>
      </c>
      <c r="G84" s="21">
        <f t="shared" si="75"/>
        <v>0</v>
      </c>
      <c r="H84" s="20">
        <f>SUMIFS('Registre de reserves'!$U$2:$U$1178,'Registre de reserves'!$T$2:$T$1178,"SI",'Registre de reserves'!$I$2:$I$1178,'2021'!$A84,'Registre de reserves'!$B$2:$B$1178,'2021'!H$2,Tabla1[ANY],'2021'!$Z$76)+SUMIFS('Registre de reserves'!$U$2:$U$1178,'Registre de reserves'!$T$2:$T$1178,"RESERVA",'Registre de reserves'!$I$2:$I$1178,'2021'!$A84,'Registre de reserves'!$B$2:$B$1178,'2021'!H$2,Tabla1[ANY],'2021'!$Z$76)</f>
        <v>0</v>
      </c>
      <c r="I84" s="21">
        <f t="shared" si="76"/>
        <v>0</v>
      </c>
      <c r="J84" s="20">
        <f>SUMIFS('Registre de reserves'!$U$2:$U$1178,'Registre de reserves'!$T$2:$T$1178,"SI",'Registre de reserves'!$I$2:$I$1178,'2021'!$A84,'Registre de reserves'!$B$2:$B$1178,'2021'!J$2,Tabla1[ANY],'2021'!$Z$76)+SUMIFS('Registre de reserves'!$U$2:$U$1178,'Registre de reserves'!$T$2:$T$1178,"RESERVA",'Registre de reserves'!$I$2:$I$1178,'2021'!$A84,'Registre de reserves'!$B$2:$B$1178,'2021'!J$2,Tabla1[ANY],'2021'!$Z$76)</f>
        <v>0</v>
      </c>
      <c r="K84" s="21">
        <f t="shared" si="77"/>
        <v>0</v>
      </c>
      <c r="L84" s="20">
        <f>SUMIFS('Registre de reserves'!$U$2:$U$1178,'Registre de reserves'!$T$2:$T$1178,"SI",'Registre de reserves'!$I$2:$I$1178,'2021'!$A84,'Registre de reserves'!$B$2:$B$1178,'2021'!L$2,Tabla1[ANY],'2021'!$Z$76)+SUMIFS('Registre de reserves'!$U$2:$U$1178,'Registre de reserves'!$T$2:$T$1178,"RESERVA",'Registre de reserves'!$I$2:$I$1178,'2021'!$A84,'Registre de reserves'!$B$2:$B$1178,'2021'!L$2,Tabla1[ANY],'2021'!$Z$76)</f>
        <v>195</v>
      </c>
      <c r="M84" s="21">
        <f t="shared" si="78"/>
        <v>0.17300577573128209</v>
      </c>
      <c r="N84" s="20">
        <f>SUMIFS('Registre de reserves'!$U$2:$U$1178,'Registre de reserves'!$T$2:$T$1178,"SI",'Registre de reserves'!$I$2:$I$1178,'2021'!$A84,'Registre de reserves'!$B$2:$B$1178,'2021'!N$2,Tabla1[ANY],'2021'!$Z$76)+SUMIFS('Registre de reserves'!$U$2:$U$1178,'Registre de reserves'!$T$2:$T$1178,"RESERVA",'Registre de reserves'!$I$2:$I$1178,'2021'!$A84,'Registre de reserves'!$B$2:$B$1178,'2021'!N$2,Tabla1[ANY],'2021'!$Z$76)</f>
        <v>0</v>
      </c>
      <c r="O84" s="21">
        <f t="shared" si="79"/>
        <v>0</v>
      </c>
      <c r="P84" s="20">
        <f>SUMIFS('Registre de reserves'!$U$2:$U$1178,'Registre de reserves'!$T$2:$T$1178,"SI",'Registre de reserves'!$I$2:$I$1178,'2021'!$A84,'Registre de reserves'!$B$2:$B$1178,'2021'!P$2,Tabla1[ANY],'2021'!$Z$76)+SUMIFS('Registre de reserves'!$U$2:$U$1178,'Registre de reserves'!$T$2:$T$1178,"RESERVA",'Registre de reserves'!$I$2:$I$1178,'2021'!$A84,'Registre de reserves'!$B$2:$B$1178,'2021'!P$2,Tabla1[ANY],'2021'!$Z$76)</f>
        <v>0</v>
      </c>
      <c r="Q84" s="21">
        <f t="shared" si="80"/>
        <v>0</v>
      </c>
      <c r="R84" s="20">
        <f>SUMIFS('Registre de reserves'!$U$2:$U$1178,'Registre de reserves'!$T$2:$T$1178,"SI",'Registre de reserves'!$I$2:$I$1178,'2021'!$A84,'Registre de reserves'!$B$2:$B$1178,'2021'!R$2,Tabla1[ANY],'2021'!$Z$76)+SUMIFS('Registre de reserves'!$U$2:$U$1178,'Registre de reserves'!$T$2:$T$1178,"RESERVA",'Registre de reserves'!$I$2:$I$1178,'2021'!$A84,'Registre de reserves'!$B$2:$B$1178,'2021'!R$2,Tabla1[ANY],'2021'!$Z$76)</f>
        <v>0</v>
      </c>
      <c r="S84" s="21">
        <f t="shared" si="81"/>
        <v>0</v>
      </c>
      <c r="T84" s="20">
        <f>SUMIFS('Registre de reserves'!$U$2:$U$1178,'Registre de reserves'!$T$2:$T$1178,"SI",'Registre de reserves'!$I$2:$I$1178,'2021'!$A84,'Registre de reserves'!$B$2:$B$1178,'2021'!T$2,Tabla1[ANY],'2021'!$Z$76)+SUMIFS('Registre de reserves'!$U$2:$U$1178,'Registre de reserves'!$T$2:$T$1178,"RESERVA",'Registre de reserves'!$I$2:$I$1178,'2021'!$A84,'Registre de reserves'!$B$2:$B$1178,'2021'!T$2,Tabla1[ANY],'2021'!$Z$76)</f>
        <v>395</v>
      </c>
      <c r="U84" s="21">
        <f t="shared" si="82"/>
        <v>0.30980392156862746</v>
      </c>
      <c r="V84" s="20">
        <f>SUMIFS('Registre de reserves'!$U$2:$U$1178,'Registre de reserves'!$T$2:$T$1178,"SI",'Registre de reserves'!$I$2:$I$1178,'2021'!$A84,'Registre de reserves'!$B$2:$B$1178,'2021'!V$2,Tabla1[ANY],'2021'!$Z$76)+SUMIFS('Registre de reserves'!$U$2:$U$1178,'Registre de reserves'!$T$2:$T$1178,"RESERVA",'Registre de reserves'!$I$2:$I$1178,'2021'!$A84,'Registre de reserves'!$B$2:$B$1178,'2021'!V$2,Tabla1[ANY],'2021'!$Z$76)</f>
        <v>440</v>
      </c>
      <c r="W84" s="21">
        <f t="shared" si="83"/>
        <v>0.37931034482758619</v>
      </c>
      <c r="X84" s="20">
        <f>SUMIFS('Registre de reserves'!$U$2:$U$1178,'Registre de reserves'!$T$2:$T$1178,"SI",'Registre de reserves'!$I$2:$I$1178,'2021'!$A84,'Registre de reserves'!$B$2:$B$1178,'2021'!X$2,Tabla1[ANY],'2021'!$Z$76)+SUMIFS('Registre de reserves'!$U$2:$U$1178,'Registre de reserves'!$T$2:$T$1178,"RESERVA",'Registre de reserves'!$I$2:$I$1178,'2021'!$A84,'Registre de reserves'!$B$2:$B$1178,'2021'!X$2,Tabla1[ANY],'2021'!$Z$76)</f>
        <v>930</v>
      </c>
      <c r="Y84" s="21">
        <f t="shared" si="84"/>
        <v>0.49732620320855614</v>
      </c>
      <c r="Z84" s="20">
        <f t="shared" si="86"/>
        <v>1960</v>
      </c>
      <c r="AA84" s="21">
        <f t="shared" si="85"/>
        <v>0.1704931950598727</v>
      </c>
    </row>
    <row r="85" spans="1:27" hidden="1" outlineLevel="2" x14ac:dyDescent="0.2">
      <c r="A85" s="8" t="s">
        <v>70</v>
      </c>
      <c r="B85" s="20">
        <f>SUMIFS('Registre de reserves'!$U$2:$U$1178,'Registre de reserves'!$T$2:$T$1178,"SI",'Registre de reserves'!$I$2:$I$1178,'2021'!$A85,'Registre de reserves'!$B$2:$B$1178,'2021'!B$2,Tabla1[ANY],'2021'!$Z$76)+SUMIFS('Registre de reserves'!$U$2:$U$1178,'Registre de reserves'!$T$2:$T$1178,"RESERVA",'Registre de reserves'!$I$2:$I$1178,'2021'!$A85,'Registre de reserves'!$B$2:$B$1178,'2021'!B$2,Tabla1[ANY],'2021'!$Z$76)</f>
        <v>0</v>
      </c>
      <c r="C85" s="21">
        <f t="shared" si="73"/>
        <v>0</v>
      </c>
      <c r="D85" s="20">
        <f>SUMIFS('Registre de reserves'!$U$2:$U$1178,'Registre de reserves'!$T$2:$T$1178,"SI",'Registre de reserves'!$I$2:$I$1178,'2021'!$A85,'Registre de reserves'!$B$2:$B$1178,'2021'!D$2,Tabla1[ANY],'2021'!$Z$76)+SUMIFS('Registre de reserves'!$U$2:$U$1178,'Registre de reserves'!$T$2:$T$1178,"RESERVA",'Registre de reserves'!$I$2:$I$1178,'2021'!$A85,'Registre de reserves'!$B$2:$B$1178,'2021'!D$2,Tabla1[ANY],'2021'!$Z$76)</f>
        <v>0</v>
      </c>
      <c r="E85" s="21">
        <f t="shared" si="74"/>
        <v>0</v>
      </c>
      <c r="F85" s="20">
        <f>SUMIFS('Registre de reserves'!$U$2:$U$1178,'Registre de reserves'!$T$2:$T$1178,"SI",'Registre de reserves'!$I$2:$I$1178,'2021'!$A85,'Registre de reserves'!$B$2:$B$1178,'2021'!F$2,Tabla1[ANY],'2021'!$Z$76)+SUMIFS('Registre de reserves'!$U$2:$U$1178,'Registre de reserves'!$T$2:$T$1178,"RESERVA",'Registre de reserves'!$I$2:$I$1178,'2021'!$A85,'Registre de reserves'!$B$2:$B$1178,'2021'!F$2,Tabla1[ANY],'2021'!$Z$76)</f>
        <v>0</v>
      </c>
      <c r="G85" s="21">
        <f t="shared" si="75"/>
        <v>0</v>
      </c>
      <c r="H85" s="20">
        <f>SUMIFS('Registre de reserves'!$U$2:$U$1178,'Registre de reserves'!$T$2:$T$1178,"SI",'Registre de reserves'!$I$2:$I$1178,'2021'!$A85,'Registre de reserves'!$B$2:$B$1178,'2021'!H$2,Tabla1[ANY],'2021'!$Z$76)+SUMIFS('Registre de reserves'!$U$2:$U$1178,'Registre de reserves'!$T$2:$T$1178,"RESERVA",'Registre de reserves'!$I$2:$I$1178,'2021'!$A85,'Registre de reserves'!$B$2:$B$1178,'2021'!H$2,Tabla1[ANY],'2021'!$Z$76)</f>
        <v>0</v>
      </c>
      <c r="I85" s="21">
        <f t="shared" si="76"/>
        <v>0</v>
      </c>
      <c r="J85" s="20">
        <f>SUMIFS('Registre de reserves'!$U$2:$U$1178,'Registre de reserves'!$T$2:$T$1178,"SI",'Registre de reserves'!$I$2:$I$1178,'2021'!$A85,'Registre de reserves'!$B$2:$B$1178,'2021'!J$2,Tabla1[ANY],'2021'!$Z$76)+SUMIFS('Registre de reserves'!$U$2:$U$1178,'Registre de reserves'!$T$2:$T$1178,"RESERVA",'Registre de reserves'!$I$2:$I$1178,'2021'!$A85,'Registre de reserves'!$B$2:$B$1178,'2021'!J$2,Tabla1[ANY],'2021'!$Z$76)</f>
        <v>0</v>
      </c>
      <c r="K85" s="21">
        <f t="shared" si="77"/>
        <v>0</v>
      </c>
      <c r="L85" s="20">
        <f>SUMIFS('Registre de reserves'!$U$2:$U$1178,'Registre de reserves'!$T$2:$T$1178,"SI",'Registre de reserves'!$I$2:$I$1178,'2021'!$A85,'Registre de reserves'!$B$2:$B$1178,'2021'!L$2,Tabla1[ANY],'2021'!$Z$76)+SUMIFS('Registre de reserves'!$U$2:$U$1178,'Registre de reserves'!$T$2:$T$1178,"RESERVA",'Registre de reserves'!$I$2:$I$1178,'2021'!$A85,'Registre de reserves'!$B$2:$B$1178,'2021'!L$2,Tabla1[ANY],'2021'!$Z$76)</f>
        <v>0</v>
      </c>
      <c r="M85" s="21">
        <f t="shared" si="78"/>
        <v>0</v>
      </c>
      <c r="N85" s="20">
        <f>SUMIFS('Registre de reserves'!$U$2:$U$1178,'Registre de reserves'!$T$2:$T$1178,"SI",'Registre de reserves'!$I$2:$I$1178,'2021'!$A85,'Registre de reserves'!$B$2:$B$1178,'2021'!N$2,Tabla1[ANY],'2021'!$Z$76)+SUMIFS('Registre de reserves'!$U$2:$U$1178,'Registre de reserves'!$T$2:$T$1178,"RESERVA",'Registre de reserves'!$I$2:$I$1178,'2021'!$A85,'Registre de reserves'!$B$2:$B$1178,'2021'!N$2,Tabla1[ANY],'2021'!$Z$76)</f>
        <v>0</v>
      </c>
      <c r="O85" s="21">
        <f t="shared" si="79"/>
        <v>0</v>
      </c>
      <c r="P85" s="20">
        <f>SUMIFS('Registre de reserves'!$U$2:$U$1178,'Registre de reserves'!$T$2:$T$1178,"SI",'Registre de reserves'!$I$2:$I$1178,'2021'!$A85,'Registre de reserves'!$B$2:$B$1178,'2021'!P$2,Tabla1[ANY],'2021'!$Z$76)+SUMIFS('Registre de reserves'!$U$2:$U$1178,'Registre de reserves'!$T$2:$T$1178,"RESERVA",'Registre de reserves'!$I$2:$I$1178,'2021'!$A85,'Registre de reserves'!$B$2:$B$1178,'2021'!P$2,Tabla1[ANY],'2021'!$Z$76)</f>
        <v>0</v>
      </c>
      <c r="Q85" s="21">
        <f t="shared" si="80"/>
        <v>0</v>
      </c>
      <c r="R85" s="20">
        <f>SUMIFS('Registre de reserves'!$U$2:$U$1178,'Registre de reserves'!$T$2:$T$1178,"SI",'Registre de reserves'!$I$2:$I$1178,'2021'!$A85,'Registre de reserves'!$B$2:$B$1178,'2021'!R$2,Tabla1[ANY],'2021'!$Z$76)+SUMIFS('Registre de reserves'!$U$2:$U$1178,'Registre de reserves'!$T$2:$T$1178,"RESERVA",'Registre de reserves'!$I$2:$I$1178,'2021'!$A85,'Registre de reserves'!$B$2:$B$1178,'2021'!R$2,Tabla1[ANY],'2021'!$Z$76)</f>
        <v>0</v>
      </c>
      <c r="S85" s="21">
        <f t="shared" si="81"/>
        <v>0</v>
      </c>
      <c r="T85" s="20">
        <f>SUMIFS('Registre de reserves'!$U$2:$U$1178,'Registre de reserves'!$T$2:$T$1178,"SI",'Registre de reserves'!$I$2:$I$1178,'2021'!$A85,'Registre de reserves'!$B$2:$B$1178,'2021'!T$2,Tabla1[ANY],'2021'!$Z$76)+SUMIFS('Registre de reserves'!$U$2:$U$1178,'Registre de reserves'!$T$2:$T$1178,"RESERVA",'Registre de reserves'!$I$2:$I$1178,'2021'!$A85,'Registre de reserves'!$B$2:$B$1178,'2021'!T$2,Tabla1[ANY],'2021'!$Z$76)</f>
        <v>0</v>
      </c>
      <c r="U85" s="21">
        <f t="shared" si="82"/>
        <v>0</v>
      </c>
      <c r="V85" s="20">
        <f>SUMIFS('Registre de reserves'!$U$2:$U$1178,'Registre de reserves'!$T$2:$T$1178,"SI",'Registre de reserves'!$I$2:$I$1178,'2021'!$A85,'Registre de reserves'!$B$2:$B$1178,'2021'!V$2,Tabla1[ANY],'2021'!$Z$76)+SUMIFS('Registre de reserves'!$U$2:$U$1178,'Registre de reserves'!$T$2:$T$1178,"RESERVA",'Registre de reserves'!$I$2:$I$1178,'2021'!$A85,'Registre de reserves'!$B$2:$B$1178,'2021'!V$2,Tabla1[ANY],'2021'!$Z$76)</f>
        <v>0</v>
      </c>
      <c r="W85" s="21">
        <f t="shared" si="83"/>
        <v>0</v>
      </c>
      <c r="X85" s="20">
        <f>SUMIFS('Registre de reserves'!$U$2:$U$1178,'Registre de reserves'!$T$2:$T$1178,"SI",'Registre de reserves'!$I$2:$I$1178,'2021'!$A85,'Registre de reserves'!$B$2:$B$1178,'2021'!X$2,Tabla1[ANY],'2021'!$Z$76)+SUMIFS('Registre de reserves'!$U$2:$U$1178,'Registre de reserves'!$T$2:$T$1178,"RESERVA",'Registre de reserves'!$I$2:$I$1178,'2021'!$A85,'Registre de reserves'!$B$2:$B$1178,'2021'!X$2,Tabla1[ANY],'2021'!$Z$76)</f>
        <v>300</v>
      </c>
      <c r="Y85" s="21">
        <f t="shared" si="84"/>
        <v>0.16042780748663102</v>
      </c>
      <c r="Z85" s="20">
        <f t="shared" si="86"/>
        <v>300</v>
      </c>
      <c r="AA85" s="21">
        <f t="shared" si="85"/>
        <v>2.609589720304174E-2</v>
      </c>
    </row>
    <row r="86" spans="1:27" hidden="1" outlineLevel="2" x14ac:dyDescent="0.2">
      <c r="A86" s="8" t="s">
        <v>73</v>
      </c>
      <c r="B86" s="20">
        <f>SUMIFS('Registre de reserves'!$U$2:$U$1178,'Registre de reserves'!$T$2:$T$1178,"SI",'Registre de reserves'!$I$2:$I$1178,'2021'!$A86,'Registre de reserves'!$B$2:$B$1178,'2021'!B$2,Tabla1[ANY],'2021'!$Z$76)+SUMIFS('Registre de reserves'!$U$2:$U$1178,'Registre de reserves'!$T$2:$T$1178,"RESERVA",'Registre de reserves'!$I$2:$I$1178,'2021'!$A86,'Registre de reserves'!$B$2:$B$1178,'2021'!B$2,Tabla1[ANY],'2021'!$Z$76)</f>
        <v>472.2</v>
      </c>
      <c r="C86" s="21">
        <f t="shared" si="73"/>
        <v>1</v>
      </c>
      <c r="D86" s="20">
        <f>SUMIFS('Registre de reserves'!$U$2:$U$1178,'Registre de reserves'!$T$2:$T$1178,"SI",'Registre de reserves'!$I$2:$I$1178,'2021'!$A86,'Registre de reserves'!$B$2:$B$1178,'2021'!D$2,Tabla1[ANY],'2021'!$Z$76)+SUMIFS('Registre de reserves'!$U$2:$U$1178,'Registre de reserves'!$T$2:$T$1178,"RESERVA",'Registre de reserves'!$I$2:$I$1178,'2021'!$A86,'Registre de reserves'!$B$2:$B$1178,'2021'!D$2,Tabla1[ANY],'2021'!$Z$76)</f>
        <v>472.2</v>
      </c>
      <c r="E86" s="21">
        <f t="shared" si="74"/>
        <v>1</v>
      </c>
      <c r="F86" s="20">
        <f>SUMIFS('Registre de reserves'!$U$2:$U$1178,'Registre de reserves'!$T$2:$T$1178,"SI",'Registre de reserves'!$I$2:$I$1178,'2021'!$A86,'Registre de reserves'!$B$2:$B$1178,'2021'!F$2,Tabla1[ANY],'2021'!$Z$76)+SUMIFS('Registre de reserves'!$U$2:$U$1178,'Registre de reserves'!$T$2:$T$1178,"RESERVA",'Registre de reserves'!$I$2:$I$1178,'2021'!$A86,'Registre de reserves'!$B$2:$B$1178,'2021'!F$2,Tabla1[ANY],'2021'!$Z$76)</f>
        <v>2472.1999999999998</v>
      </c>
      <c r="G86" s="21">
        <f t="shared" si="75"/>
        <v>1</v>
      </c>
      <c r="H86" s="20">
        <f>SUMIFS('Registre de reserves'!$U$2:$U$1178,'Registre de reserves'!$T$2:$T$1178,"SI",'Registre de reserves'!$I$2:$I$1178,'2021'!$A86,'Registre de reserves'!$B$2:$B$1178,'2021'!H$2,Tabla1[ANY],'2021'!$Z$76)+SUMIFS('Registre de reserves'!$U$2:$U$1178,'Registre de reserves'!$T$2:$T$1178,"RESERVA",'Registre de reserves'!$I$2:$I$1178,'2021'!$A86,'Registre de reserves'!$B$2:$B$1178,'2021'!H$2,Tabla1[ANY],'2021'!$Z$76)</f>
        <v>472.2</v>
      </c>
      <c r="I86" s="21">
        <f t="shared" si="76"/>
        <v>1</v>
      </c>
      <c r="J86" s="20">
        <f>SUMIFS('Registre de reserves'!$U$2:$U$1178,'Registre de reserves'!$T$2:$T$1178,"SI",'Registre de reserves'!$I$2:$I$1178,'2021'!$A86,'Registre de reserves'!$B$2:$B$1178,'2021'!J$2,Tabla1[ANY],'2021'!$Z$76)+SUMIFS('Registre de reserves'!$U$2:$U$1178,'Registre de reserves'!$T$2:$T$1178,"RESERVA",'Registre de reserves'!$I$2:$I$1178,'2021'!$A86,'Registre de reserves'!$B$2:$B$1178,'2021'!J$2,Tabla1[ANY],'2021'!$Z$76)</f>
        <v>655.13</v>
      </c>
      <c r="K86" s="21">
        <f t="shared" si="77"/>
        <v>0.72781709308655418</v>
      </c>
      <c r="L86" s="20">
        <f>SUMIFS('Registre de reserves'!$U$2:$U$1178,'Registre de reserves'!$T$2:$T$1178,"SI",'Registre de reserves'!$I$2:$I$1178,'2021'!$A86,'Registre de reserves'!$B$2:$B$1178,'2021'!L$2,Tabla1[ANY],'2021'!$Z$76)+SUMIFS('Registre de reserves'!$U$2:$U$1178,'Registre de reserves'!$T$2:$T$1178,"RESERVA",'Registre de reserves'!$I$2:$I$1178,'2021'!$A86,'Registre de reserves'!$B$2:$B$1178,'2021'!L$2,Tabla1[ANY],'2021'!$Z$76)</f>
        <v>154.13</v>
      </c>
      <c r="M86" s="21">
        <f t="shared" si="78"/>
        <v>0.13674553955621799</v>
      </c>
      <c r="N86" s="20">
        <f>SUMIFS('Registre de reserves'!$U$2:$U$1178,'Registre de reserves'!$T$2:$T$1178,"SI",'Registre de reserves'!$I$2:$I$1178,'2021'!$A86,'Registre de reserves'!$B$2:$B$1178,'2021'!N$2,Tabla1[ANY],'2021'!$Z$76)+SUMIFS('Registre de reserves'!$U$2:$U$1178,'Registre de reserves'!$T$2:$T$1178,"RESERVA",'Registre de reserves'!$I$2:$I$1178,'2021'!$A86,'Registre de reserves'!$B$2:$B$1178,'2021'!N$2,Tabla1[ANY],'2021'!$Z$76)</f>
        <v>0</v>
      </c>
      <c r="O86" s="21">
        <f t="shared" si="79"/>
        <v>0</v>
      </c>
      <c r="P86" s="20">
        <f>SUMIFS('Registre de reserves'!$U$2:$U$1178,'Registre de reserves'!$T$2:$T$1178,"SI",'Registre de reserves'!$I$2:$I$1178,'2021'!$A86,'Registre de reserves'!$B$2:$B$1178,'2021'!P$2,Tabla1[ANY],'2021'!$Z$76)+SUMIFS('Registre de reserves'!$U$2:$U$1178,'Registre de reserves'!$T$2:$T$1178,"RESERVA",'Registre de reserves'!$I$2:$I$1178,'2021'!$A86,'Registre de reserves'!$B$2:$B$1178,'2021'!P$2,Tabla1[ANY],'2021'!$Z$76)</f>
        <v>0</v>
      </c>
      <c r="Q86" s="21">
        <f t="shared" si="80"/>
        <v>0</v>
      </c>
      <c r="R86" s="20">
        <f>SUMIFS('Registre de reserves'!$U$2:$U$1178,'Registre de reserves'!$T$2:$T$1178,"SI",'Registre de reserves'!$I$2:$I$1178,'2021'!$A86,'Registre de reserves'!$B$2:$B$1178,'2021'!R$2,Tabla1[ANY],'2021'!$Z$76)+SUMIFS('Registre de reserves'!$U$2:$U$1178,'Registre de reserves'!$T$2:$T$1178,"RESERVA",'Registre de reserves'!$I$2:$I$1178,'2021'!$A86,'Registre de reserves'!$B$2:$B$1178,'2021'!R$2,Tabla1[ANY],'2021'!$Z$76)</f>
        <v>0</v>
      </c>
      <c r="S86" s="21">
        <f t="shared" si="81"/>
        <v>0</v>
      </c>
      <c r="T86" s="20">
        <f>SUMIFS('Registre de reserves'!$U$2:$U$1178,'Registre de reserves'!$T$2:$T$1178,"SI",'Registre de reserves'!$I$2:$I$1178,'2021'!$A86,'Registre de reserves'!$B$2:$B$1178,'2021'!T$2,Tabla1[ANY],'2021'!$Z$76)+SUMIFS('Registre de reserves'!$U$2:$U$1178,'Registre de reserves'!$T$2:$T$1178,"RESERVA",'Registre de reserves'!$I$2:$I$1178,'2021'!$A86,'Registre de reserves'!$B$2:$B$1178,'2021'!T$2,Tabla1[ANY],'2021'!$Z$76)</f>
        <v>0</v>
      </c>
      <c r="U86" s="21">
        <f t="shared" si="82"/>
        <v>0</v>
      </c>
      <c r="V86" s="20">
        <f>SUMIFS('Registre de reserves'!$U$2:$U$1178,'Registre de reserves'!$T$2:$T$1178,"SI",'Registre de reserves'!$I$2:$I$1178,'2021'!$A86,'Registre de reserves'!$B$2:$B$1178,'2021'!V$2,Tabla1[ANY],'2021'!$Z$76)+SUMIFS('Registre de reserves'!$U$2:$U$1178,'Registre de reserves'!$T$2:$T$1178,"RESERVA",'Registre de reserves'!$I$2:$I$1178,'2021'!$A86,'Registre de reserves'!$B$2:$B$1178,'2021'!V$2,Tabla1[ANY],'2021'!$Z$76)</f>
        <v>0</v>
      </c>
      <c r="W86" s="21">
        <f t="shared" si="83"/>
        <v>0</v>
      </c>
      <c r="X86" s="20">
        <f>SUMIFS('Registre de reserves'!$U$2:$U$1178,'Registre de reserves'!$T$2:$T$1178,"SI",'Registre de reserves'!$I$2:$I$1178,'2021'!$A86,'Registre de reserves'!$B$2:$B$1178,'2021'!X$2,Tabla1[ANY],'2021'!$Z$76)+SUMIFS('Registre de reserves'!$U$2:$U$1178,'Registre de reserves'!$T$2:$T$1178,"RESERVA",'Registre de reserves'!$I$2:$I$1178,'2021'!$A86,'Registre de reserves'!$B$2:$B$1178,'2021'!X$2,Tabla1[ANY],'2021'!$Z$76)</f>
        <v>0</v>
      </c>
      <c r="Y86" s="21">
        <f t="shared" si="84"/>
        <v>0</v>
      </c>
      <c r="Z86" s="20">
        <f t="shared" si="86"/>
        <v>4698.0599999999995</v>
      </c>
      <c r="AA86" s="21">
        <f t="shared" si="85"/>
        <v>0.40866696937907421</v>
      </c>
    </row>
    <row r="87" spans="1:27" collapsed="1" x14ac:dyDescent="0.2">
      <c r="A87" s="33" t="s">
        <v>76</v>
      </c>
      <c r="B87" s="18">
        <f>SUM(B88:B95)</f>
        <v>0</v>
      </c>
      <c r="C87" s="19">
        <f>IF((B$87+B$105)=0,0,B87/(B$87+B$105))</f>
        <v>0</v>
      </c>
      <c r="D87" s="18">
        <f>SUM(D88:D95)</f>
        <v>0</v>
      </c>
      <c r="E87" s="19">
        <f>IF((D$87+D$105)=0,0,D87/(D$87+D$105))</f>
        <v>0</v>
      </c>
      <c r="F87" s="18">
        <f>SUM(F88:F95)</f>
        <v>0</v>
      </c>
      <c r="G87" s="19">
        <f>IF((F$87+F$105)=0,0,F87/(F$87+F$105))</f>
        <v>0</v>
      </c>
      <c r="H87" s="18">
        <f>SUM(H88:H95)</f>
        <v>0</v>
      </c>
      <c r="I87" s="19">
        <f>IF((H$87+H$105)=0,0,H87/(H$87+H$105))</f>
        <v>0</v>
      </c>
      <c r="J87" s="18">
        <f>SUM(J88:J95)</f>
        <v>0</v>
      </c>
      <c r="K87" s="19">
        <f>IF((J$87+J$105)=0,0,J87/(J$87+J$105))</f>
        <v>0</v>
      </c>
      <c r="L87" s="18">
        <f>SUM(L88:L95)</f>
        <v>0</v>
      </c>
      <c r="M87" s="19">
        <f>IF((L$87+L$105)=0,0,L87/(L$87+L$105))</f>
        <v>0</v>
      </c>
      <c r="N87" s="18">
        <f>SUM(N88:N95)</f>
        <v>0</v>
      </c>
      <c r="O87" s="19">
        <f>IF((N$87+N$105)=0,0,N87/(N$87+N$105))</f>
        <v>0</v>
      </c>
      <c r="P87" s="18">
        <f>SUM(P88:P95)</f>
        <v>0</v>
      </c>
      <c r="Q87" s="19">
        <f>IF((P$87+P$105)=0,0,P87/(P$87+P$105))</f>
        <v>0</v>
      </c>
      <c r="R87" s="18">
        <f>SUM(R88:R95)</f>
        <v>0</v>
      </c>
      <c r="S87" s="19">
        <f>IF((R$87+R$105)=0,0,R87/(R$87+R$105))</f>
        <v>0</v>
      </c>
      <c r="T87" s="18">
        <f>SUM(T88:T95)</f>
        <v>0</v>
      </c>
      <c r="U87" s="19">
        <f>IF((T$87+T$105)=0,0,T87/(T$87+T$105))</f>
        <v>0</v>
      </c>
      <c r="V87" s="18">
        <f>SUM(V88:V95)</f>
        <v>0</v>
      </c>
      <c r="W87" s="19">
        <f>IF((V$87+V$105)=0,0,V87/(V$87+V$105))</f>
        <v>0</v>
      </c>
      <c r="X87" s="18">
        <f>SUM(X88:X95)</f>
        <v>0</v>
      </c>
      <c r="Y87" s="19">
        <f>IF((X$87+X$105)=0,0,X87/(X$87+X$105))</f>
        <v>0</v>
      </c>
      <c r="Z87" s="18">
        <f>SUM(Z88:Z95)</f>
        <v>0</v>
      </c>
      <c r="AA87" s="19">
        <f>IF((Z$87+Z$105)=0,0,Z87/(Z$87+Z$105))</f>
        <v>0</v>
      </c>
    </row>
    <row r="88" spans="1:27" hidden="1" outlineLevel="1" x14ac:dyDescent="0.2">
      <c r="A88" s="8" t="s">
        <v>67</v>
      </c>
      <c r="B88" s="20">
        <f>SUMIFS('Registre de reserves'!$U$2:$U$1178,'Registre de reserves'!$T$2:$T$1178,"NO",'Registre de reserves'!$I$2:$I$1178,'2021'!$A88,'Registre de reserves'!$B$2:$B$1178,'2021'!B$2,Tabla1[ANY],'2021'!$Z$76)</f>
        <v>0</v>
      </c>
      <c r="C88" s="21">
        <f>IF(B$87=0,0,B88/B$87)</f>
        <v>0</v>
      </c>
      <c r="D88" s="20">
        <f>SUMIFS('Registre de reserves'!$U$2:$U$1178,'Registre de reserves'!$T$2:$T$1178,"NO",'Registre de reserves'!$I$2:$I$1178,'2021'!$A88,'Registre de reserves'!$B$2:$B$1178,'2021'!D$2,Tabla1[ANY],'2021'!$Z$76)</f>
        <v>0</v>
      </c>
      <c r="E88" s="21">
        <f>IF(D$87=0,0,D88/D$87)</f>
        <v>0</v>
      </c>
      <c r="F88" s="20">
        <f>SUMIFS('Registre de reserves'!$U$2:$U$1178,'Registre de reserves'!$T$2:$T$1178,"NO",'Registre de reserves'!$I$2:$I$1178,'2021'!$A88,'Registre de reserves'!$B$2:$B$1178,'2021'!F$2,Tabla1[ANY],'2021'!$Z$76)</f>
        <v>0</v>
      </c>
      <c r="G88" s="21">
        <f t="shared" ref="G88:G95" si="87">IF(F$87=0,0,F88/F$87)</f>
        <v>0</v>
      </c>
      <c r="H88" s="20">
        <f>SUMIFS('Registre de reserves'!$U$2:$U$1178,'Registre de reserves'!$T$2:$T$1178,"NO",'Registre de reserves'!$I$2:$I$1178,'2021'!$A88,'Registre de reserves'!$B$2:$B$1178,'2021'!H$2,Tabla1[ANY],'2021'!$Z$76)</f>
        <v>0</v>
      </c>
      <c r="I88" s="21">
        <f t="shared" ref="I88:I95" si="88">IF(H$87=0,0,H88/H$87)</f>
        <v>0</v>
      </c>
      <c r="J88" s="20">
        <f>SUMIFS('Registre de reserves'!$U$2:$U$1178,'Registre de reserves'!$T$2:$T$1178,"NO",'Registre de reserves'!$I$2:$I$1178,'2021'!$A88,'Registre de reserves'!$B$2:$B$1178,'2021'!J$2,Tabla1[ANY],'2021'!$Z$76)</f>
        <v>0</v>
      </c>
      <c r="K88" s="21">
        <f t="shared" ref="K88:K95" si="89">IF(J$87=0,0,J88/J$87)</f>
        <v>0</v>
      </c>
      <c r="L88" s="20">
        <f>SUMIFS('Registre de reserves'!$U$2:$U$1178,'Registre de reserves'!$T$2:$T$1178,"NO",'Registre de reserves'!$I$2:$I$1178,'2021'!$A88,'Registre de reserves'!$B$2:$B$1178,'2021'!L$2,Tabla1[ANY],'2021'!$Z$76)</f>
        <v>0</v>
      </c>
      <c r="M88" s="21">
        <f t="shared" ref="M88:M95" si="90">IF(L$87=0,0,L88/L$87)</f>
        <v>0</v>
      </c>
      <c r="N88" s="20">
        <f>SUMIFS('Registre de reserves'!$U$2:$U$1178,'Registre de reserves'!$T$2:$T$1178,"NO",'Registre de reserves'!$I$2:$I$1178,'2021'!$A88,'Registre de reserves'!$B$2:$B$1178,'2021'!N$2,Tabla1[ANY],'2021'!$Z$76)</f>
        <v>0</v>
      </c>
      <c r="O88" s="21">
        <f t="shared" ref="O88:O95" si="91">IF(N$87=0,0,N88/N$87)</f>
        <v>0</v>
      </c>
      <c r="P88" s="20">
        <f>SUMIFS('Registre de reserves'!$U$2:$U$1178,'Registre de reserves'!$T$2:$T$1178,"NO",'Registre de reserves'!$I$2:$I$1178,'2021'!$A88,'Registre de reserves'!$B$2:$B$1178,'2021'!P$2,Tabla1[ANY],'2021'!$Z$76)</f>
        <v>0</v>
      </c>
      <c r="Q88" s="21">
        <f t="shared" ref="Q88:Q95" si="92">IF(P$87=0,0,P88/P$87)</f>
        <v>0</v>
      </c>
      <c r="R88" s="20">
        <f>SUMIFS('Registre de reserves'!$U$2:$U$1178,'Registre de reserves'!$T$2:$T$1178,"NO",'Registre de reserves'!$I$2:$I$1178,'2021'!$A88,'Registre de reserves'!$B$2:$B$1178,'2021'!R$2,Tabla1[ANY],'2021'!$Z$76)</f>
        <v>0</v>
      </c>
      <c r="S88" s="21">
        <f t="shared" ref="S88:S95" si="93">IF(R$87=0,0,R88/R$87)</f>
        <v>0</v>
      </c>
      <c r="T88" s="20">
        <f>SUMIFS('Registre de reserves'!$U$2:$U$1178,'Registre de reserves'!$T$2:$T$1178,"NO",'Registre de reserves'!$I$2:$I$1178,'2021'!$A88,'Registre de reserves'!$B$2:$B$1178,'2021'!T$2,Tabla1[ANY],'2021'!$Z$76)</f>
        <v>0</v>
      </c>
      <c r="U88" s="21">
        <f t="shared" ref="U88:U95" si="94">IF(T$87=0,0,T88/T$87)</f>
        <v>0</v>
      </c>
      <c r="V88" s="20">
        <f>SUMIFS('Registre de reserves'!$U$2:$U$1178,'Registre de reserves'!$T$2:$T$1178,"NO",'Registre de reserves'!$I$2:$I$1178,'2021'!$A88,'Registre de reserves'!$B$2:$B$1178,'2021'!V$2,Tabla1[ANY],'2021'!$Z$76)</f>
        <v>0</v>
      </c>
      <c r="W88" s="21">
        <f t="shared" ref="W88:W95" si="95">IF(V$87=0,0,V88/V$87)</f>
        <v>0</v>
      </c>
      <c r="X88" s="20">
        <f>SUMIFS('Registre de reserves'!$U$2:$U$1178,'Registre de reserves'!$T$2:$T$1178,"NO",'Registre de reserves'!$I$2:$I$1178,'2021'!$A88,'Registre de reserves'!$B$2:$B$1178,'2021'!X$2,Tabla1[ANY],'2021'!$Z$76)</f>
        <v>0</v>
      </c>
      <c r="Y88" s="21">
        <f t="shared" ref="Y88:Y95" si="96">IF(X$87=0,0,X88/X$87)</f>
        <v>0</v>
      </c>
      <c r="Z88" s="20">
        <f>B88+D88+F88+H88+J88+L88+N88+P88+R88+T88+V88+X88</f>
        <v>0</v>
      </c>
      <c r="AA88" s="21">
        <f t="shared" ref="AA88:AA95" si="97">IF(Z$87=0,0,Z88/Z$87)</f>
        <v>0</v>
      </c>
    </row>
    <row r="89" spans="1:27" hidden="1" outlineLevel="1" x14ac:dyDescent="0.2">
      <c r="A89" s="8" t="s">
        <v>68</v>
      </c>
      <c r="B89" s="20">
        <f>SUMIFS('Registre de reserves'!$U$2:$U$1178,'Registre de reserves'!$T$2:$T$1178,"NO",'Registre de reserves'!$I$2:$I$1178,'2021'!$A89,'Registre de reserves'!$B$2:$B$1178,'2021'!B$2,Tabla1[ANY],'2021'!$Z$76)</f>
        <v>0</v>
      </c>
      <c r="C89" s="21">
        <f t="shared" ref="C89:E94" si="98">IF(B$87=0,0,B89/B$87)</f>
        <v>0</v>
      </c>
      <c r="D89" s="20">
        <f>SUMIFS('Registre de reserves'!$U$2:$U$1178,'Registre de reserves'!$T$2:$T$1178,"NO",'Registre de reserves'!$I$2:$I$1178,'2021'!$A89,'Registre de reserves'!$B$2:$B$1178,'2021'!D$2,Tabla1[ANY],'2021'!$Z$76)</f>
        <v>0</v>
      </c>
      <c r="E89" s="21">
        <f t="shared" si="98"/>
        <v>0</v>
      </c>
      <c r="F89" s="20">
        <f>SUMIFS('Registre de reserves'!$U$2:$U$1178,'Registre de reserves'!$T$2:$T$1178,"NO",'Registre de reserves'!$I$2:$I$1178,'2021'!$A89,'Registre de reserves'!$B$2:$B$1178,'2021'!F$2,Tabla1[ANY],'2021'!$Z$76)</f>
        <v>0</v>
      </c>
      <c r="G89" s="21">
        <f t="shared" si="87"/>
        <v>0</v>
      </c>
      <c r="H89" s="20">
        <f>SUMIFS('Registre de reserves'!$U$2:$U$1178,'Registre de reserves'!$T$2:$T$1178,"NO",'Registre de reserves'!$I$2:$I$1178,'2021'!$A89,'Registre de reserves'!$B$2:$B$1178,'2021'!H$2,Tabla1[ANY],'2021'!$Z$76)</f>
        <v>0</v>
      </c>
      <c r="I89" s="21">
        <f t="shared" si="88"/>
        <v>0</v>
      </c>
      <c r="J89" s="20">
        <f>SUMIFS('Registre de reserves'!$U$2:$U$1178,'Registre de reserves'!$T$2:$T$1178,"NO",'Registre de reserves'!$I$2:$I$1178,'2021'!$A89,'Registre de reserves'!$B$2:$B$1178,'2021'!J$2,Tabla1[ANY],'2021'!$Z$76)</f>
        <v>0</v>
      </c>
      <c r="K89" s="21">
        <f t="shared" si="89"/>
        <v>0</v>
      </c>
      <c r="L89" s="20">
        <f>SUMIFS('Registre de reserves'!$U$2:$U$1178,'Registre de reserves'!$T$2:$T$1178,"NO",'Registre de reserves'!$I$2:$I$1178,'2021'!$A89,'Registre de reserves'!$B$2:$B$1178,'2021'!L$2,Tabla1[ANY],'2021'!$Z$76)</f>
        <v>0</v>
      </c>
      <c r="M89" s="21">
        <f t="shared" si="90"/>
        <v>0</v>
      </c>
      <c r="N89" s="20">
        <f>SUMIFS('Registre de reserves'!$U$2:$U$1178,'Registre de reserves'!$T$2:$T$1178,"NO",'Registre de reserves'!$I$2:$I$1178,'2021'!$A89,'Registre de reserves'!$B$2:$B$1178,'2021'!N$2,Tabla1[ANY],'2021'!$Z$76)</f>
        <v>0</v>
      </c>
      <c r="O89" s="21">
        <f t="shared" si="91"/>
        <v>0</v>
      </c>
      <c r="P89" s="20">
        <f>SUMIFS('Registre de reserves'!$U$2:$U$1178,'Registre de reserves'!$T$2:$T$1178,"NO",'Registre de reserves'!$I$2:$I$1178,'2021'!$A89,'Registre de reserves'!$B$2:$B$1178,'2021'!P$2,Tabla1[ANY],'2021'!$Z$76)</f>
        <v>0</v>
      </c>
      <c r="Q89" s="21">
        <f t="shared" si="92"/>
        <v>0</v>
      </c>
      <c r="R89" s="20">
        <f>SUMIFS('Registre de reserves'!$U$2:$U$1178,'Registre de reserves'!$T$2:$T$1178,"NO",'Registre de reserves'!$I$2:$I$1178,'2021'!$A89,'Registre de reserves'!$B$2:$B$1178,'2021'!R$2,Tabla1[ANY],'2021'!$Z$76)</f>
        <v>0</v>
      </c>
      <c r="S89" s="21">
        <f t="shared" si="93"/>
        <v>0</v>
      </c>
      <c r="T89" s="20">
        <f>SUMIFS('Registre de reserves'!$U$2:$U$1178,'Registre de reserves'!$T$2:$T$1178,"NO",'Registre de reserves'!$I$2:$I$1178,'2021'!$A89,'Registre de reserves'!$B$2:$B$1178,'2021'!T$2,Tabla1[ANY],'2021'!$Z$76)</f>
        <v>0</v>
      </c>
      <c r="U89" s="21">
        <f t="shared" si="94"/>
        <v>0</v>
      </c>
      <c r="V89" s="20">
        <f>SUMIFS('Registre de reserves'!$U$2:$U$1178,'Registre de reserves'!$T$2:$T$1178,"NO",'Registre de reserves'!$I$2:$I$1178,'2021'!$A89,'Registre de reserves'!$B$2:$B$1178,'2021'!V$2,Tabla1[ANY],'2021'!$Z$76)</f>
        <v>0</v>
      </c>
      <c r="W89" s="21">
        <f t="shared" si="95"/>
        <v>0</v>
      </c>
      <c r="X89" s="20">
        <f>SUMIFS('Registre de reserves'!$U$2:$U$1178,'Registre de reserves'!$T$2:$T$1178,"NO",'Registre de reserves'!$I$2:$I$1178,'2021'!$A89,'Registre de reserves'!$B$2:$B$1178,'2021'!X$2,Tabla1[ANY],'2021'!$Z$76)</f>
        <v>0</v>
      </c>
      <c r="Y89" s="21">
        <f t="shared" si="96"/>
        <v>0</v>
      </c>
      <c r="Z89" s="20">
        <f t="shared" ref="Z89:Z113" si="99">B89+D89+F89+H89+J89+L89+N89+P89+R89+T89+V89+X89</f>
        <v>0</v>
      </c>
      <c r="AA89" s="21">
        <f t="shared" si="97"/>
        <v>0</v>
      </c>
    </row>
    <row r="90" spans="1:27" hidden="1" outlineLevel="1" x14ac:dyDescent="0.2">
      <c r="A90" s="8" t="s">
        <v>4</v>
      </c>
      <c r="B90" s="20">
        <f>SUMIFS('Registre de reserves'!$U$2:$U$1178,'Registre de reserves'!$T$2:$T$1178,"NO",'Registre de reserves'!$I$2:$I$1178,'2021'!$A90,'Registre de reserves'!$B$2:$B$1178,'2021'!B$2,Tabla1[ANY],'2021'!$Z$76)</f>
        <v>0</v>
      </c>
      <c r="C90" s="21">
        <f t="shared" si="98"/>
        <v>0</v>
      </c>
      <c r="D90" s="20">
        <f>SUMIFS('Registre de reserves'!$U$2:$U$1178,'Registre de reserves'!$T$2:$T$1178,"NO",'Registre de reserves'!$I$2:$I$1178,'2021'!$A90,'Registre de reserves'!$B$2:$B$1178,'2021'!D$2,Tabla1[ANY],'2021'!$Z$76)</f>
        <v>0</v>
      </c>
      <c r="E90" s="21">
        <f t="shared" si="98"/>
        <v>0</v>
      </c>
      <c r="F90" s="20">
        <f>SUMIFS('Registre de reserves'!$U$2:$U$1178,'Registre de reserves'!$T$2:$T$1178,"NO",'Registre de reserves'!$I$2:$I$1178,'2021'!$A90,'Registre de reserves'!$B$2:$B$1178,'2021'!F$2,Tabla1[ANY],'2021'!$Z$76)</f>
        <v>0</v>
      </c>
      <c r="G90" s="21">
        <f t="shared" si="87"/>
        <v>0</v>
      </c>
      <c r="H90" s="20">
        <f>SUMIFS('Registre de reserves'!$U$2:$U$1178,'Registre de reserves'!$T$2:$T$1178,"NO",'Registre de reserves'!$I$2:$I$1178,'2021'!$A90,'Registre de reserves'!$B$2:$B$1178,'2021'!H$2,Tabla1[ANY],'2021'!$Z$76)</f>
        <v>0</v>
      </c>
      <c r="I90" s="21">
        <f t="shared" si="88"/>
        <v>0</v>
      </c>
      <c r="J90" s="20">
        <f>SUMIFS('Registre de reserves'!$U$2:$U$1178,'Registre de reserves'!$T$2:$T$1178,"NO",'Registre de reserves'!$I$2:$I$1178,'2021'!$A90,'Registre de reserves'!$B$2:$B$1178,'2021'!J$2,Tabla1[ANY],'2021'!$Z$76)</f>
        <v>0</v>
      </c>
      <c r="K90" s="21">
        <f t="shared" si="89"/>
        <v>0</v>
      </c>
      <c r="L90" s="20">
        <f>SUMIFS('Registre de reserves'!$U$2:$U$1178,'Registre de reserves'!$T$2:$T$1178,"NO",'Registre de reserves'!$I$2:$I$1178,'2021'!$A90,'Registre de reserves'!$B$2:$B$1178,'2021'!L$2,Tabla1[ANY],'2021'!$Z$76)</f>
        <v>0</v>
      </c>
      <c r="M90" s="21">
        <f t="shared" si="90"/>
        <v>0</v>
      </c>
      <c r="N90" s="20">
        <f>SUMIFS('Registre de reserves'!$U$2:$U$1178,'Registre de reserves'!$T$2:$T$1178,"NO",'Registre de reserves'!$I$2:$I$1178,'2021'!$A90,'Registre de reserves'!$B$2:$B$1178,'2021'!N$2,Tabla1[ANY],'2021'!$Z$76)</f>
        <v>0</v>
      </c>
      <c r="O90" s="21">
        <f t="shared" si="91"/>
        <v>0</v>
      </c>
      <c r="P90" s="20">
        <f>SUMIFS('Registre de reserves'!$U$2:$U$1178,'Registre de reserves'!$T$2:$T$1178,"NO",'Registre de reserves'!$I$2:$I$1178,'2021'!$A90,'Registre de reserves'!$B$2:$B$1178,'2021'!P$2,Tabla1[ANY],'2021'!$Z$76)</f>
        <v>0</v>
      </c>
      <c r="Q90" s="21">
        <f t="shared" si="92"/>
        <v>0</v>
      </c>
      <c r="R90" s="20">
        <f>SUMIFS('Registre de reserves'!$U$2:$U$1178,'Registre de reserves'!$T$2:$T$1178,"NO",'Registre de reserves'!$I$2:$I$1178,'2021'!$A90,'Registre de reserves'!$B$2:$B$1178,'2021'!R$2,Tabla1[ANY],'2021'!$Z$76)</f>
        <v>0</v>
      </c>
      <c r="S90" s="21">
        <f t="shared" si="93"/>
        <v>0</v>
      </c>
      <c r="T90" s="20">
        <f>SUMIFS('Registre de reserves'!$U$2:$U$1178,'Registre de reserves'!$T$2:$T$1178,"NO",'Registre de reserves'!$I$2:$I$1178,'2021'!$A90,'Registre de reserves'!$B$2:$B$1178,'2021'!T$2,Tabla1[ANY],'2021'!$Z$76)</f>
        <v>0</v>
      </c>
      <c r="U90" s="21">
        <f t="shared" si="94"/>
        <v>0</v>
      </c>
      <c r="V90" s="20">
        <f>SUMIFS('Registre de reserves'!$U$2:$U$1178,'Registre de reserves'!$T$2:$T$1178,"NO",'Registre de reserves'!$I$2:$I$1178,'2021'!$A90,'Registre de reserves'!$B$2:$B$1178,'2021'!V$2,Tabla1[ANY],'2021'!$Z$76)</f>
        <v>0</v>
      </c>
      <c r="W90" s="21">
        <f t="shared" si="95"/>
        <v>0</v>
      </c>
      <c r="X90" s="20">
        <f>SUMIFS('Registre de reserves'!$U$2:$U$1178,'Registre de reserves'!$T$2:$T$1178,"NO",'Registre de reserves'!$I$2:$I$1178,'2021'!$A90,'Registre de reserves'!$B$2:$B$1178,'2021'!X$2,Tabla1[ANY],'2021'!$Z$76)</f>
        <v>0</v>
      </c>
      <c r="Y90" s="21">
        <f t="shared" si="96"/>
        <v>0</v>
      </c>
      <c r="Z90" s="20">
        <f t="shared" si="99"/>
        <v>0</v>
      </c>
      <c r="AA90" s="21">
        <f t="shared" si="97"/>
        <v>0</v>
      </c>
    </row>
    <row r="91" spans="1:27" hidden="1" outlineLevel="1" x14ac:dyDescent="0.2">
      <c r="A91" s="8" t="s">
        <v>71</v>
      </c>
      <c r="B91" s="20">
        <f>SUMIFS('Registre de reserves'!$U$2:$U$1178,'Registre de reserves'!$T$2:$T$1178,"NO",'Registre de reserves'!$I$2:$I$1178,'2021'!$A91,'Registre de reserves'!$B$2:$B$1178,'2021'!B$2,Tabla1[ANY],'2021'!$Z$76)</f>
        <v>0</v>
      </c>
      <c r="C91" s="21">
        <f t="shared" si="98"/>
        <v>0</v>
      </c>
      <c r="D91" s="20">
        <f>SUMIFS('Registre de reserves'!$U$2:$U$1178,'Registre de reserves'!$T$2:$T$1178,"NO",'Registre de reserves'!$I$2:$I$1178,'2021'!$A91,'Registre de reserves'!$B$2:$B$1178,'2021'!D$2,Tabla1[ANY],'2021'!$Z$76)</f>
        <v>0</v>
      </c>
      <c r="E91" s="21">
        <f>IF(D$87=0,0,D91/D$87)</f>
        <v>0</v>
      </c>
      <c r="F91" s="20">
        <f>SUMIFS('Registre de reserves'!$U$2:$U$1178,'Registre de reserves'!$T$2:$T$1178,"NO",'Registre de reserves'!$I$2:$I$1178,'2021'!$A91,'Registre de reserves'!$B$2:$B$1178,'2021'!F$2,Tabla1[ANY],'2021'!$Z$76)</f>
        <v>0</v>
      </c>
      <c r="G91" s="21">
        <f t="shared" si="87"/>
        <v>0</v>
      </c>
      <c r="H91" s="20">
        <f>SUMIFS('Registre de reserves'!$U$2:$U$1178,'Registre de reserves'!$T$2:$T$1178,"NO",'Registre de reserves'!$I$2:$I$1178,'2021'!$A91,'Registre de reserves'!$B$2:$B$1178,'2021'!H$2,Tabla1[ANY],'2021'!$Z$76)</f>
        <v>0</v>
      </c>
      <c r="I91" s="21">
        <f t="shared" si="88"/>
        <v>0</v>
      </c>
      <c r="J91" s="20">
        <f>SUMIFS('Registre de reserves'!$U$2:$U$1178,'Registre de reserves'!$T$2:$T$1178,"NO",'Registre de reserves'!$I$2:$I$1178,'2021'!$A91,'Registre de reserves'!$B$2:$B$1178,'2021'!J$2,Tabla1[ANY],'2021'!$Z$76)</f>
        <v>0</v>
      </c>
      <c r="K91" s="21">
        <f t="shared" si="89"/>
        <v>0</v>
      </c>
      <c r="L91" s="20">
        <f>SUMIFS('Registre de reserves'!$U$2:$U$1178,'Registre de reserves'!$T$2:$T$1178,"NO",'Registre de reserves'!$I$2:$I$1178,'2021'!$A91,'Registre de reserves'!$B$2:$B$1178,'2021'!L$2,Tabla1[ANY],'2021'!$Z$76)</f>
        <v>0</v>
      </c>
      <c r="M91" s="21">
        <f t="shared" si="90"/>
        <v>0</v>
      </c>
      <c r="N91" s="20">
        <f>SUMIFS('Registre de reserves'!$U$2:$U$1178,'Registre de reserves'!$T$2:$T$1178,"NO",'Registre de reserves'!$I$2:$I$1178,'2021'!$A91,'Registre de reserves'!$B$2:$B$1178,'2021'!N$2,Tabla1[ANY],'2021'!$Z$76)</f>
        <v>0</v>
      </c>
      <c r="O91" s="21">
        <f t="shared" si="91"/>
        <v>0</v>
      </c>
      <c r="P91" s="20">
        <f>SUMIFS('Registre de reserves'!$U$2:$U$1178,'Registre de reserves'!$T$2:$T$1178,"NO",'Registre de reserves'!$I$2:$I$1178,'2021'!$A91,'Registre de reserves'!$B$2:$B$1178,'2021'!P$2,Tabla1[ANY],'2021'!$Z$76)</f>
        <v>0</v>
      </c>
      <c r="Q91" s="21">
        <f t="shared" si="92"/>
        <v>0</v>
      </c>
      <c r="R91" s="20">
        <f>SUMIFS('Registre de reserves'!$U$2:$U$1178,'Registre de reserves'!$T$2:$T$1178,"NO",'Registre de reserves'!$I$2:$I$1178,'2021'!$A91,'Registre de reserves'!$B$2:$B$1178,'2021'!R$2,Tabla1[ANY],'2021'!$Z$76)</f>
        <v>0</v>
      </c>
      <c r="S91" s="21">
        <f t="shared" si="93"/>
        <v>0</v>
      </c>
      <c r="T91" s="20">
        <f>SUMIFS('Registre de reserves'!$U$2:$U$1178,'Registre de reserves'!$T$2:$T$1178,"NO",'Registre de reserves'!$I$2:$I$1178,'2021'!$A91,'Registre de reserves'!$B$2:$B$1178,'2021'!T$2,Tabla1[ANY],'2021'!$Z$76)</f>
        <v>0</v>
      </c>
      <c r="U91" s="21">
        <f t="shared" si="94"/>
        <v>0</v>
      </c>
      <c r="V91" s="20">
        <f>SUMIFS('Registre de reserves'!$U$2:$U$1178,'Registre de reserves'!$T$2:$T$1178,"NO",'Registre de reserves'!$I$2:$I$1178,'2021'!$A91,'Registre de reserves'!$B$2:$B$1178,'2021'!V$2,Tabla1[ANY],'2021'!$Z$76)</f>
        <v>0</v>
      </c>
      <c r="W91" s="21">
        <f t="shared" si="95"/>
        <v>0</v>
      </c>
      <c r="X91" s="20">
        <f>SUMIFS('Registre de reserves'!$U$2:$U$1178,'Registre de reserves'!$T$2:$T$1178,"NO",'Registre de reserves'!$I$2:$I$1178,'2021'!$A91,'Registre de reserves'!$B$2:$B$1178,'2021'!X$2,Tabla1[ANY],'2021'!$Z$76)</f>
        <v>0</v>
      </c>
      <c r="Y91" s="21">
        <f t="shared" si="96"/>
        <v>0</v>
      </c>
      <c r="Z91" s="20">
        <f t="shared" si="99"/>
        <v>0</v>
      </c>
      <c r="AA91" s="21">
        <f t="shared" si="97"/>
        <v>0</v>
      </c>
    </row>
    <row r="92" spans="1:27" hidden="1" outlineLevel="1" x14ac:dyDescent="0.2">
      <c r="A92" s="8" t="s">
        <v>72</v>
      </c>
      <c r="B92" s="20">
        <f>SUMIFS('Registre de reserves'!$U$2:$U$1178,'Registre de reserves'!$T$2:$T$1178,"NO",'Registre de reserves'!$I$2:$I$1178,'2021'!$A92,'Registre de reserves'!$B$2:$B$1178,'2021'!B$2,Tabla1[ANY],'2021'!$Z$76)</f>
        <v>0</v>
      </c>
      <c r="C92" s="21">
        <f t="shared" si="98"/>
        <v>0</v>
      </c>
      <c r="D92" s="20">
        <f>SUMIFS('Registre de reserves'!$U$2:$U$1178,'Registre de reserves'!$T$2:$T$1178,"NO",'Registre de reserves'!$I$2:$I$1178,'2021'!$A92,'Registre de reserves'!$B$2:$B$1178,'2021'!D$2,Tabla1[ANY],'2021'!$Z$76)</f>
        <v>0</v>
      </c>
      <c r="E92" s="21">
        <f t="shared" si="98"/>
        <v>0</v>
      </c>
      <c r="F92" s="20">
        <f>SUMIFS('Registre de reserves'!$U$2:$U$1178,'Registre de reserves'!$T$2:$T$1178,"NO",'Registre de reserves'!$I$2:$I$1178,'2021'!$A92,'Registre de reserves'!$B$2:$B$1178,'2021'!F$2,Tabla1[ANY],'2021'!$Z$76)</f>
        <v>0</v>
      </c>
      <c r="G92" s="21">
        <f t="shared" si="87"/>
        <v>0</v>
      </c>
      <c r="H92" s="20">
        <f>SUMIFS('Registre de reserves'!$U$2:$U$1178,'Registre de reserves'!$T$2:$T$1178,"NO",'Registre de reserves'!$I$2:$I$1178,'2021'!$A92,'Registre de reserves'!$B$2:$B$1178,'2021'!H$2,Tabla1[ANY],'2021'!$Z$76)</f>
        <v>0</v>
      </c>
      <c r="I92" s="21">
        <f t="shared" si="88"/>
        <v>0</v>
      </c>
      <c r="J92" s="20">
        <f>SUMIFS('Registre de reserves'!$U$2:$U$1178,'Registre de reserves'!$T$2:$T$1178,"NO",'Registre de reserves'!$I$2:$I$1178,'2021'!$A92,'Registre de reserves'!$B$2:$B$1178,'2021'!J$2,Tabla1[ANY],'2021'!$Z$76)</f>
        <v>0</v>
      </c>
      <c r="K92" s="21">
        <f t="shared" si="89"/>
        <v>0</v>
      </c>
      <c r="L92" s="20">
        <f>SUMIFS('Registre de reserves'!$U$2:$U$1178,'Registre de reserves'!$T$2:$T$1178,"NO",'Registre de reserves'!$I$2:$I$1178,'2021'!$A92,'Registre de reserves'!$B$2:$B$1178,'2021'!L$2,Tabla1[ANY],'2021'!$Z$76)</f>
        <v>0</v>
      </c>
      <c r="M92" s="21">
        <f t="shared" si="90"/>
        <v>0</v>
      </c>
      <c r="N92" s="20">
        <f>SUMIFS('Registre de reserves'!$U$2:$U$1178,'Registre de reserves'!$T$2:$T$1178,"NO",'Registre de reserves'!$I$2:$I$1178,'2021'!$A92,'Registre de reserves'!$B$2:$B$1178,'2021'!N$2,Tabla1[ANY],'2021'!$Z$76)</f>
        <v>0</v>
      </c>
      <c r="O92" s="21">
        <f t="shared" si="91"/>
        <v>0</v>
      </c>
      <c r="P92" s="20">
        <f>SUMIFS('Registre de reserves'!$U$2:$U$1178,'Registre de reserves'!$T$2:$T$1178,"NO",'Registre de reserves'!$I$2:$I$1178,'2021'!$A92,'Registre de reserves'!$B$2:$B$1178,'2021'!P$2,Tabla1[ANY],'2021'!$Z$76)</f>
        <v>0</v>
      </c>
      <c r="Q92" s="21">
        <f t="shared" si="92"/>
        <v>0</v>
      </c>
      <c r="R92" s="20">
        <f>SUMIFS('Registre de reserves'!$U$2:$U$1178,'Registre de reserves'!$T$2:$T$1178,"NO",'Registre de reserves'!$I$2:$I$1178,'2021'!$A92,'Registre de reserves'!$B$2:$B$1178,'2021'!R$2,Tabla1[ANY],'2021'!$Z$76)</f>
        <v>0</v>
      </c>
      <c r="S92" s="21">
        <f t="shared" si="93"/>
        <v>0</v>
      </c>
      <c r="T92" s="20">
        <f>SUMIFS('Registre de reserves'!$U$2:$U$1178,'Registre de reserves'!$T$2:$T$1178,"NO",'Registre de reserves'!$I$2:$I$1178,'2021'!$A92,'Registre de reserves'!$B$2:$B$1178,'2021'!T$2,Tabla1[ANY],'2021'!$Z$76)</f>
        <v>0</v>
      </c>
      <c r="U92" s="21">
        <f t="shared" si="94"/>
        <v>0</v>
      </c>
      <c r="V92" s="20">
        <f>SUMIFS('Registre de reserves'!$U$2:$U$1178,'Registre de reserves'!$T$2:$T$1178,"NO",'Registre de reserves'!$I$2:$I$1178,'2021'!$A92,'Registre de reserves'!$B$2:$B$1178,'2021'!V$2,Tabla1[ANY],'2021'!$Z$76)</f>
        <v>0</v>
      </c>
      <c r="W92" s="21">
        <f t="shared" si="95"/>
        <v>0</v>
      </c>
      <c r="X92" s="20">
        <f>SUMIFS('Registre de reserves'!$U$2:$U$1178,'Registre de reserves'!$T$2:$T$1178,"NO",'Registre de reserves'!$I$2:$I$1178,'2021'!$A92,'Registre de reserves'!$B$2:$B$1178,'2021'!X$2,Tabla1[ANY],'2021'!$Z$76)</f>
        <v>0</v>
      </c>
      <c r="Y92" s="21">
        <f t="shared" si="96"/>
        <v>0</v>
      </c>
      <c r="Z92" s="20">
        <f t="shared" si="99"/>
        <v>0</v>
      </c>
      <c r="AA92" s="21">
        <f t="shared" si="97"/>
        <v>0</v>
      </c>
    </row>
    <row r="93" spans="1:27" hidden="1" outlineLevel="1" x14ac:dyDescent="0.2">
      <c r="A93" s="8" t="s">
        <v>69</v>
      </c>
      <c r="B93" s="20">
        <f>SUMIFS('Registre de reserves'!$U$2:$U$1178,'Registre de reserves'!$T$2:$T$1178,"NO",'Registre de reserves'!$I$2:$I$1178,'2021'!$A93,'Registre de reserves'!$B$2:$B$1178,'2021'!B$2,Tabla1[ANY],'2021'!$Z$76)</f>
        <v>0</v>
      </c>
      <c r="C93" s="21">
        <f t="shared" si="98"/>
        <v>0</v>
      </c>
      <c r="D93" s="20">
        <f>SUMIFS('Registre de reserves'!$U$2:$U$1178,'Registre de reserves'!$T$2:$T$1178,"NO",'Registre de reserves'!$I$2:$I$1178,'2021'!$A93,'Registre de reserves'!$B$2:$B$1178,'2021'!D$2,Tabla1[ANY],'2021'!$Z$76)</f>
        <v>0</v>
      </c>
      <c r="E93" s="21">
        <f t="shared" si="98"/>
        <v>0</v>
      </c>
      <c r="F93" s="20">
        <f>SUMIFS('Registre de reserves'!$U$2:$U$1178,'Registre de reserves'!$T$2:$T$1178,"NO",'Registre de reserves'!$I$2:$I$1178,'2021'!$A93,'Registre de reserves'!$B$2:$B$1178,'2021'!F$2,Tabla1[ANY],'2021'!$Z$76)</f>
        <v>0</v>
      </c>
      <c r="G93" s="21">
        <f t="shared" si="87"/>
        <v>0</v>
      </c>
      <c r="H93" s="20">
        <f>SUMIFS('Registre de reserves'!$U$2:$U$1178,'Registre de reserves'!$T$2:$T$1178,"NO",'Registre de reserves'!$I$2:$I$1178,'2021'!$A93,'Registre de reserves'!$B$2:$B$1178,'2021'!H$2,Tabla1[ANY],'2021'!$Z$76)</f>
        <v>0</v>
      </c>
      <c r="I93" s="21">
        <f t="shared" si="88"/>
        <v>0</v>
      </c>
      <c r="J93" s="20">
        <f>SUMIFS('Registre de reserves'!$U$2:$U$1178,'Registre de reserves'!$T$2:$T$1178,"NO",'Registre de reserves'!$I$2:$I$1178,'2021'!$A93,'Registre de reserves'!$B$2:$B$1178,'2021'!J$2,Tabla1[ANY],'2021'!$Z$76)</f>
        <v>0</v>
      </c>
      <c r="K93" s="21">
        <f t="shared" si="89"/>
        <v>0</v>
      </c>
      <c r="L93" s="20">
        <f>SUMIFS('Registre de reserves'!$U$2:$U$1178,'Registre de reserves'!$T$2:$T$1178,"NO",'Registre de reserves'!$I$2:$I$1178,'2021'!$A93,'Registre de reserves'!$B$2:$B$1178,'2021'!L$2,Tabla1[ANY],'2021'!$Z$76)</f>
        <v>0</v>
      </c>
      <c r="M93" s="21">
        <f t="shared" si="90"/>
        <v>0</v>
      </c>
      <c r="N93" s="20">
        <f>SUMIFS('Registre de reserves'!$U$2:$U$1178,'Registre de reserves'!$T$2:$T$1178,"NO",'Registre de reserves'!$I$2:$I$1178,'2021'!$A93,'Registre de reserves'!$B$2:$B$1178,'2021'!N$2,Tabla1[ANY],'2021'!$Z$76)</f>
        <v>0</v>
      </c>
      <c r="O93" s="21">
        <f t="shared" si="91"/>
        <v>0</v>
      </c>
      <c r="P93" s="20">
        <f>SUMIFS('Registre de reserves'!$U$2:$U$1178,'Registre de reserves'!$T$2:$T$1178,"NO",'Registre de reserves'!$I$2:$I$1178,'2021'!$A93,'Registre de reserves'!$B$2:$B$1178,'2021'!P$2,Tabla1[ANY],'2021'!$Z$76)</f>
        <v>0</v>
      </c>
      <c r="Q93" s="21">
        <f t="shared" si="92"/>
        <v>0</v>
      </c>
      <c r="R93" s="20">
        <f>SUMIFS('Registre de reserves'!$U$2:$U$1178,'Registre de reserves'!$T$2:$T$1178,"NO",'Registre de reserves'!$I$2:$I$1178,'2021'!$A93,'Registre de reserves'!$B$2:$B$1178,'2021'!R$2,Tabla1[ANY],'2021'!$Z$76)</f>
        <v>0</v>
      </c>
      <c r="S93" s="21">
        <f t="shared" si="93"/>
        <v>0</v>
      </c>
      <c r="T93" s="20">
        <f>SUMIFS('Registre de reserves'!$U$2:$U$1178,'Registre de reserves'!$T$2:$T$1178,"NO",'Registre de reserves'!$I$2:$I$1178,'2021'!$A93,'Registre de reserves'!$B$2:$B$1178,'2021'!T$2,Tabla1[ANY],'2021'!$Z$76)</f>
        <v>0</v>
      </c>
      <c r="U93" s="21">
        <f t="shared" si="94"/>
        <v>0</v>
      </c>
      <c r="V93" s="20">
        <f>SUMIFS('Registre de reserves'!$U$2:$U$1178,'Registre de reserves'!$T$2:$T$1178,"NO",'Registre de reserves'!$I$2:$I$1178,'2021'!$A93,'Registre de reserves'!$B$2:$B$1178,'2021'!V$2,Tabla1[ANY],'2021'!$Z$76)</f>
        <v>0</v>
      </c>
      <c r="W93" s="21">
        <f t="shared" si="95"/>
        <v>0</v>
      </c>
      <c r="X93" s="20">
        <f>SUMIFS('Registre de reserves'!$U$2:$U$1178,'Registre de reserves'!$T$2:$T$1178,"NO",'Registre de reserves'!$I$2:$I$1178,'2021'!$A93,'Registre de reserves'!$B$2:$B$1178,'2021'!X$2,Tabla1[ANY],'2021'!$Z$76)</f>
        <v>0</v>
      </c>
      <c r="Y93" s="21">
        <f t="shared" si="96"/>
        <v>0</v>
      </c>
      <c r="Z93" s="20">
        <f t="shared" si="99"/>
        <v>0</v>
      </c>
      <c r="AA93" s="21">
        <f t="shared" si="97"/>
        <v>0</v>
      </c>
    </row>
    <row r="94" spans="1:27" hidden="1" outlineLevel="1" x14ac:dyDescent="0.2">
      <c r="A94" s="8" t="s">
        <v>70</v>
      </c>
      <c r="B94" s="20">
        <f>SUMIFS('Registre de reserves'!$U$2:$U$1178,'Registre de reserves'!$T$2:$T$1178,"NO",'Registre de reserves'!$I$2:$I$1178,'2021'!$A94,'Registre de reserves'!$B$2:$B$1178,'2021'!B$2,Tabla1[ANY],'2021'!$Z$76)</f>
        <v>0</v>
      </c>
      <c r="C94" s="21">
        <f t="shared" si="98"/>
        <v>0</v>
      </c>
      <c r="D94" s="20">
        <f>SUMIFS('Registre de reserves'!$U$2:$U$1178,'Registre de reserves'!$T$2:$T$1178,"NO",'Registre de reserves'!$I$2:$I$1178,'2021'!$A94,'Registre de reserves'!$B$2:$B$1178,'2021'!D$2,Tabla1[ANY],'2021'!$Z$76)</f>
        <v>0</v>
      </c>
      <c r="E94" s="21">
        <f t="shared" si="98"/>
        <v>0</v>
      </c>
      <c r="F94" s="20">
        <f>SUMIFS('Registre de reserves'!$U$2:$U$1178,'Registre de reserves'!$T$2:$T$1178,"NO",'Registre de reserves'!$I$2:$I$1178,'2021'!$A94,'Registre de reserves'!$B$2:$B$1178,'2021'!F$2,Tabla1[ANY],'2021'!$Z$76)</f>
        <v>0</v>
      </c>
      <c r="G94" s="21">
        <f t="shared" si="87"/>
        <v>0</v>
      </c>
      <c r="H94" s="20">
        <f>SUMIFS('Registre de reserves'!$U$2:$U$1178,'Registre de reserves'!$T$2:$T$1178,"NO",'Registre de reserves'!$I$2:$I$1178,'2021'!$A94,'Registre de reserves'!$B$2:$B$1178,'2021'!H$2,Tabla1[ANY],'2021'!$Z$76)</f>
        <v>0</v>
      </c>
      <c r="I94" s="21">
        <f t="shared" si="88"/>
        <v>0</v>
      </c>
      <c r="J94" s="20">
        <f>SUMIFS('Registre de reserves'!$U$2:$U$1178,'Registre de reserves'!$T$2:$T$1178,"NO",'Registre de reserves'!$I$2:$I$1178,'2021'!$A94,'Registre de reserves'!$B$2:$B$1178,'2021'!J$2,Tabla1[ANY],'2021'!$Z$76)</f>
        <v>0</v>
      </c>
      <c r="K94" s="21">
        <f t="shared" si="89"/>
        <v>0</v>
      </c>
      <c r="L94" s="20">
        <f>SUMIFS('Registre de reserves'!$U$2:$U$1178,'Registre de reserves'!$T$2:$T$1178,"NO",'Registre de reserves'!$I$2:$I$1178,'2021'!$A94,'Registre de reserves'!$B$2:$B$1178,'2021'!L$2,Tabla1[ANY],'2021'!$Z$76)</f>
        <v>0</v>
      </c>
      <c r="M94" s="21">
        <f t="shared" si="90"/>
        <v>0</v>
      </c>
      <c r="N94" s="20">
        <f>SUMIFS('Registre de reserves'!$U$2:$U$1178,'Registre de reserves'!$T$2:$T$1178,"NO",'Registre de reserves'!$I$2:$I$1178,'2021'!$A94,'Registre de reserves'!$B$2:$B$1178,'2021'!N$2,Tabla1[ANY],'2021'!$Z$76)</f>
        <v>0</v>
      </c>
      <c r="O94" s="21">
        <f t="shared" si="91"/>
        <v>0</v>
      </c>
      <c r="P94" s="20">
        <f>SUMIFS('Registre de reserves'!$U$2:$U$1178,'Registre de reserves'!$T$2:$T$1178,"NO",'Registre de reserves'!$I$2:$I$1178,'2021'!$A94,'Registre de reserves'!$B$2:$B$1178,'2021'!P$2,Tabla1[ANY],'2021'!$Z$76)</f>
        <v>0</v>
      </c>
      <c r="Q94" s="21">
        <f t="shared" si="92"/>
        <v>0</v>
      </c>
      <c r="R94" s="20">
        <f>SUMIFS('Registre de reserves'!$U$2:$U$1178,'Registre de reserves'!$T$2:$T$1178,"NO",'Registre de reserves'!$I$2:$I$1178,'2021'!$A94,'Registre de reserves'!$B$2:$B$1178,'2021'!R$2,Tabla1[ANY],'2021'!$Z$76)</f>
        <v>0</v>
      </c>
      <c r="S94" s="21">
        <f t="shared" si="93"/>
        <v>0</v>
      </c>
      <c r="T94" s="20">
        <f>SUMIFS('Registre de reserves'!$U$2:$U$1178,'Registre de reserves'!$T$2:$T$1178,"NO",'Registre de reserves'!$I$2:$I$1178,'2021'!$A94,'Registre de reserves'!$B$2:$B$1178,'2021'!T$2,Tabla1[ANY],'2021'!$Z$76)</f>
        <v>0</v>
      </c>
      <c r="U94" s="21">
        <f t="shared" si="94"/>
        <v>0</v>
      </c>
      <c r="V94" s="20">
        <f>SUMIFS('Registre de reserves'!$U$2:$U$1178,'Registre de reserves'!$T$2:$T$1178,"NO",'Registre de reserves'!$I$2:$I$1178,'2021'!$A94,'Registre de reserves'!$B$2:$B$1178,'2021'!V$2,Tabla1[ANY],'2021'!$Z$76)</f>
        <v>0</v>
      </c>
      <c r="W94" s="21">
        <f t="shared" si="95"/>
        <v>0</v>
      </c>
      <c r="X94" s="20">
        <f>SUMIFS('Registre de reserves'!$U$2:$U$1178,'Registre de reserves'!$T$2:$T$1178,"NO",'Registre de reserves'!$I$2:$I$1178,'2021'!$A94,'Registre de reserves'!$B$2:$B$1178,'2021'!X$2,Tabla1[ANY],'2021'!$Z$76)</f>
        <v>0</v>
      </c>
      <c r="Y94" s="21">
        <f t="shared" si="96"/>
        <v>0</v>
      </c>
      <c r="Z94" s="20">
        <f t="shared" si="99"/>
        <v>0</v>
      </c>
      <c r="AA94" s="21">
        <f t="shared" si="97"/>
        <v>0</v>
      </c>
    </row>
    <row r="95" spans="1:27" hidden="1" outlineLevel="1" x14ac:dyDescent="0.2">
      <c r="A95" s="8" t="s">
        <v>73</v>
      </c>
      <c r="B95" s="20">
        <f>SUMIFS('Registre de reserves'!$U$2:$U$1178,'Registre de reserves'!$T$2:$T$1178,"NO",'Registre de reserves'!$I$2:$I$1178,'2021'!$A95,'Registre de reserves'!$B$2:$B$1178,'2021'!B$2,Tabla1[ANY],'2021'!$Z$76)</f>
        <v>0</v>
      </c>
      <c r="C95" s="21">
        <f>IF(B$87=0,0,B95/B$87)</f>
        <v>0</v>
      </c>
      <c r="D95" s="20">
        <f>SUMIFS('Registre de reserves'!$U$2:$U$1178,'Registre de reserves'!$T$2:$T$1178,"NO",'Registre de reserves'!$I$2:$I$1178,'2021'!$A95,'Registre de reserves'!$B$2:$B$1178,'2021'!D$2,Tabla1[ANY],'2021'!$Z$76)</f>
        <v>0</v>
      </c>
      <c r="E95" s="21">
        <f>IF(D$87=0,0,D95/D$87)</f>
        <v>0</v>
      </c>
      <c r="F95" s="20">
        <f>SUMIFS('Registre de reserves'!$U$2:$U$1178,'Registre de reserves'!$T$2:$T$1178,"NO",'Registre de reserves'!$I$2:$I$1178,'2021'!$A95,'Registre de reserves'!$B$2:$B$1178,'2021'!F$2,Tabla1[ANY],'2021'!$Z$76)</f>
        <v>0</v>
      </c>
      <c r="G95" s="21">
        <f t="shared" si="87"/>
        <v>0</v>
      </c>
      <c r="H95" s="20">
        <f>SUMIFS('Registre de reserves'!$U$2:$U$1178,'Registre de reserves'!$T$2:$T$1178,"NO",'Registre de reserves'!$I$2:$I$1178,'2021'!$A95,'Registre de reserves'!$B$2:$B$1178,'2021'!H$2,Tabla1[ANY],'2021'!$Z$76)</f>
        <v>0</v>
      </c>
      <c r="I95" s="21">
        <f t="shared" si="88"/>
        <v>0</v>
      </c>
      <c r="J95" s="20">
        <f>SUMIFS('Registre de reserves'!$U$2:$U$1178,'Registre de reserves'!$T$2:$T$1178,"NO",'Registre de reserves'!$I$2:$I$1178,'2021'!$A95,'Registre de reserves'!$B$2:$B$1178,'2021'!J$2,Tabla1[ANY],'2021'!$Z$76)</f>
        <v>0</v>
      </c>
      <c r="K95" s="21">
        <f t="shared" si="89"/>
        <v>0</v>
      </c>
      <c r="L95" s="20">
        <f>SUMIFS('Registre de reserves'!$U$2:$U$1178,'Registre de reserves'!$T$2:$T$1178,"NO",'Registre de reserves'!$I$2:$I$1178,'2021'!$A95,'Registre de reserves'!$B$2:$B$1178,'2021'!L$2,Tabla1[ANY],'2021'!$Z$76)</f>
        <v>0</v>
      </c>
      <c r="M95" s="21">
        <f t="shared" si="90"/>
        <v>0</v>
      </c>
      <c r="N95" s="20">
        <f>SUMIFS('Registre de reserves'!$U$2:$U$1178,'Registre de reserves'!$T$2:$T$1178,"NO",'Registre de reserves'!$I$2:$I$1178,'2021'!$A95,'Registre de reserves'!$B$2:$B$1178,'2021'!N$2,Tabla1[ANY],'2021'!$Z$76)</f>
        <v>0</v>
      </c>
      <c r="O95" s="21">
        <f t="shared" si="91"/>
        <v>0</v>
      </c>
      <c r="P95" s="20">
        <f>SUMIFS('Registre de reserves'!$U$2:$U$1178,'Registre de reserves'!$T$2:$T$1178,"NO",'Registre de reserves'!$I$2:$I$1178,'2021'!$A95,'Registre de reserves'!$B$2:$B$1178,'2021'!P$2,Tabla1[ANY],'2021'!$Z$76)</f>
        <v>0</v>
      </c>
      <c r="Q95" s="21">
        <f t="shared" si="92"/>
        <v>0</v>
      </c>
      <c r="R95" s="20">
        <f>SUMIFS('Registre de reserves'!$U$2:$U$1178,'Registre de reserves'!$T$2:$T$1178,"NO",'Registre de reserves'!$I$2:$I$1178,'2021'!$A95,'Registre de reserves'!$B$2:$B$1178,'2021'!R$2,Tabla1[ANY],'2021'!$Z$76)</f>
        <v>0</v>
      </c>
      <c r="S95" s="21">
        <f t="shared" si="93"/>
        <v>0</v>
      </c>
      <c r="T95" s="20">
        <f>SUMIFS('Registre de reserves'!$U$2:$U$1178,'Registre de reserves'!$T$2:$T$1178,"NO",'Registre de reserves'!$I$2:$I$1178,'2021'!$A95,'Registre de reserves'!$B$2:$B$1178,'2021'!T$2,Tabla1[ANY],'2021'!$Z$76)</f>
        <v>0</v>
      </c>
      <c r="U95" s="21">
        <f t="shared" si="94"/>
        <v>0</v>
      </c>
      <c r="V95" s="20">
        <f>SUMIFS('Registre de reserves'!$U$2:$U$1178,'Registre de reserves'!$T$2:$T$1178,"NO",'Registre de reserves'!$I$2:$I$1178,'2021'!$A95,'Registre de reserves'!$B$2:$B$1178,'2021'!V$2,Tabla1[ANY],'2021'!$Z$76)</f>
        <v>0</v>
      </c>
      <c r="W95" s="21">
        <f t="shared" si="95"/>
        <v>0</v>
      </c>
      <c r="X95" s="20">
        <f>SUMIFS('Registre de reserves'!$U$2:$U$1178,'Registre de reserves'!$T$2:$T$1178,"NO",'Registre de reserves'!$I$2:$I$1178,'2021'!$A95,'Registre de reserves'!$B$2:$B$1178,'2021'!X$2,Tabla1[ANY],'2021'!$Z$76)</f>
        <v>0</v>
      </c>
      <c r="Y95" s="21">
        <f t="shared" si="96"/>
        <v>0</v>
      </c>
      <c r="Z95" s="20">
        <f t="shared" si="99"/>
        <v>0</v>
      </c>
      <c r="AA95" s="21">
        <f t="shared" si="97"/>
        <v>0</v>
      </c>
    </row>
    <row r="96" spans="1:27" collapsed="1" x14ac:dyDescent="0.2">
      <c r="A96" s="33" t="s">
        <v>75</v>
      </c>
      <c r="B96" s="22">
        <f>SUM(B97:B104)</f>
        <v>0</v>
      </c>
      <c r="C96" s="19">
        <f>IF(B$77=0,0,B96/B$77)</f>
        <v>0</v>
      </c>
      <c r="D96" s="22">
        <f>SUM(D97:D104)</f>
        <v>0</v>
      </c>
      <c r="E96" s="19">
        <f>IF(D$77=0,0,D96/D$77)</f>
        <v>0</v>
      </c>
      <c r="F96" s="22">
        <f>SUM(F97:F104)</f>
        <v>0</v>
      </c>
      <c r="G96" s="19">
        <f>IF(F$77=0,0,F96/F$77)</f>
        <v>0</v>
      </c>
      <c r="H96" s="22">
        <f>SUM(H97:H104)</f>
        <v>0</v>
      </c>
      <c r="I96" s="19">
        <f>IF(H$77=0,0,H96/H$77)</f>
        <v>0</v>
      </c>
      <c r="J96" s="22">
        <f>SUM(J97:J104)</f>
        <v>0</v>
      </c>
      <c r="K96" s="19">
        <f>IF(J$77=0,0,J96/J$77)</f>
        <v>0</v>
      </c>
      <c r="L96" s="22">
        <f>SUM(L97:L104)</f>
        <v>0</v>
      </c>
      <c r="M96" s="19">
        <f>IF(L$77=0,0,L96/L$77)</f>
        <v>0</v>
      </c>
      <c r="N96" s="22">
        <f>SUM(N97:N104)</f>
        <v>0</v>
      </c>
      <c r="O96" s="19">
        <f>IF(N$77=0,0,N96/N$77)</f>
        <v>0</v>
      </c>
      <c r="P96" s="22">
        <f>SUM(P97:P104)</f>
        <v>0</v>
      </c>
      <c r="Q96" s="19">
        <f>IF(P$77=0,0,P96/P$77)</f>
        <v>0</v>
      </c>
      <c r="R96" s="22">
        <f>SUM(R97:R104)</f>
        <v>0</v>
      </c>
      <c r="S96" s="19">
        <f>IF(R$77=0,0,R96/R$77)</f>
        <v>0</v>
      </c>
      <c r="T96" s="22">
        <f>SUM(T97:T104)</f>
        <v>0</v>
      </c>
      <c r="U96" s="19">
        <f>IF(T$77=0,0,T96/T$77)</f>
        <v>0</v>
      </c>
      <c r="V96" s="22">
        <f>SUM(V97:V104)</f>
        <v>100</v>
      </c>
      <c r="W96" s="19">
        <f>IF(V$77=0,0,V96/V$77)</f>
        <v>7.9365079365079361E-2</v>
      </c>
      <c r="X96" s="22">
        <f>SUM(X97:X104)</f>
        <v>120</v>
      </c>
      <c r="Y96" s="19">
        <f>IF(X$77=0,0,X96/X$77)</f>
        <v>6.030150753768844E-2</v>
      </c>
      <c r="Z96" s="22">
        <f>SUM(Z97:Z104)</f>
        <v>220</v>
      </c>
      <c r="AA96" s="19">
        <f>IF(Z$77=0,0,Z96/Z$77)</f>
        <v>1.8777643678847669E-2</v>
      </c>
    </row>
    <row r="97" spans="1:27" hidden="1" outlineLevel="1" x14ac:dyDescent="0.2">
      <c r="A97" s="8" t="s">
        <v>67</v>
      </c>
      <c r="B97" s="23">
        <f>SUMIFS('Registre de reserves'!$W$2:$W$1178,'Registre de reserves'!$T$2:$T$1178,"SI",'Registre de reserves'!$I$2:$I$1178,'2021'!$A97,'Registre de reserves'!$B$2:$B$1178,'2021'!B$2,Tabla1[ANY],'2021'!$Z$76)</f>
        <v>0</v>
      </c>
      <c r="C97" s="21">
        <f>IF(B$96=0,0,B97/B$96)</f>
        <v>0</v>
      </c>
      <c r="D97" s="23">
        <f>SUMIFS('Registre de reserves'!$W$2:$W$1178,'Registre de reserves'!$T$2:$T$1178,"SI",'Registre de reserves'!$I$2:$I$1178,'2021'!$A97,'Registre de reserves'!$B$2:$B$1178,'2021'!D$2,Tabla1[ANY],'2021'!$Z$76)</f>
        <v>0</v>
      </c>
      <c r="E97" s="21">
        <f>IF(D$96=0,0,D97/D$96)</f>
        <v>0</v>
      </c>
      <c r="F97" s="23">
        <f>SUMIFS('Registre de reserves'!$W$2:$W$1178,'Registre de reserves'!$T$2:$T$1178,"SI",'Registre de reserves'!$I$2:$I$1178,'2021'!$A97,'Registre de reserves'!$B$2:$B$1178,'2021'!F$2,Tabla1[ANY],'2021'!$Z$76)</f>
        <v>0</v>
      </c>
      <c r="G97" s="21">
        <f t="shared" ref="G97:G104" si="100">IF(F$96=0,0,F97/F$96)</f>
        <v>0</v>
      </c>
      <c r="H97" s="23">
        <f>SUMIFS('Registre de reserves'!$W$2:$W$1178,'Registre de reserves'!$T$2:$T$1178,"SI",'Registre de reserves'!$I$2:$I$1178,'2021'!$A97,'Registre de reserves'!$B$2:$B$1178,'2021'!H$2,Tabla1[ANY],'2021'!$Z$76)</f>
        <v>0</v>
      </c>
      <c r="I97" s="21">
        <f t="shared" ref="I97:I104" si="101">IF(H$96=0,0,H97/H$96)</f>
        <v>0</v>
      </c>
      <c r="J97" s="23">
        <f>SUMIFS('Registre de reserves'!$W$2:$W$1178,'Registre de reserves'!$T$2:$T$1178,"SI",'Registre de reserves'!$I$2:$I$1178,'2021'!$A97,'Registre de reserves'!$B$2:$B$1178,'2021'!J$2,Tabla1[ANY],'2021'!$Z$76)</f>
        <v>0</v>
      </c>
      <c r="K97" s="21">
        <f t="shared" ref="K97:K104" si="102">IF(J$96=0,0,J97/J$96)</f>
        <v>0</v>
      </c>
      <c r="L97" s="23">
        <f>SUMIFS('Registre de reserves'!$W$2:$W$1178,'Registre de reserves'!$T$2:$T$1178,"SI",'Registre de reserves'!$I$2:$I$1178,'2021'!$A97,'Registre de reserves'!$B$2:$B$1178,'2021'!L$2,Tabla1[ANY],'2021'!$Z$76)</f>
        <v>0</v>
      </c>
      <c r="M97" s="21">
        <f t="shared" ref="M97:M104" si="103">IF(L$96=0,0,L97/L$96)</f>
        <v>0</v>
      </c>
      <c r="N97" s="23">
        <f>SUMIFS('Registre de reserves'!$W$2:$W$1178,'Registre de reserves'!$T$2:$T$1178,"SI",'Registre de reserves'!$I$2:$I$1178,'2021'!$A97,'Registre de reserves'!$B$2:$B$1178,'2021'!N$2,Tabla1[ANY],'2021'!$Z$76)</f>
        <v>0</v>
      </c>
      <c r="O97" s="21">
        <f t="shared" ref="O97:O104" si="104">IF(N$96=0,0,N97/N$96)</f>
        <v>0</v>
      </c>
      <c r="P97" s="23">
        <f>SUMIFS('Registre de reserves'!$W$2:$W$1178,'Registre de reserves'!$T$2:$T$1178,"SI",'Registre de reserves'!$I$2:$I$1178,'2021'!$A97,'Registre de reserves'!$B$2:$B$1178,'2021'!P$2,Tabla1[ANY],'2021'!$Z$76)</f>
        <v>0</v>
      </c>
      <c r="Q97" s="21">
        <f t="shared" ref="Q97:Q104" si="105">IF(P$96=0,0,P97/P$96)</f>
        <v>0</v>
      </c>
      <c r="R97" s="23">
        <f>SUMIFS('Registre de reserves'!$W$2:$W$1178,'Registre de reserves'!$T$2:$T$1178,"SI",'Registre de reserves'!$I$2:$I$1178,'2021'!$A97,'Registre de reserves'!$B$2:$B$1178,'2021'!R$2,Tabla1[ANY],'2021'!$Z$76)</f>
        <v>0</v>
      </c>
      <c r="S97" s="21">
        <f t="shared" ref="S97:S104" si="106">IF(R$96=0,0,R97/R$96)</f>
        <v>0</v>
      </c>
      <c r="T97" s="23">
        <f>SUMIFS('Registre de reserves'!$W$2:$W$1178,'Registre de reserves'!$T$2:$T$1178,"SI",'Registre de reserves'!$I$2:$I$1178,'2021'!$A97,'Registre de reserves'!$B$2:$B$1178,'2021'!T$2,Tabla1[ANY],'2021'!$Z$76)</f>
        <v>0</v>
      </c>
      <c r="U97" s="21">
        <f t="shared" ref="U97:U104" si="107">IF(T$96=0,0,T97/T$96)</f>
        <v>0</v>
      </c>
      <c r="V97" s="23">
        <f>SUMIFS('Registre de reserves'!$W$2:$W$1178,'Registre de reserves'!$T$2:$T$1178,"SI",'Registre de reserves'!$I$2:$I$1178,'2021'!$A97,'Registre de reserves'!$B$2:$B$1178,'2021'!V$2,Tabla1[ANY],'2021'!$Z$76)</f>
        <v>0</v>
      </c>
      <c r="W97" s="21">
        <f t="shared" ref="W97:W104" si="108">IF(V$96=0,0,V97/V$96)</f>
        <v>0</v>
      </c>
      <c r="X97" s="23">
        <f>SUMIFS('Registre de reserves'!$W$2:$W$1178,'Registre de reserves'!$T$2:$T$1178,"SI",'Registre de reserves'!$I$2:$I$1178,'2021'!$A97,'Registre de reserves'!$B$2:$B$1178,'2021'!X$2,Tabla1[ANY],'2021'!$Z$76)</f>
        <v>0</v>
      </c>
      <c r="Y97" s="21">
        <f t="shared" ref="Y97:Y104" si="109">IF(X$96=0,0,X97/X$96)</f>
        <v>0</v>
      </c>
      <c r="Z97" s="20">
        <f t="shared" si="99"/>
        <v>0</v>
      </c>
      <c r="AA97" s="21">
        <f t="shared" ref="AA97:AA104" si="110">IF(Z$96=0,0,Z97/Z$96)</f>
        <v>0</v>
      </c>
    </row>
    <row r="98" spans="1:27" hidden="1" outlineLevel="1" x14ac:dyDescent="0.2">
      <c r="A98" s="8" t="s">
        <v>68</v>
      </c>
      <c r="B98" s="23">
        <f>SUMIFS('Registre de reserves'!$W$2:$W$1178,'Registre de reserves'!$T$2:$T$1178,"SI",'Registre de reserves'!$I$2:$I$1178,'2021'!$A98,'Registre de reserves'!$B$2:$B$1178,'2021'!B$2,Tabla1[ANY],'2021'!$Z$76)</f>
        <v>0</v>
      </c>
      <c r="C98" s="21">
        <f t="shared" ref="C98:E104" si="111">IF(B$96=0,0,B98/B$96)</f>
        <v>0</v>
      </c>
      <c r="D98" s="23">
        <f>SUMIFS('Registre de reserves'!$W$2:$W$1178,'Registre de reserves'!$T$2:$T$1178,"SI",'Registre de reserves'!$I$2:$I$1178,'2021'!$A98,'Registre de reserves'!$B$2:$B$1178,'2021'!D$2,Tabla1[ANY],'2021'!$Z$76)</f>
        <v>0</v>
      </c>
      <c r="E98" s="21">
        <f t="shared" si="111"/>
        <v>0</v>
      </c>
      <c r="F98" s="23">
        <f>SUMIFS('Registre de reserves'!$W$2:$W$1178,'Registre de reserves'!$T$2:$T$1178,"SI",'Registre de reserves'!$I$2:$I$1178,'2021'!$A98,'Registre de reserves'!$B$2:$B$1178,'2021'!F$2,Tabla1[ANY],'2021'!$Z$76)</f>
        <v>0</v>
      </c>
      <c r="G98" s="21">
        <f t="shared" si="100"/>
        <v>0</v>
      </c>
      <c r="H98" s="23">
        <f>SUMIFS('Registre de reserves'!$W$2:$W$1178,'Registre de reserves'!$T$2:$T$1178,"SI",'Registre de reserves'!$I$2:$I$1178,'2021'!$A98,'Registre de reserves'!$B$2:$B$1178,'2021'!H$2,Tabla1[ANY],'2021'!$Z$76)</f>
        <v>0</v>
      </c>
      <c r="I98" s="21">
        <f t="shared" si="101"/>
        <v>0</v>
      </c>
      <c r="J98" s="23">
        <f>SUMIFS('Registre de reserves'!$W$2:$W$1178,'Registre de reserves'!$T$2:$T$1178,"SI",'Registre de reserves'!$I$2:$I$1178,'2021'!$A98,'Registre de reserves'!$B$2:$B$1178,'2021'!J$2,Tabla1[ANY],'2021'!$Z$76)</f>
        <v>0</v>
      </c>
      <c r="K98" s="21">
        <f t="shared" si="102"/>
        <v>0</v>
      </c>
      <c r="L98" s="23">
        <f>SUMIFS('Registre de reserves'!$W$2:$W$1178,'Registre de reserves'!$T$2:$T$1178,"SI",'Registre de reserves'!$I$2:$I$1178,'2021'!$A98,'Registre de reserves'!$B$2:$B$1178,'2021'!L$2,Tabla1[ANY],'2021'!$Z$76)</f>
        <v>0</v>
      </c>
      <c r="M98" s="21">
        <f t="shared" si="103"/>
        <v>0</v>
      </c>
      <c r="N98" s="23">
        <f>SUMIFS('Registre de reserves'!$W$2:$W$1178,'Registre de reserves'!$T$2:$T$1178,"SI",'Registre de reserves'!$I$2:$I$1178,'2021'!$A98,'Registre de reserves'!$B$2:$B$1178,'2021'!N$2,Tabla1[ANY],'2021'!$Z$76)</f>
        <v>0</v>
      </c>
      <c r="O98" s="21">
        <f t="shared" si="104"/>
        <v>0</v>
      </c>
      <c r="P98" s="23">
        <f>SUMIFS('Registre de reserves'!$W$2:$W$1178,'Registre de reserves'!$T$2:$T$1178,"SI",'Registre de reserves'!$I$2:$I$1178,'2021'!$A98,'Registre de reserves'!$B$2:$B$1178,'2021'!P$2,Tabla1[ANY],'2021'!$Z$76)</f>
        <v>0</v>
      </c>
      <c r="Q98" s="21">
        <f t="shared" si="105"/>
        <v>0</v>
      </c>
      <c r="R98" s="23">
        <f>SUMIFS('Registre de reserves'!$W$2:$W$1178,'Registre de reserves'!$T$2:$T$1178,"SI",'Registre de reserves'!$I$2:$I$1178,'2021'!$A98,'Registre de reserves'!$B$2:$B$1178,'2021'!R$2,Tabla1[ANY],'2021'!$Z$76)</f>
        <v>0</v>
      </c>
      <c r="S98" s="21">
        <f t="shared" si="106"/>
        <v>0</v>
      </c>
      <c r="T98" s="23">
        <f>SUMIFS('Registre de reserves'!$W$2:$W$1178,'Registre de reserves'!$T$2:$T$1178,"SI",'Registre de reserves'!$I$2:$I$1178,'2021'!$A98,'Registre de reserves'!$B$2:$B$1178,'2021'!T$2,Tabla1[ANY],'2021'!$Z$76)</f>
        <v>0</v>
      </c>
      <c r="U98" s="21">
        <f t="shared" si="107"/>
        <v>0</v>
      </c>
      <c r="V98" s="23">
        <f>SUMIFS('Registre de reserves'!$W$2:$W$1178,'Registre de reserves'!$T$2:$T$1178,"SI",'Registre de reserves'!$I$2:$I$1178,'2021'!$A98,'Registre de reserves'!$B$2:$B$1178,'2021'!V$2,Tabla1[ANY],'2021'!$Z$76)</f>
        <v>0</v>
      </c>
      <c r="W98" s="21">
        <f t="shared" si="108"/>
        <v>0</v>
      </c>
      <c r="X98" s="23">
        <f>SUMIFS('Registre de reserves'!$W$2:$W$1178,'Registre de reserves'!$T$2:$T$1178,"SI",'Registre de reserves'!$I$2:$I$1178,'2021'!$A98,'Registre de reserves'!$B$2:$B$1178,'2021'!X$2,Tabla1[ANY],'2021'!$Z$76)</f>
        <v>0</v>
      </c>
      <c r="Y98" s="21">
        <f t="shared" si="109"/>
        <v>0</v>
      </c>
      <c r="Z98" s="20">
        <f t="shared" si="99"/>
        <v>0</v>
      </c>
      <c r="AA98" s="21">
        <f t="shared" si="110"/>
        <v>0</v>
      </c>
    </row>
    <row r="99" spans="1:27" hidden="1" outlineLevel="1" x14ac:dyDescent="0.2">
      <c r="A99" s="8" t="s">
        <v>4</v>
      </c>
      <c r="B99" s="23">
        <f>SUMIFS('Registre de reserves'!$W$2:$W$1178,'Registre de reserves'!$T$2:$T$1178,"SI",'Registre de reserves'!$I$2:$I$1178,'2021'!$A99,'Registre de reserves'!$B$2:$B$1178,'2021'!B$2,Tabla1[ANY],'2021'!$Z$76)</f>
        <v>0</v>
      </c>
      <c r="C99" s="21">
        <f>IF(B$96=0,0,B99/B$96)</f>
        <v>0</v>
      </c>
      <c r="D99" s="23">
        <f>SUMIFS('Registre de reserves'!$W$2:$W$1178,'Registre de reserves'!$T$2:$T$1178,"SI",'Registre de reserves'!$I$2:$I$1178,'2021'!$A99,'Registre de reserves'!$B$2:$B$1178,'2021'!D$2,Tabla1[ANY],'2021'!$Z$76)</f>
        <v>0</v>
      </c>
      <c r="E99" s="21">
        <f>IF(D$96=0,0,D99/D$96)</f>
        <v>0</v>
      </c>
      <c r="F99" s="23">
        <f>SUMIFS('Registre de reserves'!$W$2:$W$1178,'Registre de reserves'!$T$2:$T$1178,"SI",'Registre de reserves'!$I$2:$I$1178,'2021'!$A99,'Registre de reserves'!$B$2:$B$1178,'2021'!F$2,Tabla1[ANY],'2021'!$Z$76)</f>
        <v>0</v>
      </c>
      <c r="G99" s="21">
        <f t="shared" si="100"/>
        <v>0</v>
      </c>
      <c r="H99" s="23">
        <f>SUMIFS('Registre de reserves'!$W$2:$W$1178,'Registre de reserves'!$T$2:$T$1178,"SI",'Registre de reserves'!$I$2:$I$1178,'2021'!$A99,'Registre de reserves'!$B$2:$B$1178,'2021'!H$2,Tabla1[ANY],'2021'!$Z$76)</f>
        <v>0</v>
      </c>
      <c r="I99" s="21">
        <f t="shared" si="101"/>
        <v>0</v>
      </c>
      <c r="J99" s="23">
        <f>SUMIFS('Registre de reserves'!$W$2:$W$1178,'Registre de reserves'!$T$2:$T$1178,"SI",'Registre de reserves'!$I$2:$I$1178,'2021'!$A99,'Registre de reserves'!$B$2:$B$1178,'2021'!J$2,Tabla1[ANY],'2021'!$Z$76)</f>
        <v>0</v>
      </c>
      <c r="K99" s="21">
        <f t="shared" si="102"/>
        <v>0</v>
      </c>
      <c r="L99" s="23">
        <f>SUMIFS('Registre de reserves'!$W$2:$W$1178,'Registre de reserves'!$T$2:$T$1178,"SI",'Registre de reserves'!$I$2:$I$1178,'2021'!$A99,'Registre de reserves'!$B$2:$B$1178,'2021'!L$2,Tabla1[ANY],'2021'!$Z$76)</f>
        <v>0</v>
      </c>
      <c r="M99" s="21">
        <f t="shared" si="103"/>
        <v>0</v>
      </c>
      <c r="N99" s="23">
        <f>SUMIFS('Registre de reserves'!$W$2:$W$1178,'Registre de reserves'!$T$2:$T$1178,"SI",'Registre de reserves'!$I$2:$I$1178,'2021'!$A99,'Registre de reserves'!$B$2:$B$1178,'2021'!N$2,Tabla1[ANY],'2021'!$Z$76)</f>
        <v>0</v>
      </c>
      <c r="O99" s="21">
        <f t="shared" si="104"/>
        <v>0</v>
      </c>
      <c r="P99" s="23">
        <f>SUMIFS('Registre de reserves'!$W$2:$W$1178,'Registre de reserves'!$T$2:$T$1178,"SI",'Registre de reserves'!$I$2:$I$1178,'2021'!$A99,'Registre de reserves'!$B$2:$B$1178,'2021'!P$2,Tabla1[ANY],'2021'!$Z$76)</f>
        <v>0</v>
      </c>
      <c r="Q99" s="21">
        <f t="shared" si="105"/>
        <v>0</v>
      </c>
      <c r="R99" s="23">
        <f>SUMIFS('Registre de reserves'!$W$2:$W$1178,'Registre de reserves'!$T$2:$T$1178,"SI",'Registre de reserves'!$I$2:$I$1178,'2021'!$A99,'Registre de reserves'!$B$2:$B$1178,'2021'!R$2,Tabla1[ANY],'2021'!$Z$76)</f>
        <v>0</v>
      </c>
      <c r="S99" s="21">
        <f t="shared" si="106"/>
        <v>0</v>
      </c>
      <c r="T99" s="23">
        <f>SUMIFS('Registre de reserves'!$W$2:$W$1178,'Registre de reserves'!$T$2:$T$1178,"SI",'Registre de reserves'!$I$2:$I$1178,'2021'!$A99,'Registre de reserves'!$B$2:$B$1178,'2021'!T$2,Tabla1[ANY],'2021'!$Z$76)</f>
        <v>0</v>
      </c>
      <c r="U99" s="21">
        <f t="shared" si="107"/>
        <v>0</v>
      </c>
      <c r="V99" s="23">
        <f>SUMIFS('Registre de reserves'!$W$2:$W$1178,'Registre de reserves'!$T$2:$T$1178,"SI",'Registre de reserves'!$I$2:$I$1178,'2021'!$A99,'Registre de reserves'!$B$2:$B$1178,'2021'!V$2,Tabla1[ANY],'2021'!$Z$76)</f>
        <v>0</v>
      </c>
      <c r="W99" s="21">
        <f t="shared" si="108"/>
        <v>0</v>
      </c>
      <c r="X99" s="23">
        <f>SUMIFS('Registre de reserves'!$W$2:$W$1178,'Registre de reserves'!$T$2:$T$1178,"SI",'Registre de reserves'!$I$2:$I$1178,'2021'!$A99,'Registre de reserves'!$B$2:$B$1178,'2021'!X$2,Tabla1[ANY],'2021'!$Z$76)</f>
        <v>0</v>
      </c>
      <c r="Y99" s="21">
        <f t="shared" si="109"/>
        <v>0</v>
      </c>
      <c r="Z99" s="20">
        <f t="shared" si="99"/>
        <v>0</v>
      </c>
      <c r="AA99" s="21">
        <f t="shared" si="110"/>
        <v>0</v>
      </c>
    </row>
    <row r="100" spans="1:27" hidden="1" outlineLevel="1" x14ac:dyDescent="0.2">
      <c r="A100" s="8" t="s">
        <v>71</v>
      </c>
      <c r="B100" s="23">
        <f>SUMIFS('Registre de reserves'!$W$2:$W$1178,'Registre de reserves'!$T$2:$T$1178,"SI",'Registre de reserves'!$I$2:$I$1178,'2021'!$A100,'Registre de reserves'!$B$2:$B$1178,'2021'!B$2,Tabla1[ANY],'2021'!$Z$76)</f>
        <v>0</v>
      </c>
      <c r="C100" s="21">
        <f t="shared" si="111"/>
        <v>0</v>
      </c>
      <c r="D100" s="23">
        <f>SUMIFS('Registre de reserves'!$W$2:$W$1178,'Registre de reserves'!$T$2:$T$1178,"SI",'Registre de reserves'!$I$2:$I$1178,'2021'!$A100,'Registre de reserves'!$B$2:$B$1178,'2021'!D$2,Tabla1[ANY],'2021'!$Z$76)</f>
        <v>0</v>
      </c>
      <c r="E100" s="21">
        <f t="shared" si="111"/>
        <v>0</v>
      </c>
      <c r="F100" s="23">
        <f>SUMIFS('Registre de reserves'!$W$2:$W$1178,'Registre de reserves'!$T$2:$T$1178,"SI",'Registre de reserves'!$I$2:$I$1178,'2021'!$A100,'Registre de reserves'!$B$2:$B$1178,'2021'!F$2,Tabla1[ANY],'2021'!$Z$76)</f>
        <v>0</v>
      </c>
      <c r="G100" s="21">
        <f t="shared" si="100"/>
        <v>0</v>
      </c>
      <c r="H100" s="23">
        <f>SUMIFS('Registre de reserves'!$W$2:$W$1178,'Registre de reserves'!$T$2:$T$1178,"SI",'Registre de reserves'!$I$2:$I$1178,'2021'!$A100,'Registre de reserves'!$B$2:$B$1178,'2021'!H$2,Tabla1[ANY],'2021'!$Z$76)</f>
        <v>0</v>
      </c>
      <c r="I100" s="21">
        <f t="shared" si="101"/>
        <v>0</v>
      </c>
      <c r="J100" s="23">
        <f>SUMIFS('Registre de reserves'!$W$2:$W$1178,'Registre de reserves'!$T$2:$T$1178,"SI",'Registre de reserves'!$I$2:$I$1178,'2021'!$A100,'Registre de reserves'!$B$2:$B$1178,'2021'!J$2,Tabla1[ANY],'2021'!$Z$76)</f>
        <v>0</v>
      </c>
      <c r="K100" s="21">
        <f t="shared" si="102"/>
        <v>0</v>
      </c>
      <c r="L100" s="23">
        <f>SUMIFS('Registre de reserves'!$W$2:$W$1178,'Registre de reserves'!$T$2:$T$1178,"SI",'Registre de reserves'!$I$2:$I$1178,'2021'!$A100,'Registre de reserves'!$B$2:$B$1178,'2021'!L$2,Tabla1[ANY],'2021'!$Z$76)</f>
        <v>0</v>
      </c>
      <c r="M100" s="21">
        <f t="shared" si="103"/>
        <v>0</v>
      </c>
      <c r="N100" s="23">
        <f>SUMIFS('Registre de reserves'!$W$2:$W$1178,'Registre de reserves'!$T$2:$T$1178,"SI",'Registre de reserves'!$I$2:$I$1178,'2021'!$A100,'Registre de reserves'!$B$2:$B$1178,'2021'!N$2,Tabla1[ANY],'2021'!$Z$76)</f>
        <v>0</v>
      </c>
      <c r="O100" s="21">
        <f t="shared" si="104"/>
        <v>0</v>
      </c>
      <c r="P100" s="23">
        <f>SUMIFS('Registre de reserves'!$W$2:$W$1178,'Registre de reserves'!$T$2:$T$1178,"SI",'Registre de reserves'!$I$2:$I$1178,'2021'!$A100,'Registre de reserves'!$B$2:$B$1178,'2021'!P$2,Tabla1[ANY],'2021'!$Z$76)</f>
        <v>0</v>
      </c>
      <c r="Q100" s="21">
        <f t="shared" si="105"/>
        <v>0</v>
      </c>
      <c r="R100" s="23">
        <f>SUMIFS('Registre de reserves'!$W$2:$W$1178,'Registre de reserves'!$T$2:$T$1178,"SI",'Registre de reserves'!$I$2:$I$1178,'2021'!$A100,'Registre de reserves'!$B$2:$B$1178,'2021'!R$2,Tabla1[ANY],'2021'!$Z$76)</f>
        <v>0</v>
      </c>
      <c r="S100" s="21">
        <f t="shared" si="106"/>
        <v>0</v>
      </c>
      <c r="T100" s="23">
        <f>SUMIFS('Registre de reserves'!$W$2:$W$1178,'Registre de reserves'!$T$2:$T$1178,"SI",'Registre de reserves'!$I$2:$I$1178,'2021'!$A100,'Registre de reserves'!$B$2:$B$1178,'2021'!T$2,Tabla1[ANY],'2021'!$Z$76)</f>
        <v>0</v>
      </c>
      <c r="U100" s="21">
        <f t="shared" si="107"/>
        <v>0</v>
      </c>
      <c r="V100" s="23">
        <f>SUMIFS('Registre de reserves'!$W$2:$W$1178,'Registre de reserves'!$T$2:$T$1178,"SI",'Registre de reserves'!$I$2:$I$1178,'2021'!$A100,'Registre de reserves'!$B$2:$B$1178,'2021'!V$2,Tabla1[ANY],'2021'!$Z$76)</f>
        <v>0</v>
      </c>
      <c r="W100" s="21">
        <f t="shared" si="108"/>
        <v>0</v>
      </c>
      <c r="X100" s="23">
        <f>SUMIFS('Registre de reserves'!$W$2:$W$1178,'Registre de reserves'!$T$2:$T$1178,"SI",'Registre de reserves'!$I$2:$I$1178,'2021'!$A100,'Registre de reserves'!$B$2:$B$1178,'2021'!X$2,Tabla1[ANY],'2021'!$Z$76)</f>
        <v>20</v>
      </c>
      <c r="Y100" s="21">
        <f t="shared" si="109"/>
        <v>0.16666666666666666</v>
      </c>
      <c r="Z100" s="20">
        <f t="shared" si="99"/>
        <v>20</v>
      </c>
      <c r="AA100" s="21">
        <f t="shared" si="110"/>
        <v>9.0909090909090912E-2</v>
      </c>
    </row>
    <row r="101" spans="1:27" hidden="1" outlineLevel="1" x14ac:dyDescent="0.2">
      <c r="A101" s="8" t="s">
        <v>72</v>
      </c>
      <c r="B101" s="23">
        <f>SUMIFS('Registre de reserves'!$W$2:$W$1178,'Registre de reserves'!$T$2:$T$1178,"SI",'Registre de reserves'!$I$2:$I$1178,'2021'!$A101,'Registre de reserves'!$B$2:$B$1178,'2021'!B$2,Tabla1[ANY],'2021'!$Z$76)</f>
        <v>0</v>
      </c>
      <c r="C101" s="21">
        <f t="shared" si="111"/>
        <v>0</v>
      </c>
      <c r="D101" s="23">
        <f>SUMIFS('Registre de reserves'!$W$2:$W$1178,'Registre de reserves'!$T$2:$T$1178,"SI",'Registre de reserves'!$I$2:$I$1178,'2021'!$A101,'Registre de reserves'!$B$2:$B$1178,'2021'!D$2,Tabla1[ANY],'2021'!$Z$76)</f>
        <v>0</v>
      </c>
      <c r="E101" s="21">
        <f t="shared" si="111"/>
        <v>0</v>
      </c>
      <c r="F101" s="23">
        <f>SUMIFS('Registre de reserves'!$W$2:$W$1178,'Registre de reserves'!$T$2:$T$1178,"SI",'Registre de reserves'!$I$2:$I$1178,'2021'!$A101,'Registre de reserves'!$B$2:$B$1178,'2021'!F$2,Tabla1[ANY],'2021'!$Z$76)</f>
        <v>0</v>
      </c>
      <c r="G101" s="21">
        <f t="shared" si="100"/>
        <v>0</v>
      </c>
      <c r="H101" s="23">
        <f>SUMIFS('Registre de reserves'!$W$2:$W$1178,'Registre de reserves'!$T$2:$T$1178,"SI",'Registre de reserves'!$I$2:$I$1178,'2021'!$A101,'Registre de reserves'!$B$2:$B$1178,'2021'!H$2,Tabla1[ANY],'2021'!$Z$76)</f>
        <v>0</v>
      </c>
      <c r="I101" s="21">
        <f t="shared" si="101"/>
        <v>0</v>
      </c>
      <c r="J101" s="23">
        <f>SUMIFS('Registre de reserves'!$W$2:$W$1178,'Registre de reserves'!$T$2:$T$1178,"SI",'Registre de reserves'!$I$2:$I$1178,'2021'!$A101,'Registre de reserves'!$B$2:$B$1178,'2021'!J$2,Tabla1[ANY],'2021'!$Z$76)</f>
        <v>0</v>
      </c>
      <c r="K101" s="21">
        <f t="shared" si="102"/>
        <v>0</v>
      </c>
      <c r="L101" s="23">
        <f>SUMIFS('Registre de reserves'!$W$2:$W$1178,'Registre de reserves'!$T$2:$T$1178,"SI",'Registre de reserves'!$I$2:$I$1178,'2021'!$A101,'Registre de reserves'!$B$2:$B$1178,'2021'!L$2,Tabla1[ANY],'2021'!$Z$76)</f>
        <v>0</v>
      </c>
      <c r="M101" s="21">
        <f t="shared" si="103"/>
        <v>0</v>
      </c>
      <c r="N101" s="23">
        <f>SUMIFS('Registre de reserves'!$W$2:$W$1178,'Registre de reserves'!$T$2:$T$1178,"SI",'Registre de reserves'!$I$2:$I$1178,'2021'!$A101,'Registre de reserves'!$B$2:$B$1178,'2021'!N$2,Tabla1[ANY],'2021'!$Z$76)</f>
        <v>0</v>
      </c>
      <c r="O101" s="21">
        <f t="shared" si="104"/>
        <v>0</v>
      </c>
      <c r="P101" s="23">
        <f>SUMIFS('Registre de reserves'!$W$2:$W$1178,'Registre de reserves'!$T$2:$T$1178,"SI",'Registre de reserves'!$I$2:$I$1178,'2021'!$A101,'Registre de reserves'!$B$2:$B$1178,'2021'!P$2,Tabla1[ANY],'2021'!$Z$76)</f>
        <v>0</v>
      </c>
      <c r="Q101" s="21">
        <f t="shared" si="105"/>
        <v>0</v>
      </c>
      <c r="R101" s="23">
        <f>SUMIFS('Registre de reserves'!$W$2:$W$1178,'Registre de reserves'!$T$2:$T$1178,"SI",'Registre de reserves'!$I$2:$I$1178,'2021'!$A101,'Registre de reserves'!$B$2:$B$1178,'2021'!R$2,Tabla1[ANY],'2021'!$Z$76)</f>
        <v>0</v>
      </c>
      <c r="S101" s="21">
        <f t="shared" si="106"/>
        <v>0</v>
      </c>
      <c r="T101" s="23">
        <f>SUMIFS('Registre de reserves'!$W$2:$W$1178,'Registre de reserves'!$T$2:$T$1178,"SI",'Registre de reserves'!$I$2:$I$1178,'2021'!$A101,'Registre de reserves'!$B$2:$B$1178,'2021'!T$2,Tabla1[ANY],'2021'!$Z$76)</f>
        <v>0</v>
      </c>
      <c r="U101" s="21">
        <f t="shared" si="107"/>
        <v>0</v>
      </c>
      <c r="V101" s="23">
        <f>SUMIFS('Registre de reserves'!$W$2:$W$1178,'Registre de reserves'!$T$2:$T$1178,"SI",'Registre de reserves'!$I$2:$I$1178,'2021'!$A101,'Registre de reserves'!$B$2:$B$1178,'2021'!V$2,Tabla1[ANY],'2021'!$Z$76)</f>
        <v>0</v>
      </c>
      <c r="W101" s="21">
        <f t="shared" si="108"/>
        <v>0</v>
      </c>
      <c r="X101" s="23">
        <f>SUMIFS('Registre de reserves'!$W$2:$W$1178,'Registre de reserves'!$T$2:$T$1178,"SI",'Registre de reserves'!$I$2:$I$1178,'2021'!$A101,'Registre de reserves'!$B$2:$B$1178,'2021'!X$2,Tabla1[ANY],'2021'!$Z$76)</f>
        <v>0</v>
      </c>
      <c r="Y101" s="21">
        <f t="shared" si="109"/>
        <v>0</v>
      </c>
      <c r="Z101" s="20">
        <f t="shared" si="99"/>
        <v>0</v>
      </c>
      <c r="AA101" s="21">
        <f t="shared" si="110"/>
        <v>0</v>
      </c>
    </row>
    <row r="102" spans="1:27" hidden="1" outlineLevel="1" x14ac:dyDescent="0.2">
      <c r="A102" s="8" t="s">
        <v>69</v>
      </c>
      <c r="B102" s="23">
        <f>SUMIFS('Registre de reserves'!$W$2:$W$1178,'Registre de reserves'!$T$2:$T$1178,"SI",'Registre de reserves'!$I$2:$I$1178,'2021'!$A102,'Registre de reserves'!$B$2:$B$1178,'2021'!B$2,Tabla1[ANY],'2021'!$Z$76)</f>
        <v>0</v>
      </c>
      <c r="C102" s="21">
        <f t="shared" si="111"/>
        <v>0</v>
      </c>
      <c r="D102" s="23">
        <f>SUMIFS('Registre de reserves'!$W$2:$W$1178,'Registre de reserves'!$T$2:$T$1178,"SI",'Registre de reserves'!$I$2:$I$1178,'2021'!$A102,'Registre de reserves'!$B$2:$B$1178,'2021'!D$2,Tabla1[ANY],'2021'!$Z$76)</f>
        <v>0</v>
      </c>
      <c r="E102" s="21">
        <f t="shared" si="111"/>
        <v>0</v>
      </c>
      <c r="F102" s="23">
        <f>SUMIFS('Registre de reserves'!$W$2:$W$1178,'Registre de reserves'!$T$2:$T$1178,"SI",'Registre de reserves'!$I$2:$I$1178,'2021'!$A102,'Registre de reserves'!$B$2:$B$1178,'2021'!F$2,Tabla1[ANY],'2021'!$Z$76)</f>
        <v>0</v>
      </c>
      <c r="G102" s="21">
        <f t="shared" si="100"/>
        <v>0</v>
      </c>
      <c r="H102" s="23">
        <f>SUMIFS('Registre de reserves'!$W$2:$W$1178,'Registre de reserves'!$T$2:$T$1178,"SI",'Registre de reserves'!$I$2:$I$1178,'2021'!$A102,'Registre de reserves'!$B$2:$B$1178,'2021'!H$2,Tabla1[ANY],'2021'!$Z$76)</f>
        <v>0</v>
      </c>
      <c r="I102" s="21">
        <f t="shared" si="101"/>
        <v>0</v>
      </c>
      <c r="J102" s="23">
        <f>SUMIFS('Registre de reserves'!$W$2:$W$1178,'Registre de reserves'!$T$2:$T$1178,"SI",'Registre de reserves'!$I$2:$I$1178,'2021'!$A102,'Registre de reserves'!$B$2:$B$1178,'2021'!J$2,Tabla1[ANY],'2021'!$Z$76)</f>
        <v>0</v>
      </c>
      <c r="K102" s="21">
        <f t="shared" si="102"/>
        <v>0</v>
      </c>
      <c r="L102" s="23">
        <f>SUMIFS('Registre de reserves'!$W$2:$W$1178,'Registre de reserves'!$T$2:$T$1178,"SI",'Registre de reserves'!$I$2:$I$1178,'2021'!$A102,'Registre de reserves'!$B$2:$B$1178,'2021'!L$2,Tabla1[ANY],'2021'!$Z$76)</f>
        <v>0</v>
      </c>
      <c r="M102" s="21">
        <f t="shared" si="103"/>
        <v>0</v>
      </c>
      <c r="N102" s="23">
        <f>SUMIFS('Registre de reserves'!$W$2:$W$1178,'Registre de reserves'!$T$2:$T$1178,"SI",'Registre de reserves'!$I$2:$I$1178,'2021'!$A102,'Registre de reserves'!$B$2:$B$1178,'2021'!N$2,Tabla1[ANY],'2021'!$Z$76)</f>
        <v>0</v>
      </c>
      <c r="O102" s="21">
        <f t="shared" si="104"/>
        <v>0</v>
      </c>
      <c r="P102" s="23">
        <f>SUMIFS('Registre de reserves'!$W$2:$W$1178,'Registre de reserves'!$T$2:$T$1178,"SI",'Registre de reserves'!$I$2:$I$1178,'2021'!$A102,'Registre de reserves'!$B$2:$B$1178,'2021'!P$2,Tabla1[ANY],'2021'!$Z$76)</f>
        <v>0</v>
      </c>
      <c r="Q102" s="21">
        <f t="shared" si="105"/>
        <v>0</v>
      </c>
      <c r="R102" s="23">
        <f>SUMIFS('Registre de reserves'!$W$2:$W$1178,'Registre de reserves'!$T$2:$T$1178,"SI",'Registre de reserves'!$I$2:$I$1178,'2021'!$A102,'Registre de reserves'!$B$2:$B$1178,'2021'!R$2,Tabla1[ANY],'2021'!$Z$76)</f>
        <v>0</v>
      </c>
      <c r="S102" s="21">
        <f t="shared" si="106"/>
        <v>0</v>
      </c>
      <c r="T102" s="23">
        <f>SUMIFS('Registre de reserves'!$W$2:$W$1178,'Registre de reserves'!$T$2:$T$1178,"SI",'Registre de reserves'!$I$2:$I$1178,'2021'!$A102,'Registre de reserves'!$B$2:$B$1178,'2021'!T$2,Tabla1[ANY],'2021'!$Z$76)</f>
        <v>0</v>
      </c>
      <c r="U102" s="21">
        <f t="shared" si="107"/>
        <v>0</v>
      </c>
      <c r="V102" s="23">
        <f>SUMIFS('Registre de reserves'!$W$2:$W$1178,'Registre de reserves'!$T$2:$T$1178,"SI",'Registre de reserves'!$I$2:$I$1178,'2021'!$A102,'Registre de reserves'!$B$2:$B$1178,'2021'!V$2,Tabla1[ANY],'2021'!$Z$76)</f>
        <v>100</v>
      </c>
      <c r="W102" s="21">
        <f t="shared" si="108"/>
        <v>1</v>
      </c>
      <c r="X102" s="23">
        <f>SUMIFS('Registre de reserves'!$W$2:$W$1178,'Registre de reserves'!$T$2:$T$1178,"SI",'Registre de reserves'!$I$2:$I$1178,'2021'!$A102,'Registre de reserves'!$B$2:$B$1178,'2021'!X$2,Tabla1[ANY],'2021'!$Z$76)</f>
        <v>100</v>
      </c>
      <c r="Y102" s="21">
        <f t="shared" si="109"/>
        <v>0.83333333333333337</v>
      </c>
      <c r="Z102" s="20">
        <f t="shared" si="99"/>
        <v>200</v>
      </c>
      <c r="AA102" s="21">
        <f t="shared" si="110"/>
        <v>0.90909090909090906</v>
      </c>
    </row>
    <row r="103" spans="1:27" hidden="1" outlineLevel="1" x14ac:dyDescent="0.2">
      <c r="A103" s="8" t="s">
        <v>70</v>
      </c>
      <c r="B103" s="23">
        <f>SUMIFS('Registre de reserves'!$W$2:$W$1178,'Registre de reserves'!$T$2:$T$1178,"SI",'Registre de reserves'!$I$2:$I$1178,'2021'!$A103,'Registre de reserves'!$B$2:$B$1178,'2021'!B$2,Tabla1[ANY],'2021'!$Z$76)</f>
        <v>0</v>
      </c>
      <c r="C103" s="21">
        <f t="shared" si="111"/>
        <v>0</v>
      </c>
      <c r="D103" s="23">
        <f>SUMIFS('Registre de reserves'!$W$2:$W$1178,'Registre de reserves'!$T$2:$T$1178,"SI",'Registre de reserves'!$I$2:$I$1178,'2021'!$A103,'Registre de reserves'!$B$2:$B$1178,'2021'!D$2,Tabla1[ANY],'2021'!$Z$76)</f>
        <v>0</v>
      </c>
      <c r="E103" s="21">
        <f t="shared" si="111"/>
        <v>0</v>
      </c>
      <c r="F103" s="23">
        <f>SUMIFS('Registre de reserves'!$W$2:$W$1178,'Registre de reserves'!$T$2:$T$1178,"SI",'Registre de reserves'!$I$2:$I$1178,'2021'!$A103,'Registre de reserves'!$B$2:$B$1178,'2021'!F$2,Tabla1[ANY],'2021'!$Z$76)</f>
        <v>0</v>
      </c>
      <c r="G103" s="21">
        <f t="shared" si="100"/>
        <v>0</v>
      </c>
      <c r="H103" s="23">
        <f>SUMIFS('Registre de reserves'!$W$2:$W$1178,'Registre de reserves'!$T$2:$T$1178,"SI",'Registre de reserves'!$I$2:$I$1178,'2021'!$A103,'Registre de reserves'!$B$2:$B$1178,'2021'!H$2,Tabla1[ANY],'2021'!$Z$76)</f>
        <v>0</v>
      </c>
      <c r="I103" s="21">
        <f t="shared" si="101"/>
        <v>0</v>
      </c>
      <c r="J103" s="23">
        <f>SUMIFS('Registre de reserves'!$W$2:$W$1178,'Registre de reserves'!$T$2:$T$1178,"SI",'Registre de reserves'!$I$2:$I$1178,'2021'!$A103,'Registre de reserves'!$B$2:$B$1178,'2021'!J$2,Tabla1[ANY],'2021'!$Z$76)</f>
        <v>0</v>
      </c>
      <c r="K103" s="21">
        <f t="shared" si="102"/>
        <v>0</v>
      </c>
      <c r="L103" s="23">
        <f>SUMIFS('Registre de reserves'!$W$2:$W$1178,'Registre de reserves'!$T$2:$T$1178,"SI",'Registre de reserves'!$I$2:$I$1178,'2021'!$A103,'Registre de reserves'!$B$2:$B$1178,'2021'!L$2,Tabla1[ANY],'2021'!$Z$76)</f>
        <v>0</v>
      </c>
      <c r="M103" s="21">
        <f t="shared" si="103"/>
        <v>0</v>
      </c>
      <c r="N103" s="23">
        <f>SUMIFS('Registre de reserves'!$W$2:$W$1178,'Registre de reserves'!$T$2:$T$1178,"SI",'Registre de reserves'!$I$2:$I$1178,'2021'!$A103,'Registre de reserves'!$B$2:$B$1178,'2021'!N$2,Tabla1[ANY],'2021'!$Z$76)</f>
        <v>0</v>
      </c>
      <c r="O103" s="21">
        <f t="shared" si="104"/>
        <v>0</v>
      </c>
      <c r="P103" s="23">
        <f>SUMIFS('Registre de reserves'!$W$2:$W$1178,'Registre de reserves'!$T$2:$T$1178,"SI",'Registre de reserves'!$I$2:$I$1178,'2021'!$A103,'Registre de reserves'!$B$2:$B$1178,'2021'!P$2,Tabla1[ANY],'2021'!$Z$76)</f>
        <v>0</v>
      </c>
      <c r="Q103" s="21">
        <f t="shared" si="105"/>
        <v>0</v>
      </c>
      <c r="R103" s="23">
        <f>SUMIFS('Registre de reserves'!$W$2:$W$1178,'Registre de reserves'!$T$2:$T$1178,"SI",'Registre de reserves'!$I$2:$I$1178,'2021'!$A103,'Registre de reserves'!$B$2:$B$1178,'2021'!R$2,Tabla1[ANY],'2021'!$Z$76)</f>
        <v>0</v>
      </c>
      <c r="S103" s="21">
        <f t="shared" si="106"/>
        <v>0</v>
      </c>
      <c r="T103" s="23">
        <f>SUMIFS('Registre de reserves'!$W$2:$W$1178,'Registre de reserves'!$T$2:$T$1178,"SI",'Registre de reserves'!$I$2:$I$1178,'2021'!$A103,'Registre de reserves'!$B$2:$B$1178,'2021'!T$2,Tabla1[ANY],'2021'!$Z$76)</f>
        <v>0</v>
      </c>
      <c r="U103" s="21">
        <f t="shared" si="107"/>
        <v>0</v>
      </c>
      <c r="V103" s="23">
        <f>SUMIFS('Registre de reserves'!$W$2:$W$1178,'Registre de reserves'!$T$2:$T$1178,"SI",'Registre de reserves'!$I$2:$I$1178,'2021'!$A103,'Registre de reserves'!$B$2:$B$1178,'2021'!V$2,Tabla1[ANY],'2021'!$Z$76)</f>
        <v>0</v>
      </c>
      <c r="W103" s="21">
        <f t="shared" si="108"/>
        <v>0</v>
      </c>
      <c r="X103" s="23">
        <f>SUMIFS('Registre de reserves'!$W$2:$W$1178,'Registre de reserves'!$T$2:$T$1178,"SI",'Registre de reserves'!$I$2:$I$1178,'2021'!$A103,'Registre de reserves'!$B$2:$B$1178,'2021'!X$2,Tabla1[ANY],'2021'!$Z$76)</f>
        <v>0</v>
      </c>
      <c r="Y103" s="21">
        <f t="shared" si="109"/>
        <v>0</v>
      </c>
      <c r="Z103" s="20">
        <f t="shared" si="99"/>
        <v>0</v>
      </c>
      <c r="AA103" s="21">
        <f t="shared" si="110"/>
        <v>0</v>
      </c>
    </row>
    <row r="104" spans="1:27" hidden="1" outlineLevel="1" x14ac:dyDescent="0.2">
      <c r="A104" s="8" t="s">
        <v>73</v>
      </c>
      <c r="B104" s="23">
        <f>SUMIFS('Registre de reserves'!$W$2:$W$1178,'Registre de reserves'!$T$2:$T$1178,"SI",'Registre de reserves'!$I$2:$I$1178,'2021'!$A104,'Registre de reserves'!$B$2:$B$1178,'2021'!B$2,Tabla1[ANY],'2021'!$Z$76)</f>
        <v>0</v>
      </c>
      <c r="C104" s="21">
        <f t="shared" si="111"/>
        <v>0</v>
      </c>
      <c r="D104" s="23">
        <f>SUMIFS('Registre de reserves'!$W$2:$W$1178,'Registre de reserves'!$T$2:$T$1178,"SI",'Registre de reserves'!$I$2:$I$1178,'2021'!$A104,'Registre de reserves'!$B$2:$B$1178,'2021'!D$2,Tabla1[ANY],'2021'!$Z$76)</f>
        <v>0</v>
      </c>
      <c r="E104" s="21">
        <f t="shared" si="111"/>
        <v>0</v>
      </c>
      <c r="F104" s="23">
        <f>SUMIFS('Registre de reserves'!$W$2:$W$1178,'Registre de reserves'!$T$2:$T$1178,"SI",'Registre de reserves'!$I$2:$I$1178,'2021'!$A104,'Registre de reserves'!$B$2:$B$1178,'2021'!F$2,Tabla1[ANY],'2021'!$Z$76)</f>
        <v>0</v>
      </c>
      <c r="G104" s="21">
        <f t="shared" si="100"/>
        <v>0</v>
      </c>
      <c r="H104" s="23">
        <f>SUMIFS('Registre de reserves'!$W$2:$W$1178,'Registre de reserves'!$T$2:$T$1178,"SI",'Registre de reserves'!$I$2:$I$1178,'2021'!$A104,'Registre de reserves'!$B$2:$B$1178,'2021'!H$2,Tabla1[ANY],'2021'!$Z$76)</f>
        <v>0</v>
      </c>
      <c r="I104" s="21">
        <f t="shared" si="101"/>
        <v>0</v>
      </c>
      <c r="J104" s="23">
        <f>SUMIFS('Registre de reserves'!$W$2:$W$1178,'Registre de reserves'!$T$2:$T$1178,"SI",'Registre de reserves'!$I$2:$I$1178,'2021'!$A104,'Registre de reserves'!$B$2:$B$1178,'2021'!J$2,Tabla1[ANY],'2021'!$Z$76)</f>
        <v>0</v>
      </c>
      <c r="K104" s="21">
        <f t="shared" si="102"/>
        <v>0</v>
      </c>
      <c r="L104" s="23">
        <f>SUMIFS('Registre de reserves'!$W$2:$W$1178,'Registre de reserves'!$T$2:$T$1178,"SI",'Registre de reserves'!$I$2:$I$1178,'2021'!$A104,'Registre de reserves'!$B$2:$B$1178,'2021'!L$2,Tabla1[ANY],'2021'!$Z$76)</f>
        <v>0</v>
      </c>
      <c r="M104" s="21">
        <f t="shared" si="103"/>
        <v>0</v>
      </c>
      <c r="N104" s="23">
        <f>SUMIFS('Registre de reserves'!$W$2:$W$1178,'Registre de reserves'!$T$2:$T$1178,"SI",'Registre de reserves'!$I$2:$I$1178,'2021'!$A104,'Registre de reserves'!$B$2:$B$1178,'2021'!N$2,Tabla1[ANY],'2021'!$Z$76)</f>
        <v>0</v>
      </c>
      <c r="O104" s="21">
        <f t="shared" si="104"/>
        <v>0</v>
      </c>
      <c r="P104" s="23">
        <f>SUMIFS('Registre de reserves'!$W$2:$W$1178,'Registre de reserves'!$T$2:$T$1178,"SI",'Registre de reserves'!$I$2:$I$1178,'2021'!$A104,'Registre de reserves'!$B$2:$B$1178,'2021'!P$2,Tabla1[ANY],'2021'!$Z$76)</f>
        <v>0</v>
      </c>
      <c r="Q104" s="21">
        <f t="shared" si="105"/>
        <v>0</v>
      </c>
      <c r="R104" s="23">
        <f>SUMIFS('Registre de reserves'!$W$2:$W$1178,'Registre de reserves'!$T$2:$T$1178,"SI",'Registre de reserves'!$I$2:$I$1178,'2021'!$A104,'Registre de reserves'!$B$2:$B$1178,'2021'!R$2,Tabla1[ANY],'2021'!$Z$76)</f>
        <v>0</v>
      </c>
      <c r="S104" s="21">
        <f t="shared" si="106"/>
        <v>0</v>
      </c>
      <c r="T104" s="23">
        <f>SUMIFS('Registre de reserves'!$W$2:$W$1178,'Registre de reserves'!$T$2:$T$1178,"SI",'Registre de reserves'!$I$2:$I$1178,'2021'!$A104,'Registre de reserves'!$B$2:$B$1178,'2021'!T$2,Tabla1[ANY],'2021'!$Z$76)</f>
        <v>0</v>
      </c>
      <c r="U104" s="21">
        <f t="shared" si="107"/>
        <v>0</v>
      </c>
      <c r="V104" s="23">
        <f>SUMIFS('Registre de reserves'!$W$2:$W$1178,'Registre de reserves'!$T$2:$T$1178,"SI",'Registre de reserves'!$I$2:$I$1178,'2021'!$A104,'Registre de reserves'!$B$2:$B$1178,'2021'!V$2,Tabla1[ANY],'2021'!$Z$76)</f>
        <v>0</v>
      </c>
      <c r="W104" s="21">
        <f t="shared" si="108"/>
        <v>0</v>
      </c>
      <c r="X104" s="23">
        <f>SUMIFS('Registre de reserves'!$W$2:$W$1178,'Registre de reserves'!$T$2:$T$1178,"SI",'Registre de reserves'!$I$2:$I$1178,'2021'!$A104,'Registre de reserves'!$B$2:$B$1178,'2021'!X$2,Tabla1[ANY],'2021'!$Z$76)</f>
        <v>0</v>
      </c>
      <c r="Y104" s="21">
        <f t="shared" si="109"/>
        <v>0</v>
      </c>
      <c r="Z104" s="20">
        <f t="shared" si="99"/>
        <v>0</v>
      </c>
      <c r="AA104" s="21">
        <f t="shared" si="110"/>
        <v>0</v>
      </c>
    </row>
    <row r="105" spans="1:27" collapsed="1" x14ac:dyDescent="0.2">
      <c r="A105" s="33" t="s">
        <v>77</v>
      </c>
      <c r="B105" s="22">
        <f>SUM(B106:B113)</f>
        <v>0</v>
      </c>
      <c r="C105" s="19">
        <f>IF((B$87+B$105)=0,0,B105/(B$87+B$105))</f>
        <v>0</v>
      </c>
      <c r="D105" s="22">
        <f>SUM(D106:D113)</f>
        <v>0</v>
      </c>
      <c r="E105" s="19">
        <f>IF((D$87+D$105)=0,0,D105/(D$87+D$105))</f>
        <v>0</v>
      </c>
      <c r="F105" s="22">
        <f>SUM(F106:F113)</f>
        <v>0</v>
      </c>
      <c r="G105" s="19">
        <f>IF((F$87+F$105)=0,0,F105/(F$87+F$105))</f>
        <v>0</v>
      </c>
      <c r="H105" s="22">
        <f>SUM(H106:H113)</f>
        <v>0</v>
      </c>
      <c r="I105" s="19">
        <f>IF((H$87+H$105)=0,0,H105/(H$87+H$105))</f>
        <v>0</v>
      </c>
      <c r="J105" s="22">
        <f>SUM(J106:J113)</f>
        <v>0</v>
      </c>
      <c r="K105" s="19">
        <f>IF((J$87+J$105)=0,0,J105/(J$87+J$105))</f>
        <v>0</v>
      </c>
      <c r="L105" s="22">
        <f>SUM(L106:L113)</f>
        <v>0</v>
      </c>
      <c r="M105" s="19">
        <f>IF((L$87+L$105)=0,0,L105/(L$87+L$105))</f>
        <v>0</v>
      </c>
      <c r="N105" s="22">
        <f>SUM(N106:N113)</f>
        <v>0</v>
      </c>
      <c r="O105" s="19">
        <f>IF((N$87+N$105)=0,0,N105/(N$87+N$105))</f>
        <v>0</v>
      </c>
      <c r="P105" s="22">
        <f>SUM(P106:P113)</f>
        <v>0</v>
      </c>
      <c r="Q105" s="19">
        <f>IF((P$87+P$105)=0,0,P105/(P$87+P$105))</f>
        <v>0</v>
      </c>
      <c r="R105" s="22">
        <f>SUM(R106:R113)</f>
        <v>0</v>
      </c>
      <c r="S105" s="19">
        <f>IF((R$87+R$105)=0,0,R105/(R$87+R$105))</f>
        <v>0</v>
      </c>
      <c r="T105" s="22">
        <f>SUM(T106:T113)</f>
        <v>0</v>
      </c>
      <c r="U105" s="19">
        <f>IF((T$87+T$105)=0,0,T105/(T$87+T$105))</f>
        <v>0</v>
      </c>
      <c r="V105" s="22">
        <f>SUM(V106:V113)</f>
        <v>0</v>
      </c>
      <c r="W105" s="19">
        <f>IF((V$87+V$105)=0,0,V105/(V$87+V$105))</f>
        <v>0</v>
      </c>
      <c r="X105" s="22">
        <f>SUM(X106:X113)</f>
        <v>0</v>
      </c>
      <c r="Y105" s="19">
        <f>IF((X$87+X$105)=0,0,X105/(X$87+X$105))</f>
        <v>0</v>
      </c>
      <c r="Z105" s="22">
        <f>SUM(Z106:Z113)</f>
        <v>0</v>
      </c>
      <c r="AA105" s="19">
        <f>IF((Z$87+Z$105)=0,0,Z105/(Z$87+Z$105))</f>
        <v>0</v>
      </c>
    </row>
    <row r="106" spans="1:27" hidden="1" outlineLevel="1" x14ac:dyDescent="0.2">
      <c r="A106" s="8" t="s">
        <v>67</v>
      </c>
      <c r="B106" s="23">
        <f>SUMIFS('Registre de reserves'!$W$2:$W$1178,'Registre de reserves'!$T$2:$T$1178,"NO",'Registre de reserves'!$I$2:$I$1178,'2021'!$A106,'Registre de reserves'!$B$2:$B$1178,'2021'!B$2,Tabla1[ANY],'2021'!$Z$76)</f>
        <v>0</v>
      </c>
      <c r="C106" s="21">
        <f>IF(B$105=0,0,B106/B$105)</f>
        <v>0</v>
      </c>
      <c r="D106" s="23">
        <f>SUMIFS('Registre de reserves'!$W$2:$W$1178,'Registre de reserves'!$T$2:$T$1178,"NO",'Registre de reserves'!$I$2:$I$1178,'2021'!$A106,'Registre de reserves'!$B$2:$B$1178,'2021'!D$2,Tabla1[ANY],'2021'!$Z$76)</f>
        <v>0</v>
      </c>
      <c r="E106" s="21">
        <f>IF(D$105=0,0,D106/D$105)</f>
        <v>0</v>
      </c>
      <c r="F106" s="23">
        <f>SUMIFS('Registre de reserves'!$W$2:$W$1178,'Registre de reserves'!$T$2:$T$1178,"NO",'Registre de reserves'!$I$2:$I$1178,'2021'!$A106,'Registre de reserves'!$B$2:$B$1178,'2021'!F$2,Tabla1[ANY],'2021'!$Z$76)</f>
        <v>0</v>
      </c>
      <c r="G106" s="21">
        <f t="shared" ref="G106:G113" si="112">IF(F$105=0,0,F106/F$105)</f>
        <v>0</v>
      </c>
      <c r="H106" s="23">
        <f>SUMIFS('Registre de reserves'!$W$2:$W$1178,'Registre de reserves'!$T$2:$T$1178,"NO",'Registre de reserves'!$I$2:$I$1178,'2021'!$A106,'Registre de reserves'!$B$2:$B$1178,'2021'!H$2,Tabla1[ANY],'2021'!$Z$76)</f>
        <v>0</v>
      </c>
      <c r="I106" s="21">
        <f t="shared" ref="I106:I113" si="113">IF(H$105=0,0,H106/H$105)</f>
        <v>0</v>
      </c>
      <c r="J106" s="23">
        <f>SUMIFS('Registre de reserves'!$W$2:$W$1178,'Registre de reserves'!$T$2:$T$1178,"NO",'Registre de reserves'!$I$2:$I$1178,'2021'!$A106,'Registre de reserves'!$B$2:$B$1178,'2021'!J$2,Tabla1[ANY],'2021'!$Z$76)</f>
        <v>0</v>
      </c>
      <c r="K106" s="21">
        <f t="shared" ref="K106:K113" si="114">IF(J$105=0,0,J106/J$105)</f>
        <v>0</v>
      </c>
      <c r="L106" s="23">
        <f>SUMIFS('Registre de reserves'!$W$2:$W$1178,'Registre de reserves'!$T$2:$T$1178,"NO",'Registre de reserves'!$I$2:$I$1178,'2021'!$A106,'Registre de reserves'!$B$2:$B$1178,'2021'!L$2,Tabla1[ANY],'2021'!$Z$76)</f>
        <v>0</v>
      </c>
      <c r="M106" s="21">
        <f t="shared" ref="M106:M113" si="115">IF(L$105=0,0,L106/L$105)</f>
        <v>0</v>
      </c>
      <c r="N106" s="23">
        <f>SUMIFS('Registre de reserves'!$W$2:$W$1178,'Registre de reserves'!$T$2:$T$1178,"NO",'Registre de reserves'!$I$2:$I$1178,'2021'!$A106,'Registre de reserves'!$B$2:$B$1178,'2021'!N$2,Tabla1[ANY],'2021'!$Z$76)</f>
        <v>0</v>
      </c>
      <c r="O106" s="21">
        <f t="shared" ref="O106:O113" si="116">IF(N$105=0,0,N106/N$105)</f>
        <v>0</v>
      </c>
      <c r="P106" s="23">
        <f>SUMIFS('Registre de reserves'!$W$2:$W$1178,'Registre de reserves'!$T$2:$T$1178,"NO",'Registre de reserves'!$I$2:$I$1178,'2021'!$A106,'Registre de reserves'!$B$2:$B$1178,'2021'!P$2,Tabla1[ANY],'2021'!$Z$76)</f>
        <v>0</v>
      </c>
      <c r="Q106" s="21">
        <f t="shared" ref="Q106:Q113" si="117">IF(P$105=0,0,P106/P$105)</f>
        <v>0</v>
      </c>
      <c r="R106" s="23">
        <f>SUMIFS('Registre de reserves'!$W$2:$W$1178,'Registre de reserves'!$T$2:$T$1178,"NO",'Registre de reserves'!$I$2:$I$1178,'2021'!$A106,'Registre de reserves'!$B$2:$B$1178,'2021'!R$2,Tabla1[ANY],'2021'!$Z$76)</f>
        <v>0</v>
      </c>
      <c r="S106" s="21">
        <f t="shared" ref="S106:S113" si="118">IF(R$105=0,0,R106/R$105)</f>
        <v>0</v>
      </c>
      <c r="T106" s="23">
        <f>SUMIFS('Registre de reserves'!$W$2:$W$1178,'Registre de reserves'!$T$2:$T$1178,"NO",'Registre de reserves'!$I$2:$I$1178,'2021'!$A106,'Registre de reserves'!$B$2:$B$1178,'2021'!T$2,Tabla1[ANY],'2021'!$Z$76)</f>
        <v>0</v>
      </c>
      <c r="U106" s="21">
        <f t="shared" ref="U106:U113" si="119">IF(T$105=0,0,T106/T$105)</f>
        <v>0</v>
      </c>
      <c r="V106" s="23">
        <f>SUMIFS('Registre de reserves'!$W$2:$W$1178,'Registre de reserves'!$T$2:$T$1178,"NO",'Registre de reserves'!$I$2:$I$1178,'2021'!$A106,'Registre de reserves'!$B$2:$B$1178,'2021'!V$2,Tabla1[ANY],'2021'!$Z$76)</f>
        <v>0</v>
      </c>
      <c r="W106" s="21">
        <f t="shared" ref="W106:W113" si="120">IF(V$105=0,0,V106/V$105)</f>
        <v>0</v>
      </c>
      <c r="X106" s="23">
        <f>SUMIFS('Registre de reserves'!$W$2:$W$1178,'Registre de reserves'!$T$2:$T$1178,"NO",'Registre de reserves'!$I$2:$I$1178,'2021'!$A106,'Registre de reserves'!$B$2:$B$1178,'2021'!X$2,Tabla1[ANY],'2021'!$Z$76)</f>
        <v>0</v>
      </c>
      <c r="Y106" s="21">
        <f t="shared" ref="Y106:Y113" si="121">IF(X$105=0,0,X106/X$105)</f>
        <v>0</v>
      </c>
      <c r="Z106" s="20">
        <f t="shared" si="99"/>
        <v>0</v>
      </c>
      <c r="AA106" s="21">
        <f>IF(Z$105=0,0,Z106/Z$105)</f>
        <v>0</v>
      </c>
    </row>
    <row r="107" spans="1:27" hidden="1" outlineLevel="1" x14ac:dyDescent="0.2">
      <c r="A107" s="8" t="s">
        <v>68</v>
      </c>
      <c r="B107" s="23">
        <f>SUMIFS('Registre de reserves'!$W$2:$W$1178,'Registre de reserves'!$T$2:$T$1178,"NO",'Registre de reserves'!$I$2:$I$1178,'2021'!$A107,'Registre de reserves'!$B$2:$B$1178,'2021'!B$2,Tabla1[ANY],'2021'!$Z$76)</f>
        <v>0</v>
      </c>
      <c r="C107" s="21">
        <f t="shared" ref="C107:E113" si="122">IF(B$105=0,0,B107/B$105)</f>
        <v>0</v>
      </c>
      <c r="D107" s="23">
        <f>SUMIFS('Registre de reserves'!$W$2:$W$1178,'Registre de reserves'!$T$2:$T$1178,"NO",'Registre de reserves'!$I$2:$I$1178,'2021'!$A107,'Registre de reserves'!$B$2:$B$1178,'2021'!D$2,Tabla1[ANY],'2021'!$Z$76)</f>
        <v>0</v>
      </c>
      <c r="E107" s="21">
        <f>IF(D$105=0,0,D107/D$105)</f>
        <v>0</v>
      </c>
      <c r="F107" s="23">
        <f>SUMIFS('Registre de reserves'!$W$2:$W$1178,'Registre de reserves'!$T$2:$T$1178,"NO",'Registre de reserves'!$I$2:$I$1178,'2021'!$A107,'Registre de reserves'!$B$2:$B$1178,'2021'!F$2,Tabla1[ANY],'2021'!$Z$76)</f>
        <v>0</v>
      </c>
      <c r="G107" s="21">
        <f t="shared" si="112"/>
        <v>0</v>
      </c>
      <c r="H107" s="23">
        <f>SUMIFS('Registre de reserves'!$W$2:$W$1178,'Registre de reserves'!$T$2:$T$1178,"NO",'Registre de reserves'!$I$2:$I$1178,'2021'!$A107,'Registre de reserves'!$B$2:$B$1178,'2021'!H$2,Tabla1[ANY],'2021'!$Z$76)</f>
        <v>0</v>
      </c>
      <c r="I107" s="21">
        <f t="shared" si="113"/>
        <v>0</v>
      </c>
      <c r="J107" s="23">
        <f>SUMIFS('Registre de reserves'!$W$2:$W$1178,'Registre de reserves'!$T$2:$T$1178,"NO",'Registre de reserves'!$I$2:$I$1178,'2021'!$A107,'Registre de reserves'!$B$2:$B$1178,'2021'!J$2,Tabla1[ANY],'2021'!$Z$76)</f>
        <v>0</v>
      </c>
      <c r="K107" s="21">
        <f t="shared" si="114"/>
        <v>0</v>
      </c>
      <c r="L107" s="23">
        <f>SUMIFS('Registre de reserves'!$W$2:$W$1178,'Registre de reserves'!$T$2:$T$1178,"NO",'Registre de reserves'!$I$2:$I$1178,'2021'!$A107,'Registre de reserves'!$B$2:$B$1178,'2021'!L$2,Tabla1[ANY],'2021'!$Z$76)</f>
        <v>0</v>
      </c>
      <c r="M107" s="21">
        <f t="shared" si="115"/>
        <v>0</v>
      </c>
      <c r="N107" s="23">
        <f>SUMIFS('Registre de reserves'!$W$2:$W$1178,'Registre de reserves'!$T$2:$T$1178,"NO",'Registre de reserves'!$I$2:$I$1178,'2021'!$A107,'Registre de reserves'!$B$2:$B$1178,'2021'!N$2,Tabla1[ANY],'2021'!$Z$76)</f>
        <v>0</v>
      </c>
      <c r="O107" s="21">
        <f t="shared" si="116"/>
        <v>0</v>
      </c>
      <c r="P107" s="23">
        <f>SUMIFS('Registre de reserves'!$W$2:$W$1178,'Registre de reserves'!$T$2:$T$1178,"NO",'Registre de reserves'!$I$2:$I$1178,'2021'!$A107,'Registre de reserves'!$B$2:$B$1178,'2021'!P$2,Tabla1[ANY],'2021'!$Z$76)</f>
        <v>0</v>
      </c>
      <c r="Q107" s="21">
        <f t="shared" si="117"/>
        <v>0</v>
      </c>
      <c r="R107" s="23">
        <f>SUMIFS('Registre de reserves'!$W$2:$W$1178,'Registre de reserves'!$T$2:$T$1178,"NO",'Registre de reserves'!$I$2:$I$1178,'2021'!$A107,'Registre de reserves'!$B$2:$B$1178,'2021'!R$2,Tabla1[ANY],'2021'!$Z$76)</f>
        <v>0</v>
      </c>
      <c r="S107" s="21">
        <f t="shared" si="118"/>
        <v>0</v>
      </c>
      <c r="T107" s="23">
        <f>SUMIFS('Registre de reserves'!$W$2:$W$1178,'Registre de reserves'!$T$2:$T$1178,"NO",'Registre de reserves'!$I$2:$I$1178,'2021'!$A107,'Registre de reserves'!$B$2:$B$1178,'2021'!T$2,Tabla1[ANY],'2021'!$Z$76)</f>
        <v>0</v>
      </c>
      <c r="U107" s="21">
        <f t="shared" si="119"/>
        <v>0</v>
      </c>
      <c r="V107" s="23">
        <f>SUMIFS('Registre de reserves'!$W$2:$W$1178,'Registre de reserves'!$T$2:$T$1178,"NO",'Registre de reserves'!$I$2:$I$1178,'2021'!$A107,'Registre de reserves'!$B$2:$B$1178,'2021'!V$2,Tabla1[ANY],'2021'!$Z$76)</f>
        <v>0</v>
      </c>
      <c r="W107" s="21">
        <f t="shared" si="120"/>
        <v>0</v>
      </c>
      <c r="X107" s="23">
        <f>SUMIFS('Registre de reserves'!$W$2:$W$1178,'Registre de reserves'!$T$2:$T$1178,"NO",'Registre de reserves'!$I$2:$I$1178,'2021'!$A107,'Registre de reserves'!$B$2:$B$1178,'2021'!X$2,Tabla1[ANY],'2021'!$Z$76)</f>
        <v>0</v>
      </c>
      <c r="Y107" s="21">
        <f t="shared" si="121"/>
        <v>0</v>
      </c>
      <c r="Z107" s="20">
        <f t="shared" si="99"/>
        <v>0</v>
      </c>
      <c r="AA107" s="21">
        <f>IF(Z$105=0,0,Z107/Z$105)</f>
        <v>0</v>
      </c>
    </row>
    <row r="108" spans="1:27" hidden="1" outlineLevel="1" x14ac:dyDescent="0.2">
      <c r="A108" s="8" t="s">
        <v>4</v>
      </c>
      <c r="B108" s="23">
        <f>SUMIFS('Registre de reserves'!$W$2:$W$1178,'Registre de reserves'!$T$2:$T$1178,"NO",'Registre de reserves'!$I$2:$I$1178,'2021'!$A108,'Registre de reserves'!$B$2:$B$1178,'2021'!B$2,Tabla1[ANY],'2021'!$Z$76)</f>
        <v>0</v>
      </c>
      <c r="C108" s="21">
        <f t="shared" si="122"/>
        <v>0</v>
      </c>
      <c r="D108" s="23">
        <f>SUMIFS('Registre de reserves'!$W$2:$W$1178,'Registre de reserves'!$T$2:$T$1178,"NO",'Registre de reserves'!$I$2:$I$1178,'2021'!$A108,'Registre de reserves'!$B$2:$B$1178,'2021'!D$2,Tabla1[ANY],'2021'!$Z$76)</f>
        <v>0</v>
      </c>
      <c r="E108" s="21">
        <f t="shared" si="122"/>
        <v>0</v>
      </c>
      <c r="F108" s="23">
        <f>SUMIFS('Registre de reserves'!$W$2:$W$1178,'Registre de reserves'!$T$2:$T$1178,"NO",'Registre de reserves'!$I$2:$I$1178,'2021'!$A108,'Registre de reserves'!$B$2:$B$1178,'2021'!F$2,Tabla1[ANY],'2021'!$Z$76)</f>
        <v>0</v>
      </c>
      <c r="G108" s="21">
        <f t="shared" si="112"/>
        <v>0</v>
      </c>
      <c r="H108" s="23">
        <f>SUMIFS('Registre de reserves'!$W$2:$W$1178,'Registre de reserves'!$T$2:$T$1178,"NO",'Registre de reserves'!$I$2:$I$1178,'2021'!$A108,'Registre de reserves'!$B$2:$B$1178,'2021'!H$2,Tabla1[ANY],'2021'!$Z$76)</f>
        <v>0</v>
      </c>
      <c r="I108" s="21">
        <f t="shared" si="113"/>
        <v>0</v>
      </c>
      <c r="J108" s="23">
        <f>SUMIFS('Registre de reserves'!$W$2:$W$1178,'Registre de reserves'!$T$2:$T$1178,"NO",'Registre de reserves'!$I$2:$I$1178,'2021'!$A108,'Registre de reserves'!$B$2:$B$1178,'2021'!J$2,Tabla1[ANY],'2021'!$Z$76)</f>
        <v>0</v>
      </c>
      <c r="K108" s="21">
        <f t="shared" si="114"/>
        <v>0</v>
      </c>
      <c r="L108" s="23">
        <f>SUMIFS('Registre de reserves'!$W$2:$W$1178,'Registre de reserves'!$T$2:$T$1178,"NO",'Registre de reserves'!$I$2:$I$1178,'2021'!$A108,'Registre de reserves'!$B$2:$B$1178,'2021'!L$2,Tabla1[ANY],'2021'!$Z$76)</f>
        <v>0</v>
      </c>
      <c r="M108" s="21">
        <f t="shared" si="115"/>
        <v>0</v>
      </c>
      <c r="N108" s="23">
        <f>SUMIFS('Registre de reserves'!$W$2:$W$1178,'Registre de reserves'!$T$2:$T$1178,"NO",'Registre de reserves'!$I$2:$I$1178,'2021'!$A108,'Registre de reserves'!$B$2:$B$1178,'2021'!N$2,Tabla1[ANY],'2021'!$Z$76)</f>
        <v>0</v>
      </c>
      <c r="O108" s="21">
        <f t="shared" si="116"/>
        <v>0</v>
      </c>
      <c r="P108" s="23">
        <f>SUMIFS('Registre de reserves'!$W$2:$W$1178,'Registre de reserves'!$T$2:$T$1178,"NO",'Registre de reserves'!$I$2:$I$1178,'2021'!$A108,'Registre de reserves'!$B$2:$B$1178,'2021'!P$2,Tabla1[ANY],'2021'!$Z$76)</f>
        <v>0</v>
      </c>
      <c r="Q108" s="21">
        <f t="shared" si="117"/>
        <v>0</v>
      </c>
      <c r="R108" s="23">
        <f>SUMIFS('Registre de reserves'!$W$2:$W$1178,'Registre de reserves'!$T$2:$T$1178,"NO",'Registre de reserves'!$I$2:$I$1178,'2021'!$A108,'Registre de reserves'!$B$2:$B$1178,'2021'!R$2,Tabla1[ANY],'2021'!$Z$76)</f>
        <v>0</v>
      </c>
      <c r="S108" s="21">
        <f t="shared" si="118"/>
        <v>0</v>
      </c>
      <c r="T108" s="23">
        <f>SUMIFS('Registre de reserves'!$W$2:$W$1178,'Registre de reserves'!$T$2:$T$1178,"NO",'Registre de reserves'!$I$2:$I$1178,'2021'!$A108,'Registre de reserves'!$B$2:$B$1178,'2021'!T$2,Tabla1[ANY],'2021'!$Z$76)</f>
        <v>0</v>
      </c>
      <c r="U108" s="21">
        <f t="shared" si="119"/>
        <v>0</v>
      </c>
      <c r="V108" s="23">
        <f>SUMIFS('Registre de reserves'!$W$2:$W$1178,'Registre de reserves'!$T$2:$T$1178,"NO",'Registre de reserves'!$I$2:$I$1178,'2021'!$A108,'Registre de reserves'!$B$2:$B$1178,'2021'!V$2,Tabla1[ANY],'2021'!$Z$76)</f>
        <v>0</v>
      </c>
      <c r="W108" s="21">
        <f t="shared" si="120"/>
        <v>0</v>
      </c>
      <c r="X108" s="23">
        <f>SUMIFS('Registre de reserves'!$W$2:$W$1178,'Registre de reserves'!$T$2:$T$1178,"NO",'Registre de reserves'!$I$2:$I$1178,'2021'!$A108,'Registre de reserves'!$B$2:$B$1178,'2021'!X$2,Tabla1[ANY],'2021'!$Z$76)</f>
        <v>0</v>
      </c>
      <c r="Y108" s="21">
        <f t="shared" si="121"/>
        <v>0</v>
      </c>
      <c r="Z108" s="20">
        <f t="shared" si="99"/>
        <v>0</v>
      </c>
      <c r="AA108" s="21">
        <f t="shared" ref="AA108:AA113" si="123">IF(Z$105=0,0,Z108/Z$105)</f>
        <v>0</v>
      </c>
    </row>
    <row r="109" spans="1:27" hidden="1" outlineLevel="1" x14ac:dyDescent="0.2">
      <c r="A109" s="8" t="s">
        <v>71</v>
      </c>
      <c r="B109" s="23">
        <f>SUMIFS('Registre de reserves'!$W$2:$W$1178,'Registre de reserves'!$T$2:$T$1178,"NO",'Registre de reserves'!$I$2:$I$1178,'2021'!$A109,'Registre de reserves'!$B$2:$B$1178,'2021'!B$2,Tabla1[ANY],'2021'!$Z$76)</f>
        <v>0</v>
      </c>
      <c r="C109" s="21">
        <f t="shared" si="122"/>
        <v>0</v>
      </c>
      <c r="D109" s="23">
        <f>SUMIFS('Registre de reserves'!$W$2:$W$1178,'Registre de reserves'!$T$2:$T$1178,"NO",'Registre de reserves'!$I$2:$I$1178,'2021'!$A109,'Registre de reserves'!$B$2:$B$1178,'2021'!D$2,Tabla1[ANY],'2021'!$Z$76)</f>
        <v>0</v>
      </c>
      <c r="E109" s="21">
        <f t="shared" si="122"/>
        <v>0</v>
      </c>
      <c r="F109" s="23">
        <f>SUMIFS('Registre de reserves'!$W$2:$W$1178,'Registre de reserves'!$T$2:$T$1178,"NO",'Registre de reserves'!$I$2:$I$1178,'2021'!$A109,'Registre de reserves'!$B$2:$B$1178,'2021'!F$2,Tabla1[ANY],'2021'!$Z$76)</f>
        <v>0</v>
      </c>
      <c r="G109" s="21">
        <f t="shared" si="112"/>
        <v>0</v>
      </c>
      <c r="H109" s="23">
        <f>SUMIFS('Registre de reserves'!$W$2:$W$1178,'Registre de reserves'!$T$2:$T$1178,"NO",'Registre de reserves'!$I$2:$I$1178,'2021'!$A109,'Registre de reserves'!$B$2:$B$1178,'2021'!H$2,Tabla1[ANY],'2021'!$Z$76)</f>
        <v>0</v>
      </c>
      <c r="I109" s="21">
        <f t="shared" si="113"/>
        <v>0</v>
      </c>
      <c r="J109" s="23">
        <f>SUMIFS('Registre de reserves'!$W$2:$W$1178,'Registre de reserves'!$T$2:$T$1178,"NO",'Registre de reserves'!$I$2:$I$1178,'2021'!$A109,'Registre de reserves'!$B$2:$B$1178,'2021'!J$2,Tabla1[ANY],'2021'!$Z$76)</f>
        <v>0</v>
      </c>
      <c r="K109" s="21">
        <f t="shared" si="114"/>
        <v>0</v>
      </c>
      <c r="L109" s="23">
        <f>SUMIFS('Registre de reserves'!$W$2:$W$1178,'Registre de reserves'!$T$2:$T$1178,"NO",'Registre de reserves'!$I$2:$I$1178,'2021'!$A109,'Registre de reserves'!$B$2:$B$1178,'2021'!L$2,Tabla1[ANY],'2021'!$Z$76)</f>
        <v>0</v>
      </c>
      <c r="M109" s="21">
        <f t="shared" si="115"/>
        <v>0</v>
      </c>
      <c r="N109" s="23">
        <f>SUMIFS('Registre de reserves'!$W$2:$W$1178,'Registre de reserves'!$T$2:$T$1178,"NO",'Registre de reserves'!$I$2:$I$1178,'2021'!$A109,'Registre de reserves'!$B$2:$B$1178,'2021'!N$2,Tabla1[ANY],'2021'!$Z$76)</f>
        <v>0</v>
      </c>
      <c r="O109" s="21">
        <f t="shared" si="116"/>
        <v>0</v>
      </c>
      <c r="P109" s="23">
        <f>SUMIFS('Registre de reserves'!$W$2:$W$1178,'Registre de reserves'!$T$2:$T$1178,"NO",'Registre de reserves'!$I$2:$I$1178,'2021'!$A109,'Registre de reserves'!$B$2:$B$1178,'2021'!P$2,Tabla1[ANY],'2021'!$Z$76)</f>
        <v>0</v>
      </c>
      <c r="Q109" s="21">
        <f t="shared" si="117"/>
        <v>0</v>
      </c>
      <c r="R109" s="23">
        <f>SUMIFS('Registre de reserves'!$W$2:$W$1178,'Registre de reserves'!$T$2:$T$1178,"NO",'Registre de reserves'!$I$2:$I$1178,'2021'!$A109,'Registre de reserves'!$B$2:$B$1178,'2021'!R$2,Tabla1[ANY],'2021'!$Z$76)</f>
        <v>0</v>
      </c>
      <c r="S109" s="21">
        <f t="shared" si="118"/>
        <v>0</v>
      </c>
      <c r="T109" s="23">
        <f>SUMIFS('Registre de reserves'!$W$2:$W$1178,'Registre de reserves'!$T$2:$T$1178,"NO",'Registre de reserves'!$I$2:$I$1178,'2021'!$A109,'Registre de reserves'!$B$2:$B$1178,'2021'!T$2,Tabla1[ANY],'2021'!$Z$76)</f>
        <v>0</v>
      </c>
      <c r="U109" s="21">
        <f t="shared" si="119"/>
        <v>0</v>
      </c>
      <c r="V109" s="23">
        <f>SUMIFS('Registre de reserves'!$W$2:$W$1178,'Registre de reserves'!$T$2:$T$1178,"NO",'Registre de reserves'!$I$2:$I$1178,'2021'!$A109,'Registre de reserves'!$B$2:$B$1178,'2021'!V$2,Tabla1[ANY],'2021'!$Z$76)</f>
        <v>0</v>
      </c>
      <c r="W109" s="21">
        <f t="shared" si="120"/>
        <v>0</v>
      </c>
      <c r="X109" s="23">
        <f>SUMIFS('Registre de reserves'!$W$2:$W$1178,'Registre de reserves'!$T$2:$T$1178,"NO",'Registre de reserves'!$I$2:$I$1178,'2021'!$A109,'Registre de reserves'!$B$2:$B$1178,'2021'!X$2,Tabla1[ANY],'2021'!$Z$76)</f>
        <v>0</v>
      </c>
      <c r="Y109" s="21">
        <f t="shared" si="121"/>
        <v>0</v>
      </c>
      <c r="Z109" s="20">
        <f t="shared" si="99"/>
        <v>0</v>
      </c>
      <c r="AA109" s="21">
        <f t="shared" si="123"/>
        <v>0</v>
      </c>
    </row>
    <row r="110" spans="1:27" hidden="1" outlineLevel="1" x14ac:dyDescent="0.2">
      <c r="A110" s="8" t="s">
        <v>72</v>
      </c>
      <c r="B110" s="23">
        <f>SUMIFS('Registre de reserves'!$W$2:$W$1178,'Registre de reserves'!$T$2:$T$1178,"NO",'Registre de reserves'!$I$2:$I$1178,'2021'!$A110,'Registre de reserves'!$B$2:$B$1178,'2021'!B$2,Tabla1[ANY],'2021'!$Z$76)</f>
        <v>0</v>
      </c>
      <c r="C110" s="21">
        <f t="shared" si="122"/>
        <v>0</v>
      </c>
      <c r="D110" s="23">
        <f>SUMIFS('Registre de reserves'!$W$2:$W$1178,'Registre de reserves'!$T$2:$T$1178,"NO",'Registre de reserves'!$I$2:$I$1178,'2021'!$A110,'Registre de reserves'!$B$2:$B$1178,'2021'!D$2,Tabla1[ANY],'2021'!$Z$76)</f>
        <v>0</v>
      </c>
      <c r="E110" s="21">
        <f t="shared" si="122"/>
        <v>0</v>
      </c>
      <c r="F110" s="23">
        <f>SUMIFS('Registre de reserves'!$W$2:$W$1178,'Registre de reserves'!$T$2:$T$1178,"NO",'Registre de reserves'!$I$2:$I$1178,'2021'!$A110,'Registre de reserves'!$B$2:$B$1178,'2021'!F$2,Tabla1[ANY],'2021'!$Z$76)</f>
        <v>0</v>
      </c>
      <c r="G110" s="21">
        <f t="shared" si="112"/>
        <v>0</v>
      </c>
      <c r="H110" s="23">
        <f>SUMIFS('Registre de reserves'!$W$2:$W$1178,'Registre de reserves'!$T$2:$T$1178,"NO",'Registre de reserves'!$I$2:$I$1178,'2021'!$A110,'Registre de reserves'!$B$2:$B$1178,'2021'!H$2,Tabla1[ANY],'2021'!$Z$76)</f>
        <v>0</v>
      </c>
      <c r="I110" s="21">
        <f t="shared" si="113"/>
        <v>0</v>
      </c>
      <c r="J110" s="23">
        <f>SUMIFS('Registre de reserves'!$W$2:$W$1178,'Registre de reserves'!$T$2:$T$1178,"NO",'Registre de reserves'!$I$2:$I$1178,'2021'!$A110,'Registre de reserves'!$B$2:$B$1178,'2021'!J$2,Tabla1[ANY],'2021'!$Z$76)</f>
        <v>0</v>
      </c>
      <c r="K110" s="21">
        <f t="shared" si="114"/>
        <v>0</v>
      </c>
      <c r="L110" s="23">
        <f>SUMIFS('Registre de reserves'!$W$2:$W$1178,'Registre de reserves'!$T$2:$T$1178,"NO",'Registre de reserves'!$I$2:$I$1178,'2021'!$A110,'Registre de reserves'!$B$2:$B$1178,'2021'!L$2,Tabla1[ANY],'2021'!$Z$76)</f>
        <v>0</v>
      </c>
      <c r="M110" s="21">
        <f t="shared" si="115"/>
        <v>0</v>
      </c>
      <c r="N110" s="23">
        <f>SUMIFS('Registre de reserves'!$W$2:$W$1178,'Registre de reserves'!$T$2:$T$1178,"NO",'Registre de reserves'!$I$2:$I$1178,'2021'!$A110,'Registre de reserves'!$B$2:$B$1178,'2021'!N$2,Tabla1[ANY],'2021'!$Z$76)</f>
        <v>0</v>
      </c>
      <c r="O110" s="21">
        <f t="shared" si="116"/>
        <v>0</v>
      </c>
      <c r="P110" s="23">
        <f>SUMIFS('Registre de reserves'!$W$2:$W$1178,'Registre de reserves'!$T$2:$T$1178,"NO",'Registre de reserves'!$I$2:$I$1178,'2021'!$A110,'Registre de reserves'!$B$2:$B$1178,'2021'!P$2,Tabla1[ANY],'2021'!$Z$76)</f>
        <v>0</v>
      </c>
      <c r="Q110" s="21">
        <f t="shared" si="117"/>
        <v>0</v>
      </c>
      <c r="R110" s="23">
        <f>SUMIFS('Registre de reserves'!$W$2:$W$1178,'Registre de reserves'!$T$2:$T$1178,"NO",'Registre de reserves'!$I$2:$I$1178,'2021'!$A110,'Registre de reserves'!$B$2:$B$1178,'2021'!R$2,Tabla1[ANY],'2021'!$Z$76)</f>
        <v>0</v>
      </c>
      <c r="S110" s="21">
        <f t="shared" si="118"/>
        <v>0</v>
      </c>
      <c r="T110" s="23">
        <f>SUMIFS('Registre de reserves'!$W$2:$W$1178,'Registre de reserves'!$T$2:$T$1178,"NO",'Registre de reserves'!$I$2:$I$1178,'2021'!$A110,'Registre de reserves'!$B$2:$B$1178,'2021'!T$2,Tabla1[ANY],'2021'!$Z$76)</f>
        <v>0</v>
      </c>
      <c r="U110" s="21">
        <f t="shared" si="119"/>
        <v>0</v>
      </c>
      <c r="V110" s="23">
        <f>SUMIFS('Registre de reserves'!$W$2:$W$1178,'Registre de reserves'!$T$2:$T$1178,"NO",'Registre de reserves'!$I$2:$I$1178,'2021'!$A110,'Registre de reserves'!$B$2:$B$1178,'2021'!V$2,Tabla1[ANY],'2021'!$Z$76)</f>
        <v>0</v>
      </c>
      <c r="W110" s="21">
        <f t="shared" si="120"/>
        <v>0</v>
      </c>
      <c r="X110" s="23">
        <f>SUMIFS('Registre de reserves'!$W$2:$W$1178,'Registre de reserves'!$T$2:$T$1178,"NO",'Registre de reserves'!$I$2:$I$1178,'2021'!$A110,'Registre de reserves'!$B$2:$B$1178,'2021'!X$2,Tabla1[ANY],'2021'!$Z$76)</f>
        <v>0</v>
      </c>
      <c r="Y110" s="21">
        <f t="shared" si="121"/>
        <v>0</v>
      </c>
      <c r="Z110" s="20">
        <f t="shared" si="99"/>
        <v>0</v>
      </c>
      <c r="AA110" s="21">
        <f t="shared" si="123"/>
        <v>0</v>
      </c>
    </row>
    <row r="111" spans="1:27" hidden="1" outlineLevel="1" x14ac:dyDescent="0.2">
      <c r="A111" s="8" t="s">
        <v>69</v>
      </c>
      <c r="B111" s="23">
        <f>SUMIFS('Registre de reserves'!$W$2:$W$1178,'Registre de reserves'!$T$2:$T$1178,"NO",'Registre de reserves'!$I$2:$I$1178,'2021'!$A111,'Registre de reserves'!$B$2:$B$1178,'2021'!B$2,Tabla1[ANY],'2021'!$Z$76)</f>
        <v>0</v>
      </c>
      <c r="C111" s="21">
        <f t="shared" si="122"/>
        <v>0</v>
      </c>
      <c r="D111" s="23">
        <f>SUMIFS('Registre de reserves'!$W$2:$W$1178,'Registre de reserves'!$T$2:$T$1178,"NO",'Registre de reserves'!$I$2:$I$1178,'2021'!$A111,'Registre de reserves'!$B$2:$B$1178,'2021'!D$2,Tabla1[ANY],'2021'!$Z$76)</f>
        <v>0</v>
      </c>
      <c r="E111" s="21">
        <f t="shared" si="122"/>
        <v>0</v>
      </c>
      <c r="F111" s="23">
        <f>SUMIFS('Registre de reserves'!$W$2:$W$1178,'Registre de reserves'!$T$2:$T$1178,"NO",'Registre de reserves'!$I$2:$I$1178,'2021'!$A111,'Registre de reserves'!$B$2:$B$1178,'2021'!F$2,Tabla1[ANY],'2021'!$Z$76)</f>
        <v>0</v>
      </c>
      <c r="G111" s="21">
        <f t="shared" si="112"/>
        <v>0</v>
      </c>
      <c r="H111" s="23">
        <f>SUMIFS('Registre de reserves'!$W$2:$W$1178,'Registre de reserves'!$T$2:$T$1178,"NO",'Registre de reserves'!$I$2:$I$1178,'2021'!$A111,'Registre de reserves'!$B$2:$B$1178,'2021'!H$2,Tabla1[ANY],'2021'!$Z$76)</f>
        <v>0</v>
      </c>
      <c r="I111" s="21">
        <f t="shared" si="113"/>
        <v>0</v>
      </c>
      <c r="J111" s="23">
        <f>SUMIFS('Registre de reserves'!$W$2:$W$1178,'Registre de reserves'!$T$2:$T$1178,"NO",'Registre de reserves'!$I$2:$I$1178,'2021'!$A111,'Registre de reserves'!$B$2:$B$1178,'2021'!J$2,Tabla1[ANY],'2021'!$Z$76)</f>
        <v>0</v>
      </c>
      <c r="K111" s="21">
        <f t="shared" si="114"/>
        <v>0</v>
      </c>
      <c r="L111" s="23">
        <f>SUMIFS('Registre de reserves'!$W$2:$W$1178,'Registre de reserves'!$T$2:$T$1178,"NO",'Registre de reserves'!$I$2:$I$1178,'2021'!$A111,'Registre de reserves'!$B$2:$B$1178,'2021'!L$2,Tabla1[ANY],'2021'!$Z$76)</f>
        <v>0</v>
      </c>
      <c r="M111" s="21">
        <f t="shared" si="115"/>
        <v>0</v>
      </c>
      <c r="N111" s="23">
        <f>SUMIFS('Registre de reserves'!$W$2:$W$1178,'Registre de reserves'!$T$2:$T$1178,"NO",'Registre de reserves'!$I$2:$I$1178,'2021'!$A111,'Registre de reserves'!$B$2:$B$1178,'2021'!N$2,Tabla1[ANY],'2021'!$Z$76)</f>
        <v>0</v>
      </c>
      <c r="O111" s="21">
        <f t="shared" si="116"/>
        <v>0</v>
      </c>
      <c r="P111" s="23">
        <f>SUMIFS('Registre de reserves'!$W$2:$W$1178,'Registre de reserves'!$T$2:$T$1178,"NO",'Registre de reserves'!$I$2:$I$1178,'2021'!$A111,'Registre de reserves'!$B$2:$B$1178,'2021'!P$2,Tabla1[ANY],'2021'!$Z$76)</f>
        <v>0</v>
      </c>
      <c r="Q111" s="21">
        <f t="shared" si="117"/>
        <v>0</v>
      </c>
      <c r="R111" s="23">
        <f>SUMIFS('Registre de reserves'!$W$2:$W$1178,'Registre de reserves'!$T$2:$T$1178,"NO",'Registre de reserves'!$I$2:$I$1178,'2021'!$A111,'Registre de reserves'!$B$2:$B$1178,'2021'!R$2,Tabla1[ANY],'2021'!$Z$76)</f>
        <v>0</v>
      </c>
      <c r="S111" s="21">
        <f t="shared" si="118"/>
        <v>0</v>
      </c>
      <c r="T111" s="23">
        <f>SUMIFS('Registre de reserves'!$W$2:$W$1178,'Registre de reserves'!$T$2:$T$1178,"NO",'Registre de reserves'!$I$2:$I$1178,'2021'!$A111,'Registre de reserves'!$B$2:$B$1178,'2021'!T$2,Tabla1[ANY],'2021'!$Z$76)</f>
        <v>0</v>
      </c>
      <c r="U111" s="21">
        <f t="shared" si="119"/>
        <v>0</v>
      </c>
      <c r="V111" s="23">
        <f>SUMIFS('Registre de reserves'!$W$2:$W$1178,'Registre de reserves'!$T$2:$T$1178,"NO",'Registre de reserves'!$I$2:$I$1178,'2021'!$A111,'Registre de reserves'!$B$2:$B$1178,'2021'!V$2,Tabla1[ANY],'2021'!$Z$76)</f>
        <v>0</v>
      </c>
      <c r="W111" s="21">
        <f t="shared" si="120"/>
        <v>0</v>
      </c>
      <c r="X111" s="23">
        <f>SUMIFS('Registre de reserves'!$W$2:$W$1178,'Registre de reserves'!$T$2:$T$1178,"NO",'Registre de reserves'!$I$2:$I$1178,'2021'!$A111,'Registre de reserves'!$B$2:$B$1178,'2021'!X$2,Tabla1[ANY],'2021'!$Z$76)</f>
        <v>0</v>
      </c>
      <c r="Y111" s="21">
        <f t="shared" si="121"/>
        <v>0</v>
      </c>
      <c r="Z111" s="20">
        <f t="shared" si="99"/>
        <v>0</v>
      </c>
      <c r="AA111" s="21">
        <f t="shared" si="123"/>
        <v>0</v>
      </c>
    </row>
    <row r="112" spans="1:27" hidden="1" outlineLevel="1" x14ac:dyDescent="0.2">
      <c r="A112" s="8" t="s">
        <v>70</v>
      </c>
      <c r="B112" s="23">
        <f>SUMIFS('Registre de reserves'!$W$2:$W$1178,'Registre de reserves'!$T$2:$T$1178,"NO",'Registre de reserves'!$I$2:$I$1178,'2021'!$A112,'Registre de reserves'!$B$2:$B$1178,'2021'!B$2,Tabla1[ANY],'2021'!$Z$76)</f>
        <v>0</v>
      </c>
      <c r="C112" s="21">
        <f t="shared" si="122"/>
        <v>0</v>
      </c>
      <c r="D112" s="23">
        <f>SUMIFS('Registre de reserves'!$W$2:$W$1178,'Registre de reserves'!$T$2:$T$1178,"NO",'Registre de reserves'!$I$2:$I$1178,'2021'!$A112,'Registre de reserves'!$B$2:$B$1178,'2021'!D$2,Tabla1[ANY],'2021'!$Z$76)</f>
        <v>0</v>
      </c>
      <c r="E112" s="21">
        <f t="shared" si="122"/>
        <v>0</v>
      </c>
      <c r="F112" s="23">
        <f>SUMIFS('Registre de reserves'!$W$2:$W$1178,'Registre de reserves'!$T$2:$T$1178,"NO",'Registre de reserves'!$I$2:$I$1178,'2021'!$A112,'Registre de reserves'!$B$2:$B$1178,'2021'!F$2,Tabla1[ANY],'2021'!$Z$76)</f>
        <v>0</v>
      </c>
      <c r="G112" s="21">
        <f t="shared" si="112"/>
        <v>0</v>
      </c>
      <c r="H112" s="23">
        <f>SUMIFS('Registre de reserves'!$W$2:$W$1178,'Registre de reserves'!$T$2:$T$1178,"NO",'Registre de reserves'!$I$2:$I$1178,'2021'!$A112,'Registre de reserves'!$B$2:$B$1178,'2021'!H$2,Tabla1[ANY],'2021'!$Z$76)</f>
        <v>0</v>
      </c>
      <c r="I112" s="21">
        <f t="shared" si="113"/>
        <v>0</v>
      </c>
      <c r="J112" s="23">
        <f>SUMIFS('Registre de reserves'!$W$2:$W$1178,'Registre de reserves'!$T$2:$T$1178,"NO",'Registre de reserves'!$I$2:$I$1178,'2021'!$A112,'Registre de reserves'!$B$2:$B$1178,'2021'!J$2,Tabla1[ANY],'2021'!$Z$76)</f>
        <v>0</v>
      </c>
      <c r="K112" s="21">
        <f t="shared" si="114"/>
        <v>0</v>
      </c>
      <c r="L112" s="23">
        <f>SUMIFS('Registre de reserves'!$W$2:$W$1178,'Registre de reserves'!$T$2:$T$1178,"NO",'Registre de reserves'!$I$2:$I$1178,'2021'!$A112,'Registre de reserves'!$B$2:$B$1178,'2021'!L$2,Tabla1[ANY],'2021'!$Z$76)</f>
        <v>0</v>
      </c>
      <c r="M112" s="21">
        <f t="shared" si="115"/>
        <v>0</v>
      </c>
      <c r="N112" s="23">
        <f>SUMIFS('Registre de reserves'!$W$2:$W$1178,'Registre de reserves'!$T$2:$T$1178,"NO",'Registre de reserves'!$I$2:$I$1178,'2021'!$A112,'Registre de reserves'!$B$2:$B$1178,'2021'!N$2,Tabla1[ANY],'2021'!$Z$76)</f>
        <v>0</v>
      </c>
      <c r="O112" s="21">
        <f t="shared" si="116"/>
        <v>0</v>
      </c>
      <c r="P112" s="23">
        <f>SUMIFS('Registre de reserves'!$W$2:$W$1178,'Registre de reserves'!$T$2:$T$1178,"NO",'Registre de reserves'!$I$2:$I$1178,'2021'!$A112,'Registre de reserves'!$B$2:$B$1178,'2021'!P$2,Tabla1[ANY],'2021'!$Z$76)</f>
        <v>0</v>
      </c>
      <c r="Q112" s="21">
        <f t="shared" si="117"/>
        <v>0</v>
      </c>
      <c r="R112" s="23">
        <f>SUMIFS('Registre de reserves'!$W$2:$W$1178,'Registre de reserves'!$T$2:$T$1178,"NO",'Registre de reserves'!$I$2:$I$1178,'2021'!$A112,'Registre de reserves'!$B$2:$B$1178,'2021'!R$2,Tabla1[ANY],'2021'!$Z$76)</f>
        <v>0</v>
      </c>
      <c r="S112" s="21">
        <f t="shared" si="118"/>
        <v>0</v>
      </c>
      <c r="T112" s="23">
        <f>SUMIFS('Registre de reserves'!$W$2:$W$1178,'Registre de reserves'!$T$2:$T$1178,"NO",'Registre de reserves'!$I$2:$I$1178,'2021'!$A112,'Registre de reserves'!$B$2:$B$1178,'2021'!T$2,Tabla1[ANY],'2021'!$Z$76)</f>
        <v>0</v>
      </c>
      <c r="U112" s="21">
        <f t="shared" si="119"/>
        <v>0</v>
      </c>
      <c r="V112" s="23">
        <f>SUMIFS('Registre de reserves'!$W$2:$W$1178,'Registre de reserves'!$T$2:$T$1178,"NO",'Registre de reserves'!$I$2:$I$1178,'2021'!$A112,'Registre de reserves'!$B$2:$B$1178,'2021'!V$2,Tabla1[ANY],'2021'!$Z$76)</f>
        <v>0</v>
      </c>
      <c r="W112" s="21">
        <f t="shared" si="120"/>
        <v>0</v>
      </c>
      <c r="X112" s="23">
        <f>SUMIFS('Registre de reserves'!$W$2:$W$1178,'Registre de reserves'!$T$2:$T$1178,"NO",'Registre de reserves'!$I$2:$I$1178,'2021'!$A112,'Registre de reserves'!$B$2:$B$1178,'2021'!X$2,Tabla1[ANY],'2021'!$Z$76)</f>
        <v>0</v>
      </c>
      <c r="Y112" s="21">
        <f t="shared" si="121"/>
        <v>0</v>
      </c>
      <c r="Z112" s="20">
        <f t="shared" si="99"/>
        <v>0</v>
      </c>
      <c r="AA112" s="21">
        <f t="shared" si="123"/>
        <v>0</v>
      </c>
    </row>
    <row r="113" spans="1:27" hidden="1" outlineLevel="1" x14ac:dyDescent="0.2">
      <c r="A113" s="8" t="s">
        <v>73</v>
      </c>
      <c r="B113" s="23">
        <f>SUMIFS('Registre de reserves'!$W$2:$W$1178,'Registre de reserves'!$T$2:$T$1178,"NO",'Registre de reserves'!$I$2:$I$1178,'2021'!$A113,'Registre de reserves'!$B$2:$B$1178,'2021'!B$2,Tabla1[ANY],'2021'!$Z$76)</f>
        <v>0</v>
      </c>
      <c r="C113" s="21">
        <f t="shared" si="122"/>
        <v>0</v>
      </c>
      <c r="D113" s="23">
        <f>SUMIFS('Registre de reserves'!$W$2:$W$1178,'Registre de reserves'!$T$2:$T$1178,"NO",'Registre de reserves'!$I$2:$I$1178,'2021'!$A113,'Registre de reserves'!$B$2:$B$1178,'2021'!D$2,Tabla1[ANY],'2021'!$Z$76)</f>
        <v>0</v>
      </c>
      <c r="E113" s="21">
        <f t="shared" si="122"/>
        <v>0</v>
      </c>
      <c r="F113" s="23">
        <f>SUMIFS('Registre de reserves'!$W$2:$W$1178,'Registre de reserves'!$T$2:$T$1178,"NO",'Registre de reserves'!$I$2:$I$1178,'2021'!$A113,'Registre de reserves'!$B$2:$B$1178,'2021'!F$2,Tabla1[ANY],'2021'!$Z$76)</f>
        <v>0</v>
      </c>
      <c r="G113" s="21">
        <f t="shared" si="112"/>
        <v>0</v>
      </c>
      <c r="H113" s="23">
        <f>SUMIFS('Registre de reserves'!$W$2:$W$1178,'Registre de reserves'!$T$2:$T$1178,"NO",'Registre de reserves'!$I$2:$I$1178,'2021'!$A113,'Registre de reserves'!$B$2:$B$1178,'2021'!H$2,Tabla1[ANY],'2021'!$Z$76)</f>
        <v>0</v>
      </c>
      <c r="I113" s="21">
        <f t="shared" si="113"/>
        <v>0</v>
      </c>
      <c r="J113" s="23">
        <f>SUMIFS('Registre de reserves'!$W$2:$W$1178,'Registre de reserves'!$T$2:$T$1178,"NO",'Registre de reserves'!$I$2:$I$1178,'2021'!$A113,'Registre de reserves'!$B$2:$B$1178,'2021'!J$2,Tabla1[ANY],'2021'!$Z$76)</f>
        <v>0</v>
      </c>
      <c r="K113" s="21">
        <f t="shared" si="114"/>
        <v>0</v>
      </c>
      <c r="L113" s="23">
        <f>SUMIFS('Registre de reserves'!$W$2:$W$1178,'Registre de reserves'!$T$2:$T$1178,"NO",'Registre de reserves'!$I$2:$I$1178,'2021'!$A113,'Registre de reserves'!$B$2:$B$1178,'2021'!L$2,Tabla1[ANY],'2021'!$Z$76)</f>
        <v>0</v>
      </c>
      <c r="M113" s="21">
        <f t="shared" si="115"/>
        <v>0</v>
      </c>
      <c r="N113" s="23">
        <f>SUMIFS('Registre de reserves'!$W$2:$W$1178,'Registre de reserves'!$T$2:$T$1178,"NO",'Registre de reserves'!$I$2:$I$1178,'2021'!$A113,'Registre de reserves'!$B$2:$B$1178,'2021'!N$2,Tabla1[ANY],'2021'!$Z$76)</f>
        <v>0</v>
      </c>
      <c r="O113" s="21">
        <f t="shared" si="116"/>
        <v>0</v>
      </c>
      <c r="P113" s="23">
        <f>SUMIFS('Registre de reserves'!$W$2:$W$1178,'Registre de reserves'!$T$2:$T$1178,"NO",'Registre de reserves'!$I$2:$I$1178,'2021'!$A113,'Registre de reserves'!$B$2:$B$1178,'2021'!P$2,Tabla1[ANY],'2021'!$Z$76)</f>
        <v>0</v>
      </c>
      <c r="Q113" s="21">
        <f t="shared" si="117"/>
        <v>0</v>
      </c>
      <c r="R113" s="23">
        <f>SUMIFS('Registre de reserves'!$W$2:$W$1178,'Registre de reserves'!$T$2:$T$1178,"NO",'Registre de reserves'!$I$2:$I$1178,'2021'!$A113,'Registre de reserves'!$B$2:$B$1178,'2021'!R$2,Tabla1[ANY],'2021'!$Z$76)</f>
        <v>0</v>
      </c>
      <c r="S113" s="21">
        <f t="shared" si="118"/>
        <v>0</v>
      </c>
      <c r="T113" s="23">
        <f>SUMIFS('Registre de reserves'!$W$2:$W$1178,'Registre de reserves'!$T$2:$T$1178,"NO",'Registre de reserves'!$I$2:$I$1178,'2021'!$A113,'Registre de reserves'!$B$2:$B$1178,'2021'!T$2,Tabla1[ANY],'2021'!$Z$76)</f>
        <v>0</v>
      </c>
      <c r="U113" s="21">
        <f t="shared" si="119"/>
        <v>0</v>
      </c>
      <c r="V113" s="23">
        <f>SUMIFS('Registre de reserves'!$W$2:$W$1178,'Registre de reserves'!$T$2:$T$1178,"NO",'Registre de reserves'!$I$2:$I$1178,'2021'!$A113,'Registre de reserves'!$B$2:$B$1178,'2021'!V$2,Tabla1[ANY],'2021'!$Z$76)</f>
        <v>0</v>
      </c>
      <c r="W113" s="21">
        <f t="shared" si="120"/>
        <v>0</v>
      </c>
      <c r="X113" s="23">
        <f>SUMIFS('Registre de reserves'!$W$2:$W$1178,'Registre de reserves'!$T$2:$T$1178,"NO",'Registre de reserves'!$I$2:$I$1178,'2021'!$A113,'Registre de reserves'!$B$2:$B$1178,'2021'!X$2,Tabla1[ANY],'2021'!$Z$76)</f>
        <v>0</v>
      </c>
      <c r="Y113" s="21">
        <f t="shared" si="121"/>
        <v>0</v>
      </c>
      <c r="Z113" s="20">
        <f t="shared" si="99"/>
        <v>0</v>
      </c>
      <c r="AA113" s="21">
        <f t="shared" si="123"/>
        <v>0</v>
      </c>
    </row>
    <row r="114" spans="1:27" ht="15.75" collapsed="1" thickBot="1" x14ac:dyDescent="0.25">
      <c r="A114" s="14" t="s">
        <v>78</v>
      </c>
      <c r="B114" s="24">
        <f>B115+B123</f>
        <v>639.96</v>
      </c>
      <c r="C114" s="25">
        <f>IF(B173=0,0,B114/B77)</f>
        <v>0</v>
      </c>
      <c r="D114" s="24">
        <f>D115+D123</f>
        <v>372.09</v>
      </c>
      <c r="E114" s="25">
        <f>IF(D173=0,0,D114/D77)</f>
        <v>0</v>
      </c>
      <c r="F114" s="24">
        <f>F115+F123</f>
        <v>263.95</v>
      </c>
      <c r="G114" s="25">
        <f>IF(F173=0,0,F114/F77)</f>
        <v>0</v>
      </c>
      <c r="H114" s="24">
        <f>H115+H123</f>
        <v>263</v>
      </c>
      <c r="I114" s="25">
        <f>IF(H173=0,0,H114/H77)</f>
        <v>0</v>
      </c>
      <c r="J114" s="24">
        <f>J115+J123</f>
        <v>313.92</v>
      </c>
      <c r="K114" s="25">
        <f>IF(J173=0,0,J114/J77)</f>
        <v>0</v>
      </c>
      <c r="L114" s="24">
        <f>L115+L123</f>
        <v>292.24</v>
      </c>
      <c r="M114" s="25">
        <f>IF(L173=0,0,L114/L77)</f>
        <v>0.25927798922928141</v>
      </c>
      <c r="N114" s="24">
        <f>N115+N123</f>
        <v>400.75</v>
      </c>
      <c r="O114" s="25">
        <f>IF(N173=0,0,N114/N77)</f>
        <v>0</v>
      </c>
      <c r="P114" s="24">
        <f>P115+P123</f>
        <v>366</v>
      </c>
      <c r="Q114" s="25">
        <f>IF(P173=0,0,P114/P77)</f>
        <v>0</v>
      </c>
      <c r="R114" s="24">
        <f>R115+R123</f>
        <v>597.67000000000007</v>
      </c>
      <c r="S114" s="25">
        <f>IF(R173=0,0,R114/R77)</f>
        <v>0</v>
      </c>
      <c r="T114" s="24">
        <f>T115+T123</f>
        <v>484.76000000000005</v>
      </c>
      <c r="U114" s="25">
        <f>IF(T173=0,0,T114/T77)</f>
        <v>0</v>
      </c>
      <c r="V114" s="24">
        <f>V115+V123</f>
        <v>562.87</v>
      </c>
      <c r="W114" s="25">
        <f>IF(V173=0,0,V114/V77)</f>
        <v>0</v>
      </c>
      <c r="X114" s="24">
        <f>X115+X123</f>
        <v>1291.8599999999999</v>
      </c>
      <c r="Y114" s="25">
        <f>IF(X173=0,0,X114/X77)</f>
        <v>0</v>
      </c>
      <c r="Z114" s="24">
        <f>Z115+Z123</f>
        <v>5849.0700000000006</v>
      </c>
      <c r="AA114" s="25">
        <f>IF(Z173=0,0,Z114/Z77)</f>
        <v>0.49923523778471612</v>
      </c>
    </row>
    <row r="115" spans="1:27" x14ac:dyDescent="0.2">
      <c r="A115" s="33" t="s">
        <v>79</v>
      </c>
      <c r="B115" s="18">
        <f>SUM(B116:B122)</f>
        <v>639.96</v>
      </c>
      <c r="C115" s="19">
        <f>IF(B$114=0,0,B115/B$114)</f>
        <v>1</v>
      </c>
      <c r="D115" s="18">
        <f>SUM(D116:D122)</f>
        <v>343.64</v>
      </c>
      <c r="E115" s="19">
        <f>IF(D$114=0,0,D115/D$114)</f>
        <v>0.92354000376253065</v>
      </c>
      <c r="F115" s="18">
        <f>SUM(F116:F122)</f>
        <v>263.95</v>
      </c>
      <c r="G115" s="19">
        <f>IF(F$114=0,0,F115/F$114)</f>
        <v>1</v>
      </c>
      <c r="H115" s="18">
        <f>SUM(H116:H122)</f>
        <v>263</v>
      </c>
      <c r="I115" s="19">
        <f>IF(H$114=0,0,H115/H$114)</f>
        <v>1</v>
      </c>
      <c r="J115" s="18">
        <f>SUM(J116:J122)</f>
        <v>263</v>
      </c>
      <c r="K115" s="19">
        <f>IF(J$114=0,0,J115/J$114)</f>
        <v>0.83779306829765543</v>
      </c>
      <c r="L115" s="18">
        <f>SUM(L116:L122)</f>
        <v>278.24</v>
      </c>
      <c r="M115" s="19">
        <f>IF(L$114=0,0,L115/L$114)</f>
        <v>0.95209416917601974</v>
      </c>
      <c r="N115" s="18">
        <f>SUM(N116:N122)</f>
        <v>314.49</v>
      </c>
      <c r="O115" s="19">
        <f>IF(N$114=0,0,N115/N$114)</f>
        <v>0.7847535870243294</v>
      </c>
      <c r="P115" s="18">
        <f>SUM(P116:P122)</f>
        <v>366</v>
      </c>
      <c r="Q115" s="19">
        <f>IF(P$114=0,0,P115/P$114)</f>
        <v>1</v>
      </c>
      <c r="R115" s="18">
        <f>SUM(R116:R122)</f>
        <v>417.97</v>
      </c>
      <c r="S115" s="19">
        <f>IF(R$114=0,0,R115/R$114)</f>
        <v>0.69933240751585324</v>
      </c>
      <c r="T115" s="18">
        <f>SUM(T116:T122)</f>
        <v>469.27000000000004</v>
      </c>
      <c r="U115" s="19">
        <f>IF(T$114=0,0,T115/T$114)</f>
        <v>0.968046043402921</v>
      </c>
      <c r="V115" s="18">
        <f>SUM(V116:V122)</f>
        <v>468.97</v>
      </c>
      <c r="W115" s="19">
        <f>IF(V$114=0,0,V115/V$114)</f>
        <v>0.83317639952386879</v>
      </c>
      <c r="X115" s="18">
        <f>SUM(X116:X122)</f>
        <v>988.79</v>
      </c>
      <c r="Y115" s="19">
        <f>IF(X$114=0,0,X115/X$114)</f>
        <v>0.76540027557165635</v>
      </c>
      <c r="Z115" s="18">
        <f>SUM(Z116:Z122)</f>
        <v>5077.2800000000007</v>
      </c>
      <c r="AA115" s="19">
        <f>IF(Z$114=0,0,Z115/Z$114)</f>
        <v>0.86804910866171892</v>
      </c>
    </row>
    <row r="116" spans="1:27" hidden="1" outlineLevel="1" x14ac:dyDescent="0.2">
      <c r="A116" s="8" t="s">
        <v>16</v>
      </c>
      <c r="B116" s="20">
        <f>SUMIFS(Tabla2[A],Tabla2[ANY],$Z$76,Tabla2[MES],'2021'!B$2,Tabla2[TIPUS],'2021'!$A116)</f>
        <v>204</v>
      </c>
      <c r="C116" s="21">
        <f>IF(B$115=0,0,B116/B$115)</f>
        <v>0.31876992312019498</v>
      </c>
      <c r="D116" s="20">
        <f>SUMIFS(Tabla2[A],Tabla2[ANY],$Z$76,Tabla2[MES],'2021'!D$2,Tabla2[TIPUS],'2021'!$A116)</f>
        <v>204</v>
      </c>
      <c r="E116" s="21">
        <f>IF(D$115=0,0,D116/D$115)</f>
        <v>0.59364451169828891</v>
      </c>
      <c r="F116" s="20">
        <f>SUMIFS(Tabla2[A],Tabla2[ANY],$Z$76,Tabla2[MES],'2021'!F$2,Tabla2[TIPUS],'2021'!$A116)</f>
        <v>204</v>
      </c>
      <c r="G116" s="21">
        <f t="shared" ref="G116:G122" si="124">IF(F$115=0,0,F116/F$115)</f>
        <v>0.77287365031255928</v>
      </c>
      <c r="H116" s="20">
        <f>SUMIFS(Tabla2[A],Tabla2[ANY],$Z$76,Tabla2[MES],'2021'!H$2,Tabla2[TIPUS],'2021'!$A116)</f>
        <v>204</v>
      </c>
      <c r="I116" s="21">
        <f t="shared" ref="I116:I122" si="125">IF(H$115=0,0,H116/H$115)</f>
        <v>0.7756653992395437</v>
      </c>
      <c r="J116" s="20">
        <f>SUMIFS(Tabla2[A],Tabla2[ANY],$Z$76,Tabla2[MES],'2021'!J$2,Tabla2[TIPUS],'2021'!$A116)</f>
        <v>204</v>
      </c>
      <c r="K116" s="21">
        <f t="shared" ref="K116:K122" si="126">IF(J$115=0,0,J116/J$115)</f>
        <v>0.7756653992395437</v>
      </c>
      <c r="L116" s="20">
        <f>SUMIFS(Tabla2[A],Tabla2[ANY],$Z$76,Tabla2[MES],'2021'!L$2,Tabla2[TIPUS],'2021'!$A116)</f>
        <v>204</v>
      </c>
      <c r="M116" s="21">
        <f t="shared" ref="M116:M122" si="127">IF(L$115=0,0,L116/L$115)</f>
        <v>0.73317998849913746</v>
      </c>
      <c r="N116" s="20">
        <f>SUMIFS(Tabla2[A],Tabla2[ANY],$Z$76,Tabla2[MES],'2021'!N$2,Tabla2[TIPUS],'2021'!$A116)</f>
        <v>204</v>
      </c>
      <c r="O116" s="21">
        <f t="shared" ref="O116:O122" si="128">IF(N$115=0,0,N116/N$115)</f>
        <v>0.64866927406276831</v>
      </c>
      <c r="P116" s="20">
        <f>SUMIFS(Tabla2[A],Tabla2[ANY],$Z$76,Tabla2[MES],'2021'!P$2,Tabla2[TIPUS],'2021'!$A116)</f>
        <v>204</v>
      </c>
      <c r="Q116" s="21">
        <f t="shared" ref="Q116:Q122" si="129">IF(P$115=0,0,P116/P$115)</f>
        <v>0.55737704918032782</v>
      </c>
      <c r="R116" s="20">
        <f>SUMIFS(Tabla2[A],Tabla2[ANY],$Z$76,Tabla2[MES],'2021'!R$2,Tabla2[TIPUS],'2021'!$A116)</f>
        <v>204</v>
      </c>
      <c r="S116" s="21">
        <f t="shared" ref="S116:S122" si="130">IF(R$115=0,0,R116/R$115)</f>
        <v>0.48807330669665283</v>
      </c>
      <c r="T116" s="20">
        <f>SUMIFS(Tabla2[A],Tabla2[ANY],$Z$76,Tabla2[MES],'2021'!T$2,Tabla2[TIPUS],'2021'!$A116)</f>
        <v>204</v>
      </c>
      <c r="U116" s="21">
        <f t="shared" ref="U116:U122" si="131">IF(T$115=0,0,T116/T$115)</f>
        <v>0.43471775310588784</v>
      </c>
      <c r="V116" s="20">
        <f>SUMIFS(Tabla2[A],Tabla2[ANY],$Z$76,Tabla2[MES],'2021'!V$2,Tabla2[TIPUS],'2021'!$A116)</f>
        <v>204</v>
      </c>
      <c r="W116" s="21">
        <f t="shared" ref="W116:W122" si="132">IF(V$115=0,0,V116/V$115)</f>
        <v>0.43499584195151075</v>
      </c>
      <c r="X116" s="20">
        <f>SUMIFS(Tabla2[A],Tabla2[ANY],$Z$76,Tabla2[MES],'2021'!X$2,Tabla2[TIPUS],'2021'!$A116)</f>
        <v>204</v>
      </c>
      <c r="Y116" s="21">
        <f t="shared" ref="Y116:Y122" si="133">IF(X$115=0,0,X116/X$115)</f>
        <v>0.20631276610807148</v>
      </c>
      <c r="Z116" s="20">
        <f t="shared" ref="Z116:Z128" si="134">B116+D116+F116+H116+J116+L116+N116+P116+R116+T116+V116+X116</f>
        <v>2448</v>
      </c>
      <c r="AA116" s="21">
        <f>IF(Z$115=0,0,Z116/Z$115)</f>
        <v>0.48214792172186677</v>
      </c>
    </row>
    <row r="117" spans="1:27" hidden="1" outlineLevel="1" x14ac:dyDescent="0.2">
      <c r="A117" s="8" t="s">
        <v>17</v>
      </c>
      <c r="B117" s="20">
        <f>SUMIFS(Tabla2[A],Tabla2[ANY],$Z$76,Tabla2[MES],'2021'!B$2,Tabla2[TIPUS],'2021'!$A117)</f>
        <v>0</v>
      </c>
      <c r="C117" s="21">
        <f t="shared" ref="C117:E122" si="135">IF(B$115=0,0,B117/B$115)</f>
        <v>0</v>
      </c>
      <c r="D117" s="20">
        <f>SUMIFS(Tabla2[A],Tabla2[ANY],$Z$76,Tabla2[MES],'2021'!D$2,Tabla2[TIPUS],'2021'!$A117)</f>
        <v>84.060000000000016</v>
      </c>
      <c r="E117" s="21">
        <f t="shared" si="135"/>
        <v>0.24461645908508911</v>
      </c>
      <c r="F117" s="20">
        <f>SUMIFS(Tabla2[A],Tabla2[ANY],$Z$76,Tabla2[MES],'2021'!F$2,Tabla2[TIPUS],'2021'!$A117)</f>
        <v>0.95</v>
      </c>
      <c r="G117" s="21">
        <f t="shared" si="124"/>
        <v>3.5991665088084862E-3</v>
      </c>
      <c r="H117" s="20">
        <f>SUMIFS(Tabla2[A],Tabla2[ANY],$Z$76,Tabla2[MES],'2021'!H$2,Tabla2[TIPUS],'2021'!$A117)</f>
        <v>0</v>
      </c>
      <c r="I117" s="21">
        <f t="shared" si="125"/>
        <v>0</v>
      </c>
      <c r="J117" s="20">
        <f>SUMIFS(Tabla2[A],Tabla2[ANY],$Z$76,Tabla2[MES],'2021'!J$2,Tabla2[TIPUS],'2021'!$A117)</f>
        <v>0</v>
      </c>
      <c r="K117" s="21">
        <f t="shared" si="126"/>
        <v>0</v>
      </c>
      <c r="L117" s="20">
        <f>SUMIFS(Tabla2[A],Tabla2[ANY],$Z$76,Tabla2[MES],'2021'!L$2,Tabla2[TIPUS],'2021'!$A117)</f>
        <v>15.24</v>
      </c>
      <c r="M117" s="21">
        <f t="shared" si="127"/>
        <v>5.4772857964347325E-2</v>
      </c>
      <c r="N117" s="20">
        <f>SUMIFS(Tabla2[A],Tabla2[ANY],$Z$76,Tabla2[MES],'2021'!N$2,Tabla2[TIPUS],'2021'!$A117)</f>
        <v>51.49</v>
      </c>
      <c r="O117" s="21">
        <f t="shared" si="128"/>
        <v>0.16372539667398009</v>
      </c>
      <c r="P117" s="20">
        <f>SUMIFS(Tabla2[A],Tabla2[ANY],$Z$76,Tabla2[MES],'2021'!P$2,Tabla2[TIPUS],'2021'!$A117)</f>
        <v>103</v>
      </c>
      <c r="Q117" s="21">
        <f t="shared" si="129"/>
        <v>0.28142076502732238</v>
      </c>
      <c r="R117" s="20">
        <f>SUMIFS(Tabla2[A],Tabla2[ANY],$Z$76,Tabla2[MES],'2021'!R$2,Tabla2[TIPUS],'2021'!$A117)</f>
        <v>154.97</v>
      </c>
      <c r="S117" s="21">
        <f t="shared" si="130"/>
        <v>0.37076823695480532</v>
      </c>
      <c r="T117" s="20">
        <f>SUMIFS(Tabla2[A],Tabla2[ANY],$Z$76,Tabla2[MES],'2021'!T$2,Tabla2[TIPUS],'2021'!$A117)</f>
        <v>205.97</v>
      </c>
      <c r="U117" s="21">
        <f t="shared" si="131"/>
        <v>0.43891576278048883</v>
      </c>
      <c r="V117" s="20">
        <f>SUMIFS(Tabla2[A],Tabla2[ANY],$Z$76,Tabla2[MES],'2021'!V$2,Tabla2[TIPUS],'2021'!$A117)</f>
        <v>205.97</v>
      </c>
      <c r="W117" s="21">
        <f t="shared" si="132"/>
        <v>0.43919653709192485</v>
      </c>
      <c r="X117" s="20">
        <f>SUMIFS(Tabla2[A],Tabla2[ANY],$Z$76,Tabla2[MES],'2021'!X$2,Tabla2[TIPUS],'2021'!$A117)</f>
        <v>208.79</v>
      </c>
      <c r="Y117" s="21">
        <f t="shared" si="133"/>
        <v>0.2111570707632561</v>
      </c>
      <c r="Z117" s="20">
        <f t="shared" si="134"/>
        <v>1030.44</v>
      </c>
      <c r="AA117" s="21">
        <f t="shared" ref="AA117:AA122" si="136">IF(Z$115=0,0,Z117/Z$115)</f>
        <v>0.20295118646204266</v>
      </c>
    </row>
    <row r="118" spans="1:27" hidden="1" outlineLevel="1" x14ac:dyDescent="0.2">
      <c r="A118" s="8" t="s">
        <v>85</v>
      </c>
      <c r="B118" s="20">
        <f>SUMIFS(Tabla2[A],Tabla2[ANY],$Z$76,Tabla2[MES],'2021'!B$2,Tabla2[TIPUS],'2021'!$A118)</f>
        <v>0</v>
      </c>
      <c r="C118" s="21">
        <f t="shared" si="135"/>
        <v>0</v>
      </c>
      <c r="D118" s="20">
        <f>SUMIFS(Tabla2[A],Tabla2[ANY],$Z$76,Tabla2[MES],'2021'!D$2,Tabla2[TIPUS],'2021'!$A118)</f>
        <v>0</v>
      </c>
      <c r="E118" s="21">
        <f t="shared" si="135"/>
        <v>0</v>
      </c>
      <c r="F118" s="20">
        <f>SUMIFS(Tabla2[A],Tabla2[ANY],$Z$76,Tabla2[MES],'2021'!F$2,Tabla2[TIPUS],'2021'!$A118)</f>
        <v>0</v>
      </c>
      <c r="G118" s="21">
        <f t="shared" si="124"/>
        <v>0</v>
      </c>
      <c r="H118" s="20">
        <f>SUMIFS(Tabla2[A],Tabla2[ANY],$Z$76,Tabla2[MES],'2021'!H$2,Tabla2[TIPUS],'2021'!$A118)</f>
        <v>0</v>
      </c>
      <c r="I118" s="21">
        <f t="shared" si="125"/>
        <v>0</v>
      </c>
      <c r="J118" s="20">
        <f>SUMIFS(Tabla2[A],Tabla2[ANY],$Z$76,Tabla2[MES],'2021'!J$2,Tabla2[TIPUS],'2021'!$A118)</f>
        <v>0</v>
      </c>
      <c r="K118" s="21">
        <f t="shared" si="126"/>
        <v>0</v>
      </c>
      <c r="L118" s="20">
        <f>SUMIFS(Tabla2[A],Tabla2[ANY],$Z$76,Tabla2[MES],'2021'!L$2,Tabla2[TIPUS],'2021'!$A118)</f>
        <v>0</v>
      </c>
      <c r="M118" s="21">
        <f t="shared" si="127"/>
        <v>0</v>
      </c>
      <c r="N118" s="20">
        <f>SUMIFS(Tabla2[A],Tabla2[ANY],$Z$76,Tabla2[MES],'2021'!N$2,Tabla2[TIPUS],'2021'!$A118)</f>
        <v>0</v>
      </c>
      <c r="O118" s="21">
        <f t="shared" si="128"/>
        <v>0</v>
      </c>
      <c r="P118" s="20">
        <f>SUMIFS(Tabla2[A],Tabla2[ANY],$Z$76,Tabla2[MES],'2021'!P$2,Tabla2[TIPUS],'2021'!$A118)</f>
        <v>0</v>
      </c>
      <c r="Q118" s="21">
        <f t="shared" si="129"/>
        <v>0</v>
      </c>
      <c r="R118" s="20">
        <f>SUMIFS(Tabla2[A],Tabla2[ANY],$Z$76,Tabla2[MES],'2021'!R$2,Tabla2[TIPUS],'2021'!$A118)</f>
        <v>0</v>
      </c>
      <c r="S118" s="21">
        <f t="shared" si="130"/>
        <v>0</v>
      </c>
      <c r="T118" s="20">
        <f>SUMIFS(Tabla2[A],Tabla2[ANY],$Z$76,Tabla2[MES],'2021'!T$2,Tabla2[TIPUS],'2021'!$A118)</f>
        <v>0</v>
      </c>
      <c r="U118" s="21">
        <f t="shared" si="131"/>
        <v>0</v>
      </c>
      <c r="V118" s="20">
        <f>SUMIFS(Tabla2[A],Tabla2[ANY],$Z$76,Tabla2[MES],'2021'!V$2,Tabla2[TIPUS],'2021'!$A118)</f>
        <v>0</v>
      </c>
      <c r="W118" s="21">
        <f t="shared" si="132"/>
        <v>0</v>
      </c>
      <c r="X118" s="20">
        <f>SUMIFS(Tabla2[A],Tabla2[ANY],$Z$76,Tabla2[MES],'2021'!X$2,Tabla2[TIPUS],'2021'!$A118)</f>
        <v>0</v>
      </c>
      <c r="Y118" s="21">
        <f t="shared" si="133"/>
        <v>0</v>
      </c>
      <c r="Z118" s="20">
        <f t="shared" si="134"/>
        <v>0</v>
      </c>
      <c r="AA118" s="21">
        <f t="shared" si="136"/>
        <v>0</v>
      </c>
    </row>
    <row r="119" spans="1:27" hidden="1" outlineLevel="1" x14ac:dyDescent="0.2">
      <c r="A119" s="8" t="s">
        <v>94</v>
      </c>
      <c r="B119" s="20">
        <f>SUMIFS(Tabla2[A],Tabla2[ANY],$Z$76,Tabla2[MES],'2021'!B$2,Tabla2[TIPUS],'2021'!$A119)</f>
        <v>382.66</v>
      </c>
      <c r="C119" s="21">
        <f t="shared" si="135"/>
        <v>0.59794362147634228</v>
      </c>
      <c r="D119" s="20">
        <f>SUMIFS(Tabla2[A],Tabla2[ANY],$Z$76,Tabla2[MES],'2021'!D$2,Tabla2[TIPUS],'2021'!$A119)</f>
        <v>0</v>
      </c>
      <c r="E119" s="21">
        <f t="shared" si="135"/>
        <v>0</v>
      </c>
      <c r="F119" s="20">
        <f>SUMIFS(Tabla2[A],Tabla2[ANY],$Z$76,Tabla2[MES],'2021'!F$2,Tabla2[TIPUS],'2021'!$A119)</f>
        <v>0</v>
      </c>
      <c r="G119" s="21">
        <f t="shared" si="124"/>
        <v>0</v>
      </c>
      <c r="H119" s="20">
        <f>SUMIFS(Tabla2[A],Tabla2[ANY],$Z$76,Tabla2[MES],'2021'!H$2,Tabla2[TIPUS],'2021'!$A119)</f>
        <v>0</v>
      </c>
      <c r="I119" s="21">
        <f t="shared" si="125"/>
        <v>0</v>
      </c>
      <c r="J119" s="20">
        <f>SUMIFS(Tabla2[A],Tabla2[ANY],$Z$76,Tabla2[MES],'2021'!J$2,Tabla2[TIPUS],'2021'!$A119)</f>
        <v>0</v>
      </c>
      <c r="K119" s="21">
        <f t="shared" si="126"/>
        <v>0</v>
      </c>
      <c r="L119" s="20">
        <f>SUMIFS(Tabla2[A],Tabla2[ANY],$Z$76,Tabla2[MES],'2021'!L$2,Tabla2[TIPUS],'2021'!$A119)</f>
        <v>0</v>
      </c>
      <c r="M119" s="21">
        <f t="shared" si="127"/>
        <v>0</v>
      </c>
      <c r="N119" s="20">
        <f>SUMIFS(Tabla2[A],Tabla2[ANY],$Z$76,Tabla2[MES],'2021'!N$2,Tabla2[TIPUS],'2021'!$A119)</f>
        <v>0</v>
      </c>
      <c r="O119" s="21">
        <f t="shared" si="128"/>
        <v>0</v>
      </c>
      <c r="P119" s="20">
        <f>SUMIFS(Tabla2[A],Tabla2[ANY],$Z$76,Tabla2[MES],'2021'!P$2,Tabla2[TIPUS],'2021'!$A119)</f>
        <v>0</v>
      </c>
      <c r="Q119" s="21">
        <f t="shared" si="129"/>
        <v>0</v>
      </c>
      <c r="R119" s="20">
        <f>SUMIFS(Tabla2[A],Tabla2[ANY],$Z$76,Tabla2[MES],'2021'!R$2,Tabla2[TIPUS],'2021'!$A119)</f>
        <v>0</v>
      </c>
      <c r="S119" s="21">
        <f t="shared" si="130"/>
        <v>0</v>
      </c>
      <c r="T119" s="20">
        <f>SUMIFS(Tabla2[A],Tabla2[ANY],$Z$76,Tabla2[MES],'2021'!T$2,Tabla2[TIPUS],'2021'!$A119)</f>
        <v>0</v>
      </c>
      <c r="U119" s="21">
        <f t="shared" si="131"/>
        <v>0</v>
      </c>
      <c r="V119" s="20">
        <f>SUMIFS(Tabla2[A],Tabla2[ANY],$Z$76,Tabla2[MES],'2021'!V$2,Tabla2[TIPUS],'2021'!$A119)</f>
        <v>0</v>
      </c>
      <c r="W119" s="21">
        <f t="shared" si="132"/>
        <v>0</v>
      </c>
      <c r="X119" s="20">
        <f>SUMIFS(Tabla2[A],Tabla2[ANY],$Z$76,Tabla2[MES],'2021'!X$2,Tabla2[TIPUS],'2021'!$A119)</f>
        <v>0</v>
      </c>
      <c r="Y119" s="21">
        <f t="shared" si="133"/>
        <v>0</v>
      </c>
      <c r="Z119" s="20">
        <f t="shared" si="134"/>
        <v>382.66</v>
      </c>
      <c r="AA119" s="21">
        <f t="shared" si="136"/>
        <v>7.5367125705101942E-2</v>
      </c>
    </row>
    <row r="120" spans="1:27" hidden="1" outlineLevel="1" x14ac:dyDescent="0.2">
      <c r="A120" s="8" t="s">
        <v>118</v>
      </c>
      <c r="B120" s="20">
        <f>SUMIFS(Tabla2[A],Tabla2[ANY],$Z$76,Tabla2[MES],'2021'!B$2,Tabla2[TIPUS],'2021'!$A120)</f>
        <v>0</v>
      </c>
      <c r="C120" s="21">
        <f t="shared" si="135"/>
        <v>0</v>
      </c>
      <c r="D120" s="20">
        <f>SUMIFS(Tabla2[A],Tabla2[ANY],$Z$76,Tabla2[MES],'2021'!D$2,Tabla2[TIPUS],'2021'!$A120)</f>
        <v>0</v>
      </c>
      <c r="E120" s="21">
        <f t="shared" si="135"/>
        <v>0</v>
      </c>
      <c r="F120" s="20">
        <f>SUMIFS(Tabla2[A],Tabla2[ANY],$Z$76,Tabla2[MES],'2021'!F$2,Tabla2[TIPUS],'2021'!$A120)</f>
        <v>0</v>
      </c>
      <c r="G120" s="21">
        <f t="shared" si="124"/>
        <v>0</v>
      </c>
      <c r="H120" s="20">
        <f>SUMIFS(Tabla2[A],Tabla2[ANY],$Z$76,Tabla2[MES],'2021'!H$2,Tabla2[TIPUS],'2021'!$A120)</f>
        <v>0</v>
      </c>
      <c r="I120" s="21">
        <f t="shared" si="125"/>
        <v>0</v>
      </c>
      <c r="J120" s="20">
        <f>SUMIFS(Tabla2[A],Tabla2[ANY],$Z$76,Tabla2[MES],'2021'!J$2,Tabla2[TIPUS],'2021'!$A120)</f>
        <v>0</v>
      </c>
      <c r="K120" s="21">
        <f t="shared" si="126"/>
        <v>0</v>
      </c>
      <c r="L120" s="20">
        <f>SUMIFS(Tabla2[A],Tabla2[ANY],$Z$76,Tabla2[MES],'2021'!L$2,Tabla2[TIPUS],'2021'!$A120)</f>
        <v>0</v>
      </c>
      <c r="M120" s="21">
        <f t="shared" si="127"/>
        <v>0</v>
      </c>
      <c r="N120" s="20">
        <f>SUMIFS(Tabla2[A],Tabla2[ANY],$Z$76,Tabla2[MES],'2021'!N$2,Tabla2[TIPUS],'2021'!$A120)</f>
        <v>0</v>
      </c>
      <c r="O120" s="21">
        <f t="shared" si="128"/>
        <v>0</v>
      </c>
      <c r="P120" s="20">
        <f>SUMIFS(Tabla2[A],Tabla2[ANY],$Z$76,Tabla2[MES],'2021'!P$2,Tabla2[TIPUS],'2021'!$A120)</f>
        <v>0</v>
      </c>
      <c r="Q120" s="21">
        <f t="shared" si="129"/>
        <v>0</v>
      </c>
      <c r="R120" s="20">
        <f>SUMIFS(Tabla2[A],Tabla2[ANY],$Z$76,Tabla2[MES],'2021'!R$2,Tabla2[TIPUS],'2021'!$A120)</f>
        <v>0</v>
      </c>
      <c r="S120" s="21">
        <f t="shared" si="130"/>
        <v>0</v>
      </c>
      <c r="T120" s="20">
        <f>SUMIFS(Tabla2[A],Tabla2[ANY],$Z$76,Tabla2[MES],'2021'!T$2,Tabla2[TIPUS],'2021'!$A120)</f>
        <v>0</v>
      </c>
      <c r="U120" s="21">
        <f t="shared" si="131"/>
        <v>0</v>
      </c>
      <c r="V120" s="20">
        <f>SUMIFS(Tabla2[A],Tabla2[ANY],$Z$76,Tabla2[MES],'2021'!V$2,Tabla2[TIPUS],'2021'!$A120)</f>
        <v>0</v>
      </c>
      <c r="W120" s="21">
        <f t="shared" si="132"/>
        <v>0</v>
      </c>
      <c r="X120" s="20">
        <f>SUMIFS(Tabla2[A],Tabla2[ANY],$Z$76,Tabla2[MES],'2021'!X$2,Tabla2[TIPUS],'2021'!$A120)</f>
        <v>499</v>
      </c>
      <c r="Y120" s="21">
        <f t="shared" si="133"/>
        <v>0.50465720729376307</v>
      </c>
      <c r="Z120" s="20">
        <f t="shared" si="134"/>
        <v>499</v>
      </c>
      <c r="AA120" s="21">
        <f t="shared" si="136"/>
        <v>9.8280969337913207E-2</v>
      </c>
    </row>
    <row r="121" spans="1:27" hidden="1" outlineLevel="1" x14ac:dyDescent="0.2">
      <c r="A121" s="8" t="s">
        <v>97</v>
      </c>
      <c r="B121" s="20">
        <f>SUMIFS(Tabla2[A],Tabla2[ANY],$Z$76,Tabla2[MES],'2021'!B$2,Tabla2[TIPUS],'2021'!$A121)</f>
        <v>0</v>
      </c>
      <c r="C121" s="21">
        <f t="shared" si="135"/>
        <v>0</v>
      </c>
      <c r="D121" s="20">
        <f>SUMIFS(Tabla2[A],Tabla2[ANY],$Z$76,Tabla2[MES],'2021'!D$2,Tabla2[TIPUS],'2021'!$A121)</f>
        <v>0</v>
      </c>
      <c r="E121" s="21">
        <f t="shared" si="135"/>
        <v>0</v>
      </c>
      <c r="F121" s="20">
        <f>SUMIFS(Tabla2[A],Tabla2[ANY],$Z$76,Tabla2[MES],'2021'!F$2,Tabla2[TIPUS],'2021'!$A121)</f>
        <v>0</v>
      </c>
      <c r="G121" s="21">
        <f t="shared" si="124"/>
        <v>0</v>
      </c>
      <c r="H121" s="20">
        <f>SUMIFS(Tabla2[A],Tabla2[ANY],$Z$76,Tabla2[MES],'2021'!H$2,Tabla2[TIPUS],'2021'!$A121)</f>
        <v>0</v>
      </c>
      <c r="I121" s="21">
        <f t="shared" si="125"/>
        <v>0</v>
      </c>
      <c r="J121" s="20">
        <f>SUMIFS(Tabla2[A],Tabla2[ANY],$Z$76,Tabla2[MES],'2021'!J$2,Tabla2[TIPUS],'2021'!$A121)</f>
        <v>0</v>
      </c>
      <c r="K121" s="21">
        <f t="shared" si="126"/>
        <v>0</v>
      </c>
      <c r="L121" s="20">
        <f>SUMIFS(Tabla2[A],Tabla2[ANY],$Z$76,Tabla2[MES],'2021'!L$2,Tabla2[TIPUS],'2021'!$A121)</f>
        <v>0</v>
      </c>
      <c r="M121" s="21">
        <f t="shared" si="127"/>
        <v>0</v>
      </c>
      <c r="N121" s="20">
        <f>SUMIFS(Tabla2[A],Tabla2[ANY],$Z$76,Tabla2[MES],'2021'!N$2,Tabla2[TIPUS],'2021'!$A121)</f>
        <v>0</v>
      </c>
      <c r="O121" s="21">
        <f t="shared" si="128"/>
        <v>0</v>
      </c>
      <c r="P121" s="20">
        <f>SUMIFS(Tabla2[A],Tabla2[ANY],$Z$76,Tabla2[MES],'2021'!P$2,Tabla2[TIPUS],'2021'!$A121)</f>
        <v>0</v>
      </c>
      <c r="Q121" s="21">
        <f t="shared" si="129"/>
        <v>0</v>
      </c>
      <c r="R121" s="20">
        <f>SUMIFS(Tabla2[A],Tabla2[ANY],$Z$76,Tabla2[MES],'2021'!R$2,Tabla2[TIPUS],'2021'!$A121)</f>
        <v>0</v>
      </c>
      <c r="S121" s="21">
        <f t="shared" si="130"/>
        <v>0</v>
      </c>
      <c r="T121" s="20">
        <f>SUMIFS(Tabla2[A],Tabla2[ANY],$Z$76,Tabla2[MES],'2021'!T$2,Tabla2[TIPUS],'2021'!$A121)</f>
        <v>0</v>
      </c>
      <c r="U121" s="21">
        <f t="shared" si="131"/>
        <v>0</v>
      </c>
      <c r="V121" s="20">
        <f>SUMIFS(Tabla2[A],Tabla2[ANY],$Z$76,Tabla2[MES],'2021'!V$2,Tabla2[TIPUS],'2021'!$A121)</f>
        <v>0</v>
      </c>
      <c r="W121" s="21">
        <f t="shared" si="132"/>
        <v>0</v>
      </c>
      <c r="X121" s="20">
        <f>SUMIFS(Tabla2[A],Tabla2[ANY],$Z$76,Tabla2[MES],'2021'!X$2,Tabla2[TIPUS],'2021'!$A121)</f>
        <v>18</v>
      </c>
      <c r="Y121" s="21">
        <f t="shared" si="133"/>
        <v>1.8204067597771014E-2</v>
      </c>
      <c r="Z121" s="20">
        <f t="shared" si="134"/>
        <v>18</v>
      </c>
      <c r="AA121" s="21">
        <f t="shared" si="136"/>
        <v>3.5452053067784321E-3</v>
      </c>
    </row>
    <row r="122" spans="1:27" hidden="1" outlineLevel="1" x14ac:dyDescent="0.2">
      <c r="A122" s="8" t="s">
        <v>113</v>
      </c>
      <c r="B122" s="20">
        <f>SUMIFS(Tabla2[A],Tabla2[ANY],$Z$76,Tabla2[MES],'2021'!B$2,Tabla2[TIPUS],'2021'!$A122)</f>
        <v>53.3</v>
      </c>
      <c r="C122" s="21">
        <f t="shared" si="135"/>
        <v>8.3286455403462703E-2</v>
      </c>
      <c r="D122" s="20">
        <f>SUMIFS(Tabla2[A],Tabla2[ANY],$Z$76,Tabla2[MES],'2021'!D$2,Tabla2[TIPUS],'2021'!$A122)</f>
        <v>55.58</v>
      </c>
      <c r="E122" s="21">
        <f t="shared" si="135"/>
        <v>0.16173902921662206</v>
      </c>
      <c r="F122" s="20">
        <f>SUMIFS(Tabla2[A],Tabla2[ANY],$Z$76,Tabla2[MES],'2021'!F$2,Tabla2[TIPUS],'2021'!$A122)</f>
        <v>59</v>
      </c>
      <c r="G122" s="21">
        <f t="shared" si="124"/>
        <v>0.22352718317863232</v>
      </c>
      <c r="H122" s="20">
        <f>SUMIFS(Tabla2[A],Tabla2[ANY],$Z$76,Tabla2[MES],'2021'!H$2,Tabla2[TIPUS],'2021'!$A122)</f>
        <v>59</v>
      </c>
      <c r="I122" s="21">
        <f t="shared" si="125"/>
        <v>0.22433460076045628</v>
      </c>
      <c r="J122" s="20">
        <f>SUMIFS(Tabla2[A],Tabla2[ANY],$Z$76,Tabla2[MES],'2021'!J$2,Tabla2[TIPUS],'2021'!$A122)</f>
        <v>59</v>
      </c>
      <c r="K122" s="21">
        <f t="shared" si="126"/>
        <v>0.22433460076045628</v>
      </c>
      <c r="L122" s="20">
        <f>SUMIFS(Tabla2[A],Tabla2[ANY],$Z$76,Tabla2[MES],'2021'!L$2,Tabla2[TIPUS],'2021'!$A122)</f>
        <v>59</v>
      </c>
      <c r="M122" s="21">
        <f t="shared" si="127"/>
        <v>0.21204715353651524</v>
      </c>
      <c r="N122" s="20">
        <f>SUMIFS(Tabla2[A],Tabla2[ANY],$Z$76,Tabla2[MES],'2021'!N$2,Tabla2[TIPUS],'2021'!$A122)</f>
        <v>59</v>
      </c>
      <c r="O122" s="21">
        <f t="shared" si="128"/>
        <v>0.1876053292632516</v>
      </c>
      <c r="P122" s="20">
        <f>SUMIFS(Tabla2[A],Tabla2[ANY],$Z$76,Tabla2[MES],'2021'!P$2,Tabla2[TIPUS],'2021'!$A122)</f>
        <v>59</v>
      </c>
      <c r="Q122" s="21">
        <f t="shared" si="129"/>
        <v>0.16120218579234974</v>
      </c>
      <c r="R122" s="20">
        <f>SUMIFS(Tabla2[A],Tabla2[ANY],$Z$76,Tabla2[MES],'2021'!R$2,Tabla2[TIPUS],'2021'!$A122)</f>
        <v>59</v>
      </c>
      <c r="S122" s="21">
        <f t="shared" si="130"/>
        <v>0.14115845634854174</v>
      </c>
      <c r="T122" s="20">
        <f>SUMIFS(Tabla2[A],Tabla2[ANY],$Z$76,Tabla2[MES],'2021'!T$2,Tabla2[TIPUS],'2021'!$A122)</f>
        <v>59.3</v>
      </c>
      <c r="U122" s="21">
        <f t="shared" si="131"/>
        <v>0.12636648411362328</v>
      </c>
      <c r="V122" s="20">
        <f>SUMIFS(Tabla2[A],Tabla2[ANY],$Z$76,Tabla2[MES],'2021'!V$2,Tabla2[TIPUS],'2021'!$A122)</f>
        <v>59</v>
      </c>
      <c r="W122" s="21">
        <f t="shared" si="132"/>
        <v>0.12580762095656439</v>
      </c>
      <c r="X122" s="20">
        <f>SUMIFS(Tabla2[A],Tabla2[ANY],$Z$76,Tabla2[MES],'2021'!X$2,Tabla2[TIPUS],'2021'!$A122)</f>
        <v>59</v>
      </c>
      <c r="Y122" s="21">
        <f t="shared" si="133"/>
        <v>5.9668888237138326E-2</v>
      </c>
      <c r="Z122" s="20">
        <f t="shared" si="134"/>
        <v>699.18</v>
      </c>
      <c r="AA122" s="21">
        <f t="shared" si="136"/>
        <v>0.13770759146629688</v>
      </c>
    </row>
    <row r="123" spans="1:27" collapsed="1" x14ac:dyDescent="0.2">
      <c r="A123" s="34" t="s">
        <v>86</v>
      </c>
      <c r="B123" s="18">
        <f>SUM(B124:B128)</f>
        <v>0</v>
      </c>
      <c r="C123" s="19">
        <f>IF(B$114=0,0,B123/B$114)</f>
        <v>0</v>
      </c>
      <c r="D123" s="18">
        <f>SUM(D124:D128)</f>
        <v>28.45</v>
      </c>
      <c r="E123" s="19">
        <f>IF(D$114=0,0,D123/D$114)</f>
        <v>7.6459996237469435E-2</v>
      </c>
      <c r="F123" s="18">
        <f>SUM(F124:F128)</f>
        <v>0</v>
      </c>
      <c r="G123" s="19">
        <f>IF(F$114=0,0,F123/F$114)</f>
        <v>0</v>
      </c>
      <c r="H123" s="18">
        <f>SUM(H124:H128)</f>
        <v>0</v>
      </c>
      <c r="I123" s="19">
        <f>IF(H$114=0,0,H123/H$114)</f>
        <v>0</v>
      </c>
      <c r="J123" s="18">
        <f>SUM(J124:J128)</f>
        <v>50.92</v>
      </c>
      <c r="K123" s="19">
        <f>IF(J$114=0,0,J123/J$114)</f>
        <v>0.16220693170234454</v>
      </c>
      <c r="L123" s="18">
        <f>SUM(L124:L128)</f>
        <v>14</v>
      </c>
      <c r="M123" s="19">
        <f>IF(L$114=0,0,L123/L$114)</f>
        <v>4.790583082398029E-2</v>
      </c>
      <c r="N123" s="18">
        <f>SUM(N124:N128)</f>
        <v>86.26</v>
      </c>
      <c r="O123" s="19">
        <f>IF(N$114=0,0,N123/N$114)</f>
        <v>0.21524641297567063</v>
      </c>
      <c r="P123" s="18">
        <f>SUM(P124:P128)</f>
        <v>0</v>
      </c>
      <c r="Q123" s="19">
        <f>IF(P$114=0,0,P123/P$114)</f>
        <v>0</v>
      </c>
      <c r="R123" s="18">
        <f>SUM(R124:R128)</f>
        <v>179.7</v>
      </c>
      <c r="S123" s="19">
        <f>IF(R$114=0,0,R123/R$114)</f>
        <v>0.30066759248414671</v>
      </c>
      <c r="T123" s="18">
        <f>SUM(T124:T128)</f>
        <v>15.49</v>
      </c>
      <c r="U123" s="19">
        <f>IF(T$114=0,0,T123/T$114)</f>
        <v>3.1953956597078961E-2</v>
      </c>
      <c r="V123" s="18">
        <f>SUM(V124:V128)</f>
        <v>93.899999999999991</v>
      </c>
      <c r="W123" s="19">
        <f>IF(V$114=0,0,V123/V$114)</f>
        <v>0.16682360047613123</v>
      </c>
      <c r="X123" s="18">
        <f>SUM(X124:X128)</f>
        <v>303.07</v>
      </c>
      <c r="Y123" s="19">
        <f>IF(X$114=0,0,X123/X$114)</f>
        <v>0.23459972442834365</v>
      </c>
      <c r="Z123" s="18">
        <f>SUM(Z124:Z128)</f>
        <v>771.79</v>
      </c>
      <c r="AA123" s="19">
        <f>IF(Z$114=0,0,Z123/Z$114)</f>
        <v>0.13195089133828111</v>
      </c>
    </row>
    <row r="124" spans="1:27" hidden="1" outlineLevel="1" x14ac:dyDescent="0.2">
      <c r="A124" s="8" t="s">
        <v>87</v>
      </c>
      <c r="B124" s="20">
        <f>SUMIFS(Tabla2[A],Tabla2[ANY],$Z$76,Tabla2[MES],'2021'!B$2,Tabla2[TIPUS],'2021'!$A124)</f>
        <v>0</v>
      </c>
      <c r="C124" s="21">
        <f>IF(B$123=0,0,B124/B$123)</f>
        <v>0</v>
      </c>
      <c r="D124" s="20">
        <f>SUMIFS(Tabla2[A],Tabla2[ANY],$Z$76,Tabla2[MES],'2021'!D$2,Tabla2[TIPUS],'2021'!$A124)</f>
        <v>0</v>
      </c>
      <c r="E124" s="21">
        <f>IF(D$123=0,0,D124/D$123)</f>
        <v>0</v>
      </c>
      <c r="F124" s="20">
        <f>SUMIFS(Tabla2[A],Tabla2[ANY],$Z$76,Tabla2[MES],'2021'!F$2,Tabla2[TIPUS],'2021'!$A124)</f>
        <v>0</v>
      </c>
      <c r="G124" s="21">
        <f>IF(F$123=0,0,F124/F$123)</f>
        <v>0</v>
      </c>
      <c r="H124" s="20">
        <f>SUMIFS(Tabla2[A],Tabla2[ANY],$Z$76,Tabla2[MES],'2021'!H$2,Tabla2[TIPUS],'2021'!$A124)</f>
        <v>0</v>
      </c>
      <c r="I124" s="21">
        <f>IF(H$123=0,0,H124/H$123)</f>
        <v>0</v>
      </c>
      <c r="J124" s="20">
        <f>SUMIFS(Tabla2[A],Tabla2[ANY],$Z$76,Tabla2[MES],'2021'!J$2,Tabla2[TIPUS],'2021'!$A124)</f>
        <v>0</v>
      </c>
      <c r="K124" s="21">
        <f>IF(J$123=0,0,J124/J$123)</f>
        <v>0</v>
      </c>
      <c r="L124" s="20">
        <f>SUMIFS(Tabla2[A],Tabla2[ANY],$Z$76,Tabla2[MES],'2021'!L$2,Tabla2[TIPUS],'2021'!$A124)</f>
        <v>0</v>
      </c>
      <c r="M124" s="21">
        <f>IF(L$123=0,0,L124/L$123)</f>
        <v>0</v>
      </c>
      <c r="N124" s="20">
        <f>SUMIFS(Tabla2[A],Tabla2[ANY],$Z$76,Tabla2[MES],'2021'!N$2,Tabla2[TIPUS],'2021'!$A124)</f>
        <v>86.26</v>
      </c>
      <c r="O124" s="21">
        <f>IF(N$123=0,0,N124/N$123)</f>
        <v>1</v>
      </c>
      <c r="P124" s="20">
        <f>SUMIFS(Tabla2[A],Tabla2[ANY],$Z$76,Tabla2[MES],'2021'!P$2,Tabla2[TIPUS],'2021'!$A124)</f>
        <v>0</v>
      </c>
      <c r="Q124" s="21">
        <f>IF(P$123=0,0,P124/P$123)</f>
        <v>0</v>
      </c>
      <c r="R124" s="20">
        <f>SUMIFS(Tabla2[A],Tabla2[ANY],$Z$76,Tabla2[MES],'2021'!R$2,Tabla2[TIPUS],'2021'!$A124)</f>
        <v>107.7</v>
      </c>
      <c r="S124" s="21">
        <f>IF(R$123=0,0,R124/R$123)</f>
        <v>0.59933222036727885</v>
      </c>
      <c r="T124" s="20">
        <f>SUMIFS(Tabla2[A],Tabla2[ANY],$Z$76,Tabla2[MES],'2021'!T$2,Tabla2[TIPUS],'2021'!$A124)</f>
        <v>0</v>
      </c>
      <c r="U124" s="21">
        <f>IF(T$123=0,0,T124/T$123)</f>
        <v>0</v>
      </c>
      <c r="V124" s="20">
        <f>SUMIFS(Tabla2[A],Tabla2[ANY],$Z$76,Tabla2[MES],'2021'!V$2,Tabla2[TIPUS],'2021'!$A124)</f>
        <v>0</v>
      </c>
      <c r="W124" s="21">
        <f>IF(V$123=0,0,V124/V$123)</f>
        <v>0</v>
      </c>
      <c r="X124" s="20">
        <f>SUMIFS(Tabla2[A],Tabla2[ANY],$Z$76,Tabla2[MES],'2021'!X$2,Tabla2[TIPUS],'2021'!$A124)</f>
        <v>254.43</v>
      </c>
      <c r="Y124" s="21">
        <f>IF(X$123=0,0,X124/X$123)</f>
        <v>0.83950902431781438</v>
      </c>
      <c r="Z124" s="20">
        <f t="shared" si="134"/>
        <v>448.39</v>
      </c>
      <c r="AA124" s="21">
        <f>IF(Z$123=0,0,Z124/Z$123)</f>
        <v>0.58097409917205456</v>
      </c>
    </row>
    <row r="125" spans="1:27" hidden="1" outlineLevel="1" x14ac:dyDescent="0.2">
      <c r="A125" s="8" t="s">
        <v>88</v>
      </c>
      <c r="B125" s="20">
        <f>SUMIFS(Tabla2[A],Tabla2[ANY],$Z$76,Tabla2[MES],'2021'!B$2,Tabla2[TIPUS],'2021'!$A125)</f>
        <v>0</v>
      </c>
      <c r="C125" s="21">
        <f t="shared" ref="C125:E128" si="137">IF(B$123=0,0,B125/B$123)</f>
        <v>0</v>
      </c>
      <c r="D125" s="20">
        <f>SUMIFS(Tabla2[A],Tabla2[ANY],$Z$76,Tabla2[MES],'2021'!D$2,Tabla2[TIPUS],'2021'!$A125)</f>
        <v>28.45</v>
      </c>
      <c r="E125" s="21">
        <f t="shared" si="137"/>
        <v>1</v>
      </c>
      <c r="F125" s="20">
        <f>SUMIFS(Tabla2[A],Tabla2[ANY],$Z$76,Tabla2[MES],'2021'!F$2,Tabla2[TIPUS],'2021'!$A125)</f>
        <v>0</v>
      </c>
      <c r="G125" s="21">
        <f>IF(F$123=0,0,F125/F$123)</f>
        <v>0</v>
      </c>
      <c r="H125" s="20">
        <f>SUMIFS(Tabla2[A],Tabla2[ANY],$Z$76,Tabla2[MES],'2021'!H$2,Tabla2[TIPUS],'2021'!$A125)</f>
        <v>0</v>
      </c>
      <c r="I125" s="21">
        <f>IF(H$123=0,0,H125/H$123)</f>
        <v>0</v>
      </c>
      <c r="J125" s="20">
        <f>SUMIFS(Tabla2[A],Tabla2[ANY],$Z$76,Tabla2[MES],'2021'!J$2,Tabla2[TIPUS],'2021'!$A125)</f>
        <v>0</v>
      </c>
      <c r="K125" s="21">
        <f>IF(J$123=0,0,J125/J$123)</f>
        <v>0</v>
      </c>
      <c r="L125" s="20">
        <f>SUMIFS(Tabla2[A],Tabla2[ANY],$Z$76,Tabla2[MES],'2021'!L$2,Tabla2[TIPUS],'2021'!$A125)</f>
        <v>0</v>
      </c>
      <c r="M125" s="21">
        <f>IF(L$123=0,0,L125/L$123)</f>
        <v>0</v>
      </c>
      <c r="N125" s="20">
        <f>SUMIFS(Tabla2[A],Tabla2[ANY],$Z$76,Tabla2[MES],'2021'!N$2,Tabla2[TIPUS],'2021'!$A125)</f>
        <v>0</v>
      </c>
      <c r="O125" s="21">
        <f>IF(N$123=0,0,N125/N$123)</f>
        <v>0</v>
      </c>
      <c r="P125" s="20">
        <f>SUMIFS(Tabla2[A],Tabla2[ANY],$Z$76,Tabla2[MES],'2021'!P$2,Tabla2[TIPUS],'2021'!$A125)</f>
        <v>0</v>
      </c>
      <c r="Q125" s="21">
        <f>IF(P$123=0,0,P125/P$123)</f>
        <v>0</v>
      </c>
      <c r="R125" s="20">
        <f>SUMIFS(Tabla2[A],Tabla2[ANY],$Z$76,Tabla2[MES],'2021'!R$2,Tabla2[TIPUS],'2021'!$A125)</f>
        <v>0</v>
      </c>
      <c r="S125" s="21">
        <f>IF(R$123=0,0,R125/R$123)</f>
        <v>0</v>
      </c>
      <c r="T125" s="20">
        <f>SUMIFS(Tabla2[A],Tabla2[ANY],$Z$76,Tabla2[MES],'2021'!T$2,Tabla2[TIPUS],'2021'!$A125)</f>
        <v>0</v>
      </c>
      <c r="U125" s="21">
        <f>IF(T$123=0,0,T125/T$123)</f>
        <v>0</v>
      </c>
      <c r="V125" s="20">
        <f>SUMIFS(Tabla2[A],Tabla2[ANY],$Z$76,Tabla2[MES],'2021'!V$2,Tabla2[TIPUS],'2021'!$A125)</f>
        <v>0</v>
      </c>
      <c r="W125" s="21">
        <f>IF(V$123=0,0,V125/V$123)</f>
        <v>0</v>
      </c>
      <c r="X125" s="20">
        <f>SUMIFS(Tabla2[A],Tabla2[ANY],$Z$76,Tabla2[MES],'2021'!X$2,Tabla2[TIPUS],'2021'!$A125)</f>
        <v>0</v>
      </c>
      <c r="Y125" s="21">
        <f>IF(X$123=0,0,X125/X$123)</f>
        <v>0</v>
      </c>
      <c r="Z125" s="20">
        <f t="shared" si="134"/>
        <v>28.45</v>
      </c>
      <c r="AA125" s="21">
        <f>IF(Z$123=0,0,Z125/Z$123)</f>
        <v>3.6862358931833789E-2</v>
      </c>
    </row>
    <row r="126" spans="1:27" hidden="1" outlineLevel="1" x14ac:dyDescent="0.2">
      <c r="A126" s="8" t="s">
        <v>89</v>
      </c>
      <c r="B126" s="20">
        <f>SUMIFS(Tabla2[A],Tabla2[ANY],$Z$76,Tabla2[MES],'2021'!B$2,Tabla2[TIPUS],'2021'!$A126)</f>
        <v>0</v>
      </c>
      <c r="C126" s="21">
        <f t="shared" si="137"/>
        <v>0</v>
      </c>
      <c r="D126" s="20">
        <f>SUMIFS(Tabla2[A],Tabla2[ANY],$Z$76,Tabla2[MES],'2021'!D$2,Tabla2[TIPUS],'2021'!$A126)</f>
        <v>0</v>
      </c>
      <c r="E126" s="21">
        <f t="shared" si="137"/>
        <v>0</v>
      </c>
      <c r="F126" s="20">
        <f>SUMIFS(Tabla2[A],Tabla2[ANY],$Z$76,Tabla2[MES],'2021'!F$2,Tabla2[TIPUS],'2021'!$A126)</f>
        <v>0</v>
      </c>
      <c r="G126" s="21">
        <f>IF(F$123=0,0,F126/F$123)</f>
        <v>0</v>
      </c>
      <c r="H126" s="20">
        <f>SUMIFS(Tabla2[A],Tabla2[ANY],$Z$76,Tabla2[MES],'2021'!H$2,Tabla2[TIPUS],'2021'!$A126)</f>
        <v>0</v>
      </c>
      <c r="I126" s="21">
        <f>IF(H$123=0,0,H126/H$123)</f>
        <v>0</v>
      </c>
      <c r="J126" s="20">
        <f>SUMIFS(Tabla2[A],Tabla2[ANY],$Z$76,Tabla2[MES],'2021'!J$2,Tabla2[TIPUS],'2021'!$A126)</f>
        <v>50.92</v>
      </c>
      <c r="K126" s="21">
        <f>IF(J$123=0,0,J126/J$123)</f>
        <v>1</v>
      </c>
      <c r="L126" s="20">
        <f>SUMIFS(Tabla2[A],Tabla2[ANY],$Z$76,Tabla2[MES],'2021'!L$2,Tabla2[TIPUS],'2021'!$A126)</f>
        <v>14</v>
      </c>
      <c r="M126" s="21">
        <f>IF(L$123=0,0,L126/L$123)</f>
        <v>1</v>
      </c>
      <c r="N126" s="20">
        <f>SUMIFS(Tabla2[A],Tabla2[ANY],$Z$76,Tabla2[MES],'2021'!N$2,Tabla2[TIPUS],'2021'!$A126)</f>
        <v>0</v>
      </c>
      <c r="O126" s="21">
        <f>IF(N$123=0,0,N126/N$123)</f>
        <v>0</v>
      </c>
      <c r="P126" s="20">
        <f>SUMIFS(Tabla2[A],Tabla2[ANY],$Z$76,Tabla2[MES],'2021'!P$2,Tabla2[TIPUS],'2021'!$A126)</f>
        <v>0</v>
      </c>
      <c r="Q126" s="21">
        <f>IF(P$123=0,0,P126/P$123)</f>
        <v>0</v>
      </c>
      <c r="R126" s="20">
        <f>SUMIFS(Tabla2[A],Tabla2[ANY],$Z$76,Tabla2[MES],'2021'!R$2,Tabla2[TIPUS],'2021'!$A126)</f>
        <v>72</v>
      </c>
      <c r="S126" s="21">
        <f>IF(R$123=0,0,R126/R$123)</f>
        <v>0.40066777963272121</v>
      </c>
      <c r="T126" s="20">
        <f>SUMIFS(Tabla2[A],Tabla2[ANY],$Z$76,Tabla2[MES],'2021'!T$2,Tabla2[TIPUS],'2021'!$A126)</f>
        <v>15.49</v>
      </c>
      <c r="U126" s="21">
        <f>IF(T$123=0,0,T126/T$123)</f>
        <v>1</v>
      </c>
      <c r="V126" s="20">
        <f>SUMIFS(Tabla2[A],Tabla2[ANY],$Z$76,Tabla2[MES],'2021'!V$2,Tabla2[TIPUS],'2021'!$A126)</f>
        <v>93.899999999999991</v>
      </c>
      <c r="W126" s="21">
        <f>IF(V$123=0,0,V126/V$123)</f>
        <v>1</v>
      </c>
      <c r="X126" s="20">
        <f>SUMIFS(Tabla2[A],Tabla2[ANY],$Z$76,Tabla2[MES],'2021'!X$2,Tabla2[TIPUS],'2021'!$A126)</f>
        <v>48.64</v>
      </c>
      <c r="Y126" s="21">
        <f>IF(X$123=0,0,X126/X$123)</f>
        <v>0.16049097568218565</v>
      </c>
      <c r="Z126" s="20">
        <f t="shared" si="134"/>
        <v>294.95</v>
      </c>
      <c r="AA126" s="21">
        <f>IF(Z$123=0,0,Z126/Z$123)</f>
        <v>0.38216354189611162</v>
      </c>
    </row>
    <row r="127" spans="1:27" hidden="1" outlineLevel="1" x14ac:dyDescent="0.2">
      <c r="A127" s="8" t="s">
        <v>145</v>
      </c>
      <c r="B127" s="20">
        <f>SUMIFS(Tabla2[A],Tabla2[ANY],$Z$76,Tabla2[MES],'2021'!B$2,Tabla2[TIPUS],'2021'!$A127)</f>
        <v>0</v>
      </c>
      <c r="C127" s="21">
        <f>IF(B$123=0,0,B127/B$123)</f>
        <v>0</v>
      </c>
      <c r="D127" s="20">
        <f>SUMIFS(Tabla2[A],Tabla2[ANY],$Z$76,Tabla2[MES],'2021'!D$2,Tabla2[TIPUS],'2021'!$A127)</f>
        <v>0</v>
      </c>
      <c r="E127" s="21">
        <f>IF(D$123=0,0,D127/D$123)</f>
        <v>0</v>
      </c>
      <c r="F127" s="20">
        <f>SUMIFS(Tabla2[A],Tabla2[ANY],$Z$76,Tabla2[MES],'2021'!F$2,Tabla2[TIPUS],'2021'!$A127)</f>
        <v>0</v>
      </c>
      <c r="G127" s="21">
        <f>IF(F$123=0,0,F127/F$123)</f>
        <v>0</v>
      </c>
      <c r="H127" s="20">
        <f>SUMIFS(Tabla2[A],Tabla2[ANY],$Z$76,Tabla2[MES],'2021'!H$2,Tabla2[TIPUS],'2021'!$A127)</f>
        <v>0</v>
      </c>
      <c r="I127" s="21">
        <f>IF(H$123=0,0,H127/H$123)</f>
        <v>0</v>
      </c>
      <c r="J127" s="20">
        <f>SUMIFS(Tabla2[A],Tabla2[ANY],$Z$76,Tabla2[MES],'2021'!J$2,Tabla2[TIPUS],'2021'!$A127)</f>
        <v>0</v>
      </c>
      <c r="K127" s="21">
        <f>IF(J$123=0,0,J127/J$123)</f>
        <v>0</v>
      </c>
      <c r="L127" s="20">
        <f>SUMIFS(Tabla2[A],Tabla2[ANY],$Z$76,Tabla2[MES],'2021'!L$2,Tabla2[TIPUS],'2021'!$A127)</f>
        <v>0</v>
      </c>
      <c r="M127" s="21">
        <f>IF(L$123=0,0,L127/L$123)</f>
        <v>0</v>
      </c>
      <c r="N127" s="20">
        <f>SUMIFS(Tabla2[A],Tabla2[ANY],$Z$76,Tabla2[MES],'2021'!N$2,Tabla2[TIPUS],'2021'!$A127)</f>
        <v>0</v>
      </c>
      <c r="O127" s="21">
        <f>IF(N$123=0,0,N127/N$123)</f>
        <v>0</v>
      </c>
      <c r="P127" s="20">
        <f>SUMIFS(Tabla2[A],Tabla2[ANY],$Z$76,Tabla2[MES],'2021'!P$2,Tabla2[TIPUS],'2021'!$A127)</f>
        <v>0</v>
      </c>
      <c r="Q127" s="21">
        <f>IF(P$123=0,0,P127/P$123)</f>
        <v>0</v>
      </c>
      <c r="R127" s="20">
        <f>SUMIFS(Tabla2[A],Tabla2[ANY],$Z$76,Tabla2[MES],'2021'!R$2,Tabla2[TIPUS],'2021'!$A127)</f>
        <v>0</v>
      </c>
      <c r="S127" s="21">
        <f>IF(R$123=0,0,R127/R$123)</f>
        <v>0</v>
      </c>
      <c r="T127" s="20">
        <f>SUMIFS(Tabla2[A],Tabla2[ANY],$Z$76,Tabla2[MES],'2021'!T$2,Tabla2[TIPUS],'2021'!$A127)</f>
        <v>0</v>
      </c>
      <c r="U127" s="21">
        <f>IF(T$123=0,0,T127/T$123)</f>
        <v>0</v>
      </c>
      <c r="V127" s="20">
        <f>SUMIFS(Tabla2[A],Tabla2[ANY],$Z$76,Tabla2[MES],'2021'!V$2,Tabla2[TIPUS],'2021'!$A127)</f>
        <v>0</v>
      </c>
      <c r="W127" s="21">
        <f>IF(V$123=0,0,V127/V$123)</f>
        <v>0</v>
      </c>
      <c r="X127" s="20">
        <f>SUMIFS(Tabla2[A],Tabla2[ANY],$Z$76,Tabla2[MES],'2021'!X$2,Tabla2[TIPUS],'2021'!$A127)</f>
        <v>0</v>
      </c>
      <c r="Y127" s="21">
        <f>IF(X$123=0,0,X127/X$123)</f>
        <v>0</v>
      </c>
      <c r="Z127" s="20">
        <f>B127+D127+F127+H127+J127+L127+N127+P127+R127+T127+V127+X127</f>
        <v>0</v>
      </c>
      <c r="AA127" s="21">
        <f>IF(Z$123=0,0,Z127/Z$123)</f>
        <v>0</v>
      </c>
    </row>
    <row r="128" spans="1:27" hidden="1" outlineLevel="1" x14ac:dyDescent="0.2">
      <c r="A128" s="8" t="s">
        <v>90</v>
      </c>
      <c r="B128" s="20">
        <f>SUMIFS(Tabla2[A],Tabla2[ANY],$Z$76,Tabla2[MES],'2021'!B$2,Tabla2[TIPUS],'2021'!$A128)</f>
        <v>0</v>
      </c>
      <c r="C128" s="21">
        <f t="shared" si="137"/>
        <v>0</v>
      </c>
      <c r="D128" s="20">
        <f>SUMIFS(Tabla2[A],Tabla2[ANY],$Z$76,Tabla2[MES],'2021'!D$2,Tabla2[TIPUS],'2021'!$A128)</f>
        <v>0</v>
      </c>
      <c r="E128" s="21">
        <f t="shared" si="137"/>
        <v>0</v>
      </c>
      <c r="F128" s="20">
        <f>SUMIFS(Tabla2[A],Tabla2[ANY],$Z$76,Tabla2[MES],'2021'!F$2,Tabla2[TIPUS],'2021'!$A128)</f>
        <v>0</v>
      </c>
      <c r="G128" s="21">
        <f>IF(F$123=0,0,F128/F$123)</f>
        <v>0</v>
      </c>
      <c r="H128" s="20">
        <f>SUMIFS(Tabla2[A],Tabla2[ANY],$Z$76,Tabla2[MES],'2021'!H$2,Tabla2[TIPUS],'2021'!$A128)</f>
        <v>0</v>
      </c>
      <c r="I128" s="21">
        <f>IF(H$123=0,0,H128/H$123)</f>
        <v>0</v>
      </c>
      <c r="J128" s="20">
        <f>SUMIFS(Tabla2[A],Tabla2[ANY],$Z$76,Tabla2[MES],'2021'!J$2,Tabla2[TIPUS],'2021'!$A128)</f>
        <v>0</v>
      </c>
      <c r="K128" s="21">
        <f>IF(J$123=0,0,J128/J$123)</f>
        <v>0</v>
      </c>
      <c r="L128" s="20">
        <f>SUMIFS(Tabla2[A],Tabla2[ANY],$Z$76,Tabla2[MES],'2021'!L$2,Tabla2[TIPUS],'2021'!$A128)</f>
        <v>0</v>
      </c>
      <c r="M128" s="21">
        <f>IF(L$123=0,0,L128/L$123)</f>
        <v>0</v>
      </c>
      <c r="N128" s="20">
        <f>SUMIFS(Tabla2[A],Tabla2[ANY],$Z$76,Tabla2[MES],'2021'!N$2,Tabla2[TIPUS],'2021'!$A128)</f>
        <v>0</v>
      </c>
      <c r="O128" s="21">
        <f>IF(N$123=0,0,N128/N$123)</f>
        <v>0</v>
      </c>
      <c r="P128" s="20">
        <f>SUMIFS(Tabla2[A],Tabla2[ANY],$Z$76,Tabla2[MES],'2021'!P$2,Tabla2[TIPUS],'2021'!$A128)</f>
        <v>0</v>
      </c>
      <c r="Q128" s="21">
        <f>IF(P$123=0,0,P128/P$123)</f>
        <v>0</v>
      </c>
      <c r="R128" s="20">
        <f>SUMIFS(Tabla2[A],Tabla2[ANY],$Z$76,Tabla2[MES],'2021'!R$2,Tabla2[TIPUS],'2021'!$A128)</f>
        <v>0</v>
      </c>
      <c r="S128" s="21">
        <f>IF(R$123=0,0,R128/R$123)</f>
        <v>0</v>
      </c>
      <c r="T128" s="20">
        <f>SUMIFS(Tabla2[A],Tabla2[ANY],$Z$76,Tabla2[MES],'2021'!T$2,Tabla2[TIPUS],'2021'!$A128)</f>
        <v>0</v>
      </c>
      <c r="U128" s="21">
        <f>IF(T$123=0,0,T128/T$123)</f>
        <v>0</v>
      </c>
      <c r="V128" s="20">
        <f>SUMIFS(Tabla2[A],Tabla2[ANY],$Z$76,Tabla2[MES],'2021'!V$2,Tabla2[TIPUS],'2021'!$A128)</f>
        <v>0</v>
      </c>
      <c r="W128" s="21">
        <f>IF(V$123=0,0,V128/V$123)</f>
        <v>0</v>
      </c>
      <c r="X128" s="20">
        <f>SUMIFS(Tabla2[A],Tabla2[ANY],$Z$76,Tabla2[MES],'2021'!X$2,Tabla2[TIPUS],'2021'!$A128)</f>
        <v>0</v>
      </c>
      <c r="Y128" s="21">
        <f>IF(X$123=0,0,X128/X$123)</f>
        <v>0</v>
      </c>
      <c r="Z128" s="20">
        <f t="shared" si="134"/>
        <v>0</v>
      </c>
      <c r="AA128" s="21">
        <f>IF(Z$123=0,0,Z128/Z$123)</f>
        <v>0</v>
      </c>
    </row>
    <row r="129" spans="1:27" ht="15.75" collapsed="1" thickBot="1" x14ac:dyDescent="0.25">
      <c r="A129" s="15" t="s">
        <v>121</v>
      </c>
      <c r="B129" s="26">
        <f>B77-B114</f>
        <v>-167.76000000000005</v>
      </c>
      <c r="C129" s="27">
        <f>IF(B77=0,0,B129/B77)</f>
        <v>-0.35527318932655666</v>
      </c>
      <c r="D129" s="26">
        <f>D77-D114</f>
        <v>100.11000000000001</v>
      </c>
      <c r="E129" s="27">
        <f>IF(D77=0,0,D129/D77)</f>
        <v>0.21200762388818301</v>
      </c>
      <c r="F129" s="26">
        <f>F77-F114</f>
        <v>2208.25</v>
      </c>
      <c r="G129" s="27">
        <f>IF(F77=0,0,F129/F77)</f>
        <v>0.89323274815953413</v>
      </c>
      <c r="H129" s="26">
        <f>H77-H114</f>
        <v>209.2</v>
      </c>
      <c r="I129" s="27">
        <f>IF(H77=0,0,H129/H77)</f>
        <v>0.44303261329944937</v>
      </c>
      <c r="J129" s="26">
        <f>J77-J114</f>
        <v>586.21</v>
      </c>
      <c r="K129" s="27">
        <f>IF(J77=0,0,J129/J77)</f>
        <v>0.65125037494584115</v>
      </c>
      <c r="L129" s="26">
        <f>L77-L114</f>
        <v>834.8900000000001</v>
      </c>
      <c r="M129" s="27">
        <f>IF(L77=0,0,L129/L77)</f>
        <v>0.74072201077071853</v>
      </c>
      <c r="N129" s="26">
        <f>N77-N114</f>
        <v>-10.75</v>
      </c>
      <c r="O129" s="27">
        <f>IF(N77=0,0,N129/N77)</f>
        <v>-2.7564102564102563E-2</v>
      </c>
      <c r="P129" s="26">
        <f>P77-P114</f>
        <v>-21</v>
      </c>
      <c r="Q129" s="27">
        <f>IF(P77=0,0,P129/P77)</f>
        <v>-6.0869565217391307E-2</v>
      </c>
      <c r="R129" s="26">
        <f>R77-R114</f>
        <v>-57.670000000000073</v>
      </c>
      <c r="S129" s="27">
        <f>IF(R77=0,0,R129/R77)</f>
        <v>-0.10679629629629643</v>
      </c>
      <c r="T129" s="26">
        <f>T77-T114</f>
        <v>790.24</v>
      </c>
      <c r="U129" s="27">
        <f>IF(T77=0,0,T129/T77)</f>
        <v>0.61979607843137252</v>
      </c>
      <c r="V129" s="26">
        <f>V77-V114</f>
        <v>697.13</v>
      </c>
      <c r="W129" s="27">
        <f>IF(V77=0,0,V129/V77)</f>
        <v>0.55327777777777776</v>
      </c>
      <c r="X129" s="26">
        <f>X77-X114</f>
        <v>698.1400000000001</v>
      </c>
      <c r="Y129" s="27">
        <f>IF(X77=0,0,X129/X77)</f>
        <v>0.3508241206030151</v>
      </c>
      <c r="Z129" s="26">
        <f>Z77-Z114</f>
        <v>5866.9899999999989</v>
      </c>
      <c r="AA129" s="27">
        <f>IF(Z77=0,0,Z129/Z77)</f>
        <v>0.50076476221528388</v>
      </c>
    </row>
    <row r="130" spans="1:27" ht="16.5" thickTop="1" thickBot="1" x14ac:dyDescent="0.25">
      <c r="A130" s="13" t="s">
        <v>120</v>
      </c>
      <c r="B130" s="28">
        <f>B131</f>
        <v>10.472222222222223</v>
      </c>
      <c r="C130" s="29">
        <f>IF(B77=0,0,B130/B77)</f>
        <v>2.2177514235964049E-2</v>
      </c>
      <c r="D130" s="28">
        <f t="shared" ref="D130:X130" si="138">D131</f>
        <v>10.472222222222223</v>
      </c>
      <c r="E130" s="29">
        <f>IF(D77=0,0,D130/D77)</f>
        <v>2.2177514235964049E-2</v>
      </c>
      <c r="F130" s="28">
        <f t="shared" si="138"/>
        <v>10.472222222222223</v>
      </c>
      <c r="G130" s="29">
        <f>IF(F77=0,0,F130/F77)</f>
        <v>4.2359931325225402E-3</v>
      </c>
      <c r="H130" s="28">
        <f t="shared" si="138"/>
        <v>10.472222222222223</v>
      </c>
      <c r="I130" s="29">
        <f>IF(H77=0,0,H130/H77)</f>
        <v>2.2177514235964049E-2</v>
      </c>
      <c r="J130" s="28">
        <f t="shared" si="138"/>
        <v>10.472222222222223</v>
      </c>
      <c r="K130" s="29">
        <f>IF(J77=0,0,J130/J77)</f>
        <v>1.1634121984849104E-2</v>
      </c>
      <c r="L130" s="28">
        <f t="shared" si="138"/>
        <v>10.472222222222223</v>
      </c>
      <c r="M130" s="29">
        <f>IF(L77=0,0,L130/L77)</f>
        <v>9.2910509189021873E-3</v>
      </c>
      <c r="N130" s="28">
        <f t="shared" si="138"/>
        <v>10.472222222222223</v>
      </c>
      <c r="O130" s="29">
        <f>IF(N77=0,0,N130/N77)</f>
        <v>2.6851851851851856E-2</v>
      </c>
      <c r="P130" s="28">
        <f t="shared" si="138"/>
        <v>10.472222222222223</v>
      </c>
      <c r="Q130" s="29">
        <f>IF(P77=0,0,P130/P77)</f>
        <v>3.0354267310789051E-2</v>
      </c>
      <c r="R130" s="28">
        <f t="shared" si="138"/>
        <v>10.472222222222223</v>
      </c>
      <c r="S130" s="29">
        <f>IF(R77=0,0,R130/R77)</f>
        <v>1.9393004115226341E-2</v>
      </c>
      <c r="T130" s="28">
        <f t="shared" si="138"/>
        <v>10.472222222222223</v>
      </c>
      <c r="U130" s="29">
        <f>IF(T77=0,0,T130/T77)</f>
        <v>8.2135076252723323E-3</v>
      </c>
      <c r="V130" s="28">
        <f t="shared" si="138"/>
        <v>10.472222222222223</v>
      </c>
      <c r="W130" s="29">
        <f>IF(V77=0,0,V130/V77)</f>
        <v>8.3112874779541455E-3</v>
      </c>
      <c r="X130" s="28">
        <f t="shared" si="138"/>
        <v>10.472222222222223</v>
      </c>
      <c r="Y130" s="29">
        <f>IF(X77=0,0,X130/X77)</f>
        <v>5.2624232272473481E-3</v>
      </c>
      <c r="Z130" s="28">
        <f>Z131</f>
        <v>125.6666666666667</v>
      </c>
      <c r="AA130" s="29">
        <f>IF(Z77=0,0,Z130/Z77)</f>
        <v>1.0726017677159959E-2</v>
      </c>
    </row>
    <row r="131" spans="1:27" hidden="1" outlineLevel="1" x14ac:dyDescent="0.2">
      <c r="A131" s="8" t="s">
        <v>81</v>
      </c>
      <c r="B131" s="20">
        <f>IF($A$2&gt;=1,Tarifas!$G$47,0)</f>
        <v>10.472222222222223</v>
      </c>
      <c r="C131" s="21">
        <f>IF(B130=0,0,B131/B130)</f>
        <v>1</v>
      </c>
      <c r="D131" s="20">
        <f>IF($A$2&gt;=2,Tarifas!$G$47,0)</f>
        <v>10.472222222222223</v>
      </c>
      <c r="E131" s="21">
        <f>IF(D130=0,0,D131/D130)</f>
        <v>1</v>
      </c>
      <c r="F131" s="20">
        <f>IF($A$2&gt;=3,Tarifas!$G$47,0)</f>
        <v>10.472222222222223</v>
      </c>
      <c r="G131" s="21">
        <f>IF(F130=0,0,F131/F130)</f>
        <v>1</v>
      </c>
      <c r="H131" s="20">
        <f>IF($A$2&gt;=4,Tarifas!$G$47,0)</f>
        <v>10.472222222222223</v>
      </c>
      <c r="I131" s="21">
        <f>IF(H130=0,0,H131/H130)</f>
        <v>1</v>
      </c>
      <c r="J131" s="20">
        <f>IF($A$2&gt;=5,Tarifas!$G$47,0)</f>
        <v>10.472222222222223</v>
      </c>
      <c r="K131" s="21">
        <f>IF(J130=0,0,J131/J130)</f>
        <v>1</v>
      </c>
      <c r="L131" s="20">
        <f>IF($A$2&gt;=6,Tarifas!$G$47,0)</f>
        <v>10.472222222222223</v>
      </c>
      <c r="M131" s="21">
        <f>IF(L130=0,0,L131/L130)</f>
        <v>1</v>
      </c>
      <c r="N131" s="20">
        <f>IF($A$2&gt;=7,Tarifas!$G$47,0)</f>
        <v>10.472222222222223</v>
      </c>
      <c r="O131" s="21">
        <f>IF(N130=0,0,N131/N130)</f>
        <v>1</v>
      </c>
      <c r="P131" s="20">
        <f>IF($A$2&gt;=8,Tarifas!$G$47,0)</f>
        <v>10.472222222222223</v>
      </c>
      <c r="Q131" s="21">
        <f>IF(P130=0,0,P131/P130)</f>
        <v>1</v>
      </c>
      <c r="R131" s="20">
        <f>IF($A$2&gt;=9,Tarifas!$G$47,0)</f>
        <v>10.472222222222223</v>
      </c>
      <c r="S131" s="21">
        <f>IF(R130=0,0,R131/R130)</f>
        <v>1</v>
      </c>
      <c r="T131" s="20">
        <f>IF($A$2&gt;=10,Tarifas!$G$47,0)</f>
        <v>10.472222222222223</v>
      </c>
      <c r="U131" s="21">
        <f>IF(T130=0,0,T131/T130)</f>
        <v>1</v>
      </c>
      <c r="V131" s="20">
        <f>IF($A$2&gt;=11,Tarifas!$G$47,0)</f>
        <v>10.472222222222223</v>
      </c>
      <c r="W131" s="21">
        <f>IF(V130=0,0,V131/V130)</f>
        <v>1</v>
      </c>
      <c r="X131" s="20">
        <f>IF($A$2&gt;=12,Tarifas!$G$47,0)</f>
        <v>10.472222222222223</v>
      </c>
      <c r="Y131" s="21">
        <f>IF(X130=0,0,X131/X130)</f>
        <v>1</v>
      </c>
      <c r="Z131" s="20">
        <f>B131+D131+F131+H131+J131+L131+N131+P131+R131+T131+V131+X131</f>
        <v>125.6666666666667</v>
      </c>
      <c r="AA131" s="21">
        <f>IF(Z130=0,0,Z131/Z130)</f>
        <v>1</v>
      </c>
    </row>
    <row r="132" spans="1:27" ht="15.75" collapsed="1" thickBot="1" x14ac:dyDescent="0.25">
      <c r="A132" s="15" t="s">
        <v>122</v>
      </c>
      <c r="B132" s="26">
        <f>B129-B130</f>
        <v>-178.23222222222228</v>
      </c>
      <c r="C132" s="27">
        <f>IF(B$77=0,0,B132/B$77)</f>
        <v>-0.3774507035625207</v>
      </c>
      <c r="D132" s="26">
        <f>D129-D130</f>
        <v>89.637777777777785</v>
      </c>
      <c r="E132" s="27">
        <f>IF(D$77=0,0,D132/D$77)</f>
        <v>0.18983010965221894</v>
      </c>
      <c r="F132" s="26">
        <f>F129-F130</f>
        <v>2197.7777777777778</v>
      </c>
      <c r="G132" s="27">
        <f>IF(F$77=0,0,F132/F$77)</f>
        <v>0.88899675502701159</v>
      </c>
      <c r="H132" s="26">
        <f>H129-H130</f>
        <v>198.72777777777776</v>
      </c>
      <c r="I132" s="27">
        <f>IF(H$77=0,0,H132/H$77)</f>
        <v>0.42085509906348534</v>
      </c>
      <c r="J132" s="26">
        <f>J129-J130</f>
        <v>575.73777777777786</v>
      </c>
      <c r="K132" s="27">
        <f>IF(J$77=0,0,J132/J$77)</f>
        <v>0.63961625296099212</v>
      </c>
      <c r="L132" s="26">
        <f>L129-L130</f>
        <v>824.41777777777793</v>
      </c>
      <c r="M132" s="27">
        <f>IF(L$77=0,0,L132/L$77)</f>
        <v>0.73143095985181639</v>
      </c>
      <c r="N132" s="26">
        <f>N129-N130</f>
        <v>-21.222222222222221</v>
      </c>
      <c r="O132" s="27">
        <f>IF(N$77=0,0,N132/N$77)</f>
        <v>-5.4415954415954412E-2</v>
      </c>
      <c r="P132" s="26">
        <f>P129-P130</f>
        <v>-31.472222222222221</v>
      </c>
      <c r="Q132" s="27">
        <f>IF(P$77=0,0,P132/P$77)</f>
        <v>-9.1223832528180351E-2</v>
      </c>
      <c r="R132" s="26">
        <f>R129-R130</f>
        <v>-68.142222222222301</v>
      </c>
      <c r="S132" s="27">
        <f>IF(R$77=0,0,R132/R$77)</f>
        <v>-0.12618930041152279</v>
      </c>
      <c r="T132" s="26">
        <f>T129-T130</f>
        <v>779.76777777777784</v>
      </c>
      <c r="U132" s="27">
        <f>IF(T$77=0,0,T132/T$77)</f>
        <v>0.61158257080610023</v>
      </c>
      <c r="V132" s="26">
        <f>V129-V130</f>
        <v>686.65777777777782</v>
      </c>
      <c r="W132" s="27">
        <f>IF(V$77=0,0,V132/V$77)</f>
        <v>0.54496649029982369</v>
      </c>
      <c r="X132" s="26">
        <f>X129-X130</f>
        <v>687.66777777777793</v>
      </c>
      <c r="Y132" s="27">
        <f>IF(X$77=0,0,X132/X$77)</f>
        <v>0.34556169737576781</v>
      </c>
      <c r="Z132" s="26">
        <f>Z129-Z130</f>
        <v>5741.3233333333319</v>
      </c>
      <c r="AA132" s="27">
        <f>IF(Z$77=0,0,Z132/Z$77)</f>
        <v>0.4900387445381239</v>
      </c>
    </row>
    <row r="133" spans="1:27" ht="16.5" thickTop="1" thickBot="1" x14ac:dyDescent="0.25">
      <c r="A133" s="13" t="s">
        <v>134</v>
      </c>
      <c r="B133" s="28">
        <f>B134</f>
        <v>0</v>
      </c>
      <c r="C133" s="29">
        <f>IF(B$77=0,0,B133/B$77)</f>
        <v>0</v>
      </c>
      <c r="D133" s="28">
        <f>D134</f>
        <v>0</v>
      </c>
      <c r="E133" s="29">
        <f>IF(D$77=0,0,D133/D$77)</f>
        <v>0</v>
      </c>
      <c r="F133" s="28">
        <f>F134</f>
        <v>0</v>
      </c>
      <c r="G133" s="29">
        <f>IF(F$77=0,0,F133/F$77)</f>
        <v>0</v>
      </c>
      <c r="H133" s="28">
        <f>H134</f>
        <v>0</v>
      </c>
      <c r="I133" s="29">
        <f>IF(H$77=0,0,H133/H$77)</f>
        <v>0</v>
      </c>
      <c r="J133" s="28">
        <f>J134</f>
        <v>0</v>
      </c>
      <c r="K133" s="29">
        <f>IF(J$77=0,0,J133/J$77)</f>
        <v>0</v>
      </c>
      <c r="L133" s="28">
        <f>L134</f>
        <v>0</v>
      </c>
      <c r="M133" s="29">
        <f>IF(L$77=0,0,L133/L$77)</f>
        <v>0</v>
      </c>
      <c r="N133" s="28">
        <f>N134</f>
        <v>0</v>
      </c>
      <c r="O133" s="29">
        <f>IF(N$77=0,0,N133/N$77)</f>
        <v>0</v>
      </c>
      <c r="P133" s="28">
        <f>P134</f>
        <v>0</v>
      </c>
      <c r="Q133" s="29">
        <f>IF(P$77=0,0,P133/P$77)</f>
        <v>0</v>
      </c>
      <c r="R133" s="28">
        <f>R134</f>
        <v>0</v>
      </c>
      <c r="S133" s="29">
        <f>IF(R$77=0,0,R133/R$77)</f>
        <v>0</v>
      </c>
      <c r="T133" s="28">
        <f>T134</f>
        <v>0</v>
      </c>
      <c r="U133" s="29">
        <f>IF(T$77=0,0,T133/T$77)</f>
        <v>0</v>
      </c>
      <c r="V133" s="28">
        <f>V134</f>
        <v>0</v>
      </c>
      <c r="W133" s="29">
        <f>IF(V$77=0,0,V133/V$77)</f>
        <v>0</v>
      </c>
      <c r="X133" s="28">
        <f>X134</f>
        <v>0</v>
      </c>
      <c r="Y133" s="29">
        <f>IF(X$77=0,0,X133/X$77)</f>
        <v>0</v>
      </c>
      <c r="Z133" s="28">
        <f>Z134</f>
        <v>0</v>
      </c>
      <c r="AA133" s="29">
        <f>IF(Z$77=0,0,Z133/Z$77)</f>
        <v>0</v>
      </c>
    </row>
    <row r="134" spans="1:27" hidden="1" outlineLevel="1" x14ac:dyDescent="0.2">
      <c r="A134" s="8" t="s">
        <v>133</v>
      </c>
      <c r="B134" s="20">
        <f>SUMIFS(Tabla2[A],Tabla2[ANY],2020,Tabla2[MES],'2021'!B$2,Tabla2[TIPUS],'2021'!$A134)</f>
        <v>0</v>
      </c>
      <c r="C134" s="44">
        <f>IF(B133=0,0,B134/B133)</f>
        <v>0</v>
      </c>
      <c r="D134" s="20">
        <f>SUMIFS(Tabla2[A],Tabla2[ANY],2020,Tabla2[MES],'2021'!D$2,Tabla2[TIPUS],'2021'!$A134)</f>
        <v>0</v>
      </c>
      <c r="E134" s="44">
        <f>IF(D133=0,0,D134/D133)</f>
        <v>0</v>
      </c>
      <c r="F134" s="20">
        <f>SUMIFS(Tabla2[A],Tabla2[ANY],2020,Tabla2[MES],'2021'!F$2,Tabla2[TIPUS],'2021'!$A134)</f>
        <v>0</v>
      </c>
      <c r="G134" s="44">
        <f>IF(F133=0,0,F134/F133)</f>
        <v>0</v>
      </c>
      <c r="H134" s="20">
        <f>SUMIFS(Tabla2[A],Tabla2[ANY],2020,Tabla2[MES],'2021'!H$2,Tabla2[TIPUS],'2021'!$A134)</f>
        <v>0</v>
      </c>
      <c r="I134" s="44">
        <f>IF(H133=0,0,H134/H133)</f>
        <v>0</v>
      </c>
      <c r="J134" s="20">
        <f>SUMIFS(Tabla2[A],Tabla2[ANY],2020,Tabla2[MES],'2021'!J$2,Tabla2[TIPUS],'2021'!$A134)</f>
        <v>0</v>
      </c>
      <c r="K134" s="44">
        <f>IF(J133=0,0,J134/J133)</f>
        <v>0</v>
      </c>
      <c r="L134" s="20">
        <f>SUMIFS(Tabla2[A],Tabla2[ANY],2020,Tabla2[MES],'2021'!L$2,Tabla2[TIPUS],'2021'!$A134)</f>
        <v>0</v>
      </c>
      <c r="M134" s="44">
        <f>IF(L133=0,0,L134/L133)</f>
        <v>0</v>
      </c>
      <c r="N134" s="20">
        <f>SUMIFS(Tabla2[A],Tabla2[ANY],2020,Tabla2[MES],'2021'!N$2,Tabla2[TIPUS],'2021'!$A134)</f>
        <v>0</v>
      </c>
      <c r="O134" s="44">
        <f>IF(N133=0,0,N134/N133)</f>
        <v>0</v>
      </c>
      <c r="P134" s="20">
        <f>SUMIFS(Tabla2[A],Tabla2[ANY],2020,Tabla2[MES],'2021'!P$2,Tabla2[TIPUS],'2021'!$A134)</f>
        <v>0</v>
      </c>
      <c r="Q134" s="44">
        <f>IF(P133=0,0,P134/P133)</f>
        <v>0</v>
      </c>
      <c r="R134" s="20">
        <f>SUMIFS(Tabla2[A],Tabla2[ANY],2020,Tabla2[MES],'2021'!R$2,Tabla2[TIPUS],'2021'!$A134)</f>
        <v>0</v>
      </c>
      <c r="S134" s="44">
        <f>IF(R133=0,0,R134/R133)</f>
        <v>0</v>
      </c>
      <c r="T134" s="20">
        <f>SUMIFS(Tabla2[A],Tabla2[ANY],2020,Tabla2[MES],'2021'!T$2,Tabla2[TIPUS],'2021'!$A134)</f>
        <v>0</v>
      </c>
      <c r="U134" s="44">
        <f>IF(T133=0,0,T134/T133)</f>
        <v>0</v>
      </c>
      <c r="V134" s="20">
        <f>SUMIFS(Tabla2[A],Tabla2[ANY],2020,Tabla2[MES],'2021'!V$2,Tabla2[TIPUS],'2021'!$A134)</f>
        <v>0</v>
      </c>
      <c r="W134" s="44">
        <f>IF(V133=0,0,V134/V133)</f>
        <v>0</v>
      </c>
      <c r="X134" s="20">
        <f>SUMIFS(Tabla2[A],Tabla2[ANY],2020,Tabla2[MES],'2021'!X$2,Tabla2[TIPUS],'2021'!$A134)</f>
        <v>0</v>
      </c>
      <c r="Y134" s="44">
        <f>IF(X133=0,0,X134/X133)</f>
        <v>0</v>
      </c>
      <c r="Z134" s="20">
        <f>B134+D134+F134+H134+J134+L134+N134+P134+R134+T134+V134+X134</f>
        <v>0</v>
      </c>
      <c r="AA134" s="44">
        <f>IF(Z133=0,0,Z134/Z133)</f>
        <v>0</v>
      </c>
    </row>
    <row r="135" spans="1:27" ht="15.75" collapsed="1" thickBot="1" x14ac:dyDescent="0.25">
      <c r="A135" s="15" t="s">
        <v>135</v>
      </c>
      <c r="B135" s="26">
        <f>B132-B134</f>
        <v>-178.23222222222228</v>
      </c>
      <c r="C135" s="27">
        <f>IF(B$77=0,0,B135/B$77)</f>
        <v>-0.3774507035625207</v>
      </c>
      <c r="D135" s="26">
        <f>D132-D134</f>
        <v>89.637777777777785</v>
      </c>
      <c r="E135" s="27">
        <f>IF(D$77=0,0,D135/D$77)</f>
        <v>0.18983010965221894</v>
      </c>
      <c r="F135" s="26">
        <f>F132-F134</f>
        <v>2197.7777777777778</v>
      </c>
      <c r="G135" s="27">
        <f>IF(F$77=0,0,F135/F$77)</f>
        <v>0.88899675502701159</v>
      </c>
      <c r="H135" s="26">
        <f>H132-H134</f>
        <v>198.72777777777776</v>
      </c>
      <c r="I135" s="27">
        <f>IF(H$77=0,0,H135/H$77)</f>
        <v>0.42085509906348534</v>
      </c>
      <c r="J135" s="26">
        <f>J132-J134</f>
        <v>575.73777777777786</v>
      </c>
      <c r="K135" s="27">
        <f>IF(J$77=0,0,J135/J$77)</f>
        <v>0.63961625296099212</v>
      </c>
      <c r="L135" s="26">
        <f>L132-L134</f>
        <v>824.41777777777793</v>
      </c>
      <c r="M135" s="27">
        <f>IF(L$77=0,0,L135/L$77)</f>
        <v>0.73143095985181639</v>
      </c>
      <c r="N135" s="26">
        <f>N132-N134</f>
        <v>-21.222222222222221</v>
      </c>
      <c r="O135" s="27">
        <f>IF(N$77=0,0,N135/N$77)</f>
        <v>-5.4415954415954412E-2</v>
      </c>
      <c r="P135" s="26">
        <f>P132-P134</f>
        <v>-31.472222222222221</v>
      </c>
      <c r="Q135" s="27">
        <f>IF(P$77=0,0,P135/P$77)</f>
        <v>-9.1223832528180351E-2</v>
      </c>
      <c r="R135" s="26">
        <f>R132-R134</f>
        <v>-68.142222222222301</v>
      </c>
      <c r="S135" s="27">
        <f>IF(R$77=0,0,R135/R$77)</f>
        <v>-0.12618930041152279</v>
      </c>
      <c r="T135" s="26">
        <f>T132-T134</f>
        <v>779.76777777777784</v>
      </c>
      <c r="U135" s="27">
        <f>IF(T$77=0,0,T135/T$77)</f>
        <v>0.61158257080610023</v>
      </c>
      <c r="V135" s="26">
        <f>V132-V134</f>
        <v>686.65777777777782</v>
      </c>
      <c r="W135" s="27">
        <f>IF(V$77=0,0,V135/V$77)</f>
        <v>0.54496649029982369</v>
      </c>
      <c r="X135" s="26">
        <f>X132-X134</f>
        <v>687.66777777777793</v>
      </c>
      <c r="Y135" s="27">
        <f>IF(X$77=0,0,X135/X$77)</f>
        <v>0.34556169737576781</v>
      </c>
      <c r="Z135" s="26">
        <f>Z132-Z134</f>
        <v>5741.3233333333319</v>
      </c>
      <c r="AA135" s="27">
        <f>IF(Z$77=0,0,Z135/Z$77)</f>
        <v>0.4900387445381239</v>
      </c>
    </row>
    <row r="136" spans="1:27" ht="15.75" thickTop="1" x14ac:dyDescent="0.2">
      <c r="A136" s="8" t="s">
        <v>123</v>
      </c>
      <c r="B136" s="20">
        <f>SUMIFS(Tabla2[A],Tabla2[ANY],$Z$76,Tabla2[MES],'2021'!B$2,Tabla2[TIPUS],'2021'!$A136)</f>
        <v>0</v>
      </c>
      <c r="C136" s="21">
        <f>IF(B$77=0,0,B136/B$77)</f>
        <v>0</v>
      </c>
      <c r="D136" s="20">
        <f>SUMIFS(Tabla2[A],Tabla2[ANY],$Z$76,Tabla2[MES],'2021'!D$2,Tabla2[TIPUS],'2021'!$A136)</f>
        <v>3.07</v>
      </c>
      <c r="E136" s="21">
        <f>IF(D$77=0,0,D136/D$77)</f>
        <v>6.501482422702245E-3</v>
      </c>
      <c r="F136" s="20">
        <f>SUMIFS(Tabla2[A],Tabla2[ANY],$Z$76,Tabla2[MES],'2021'!F$2,Tabla2[TIPUS],'2021'!$A136)</f>
        <v>0</v>
      </c>
      <c r="G136" s="21">
        <f>IF(F$77=0,0,F136/F$77)</f>
        <v>0</v>
      </c>
      <c r="H136" s="20">
        <f>SUMIFS(Tabla2[A],Tabla2[ANY],$Z$76,Tabla2[MES],'2021'!H$2,Tabla2[TIPUS],'2021'!$A136)</f>
        <v>114</v>
      </c>
      <c r="I136" s="21">
        <f>IF(H$77=0,0,H136/H$77)</f>
        <v>0.24142312579415504</v>
      </c>
      <c r="J136" s="20">
        <f>SUMIFS(Tabla2[A],Tabla2[ANY],$Z$76,Tabla2[MES],'2021'!J$2,Tabla2[TIPUS],'2021'!$A136)</f>
        <v>0</v>
      </c>
      <c r="K136" s="21">
        <f>IF(J$77=0,0,J136/J$77)</f>
        <v>0</v>
      </c>
      <c r="L136" s="20">
        <f>SUMIFS(Tabla2[A],Tabla2[ANY],$Z$76,Tabla2[MES],'2021'!L$2,Tabla2[TIPUS],'2021'!$A136)</f>
        <v>0</v>
      </c>
      <c r="M136" s="21">
        <f>IF(L$77=0,0,L136/L$77)</f>
        <v>0</v>
      </c>
      <c r="N136" s="20">
        <f>SUMIFS(Tabla2[A],Tabla2[ANY],$Z$76,Tabla2[MES],'2021'!N$2,Tabla2[TIPUS],'2021'!$A136)</f>
        <v>114</v>
      </c>
      <c r="O136" s="21">
        <f>IF(N$77=0,0,N136/N$77)</f>
        <v>0.29230769230769232</v>
      </c>
      <c r="P136" s="20">
        <f>SUMIFS(Tabla2[A],Tabla2[ANY],$Z$76,Tabla2[MES],'2021'!P$2,Tabla2[TIPUS],'2021'!$A136)</f>
        <v>0</v>
      </c>
      <c r="Q136" s="21">
        <f>IF(P$77=0,0,P136/P$77)</f>
        <v>0</v>
      </c>
      <c r="R136" s="20">
        <f>SUMIFS(Tabla2[A],Tabla2[ANY],$Z$76,Tabla2[MES],'2021'!R$2,Tabla2[TIPUS],'2021'!$A136)</f>
        <v>30.79</v>
      </c>
      <c r="S136" s="21">
        <f>IF(R$77=0,0,R136/R$77)</f>
        <v>5.7018518518518517E-2</v>
      </c>
      <c r="T136" s="20">
        <f>SUMIFS(Tabla2[A],Tabla2[ANY],$Z$76,Tabla2[MES],'2021'!T$2,Tabla2[TIPUS],'2021'!$A136)</f>
        <v>130.07</v>
      </c>
      <c r="U136" s="21">
        <f>IF(T$77=0,0,T136/T$77)</f>
        <v>0.1020156862745098</v>
      </c>
      <c r="V136" s="20">
        <f>SUMIFS(Tabla2[A],Tabla2[ANY],$Z$76,Tabla2[MES],'2021'!V$2,Tabla2[TIPUS],'2021'!$A136)</f>
        <v>0</v>
      </c>
      <c r="W136" s="21">
        <f>IF(V$77=0,0,V136/V$77)</f>
        <v>0</v>
      </c>
      <c r="X136" s="20">
        <f>SUMIFS(Tabla2[A],Tabla2[ANY],$Z$76,Tabla2[MES],'2021'!X$2,Tabla2[TIPUS],'2021'!$A136)</f>
        <v>0</v>
      </c>
      <c r="Y136" s="21">
        <f>IF(X$77=0,0,X136/X$77)</f>
        <v>0</v>
      </c>
      <c r="Z136" s="20">
        <f>B136+D136+F136+H136+J136+L136+N136+P136+R136+T136+V136+X136</f>
        <v>391.93</v>
      </c>
      <c r="AA136" s="21">
        <f>IF(Z$77=0,0,Z136/Z$77)</f>
        <v>3.345237221386712E-2</v>
      </c>
    </row>
    <row r="137" spans="1:27" ht="15.75" thickBot="1" x14ac:dyDescent="0.25">
      <c r="A137" s="15" t="s">
        <v>124</v>
      </c>
      <c r="B137" s="26">
        <f>B135-B136</f>
        <v>-178.23222222222228</v>
      </c>
      <c r="C137" s="27">
        <f>IF(B77=0,0,B137/B77)</f>
        <v>-0.3774507035625207</v>
      </c>
      <c r="D137" s="26">
        <f>D135-D136</f>
        <v>86.567777777777792</v>
      </c>
      <c r="E137" s="27">
        <f>IF(D77=0,0,D137/D77)</f>
        <v>0.18332862722951671</v>
      </c>
      <c r="F137" s="26">
        <f>F135-F136</f>
        <v>2197.7777777777778</v>
      </c>
      <c r="G137" s="27">
        <f>IF(F77=0,0,F137/F77)</f>
        <v>0.88899675502701159</v>
      </c>
      <c r="H137" s="26">
        <f>H135-H136</f>
        <v>84.72777777777776</v>
      </c>
      <c r="I137" s="27">
        <f>IF(H77=0,0,H137/H77)</f>
        <v>0.17943197326933027</v>
      </c>
      <c r="J137" s="26">
        <f>J135-J136</f>
        <v>575.73777777777786</v>
      </c>
      <c r="K137" s="27">
        <f>IF(J77=0,0,J137/J77)</f>
        <v>0.63961625296099212</v>
      </c>
      <c r="L137" s="26">
        <f>L135-L136</f>
        <v>824.41777777777793</v>
      </c>
      <c r="M137" s="27">
        <f>IF(L77=0,0,L137/L77)</f>
        <v>0.73143095985181639</v>
      </c>
      <c r="N137" s="26">
        <f>N135-N136</f>
        <v>-135.22222222222223</v>
      </c>
      <c r="O137" s="27">
        <f>IF(N77=0,0,N137/N77)</f>
        <v>-0.34672364672364675</v>
      </c>
      <c r="P137" s="26">
        <f>P135-P136</f>
        <v>-31.472222222222221</v>
      </c>
      <c r="Q137" s="27">
        <f>IF(P77=0,0,P137/P77)</f>
        <v>-9.1223832528180351E-2</v>
      </c>
      <c r="R137" s="26">
        <f>R135-R136</f>
        <v>-98.932222222222293</v>
      </c>
      <c r="S137" s="27">
        <f>IF(R77=0,0,R137/R77)</f>
        <v>-0.18320781893004129</v>
      </c>
      <c r="T137" s="26">
        <f>T135-T136</f>
        <v>649.6977777777779</v>
      </c>
      <c r="U137" s="27">
        <f>IF(T77=0,0,T137/T77)</f>
        <v>0.50956688453159049</v>
      </c>
      <c r="V137" s="26">
        <f>V135-V136</f>
        <v>686.65777777777782</v>
      </c>
      <c r="W137" s="27">
        <f>IF(V77=0,0,V137/V77)</f>
        <v>0.54496649029982369</v>
      </c>
      <c r="X137" s="26">
        <f>X135-X136</f>
        <v>687.66777777777793</v>
      </c>
      <c r="Y137" s="27">
        <f>IF(X77=0,0,X137/X77)</f>
        <v>0.34556169737576781</v>
      </c>
      <c r="Z137" s="26">
        <f>Z135-Z136</f>
        <v>5349.3933333333316</v>
      </c>
      <c r="AA137" s="27">
        <f>IF(Z77=0,0,Z137/Z77)</f>
        <v>0.45658637232425675</v>
      </c>
    </row>
    <row r="138" spans="1:27" ht="16.5" thickTop="1" thickBot="1" x14ac:dyDescent="0.25">
      <c r="B138" s="30"/>
      <c r="C138" s="31"/>
      <c r="D138" s="30"/>
      <c r="E138" s="31"/>
      <c r="F138" s="30"/>
      <c r="G138" s="31"/>
      <c r="H138" s="30"/>
      <c r="I138" s="31"/>
      <c r="J138" s="30"/>
      <c r="K138" s="31"/>
      <c r="L138" s="30"/>
      <c r="M138" s="31"/>
      <c r="N138" s="30"/>
      <c r="O138" s="31"/>
      <c r="P138" s="30"/>
      <c r="Q138" s="31"/>
      <c r="R138" s="30"/>
      <c r="S138" s="31"/>
      <c r="T138" s="30"/>
      <c r="U138" s="31"/>
      <c r="V138" s="30"/>
      <c r="W138" s="31"/>
      <c r="X138" s="30"/>
      <c r="Y138" s="31"/>
      <c r="Z138" s="30"/>
      <c r="AA138" s="31"/>
    </row>
    <row r="139" spans="1:27" ht="15.75" thickBot="1" x14ac:dyDescent="0.25">
      <c r="A139" s="210" t="s">
        <v>136</v>
      </c>
    </row>
    <row r="140" spans="1:27" x14ac:dyDescent="0.2">
      <c r="A140" s="210"/>
      <c r="B140" s="208" t="s">
        <v>48</v>
      </c>
      <c r="C140" s="209"/>
      <c r="D140" s="208" t="s">
        <v>56</v>
      </c>
      <c r="E140" s="209"/>
      <c r="F140" s="208" t="s">
        <v>57</v>
      </c>
      <c r="G140" s="209"/>
      <c r="H140" s="208" t="s">
        <v>58</v>
      </c>
      <c r="I140" s="209"/>
      <c r="J140" s="208" t="s">
        <v>59</v>
      </c>
      <c r="K140" s="209"/>
      <c r="L140" s="208" t="s">
        <v>60</v>
      </c>
      <c r="M140" s="209"/>
      <c r="N140" s="208" t="s">
        <v>61</v>
      </c>
      <c r="O140" s="209"/>
      <c r="P140" s="208" t="s">
        <v>62</v>
      </c>
      <c r="Q140" s="209"/>
      <c r="R140" s="208" t="s">
        <v>236</v>
      </c>
      <c r="S140" s="209"/>
      <c r="T140" s="208" t="s">
        <v>63</v>
      </c>
      <c r="U140" s="209"/>
      <c r="V140" s="208" t="s">
        <v>64</v>
      </c>
      <c r="W140" s="209"/>
      <c r="X140" s="208" t="s">
        <v>65</v>
      </c>
      <c r="Y140" s="209"/>
      <c r="Z140" s="208">
        <f>Z2</f>
        <v>2021</v>
      </c>
      <c r="AA140" s="209"/>
    </row>
    <row r="141" spans="1:27" x14ac:dyDescent="0.2">
      <c r="A141" t="s">
        <v>125</v>
      </c>
      <c r="B141" s="20">
        <f>B77</f>
        <v>472.2</v>
      </c>
      <c r="C141" s="38">
        <f t="shared" ref="C141:C147" si="139">B141</f>
        <v>472.2</v>
      </c>
      <c r="D141" s="20">
        <f>D77</f>
        <v>472.2</v>
      </c>
      <c r="E141" s="38">
        <f>C147+D141</f>
        <v>304.43999999999994</v>
      </c>
      <c r="F141" s="20">
        <f>F77</f>
        <v>2472.1999999999998</v>
      </c>
      <c r="G141" s="38">
        <f>E147+F141</f>
        <v>2401.4799999999996</v>
      </c>
      <c r="H141" s="20">
        <f>H77</f>
        <v>472.2</v>
      </c>
      <c r="I141" s="38">
        <f>G147+H141</f>
        <v>2609.7299999999996</v>
      </c>
      <c r="J141" s="20">
        <f>J77</f>
        <v>900.13</v>
      </c>
      <c r="K141" s="38">
        <f>I147+J141</f>
        <v>3132.8599999999997</v>
      </c>
      <c r="L141" s="20">
        <f>L77</f>
        <v>1127.1300000000001</v>
      </c>
      <c r="M141" s="38">
        <f>K147+L141</f>
        <v>3946.0699999999997</v>
      </c>
      <c r="N141" s="20">
        <f>N77</f>
        <v>390</v>
      </c>
      <c r="O141" s="38">
        <f>M147+N141</f>
        <v>4043.83</v>
      </c>
      <c r="P141" s="20">
        <f>P77</f>
        <v>345</v>
      </c>
      <c r="Q141" s="38">
        <f>O147+P141</f>
        <v>2280.8000000000002</v>
      </c>
      <c r="R141" s="20">
        <f>R77</f>
        <v>540</v>
      </c>
      <c r="S141" s="38">
        <f>Q147+R141</f>
        <v>2454.8000000000002</v>
      </c>
      <c r="T141" s="20">
        <f>T77</f>
        <v>1275</v>
      </c>
      <c r="U141" s="38">
        <f>S147+T141</f>
        <v>3101.34</v>
      </c>
      <c r="V141" s="20">
        <f>V77</f>
        <v>1260</v>
      </c>
      <c r="W141" s="38">
        <f>U147+V141</f>
        <v>3746.5099999999998</v>
      </c>
      <c r="X141" s="20">
        <f>X77</f>
        <v>1990</v>
      </c>
      <c r="Y141" s="38">
        <f>W147+X141</f>
        <v>5173.6399999999994</v>
      </c>
      <c r="Z141" s="200">
        <f>Z77</f>
        <v>11716.06</v>
      </c>
      <c r="AA141" s="201"/>
    </row>
    <row r="142" spans="1:27" x14ac:dyDescent="0.2">
      <c r="A142" t="s">
        <v>126</v>
      </c>
      <c r="B142" s="20">
        <f>B114</f>
        <v>639.96</v>
      </c>
      <c r="C142" s="38">
        <f t="shared" si="139"/>
        <v>639.96</v>
      </c>
      <c r="D142" s="20">
        <f>D114</f>
        <v>372.09</v>
      </c>
      <c r="E142" s="38">
        <f>D142</f>
        <v>372.09</v>
      </c>
      <c r="F142" s="20">
        <f>F114</f>
        <v>263.95</v>
      </c>
      <c r="G142" s="38">
        <f>F142</f>
        <v>263.95</v>
      </c>
      <c r="H142" s="20">
        <f>H114</f>
        <v>263</v>
      </c>
      <c r="I142" s="38">
        <f>H142</f>
        <v>263</v>
      </c>
      <c r="J142" s="20">
        <f>J114</f>
        <v>313.92</v>
      </c>
      <c r="K142" s="38">
        <f>J142</f>
        <v>313.92</v>
      </c>
      <c r="L142" s="20">
        <f>L114</f>
        <v>292.24</v>
      </c>
      <c r="M142" s="38">
        <f>L142</f>
        <v>292.24</v>
      </c>
      <c r="N142" s="20">
        <f>N114</f>
        <v>400.75</v>
      </c>
      <c r="O142" s="38">
        <f>N142</f>
        <v>400.75</v>
      </c>
      <c r="P142" s="20">
        <f>P114</f>
        <v>366</v>
      </c>
      <c r="Q142" s="38">
        <f>P142</f>
        <v>366</v>
      </c>
      <c r="R142" s="20">
        <f>R114</f>
        <v>597.67000000000007</v>
      </c>
      <c r="S142" s="38">
        <f>R142</f>
        <v>597.67000000000007</v>
      </c>
      <c r="T142" s="20">
        <f>T114</f>
        <v>484.76000000000005</v>
      </c>
      <c r="U142" s="38">
        <f>T142</f>
        <v>484.76000000000005</v>
      </c>
      <c r="V142" s="20">
        <f>V114</f>
        <v>562.87</v>
      </c>
      <c r="W142" s="38">
        <f>V142</f>
        <v>562.87</v>
      </c>
      <c r="X142" s="20">
        <f>X114</f>
        <v>1291.8599999999999</v>
      </c>
      <c r="Y142" s="38">
        <f>X142</f>
        <v>1291.8599999999999</v>
      </c>
      <c r="Z142" s="200">
        <f>Z114</f>
        <v>5849.0700000000006</v>
      </c>
      <c r="AA142" s="201"/>
    </row>
    <row r="143" spans="1:27" ht="15.75" thickBot="1" x14ac:dyDescent="0.25">
      <c r="A143" s="36" t="s">
        <v>127</v>
      </c>
      <c r="B143" s="37">
        <f>B141-B142</f>
        <v>-167.76000000000005</v>
      </c>
      <c r="C143" s="39">
        <f t="shared" si="139"/>
        <v>-167.76000000000005</v>
      </c>
      <c r="D143" s="37">
        <f t="shared" ref="D143:Y143" si="140">D141-D142</f>
        <v>100.11000000000001</v>
      </c>
      <c r="E143" s="39">
        <f t="shared" si="140"/>
        <v>-67.650000000000034</v>
      </c>
      <c r="F143" s="37">
        <f t="shared" si="140"/>
        <v>2208.25</v>
      </c>
      <c r="G143" s="39">
        <f t="shared" si="140"/>
        <v>2137.5299999999997</v>
      </c>
      <c r="H143" s="37">
        <f t="shared" si="140"/>
        <v>209.2</v>
      </c>
      <c r="I143" s="39">
        <f t="shared" si="140"/>
        <v>2346.7299999999996</v>
      </c>
      <c r="J143" s="37">
        <f t="shared" si="140"/>
        <v>586.21</v>
      </c>
      <c r="K143" s="39">
        <f t="shared" si="140"/>
        <v>2818.9399999999996</v>
      </c>
      <c r="L143" s="37">
        <f t="shared" si="140"/>
        <v>834.8900000000001</v>
      </c>
      <c r="M143" s="39">
        <f t="shared" si="140"/>
        <v>3653.83</v>
      </c>
      <c r="N143" s="37">
        <f t="shared" si="140"/>
        <v>-10.75</v>
      </c>
      <c r="O143" s="39">
        <f t="shared" si="140"/>
        <v>3643.08</v>
      </c>
      <c r="P143" s="37">
        <f t="shared" si="140"/>
        <v>-21</v>
      </c>
      <c r="Q143" s="39">
        <f t="shared" si="140"/>
        <v>1914.8000000000002</v>
      </c>
      <c r="R143" s="37">
        <f t="shared" si="140"/>
        <v>-57.670000000000073</v>
      </c>
      <c r="S143" s="39">
        <f t="shared" si="140"/>
        <v>1857.13</v>
      </c>
      <c r="T143" s="37">
        <f t="shared" si="140"/>
        <v>790.24</v>
      </c>
      <c r="U143" s="39">
        <f t="shared" si="140"/>
        <v>2616.58</v>
      </c>
      <c r="V143" s="37">
        <f t="shared" si="140"/>
        <v>697.13</v>
      </c>
      <c r="W143" s="39">
        <f t="shared" si="140"/>
        <v>3183.64</v>
      </c>
      <c r="X143" s="37">
        <f t="shared" si="140"/>
        <v>698.1400000000001</v>
      </c>
      <c r="Y143" s="39">
        <f t="shared" si="140"/>
        <v>3881.7799999999997</v>
      </c>
      <c r="Z143" s="202">
        <f>Z141-Z142</f>
        <v>5866.9899999999989</v>
      </c>
      <c r="AA143" s="203"/>
    </row>
    <row r="144" spans="1:27" x14ac:dyDescent="0.2">
      <c r="A144" s="2" t="s">
        <v>128</v>
      </c>
      <c r="B144" s="20">
        <f>-SUMIFS(Tabla2[A],Tabla2[ANY],$Z$76,Tabla2[MES],'2021'!B$2,Tabla2[TIPUS],'2021'!$A144)</f>
        <v>0</v>
      </c>
      <c r="C144" s="38">
        <f t="shared" si="139"/>
        <v>0</v>
      </c>
      <c r="D144" s="20">
        <f>-SUMIFS(Tabla2[A],Tabla2[ANY],$Z$76,Tabla2[MES],'2021'!D$2,Tabla2[TIPUS],'2021'!$A144)</f>
        <v>0</v>
      </c>
      <c r="E144" s="38">
        <f>D144</f>
        <v>0</v>
      </c>
      <c r="F144" s="20">
        <f>-SUMIFS(Tabla2[A],Tabla2[ANY],$Z$76,Tabla2[MES],'2021'!F$2,Tabla2[TIPUS],'2021'!$A144)</f>
        <v>0</v>
      </c>
      <c r="G144" s="38">
        <f>F144</f>
        <v>0</v>
      </c>
      <c r="H144" s="20">
        <f>-SUMIFS(Tabla2[A],Tabla2[ANY],$Z$76,Tabla2[MES],'2021'!H$2,Tabla2[TIPUS],'2021'!$A144)</f>
        <v>0</v>
      </c>
      <c r="I144" s="38">
        <f>H144</f>
        <v>0</v>
      </c>
      <c r="J144" s="20">
        <f>-SUMIFS(Tabla2[A],Tabla2[ANY],$Z$76,Tabla2[MES],'2021'!J$2,Tabla2[TIPUS],'2021'!$A144)</f>
        <v>0</v>
      </c>
      <c r="K144" s="38">
        <f>J144</f>
        <v>0</v>
      </c>
      <c r="L144" s="20">
        <f>-SUMIFS(Tabla2[A],Tabla2[ANY],$Z$76,Tabla2[MES],'2021'!L$2,Tabla2[TIPUS],'2021'!$A144)</f>
        <v>0</v>
      </c>
      <c r="M144" s="38">
        <f>L144</f>
        <v>0</v>
      </c>
      <c r="N144" s="20">
        <f>-SUMIFS(Tabla2[A],Tabla2[ANY],$Z$76,Tabla2[MES],'2021'!N$2,Tabla2[TIPUS],'2021'!$A144)</f>
        <v>-1593.28</v>
      </c>
      <c r="O144" s="38">
        <f>N144</f>
        <v>-1593.28</v>
      </c>
      <c r="P144" s="20">
        <f>-SUMIFS(Tabla2[A],Tabla2[ANY],$Z$76,Tabla2[MES],'2021'!P$2,Tabla2[TIPUS],'2021'!$A144)</f>
        <v>0</v>
      </c>
      <c r="Q144" s="38">
        <f>P144</f>
        <v>0</v>
      </c>
      <c r="R144" s="20">
        <f>-SUMIFS(Tabla2[A],Tabla2[ANY],$Z$76,Tabla2[MES],'2021'!R$2,Tabla2[TIPUS],'2021'!$A144)</f>
        <v>0</v>
      </c>
      <c r="S144" s="38">
        <f>R144</f>
        <v>0</v>
      </c>
      <c r="T144" s="20">
        <f>-SUMIFS(Tabla2[A],Tabla2[ANY],$Z$76,Tabla2[MES],'2021'!T$2,Tabla2[TIPUS],'2021'!$A144)</f>
        <v>0</v>
      </c>
      <c r="U144" s="38">
        <f>T144</f>
        <v>0</v>
      </c>
      <c r="V144" s="20">
        <f>-SUMIFS(Tabla2[A],Tabla2[ANY],$Z$76,Tabla2[MES],'2021'!V$2,Tabla2[TIPUS],'2021'!$A144)</f>
        <v>0</v>
      </c>
      <c r="W144" s="38">
        <f>V144</f>
        <v>0</v>
      </c>
      <c r="X144" s="20">
        <f>-SUMIFS(Tabla2[A],Tabla2[ANY],$Z$76,Tabla2[MES],'2021'!X$2,Tabla2[TIPUS],'2021'!$A144)</f>
        <v>0</v>
      </c>
      <c r="Y144" s="38">
        <f>X144</f>
        <v>0</v>
      </c>
      <c r="Z144" s="204">
        <f>-SUMIFS(Tabla2[A],Tabla2[ANY],$Z$140,Tabla2[TIPUS],'2021'!$A144)</f>
        <v>-1593.28</v>
      </c>
      <c r="AA144" s="205"/>
    </row>
    <row r="145" spans="1:27" x14ac:dyDescent="0.2">
      <c r="A145" t="s">
        <v>134</v>
      </c>
      <c r="B145" s="20">
        <f>-B133</f>
        <v>0</v>
      </c>
      <c r="C145" s="38">
        <f t="shared" si="139"/>
        <v>0</v>
      </c>
      <c r="D145" s="20">
        <f>-D133</f>
        <v>0</v>
      </c>
      <c r="E145" s="38">
        <f>D145</f>
        <v>0</v>
      </c>
      <c r="F145" s="20">
        <f>-F133</f>
        <v>0</v>
      </c>
      <c r="G145" s="38">
        <f>F145</f>
        <v>0</v>
      </c>
      <c r="H145" s="20">
        <f>-H133</f>
        <v>0</v>
      </c>
      <c r="I145" s="38">
        <f>H145</f>
        <v>0</v>
      </c>
      <c r="J145" s="20">
        <f>-J133</f>
        <v>0</v>
      </c>
      <c r="K145" s="38">
        <f>J145</f>
        <v>0</v>
      </c>
      <c r="L145" s="20">
        <f>-L133</f>
        <v>0</v>
      </c>
      <c r="M145" s="38">
        <f>L145</f>
        <v>0</v>
      </c>
      <c r="N145" s="20">
        <f>-N133</f>
        <v>0</v>
      </c>
      <c r="O145" s="38">
        <f>N145</f>
        <v>0</v>
      </c>
      <c r="P145" s="20">
        <f>-P133</f>
        <v>0</v>
      </c>
      <c r="Q145" s="38">
        <f>P145</f>
        <v>0</v>
      </c>
      <c r="R145" s="20">
        <f>-R133</f>
        <v>0</v>
      </c>
      <c r="S145" s="38">
        <f>R145</f>
        <v>0</v>
      </c>
      <c r="T145" s="20">
        <f>-T133</f>
        <v>0</v>
      </c>
      <c r="U145" s="38">
        <f>T145</f>
        <v>0</v>
      </c>
      <c r="V145" s="20">
        <f>-V133</f>
        <v>0</v>
      </c>
      <c r="W145" s="38">
        <f>V145</f>
        <v>0</v>
      </c>
      <c r="X145" s="20">
        <f>-X133</f>
        <v>0</v>
      </c>
      <c r="Y145" s="38">
        <f>X145</f>
        <v>0</v>
      </c>
      <c r="Z145" s="200">
        <f>-Z133</f>
        <v>0</v>
      </c>
      <c r="AA145" s="201"/>
    </row>
    <row r="146" spans="1:27" x14ac:dyDescent="0.2">
      <c r="A146" t="s">
        <v>130</v>
      </c>
      <c r="B146" s="23">
        <f>-B136</f>
        <v>0</v>
      </c>
      <c r="C146" s="35">
        <f t="shared" si="139"/>
        <v>0</v>
      </c>
      <c r="D146" s="23">
        <f>-D136</f>
        <v>-3.07</v>
      </c>
      <c r="E146" s="35">
        <f>D146</f>
        <v>-3.07</v>
      </c>
      <c r="F146" s="23">
        <f>-F136</f>
        <v>0</v>
      </c>
      <c r="G146" s="35">
        <f>F146</f>
        <v>0</v>
      </c>
      <c r="H146" s="23">
        <f>-H136</f>
        <v>-114</v>
      </c>
      <c r="I146" s="35">
        <f>H146</f>
        <v>-114</v>
      </c>
      <c r="J146" s="23">
        <f>-J136</f>
        <v>0</v>
      </c>
      <c r="K146" s="35">
        <f>J146</f>
        <v>0</v>
      </c>
      <c r="L146" s="23">
        <f>-L136</f>
        <v>0</v>
      </c>
      <c r="M146" s="35">
        <f>L146</f>
        <v>0</v>
      </c>
      <c r="N146" s="23">
        <f>-N136</f>
        <v>-114</v>
      </c>
      <c r="O146" s="35">
        <f>N146</f>
        <v>-114</v>
      </c>
      <c r="P146" s="23">
        <f>-P136</f>
        <v>0</v>
      </c>
      <c r="Q146" s="35">
        <f>P146</f>
        <v>0</v>
      </c>
      <c r="R146" s="23">
        <f>-R136</f>
        <v>-30.79</v>
      </c>
      <c r="S146" s="35">
        <f>R146</f>
        <v>-30.79</v>
      </c>
      <c r="T146" s="23">
        <f>-T136</f>
        <v>-130.07</v>
      </c>
      <c r="U146" s="35">
        <f>T146</f>
        <v>-130.07</v>
      </c>
      <c r="V146" s="23">
        <f>-V136</f>
        <v>0</v>
      </c>
      <c r="W146" s="35">
        <f>V146</f>
        <v>0</v>
      </c>
      <c r="X146" s="23">
        <f>-X136</f>
        <v>0</v>
      </c>
      <c r="Y146" s="35">
        <f>X146</f>
        <v>0</v>
      </c>
      <c r="Z146" s="200">
        <f>-Z136</f>
        <v>-391.93</v>
      </c>
      <c r="AA146" s="207"/>
    </row>
    <row r="147" spans="1:27" ht="15.75" thickBot="1" x14ac:dyDescent="0.25">
      <c r="A147" s="36" t="s">
        <v>131</v>
      </c>
      <c r="B147" s="37">
        <f>B143+B144+B145+B146</f>
        <v>-167.76000000000005</v>
      </c>
      <c r="C147" s="39">
        <f t="shared" si="139"/>
        <v>-167.76000000000005</v>
      </c>
      <c r="D147" s="37">
        <f t="shared" ref="D147:Z147" si="141">D143+D144+D145+D146</f>
        <v>97.04000000000002</v>
      </c>
      <c r="E147" s="39">
        <f t="shared" si="141"/>
        <v>-70.720000000000027</v>
      </c>
      <c r="F147" s="37">
        <f t="shared" si="141"/>
        <v>2208.25</v>
      </c>
      <c r="G147" s="39">
        <f t="shared" si="141"/>
        <v>2137.5299999999997</v>
      </c>
      <c r="H147" s="37">
        <f t="shared" si="141"/>
        <v>95.199999999999989</v>
      </c>
      <c r="I147" s="39">
        <f t="shared" si="141"/>
        <v>2232.7299999999996</v>
      </c>
      <c r="J147" s="37">
        <f t="shared" si="141"/>
        <v>586.21</v>
      </c>
      <c r="K147" s="39">
        <f t="shared" si="141"/>
        <v>2818.9399999999996</v>
      </c>
      <c r="L147" s="37">
        <f t="shared" si="141"/>
        <v>834.8900000000001</v>
      </c>
      <c r="M147" s="39">
        <f t="shared" si="141"/>
        <v>3653.83</v>
      </c>
      <c r="N147" s="37">
        <f t="shared" si="141"/>
        <v>-1718.03</v>
      </c>
      <c r="O147" s="39">
        <f t="shared" si="141"/>
        <v>1935.8000000000002</v>
      </c>
      <c r="P147" s="37">
        <f t="shared" si="141"/>
        <v>-21</v>
      </c>
      <c r="Q147" s="39">
        <f t="shared" si="141"/>
        <v>1914.8000000000002</v>
      </c>
      <c r="R147" s="37">
        <f t="shared" si="141"/>
        <v>-88.460000000000065</v>
      </c>
      <c r="S147" s="39">
        <f t="shared" si="141"/>
        <v>1826.3400000000001</v>
      </c>
      <c r="T147" s="37">
        <f t="shared" si="141"/>
        <v>660.17000000000007</v>
      </c>
      <c r="U147" s="39">
        <f t="shared" si="141"/>
        <v>2486.5099999999998</v>
      </c>
      <c r="V147" s="37">
        <f t="shared" si="141"/>
        <v>697.13</v>
      </c>
      <c r="W147" s="39">
        <f t="shared" si="141"/>
        <v>3183.64</v>
      </c>
      <c r="X147" s="37">
        <f t="shared" si="141"/>
        <v>698.1400000000001</v>
      </c>
      <c r="Y147" s="39">
        <f t="shared" si="141"/>
        <v>3881.7799999999997</v>
      </c>
      <c r="Z147" s="202">
        <f t="shared" si="141"/>
        <v>3881.7799999999993</v>
      </c>
      <c r="AA147" s="203"/>
    </row>
    <row r="149" spans="1:27" ht="30" thickBot="1" x14ac:dyDescent="0.45">
      <c r="A149" s="45" t="s">
        <v>103</v>
      </c>
    </row>
    <row r="150" spans="1:27" x14ac:dyDescent="0.2">
      <c r="B150" s="208" t="s">
        <v>48</v>
      </c>
      <c r="C150" s="209"/>
      <c r="D150" s="208" t="s">
        <v>56</v>
      </c>
      <c r="E150" s="209"/>
      <c r="F150" s="208" t="s">
        <v>57</v>
      </c>
      <c r="G150" s="209"/>
      <c r="H150" s="208" t="s">
        <v>58</v>
      </c>
      <c r="I150" s="209"/>
      <c r="J150" s="208" t="s">
        <v>59</v>
      </c>
      <c r="K150" s="209"/>
      <c r="L150" s="208" t="s">
        <v>60</v>
      </c>
      <c r="M150" s="209"/>
      <c r="N150" s="208" t="s">
        <v>61</v>
      </c>
      <c r="O150" s="209"/>
      <c r="P150" s="208" t="s">
        <v>62</v>
      </c>
      <c r="Q150" s="209"/>
      <c r="R150" s="208" t="s">
        <v>236</v>
      </c>
      <c r="S150" s="209"/>
      <c r="T150" s="208" t="s">
        <v>63</v>
      </c>
      <c r="U150" s="209"/>
      <c r="V150" s="208" t="s">
        <v>64</v>
      </c>
      <c r="W150" s="209"/>
      <c r="X150" s="208" t="s">
        <v>65</v>
      </c>
      <c r="Y150" s="209"/>
      <c r="Z150" s="208">
        <f>Z2</f>
        <v>2021</v>
      </c>
      <c r="AA150" s="209"/>
    </row>
    <row r="151" spans="1:27" ht="15.75" thickBot="1" x14ac:dyDescent="0.25">
      <c r="A151" s="10" t="s">
        <v>66</v>
      </c>
      <c r="B151" s="16">
        <f>B152+B170</f>
        <v>0</v>
      </c>
      <c r="C151" s="17">
        <f>IF(B151=0,0,(B151/B151))</f>
        <v>0</v>
      </c>
      <c r="D151" s="16">
        <f>D152+D170</f>
        <v>0</v>
      </c>
      <c r="E151" s="17">
        <f>IF(D151=0,0,(D151/D151))</f>
        <v>0</v>
      </c>
      <c r="F151" s="16">
        <f>F152+F170</f>
        <v>0</v>
      </c>
      <c r="G151" s="17">
        <f>IF(F151=0,0,(F151/F151))</f>
        <v>0</v>
      </c>
      <c r="H151" s="16">
        <f>H152+H170</f>
        <v>0</v>
      </c>
      <c r="I151" s="17">
        <f>IF(H151=0,0,(H151/H151))</f>
        <v>0</v>
      </c>
      <c r="J151" s="16">
        <f>J152+J170</f>
        <v>545</v>
      </c>
      <c r="K151" s="17">
        <f>IF(J151=0,0,(J151/J151))</f>
        <v>1</v>
      </c>
      <c r="L151" s="16">
        <f>L152+L170</f>
        <v>990</v>
      </c>
      <c r="M151" s="17">
        <f>IF(L151=0,0,(L151/L151))</f>
        <v>1</v>
      </c>
      <c r="N151" s="16">
        <f>N152+N170</f>
        <v>770</v>
      </c>
      <c r="O151" s="17">
        <f>IF(N151=0,0,(N151/N151))</f>
        <v>1</v>
      </c>
      <c r="P151" s="16">
        <f>P152+P170</f>
        <v>775</v>
      </c>
      <c r="Q151" s="17">
        <f>IF(P151=0,0,(P151/P151))</f>
        <v>1</v>
      </c>
      <c r="R151" s="16">
        <f>R152+R170</f>
        <v>845</v>
      </c>
      <c r="S151" s="17">
        <f>IF(R151=0,0,(R151/R151))</f>
        <v>1</v>
      </c>
      <c r="T151" s="16">
        <f>T152+T170</f>
        <v>1150</v>
      </c>
      <c r="U151" s="17">
        <f>IF(T151=0,0,(T151/T151))</f>
        <v>1</v>
      </c>
      <c r="V151" s="16">
        <f>V152+V170</f>
        <v>885</v>
      </c>
      <c r="W151" s="17">
        <f>IF(V151=0,0,(V151/V151))</f>
        <v>1</v>
      </c>
      <c r="X151" s="16">
        <f>X152+X170</f>
        <v>1270</v>
      </c>
      <c r="Y151" s="17">
        <f>IF(X151=0,0,(X151/X151))</f>
        <v>1</v>
      </c>
      <c r="Z151" s="16">
        <f>Z152+Z170</f>
        <v>7230</v>
      </c>
      <c r="AA151" s="17">
        <f>IF(Z151=0,0,(Z151/Z151))</f>
        <v>1</v>
      </c>
    </row>
    <row r="152" spans="1:27" x14ac:dyDescent="0.2">
      <c r="A152" s="32" t="s">
        <v>74</v>
      </c>
      <c r="B152" s="18">
        <f>SUM(B153:B160)</f>
        <v>0</v>
      </c>
      <c r="C152" s="19">
        <f>IF(B$151=0,0,B152/B$151)</f>
        <v>0</v>
      </c>
      <c r="D152" s="18">
        <f>SUM(D153:D160)</f>
        <v>0</v>
      </c>
      <c r="E152" s="19">
        <f>IF(D$151=0,0,D152/D$151)</f>
        <v>0</v>
      </c>
      <c r="F152" s="18">
        <f>SUM(F153:F160)</f>
        <v>0</v>
      </c>
      <c r="G152" s="19">
        <f>IF(F$151=0,0,F152/F$151)</f>
        <v>0</v>
      </c>
      <c r="H152" s="18">
        <f>SUM(H153:H160)</f>
        <v>0</v>
      </c>
      <c r="I152" s="19">
        <f>IF(H$151=0,0,H152/H$151)</f>
        <v>0</v>
      </c>
      <c r="J152" s="18">
        <f>SUM(J153:J160)</f>
        <v>530</v>
      </c>
      <c r="K152" s="19">
        <f>IF(J$151=0,0,J152/J$151)</f>
        <v>0.97247706422018354</v>
      </c>
      <c r="L152" s="18">
        <f>SUM(L153:L160)</f>
        <v>820</v>
      </c>
      <c r="M152" s="19">
        <f>IF(L$151=0,0,L152/L$151)</f>
        <v>0.82828282828282829</v>
      </c>
      <c r="N152" s="18">
        <f>SUM(N153:N160)</f>
        <v>770</v>
      </c>
      <c r="O152" s="19">
        <f>IF(N$151=0,0,N152/N$151)</f>
        <v>1</v>
      </c>
      <c r="P152" s="18">
        <f>SUM(P153:P160)</f>
        <v>775</v>
      </c>
      <c r="Q152" s="19">
        <f>IF(P$151=0,0,P152/P$151)</f>
        <v>1</v>
      </c>
      <c r="R152" s="18">
        <f>SUM(R153:R160)</f>
        <v>835</v>
      </c>
      <c r="S152" s="19">
        <f>IF(R$151=0,0,R152/R$151)</f>
        <v>0.98816568047337283</v>
      </c>
      <c r="T152" s="18">
        <f>SUM(T153:T160)</f>
        <v>980</v>
      </c>
      <c r="U152" s="19">
        <f>IF(T$151=0,0,T152/T$151)</f>
        <v>0.85217391304347823</v>
      </c>
      <c r="V152" s="18">
        <f>SUM(V153:V160)</f>
        <v>880</v>
      </c>
      <c r="W152" s="19">
        <f>IF(V$151=0,0,V152/V$151)</f>
        <v>0.99435028248587576</v>
      </c>
      <c r="X152" s="18">
        <f>SUM(X153:X160)</f>
        <v>1190</v>
      </c>
      <c r="Y152" s="19">
        <f>IF(X$151=0,0,X152/X$151)</f>
        <v>0.93700787401574803</v>
      </c>
      <c r="Z152" s="18">
        <f>SUM(Z153:Z160)</f>
        <v>6780</v>
      </c>
      <c r="AA152" s="19">
        <f>IF(Z$3=0,0,Z152/Z$3)</f>
        <v>0.35710410690791039</v>
      </c>
    </row>
    <row r="153" spans="1:27" hidden="1" outlineLevel="1" x14ac:dyDescent="0.2">
      <c r="A153" s="8" t="s">
        <v>67</v>
      </c>
      <c r="B153" s="20">
        <f>SUMIFS('Registre de reserves'!$V$2:$V$1178,'Registre de reserves'!$T$2:$T$1178,"SI",'Registre de reserves'!$I$2:$I$1178,'2021'!$A153,'Registre de reserves'!$B$2:$B$1178,'2021'!B$2,Tabla1[ANY],'2021'!$Z$150)+SUMIFS('Registre de reserves'!$V$2:$V$1178,'Registre de reserves'!$T$2:$T$1178,"RESERVA",'Registre de reserves'!$I$2:$I$1178,'2021'!$A153,'Registre de reserves'!$B$2:$B$1178,'2021'!B$2,Tabla1[ANY],'2021'!$Z$150)</f>
        <v>0</v>
      </c>
      <c r="C153" s="21">
        <f>IF(B$152=0,0,B153/B$152)</f>
        <v>0</v>
      </c>
      <c r="D153" s="20">
        <f>SUMIFS('Registre de reserves'!$V$2:$V$1178,'Registre de reserves'!$T$2:$T$1178,"SI",'Registre de reserves'!$I$2:$I$1178,'2021'!$A153,'Registre de reserves'!$B$2:$B$1178,'2021'!D$2,Tabla1[ANY],'2021'!$Z$150)+SUMIFS('Registre de reserves'!$V$2:$V$1178,'Registre de reserves'!$T$2:$T$1178,"RESERVA",'Registre de reserves'!$I$2:$I$1178,'2021'!$A153,'Registre de reserves'!$B$2:$B$1178,'2021'!D$2,Tabla1[ANY],'2021'!$Z$150)</f>
        <v>0</v>
      </c>
      <c r="E153" s="21">
        <f t="shared" ref="E153:E160" si="142">IF(D$152=0,0,D153/D$152)</f>
        <v>0</v>
      </c>
      <c r="F153" s="20">
        <f>SUMIFS('Registre de reserves'!$V$2:$V$1178,'Registre de reserves'!$T$2:$T$1178,"SI",'Registre de reserves'!$I$2:$I$1178,'2021'!$A153,'Registre de reserves'!$B$2:$B$1178,'2021'!F$2,Tabla1[ANY],'2021'!$Z$150)+SUMIFS('Registre de reserves'!$V$2:$V$1178,'Registre de reserves'!$T$2:$T$1178,"RESERVA",'Registre de reserves'!$I$2:$I$1178,'2021'!$A153,'Registre de reserves'!$B$2:$B$1178,'2021'!F$2,Tabla1[ANY],'2021'!$Z$150)</f>
        <v>0</v>
      </c>
      <c r="G153" s="21">
        <f t="shared" ref="G153:G160" si="143">IF(F$152=0,0,F153/F$152)</f>
        <v>0</v>
      </c>
      <c r="H153" s="20">
        <f>SUMIFS('Registre de reserves'!$V$2:$V$1178,'Registre de reserves'!$T$2:$T$1178,"SI",'Registre de reserves'!$I$2:$I$1178,'2021'!$A153,'Registre de reserves'!$B$2:$B$1178,'2021'!H$2,Tabla1[ANY],'2021'!$Z$150)+SUMIFS('Registre de reserves'!$V$2:$V$1178,'Registre de reserves'!$T$2:$T$1178,"RESERVA",'Registre de reserves'!$I$2:$I$1178,'2021'!$A153,'Registre de reserves'!$B$2:$B$1178,'2021'!H$2,Tabla1[ANY],'2021'!$Z$150)</f>
        <v>0</v>
      </c>
      <c r="I153" s="21">
        <f t="shared" ref="I153:I160" si="144">IF(H$152=0,0,H153/H$152)</f>
        <v>0</v>
      </c>
      <c r="J153" s="20">
        <f>SUMIFS('Registre de reserves'!$V$2:$V$1178,'Registre de reserves'!$T$2:$T$1178,"SI",'Registre de reserves'!$I$2:$I$1178,'2021'!$A153,'Registre de reserves'!$B$2:$B$1178,'2021'!J$2,Tabla1[ANY],'2021'!$Z$150)+SUMIFS('Registre de reserves'!$V$2:$V$1178,'Registre de reserves'!$T$2:$T$1178,"RESERVA",'Registre de reserves'!$I$2:$I$1178,'2021'!$A153,'Registre de reserves'!$B$2:$B$1178,'2021'!J$2,Tabla1[ANY],'2021'!$Z$150)</f>
        <v>0</v>
      </c>
      <c r="K153" s="21">
        <f t="shared" ref="K153:K160" si="145">IF(J$152=0,0,J153/J$152)</f>
        <v>0</v>
      </c>
      <c r="L153" s="20">
        <f>SUMIFS('Registre de reserves'!$V$2:$V$1178,'Registre de reserves'!$T$2:$T$1178,"SI",'Registre de reserves'!$I$2:$I$1178,'2021'!$A153,'Registre de reserves'!$B$2:$B$1178,'2021'!L$2,Tabla1[ANY],'2021'!$Z$150)+SUMIFS('Registre de reserves'!$V$2:$V$1178,'Registre de reserves'!$T$2:$T$1178,"RESERVA",'Registre de reserves'!$I$2:$I$1178,'2021'!$A153,'Registre de reserves'!$B$2:$B$1178,'2021'!L$2,Tabla1[ANY],'2021'!$Z$150)</f>
        <v>95</v>
      </c>
      <c r="M153" s="21">
        <f t="shared" ref="M153:M160" si="146">IF(L$152=0,0,L153/L$152)</f>
        <v>0.11585365853658537</v>
      </c>
      <c r="N153" s="20">
        <f>SUMIFS('Registre de reserves'!$V$2:$V$1178,'Registre de reserves'!$T$2:$T$1178,"SI",'Registre de reserves'!$I$2:$I$1178,'2021'!$A153,'Registre de reserves'!$B$2:$B$1178,'2021'!N$2,Tabla1[ANY],'2021'!$Z$150)+SUMIFS('Registre de reserves'!$V$2:$V$1178,'Registre de reserves'!$T$2:$T$1178,"RESERVA",'Registre de reserves'!$I$2:$I$1178,'2021'!$A153,'Registre de reserves'!$B$2:$B$1178,'2021'!N$2,Tabla1[ANY],'2021'!$Z$150)</f>
        <v>0</v>
      </c>
      <c r="O153" s="21">
        <f t="shared" ref="O153:O160" si="147">IF(N$152=0,0,N153/N$152)</f>
        <v>0</v>
      </c>
      <c r="P153" s="20">
        <f>SUMIFS('Registre de reserves'!$V$2:$V$1178,'Registre de reserves'!$T$2:$T$1178,"SI",'Registre de reserves'!$I$2:$I$1178,'2021'!$A153,'Registre de reserves'!$B$2:$B$1178,'2021'!P$2,Tabla1[ANY],'2021'!$Z$150)+SUMIFS('Registre de reserves'!$V$2:$V$1178,'Registre de reserves'!$T$2:$T$1178,"RESERVA",'Registre de reserves'!$I$2:$I$1178,'2021'!$A153,'Registre de reserves'!$B$2:$B$1178,'2021'!P$2,Tabla1[ANY],'2021'!$Z$150)</f>
        <v>95</v>
      </c>
      <c r="Q153" s="21">
        <f t="shared" ref="Q153:Q160" si="148">IF(P$152=0,0,P153/P$152)</f>
        <v>0.12258064516129032</v>
      </c>
      <c r="R153" s="20">
        <f>SUMIFS('Registre de reserves'!$V$2:$V$1178,'Registre de reserves'!$T$2:$T$1178,"SI",'Registre de reserves'!$I$2:$I$1178,'2021'!$A153,'Registre de reserves'!$B$2:$B$1178,'2021'!R$2,Tabla1[ANY],'2021'!$Z$150)+SUMIFS('Registre de reserves'!$V$2:$V$1178,'Registre de reserves'!$T$2:$T$1178,"RESERVA",'Registre de reserves'!$I$2:$I$1178,'2021'!$A153,'Registre de reserves'!$B$2:$B$1178,'2021'!R$2,Tabla1[ANY],'2021'!$Z$150)</f>
        <v>0</v>
      </c>
      <c r="S153" s="21">
        <f t="shared" ref="S153:S160" si="149">IF(R$152=0,0,R153/R$152)</f>
        <v>0</v>
      </c>
      <c r="T153" s="20">
        <f>SUMIFS('Registre de reserves'!$V$2:$V$1178,'Registre de reserves'!$T$2:$T$1178,"SI",'Registre de reserves'!$I$2:$I$1178,'2021'!$A153,'Registre de reserves'!$B$2:$B$1178,'2021'!T$2,Tabla1[ANY],'2021'!$Z$150)+SUMIFS('Registre de reserves'!$V$2:$V$1178,'Registre de reserves'!$T$2:$T$1178,"RESERVA",'Registre de reserves'!$I$2:$I$1178,'2021'!$A153,'Registre de reserves'!$B$2:$B$1178,'2021'!T$2,Tabla1[ANY],'2021'!$Z$150)</f>
        <v>0</v>
      </c>
      <c r="U153" s="21">
        <f t="shared" ref="U153:U160" si="150">IF(T$152=0,0,T153/T$152)</f>
        <v>0</v>
      </c>
      <c r="V153" s="20">
        <f>SUMIFS('Registre de reserves'!$V$2:$V$1178,'Registre de reserves'!$T$2:$T$1178,"SI",'Registre de reserves'!$I$2:$I$1178,'2021'!$A153,'Registre de reserves'!$B$2:$B$1178,'2021'!V$2,Tabla1[ANY],'2021'!$Z$150)+SUMIFS('Registre de reserves'!$V$2:$V$1178,'Registre de reserves'!$T$2:$T$1178,"RESERVA",'Registre de reserves'!$I$2:$I$1178,'2021'!$A153,'Registre de reserves'!$B$2:$B$1178,'2021'!V$2,Tabla1[ANY],'2021'!$Z$150)</f>
        <v>190</v>
      </c>
      <c r="W153" s="21">
        <f t="shared" ref="W153:W160" si="151">IF(V$152=0,0,V153/V$152)</f>
        <v>0.21590909090909091</v>
      </c>
      <c r="X153" s="20">
        <f>SUMIFS('Registre de reserves'!$V$2:$V$1178,'Registre de reserves'!$T$2:$T$1178,"SI",'Registre de reserves'!$I$2:$I$1178,'2021'!$A153,'Registre de reserves'!$B$2:$B$1178,'2021'!X$2,Tabla1[ANY],'2021'!$Z$150)+SUMIFS('Registre de reserves'!$V$2:$V$1178,'Registre de reserves'!$T$2:$T$1178,"RESERVA",'Registre de reserves'!$I$2:$I$1178,'2021'!$A153,'Registre de reserves'!$B$2:$B$1178,'2021'!X$2,Tabla1[ANY],'2021'!$Z$150)</f>
        <v>0</v>
      </c>
      <c r="Y153" s="21">
        <f t="shared" ref="Y153:Y160" si="152">IF(X$152=0,0,X153/X$152)</f>
        <v>0</v>
      </c>
      <c r="Z153" s="20">
        <f>B153+D153+F153+H153+J153+L153+N153+P153+R153+T153+V153+X153</f>
        <v>380</v>
      </c>
      <c r="AA153" s="21">
        <f t="shared" ref="AA153:AA160" si="153">IF(Z$4=0,0,Z153/Z$4)</f>
        <v>2.0741157989766969E-2</v>
      </c>
    </row>
    <row r="154" spans="1:27" hidden="1" outlineLevel="1" x14ac:dyDescent="0.2">
      <c r="A154" s="8" t="s">
        <v>68</v>
      </c>
      <c r="B154" s="20">
        <f>SUMIFS('Registre de reserves'!$V$2:$V$1178,'Registre de reserves'!$T$2:$T$1178,"SI",'Registre de reserves'!$I$2:$I$1178,'2021'!$A154,'Registre de reserves'!$B$2:$B$1178,'2021'!B$2,Tabla1[ANY],'2021'!$Z$150)+SUMIFS('Registre de reserves'!$V$2:$V$1178,'Registre de reserves'!$T$2:$T$1178,"RESERVA",'Registre de reserves'!$I$2:$I$1178,'2021'!$A154,'Registre de reserves'!$B$2:$B$1178,'2021'!B$2,Tabla1[ANY],'2021'!$Z$150)</f>
        <v>0</v>
      </c>
      <c r="C154" s="21">
        <f t="shared" ref="C154:C160" si="154">IF(B$152=0,0,B154/B$152)</f>
        <v>0</v>
      </c>
      <c r="D154" s="20">
        <f>SUMIFS('Registre de reserves'!$V$2:$V$1178,'Registre de reserves'!$T$2:$T$1178,"SI",'Registre de reserves'!$I$2:$I$1178,'2021'!$A154,'Registre de reserves'!$B$2:$B$1178,'2021'!D$2,Tabla1[ANY],'2021'!$Z$150)+SUMIFS('Registre de reserves'!$V$2:$V$1178,'Registre de reserves'!$T$2:$T$1178,"RESERVA",'Registre de reserves'!$I$2:$I$1178,'2021'!$A154,'Registre de reserves'!$B$2:$B$1178,'2021'!D$2,Tabla1[ANY],'2021'!$Z$150)</f>
        <v>0</v>
      </c>
      <c r="E154" s="21">
        <f t="shared" si="142"/>
        <v>0</v>
      </c>
      <c r="F154" s="20">
        <f>SUMIFS('Registre de reserves'!$V$2:$V$1178,'Registre de reserves'!$T$2:$T$1178,"SI",'Registre de reserves'!$I$2:$I$1178,'2021'!$A154,'Registre de reserves'!$B$2:$B$1178,'2021'!F$2,Tabla1[ANY],'2021'!$Z$150)+SUMIFS('Registre de reserves'!$V$2:$V$1178,'Registre de reserves'!$T$2:$T$1178,"RESERVA",'Registre de reserves'!$I$2:$I$1178,'2021'!$A154,'Registre de reserves'!$B$2:$B$1178,'2021'!F$2,Tabla1[ANY],'2021'!$Z$150)</f>
        <v>0</v>
      </c>
      <c r="G154" s="21">
        <f t="shared" si="143"/>
        <v>0</v>
      </c>
      <c r="H154" s="20">
        <f>SUMIFS('Registre de reserves'!$V$2:$V$1178,'Registre de reserves'!$T$2:$T$1178,"SI",'Registre de reserves'!$I$2:$I$1178,'2021'!$A154,'Registre de reserves'!$B$2:$B$1178,'2021'!H$2,Tabla1[ANY],'2021'!$Z$150)+SUMIFS('Registre de reserves'!$V$2:$V$1178,'Registre de reserves'!$T$2:$T$1178,"RESERVA",'Registre de reserves'!$I$2:$I$1178,'2021'!$A154,'Registre de reserves'!$B$2:$B$1178,'2021'!H$2,Tabla1[ANY],'2021'!$Z$150)</f>
        <v>0</v>
      </c>
      <c r="I154" s="21">
        <f t="shared" si="144"/>
        <v>0</v>
      </c>
      <c r="J154" s="20">
        <f>SUMIFS('Registre de reserves'!$V$2:$V$1178,'Registre de reserves'!$T$2:$T$1178,"SI",'Registre de reserves'!$I$2:$I$1178,'2021'!$A154,'Registre de reserves'!$B$2:$B$1178,'2021'!J$2,Tabla1[ANY],'2021'!$Z$150)+SUMIFS('Registre de reserves'!$V$2:$V$1178,'Registre de reserves'!$T$2:$T$1178,"RESERVA",'Registre de reserves'!$I$2:$I$1178,'2021'!$A154,'Registre de reserves'!$B$2:$B$1178,'2021'!J$2,Tabla1[ANY],'2021'!$Z$150)</f>
        <v>230</v>
      </c>
      <c r="K154" s="21">
        <f t="shared" si="145"/>
        <v>0.43396226415094341</v>
      </c>
      <c r="L154" s="20">
        <f>SUMIFS('Registre de reserves'!$V$2:$V$1178,'Registre de reserves'!$T$2:$T$1178,"SI",'Registre de reserves'!$I$2:$I$1178,'2021'!$A154,'Registre de reserves'!$B$2:$B$1178,'2021'!L$2,Tabla1[ANY],'2021'!$Z$150)+SUMIFS('Registre de reserves'!$V$2:$V$1178,'Registre de reserves'!$T$2:$T$1178,"RESERVA",'Registre de reserves'!$I$2:$I$1178,'2021'!$A154,'Registre de reserves'!$B$2:$B$1178,'2021'!L$2,Tabla1[ANY],'2021'!$Z$150)</f>
        <v>260</v>
      </c>
      <c r="M154" s="21">
        <f t="shared" si="146"/>
        <v>0.31707317073170732</v>
      </c>
      <c r="N154" s="20">
        <f>SUMIFS('Registre de reserves'!$V$2:$V$1178,'Registre de reserves'!$T$2:$T$1178,"SI",'Registre de reserves'!$I$2:$I$1178,'2021'!$A154,'Registre de reserves'!$B$2:$B$1178,'2021'!N$2,Tabla1[ANY],'2021'!$Z$150)+SUMIFS('Registre de reserves'!$V$2:$V$1178,'Registre de reserves'!$T$2:$T$1178,"RESERVA",'Registre de reserves'!$I$2:$I$1178,'2021'!$A154,'Registre de reserves'!$B$2:$B$1178,'2021'!N$2,Tabla1[ANY],'2021'!$Z$150)</f>
        <v>0</v>
      </c>
      <c r="O154" s="21">
        <f t="shared" si="147"/>
        <v>0</v>
      </c>
      <c r="P154" s="20">
        <f>SUMIFS('Registre de reserves'!$V$2:$V$1178,'Registre de reserves'!$T$2:$T$1178,"SI",'Registre de reserves'!$I$2:$I$1178,'2021'!$A154,'Registre de reserves'!$B$2:$B$1178,'2021'!P$2,Tabla1[ANY],'2021'!$Z$150)+SUMIFS('Registre de reserves'!$V$2:$V$1178,'Registre de reserves'!$T$2:$T$1178,"RESERVA",'Registre de reserves'!$I$2:$I$1178,'2021'!$A154,'Registre de reserves'!$B$2:$B$1178,'2021'!P$2,Tabla1[ANY],'2021'!$Z$150)</f>
        <v>680</v>
      </c>
      <c r="Q154" s="21">
        <f t="shared" si="148"/>
        <v>0.8774193548387097</v>
      </c>
      <c r="R154" s="20">
        <f>SUMIFS('Registre de reserves'!$V$2:$V$1178,'Registre de reserves'!$T$2:$T$1178,"SI",'Registre de reserves'!$I$2:$I$1178,'2021'!$A154,'Registre de reserves'!$B$2:$B$1178,'2021'!R$2,Tabla1[ANY],'2021'!$Z$150)+SUMIFS('Registre de reserves'!$V$2:$V$1178,'Registre de reserves'!$T$2:$T$1178,"RESERVA",'Registre de reserves'!$I$2:$I$1178,'2021'!$A154,'Registre de reserves'!$B$2:$B$1178,'2021'!R$2,Tabla1[ANY],'2021'!$Z$150)</f>
        <v>580</v>
      </c>
      <c r="S154" s="21">
        <f t="shared" si="149"/>
        <v>0.69461077844311381</v>
      </c>
      <c r="T154" s="20">
        <f>SUMIFS('Registre de reserves'!$V$2:$V$1178,'Registre de reserves'!$T$2:$T$1178,"SI",'Registre de reserves'!$I$2:$I$1178,'2021'!$A154,'Registre de reserves'!$B$2:$B$1178,'2021'!T$2,Tabla1[ANY],'2021'!$Z$150)+SUMIFS('Registre de reserves'!$V$2:$V$1178,'Registre de reserves'!$T$2:$T$1178,"RESERVA",'Registre de reserves'!$I$2:$I$1178,'2021'!$A154,'Registre de reserves'!$B$2:$B$1178,'2021'!T$2,Tabla1[ANY],'2021'!$Z$150)</f>
        <v>565</v>
      </c>
      <c r="U154" s="21">
        <f t="shared" si="150"/>
        <v>0.57653061224489799</v>
      </c>
      <c r="V154" s="20">
        <f>SUMIFS('Registre de reserves'!$V$2:$V$1178,'Registre de reserves'!$T$2:$T$1178,"SI",'Registre de reserves'!$I$2:$I$1178,'2021'!$A154,'Registre de reserves'!$B$2:$B$1178,'2021'!V$2,Tabla1[ANY],'2021'!$Z$150)+SUMIFS('Registre de reserves'!$V$2:$V$1178,'Registre de reserves'!$T$2:$T$1178,"RESERVA",'Registre de reserves'!$I$2:$I$1178,'2021'!$A154,'Registre de reserves'!$B$2:$B$1178,'2021'!V$2,Tabla1[ANY],'2021'!$Z$150)</f>
        <v>95</v>
      </c>
      <c r="W154" s="21">
        <f t="shared" si="151"/>
        <v>0.10795454545454546</v>
      </c>
      <c r="X154" s="20">
        <f>SUMIFS('Registre de reserves'!$V$2:$V$1178,'Registre de reserves'!$T$2:$T$1178,"SI",'Registre de reserves'!$I$2:$I$1178,'2021'!$A154,'Registre de reserves'!$B$2:$B$1178,'2021'!X$2,Tabla1[ANY],'2021'!$Z$150)+SUMIFS('Registre de reserves'!$V$2:$V$1178,'Registre de reserves'!$T$2:$T$1178,"RESERVA",'Registre de reserves'!$I$2:$I$1178,'2021'!$A154,'Registre de reserves'!$B$2:$B$1178,'2021'!X$2,Tabla1[ANY],'2021'!$Z$150)</f>
        <v>330</v>
      </c>
      <c r="Y154" s="21">
        <f t="shared" si="152"/>
        <v>0.27731092436974791</v>
      </c>
      <c r="Z154" s="20">
        <f t="shared" ref="Z154:Z160" si="155">B154+D154+F154+H154+J154+L154+N154+P154+R154+T154+V154+X154</f>
        <v>2740</v>
      </c>
      <c r="AA154" s="21">
        <f t="shared" si="153"/>
        <v>0.14955466550516183</v>
      </c>
    </row>
    <row r="155" spans="1:27" hidden="1" outlineLevel="1" x14ac:dyDescent="0.2">
      <c r="A155" s="8" t="s">
        <v>4</v>
      </c>
      <c r="B155" s="20">
        <f>SUMIFS('Registre de reserves'!$V$2:$V$1178,'Registre de reserves'!$T$2:$T$1178,"SI",'Registre de reserves'!$I$2:$I$1178,'2021'!$A155,'Registre de reserves'!$B$2:$B$1178,'2021'!B$2,Tabla1[ANY],'2021'!$Z$150)+SUMIFS('Registre de reserves'!$V$2:$V$1178,'Registre de reserves'!$T$2:$T$1178,"RESERVA",'Registre de reserves'!$I$2:$I$1178,'2021'!$A155,'Registre de reserves'!$B$2:$B$1178,'2021'!B$2,Tabla1[ANY],'2021'!$Z$150)</f>
        <v>0</v>
      </c>
      <c r="C155" s="21">
        <f t="shared" si="154"/>
        <v>0</v>
      </c>
      <c r="D155" s="20">
        <f>SUMIFS('Registre de reserves'!$V$2:$V$1178,'Registre de reserves'!$T$2:$T$1178,"SI",'Registre de reserves'!$I$2:$I$1178,'2021'!$A155,'Registre de reserves'!$B$2:$B$1178,'2021'!D$2,Tabla1[ANY],'2021'!$Z$150)+SUMIFS('Registre de reserves'!$V$2:$V$1178,'Registre de reserves'!$T$2:$T$1178,"RESERVA",'Registre de reserves'!$I$2:$I$1178,'2021'!$A155,'Registre de reserves'!$B$2:$B$1178,'2021'!D$2,Tabla1[ANY],'2021'!$Z$150)</f>
        <v>0</v>
      </c>
      <c r="E155" s="21">
        <f t="shared" si="142"/>
        <v>0</v>
      </c>
      <c r="F155" s="20">
        <f>SUMIFS('Registre de reserves'!$V$2:$V$1178,'Registre de reserves'!$T$2:$T$1178,"SI",'Registre de reserves'!$I$2:$I$1178,'2021'!$A155,'Registre de reserves'!$B$2:$B$1178,'2021'!F$2,Tabla1[ANY],'2021'!$Z$150)+SUMIFS('Registre de reserves'!$V$2:$V$1178,'Registre de reserves'!$T$2:$T$1178,"RESERVA",'Registre de reserves'!$I$2:$I$1178,'2021'!$A155,'Registre de reserves'!$B$2:$B$1178,'2021'!F$2,Tabla1[ANY],'2021'!$Z$150)</f>
        <v>0</v>
      </c>
      <c r="G155" s="21">
        <f t="shared" si="143"/>
        <v>0</v>
      </c>
      <c r="H155" s="20">
        <f>SUMIFS('Registre de reserves'!$V$2:$V$1178,'Registre de reserves'!$T$2:$T$1178,"SI",'Registre de reserves'!$I$2:$I$1178,'2021'!$A155,'Registre de reserves'!$B$2:$B$1178,'2021'!H$2,Tabla1[ANY],'2021'!$Z$150)+SUMIFS('Registre de reserves'!$V$2:$V$1178,'Registre de reserves'!$T$2:$T$1178,"RESERVA",'Registre de reserves'!$I$2:$I$1178,'2021'!$A155,'Registre de reserves'!$B$2:$B$1178,'2021'!H$2,Tabla1[ANY],'2021'!$Z$150)</f>
        <v>0</v>
      </c>
      <c r="I155" s="21">
        <f t="shared" si="144"/>
        <v>0</v>
      </c>
      <c r="J155" s="20">
        <f>SUMIFS('Registre de reserves'!$V$2:$V$1178,'Registre de reserves'!$T$2:$T$1178,"SI",'Registre de reserves'!$I$2:$I$1178,'2021'!$A155,'Registre de reserves'!$B$2:$B$1178,'2021'!J$2,Tabla1[ANY],'2021'!$Z$150)+SUMIFS('Registre de reserves'!$V$2:$V$1178,'Registre de reserves'!$T$2:$T$1178,"RESERVA",'Registre de reserves'!$I$2:$I$1178,'2021'!$A155,'Registre de reserves'!$B$2:$B$1178,'2021'!J$2,Tabla1[ANY],'2021'!$Z$150)</f>
        <v>300</v>
      </c>
      <c r="K155" s="21">
        <f t="shared" si="145"/>
        <v>0.56603773584905659</v>
      </c>
      <c r="L155" s="20">
        <f>SUMIFS('Registre de reserves'!$V$2:$V$1178,'Registre de reserves'!$T$2:$T$1178,"SI",'Registre de reserves'!$I$2:$I$1178,'2021'!$A155,'Registre de reserves'!$B$2:$B$1178,'2021'!L$2,Tabla1[ANY],'2021'!$Z$150)+SUMIFS('Registre de reserves'!$V$2:$V$1178,'Registre de reserves'!$T$2:$T$1178,"RESERVA",'Registre de reserves'!$I$2:$I$1178,'2021'!$A155,'Registre de reserves'!$B$2:$B$1178,'2021'!L$2,Tabla1[ANY],'2021'!$Z$150)</f>
        <v>465</v>
      </c>
      <c r="M155" s="21">
        <f t="shared" si="146"/>
        <v>0.56707317073170727</v>
      </c>
      <c r="N155" s="20">
        <f>SUMIFS('Registre de reserves'!$V$2:$V$1178,'Registre de reserves'!$T$2:$T$1178,"SI",'Registre de reserves'!$I$2:$I$1178,'2021'!$A155,'Registre de reserves'!$B$2:$B$1178,'2021'!N$2,Tabla1[ANY],'2021'!$Z$150)+SUMIFS('Registre de reserves'!$V$2:$V$1178,'Registre de reserves'!$T$2:$T$1178,"RESERVA",'Registre de reserves'!$I$2:$I$1178,'2021'!$A155,'Registre de reserves'!$B$2:$B$1178,'2021'!N$2,Tabla1[ANY],'2021'!$Z$150)</f>
        <v>770</v>
      </c>
      <c r="O155" s="21">
        <f t="shared" si="147"/>
        <v>1</v>
      </c>
      <c r="P155" s="20">
        <f>SUMIFS('Registre de reserves'!$V$2:$V$1178,'Registre de reserves'!$T$2:$T$1178,"SI",'Registre de reserves'!$I$2:$I$1178,'2021'!$A155,'Registre de reserves'!$B$2:$B$1178,'2021'!P$2,Tabla1[ANY],'2021'!$Z$150)+SUMIFS('Registre de reserves'!$V$2:$V$1178,'Registre de reserves'!$T$2:$T$1178,"RESERVA",'Registre de reserves'!$I$2:$I$1178,'2021'!$A155,'Registre de reserves'!$B$2:$B$1178,'2021'!P$2,Tabla1[ANY],'2021'!$Z$150)</f>
        <v>0</v>
      </c>
      <c r="Q155" s="21">
        <f t="shared" si="148"/>
        <v>0</v>
      </c>
      <c r="R155" s="20">
        <f>SUMIFS('Registre de reserves'!$V$2:$V$1178,'Registre de reserves'!$T$2:$T$1178,"SI",'Registre de reserves'!$I$2:$I$1178,'2021'!$A155,'Registre de reserves'!$B$2:$B$1178,'2021'!R$2,Tabla1[ANY],'2021'!$Z$150)+SUMIFS('Registre de reserves'!$V$2:$V$1178,'Registre de reserves'!$T$2:$T$1178,"RESERVA",'Registre de reserves'!$I$2:$I$1178,'2021'!$A155,'Registre de reserves'!$B$2:$B$1178,'2021'!R$2,Tabla1[ANY],'2021'!$Z$150)</f>
        <v>160</v>
      </c>
      <c r="S155" s="21">
        <f t="shared" si="149"/>
        <v>0.19161676646706588</v>
      </c>
      <c r="T155" s="20">
        <f>SUMIFS('Registre de reserves'!$V$2:$V$1178,'Registre de reserves'!$T$2:$T$1178,"SI",'Registre de reserves'!$I$2:$I$1178,'2021'!$A155,'Registre de reserves'!$B$2:$B$1178,'2021'!T$2,Tabla1[ANY],'2021'!$Z$150)+SUMIFS('Registre de reserves'!$V$2:$V$1178,'Registre de reserves'!$T$2:$T$1178,"RESERVA",'Registre de reserves'!$I$2:$I$1178,'2021'!$A155,'Registre de reserves'!$B$2:$B$1178,'2021'!T$2,Tabla1[ANY],'2021'!$Z$150)</f>
        <v>220</v>
      </c>
      <c r="U155" s="21">
        <f t="shared" si="150"/>
        <v>0.22448979591836735</v>
      </c>
      <c r="V155" s="20">
        <f>SUMIFS('Registre de reserves'!$V$2:$V$1178,'Registre de reserves'!$T$2:$T$1178,"SI",'Registre de reserves'!$I$2:$I$1178,'2021'!$A155,'Registre de reserves'!$B$2:$B$1178,'2021'!V$2,Tabla1[ANY],'2021'!$Z$150)+SUMIFS('Registre de reserves'!$V$2:$V$1178,'Registre de reserves'!$T$2:$T$1178,"RESERVA",'Registre de reserves'!$I$2:$I$1178,'2021'!$A155,'Registre de reserves'!$B$2:$B$1178,'2021'!V$2,Tabla1[ANY],'2021'!$Z$150)</f>
        <v>450</v>
      </c>
      <c r="W155" s="21">
        <f t="shared" si="151"/>
        <v>0.51136363636363635</v>
      </c>
      <c r="X155" s="20">
        <f>SUMIFS('Registre de reserves'!$V$2:$V$1178,'Registre de reserves'!$T$2:$T$1178,"SI",'Registre de reserves'!$I$2:$I$1178,'2021'!$A155,'Registre de reserves'!$B$2:$B$1178,'2021'!X$2,Tabla1[ANY],'2021'!$Z$150)+SUMIFS('Registre de reserves'!$V$2:$V$1178,'Registre de reserves'!$T$2:$T$1178,"RESERVA",'Registre de reserves'!$I$2:$I$1178,'2021'!$A155,'Registre de reserves'!$B$2:$B$1178,'2021'!X$2,Tabla1[ANY],'2021'!$Z$150)</f>
        <v>715</v>
      </c>
      <c r="Y155" s="21">
        <f t="shared" si="152"/>
        <v>0.60084033613445376</v>
      </c>
      <c r="Z155" s="20">
        <f t="shared" si="155"/>
        <v>3080</v>
      </c>
      <c r="AA155" s="21">
        <f t="shared" si="153"/>
        <v>0.16811254370653228</v>
      </c>
    </row>
    <row r="156" spans="1:27" hidden="1" outlineLevel="1" x14ac:dyDescent="0.2">
      <c r="A156" s="8" t="s">
        <v>71</v>
      </c>
      <c r="B156" s="20">
        <f>SUMIFS('Registre de reserves'!$V$2:$V$1178,'Registre de reserves'!$T$2:$T$1178,"SI",'Registre de reserves'!$I$2:$I$1178,'2021'!$A156,'Registre de reserves'!$B$2:$B$1178,'2021'!B$2,Tabla1[ANY],'2021'!$Z$150)+SUMIFS('Registre de reserves'!$V$2:$V$1178,'Registre de reserves'!$T$2:$T$1178,"RESERVA",'Registre de reserves'!$I$2:$I$1178,'2021'!$A156,'Registre de reserves'!$B$2:$B$1178,'2021'!B$2,Tabla1[ANY],'2021'!$Z$150)</f>
        <v>0</v>
      </c>
      <c r="C156" s="21">
        <f t="shared" si="154"/>
        <v>0</v>
      </c>
      <c r="D156" s="20">
        <f>SUMIFS('Registre de reserves'!$V$2:$V$1178,'Registre de reserves'!$T$2:$T$1178,"SI",'Registre de reserves'!$I$2:$I$1178,'2021'!$A156,'Registre de reserves'!$B$2:$B$1178,'2021'!D$2,Tabla1[ANY],'2021'!$Z$150)+SUMIFS('Registre de reserves'!$V$2:$V$1178,'Registre de reserves'!$T$2:$T$1178,"RESERVA",'Registre de reserves'!$I$2:$I$1178,'2021'!$A156,'Registre de reserves'!$B$2:$B$1178,'2021'!D$2,Tabla1[ANY],'2021'!$Z$150)</f>
        <v>0</v>
      </c>
      <c r="E156" s="21">
        <f t="shared" si="142"/>
        <v>0</v>
      </c>
      <c r="F156" s="20">
        <f>SUMIFS('Registre de reserves'!$V$2:$V$1178,'Registre de reserves'!$T$2:$T$1178,"SI",'Registre de reserves'!$I$2:$I$1178,'2021'!$A156,'Registre de reserves'!$B$2:$B$1178,'2021'!F$2,Tabla1[ANY],'2021'!$Z$150)+SUMIFS('Registre de reserves'!$V$2:$V$1178,'Registre de reserves'!$T$2:$T$1178,"RESERVA",'Registre de reserves'!$I$2:$I$1178,'2021'!$A156,'Registre de reserves'!$B$2:$B$1178,'2021'!F$2,Tabla1[ANY],'2021'!$Z$150)</f>
        <v>0</v>
      </c>
      <c r="G156" s="21">
        <f t="shared" si="143"/>
        <v>0</v>
      </c>
      <c r="H156" s="20">
        <f>SUMIFS('Registre de reserves'!$V$2:$V$1178,'Registre de reserves'!$T$2:$T$1178,"SI",'Registre de reserves'!$I$2:$I$1178,'2021'!$A156,'Registre de reserves'!$B$2:$B$1178,'2021'!H$2,Tabla1[ANY],'2021'!$Z$150)+SUMIFS('Registre de reserves'!$V$2:$V$1178,'Registre de reserves'!$T$2:$T$1178,"RESERVA",'Registre de reserves'!$I$2:$I$1178,'2021'!$A156,'Registre de reserves'!$B$2:$B$1178,'2021'!H$2,Tabla1[ANY],'2021'!$Z$150)</f>
        <v>0</v>
      </c>
      <c r="I156" s="21">
        <f t="shared" si="144"/>
        <v>0</v>
      </c>
      <c r="J156" s="20">
        <f>SUMIFS('Registre de reserves'!$V$2:$V$1178,'Registre de reserves'!$T$2:$T$1178,"SI",'Registre de reserves'!$I$2:$I$1178,'2021'!$A156,'Registre de reserves'!$B$2:$B$1178,'2021'!J$2,Tabla1[ANY],'2021'!$Z$150)+SUMIFS('Registre de reserves'!$V$2:$V$1178,'Registre de reserves'!$T$2:$T$1178,"RESERVA",'Registre de reserves'!$I$2:$I$1178,'2021'!$A156,'Registre de reserves'!$B$2:$B$1178,'2021'!J$2,Tabla1[ANY],'2021'!$Z$150)</f>
        <v>0</v>
      </c>
      <c r="K156" s="21">
        <f t="shared" si="145"/>
        <v>0</v>
      </c>
      <c r="L156" s="20">
        <f>SUMIFS('Registre de reserves'!$V$2:$V$1178,'Registre de reserves'!$T$2:$T$1178,"SI",'Registre de reserves'!$I$2:$I$1178,'2021'!$A156,'Registre de reserves'!$B$2:$B$1178,'2021'!L$2,Tabla1[ANY],'2021'!$Z$150)+SUMIFS('Registre de reserves'!$V$2:$V$1178,'Registre de reserves'!$T$2:$T$1178,"RESERVA",'Registre de reserves'!$I$2:$I$1178,'2021'!$A156,'Registre de reserves'!$B$2:$B$1178,'2021'!L$2,Tabla1[ANY],'2021'!$Z$150)</f>
        <v>0</v>
      </c>
      <c r="M156" s="21">
        <f t="shared" si="146"/>
        <v>0</v>
      </c>
      <c r="N156" s="20">
        <f>SUMIFS('Registre de reserves'!$V$2:$V$1178,'Registre de reserves'!$T$2:$T$1178,"SI",'Registre de reserves'!$I$2:$I$1178,'2021'!$A156,'Registre de reserves'!$B$2:$B$1178,'2021'!N$2,Tabla1[ANY],'2021'!$Z$150)+SUMIFS('Registre de reserves'!$V$2:$V$1178,'Registre de reserves'!$T$2:$T$1178,"RESERVA",'Registre de reserves'!$I$2:$I$1178,'2021'!$A156,'Registre de reserves'!$B$2:$B$1178,'2021'!N$2,Tabla1[ANY],'2021'!$Z$150)</f>
        <v>0</v>
      </c>
      <c r="O156" s="21">
        <f t="shared" si="147"/>
        <v>0</v>
      </c>
      <c r="P156" s="20">
        <f>SUMIFS('Registre de reserves'!$V$2:$V$1178,'Registre de reserves'!$T$2:$T$1178,"SI",'Registre de reserves'!$I$2:$I$1178,'2021'!$A156,'Registre de reserves'!$B$2:$B$1178,'2021'!P$2,Tabla1[ANY],'2021'!$Z$150)+SUMIFS('Registre de reserves'!$V$2:$V$1178,'Registre de reserves'!$T$2:$T$1178,"RESERVA",'Registre de reserves'!$I$2:$I$1178,'2021'!$A156,'Registre de reserves'!$B$2:$B$1178,'2021'!P$2,Tabla1[ANY],'2021'!$Z$150)</f>
        <v>0</v>
      </c>
      <c r="Q156" s="21">
        <f t="shared" si="148"/>
        <v>0</v>
      </c>
      <c r="R156" s="20">
        <f>SUMIFS('Registre de reserves'!$V$2:$V$1178,'Registre de reserves'!$T$2:$T$1178,"SI",'Registre de reserves'!$I$2:$I$1178,'2021'!$A156,'Registre de reserves'!$B$2:$B$1178,'2021'!R$2,Tabla1[ANY],'2021'!$Z$150)+SUMIFS('Registre de reserves'!$V$2:$V$1178,'Registre de reserves'!$T$2:$T$1178,"RESERVA",'Registre de reserves'!$I$2:$I$1178,'2021'!$A156,'Registre de reserves'!$B$2:$B$1178,'2021'!R$2,Tabla1[ANY],'2021'!$Z$150)</f>
        <v>95</v>
      </c>
      <c r="S156" s="21">
        <f t="shared" si="149"/>
        <v>0.11377245508982035</v>
      </c>
      <c r="T156" s="20">
        <f>SUMIFS('Registre de reserves'!$V$2:$V$1178,'Registre de reserves'!$T$2:$T$1178,"SI",'Registre de reserves'!$I$2:$I$1178,'2021'!$A156,'Registre de reserves'!$B$2:$B$1178,'2021'!T$2,Tabla1[ANY],'2021'!$Z$150)+SUMIFS('Registre de reserves'!$V$2:$V$1178,'Registre de reserves'!$T$2:$T$1178,"RESERVA",'Registre de reserves'!$I$2:$I$1178,'2021'!$A156,'Registre de reserves'!$B$2:$B$1178,'2021'!T$2,Tabla1[ANY],'2021'!$Z$150)</f>
        <v>0</v>
      </c>
      <c r="U156" s="21">
        <f t="shared" si="150"/>
        <v>0</v>
      </c>
      <c r="V156" s="20">
        <f>SUMIFS('Registre de reserves'!$V$2:$V$1178,'Registre de reserves'!$T$2:$T$1178,"SI",'Registre de reserves'!$I$2:$I$1178,'2021'!$A156,'Registre de reserves'!$B$2:$B$1178,'2021'!V$2,Tabla1[ANY],'2021'!$Z$150)+SUMIFS('Registre de reserves'!$V$2:$V$1178,'Registre de reserves'!$T$2:$T$1178,"RESERVA",'Registre de reserves'!$I$2:$I$1178,'2021'!$A156,'Registre de reserves'!$B$2:$B$1178,'2021'!V$2,Tabla1[ANY],'2021'!$Z$150)</f>
        <v>0</v>
      </c>
      <c r="W156" s="21">
        <f t="shared" si="151"/>
        <v>0</v>
      </c>
      <c r="X156" s="20">
        <f>SUMIFS('Registre de reserves'!$V$2:$V$1178,'Registre de reserves'!$T$2:$T$1178,"SI",'Registre de reserves'!$I$2:$I$1178,'2021'!$A156,'Registre de reserves'!$B$2:$B$1178,'2021'!X$2,Tabla1[ANY],'2021'!$Z$150)+SUMIFS('Registre de reserves'!$V$2:$V$1178,'Registre de reserves'!$T$2:$T$1178,"RESERVA",'Registre de reserves'!$I$2:$I$1178,'2021'!$A156,'Registre de reserves'!$B$2:$B$1178,'2021'!X$2,Tabla1[ANY],'2021'!$Z$150)</f>
        <v>0</v>
      </c>
      <c r="Y156" s="21">
        <f t="shared" si="152"/>
        <v>0</v>
      </c>
      <c r="Z156" s="20">
        <f t="shared" si="155"/>
        <v>95</v>
      </c>
      <c r="AA156" s="21">
        <f t="shared" si="153"/>
        <v>5.1852894974417424E-3</v>
      </c>
    </row>
    <row r="157" spans="1:27" hidden="1" outlineLevel="1" x14ac:dyDescent="0.2">
      <c r="A157" s="8" t="s">
        <v>72</v>
      </c>
      <c r="B157" s="20">
        <f>SUMIFS('Registre de reserves'!$V$2:$V$1178,'Registre de reserves'!$T$2:$T$1178,"SI",'Registre de reserves'!$I$2:$I$1178,'2021'!$A157,'Registre de reserves'!$B$2:$B$1178,'2021'!B$2,Tabla1[ANY],'2021'!$Z$150)+SUMIFS('Registre de reserves'!$V$2:$V$1178,'Registre de reserves'!$T$2:$T$1178,"RESERVA",'Registre de reserves'!$I$2:$I$1178,'2021'!$A157,'Registre de reserves'!$B$2:$B$1178,'2021'!B$2,Tabla1[ANY],'2021'!$Z$150)</f>
        <v>0</v>
      </c>
      <c r="C157" s="21">
        <f t="shared" si="154"/>
        <v>0</v>
      </c>
      <c r="D157" s="20">
        <f>SUMIFS('Registre de reserves'!$V$2:$V$1178,'Registre de reserves'!$T$2:$T$1178,"SI",'Registre de reserves'!$I$2:$I$1178,'2021'!$A157,'Registre de reserves'!$B$2:$B$1178,'2021'!D$2,Tabla1[ANY],'2021'!$Z$150)+SUMIFS('Registre de reserves'!$V$2:$V$1178,'Registre de reserves'!$T$2:$T$1178,"RESERVA",'Registre de reserves'!$I$2:$I$1178,'2021'!$A157,'Registre de reserves'!$B$2:$B$1178,'2021'!D$2,Tabla1[ANY],'2021'!$Z$150)</f>
        <v>0</v>
      </c>
      <c r="E157" s="21">
        <f t="shared" si="142"/>
        <v>0</v>
      </c>
      <c r="F157" s="20">
        <f>SUMIFS('Registre de reserves'!$V$2:$V$1178,'Registre de reserves'!$T$2:$T$1178,"SI",'Registre de reserves'!$I$2:$I$1178,'2021'!$A157,'Registre de reserves'!$B$2:$B$1178,'2021'!F$2,Tabla1[ANY],'2021'!$Z$150)+SUMIFS('Registre de reserves'!$V$2:$V$1178,'Registre de reserves'!$T$2:$T$1178,"RESERVA",'Registre de reserves'!$I$2:$I$1178,'2021'!$A157,'Registre de reserves'!$B$2:$B$1178,'2021'!F$2,Tabla1[ANY],'2021'!$Z$150)</f>
        <v>0</v>
      </c>
      <c r="G157" s="21">
        <f t="shared" si="143"/>
        <v>0</v>
      </c>
      <c r="H157" s="20">
        <f>SUMIFS('Registre de reserves'!$V$2:$V$1178,'Registre de reserves'!$T$2:$T$1178,"SI",'Registre de reserves'!$I$2:$I$1178,'2021'!$A157,'Registre de reserves'!$B$2:$B$1178,'2021'!H$2,Tabla1[ANY],'2021'!$Z$150)+SUMIFS('Registre de reserves'!$V$2:$V$1178,'Registre de reserves'!$T$2:$T$1178,"RESERVA",'Registre de reserves'!$I$2:$I$1178,'2021'!$A157,'Registre de reserves'!$B$2:$B$1178,'2021'!H$2,Tabla1[ANY],'2021'!$Z$150)</f>
        <v>0</v>
      </c>
      <c r="I157" s="21">
        <f t="shared" si="144"/>
        <v>0</v>
      </c>
      <c r="J157" s="20">
        <f>SUMIFS('Registre de reserves'!$V$2:$V$1178,'Registre de reserves'!$T$2:$T$1178,"SI",'Registre de reserves'!$I$2:$I$1178,'2021'!$A157,'Registre de reserves'!$B$2:$B$1178,'2021'!J$2,Tabla1[ANY],'2021'!$Z$150)+SUMIFS('Registre de reserves'!$V$2:$V$1178,'Registre de reserves'!$T$2:$T$1178,"RESERVA",'Registre de reserves'!$I$2:$I$1178,'2021'!$A157,'Registre de reserves'!$B$2:$B$1178,'2021'!J$2,Tabla1[ANY],'2021'!$Z$150)</f>
        <v>0</v>
      </c>
      <c r="K157" s="21">
        <f t="shared" si="145"/>
        <v>0</v>
      </c>
      <c r="L157" s="20">
        <f>SUMIFS('Registre de reserves'!$V$2:$V$1178,'Registre de reserves'!$T$2:$T$1178,"SI",'Registre de reserves'!$I$2:$I$1178,'2021'!$A157,'Registre de reserves'!$B$2:$B$1178,'2021'!L$2,Tabla1[ANY],'2021'!$Z$150)+SUMIFS('Registre de reserves'!$V$2:$V$1178,'Registre de reserves'!$T$2:$T$1178,"RESERVA",'Registre de reserves'!$I$2:$I$1178,'2021'!$A157,'Registre de reserves'!$B$2:$B$1178,'2021'!L$2,Tabla1[ANY],'2021'!$Z$150)</f>
        <v>0</v>
      </c>
      <c r="M157" s="21">
        <f t="shared" si="146"/>
        <v>0</v>
      </c>
      <c r="N157" s="20">
        <f>SUMIFS('Registre de reserves'!$V$2:$V$1178,'Registre de reserves'!$T$2:$T$1178,"SI",'Registre de reserves'!$I$2:$I$1178,'2021'!$A157,'Registre de reserves'!$B$2:$B$1178,'2021'!N$2,Tabla1[ANY],'2021'!$Z$150)+SUMIFS('Registre de reserves'!$V$2:$V$1178,'Registre de reserves'!$T$2:$T$1178,"RESERVA",'Registre de reserves'!$I$2:$I$1178,'2021'!$A157,'Registre de reserves'!$B$2:$B$1178,'2021'!N$2,Tabla1[ANY],'2021'!$Z$150)</f>
        <v>0</v>
      </c>
      <c r="O157" s="21">
        <f t="shared" si="147"/>
        <v>0</v>
      </c>
      <c r="P157" s="20">
        <f>SUMIFS('Registre de reserves'!$V$2:$V$1178,'Registre de reserves'!$T$2:$T$1178,"SI",'Registre de reserves'!$I$2:$I$1178,'2021'!$A157,'Registre de reserves'!$B$2:$B$1178,'2021'!P$2,Tabla1[ANY],'2021'!$Z$150)+SUMIFS('Registre de reserves'!$V$2:$V$1178,'Registre de reserves'!$T$2:$T$1178,"RESERVA",'Registre de reserves'!$I$2:$I$1178,'2021'!$A157,'Registre de reserves'!$B$2:$B$1178,'2021'!P$2,Tabla1[ANY],'2021'!$Z$150)</f>
        <v>0</v>
      </c>
      <c r="Q157" s="21">
        <f t="shared" si="148"/>
        <v>0</v>
      </c>
      <c r="R157" s="20">
        <f>SUMIFS('Registre de reserves'!$V$2:$V$1178,'Registre de reserves'!$T$2:$T$1178,"SI",'Registre de reserves'!$I$2:$I$1178,'2021'!$A157,'Registre de reserves'!$B$2:$B$1178,'2021'!R$2,Tabla1[ANY],'2021'!$Z$150)+SUMIFS('Registre de reserves'!$V$2:$V$1178,'Registre de reserves'!$T$2:$T$1178,"RESERVA",'Registre de reserves'!$I$2:$I$1178,'2021'!$A157,'Registre de reserves'!$B$2:$B$1178,'2021'!R$2,Tabla1[ANY],'2021'!$Z$150)</f>
        <v>0</v>
      </c>
      <c r="S157" s="21">
        <f t="shared" si="149"/>
        <v>0</v>
      </c>
      <c r="T157" s="20">
        <f>SUMIFS('Registre de reserves'!$V$2:$V$1178,'Registre de reserves'!$T$2:$T$1178,"SI",'Registre de reserves'!$I$2:$I$1178,'2021'!$A157,'Registre de reserves'!$B$2:$B$1178,'2021'!T$2,Tabla1[ANY],'2021'!$Z$150)+SUMIFS('Registre de reserves'!$V$2:$V$1178,'Registre de reserves'!$T$2:$T$1178,"RESERVA",'Registre de reserves'!$I$2:$I$1178,'2021'!$A157,'Registre de reserves'!$B$2:$B$1178,'2021'!T$2,Tabla1[ANY],'2021'!$Z$150)</f>
        <v>0</v>
      </c>
      <c r="U157" s="21">
        <f t="shared" si="150"/>
        <v>0</v>
      </c>
      <c r="V157" s="20">
        <f>SUMIFS('Registre de reserves'!$V$2:$V$1178,'Registre de reserves'!$T$2:$T$1178,"SI",'Registre de reserves'!$I$2:$I$1178,'2021'!$A157,'Registre de reserves'!$B$2:$B$1178,'2021'!V$2,Tabla1[ANY],'2021'!$Z$150)+SUMIFS('Registre de reserves'!$V$2:$V$1178,'Registre de reserves'!$T$2:$T$1178,"RESERVA",'Registre de reserves'!$I$2:$I$1178,'2021'!$A157,'Registre de reserves'!$B$2:$B$1178,'2021'!V$2,Tabla1[ANY],'2021'!$Z$150)</f>
        <v>0</v>
      </c>
      <c r="W157" s="21">
        <f t="shared" si="151"/>
        <v>0</v>
      </c>
      <c r="X157" s="20">
        <f>SUMIFS('Registre de reserves'!$V$2:$V$1178,'Registre de reserves'!$T$2:$T$1178,"SI",'Registre de reserves'!$I$2:$I$1178,'2021'!$A157,'Registre de reserves'!$B$2:$B$1178,'2021'!X$2,Tabla1[ANY],'2021'!$Z$150)+SUMIFS('Registre de reserves'!$V$2:$V$1178,'Registre de reserves'!$T$2:$T$1178,"RESERVA",'Registre de reserves'!$I$2:$I$1178,'2021'!$A157,'Registre de reserves'!$B$2:$B$1178,'2021'!X$2,Tabla1[ANY],'2021'!$Z$150)</f>
        <v>0</v>
      </c>
      <c r="Y157" s="21">
        <f t="shared" si="152"/>
        <v>0</v>
      </c>
      <c r="Z157" s="20">
        <f t="shared" si="155"/>
        <v>0</v>
      </c>
      <c r="AA157" s="21">
        <f t="shared" si="153"/>
        <v>0</v>
      </c>
    </row>
    <row r="158" spans="1:27" hidden="1" outlineLevel="1" x14ac:dyDescent="0.2">
      <c r="A158" s="8" t="s">
        <v>69</v>
      </c>
      <c r="B158" s="20">
        <f>SUMIFS('Registre de reserves'!$V$2:$V$1178,'Registre de reserves'!$T$2:$T$1178,"SI",'Registre de reserves'!$I$2:$I$1178,'2021'!$A158,'Registre de reserves'!$B$2:$B$1178,'2021'!B$2,Tabla1[ANY],'2021'!$Z$150)+SUMIFS('Registre de reserves'!$V$2:$V$1178,'Registre de reserves'!$T$2:$T$1178,"RESERVA",'Registre de reserves'!$I$2:$I$1178,'2021'!$A158,'Registre de reserves'!$B$2:$B$1178,'2021'!B$2,Tabla1[ANY],'2021'!$Z$150)</f>
        <v>0</v>
      </c>
      <c r="C158" s="21">
        <f t="shared" si="154"/>
        <v>0</v>
      </c>
      <c r="D158" s="20">
        <f>SUMIFS('Registre de reserves'!$V$2:$V$1178,'Registre de reserves'!$T$2:$T$1178,"SI",'Registre de reserves'!$I$2:$I$1178,'2021'!$A158,'Registre de reserves'!$B$2:$B$1178,'2021'!D$2,Tabla1[ANY],'2021'!$Z$150)+SUMIFS('Registre de reserves'!$V$2:$V$1178,'Registre de reserves'!$T$2:$T$1178,"RESERVA",'Registre de reserves'!$I$2:$I$1178,'2021'!$A158,'Registre de reserves'!$B$2:$B$1178,'2021'!D$2,Tabla1[ANY],'2021'!$Z$150)</f>
        <v>0</v>
      </c>
      <c r="E158" s="21">
        <f t="shared" si="142"/>
        <v>0</v>
      </c>
      <c r="F158" s="20">
        <f>SUMIFS('Registre de reserves'!$V$2:$V$1178,'Registre de reserves'!$T$2:$T$1178,"SI",'Registre de reserves'!$I$2:$I$1178,'2021'!$A158,'Registre de reserves'!$B$2:$B$1178,'2021'!F$2,Tabla1[ANY],'2021'!$Z$150)+SUMIFS('Registre de reserves'!$V$2:$V$1178,'Registre de reserves'!$T$2:$T$1178,"RESERVA",'Registre de reserves'!$I$2:$I$1178,'2021'!$A158,'Registre de reserves'!$B$2:$B$1178,'2021'!F$2,Tabla1[ANY],'2021'!$Z$150)</f>
        <v>0</v>
      </c>
      <c r="G158" s="21">
        <f t="shared" si="143"/>
        <v>0</v>
      </c>
      <c r="H158" s="20">
        <f>SUMIFS('Registre de reserves'!$V$2:$V$1178,'Registre de reserves'!$T$2:$T$1178,"SI",'Registre de reserves'!$I$2:$I$1178,'2021'!$A158,'Registre de reserves'!$B$2:$B$1178,'2021'!H$2,Tabla1[ANY],'2021'!$Z$150)+SUMIFS('Registre de reserves'!$V$2:$V$1178,'Registre de reserves'!$T$2:$T$1178,"RESERVA",'Registre de reserves'!$I$2:$I$1178,'2021'!$A158,'Registre de reserves'!$B$2:$B$1178,'2021'!H$2,Tabla1[ANY],'2021'!$Z$150)</f>
        <v>0</v>
      </c>
      <c r="I158" s="21">
        <f t="shared" si="144"/>
        <v>0</v>
      </c>
      <c r="J158" s="20">
        <f>SUMIFS('Registre de reserves'!$V$2:$V$1178,'Registre de reserves'!$T$2:$T$1178,"SI",'Registre de reserves'!$I$2:$I$1178,'2021'!$A158,'Registre de reserves'!$B$2:$B$1178,'2021'!J$2,Tabla1[ANY],'2021'!$Z$150)+SUMIFS('Registre de reserves'!$V$2:$V$1178,'Registre de reserves'!$T$2:$T$1178,"RESERVA",'Registre de reserves'!$I$2:$I$1178,'2021'!$A158,'Registre de reserves'!$B$2:$B$1178,'2021'!J$2,Tabla1[ANY],'2021'!$Z$150)</f>
        <v>0</v>
      </c>
      <c r="K158" s="21">
        <f t="shared" si="145"/>
        <v>0</v>
      </c>
      <c r="L158" s="20">
        <f>SUMIFS('Registre de reserves'!$V$2:$V$1178,'Registre de reserves'!$T$2:$T$1178,"SI",'Registre de reserves'!$I$2:$I$1178,'2021'!$A158,'Registre de reserves'!$B$2:$B$1178,'2021'!L$2,Tabla1[ANY],'2021'!$Z$150)+SUMIFS('Registre de reserves'!$V$2:$V$1178,'Registre de reserves'!$T$2:$T$1178,"RESERVA",'Registre de reserves'!$I$2:$I$1178,'2021'!$A158,'Registre de reserves'!$B$2:$B$1178,'2021'!L$2,Tabla1[ANY],'2021'!$Z$150)</f>
        <v>0</v>
      </c>
      <c r="M158" s="21">
        <f t="shared" si="146"/>
        <v>0</v>
      </c>
      <c r="N158" s="20">
        <f>SUMIFS('Registre de reserves'!$V$2:$V$1178,'Registre de reserves'!$T$2:$T$1178,"SI",'Registre de reserves'!$I$2:$I$1178,'2021'!$A158,'Registre de reserves'!$B$2:$B$1178,'2021'!N$2,Tabla1[ANY],'2021'!$Z$150)+SUMIFS('Registre de reserves'!$V$2:$V$1178,'Registre de reserves'!$T$2:$T$1178,"RESERVA",'Registre de reserves'!$I$2:$I$1178,'2021'!$A158,'Registre de reserves'!$B$2:$B$1178,'2021'!N$2,Tabla1[ANY],'2021'!$Z$150)</f>
        <v>0</v>
      </c>
      <c r="O158" s="21">
        <f t="shared" si="147"/>
        <v>0</v>
      </c>
      <c r="P158" s="20">
        <f>SUMIFS('Registre de reserves'!$V$2:$V$1178,'Registre de reserves'!$T$2:$T$1178,"SI",'Registre de reserves'!$I$2:$I$1178,'2021'!$A158,'Registre de reserves'!$B$2:$B$1178,'2021'!P$2,Tabla1[ANY],'2021'!$Z$150)+SUMIFS('Registre de reserves'!$V$2:$V$1178,'Registre de reserves'!$T$2:$T$1178,"RESERVA",'Registre de reserves'!$I$2:$I$1178,'2021'!$A158,'Registre de reserves'!$B$2:$B$1178,'2021'!P$2,Tabla1[ANY],'2021'!$Z$150)</f>
        <v>0</v>
      </c>
      <c r="Q158" s="21">
        <f t="shared" si="148"/>
        <v>0</v>
      </c>
      <c r="R158" s="20">
        <f>SUMIFS('Registre de reserves'!$V$2:$V$1178,'Registre de reserves'!$T$2:$T$1178,"SI",'Registre de reserves'!$I$2:$I$1178,'2021'!$A158,'Registre de reserves'!$B$2:$B$1178,'2021'!R$2,Tabla1[ANY],'2021'!$Z$150)+SUMIFS('Registre de reserves'!$V$2:$V$1178,'Registre de reserves'!$T$2:$T$1178,"RESERVA",'Registre de reserves'!$I$2:$I$1178,'2021'!$A158,'Registre de reserves'!$B$2:$B$1178,'2021'!R$2,Tabla1[ANY],'2021'!$Z$150)</f>
        <v>0</v>
      </c>
      <c r="S158" s="21">
        <f t="shared" si="149"/>
        <v>0</v>
      </c>
      <c r="T158" s="20">
        <f>SUMIFS('Registre de reserves'!$V$2:$V$1178,'Registre de reserves'!$T$2:$T$1178,"SI",'Registre de reserves'!$I$2:$I$1178,'2021'!$A158,'Registre de reserves'!$B$2:$B$1178,'2021'!T$2,Tabla1[ANY],'2021'!$Z$150)+SUMIFS('Registre de reserves'!$V$2:$V$1178,'Registre de reserves'!$T$2:$T$1178,"RESERVA",'Registre de reserves'!$I$2:$I$1178,'2021'!$A158,'Registre de reserves'!$B$2:$B$1178,'2021'!T$2,Tabla1[ANY],'2021'!$Z$150)</f>
        <v>195</v>
      </c>
      <c r="U158" s="21">
        <f t="shared" si="150"/>
        <v>0.19897959183673469</v>
      </c>
      <c r="V158" s="20">
        <f>SUMIFS('Registre de reserves'!$V$2:$V$1178,'Registre de reserves'!$T$2:$T$1178,"SI",'Registre de reserves'!$I$2:$I$1178,'2021'!$A158,'Registre de reserves'!$B$2:$B$1178,'2021'!V$2,Tabla1[ANY],'2021'!$Z$150)+SUMIFS('Registre de reserves'!$V$2:$V$1178,'Registre de reserves'!$T$2:$T$1178,"RESERVA",'Registre de reserves'!$I$2:$I$1178,'2021'!$A158,'Registre de reserves'!$B$2:$B$1178,'2021'!V$2,Tabla1[ANY],'2021'!$Z$150)</f>
        <v>145</v>
      </c>
      <c r="W158" s="21">
        <f t="shared" si="151"/>
        <v>0.16477272727272727</v>
      </c>
      <c r="X158" s="20">
        <f>SUMIFS('Registre de reserves'!$V$2:$V$1178,'Registre de reserves'!$T$2:$T$1178,"SI",'Registre de reserves'!$I$2:$I$1178,'2021'!$A158,'Registre de reserves'!$B$2:$B$1178,'2021'!X$2,Tabla1[ANY],'2021'!$Z$150)+SUMIFS('Registre de reserves'!$V$2:$V$1178,'Registre de reserves'!$T$2:$T$1178,"RESERVA",'Registre de reserves'!$I$2:$I$1178,'2021'!$A158,'Registre de reserves'!$B$2:$B$1178,'2021'!X$2,Tabla1[ANY],'2021'!$Z$150)</f>
        <v>145</v>
      </c>
      <c r="Y158" s="21">
        <f t="shared" si="152"/>
        <v>0.12184873949579832</v>
      </c>
      <c r="Z158" s="20">
        <f t="shared" si="155"/>
        <v>485</v>
      </c>
      <c r="AA158" s="21">
        <f t="shared" si="153"/>
        <v>2.6472267434307844E-2</v>
      </c>
    </row>
    <row r="159" spans="1:27" hidden="1" outlineLevel="1" x14ac:dyDescent="0.2">
      <c r="A159" s="8" t="s">
        <v>70</v>
      </c>
      <c r="B159" s="20">
        <f>SUMIFS('Registre de reserves'!$V$2:$V$1178,'Registre de reserves'!$T$2:$T$1178,"SI",'Registre de reserves'!$I$2:$I$1178,'2021'!$A159,'Registre de reserves'!$B$2:$B$1178,'2021'!B$2,Tabla1[ANY],'2021'!$Z$150)+SUMIFS('Registre de reserves'!$V$2:$V$1178,'Registre de reserves'!$T$2:$T$1178,"RESERVA",'Registre de reserves'!$I$2:$I$1178,'2021'!$A159,'Registre de reserves'!$B$2:$B$1178,'2021'!B$2,Tabla1[ANY],'2021'!$Z$150)</f>
        <v>0</v>
      </c>
      <c r="C159" s="21">
        <f t="shared" si="154"/>
        <v>0</v>
      </c>
      <c r="D159" s="20">
        <f>SUMIFS('Registre de reserves'!$V$2:$V$1178,'Registre de reserves'!$T$2:$T$1178,"SI",'Registre de reserves'!$I$2:$I$1178,'2021'!$A159,'Registre de reserves'!$B$2:$B$1178,'2021'!D$2,Tabla1[ANY],'2021'!$Z$150)+SUMIFS('Registre de reserves'!$V$2:$V$1178,'Registre de reserves'!$T$2:$T$1178,"RESERVA",'Registre de reserves'!$I$2:$I$1178,'2021'!$A159,'Registre de reserves'!$B$2:$B$1178,'2021'!D$2,Tabla1[ANY],'2021'!$Z$150)</f>
        <v>0</v>
      </c>
      <c r="E159" s="21">
        <f t="shared" si="142"/>
        <v>0</v>
      </c>
      <c r="F159" s="20">
        <f>SUMIFS('Registre de reserves'!$V$2:$V$1178,'Registre de reserves'!$T$2:$T$1178,"SI",'Registre de reserves'!$I$2:$I$1178,'2021'!$A159,'Registre de reserves'!$B$2:$B$1178,'2021'!F$2,Tabla1[ANY],'2021'!$Z$150)+SUMIFS('Registre de reserves'!$V$2:$V$1178,'Registre de reserves'!$T$2:$T$1178,"RESERVA",'Registre de reserves'!$I$2:$I$1178,'2021'!$A159,'Registre de reserves'!$B$2:$B$1178,'2021'!F$2,Tabla1[ANY],'2021'!$Z$150)</f>
        <v>0</v>
      </c>
      <c r="G159" s="21">
        <f t="shared" si="143"/>
        <v>0</v>
      </c>
      <c r="H159" s="20">
        <f>SUMIFS('Registre de reserves'!$V$2:$V$1178,'Registre de reserves'!$T$2:$T$1178,"SI",'Registre de reserves'!$I$2:$I$1178,'2021'!$A159,'Registre de reserves'!$B$2:$B$1178,'2021'!H$2,Tabla1[ANY],'2021'!$Z$150)+SUMIFS('Registre de reserves'!$V$2:$V$1178,'Registre de reserves'!$T$2:$T$1178,"RESERVA",'Registre de reserves'!$I$2:$I$1178,'2021'!$A159,'Registre de reserves'!$B$2:$B$1178,'2021'!H$2,Tabla1[ANY],'2021'!$Z$150)</f>
        <v>0</v>
      </c>
      <c r="I159" s="21">
        <f t="shared" si="144"/>
        <v>0</v>
      </c>
      <c r="J159" s="20">
        <f>SUMIFS('Registre de reserves'!$V$2:$V$1178,'Registre de reserves'!$T$2:$T$1178,"SI",'Registre de reserves'!$I$2:$I$1178,'2021'!$A159,'Registre de reserves'!$B$2:$B$1178,'2021'!J$2,Tabla1[ANY],'2021'!$Z$150)+SUMIFS('Registre de reserves'!$V$2:$V$1178,'Registre de reserves'!$T$2:$T$1178,"RESERVA",'Registre de reserves'!$I$2:$I$1178,'2021'!$A159,'Registre de reserves'!$B$2:$B$1178,'2021'!J$2,Tabla1[ANY],'2021'!$Z$150)</f>
        <v>0</v>
      </c>
      <c r="K159" s="21">
        <f t="shared" si="145"/>
        <v>0</v>
      </c>
      <c r="L159" s="20">
        <f>SUMIFS('Registre de reserves'!$V$2:$V$1178,'Registre de reserves'!$T$2:$T$1178,"SI",'Registre de reserves'!$I$2:$I$1178,'2021'!$A159,'Registre de reserves'!$B$2:$B$1178,'2021'!L$2,Tabla1[ANY],'2021'!$Z$150)+SUMIFS('Registre de reserves'!$V$2:$V$1178,'Registre de reserves'!$T$2:$T$1178,"RESERVA",'Registre de reserves'!$I$2:$I$1178,'2021'!$A159,'Registre de reserves'!$B$2:$B$1178,'2021'!L$2,Tabla1[ANY],'2021'!$Z$150)</f>
        <v>0</v>
      </c>
      <c r="M159" s="21">
        <f t="shared" si="146"/>
        <v>0</v>
      </c>
      <c r="N159" s="20">
        <f>SUMIFS('Registre de reserves'!$V$2:$V$1178,'Registre de reserves'!$T$2:$T$1178,"SI",'Registre de reserves'!$I$2:$I$1178,'2021'!$A159,'Registre de reserves'!$B$2:$B$1178,'2021'!N$2,Tabla1[ANY],'2021'!$Z$150)+SUMIFS('Registre de reserves'!$V$2:$V$1178,'Registre de reserves'!$T$2:$T$1178,"RESERVA",'Registre de reserves'!$I$2:$I$1178,'2021'!$A159,'Registre de reserves'!$B$2:$B$1178,'2021'!N$2,Tabla1[ANY],'2021'!$Z$150)</f>
        <v>0</v>
      </c>
      <c r="O159" s="21">
        <f t="shared" si="147"/>
        <v>0</v>
      </c>
      <c r="P159" s="20">
        <f>SUMIFS('Registre de reserves'!$V$2:$V$1178,'Registre de reserves'!$T$2:$T$1178,"SI",'Registre de reserves'!$I$2:$I$1178,'2021'!$A159,'Registre de reserves'!$B$2:$B$1178,'2021'!P$2,Tabla1[ANY],'2021'!$Z$150)+SUMIFS('Registre de reserves'!$V$2:$V$1178,'Registre de reserves'!$T$2:$T$1178,"RESERVA",'Registre de reserves'!$I$2:$I$1178,'2021'!$A159,'Registre de reserves'!$B$2:$B$1178,'2021'!P$2,Tabla1[ANY],'2021'!$Z$150)</f>
        <v>0</v>
      </c>
      <c r="Q159" s="21">
        <f t="shared" si="148"/>
        <v>0</v>
      </c>
      <c r="R159" s="20">
        <f>SUMIFS('Registre de reserves'!$V$2:$V$1178,'Registre de reserves'!$T$2:$T$1178,"SI",'Registre de reserves'!$I$2:$I$1178,'2021'!$A159,'Registre de reserves'!$B$2:$B$1178,'2021'!R$2,Tabla1[ANY],'2021'!$Z$150)+SUMIFS('Registre de reserves'!$V$2:$V$1178,'Registre de reserves'!$T$2:$T$1178,"RESERVA",'Registre de reserves'!$I$2:$I$1178,'2021'!$A159,'Registre de reserves'!$B$2:$B$1178,'2021'!R$2,Tabla1[ANY],'2021'!$Z$150)</f>
        <v>0</v>
      </c>
      <c r="S159" s="21">
        <f t="shared" si="149"/>
        <v>0</v>
      </c>
      <c r="T159" s="20">
        <f>SUMIFS('Registre de reserves'!$V$2:$V$1178,'Registre de reserves'!$T$2:$T$1178,"SI",'Registre de reserves'!$I$2:$I$1178,'2021'!$A159,'Registre de reserves'!$B$2:$B$1178,'2021'!T$2,Tabla1[ANY],'2021'!$Z$150)+SUMIFS('Registre de reserves'!$V$2:$V$1178,'Registre de reserves'!$T$2:$T$1178,"RESERVA",'Registre de reserves'!$I$2:$I$1178,'2021'!$A159,'Registre de reserves'!$B$2:$B$1178,'2021'!T$2,Tabla1[ANY],'2021'!$Z$150)</f>
        <v>0</v>
      </c>
      <c r="U159" s="21">
        <f t="shared" si="150"/>
        <v>0</v>
      </c>
      <c r="V159" s="20">
        <f>SUMIFS('Registre de reserves'!$V$2:$V$1178,'Registre de reserves'!$T$2:$T$1178,"SI",'Registre de reserves'!$I$2:$I$1178,'2021'!$A159,'Registre de reserves'!$B$2:$B$1178,'2021'!V$2,Tabla1[ANY],'2021'!$Z$150)+SUMIFS('Registre de reserves'!$V$2:$V$1178,'Registre de reserves'!$T$2:$T$1178,"RESERVA",'Registre de reserves'!$I$2:$I$1178,'2021'!$A159,'Registre de reserves'!$B$2:$B$1178,'2021'!V$2,Tabla1[ANY],'2021'!$Z$150)</f>
        <v>0</v>
      </c>
      <c r="W159" s="21">
        <f t="shared" si="151"/>
        <v>0</v>
      </c>
      <c r="X159" s="20">
        <f>SUMIFS('Registre de reserves'!$V$2:$V$1178,'Registre de reserves'!$T$2:$T$1178,"SI",'Registre de reserves'!$I$2:$I$1178,'2021'!$A159,'Registre de reserves'!$B$2:$B$1178,'2021'!X$2,Tabla1[ANY],'2021'!$Z$150)+SUMIFS('Registre de reserves'!$V$2:$V$1178,'Registre de reserves'!$T$2:$T$1178,"RESERVA",'Registre de reserves'!$I$2:$I$1178,'2021'!$A159,'Registre de reserves'!$B$2:$B$1178,'2021'!X$2,Tabla1[ANY],'2021'!$Z$150)</f>
        <v>0</v>
      </c>
      <c r="Y159" s="21">
        <f t="shared" si="152"/>
        <v>0</v>
      </c>
      <c r="Z159" s="20">
        <f t="shared" si="155"/>
        <v>0</v>
      </c>
      <c r="AA159" s="21">
        <f t="shared" si="153"/>
        <v>0</v>
      </c>
    </row>
    <row r="160" spans="1:27" hidden="1" outlineLevel="1" x14ac:dyDescent="0.2">
      <c r="A160" s="8" t="s">
        <v>73</v>
      </c>
      <c r="B160" s="20">
        <f>SUMIFS('Registre de reserves'!$V$2:$V$1178,'Registre de reserves'!$T$2:$T$1178,"SI",'Registre de reserves'!$I$2:$I$1178,'2021'!$A160,'Registre de reserves'!$B$2:$B$1178,'2021'!B$2,Tabla1[ANY],'2021'!$Z$150)+SUMIFS('Registre de reserves'!$V$2:$V$1178,'Registre de reserves'!$T$2:$T$1178,"RESERVA",'Registre de reserves'!$I$2:$I$1178,'2021'!$A160,'Registre de reserves'!$B$2:$B$1178,'2021'!B$2,Tabla1[ANY],'2021'!$Z$150)</f>
        <v>0</v>
      </c>
      <c r="C160" s="21">
        <f t="shared" si="154"/>
        <v>0</v>
      </c>
      <c r="D160" s="20">
        <f>SUMIFS('Registre de reserves'!$V$2:$V$1178,'Registre de reserves'!$T$2:$T$1178,"SI",'Registre de reserves'!$I$2:$I$1178,'2021'!$A160,'Registre de reserves'!$B$2:$B$1178,'2021'!D$2,Tabla1[ANY],'2021'!$Z$150)+SUMIFS('Registre de reserves'!$V$2:$V$1178,'Registre de reserves'!$T$2:$T$1178,"RESERVA",'Registre de reserves'!$I$2:$I$1178,'2021'!$A160,'Registre de reserves'!$B$2:$B$1178,'2021'!D$2,Tabla1[ANY],'2021'!$Z$150)</f>
        <v>0</v>
      </c>
      <c r="E160" s="21">
        <f t="shared" si="142"/>
        <v>0</v>
      </c>
      <c r="F160" s="20">
        <f>SUMIFS('Registre de reserves'!$V$2:$V$1178,'Registre de reserves'!$T$2:$T$1178,"SI",'Registre de reserves'!$I$2:$I$1178,'2021'!$A160,'Registre de reserves'!$B$2:$B$1178,'2021'!F$2,Tabla1[ANY],'2021'!$Z$150)+SUMIFS('Registre de reserves'!$V$2:$V$1178,'Registre de reserves'!$T$2:$T$1178,"RESERVA",'Registre de reserves'!$I$2:$I$1178,'2021'!$A160,'Registre de reserves'!$B$2:$B$1178,'2021'!F$2,Tabla1[ANY],'2021'!$Z$150)</f>
        <v>0</v>
      </c>
      <c r="G160" s="21">
        <f t="shared" si="143"/>
        <v>0</v>
      </c>
      <c r="H160" s="20">
        <f>SUMIFS('Registre de reserves'!$V$2:$V$1178,'Registre de reserves'!$T$2:$T$1178,"SI",'Registre de reserves'!$I$2:$I$1178,'2021'!$A160,'Registre de reserves'!$B$2:$B$1178,'2021'!H$2,Tabla1[ANY],'2021'!$Z$150)+SUMIFS('Registre de reserves'!$V$2:$V$1178,'Registre de reserves'!$T$2:$T$1178,"RESERVA",'Registre de reserves'!$I$2:$I$1178,'2021'!$A160,'Registre de reserves'!$B$2:$B$1178,'2021'!H$2,Tabla1[ANY],'2021'!$Z$150)</f>
        <v>0</v>
      </c>
      <c r="I160" s="21">
        <f t="shared" si="144"/>
        <v>0</v>
      </c>
      <c r="J160" s="20">
        <f>SUMIFS('Registre de reserves'!$V$2:$V$1178,'Registre de reserves'!$T$2:$T$1178,"SI",'Registre de reserves'!$I$2:$I$1178,'2021'!$A160,'Registre de reserves'!$B$2:$B$1178,'2021'!J$2,Tabla1[ANY],'2021'!$Z$150)+SUMIFS('Registre de reserves'!$V$2:$V$1178,'Registre de reserves'!$T$2:$T$1178,"RESERVA",'Registre de reserves'!$I$2:$I$1178,'2021'!$A160,'Registre de reserves'!$B$2:$B$1178,'2021'!J$2,Tabla1[ANY],'2021'!$Z$150)</f>
        <v>0</v>
      </c>
      <c r="K160" s="21">
        <f t="shared" si="145"/>
        <v>0</v>
      </c>
      <c r="L160" s="20">
        <f>SUMIFS('Registre de reserves'!$V$2:$V$1178,'Registre de reserves'!$T$2:$T$1178,"SI",'Registre de reserves'!$I$2:$I$1178,'2021'!$A160,'Registre de reserves'!$B$2:$B$1178,'2021'!L$2,Tabla1[ANY],'2021'!$Z$150)+SUMIFS('Registre de reserves'!$V$2:$V$1178,'Registre de reserves'!$T$2:$T$1178,"RESERVA",'Registre de reserves'!$I$2:$I$1178,'2021'!$A160,'Registre de reserves'!$B$2:$B$1178,'2021'!L$2,Tabla1[ANY],'2021'!$Z$150)</f>
        <v>0</v>
      </c>
      <c r="M160" s="21">
        <f t="shared" si="146"/>
        <v>0</v>
      </c>
      <c r="N160" s="20">
        <f>SUMIFS('Registre de reserves'!$V$2:$V$1178,'Registre de reserves'!$T$2:$T$1178,"SI",'Registre de reserves'!$I$2:$I$1178,'2021'!$A160,'Registre de reserves'!$B$2:$B$1178,'2021'!N$2,Tabla1[ANY],'2021'!$Z$150)+SUMIFS('Registre de reserves'!$V$2:$V$1178,'Registre de reserves'!$T$2:$T$1178,"RESERVA",'Registre de reserves'!$I$2:$I$1178,'2021'!$A160,'Registre de reserves'!$B$2:$B$1178,'2021'!N$2,Tabla1[ANY],'2021'!$Z$150)</f>
        <v>0</v>
      </c>
      <c r="O160" s="21">
        <f t="shared" si="147"/>
        <v>0</v>
      </c>
      <c r="P160" s="20">
        <f>SUMIFS('Registre de reserves'!$V$2:$V$1178,'Registre de reserves'!$T$2:$T$1178,"SI",'Registre de reserves'!$I$2:$I$1178,'2021'!$A160,'Registre de reserves'!$B$2:$B$1178,'2021'!P$2,Tabla1[ANY],'2021'!$Z$150)+SUMIFS('Registre de reserves'!$V$2:$V$1178,'Registre de reserves'!$T$2:$T$1178,"RESERVA",'Registre de reserves'!$I$2:$I$1178,'2021'!$A160,'Registre de reserves'!$B$2:$B$1178,'2021'!P$2,Tabla1[ANY],'2021'!$Z$150)</f>
        <v>0</v>
      </c>
      <c r="Q160" s="21">
        <f t="shared" si="148"/>
        <v>0</v>
      </c>
      <c r="R160" s="20">
        <f>SUMIFS('Registre de reserves'!$V$2:$V$1178,'Registre de reserves'!$T$2:$T$1178,"SI",'Registre de reserves'!$I$2:$I$1178,'2021'!$A160,'Registre de reserves'!$B$2:$B$1178,'2021'!R$2,Tabla1[ANY],'2021'!$Z$150)+SUMIFS('Registre de reserves'!$V$2:$V$1178,'Registre de reserves'!$T$2:$T$1178,"RESERVA",'Registre de reserves'!$I$2:$I$1178,'2021'!$A160,'Registre de reserves'!$B$2:$B$1178,'2021'!R$2,Tabla1[ANY],'2021'!$Z$150)</f>
        <v>0</v>
      </c>
      <c r="S160" s="21">
        <f t="shared" si="149"/>
        <v>0</v>
      </c>
      <c r="T160" s="20">
        <f>SUMIFS('Registre de reserves'!$V$2:$V$1178,'Registre de reserves'!$T$2:$T$1178,"SI",'Registre de reserves'!$I$2:$I$1178,'2021'!$A160,'Registre de reserves'!$B$2:$B$1178,'2021'!T$2,Tabla1[ANY],'2021'!$Z$150)+SUMIFS('Registre de reserves'!$V$2:$V$1178,'Registre de reserves'!$T$2:$T$1178,"RESERVA",'Registre de reserves'!$I$2:$I$1178,'2021'!$A160,'Registre de reserves'!$B$2:$B$1178,'2021'!T$2,Tabla1[ANY],'2021'!$Z$150)</f>
        <v>0</v>
      </c>
      <c r="U160" s="21">
        <f t="shared" si="150"/>
        <v>0</v>
      </c>
      <c r="V160" s="20">
        <f>SUMIFS('Registre de reserves'!$V$2:$V$1178,'Registre de reserves'!$T$2:$T$1178,"SI",'Registre de reserves'!$I$2:$I$1178,'2021'!$A160,'Registre de reserves'!$B$2:$B$1178,'2021'!V$2,Tabla1[ANY],'2021'!$Z$150)+SUMIFS('Registre de reserves'!$V$2:$V$1178,'Registre de reserves'!$T$2:$T$1178,"RESERVA",'Registre de reserves'!$I$2:$I$1178,'2021'!$A160,'Registre de reserves'!$B$2:$B$1178,'2021'!V$2,Tabla1[ANY],'2021'!$Z$150)</f>
        <v>0</v>
      </c>
      <c r="W160" s="21">
        <f t="shared" si="151"/>
        <v>0</v>
      </c>
      <c r="X160" s="20">
        <f>SUMIFS('Registre de reserves'!$V$2:$V$1178,'Registre de reserves'!$T$2:$T$1178,"SI",'Registre de reserves'!$I$2:$I$1178,'2021'!$A160,'Registre de reserves'!$B$2:$B$1178,'2021'!X$2,Tabla1[ANY],'2021'!$Z$150)+SUMIFS('Registre de reserves'!$V$2:$V$1178,'Registre de reserves'!$T$2:$T$1178,"RESERVA",'Registre de reserves'!$I$2:$I$1178,'2021'!$A160,'Registre de reserves'!$B$2:$B$1178,'2021'!X$2,Tabla1[ANY],'2021'!$Z$150)</f>
        <v>0</v>
      </c>
      <c r="Y160" s="21">
        <f t="shared" si="152"/>
        <v>0</v>
      </c>
      <c r="Z160" s="20">
        <f t="shared" si="155"/>
        <v>0</v>
      </c>
      <c r="AA160" s="21">
        <f t="shared" si="153"/>
        <v>0</v>
      </c>
    </row>
    <row r="161" spans="1:27" collapsed="1" x14ac:dyDescent="0.2">
      <c r="A161" s="33" t="s">
        <v>76</v>
      </c>
      <c r="B161" s="18">
        <f>SUM(B162:B169)</f>
        <v>0</v>
      </c>
      <c r="C161" s="19">
        <f>IF((B$161+B$179)=0,0,B161/(B$161+B$179))</f>
        <v>0</v>
      </c>
      <c r="D161" s="18">
        <f>SUM(D162:D169)</f>
        <v>0</v>
      </c>
      <c r="E161" s="19">
        <f>IF((D$161+D$179)=0,0,D161/(D$161+D$179))</f>
        <v>0</v>
      </c>
      <c r="F161" s="18">
        <f>SUM(F162:F169)</f>
        <v>0</v>
      </c>
      <c r="G161" s="19">
        <f>IF((F$161+F$179)=0,0,F161/(F$161+F$179))</f>
        <v>0</v>
      </c>
      <c r="H161" s="18">
        <f>SUM(H162:H169)</f>
        <v>0</v>
      </c>
      <c r="I161" s="19">
        <f>IF((H$161+H$179)=0,0,H161/(H$161+H$179))</f>
        <v>0</v>
      </c>
      <c r="J161" s="18">
        <f>SUM(J162:J169)</f>
        <v>0</v>
      </c>
      <c r="K161" s="19">
        <f>IF((J$161+J$179)=0,0,J161/(J$161+J$179))</f>
        <v>0</v>
      </c>
      <c r="L161" s="18">
        <f>SUM(L162:L169)</f>
        <v>0</v>
      </c>
      <c r="M161" s="19">
        <f>IF((L$161+L$179)=0,0,L161/(L$161+L$179))</f>
        <v>0</v>
      </c>
      <c r="N161" s="18">
        <f>SUM(N162:N169)</f>
        <v>0</v>
      </c>
      <c r="O161" s="19">
        <f>IF((N$161+N$179)=0,0,N161/(N$161+N$179))</f>
        <v>0</v>
      </c>
      <c r="P161" s="18">
        <f>SUM(P162:P169)</f>
        <v>0</v>
      </c>
      <c r="Q161" s="19">
        <f>IF((P$161+P$179)=0,0,P161/(P$161+P$179))</f>
        <v>0</v>
      </c>
      <c r="R161" s="18">
        <f>SUM(R162:R169)</f>
        <v>0</v>
      </c>
      <c r="S161" s="19">
        <f>IF((R$161+R$179)=0,0,R161/(R$161+R$179))</f>
        <v>0</v>
      </c>
      <c r="T161" s="18">
        <f>SUM(T162:T169)</f>
        <v>0</v>
      </c>
      <c r="U161" s="19">
        <f>IF((T$161+T$179)=0,0,T161/(T$161+T$179))</f>
        <v>0</v>
      </c>
      <c r="V161" s="18">
        <f>SUM(V162:V169)</f>
        <v>0</v>
      </c>
      <c r="W161" s="19">
        <f>IF((V$161+V$179)=0,0,V161/(V$161+V$179))</f>
        <v>0</v>
      </c>
      <c r="X161" s="18">
        <f>SUM(X162:X169)</f>
        <v>0</v>
      </c>
      <c r="Y161" s="19">
        <f>IF((X$161+X$179)=0,0,X161/(X$161+X$179))</f>
        <v>0</v>
      </c>
      <c r="Z161" s="18">
        <f>SUM(Z162:Z169)</f>
        <v>0</v>
      </c>
      <c r="AA161" s="19">
        <f>IF((Z$13+Z$31)=0,0,Z161/(Z$13+Z$31))</f>
        <v>0</v>
      </c>
    </row>
    <row r="162" spans="1:27" hidden="1" outlineLevel="1" x14ac:dyDescent="0.2">
      <c r="A162" s="8" t="s">
        <v>67</v>
      </c>
      <c r="B162" s="20">
        <f>SUMIFS('Registre de reserves'!$V$2:$V$1178,'Registre de reserves'!$T$2:$T$1178,"NO",'Registre de reserves'!$I$2:$I$1178,'2021'!$A162,'Registre de reserves'!$B$2:$B$1178,'2021'!B$2,Tabla1[ANY],'2021'!$Z$150)</f>
        <v>0</v>
      </c>
      <c r="C162" s="21">
        <f>IF(B$161=0,0,B162/B$161)</f>
        <v>0</v>
      </c>
      <c r="D162" s="20">
        <f>SUMIFS('Registre de reserves'!$V$2:$V$1178,'Registre de reserves'!$T$2:$T$1178,"NO",'Registre de reserves'!$I$2:$I$1178,'2021'!$A162,'Registre de reserves'!$B$2:$B$1178,'2021'!D$2,Tabla1[ANY],'2021'!$Z$150)</f>
        <v>0</v>
      </c>
      <c r="E162" s="21">
        <f>IF(D$161=0,0,D162/D$161)</f>
        <v>0</v>
      </c>
      <c r="F162" s="20">
        <f>SUMIFS('Registre de reserves'!$V$2:$V$1178,'Registre de reserves'!$T$2:$T$1178,"NO",'Registre de reserves'!$I$2:$I$1178,'2021'!$A162,'Registre de reserves'!$B$2:$B$1178,'2021'!F$2,Tabla1[ANY],'2021'!$Z$150)</f>
        <v>0</v>
      </c>
      <c r="G162" s="21">
        <f t="shared" ref="G162:G169" si="156">IF(F$161=0,0,F162/F$161)</f>
        <v>0</v>
      </c>
      <c r="H162" s="20">
        <f>SUMIFS('Registre de reserves'!$V$2:$V$1178,'Registre de reserves'!$T$2:$T$1178,"NO",'Registre de reserves'!$I$2:$I$1178,'2021'!$A162,'Registre de reserves'!$B$2:$B$1178,'2021'!H$2,Tabla1[ANY],'2021'!$Z$150)</f>
        <v>0</v>
      </c>
      <c r="I162" s="21">
        <f t="shared" ref="I162:I169" si="157">IF(H$161=0,0,H162/H$161)</f>
        <v>0</v>
      </c>
      <c r="J162" s="20">
        <f>SUMIFS('Registre de reserves'!$V$2:$V$1178,'Registre de reserves'!$T$2:$T$1178,"NO",'Registre de reserves'!$I$2:$I$1178,'2021'!$A162,'Registre de reserves'!$B$2:$B$1178,'2021'!J$2,Tabla1[ANY],'2021'!$Z$150)</f>
        <v>0</v>
      </c>
      <c r="K162" s="21">
        <f t="shared" ref="K162:K169" si="158">IF(J$161=0,0,J162/J$161)</f>
        <v>0</v>
      </c>
      <c r="L162" s="20">
        <f>SUMIFS('Registre de reserves'!$V$2:$V$1178,'Registre de reserves'!$T$2:$T$1178,"NO",'Registre de reserves'!$I$2:$I$1178,'2021'!$A162,'Registre de reserves'!$B$2:$B$1178,'2021'!L$2,Tabla1[ANY],'2021'!$Z$150)</f>
        <v>0</v>
      </c>
      <c r="M162" s="21">
        <f t="shared" ref="M162:M169" si="159">IF(L$161=0,0,L162/L$161)</f>
        <v>0</v>
      </c>
      <c r="N162" s="20">
        <f>SUMIFS('Registre de reserves'!$V$2:$V$1178,'Registre de reserves'!$T$2:$T$1178,"NO",'Registre de reserves'!$I$2:$I$1178,'2021'!$A162,'Registre de reserves'!$B$2:$B$1178,'2021'!N$2,Tabla1[ANY],'2021'!$Z$150)</f>
        <v>0</v>
      </c>
      <c r="O162" s="21">
        <f t="shared" ref="O162:O169" si="160">IF(N$161=0,0,N162/N$161)</f>
        <v>0</v>
      </c>
      <c r="P162" s="20">
        <f>SUMIFS('Registre de reserves'!$V$2:$V$1178,'Registre de reserves'!$T$2:$T$1178,"NO",'Registre de reserves'!$I$2:$I$1178,'2021'!$A162,'Registre de reserves'!$B$2:$B$1178,'2021'!P$2,Tabla1[ANY],'2021'!$Z$150)</f>
        <v>0</v>
      </c>
      <c r="Q162" s="21">
        <f t="shared" ref="Q162:Q169" si="161">IF(P$161=0,0,P162/P$161)</f>
        <v>0</v>
      </c>
      <c r="R162" s="20">
        <f>SUMIFS('Registre de reserves'!$V$2:$V$1178,'Registre de reserves'!$T$2:$T$1178,"NO",'Registre de reserves'!$I$2:$I$1178,'2021'!$A162,'Registre de reserves'!$B$2:$B$1178,'2021'!R$2,Tabla1[ANY],'2021'!$Z$150)</f>
        <v>0</v>
      </c>
      <c r="S162" s="21">
        <f t="shared" ref="S162:S169" si="162">IF(R$161=0,0,R162/R$161)</f>
        <v>0</v>
      </c>
      <c r="T162" s="20">
        <f>SUMIFS('Registre de reserves'!$V$2:$V$1178,'Registre de reserves'!$T$2:$T$1178,"NO",'Registre de reserves'!$I$2:$I$1178,'2021'!$A162,'Registre de reserves'!$B$2:$B$1178,'2021'!T$2,Tabla1[ANY],'2021'!$Z$150)</f>
        <v>0</v>
      </c>
      <c r="U162" s="21">
        <f t="shared" ref="U162:U169" si="163">IF(T$161=0,0,T162/T$161)</f>
        <v>0</v>
      </c>
      <c r="V162" s="20">
        <f>SUMIFS('Registre de reserves'!$V$2:$V$1178,'Registre de reserves'!$T$2:$T$1178,"NO",'Registre de reserves'!$I$2:$I$1178,'2021'!$A162,'Registre de reserves'!$B$2:$B$1178,'2021'!V$2,Tabla1[ANY],'2021'!$Z$150)</f>
        <v>0</v>
      </c>
      <c r="W162" s="21">
        <f t="shared" ref="W162:W169" si="164">IF(V$161=0,0,V162/V$161)</f>
        <v>0</v>
      </c>
      <c r="X162" s="20">
        <f>SUMIFS('Registre de reserves'!$V$2:$V$1178,'Registre de reserves'!$T$2:$T$1178,"NO",'Registre de reserves'!$I$2:$I$1178,'2021'!$A162,'Registre de reserves'!$B$2:$B$1178,'2021'!X$2,Tabla1[ANY],'2021'!$Z$150)</f>
        <v>0</v>
      </c>
      <c r="Y162" s="21">
        <f t="shared" ref="Y162:Y169" si="165">IF(X$161=0,0,X162/X$161)</f>
        <v>0</v>
      </c>
      <c r="Z162" s="20">
        <f>B162+D162+F162+H162+J162+L162+N162+P162+R162+T162+V162+X162</f>
        <v>0</v>
      </c>
      <c r="AA162" s="21">
        <f>IF(Z$13=0,0,Z162/Z$13)</f>
        <v>0</v>
      </c>
    </row>
    <row r="163" spans="1:27" hidden="1" outlineLevel="1" x14ac:dyDescent="0.2">
      <c r="A163" s="8" t="s">
        <v>68</v>
      </c>
      <c r="B163" s="20">
        <f>SUMIFS('Registre de reserves'!$V$2:$V$1178,'Registre de reserves'!$T$2:$T$1178,"NO",'Registre de reserves'!$I$2:$I$1178,'2021'!$A163,'Registre de reserves'!$B$2:$B$1178,'2021'!B$2,Tabla1[ANY],'2021'!$Z$150)</f>
        <v>0</v>
      </c>
      <c r="C163" s="21">
        <f t="shared" ref="C163:E169" si="166">IF(B$161=0,0,B163/B$161)</f>
        <v>0</v>
      </c>
      <c r="D163" s="20">
        <f>SUMIFS('Registre de reserves'!$V$2:$V$1178,'Registre de reserves'!$T$2:$T$1178,"NO",'Registre de reserves'!$I$2:$I$1178,'2021'!$A163,'Registre de reserves'!$B$2:$B$1178,'2021'!D$2,Tabla1[ANY],'2021'!$Z$150)</f>
        <v>0</v>
      </c>
      <c r="E163" s="21">
        <f t="shared" si="166"/>
        <v>0</v>
      </c>
      <c r="F163" s="20">
        <f>SUMIFS('Registre de reserves'!$V$2:$V$1178,'Registre de reserves'!$T$2:$T$1178,"NO",'Registre de reserves'!$I$2:$I$1178,'2021'!$A163,'Registre de reserves'!$B$2:$B$1178,'2021'!F$2,Tabla1[ANY],'2021'!$Z$150)</f>
        <v>0</v>
      </c>
      <c r="G163" s="21">
        <f t="shared" si="156"/>
        <v>0</v>
      </c>
      <c r="H163" s="20">
        <f>SUMIFS('Registre de reserves'!$V$2:$V$1178,'Registre de reserves'!$T$2:$T$1178,"NO",'Registre de reserves'!$I$2:$I$1178,'2021'!$A163,'Registre de reserves'!$B$2:$B$1178,'2021'!H$2,Tabla1[ANY],'2021'!$Z$150)</f>
        <v>0</v>
      </c>
      <c r="I163" s="21">
        <f t="shared" si="157"/>
        <v>0</v>
      </c>
      <c r="J163" s="20">
        <f>SUMIFS('Registre de reserves'!$V$2:$V$1178,'Registre de reserves'!$T$2:$T$1178,"NO",'Registre de reserves'!$I$2:$I$1178,'2021'!$A163,'Registre de reserves'!$B$2:$B$1178,'2021'!J$2,Tabla1[ANY],'2021'!$Z$150)</f>
        <v>0</v>
      </c>
      <c r="K163" s="21">
        <f t="shared" si="158"/>
        <v>0</v>
      </c>
      <c r="L163" s="20">
        <f>SUMIFS('Registre de reserves'!$V$2:$V$1178,'Registre de reserves'!$T$2:$T$1178,"NO",'Registre de reserves'!$I$2:$I$1178,'2021'!$A163,'Registre de reserves'!$B$2:$B$1178,'2021'!L$2,Tabla1[ANY],'2021'!$Z$150)</f>
        <v>0</v>
      </c>
      <c r="M163" s="21">
        <f t="shared" si="159"/>
        <v>0</v>
      </c>
      <c r="N163" s="20">
        <f>SUMIFS('Registre de reserves'!$V$2:$V$1178,'Registre de reserves'!$T$2:$T$1178,"NO",'Registre de reserves'!$I$2:$I$1178,'2021'!$A163,'Registre de reserves'!$B$2:$B$1178,'2021'!N$2,Tabla1[ANY],'2021'!$Z$150)</f>
        <v>0</v>
      </c>
      <c r="O163" s="21">
        <f t="shared" si="160"/>
        <v>0</v>
      </c>
      <c r="P163" s="20">
        <f>SUMIFS('Registre de reserves'!$V$2:$V$1178,'Registre de reserves'!$T$2:$T$1178,"NO",'Registre de reserves'!$I$2:$I$1178,'2021'!$A163,'Registre de reserves'!$B$2:$B$1178,'2021'!P$2,Tabla1[ANY],'2021'!$Z$150)</f>
        <v>0</v>
      </c>
      <c r="Q163" s="21">
        <f t="shared" si="161"/>
        <v>0</v>
      </c>
      <c r="R163" s="20">
        <f>SUMIFS('Registre de reserves'!$V$2:$V$1178,'Registre de reserves'!$T$2:$T$1178,"NO",'Registre de reserves'!$I$2:$I$1178,'2021'!$A163,'Registre de reserves'!$B$2:$B$1178,'2021'!R$2,Tabla1[ANY],'2021'!$Z$150)</f>
        <v>0</v>
      </c>
      <c r="S163" s="21">
        <f t="shared" si="162"/>
        <v>0</v>
      </c>
      <c r="T163" s="20">
        <f>SUMIFS('Registre de reserves'!$V$2:$V$1178,'Registre de reserves'!$T$2:$T$1178,"NO",'Registre de reserves'!$I$2:$I$1178,'2021'!$A163,'Registre de reserves'!$B$2:$B$1178,'2021'!T$2,Tabla1[ANY],'2021'!$Z$150)</f>
        <v>0</v>
      </c>
      <c r="U163" s="21">
        <f t="shared" si="163"/>
        <v>0</v>
      </c>
      <c r="V163" s="20">
        <f>SUMIFS('Registre de reserves'!$V$2:$V$1178,'Registre de reserves'!$T$2:$T$1178,"NO",'Registre de reserves'!$I$2:$I$1178,'2021'!$A163,'Registre de reserves'!$B$2:$B$1178,'2021'!V$2,Tabla1[ANY],'2021'!$Z$150)</f>
        <v>0</v>
      </c>
      <c r="W163" s="21">
        <f t="shared" si="164"/>
        <v>0</v>
      </c>
      <c r="X163" s="20">
        <f>SUMIFS('Registre de reserves'!$V$2:$V$1178,'Registre de reserves'!$T$2:$T$1178,"NO",'Registre de reserves'!$I$2:$I$1178,'2021'!$A163,'Registre de reserves'!$B$2:$B$1178,'2021'!X$2,Tabla1[ANY],'2021'!$Z$150)</f>
        <v>0</v>
      </c>
      <c r="Y163" s="21">
        <f t="shared" si="165"/>
        <v>0</v>
      </c>
      <c r="Z163" s="20">
        <f t="shared" ref="Z163:Z187" si="167">B163+D163+F163+H163+J163+L163+N163+P163+R163+T163+V163+X163</f>
        <v>0</v>
      </c>
      <c r="AA163" s="21">
        <f t="shared" ref="AA163:AA169" si="168">IF(Z$13=0,0,Z163/Z$13)</f>
        <v>0</v>
      </c>
    </row>
    <row r="164" spans="1:27" hidden="1" outlineLevel="1" x14ac:dyDescent="0.2">
      <c r="A164" s="8" t="s">
        <v>4</v>
      </c>
      <c r="B164" s="20">
        <f>SUMIFS('Registre de reserves'!$V$2:$V$1178,'Registre de reserves'!$T$2:$T$1178,"NO",'Registre de reserves'!$I$2:$I$1178,'2021'!$A164,'Registre de reserves'!$B$2:$B$1178,'2021'!B$2,Tabla1[ANY],'2021'!$Z$150)</f>
        <v>0</v>
      </c>
      <c r="C164" s="21">
        <f t="shared" si="166"/>
        <v>0</v>
      </c>
      <c r="D164" s="20">
        <f>SUMIFS('Registre de reserves'!$V$2:$V$1178,'Registre de reserves'!$T$2:$T$1178,"NO",'Registre de reserves'!$I$2:$I$1178,'2021'!$A164,'Registre de reserves'!$B$2:$B$1178,'2021'!D$2,Tabla1[ANY],'2021'!$Z$150)</f>
        <v>0</v>
      </c>
      <c r="E164" s="21">
        <f t="shared" si="166"/>
        <v>0</v>
      </c>
      <c r="F164" s="20">
        <f>SUMIFS('Registre de reserves'!$V$2:$V$1178,'Registre de reserves'!$T$2:$T$1178,"NO",'Registre de reserves'!$I$2:$I$1178,'2021'!$A164,'Registre de reserves'!$B$2:$B$1178,'2021'!F$2,Tabla1[ANY],'2021'!$Z$150)</f>
        <v>0</v>
      </c>
      <c r="G164" s="21">
        <f t="shared" si="156"/>
        <v>0</v>
      </c>
      <c r="H164" s="20">
        <f>SUMIFS('Registre de reserves'!$V$2:$V$1178,'Registre de reserves'!$T$2:$T$1178,"NO",'Registre de reserves'!$I$2:$I$1178,'2021'!$A164,'Registre de reserves'!$B$2:$B$1178,'2021'!H$2,Tabla1[ANY],'2021'!$Z$150)</f>
        <v>0</v>
      </c>
      <c r="I164" s="21">
        <f t="shared" si="157"/>
        <v>0</v>
      </c>
      <c r="J164" s="20">
        <f>SUMIFS('Registre de reserves'!$V$2:$V$1178,'Registre de reserves'!$T$2:$T$1178,"NO",'Registre de reserves'!$I$2:$I$1178,'2021'!$A164,'Registre de reserves'!$B$2:$B$1178,'2021'!J$2,Tabla1[ANY],'2021'!$Z$150)</f>
        <v>0</v>
      </c>
      <c r="K164" s="21">
        <f t="shared" si="158"/>
        <v>0</v>
      </c>
      <c r="L164" s="20">
        <f>SUMIFS('Registre de reserves'!$V$2:$V$1178,'Registre de reserves'!$T$2:$T$1178,"NO",'Registre de reserves'!$I$2:$I$1178,'2021'!$A164,'Registre de reserves'!$B$2:$B$1178,'2021'!L$2,Tabla1[ANY],'2021'!$Z$150)</f>
        <v>0</v>
      </c>
      <c r="M164" s="21">
        <f t="shared" si="159"/>
        <v>0</v>
      </c>
      <c r="N164" s="20">
        <f>SUMIFS('Registre de reserves'!$V$2:$V$1178,'Registre de reserves'!$T$2:$T$1178,"NO",'Registre de reserves'!$I$2:$I$1178,'2021'!$A164,'Registre de reserves'!$B$2:$B$1178,'2021'!N$2,Tabla1[ANY],'2021'!$Z$150)</f>
        <v>0</v>
      </c>
      <c r="O164" s="21">
        <f t="shared" si="160"/>
        <v>0</v>
      </c>
      <c r="P164" s="20">
        <f>SUMIFS('Registre de reserves'!$V$2:$V$1178,'Registre de reserves'!$T$2:$T$1178,"NO",'Registre de reserves'!$I$2:$I$1178,'2021'!$A164,'Registre de reserves'!$B$2:$B$1178,'2021'!P$2,Tabla1[ANY],'2021'!$Z$150)</f>
        <v>0</v>
      </c>
      <c r="Q164" s="21">
        <f t="shared" si="161"/>
        <v>0</v>
      </c>
      <c r="R164" s="20">
        <f>SUMIFS('Registre de reserves'!$V$2:$V$1178,'Registre de reserves'!$T$2:$T$1178,"NO",'Registre de reserves'!$I$2:$I$1178,'2021'!$A164,'Registre de reserves'!$B$2:$B$1178,'2021'!R$2,Tabla1[ANY],'2021'!$Z$150)</f>
        <v>0</v>
      </c>
      <c r="S164" s="21">
        <f t="shared" si="162"/>
        <v>0</v>
      </c>
      <c r="T164" s="20">
        <f>SUMIFS('Registre de reserves'!$V$2:$V$1178,'Registre de reserves'!$T$2:$T$1178,"NO",'Registre de reserves'!$I$2:$I$1178,'2021'!$A164,'Registre de reserves'!$B$2:$B$1178,'2021'!T$2,Tabla1[ANY],'2021'!$Z$150)</f>
        <v>0</v>
      </c>
      <c r="U164" s="21">
        <f t="shared" si="163"/>
        <v>0</v>
      </c>
      <c r="V164" s="20">
        <f>SUMIFS('Registre de reserves'!$V$2:$V$1178,'Registre de reserves'!$T$2:$T$1178,"NO",'Registre de reserves'!$I$2:$I$1178,'2021'!$A164,'Registre de reserves'!$B$2:$B$1178,'2021'!V$2,Tabla1[ANY],'2021'!$Z$150)</f>
        <v>0</v>
      </c>
      <c r="W164" s="21">
        <f t="shared" si="164"/>
        <v>0</v>
      </c>
      <c r="X164" s="20">
        <f>SUMIFS('Registre de reserves'!$V$2:$V$1178,'Registre de reserves'!$T$2:$T$1178,"NO",'Registre de reserves'!$I$2:$I$1178,'2021'!$A164,'Registre de reserves'!$B$2:$B$1178,'2021'!X$2,Tabla1[ANY],'2021'!$Z$150)</f>
        <v>0</v>
      </c>
      <c r="Y164" s="21">
        <f t="shared" si="165"/>
        <v>0</v>
      </c>
      <c r="Z164" s="20">
        <f t="shared" si="167"/>
        <v>0</v>
      </c>
      <c r="AA164" s="21">
        <f t="shared" si="168"/>
        <v>0</v>
      </c>
    </row>
    <row r="165" spans="1:27" hidden="1" outlineLevel="1" x14ac:dyDescent="0.2">
      <c r="A165" s="8" t="s">
        <v>71</v>
      </c>
      <c r="B165" s="20">
        <f>SUMIFS('Registre de reserves'!$V$2:$V$1178,'Registre de reserves'!$T$2:$T$1178,"NO",'Registre de reserves'!$I$2:$I$1178,'2021'!$A165,'Registre de reserves'!$B$2:$B$1178,'2021'!B$2,Tabla1[ANY],'2021'!$Z$150)</f>
        <v>0</v>
      </c>
      <c r="C165" s="21">
        <f t="shared" si="166"/>
        <v>0</v>
      </c>
      <c r="D165" s="20">
        <f>SUMIFS('Registre de reserves'!$V$2:$V$1178,'Registre de reserves'!$T$2:$T$1178,"NO",'Registre de reserves'!$I$2:$I$1178,'2021'!$A165,'Registre de reserves'!$B$2:$B$1178,'2021'!D$2,Tabla1[ANY],'2021'!$Z$150)</f>
        <v>0</v>
      </c>
      <c r="E165" s="21">
        <f t="shared" si="166"/>
        <v>0</v>
      </c>
      <c r="F165" s="20">
        <f>SUMIFS('Registre de reserves'!$V$2:$V$1178,'Registre de reserves'!$T$2:$T$1178,"NO",'Registre de reserves'!$I$2:$I$1178,'2021'!$A165,'Registre de reserves'!$B$2:$B$1178,'2021'!F$2,Tabla1[ANY],'2021'!$Z$150)</f>
        <v>0</v>
      </c>
      <c r="G165" s="21">
        <f t="shared" si="156"/>
        <v>0</v>
      </c>
      <c r="H165" s="20">
        <f>SUMIFS('Registre de reserves'!$V$2:$V$1178,'Registre de reserves'!$T$2:$T$1178,"NO",'Registre de reserves'!$I$2:$I$1178,'2021'!$A165,'Registre de reserves'!$B$2:$B$1178,'2021'!H$2,Tabla1[ANY],'2021'!$Z$150)</f>
        <v>0</v>
      </c>
      <c r="I165" s="21">
        <f t="shared" si="157"/>
        <v>0</v>
      </c>
      <c r="J165" s="20">
        <f>SUMIFS('Registre de reserves'!$V$2:$V$1178,'Registre de reserves'!$T$2:$T$1178,"NO",'Registre de reserves'!$I$2:$I$1178,'2021'!$A165,'Registre de reserves'!$B$2:$B$1178,'2021'!J$2,Tabla1[ANY],'2021'!$Z$150)</f>
        <v>0</v>
      </c>
      <c r="K165" s="21">
        <f t="shared" si="158"/>
        <v>0</v>
      </c>
      <c r="L165" s="20">
        <f>SUMIFS('Registre de reserves'!$V$2:$V$1178,'Registre de reserves'!$T$2:$T$1178,"NO",'Registre de reserves'!$I$2:$I$1178,'2021'!$A165,'Registre de reserves'!$B$2:$B$1178,'2021'!L$2,Tabla1[ANY],'2021'!$Z$150)</f>
        <v>0</v>
      </c>
      <c r="M165" s="21">
        <f t="shared" si="159"/>
        <v>0</v>
      </c>
      <c r="N165" s="20">
        <f>SUMIFS('Registre de reserves'!$V$2:$V$1178,'Registre de reserves'!$T$2:$T$1178,"NO",'Registre de reserves'!$I$2:$I$1178,'2021'!$A165,'Registre de reserves'!$B$2:$B$1178,'2021'!N$2,Tabla1[ANY],'2021'!$Z$150)</f>
        <v>0</v>
      </c>
      <c r="O165" s="21">
        <f t="shared" si="160"/>
        <v>0</v>
      </c>
      <c r="P165" s="20">
        <f>SUMIFS('Registre de reserves'!$V$2:$V$1178,'Registre de reserves'!$T$2:$T$1178,"NO",'Registre de reserves'!$I$2:$I$1178,'2021'!$A165,'Registre de reserves'!$B$2:$B$1178,'2021'!P$2,Tabla1[ANY],'2021'!$Z$150)</f>
        <v>0</v>
      </c>
      <c r="Q165" s="21">
        <f t="shared" si="161"/>
        <v>0</v>
      </c>
      <c r="R165" s="20">
        <f>SUMIFS('Registre de reserves'!$V$2:$V$1178,'Registre de reserves'!$T$2:$T$1178,"NO",'Registre de reserves'!$I$2:$I$1178,'2021'!$A165,'Registre de reserves'!$B$2:$B$1178,'2021'!R$2,Tabla1[ANY],'2021'!$Z$150)</f>
        <v>0</v>
      </c>
      <c r="S165" s="21">
        <f t="shared" si="162"/>
        <v>0</v>
      </c>
      <c r="T165" s="20">
        <f>SUMIFS('Registre de reserves'!$V$2:$V$1178,'Registre de reserves'!$T$2:$T$1178,"NO",'Registre de reserves'!$I$2:$I$1178,'2021'!$A165,'Registre de reserves'!$B$2:$B$1178,'2021'!T$2,Tabla1[ANY],'2021'!$Z$150)</f>
        <v>0</v>
      </c>
      <c r="U165" s="21">
        <f t="shared" si="163"/>
        <v>0</v>
      </c>
      <c r="V165" s="20">
        <f>SUMIFS('Registre de reserves'!$V$2:$V$1178,'Registre de reserves'!$T$2:$T$1178,"NO",'Registre de reserves'!$I$2:$I$1178,'2021'!$A165,'Registre de reserves'!$B$2:$B$1178,'2021'!V$2,Tabla1[ANY],'2021'!$Z$150)</f>
        <v>0</v>
      </c>
      <c r="W165" s="21">
        <f t="shared" si="164"/>
        <v>0</v>
      </c>
      <c r="X165" s="20">
        <f>SUMIFS('Registre de reserves'!$V$2:$V$1178,'Registre de reserves'!$T$2:$T$1178,"NO",'Registre de reserves'!$I$2:$I$1178,'2021'!$A165,'Registre de reserves'!$B$2:$B$1178,'2021'!X$2,Tabla1[ANY],'2021'!$Z$150)</f>
        <v>0</v>
      </c>
      <c r="Y165" s="21">
        <f t="shared" si="165"/>
        <v>0</v>
      </c>
      <c r="Z165" s="20">
        <f t="shared" si="167"/>
        <v>0</v>
      </c>
      <c r="AA165" s="21">
        <f t="shared" si="168"/>
        <v>0</v>
      </c>
    </row>
    <row r="166" spans="1:27" hidden="1" outlineLevel="1" x14ac:dyDescent="0.2">
      <c r="A166" s="8" t="s">
        <v>72</v>
      </c>
      <c r="B166" s="20">
        <f>SUMIFS('Registre de reserves'!$V$2:$V$1178,'Registre de reserves'!$T$2:$T$1178,"NO",'Registre de reserves'!$I$2:$I$1178,'2021'!$A166,'Registre de reserves'!$B$2:$B$1178,'2021'!B$2,Tabla1[ANY],'2021'!$Z$150)</f>
        <v>0</v>
      </c>
      <c r="C166" s="21">
        <f t="shared" si="166"/>
        <v>0</v>
      </c>
      <c r="D166" s="20">
        <f>SUMIFS('Registre de reserves'!$V$2:$V$1178,'Registre de reserves'!$T$2:$T$1178,"NO",'Registre de reserves'!$I$2:$I$1178,'2021'!$A166,'Registre de reserves'!$B$2:$B$1178,'2021'!D$2,Tabla1[ANY],'2021'!$Z$150)</f>
        <v>0</v>
      </c>
      <c r="E166" s="21">
        <f t="shared" si="166"/>
        <v>0</v>
      </c>
      <c r="F166" s="20">
        <f>SUMIFS('Registre de reserves'!$V$2:$V$1178,'Registre de reserves'!$T$2:$T$1178,"NO",'Registre de reserves'!$I$2:$I$1178,'2021'!$A166,'Registre de reserves'!$B$2:$B$1178,'2021'!F$2,Tabla1[ANY],'2021'!$Z$150)</f>
        <v>0</v>
      </c>
      <c r="G166" s="21">
        <f t="shared" si="156"/>
        <v>0</v>
      </c>
      <c r="H166" s="20">
        <f>SUMIFS('Registre de reserves'!$V$2:$V$1178,'Registre de reserves'!$T$2:$T$1178,"NO",'Registre de reserves'!$I$2:$I$1178,'2021'!$A166,'Registre de reserves'!$B$2:$B$1178,'2021'!H$2,Tabla1[ANY],'2021'!$Z$150)</f>
        <v>0</v>
      </c>
      <c r="I166" s="21">
        <f t="shared" si="157"/>
        <v>0</v>
      </c>
      <c r="J166" s="20">
        <f>SUMIFS('Registre de reserves'!$V$2:$V$1178,'Registre de reserves'!$T$2:$T$1178,"NO",'Registre de reserves'!$I$2:$I$1178,'2021'!$A166,'Registre de reserves'!$B$2:$B$1178,'2021'!J$2,Tabla1[ANY],'2021'!$Z$150)</f>
        <v>0</v>
      </c>
      <c r="K166" s="21">
        <f t="shared" si="158"/>
        <v>0</v>
      </c>
      <c r="L166" s="20">
        <f>SUMIFS('Registre de reserves'!$V$2:$V$1178,'Registre de reserves'!$T$2:$T$1178,"NO",'Registre de reserves'!$I$2:$I$1178,'2021'!$A166,'Registre de reserves'!$B$2:$B$1178,'2021'!L$2,Tabla1[ANY],'2021'!$Z$150)</f>
        <v>0</v>
      </c>
      <c r="M166" s="21">
        <f t="shared" si="159"/>
        <v>0</v>
      </c>
      <c r="N166" s="20">
        <f>SUMIFS('Registre de reserves'!$V$2:$V$1178,'Registre de reserves'!$T$2:$T$1178,"NO",'Registre de reserves'!$I$2:$I$1178,'2021'!$A166,'Registre de reserves'!$B$2:$B$1178,'2021'!N$2,Tabla1[ANY],'2021'!$Z$150)</f>
        <v>0</v>
      </c>
      <c r="O166" s="21">
        <f t="shared" si="160"/>
        <v>0</v>
      </c>
      <c r="P166" s="20">
        <f>SUMIFS('Registre de reserves'!$V$2:$V$1178,'Registre de reserves'!$T$2:$T$1178,"NO",'Registre de reserves'!$I$2:$I$1178,'2021'!$A166,'Registre de reserves'!$B$2:$B$1178,'2021'!P$2,Tabla1[ANY],'2021'!$Z$150)</f>
        <v>0</v>
      </c>
      <c r="Q166" s="21">
        <f t="shared" si="161"/>
        <v>0</v>
      </c>
      <c r="R166" s="20">
        <f>SUMIFS('Registre de reserves'!$V$2:$V$1178,'Registre de reserves'!$T$2:$T$1178,"NO",'Registre de reserves'!$I$2:$I$1178,'2021'!$A166,'Registre de reserves'!$B$2:$B$1178,'2021'!R$2,Tabla1[ANY],'2021'!$Z$150)</f>
        <v>0</v>
      </c>
      <c r="S166" s="21">
        <f t="shared" si="162"/>
        <v>0</v>
      </c>
      <c r="T166" s="20">
        <f>SUMIFS('Registre de reserves'!$V$2:$V$1178,'Registre de reserves'!$T$2:$T$1178,"NO",'Registre de reserves'!$I$2:$I$1178,'2021'!$A166,'Registre de reserves'!$B$2:$B$1178,'2021'!T$2,Tabla1[ANY],'2021'!$Z$150)</f>
        <v>0</v>
      </c>
      <c r="U166" s="21">
        <f t="shared" si="163"/>
        <v>0</v>
      </c>
      <c r="V166" s="20">
        <f>SUMIFS('Registre de reserves'!$V$2:$V$1178,'Registre de reserves'!$T$2:$T$1178,"NO",'Registre de reserves'!$I$2:$I$1178,'2021'!$A166,'Registre de reserves'!$B$2:$B$1178,'2021'!V$2,Tabla1[ANY],'2021'!$Z$150)</f>
        <v>0</v>
      </c>
      <c r="W166" s="21">
        <f t="shared" si="164"/>
        <v>0</v>
      </c>
      <c r="X166" s="20">
        <f>SUMIFS('Registre de reserves'!$V$2:$V$1178,'Registre de reserves'!$T$2:$T$1178,"NO",'Registre de reserves'!$I$2:$I$1178,'2021'!$A166,'Registre de reserves'!$B$2:$B$1178,'2021'!X$2,Tabla1[ANY],'2021'!$Z$150)</f>
        <v>0</v>
      </c>
      <c r="Y166" s="21">
        <f t="shared" si="165"/>
        <v>0</v>
      </c>
      <c r="Z166" s="20">
        <f t="shared" si="167"/>
        <v>0</v>
      </c>
      <c r="AA166" s="21">
        <f t="shared" si="168"/>
        <v>0</v>
      </c>
    </row>
    <row r="167" spans="1:27" hidden="1" outlineLevel="1" x14ac:dyDescent="0.2">
      <c r="A167" s="8" t="s">
        <v>69</v>
      </c>
      <c r="B167" s="20">
        <f>SUMIFS('Registre de reserves'!$V$2:$V$1178,'Registre de reserves'!$T$2:$T$1178,"NO",'Registre de reserves'!$I$2:$I$1178,'2021'!$A167,'Registre de reserves'!$B$2:$B$1178,'2021'!B$2,Tabla1[ANY],'2021'!$Z$150)</f>
        <v>0</v>
      </c>
      <c r="C167" s="21">
        <f t="shared" si="166"/>
        <v>0</v>
      </c>
      <c r="D167" s="20">
        <f>SUMIFS('Registre de reserves'!$V$2:$V$1178,'Registre de reserves'!$T$2:$T$1178,"NO",'Registre de reserves'!$I$2:$I$1178,'2021'!$A167,'Registre de reserves'!$B$2:$B$1178,'2021'!D$2,Tabla1[ANY],'2021'!$Z$150)</f>
        <v>0</v>
      </c>
      <c r="E167" s="21">
        <f t="shared" si="166"/>
        <v>0</v>
      </c>
      <c r="F167" s="20">
        <f>SUMIFS('Registre de reserves'!$V$2:$V$1178,'Registre de reserves'!$T$2:$T$1178,"NO",'Registre de reserves'!$I$2:$I$1178,'2021'!$A167,'Registre de reserves'!$B$2:$B$1178,'2021'!F$2,Tabla1[ANY],'2021'!$Z$150)</f>
        <v>0</v>
      </c>
      <c r="G167" s="21">
        <f t="shared" si="156"/>
        <v>0</v>
      </c>
      <c r="H167" s="20">
        <f>SUMIFS('Registre de reserves'!$V$2:$V$1178,'Registre de reserves'!$T$2:$T$1178,"NO",'Registre de reserves'!$I$2:$I$1178,'2021'!$A167,'Registre de reserves'!$B$2:$B$1178,'2021'!H$2,Tabla1[ANY],'2021'!$Z$150)</f>
        <v>0</v>
      </c>
      <c r="I167" s="21">
        <f t="shared" si="157"/>
        <v>0</v>
      </c>
      <c r="J167" s="20">
        <f>SUMIFS('Registre de reserves'!$V$2:$V$1178,'Registre de reserves'!$T$2:$T$1178,"NO",'Registre de reserves'!$I$2:$I$1178,'2021'!$A167,'Registre de reserves'!$B$2:$B$1178,'2021'!J$2,Tabla1[ANY],'2021'!$Z$150)</f>
        <v>0</v>
      </c>
      <c r="K167" s="21">
        <f t="shared" si="158"/>
        <v>0</v>
      </c>
      <c r="L167" s="20">
        <f>SUMIFS('Registre de reserves'!$V$2:$V$1178,'Registre de reserves'!$T$2:$T$1178,"NO",'Registre de reserves'!$I$2:$I$1178,'2021'!$A167,'Registre de reserves'!$B$2:$B$1178,'2021'!L$2,Tabla1[ANY],'2021'!$Z$150)</f>
        <v>0</v>
      </c>
      <c r="M167" s="21">
        <f t="shared" si="159"/>
        <v>0</v>
      </c>
      <c r="N167" s="20">
        <f>SUMIFS('Registre de reserves'!$V$2:$V$1178,'Registre de reserves'!$T$2:$T$1178,"NO",'Registre de reserves'!$I$2:$I$1178,'2021'!$A167,'Registre de reserves'!$B$2:$B$1178,'2021'!N$2,Tabla1[ANY],'2021'!$Z$150)</f>
        <v>0</v>
      </c>
      <c r="O167" s="21">
        <f t="shared" si="160"/>
        <v>0</v>
      </c>
      <c r="P167" s="20">
        <f>SUMIFS('Registre de reserves'!$V$2:$V$1178,'Registre de reserves'!$T$2:$T$1178,"NO",'Registre de reserves'!$I$2:$I$1178,'2021'!$A167,'Registre de reserves'!$B$2:$B$1178,'2021'!P$2,Tabla1[ANY],'2021'!$Z$150)</f>
        <v>0</v>
      </c>
      <c r="Q167" s="21">
        <f t="shared" si="161"/>
        <v>0</v>
      </c>
      <c r="R167" s="20">
        <f>SUMIFS('Registre de reserves'!$V$2:$V$1178,'Registre de reserves'!$T$2:$T$1178,"NO",'Registre de reserves'!$I$2:$I$1178,'2021'!$A167,'Registre de reserves'!$B$2:$B$1178,'2021'!R$2,Tabla1[ANY],'2021'!$Z$150)</f>
        <v>0</v>
      </c>
      <c r="S167" s="21">
        <f t="shared" si="162"/>
        <v>0</v>
      </c>
      <c r="T167" s="20">
        <f>SUMIFS('Registre de reserves'!$V$2:$V$1178,'Registre de reserves'!$T$2:$T$1178,"NO",'Registre de reserves'!$I$2:$I$1178,'2021'!$A167,'Registre de reserves'!$B$2:$B$1178,'2021'!T$2,Tabla1[ANY],'2021'!$Z$150)</f>
        <v>0</v>
      </c>
      <c r="U167" s="21">
        <f t="shared" si="163"/>
        <v>0</v>
      </c>
      <c r="V167" s="20">
        <f>SUMIFS('Registre de reserves'!$V$2:$V$1178,'Registre de reserves'!$T$2:$T$1178,"NO",'Registre de reserves'!$I$2:$I$1178,'2021'!$A167,'Registre de reserves'!$B$2:$B$1178,'2021'!V$2,Tabla1[ANY],'2021'!$Z$150)</f>
        <v>0</v>
      </c>
      <c r="W167" s="21">
        <f t="shared" si="164"/>
        <v>0</v>
      </c>
      <c r="X167" s="20">
        <f>SUMIFS('Registre de reserves'!$V$2:$V$1178,'Registre de reserves'!$T$2:$T$1178,"NO",'Registre de reserves'!$I$2:$I$1178,'2021'!$A167,'Registre de reserves'!$B$2:$B$1178,'2021'!X$2,Tabla1[ANY],'2021'!$Z$150)</f>
        <v>0</v>
      </c>
      <c r="Y167" s="21">
        <f t="shared" si="165"/>
        <v>0</v>
      </c>
      <c r="Z167" s="20">
        <f t="shared" si="167"/>
        <v>0</v>
      </c>
      <c r="AA167" s="21">
        <f t="shared" si="168"/>
        <v>0</v>
      </c>
    </row>
    <row r="168" spans="1:27" hidden="1" outlineLevel="1" x14ac:dyDescent="0.2">
      <c r="A168" s="8" t="s">
        <v>70</v>
      </c>
      <c r="B168" s="20">
        <f>SUMIFS('Registre de reserves'!$V$2:$V$1178,'Registre de reserves'!$T$2:$T$1178,"NO",'Registre de reserves'!$I$2:$I$1178,'2021'!$A168,'Registre de reserves'!$B$2:$B$1178,'2021'!B$2,Tabla1[ANY],'2021'!$Z$150)</f>
        <v>0</v>
      </c>
      <c r="C168" s="21">
        <f t="shared" si="166"/>
        <v>0</v>
      </c>
      <c r="D168" s="20">
        <f>SUMIFS('Registre de reserves'!$V$2:$V$1178,'Registre de reserves'!$T$2:$T$1178,"NO",'Registre de reserves'!$I$2:$I$1178,'2021'!$A168,'Registre de reserves'!$B$2:$B$1178,'2021'!D$2,Tabla1[ANY],'2021'!$Z$150)</f>
        <v>0</v>
      </c>
      <c r="E168" s="21">
        <f t="shared" si="166"/>
        <v>0</v>
      </c>
      <c r="F168" s="20">
        <f>SUMIFS('Registre de reserves'!$V$2:$V$1178,'Registre de reserves'!$T$2:$T$1178,"NO",'Registre de reserves'!$I$2:$I$1178,'2021'!$A168,'Registre de reserves'!$B$2:$B$1178,'2021'!F$2,Tabla1[ANY],'2021'!$Z$150)</f>
        <v>0</v>
      </c>
      <c r="G168" s="21">
        <f t="shared" si="156"/>
        <v>0</v>
      </c>
      <c r="H168" s="20">
        <f>SUMIFS('Registre de reserves'!$V$2:$V$1178,'Registre de reserves'!$T$2:$T$1178,"NO",'Registre de reserves'!$I$2:$I$1178,'2021'!$A168,'Registre de reserves'!$B$2:$B$1178,'2021'!H$2,Tabla1[ANY],'2021'!$Z$150)</f>
        <v>0</v>
      </c>
      <c r="I168" s="21">
        <f t="shared" si="157"/>
        <v>0</v>
      </c>
      <c r="J168" s="20">
        <f>SUMIFS('Registre de reserves'!$V$2:$V$1178,'Registre de reserves'!$T$2:$T$1178,"NO",'Registre de reserves'!$I$2:$I$1178,'2021'!$A168,'Registre de reserves'!$B$2:$B$1178,'2021'!J$2,Tabla1[ANY],'2021'!$Z$150)</f>
        <v>0</v>
      </c>
      <c r="K168" s="21">
        <f t="shared" si="158"/>
        <v>0</v>
      </c>
      <c r="L168" s="20">
        <f>SUMIFS('Registre de reserves'!$V$2:$V$1178,'Registre de reserves'!$T$2:$T$1178,"NO",'Registre de reserves'!$I$2:$I$1178,'2021'!$A168,'Registre de reserves'!$B$2:$B$1178,'2021'!L$2,Tabla1[ANY],'2021'!$Z$150)</f>
        <v>0</v>
      </c>
      <c r="M168" s="21">
        <f t="shared" si="159"/>
        <v>0</v>
      </c>
      <c r="N168" s="20">
        <f>SUMIFS('Registre de reserves'!$V$2:$V$1178,'Registre de reserves'!$T$2:$T$1178,"NO",'Registre de reserves'!$I$2:$I$1178,'2021'!$A168,'Registre de reserves'!$B$2:$B$1178,'2021'!N$2,Tabla1[ANY],'2021'!$Z$150)</f>
        <v>0</v>
      </c>
      <c r="O168" s="21">
        <f t="shared" si="160"/>
        <v>0</v>
      </c>
      <c r="P168" s="20">
        <f>SUMIFS('Registre de reserves'!$V$2:$V$1178,'Registre de reserves'!$T$2:$T$1178,"NO",'Registre de reserves'!$I$2:$I$1178,'2021'!$A168,'Registre de reserves'!$B$2:$B$1178,'2021'!P$2,Tabla1[ANY],'2021'!$Z$150)</f>
        <v>0</v>
      </c>
      <c r="Q168" s="21">
        <f t="shared" si="161"/>
        <v>0</v>
      </c>
      <c r="R168" s="20">
        <f>SUMIFS('Registre de reserves'!$V$2:$V$1178,'Registre de reserves'!$T$2:$T$1178,"NO",'Registre de reserves'!$I$2:$I$1178,'2021'!$A168,'Registre de reserves'!$B$2:$B$1178,'2021'!R$2,Tabla1[ANY],'2021'!$Z$150)</f>
        <v>0</v>
      </c>
      <c r="S168" s="21">
        <f t="shared" si="162"/>
        <v>0</v>
      </c>
      <c r="T168" s="20">
        <f>SUMIFS('Registre de reserves'!$V$2:$V$1178,'Registre de reserves'!$T$2:$T$1178,"NO",'Registre de reserves'!$I$2:$I$1178,'2021'!$A168,'Registre de reserves'!$B$2:$B$1178,'2021'!T$2,Tabla1[ANY],'2021'!$Z$150)</f>
        <v>0</v>
      </c>
      <c r="U168" s="21">
        <f t="shared" si="163"/>
        <v>0</v>
      </c>
      <c r="V168" s="20">
        <f>SUMIFS('Registre de reserves'!$V$2:$V$1178,'Registre de reserves'!$T$2:$T$1178,"NO",'Registre de reserves'!$I$2:$I$1178,'2021'!$A168,'Registre de reserves'!$B$2:$B$1178,'2021'!V$2,Tabla1[ANY],'2021'!$Z$150)</f>
        <v>0</v>
      </c>
      <c r="W168" s="21">
        <f t="shared" si="164"/>
        <v>0</v>
      </c>
      <c r="X168" s="20">
        <f>SUMIFS('Registre de reserves'!$V$2:$V$1178,'Registre de reserves'!$T$2:$T$1178,"NO",'Registre de reserves'!$I$2:$I$1178,'2021'!$A168,'Registre de reserves'!$B$2:$B$1178,'2021'!X$2,Tabla1[ANY],'2021'!$Z$150)</f>
        <v>0</v>
      </c>
      <c r="Y168" s="21">
        <f t="shared" si="165"/>
        <v>0</v>
      </c>
      <c r="Z168" s="20">
        <f t="shared" si="167"/>
        <v>0</v>
      </c>
      <c r="AA168" s="21">
        <f t="shared" si="168"/>
        <v>0</v>
      </c>
    </row>
    <row r="169" spans="1:27" hidden="1" outlineLevel="1" x14ac:dyDescent="0.2">
      <c r="A169" s="8" t="s">
        <v>73</v>
      </c>
      <c r="B169" s="20">
        <f>SUMIFS('Registre de reserves'!$V$2:$V$1178,'Registre de reserves'!$T$2:$T$1178,"NO",'Registre de reserves'!$I$2:$I$1178,'2021'!$A169,'Registre de reserves'!$B$2:$B$1178,'2021'!B$2,Tabla1[ANY],'2021'!$Z$150)</f>
        <v>0</v>
      </c>
      <c r="C169" s="21">
        <f t="shared" si="166"/>
        <v>0</v>
      </c>
      <c r="D169" s="20">
        <f>SUMIFS('Registre de reserves'!$V$2:$V$1178,'Registre de reserves'!$T$2:$T$1178,"NO",'Registre de reserves'!$I$2:$I$1178,'2021'!$A169,'Registre de reserves'!$B$2:$B$1178,'2021'!D$2,Tabla1[ANY],'2021'!$Z$150)</f>
        <v>0</v>
      </c>
      <c r="E169" s="21">
        <f t="shared" si="166"/>
        <v>0</v>
      </c>
      <c r="F169" s="20">
        <f>SUMIFS('Registre de reserves'!$V$2:$V$1178,'Registre de reserves'!$T$2:$T$1178,"NO",'Registre de reserves'!$I$2:$I$1178,'2021'!$A169,'Registre de reserves'!$B$2:$B$1178,'2021'!F$2,Tabla1[ANY],'2021'!$Z$150)</f>
        <v>0</v>
      </c>
      <c r="G169" s="21">
        <f t="shared" si="156"/>
        <v>0</v>
      </c>
      <c r="H169" s="20">
        <f>SUMIFS('Registre de reserves'!$V$2:$V$1178,'Registre de reserves'!$T$2:$T$1178,"NO",'Registre de reserves'!$I$2:$I$1178,'2021'!$A169,'Registre de reserves'!$B$2:$B$1178,'2021'!H$2,Tabla1[ANY],'2021'!$Z$150)</f>
        <v>0</v>
      </c>
      <c r="I169" s="21">
        <f t="shared" si="157"/>
        <v>0</v>
      </c>
      <c r="J169" s="20">
        <f>SUMIFS('Registre de reserves'!$V$2:$V$1178,'Registre de reserves'!$T$2:$T$1178,"NO",'Registre de reserves'!$I$2:$I$1178,'2021'!$A169,'Registre de reserves'!$B$2:$B$1178,'2021'!J$2,Tabla1[ANY],'2021'!$Z$150)</f>
        <v>0</v>
      </c>
      <c r="K169" s="21">
        <f t="shared" si="158"/>
        <v>0</v>
      </c>
      <c r="L169" s="20">
        <f>SUMIFS('Registre de reserves'!$V$2:$V$1178,'Registre de reserves'!$T$2:$T$1178,"NO",'Registre de reserves'!$I$2:$I$1178,'2021'!$A169,'Registre de reserves'!$B$2:$B$1178,'2021'!L$2,Tabla1[ANY],'2021'!$Z$150)</f>
        <v>0</v>
      </c>
      <c r="M169" s="21">
        <f t="shared" si="159"/>
        <v>0</v>
      </c>
      <c r="N169" s="20">
        <f>SUMIFS('Registre de reserves'!$V$2:$V$1178,'Registre de reserves'!$T$2:$T$1178,"NO",'Registre de reserves'!$I$2:$I$1178,'2021'!$A169,'Registre de reserves'!$B$2:$B$1178,'2021'!N$2,Tabla1[ANY],'2021'!$Z$150)</f>
        <v>0</v>
      </c>
      <c r="O169" s="21">
        <f t="shared" si="160"/>
        <v>0</v>
      </c>
      <c r="P169" s="20">
        <f>SUMIFS('Registre de reserves'!$V$2:$V$1178,'Registre de reserves'!$T$2:$T$1178,"NO",'Registre de reserves'!$I$2:$I$1178,'2021'!$A169,'Registre de reserves'!$B$2:$B$1178,'2021'!P$2,Tabla1[ANY],'2021'!$Z$150)</f>
        <v>0</v>
      </c>
      <c r="Q169" s="21">
        <f t="shared" si="161"/>
        <v>0</v>
      </c>
      <c r="R169" s="20">
        <f>SUMIFS('Registre de reserves'!$V$2:$V$1178,'Registre de reserves'!$T$2:$T$1178,"NO",'Registre de reserves'!$I$2:$I$1178,'2021'!$A169,'Registre de reserves'!$B$2:$B$1178,'2021'!R$2,Tabla1[ANY],'2021'!$Z$150)</f>
        <v>0</v>
      </c>
      <c r="S169" s="21">
        <f t="shared" si="162"/>
        <v>0</v>
      </c>
      <c r="T169" s="20">
        <f>SUMIFS('Registre de reserves'!$V$2:$V$1178,'Registre de reserves'!$T$2:$T$1178,"NO",'Registre de reserves'!$I$2:$I$1178,'2021'!$A169,'Registre de reserves'!$B$2:$B$1178,'2021'!T$2,Tabla1[ANY],'2021'!$Z$150)</f>
        <v>0</v>
      </c>
      <c r="U169" s="21">
        <f t="shared" si="163"/>
        <v>0</v>
      </c>
      <c r="V169" s="20">
        <f>SUMIFS('Registre de reserves'!$V$2:$V$1178,'Registre de reserves'!$T$2:$T$1178,"NO",'Registre de reserves'!$I$2:$I$1178,'2021'!$A169,'Registre de reserves'!$B$2:$B$1178,'2021'!V$2,Tabla1[ANY],'2021'!$Z$150)</f>
        <v>0</v>
      </c>
      <c r="W169" s="21">
        <f t="shared" si="164"/>
        <v>0</v>
      </c>
      <c r="X169" s="20">
        <f>SUMIFS('Registre de reserves'!$V$2:$V$1178,'Registre de reserves'!$T$2:$T$1178,"NO",'Registre de reserves'!$I$2:$I$1178,'2021'!$A169,'Registre de reserves'!$B$2:$B$1178,'2021'!X$2,Tabla1[ANY],'2021'!$Z$150)</f>
        <v>0</v>
      </c>
      <c r="Y169" s="21">
        <f t="shared" si="165"/>
        <v>0</v>
      </c>
      <c r="Z169" s="20">
        <f t="shared" si="167"/>
        <v>0</v>
      </c>
      <c r="AA169" s="21">
        <f t="shared" si="168"/>
        <v>0</v>
      </c>
    </row>
    <row r="170" spans="1:27" collapsed="1" x14ac:dyDescent="0.2">
      <c r="A170" s="33" t="s">
        <v>75</v>
      </c>
      <c r="B170" s="22">
        <f>SUM(B171:B178)</f>
        <v>0</v>
      </c>
      <c r="C170" s="19">
        <f>IF(B$151=0,0,B170/B$151)</f>
        <v>0</v>
      </c>
      <c r="D170" s="22">
        <f>SUM(D171:D178)</f>
        <v>0</v>
      </c>
      <c r="E170" s="19">
        <f>IF(D$151=0,0,D170/D$151)</f>
        <v>0</v>
      </c>
      <c r="F170" s="22">
        <f>SUM(F171:F178)</f>
        <v>0</v>
      </c>
      <c r="G170" s="19">
        <f>IF(F$151=0,0,F170/F$151)</f>
        <v>0</v>
      </c>
      <c r="H170" s="22">
        <f>SUM(H171:H178)</f>
        <v>0</v>
      </c>
      <c r="I170" s="19">
        <f>IF(H$151=0,0,H170/H$151)</f>
        <v>0</v>
      </c>
      <c r="J170" s="22">
        <f>SUM(J171:J178)</f>
        <v>15</v>
      </c>
      <c r="K170" s="19">
        <f>IF(J$151=0,0,J170/J$151)</f>
        <v>2.7522935779816515E-2</v>
      </c>
      <c r="L170" s="22">
        <f>SUM(L171:L178)</f>
        <v>170</v>
      </c>
      <c r="M170" s="19">
        <f>IF(L$151=0,0,L170/L$151)</f>
        <v>0.17171717171717171</v>
      </c>
      <c r="N170" s="22">
        <f>SUM(N171:N178)</f>
        <v>0</v>
      </c>
      <c r="O170" s="19">
        <f>IF(N$151=0,0,N170/N$151)</f>
        <v>0</v>
      </c>
      <c r="P170" s="22">
        <f>SUM(P171:P178)</f>
        <v>0</v>
      </c>
      <c r="Q170" s="19">
        <f>IF(P$151=0,0,P170/P$151)</f>
        <v>0</v>
      </c>
      <c r="R170" s="22">
        <f>SUM(R171:R178)</f>
        <v>10</v>
      </c>
      <c r="S170" s="19">
        <f>IF(R$151=0,0,R170/R$151)</f>
        <v>1.1834319526627219E-2</v>
      </c>
      <c r="T170" s="22">
        <f>SUM(T171:T178)</f>
        <v>170</v>
      </c>
      <c r="U170" s="19">
        <f>IF(T$151=0,0,T170/T$151)</f>
        <v>0.14782608695652175</v>
      </c>
      <c r="V170" s="22">
        <f>SUM(V171:V178)</f>
        <v>5</v>
      </c>
      <c r="W170" s="19">
        <f>IF(V$151=0,0,V170/V$151)</f>
        <v>5.6497175141242938E-3</v>
      </c>
      <c r="X170" s="22">
        <f>SUM(X171:X178)</f>
        <v>80</v>
      </c>
      <c r="Y170" s="19">
        <f>IF(X$151=0,0,X170/X$151)</f>
        <v>6.2992125984251968E-2</v>
      </c>
      <c r="Z170" s="22">
        <f>SUM(Z171:Z178)</f>
        <v>450</v>
      </c>
      <c r="AA170" s="19">
        <f>IF(Z$3=0,0,Z170/Z$3)</f>
        <v>2.3701600016011751E-2</v>
      </c>
    </row>
    <row r="171" spans="1:27" hidden="1" outlineLevel="1" x14ac:dyDescent="0.2">
      <c r="A171" s="8" t="s">
        <v>67</v>
      </c>
      <c r="B171" s="23">
        <f>SUMIFS('Registre de reserves'!$X$2:$X$1178,'Registre de reserves'!$T$2:$T$1178,"SI",'Registre de reserves'!$I$2:$I$1178,'2021'!$A171,'Registre de reserves'!$B$2:$B$1178,'2021'!B$2,Tabla1[ANY],'2021'!$Z$150)</f>
        <v>0</v>
      </c>
      <c r="C171" s="21">
        <f>IF(B$170=0,0,B171/B$170)</f>
        <v>0</v>
      </c>
      <c r="D171" s="23">
        <f>SUMIFS('Registre de reserves'!$X$2:$X$1178,'Registre de reserves'!$T$2:$T$1178,"SI",'Registre de reserves'!$I$2:$I$1178,'2021'!$A171,'Registre de reserves'!$B$2:$B$1178,'2021'!D$2,Tabla1[ANY],'2021'!$Z$150)</f>
        <v>0</v>
      </c>
      <c r="E171" s="21">
        <f>IF(D$170=0,0,D171/D$170)</f>
        <v>0</v>
      </c>
      <c r="F171" s="23">
        <f>SUMIFS('Registre de reserves'!$X$2:$X$1178,'Registre de reserves'!$T$2:$T$1178,"SI",'Registre de reserves'!$I$2:$I$1178,'2021'!$A171,'Registre de reserves'!$B$2:$B$1178,'2021'!F$2,Tabla1[ANY],'2021'!$Z$150)</f>
        <v>0</v>
      </c>
      <c r="G171" s="21">
        <f t="shared" ref="G171:G178" si="169">IF(F$170=0,0,F171/F$170)</f>
        <v>0</v>
      </c>
      <c r="H171" s="23">
        <f>SUMIFS('Registre de reserves'!$X$2:$X$1178,'Registre de reserves'!$T$2:$T$1178,"SI",'Registre de reserves'!$I$2:$I$1178,'2021'!$A171,'Registre de reserves'!$B$2:$B$1178,'2021'!H$2,Tabla1[ANY],'2021'!$Z$150)</f>
        <v>0</v>
      </c>
      <c r="I171" s="21">
        <f t="shared" ref="I171:I178" si="170">IF(H$170=0,0,H171/H$170)</f>
        <v>0</v>
      </c>
      <c r="J171" s="23">
        <f>SUMIFS('Registre de reserves'!$X$2:$X$1178,'Registre de reserves'!$T$2:$T$1178,"SI",'Registre de reserves'!$I$2:$I$1178,'2021'!$A171,'Registre de reserves'!$B$2:$B$1178,'2021'!J$2,Tabla1[ANY],'2021'!$Z$150)</f>
        <v>0</v>
      </c>
      <c r="K171" s="21">
        <f t="shared" ref="K171:K178" si="171">IF(J$170=0,0,J171/J$170)</f>
        <v>0</v>
      </c>
      <c r="L171" s="23">
        <f>SUMIFS('Registre de reserves'!$X$2:$X$1178,'Registre de reserves'!$T$2:$T$1178,"SI",'Registre de reserves'!$I$2:$I$1178,'2021'!$A171,'Registre de reserves'!$B$2:$B$1178,'2021'!L$2,Tabla1[ANY],'2021'!$Z$150)</f>
        <v>0</v>
      </c>
      <c r="M171" s="21">
        <f t="shared" ref="M171:M178" si="172">IF(L$170=0,0,L171/L$170)</f>
        <v>0</v>
      </c>
      <c r="N171" s="23">
        <f>SUMIFS('Registre de reserves'!$X$2:$X$1178,'Registre de reserves'!$T$2:$T$1178,"SI",'Registre de reserves'!$I$2:$I$1178,'2021'!$A171,'Registre de reserves'!$B$2:$B$1178,'2021'!N$2,Tabla1[ANY],'2021'!$Z$150)</f>
        <v>0</v>
      </c>
      <c r="O171" s="21">
        <f t="shared" ref="O171:O178" si="173">IF(N$170=0,0,N171/N$170)</f>
        <v>0</v>
      </c>
      <c r="P171" s="23">
        <f>SUMIFS('Registre de reserves'!$X$2:$X$1178,'Registre de reserves'!$T$2:$T$1178,"SI",'Registre de reserves'!$I$2:$I$1178,'2021'!$A171,'Registre de reserves'!$B$2:$B$1178,'2021'!P$2,Tabla1[ANY],'2021'!$Z$150)</f>
        <v>0</v>
      </c>
      <c r="Q171" s="21">
        <f t="shared" ref="Q171:Q178" si="174">IF(P$170=0,0,P171/P$170)</f>
        <v>0</v>
      </c>
      <c r="R171" s="23">
        <f>SUMIFS('Registre de reserves'!$X$2:$X$1178,'Registre de reserves'!$T$2:$T$1178,"SI",'Registre de reserves'!$I$2:$I$1178,'2021'!$A171,'Registre de reserves'!$B$2:$B$1178,'2021'!R$2,Tabla1[ANY],'2021'!$Z$150)</f>
        <v>0</v>
      </c>
      <c r="S171" s="21">
        <f t="shared" ref="S171:S178" si="175">IF(R$170=0,0,R171/R$170)</f>
        <v>0</v>
      </c>
      <c r="T171" s="23">
        <f>SUMIFS('Registre de reserves'!$X$2:$X$1178,'Registre de reserves'!$T$2:$T$1178,"SI",'Registre de reserves'!$I$2:$I$1178,'2021'!$A171,'Registre de reserves'!$B$2:$B$1178,'2021'!T$2,Tabla1[ANY],'2021'!$Z$150)</f>
        <v>0</v>
      </c>
      <c r="U171" s="21">
        <f t="shared" ref="U171:U178" si="176">IF(T$170=0,0,T171/T$170)</f>
        <v>0</v>
      </c>
      <c r="V171" s="23">
        <f>SUMIFS('Registre de reserves'!$X$2:$X$1178,'Registre de reserves'!$T$2:$T$1178,"SI",'Registre de reserves'!$I$2:$I$1178,'2021'!$A171,'Registre de reserves'!$B$2:$B$1178,'2021'!V$2,Tabla1[ANY],'2021'!$Z$150)</f>
        <v>0</v>
      </c>
      <c r="W171" s="21">
        <f t="shared" ref="W171:W178" si="177">IF(V$170=0,0,V171/V$170)</f>
        <v>0</v>
      </c>
      <c r="X171" s="23">
        <f>SUMIFS('Registre de reserves'!$X$2:$X$1178,'Registre de reserves'!$T$2:$T$1178,"SI",'Registre de reserves'!$I$2:$I$1178,'2021'!$A171,'Registre de reserves'!$B$2:$B$1178,'2021'!X$2,Tabla1[ANY],'2021'!$Z$150)</f>
        <v>0</v>
      </c>
      <c r="Y171" s="21">
        <f t="shared" ref="Y171:Y178" si="178">IF(X$170=0,0,X171/X$170)</f>
        <v>0</v>
      </c>
      <c r="Z171" s="20">
        <f t="shared" si="167"/>
        <v>0</v>
      </c>
      <c r="AA171" s="21">
        <f>IF(Z$22=0,0,Z171/Z$22)</f>
        <v>0</v>
      </c>
    </row>
    <row r="172" spans="1:27" hidden="1" outlineLevel="1" x14ac:dyDescent="0.2">
      <c r="A172" s="8" t="s">
        <v>68</v>
      </c>
      <c r="B172" s="23">
        <f>SUMIFS('Registre de reserves'!$X$2:$X$1178,'Registre de reserves'!$T$2:$T$1178,"SI",'Registre de reserves'!$I$2:$I$1178,'2021'!$A172,'Registre de reserves'!$B$2:$B$1178,'2021'!B$2,Tabla1[ANY],'2021'!$Z$150)</f>
        <v>0</v>
      </c>
      <c r="C172" s="21">
        <f t="shared" ref="C172:E178" si="179">IF(B$170=0,0,B172/B$170)</f>
        <v>0</v>
      </c>
      <c r="D172" s="23">
        <f>SUMIFS('Registre de reserves'!$X$2:$X$1178,'Registre de reserves'!$T$2:$T$1178,"SI",'Registre de reserves'!$I$2:$I$1178,'2021'!$A172,'Registre de reserves'!$B$2:$B$1178,'2021'!D$2,Tabla1[ANY],'2021'!$Z$150)</f>
        <v>0</v>
      </c>
      <c r="E172" s="21">
        <f t="shared" si="179"/>
        <v>0</v>
      </c>
      <c r="F172" s="23">
        <f>SUMIFS('Registre de reserves'!$X$2:$X$1178,'Registre de reserves'!$T$2:$T$1178,"SI",'Registre de reserves'!$I$2:$I$1178,'2021'!$A172,'Registre de reserves'!$B$2:$B$1178,'2021'!F$2,Tabla1[ANY],'2021'!$Z$150)</f>
        <v>0</v>
      </c>
      <c r="G172" s="21">
        <f t="shared" si="169"/>
        <v>0</v>
      </c>
      <c r="H172" s="23">
        <f>SUMIFS('Registre de reserves'!$X$2:$X$1178,'Registre de reserves'!$T$2:$T$1178,"SI",'Registre de reserves'!$I$2:$I$1178,'2021'!$A172,'Registre de reserves'!$B$2:$B$1178,'2021'!H$2,Tabla1[ANY],'2021'!$Z$150)</f>
        <v>0</v>
      </c>
      <c r="I172" s="21">
        <f t="shared" si="170"/>
        <v>0</v>
      </c>
      <c r="J172" s="23">
        <f>SUMIFS('Registre de reserves'!$X$2:$X$1178,'Registre de reserves'!$T$2:$T$1178,"SI",'Registre de reserves'!$I$2:$I$1178,'2021'!$A172,'Registre de reserves'!$B$2:$B$1178,'2021'!J$2,Tabla1[ANY],'2021'!$Z$150)</f>
        <v>15</v>
      </c>
      <c r="K172" s="21">
        <f t="shared" si="171"/>
        <v>1</v>
      </c>
      <c r="L172" s="23">
        <f>SUMIFS('Registre de reserves'!$X$2:$X$1178,'Registre de reserves'!$T$2:$T$1178,"SI",'Registre de reserves'!$I$2:$I$1178,'2021'!$A172,'Registre de reserves'!$B$2:$B$1178,'2021'!L$2,Tabla1[ANY],'2021'!$Z$150)</f>
        <v>10</v>
      </c>
      <c r="M172" s="21">
        <f t="shared" si="172"/>
        <v>5.8823529411764705E-2</v>
      </c>
      <c r="N172" s="23">
        <f>SUMIFS('Registre de reserves'!$X$2:$X$1178,'Registre de reserves'!$T$2:$T$1178,"SI",'Registre de reserves'!$I$2:$I$1178,'2021'!$A172,'Registre de reserves'!$B$2:$B$1178,'2021'!N$2,Tabla1[ANY],'2021'!$Z$150)</f>
        <v>0</v>
      </c>
      <c r="O172" s="21">
        <f t="shared" si="173"/>
        <v>0</v>
      </c>
      <c r="P172" s="23">
        <f>SUMIFS('Registre de reserves'!$X$2:$X$1178,'Registre de reserves'!$T$2:$T$1178,"SI",'Registre de reserves'!$I$2:$I$1178,'2021'!$A172,'Registre de reserves'!$B$2:$B$1178,'2021'!P$2,Tabla1[ANY],'2021'!$Z$150)</f>
        <v>0</v>
      </c>
      <c r="Q172" s="21">
        <f t="shared" si="174"/>
        <v>0</v>
      </c>
      <c r="R172" s="23">
        <f>SUMIFS('Registre de reserves'!$X$2:$X$1178,'Registre de reserves'!$T$2:$T$1178,"SI",'Registre de reserves'!$I$2:$I$1178,'2021'!$A172,'Registre de reserves'!$B$2:$B$1178,'2021'!R$2,Tabla1[ANY],'2021'!$Z$150)</f>
        <v>5</v>
      </c>
      <c r="S172" s="21">
        <f t="shared" si="175"/>
        <v>0.5</v>
      </c>
      <c r="T172" s="23">
        <f>SUMIFS('Registre de reserves'!$X$2:$X$1178,'Registre de reserves'!$T$2:$T$1178,"SI",'Registre de reserves'!$I$2:$I$1178,'2021'!$A172,'Registre de reserves'!$B$2:$B$1178,'2021'!T$2,Tabla1[ANY],'2021'!$Z$150)</f>
        <v>20</v>
      </c>
      <c r="U172" s="21">
        <f t="shared" si="176"/>
        <v>0.11764705882352941</v>
      </c>
      <c r="V172" s="23">
        <f>SUMIFS('Registre de reserves'!$X$2:$X$1178,'Registre de reserves'!$T$2:$T$1178,"SI",'Registre de reserves'!$I$2:$I$1178,'2021'!$A172,'Registre de reserves'!$B$2:$B$1178,'2021'!V$2,Tabla1[ANY],'2021'!$Z$150)</f>
        <v>0</v>
      </c>
      <c r="W172" s="21">
        <f t="shared" si="177"/>
        <v>0</v>
      </c>
      <c r="X172" s="23">
        <f>SUMIFS('Registre de reserves'!$X$2:$X$1178,'Registre de reserves'!$T$2:$T$1178,"SI",'Registre de reserves'!$I$2:$I$1178,'2021'!$A172,'Registre de reserves'!$B$2:$B$1178,'2021'!X$2,Tabla1[ANY],'2021'!$Z$150)</f>
        <v>5</v>
      </c>
      <c r="Y172" s="21">
        <f t="shared" si="178"/>
        <v>6.25E-2</v>
      </c>
      <c r="Z172" s="20">
        <f t="shared" si="167"/>
        <v>55</v>
      </c>
      <c r="AA172" s="21">
        <f t="shared" ref="AA172:AA178" si="180">IF(Z$22=0,0,Z172/Z$22)</f>
        <v>8.2706766917293228E-2</v>
      </c>
    </row>
    <row r="173" spans="1:27" hidden="1" outlineLevel="1" x14ac:dyDescent="0.2">
      <c r="A173" s="8" t="s">
        <v>4</v>
      </c>
      <c r="B173" s="23">
        <f>SUMIFS('Registre de reserves'!$X$2:$X$1178,'Registre de reserves'!$T$2:$T$1178,"SI",'Registre de reserves'!$I$2:$I$1178,'2021'!$A173,'Registre de reserves'!$B$2:$B$1178,'2021'!B$2,Tabla1[ANY],'2021'!$Z$150)</f>
        <v>0</v>
      </c>
      <c r="C173" s="21">
        <f t="shared" si="179"/>
        <v>0</v>
      </c>
      <c r="D173" s="23">
        <f>SUMIFS('Registre de reserves'!$X$2:$X$1178,'Registre de reserves'!$T$2:$T$1178,"SI",'Registre de reserves'!$I$2:$I$1178,'2021'!$A173,'Registre de reserves'!$B$2:$B$1178,'2021'!D$2,Tabla1[ANY],'2021'!$Z$150)</f>
        <v>0</v>
      </c>
      <c r="E173" s="21">
        <f t="shared" si="179"/>
        <v>0</v>
      </c>
      <c r="F173" s="23">
        <f>SUMIFS('Registre de reserves'!$X$2:$X$1178,'Registre de reserves'!$T$2:$T$1178,"SI",'Registre de reserves'!$I$2:$I$1178,'2021'!$A173,'Registre de reserves'!$B$2:$B$1178,'2021'!F$2,Tabla1[ANY],'2021'!$Z$150)</f>
        <v>0</v>
      </c>
      <c r="G173" s="21">
        <f t="shared" si="169"/>
        <v>0</v>
      </c>
      <c r="H173" s="23">
        <f>SUMIFS('Registre de reserves'!$X$2:$X$1178,'Registre de reserves'!$T$2:$T$1178,"SI",'Registre de reserves'!$I$2:$I$1178,'2021'!$A173,'Registre de reserves'!$B$2:$B$1178,'2021'!H$2,Tabla1[ANY],'2021'!$Z$150)</f>
        <v>0</v>
      </c>
      <c r="I173" s="21">
        <f t="shared" si="170"/>
        <v>0</v>
      </c>
      <c r="J173" s="23">
        <f>SUMIFS('Registre de reserves'!$X$2:$X$1178,'Registre de reserves'!$T$2:$T$1178,"SI",'Registre de reserves'!$I$2:$I$1178,'2021'!$A173,'Registre de reserves'!$B$2:$B$1178,'2021'!J$2,Tabla1[ANY],'2021'!$Z$150)</f>
        <v>0</v>
      </c>
      <c r="K173" s="21">
        <f t="shared" si="171"/>
        <v>0</v>
      </c>
      <c r="L173" s="23">
        <f>SUMIFS('Registre de reserves'!$X$2:$X$1178,'Registre de reserves'!$T$2:$T$1178,"SI",'Registre de reserves'!$I$2:$I$1178,'2021'!$A173,'Registre de reserves'!$B$2:$B$1178,'2021'!L$2,Tabla1[ANY],'2021'!$Z$150)</f>
        <v>80</v>
      </c>
      <c r="M173" s="21">
        <f t="shared" si="172"/>
        <v>0.47058823529411764</v>
      </c>
      <c r="N173" s="23">
        <f>SUMIFS('Registre de reserves'!$X$2:$X$1178,'Registre de reserves'!$T$2:$T$1178,"SI",'Registre de reserves'!$I$2:$I$1178,'2021'!$A173,'Registre de reserves'!$B$2:$B$1178,'2021'!N$2,Tabla1[ANY],'2021'!$Z$150)</f>
        <v>0</v>
      </c>
      <c r="O173" s="21">
        <f t="shared" si="173"/>
        <v>0</v>
      </c>
      <c r="P173" s="23">
        <f>SUMIFS('Registre de reserves'!$X$2:$X$1178,'Registre de reserves'!$T$2:$T$1178,"SI",'Registre de reserves'!$I$2:$I$1178,'2021'!$A173,'Registre de reserves'!$B$2:$B$1178,'2021'!P$2,Tabla1[ANY],'2021'!$Z$150)</f>
        <v>0</v>
      </c>
      <c r="Q173" s="21">
        <f t="shared" si="174"/>
        <v>0</v>
      </c>
      <c r="R173" s="23">
        <f>SUMIFS('Registre de reserves'!$X$2:$X$1178,'Registre de reserves'!$T$2:$T$1178,"SI",'Registre de reserves'!$I$2:$I$1178,'2021'!$A173,'Registre de reserves'!$B$2:$B$1178,'2021'!R$2,Tabla1[ANY],'2021'!$Z$150)</f>
        <v>0</v>
      </c>
      <c r="S173" s="21">
        <f t="shared" si="175"/>
        <v>0</v>
      </c>
      <c r="T173" s="23">
        <f>SUMIFS('Registre de reserves'!$X$2:$X$1178,'Registre de reserves'!$T$2:$T$1178,"SI",'Registre de reserves'!$I$2:$I$1178,'2021'!$A173,'Registre de reserves'!$B$2:$B$1178,'2021'!T$2,Tabla1[ANY],'2021'!$Z$150)</f>
        <v>0</v>
      </c>
      <c r="U173" s="21">
        <f t="shared" si="176"/>
        <v>0</v>
      </c>
      <c r="V173" s="23">
        <f>SUMIFS('Registre de reserves'!$X$2:$X$1178,'Registre de reserves'!$T$2:$T$1178,"SI",'Registre de reserves'!$I$2:$I$1178,'2021'!$A173,'Registre de reserves'!$B$2:$B$1178,'2021'!V$2,Tabla1[ANY],'2021'!$Z$150)</f>
        <v>0</v>
      </c>
      <c r="W173" s="21">
        <f t="shared" si="177"/>
        <v>0</v>
      </c>
      <c r="X173" s="23">
        <f>SUMIFS('Registre de reserves'!$X$2:$X$1178,'Registre de reserves'!$T$2:$T$1178,"SI",'Registre de reserves'!$I$2:$I$1178,'2021'!$A173,'Registre de reserves'!$B$2:$B$1178,'2021'!X$2,Tabla1[ANY],'2021'!$Z$150)</f>
        <v>0</v>
      </c>
      <c r="Y173" s="21">
        <f t="shared" si="178"/>
        <v>0</v>
      </c>
      <c r="Z173" s="20">
        <f t="shared" si="167"/>
        <v>80</v>
      </c>
      <c r="AA173" s="21">
        <f t="shared" si="180"/>
        <v>0.12030075187969924</v>
      </c>
    </row>
    <row r="174" spans="1:27" hidden="1" outlineLevel="1" x14ac:dyDescent="0.2">
      <c r="A174" s="8" t="s">
        <v>71</v>
      </c>
      <c r="B174" s="23">
        <f>SUMIFS('Registre de reserves'!$X$2:$X$1178,'Registre de reserves'!$T$2:$T$1178,"SI",'Registre de reserves'!$I$2:$I$1178,'2021'!$A174,'Registre de reserves'!$B$2:$B$1178,'2021'!B$2,Tabla1[ANY],'2021'!$Z$150)</f>
        <v>0</v>
      </c>
      <c r="C174" s="21">
        <f t="shared" si="179"/>
        <v>0</v>
      </c>
      <c r="D174" s="23">
        <f>SUMIFS('Registre de reserves'!$X$2:$X$1178,'Registre de reserves'!$T$2:$T$1178,"SI",'Registre de reserves'!$I$2:$I$1178,'2021'!$A174,'Registre de reserves'!$B$2:$B$1178,'2021'!D$2,Tabla1[ANY],'2021'!$Z$150)</f>
        <v>0</v>
      </c>
      <c r="E174" s="21">
        <f t="shared" si="179"/>
        <v>0</v>
      </c>
      <c r="F174" s="23">
        <f>SUMIFS('Registre de reserves'!$X$2:$X$1178,'Registre de reserves'!$T$2:$T$1178,"SI",'Registre de reserves'!$I$2:$I$1178,'2021'!$A174,'Registre de reserves'!$B$2:$B$1178,'2021'!F$2,Tabla1[ANY],'2021'!$Z$150)</f>
        <v>0</v>
      </c>
      <c r="G174" s="21">
        <f t="shared" si="169"/>
        <v>0</v>
      </c>
      <c r="H174" s="23">
        <f>SUMIFS('Registre de reserves'!$X$2:$X$1178,'Registre de reserves'!$T$2:$T$1178,"SI",'Registre de reserves'!$I$2:$I$1178,'2021'!$A174,'Registre de reserves'!$B$2:$B$1178,'2021'!H$2,Tabla1[ANY],'2021'!$Z$150)</f>
        <v>0</v>
      </c>
      <c r="I174" s="21">
        <f t="shared" si="170"/>
        <v>0</v>
      </c>
      <c r="J174" s="23">
        <f>SUMIFS('Registre de reserves'!$X$2:$X$1178,'Registre de reserves'!$T$2:$T$1178,"SI",'Registre de reserves'!$I$2:$I$1178,'2021'!$A174,'Registre de reserves'!$B$2:$B$1178,'2021'!J$2,Tabla1[ANY],'2021'!$Z$150)</f>
        <v>0</v>
      </c>
      <c r="K174" s="21">
        <f t="shared" si="171"/>
        <v>0</v>
      </c>
      <c r="L174" s="23">
        <f>SUMIFS('Registre de reserves'!$X$2:$X$1178,'Registre de reserves'!$T$2:$T$1178,"SI",'Registre de reserves'!$I$2:$I$1178,'2021'!$A174,'Registre de reserves'!$B$2:$B$1178,'2021'!L$2,Tabla1[ANY],'2021'!$Z$150)</f>
        <v>0</v>
      </c>
      <c r="M174" s="21">
        <f t="shared" si="172"/>
        <v>0</v>
      </c>
      <c r="N174" s="23">
        <f>SUMIFS('Registre de reserves'!$X$2:$X$1178,'Registre de reserves'!$T$2:$T$1178,"SI",'Registre de reserves'!$I$2:$I$1178,'2021'!$A174,'Registre de reserves'!$B$2:$B$1178,'2021'!N$2,Tabla1[ANY],'2021'!$Z$150)</f>
        <v>0</v>
      </c>
      <c r="O174" s="21">
        <f t="shared" si="173"/>
        <v>0</v>
      </c>
      <c r="P174" s="23">
        <f>SUMIFS('Registre de reserves'!$X$2:$X$1178,'Registre de reserves'!$T$2:$T$1178,"SI",'Registre de reserves'!$I$2:$I$1178,'2021'!$A174,'Registre de reserves'!$B$2:$B$1178,'2021'!P$2,Tabla1[ANY],'2021'!$Z$150)</f>
        <v>0</v>
      </c>
      <c r="Q174" s="21">
        <f t="shared" si="174"/>
        <v>0</v>
      </c>
      <c r="R174" s="23">
        <f>SUMIFS('Registre de reserves'!$X$2:$X$1178,'Registre de reserves'!$T$2:$T$1178,"SI",'Registre de reserves'!$I$2:$I$1178,'2021'!$A174,'Registre de reserves'!$B$2:$B$1178,'2021'!R$2,Tabla1[ANY],'2021'!$Z$150)</f>
        <v>5</v>
      </c>
      <c r="S174" s="21">
        <f t="shared" si="175"/>
        <v>0.5</v>
      </c>
      <c r="T174" s="23">
        <f>SUMIFS('Registre de reserves'!$X$2:$X$1178,'Registre de reserves'!$T$2:$T$1178,"SI",'Registre de reserves'!$I$2:$I$1178,'2021'!$A174,'Registre de reserves'!$B$2:$B$1178,'2021'!T$2,Tabla1[ANY],'2021'!$Z$150)</f>
        <v>0</v>
      </c>
      <c r="U174" s="21">
        <f t="shared" si="176"/>
        <v>0</v>
      </c>
      <c r="V174" s="23">
        <f>SUMIFS('Registre de reserves'!$X$2:$X$1178,'Registre de reserves'!$T$2:$T$1178,"SI",'Registre de reserves'!$I$2:$I$1178,'2021'!$A174,'Registre de reserves'!$B$2:$B$1178,'2021'!V$2,Tabla1[ANY],'2021'!$Z$150)</f>
        <v>0</v>
      </c>
      <c r="W174" s="21">
        <f t="shared" si="177"/>
        <v>0</v>
      </c>
      <c r="X174" s="23">
        <f>SUMIFS('Registre de reserves'!$X$2:$X$1178,'Registre de reserves'!$T$2:$T$1178,"SI",'Registre de reserves'!$I$2:$I$1178,'2021'!$A174,'Registre de reserves'!$B$2:$B$1178,'2021'!X$2,Tabla1[ANY],'2021'!$Z$150)</f>
        <v>0</v>
      </c>
      <c r="Y174" s="21">
        <f t="shared" si="178"/>
        <v>0</v>
      </c>
      <c r="Z174" s="20">
        <f t="shared" si="167"/>
        <v>5</v>
      </c>
      <c r="AA174" s="21">
        <f t="shared" si="180"/>
        <v>7.5187969924812026E-3</v>
      </c>
    </row>
    <row r="175" spans="1:27" hidden="1" outlineLevel="1" x14ac:dyDescent="0.2">
      <c r="A175" s="8" t="s">
        <v>72</v>
      </c>
      <c r="B175" s="23">
        <f>SUMIFS('Registre de reserves'!$X$2:$X$1178,'Registre de reserves'!$T$2:$T$1178,"SI",'Registre de reserves'!$I$2:$I$1178,'2021'!$A175,'Registre de reserves'!$B$2:$B$1178,'2021'!B$2,Tabla1[ANY],'2021'!$Z$150)</f>
        <v>0</v>
      </c>
      <c r="C175" s="21">
        <f t="shared" si="179"/>
        <v>0</v>
      </c>
      <c r="D175" s="23">
        <f>SUMIFS('Registre de reserves'!$X$2:$X$1178,'Registre de reserves'!$T$2:$T$1178,"SI",'Registre de reserves'!$I$2:$I$1178,'2021'!$A175,'Registre de reserves'!$B$2:$B$1178,'2021'!D$2,Tabla1[ANY],'2021'!$Z$150)</f>
        <v>0</v>
      </c>
      <c r="E175" s="21">
        <f t="shared" si="179"/>
        <v>0</v>
      </c>
      <c r="F175" s="23">
        <f>SUMIFS('Registre de reserves'!$X$2:$X$1178,'Registre de reserves'!$T$2:$T$1178,"SI",'Registre de reserves'!$I$2:$I$1178,'2021'!$A175,'Registre de reserves'!$B$2:$B$1178,'2021'!F$2,Tabla1[ANY],'2021'!$Z$150)</f>
        <v>0</v>
      </c>
      <c r="G175" s="21">
        <f t="shared" si="169"/>
        <v>0</v>
      </c>
      <c r="H175" s="23">
        <f>SUMIFS('Registre de reserves'!$X$2:$X$1178,'Registre de reserves'!$T$2:$T$1178,"SI",'Registre de reserves'!$I$2:$I$1178,'2021'!$A175,'Registre de reserves'!$B$2:$B$1178,'2021'!H$2,Tabla1[ANY],'2021'!$Z$150)</f>
        <v>0</v>
      </c>
      <c r="I175" s="21">
        <f t="shared" si="170"/>
        <v>0</v>
      </c>
      <c r="J175" s="23">
        <f>SUMIFS('Registre de reserves'!$X$2:$X$1178,'Registre de reserves'!$T$2:$T$1178,"SI",'Registre de reserves'!$I$2:$I$1178,'2021'!$A175,'Registre de reserves'!$B$2:$B$1178,'2021'!J$2,Tabla1[ANY],'2021'!$Z$150)</f>
        <v>0</v>
      </c>
      <c r="K175" s="21">
        <f t="shared" si="171"/>
        <v>0</v>
      </c>
      <c r="L175" s="23">
        <f>SUMIFS('Registre de reserves'!$X$2:$X$1178,'Registre de reserves'!$T$2:$T$1178,"SI",'Registre de reserves'!$I$2:$I$1178,'2021'!$A175,'Registre de reserves'!$B$2:$B$1178,'2021'!L$2,Tabla1[ANY],'2021'!$Z$150)</f>
        <v>0</v>
      </c>
      <c r="M175" s="21">
        <f t="shared" si="172"/>
        <v>0</v>
      </c>
      <c r="N175" s="23">
        <f>SUMIFS('Registre de reserves'!$X$2:$X$1178,'Registre de reserves'!$T$2:$T$1178,"SI",'Registre de reserves'!$I$2:$I$1178,'2021'!$A175,'Registre de reserves'!$B$2:$B$1178,'2021'!N$2,Tabla1[ANY],'2021'!$Z$150)</f>
        <v>0</v>
      </c>
      <c r="O175" s="21">
        <f t="shared" si="173"/>
        <v>0</v>
      </c>
      <c r="P175" s="23">
        <f>SUMIFS('Registre de reserves'!$X$2:$X$1178,'Registre de reserves'!$T$2:$T$1178,"SI",'Registre de reserves'!$I$2:$I$1178,'2021'!$A175,'Registre de reserves'!$B$2:$B$1178,'2021'!P$2,Tabla1[ANY],'2021'!$Z$150)</f>
        <v>0</v>
      </c>
      <c r="Q175" s="21">
        <f t="shared" si="174"/>
        <v>0</v>
      </c>
      <c r="R175" s="23">
        <f>SUMIFS('Registre de reserves'!$X$2:$X$1178,'Registre de reserves'!$T$2:$T$1178,"SI",'Registre de reserves'!$I$2:$I$1178,'2021'!$A175,'Registre de reserves'!$B$2:$B$1178,'2021'!R$2,Tabla1[ANY],'2021'!$Z$150)</f>
        <v>0</v>
      </c>
      <c r="S175" s="21">
        <f t="shared" si="175"/>
        <v>0</v>
      </c>
      <c r="T175" s="23">
        <f>SUMIFS('Registre de reserves'!$X$2:$X$1178,'Registre de reserves'!$T$2:$T$1178,"SI",'Registre de reserves'!$I$2:$I$1178,'2021'!$A175,'Registre de reserves'!$B$2:$B$1178,'2021'!T$2,Tabla1[ANY],'2021'!$Z$150)</f>
        <v>0</v>
      </c>
      <c r="U175" s="21">
        <f t="shared" si="176"/>
        <v>0</v>
      </c>
      <c r="V175" s="23">
        <f>SUMIFS('Registre de reserves'!$X$2:$X$1178,'Registre de reserves'!$T$2:$T$1178,"SI",'Registre de reserves'!$I$2:$I$1178,'2021'!$A175,'Registre de reserves'!$B$2:$B$1178,'2021'!V$2,Tabla1[ANY],'2021'!$Z$150)</f>
        <v>0</v>
      </c>
      <c r="W175" s="21">
        <f t="shared" si="177"/>
        <v>0</v>
      </c>
      <c r="X175" s="23">
        <f>SUMIFS('Registre de reserves'!$X$2:$X$1178,'Registre de reserves'!$T$2:$T$1178,"SI",'Registre de reserves'!$I$2:$I$1178,'2021'!$A175,'Registre de reserves'!$B$2:$B$1178,'2021'!X$2,Tabla1[ANY],'2021'!$Z$150)</f>
        <v>0</v>
      </c>
      <c r="Y175" s="21">
        <f t="shared" si="178"/>
        <v>0</v>
      </c>
      <c r="Z175" s="20">
        <f t="shared" si="167"/>
        <v>0</v>
      </c>
      <c r="AA175" s="21">
        <f t="shared" si="180"/>
        <v>0</v>
      </c>
    </row>
    <row r="176" spans="1:27" hidden="1" outlineLevel="1" x14ac:dyDescent="0.2">
      <c r="A176" s="8" t="s">
        <v>69</v>
      </c>
      <c r="B176" s="23">
        <f>SUMIFS('Registre de reserves'!$X$2:$X$1178,'Registre de reserves'!$T$2:$T$1178,"SI",'Registre de reserves'!$I$2:$I$1178,'2021'!$A176,'Registre de reserves'!$B$2:$B$1178,'2021'!B$2,Tabla1[ANY],'2021'!$Z$150)</f>
        <v>0</v>
      </c>
      <c r="C176" s="21">
        <f t="shared" si="179"/>
        <v>0</v>
      </c>
      <c r="D176" s="23">
        <f>SUMIFS('Registre de reserves'!$X$2:$X$1178,'Registre de reserves'!$T$2:$T$1178,"SI",'Registre de reserves'!$I$2:$I$1178,'2021'!$A176,'Registre de reserves'!$B$2:$B$1178,'2021'!D$2,Tabla1[ANY],'2021'!$Z$150)</f>
        <v>0</v>
      </c>
      <c r="E176" s="21">
        <f t="shared" si="179"/>
        <v>0</v>
      </c>
      <c r="F176" s="23">
        <f>SUMIFS('Registre de reserves'!$X$2:$X$1178,'Registre de reserves'!$T$2:$T$1178,"SI",'Registre de reserves'!$I$2:$I$1178,'2021'!$A176,'Registre de reserves'!$B$2:$B$1178,'2021'!F$2,Tabla1[ANY],'2021'!$Z$150)</f>
        <v>0</v>
      </c>
      <c r="G176" s="21">
        <f t="shared" si="169"/>
        <v>0</v>
      </c>
      <c r="H176" s="23">
        <f>SUMIFS('Registre de reserves'!$X$2:$X$1178,'Registre de reserves'!$T$2:$T$1178,"SI",'Registre de reserves'!$I$2:$I$1178,'2021'!$A176,'Registre de reserves'!$B$2:$B$1178,'2021'!H$2,Tabla1[ANY],'2021'!$Z$150)</f>
        <v>0</v>
      </c>
      <c r="I176" s="21">
        <f t="shared" si="170"/>
        <v>0</v>
      </c>
      <c r="J176" s="23">
        <f>SUMIFS('Registre de reserves'!$X$2:$X$1178,'Registre de reserves'!$T$2:$T$1178,"SI",'Registre de reserves'!$I$2:$I$1178,'2021'!$A176,'Registre de reserves'!$B$2:$B$1178,'2021'!J$2,Tabla1[ANY],'2021'!$Z$150)</f>
        <v>0</v>
      </c>
      <c r="K176" s="21">
        <f t="shared" si="171"/>
        <v>0</v>
      </c>
      <c r="L176" s="23">
        <f>SUMIFS('Registre de reserves'!$X$2:$X$1178,'Registre de reserves'!$T$2:$T$1178,"SI",'Registre de reserves'!$I$2:$I$1178,'2021'!$A176,'Registre de reserves'!$B$2:$B$1178,'2021'!L$2,Tabla1[ANY],'2021'!$Z$150)</f>
        <v>80</v>
      </c>
      <c r="M176" s="21">
        <f t="shared" si="172"/>
        <v>0.47058823529411764</v>
      </c>
      <c r="N176" s="23">
        <f>SUMIFS('Registre de reserves'!$X$2:$X$1178,'Registre de reserves'!$T$2:$T$1178,"SI",'Registre de reserves'!$I$2:$I$1178,'2021'!$A176,'Registre de reserves'!$B$2:$B$1178,'2021'!N$2,Tabla1[ANY],'2021'!$Z$150)</f>
        <v>0</v>
      </c>
      <c r="O176" s="21">
        <f t="shared" si="173"/>
        <v>0</v>
      </c>
      <c r="P176" s="23">
        <f>SUMIFS('Registre de reserves'!$X$2:$X$1178,'Registre de reserves'!$T$2:$T$1178,"SI",'Registre de reserves'!$I$2:$I$1178,'2021'!$A176,'Registre de reserves'!$B$2:$B$1178,'2021'!P$2,Tabla1[ANY],'2021'!$Z$150)</f>
        <v>0</v>
      </c>
      <c r="Q176" s="21">
        <f t="shared" si="174"/>
        <v>0</v>
      </c>
      <c r="R176" s="23">
        <f>SUMIFS('Registre de reserves'!$X$2:$X$1178,'Registre de reserves'!$T$2:$T$1178,"SI",'Registre de reserves'!$I$2:$I$1178,'2021'!$A176,'Registre de reserves'!$B$2:$B$1178,'2021'!R$2,Tabla1[ANY],'2021'!$Z$150)</f>
        <v>0</v>
      </c>
      <c r="S176" s="21">
        <f t="shared" si="175"/>
        <v>0</v>
      </c>
      <c r="T176" s="23">
        <f>SUMIFS('Registre de reserves'!$X$2:$X$1178,'Registre de reserves'!$T$2:$T$1178,"SI",'Registre de reserves'!$I$2:$I$1178,'2021'!$A176,'Registre de reserves'!$B$2:$B$1178,'2021'!T$2,Tabla1[ANY],'2021'!$Z$150)</f>
        <v>150</v>
      </c>
      <c r="U176" s="21">
        <f t="shared" si="176"/>
        <v>0.88235294117647056</v>
      </c>
      <c r="V176" s="23">
        <f>SUMIFS('Registre de reserves'!$X$2:$X$1178,'Registre de reserves'!$T$2:$T$1178,"SI",'Registre de reserves'!$I$2:$I$1178,'2021'!$A176,'Registre de reserves'!$B$2:$B$1178,'2021'!V$2,Tabla1[ANY],'2021'!$Z$150)</f>
        <v>5</v>
      </c>
      <c r="W176" s="21">
        <f t="shared" si="177"/>
        <v>1</v>
      </c>
      <c r="X176" s="23">
        <f>SUMIFS('Registre de reserves'!$X$2:$X$1178,'Registre de reserves'!$T$2:$T$1178,"SI",'Registre de reserves'!$I$2:$I$1178,'2021'!$A176,'Registre de reserves'!$B$2:$B$1178,'2021'!X$2,Tabla1[ANY],'2021'!$Z$150)</f>
        <v>75</v>
      </c>
      <c r="Y176" s="21">
        <f t="shared" si="178"/>
        <v>0.9375</v>
      </c>
      <c r="Z176" s="20">
        <f t="shared" si="167"/>
        <v>310</v>
      </c>
      <c r="AA176" s="21">
        <f t="shared" si="180"/>
        <v>0.46616541353383456</v>
      </c>
    </row>
    <row r="177" spans="1:27" hidden="1" outlineLevel="1" x14ac:dyDescent="0.2">
      <c r="A177" s="8" t="s">
        <v>70</v>
      </c>
      <c r="B177" s="23">
        <f>SUMIFS('Registre de reserves'!$X$2:$X$1178,'Registre de reserves'!$T$2:$T$1178,"SI",'Registre de reserves'!$I$2:$I$1178,'2021'!$A177,'Registre de reserves'!$B$2:$B$1178,'2021'!B$2,Tabla1[ANY],'2021'!$Z$150)</f>
        <v>0</v>
      </c>
      <c r="C177" s="21">
        <f t="shared" si="179"/>
        <v>0</v>
      </c>
      <c r="D177" s="23">
        <f>SUMIFS('Registre de reserves'!$X$2:$X$1178,'Registre de reserves'!$T$2:$T$1178,"SI",'Registre de reserves'!$I$2:$I$1178,'2021'!$A177,'Registre de reserves'!$B$2:$B$1178,'2021'!D$2,Tabla1[ANY],'2021'!$Z$150)</f>
        <v>0</v>
      </c>
      <c r="E177" s="21">
        <f t="shared" si="179"/>
        <v>0</v>
      </c>
      <c r="F177" s="23">
        <f>SUMIFS('Registre de reserves'!$X$2:$X$1178,'Registre de reserves'!$T$2:$T$1178,"SI",'Registre de reserves'!$I$2:$I$1178,'2021'!$A177,'Registre de reserves'!$B$2:$B$1178,'2021'!F$2,Tabla1[ANY],'2021'!$Z$150)</f>
        <v>0</v>
      </c>
      <c r="G177" s="21">
        <f t="shared" si="169"/>
        <v>0</v>
      </c>
      <c r="H177" s="23">
        <f>SUMIFS('Registre de reserves'!$X$2:$X$1178,'Registre de reserves'!$T$2:$T$1178,"SI",'Registre de reserves'!$I$2:$I$1178,'2021'!$A177,'Registre de reserves'!$B$2:$B$1178,'2021'!H$2,Tabla1[ANY],'2021'!$Z$150)</f>
        <v>0</v>
      </c>
      <c r="I177" s="21">
        <f t="shared" si="170"/>
        <v>0</v>
      </c>
      <c r="J177" s="23">
        <f>SUMIFS('Registre de reserves'!$X$2:$X$1178,'Registre de reserves'!$T$2:$T$1178,"SI",'Registre de reserves'!$I$2:$I$1178,'2021'!$A177,'Registre de reserves'!$B$2:$B$1178,'2021'!J$2,Tabla1[ANY],'2021'!$Z$150)</f>
        <v>0</v>
      </c>
      <c r="K177" s="21">
        <f t="shared" si="171"/>
        <v>0</v>
      </c>
      <c r="L177" s="23">
        <f>SUMIFS('Registre de reserves'!$X$2:$X$1178,'Registre de reserves'!$T$2:$T$1178,"SI",'Registre de reserves'!$I$2:$I$1178,'2021'!$A177,'Registre de reserves'!$B$2:$B$1178,'2021'!L$2,Tabla1[ANY],'2021'!$Z$150)</f>
        <v>0</v>
      </c>
      <c r="M177" s="21">
        <f t="shared" si="172"/>
        <v>0</v>
      </c>
      <c r="N177" s="23">
        <f>SUMIFS('Registre de reserves'!$X$2:$X$1178,'Registre de reserves'!$T$2:$T$1178,"SI",'Registre de reserves'!$I$2:$I$1178,'2021'!$A177,'Registre de reserves'!$B$2:$B$1178,'2021'!N$2,Tabla1[ANY],'2021'!$Z$150)</f>
        <v>0</v>
      </c>
      <c r="O177" s="21">
        <f t="shared" si="173"/>
        <v>0</v>
      </c>
      <c r="P177" s="23">
        <f>SUMIFS('Registre de reserves'!$X$2:$X$1178,'Registre de reserves'!$T$2:$T$1178,"SI",'Registre de reserves'!$I$2:$I$1178,'2021'!$A177,'Registre de reserves'!$B$2:$B$1178,'2021'!P$2,Tabla1[ANY],'2021'!$Z$150)</f>
        <v>0</v>
      </c>
      <c r="Q177" s="21">
        <f t="shared" si="174"/>
        <v>0</v>
      </c>
      <c r="R177" s="23">
        <f>SUMIFS('Registre de reserves'!$X$2:$X$1178,'Registre de reserves'!$T$2:$T$1178,"SI",'Registre de reserves'!$I$2:$I$1178,'2021'!$A177,'Registre de reserves'!$B$2:$B$1178,'2021'!R$2,Tabla1[ANY],'2021'!$Z$150)</f>
        <v>0</v>
      </c>
      <c r="S177" s="21">
        <f t="shared" si="175"/>
        <v>0</v>
      </c>
      <c r="T177" s="23">
        <f>SUMIFS('Registre de reserves'!$X$2:$X$1178,'Registre de reserves'!$T$2:$T$1178,"SI",'Registre de reserves'!$I$2:$I$1178,'2021'!$A177,'Registre de reserves'!$B$2:$B$1178,'2021'!T$2,Tabla1[ANY],'2021'!$Z$150)</f>
        <v>0</v>
      </c>
      <c r="U177" s="21">
        <f t="shared" si="176"/>
        <v>0</v>
      </c>
      <c r="V177" s="23">
        <f>SUMIFS('Registre de reserves'!$X$2:$X$1178,'Registre de reserves'!$T$2:$T$1178,"SI",'Registre de reserves'!$I$2:$I$1178,'2021'!$A177,'Registre de reserves'!$B$2:$B$1178,'2021'!V$2,Tabla1[ANY],'2021'!$Z$150)</f>
        <v>0</v>
      </c>
      <c r="W177" s="21">
        <f t="shared" si="177"/>
        <v>0</v>
      </c>
      <c r="X177" s="23">
        <f>SUMIFS('Registre de reserves'!$X$2:$X$1178,'Registre de reserves'!$T$2:$T$1178,"SI",'Registre de reserves'!$I$2:$I$1178,'2021'!$A177,'Registre de reserves'!$B$2:$B$1178,'2021'!X$2,Tabla1[ANY],'2021'!$Z$150)</f>
        <v>0</v>
      </c>
      <c r="Y177" s="21">
        <f t="shared" si="178"/>
        <v>0</v>
      </c>
      <c r="Z177" s="20">
        <f t="shared" si="167"/>
        <v>0</v>
      </c>
      <c r="AA177" s="21">
        <f t="shared" si="180"/>
        <v>0</v>
      </c>
    </row>
    <row r="178" spans="1:27" hidden="1" outlineLevel="1" x14ac:dyDescent="0.2">
      <c r="A178" s="8" t="s">
        <v>73</v>
      </c>
      <c r="B178" s="23">
        <f>SUMIFS('Registre de reserves'!$X$2:$X$1178,'Registre de reserves'!$T$2:$T$1178,"SI",'Registre de reserves'!$I$2:$I$1178,'2021'!$A178,'Registre de reserves'!$B$2:$B$1178,'2021'!B$2,Tabla1[ANY],'2021'!$Z$150)</f>
        <v>0</v>
      </c>
      <c r="C178" s="21">
        <f t="shared" si="179"/>
        <v>0</v>
      </c>
      <c r="D178" s="23">
        <f>SUMIFS('Registre de reserves'!$X$2:$X$1178,'Registre de reserves'!$T$2:$T$1178,"SI",'Registre de reserves'!$I$2:$I$1178,'2021'!$A178,'Registre de reserves'!$B$2:$B$1178,'2021'!D$2,Tabla1[ANY],'2021'!$Z$150)</f>
        <v>0</v>
      </c>
      <c r="E178" s="21">
        <f t="shared" si="179"/>
        <v>0</v>
      </c>
      <c r="F178" s="23">
        <f>SUMIFS('Registre de reserves'!$X$2:$X$1178,'Registre de reserves'!$T$2:$T$1178,"SI",'Registre de reserves'!$I$2:$I$1178,'2021'!$A178,'Registre de reserves'!$B$2:$B$1178,'2021'!F$2,Tabla1[ANY],'2021'!$Z$150)</f>
        <v>0</v>
      </c>
      <c r="G178" s="21">
        <f t="shared" si="169"/>
        <v>0</v>
      </c>
      <c r="H178" s="23">
        <f>SUMIFS('Registre de reserves'!$X$2:$X$1178,'Registre de reserves'!$T$2:$T$1178,"SI",'Registre de reserves'!$I$2:$I$1178,'2021'!$A178,'Registre de reserves'!$B$2:$B$1178,'2021'!H$2,Tabla1[ANY],'2021'!$Z$150)</f>
        <v>0</v>
      </c>
      <c r="I178" s="21">
        <f t="shared" si="170"/>
        <v>0</v>
      </c>
      <c r="J178" s="23">
        <f>SUMIFS('Registre de reserves'!$X$2:$X$1178,'Registre de reserves'!$T$2:$T$1178,"SI",'Registre de reserves'!$I$2:$I$1178,'2021'!$A178,'Registre de reserves'!$B$2:$B$1178,'2021'!J$2,Tabla1[ANY],'2021'!$Z$150)</f>
        <v>0</v>
      </c>
      <c r="K178" s="21">
        <f t="shared" si="171"/>
        <v>0</v>
      </c>
      <c r="L178" s="23">
        <f>SUMIFS('Registre de reserves'!$X$2:$X$1178,'Registre de reserves'!$T$2:$T$1178,"SI",'Registre de reserves'!$I$2:$I$1178,'2021'!$A178,'Registre de reserves'!$B$2:$B$1178,'2021'!L$2,Tabla1[ANY],'2021'!$Z$150)</f>
        <v>0</v>
      </c>
      <c r="M178" s="21">
        <f t="shared" si="172"/>
        <v>0</v>
      </c>
      <c r="N178" s="23">
        <f>SUMIFS('Registre de reserves'!$X$2:$X$1178,'Registre de reserves'!$T$2:$T$1178,"SI",'Registre de reserves'!$I$2:$I$1178,'2021'!$A178,'Registre de reserves'!$B$2:$B$1178,'2021'!N$2,Tabla1[ANY],'2021'!$Z$150)</f>
        <v>0</v>
      </c>
      <c r="O178" s="21">
        <f t="shared" si="173"/>
        <v>0</v>
      </c>
      <c r="P178" s="23">
        <f>SUMIFS('Registre de reserves'!$X$2:$X$1178,'Registre de reserves'!$T$2:$T$1178,"SI",'Registre de reserves'!$I$2:$I$1178,'2021'!$A178,'Registre de reserves'!$B$2:$B$1178,'2021'!P$2,Tabla1[ANY],'2021'!$Z$150)</f>
        <v>0</v>
      </c>
      <c r="Q178" s="21">
        <f t="shared" si="174"/>
        <v>0</v>
      </c>
      <c r="R178" s="23">
        <f>SUMIFS('Registre de reserves'!$X$2:$X$1178,'Registre de reserves'!$T$2:$T$1178,"SI",'Registre de reserves'!$I$2:$I$1178,'2021'!$A178,'Registre de reserves'!$B$2:$B$1178,'2021'!R$2,Tabla1[ANY],'2021'!$Z$150)</f>
        <v>0</v>
      </c>
      <c r="S178" s="21">
        <f t="shared" si="175"/>
        <v>0</v>
      </c>
      <c r="T178" s="23">
        <f>SUMIFS('Registre de reserves'!$X$2:$X$1178,'Registre de reserves'!$T$2:$T$1178,"SI",'Registre de reserves'!$I$2:$I$1178,'2021'!$A178,'Registre de reserves'!$B$2:$B$1178,'2021'!T$2,Tabla1[ANY],'2021'!$Z$150)</f>
        <v>0</v>
      </c>
      <c r="U178" s="21">
        <f t="shared" si="176"/>
        <v>0</v>
      </c>
      <c r="V178" s="23">
        <f>SUMIFS('Registre de reserves'!$X$2:$X$1178,'Registre de reserves'!$T$2:$T$1178,"SI",'Registre de reserves'!$I$2:$I$1178,'2021'!$A178,'Registre de reserves'!$B$2:$B$1178,'2021'!V$2,Tabla1[ANY],'2021'!$Z$150)</f>
        <v>0</v>
      </c>
      <c r="W178" s="21">
        <f t="shared" si="177"/>
        <v>0</v>
      </c>
      <c r="X178" s="23">
        <f>SUMIFS('Registre de reserves'!$X$2:$X$1178,'Registre de reserves'!$T$2:$T$1178,"SI",'Registre de reserves'!$I$2:$I$1178,'2021'!$A178,'Registre de reserves'!$B$2:$B$1178,'2021'!X$2,Tabla1[ANY],'2021'!$Z$150)</f>
        <v>0</v>
      </c>
      <c r="Y178" s="21">
        <f t="shared" si="178"/>
        <v>0</v>
      </c>
      <c r="Z178" s="20">
        <f t="shared" si="167"/>
        <v>0</v>
      </c>
      <c r="AA178" s="21">
        <f t="shared" si="180"/>
        <v>0</v>
      </c>
    </row>
    <row r="179" spans="1:27" collapsed="1" x14ac:dyDescent="0.2">
      <c r="A179" s="33" t="s">
        <v>77</v>
      </c>
      <c r="B179" s="22">
        <f>SUM(B180:B187)</f>
        <v>0</v>
      </c>
      <c r="C179" s="19">
        <f>IF((B$161+B$179)=0,0,B179/(B$161+B$179))</f>
        <v>0</v>
      </c>
      <c r="D179" s="22">
        <f>SUM(D180:D187)</f>
        <v>0</v>
      </c>
      <c r="E179" s="19">
        <f>IF((D$161+D$179)=0,0,D179/(D$161+D$179))</f>
        <v>0</v>
      </c>
      <c r="F179" s="22">
        <f>SUM(F180:F187)</f>
        <v>0</v>
      </c>
      <c r="G179" s="19">
        <f>IF((F$161+F$179)=0,0,F179/(F$161+F$179))</f>
        <v>0</v>
      </c>
      <c r="H179" s="22">
        <f>SUM(H180:H187)</f>
        <v>0</v>
      </c>
      <c r="I179" s="19">
        <f>IF((H$161+H$179)=0,0,H179/(H$161+H$179))</f>
        <v>0</v>
      </c>
      <c r="J179" s="22">
        <f>SUM(J180:J187)</f>
        <v>0</v>
      </c>
      <c r="K179" s="19">
        <f>IF((J$161+J$179)=0,0,J179/(J$161+J$179))</f>
        <v>0</v>
      </c>
      <c r="L179" s="22">
        <f>SUM(L180:L187)</f>
        <v>0</v>
      </c>
      <c r="M179" s="19">
        <f>IF((L$161+L$179)=0,0,L179/(L$161+L$179))</f>
        <v>0</v>
      </c>
      <c r="N179" s="22">
        <f>SUM(N180:N187)</f>
        <v>0</v>
      </c>
      <c r="O179" s="19">
        <f>IF((N$161+N$179)=0,0,N179/(N$161+N$179))</f>
        <v>0</v>
      </c>
      <c r="P179" s="22">
        <f>SUM(P180:P187)</f>
        <v>0</v>
      </c>
      <c r="Q179" s="19">
        <f>IF((P$161+P$179)=0,0,P179/(P$161+P$179))</f>
        <v>0</v>
      </c>
      <c r="R179" s="22">
        <f>SUM(R180:R187)</f>
        <v>0</v>
      </c>
      <c r="S179" s="19">
        <f>IF((R$161+R$179)=0,0,R179/(R$161+R$179))</f>
        <v>0</v>
      </c>
      <c r="T179" s="22">
        <f>SUM(T180:T187)</f>
        <v>0</v>
      </c>
      <c r="U179" s="19">
        <f>IF((T$161+T$179)=0,0,T179/(T$161+T$179))</f>
        <v>0</v>
      </c>
      <c r="V179" s="22">
        <f>SUM(V180:V187)</f>
        <v>0</v>
      </c>
      <c r="W179" s="19">
        <f>IF((V$161+V$179)=0,0,V179/(V$161+V$179))</f>
        <v>0</v>
      </c>
      <c r="X179" s="22">
        <f>SUM(X180:X187)</f>
        <v>0</v>
      </c>
      <c r="Y179" s="19">
        <f>IF((X$161+X$179)=0,0,X179/(X$161+X$179))</f>
        <v>0</v>
      </c>
      <c r="Z179" s="22">
        <f>SUM(Z180:Z187)</f>
        <v>0</v>
      </c>
      <c r="AA179" s="19">
        <f>IF((Z$31+Z$13)=0,0,Z179/(Z$31+Z$13))</f>
        <v>0</v>
      </c>
    </row>
    <row r="180" spans="1:27" hidden="1" outlineLevel="1" x14ac:dyDescent="0.2">
      <c r="A180" s="8" t="s">
        <v>67</v>
      </c>
      <c r="B180" s="23">
        <f>SUMIFS('Registre de reserves'!$X$2:$X$1178,'Registre de reserves'!$T$2:$T$1178,"NO",'Registre de reserves'!$I$2:$I$1178,'2021'!$A180,'Registre de reserves'!$B$2:$B$1178,'2021'!B$2,Tabla1[ANY],'2021'!$Z$150)</f>
        <v>0</v>
      </c>
      <c r="C180" s="21">
        <f>IF(B$179=0,0,B180/B$179)</f>
        <v>0</v>
      </c>
      <c r="D180" s="23">
        <f>SUMIFS('Registre de reserves'!$X$2:$X$1178,'Registre de reserves'!$T$2:$T$1178,"NO",'Registre de reserves'!$I$2:$I$1178,'2021'!$A180,'Registre de reserves'!$B$2:$B$1178,'2021'!D$2,Tabla1[ANY],'2021'!$Z$150)</f>
        <v>0</v>
      </c>
      <c r="E180" s="21">
        <f>IF(D$179=0,0,D180/D$179)</f>
        <v>0</v>
      </c>
      <c r="F180" s="23">
        <f>SUMIFS('Registre de reserves'!$X$2:$X$1178,'Registre de reserves'!$T$2:$T$1178,"NO",'Registre de reserves'!$I$2:$I$1178,'2021'!$A180,'Registre de reserves'!$B$2:$B$1178,'2021'!F$2,Tabla1[ANY],'2021'!$Z$150)</f>
        <v>0</v>
      </c>
      <c r="G180" s="21">
        <f t="shared" ref="G180:G187" si="181">IF(F$179=0,0,F180/F$179)</f>
        <v>0</v>
      </c>
      <c r="H180" s="23">
        <f>SUMIFS('Registre de reserves'!$X$2:$X$1178,'Registre de reserves'!$T$2:$T$1178,"NO",'Registre de reserves'!$I$2:$I$1178,'2021'!$A180,'Registre de reserves'!$B$2:$B$1178,'2021'!H$2,Tabla1[ANY],'2021'!$Z$150)</f>
        <v>0</v>
      </c>
      <c r="I180" s="21">
        <f t="shared" ref="I180:I187" si="182">IF(H$179=0,0,H180/H$179)</f>
        <v>0</v>
      </c>
      <c r="J180" s="23">
        <f>SUMIFS('Registre de reserves'!$X$2:$X$1178,'Registre de reserves'!$T$2:$T$1178,"NO",'Registre de reserves'!$I$2:$I$1178,'2021'!$A180,'Registre de reserves'!$B$2:$B$1178,'2021'!J$2,Tabla1[ANY],'2021'!$Z$150)</f>
        <v>0</v>
      </c>
      <c r="K180" s="21">
        <f t="shared" ref="K180:K187" si="183">IF(J$179=0,0,J180/J$179)</f>
        <v>0</v>
      </c>
      <c r="L180" s="23">
        <f>SUMIFS('Registre de reserves'!$X$2:$X$1178,'Registre de reserves'!$T$2:$T$1178,"NO",'Registre de reserves'!$I$2:$I$1178,'2021'!$A180,'Registre de reserves'!$B$2:$B$1178,'2021'!L$2,Tabla1[ANY],'2021'!$Z$150)</f>
        <v>0</v>
      </c>
      <c r="M180" s="21">
        <f t="shared" ref="M180:M187" si="184">IF(L$179=0,0,L180/L$179)</f>
        <v>0</v>
      </c>
      <c r="N180" s="23">
        <f>SUMIFS('Registre de reserves'!$X$2:$X$1178,'Registre de reserves'!$T$2:$T$1178,"NO",'Registre de reserves'!$I$2:$I$1178,'2021'!$A180,'Registre de reserves'!$B$2:$B$1178,'2021'!N$2,Tabla1[ANY],'2021'!$Z$150)</f>
        <v>0</v>
      </c>
      <c r="O180" s="21">
        <f t="shared" ref="O180:O187" si="185">IF(N$179=0,0,N180/N$179)</f>
        <v>0</v>
      </c>
      <c r="P180" s="23">
        <f>SUMIFS('Registre de reserves'!$X$2:$X$1178,'Registre de reserves'!$T$2:$T$1178,"NO",'Registre de reserves'!$I$2:$I$1178,'2021'!$A180,'Registre de reserves'!$B$2:$B$1178,'2021'!P$2,Tabla1[ANY],'2021'!$Z$150)</f>
        <v>0</v>
      </c>
      <c r="Q180" s="21">
        <f t="shared" ref="Q180:Q187" si="186">IF(P$179=0,0,P180/P$179)</f>
        <v>0</v>
      </c>
      <c r="R180" s="23">
        <f>SUMIFS('Registre de reserves'!$X$2:$X$1178,'Registre de reserves'!$T$2:$T$1178,"NO",'Registre de reserves'!$I$2:$I$1178,'2021'!$A180,'Registre de reserves'!$B$2:$B$1178,'2021'!R$2,Tabla1[ANY],'2021'!$Z$150)</f>
        <v>0</v>
      </c>
      <c r="S180" s="21">
        <f t="shared" ref="S180:S187" si="187">IF(R$179=0,0,R180/R$179)</f>
        <v>0</v>
      </c>
      <c r="T180" s="23">
        <f>SUMIFS('Registre de reserves'!$X$2:$X$1178,'Registre de reserves'!$T$2:$T$1178,"NO",'Registre de reserves'!$I$2:$I$1178,'2021'!$A180,'Registre de reserves'!$B$2:$B$1178,'2021'!T$2,Tabla1[ANY],'2021'!$Z$150)</f>
        <v>0</v>
      </c>
      <c r="U180" s="21">
        <f t="shared" ref="U180:U187" si="188">IF(T$179=0,0,T180/T$179)</f>
        <v>0</v>
      </c>
      <c r="V180" s="23">
        <f>SUMIFS('Registre de reserves'!$X$2:$X$1178,'Registre de reserves'!$T$2:$T$1178,"NO",'Registre de reserves'!$I$2:$I$1178,'2021'!$A180,'Registre de reserves'!$B$2:$B$1178,'2021'!V$2,Tabla1[ANY],'2021'!$Z$150)</f>
        <v>0</v>
      </c>
      <c r="W180" s="21">
        <f t="shared" ref="W180:W187" si="189">IF(V$179=0,0,V180/V$179)</f>
        <v>0</v>
      </c>
      <c r="X180" s="23">
        <f>SUMIFS('Registre de reserves'!$X$2:$X$1178,'Registre de reserves'!$T$2:$T$1178,"NO",'Registre de reserves'!$I$2:$I$1178,'2021'!$A180,'Registre de reserves'!$B$2:$B$1178,'2021'!X$2,Tabla1[ANY],'2021'!$Z$150)</f>
        <v>0</v>
      </c>
      <c r="Y180" s="21">
        <f t="shared" ref="Y180:Y187" si="190">IF(X$179=0,0,X180/X$179)</f>
        <v>0</v>
      </c>
      <c r="Z180" s="20">
        <f t="shared" si="167"/>
        <v>0</v>
      </c>
      <c r="AA180" s="21">
        <f>IF(Z$31=0,0,Z180/Z$31)</f>
        <v>0</v>
      </c>
    </row>
    <row r="181" spans="1:27" hidden="1" outlineLevel="1" x14ac:dyDescent="0.2">
      <c r="A181" s="8" t="s">
        <v>68</v>
      </c>
      <c r="B181" s="23">
        <f>SUMIFS('Registre de reserves'!$X$2:$X$1178,'Registre de reserves'!$T$2:$T$1178,"NO",'Registre de reserves'!$I$2:$I$1178,'2021'!$A181,'Registre de reserves'!$B$2:$B$1178,'2021'!B$2,Tabla1[ANY],'2021'!$Z$150)</f>
        <v>0</v>
      </c>
      <c r="C181" s="21">
        <f t="shared" ref="C181:E187" si="191">IF(B$179=0,0,B181/B$179)</f>
        <v>0</v>
      </c>
      <c r="D181" s="23">
        <f>SUMIFS('Registre de reserves'!$X$2:$X$1178,'Registre de reserves'!$T$2:$T$1178,"NO",'Registre de reserves'!$I$2:$I$1178,'2021'!$A181,'Registre de reserves'!$B$2:$B$1178,'2021'!D$2,Tabla1[ANY],'2021'!$Z$150)</f>
        <v>0</v>
      </c>
      <c r="E181" s="21">
        <f t="shared" si="191"/>
        <v>0</v>
      </c>
      <c r="F181" s="23">
        <f>SUMIFS('Registre de reserves'!$X$2:$X$1178,'Registre de reserves'!$T$2:$T$1178,"NO",'Registre de reserves'!$I$2:$I$1178,'2021'!$A181,'Registre de reserves'!$B$2:$B$1178,'2021'!F$2,Tabla1[ANY],'2021'!$Z$150)</f>
        <v>0</v>
      </c>
      <c r="G181" s="21">
        <f t="shared" si="181"/>
        <v>0</v>
      </c>
      <c r="H181" s="23">
        <f>SUMIFS('Registre de reserves'!$X$2:$X$1178,'Registre de reserves'!$T$2:$T$1178,"NO",'Registre de reserves'!$I$2:$I$1178,'2021'!$A181,'Registre de reserves'!$B$2:$B$1178,'2021'!H$2,Tabla1[ANY],'2021'!$Z$150)</f>
        <v>0</v>
      </c>
      <c r="I181" s="21">
        <f t="shared" si="182"/>
        <v>0</v>
      </c>
      <c r="J181" s="23">
        <f>SUMIFS('Registre de reserves'!$X$2:$X$1178,'Registre de reserves'!$T$2:$T$1178,"NO",'Registre de reserves'!$I$2:$I$1178,'2021'!$A181,'Registre de reserves'!$B$2:$B$1178,'2021'!J$2,Tabla1[ANY],'2021'!$Z$150)</f>
        <v>0</v>
      </c>
      <c r="K181" s="21">
        <f t="shared" si="183"/>
        <v>0</v>
      </c>
      <c r="L181" s="23">
        <f>SUMIFS('Registre de reserves'!$X$2:$X$1178,'Registre de reserves'!$T$2:$T$1178,"NO",'Registre de reserves'!$I$2:$I$1178,'2021'!$A181,'Registre de reserves'!$B$2:$B$1178,'2021'!L$2,Tabla1[ANY],'2021'!$Z$150)</f>
        <v>0</v>
      </c>
      <c r="M181" s="21">
        <f t="shared" si="184"/>
        <v>0</v>
      </c>
      <c r="N181" s="23">
        <f>SUMIFS('Registre de reserves'!$X$2:$X$1178,'Registre de reserves'!$T$2:$T$1178,"NO",'Registre de reserves'!$I$2:$I$1178,'2021'!$A181,'Registre de reserves'!$B$2:$B$1178,'2021'!N$2,Tabla1[ANY],'2021'!$Z$150)</f>
        <v>0</v>
      </c>
      <c r="O181" s="21">
        <f t="shared" si="185"/>
        <v>0</v>
      </c>
      <c r="P181" s="23">
        <f>SUMIFS('Registre de reserves'!$X$2:$X$1178,'Registre de reserves'!$T$2:$T$1178,"NO",'Registre de reserves'!$I$2:$I$1178,'2021'!$A181,'Registre de reserves'!$B$2:$B$1178,'2021'!P$2,Tabla1[ANY],'2021'!$Z$150)</f>
        <v>0</v>
      </c>
      <c r="Q181" s="21">
        <f t="shared" si="186"/>
        <v>0</v>
      </c>
      <c r="R181" s="23">
        <f>SUMIFS('Registre de reserves'!$X$2:$X$1178,'Registre de reserves'!$T$2:$T$1178,"NO",'Registre de reserves'!$I$2:$I$1178,'2021'!$A181,'Registre de reserves'!$B$2:$B$1178,'2021'!R$2,Tabla1[ANY],'2021'!$Z$150)</f>
        <v>0</v>
      </c>
      <c r="S181" s="21">
        <f t="shared" si="187"/>
        <v>0</v>
      </c>
      <c r="T181" s="23">
        <f>SUMIFS('Registre de reserves'!$X$2:$X$1178,'Registre de reserves'!$T$2:$T$1178,"NO",'Registre de reserves'!$I$2:$I$1178,'2021'!$A181,'Registre de reserves'!$B$2:$B$1178,'2021'!T$2,Tabla1[ANY],'2021'!$Z$150)</f>
        <v>0</v>
      </c>
      <c r="U181" s="21">
        <f t="shared" si="188"/>
        <v>0</v>
      </c>
      <c r="V181" s="23">
        <f>SUMIFS('Registre de reserves'!$X$2:$X$1178,'Registre de reserves'!$T$2:$T$1178,"NO",'Registre de reserves'!$I$2:$I$1178,'2021'!$A181,'Registre de reserves'!$B$2:$B$1178,'2021'!V$2,Tabla1[ANY],'2021'!$Z$150)</f>
        <v>0</v>
      </c>
      <c r="W181" s="21">
        <f t="shared" si="189"/>
        <v>0</v>
      </c>
      <c r="X181" s="23">
        <f>SUMIFS('Registre de reserves'!$X$2:$X$1178,'Registre de reserves'!$T$2:$T$1178,"NO",'Registre de reserves'!$I$2:$I$1178,'2021'!$A181,'Registre de reserves'!$B$2:$B$1178,'2021'!X$2,Tabla1[ANY],'2021'!$Z$150)</f>
        <v>0</v>
      </c>
      <c r="Y181" s="21">
        <f t="shared" si="190"/>
        <v>0</v>
      </c>
      <c r="Z181" s="20">
        <f t="shared" si="167"/>
        <v>0</v>
      </c>
      <c r="AA181" s="21">
        <f t="shared" ref="AA181:AA187" si="192">IF(Z$31=0,0,Z181/Z$31)</f>
        <v>0</v>
      </c>
    </row>
    <row r="182" spans="1:27" hidden="1" outlineLevel="1" x14ac:dyDescent="0.2">
      <c r="A182" s="8" t="s">
        <v>4</v>
      </c>
      <c r="B182" s="23">
        <f>SUMIFS('Registre de reserves'!$X$2:$X$1178,'Registre de reserves'!$T$2:$T$1178,"NO",'Registre de reserves'!$I$2:$I$1178,'2021'!$A182,'Registre de reserves'!$B$2:$B$1178,'2021'!B$2,Tabla1[ANY],'2021'!$Z$150)</f>
        <v>0</v>
      </c>
      <c r="C182" s="21">
        <f t="shared" si="191"/>
        <v>0</v>
      </c>
      <c r="D182" s="23">
        <f>SUMIFS('Registre de reserves'!$X$2:$X$1178,'Registre de reserves'!$T$2:$T$1178,"NO",'Registre de reserves'!$I$2:$I$1178,'2021'!$A182,'Registre de reserves'!$B$2:$B$1178,'2021'!D$2,Tabla1[ANY],'2021'!$Z$150)</f>
        <v>0</v>
      </c>
      <c r="E182" s="21">
        <f t="shared" si="191"/>
        <v>0</v>
      </c>
      <c r="F182" s="23">
        <f>SUMIFS('Registre de reserves'!$X$2:$X$1178,'Registre de reserves'!$T$2:$T$1178,"NO",'Registre de reserves'!$I$2:$I$1178,'2021'!$A182,'Registre de reserves'!$B$2:$B$1178,'2021'!F$2,Tabla1[ANY],'2021'!$Z$150)</f>
        <v>0</v>
      </c>
      <c r="G182" s="21">
        <f t="shared" si="181"/>
        <v>0</v>
      </c>
      <c r="H182" s="23">
        <f>SUMIFS('Registre de reserves'!$X$2:$X$1178,'Registre de reserves'!$T$2:$T$1178,"NO",'Registre de reserves'!$I$2:$I$1178,'2021'!$A182,'Registre de reserves'!$B$2:$B$1178,'2021'!H$2,Tabla1[ANY],'2021'!$Z$150)</f>
        <v>0</v>
      </c>
      <c r="I182" s="21">
        <f t="shared" si="182"/>
        <v>0</v>
      </c>
      <c r="J182" s="23">
        <f>SUMIFS('Registre de reserves'!$X$2:$X$1178,'Registre de reserves'!$T$2:$T$1178,"NO",'Registre de reserves'!$I$2:$I$1178,'2021'!$A182,'Registre de reserves'!$B$2:$B$1178,'2021'!J$2,Tabla1[ANY],'2021'!$Z$150)</f>
        <v>0</v>
      </c>
      <c r="K182" s="21">
        <f t="shared" si="183"/>
        <v>0</v>
      </c>
      <c r="L182" s="23">
        <f>SUMIFS('Registre de reserves'!$X$2:$X$1178,'Registre de reserves'!$T$2:$T$1178,"NO",'Registre de reserves'!$I$2:$I$1178,'2021'!$A182,'Registre de reserves'!$B$2:$B$1178,'2021'!L$2,Tabla1[ANY],'2021'!$Z$150)</f>
        <v>0</v>
      </c>
      <c r="M182" s="21">
        <f t="shared" si="184"/>
        <v>0</v>
      </c>
      <c r="N182" s="23">
        <f>SUMIFS('Registre de reserves'!$X$2:$X$1178,'Registre de reserves'!$T$2:$T$1178,"NO",'Registre de reserves'!$I$2:$I$1178,'2021'!$A182,'Registre de reserves'!$B$2:$B$1178,'2021'!N$2,Tabla1[ANY],'2021'!$Z$150)</f>
        <v>0</v>
      </c>
      <c r="O182" s="21">
        <f t="shared" si="185"/>
        <v>0</v>
      </c>
      <c r="P182" s="23">
        <f>SUMIFS('Registre de reserves'!$X$2:$X$1178,'Registre de reserves'!$T$2:$T$1178,"NO",'Registre de reserves'!$I$2:$I$1178,'2021'!$A182,'Registre de reserves'!$B$2:$B$1178,'2021'!P$2,Tabla1[ANY],'2021'!$Z$150)</f>
        <v>0</v>
      </c>
      <c r="Q182" s="21">
        <f t="shared" si="186"/>
        <v>0</v>
      </c>
      <c r="R182" s="23">
        <f>SUMIFS('Registre de reserves'!$X$2:$X$1178,'Registre de reserves'!$T$2:$T$1178,"NO",'Registre de reserves'!$I$2:$I$1178,'2021'!$A182,'Registre de reserves'!$B$2:$B$1178,'2021'!R$2,Tabla1[ANY],'2021'!$Z$150)</f>
        <v>0</v>
      </c>
      <c r="S182" s="21">
        <f t="shared" si="187"/>
        <v>0</v>
      </c>
      <c r="T182" s="23">
        <f>SUMIFS('Registre de reserves'!$X$2:$X$1178,'Registre de reserves'!$T$2:$T$1178,"NO",'Registre de reserves'!$I$2:$I$1178,'2021'!$A182,'Registre de reserves'!$B$2:$B$1178,'2021'!T$2,Tabla1[ANY],'2021'!$Z$150)</f>
        <v>0</v>
      </c>
      <c r="U182" s="21">
        <f t="shared" si="188"/>
        <v>0</v>
      </c>
      <c r="V182" s="23">
        <f>SUMIFS('Registre de reserves'!$X$2:$X$1178,'Registre de reserves'!$T$2:$T$1178,"NO",'Registre de reserves'!$I$2:$I$1178,'2021'!$A182,'Registre de reserves'!$B$2:$B$1178,'2021'!V$2,Tabla1[ANY],'2021'!$Z$150)</f>
        <v>0</v>
      </c>
      <c r="W182" s="21">
        <f t="shared" si="189"/>
        <v>0</v>
      </c>
      <c r="X182" s="23">
        <f>SUMIFS('Registre de reserves'!$X$2:$X$1178,'Registre de reserves'!$T$2:$T$1178,"NO",'Registre de reserves'!$I$2:$I$1178,'2021'!$A182,'Registre de reserves'!$B$2:$B$1178,'2021'!X$2,Tabla1[ANY],'2021'!$Z$150)</f>
        <v>0</v>
      </c>
      <c r="Y182" s="21">
        <f t="shared" si="190"/>
        <v>0</v>
      </c>
      <c r="Z182" s="20">
        <f t="shared" si="167"/>
        <v>0</v>
      </c>
      <c r="AA182" s="21">
        <f t="shared" si="192"/>
        <v>0</v>
      </c>
    </row>
    <row r="183" spans="1:27" hidden="1" outlineLevel="1" x14ac:dyDescent="0.2">
      <c r="A183" s="8" t="s">
        <v>71</v>
      </c>
      <c r="B183" s="23">
        <f>SUMIFS('Registre de reserves'!$X$2:$X$1178,'Registre de reserves'!$T$2:$T$1178,"NO",'Registre de reserves'!$I$2:$I$1178,'2021'!$A183,'Registre de reserves'!$B$2:$B$1178,'2021'!B$2,Tabla1[ANY],'2021'!$Z$150)</f>
        <v>0</v>
      </c>
      <c r="C183" s="21">
        <f t="shared" si="191"/>
        <v>0</v>
      </c>
      <c r="D183" s="23">
        <f>SUMIFS('Registre de reserves'!$X$2:$X$1178,'Registre de reserves'!$T$2:$T$1178,"NO",'Registre de reserves'!$I$2:$I$1178,'2021'!$A183,'Registre de reserves'!$B$2:$B$1178,'2021'!D$2,Tabla1[ANY],'2021'!$Z$150)</f>
        <v>0</v>
      </c>
      <c r="E183" s="21">
        <f t="shared" si="191"/>
        <v>0</v>
      </c>
      <c r="F183" s="23">
        <f>SUMIFS('Registre de reserves'!$X$2:$X$1178,'Registre de reserves'!$T$2:$T$1178,"NO",'Registre de reserves'!$I$2:$I$1178,'2021'!$A183,'Registre de reserves'!$B$2:$B$1178,'2021'!F$2,Tabla1[ANY],'2021'!$Z$150)</f>
        <v>0</v>
      </c>
      <c r="G183" s="21">
        <f t="shared" si="181"/>
        <v>0</v>
      </c>
      <c r="H183" s="23">
        <f>SUMIFS('Registre de reserves'!$X$2:$X$1178,'Registre de reserves'!$T$2:$T$1178,"NO",'Registre de reserves'!$I$2:$I$1178,'2021'!$A183,'Registre de reserves'!$B$2:$B$1178,'2021'!H$2,Tabla1[ANY],'2021'!$Z$150)</f>
        <v>0</v>
      </c>
      <c r="I183" s="21">
        <f t="shared" si="182"/>
        <v>0</v>
      </c>
      <c r="J183" s="23">
        <f>SUMIFS('Registre de reserves'!$X$2:$X$1178,'Registre de reserves'!$T$2:$T$1178,"NO",'Registre de reserves'!$I$2:$I$1178,'2021'!$A183,'Registre de reserves'!$B$2:$B$1178,'2021'!J$2,Tabla1[ANY],'2021'!$Z$150)</f>
        <v>0</v>
      </c>
      <c r="K183" s="21">
        <f t="shared" si="183"/>
        <v>0</v>
      </c>
      <c r="L183" s="23">
        <f>SUMIFS('Registre de reserves'!$X$2:$X$1178,'Registre de reserves'!$T$2:$T$1178,"NO",'Registre de reserves'!$I$2:$I$1178,'2021'!$A183,'Registre de reserves'!$B$2:$B$1178,'2021'!L$2,Tabla1[ANY],'2021'!$Z$150)</f>
        <v>0</v>
      </c>
      <c r="M183" s="21">
        <f t="shared" si="184"/>
        <v>0</v>
      </c>
      <c r="N183" s="23">
        <f>SUMIFS('Registre de reserves'!$X$2:$X$1178,'Registre de reserves'!$T$2:$T$1178,"NO",'Registre de reserves'!$I$2:$I$1178,'2021'!$A183,'Registre de reserves'!$B$2:$B$1178,'2021'!N$2,Tabla1[ANY],'2021'!$Z$150)</f>
        <v>0</v>
      </c>
      <c r="O183" s="21">
        <f t="shared" si="185"/>
        <v>0</v>
      </c>
      <c r="P183" s="23">
        <f>SUMIFS('Registre de reserves'!$X$2:$X$1178,'Registre de reserves'!$T$2:$T$1178,"NO",'Registre de reserves'!$I$2:$I$1178,'2021'!$A183,'Registre de reserves'!$B$2:$B$1178,'2021'!P$2,Tabla1[ANY],'2021'!$Z$150)</f>
        <v>0</v>
      </c>
      <c r="Q183" s="21">
        <f t="shared" si="186"/>
        <v>0</v>
      </c>
      <c r="R183" s="23">
        <f>SUMIFS('Registre de reserves'!$X$2:$X$1178,'Registre de reserves'!$T$2:$T$1178,"NO",'Registre de reserves'!$I$2:$I$1178,'2021'!$A183,'Registre de reserves'!$B$2:$B$1178,'2021'!R$2,Tabla1[ANY],'2021'!$Z$150)</f>
        <v>0</v>
      </c>
      <c r="S183" s="21">
        <f t="shared" si="187"/>
        <v>0</v>
      </c>
      <c r="T183" s="23">
        <f>SUMIFS('Registre de reserves'!$X$2:$X$1178,'Registre de reserves'!$T$2:$T$1178,"NO",'Registre de reserves'!$I$2:$I$1178,'2021'!$A183,'Registre de reserves'!$B$2:$B$1178,'2021'!T$2,Tabla1[ANY],'2021'!$Z$150)</f>
        <v>0</v>
      </c>
      <c r="U183" s="21">
        <f t="shared" si="188"/>
        <v>0</v>
      </c>
      <c r="V183" s="23">
        <f>SUMIFS('Registre de reserves'!$X$2:$X$1178,'Registre de reserves'!$T$2:$T$1178,"NO",'Registre de reserves'!$I$2:$I$1178,'2021'!$A183,'Registre de reserves'!$B$2:$B$1178,'2021'!V$2,Tabla1[ANY],'2021'!$Z$150)</f>
        <v>0</v>
      </c>
      <c r="W183" s="21">
        <f t="shared" si="189"/>
        <v>0</v>
      </c>
      <c r="X183" s="23">
        <f>SUMIFS('Registre de reserves'!$X$2:$X$1178,'Registre de reserves'!$T$2:$T$1178,"NO",'Registre de reserves'!$I$2:$I$1178,'2021'!$A183,'Registre de reserves'!$B$2:$B$1178,'2021'!X$2,Tabla1[ANY],'2021'!$Z$150)</f>
        <v>0</v>
      </c>
      <c r="Y183" s="21">
        <f t="shared" si="190"/>
        <v>0</v>
      </c>
      <c r="Z183" s="20">
        <f t="shared" si="167"/>
        <v>0</v>
      </c>
      <c r="AA183" s="21">
        <f t="shared" si="192"/>
        <v>0</v>
      </c>
    </row>
    <row r="184" spans="1:27" hidden="1" outlineLevel="1" x14ac:dyDescent="0.2">
      <c r="A184" s="8" t="s">
        <v>72</v>
      </c>
      <c r="B184" s="23">
        <f>SUMIFS('Registre de reserves'!$X$2:$X$1178,'Registre de reserves'!$T$2:$T$1178,"NO",'Registre de reserves'!$I$2:$I$1178,'2021'!$A184,'Registre de reserves'!$B$2:$B$1178,'2021'!B$2,Tabla1[ANY],'2021'!$Z$150)</f>
        <v>0</v>
      </c>
      <c r="C184" s="21">
        <f t="shared" si="191"/>
        <v>0</v>
      </c>
      <c r="D184" s="23">
        <f>SUMIFS('Registre de reserves'!$X$2:$X$1178,'Registre de reserves'!$T$2:$T$1178,"NO",'Registre de reserves'!$I$2:$I$1178,'2021'!$A184,'Registre de reserves'!$B$2:$B$1178,'2021'!D$2,Tabla1[ANY],'2021'!$Z$150)</f>
        <v>0</v>
      </c>
      <c r="E184" s="21">
        <f t="shared" si="191"/>
        <v>0</v>
      </c>
      <c r="F184" s="23">
        <f>SUMIFS('Registre de reserves'!$X$2:$X$1178,'Registre de reserves'!$T$2:$T$1178,"NO",'Registre de reserves'!$I$2:$I$1178,'2021'!$A184,'Registre de reserves'!$B$2:$B$1178,'2021'!F$2,Tabla1[ANY],'2021'!$Z$150)</f>
        <v>0</v>
      </c>
      <c r="G184" s="21">
        <f t="shared" si="181"/>
        <v>0</v>
      </c>
      <c r="H184" s="23">
        <f>SUMIFS('Registre de reserves'!$X$2:$X$1178,'Registre de reserves'!$T$2:$T$1178,"NO",'Registre de reserves'!$I$2:$I$1178,'2021'!$A184,'Registre de reserves'!$B$2:$B$1178,'2021'!H$2,Tabla1[ANY],'2021'!$Z$150)</f>
        <v>0</v>
      </c>
      <c r="I184" s="21">
        <f t="shared" si="182"/>
        <v>0</v>
      </c>
      <c r="J184" s="23">
        <f>SUMIFS('Registre de reserves'!$X$2:$X$1178,'Registre de reserves'!$T$2:$T$1178,"NO",'Registre de reserves'!$I$2:$I$1178,'2021'!$A184,'Registre de reserves'!$B$2:$B$1178,'2021'!J$2,Tabla1[ANY],'2021'!$Z$150)</f>
        <v>0</v>
      </c>
      <c r="K184" s="21">
        <f t="shared" si="183"/>
        <v>0</v>
      </c>
      <c r="L184" s="23">
        <f>SUMIFS('Registre de reserves'!$X$2:$X$1178,'Registre de reserves'!$T$2:$T$1178,"NO",'Registre de reserves'!$I$2:$I$1178,'2021'!$A184,'Registre de reserves'!$B$2:$B$1178,'2021'!L$2,Tabla1[ANY],'2021'!$Z$150)</f>
        <v>0</v>
      </c>
      <c r="M184" s="21">
        <f t="shared" si="184"/>
        <v>0</v>
      </c>
      <c r="N184" s="23">
        <f>SUMIFS('Registre de reserves'!$X$2:$X$1178,'Registre de reserves'!$T$2:$T$1178,"NO",'Registre de reserves'!$I$2:$I$1178,'2021'!$A184,'Registre de reserves'!$B$2:$B$1178,'2021'!N$2,Tabla1[ANY],'2021'!$Z$150)</f>
        <v>0</v>
      </c>
      <c r="O184" s="21">
        <f t="shared" si="185"/>
        <v>0</v>
      </c>
      <c r="P184" s="23">
        <f>SUMIFS('Registre de reserves'!$X$2:$X$1178,'Registre de reserves'!$T$2:$T$1178,"NO",'Registre de reserves'!$I$2:$I$1178,'2021'!$A184,'Registre de reserves'!$B$2:$B$1178,'2021'!P$2,Tabla1[ANY],'2021'!$Z$150)</f>
        <v>0</v>
      </c>
      <c r="Q184" s="21">
        <f t="shared" si="186"/>
        <v>0</v>
      </c>
      <c r="R184" s="23">
        <f>SUMIFS('Registre de reserves'!$X$2:$X$1178,'Registre de reserves'!$T$2:$T$1178,"NO",'Registre de reserves'!$I$2:$I$1178,'2021'!$A184,'Registre de reserves'!$B$2:$B$1178,'2021'!R$2,Tabla1[ANY],'2021'!$Z$150)</f>
        <v>0</v>
      </c>
      <c r="S184" s="21">
        <f t="shared" si="187"/>
        <v>0</v>
      </c>
      <c r="T184" s="23">
        <f>SUMIFS('Registre de reserves'!$X$2:$X$1178,'Registre de reserves'!$T$2:$T$1178,"NO",'Registre de reserves'!$I$2:$I$1178,'2021'!$A184,'Registre de reserves'!$B$2:$B$1178,'2021'!T$2,Tabla1[ANY],'2021'!$Z$150)</f>
        <v>0</v>
      </c>
      <c r="U184" s="21">
        <f t="shared" si="188"/>
        <v>0</v>
      </c>
      <c r="V184" s="23">
        <f>SUMIFS('Registre de reserves'!$X$2:$X$1178,'Registre de reserves'!$T$2:$T$1178,"NO",'Registre de reserves'!$I$2:$I$1178,'2021'!$A184,'Registre de reserves'!$B$2:$B$1178,'2021'!V$2,Tabla1[ANY],'2021'!$Z$150)</f>
        <v>0</v>
      </c>
      <c r="W184" s="21">
        <f t="shared" si="189"/>
        <v>0</v>
      </c>
      <c r="X184" s="23">
        <f>SUMIFS('Registre de reserves'!$X$2:$X$1178,'Registre de reserves'!$T$2:$T$1178,"NO",'Registre de reserves'!$I$2:$I$1178,'2021'!$A184,'Registre de reserves'!$B$2:$B$1178,'2021'!X$2,Tabla1[ANY],'2021'!$Z$150)</f>
        <v>0</v>
      </c>
      <c r="Y184" s="21">
        <f t="shared" si="190"/>
        <v>0</v>
      </c>
      <c r="Z184" s="20">
        <f t="shared" si="167"/>
        <v>0</v>
      </c>
      <c r="AA184" s="21">
        <f t="shared" si="192"/>
        <v>0</v>
      </c>
    </row>
    <row r="185" spans="1:27" hidden="1" outlineLevel="1" x14ac:dyDescent="0.2">
      <c r="A185" s="8" t="s">
        <v>69</v>
      </c>
      <c r="B185" s="23">
        <f>SUMIFS('Registre de reserves'!$X$2:$X$1178,'Registre de reserves'!$T$2:$T$1178,"NO",'Registre de reserves'!$I$2:$I$1178,'2021'!$A185,'Registre de reserves'!$B$2:$B$1178,'2021'!B$2,Tabla1[ANY],'2021'!$Z$150)</f>
        <v>0</v>
      </c>
      <c r="C185" s="21">
        <f t="shared" si="191"/>
        <v>0</v>
      </c>
      <c r="D185" s="23">
        <f>SUMIFS('Registre de reserves'!$X$2:$X$1178,'Registre de reserves'!$T$2:$T$1178,"NO",'Registre de reserves'!$I$2:$I$1178,'2021'!$A185,'Registre de reserves'!$B$2:$B$1178,'2021'!D$2,Tabla1[ANY],'2021'!$Z$150)</f>
        <v>0</v>
      </c>
      <c r="E185" s="21">
        <f t="shared" si="191"/>
        <v>0</v>
      </c>
      <c r="F185" s="23">
        <f>SUMIFS('Registre de reserves'!$X$2:$X$1178,'Registre de reserves'!$T$2:$T$1178,"NO",'Registre de reserves'!$I$2:$I$1178,'2021'!$A185,'Registre de reserves'!$B$2:$B$1178,'2021'!F$2,Tabla1[ANY],'2021'!$Z$150)</f>
        <v>0</v>
      </c>
      <c r="G185" s="21">
        <f t="shared" si="181"/>
        <v>0</v>
      </c>
      <c r="H185" s="23">
        <f>SUMIFS('Registre de reserves'!$X$2:$X$1178,'Registre de reserves'!$T$2:$T$1178,"NO",'Registre de reserves'!$I$2:$I$1178,'2021'!$A185,'Registre de reserves'!$B$2:$B$1178,'2021'!H$2,Tabla1[ANY],'2021'!$Z$150)</f>
        <v>0</v>
      </c>
      <c r="I185" s="21">
        <f t="shared" si="182"/>
        <v>0</v>
      </c>
      <c r="J185" s="23">
        <f>SUMIFS('Registre de reserves'!$X$2:$X$1178,'Registre de reserves'!$T$2:$T$1178,"NO",'Registre de reserves'!$I$2:$I$1178,'2021'!$A185,'Registre de reserves'!$B$2:$B$1178,'2021'!J$2,Tabla1[ANY],'2021'!$Z$150)</f>
        <v>0</v>
      </c>
      <c r="K185" s="21">
        <f t="shared" si="183"/>
        <v>0</v>
      </c>
      <c r="L185" s="23">
        <f>SUMIFS('Registre de reserves'!$X$2:$X$1178,'Registre de reserves'!$T$2:$T$1178,"NO",'Registre de reserves'!$I$2:$I$1178,'2021'!$A185,'Registre de reserves'!$B$2:$B$1178,'2021'!L$2,Tabla1[ANY],'2021'!$Z$150)</f>
        <v>0</v>
      </c>
      <c r="M185" s="21">
        <f t="shared" si="184"/>
        <v>0</v>
      </c>
      <c r="N185" s="23">
        <f>SUMIFS('Registre de reserves'!$X$2:$X$1178,'Registre de reserves'!$T$2:$T$1178,"NO",'Registre de reserves'!$I$2:$I$1178,'2021'!$A185,'Registre de reserves'!$B$2:$B$1178,'2021'!N$2,Tabla1[ANY],'2021'!$Z$150)</f>
        <v>0</v>
      </c>
      <c r="O185" s="21">
        <f t="shared" si="185"/>
        <v>0</v>
      </c>
      <c r="P185" s="23">
        <f>SUMIFS('Registre de reserves'!$X$2:$X$1178,'Registre de reserves'!$T$2:$T$1178,"NO",'Registre de reserves'!$I$2:$I$1178,'2021'!$A185,'Registre de reserves'!$B$2:$B$1178,'2021'!P$2,Tabla1[ANY],'2021'!$Z$150)</f>
        <v>0</v>
      </c>
      <c r="Q185" s="21">
        <f t="shared" si="186"/>
        <v>0</v>
      </c>
      <c r="R185" s="23">
        <f>SUMIFS('Registre de reserves'!$X$2:$X$1178,'Registre de reserves'!$T$2:$T$1178,"NO",'Registre de reserves'!$I$2:$I$1178,'2021'!$A185,'Registre de reserves'!$B$2:$B$1178,'2021'!R$2,Tabla1[ANY],'2021'!$Z$150)</f>
        <v>0</v>
      </c>
      <c r="S185" s="21">
        <f t="shared" si="187"/>
        <v>0</v>
      </c>
      <c r="T185" s="23">
        <f>SUMIFS('Registre de reserves'!$X$2:$X$1178,'Registre de reserves'!$T$2:$T$1178,"NO",'Registre de reserves'!$I$2:$I$1178,'2021'!$A185,'Registre de reserves'!$B$2:$B$1178,'2021'!T$2,Tabla1[ANY],'2021'!$Z$150)</f>
        <v>0</v>
      </c>
      <c r="U185" s="21">
        <f t="shared" si="188"/>
        <v>0</v>
      </c>
      <c r="V185" s="23">
        <f>SUMIFS('Registre de reserves'!$X$2:$X$1178,'Registre de reserves'!$T$2:$T$1178,"NO",'Registre de reserves'!$I$2:$I$1178,'2021'!$A185,'Registre de reserves'!$B$2:$B$1178,'2021'!V$2,Tabla1[ANY],'2021'!$Z$150)</f>
        <v>0</v>
      </c>
      <c r="W185" s="21">
        <f t="shared" si="189"/>
        <v>0</v>
      </c>
      <c r="X185" s="23">
        <f>SUMIFS('Registre de reserves'!$X$2:$X$1178,'Registre de reserves'!$T$2:$T$1178,"NO",'Registre de reserves'!$I$2:$I$1178,'2021'!$A185,'Registre de reserves'!$B$2:$B$1178,'2021'!X$2,Tabla1[ANY],'2021'!$Z$150)</f>
        <v>0</v>
      </c>
      <c r="Y185" s="21">
        <f t="shared" si="190"/>
        <v>0</v>
      </c>
      <c r="Z185" s="20">
        <f t="shared" si="167"/>
        <v>0</v>
      </c>
      <c r="AA185" s="21">
        <f t="shared" si="192"/>
        <v>0</v>
      </c>
    </row>
    <row r="186" spans="1:27" hidden="1" outlineLevel="1" x14ac:dyDescent="0.2">
      <c r="A186" s="8" t="s">
        <v>70</v>
      </c>
      <c r="B186" s="23">
        <f>SUMIFS('Registre de reserves'!$X$2:$X$1178,'Registre de reserves'!$T$2:$T$1178,"NO",'Registre de reserves'!$I$2:$I$1178,'2021'!$A186,'Registre de reserves'!$B$2:$B$1178,'2021'!B$2,Tabla1[ANY],'2021'!$Z$150)</f>
        <v>0</v>
      </c>
      <c r="C186" s="21">
        <f t="shared" si="191"/>
        <v>0</v>
      </c>
      <c r="D186" s="23">
        <f>SUMIFS('Registre de reserves'!$X$2:$X$1178,'Registre de reserves'!$T$2:$T$1178,"NO",'Registre de reserves'!$I$2:$I$1178,'2021'!$A186,'Registre de reserves'!$B$2:$B$1178,'2021'!D$2,Tabla1[ANY],'2021'!$Z$150)</f>
        <v>0</v>
      </c>
      <c r="E186" s="21">
        <f t="shared" si="191"/>
        <v>0</v>
      </c>
      <c r="F186" s="23">
        <f>SUMIFS('Registre de reserves'!$X$2:$X$1178,'Registre de reserves'!$T$2:$T$1178,"NO",'Registre de reserves'!$I$2:$I$1178,'2021'!$A186,'Registre de reserves'!$B$2:$B$1178,'2021'!F$2,Tabla1[ANY],'2021'!$Z$150)</f>
        <v>0</v>
      </c>
      <c r="G186" s="21">
        <f t="shared" si="181"/>
        <v>0</v>
      </c>
      <c r="H186" s="23">
        <f>SUMIFS('Registre de reserves'!$X$2:$X$1178,'Registre de reserves'!$T$2:$T$1178,"NO",'Registre de reserves'!$I$2:$I$1178,'2021'!$A186,'Registre de reserves'!$B$2:$B$1178,'2021'!H$2,Tabla1[ANY],'2021'!$Z$150)</f>
        <v>0</v>
      </c>
      <c r="I186" s="21">
        <f t="shared" si="182"/>
        <v>0</v>
      </c>
      <c r="J186" s="23">
        <f>SUMIFS('Registre de reserves'!$X$2:$X$1178,'Registre de reserves'!$T$2:$T$1178,"NO",'Registre de reserves'!$I$2:$I$1178,'2021'!$A186,'Registre de reserves'!$B$2:$B$1178,'2021'!J$2,Tabla1[ANY],'2021'!$Z$150)</f>
        <v>0</v>
      </c>
      <c r="K186" s="21">
        <f t="shared" si="183"/>
        <v>0</v>
      </c>
      <c r="L186" s="23">
        <f>SUMIFS('Registre de reserves'!$X$2:$X$1178,'Registre de reserves'!$T$2:$T$1178,"NO",'Registre de reserves'!$I$2:$I$1178,'2021'!$A186,'Registre de reserves'!$B$2:$B$1178,'2021'!L$2,Tabla1[ANY],'2021'!$Z$150)</f>
        <v>0</v>
      </c>
      <c r="M186" s="21">
        <f t="shared" si="184"/>
        <v>0</v>
      </c>
      <c r="N186" s="23">
        <f>SUMIFS('Registre de reserves'!$X$2:$X$1178,'Registre de reserves'!$T$2:$T$1178,"NO",'Registre de reserves'!$I$2:$I$1178,'2021'!$A186,'Registre de reserves'!$B$2:$B$1178,'2021'!N$2,Tabla1[ANY],'2021'!$Z$150)</f>
        <v>0</v>
      </c>
      <c r="O186" s="21">
        <f t="shared" si="185"/>
        <v>0</v>
      </c>
      <c r="P186" s="23">
        <f>SUMIFS('Registre de reserves'!$X$2:$X$1178,'Registre de reserves'!$T$2:$T$1178,"NO",'Registre de reserves'!$I$2:$I$1178,'2021'!$A186,'Registre de reserves'!$B$2:$B$1178,'2021'!P$2,Tabla1[ANY],'2021'!$Z$150)</f>
        <v>0</v>
      </c>
      <c r="Q186" s="21">
        <f t="shared" si="186"/>
        <v>0</v>
      </c>
      <c r="R186" s="23">
        <f>SUMIFS('Registre de reserves'!$X$2:$X$1178,'Registre de reserves'!$T$2:$T$1178,"NO",'Registre de reserves'!$I$2:$I$1178,'2021'!$A186,'Registre de reserves'!$B$2:$B$1178,'2021'!R$2,Tabla1[ANY],'2021'!$Z$150)</f>
        <v>0</v>
      </c>
      <c r="S186" s="21">
        <f t="shared" si="187"/>
        <v>0</v>
      </c>
      <c r="T186" s="23">
        <f>SUMIFS('Registre de reserves'!$X$2:$X$1178,'Registre de reserves'!$T$2:$T$1178,"NO",'Registre de reserves'!$I$2:$I$1178,'2021'!$A186,'Registre de reserves'!$B$2:$B$1178,'2021'!T$2,Tabla1[ANY],'2021'!$Z$150)</f>
        <v>0</v>
      </c>
      <c r="U186" s="21">
        <f t="shared" si="188"/>
        <v>0</v>
      </c>
      <c r="V186" s="23">
        <f>SUMIFS('Registre de reserves'!$X$2:$X$1178,'Registre de reserves'!$T$2:$T$1178,"NO",'Registre de reserves'!$I$2:$I$1178,'2021'!$A186,'Registre de reserves'!$B$2:$B$1178,'2021'!V$2,Tabla1[ANY],'2021'!$Z$150)</f>
        <v>0</v>
      </c>
      <c r="W186" s="21">
        <f t="shared" si="189"/>
        <v>0</v>
      </c>
      <c r="X186" s="23">
        <f>SUMIFS('Registre de reserves'!$X$2:$X$1178,'Registre de reserves'!$T$2:$T$1178,"NO",'Registre de reserves'!$I$2:$I$1178,'2021'!$A186,'Registre de reserves'!$B$2:$B$1178,'2021'!X$2,Tabla1[ANY],'2021'!$Z$150)</f>
        <v>0</v>
      </c>
      <c r="Y186" s="21">
        <f t="shared" si="190"/>
        <v>0</v>
      </c>
      <c r="Z186" s="20">
        <f t="shared" si="167"/>
        <v>0</v>
      </c>
      <c r="AA186" s="21">
        <f t="shared" si="192"/>
        <v>0</v>
      </c>
    </row>
    <row r="187" spans="1:27" hidden="1" outlineLevel="1" x14ac:dyDescent="0.2">
      <c r="A187" s="8" t="s">
        <v>73</v>
      </c>
      <c r="B187" s="23">
        <f>SUMIFS('Registre de reserves'!$X$2:$X$1178,'Registre de reserves'!$T$2:$T$1178,"NO",'Registre de reserves'!$I$2:$I$1178,'2021'!$A187,'Registre de reserves'!$B$2:$B$1178,'2021'!B$2,Tabla1[ANY],'2021'!$Z$150)</f>
        <v>0</v>
      </c>
      <c r="C187" s="21">
        <f t="shared" si="191"/>
        <v>0</v>
      </c>
      <c r="D187" s="23">
        <f>SUMIFS('Registre de reserves'!$X$2:$X$1178,'Registre de reserves'!$T$2:$T$1178,"NO",'Registre de reserves'!$I$2:$I$1178,'2021'!$A187,'Registre de reserves'!$B$2:$B$1178,'2021'!D$2,Tabla1[ANY],'2021'!$Z$150)</f>
        <v>0</v>
      </c>
      <c r="E187" s="21">
        <f t="shared" si="191"/>
        <v>0</v>
      </c>
      <c r="F187" s="23">
        <f>SUMIFS('Registre de reserves'!$X$2:$X$1178,'Registre de reserves'!$T$2:$T$1178,"NO",'Registre de reserves'!$I$2:$I$1178,'2021'!$A187,'Registre de reserves'!$B$2:$B$1178,'2021'!F$2,Tabla1[ANY],'2021'!$Z$150)</f>
        <v>0</v>
      </c>
      <c r="G187" s="21">
        <f t="shared" si="181"/>
        <v>0</v>
      </c>
      <c r="H187" s="23">
        <f>SUMIFS('Registre de reserves'!$X$2:$X$1178,'Registre de reserves'!$T$2:$T$1178,"NO",'Registre de reserves'!$I$2:$I$1178,'2021'!$A187,'Registre de reserves'!$B$2:$B$1178,'2021'!H$2,Tabla1[ANY],'2021'!$Z$150)</f>
        <v>0</v>
      </c>
      <c r="I187" s="21">
        <f t="shared" si="182"/>
        <v>0</v>
      </c>
      <c r="J187" s="23">
        <f>SUMIFS('Registre de reserves'!$X$2:$X$1178,'Registre de reserves'!$T$2:$T$1178,"NO",'Registre de reserves'!$I$2:$I$1178,'2021'!$A187,'Registre de reserves'!$B$2:$B$1178,'2021'!J$2,Tabla1[ANY],'2021'!$Z$150)</f>
        <v>0</v>
      </c>
      <c r="K187" s="21">
        <f t="shared" si="183"/>
        <v>0</v>
      </c>
      <c r="L187" s="23">
        <f>SUMIFS('Registre de reserves'!$X$2:$X$1178,'Registre de reserves'!$T$2:$T$1178,"NO",'Registre de reserves'!$I$2:$I$1178,'2021'!$A187,'Registre de reserves'!$B$2:$B$1178,'2021'!L$2,Tabla1[ANY],'2021'!$Z$150)</f>
        <v>0</v>
      </c>
      <c r="M187" s="21">
        <f t="shared" si="184"/>
        <v>0</v>
      </c>
      <c r="N187" s="23">
        <f>SUMIFS('Registre de reserves'!$X$2:$X$1178,'Registre de reserves'!$T$2:$T$1178,"NO",'Registre de reserves'!$I$2:$I$1178,'2021'!$A187,'Registre de reserves'!$B$2:$B$1178,'2021'!N$2,Tabla1[ANY],'2021'!$Z$150)</f>
        <v>0</v>
      </c>
      <c r="O187" s="21">
        <f t="shared" si="185"/>
        <v>0</v>
      </c>
      <c r="P187" s="23">
        <f>SUMIFS('Registre de reserves'!$X$2:$X$1178,'Registre de reserves'!$T$2:$T$1178,"NO",'Registre de reserves'!$I$2:$I$1178,'2021'!$A187,'Registre de reserves'!$B$2:$B$1178,'2021'!P$2,Tabla1[ANY],'2021'!$Z$150)</f>
        <v>0</v>
      </c>
      <c r="Q187" s="21">
        <f t="shared" si="186"/>
        <v>0</v>
      </c>
      <c r="R187" s="23">
        <f>SUMIFS('Registre de reserves'!$X$2:$X$1178,'Registre de reserves'!$T$2:$T$1178,"NO",'Registre de reserves'!$I$2:$I$1178,'2021'!$A187,'Registre de reserves'!$B$2:$B$1178,'2021'!R$2,Tabla1[ANY],'2021'!$Z$150)</f>
        <v>0</v>
      </c>
      <c r="S187" s="21">
        <f t="shared" si="187"/>
        <v>0</v>
      </c>
      <c r="T187" s="23">
        <f>SUMIFS('Registre de reserves'!$X$2:$X$1178,'Registre de reserves'!$T$2:$T$1178,"NO",'Registre de reserves'!$I$2:$I$1178,'2021'!$A187,'Registre de reserves'!$B$2:$B$1178,'2021'!T$2,Tabla1[ANY],'2021'!$Z$150)</f>
        <v>0</v>
      </c>
      <c r="U187" s="21">
        <f t="shared" si="188"/>
        <v>0</v>
      </c>
      <c r="V187" s="23">
        <f>SUMIFS('Registre de reserves'!$X$2:$X$1178,'Registre de reserves'!$T$2:$T$1178,"NO",'Registre de reserves'!$I$2:$I$1178,'2021'!$A187,'Registre de reserves'!$B$2:$B$1178,'2021'!V$2,Tabla1[ANY],'2021'!$Z$150)</f>
        <v>0</v>
      </c>
      <c r="W187" s="21">
        <f t="shared" si="189"/>
        <v>0</v>
      </c>
      <c r="X187" s="23">
        <f>SUMIFS('Registre de reserves'!$X$2:$X$1178,'Registre de reserves'!$T$2:$T$1178,"NO",'Registre de reserves'!$I$2:$I$1178,'2021'!$A187,'Registre de reserves'!$B$2:$B$1178,'2021'!X$2,Tabla1[ANY],'2021'!$Z$150)</f>
        <v>0</v>
      </c>
      <c r="Y187" s="21">
        <f t="shared" si="190"/>
        <v>0</v>
      </c>
      <c r="Z187" s="20">
        <f t="shared" si="167"/>
        <v>0</v>
      </c>
      <c r="AA187" s="21">
        <f t="shared" si="192"/>
        <v>0</v>
      </c>
    </row>
    <row r="188" spans="1:27" ht="15.75" collapsed="1" thickBot="1" x14ac:dyDescent="0.25">
      <c r="A188" s="14" t="s">
        <v>78</v>
      </c>
      <c r="B188" s="24">
        <f>B189+B197</f>
        <v>0</v>
      </c>
      <c r="C188" s="25">
        <f>IF(B151=0,0,B188/B151)</f>
        <v>0</v>
      </c>
      <c r="D188" s="24">
        <f>D189+D197</f>
        <v>0</v>
      </c>
      <c r="E188" s="25">
        <f>IF(D151=0,0,D188/D151)</f>
        <v>0</v>
      </c>
      <c r="F188" s="24">
        <f>F189+F197</f>
        <v>0</v>
      </c>
      <c r="G188" s="25">
        <f>IF(F151=0,0,F188/F151)</f>
        <v>0</v>
      </c>
      <c r="H188" s="24">
        <f>H189+H197</f>
        <v>90</v>
      </c>
      <c r="I188" s="25">
        <f>IF(H151=0,0,H188/H151)</f>
        <v>0</v>
      </c>
      <c r="J188" s="24">
        <f>J189+J197</f>
        <v>0</v>
      </c>
      <c r="K188" s="25">
        <f>IF(J151=0,0,J188/J151)</f>
        <v>0</v>
      </c>
      <c r="L188" s="24">
        <f>L189+L197</f>
        <v>0</v>
      </c>
      <c r="M188" s="25">
        <f>IF(L151=0,0,L188/L151)</f>
        <v>0</v>
      </c>
      <c r="N188" s="24">
        <f>N189+N197</f>
        <v>0</v>
      </c>
      <c r="O188" s="25">
        <f>IF(N151=0,0,N188/N151)</f>
        <v>0</v>
      </c>
      <c r="P188" s="24">
        <f>P189+P197</f>
        <v>0</v>
      </c>
      <c r="Q188" s="25">
        <f>IF(P151=0,0,P188/P151)</f>
        <v>0</v>
      </c>
      <c r="R188" s="24">
        <f>R189+R197</f>
        <v>240</v>
      </c>
      <c r="S188" s="25">
        <f>IF(R151=0,0,R188/R151)</f>
        <v>0.28402366863905326</v>
      </c>
      <c r="T188" s="24">
        <f>T189+T197</f>
        <v>20</v>
      </c>
      <c r="U188" s="25">
        <f>IF(T151=0,0,T188/T151)</f>
        <v>1.7391304347826087E-2</v>
      </c>
      <c r="V188" s="24">
        <f>V189+V197</f>
        <v>90</v>
      </c>
      <c r="W188" s="25">
        <f>IF(V151=0,0,V188/V151)</f>
        <v>0.10169491525423729</v>
      </c>
      <c r="X188" s="24">
        <f>X189+X197</f>
        <v>270</v>
      </c>
      <c r="Y188" s="25">
        <f>IF(X188=0,0,X188/X188)</f>
        <v>1</v>
      </c>
      <c r="Z188" s="24">
        <f>Z189+Z197</f>
        <v>710</v>
      </c>
      <c r="AA188" s="25">
        <f>IF(Z151=0,0,Z188/Z151)</f>
        <v>9.8201936376210233E-2</v>
      </c>
    </row>
    <row r="189" spans="1:27" x14ac:dyDescent="0.2">
      <c r="A189" s="33" t="s">
        <v>79</v>
      </c>
      <c r="B189" s="18">
        <f>SUM(B190:B196)</f>
        <v>0</v>
      </c>
      <c r="C189" s="19">
        <f>IF(B$188=0,0,B189/B$188)</f>
        <v>0</v>
      </c>
      <c r="D189" s="18">
        <f>SUM(D190:D196)</f>
        <v>0</v>
      </c>
      <c r="E189" s="19">
        <f>IF(D$188=0,0,D189/D$188)</f>
        <v>0</v>
      </c>
      <c r="F189" s="18">
        <f>SUM(F190:F196)</f>
        <v>0</v>
      </c>
      <c r="G189" s="19">
        <f>IF(F$188=0,0,F189/F$188)</f>
        <v>0</v>
      </c>
      <c r="H189" s="18">
        <f>SUM(H190:H196)</f>
        <v>90</v>
      </c>
      <c r="I189" s="19">
        <f>IF(H$188=0,0,H189/H$188)</f>
        <v>1</v>
      </c>
      <c r="J189" s="18">
        <f>SUM(J190:J196)</f>
        <v>0</v>
      </c>
      <c r="K189" s="19">
        <f>IF(J$188=0,0,J189/J$188)</f>
        <v>0</v>
      </c>
      <c r="L189" s="18">
        <f>SUM(L190:L196)</f>
        <v>0</v>
      </c>
      <c r="M189" s="19">
        <f>IF(L$188=0,0,L189/L$188)</f>
        <v>0</v>
      </c>
      <c r="N189" s="18">
        <f>SUM(N190:N196)</f>
        <v>0</v>
      </c>
      <c r="O189" s="19">
        <f>IF(N$188=0,0,N189/N$188)</f>
        <v>0</v>
      </c>
      <c r="P189" s="18">
        <f>SUM(P190:P196)</f>
        <v>0</v>
      </c>
      <c r="Q189" s="19">
        <f>IF(P$188=0,0,P189/P$188)</f>
        <v>0</v>
      </c>
      <c r="R189" s="18">
        <f>SUM(R190:R196)</f>
        <v>180</v>
      </c>
      <c r="S189" s="19">
        <f>IF(R$188=0,0,R189/R$188)</f>
        <v>0.75</v>
      </c>
      <c r="T189" s="18">
        <f>SUM(T190:T196)</f>
        <v>0</v>
      </c>
      <c r="U189" s="19">
        <f>IF(T$188=0,0,T189/T$188)</f>
        <v>0</v>
      </c>
      <c r="V189" s="18">
        <f>SUM(V190:V196)</f>
        <v>0</v>
      </c>
      <c r="W189" s="19">
        <f>IF(V$188=0,0,V189/V$188)</f>
        <v>0</v>
      </c>
      <c r="X189" s="18">
        <f>SUM(X190:X196)</f>
        <v>90</v>
      </c>
      <c r="Y189" s="19">
        <f>IF(X$188=0,0,X189/X$188)</f>
        <v>0.33333333333333331</v>
      </c>
      <c r="Z189" s="18">
        <f>SUM(Z190:Z196)</f>
        <v>360</v>
      </c>
      <c r="AA189" s="19">
        <f>IF(Z$40=0,0,Z189/Z$40)</f>
        <v>5.4885829850878247E-2</v>
      </c>
    </row>
    <row r="190" spans="1:27" hidden="1" outlineLevel="1" x14ac:dyDescent="0.2">
      <c r="A190" s="8" t="s">
        <v>16</v>
      </c>
      <c r="B190" s="20">
        <f>SUMIFS(Tabla2[B],Tabla2[ANY],$Z$150,Tabla2[MES],'2021'!B$2,Tabla2[TIPUS],'2021'!$A190)</f>
        <v>0</v>
      </c>
      <c r="C190" s="21">
        <f>IF(B$189=0,0,B190/B$189)</f>
        <v>0</v>
      </c>
      <c r="D190" s="20">
        <f>SUMIFS(Tabla2[B],Tabla2[ANY],$Z$150,Tabla2[MES],'2021'!D$2,Tabla2[TIPUS],'2021'!$A190)</f>
        <v>0</v>
      </c>
      <c r="E190" s="21">
        <f>IF(D$189=0,0,D190/D$189)</f>
        <v>0</v>
      </c>
      <c r="F190" s="20">
        <f>SUMIFS(Tabla2[B],Tabla2[ANY],$Z$150,Tabla2[MES],'2021'!F$2,Tabla2[TIPUS],'2021'!$A190)</f>
        <v>0</v>
      </c>
      <c r="G190" s="21">
        <f t="shared" ref="G190:G196" si="193">IF(F$189=0,0,F190/F$189)</f>
        <v>0</v>
      </c>
      <c r="H190" s="20">
        <f>SUMIFS(Tabla2[B],Tabla2[ANY],$Z$150,Tabla2[MES],'2021'!H$2,Tabla2[TIPUS],'2021'!$A190)</f>
        <v>0</v>
      </c>
      <c r="I190" s="21">
        <f t="shared" ref="I190:I196" si="194">IF(H$189=0,0,H190/H$189)</f>
        <v>0</v>
      </c>
      <c r="J190" s="20">
        <f>SUMIFS(Tabla2[B],Tabla2[ANY],$Z$150,Tabla2[MES],'2021'!J$2,Tabla2[TIPUS],'2021'!$A190)</f>
        <v>0</v>
      </c>
      <c r="K190" s="21">
        <f t="shared" ref="K190:K196" si="195">IF(J$189=0,0,J190/J$189)</f>
        <v>0</v>
      </c>
      <c r="L190" s="20">
        <f>SUMIFS(Tabla2[B],Tabla2[ANY],$Z$150,Tabla2[MES],'2021'!L$2,Tabla2[TIPUS],'2021'!$A190)</f>
        <v>0</v>
      </c>
      <c r="M190" s="21">
        <f t="shared" ref="M190:M196" si="196">IF(L$189=0,0,L190/L$189)</f>
        <v>0</v>
      </c>
      <c r="N190" s="20">
        <f>SUMIFS(Tabla2[B],Tabla2[ANY],$Z$150,Tabla2[MES],'2021'!N$2,Tabla2[TIPUS],'2021'!$A190)</f>
        <v>0</v>
      </c>
      <c r="O190" s="21">
        <f t="shared" ref="O190:O196" si="197">IF(N$189=0,0,N190/N$189)</f>
        <v>0</v>
      </c>
      <c r="P190" s="20">
        <f>SUMIFS(Tabla2[B],Tabla2[ANY],$Z$150,Tabla2[MES],'2021'!P$2,Tabla2[TIPUS],'2021'!$A190)</f>
        <v>0</v>
      </c>
      <c r="Q190" s="21">
        <f t="shared" ref="Q190:Q196" si="198">IF(P$189=0,0,P190/P$189)</f>
        <v>0</v>
      </c>
      <c r="R190" s="20">
        <f>SUMIFS(Tabla2[B],Tabla2[ANY],$Z$150,Tabla2[MES],'2021'!R$2,Tabla2[TIPUS],'2021'!$A190)</f>
        <v>0</v>
      </c>
      <c r="S190" s="21">
        <f t="shared" ref="S190:S196" si="199">IF(R$189=0,0,R190/R$189)</f>
        <v>0</v>
      </c>
      <c r="T190" s="20">
        <f>SUMIFS(Tabla2[B],Tabla2[ANY],$Z$150,Tabla2[MES],'2021'!T$2,Tabla2[TIPUS],'2021'!$A190)</f>
        <v>0</v>
      </c>
      <c r="U190" s="21">
        <f t="shared" ref="U190:U196" si="200">IF(T$189=0,0,T190/T$189)</f>
        <v>0</v>
      </c>
      <c r="V190" s="20">
        <f>SUMIFS(Tabla2[B],Tabla2[ANY],$Z$150,Tabla2[MES],'2021'!V$2,Tabla2[TIPUS],'2021'!$A190)</f>
        <v>0</v>
      </c>
      <c r="W190" s="21">
        <f t="shared" ref="W190:W196" si="201">IF(V$189=0,0,V190/V$189)</f>
        <v>0</v>
      </c>
      <c r="X190" s="20">
        <f>SUMIFS(Tabla2[B],Tabla2[ANY],$Z$150,Tabla2[MES],'2021'!X$2,Tabla2[TIPUS],'2021'!$A190)</f>
        <v>0</v>
      </c>
      <c r="Y190" s="21">
        <f t="shared" ref="Y190:Y196" si="202">IF(X$189=0,0,X190/X$189)</f>
        <v>0</v>
      </c>
      <c r="Z190" s="20">
        <f t="shared" ref="Z190:Z202" si="203">B190+D190+F190+H190+J190+L190+N190+P190+R190+T190+V190+X190</f>
        <v>0</v>
      </c>
      <c r="AA190" s="21">
        <f>IF(Z$41=0,0,Z190/Z$41)</f>
        <v>0</v>
      </c>
    </row>
    <row r="191" spans="1:27" hidden="1" outlineLevel="1" x14ac:dyDescent="0.2">
      <c r="A191" s="8" t="s">
        <v>17</v>
      </c>
      <c r="B191" s="20">
        <f>SUMIFS(Tabla2[B],Tabla2[ANY],$Z$150,Tabla2[MES],'2021'!B$2,Tabla2[TIPUS],'2021'!$A191)</f>
        <v>0</v>
      </c>
      <c r="C191" s="21">
        <f t="shared" ref="C191:E196" si="204">IF(B$189=0,0,B191/B$189)</f>
        <v>0</v>
      </c>
      <c r="D191" s="20">
        <f>SUMIFS(Tabla2[B],Tabla2[ANY],$Z$150,Tabla2[MES],'2021'!D$2,Tabla2[TIPUS],'2021'!$A191)</f>
        <v>0</v>
      </c>
      <c r="E191" s="21">
        <f t="shared" si="204"/>
        <v>0</v>
      </c>
      <c r="F191" s="20">
        <f>SUMIFS(Tabla2[B],Tabla2[ANY],$Z$150,Tabla2[MES],'2021'!F$2,Tabla2[TIPUS],'2021'!$A191)</f>
        <v>0</v>
      </c>
      <c r="G191" s="21">
        <f t="shared" si="193"/>
        <v>0</v>
      </c>
      <c r="H191" s="20">
        <f>SUMIFS(Tabla2[B],Tabla2[ANY],$Z$150,Tabla2[MES],'2021'!H$2,Tabla2[TIPUS],'2021'!$A191)</f>
        <v>0</v>
      </c>
      <c r="I191" s="21">
        <f t="shared" si="194"/>
        <v>0</v>
      </c>
      <c r="J191" s="20">
        <f>SUMIFS(Tabla2[B],Tabla2[ANY],$Z$150,Tabla2[MES],'2021'!J$2,Tabla2[TIPUS],'2021'!$A191)</f>
        <v>0</v>
      </c>
      <c r="K191" s="21">
        <f t="shared" si="195"/>
        <v>0</v>
      </c>
      <c r="L191" s="20">
        <f>SUMIFS(Tabla2[B],Tabla2[ANY],$Z$150,Tabla2[MES],'2021'!L$2,Tabla2[TIPUS],'2021'!$A191)</f>
        <v>0</v>
      </c>
      <c r="M191" s="21">
        <f t="shared" si="196"/>
        <v>0</v>
      </c>
      <c r="N191" s="20">
        <f>SUMIFS(Tabla2[B],Tabla2[ANY],$Z$150,Tabla2[MES],'2021'!N$2,Tabla2[TIPUS],'2021'!$A191)</f>
        <v>0</v>
      </c>
      <c r="O191" s="21">
        <f t="shared" si="197"/>
        <v>0</v>
      </c>
      <c r="P191" s="20">
        <f>SUMIFS(Tabla2[B],Tabla2[ANY],$Z$150,Tabla2[MES],'2021'!P$2,Tabla2[TIPUS],'2021'!$A191)</f>
        <v>0</v>
      </c>
      <c r="Q191" s="21">
        <f t="shared" si="198"/>
        <v>0</v>
      </c>
      <c r="R191" s="20">
        <f>SUMIFS(Tabla2[B],Tabla2[ANY],$Z$150,Tabla2[MES],'2021'!R$2,Tabla2[TIPUS],'2021'!$A191)</f>
        <v>0</v>
      </c>
      <c r="S191" s="21">
        <f t="shared" si="199"/>
        <v>0</v>
      </c>
      <c r="T191" s="20">
        <f>SUMIFS(Tabla2[B],Tabla2[ANY],$Z$150,Tabla2[MES],'2021'!T$2,Tabla2[TIPUS],'2021'!$A191)</f>
        <v>0</v>
      </c>
      <c r="U191" s="21">
        <f t="shared" si="200"/>
        <v>0</v>
      </c>
      <c r="V191" s="20">
        <f>SUMIFS(Tabla2[B],Tabla2[ANY],$Z$150,Tabla2[MES],'2021'!V$2,Tabla2[TIPUS],'2021'!$A191)</f>
        <v>0</v>
      </c>
      <c r="W191" s="21">
        <f t="shared" si="201"/>
        <v>0</v>
      </c>
      <c r="X191" s="20">
        <f>SUMIFS(Tabla2[B],Tabla2[ANY],$Z$150,Tabla2[MES],'2021'!X$2,Tabla2[TIPUS],'2021'!$A191)</f>
        <v>0</v>
      </c>
      <c r="Y191" s="21">
        <f t="shared" si="202"/>
        <v>0</v>
      </c>
      <c r="Z191" s="20">
        <f t="shared" si="203"/>
        <v>0</v>
      </c>
      <c r="AA191" s="21">
        <f t="shared" ref="AA191:AA196" si="205">IF(Z$41=0,0,Z191/Z$41)</f>
        <v>0</v>
      </c>
    </row>
    <row r="192" spans="1:27" hidden="1" outlineLevel="1" x14ac:dyDescent="0.2">
      <c r="A192" s="8" t="s">
        <v>85</v>
      </c>
      <c r="B192" s="20">
        <f>SUMIFS(Tabla2[B],Tabla2[ANY],$Z$150,Tabla2[MES],'2021'!B$2,Tabla2[TIPUS],'2021'!$A192)</f>
        <v>0</v>
      </c>
      <c r="C192" s="21">
        <f t="shared" si="204"/>
        <v>0</v>
      </c>
      <c r="D192" s="20">
        <f>SUMIFS(Tabla2[B],Tabla2[ANY],$Z$150,Tabla2[MES],'2021'!D$2,Tabla2[TIPUS],'2021'!$A192)</f>
        <v>0</v>
      </c>
      <c r="E192" s="21">
        <f t="shared" si="204"/>
        <v>0</v>
      </c>
      <c r="F192" s="20">
        <f>SUMIFS(Tabla2[B],Tabla2[ANY],$Z$150,Tabla2[MES],'2021'!F$2,Tabla2[TIPUS],'2021'!$A192)</f>
        <v>0</v>
      </c>
      <c r="G192" s="21">
        <f t="shared" si="193"/>
        <v>0</v>
      </c>
      <c r="H192" s="20">
        <f>SUMIFS(Tabla2[B],Tabla2[ANY],$Z$150,Tabla2[MES],'2021'!H$2,Tabla2[TIPUS],'2021'!$A192)</f>
        <v>90</v>
      </c>
      <c r="I192" s="21">
        <f t="shared" si="194"/>
        <v>1</v>
      </c>
      <c r="J192" s="20">
        <f>SUMIFS(Tabla2[B],Tabla2[ANY],$Z$150,Tabla2[MES],'2021'!J$2,Tabla2[TIPUS],'2021'!$A192)</f>
        <v>0</v>
      </c>
      <c r="K192" s="21">
        <f t="shared" si="195"/>
        <v>0</v>
      </c>
      <c r="L192" s="20">
        <f>SUMIFS(Tabla2[B],Tabla2[ANY],$Z$150,Tabla2[MES],'2021'!L$2,Tabla2[TIPUS],'2021'!$A192)</f>
        <v>0</v>
      </c>
      <c r="M192" s="21">
        <f t="shared" si="196"/>
        <v>0</v>
      </c>
      <c r="N192" s="20">
        <f>SUMIFS(Tabla2[B],Tabla2[ANY],$Z$150,Tabla2[MES],'2021'!N$2,Tabla2[TIPUS],'2021'!$A192)</f>
        <v>0</v>
      </c>
      <c r="O192" s="21">
        <f t="shared" si="197"/>
        <v>0</v>
      </c>
      <c r="P192" s="20">
        <f>SUMIFS(Tabla2[B],Tabla2[ANY],$Z$150,Tabla2[MES],'2021'!P$2,Tabla2[TIPUS],'2021'!$A192)</f>
        <v>0</v>
      </c>
      <c r="Q192" s="21">
        <f t="shared" si="198"/>
        <v>0</v>
      </c>
      <c r="R192" s="20">
        <f>SUMIFS(Tabla2[B],Tabla2[ANY],$Z$150,Tabla2[MES],'2021'!R$2,Tabla2[TIPUS],'2021'!$A192)</f>
        <v>180</v>
      </c>
      <c r="S192" s="21">
        <f t="shared" si="199"/>
        <v>1</v>
      </c>
      <c r="T192" s="20">
        <f>SUMIFS(Tabla2[B],Tabla2[ANY],$Z$150,Tabla2[MES],'2021'!T$2,Tabla2[TIPUS],'2021'!$A192)</f>
        <v>0</v>
      </c>
      <c r="U192" s="21">
        <f t="shared" si="200"/>
        <v>0</v>
      </c>
      <c r="V192" s="20">
        <f>SUMIFS(Tabla2[B],Tabla2[ANY],$Z$150,Tabla2[MES],'2021'!V$2,Tabla2[TIPUS],'2021'!$A192)</f>
        <v>0</v>
      </c>
      <c r="W192" s="21">
        <f t="shared" si="201"/>
        <v>0</v>
      </c>
      <c r="X192" s="20">
        <f>SUMIFS(Tabla2[B],Tabla2[ANY],$Z$150,Tabla2[MES],'2021'!X$2,Tabla2[TIPUS],'2021'!$A192)</f>
        <v>90</v>
      </c>
      <c r="Y192" s="21">
        <f t="shared" si="202"/>
        <v>1</v>
      </c>
      <c r="Z192" s="20">
        <f t="shared" si="203"/>
        <v>360</v>
      </c>
      <c r="AA192" s="21">
        <f t="shared" si="205"/>
        <v>6.6209575375923244E-2</v>
      </c>
    </row>
    <row r="193" spans="1:27" hidden="1" outlineLevel="1" x14ac:dyDescent="0.2">
      <c r="A193" s="8" t="s">
        <v>94</v>
      </c>
      <c r="B193" s="20">
        <f>SUMIFS(Tabla2[B],Tabla2[ANY],$Z$150,Tabla2[MES],'2021'!B$2,Tabla2[TIPUS],'2021'!$A193)</f>
        <v>0</v>
      </c>
      <c r="C193" s="21">
        <f t="shared" si="204"/>
        <v>0</v>
      </c>
      <c r="D193" s="20">
        <f>SUMIFS(Tabla2[B],Tabla2[ANY],$Z$150,Tabla2[MES],'2021'!D$2,Tabla2[TIPUS],'2021'!$A193)</f>
        <v>0</v>
      </c>
      <c r="E193" s="21">
        <f t="shared" si="204"/>
        <v>0</v>
      </c>
      <c r="F193" s="20">
        <f>SUMIFS(Tabla2[B],Tabla2[ANY],$Z$150,Tabla2[MES],'2021'!F$2,Tabla2[TIPUS],'2021'!$A193)</f>
        <v>0</v>
      </c>
      <c r="G193" s="21">
        <f t="shared" si="193"/>
        <v>0</v>
      </c>
      <c r="H193" s="20">
        <f>SUMIFS(Tabla2[B],Tabla2[ANY],$Z$150,Tabla2[MES],'2021'!H$2,Tabla2[TIPUS],'2021'!$A193)</f>
        <v>0</v>
      </c>
      <c r="I193" s="21">
        <f t="shared" si="194"/>
        <v>0</v>
      </c>
      <c r="J193" s="20">
        <f>SUMIFS(Tabla2[B],Tabla2[ANY],$Z$150,Tabla2[MES],'2021'!J$2,Tabla2[TIPUS],'2021'!$A193)</f>
        <v>0</v>
      </c>
      <c r="K193" s="21">
        <f t="shared" si="195"/>
        <v>0</v>
      </c>
      <c r="L193" s="20">
        <f>SUMIFS(Tabla2[B],Tabla2[ANY],$Z$150,Tabla2[MES],'2021'!L$2,Tabla2[TIPUS],'2021'!$A193)</f>
        <v>0</v>
      </c>
      <c r="M193" s="21">
        <f t="shared" si="196"/>
        <v>0</v>
      </c>
      <c r="N193" s="20">
        <f>SUMIFS(Tabla2[B],Tabla2[ANY],$Z$150,Tabla2[MES],'2021'!N$2,Tabla2[TIPUS],'2021'!$A193)</f>
        <v>0</v>
      </c>
      <c r="O193" s="21">
        <f t="shared" si="197"/>
        <v>0</v>
      </c>
      <c r="P193" s="20">
        <f>SUMIFS(Tabla2[B],Tabla2[ANY],$Z$150,Tabla2[MES],'2021'!P$2,Tabla2[TIPUS],'2021'!$A193)</f>
        <v>0</v>
      </c>
      <c r="Q193" s="21">
        <f t="shared" si="198"/>
        <v>0</v>
      </c>
      <c r="R193" s="20">
        <f>SUMIFS(Tabla2[B],Tabla2[ANY],$Z$150,Tabla2[MES],'2021'!R$2,Tabla2[TIPUS],'2021'!$A193)</f>
        <v>0</v>
      </c>
      <c r="S193" s="21">
        <f t="shared" si="199"/>
        <v>0</v>
      </c>
      <c r="T193" s="20">
        <f>SUMIFS(Tabla2[B],Tabla2[ANY],$Z$150,Tabla2[MES],'2021'!T$2,Tabla2[TIPUS],'2021'!$A193)</f>
        <v>0</v>
      </c>
      <c r="U193" s="21">
        <f t="shared" si="200"/>
        <v>0</v>
      </c>
      <c r="V193" s="20">
        <f>SUMIFS(Tabla2[B],Tabla2[ANY],$Z$150,Tabla2[MES],'2021'!V$2,Tabla2[TIPUS],'2021'!$A193)</f>
        <v>0</v>
      </c>
      <c r="W193" s="21">
        <f t="shared" si="201"/>
        <v>0</v>
      </c>
      <c r="X193" s="20">
        <f>SUMIFS(Tabla2[B],Tabla2[ANY],$Z$150,Tabla2[MES],'2021'!X$2,Tabla2[TIPUS],'2021'!$A193)</f>
        <v>0</v>
      </c>
      <c r="Y193" s="21">
        <f t="shared" si="202"/>
        <v>0</v>
      </c>
      <c r="Z193" s="20">
        <f t="shared" si="203"/>
        <v>0</v>
      </c>
      <c r="AA193" s="21">
        <f t="shared" si="205"/>
        <v>0</v>
      </c>
    </row>
    <row r="194" spans="1:27" hidden="1" outlineLevel="1" x14ac:dyDescent="0.2">
      <c r="A194" s="8" t="s">
        <v>118</v>
      </c>
      <c r="B194" s="20">
        <f>SUMIFS(Tabla2[B],Tabla2[ANY],$Z$150,Tabla2[MES],'2021'!B$2,Tabla2[TIPUS],'2021'!$A194)</f>
        <v>0</v>
      </c>
      <c r="C194" s="21">
        <f t="shared" si="204"/>
        <v>0</v>
      </c>
      <c r="D194" s="20">
        <f>SUMIFS(Tabla2[B],Tabla2[ANY],$Z$150,Tabla2[MES],'2021'!D$2,Tabla2[TIPUS],'2021'!$A194)</f>
        <v>0</v>
      </c>
      <c r="E194" s="21">
        <f t="shared" si="204"/>
        <v>0</v>
      </c>
      <c r="F194" s="20">
        <f>SUMIFS(Tabla2[B],Tabla2[ANY],$Z$150,Tabla2[MES],'2021'!F$2,Tabla2[TIPUS],'2021'!$A194)</f>
        <v>0</v>
      </c>
      <c r="G194" s="21">
        <f t="shared" si="193"/>
        <v>0</v>
      </c>
      <c r="H194" s="20">
        <f>SUMIFS(Tabla2[B],Tabla2[ANY],$Z$150,Tabla2[MES],'2021'!H$2,Tabla2[TIPUS],'2021'!$A194)</f>
        <v>0</v>
      </c>
      <c r="I194" s="21">
        <f t="shared" si="194"/>
        <v>0</v>
      </c>
      <c r="J194" s="20">
        <f>SUMIFS(Tabla2[B],Tabla2[ANY],$Z$150,Tabla2[MES],'2021'!J$2,Tabla2[TIPUS],'2021'!$A194)</f>
        <v>0</v>
      </c>
      <c r="K194" s="21">
        <f t="shared" si="195"/>
        <v>0</v>
      </c>
      <c r="L194" s="20">
        <f>SUMIFS(Tabla2[B],Tabla2[ANY],$Z$150,Tabla2[MES],'2021'!L$2,Tabla2[TIPUS],'2021'!$A194)</f>
        <v>0</v>
      </c>
      <c r="M194" s="21">
        <f t="shared" si="196"/>
        <v>0</v>
      </c>
      <c r="N194" s="20">
        <f>SUMIFS(Tabla2[B],Tabla2[ANY],$Z$150,Tabla2[MES],'2021'!N$2,Tabla2[TIPUS],'2021'!$A194)</f>
        <v>0</v>
      </c>
      <c r="O194" s="21">
        <f t="shared" si="197"/>
        <v>0</v>
      </c>
      <c r="P194" s="20">
        <f>SUMIFS(Tabla2[B],Tabla2[ANY],$Z$150,Tabla2[MES],'2021'!P$2,Tabla2[TIPUS],'2021'!$A194)</f>
        <v>0</v>
      </c>
      <c r="Q194" s="21">
        <f t="shared" si="198"/>
        <v>0</v>
      </c>
      <c r="R194" s="20">
        <f>SUMIFS(Tabla2[B],Tabla2[ANY],$Z$150,Tabla2[MES],'2021'!R$2,Tabla2[TIPUS],'2021'!$A194)</f>
        <v>0</v>
      </c>
      <c r="S194" s="21">
        <f t="shared" si="199"/>
        <v>0</v>
      </c>
      <c r="T194" s="20">
        <f>SUMIFS(Tabla2[B],Tabla2[ANY],$Z$150,Tabla2[MES],'2021'!T$2,Tabla2[TIPUS],'2021'!$A194)</f>
        <v>0</v>
      </c>
      <c r="U194" s="21">
        <f t="shared" si="200"/>
        <v>0</v>
      </c>
      <c r="V194" s="20">
        <f>SUMIFS(Tabla2[B],Tabla2[ANY],$Z$150,Tabla2[MES],'2021'!V$2,Tabla2[TIPUS],'2021'!$A194)</f>
        <v>0</v>
      </c>
      <c r="W194" s="21">
        <f t="shared" si="201"/>
        <v>0</v>
      </c>
      <c r="X194" s="20">
        <f>SUMIFS(Tabla2[B],Tabla2[ANY],$Z$150,Tabla2[MES],'2021'!X$2,Tabla2[TIPUS],'2021'!$A194)</f>
        <v>0</v>
      </c>
      <c r="Y194" s="21">
        <f t="shared" si="202"/>
        <v>0</v>
      </c>
      <c r="Z194" s="20">
        <f t="shared" si="203"/>
        <v>0</v>
      </c>
      <c r="AA194" s="21">
        <f t="shared" si="205"/>
        <v>0</v>
      </c>
    </row>
    <row r="195" spans="1:27" hidden="1" outlineLevel="1" x14ac:dyDescent="0.2">
      <c r="A195" s="8" t="s">
        <v>97</v>
      </c>
      <c r="B195" s="20">
        <f>SUMIFS(Tabla2[B],Tabla2[ANY],$Z$150,Tabla2[MES],'2021'!B$2,Tabla2[TIPUS],'2021'!$A195)</f>
        <v>0</v>
      </c>
      <c r="C195" s="21">
        <f t="shared" si="204"/>
        <v>0</v>
      </c>
      <c r="D195" s="20">
        <f>SUMIFS(Tabla2[B],Tabla2[ANY],$Z$150,Tabla2[MES],'2021'!D$2,Tabla2[TIPUS],'2021'!$A195)</f>
        <v>0</v>
      </c>
      <c r="E195" s="21">
        <f t="shared" si="204"/>
        <v>0</v>
      </c>
      <c r="F195" s="20">
        <f>SUMIFS(Tabla2[B],Tabla2[ANY],$Z$150,Tabla2[MES],'2021'!F$2,Tabla2[TIPUS],'2021'!$A195)</f>
        <v>0</v>
      </c>
      <c r="G195" s="21">
        <f t="shared" si="193"/>
        <v>0</v>
      </c>
      <c r="H195" s="20">
        <f>SUMIFS(Tabla2[B],Tabla2[ANY],$Z$150,Tabla2[MES],'2021'!H$2,Tabla2[TIPUS],'2021'!$A195)</f>
        <v>0</v>
      </c>
      <c r="I195" s="21">
        <f t="shared" si="194"/>
        <v>0</v>
      </c>
      <c r="J195" s="20">
        <f>SUMIFS(Tabla2[B],Tabla2[ANY],$Z$150,Tabla2[MES],'2021'!J$2,Tabla2[TIPUS],'2021'!$A195)</f>
        <v>0</v>
      </c>
      <c r="K195" s="21">
        <f t="shared" si="195"/>
        <v>0</v>
      </c>
      <c r="L195" s="20">
        <f>SUMIFS(Tabla2[B],Tabla2[ANY],$Z$150,Tabla2[MES],'2021'!L$2,Tabla2[TIPUS],'2021'!$A195)</f>
        <v>0</v>
      </c>
      <c r="M195" s="21">
        <f t="shared" si="196"/>
        <v>0</v>
      </c>
      <c r="N195" s="20">
        <f>SUMIFS(Tabla2[B],Tabla2[ANY],$Z$150,Tabla2[MES],'2021'!N$2,Tabla2[TIPUS],'2021'!$A195)</f>
        <v>0</v>
      </c>
      <c r="O195" s="21">
        <f t="shared" si="197"/>
        <v>0</v>
      </c>
      <c r="P195" s="20">
        <f>SUMIFS(Tabla2[B],Tabla2[ANY],$Z$150,Tabla2[MES],'2021'!P$2,Tabla2[TIPUS],'2021'!$A195)</f>
        <v>0</v>
      </c>
      <c r="Q195" s="21">
        <f t="shared" si="198"/>
        <v>0</v>
      </c>
      <c r="R195" s="20">
        <f>SUMIFS(Tabla2[B],Tabla2[ANY],$Z$150,Tabla2[MES],'2021'!R$2,Tabla2[TIPUS],'2021'!$A195)</f>
        <v>0</v>
      </c>
      <c r="S195" s="21">
        <f t="shared" si="199"/>
        <v>0</v>
      </c>
      <c r="T195" s="20">
        <f>SUMIFS(Tabla2[B],Tabla2[ANY],$Z$150,Tabla2[MES],'2021'!T$2,Tabla2[TIPUS],'2021'!$A195)</f>
        <v>0</v>
      </c>
      <c r="U195" s="21">
        <f t="shared" si="200"/>
        <v>0</v>
      </c>
      <c r="V195" s="20">
        <f>SUMIFS(Tabla2[B],Tabla2[ANY],$Z$150,Tabla2[MES],'2021'!V$2,Tabla2[TIPUS],'2021'!$A195)</f>
        <v>0</v>
      </c>
      <c r="W195" s="21">
        <f t="shared" si="201"/>
        <v>0</v>
      </c>
      <c r="X195" s="20">
        <f>SUMIFS(Tabla2[B],Tabla2[ANY],$Z$150,Tabla2[MES],'2021'!X$2,Tabla2[TIPUS],'2021'!$A195)</f>
        <v>0</v>
      </c>
      <c r="Y195" s="21">
        <f t="shared" si="202"/>
        <v>0</v>
      </c>
      <c r="Z195" s="20">
        <f t="shared" si="203"/>
        <v>0</v>
      </c>
      <c r="AA195" s="21">
        <f t="shared" si="205"/>
        <v>0</v>
      </c>
    </row>
    <row r="196" spans="1:27" hidden="1" outlineLevel="1" x14ac:dyDescent="0.2">
      <c r="A196" s="8" t="s">
        <v>113</v>
      </c>
      <c r="B196" s="20">
        <f>SUMIFS(Tabla2[B],Tabla2[ANY],$Z$150,Tabla2[MES],'2021'!B$2,Tabla2[TIPUS],'2021'!$A196)</f>
        <v>0</v>
      </c>
      <c r="C196" s="21">
        <f t="shared" si="204"/>
        <v>0</v>
      </c>
      <c r="D196" s="20">
        <f>SUMIFS(Tabla2[B],Tabla2[ANY],$Z$150,Tabla2[MES],'2021'!D$2,Tabla2[TIPUS],'2021'!$A196)</f>
        <v>0</v>
      </c>
      <c r="E196" s="21">
        <f t="shared" si="204"/>
        <v>0</v>
      </c>
      <c r="F196" s="20">
        <f>SUMIFS(Tabla2[B],Tabla2[ANY],$Z$150,Tabla2[MES],'2021'!F$2,Tabla2[TIPUS],'2021'!$A196)</f>
        <v>0</v>
      </c>
      <c r="G196" s="21">
        <f t="shared" si="193"/>
        <v>0</v>
      </c>
      <c r="H196" s="20">
        <f>SUMIFS(Tabla2[B],Tabla2[ANY],$Z$150,Tabla2[MES],'2021'!H$2,Tabla2[TIPUS],'2021'!$A196)</f>
        <v>0</v>
      </c>
      <c r="I196" s="21">
        <f t="shared" si="194"/>
        <v>0</v>
      </c>
      <c r="J196" s="20">
        <f>SUMIFS(Tabla2[B],Tabla2[ANY],$Z$150,Tabla2[MES],'2021'!J$2,Tabla2[TIPUS],'2021'!$A196)</f>
        <v>0</v>
      </c>
      <c r="K196" s="21">
        <f t="shared" si="195"/>
        <v>0</v>
      </c>
      <c r="L196" s="20">
        <f>SUMIFS(Tabla2[B],Tabla2[ANY],$Z$150,Tabla2[MES],'2021'!L$2,Tabla2[TIPUS],'2021'!$A196)</f>
        <v>0</v>
      </c>
      <c r="M196" s="21">
        <f t="shared" si="196"/>
        <v>0</v>
      </c>
      <c r="N196" s="20">
        <f>SUMIFS(Tabla2[B],Tabla2[ANY],$Z$150,Tabla2[MES],'2021'!N$2,Tabla2[TIPUS],'2021'!$A196)</f>
        <v>0</v>
      </c>
      <c r="O196" s="21">
        <f t="shared" si="197"/>
        <v>0</v>
      </c>
      <c r="P196" s="20">
        <f>SUMIFS(Tabla2[B],Tabla2[ANY],$Z$150,Tabla2[MES],'2021'!P$2,Tabla2[TIPUS],'2021'!$A196)</f>
        <v>0</v>
      </c>
      <c r="Q196" s="21">
        <f t="shared" si="198"/>
        <v>0</v>
      </c>
      <c r="R196" s="20">
        <f>SUMIFS(Tabla2[B],Tabla2[ANY],$Z$150,Tabla2[MES],'2021'!R$2,Tabla2[TIPUS],'2021'!$A196)</f>
        <v>0</v>
      </c>
      <c r="S196" s="21">
        <f t="shared" si="199"/>
        <v>0</v>
      </c>
      <c r="T196" s="20">
        <f>SUMIFS(Tabla2[B],Tabla2[ANY],$Z$150,Tabla2[MES],'2021'!T$2,Tabla2[TIPUS],'2021'!$A196)</f>
        <v>0</v>
      </c>
      <c r="U196" s="21">
        <f t="shared" si="200"/>
        <v>0</v>
      </c>
      <c r="V196" s="20">
        <f>SUMIFS(Tabla2[B],Tabla2[ANY],$Z$150,Tabla2[MES],'2021'!V$2,Tabla2[TIPUS],'2021'!$A196)</f>
        <v>0</v>
      </c>
      <c r="W196" s="21">
        <f t="shared" si="201"/>
        <v>0</v>
      </c>
      <c r="X196" s="20">
        <f>SUMIFS(Tabla2[B],Tabla2[ANY],$Z$150,Tabla2[MES],'2021'!X$2,Tabla2[TIPUS],'2021'!$A196)</f>
        <v>0</v>
      </c>
      <c r="Y196" s="21">
        <f t="shared" si="202"/>
        <v>0</v>
      </c>
      <c r="Z196" s="20">
        <f t="shared" si="203"/>
        <v>0</v>
      </c>
      <c r="AA196" s="21">
        <f t="shared" si="205"/>
        <v>0</v>
      </c>
    </row>
    <row r="197" spans="1:27" collapsed="1" x14ac:dyDescent="0.2">
      <c r="A197" s="34" t="s">
        <v>86</v>
      </c>
      <c r="B197" s="18">
        <f>SUM(B198:B202)</f>
        <v>0</v>
      </c>
      <c r="C197" s="19">
        <f>IF(B$188=0,0,B197/B$188)</f>
        <v>0</v>
      </c>
      <c r="D197" s="18">
        <f>SUM(D198:D202)</f>
        <v>0</v>
      </c>
      <c r="E197" s="19">
        <f>IF(D$188=0,0,D197/D$188)</f>
        <v>0</v>
      </c>
      <c r="F197" s="18">
        <f>SUM(F198:F202)</f>
        <v>0</v>
      </c>
      <c r="G197" s="19">
        <f>IF(F$188=0,0,F197/F$188)</f>
        <v>0</v>
      </c>
      <c r="H197" s="18">
        <f>SUM(H198:H202)</f>
        <v>0</v>
      </c>
      <c r="I197" s="19">
        <f>IF(H$188=0,0,H197/H$188)</f>
        <v>0</v>
      </c>
      <c r="J197" s="18">
        <f>SUM(J198:J202)</f>
        <v>0</v>
      </c>
      <c r="K197" s="19">
        <f>IF(J$188=0,0,J197/J$188)</f>
        <v>0</v>
      </c>
      <c r="L197" s="18">
        <f>SUM(L198:L202)</f>
        <v>0</v>
      </c>
      <c r="M197" s="19">
        <f>IF(L$188=0,0,L197/L$188)</f>
        <v>0</v>
      </c>
      <c r="N197" s="18">
        <f>SUM(N198:N202)</f>
        <v>0</v>
      </c>
      <c r="O197" s="19">
        <f>IF(N$188=0,0,N197/N$188)</f>
        <v>0</v>
      </c>
      <c r="P197" s="18">
        <f>SUM(P198:P202)</f>
        <v>0</v>
      </c>
      <c r="Q197" s="19">
        <f>IF(P$188=0,0,P197/P$188)</f>
        <v>0</v>
      </c>
      <c r="R197" s="18">
        <f>SUM(R198:R202)</f>
        <v>60</v>
      </c>
      <c r="S197" s="19">
        <f>IF(R$188=0,0,R197/R$188)</f>
        <v>0.25</v>
      </c>
      <c r="T197" s="18">
        <f>SUM(T198:T202)</f>
        <v>20</v>
      </c>
      <c r="U197" s="19">
        <f>IF(T$188=0,0,T197/T$188)</f>
        <v>1</v>
      </c>
      <c r="V197" s="18">
        <f>SUM(V198:V202)</f>
        <v>90</v>
      </c>
      <c r="W197" s="19">
        <f>IF(V$188=0,0,V197/V$188)</f>
        <v>1</v>
      </c>
      <c r="X197" s="18">
        <f>SUM(X198:X202)</f>
        <v>180</v>
      </c>
      <c r="Y197" s="19">
        <f>IF(X$188=0,0,X197/X$188)</f>
        <v>0.66666666666666663</v>
      </c>
      <c r="Z197" s="18">
        <f>SUM(Z198:Z202)</f>
        <v>350</v>
      </c>
      <c r="AA197" s="19">
        <f>IF(Z$40=0,0,Z197/Z$40)</f>
        <v>5.3361223466131626E-2</v>
      </c>
    </row>
    <row r="198" spans="1:27" hidden="1" outlineLevel="1" x14ac:dyDescent="0.2">
      <c r="A198" s="8" t="s">
        <v>87</v>
      </c>
      <c r="B198" s="20">
        <f>SUMIFS(Tabla2[B],Tabla2[ANY],$Z$150,Tabla2[MES],'2021'!B$2,Tabla2[TIPUS],'2021'!$A198)</f>
        <v>0</v>
      </c>
      <c r="C198" s="21">
        <f>IF(B$197=0,0,B198/B$197)</f>
        <v>0</v>
      </c>
      <c r="D198" s="20">
        <f>SUMIFS(Tabla2[B],Tabla2[ANY],$Z$150,Tabla2[MES],'2021'!D$2,Tabla2[TIPUS],'2021'!$A198)</f>
        <v>0</v>
      </c>
      <c r="E198" s="21">
        <f>IF(D$197=0,0,D198/D$197)</f>
        <v>0</v>
      </c>
      <c r="F198" s="20">
        <f>SUMIFS(Tabla2[B],Tabla2[ANY],$Z$150,Tabla2[MES],'2021'!F$2,Tabla2[TIPUS],'2021'!$A198)</f>
        <v>0</v>
      </c>
      <c r="G198" s="21">
        <f>IF(F$197=0,0,F198/F$197)</f>
        <v>0</v>
      </c>
      <c r="H198" s="20">
        <f>SUMIFS(Tabla2[B],Tabla2[ANY],$Z$150,Tabla2[MES],'2021'!H$2,Tabla2[TIPUS],'2021'!$A198)</f>
        <v>0</v>
      </c>
      <c r="I198" s="21">
        <f>IF(H$197=0,0,H198/H$197)</f>
        <v>0</v>
      </c>
      <c r="J198" s="20">
        <f>SUMIFS(Tabla2[B],Tabla2[ANY],$Z$150,Tabla2[MES],'2021'!J$2,Tabla2[TIPUS],'2021'!$A198)</f>
        <v>0</v>
      </c>
      <c r="K198" s="21">
        <f>IF(J$197=0,0,J198/J$197)</f>
        <v>0</v>
      </c>
      <c r="L198" s="20">
        <f>SUMIFS(Tabla2[B],Tabla2[ANY],$Z$150,Tabla2[MES],'2021'!L$2,Tabla2[TIPUS],'2021'!$A198)</f>
        <v>0</v>
      </c>
      <c r="M198" s="21">
        <f>IF(L$197=0,0,L198/L$197)</f>
        <v>0</v>
      </c>
      <c r="N198" s="20">
        <f>SUMIFS(Tabla2[B],Tabla2[ANY],$Z$150,Tabla2[MES],'2021'!N$2,Tabla2[TIPUS],'2021'!$A198)</f>
        <v>0</v>
      </c>
      <c r="O198" s="21">
        <f>IF(N$197=0,0,N198/N$197)</f>
        <v>0</v>
      </c>
      <c r="P198" s="20">
        <f>SUMIFS(Tabla2[B],Tabla2[ANY],$Z$150,Tabla2[MES],'2021'!P$2,Tabla2[TIPUS],'2021'!$A198)</f>
        <v>0</v>
      </c>
      <c r="Q198" s="21">
        <f>IF(P$197=0,0,P198/P$197)</f>
        <v>0</v>
      </c>
      <c r="R198" s="20">
        <f>SUMIFS(Tabla2[B],Tabla2[ANY],$Z$150,Tabla2[MES],'2021'!R$2,Tabla2[TIPUS],'2021'!$A198)</f>
        <v>0</v>
      </c>
      <c r="S198" s="21">
        <f>IF(R$197=0,0,R198/R$197)</f>
        <v>0</v>
      </c>
      <c r="T198" s="20">
        <f>SUMIFS(Tabla2[B],Tabla2[ANY],$Z$150,Tabla2[MES],'2021'!T$2,Tabla2[TIPUS],'2021'!$A198)</f>
        <v>0</v>
      </c>
      <c r="U198" s="21">
        <f>IF(T$197=0,0,T198/T$197)</f>
        <v>0</v>
      </c>
      <c r="V198" s="20">
        <f>SUMIFS(Tabla2[B],Tabla2[ANY],$Z$150,Tabla2[MES],'2021'!V$2,Tabla2[TIPUS],'2021'!$A198)</f>
        <v>0</v>
      </c>
      <c r="W198" s="21">
        <f>IF(V$197=0,0,V198/V$197)</f>
        <v>0</v>
      </c>
      <c r="X198" s="20">
        <f>SUMIFS(Tabla2[B],Tabla2[ANY],$Z$150,Tabla2[MES],'2021'!X$2,Tabla2[TIPUS],'2021'!$A198)</f>
        <v>0</v>
      </c>
      <c r="Y198" s="21">
        <f>IF(X$197=0,0,X198/X$197)</f>
        <v>0</v>
      </c>
      <c r="Z198" s="20">
        <f t="shared" si="203"/>
        <v>0</v>
      </c>
      <c r="AA198" s="21">
        <f>IF(Z$49=0,0,Z198/Z$49)</f>
        <v>0</v>
      </c>
    </row>
    <row r="199" spans="1:27" hidden="1" outlineLevel="1" x14ac:dyDescent="0.2">
      <c r="A199" s="8" t="s">
        <v>88</v>
      </c>
      <c r="B199" s="20">
        <f>SUMIFS(Tabla2[B],Tabla2[ANY],$Z$150,Tabla2[MES],'2021'!B$2,Tabla2[TIPUS],'2021'!$A199)</f>
        <v>0</v>
      </c>
      <c r="C199" s="21">
        <f t="shared" ref="C199:E202" si="206">IF(B$197=0,0,B199/B$197)</f>
        <v>0</v>
      </c>
      <c r="D199" s="20">
        <f>SUMIFS(Tabla2[B],Tabla2[ANY],$Z$150,Tabla2[MES],'2021'!D$2,Tabla2[TIPUS],'2021'!$A199)</f>
        <v>0</v>
      </c>
      <c r="E199" s="21">
        <f t="shared" si="206"/>
        <v>0</v>
      </c>
      <c r="F199" s="20">
        <f>SUMIFS(Tabla2[B],Tabla2[ANY],$Z$150,Tabla2[MES],'2021'!F$2,Tabla2[TIPUS],'2021'!$A199)</f>
        <v>0</v>
      </c>
      <c r="G199" s="21">
        <f>IF(F$197=0,0,F199/F$197)</f>
        <v>0</v>
      </c>
      <c r="H199" s="20">
        <f>SUMIFS(Tabla2[B],Tabla2[ANY],$Z$150,Tabla2[MES],'2021'!H$2,Tabla2[TIPUS],'2021'!$A199)</f>
        <v>0</v>
      </c>
      <c r="I199" s="21">
        <f>IF(H$197=0,0,H199/H$197)</f>
        <v>0</v>
      </c>
      <c r="J199" s="20">
        <f>SUMIFS(Tabla2[B],Tabla2[ANY],$Z$150,Tabla2[MES],'2021'!J$2,Tabla2[TIPUS],'2021'!$A199)</f>
        <v>0</v>
      </c>
      <c r="K199" s="21">
        <f>IF(J$197=0,0,J199/J$197)</f>
        <v>0</v>
      </c>
      <c r="L199" s="20">
        <f>SUMIFS(Tabla2[B],Tabla2[ANY],$Z$150,Tabla2[MES],'2021'!L$2,Tabla2[TIPUS],'2021'!$A199)</f>
        <v>0</v>
      </c>
      <c r="M199" s="21">
        <f>IF(L$197=0,0,L199/L$197)</f>
        <v>0</v>
      </c>
      <c r="N199" s="20">
        <f>SUMIFS(Tabla2[B],Tabla2[ANY],$Z$150,Tabla2[MES],'2021'!N$2,Tabla2[TIPUS],'2021'!$A199)</f>
        <v>0</v>
      </c>
      <c r="O199" s="21">
        <f>IF(N$197=0,0,N199/N$197)</f>
        <v>0</v>
      </c>
      <c r="P199" s="20">
        <f>SUMIFS(Tabla2[B],Tabla2[ANY],$Z$150,Tabla2[MES],'2021'!P$2,Tabla2[TIPUS],'2021'!$A199)</f>
        <v>0</v>
      </c>
      <c r="Q199" s="21">
        <f>IF(P$197=0,0,P199/P$197)</f>
        <v>0</v>
      </c>
      <c r="R199" s="20">
        <f>SUMIFS(Tabla2[B],Tabla2[ANY],$Z$150,Tabla2[MES],'2021'!R$2,Tabla2[TIPUS],'2021'!$A199)</f>
        <v>0</v>
      </c>
      <c r="S199" s="21">
        <f>IF(R$197=0,0,R199/R$197)</f>
        <v>0</v>
      </c>
      <c r="T199" s="20">
        <f>SUMIFS(Tabla2[B],Tabla2[ANY],$Z$150,Tabla2[MES],'2021'!T$2,Tabla2[TIPUS],'2021'!$A199)</f>
        <v>0</v>
      </c>
      <c r="U199" s="21">
        <f>IF(T$197=0,0,T199/T$197)</f>
        <v>0</v>
      </c>
      <c r="V199" s="20">
        <f>SUMIFS(Tabla2[B],Tabla2[ANY],$Z$150,Tabla2[MES],'2021'!V$2,Tabla2[TIPUS],'2021'!$A199)</f>
        <v>0</v>
      </c>
      <c r="W199" s="21">
        <f>IF(V$197=0,0,V199/V$197)</f>
        <v>0</v>
      </c>
      <c r="X199" s="20">
        <f>SUMIFS(Tabla2[B],Tabla2[ANY],$Z$150,Tabla2[MES],'2021'!X$2,Tabla2[TIPUS],'2021'!$A199)</f>
        <v>0</v>
      </c>
      <c r="Y199" s="21">
        <f>IF(X$197=0,0,X199/X$197)</f>
        <v>0</v>
      </c>
      <c r="Z199" s="20">
        <f t="shared" si="203"/>
        <v>0</v>
      </c>
      <c r="AA199" s="21">
        <f>IF(Z$49=0,0,Z199/Z$49)</f>
        <v>0</v>
      </c>
    </row>
    <row r="200" spans="1:27" hidden="1" outlineLevel="1" x14ac:dyDescent="0.2">
      <c r="A200" s="8" t="s">
        <v>89</v>
      </c>
      <c r="B200" s="20">
        <f>SUMIFS(Tabla2[B],Tabla2[ANY],$Z$150,Tabla2[MES],'2021'!B$2,Tabla2[TIPUS],'2021'!$A200)</f>
        <v>0</v>
      </c>
      <c r="C200" s="21">
        <f t="shared" si="206"/>
        <v>0</v>
      </c>
      <c r="D200" s="20">
        <f>SUMIFS(Tabla2[B],Tabla2[ANY],$Z$150,Tabla2[MES],'2021'!D$2,Tabla2[TIPUS],'2021'!$A200)</f>
        <v>0</v>
      </c>
      <c r="E200" s="21">
        <f t="shared" si="206"/>
        <v>0</v>
      </c>
      <c r="F200" s="20">
        <f>SUMIFS(Tabla2[B],Tabla2[ANY],$Z$150,Tabla2[MES],'2021'!F$2,Tabla2[TIPUS],'2021'!$A200)</f>
        <v>0</v>
      </c>
      <c r="G200" s="21">
        <f>IF(F$197=0,0,F200/F$197)</f>
        <v>0</v>
      </c>
      <c r="H200" s="20">
        <f>SUMIFS(Tabla2[B],Tabla2[ANY],$Z$150,Tabla2[MES],'2021'!H$2,Tabla2[TIPUS],'2021'!$A200)</f>
        <v>0</v>
      </c>
      <c r="I200" s="21">
        <f>IF(H$197=0,0,H200/H$197)</f>
        <v>0</v>
      </c>
      <c r="J200" s="20">
        <f>SUMIFS(Tabla2[B],Tabla2[ANY],$Z$150,Tabla2[MES],'2021'!J$2,Tabla2[TIPUS],'2021'!$A200)</f>
        <v>0</v>
      </c>
      <c r="K200" s="21">
        <f>IF(J$197=0,0,J200/J$197)</f>
        <v>0</v>
      </c>
      <c r="L200" s="20">
        <f>SUMIFS(Tabla2[B],Tabla2[ANY],$Z$150,Tabla2[MES],'2021'!L$2,Tabla2[TIPUS],'2021'!$A200)</f>
        <v>0</v>
      </c>
      <c r="M200" s="21">
        <f>IF(L$197=0,0,L200/L$197)</f>
        <v>0</v>
      </c>
      <c r="N200" s="20">
        <f>SUMIFS(Tabla2[B],Tabla2[ANY],$Z$150,Tabla2[MES],'2021'!N$2,Tabla2[TIPUS],'2021'!$A200)</f>
        <v>0</v>
      </c>
      <c r="O200" s="21">
        <f>IF(N$197=0,0,N200/N$197)</f>
        <v>0</v>
      </c>
      <c r="P200" s="20">
        <f>SUMIFS(Tabla2[B],Tabla2[ANY],$Z$150,Tabla2[MES],'2021'!P$2,Tabla2[TIPUS],'2021'!$A200)</f>
        <v>0</v>
      </c>
      <c r="Q200" s="21">
        <f>IF(P$197=0,0,P200/P$197)</f>
        <v>0</v>
      </c>
      <c r="R200" s="20">
        <f>SUMIFS(Tabla2[B],Tabla2[ANY],$Z$150,Tabla2[MES],'2021'!R$2,Tabla2[TIPUS],'2021'!$A200)</f>
        <v>60</v>
      </c>
      <c r="S200" s="21">
        <f>IF(R$197=0,0,R200/R$197)</f>
        <v>1</v>
      </c>
      <c r="T200" s="20">
        <f>SUMIFS(Tabla2[B],Tabla2[ANY],$Z$150,Tabla2[MES],'2021'!T$2,Tabla2[TIPUS],'2021'!$A200)</f>
        <v>20</v>
      </c>
      <c r="U200" s="21">
        <f>IF(T$197=0,0,T200/T$197)</f>
        <v>1</v>
      </c>
      <c r="V200" s="20">
        <f>SUMIFS(Tabla2[B],Tabla2[ANY],$Z$150,Tabla2[MES],'2021'!V$2,Tabla2[TIPUS],'2021'!$A200)</f>
        <v>0</v>
      </c>
      <c r="W200" s="21">
        <f>IF(V$197=0,0,V200/V$197)</f>
        <v>0</v>
      </c>
      <c r="X200" s="20">
        <f>SUMIFS(Tabla2[B],Tabla2[ANY],$Z$150,Tabla2[MES],'2021'!X$2,Tabla2[TIPUS],'2021'!$A200)</f>
        <v>0</v>
      </c>
      <c r="Y200" s="21">
        <f>IF(X$197=0,0,X200/X$197)</f>
        <v>0</v>
      </c>
      <c r="Z200" s="20">
        <f t="shared" si="203"/>
        <v>80</v>
      </c>
      <c r="AA200" s="21">
        <f>IF(Z$49=0,0,Z200/Z$49)</f>
        <v>7.1314595423385835E-2</v>
      </c>
    </row>
    <row r="201" spans="1:27" hidden="1" outlineLevel="1" x14ac:dyDescent="0.2">
      <c r="A201" s="8" t="s">
        <v>145</v>
      </c>
      <c r="B201" s="20">
        <f>SUMIFS(Tabla2[B],Tabla2[ANY],$Z$150,Tabla2[MES],'2021'!B$2,Tabla2[TIPUS],'2021'!$A201)</f>
        <v>0</v>
      </c>
      <c r="C201" s="21">
        <f>IF(B$197=0,0,B201/B$197)</f>
        <v>0</v>
      </c>
      <c r="D201" s="20">
        <f>SUMIFS(Tabla2[B],Tabla2[ANY],$Z$150,Tabla2[MES],'2021'!D$2,Tabla2[TIPUS],'2021'!$A201)</f>
        <v>0</v>
      </c>
      <c r="E201" s="21">
        <f>IF(D$197=0,0,D201/D$197)</f>
        <v>0</v>
      </c>
      <c r="F201" s="20">
        <f>SUMIFS(Tabla2[B],Tabla2[ANY],$Z$150,Tabla2[MES],'2021'!F$2,Tabla2[TIPUS],'2021'!$A201)</f>
        <v>0</v>
      </c>
      <c r="G201" s="21">
        <f>IF(F$197=0,0,F201/F$197)</f>
        <v>0</v>
      </c>
      <c r="H201" s="20">
        <f>SUMIFS(Tabla2[B],Tabla2[ANY],$Z$150,Tabla2[MES],'2021'!H$2,Tabla2[TIPUS],'2021'!$A201)</f>
        <v>0</v>
      </c>
      <c r="I201" s="21">
        <f>IF(H$197=0,0,H201/H$197)</f>
        <v>0</v>
      </c>
      <c r="J201" s="20">
        <f>SUMIFS(Tabla2[B],Tabla2[ANY],$Z$150,Tabla2[MES],'2021'!J$2,Tabla2[TIPUS],'2021'!$A201)</f>
        <v>0</v>
      </c>
      <c r="K201" s="21">
        <f>IF(J$197=0,0,J201/J$197)</f>
        <v>0</v>
      </c>
      <c r="L201" s="20">
        <f>SUMIFS(Tabla2[B],Tabla2[ANY],$Z$150,Tabla2[MES],'2021'!L$2,Tabla2[TIPUS],'2021'!$A201)</f>
        <v>0</v>
      </c>
      <c r="M201" s="21">
        <f>IF(L$197=0,0,L201/L$197)</f>
        <v>0</v>
      </c>
      <c r="N201" s="20">
        <f>SUMIFS(Tabla2[B],Tabla2[ANY],$Z$150,Tabla2[MES],'2021'!N$2,Tabla2[TIPUS],'2021'!$A201)</f>
        <v>0</v>
      </c>
      <c r="O201" s="21">
        <f>IF(N$197=0,0,N201/N$197)</f>
        <v>0</v>
      </c>
      <c r="P201" s="20">
        <f>SUMIFS(Tabla2[B],Tabla2[ANY],$Z$150,Tabla2[MES],'2021'!P$2,Tabla2[TIPUS],'2021'!$A201)</f>
        <v>0</v>
      </c>
      <c r="Q201" s="21">
        <f>IF(P$197=0,0,P201/P$197)</f>
        <v>0</v>
      </c>
      <c r="R201" s="20">
        <f>SUMIFS(Tabla2[B],Tabla2[ANY],$Z$150,Tabla2[MES],'2021'!R$2,Tabla2[TIPUS],'2021'!$A201)</f>
        <v>0</v>
      </c>
      <c r="S201" s="21">
        <f>IF(R$197=0,0,R201/R$197)</f>
        <v>0</v>
      </c>
      <c r="T201" s="20">
        <f>SUMIFS(Tabla2[B],Tabla2[ANY],$Z$150,Tabla2[MES],'2021'!T$2,Tabla2[TIPUS],'2021'!$A201)</f>
        <v>0</v>
      </c>
      <c r="U201" s="21">
        <f>IF(T$197=0,0,T201/T$197)</f>
        <v>0</v>
      </c>
      <c r="V201" s="20">
        <f>SUMIFS(Tabla2[B],Tabla2[ANY],$Z$150,Tabla2[MES],'2021'!V$2,Tabla2[TIPUS],'2021'!$A201)</f>
        <v>0</v>
      </c>
      <c r="W201" s="21">
        <f>IF(V$197=0,0,V201/V$197)</f>
        <v>0</v>
      </c>
      <c r="X201" s="20">
        <f>SUMIFS(Tabla2[B],Tabla2[ANY],$Z$150,Tabla2[MES],'2021'!X$2,Tabla2[TIPUS],'2021'!$A201)</f>
        <v>0</v>
      </c>
      <c r="Y201" s="21">
        <f>IF(X$197=0,0,X201/X$197)</f>
        <v>0</v>
      </c>
      <c r="Z201" s="20">
        <f>B201+D201+F201+H201+J201+L201+N201+P201+R201+T201+V201+X201</f>
        <v>0</v>
      </c>
      <c r="AA201" s="21">
        <f>IF(Z$49=0,0,Z201/Z$49)</f>
        <v>0</v>
      </c>
    </row>
    <row r="202" spans="1:27" hidden="1" outlineLevel="1" x14ac:dyDescent="0.2">
      <c r="A202" s="8" t="s">
        <v>90</v>
      </c>
      <c r="B202" s="20">
        <f>SUMIFS(Tabla2[B],Tabla2[ANY],$Z$150,Tabla2[MES],'2021'!B$2,Tabla2[TIPUS],'2021'!$A202)</f>
        <v>0</v>
      </c>
      <c r="C202" s="21">
        <f t="shared" si="206"/>
        <v>0</v>
      </c>
      <c r="D202" s="20">
        <f>SUMIFS(Tabla2[B],Tabla2[ANY],$Z$150,Tabla2[MES],'2021'!D$2,Tabla2[TIPUS],'2021'!$A202)</f>
        <v>0</v>
      </c>
      <c r="E202" s="21">
        <f t="shared" si="206"/>
        <v>0</v>
      </c>
      <c r="F202" s="20">
        <f>SUMIFS(Tabla2[B],Tabla2[ANY],$Z$150,Tabla2[MES],'2021'!F$2,Tabla2[TIPUS],'2021'!$A202)</f>
        <v>0</v>
      </c>
      <c r="G202" s="21">
        <f>IF(F$197=0,0,F202/F$197)</f>
        <v>0</v>
      </c>
      <c r="H202" s="20">
        <f>SUMIFS(Tabla2[B],Tabla2[ANY],$Z$150,Tabla2[MES],'2021'!H$2,Tabla2[TIPUS],'2021'!$A202)</f>
        <v>0</v>
      </c>
      <c r="I202" s="21">
        <f>IF(H$197=0,0,H202/H$197)</f>
        <v>0</v>
      </c>
      <c r="J202" s="20">
        <f>SUMIFS(Tabla2[B],Tabla2[ANY],$Z$150,Tabla2[MES],'2021'!J$2,Tabla2[TIPUS],'2021'!$A202)</f>
        <v>0</v>
      </c>
      <c r="K202" s="21">
        <f>IF(J$197=0,0,J202/J$197)</f>
        <v>0</v>
      </c>
      <c r="L202" s="20">
        <f>SUMIFS(Tabla2[B],Tabla2[ANY],$Z$150,Tabla2[MES],'2021'!L$2,Tabla2[TIPUS],'2021'!$A202)</f>
        <v>0</v>
      </c>
      <c r="M202" s="21">
        <f>IF(L$197=0,0,L202/L$197)</f>
        <v>0</v>
      </c>
      <c r="N202" s="20">
        <f>SUMIFS(Tabla2[B],Tabla2[ANY],$Z$150,Tabla2[MES],'2021'!N$2,Tabla2[TIPUS],'2021'!$A202)</f>
        <v>0</v>
      </c>
      <c r="O202" s="21">
        <f>IF(N$197=0,0,N202/N$197)</f>
        <v>0</v>
      </c>
      <c r="P202" s="20">
        <f>SUMIFS(Tabla2[B],Tabla2[ANY],$Z$150,Tabla2[MES],'2021'!P$2,Tabla2[TIPUS],'2021'!$A202)</f>
        <v>0</v>
      </c>
      <c r="Q202" s="21">
        <f>IF(P$197=0,0,P202/P$197)</f>
        <v>0</v>
      </c>
      <c r="R202" s="20">
        <f>SUMIFS(Tabla2[B],Tabla2[ANY],$Z$150,Tabla2[MES],'2021'!R$2,Tabla2[TIPUS],'2021'!$A202)</f>
        <v>0</v>
      </c>
      <c r="S202" s="21">
        <f>IF(R$197=0,0,R202/R$197)</f>
        <v>0</v>
      </c>
      <c r="T202" s="20">
        <f>SUMIFS(Tabla2[B],Tabla2[ANY],$Z$150,Tabla2[MES],'2021'!T$2,Tabla2[TIPUS],'2021'!$A202)</f>
        <v>0</v>
      </c>
      <c r="U202" s="21">
        <f>IF(T$197=0,0,T202/T$197)</f>
        <v>0</v>
      </c>
      <c r="V202" s="20">
        <f>SUMIFS(Tabla2[B],Tabla2[ANY],$Z$150,Tabla2[MES],'2021'!V$2,Tabla2[TIPUS],'2021'!$A202)</f>
        <v>90</v>
      </c>
      <c r="W202" s="21">
        <f>IF(V$197=0,0,V202/V$197)</f>
        <v>1</v>
      </c>
      <c r="X202" s="20">
        <f>SUMIFS(Tabla2[B],Tabla2[ANY],$Z$150,Tabla2[MES],'2021'!X$2,Tabla2[TIPUS],'2021'!$A202)</f>
        <v>180</v>
      </c>
      <c r="Y202" s="21">
        <f>IF(X$197=0,0,X202/X$197)</f>
        <v>1</v>
      </c>
      <c r="Z202" s="20">
        <f t="shared" si="203"/>
        <v>270</v>
      </c>
      <c r="AA202" s="21">
        <f>IF(Z$49=0,0,Z202/Z$49)</f>
        <v>0.24068675955392721</v>
      </c>
    </row>
    <row r="203" spans="1:27" ht="15.75" collapsed="1" thickBot="1" x14ac:dyDescent="0.25">
      <c r="A203" s="15" t="s">
        <v>121</v>
      </c>
      <c r="B203" s="26">
        <f>B151-B188</f>
        <v>0</v>
      </c>
      <c r="C203" s="27">
        <f>IF(B151=0,0,B203/B151)</f>
        <v>0</v>
      </c>
      <c r="D203" s="26">
        <f>D151-D188</f>
        <v>0</v>
      </c>
      <c r="E203" s="27">
        <f>IF(D151=0,0,D203/D151)</f>
        <v>0</v>
      </c>
      <c r="F203" s="26">
        <f>F151-F188</f>
        <v>0</v>
      </c>
      <c r="G203" s="27">
        <f>IF(F151=0,0,F203/F151)</f>
        <v>0</v>
      </c>
      <c r="H203" s="26">
        <f>H151-H188</f>
        <v>-90</v>
      </c>
      <c r="I203" s="27">
        <f>IF(H151=0,0,H203/H151)</f>
        <v>0</v>
      </c>
      <c r="J203" s="26">
        <f>J151-J188</f>
        <v>545</v>
      </c>
      <c r="K203" s="27">
        <f>IF(J151=0,0,J203/J151)</f>
        <v>1</v>
      </c>
      <c r="L203" s="26">
        <f>L151-L188</f>
        <v>990</v>
      </c>
      <c r="M203" s="27">
        <f>IF(L151=0,0,L203/L151)</f>
        <v>1</v>
      </c>
      <c r="N203" s="26">
        <f>N151-N188</f>
        <v>770</v>
      </c>
      <c r="O203" s="27">
        <f>IF(N151=0,0,N203/N151)</f>
        <v>1</v>
      </c>
      <c r="P203" s="26">
        <f>P151-P188</f>
        <v>775</v>
      </c>
      <c r="Q203" s="27">
        <f>IF(P151=0,0,P203/P151)</f>
        <v>1</v>
      </c>
      <c r="R203" s="26">
        <f>R151-R188</f>
        <v>605</v>
      </c>
      <c r="S203" s="27">
        <f>IF(R151=0,0,R203/R151)</f>
        <v>0.71597633136094674</v>
      </c>
      <c r="T203" s="26">
        <f>T151-T188</f>
        <v>1130</v>
      </c>
      <c r="U203" s="27">
        <f>IF(T151=0,0,T203/T151)</f>
        <v>0.9826086956521739</v>
      </c>
      <c r="V203" s="26">
        <f>V151-V188</f>
        <v>795</v>
      </c>
      <c r="W203" s="27">
        <f>IF(V151=0,0,V203/V151)</f>
        <v>0.89830508474576276</v>
      </c>
      <c r="X203" s="26">
        <f>X151-X188</f>
        <v>1000</v>
      </c>
      <c r="Y203" s="27">
        <f>IF(X151=0,0,X203/X151)</f>
        <v>0.78740157480314965</v>
      </c>
      <c r="Z203" s="26">
        <f>Z151-Z188</f>
        <v>6520</v>
      </c>
      <c r="AA203" s="27">
        <f>IF(Z151=0,0,Z203/Z151)</f>
        <v>0.90179806362378978</v>
      </c>
    </row>
    <row r="204" spans="1:27" ht="16.5" thickTop="1" thickBot="1" x14ac:dyDescent="0.25">
      <c r="A204" s="13" t="s">
        <v>120</v>
      </c>
      <c r="B204" s="28">
        <f>B205</f>
        <v>0</v>
      </c>
      <c r="C204" s="29">
        <f>IF(B151=0,0,B204/B151)</f>
        <v>0</v>
      </c>
      <c r="D204" s="28">
        <f>D205</f>
        <v>0</v>
      </c>
      <c r="E204" s="29">
        <f>IF(D151=0,0,D204/D151)</f>
        <v>0</v>
      </c>
      <c r="F204" s="28">
        <f>F205</f>
        <v>0</v>
      </c>
      <c r="G204" s="29">
        <f>IF(F151=0,0,F204/F151)</f>
        <v>0</v>
      </c>
      <c r="H204" s="28">
        <f>H205</f>
        <v>0</v>
      </c>
      <c r="I204" s="29">
        <f>IF(H151=0,0,H204/H151)</f>
        <v>0</v>
      </c>
      <c r="J204" s="28">
        <f>J205</f>
        <v>0</v>
      </c>
      <c r="K204" s="29">
        <f>IF(J151=0,0,J204/J151)</f>
        <v>0</v>
      </c>
      <c r="L204" s="28">
        <f>L205</f>
        <v>0</v>
      </c>
      <c r="M204" s="29">
        <f>IF(L151=0,0,L204/L151)</f>
        <v>0</v>
      </c>
      <c r="N204" s="28">
        <f>N205</f>
        <v>0</v>
      </c>
      <c r="O204" s="29">
        <f>IF(N151=0,0,N204/N151)</f>
        <v>0</v>
      </c>
      <c r="P204" s="28">
        <f>P205</f>
        <v>0</v>
      </c>
      <c r="Q204" s="29">
        <f>IF(P151=0,0,P204/P151)</f>
        <v>0</v>
      </c>
      <c r="R204" s="28">
        <f>R205</f>
        <v>0</v>
      </c>
      <c r="S204" s="29">
        <f>IF(R151=0,0,R204/R151)</f>
        <v>0</v>
      </c>
      <c r="T204" s="28">
        <f>T205</f>
        <v>0</v>
      </c>
      <c r="U204" s="29">
        <f>IF(T151=0,0,T204/T151)</f>
        <v>0</v>
      </c>
      <c r="V204" s="28">
        <f>V205</f>
        <v>0</v>
      </c>
      <c r="W204" s="29">
        <f>IF(V151=0,0,V204/V151)</f>
        <v>0</v>
      </c>
      <c r="X204" s="28">
        <f>X205</f>
        <v>0</v>
      </c>
      <c r="Y204" s="29">
        <f>IF(X151=0,0,X204/X151)</f>
        <v>0</v>
      </c>
      <c r="Z204" s="28">
        <f>Z205</f>
        <v>0</v>
      </c>
      <c r="AA204" s="29">
        <f>IF(Z151=0,0,Z204/Z151)</f>
        <v>0</v>
      </c>
    </row>
    <row r="205" spans="1:27" hidden="1" outlineLevel="1" x14ac:dyDescent="0.2">
      <c r="A205" s="8" t="s">
        <v>81</v>
      </c>
      <c r="B205" s="20">
        <v>0</v>
      </c>
      <c r="C205" s="21">
        <f>IF(B204=0,0,B205/B204)</f>
        <v>0</v>
      </c>
      <c r="D205" s="20">
        <v>0</v>
      </c>
      <c r="E205" s="21">
        <f>IF(D204=0,0,D205/D204)</f>
        <v>0</v>
      </c>
      <c r="F205" s="20">
        <v>0</v>
      </c>
      <c r="G205" s="21">
        <f>IF(F204=0,0,F205/F204)</f>
        <v>0</v>
      </c>
      <c r="H205" s="20">
        <v>0</v>
      </c>
      <c r="I205" s="21">
        <f>IF(H204=0,0,H205/H204)</f>
        <v>0</v>
      </c>
      <c r="J205" s="20">
        <v>0</v>
      </c>
      <c r="K205" s="21">
        <f>IF(J204=0,0,J205/J204)</f>
        <v>0</v>
      </c>
      <c r="L205" s="20">
        <v>0</v>
      </c>
      <c r="M205" s="21">
        <f>IF(L204=0,0,L205/L204)</f>
        <v>0</v>
      </c>
      <c r="N205" s="20">
        <v>0</v>
      </c>
      <c r="O205" s="21">
        <f>IF(N204=0,0,N205/N204)</f>
        <v>0</v>
      </c>
      <c r="P205" s="20">
        <v>0</v>
      </c>
      <c r="Q205" s="21">
        <f>IF(P204=0,0,P205/P204)</f>
        <v>0</v>
      </c>
      <c r="R205" s="20">
        <v>0</v>
      </c>
      <c r="S205" s="21">
        <f>IF(R204=0,0,R205/R204)</f>
        <v>0</v>
      </c>
      <c r="T205" s="20">
        <v>0</v>
      </c>
      <c r="U205" s="21">
        <f>IF(T204=0,0,T205/T204)</f>
        <v>0</v>
      </c>
      <c r="V205" s="20">
        <v>0</v>
      </c>
      <c r="W205" s="21">
        <f>IF(V204=0,0,V205/V204)</f>
        <v>0</v>
      </c>
      <c r="X205" s="20">
        <v>0</v>
      </c>
      <c r="Y205" s="21">
        <f>IF(X204=0,0,X205/X204)</f>
        <v>0</v>
      </c>
      <c r="Z205" s="20">
        <f>B205+D205+F205+H205+J205+L205+N205+P205+R205+T205+V205+X205</f>
        <v>0</v>
      </c>
      <c r="AA205" s="21">
        <f>IF(Z204=0,0,Z205/Z204)</f>
        <v>0</v>
      </c>
    </row>
    <row r="206" spans="1:27" ht="15.75" collapsed="1" thickBot="1" x14ac:dyDescent="0.25">
      <c r="A206" s="15" t="s">
        <v>122</v>
      </c>
      <c r="B206" s="26">
        <f>B203-B204</f>
        <v>0</v>
      </c>
      <c r="C206" s="27">
        <f>IF(B$151=0,0,B206/B$151)</f>
        <v>0</v>
      </c>
      <c r="D206" s="26">
        <f>D203-D204</f>
        <v>0</v>
      </c>
      <c r="E206" s="27">
        <f>IF(D$151=0,0,D206/D$151)</f>
        <v>0</v>
      </c>
      <c r="F206" s="26">
        <f>F203-F204</f>
        <v>0</v>
      </c>
      <c r="G206" s="27">
        <f>IF(F$151=0,0,F206/F$151)</f>
        <v>0</v>
      </c>
      <c r="H206" s="26">
        <f>H203-H204</f>
        <v>-90</v>
      </c>
      <c r="I206" s="27">
        <f>IF(H$151=0,0,H206/H$151)</f>
        <v>0</v>
      </c>
      <c r="J206" s="26">
        <f>J203-J204</f>
        <v>545</v>
      </c>
      <c r="K206" s="27">
        <f>IF(J$151=0,0,J206/J$151)</f>
        <v>1</v>
      </c>
      <c r="L206" s="26">
        <f>L203-L204</f>
        <v>990</v>
      </c>
      <c r="M206" s="27">
        <f>IF(L$151=0,0,L206/L$151)</f>
        <v>1</v>
      </c>
      <c r="N206" s="26">
        <f>N203-N204</f>
        <v>770</v>
      </c>
      <c r="O206" s="27">
        <f>IF(N$151=0,0,N206/N$151)</f>
        <v>1</v>
      </c>
      <c r="P206" s="26">
        <f>P203-P204</f>
        <v>775</v>
      </c>
      <c r="Q206" s="27">
        <f>IF(P$151=0,0,P206/P$151)</f>
        <v>1</v>
      </c>
      <c r="R206" s="26">
        <f>R203-R204</f>
        <v>605</v>
      </c>
      <c r="S206" s="27">
        <f>IF(R$151=0,0,R206/R$151)</f>
        <v>0.71597633136094674</v>
      </c>
      <c r="T206" s="26">
        <f>T203-T204</f>
        <v>1130</v>
      </c>
      <c r="U206" s="27">
        <f>IF(T$151=0,0,T206/T$151)</f>
        <v>0.9826086956521739</v>
      </c>
      <c r="V206" s="26">
        <f>V203-V204</f>
        <v>795</v>
      </c>
      <c r="W206" s="27">
        <f>IF(V$151=0,0,V206/V$151)</f>
        <v>0.89830508474576276</v>
      </c>
      <c r="X206" s="26">
        <f>X203-X204</f>
        <v>1000</v>
      </c>
      <c r="Y206" s="27">
        <f>IF(X$151=0,0,X206/X$151)</f>
        <v>0.78740157480314965</v>
      </c>
      <c r="Z206" s="26">
        <f>Z203-Z204</f>
        <v>6520</v>
      </c>
      <c r="AA206" s="27">
        <f>IF(Z$3=0,0,Z206/Z$3)</f>
        <v>0.34340984912088135</v>
      </c>
    </row>
    <row r="207" spans="1:27" ht="16.5" thickTop="1" thickBot="1" x14ac:dyDescent="0.25">
      <c r="A207" s="13" t="s">
        <v>134</v>
      </c>
      <c r="B207" s="28">
        <f>B208</f>
        <v>0</v>
      </c>
      <c r="C207" s="29">
        <f>IF(B$151=0,0,B207/B$151)</f>
        <v>0</v>
      </c>
      <c r="D207" s="28">
        <f>D208</f>
        <v>0</v>
      </c>
      <c r="E207" s="29">
        <f>IF(D$151=0,0,D207/D$151)</f>
        <v>0</v>
      </c>
      <c r="F207" s="28">
        <f>F208</f>
        <v>0</v>
      </c>
      <c r="G207" s="29">
        <f>IF(F$151=0,0,F207/F$151)</f>
        <v>0</v>
      </c>
      <c r="H207" s="28">
        <f>H208</f>
        <v>0</v>
      </c>
      <c r="I207" s="29">
        <f>IF(H$151=0,0,H207/H$151)</f>
        <v>0</v>
      </c>
      <c r="J207" s="28">
        <f>J208</f>
        <v>0</v>
      </c>
      <c r="K207" s="29">
        <f>IF(J$151=0,0,J207/J$151)</f>
        <v>0</v>
      </c>
      <c r="L207" s="28">
        <f>L208</f>
        <v>0</v>
      </c>
      <c r="M207" s="29">
        <f>IF(L$151=0,0,L207/L$151)</f>
        <v>0</v>
      </c>
      <c r="N207" s="28">
        <f>N208</f>
        <v>0</v>
      </c>
      <c r="O207" s="29">
        <f>IF(N$151=0,0,N207/N$151)</f>
        <v>0</v>
      </c>
      <c r="P207" s="28">
        <f>P208</f>
        <v>0</v>
      </c>
      <c r="Q207" s="29">
        <f>IF(P$151=0,0,P207/P$151)</f>
        <v>0</v>
      </c>
      <c r="R207" s="28">
        <f>R208</f>
        <v>0</v>
      </c>
      <c r="S207" s="29">
        <f>IF(R$151=0,0,R207/R$151)</f>
        <v>0</v>
      </c>
      <c r="T207" s="28">
        <f>T208</f>
        <v>0</v>
      </c>
      <c r="U207" s="29">
        <f>IF(T$151=0,0,T207/T$151)</f>
        <v>0</v>
      </c>
      <c r="V207" s="28">
        <f>V208</f>
        <v>0</v>
      </c>
      <c r="W207" s="29">
        <f>IF(V$151=0,0,V207/V$151)</f>
        <v>0</v>
      </c>
      <c r="X207" s="28">
        <f>X208</f>
        <v>0</v>
      </c>
      <c r="Y207" s="29">
        <f>IF(X$151=0,0,X207/X$151)</f>
        <v>0</v>
      </c>
      <c r="Z207" s="28">
        <f>Z208</f>
        <v>0</v>
      </c>
      <c r="AA207" s="29">
        <f>IF(Z$3=0,0,Z207/Z$3)</f>
        <v>0</v>
      </c>
    </row>
    <row r="208" spans="1:27" hidden="1" outlineLevel="1" x14ac:dyDescent="0.2">
      <c r="A208" s="8" t="s">
        <v>133</v>
      </c>
      <c r="B208" s="20">
        <f>SUMIFS(Tabla2[B],Tabla2[ANY],2020,Tabla2[MES],'2021'!B$2,Tabla2[TIPUS],'2021'!$A208)</f>
        <v>0</v>
      </c>
      <c r="C208" s="44">
        <f>IF(B207=0,0,B208/B207)</f>
        <v>0</v>
      </c>
      <c r="D208" s="20">
        <f>SUMIFS(Tabla2[B],Tabla2[ANY],2020,Tabla2[MES],'2021'!D$2,Tabla2[TIPUS],'2021'!$A208)</f>
        <v>0</v>
      </c>
      <c r="E208" s="44">
        <f>IF(D207=0,0,D208/D207)</f>
        <v>0</v>
      </c>
      <c r="F208" s="20">
        <f>SUMIFS(Tabla2[B],Tabla2[ANY],2020,Tabla2[MES],'2021'!F$2,Tabla2[TIPUS],'2021'!$A208)</f>
        <v>0</v>
      </c>
      <c r="G208" s="44">
        <f>IF(F207=0,0,F208/F207)</f>
        <v>0</v>
      </c>
      <c r="H208" s="20">
        <f>SUMIFS(Tabla2[B],Tabla2[ANY],2020,Tabla2[MES],'2021'!H$2,Tabla2[TIPUS],'2021'!$A208)</f>
        <v>0</v>
      </c>
      <c r="I208" s="44">
        <f>IF(H207=0,0,H208/H207)</f>
        <v>0</v>
      </c>
      <c r="J208" s="20">
        <f>SUMIFS(Tabla2[B],Tabla2[ANY],2020,Tabla2[MES],'2021'!J$2,Tabla2[TIPUS],'2021'!$A208)</f>
        <v>0</v>
      </c>
      <c r="K208" s="44">
        <f>IF(J207=0,0,J208/J207)</f>
        <v>0</v>
      </c>
      <c r="L208" s="20">
        <f>SUMIFS(Tabla2[B],Tabla2[ANY],2020,Tabla2[MES],'2021'!L$2,Tabla2[TIPUS],'2021'!$A208)</f>
        <v>0</v>
      </c>
      <c r="M208" s="44">
        <f>IF(L207=0,0,L208/L207)</f>
        <v>0</v>
      </c>
      <c r="N208" s="20">
        <f>SUMIFS(Tabla2[B],Tabla2[ANY],2020,Tabla2[MES],'2021'!N$2,Tabla2[TIPUS],'2021'!$A208)</f>
        <v>0</v>
      </c>
      <c r="O208" s="44">
        <f>IF(N207=0,0,N208/N207)</f>
        <v>0</v>
      </c>
      <c r="P208" s="20">
        <f>SUMIFS(Tabla2[B],Tabla2[ANY],2020,Tabla2[MES],'2021'!P$2,Tabla2[TIPUS],'2021'!$A208)</f>
        <v>0</v>
      </c>
      <c r="Q208" s="44">
        <f>IF(P207=0,0,P208/P207)</f>
        <v>0</v>
      </c>
      <c r="R208" s="20">
        <f>SUMIFS(Tabla2[B],Tabla2[ANY],2020,Tabla2[MES],'2021'!R$2,Tabla2[TIPUS],'2021'!$A208)</f>
        <v>0</v>
      </c>
      <c r="S208" s="44">
        <f>IF(R207=0,0,R208/R207)</f>
        <v>0</v>
      </c>
      <c r="T208" s="20">
        <f>SUMIFS(Tabla2[B],Tabla2[ANY],2020,Tabla2[MES],'2021'!T$2,Tabla2[TIPUS],'2021'!$A208)</f>
        <v>0</v>
      </c>
      <c r="U208" s="44">
        <f>IF(T207=0,0,T208/T207)</f>
        <v>0</v>
      </c>
      <c r="V208" s="20">
        <f>SUMIFS(Tabla2[B],Tabla2[ANY],2020,Tabla2[MES],'2021'!V$2,Tabla2[TIPUS],'2021'!$A208)</f>
        <v>0</v>
      </c>
      <c r="W208" s="44">
        <f>IF(V207=0,0,V208/V207)</f>
        <v>0</v>
      </c>
      <c r="X208" s="20">
        <f>SUMIFS(Tabla2[B],Tabla2[ANY],2020,Tabla2[MES],'2021'!X$2,Tabla2[TIPUS],'2021'!$A208)</f>
        <v>0</v>
      </c>
      <c r="Y208" s="44">
        <f>IF(X207=0,0,X208/X207)</f>
        <v>0</v>
      </c>
      <c r="Z208" s="20">
        <f>B208+D208+F208+H208+J208+L208+N208+P208+R208+T208+V208+X208</f>
        <v>0</v>
      </c>
      <c r="AA208" s="44">
        <f>IF(Z207=0,0,Z208/Z207)</f>
        <v>0</v>
      </c>
    </row>
    <row r="209" spans="1:27" ht="15.75" collapsed="1" thickBot="1" x14ac:dyDescent="0.25">
      <c r="A209" s="15" t="s">
        <v>135</v>
      </c>
      <c r="B209" s="26">
        <f>B206-B208</f>
        <v>0</v>
      </c>
      <c r="C209" s="27">
        <f>IF(B$151=0,0,B209/B$151)</f>
        <v>0</v>
      </c>
      <c r="D209" s="26">
        <f>D206-D208</f>
        <v>0</v>
      </c>
      <c r="E209" s="27">
        <f>IF(D$151=0,0,D209/D$151)</f>
        <v>0</v>
      </c>
      <c r="F209" s="26">
        <f>F206-F208</f>
        <v>0</v>
      </c>
      <c r="G209" s="27">
        <f>IF(F$151=0,0,F209/F$151)</f>
        <v>0</v>
      </c>
      <c r="H209" s="26">
        <f>H206-H208</f>
        <v>-90</v>
      </c>
      <c r="I209" s="27">
        <f>IF(H$151=0,0,H209/H$151)</f>
        <v>0</v>
      </c>
      <c r="J209" s="26">
        <f>J206-J208</f>
        <v>545</v>
      </c>
      <c r="K209" s="27">
        <f>IF(J$151=0,0,J209/J$151)</f>
        <v>1</v>
      </c>
      <c r="L209" s="26">
        <f>L206-L208</f>
        <v>990</v>
      </c>
      <c r="M209" s="27">
        <f>IF(L$151=0,0,L209/L$151)</f>
        <v>1</v>
      </c>
      <c r="N209" s="26">
        <f>N206-N208</f>
        <v>770</v>
      </c>
      <c r="O209" s="27">
        <f>IF(N$151=0,0,N209/N$151)</f>
        <v>1</v>
      </c>
      <c r="P209" s="26">
        <f>P206-P208</f>
        <v>775</v>
      </c>
      <c r="Q209" s="27">
        <f>IF(P$151=0,0,P209/P$151)</f>
        <v>1</v>
      </c>
      <c r="R209" s="26">
        <f>R206-R208</f>
        <v>605</v>
      </c>
      <c r="S209" s="27">
        <f>IF(R$151=0,0,R209/R$151)</f>
        <v>0.71597633136094674</v>
      </c>
      <c r="T209" s="26">
        <f>T206-T208</f>
        <v>1130</v>
      </c>
      <c r="U209" s="27">
        <f>IF(T$151=0,0,T209/T$151)</f>
        <v>0.9826086956521739</v>
      </c>
      <c r="V209" s="26">
        <f>V206-V208</f>
        <v>795</v>
      </c>
      <c r="W209" s="27">
        <f>IF(V$151=0,0,V209/V$151)</f>
        <v>0.89830508474576276</v>
      </c>
      <c r="X209" s="26">
        <f>X206-X208</f>
        <v>1000</v>
      </c>
      <c r="Y209" s="27">
        <f>IF(X$151=0,0,X209/X$151)</f>
        <v>0.78740157480314965</v>
      </c>
      <c r="Z209" s="26">
        <f>Z206-Z208</f>
        <v>6520</v>
      </c>
      <c r="AA209" s="27">
        <f>IF(Z$3=0,0,Z209/Z$3)</f>
        <v>0.34340984912088135</v>
      </c>
    </row>
    <row r="210" spans="1:27" ht="15.75" thickTop="1" x14ac:dyDescent="0.2">
      <c r="A210" s="8" t="s">
        <v>123</v>
      </c>
      <c r="B210" s="20">
        <f>SUMIFS(Tabla2[B],Tabla2[ANY],$Z$2,Tabla2[MES],'2021'!B$2,Tabla2[TIPUS],'2021'!$A210)</f>
        <v>0</v>
      </c>
      <c r="C210" s="21">
        <f>IF(B$151=0,0,B210/B$151)</f>
        <v>0</v>
      </c>
      <c r="D210" s="20">
        <f>SUMIFS(Tabla2[B],Tabla2[ANY],$Z$2,Tabla2[MES],'2021'!D$2,Tabla2[TIPUS],'2021'!$A210)</f>
        <v>0</v>
      </c>
      <c r="E210" s="21">
        <f>IF(D$151=0,0,D210/D$151)</f>
        <v>0</v>
      </c>
      <c r="F210" s="20">
        <f>SUMIFS(Tabla2[B],Tabla2[ANY],$Z$2,Tabla2[MES],'2021'!F$2,Tabla2[TIPUS],'2021'!$A210)</f>
        <v>0</v>
      </c>
      <c r="G210" s="21">
        <f>IF(F$151=0,0,F210/F$151)</f>
        <v>0</v>
      </c>
      <c r="H210" s="20">
        <f>SUMIFS(Tabla2[B],Tabla2[ANY],$Z$2,Tabla2[MES],'2021'!H$2,Tabla2[TIPUS],'2021'!$A210)</f>
        <v>0</v>
      </c>
      <c r="I210" s="21">
        <f>IF(H$151=0,0,H210/H$151)</f>
        <v>0</v>
      </c>
      <c r="J210" s="20">
        <f>SUMIFS(Tabla2[B],Tabla2[ANY],$Z$2,Tabla2[MES],'2021'!J$2,Tabla2[TIPUS],'2021'!$A210)</f>
        <v>0</v>
      </c>
      <c r="K210" s="21">
        <f>IF(J$151=0,0,J210/J$151)</f>
        <v>0</v>
      </c>
      <c r="L210" s="20">
        <f>SUMIFS(Tabla2[B],Tabla2[ANY],$Z$2,Tabla2[MES],'2021'!L$2,Tabla2[TIPUS],'2021'!$A210)</f>
        <v>0</v>
      </c>
      <c r="M210" s="21">
        <f>IF(L$151=0,0,L210/L$151)</f>
        <v>0</v>
      </c>
      <c r="N210" s="20">
        <f>SUMIFS(Tabla2[B],Tabla2[ANY],$Z$2,Tabla2[MES],'2021'!N$2,Tabla2[TIPUS],'2021'!$A210)</f>
        <v>0</v>
      </c>
      <c r="O210" s="21">
        <f>IF(N$151=0,0,N210/N$151)</f>
        <v>0</v>
      </c>
      <c r="P210" s="20">
        <f>SUMIFS(Tabla2[B],Tabla2[ANY],$Z$2,Tabla2[MES],'2021'!P$2,Tabla2[TIPUS],'2021'!$A210)</f>
        <v>0</v>
      </c>
      <c r="Q210" s="21">
        <f>IF(P$151=0,0,P210/P$151)</f>
        <v>0</v>
      </c>
      <c r="R210" s="20">
        <f>SUMIFS(Tabla2[B],Tabla2[ANY],$Z$2,Tabla2[MES],'2021'!R$2,Tabla2[TIPUS],'2021'!$A210)</f>
        <v>0</v>
      </c>
      <c r="S210" s="21">
        <f>IF(R$151=0,0,R210/R$151)</f>
        <v>0</v>
      </c>
      <c r="T210" s="20">
        <f>SUMIFS(Tabla2[B],Tabla2[ANY],$Z$2,Tabla2[MES],'2021'!T$2,Tabla2[TIPUS],'2021'!$A210)</f>
        <v>0</v>
      </c>
      <c r="U210" s="21">
        <f>IF(T$151=0,0,T210/T$151)</f>
        <v>0</v>
      </c>
      <c r="V210" s="20">
        <f>SUMIFS(Tabla2[B],Tabla2[ANY],$Z$2,Tabla2[MES],'2021'!V$2,Tabla2[TIPUS],'2021'!$A210)</f>
        <v>0</v>
      </c>
      <c r="W210" s="21">
        <f>IF(V$151=0,0,V210/V$151)</f>
        <v>0</v>
      </c>
      <c r="X210" s="20">
        <f>SUMIFS(Tabla2[B],Tabla2[ANY],2020,Tabla2[MES],'2021'!X$2,Tabla2[TIPUS],'2021'!$A210)</f>
        <v>0</v>
      </c>
      <c r="Y210" s="21">
        <f>IF(X$151=0,0,X210/X$151)</f>
        <v>0</v>
      </c>
      <c r="Z210" s="20">
        <f>B210+D210+F210+H210+J210+L210+N210+P210+R210+T210+V210+X210</f>
        <v>0</v>
      </c>
      <c r="AA210" s="21">
        <f>IF(Z$3=0,0,Z210/Z$3)</f>
        <v>0</v>
      </c>
    </row>
    <row r="211" spans="1:27" ht="15.75" thickBot="1" x14ac:dyDescent="0.25">
      <c r="A211" s="15" t="s">
        <v>124</v>
      </c>
      <c r="B211" s="26">
        <f>B209-B210</f>
        <v>0</v>
      </c>
      <c r="C211" s="27">
        <f>IF(B151=0,0,B211/B151)</f>
        <v>0</v>
      </c>
      <c r="D211" s="26">
        <f>D209-D210</f>
        <v>0</v>
      </c>
      <c r="E211" s="27">
        <f>IF(D151=0,0,D211/D151)</f>
        <v>0</v>
      </c>
      <c r="F211" s="26">
        <f>F209-F210</f>
        <v>0</v>
      </c>
      <c r="G211" s="27">
        <f>IF(F151=0,0,F211/F151)</f>
        <v>0</v>
      </c>
      <c r="H211" s="26">
        <f>H209-H210</f>
        <v>-90</v>
      </c>
      <c r="I211" s="27">
        <f>IF(H151=0,0,H211/H151)</f>
        <v>0</v>
      </c>
      <c r="J211" s="26">
        <f>J209-J210</f>
        <v>545</v>
      </c>
      <c r="K211" s="27">
        <f>IF(J151=0,0,J211/J151)</f>
        <v>1</v>
      </c>
      <c r="L211" s="26">
        <f>L209-L210</f>
        <v>990</v>
      </c>
      <c r="M211" s="27">
        <f>IF(L151=0,0,L211/L151)</f>
        <v>1</v>
      </c>
      <c r="N211" s="26">
        <f>N209-N210</f>
        <v>770</v>
      </c>
      <c r="O211" s="27">
        <f>IF(N151=0,0,N211/N151)</f>
        <v>1</v>
      </c>
      <c r="P211" s="26">
        <f>P209-P210</f>
        <v>775</v>
      </c>
      <c r="Q211" s="27">
        <f>IF(P151=0,0,P211/P151)</f>
        <v>1</v>
      </c>
      <c r="R211" s="26">
        <f>R209-R210</f>
        <v>605</v>
      </c>
      <c r="S211" s="27">
        <f>IF(R151=0,0,R211/R151)</f>
        <v>0.71597633136094674</v>
      </c>
      <c r="T211" s="26">
        <f>T209-T210</f>
        <v>1130</v>
      </c>
      <c r="U211" s="27">
        <f>IF(T151=0,0,T211/T151)</f>
        <v>0.9826086956521739</v>
      </c>
      <c r="V211" s="26">
        <f>V209-V210</f>
        <v>795</v>
      </c>
      <c r="W211" s="27">
        <f>IF(V151=0,0,V211/V151)</f>
        <v>0.89830508474576276</v>
      </c>
      <c r="X211" s="26">
        <f>X209-X210</f>
        <v>1000</v>
      </c>
      <c r="Y211" s="27">
        <f>IF(X151=0,0,X211/X151)</f>
        <v>0.78740157480314965</v>
      </c>
      <c r="Z211" s="26">
        <f>Z209-Z210</f>
        <v>6520</v>
      </c>
      <c r="AA211" s="27">
        <f>IF(Z151=0,0,Z211/Z151)</f>
        <v>0.90179806362378978</v>
      </c>
    </row>
    <row r="212" spans="1:27" ht="16.5" thickTop="1" thickBot="1" x14ac:dyDescent="0.25">
      <c r="B212" s="30"/>
      <c r="C212" s="31"/>
      <c r="D212" s="30"/>
      <c r="E212" s="31"/>
      <c r="F212" s="30"/>
      <c r="G212" s="31"/>
      <c r="H212" s="30"/>
      <c r="I212" s="31"/>
      <c r="J212" s="30"/>
      <c r="K212" s="31"/>
      <c r="L212" s="30"/>
      <c r="M212" s="31"/>
      <c r="N212" s="30"/>
      <c r="O212" s="31"/>
      <c r="P212" s="30"/>
      <c r="Q212" s="31"/>
      <c r="R212" s="30"/>
      <c r="S212" s="31"/>
      <c r="T212" s="30"/>
      <c r="U212" s="31"/>
      <c r="V212" s="30"/>
      <c r="W212" s="31"/>
      <c r="X212" s="30"/>
      <c r="Y212" s="31"/>
      <c r="Z212" s="30"/>
      <c r="AA212" s="31"/>
    </row>
    <row r="213" spans="1:27" ht="15.75" thickBot="1" x14ac:dyDescent="0.25">
      <c r="A213" s="210" t="s">
        <v>136</v>
      </c>
    </row>
    <row r="214" spans="1:27" x14ac:dyDescent="0.2">
      <c r="A214" s="210"/>
      <c r="B214" s="208" t="s">
        <v>48</v>
      </c>
      <c r="C214" s="209"/>
      <c r="D214" s="208" t="s">
        <v>56</v>
      </c>
      <c r="E214" s="209"/>
      <c r="F214" s="208" t="s">
        <v>57</v>
      </c>
      <c r="G214" s="209"/>
      <c r="H214" s="208" t="s">
        <v>58</v>
      </c>
      <c r="I214" s="209"/>
      <c r="J214" s="208" t="s">
        <v>59</v>
      </c>
      <c r="K214" s="209"/>
      <c r="L214" s="208" t="s">
        <v>60</v>
      </c>
      <c r="M214" s="209"/>
      <c r="N214" s="208" t="s">
        <v>61</v>
      </c>
      <c r="O214" s="209"/>
      <c r="P214" s="208" t="s">
        <v>62</v>
      </c>
      <c r="Q214" s="209"/>
      <c r="R214" s="208" t="s">
        <v>236</v>
      </c>
      <c r="S214" s="209"/>
      <c r="T214" s="208" t="s">
        <v>63</v>
      </c>
      <c r="U214" s="209"/>
      <c r="V214" s="208" t="s">
        <v>64</v>
      </c>
      <c r="W214" s="209"/>
      <c r="X214" s="208" t="s">
        <v>65</v>
      </c>
      <c r="Y214" s="209"/>
      <c r="Z214" s="208">
        <f>Z2</f>
        <v>2021</v>
      </c>
      <c r="AA214" s="209"/>
    </row>
    <row r="215" spans="1:27" x14ac:dyDescent="0.2">
      <c r="A215" t="s">
        <v>125</v>
      </c>
      <c r="B215" s="20">
        <f>B151</f>
        <v>0</v>
      </c>
      <c r="C215" s="38">
        <f t="shared" ref="C215:C221" si="207">B215</f>
        <v>0</v>
      </c>
      <c r="D215" s="20">
        <f>D151</f>
        <v>0</v>
      </c>
      <c r="E215" s="38">
        <f>C221+D215</f>
        <v>0</v>
      </c>
      <c r="F215" s="20">
        <f>F151</f>
        <v>0</v>
      </c>
      <c r="G215" s="38">
        <f>E221+F215</f>
        <v>0</v>
      </c>
      <c r="H215" s="20">
        <f>H151</f>
        <v>0</v>
      </c>
      <c r="I215" s="38">
        <f>G221+H215</f>
        <v>0</v>
      </c>
      <c r="J215" s="20">
        <f>J151</f>
        <v>545</v>
      </c>
      <c r="K215" s="38">
        <f>I221+J215</f>
        <v>455</v>
      </c>
      <c r="L215" s="20">
        <f>L151</f>
        <v>990</v>
      </c>
      <c r="M215" s="38">
        <f>K221+L215</f>
        <v>1445</v>
      </c>
      <c r="N215" s="20">
        <f>N151</f>
        <v>770</v>
      </c>
      <c r="O215" s="38">
        <f>M221+N215</f>
        <v>2215</v>
      </c>
      <c r="P215" s="20">
        <f>P151</f>
        <v>775</v>
      </c>
      <c r="Q215" s="38">
        <f>O221+P215</f>
        <v>3140</v>
      </c>
      <c r="R215" s="20">
        <f>R151</f>
        <v>845</v>
      </c>
      <c r="S215" s="38">
        <f>Q221+R215</f>
        <v>3985</v>
      </c>
      <c r="T215" s="20">
        <f>T151</f>
        <v>1150</v>
      </c>
      <c r="U215" s="38">
        <f>S221+T215</f>
        <v>4895</v>
      </c>
      <c r="V215" s="20">
        <f>V151</f>
        <v>885</v>
      </c>
      <c r="W215" s="38">
        <f>U221+V215</f>
        <v>5760</v>
      </c>
      <c r="X215" s="20">
        <f>X151</f>
        <v>1270</v>
      </c>
      <c r="Y215" s="38">
        <f>W221+X215</f>
        <v>6940</v>
      </c>
      <c r="Z215" s="200">
        <f>Z151</f>
        <v>7230</v>
      </c>
      <c r="AA215" s="201"/>
    </row>
    <row r="216" spans="1:27" x14ac:dyDescent="0.2">
      <c r="A216" t="s">
        <v>126</v>
      </c>
      <c r="B216" s="20">
        <f>B188</f>
        <v>0</v>
      </c>
      <c r="C216" s="38">
        <f t="shared" si="207"/>
        <v>0</v>
      </c>
      <c r="D216" s="20">
        <f>D188</f>
        <v>0</v>
      </c>
      <c r="E216" s="38">
        <f>D216</f>
        <v>0</v>
      </c>
      <c r="F216" s="20">
        <f>F188</f>
        <v>0</v>
      </c>
      <c r="G216" s="38">
        <f>F216</f>
        <v>0</v>
      </c>
      <c r="H216" s="20">
        <f>H188</f>
        <v>90</v>
      </c>
      <c r="I216" s="38">
        <f>H216</f>
        <v>90</v>
      </c>
      <c r="J216" s="20">
        <f>J188</f>
        <v>0</v>
      </c>
      <c r="K216" s="38">
        <f>J216</f>
        <v>0</v>
      </c>
      <c r="L216" s="20">
        <f>L188</f>
        <v>0</v>
      </c>
      <c r="M216" s="38">
        <f>L216</f>
        <v>0</v>
      </c>
      <c r="N216" s="20">
        <f>N188</f>
        <v>0</v>
      </c>
      <c r="O216" s="38">
        <f>N216</f>
        <v>0</v>
      </c>
      <c r="P216" s="20">
        <f>P188</f>
        <v>0</v>
      </c>
      <c r="Q216" s="38">
        <f>P216</f>
        <v>0</v>
      </c>
      <c r="R216" s="20">
        <f>R188</f>
        <v>240</v>
      </c>
      <c r="S216" s="38">
        <f>R216</f>
        <v>240</v>
      </c>
      <c r="T216" s="20">
        <f>T188</f>
        <v>20</v>
      </c>
      <c r="U216" s="38">
        <f>T216</f>
        <v>20</v>
      </c>
      <c r="V216" s="20">
        <f>V188</f>
        <v>90</v>
      </c>
      <c r="W216" s="38">
        <f>V216</f>
        <v>90</v>
      </c>
      <c r="X216" s="20">
        <f>X188</f>
        <v>270</v>
      </c>
      <c r="Y216" s="38">
        <f>X216</f>
        <v>270</v>
      </c>
      <c r="Z216" s="200">
        <f>Z188</f>
        <v>710</v>
      </c>
      <c r="AA216" s="201"/>
    </row>
    <row r="217" spans="1:27" ht="15.75" thickBot="1" x14ac:dyDescent="0.25">
      <c r="A217" s="36" t="s">
        <v>127</v>
      </c>
      <c r="B217" s="37">
        <f>B215-B216</f>
        <v>0</v>
      </c>
      <c r="C217" s="39">
        <f t="shared" si="207"/>
        <v>0</v>
      </c>
      <c r="D217" s="37">
        <f t="shared" ref="D217:Y217" si="208">D215-D216</f>
        <v>0</v>
      </c>
      <c r="E217" s="39">
        <f t="shared" si="208"/>
        <v>0</v>
      </c>
      <c r="F217" s="37">
        <f t="shared" si="208"/>
        <v>0</v>
      </c>
      <c r="G217" s="39">
        <f t="shared" si="208"/>
        <v>0</v>
      </c>
      <c r="H217" s="37">
        <f t="shared" si="208"/>
        <v>-90</v>
      </c>
      <c r="I217" s="39">
        <f t="shared" si="208"/>
        <v>-90</v>
      </c>
      <c r="J217" s="37">
        <f t="shared" si="208"/>
        <v>545</v>
      </c>
      <c r="K217" s="39">
        <f t="shared" si="208"/>
        <v>455</v>
      </c>
      <c r="L217" s="37">
        <f t="shared" si="208"/>
        <v>990</v>
      </c>
      <c r="M217" s="39">
        <f t="shared" si="208"/>
        <v>1445</v>
      </c>
      <c r="N217" s="37">
        <f t="shared" si="208"/>
        <v>770</v>
      </c>
      <c r="O217" s="39">
        <f t="shared" si="208"/>
        <v>2215</v>
      </c>
      <c r="P217" s="37">
        <f t="shared" si="208"/>
        <v>775</v>
      </c>
      <c r="Q217" s="39">
        <f t="shared" si="208"/>
        <v>3140</v>
      </c>
      <c r="R217" s="37">
        <f t="shared" si="208"/>
        <v>605</v>
      </c>
      <c r="S217" s="39">
        <f t="shared" si="208"/>
        <v>3745</v>
      </c>
      <c r="T217" s="37">
        <f t="shared" si="208"/>
        <v>1130</v>
      </c>
      <c r="U217" s="39">
        <f t="shared" si="208"/>
        <v>4875</v>
      </c>
      <c r="V217" s="37">
        <f t="shared" si="208"/>
        <v>795</v>
      </c>
      <c r="W217" s="39">
        <f t="shared" si="208"/>
        <v>5670</v>
      </c>
      <c r="X217" s="37">
        <f t="shared" si="208"/>
        <v>1000</v>
      </c>
      <c r="Y217" s="39">
        <f t="shared" si="208"/>
        <v>6670</v>
      </c>
      <c r="Z217" s="202">
        <f>Z215-Z216</f>
        <v>6520</v>
      </c>
      <c r="AA217" s="203"/>
    </row>
    <row r="218" spans="1:27" x14ac:dyDescent="0.2">
      <c r="A218" s="2" t="s">
        <v>128</v>
      </c>
      <c r="B218" s="20">
        <f>-SUMIFS(Tabla2[B],Tabla2[ANY],$Z$214,Tabla2[MES],'2021'!B$2,Tabla2[TIPUS],'2021'!$A218)</f>
        <v>0</v>
      </c>
      <c r="C218" s="38">
        <f t="shared" si="207"/>
        <v>0</v>
      </c>
      <c r="D218" s="20">
        <f>-SUMIFS(Tabla2[B],Tabla2[ANY],$Z$214,Tabla2[MES],'2021'!D$2,Tabla2[TIPUS],'2021'!$A218)</f>
        <v>0</v>
      </c>
      <c r="E218" s="38">
        <f>D218</f>
        <v>0</v>
      </c>
      <c r="F218" s="20">
        <f>-SUMIFS(Tabla2[B],Tabla2[ANY],$Z$214,Tabla2[MES],'2021'!F$2,Tabla2[TIPUS],'2021'!$A218)</f>
        <v>0</v>
      </c>
      <c r="G218" s="38">
        <f>F218</f>
        <v>0</v>
      </c>
      <c r="H218" s="20">
        <f>-SUMIFS(Tabla2[B],Tabla2[ANY],$Z$214,Tabla2[MES],'2021'!H$2,Tabla2[TIPUS],'2021'!$A218)</f>
        <v>0</v>
      </c>
      <c r="I218" s="38">
        <f>H218</f>
        <v>0</v>
      </c>
      <c r="J218" s="20">
        <f>-SUMIFS(Tabla2[B],Tabla2[ANY],$Z$214,Tabla2[MES],'2021'!J$2,Tabla2[TIPUS],'2021'!$A218)</f>
        <v>0</v>
      </c>
      <c r="K218" s="38">
        <f>J218</f>
        <v>0</v>
      </c>
      <c r="L218" s="20">
        <f>-SUMIFS(Tabla2[B],Tabla2[ANY],$Z$214,Tabla2[MES],'2021'!L$2,Tabla2[TIPUS],'2021'!$A218)</f>
        <v>0</v>
      </c>
      <c r="M218" s="38">
        <f>L218</f>
        <v>0</v>
      </c>
      <c r="N218" s="20">
        <f>-SUMIFS(Tabla2[B],Tabla2[ANY],$Z$214,Tabla2[MES],'2021'!N$2,Tabla2[TIPUS],'2021'!$A218)</f>
        <v>150</v>
      </c>
      <c r="O218" s="38">
        <f>N218</f>
        <v>150</v>
      </c>
      <c r="P218" s="20">
        <f>-SUMIFS(Tabla2[B],Tabla2[ANY],$Z$214,Tabla2[MES],'2021'!P$2,Tabla2[TIPUS],'2021'!$A218)</f>
        <v>0</v>
      </c>
      <c r="Q218" s="38">
        <f>P218</f>
        <v>0</v>
      </c>
      <c r="R218" s="20">
        <f>-SUMIFS(Tabla2[B],Tabla2[ANY],$Z$214,Tabla2[MES],'2021'!R$2,Tabla2[TIPUS],'2021'!$A218)</f>
        <v>0</v>
      </c>
      <c r="S218" s="38">
        <f>R218</f>
        <v>0</v>
      </c>
      <c r="T218" s="20">
        <f>-SUMIFS(Tabla2[B],Tabla2[ANY],$Z$214,Tabla2[MES],'2021'!T$2,Tabla2[TIPUS],'2021'!$A218)</f>
        <v>0</v>
      </c>
      <c r="U218" s="38">
        <f>T218</f>
        <v>0</v>
      </c>
      <c r="V218" s="20">
        <f>-SUMIFS(Tabla2[B],Tabla2[ANY],$Z$214,Tabla2[MES],'2021'!V$2,Tabla2[TIPUS],'2021'!$A218)</f>
        <v>0</v>
      </c>
      <c r="W218" s="38">
        <f>V218</f>
        <v>0</v>
      </c>
      <c r="X218" s="20">
        <f>-SUMIFS(Tabla2[B],Tabla2[ANY],$Z$214,Tabla2[MES],'2021'!X$2,Tabla2[TIPUS],'2021'!$A218)</f>
        <v>-210</v>
      </c>
      <c r="Y218" s="38">
        <f>X218</f>
        <v>-210</v>
      </c>
      <c r="Z218" s="204">
        <f>-SUMIFS(Tabla2[B],Tabla2[ANY],$Z$214,Tabla2[TIPUS],'2021'!$A218)</f>
        <v>-60</v>
      </c>
      <c r="AA218" s="205"/>
    </row>
    <row r="219" spans="1:27" x14ac:dyDescent="0.2">
      <c r="A219" t="s">
        <v>134</v>
      </c>
      <c r="B219" s="20">
        <f>-B207</f>
        <v>0</v>
      </c>
      <c r="C219" s="38">
        <f t="shared" si="207"/>
        <v>0</v>
      </c>
      <c r="D219" s="20">
        <f>-D207</f>
        <v>0</v>
      </c>
      <c r="E219" s="38">
        <f>D219</f>
        <v>0</v>
      </c>
      <c r="F219" s="20">
        <f>-F207</f>
        <v>0</v>
      </c>
      <c r="G219" s="38">
        <f>F219</f>
        <v>0</v>
      </c>
      <c r="H219" s="20">
        <f>-H207</f>
        <v>0</v>
      </c>
      <c r="I219" s="38">
        <f>H219</f>
        <v>0</v>
      </c>
      <c r="J219" s="20">
        <f>-J207</f>
        <v>0</v>
      </c>
      <c r="K219" s="38">
        <f>J219</f>
        <v>0</v>
      </c>
      <c r="L219" s="20">
        <f>-L207</f>
        <v>0</v>
      </c>
      <c r="M219" s="38">
        <f>L219</f>
        <v>0</v>
      </c>
      <c r="N219" s="20">
        <f>-N207</f>
        <v>0</v>
      </c>
      <c r="O219" s="38">
        <f>N219</f>
        <v>0</v>
      </c>
      <c r="P219" s="20">
        <f>-P207</f>
        <v>0</v>
      </c>
      <c r="Q219" s="38">
        <f>P219</f>
        <v>0</v>
      </c>
      <c r="R219" s="20">
        <f>-R207</f>
        <v>0</v>
      </c>
      <c r="S219" s="38">
        <f>R219</f>
        <v>0</v>
      </c>
      <c r="T219" s="20">
        <f>-T207</f>
        <v>0</v>
      </c>
      <c r="U219" s="38">
        <f>T219</f>
        <v>0</v>
      </c>
      <c r="V219" s="20">
        <f>-V207</f>
        <v>0</v>
      </c>
      <c r="W219" s="38">
        <f>V219</f>
        <v>0</v>
      </c>
      <c r="X219" s="20">
        <f>-X207</f>
        <v>0</v>
      </c>
      <c r="Y219" s="38">
        <f>X219</f>
        <v>0</v>
      </c>
      <c r="Z219" s="200">
        <f>-Z207</f>
        <v>0</v>
      </c>
      <c r="AA219" s="201"/>
    </row>
    <row r="220" spans="1:27" x14ac:dyDescent="0.2">
      <c r="A220" t="s">
        <v>130</v>
      </c>
      <c r="B220" s="23">
        <f>-B210</f>
        <v>0</v>
      </c>
      <c r="C220" s="35">
        <f t="shared" si="207"/>
        <v>0</v>
      </c>
      <c r="D220" s="23">
        <f>-D210</f>
        <v>0</v>
      </c>
      <c r="E220" s="35">
        <f>D220</f>
        <v>0</v>
      </c>
      <c r="F220" s="23">
        <f>-F210</f>
        <v>0</v>
      </c>
      <c r="G220" s="35">
        <f>F220</f>
        <v>0</v>
      </c>
      <c r="H220" s="23">
        <f>-H210</f>
        <v>0</v>
      </c>
      <c r="I220" s="35">
        <f>H220</f>
        <v>0</v>
      </c>
      <c r="J220" s="23">
        <f>-J210</f>
        <v>0</v>
      </c>
      <c r="K220" s="35">
        <f>J220</f>
        <v>0</v>
      </c>
      <c r="L220" s="23">
        <f>-L210</f>
        <v>0</v>
      </c>
      <c r="M220" s="35">
        <f>L220</f>
        <v>0</v>
      </c>
      <c r="N220" s="23">
        <f>-N210</f>
        <v>0</v>
      </c>
      <c r="O220" s="35">
        <f>N220</f>
        <v>0</v>
      </c>
      <c r="P220" s="23">
        <f>-P210</f>
        <v>0</v>
      </c>
      <c r="Q220" s="35">
        <f>P220</f>
        <v>0</v>
      </c>
      <c r="R220" s="23">
        <f>-R210</f>
        <v>0</v>
      </c>
      <c r="S220" s="35">
        <f>R220</f>
        <v>0</v>
      </c>
      <c r="T220" s="23">
        <f>-T210</f>
        <v>0</v>
      </c>
      <c r="U220" s="35">
        <f>T220</f>
        <v>0</v>
      </c>
      <c r="V220" s="23">
        <f>-V210</f>
        <v>0</v>
      </c>
      <c r="W220" s="35">
        <f>V220</f>
        <v>0</v>
      </c>
      <c r="X220" s="23">
        <f>-X210</f>
        <v>0</v>
      </c>
      <c r="Y220" s="35">
        <f>X220</f>
        <v>0</v>
      </c>
      <c r="Z220" s="206">
        <f>-Z210</f>
        <v>0</v>
      </c>
      <c r="AA220" s="207"/>
    </row>
    <row r="221" spans="1:27" ht="15.75" thickBot="1" x14ac:dyDescent="0.25">
      <c r="A221" s="36" t="s">
        <v>131</v>
      </c>
      <c r="B221" s="37">
        <f>B217+B218+B219+B220</f>
        <v>0</v>
      </c>
      <c r="C221" s="39">
        <f t="shared" si="207"/>
        <v>0</v>
      </c>
      <c r="D221" s="37">
        <f t="shared" ref="D221:Z221" si="209">D217+D218+D219+D220</f>
        <v>0</v>
      </c>
      <c r="E221" s="39">
        <f t="shared" si="209"/>
        <v>0</v>
      </c>
      <c r="F221" s="37">
        <f t="shared" si="209"/>
        <v>0</v>
      </c>
      <c r="G221" s="39">
        <f t="shared" si="209"/>
        <v>0</v>
      </c>
      <c r="H221" s="37">
        <f t="shared" si="209"/>
        <v>-90</v>
      </c>
      <c r="I221" s="39">
        <f t="shared" si="209"/>
        <v>-90</v>
      </c>
      <c r="J221" s="37">
        <f t="shared" si="209"/>
        <v>545</v>
      </c>
      <c r="K221" s="39">
        <f t="shared" si="209"/>
        <v>455</v>
      </c>
      <c r="L221" s="37">
        <f t="shared" si="209"/>
        <v>990</v>
      </c>
      <c r="M221" s="39">
        <f t="shared" si="209"/>
        <v>1445</v>
      </c>
      <c r="N221" s="37">
        <f t="shared" si="209"/>
        <v>920</v>
      </c>
      <c r="O221" s="39">
        <f t="shared" si="209"/>
        <v>2365</v>
      </c>
      <c r="P221" s="37">
        <f t="shared" si="209"/>
        <v>775</v>
      </c>
      <c r="Q221" s="39">
        <f t="shared" si="209"/>
        <v>3140</v>
      </c>
      <c r="R221" s="37">
        <f t="shared" si="209"/>
        <v>605</v>
      </c>
      <c r="S221" s="39">
        <f t="shared" si="209"/>
        <v>3745</v>
      </c>
      <c r="T221" s="37">
        <f t="shared" si="209"/>
        <v>1130</v>
      </c>
      <c r="U221" s="39">
        <f t="shared" si="209"/>
        <v>4875</v>
      </c>
      <c r="V221" s="37">
        <f t="shared" si="209"/>
        <v>795</v>
      </c>
      <c r="W221" s="39">
        <f t="shared" si="209"/>
        <v>5670</v>
      </c>
      <c r="X221" s="37">
        <f t="shared" si="209"/>
        <v>790</v>
      </c>
      <c r="Y221" s="39">
        <f t="shared" si="209"/>
        <v>6460</v>
      </c>
      <c r="Z221" s="202">
        <f t="shared" si="209"/>
        <v>6460</v>
      </c>
      <c r="AA221" s="203"/>
    </row>
  </sheetData>
  <mergeCells count="102">
    <mergeCell ref="Z216:AA216"/>
    <mergeCell ref="Z217:AA217"/>
    <mergeCell ref="Z218:AA218"/>
    <mergeCell ref="Z219:AA219"/>
    <mergeCell ref="Z220:AA220"/>
    <mergeCell ref="Z221:AA221"/>
    <mergeCell ref="R214:S214"/>
    <mergeCell ref="T214:U214"/>
    <mergeCell ref="V214:W214"/>
    <mergeCell ref="X214:Y214"/>
    <mergeCell ref="Z214:AA214"/>
    <mergeCell ref="Z215:AA215"/>
    <mergeCell ref="Z150:AA150"/>
    <mergeCell ref="A213:A214"/>
    <mergeCell ref="B214:C214"/>
    <mergeCell ref="D214:E214"/>
    <mergeCell ref="F214:G214"/>
    <mergeCell ref="H214:I214"/>
    <mergeCell ref="J214:K214"/>
    <mergeCell ref="L214:M214"/>
    <mergeCell ref="N214:O214"/>
    <mergeCell ref="P214:Q214"/>
    <mergeCell ref="N150:O150"/>
    <mergeCell ref="P150:Q150"/>
    <mergeCell ref="R150:S150"/>
    <mergeCell ref="T150:U150"/>
    <mergeCell ref="V150:W150"/>
    <mergeCell ref="X150:Y150"/>
    <mergeCell ref="B150:C150"/>
    <mergeCell ref="D150:E150"/>
    <mergeCell ref="F150:G150"/>
    <mergeCell ref="H150:I150"/>
    <mergeCell ref="J150:K150"/>
    <mergeCell ref="L150:M150"/>
    <mergeCell ref="Z142:AA142"/>
    <mergeCell ref="Z143:AA143"/>
    <mergeCell ref="Z144:AA144"/>
    <mergeCell ref="Z145:AA145"/>
    <mergeCell ref="Z146:AA146"/>
    <mergeCell ref="Z147:AA147"/>
    <mergeCell ref="R140:S140"/>
    <mergeCell ref="T140:U140"/>
    <mergeCell ref="V140:W140"/>
    <mergeCell ref="X140:Y140"/>
    <mergeCell ref="Z140:AA140"/>
    <mergeCell ref="Z141:AA141"/>
    <mergeCell ref="Z76:AA76"/>
    <mergeCell ref="A139:A140"/>
    <mergeCell ref="B140:C140"/>
    <mergeCell ref="D140:E140"/>
    <mergeCell ref="F140:G140"/>
    <mergeCell ref="H140:I140"/>
    <mergeCell ref="J140:K140"/>
    <mergeCell ref="L140:M140"/>
    <mergeCell ref="N140:O140"/>
    <mergeCell ref="P140:Q140"/>
    <mergeCell ref="N76:O76"/>
    <mergeCell ref="P76:Q76"/>
    <mergeCell ref="R76:S76"/>
    <mergeCell ref="T76:U76"/>
    <mergeCell ref="V76:W76"/>
    <mergeCell ref="X76:Y76"/>
    <mergeCell ref="B76:C76"/>
    <mergeCell ref="D76:E76"/>
    <mergeCell ref="F76:G76"/>
    <mergeCell ref="H76:I76"/>
    <mergeCell ref="J76:K76"/>
    <mergeCell ref="L76:M76"/>
    <mergeCell ref="Z68:AA68"/>
    <mergeCell ref="Z69:AA69"/>
    <mergeCell ref="Z70:AA70"/>
    <mergeCell ref="Z71:AA71"/>
    <mergeCell ref="Z72:AA72"/>
    <mergeCell ref="Z73:AA73"/>
    <mergeCell ref="R66:S66"/>
    <mergeCell ref="T66:U66"/>
    <mergeCell ref="V66:W66"/>
    <mergeCell ref="X66:Y66"/>
    <mergeCell ref="Z66:AA66"/>
    <mergeCell ref="Z67:AA67"/>
    <mergeCell ref="Z2:AA2"/>
    <mergeCell ref="A65:A66"/>
    <mergeCell ref="B66:C66"/>
    <mergeCell ref="D66:E66"/>
    <mergeCell ref="F66:G66"/>
    <mergeCell ref="H66:I66"/>
    <mergeCell ref="J66:K66"/>
    <mergeCell ref="L66:M66"/>
    <mergeCell ref="N66:O66"/>
    <mergeCell ref="P66:Q66"/>
    <mergeCell ref="N2:O2"/>
    <mergeCell ref="P2:Q2"/>
    <mergeCell ref="R2:S2"/>
    <mergeCell ref="T2:U2"/>
    <mergeCell ref="V2:W2"/>
    <mergeCell ref="X2:Y2"/>
    <mergeCell ref="B2:C2"/>
    <mergeCell ref="D2:E2"/>
    <mergeCell ref="F2:G2"/>
    <mergeCell ref="H2:I2"/>
    <mergeCell ref="J2:K2"/>
    <mergeCell ref="L2:M2"/>
  </mergeCells>
  <conditionalFormatting sqref="B55">
    <cfRule type="cellIs" dxfId="527" priority="588" operator="greaterThan">
      <formula>0</formula>
    </cfRule>
    <cfRule type="cellIs" dxfId="526" priority="587" operator="lessThan">
      <formula>0</formula>
    </cfRule>
  </conditionalFormatting>
  <conditionalFormatting sqref="B58">
    <cfRule type="cellIs" dxfId="525" priority="584" operator="greaterThan">
      <formula>0</formula>
    </cfRule>
    <cfRule type="cellIs" dxfId="524" priority="583" operator="lessThan">
      <formula>0</formula>
    </cfRule>
  </conditionalFormatting>
  <conditionalFormatting sqref="B61">
    <cfRule type="cellIs" dxfId="523" priority="578" operator="greaterThan">
      <formula>0</formula>
    </cfRule>
    <cfRule type="cellIs" dxfId="522" priority="577" operator="lessThan">
      <formula>0</formula>
    </cfRule>
  </conditionalFormatting>
  <conditionalFormatting sqref="B63">
    <cfRule type="cellIs" dxfId="521" priority="580" operator="greaterThan">
      <formula>0</formula>
    </cfRule>
    <cfRule type="cellIs" dxfId="520" priority="579" operator="lessThan">
      <formula>0</formula>
    </cfRule>
  </conditionalFormatting>
  <conditionalFormatting sqref="B129">
    <cfRule type="cellIs" dxfId="519" priority="531" operator="lessThan">
      <formula>0</formula>
    </cfRule>
    <cfRule type="cellIs" dxfId="518" priority="532" operator="greaterThan">
      <formula>0</formula>
    </cfRule>
  </conditionalFormatting>
  <conditionalFormatting sqref="B132">
    <cfRule type="cellIs" dxfId="517" priority="528" operator="greaterThan">
      <formula>0</formula>
    </cfRule>
    <cfRule type="cellIs" dxfId="516" priority="527" operator="lessThan">
      <formula>0</formula>
    </cfRule>
  </conditionalFormatting>
  <conditionalFormatting sqref="B135">
    <cfRule type="cellIs" dxfId="515" priority="521" operator="lessThan">
      <formula>0</formula>
    </cfRule>
    <cfRule type="cellIs" dxfId="514" priority="522" operator="greaterThan">
      <formula>0</formula>
    </cfRule>
  </conditionalFormatting>
  <conditionalFormatting sqref="B137">
    <cfRule type="cellIs" dxfId="513" priority="524" operator="greaterThan">
      <formula>0</formula>
    </cfRule>
    <cfRule type="cellIs" dxfId="512" priority="523" operator="lessThan">
      <formula>0</formula>
    </cfRule>
  </conditionalFormatting>
  <conditionalFormatting sqref="B203">
    <cfRule type="cellIs" dxfId="511" priority="475" operator="lessThan">
      <formula>0</formula>
    </cfRule>
    <cfRule type="cellIs" dxfId="510" priority="476" operator="greaterThan">
      <formula>0</formula>
    </cfRule>
  </conditionalFormatting>
  <conditionalFormatting sqref="B206">
    <cfRule type="cellIs" dxfId="509" priority="472" operator="greaterThan">
      <formula>0</formula>
    </cfRule>
    <cfRule type="cellIs" dxfId="508" priority="471" operator="lessThan">
      <formula>0</formula>
    </cfRule>
  </conditionalFormatting>
  <conditionalFormatting sqref="B209">
    <cfRule type="cellIs" dxfId="507" priority="467" operator="lessThan">
      <formula>0</formula>
    </cfRule>
    <cfRule type="cellIs" dxfId="506" priority="468" operator="greaterThan">
      <formula>0</formula>
    </cfRule>
  </conditionalFormatting>
  <conditionalFormatting sqref="B211">
    <cfRule type="cellIs" dxfId="505" priority="470" operator="greaterThan">
      <formula>0</formula>
    </cfRule>
    <cfRule type="cellIs" dxfId="504" priority="469" operator="lessThan">
      <formula>0</formula>
    </cfRule>
  </conditionalFormatting>
  <conditionalFormatting sqref="B69:Z69">
    <cfRule type="cellIs" dxfId="503" priority="380" operator="greaterThan">
      <formula>0</formula>
    </cfRule>
    <cfRule type="cellIs" dxfId="502" priority="379" operator="lessThan">
      <formula>0</formula>
    </cfRule>
  </conditionalFormatting>
  <conditionalFormatting sqref="B73:Z73">
    <cfRule type="cellIs" dxfId="501" priority="374" operator="greaterThan">
      <formula>0</formula>
    </cfRule>
    <cfRule type="cellIs" dxfId="500" priority="373" operator="lessThan">
      <formula>0</formula>
    </cfRule>
  </conditionalFormatting>
  <conditionalFormatting sqref="B143:Z143">
    <cfRule type="cellIs" dxfId="499" priority="377" operator="lessThan">
      <formula>0</formula>
    </cfRule>
    <cfRule type="cellIs" dxfId="498" priority="378" operator="greaterThan">
      <formula>0</formula>
    </cfRule>
  </conditionalFormatting>
  <conditionalFormatting sqref="B147:Z147">
    <cfRule type="cellIs" dxfId="497" priority="355" operator="lessThan">
      <formula>0</formula>
    </cfRule>
    <cfRule type="cellIs" dxfId="496" priority="356" operator="greaterThan">
      <formula>0</formula>
    </cfRule>
  </conditionalFormatting>
  <conditionalFormatting sqref="B217:Z217">
    <cfRule type="cellIs" dxfId="495" priority="376" operator="greaterThan">
      <formula>0</formula>
    </cfRule>
    <cfRule type="cellIs" dxfId="494" priority="375" operator="lessThan">
      <formula>0</formula>
    </cfRule>
  </conditionalFormatting>
  <conditionalFormatting sqref="B221:Z221">
    <cfRule type="cellIs" dxfId="493" priority="354" operator="greaterThan">
      <formula>0</formula>
    </cfRule>
    <cfRule type="cellIs" dxfId="492" priority="353" operator="lessThan">
      <formula>0</formula>
    </cfRule>
  </conditionalFormatting>
  <conditionalFormatting sqref="D55 F55 H55 J55 L55 N55 P55 R55 T55 V55 X55">
    <cfRule type="cellIs" dxfId="491" priority="586" operator="greaterThan">
      <formula>0</formula>
    </cfRule>
    <cfRule type="cellIs" dxfId="490" priority="585" operator="lessThan">
      <formula>0</formula>
    </cfRule>
  </conditionalFormatting>
  <conditionalFormatting sqref="D58">
    <cfRule type="cellIs" dxfId="489" priority="351" operator="lessThan">
      <formula>0</formula>
    </cfRule>
    <cfRule type="cellIs" dxfId="488" priority="352" operator="greaterThan">
      <formula>0</formula>
    </cfRule>
  </conditionalFormatting>
  <conditionalFormatting sqref="D61">
    <cfRule type="cellIs" dxfId="487" priority="576" operator="greaterThan">
      <formula>0</formula>
    </cfRule>
    <cfRule type="cellIs" dxfId="486" priority="575" operator="lessThan">
      <formula>0</formula>
    </cfRule>
  </conditionalFormatting>
  <conditionalFormatting sqref="D63">
    <cfRule type="cellIs" dxfId="485" priority="553" operator="lessThan">
      <formula>0</formula>
    </cfRule>
    <cfRule type="cellIs" dxfId="484" priority="554" operator="greaterThan">
      <formula>0</formula>
    </cfRule>
  </conditionalFormatting>
  <conditionalFormatting sqref="D129 F129 H129 J129 L129 N129 P129 R129 T129 V129 X129">
    <cfRule type="cellIs" dxfId="483" priority="530" operator="greaterThan">
      <formula>0</formula>
    </cfRule>
    <cfRule type="cellIs" dxfId="482" priority="529" operator="lessThan">
      <formula>0</formula>
    </cfRule>
  </conditionalFormatting>
  <conditionalFormatting sqref="D132">
    <cfRule type="cellIs" dxfId="481" priority="323" operator="lessThan">
      <formula>0</formula>
    </cfRule>
    <cfRule type="cellIs" dxfId="480" priority="324" operator="greaterThan">
      <formula>0</formula>
    </cfRule>
  </conditionalFormatting>
  <conditionalFormatting sqref="D135">
    <cfRule type="cellIs" dxfId="479" priority="520" operator="greaterThan">
      <formula>0</formula>
    </cfRule>
    <cfRule type="cellIs" dxfId="478" priority="519" operator="lessThan">
      <formula>0</formula>
    </cfRule>
  </conditionalFormatting>
  <conditionalFormatting sqref="D137">
    <cfRule type="cellIs" dxfId="477" priority="497" operator="lessThan">
      <formula>0</formula>
    </cfRule>
    <cfRule type="cellIs" dxfId="476" priority="498" operator="greaterThan">
      <formula>0</formula>
    </cfRule>
  </conditionalFormatting>
  <conditionalFormatting sqref="D203 F203 H203 J203 L203 N203 P203 R203 T203 V203 X203">
    <cfRule type="cellIs" dxfId="475" priority="473" operator="lessThan">
      <formula>0</formula>
    </cfRule>
    <cfRule type="cellIs" dxfId="474" priority="474" operator="greaterThan">
      <formula>0</formula>
    </cfRule>
  </conditionalFormatting>
  <conditionalFormatting sqref="D206">
    <cfRule type="cellIs" dxfId="473" priority="299" operator="lessThan">
      <formula>0</formula>
    </cfRule>
    <cfRule type="cellIs" dxfId="472" priority="300" operator="greaterThan">
      <formula>0</formula>
    </cfRule>
  </conditionalFormatting>
  <conditionalFormatting sqref="D209">
    <cfRule type="cellIs" dxfId="471" priority="457" operator="lessThan">
      <formula>0</formula>
    </cfRule>
    <cfRule type="cellIs" dxfId="470" priority="458" operator="greaterThan">
      <formula>0</formula>
    </cfRule>
  </conditionalFormatting>
  <conditionalFormatting sqref="D211">
    <cfRule type="cellIs" dxfId="469" priority="459" operator="lessThan">
      <formula>0</formula>
    </cfRule>
    <cfRule type="cellIs" dxfId="468" priority="460" operator="greaterThan">
      <formula>0</formula>
    </cfRule>
  </conditionalFormatting>
  <conditionalFormatting sqref="F58">
    <cfRule type="cellIs" dxfId="467" priority="349" operator="lessThan">
      <formula>0</formula>
    </cfRule>
    <cfRule type="cellIs" dxfId="466" priority="350" operator="greaterThan">
      <formula>0</formula>
    </cfRule>
  </conditionalFormatting>
  <conditionalFormatting sqref="F61">
    <cfRule type="cellIs" dxfId="465" priority="573" operator="lessThan">
      <formula>0</formula>
    </cfRule>
    <cfRule type="cellIs" dxfId="464" priority="574" operator="greaterThan">
      <formula>0</formula>
    </cfRule>
  </conditionalFormatting>
  <conditionalFormatting sqref="F63">
    <cfRule type="cellIs" dxfId="463" priority="551" operator="lessThan">
      <formula>0</formula>
    </cfRule>
    <cfRule type="cellIs" dxfId="462" priority="552" operator="greaterThan">
      <formula>0</formula>
    </cfRule>
  </conditionalFormatting>
  <conditionalFormatting sqref="F132">
    <cfRule type="cellIs" dxfId="461" priority="322" operator="greaterThan">
      <formula>0</formula>
    </cfRule>
    <cfRule type="cellIs" dxfId="460" priority="321" operator="lessThan">
      <formula>0</formula>
    </cfRule>
  </conditionalFormatting>
  <conditionalFormatting sqref="F135">
    <cfRule type="cellIs" dxfId="459" priority="517" operator="lessThan">
      <formula>0</formula>
    </cfRule>
    <cfRule type="cellIs" dxfId="458" priority="518" operator="greaterThan">
      <formula>0</formula>
    </cfRule>
  </conditionalFormatting>
  <conditionalFormatting sqref="F137">
    <cfRule type="cellIs" dxfId="457" priority="495" operator="lessThan">
      <formula>0</formula>
    </cfRule>
    <cfRule type="cellIs" dxfId="456" priority="496" operator="greaterThan">
      <formula>0</formula>
    </cfRule>
  </conditionalFormatting>
  <conditionalFormatting sqref="F206">
    <cfRule type="cellIs" dxfId="455" priority="298" operator="greaterThan">
      <formula>0</formula>
    </cfRule>
    <cfRule type="cellIs" dxfId="454" priority="297" operator="lessThan">
      <formula>0</formula>
    </cfRule>
  </conditionalFormatting>
  <conditionalFormatting sqref="F209">
    <cfRule type="cellIs" dxfId="453" priority="451" operator="lessThan">
      <formula>0</formula>
    </cfRule>
    <cfRule type="cellIs" dxfId="452" priority="452" operator="greaterThan">
      <formula>0</formula>
    </cfRule>
  </conditionalFormatting>
  <conditionalFormatting sqref="F211">
    <cfRule type="cellIs" dxfId="451" priority="453" operator="lessThan">
      <formula>0</formula>
    </cfRule>
    <cfRule type="cellIs" dxfId="450" priority="454" operator="greaterThan">
      <formula>0</formula>
    </cfRule>
  </conditionalFormatting>
  <conditionalFormatting sqref="H58">
    <cfRule type="cellIs" dxfId="449" priority="345" operator="lessThan">
      <formula>0</formula>
    </cfRule>
    <cfRule type="cellIs" dxfId="448" priority="346" operator="greaterThan">
      <formula>0</formula>
    </cfRule>
  </conditionalFormatting>
  <conditionalFormatting sqref="H61">
    <cfRule type="cellIs" dxfId="447" priority="572" operator="greaterThan">
      <formula>0</formula>
    </cfRule>
    <cfRule type="cellIs" dxfId="446" priority="571" operator="lessThan">
      <formula>0</formula>
    </cfRule>
  </conditionalFormatting>
  <conditionalFormatting sqref="H63">
    <cfRule type="cellIs" dxfId="445" priority="549" operator="lessThan">
      <formula>0</formula>
    </cfRule>
    <cfRule type="cellIs" dxfId="444" priority="550" operator="greaterThan">
      <formula>0</formula>
    </cfRule>
  </conditionalFormatting>
  <conditionalFormatting sqref="H132">
    <cfRule type="cellIs" dxfId="443" priority="320" operator="greaterThan">
      <formula>0</formula>
    </cfRule>
    <cfRule type="cellIs" dxfId="442" priority="319" operator="lessThan">
      <formula>0</formula>
    </cfRule>
  </conditionalFormatting>
  <conditionalFormatting sqref="H135">
    <cfRule type="cellIs" dxfId="441" priority="515" operator="lessThan">
      <formula>0</formula>
    </cfRule>
    <cfRule type="cellIs" dxfId="440" priority="516" operator="greaterThan">
      <formula>0</formula>
    </cfRule>
  </conditionalFormatting>
  <conditionalFormatting sqref="H137">
    <cfRule type="cellIs" dxfId="439" priority="494" operator="greaterThan">
      <formula>0</formula>
    </cfRule>
    <cfRule type="cellIs" dxfId="438" priority="493" operator="lessThan">
      <formula>0</formula>
    </cfRule>
  </conditionalFormatting>
  <conditionalFormatting sqref="H206">
    <cfRule type="cellIs" dxfId="437" priority="295" operator="lessThan">
      <formula>0</formula>
    </cfRule>
    <cfRule type="cellIs" dxfId="436" priority="296" operator="greaterThan">
      <formula>0</formula>
    </cfRule>
  </conditionalFormatting>
  <conditionalFormatting sqref="H209">
    <cfRule type="cellIs" dxfId="435" priority="445" operator="lessThan">
      <formula>0</formula>
    </cfRule>
    <cfRule type="cellIs" dxfId="434" priority="446" operator="greaterThan">
      <formula>0</formula>
    </cfRule>
  </conditionalFormatting>
  <conditionalFormatting sqref="H211">
    <cfRule type="cellIs" dxfId="433" priority="448" operator="greaterThan">
      <formula>0</formula>
    </cfRule>
    <cfRule type="cellIs" dxfId="432" priority="447" operator="lessThan">
      <formula>0</formula>
    </cfRule>
  </conditionalFormatting>
  <conditionalFormatting sqref="J58">
    <cfRule type="cellIs" dxfId="431" priority="343" operator="lessThan">
      <formula>0</formula>
    </cfRule>
    <cfRule type="cellIs" dxfId="430" priority="344" operator="greaterThan">
      <formula>0</formula>
    </cfRule>
  </conditionalFormatting>
  <conditionalFormatting sqref="J61">
    <cfRule type="cellIs" dxfId="429" priority="570" operator="greaterThan">
      <formula>0</formula>
    </cfRule>
    <cfRule type="cellIs" dxfId="428" priority="569" operator="lessThan">
      <formula>0</formula>
    </cfRule>
  </conditionalFormatting>
  <conditionalFormatting sqref="J63">
    <cfRule type="cellIs" dxfId="427" priority="547" operator="lessThan">
      <formula>0</formula>
    </cfRule>
    <cfRule type="cellIs" dxfId="426" priority="548" operator="greaterThan">
      <formula>0</formula>
    </cfRule>
  </conditionalFormatting>
  <conditionalFormatting sqref="J132">
    <cfRule type="cellIs" dxfId="425" priority="317" operator="lessThan">
      <formula>0</formula>
    </cfRule>
    <cfRule type="cellIs" dxfId="424" priority="318" operator="greaterThan">
      <formula>0</formula>
    </cfRule>
  </conditionalFormatting>
  <conditionalFormatting sqref="J135">
    <cfRule type="cellIs" dxfId="423" priority="514" operator="greaterThan">
      <formula>0</formula>
    </cfRule>
    <cfRule type="cellIs" dxfId="422" priority="513" operator="lessThan">
      <formula>0</formula>
    </cfRule>
  </conditionalFormatting>
  <conditionalFormatting sqref="J137">
    <cfRule type="cellIs" dxfId="421" priority="491" operator="lessThan">
      <formula>0</formula>
    </cfRule>
    <cfRule type="cellIs" dxfId="420" priority="492" operator="greaterThan">
      <formula>0</formula>
    </cfRule>
  </conditionalFormatting>
  <conditionalFormatting sqref="J206">
    <cfRule type="cellIs" dxfId="419" priority="294" operator="greaterThan">
      <formula>0</formula>
    </cfRule>
    <cfRule type="cellIs" dxfId="418" priority="293" operator="lessThan">
      <formula>0</formula>
    </cfRule>
  </conditionalFormatting>
  <conditionalFormatting sqref="J209">
    <cfRule type="cellIs" dxfId="417" priority="440" operator="greaterThan">
      <formula>0</formula>
    </cfRule>
    <cfRule type="cellIs" dxfId="416" priority="439" operator="lessThan">
      <formula>0</formula>
    </cfRule>
  </conditionalFormatting>
  <conditionalFormatting sqref="J211">
    <cfRule type="cellIs" dxfId="415" priority="442" operator="greaterThan">
      <formula>0</formula>
    </cfRule>
    <cfRule type="cellIs" dxfId="414" priority="441" operator="lessThan">
      <formula>0</formula>
    </cfRule>
  </conditionalFormatting>
  <conditionalFormatting sqref="L58">
    <cfRule type="cellIs" dxfId="413" priority="342" operator="greaterThan">
      <formula>0</formula>
    </cfRule>
    <cfRule type="cellIs" dxfId="412" priority="341" operator="lessThan">
      <formula>0</formula>
    </cfRule>
  </conditionalFormatting>
  <conditionalFormatting sqref="L61">
    <cfRule type="cellIs" dxfId="411" priority="568" operator="greaterThan">
      <formula>0</formula>
    </cfRule>
    <cfRule type="cellIs" dxfId="410" priority="567" operator="lessThan">
      <formula>0</formula>
    </cfRule>
  </conditionalFormatting>
  <conditionalFormatting sqref="L63">
    <cfRule type="cellIs" dxfId="409" priority="545" operator="lessThan">
      <formula>0</formula>
    </cfRule>
    <cfRule type="cellIs" dxfId="408" priority="546" operator="greaterThan">
      <formula>0</formula>
    </cfRule>
  </conditionalFormatting>
  <conditionalFormatting sqref="L132">
    <cfRule type="cellIs" dxfId="407" priority="315" operator="lessThan">
      <formula>0</formula>
    </cfRule>
    <cfRule type="cellIs" dxfId="406" priority="316" operator="greaterThan">
      <formula>0</formula>
    </cfRule>
  </conditionalFormatting>
  <conditionalFormatting sqref="L135">
    <cfRule type="cellIs" dxfId="405" priority="512" operator="greaterThan">
      <formula>0</formula>
    </cfRule>
    <cfRule type="cellIs" dxfId="404" priority="511" operator="lessThan">
      <formula>0</formula>
    </cfRule>
  </conditionalFormatting>
  <conditionalFormatting sqref="L137">
    <cfRule type="cellIs" dxfId="403" priority="489" operator="lessThan">
      <formula>0</formula>
    </cfRule>
    <cfRule type="cellIs" dxfId="402" priority="490" operator="greaterThan">
      <formula>0</formula>
    </cfRule>
  </conditionalFormatting>
  <conditionalFormatting sqref="L206">
    <cfRule type="cellIs" dxfId="401" priority="292" operator="greaterThan">
      <formula>0</formula>
    </cfRule>
    <cfRule type="cellIs" dxfId="400" priority="291" operator="lessThan">
      <formula>0</formula>
    </cfRule>
  </conditionalFormatting>
  <conditionalFormatting sqref="L209">
    <cfRule type="cellIs" dxfId="399" priority="433" operator="lessThan">
      <formula>0</formula>
    </cfRule>
    <cfRule type="cellIs" dxfId="398" priority="434" operator="greaterThan">
      <formula>0</formula>
    </cfRule>
  </conditionalFormatting>
  <conditionalFormatting sqref="L211">
    <cfRule type="cellIs" dxfId="397" priority="435" operator="lessThan">
      <formula>0</formula>
    </cfRule>
    <cfRule type="cellIs" dxfId="396" priority="436" operator="greaterThan">
      <formula>0</formula>
    </cfRule>
  </conditionalFormatting>
  <conditionalFormatting sqref="N58">
    <cfRule type="cellIs" dxfId="395" priority="339" operator="lessThan">
      <formula>0</formula>
    </cfRule>
    <cfRule type="cellIs" dxfId="394" priority="340" operator="greaterThan">
      <formula>0</formula>
    </cfRule>
  </conditionalFormatting>
  <conditionalFormatting sqref="N61">
    <cfRule type="cellIs" dxfId="393" priority="566" operator="greaterThan">
      <formula>0</formula>
    </cfRule>
    <cfRule type="cellIs" dxfId="392" priority="565" operator="lessThan">
      <formula>0</formula>
    </cfRule>
  </conditionalFormatting>
  <conditionalFormatting sqref="N63">
    <cfRule type="cellIs" dxfId="391" priority="543" operator="lessThan">
      <formula>0</formula>
    </cfRule>
    <cfRule type="cellIs" dxfId="390" priority="544" operator="greaterThan">
      <formula>0</formula>
    </cfRule>
  </conditionalFormatting>
  <conditionalFormatting sqref="N132">
    <cfRule type="cellIs" dxfId="389" priority="314" operator="greaterThan">
      <formula>0</formula>
    </cfRule>
    <cfRule type="cellIs" dxfId="388" priority="313" operator="lessThan">
      <formula>0</formula>
    </cfRule>
  </conditionalFormatting>
  <conditionalFormatting sqref="N135">
    <cfRule type="cellIs" dxfId="387" priority="509" operator="lessThan">
      <formula>0</formula>
    </cfRule>
    <cfRule type="cellIs" dxfId="386" priority="510" operator="greaterThan">
      <formula>0</formula>
    </cfRule>
  </conditionalFormatting>
  <conditionalFormatting sqref="N137">
    <cfRule type="cellIs" dxfId="385" priority="488" operator="greaterThan">
      <formula>0</formula>
    </cfRule>
    <cfRule type="cellIs" dxfId="384" priority="487" operator="lessThan">
      <formula>0</formula>
    </cfRule>
  </conditionalFormatting>
  <conditionalFormatting sqref="N206">
    <cfRule type="cellIs" dxfId="383" priority="290" operator="greaterThan">
      <formula>0</formula>
    </cfRule>
    <cfRule type="cellIs" dxfId="382" priority="289" operator="lessThan">
      <formula>0</formula>
    </cfRule>
  </conditionalFormatting>
  <conditionalFormatting sqref="N209">
    <cfRule type="cellIs" dxfId="381" priority="428" operator="greaterThan">
      <formula>0</formula>
    </cfRule>
    <cfRule type="cellIs" dxfId="380" priority="427" operator="lessThan">
      <formula>0</formula>
    </cfRule>
  </conditionalFormatting>
  <conditionalFormatting sqref="N211">
    <cfRule type="cellIs" dxfId="379" priority="430" operator="greaterThan">
      <formula>0</formula>
    </cfRule>
    <cfRule type="cellIs" dxfId="378" priority="429" operator="lessThan">
      <formula>0</formula>
    </cfRule>
  </conditionalFormatting>
  <conditionalFormatting sqref="P58">
    <cfRule type="cellIs" dxfId="377" priority="337" operator="lessThan">
      <formula>0</formula>
    </cfRule>
    <cfRule type="cellIs" dxfId="376" priority="338" operator="greaterThan">
      <formula>0</formula>
    </cfRule>
  </conditionalFormatting>
  <conditionalFormatting sqref="P61">
    <cfRule type="cellIs" dxfId="375" priority="564" operator="greaterThan">
      <formula>0</formula>
    </cfRule>
    <cfRule type="cellIs" dxfId="374" priority="563" operator="lessThan">
      <formula>0</formula>
    </cfRule>
  </conditionalFormatting>
  <conditionalFormatting sqref="P63">
    <cfRule type="cellIs" dxfId="373" priority="541" operator="lessThan">
      <formula>0</formula>
    </cfRule>
    <cfRule type="cellIs" dxfId="372" priority="542" operator="greaterThan">
      <formula>0</formula>
    </cfRule>
  </conditionalFormatting>
  <conditionalFormatting sqref="P132">
    <cfRule type="cellIs" dxfId="371" priority="312" operator="greaterThan">
      <formula>0</formula>
    </cfRule>
    <cfRule type="cellIs" dxfId="370" priority="311" operator="lessThan">
      <formula>0</formula>
    </cfRule>
  </conditionalFormatting>
  <conditionalFormatting sqref="P135">
    <cfRule type="cellIs" dxfId="369" priority="508" operator="greaterThan">
      <formula>0</formula>
    </cfRule>
    <cfRule type="cellIs" dxfId="368" priority="507" operator="lessThan">
      <formula>0</formula>
    </cfRule>
  </conditionalFormatting>
  <conditionalFormatting sqref="P137">
    <cfRule type="cellIs" dxfId="367" priority="486" operator="greaterThan">
      <formula>0</formula>
    </cfRule>
    <cfRule type="cellIs" dxfId="366" priority="485" operator="lessThan">
      <formula>0</formula>
    </cfRule>
  </conditionalFormatting>
  <conditionalFormatting sqref="P206">
    <cfRule type="cellIs" dxfId="365" priority="288" operator="greaterThan">
      <formula>0</formula>
    </cfRule>
    <cfRule type="cellIs" dxfId="364" priority="287" operator="lessThan">
      <formula>0</formula>
    </cfRule>
  </conditionalFormatting>
  <conditionalFormatting sqref="P209">
    <cfRule type="cellIs" dxfId="363" priority="422" operator="greaterThan">
      <formula>0</formula>
    </cfRule>
    <cfRule type="cellIs" dxfId="362" priority="421" operator="lessThan">
      <formula>0</formula>
    </cfRule>
  </conditionalFormatting>
  <conditionalFormatting sqref="P211">
    <cfRule type="cellIs" dxfId="361" priority="424" operator="greaterThan">
      <formula>0</formula>
    </cfRule>
    <cfRule type="cellIs" dxfId="360" priority="423" operator="lessThan">
      <formula>0</formula>
    </cfRule>
  </conditionalFormatting>
  <conditionalFormatting sqref="R58">
    <cfRule type="cellIs" dxfId="359" priority="334" operator="greaterThan">
      <formula>0</formula>
    </cfRule>
    <cfRule type="cellIs" dxfId="358" priority="333" operator="lessThan">
      <formula>0</formula>
    </cfRule>
  </conditionalFormatting>
  <conditionalFormatting sqref="R61">
    <cfRule type="cellIs" dxfId="357" priority="562" operator="greaterThan">
      <formula>0</formula>
    </cfRule>
    <cfRule type="cellIs" dxfId="356" priority="561" operator="lessThan">
      <formula>0</formula>
    </cfRule>
  </conditionalFormatting>
  <conditionalFormatting sqref="R63">
    <cfRule type="cellIs" dxfId="355" priority="539" operator="lessThan">
      <formula>0</formula>
    </cfRule>
    <cfRule type="cellIs" dxfId="354" priority="540" operator="greaterThan">
      <formula>0</formula>
    </cfRule>
  </conditionalFormatting>
  <conditionalFormatting sqref="R132">
    <cfRule type="cellIs" dxfId="353" priority="310" operator="greaterThan">
      <formula>0</formula>
    </cfRule>
    <cfRule type="cellIs" dxfId="352" priority="309" operator="lessThan">
      <formula>0</formula>
    </cfRule>
  </conditionalFormatting>
  <conditionalFormatting sqref="R135">
    <cfRule type="cellIs" dxfId="351" priority="505" operator="lessThan">
      <formula>0</formula>
    </cfRule>
    <cfRule type="cellIs" dxfId="350" priority="506" operator="greaterThan">
      <formula>0</formula>
    </cfRule>
  </conditionalFormatting>
  <conditionalFormatting sqref="R137">
    <cfRule type="cellIs" dxfId="349" priority="483" operator="lessThan">
      <formula>0</formula>
    </cfRule>
    <cfRule type="cellIs" dxfId="348" priority="484" operator="greaterThan">
      <formula>0</formula>
    </cfRule>
  </conditionalFormatting>
  <conditionalFormatting sqref="R206">
    <cfRule type="cellIs" dxfId="347" priority="285" operator="lessThan">
      <formula>0</formula>
    </cfRule>
    <cfRule type="cellIs" dxfId="346" priority="286" operator="greaterThan">
      <formula>0</formula>
    </cfRule>
  </conditionalFormatting>
  <conditionalFormatting sqref="R209">
    <cfRule type="cellIs" dxfId="345" priority="415" operator="lessThan">
      <formula>0</formula>
    </cfRule>
    <cfRule type="cellIs" dxfId="344" priority="416" operator="greaterThan">
      <formula>0</formula>
    </cfRule>
  </conditionalFormatting>
  <conditionalFormatting sqref="R211">
    <cfRule type="cellIs" dxfId="343" priority="417" operator="lessThan">
      <formula>0</formula>
    </cfRule>
    <cfRule type="cellIs" dxfId="342" priority="418" operator="greaterThan">
      <formula>0</formula>
    </cfRule>
  </conditionalFormatting>
  <conditionalFormatting sqref="T58">
    <cfRule type="cellIs" dxfId="341" priority="331" operator="lessThan">
      <formula>0</formula>
    </cfRule>
    <cfRule type="cellIs" dxfId="340" priority="332" operator="greaterThan">
      <formula>0</formula>
    </cfRule>
  </conditionalFormatting>
  <conditionalFormatting sqref="T61">
    <cfRule type="cellIs" dxfId="339" priority="560" operator="greaterThan">
      <formula>0</formula>
    </cfRule>
    <cfRule type="cellIs" dxfId="338" priority="559" operator="lessThan">
      <formula>0</formula>
    </cfRule>
  </conditionalFormatting>
  <conditionalFormatting sqref="T63">
    <cfRule type="cellIs" dxfId="337" priority="538" operator="greaterThan">
      <formula>0</formula>
    </cfRule>
    <cfRule type="cellIs" dxfId="336" priority="537" operator="lessThan">
      <formula>0</formula>
    </cfRule>
  </conditionalFormatting>
  <conditionalFormatting sqref="T132">
    <cfRule type="cellIs" dxfId="335" priority="308" operator="greaterThan">
      <formula>0</formula>
    </cfRule>
    <cfRule type="cellIs" dxfId="334" priority="307" operator="lessThan">
      <formula>0</formula>
    </cfRule>
  </conditionalFormatting>
  <conditionalFormatting sqref="T135">
    <cfRule type="cellIs" dxfId="333" priority="503" operator="lessThan">
      <formula>0</formula>
    </cfRule>
    <cfRule type="cellIs" dxfId="332" priority="504" operator="greaterThan">
      <formula>0</formula>
    </cfRule>
  </conditionalFormatting>
  <conditionalFormatting sqref="T137">
    <cfRule type="cellIs" dxfId="331" priority="482" operator="greaterThan">
      <formula>0</formula>
    </cfRule>
    <cfRule type="cellIs" dxfId="330" priority="481" operator="lessThan">
      <formula>0</formula>
    </cfRule>
  </conditionalFormatting>
  <conditionalFormatting sqref="T206">
    <cfRule type="cellIs" dxfId="329" priority="284" operator="greaterThan">
      <formula>0</formula>
    </cfRule>
    <cfRule type="cellIs" dxfId="328" priority="283" operator="lessThan">
      <formula>0</formula>
    </cfRule>
  </conditionalFormatting>
  <conditionalFormatting sqref="T209">
    <cfRule type="cellIs" dxfId="327" priority="409" operator="lessThan">
      <formula>0</formula>
    </cfRule>
    <cfRule type="cellIs" dxfId="326" priority="410" operator="greaterThan">
      <formula>0</formula>
    </cfRule>
  </conditionalFormatting>
  <conditionalFormatting sqref="T211">
    <cfRule type="cellIs" dxfId="325" priority="411" operator="lessThan">
      <formula>0</formula>
    </cfRule>
    <cfRule type="cellIs" dxfId="324" priority="412" operator="greaterThan">
      <formula>0</formula>
    </cfRule>
  </conditionalFormatting>
  <conditionalFormatting sqref="V58">
    <cfRule type="cellIs" dxfId="323" priority="330" operator="greaterThan">
      <formula>0</formula>
    </cfRule>
    <cfRule type="cellIs" dxfId="322" priority="329" operator="lessThan">
      <formula>0</formula>
    </cfRule>
  </conditionalFormatting>
  <conditionalFormatting sqref="V61">
    <cfRule type="cellIs" dxfId="321" priority="558" operator="greaterThan">
      <formula>0</formula>
    </cfRule>
    <cfRule type="cellIs" dxfId="320" priority="557" operator="lessThan">
      <formula>0</formula>
    </cfRule>
  </conditionalFormatting>
  <conditionalFormatting sqref="V63">
    <cfRule type="cellIs" dxfId="319" priority="536" operator="greaterThan">
      <formula>0</formula>
    </cfRule>
    <cfRule type="cellIs" dxfId="318" priority="535" operator="lessThan">
      <formula>0</formula>
    </cfRule>
  </conditionalFormatting>
  <conditionalFormatting sqref="V132">
    <cfRule type="cellIs" dxfId="317" priority="306" operator="greaterThan">
      <formula>0</formula>
    </cfRule>
    <cfRule type="cellIs" dxfId="316" priority="305" operator="lessThan">
      <formula>0</formula>
    </cfRule>
  </conditionalFormatting>
  <conditionalFormatting sqref="V135">
    <cfRule type="cellIs" dxfId="315" priority="502" operator="greaterThan">
      <formula>0</formula>
    </cfRule>
    <cfRule type="cellIs" dxfId="314" priority="501" operator="lessThan">
      <formula>0</formula>
    </cfRule>
  </conditionalFormatting>
  <conditionalFormatting sqref="V137">
    <cfRule type="cellIs" dxfId="313" priority="480" operator="greaterThan">
      <formula>0</formula>
    </cfRule>
    <cfRule type="cellIs" dxfId="312" priority="479" operator="lessThan">
      <formula>0</formula>
    </cfRule>
  </conditionalFormatting>
  <conditionalFormatting sqref="V206">
    <cfRule type="cellIs" dxfId="311" priority="281" operator="lessThan">
      <formula>0</formula>
    </cfRule>
    <cfRule type="cellIs" dxfId="310" priority="282" operator="greaterThan">
      <formula>0</formula>
    </cfRule>
  </conditionalFormatting>
  <conditionalFormatting sqref="V209">
    <cfRule type="cellIs" dxfId="309" priority="404" operator="greaterThan">
      <formula>0</formula>
    </cfRule>
    <cfRule type="cellIs" dxfId="308" priority="403" operator="lessThan">
      <formula>0</formula>
    </cfRule>
  </conditionalFormatting>
  <conditionalFormatting sqref="V211">
    <cfRule type="cellIs" dxfId="307" priority="406" operator="greaterThan">
      <formula>0</formula>
    </cfRule>
    <cfRule type="cellIs" dxfId="306" priority="405" operator="lessThan">
      <formula>0</formula>
    </cfRule>
  </conditionalFormatting>
  <conditionalFormatting sqref="X58">
    <cfRule type="cellIs" dxfId="305" priority="327" operator="lessThan">
      <formula>0</formula>
    </cfRule>
    <cfRule type="cellIs" dxfId="304" priority="328" operator="greaterThan">
      <formula>0</formula>
    </cfRule>
  </conditionalFormatting>
  <conditionalFormatting sqref="X61">
    <cfRule type="cellIs" dxfId="303" priority="555" operator="lessThan">
      <formula>0</formula>
    </cfRule>
    <cfRule type="cellIs" dxfId="302" priority="556" operator="greaterThan">
      <formula>0</formula>
    </cfRule>
  </conditionalFormatting>
  <conditionalFormatting sqref="X63">
    <cfRule type="cellIs" dxfId="301" priority="533" operator="lessThan">
      <formula>0</formula>
    </cfRule>
    <cfRule type="cellIs" dxfId="300" priority="534" operator="greaterThan">
      <formula>0</formula>
    </cfRule>
  </conditionalFormatting>
  <conditionalFormatting sqref="X132">
    <cfRule type="cellIs" dxfId="299" priority="304" operator="greaterThan">
      <formula>0</formula>
    </cfRule>
    <cfRule type="cellIs" dxfId="298" priority="303" operator="lessThan">
      <formula>0</formula>
    </cfRule>
  </conditionalFormatting>
  <conditionalFormatting sqref="X135">
    <cfRule type="cellIs" dxfId="297" priority="499" operator="lessThan">
      <formula>0</formula>
    </cfRule>
    <cfRule type="cellIs" dxfId="296" priority="500" operator="greaterThan">
      <formula>0</formula>
    </cfRule>
  </conditionalFormatting>
  <conditionalFormatting sqref="X137">
    <cfRule type="cellIs" dxfId="295" priority="477" operator="lessThan">
      <formula>0</formula>
    </cfRule>
    <cfRule type="cellIs" dxfId="294" priority="478" operator="greaterThan">
      <formula>0</formula>
    </cfRule>
  </conditionalFormatting>
  <conditionalFormatting sqref="X206">
    <cfRule type="cellIs" dxfId="293" priority="280" operator="greaterThan">
      <formula>0</formula>
    </cfRule>
    <cfRule type="cellIs" dxfId="292" priority="279" operator="lessThan">
      <formula>0</formula>
    </cfRule>
  </conditionalFormatting>
  <conditionalFormatting sqref="X209">
    <cfRule type="cellIs" dxfId="291" priority="398" operator="greaterThan">
      <formula>0</formula>
    </cfRule>
    <cfRule type="cellIs" dxfId="290" priority="397" operator="lessThan">
      <formula>0</formula>
    </cfRule>
  </conditionalFormatting>
  <conditionalFormatting sqref="X211">
    <cfRule type="cellIs" dxfId="289" priority="399" operator="lessThan">
      <formula>0</formula>
    </cfRule>
    <cfRule type="cellIs" dxfId="288" priority="400" operator="greaterThan">
      <formula>0</formula>
    </cfRule>
  </conditionalFormatting>
  <conditionalFormatting sqref="Z55">
    <cfRule type="cellIs" dxfId="287" priority="388" operator="greaterThan">
      <formula>0</formula>
    </cfRule>
    <cfRule type="cellIs" dxfId="286" priority="387" operator="lessThan">
      <formula>0</formula>
    </cfRule>
  </conditionalFormatting>
  <conditionalFormatting sqref="Z58">
    <cfRule type="cellIs" dxfId="285" priority="326" operator="greaterThan">
      <formula>0</formula>
    </cfRule>
    <cfRule type="cellIs" dxfId="284" priority="325" operator="lessThan">
      <formula>0</formula>
    </cfRule>
  </conditionalFormatting>
  <conditionalFormatting sqref="Z61">
    <cfRule type="cellIs" dxfId="283" priority="384" operator="greaterThan">
      <formula>0</formula>
    </cfRule>
    <cfRule type="cellIs" dxfId="282" priority="383" operator="lessThan">
      <formula>0</formula>
    </cfRule>
  </conditionalFormatting>
  <conditionalFormatting sqref="Z63">
    <cfRule type="cellIs" dxfId="281" priority="381" operator="lessThan">
      <formula>0</formula>
    </cfRule>
    <cfRule type="cellIs" dxfId="280" priority="382" operator="greaterThan">
      <formula>0</formula>
    </cfRule>
  </conditionalFormatting>
  <conditionalFormatting sqref="Z129">
    <cfRule type="cellIs" dxfId="279" priority="363" operator="lessThan">
      <formula>0</formula>
    </cfRule>
    <cfRule type="cellIs" dxfId="278" priority="364" operator="greaterThan">
      <formula>0</formula>
    </cfRule>
  </conditionalFormatting>
  <conditionalFormatting sqref="Z132">
    <cfRule type="cellIs" dxfId="277" priority="302" operator="greaterThan">
      <formula>0</formula>
    </cfRule>
    <cfRule type="cellIs" dxfId="276" priority="301" operator="lessThan">
      <formula>0</formula>
    </cfRule>
  </conditionalFormatting>
  <conditionalFormatting sqref="Z135">
    <cfRule type="cellIs" dxfId="275" priority="359" operator="lessThan">
      <formula>0</formula>
    </cfRule>
    <cfRule type="cellIs" dxfId="274" priority="360" operator="greaterThan">
      <formula>0</formula>
    </cfRule>
  </conditionalFormatting>
  <conditionalFormatting sqref="Z137">
    <cfRule type="cellIs" dxfId="273" priority="357" operator="lessThan">
      <formula>0</formula>
    </cfRule>
    <cfRule type="cellIs" dxfId="272" priority="358" operator="greaterThan">
      <formula>0</formula>
    </cfRule>
  </conditionalFormatting>
  <conditionalFormatting sqref="Z203">
    <cfRule type="cellIs" dxfId="271" priority="371" operator="lessThan">
      <formula>0</formula>
    </cfRule>
    <cfRule type="cellIs" dxfId="270" priority="372" operator="greaterThan">
      <formula>0</formula>
    </cfRule>
  </conditionalFormatting>
  <conditionalFormatting sqref="Z206">
    <cfRule type="cellIs" dxfId="269" priority="277" operator="lessThan">
      <formula>0</formula>
    </cfRule>
    <cfRule type="cellIs" dxfId="268" priority="278" operator="greaterThan">
      <formula>0</formula>
    </cfRule>
  </conditionalFormatting>
  <conditionalFormatting sqref="Z209">
    <cfRule type="cellIs" dxfId="267" priority="368" operator="greaterThan">
      <formula>0</formula>
    </cfRule>
    <cfRule type="cellIs" dxfId="266" priority="367" operator="lessThan">
      <formula>0</formula>
    </cfRule>
  </conditionalFormatting>
  <conditionalFormatting sqref="Z211">
    <cfRule type="cellIs" dxfId="265" priority="366" operator="greaterThan">
      <formula>0</formula>
    </cfRule>
    <cfRule type="cellIs" dxfId="264" priority="365" operator="lessThan">
      <formula>0</formula>
    </cfRule>
  </conditionalFormatting>
  <pageMargins left="0.7" right="0.7" top="0.75" bottom="0.75" header="0.3" footer="0.3"/>
  <pageSetup paperSize="9" orientation="portrait" horizontalDpi="0" verticalDpi="0"/>
  <headerFooter>
    <oddHeader>&amp;C&amp;"Calibri"&amp;10&amp;K000000 Internal&amp;1#_x000D_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4"/>
  </sheetPr>
  <dimension ref="A1:AC221"/>
  <sheetViews>
    <sheetView showGridLines="0" showRuler="0" topLeftCell="J1" workbookViewId="0">
      <selection activeCell="F22" sqref="F4:F22"/>
    </sheetView>
  </sheetViews>
  <sheetFormatPr defaultColWidth="10.8515625" defaultRowHeight="15" outlineLevelRow="2" outlineLevelCol="1" x14ac:dyDescent="0.2"/>
  <cols>
    <col min="1" max="1" width="22.31640625" bestFit="1" customWidth="1"/>
    <col min="2" max="11" width="10.8515625" customWidth="1" outlineLevel="1"/>
    <col min="12" max="12" width="10.8515625" customWidth="1" outlineLevel="1" collapsed="1"/>
    <col min="13" max="13" width="10.8515625" customWidth="1" outlineLevel="1"/>
    <col min="14" max="25" width="10.8515625" customWidth="1"/>
  </cols>
  <sheetData>
    <row r="1" spans="1:27" ht="6" customHeight="1" thickBot="1" x14ac:dyDescent="0.25"/>
    <row r="2" spans="1:27" x14ac:dyDescent="0.2">
      <c r="A2">
        <v>12</v>
      </c>
      <c r="B2" s="208" t="s">
        <v>48</v>
      </c>
      <c r="C2" s="209"/>
      <c r="D2" s="208" t="s">
        <v>56</v>
      </c>
      <c r="E2" s="209"/>
      <c r="F2" s="208" t="s">
        <v>57</v>
      </c>
      <c r="G2" s="209"/>
      <c r="H2" s="208" t="s">
        <v>58</v>
      </c>
      <c r="I2" s="209"/>
      <c r="J2" s="208" t="s">
        <v>59</v>
      </c>
      <c r="K2" s="209"/>
      <c r="L2" s="208" t="s">
        <v>60</v>
      </c>
      <c r="M2" s="209"/>
      <c r="N2" s="208" t="s">
        <v>61</v>
      </c>
      <c r="O2" s="209"/>
      <c r="P2" s="208" t="s">
        <v>62</v>
      </c>
      <c r="Q2" s="209"/>
      <c r="R2" s="208" t="s">
        <v>236</v>
      </c>
      <c r="S2" s="209"/>
      <c r="T2" s="208" t="s">
        <v>63</v>
      </c>
      <c r="U2" s="209"/>
      <c r="V2" s="208" t="s">
        <v>64</v>
      </c>
      <c r="W2" s="209"/>
      <c r="X2" s="208" t="s">
        <v>65</v>
      </c>
      <c r="Y2" s="209"/>
      <c r="Z2" s="208">
        <v>2020</v>
      </c>
      <c r="AA2" s="209"/>
    </row>
    <row r="3" spans="1:27" ht="15.75" thickBot="1" x14ac:dyDescent="0.25">
      <c r="A3" s="10" t="s">
        <v>66</v>
      </c>
      <c r="B3" s="16">
        <f>B4+B22</f>
        <v>3540</v>
      </c>
      <c r="C3" s="17">
        <f>IF(B3=0,0,(B3/B3))</f>
        <v>1</v>
      </c>
      <c r="D3" s="16">
        <f>D4+D22</f>
        <v>2945</v>
      </c>
      <c r="E3" s="17">
        <f>IF(D3=0,0,(D3/D3))</f>
        <v>1</v>
      </c>
      <c r="F3" s="16">
        <f t="shared" ref="F3:X3" si="0">F4+F22</f>
        <v>750</v>
      </c>
      <c r="G3" s="17">
        <f>IF(F3=0,0,(F3/F3))</f>
        <v>1</v>
      </c>
      <c r="H3" s="16">
        <f t="shared" si="0"/>
        <v>661.2</v>
      </c>
      <c r="I3" s="17">
        <f>IF(H3=0,0,(H3/H3))</f>
        <v>1</v>
      </c>
      <c r="J3" s="16">
        <f t="shared" si="0"/>
        <v>1035.8800000000001</v>
      </c>
      <c r="K3" s="17">
        <f>IF(J3=0,0,(J3/J3))</f>
        <v>1</v>
      </c>
      <c r="L3" s="16">
        <f t="shared" si="0"/>
        <v>1846.2</v>
      </c>
      <c r="M3" s="17">
        <f>IF(L3=0,0,(L3/L3))</f>
        <v>1</v>
      </c>
      <c r="N3" s="16">
        <f t="shared" si="0"/>
        <v>4015</v>
      </c>
      <c r="O3" s="17">
        <f>IF(N3=0,0,(N3/N3))</f>
        <v>1</v>
      </c>
      <c r="P3" s="16">
        <f t="shared" si="0"/>
        <v>1515</v>
      </c>
      <c r="Q3" s="17">
        <f>IF(P3=0,0,(P3/P3))</f>
        <v>1</v>
      </c>
      <c r="R3" s="16">
        <f t="shared" si="0"/>
        <v>1194.99</v>
      </c>
      <c r="S3" s="17">
        <f>IF(R3=0,0,(R3/R3))</f>
        <v>1</v>
      </c>
      <c r="T3" s="16">
        <f t="shared" si="0"/>
        <v>817.2</v>
      </c>
      <c r="U3" s="17">
        <f>IF(T3=0,0,(T3/T3))</f>
        <v>1</v>
      </c>
      <c r="V3" s="16">
        <f t="shared" si="0"/>
        <v>472.2</v>
      </c>
      <c r="W3" s="17">
        <f>IF(V3=0,0,(V3/V3))</f>
        <v>1</v>
      </c>
      <c r="X3" s="16">
        <f t="shared" si="0"/>
        <v>2622.2</v>
      </c>
      <c r="Y3" s="17">
        <f>IF(X3=0,0,(X3/X3))</f>
        <v>1</v>
      </c>
      <c r="Z3" s="16">
        <f>Z4+Z22</f>
        <v>21414.87</v>
      </c>
      <c r="AA3" s="17">
        <f>IF(Z3=0,0,(Z3/Z3))</f>
        <v>1</v>
      </c>
    </row>
    <row r="4" spans="1:27" x14ac:dyDescent="0.2">
      <c r="A4" s="32" t="s">
        <v>74</v>
      </c>
      <c r="B4" s="18">
        <f>SUM(B5:B12)</f>
        <v>3490</v>
      </c>
      <c r="C4" s="19">
        <f>IF(B$3=0,0,B4/B$3)</f>
        <v>0.98587570621468923</v>
      </c>
      <c r="D4" s="18">
        <f t="shared" ref="D4:X4" si="1">SUM(D5:D12)</f>
        <v>2825</v>
      </c>
      <c r="E4" s="19">
        <f>IF(D$3=0,0,D4/D$3)</f>
        <v>0.95925297113752117</v>
      </c>
      <c r="F4" s="18">
        <f t="shared" si="1"/>
        <v>680</v>
      </c>
      <c r="G4" s="19">
        <f>IF(F$3=0,0,F4/F$3)</f>
        <v>0.90666666666666662</v>
      </c>
      <c r="H4" s="18">
        <f t="shared" si="1"/>
        <v>661.2</v>
      </c>
      <c r="I4" s="19">
        <f>IF(H$3=0,0,H4/H$3)</f>
        <v>1</v>
      </c>
      <c r="J4" s="18">
        <f t="shared" si="1"/>
        <v>1035.8800000000001</v>
      </c>
      <c r="K4" s="19">
        <f>IF(J$3=0,0,J4/J$3)</f>
        <v>1</v>
      </c>
      <c r="L4" s="18">
        <f t="shared" si="1"/>
        <v>1741.2</v>
      </c>
      <c r="M4" s="19">
        <f>IF(L$3=0,0,L4/L$3)</f>
        <v>0.94312642183945405</v>
      </c>
      <c r="N4" s="18">
        <f t="shared" si="1"/>
        <v>3895</v>
      </c>
      <c r="O4" s="19">
        <f>IF(N$3=0,0,N4/N$3)</f>
        <v>0.97011207970112079</v>
      </c>
      <c r="P4" s="18">
        <f t="shared" si="1"/>
        <v>1325</v>
      </c>
      <c r="Q4" s="19">
        <f>IF(P$3=0,0,P4/P$3)</f>
        <v>0.87458745874587462</v>
      </c>
      <c r="R4" s="18">
        <f t="shared" si="1"/>
        <v>1184.99</v>
      </c>
      <c r="S4" s="19">
        <f>IF(R$3=0,0,R4/R$3)</f>
        <v>0.99163172913580866</v>
      </c>
      <c r="T4" s="18">
        <f t="shared" si="1"/>
        <v>817.2</v>
      </c>
      <c r="U4" s="19">
        <f>IF(T$3=0,0,T4/T$3)</f>
        <v>1</v>
      </c>
      <c r="V4" s="18">
        <f t="shared" si="1"/>
        <v>472.2</v>
      </c>
      <c r="W4" s="19">
        <f>IF(V$3=0,0,V4/V$3)</f>
        <v>1</v>
      </c>
      <c r="X4" s="18">
        <f t="shared" si="1"/>
        <v>2622.2</v>
      </c>
      <c r="Y4" s="19">
        <f>IF(X$3=0,0,X4/X$3)</f>
        <v>1</v>
      </c>
      <c r="Z4" s="18">
        <f>SUM(Z5:Z12)</f>
        <v>20749.87</v>
      </c>
      <c r="AA4" s="19">
        <f>IF(Z$3=0,0,Z4/Z$3)</f>
        <v>0.96894681125778492</v>
      </c>
    </row>
    <row r="5" spans="1:27" hidden="1" outlineLevel="1" x14ac:dyDescent="0.2">
      <c r="A5" s="8" t="s">
        <v>67</v>
      </c>
      <c r="B5" s="20">
        <f>SUMIFS('Registre de reserves'!$P$2:$P$1178,'Registre de reserves'!$T$2:$T$1178,"SI",'Registre de reserves'!$I$2:$I$1178,'2020'!$A5,'Registre de reserves'!$B$2:$B$1178,'2020'!B$2,Tabla1[ANY],'2020'!$Z$2)+SUMIFS('Registre de reserves'!$U$2:$U$1178,'Registre de reserves'!$T$2:$T$1178,"RESERVA",'Registre de reserves'!$I$2:$I$1178,'2020'!$A5,'Registre de reserves'!$B$2:$B$1178,'2020'!B$2,Tabla1[ANY],'2020'!$Z$2)</f>
        <v>435</v>
      </c>
      <c r="C5" s="21">
        <f>IF(B$4=0,0,B5/B$4)</f>
        <v>0.12464183381088825</v>
      </c>
      <c r="D5" s="20">
        <f>SUMIFS('Registre de reserves'!$P$2:$P$1178,'Registre de reserves'!$T$2:$T$1178,"SI",'Registre de reserves'!$I$2:$I$1178,'2020'!$A5,'Registre de reserves'!$B$2:$B$1178,'2020'!D$2,Tabla1[ANY],'2020'!$Z$2)+SUMIFS('Registre de reserves'!$U$2:$U$1178,'Registre de reserves'!$T$2:$T$1178,"RESERVA",'Registre de reserves'!$I$2:$I$1178,'2020'!$A5,'Registre de reserves'!$B$2:$B$1178,'2020'!D$2,Tabla1[ANY],'2020'!$Z$2)</f>
        <v>725</v>
      </c>
      <c r="E5" s="21">
        <f>IF(D$4=0,0,D5/D$4)</f>
        <v>0.25663716814159293</v>
      </c>
      <c r="F5" s="20">
        <f>SUMIFS('Registre de reserves'!$P$2:$P$1178,'Registre de reserves'!$T$2:$T$1178,"SI",'Registre de reserves'!$I$2:$I$1178,'2020'!$A5,'Registre de reserves'!$B$2:$B$1178,'2020'!F$2,Tabla1[ANY],'2020'!$Z$2)+SUMIFS('Registre de reserves'!$U$2:$U$1178,'Registre de reserves'!$T$2:$T$1178,"RESERVA",'Registre de reserves'!$I$2:$I$1178,'2020'!$A5,'Registre de reserves'!$B$2:$B$1178,'2020'!F$2,Tabla1[ANY],'2020'!$Z$2)</f>
        <v>145</v>
      </c>
      <c r="G5" s="21">
        <f t="shared" ref="G5:G12" si="2">IF(F$4=0,0,F5/F$4)</f>
        <v>0.21323529411764705</v>
      </c>
      <c r="H5" s="20">
        <f>SUMIFS('Registre de reserves'!$P$2:$P$1178,'Registre de reserves'!$T$2:$T$1178,"SI",'Registre de reserves'!$I$2:$I$1178,'2020'!$A5,'Registre de reserves'!$B$2:$B$1178,'2020'!H$2,Tabla1[ANY],'2020'!$Z$2)+SUMIFS('Registre de reserves'!$U$2:$U$1178,'Registre de reserves'!$T$2:$T$1178,"RESERVA",'Registre de reserves'!$I$2:$I$1178,'2020'!$A5,'Registre de reserves'!$B$2:$B$1178,'2020'!H$2,Tabla1[ANY],'2020'!$Z$2)</f>
        <v>0</v>
      </c>
      <c r="I5" s="21">
        <f t="shared" ref="I5:I12" si="3">IF(H$4=0,0,H5/H$4)</f>
        <v>0</v>
      </c>
      <c r="J5" s="20">
        <f>SUMIFS('Registre de reserves'!$P$2:$P$1178,'Registre de reserves'!$T$2:$T$1178,"SI",'Registre de reserves'!$I$2:$I$1178,'2020'!$A5,'Registre de reserves'!$B$2:$B$1178,'2020'!J$2,Tabla1[ANY],'2020'!$Z$2)+SUMIFS('Registre de reserves'!$U$2:$U$1178,'Registre de reserves'!$T$2:$T$1178,"RESERVA",'Registre de reserves'!$I$2:$I$1178,'2020'!$A5,'Registre de reserves'!$B$2:$B$1178,'2020'!J$2,Tabla1[ANY],'2020'!$Z$2)</f>
        <v>0</v>
      </c>
      <c r="K5" s="21">
        <f t="shared" ref="K5:K12" si="4">IF(J$4=0,0,J5/J$4)</f>
        <v>0</v>
      </c>
      <c r="L5" s="20">
        <f>SUMIFS('Registre de reserves'!$P$2:$P$1178,'Registre de reserves'!$T$2:$T$1178,"SI",'Registre de reserves'!$I$2:$I$1178,'2020'!$A5,'Registre de reserves'!$B$2:$B$1178,'2020'!L$2,Tabla1[ANY],'2020'!$Z$2)+SUMIFS('Registre de reserves'!$U$2:$U$1178,'Registre de reserves'!$T$2:$T$1178,"RESERVA",'Registre de reserves'!$I$2:$I$1178,'2020'!$A5,'Registre de reserves'!$B$2:$B$1178,'2020'!L$2,Tabla1[ANY],'2020'!$Z$2)</f>
        <v>0</v>
      </c>
      <c r="M5" s="21">
        <f t="shared" ref="M5:M12" si="5">IF(L$4=0,0,L5/L$4)</f>
        <v>0</v>
      </c>
      <c r="N5" s="20">
        <f>SUMIFS('Registre de reserves'!$P$2:$P$1178,'Registre de reserves'!$T$2:$T$1178,"SI",'Registre de reserves'!$I$2:$I$1178,'2020'!$A5,'Registre de reserves'!$B$2:$B$1178,'2020'!N$2,Tabla1[ANY],'2020'!$Z$2)+SUMIFS('Registre de reserves'!$U$2:$U$1178,'Registre de reserves'!$T$2:$T$1178,"RESERVA",'Registre de reserves'!$I$2:$I$1178,'2020'!$A5,'Registre de reserves'!$B$2:$B$1178,'2020'!N$2,Tabla1[ANY],'2020'!$Z$2)</f>
        <v>145</v>
      </c>
      <c r="O5" s="21">
        <f t="shared" ref="O5:O12" si="6">IF(N$4=0,0,N5/N$4)</f>
        <v>3.7227214377406934E-2</v>
      </c>
      <c r="P5" s="20">
        <f>SUMIFS('Registre de reserves'!$P$2:$P$1178,'Registre de reserves'!$T$2:$T$1178,"SI",'Registre de reserves'!$I$2:$I$1178,'2020'!$A5,'Registre de reserves'!$B$2:$B$1178,'2020'!P$2,Tabla1[ANY],'2020'!$Z$2)+SUMIFS('Registre de reserves'!$U$2:$U$1178,'Registre de reserves'!$T$2:$T$1178,"RESERVA",'Registre de reserves'!$I$2:$I$1178,'2020'!$A5,'Registre de reserves'!$B$2:$B$1178,'2020'!P$2,Tabla1[ANY],'2020'!$Z$2)</f>
        <v>0</v>
      </c>
      <c r="Q5" s="21">
        <f t="shared" ref="Q5:Q12" si="7">IF(P$4=0,0,P5/P$4)</f>
        <v>0</v>
      </c>
      <c r="R5" s="20">
        <f>SUMIFS('Registre de reserves'!$P$2:$P$1178,'Registre de reserves'!$T$2:$T$1178,"SI",'Registre de reserves'!$I$2:$I$1178,'2020'!$A5,'Registre de reserves'!$B$2:$B$1178,'2020'!R$2,Tabla1[ANY],'2020'!$Z$2)+SUMIFS('Registre de reserves'!$U$2:$U$1178,'Registre de reserves'!$T$2:$T$1178,"RESERVA",'Registre de reserves'!$I$2:$I$1178,'2020'!$A5,'Registre de reserves'!$B$2:$B$1178,'2020'!R$2,Tabla1[ANY],'2020'!$Z$2)</f>
        <v>0</v>
      </c>
      <c r="S5" s="21">
        <f t="shared" ref="S5:S12" si="8">IF(R$4=0,0,R5/R$4)</f>
        <v>0</v>
      </c>
      <c r="T5" s="20">
        <f>SUMIFS('Registre de reserves'!$P$2:$P$1178,'Registre de reserves'!$T$2:$T$1178,"SI",'Registre de reserves'!$I$2:$I$1178,'2020'!$A5,'Registre de reserves'!$B$2:$B$1178,'2020'!T$2,Tabla1[ANY],'2020'!$Z$2)+SUMIFS('Registre de reserves'!$U$2:$U$1178,'Registre de reserves'!$T$2:$T$1178,"RESERVA",'Registre de reserves'!$I$2:$I$1178,'2020'!$A5,'Registre de reserves'!$B$2:$B$1178,'2020'!T$2,Tabla1[ANY],'2020'!$Z$2)</f>
        <v>0</v>
      </c>
      <c r="U5" s="21">
        <f t="shared" ref="U5:U12" si="9">IF(T$4=0,0,T5/T$4)</f>
        <v>0</v>
      </c>
      <c r="V5" s="20">
        <f>SUMIFS('Registre de reserves'!$P$2:$P$1178,'Registre de reserves'!$T$2:$T$1178,"SI",'Registre de reserves'!$I$2:$I$1178,'2020'!$A5,'Registre de reserves'!$B$2:$B$1178,'2020'!V$2,Tabla1[ANY],'2020'!$Z$2)+SUMIFS('Registre de reserves'!$U$2:$U$1178,'Registre de reserves'!$T$2:$T$1178,"RESERVA",'Registre de reserves'!$I$2:$I$1178,'2020'!$A5,'Registre de reserves'!$B$2:$B$1178,'2020'!V$2,Tabla1[ANY],'2020'!$Z$2)</f>
        <v>0</v>
      </c>
      <c r="W5" s="21">
        <f t="shared" ref="W5:W12" si="10">IF(V$4=0,0,V5/V$4)</f>
        <v>0</v>
      </c>
      <c r="X5" s="20">
        <f>SUMIFS('Registre de reserves'!$P$2:$P$1178,'Registre de reserves'!$T$2:$T$1178,"SI",'Registre de reserves'!$I$2:$I$1178,'2020'!$A5,'Registre de reserves'!$B$2:$B$1178,'2020'!X$2,Tabla1[ANY],'2020'!$Z$2)+SUMIFS('Registre de reserves'!$U$2:$U$1178,'Registre de reserves'!$T$2:$T$1178,"RESERVA",'Registre de reserves'!$I$2:$I$1178,'2020'!$A5,'Registre de reserves'!$B$2:$B$1178,'2020'!X$2,Tabla1[ANY],'2020'!$Z$2)</f>
        <v>0</v>
      </c>
      <c r="Y5" s="21">
        <f t="shared" ref="Y5:Y12" si="11">IF(X$4=0,0,X5/X$4)</f>
        <v>0</v>
      </c>
      <c r="Z5" s="20">
        <f>B5+D5+F5+H5+J5+L5+N5+P5+R5+T5+V5+X5</f>
        <v>1450</v>
      </c>
      <c r="AA5" s="21">
        <f t="shared" ref="AA5:AA12" si="12">IF(Z$4=0,0,Z5/Z$4)</f>
        <v>6.9879955874422348E-2</v>
      </c>
    </row>
    <row r="6" spans="1:27" hidden="1" outlineLevel="1" x14ac:dyDescent="0.2">
      <c r="A6" s="8" t="s">
        <v>68</v>
      </c>
      <c r="B6" s="20">
        <f>SUMIFS('Registre de reserves'!$P$2:$P$1178,'Registre de reserves'!$T$2:$T$1178,"SI",'Registre de reserves'!$I$2:$I$1178,'2020'!$A6,'Registre de reserves'!$B$2:$B$1178,'2020'!B$2,Tabla1[ANY],'2020'!$Z$2)+SUMIFS('Registre de reserves'!$U$2:$U$1178,'Registre de reserves'!$T$2:$T$1178,"RESERVA",'Registre de reserves'!$I$2:$I$1178,'2020'!$A6,'Registre de reserves'!$B$2:$B$1178,'2020'!B$2,Tabla1[ANY],'2020'!$Z$2)</f>
        <v>1040</v>
      </c>
      <c r="C6" s="21">
        <f t="shared" ref="C6:E12" si="13">IF(B$4=0,0,B6/B$4)</f>
        <v>0.29799426934097423</v>
      </c>
      <c r="D6" s="20">
        <f>SUMIFS('Registre de reserves'!$P$2:$P$1178,'Registre de reserves'!$T$2:$T$1178,"SI",'Registre de reserves'!$I$2:$I$1178,'2020'!$A6,'Registre de reserves'!$B$2:$B$1178,'2020'!D$2,Tabla1[ANY],'2020'!$Z$2)+SUMIFS('Registre de reserves'!$U$2:$U$1178,'Registre de reserves'!$T$2:$T$1178,"RESERVA",'Registre de reserves'!$I$2:$I$1178,'2020'!$A6,'Registre de reserves'!$B$2:$B$1178,'2020'!D$2,Tabla1[ANY],'2020'!$Z$2)</f>
        <v>1125</v>
      </c>
      <c r="E6" s="21">
        <f t="shared" si="13"/>
        <v>0.39823008849557523</v>
      </c>
      <c r="F6" s="20">
        <f>SUMIFS('Registre de reserves'!$P$2:$P$1178,'Registre de reserves'!$T$2:$T$1178,"SI",'Registre de reserves'!$I$2:$I$1178,'2020'!$A6,'Registre de reserves'!$B$2:$B$1178,'2020'!F$2,Tabla1[ANY],'2020'!$Z$2)+SUMIFS('Registre de reserves'!$U$2:$U$1178,'Registre de reserves'!$T$2:$T$1178,"RESERVA",'Registre de reserves'!$I$2:$I$1178,'2020'!$A6,'Registre de reserves'!$B$2:$B$1178,'2020'!F$2,Tabla1[ANY],'2020'!$Z$2)</f>
        <v>290</v>
      </c>
      <c r="G6" s="21">
        <f t="shared" si="2"/>
        <v>0.4264705882352941</v>
      </c>
      <c r="H6" s="20">
        <f>SUMIFS('Registre de reserves'!$P$2:$P$1178,'Registre de reserves'!$T$2:$T$1178,"SI",'Registre de reserves'!$I$2:$I$1178,'2020'!$A6,'Registre de reserves'!$B$2:$B$1178,'2020'!H$2,Tabla1[ANY],'2020'!$Z$2)+SUMIFS('Registre de reserves'!$U$2:$U$1178,'Registre de reserves'!$T$2:$T$1178,"RESERVA",'Registre de reserves'!$I$2:$I$1178,'2020'!$A6,'Registre de reserves'!$B$2:$B$1178,'2020'!H$2,Tabla1[ANY],'2020'!$Z$2)</f>
        <v>0</v>
      </c>
      <c r="I6" s="21">
        <f t="shared" si="3"/>
        <v>0</v>
      </c>
      <c r="J6" s="20">
        <f>SUMIFS('Registre de reserves'!$P$2:$P$1178,'Registre de reserves'!$T$2:$T$1178,"SI",'Registre de reserves'!$I$2:$I$1178,'2020'!$A6,'Registre de reserves'!$B$2:$B$1178,'2020'!J$2,Tabla1[ANY],'2020'!$Z$2)+SUMIFS('Registre de reserves'!$U$2:$U$1178,'Registre de reserves'!$T$2:$T$1178,"RESERVA",'Registre de reserves'!$I$2:$I$1178,'2020'!$A6,'Registre de reserves'!$B$2:$B$1178,'2020'!J$2,Tabla1[ANY],'2020'!$Z$2)</f>
        <v>0</v>
      </c>
      <c r="K6" s="21">
        <f t="shared" si="4"/>
        <v>0</v>
      </c>
      <c r="L6" s="20">
        <f>SUMIFS('Registre de reserves'!$P$2:$P$1178,'Registre de reserves'!$T$2:$T$1178,"SI",'Registre de reserves'!$I$2:$I$1178,'2020'!$A6,'Registre de reserves'!$B$2:$B$1178,'2020'!L$2,Tabla1[ANY],'2020'!$Z$2)+SUMIFS('Registre de reserves'!$U$2:$U$1178,'Registre de reserves'!$T$2:$T$1178,"RESERVA",'Registre de reserves'!$I$2:$I$1178,'2020'!$A6,'Registre de reserves'!$B$2:$B$1178,'2020'!L$2,Tabla1[ANY],'2020'!$Z$2)</f>
        <v>200</v>
      </c>
      <c r="M6" s="21">
        <f t="shared" si="5"/>
        <v>0.11486331265793705</v>
      </c>
      <c r="N6" s="20">
        <f>SUMIFS('Registre de reserves'!$P$2:$P$1178,'Registre de reserves'!$T$2:$T$1178,"SI",'Registre de reserves'!$I$2:$I$1178,'2020'!$A6,'Registre de reserves'!$B$2:$B$1178,'2020'!N$2,Tabla1[ANY],'2020'!$Z$2)+SUMIFS('Registre de reserves'!$U$2:$U$1178,'Registre de reserves'!$T$2:$T$1178,"RESERVA",'Registre de reserves'!$I$2:$I$1178,'2020'!$A6,'Registre de reserves'!$B$2:$B$1178,'2020'!N$2,Tabla1[ANY],'2020'!$Z$2)</f>
        <v>495</v>
      </c>
      <c r="O6" s="21">
        <f t="shared" si="6"/>
        <v>0.12708600770218229</v>
      </c>
      <c r="P6" s="20">
        <f>SUMIFS('Registre de reserves'!$P$2:$P$1178,'Registre de reserves'!$T$2:$T$1178,"SI",'Registre de reserves'!$I$2:$I$1178,'2020'!$A6,'Registre de reserves'!$B$2:$B$1178,'2020'!P$2,Tabla1[ANY],'2020'!$Z$2)+SUMIFS('Registre de reserves'!$U$2:$U$1178,'Registre de reserves'!$T$2:$T$1178,"RESERVA",'Registre de reserves'!$I$2:$I$1178,'2020'!$A6,'Registre de reserves'!$B$2:$B$1178,'2020'!P$2,Tabla1[ANY],'2020'!$Z$2)</f>
        <v>195</v>
      </c>
      <c r="Q6" s="21">
        <f t="shared" si="7"/>
        <v>0.14716981132075471</v>
      </c>
      <c r="R6" s="20">
        <f>SUMIFS('Registre de reserves'!$P$2:$P$1178,'Registre de reserves'!$T$2:$T$1178,"SI",'Registre de reserves'!$I$2:$I$1178,'2020'!$A6,'Registre de reserves'!$B$2:$B$1178,'2020'!R$2,Tabla1[ANY],'2020'!$Z$2)+SUMIFS('Registre de reserves'!$U$2:$U$1178,'Registre de reserves'!$T$2:$T$1178,"RESERVA",'Registre de reserves'!$I$2:$I$1178,'2020'!$A6,'Registre de reserves'!$B$2:$B$1178,'2020'!R$2,Tabla1[ANY],'2020'!$Z$2)</f>
        <v>50</v>
      </c>
      <c r="S6" s="21">
        <f t="shared" si="8"/>
        <v>4.2194448898302941E-2</v>
      </c>
      <c r="T6" s="20">
        <f>SUMIFS('Registre de reserves'!$P$2:$P$1178,'Registre de reserves'!$T$2:$T$1178,"SI",'Registre de reserves'!$I$2:$I$1178,'2020'!$A6,'Registre de reserves'!$B$2:$B$1178,'2020'!T$2,Tabla1[ANY],'2020'!$Z$2)+SUMIFS('Registre de reserves'!$U$2:$U$1178,'Registre de reserves'!$T$2:$T$1178,"RESERVA",'Registre de reserves'!$I$2:$I$1178,'2020'!$A6,'Registre de reserves'!$B$2:$B$1178,'2020'!T$2,Tabla1[ANY],'2020'!$Z$2)</f>
        <v>145</v>
      </c>
      <c r="U6" s="21">
        <f t="shared" si="9"/>
        <v>0.17743514439549682</v>
      </c>
      <c r="V6" s="20">
        <f>SUMIFS('Registre de reserves'!$P$2:$P$1178,'Registre de reserves'!$T$2:$T$1178,"SI",'Registre de reserves'!$I$2:$I$1178,'2020'!$A6,'Registre de reserves'!$B$2:$B$1178,'2020'!V$2,Tabla1[ANY],'2020'!$Z$2)+SUMIFS('Registre de reserves'!$U$2:$U$1178,'Registre de reserves'!$T$2:$T$1178,"RESERVA",'Registre de reserves'!$I$2:$I$1178,'2020'!$A6,'Registre de reserves'!$B$2:$B$1178,'2020'!V$2,Tabla1[ANY],'2020'!$Z$2)</f>
        <v>0</v>
      </c>
      <c r="W6" s="21">
        <f t="shared" si="10"/>
        <v>0</v>
      </c>
      <c r="X6" s="20">
        <f>SUMIFS('Registre de reserves'!$P$2:$P$1178,'Registre de reserves'!$T$2:$T$1178,"SI",'Registre de reserves'!$I$2:$I$1178,'2020'!$A6,'Registre de reserves'!$B$2:$B$1178,'2020'!X$2,Tabla1[ANY],'2020'!$Z$2)+SUMIFS('Registre de reserves'!$U$2:$U$1178,'Registre de reserves'!$T$2:$T$1178,"RESERVA",'Registre de reserves'!$I$2:$I$1178,'2020'!$A6,'Registre de reserves'!$B$2:$B$1178,'2020'!X$2,Tabla1[ANY],'2020'!$Z$2)</f>
        <v>0</v>
      </c>
      <c r="Y6" s="21">
        <f t="shared" si="11"/>
        <v>0</v>
      </c>
      <c r="Z6" s="20">
        <f t="shared" ref="Z6:Z12" si="14">B6+D6+F6+H6+J6+L6+N6+P6+R6+T6+V6+X6</f>
        <v>3540</v>
      </c>
      <c r="AA6" s="21">
        <f t="shared" si="12"/>
        <v>0.1706034784796242</v>
      </c>
    </row>
    <row r="7" spans="1:27" hidden="1" outlineLevel="1" x14ac:dyDescent="0.2">
      <c r="A7" s="8" t="s">
        <v>4</v>
      </c>
      <c r="B7" s="20">
        <f>SUMIFS('Registre de reserves'!$P$2:$P$1178,'Registre de reserves'!$T$2:$T$1178,"SI",'Registre de reserves'!$I$2:$I$1178,'2020'!$A7,'Registre de reserves'!$B$2:$B$1178,'2020'!B$2,Tabla1[ANY],'2020'!$Z$2)+SUMIFS('Registre de reserves'!$U$2:$U$1178,'Registre de reserves'!$T$2:$T$1178,"RESERVA",'Registre de reserves'!$I$2:$I$1178,'2020'!$A7,'Registre de reserves'!$B$2:$B$1178,'2020'!B$2,Tabla1[ANY],'2020'!$Z$2)</f>
        <v>200</v>
      </c>
      <c r="C7" s="21">
        <f t="shared" si="13"/>
        <v>5.730659025787966E-2</v>
      </c>
      <c r="D7" s="20">
        <f>SUMIFS('Registre de reserves'!$P$2:$P$1178,'Registre de reserves'!$T$2:$T$1178,"SI",'Registre de reserves'!$I$2:$I$1178,'2020'!$A7,'Registre de reserves'!$B$2:$B$1178,'2020'!D$2,Tabla1[ANY],'2020'!$Z$2)+SUMIFS('Registre de reserves'!$U$2:$U$1178,'Registre de reserves'!$T$2:$T$1178,"RESERVA",'Registre de reserves'!$I$2:$I$1178,'2020'!$A7,'Registre de reserves'!$B$2:$B$1178,'2020'!D$2,Tabla1[ANY],'2020'!$Z$2)</f>
        <v>0</v>
      </c>
      <c r="E7" s="21">
        <f t="shared" si="13"/>
        <v>0</v>
      </c>
      <c r="F7" s="20">
        <f>SUMIFS('Registre de reserves'!$P$2:$P$1178,'Registre de reserves'!$T$2:$T$1178,"SI",'Registre de reserves'!$I$2:$I$1178,'2020'!$A7,'Registre de reserves'!$B$2:$B$1178,'2020'!F$2,Tabla1[ANY],'2020'!$Z$2)+SUMIFS('Registre de reserves'!$U$2:$U$1178,'Registre de reserves'!$T$2:$T$1178,"RESERVA",'Registre de reserves'!$I$2:$I$1178,'2020'!$A7,'Registre de reserves'!$B$2:$B$1178,'2020'!F$2,Tabla1[ANY],'2020'!$Z$2)</f>
        <v>50</v>
      </c>
      <c r="G7" s="21">
        <f t="shared" si="2"/>
        <v>7.3529411764705885E-2</v>
      </c>
      <c r="H7" s="20">
        <f>SUMIFS('Registre de reserves'!$P$2:$P$1178,'Registre de reserves'!$T$2:$T$1178,"SI",'Registre de reserves'!$I$2:$I$1178,'2020'!$A7,'Registre de reserves'!$B$2:$B$1178,'2020'!H$2,Tabla1[ANY],'2020'!$Z$2)+SUMIFS('Registre de reserves'!$U$2:$U$1178,'Registre de reserves'!$T$2:$T$1178,"RESERVA",'Registre de reserves'!$I$2:$I$1178,'2020'!$A7,'Registre de reserves'!$B$2:$B$1178,'2020'!H$2,Tabla1[ANY],'2020'!$Z$2)</f>
        <v>0</v>
      </c>
      <c r="I7" s="21">
        <f t="shared" si="3"/>
        <v>0</v>
      </c>
      <c r="J7" s="20">
        <f>SUMIFS('Registre de reserves'!$P$2:$P$1178,'Registre de reserves'!$T$2:$T$1178,"SI",'Registre de reserves'!$I$2:$I$1178,'2020'!$A7,'Registre de reserves'!$B$2:$B$1178,'2020'!J$2,Tabla1[ANY],'2020'!$Z$2)+SUMIFS('Registre de reserves'!$U$2:$U$1178,'Registre de reserves'!$T$2:$T$1178,"RESERVA",'Registre de reserves'!$I$2:$I$1178,'2020'!$A7,'Registre de reserves'!$B$2:$B$1178,'2020'!J$2,Tabla1[ANY],'2020'!$Z$2)</f>
        <v>0</v>
      </c>
      <c r="K7" s="21">
        <f t="shared" si="4"/>
        <v>0</v>
      </c>
      <c r="L7" s="20">
        <f>SUMIFS('Registre de reserves'!$P$2:$P$1178,'Registre de reserves'!$T$2:$T$1178,"SI",'Registre de reserves'!$I$2:$I$1178,'2020'!$A7,'Registre de reserves'!$B$2:$B$1178,'2020'!L$2,Tabla1[ANY],'2020'!$Z$2)+SUMIFS('Registre de reserves'!$U$2:$U$1178,'Registre de reserves'!$T$2:$T$1178,"RESERVA",'Registre de reserves'!$I$2:$I$1178,'2020'!$A7,'Registre de reserves'!$B$2:$B$1178,'2020'!L$2,Tabla1[ANY],'2020'!$Z$2)</f>
        <v>190</v>
      </c>
      <c r="M7" s="21">
        <f t="shared" si="5"/>
        <v>0.10912014702504019</v>
      </c>
      <c r="N7" s="20">
        <f>SUMIFS('Registre de reserves'!$P$2:$P$1178,'Registre de reserves'!$T$2:$T$1178,"SI",'Registre de reserves'!$I$2:$I$1178,'2020'!$A7,'Registre de reserves'!$B$2:$B$1178,'2020'!N$2,Tabla1[ANY],'2020'!$Z$2)+SUMIFS('Registre de reserves'!$U$2:$U$1178,'Registre de reserves'!$T$2:$T$1178,"RESERVA",'Registre de reserves'!$I$2:$I$1178,'2020'!$A7,'Registre de reserves'!$B$2:$B$1178,'2020'!N$2,Tabla1[ANY],'2020'!$Z$2)</f>
        <v>0</v>
      </c>
      <c r="O7" s="21">
        <f t="shared" si="6"/>
        <v>0</v>
      </c>
      <c r="P7" s="20">
        <f>SUMIFS('Registre de reserves'!$P$2:$P$1178,'Registre de reserves'!$T$2:$T$1178,"SI",'Registre de reserves'!$I$2:$I$1178,'2020'!$A7,'Registre de reserves'!$B$2:$B$1178,'2020'!P$2,Tabla1[ANY],'2020'!$Z$2)+SUMIFS('Registre de reserves'!$U$2:$U$1178,'Registre de reserves'!$T$2:$T$1178,"RESERVA",'Registre de reserves'!$I$2:$I$1178,'2020'!$A7,'Registre de reserves'!$B$2:$B$1178,'2020'!P$2,Tabla1[ANY],'2020'!$Z$2)</f>
        <v>300</v>
      </c>
      <c r="Q7" s="21">
        <f t="shared" si="7"/>
        <v>0.22641509433962265</v>
      </c>
      <c r="R7" s="20">
        <f>SUMIFS('Registre de reserves'!$P$2:$P$1178,'Registre de reserves'!$T$2:$T$1178,"SI",'Registre de reserves'!$I$2:$I$1178,'2020'!$A7,'Registre de reserves'!$B$2:$B$1178,'2020'!R$2,Tabla1[ANY],'2020'!$Z$2)+SUMIFS('Registre de reserves'!$U$2:$U$1178,'Registre de reserves'!$T$2:$T$1178,"RESERVA",'Registre de reserves'!$I$2:$I$1178,'2020'!$A7,'Registre de reserves'!$B$2:$B$1178,'2020'!R$2,Tabla1[ANY],'2020'!$Z$2)</f>
        <v>549.99</v>
      </c>
      <c r="S7" s="21">
        <f t="shared" si="8"/>
        <v>0.46413049899155268</v>
      </c>
      <c r="T7" s="20">
        <f>SUMIFS('Registre de reserves'!$P$2:$P$1178,'Registre de reserves'!$T$2:$T$1178,"SI",'Registre de reserves'!$I$2:$I$1178,'2020'!$A7,'Registre de reserves'!$B$2:$B$1178,'2020'!T$2,Tabla1[ANY],'2020'!$Z$2)+SUMIFS('Registre de reserves'!$U$2:$U$1178,'Registre de reserves'!$T$2:$T$1178,"RESERVA",'Registre de reserves'!$I$2:$I$1178,'2020'!$A7,'Registre de reserves'!$B$2:$B$1178,'2020'!T$2,Tabla1[ANY],'2020'!$Z$2)</f>
        <v>0</v>
      </c>
      <c r="U7" s="21">
        <f t="shared" si="9"/>
        <v>0</v>
      </c>
      <c r="V7" s="20">
        <f>SUMIFS('Registre de reserves'!$P$2:$P$1178,'Registre de reserves'!$T$2:$T$1178,"SI",'Registre de reserves'!$I$2:$I$1178,'2020'!$A7,'Registre de reserves'!$B$2:$B$1178,'2020'!V$2,Tabla1[ANY],'2020'!$Z$2)+SUMIFS('Registre de reserves'!$U$2:$U$1178,'Registre de reserves'!$T$2:$T$1178,"RESERVA",'Registre de reserves'!$I$2:$I$1178,'2020'!$A7,'Registre de reserves'!$B$2:$B$1178,'2020'!V$2,Tabla1[ANY],'2020'!$Z$2)</f>
        <v>0</v>
      </c>
      <c r="W7" s="21">
        <f t="shared" si="10"/>
        <v>0</v>
      </c>
      <c r="X7" s="20">
        <f>SUMIFS('Registre de reserves'!$P$2:$P$1178,'Registre de reserves'!$T$2:$T$1178,"SI",'Registre de reserves'!$I$2:$I$1178,'2020'!$A7,'Registre de reserves'!$B$2:$B$1178,'2020'!X$2,Tabla1[ANY],'2020'!$Z$2)+SUMIFS('Registre de reserves'!$U$2:$U$1178,'Registre de reserves'!$T$2:$T$1178,"RESERVA",'Registre de reserves'!$I$2:$I$1178,'2020'!$A7,'Registre de reserves'!$B$2:$B$1178,'2020'!X$2,Tabla1[ANY],'2020'!$Z$2)</f>
        <v>0</v>
      </c>
      <c r="Y7" s="21">
        <f t="shared" si="11"/>
        <v>0</v>
      </c>
      <c r="Z7" s="20">
        <f t="shared" si="14"/>
        <v>1289.99</v>
      </c>
      <c r="AA7" s="21">
        <f t="shared" si="12"/>
        <v>6.21685822609973E-2</v>
      </c>
    </row>
    <row r="8" spans="1:27" hidden="1" outlineLevel="1" x14ac:dyDescent="0.2">
      <c r="A8" s="8" t="s">
        <v>71</v>
      </c>
      <c r="B8" s="20">
        <f>SUMIFS('Registre de reserves'!$P$2:$P$1178,'Registre de reserves'!$T$2:$T$1178,"SI",'Registre de reserves'!$I$2:$I$1178,'2020'!$A8,'Registre de reserves'!$B$2:$B$1178,'2020'!B$2,Tabla1[ANY],'2020'!$Z$2)+SUMIFS('Registre de reserves'!$U$2:$U$1178,'Registre de reserves'!$T$2:$T$1178,"RESERVA",'Registre de reserves'!$I$2:$I$1178,'2020'!$A8,'Registre de reserves'!$B$2:$B$1178,'2020'!B$2,Tabla1[ANY],'2020'!$Z$2)</f>
        <v>345</v>
      </c>
      <c r="C8" s="21">
        <f t="shared" si="13"/>
        <v>9.8853868194842404E-2</v>
      </c>
      <c r="D8" s="20">
        <f>SUMIFS('Registre de reserves'!$P$2:$P$1178,'Registre de reserves'!$T$2:$T$1178,"SI",'Registre de reserves'!$I$2:$I$1178,'2020'!$A8,'Registre de reserves'!$B$2:$B$1178,'2020'!D$2,Tabla1[ANY],'2020'!$Z$2)+SUMIFS('Registre de reserves'!$U$2:$U$1178,'Registre de reserves'!$T$2:$T$1178,"RESERVA",'Registre de reserves'!$I$2:$I$1178,'2020'!$A8,'Registre de reserves'!$B$2:$B$1178,'2020'!D$2,Tabla1[ANY],'2020'!$Z$2)</f>
        <v>0</v>
      </c>
      <c r="E8" s="21">
        <f t="shared" si="13"/>
        <v>0</v>
      </c>
      <c r="F8" s="20">
        <f>SUMIFS('Registre de reserves'!$P$2:$P$1178,'Registre de reserves'!$T$2:$T$1178,"SI",'Registre de reserves'!$I$2:$I$1178,'2020'!$A8,'Registre de reserves'!$B$2:$B$1178,'2020'!F$2,Tabla1[ANY],'2020'!$Z$2)+SUMIFS('Registre de reserves'!$U$2:$U$1178,'Registre de reserves'!$T$2:$T$1178,"RESERVA",'Registre de reserves'!$I$2:$I$1178,'2020'!$A8,'Registre de reserves'!$B$2:$B$1178,'2020'!F$2,Tabla1[ANY],'2020'!$Z$2)</f>
        <v>0</v>
      </c>
      <c r="G8" s="21">
        <f t="shared" si="2"/>
        <v>0</v>
      </c>
      <c r="H8" s="20">
        <f>SUMIFS('Registre de reserves'!$P$2:$P$1178,'Registre de reserves'!$T$2:$T$1178,"SI",'Registre de reserves'!$I$2:$I$1178,'2020'!$A8,'Registre de reserves'!$B$2:$B$1178,'2020'!H$2,Tabla1[ANY],'2020'!$Z$2)+SUMIFS('Registre de reserves'!$U$2:$U$1178,'Registre de reserves'!$T$2:$T$1178,"RESERVA",'Registre de reserves'!$I$2:$I$1178,'2020'!$A8,'Registre de reserves'!$B$2:$B$1178,'2020'!H$2,Tabla1[ANY],'2020'!$Z$2)</f>
        <v>0</v>
      </c>
      <c r="I8" s="21">
        <f t="shared" si="3"/>
        <v>0</v>
      </c>
      <c r="J8" s="20">
        <f>SUMIFS('Registre de reserves'!$P$2:$P$1178,'Registre de reserves'!$T$2:$T$1178,"SI",'Registre de reserves'!$I$2:$I$1178,'2020'!$A8,'Registre de reserves'!$B$2:$B$1178,'2020'!J$2,Tabla1[ANY],'2020'!$Z$2)+SUMIFS('Registre de reserves'!$U$2:$U$1178,'Registre de reserves'!$T$2:$T$1178,"RESERVA",'Registre de reserves'!$I$2:$I$1178,'2020'!$A8,'Registre de reserves'!$B$2:$B$1178,'2020'!J$2,Tabla1[ANY],'2020'!$Z$2)</f>
        <v>0</v>
      </c>
      <c r="K8" s="21">
        <f t="shared" si="4"/>
        <v>0</v>
      </c>
      <c r="L8" s="20">
        <f>SUMIFS('Registre de reserves'!$P$2:$P$1178,'Registre de reserves'!$T$2:$T$1178,"SI",'Registre de reserves'!$I$2:$I$1178,'2020'!$A8,'Registre de reserves'!$B$2:$B$1178,'2020'!L$2,Tabla1[ANY],'2020'!$Z$2)+SUMIFS('Registre de reserves'!$U$2:$U$1178,'Registre de reserves'!$T$2:$T$1178,"RESERVA",'Registre de reserves'!$I$2:$I$1178,'2020'!$A8,'Registre de reserves'!$B$2:$B$1178,'2020'!L$2,Tabla1[ANY],'2020'!$Z$2)</f>
        <v>0</v>
      </c>
      <c r="M8" s="21">
        <f t="shared" si="5"/>
        <v>0</v>
      </c>
      <c r="N8" s="20">
        <f>SUMIFS('Registre de reserves'!$P$2:$P$1178,'Registre de reserves'!$T$2:$T$1178,"SI",'Registre de reserves'!$I$2:$I$1178,'2020'!$A8,'Registre de reserves'!$B$2:$B$1178,'2020'!N$2,Tabla1[ANY],'2020'!$Z$2)+SUMIFS('Registre de reserves'!$U$2:$U$1178,'Registre de reserves'!$T$2:$T$1178,"RESERVA",'Registre de reserves'!$I$2:$I$1178,'2020'!$A8,'Registre de reserves'!$B$2:$B$1178,'2020'!N$2,Tabla1[ANY],'2020'!$Z$2)</f>
        <v>0</v>
      </c>
      <c r="O8" s="21">
        <f t="shared" si="6"/>
        <v>0</v>
      </c>
      <c r="P8" s="20">
        <f>SUMIFS('Registre de reserves'!$P$2:$P$1178,'Registre de reserves'!$T$2:$T$1178,"SI",'Registre de reserves'!$I$2:$I$1178,'2020'!$A8,'Registre de reserves'!$B$2:$B$1178,'2020'!P$2,Tabla1[ANY],'2020'!$Z$2)+SUMIFS('Registre de reserves'!$U$2:$U$1178,'Registre de reserves'!$T$2:$T$1178,"RESERVA",'Registre de reserves'!$I$2:$I$1178,'2020'!$A8,'Registre de reserves'!$B$2:$B$1178,'2020'!P$2,Tabla1[ANY],'2020'!$Z$2)</f>
        <v>0</v>
      </c>
      <c r="Q8" s="21">
        <f t="shared" si="7"/>
        <v>0</v>
      </c>
      <c r="R8" s="20">
        <f>SUMIFS('Registre de reserves'!$P$2:$P$1178,'Registre de reserves'!$T$2:$T$1178,"SI",'Registre de reserves'!$I$2:$I$1178,'2020'!$A8,'Registre de reserves'!$B$2:$B$1178,'2020'!R$2,Tabla1[ANY],'2020'!$Z$2)+SUMIFS('Registre de reserves'!$U$2:$U$1178,'Registre de reserves'!$T$2:$T$1178,"RESERVA",'Registre de reserves'!$I$2:$I$1178,'2020'!$A8,'Registre de reserves'!$B$2:$B$1178,'2020'!R$2,Tabla1[ANY],'2020'!$Z$2)</f>
        <v>0</v>
      </c>
      <c r="S8" s="21">
        <f t="shared" si="8"/>
        <v>0</v>
      </c>
      <c r="T8" s="20">
        <f>SUMIFS('Registre de reserves'!$P$2:$P$1178,'Registre de reserves'!$T$2:$T$1178,"SI",'Registre de reserves'!$I$2:$I$1178,'2020'!$A8,'Registre de reserves'!$B$2:$B$1178,'2020'!T$2,Tabla1[ANY],'2020'!$Z$2)+SUMIFS('Registre de reserves'!$U$2:$U$1178,'Registre de reserves'!$T$2:$T$1178,"RESERVA",'Registre de reserves'!$I$2:$I$1178,'2020'!$A8,'Registre de reserves'!$B$2:$B$1178,'2020'!T$2,Tabla1[ANY],'2020'!$Z$2)</f>
        <v>0</v>
      </c>
      <c r="U8" s="21">
        <f t="shared" si="9"/>
        <v>0</v>
      </c>
      <c r="V8" s="20">
        <f>SUMIFS('Registre de reserves'!$P$2:$P$1178,'Registre de reserves'!$T$2:$T$1178,"SI",'Registre de reserves'!$I$2:$I$1178,'2020'!$A8,'Registre de reserves'!$B$2:$B$1178,'2020'!V$2,Tabla1[ANY],'2020'!$Z$2)+SUMIFS('Registre de reserves'!$U$2:$U$1178,'Registre de reserves'!$T$2:$T$1178,"RESERVA",'Registre de reserves'!$I$2:$I$1178,'2020'!$A8,'Registre de reserves'!$B$2:$B$1178,'2020'!V$2,Tabla1[ANY],'2020'!$Z$2)</f>
        <v>0</v>
      </c>
      <c r="W8" s="21">
        <f t="shared" si="10"/>
        <v>0</v>
      </c>
      <c r="X8" s="20">
        <f>SUMIFS('Registre de reserves'!$P$2:$P$1178,'Registre de reserves'!$T$2:$T$1178,"SI",'Registre de reserves'!$I$2:$I$1178,'2020'!$A8,'Registre de reserves'!$B$2:$B$1178,'2020'!X$2,Tabla1[ANY],'2020'!$Z$2)+SUMIFS('Registre de reserves'!$U$2:$U$1178,'Registre de reserves'!$T$2:$T$1178,"RESERVA",'Registre de reserves'!$I$2:$I$1178,'2020'!$A8,'Registre de reserves'!$B$2:$B$1178,'2020'!X$2,Tabla1[ANY],'2020'!$Z$2)</f>
        <v>0</v>
      </c>
      <c r="Y8" s="21">
        <f t="shared" si="11"/>
        <v>0</v>
      </c>
      <c r="Z8" s="20">
        <f t="shared" si="14"/>
        <v>345</v>
      </c>
      <c r="AA8" s="21">
        <f t="shared" si="12"/>
        <v>1.6626610190810836E-2</v>
      </c>
    </row>
    <row r="9" spans="1:27" hidden="1" outlineLevel="1" x14ac:dyDescent="0.2">
      <c r="A9" s="8" t="s">
        <v>72</v>
      </c>
      <c r="B9" s="20">
        <f>SUMIFS('Registre de reserves'!$P$2:$P$1178,'Registre de reserves'!$T$2:$T$1178,"SI",'Registre de reserves'!$I$2:$I$1178,'2020'!$A9,'Registre de reserves'!$B$2:$B$1178,'2020'!B$2,Tabla1[ANY],'2020'!$Z$2)+SUMIFS('Registre de reserves'!$U$2:$U$1178,'Registre de reserves'!$T$2:$T$1178,"RESERVA",'Registre de reserves'!$I$2:$I$1178,'2020'!$A9,'Registre de reserves'!$B$2:$B$1178,'2020'!B$2,Tabla1[ANY],'2020'!$Z$2)</f>
        <v>0</v>
      </c>
      <c r="C9" s="21">
        <f>IF(B$4=0,0,B9/B$4)</f>
        <v>0</v>
      </c>
      <c r="D9" s="20">
        <f>SUMIFS('Registre de reserves'!$P$2:$P$1178,'Registre de reserves'!$T$2:$T$1178,"SI",'Registre de reserves'!$I$2:$I$1178,'2020'!$A9,'Registre de reserves'!$B$2:$B$1178,'2020'!D$2,Tabla1[ANY],'2020'!$Z$2)+SUMIFS('Registre de reserves'!$U$2:$U$1178,'Registre de reserves'!$T$2:$T$1178,"RESERVA",'Registre de reserves'!$I$2:$I$1178,'2020'!$A9,'Registre de reserves'!$B$2:$B$1178,'2020'!D$2,Tabla1[ANY],'2020'!$Z$2)</f>
        <v>0</v>
      </c>
      <c r="E9" s="21">
        <f>IF(D$4=0,0,D9/D$4)</f>
        <v>0</v>
      </c>
      <c r="F9" s="20">
        <f>SUMIFS('Registre de reserves'!$P$2:$P$1178,'Registre de reserves'!$T$2:$T$1178,"SI",'Registre de reserves'!$I$2:$I$1178,'2020'!$A9,'Registre de reserves'!$B$2:$B$1178,'2020'!F$2,Tabla1[ANY],'2020'!$Z$2)+SUMIFS('Registre de reserves'!$U$2:$U$1178,'Registre de reserves'!$T$2:$T$1178,"RESERVA",'Registre de reserves'!$I$2:$I$1178,'2020'!$A9,'Registre de reserves'!$B$2:$B$1178,'2020'!F$2,Tabla1[ANY],'2020'!$Z$2)</f>
        <v>0</v>
      </c>
      <c r="G9" s="21">
        <f t="shared" si="2"/>
        <v>0</v>
      </c>
      <c r="H9" s="20">
        <f>SUMIFS('Registre de reserves'!$P$2:$P$1178,'Registre de reserves'!$T$2:$T$1178,"SI",'Registre de reserves'!$I$2:$I$1178,'2020'!$A9,'Registre de reserves'!$B$2:$B$1178,'2020'!H$2,Tabla1[ANY],'2020'!$Z$2)+SUMIFS('Registre de reserves'!$U$2:$U$1178,'Registre de reserves'!$T$2:$T$1178,"RESERVA",'Registre de reserves'!$I$2:$I$1178,'2020'!$A9,'Registre de reserves'!$B$2:$B$1178,'2020'!H$2,Tabla1[ANY],'2020'!$Z$2)</f>
        <v>0</v>
      </c>
      <c r="I9" s="21">
        <f t="shared" si="3"/>
        <v>0</v>
      </c>
      <c r="J9" s="20">
        <f>SUMIFS('Registre de reserves'!$P$2:$P$1178,'Registre de reserves'!$T$2:$T$1178,"SI",'Registre de reserves'!$I$2:$I$1178,'2020'!$A9,'Registre de reserves'!$B$2:$B$1178,'2020'!J$2,Tabla1[ANY],'2020'!$Z$2)+SUMIFS('Registre de reserves'!$U$2:$U$1178,'Registre de reserves'!$T$2:$T$1178,"RESERVA",'Registre de reserves'!$I$2:$I$1178,'2020'!$A9,'Registre de reserves'!$B$2:$B$1178,'2020'!J$2,Tabla1[ANY],'2020'!$Z$2)</f>
        <v>0</v>
      </c>
      <c r="K9" s="21">
        <f t="shared" si="4"/>
        <v>0</v>
      </c>
      <c r="L9" s="20">
        <f>SUMIFS('Registre de reserves'!$P$2:$P$1178,'Registre de reserves'!$T$2:$T$1178,"SI",'Registre de reserves'!$I$2:$I$1178,'2020'!$A9,'Registre de reserves'!$B$2:$B$1178,'2020'!L$2,Tabla1[ANY],'2020'!$Z$2)+SUMIFS('Registre de reserves'!$U$2:$U$1178,'Registre de reserves'!$T$2:$T$1178,"RESERVA",'Registre de reserves'!$I$2:$I$1178,'2020'!$A9,'Registre de reserves'!$B$2:$B$1178,'2020'!L$2,Tabla1[ANY],'2020'!$Z$2)</f>
        <v>0</v>
      </c>
      <c r="M9" s="21">
        <f t="shared" si="5"/>
        <v>0</v>
      </c>
      <c r="N9" s="20">
        <f>SUMIFS('Registre de reserves'!$P$2:$P$1178,'Registre de reserves'!$T$2:$T$1178,"SI",'Registre de reserves'!$I$2:$I$1178,'2020'!$A9,'Registre de reserves'!$B$2:$B$1178,'2020'!N$2,Tabla1[ANY],'2020'!$Z$2)+SUMIFS('Registre de reserves'!$U$2:$U$1178,'Registre de reserves'!$T$2:$T$1178,"RESERVA",'Registre de reserves'!$I$2:$I$1178,'2020'!$A9,'Registre de reserves'!$B$2:$B$1178,'2020'!N$2,Tabla1[ANY],'2020'!$Z$2)</f>
        <v>0</v>
      </c>
      <c r="O9" s="21">
        <f t="shared" si="6"/>
        <v>0</v>
      </c>
      <c r="P9" s="20">
        <f>SUMIFS('Registre de reserves'!$P$2:$P$1178,'Registre de reserves'!$T$2:$T$1178,"SI",'Registre de reserves'!$I$2:$I$1178,'2020'!$A9,'Registre de reserves'!$B$2:$B$1178,'2020'!P$2,Tabla1[ANY],'2020'!$Z$2)+SUMIFS('Registre de reserves'!$U$2:$U$1178,'Registre de reserves'!$T$2:$T$1178,"RESERVA",'Registre de reserves'!$I$2:$I$1178,'2020'!$A9,'Registre de reserves'!$B$2:$B$1178,'2020'!P$2,Tabla1[ANY],'2020'!$Z$2)</f>
        <v>0</v>
      </c>
      <c r="Q9" s="21">
        <f t="shared" si="7"/>
        <v>0</v>
      </c>
      <c r="R9" s="20">
        <f>SUMIFS('Registre de reserves'!$P$2:$P$1178,'Registre de reserves'!$T$2:$T$1178,"SI",'Registre de reserves'!$I$2:$I$1178,'2020'!$A9,'Registre de reserves'!$B$2:$B$1178,'2020'!R$2,Tabla1[ANY],'2020'!$Z$2)+SUMIFS('Registre de reserves'!$U$2:$U$1178,'Registre de reserves'!$T$2:$T$1178,"RESERVA",'Registre de reserves'!$I$2:$I$1178,'2020'!$A9,'Registre de reserves'!$B$2:$B$1178,'2020'!R$2,Tabla1[ANY],'2020'!$Z$2)</f>
        <v>0</v>
      </c>
      <c r="S9" s="21">
        <f t="shared" si="8"/>
        <v>0</v>
      </c>
      <c r="T9" s="20">
        <f>SUMIFS('Registre de reserves'!$P$2:$P$1178,'Registre de reserves'!$T$2:$T$1178,"SI",'Registre de reserves'!$I$2:$I$1178,'2020'!$A9,'Registre de reserves'!$B$2:$B$1178,'2020'!T$2,Tabla1[ANY],'2020'!$Z$2)+SUMIFS('Registre de reserves'!$U$2:$U$1178,'Registre de reserves'!$T$2:$T$1178,"RESERVA",'Registre de reserves'!$I$2:$I$1178,'2020'!$A9,'Registre de reserves'!$B$2:$B$1178,'2020'!T$2,Tabla1[ANY],'2020'!$Z$2)</f>
        <v>0</v>
      </c>
      <c r="U9" s="21">
        <f t="shared" si="9"/>
        <v>0</v>
      </c>
      <c r="V9" s="20">
        <f>SUMIFS('Registre de reserves'!$P$2:$P$1178,'Registre de reserves'!$T$2:$T$1178,"SI",'Registre de reserves'!$I$2:$I$1178,'2020'!$A9,'Registre de reserves'!$B$2:$B$1178,'2020'!V$2,Tabla1[ANY],'2020'!$Z$2)+SUMIFS('Registre de reserves'!$U$2:$U$1178,'Registre de reserves'!$T$2:$T$1178,"RESERVA",'Registre de reserves'!$I$2:$I$1178,'2020'!$A9,'Registre de reserves'!$B$2:$B$1178,'2020'!V$2,Tabla1[ANY],'2020'!$Z$2)</f>
        <v>0</v>
      </c>
      <c r="W9" s="21">
        <f t="shared" si="10"/>
        <v>0</v>
      </c>
      <c r="X9" s="20">
        <f>SUMIFS('Registre de reserves'!$P$2:$P$1178,'Registre de reserves'!$T$2:$T$1178,"SI",'Registre de reserves'!$I$2:$I$1178,'2020'!$A9,'Registre de reserves'!$B$2:$B$1178,'2020'!X$2,Tabla1[ANY],'2020'!$Z$2)+SUMIFS('Registre de reserves'!$U$2:$U$1178,'Registre de reserves'!$T$2:$T$1178,"RESERVA",'Registre de reserves'!$I$2:$I$1178,'2020'!$A9,'Registre de reserves'!$B$2:$B$1178,'2020'!X$2,Tabla1[ANY],'2020'!$Z$2)</f>
        <v>0</v>
      </c>
      <c r="Y9" s="21">
        <f t="shared" si="11"/>
        <v>0</v>
      </c>
      <c r="Z9" s="20">
        <f t="shared" si="14"/>
        <v>0</v>
      </c>
      <c r="AA9" s="21">
        <f t="shared" si="12"/>
        <v>0</v>
      </c>
    </row>
    <row r="10" spans="1:27" hidden="1" outlineLevel="1" x14ac:dyDescent="0.2">
      <c r="A10" s="8" t="s">
        <v>69</v>
      </c>
      <c r="B10" s="20">
        <f>SUMIFS('Registre de reserves'!$P$2:$P$1178,'Registre de reserves'!$T$2:$T$1178,"SI",'Registre de reserves'!$I$2:$I$1178,'2020'!$A10,'Registre de reserves'!$B$2:$B$1178,'2020'!B$2,Tabla1[ANY],'2020'!$Z$2)+SUMIFS('Registre de reserves'!$U$2:$U$1178,'Registre de reserves'!$T$2:$T$1178,"RESERVA",'Registre de reserves'!$I$2:$I$1178,'2020'!$A10,'Registre de reserves'!$B$2:$B$1178,'2020'!B$2,Tabla1[ANY],'2020'!$Z$2)</f>
        <v>1170</v>
      </c>
      <c r="C10" s="21">
        <f t="shared" si="13"/>
        <v>0.33524355300859598</v>
      </c>
      <c r="D10" s="20">
        <f>SUMIFS('Registre de reserves'!$P$2:$P$1178,'Registre de reserves'!$T$2:$T$1178,"SI",'Registre de reserves'!$I$2:$I$1178,'2020'!$A10,'Registre de reserves'!$B$2:$B$1178,'2020'!D$2,Tabla1[ANY],'2020'!$Z$2)+SUMIFS('Registre de reserves'!$U$2:$U$1178,'Registre de reserves'!$T$2:$T$1178,"RESERVA",'Registre de reserves'!$I$2:$I$1178,'2020'!$A10,'Registre de reserves'!$B$2:$B$1178,'2020'!D$2,Tabla1[ANY],'2020'!$Z$2)</f>
        <v>975</v>
      </c>
      <c r="E10" s="21">
        <f t="shared" si="13"/>
        <v>0.34513274336283184</v>
      </c>
      <c r="F10" s="20">
        <f>SUMIFS('Registre de reserves'!$P$2:$P$1178,'Registre de reserves'!$T$2:$T$1178,"SI",'Registre de reserves'!$I$2:$I$1178,'2020'!$A10,'Registre de reserves'!$B$2:$B$1178,'2020'!F$2,Tabla1[ANY],'2020'!$Z$2)+SUMIFS('Registre de reserves'!$U$2:$U$1178,'Registre de reserves'!$T$2:$T$1178,"RESERVA",'Registre de reserves'!$I$2:$I$1178,'2020'!$A10,'Registre de reserves'!$B$2:$B$1178,'2020'!F$2,Tabla1[ANY],'2020'!$Z$2)</f>
        <v>195</v>
      </c>
      <c r="G10" s="21">
        <f t="shared" si="2"/>
        <v>0.28676470588235292</v>
      </c>
      <c r="H10" s="20">
        <f>SUMIFS('Registre de reserves'!$P$2:$P$1178,'Registre de reserves'!$T$2:$T$1178,"SI",'Registre de reserves'!$I$2:$I$1178,'2020'!$A10,'Registre de reserves'!$B$2:$B$1178,'2020'!H$2,Tabla1[ANY],'2020'!$Z$2)+SUMIFS('Registre de reserves'!$U$2:$U$1178,'Registre de reserves'!$T$2:$T$1178,"RESERVA",'Registre de reserves'!$I$2:$I$1178,'2020'!$A10,'Registre de reserves'!$B$2:$B$1178,'2020'!H$2,Tabla1[ANY],'2020'!$Z$2)</f>
        <v>0</v>
      </c>
      <c r="I10" s="21">
        <f t="shared" si="3"/>
        <v>0</v>
      </c>
      <c r="J10" s="20">
        <f>SUMIFS('Registre de reserves'!$P$2:$P$1178,'Registre de reserves'!$T$2:$T$1178,"SI",'Registre de reserves'!$I$2:$I$1178,'2020'!$A10,'Registre de reserves'!$B$2:$B$1178,'2020'!J$2,Tabla1[ANY],'2020'!$Z$2)+SUMIFS('Registre de reserves'!$U$2:$U$1178,'Registre de reserves'!$T$2:$T$1178,"RESERVA",'Registre de reserves'!$I$2:$I$1178,'2020'!$A10,'Registre de reserves'!$B$2:$B$1178,'2020'!J$2,Tabla1[ANY],'2020'!$Z$2)</f>
        <v>0</v>
      </c>
      <c r="K10" s="21">
        <f t="shared" si="4"/>
        <v>0</v>
      </c>
      <c r="L10" s="20">
        <f>SUMIFS('Registre de reserves'!$P$2:$P$1178,'Registre de reserves'!$T$2:$T$1178,"SI",'Registre de reserves'!$I$2:$I$1178,'2020'!$A10,'Registre de reserves'!$B$2:$B$1178,'2020'!L$2,Tabla1[ANY],'2020'!$Z$2)+SUMIFS('Registre de reserves'!$U$2:$U$1178,'Registre de reserves'!$T$2:$T$1178,"RESERVA",'Registre de reserves'!$I$2:$I$1178,'2020'!$A10,'Registre de reserves'!$B$2:$B$1178,'2020'!L$2,Tabla1[ANY],'2020'!$Z$2)</f>
        <v>390</v>
      </c>
      <c r="M10" s="21">
        <f t="shared" si="5"/>
        <v>0.22398345968297725</v>
      </c>
      <c r="N10" s="20">
        <f>SUMIFS('Registre de reserves'!$P$2:$P$1178,'Registre de reserves'!$T$2:$T$1178,"SI",'Registre de reserves'!$I$2:$I$1178,'2020'!$A10,'Registre de reserves'!$B$2:$B$1178,'2020'!N$2,Tabla1[ANY],'2020'!$Z$2)+SUMIFS('Registre de reserves'!$U$2:$U$1178,'Registre de reserves'!$T$2:$T$1178,"RESERVA",'Registre de reserves'!$I$2:$I$1178,'2020'!$A10,'Registre de reserves'!$B$2:$B$1178,'2020'!N$2,Tabla1[ANY],'2020'!$Z$2)</f>
        <v>1855</v>
      </c>
      <c r="O10" s="21">
        <f t="shared" si="6"/>
        <v>0.47625160462130939</v>
      </c>
      <c r="P10" s="20">
        <f>SUMIFS('Registre de reserves'!$P$2:$P$1178,'Registre de reserves'!$T$2:$T$1178,"SI",'Registre de reserves'!$I$2:$I$1178,'2020'!$A10,'Registre de reserves'!$B$2:$B$1178,'2020'!P$2,Tabla1[ANY],'2020'!$Z$2)+SUMIFS('Registre de reserves'!$U$2:$U$1178,'Registre de reserves'!$T$2:$T$1178,"RESERVA",'Registre de reserves'!$I$2:$I$1178,'2020'!$A10,'Registre de reserves'!$B$2:$B$1178,'2020'!P$2,Tabla1[ANY],'2020'!$Z$2)</f>
        <v>830</v>
      </c>
      <c r="Q10" s="21">
        <f t="shared" si="7"/>
        <v>0.62641509433962261</v>
      </c>
      <c r="R10" s="20">
        <f>SUMIFS('Registre de reserves'!$P$2:$P$1178,'Registre de reserves'!$T$2:$T$1178,"SI",'Registre de reserves'!$I$2:$I$1178,'2020'!$A10,'Registre de reserves'!$B$2:$B$1178,'2020'!R$2,Tabla1[ANY],'2020'!$Z$2)+SUMIFS('Registre de reserves'!$U$2:$U$1178,'Registre de reserves'!$T$2:$T$1178,"RESERVA",'Registre de reserves'!$I$2:$I$1178,'2020'!$A10,'Registre de reserves'!$B$2:$B$1178,'2020'!R$2,Tabla1[ANY],'2020'!$Z$2)</f>
        <v>585</v>
      </c>
      <c r="S10" s="21">
        <f t="shared" si="8"/>
        <v>0.4936750521101444</v>
      </c>
      <c r="T10" s="20">
        <f>SUMIFS('Registre de reserves'!$P$2:$P$1178,'Registre de reserves'!$T$2:$T$1178,"SI",'Registre de reserves'!$I$2:$I$1178,'2020'!$A10,'Registre de reserves'!$B$2:$B$1178,'2020'!T$2,Tabla1[ANY],'2020'!$Z$2)+SUMIFS('Registre de reserves'!$U$2:$U$1178,'Registre de reserves'!$T$2:$T$1178,"RESERVA",'Registre de reserves'!$I$2:$I$1178,'2020'!$A10,'Registre de reserves'!$B$2:$B$1178,'2020'!T$2,Tabla1[ANY],'2020'!$Z$2)</f>
        <v>0</v>
      </c>
      <c r="U10" s="21">
        <f t="shared" si="9"/>
        <v>0</v>
      </c>
      <c r="V10" s="20">
        <f>SUMIFS('Registre de reserves'!$P$2:$P$1178,'Registre de reserves'!$T$2:$T$1178,"SI",'Registre de reserves'!$I$2:$I$1178,'2020'!$A10,'Registre de reserves'!$B$2:$B$1178,'2020'!V$2,Tabla1[ANY],'2020'!$Z$2)+SUMIFS('Registre de reserves'!$U$2:$U$1178,'Registre de reserves'!$T$2:$T$1178,"RESERVA",'Registre de reserves'!$I$2:$I$1178,'2020'!$A10,'Registre de reserves'!$B$2:$B$1178,'2020'!V$2,Tabla1[ANY],'2020'!$Z$2)</f>
        <v>0</v>
      </c>
      <c r="W10" s="21">
        <f t="shared" si="10"/>
        <v>0</v>
      </c>
      <c r="X10" s="20">
        <f>SUMIFS('Registre de reserves'!$P$2:$P$1178,'Registre de reserves'!$T$2:$T$1178,"SI",'Registre de reserves'!$I$2:$I$1178,'2020'!$A10,'Registre de reserves'!$B$2:$B$1178,'2020'!X$2,Tabla1[ANY],'2020'!$Z$2)+SUMIFS('Registre de reserves'!$U$2:$U$1178,'Registre de reserves'!$T$2:$T$1178,"RESERVA",'Registre de reserves'!$I$2:$I$1178,'2020'!$A10,'Registre de reserves'!$B$2:$B$1178,'2020'!X$2,Tabla1[ANY],'2020'!$Z$2)</f>
        <v>50</v>
      </c>
      <c r="Y10" s="21">
        <f t="shared" si="11"/>
        <v>1.9067958203035619E-2</v>
      </c>
      <c r="Z10" s="20">
        <f t="shared" si="14"/>
        <v>6050</v>
      </c>
      <c r="AA10" s="21">
        <f t="shared" si="12"/>
        <v>0.29156809175190013</v>
      </c>
    </row>
    <row r="11" spans="1:27" hidden="1" outlineLevel="1" x14ac:dyDescent="0.2">
      <c r="A11" s="8" t="s">
        <v>70</v>
      </c>
      <c r="B11" s="20">
        <f>SUMIFS('Registre de reserves'!$P$2:$P$1178,'Registre de reserves'!$T$2:$T$1178,"SI",'Registre de reserves'!$I$2:$I$1178,'2020'!$A11,'Registre de reserves'!$B$2:$B$1178,'2020'!B$2,Tabla1[ANY],'2020'!$Z$2)+SUMIFS('Registre de reserves'!$U$2:$U$1178,'Registre de reserves'!$T$2:$T$1178,"RESERVA",'Registre de reserves'!$I$2:$I$1178,'2020'!$A11,'Registre de reserves'!$B$2:$B$1178,'2020'!B$2,Tabla1[ANY],'2020'!$Z$2)</f>
        <v>300</v>
      </c>
      <c r="C11" s="21">
        <f t="shared" si="13"/>
        <v>8.5959885386819479E-2</v>
      </c>
      <c r="D11" s="20">
        <f>SUMIFS('Registre de reserves'!$P$2:$P$1178,'Registre de reserves'!$T$2:$T$1178,"SI",'Registre de reserves'!$I$2:$I$1178,'2020'!$A11,'Registre de reserves'!$B$2:$B$1178,'2020'!D$2,Tabla1[ANY],'2020'!$Z$2)+SUMIFS('Registre de reserves'!$U$2:$U$1178,'Registre de reserves'!$T$2:$T$1178,"RESERVA",'Registre de reserves'!$I$2:$I$1178,'2020'!$A11,'Registre de reserves'!$B$2:$B$1178,'2020'!D$2,Tabla1[ANY],'2020'!$Z$2)</f>
        <v>0</v>
      </c>
      <c r="E11" s="21">
        <f t="shared" si="13"/>
        <v>0</v>
      </c>
      <c r="F11" s="20">
        <f>SUMIFS('Registre de reserves'!$P$2:$P$1178,'Registre de reserves'!$T$2:$T$1178,"SI",'Registre de reserves'!$I$2:$I$1178,'2020'!$A11,'Registre de reserves'!$B$2:$B$1178,'2020'!F$2,Tabla1[ANY],'2020'!$Z$2)+SUMIFS('Registre de reserves'!$U$2:$U$1178,'Registre de reserves'!$T$2:$T$1178,"RESERVA",'Registre de reserves'!$I$2:$I$1178,'2020'!$A11,'Registre de reserves'!$B$2:$B$1178,'2020'!F$2,Tabla1[ANY],'2020'!$Z$2)</f>
        <v>0</v>
      </c>
      <c r="G11" s="21">
        <f t="shared" si="2"/>
        <v>0</v>
      </c>
      <c r="H11" s="20">
        <f>SUMIFS('Registre de reserves'!$P$2:$P$1178,'Registre de reserves'!$T$2:$T$1178,"SI",'Registre de reserves'!$I$2:$I$1178,'2020'!$A11,'Registre de reserves'!$B$2:$B$1178,'2020'!H$2,Tabla1[ANY],'2020'!$Z$2)+SUMIFS('Registre de reserves'!$U$2:$U$1178,'Registre de reserves'!$T$2:$T$1178,"RESERVA",'Registre de reserves'!$I$2:$I$1178,'2020'!$A11,'Registre de reserves'!$B$2:$B$1178,'2020'!H$2,Tabla1[ANY],'2020'!$Z$2)</f>
        <v>0</v>
      </c>
      <c r="I11" s="21">
        <f t="shared" si="3"/>
        <v>0</v>
      </c>
      <c r="J11" s="20">
        <f>SUMIFS('Registre de reserves'!$P$2:$P$1178,'Registre de reserves'!$T$2:$T$1178,"SI",'Registre de reserves'!$I$2:$I$1178,'2020'!$A11,'Registre de reserves'!$B$2:$B$1178,'2020'!J$2,Tabla1[ANY],'2020'!$Z$2)+SUMIFS('Registre de reserves'!$U$2:$U$1178,'Registre de reserves'!$T$2:$T$1178,"RESERVA",'Registre de reserves'!$I$2:$I$1178,'2020'!$A11,'Registre de reserves'!$B$2:$B$1178,'2020'!J$2,Tabla1[ANY],'2020'!$Z$2)</f>
        <v>0</v>
      </c>
      <c r="K11" s="21">
        <f t="shared" si="4"/>
        <v>0</v>
      </c>
      <c r="L11" s="20">
        <f>SUMIFS('Registre de reserves'!$P$2:$P$1178,'Registre de reserves'!$T$2:$T$1178,"SI",'Registre de reserves'!$I$2:$I$1178,'2020'!$A11,'Registre de reserves'!$B$2:$B$1178,'2020'!L$2,Tabla1[ANY],'2020'!$Z$2)+SUMIFS('Registre de reserves'!$U$2:$U$1178,'Registre de reserves'!$T$2:$T$1178,"RESERVA",'Registre de reserves'!$I$2:$I$1178,'2020'!$A11,'Registre de reserves'!$B$2:$B$1178,'2020'!L$2,Tabla1[ANY],'2020'!$Z$2)</f>
        <v>0</v>
      </c>
      <c r="M11" s="21">
        <f t="shared" si="5"/>
        <v>0</v>
      </c>
      <c r="N11" s="20">
        <f>SUMIFS('Registre de reserves'!$P$2:$P$1178,'Registre de reserves'!$T$2:$T$1178,"SI",'Registre de reserves'!$I$2:$I$1178,'2020'!$A11,'Registre de reserves'!$B$2:$B$1178,'2020'!N$2,Tabla1[ANY],'2020'!$Z$2)+SUMIFS('Registre de reserves'!$U$2:$U$1178,'Registre de reserves'!$T$2:$T$1178,"RESERVA",'Registre de reserves'!$I$2:$I$1178,'2020'!$A11,'Registre de reserves'!$B$2:$B$1178,'2020'!N$2,Tabla1[ANY],'2020'!$Z$2)</f>
        <v>0</v>
      </c>
      <c r="O11" s="21">
        <f t="shared" si="6"/>
        <v>0</v>
      </c>
      <c r="P11" s="20">
        <f>SUMIFS('Registre de reserves'!$P$2:$P$1178,'Registre de reserves'!$T$2:$T$1178,"SI",'Registre de reserves'!$I$2:$I$1178,'2020'!$A11,'Registre de reserves'!$B$2:$B$1178,'2020'!P$2,Tabla1[ANY],'2020'!$Z$2)+SUMIFS('Registre de reserves'!$U$2:$U$1178,'Registre de reserves'!$T$2:$T$1178,"RESERVA",'Registre de reserves'!$I$2:$I$1178,'2020'!$A11,'Registre de reserves'!$B$2:$B$1178,'2020'!P$2,Tabla1[ANY],'2020'!$Z$2)</f>
        <v>0</v>
      </c>
      <c r="Q11" s="21">
        <f t="shared" si="7"/>
        <v>0</v>
      </c>
      <c r="R11" s="20">
        <f>SUMIFS('Registre de reserves'!$P$2:$P$1178,'Registre de reserves'!$T$2:$T$1178,"SI",'Registre de reserves'!$I$2:$I$1178,'2020'!$A11,'Registre de reserves'!$B$2:$B$1178,'2020'!R$2,Tabla1[ANY],'2020'!$Z$2)+SUMIFS('Registre de reserves'!$U$2:$U$1178,'Registre de reserves'!$T$2:$T$1178,"RESERVA",'Registre de reserves'!$I$2:$I$1178,'2020'!$A11,'Registre de reserves'!$B$2:$B$1178,'2020'!R$2,Tabla1[ANY],'2020'!$Z$2)</f>
        <v>0</v>
      </c>
      <c r="S11" s="21">
        <f t="shared" si="8"/>
        <v>0</v>
      </c>
      <c r="T11" s="20">
        <f>SUMIFS('Registre de reserves'!$P$2:$P$1178,'Registre de reserves'!$T$2:$T$1178,"SI",'Registre de reserves'!$I$2:$I$1178,'2020'!$A11,'Registre de reserves'!$B$2:$B$1178,'2020'!T$2,Tabla1[ANY],'2020'!$Z$2)+SUMIFS('Registre de reserves'!$U$2:$U$1178,'Registre de reserves'!$T$2:$T$1178,"RESERVA",'Registre de reserves'!$I$2:$I$1178,'2020'!$A11,'Registre de reserves'!$B$2:$B$1178,'2020'!T$2,Tabla1[ANY],'2020'!$Z$2)</f>
        <v>0</v>
      </c>
      <c r="U11" s="21">
        <f t="shared" si="9"/>
        <v>0</v>
      </c>
      <c r="V11" s="20">
        <f>SUMIFS('Registre de reserves'!$P$2:$P$1178,'Registre de reserves'!$T$2:$T$1178,"SI",'Registre de reserves'!$I$2:$I$1178,'2020'!$A11,'Registre de reserves'!$B$2:$B$1178,'2020'!V$2,Tabla1[ANY],'2020'!$Z$2)+SUMIFS('Registre de reserves'!$U$2:$U$1178,'Registre de reserves'!$T$2:$T$1178,"RESERVA",'Registre de reserves'!$I$2:$I$1178,'2020'!$A11,'Registre de reserves'!$B$2:$B$1178,'2020'!V$2,Tabla1[ANY],'2020'!$Z$2)</f>
        <v>0</v>
      </c>
      <c r="W11" s="21">
        <f t="shared" si="10"/>
        <v>0</v>
      </c>
      <c r="X11" s="20">
        <f>SUMIFS('Registre de reserves'!$P$2:$P$1178,'Registre de reserves'!$T$2:$T$1178,"SI",'Registre de reserves'!$I$2:$I$1178,'2020'!$A11,'Registre de reserves'!$B$2:$B$1178,'2020'!X$2,Tabla1[ANY],'2020'!$Z$2)+SUMIFS('Registre de reserves'!$U$2:$U$1178,'Registre de reserves'!$T$2:$T$1178,"RESERVA",'Registre de reserves'!$I$2:$I$1178,'2020'!$A11,'Registre de reserves'!$B$2:$B$1178,'2020'!X$2,Tabla1[ANY],'2020'!$Z$2)</f>
        <v>0</v>
      </c>
      <c r="Y11" s="21">
        <f t="shared" si="11"/>
        <v>0</v>
      </c>
      <c r="Z11" s="20">
        <f t="shared" si="14"/>
        <v>300</v>
      </c>
      <c r="AA11" s="21">
        <f t="shared" si="12"/>
        <v>1.4457921905052899E-2</v>
      </c>
    </row>
    <row r="12" spans="1:27" hidden="1" outlineLevel="1" x14ac:dyDescent="0.2">
      <c r="A12" s="8" t="s">
        <v>73</v>
      </c>
      <c r="B12" s="20">
        <f>SUMIFS('Registre de reserves'!$P$2:$P$1178,'Registre de reserves'!$T$2:$T$1178,"SI",'Registre de reserves'!$I$2:$I$1178,'2020'!$A12,'Registre de reserves'!$B$2:$B$1178,'2020'!B$2,Tabla1[ANY],'2020'!$Z$2)+SUMIFS('Registre de reserves'!$U$2:$U$1178,'Registre de reserves'!$T$2:$T$1178,"RESERVA",'Registre de reserves'!$I$2:$I$1178,'2020'!$A12,'Registre de reserves'!$B$2:$B$1178,'2020'!B$2,Tabla1[ANY],'2020'!$Z$2)</f>
        <v>0</v>
      </c>
      <c r="C12" s="21">
        <f t="shared" si="13"/>
        <v>0</v>
      </c>
      <c r="D12" s="20">
        <f>SUMIFS('Registre de reserves'!$P$2:$P$1178,'Registre de reserves'!$T$2:$T$1178,"SI",'Registre de reserves'!$I$2:$I$1178,'2020'!$A12,'Registre de reserves'!$B$2:$B$1178,'2020'!D$2,Tabla1[ANY],'2020'!$Z$2)+SUMIFS('Registre de reserves'!$U$2:$U$1178,'Registre de reserves'!$T$2:$T$1178,"RESERVA",'Registre de reserves'!$I$2:$I$1178,'2020'!$A12,'Registre de reserves'!$B$2:$B$1178,'2020'!D$2,Tabla1[ANY],'2020'!$Z$2)</f>
        <v>0</v>
      </c>
      <c r="E12" s="21">
        <f t="shared" si="13"/>
        <v>0</v>
      </c>
      <c r="F12" s="20">
        <f>SUMIFS('Registre de reserves'!$P$2:$P$1178,'Registre de reserves'!$T$2:$T$1178,"SI",'Registre de reserves'!$I$2:$I$1178,'2020'!$A12,'Registre de reserves'!$B$2:$B$1178,'2020'!F$2,Tabla1[ANY],'2020'!$Z$2)+SUMIFS('Registre de reserves'!$U$2:$U$1178,'Registre de reserves'!$T$2:$T$1178,"RESERVA",'Registre de reserves'!$I$2:$I$1178,'2020'!$A12,'Registre de reserves'!$B$2:$B$1178,'2020'!F$2,Tabla1[ANY],'2020'!$Z$2)</f>
        <v>0</v>
      </c>
      <c r="G12" s="21">
        <f t="shared" si="2"/>
        <v>0</v>
      </c>
      <c r="H12" s="20">
        <f>SUMIFS('Registre de reserves'!$P$2:$P$1178,'Registre de reserves'!$T$2:$T$1178,"SI",'Registre de reserves'!$I$2:$I$1178,'2020'!$A12,'Registre de reserves'!$B$2:$B$1178,'2020'!H$2,Tabla1[ANY],'2020'!$Z$2)+SUMIFS('Registre de reserves'!$U$2:$U$1178,'Registre de reserves'!$T$2:$T$1178,"RESERVA",'Registre de reserves'!$I$2:$I$1178,'2020'!$A12,'Registre de reserves'!$B$2:$B$1178,'2020'!H$2,Tabla1[ANY],'2020'!$Z$2)</f>
        <v>661.2</v>
      </c>
      <c r="I12" s="21">
        <f t="shared" si="3"/>
        <v>1</v>
      </c>
      <c r="J12" s="20">
        <f>SUMIFS('Registre de reserves'!$P$2:$P$1178,'Registre de reserves'!$T$2:$T$1178,"SI",'Registre de reserves'!$I$2:$I$1178,'2020'!$A12,'Registre de reserves'!$B$2:$B$1178,'2020'!J$2,Tabla1[ANY],'2020'!$Z$2)+SUMIFS('Registre de reserves'!$U$2:$U$1178,'Registre de reserves'!$T$2:$T$1178,"RESERVA",'Registre de reserves'!$I$2:$I$1178,'2020'!$A12,'Registre de reserves'!$B$2:$B$1178,'2020'!J$2,Tabla1[ANY],'2020'!$Z$2)</f>
        <v>1035.8800000000001</v>
      </c>
      <c r="K12" s="21">
        <f t="shared" si="4"/>
        <v>1</v>
      </c>
      <c r="L12" s="20">
        <f>SUMIFS('Registre de reserves'!$P$2:$P$1178,'Registre de reserves'!$T$2:$T$1178,"SI",'Registre de reserves'!$I$2:$I$1178,'2020'!$A12,'Registre de reserves'!$B$2:$B$1178,'2020'!L$2,Tabla1[ANY],'2020'!$Z$2)+SUMIFS('Registre de reserves'!$U$2:$U$1178,'Registre de reserves'!$T$2:$T$1178,"RESERVA",'Registre de reserves'!$I$2:$I$1178,'2020'!$A12,'Registre de reserves'!$B$2:$B$1178,'2020'!L$2,Tabla1[ANY],'2020'!$Z$2)</f>
        <v>961.2</v>
      </c>
      <c r="M12" s="21">
        <f t="shared" si="5"/>
        <v>0.55203308063404555</v>
      </c>
      <c r="N12" s="20">
        <f>SUMIFS('Registre de reserves'!$P$2:$P$1178,'Registre de reserves'!$T$2:$T$1178,"SI",'Registre de reserves'!$I$2:$I$1178,'2020'!$A12,'Registre de reserves'!$B$2:$B$1178,'2020'!N$2,Tabla1[ANY],'2020'!$Z$2)+SUMIFS('Registre de reserves'!$U$2:$U$1178,'Registre de reserves'!$T$2:$T$1178,"RESERVA",'Registre de reserves'!$I$2:$I$1178,'2020'!$A12,'Registre de reserves'!$B$2:$B$1178,'2020'!N$2,Tabla1[ANY],'2020'!$Z$2)</f>
        <v>1400</v>
      </c>
      <c r="O12" s="21">
        <f t="shared" si="6"/>
        <v>0.35943517329910141</v>
      </c>
      <c r="P12" s="20">
        <f>SUMIFS('Registre de reserves'!$P$2:$P$1178,'Registre de reserves'!$T$2:$T$1178,"SI",'Registre de reserves'!$I$2:$I$1178,'2020'!$A12,'Registre de reserves'!$B$2:$B$1178,'2020'!P$2,Tabla1[ANY],'2020'!$Z$2)+SUMIFS('Registre de reserves'!$U$2:$U$1178,'Registre de reserves'!$T$2:$T$1178,"RESERVA",'Registre de reserves'!$I$2:$I$1178,'2020'!$A12,'Registre de reserves'!$B$2:$B$1178,'2020'!P$2,Tabla1[ANY],'2020'!$Z$2)</f>
        <v>0</v>
      </c>
      <c r="Q12" s="21">
        <f t="shared" si="7"/>
        <v>0</v>
      </c>
      <c r="R12" s="20">
        <f>SUMIFS('Registre de reserves'!$P$2:$P$1178,'Registre de reserves'!$T$2:$T$1178,"SI",'Registre de reserves'!$I$2:$I$1178,'2020'!$A12,'Registre de reserves'!$B$2:$B$1178,'2020'!R$2,Tabla1[ANY],'2020'!$Z$2)+SUMIFS('Registre de reserves'!$U$2:$U$1178,'Registre de reserves'!$T$2:$T$1178,"RESERVA",'Registre de reserves'!$I$2:$I$1178,'2020'!$A12,'Registre de reserves'!$B$2:$B$1178,'2020'!R$2,Tabla1[ANY],'2020'!$Z$2)</f>
        <v>0</v>
      </c>
      <c r="S12" s="21">
        <f t="shared" si="8"/>
        <v>0</v>
      </c>
      <c r="T12" s="20">
        <f>SUMIFS('Registre de reserves'!$P$2:$P$1178,'Registre de reserves'!$T$2:$T$1178,"SI",'Registre de reserves'!$I$2:$I$1178,'2020'!$A12,'Registre de reserves'!$B$2:$B$1178,'2020'!T$2,Tabla1[ANY],'2020'!$Z$2)+SUMIFS('Registre de reserves'!$U$2:$U$1178,'Registre de reserves'!$T$2:$T$1178,"RESERVA",'Registre de reserves'!$I$2:$I$1178,'2020'!$A12,'Registre de reserves'!$B$2:$B$1178,'2020'!T$2,Tabla1[ANY],'2020'!$Z$2)</f>
        <v>672.2</v>
      </c>
      <c r="U12" s="21">
        <f t="shared" si="9"/>
        <v>0.82256485560450321</v>
      </c>
      <c r="V12" s="20">
        <f>SUMIFS('Registre de reserves'!$P$2:$P$1178,'Registre de reserves'!$T$2:$T$1178,"SI",'Registre de reserves'!$I$2:$I$1178,'2020'!$A12,'Registre de reserves'!$B$2:$B$1178,'2020'!V$2,Tabla1[ANY],'2020'!$Z$2)+SUMIFS('Registre de reserves'!$U$2:$U$1178,'Registre de reserves'!$T$2:$T$1178,"RESERVA",'Registre de reserves'!$I$2:$I$1178,'2020'!$A12,'Registre de reserves'!$B$2:$B$1178,'2020'!V$2,Tabla1[ANY],'2020'!$Z$2)</f>
        <v>472.2</v>
      </c>
      <c r="W12" s="21">
        <f t="shared" si="10"/>
        <v>1</v>
      </c>
      <c r="X12" s="20">
        <f>SUMIFS('Registre de reserves'!$P$2:$P$1178,'Registre de reserves'!$T$2:$T$1178,"SI",'Registre de reserves'!$I$2:$I$1178,'2020'!$A12,'Registre de reserves'!$B$2:$B$1178,'2020'!X$2,Tabla1[ANY],'2020'!$Z$2)+SUMIFS('Registre de reserves'!$U$2:$U$1178,'Registre de reserves'!$T$2:$T$1178,"RESERVA",'Registre de reserves'!$I$2:$I$1178,'2020'!$A12,'Registre de reserves'!$B$2:$B$1178,'2020'!X$2,Tabla1[ANY],'2020'!$Z$2)</f>
        <v>2572.1999999999998</v>
      </c>
      <c r="Y12" s="21">
        <f t="shared" si="11"/>
        <v>0.98093204179696436</v>
      </c>
      <c r="Z12" s="20">
        <f t="shared" si="14"/>
        <v>7774.88</v>
      </c>
      <c r="AA12" s="21">
        <f t="shared" si="12"/>
        <v>0.3746953595371923</v>
      </c>
    </row>
    <row r="13" spans="1:27" collapsed="1" x14ac:dyDescent="0.2">
      <c r="A13" s="33" t="s">
        <v>76</v>
      </c>
      <c r="B13" s="18">
        <f>SUM(B14:B21)</f>
        <v>0</v>
      </c>
      <c r="C13" s="19">
        <f>IF((B$13+B$31)=0,0,B13/(B$13+B$31))</f>
        <v>0</v>
      </c>
      <c r="D13" s="18">
        <f>SUM(D14:D21)</f>
        <v>0</v>
      </c>
      <c r="E13" s="19">
        <f>IF((D$13+D$31)=0,0,D13/(D$13+D$31))</f>
        <v>0</v>
      </c>
      <c r="F13" s="18">
        <f>SUM(F14:F21)</f>
        <v>2605</v>
      </c>
      <c r="G13" s="19">
        <f>IF((F$13+F$31)=0,0,F13/(F$13+F$31))</f>
        <v>1</v>
      </c>
      <c r="H13" s="18">
        <f>SUM(H14:H21)</f>
        <v>2250</v>
      </c>
      <c r="I13" s="19">
        <f>IF((H$13+H$31)=0,0,H13/(H$13+H$31))</f>
        <v>1</v>
      </c>
      <c r="J13" s="18">
        <f>SUM(J14:J21)</f>
        <v>940</v>
      </c>
      <c r="K13" s="19">
        <f>IF((J$13+J$31)=0,0,J13/(J$13+J$31))</f>
        <v>1</v>
      </c>
      <c r="L13" s="18">
        <f>SUM(L14:L21)</f>
        <v>145</v>
      </c>
      <c r="M13" s="19">
        <f>IF((L$13+L$31)=0,0,L13/(L$13+L$31))</f>
        <v>1</v>
      </c>
      <c r="N13" s="18">
        <f>SUM(N14:N21)</f>
        <v>240</v>
      </c>
      <c r="O13" s="19">
        <f>IF((N$13+N$31)=0,0,N13/(N$13+N$31))</f>
        <v>1</v>
      </c>
      <c r="P13" s="18">
        <f>SUM(P14:P21)</f>
        <v>875</v>
      </c>
      <c r="Q13" s="19">
        <f>IF((P$13+P$31)=0,0,P13/(P$13+P$31))</f>
        <v>1</v>
      </c>
      <c r="R13" s="18">
        <f>SUM(R14:R21)</f>
        <v>390</v>
      </c>
      <c r="S13" s="19">
        <f>IF((R$13+R$31)=0,0,R13/(R$13+R$31))</f>
        <v>1</v>
      </c>
      <c r="T13" s="18">
        <f>SUM(T14:T21)</f>
        <v>735</v>
      </c>
      <c r="U13" s="19">
        <f>IF((T$13+T$31)=0,0,T13/(T$13+T$31))</f>
        <v>1</v>
      </c>
      <c r="V13" s="18">
        <f>SUM(V14:V21)</f>
        <v>390</v>
      </c>
      <c r="W13" s="19">
        <f>IF((V$13+V$31)=0,0,V13/(V$13+V$31))</f>
        <v>1</v>
      </c>
      <c r="X13" s="18">
        <f>SUM(X14:X21)</f>
        <v>250</v>
      </c>
      <c r="Y13" s="19">
        <f>IF((X$13+X$31)=0,0,X13/(X$13+X$31))</f>
        <v>1</v>
      </c>
      <c r="Z13" s="18">
        <f>SUM(Z14:Z21)-F13-H13-J13-L13-N13-P13</f>
        <v>1765</v>
      </c>
      <c r="AA13" s="19">
        <f>IF((Z$13+Z$31)=0,0,Z13/(Z$13+Z$31))</f>
        <v>1</v>
      </c>
    </row>
    <row r="14" spans="1:27" hidden="1" outlineLevel="1" x14ac:dyDescent="0.2">
      <c r="A14" s="8" t="s">
        <v>67</v>
      </c>
      <c r="B14" s="20">
        <f>SUMIFS('Registre de reserves'!$P$2:$P$1178,'Registre de reserves'!$T$2:$T$1178,"NO",'Registre de reserves'!$I$2:$I$1178,'2020'!$A14,'Registre de reserves'!$B$2:$B$1178,'2020'!B$2,Tabla1[ANY],'2020'!$Z$2)+SUMIFS('Registre de reserves'!$P$2:$P$1178,'Registre de reserves'!$T$2:$T$1178,"RESERVA",'Registre de reserves'!$I$2:$I$1178,'2020'!$A14,'Registre de reserves'!$B$2:$B$1178,'2020'!B$2,Tabla1[ANY],'2020'!$Z$2)-SUMIFS('Registre de reserves'!$U$2:$U$1178,'Registre de reserves'!$T$2:$T$1178,"RESERVA",'Registre de reserves'!$I$2:$I$1178,'2020'!$A14,'Registre de reserves'!$B$2:$B$1178,'2020'!B$2,Tabla1[ANY],'2020'!$Z$2)</f>
        <v>0</v>
      </c>
      <c r="C14" s="21">
        <f>IF($B$13=0,0,B14/B$13)</f>
        <v>0</v>
      </c>
      <c r="D14" s="20">
        <f>SUMIFS('Registre de reserves'!$P$2:$P$1178,'Registre de reserves'!$T$2:$T$1178,"NO",'Registre de reserves'!$I$2:$I$1178,'2020'!$A14,'Registre de reserves'!$B$2:$B$1178,'2020'!D$2,Tabla1[ANY],'2020'!$Z$2)+SUMIFS('Registre de reserves'!$P$2:$P$1178,'Registre de reserves'!$T$2:$T$1178,"RESERVA",'Registre de reserves'!$I$2:$I$1178,'2020'!$A14,'Registre de reserves'!$B$2:$B$1178,'2020'!D$2,Tabla1[ANY],'2020'!$Z$2)-SUMIFS('Registre de reserves'!$U$2:$U$1178,'Registre de reserves'!$T$2:$T$1178,"RESERVA",'Registre de reserves'!$I$2:$I$1178,'2020'!$A14,'Registre de reserves'!$B$2:$B$1178,'2020'!D$2,Tabla1[ANY],'2020'!$Z$2)</f>
        <v>0</v>
      </c>
      <c r="E14" s="21">
        <f>IF($D$13=0,0,D14/D$13)</f>
        <v>0</v>
      </c>
      <c r="F14" s="20">
        <f>SUMIFS('Registre de reserves'!$P$2:$P$1178,'Registre de reserves'!$T$2:$T$1178,"NO",'Registre de reserves'!$I$2:$I$1178,'2020'!$A14,'Registre de reserves'!$B$2:$B$1178,'2020'!F$2,Tabla1[ANY],'2020'!$Z$2)+SUMIFS('Registre de reserves'!$P$2:$P$1178,'Registre de reserves'!$T$2:$T$1178,"RESERVA",'Registre de reserves'!$I$2:$I$1178,'2020'!$A14,'Registre de reserves'!$B$2:$B$1178,'2020'!F$2,Tabla1[ANY],'2020'!$Z$2)-SUMIFS('Registre de reserves'!$U$2:$U$1178,'Registre de reserves'!$T$2:$T$1178,"RESERVA",'Registre de reserves'!$I$2:$I$1178,'2020'!$A14,'Registre de reserves'!$B$2:$B$1178,'2020'!F$2,Tabla1[ANY],'2020'!$Z$2)</f>
        <v>145</v>
      </c>
      <c r="G14" s="21">
        <f>IF($F$13=0,0,F14/F$13)</f>
        <v>5.5662188099808059E-2</v>
      </c>
      <c r="H14" s="20">
        <f>SUMIFS('Registre de reserves'!$P$2:$P$1178,'Registre de reserves'!$T$2:$T$1178,"NO",'Registre de reserves'!$I$2:$I$1178,'2020'!$A14,'Registre de reserves'!$B$2:$B$1178,'2020'!H$2,Tabla1[ANY],'2020'!$Z$2)+SUMIFS('Registre de reserves'!$P$2:$P$1178,'Registre de reserves'!$T$2:$T$1178,"RESERVA",'Registre de reserves'!$I$2:$I$1178,'2020'!$A14,'Registre de reserves'!$B$2:$B$1178,'2020'!H$2,Tabla1[ANY],'2020'!$Z$2)-SUMIFS('Registre de reserves'!$U$2:$U$1178,'Registre de reserves'!$T$2:$T$1178,"RESERVA",'Registre de reserves'!$I$2:$I$1178,'2020'!$A14,'Registre de reserves'!$B$2:$B$1178,'2020'!H$2,Tabla1[ANY],'2020'!$Z$2)</f>
        <v>435</v>
      </c>
      <c r="I14" s="21">
        <f>IF($H$13=0,0,H14/H$13)</f>
        <v>0.19333333333333333</v>
      </c>
      <c r="J14" s="20">
        <f>SUMIFS('Registre de reserves'!$P$2:$P$1178,'Registre de reserves'!$T$2:$T$1178,"NO",'Registre de reserves'!$I$2:$I$1178,'2020'!$A14,'Registre de reserves'!$B$2:$B$1178,'2020'!J$2,Tabla1[ANY],'2020'!$Z$2)+SUMIFS('Registre de reserves'!$P$2:$P$1178,'Registre de reserves'!$T$2:$T$1178,"RESERVA",'Registre de reserves'!$I$2:$I$1178,'2020'!$A14,'Registre de reserves'!$B$2:$B$1178,'2020'!J$2,Tabla1[ANY],'2020'!$Z$2)-SUMIFS('Registre de reserves'!$U$2:$U$1178,'Registre de reserves'!$T$2:$T$1178,"RESERVA",'Registre de reserves'!$I$2:$I$1178,'2020'!$A14,'Registre de reserves'!$B$2:$B$1178,'2020'!J$2,Tabla1[ANY],'2020'!$Z$2)</f>
        <v>0</v>
      </c>
      <c r="K14" s="21">
        <f>IF($J$13=0,0,J14/J$13)</f>
        <v>0</v>
      </c>
      <c r="L14" s="20">
        <f>SUMIFS('Registre de reserves'!$P$2:$P$1178,'Registre de reserves'!$T$2:$T$1178,"NO",'Registre de reserves'!$I$2:$I$1178,'2020'!$A14,'Registre de reserves'!$B$2:$B$1178,'2020'!L$2,Tabla1[ANY],'2020'!$Z$2)+SUMIFS('Registre de reserves'!$P$2:$P$1178,'Registre de reserves'!$T$2:$T$1178,"RESERVA",'Registre de reserves'!$I$2:$I$1178,'2020'!$A14,'Registre de reserves'!$B$2:$B$1178,'2020'!L$2,Tabla1[ANY],'2020'!$Z$2)-SUMIFS('Registre de reserves'!$U$2:$U$1178,'Registre de reserves'!$T$2:$T$1178,"RESERVA",'Registre de reserves'!$I$2:$I$1178,'2020'!$A14,'Registre de reserves'!$B$2:$B$1178,'2020'!L$2,Tabla1[ANY],'2020'!$Z$2)</f>
        <v>0</v>
      </c>
      <c r="M14" s="21">
        <f>IF($L$13=0,0,L14/L$13)</f>
        <v>0</v>
      </c>
      <c r="N14" s="20">
        <f>SUMIFS('Registre de reserves'!$P$2:$P$1178,'Registre de reserves'!$T$2:$T$1178,"NO",'Registre de reserves'!$I$2:$I$1178,'2020'!$A14,'Registre de reserves'!$B$2:$B$1178,'2020'!N$2,Tabla1[ANY],'2020'!$Z$2)+SUMIFS('Registre de reserves'!$P$2:$P$1178,'Registre de reserves'!$T$2:$T$1178,"RESERVA",'Registre de reserves'!$I$2:$I$1178,'2020'!$A14,'Registre de reserves'!$B$2:$B$1178,'2020'!N$2,Tabla1[ANY],'2020'!$Z$2)-SUMIFS('Registre de reserves'!$U$2:$U$1178,'Registre de reserves'!$T$2:$T$1178,"RESERVA",'Registre de reserves'!$I$2:$I$1178,'2020'!$A14,'Registre de reserves'!$B$2:$B$1178,'2020'!N$2,Tabla1[ANY],'2020'!$Z$2)</f>
        <v>145</v>
      </c>
      <c r="O14" s="21">
        <f>IF($N$13=0,0,N14/N$13)</f>
        <v>0.60416666666666663</v>
      </c>
      <c r="P14" s="20">
        <f>SUMIFS('Registre de reserves'!$P$2:$P$1178,'Registre de reserves'!$T$2:$T$1178,"NO",'Registre de reserves'!$I$2:$I$1178,'2020'!$A14,'Registre de reserves'!$B$2:$B$1178,'2020'!P$2,Tabla1[ANY],'2020'!$Z$2)+SUMIFS('Registre de reserves'!$P$2:$P$1178,'Registre de reserves'!$T$2:$T$1178,"RESERVA",'Registre de reserves'!$I$2:$I$1178,'2020'!$A14,'Registre de reserves'!$B$2:$B$1178,'2020'!P$2,Tabla1[ANY],'2020'!$Z$2)-SUMIFS('Registre de reserves'!$U$2:$U$1178,'Registre de reserves'!$T$2:$T$1178,"RESERVA",'Registre de reserves'!$I$2:$I$1178,'2020'!$A14,'Registre de reserves'!$B$2:$B$1178,'2020'!P$2,Tabla1[ANY],'2020'!$Z$2)</f>
        <v>0</v>
      </c>
      <c r="Q14" s="21">
        <f>IF($P$13=0,0,P14/P$13)</f>
        <v>0</v>
      </c>
      <c r="R14" s="20">
        <f>SUMIFS('Registre de reserves'!$P$2:$P$1178,'Registre de reserves'!$T$2:$T$1178,"NO",'Registre de reserves'!$I$2:$I$1178,'2020'!$A14,'Registre de reserves'!$B$2:$B$1178,'2020'!R$2,Tabla1[ANY],'2020'!$Z$2)+SUMIFS('Registre de reserves'!$P$2:$P$1178,'Registre de reserves'!$T$2:$T$1178,"RESERVA",'Registre de reserves'!$I$2:$I$1178,'2020'!$A14,'Registre de reserves'!$B$2:$B$1178,'2020'!R$2,Tabla1[ANY],'2020'!$Z$2)-SUMIFS('Registre de reserves'!$U$2:$U$1178,'Registre de reserves'!$T$2:$T$1178,"RESERVA",'Registre de reserves'!$I$2:$I$1178,'2020'!$A14,'Registre de reserves'!$B$2:$B$1178,'2020'!R$2,Tabla1[ANY],'2020'!$Z$2)</f>
        <v>0</v>
      </c>
      <c r="S14" s="21">
        <f>IF($R$13=0,0,R14/R$13)</f>
        <v>0</v>
      </c>
      <c r="T14" s="20">
        <f>SUMIFS('Registre de reserves'!$P$2:$P$1178,'Registre de reserves'!$T$2:$T$1178,"NO",'Registre de reserves'!$I$2:$I$1178,'2020'!$A14,'Registre de reserves'!$B$2:$B$1178,'2020'!T$2,Tabla1[ANY],'2020'!$Z$2)+SUMIFS('Registre de reserves'!$P$2:$P$1178,'Registre de reserves'!$T$2:$T$1178,"RESERVA",'Registre de reserves'!$I$2:$I$1178,'2020'!$A14,'Registre de reserves'!$B$2:$B$1178,'2020'!T$2,Tabla1[ANY],'2020'!$Z$2)-SUMIFS('Registre de reserves'!$U$2:$U$1178,'Registre de reserves'!$T$2:$T$1178,"RESERVA",'Registre de reserves'!$I$2:$I$1178,'2020'!$A14,'Registre de reserves'!$B$2:$B$1178,'2020'!T$2,Tabla1[ANY],'2020'!$Z$2)</f>
        <v>0</v>
      </c>
      <c r="U14" s="21">
        <f>IF($T$13=0,0,T14/T$13)</f>
        <v>0</v>
      </c>
      <c r="V14" s="20">
        <f>SUMIFS('Registre de reserves'!$P$2:$P$1178,'Registre de reserves'!$T$2:$T$1178,"NO",'Registre de reserves'!$I$2:$I$1178,'2020'!$A14,'Registre de reserves'!$B$2:$B$1178,'2020'!V$2,Tabla1[ANY],'2020'!$Z$2)+SUMIFS('Registre de reserves'!$P$2:$P$1178,'Registre de reserves'!$T$2:$T$1178,"RESERVA",'Registre de reserves'!$I$2:$I$1178,'2020'!$A14,'Registre de reserves'!$B$2:$B$1178,'2020'!V$2,Tabla1[ANY],'2020'!$Z$2)-SUMIFS('Registre de reserves'!$U$2:$U$1178,'Registre de reserves'!$T$2:$T$1178,"RESERVA",'Registre de reserves'!$I$2:$I$1178,'2020'!$A14,'Registre de reserves'!$B$2:$B$1178,'2020'!V$2,Tabla1[ANY],'2020'!$Z$2)</f>
        <v>0</v>
      </c>
      <c r="W14" s="21">
        <f>IF($V$13=0,0,V14/V$13)</f>
        <v>0</v>
      </c>
      <c r="X14" s="20">
        <f>SUMIFS('Registre de reserves'!$P$2:$P$1178,'Registre de reserves'!$T$2:$T$1178,"NO",'Registre de reserves'!$I$2:$I$1178,'2020'!$A14,'Registre de reserves'!$B$2:$B$1178,'2020'!X$2,Tabla1[ANY],'2020'!$Z$2)+SUMIFS('Registre de reserves'!$P$2:$P$1178,'Registre de reserves'!$T$2:$T$1178,"RESERVA",'Registre de reserves'!$I$2:$I$1178,'2020'!$A14,'Registre de reserves'!$B$2:$B$1178,'2020'!X$2,Tabla1[ANY],'2020'!$Z$2)-SUMIFS('Registre de reserves'!$U$2:$U$1178,'Registre de reserves'!$T$2:$T$1178,"RESERVA",'Registre de reserves'!$I$2:$I$1178,'2020'!$A14,'Registre de reserves'!$B$2:$B$1178,'2020'!X$2,Tabla1[ANY],'2020'!$Z$2)</f>
        <v>0</v>
      </c>
      <c r="Y14" s="21">
        <f>IF($X$13=0,0,X14/X$13)</f>
        <v>0</v>
      </c>
      <c r="Z14" s="20">
        <f>B14+D14+F14+H14+J14+L14+N14+P14+R14+T14+V14+X14</f>
        <v>725</v>
      </c>
      <c r="AA14" s="21">
        <f>IF($Z$13=0,0,Z14/Z$13)</f>
        <v>0.41076487252124644</v>
      </c>
    </row>
    <row r="15" spans="1:27" hidden="1" outlineLevel="1" x14ac:dyDescent="0.2">
      <c r="A15" s="8" t="s">
        <v>68</v>
      </c>
      <c r="B15" s="20">
        <f>SUMIFS('Registre de reserves'!$P$2:$P$1178,'Registre de reserves'!$T$2:$T$1178,"NO",'Registre de reserves'!$I$2:$I$1178,'2020'!$A15,'Registre de reserves'!$B$2:$B$1178,'2020'!B$2,Tabla1[ANY],'2020'!$Z$2)+SUMIFS('Registre de reserves'!$P$2:$P$1178,'Registre de reserves'!$T$2:$T$1178,"RESERVA",'Registre de reserves'!$I$2:$I$1178,'2020'!$A15,'Registre de reserves'!$B$2:$B$1178,'2020'!B$2,Tabla1[ANY],'2020'!$Z$2)-SUMIFS('Registre de reserves'!$U$2:$U$1178,'Registre de reserves'!$T$2:$T$1178,"RESERVA",'Registre de reserves'!$I$2:$I$1178,'2020'!$A15,'Registre de reserves'!$B$2:$B$1178,'2020'!B$2,Tabla1[ANY],'2020'!$Z$2)</f>
        <v>0</v>
      </c>
      <c r="C15" s="21">
        <f t="shared" ref="C15:C21" si="15">IF($B$13=0,0,B15/B$13)</f>
        <v>0</v>
      </c>
      <c r="D15" s="20">
        <f>SUMIFS('Registre de reserves'!$P$2:$P$1178,'Registre de reserves'!$T$2:$T$1178,"NO",'Registre de reserves'!$I$2:$I$1178,'2020'!$A15,'Registre de reserves'!$B$2:$B$1178,'2020'!D$2,Tabla1[ANY],'2020'!$Z$2)+SUMIFS('Registre de reserves'!$P$2:$P$1178,'Registre de reserves'!$T$2:$T$1178,"RESERVA",'Registre de reserves'!$I$2:$I$1178,'2020'!$A15,'Registre de reserves'!$B$2:$B$1178,'2020'!D$2,Tabla1[ANY],'2020'!$Z$2)-SUMIFS('Registre de reserves'!$U$2:$U$1178,'Registre de reserves'!$T$2:$T$1178,"RESERVA",'Registre de reserves'!$I$2:$I$1178,'2020'!$A15,'Registre de reserves'!$B$2:$B$1178,'2020'!D$2,Tabla1[ANY],'2020'!$Z$2)</f>
        <v>0</v>
      </c>
      <c r="E15" s="21">
        <f t="shared" ref="E15:E21" si="16">IF($D$13=0,0,D15/D$13)</f>
        <v>0</v>
      </c>
      <c r="F15" s="20">
        <f>SUMIFS('Registre de reserves'!$P$2:$P$1178,'Registre de reserves'!$T$2:$T$1178,"NO",'Registre de reserves'!$I$2:$I$1178,'2020'!$A15,'Registre de reserves'!$B$2:$B$1178,'2020'!F$2,Tabla1[ANY],'2020'!$Z$2)+SUMIFS('Registre de reserves'!$P$2:$P$1178,'Registre de reserves'!$T$2:$T$1178,"RESERVA",'Registre de reserves'!$I$2:$I$1178,'2020'!$A15,'Registre de reserves'!$B$2:$B$1178,'2020'!F$2,Tabla1[ANY],'2020'!$Z$2)-SUMIFS('Registre de reserves'!$U$2:$U$1178,'Registre de reserves'!$T$2:$T$1178,"RESERVA",'Registre de reserves'!$I$2:$I$1178,'2020'!$A15,'Registre de reserves'!$B$2:$B$1178,'2020'!F$2,Tabla1[ANY],'2020'!$Z$2)</f>
        <v>425</v>
      </c>
      <c r="G15" s="21">
        <f t="shared" ref="G15:G21" si="17">IF($F$13=0,0,F15/F$13)</f>
        <v>0.16314779270633398</v>
      </c>
      <c r="H15" s="20">
        <f>SUMIFS('Registre de reserves'!$P$2:$P$1178,'Registre de reserves'!$T$2:$T$1178,"NO",'Registre de reserves'!$I$2:$I$1178,'2020'!$A15,'Registre de reserves'!$B$2:$B$1178,'2020'!H$2,Tabla1[ANY],'2020'!$Z$2)+SUMIFS('Registre de reserves'!$P$2:$P$1178,'Registre de reserves'!$T$2:$T$1178,"RESERVA",'Registre de reserves'!$I$2:$I$1178,'2020'!$A15,'Registre de reserves'!$B$2:$B$1178,'2020'!H$2,Tabla1[ANY],'2020'!$Z$2)-SUMIFS('Registre de reserves'!$U$2:$U$1178,'Registre de reserves'!$T$2:$T$1178,"RESERVA",'Registre de reserves'!$I$2:$I$1178,'2020'!$A15,'Registre de reserves'!$B$2:$B$1178,'2020'!H$2,Tabla1[ANY],'2020'!$Z$2)</f>
        <v>570</v>
      </c>
      <c r="I15" s="21">
        <f t="shared" ref="I15:I21" si="18">IF($H$13=0,0,H15/H$13)</f>
        <v>0.25333333333333335</v>
      </c>
      <c r="J15" s="20">
        <f>SUMIFS('Registre de reserves'!$P$2:$P$1178,'Registre de reserves'!$T$2:$T$1178,"NO",'Registre de reserves'!$I$2:$I$1178,'2020'!$A15,'Registre de reserves'!$B$2:$B$1178,'2020'!J$2,Tabla1[ANY],'2020'!$Z$2)+SUMIFS('Registre de reserves'!$P$2:$P$1178,'Registre de reserves'!$T$2:$T$1178,"RESERVA",'Registre de reserves'!$I$2:$I$1178,'2020'!$A15,'Registre de reserves'!$B$2:$B$1178,'2020'!J$2,Tabla1[ANY],'2020'!$Z$2)-SUMIFS('Registre de reserves'!$U$2:$U$1178,'Registre de reserves'!$T$2:$T$1178,"RESERVA",'Registre de reserves'!$I$2:$I$1178,'2020'!$A15,'Registre de reserves'!$B$2:$B$1178,'2020'!J$2,Tabla1[ANY],'2020'!$Z$2)</f>
        <v>280</v>
      </c>
      <c r="K15" s="21">
        <f t="shared" ref="K15:K21" si="19">IF($J$13=0,0,J15/J$13)</f>
        <v>0.2978723404255319</v>
      </c>
      <c r="L15" s="20">
        <f>SUMIFS('Registre de reserves'!$P$2:$P$1178,'Registre de reserves'!$T$2:$T$1178,"NO",'Registre de reserves'!$I$2:$I$1178,'2020'!$A15,'Registre de reserves'!$B$2:$B$1178,'2020'!L$2,Tabla1[ANY],'2020'!$Z$2)+SUMIFS('Registre de reserves'!$P$2:$P$1178,'Registre de reserves'!$T$2:$T$1178,"RESERVA",'Registre de reserves'!$I$2:$I$1178,'2020'!$A15,'Registre de reserves'!$B$2:$B$1178,'2020'!L$2,Tabla1[ANY],'2020'!$Z$2)-SUMIFS('Registre de reserves'!$U$2:$U$1178,'Registre de reserves'!$T$2:$T$1178,"RESERVA",'Registre de reserves'!$I$2:$I$1178,'2020'!$A15,'Registre de reserves'!$B$2:$B$1178,'2020'!L$2,Tabla1[ANY],'2020'!$Z$2)</f>
        <v>145</v>
      </c>
      <c r="M15" s="21">
        <f t="shared" ref="M15:M21" si="20">IF($L$13=0,0,L15/L$13)</f>
        <v>1</v>
      </c>
      <c r="N15" s="20">
        <f>SUMIFS('Registre de reserves'!$P$2:$P$1178,'Registre de reserves'!$T$2:$T$1178,"NO",'Registre de reserves'!$I$2:$I$1178,'2020'!$A15,'Registre de reserves'!$B$2:$B$1178,'2020'!N$2,Tabla1[ANY],'2020'!$Z$2)+SUMIFS('Registre de reserves'!$P$2:$P$1178,'Registre de reserves'!$T$2:$T$1178,"RESERVA",'Registre de reserves'!$I$2:$I$1178,'2020'!$A15,'Registre de reserves'!$B$2:$B$1178,'2020'!N$2,Tabla1[ANY],'2020'!$Z$2)-SUMIFS('Registre de reserves'!$U$2:$U$1178,'Registre de reserves'!$T$2:$T$1178,"RESERVA",'Registre de reserves'!$I$2:$I$1178,'2020'!$A15,'Registre de reserves'!$B$2:$B$1178,'2020'!N$2,Tabla1[ANY],'2020'!$Z$2)</f>
        <v>0</v>
      </c>
      <c r="O15" s="21">
        <f t="shared" ref="O15:O21" si="21">IF($N$13=0,0,N15/N$13)</f>
        <v>0</v>
      </c>
      <c r="P15" s="20">
        <f>SUMIFS('Registre de reserves'!$P$2:$P$1178,'Registre de reserves'!$T$2:$T$1178,"NO",'Registre de reserves'!$I$2:$I$1178,'2020'!$A15,'Registre de reserves'!$B$2:$B$1178,'2020'!P$2,Tabla1[ANY],'2020'!$Z$2)+SUMIFS('Registre de reserves'!$P$2:$P$1178,'Registre de reserves'!$T$2:$T$1178,"RESERVA",'Registre de reserves'!$I$2:$I$1178,'2020'!$A15,'Registre de reserves'!$B$2:$B$1178,'2020'!P$2,Tabla1[ANY],'2020'!$Z$2)-SUMIFS('Registre de reserves'!$U$2:$U$1178,'Registre de reserves'!$T$2:$T$1178,"RESERVA",'Registre de reserves'!$I$2:$I$1178,'2020'!$A15,'Registre de reserves'!$B$2:$B$1178,'2020'!P$2,Tabla1[ANY],'2020'!$Z$2)</f>
        <v>145</v>
      </c>
      <c r="Q15" s="21">
        <f t="shared" ref="Q15:Q21" si="22">IF($P$13=0,0,P15/P$13)</f>
        <v>0.1657142857142857</v>
      </c>
      <c r="R15" s="20">
        <f>SUMIFS('Registre de reserves'!$P$2:$P$1178,'Registre de reserves'!$T$2:$T$1178,"NO",'Registre de reserves'!$I$2:$I$1178,'2020'!$A15,'Registre de reserves'!$B$2:$B$1178,'2020'!R$2,Tabla1[ANY],'2020'!$Z$2)+SUMIFS('Registre de reserves'!$P$2:$P$1178,'Registre de reserves'!$T$2:$T$1178,"RESERVA",'Registre de reserves'!$I$2:$I$1178,'2020'!$A15,'Registre de reserves'!$B$2:$B$1178,'2020'!R$2,Tabla1[ANY],'2020'!$Z$2)-SUMIFS('Registre de reserves'!$U$2:$U$1178,'Registre de reserves'!$T$2:$T$1178,"RESERVA",'Registre de reserves'!$I$2:$I$1178,'2020'!$A15,'Registre de reserves'!$B$2:$B$1178,'2020'!R$2,Tabla1[ANY],'2020'!$Z$2)</f>
        <v>0</v>
      </c>
      <c r="S15" s="21">
        <f t="shared" ref="S15:S21" si="23">IF($R$13=0,0,R15/R$13)</f>
        <v>0</v>
      </c>
      <c r="T15" s="20">
        <f>SUMIFS('Registre de reserves'!$P$2:$P$1178,'Registre de reserves'!$T$2:$T$1178,"NO",'Registre de reserves'!$I$2:$I$1178,'2020'!$A15,'Registre de reserves'!$B$2:$B$1178,'2020'!T$2,Tabla1[ANY],'2020'!$Z$2)+SUMIFS('Registre de reserves'!$P$2:$P$1178,'Registre de reserves'!$T$2:$T$1178,"RESERVA",'Registre de reserves'!$I$2:$I$1178,'2020'!$A15,'Registre de reserves'!$B$2:$B$1178,'2020'!T$2,Tabla1[ANY],'2020'!$Z$2)-SUMIFS('Registre de reserves'!$U$2:$U$1178,'Registre de reserves'!$T$2:$T$1178,"RESERVA",'Registre de reserves'!$I$2:$I$1178,'2020'!$A15,'Registre de reserves'!$B$2:$B$1178,'2020'!T$2,Tabla1[ANY],'2020'!$Z$2)</f>
        <v>145</v>
      </c>
      <c r="U15" s="21">
        <f t="shared" ref="U15:U21" si="24">IF($T$13=0,0,T15/T$13)</f>
        <v>0.19727891156462585</v>
      </c>
      <c r="V15" s="20">
        <f>SUMIFS('Registre de reserves'!$P$2:$P$1178,'Registre de reserves'!$T$2:$T$1178,"NO",'Registre de reserves'!$I$2:$I$1178,'2020'!$A15,'Registre de reserves'!$B$2:$B$1178,'2020'!V$2,Tabla1[ANY],'2020'!$Z$2)+SUMIFS('Registre de reserves'!$P$2:$P$1178,'Registre de reserves'!$T$2:$T$1178,"RESERVA",'Registre de reserves'!$I$2:$I$1178,'2020'!$A15,'Registre de reserves'!$B$2:$B$1178,'2020'!V$2,Tabla1[ANY],'2020'!$Z$2)-SUMIFS('Registre de reserves'!$U$2:$U$1178,'Registre de reserves'!$T$2:$T$1178,"RESERVA",'Registre de reserves'!$I$2:$I$1178,'2020'!$A15,'Registre de reserves'!$B$2:$B$1178,'2020'!V$2,Tabla1[ANY],'2020'!$Z$2)</f>
        <v>0</v>
      </c>
      <c r="W15" s="21">
        <f t="shared" ref="W15:W21" si="25">IF($V$13=0,0,V15/V$13)</f>
        <v>0</v>
      </c>
      <c r="X15" s="20">
        <f>SUMIFS('Registre de reserves'!$P$2:$P$1178,'Registre de reserves'!$T$2:$T$1178,"NO",'Registre de reserves'!$I$2:$I$1178,'2020'!$A15,'Registre de reserves'!$B$2:$B$1178,'2020'!X$2,Tabla1[ANY],'2020'!$Z$2)+SUMIFS('Registre de reserves'!$P$2:$P$1178,'Registre de reserves'!$T$2:$T$1178,"RESERVA",'Registre de reserves'!$I$2:$I$1178,'2020'!$A15,'Registre de reserves'!$B$2:$B$1178,'2020'!X$2,Tabla1[ANY],'2020'!$Z$2)-SUMIFS('Registre de reserves'!$U$2:$U$1178,'Registre de reserves'!$T$2:$T$1178,"RESERVA",'Registre de reserves'!$I$2:$I$1178,'2020'!$A15,'Registre de reserves'!$B$2:$B$1178,'2020'!X$2,Tabla1[ANY],'2020'!$Z$2)</f>
        <v>0</v>
      </c>
      <c r="Y15" s="21">
        <f t="shared" ref="Y15:Y21" si="26">IF($X$13=0,0,X15/X$13)</f>
        <v>0</v>
      </c>
      <c r="Z15" s="20">
        <f t="shared" ref="Z15:Z21" si="27">B15+D15+F15+H15+J15+L15+N15+P15+R15+T15+V15+X15</f>
        <v>1710</v>
      </c>
      <c r="AA15" s="21">
        <f t="shared" ref="AA15:AA21" si="28">IF($Z$13=0,0,Z15/Z$13)</f>
        <v>0.96883852691218131</v>
      </c>
    </row>
    <row r="16" spans="1:27" hidden="1" outlineLevel="1" x14ac:dyDescent="0.2">
      <c r="A16" s="8" t="s">
        <v>4</v>
      </c>
      <c r="B16" s="20">
        <f>SUMIFS('Registre de reserves'!$P$2:$P$1178,'Registre de reserves'!$T$2:$T$1178,"NO",'Registre de reserves'!$I$2:$I$1178,'2020'!$A16,'Registre de reserves'!$B$2:$B$1178,'2020'!B$2,Tabla1[ANY],'2020'!$Z$2)+SUMIFS('Registre de reserves'!$P$2:$P$1178,'Registre de reserves'!$T$2:$T$1178,"RESERVA",'Registre de reserves'!$I$2:$I$1178,'2020'!$A16,'Registre de reserves'!$B$2:$B$1178,'2020'!B$2,Tabla1[ANY],'2020'!$Z$2)-SUMIFS('Registre de reserves'!$U$2:$U$1178,'Registre de reserves'!$T$2:$T$1178,"RESERVA",'Registre de reserves'!$I$2:$I$1178,'2020'!$A16,'Registre de reserves'!$B$2:$B$1178,'2020'!B$2,Tabla1[ANY],'2020'!$Z$2)</f>
        <v>0</v>
      </c>
      <c r="C16" s="21">
        <f t="shared" si="15"/>
        <v>0</v>
      </c>
      <c r="D16" s="20">
        <f>SUMIFS('Registre de reserves'!$P$2:$P$1178,'Registre de reserves'!$T$2:$T$1178,"NO",'Registre de reserves'!$I$2:$I$1178,'2020'!$A16,'Registre de reserves'!$B$2:$B$1178,'2020'!D$2,Tabla1[ANY],'2020'!$Z$2)+SUMIFS('Registre de reserves'!$P$2:$P$1178,'Registre de reserves'!$T$2:$T$1178,"RESERVA",'Registre de reserves'!$I$2:$I$1178,'2020'!$A16,'Registre de reserves'!$B$2:$B$1178,'2020'!D$2,Tabla1[ANY],'2020'!$Z$2)-SUMIFS('Registre de reserves'!$U$2:$U$1178,'Registre de reserves'!$T$2:$T$1178,"RESERVA",'Registre de reserves'!$I$2:$I$1178,'2020'!$A16,'Registre de reserves'!$B$2:$B$1178,'2020'!D$2,Tabla1[ANY],'2020'!$Z$2)</f>
        <v>0</v>
      </c>
      <c r="E16" s="21">
        <f t="shared" si="16"/>
        <v>0</v>
      </c>
      <c r="F16" s="20">
        <f>SUMIFS('Registre de reserves'!$P$2:$P$1178,'Registre de reserves'!$T$2:$T$1178,"NO",'Registre de reserves'!$I$2:$I$1178,'2020'!$A16,'Registre de reserves'!$B$2:$B$1178,'2020'!F$2,Tabla1[ANY],'2020'!$Z$2)+SUMIFS('Registre de reserves'!$P$2:$P$1178,'Registre de reserves'!$T$2:$T$1178,"RESERVA",'Registre de reserves'!$I$2:$I$1178,'2020'!$A16,'Registre de reserves'!$B$2:$B$1178,'2020'!F$2,Tabla1[ANY],'2020'!$Z$2)-SUMIFS('Registre de reserves'!$U$2:$U$1178,'Registre de reserves'!$T$2:$T$1178,"RESERVA",'Registre de reserves'!$I$2:$I$1178,'2020'!$A16,'Registre de reserves'!$B$2:$B$1178,'2020'!F$2,Tabla1[ANY],'2020'!$Z$2)</f>
        <v>760</v>
      </c>
      <c r="G16" s="21">
        <f t="shared" si="17"/>
        <v>0.29174664107485604</v>
      </c>
      <c r="H16" s="20">
        <f>SUMIFS('Registre de reserves'!$P$2:$P$1178,'Registre de reserves'!$T$2:$T$1178,"NO",'Registre de reserves'!$I$2:$I$1178,'2020'!$A16,'Registre de reserves'!$B$2:$B$1178,'2020'!H$2,Tabla1[ANY],'2020'!$Z$2)+SUMIFS('Registre de reserves'!$P$2:$P$1178,'Registre de reserves'!$T$2:$T$1178,"RESERVA",'Registre de reserves'!$I$2:$I$1178,'2020'!$A16,'Registre de reserves'!$B$2:$B$1178,'2020'!H$2,Tabla1[ANY],'2020'!$Z$2)-SUMIFS('Registre de reserves'!$U$2:$U$1178,'Registre de reserves'!$T$2:$T$1178,"RESERVA",'Registre de reserves'!$I$2:$I$1178,'2020'!$A16,'Registre de reserves'!$B$2:$B$1178,'2020'!H$2,Tabla1[ANY],'2020'!$Z$2)</f>
        <v>270</v>
      </c>
      <c r="I16" s="21">
        <f t="shared" si="18"/>
        <v>0.12</v>
      </c>
      <c r="J16" s="20">
        <f>SUMIFS('Registre de reserves'!$P$2:$P$1178,'Registre de reserves'!$T$2:$T$1178,"NO",'Registre de reserves'!$I$2:$I$1178,'2020'!$A16,'Registre de reserves'!$B$2:$B$1178,'2020'!J$2,Tabla1[ANY],'2020'!$Z$2)+SUMIFS('Registre de reserves'!$P$2:$P$1178,'Registre de reserves'!$T$2:$T$1178,"RESERVA",'Registre de reserves'!$I$2:$I$1178,'2020'!$A16,'Registre de reserves'!$B$2:$B$1178,'2020'!J$2,Tabla1[ANY],'2020'!$Z$2)-SUMIFS('Registre de reserves'!$U$2:$U$1178,'Registre de reserves'!$T$2:$T$1178,"RESERVA",'Registre de reserves'!$I$2:$I$1178,'2020'!$A16,'Registre de reserves'!$B$2:$B$1178,'2020'!J$2,Tabla1[ANY],'2020'!$Z$2)</f>
        <v>270</v>
      </c>
      <c r="K16" s="21">
        <f t="shared" si="19"/>
        <v>0.28723404255319152</v>
      </c>
      <c r="L16" s="20">
        <f>SUMIFS('Registre de reserves'!$P$2:$P$1178,'Registre de reserves'!$T$2:$T$1178,"NO",'Registre de reserves'!$I$2:$I$1178,'2020'!$A16,'Registre de reserves'!$B$2:$B$1178,'2020'!L$2,Tabla1[ANY],'2020'!$Z$2)+SUMIFS('Registre de reserves'!$P$2:$P$1178,'Registre de reserves'!$T$2:$T$1178,"RESERVA",'Registre de reserves'!$I$2:$I$1178,'2020'!$A16,'Registre de reserves'!$B$2:$B$1178,'2020'!L$2,Tabla1[ANY],'2020'!$Z$2)-SUMIFS('Registre de reserves'!$U$2:$U$1178,'Registre de reserves'!$T$2:$T$1178,"RESERVA",'Registre de reserves'!$I$2:$I$1178,'2020'!$A16,'Registre de reserves'!$B$2:$B$1178,'2020'!L$2,Tabla1[ANY],'2020'!$Z$2)</f>
        <v>0</v>
      </c>
      <c r="M16" s="21">
        <f t="shared" si="20"/>
        <v>0</v>
      </c>
      <c r="N16" s="20">
        <f>SUMIFS('Registre de reserves'!$P$2:$P$1178,'Registre de reserves'!$T$2:$T$1178,"NO",'Registre de reserves'!$I$2:$I$1178,'2020'!$A16,'Registre de reserves'!$B$2:$B$1178,'2020'!N$2,Tabla1[ANY],'2020'!$Z$2)+SUMIFS('Registre de reserves'!$P$2:$P$1178,'Registre de reserves'!$T$2:$T$1178,"RESERVA",'Registre de reserves'!$I$2:$I$1178,'2020'!$A16,'Registre de reserves'!$B$2:$B$1178,'2020'!N$2,Tabla1[ANY],'2020'!$Z$2)-SUMIFS('Registre de reserves'!$U$2:$U$1178,'Registre de reserves'!$T$2:$T$1178,"RESERVA",'Registre de reserves'!$I$2:$I$1178,'2020'!$A16,'Registre de reserves'!$B$2:$B$1178,'2020'!N$2,Tabla1[ANY],'2020'!$Z$2)</f>
        <v>0</v>
      </c>
      <c r="O16" s="21">
        <f t="shared" si="21"/>
        <v>0</v>
      </c>
      <c r="P16" s="20">
        <f>SUMIFS('Registre de reserves'!$P$2:$P$1178,'Registre de reserves'!$T$2:$T$1178,"NO",'Registre de reserves'!$I$2:$I$1178,'2020'!$A16,'Registre de reserves'!$B$2:$B$1178,'2020'!P$2,Tabla1[ANY],'2020'!$Z$2)+SUMIFS('Registre de reserves'!$P$2:$P$1178,'Registre de reserves'!$T$2:$T$1178,"RESERVA",'Registre de reserves'!$I$2:$I$1178,'2020'!$A16,'Registre de reserves'!$B$2:$B$1178,'2020'!P$2,Tabla1[ANY],'2020'!$Z$2)-SUMIFS('Registre de reserves'!$U$2:$U$1178,'Registre de reserves'!$T$2:$T$1178,"RESERVA",'Registre de reserves'!$I$2:$I$1178,'2020'!$A16,'Registre de reserves'!$B$2:$B$1178,'2020'!P$2,Tabla1[ANY],'2020'!$Z$2)</f>
        <v>0</v>
      </c>
      <c r="Q16" s="21">
        <f t="shared" si="22"/>
        <v>0</v>
      </c>
      <c r="R16" s="20">
        <f>SUMIFS('Registre de reserves'!$P$2:$P$1178,'Registre de reserves'!$T$2:$T$1178,"NO",'Registre de reserves'!$I$2:$I$1178,'2020'!$A16,'Registre de reserves'!$B$2:$B$1178,'2020'!R$2,Tabla1[ANY],'2020'!$Z$2)+SUMIFS('Registre de reserves'!$P$2:$P$1178,'Registre de reserves'!$T$2:$T$1178,"RESERVA",'Registre de reserves'!$I$2:$I$1178,'2020'!$A16,'Registre de reserves'!$B$2:$B$1178,'2020'!R$2,Tabla1[ANY],'2020'!$Z$2)-SUMIFS('Registre de reserves'!$U$2:$U$1178,'Registre de reserves'!$T$2:$T$1178,"RESERVA",'Registre de reserves'!$I$2:$I$1178,'2020'!$A16,'Registre de reserves'!$B$2:$B$1178,'2020'!R$2,Tabla1[ANY],'2020'!$Z$2)</f>
        <v>0</v>
      </c>
      <c r="S16" s="21">
        <f t="shared" si="23"/>
        <v>0</v>
      </c>
      <c r="T16" s="20">
        <f>SUMIFS('Registre de reserves'!$P$2:$P$1178,'Registre de reserves'!$T$2:$T$1178,"NO",'Registre de reserves'!$I$2:$I$1178,'2020'!$A16,'Registre de reserves'!$B$2:$B$1178,'2020'!T$2,Tabla1[ANY],'2020'!$Z$2)+SUMIFS('Registre de reserves'!$P$2:$P$1178,'Registre de reserves'!$T$2:$T$1178,"RESERVA",'Registre de reserves'!$I$2:$I$1178,'2020'!$A16,'Registre de reserves'!$B$2:$B$1178,'2020'!T$2,Tabla1[ANY],'2020'!$Z$2)-SUMIFS('Registre de reserves'!$U$2:$U$1178,'Registre de reserves'!$T$2:$T$1178,"RESERVA",'Registre de reserves'!$I$2:$I$1178,'2020'!$A16,'Registre de reserves'!$B$2:$B$1178,'2020'!T$2,Tabla1[ANY],'2020'!$Z$2)</f>
        <v>0</v>
      </c>
      <c r="U16" s="21">
        <f t="shared" si="24"/>
        <v>0</v>
      </c>
      <c r="V16" s="20">
        <f>SUMIFS('Registre de reserves'!$P$2:$P$1178,'Registre de reserves'!$T$2:$T$1178,"NO",'Registre de reserves'!$I$2:$I$1178,'2020'!$A16,'Registre de reserves'!$B$2:$B$1178,'2020'!V$2,Tabla1[ANY],'2020'!$Z$2)+SUMIFS('Registre de reserves'!$P$2:$P$1178,'Registre de reserves'!$T$2:$T$1178,"RESERVA",'Registre de reserves'!$I$2:$I$1178,'2020'!$A16,'Registre de reserves'!$B$2:$B$1178,'2020'!V$2,Tabla1[ANY],'2020'!$Z$2)-SUMIFS('Registre de reserves'!$U$2:$U$1178,'Registre de reserves'!$T$2:$T$1178,"RESERVA",'Registre de reserves'!$I$2:$I$1178,'2020'!$A16,'Registre de reserves'!$B$2:$B$1178,'2020'!V$2,Tabla1[ANY],'2020'!$Z$2)</f>
        <v>0</v>
      </c>
      <c r="W16" s="21">
        <f t="shared" si="25"/>
        <v>0</v>
      </c>
      <c r="X16" s="20">
        <f>SUMIFS('Registre de reserves'!$P$2:$P$1178,'Registre de reserves'!$T$2:$T$1178,"NO",'Registre de reserves'!$I$2:$I$1178,'2020'!$A16,'Registre de reserves'!$B$2:$B$1178,'2020'!X$2,Tabla1[ANY],'2020'!$Z$2)+SUMIFS('Registre de reserves'!$P$2:$P$1178,'Registre de reserves'!$T$2:$T$1178,"RESERVA",'Registre de reserves'!$I$2:$I$1178,'2020'!$A16,'Registre de reserves'!$B$2:$B$1178,'2020'!X$2,Tabla1[ANY],'2020'!$Z$2)-SUMIFS('Registre de reserves'!$U$2:$U$1178,'Registre de reserves'!$T$2:$T$1178,"RESERVA",'Registre de reserves'!$I$2:$I$1178,'2020'!$A16,'Registre de reserves'!$B$2:$B$1178,'2020'!X$2,Tabla1[ANY],'2020'!$Z$2)</f>
        <v>0</v>
      </c>
      <c r="Y16" s="21">
        <f t="shared" si="26"/>
        <v>0</v>
      </c>
      <c r="Z16" s="20">
        <f t="shared" si="27"/>
        <v>1300</v>
      </c>
      <c r="AA16" s="21">
        <f t="shared" si="28"/>
        <v>0.73654390934844194</v>
      </c>
    </row>
    <row r="17" spans="1:27" hidden="1" outlineLevel="1" x14ac:dyDescent="0.2">
      <c r="A17" s="8" t="s">
        <v>71</v>
      </c>
      <c r="B17" s="20">
        <f>SUMIFS('Registre de reserves'!$P$2:$P$1178,'Registre de reserves'!$T$2:$T$1178,"NO",'Registre de reserves'!$I$2:$I$1178,'2020'!$A17,'Registre de reserves'!$B$2:$B$1178,'2020'!B$2,Tabla1[ANY],'2020'!$Z$2)+SUMIFS('Registre de reserves'!$P$2:$P$1178,'Registre de reserves'!$T$2:$T$1178,"RESERVA",'Registre de reserves'!$I$2:$I$1178,'2020'!$A17,'Registre de reserves'!$B$2:$B$1178,'2020'!B$2,Tabla1[ANY],'2020'!$Z$2)-SUMIFS('Registre de reserves'!$U$2:$U$1178,'Registre de reserves'!$T$2:$T$1178,"RESERVA",'Registre de reserves'!$I$2:$I$1178,'2020'!$A17,'Registre de reserves'!$B$2:$B$1178,'2020'!B$2,Tabla1[ANY],'2020'!$Z$2)</f>
        <v>0</v>
      </c>
      <c r="C17" s="21">
        <f t="shared" si="15"/>
        <v>0</v>
      </c>
      <c r="D17" s="20">
        <f>SUMIFS('Registre de reserves'!$P$2:$P$1178,'Registre de reserves'!$T$2:$T$1178,"NO",'Registre de reserves'!$I$2:$I$1178,'2020'!$A17,'Registre de reserves'!$B$2:$B$1178,'2020'!D$2,Tabla1[ANY],'2020'!$Z$2)+SUMIFS('Registre de reserves'!$P$2:$P$1178,'Registre de reserves'!$T$2:$T$1178,"RESERVA",'Registre de reserves'!$I$2:$I$1178,'2020'!$A17,'Registre de reserves'!$B$2:$B$1178,'2020'!D$2,Tabla1[ANY],'2020'!$Z$2)-SUMIFS('Registre de reserves'!$U$2:$U$1178,'Registre de reserves'!$T$2:$T$1178,"RESERVA",'Registre de reserves'!$I$2:$I$1178,'2020'!$A17,'Registre de reserves'!$B$2:$B$1178,'2020'!D$2,Tabla1[ANY],'2020'!$Z$2)</f>
        <v>0</v>
      </c>
      <c r="E17" s="21">
        <f t="shared" si="16"/>
        <v>0</v>
      </c>
      <c r="F17" s="20">
        <f>SUMIFS('Registre de reserves'!$P$2:$P$1178,'Registre de reserves'!$T$2:$T$1178,"NO",'Registre de reserves'!$I$2:$I$1178,'2020'!$A17,'Registre de reserves'!$B$2:$B$1178,'2020'!F$2,Tabla1[ANY],'2020'!$Z$2)+SUMIFS('Registre de reserves'!$P$2:$P$1178,'Registre de reserves'!$T$2:$T$1178,"RESERVA",'Registre de reserves'!$I$2:$I$1178,'2020'!$A17,'Registre de reserves'!$B$2:$B$1178,'2020'!F$2,Tabla1[ANY],'2020'!$Z$2)-SUMIFS('Registre de reserves'!$U$2:$U$1178,'Registre de reserves'!$T$2:$T$1178,"RESERVA",'Registre de reserves'!$I$2:$I$1178,'2020'!$A17,'Registre de reserves'!$B$2:$B$1178,'2020'!F$2,Tabla1[ANY],'2020'!$Z$2)</f>
        <v>0</v>
      </c>
      <c r="G17" s="21">
        <f t="shared" si="17"/>
        <v>0</v>
      </c>
      <c r="H17" s="20">
        <f>SUMIFS('Registre de reserves'!$P$2:$P$1178,'Registre de reserves'!$T$2:$T$1178,"NO",'Registre de reserves'!$I$2:$I$1178,'2020'!$A17,'Registre de reserves'!$B$2:$B$1178,'2020'!H$2,Tabla1[ANY],'2020'!$Z$2)+SUMIFS('Registre de reserves'!$P$2:$P$1178,'Registre de reserves'!$T$2:$T$1178,"RESERVA",'Registre de reserves'!$I$2:$I$1178,'2020'!$A17,'Registre de reserves'!$B$2:$B$1178,'2020'!H$2,Tabla1[ANY],'2020'!$Z$2)-SUMIFS('Registre de reserves'!$U$2:$U$1178,'Registre de reserves'!$T$2:$T$1178,"RESERVA",'Registre de reserves'!$I$2:$I$1178,'2020'!$A17,'Registre de reserves'!$B$2:$B$1178,'2020'!H$2,Tabla1[ANY],'2020'!$Z$2)</f>
        <v>0</v>
      </c>
      <c r="I17" s="21">
        <f t="shared" si="18"/>
        <v>0</v>
      </c>
      <c r="J17" s="20">
        <f>SUMIFS('Registre de reserves'!$P$2:$P$1178,'Registre de reserves'!$T$2:$T$1178,"NO",'Registre de reserves'!$I$2:$I$1178,'2020'!$A17,'Registre de reserves'!$B$2:$B$1178,'2020'!J$2,Tabla1[ANY],'2020'!$Z$2)+SUMIFS('Registre de reserves'!$P$2:$P$1178,'Registre de reserves'!$T$2:$T$1178,"RESERVA",'Registre de reserves'!$I$2:$I$1178,'2020'!$A17,'Registre de reserves'!$B$2:$B$1178,'2020'!J$2,Tabla1[ANY],'2020'!$Z$2)-SUMIFS('Registre de reserves'!$U$2:$U$1178,'Registre de reserves'!$T$2:$T$1178,"RESERVA",'Registre de reserves'!$I$2:$I$1178,'2020'!$A17,'Registre de reserves'!$B$2:$B$1178,'2020'!J$2,Tabla1[ANY],'2020'!$Z$2)</f>
        <v>0</v>
      </c>
      <c r="K17" s="21">
        <f t="shared" si="19"/>
        <v>0</v>
      </c>
      <c r="L17" s="20">
        <f>SUMIFS('Registre de reserves'!$P$2:$P$1178,'Registre de reserves'!$T$2:$T$1178,"NO",'Registre de reserves'!$I$2:$I$1178,'2020'!$A17,'Registre de reserves'!$B$2:$B$1178,'2020'!L$2,Tabla1[ANY],'2020'!$Z$2)+SUMIFS('Registre de reserves'!$P$2:$P$1178,'Registre de reserves'!$T$2:$T$1178,"RESERVA",'Registre de reserves'!$I$2:$I$1178,'2020'!$A17,'Registre de reserves'!$B$2:$B$1178,'2020'!L$2,Tabla1[ANY],'2020'!$Z$2)-SUMIFS('Registre de reserves'!$U$2:$U$1178,'Registre de reserves'!$T$2:$T$1178,"RESERVA",'Registre de reserves'!$I$2:$I$1178,'2020'!$A17,'Registre de reserves'!$B$2:$B$1178,'2020'!L$2,Tabla1[ANY],'2020'!$Z$2)</f>
        <v>0</v>
      </c>
      <c r="M17" s="21">
        <f t="shared" si="20"/>
        <v>0</v>
      </c>
      <c r="N17" s="20">
        <f>SUMIFS('Registre de reserves'!$P$2:$P$1178,'Registre de reserves'!$T$2:$T$1178,"NO",'Registre de reserves'!$I$2:$I$1178,'2020'!$A17,'Registre de reserves'!$B$2:$B$1178,'2020'!N$2,Tabla1[ANY],'2020'!$Z$2)+SUMIFS('Registre de reserves'!$P$2:$P$1178,'Registre de reserves'!$T$2:$T$1178,"RESERVA",'Registre de reserves'!$I$2:$I$1178,'2020'!$A17,'Registre de reserves'!$B$2:$B$1178,'2020'!N$2,Tabla1[ANY],'2020'!$Z$2)-SUMIFS('Registre de reserves'!$U$2:$U$1178,'Registre de reserves'!$T$2:$T$1178,"RESERVA",'Registre de reserves'!$I$2:$I$1178,'2020'!$A17,'Registre de reserves'!$B$2:$B$1178,'2020'!N$2,Tabla1[ANY],'2020'!$Z$2)</f>
        <v>0</v>
      </c>
      <c r="O17" s="21">
        <f t="shared" si="21"/>
        <v>0</v>
      </c>
      <c r="P17" s="20">
        <f>SUMIFS('Registre de reserves'!$P$2:$P$1178,'Registre de reserves'!$T$2:$T$1178,"NO",'Registre de reserves'!$I$2:$I$1178,'2020'!$A17,'Registre de reserves'!$B$2:$B$1178,'2020'!P$2,Tabla1[ANY],'2020'!$Z$2)+SUMIFS('Registre de reserves'!$P$2:$P$1178,'Registre de reserves'!$T$2:$T$1178,"RESERVA",'Registre de reserves'!$I$2:$I$1178,'2020'!$A17,'Registre de reserves'!$B$2:$B$1178,'2020'!P$2,Tabla1[ANY],'2020'!$Z$2)-SUMIFS('Registre de reserves'!$U$2:$U$1178,'Registre de reserves'!$T$2:$T$1178,"RESERVA",'Registre de reserves'!$I$2:$I$1178,'2020'!$A17,'Registre de reserves'!$B$2:$B$1178,'2020'!P$2,Tabla1[ANY],'2020'!$Z$2)</f>
        <v>0</v>
      </c>
      <c r="Q17" s="21">
        <f t="shared" si="22"/>
        <v>0</v>
      </c>
      <c r="R17" s="20">
        <f>SUMIFS('Registre de reserves'!$P$2:$P$1178,'Registre de reserves'!$T$2:$T$1178,"NO",'Registre de reserves'!$I$2:$I$1178,'2020'!$A17,'Registre de reserves'!$B$2:$B$1178,'2020'!R$2,Tabla1[ANY],'2020'!$Z$2)+SUMIFS('Registre de reserves'!$P$2:$P$1178,'Registre de reserves'!$T$2:$T$1178,"RESERVA",'Registre de reserves'!$I$2:$I$1178,'2020'!$A17,'Registre de reserves'!$B$2:$B$1178,'2020'!R$2,Tabla1[ANY],'2020'!$Z$2)-SUMIFS('Registre de reserves'!$U$2:$U$1178,'Registre de reserves'!$T$2:$T$1178,"RESERVA",'Registre de reserves'!$I$2:$I$1178,'2020'!$A17,'Registre de reserves'!$B$2:$B$1178,'2020'!R$2,Tabla1[ANY],'2020'!$Z$2)</f>
        <v>0</v>
      </c>
      <c r="S17" s="21">
        <f t="shared" si="23"/>
        <v>0</v>
      </c>
      <c r="T17" s="20">
        <f>SUMIFS('Registre de reserves'!$P$2:$P$1178,'Registre de reserves'!$T$2:$T$1178,"NO",'Registre de reserves'!$I$2:$I$1178,'2020'!$A17,'Registre de reserves'!$B$2:$B$1178,'2020'!T$2,Tabla1[ANY],'2020'!$Z$2)+SUMIFS('Registre de reserves'!$P$2:$P$1178,'Registre de reserves'!$T$2:$T$1178,"RESERVA",'Registre de reserves'!$I$2:$I$1178,'2020'!$A17,'Registre de reserves'!$B$2:$B$1178,'2020'!T$2,Tabla1[ANY],'2020'!$Z$2)-SUMIFS('Registre de reserves'!$U$2:$U$1178,'Registre de reserves'!$T$2:$T$1178,"RESERVA",'Registre de reserves'!$I$2:$I$1178,'2020'!$A17,'Registre de reserves'!$B$2:$B$1178,'2020'!T$2,Tabla1[ANY],'2020'!$Z$2)</f>
        <v>0</v>
      </c>
      <c r="U17" s="21">
        <f t="shared" si="24"/>
        <v>0</v>
      </c>
      <c r="V17" s="20">
        <f>SUMIFS('Registre de reserves'!$P$2:$P$1178,'Registre de reserves'!$T$2:$T$1178,"NO",'Registre de reserves'!$I$2:$I$1178,'2020'!$A17,'Registre de reserves'!$B$2:$B$1178,'2020'!V$2,Tabla1[ANY],'2020'!$Z$2)+SUMIFS('Registre de reserves'!$P$2:$P$1178,'Registre de reserves'!$T$2:$T$1178,"RESERVA",'Registre de reserves'!$I$2:$I$1178,'2020'!$A17,'Registre de reserves'!$B$2:$B$1178,'2020'!V$2,Tabla1[ANY],'2020'!$Z$2)-SUMIFS('Registre de reserves'!$U$2:$U$1178,'Registre de reserves'!$T$2:$T$1178,"RESERVA",'Registre de reserves'!$I$2:$I$1178,'2020'!$A17,'Registre de reserves'!$B$2:$B$1178,'2020'!V$2,Tabla1[ANY],'2020'!$Z$2)</f>
        <v>0</v>
      </c>
      <c r="W17" s="21">
        <f t="shared" si="25"/>
        <v>0</v>
      </c>
      <c r="X17" s="20">
        <f>SUMIFS('Registre de reserves'!$P$2:$P$1178,'Registre de reserves'!$T$2:$T$1178,"NO",'Registre de reserves'!$I$2:$I$1178,'2020'!$A17,'Registre de reserves'!$B$2:$B$1178,'2020'!X$2,Tabla1[ANY],'2020'!$Z$2)+SUMIFS('Registre de reserves'!$P$2:$P$1178,'Registre de reserves'!$T$2:$T$1178,"RESERVA",'Registre de reserves'!$I$2:$I$1178,'2020'!$A17,'Registre de reserves'!$B$2:$B$1178,'2020'!X$2,Tabla1[ANY],'2020'!$Z$2)-SUMIFS('Registre de reserves'!$U$2:$U$1178,'Registre de reserves'!$T$2:$T$1178,"RESERVA",'Registre de reserves'!$I$2:$I$1178,'2020'!$A17,'Registre de reserves'!$B$2:$B$1178,'2020'!X$2,Tabla1[ANY],'2020'!$Z$2)</f>
        <v>0</v>
      </c>
      <c r="Y17" s="21">
        <f t="shared" si="26"/>
        <v>0</v>
      </c>
      <c r="Z17" s="20">
        <f t="shared" si="27"/>
        <v>0</v>
      </c>
      <c r="AA17" s="21">
        <f t="shared" si="28"/>
        <v>0</v>
      </c>
    </row>
    <row r="18" spans="1:27" hidden="1" outlineLevel="1" x14ac:dyDescent="0.2">
      <c r="A18" s="8" t="s">
        <v>72</v>
      </c>
      <c r="B18" s="20">
        <f>SUMIFS('Registre de reserves'!$P$2:$P$1178,'Registre de reserves'!$T$2:$T$1178,"NO",'Registre de reserves'!$I$2:$I$1178,'2020'!$A18,'Registre de reserves'!$B$2:$B$1178,'2020'!B$2,Tabla1[ANY],'2020'!$Z$2)+SUMIFS('Registre de reserves'!$P$2:$P$1178,'Registre de reserves'!$T$2:$T$1178,"RESERVA",'Registre de reserves'!$I$2:$I$1178,'2020'!$A18,'Registre de reserves'!$B$2:$B$1178,'2020'!B$2,Tabla1[ANY],'2020'!$Z$2)-SUMIFS('Registre de reserves'!$U$2:$U$1178,'Registre de reserves'!$T$2:$T$1178,"RESERVA",'Registre de reserves'!$I$2:$I$1178,'2020'!$A18,'Registre de reserves'!$B$2:$B$1178,'2020'!B$2,Tabla1[ANY],'2020'!$Z$2)</f>
        <v>0</v>
      </c>
      <c r="C18" s="21">
        <f t="shared" si="15"/>
        <v>0</v>
      </c>
      <c r="D18" s="20">
        <f>SUMIFS('Registre de reserves'!$P$2:$P$1178,'Registre de reserves'!$T$2:$T$1178,"NO",'Registre de reserves'!$I$2:$I$1178,'2020'!$A18,'Registre de reserves'!$B$2:$B$1178,'2020'!D$2,Tabla1[ANY],'2020'!$Z$2)+SUMIFS('Registre de reserves'!$P$2:$P$1178,'Registre de reserves'!$T$2:$T$1178,"RESERVA",'Registre de reserves'!$I$2:$I$1178,'2020'!$A18,'Registre de reserves'!$B$2:$B$1178,'2020'!D$2,Tabla1[ANY],'2020'!$Z$2)-SUMIFS('Registre de reserves'!$U$2:$U$1178,'Registre de reserves'!$T$2:$T$1178,"RESERVA",'Registre de reserves'!$I$2:$I$1178,'2020'!$A18,'Registre de reserves'!$B$2:$B$1178,'2020'!D$2,Tabla1[ANY],'2020'!$Z$2)</f>
        <v>0</v>
      </c>
      <c r="E18" s="21">
        <f t="shared" si="16"/>
        <v>0</v>
      </c>
      <c r="F18" s="20">
        <f>SUMIFS('Registre de reserves'!$P$2:$P$1178,'Registre de reserves'!$T$2:$T$1178,"NO",'Registre de reserves'!$I$2:$I$1178,'2020'!$A18,'Registre de reserves'!$B$2:$B$1178,'2020'!F$2,Tabla1[ANY],'2020'!$Z$2)+SUMIFS('Registre de reserves'!$P$2:$P$1178,'Registre de reserves'!$T$2:$T$1178,"RESERVA",'Registre de reserves'!$I$2:$I$1178,'2020'!$A18,'Registre de reserves'!$B$2:$B$1178,'2020'!F$2,Tabla1[ANY],'2020'!$Z$2)-SUMIFS('Registre de reserves'!$U$2:$U$1178,'Registre de reserves'!$T$2:$T$1178,"RESERVA",'Registre de reserves'!$I$2:$I$1178,'2020'!$A18,'Registre de reserves'!$B$2:$B$1178,'2020'!F$2,Tabla1[ANY],'2020'!$Z$2)</f>
        <v>300</v>
      </c>
      <c r="G18" s="21">
        <f t="shared" si="17"/>
        <v>0.11516314779270634</v>
      </c>
      <c r="H18" s="20">
        <f>SUMIFS('Registre de reserves'!$P$2:$P$1178,'Registre de reserves'!$T$2:$T$1178,"NO",'Registre de reserves'!$I$2:$I$1178,'2020'!$A18,'Registre de reserves'!$B$2:$B$1178,'2020'!H$2,Tabla1[ANY],'2020'!$Z$2)+SUMIFS('Registre de reserves'!$P$2:$P$1178,'Registre de reserves'!$T$2:$T$1178,"RESERVA",'Registre de reserves'!$I$2:$I$1178,'2020'!$A18,'Registre de reserves'!$B$2:$B$1178,'2020'!H$2,Tabla1[ANY],'2020'!$Z$2)-SUMIFS('Registre de reserves'!$U$2:$U$1178,'Registre de reserves'!$T$2:$T$1178,"RESERVA",'Registre de reserves'!$I$2:$I$1178,'2020'!$A18,'Registre de reserves'!$B$2:$B$1178,'2020'!H$2,Tabla1[ANY],'2020'!$Z$2)</f>
        <v>0</v>
      </c>
      <c r="I18" s="21">
        <f t="shared" si="18"/>
        <v>0</v>
      </c>
      <c r="J18" s="20">
        <f>SUMIFS('Registre de reserves'!$P$2:$P$1178,'Registre de reserves'!$T$2:$T$1178,"NO",'Registre de reserves'!$I$2:$I$1178,'2020'!$A18,'Registre de reserves'!$B$2:$B$1178,'2020'!J$2,Tabla1[ANY],'2020'!$Z$2)+SUMIFS('Registre de reserves'!$P$2:$P$1178,'Registre de reserves'!$T$2:$T$1178,"RESERVA",'Registre de reserves'!$I$2:$I$1178,'2020'!$A18,'Registre de reserves'!$B$2:$B$1178,'2020'!J$2,Tabla1[ANY],'2020'!$Z$2)-SUMIFS('Registre de reserves'!$U$2:$U$1178,'Registre de reserves'!$T$2:$T$1178,"RESERVA",'Registre de reserves'!$I$2:$I$1178,'2020'!$A18,'Registre de reserves'!$B$2:$B$1178,'2020'!J$2,Tabla1[ANY],'2020'!$Z$2)</f>
        <v>0</v>
      </c>
      <c r="K18" s="21">
        <f t="shared" si="19"/>
        <v>0</v>
      </c>
      <c r="L18" s="20">
        <f>SUMIFS('Registre de reserves'!$P$2:$P$1178,'Registre de reserves'!$T$2:$T$1178,"NO",'Registre de reserves'!$I$2:$I$1178,'2020'!$A18,'Registre de reserves'!$B$2:$B$1178,'2020'!L$2,Tabla1[ANY],'2020'!$Z$2)+SUMIFS('Registre de reserves'!$P$2:$P$1178,'Registre de reserves'!$T$2:$T$1178,"RESERVA",'Registre de reserves'!$I$2:$I$1178,'2020'!$A18,'Registre de reserves'!$B$2:$B$1178,'2020'!L$2,Tabla1[ANY],'2020'!$Z$2)-SUMIFS('Registre de reserves'!$U$2:$U$1178,'Registre de reserves'!$T$2:$T$1178,"RESERVA",'Registre de reserves'!$I$2:$I$1178,'2020'!$A18,'Registre de reserves'!$B$2:$B$1178,'2020'!L$2,Tabla1[ANY],'2020'!$Z$2)</f>
        <v>0</v>
      </c>
      <c r="M18" s="21">
        <f t="shared" si="20"/>
        <v>0</v>
      </c>
      <c r="N18" s="20">
        <f>SUMIFS('Registre de reserves'!$P$2:$P$1178,'Registre de reserves'!$T$2:$T$1178,"NO",'Registre de reserves'!$I$2:$I$1178,'2020'!$A18,'Registre de reserves'!$B$2:$B$1178,'2020'!N$2,Tabla1[ANY],'2020'!$Z$2)+SUMIFS('Registre de reserves'!$P$2:$P$1178,'Registre de reserves'!$T$2:$T$1178,"RESERVA",'Registre de reserves'!$I$2:$I$1178,'2020'!$A18,'Registre de reserves'!$B$2:$B$1178,'2020'!N$2,Tabla1[ANY],'2020'!$Z$2)-SUMIFS('Registre de reserves'!$U$2:$U$1178,'Registre de reserves'!$T$2:$T$1178,"RESERVA",'Registre de reserves'!$I$2:$I$1178,'2020'!$A18,'Registre de reserves'!$B$2:$B$1178,'2020'!N$2,Tabla1[ANY],'2020'!$Z$2)</f>
        <v>0</v>
      </c>
      <c r="O18" s="21">
        <f t="shared" si="21"/>
        <v>0</v>
      </c>
      <c r="P18" s="20">
        <f>SUMIFS('Registre de reserves'!$P$2:$P$1178,'Registre de reserves'!$T$2:$T$1178,"NO",'Registre de reserves'!$I$2:$I$1178,'2020'!$A18,'Registre de reserves'!$B$2:$B$1178,'2020'!P$2,Tabla1[ANY],'2020'!$Z$2)+SUMIFS('Registre de reserves'!$P$2:$P$1178,'Registre de reserves'!$T$2:$T$1178,"RESERVA",'Registre de reserves'!$I$2:$I$1178,'2020'!$A18,'Registre de reserves'!$B$2:$B$1178,'2020'!P$2,Tabla1[ANY],'2020'!$Z$2)-SUMIFS('Registre de reserves'!$U$2:$U$1178,'Registre de reserves'!$T$2:$T$1178,"RESERVA",'Registre de reserves'!$I$2:$I$1178,'2020'!$A18,'Registre de reserves'!$B$2:$B$1178,'2020'!P$2,Tabla1[ANY],'2020'!$Z$2)</f>
        <v>0</v>
      </c>
      <c r="Q18" s="21">
        <f t="shared" si="22"/>
        <v>0</v>
      </c>
      <c r="R18" s="20">
        <f>SUMIFS('Registre de reserves'!$P$2:$P$1178,'Registre de reserves'!$T$2:$T$1178,"NO",'Registre de reserves'!$I$2:$I$1178,'2020'!$A18,'Registre de reserves'!$B$2:$B$1178,'2020'!R$2,Tabla1[ANY],'2020'!$Z$2)+SUMIFS('Registre de reserves'!$P$2:$P$1178,'Registre de reserves'!$T$2:$T$1178,"RESERVA",'Registre de reserves'!$I$2:$I$1178,'2020'!$A18,'Registre de reserves'!$B$2:$B$1178,'2020'!R$2,Tabla1[ANY],'2020'!$Z$2)-SUMIFS('Registre de reserves'!$U$2:$U$1178,'Registre de reserves'!$T$2:$T$1178,"RESERVA",'Registre de reserves'!$I$2:$I$1178,'2020'!$A18,'Registre de reserves'!$B$2:$B$1178,'2020'!R$2,Tabla1[ANY],'2020'!$Z$2)</f>
        <v>0</v>
      </c>
      <c r="S18" s="21">
        <f t="shared" si="23"/>
        <v>0</v>
      </c>
      <c r="T18" s="20">
        <f>SUMIFS('Registre de reserves'!$P$2:$P$1178,'Registre de reserves'!$T$2:$T$1178,"NO",'Registre de reserves'!$I$2:$I$1178,'2020'!$A18,'Registre de reserves'!$B$2:$B$1178,'2020'!T$2,Tabla1[ANY],'2020'!$Z$2)+SUMIFS('Registre de reserves'!$P$2:$P$1178,'Registre de reserves'!$T$2:$T$1178,"RESERVA",'Registre de reserves'!$I$2:$I$1178,'2020'!$A18,'Registre de reserves'!$B$2:$B$1178,'2020'!T$2,Tabla1[ANY],'2020'!$Z$2)-SUMIFS('Registre de reserves'!$U$2:$U$1178,'Registre de reserves'!$T$2:$T$1178,"RESERVA",'Registre de reserves'!$I$2:$I$1178,'2020'!$A18,'Registre de reserves'!$B$2:$B$1178,'2020'!T$2,Tabla1[ANY],'2020'!$Z$2)</f>
        <v>0</v>
      </c>
      <c r="U18" s="21">
        <f t="shared" si="24"/>
        <v>0</v>
      </c>
      <c r="V18" s="20">
        <f>SUMIFS('Registre de reserves'!$P$2:$P$1178,'Registre de reserves'!$T$2:$T$1178,"NO",'Registre de reserves'!$I$2:$I$1178,'2020'!$A18,'Registre de reserves'!$B$2:$B$1178,'2020'!V$2,Tabla1[ANY],'2020'!$Z$2)+SUMIFS('Registre de reserves'!$P$2:$P$1178,'Registre de reserves'!$T$2:$T$1178,"RESERVA",'Registre de reserves'!$I$2:$I$1178,'2020'!$A18,'Registre de reserves'!$B$2:$B$1178,'2020'!V$2,Tabla1[ANY],'2020'!$Z$2)-SUMIFS('Registre de reserves'!$U$2:$U$1178,'Registre de reserves'!$T$2:$T$1178,"RESERVA",'Registre de reserves'!$I$2:$I$1178,'2020'!$A18,'Registre de reserves'!$B$2:$B$1178,'2020'!V$2,Tabla1[ANY],'2020'!$Z$2)</f>
        <v>0</v>
      </c>
      <c r="W18" s="21">
        <f t="shared" si="25"/>
        <v>0</v>
      </c>
      <c r="X18" s="20">
        <f>SUMIFS('Registre de reserves'!$P$2:$P$1178,'Registre de reserves'!$T$2:$T$1178,"NO",'Registre de reserves'!$I$2:$I$1178,'2020'!$A18,'Registre de reserves'!$B$2:$B$1178,'2020'!X$2,Tabla1[ANY],'2020'!$Z$2)+SUMIFS('Registre de reserves'!$P$2:$P$1178,'Registre de reserves'!$T$2:$T$1178,"RESERVA",'Registre de reserves'!$I$2:$I$1178,'2020'!$A18,'Registre de reserves'!$B$2:$B$1178,'2020'!X$2,Tabla1[ANY],'2020'!$Z$2)-SUMIFS('Registre de reserves'!$U$2:$U$1178,'Registre de reserves'!$T$2:$T$1178,"RESERVA",'Registre de reserves'!$I$2:$I$1178,'2020'!$A18,'Registre de reserves'!$B$2:$B$1178,'2020'!X$2,Tabla1[ANY],'2020'!$Z$2)</f>
        <v>0</v>
      </c>
      <c r="Y18" s="21">
        <f t="shared" si="26"/>
        <v>0</v>
      </c>
      <c r="Z18" s="20">
        <f t="shared" si="27"/>
        <v>300</v>
      </c>
      <c r="AA18" s="21">
        <f t="shared" si="28"/>
        <v>0.16997167138810199</v>
      </c>
    </row>
    <row r="19" spans="1:27" hidden="1" outlineLevel="1" x14ac:dyDescent="0.2">
      <c r="A19" s="8" t="s">
        <v>69</v>
      </c>
      <c r="B19" s="20">
        <f>SUMIFS('Registre de reserves'!$P$2:$P$1178,'Registre de reserves'!$T$2:$T$1178,"NO",'Registre de reserves'!$I$2:$I$1178,'2020'!$A19,'Registre de reserves'!$B$2:$B$1178,'2020'!B$2,Tabla1[ANY],'2020'!$Z$2)+SUMIFS('Registre de reserves'!$P$2:$P$1178,'Registre de reserves'!$T$2:$T$1178,"RESERVA",'Registre de reserves'!$I$2:$I$1178,'2020'!$A19,'Registre de reserves'!$B$2:$B$1178,'2020'!B$2,Tabla1[ANY],'2020'!$Z$2)-SUMIFS('Registre de reserves'!$U$2:$U$1178,'Registre de reserves'!$T$2:$T$1178,"RESERVA",'Registre de reserves'!$I$2:$I$1178,'2020'!$A19,'Registre de reserves'!$B$2:$B$1178,'2020'!B$2,Tabla1[ANY],'2020'!$Z$2)</f>
        <v>0</v>
      </c>
      <c r="C19" s="21">
        <f t="shared" si="15"/>
        <v>0</v>
      </c>
      <c r="D19" s="20">
        <f>SUMIFS('Registre de reserves'!$P$2:$P$1178,'Registre de reserves'!$T$2:$T$1178,"NO",'Registre de reserves'!$I$2:$I$1178,'2020'!$A19,'Registre de reserves'!$B$2:$B$1178,'2020'!D$2,Tabla1[ANY],'2020'!$Z$2)+SUMIFS('Registre de reserves'!$P$2:$P$1178,'Registre de reserves'!$T$2:$T$1178,"RESERVA",'Registre de reserves'!$I$2:$I$1178,'2020'!$A19,'Registre de reserves'!$B$2:$B$1178,'2020'!D$2,Tabla1[ANY],'2020'!$Z$2)-SUMIFS('Registre de reserves'!$U$2:$U$1178,'Registre de reserves'!$T$2:$T$1178,"RESERVA",'Registre de reserves'!$I$2:$I$1178,'2020'!$A19,'Registre de reserves'!$B$2:$B$1178,'2020'!D$2,Tabla1[ANY],'2020'!$Z$2)</f>
        <v>0</v>
      </c>
      <c r="E19" s="21">
        <f t="shared" si="16"/>
        <v>0</v>
      </c>
      <c r="F19" s="20">
        <f>SUMIFS('Registre de reserves'!$P$2:$P$1178,'Registre de reserves'!$T$2:$T$1178,"NO",'Registre de reserves'!$I$2:$I$1178,'2020'!$A19,'Registre de reserves'!$B$2:$B$1178,'2020'!F$2,Tabla1[ANY],'2020'!$Z$2)+SUMIFS('Registre de reserves'!$P$2:$P$1178,'Registre de reserves'!$T$2:$T$1178,"RESERVA",'Registre de reserves'!$I$2:$I$1178,'2020'!$A19,'Registre de reserves'!$B$2:$B$1178,'2020'!F$2,Tabla1[ANY],'2020'!$Z$2)-SUMIFS('Registre de reserves'!$U$2:$U$1178,'Registre de reserves'!$T$2:$T$1178,"RESERVA",'Registre de reserves'!$I$2:$I$1178,'2020'!$A19,'Registre de reserves'!$B$2:$B$1178,'2020'!F$2,Tabla1[ANY],'2020'!$Z$2)</f>
        <v>975</v>
      </c>
      <c r="G19" s="21">
        <f t="shared" si="17"/>
        <v>0.37428023032629559</v>
      </c>
      <c r="H19" s="20">
        <f>SUMIFS('Registre de reserves'!$P$2:$P$1178,'Registre de reserves'!$T$2:$T$1178,"NO",'Registre de reserves'!$I$2:$I$1178,'2020'!$A19,'Registre de reserves'!$B$2:$B$1178,'2020'!H$2,Tabla1[ANY],'2020'!$Z$2)+SUMIFS('Registre de reserves'!$P$2:$P$1178,'Registre de reserves'!$T$2:$T$1178,"RESERVA",'Registre de reserves'!$I$2:$I$1178,'2020'!$A19,'Registre de reserves'!$B$2:$B$1178,'2020'!H$2,Tabla1[ANY],'2020'!$Z$2)-SUMIFS('Registre de reserves'!$U$2:$U$1178,'Registre de reserves'!$T$2:$T$1178,"RESERVA",'Registre de reserves'!$I$2:$I$1178,'2020'!$A19,'Registre de reserves'!$B$2:$B$1178,'2020'!H$2,Tabla1[ANY],'2020'!$Z$2)</f>
        <v>975</v>
      </c>
      <c r="I19" s="21">
        <f t="shared" si="18"/>
        <v>0.43333333333333335</v>
      </c>
      <c r="J19" s="20">
        <f>SUMIFS('Registre de reserves'!$P$2:$P$1178,'Registre de reserves'!$T$2:$T$1178,"NO",'Registre de reserves'!$I$2:$I$1178,'2020'!$A19,'Registre de reserves'!$B$2:$B$1178,'2020'!J$2,Tabla1[ANY],'2020'!$Z$2)+SUMIFS('Registre de reserves'!$P$2:$P$1178,'Registre de reserves'!$T$2:$T$1178,"RESERVA",'Registre de reserves'!$I$2:$I$1178,'2020'!$A19,'Registre de reserves'!$B$2:$B$1178,'2020'!J$2,Tabla1[ANY],'2020'!$Z$2)-SUMIFS('Registre de reserves'!$U$2:$U$1178,'Registre de reserves'!$T$2:$T$1178,"RESERVA",'Registre de reserves'!$I$2:$I$1178,'2020'!$A19,'Registre de reserves'!$B$2:$B$1178,'2020'!J$2,Tabla1[ANY],'2020'!$Z$2)</f>
        <v>390</v>
      </c>
      <c r="K19" s="21">
        <f t="shared" si="19"/>
        <v>0.41489361702127658</v>
      </c>
      <c r="L19" s="20">
        <f>SUMIFS('Registre de reserves'!$P$2:$P$1178,'Registre de reserves'!$T$2:$T$1178,"NO",'Registre de reserves'!$I$2:$I$1178,'2020'!$A19,'Registre de reserves'!$B$2:$B$1178,'2020'!L$2,Tabla1[ANY],'2020'!$Z$2)+SUMIFS('Registre de reserves'!$P$2:$P$1178,'Registre de reserves'!$T$2:$T$1178,"RESERVA",'Registre de reserves'!$I$2:$I$1178,'2020'!$A19,'Registre de reserves'!$B$2:$B$1178,'2020'!L$2,Tabla1[ANY],'2020'!$Z$2)-SUMIFS('Registre de reserves'!$U$2:$U$1178,'Registre de reserves'!$T$2:$T$1178,"RESERVA",'Registre de reserves'!$I$2:$I$1178,'2020'!$A19,'Registre de reserves'!$B$2:$B$1178,'2020'!L$2,Tabla1[ANY],'2020'!$Z$2)</f>
        <v>0</v>
      </c>
      <c r="M19" s="21">
        <f t="shared" si="20"/>
        <v>0</v>
      </c>
      <c r="N19" s="20">
        <f>SUMIFS('Registre de reserves'!$P$2:$P$1178,'Registre de reserves'!$T$2:$T$1178,"NO",'Registre de reserves'!$I$2:$I$1178,'2020'!$A19,'Registre de reserves'!$B$2:$B$1178,'2020'!N$2,Tabla1[ANY],'2020'!$Z$2)+SUMIFS('Registre de reserves'!$P$2:$P$1178,'Registre de reserves'!$T$2:$T$1178,"RESERVA",'Registre de reserves'!$I$2:$I$1178,'2020'!$A19,'Registre de reserves'!$B$2:$B$1178,'2020'!N$2,Tabla1[ANY],'2020'!$Z$2)-SUMIFS('Registre de reserves'!$U$2:$U$1178,'Registre de reserves'!$T$2:$T$1178,"RESERVA",'Registre de reserves'!$I$2:$I$1178,'2020'!$A19,'Registre de reserves'!$B$2:$B$1178,'2020'!N$2,Tabla1[ANY],'2020'!$Z$2)</f>
        <v>95</v>
      </c>
      <c r="O19" s="21">
        <f t="shared" si="21"/>
        <v>0.39583333333333331</v>
      </c>
      <c r="P19" s="20">
        <f>SUMIFS('Registre de reserves'!$P$2:$P$1178,'Registre de reserves'!$T$2:$T$1178,"NO",'Registre de reserves'!$I$2:$I$1178,'2020'!$A19,'Registre de reserves'!$B$2:$B$1178,'2020'!P$2,Tabla1[ANY],'2020'!$Z$2)+SUMIFS('Registre de reserves'!$P$2:$P$1178,'Registre de reserves'!$T$2:$T$1178,"RESERVA",'Registre de reserves'!$I$2:$I$1178,'2020'!$A19,'Registre de reserves'!$B$2:$B$1178,'2020'!P$2,Tabla1[ANY],'2020'!$Z$2)-SUMIFS('Registre de reserves'!$U$2:$U$1178,'Registre de reserves'!$T$2:$T$1178,"RESERVA",'Registre de reserves'!$I$2:$I$1178,'2020'!$A19,'Registre de reserves'!$B$2:$B$1178,'2020'!P$2,Tabla1[ANY],'2020'!$Z$2)</f>
        <v>730</v>
      </c>
      <c r="Q19" s="21">
        <f t="shared" si="22"/>
        <v>0.8342857142857143</v>
      </c>
      <c r="R19" s="20">
        <f>SUMIFS('Registre de reserves'!$P$2:$P$1178,'Registre de reserves'!$T$2:$T$1178,"NO",'Registre de reserves'!$I$2:$I$1178,'2020'!$A19,'Registre de reserves'!$B$2:$B$1178,'2020'!R$2,Tabla1[ANY],'2020'!$Z$2)+SUMIFS('Registre de reserves'!$P$2:$P$1178,'Registre de reserves'!$T$2:$T$1178,"RESERVA",'Registre de reserves'!$I$2:$I$1178,'2020'!$A19,'Registre de reserves'!$B$2:$B$1178,'2020'!R$2,Tabla1[ANY],'2020'!$Z$2)-SUMIFS('Registre de reserves'!$U$2:$U$1178,'Registre de reserves'!$T$2:$T$1178,"RESERVA",'Registre de reserves'!$I$2:$I$1178,'2020'!$A19,'Registre de reserves'!$B$2:$B$1178,'2020'!R$2,Tabla1[ANY],'2020'!$Z$2)</f>
        <v>390</v>
      </c>
      <c r="S19" s="21">
        <f t="shared" si="23"/>
        <v>1</v>
      </c>
      <c r="T19" s="20">
        <f>SUMIFS('Registre de reserves'!$P$2:$P$1178,'Registre de reserves'!$T$2:$T$1178,"NO",'Registre de reserves'!$I$2:$I$1178,'2020'!$A19,'Registre de reserves'!$B$2:$B$1178,'2020'!T$2,Tabla1[ANY],'2020'!$Z$2)+SUMIFS('Registre de reserves'!$P$2:$P$1178,'Registre de reserves'!$T$2:$T$1178,"RESERVA",'Registre de reserves'!$I$2:$I$1178,'2020'!$A19,'Registre de reserves'!$B$2:$B$1178,'2020'!T$2,Tabla1[ANY],'2020'!$Z$2)-SUMIFS('Registre de reserves'!$U$2:$U$1178,'Registre de reserves'!$T$2:$T$1178,"RESERVA",'Registre de reserves'!$I$2:$I$1178,'2020'!$A19,'Registre de reserves'!$B$2:$B$1178,'2020'!T$2,Tabla1[ANY],'2020'!$Z$2)</f>
        <v>590</v>
      </c>
      <c r="U19" s="21">
        <f t="shared" si="24"/>
        <v>0.80272108843537415</v>
      </c>
      <c r="V19" s="20">
        <f>SUMIFS('Registre de reserves'!$P$2:$P$1178,'Registre de reserves'!$T$2:$T$1178,"NO",'Registre de reserves'!$I$2:$I$1178,'2020'!$A19,'Registre de reserves'!$B$2:$B$1178,'2020'!V$2,Tabla1[ANY],'2020'!$Z$2)+SUMIFS('Registre de reserves'!$P$2:$P$1178,'Registre de reserves'!$T$2:$T$1178,"RESERVA",'Registre de reserves'!$I$2:$I$1178,'2020'!$A19,'Registre de reserves'!$B$2:$B$1178,'2020'!V$2,Tabla1[ANY],'2020'!$Z$2)-SUMIFS('Registre de reserves'!$U$2:$U$1178,'Registre de reserves'!$T$2:$T$1178,"RESERVA",'Registre de reserves'!$I$2:$I$1178,'2020'!$A19,'Registre de reserves'!$B$2:$B$1178,'2020'!V$2,Tabla1[ANY],'2020'!$Z$2)</f>
        <v>390</v>
      </c>
      <c r="W19" s="21">
        <f t="shared" si="25"/>
        <v>1</v>
      </c>
      <c r="X19" s="20">
        <f>SUMIFS('Registre de reserves'!$P$2:$P$1178,'Registre de reserves'!$T$2:$T$1178,"NO",'Registre de reserves'!$I$2:$I$1178,'2020'!$A19,'Registre de reserves'!$B$2:$B$1178,'2020'!X$2,Tabla1[ANY],'2020'!$Z$2)+SUMIFS('Registre de reserves'!$P$2:$P$1178,'Registre de reserves'!$T$2:$T$1178,"RESERVA",'Registre de reserves'!$I$2:$I$1178,'2020'!$A19,'Registre de reserves'!$B$2:$B$1178,'2020'!X$2,Tabla1[ANY],'2020'!$Z$2)-SUMIFS('Registre de reserves'!$U$2:$U$1178,'Registre de reserves'!$T$2:$T$1178,"RESERVA",'Registre de reserves'!$I$2:$I$1178,'2020'!$A19,'Registre de reserves'!$B$2:$B$1178,'2020'!X$2,Tabla1[ANY],'2020'!$Z$2)</f>
        <v>250</v>
      </c>
      <c r="Y19" s="21">
        <f t="shared" si="26"/>
        <v>1</v>
      </c>
      <c r="Z19" s="20">
        <f t="shared" si="27"/>
        <v>4785</v>
      </c>
      <c r="AA19" s="21">
        <f t="shared" si="28"/>
        <v>2.7110481586402266</v>
      </c>
    </row>
    <row r="20" spans="1:27" hidden="1" outlineLevel="1" x14ac:dyDescent="0.2">
      <c r="A20" s="8" t="s">
        <v>70</v>
      </c>
      <c r="B20" s="20">
        <f>SUMIFS('Registre de reserves'!$P$2:$P$1178,'Registre de reserves'!$T$2:$T$1178,"NO",'Registre de reserves'!$I$2:$I$1178,'2020'!$A20,'Registre de reserves'!$B$2:$B$1178,'2020'!B$2,Tabla1[ANY],'2020'!$Z$2)+SUMIFS('Registre de reserves'!$P$2:$P$1178,'Registre de reserves'!$T$2:$T$1178,"RESERVA",'Registre de reserves'!$I$2:$I$1178,'2020'!$A20,'Registre de reserves'!$B$2:$B$1178,'2020'!B$2,Tabla1[ANY],'2020'!$Z$2)-SUMIFS('Registre de reserves'!$U$2:$U$1178,'Registre de reserves'!$T$2:$T$1178,"RESERVA",'Registre de reserves'!$I$2:$I$1178,'2020'!$A20,'Registre de reserves'!$B$2:$B$1178,'2020'!B$2,Tabla1[ANY],'2020'!$Z$2)</f>
        <v>0</v>
      </c>
      <c r="C20" s="21">
        <f t="shared" si="15"/>
        <v>0</v>
      </c>
      <c r="D20" s="20">
        <f>SUMIFS('Registre de reserves'!$P$2:$P$1178,'Registre de reserves'!$T$2:$T$1178,"NO",'Registre de reserves'!$I$2:$I$1178,'2020'!$A20,'Registre de reserves'!$B$2:$B$1178,'2020'!D$2,Tabla1[ANY],'2020'!$Z$2)+SUMIFS('Registre de reserves'!$P$2:$P$1178,'Registre de reserves'!$T$2:$T$1178,"RESERVA",'Registre de reserves'!$I$2:$I$1178,'2020'!$A20,'Registre de reserves'!$B$2:$B$1178,'2020'!D$2,Tabla1[ANY],'2020'!$Z$2)-SUMIFS('Registre de reserves'!$U$2:$U$1178,'Registre de reserves'!$T$2:$T$1178,"RESERVA",'Registre de reserves'!$I$2:$I$1178,'2020'!$A20,'Registre de reserves'!$B$2:$B$1178,'2020'!D$2,Tabla1[ANY],'2020'!$Z$2)</f>
        <v>0</v>
      </c>
      <c r="E20" s="21">
        <f t="shared" si="16"/>
        <v>0</v>
      </c>
      <c r="F20" s="20">
        <f>SUMIFS('Registre de reserves'!$P$2:$P$1178,'Registre de reserves'!$T$2:$T$1178,"NO",'Registre de reserves'!$I$2:$I$1178,'2020'!$A20,'Registre de reserves'!$B$2:$B$1178,'2020'!F$2,Tabla1[ANY],'2020'!$Z$2)+SUMIFS('Registre de reserves'!$P$2:$P$1178,'Registre de reserves'!$T$2:$T$1178,"RESERVA",'Registre de reserves'!$I$2:$I$1178,'2020'!$A20,'Registre de reserves'!$B$2:$B$1178,'2020'!F$2,Tabla1[ANY],'2020'!$Z$2)-SUMIFS('Registre de reserves'!$U$2:$U$1178,'Registre de reserves'!$T$2:$T$1178,"RESERVA",'Registre de reserves'!$I$2:$I$1178,'2020'!$A20,'Registre de reserves'!$B$2:$B$1178,'2020'!F$2,Tabla1[ANY],'2020'!$Z$2)</f>
        <v>0</v>
      </c>
      <c r="G20" s="21">
        <f t="shared" si="17"/>
        <v>0</v>
      </c>
      <c r="H20" s="20">
        <f>SUMIFS('Registre de reserves'!$P$2:$P$1178,'Registre de reserves'!$T$2:$T$1178,"NO",'Registre de reserves'!$I$2:$I$1178,'2020'!$A20,'Registre de reserves'!$B$2:$B$1178,'2020'!H$2,Tabla1[ANY],'2020'!$Z$2)+SUMIFS('Registre de reserves'!$P$2:$P$1178,'Registre de reserves'!$T$2:$T$1178,"RESERVA",'Registre de reserves'!$I$2:$I$1178,'2020'!$A20,'Registre de reserves'!$B$2:$B$1178,'2020'!H$2,Tabla1[ANY],'2020'!$Z$2)-SUMIFS('Registre de reserves'!$U$2:$U$1178,'Registre de reserves'!$T$2:$T$1178,"RESERVA",'Registre de reserves'!$I$2:$I$1178,'2020'!$A20,'Registre de reserves'!$B$2:$B$1178,'2020'!H$2,Tabla1[ANY],'2020'!$Z$2)</f>
        <v>0</v>
      </c>
      <c r="I20" s="21">
        <f t="shared" si="18"/>
        <v>0</v>
      </c>
      <c r="J20" s="20">
        <f>SUMIFS('Registre de reserves'!$P$2:$P$1178,'Registre de reserves'!$T$2:$T$1178,"NO",'Registre de reserves'!$I$2:$I$1178,'2020'!$A20,'Registre de reserves'!$B$2:$B$1178,'2020'!J$2,Tabla1[ANY],'2020'!$Z$2)+SUMIFS('Registre de reserves'!$P$2:$P$1178,'Registre de reserves'!$T$2:$T$1178,"RESERVA",'Registre de reserves'!$I$2:$I$1178,'2020'!$A20,'Registre de reserves'!$B$2:$B$1178,'2020'!J$2,Tabla1[ANY],'2020'!$Z$2)-SUMIFS('Registre de reserves'!$U$2:$U$1178,'Registre de reserves'!$T$2:$T$1178,"RESERVA",'Registre de reserves'!$I$2:$I$1178,'2020'!$A20,'Registre de reserves'!$B$2:$B$1178,'2020'!J$2,Tabla1[ANY],'2020'!$Z$2)</f>
        <v>0</v>
      </c>
      <c r="K20" s="21">
        <f t="shared" si="19"/>
        <v>0</v>
      </c>
      <c r="L20" s="20">
        <f>SUMIFS('Registre de reserves'!$P$2:$P$1178,'Registre de reserves'!$T$2:$T$1178,"NO",'Registre de reserves'!$I$2:$I$1178,'2020'!$A20,'Registre de reserves'!$B$2:$B$1178,'2020'!L$2,Tabla1[ANY],'2020'!$Z$2)+SUMIFS('Registre de reserves'!$P$2:$P$1178,'Registre de reserves'!$T$2:$T$1178,"RESERVA",'Registre de reserves'!$I$2:$I$1178,'2020'!$A20,'Registre de reserves'!$B$2:$B$1178,'2020'!L$2,Tabla1[ANY],'2020'!$Z$2)-SUMIFS('Registre de reserves'!$U$2:$U$1178,'Registre de reserves'!$T$2:$T$1178,"RESERVA",'Registre de reserves'!$I$2:$I$1178,'2020'!$A20,'Registre de reserves'!$B$2:$B$1178,'2020'!L$2,Tabla1[ANY],'2020'!$Z$2)</f>
        <v>0</v>
      </c>
      <c r="M20" s="21">
        <f t="shared" si="20"/>
        <v>0</v>
      </c>
      <c r="N20" s="20">
        <f>SUMIFS('Registre de reserves'!$P$2:$P$1178,'Registre de reserves'!$T$2:$T$1178,"NO",'Registre de reserves'!$I$2:$I$1178,'2020'!$A20,'Registre de reserves'!$B$2:$B$1178,'2020'!N$2,Tabla1[ANY],'2020'!$Z$2)+SUMIFS('Registre de reserves'!$P$2:$P$1178,'Registre de reserves'!$T$2:$T$1178,"RESERVA",'Registre de reserves'!$I$2:$I$1178,'2020'!$A20,'Registre de reserves'!$B$2:$B$1178,'2020'!N$2,Tabla1[ANY],'2020'!$Z$2)-SUMIFS('Registre de reserves'!$U$2:$U$1178,'Registre de reserves'!$T$2:$T$1178,"RESERVA",'Registre de reserves'!$I$2:$I$1178,'2020'!$A20,'Registre de reserves'!$B$2:$B$1178,'2020'!N$2,Tabla1[ANY],'2020'!$Z$2)</f>
        <v>0</v>
      </c>
      <c r="O20" s="21">
        <f t="shared" si="21"/>
        <v>0</v>
      </c>
      <c r="P20" s="20">
        <f>SUMIFS('Registre de reserves'!$P$2:$P$1178,'Registre de reserves'!$T$2:$T$1178,"NO",'Registre de reserves'!$I$2:$I$1178,'2020'!$A20,'Registre de reserves'!$B$2:$B$1178,'2020'!P$2,Tabla1[ANY],'2020'!$Z$2)+SUMIFS('Registre de reserves'!$P$2:$P$1178,'Registre de reserves'!$T$2:$T$1178,"RESERVA",'Registre de reserves'!$I$2:$I$1178,'2020'!$A20,'Registre de reserves'!$B$2:$B$1178,'2020'!P$2,Tabla1[ANY],'2020'!$Z$2)-SUMIFS('Registre de reserves'!$U$2:$U$1178,'Registre de reserves'!$T$2:$T$1178,"RESERVA",'Registre de reserves'!$I$2:$I$1178,'2020'!$A20,'Registre de reserves'!$B$2:$B$1178,'2020'!P$2,Tabla1[ANY],'2020'!$Z$2)</f>
        <v>0</v>
      </c>
      <c r="Q20" s="21">
        <f t="shared" si="22"/>
        <v>0</v>
      </c>
      <c r="R20" s="20">
        <f>SUMIFS('Registre de reserves'!$P$2:$P$1178,'Registre de reserves'!$T$2:$T$1178,"NO",'Registre de reserves'!$I$2:$I$1178,'2020'!$A20,'Registre de reserves'!$B$2:$B$1178,'2020'!R$2,Tabla1[ANY],'2020'!$Z$2)+SUMIFS('Registre de reserves'!$P$2:$P$1178,'Registre de reserves'!$T$2:$T$1178,"RESERVA",'Registre de reserves'!$I$2:$I$1178,'2020'!$A20,'Registre de reserves'!$B$2:$B$1178,'2020'!R$2,Tabla1[ANY],'2020'!$Z$2)-SUMIFS('Registre de reserves'!$U$2:$U$1178,'Registre de reserves'!$T$2:$T$1178,"RESERVA",'Registre de reserves'!$I$2:$I$1178,'2020'!$A20,'Registre de reserves'!$B$2:$B$1178,'2020'!R$2,Tabla1[ANY],'2020'!$Z$2)</f>
        <v>0</v>
      </c>
      <c r="S20" s="21">
        <f t="shared" si="23"/>
        <v>0</v>
      </c>
      <c r="T20" s="20">
        <f>SUMIFS('Registre de reserves'!$P$2:$P$1178,'Registre de reserves'!$T$2:$T$1178,"NO",'Registre de reserves'!$I$2:$I$1178,'2020'!$A20,'Registre de reserves'!$B$2:$B$1178,'2020'!T$2,Tabla1[ANY],'2020'!$Z$2)+SUMIFS('Registre de reserves'!$P$2:$P$1178,'Registre de reserves'!$T$2:$T$1178,"RESERVA",'Registre de reserves'!$I$2:$I$1178,'2020'!$A20,'Registre de reserves'!$B$2:$B$1178,'2020'!T$2,Tabla1[ANY],'2020'!$Z$2)-SUMIFS('Registre de reserves'!$U$2:$U$1178,'Registre de reserves'!$T$2:$T$1178,"RESERVA",'Registre de reserves'!$I$2:$I$1178,'2020'!$A20,'Registre de reserves'!$B$2:$B$1178,'2020'!T$2,Tabla1[ANY],'2020'!$Z$2)</f>
        <v>0</v>
      </c>
      <c r="U20" s="21">
        <f t="shared" si="24"/>
        <v>0</v>
      </c>
      <c r="V20" s="20">
        <f>SUMIFS('Registre de reserves'!$P$2:$P$1178,'Registre de reserves'!$T$2:$T$1178,"NO",'Registre de reserves'!$I$2:$I$1178,'2020'!$A20,'Registre de reserves'!$B$2:$B$1178,'2020'!V$2,Tabla1[ANY],'2020'!$Z$2)+SUMIFS('Registre de reserves'!$P$2:$P$1178,'Registre de reserves'!$T$2:$T$1178,"RESERVA",'Registre de reserves'!$I$2:$I$1178,'2020'!$A20,'Registre de reserves'!$B$2:$B$1178,'2020'!V$2,Tabla1[ANY],'2020'!$Z$2)-SUMIFS('Registre de reserves'!$U$2:$U$1178,'Registre de reserves'!$T$2:$T$1178,"RESERVA",'Registre de reserves'!$I$2:$I$1178,'2020'!$A20,'Registre de reserves'!$B$2:$B$1178,'2020'!V$2,Tabla1[ANY],'2020'!$Z$2)</f>
        <v>0</v>
      </c>
      <c r="W20" s="21">
        <f t="shared" si="25"/>
        <v>0</v>
      </c>
      <c r="X20" s="20">
        <f>SUMIFS('Registre de reserves'!$P$2:$P$1178,'Registre de reserves'!$T$2:$T$1178,"NO",'Registre de reserves'!$I$2:$I$1178,'2020'!$A20,'Registre de reserves'!$B$2:$B$1178,'2020'!X$2,Tabla1[ANY],'2020'!$Z$2)+SUMIFS('Registre de reserves'!$P$2:$P$1178,'Registre de reserves'!$T$2:$T$1178,"RESERVA",'Registre de reserves'!$I$2:$I$1178,'2020'!$A20,'Registre de reserves'!$B$2:$B$1178,'2020'!X$2,Tabla1[ANY],'2020'!$Z$2)-SUMIFS('Registre de reserves'!$U$2:$U$1178,'Registre de reserves'!$T$2:$T$1178,"RESERVA",'Registre de reserves'!$I$2:$I$1178,'2020'!$A20,'Registre de reserves'!$B$2:$B$1178,'2020'!X$2,Tabla1[ANY],'2020'!$Z$2)</f>
        <v>0</v>
      </c>
      <c r="Y20" s="21">
        <f t="shared" si="26"/>
        <v>0</v>
      </c>
      <c r="Z20" s="20">
        <f t="shared" si="27"/>
        <v>0</v>
      </c>
      <c r="AA20" s="21">
        <f t="shared" si="28"/>
        <v>0</v>
      </c>
    </row>
    <row r="21" spans="1:27" hidden="1" outlineLevel="1" x14ac:dyDescent="0.2">
      <c r="A21" s="8" t="s">
        <v>73</v>
      </c>
      <c r="B21" s="20">
        <f>SUMIFS('Registre de reserves'!$P$2:$P$1178,'Registre de reserves'!$T$2:$T$1178,"NO",'Registre de reserves'!$I$2:$I$1178,'2020'!$A21,'Registre de reserves'!$B$2:$B$1178,'2020'!B$2,Tabla1[ANY],'2020'!$Z$2)+SUMIFS('Registre de reserves'!$P$2:$P$1178,'Registre de reserves'!$T$2:$T$1178,"RESERVA",'Registre de reserves'!$I$2:$I$1178,'2020'!$A21,'Registre de reserves'!$B$2:$B$1178,'2020'!B$2,Tabla1[ANY],'2020'!$Z$2)-SUMIFS('Registre de reserves'!$U$2:$U$1178,'Registre de reserves'!$T$2:$T$1178,"RESERVA",'Registre de reserves'!$I$2:$I$1178,'2020'!$A21,'Registre de reserves'!$B$2:$B$1178,'2020'!B$2,Tabla1[ANY],'2020'!$Z$2)</f>
        <v>0</v>
      </c>
      <c r="C21" s="21">
        <f t="shared" si="15"/>
        <v>0</v>
      </c>
      <c r="D21" s="20">
        <f>SUMIFS('Registre de reserves'!$P$2:$P$1178,'Registre de reserves'!$T$2:$T$1178,"NO",'Registre de reserves'!$I$2:$I$1178,'2020'!$A21,'Registre de reserves'!$B$2:$B$1178,'2020'!D$2,Tabla1[ANY],'2020'!$Z$2)+SUMIFS('Registre de reserves'!$P$2:$P$1178,'Registre de reserves'!$T$2:$T$1178,"RESERVA",'Registre de reserves'!$I$2:$I$1178,'2020'!$A21,'Registre de reserves'!$B$2:$B$1178,'2020'!D$2,Tabla1[ANY],'2020'!$Z$2)-SUMIFS('Registre de reserves'!$U$2:$U$1178,'Registre de reserves'!$T$2:$T$1178,"RESERVA",'Registre de reserves'!$I$2:$I$1178,'2020'!$A21,'Registre de reserves'!$B$2:$B$1178,'2020'!D$2,Tabla1[ANY],'2020'!$Z$2)</f>
        <v>0</v>
      </c>
      <c r="E21" s="21">
        <f t="shared" si="16"/>
        <v>0</v>
      </c>
      <c r="F21" s="20">
        <f>SUMIFS('Registre de reserves'!$P$2:$P$1178,'Registre de reserves'!$T$2:$T$1178,"NO",'Registre de reserves'!$I$2:$I$1178,'2020'!$A21,'Registre de reserves'!$B$2:$B$1178,'2020'!F$2,Tabla1[ANY],'2020'!$Z$2)+SUMIFS('Registre de reserves'!$P$2:$P$1178,'Registre de reserves'!$T$2:$T$1178,"RESERVA",'Registre de reserves'!$I$2:$I$1178,'2020'!$A21,'Registre de reserves'!$B$2:$B$1178,'2020'!F$2,Tabla1[ANY],'2020'!$Z$2)-SUMIFS('Registre de reserves'!$U$2:$U$1178,'Registre de reserves'!$T$2:$T$1178,"RESERVA",'Registre de reserves'!$I$2:$I$1178,'2020'!$A21,'Registre de reserves'!$B$2:$B$1178,'2020'!F$2,Tabla1[ANY],'2020'!$Z$2)</f>
        <v>0</v>
      </c>
      <c r="G21" s="21">
        <f t="shared" si="17"/>
        <v>0</v>
      </c>
      <c r="H21" s="20">
        <f>SUMIFS('Registre de reserves'!$P$2:$P$1178,'Registre de reserves'!$T$2:$T$1178,"NO",'Registre de reserves'!$I$2:$I$1178,'2020'!$A21,'Registre de reserves'!$B$2:$B$1178,'2020'!H$2,Tabla1[ANY],'2020'!$Z$2)+SUMIFS('Registre de reserves'!$P$2:$P$1178,'Registre de reserves'!$T$2:$T$1178,"RESERVA",'Registre de reserves'!$I$2:$I$1178,'2020'!$A21,'Registre de reserves'!$B$2:$B$1178,'2020'!H$2,Tabla1[ANY],'2020'!$Z$2)-SUMIFS('Registre de reserves'!$U$2:$U$1178,'Registre de reserves'!$T$2:$T$1178,"RESERVA",'Registre de reserves'!$I$2:$I$1178,'2020'!$A21,'Registre de reserves'!$B$2:$B$1178,'2020'!H$2,Tabla1[ANY],'2020'!$Z$2)</f>
        <v>0</v>
      </c>
      <c r="I21" s="21">
        <f t="shared" si="18"/>
        <v>0</v>
      </c>
      <c r="J21" s="20">
        <f>SUMIFS('Registre de reserves'!$P$2:$P$1178,'Registre de reserves'!$T$2:$T$1178,"NO",'Registre de reserves'!$I$2:$I$1178,'2020'!$A21,'Registre de reserves'!$B$2:$B$1178,'2020'!J$2,Tabla1[ANY],'2020'!$Z$2)+SUMIFS('Registre de reserves'!$P$2:$P$1178,'Registre de reserves'!$T$2:$T$1178,"RESERVA",'Registre de reserves'!$I$2:$I$1178,'2020'!$A21,'Registre de reserves'!$B$2:$B$1178,'2020'!J$2,Tabla1[ANY],'2020'!$Z$2)-SUMIFS('Registre de reserves'!$U$2:$U$1178,'Registre de reserves'!$T$2:$T$1178,"RESERVA",'Registre de reserves'!$I$2:$I$1178,'2020'!$A21,'Registre de reserves'!$B$2:$B$1178,'2020'!J$2,Tabla1[ANY],'2020'!$Z$2)</f>
        <v>0</v>
      </c>
      <c r="K21" s="21">
        <f t="shared" si="19"/>
        <v>0</v>
      </c>
      <c r="L21" s="20">
        <f>SUMIFS('Registre de reserves'!$P$2:$P$1178,'Registre de reserves'!$T$2:$T$1178,"NO",'Registre de reserves'!$I$2:$I$1178,'2020'!$A21,'Registre de reserves'!$B$2:$B$1178,'2020'!L$2,Tabla1[ANY],'2020'!$Z$2)+SUMIFS('Registre de reserves'!$P$2:$P$1178,'Registre de reserves'!$T$2:$T$1178,"RESERVA",'Registre de reserves'!$I$2:$I$1178,'2020'!$A21,'Registre de reserves'!$B$2:$B$1178,'2020'!L$2,Tabla1[ANY],'2020'!$Z$2)-SUMIFS('Registre de reserves'!$U$2:$U$1178,'Registre de reserves'!$T$2:$T$1178,"RESERVA",'Registre de reserves'!$I$2:$I$1178,'2020'!$A21,'Registre de reserves'!$B$2:$B$1178,'2020'!L$2,Tabla1[ANY],'2020'!$Z$2)</f>
        <v>0</v>
      </c>
      <c r="M21" s="21">
        <f t="shared" si="20"/>
        <v>0</v>
      </c>
      <c r="N21" s="20">
        <f>SUMIFS('Registre de reserves'!$P$2:$P$1178,'Registre de reserves'!$T$2:$T$1178,"NO",'Registre de reserves'!$I$2:$I$1178,'2020'!$A21,'Registre de reserves'!$B$2:$B$1178,'2020'!N$2,Tabla1[ANY],'2020'!$Z$2)+SUMIFS('Registre de reserves'!$P$2:$P$1178,'Registre de reserves'!$T$2:$T$1178,"RESERVA",'Registre de reserves'!$I$2:$I$1178,'2020'!$A21,'Registre de reserves'!$B$2:$B$1178,'2020'!N$2,Tabla1[ANY],'2020'!$Z$2)-SUMIFS('Registre de reserves'!$U$2:$U$1178,'Registre de reserves'!$T$2:$T$1178,"RESERVA",'Registre de reserves'!$I$2:$I$1178,'2020'!$A21,'Registre de reserves'!$B$2:$B$1178,'2020'!N$2,Tabla1[ANY],'2020'!$Z$2)</f>
        <v>0</v>
      </c>
      <c r="O21" s="21">
        <f t="shared" si="21"/>
        <v>0</v>
      </c>
      <c r="P21" s="20">
        <f>SUMIFS('Registre de reserves'!$P$2:$P$1178,'Registre de reserves'!$T$2:$T$1178,"NO",'Registre de reserves'!$I$2:$I$1178,'2020'!$A21,'Registre de reserves'!$B$2:$B$1178,'2020'!P$2,Tabla1[ANY],'2020'!$Z$2)+SUMIFS('Registre de reserves'!$P$2:$P$1178,'Registre de reserves'!$T$2:$T$1178,"RESERVA",'Registre de reserves'!$I$2:$I$1178,'2020'!$A21,'Registre de reserves'!$B$2:$B$1178,'2020'!P$2,Tabla1[ANY],'2020'!$Z$2)-SUMIFS('Registre de reserves'!$U$2:$U$1178,'Registre de reserves'!$T$2:$T$1178,"RESERVA",'Registre de reserves'!$I$2:$I$1178,'2020'!$A21,'Registre de reserves'!$B$2:$B$1178,'2020'!P$2,Tabla1[ANY],'2020'!$Z$2)</f>
        <v>0</v>
      </c>
      <c r="Q21" s="21">
        <f t="shared" si="22"/>
        <v>0</v>
      </c>
      <c r="R21" s="20">
        <f>SUMIFS('Registre de reserves'!$P$2:$P$1178,'Registre de reserves'!$T$2:$T$1178,"NO",'Registre de reserves'!$I$2:$I$1178,'2020'!$A21,'Registre de reserves'!$B$2:$B$1178,'2020'!R$2,Tabla1[ANY],'2020'!$Z$2)+SUMIFS('Registre de reserves'!$P$2:$P$1178,'Registre de reserves'!$T$2:$T$1178,"RESERVA",'Registre de reserves'!$I$2:$I$1178,'2020'!$A21,'Registre de reserves'!$B$2:$B$1178,'2020'!R$2,Tabla1[ANY],'2020'!$Z$2)-SUMIFS('Registre de reserves'!$U$2:$U$1178,'Registre de reserves'!$T$2:$T$1178,"RESERVA",'Registre de reserves'!$I$2:$I$1178,'2020'!$A21,'Registre de reserves'!$B$2:$B$1178,'2020'!R$2,Tabla1[ANY],'2020'!$Z$2)</f>
        <v>0</v>
      </c>
      <c r="S21" s="21">
        <f t="shared" si="23"/>
        <v>0</v>
      </c>
      <c r="T21" s="20">
        <f>SUMIFS('Registre de reserves'!$P$2:$P$1178,'Registre de reserves'!$T$2:$T$1178,"NO",'Registre de reserves'!$I$2:$I$1178,'2020'!$A21,'Registre de reserves'!$B$2:$B$1178,'2020'!T$2,Tabla1[ANY],'2020'!$Z$2)+SUMIFS('Registre de reserves'!$P$2:$P$1178,'Registre de reserves'!$T$2:$T$1178,"RESERVA",'Registre de reserves'!$I$2:$I$1178,'2020'!$A21,'Registre de reserves'!$B$2:$B$1178,'2020'!T$2,Tabla1[ANY],'2020'!$Z$2)-SUMIFS('Registre de reserves'!$U$2:$U$1178,'Registre de reserves'!$T$2:$T$1178,"RESERVA",'Registre de reserves'!$I$2:$I$1178,'2020'!$A21,'Registre de reserves'!$B$2:$B$1178,'2020'!T$2,Tabla1[ANY],'2020'!$Z$2)</f>
        <v>0</v>
      </c>
      <c r="U21" s="21">
        <f t="shared" si="24"/>
        <v>0</v>
      </c>
      <c r="V21" s="20">
        <f>SUMIFS('Registre de reserves'!$P$2:$P$1178,'Registre de reserves'!$T$2:$T$1178,"NO",'Registre de reserves'!$I$2:$I$1178,'2020'!$A21,'Registre de reserves'!$B$2:$B$1178,'2020'!V$2,Tabla1[ANY],'2020'!$Z$2)+SUMIFS('Registre de reserves'!$P$2:$P$1178,'Registre de reserves'!$T$2:$T$1178,"RESERVA",'Registre de reserves'!$I$2:$I$1178,'2020'!$A21,'Registre de reserves'!$B$2:$B$1178,'2020'!V$2,Tabla1[ANY],'2020'!$Z$2)-SUMIFS('Registre de reserves'!$U$2:$U$1178,'Registre de reserves'!$T$2:$T$1178,"RESERVA",'Registre de reserves'!$I$2:$I$1178,'2020'!$A21,'Registre de reserves'!$B$2:$B$1178,'2020'!V$2,Tabla1[ANY],'2020'!$Z$2)</f>
        <v>0</v>
      </c>
      <c r="W21" s="21">
        <f t="shared" si="25"/>
        <v>0</v>
      </c>
      <c r="X21" s="20">
        <f>SUMIFS('Registre de reserves'!$P$2:$P$1178,'Registre de reserves'!$T$2:$T$1178,"NO",'Registre de reserves'!$I$2:$I$1178,'2020'!$A21,'Registre de reserves'!$B$2:$B$1178,'2020'!X$2,Tabla1[ANY],'2020'!$Z$2)+SUMIFS('Registre de reserves'!$P$2:$P$1178,'Registre de reserves'!$T$2:$T$1178,"RESERVA",'Registre de reserves'!$I$2:$I$1178,'2020'!$A21,'Registre de reserves'!$B$2:$B$1178,'2020'!X$2,Tabla1[ANY],'2020'!$Z$2)-SUMIFS('Registre de reserves'!$U$2:$U$1178,'Registre de reserves'!$T$2:$T$1178,"RESERVA",'Registre de reserves'!$I$2:$I$1178,'2020'!$A21,'Registre de reserves'!$B$2:$B$1178,'2020'!X$2,Tabla1[ANY],'2020'!$Z$2)</f>
        <v>0</v>
      </c>
      <c r="Y21" s="21">
        <f t="shared" si="26"/>
        <v>0</v>
      </c>
      <c r="Z21" s="20">
        <f t="shared" si="27"/>
        <v>0</v>
      </c>
      <c r="AA21" s="21">
        <f t="shared" si="28"/>
        <v>0</v>
      </c>
    </row>
    <row r="22" spans="1:27" collapsed="1" x14ac:dyDescent="0.2">
      <c r="A22" s="33" t="s">
        <v>75</v>
      </c>
      <c r="B22" s="22">
        <f>SUM(B23:B30)</f>
        <v>50</v>
      </c>
      <c r="C22" s="19">
        <f>IF(B$3=0,0,B22/B$3)</f>
        <v>1.4124293785310734E-2</v>
      </c>
      <c r="D22" s="22">
        <f>SUM(D23:D30)</f>
        <v>120</v>
      </c>
      <c r="E22" s="19">
        <f>IF(D$3=0,0,D22/D$3)</f>
        <v>4.074702886247878E-2</v>
      </c>
      <c r="F22" s="22">
        <f>SUM(F23:F30)</f>
        <v>70</v>
      </c>
      <c r="G22" s="19">
        <f>IF(F$3=0,0,F22/F$3)</f>
        <v>9.3333333333333338E-2</v>
      </c>
      <c r="H22" s="22">
        <f>SUM(H23:H30)</f>
        <v>0</v>
      </c>
      <c r="I22" s="19">
        <f>IF(H$3=0,0,H22/H$3)</f>
        <v>0</v>
      </c>
      <c r="J22" s="22">
        <f>SUM(J23:J30)</f>
        <v>0</v>
      </c>
      <c r="K22" s="19">
        <f>IF(J$3=0,0,J22/J$3)</f>
        <v>0</v>
      </c>
      <c r="L22" s="22">
        <f>SUM(L23:L30)</f>
        <v>105</v>
      </c>
      <c r="M22" s="19">
        <f>IF(L$3=0,0,L22/L$3)</f>
        <v>5.6873578160545987E-2</v>
      </c>
      <c r="N22" s="22">
        <f>SUM(N23:N30)</f>
        <v>120</v>
      </c>
      <c r="O22" s="19">
        <f>IF(N$3=0,0,N22/N$3)</f>
        <v>2.9887920298879204E-2</v>
      </c>
      <c r="P22" s="22">
        <f>SUM(P23:P30)</f>
        <v>190</v>
      </c>
      <c r="Q22" s="19">
        <f>IF(P$3=0,0,P22/P$3)</f>
        <v>0.1254125412541254</v>
      </c>
      <c r="R22" s="22">
        <f>SUM(R23:R30)</f>
        <v>10</v>
      </c>
      <c r="S22" s="19">
        <f>IF(R$3=0,0,R22/R$3)</f>
        <v>8.3682708641913319E-3</v>
      </c>
      <c r="T22" s="22">
        <f>SUM(T23:T30)</f>
        <v>0</v>
      </c>
      <c r="U22" s="19">
        <f>IF(T$3=0,0,T22/T$3)</f>
        <v>0</v>
      </c>
      <c r="V22" s="22">
        <f>SUM(V23:V30)</f>
        <v>0</v>
      </c>
      <c r="W22" s="19">
        <f>IF(V$3=0,0,V22/V$3)</f>
        <v>0</v>
      </c>
      <c r="X22" s="22">
        <f>SUM(X23:X30)</f>
        <v>0</v>
      </c>
      <c r="Y22" s="19">
        <f>IF(X$3=0,0,X22/X$3)</f>
        <v>0</v>
      </c>
      <c r="Z22" s="22">
        <f>SUM(Z23:Z30)</f>
        <v>665</v>
      </c>
      <c r="AA22" s="19">
        <f>IF(Z$3=0,0,Z22/Z$3)</f>
        <v>3.1053188742215108E-2</v>
      </c>
    </row>
    <row r="23" spans="1:27" hidden="1" outlineLevel="1" x14ac:dyDescent="0.2">
      <c r="A23" s="8" t="s">
        <v>67</v>
      </c>
      <c r="B23" s="23">
        <f>SUMIFS('Registre de reserves'!$R$2:$R$1178,'Registre de reserves'!$T$2:$T$1178,"SI",'Registre de reserves'!$I$2:$I$1178,'2020'!$A23,'Registre de reserves'!$B$2:$B$1178,'2020'!B$2,Tabla1[ANY],'2020'!$Z$2)</f>
        <v>0</v>
      </c>
      <c r="C23" s="21">
        <f>IF(B$22=0,0,B23/B$22)</f>
        <v>0</v>
      </c>
      <c r="D23" s="23">
        <f>SUMIFS('Registre de reserves'!$R$2:$R$1178,'Registre de reserves'!$T$2:$T$1178,"SI",'Registre de reserves'!$I$2:$I$1178,'2020'!$A23,'Registre de reserves'!$B$2:$B$1178,'2020'!D$2,Tabla1[ANY],'2020'!$Z$2)</f>
        <v>0</v>
      </c>
      <c r="E23" s="21">
        <f>IF(D$22=0,0,D23/D$22)</f>
        <v>0</v>
      </c>
      <c r="F23" s="23">
        <f>SUMIFS('Registre de reserves'!$R$2:$R$1178,'Registre de reserves'!$T$2:$T$1178,"SI",'Registre de reserves'!$I$2:$I$1178,'2020'!$A23,'Registre de reserves'!$B$2:$B$1178,'2020'!F$2,Tabla1[ANY],'2020'!$Z$2)</f>
        <v>0</v>
      </c>
      <c r="G23" s="21">
        <f t="shared" ref="G23:G30" si="29">IF(F$22=0,0,F23/F$22)</f>
        <v>0</v>
      </c>
      <c r="H23" s="23">
        <f>SUMIFS('Registre de reserves'!$R$2:$R$1178,'Registre de reserves'!$T$2:$T$1178,"SI",'Registre de reserves'!$I$2:$I$1178,'2020'!$A23,'Registre de reserves'!$B$2:$B$1178,'2020'!H$2,Tabla1[ANY],'2020'!$Z$2)</f>
        <v>0</v>
      </c>
      <c r="I23" s="21">
        <f t="shared" ref="I23:I30" si="30">IF(H$22=0,0,H23/H$22)</f>
        <v>0</v>
      </c>
      <c r="J23" s="23">
        <f>SUMIFS('Registre de reserves'!$R$2:$R$1178,'Registre de reserves'!$T$2:$T$1178,"SI",'Registre de reserves'!$I$2:$I$1178,'2020'!$A23,'Registre de reserves'!$B$2:$B$1178,'2020'!J$2,Tabla1[ANY],'2020'!$Z$2)</f>
        <v>0</v>
      </c>
      <c r="K23" s="21">
        <f t="shared" ref="K23:K30" si="31">IF(J$22=0,0,J23/J$22)</f>
        <v>0</v>
      </c>
      <c r="L23" s="23">
        <f>SUMIFS('Registre de reserves'!$R$2:$R$1178,'Registre de reserves'!$T$2:$T$1178,"SI",'Registre de reserves'!$I$2:$I$1178,'2020'!$A23,'Registre de reserves'!$B$2:$B$1178,'2020'!L$2,Tabla1[ANY],'2020'!$Z$2)</f>
        <v>0</v>
      </c>
      <c r="M23" s="21">
        <f t="shared" ref="M23:M30" si="32">IF(L$22=0,0,L23/L$22)</f>
        <v>0</v>
      </c>
      <c r="N23" s="23">
        <f>SUMIFS('Registre de reserves'!$R$2:$R$1178,'Registre de reserves'!$T$2:$T$1178,"SI",'Registre de reserves'!$I$2:$I$1178,'2020'!$A23,'Registre de reserves'!$B$2:$B$1178,'2020'!N$2,Tabla1[ANY],'2020'!$Z$2)</f>
        <v>5</v>
      </c>
      <c r="O23" s="21">
        <f t="shared" ref="O23:O30" si="33">IF(N$22=0,0,N23/N$22)</f>
        <v>4.1666666666666664E-2</v>
      </c>
      <c r="P23" s="23">
        <f>SUMIFS('Registre de reserves'!$R$2:$R$1178,'Registre de reserves'!$T$2:$T$1178,"SI",'Registre de reserves'!$I$2:$I$1178,'2020'!$A23,'Registre de reserves'!$B$2:$B$1178,'2020'!P$2,Tabla1[ANY],'2020'!$Z$2)</f>
        <v>0</v>
      </c>
      <c r="Q23" s="21">
        <f t="shared" ref="Q23:Q30" si="34">IF(P$22=0,0,P23/P$22)</f>
        <v>0</v>
      </c>
      <c r="R23" s="23">
        <f>SUMIFS('Registre de reserves'!$R$2:$R$1178,'Registre de reserves'!$T$2:$T$1178,"SI",'Registre de reserves'!$I$2:$I$1178,'2020'!$A23,'Registre de reserves'!$B$2:$B$1178,'2020'!R$2,Tabla1[ANY],'2020'!$Z$2)</f>
        <v>0</v>
      </c>
      <c r="S23" s="21">
        <f t="shared" ref="S23:S30" si="35">IF(R$22=0,0,R23/R$22)</f>
        <v>0</v>
      </c>
      <c r="T23" s="23">
        <f>SUMIFS('Registre de reserves'!$R$2:$R$1178,'Registre de reserves'!$T$2:$T$1178,"SI",'Registre de reserves'!$I$2:$I$1178,'2020'!$A23,'Registre de reserves'!$B$2:$B$1178,'2020'!T$2,Tabla1[ANY],'2020'!$Z$2)</f>
        <v>0</v>
      </c>
      <c r="U23" s="21">
        <f t="shared" ref="U23:U30" si="36">IF(T$22=0,0,T23/T$22)</f>
        <v>0</v>
      </c>
      <c r="V23" s="23">
        <f>SUMIFS('Registre de reserves'!$R$2:$R$1178,'Registre de reserves'!$T$2:$T$1178,"SI",'Registre de reserves'!$I$2:$I$1178,'2020'!$A23,'Registre de reserves'!$B$2:$B$1178,'2020'!V$2,Tabla1[ANY],'2020'!$Z$2)</f>
        <v>0</v>
      </c>
      <c r="W23" s="21">
        <f t="shared" ref="W23:W30" si="37">IF(V$22=0,0,V23/V$22)</f>
        <v>0</v>
      </c>
      <c r="X23" s="23">
        <f>SUMIFS('Registre de reserves'!$R$2:$R$1178,'Registre de reserves'!$T$2:$T$1178,"SI",'Registre de reserves'!$I$2:$I$1178,'2020'!$A23,'Registre de reserves'!$B$2:$B$1178,'2020'!X$2,Tabla1[ANY],'2020'!$Z$2)</f>
        <v>0</v>
      </c>
      <c r="Y23" s="21">
        <f t="shared" ref="Y23:Y30" si="38">IF(X$22=0,0,X23/X$22)</f>
        <v>0</v>
      </c>
      <c r="Z23" s="20">
        <f>B23+D23+F23+H23+J23+L23+N23+P23+R23+T23+V23+X23</f>
        <v>5</v>
      </c>
      <c r="AA23" s="21">
        <f>IF(Z$22=0,0,Z23/Z$22)</f>
        <v>7.5187969924812026E-3</v>
      </c>
    </row>
    <row r="24" spans="1:27" hidden="1" outlineLevel="1" x14ac:dyDescent="0.2">
      <c r="A24" s="8" t="s">
        <v>68</v>
      </c>
      <c r="B24" s="23">
        <f>SUMIFS('Registre de reserves'!$R$2:$R$1178,'Registre de reserves'!$T$2:$T$1178,"SI",'Registre de reserves'!$I$2:$I$1178,'2020'!$A24,'Registre de reserves'!$B$2:$B$1178,'2020'!B$2,Tabla1[ANY],'2020'!$Z$2)</f>
        <v>0</v>
      </c>
      <c r="C24" s="21">
        <f t="shared" ref="C24:E30" si="39">IF(B$22=0,0,B24/B$22)</f>
        <v>0</v>
      </c>
      <c r="D24" s="23">
        <f>SUMIFS('Registre de reserves'!$R$2:$R$1178,'Registre de reserves'!$T$2:$T$1178,"SI",'Registre de reserves'!$I$2:$I$1178,'2020'!$A24,'Registre de reserves'!$B$2:$B$1178,'2020'!D$2,Tabla1[ANY],'2020'!$Z$2)</f>
        <v>10</v>
      </c>
      <c r="E24" s="21">
        <f t="shared" si="39"/>
        <v>8.3333333333333329E-2</v>
      </c>
      <c r="F24" s="23">
        <f>SUMIFS('Registre de reserves'!$R$2:$R$1178,'Registre de reserves'!$T$2:$T$1178,"SI",'Registre de reserves'!$I$2:$I$1178,'2020'!$A24,'Registre de reserves'!$B$2:$B$1178,'2020'!F$2,Tabla1[ANY],'2020'!$Z$2)</f>
        <v>20</v>
      </c>
      <c r="G24" s="21">
        <f t="shared" si="29"/>
        <v>0.2857142857142857</v>
      </c>
      <c r="H24" s="23">
        <f>SUMIFS('Registre de reserves'!$R$2:$R$1178,'Registre de reserves'!$T$2:$T$1178,"SI",'Registre de reserves'!$I$2:$I$1178,'2020'!$A24,'Registre de reserves'!$B$2:$B$1178,'2020'!H$2,Tabla1[ANY],'2020'!$Z$2)</f>
        <v>0</v>
      </c>
      <c r="I24" s="21">
        <f t="shared" si="30"/>
        <v>0</v>
      </c>
      <c r="J24" s="23">
        <f>SUMIFS('Registre de reserves'!$R$2:$R$1178,'Registre de reserves'!$T$2:$T$1178,"SI",'Registre de reserves'!$I$2:$I$1178,'2020'!$A24,'Registre de reserves'!$B$2:$B$1178,'2020'!J$2,Tabla1[ANY],'2020'!$Z$2)</f>
        <v>0</v>
      </c>
      <c r="K24" s="21">
        <f t="shared" si="31"/>
        <v>0</v>
      </c>
      <c r="L24" s="23">
        <f>SUMIFS('Registre de reserves'!$R$2:$R$1178,'Registre de reserves'!$T$2:$T$1178,"SI",'Registre de reserves'!$I$2:$I$1178,'2020'!$A24,'Registre de reserves'!$B$2:$B$1178,'2020'!L$2,Tabla1[ANY],'2020'!$Z$2)</f>
        <v>0</v>
      </c>
      <c r="M24" s="21">
        <f t="shared" si="32"/>
        <v>0</v>
      </c>
      <c r="N24" s="23">
        <f>SUMIFS('Registre de reserves'!$R$2:$R$1178,'Registre de reserves'!$T$2:$T$1178,"SI",'Registre de reserves'!$I$2:$I$1178,'2020'!$A24,'Registre de reserves'!$B$2:$B$1178,'2020'!N$2,Tabla1[ANY],'2020'!$Z$2)</f>
        <v>5</v>
      </c>
      <c r="O24" s="21">
        <f t="shared" si="33"/>
        <v>4.1666666666666664E-2</v>
      </c>
      <c r="P24" s="23">
        <f>SUMIFS('Registre de reserves'!$R$2:$R$1178,'Registre de reserves'!$T$2:$T$1178,"SI",'Registre de reserves'!$I$2:$I$1178,'2020'!$A24,'Registre de reserves'!$B$2:$B$1178,'2020'!P$2,Tabla1[ANY],'2020'!$Z$2)</f>
        <v>25</v>
      </c>
      <c r="Q24" s="21">
        <f t="shared" si="34"/>
        <v>0.13157894736842105</v>
      </c>
      <c r="R24" s="23">
        <f>SUMIFS('Registre de reserves'!$R$2:$R$1178,'Registre de reserves'!$T$2:$T$1178,"SI",'Registre de reserves'!$I$2:$I$1178,'2020'!$A24,'Registre de reserves'!$B$2:$B$1178,'2020'!R$2,Tabla1[ANY],'2020'!$Z$2)</f>
        <v>0</v>
      </c>
      <c r="S24" s="21">
        <f t="shared" si="35"/>
        <v>0</v>
      </c>
      <c r="T24" s="23">
        <f>SUMIFS('Registre de reserves'!$R$2:$R$1178,'Registre de reserves'!$T$2:$T$1178,"SI",'Registre de reserves'!$I$2:$I$1178,'2020'!$A24,'Registre de reserves'!$B$2:$B$1178,'2020'!T$2,Tabla1[ANY],'2020'!$Z$2)</f>
        <v>0</v>
      </c>
      <c r="U24" s="21">
        <f t="shared" si="36"/>
        <v>0</v>
      </c>
      <c r="V24" s="23">
        <f>SUMIFS('Registre de reserves'!$R$2:$R$1178,'Registre de reserves'!$T$2:$T$1178,"SI",'Registre de reserves'!$I$2:$I$1178,'2020'!$A24,'Registre de reserves'!$B$2:$B$1178,'2020'!V$2,Tabla1[ANY],'2020'!$Z$2)</f>
        <v>0</v>
      </c>
      <c r="W24" s="21">
        <f t="shared" si="37"/>
        <v>0</v>
      </c>
      <c r="X24" s="23">
        <f>SUMIFS('Registre de reserves'!$R$2:$R$1178,'Registre de reserves'!$T$2:$T$1178,"SI",'Registre de reserves'!$I$2:$I$1178,'2020'!$A24,'Registre de reserves'!$B$2:$B$1178,'2020'!X$2,Tabla1[ANY],'2020'!$Z$2)</f>
        <v>0</v>
      </c>
      <c r="Y24" s="21">
        <f t="shared" si="38"/>
        <v>0</v>
      </c>
      <c r="Z24" s="20">
        <f t="shared" ref="Z24:Z30" si="40">B24+D24+F24+H24+J24+L24+N24+P24+R24+T24+V24+X24</f>
        <v>60</v>
      </c>
      <c r="AA24" s="21">
        <f t="shared" ref="AA24:AA30" si="41">IF(Z$22=0,0,Z24/Z$22)</f>
        <v>9.0225563909774431E-2</v>
      </c>
    </row>
    <row r="25" spans="1:27" hidden="1" outlineLevel="1" x14ac:dyDescent="0.2">
      <c r="A25" s="8" t="s">
        <v>4</v>
      </c>
      <c r="B25" s="23">
        <f>SUMIFS('Registre de reserves'!$R$2:$R$1178,'Registre de reserves'!$T$2:$T$1178,"SI",'Registre de reserves'!$I$2:$I$1178,'2020'!$A25,'Registre de reserves'!$B$2:$B$1178,'2020'!B$2,Tabla1[ANY],'2020'!$Z$2)</f>
        <v>0</v>
      </c>
      <c r="C25" s="21">
        <f t="shared" si="39"/>
        <v>0</v>
      </c>
      <c r="D25" s="23">
        <f>SUMIFS('Registre de reserves'!$R$2:$R$1178,'Registre de reserves'!$T$2:$T$1178,"SI",'Registre de reserves'!$I$2:$I$1178,'2020'!$A25,'Registre de reserves'!$B$2:$B$1178,'2020'!D$2,Tabla1[ANY],'2020'!$Z$2)</f>
        <v>0</v>
      </c>
      <c r="E25" s="21">
        <f t="shared" si="39"/>
        <v>0</v>
      </c>
      <c r="F25" s="23">
        <f>SUMIFS('Registre de reserves'!$R$2:$R$1178,'Registre de reserves'!$T$2:$T$1178,"SI",'Registre de reserves'!$I$2:$I$1178,'2020'!$A25,'Registre de reserves'!$B$2:$B$1178,'2020'!F$2,Tabla1[ANY],'2020'!$Z$2)</f>
        <v>0</v>
      </c>
      <c r="G25" s="21">
        <f t="shared" si="29"/>
        <v>0</v>
      </c>
      <c r="H25" s="23">
        <f>SUMIFS('Registre de reserves'!$R$2:$R$1178,'Registre de reserves'!$T$2:$T$1178,"SI",'Registre de reserves'!$I$2:$I$1178,'2020'!$A25,'Registre de reserves'!$B$2:$B$1178,'2020'!H$2,Tabla1[ANY],'2020'!$Z$2)</f>
        <v>0</v>
      </c>
      <c r="I25" s="21">
        <f t="shared" si="30"/>
        <v>0</v>
      </c>
      <c r="J25" s="23">
        <f>SUMIFS('Registre de reserves'!$R$2:$R$1178,'Registre de reserves'!$T$2:$T$1178,"SI",'Registre de reserves'!$I$2:$I$1178,'2020'!$A25,'Registre de reserves'!$B$2:$B$1178,'2020'!J$2,Tabla1[ANY],'2020'!$Z$2)</f>
        <v>0</v>
      </c>
      <c r="K25" s="21">
        <f t="shared" si="31"/>
        <v>0</v>
      </c>
      <c r="L25" s="23">
        <f>SUMIFS('Registre de reserves'!$R$2:$R$1178,'Registre de reserves'!$T$2:$T$1178,"SI",'Registre de reserves'!$I$2:$I$1178,'2020'!$A25,'Registre de reserves'!$B$2:$B$1178,'2020'!L$2,Tabla1[ANY],'2020'!$Z$2)</f>
        <v>0</v>
      </c>
      <c r="M25" s="21">
        <f t="shared" si="32"/>
        <v>0</v>
      </c>
      <c r="N25" s="23">
        <f>SUMIFS('Registre de reserves'!$R$2:$R$1178,'Registre de reserves'!$T$2:$T$1178,"SI",'Registre de reserves'!$I$2:$I$1178,'2020'!$A25,'Registre de reserves'!$B$2:$B$1178,'2020'!N$2,Tabla1[ANY],'2020'!$Z$2)</f>
        <v>0</v>
      </c>
      <c r="O25" s="21">
        <f t="shared" si="33"/>
        <v>0</v>
      </c>
      <c r="P25" s="23">
        <f>SUMIFS('Registre de reserves'!$R$2:$R$1178,'Registre de reserves'!$T$2:$T$1178,"SI",'Registre de reserves'!$I$2:$I$1178,'2020'!$A25,'Registre de reserves'!$B$2:$B$1178,'2020'!P$2,Tabla1[ANY],'2020'!$Z$2)</f>
        <v>0</v>
      </c>
      <c r="Q25" s="21">
        <f t="shared" si="34"/>
        <v>0</v>
      </c>
      <c r="R25" s="23">
        <f>SUMIFS('Registre de reserves'!$R$2:$R$1178,'Registre de reserves'!$T$2:$T$1178,"SI",'Registre de reserves'!$I$2:$I$1178,'2020'!$A25,'Registre de reserves'!$B$2:$B$1178,'2020'!R$2,Tabla1[ANY],'2020'!$Z$2)</f>
        <v>0</v>
      </c>
      <c r="S25" s="21">
        <f t="shared" si="35"/>
        <v>0</v>
      </c>
      <c r="T25" s="23">
        <f>SUMIFS('Registre de reserves'!$R$2:$R$1178,'Registre de reserves'!$T$2:$T$1178,"SI",'Registre de reserves'!$I$2:$I$1178,'2020'!$A25,'Registre de reserves'!$B$2:$B$1178,'2020'!T$2,Tabla1[ANY],'2020'!$Z$2)</f>
        <v>0</v>
      </c>
      <c r="U25" s="21">
        <f t="shared" si="36"/>
        <v>0</v>
      </c>
      <c r="V25" s="23">
        <f>SUMIFS('Registre de reserves'!$R$2:$R$1178,'Registre de reserves'!$T$2:$T$1178,"SI",'Registre de reserves'!$I$2:$I$1178,'2020'!$A25,'Registre de reserves'!$B$2:$B$1178,'2020'!V$2,Tabla1[ANY],'2020'!$Z$2)</f>
        <v>0</v>
      </c>
      <c r="W25" s="21">
        <f t="shared" si="37"/>
        <v>0</v>
      </c>
      <c r="X25" s="23">
        <f>SUMIFS('Registre de reserves'!$R$2:$R$1178,'Registre de reserves'!$T$2:$T$1178,"SI",'Registre de reserves'!$I$2:$I$1178,'2020'!$A25,'Registre de reserves'!$B$2:$B$1178,'2020'!X$2,Tabla1[ANY],'2020'!$Z$2)</f>
        <v>0</v>
      </c>
      <c r="Y25" s="21">
        <f t="shared" si="38"/>
        <v>0</v>
      </c>
      <c r="Z25" s="20">
        <f t="shared" si="40"/>
        <v>0</v>
      </c>
      <c r="AA25" s="21">
        <f t="shared" si="41"/>
        <v>0</v>
      </c>
    </row>
    <row r="26" spans="1:27" hidden="1" outlineLevel="1" x14ac:dyDescent="0.2">
      <c r="A26" s="8" t="s">
        <v>71</v>
      </c>
      <c r="B26" s="23">
        <f>SUMIFS('Registre de reserves'!$R$2:$R$1178,'Registre de reserves'!$T$2:$T$1178,"SI",'Registre de reserves'!$I$2:$I$1178,'2020'!$A26,'Registre de reserves'!$B$2:$B$1178,'2020'!B$2,Tabla1[ANY],'2020'!$Z$2)</f>
        <v>0</v>
      </c>
      <c r="C26" s="21">
        <f t="shared" si="39"/>
        <v>0</v>
      </c>
      <c r="D26" s="23">
        <f>SUMIFS('Registre de reserves'!$R$2:$R$1178,'Registre de reserves'!$T$2:$T$1178,"SI",'Registre de reserves'!$I$2:$I$1178,'2020'!$A26,'Registre de reserves'!$B$2:$B$1178,'2020'!D$2,Tabla1[ANY],'2020'!$Z$2)</f>
        <v>0</v>
      </c>
      <c r="E26" s="21">
        <f t="shared" si="39"/>
        <v>0</v>
      </c>
      <c r="F26" s="23">
        <f>SUMIFS('Registre de reserves'!$R$2:$R$1178,'Registre de reserves'!$T$2:$T$1178,"SI",'Registre de reserves'!$I$2:$I$1178,'2020'!$A26,'Registre de reserves'!$B$2:$B$1178,'2020'!F$2,Tabla1[ANY],'2020'!$Z$2)</f>
        <v>0</v>
      </c>
      <c r="G26" s="21">
        <f t="shared" si="29"/>
        <v>0</v>
      </c>
      <c r="H26" s="23">
        <f>SUMIFS('Registre de reserves'!$R$2:$R$1178,'Registre de reserves'!$T$2:$T$1178,"SI",'Registre de reserves'!$I$2:$I$1178,'2020'!$A26,'Registre de reserves'!$B$2:$B$1178,'2020'!H$2,Tabla1[ANY],'2020'!$Z$2)</f>
        <v>0</v>
      </c>
      <c r="I26" s="21">
        <f t="shared" si="30"/>
        <v>0</v>
      </c>
      <c r="J26" s="23">
        <f>SUMIFS('Registre de reserves'!$R$2:$R$1178,'Registre de reserves'!$T$2:$T$1178,"SI",'Registre de reserves'!$I$2:$I$1178,'2020'!$A26,'Registre de reserves'!$B$2:$B$1178,'2020'!J$2,Tabla1[ANY],'2020'!$Z$2)</f>
        <v>0</v>
      </c>
      <c r="K26" s="21">
        <f t="shared" si="31"/>
        <v>0</v>
      </c>
      <c r="L26" s="23">
        <f>SUMIFS('Registre de reserves'!$R$2:$R$1178,'Registre de reserves'!$T$2:$T$1178,"SI",'Registre de reserves'!$I$2:$I$1178,'2020'!$A26,'Registre de reserves'!$B$2:$B$1178,'2020'!L$2,Tabla1[ANY],'2020'!$Z$2)</f>
        <v>0</v>
      </c>
      <c r="M26" s="21">
        <f t="shared" si="32"/>
        <v>0</v>
      </c>
      <c r="N26" s="23">
        <f>SUMIFS('Registre de reserves'!$R$2:$R$1178,'Registre de reserves'!$T$2:$T$1178,"SI",'Registre de reserves'!$I$2:$I$1178,'2020'!$A26,'Registre de reserves'!$B$2:$B$1178,'2020'!N$2,Tabla1[ANY],'2020'!$Z$2)</f>
        <v>0</v>
      </c>
      <c r="O26" s="21">
        <f t="shared" si="33"/>
        <v>0</v>
      </c>
      <c r="P26" s="23">
        <f>SUMIFS('Registre de reserves'!$R$2:$R$1178,'Registre de reserves'!$T$2:$T$1178,"SI",'Registre de reserves'!$I$2:$I$1178,'2020'!$A26,'Registre de reserves'!$B$2:$B$1178,'2020'!P$2,Tabla1[ANY],'2020'!$Z$2)</f>
        <v>0</v>
      </c>
      <c r="Q26" s="21">
        <f t="shared" si="34"/>
        <v>0</v>
      </c>
      <c r="R26" s="23">
        <f>SUMIFS('Registre de reserves'!$R$2:$R$1178,'Registre de reserves'!$T$2:$T$1178,"SI",'Registre de reserves'!$I$2:$I$1178,'2020'!$A26,'Registre de reserves'!$B$2:$B$1178,'2020'!R$2,Tabla1[ANY],'2020'!$Z$2)</f>
        <v>0</v>
      </c>
      <c r="S26" s="21">
        <f t="shared" si="35"/>
        <v>0</v>
      </c>
      <c r="T26" s="23">
        <f>SUMIFS('Registre de reserves'!$R$2:$R$1178,'Registre de reserves'!$T$2:$T$1178,"SI",'Registre de reserves'!$I$2:$I$1178,'2020'!$A26,'Registre de reserves'!$B$2:$B$1178,'2020'!T$2,Tabla1[ANY],'2020'!$Z$2)</f>
        <v>0</v>
      </c>
      <c r="U26" s="21">
        <f t="shared" si="36"/>
        <v>0</v>
      </c>
      <c r="V26" s="23">
        <f>SUMIFS('Registre de reserves'!$R$2:$R$1178,'Registre de reserves'!$T$2:$T$1178,"SI",'Registre de reserves'!$I$2:$I$1178,'2020'!$A26,'Registre de reserves'!$B$2:$B$1178,'2020'!V$2,Tabla1[ANY],'2020'!$Z$2)</f>
        <v>0</v>
      </c>
      <c r="W26" s="21">
        <f t="shared" si="37"/>
        <v>0</v>
      </c>
      <c r="X26" s="23">
        <f>SUMIFS('Registre de reserves'!$R$2:$R$1178,'Registre de reserves'!$T$2:$T$1178,"SI",'Registre de reserves'!$I$2:$I$1178,'2020'!$A26,'Registre de reserves'!$B$2:$B$1178,'2020'!X$2,Tabla1[ANY],'2020'!$Z$2)</f>
        <v>0</v>
      </c>
      <c r="Y26" s="21">
        <f t="shared" si="38"/>
        <v>0</v>
      </c>
      <c r="Z26" s="20">
        <f t="shared" si="40"/>
        <v>0</v>
      </c>
      <c r="AA26" s="21">
        <f t="shared" si="41"/>
        <v>0</v>
      </c>
    </row>
    <row r="27" spans="1:27" hidden="1" outlineLevel="1" x14ac:dyDescent="0.2">
      <c r="A27" s="8" t="s">
        <v>72</v>
      </c>
      <c r="B27" s="23">
        <f>SUMIFS('Registre de reserves'!$R$2:$R$1178,'Registre de reserves'!$T$2:$T$1178,"SI",'Registre de reserves'!$I$2:$I$1178,'2020'!$A27,'Registre de reserves'!$B$2:$B$1178,'2020'!B$2,Tabla1[ANY],'2020'!$Z$2)</f>
        <v>0</v>
      </c>
      <c r="C27" s="21">
        <f t="shared" si="39"/>
        <v>0</v>
      </c>
      <c r="D27" s="23">
        <f>SUMIFS('Registre de reserves'!$R$2:$R$1178,'Registre de reserves'!$T$2:$T$1178,"SI",'Registre de reserves'!$I$2:$I$1178,'2020'!$A27,'Registre de reserves'!$B$2:$B$1178,'2020'!D$2,Tabla1[ANY],'2020'!$Z$2)</f>
        <v>0</v>
      </c>
      <c r="E27" s="21">
        <f t="shared" si="39"/>
        <v>0</v>
      </c>
      <c r="F27" s="23">
        <f>SUMIFS('Registre de reserves'!$R$2:$R$1178,'Registre de reserves'!$T$2:$T$1178,"SI",'Registre de reserves'!$I$2:$I$1178,'2020'!$A27,'Registre de reserves'!$B$2:$B$1178,'2020'!F$2,Tabla1[ANY],'2020'!$Z$2)</f>
        <v>0</v>
      </c>
      <c r="G27" s="21">
        <f t="shared" si="29"/>
        <v>0</v>
      </c>
      <c r="H27" s="23">
        <f>SUMIFS('Registre de reserves'!$R$2:$R$1178,'Registre de reserves'!$T$2:$T$1178,"SI",'Registre de reserves'!$I$2:$I$1178,'2020'!$A27,'Registre de reserves'!$B$2:$B$1178,'2020'!H$2,Tabla1[ANY],'2020'!$Z$2)</f>
        <v>0</v>
      </c>
      <c r="I27" s="21">
        <f t="shared" si="30"/>
        <v>0</v>
      </c>
      <c r="J27" s="23">
        <f>SUMIFS('Registre de reserves'!$R$2:$R$1178,'Registre de reserves'!$T$2:$T$1178,"SI",'Registre de reserves'!$I$2:$I$1178,'2020'!$A27,'Registre de reserves'!$B$2:$B$1178,'2020'!J$2,Tabla1[ANY],'2020'!$Z$2)</f>
        <v>0</v>
      </c>
      <c r="K27" s="21">
        <f t="shared" si="31"/>
        <v>0</v>
      </c>
      <c r="L27" s="23">
        <f>SUMIFS('Registre de reserves'!$R$2:$R$1178,'Registre de reserves'!$T$2:$T$1178,"SI",'Registre de reserves'!$I$2:$I$1178,'2020'!$A27,'Registre de reserves'!$B$2:$B$1178,'2020'!L$2,Tabla1[ANY],'2020'!$Z$2)</f>
        <v>0</v>
      </c>
      <c r="M27" s="21">
        <f t="shared" si="32"/>
        <v>0</v>
      </c>
      <c r="N27" s="23">
        <f>SUMIFS('Registre de reserves'!$R$2:$R$1178,'Registre de reserves'!$T$2:$T$1178,"SI",'Registre de reserves'!$I$2:$I$1178,'2020'!$A27,'Registre de reserves'!$B$2:$B$1178,'2020'!N$2,Tabla1[ANY],'2020'!$Z$2)</f>
        <v>0</v>
      </c>
      <c r="O27" s="21">
        <f t="shared" si="33"/>
        <v>0</v>
      </c>
      <c r="P27" s="23">
        <f>SUMIFS('Registre de reserves'!$R$2:$R$1178,'Registre de reserves'!$T$2:$T$1178,"SI",'Registre de reserves'!$I$2:$I$1178,'2020'!$A27,'Registre de reserves'!$B$2:$B$1178,'2020'!P$2,Tabla1[ANY],'2020'!$Z$2)</f>
        <v>0</v>
      </c>
      <c r="Q27" s="21">
        <f t="shared" si="34"/>
        <v>0</v>
      </c>
      <c r="R27" s="23">
        <f>SUMIFS('Registre de reserves'!$R$2:$R$1178,'Registre de reserves'!$T$2:$T$1178,"SI",'Registre de reserves'!$I$2:$I$1178,'2020'!$A27,'Registre de reserves'!$B$2:$B$1178,'2020'!R$2,Tabla1[ANY],'2020'!$Z$2)</f>
        <v>0</v>
      </c>
      <c r="S27" s="21">
        <f t="shared" si="35"/>
        <v>0</v>
      </c>
      <c r="T27" s="23">
        <f>SUMIFS('Registre de reserves'!$R$2:$R$1178,'Registre de reserves'!$T$2:$T$1178,"SI",'Registre de reserves'!$I$2:$I$1178,'2020'!$A27,'Registre de reserves'!$B$2:$B$1178,'2020'!T$2,Tabla1[ANY],'2020'!$Z$2)</f>
        <v>0</v>
      </c>
      <c r="U27" s="21">
        <f t="shared" si="36"/>
        <v>0</v>
      </c>
      <c r="V27" s="23">
        <f>SUMIFS('Registre de reserves'!$R$2:$R$1178,'Registre de reserves'!$T$2:$T$1178,"SI",'Registre de reserves'!$I$2:$I$1178,'2020'!$A27,'Registre de reserves'!$B$2:$B$1178,'2020'!V$2,Tabla1[ANY],'2020'!$Z$2)</f>
        <v>0</v>
      </c>
      <c r="W27" s="21">
        <f t="shared" si="37"/>
        <v>0</v>
      </c>
      <c r="X27" s="23">
        <f>SUMIFS('Registre de reserves'!$R$2:$R$1178,'Registre de reserves'!$T$2:$T$1178,"SI",'Registre de reserves'!$I$2:$I$1178,'2020'!$A27,'Registre de reserves'!$B$2:$B$1178,'2020'!X$2,Tabla1[ANY],'2020'!$Z$2)</f>
        <v>0</v>
      </c>
      <c r="Y27" s="21">
        <f t="shared" si="38"/>
        <v>0</v>
      </c>
      <c r="Z27" s="20">
        <f t="shared" si="40"/>
        <v>0</v>
      </c>
      <c r="AA27" s="21">
        <f t="shared" si="41"/>
        <v>0</v>
      </c>
    </row>
    <row r="28" spans="1:27" hidden="1" outlineLevel="1" x14ac:dyDescent="0.2">
      <c r="A28" s="8" t="s">
        <v>69</v>
      </c>
      <c r="B28" s="23">
        <f>SUMIFS('Registre de reserves'!$R$2:$R$1178,'Registre de reserves'!$T$2:$T$1178,"SI",'Registre de reserves'!$I$2:$I$1178,'2020'!$A28,'Registre de reserves'!$B$2:$B$1178,'2020'!B$2,Tabla1[ANY],'2020'!$Z$2)</f>
        <v>50</v>
      </c>
      <c r="C28" s="21">
        <f t="shared" si="39"/>
        <v>1</v>
      </c>
      <c r="D28" s="23">
        <f>SUMIFS('Registre de reserves'!$R$2:$R$1178,'Registre de reserves'!$T$2:$T$1178,"SI",'Registre de reserves'!$I$2:$I$1178,'2020'!$A28,'Registre de reserves'!$B$2:$B$1178,'2020'!D$2,Tabla1[ANY],'2020'!$Z$2)</f>
        <v>110</v>
      </c>
      <c r="E28" s="21">
        <f t="shared" si="39"/>
        <v>0.91666666666666663</v>
      </c>
      <c r="F28" s="23">
        <f>SUMIFS('Registre de reserves'!$R$2:$R$1178,'Registre de reserves'!$T$2:$T$1178,"SI",'Registre de reserves'!$I$2:$I$1178,'2020'!$A28,'Registre de reserves'!$B$2:$B$1178,'2020'!F$2,Tabla1[ANY],'2020'!$Z$2)</f>
        <v>50</v>
      </c>
      <c r="G28" s="21">
        <f t="shared" si="29"/>
        <v>0.7142857142857143</v>
      </c>
      <c r="H28" s="23">
        <f>SUMIFS('Registre de reserves'!$R$2:$R$1178,'Registre de reserves'!$T$2:$T$1178,"SI",'Registre de reserves'!$I$2:$I$1178,'2020'!$A28,'Registre de reserves'!$B$2:$B$1178,'2020'!H$2,Tabla1[ANY],'2020'!$Z$2)</f>
        <v>0</v>
      </c>
      <c r="I28" s="21">
        <f t="shared" si="30"/>
        <v>0</v>
      </c>
      <c r="J28" s="23">
        <f>SUMIFS('Registre de reserves'!$R$2:$R$1178,'Registre de reserves'!$T$2:$T$1178,"SI",'Registre de reserves'!$I$2:$I$1178,'2020'!$A28,'Registre de reserves'!$B$2:$B$1178,'2020'!J$2,Tabla1[ANY],'2020'!$Z$2)</f>
        <v>0</v>
      </c>
      <c r="K28" s="21">
        <f t="shared" si="31"/>
        <v>0</v>
      </c>
      <c r="L28" s="23">
        <f>SUMIFS('Registre de reserves'!$R$2:$R$1178,'Registre de reserves'!$T$2:$T$1178,"SI",'Registre de reserves'!$I$2:$I$1178,'2020'!$A28,'Registre de reserves'!$B$2:$B$1178,'2020'!L$2,Tabla1[ANY],'2020'!$Z$2)</f>
        <v>105</v>
      </c>
      <c r="M28" s="21">
        <f t="shared" si="32"/>
        <v>1</v>
      </c>
      <c r="N28" s="23">
        <f>SUMIFS('Registre de reserves'!$R$2:$R$1178,'Registre de reserves'!$T$2:$T$1178,"SI",'Registre de reserves'!$I$2:$I$1178,'2020'!$A28,'Registre de reserves'!$B$2:$B$1178,'2020'!N$2,Tabla1[ANY],'2020'!$Z$2)</f>
        <v>110</v>
      </c>
      <c r="O28" s="21">
        <f t="shared" si="33"/>
        <v>0.91666666666666663</v>
      </c>
      <c r="P28" s="23">
        <f>SUMIFS('Registre de reserves'!$R$2:$R$1178,'Registre de reserves'!$T$2:$T$1178,"SI",'Registre de reserves'!$I$2:$I$1178,'2020'!$A28,'Registre de reserves'!$B$2:$B$1178,'2020'!P$2,Tabla1[ANY],'2020'!$Z$2)</f>
        <v>165</v>
      </c>
      <c r="Q28" s="21">
        <f t="shared" si="34"/>
        <v>0.86842105263157898</v>
      </c>
      <c r="R28" s="23">
        <f>SUMIFS('Registre de reserves'!$R$2:$R$1178,'Registre de reserves'!$T$2:$T$1178,"SI",'Registre de reserves'!$I$2:$I$1178,'2020'!$A28,'Registre de reserves'!$B$2:$B$1178,'2020'!R$2,Tabla1[ANY],'2020'!$Z$2)</f>
        <v>10</v>
      </c>
      <c r="S28" s="21">
        <f t="shared" si="35"/>
        <v>1</v>
      </c>
      <c r="T28" s="23">
        <f>SUMIFS('Registre de reserves'!$R$2:$R$1178,'Registre de reserves'!$T$2:$T$1178,"SI",'Registre de reserves'!$I$2:$I$1178,'2020'!$A28,'Registre de reserves'!$B$2:$B$1178,'2020'!T$2,Tabla1[ANY],'2020'!$Z$2)</f>
        <v>0</v>
      </c>
      <c r="U28" s="21">
        <f t="shared" si="36"/>
        <v>0</v>
      </c>
      <c r="V28" s="23">
        <f>SUMIFS('Registre de reserves'!$R$2:$R$1178,'Registre de reserves'!$T$2:$T$1178,"SI",'Registre de reserves'!$I$2:$I$1178,'2020'!$A28,'Registre de reserves'!$B$2:$B$1178,'2020'!V$2,Tabla1[ANY],'2020'!$Z$2)</f>
        <v>0</v>
      </c>
      <c r="W28" s="21">
        <f t="shared" si="37"/>
        <v>0</v>
      </c>
      <c r="X28" s="23">
        <f>SUMIFS('Registre de reserves'!$R$2:$R$1178,'Registre de reserves'!$T$2:$T$1178,"SI",'Registre de reserves'!$I$2:$I$1178,'2020'!$A28,'Registre de reserves'!$B$2:$B$1178,'2020'!X$2,Tabla1[ANY],'2020'!$Z$2)</f>
        <v>0</v>
      </c>
      <c r="Y28" s="21">
        <f t="shared" si="38"/>
        <v>0</v>
      </c>
      <c r="Z28" s="20">
        <f t="shared" si="40"/>
        <v>600</v>
      </c>
      <c r="AA28" s="21">
        <f t="shared" si="41"/>
        <v>0.90225563909774431</v>
      </c>
    </row>
    <row r="29" spans="1:27" hidden="1" outlineLevel="1" x14ac:dyDescent="0.2">
      <c r="A29" s="8" t="s">
        <v>70</v>
      </c>
      <c r="B29" s="23">
        <f>SUMIFS('Registre de reserves'!$R$2:$R$1178,'Registre de reserves'!$T$2:$T$1178,"SI",'Registre de reserves'!$I$2:$I$1178,'2020'!$A29,'Registre de reserves'!$B$2:$B$1178,'2020'!B$2,Tabla1[ANY],'2020'!$Z$2)</f>
        <v>0</v>
      </c>
      <c r="C29" s="21">
        <f t="shared" si="39"/>
        <v>0</v>
      </c>
      <c r="D29" s="23">
        <f>SUMIFS('Registre de reserves'!$R$2:$R$1178,'Registre de reserves'!$T$2:$T$1178,"SI",'Registre de reserves'!$I$2:$I$1178,'2020'!$A29,'Registre de reserves'!$B$2:$B$1178,'2020'!D$2,Tabla1[ANY],'2020'!$Z$2)</f>
        <v>0</v>
      </c>
      <c r="E29" s="21">
        <f t="shared" si="39"/>
        <v>0</v>
      </c>
      <c r="F29" s="23">
        <f>SUMIFS('Registre de reserves'!$R$2:$R$1178,'Registre de reserves'!$T$2:$T$1178,"SI",'Registre de reserves'!$I$2:$I$1178,'2020'!$A29,'Registre de reserves'!$B$2:$B$1178,'2020'!F$2,Tabla1[ANY],'2020'!$Z$2)</f>
        <v>0</v>
      </c>
      <c r="G29" s="21">
        <f t="shared" si="29"/>
        <v>0</v>
      </c>
      <c r="H29" s="23">
        <f>SUMIFS('Registre de reserves'!$R$2:$R$1178,'Registre de reserves'!$T$2:$T$1178,"SI",'Registre de reserves'!$I$2:$I$1178,'2020'!$A29,'Registre de reserves'!$B$2:$B$1178,'2020'!H$2,Tabla1[ANY],'2020'!$Z$2)</f>
        <v>0</v>
      </c>
      <c r="I29" s="21">
        <f t="shared" si="30"/>
        <v>0</v>
      </c>
      <c r="J29" s="23">
        <f>SUMIFS('Registre de reserves'!$R$2:$R$1178,'Registre de reserves'!$T$2:$T$1178,"SI",'Registre de reserves'!$I$2:$I$1178,'2020'!$A29,'Registre de reserves'!$B$2:$B$1178,'2020'!J$2,Tabla1[ANY],'2020'!$Z$2)</f>
        <v>0</v>
      </c>
      <c r="K29" s="21">
        <f t="shared" si="31"/>
        <v>0</v>
      </c>
      <c r="L29" s="23">
        <f>SUMIFS('Registre de reserves'!$R$2:$R$1178,'Registre de reserves'!$T$2:$T$1178,"SI",'Registre de reserves'!$I$2:$I$1178,'2020'!$A29,'Registre de reserves'!$B$2:$B$1178,'2020'!L$2,Tabla1[ANY],'2020'!$Z$2)</f>
        <v>0</v>
      </c>
      <c r="M29" s="21">
        <f t="shared" si="32"/>
        <v>0</v>
      </c>
      <c r="N29" s="23">
        <f>SUMIFS('Registre de reserves'!$R$2:$R$1178,'Registre de reserves'!$T$2:$T$1178,"SI",'Registre de reserves'!$I$2:$I$1178,'2020'!$A29,'Registre de reserves'!$B$2:$B$1178,'2020'!N$2,Tabla1[ANY],'2020'!$Z$2)</f>
        <v>0</v>
      </c>
      <c r="O29" s="21">
        <f t="shared" si="33"/>
        <v>0</v>
      </c>
      <c r="P29" s="23">
        <f>SUMIFS('Registre de reserves'!$R$2:$R$1178,'Registre de reserves'!$T$2:$T$1178,"SI",'Registre de reserves'!$I$2:$I$1178,'2020'!$A29,'Registre de reserves'!$B$2:$B$1178,'2020'!P$2,Tabla1[ANY],'2020'!$Z$2)</f>
        <v>0</v>
      </c>
      <c r="Q29" s="21">
        <f t="shared" si="34"/>
        <v>0</v>
      </c>
      <c r="R29" s="23">
        <f>SUMIFS('Registre de reserves'!$R$2:$R$1178,'Registre de reserves'!$T$2:$T$1178,"SI",'Registre de reserves'!$I$2:$I$1178,'2020'!$A29,'Registre de reserves'!$B$2:$B$1178,'2020'!R$2,Tabla1[ANY],'2020'!$Z$2)</f>
        <v>0</v>
      </c>
      <c r="S29" s="21">
        <f t="shared" si="35"/>
        <v>0</v>
      </c>
      <c r="T29" s="23">
        <f>SUMIFS('Registre de reserves'!$R$2:$R$1178,'Registre de reserves'!$T$2:$T$1178,"SI",'Registre de reserves'!$I$2:$I$1178,'2020'!$A29,'Registre de reserves'!$B$2:$B$1178,'2020'!T$2,Tabla1[ANY],'2020'!$Z$2)</f>
        <v>0</v>
      </c>
      <c r="U29" s="21">
        <f t="shared" si="36"/>
        <v>0</v>
      </c>
      <c r="V29" s="23">
        <f>SUMIFS('Registre de reserves'!$R$2:$R$1178,'Registre de reserves'!$T$2:$T$1178,"SI",'Registre de reserves'!$I$2:$I$1178,'2020'!$A29,'Registre de reserves'!$B$2:$B$1178,'2020'!V$2,Tabla1[ANY],'2020'!$Z$2)</f>
        <v>0</v>
      </c>
      <c r="W29" s="21">
        <f t="shared" si="37"/>
        <v>0</v>
      </c>
      <c r="X29" s="23">
        <f>SUMIFS('Registre de reserves'!$R$2:$R$1178,'Registre de reserves'!$T$2:$T$1178,"SI",'Registre de reserves'!$I$2:$I$1178,'2020'!$A29,'Registre de reserves'!$B$2:$B$1178,'2020'!X$2,Tabla1[ANY],'2020'!$Z$2)</f>
        <v>0</v>
      </c>
      <c r="Y29" s="21">
        <f t="shared" si="38"/>
        <v>0</v>
      </c>
      <c r="Z29" s="20">
        <f t="shared" si="40"/>
        <v>0</v>
      </c>
      <c r="AA29" s="21">
        <f t="shared" si="41"/>
        <v>0</v>
      </c>
    </row>
    <row r="30" spans="1:27" hidden="1" outlineLevel="1" x14ac:dyDescent="0.2">
      <c r="A30" s="8" t="s">
        <v>73</v>
      </c>
      <c r="B30" s="23">
        <f>SUMIFS('Registre de reserves'!$R$2:$R$1178,'Registre de reserves'!$T$2:$T$1178,"SI",'Registre de reserves'!$I$2:$I$1178,'2020'!$A30,'Registre de reserves'!$B$2:$B$1178,'2020'!B$2,Tabla1[ANY],'2020'!$Z$2)</f>
        <v>0</v>
      </c>
      <c r="C30" s="21">
        <f t="shared" si="39"/>
        <v>0</v>
      </c>
      <c r="D30" s="23">
        <f>SUMIFS('Registre de reserves'!$R$2:$R$1178,'Registre de reserves'!$T$2:$T$1178,"SI",'Registre de reserves'!$I$2:$I$1178,'2020'!$A30,'Registre de reserves'!$B$2:$B$1178,'2020'!D$2,Tabla1[ANY],'2020'!$Z$2)</f>
        <v>0</v>
      </c>
      <c r="E30" s="21">
        <f t="shared" si="39"/>
        <v>0</v>
      </c>
      <c r="F30" s="23">
        <f>SUMIFS('Registre de reserves'!$R$2:$R$1178,'Registre de reserves'!$T$2:$T$1178,"SI",'Registre de reserves'!$I$2:$I$1178,'2020'!$A30,'Registre de reserves'!$B$2:$B$1178,'2020'!F$2,Tabla1[ANY],'2020'!$Z$2)</f>
        <v>0</v>
      </c>
      <c r="G30" s="21">
        <f t="shared" si="29"/>
        <v>0</v>
      </c>
      <c r="H30" s="23">
        <f>SUMIFS('Registre de reserves'!$R$2:$R$1178,'Registre de reserves'!$T$2:$T$1178,"SI",'Registre de reserves'!$I$2:$I$1178,'2020'!$A30,'Registre de reserves'!$B$2:$B$1178,'2020'!H$2,Tabla1[ANY],'2020'!$Z$2)</f>
        <v>0</v>
      </c>
      <c r="I30" s="21">
        <f t="shared" si="30"/>
        <v>0</v>
      </c>
      <c r="J30" s="23">
        <f>SUMIFS('Registre de reserves'!$R$2:$R$1178,'Registre de reserves'!$T$2:$T$1178,"SI",'Registre de reserves'!$I$2:$I$1178,'2020'!$A30,'Registre de reserves'!$B$2:$B$1178,'2020'!J$2,Tabla1[ANY],'2020'!$Z$2)</f>
        <v>0</v>
      </c>
      <c r="K30" s="21">
        <f t="shared" si="31"/>
        <v>0</v>
      </c>
      <c r="L30" s="23">
        <f>SUMIFS('Registre de reserves'!$R$2:$R$1178,'Registre de reserves'!$T$2:$T$1178,"SI",'Registre de reserves'!$I$2:$I$1178,'2020'!$A30,'Registre de reserves'!$B$2:$B$1178,'2020'!L$2,Tabla1[ANY],'2020'!$Z$2)</f>
        <v>0</v>
      </c>
      <c r="M30" s="21">
        <f t="shared" si="32"/>
        <v>0</v>
      </c>
      <c r="N30" s="23">
        <f>SUMIFS('Registre de reserves'!$R$2:$R$1178,'Registre de reserves'!$T$2:$T$1178,"SI",'Registre de reserves'!$I$2:$I$1178,'2020'!$A30,'Registre de reserves'!$B$2:$B$1178,'2020'!N$2,Tabla1[ANY],'2020'!$Z$2)</f>
        <v>0</v>
      </c>
      <c r="O30" s="21">
        <f t="shared" si="33"/>
        <v>0</v>
      </c>
      <c r="P30" s="23">
        <f>SUMIFS('Registre de reserves'!$R$2:$R$1178,'Registre de reserves'!$T$2:$T$1178,"SI",'Registre de reserves'!$I$2:$I$1178,'2020'!$A30,'Registre de reserves'!$B$2:$B$1178,'2020'!P$2,Tabla1[ANY],'2020'!$Z$2)</f>
        <v>0</v>
      </c>
      <c r="Q30" s="21">
        <f t="shared" si="34"/>
        <v>0</v>
      </c>
      <c r="R30" s="23">
        <f>SUMIFS('Registre de reserves'!$R$2:$R$1178,'Registre de reserves'!$T$2:$T$1178,"SI",'Registre de reserves'!$I$2:$I$1178,'2020'!$A30,'Registre de reserves'!$B$2:$B$1178,'2020'!R$2,Tabla1[ANY],'2020'!$Z$2)</f>
        <v>0</v>
      </c>
      <c r="S30" s="21">
        <f t="shared" si="35"/>
        <v>0</v>
      </c>
      <c r="T30" s="23">
        <f>SUMIFS('Registre de reserves'!$R$2:$R$1178,'Registre de reserves'!$T$2:$T$1178,"SI",'Registre de reserves'!$I$2:$I$1178,'2020'!$A30,'Registre de reserves'!$B$2:$B$1178,'2020'!T$2,Tabla1[ANY],'2020'!$Z$2)</f>
        <v>0</v>
      </c>
      <c r="U30" s="21">
        <f t="shared" si="36"/>
        <v>0</v>
      </c>
      <c r="V30" s="23">
        <f>SUMIFS('Registre de reserves'!$R$2:$R$1178,'Registre de reserves'!$T$2:$T$1178,"SI",'Registre de reserves'!$I$2:$I$1178,'2020'!$A30,'Registre de reserves'!$B$2:$B$1178,'2020'!V$2,Tabla1[ANY],'2020'!$Z$2)</f>
        <v>0</v>
      </c>
      <c r="W30" s="21">
        <f t="shared" si="37"/>
        <v>0</v>
      </c>
      <c r="X30" s="23">
        <f>SUMIFS('Registre de reserves'!$R$2:$R$1178,'Registre de reserves'!$T$2:$T$1178,"SI",'Registre de reserves'!$I$2:$I$1178,'2020'!$A30,'Registre de reserves'!$B$2:$B$1178,'2020'!X$2,Tabla1[ANY],'2020'!$Z$2)</f>
        <v>0</v>
      </c>
      <c r="Y30" s="21">
        <f t="shared" si="38"/>
        <v>0</v>
      </c>
      <c r="Z30" s="20">
        <f t="shared" si="40"/>
        <v>0</v>
      </c>
      <c r="AA30" s="21">
        <f t="shared" si="41"/>
        <v>0</v>
      </c>
    </row>
    <row r="31" spans="1:27" collapsed="1" x14ac:dyDescent="0.2">
      <c r="A31" s="33" t="s">
        <v>77</v>
      </c>
      <c r="B31" s="22">
        <f>SUM(B32:B39)</f>
        <v>0</v>
      </c>
      <c r="C31" s="19">
        <f>IF((B$31+B$13)=0,0,B31/(B$31+B$13))</f>
        <v>0</v>
      </c>
      <c r="D31" s="22">
        <f>SUM(D32:D39)</f>
        <v>0</v>
      </c>
      <c r="E31" s="19">
        <f>IF((D$31+D$13)=0,0,D31/(D$31+D$13))</f>
        <v>0</v>
      </c>
      <c r="F31" s="22">
        <f>SUM(F32:F39)</f>
        <v>0</v>
      </c>
      <c r="G31" s="19">
        <f>IF((F$31+F$13)=0,0,F31/(F$31+F$13))</f>
        <v>0</v>
      </c>
      <c r="H31" s="22">
        <f>SUM(H32:H39)</f>
        <v>0</v>
      </c>
      <c r="I31" s="19">
        <f>IF((H$31+H$13)=0,0,H31/(H$31+H$13))</f>
        <v>0</v>
      </c>
      <c r="J31" s="22">
        <f>SUM(J32:J39)</f>
        <v>0</v>
      </c>
      <c r="K31" s="19">
        <f>IF((J$31+J$13)=0,0,J31/(J$31+J$13))</f>
        <v>0</v>
      </c>
      <c r="L31" s="22">
        <f>SUM(L32:L39)</f>
        <v>0</v>
      </c>
      <c r="M31" s="19">
        <f>IF((L$31+L$13)=0,0,L31/(L$31+L$13))</f>
        <v>0</v>
      </c>
      <c r="N31" s="22">
        <f>SUM(N32:N39)</f>
        <v>0</v>
      </c>
      <c r="O31" s="19">
        <f>IF((N$31+N$13)=0,0,N31/(N$31+N$13))</f>
        <v>0</v>
      </c>
      <c r="P31" s="22">
        <f>SUM(P32:P39)</f>
        <v>0</v>
      </c>
      <c r="Q31" s="19">
        <f>IF((P$31+P$13)=0,0,P31/(P$31+P$13))</f>
        <v>0</v>
      </c>
      <c r="R31" s="22">
        <f>SUM(R32:R39)</f>
        <v>0</v>
      </c>
      <c r="S31" s="19">
        <f>IF((R$31+R$13)=0,0,R31/(R$31+R$13))</f>
        <v>0</v>
      </c>
      <c r="T31" s="22">
        <f>SUM(T32:T39)</f>
        <v>0</v>
      </c>
      <c r="U31" s="19">
        <f>IF((T$31+T$13)=0,0,T31/(T$31+T$13))</f>
        <v>0</v>
      </c>
      <c r="V31" s="22">
        <f>SUM(V32:V39)</f>
        <v>0</v>
      </c>
      <c r="W31" s="19">
        <f>IF((V$31+V$13)=0,0,V31/(V$31+V$13))</f>
        <v>0</v>
      </c>
      <c r="X31" s="22">
        <f>SUM(X32:X39)</f>
        <v>0</v>
      </c>
      <c r="Y31" s="19">
        <f>IF((X$31+X$13)=0,0,X31/(X$31+X$13))</f>
        <v>0</v>
      </c>
      <c r="Z31" s="22">
        <f>SUM(Z32:Z39)</f>
        <v>0</v>
      </c>
      <c r="AA31" s="19">
        <f>IF((Z$31+Z$13)=0,0,Z31/(Z$31+Z$13))</f>
        <v>0</v>
      </c>
    </row>
    <row r="32" spans="1:27" hidden="1" outlineLevel="1" x14ac:dyDescent="0.2">
      <c r="A32" s="8" t="s">
        <v>67</v>
      </c>
      <c r="B32" s="23">
        <f>SUMIFS('Registre de reserves'!$R$2:$R$1178,'Registre de reserves'!$T$2:$T$1178,"NO",'Registre de reserves'!$I$2:$I$1178,'2020'!$A32,'Registre de reserves'!$B$2:$B$1178,'2020'!B$2,Tabla1[ANY],'2020'!$Z$2)</f>
        <v>0</v>
      </c>
      <c r="C32" s="21">
        <f>IF(B$31=0,0,B32/B$31)</f>
        <v>0</v>
      </c>
      <c r="D32" s="23">
        <f>SUMIFS('Registre de reserves'!$R$2:$R$1178,'Registre de reserves'!$T$2:$T$1178,"NO",'Registre de reserves'!$I$2:$I$1178,'2020'!$A32,'Registre de reserves'!$B$2:$B$1178,'2020'!D$2,Tabla1[ANY],'2020'!$Z$2)</f>
        <v>0</v>
      </c>
      <c r="E32" s="21">
        <f>IF(D$31=0,0,D32/D$31)</f>
        <v>0</v>
      </c>
      <c r="F32" s="23">
        <f>SUMIFS('Registre de reserves'!$R$2:$R$1178,'Registre de reserves'!$T$2:$T$1178,"NO",'Registre de reserves'!$I$2:$I$1178,'2020'!$A32,'Registre de reserves'!$B$2:$B$1178,'2020'!F$2,Tabla1[ANY],'2020'!$Z$2)</f>
        <v>0</v>
      </c>
      <c r="G32" s="21">
        <f t="shared" ref="G32:G39" si="42">IF(F$31=0,0,F32/F$31)</f>
        <v>0</v>
      </c>
      <c r="H32" s="23">
        <f>SUMIFS('Registre de reserves'!$R$2:$R$1178,'Registre de reserves'!$T$2:$T$1178,"NO",'Registre de reserves'!$I$2:$I$1178,'2020'!$A32,'Registre de reserves'!$B$2:$B$1178,'2020'!H$2,Tabla1[ANY],'2020'!$Z$2)</f>
        <v>0</v>
      </c>
      <c r="I32" s="21">
        <f t="shared" ref="I32:I39" si="43">IF(H$31=0,0,H32/H$31)</f>
        <v>0</v>
      </c>
      <c r="J32" s="23">
        <f>SUMIFS('Registre de reserves'!$R$2:$R$1178,'Registre de reserves'!$T$2:$T$1178,"NO",'Registre de reserves'!$I$2:$I$1178,'2020'!$A32,'Registre de reserves'!$B$2:$B$1178,'2020'!J$2,Tabla1[ANY],'2020'!$Z$2)</f>
        <v>0</v>
      </c>
      <c r="K32" s="21">
        <f t="shared" ref="K32:K39" si="44">IF(J$31=0,0,J32/J$31)</f>
        <v>0</v>
      </c>
      <c r="L32" s="23">
        <f>SUMIFS('Registre de reserves'!$R$2:$R$1178,'Registre de reserves'!$T$2:$T$1178,"NO",'Registre de reserves'!$I$2:$I$1178,'2020'!$A32,'Registre de reserves'!$B$2:$B$1178,'2020'!L$2,Tabla1[ANY],'2020'!$Z$2)</f>
        <v>0</v>
      </c>
      <c r="M32" s="21">
        <f t="shared" ref="M32:M39" si="45">IF(L$31=0,0,L32/L$31)</f>
        <v>0</v>
      </c>
      <c r="N32" s="23">
        <f>SUMIFS('Registre de reserves'!$R$2:$R$1178,'Registre de reserves'!$T$2:$T$1178,"NO",'Registre de reserves'!$I$2:$I$1178,'2020'!$A32,'Registre de reserves'!$B$2:$B$1178,'2020'!N$2,Tabla1[ANY],'2020'!$Z$2)</f>
        <v>0</v>
      </c>
      <c r="O32" s="21">
        <f t="shared" ref="O32:O39" si="46">IF(N$31=0,0,N32/N$31)</f>
        <v>0</v>
      </c>
      <c r="P32" s="23">
        <f>SUMIFS('Registre de reserves'!$R$2:$R$1178,'Registre de reserves'!$T$2:$T$1178,"NO",'Registre de reserves'!$I$2:$I$1178,'2020'!$A32,'Registre de reserves'!$B$2:$B$1178,'2020'!P$2,Tabla1[ANY],'2020'!$Z$2)</f>
        <v>0</v>
      </c>
      <c r="Q32" s="21">
        <f t="shared" ref="Q32:Q39" si="47">IF(P$31=0,0,P32/P$31)</f>
        <v>0</v>
      </c>
      <c r="R32" s="23">
        <f>SUMIFS('Registre de reserves'!$R$2:$R$1178,'Registre de reserves'!$T$2:$T$1178,"NO",'Registre de reserves'!$I$2:$I$1178,'2020'!$A32,'Registre de reserves'!$B$2:$B$1178,'2020'!R$2,Tabla1[ANY],'2020'!$Z$2)</f>
        <v>0</v>
      </c>
      <c r="S32" s="21">
        <f t="shared" ref="S32:S39" si="48">IF(R$31=0,0,R32/R$31)</f>
        <v>0</v>
      </c>
      <c r="T32" s="23">
        <f>SUMIFS('Registre de reserves'!$R$2:$R$1178,'Registre de reserves'!$T$2:$T$1178,"NO",'Registre de reserves'!$I$2:$I$1178,'2020'!$A32,'Registre de reserves'!$B$2:$B$1178,'2020'!T$2,Tabla1[ANY],'2020'!$Z$2)</f>
        <v>0</v>
      </c>
      <c r="U32" s="21">
        <f t="shared" ref="U32:U39" si="49">IF(T$31=0,0,T32/T$31)</f>
        <v>0</v>
      </c>
      <c r="V32" s="23">
        <f>SUMIFS('Registre de reserves'!$R$2:$R$1178,'Registre de reserves'!$T$2:$T$1178,"NO",'Registre de reserves'!$I$2:$I$1178,'2020'!$A32,'Registre de reserves'!$B$2:$B$1178,'2020'!V$2,Tabla1[ANY],'2020'!$Z$2)</f>
        <v>0</v>
      </c>
      <c r="W32" s="21">
        <f t="shared" ref="W32:W39" si="50">IF(V$31=0,0,V32/V$31)</f>
        <v>0</v>
      </c>
      <c r="X32" s="23">
        <f>SUMIFS('Registre de reserves'!$R$2:$R$1178,'Registre de reserves'!$T$2:$T$1178,"NO",'Registre de reserves'!$I$2:$I$1178,'2020'!$A32,'Registre de reserves'!$B$2:$B$1178,'2020'!X$2,Tabla1[ANY],'2020'!$Z$2)</f>
        <v>0</v>
      </c>
      <c r="Y32" s="21">
        <f t="shared" ref="Y32:Y39" si="51">IF(X$31=0,0,X32/X$31)</f>
        <v>0</v>
      </c>
      <c r="Z32" s="20">
        <f>B32+D32+F32+H32+J32+L32+N32+P32+R32+T32+V32+X32</f>
        <v>0</v>
      </c>
      <c r="AA32" s="21">
        <f>IF(Z$31=0,0,Z32/Z$31)</f>
        <v>0</v>
      </c>
    </row>
    <row r="33" spans="1:27" hidden="1" outlineLevel="1" x14ac:dyDescent="0.2">
      <c r="A33" s="8" t="s">
        <v>68</v>
      </c>
      <c r="B33" s="23">
        <f>SUMIFS('Registre de reserves'!$R$2:$R$1178,'Registre de reserves'!$T$2:$T$1178,"NO",'Registre de reserves'!$I$2:$I$1178,'2020'!$A33,'Registre de reserves'!$B$2:$B$1178,'2020'!B$2,Tabla1[ANY],'2020'!$Z$2)</f>
        <v>0</v>
      </c>
      <c r="C33" s="21">
        <f>IF(B$31=0,0,B33/B$31)</f>
        <v>0</v>
      </c>
      <c r="D33" s="23">
        <f>SUMIFS('Registre de reserves'!$R$2:$R$1178,'Registre de reserves'!$T$2:$T$1178,"NO",'Registre de reserves'!$I$2:$I$1178,'2020'!$A33,'Registre de reserves'!$B$2:$B$1178,'2020'!D$2,Tabla1[ANY],'2020'!$Z$2)</f>
        <v>0</v>
      </c>
      <c r="E33" s="21">
        <f t="shared" ref="C33:E39" si="52">IF(D$31=0,0,D33/D$31)</f>
        <v>0</v>
      </c>
      <c r="F33" s="23">
        <f>SUMIFS('Registre de reserves'!$R$2:$R$1178,'Registre de reserves'!$T$2:$T$1178,"NO",'Registre de reserves'!$I$2:$I$1178,'2020'!$A33,'Registre de reserves'!$B$2:$B$1178,'2020'!F$2,Tabla1[ANY],'2020'!$Z$2)</f>
        <v>0</v>
      </c>
      <c r="G33" s="21">
        <f t="shared" si="42"/>
        <v>0</v>
      </c>
      <c r="H33" s="23">
        <f>SUMIFS('Registre de reserves'!$R$2:$R$1178,'Registre de reserves'!$T$2:$T$1178,"NO",'Registre de reserves'!$I$2:$I$1178,'2020'!$A33,'Registre de reserves'!$B$2:$B$1178,'2020'!H$2,Tabla1[ANY],'2020'!$Z$2)</f>
        <v>0</v>
      </c>
      <c r="I33" s="21">
        <f t="shared" si="43"/>
        <v>0</v>
      </c>
      <c r="J33" s="23">
        <f>SUMIFS('Registre de reserves'!$R$2:$R$1178,'Registre de reserves'!$T$2:$T$1178,"NO",'Registre de reserves'!$I$2:$I$1178,'2020'!$A33,'Registre de reserves'!$B$2:$B$1178,'2020'!J$2,Tabla1[ANY],'2020'!$Z$2)</f>
        <v>0</v>
      </c>
      <c r="K33" s="21">
        <f t="shared" si="44"/>
        <v>0</v>
      </c>
      <c r="L33" s="23">
        <f>SUMIFS('Registre de reserves'!$R$2:$R$1178,'Registre de reserves'!$T$2:$T$1178,"NO",'Registre de reserves'!$I$2:$I$1178,'2020'!$A33,'Registre de reserves'!$B$2:$B$1178,'2020'!L$2,Tabla1[ANY],'2020'!$Z$2)</f>
        <v>0</v>
      </c>
      <c r="M33" s="21">
        <f t="shared" si="45"/>
        <v>0</v>
      </c>
      <c r="N33" s="23">
        <f>SUMIFS('Registre de reserves'!$R$2:$R$1178,'Registre de reserves'!$T$2:$T$1178,"NO",'Registre de reserves'!$I$2:$I$1178,'2020'!$A33,'Registre de reserves'!$B$2:$B$1178,'2020'!N$2,Tabla1[ANY],'2020'!$Z$2)</f>
        <v>0</v>
      </c>
      <c r="O33" s="21">
        <f t="shared" si="46"/>
        <v>0</v>
      </c>
      <c r="P33" s="23">
        <f>SUMIFS('Registre de reserves'!$R$2:$R$1178,'Registre de reserves'!$T$2:$T$1178,"NO",'Registre de reserves'!$I$2:$I$1178,'2020'!$A33,'Registre de reserves'!$B$2:$B$1178,'2020'!P$2,Tabla1[ANY],'2020'!$Z$2)</f>
        <v>0</v>
      </c>
      <c r="Q33" s="21">
        <f t="shared" si="47"/>
        <v>0</v>
      </c>
      <c r="R33" s="23">
        <f>SUMIFS('Registre de reserves'!$R$2:$R$1178,'Registre de reserves'!$T$2:$T$1178,"NO",'Registre de reserves'!$I$2:$I$1178,'2020'!$A33,'Registre de reserves'!$B$2:$B$1178,'2020'!R$2,Tabla1[ANY],'2020'!$Z$2)</f>
        <v>0</v>
      </c>
      <c r="S33" s="21">
        <f t="shared" si="48"/>
        <v>0</v>
      </c>
      <c r="T33" s="23">
        <f>SUMIFS('Registre de reserves'!$R$2:$R$1178,'Registre de reserves'!$T$2:$T$1178,"NO",'Registre de reserves'!$I$2:$I$1178,'2020'!$A33,'Registre de reserves'!$B$2:$B$1178,'2020'!T$2,Tabla1[ANY],'2020'!$Z$2)</f>
        <v>0</v>
      </c>
      <c r="U33" s="21">
        <f t="shared" si="49"/>
        <v>0</v>
      </c>
      <c r="V33" s="23">
        <f>SUMIFS('Registre de reserves'!$R$2:$R$1178,'Registre de reserves'!$T$2:$T$1178,"NO",'Registre de reserves'!$I$2:$I$1178,'2020'!$A33,'Registre de reserves'!$B$2:$B$1178,'2020'!V$2,Tabla1[ANY],'2020'!$Z$2)</f>
        <v>0</v>
      </c>
      <c r="W33" s="21">
        <f t="shared" si="50"/>
        <v>0</v>
      </c>
      <c r="X33" s="23">
        <f>SUMIFS('Registre de reserves'!$R$2:$R$1178,'Registre de reserves'!$T$2:$T$1178,"NO",'Registre de reserves'!$I$2:$I$1178,'2020'!$A33,'Registre de reserves'!$B$2:$B$1178,'2020'!X$2,Tabla1[ANY],'2020'!$Z$2)</f>
        <v>0</v>
      </c>
      <c r="Y33" s="21">
        <f t="shared" si="51"/>
        <v>0</v>
      </c>
      <c r="Z33" s="20">
        <f t="shared" ref="Z33:Z39" si="53">B33+D33+F33+H33+J33+L33+N33+P33+R33+T33+V33+X33</f>
        <v>0</v>
      </c>
      <c r="AA33" s="21">
        <f t="shared" ref="AA33:AA39" si="54">IF(Z$31=0,0,Z33/Z$31)</f>
        <v>0</v>
      </c>
    </row>
    <row r="34" spans="1:27" hidden="1" outlineLevel="1" x14ac:dyDescent="0.2">
      <c r="A34" s="8" t="s">
        <v>4</v>
      </c>
      <c r="B34" s="23">
        <f>SUMIFS('Registre de reserves'!$R$2:$R$1178,'Registre de reserves'!$T$2:$T$1178,"NO",'Registre de reserves'!$I$2:$I$1178,'2020'!$A34,'Registre de reserves'!$B$2:$B$1178,'2020'!B$2,Tabla1[ANY],'2020'!$Z$2)</f>
        <v>0</v>
      </c>
      <c r="C34" s="21">
        <f>IF(B$31=0,0,B34/B$31)</f>
        <v>0</v>
      </c>
      <c r="D34" s="23">
        <f>SUMIFS('Registre de reserves'!$R$2:$R$1178,'Registre de reserves'!$T$2:$T$1178,"NO",'Registre de reserves'!$I$2:$I$1178,'2020'!$A34,'Registre de reserves'!$B$2:$B$1178,'2020'!D$2,Tabla1[ANY],'2020'!$Z$2)</f>
        <v>0</v>
      </c>
      <c r="E34" s="21">
        <f t="shared" si="52"/>
        <v>0</v>
      </c>
      <c r="F34" s="23">
        <f>SUMIFS('Registre de reserves'!$R$2:$R$1178,'Registre de reserves'!$T$2:$T$1178,"NO",'Registre de reserves'!$I$2:$I$1178,'2020'!$A34,'Registre de reserves'!$B$2:$B$1178,'2020'!F$2,Tabla1[ANY],'2020'!$Z$2)</f>
        <v>0</v>
      </c>
      <c r="G34" s="21">
        <f t="shared" si="42"/>
        <v>0</v>
      </c>
      <c r="H34" s="23">
        <f>SUMIFS('Registre de reserves'!$R$2:$R$1178,'Registre de reserves'!$T$2:$T$1178,"NO",'Registre de reserves'!$I$2:$I$1178,'2020'!$A34,'Registre de reserves'!$B$2:$B$1178,'2020'!H$2,Tabla1[ANY],'2020'!$Z$2)</f>
        <v>0</v>
      </c>
      <c r="I34" s="21">
        <f t="shared" si="43"/>
        <v>0</v>
      </c>
      <c r="J34" s="23">
        <f>SUMIFS('Registre de reserves'!$R$2:$R$1178,'Registre de reserves'!$T$2:$T$1178,"NO",'Registre de reserves'!$I$2:$I$1178,'2020'!$A34,'Registre de reserves'!$B$2:$B$1178,'2020'!J$2,Tabla1[ANY],'2020'!$Z$2)</f>
        <v>0</v>
      </c>
      <c r="K34" s="21">
        <f t="shared" si="44"/>
        <v>0</v>
      </c>
      <c r="L34" s="23">
        <f>SUMIFS('Registre de reserves'!$R$2:$R$1178,'Registre de reserves'!$T$2:$T$1178,"NO",'Registre de reserves'!$I$2:$I$1178,'2020'!$A34,'Registre de reserves'!$B$2:$B$1178,'2020'!L$2,Tabla1[ANY],'2020'!$Z$2)</f>
        <v>0</v>
      </c>
      <c r="M34" s="21">
        <f t="shared" si="45"/>
        <v>0</v>
      </c>
      <c r="N34" s="23">
        <f>SUMIFS('Registre de reserves'!$R$2:$R$1178,'Registre de reserves'!$T$2:$T$1178,"NO",'Registre de reserves'!$I$2:$I$1178,'2020'!$A34,'Registre de reserves'!$B$2:$B$1178,'2020'!N$2,Tabla1[ANY],'2020'!$Z$2)</f>
        <v>0</v>
      </c>
      <c r="O34" s="21">
        <f t="shared" si="46"/>
        <v>0</v>
      </c>
      <c r="P34" s="23">
        <f>SUMIFS('Registre de reserves'!$R$2:$R$1178,'Registre de reserves'!$T$2:$T$1178,"NO",'Registre de reserves'!$I$2:$I$1178,'2020'!$A34,'Registre de reserves'!$B$2:$B$1178,'2020'!P$2,Tabla1[ANY],'2020'!$Z$2)</f>
        <v>0</v>
      </c>
      <c r="Q34" s="21">
        <f t="shared" si="47"/>
        <v>0</v>
      </c>
      <c r="R34" s="23">
        <f>SUMIFS('Registre de reserves'!$R$2:$R$1178,'Registre de reserves'!$T$2:$T$1178,"NO",'Registre de reserves'!$I$2:$I$1178,'2020'!$A34,'Registre de reserves'!$B$2:$B$1178,'2020'!R$2,Tabla1[ANY],'2020'!$Z$2)</f>
        <v>0</v>
      </c>
      <c r="S34" s="21">
        <f t="shared" si="48"/>
        <v>0</v>
      </c>
      <c r="T34" s="23">
        <f>SUMIFS('Registre de reserves'!$R$2:$R$1178,'Registre de reserves'!$T$2:$T$1178,"NO",'Registre de reserves'!$I$2:$I$1178,'2020'!$A34,'Registre de reserves'!$B$2:$B$1178,'2020'!T$2,Tabla1[ANY],'2020'!$Z$2)</f>
        <v>0</v>
      </c>
      <c r="U34" s="21">
        <f t="shared" si="49"/>
        <v>0</v>
      </c>
      <c r="V34" s="23">
        <f>SUMIFS('Registre de reserves'!$R$2:$R$1178,'Registre de reserves'!$T$2:$T$1178,"NO",'Registre de reserves'!$I$2:$I$1178,'2020'!$A34,'Registre de reserves'!$B$2:$B$1178,'2020'!V$2,Tabla1[ANY],'2020'!$Z$2)</f>
        <v>0</v>
      </c>
      <c r="W34" s="21">
        <f t="shared" si="50"/>
        <v>0</v>
      </c>
      <c r="X34" s="23">
        <f>SUMIFS('Registre de reserves'!$R$2:$R$1178,'Registre de reserves'!$T$2:$T$1178,"NO",'Registre de reserves'!$I$2:$I$1178,'2020'!$A34,'Registre de reserves'!$B$2:$B$1178,'2020'!X$2,Tabla1[ANY],'2020'!$Z$2)</f>
        <v>0</v>
      </c>
      <c r="Y34" s="21">
        <f t="shared" si="51"/>
        <v>0</v>
      </c>
      <c r="Z34" s="20">
        <f t="shared" si="53"/>
        <v>0</v>
      </c>
      <c r="AA34" s="21">
        <f t="shared" si="54"/>
        <v>0</v>
      </c>
    </row>
    <row r="35" spans="1:27" hidden="1" outlineLevel="1" x14ac:dyDescent="0.2">
      <c r="A35" s="8" t="s">
        <v>71</v>
      </c>
      <c r="B35" s="23">
        <f>SUMIFS('Registre de reserves'!$R$2:$R$1178,'Registre de reserves'!$T$2:$T$1178,"NO",'Registre de reserves'!$I$2:$I$1178,'2020'!$A35,'Registre de reserves'!$B$2:$B$1178,'2020'!B$2,Tabla1[ANY],'2020'!$Z$2)</f>
        <v>0</v>
      </c>
      <c r="C35" s="21">
        <f t="shared" si="52"/>
        <v>0</v>
      </c>
      <c r="D35" s="23">
        <f>SUMIFS('Registre de reserves'!$R$2:$R$1178,'Registre de reserves'!$T$2:$T$1178,"NO",'Registre de reserves'!$I$2:$I$1178,'2020'!$A35,'Registre de reserves'!$B$2:$B$1178,'2020'!D$2,Tabla1[ANY],'2020'!$Z$2)</f>
        <v>0</v>
      </c>
      <c r="E35" s="21">
        <f t="shared" si="52"/>
        <v>0</v>
      </c>
      <c r="F35" s="23">
        <f>SUMIFS('Registre de reserves'!$R$2:$R$1178,'Registre de reserves'!$T$2:$T$1178,"NO",'Registre de reserves'!$I$2:$I$1178,'2020'!$A35,'Registre de reserves'!$B$2:$B$1178,'2020'!F$2,Tabla1[ANY],'2020'!$Z$2)</f>
        <v>0</v>
      </c>
      <c r="G35" s="21">
        <f t="shared" si="42"/>
        <v>0</v>
      </c>
      <c r="H35" s="23">
        <f>SUMIFS('Registre de reserves'!$R$2:$R$1178,'Registre de reserves'!$T$2:$T$1178,"NO",'Registre de reserves'!$I$2:$I$1178,'2020'!$A35,'Registre de reserves'!$B$2:$B$1178,'2020'!H$2,Tabla1[ANY],'2020'!$Z$2)</f>
        <v>0</v>
      </c>
      <c r="I35" s="21">
        <f t="shared" si="43"/>
        <v>0</v>
      </c>
      <c r="J35" s="23">
        <f>SUMIFS('Registre de reserves'!$R$2:$R$1178,'Registre de reserves'!$T$2:$T$1178,"NO",'Registre de reserves'!$I$2:$I$1178,'2020'!$A35,'Registre de reserves'!$B$2:$B$1178,'2020'!J$2,Tabla1[ANY],'2020'!$Z$2)</f>
        <v>0</v>
      </c>
      <c r="K35" s="21">
        <f t="shared" si="44"/>
        <v>0</v>
      </c>
      <c r="L35" s="23">
        <f>SUMIFS('Registre de reserves'!$R$2:$R$1178,'Registre de reserves'!$T$2:$T$1178,"NO",'Registre de reserves'!$I$2:$I$1178,'2020'!$A35,'Registre de reserves'!$B$2:$B$1178,'2020'!L$2,Tabla1[ANY],'2020'!$Z$2)</f>
        <v>0</v>
      </c>
      <c r="M35" s="21">
        <f t="shared" si="45"/>
        <v>0</v>
      </c>
      <c r="N35" s="23">
        <f>SUMIFS('Registre de reserves'!$R$2:$R$1178,'Registre de reserves'!$T$2:$T$1178,"NO",'Registre de reserves'!$I$2:$I$1178,'2020'!$A35,'Registre de reserves'!$B$2:$B$1178,'2020'!N$2,Tabla1[ANY],'2020'!$Z$2)</f>
        <v>0</v>
      </c>
      <c r="O35" s="21">
        <f t="shared" si="46"/>
        <v>0</v>
      </c>
      <c r="P35" s="23">
        <f>SUMIFS('Registre de reserves'!$R$2:$R$1178,'Registre de reserves'!$T$2:$T$1178,"NO",'Registre de reserves'!$I$2:$I$1178,'2020'!$A35,'Registre de reserves'!$B$2:$B$1178,'2020'!P$2,Tabla1[ANY],'2020'!$Z$2)</f>
        <v>0</v>
      </c>
      <c r="Q35" s="21">
        <f t="shared" si="47"/>
        <v>0</v>
      </c>
      <c r="R35" s="23">
        <f>SUMIFS('Registre de reserves'!$R$2:$R$1178,'Registre de reserves'!$T$2:$T$1178,"NO",'Registre de reserves'!$I$2:$I$1178,'2020'!$A35,'Registre de reserves'!$B$2:$B$1178,'2020'!R$2,Tabla1[ANY],'2020'!$Z$2)</f>
        <v>0</v>
      </c>
      <c r="S35" s="21">
        <f t="shared" si="48"/>
        <v>0</v>
      </c>
      <c r="T35" s="23">
        <f>SUMIFS('Registre de reserves'!$R$2:$R$1178,'Registre de reserves'!$T$2:$T$1178,"NO",'Registre de reserves'!$I$2:$I$1178,'2020'!$A35,'Registre de reserves'!$B$2:$B$1178,'2020'!T$2,Tabla1[ANY],'2020'!$Z$2)</f>
        <v>0</v>
      </c>
      <c r="U35" s="21">
        <f t="shared" si="49"/>
        <v>0</v>
      </c>
      <c r="V35" s="23">
        <f>SUMIFS('Registre de reserves'!$R$2:$R$1178,'Registre de reserves'!$T$2:$T$1178,"NO",'Registre de reserves'!$I$2:$I$1178,'2020'!$A35,'Registre de reserves'!$B$2:$B$1178,'2020'!V$2,Tabla1[ANY],'2020'!$Z$2)</f>
        <v>0</v>
      </c>
      <c r="W35" s="21">
        <f t="shared" si="50"/>
        <v>0</v>
      </c>
      <c r="X35" s="23">
        <f>SUMIFS('Registre de reserves'!$R$2:$R$1178,'Registre de reserves'!$T$2:$T$1178,"NO",'Registre de reserves'!$I$2:$I$1178,'2020'!$A35,'Registre de reserves'!$B$2:$B$1178,'2020'!X$2,Tabla1[ANY],'2020'!$Z$2)</f>
        <v>0</v>
      </c>
      <c r="Y35" s="21">
        <f t="shared" si="51"/>
        <v>0</v>
      </c>
      <c r="Z35" s="20">
        <f t="shared" si="53"/>
        <v>0</v>
      </c>
      <c r="AA35" s="21">
        <f t="shared" si="54"/>
        <v>0</v>
      </c>
    </row>
    <row r="36" spans="1:27" hidden="1" outlineLevel="1" x14ac:dyDescent="0.2">
      <c r="A36" s="8" t="s">
        <v>72</v>
      </c>
      <c r="B36" s="23">
        <f>SUMIFS('Registre de reserves'!$R$2:$R$1178,'Registre de reserves'!$T$2:$T$1178,"NO",'Registre de reserves'!$I$2:$I$1178,'2020'!$A36,'Registre de reserves'!$B$2:$B$1178,'2020'!B$2,Tabla1[ANY],'2020'!$Z$2)</f>
        <v>0</v>
      </c>
      <c r="C36" s="21">
        <f t="shared" si="52"/>
        <v>0</v>
      </c>
      <c r="D36" s="23">
        <f>SUMIFS('Registre de reserves'!$R$2:$R$1178,'Registre de reserves'!$T$2:$T$1178,"NO",'Registre de reserves'!$I$2:$I$1178,'2020'!$A36,'Registre de reserves'!$B$2:$B$1178,'2020'!D$2,Tabla1[ANY],'2020'!$Z$2)</f>
        <v>0</v>
      </c>
      <c r="E36" s="21">
        <f t="shared" si="52"/>
        <v>0</v>
      </c>
      <c r="F36" s="23">
        <f>SUMIFS('Registre de reserves'!$R$2:$R$1178,'Registre de reserves'!$T$2:$T$1178,"NO",'Registre de reserves'!$I$2:$I$1178,'2020'!$A36,'Registre de reserves'!$B$2:$B$1178,'2020'!F$2,Tabla1[ANY],'2020'!$Z$2)</f>
        <v>0</v>
      </c>
      <c r="G36" s="21">
        <f t="shared" si="42"/>
        <v>0</v>
      </c>
      <c r="H36" s="23">
        <f>SUMIFS('Registre de reserves'!$R$2:$R$1178,'Registre de reserves'!$T$2:$T$1178,"NO",'Registre de reserves'!$I$2:$I$1178,'2020'!$A36,'Registre de reserves'!$B$2:$B$1178,'2020'!H$2,Tabla1[ANY],'2020'!$Z$2)</f>
        <v>0</v>
      </c>
      <c r="I36" s="21">
        <f t="shared" si="43"/>
        <v>0</v>
      </c>
      <c r="J36" s="23">
        <f>SUMIFS('Registre de reserves'!$R$2:$R$1178,'Registre de reserves'!$T$2:$T$1178,"NO",'Registre de reserves'!$I$2:$I$1178,'2020'!$A36,'Registre de reserves'!$B$2:$B$1178,'2020'!J$2,Tabla1[ANY],'2020'!$Z$2)</f>
        <v>0</v>
      </c>
      <c r="K36" s="21">
        <f t="shared" si="44"/>
        <v>0</v>
      </c>
      <c r="L36" s="23">
        <f>SUMIFS('Registre de reserves'!$R$2:$R$1178,'Registre de reserves'!$T$2:$T$1178,"NO",'Registre de reserves'!$I$2:$I$1178,'2020'!$A36,'Registre de reserves'!$B$2:$B$1178,'2020'!L$2,Tabla1[ANY],'2020'!$Z$2)</f>
        <v>0</v>
      </c>
      <c r="M36" s="21">
        <f t="shared" si="45"/>
        <v>0</v>
      </c>
      <c r="N36" s="23">
        <f>SUMIFS('Registre de reserves'!$R$2:$R$1178,'Registre de reserves'!$T$2:$T$1178,"NO",'Registre de reserves'!$I$2:$I$1178,'2020'!$A36,'Registre de reserves'!$B$2:$B$1178,'2020'!N$2,Tabla1[ANY],'2020'!$Z$2)</f>
        <v>0</v>
      </c>
      <c r="O36" s="21">
        <f t="shared" si="46"/>
        <v>0</v>
      </c>
      <c r="P36" s="23">
        <f>SUMIFS('Registre de reserves'!$R$2:$R$1178,'Registre de reserves'!$T$2:$T$1178,"NO",'Registre de reserves'!$I$2:$I$1178,'2020'!$A36,'Registre de reserves'!$B$2:$B$1178,'2020'!P$2,Tabla1[ANY],'2020'!$Z$2)</f>
        <v>0</v>
      </c>
      <c r="Q36" s="21">
        <f t="shared" si="47"/>
        <v>0</v>
      </c>
      <c r="R36" s="23">
        <f>SUMIFS('Registre de reserves'!$R$2:$R$1178,'Registre de reserves'!$T$2:$T$1178,"NO",'Registre de reserves'!$I$2:$I$1178,'2020'!$A36,'Registre de reserves'!$B$2:$B$1178,'2020'!R$2,Tabla1[ANY],'2020'!$Z$2)</f>
        <v>0</v>
      </c>
      <c r="S36" s="21">
        <f t="shared" si="48"/>
        <v>0</v>
      </c>
      <c r="T36" s="23">
        <f>SUMIFS('Registre de reserves'!$R$2:$R$1178,'Registre de reserves'!$T$2:$T$1178,"NO",'Registre de reserves'!$I$2:$I$1178,'2020'!$A36,'Registre de reserves'!$B$2:$B$1178,'2020'!T$2,Tabla1[ANY],'2020'!$Z$2)</f>
        <v>0</v>
      </c>
      <c r="U36" s="21">
        <f t="shared" si="49"/>
        <v>0</v>
      </c>
      <c r="V36" s="23">
        <f>SUMIFS('Registre de reserves'!$R$2:$R$1178,'Registre de reserves'!$T$2:$T$1178,"NO",'Registre de reserves'!$I$2:$I$1178,'2020'!$A36,'Registre de reserves'!$B$2:$B$1178,'2020'!V$2,Tabla1[ANY],'2020'!$Z$2)</f>
        <v>0</v>
      </c>
      <c r="W36" s="21">
        <f t="shared" si="50"/>
        <v>0</v>
      </c>
      <c r="X36" s="23">
        <f>SUMIFS('Registre de reserves'!$R$2:$R$1178,'Registre de reserves'!$T$2:$T$1178,"NO",'Registre de reserves'!$I$2:$I$1178,'2020'!$A36,'Registre de reserves'!$B$2:$B$1178,'2020'!X$2,Tabla1[ANY],'2020'!$Z$2)</f>
        <v>0</v>
      </c>
      <c r="Y36" s="21">
        <f t="shared" si="51"/>
        <v>0</v>
      </c>
      <c r="Z36" s="20">
        <f t="shared" si="53"/>
        <v>0</v>
      </c>
      <c r="AA36" s="21">
        <f t="shared" si="54"/>
        <v>0</v>
      </c>
    </row>
    <row r="37" spans="1:27" hidden="1" outlineLevel="1" x14ac:dyDescent="0.2">
      <c r="A37" s="8" t="s">
        <v>69</v>
      </c>
      <c r="B37" s="23">
        <f>SUMIFS('Registre de reserves'!$R$2:$R$1178,'Registre de reserves'!$T$2:$T$1178,"NO",'Registre de reserves'!$I$2:$I$1178,'2020'!$A37,'Registre de reserves'!$B$2:$B$1178,'2020'!B$2,Tabla1[ANY],'2020'!$Z$2)</f>
        <v>0</v>
      </c>
      <c r="C37" s="21">
        <f t="shared" si="52"/>
        <v>0</v>
      </c>
      <c r="D37" s="23">
        <f>SUMIFS('Registre de reserves'!$R$2:$R$1178,'Registre de reserves'!$T$2:$T$1178,"NO",'Registre de reserves'!$I$2:$I$1178,'2020'!$A37,'Registre de reserves'!$B$2:$B$1178,'2020'!D$2,Tabla1[ANY],'2020'!$Z$2)</f>
        <v>0</v>
      </c>
      <c r="E37" s="21">
        <f t="shared" si="52"/>
        <v>0</v>
      </c>
      <c r="F37" s="23">
        <f>SUMIFS('Registre de reserves'!$R$2:$R$1178,'Registre de reserves'!$T$2:$T$1178,"NO",'Registre de reserves'!$I$2:$I$1178,'2020'!$A37,'Registre de reserves'!$B$2:$B$1178,'2020'!F$2,Tabla1[ANY],'2020'!$Z$2)</f>
        <v>0</v>
      </c>
      <c r="G37" s="21">
        <f t="shared" si="42"/>
        <v>0</v>
      </c>
      <c r="H37" s="23">
        <f>SUMIFS('Registre de reserves'!$R$2:$R$1178,'Registre de reserves'!$T$2:$T$1178,"NO",'Registre de reserves'!$I$2:$I$1178,'2020'!$A37,'Registre de reserves'!$B$2:$B$1178,'2020'!H$2,Tabla1[ANY],'2020'!$Z$2)</f>
        <v>0</v>
      </c>
      <c r="I37" s="21">
        <f t="shared" si="43"/>
        <v>0</v>
      </c>
      <c r="J37" s="23">
        <f>SUMIFS('Registre de reserves'!$R$2:$R$1178,'Registre de reserves'!$T$2:$T$1178,"NO",'Registre de reserves'!$I$2:$I$1178,'2020'!$A37,'Registre de reserves'!$B$2:$B$1178,'2020'!J$2,Tabla1[ANY],'2020'!$Z$2)</f>
        <v>0</v>
      </c>
      <c r="K37" s="21">
        <f t="shared" si="44"/>
        <v>0</v>
      </c>
      <c r="L37" s="23">
        <f>SUMIFS('Registre de reserves'!$R$2:$R$1178,'Registre de reserves'!$T$2:$T$1178,"NO",'Registre de reserves'!$I$2:$I$1178,'2020'!$A37,'Registre de reserves'!$B$2:$B$1178,'2020'!L$2,Tabla1[ANY],'2020'!$Z$2)</f>
        <v>0</v>
      </c>
      <c r="M37" s="21">
        <f t="shared" si="45"/>
        <v>0</v>
      </c>
      <c r="N37" s="23">
        <f>SUMIFS('Registre de reserves'!$R$2:$R$1178,'Registre de reserves'!$T$2:$T$1178,"NO",'Registre de reserves'!$I$2:$I$1178,'2020'!$A37,'Registre de reserves'!$B$2:$B$1178,'2020'!N$2,Tabla1[ANY],'2020'!$Z$2)</f>
        <v>0</v>
      </c>
      <c r="O37" s="21">
        <f t="shared" si="46"/>
        <v>0</v>
      </c>
      <c r="P37" s="23">
        <f>SUMIFS('Registre de reserves'!$R$2:$R$1178,'Registre de reserves'!$T$2:$T$1178,"NO",'Registre de reserves'!$I$2:$I$1178,'2020'!$A37,'Registre de reserves'!$B$2:$B$1178,'2020'!P$2,Tabla1[ANY],'2020'!$Z$2)</f>
        <v>0</v>
      </c>
      <c r="Q37" s="21">
        <f t="shared" si="47"/>
        <v>0</v>
      </c>
      <c r="R37" s="23">
        <f>SUMIFS('Registre de reserves'!$R$2:$R$1178,'Registre de reserves'!$T$2:$T$1178,"NO",'Registre de reserves'!$I$2:$I$1178,'2020'!$A37,'Registre de reserves'!$B$2:$B$1178,'2020'!R$2,Tabla1[ANY],'2020'!$Z$2)</f>
        <v>0</v>
      </c>
      <c r="S37" s="21">
        <f t="shared" si="48"/>
        <v>0</v>
      </c>
      <c r="T37" s="23">
        <f>SUMIFS('Registre de reserves'!$R$2:$R$1178,'Registre de reserves'!$T$2:$T$1178,"NO",'Registre de reserves'!$I$2:$I$1178,'2020'!$A37,'Registre de reserves'!$B$2:$B$1178,'2020'!T$2,Tabla1[ANY],'2020'!$Z$2)</f>
        <v>0</v>
      </c>
      <c r="U37" s="21">
        <f t="shared" si="49"/>
        <v>0</v>
      </c>
      <c r="V37" s="23">
        <f>SUMIFS('Registre de reserves'!$R$2:$R$1178,'Registre de reserves'!$T$2:$T$1178,"NO",'Registre de reserves'!$I$2:$I$1178,'2020'!$A37,'Registre de reserves'!$B$2:$B$1178,'2020'!V$2,Tabla1[ANY],'2020'!$Z$2)</f>
        <v>0</v>
      </c>
      <c r="W37" s="21">
        <f t="shared" si="50"/>
        <v>0</v>
      </c>
      <c r="X37" s="23">
        <f>SUMIFS('Registre de reserves'!$R$2:$R$1178,'Registre de reserves'!$T$2:$T$1178,"NO",'Registre de reserves'!$I$2:$I$1178,'2020'!$A37,'Registre de reserves'!$B$2:$B$1178,'2020'!X$2,Tabla1[ANY],'2020'!$Z$2)</f>
        <v>0</v>
      </c>
      <c r="Y37" s="21">
        <f t="shared" si="51"/>
        <v>0</v>
      </c>
      <c r="Z37" s="20">
        <f t="shared" si="53"/>
        <v>0</v>
      </c>
      <c r="AA37" s="21">
        <f t="shared" si="54"/>
        <v>0</v>
      </c>
    </row>
    <row r="38" spans="1:27" hidden="1" outlineLevel="1" x14ac:dyDescent="0.2">
      <c r="A38" s="8" t="s">
        <v>70</v>
      </c>
      <c r="B38" s="23">
        <f>SUMIFS('Registre de reserves'!$R$2:$R$1178,'Registre de reserves'!$T$2:$T$1178,"NO",'Registre de reserves'!$I$2:$I$1178,'2020'!$A38,'Registre de reserves'!$B$2:$B$1178,'2020'!B$2,Tabla1[ANY],'2020'!$Z$2)</f>
        <v>0</v>
      </c>
      <c r="C38" s="21">
        <f t="shared" si="52"/>
        <v>0</v>
      </c>
      <c r="D38" s="23">
        <f>SUMIFS('Registre de reserves'!$R$2:$R$1178,'Registre de reserves'!$T$2:$T$1178,"NO",'Registre de reserves'!$I$2:$I$1178,'2020'!$A38,'Registre de reserves'!$B$2:$B$1178,'2020'!D$2,Tabla1[ANY],'2020'!$Z$2)</f>
        <v>0</v>
      </c>
      <c r="E38" s="21">
        <f t="shared" si="52"/>
        <v>0</v>
      </c>
      <c r="F38" s="23">
        <f>SUMIFS('Registre de reserves'!$R$2:$R$1178,'Registre de reserves'!$T$2:$T$1178,"NO",'Registre de reserves'!$I$2:$I$1178,'2020'!$A38,'Registre de reserves'!$B$2:$B$1178,'2020'!F$2,Tabla1[ANY],'2020'!$Z$2)</f>
        <v>0</v>
      </c>
      <c r="G38" s="21">
        <f t="shared" si="42"/>
        <v>0</v>
      </c>
      <c r="H38" s="23">
        <f>SUMIFS('Registre de reserves'!$R$2:$R$1178,'Registre de reserves'!$T$2:$T$1178,"NO",'Registre de reserves'!$I$2:$I$1178,'2020'!$A38,'Registre de reserves'!$B$2:$B$1178,'2020'!H$2,Tabla1[ANY],'2020'!$Z$2)</f>
        <v>0</v>
      </c>
      <c r="I38" s="21">
        <f t="shared" si="43"/>
        <v>0</v>
      </c>
      <c r="J38" s="23">
        <f>SUMIFS('Registre de reserves'!$R$2:$R$1178,'Registre de reserves'!$T$2:$T$1178,"NO",'Registre de reserves'!$I$2:$I$1178,'2020'!$A38,'Registre de reserves'!$B$2:$B$1178,'2020'!J$2,Tabla1[ANY],'2020'!$Z$2)</f>
        <v>0</v>
      </c>
      <c r="K38" s="21">
        <f t="shared" si="44"/>
        <v>0</v>
      </c>
      <c r="L38" s="23">
        <f>SUMIFS('Registre de reserves'!$R$2:$R$1178,'Registre de reserves'!$T$2:$T$1178,"NO",'Registre de reserves'!$I$2:$I$1178,'2020'!$A38,'Registre de reserves'!$B$2:$B$1178,'2020'!L$2,Tabla1[ANY],'2020'!$Z$2)</f>
        <v>0</v>
      </c>
      <c r="M38" s="21">
        <f t="shared" si="45"/>
        <v>0</v>
      </c>
      <c r="N38" s="23">
        <f>SUMIFS('Registre de reserves'!$R$2:$R$1178,'Registre de reserves'!$T$2:$T$1178,"NO",'Registre de reserves'!$I$2:$I$1178,'2020'!$A38,'Registre de reserves'!$B$2:$B$1178,'2020'!N$2,Tabla1[ANY],'2020'!$Z$2)</f>
        <v>0</v>
      </c>
      <c r="O38" s="21">
        <f t="shared" si="46"/>
        <v>0</v>
      </c>
      <c r="P38" s="23">
        <f>SUMIFS('Registre de reserves'!$R$2:$R$1178,'Registre de reserves'!$T$2:$T$1178,"NO",'Registre de reserves'!$I$2:$I$1178,'2020'!$A38,'Registre de reserves'!$B$2:$B$1178,'2020'!P$2,Tabla1[ANY],'2020'!$Z$2)</f>
        <v>0</v>
      </c>
      <c r="Q38" s="21">
        <f t="shared" si="47"/>
        <v>0</v>
      </c>
      <c r="R38" s="23">
        <f>SUMIFS('Registre de reserves'!$R$2:$R$1178,'Registre de reserves'!$T$2:$T$1178,"NO",'Registre de reserves'!$I$2:$I$1178,'2020'!$A38,'Registre de reserves'!$B$2:$B$1178,'2020'!R$2,Tabla1[ANY],'2020'!$Z$2)</f>
        <v>0</v>
      </c>
      <c r="S38" s="21">
        <f t="shared" si="48"/>
        <v>0</v>
      </c>
      <c r="T38" s="23">
        <f>SUMIFS('Registre de reserves'!$R$2:$R$1178,'Registre de reserves'!$T$2:$T$1178,"NO",'Registre de reserves'!$I$2:$I$1178,'2020'!$A38,'Registre de reserves'!$B$2:$B$1178,'2020'!T$2,Tabla1[ANY],'2020'!$Z$2)</f>
        <v>0</v>
      </c>
      <c r="U38" s="21">
        <f t="shared" si="49"/>
        <v>0</v>
      </c>
      <c r="V38" s="23">
        <f>SUMIFS('Registre de reserves'!$R$2:$R$1178,'Registre de reserves'!$T$2:$T$1178,"NO",'Registre de reserves'!$I$2:$I$1178,'2020'!$A38,'Registre de reserves'!$B$2:$B$1178,'2020'!V$2,Tabla1[ANY],'2020'!$Z$2)</f>
        <v>0</v>
      </c>
      <c r="W38" s="21">
        <f t="shared" si="50"/>
        <v>0</v>
      </c>
      <c r="X38" s="23">
        <f>SUMIFS('Registre de reserves'!$R$2:$R$1178,'Registre de reserves'!$T$2:$T$1178,"NO",'Registre de reserves'!$I$2:$I$1178,'2020'!$A38,'Registre de reserves'!$B$2:$B$1178,'2020'!X$2,Tabla1[ANY],'2020'!$Z$2)</f>
        <v>0</v>
      </c>
      <c r="Y38" s="21">
        <f t="shared" si="51"/>
        <v>0</v>
      </c>
      <c r="Z38" s="20">
        <f t="shared" si="53"/>
        <v>0</v>
      </c>
      <c r="AA38" s="21">
        <f t="shared" si="54"/>
        <v>0</v>
      </c>
    </row>
    <row r="39" spans="1:27" hidden="1" outlineLevel="1" x14ac:dyDescent="0.2">
      <c r="A39" s="8" t="s">
        <v>73</v>
      </c>
      <c r="B39" s="23">
        <f>SUMIFS('Registre de reserves'!$R$2:$R$1178,'Registre de reserves'!$T$2:$T$1178,"NO",'Registre de reserves'!$I$2:$I$1178,'2020'!$A39,'Registre de reserves'!$B$2:$B$1178,'2020'!B$2,Tabla1[ANY],'2020'!$Z$2)</f>
        <v>0</v>
      </c>
      <c r="C39" s="21">
        <f t="shared" si="52"/>
        <v>0</v>
      </c>
      <c r="D39" s="23">
        <f>SUMIFS('Registre de reserves'!$R$2:$R$1178,'Registre de reserves'!$T$2:$T$1178,"NO",'Registre de reserves'!$I$2:$I$1178,'2020'!$A39,'Registre de reserves'!$B$2:$B$1178,'2020'!D$2,Tabla1[ANY],'2020'!$Z$2)</f>
        <v>0</v>
      </c>
      <c r="E39" s="21">
        <f t="shared" si="52"/>
        <v>0</v>
      </c>
      <c r="F39" s="23">
        <f>SUMIFS('Registre de reserves'!$R$2:$R$1178,'Registre de reserves'!$T$2:$T$1178,"NO",'Registre de reserves'!$I$2:$I$1178,'2020'!$A39,'Registre de reserves'!$B$2:$B$1178,'2020'!F$2,Tabla1[ANY],'2020'!$Z$2)</f>
        <v>0</v>
      </c>
      <c r="G39" s="21">
        <f t="shared" si="42"/>
        <v>0</v>
      </c>
      <c r="H39" s="23">
        <f>SUMIFS('Registre de reserves'!$R$2:$R$1178,'Registre de reserves'!$T$2:$T$1178,"NO",'Registre de reserves'!$I$2:$I$1178,'2020'!$A39,'Registre de reserves'!$B$2:$B$1178,'2020'!H$2,Tabla1[ANY],'2020'!$Z$2)</f>
        <v>0</v>
      </c>
      <c r="I39" s="21">
        <f t="shared" si="43"/>
        <v>0</v>
      </c>
      <c r="J39" s="23">
        <f>SUMIFS('Registre de reserves'!$R$2:$R$1178,'Registre de reserves'!$T$2:$T$1178,"NO",'Registre de reserves'!$I$2:$I$1178,'2020'!$A39,'Registre de reserves'!$B$2:$B$1178,'2020'!J$2,Tabla1[ANY],'2020'!$Z$2)</f>
        <v>0</v>
      </c>
      <c r="K39" s="21">
        <f t="shared" si="44"/>
        <v>0</v>
      </c>
      <c r="L39" s="23">
        <f>SUMIFS('Registre de reserves'!$R$2:$R$1178,'Registre de reserves'!$T$2:$T$1178,"NO",'Registre de reserves'!$I$2:$I$1178,'2020'!$A39,'Registre de reserves'!$B$2:$B$1178,'2020'!L$2,Tabla1[ANY],'2020'!$Z$2)</f>
        <v>0</v>
      </c>
      <c r="M39" s="21">
        <f t="shared" si="45"/>
        <v>0</v>
      </c>
      <c r="N39" s="23">
        <f>SUMIFS('Registre de reserves'!$R$2:$R$1178,'Registre de reserves'!$T$2:$T$1178,"NO",'Registre de reserves'!$I$2:$I$1178,'2020'!$A39,'Registre de reserves'!$B$2:$B$1178,'2020'!N$2,Tabla1[ANY],'2020'!$Z$2)</f>
        <v>0</v>
      </c>
      <c r="O39" s="21">
        <f t="shared" si="46"/>
        <v>0</v>
      </c>
      <c r="P39" s="23">
        <f>SUMIFS('Registre de reserves'!$R$2:$R$1178,'Registre de reserves'!$T$2:$T$1178,"NO",'Registre de reserves'!$I$2:$I$1178,'2020'!$A39,'Registre de reserves'!$B$2:$B$1178,'2020'!P$2,Tabla1[ANY],'2020'!$Z$2)</f>
        <v>0</v>
      </c>
      <c r="Q39" s="21">
        <f t="shared" si="47"/>
        <v>0</v>
      </c>
      <c r="R39" s="23">
        <f>SUMIFS('Registre de reserves'!$R$2:$R$1178,'Registre de reserves'!$T$2:$T$1178,"NO",'Registre de reserves'!$I$2:$I$1178,'2020'!$A39,'Registre de reserves'!$B$2:$B$1178,'2020'!R$2,Tabla1[ANY],'2020'!$Z$2)</f>
        <v>0</v>
      </c>
      <c r="S39" s="21">
        <f t="shared" si="48"/>
        <v>0</v>
      </c>
      <c r="T39" s="23">
        <f>SUMIFS('Registre de reserves'!$R$2:$R$1178,'Registre de reserves'!$T$2:$T$1178,"NO",'Registre de reserves'!$I$2:$I$1178,'2020'!$A39,'Registre de reserves'!$B$2:$B$1178,'2020'!T$2,Tabla1[ANY],'2020'!$Z$2)</f>
        <v>0</v>
      </c>
      <c r="U39" s="21">
        <f t="shared" si="49"/>
        <v>0</v>
      </c>
      <c r="V39" s="23">
        <f>SUMIFS('Registre de reserves'!$R$2:$R$1178,'Registre de reserves'!$T$2:$T$1178,"NO",'Registre de reserves'!$I$2:$I$1178,'2020'!$A39,'Registre de reserves'!$B$2:$B$1178,'2020'!V$2,Tabla1[ANY],'2020'!$Z$2)</f>
        <v>0</v>
      </c>
      <c r="W39" s="21">
        <f t="shared" si="50"/>
        <v>0</v>
      </c>
      <c r="X39" s="23">
        <f>SUMIFS('Registre de reserves'!$R$2:$R$1178,'Registre de reserves'!$T$2:$T$1178,"NO",'Registre de reserves'!$I$2:$I$1178,'2020'!$A39,'Registre de reserves'!$B$2:$B$1178,'2020'!X$2,Tabla1[ANY],'2020'!$Z$2)</f>
        <v>0</v>
      </c>
      <c r="Y39" s="21">
        <f t="shared" si="51"/>
        <v>0</v>
      </c>
      <c r="Z39" s="20">
        <f t="shared" si="53"/>
        <v>0</v>
      </c>
      <c r="AA39" s="21">
        <f t="shared" si="54"/>
        <v>0</v>
      </c>
    </row>
    <row r="40" spans="1:27" ht="15.75" collapsed="1" thickBot="1" x14ac:dyDescent="0.25">
      <c r="A40" s="14" t="s">
        <v>78</v>
      </c>
      <c r="B40" s="24">
        <f>B41+B49</f>
        <v>2666.9500000000003</v>
      </c>
      <c r="C40" s="25">
        <f>IF(B3=0,0,B40/B3)</f>
        <v>0.7533757062146893</v>
      </c>
      <c r="D40" s="24">
        <f>D41+D49</f>
        <v>1042.5</v>
      </c>
      <c r="E40" s="25">
        <f>IF(D3=0,0,D40/D3)</f>
        <v>0.35398981324278439</v>
      </c>
      <c r="F40" s="24">
        <f>F41+F49</f>
        <v>553.65</v>
      </c>
      <c r="G40" s="25">
        <f>IF(F3=0,0,F40/F3)</f>
        <v>0.73819999999999997</v>
      </c>
      <c r="H40" s="24">
        <f>H41+H49</f>
        <v>55.34</v>
      </c>
      <c r="I40" s="25">
        <f>IF(H3=0,0,H40/H3)</f>
        <v>8.3696309739866914E-2</v>
      </c>
      <c r="J40" s="24">
        <f>J41+J49</f>
        <v>334.15</v>
      </c>
      <c r="K40" s="25">
        <f>IF(J3=0,0,J40/J3)</f>
        <v>0.32257597405104832</v>
      </c>
      <c r="L40" s="24">
        <f>L41+L49</f>
        <v>353.08</v>
      </c>
      <c r="M40" s="25">
        <f>IF(L3=0,0,L40/L3)</f>
        <v>0.19124688549452928</v>
      </c>
      <c r="N40" s="24">
        <f>N41+N49</f>
        <v>984.03</v>
      </c>
      <c r="O40" s="25">
        <f>IF(N3=0,0,N40/N3)</f>
        <v>0.24508841843088416</v>
      </c>
      <c r="P40" s="24">
        <f>P41+P49</f>
        <v>765.51</v>
      </c>
      <c r="Q40" s="25">
        <f>IF(P3=0,0,P40/P3)</f>
        <v>0.50528712871287129</v>
      </c>
      <c r="R40" s="24">
        <f>R41+R49</f>
        <v>695.59999999999991</v>
      </c>
      <c r="S40" s="25">
        <f>IF(R3=0,0,R40/R3)</f>
        <v>0.58209692131314894</v>
      </c>
      <c r="T40" s="24">
        <f>T41+T49</f>
        <v>631.49</v>
      </c>
      <c r="U40" s="25">
        <f>IF(T3=0,0,T40/T3)</f>
        <v>0.77274840920215371</v>
      </c>
      <c r="V40" s="24">
        <f>V41+V49</f>
        <v>57</v>
      </c>
      <c r="W40" s="25">
        <f>IF(V3=0,0,V40/V3)</f>
        <v>0.12071156289707752</v>
      </c>
      <c r="X40" s="24">
        <f>X41+X49</f>
        <v>314.94</v>
      </c>
      <c r="Y40" s="25">
        <f>IF(X3=0,0,X40/X3)</f>
        <v>0.12010525512928076</v>
      </c>
      <c r="Z40" s="24">
        <f>Z41+Z49</f>
        <v>8454.2400000000016</v>
      </c>
      <c r="AA40" s="25">
        <f>IF(Z3=0,0,Z40/Z3)</f>
        <v>0.39478362464960104</v>
      </c>
    </row>
    <row r="41" spans="1:27" x14ac:dyDescent="0.2">
      <c r="A41" s="33" t="s">
        <v>79</v>
      </c>
      <c r="B41" s="18">
        <f>SUM(B42:B48)</f>
        <v>2309.7600000000002</v>
      </c>
      <c r="C41" s="19">
        <f>IF(B$40=0,0,B41/B$40)</f>
        <v>0.86606798027709553</v>
      </c>
      <c r="D41" s="18">
        <f>SUM(D42:D48)</f>
        <v>627.33999999999992</v>
      </c>
      <c r="E41" s="19">
        <f>IF(D$40=0,0,D41/D$40)</f>
        <v>0.60176498800959222</v>
      </c>
      <c r="F41" s="18">
        <f>SUM(F42:F48)</f>
        <v>535.04</v>
      </c>
      <c r="G41" s="19">
        <f>IF(F$40=0,0,F41/F$40)</f>
        <v>0.96638670640296209</v>
      </c>
      <c r="H41" s="18">
        <f>SUM(H42:H48)</f>
        <v>55.34</v>
      </c>
      <c r="I41" s="19">
        <f>IF(H$40=0,0,H41/H$40)</f>
        <v>1</v>
      </c>
      <c r="J41" s="18">
        <f>SUM(J42:J48)</f>
        <v>147</v>
      </c>
      <c r="K41" s="19">
        <f>IF(J$40=0,0,J41/J$40)</f>
        <v>0.43992219063294929</v>
      </c>
      <c r="L41" s="18">
        <f>SUM(L42:L48)</f>
        <v>209</v>
      </c>
      <c r="M41" s="19">
        <f>IF(L$40=0,0,L41/L$40)</f>
        <v>0.59193383935651978</v>
      </c>
      <c r="N41" s="18">
        <f>SUM(N42:N48)</f>
        <v>653</v>
      </c>
      <c r="O41" s="19">
        <f>IF(N$40=0,0,N41/N$40)</f>
        <v>0.66359765454305253</v>
      </c>
      <c r="P41" s="18">
        <f>SUM(P42:P48)</f>
        <v>599.99</v>
      </c>
      <c r="Q41" s="19">
        <f>IF(P$40=0,0,P41/P$40)</f>
        <v>0.78377813483821246</v>
      </c>
      <c r="R41" s="18">
        <f>SUM(R42:R48)</f>
        <v>613.66999999999996</v>
      </c>
      <c r="S41" s="19">
        <f>IF(R$40=0,0,R41/R$40)</f>
        <v>0.88221679125934449</v>
      </c>
      <c r="T41" s="18">
        <f>SUM(T42:T48)</f>
        <v>631.49</v>
      </c>
      <c r="U41" s="19">
        <f>IF(T$40=0,0,T41/T$40)</f>
        <v>1</v>
      </c>
      <c r="V41" s="18">
        <f>SUM(V42:V48)</f>
        <v>57</v>
      </c>
      <c r="W41" s="19">
        <f>IF(V$40=0,0,V41/V$40)</f>
        <v>1</v>
      </c>
      <c r="X41" s="18">
        <f>SUM(X42:X48)</f>
        <v>237</v>
      </c>
      <c r="Y41" s="19">
        <f>IF(X$40=0,0,X41/X$40)</f>
        <v>0.75252429034101731</v>
      </c>
      <c r="Z41" s="18">
        <f>SUM(Z42:Z48)</f>
        <v>6675.630000000001</v>
      </c>
      <c r="AA41" s="19">
        <f>IF(Z$40=0,0,Z41/Z$40)</f>
        <v>0.78961917333787546</v>
      </c>
    </row>
    <row r="42" spans="1:27" hidden="1" outlineLevel="1" x14ac:dyDescent="0.2">
      <c r="A42" s="8" t="s">
        <v>16</v>
      </c>
      <c r="B42" s="20">
        <f>SUMIFS(Tabla2[IMPORT],Tabla2[ANY],$Z$2,Tabla2[MES],'2020'!B$2,Tabla2[TIPUS],'2020'!$A42)</f>
        <v>1106</v>
      </c>
      <c r="C42" s="21">
        <f>IF(B$41=0,0,B42/B$41)</f>
        <v>0.47883762815184255</v>
      </c>
      <c r="D42" s="20">
        <f>SUMIFS(Tabla2[IMPORT],Tabla2[ANY],$Z$2,Tabla2[MES],'2020'!D$2,Tabla2[TIPUS],'2020'!$A42)</f>
        <v>506</v>
      </c>
      <c r="E42" s="21">
        <f>IF(D$41=0,0,D42/D$41)</f>
        <v>0.80658016386648401</v>
      </c>
      <c r="F42" s="20">
        <f>SUMIFS(Tabla2[IMPORT],Tabla2[ANY],$Z$2,Tabla2[MES],'2020'!F$2,Tabla2[TIPUS],'2020'!$A42)</f>
        <v>506</v>
      </c>
      <c r="G42" s="21">
        <f t="shared" ref="G42:G48" si="55">IF(F$41=0,0,F42/F$41)</f>
        <v>0.94572368421052633</v>
      </c>
      <c r="H42" s="20">
        <f>SUMIFS(Tabla2[IMPORT],Tabla2[ANY],$Z$2,Tabla2[MES],'2020'!H$2,Tabla2[TIPUS],'2020'!$A42)</f>
        <v>0</v>
      </c>
      <c r="I42" s="21">
        <f t="shared" ref="I42:I48" si="56">IF(H$41=0,0,H42/H$41)</f>
        <v>0</v>
      </c>
      <c r="J42" s="20">
        <f>SUMIFS(Tabla2[IMPORT],Tabla2[ANY],$Z$2,Tabla2[MES],'2020'!J$2,Tabla2[TIPUS],'2020'!$A42)</f>
        <v>0</v>
      </c>
      <c r="K42" s="21">
        <f t="shared" ref="K42:K48" si="57">IF(J$41=0,0,J42/J$41)</f>
        <v>0</v>
      </c>
      <c r="L42" s="20">
        <f>SUMIFS(Tabla2[IMPORT],Tabla2[ANY],$Z$2,Tabla2[MES],'2020'!L$2,Tabla2[TIPUS],'2020'!$A42)</f>
        <v>152</v>
      </c>
      <c r="M42" s="21">
        <f t="shared" ref="M42:M48" si="58">IF(L$41=0,0,L42/L$41)</f>
        <v>0.72727272727272729</v>
      </c>
      <c r="N42" s="20">
        <f>SUMIFS(Tabla2[IMPORT],Tabla2[ANY],$Z$2,Tabla2[MES],'2020'!N$2,Tabla2[TIPUS],'2020'!$A42)</f>
        <v>506</v>
      </c>
      <c r="O42" s="21">
        <f t="shared" ref="O42:O48" si="59">IF(N$41=0,0,N42/N$41)</f>
        <v>0.77488514548238896</v>
      </c>
      <c r="P42" s="20">
        <f>SUMIFS(Tabla2[IMPORT],Tabla2[ANY],$Z$2,Tabla2[MES],'2020'!P$2,Tabla2[TIPUS],'2020'!$A42)</f>
        <v>506</v>
      </c>
      <c r="Q42" s="21">
        <f t="shared" ref="Q42:Q48" si="60">IF(P$41=0,0,P42/P$41)</f>
        <v>0.84334738912315199</v>
      </c>
      <c r="R42" s="20">
        <f>SUMIFS(Tabla2[IMPORT],Tabla2[ANY],$Z$2,Tabla2[MES],'2020'!R$2,Tabla2[TIPUS],'2020'!$A42)</f>
        <v>506</v>
      </c>
      <c r="S42" s="21">
        <f t="shared" ref="S42:S48" si="61">IF(R$41=0,0,R42/R$41)</f>
        <v>0.82454739517981979</v>
      </c>
      <c r="T42" s="20">
        <f>SUMIFS(Tabla2[IMPORT],Tabla2[ANY],$Z$2,Tabla2[MES],'2020'!T$2,Tabla2[TIPUS],'2020'!$A42)</f>
        <v>506</v>
      </c>
      <c r="U42" s="21">
        <f t="shared" ref="U42:U48" si="62">IF(T$41=0,0,T42/T$41)</f>
        <v>0.80127951353148896</v>
      </c>
      <c r="V42" s="20">
        <f>SUMIFS(Tabla2[IMPORT],Tabla2[ANY],$Z$2,Tabla2[MES],'2020'!V$2,Tabla2[TIPUS],'2020'!$A42)</f>
        <v>0</v>
      </c>
      <c r="W42" s="21">
        <f t="shared" ref="W42:W48" si="63">IF(V$41=0,0,V42/V$41)</f>
        <v>0</v>
      </c>
      <c r="X42" s="20">
        <f>SUMIFS(Tabla2[IMPORT],Tabla2[ANY],$Z$2,Tabla2[MES],'2020'!X$2,Tabla2[TIPUS],'2020'!$A42)</f>
        <v>0</v>
      </c>
      <c r="Y42" s="21">
        <f t="shared" ref="Y42:Y48" si="64">IF(X$41=0,0,X42/X$41)</f>
        <v>0</v>
      </c>
      <c r="Z42" s="20">
        <f t="shared" ref="Z42:Z54" si="65">B42+D42+F42+H42+J42+L42+N42+P42+R42+T42+V42+X42</f>
        <v>4294</v>
      </c>
      <c r="AA42" s="21">
        <f>IF(Z$41=0,0,Z42/Z$41)</f>
        <v>0.6432351703135134</v>
      </c>
    </row>
    <row r="43" spans="1:27" hidden="1" outlineLevel="1" x14ac:dyDescent="0.2">
      <c r="A43" s="8" t="s">
        <v>17</v>
      </c>
      <c r="B43" s="20">
        <f>SUMIFS(Tabla2[IMPORT],Tabla2[ANY],$Z$2,Tabla2[MES],'2020'!B$2,Tabla2[TIPUS],'2020'!$A43)</f>
        <v>67.540000000000006</v>
      </c>
      <c r="C43" s="21">
        <f t="shared" ref="C43:E48" si="66">IF(B$41=0,0,B43/B$41)</f>
        <v>2.9241133277916321E-2</v>
      </c>
      <c r="D43" s="20">
        <f>SUMIFS(Tabla2[IMPORT],Tabla2[ANY],$Z$2,Tabla2[MES],'2020'!D$2,Tabla2[TIPUS],'2020'!$A43)</f>
        <v>67.540000000000006</v>
      </c>
      <c r="E43" s="21">
        <f t="shared" si="66"/>
        <v>0.10766091752478722</v>
      </c>
      <c r="F43" s="20">
        <f>SUMIFS(Tabla2[IMPORT],Tabla2[ANY],$Z$2,Tabla2[MES],'2020'!F$2,Tabla2[TIPUS],'2020'!$A43)</f>
        <v>29.040000000000006</v>
      </c>
      <c r="G43" s="21">
        <f t="shared" si="55"/>
        <v>5.42763157894737E-2</v>
      </c>
      <c r="H43" s="20">
        <f>SUMIFS(Tabla2[IMPORT],Tabla2[ANY],$Z$2,Tabla2[MES],'2020'!H$2,Tabla2[TIPUS],'2020'!$A43)</f>
        <v>0</v>
      </c>
      <c r="I43" s="21">
        <f t="shared" si="56"/>
        <v>0</v>
      </c>
      <c r="J43" s="20">
        <f>SUMIFS(Tabla2[IMPORT],Tabla2[ANY],$Z$2,Tabla2[MES],'2020'!J$2,Tabla2[TIPUS],'2020'!$A43)</f>
        <v>0</v>
      </c>
      <c r="K43" s="21">
        <f t="shared" si="57"/>
        <v>0</v>
      </c>
      <c r="L43" s="20">
        <f>SUMIFS(Tabla2[IMPORT],Tabla2[ANY],$Z$2,Tabla2[MES],'2020'!L$2,Tabla2[TIPUS],'2020'!$A43)</f>
        <v>0</v>
      </c>
      <c r="M43" s="21">
        <f t="shared" si="58"/>
        <v>0</v>
      </c>
      <c r="N43" s="20">
        <f>SUMIFS(Tabla2[IMPORT],Tabla2[ANY],$Z$2,Tabla2[MES],'2020'!N$2,Tabla2[TIPUS],'2020'!$A43)</f>
        <v>0</v>
      </c>
      <c r="O43" s="21">
        <f t="shared" si="59"/>
        <v>0</v>
      </c>
      <c r="P43" s="20">
        <f>SUMIFS(Tabla2[IMPORT],Tabla2[ANY],$Z$2,Tabla2[MES],'2020'!P$2,Tabla2[TIPUS],'2020'!$A43)</f>
        <v>33.78</v>
      </c>
      <c r="Q43" s="21">
        <f t="shared" si="60"/>
        <v>5.6300938348972485E-2</v>
      </c>
      <c r="R43" s="20">
        <f>SUMIFS(Tabla2[IMPORT],Tabla2[ANY],$Z$2,Tabla2[MES],'2020'!R$2,Tabla2[TIPUS],'2020'!$A43)</f>
        <v>50.67</v>
      </c>
      <c r="S43" s="21">
        <f t="shared" si="61"/>
        <v>8.2568807339449546E-2</v>
      </c>
      <c r="T43" s="20">
        <f>SUMIFS(Tabla2[IMPORT],Tabla2[ANY],$Z$2,Tabla2[MES],'2020'!T$2,Tabla2[TIPUS],'2020'!$A43)</f>
        <v>68.489999999999995</v>
      </c>
      <c r="U43" s="21">
        <f t="shared" si="62"/>
        <v>0.1084577744699045</v>
      </c>
      <c r="V43" s="20">
        <f>SUMIFS(Tabla2[IMPORT],Tabla2[ANY],$Z$2,Tabla2[MES],'2020'!V$2,Tabla2[TIPUS],'2020'!$A43)</f>
        <v>0</v>
      </c>
      <c r="W43" s="21">
        <f t="shared" si="63"/>
        <v>0</v>
      </c>
      <c r="X43" s="20">
        <f>SUMIFS(Tabla2[IMPORT],Tabla2[ANY],$Z$2,Tabla2[MES],'2020'!X$2,Tabla2[TIPUS],'2020'!$A43)</f>
        <v>0</v>
      </c>
      <c r="Y43" s="21">
        <f t="shared" si="64"/>
        <v>0</v>
      </c>
      <c r="Z43" s="20">
        <f t="shared" si="65"/>
        <v>317.06</v>
      </c>
      <c r="AA43" s="21">
        <f t="shared" ref="AA43:AA48" si="67">IF(Z$41=0,0,Z43/Z$41)</f>
        <v>4.7495142780531567E-2</v>
      </c>
    </row>
    <row r="44" spans="1:27" hidden="1" outlineLevel="1" x14ac:dyDescent="0.2">
      <c r="A44" s="8" t="s">
        <v>85</v>
      </c>
      <c r="B44" s="20">
        <f>SUMIFS(Tabla2[IMPORT],Tabla2[ANY],$Z$2,Tabla2[MES],'2020'!B$2,Tabla2[TIPUS],'2020'!$A44)</f>
        <v>0</v>
      </c>
      <c r="C44" s="21">
        <f t="shared" si="66"/>
        <v>0</v>
      </c>
      <c r="D44" s="20">
        <f>SUMIFS(Tabla2[IMPORT],Tabla2[ANY],$Z$2,Tabla2[MES],'2020'!D$2,Tabla2[TIPUS],'2020'!$A44)</f>
        <v>0</v>
      </c>
      <c r="E44" s="21">
        <f t="shared" si="66"/>
        <v>0</v>
      </c>
      <c r="F44" s="20">
        <f>SUMIFS(Tabla2[IMPORT],Tabla2[ANY],$Z$2,Tabla2[MES],'2020'!F$2,Tabla2[TIPUS],'2020'!$A44)</f>
        <v>0</v>
      </c>
      <c r="G44" s="21">
        <f t="shared" si="55"/>
        <v>0</v>
      </c>
      <c r="H44" s="20">
        <f>SUMIFS(Tabla2[IMPORT],Tabla2[ANY],$Z$2,Tabla2[MES],'2020'!H$2,Tabla2[TIPUS],'2020'!$A44)</f>
        <v>0</v>
      </c>
      <c r="I44" s="21">
        <f t="shared" si="56"/>
        <v>0</v>
      </c>
      <c r="J44" s="20">
        <f>SUMIFS(Tabla2[IMPORT],Tabla2[ANY],$Z$2,Tabla2[MES],'2020'!J$2,Tabla2[TIPUS],'2020'!$A44)</f>
        <v>90</v>
      </c>
      <c r="K44" s="21">
        <f t="shared" si="57"/>
        <v>0.61224489795918369</v>
      </c>
      <c r="L44" s="20">
        <f>SUMIFS(Tabla2[IMPORT],Tabla2[ANY],$Z$2,Tabla2[MES],'2020'!L$2,Tabla2[TIPUS],'2020'!$A44)</f>
        <v>0</v>
      </c>
      <c r="M44" s="21">
        <f t="shared" si="58"/>
        <v>0</v>
      </c>
      <c r="N44" s="20">
        <f>SUMIFS(Tabla2[IMPORT],Tabla2[ANY],$Z$2,Tabla2[MES],'2020'!N$2,Tabla2[TIPUS],'2020'!$A44)</f>
        <v>90</v>
      </c>
      <c r="O44" s="21">
        <f t="shared" si="59"/>
        <v>0.13782542113323124</v>
      </c>
      <c r="P44" s="20">
        <f>SUMIFS(Tabla2[IMPORT],Tabla2[ANY],$Z$2,Tabla2[MES],'2020'!P$2,Tabla2[TIPUS],'2020'!$A44)</f>
        <v>0</v>
      </c>
      <c r="Q44" s="21">
        <f t="shared" si="60"/>
        <v>0</v>
      </c>
      <c r="R44" s="20">
        <f>SUMIFS(Tabla2[IMPORT],Tabla2[ANY],$Z$2,Tabla2[MES],'2020'!R$2,Tabla2[TIPUS],'2020'!$A44)</f>
        <v>0</v>
      </c>
      <c r="S44" s="21">
        <f t="shared" si="61"/>
        <v>0</v>
      </c>
      <c r="T44" s="20">
        <f>SUMIFS(Tabla2[IMPORT],Tabla2[ANY],$Z$2,Tabla2[MES],'2020'!T$2,Tabla2[TIPUS],'2020'!$A44)</f>
        <v>0</v>
      </c>
      <c r="U44" s="21">
        <f t="shared" si="62"/>
        <v>0</v>
      </c>
      <c r="V44" s="20">
        <f>SUMIFS(Tabla2[IMPORT],Tabla2[ANY],$Z$2,Tabla2[MES],'2020'!V$2,Tabla2[TIPUS],'2020'!$A44)</f>
        <v>0</v>
      </c>
      <c r="W44" s="21">
        <f t="shared" si="63"/>
        <v>0</v>
      </c>
      <c r="X44" s="20">
        <f>SUMIFS(Tabla2[IMPORT],Tabla2[ANY],$Z$2,Tabla2[MES],'2020'!X$2,Tabla2[TIPUS],'2020'!$A44)</f>
        <v>180</v>
      </c>
      <c r="Y44" s="21">
        <f t="shared" si="64"/>
        <v>0.759493670886076</v>
      </c>
      <c r="Z44" s="20">
        <f t="shared" si="65"/>
        <v>360</v>
      </c>
      <c r="AA44" s="21">
        <f t="shared" si="67"/>
        <v>5.3927494483666703E-2</v>
      </c>
    </row>
    <row r="45" spans="1:27" hidden="1" outlineLevel="1" x14ac:dyDescent="0.2">
      <c r="A45" s="8" t="s">
        <v>94</v>
      </c>
      <c r="B45" s="20">
        <f>SUMIFS(Tabla2[IMPORT],Tabla2[ANY],$Z$2,Tabla2[MES],'2020'!B$2,Tabla2[TIPUS],'2020'!$A45)</f>
        <v>362.22</v>
      </c>
      <c r="C45" s="21">
        <f t="shared" si="66"/>
        <v>0.15682148794679968</v>
      </c>
      <c r="D45" s="20">
        <f>SUMIFS(Tabla2[IMPORT],Tabla2[ANY],$Z$2,Tabla2[MES],'2020'!D$2,Tabla2[TIPUS],'2020'!$A45)</f>
        <v>0</v>
      </c>
      <c r="E45" s="21">
        <f t="shared" si="66"/>
        <v>0</v>
      </c>
      <c r="F45" s="20">
        <f>SUMIFS(Tabla2[IMPORT],Tabla2[ANY],$Z$2,Tabla2[MES],'2020'!F$2,Tabla2[TIPUS],'2020'!$A45)</f>
        <v>0</v>
      </c>
      <c r="G45" s="21">
        <f t="shared" si="55"/>
        <v>0</v>
      </c>
      <c r="H45" s="20">
        <f>SUMIFS(Tabla2[IMPORT],Tabla2[ANY],$Z$2,Tabla2[MES],'2020'!H$2,Tabla2[TIPUS],'2020'!$A45)</f>
        <v>0</v>
      </c>
      <c r="I45" s="21">
        <f t="shared" si="56"/>
        <v>0</v>
      </c>
      <c r="J45" s="20">
        <f>SUMIFS(Tabla2[IMPORT],Tabla2[ANY],$Z$2,Tabla2[MES],'2020'!J$2,Tabla2[TIPUS],'2020'!$A45)</f>
        <v>0</v>
      </c>
      <c r="K45" s="21">
        <f t="shared" si="57"/>
        <v>0</v>
      </c>
      <c r="L45" s="20">
        <f>SUMIFS(Tabla2[IMPORT],Tabla2[ANY],$Z$2,Tabla2[MES],'2020'!L$2,Tabla2[TIPUS],'2020'!$A45)</f>
        <v>0</v>
      </c>
      <c r="M45" s="21">
        <f t="shared" si="58"/>
        <v>0</v>
      </c>
      <c r="N45" s="20">
        <f>SUMIFS(Tabla2[IMPORT],Tabla2[ANY],$Z$2,Tabla2[MES],'2020'!N$2,Tabla2[TIPUS],'2020'!$A45)</f>
        <v>0</v>
      </c>
      <c r="O45" s="21">
        <f t="shared" si="59"/>
        <v>0</v>
      </c>
      <c r="P45" s="20">
        <f>SUMIFS(Tabla2[IMPORT],Tabla2[ANY],$Z$2,Tabla2[MES],'2020'!P$2,Tabla2[TIPUS],'2020'!$A45)</f>
        <v>0</v>
      </c>
      <c r="Q45" s="21">
        <f t="shared" si="60"/>
        <v>0</v>
      </c>
      <c r="R45" s="20">
        <f>SUMIFS(Tabla2[IMPORT],Tabla2[ANY],$Z$2,Tabla2[MES],'2020'!R$2,Tabla2[TIPUS],'2020'!$A45)</f>
        <v>0</v>
      </c>
      <c r="S45" s="21">
        <f t="shared" si="61"/>
        <v>0</v>
      </c>
      <c r="T45" s="20">
        <f>SUMIFS(Tabla2[IMPORT],Tabla2[ANY],$Z$2,Tabla2[MES],'2020'!T$2,Tabla2[TIPUS],'2020'!$A45)</f>
        <v>0</v>
      </c>
      <c r="U45" s="21">
        <f t="shared" si="62"/>
        <v>0</v>
      </c>
      <c r="V45" s="20">
        <f>SUMIFS(Tabla2[IMPORT],Tabla2[ANY],$Z$2,Tabla2[MES],'2020'!V$2,Tabla2[TIPUS],'2020'!$A45)</f>
        <v>0</v>
      </c>
      <c r="W45" s="21">
        <f t="shared" si="63"/>
        <v>0</v>
      </c>
      <c r="X45" s="20">
        <f>SUMIFS(Tabla2[IMPORT],Tabla2[ANY],$Z$2,Tabla2[MES],'2020'!X$2,Tabla2[TIPUS],'2020'!$A45)</f>
        <v>0</v>
      </c>
      <c r="Y45" s="21">
        <f t="shared" si="64"/>
        <v>0</v>
      </c>
      <c r="Z45" s="20">
        <f t="shared" si="65"/>
        <v>362.22</v>
      </c>
      <c r="AA45" s="21">
        <f t="shared" si="67"/>
        <v>5.4260047366315983E-2</v>
      </c>
    </row>
    <row r="46" spans="1:27" hidden="1" outlineLevel="1" x14ac:dyDescent="0.2">
      <c r="A46" s="8" t="s">
        <v>118</v>
      </c>
      <c r="B46" s="20">
        <f>SUMIFS(Tabla2[IMPORT],Tabla2[ANY],$Z$2,Tabla2[MES],'2020'!B$2,Tabla2[TIPUS],'2020'!$A46)</f>
        <v>749</v>
      </c>
      <c r="C46" s="21">
        <f t="shared" si="66"/>
        <v>0.32427611526738703</v>
      </c>
      <c r="D46" s="20">
        <f>SUMIFS(Tabla2[IMPORT],Tabla2[ANY],$Z$2,Tabla2[MES],'2020'!D$2,Tabla2[TIPUS],'2020'!$A46)</f>
        <v>0</v>
      </c>
      <c r="E46" s="21">
        <f t="shared" si="66"/>
        <v>0</v>
      </c>
      <c r="F46" s="20">
        <f>SUMIFS(Tabla2[IMPORT],Tabla2[ANY],$Z$2,Tabla2[MES],'2020'!F$2,Tabla2[TIPUS],'2020'!$A46)</f>
        <v>0</v>
      </c>
      <c r="G46" s="21">
        <f t="shared" si="55"/>
        <v>0</v>
      </c>
      <c r="H46" s="20">
        <f>SUMIFS(Tabla2[IMPORT],Tabla2[ANY],$Z$2,Tabla2[MES],'2020'!H$2,Tabla2[TIPUS],'2020'!$A46)</f>
        <v>0</v>
      </c>
      <c r="I46" s="21">
        <f t="shared" si="56"/>
        <v>0</v>
      </c>
      <c r="J46" s="20">
        <f>SUMIFS(Tabla2[IMPORT],Tabla2[ANY],$Z$2,Tabla2[MES],'2020'!J$2,Tabla2[TIPUS],'2020'!$A46)</f>
        <v>0</v>
      </c>
      <c r="K46" s="21">
        <f t="shared" si="57"/>
        <v>0</v>
      </c>
      <c r="L46" s="20">
        <f>SUMIFS(Tabla2[IMPORT],Tabla2[ANY],$Z$2,Tabla2[MES],'2020'!L$2,Tabla2[TIPUS],'2020'!$A46)</f>
        <v>0</v>
      </c>
      <c r="M46" s="21">
        <f t="shared" si="58"/>
        <v>0</v>
      </c>
      <c r="N46" s="20">
        <f>SUMIFS(Tabla2[IMPORT],Tabla2[ANY],$Z$2,Tabla2[MES],'2020'!N$2,Tabla2[TIPUS],'2020'!$A46)</f>
        <v>0</v>
      </c>
      <c r="O46" s="21">
        <f t="shared" si="59"/>
        <v>0</v>
      </c>
      <c r="P46" s="20">
        <f>SUMIFS(Tabla2[IMPORT],Tabla2[ANY],$Z$2,Tabla2[MES],'2020'!P$2,Tabla2[TIPUS],'2020'!$A46)</f>
        <v>0</v>
      </c>
      <c r="Q46" s="21">
        <f t="shared" si="60"/>
        <v>0</v>
      </c>
      <c r="R46" s="20">
        <f>SUMIFS(Tabla2[IMPORT],Tabla2[ANY],$Z$2,Tabla2[MES],'2020'!R$2,Tabla2[TIPUS],'2020'!$A46)</f>
        <v>0</v>
      </c>
      <c r="S46" s="21">
        <f t="shared" si="61"/>
        <v>0</v>
      </c>
      <c r="T46" s="20">
        <f>SUMIFS(Tabla2[IMPORT],Tabla2[ANY],$Z$2,Tabla2[MES],'2020'!T$2,Tabla2[TIPUS],'2020'!$A46)</f>
        <v>0</v>
      </c>
      <c r="U46" s="21">
        <f t="shared" si="62"/>
        <v>0</v>
      </c>
      <c r="V46" s="20">
        <f>SUMIFS(Tabla2[IMPORT],Tabla2[ANY],$Z$2,Tabla2[MES],'2020'!V$2,Tabla2[TIPUS],'2020'!$A46)</f>
        <v>0</v>
      </c>
      <c r="W46" s="21">
        <f t="shared" si="63"/>
        <v>0</v>
      </c>
      <c r="X46" s="20">
        <f>SUMIFS(Tabla2[IMPORT],Tabla2[ANY],$Z$2,Tabla2[MES],'2020'!X$2,Tabla2[TIPUS],'2020'!$A46)</f>
        <v>0</v>
      </c>
      <c r="Y46" s="21">
        <f t="shared" si="64"/>
        <v>0</v>
      </c>
      <c r="Z46" s="20">
        <f t="shared" si="65"/>
        <v>749</v>
      </c>
      <c r="AA46" s="21">
        <f t="shared" si="67"/>
        <v>0.11219914824518433</v>
      </c>
    </row>
    <row r="47" spans="1:27" hidden="1" outlineLevel="1" x14ac:dyDescent="0.2">
      <c r="A47" s="8" t="s">
        <v>97</v>
      </c>
      <c r="B47" s="20">
        <f>SUMIFS(Tabla2[IMPORT],Tabla2[ANY],$Z$2,Tabla2[MES],'2020'!B$2,Tabla2[TIPUS],'2020'!$A47)</f>
        <v>0</v>
      </c>
      <c r="C47" s="21">
        <f t="shared" si="66"/>
        <v>0</v>
      </c>
      <c r="D47" s="20">
        <f>SUMIFS(Tabla2[IMPORT],Tabla2[ANY],$Z$2,Tabla2[MES],'2020'!D$2,Tabla2[TIPUS],'2020'!$A47)</f>
        <v>0</v>
      </c>
      <c r="E47" s="21">
        <f t="shared" si="66"/>
        <v>0</v>
      </c>
      <c r="F47" s="20">
        <f>SUMIFS(Tabla2[IMPORT],Tabla2[ANY],$Z$2,Tabla2[MES],'2020'!F$2,Tabla2[TIPUS],'2020'!$A47)</f>
        <v>0</v>
      </c>
      <c r="G47" s="21">
        <f t="shared" si="55"/>
        <v>0</v>
      </c>
      <c r="H47" s="20">
        <f>SUMIFS(Tabla2[IMPORT],Tabla2[ANY],$Z$2,Tabla2[MES],'2020'!H$2,Tabla2[TIPUS],'2020'!$A47)</f>
        <v>0</v>
      </c>
      <c r="I47" s="21">
        <f t="shared" si="56"/>
        <v>0</v>
      </c>
      <c r="J47" s="20">
        <f>SUMIFS(Tabla2[IMPORT],Tabla2[ANY],$Z$2,Tabla2[MES],'2020'!J$2,Tabla2[TIPUS],'2020'!$A47)</f>
        <v>0</v>
      </c>
      <c r="K47" s="21">
        <f t="shared" si="57"/>
        <v>0</v>
      </c>
      <c r="L47" s="20">
        <f>SUMIFS(Tabla2[IMPORT],Tabla2[ANY],$Z$2,Tabla2[MES],'2020'!L$2,Tabla2[TIPUS],'2020'!$A47)</f>
        <v>0</v>
      </c>
      <c r="M47" s="21">
        <f t="shared" si="58"/>
        <v>0</v>
      </c>
      <c r="N47" s="20">
        <f>SUMIFS(Tabla2[IMPORT],Tabla2[ANY],$Z$2,Tabla2[MES],'2020'!N$2,Tabla2[TIPUS],'2020'!$A47)</f>
        <v>0</v>
      </c>
      <c r="O47" s="21">
        <f t="shared" si="59"/>
        <v>0</v>
      </c>
      <c r="P47" s="20">
        <f>SUMIFS(Tabla2[IMPORT],Tabla2[ANY],$Z$2,Tabla2[MES],'2020'!P$2,Tabla2[TIPUS],'2020'!$A47)</f>
        <v>0</v>
      </c>
      <c r="Q47" s="21">
        <f t="shared" si="60"/>
        <v>0</v>
      </c>
      <c r="R47" s="20">
        <f>SUMIFS(Tabla2[IMPORT],Tabla2[ANY],$Z$2,Tabla2[MES],'2020'!R$2,Tabla2[TIPUS],'2020'!$A47)</f>
        <v>0</v>
      </c>
      <c r="S47" s="21">
        <f t="shared" si="61"/>
        <v>0</v>
      </c>
      <c r="T47" s="20">
        <f>SUMIFS(Tabla2[IMPORT],Tabla2[ANY],$Z$2,Tabla2[MES],'2020'!T$2,Tabla2[TIPUS],'2020'!$A47)</f>
        <v>0</v>
      </c>
      <c r="U47" s="21">
        <f t="shared" si="62"/>
        <v>0</v>
      </c>
      <c r="V47" s="20">
        <f>SUMIFS(Tabla2[IMPORT],Tabla2[ANY],$Z$2,Tabla2[MES],'2020'!V$2,Tabla2[TIPUS],'2020'!$A47)</f>
        <v>0</v>
      </c>
      <c r="W47" s="21">
        <f t="shared" si="63"/>
        <v>0</v>
      </c>
      <c r="X47" s="20">
        <f>SUMIFS(Tabla2[IMPORT],Tabla2[ANY],$Z$2,Tabla2[MES],'2020'!X$2,Tabla2[TIPUS],'2020'!$A47)</f>
        <v>0</v>
      </c>
      <c r="Y47" s="21">
        <f t="shared" si="64"/>
        <v>0</v>
      </c>
      <c r="Z47" s="20">
        <f t="shared" si="65"/>
        <v>0</v>
      </c>
      <c r="AA47" s="21">
        <f t="shared" si="67"/>
        <v>0</v>
      </c>
    </row>
    <row r="48" spans="1:27" hidden="1" outlineLevel="1" x14ac:dyDescent="0.2">
      <c r="A48" s="8" t="s">
        <v>113</v>
      </c>
      <c r="B48" s="20">
        <f>SUMIFS(Tabla2[IMPORT],Tabla2[ANY],$Z$2,Tabla2[MES],'2020'!B$2,Tabla2[TIPUS],'2020'!$A48)</f>
        <v>25</v>
      </c>
      <c r="C48" s="21">
        <f t="shared" si="66"/>
        <v>1.0823635356054307E-2</v>
      </c>
      <c r="D48" s="20">
        <f>SUMIFS(Tabla2[IMPORT],Tabla2[ANY],$Z$2,Tabla2[MES],'2020'!D$2,Tabla2[TIPUS],'2020'!$A48)</f>
        <v>53.8</v>
      </c>
      <c r="E48" s="21">
        <f t="shared" si="66"/>
        <v>8.5758918608728932E-2</v>
      </c>
      <c r="F48" s="20">
        <f>SUMIFS(Tabla2[IMPORT],Tabla2[ANY],$Z$2,Tabla2[MES],'2020'!F$2,Tabla2[TIPUS],'2020'!$A48)</f>
        <v>0</v>
      </c>
      <c r="G48" s="21">
        <f t="shared" si="55"/>
        <v>0</v>
      </c>
      <c r="H48" s="20">
        <f>SUMIFS(Tabla2[IMPORT],Tabla2[ANY],$Z$2,Tabla2[MES],'2020'!H$2,Tabla2[TIPUS],'2020'!$A48)</f>
        <v>55.34</v>
      </c>
      <c r="I48" s="21">
        <f t="shared" si="56"/>
        <v>1</v>
      </c>
      <c r="J48" s="20">
        <f>SUMIFS(Tabla2[IMPORT],Tabla2[ANY],$Z$2,Tabla2[MES],'2020'!J$2,Tabla2[TIPUS],'2020'!$A48)</f>
        <v>57</v>
      </c>
      <c r="K48" s="21">
        <f t="shared" si="57"/>
        <v>0.38775510204081631</v>
      </c>
      <c r="L48" s="20">
        <f>SUMIFS(Tabla2[IMPORT],Tabla2[ANY],$Z$2,Tabla2[MES],'2020'!L$2,Tabla2[TIPUS],'2020'!$A48)</f>
        <v>57</v>
      </c>
      <c r="M48" s="21">
        <f t="shared" si="58"/>
        <v>0.27272727272727271</v>
      </c>
      <c r="N48" s="20">
        <f>SUMIFS(Tabla2[IMPORT],Tabla2[ANY],$Z$2,Tabla2[MES],'2020'!N$2,Tabla2[TIPUS],'2020'!$A48)</f>
        <v>57</v>
      </c>
      <c r="O48" s="21">
        <f t="shared" si="59"/>
        <v>8.7289433384379791E-2</v>
      </c>
      <c r="P48" s="20">
        <f>SUMIFS(Tabla2[IMPORT],Tabla2[ANY],$Z$2,Tabla2[MES],'2020'!P$2,Tabla2[TIPUS],'2020'!$A48)</f>
        <v>60.21</v>
      </c>
      <c r="Q48" s="21">
        <f t="shared" si="60"/>
        <v>0.10035167252787547</v>
      </c>
      <c r="R48" s="20">
        <f>SUMIFS(Tabla2[IMPORT],Tabla2[ANY],$Z$2,Tabla2[MES],'2020'!R$2,Tabla2[TIPUS],'2020'!$A48)</f>
        <v>57</v>
      </c>
      <c r="S48" s="21">
        <f t="shared" si="61"/>
        <v>9.2883797480730695E-2</v>
      </c>
      <c r="T48" s="20">
        <f>SUMIFS(Tabla2[IMPORT],Tabla2[ANY],$Z$2,Tabla2[MES],'2020'!T$2,Tabla2[TIPUS],'2020'!$A48)</f>
        <v>57</v>
      </c>
      <c r="U48" s="21">
        <f t="shared" si="62"/>
        <v>9.0262711998606471E-2</v>
      </c>
      <c r="V48" s="20">
        <f>SUMIFS(Tabla2[IMPORT],Tabla2[ANY],$Z$2,Tabla2[MES],'2020'!V$2,Tabla2[TIPUS],'2020'!$A48)</f>
        <v>57</v>
      </c>
      <c r="W48" s="21">
        <f t="shared" si="63"/>
        <v>1</v>
      </c>
      <c r="X48" s="20">
        <f>SUMIFS(Tabla2[IMPORT],Tabla2[ANY],$Z$2,Tabla2[MES],'2020'!X$2,Tabla2[TIPUS],'2020'!$A48)</f>
        <v>57</v>
      </c>
      <c r="Y48" s="21">
        <f t="shared" si="64"/>
        <v>0.24050632911392406</v>
      </c>
      <c r="Z48" s="20">
        <f t="shared" si="65"/>
        <v>593.34999999999991</v>
      </c>
      <c r="AA48" s="21">
        <f t="shared" si="67"/>
        <v>8.8882996810787873E-2</v>
      </c>
    </row>
    <row r="49" spans="1:27" collapsed="1" x14ac:dyDescent="0.2">
      <c r="A49" s="34" t="s">
        <v>86</v>
      </c>
      <c r="B49" s="18">
        <f>SUM(B50:B54)</f>
        <v>357.19</v>
      </c>
      <c r="C49" s="19">
        <f>IF(B$40=0,0,B49/B$40)</f>
        <v>0.13393201972290442</v>
      </c>
      <c r="D49" s="18">
        <f>SUM(D50:D54)</f>
        <v>415.15999999999997</v>
      </c>
      <c r="E49" s="19">
        <f>IF(D$40=0,0,D49/D$40)</f>
        <v>0.39823501199040762</v>
      </c>
      <c r="F49" s="18">
        <f>SUM(F50:F54)</f>
        <v>18.61</v>
      </c>
      <c r="G49" s="19">
        <f>IF(F$40=0,0,F49/F$40)</f>
        <v>3.3613293597037838E-2</v>
      </c>
      <c r="H49" s="18">
        <f>SUM(H50:H54)</f>
        <v>0</v>
      </c>
      <c r="I49" s="19">
        <f>IF(H$40=0,0,H49/H$40)</f>
        <v>0</v>
      </c>
      <c r="J49" s="18">
        <f>SUM(J50:J54)</f>
        <v>187.15</v>
      </c>
      <c r="K49" s="19">
        <f>IF(J$40=0,0,J49/J$40)</f>
        <v>0.56007780936705076</v>
      </c>
      <c r="L49" s="18">
        <f>SUM(L50:L54)</f>
        <v>144.07999999999998</v>
      </c>
      <c r="M49" s="19">
        <f>IF(L$40=0,0,L49/L$40)</f>
        <v>0.40806616064348022</v>
      </c>
      <c r="N49" s="18">
        <f>SUM(N50:N54)</f>
        <v>331.03</v>
      </c>
      <c r="O49" s="19">
        <f>IF(N$40=0,0,N49/N$40)</f>
        <v>0.33640234545694742</v>
      </c>
      <c r="P49" s="18">
        <f>SUM(P50:P54)</f>
        <v>165.52</v>
      </c>
      <c r="Q49" s="19">
        <f>IF(P$40=0,0,P49/P$40)</f>
        <v>0.21622186516178757</v>
      </c>
      <c r="R49" s="18">
        <f>SUM(R50:R54)</f>
        <v>81.93</v>
      </c>
      <c r="S49" s="19">
        <f>IF(R$40=0,0,R49/R$40)</f>
        <v>0.11778320874065558</v>
      </c>
      <c r="T49" s="18">
        <f>SUM(T50:T54)</f>
        <v>0</v>
      </c>
      <c r="U49" s="19">
        <f>IF(T$40=0,0,T49/T$40)</f>
        <v>0</v>
      </c>
      <c r="V49" s="18">
        <f>SUM(V50:V54)</f>
        <v>0</v>
      </c>
      <c r="W49" s="19">
        <f>IF(V$40=0,0,V49/V$40)</f>
        <v>0</v>
      </c>
      <c r="X49" s="18">
        <f>SUM(X50:X54)</f>
        <v>77.94</v>
      </c>
      <c r="Y49" s="19">
        <f>IF(X$40=0,0,X49/X$40)</f>
        <v>0.24747570965898266</v>
      </c>
      <c r="Z49" s="18">
        <f>SUM(Z50:Z54)</f>
        <v>1778.61</v>
      </c>
      <c r="AA49" s="19">
        <f>IF(Z$40=0,0,Z49/Z$40)</f>
        <v>0.21038082666212451</v>
      </c>
    </row>
    <row r="50" spans="1:27" hidden="1" outlineLevel="1" x14ac:dyDescent="0.2">
      <c r="A50" s="8" t="s">
        <v>87</v>
      </c>
      <c r="B50" s="20">
        <f>SUMIFS(Tabla2[IMPORT],Tabla2[ANY],$Z$2,Tabla2[MES],'2020'!B$2,Tabla2[TIPUS],'2020'!$A50)</f>
        <v>27.16</v>
      </c>
      <c r="C50" s="21">
        <f>IF(B$49=0,0,B50/B$49)</f>
        <v>7.6037962988885474E-2</v>
      </c>
      <c r="D50" s="20">
        <f>SUMIFS(Tabla2[IMPORT],Tabla2[ANY],$Z$2,Tabla2[MES],'2020'!D$2,Tabla2[TIPUS],'2020'!$A50)</f>
        <v>27.16</v>
      </c>
      <c r="E50" s="21">
        <f>IF(D$49=0,0,D50/D$49)</f>
        <v>6.5420560747663559E-2</v>
      </c>
      <c r="F50" s="20">
        <f>SUMIFS(Tabla2[IMPORT],Tabla2[ANY],$Z$2,Tabla2[MES],'2020'!F$2,Tabla2[TIPUS],'2020'!$A50)</f>
        <v>0</v>
      </c>
      <c r="G50" s="21">
        <f>IF(F$49=0,0,F50/F$49)</f>
        <v>0</v>
      </c>
      <c r="H50" s="20">
        <f>SUMIFS(Tabla2[IMPORT],Tabla2[ANY],$Z$2,Tabla2[MES],'2020'!H$2,Tabla2[TIPUS],'2020'!$A50)</f>
        <v>0</v>
      </c>
      <c r="I50" s="21">
        <f>IF(H$49=0,0,H50/H$49)</f>
        <v>0</v>
      </c>
      <c r="J50" s="20">
        <f>SUMIFS(Tabla2[IMPORT],Tabla2[ANY],$Z$2,Tabla2[MES],'2020'!J$2,Tabla2[TIPUS],'2020'!$A50)</f>
        <v>0</v>
      </c>
      <c r="K50" s="21">
        <f>IF(J$49=0,0,J50/J$49)</f>
        <v>0</v>
      </c>
      <c r="L50" s="20">
        <f>SUMIFS(Tabla2[IMPORT],Tabla2[ANY],$Z$2,Tabla2[MES],'2020'!L$2,Tabla2[TIPUS],'2020'!$A50)</f>
        <v>0</v>
      </c>
      <c r="M50" s="21">
        <f>IF(L$49=0,0,L50/L$49)</f>
        <v>0</v>
      </c>
      <c r="N50" s="20">
        <f>SUMIFS(Tabla2[IMPORT],Tabla2[ANY],$Z$2,Tabla2[MES],'2020'!N$2,Tabla2[TIPUS],'2020'!$A50)</f>
        <v>164.02</v>
      </c>
      <c r="O50" s="21">
        <f>IF(N$49=0,0,N50/N$49)</f>
        <v>0.49548379300969708</v>
      </c>
      <c r="P50" s="20">
        <f>SUMIFS(Tabla2[IMPORT],Tabla2[ANY],$Z$2,Tabla2[MES],'2020'!P$2,Tabla2[TIPUS],'2020'!$A50)</f>
        <v>130.21</v>
      </c>
      <c r="Q50" s="21">
        <f>IF(P$49=0,0,P50/P$49)</f>
        <v>0.78667230546157563</v>
      </c>
      <c r="R50" s="20">
        <f>SUMIFS(Tabla2[IMPORT],Tabla2[ANY],$Z$2,Tabla2[MES],'2020'!R$2,Tabla2[TIPUS],'2020'!$A50)</f>
        <v>81.93</v>
      </c>
      <c r="S50" s="21">
        <f>IF(R$49=0,0,R50/R$49)</f>
        <v>1</v>
      </c>
      <c r="T50" s="20">
        <f>SUMIFS(Tabla2[IMPORT],Tabla2[ANY],$Z$2,Tabla2[MES],'2020'!T$2,Tabla2[TIPUS],'2020'!$A50)</f>
        <v>0</v>
      </c>
      <c r="U50" s="21">
        <f>IF(T$49=0,0,T50/T$49)</f>
        <v>0</v>
      </c>
      <c r="V50" s="20">
        <f>SUMIFS(Tabla2[IMPORT],Tabla2[ANY],$Z$2,Tabla2[MES],'2020'!V$2,Tabla2[TIPUS],'2020'!$A50)</f>
        <v>0</v>
      </c>
      <c r="W50" s="21">
        <f>IF(V$49=0,0,V50/V$49)</f>
        <v>0</v>
      </c>
      <c r="X50" s="20">
        <f>SUMIFS(Tabla2[IMPORT],Tabla2[ANY],$Z$2,Tabla2[MES],'2020'!X$2,Tabla2[TIPUS],'2020'!$A50)</f>
        <v>77.94</v>
      </c>
      <c r="Y50" s="21">
        <f>IF(X$49=0,0,X50/X$49)</f>
        <v>1</v>
      </c>
      <c r="Z50" s="20">
        <f t="shared" si="65"/>
        <v>508.42</v>
      </c>
      <c r="AA50" s="21">
        <f>IF(Z$49=0,0,Z50/Z$49)</f>
        <v>0.2858524353287118</v>
      </c>
    </row>
    <row r="51" spans="1:27" hidden="1" outlineLevel="1" x14ac:dyDescent="0.2">
      <c r="A51" s="8" t="s">
        <v>88</v>
      </c>
      <c r="B51" s="20">
        <f>SUMIFS(Tabla2[IMPORT],Tabla2[ANY],$Z$2,Tabla2[MES],'2020'!B$2,Tabla2[TIPUS],'2020'!$A51)</f>
        <v>0</v>
      </c>
      <c r="C51" s="21">
        <f t="shared" ref="C51:E54" si="68">IF(B$49=0,0,B51/B$49)</f>
        <v>0</v>
      </c>
      <c r="D51" s="20">
        <f>SUMIFS(Tabla2[IMPORT],Tabla2[ANY],$Z$2,Tabla2[MES],'2020'!D$2,Tabla2[TIPUS],'2020'!$A51)</f>
        <v>0</v>
      </c>
      <c r="E51" s="21">
        <f t="shared" si="68"/>
        <v>0</v>
      </c>
      <c r="F51" s="20">
        <f>SUMIFS(Tabla2[IMPORT],Tabla2[ANY],$Z$2,Tabla2[MES],'2020'!F$2,Tabla2[TIPUS],'2020'!$A51)</f>
        <v>0</v>
      </c>
      <c r="G51" s="21">
        <f>IF(F$49=0,0,F51/F$49)</f>
        <v>0</v>
      </c>
      <c r="H51" s="20">
        <f>SUMIFS(Tabla2[IMPORT],Tabla2[ANY],$Z$2,Tabla2[MES],'2020'!H$2,Tabla2[TIPUS],'2020'!$A51)</f>
        <v>0</v>
      </c>
      <c r="I51" s="21">
        <f>IF(H$49=0,0,H51/H$49)</f>
        <v>0</v>
      </c>
      <c r="J51" s="20">
        <f>SUMIFS(Tabla2[IMPORT],Tabla2[ANY],$Z$2,Tabla2[MES],'2020'!J$2,Tabla2[TIPUS],'2020'!$A51)</f>
        <v>0</v>
      </c>
      <c r="K51" s="21">
        <f>IF(J$49=0,0,J51/J$49)</f>
        <v>0</v>
      </c>
      <c r="L51" s="20">
        <f>SUMIFS(Tabla2[IMPORT],Tabla2[ANY],$Z$2,Tabla2[MES],'2020'!L$2,Tabla2[TIPUS],'2020'!$A51)</f>
        <v>0</v>
      </c>
      <c r="M51" s="21">
        <f>IF(L$49=0,0,L51/L$49)</f>
        <v>0</v>
      </c>
      <c r="N51" s="20">
        <f>SUMIFS(Tabla2[IMPORT],Tabla2[ANY],$Z$2,Tabla2[MES],'2020'!N$2,Tabla2[TIPUS],'2020'!$A51)</f>
        <v>162.01</v>
      </c>
      <c r="O51" s="21">
        <f>IF(N$49=0,0,N51/N$49)</f>
        <v>0.48941183578527625</v>
      </c>
      <c r="P51" s="20">
        <f>SUMIFS(Tabla2[IMPORT],Tabla2[ANY],$Z$2,Tabla2[MES],'2020'!P$2,Tabla2[TIPUS],'2020'!$A51)</f>
        <v>0</v>
      </c>
      <c r="Q51" s="21">
        <f>IF(P$49=0,0,P51/P$49)</f>
        <v>0</v>
      </c>
      <c r="R51" s="20">
        <f>SUMIFS(Tabla2[IMPORT],Tabla2[ANY],$Z$2,Tabla2[MES],'2020'!R$2,Tabla2[TIPUS],'2020'!$A51)</f>
        <v>0</v>
      </c>
      <c r="S51" s="21">
        <f>IF(R$49=0,0,R51/R$49)</f>
        <v>0</v>
      </c>
      <c r="T51" s="20">
        <f>SUMIFS(Tabla2[IMPORT],Tabla2[ANY],$Z$2,Tabla2[MES],'2020'!T$2,Tabla2[TIPUS],'2020'!$A51)</f>
        <v>0</v>
      </c>
      <c r="U51" s="21">
        <f>IF(T$49=0,0,T51/T$49)</f>
        <v>0</v>
      </c>
      <c r="V51" s="20">
        <f>SUMIFS(Tabla2[IMPORT],Tabla2[ANY],$Z$2,Tabla2[MES],'2020'!V$2,Tabla2[TIPUS],'2020'!$A51)</f>
        <v>0</v>
      </c>
      <c r="W51" s="21">
        <f>IF(V$49=0,0,V51/V$49)</f>
        <v>0</v>
      </c>
      <c r="X51" s="20">
        <f>SUMIFS(Tabla2[IMPORT],Tabla2[ANY],$Z$2,Tabla2[MES],'2020'!X$2,Tabla2[TIPUS],'2020'!$A51)</f>
        <v>0</v>
      </c>
      <c r="Y51" s="21">
        <f>IF(X$49=0,0,X51/X$49)</f>
        <v>0</v>
      </c>
      <c r="Z51" s="20">
        <f t="shared" si="65"/>
        <v>162.01</v>
      </c>
      <c r="AA51" s="21">
        <f>IF(Z$49=0,0,Z51/Z$49)</f>
        <v>9.1087984437285302E-2</v>
      </c>
    </row>
    <row r="52" spans="1:27" hidden="1" outlineLevel="1" x14ac:dyDescent="0.2">
      <c r="A52" s="8" t="s">
        <v>89</v>
      </c>
      <c r="B52" s="20">
        <f>SUMIFS(Tabla2[IMPORT],Tabla2[ANY],$Z$2,Tabla2[MES],'2020'!B$2,Tabla2[TIPUS],'2020'!$A52)</f>
        <v>100.03</v>
      </c>
      <c r="C52" s="21">
        <f t="shared" si="68"/>
        <v>0.2800470337915395</v>
      </c>
      <c r="D52" s="20">
        <f>SUMIFS(Tabla2[IMPORT],Tabla2[ANY],$Z$2,Tabla2[MES],'2020'!D$2,Tabla2[TIPUS],'2020'!$A52)</f>
        <v>93</v>
      </c>
      <c r="E52" s="21">
        <f t="shared" si="68"/>
        <v>0.22401002023316313</v>
      </c>
      <c r="F52" s="20">
        <f>SUMIFS(Tabla2[IMPORT],Tabla2[ANY],$Z$2,Tabla2[MES],'2020'!F$2,Tabla2[TIPUS],'2020'!$A52)</f>
        <v>18.61</v>
      </c>
      <c r="G52" s="21">
        <f>IF(F$49=0,0,F52/F$49)</f>
        <v>1</v>
      </c>
      <c r="H52" s="20">
        <f>SUMIFS(Tabla2[IMPORT],Tabla2[ANY],$Z$2,Tabla2[MES],'2020'!H$2,Tabla2[TIPUS],'2020'!$A52)</f>
        <v>0</v>
      </c>
      <c r="I52" s="21">
        <f>IF(H$49=0,0,H52/H$49)</f>
        <v>0</v>
      </c>
      <c r="J52" s="20">
        <f>SUMIFS(Tabla2[IMPORT],Tabla2[ANY],$Z$2,Tabla2[MES],'2020'!J$2,Tabla2[TIPUS],'2020'!$A52)</f>
        <v>187.15</v>
      </c>
      <c r="K52" s="21">
        <f>IF(J$49=0,0,J52/J$49)</f>
        <v>1</v>
      </c>
      <c r="L52" s="20">
        <f>SUMIFS(Tabla2[IMPORT],Tabla2[ANY],$Z$2,Tabla2[MES],'2020'!L$2,Tabla2[TIPUS],'2020'!$A52)</f>
        <v>144.07999999999998</v>
      </c>
      <c r="M52" s="21">
        <f>IF(L$49=0,0,L52/L$49)</f>
        <v>1</v>
      </c>
      <c r="N52" s="20">
        <f>SUMIFS(Tabla2[IMPORT],Tabla2[ANY],$Z$2,Tabla2[MES],'2020'!N$2,Tabla2[TIPUS],'2020'!$A52)</f>
        <v>5</v>
      </c>
      <c r="O52" s="21">
        <f>IF(N$49=0,0,N52/N$49)</f>
        <v>1.5104371205026735E-2</v>
      </c>
      <c r="P52" s="20">
        <f>SUMIFS(Tabla2[IMPORT],Tabla2[ANY],$Z$2,Tabla2[MES],'2020'!P$2,Tabla2[TIPUS],'2020'!$A52)</f>
        <v>35.31</v>
      </c>
      <c r="Q52" s="21">
        <f>IF(P$49=0,0,P52/P$49)</f>
        <v>0.21332769453842437</v>
      </c>
      <c r="R52" s="20">
        <f>SUMIFS(Tabla2[IMPORT],Tabla2[ANY],$Z$2,Tabla2[MES],'2020'!R$2,Tabla2[TIPUS],'2020'!$A52)</f>
        <v>0</v>
      </c>
      <c r="S52" s="21">
        <f>IF(R$49=0,0,R52/R$49)</f>
        <v>0</v>
      </c>
      <c r="T52" s="20">
        <f>SUMIFS(Tabla2[IMPORT],Tabla2[ANY],$Z$2,Tabla2[MES],'2020'!T$2,Tabla2[TIPUS],'2020'!$A52)</f>
        <v>0</v>
      </c>
      <c r="U52" s="21">
        <f>IF(T$49=0,0,T52/T$49)</f>
        <v>0</v>
      </c>
      <c r="V52" s="20">
        <f>SUMIFS(Tabla2[IMPORT],Tabla2[ANY],$Z$2,Tabla2[MES],'2020'!V$2,Tabla2[TIPUS],'2020'!$A52)</f>
        <v>0</v>
      </c>
      <c r="W52" s="21">
        <f>IF(V$49=0,0,V52/V$49)</f>
        <v>0</v>
      </c>
      <c r="X52" s="20">
        <f>SUMIFS(Tabla2[IMPORT],Tabla2[ANY],$Z$2,Tabla2[MES],'2020'!X$2,Tabla2[TIPUS],'2020'!$A52)</f>
        <v>0</v>
      </c>
      <c r="Y52" s="21">
        <f>IF(X$49=0,0,X52/X$49)</f>
        <v>0</v>
      </c>
      <c r="Z52" s="20">
        <f t="shared" si="65"/>
        <v>583.17999999999984</v>
      </c>
      <c r="AA52" s="21">
        <f>IF(Z$49=0,0,Z52/Z$49)</f>
        <v>0.32788525871326479</v>
      </c>
    </row>
    <row r="53" spans="1:27" hidden="1" outlineLevel="1" x14ac:dyDescent="0.2">
      <c r="A53" s="8" t="s">
        <v>145</v>
      </c>
      <c r="B53" s="20">
        <f>SUMIFS(Tabla2[IMPORT],Tabla2[ANY],$Z$2,Tabla2[MES],'2020'!B$2,Tabla2[TIPUS],'2020'!$A53)</f>
        <v>80</v>
      </c>
      <c r="C53" s="21">
        <f>IF(B$49=0,0,B53/B$49)</f>
        <v>0.22397043590246088</v>
      </c>
      <c r="D53" s="20">
        <f>SUMIFS(Tabla2[IMPORT],Tabla2[ANY],$Z$2,Tabla2[MES],'2020'!D$2,Tabla2[TIPUS],'2020'!$A53)</f>
        <v>0</v>
      </c>
      <c r="E53" s="21">
        <f>IF(D$49=0,0,D53/D$49)</f>
        <v>0</v>
      </c>
      <c r="F53" s="20">
        <f>SUMIFS(Tabla2[IMPORT],Tabla2[ANY],$Z$2,Tabla2[MES],'2020'!F$2,Tabla2[TIPUS],'2020'!$A53)</f>
        <v>0</v>
      </c>
      <c r="G53" s="21">
        <f>IF(F$49=0,0,F53/F$49)</f>
        <v>0</v>
      </c>
      <c r="H53" s="20">
        <f>SUMIFS(Tabla2[IMPORT],Tabla2[ANY],$Z$2,Tabla2[MES],'2020'!H$2,Tabla2[TIPUS],'2020'!$A53)</f>
        <v>0</v>
      </c>
      <c r="I53" s="21">
        <f>IF(H$49=0,0,H53/H$49)</f>
        <v>0</v>
      </c>
      <c r="J53" s="20">
        <f>SUMIFS(Tabla2[IMPORT],Tabla2[ANY],$Z$2,Tabla2[MES],'2020'!J$2,Tabla2[TIPUS],'2020'!$A53)</f>
        <v>0</v>
      </c>
      <c r="K53" s="21">
        <f>IF(J$49=0,0,J53/J$49)</f>
        <v>0</v>
      </c>
      <c r="L53" s="20">
        <f>SUMIFS(Tabla2[IMPORT],Tabla2[ANY],$Z$2,Tabla2[MES],'2020'!L$2,Tabla2[TIPUS],'2020'!$A53)</f>
        <v>0</v>
      </c>
      <c r="M53" s="21">
        <f>IF(L$49=0,0,L53/L$49)</f>
        <v>0</v>
      </c>
      <c r="N53" s="20">
        <f>SUMIFS(Tabla2[IMPORT],Tabla2[ANY],$Z$2,Tabla2[MES],'2020'!N$2,Tabla2[TIPUS],'2020'!$A53)</f>
        <v>0</v>
      </c>
      <c r="O53" s="21">
        <f>IF(N$49=0,0,N53/N$49)</f>
        <v>0</v>
      </c>
      <c r="P53" s="20">
        <f>SUMIFS(Tabla2[IMPORT],Tabla2[ANY],$Z$2,Tabla2[MES],'2020'!P$2,Tabla2[TIPUS],'2020'!$A53)</f>
        <v>0</v>
      </c>
      <c r="Q53" s="21">
        <f>IF(P$49=0,0,P53/P$49)</f>
        <v>0</v>
      </c>
      <c r="R53" s="20">
        <f>SUMIFS(Tabla2[IMPORT],Tabla2[ANY],$Z$2,Tabla2[MES],'2020'!R$2,Tabla2[TIPUS],'2020'!$A53)</f>
        <v>0</v>
      </c>
      <c r="S53" s="21">
        <f>IF(R$49=0,0,R53/R$49)</f>
        <v>0</v>
      </c>
      <c r="T53" s="20">
        <f>SUMIFS(Tabla2[IMPORT],Tabla2[ANY],$Z$2,Tabla2[MES],'2020'!T$2,Tabla2[TIPUS],'2020'!$A53)</f>
        <v>0</v>
      </c>
      <c r="U53" s="21">
        <f>IF(T$49=0,0,T53/T$49)</f>
        <v>0</v>
      </c>
      <c r="V53" s="20">
        <f>SUMIFS(Tabla2[IMPORT],Tabla2[ANY],$Z$2,Tabla2[MES],'2020'!V$2,Tabla2[TIPUS],'2020'!$A53)</f>
        <v>0</v>
      </c>
      <c r="W53" s="21">
        <f>IF(V$49=0,0,V53/V$49)</f>
        <v>0</v>
      </c>
      <c r="X53" s="20">
        <f>SUMIFS(Tabla2[IMPORT],Tabla2[ANY],$Z$2,Tabla2[MES],'2020'!X$2,Tabla2[TIPUS],'2020'!$A53)</f>
        <v>0</v>
      </c>
      <c r="Y53" s="21">
        <f>IF(X$49=0,0,X53/X$49)</f>
        <v>0</v>
      </c>
      <c r="Z53" s="20">
        <f>B53+D53+F53+H53+J53+L53+N53+P53+R53+T53+V53+X53</f>
        <v>80</v>
      </c>
      <c r="AA53" s="21">
        <f>IF(Z$49=0,0,Z53/Z$49)</f>
        <v>4.4978944231731523E-2</v>
      </c>
    </row>
    <row r="54" spans="1:27" hidden="1" outlineLevel="1" x14ac:dyDescent="0.2">
      <c r="A54" s="8" t="s">
        <v>90</v>
      </c>
      <c r="B54" s="20">
        <f>SUMIFS(Tabla2[IMPORT],Tabla2[ANY],$Z$2,Tabla2[MES],'2020'!B$2,Tabla2[TIPUS],'2020'!$A54)</f>
        <v>150</v>
      </c>
      <c r="C54" s="21">
        <f t="shared" si="68"/>
        <v>0.41994456731711416</v>
      </c>
      <c r="D54" s="20">
        <f>SUMIFS(Tabla2[IMPORT],Tabla2[ANY],$Z$2,Tabla2[MES],'2020'!D$2,Tabla2[TIPUS],'2020'!$A54)</f>
        <v>295</v>
      </c>
      <c r="E54" s="21">
        <f t="shared" si="68"/>
        <v>0.71056941901917337</v>
      </c>
      <c r="F54" s="20">
        <f>SUMIFS(Tabla2[IMPORT],Tabla2[ANY],$Z$2,Tabla2[MES],'2020'!F$2,Tabla2[TIPUS],'2020'!$A54)</f>
        <v>0</v>
      </c>
      <c r="G54" s="21">
        <f>IF(F$49=0,0,F54/F$49)</f>
        <v>0</v>
      </c>
      <c r="H54" s="20">
        <f>SUMIFS(Tabla2[IMPORT],Tabla2[ANY],$Z$2,Tabla2[MES],'2020'!H$2,Tabla2[TIPUS],'2020'!$A54)</f>
        <v>0</v>
      </c>
      <c r="I54" s="21">
        <f>IF(H$49=0,0,H54/H$49)</f>
        <v>0</v>
      </c>
      <c r="J54" s="20">
        <f>SUMIFS(Tabla2[IMPORT],Tabla2[ANY],$Z$2,Tabla2[MES],'2020'!J$2,Tabla2[TIPUS],'2020'!$A54)</f>
        <v>0</v>
      </c>
      <c r="K54" s="21">
        <f>IF(J$49=0,0,J54/J$49)</f>
        <v>0</v>
      </c>
      <c r="L54" s="20">
        <f>SUMIFS(Tabla2[IMPORT],Tabla2[ANY],$Z$2,Tabla2[MES],'2020'!L$2,Tabla2[TIPUS],'2020'!$A54)</f>
        <v>0</v>
      </c>
      <c r="M54" s="21">
        <f>IF(L$49=0,0,L54/L$49)</f>
        <v>0</v>
      </c>
      <c r="N54" s="20">
        <f>SUMIFS(Tabla2[IMPORT],Tabla2[ANY],$Z$2,Tabla2[MES],'2020'!N$2,Tabla2[TIPUS],'2020'!$A54)</f>
        <v>0</v>
      </c>
      <c r="O54" s="21">
        <f>IF(N$49=0,0,N54/N$49)</f>
        <v>0</v>
      </c>
      <c r="P54" s="20">
        <f>SUMIFS(Tabla2[IMPORT],Tabla2[ANY],$Z$2,Tabla2[MES],'2020'!P$2,Tabla2[TIPUS],'2020'!$A54)</f>
        <v>0</v>
      </c>
      <c r="Q54" s="21">
        <f>IF(P$49=0,0,P54/P$49)</f>
        <v>0</v>
      </c>
      <c r="R54" s="20">
        <f>SUMIFS(Tabla2[IMPORT],Tabla2[ANY],$Z$2,Tabla2[MES],'2020'!R$2,Tabla2[TIPUS],'2020'!$A54)</f>
        <v>0</v>
      </c>
      <c r="S54" s="21">
        <f>IF(R$49=0,0,R54/R$49)</f>
        <v>0</v>
      </c>
      <c r="T54" s="20">
        <f>SUMIFS(Tabla2[IMPORT],Tabla2[ANY],$Z$2,Tabla2[MES],'2020'!T$2,Tabla2[TIPUS],'2020'!$A54)</f>
        <v>0</v>
      </c>
      <c r="U54" s="21">
        <f>IF(T$49=0,0,T54/T$49)</f>
        <v>0</v>
      </c>
      <c r="V54" s="20">
        <f>SUMIFS(Tabla2[IMPORT],Tabla2[ANY],$Z$2,Tabla2[MES],'2020'!V$2,Tabla2[TIPUS],'2020'!$A54)</f>
        <v>0</v>
      </c>
      <c r="W54" s="21">
        <f>IF(V$49=0,0,V54/V$49)</f>
        <v>0</v>
      </c>
      <c r="X54" s="20">
        <f>SUMIFS(Tabla2[IMPORT],Tabla2[ANY],$Z$2,Tabla2[MES],'2020'!X$2,Tabla2[TIPUS],'2020'!$A54)</f>
        <v>0</v>
      </c>
      <c r="Y54" s="21">
        <f>IF(X$49=0,0,X54/X$49)</f>
        <v>0</v>
      </c>
      <c r="Z54" s="20">
        <f t="shared" si="65"/>
        <v>445</v>
      </c>
      <c r="AA54" s="21">
        <f>IF(Z$49=0,0,Z54/Z$49)</f>
        <v>0.25019537728900659</v>
      </c>
    </row>
    <row r="55" spans="1:27" ht="15.75" collapsed="1" thickBot="1" x14ac:dyDescent="0.25">
      <c r="A55" s="15" t="s">
        <v>121</v>
      </c>
      <c r="B55" s="26">
        <f>B3-B40</f>
        <v>873.04999999999973</v>
      </c>
      <c r="C55" s="27">
        <f>IF(B3=0,0,B55/B3)</f>
        <v>0.24662429378531064</v>
      </c>
      <c r="D55" s="26">
        <f>D3-D40</f>
        <v>1902.5</v>
      </c>
      <c r="E55" s="27">
        <f>IF(D3=0,0,D55/D3)</f>
        <v>0.64601018675721567</v>
      </c>
      <c r="F55" s="26">
        <f>F3-F40</f>
        <v>196.35000000000002</v>
      </c>
      <c r="G55" s="27">
        <f>IF(F3=0,0,F55/F3)</f>
        <v>0.26180000000000003</v>
      </c>
      <c r="H55" s="26">
        <f>H3-H40</f>
        <v>605.86</v>
      </c>
      <c r="I55" s="27">
        <f>IF(H3=0,0,H55/H3)</f>
        <v>0.91630369026013303</v>
      </c>
      <c r="J55" s="26">
        <f>J3-J40</f>
        <v>701.73000000000013</v>
      </c>
      <c r="K55" s="27">
        <f>IF(J3=0,0,J55/J3)</f>
        <v>0.67742402594895168</v>
      </c>
      <c r="L55" s="26">
        <f>L3-L40</f>
        <v>1493.1200000000001</v>
      </c>
      <c r="M55" s="27">
        <f>IF(L3=0,0,L55/L3)</f>
        <v>0.80875311450547072</v>
      </c>
      <c r="N55" s="26">
        <f>N3-N40</f>
        <v>3030.9700000000003</v>
      </c>
      <c r="O55" s="27">
        <f>IF(N3=0,0,N55/N3)</f>
        <v>0.75491158156911586</v>
      </c>
      <c r="P55" s="26">
        <f>P3-P40</f>
        <v>749.49</v>
      </c>
      <c r="Q55" s="27">
        <f>IF(P3=0,0,P55/P3)</f>
        <v>0.49471287128712871</v>
      </c>
      <c r="R55" s="26">
        <f>R3-R40</f>
        <v>499.3900000000001</v>
      </c>
      <c r="S55" s="27">
        <f>IF(R3=0,0,R55/R3)</f>
        <v>0.417903078686851</v>
      </c>
      <c r="T55" s="26">
        <f>T3-T40</f>
        <v>185.71000000000004</v>
      </c>
      <c r="U55" s="27">
        <f>IF(T3=0,0,T55/T3)</f>
        <v>0.22725159079784635</v>
      </c>
      <c r="V55" s="26">
        <f>V3-V40</f>
        <v>415.2</v>
      </c>
      <c r="W55" s="27">
        <f>IF(V3=0,0,V55/V3)</f>
        <v>0.87928843710292248</v>
      </c>
      <c r="X55" s="26">
        <f>X3-X40</f>
        <v>2307.2599999999998</v>
      </c>
      <c r="Y55" s="27">
        <f>IF(X3=0,0,X55/X3)</f>
        <v>0.87989474487071917</v>
      </c>
      <c r="Z55" s="26">
        <f>Z3-Z40</f>
        <v>12960.629999999997</v>
      </c>
      <c r="AA55" s="27">
        <f>IF(Z3=0,0,Z55/Z3)</f>
        <v>0.60521637535039896</v>
      </c>
    </row>
    <row r="56" spans="1:27" ht="16.5" thickTop="1" thickBot="1" x14ac:dyDescent="0.25">
      <c r="A56" s="13" t="s">
        <v>120</v>
      </c>
      <c r="B56" s="28">
        <f>B57</f>
        <v>24.77138888888889</v>
      </c>
      <c r="C56" s="29">
        <f>IF(B3=0,0,B56/B3)</f>
        <v>6.9975674827369742E-3</v>
      </c>
      <c r="D56" s="28">
        <f t="shared" ref="D56:Z56" si="69">D57</f>
        <v>24.77138888888889</v>
      </c>
      <c r="E56" s="29">
        <f>IF(D3=0,0,D56/D3)</f>
        <v>8.4113374834936805E-3</v>
      </c>
      <c r="F56" s="28">
        <f t="shared" si="69"/>
        <v>24.77138888888889</v>
      </c>
      <c r="G56" s="29">
        <f>IF(F3=0,0,F56/F3)</f>
        <v>3.302851851851852E-2</v>
      </c>
      <c r="H56" s="28">
        <f t="shared" si="69"/>
        <v>24.77138888888889</v>
      </c>
      <c r="I56" s="29">
        <f>IF(H3=0,0,H56/H3)</f>
        <v>3.7464290515560932E-2</v>
      </c>
      <c r="J56" s="28">
        <f t="shared" si="69"/>
        <v>24.77138888888889</v>
      </c>
      <c r="K56" s="29">
        <f>IF(J3=0,0,J56/J3)</f>
        <v>2.3913376924826125E-2</v>
      </c>
      <c r="L56" s="28">
        <f t="shared" si="69"/>
        <v>24.77138888888889</v>
      </c>
      <c r="M56" s="29">
        <f>IF(L3=0,0,L56/L3)</f>
        <v>1.3417500210642882E-2</v>
      </c>
      <c r="N56" s="28">
        <f t="shared" si="69"/>
        <v>24.77138888888889</v>
      </c>
      <c r="O56" s="29">
        <f>IF(N3=0,0,N56/N3)</f>
        <v>6.1697108066971085E-3</v>
      </c>
      <c r="P56" s="28">
        <f t="shared" si="69"/>
        <v>24.77138888888889</v>
      </c>
      <c r="Q56" s="29">
        <f>IF(P3=0,0,P56/P3)</f>
        <v>1.6350751741840853E-2</v>
      </c>
      <c r="R56" s="28">
        <f t="shared" si="69"/>
        <v>24.77138888888889</v>
      </c>
      <c r="S56" s="29">
        <f>IF(R3=0,0,R56/R3)</f>
        <v>2.0729369190444179E-2</v>
      </c>
      <c r="T56" s="28">
        <f t="shared" si="69"/>
        <v>24.77138888888889</v>
      </c>
      <c r="U56" s="29">
        <f>IF(T3=0,0,T56/T3)</f>
        <v>3.0312516995703486E-2</v>
      </c>
      <c r="V56" s="28">
        <f t="shared" si="69"/>
        <v>24.77138888888889</v>
      </c>
      <c r="W56" s="29">
        <f>IF(V3=0,0,V56/V3)</f>
        <v>5.2459527507176813E-2</v>
      </c>
      <c r="X56" s="28">
        <f t="shared" si="69"/>
        <v>24.77138888888889</v>
      </c>
      <c r="Y56" s="29">
        <f>IF(X3=0,0,X56/X3)</f>
        <v>9.4467961592894865E-3</v>
      </c>
      <c r="Z56" s="28">
        <f t="shared" si="69"/>
        <v>297.25666666666666</v>
      </c>
      <c r="AA56" s="29">
        <f>IF(Z3=0,0,Z56/Z3)</f>
        <v>1.388085319531086E-2</v>
      </c>
    </row>
    <row r="57" spans="1:27" hidden="1" outlineLevel="1" x14ac:dyDescent="0.2">
      <c r="A57" s="8" t="s">
        <v>81</v>
      </c>
      <c r="B57" s="20">
        <f>IF($A$2&gt;=1,Tarifas!$F$47,0)</f>
        <v>24.77138888888889</v>
      </c>
      <c r="C57" s="21">
        <f>IF(B56=0,0,B57/B56)</f>
        <v>1</v>
      </c>
      <c r="D57" s="20">
        <f>IF($A$2&gt;=2,Tarifas!$F$47,0)</f>
        <v>24.77138888888889</v>
      </c>
      <c r="E57" s="21">
        <f>IF(D56=0,0,D57/D56)</f>
        <v>1</v>
      </c>
      <c r="F57" s="20">
        <f>IF($A$2&gt;=3,Tarifas!$F$47,0)</f>
        <v>24.77138888888889</v>
      </c>
      <c r="G57" s="21">
        <f>IF(F56=0,0,F57/F56)</f>
        <v>1</v>
      </c>
      <c r="H57" s="20">
        <f>IF($A$2&gt;=4,Tarifas!$F$47,0)</f>
        <v>24.77138888888889</v>
      </c>
      <c r="I57" s="21">
        <f>IF(H56=0,0,H57/H56)</f>
        <v>1</v>
      </c>
      <c r="J57" s="20">
        <f>IF($A$2&gt;=5,Tarifas!$F$47,0)</f>
        <v>24.77138888888889</v>
      </c>
      <c r="K57" s="21">
        <f>IF(J56=0,0,J57/J56)</f>
        <v>1</v>
      </c>
      <c r="L57" s="20">
        <f>IF($A$2&gt;=6,Tarifas!$F$47,0)</f>
        <v>24.77138888888889</v>
      </c>
      <c r="M57" s="21">
        <f>IF(L56=0,0,L57/L56)</f>
        <v>1</v>
      </c>
      <c r="N57" s="20">
        <f>IF($A$2&gt;=7,Tarifas!$F$47,0)</f>
        <v>24.77138888888889</v>
      </c>
      <c r="O57" s="21">
        <f>IF(N56=0,0,N57/N56)</f>
        <v>1</v>
      </c>
      <c r="P57" s="20">
        <f>IF($A$2&gt;=8,Tarifas!$F$47,0)</f>
        <v>24.77138888888889</v>
      </c>
      <c r="Q57" s="21">
        <f>IF(P56=0,0,P57/P56)</f>
        <v>1</v>
      </c>
      <c r="R57" s="20">
        <f>IF($A$2&gt;=9,Tarifas!$F$47,0)</f>
        <v>24.77138888888889</v>
      </c>
      <c r="S57" s="21">
        <f>IF(R56=0,0,R57/R56)</f>
        <v>1</v>
      </c>
      <c r="T57" s="20">
        <f>IF($A$2&gt;=10,Tarifas!$F$47,0)</f>
        <v>24.77138888888889</v>
      </c>
      <c r="U57" s="21">
        <f>IF(T56=0,0,T57/T56)</f>
        <v>1</v>
      </c>
      <c r="V57" s="20">
        <f>IF($A$2&gt;=11,Tarifas!$F$47,0)</f>
        <v>24.77138888888889</v>
      </c>
      <c r="W57" s="21">
        <f>IF(V56=0,0,V57/V56)</f>
        <v>1</v>
      </c>
      <c r="X57" s="20">
        <f>IF($A$2&gt;=12,Tarifas!$F$47,0)</f>
        <v>24.77138888888889</v>
      </c>
      <c r="Y57" s="21">
        <f>IF(X56=0,0,X57/X56)</f>
        <v>1</v>
      </c>
      <c r="Z57" s="20">
        <f>B57+D57+F57+H57+J57+L57+N57+P57+R57+T57+V57+X57</f>
        <v>297.25666666666666</v>
      </c>
      <c r="AA57" s="21">
        <f>IF(Z56=0,0,Z57/Z56)</f>
        <v>1</v>
      </c>
    </row>
    <row r="58" spans="1:27" ht="15.75" collapsed="1" thickBot="1" x14ac:dyDescent="0.25">
      <c r="A58" s="15" t="s">
        <v>122</v>
      </c>
      <c r="B58" s="26">
        <f>B55-B56</f>
        <v>848.27861111111088</v>
      </c>
      <c r="C58" s="27">
        <f>IF(B$3=0,0,B58/B$3)</f>
        <v>0.2396267263025737</v>
      </c>
      <c r="D58" s="26">
        <f>D55-D56</f>
        <v>1877.7286111111111</v>
      </c>
      <c r="E58" s="27">
        <f>IF(D$3=0,0,D58/D$3)</f>
        <v>0.6375988492737219</v>
      </c>
      <c r="F58" s="26">
        <f>F55-F56</f>
        <v>171.57861111111114</v>
      </c>
      <c r="G58" s="27">
        <f>IF(F$3=0,0,F58/F$3)</f>
        <v>0.22877148148148152</v>
      </c>
      <c r="H58" s="26">
        <f>H55-H56</f>
        <v>581.08861111111116</v>
      </c>
      <c r="I58" s="27">
        <f>IF(H$3=0,0,H58/H$3)</f>
        <v>0.87883939974457215</v>
      </c>
      <c r="J58" s="26">
        <f>J55-J56</f>
        <v>676.95861111111128</v>
      </c>
      <c r="K58" s="27">
        <f>IF(J$3=0,0,J58/J$3)</f>
        <v>0.65351064902412559</v>
      </c>
      <c r="L58" s="26">
        <f>L55-L56</f>
        <v>1468.3486111111113</v>
      </c>
      <c r="M58" s="27">
        <f>IF(L$3=0,0,L58/L$3)</f>
        <v>0.79533561429482791</v>
      </c>
      <c r="N58" s="26">
        <f>N55-N56</f>
        <v>3006.1986111111114</v>
      </c>
      <c r="O58" s="27">
        <f>IF(N$3=0,0,N58/N$3)</f>
        <v>0.74874187076241883</v>
      </c>
      <c r="P58" s="26">
        <f>P55-P56</f>
        <v>724.71861111111116</v>
      </c>
      <c r="Q58" s="27">
        <f>IF(P$3=0,0,P58/P$3)</f>
        <v>0.4783621195452879</v>
      </c>
      <c r="R58" s="26">
        <f>R55-R56</f>
        <v>474.61861111111119</v>
      </c>
      <c r="S58" s="27">
        <f>IF(R$3=0,0,R58/R$3)</f>
        <v>0.39717370949640685</v>
      </c>
      <c r="T58" s="26">
        <f>T55-T56</f>
        <v>160.93861111111116</v>
      </c>
      <c r="U58" s="27">
        <f>IF(T$3=0,0,T58/T$3)</f>
        <v>0.19693907380214287</v>
      </c>
      <c r="V58" s="26">
        <f>V55-V56</f>
        <v>390.42861111111108</v>
      </c>
      <c r="W58" s="27">
        <f>IF(V$3=0,0,V58/V$3)</f>
        <v>0.82682890959574562</v>
      </c>
      <c r="X58" s="26">
        <f>X55-X56</f>
        <v>2282.4886111111109</v>
      </c>
      <c r="Y58" s="27">
        <f>IF(X$3=0,0,X58/X$3)</f>
        <v>0.87044794871142972</v>
      </c>
      <c r="Z58" s="26">
        <f>Z55-Z56</f>
        <v>12663.373333333331</v>
      </c>
      <c r="AA58" s="27">
        <f>IF(Z$3=0,0,Z58/Z$3)</f>
        <v>0.59133552215508811</v>
      </c>
    </row>
    <row r="59" spans="1:27" ht="16.5" thickTop="1" thickBot="1" x14ac:dyDescent="0.25">
      <c r="A59" s="13" t="s">
        <v>134</v>
      </c>
      <c r="B59" s="28">
        <f>B60</f>
        <v>0</v>
      </c>
      <c r="C59" s="29">
        <f>IF(B$3=0,0,B59/B$3)</f>
        <v>0</v>
      </c>
      <c r="D59" s="28">
        <f>D60</f>
        <v>0</v>
      </c>
      <c r="E59" s="29">
        <f>IF(D$3=0,0,D59/D$3)</f>
        <v>0</v>
      </c>
      <c r="F59" s="28">
        <f>F60</f>
        <v>0</v>
      </c>
      <c r="G59" s="29">
        <f>IF(F$3=0,0,F59/F$3)</f>
        <v>0</v>
      </c>
      <c r="H59" s="28">
        <f>H60</f>
        <v>0</v>
      </c>
      <c r="I59" s="29">
        <f>IF(H$3=0,0,H59/H$3)</f>
        <v>0</v>
      </c>
      <c r="J59" s="28">
        <f>J60</f>
        <v>0</v>
      </c>
      <c r="K59" s="29">
        <f>IF(J$3=0,0,J59/J$3)</f>
        <v>0</v>
      </c>
      <c r="L59" s="28">
        <f>L60</f>
        <v>0</v>
      </c>
      <c r="M59" s="29">
        <f>IF(L$3=0,0,L59/L$3)</f>
        <v>0</v>
      </c>
      <c r="N59" s="28">
        <f>N60</f>
        <v>0</v>
      </c>
      <c r="O59" s="29">
        <f>IF(N$3=0,0,N59/N$3)</f>
        <v>0</v>
      </c>
      <c r="P59" s="28">
        <f>P60</f>
        <v>0</v>
      </c>
      <c r="Q59" s="29">
        <f>IF(P$3=0,0,P59/P$3)</f>
        <v>0</v>
      </c>
      <c r="R59" s="28">
        <f>R60</f>
        <v>0</v>
      </c>
      <c r="S59" s="29">
        <f>IF(R$3=0,0,R59/R$3)</f>
        <v>0</v>
      </c>
      <c r="T59" s="28">
        <f>T60</f>
        <v>0</v>
      </c>
      <c r="U59" s="29">
        <f>IF(T$3=0,0,T59/T$3)</f>
        <v>0</v>
      </c>
      <c r="V59" s="28">
        <f>V60</f>
        <v>0</v>
      </c>
      <c r="W59" s="29">
        <f>IF(V$3=0,0,V59/V$3)</f>
        <v>0</v>
      </c>
      <c r="X59" s="28">
        <f>X60</f>
        <v>0</v>
      </c>
      <c r="Y59" s="29">
        <f>IF(X$3=0,0,X59/X$3)</f>
        <v>0</v>
      </c>
      <c r="Z59" s="28">
        <f>Z60</f>
        <v>0</v>
      </c>
      <c r="AA59" s="29">
        <f>IF(Z$3=0,0,Z59/Z$3)</f>
        <v>0</v>
      </c>
    </row>
    <row r="60" spans="1:27" hidden="1" outlineLevel="1" x14ac:dyDescent="0.2">
      <c r="A60" s="8" t="s">
        <v>133</v>
      </c>
      <c r="B60" s="20">
        <f>SUMIFS(Tabla2[IMPORT],Tabla2[ANY],2020,Tabla2[MES],'2020'!B$2,Tabla2[TIPUS],'2020'!$A60)</f>
        <v>0</v>
      </c>
      <c r="C60" s="44">
        <f>IF(B59=0,0,B60/B59)</f>
        <v>0</v>
      </c>
      <c r="D60" s="20">
        <f>SUMIFS(Tabla2[IMPORT],Tabla2[ANY],2020,Tabla2[MES],'2020'!D$2,Tabla2[TIPUS],'2020'!$A60)</f>
        <v>0</v>
      </c>
      <c r="E60" s="44">
        <f>IF(D59=0,0,D60/D59)</f>
        <v>0</v>
      </c>
      <c r="F60" s="20">
        <f>SUMIFS(Tabla2[IMPORT],Tabla2[ANY],2020,Tabla2[MES],'2020'!F$2,Tabla2[TIPUS],'2020'!$A60)</f>
        <v>0</v>
      </c>
      <c r="G60" s="44">
        <f>IF(F59=0,0,F60/F59)</f>
        <v>0</v>
      </c>
      <c r="H60" s="20">
        <f>SUMIFS(Tabla2[IMPORT],Tabla2[ANY],2020,Tabla2[MES],'2020'!H$2,Tabla2[TIPUS],'2020'!$A60)</f>
        <v>0</v>
      </c>
      <c r="I60" s="44">
        <f>IF(H59=0,0,H60/H59)</f>
        <v>0</v>
      </c>
      <c r="J60" s="20">
        <f>SUMIFS(Tabla2[IMPORT],Tabla2[ANY],2020,Tabla2[MES],'2020'!J$2,Tabla2[TIPUS],'2020'!$A60)</f>
        <v>0</v>
      </c>
      <c r="K60" s="44">
        <f>IF(J59=0,0,J60/J59)</f>
        <v>0</v>
      </c>
      <c r="L60" s="20">
        <f>SUMIFS(Tabla2[IMPORT],Tabla2[ANY],2020,Tabla2[MES],'2020'!L$2,Tabla2[TIPUS],'2020'!$A60)</f>
        <v>0</v>
      </c>
      <c r="M60" s="44">
        <f>IF(L59=0,0,L60/L59)</f>
        <v>0</v>
      </c>
      <c r="N60" s="20">
        <f>SUMIFS(Tabla2[IMPORT],Tabla2[ANY],2020,Tabla2[MES],'2020'!N$2,Tabla2[TIPUS],'2020'!$A60)</f>
        <v>0</v>
      </c>
      <c r="O60" s="44">
        <f>IF(N59=0,0,N60/N59)</f>
        <v>0</v>
      </c>
      <c r="P60" s="20">
        <f>SUMIFS(Tabla2[IMPORT],Tabla2[ANY],2020,Tabla2[MES],'2020'!P$2,Tabla2[TIPUS],'2020'!$A60)</f>
        <v>0</v>
      </c>
      <c r="Q60" s="44">
        <f>IF(P59=0,0,P60/P59)</f>
        <v>0</v>
      </c>
      <c r="R60" s="20">
        <f>SUMIFS(Tabla2[IMPORT],Tabla2[ANY],2020,Tabla2[MES],'2020'!R$2,Tabla2[TIPUS],'2020'!$A60)</f>
        <v>0</v>
      </c>
      <c r="S60" s="44">
        <f>IF(R59=0,0,R60/R59)</f>
        <v>0</v>
      </c>
      <c r="T60" s="20">
        <f>SUMIFS(Tabla2[IMPORT],Tabla2[ANY],2020,Tabla2[MES],'2020'!T$2,Tabla2[TIPUS],'2020'!$A60)</f>
        <v>0</v>
      </c>
      <c r="U60" s="44">
        <f>IF(T59=0,0,T60/T59)</f>
        <v>0</v>
      </c>
      <c r="V60" s="20">
        <f>SUMIFS(Tabla2[IMPORT],Tabla2[ANY],2020,Tabla2[MES],'2020'!V$2,Tabla2[TIPUS],'2020'!$A60)</f>
        <v>0</v>
      </c>
      <c r="W60" s="44">
        <f>IF(V59=0,0,V60/V59)</f>
        <v>0</v>
      </c>
      <c r="X60" s="20">
        <f>SUMIFS(Tabla2[IMPORT],Tabla2[ANY],2020,Tabla2[MES],'2020'!X$2,Tabla2[TIPUS],'2020'!$A60)</f>
        <v>0</v>
      </c>
      <c r="Y60" s="44">
        <f>IF(X59=0,0,X60/X59)</f>
        <v>0</v>
      </c>
      <c r="Z60" s="20">
        <f>B60+D60+F60+H60+J60+L60+N60+P60+R60+T60+V60+X60</f>
        <v>0</v>
      </c>
      <c r="AA60" s="44">
        <f>IF(Z59=0,0,Z60/Z59)</f>
        <v>0</v>
      </c>
    </row>
    <row r="61" spans="1:27" ht="15.75" collapsed="1" thickBot="1" x14ac:dyDescent="0.25">
      <c r="A61" s="15" t="s">
        <v>135</v>
      </c>
      <c r="B61" s="26">
        <f>B58-B60</f>
        <v>848.27861111111088</v>
      </c>
      <c r="C61" s="27">
        <f>IF(B$3=0,0,B61/B$3)</f>
        <v>0.2396267263025737</v>
      </c>
      <c r="D61" s="26">
        <f>D58-D60</f>
        <v>1877.7286111111111</v>
      </c>
      <c r="E61" s="27">
        <f>IF(D$3=0,0,D61/D$3)</f>
        <v>0.6375988492737219</v>
      </c>
      <c r="F61" s="26">
        <f>F58-F60</f>
        <v>171.57861111111114</v>
      </c>
      <c r="G61" s="27">
        <f>IF(F$3=0,0,F61/F$3)</f>
        <v>0.22877148148148152</v>
      </c>
      <c r="H61" s="26">
        <f>H58-H60</f>
        <v>581.08861111111116</v>
      </c>
      <c r="I61" s="27">
        <f>IF(H$3=0,0,H61/H$3)</f>
        <v>0.87883939974457215</v>
      </c>
      <c r="J61" s="26">
        <f>J58-J60</f>
        <v>676.95861111111128</v>
      </c>
      <c r="K61" s="27">
        <f>IF(J$3=0,0,J61/J$3)</f>
        <v>0.65351064902412559</v>
      </c>
      <c r="L61" s="26">
        <f>L58-L60</f>
        <v>1468.3486111111113</v>
      </c>
      <c r="M61" s="27">
        <f>IF(L$3=0,0,L61/L$3)</f>
        <v>0.79533561429482791</v>
      </c>
      <c r="N61" s="26">
        <f>N58-N60</f>
        <v>3006.1986111111114</v>
      </c>
      <c r="O61" s="27">
        <f>IF(N$3=0,0,N61/N$3)</f>
        <v>0.74874187076241883</v>
      </c>
      <c r="P61" s="26">
        <f>P58-P60</f>
        <v>724.71861111111116</v>
      </c>
      <c r="Q61" s="27">
        <f>IF(P$3=0,0,P61/P$3)</f>
        <v>0.4783621195452879</v>
      </c>
      <c r="R61" s="26">
        <f>R58-R60</f>
        <v>474.61861111111119</v>
      </c>
      <c r="S61" s="27">
        <f>IF(R$3=0,0,R61/R$3)</f>
        <v>0.39717370949640685</v>
      </c>
      <c r="T61" s="26">
        <f>T58-T60</f>
        <v>160.93861111111116</v>
      </c>
      <c r="U61" s="27">
        <f>IF(T$3=0,0,T61/T$3)</f>
        <v>0.19693907380214287</v>
      </c>
      <c r="V61" s="26">
        <f>V58-V60</f>
        <v>390.42861111111108</v>
      </c>
      <c r="W61" s="27">
        <f>IF(V$3=0,0,V61/V$3)</f>
        <v>0.82682890959574562</v>
      </c>
      <c r="X61" s="26">
        <f>X58-X60</f>
        <v>2282.4886111111109</v>
      </c>
      <c r="Y61" s="27">
        <f>IF(X$3=0,0,X61/X$3)</f>
        <v>0.87044794871142972</v>
      </c>
      <c r="Z61" s="26">
        <f>Z58-Z60</f>
        <v>12663.373333333331</v>
      </c>
      <c r="AA61" s="27">
        <f>IF(Z$3=0,0,Z61/Z$3)</f>
        <v>0.59133552215508811</v>
      </c>
    </row>
    <row r="62" spans="1:27" ht="15.75" hidden="1" outlineLevel="1" thickTop="1" x14ac:dyDescent="0.2">
      <c r="A62" s="8" t="s">
        <v>123</v>
      </c>
      <c r="B62" s="20">
        <f>SUMIFS(Tabla2[IMPORT],Tabla2[ANY],2020,Tabla2[MES],'2020'!B$2,Tabla2[TIPUS],'2020'!$A62)</f>
        <v>0</v>
      </c>
      <c r="C62" s="21">
        <f>IF(B$3=0,0,B62/B$3)</f>
        <v>0</v>
      </c>
      <c r="D62" s="20">
        <f>SUMIFS(Tabla2[IMPORT],Tabla2[ANY],2020,Tabla2[MES],'2020'!D$2,Tabla2[TIPUS],'2020'!$A62)</f>
        <v>0</v>
      </c>
      <c r="E62" s="21">
        <f>IF(D$3=0,0,D62/D$3)</f>
        <v>0</v>
      </c>
      <c r="F62" s="20">
        <f>SUMIFS(Tabla2[IMPORT],Tabla2[ANY],2020,Tabla2[MES],'2020'!F$2,Tabla2[TIPUS],'2020'!$A62)</f>
        <v>0</v>
      </c>
      <c r="G62" s="21">
        <f>IF(F$3=0,0,F62/F$3)</f>
        <v>0</v>
      </c>
      <c r="H62" s="20">
        <f>SUMIFS(Tabla2[IMPORT],Tabla2[ANY],2020,Tabla2[MES],'2020'!H$2,Tabla2[TIPUS],'2020'!$A62)</f>
        <v>0</v>
      </c>
      <c r="I62" s="21">
        <f>IF(H$3=0,0,H62/H$3)</f>
        <v>0</v>
      </c>
      <c r="J62" s="20">
        <f>SUMIFS(Tabla2[IMPORT],Tabla2[ANY],2020,Tabla2[MES],'2020'!J$2,Tabla2[TIPUS],'2020'!$A62)</f>
        <v>403.55</v>
      </c>
      <c r="K62" s="21">
        <f>IF(J$3=0,0,J62/J$3)</f>
        <v>0.38957215121442634</v>
      </c>
      <c r="L62" s="20">
        <f>SUMIFS(Tabla2[IMPORT],Tabla2[ANY],2020,Tabla2[MES],'2020'!L$2,Tabla2[TIPUS],'2020'!$A62)</f>
        <v>0</v>
      </c>
      <c r="M62" s="21">
        <f>IF(L$3=0,0,L62/L$3)</f>
        <v>0</v>
      </c>
      <c r="N62" s="20">
        <f>SUMIFS(Tabla2[IMPORT],Tabla2[ANY],2020,Tabla2[MES],'2020'!N$2,Tabla2[TIPUS],'2020'!$A62)</f>
        <v>0</v>
      </c>
      <c r="O62" s="21">
        <f>IF(N$3=0,0,N62/N$3)</f>
        <v>0</v>
      </c>
      <c r="P62" s="20">
        <f>SUMIFS(Tabla2[IMPORT],Tabla2[ANY],2020,Tabla2[MES],'2020'!P$2,Tabla2[TIPUS],'2020'!$A62)</f>
        <v>0</v>
      </c>
      <c r="Q62" s="21">
        <f>IF(P$3=0,0,P62/P$3)</f>
        <v>0</v>
      </c>
      <c r="R62" s="20">
        <f>SUMIFS(Tabla2[IMPORT],Tabla2[ANY],2020,Tabla2[MES],'2020'!R$2,Tabla2[TIPUS],'2020'!$A62)</f>
        <v>0</v>
      </c>
      <c r="S62" s="21">
        <f>IF(R$3=0,0,R62/R$3)</f>
        <v>0</v>
      </c>
      <c r="T62" s="20">
        <f>SUMIFS(Tabla2[IMPORT],Tabla2[ANY],2020,Tabla2[MES],'2020'!T$2,Tabla2[TIPUS],'2020'!$A62)</f>
        <v>422.99</v>
      </c>
      <c r="U62" s="21">
        <f>IF(T$3=0,0,T62/T$3)</f>
        <v>0.51760890846793928</v>
      </c>
      <c r="V62" s="20">
        <f>SUMIFS(Tabla2[IMPORT],Tabla2[ANY],2020,Tabla2[MES],'2020'!V$2,Tabla2[TIPUS],'2020'!$A62)</f>
        <v>0</v>
      </c>
      <c r="W62" s="21">
        <f>IF(V$3=0,0,V62/V$3)</f>
        <v>0</v>
      </c>
      <c r="X62" s="20">
        <f>SUMIFS(Tabla2[IMPORT],Tabla2[ANY],2020,Tabla2[MES],'2020'!X$2,Tabla2[TIPUS],'2020'!$A62)</f>
        <v>57</v>
      </c>
      <c r="Y62" s="21">
        <f>IF(X$3=0,0,X62/X$3)</f>
        <v>2.1737472351460608E-2</v>
      </c>
      <c r="Z62" s="20">
        <f>B62+D62+F62+H62+J62+L62+N62+P62+R62+T62+V62+X62</f>
        <v>883.54</v>
      </c>
      <c r="AA62" s="21">
        <f>IF(Z$3=0,0,Z62/Z$3)</f>
        <v>4.1258247189919904E-2</v>
      </c>
    </row>
    <row r="63" spans="1:27" ht="16.5" collapsed="1" thickTop="1" thickBot="1" x14ac:dyDescent="0.25">
      <c r="A63" s="15" t="s">
        <v>124</v>
      </c>
      <c r="B63" s="26">
        <f>B61-B62</f>
        <v>848.27861111111088</v>
      </c>
      <c r="C63" s="27">
        <f>IF(B3=0,0,B63/B3)</f>
        <v>0.2396267263025737</v>
      </c>
      <c r="D63" s="26">
        <f>D61-D62</f>
        <v>1877.7286111111111</v>
      </c>
      <c r="E63" s="27">
        <f>IF(D3=0,0,D63/D3)</f>
        <v>0.6375988492737219</v>
      </c>
      <c r="F63" s="26">
        <f>F61-F62</f>
        <v>171.57861111111114</v>
      </c>
      <c r="G63" s="27">
        <f>IF(F3=0,0,F63/F3)</f>
        <v>0.22877148148148152</v>
      </c>
      <c r="H63" s="26">
        <f>H61-H62</f>
        <v>581.08861111111116</v>
      </c>
      <c r="I63" s="27">
        <f>IF(H3=0,0,H63/H3)</f>
        <v>0.87883939974457215</v>
      </c>
      <c r="J63" s="26">
        <f>J61-J62</f>
        <v>273.40861111111127</v>
      </c>
      <c r="K63" s="27">
        <f>IF(J3=0,0,J63/J3)</f>
        <v>0.26393849780969925</v>
      </c>
      <c r="L63" s="26">
        <f>L61-L62</f>
        <v>1468.3486111111113</v>
      </c>
      <c r="M63" s="27">
        <f>IF(L3=0,0,L63/L3)</f>
        <v>0.79533561429482791</v>
      </c>
      <c r="N63" s="26">
        <f>N61-N62</f>
        <v>3006.1986111111114</v>
      </c>
      <c r="O63" s="27">
        <f>IF(N3=0,0,N63/N3)</f>
        <v>0.74874187076241883</v>
      </c>
      <c r="P63" s="26">
        <f>P61-P62</f>
        <v>724.71861111111116</v>
      </c>
      <c r="Q63" s="27">
        <f>IF(P3=0,0,P63/P3)</f>
        <v>0.4783621195452879</v>
      </c>
      <c r="R63" s="26">
        <f>R61-R62</f>
        <v>474.61861111111119</v>
      </c>
      <c r="S63" s="27">
        <f>IF(R3=0,0,R63/R3)</f>
        <v>0.39717370949640685</v>
      </c>
      <c r="T63" s="26">
        <f>T61-T62</f>
        <v>-262.05138888888882</v>
      </c>
      <c r="U63" s="27">
        <f>IF(T3=0,0,T63/T3)</f>
        <v>-0.3206698346657964</v>
      </c>
      <c r="V63" s="26">
        <f>V61-V62</f>
        <v>390.42861111111108</v>
      </c>
      <c r="W63" s="27">
        <f>IF(V3=0,0,V63/V3)</f>
        <v>0.82682890959574562</v>
      </c>
      <c r="X63" s="26">
        <f>X61-X62</f>
        <v>2225.4886111111109</v>
      </c>
      <c r="Y63" s="27">
        <f>IF(X3=0,0,X63/X3)</f>
        <v>0.8487104763599691</v>
      </c>
      <c r="Z63" s="26">
        <f>Z61-Z62</f>
        <v>11779.833333333332</v>
      </c>
      <c r="AA63" s="27">
        <f>IF(Z3=0,0,Z63/Z3)</f>
        <v>0.55007727496516823</v>
      </c>
    </row>
    <row r="64" spans="1:27" ht="16.5" thickTop="1" thickBot="1" x14ac:dyDescent="0.25">
      <c r="B64" s="30"/>
      <c r="C64" s="31"/>
      <c r="D64" s="30"/>
      <c r="E64" s="31"/>
      <c r="F64" s="30"/>
      <c r="G64" s="31"/>
      <c r="H64" s="30"/>
      <c r="I64" s="31"/>
      <c r="J64" s="30"/>
      <c r="K64" s="31"/>
      <c r="L64" s="30"/>
      <c r="M64" s="31"/>
      <c r="N64" s="30"/>
      <c r="O64" s="31"/>
      <c r="P64" s="30"/>
      <c r="Q64" s="31"/>
      <c r="R64" s="30"/>
      <c r="S64" s="31"/>
      <c r="T64" s="30"/>
      <c r="U64" s="31"/>
      <c r="V64" s="30"/>
      <c r="W64" s="31"/>
      <c r="X64" s="30"/>
      <c r="Y64" s="31"/>
      <c r="Z64" s="30"/>
      <c r="AA64" s="31"/>
    </row>
    <row r="65" spans="1:27" ht="15.75" thickBot="1" x14ac:dyDescent="0.25">
      <c r="A65" s="210" t="s">
        <v>136</v>
      </c>
    </row>
    <row r="66" spans="1:27" x14ac:dyDescent="0.2">
      <c r="A66" s="210"/>
      <c r="B66" s="208" t="s">
        <v>48</v>
      </c>
      <c r="C66" s="209"/>
      <c r="D66" s="208" t="s">
        <v>56</v>
      </c>
      <c r="E66" s="209"/>
      <c r="F66" s="208" t="s">
        <v>57</v>
      </c>
      <c r="G66" s="209"/>
      <c r="H66" s="208" t="s">
        <v>58</v>
      </c>
      <c r="I66" s="209"/>
      <c r="J66" s="208" t="s">
        <v>59</v>
      </c>
      <c r="K66" s="209"/>
      <c r="L66" s="208" t="s">
        <v>60</v>
      </c>
      <c r="M66" s="209"/>
      <c r="N66" s="208" t="s">
        <v>61</v>
      </c>
      <c r="O66" s="209"/>
      <c r="P66" s="208" t="s">
        <v>62</v>
      </c>
      <c r="Q66" s="209"/>
      <c r="R66" s="208" t="s">
        <v>236</v>
      </c>
      <c r="S66" s="209"/>
      <c r="T66" s="208" t="s">
        <v>63</v>
      </c>
      <c r="U66" s="209"/>
      <c r="V66" s="208" t="s">
        <v>64</v>
      </c>
      <c r="W66" s="209"/>
      <c r="X66" s="208" t="s">
        <v>65</v>
      </c>
      <c r="Y66" s="209"/>
      <c r="Z66" s="208">
        <v>2020</v>
      </c>
      <c r="AA66" s="209"/>
    </row>
    <row r="67" spans="1:27" x14ac:dyDescent="0.2">
      <c r="A67" t="s">
        <v>125</v>
      </c>
      <c r="B67" s="20">
        <f>B3</f>
        <v>3540</v>
      </c>
      <c r="C67" s="38">
        <f t="shared" ref="C67:C73" si="70">B67</f>
        <v>3540</v>
      </c>
      <c r="D67" s="20">
        <f>D3</f>
        <v>2945</v>
      </c>
      <c r="E67" s="38">
        <f>C73+D67</f>
        <v>3441.0499999999997</v>
      </c>
      <c r="F67" s="20">
        <f>F3</f>
        <v>750</v>
      </c>
      <c r="G67" s="38">
        <f>E73+F67</f>
        <v>2976.9599999999996</v>
      </c>
      <c r="H67" s="20">
        <f>H3</f>
        <v>661.2</v>
      </c>
      <c r="I67" s="38">
        <f>G73+H67</f>
        <v>3084.5099999999993</v>
      </c>
      <c r="J67" s="20">
        <f>J3</f>
        <v>1035.8800000000001</v>
      </c>
      <c r="K67" s="38">
        <f>I73+J67</f>
        <v>4065.0499999999993</v>
      </c>
      <c r="L67" s="20">
        <f>L3</f>
        <v>1846.2</v>
      </c>
      <c r="M67" s="38">
        <f>K73+L67</f>
        <v>5173.5499999999993</v>
      </c>
      <c r="N67" s="20">
        <f>N3</f>
        <v>4015</v>
      </c>
      <c r="O67" s="38">
        <f>M73+N67</f>
        <v>8835.4699999999993</v>
      </c>
      <c r="P67" s="20">
        <f>P3</f>
        <v>1515</v>
      </c>
      <c r="Q67" s="38">
        <f>O73+P67</f>
        <v>9366.4399999999987</v>
      </c>
      <c r="R67" s="20">
        <f>R3</f>
        <v>1194.99</v>
      </c>
      <c r="S67" s="38">
        <f>Q73+R67</f>
        <v>9795.9199999999983</v>
      </c>
      <c r="T67" s="20">
        <f>T3</f>
        <v>817.2</v>
      </c>
      <c r="U67" s="38">
        <f>S73+T67</f>
        <v>9917.5199999999986</v>
      </c>
      <c r="V67" s="20">
        <f>V3</f>
        <v>472.2</v>
      </c>
      <c r="W67" s="38">
        <f>U73+V67</f>
        <v>9335.24</v>
      </c>
      <c r="X67" s="20">
        <f>X3</f>
        <v>2622.2</v>
      </c>
      <c r="Y67" s="38">
        <f>W73+X67</f>
        <v>11900.439999999999</v>
      </c>
      <c r="Z67" s="200">
        <f>Z3</f>
        <v>21414.87</v>
      </c>
      <c r="AA67" s="201"/>
    </row>
    <row r="68" spans="1:27" x14ac:dyDescent="0.2">
      <c r="A68" t="s">
        <v>126</v>
      </c>
      <c r="B68" s="20">
        <f>B40</f>
        <v>2666.9500000000003</v>
      </c>
      <c r="C68" s="38">
        <f t="shared" si="70"/>
        <v>2666.9500000000003</v>
      </c>
      <c r="D68" s="20">
        <f>D40</f>
        <v>1042.5</v>
      </c>
      <c r="E68" s="38">
        <f>D68</f>
        <v>1042.5</v>
      </c>
      <c r="F68" s="20">
        <f>F40</f>
        <v>553.65</v>
      </c>
      <c r="G68" s="38">
        <f>F68</f>
        <v>553.65</v>
      </c>
      <c r="H68" s="20">
        <f>H40</f>
        <v>55.34</v>
      </c>
      <c r="I68" s="38">
        <f>H68</f>
        <v>55.34</v>
      </c>
      <c r="J68" s="20">
        <f>J40</f>
        <v>334.15</v>
      </c>
      <c r="K68" s="38">
        <f>J68</f>
        <v>334.15</v>
      </c>
      <c r="L68" s="20">
        <f>L40</f>
        <v>353.08</v>
      </c>
      <c r="M68" s="38">
        <f>L68</f>
        <v>353.08</v>
      </c>
      <c r="N68" s="20">
        <f>N40</f>
        <v>984.03</v>
      </c>
      <c r="O68" s="38">
        <f>N68</f>
        <v>984.03</v>
      </c>
      <c r="P68" s="20">
        <f>P40</f>
        <v>765.51</v>
      </c>
      <c r="Q68" s="38">
        <f>P68</f>
        <v>765.51</v>
      </c>
      <c r="R68" s="20">
        <f>R40</f>
        <v>695.59999999999991</v>
      </c>
      <c r="S68" s="38">
        <f>R68</f>
        <v>695.59999999999991</v>
      </c>
      <c r="T68" s="20">
        <f>T40</f>
        <v>631.49</v>
      </c>
      <c r="U68" s="38">
        <f>T68</f>
        <v>631.49</v>
      </c>
      <c r="V68" s="20">
        <f>V40</f>
        <v>57</v>
      </c>
      <c r="W68" s="38">
        <f>V68</f>
        <v>57</v>
      </c>
      <c r="X68" s="20">
        <f>X40</f>
        <v>314.94</v>
      </c>
      <c r="Y68" s="38">
        <f>X68</f>
        <v>314.94</v>
      </c>
      <c r="Z68" s="200">
        <f>Z40</f>
        <v>8454.2400000000016</v>
      </c>
      <c r="AA68" s="201"/>
    </row>
    <row r="69" spans="1:27" ht="15.75" thickBot="1" x14ac:dyDescent="0.25">
      <c r="A69" s="36" t="s">
        <v>127</v>
      </c>
      <c r="B69" s="37">
        <f>B67-B68</f>
        <v>873.04999999999973</v>
      </c>
      <c r="C69" s="39">
        <f t="shared" si="70"/>
        <v>873.04999999999973</v>
      </c>
      <c r="D69" s="37">
        <f t="shared" ref="D69:Y69" si="71">D67-D68</f>
        <v>1902.5</v>
      </c>
      <c r="E69" s="39">
        <f t="shared" si="71"/>
        <v>2398.5499999999997</v>
      </c>
      <c r="F69" s="37">
        <f t="shared" si="71"/>
        <v>196.35000000000002</v>
      </c>
      <c r="G69" s="39">
        <f t="shared" si="71"/>
        <v>2423.3099999999995</v>
      </c>
      <c r="H69" s="37">
        <f t="shared" si="71"/>
        <v>605.86</v>
      </c>
      <c r="I69" s="39">
        <f t="shared" si="71"/>
        <v>3029.1699999999992</v>
      </c>
      <c r="J69" s="37">
        <f t="shared" si="71"/>
        <v>701.73000000000013</v>
      </c>
      <c r="K69" s="39">
        <f t="shared" si="71"/>
        <v>3730.8999999999992</v>
      </c>
      <c r="L69" s="37">
        <f t="shared" si="71"/>
        <v>1493.1200000000001</v>
      </c>
      <c r="M69" s="39">
        <f t="shared" si="71"/>
        <v>4820.4699999999993</v>
      </c>
      <c r="N69" s="37">
        <f t="shared" si="71"/>
        <v>3030.9700000000003</v>
      </c>
      <c r="O69" s="39">
        <f t="shared" si="71"/>
        <v>7851.44</v>
      </c>
      <c r="P69" s="37">
        <f t="shared" si="71"/>
        <v>749.49</v>
      </c>
      <c r="Q69" s="39">
        <f t="shared" si="71"/>
        <v>8600.9299999999985</v>
      </c>
      <c r="R69" s="37">
        <f t="shared" si="71"/>
        <v>499.3900000000001</v>
      </c>
      <c r="S69" s="39">
        <f t="shared" si="71"/>
        <v>9100.3199999999979</v>
      </c>
      <c r="T69" s="37">
        <f t="shared" si="71"/>
        <v>185.71000000000004</v>
      </c>
      <c r="U69" s="39">
        <f t="shared" si="71"/>
        <v>9286.0299999999988</v>
      </c>
      <c r="V69" s="37">
        <f t="shared" si="71"/>
        <v>415.2</v>
      </c>
      <c r="W69" s="39">
        <f t="shared" si="71"/>
        <v>9278.24</v>
      </c>
      <c r="X69" s="37">
        <f t="shared" si="71"/>
        <v>2307.2599999999998</v>
      </c>
      <c r="Y69" s="39">
        <f t="shared" si="71"/>
        <v>11585.499999999998</v>
      </c>
      <c r="Z69" s="202">
        <f>Z67-Z68</f>
        <v>12960.629999999997</v>
      </c>
      <c r="AA69" s="203"/>
    </row>
    <row r="70" spans="1:27" x14ac:dyDescent="0.2">
      <c r="A70" s="2" t="s">
        <v>128</v>
      </c>
      <c r="B70" s="20">
        <f>-SUMIFS(Tabla2[IMPORT],Tabla2[ANY],2020,Tabla2[MES],'2020'!B$2,Tabla2[TIPUS],'2020'!$A70)</f>
        <v>-377</v>
      </c>
      <c r="C70" s="38">
        <f t="shared" si="70"/>
        <v>-377</v>
      </c>
      <c r="D70" s="20">
        <f>-SUMIFS(Tabla2[IMPORT],Tabla2[ANY],2020,Tabla2[MES],'2020'!D$2,Tabla2[TIPUS],'2020'!$A70)</f>
        <v>-171.59</v>
      </c>
      <c r="E70" s="38">
        <f>D70</f>
        <v>-171.59</v>
      </c>
      <c r="F70" s="20">
        <f>-SUMIFS(Tabla2[IMPORT],Tabla2[ANY],2020,Tabla2[MES],'2020'!F$2,Tabla2[TIPUS],'2020'!$A70)</f>
        <v>0</v>
      </c>
      <c r="G70" s="38">
        <f>F70</f>
        <v>0</v>
      </c>
      <c r="H70" s="20">
        <f>-SUMIFS(Tabla2[IMPORT],Tabla2[ANY],2020,Tabla2[MES],'2020'!H$2,Tabla2[TIPUS],'2020'!$A70)</f>
        <v>0</v>
      </c>
      <c r="I70" s="38">
        <f>H70</f>
        <v>0</v>
      </c>
      <c r="J70" s="20">
        <f>-SUMIFS(Tabla2[IMPORT],Tabla2[ANY],2020,Tabla2[MES],'2020'!J$2,Tabla2[TIPUS],'2020'!$A70)</f>
        <v>0</v>
      </c>
      <c r="K70" s="38">
        <f>J70</f>
        <v>0</v>
      </c>
      <c r="L70" s="20">
        <f>-SUMIFS(Tabla2[IMPORT],Tabla2[ANY],2020,Tabla2[MES],'2020'!L$2,Tabla2[TIPUS],'2020'!$A70)</f>
        <v>0</v>
      </c>
      <c r="M70" s="38">
        <f>L70</f>
        <v>0</v>
      </c>
      <c r="N70" s="20">
        <f>-SUMIFS(Tabla2[IMPORT],Tabla2[ANY],2020,Tabla2[MES],'2020'!N$2,Tabla2[TIPUS],'2020'!$A70)</f>
        <v>0</v>
      </c>
      <c r="O70" s="38">
        <f>N70</f>
        <v>0</v>
      </c>
      <c r="P70" s="20">
        <f>-SUMIFS(Tabla2[IMPORT],Tabla2[ANY],2020,Tabla2[MES],'2020'!P$2,Tabla2[TIPUS],'2020'!$A70)</f>
        <v>0</v>
      </c>
      <c r="Q70" s="38">
        <f>P70</f>
        <v>0</v>
      </c>
      <c r="R70" s="20">
        <f>-SUMIFS(Tabla2[IMPORT],Tabla2[ANY],2020,Tabla2[MES],'2020'!R$2,Tabla2[TIPUS],'2020'!$A70)</f>
        <v>0</v>
      </c>
      <c r="S70" s="38">
        <f>R70</f>
        <v>0</v>
      </c>
      <c r="T70" s="20">
        <f>-SUMIFS(Tabla2[IMPORT],Tabla2[ANY],2020,Tabla2[MES],'2020'!T$2,Tabla2[TIPUS],'2020'!$A70)</f>
        <v>0</v>
      </c>
      <c r="U70" s="38">
        <f>T70</f>
        <v>0</v>
      </c>
      <c r="V70" s="20">
        <f>-SUMIFS(Tabla2[IMPORT],Tabla2[ANY],2020,Tabla2[MES],'2020'!V$2,Tabla2[TIPUS],'2020'!$A70)</f>
        <v>0</v>
      </c>
      <c r="W70" s="38">
        <f>V70</f>
        <v>0</v>
      </c>
      <c r="X70" s="20">
        <f>-SUMIFS(Tabla2[IMPORT],Tabla2[ANY],2020,Tabla2[MES],'2020'!X$2,Tabla2[TIPUS],'2020'!$A70)</f>
        <v>0</v>
      </c>
      <c r="Y70" s="38">
        <f>X70</f>
        <v>0</v>
      </c>
      <c r="Z70" s="204">
        <f>C70+E70+G70+I70+K70+O70+M70+Q70+S70+U70+W70+Y70</f>
        <v>-548.59</v>
      </c>
      <c r="AA70" s="205"/>
    </row>
    <row r="71" spans="1:27" x14ac:dyDescent="0.2">
      <c r="A71" t="s">
        <v>134</v>
      </c>
      <c r="B71" s="20">
        <f>-B59</f>
        <v>0</v>
      </c>
      <c r="C71" s="38">
        <f t="shared" si="70"/>
        <v>0</v>
      </c>
      <c r="D71" s="20">
        <f>-D59</f>
        <v>0</v>
      </c>
      <c r="E71" s="38">
        <f>D71</f>
        <v>0</v>
      </c>
      <c r="F71" s="20">
        <f>-F59</f>
        <v>0</v>
      </c>
      <c r="G71" s="38">
        <f>F71</f>
        <v>0</v>
      </c>
      <c r="H71" s="20">
        <f>-H59</f>
        <v>0</v>
      </c>
      <c r="I71" s="38">
        <f>H71</f>
        <v>0</v>
      </c>
      <c r="J71" s="20">
        <f>-J59</f>
        <v>0</v>
      </c>
      <c r="K71" s="38">
        <f>J71</f>
        <v>0</v>
      </c>
      <c r="L71" s="20">
        <f>-L59</f>
        <v>0</v>
      </c>
      <c r="M71" s="38">
        <f>L71</f>
        <v>0</v>
      </c>
      <c r="N71" s="20">
        <f>-N59</f>
        <v>0</v>
      </c>
      <c r="O71" s="38">
        <f>N71</f>
        <v>0</v>
      </c>
      <c r="P71" s="20">
        <f>-P59</f>
        <v>0</v>
      </c>
      <c r="Q71" s="38">
        <f>P71</f>
        <v>0</v>
      </c>
      <c r="R71" s="20">
        <f>-R59</f>
        <v>0</v>
      </c>
      <c r="S71" s="38">
        <f>R71</f>
        <v>0</v>
      </c>
      <c r="T71" s="20">
        <f>-T59</f>
        <v>0</v>
      </c>
      <c r="U71" s="38">
        <f>T71</f>
        <v>0</v>
      </c>
      <c r="V71" s="20">
        <f>-V59</f>
        <v>0</v>
      </c>
      <c r="W71" s="38">
        <f>V71</f>
        <v>0</v>
      </c>
      <c r="X71" s="20">
        <f>-X59</f>
        <v>0</v>
      </c>
      <c r="Y71" s="38">
        <f>X71</f>
        <v>0</v>
      </c>
      <c r="Z71" s="200">
        <f>C71+E71+G71+I71+K71+O71+M71+Q71+S71+U71+W71+Y71</f>
        <v>0</v>
      </c>
      <c r="AA71" s="201"/>
    </row>
    <row r="72" spans="1:27" x14ac:dyDescent="0.2">
      <c r="A72" t="s">
        <v>130</v>
      </c>
      <c r="B72" s="23">
        <f>-B62</f>
        <v>0</v>
      </c>
      <c r="C72" s="35">
        <f t="shared" si="70"/>
        <v>0</v>
      </c>
      <c r="D72" s="23">
        <f>-D62</f>
        <v>0</v>
      </c>
      <c r="E72" s="35">
        <f>D72</f>
        <v>0</v>
      </c>
      <c r="F72" s="23">
        <f>-F62</f>
        <v>0</v>
      </c>
      <c r="G72" s="35">
        <f>F72</f>
        <v>0</v>
      </c>
      <c r="H72" s="23">
        <f>-H62</f>
        <v>0</v>
      </c>
      <c r="I72" s="35">
        <f>H72</f>
        <v>0</v>
      </c>
      <c r="J72" s="23">
        <f>-J62</f>
        <v>-403.55</v>
      </c>
      <c r="K72" s="35">
        <f>J72</f>
        <v>-403.55</v>
      </c>
      <c r="L72" s="23">
        <f>-L62</f>
        <v>0</v>
      </c>
      <c r="M72" s="35">
        <f>L72</f>
        <v>0</v>
      </c>
      <c r="N72" s="23">
        <f>-N62</f>
        <v>0</v>
      </c>
      <c r="O72" s="35">
        <f>N72</f>
        <v>0</v>
      </c>
      <c r="P72" s="23">
        <f>-P62</f>
        <v>0</v>
      </c>
      <c r="Q72" s="35">
        <f>P72</f>
        <v>0</v>
      </c>
      <c r="R72" s="23">
        <f>-R62</f>
        <v>0</v>
      </c>
      <c r="S72" s="35">
        <f>R72</f>
        <v>0</v>
      </c>
      <c r="T72" s="23">
        <f>-T62</f>
        <v>-422.99</v>
      </c>
      <c r="U72" s="35">
        <f>T72</f>
        <v>-422.99</v>
      </c>
      <c r="V72" s="23">
        <f>-V62</f>
        <v>0</v>
      </c>
      <c r="W72" s="35">
        <f>V72</f>
        <v>0</v>
      </c>
      <c r="X72" s="23">
        <f>-X62</f>
        <v>-57</v>
      </c>
      <c r="Y72" s="35">
        <f>X72</f>
        <v>-57</v>
      </c>
      <c r="Z72" s="206">
        <f>C72+E72+G72+I72+K72+O72+M72+Q72+S72+U72+W72+Y72</f>
        <v>-883.54</v>
      </c>
      <c r="AA72" s="207"/>
    </row>
    <row r="73" spans="1:27" ht="15.75" thickBot="1" x14ac:dyDescent="0.25">
      <c r="A73" s="36" t="s">
        <v>131</v>
      </c>
      <c r="B73" s="37">
        <f>B69+B70+B71+B72</f>
        <v>496.04999999999973</v>
      </c>
      <c r="C73" s="39">
        <f t="shared" si="70"/>
        <v>496.04999999999973</v>
      </c>
      <c r="D73" s="37">
        <f t="shared" ref="D73:Y73" si="72">D69+D70+D71+D72</f>
        <v>1730.91</v>
      </c>
      <c r="E73" s="39">
        <f t="shared" si="72"/>
        <v>2226.9599999999996</v>
      </c>
      <c r="F73" s="37">
        <f t="shared" si="72"/>
        <v>196.35000000000002</v>
      </c>
      <c r="G73" s="39">
        <f t="shared" si="72"/>
        <v>2423.3099999999995</v>
      </c>
      <c r="H73" s="37">
        <f t="shared" si="72"/>
        <v>605.86</v>
      </c>
      <c r="I73" s="39">
        <f t="shared" si="72"/>
        <v>3029.1699999999992</v>
      </c>
      <c r="J73" s="37">
        <f t="shared" si="72"/>
        <v>298.18000000000012</v>
      </c>
      <c r="K73" s="39">
        <f t="shared" si="72"/>
        <v>3327.349999999999</v>
      </c>
      <c r="L73" s="37">
        <f t="shared" si="72"/>
        <v>1493.1200000000001</v>
      </c>
      <c r="M73" s="39">
        <f t="shared" si="72"/>
        <v>4820.4699999999993</v>
      </c>
      <c r="N73" s="37">
        <f t="shared" si="72"/>
        <v>3030.9700000000003</v>
      </c>
      <c r="O73" s="39">
        <f t="shared" si="72"/>
        <v>7851.44</v>
      </c>
      <c r="P73" s="37">
        <f t="shared" si="72"/>
        <v>749.49</v>
      </c>
      <c r="Q73" s="39">
        <f t="shared" si="72"/>
        <v>8600.9299999999985</v>
      </c>
      <c r="R73" s="37">
        <f t="shared" si="72"/>
        <v>499.3900000000001</v>
      </c>
      <c r="S73" s="39">
        <f t="shared" si="72"/>
        <v>9100.3199999999979</v>
      </c>
      <c r="T73" s="37">
        <f t="shared" si="72"/>
        <v>-237.27999999999997</v>
      </c>
      <c r="U73" s="39">
        <f t="shared" si="72"/>
        <v>8863.0399999999991</v>
      </c>
      <c r="V73" s="37">
        <f t="shared" si="72"/>
        <v>415.2</v>
      </c>
      <c r="W73" s="39">
        <f t="shared" si="72"/>
        <v>9278.24</v>
      </c>
      <c r="X73" s="37">
        <f t="shared" si="72"/>
        <v>2250.2599999999998</v>
      </c>
      <c r="Y73" s="39">
        <f t="shared" si="72"/>
        <v>11528.499999999998</v>
      </c>
      <c r="Z73" s="202">
        <f>Z69+Z70+Z71+Z72</f>
        <v>11528.499999999996</v>
      </c>
      <c r="AA73" s="203"/>
    </row>
    <row r="75" spans="1:27" ht="30" thickBot="1" x14ac:dyDescent="0.45">
      <c r="A75" s="45" t="s">
        <v>102</v>
      </c>
    </row>
    <row r="76" spans="1:27" x14ac:dyDescent="0.2">
      <c r="B76" s="208" t="s">
        <v>48</v>
      </c>
      <c r="C76" s="209"/>
      <c r="D76" s="208" t="s">
        <v>56</v>
      </c>
      <c r="E76" s="209"/>
      <c r="F76" s="208" t="s">
        <v>57</v>
      </c>
      <c r="G76" s="209"/>
      <c r="H76" s="208" t="s">
        <v>58</v>
      </c>
      <c r="I76" s="209"/>
      <c r="J76" s="208" t="s">
        <v>59</v>
      </c>
      <c r="K76" s="209"/>
      <c r="L76" s="208" t="s">
        <v>60</v>
      </c>
      <c r="M76" s="209"/>
      <c r="N76" s="208" t="s">
        <v>61</v>
      </c>
      <c r="O76" s="209"/>
      <c r="P76" s="208" t="s">
        <v>62</v>
      </c>
      <c r="Q76" s="209"/>
      <c r="R76" s="208" t="s">
        <v>236</v>
      </c>
      <c r="S76" s="209"/>
      <c r="T76" s="208" t="s">
        <v>63</v>
      </c>
      <c r="U76" s="209"/>
      <c r="V76" s="208" t="s">
        <v>64</v>
      </c>
      <c r="W76" s="209"/>
      <c r="X76" s="208" t="s">
        <v>65</v>
      </c>
      <c r="Y76" s="209"/>
      <c r="Z76" s="208">
        <f>Z2</f>
        <v>2020</v>
      </c>
      <c r="AA76" s="209"/>
    </row>
    <row r="77" spans="1:27" ht="15.75" thickBot="1" x14ac:dyDescent="0.25">
      <c r="A77" s="10" t="s">
        <v>66</v>
      </c>
      <c r="B77" s="16">
        <f>B78+B96</f>
        <v>1715</v>
      </c>
      <c r="C77" s="17">
        <f>IF(B77=0,0,(B77/B77))</f>
        <v>1</v>
      </c>
      <c r="D77" s="16">
        <f>D78+D96</f>
        <v>1130</v>
      </c>
      <c r="E77" s="17">
        <f>IF(D77=0,0,(D77/D77))</f>
        <v>1</v>
      </c>
      <c r="F77" s="16">
        <f>F78+F96</f>
        <v>250</v>
      </c>
      <c r="G77" s="17">
        <f>IF(F77=0,0,(F77/F77))</f>
        <v>1</v>
      </c>
      <c r="H77" s="16">
        <f>H78+H96</f>
        <v>661.2</v>
      </c>
      <c r="I77" s="17">
        <f>IF(H77=0,0,(H77/H77))</f>
        <v>1</v>
      </c>
      <c r="J77" s="16">
        <f>J78+J96</f>
        <v>1035.8800000000001</v>
      </c>
      <c r="K77" s="17">
        <f>IF(J77=0,0,(J77/J77))</f>
        <v>1</v>
      </c>
      <c r="L77" s="16">
        <f>L78+L96</f>
        <v>761.2</v>
      </c>
      <c r="M77" s="17">
        <f>IF(L77=0,0,(L77/L77))</f>
        <v>1</v>
      </c>
      <c r="N77" s="16">
        <f>N78+N96</f>
        <v>2535</v>
      </c>
      <c r="O77" s="17">
        <f>IF(N77=0,0,(N77/N77))</f>
        <v>1</v>
      </c>
      <c r="P77" s="16">
        <f>P78+P96</f>
        <v>300</v>
      </c>
      <c r="Q77" s="17">
        <f>IF(P77=0,0,(P77/P77))</f>
        <v>1</v>
      </c>
      <c r="R77" s="16">
        <f>R78+R96</f>
        <v>749.99</v>
      </c>
      <c r="S77" s="17">
        <f>IF(R77=0,0,(R77/R77))</f>
        <v>1</v>
      </c>
      <c r="T77" s="16">
        <f>T78+T96</f>
        <v>522.20000000000005</v>
      </c>
      <c r="U77" s="17">
        <f>IF(T77=0,0,(T77/T77))</f>
        <v>1</v>
      </c>
      <c r="V77" s="16">
        <f>V78+V96</f>
        <v>472.2</v>
      </c>
      <c r="W77" s="17">
        <f>IF(V77=0,0,(V77/V77))</f>
        <v>1</v>
      </c>
      <c r="X77" s="16">
        <f>X78+X96</f>
        <v>2522.1999999999998</v>
      </c>
      <c r="Y77" s="17">
        <f>IF(X77=0,0,(X77/X77))</f>
        <v>1</v>
      </c>
      <c r="Z77" s="16">
        <f>Z78+Z96</f>
        <v>12654.869999999999</v>
      </c>
      <c r="AA77" s="17">
        <f>IF(Z77=0,0,(Z77/Z77))</f>
        <v>1</v>
      </c>
    </row>
    <row r="78" spans="1:27" x14ac:dyDescent="0.2">
      <c r="A78" s="32" t="s">
        <v>74</v>
      </c>
      <c r="B78" s="18">
        <f>SUM(B79:B86)</f>
        <v>1715</v>
      </c>
      <c r="C78" s="19">
        <f>IF(B$77=0,0,B78/B$77)</f>
        <v>1</v>
      </c>
      <c r="D78" s="18">
        <f>SUM(D79:D86)</f>
        <v>1130</v>
      </c>
      <c r="E78" s="19">
        <f>IF(D$77=0,0,D78/D$77)</f>
        <v>1</v>
      </c>
      <c r="F78" s="18">
        <f>SUM(F79:F86)</f>
        <v>250</v>
      </c>
      <c r="G78" s="19">
        <f>IF(F$77=0,0,F78/F$77)</f>
        <v>1</v>
      </c>
      <c r="H78" s="18">
        <f>SUM(H79:H86)</f>
        <v>661.2</v>
      </c>
      <c r="I78" s="19">
        <f>IF(H$77=0,0,H78/H$77)</f>
        <v>1</v>
      </c>
      <c r="J78" s="18">
        <f>SUM(J79:J86)</f>
        <v>1035.8800000000001</v>
      </c>
      <c r="K78" s="19">
        <f>IF(J$77=0,0,J78/J$77)</f>
        <v>1</v>
      </c>
      <c r="L78" s="18">
        <f>SUM(L79:L86)</f>
        <v>761.2</v>
      </c>
      <c r="M78" s="19">
        <f>IF(L$77=0,0,L78/L$77)</f>
        <v>1</v>
      </c>
      <c r="N78" s="18">
        <f>SUM(N79:N86)</f>
        <v>2535</v>
      </c>
      <c r="O78" s="19">
        <f>IF(N$77=0,0,N78/N$77)</f>
        <v>1</v>
      </c>
      <c r="P78" s="18">
        <f>SUM(P79:P86)</f>
        <v>300</v>
      </c>
      <c r="Q78" s="19">
        <f>IF(P$77=0,0,P78/P$77)</f>
        <v>1</v>
      </c>
      <c r="R78" s="18">
        <f>SUM(R79:R86)</f>
        <v>749.99</v>
      </c>
      <c r="S78" s="19">
        <f>IF(R$77=0,0,R78/R$77)</f>
        <v>1</v>
      </c>
      <c r="T78" s="18">
        <f>SUM(T79:T86)</f>
        <v>522.20000000000005</v>
      </c>
      <c r="U78" s="19">
        <f>IF(T$77=0,0,T78/T$77)</f>
        <v>1</v>
      </c>
      <c r="V78" s="18">
        <f>SUM(V79:V86)</f>
        <v>472.2</v>
      </c>
      <c r="W78" s="19">
        <f>IF(V$77=0,0,V78/V$77)</f>
        <v>1</v>
      </c>
      <c r="X78" s="18">
        <f>SUM(X79:X86)</f>
        <v>2522.1999999999998</v>
      </c>
      <c r="Y78" s="19">
        <f>IF(X$77=0,0,X78/X$77)</f>
        <v>1</v>
      </c>
      <c r="Z78" s="18">
        <f>SUM(Z79:Z86)</f>
        <v>12654.869999999999</v>
      </c>
      <c r="AA78" s="19">
        <f>IF(Z$77=0,0,Z78/Z$77)</f>
        <v>1</v>
      </c>
    </row>
    <row r="79" spans="1:27" hidden="1" outlineLevel="2" x14ac:dyDescent="0.2">
      <c r="A79" s="8" t="s">
        <v>67</v>
      </c>
      <c r="B79" s="20">
        <f>SUMIFS('Registre de reserves'!$U$2:$U$1178,'Registre de reserves'!$T$2:$T$1178,"SI",'Registre de reserves'!$I$2:$I$1178,'2020'!$A79,'Registre de reserves'!$B$2:$B$1178,'2020'!B$2,Tabla1[ANY],'2020'!$Z$76)+SUMIFS('Registre de reserves'!$U$2:$U$1178,'Registre de reserves'!$T$2:$T$1178,"RESERVA",'Registre de reserves'!$I$2:$I$1178,'2020'!$A79,'Registre de reserves'!$B$2:$B$1178,'2020'!B$2,Tabla1[ANY],'2020'!$Z$76)</f>
        <v>195</v>
      </c>
      <c r="C79" s="21">
        <f t="shared" ref="C79:C86" si="73">IF(B$78=0,0,B79/B$78)</f>
        <v>0.11370262390670553</v>
      </c>
      <c r="D79" s="20">
        <f>SUMIFS('Registre de reserves'!$U$2:$U$1178,'Registre de reserves'!$T$2:$T$1178,"SI",'Registre de reserves'!$I$2:$I$1178,'2020'!$A79,'Registre de reserves'!$B$2:$B$1178,'2020'!D$2,Tabla1[ANY],'2020'!$Z$76)+SUMIFS('Registre de reserves'!$U$2:$U$1178,'Registre de reserves'!$T$2:$T$1178,"RESERVA",'Registre de reserves'!$I$2:$I$1178,'2020'!$A79,'Registre de reserves'!$B$2:$B$1178,'2020'!D$2,Tabla1[ANY],'2020'!$Z$76)</f>
        <v>390</v>
      </c>
      <c r="E79" s="21">
        <f t="shared" ref="E79:E86" si="74">IF(D$78=0,0,D79/D$78)</f>
        <v>0.34513274336283184</v>
      </c>
      <c r="F79" s="20">
        <f>SUMIFS('Registre de reserves'!$U$2:$U$1178,'Registre de reserves'!$T$2:$T$1178,"SI",'Registre de reserves'!$I$2:$I$1178,'2020'!$A79,'Registre de reserves'!$B$2:$B$1178,'2020'!F$2,Tabla1[ANY],'2020'!$Z$76)+SUMIFS('Registre de reserves'!$U$2:$U$1178,'Registre de reserves'!$T$2:$T$1178,"RESERVA",'Registre de reserves'!$I$2:$I$1178,'2020'!$A79,'Registre de reserves'!$B$2:$B$1178,'2020'!F$2,Tabla1[ANY],'2020'!$Z$76)</f>
        <v>50</v>
      </c>
      <c r="G79" s="21">
        <f t="shared" ref="G79:G86" si="75">IF(F$78=0,0,F79/F$78)</f>
        <v>0.2</v>
      </c>
      <c r="H79" s="20">
        <f>SUMIFS('Registre de reserves'!$U$2:$U$1178,'Registre de reserves'!$T$2:$T$1178,"SI",'Registre de reserves'!$I$2:$I$1178,'2020'!$A79,'Registre de reserves'!$B$2:$B$1178,'2020'!H$2,Tabla1[ANY],'2020'!$Z$76)+SUMIFS('Registre de reserves'!$U$2:$U$1178,'Registre de reserves'!$T$2:$T$1178,"RESERVA",'Registre de reserves'!$I$2:$I$1178,'2020'!$A79,'Registre de reserves'!$B$2:$B$1178,'2020'!H$2,Tabla1[ANY],'2020'!$Z$76)</f>
        <v>0</v>
      </c>
      <c r="I79" s="21">
        <f t="shared" ref="I79:I86" si="76">IF(H$78=0,0,H79/H$78)</f>
        <v>0</v>
      </c>
      <c r="J79" s="20">
        <f>SUMIFS('Registre de reserves'!$U$2:$U$1178,'Registre de reserves'!$T$2:$T$1178,"SI",'Registre de reserves'!$I$2:$I$1178,'2020'!$A79,'Registre de reserves'!$B$2:$B$1178,'2020'!J$2,Tabla1[ANY],'2020'!$Z$76)+SUMIFS('Registre de reserves'!$U$2:$U$1178,'Registre de reserves'!$T$2:$T$1178,"RESERVA",'Registre de reserves'!$I$2:$I$1178,'2020'!$A79,'Registre de reserves'!$B$2:$B$1178,'2020'!J$2,Tabla1[ANY],'2020'!$Z$76)</f>
        <v>0</v>
      </c>
      <c r="K79" s="21">
        <f t="shared" ref="K79:K86" si="77">IF(J$78=0,0,J79/J$78)</f>
        <v>0</v>
      </c>
      <c r="L79" s="20">
        <f>SUMIFS('Registre de reserves'!$U$2:$U$1178,'Registre de reserves'!$T$2:$T$1178,"SI",'Registre de reserves'!$I$2:$I$1178,'2020'!$A79,'Registre de reserves'!$B$2:$B$1178,'2020'!L$2,Tabla1[ANY],'2020'!$Z$76)+SUMIFS('Registre de reserves'!$U$2:$U$1178,'Registre de reserves'!$T$2:$T$1178,"RESERVA",'Registre de reserves'!$I$2:$I$1178,'2020'!$A79,'Registre de reserves'!$B$2:$B$1178,'2020'!L$2,Tabla1[ANY],'2020'!$Z$76)</f>
        <v>0</v>
      </c>
      <c r="M79" s="21">
        <f t="shared" ref="M79:M86" si="78">IF(L$78=0,0,L79/L$78)</f>
        <v>0</v>
      </c>
      <c r="N79" s="20">
        <f>SUMIFS('Registre de reserves'!$U$2:$U$1178,'Registre de reserves'!$T$2:$T$1178,"SI",'Registre de reserves'!$I$2:$I$1178,'2020'!$A79,'Registre de reserves'!$B$2:$B$1178,'2020'!N$2,Tabla1[ANY],'2020'!$Z$76)+SUMIFS('Registre de reserves'!$U$2:$U$1178,'Registre de reserves'!$T$2:$T$1178,"RESERVA",'Registre de reserves'!$I$2:$I$1178,'2020'!$A79,'Registre de reserves'!$B$2:$B$1178,'2020'!N$2,Tabla1[ANY],'2020'!$Z$76)</f>
        <v>50</v>
      </c>
      <c r="O79" s="21">
        <f t="shared" ref="O79:O86" si="79">IF(N$78=0,0,N79/N$78)</f>
        <v>1.9723865877712032E-2</v>
      </c>
      <c r="P79" s="20">
        <f>SUMIFS('Registre de reserves'!$U$2:$U$1178,'Registre de reserves'!$T$2:$T$1178,"SI",'Registre de reserves'!$I$2:$I$1178,'2020'!$A79,'Registre de reserves'!$B$2:$B$1178,'2020'!P$2,Tabla1[ANY],'2020'!$Z$76)+SUMIFS('Registre de reserves'!$U$2:$U$1178,'Registre de reserves'!$T$2:$T$1178,"RESERVA",'Registre de reserves'!$I$2:$I$1178,'2020'!$A79,'Registre de reserves'!$B$2:$B$1178,'2020'!P$2,Tabla1[ANY],'2020'!$Z$76)</f>
        <v>0</v>
      </c>
      <c r="Q79" s="21">
        <f t="shared" ref="Q79:Q86" si="80">IF(P$78=0,0,P79/P$78)</f>
        <v>0</v>
      </c>
      <c r="R79" s="20">
        <f>SUMIFS('Registre de reserves'!$U$2:$U$1178,'Registre de reserves'!$T$2:$T$1178,"SI",'Registre de reserves'!$I$2:$I$1178,'2020'!$A79,'Registre de reserves'!$B$2:$B$1178,'2020'!R$2,Tabla1[ANY],'2020'!$Z$76)+SUMIFS('Registre de reserves'!$U$2:$U$1178,'Registre de reserves'!$T$2:$T$1178,"RESERVA",'Registre de reserves'!$I$2:$I$1178,'2020'!$A79,'Registre de reserves'!$B$2:$B$1178,'2020'!R$2,Tabla1[ANY],'2020'!$Z$76)</f>
        <v>0</v>
      </c>
      <c r="S79" s="21">
        <f t="shared" ref="S79:S86" si="81">IF(R$78=0,0,R79/R$78)</f>
        <v>0</v>
      </c>
      <c r="T79" s="20">
        <f>SUMIFS('Registre de reserves'!$U$2:$U$1178,'Registre de reserves'!$T$2:$T$1178,"SI",'Registre de reserves'!$I$2:$I$1178,'2020'!$A79,'Registre de reserves'!$B$2:$B$1178,'2020'!T$2,Tabla1[ANY],'2020'!$Z$76)+SUMIFS('Registre de reserves'!$U$2:$U$1178,'Registre de reserves'!$T$2:$T$1178,"RESERVA",'Registre de reserves'!$I$2:$I$1178,'2020'!$A79,'Registre de reserves'!$B$2:$B$1178,'2020'!T$2,Tabla1[ANY],'2020'!$Z$76)</f>
        <v>0</v>
      </c>
      <c r="U79" s="21">
        <f t="shared" ref="U79:U86" si="82">IF(T$78=0,0,T79/T$78)</f>
        <v>0</v>
      </c>
      <c r="V79" s="20">
        <f>SUMIFS('Registre de reserves'!$U$2:$U$1178,'Registre de reserves'!$T$2:$T$1178,"SI",'Registre de reserves'!$I$2:$I$1178,'2020'!$A79,'Registre de reserves'!$B$2:$B$1178,'2020'!V$2,Tabla1[ANY],'2020'!$Z$76)+SUMIFS('Registre de reserves'!$U$2:$U$1178,'Registre de reserves'!$T$2:$T$1178,"RESERVA",'Registre de reserves'!$I$2:$I$1178,'2020'!$A79,'Registre de reserves'!$B$2:$B$1178,'2020'!V$2,Tabla1[ANY],'2020'!$Z$76)</f>
        <v>0</v>
      </c>
      <c r="W79" s="21">
        <f t="shared" ref="W79:W86" si="83">IF(V$78=0,0,V79/V$78)</f>
        <v>0</v>
      </c>
      <c r="X79" s="20">
        <f>SUMIFS('Registre de reserves'!$U$2:$U$1178,'Registre de reserves'!$T$2:$T$1178,"SI",'Registre de reserves'!$I$2:$I$1178,'2020'!$A79,'Registre de reserves'!$B$2:$B$1178,'2020'!X$2,Tabla1[ANY],'2020'!$Z$76)+SUMIFS('Registre de reserves'!$U$2:$U$1178,'Registre de reserves'!$T$2:$T$1178,"RESERVA",'Registre de reserves'!$I$2:$I$1178,'2020'!$A79,'Registre de reserves'!$B$2:$B$1178,'2020'!X$2,Tabla1[ANY],'2020'!$Z$76)</f>
        <v>0</v>
      </c>
      <c r="Y79" s="21">
        <f t="shared" ref="Y79:Y86" si="84">IF(X$78=0,0,X79/X$78)</f>
        <v>0</v>
      </c>
      <c r="Z79" s="20">
        <f>B79+D79+F79+H79+J79+L79+N79+P79+R79+T79+V79+X79</f>
        <v>685</v>
      </c>
      <c r="AA79" s="21">
        <f t="shared" ref="AA79:AA86" si="85">IF(Z$78=0,0,Z79/Z$78)</f>
        <v>5.4129358895034091E-2</v>
      </c>
    </row>
    <row r="80" spans="1:27" hidden="1" outlineLevel="2" x14ac:dyDescent="0.2">
      <c r="A80" s="8" t="s">
        <v>68</v>
      </c>
      <c r="B80" s="20">
        <f>SUMIFS('Registre de reserves'!$U$2:$U$1178,'Registre de reserves'!$T$2:$T$1178,"SI",'Registre de reserves'!$I$2:$I$1178,'2020'!$A80,'Registre de reserves'!$B$2:$B$1178,'2020'!B$2,Tabla1[ANY],'2020'!$Z$76)+SUMIFS('Registre de reserves'!$U$2:$U$1178,'Registre de reserves'!$T$2:$T$1178,"RESERVA",'Registre de reserves'!$I$2:$I$1178,'2020'!$A80,'Registre de reserves'!$B$2:$B$1178,'2020'!B$2,Tabla1[ANY],'2020'!$Z$76)</f>
        <v>435</v>
      </c>
      <c r="C80" s="21">
        <f t="shared" si="73"/>
        <v>0.25364431486880468</v>
      </c>
      <c r="D80" s="20">
        <f>SUMIFS('Registre de reserves'!$U$2:$U$1178,'Registre de reserves'!$T$2:$T$1178,"SI",'Registre de reserves'!$I$2:$I$1178,'2020'!$A80,'Registre de reserves'!$B$2:$B$1178,'2020'!D$2,Tabla1[ANY],'2020'!$Z$76)+SUMIFS('Registre de reserves'!$U$2:$U$1178,'Registre de reserves'!$T$2:$T$1178,"RESERVA",'Registre de reserves'!$I$2:$I$1178,'2020'!$A80,'Registre de reserves'!$B$2:$B$1178,'2020'!D$2,Tabla1[ANY],'2020'!$Z$76)</f>
        <v>395</v>
      </c>
      <c r="E80" s="21">
        <f t="shared" si="74"/>
        <v>0.34955752212389379</v>
      </c>
      <c r="F80" s="20">
        <f>SUMIFS('Registre de reserves'!$U$2:$U$1178,'Registre de reserves'!$T$2:$T$1178,"SI",'Registre de reserves'!$I$2:$I$1178,'2020'!$A80,'Registre de reserves'!$B$2:$B$1178,'2020'!F$2,Tabla1[ANY],'2020'!$Z$76)+SUMIFS('Registre de reserves'!$U$2:$U$1178,'Registre de reserves'!$T$2:$T$1178,"RESERVA",'Registre de reserves'!$I$2:$I$1178,'2020'!$A80,'Registre de reserves'!$B$2:$B$1178,'2020'!F$2,Tabla1[ANY],'2020'!$Z$76)</f>
        <v>100</v>
      </c>
      <c r="G80" s="21">
        <f t="shared" si="75"/>
        <v>0.4</v>
      </c>
      <c r="H80" s="20">
        <f>SUMIFS('Registre de reserves'!$U$2:$U$1178,'Registre de reserves'!$T$2:$T$1178,"SI",'Registre de reserves'!$I$2:$I$1178,'2020'!$A80,'Registre de reserves'!$B$2:$B$1178,'2020'!H$2,Tabla1[ANY],'2020'!$Z$76)+SUMIFS('Registre de reserves'!$U$2:$U$1178,'Registre de reserves'!$T$2:$T$1178,"RESERVA",'Registre de reserves'!$I$2:$I$1178,'2020'!$A80,'Registre de reserves'!$B$2:$B$1178,'2020'!H$2,Tabla1[ANY],'2020'!$Z$76)</f>
        <v>0</v>
      </c>
      <c r="I80" s="21">
        <f t="shared" si="76"/>
        <v>0</v>
      </c>
      <c r="J80" s="20">
        <f>SUMIFS('Registre de reserves'!$U$2:$U$1178,'Registre de reserves'!$T$2:$T$1178,"SI",'Registre de reserves'!$I$2:$I$1178,'2020'!$A80,'Registre de reserves'!$B$2:$B$1178,'2020'!J$2,Tabla1[ANY],'2020'!$Z$76)+SUMIFS('Registre de reserves'!$U$2:$U$1178,'Registre de reserves'!$T$2:$T$1178,"RESERVA",'Registre de reserves'!$I$2:$I$1178,'2020'!$A80,'Registre de reserves'!$B$2:$B$1178,'2020'!J$2,Tabla1[ANY],'2020'!$Z$76)</f>
        <v>0</v>
      </c>
      <c r="K80" s="21">
        <f t="shared" si="77"/>
        <v>0</v>
      </c>
      <c r="L80" s="20">
        <f>SUMIFS('Registre de reserves'!$U$2:$U$1178,'Registre de reserves'!$T$2:$T$1178,"SI",'Registre de reserves'!$I$2:$I$1178,'2020'!$A80,'Registre de reserves'!$B$2:$B$1178,'2020'!L$2,Tabla1[ANY],'2020'!$Z$76)+SUMIFS('Registre de reserves'!$U$2:$U$1178,'Registre de reserves'!$T$2:$T$1178,"RESERVA",'Registre de reserves'!$I$2:$I$1178,'2020'!$A80,'Registre de reserves'!$B$2:$B$1178,'2020'!L$2,Tabla1[ANY],'2020'!$Z$76)</f>
        <v>0</v>
      </c>
      <c r="M80" s="21">
        <f t="shared" si="78"/>
        <v>0</v>
      </c>
      <c r="N80" s="20">
        <f>SUMIFS('Registre de reserves'!$U$2:$U$1178,'Registre de reserves'!$T$2:$T$1178,"SI",'Registre de reserves'!$I$2:$I$1178,'2020'!$A80,'Registre de reserves'!$B$2:$B$1178,'2020'!N$2,Tabla1[ANY],'2020'!$Z$76)+SUMIFS('Registre de reserves'!$U$2:$U$1178,'Registre de reserves'!$T$2:$T$1178,"RESERVA",'Registre de reserves'!$I$2:$I$1178,'2020'!$A80,'Registre de reserves'!$B$2:$B$1178,'2020'!N$2,Tabla1[ANY],'2020'!$Z$76)</f>
        <v>150</v>
      </c>
      <c r="O80" s="21">
        <f t="shared" si="79"/>
        <v>5.9171597633136092E-2</v>
      </c>
      <c r="P80" s="20">
        <f>SUMIFS('Registre de reserves'!$U$2:$U$1178,'Registre de reserves'!$T$2:$T$1178,"SI",'Registre de reserves'!$I$2:$I$1178,'2020'!$A80,'Registre de reserves'!$B$2:$B$1178,'2020'!P$2,Tabla1[ANY],'2020'!$Z$76)+SUMIFS('Registre de reserves'!$U$2:$U$1178,'Registre de reserves'!$T$2:$T$1178,"RESERVA",'Registre de reserves'!$I$2:$I$1178,'2020'!$A80,'Registre de reserves'!$B$2:$B$1178,'2020'!P$2,Tabla1[ANY],'2020'!$Z$76)</f>
        <v>50</v>
      </c>
      <c r="Q80" s="21">
        <f t="shared" si="80"/>
        <v>0.16666666666666666</v>
      </c>
      <c r="R80" s="20">
        <f>SUMIFS('Registre de reserves'!$U$2:$U$1178,'Registre de reserves'!$T$2:$T$1178,"SI",'Registre de reserves'!$I$2:$I$1178,'2020'!$A80,'Registre de reserves'!$B$2:$B$1178,'2020'!R$2,Tabla1[ANY],'2020'!$Z$76)+SUMIFS('Registre de reserves'!$U$2:$U$1178,'Registre de reserves'!$T$2:$T$1178,"RESERVA",'Registre de reserves'!$I$2:$I$1178,'2020'!$A80,'Registre de reserves'!$B$2:$B$1178,'2020'!R$2,Tabla1[ANY],'2020'!$Z$76)</f>
        <v>50</v>
      </c>
      <c r="S80" s="21">
        <f t="shared" si="81"/>
        <v>6.6667555567407569E-2</v>
      </c>
      <c r="T80" s="20">
        <f>SUMIFS('Registre de reserves'!$U$2:$U$1178,'Registre de reserves'!$T$2:$T$1178,"SI",'Registre de reserves'!$I$2:$I$1178,'2020'!$A80,'Registre de reserves'!$B$2:$B$1178,'2020'!T$2,Tabla1[ANY],'2020'!$Z$76)+SUMIFS('Registre de reserves'!$U$2:$U$1178,'Registre de reserves'!$T$2:$T$1178,"RESERVA",'Registre de reserves'!$I$2:$I$1178,'2020'!$A80,'Registre de reserves'!$B$2:$B$1178,'2020'!T$2,Tabla1[ANY],'2020'!$Z$76)</f>
        <v>50</v>
      </c>
      <c r="U80" s="21">
        <f t="shared" si="82"/>
        <v>9.5748755266181526E-2</v>
      </c>
      <c r="V80" s="20">
        <f>SUMIFS('Registre de reserves'!$U$2:$U$1178,'Registre de reserves'!$T$2:$T$1178,"SI",'Registre de reserves'!$I$2:$I$1178,'2020'!$A80,'Registre de reserves'!$B$2:$B$1178,'2020'!V$2,Tabla1[ANY],'2020'!$Z$76)+SUMIFS('Registre de reserves'!$U$2:$U$1178,'Registre de reserves'!$T$2:$T$1178,"RESERVA",'Registre de reserves'!$I$2:$I$1178,'2020'!$A80,'Registre de reserves'!$B$2:$B$1178,'2020'!V$2,Tabla1[ANY],'2020'!$Z$76)</f>
        <v>0</v>
      </c>
      <c r="W80" s="21">
        <f t="shared" si="83"/>
        <v>0</v>
      </c>
      <c r="X80" s="20">
        <f>SUMIFS('Registre de reserves'!$U$2:$U$1178,'Registre de reserves'!$T$2:$T$1178,"SI",'Registre de reserves'!$I$2:$I$1178,'2020'!$A80,'Registre de reserves'!$B$2:$B$1178,'2020'!X$2,Tabla1[ANY],'2020'!$Z$76)+SUMIFS('Registre de reserves'!$U$2:$U$1178,'Registre de reserves'!$T$2:$T$1178,"RESERVA",'Registre de reserves'!$I$2:$I$1178,'2020'!$A80,'Registre de reserves'!$B$2:$B$1178,'2020'!X$2,Tabla1[ANY],'2020'!$Z$76)</f>
        <v>0</v>
      </c>
      <c r="Y80" s="21">
        <f t="shared" si="84"/>
        <v>0</v>
      </c>
      <c r="Z80" s="20">
        <f t="shared" ref="Z80:Z86" si="86">B80+D80+F80+H80+J80+L80+N80+P80+R80+T80+V80+X80</f>
        <v>1230</v>
      </c>
      <c r="AA80" s="21">
        <f t="shared" si="85"/>
        <v>9.7195783125389679E-2</v>
      </c>
    </row>
    <row r="81" spans="1:27" hidden="1" outlineLevel="2" x14ac:dyDescent="0.2">
      <c r="A81" s="8" t="s">
        <v>4</v>
      </c>
      <c r="B81" s="20">
        <f>SUMIFS('Registre de reserves'!$U$2:$U$1178,'Registre de reserves'!$T$2:$T$1178,"SI",'Registre de reserves'!$I$2:$I$1178,'2020'!$A81,'Registre de reserves'!$B$2:$B$1178,'2020'!B$2,Tabla1[ANY],'2020'!$Z$76)+SUMIFS('Registre de reserves'!$U$2:$U$1178,'Registre de reserves'!$T$2:$T$1178,"RESERVA",'Registre de reserves'!$I$2:$I$1178,'2020'!$A81,'Registre de reserves'!$B$2:$B$1178,'2020'!B$2,Tabla1[ANY],'2020'!$Z$76)</f>
        <v>200</v>
      </c>
      <c r="C81" s="21">
        <f t="shared" si="73"/>
        <v>0.11661807580174927</v>
      </c>
      <c r="D81" s="20">
        <f>SUMIFS('Registre de reserves'!$U$2:$U$1178,'Registre de reserves'!$T$2:$T$1178,"SI",'Registre de reserves'!$I$2:$I$1178,'2020'!$A81,'Registre de reserves'!$B$2:$B$1178,'2020'!D$2,Tabla1[ANY],'2020'!$Z$76)+SUMIFS('Registre de reserves'!$U$2:$U$1178,'Registre de reserves'!$T$2:$T$1178,"RESERVA",'Registre de reserves'!$I$2:$I$1178,'2020'!$A81,'Registre de reserves'!$B$2:$B$1178,'2020'!D$2,Tabla1[ANY],'2020'!$Z$76)</f>
        <v>0</v>
      </c>
      <c r="E81" s="21">
        <f t="shared" si="74"/>
        <v>0</v>
      </c>
      <c r="F81" s="20">
        <f>SUMIFS('Registre de reserves'!$U$2:$U$1178,'Registre de reserves'!$T$2:$T$1178,"SI",'Registre de reserves'!$I$2:$I$1178,'2020'!$A81,'Registre de reserves'!$B$2:$B$1178,'2020'!F$2,Tabla1[ANY],'2020'!$Z$76)+SUMIFS('Registre de reserves'!$U$2:$U$1178,'Registre de reserves'!$T$2:$T$1178,"RESERVA",'Registre de reserves'!$I$2:$I$1178,'2020'!$A81,'Registre de reserves'!$B$2:$B$1178,'2020'!F$2,Tabla1[ANY],'2020'!$Z$76)</f>
        <v>50</v>
      </c>
      <c r="G81" s="21">
        <f t="shared" si="75"/>
        <v>0.2</v>
      </c>
      <c r="H81" s="20">
        <f>SUMIFS('Registre de reserves'!$U$2:$U$1178,'Registre de reserves'!$T$2:$T$1178,"SI",'Registre de reserves'!$I$2:$I$1178,'2020'!$A81,'Registre de reserves'!$B$2:$B$1178,'2020'!H$2,Tabla1[ANY],'2020'!$Z$76)+SUMIFS('Registre de reserves'!$U$2:$U$1178,'Registre de reserves'!$T$2:$T$1178,"RESERVA",'Registre de reserves'!$I$2:$I$1178,'2020'!$A81,'Registre de reserves'!$B$2:$B$1178,'2020'!H$2,Tabla1[ANY],'2020'!$Z$76)</f>
        <v>0</v>
      </c>
      <c r="I81" s="21">
        <f t="shared" si="76"/>
        <v>0</v>
      </c>
      <c r="J81" s="20">
        <f>SUMIFS('Registre de reserves'!$U$2:$U$1178,'Registre de reserves'!$T$2:$T$1178,"SI",'Registre de reserves'!$I$2:$I$1178,'2020'!$A81,'Registre de reserves'!$B$2:$B$1178,'2020'!J$2,Tabla1[ANY],'2020'!$Z$76)+SUMIFS('Registre de reserves'!$U$2:$U$1178,'Registre de reserves'!$T$2:$T$1178,"RESERVA",'Registre de reserves'!$I$2:$I$1178,'2020'!$A81,'Registre de reserves'!$B$2:$B$1178,'2020'!J$2,Tabla1[ANY],'2020'!$Z$76)</f>
        <v>0</v>
      </c>
      <c r="K81" s="21">
        <f t="shared" si="77"/>
        <v>0</v>
      </c>
      <c r="L81" s="20">
        <f>SUMIFS('Registre de reserves'!$U$2:$U$1178,'Registre de reserves'!$T$2:$T$1178,"SI",'Registre de reserves'!$I$2:$I$1178,'2020'!$A81,'Registre de reserves'!$B$2:$B$1178,'2020'!L$2,Tabla1[ANY],'2020'!$Z$76)+SUMIFS('Registre de reserves'!$U$2:$U$1178,'Registre de reserves'!$T$2:$T$1178,"RESERVA",'Registre de reserves'!$I$2:$I$1178,'2020'!$A81,'Registre de reserves'!$B$2:$B$1178,'2020'!L$2,Tabla1[ANY],'2020'!$Z$76)</f>
        <v>0</v>
      </c>
      <c r="M81" s="21">
        <f t="shared" si="78"/>
        <v>0</v>
      </c>
      <c r="N81" s="20">
        <f>SUMIFS('Registre de reserves'!$U$2:$U$1178,'Registre de reserves'!$T$2:$T$1178,"SI",'Registre de reserves'!$I$2:$I$1178,'2020'!$A81,'Registre de reserves'!$B$2:$B$1178,'2020'!N$2,Tabla1[ANY],'2020'!$Z$76)+SUMIFS('Registre de reserves'!$U$2:$U$1178,'Registre de reserves'!$T$2:$T$1178,"RESERVA",'Registre de reserves'!$I$2:$I$1178,'2020'!$A81,'Registre de reserves'!$B$2:$B$1178,'2020'!N$2,Tabla1[ANY],'2020'!$Z$76)</f>
        <v>0</v>
      </c>
      <c r="O81" s="21">
        <f t="shared" si="79"/>
        <v>0</v>
      </c>
      <c r="P81" s="20">
        <f>SUMIFS('Registre de reserves'!$U$2:$U$1178,'Registre de reserves'!$T$2:$T$1178,"SI",'Registre de reserves'!$I$2:$I$1178,'2020'!$A81,'Registre de reserves'!$B$2:$B$1178,'2020'!P$2,Tabla1[ANY],'2020'!$Z$76)+SUMIFS('Registre de reserves'!$U$2:$U$1178,'Registre de reserves'!$T$2:$T$1178,"RESERVA",'Registre de reserves'!$I$2:$I$1178,'2020'!$A81,'Registre de reserves'!$B$2:$B$1178,'2020'!P$2,Tabla1[ANY],'2020'!$Z$76)</f>
        <v>50</v>
      </c>
      <c r="Q81" s="21">
        <f t="shared" si="80"/>
        <v>0.16666666666666666</v>
      </c>
      <c r="R81" s="20">
        <f>SUMIFS('Registre de reserves'!$U$2:$U$1178,'Registre de reserves'!$T$2:$T$1178,"SI",'Registre de reserves'!$I$2:$I$1178,'2020'!$A81,'Registre de reserves'!$B$2:$B$1178,'2020'!R$2,Tabla1[ANY],'2020'!$Z$76)+SUMIFS('Registre de reserves'!$U$2:$U$1178,'Registre de reserves'!$T$2:$T$1178,"RESERVA",'Registre de reserves'!$I$2:$I$1178,'2020'!$A81,'Registre de reserves'!$B$2:$B$1178,'2020'!R$2,Tabla1[ANY],'2020'!$Z$76)</f>
        <v>549.99</v>
      </c>
      <c r="S81" s="21">
        <f t="shared" si="81"/>
        <v>0.73332977773036978</v>
      </c>
      <c r="T81" s="20">
        <f>SUMIFS('Registre de reserves'!$U$2:$U$1178,'Registre de reserves'!$T$2:$T$1178,"SI",'Registre de reserves'!$I$2:$I$1178,'2020'!$A81,'Registre de reserves'!$B$2:$B$1178,'2020'!T$2,Tabla1[ANY],'2020'!$Z$76)+SUMIFS('Registre de reserves'!$U$2:$U$1178,'Registre de reserves'!$T$2:$T$1178,"RESERVA",'Registre de reserves'!$I$2:$I$1178,'2020'!$A81,'Registre de reserves'!$B$2:$B$1178,'2020'!T$2,Tabla1[ANY],'2020'!$Z$76)</f>
        <v>0</v>
      </c>
      <c r="U81" s="21">
        <f t="shared" si="82"/>
        <v>0</v>
      </c>
      <c r="V81" s="20">
        <f>SUMIFS('Registre de reserves'!$U$2:$U$1178,'Registre de reserves'!$T$2:$T$1178,"SI",'Registre de reserves'!$I$2:$I$1178,'2020'!$A81,'Registre de reserves'!$B$2:$B$1178,'2020'!V$2,Tabla1[ANY],'2020'!$Z$76)+SUMIFS('Registre de reserves'!$U$2:$U$1178,'Registre de reserves'!$T$2:$T$1178,"RESERVA",'Registre de reserves'!$I$2:$I$1178,'2020'!$A81,'Registre de reserves'!$B$2:$B$1178,'2020'!V$2,Tabla1[ANY],'2020'!$Z$76)</f>
        <v>0</v>
      </c>
      <c r="W81" s="21">
        <f t="shared" si="83"/>
        <v>0</v>
      </c>
      <c r="X81" s="20">
        <f>SUMIFS('Registre de reserves'!$U$2:$U$1178,'Registre de reserves'!$T$2:$T$1178,"SI",'Registre de reserves'!$I$2:$I$1178,'2020'!$A81,'Registre de reserves'!$B$2:$B$1178,'2020'!X$2,Tabla1[ANY],'2020'!$Z$76)+SUMIFS('Registre de reserves'!$U$2:$U$1178,'Registre de reserves'!$T$2:$T$1178,"RESERVA",'Registre de reserves'!$I$2:$I$1178,'2020'!$A81,'Registre de reserves'!$B$2:$B$1178,'2020'!X$2,Tabla1[ANY],'2020'!$Z$76)</f>
        <v>0</v>
      </c>
      <c r="Y81" s="21">
        <f t="shared" si="84"/>
        <v>0</v>
      </c>
      <c r="Z81" s="20">
        <f t="shared" si="86"/>
        <v>849.99</v>
      </c>
      <c r="AA81" s="21">
        <f t="shared" si="85"/>
        <v>6.7167027397357706E-2</v>
      </c>
    </row>
    <row r="82" spans="1:27" hidden="1" outlineLevel="2" x14ac:dyDescent="0.2">
      <c r="A82" s="8" t="s">
        <v>71</v>
      </c>
      <c r="B82" s="20">
        <f>SUMIFS('Registre de reserves'!$U$2:$U$1178,'Registre de reserves'!$T$2:$T$1178,"SI",'Registre de reserves'!$I$2:$I$1178,'2020'!$A82,'Registre de reserves'!$B$2:$B$1178,'2020'!B$2,Tabla1[ANY],'2020'!$Z$76)+SUMIFS('Registre de reserves'!$U$2:$U$1178,'Registre de reserves'!$T$2:$T$1178,"RESERVA",'Registre de reserves'!$I$2:$I$1178,'2020'!$A82,'Registre de reserves'!$B$2:$B$1178,'2020'!B$2,Tabla1[ANY],'2020'!$Z$76)</f>
        <v>145</v>
      </c>
      <c r="C82" s="21">
        <f t="shared" si="73"/>
        <v>8.4548104956268216E-2</v>
      </c>
      <c r="D82" s="20">
        <f>SUMIFS('Registre de reserves'!$U$2:$U$1178,'Registre de reserves'!$T$2:$T$1178,"SI",'Registre de reserves'!$I$2:$I$1178,'2020'!$A82,'Registre de reserves'!$B$2:$B$1178,'2020'!D$2,Tabla1[ANY],'2020'!$Z$76)+SUMIFS('Registre de reserves'!$U$2:$U$1178,'Registre de reserves'!$T$2:$T$1178,"RESERVA",'Registre de reserves'!$I$2:$I$1178,'2020'!$A82,'Registre de reserves'!$B$2:$B$1178,'2020'!D$2,Tabla1[ANY],'2020'!$Z$76)</f>
        <v>0</v>
      </c>
      <c r="E82" s="21">
        <f t="shared" si="74"/>
        <v>0</v>
      </c>
      <c r="F82" s="20">
        <f>SUMIFS('Registre de reserves'!$U$2:$U$1178,'Registre de reserves'!$T$2:$T$1178,"SI",'Registre de reserves'!$I$2:$I$1178,'2020'!$A82,'Registre de reserves'!$B$2:$B$1178,'2020'!F$2,Tabla1[ANY],'2020'!$Z$76)+SUMIFS('Registre de reserves'!$U$2:$U$1178,'Registre de reserves'!$T$2:$T$1178,"RESERVA",'Registre de reserves'!$I$2:$I$1178,'2020'!$A82,'Registre de reserves'!$B$2:$B$1178,'2020'!F$2,Tabla1[ANY],'2020'!$Z$76)</f>
        <v>0</v>
      </c>
      <c r="G82" s="21">
        <f t="shared" si="75"/>
        <v>0</v>
      </c>
      <c r="H82" s="20">
        <f>SUMIFS('Registre de reserves'!$U$2:$U$1178,'Registre de reserves'!$T$2:$T$1178,"SI",'Registre de reserves'!$I$2:$I$1178,'2020'!$A82,'Registre de reserves'!$B$2:$B$1178,'2020'!H$2,Tabla1[ANY],'2020'!$Z$76)+SUMIFS('Registre de reserves'!$U$2:$U$1178,'Registre de reserves'!$T$2:$T$1178,"RESERVA",'Registre de reserves'!$I$2:$I$1178,'2020'!$A82,'Registre de reserves'!$B$2:$B$1178,'2020'!H$2,Tabla1[ANY],'2020'!$Z$76)</f>
        <v>0</v>
      </c>
      <c r="I82" s="21">
        <f t="shared" si="76"/>
        <v>0</v>
      </c>
      <c r="J82" s="20">
        <f>SUMIFS('Registre de reserves'!$U$2:$U$1178,'Registre de reserves'!$T$2:$T$1178,"SI",'Registre de reserves'!$I$2:$I$1178,'2020'!$A82,'Registre de reserves'!$B$2:$B$1178,'2020'!J$2,Tabla1[ANY],'2020'!$Z$76)+SUMIFS('Registre de reserves'!$U$2:$U$1178,'Registre de reserves'!$T$2:$T$1178,"RESERVA",'Registre de reserves'!$I$2:$I$1178,'2020'!$A82,'Registre de reserves'!$B$2:$B$1178,'2020'!J$2,Tabla1[ANY],'2020'!$Z$76)</f>
        <v>0</v>
      </c>
      <c r="K82" s="21">
        <f t="shared" si="77"/>
        <v>0</v>
      </c>
      <c r="L82" s="20">
        <f>SUMIFS('Registre de reserves'!$U$2:$U$1178,'Registre de reserves'!$T$2:$T$1178,"SI",'Registre de reserves'!$I$2:$I$1178,'2020'!$A82,'Registre de reserves'!$B$2:$B$1178,'2020'!L$2,Tabla1[ANY],'2020'!$Z$76)+SUMIFS('Registre de reserves'!$U$2:$U$1178,'Registre de reserves'!$T$2:$T$1178,"RESERVA",'Registre de reserves'!$I$2:$I$1178,'2020'!$A82,'Registre de reserves'!$B$2:$B$1178,'2020'!L$2,Tabla1[ANY],'2020'!$Z$76)</f>
        <v>0</v>
      </c>
      <c r="M82" s="21">
        <f t="shared" si="78"/>
        <v>0</v>
      </c>
      <c r="N82" s="20">
        <f>SUMIFS('Registre de reserves'!$U$2:$U$1178,'Registre de reserves'!$T$2:$T$1178,"SI",'Registre de reserves'!$I$2:$I$1178,'2020'!$A82,'Registre de reserves'!$B$2:$B$1178,'2020'!N$2,Tabla1[ANY],'2020'!$Z$76)+SUMIFS('Registre de reserves'!$U$2:$U$1178,'Registre de reserves'!$T$2:$T$1178,"RESERVA",'Registre de reserves'!$I$2:$I$1178,'2020'!$A82,'Registre de reserves'!$B$2:$B$1178,'2020'!N$2,Tabla1[ANY],'2020'!$Z$76)</f>
        <v>0</v>
      </c>
      <c r="O82" s="21">
        <f t="shared" si="79"/>
        <v>0</v>
      </c>
      <c r="P82" s="20">
        <f>SUMIFS('Registre de reserves'!$U$2:$U$1178,'Registre de reserves'!$T$2:$T$1178,"SI",'Registre de reserves'!$I$2:$I$1178,'2020'!$A82,'Registre de reserves'!$B$2:$B$1178,'2020'!P$2,Tabla1[ANY],'2020'!$Z$76)+SUMIFS('Registre de reserves'!$U$2:$U$1178,'Registre de reserves'!$T$2:$T$1178,"RESERVA",'Registre de reserves'!$I$2:$I$1178,'2020'!$A82,'Registre de reserves'!$B$2:$B$1178,'2020'!P$2,Tabla1[ANY],'2020'!$Z$76)</f>
        <v>0</v>
      </c>
      <c r="Q82" s="21">
        <f t="shared" si="80"/>
        <v>0</v>
      </c>
      <c r="R82" s="20">
        <f>SUMIFS('Registre de reserves'!$U$2:$U$1178,'Registre de reserves'!$T$2:$T$1178,"SI",'Registre de reserves'!$I$2:$I$1178,'2020'!$A82,'Registre de reserves'!$B$2:$B$1178,'2020'!R$2,Tabla1[ANY],'2020'!$Z$76)+SUMIFS('Registre de reserves'!$U$2:$U$1178,'Registre de reserves'!$T$2:$T$1178,"RESERVA",'Registre de reserves'!$I$2:$I$1178,'2020'!$A82,'Registre de reserves'!$B$2:$B$1178,'2020'!R$2,Tabla1[ANY],'2020'!$Z$76)</f>
        <v>0</v>
      </c>
      <c r="S82" s="21">
        <f t="shared" si="81"/>
        <v>0</v>
      </c>
      <c r="T82" s="20">
        <f>SUMIFS('Registre de reserves'!$U$2:$U$1178,'Registre de reserves'!$T$2:$T$1178,"SI",'Registre de reserves'!$I$2:$I$1178,'2020'!$A82,'Registre de reserves'!$B$2:$B$1178,'2020'!T$2,Tabla1[ANY],'2020'!$Z$76)+SUMIFS('Registre de reserves'!$U$2:$U$1178,'Registre de reserves'!$T$2:$T$1178,"RESERVA",'Registre de reserves'!$I$2:$I$1178,'2020'!$A82,'Registre de reserves'!$B$2:$B$1178,'2020'!T$2,Tabla1[ANY],'2020'!$Z$76)</f>
        <v>0</v>
      </c>
      <c r="U82" s="21">
        <f t="shared" si="82"/>
        <v>0</v>
      </c>
      <c r="V82" s="20">
        <f>SUMIFS('Registre de reserves'!$U$2:$U$1178,'Registre de reserves'!$T$2:$T$1178,"SI",'Registre de reserves'!$I$2:$I$1178,'2020'!$A82,'Registre de reserves'!$B$2:$B$1178,'2020'!V$2,Tabla1[ANY],'2020'!$Z$76)+SUMIFS('Registre de reserves'!$U$2:$U$1178,'Registre de reserves'!$T$2:$T$1178,"RESERVA",'Registre de reserves'!$I$2:$I$1178,'2020'!$A82,'Registre de reserves'!$B$2:$B$1178,'2020'!V$2,Tabla1[ANY],'2020'!$Z$76)</f>
        <v>0</v>
      </c>
      <c r="W82" s="21">
        <f t="shared" si="83"/>
        <v>0</v>
      </c>
      <c r="X82" s="20">
        <f>SUMIFS('Registre de reserves'!$U$2:$U$1178,'Registre de reserves'!$T$2:$T$1178,"SI",'Registre de reserves'!$I$2:$I$1178,'2020'!$A82,'Registre de reserves'!$B$2:$B$1178,'2020'!X$2,Tabla1[ANY],'2020'!$Z$76)+SUMIFS('Registre de reserves'!$U$2:$U$1178,'Registre de reserves'!$T$2:$T$1178,"RESERVA",'Registre de reserves'!$I$2:$I$1178,'2020'!$A82,'Registre de reserves'!$B$2:$B$1178,'2020'!X$2,Tabla1[ANY],'2020'!$Z$76)</f>
        <v>0</v>
      </c>
      <c r="Y82" s="21">
        <f t="shared" si="84"/>
        <v>0</v>
      </c>
      <c r="Z82" s="20">
        <f t="shared" si="86"/>
        <v>145</v>
      </c>
      <c r="AA82" s="21">
        <f t="shared" si="85"/>
        <v>1.1458039474131303E-2</v>
      </c>
    </row>
    <row r="83" spans="1:27" hidden="1" outlineLevel="2" x14ac:dyDescent="0.2">
      <c r="A83" s="8" t="s">
        <v>72</v>
      </c>
      <c r="B83" s="20">
        <f>SUMIFS('Registre de reserves'!$U$2:$U$1178,'Registre de reserves'!$T$2:$T$1178,"SI",'Registre de reserves'!$I$2:$I$1178,'2020'!$A83,'Registre de reserves'!$B$2:$B$1178,'2020'!B$2,Tabla1[ANY],'2020'!$Z$76)+SUMIFS('Registre de reserves'!$U$2:$U$1178,'Registre de reserves'!$T$2:$T$1178,"RESERVA",'Registre de reserves'!$I$2:$I$1178,'2020'!$A83,'Registre de reserves'!$B$2:$B$1178,'2020'!B$2,Tabla1[ANY],'2020'!$Z$76)</f>
        <v>0</v>
      </c>
      <c r="C83" s="21">
        <f t="shared" si="73"/>
        <v>0</v>
      </c>
      <c r="D83" s="20">
        <f>SUMIFS('Registre de reserves'!$U$2:$U$1178,'Registre de reserves'!$T$2:$T$1178,"SI",'Registre de reserves'!$I$2:$I$1178,'2020'!$A83,'Registre de reserves'!$B$2:$B$1178,'2020'!D$2,Tabla1[ANY],'2020'!$Z$76)+SUMIFS('Registre de reserves'!$U$2:$U$1178,'Registre de reserves'!$T$2:$T$1178,"RESERVA",'Registre de reserves'!$I$2:$I$1178,'2020'!$A83,'Registre de reserves'!$B$2:$B$1178,'2020'!D$2,Tabla1[ANY],'2020'!$Z$76)</f>
        <v>0</v>
      </c>
      <c r="E83" s="21">
        <f t="shared" si="74"/>
        <v>0</v>
      </c>
      <c r="F83" s="20">
        <f>SUMIFS('Registre de reserves'!$U$2:$U$1178,'Registre de reserves'!$T$2:$T$1178,"SI",'Registre de reserves'!$I$2:$I$1178,'2020'!$A83,'Registre de reserves'!$B$2:$B$1178,'2020'!F$2,Tabla1[ANY],'2020'!$Z$76)+SUMIFS('Registre de reserves'!$U$2:$U$1178,'Registre de reserves'!$T$2:$T$1178,"RESERVA",'Registre de reserves'!$I$2:$I$1178,'2020'!$A83,'Registre de reserves'!$B$2:$B$1178,'2020'!F$2,Tabla1[ANY],'2020'!$Z$76)</f>
        <v>0</v>
      </c>
      <c r="G83" s="21">
        <f t="shared" si="75"/>
        <v>0</v>
      </c>
      <c r="H83" s="20">
        <f>SUMIFS('Registre de reserves'!$U$2:$U$1178,'Registre de reserves'!$T$2:$T$1178,"SI",'Registre de reserves'!$I$2:$I$1178,'2020'!$A83,'Registre de reserves'!$B$2:$B$1178,'2020'!H$2,Tabla1[ANY],'2020'!$Z$76)+SUMIFS('Registre de reserves'!$U$2:$U$1178,'Registre de reserves'!$T$2:$T$1178,"RESERVA",'Registre de reserves'!$I$2:$I$1178,'2020'!$A83,'Registre de reserves'!$B$2:$B$1178,'2020'!H$2,Tabla1[ANY],'2020'!$Z$76)</f>
        <v>0</v>
      </c>
      <c r="I83" s="21">
        <f t="shared" si="76"/>
        <v>0</v>
      </c>
      <c r="J83" s="20">
        <f>SUMIFS('Registre de reserves'!$U$2:$U$1178,'Registre de reserves'!$T$2:$T$1178,"SI",'Registre de reserves'!$I$2:$I$1178,'2020'!$A83,'Registre de reserves'!$B$2:$B$1178,'2020'!J$2,Tabla1[ANY],'2020'!$Z$76)+SUMIFS('Registre de reserves'!$U$2:$U$1178,'Registre de reserves'!$T$2:$T$1178,"RESERVA",'Registre de reserves'!$I$2:$I$1178,'2020'!$A83,'Registre de reserves'!$B$2:$B$1178,'2020'!J$2,Tabla1[ANY],'2020'!$Z$76)</f>
        <v>0</v>
      </c>
      <c r="K83" s="21">
        <f t="shared" si="77"/>
        <v>0</v>
      </c>
      <c r="L83" s="20">
        <f>SUMIFS('Registre de reserves'!$U$2:$U$1178,'Registre de reserves'!$T$2:$T$1178,"SI",'Registre de reserves'!$I$2:$I$1178,'2020'!$A83,'Registre de reserves'!$B$2:$B$1178,'2020'!L$2,Tabla1[ANY],'2020'!$Z$76)+SUMIFS('Registre de reserves'!$U$2:$U$1178,'Registre de reserves'!$T$2:$T$1178,"RESERVA",'Registre de reserves'!$I$2:$I$1178,'2020'!$A83,'Registre de reserves'!$B$2:$B$1178,'2020'!L$2,Tabla1[ANY],'2020'!$Z$76)</f>
        <v>0</v>
      </c>
      <c r="M83" s="21">
        <f t="shared" si="78"/>
        <v>0</v>
      </c>
      <c r="N83" s="20">
        <f>SUMIFS('Registre de reserves'!$U$2:$U$1178,'Registre de reserves'!$T$2:$T$1178,"SI",'Registre de reserves'!$I$2:$I$1178,'2020'!$A83,'Registre de reserves'!$B$2:$B$1178,'2020'!N$2,Tabla1[ANY],'2020'!$Z$76)+SUMIFS('Registre de reserves'!$U$2:$U$1178,'Registre de reserves'!$T$2:$T$1178,"RESERVA",'Registre de reserves'!$I$2:$I$1178,'2020'!$A83,'Registre de reserves'!$B$2:$B$1178,'2020'!N$2,Tabla1[ANY],'2020'!$Z$76)</f>
        <v>0</v>
      </c>
      <c r="O83" s="21">
        <f t="shared" si="79"/>
        <v>0</v>
      </c>
      <c r="P83" s="20">
        <f>SUMIFS('Registre de reserves'!$U$2:$U$1178,'Registre de reserves'!$T$2:$T$1178,"SI",'Registre de reserves'!$I$2:$I$1178,'2020'!$A83,'Registre de reserves'!$B$2:$B$1178,'2020'!P$2,Tabla1[ANY],'2020'!$Z$76)+SUMIFS('Registre de reserves'!$U$2:$U$1178,'Registre de reserves'!$T$2:$T$1178,"RESERVA",'Registre de reserves'!$I$2:$I$1178,'2020'!$A83,'Registre de reserves'!$B$2:$B$1178,'2020'!P$2,Tabla1[ANY],'2020'!$Z$76)</f>
        <v>0</v>
      </c>
      <c r="Q83" s="21">
        <f t="shared" si="80"/>
        <v>0</v>
      </c>
      <c r="R83" s="20">
        <f>SUMIFS('Registre de reserves'!$U$2:$U$1178,'Registre de reserves'!$T$2:$T$1178,"SI",'Registre de reserves'!$I$2:$I$1178,'2020'!$A83,'Registre de reserves'!$B$2:$B$1178,'2020'!R$2,Tabla1[ANY],'2020'!$Z$76)+SUMIFS('Registre de reserves'!$U$2:$U$1178,'Registre de reserves'!$T$2:$T$1178,"RESERVA",'Registre de reserves'!$I$2:$I$1178,'2020'!$A83,'Registre de reserves'!$B$2:$B$1178,'2020'!R$2,Tabla1[ANY],'2020'!$Z$76)</f>
        <v>0</v>
      </c>
      <c r="S83" s="21">
        <f t="shared" si="81"/>
        <v>0</v>
      </c>
      <c r="T83" s="20">
        <f>SUMIFS('Registre de reserves'!$U$2:$U$1178,'Registre de reserves'!$T$2:$T$1178,"SI",'Registre de reserves'!$I$2:$I$1178,'2020'!$A83,'Registre de reserves'!$B$2:$B$1178,'2020'!T$2,Tabla1[ANY],'2020'!$Z$76)+SUMIFS('Registre de reserves'!$U$2:$U$1178,'Registre de reserves'!$T$2:$T$1178,"RESERVA",'Registre de reserves'!$I$2:$I$1178,'2020'!$A83,'Registre de reserves'!$B$2:$B$1178,'2020'!T$2,Tabla1[ANY],'2020'!$Z$76)</f>
        <v>0</v>
      </c>
      <c r="U83" s="21">
        <f t="shared" si="82"/>
        <v>0</v>
      </c>
      <c r="V83" s="20">
        <f>SUMIFS('Registre de reserves'!$U$2:$U$1178,'Registre de reserves'!$T$2:$T$1178,"SI",'Registre de reserves'!$I$2:$I$1178,'2020'!$A83,'Registre de reserves'!$B$2:$B$1178,'2020'!V$2,Tabla1[ANY],'2020'!$Z$76)+SUMIFS('Registre de reserves'!$U$2:$U$1178,'Registre de reserves'!$T$2:$T$1178,"RESERVA",'Registre de reserves'!$I$2:$I$1178,'2020'!$A83,'Registre de reserves'!$B$2:$B$1178,'2020'!V$2,Tabla1[ANY],'2020'!$Z$76)</f>
        <v>0</v>
      </c>
      <c r="W83" s="21">
        <f t="shared" si="83"/>
        <v>0</v>
      </c>
      <c r="X83" s="20">
        <f>SUMIFS('Registre de reserves'!$U$2:$U$1178,'Registre de reserves'!$T$2:$T$1178,"SI",'Registre de reserves'!$I$2:$I$1178,'2020'!$A83,'Registre de reserves'!$B$2:$B$1178,'2020'!X$2,Tabla1[ANY],'2020'!$Z$76)+SUMIFS('Registre de reserves'!$U$2:$U$1178,'Registre de reserves'!$T$2:$T$1178,"RESERVA",'Registre de reserves'!$I$2:$I$1178,'2020'!$A83,'Registre de reserves'!$B$2:$B$1178,'2020'!X$2,Tabla1[ANY],'2020'!$Z$76)</f>
        <v>0</v>
      </c>
      <c r="Y83" s="21">
        <f t="shared" si="84"/>
        <v>0</v>
      </c>
      <c r="Z83" s="20">
        <f t="shared" si="86"/>
        <v>0</v>
      </c>
      <c r="AA83" s="21">
        <f t="shared" si="85"/>
        <v>0</v>
      </c>
    </row>
    <row r="84" spans="1:27" hidden="1" outlineLevel="2" x14ac:dyDescent="0.2">
      <c r="A84" s="8" t="s">
        <v>69</v>
      </c>
      <c r="B84" s="20">
        <f>SUMIFS('Registre de reserves'!$U$2:$U$1178,'Registre de reserves'!$T$2:$T$1178,"SI",'Registre de reserves'!$I$2:$I$1178,'2020'!$A84,'Registre de reserves'!$B$2:$B$1178,'2020'!B$2,Tabla1[ANY],'2020'!$Z$76)+SUMIFS('Registre de reserves'!$U$2:$U$1178,'Registre de reserves'!$T$2:$T$1178,"RESERVA",'Registre de reserves'!$I$2:$I$1178,'2020'!$A84,'Registre de reserves'!$B$2:$B$1178,'2020'!B$2,Tabla1[ANY],'2020'!$Z$76)</f>
        <v>440</v>
      </c>
      <c r="C84" s="21">
        <f t="shared" si="73"/>
        <v>0.2565597667638484</v>
      </c>
      <c r="D84" s="20">
        <f>SUMIFS('Registre de reserves'!$U$2:$U$1178,'Registre de reserves'!$T$2:$T$1178,"SI",'Registre de reserves'!$I$2:$I$1178,'2020'!$A84,'Registre de reserves'!$B$2:$B$1178,'2020'!D$2,Tabla1[ANY],'2020'!$Z$76)+SUMIFS('Registre de reserves'!$U$2:$U$1178,'Registre de reserves'!$T$2:$T$1178,"RESERVA",'Registre de reserves'!$I$2:$I$1178,'2020'!$A84,'Registre de reserves'!$B$2:$B$1178,'2020'!D$2,Tabla1[ANY],'2020'!$Z$76)</f>
        <v>345</v>
      </c>
      <c r="E84" s="21">
        <f t="shared" si="74"/>
        <v>0.30530973451327431</v>
      </c>
      <c r="F84" s="20">
        <f>SUMIFS('Registre de reserves'!$U$2:$U$1178,'Registre de reserves'!$T$2:$T$1178,"SI",'Registre de reserves'!$I$2:$I$1178,'2020'!$A84,'Registre de reserves'!$B$2:$B$1178,'2020'!F$2,Tabla1[ANY],'2020'!$Z$76)+SUMIFS('Registre de reserves'!$U$2:$U$1178,'Registre de reserves'!$T$2:$T$1178,"RESERVA",'Registre de reserves'!$I$2:$I$1178,'2020'!$A84,'Registre de reserves'!$B$2:$B$1178,'2020'!F$2,Tabla1[ANY],'2020'!$Z$76)</f>
        <v>50</v>
      </c>
      <c r="G84" s="21">
        <f t="shared" si="75"/>
        <v>0.2</v>
      </c>
      <c r="H84" s="20">
        <f>SUMIFS('Registre de reserves'!$U$2:$U$1178,'Registre de reserves'!$T$2:$T$1178,"SI",'Registre de reserves'!$I$2:$I$1178,'2020'!$A84,'Registre de reserves'!$B$2:$B$1178,'2020'!H$2,Tabla1[ANY],'2020'!$Z$76)+SUMIFS('Registre de reserves'!$U$2:$U$1178,'Registre de reserves'!$T$2:$T$1178,"RESERVA",'Registre de reserves'!$I$2:$I$1178,'2020'!$A84,'Registre de reserves'!$B$2:$B$1178,'2020'!H$2,Tabla1[ANY],'2020'!$Z$76)</f>
        <v>0</v>
      </c>
      <c r="I84" s="21">
        <f t="shared" si="76"/>
        <v>0</v>
      </c>
      <c r="J84" s="20">
        <f>SUMIFS('Registre de reserves'!$U$2:$U$1178,'Registre de reserves'!$T$2:$T$1178,"SI",'Registre de reserves'!$I$2:$I$1178,'2020'!$A84,'Registre de reserves'!$B$2:$B$1178,'2020'!J$2,Tabla1[ANY],'2020'!$Z$76)+SUMIFS('Registre de reserves'!$U$2:$U$1178,'Registre de reserves'!$T$2:$T$1178,"RESERVA",'Registre de reserves'!$I$2:$I$1178,'2020'!$A84,'Registre de reserves'!$B$2:$B$1178,'2020'!J$2,Tabla1[ANY],'2020'!$Z$76)</f>
        <v>0</v>
      </c>
      <c r="K84" s="21">
        <f t="shared" si="77"/>
        <v>0</v>
      </c>
      <c r="L84" s="20">
        <f>SUMIFS('Registre de reserves'!$U$2:$U$1178,'Registre de reserves'!$T$2:$T$1178,"SI",'Registre de reserves'!$I$2:$I$1178,'2020'!$A84,'Registre de reserves'!$B$2:$B$1178,'2020'!L$2,Tabla1[ANY],'2020'!$Z$76)+SUMIFS('Registre de reserves'!$U$2:$U$1178,'Registre de reserves'!$T$2:$T$1178,"RESERVA",'Registre de reserves'!$I$2:$I$1178,'2020'!$A84,'Registre de reserves'!$B$2:$B$1178,'2020'!L$2,Tabla1[ANY],'2020'!$Z$76)</f>
        <v>100</v>
      </c>
      <c r="M84" s="21">
        <f t="shared" si="78"/>
        <v>0.13137151865475563</v>
      </c>
      <c r="N84" s="20">
        <f>SUMIFS('Registre de reserves'!$U$2:$U$1178,'Registre de reserves'!$T$2:$T$1178,"SI",'Registre de reserves'!$I$2:$I$1178,'2020'!$A84,'Registre de reserves'!$B$2:$B$1178,'2020'!N$2,Tabla1[ANY],'2020'!$Z$76)+SUMIFS('Registre de reserves'!$U$2:$U$1178,'Registre de reserves'!$T$2:$T$1178,"RESERVA",'Registre de reserves'!$I$2:$I$1178,'2020'!$A84,'Registre de reserves'!$B$2:$B$1178,'2020'!N$2,Tabla1[ANY],'2020'!$Z$76)</f>
        <v>935</v>
      </c>
      <c r="O84" s="21">
        <f t="shared" si="79"/>
        <v>0.36883629191321499</v>
      </c>
      <c r="P84" s="20">
        <f>SUMIFS('Registre de reserves'!$U$2:$U$1178,'Registre de reserves'!$T$2:$T$1178,"SI",'Registre de reserves'!$I$2:$I$1178,'2020'!$A84,'Registre de reserves'!$B$2:$B$1178,'2020'!P$2,Tabla1[ANY],'2020'!$Z$76)+SUMIFS('Registre de reserves'!$U$2:$U$1178,'Registre de reserves'!$T$2:$T$1178,"RESERVA",'Registre de reserves'!$I$2:$I$1178,'2020'!$A84,'Registre de reserves'!$B$2:$B$1178,'2020'!P$2,Tabla1[ANY],'2020'!$Z$76)</f>
        <v>200</v>
      </c>
      <c r="Q84" s="21">
        <f t="shared" si="80"/>
        <v>0.66666666666666663</v>
      </c>
      <c r="R84" s="20">
        <f>SUMIFS('Registre de reserves'!$U$2:$U$1178,'Registre de reserves'!$T$2:$T$1178,"SI",'Registre de reserves'!$I$2:$I$1178,'2020'!$A84,'Registre de reserves'!$B$2:$B$1178,'2020'!R$2,Tabla1[ANY],'2020'!$Z$76)+SUMIFS('Registre de reserves'!$U$2:$U$1178,'Registre de reserves'!$T$2:$T$1178,"RESERVA",'Registre de reserves'!$I$2:$I$1178,'2020'!$A84,'Registre de reserves'!$B$2:$B$1178,'2020'!R$2,Tabla1[ANY],'2020'!$Z$76)</f>
        <v>150</v>
      </c>
      <c r="S84" s="21">
        <f t="shared" si="81"/>
        <v>0.20000266670222269</v>
      </c>
      <c r="T84" s="20">
        <f>SUMIFS('Registre de reserves'!$U$2:$U$1178,'Registre de reserves'!$T$2:$T$1178,"SI",'Registre de reserves'!$I$2:$I$1178,'2020'!$A84,'Registre de reserves'!$B$2:$B$1178,'2020'!T$2,Tabla1[ANY],'2020'!$Z$76)+SUMIFS('Registre de reserves'!$U$2:$U$1178,'Registre de reserves'!$T$2:$T$1178,"RESERVA",'Registre de reserves'!$I$2:$I$1178,'2020'!$A84,'Registre de reserves'!$B$2:$B$1178,'2020'!T$2,Tabla1[ANY],'2020'!$Z$76)</f>
        <v>0</v>
      </c>
      <c r="U84" s="21">
        <f t="shared" si="82"/>
        <v>0</v>
      </c>
      <c r="V84" s="20">
        <f>SUMIFS('Registre de reserves'!$U$2:$U$1178,'Registre de reserves'!$T$2:$T$1178,"SI",'Registre de reserves'!$I$2:$I$1178,'2020'!$A84,'Registre de reserves'!$B$2:$B$1178,'2020'!V$2,Tabla1[ANY],'2020'!$Z$76)+SUMIFS('Registre de reserves'!$U$2:$U$1178,'Registre de reserves'!$T$2:$T$1178,"RESERVA",'Registre de reserves'!$I$2:$I$1178,'2020'!$A84,'Registre de reserves'!$B$2:$B$1178,'2020'!V$2,Tabla1[ANY],'2020'!$Z$76)</f>
        <v>0</v>
      </c>
      <c r="W84" s="21">
        <f t="shared" si="83"/>
        <v>0</v>
      </c>
      <c r="X84" s="20">
        <f>SUMIFS('Registre de reserves'!$U$2:$U$1178,'Registre de reserves'!$T$2:$T$1178,"SI",'Registre de reserves'!$I$2:$I$1178,'2020'!$A84,'Registre de reserves'!$B$2:$B$1178,'2020'!X$2,Tabla1[ANY],'2020'!$Z$76)+SUMIFS('Registre de reserves'!$U$2:$U$1178,'Registre de reserves'!$T$2:$T$1178,"RESERVA",'Registre de reserves'!$I$2:$I$1178,'2020'!$A84,'Registre de reserves'!$B$2:$B$1178,'2020'!X$2,Tabla1[ANY],'2020'!$Z$76)</f>
        <v>50</v>
      </c>
      <c r="Y84" s="21">
        <f t="shared" si="84"/>
        <v>1.982396320672429E-2</v>
      </c>
      <c r="Z84" s="20">
        <f t="shared" si="86"/>
        <v>2270</v>
      </c>
      <c r="AA84" s="21">
        <f t="shared" si="85"/>
        <v>0.17937758349157282</v>
      </c>
    </row>
    <row r="85" spans="1:27" hidden="1" outlineLevel="2" x14ac:dyDescent="0.2">
      <c r="A85" s="8" t="s">
        <v>70</v>
      </c>
      <c r="B85" s="20">
        <f>SUMIFS('Registre de reserves'!$U$2:$U$1178,'Registre de reserves'!$T$2:$T$1178,"SI",'Registre de reserves'!$I$2:$I$1178,'2020'!$A85,'Registre de reserves'!$B$2:$B$1178,'2020'!B$2,Tabla1[ANY],'2020'!$Z$76)+SUMIFS('Registre de reserves'!$U$2:$U$1178,'Registre de reserves'!$T$2:$T$1178,"RESERVA",'Registre de reserves'!$I$2:$I$1178,'2020'!$A85,'Registre de reserves'!$B$2:$B$1178,'2020'!B$2,Tabla1[ANY],'2020'!$Z$76)</f>
        <v>300</v>
      </c>
      <c r="C85" s="21">
        <f t="shared" si="73"/>
        <v>0.1749271137026239</v>
      </c>
      <c r="D85" s="20">
        <f>SUMIFS('Registre de reserves'!$U$2:$U$1178,'Registre de reserves'!$T$2:$T$1178,"SI",'Registre de reserves'!$I$2:$I$1178,'2020'!$A85,'Registre de reserves'!$B$2:$B$1178,'2020'!D$2,Tabla1[ANY],'2020'!$Z$76)+SUMIFS('Registre de reserves'!$U$2:$U$1178,'Registre de reserves'!$T$2:$T$1178,"RESERVA",'Registre de reserves'!$I$2:$I$1178,'2020'!$A85,'Registre de reserves'!$B$2:$B$1178,'2020'!D$2,Tabla1[ANY],'2020'!$Z$76)</f>
        <v>0</v>
      </c>
      <c r="E85" s="21">
        <f t="shared" si="74"/>
        <v>0</v>
      </c>
      <c r="F85" s="20">
        <f>SUMIFS('Registre de reserves'!$U$2:$U$1178,'Registre de reserves'!$T$2:$T$1178,"SI",'Registre de reserves'!$I$2:$I$1178,'2020'!$A85,'Registre de reserves'!$B$2:$B$1178,'2020'!F$2,Tabla1[ANY],'2020'!$Z$76)+SUMIFS('Registre de reserves'!$U$2:$U$1178,'Registre de reserves'!$T$2:$T$1178,"RESERVA",'Registre de reserves'!$I$2:$I$1178,'2020'!$A85,'Registre de reserves'!$B$2:$B$1178,'2020'!F$2,Tabla1[ANY],'2020'!$Z$76)</f>
        <v>0</v>
      </c>
      <c r="G85" s="21">
        <f t="shared" si="75"/>
        <v>0</v>
      </c>
      <c r="H85" s="20">
        <f>SUMIFS('Registre de reserves'!$U$2:$U$1178,'Registre de reserves'!$T$2:$T$1178,"SI",'Registre de reserves'!$I$2:$I$1178,'2020'!$A85,'Registre de reserves'!$B$2:$B$1178,'2020'!H$2,Tabla1[ANY],'2020'!$Z$76)+SUMIFS('Registre de reserves'!$U$2:$U$1178,'Registre de reserves'!$T$2:$T$1178,"RESERVA",'Registre de reserves'!$I$2:$I$1178,'2020'!$A85,'Registre de reserves'!$B$2:$B$1178,'2020'!H$2,Tabla1[ANY],'2020'!$Z$76)</f>
        <v>0</v>
      </c>
      <c r="I85" s="21">
        <f t="shared" si="76"/>
        <v>0</v>
      </c>
      <c r="J85" s="20">
        <f>SUMIFS('Registre de reserves'!$U$2:$U$1178,'Registre de reserves'!$T$2:$T$1178,"SI",'Registre de reserves'!$I$2:$I$1178,'2020'!$A85,'Registre de reserves'!$B$2:$B$1178,'2020'!J$2,Tabla1[ANY],'2020'!$Z$76)+SUMIFS('Registre de reserves'!$U$2:$U$1178,'Registre de reserves'!$T$2:$T$1178,"RESERVA",'Registre de reserves'!$I$2:$I$1178,'2020'!$A85,'Registre de reserves'!$B$2:$B$1178,'2020'!J$2,Tabla1[ANY],'2020'!$Z$76)</f>
        <v>0</v>
      </c>
      <c r="K85" s="21">
        <f t="shared" si="77"/>
        <v>0</v>
      </c>
      <c r="L85" s="20">
        <f>SUMIFS('Registre de reserves'!$U$2:$U$1178,'Registre de reserves'!$T$2:$T$1178,"SI",'Registre de reserves'!$I$2:$I$1178,'2020'!$A85,'Registre de reserves'!$B$2:$B$1178,'2020'!L$2,Tabla1[ANY],'2020'!$Z$76)+SUMIFS('Registre de reserves'!$U$2:$U$1178,'Registre de reserves'!$T$2:$T$1178,"RESERVA",'Registre de reserves'!$I$2:$I$1178,'2020'!$A85,'Registre de reserves'!$B$2:$B$1178,'2020'!L$2,Tabla1[ANY],'2020'!$Z$76)</f>
        <v>0</v>
      </c>
      <c r="M85" s="21">
        <f t="shared" si="78"/>
        <v>0</v>
      </c>
      <c r="N85" s="20">
        <f>SUMIFS('Registre de reserves'!$U$2:$U$1178,'Registre de reserves'!$T$2:$T$1178,"SI",'Registre de reserves'!$I$2:$I$1178,'2020'!$A85,'Registre de reserves'!$B$2:$B$1178,'2020'!N$2,Tabla1[ANY],'2020'!$Z$76)+SUMIFS('Registre de reserves'!$U$2:$U$1178,'Registre de reserves'!$T$2:$T$1178,"RESERVA",'Registre de reserves'!$I$2:$I$1178,'2020'!$A85,'Registre de reserves'!$B$2:$B$1178,'2020'!N$2,Tabla1[ANY],'2020'!$Z$76)</f>
        <v>0</v>
      </c>
      <c r="O85" s="21">
        <f t="shared" si="79"/>
        <v>0</v>
      </c>
      <c r="P85" s="20">
        <f>SUMIFS('Registre de reserves'!$U$2:$U$1178,'Registre de reserves'!$T$2:$T$1178,"SI",'Registre de reserves'!$I$2:$I$1178,'2020'!$A85,'Registre de reserves'!$B$2:$B$1178,'2020'!P$2,Tabla1[ANY],'2020'!$Z$76)+SUMIFS('Registre de reserves'!$U$2:$U$1178,'Registre de reserves'!$T$2:$T$1178,"RESERVA",'Registre de reserves'!$I$2:$I$1178,'2020'!$A85,'Registre de reserves'!$B$2:$B$1178,'2020'!P$2,Tabla1[ANY],'2020'!$Z$76)</f>
        <v>0</v>
      </c>
      <c r="Q85" s="21">
        <f t="shared" si="80"/>
        <v>0</v>
      </c>
      <c r="R85" s="20">
        <f>SUMIFS('Registre de reserves'!$U$2:$U$1178,'Registre de reserves'!$T$2:$T$1178,"SI",'Registre de reserves'!$I$2:$I$1178,'2020'!$A85,'Registre de reserves'!$B$2:$B$1178,'2020'!R$2,Tabla1[ANY],'2020'!$Z$76)+SUMIFS('Registre de reserves'!$U$2:$U$1178,'Registre de reserves'!$T$2:$T$1178,"RESERVA",'Registre de reserves'!$I$2:$I$1178,'2020'!$A85,'Registre de reserves'!$B$2:$B$1178,'2020'!R$2,Tabla1[ANY],'2020'!$Z$76)</f>
        <v>0</v>
      </c>
      <c r="S85" s="21">
        <f t="shared" si="81"/>
        <v>0</v>
      </c>
      <c r="T85" s="20">
        <f>SUMIFS('Registre de reserves'!$U$2:$U$1178,'Registre de reserves'!$T$2:$T$1178,"SI",'Registre de reserves'!$I$2:$I$1178,'2020'!$A85,'Registre de reserves'!$B$2:$B$1178,'2020'!T$2,Tabla1[ANY],'2020'!$Z$76)+SUMIFS('Registre de reserves'!$U$2:$U$1178,'Registre de reserves'!$T$2:$T$1178,"RESERVA",'Registre de reserves'!$I$2:$I$1178,'2020'!$A85,'Registre de reserves'!$B$2:$B$1178,'2020'!T$2,Tabla1[ANY],'2020'!$Z$76)</f>
        <v>0</v>
      </c>
      <c r="U85" s="21">
        <f t="shared" si="82"/>
        <v>0</v>
      </c>
      <c r="V85" s="20">
        <f>SUMIFS('Registre de reserves'!$U$2:$U$1178,'Registre de reserves'!$T$2:$T$1178,"SI",'Registre de reserves'!$I$2:$I$1178,'2020'!$A85,'Registre de reserves'!$B$2:$B$1178,'2020'!V$2,Tabla1[ANY],'2020'!$Z$76)+SUMIFS('Registre de reserves'!$U$2:$U$1178,'Registre de reserves'!$T$2:$T$1178,"RESERVA",'Registre de reserves'!$I$2:$I$1178,'2020'!$A85,'Registre de reserves'!$B$2:$B$1178,'2020'!V$2,Tabla1[ANY],'2020'!$Z$76)</f>
        <v>0</v>
      </c>
      <c r="W85" s="21">
        <f t="shared" si="83"/>
        <v>0</v>
      </c>
      <c r="X85" s="20">
        <f>SUMIFS('Registre de reserves'!$U$2:$U$1178,'Registre de reserves'!$T$2:$T$1178,"SI",'Registre de reserves'!$I$2:$I$1178,'2020'!$A85,'Registre de reserves'!$B$2:$B$1178,'2020'!X$2,Tabla1[ANY],'2020'!$Z$76)+SUMIFS('Registre de reserves'!$U$2:$U$1178,'Registre de reserves'!$T$2:$T$1178,"RESERVA",'Registre de reserves'!$I$2:$I$1178,'2020'!$A85,'Registre de reserves'!$B$2:$B$1178,'2020'!X$2,Tabla1[ANY],'2020'!$Z$76)</f>
        <v>0</v>
      </c>
      <c r="Y85" s="21">
        <f t="shared" si="84"/>
        <v>0</v>
      </c>
      <c r="Z85" s="20">
        <f t="shared" si="86"/>
        <v>300</v>
      </c>
      <c r="AA85" s="21">
        <f t="shared" si="85"/>
        <v>2.3706288567168214E-2</v>
      </c>
    </row>
    <row r="86" spans="1:27" hidden="1" outlineLevel="2" x14ac:dyDescent="0.2">
      <c r="A86" s="8" t="s">
        <v>73</v>
      </c>
      <c r="B86" s="20">
        <f>SUMIFS('Registre de reserves'!$U$2:$U$1178,'Registre de reserves'!$T$2:$T$1178,"SI",'Registre de reserves'!$I$2:$I$1178,'2020'!$A86,'Registre de reserves'!$B$2:$B$1178,'2020'!B$2,Tabla1[ANY],'2020'!$Z$76)+SUMIFS('Registre de reserves'!$U$2:$U$1178,'Registre de reserves'!$T$2:$T$1178,"RESERVA",'Registre de reserves'!$I$2:$I$1178,'2020'!$A86,'Registre de reserves'!$B$2:$B$1178,'2020'!B$2,Tabla1[ANY],'2020'!$Z$76)</f>
        <v>0</v>
      </c>
      <c r="C86" s="21">
        <f t="shared" si="73"/>
        <v>0</v>
      </c>
      <c r="D86" s="20">
        <f>SUMIFS('Registre de reserves'!$U$2:$U$1178,'Registre de reserves'!$T$2:$T$1178,"SI",'Registre de reserves'!$I$2:$I$1178,'2020'!$A86,'Registre de reserves'!$B$2:$B$1178,'2020'!D$2,Tabla1[ANY],'2020'!$Z$76)+SUMIFS('Registre de reserves'!$U$2:$U$1178,'Registre de reserves'!$T$2:$T$1178,"RESERVA",'Registre de reserves'!$I$2:$I$1178,'2020'!$A86,'Registre de reserves'!$B$2:$B$1178,'2020'!D$2,Tabla1[ANY],'2020'!$Z$76)</f>
        <v>0</v>
      </c>
      <c r="E86" s="21">
        <f t="shared" si="74"/>
        <v>0</v>
      </c>
      <c r="F86" s="20">
        <f>SUMIFS('Registre de reserves'!$U$2:$U$1178,'Registre de reserves'!$T$2:$T$1178,"SI",'Registre de reserves'!$I$2:$I$1178,'2020'!$A86,'Registre de reserves'!$B$2:$B$1178,'2020'!F$2,Tabla1[ANY],'2020'!$Z$76)+SUMIFS('Registre de reserves'!$U$2:$U$1178,'Registre de reserves'!$T$2:$T$1178,"RESERVA",'Registre de reserves'!$I$2:$I$1178,'2020'!$A86,'Registre de reserves'!$B$2:$B$1178,'2020'!F$2,Tabla1[ANY],'2020'!$Z$76)</f>
        <v>0</v>
      </c>
      <c r="G86" s="21">
        <f t="shared" si="75"/>
        <v>0</v>
      </c>
      <c r="H86" s="20">
        <f>SUMIFS('Registre de reserves'!$U$2:$U$1178,'Registre de reserves'!$T$2:$T$1178,"SI",'Registre de reserves'!$I$2:$I$1178,'2020'!$A86,'Registre de reserves'!$B$2:$B$1178,'2020'!H$2,Tabla1[ANY],'2020'!$Z$76)+SUMIFS('Registre de reserves'!$U$2:$U$1178,'Registre de reserves'!$T$2:$T$1178,"RESERVA",'Registre de reserves'!$I$2:$I$1178,'2020'!$A86,'Registre de reserves'!$B$2:$B$1178,'2020'!H$2,Tabla1[ANY],'2020'!$Z$76)</f>
        <v>661.2</v>
      </c>
      <c r="I86" s="21">
        <f t="shared" si="76"/>
        <v>1</v>
      </c>
      <c r="J86" s="20">
        <f>SUMIFS('Registre de reserves'!$U$2:$U$1178,'Registre de reserves'!$T$2:$T$1178,"SI",'Registre de reserves'!$I$2:$I$1178,'2020'!$A86,'Registre de reserves'!$B$2:$B$1178,'2020'!J$2,Tabla1[ANY],'2020'!$Z$76)+SUMIFS('Registre de reserves'!$U$2:$U$1178,'Registre de reserves'!$T$2:$T$1178,"RESERVA",'Registre de reserves'!$I$2:$I$1178,'2020'!$A86,'Registre de reserves'!$B$2:$B$1178,'2020'!J$2,Tabla1[ANY],'2020'!$Z$76)</f>
        <v>1035.8800000000001</v>
      </c>
      <c r="K86" s="21">
        <f t="shared" si="77"/>
        <v>1</v>
      </c>
      <c r="L86" s="20">
        <f>SUMIFS('Registre de reserves'!$U$2:$U$1178,'Registre de reserves'!$T$2:$T$1178,"SI",'Registre de reserves'!$I$2:$I$1178,'2020'!$A86,'Registre de reserves'!$B$2:$B$1178,'2020'!L$2,Tabla1[ANY],'2020'!$Z$76)+SUMIFS('Registre de reserves'!$U$2:$U$1178,'Registre de reserves'!$T$2:$T$1178,"RESERVA",'Registre de reserves'!$I$2:$I$1178,'2020'!$A86,'Registre de reserves'!$B$2:$B$1178,'2020'!L$2,Tabla1[ANY],'2020'!$Z$76)</f>
        <v>661.2</v>
      </c>
      <c r="M86" s="21">
        <f t="shared" si="78"/>
        <v>0.8686284813452444</v>
      </c>
      <c r="N86" s="20">
        <f>SUMIFS('Registre de reserves'!$U$2:$U$1178,'Registre de reserves'!$T$2:$T$1178,"SI",'Registre de reserves'!$I$2:$I$1178,'2020'!$A86,'Registre de reserves'!$B$2:$B$1178,'2020'!N$2,Tabla1[ANY],'2020'!$Z$76)+SUMIFS('Registre de reserves'!$U$2:$U$1178,'Registre de reserves'!$T$2:$T$1178,"RESERVA",'Registre de reserves'!$I$2:$I$1178,'2020'!$A86,'Registre de reserves'!$B$2:$B$1178,'2020'!N$2,Tabla1[ANY],'2020'!$Z$76)</f>
        <v>1400</v>
      </c>
      <c r="O86" s="21">
        <f t="shared" si="79"/>
        <v>0.55226824457593693</v>
      </c>
      <c r="P86" s="20">
        <f>SUMIFS('Registre de reserves'!$U$2:$U$1178,'Registre de reserves'!$T$2:$T$1178,"SI",'Registre de reserves'!$I$2:$I$1178,'2020'!$A86,'Registre de reserves'!$B$2:$B$1178,'2020'!P$2,Tabla1[ANY],'2020'!$Z$76)+SUMIFS('Registre de reserves'!$U$2:$U$1178,'Registre de reserves'!$T$2:$T$1178,"RESERVA",'Registre de reserves'!$I$2:$I$1178,'2020'!$A86,'Registre de reserves'!$B$2:$B$1178,'2020'!P$2,Tabla1[ANY],'2020'!$Z$76)</f>
        <v>0</v>
      </c>
      <c r="Q86" s="21">
        <f t="shared" si="80"/>
        <v>0</v>
      </c>
      <c r="R86" s="20">
        <f>SUMIFS('Registre de reserves'!$U$2:$U$1178,'Registre de reserves'!$T$2:$T$1178,"SI",'Registre de reserves'!$I$2:$I$1178,'2020'!$A86,'Registre de reserves'!$B$2:$B$1178,'2020'!R$2,Tabla1[ANY],'2020'!$Z$76)+SUMIFS('Registre de reserves'!$U$2:$U$1178,'Registre de reserves'!$T$2:$T$1178,"RESERVA",'Registre de reserves'!$I$2:$I$1178,'2020'!$A86,'Registre de reserves'!$B$2:$B$1178,'2020'!R$2,Tabla1[ANY],'2020'!$Z$76)</f>
        <v>0</v>
      </c>
      <c r="S86" s="21">
        <f t="shared" si="81"/>
        <v>0</v>
      </c>
      <c r="T86" s="20">
        <f>SUMIFS('Registre de reserves'!$U$2:$U$1178,'Registre de reserves'!$T$2:$T$1178,"SI",'Registre de reserves'!$I$2:$I$1178,'2020'!$A86,'Registre de reserves'!$B$2:$B$1178,'2020'!T$2,Tabla1[ANY],'2020'!$Z$76)+SUMIFS('Registre de reserves'!$U$2:$U$1178,'Registre de reserves'!$T$2:$T$1178,"RESERVA",'Registre de reserves'!$I$2:$I$1178,'2020'!$A86,'Registre de reserves'!$B$2:$B$1178,'2020'!T$2,Tabla1[ANY],'2020'!$Z$76)</f>
        <v>472.2</v>
      </c>
      <c r="U86" s="21">
        <f t="shared" si="82"/>
        <v>0.90425124473381835</v>
      </c>
      <c r="V86" s="20">
        <f>SUMIFS('Registre de reserves'!$U$2:$U$1178,'Registre de reserves'!$T$2:$T$1178,"SI",'Registre de reserves'!$I$2:$I$1178,'2020'!$A86,'Registre de reserves'!$B$2:$B$1178,'2020'!V$2,Tabla1[ANY],'2020'!$Z$76)+SUMIFS('Registre de reserves'!$U$2:$U$1178,'Registre de reserves'!$T$2:$T$1178,"RESERVA",'Registre de reserves'!$I$2:$I$1178,'2020'!$A86,'Registre de reserves'!$B$2:$B$1178,'2020'!V$2,Tabla1[ANY],'2020'!$Z$76)</f>
        <v>472.2</v>
      </c>
      <c r="W86" s="21">
        <f t="shared" si="83"/>
        <v>1</v>
      </c>
      <c r="X86" s="20">
        <f>SUMIFS('Registre de reserves'!$U$2:$U$1178,'Registre de reserves'!$T$2:$T$1178,"SI",'Registre de reserves'!$I$2:$I$1178,'2020'!$A86,'Registre de reserves'!$B$2:$B$1178,'2020'!X$2,Tabla1[ANY],'2020'!$Z$76)+SUMIFS('Registre de reserves'!$U$2:$U$1178,'Registre de reserves'!$T$2:$T$1178,"RESERVA",'Registre de reserves'!$I$2:$I$1178,'2020'!$A86,'Registre de reserves'!$B$2:$B$1178,'2020'!X$2,Tabla1[ANY],'2020'!$Z$76)</f>
        <v>2472.1999999999998</v>
      </c>
      <c r="Y86" s="21">
        <f t="shared" si="84"/>
        <v>0.9801760367932757</v>
      </c>
      <c r="Z86" s="20">
        <f t="shared" si="86"/>
        <v>7174.88</v>
      </c>
      <c r="AA86" s="21">
        <f t="shared" si="85"/>
        <v>0.56696591904934623</v>
      </c>
    </row>
    <row r="87" spans="1:27" collapsed="1" x14ac:dyDescent="0.2">
      <c r="A87" s="33" t="s">
        <v>76</v>
      </c>
      <c r="B87" s="18">
        <f>SUM(B88:B95)</f>
        <v>0</v>
      </c>
      <c r="C87" s="19">
        <f>IF((B$87+B$105)=0,0,B87/(B$87+B$105))</f>
        <v>0</v>
      </c>
      <c r="D87" s="18">
        <f>SUM(D88:D95)</f>
        <v>0</v>
      </c>
      <c r="E87" s="19">
        <f>IF((D$87+D$105)=0,0,D87/(D$87+D$105))</f>
        <v>0</v>
      </c>
      <c r="F87" s="18">
        <f>SUM(F88:F95)</f>
        <v>0</v>
      </c>
      <c r="G87" s="19">
        <f>IF((F$87+F$105)=0,0,F87/(F$87+F$105))</f>
        <v>0</v>
      </c>
      <c r="H87" s="18">
        <f>SUM(H88:H95)</f>
        <v>0</v>
      </c>
      <c r="I87" s="19">
        <f>IF((H$87+H$105)=0,0,H87/(H$87+H$105))</f>
        <v>0</v>
      </c>
      <c r="J87" s="18">
        <f>SUM(J88:J95)</f>
        <v>0</v>
      </c>
      <c r="K87" s="19">
        <f>IF((J$87+J$105)=0,0,J87/(J$87+J$105))</f>
        <v>0</v>
      </c>
      <c r="L87" s="18">
        <f>SUM(L88:L95)</f>
        <v>0</v>
      </c>
      <c r="M87" s="19">
        <f>IF((L$87+L$105)=0,0,L87/(L$87+L$105))</f>
        <v>0</v>
      </c>
      <c r="N87" s="18">
        <f>SUM(N88:N95)</f>
        <v>0</v>
      </c>
      <c r="O87" s="19">
        <f>IF((N$87+N$105)=0,0,N87/(N$87+N$105))</f>
        <v>0</v>
      </c>
      <c r="P87" s="18">
        <f>SUM(P88:P95)</f>
        <v>0</v>
      </c>
      <c r="Q87" s="19">
        <f>IF((P$87+P$105)=0,0,P87/(P$87+P$105))</f>
        <v>0</v>
      </c>
      <c r="R87" s="18">
        <f>SUM(R88:R95)</f>
        <v>0</v>
      </c>
      <c r="S87" s="19">
        <f>IF((R$87+R$105)=0,0,R87/(R$87+R$105))</f>
        <v>0</v>
      </c>
      <c r="T87" s="18">
        <f>SUM(T88:T95)</f>
        <v>0</v>
      </c>
      <c r="U87" s="19">
        <f>IF((T$87+T$105)=0,0,T87/(T$87+T$105))</f>
        <v>0</v>
      </c>
      <c r="V87" s="18">
        <f>SUM(V88:V95)</f>
        <v>0</v>
      </c>
      <c r="W87" s="19">
        <f>IF((V$87+V$105)=0,0,V87/(V$87+V$105))</f>
        <v>0</v>
      </c>
      <c r="X87" s="18">
        <f>SUM(X88:X95)</f>
        <v>0</v>
      </c>
      <c r="Y87" s="19">
        <f>IF((X$87+X$105)=0,0,X87/(X$87+X$105))</f>
        <v>0</v>
      </c>
      <c r="Z87" s="18">
        <f>SUM(Z88:Z95)</f>
        <v>0</v>
      </c>
      <c r="AA87" s="19">
        <f>IF((Z$87+Z$105)=0,0,Z87/(Z$87+Z$105))</f>
        <v>0</v>
      </c>
    </row>
    <row r="88" spans="1:27" hidden="1" outlineLevel="1" x14ac:dyDescent="0.2">
      <c r="A88" s="8" t="s">
        <v>67</v>
      </c>
      <c r="B88" s="20">
        <f>SUMIFS('Registre de reserves'!$U$2:$U$1178,'Registre de reserves'!$T$2:$T$1178,"NO",'Registre de reserves'!$I$2:$I$1178,'2020'!$A88,'Registre de reserves'!$B$2:$B$1178,'2020'!B$2,Tabla1[ANY],'2020'!$Z$76)</f>
        <v>0</v>
      </c>
      <c r="C88" s="21">
        <f>IF(B$87=0,0,B88/B$87)</f>
        <v>0</v>
      </c>
      <c r="D88" s="20">
        <f>SUMIFS('Registre de reserves'!$U$2:$U$1178,'Registre de reserves'!$T$2:$T$1178,"NO",'Registre de reserves'!$I$2:$I$1178,'2020'!$A88,'Registre de reserves'!$B$2:$B$1178,'2020'!D$2,Tabla1[ANY],'2020'!$Z$76)</f>
        <v>0</v>
      </c>
      <c r="E88" s="21">
        <f>IF(D$87=0,0,D88/D$87)</f>
        <v>0</v>
      </c>
      <c r="F88" s="20">
        <f>SUMIFS('Registre de reserves'!$U$2:$U$1178,'Registre de reserves'!$T$2:$T$1178,"NO",'Registre de reserves'!$I$2:$I$1178,'2020'!$A88,'Registre de reserves'!$B$2:$B$1178,'2020'!F$2,Tabla1[ANY],'2020'!$Z$76)</f>
        <v>0</v>
      </c>
      <c r="G88" s="21">
        <f t="shared" ref="G88:G95" si="87">IF(F$87=0,0,F88/F$87)</f>
        <v>0</v>
      </c>
      <c r="H88" s="20">
        <f>SUMIFS('Registre de reserves'!$U$2:$U$1178,'Registre de reserves'!$T$2:$T$1178,"NO",'Registre de reserves'!$I$2:$I$1178,'2020'!$A88,'Registre de reserves'!$B$2:$B$1178,'2020'!H$2,Tabla1[ANY],'2020'!$Z$76)</f>
        <v>0</v>
      </c>
      <c r="I88" s="21">
        <f t="shared" ref="I88:I95" si="88">IF(H$87=0,0,H88/H$87)</f>
        <v>0</v>
      </c>
      <c r="J88" s="20">
        <f>SUMIFS('Registre de reserves'!$U$2:$U$1178,'Registre de reserves'!$T$2:$T$1178,"NO",'Registre de reserves'!$I$2:$I$1178,'2020'!$A88,'Registre de reserves'!$B$2:$B$1178,'2020'!J$2,Tabla1[ANY],'2020'!$Z$76)</f>
        <v>0</v>
      </c>
      <c r="K88" s="21">
        <f t="shared" ref="K88:K95" si="89">IF(J$87=0,0,J88/J$87)</f>
        <v>0</v>
      </c>
      <c r="L88" s="20">
        <f>SUMIFS('Registre de reserves'!$U$2:$U$1178,'Registre de reserves'!$T$2:$T$1178,"NO",'Registre de reserves'!$I$2:$I$1178,'2020'!$A88,'Registre de reserves'!$B$2:$B$1178,'2020'!L$2,Tabla1[ANY],'2020'!$Z$76)</f>
        <v>0</v>
      </c>
      <c r="M88" s="21">
        <f t="shared" ref="M88:M95" si="90">IF(L$87=0,0,L88/L$87)</f>
        <v>0</v>
      </c>
      <c r="N88" s="20">
        <f>SUMIFS('Registre de reserves'!$U$2:$U$1178,'Registre de reserves'!$T$2:$T$1178,"NO",'Registre de reserves'!$I$2:$I$1178,'2020'!$A88,'Registre de reserves'!$B$2:$B$1178,'2020'!N$2,Tabla1[ANY],'2020'!$Z$76)</f>
        <v>0</v>
      </c>
      <c r="O88" s="21">
        <f t="shared" ref="O88:O95" si="91">IF(N$87=0,0,N88/N$87)</f>
        <v>0</v>
      </c>
      <c r="P88" s="20">
        <f>SUMIFS('Registre de reserves'!$U$2:$U$1178,'Registre de reserves'!$T$2:$T$1178,"NO",'Registre de reserves'!$I$2:$I$1178,'2020'!$A88,'Registre de reserves'!$B$2:$B$1178,'2020'!P$2,Tabla1[ANY],'2020'!$Z$76)</f>
        <v>0</v>
      </c>
      <c r="Q88" s="21">
        <f t="shared" ref="Q88:Q95" si="92">IF(P$87=0,0,P88/P$87)</f>
        <v>0</v>
      </c>
      <c r="R88" s="20">
        <f>SUMIFS('Registre de reserves'!$U$2:$U$1178,'Registre de reserves'!$T$2:$T$1178,"NO",'Registre de reserves'!$I$2:$I$1178,'2020'!$A88,'Registre de reserves'!$B$2:$B$1178,'2020'!R$2,Tabla1[ANY],'2020'!$Z$76)</f>
        <v>0</v>
      </c>
      <c r="S88" s="21">
        <f t="shared" ref="S88:S95" si="93">IF(R$87=0,0,R88/R$87)</f>
        <v>0</v>
      </c>
      <c r="T88" s="20">
        <f>SUMIFS('Registre de reserves'!$U$2:$U$1178,'Registre de reserves'!$T$2:$T$1178,"NO",'Registre de reserves'!$I$2:$I$1178,'2020'!$A88,'Registre de reserves'!$B$2:$B$1178,'2020'!T$2,Tabla1[ANY],'2020'!$Z$76)</f>
        <v>0</v>
      </c>
      <c r="U88" s="21">
        <f t="shared" ref="U88:U95" si="94">IF(T$87=0,0,T88/T$87)</f>
        <v>0</v>
      </c>
      <c r="V88" s="20">
        <f>SUMIFS('Registre de reserves'!$U$2:$U$1178,'Registre de reserves'!$T$2:$T$1178,"NO",'Registre de reserves'!$I$2:$I$1178,'2020'!$A88,'Registre de reserves'!$B$2:$B$1178,'2020'!V$2,Tabla1[ANY],'2020'!$Z$76)</f>
        <v>0</v>
      </c>
      <c r="W88" s="21">
        <f t="shared" ref="W88:W95" si="95">IF(V$87=0,0,V88/V$87)</f>
        <v>0</v>
      </c>
      <c r="X88" s="20">
        <f>SUMIFS('Registre de reserves'!$U$2:$U$1178,'Registre de reserves'!$T$2:$T$1178,"NO",'Registre de reserves'!$I$2:$I$1178,'2020'!$A88,'Registre de reserves'!$B$2:$B$1178,'2020'!X$2,Tabla1[ANY],'2020'!$Z$76)</f>
        <v>0</v>
      </c>
      <c r="Y88" s="21">
        <f t="shared" ref="Y88:Y95" si="96">IF(X$87=0,0,X88/X$87)</f>
        <v>0</v>
      </c>
      <c r="Z88" s="20">
        <f>B88+D88+F88+H88+J88+L88+N88+P88+R88+T88+V88+X88</f>
        <v>0</v>
      </c>
      <c r="AA88" s="21">
        <f t="shared" ref="AA88:AA95" si="97">IF(Z$87=0,0,Z88/Z$87)</f>
        <v>0</v>
      </c>
    </row>
    <row r="89" spans="1:27" hidden="1" outlineLevel="1" x14ac:dyDescent="0.2">
      <c r="A89" s="8" t="s">
        <v>68</v>
      </c>
      <c r="B89" s="20">
        <f>SUMIFS('Registre de reserves'!$U$2:$U$1178,'Registre de reserves'!$T$2:$T$1178,"NO",'Registre de reserves'!$I$2:$I$1178,'2020'!$A89,'Registre de reserves'!$B$2:$B$1178,'2020'!B$2,Tabla1[ANY],'2020'!$Z$76)</f>
        <v>0</v>
      </c>
      <c r="C89" s="21">
        <f t="shared" ref="C89:E94" si="98">IF(B$87=0,0,B89/B$87)</f>
        <v>0</v>
      </c>
      <c r="D89" s="20">
        <f>SUMIFS('Registre de reserves'!$U$2:$U$1178,'Registre de reserves'!$T$2:$T$1178,"NO",'Registre de reserves'!$I$2:$I$1178,'2020'!$A89,'Registre de reserves'!$B$2:$B$1178,'2020'!D$2,Tabla1[ANY],'2020'!$Z$76)</f>
        <v>0</v>
      </c>
      <c r="E89" s="21">
        <f t="shared" si="98"/>
        <v>0</v>
      </c>
      <c r="F89" s="20">
        <f>SUMIFS('Registre de reserves'!$U$2:$U$1178,'Registre de reserves'!$T$2:$T$1178,"NO",'Registre de reserves'!$I$2:$I$1178,'2020'!$A89,'Registre de reserves'!$B$2:$B$1178,'2020'!F$2,Tabla1[ANY],'2020'!$Z$76)</f>
        <v>0</v>
      </c>
      <c r="G89" s="21">
        <f t="shared" si="87"/>
        <v>0</v>
      </c>
      <c r="H89" s="20">
        <f>SUMIFS('Registre de reserves'!$U$2:$U$1178,'Registre de reserves'!$T$2:$T$1178,"NO",'Registre de reserves'!$I$2:$I$1178,'2020'!$A89,'Registre de reserves'!$B$2:$B$1178,'2020'!H$2,Tabla1[ANY],'2020'!$Z$76)</f>
        <v>0</v>
      </c>
      <c r="I89" s="21">
        <f t="shared" si="88"/>
        <v>0</v>
      </c>
      <c r="J89" s="20">
        <f>SUMIFS('Registre de reserves'!$U$2:$U$1178,'Registre de reserves'!$T$2:$T$1178,"NO",'Registre de reserves'!$I$2:$I$1178,'2020'!$A89,'Registre de reserves'!$B$2:$B$1178,'2020'!J$2,Tabla1[ANY],'2020'!$Z$76)</f>
        <v>0</v>
      </c>
      <c r="K89" s="21">
        <f t="shared" si="89"/>
        <v>0</v>
      </c>
      <c r="L89" s="20">
        <f>SUMIFS('Registre de reserves'!$U$2:$U$1178,'Registre de reserves'!$T$2:$T$1178,"NO",'Registre de reserves'!$I$2:$I$1178,'2020'!$A89,'Registre de reserves'!$B$2:$B$1178,'2020'!L$2,Tabla1[ANY],'2020'!$Z$76)</f>
        <v>0</v>
      </c>
      <c r="M89" s="21">
        <f t="shared" si="90"/>
        <v>0</v>
      </c>
      <c r="N89" s="20">
        <f>SUMIFS('Registre de reserves'!$U$2:$U$1178,'Registre de reserves'!$T$2:$T$1178,"NO",'Registre de reserves'!$I$2:$I$1178,'2020'!$A89,'Registre de reserves'!$B$2:$B$1178,'2020'!N$2,Tabla1[ANY],'2020'!$Z$76)</f>
        <v>0</v>
      </c>
      <c r="O89" s="21">
        <f t="shared" si="91"/>
        <v>0</v>
      </c>
      <c r="P89" s="20">
        <f>SUMIFS('Registre de reserves'!$U$2:$U$1178,'Registre de reserves'!$T$2:$T$1178,"NO",'Registre de reserves'!$I$2:$I$1178,'2020'!$A89,'Registre de reserves'!$B$2:$B$1178,'2020'!P$2,Tabla1[ANY],'2020'!$Z$76)</f>
        <v>0</v>
      </c>
      <c r="Q89" s="21">
        <f t="shared" si="92"/>
        <v>0</v>
      </c>
      <c r="R89" s="20">
        <f>SUMIFS('Registre de reserves'!$U$2:$U$1178,'Registre de reserves'!$T$2:$T$1178,"NO",'Registre de reserves'!$I$2:$I$1178,'2020'!$A89,'Registre de reserves'!$B$2:$B$1178,'2020'!R$2,Tabla1[ANY],'2020'!$Z$76)</f>
        <v>0</v>
      </c>
      <c r="S89" s="21">
        <f t="shared" si="93"/>
        <v>0</v>
      </c>
      <c r="T89" s="20">
        <f>SUMIFS('Registre de reserves'!$U$2:$U$1178,'Registre de reserves'!$T$2:$T$1178,"NO",'Registre de reserves'!$I$2:$I$1178,'2020'!$A89,'Registre de reserves'!$B$2:$B$1178,'2020'!T$2,Tabla1[ANY],'2020'!$Z$76)</f>
        <v>0</v>
      </c>
      <c r="U89" s="21">
        <f t="shared" si="94"/>
        <v>0</v>
      </c>
      <c r="V89" s="20">
        <f>SUMIFS('Registre de reserves'!$U$2:$U$1178,'Registre de reserves'!$T$2:$T$1178,"NO",'Registre de reserves'!$I$2:$I$1178,'2020'!$A89,'Registre de reserves'!$B$2:$B$1178,'2020'!V$2,Tabla1[ANY],'2020'!$Z$76)</f>
        <v>0</v>
      </c>
      <c r="W89" s="21">
        <f t="shared" si="95"/>
        <v>0</v>
      </c>
      <c r="X89" s="20">
        <f>SUMIFS('Registre de reserves'!$U$2:$U$1178,'Registre de reserves'!$T$2:$T$1178,"NO",'Registre de reserves'!$I$2:$I$1178,'2020'!$A89,'Registre de reserves'!$B$2:$B$1178,'2020'!X$2,Tabla1[ANY],'2020'!$Z$76)</f>
        <v>0</v>
      </c>
      <c r="Y89" s="21">
        <f t="shared" si="96"/>
        <v>0</v>
      </c>
      <c r="Z89" s="20">
        <f t="shared" ref="Z89:Z113" si="99">B89+D89+F89+H89+J89+L89+N89+P89+R89+T89+V89+X89</f>
        <v>0</v>
      </c>
      <c r="AA89" s="21">
        <f t="shared" si="97"/>
        <v>0</v>
      </c>
    </row>
    <row r="90" spans="1:27" hidden="1" outlineLevel="1" x14ac:dyDescent="0.2">
      <c r="A90" s="8" t="s">
        <v>4</v>
      </c>
      <c r="B90" s="20">
        <f>SUMIFS('Registre de reserves'!$U$2:$U$1178,'Registre de reserves'!$T$2:$T$1178,"NO",'Registre de reserves'!$I$2:$I$1178,'2020'!$A90,'Registre de reserves'!$B$2:$B$1178,'2020'!B$2,Tabla1[ANY],'2020'!$Z$76)</f>
        <v>0</v>
      </c>
      <c r="C90" s="21">
        <f t="shared" si="98"/>
        <v>0</v>
      </c>
      <c r="D90" s="20">
        <f>SUMIFS('Registre de reserves'!$U$2:$U$1178,'Registre de reserves'!$T$2:$T$1178,"NO",'Registre de reserves'!$I$2:$I$1178,'2020'!$A90,'Registre de reserves'!$B$2:$B$1178,'2020'!D$2,Tabla1[ANY],'2020'!$Z$76)</f>
        <v>0</v>
      </c>
      <c r="E90" s="21">
        <f t="shared" si="98"/>
        <v>0</v>
      </c>
      <c r="F90" s="20">
        <f>SUMIFS('Registre de reserves'!$U$2:$U$1178,'Registre de reserves'!$T$2:$T$1178,"NO",'Registre de reserves'!$I$2:$I$1178,'2020'!$A90,'Registre de reserves'!$B$2:$B$1178,'2020'!F$2,Tabla1[ANY],'2020'!$Z$76)</f>
        <v>0</v>
      </c>
      <c r="G90" s="21">
        <f t="shared" si="87"/>
        <v>0</v>
      </c>
      <c r="H90" s="20">
        <f>SUMIFS('Registre de reserves'!$U$2:$U$1178,'Registre de reserves'!$T$2:$T$1178,"NO",'Registre de reserves'!$I$2:$I$1178,'2020'!$A90,'Registre de reserves'!$B$2:$B$1178,'2020'!H$2,Tabla1[ANY],'2020'!$Z$76)</f>
        <v>0</v>
      </c>
      <c r="I90" s="21">
        <f t="shared" si="88"/>
        <v>0</v>
      </c>
      <c r="J90" s="20">
        <f>SUMIFS('Registre de reserves'!$U$2:$U$1178,'Registre de reserves'!$T$2:$T$1178,"NO",'Registre de reserves'!$I$2:$I$1178,'2020'!$A90,'Registre de reserves'!$B$2:$B$1178,'2020'!J$2,Tabla1[ANY],'2020'!$Z$76)</f>
        <v>0</v>
      </c>
      <c r="K90" s="21">
        <f t="shared" si="89"/>
        <v>0</v>
      </c>
      <c r="L90" s="20">
        <f>SUMIFS('Registre de reserves'!$U$2:$U$1178,'Registre de reserves'!$T$2:$T$1178,"NO",'Registre de reserves'!$I$2:$I$1178,'2020'!$A90,'Registre de reserves'!$B$2:$B$1178,'2020'!L$2,Tabla1[ANY],'2020'!$Z$76)</f>
        <v>0</v>
      </c>
      <c r="M90" s="21">
        <f t="shared" si="90"/>
        <v>0</v>
      </c>
      <c r="N90" s="20">
        <f>SUMIFS('Registre de reserves'!$U$2:$U$1178,'Registre de reserves'!$T$2:$T$1178,"NO",'Registre de reserves'!$I$2:$I$1178,'2020'!$A90,'Registre de reserves'!$B$2:$B$1178,'2020'!N$2,Tabla1[ANY],'2020'!$Z$76)</f>
        <v>0</v>
      </c>
      <c r="O90" s="21">
        <f t="shared" si="91"/>
        <v>0</v>
      </c>
      <c r="P90" s="20">
        <f>SUMIFS('Registre de reserves'!$U$2:$U$1178,'Registre de reserves'!$T$2:$T$1178,"NO",'Registre de reserves'!$I$2:$I$1178,'2020'!$A90,'Registre de reserves'!$B$2:$B$1178,'2020'!P$2,Tabla1[ANY],'2020'!$Z$76)</f>
        <v>0</v>
      </c>
      <c r="Q90" s="21">
        <f t="shared" si="92"/>
        <v>0</v>
      </c>
      <c r="R90" s="20">
        <f>SUMIFS('Registre de reserves'!$U$2:$U$1178,'Registre de reserves'!$T$2:$T$1178,"NO",'Registre de reserves'!$I$2:$I$1178,'2020'!$A90,'Registre de reserves'!$B$2:$B$1178,'2020'!R$2,Tabla1[ANY],'2020'!$Z$76)</f>
        <v>0</v>
      </c>
      <c r="S90" s="21">
        <f t="shared" si="93"/>
        <v>0</v>
      </c>
      <c r="T90" s="20">
        <f>SUMIFS('Registre de reserves'!$U$2:$U$1178,'Registre de reserves'!$T$2:$T$1178,"NO",'Registre de reserves'!$I$2:$I$1178,'2020'!$A90,'Registre de reserves'!$B$2:$B$1178,'2020'!T$2,Tabla1[ANY],'2020'!$Z$76)</f>
        <v>0</v>
      </c>
      <c r="U90" s="21">
        <f t="shared" si="94"/>
        <v>0</v>
      </c>
      <c r="V90" s="20">
        <f>SUMIFS('Registre de reserves'!$U$2:$U$1178,'Registre de reserves'!$T$2:$T$1178,"NO",'Registre de reserves'!$I$2:$I$1178,'2020'!$A90,'Registre de reserves'!$B$2:$B$1178,'2020'!V$2,Tabla1[ANY],'2020'!$Z$76)</f>
        <v>0</v>
      </c>
      <c r="W90" s="21">
        <f t="shared" si="95"/>
        <v>0</v>
      </c>
      <c r="X90" s="20">
        <f>SUMIFS('Registre de reserves'!$U$2:$U$1178,'Registre de reserves'!$T$2:$T$1178,"NO",'Registre de reserves'!$I$2:$I$1178,'2020'!$A90,'Registre de reserves'!$B$2:$B$1178,'2020'!X$2,Tabla1[ANY],'2020'!$Z$76)</f>
        <v>0</v>
      </c>
      <c r="Y90" s="21">
        <f t="shared" si="96"/>
        <v>0</v>
      </c>
      <c r="Z90" s="20">
        <f t="shared" si="99"/>
        <v>0</v>
      </c>
      <c r="AA90" s="21">
        <f t="shared" si="97"/>
        <v>0</v>
      </c>
    </row>
    <row r="91" spans="1:27" hidden="1" outlineLevel="1" x14ac:dyDescent="0.2">
      <c r="A91" s="8" t="s">
        <v>71</v>
      </c>
      <c r="B91" s="20">
        <f>SUMIFS('Registre de reserves'!$U$2:$U$1178,'Registre de reserves'!$T$2:$T$1178,"NO",'Registre de reserves'!$I$2:$I$1178,'2020'!$A91,'Registre de reserves'!$B$2:$B$1178,'2020'!B$2,Tabla1[ANY],'2020'!$Z$76)</f>
        <v>0</v>
      </c>
      <c r="C91" s="21">
        <f t="shared" si="98"/>
        <v>0</v>
      </c>
      <c r="D91" s="20">
        <f>SUMIFS('Registre de reserves'!$U$2:$U$1178,'Registre de reserves'!$T$2:$T$1178,"NO",'Registre de reserves'!$I$2:$I$1178,'2020'!$A91,'Registre de reserves'!$B$2:$B$1178,'2020'!D$2,Tabla1[ANY],'2020'!$Z$76)</f>
        <v>0</v>
      </c>
      <c r="E91" s="21">
        <f>IF(D$87=0,0,D91/D$87)</f>
        <v>0</v>
      </c>
      <c r="F91" s="20">
        <f>SUMIFS('Registre de reserves'!$U$2:$U$1178,'Registre de reserves'!$T$2:$T$1178,"NO",'Registre de reserves'!$I$2:$I$1178,'2020'!$A91,'Registre de reserves'!$B$2:$B$1178,'2020'!F$2,Tabla1[ANY],'2020'!$Z$76)</f>
        <v>0</v>
      </c>
      <c r="G91" s="21">
        <f t="shared" si="87"/>
        <v>0</v>
      </c>
      <c r="H91" s="20">
        <f>SUMIFS('Registre de reserves'!$U$2:$U$1178,'Registre de reserves'!$T$2:$T$1178,"NO",'Registre de reserves'!$I$2:$I$1178,'2020'!$A91,'Registre de reserves'!$B$2:$B$1178,'2020'!H$2,Tabla1[ANY],'2020'!$Z$76)</f>
        <v>0</v>
      </c>
      <c r="I91" s="21">
        <f t="shared" si="88"/>
        <v>0</v>
      </c>
      <c r="J91" s="20">
        <f>SUMIFS('Registre de reserves'!$U$2:$U$1178,'Registre de reserves'!$T$2:$T$1178,"NO",'Registre de reserves'!$I$2:$I$1178,'2020'!$A91,'Registre de reserves'!$B$2:$B$1178,'2020'!J$2,Tabla1[ANY],'2020'!$Z$76)</f>
        <v>0</v>
      </c>
      <c r="K91" s="21">
        <f t="shared" si="89"/>
        <v>0</v>
      </c>
      <c r="L91" s="20">
        <f>SUMIFS('Registre de reserves'!$U$2:$U$1178,'Registre de reserves'!$T$2:$T$1178,"NO",'Registre de reserves'!$I$2:$I$1178,'2020'!$A91,'Registre de reserves'!$B$2:$B$1178,'2020'!L$2,Tabla1[ANY],'2020'!$Z$76)</f>
        <v>0</v>
      </c>
      <c r="M91" s="21">
        <f t="shared" si="90"/>
        <v>0</v>
      </c>
      <c r="N91" s="20">
        <f>SUMIFS('Registre de reserves'!$U$2:$U$1178,'Registre de reserves'!$T$2:$T$1178,"NO",'Registre de reserves'!$I$2:$I$1178,'2020'!$A91,'Registre de reserves'!$B$2:$B$1178,'2020'!N$2,Tabla1[ANY],'2020'!$Z$76)</f>
        <v>0</v>
      </c>
      <c r="O91" s="21">
        <f t="shared" si="91"/>
        <v>0</v>
      </c>
      <c r="P91" s="20">
        <f>SUMIFS('Registre de reserves'!$U$2:$U$1178,'Registre de reserves'!$T$2:$T$1178,"NO",'Registre de reserves'!$I$2:$I$1178,'2020'!$A91,'Registre de reserves'!$B$2:$B$1178,'2020'!P$2,Tabla1[ANY],'2020'!$Z$76)</f>
        <v>0</v>
      </c>
      <c r="Q91" s="21">
        <f t="shared" si="92"/>
        <v>0</v>
      </c>
      <c r="R91" s="20">
        <f>SUMIFS('Registre de reserves'!$U$2:$U$1178,'Registre de reserves'!$T$2:$T$1178,"NO",'Registre de reserves'!$I$2:$I$1178,'2020'!$A91,'Registre de reserves'!$B$2:$B$1178,'2020'!R$2,Tabla1[ANY],'2020'!$Z$76)</f>
        <v>0</v>
      </c>
      <c r="S91" s="21">
        <f t="shared" si="93"/>
        <v>0</v>
      </c>
      <c r="T91" s="20">
        <f>SUMIFS('Registre de reserves'!$U$2:$U$1178,'Registre de reserves'!$T$2:$T$1178,"NO",'Registre de reserves'!$I$2:$I$1178,'2020'!$A91,'Registre de reserves'!$B$2:$B$1178,'2020'!T$2,Tabla1[ANY],'2020'!$Z$76)</f>
        <v>0</v>
      </c>
      <c r="U91" s="21">
        <f t="shared" si="94"/>
        <v>0</v>
      </c>
      <c r="V91" s="20">
        <f>SUMIFS('Registre de reserves'!$U$2:$U$1178,'Registre de reserves'!$T$2:$T$1178,"NO",'Registre de reserves'!$I$2:$I$1178,'2020'!$A91,'Registre de reserves'!$B$2:$B$1178,'2020'!V$2,Tabla1[ANY],'2020'!$Z$76)</f>
        <v>0</v>
      </c>
      <c r="W91" s="21">
        <f t="shared" si="95"/>
        <v>0</v>
      </c>
      <c r="X91" s="20">
        <f>SUMIFS('Registre de reserves'!$U$2:$U$1178,'Registre de reserves'!$T$2:$T$1178,"NO",'Registre de reserves'!$I$2:$I$1178,'2020'!$A91,'Registre de reserves'!$B$2:$B$1178,'2020'!X$2,Tabla1[ANY],'2020'!$Z$76)</f>
        <v>0</v>
      </c>
      <c r="Y91" s="21">
        <f t="shared" si="96"/>
        <v>0</v>
      </c>
      <c r="Z91" s="20">
        <f t="shared" si="99"/>
        <v>0</v>
      </c>
      <c r="AA91" s="21">
        <f t="shared" si="97"/>
        <v>0</v>
      </c>
    </row>
    <row r="92" spans="1:27" hidden="1" outlineLevel="1" x14ac:dyDescent="0.2">
      <c r="A92" s="8" t="s">
        <v>72</v>
      </c>
      <c r="B92" s="20">
        <f>SUMIFS('Registre de reserves'!$U$2:$U$1178,'Registre de reserves'!$T$2:$T$1178,"NO",'Registre de reserves'!$I$2:$I$1178,'2020'!$A92,'Registre de reserves'!$B$2:$B$1178,'2020'!B$2,Tabla1[ANY],'2020'!$Z$76)</f>
        <v>0</v>
      </c>
      <c r="C92" s="21">
        <f t="shared" si="98"/>
        <v>0</v>
      </c>
      <c r="D92" s="20">
        <f>SUMIFS('Registre de reserves'!$U$2:$U$1178,'Registre de reserves'!$T$2:$T$1178,"NO",'Registre de reserves'!$I$2:$I$1178,'2020'!$A92,'Registre de reserves'!$B$2:$B$1178,'2020'!D$2,Tabla1[ANY],'2020'!$Z$76)</f>
        <v>0</v>
      </c>
      <c r="E92" s="21">
        <f t="shared" si="98"/>
        <v>0</v>
      </c>
      <c r="F92" s="20">
        <f>SUMIFS('Registre de reserves'!$U$2:$U$1178,'Registre de reserves'!$T$2:$T$1178,"NO",'Registre de reserves'!$I$2:$I$1178,'2020'!$A92,'Registre de reserves'!$B$2:$B$1178,'2020'!F$2,Tabla1[ANY],'2020'!$Z$76)</f>
        <v>0</v>
      </c>
      <c r="G92" s="21">
        <f t="shared" si="87"/>
        <v>0</v>
      </c>
      <c r="H92" s="20">
        <f>SUMIFS('Registre de reserves'!$U$2:$U$1178,'Registre de reserves'!$T$2:$T$1178,"NO",'Registre de reserves'!$I$2:$I$1178,'2020'!$A92,'Registre de reserves'!$B$2:$B$1178,'2020'!H$2,Tabla1[ANY],'2020'!$Z$76)</f>
        <v>0</v>
      </c>
      <c r="I92" s="21">
        <f t="shared" si="88"/>
        <v>0</v>
      </c>
      <c r="J92" s="20">
        <f>SUMIFS('Registre de reserves'!$U$2:$U$1178,'Registre de reserves'!$T$2:$T$1178,"NO",'Registre de reserves'!$I$2:$I$1178,'2020'!$A92,'Registre de reserves'!$B$2:$B$1178,'2020'!J$2,Tabla1[ANY],'2020'!$Z$76)</f>
        <v>0</v>
      </c>
      <c r="K92" s="21">
        <f t="shared" si="89"/>
        <v>0</v>
      </c>
      <c r="L92" s="20">
        <f>SUMIFS('Registre de reserves'!$U$2:$U$1178,'Registre de reserves'!$T$2:$T$1178,"NO",'Registre de reserves'!$I$2:$I$1178,'2020'!$A92,'Registre de reserves'!$B$2:$B$1178,'2020'!L$2,Tabla1[ANY],'2020'!$Z$76)</f>
        <v>0</v>
      </c>
      <c r="M92" s="21">
        <f t="shared" si="90"/>
        <v>0</v>
      </c>
      <c r="N92" s="20">
        <f>SUMIFS('Registre de reserves'!$U$2:$U$1178,'Registre de reserves'!$T$2:$T$1178,"NO",'Registre de reserves'!$I$2:$I$1178,'2020'!$A92,'Registre de reserves'!$B$2:$B$1178,'2020'!N$2,Tabla1[ANY],'2020'!$Z$76)</f>
        <v>0</v>
      </c>
      <c r="O92" s="21">
        <f t="shared" si="91"/>
        <v>0</v>
      </c>
      <c r="P92" s="20">
        <f>SUMIFS('Registre de reserves'!$U$2:$U$1178,'Registre de reserves'!$T$2:$T$1178,"NO",'Registre de reserves'!$I$2:$I$1178,'2020'!$A92,'Registre de reserves'!$B$2:$B$1178,'2020'!P$2,Tabla1[ANY],'2020'!$Z$76)</f>
        <v>0</v>
      </c>
      <c r="Q92" s="21">
        <f t="shared" si="92"/>
        <v>0</v>
      </c>
      <c r="R92" s="20">
        <f>SUMIFS('Registre de reserves'!$U$2:$U$1178,'Registre de reserves'!$T$2:$T$1178,"NO",'Registre de reserves'!$I$2:$I$1178,'2020'!$A92,'Registre de reserves'!$B$2:$B$1178,'2020'!R$2,Tabla1[ANY],'2020'!$Z$76)</f>
        <v>0</v>
      </c>
      <c r="S92" s="21">
        <f t="shared" si="93"/>
        <v>0</v>
      </c>
      <c r="T92" s="20">
        <f>SUMIFS('Registre de reserves'!$U$2:$U$1178,'Registre de reserves'!$T$2:$T$1178,"NO",'Registre de reserves'!$I$2:$I$1178,'2020'!$A92,'Registre de reserves'!$B$2:$B$1178,'2020'!T$2,Tabla1[ANY],'2020'!$Z$76)</f>
        <v>0</v>
      </c>
      <c r="U92" s="21">
        <f t="shared" si="94"/>
        <v>0</v>
      </c>
      <c r="V92" s="20">
        <f>SUMIFS('Registre de reserves'!$U$2:$U$1178,'Registre de reserves'!$T$2:$T$1178,"NO",'Registre de reserves'!$I$2:$I$1178,'2020'!$A92,'Registre de reserves'!$B$2:$B$1178,'2020'!V$2,Tabla1[ANY],'2020'!$Z$76)</f>
        <v>0</v>
      </c>
      <c r="W92" s="21">
        <f t="shared" si="95"/>
        <v>0</v>
      </c>
      <c r="X92" s="20">
        <f>SUMIFS('Registre de reserves'!$U$2:$U$1178,'Registre de reserves'!$T$2:$T$1178,"NO",'Registre de reserves'!$I$2:$I$1178,'2020'!$A92,'Registre de reserves'!$B$2:$B$1178,'2020'!X$2,Tabla1[ANY],'2020'!$Z$76)</f>
        <v>0</v>
      </c>
      <c r="Y92" s="21">
        <f t="shared" si="96"/>
        <v>0</v>
      </c>
      <c r="Z92" s="20">
        <f t="shared" si="99"/>
        <v>0</v>
      </c>
      <c r="AA92" s="21">
        <f t="shared" si="97"/>
        <v>0</v>
      </c>
    </row>
    <row r="93" spans="1:27" hidden="1" outlineLevel="1" x14ac:dyDescent="0.2">
      <c r="A93" s="8" t="s">
        <v>69</v>
      </c>
      <c r="B93" s="20">
        <f>SUMIFS('Registre de reserves'!$U$2:$U$1178,'Registre de reserves'!$T$2:$T$1178,"NO",'Registre de reserves'!$I$2:$I$1178,'2020'!$A93,'Registre de reserves'!$B$2:$B$1178,'2020'!B$2,Tabla1[ANY],'2020'!$Z$76)</f>
        <v>0</v>
      </c>
      <c r="C93" s="21">
        <f t="shared" si="98"/>
        <v>0</v>
      </c>
      <c r="D93" s="20">
        <f>SUMIFS('Registre de reserves'!$U$2:$U$1178,'Registre de reserves'!$T$2:$T$1178,"NO",'Registre de reserves'!$I$2:$I$1178,'2020'!$A93,'Registre de reserves'!$B$2:$B$1178,'2020'!D$2,Tabla1[ANY],'2020'!$Z$76)</f>
        <v>0</v>
      </c>
      <c r="E93" s="21">
        <f t="shared" si="98"/>
        <v>0</v>
      </c>
      <c r="F93" s="20">
        <f>SUMIFS('Registre de reserves'!$U$2:$U$1178,'Registre de reserves'!$T$2:$T$1178,"NO",'Registre de reserves'!$I$2:$I$1178,'2020'!$A93,'Registre de reserves'!$B$2:$B$1178,'2020'!F$2,Tabla1[ANY],'2020'!$Z$76)</f>
        <v>0</v>
      </c>
      <c r="G93" s="21">
        <f t="shared" si="87"/>
        <v>0</v>
      </c>
      <c r="H93" s="20">
        <f>SUMIFS('Registre de reserves'!$U$2:$U$1178,'Registre de reserves'!$T$2:$T$1178,"NO",'Registre de reserves'!$I$2:$I$1178,'2020'!$A93,'Registre de reserves'!$B$2:$B$1178,'2020'!H$2,Tabla1[ANY],'2020'!$Z$76)</f>
        <v>0</v>
      </c>
      <c r="I93" s="21">
        <f t="shared" si="88"/>
        <v>0</v>
      </c>
      <c r="J93" s="20">
        <f>SUMIFS('Registre de reserves'!$U$2:$U$1178,'Registre de reserves'!$T$2:$T$1178,"NO",'Registre de reserves'!$I$2:$I$1178,'2020'!$A93,'Registre de reserves'!$B$2:$B$1178,'2020'!J$2,Tabla1[ANY],'2020'!$Z$76)</f>
        <v>0</v>
      </c>
      <c r="K93" s="21">
        <f t="shared" si="89"/>
        <v>0</v>
      </c>
      <c r="L93" s="20">
        <f>SUMIFS('Registre de reserves'!$U$2:$U$1178,'Registre de reserves'!$T$2:$T$1178,"NO",'Registre de reserves'!$I$2:$I$1178,'2020'!$A93,'Registre de reserves'!$B$2:$B$1178,'2020'!L$2,Tabla1[ANY],'2020'!$Z$76)</f>
        <v>0</v>
      </c>
      <c r="M93" s="21">
        <f t="shared" si="90"/>
        <v>0</v>
      </c>
      <c r="N93" s="20">
        <f>SUMIFS('Registre de reserves'!$U$2:$U$1178,'Registre de reserves'!$T$2:$T$1178,"NO",'Registre de reserves'!$I$2:$I$1178,'2020'!$A93,'Registre de reserves'!$B$2:$B$1178,'2020'!N$2,Tabla1[ANY],'2020'!$Z$76)</f>
        <v>0</v>
      </c>
      <c r="O93" s="21">
        <f t="shared" si="91"/>
        <v>0</v>
      </c>
      <c r="P93" s="20">
        <f>SUMIFS('Registre de reserves'!$U$2:$U$1178,'Registre de reserves'!$T$2:$T$1178,"NO",'Registre de reserves'!$I$2:$I$1178,'2020'!$A93,'Registre de reserves'!$B$2:$B$1178,'2020'!P$2,Tabla1[ANY],'2020'!$Z$76)</f>
        <v>0</v>
      </c>
      <c r="Q93" s="21">
        <f t="shared" si="92"/>
        <v>0</v>
      </c>
      <c r="R93" s="20">
        <f>SUMIFS('Registre de reserves'!$U$2:$U$1178,'Registre de reserves'!$T$2:$T$1178,"NO",'Registre de reserves'!$I$2:$I$1178,'2020'!$A93,'Registre de reserves'!$B$2:$B$1178,'2020'!R$2,Tabla1[ANY],'2020'!$Z$76)</f>
        <v>0</v>
      </c>
      <c r="S93" s="21">
        <f t="shared" si="93"/>
        <v>0</v>
      </c>
      <c r="T93" s="20">
        <f>SUMIFS('Registre de reserves'!$U$2:$U$1178,'Registre de reserves'!$T$2:$T$1178,"NO",'Registre de reserves'!$I$2:$I$1178,'2020'!$A93,'Registre de reserves'!$B$2:$B$1178,'2020'!T$2,Tabla1[ANY],'2020'!$Z$76)</f>
        <v>0</v>
      </c>
      <c r="U93" s="21">
        <f t="shared" si="94"/>
        <v>0</v>
      </c>
      <c r="V93" s="20">
        <f>SUMIFS('Registre de reserves'!$U$2:$U$1178,'Registre de reserves'!$T$2:$T$1178,"NO",'Registre de reserves'!$I$2:$I$1178,'2020'!$A93,'Registre de reserves'!$B$2:$B$1178,'2020'!V$2,Tabla1[ANY],'2020'!$Z$76)</f>
        <v>0</v>
      </c>
      <c r="W93" s="21">
        <f t="shared" si="95"/>
        <v>0</v>
      </c>
      <c r="X93" s="20">
        <f>SUMIFS('Registre de reserves'!$U$2:$U$1178,'Registre de reserves'!$T$2:$T$1178,"NO",'Registre de reserves'!$I$2:$I$1178,'2020'!$A93,'Registre de reserves'!$B$2:$B$1178,'2020'!X$2,Tabla1[ANY],'2020'!$Z$76)</f>
        <v>0</v>
      </c>
      <c r="Y93" s="21">
        <f t="shared" si="96"/>
        <v>0</v>
      </c>
      <c r="Z93" s="20">
        <f t="shared" si="99"/>
        <v>0</v>
      </c>
      <c r="AA93" s="21">
        <f t="shared" si="97"/>
        <v>0</v>
      </c>
    </row>
    <row r="94" spans="1:27" hidden="1" outlineLevel="1" x14ac:dyDescent="0.2">
      <c r="A94" s="8" t="s">
        <v>70</v>
      </c>
      <c r="B94" s="20">
        <f>SUMIFS('Registre de reserves'!$U$2:$U$1178,'Registre de reserves'!$T$2:$T$1178,"NO",'Registre de reserves'!$I$2:$I$1178,'2020'!$A94,'Registre de reserves'!$B$2:$B$1178,'2020'!B$2,Tabla1[ANY],'2020'!$Z$76)</f>
        <v>0</v>
      </c>
      <c r="C94" s="21">
        <f t="shared" si="98"/>
        <v>0</v>
      </c>
      <c r="D94" s="20">
        <f>SUMIFS('Registre de reserves'!$U$2:$U$1178,'Registre de reserves'!$T$2:$T$1178,"NO",'Registre de reserves'!$I$2:$I$1178,'2020'!$A94,'Registre de reserves'!$B$2:$B$1178,'2020'!D$2,Tabla1[ANY],'2020'!$Z$76)</f>
        <v>0</v>
      </c>
      <c r="E94" s="21">
        <f t="shared" si="98"/>
        <v>0</v>
      </c>
      <c r="F94" s="20">
        <f>SUMIFS('Registre de reserves'!$U$2:$U$1178,'Registre de reserves'!$T$2:$T$1178,"NO",'Registre de reserves'!$I$2:$I$1178,'2020'!$A94,'Registre de reserves'!$B$2:$B$1178,'2020'!F$2,Tabla1[ANY],'2020'!$Z$76)</f>
        <v>0</v>
      </c>
      <c r="G94" s="21">
        <f t="shared" si="87"/>
        <v>0</v>
      </c>
      <c r="H94" s="20">
        <f>SUMIFS('Registre de reserves'!$U$2:$U$1178,'Registre de reserves'!$T$2:$T$1178,"NO",'Registre de reserves'!$I$2:$I$1178,'2020'!$A94,'Registre de reserves'!$B$2:$B$1178,'2020'!H$2,Tabla1[ANY],'2020'!$Z$76)</f>
        <v>0</v>
      </c>
      <c r="I94" s="21">
        <f t="shared" si="88"/>
        <v>0</v>
      </c>
      <c r="J94" s="20">
        <f>SUMIFS('Registre de reserves'!$U$2:$U$1178,'Registre de reserves'!$T$2:$T$1178,"NO",'Registre de reserves'!$I$2:$I$1178,'2020'!$A94,'Registre de reserves'!$B$2:$B$1178,'2020'!J$2,Tabla1[ANY],'2020'!$Z$76)</f>
        <v>0</v>
      </c>
      <c r="K94" s="21">
        <f t="shared" si="89"/>
        <v>0</v>
      </c>
      <c r="L94" s="20">
        <f>SUMIFS('Registre de reserves'!$U$2:$U$1178,'Registre de reserves'!$T$2:$T$1178,"NO",'Registre de reserves'!$I$2:$I$1178,'2020'!$A94,'Registre de reserves'!$B$2:$B$1178,'2020'!L$2,Tabla1[ANY],'2020'!$Z$76)</f>
        <v>0</v>
      </c>
      <c r="M94" s="21">
        <f t="shared" si="90"/>
        <v>0</v>
      </c>
      <c r="N94" s="20">
        <f>SUMIFS('Registre de reserves'!$U$2:$U$1178,'Registre de reserves'!$T$2:$T$1178,"NO",'Registre de reserves'!$I$2:$I$1178,'2020'!$A94,'Registre de reserves'!$B$2:$B$1178,'2020'!N$2,Tabla1[ANY],'2020'!$Z$76)</f>
        <v>0</v>
      </c>
      <c r="O94" s="21">
        <f t="shared" si="91"/>
        <v>0</v>
      </c>
      <c r="P94" s="20">
        <f>SUMIFS('Registre de reserves'!$U$2:$U$1178,'Registre de reserves'!$T$2:$T$1178,"NO",'Registre de reserves'!$I$2:$I$1178,'2020'!$A94,'Registre de reserves'!$B$2:$B$1178,'2020'!P$2,Tabla1[ANY],'2020'!$Z$76)</f>
        <v>0</v>
      </c>
      <c r="Q94" s="21">
        <f t="shared" si="92"/>
        <v>0</v>
      </c>
      <c r="R94" s="20">
        <f>SUMIFS('Registre de reserves'!$U$2:$U$1178,'Registre de reserves'!$T$2:$T$1178,"NO",'Registre de reserves'!$I$2:$I$1178,'2020'!$A94,'Registre de reserves'!$B$2:$B$1178,'2020'!R$2,Tabla1[ANY],'2020'!$Z$76)</f>
        <v>0</v>
      </c>
      <c r="S94" s="21">
        <f t="shared" si="93"/>
        <v>0</v>
      </c>
      <c r="T94" s="20">
        <f>SUMIFS('Registre de reserves'!$U$2:$U$1178,'Registre de reserves'!$T$2:$T$1178,"NO",'Registre de reserves'!$I$2:$I$1178,'2020'!$A94,'Registre de reserves'!$B$2:$B$1178,'2020'!T$2,Tabla1[ANY],'2020'!$Z$76)</f>
        <v>0</v>
      </c>
      <c r="U94" s="21">
        <f t="shared" si="94"/>
        <v>0</v>
      </c>
      <c r="V94" s="20">
        <f>SUMIFS('Registre de reserves'!$U$2:$U$1178,'Registre de reserves'!$T$2:$T$1178,"NO",'Registre de reserves'!$I$2:$I$1178,'2020'!$A94,'Registre de reserves'!$B$2:$B$1178,'2020'!V$2,Tabla1[ANY],'2020'!$Z$76)</f>
        <v>0</v>
      </c>
      <c r="W94" s="21">
        <f t="shared" si="95"/>
        <v>0</v>
      </c>
      <c r="X94" s="20">
        <f>SUMIFS('Registre de reserves'!$U$2:$U$1178,'Registre de reserves'!$T$2:$T$1178,"NO",'Registre de reserves'!$I$2:$I$1178,'2020'!$A94,'Registre de reserves'!$B$2:$B$1178,'2020'!X$2,Tabla1[ANY],'2020'!$Z$76)</f>
        <v>0</v>
      </c>
      <c r="Y94" s="21">
        <f t="shared" si="96"/>
        <v>0</v>
      </c>
      <c r="Z94" s="20">
        <f t="shared" si="99"/>
        <v>0</v>
      </c>
      <c r="AA94" s="21">
        <f t="shared" si="97"/>
        <v>0</v>
      </c>
    </row>
    <row r="95" spans="1:27" hidden="1" outlineLevel="1" x14ac:dyDescent="0.2">
      <c r="A95" s="8" t="s">
        <v>73</v>
      </c>
      <c r="B95" s="20">
        <f>SUMIFS('Registre de reserves'!$U$2:$U$1178,'Registre de reserves'!$T$2:$T$1178,"NO",'Registre de reserves'!$I$2:$I$1178,'2020'!$A95,'Registre de reserves'!$B$2:$B$1178,'2020'!B$2,Tabla1[ANY],'2020'!$Z$76)</f>
        <v>0</v>
      </c>
      <c r="C95" s="21">
        <f>IF(B$87=0,0,B95/B$87)</f>
        <v>0</v>
      </c>
      <c r="D95" s="20">
        <f>SUMIFS('Registre de reserves'!$U$2:$U$1178,'Registre de reserves'!$T$2:$T$1178,"NO",'Registre de reserves'!$I$2:$I$1178,'2020'!$A95,'Registre de reserves'!$B$2:$B$1178,'2020'!D$2,Tabla1[ANY],'2020'!$Z$76)</f>
        <v>0</v>
      </c>
      <c r="E95" s="21">
        <f>IF(D$87=0,0,D95/D$87)</f>
        <v>0</v>
      </c>
      <c r="F95" s="20">
        <f>SUMIFS('Registre de reserves'!$U$2:$U$1178,'Registre de reserves'!$T$2:$T$1178,"NO",'Registre de reserves'!$I$2:$I$1178,'2020'!$A95,'Registre de reserves'!$B$2:$B$1178,'2020'!F$2,Tabla1[ANY],'2020'!$Z$76)</f>
        <v>0</v>
      </c>
      <c r="G95" s="21">
        <f t="shared" si="87"/>
        <v>0</v>
      </c>
      <c r="H95" s="20">
        <f>SUMIFS('Registre de reserves'!$U$2:$U$1178,'Registre de reserves'!$T$2:$T$1178,"NO",'Registre de reserves'!$I$2:$I$1178,'2020'!$A95,'Registre de reserves'!$B$2:$B$1178,'2020'!H$2,Tabla1[ANY],'2020'!$Z$76)</f>
        <v>0</v>
      </c>
      <c r="I95" s="21">
        <f t="shared" si="88"/>
        <v>0</v>
      </c>
      <c r="J95" s="20">
        <f>SUMIFS('Registre de reserves'!$U$2:$U$1178,'Registre de reserves'!$T$2:$T$1178,"NO",'Registre de reserves'!$I$2:$I$1178,'2020'!$A95,'Registre de reserves'!$B$2:$B$1178,'2020'!J$2,Tabla1[ANY],'2020'!$Z$76)</f>
        <v>0</v>
      </c>
      <c r="K95" s="21">
        <f t="shared" si="89"/>
        <v>0</v>
      </c>
      <c r="L95" s="20">
        <f>SUMIFS('Registre de reserves'!$U$2:$U$1178,'Registre de reserves'!$T$2:$T$1178,"NO",'Registre de reserves'!$I$2:$I$1178,'2020'!$A95,'Registre de reserves'!$B$2:$B$1178,'2020'!L$2,Tabla1[ANY],'2020'!$Z$76)</f>
        <v>0</v>
      </c>
      <c r="M95" s="21">
        <f t="shared" si="90"/>
        <v>0</v>
      </c>
      <c r="N95" s="20">
        <f>SUMIFS('Registre de reserves'!$U$2:$U$1178,'Registre de reserves'!$T$2:$T$1178,"NO",'Registre de reserves'!$I$2:$I$1178,'2020'!$A95,'Registre de reserves'!$B$2:$B$1178,'2020'!N$2,Tabla1[ANY],'2020'!$Z$76)</f>
        <v>0</v>
      </c>
      <c r="O95" s="21">
        <f t="shared" si="91"/>
        <v>0</v>
      </c>
      <c r="P95" s="20">
        <f>SUMIFS('Registre de reserves'!$U$2:$U$1178,'Registre de reserves'!$T$2:$T$1178,"NO",'Registre de reserves'!$I$2:$I$1178,'2020'!$A95,'Registre de reserves'!$B$2:$B$1178,'2020'!P$2,Tabla1[ANY],'2020'!$Z$76)</f>
        <v>0</v>
      </c>
      <c r="Q95" s="21">
        <f t="shared" si="92"/>
        <v>0</v>
      </c>
      <c r="R95" s="20">
        <f>SUMIFS('Registre de reserves'!$U$2:$U$1178,'Registre de reserves'!$T$2:$T$1178,"NO",'Registre de reserves'!$I$2:$I$1178,'2020'!$A95,'Registre de reserves'!$B$2:$B$1178,'2020'!R$2,Tabla1[ANY],'2020'!$Z$76)</f>
        <v>0</v>
      </c>
      <c r="S95" s="21">
        <f t="shared" si="93"/>
        <v>0</v>
      </c>
      <c r="T95" s="20">
        <f>SUMIFS('Registre de reserves'!$U$2:$U$1178,'Registre de reserves'!$T$2:$T$1178,"NO",'Registre de reserves'!$I$2:$I$1178,'2020'!$A95,'Registre de reserves'!$B$2:$B$1178,'2020'!T$2,Tabla1[ANY],'2020'!$Z$76)</f>
        <v>0</v>
      </c>
      <c r="U95" s="21">
        <f t="shared" si="94"/>
        <v>0</v>
      </c>
      <c r="V95" s="20">
        <f>SUMIFS('Registre de reserves'!$U$2:$U$1178,'Registre de reserves'!$T$2:$T$1178,"NO",'Registre de reserves'!$I$2:$I$1178,'2020'!$A95,'Registre de reserves'!$B$2:$B$1178,'2020'!V$2,Tabla1[ANY],'2020'!$Z$76)</f>
        <v>0</v>
      </c>
      <c r="W95" s="21">
        <f t="shared" si="95"/>
        <v>0</v>
      </c>
      <c r="X95" s="20">
        <f>SUMIFS('Registre de reserves'!$U$2:$U$1178,'Registre de reserves'!$T$2:$T$1178,"NO",'Registre de reserves'!$I$2:$I$1178,'2020'!$A95,'Registre de reserves'!$B$2:$B$1178,'2020'!X$2,Tabla1[ANY],'2020'!$Z$76)</f>
        <v>0</v>
      </c>
      <c r="Y95" s="21">
        <f t="shared" si="96"/>
        <v>0</v>
      </c>
      <c r="Z95" s="20">
        <f t="shared" si="99"/>
        <v>0</v>
      </c>
      <c r="AA95" s="21">
        <f t="shared" si="97"/>
        <v>0</v>
      </c>
    </row>
    <row r="96" spans="1:27" collapsed="1" x14ac:dyDescent="0.2">
      <c r="A96" s="33" t="s">
        <v>75</v>
      </c>
      <c r="B96" s="22">
        <f>SUM(B97:B104)</f>
        <v>0</v>
      </c>
      <c r="C96" s="19">
        <f>IF(B$77=0,0,B96/B$77)</f>
        <v>0</v>
      </c>
      <c r="D96" s="22">
        <f>SUM(D97:D104)</f>
        <v>0</v>
      </c>
      <c r="E96" s="19">
        <f>IF(D$77=0,0,D96/D$77)</f>
        <v>0</v>
      </c>
      <c r="F96" s="22">
        <f>SUM(F97:F104)</f>
        <v>0</v>
      </c>
      <c r="G96" s="19">
        <f>IF(F$77=0,0,F96/F$77)</f>
        <v>0</v>
      </c>
      <c r="H96" s="22">
        <f>SUM(H97:H104)</f>
        <v>0</v>
      </c>
      <c r="I96" s="19">
        <f>IF(H$77=0,0,H96/H$77)</f>
        <v>0</v>
      </c>
      <c r="J96" s="22">
        <f>SUM(J97:J104)</f>
        <v>0</v>
      </c>
      <c r="K96" s="19">
        <f>IF(J$77=0,0,J96/J$77)</f>
        <v>0</v>
      </c>
      <c r="L96" s="22">
        <f>SUM(L97:L104)</f>
        <v>0</v>
      </c>
      <c r="M96" s="19">
        <f>IF(L$77=0,0,L96/L$77)</f>
        <v>0</v>
      </c>
      <c r="N96" s="22">
        <f>SUM(N97:N104)</f>
        <v>0</v>
      </c>
      <c r="O96" s="19">
        <f>IF(N$77=0,0,N96/N$77)</f>
        <v>0</v>
      </c>
      <c r="P96" s="22">
        <f>SUM(P97:P104)</f>
        <v>0</v>
      </c>
      <c r="Q96" s="19">
        <f>IF(P$77=0,0,P96/P$77)</f>
        <v>0</v>
      </c>
      <c r="R96" s="22">
        <f>SUM(R97:R104)</f>
        <v>0</v>
      </c>
      <c r="S96" s="19">
        <f>IF(R$77=0,0,R96/R$77)</f>
        <v>0</v>
      </c>
      <c r="T96" s="22">
        <f>SUM(T97:T104)</f>
        <v>0</v>
      </c>
      <c r="U96" s="19">
        <f>IF(T$77=0,0,T96/T$77)</f>
        <v>0</v>
      </c>
      <c r="V96" s="22">
        <f>SUM(V97:V104)</f>
        <v>0</v>
      </c>
      <c r="W96" s="19">
        <f>IF(V$77=0,0,V96/V$77)</f>
        <v>0</v>
      </c>
      <c r="X96" s="22">
        <f>SUM(X97:X104)</f>
        <v>0</v>
      </c>
      <c r="Y96" s="19">
        <f>IF(X$77=0,0,X96/X$77)</f>
        <v>0</v>
      </c>
      <c r="Z96" s="22">
        <f>SUM(Z97:Z104)</f>
        <v>0</v>
      </c>
      <c r="AA96" s="19">
        <f>IF(Z$77=0,0,Z96/Z$77)</f>
        <v>0</v>
      </c>
    </row>
    <row r="97" spans="1:27" hidden="1" outlineLevel="1" x14ac:dyDescent="0.2">
      <c r="A97" s="8" t="s">
        <v>67</v>
      </c>
      <c r="B97" s="23">
        <f>SUMIFS('Registre de reserves'!$W$2:$W$1178,'Registre de reserves'!$T$2:$T$1178,"SI",'Registre de reserves'!$I$2:$I$1178,'2020'!$A97,'Registre de reserves'!$B$2:$B$1178,'2020'!B$2,Tabla1[ANY],'2020'!$Z$76)</f>
        <v>0</v>
      </c>
      <c r="C97" s="21">
        <f>IF(B$96=0,0,B97/B$96)</f>
        <v>0</v>
      </c>
      <c r="D97" s="23">
        <f>SUMIFS('Registre de reserves'!$W$2:$W$1178,'Registre de reserves'!$T$2:$T$1178,"SI",'Registre de reserves'!$I$2:$I$1178,'2020'!$A97,'Registre de reserves'!$B$2:$B$1178,'2020'!D$2,Tabla1[ANY],'2020'!$Z$76)</f>
        <v>0</v>
      </c>
      <c r="E97" s="21">
        <f>IF(D$96=0,0,D97/D$96)</f>
        <v>0</v>
      </c>
      <c r="F97" s="23">
        <f>SUMIFS('Registre de reserves'!$W$2:$W$1178,'Registre de reserves'!$T$2:$T$1178,"SI",'Registre de reserves'!$I$2:$I$1178,'2020'!$A97,'Registre de reserves'!$B$2:$B$1178,'2020'!F$2,Tabla1[ANY],'2020'!$Z$76)</f>
        <v>0</v>
      </c>
      <c r="G97" s="21">
        <f t="shared" ref="G97:G104" si="100">IF(F$96=0,0,F97/F$96)</f>
        <v>0</v>
      </c>
      <c r="H97" s="23">
        <f>SUMIFS('Registre de reserves'!$W$2:$W$1178,'Registre de reserves'!$T$2:$T$1178,"SI",'Registre de reserves'!$I$2:$I$1178,'2020'!$A97,'Registre de reserves'!$B$2:$B$1178,'2020'!H$2,Tabla1[ANY],'2020'!$Z$76)</f>
        <v>0</v>
      </c>
      <c r="I97" s="21">
        <f t="shared" ref="I97:I104" si="101">IF(H$96=0,0,H97/H$96)</f>
        <v>0</v>
      </c>
      <c r="J97" s="23">
        <f>SUMIFS('Registre de reserves'!$W$2:$W$1178,'Registre de reserves'!$T$2:$T$1178,"SI",'Registre de reserves'!$I$2:$I$1178,'2020'!$A97,'Registre de reserves'!$B$2:$B$1178,'2020'!J$2,Tabla1[ANY],'2020'!$Z$76)</f>
        <v>0</v>
      </c>
      <c r="K97" s="21">
        <f t="shared" ref="K97:K104" si="102">IF(J$96=0,0,J97/J$96)</f>
        <v>0</v>
      </c>
      <c r="L97" s="23">
        <f>SUMIFS('Registre de reserves'!$W$2:$W$1178,'Registre de reserves'!$T$2:$T$1178,"SI",'Registre de reserves'!$I$2:$I$1178,'2020'!$A97,'Registre de reserves'!$B$2:$B$1178,'2020'!L$2,Tabla1[ANY],'2020'!$Z$76)</f>
        <v>0</v>
      </c>
      <c r="M97" s="21">
        <f t="shared" ref="M97:M104" si="103">IF(L$96=0,0,L97/L$96)</f>
        <v>0</v>
      </c>
      <c r="N97" s="23">
        <f>SUMIFS('Registre de reserves'!$W$2:$W$1178,'Registre de reserves'!$T$2:$T$1178,"SI",'Registre de reserves'!$I$2:$I$1178,'2020'!$A97,'Registre de reserves'!$B$2:$B$1178,'2020'!N$2,Tabla1[ANY],'2020'!$Z$76)</f>
        <v>0</v>
      </c>
      <c r="O97" s="21">
        <f t="shared" ref="O97:O104" si="104">IF(N$96=0,0,N97/N$96)</f>
        <v>0</v>
      </c>
      <c r="P97" s="23">
        <f>SUMIFS('Registre de reserves'!$W$2:$W$1178,'Registre de reserves'!$T$2:$T$1178,"SI",'Registre de reserves'!$I$2:$I$1178,'2020'!$A97,'Registre de reserves'!$B$2:$B$1178,'2020'!P$2,Tabla1[ANY],'2020'!$Z$76)</f>
        <v>0</v>
      </c>
      <c r="Q97" s="21">
        <f t="shared" ref="Q97:Q104" si="105">IF(P$96=0,0,P97/P$96)</f>
        <v>0</v>
      </c>
      <c r="R97" s="23">
        <f>SUMIFS('Registre de reserves'!$W$2:$W$1178,'Registre de reserves'!$T$2:$T$1178,"SI",'Registre de reserves'!$I$2:$I$1178,'2020'!$A97,'Registre de reserves'!$B$2:$B$1178,'2020'!R$2,Tabla1[ANY],'2020'!$Z$76)</f>
        <v>0</v>
      </c>
      <c r="S97" s="21">
        <f t="shared" ref="S97:S104" si="106">IF(R$96=0,0,R97/R$96)</f>
        <v>0</v>
      </c>
      <c r="T97" s="23">
        <f>SUMIFS('Registre de reserves'!$W$2:$W$1178,'Registre de reserves'!$T$2:$T$1178,"SI",'Registre de reserves'!$I$2:$I$1178,'2020'!$A97,'Registre de reserves'!$B$2:$B$1178,'2020'!T$2,Tabla1[ANY],'2020'!$Z$76)</f>
        <v>0</v>
      </c>
      <c r="U97" s="21">
        <f t="shared" ref="U97:U104" si="107">IF(T$96=0,0,T97/T$96)</f>
        <v>0</v>
      </c>
      <c r="V97" s="23">
        <f>SUMIFS('Registre de reserves'!$W$2:$W$1178,'Registre de reserves'!$T$2:$T$1178,"SI",'Registre de reserves'!$I$2:$I$1178,'2020'!$A97,'Registre de reserves'!$B$2:$B$1178,'2020'!V$2,Tabla1[ANY],'2020'!$Z$76)</f>
        <v>0</v>
      </c>
      <c r="W97" s="21">
        <f t="shared" ref="W97:W104" si="108">IF(V$96=0,0,V97/V$96)</f>
        <v>0</v>
      </c>
      <c r="X97" s="23">
        <f>SUMIFS('Registre de reserves'!$W$2:$W$1178,'Registre de reserves'!$T$2:$T$1178,"SI",'Registre de reserves'!$I$2:$I$1178,'2020'!$A97,'Registre de reserves'!$B$2:$B$1178,'2020'!X$2,Tabla1[ANY],'2020'!$Z$76)</f>
        <v>0</v>
      </c>
      <c r="Y97" s="21">
        <f t="shared" ref="Y97:Y104" si="109">IF(X$96=0,0,X97/X$96)</f>
        <v>0</v>
      </c>
      <c r="Z97" s="20">
        <f t="shared" si="99"/>
        <v>0</v>
      </c>
      <c r="AA97" s="21">
        <f t="shared" ref="AA97:AA104" si="110">IF(Z$96=0,0,Z97/Z$96)</f>
        <v>0</v>
      </c>
    </row>
    <row r="98" spans="1:27" hidden="1" outlineLevel="1" x14ac:dyDescent="0.2">
      <c r="A98" s="8" t="s">
        <v>68</v>
      </c>
      <c r="B98" s="23">
        <f>SUMIFS('Registre de reserves'!$W$2:$W$1178,'Registre de reserves'!$T$2:$T$1178,"SI",'Registre de reserves'!$I$2:$I$1178,'2020'!$A98,'Registre de reserves'!$B$2:$B$1178,'2020'!B$2,Tabla1[ANY],'2020'!$Z$76)</f>
        <v>0</v>
      </c>
      <c r="C98" s="21">
        <f t="shared" ref="C98:E104" si="111">IF(B$96=0,0,B98/B$96)</f>
        <v>0</v>
      </c>
      <c r="D98" s="23">
        <f>SUMIFS('Registre de reserves'!$W$2:$W$1178,'Registre de reserves'!$T$2:$T$1178,"SI",'Registre de reserves'!$I$2:$I$1178,'2020'!$A98,'Registre de reserves'!$B$2:$B$1178,'2020'!D$2,Tabla1[ANY],'2020'!$Z$76)</f>
        <v>0</v>
      </c>
      <c r="E98" s="21">
        <f t="shared" si="111"/>
        <v>0</v>
      </c>
      <c r="F98" s="23">
        <f>SUMIFS('Registre de reserves'!$W$2:$W$1178,'Registre de reserves'!$T$2:$T$1178,"SI",'Registre de reserves'!$I$2:$I$1178,'2020'!$A98,'Registre de reserves'!$B$2:$B$1178,'2020'!F$2,Tabla1[ANY],'2020'!$Z$76)</f>
        <v>0</v>
      </c>
      <c r="G98" s="21">
        <f t="shared" si="100"/>
        <v>0</v>
      </c>
      <c r="H98" s="23">
        <f>SUMIFS('Registre de reserves'!$W$2:$W$1178,'Registre de reserves'!$T$2:$T$1178,"SI",'Registre de reserves'!$I$2:$I$1178,'2020'!$A98,'Registre de reserves'!$B$2:$B$1178,'2020'!H$2,Tabla1[ANY],'2020'!$Z$76)</f>
        <v>0</v>
      </c>
      <c r="I98" s="21">
        <f t="shared" si="101"/>
        <v>0</v>
      </c>
      <c r="J98" s="23">
        <f>SUMIFS('Registre de reserves'!$W$2:$W$1178,'Registre de reserves'!$T$2:$T$1178,"SI",'Registre de reserves'!$I$2:$I$1178,'2020'!$A98,'Registre de reserves'!$B$2:$B$1178,'2020'!J$2,Tabla1[ANY],'2020'!$Z$76)</f>
        <v>0</v>
      </c>
      <c r="K98" s="21">
        <f t="shared" si="102"/>
        <v>0</v>
      </c>
      <c r="L98" s="23">
        <f>SUMIFS('Registre de reserves'!$W$2:$W$1178,'Registre de reserves'!$T$2:$T$1178,"SI",'Registre de reserves'!$I$2:$I$1178,'2020'!$A98,'Registre de reserves'!$B$2:$B$1178,'2020'!L$2,Tabla1[ANY],'2020'!$Z$76)</f>
        <v>0</v>
      </c>
      <c r="M98" s="21">
        <f t="shared" si="103"/>
        <v>0</v>
      </c>
      <c r="N98" s="23">
        <f>SUMIFS('Registre de reserves'!$W$2:$W$1178,'Registre de reserves'!$T$2:$T$1178,"SI",'Registre de reserves'!$I$2:$I$1178,'2020'!$A98,'Registre de reserves'!$B$2:$B$1178,'2020'!N$2,Tabla1[ANY],'2020'!$Z$76)</f>
        <v>0</v>
      </c>
      <c r="O98" s="21">
        <f t="shared" si="104"/>
        <v>0</v>
      </c>
      <c r="P98" s="23">
        <f>SUMIFS('Registre de reserves'!$W$2:$W$1178,'Registre de reserves'!$T$2:$T$1178,"SI",'Registre de reserves'!$I$2:$I$1178,'2020'!$A98,'Registre de reserves'!$B$2:$B$1178,'2020'!P$2,Tabla1[ANY],'2020'!$Z$76)</f>
        <v>0</v>
      </c>
      <c r="Q98" s="21">
        <f t="shared" si="105"/>
        <v>0</v>
      </c>
      <c r="R98" s="23">
        <f>SUMIFS('Registre de reserves'!$W$2:$W$1178,'Registre de reserves'!$T$2:$T$1178,"SI",'Registre de reserves'!$I$2:$I$1178,'2020'!$A98,'Registre de reserves'!$B$2:$B$1178,'2020'!R$2,Tabla1[ANY],'2020'!$Z$76)</f>
        <v>0</v>
      </c>
      <c r="S98" s="21">
        <f t="shared" si="106"/>
        <v>0</v>
      </c>
      <c r="T98" s="23">
        <f>SUMIFS('Registre de reserves'!$W$2:$W$1178,'Registre de reserves'!$T$2:$T$1178,"SI",'Registre de reserves'!$I$2:$I$1178,'2020'!$A98,'Registre de reserves'!$B$2:$B$1178,'2020'!T$2,Tabla1[ANY],'2020'!$Z$76)</f>
        <v>0</v>
      </c>
      <c r="U98" s="21">
        <f t="shared" si="107"/>
        <v>0</v>
      </c>
      <c r="V98" s="23">
        <f>SUMIFS('Registre de reserves'!$W$2:$W$1178,'Registre de reserves'!$T$2:$T$1178,"SI",'Registre de reserves'!$I$2:$I$1178,'2020'!$A98,'Registre de reserves'!$B$2:$B$1178,'2020'!V$2,Tabla1[ANY],'2020'!$Z$76)</f>
        <v>0</v>
      </c>
      <c r="W98" s="21">
        <f t="shared" si="108"/>
        <v>0</v>
      </c>
      <c r="X98" s="23">
        <f>SUMIFS('Registre de reserves'!$W$2:$W$1178,'Registre de reserves'!$T$2:$T$1178,"SI",'Registre de reserves'!$I$2:$I$1178,'2020'!$A98,'Registre de reserves'!$B$2:$B$1178,'2020'!X$2,Tabla1[ANY],'2020'!$Z$76)</f>
        <v>0</v>
      </c>
      <c r="Y98" s="21">
        <f t="shared" si="109"/>
        <v>0</v>
      </c>
      <c r="Z98" s="20">
        <f t="shared" si="99"/>
        <v>0</v>
      </c>
      <c r="AA98" s="21">
        <f t="shared" si="110"/>
        <v>0</v>
      </c>
    </row>
    <row r="99" spans="1:27" hidden="1" outlineLevel="1" x14ac:dyDescent="0.2">
      <c r="A99" s="8" t="s">
        <v>4</v>
      </c>
      <c r="B99" s="23">
        <f>SUMIFS('Registre de reserves'!$W$2:$W$1178,'Registre de reserves'!$T$2:$T$1178,"SI",'Registre de reserves'!$I$2:$I$1178,'2020'!$A99,'Registre de reserves'!$B$2:$B$1178,'2020'!B$2,Tabla1[ANY],'2020'!$Z$76)</f>
        <v>0</v>
      </c>
      <c r="C99" s="21">
        <f>IF(B$96=0,0,B99/B$96)</f>
        <v>0</v>
      </c>
      <c r="D99" s="23">
        <f>SUMIFS('Registre de reserves'!$W$2:$W$1178,'Registre de reserves'!$T$2:$T$1178,"SI",'Registre de reserves'!$I$2:$I$1178,'2020'!$A99,'Registre de reserves'!$B$2:$B$1178,'2020'!D$2,Tabla1[ANY],'2020'!$Z$76)</f>
        <v>0</v>
      </c>
      <c r="E99" s="21">
        <f>IF(D$96=0,0,D99/D$96)</f>
        <v>0</v>
      </c>
      <c r="F99" s="23">
        <f>SUMIFS('Registre de reserves'!$W$2:$W$1178,'Registre de reserves'!$T$2:$T$1178,"SI",'Registre de reserves'!$I$2:$I$1178,'2020'!$A99,'Registre de reserves'!$B$2:$B$1178,'2020'!F$2,Tabla1[ANY],'2020'!$Z$76)</f>
        <v>0</v>
      </c>
      <c r="G99" s="21">
        <f t="shared" si="100"/>
        <v>0</v>
      </c>
      <c r="H99" s="23">
        <f>SUMIFS('Registre de reserves'!$W$2:$W$1178,'Registre de reserves'!$T$2:$T$1178,"SI",'Registre de reserves'!$I$2:$I$1178,'2020'!$A99,'Registre de reserves'!$B$2:$B$1178,'2020'!H$2,Tabla1[ANY],'2020'!$Z$76)</f>
        <v>0</v>
      </c>
      <c r="I99" s="21">
        <f t="shared" si="101"/>
        <v>0</v>
      </c>
      <c r="J99" s="23">
        <f>SUMIFS('Registre de reserves'!$W$2:$W$1178,'Registre de reserves'!$T$2:$T$1178,"SI",'Registre de reserves'!$I$2:$I$1178,'2020'!$A99,'Registre de reserves'!$B$2:$B$1178,'2020'!J$2,Tabla1[ANY],'2020'!$Z$76)</f>
        <v>0</v>
      </c>
      <c r="K99" s="21">
        <f t="shared" si="102"/>
        <v>0</v>
      </c>
      <c r="L99" s="23">
        <f>SUMIFS('Registre de reserves'!$W$2:$W$1178,'Registre de reserves'!$T$2:$T$1178,"SI",'Registre de reserves'!$I$2:$I$1178,'2020'!$A99,'Registre de reserves'!$B$2:$B$1178,'2020'!L$2,Tabla1[ANY],'2020'!$Z$76)</f>
        <v>0</v>
      </c>
      <c r="M99" s="21">
        <f t="shared" si="103"/>
        <v>0</v>
      </c>
      <c r="N99" s="23">
        <f>SUMIFS('Registre de reserves'!$W$2:$W$1178,'Registre de reserves'!$T$2:$T$1178,"SI",'Registre de reserves'!$I$2:$I$1178,'2020'!$A99,'Registre de reserves'!$B$2:$B$1178,'2020'!N$2,Tabla1[ANY],'2020'!$Z$76)</f>
        <v>0</v>
      </c>
      <c r="O99" s="21">
        <f t="shared" si="104"/>
        <v>0</v>
      </c>
      <c r="P99" s="23">
        <f>SUMIFS('Registre de reserves'!$W$2:$W$1178,'Registre de reserves'!$T$2:$T$1178,"SI",'Registre de reserves'!$I$2:$I$1178,'2020'!$A99,'Registre de reserves'!$B$2:$B$1178,'2020'!P$2,Tabla1[ANY],'2020'!$Z$76)</f>
        <v>0</v>
      </c>
      <c r="Q99" s="21">
        <f t="shared" si="105"/>
        <v>0</v>
      </c>
      <c r="R99" s="23">
        <f>SUMIFS('Registre de reserves'!$W$2:$W$1178,'Registre de reserves'!$T$2:$T$1178,"SI",'Registre de reserves'!$I$2:$I$1178,'2020'!$A99,'Registre de reserves'!$B$2:$B$1178,'2020'!R$2,Tabla1[ANY],'2020'!$Z$76)</f>
        <v>0</v>
      </c>
      <c r="S99" s="21">
        <f t="shared" si="106"/>
        <v>0</v>
      </c>
      <c r="T99" s="23">
        <f>SUMIFS('Registre de reserves'!$W$2:$W$1178,'Registre de reserves'!$T$2:$T$1178,"SI",'Registre de reserves'!$I$2:$I$1178,'2020'!$A99,'Registre de reserves'!$B$2:$B$1178,'2020'!T$2,Tabla1[ANY],'2020'!$Z$76)</f>
        <v>0</v>
      </c>
      <c r="U99" s="21">
        <f t="shared" si="107"/>
        <v>0</v>
      </c>
      <c r="V99" s="23">
        <f>SUMIFS('Registre de reserves'!$W$2:$W$1178,'Registre de reserves'!$T$2:$T$1178,"SI",'Registre de reserves'!$I$2:$I$1178,'2020'!$A99,'Registre de reserves'!$B$2:$B$1178,'2020'!V$2,Tabla1[ANY],'2020'!$Z$76)</f>
        <v>0</v>
      </c>
      <c r="W99" s="21">
        <f t="shared" si="108"/>
        <v>0</v>
      </c>
      <c r="X99" s="23">
        <f>SUMIFS('Registre de reserves'!$W$2:$W$1178,'Registre de reserves'!$T$2:$T$1178,"SI",'Registre de reserves'!$I$2:$I$1178,'2020'!$A99,'Registre de reserves'!$B$2:$B$1178,'2020'!X$2,Tabla1[ANY],'2020'!$Z$76)</f>
        <v>0</v>
      </c>
      <c r="Y99" s="21">
        <f t="shared" si="109"/>
        <v>0</v>
      </c>
      <c r="Z99" s="20">
        <f t="shared" si="99"/>
        <v>0</v>
      </c>
      <c r="AA99" s="21">
        <f t="shared" si="110"/>
        <v>0</v>
      </c>
    </row>
    <row r="100" spans="1:27" hidden="1" outlineLevel="1" x14ac:dyDescent="0.2">
      <c r="A100" s="8" t="s">
        <v>71</v>
      </c>
      <c r="B100" s="23">
        <f>SUMIFS('Registre de reserves'!$W$2:$W$1178,'Registre de reserves'!$T$2:$T$1178,"SI",'Registre de reserves'!$I$2:$I$1178,'2020'!$A100,'Registre de reserves'!$B$2:$B$1178,'2020'!B$2,Tabla1[ANY],'2020'!$Z$76)</f>
        <v>0</v>
      </c>
      <c r="C100" s="21">
        <f t="shared" si="111"/>
        <v>0</v>
      </c>
      <c r="D100" s="23">
        <f>SUMIFS('Registre de reserves'!$W$2:$W$1178,'Registre de reserves'!$T$2:$T$1178,"SI",'Registre de reserves'!$I$2:$I$1178,'2020'!$A100,'Registre de reserves'!$B$2:$B$1178,'2020'!D$2,Tabla1[ANY],'2020'!$Z$76)</f>
        <v>0</v>
      </c>
      <c r="E100" s="21">
        <f t="shared" si="111"/>
        <v>0</v>
      </c>
      <c r="F100" s="23">
        <f>SUMIFS('Registre de reserves'!$W$2:$W$1178,'Registre de reserves'!$T$2:$T$1178,"SI",'Registre de reserves'!$I$2:$I$1178,'2020'!$A100,'Registre de reserves'!$B$2:$B$1178,'2020'!F$2,Tabla1[ANY],'2020'!$Z$76)</f>
        <v>0</v>
      </c>
      <c r="G100" s="21">
        <f t="shared" si="100"/>
        <v>0</v>
      </c>
      <c r="H100" s="23">
        <f>SUMIFS('Registre de reserves'!$W$2:$W$1178,'Registre de reserves'!$T$2:$T$1178,"SI",'Registre de reserves'!$I$2:$I$1178,'2020'!$A100,'Registre de reserves'!$B$2:$B$1178,'2020'!H$2,Tabla1[ANY],'2020'!$Z$76)</f>
        <v>0</v>
      </c>
      <c r="I100" s="21">
        <f t="shared" si="101"/>
        <v>0</v>
      </c>
      <c r="J100" s="23">
        <f>SUMIFS('Registre de reserves'!$W$2:$W$1178,'Registre de reserves'!$T$2:$T$1178,"SI",'Registre de reserves'!$I$2:$I$1178,'2020'!$A100,'Registre de reserves'!$B$2:$B$1178,'2020'!J$2,Tabla1[ANY],'2020'!$Z$76)</f>
        <v>0</v>
      </c>
      <c r="K100" s="21">
        <f t="shared" si="102"/>
        <v>0</v>
      </c>
      <c r="L100" s="23">
        <f>SUMIFS('Registre de reserves'!$W$2:$W$1178,'Registre de reserves'!$T$2:$T$1178,"SI",'Registre de reserves'!$I$2:$I$1178,'2020'!$A100,'Registre de reserves'!$B$2:$B$1178,'2020'!L$2,Tabla1[ANY],'2020'!$Z$76)</f>
        <v>0</v>
      </c>
      <c r="M100" s="21">
        <f t="shared" si="103"/>
        <v>0</v>
      </c>
      <c r="N100" s="23">
        <f>SUMIFS('Registre de reserves'!$W$2:$W$1178,'Registre de reserves'!$T$2:$T$1178,"SI",'Registre de reserves'!$I$2:$I$1178,'2020'!$A100,'Registre de reserves'!$B$2:$B$1178,'2020'!N$2,Tabla1[ANY],'2020'!$Z$76)</f>
        <v>0</v>
      </c>
      <c r="O100" s="21">
        <f t="shared" si="104"/>
        <v>0</v>
      </c>
      <c r="P100" s="23">
        <f>SUMIFS('Registre de reserves'!$W$2:$W$1178,'Registre de reserves'!$T$2:$T$1178,"SI",'Registre de reserves'!$I$2:$I$1178,'2020'!$A100,'Registre de reserves'!$B$2:$B$1178,'2020'!P$2,Tabla1[ANY],'2020'!$Z$76)</f>
        <v>0</v>
      </c>
      <c r="Q100" s="21">
        <f t="shared" si="105"/>
        <v>0</v>
      </c>
      <c r="R100" s="23">
        <f>SUMIFS('Registre de reserves'!$W$2:$W$1178,'Registre de reserves'!$T$2:$T$1178,"SI",'Registre de reserves'!$I$2:$I$1178,'2020'!$A100,'Registre de reserves'!$B$2:$B$1178,'2020'!R$2,Tabla1[ANY],'2020'!$Z$76)</f>
        <v>0</v>
      </c>
      <c r="S100" s="21">
        <f t="shared" si="106"/>
        <v>0</v>
      </c>
      <c r="T100" s="23">
        <f>SUMIFS('Registre de reserves'!$W$2:$W$1178,'Registre de reserves'!$T$2:$T$1178,"SI",'Registre de reserves'!$I$2:$I$1178,'2020'!$A100,'Registre de reserves'!$B$2:$B$1178,'2020'!T$2,Tabla1[ANY],'2020'!$Z$76)</f>
        <v>0</v>
      </c>
      <c r="U100" s="21">
        <f t="shared" si="107"/>
        <v>0</v>
      </c>
      <c r="V100" s="23">
        <f>SUMIFS('Registre de reserves'!$W$2:$W$1178,'Registre de reserves'!$T$2:$T$1178,"SI",'Registre de reserves'!$I$2:$I$1178,'2020'!$A100,'Registre de reserves'!$B$2:$B$1178,'2020'!V$2,Tabla1[ANY],'2020'!$Z$76)</f>
        <v>0</v>
      </c>
      <c r="W100" s="21">
        <f t="shared" si="108"/>
        <v>0</v>
      </c>
      <c r="X100" s="23">
        <f>SUMIFS('Registre de reserves'!$W$2:$W$1178,'Registre de reserves'!$T$2:$T$1178,"SI",'Registre de reserves'!$I$2:$I$1178,'2020'!$A100,'Registre de reserves'!$B$2:$B$1178,'2020'!X$2,Tabla1[ANY],'2020'!$Z$76)</f>
        <v>0</v>
      </c>
      <c r="Y100" s="21">
        <f t="shared" si="109"/>
        <v>0</v>
      </c>
      <c r="Z100" s="20">
        <f t="shared" si="99"/>
        <v>0</v>
      </c>
      <c r="AA100" s="21">
        <f t="shared" si="110"/>
        <v>0</v>
      </c>
    </row>
    <row r="101" spans="1:27" hidden="1" outlineLevel="1" x14ac:dyDescent="0.2">
      <c r="A101" s="8" t="s">
        <v>72</v>
      </c>
      <c r="B101" s="23">
        <f>SUMIFS('Registre de reserves'!$W$2:$W$1178,'Registre de reserves'!$T$2:$T$1178,"SI",'Registre de reserves'!$I$2:$I$1178,'2020'!$A101,'Registre de reserves'!$B$2:$B$1178,'2020'!B$2,Tabla1[ANY],'2020'!$Z$76)</f>
        <v>0</v>
      </c>
      <c r="C101" s="21">
        <f t="shared" si="111"/>
        <v>0</v>
      </c>
      <c r="D101" s="23">
        <f>SUMIFS('Registre de reserves'!$W$2:$W$1178,'Registre de reserves'!$T$2:$T$1178,"SI",'Registre de reserves'!$I$2:$I$1178,'2020'!$A101,'Registre de reserves'!$B$2:$B$1178,'2020'!D$2,Tabla1[ANY],'2020'!$Z$76)</f>
        <v>0</v>
      </c>
      <c r="E101" s="21">
        <f t="shared" si="111"/>
        <v>0</v>
      </c>
      <c r="F101" s="23">
        <f>SUMIFS('Registre de reserves'!$W$2:$W$1178,'Registre de reserves'!$T$2:$T$1178,"SI",'Registre de reserves'!$I$2:$I$1178,'2020'!$A101,'Registre de reserves'!$B$2:$B$1178,'2020'!F$2,Tabla1[ANY],'2020'!$Z$76)</f>
        <v>0</v>
      </c>
      <c r="G101" s="21">
        <f t="shared" si="100"/>
        <v>0</v>
      </c>
      <c r="H101" s="23">
        <f>SUMIFS('Registre de reserves'!$W$2:$W$1178,'Registre de reserves'!$T$2:$T$1178,"SI",'Registre de reserves'!$I$2:$I$1178,'2020'!$A101,'Registre de reserves'!$B$2:$B$1178,'2020'!H$2,Tabla1[ANY],'2020'!$Z$76)</f>
        <v>0</v>
      </c>
      <c r="I101" s="21">
        <f t="shared" si="101"/>
        <v>0</v>
      </c>
      <c r="J101" s="23">
        <f>SUMIFS('Registre de reserves'!$W$2:$W$1178,'Registre de reserves'!$T$2:$T$1178,"SI",'Registre de reserves'!$I$2:$I$1178,'2020'!$A101,'Registre de reserves'!$B$2:$B$1178,'2020'!J$2,Tabla1[ANY],'2020'!$Z$76)</f>
        <v>0</v>
      </c>
      <c r="K101" s="21">
        <f t="shared" si="102"/>
        <v>0</v>
      </c>
      <c r="L101" s="23">
        <f>SUMIFS('Registre de reserves'!$W$2:$W$1178,'Registre de reserves'!$T$2:$T$1178,"SI",'Registre de reserves'!$I$2:$I$1178,'2020'!$A101,'Registre de reserves'!$B$2:$B$1178,'2020'!L$2,Tabla1[ANY],'2020'!$Z$76)</f>
        <v>0</v>
      </c>
      <c r="M101" s="21">
        <f t="shared" si="103"/>
        <v>0</v>
      </c>
      <c r="N101" s="23">
        <f>SUMIFS('Registre de reserves'!$W$2:$W$1178,'Registre de reserves'!$T$2:$T$1178,"SI",'Registre de reserves'!$I$2:$I$1178,'2020'!$A101,'Registre de reserves'!$B$2:$B$1178,'2020'!N$2,Tabla1[ANY],'2020'!$Z$76)</f>
        <v>0</v>
      </c>
      <c r="O101" s="21">
        <f t="shared" si="104"/>
        <v>0</v>
      </c>
      <c r="P101" s="23">
        <f>SUMIFS('Registre de reserves'!$W$2:$W$1178,'Registre de reserves'!$T$2:$T$1178,"SI",'Registre de reserves'!$I$2:$I$1178,'2020'!$A101,'Registre de reserves'!$B$2:$B$1178,'2020'!P$2,Tabla1[ANY],'2020'!$Z$76)</f>
        <v>0</v>
      </c>
      <c r="Q101" s="21">
        <f t="shared" si="105"/>
        <v>0</v>
      </c>
      <c r="R101" s="23">
        <f>SUMIFS('Registre de reserves'!$W$2:$W$1178,'Registre de reserves'!$T$2:$T$1178,"SI",'Registre de reserves'!$I$2:$I$1178,'2020'!$A101,'Registre de reserves'!$B$2:$B$1178,'2020'!R$2,Tabla1[ANY],'2020'!$Z$76)</f>
        <v>0</v>
      </c>
      <c r="S101" s="21">
        <f t="shared" si="106"/>
        <v>0</v>
      </c>
      <c r="T101" s="23">
        <f>SUMIFS('Registre de reserves'!$W$2:$W$1178,'Registre de reserves'!$T$2:$T$1178,"SI",'Registre de reserves'!$I$2:$I$1178,'2020'!$A101,'Registre de reserves'!$B$2:$B$1178,'2020'!T$2,Tabla1[ANY],'2020'!$Z$76)</f>
        <v>0</v>
      </c>
      <c r="U101" s="21">
        <f t="shared" si="107"/>
        <v>0</v>
      </c>
      <c r="V101" s="23">
        <f>SUMIFS('Registre de reserves'!$W$2:$W$1178,'Registre de reserves'!$T$2:$T$1178,"SI",'Registre de reserves'!$I$2:$I$1178,'2020'!$A101,'Registre de reserves'!$B$2:$B$1178,'2020'!V$2,Tabla1[ANY],'2020'!$Z$76)</f>
        <v>0</v>
      </c>
      <c r="W101" s="21">
        <f t="shared" si="108"/>
        <v>0</v>
      </c>
      <c r="X101" s="23">
        <f>SUMIFS('Registre de reserves'!$W$2:$W$1178,'Registre de reserves'!$T$2:$T$1178,"SI",'Registre de reserves'!$I$2:$I$1178,'2020'!$A101,'Registre de reserves'!$B$2:$B$1178,'2020'!X$2,Tabla1[ANY],'2020'!$Z$76)</f>
        <v>0</v>
      </c>
      <c r="Y101" s="21">
        <f t="shared" si="109"/>
        <v>0</v>
      </c>
      <c r="Z101" s="20">
        <f t="shared" si="99"/>
        <v>0</v>
      </c>
      <c r="AA101" s="21">
        <f t="shared" si="110"/>
        <v>0</v>
      </c>
    </row>
    <row r="102" spans="1:27" hidden="1" outlineLevel="1" x14ac:dyDescent="0.2">
      <c r="A102" s="8" t="s">
        <v>69</v>
      </c>
      <c r="B102" s="23">
        <f>SUMIFS('Registre de reserves'!$W$2:$W$1178,'Registre de reserves'!$T$2:$T$1178,"SI",'Registre de reserves'!$I$2:$I$1178,'2020'!$A102,'Registre de reserves'!$B$2:$B$1178,'2020'!B$2,Tabla1[ANY],'2020'!$Z$76)</f>
        <v>0</v>
      </c>
      <c r="C102" s="21">
        <f t="shared" si="111"/>
        <v>0</v>
      </c>
      <c r="D102" s="23">
        <f>SUMIFS('Registre de reserves'!$W$2:$W$1178,'Registre de reserves'!$T$2:$T$1178,"SI",'Registre de reserves'!$I$2:$I$1178,'2020'!$A102,'Registre de reserves'!$B$2:$B$1178,'2020'!D$2,Tabla1[ANY],'2020'!$Z$76)</f>
        <v>0</v>
      </c>
      <c r="E102" s="21">
        <f t="shared" si="111"/>
        <v>0</v>
      </c>
      <c r="F102" s="23">
        <f>SUMIFS('Registre de reserves'!$W$2:$W$1178,'Registre de reserves'!$T$2:$T$1178,"SI",'Registre de reserves'!$I$2:$I$1178,'2020'!$A102,'Registre de reserves'!$B$2:$B$1178,'2020'!F$2,Tabla1[ANY],'2020'!$Z$76)</f>
        <v>0</v>
      </c>
      <c r="G102" s="21">
        <f t="shared" si="100"/>
        <v>0</v>
      </c>
      <c r="H102" s="23">
        <f>SUMIFS('Registre de reserves'!$W$2:$W$1178,'Registre de reserves'!$T$2:$T$1178,"SI",'Registre de reserves'!$I$2:$I$1178,'2020'!$A102,'Registre de reserves'!$B$2:$B$1178,'2020'!H$2,Tabla1[ANY],'2020'!$Z$76)</f>
        <v>0</v>
      </c>
      <c r="I102" s="21">
        <f t="shared" si="101"/>
        <v>0</v>
      </c>
      <c r="J102" s="23">
        <f>SUMIFS('Registre de reserves'!$W$2:$W$1178,'Registre de reserves'!$T$2:$T$1178,"SI",'Registre de reserves'!$I$2:$I$1178,'2020'!$A102,'Registre de reserves'!$B$2:$B$1178,'2020'!J$2,Tabla1[ANY],'2020'!$Z$76)</f>
        <v>0</v>
      </c>
      <c r="K102" s="21">
        <f t="shared" si="102"/>
        <v>0</v>
      </c>
      <c r="L102" s="23">
        <f>SUMIFS('Registre de reserves'!$W$2:$W$1178,'Registre de reserves'!$T$2:$T$1178,"SI",'Registre de reserves'!$I$2:$I$1178,'2020'!$A102,'Registre de reserves'!$B$2:$B$1178,'2020'!L$2,Tabla1[ANY],'2020'!$Z$76)</f>
        <v>0</v>
      </c>
      <c r="M102" s="21">
        <f t="shared" si="103"/>
        <v>0</v>
      </c>
      <c r="N102" s="23">
        <f>SUMIFS('Registre de reserves'!$W$2:$W$1178,'Registre de reserves'!$T$2:$T$1178,"SI",'Registre de reserves'!$I$2:$I$1178,'2020'!$A102,'Registre de reserves'!$B$2:$B$1178,'2020'!N$2,Tabla1[ANY],'2020'!$Z$76)</f>
        <v>0</v>
      </c>
      <c r="O102" s="21">
        <f t="shared" si="104"/>
        <v>0</v>
      </c>
      <c r="P102" s="23">
        <f>SUMIFS('Registre de reserves'!$W$2:$W$1178,'Registre de reserves'!$T$2:$T$1178,"SI",'Registre de reserves'!$I$2:$I$1178,'2020'!$A102,'Registre de reserves'!$B$2:$B$1178,'2020'!P$2,Tabla1[ANY],'2020'!$Z$76)</f>
        <v>0</v>
      </c>
      <c r="Q102" s="21">
        <f t="shared" si="105"/>
        <v>0</v>
      </c>
      <c r="R102" s="23">
        <f>SUMIFS('Registre de reserves'!$W$2:$W$1178,'Registre de reserves'!$T$2:$T$1178,"SI",'Registre de reserves'!$I$2:$I$1178,'2020'!$A102,'Registre de reserves'!$B$2:$B$1178,'2020'!R$2,Tabla1[ANY],'2020'!$Z$76)</f>
        <v>0</v>
      </c>
      <c r="S102" s="21">
        <f t="shared" si="106"/>
        <v>0</v>
      </c>
      <c r="T102" s="23">
        <f>SUMIFS('Registre de reserves'!$W$2:$W$1178,'Registre de reserves'!$T$2:$T$1178,"SI",'Registre de reserves'!$I$2:$I$1178,'2020'!$A102,'Registre de reserves'!$B$2:$B$1178,'2020'!T$2,Tabla1[ANY],'2020'!$Z$76)</f>
        <v>0</v>
      </c>
      <c r="U102" s="21">
        <f t="shared" si="107"/>
        <v>0</v>
      </c>
      <c r="V102" s="23">
        <f>SUMIFS('Registre de reserves'!$W$2:$W$1178,'Registre de reserves'!$T$2:$T$1178,"SI",'Registre de reserves'!$I$2:$I$1178,'2020'!$A102,'Registre de reserves'!$B$2:$B$1178,'2020'!V$2,Tabla1[ANY],'2020'!$Z$76)</f>
        <v>0</v>
      </c>
      <c r="W102" s="21">
        <f t="shared" si="108"/>
        <v>0</v>
      </c>
      <c r="X102" s="23">
        <f>SUMIFS('Registre de reserves'!$W$2:$W$1178,'Registre de reserves'!$T$2:$T$1178,"SI",'Registre de reserves'!$I$2:$I$1178,'2020'!$A102,'Registre de reserves'!$B$2:$B$1178,'2020'!X$2,Tabla1[ANY],'2020'!$Z$76)</f>
        <v>0</v>
      </c>
      <c r="Y102" s="21">
        <f t="shared" si="109"/>
        <v>0</v>
      </c>
      <c r="Z102" s="20">
        <f t="shared" si="99"/>
        <v>0</v>
      </c>
      <c r="AA102" s="21">
        <f t="shared" si="110"/>
        <v>0</v>
      </c>
    </row>
    <row r="103" spans="1:27" hidden="1" outlineLevel="1" x14ac:dyDescent="0.2">
      <c r="A103" s="8" t="s">
        <v>70</v>
      </c>
      <c r="B103" s="23">
        <f>SUMIFS('Registre de reserves'!$W$2:$W$1178,'Registre de reserves'!$T$2:$T$1178,"SI",'Registre de reserves'!$I$2:$I$1178,'2020'!$A103,'Registre de reserves'!$B$2:$B$1178,'2020'!B$2,Tabla1[ANY],'2020'!$Z$76)</f>
        <v>0</v>
      </c>
      <c r="C103" s="21">
        <f t="shared" si="111"/>
        <v>0</v>
      </c>
      <c r="D103" s="23">
        <f>SUMIFS('Registre de reserves'!$W$2:$W$1178,'Registre de reserves'!$T$2:$T$1178,"SI",'Registre de reserves'!$I$2:$I$1178,'2020'!$A103,'Registre de reserves'!$B$2:$B$1178,'2020'!D$2,Tabla1[ANY],'2020'!$Z$76)</f>
        <v>0</v>
      </c>
      <c r="E103" s="21">
        <f t="shared" si="111"/>
        <v>0</v>
      </c>
      <c r="F103" s="23">
        <f>SUMIFS('Registre de reserves'!$W$2:$W$1178,'Registre de reserves'!$T$2:$T$1178,"SI",'Registre de reserves'!$I$2:$I$1178,'2020'!$A103,'Registre de reserves'!$B$2:$B$1178,'2020'!F$2,Tabla1[ANY],'2020'!$Z$76)</f>
        <v>0</v>
      </c>
      <c r="G103" s="21">
        <f t="shared" si="100"/>
        <v>0</v>
      </c>
      <c r="H103" s="23">
        <f>SUMIFS('Registre de reserves'!$W$2:$W$1178,'Registre de reserves'!$T$2:$T$1178,"SI",'Registre de reserves'!$I$2:$I$1178,'2020'!$A103,'Registre de reserves'!$B$2:$B$1178,'2020'!H$2,Tabla1[ANY],'2020'!$Z$76)</f>
        <v>0</v>
      </c>
      <c r="I103" s="21">
        <f t="shared" si="101"/>
        <v>0</v>
      </c>
      <c r="J103" s="23">
        <f>SUMIFS('Registre de reserves'!$W$2:$W$1178,'Registre de reserves'!$T$2:$T$1178,"SI",'Registre de reserves'!$I$2:$I$1178,'2020'!$A103,'Registre de reserves'!$B$2:$B$1178,'2020'!J$2,Tabla1[ANY],'2020'!$Z$76)</f>
        <v>0</v>
      </c>
      <c r="K103" s="21">
        <f t="shared" si="102"/>
        <v>0</v>
      </c>
      <c r="L103" s="23">
        <f>SUMIFS('Registre de reserves'!$W$2:$W$1178,'Registre de reserves'!$T$2:$T$1178,"SI",'Registre de reserves'!$I$2:$I$1178,'2020'!$A103,'Registre de reserves'!$B$2:$B$1178,'2020'!L$2,Tabla1[ANY],'2020'!$Z$76)</f>
        <v>0</v>
      </c>
      <c r="M103" s="21">
        <f t="shared" si="103"/>
        <v>0</v>
      </c>
      <c r="N103" s="23">
        <f>SUMIFS('Registre de reserves'!$W$2:$W$1178,'Registre de reserves'!$T$2:$T$1178,"SI",'Registre de reserves'!$I$2:$I$1178,'2020'!$A103,'Registre de reserves'!$B$2:$B$1178,'2020'!N$2,Tabla1[ANY],'2020'!$Z$76)</f>
        <v>0</v>
      </c>
      <c r="O103" s="21">
        <f t="shared" si="104"/>
        <v>0</v>
      </c>
      <c r="P103" s="23">
        <f>SUMIFS('Registre de reserves'!$W$2:$W$1178,'Registre de reserves'!$T$2:$T$1178,"SI",'Registre de reserves'!$I$2:$I$1178,'2020'!$A103,'Registre de reserves'!$B$2:$B$1178,'2020'!P$2,Tabla1[ANY],'2020'!$Z$76)</f>
        <v>0</v>
      </c>
      <c r="Q103" s="21">
        <f t="shared" si="105"/>
        <v>0</v>
      </c>
      <c r="R103" s="23">
        <f>SUMIFS('Registre de reserves'!$W$2:$W$1178,'Registre de reserves'!$T$2:$T$1178,"SI",'Registre de reserves'!$I$2:$I$1178,'2020'!$A103,'Registre de reserves'!$B$2:$B$1178,'2020'!R$2,Tabla1[ANY],'2020'!$Z$76)</f>
        <v>0</v>
      </c>
      <c r="S103" s="21">
        <f t="shared" si="106"/>
        <v>0</v>
      </c>
      <c r="T103" s="23">
        <f>SUMIFS('Registre de reserves'!$W$2:$W$1178,'Registre de reserves'!$T$2:$T$1178,"SI",'Registre de reserves'!$I$2:$I$1178,'2020'!$A103,'Registre de reserves'!$B$2:$B$1178,'2020'!T$2,Tabla1[ANY],'2020'!$Z$76)</f>
        <v>0</v>
      </c>
      <c r="U103" s="21">
        <f t="shared" si="107"/>
        <v>0</v>
      </c>
      <c r="V103" s="23">
        <f>SUMIFS('Registre de reserves'!$W$2:$W$1178,'Registre de reserves'!$T$2:$T$1178,"SI",'Registre de reserves'!$I$2:$I$1178,'2020'!$A103,'Registre de reserves'!$B$2:$B$1178,'2020'!V$2,Tabla1[ANY],'2020'!$Z$76)</f>
        <v>0</v>
      </c>
      <c r="W103" s="21">
        <f t="shared" si="108"/>
        <v>0</v>
      </c>
      <c r="X103" s="23">
        <f>SUMIFS('Registre de reserves'!$W$2:$W$1178,'Registre de reserves'!$T$2:$T$1178,"SI",'Registre de reserves'!$I$2:$I$1178,'2020'!$A103,'Registre de reserves'!$B$2:$B$1178,'2020'!X$2,Tabla1[ANY],'2020'!$Z$76)</f>
        <v>0</v>
      </c>
      <c r="Y103" s="21">
        <f t="shared" si="109"/>
        <v>0</v>
      </c>
      <c r="Z103" s="20">
        <f t="shared" si="99"/>
        <v>0</v>
      </c>
      <c r="AA103" s="21">
        <f t="shared" si="110"/>
        <v>0</v>
      </c>
    </row>
    <row r="104" spans="1:27" hidden="1" outlineLevel="1" x14ac:dyDescent="0.2">
      <c r="A104" s="8" t="s">
        <v>73</v>
      </c>
      <c r="B104" s="23">
        <f>SUMIFS('Registre de reserves'!$W$2:$W$1178,'Registre de reserves'!$T$2:$T$1178,"SI",'Registre de reserves'!$I$2:$I$1178,'2020'!$A104,'Registre de reserves'!$B$2:$B$1178,'2020'!B$2,Tabla1[ANY],'2020'!$Z$76)</f>
        <v>0</v>
      </c>
      <c r="C104" s="21">
        <f t="shared" si="111"/>
        <v>0</v>
      </c>
      <c r="D104" s="23">
        <f>SUMIFS('Registre de reserves'!$W$2:$W$1178,'Registre de reserves'!$T$2:$T$1178,"SI",'Registre de reserves'!$I$2:$I$1178,'2020'!$A104,'Registre de reserves'!$B$2:$B$1178,'2020'!D$2,Tabla1[ANY],'2020'!$Z$76)</f>
        <v>0</v>
      </c>
      <c r="E104" s="21">
        <f t="shared" si="111"/>
        <v>0</v>
      </c>
      <c r="F104" s="23">
        <f>SUMIFS('Registre de reserves'!$W$2:$W$1178,'Registre de reserves'!$T$2:$T$1178,"SI",'Registre de reserves'!$I$2:$I$1178,'2020'!$A104,'Registre de reserves'!$B$2:$B$1178,'2020'!F$2,Tabla1[ANY],'2020'!$Z$76)</f>
        <v>0</v>
      </c>
      <c r="G104" s="21">
        <f t="shared" si="100"/>
        <v>0</v>
      </c>
      <c r="H104" s="23">
        <f>SUMIFS('Registre de reserves'!$W$2:$W$1178,'Registre de reserves'!$T$2:$T$1178,"SI",'Registre de reserves'!$I$2:$I$1178,'2020'!$A104,'Registre de reserves'!$B$2:$B$1178,'2020'!H$2,Tabla1[ANY],'2020'!$Z$76)</f>
        <v>0</v>
      </c>
      <c r="I104" s="21">
        <f t="shared" si="101"/>
        <v>0</v>
      </c>
      <c r="J104" s="23">
        <f>SUMIFS('Registre de reserves'!$W$2:$W$1178,'Registre de reserves'!$T$2:$T$1178,"SI",'Registre de reserves'!$I$2:$I$1178,'2020'!$A104,'Registre de reserves'!$B$2:$B$1178,'2020'!J$2,Tabla1[ANY],'2020'!$Z$76)</f>
        <v>0</v>
      </c>
      <c r="K104" s="21">
        <f t="shared" si="102"/>
        <v>0</v>
      </c>
      <c r="L104" s="23">
        <f>SUMIFS('Registre de reserves'!$W$2:$W$1178,'Registre de reserves'!$T$2:$T$1178,"SI",'Registre de reserves'!$I$2:$I$1178,'2020'!$A104,'Registre de reserves'!$B$2:$B$1178,'2020'!L$2,Tabla1[ANY],'2020'!$Z$76)</f>
        <v>0</v>
      </c>
      <c r="M104" s="21">
        <f t="shared" si="103"/>
        <v>0</v>
      </c>
      <c r="N104" s="23">
        <f>SUMIFS('Registre de reserves'!$W$2:$W$1178,'Registre de reserves'!$T$2:$T$1178,"SI",'Registre de reserves'!$I$2:$I$1178,'2020'!$A104,'Registre de reserves'!$B$2:$B$1178,'2020'!N$2,Tabla1[ANY],'2020'!$Z$76)</f>
        <v>0</v>
      </c>
      <c r="O104" s="21">
        <f t="shared" si="104"/>
        <v>0</v>
      </c>
      <c r="P104" s="23">
        <f>SUMIFS('Registre de reserves'!$W$2:$W$1178,'Registre de reserves'!$T$2:$T$1178,"SI",'Registre de reserves'!$I$2:$I$1178,'2020'!$A104,'Registre de reserves'!$B$2:$B$1178,'2020'!P$2,Tabla1[ANY],'2020'!$Z$76)</f>
        <v>0</v>
      </c>
      <c r="Q104" s="21">
        <f t="shared" si="105"/>
        <v>0</v>
      </c>
      <c r="R104" s="23">
        <f>SUMIFS('Registre de reserves'!$W$2:$W$1178,'Registre de reserves'!$T$2:$T$1178,"SI",'Registre de reserves'!$I$2:$I$1178,'2020'!$A104,'Registre de reserves'!$B$2:$B$1178,'2020'!R$2,Tabla1[ANY],'2020'!$Z$76)</f>
        <v>0</v>
      </c>
      <c r="S104" s="21">
        <f t="shared" si="106"/>
        <v>0</v>
      </c>
      <c r="T104" s="23">
        <f>SUMIFS('Registre de reserves'!$W$2:$W$1178,'Registre de reserves'!$T$2:$T$1178,"SI",'Registre de reserves'!$I$2:$I$1178,'2020'!$A104,'Registre de reserves'!$B$2:$B$1178,'2020'!T$2,Tabla1[ANY],'2020'!$Z$76)</f>
        <v>0</v>
      </c>
      <c r="U104" s="21">
        <f t="shared" si="107"/>
        <v>0</v>
      </c>
      <c r="V104" s="23">
        <f>SUMIFS('Registre de reserves'!$W$2:$W$1178,'Registre de reserves'!$T$2:$T$1178,"SI",'Registre de reserves'!$I$2:$I$1178,'2020'!$A104,'Registre de reserves'!$B$2:$B$1178,'2020'!V$2,Tabla1[ANY],'2020'!$Z$76)</f>
        <v>0</v>
      </c>
      <c r="W104" s="21">
        <f t="shared" si="108"/>
        <v>0</v>
      </c>
      <c r="X104" s="23">
        <f>SUMIFS('Registre de reserves'!$W$2:$W$1178,'Registre de reserves'!$T$2:$T$1178,"SI",'Registre de reserves'!$I$2:$I$1178,'2020'!$A104,'Registre de reserves'!$B$2:$B$1178,'2020'!X$2,Tabla1[ANY],'2020'!$Z$76)</f>
        <v>0</v>
      </c>
      <c r="Y104" s="21">
        <f t="shared" si="109"/>
        <v>0</v>
      </c>
      <c r="Z104" s="20">
        <f t="shared" si="99"/>
        <v>0</v>
      </c>
      <c r="AA104" s="21">
        <f t="shared" si="110"/>
        <v>0</v>
      </c>
    </row>
    <row r="105" spans="1:27" collapsed="1" x14ac:dyDescent="0.2">
      <c r="A105" s="33" t="s">
        <v>77</v>
      </c>
      <c r="B105" s="22">
        <f>SUM(B106:B113)</f>
        <v>0</v>
      </c>
      <c r="C105" s="19">
        <f>IF((B$87+B$105)=0,0,B105/(B$87+B$105))</f>
        <v>0</v>
      </c>
      <c r="D105" s="22">
        <f>SUM(D106:D113)</f>
        <v>0</v>
      </c>
      <c r="E105" s="19">
        <f>IF((D$87+D$105)=0,0,D105/(D$87+D$105))</f>
        <v>0</v>
      </c>
      <c r="F105" s="22">
        <f>SUM(F106:F113)</f>
        <v>0</v>
      </c>
      <c r="G105" s="19">
        <f>IF((F$87+F$105)=0,0,F105/(F$87+F$105))</f>
        <v>0</v>
      </c>
      <c r="H105" s="22">
        <f>SUM(H106:H113)</f>
        <v>0</v>
      </c>
      <c r="I105" s="19">
        <f>IF((H$87+H$105)=0,0,H105/(H$87+H$105))</f>
        <v>0</v>
      </c>
      <c r="J105" s="22">
        <f>SUM(J106:J113)</f>
        <v>0</v>
      </c>
      <c r="K105" s="19">
        <f>IF((J$87+J$105)=0,0,J105/(J$87+J$105))</f>
        <v>0</v>
      </c>
      <c r="L105" s="22">
        <f>SUM(L106:L113)</f>
        <v>0</v>
      </c>
      <c r="M105" s="19">
        <f>IF((L$87+L$105)=0,0,L105/(L$87+L$105))</f>
        <v>0</v>
      </c>
      <c r="N105" s="22">
        <f>SUM(N106:N113)</f>
        <v>0</v>
      </c>
      <c r="O105" s="19">
        <f>IF((N$87+N$105)=0,0,N105/(N$87+N$105))</f>
        <v>0</v>
      </c>
      <c r="P105" s="22">
        <f>SUM(P106:P113)</f>
        <v>0</v>
      </c>
      <c r="Q105" s="19">
        <f>IF((P$87+P$105)=0,0,P105/(P$87+P$105))</f>
        <v>0</v>
      </c>
      <c r="R105" s="22">
        <f>SUM(R106:R113)</f>
        <v>0</v>
      </c>
      <c r="S105" s="19">
        <f>IF((R$87+R$105)=0,0,R105/(R$87+R$105))</f>
        <v>0</v>
      </c>
      <c r="T105" s="22">
        <f>SUM(T106:T113)</f>
        <v>0</v>
      </c>
      <c r="U105" s="19">
        <f>IF((T$87+T$105)=0,0,T105/(T$87+T$105))</f>
        <v>0</v>
      </c>
      <c r="V105" s="22">
        <f>SUM(V106:V113)</f>
        <v>0</v>
      </c>
      <c r="W105" s="19">
        <f>IF((V$87+V$105)=0,0,V105/(V$87+V$105))</f>
        <v>0</v>
      </c>
      <c r="X105" s="22">
        <f>SUM(X106:X113)</f>
        <v>0</v>
      </c>
      <c r="Y105" s="19">
        <f>IF((X$87+X$105)=0,0,X105/(X$87+X$105))</f>
        <v>0</v>
      </c>
      <c r="Z105" s="22">
        <f>SUM(Z106:Z113)</f>
        <v>0</v>
      </c>
      <c r="AA105" s="19">
        <f>IF((Z$87+Z$105)=0,0,Z105/(Z$87+Z$105))</f>
        <v>0</v>
      </c>
    </row>
    <row r="106" spans="1:27" hidden="1" outlineLevel="1" x14ac:dyDescent="0.2">
      <c r="A106" s="8" t="s">
        <v>67</v>
      </c>
      <c r="B106" s="23">
        <f>SUMIFS('Registre de reserves'!$W$2:$W$1178,'Registre de reserves'!$T$2:$T$1178,"NO",'Registre de reserves'!$I$2:$I$1178,'2020'!$A106,'Registre de reserves'!$B$2:$B$1178,'2020'!B$2,Tabla1[ANY],'2020'!$Z$76)</f>
        <v>0</v>
      </c>
      <c r="C106" s="21">
        <f>IF(B$105=0,0,B106/B$105)</f>
        <v>0</v>
      </c>
      <c r="D106" s="23">
        <f>SUMIFS('Registre de reserves'!$W$2:$W$1178,'Registre de reserves'!$T$2:$T$1178,"NO",'Registre de reserves'!$I$2:$I$1178,'2020'!$A106,'Registre de reserves'!$B$2:$B$1178,'2020'!D$2,Tabla1[ANY],'2020'!$Z$76)</f>
        <v>0</v>
      </c>
      <c r="E106" s="21">
        <f>IF(D$105=0,0,D106/D$105)</f>
        <v>0</v>
      </c>
      <c r="F106" s="23">
        <f>SUMIFS('Registre de reserves'!$W$2:$W$1178,'Registre de reserves'!$T$2:$T$1178,"NO",'Registre de reserves'!$I$2:$I$1178,'2020'!$A106,'Registre de reserves'!$B$2:$B$1178,'2020'!F$2,Tabla1[ANY],'2020'!$Z$76)</f>
        <v>0</v>
      </c>
      <c r="G106" s="21">
        <f t="shared" ref="G106:G113" si="112">IF(F$105=0,0,F106/F$105)</f>
        <v>0</v>
      </c>
      <c r="H106" s="23">
        <f>SUMIFS('Registre de reserves'!$W$2:$W$1178,'Registre de reserves'!$T$2:$T$1178,"NO",'Registre de reserves'!$I$2:$I$1178,'2020'!$A106,'Registre de reserves'!$B$2:$B$1178,'2020'!H$2,Tabla1[ANY],'2020'!$Z$76)</f>
        <v>0</v>
      </c>
      <c r="I106" s="21">
        <f t="shared" ref="I106:I113" si="113">IF(H$105=0,0,H106/H$105)</f>
        <v>0</v>
      </c>
      <c r="J106" s="23">
        <f>SUMIFS('Registre de reserves'!$W$2:$W$1178,'Registre de reserves'!$T$2:$T$1178,"NO",'Registre de reserves'!$I$2:$I$1178,'2020'!$A106,'Registre de reserves'!$B$2:$B$1178,'2020'!J$2,Tabla1[ANY],'2020'!$Z$76)</f>
        <v>0</v>
      </c>
      <c r="K106" s="21">
        <f t="shared" ref="K106:K113" si="114">IF(J$105=0,0,J106/J$105)</f>
        <v>0</v>
      </c>
      <c r="L106" s="23">
        <f>SUMIFS('Registre de reserves'!$W$2:$W$1178,'Registre de reserves'!$T$2:$T$1178,"NO",'Registre de reserves'!$I$2:$I$1178,'2020'!$A106,'Registre de reserves'!$B$2:$B$1178,'2020'!L$2,Tabla1[ANY],'2020'!$Z$76)</f>
        <v>0</v>
      </c>
      <c r="M106" s="21">
        <f t="shared" ref="M106:M113" si="115">IF(L$105=0,0,L106/L$105)</f>
        <v>0</v>
      </c>
      <c r="N106" s="23">
        <f>SUMIFS('Registre de reserves'!$W$2:$W$1178,'Registre de reserves'!$T$2:$T$1178,"NO",'Registre de reserves'!$I$2:$I$1178,'2020'!$A106,'Registre de reserves'!$B$2:$B$1178,'2020'!N$2,Tabla1[ANY],'2020'!$Z$76)</f>
        <v>0</v>
      </c>
      <c r="O106" s="21">
        <f t="shared" ref="O106:O113" si="116">IF(N$105=0,0,N106/N$105)</f>
        <v>0</v>
      </c>
      <c r="P106" s="23">
        <f>SUMIFS('Registre de reserves'!$W$2:$W$1178,'Registre de reserves'!$T$2:$T$1178,"NO",'Registre de reserves'!$I$2:$I$1178,'2020'!$A106,'Registre de reserves'!$B$2:$B$1178,'2020'!P$2,Tabla1[ANY],'2020'!$Z$76)</f>
        <v>0</v>
      </c>
      <c r="Q106" s="21">
        <f t="shared" ref="Q106:Q113" si="117">IF(P$105=0,0,P106/P$105)</f>
        <v>0</v>
      </c>
      <c r="R106" s="23">
        <f>SUMIFS('Registre de reserves'!$W$2:$W$1178,'Registre de reserves'!$T$2:$T$1178,"NO",'Registre de reserves'!$I$2:$I$1178,'2020'!$A106,'Registre de reserves'!$B$2:$B$1178,'2020'!R$2,Tabla1[ANY],'2020'!$Z$76)</f>
        <v>0</v>
      </c>
      <c r="S106" s="21">
        <f t="shared" ref="S106:S113" si="118">IF(R$105=0,0,R106/R$105)</f>
        <v>0</v>
      </c>
      <c r="T106" s="23">
        <f>SUMIFS('Registre de reserves'!$W$2:$W$1178,'Registre de reserves'!$T$2:$T$1178,"NO",'Registre de reserves'!$I$2:$I$1178,'2020'!$A106,'Registre de reserves'!$B$2:$B$1178,'2020'!T$2,Tabla1[ANY],'2020'!$Z$76)</f>
        <v>0</v>
      </c>
      <c r="U106" s="21">
        <f t="shared" ref="U106:U113" si="119">IF(T$105=0,0,T106/T$105)</f>
        <v>0</v>
      </c>
      <c r="V106" s="23">
        <f>SUMIFS('Registre de reserves'!$W$2:$W$1178,'Registre de reserves'!$T$2:$T$1178,"NO",'Registre de reserves'!$I$2:$I$1178,'2020'!$A106,'Registre de reserves'!$B$2:$B$1178,'2020'!V$2,Tabla1[ANY],'2020'!$Z$76)</f>
        <v>0</v>
      </c>
      <c r="W106" s="21">
        <f t="shared" ref="W106:W113" si="120">IF(V$105=0,0,V106/V$105)</f>
        <v>0</v>
      </c>
      <c r="X106" s="23">
        <f>SUMIFS('Registre de reserves'!$W$2:$W$1178,'Registre de reserves'!$T$2:$T$1178,"NO",'Registre de reserves'!$I$2:$I$1178,'2020'!$A106,'Registre de reserves'!$B$2:$B$1178,'2020'!X$2,Tabla1[ANY],'2020'!$Z$76)</f>
        <v>0</v>
      </c>
      <c r="Y106" s="21">
        <f t="shared" ref="Y106:Y113" si="121">IF(X$105=0,0,X106/X$105)</f>
        <v>0</v>
      </c>
      <c r="Z106" s="20">
        <f t="shared" si="99"/>
        <v>0</v>
      </c>
      <c r="AA106" s="21">
        <f>IF(Z$105=0,0,Z106/Z$105)</f>
        <v>0</v>
      </c>
    </row>
    <row r="107" spans="1:27" hidden="1" outlineLevel="1" x14ac:dyDescent="0.2">
      <c r="A107" s="8" t="s">
        <v>68</v>
      </c>
      <c r="B107" s="23">
        <f>SUMIFS('Registre de reserves'!$W$2:$W$1178,'Registre de reserves'!$T$2:$T$1178,"NO",'Registre de reserves'!$I$2:$I$1178,'2020'!$A107,'Registre de reserves'!$B$2:$B$1178,'2020'!B$2,Tabla1[ANY],'2020'!$Z$76)</f>
        <v>0</v>
      </c>
      <c r="C107" s="21">
        <f t="shared" ref="C107:E113" si="122">IF(B$105=0,0,B107/B$105)</f>
        <v>0</v>
      </c>
      <c r="D107" s="23">
        <f>SUMIFS('Registre de reserves'!$W$2:$W$1178,'Registre de reserves'!$T$2:$T$1178,"NO",'Registre de reserves'!$I$2:$I$1178,'2020'!$A107,'Registre de reserves'!$B$2:$B$1178,'2020'!D$2,Tabla1[ANY],'2020'!$Z$76)</f>
        <v>0</v>
      </c>
      <c r="E107" s="21">
        <f>IF(D$105=0,0,D107/D$105)</f>
        <v>0</v>
      </c>
      <c r="F107" s="23">
        <f>SUMIFS('Registre de reserves'!$W$2:$W$1178,'Registre de reserves'!$T$2:$T$1178,"NO",'Registre de reserves'!$I$2:$I$1178,'2020'!$A107,'Registre de reserves'!$B$2:$B$1178,'2020'!F$2,Tabla1[ANY],'2020'!$Z$76)</f>
        <v>0</v>
      </c>
      <c r="G107" s="21">
        <f t="shared" si="112"/>
        <v>0</v>
      </c>
      <c r="H107" s="23">
        <f>SUMIFS('Registre de reserves'!$W$2:$W$1178,'Registre de reserves'!$T$2:$T$1178,"NO",'Registre de reserves'!$I$2:$I$1178,'2020'!$A107,'Registre de reserves'!$B$2:$B$1178,'2020'!H$2,Tabla1[ANY],'2020'!$Z$76)</f>
        <v>0</v>
      </c>
      <c r="I107" s="21">
        <f t="shared" si="113"/>
        <v>0</v>
      </c>
      <c r="J107" s="23">
        <f>SUMIFS('Registre de reserves'!$W$2:$W$1178,'Registre de reserves'!$T$2:$T$1178,"NO",'Registre de reserves'!$I$2:$I$1178,'2020'!$A107,'Registre de reserves'!$B$2:$B$1178,'2020'!J$2,Tabla1[ANY],'2020'!$Z$76)</f>
        <v>0</v>
      </c>
      <c r="K107" s="21">
        <f t="shared" si="114"/>
        <v>0</v>
      </c>
      <c r="L107" s="23">
        <f>SUMIFS('Registre de reserves'!$W$2:$W$1178,'Registre de reserves'!$T$2:$T$1178,"NO",'Registre de reserves'!$I$2:$I$1178,'2020'!$A107,'Registre de reserves'!$B$2:$B$1178,'2020'!L$2,Tabla1[ANY],'2020'!$Z$76)</f>
        <v>0</v>
      </c>
      <c r="M107" s="21">
        <f t="shared" si="115"/>
        <v>0</v>
      </c>
      <c r="N107" s="23">
        <f>SUMIFS('Registre de reserves'!$W$2:$W$1178,'Registre de reserves'!$T$2:$T$1178,"NO",'Registre de reserves'!$I$2:$I$1178,'2020'!$A107,'Registre de reserves'!$B$2:$B$1178,'2020'!N$2,Tabla1[ANY],'2020'!$Z$76)</f>
        <v>0</v>
      </c>
      <c r="O107" s="21">
        <f t="shared" si="116"/>
        <v>0</v>
      </c>
      <c r="P107" s="23">
        <f>SUMIFS('Registre de reserves'!$W$2:$W$1178,'Registre de reserves'!$T$2:$T$1178,"NO",'Registre de reserves'!$I$2:$I$1178,'2020'!$A107,'Registre de reserves'!$B$2:$B$1178,'2020'!P$2,Tabla1[ANY],'2020'!$Z$76)</f>
        <v>0</v>
      </c>
      <c r="Q107" s="21">
        <f t="shared" si="117"/>
        <v>0</v>
      </c>
      <c r="R107" s="23">
        <f>SUMIFS('Registre de reserves'!$W$2:$W$1178,'Registre de reserves'!$T$2:$T$1178,"NO",'Registre de reserves'!$I$2:$I$1178,'2020'!$A107,'Registre de reserves'!$B$2:$B$1178,'2020'!R$2,Tabla1[ANY],'2020'!$Z$76)</f>
        <v>0</v>
      </c>
      <c r="S107" s="21">
        <f t="shared" si="118"/>
        <v>0</v>
      </c>
      <c r="T107" s="23">
        <f>SUMIFS('Registre de reserves'!$W$2:$W$1178,'Registre de reserves'!$T$2:$T$1178,"NO",'Registre de reserves'!$I$2:$I$1178,'2020'!$A107,'Registre de reserves'!$B$2:$B$1178,'2020'!T$2,Tabla1[ANY],'2020'!$Z$76)</f>
        <v>0</v>
      </c>
      <c r="U107" s="21">
        <f t="shared" si="119"/>
        <v>0</v>
      </c>
      <c r="V107" s="23">
        <f>SUMIFS('Registre de reserves'!$W$2:$W$1178,'Registre de reserves'!$T$2:$T$1178,"NO",'Registre de reserves'!$I$2:$I$1178,'2020'!$A107,'Registre de reserves'!$B$2:$B$1178,'2020'!V$2,Tabla1[ANY],'2020'!$Z$76)</f>
        <v>0</v>
      </c>
      <c r="W107" s="21">
        <f t="shared" si="120"/>
        <v>0</v>
      </c>
      <c r="X107" s="23">
        <f>SUMIFS('Registre de reserves'!$W$2:$W$1178,'Registre de reserves'!$T$2:$T$1178,"NO",'Registre de reserves'!$I$2:$I$1178,'2020'!$A107,'Registre de reserves'!$B$2:$B$1178,'2020'!X$2,Tabla1[ANY],'2020'!$Z$76)</f>
        <v>0</v>
      </c>
      <c r="Y107" s="21">
        <f t="shared" si="121"/>
        <v>0</v>
      </c>
      <c r="Z107" s="20">
        <f t="shared" si="99"/>
        <v>0</v>
      </c>
      <c r="AA107" s="21">
        <f>IF(Z$105=0,0,Z107/Z$105)</f>
        <v>0</v>
      </c>
    </row>
    <row r="108" spans="1:27" hidden="1" outlineLevel="1" x14ac:dyDescent="0.2">
      <c r="A108" s="8" t="s">
        <v>4</v>
      </c>
      <c r="B108" s="23">
        <f>SUMIFS('Registre de reserves'!$W$2:$W$1178,'Registre de reserves'!$T$2:$T$1178,"NO",'Registre de reserves'!$I$2:$I$1178,'2020'!$A108,'Registre de reserves'!$B$2:$B$1178,'2020'!B$2,Tabla1[ANY],'2020'!$Z$76)</f>
        <v>0</v>
      </c>
      <c r="C108" s="21">
        <f t="shared" si="122"/>
        <v>0</v>
      </c>
      <c r="D108" s="23">
        <f>SUMIFS('Registre de reserves'!$W$2:$W$1178,'Registre de reserves'!$T$2:$T$1178,"NO",'Registre de reserves'!$I$2:$I$1178,'2020'!$A108,'Registre de reserves'!$B$2:$B$1178,'2020'!D$2,Tabla1[ANY],'2020'!$Z$76)</f>
        <v>0</v>
      </c>
      <c r="E108" s="21">
        <f t="shared" si="122"/>
        <v>0</v>
      </c>
      <c r="F108" s="23">
        <f>SUMIFS('Registre de reserves'!$W$2:$W$1178,'Registre de reserves'!$T$2:$T$1178,"NO",'Registre de reserves'!$I$2:$I$1178,'2020'!$A108,'Registre de reserves'!$B$2:$B$1178,'2020'!F$2,Tabla1[ANY],'2020'!$Z$76)</f>
        <v>0</v>
      </c>
      <c r="G108" s="21">
        <f t="shared" si="112"/>
        <v>0</v>
      </c>
      <c r="H108" s="23">
        <f>SUMIFS('Registre de reserves'!$W$2:$W$1178,'Registre de reserves'!$T$2:$T$1178,"NO",'Registre de reserves'!$I$2:$I$1178,'2020'!$A108,'Registre de reserves'!$B$2:$B$1178,'2020'!H$2,Tabla1[ANY],'2020'!$Z$76)</f>
        <v>0</v>
      </c>
      <c r="I108" s="21">
        <f t="shared" si="113"/>
        <v>0</v>
      </c>
      <c r="J108" s="23">
        <f>SUMIFS('Registre de reserves'!$W$2:$W$1178,'Registre de reserves'!$T$2:$T$1178,"NO",'Registre de reserves'!$I$2:$I$1178,'2020'!$A108,'Registre de reserves'!$B$2:$B$1178,'2020'!J$2,Tabla1[ANY],'2020'!$Z$76)</f>
        <v>0</v>
      </c>
      <c r="K108" s="21">
        <f t="shared" si="114"/>
        <v>0</v>
      </c>
      <c r="L108" s="23">
        <f>SUMIFS('Registre de reserves'!$W$2:$W$1178,'Registre de reserves'!$T$2:$T$1178,"NO",'Registre de reserves'!$I$2:$I$1178,'2020'!$A108,'Registre de reserves'!$B$2:$B$1178,'2020'!L$2,Tabla1[ANY],'2020'!$Z$76)</f>
        <v>0</v>
      </c>
      <c r="M108" s="21">
        <f t="shared" si="115"/>
        <v>0</v>
      </c>
      <c r="N108" s="23">
        <f>SUMIFS('Registre de reserves'!$W$2:$W$1178,'Registre de reserves'!$T$2:$T$1178,"NO",'Registre de reserves'!$I$2:$I$1178,'2020'!$A108,'Registre de reserves'!$B$2:$B$1178,'2020'!N$2,Tabla1[ANY],'2020'!$Z$76)</f>
        <v>0</v>
      </c>
      <c r="O108" s="21">
        <f t="shared" si="116"/>
        <v>0</v>
      </c>
      <c r="P108" s="23">
        <f>SUMIFS('Registre de reserves'!$W$2:$W$1178,'Registre de reserves'!$T$2:$T$1178,"NO",'Registre de reserves'!$I$2:$I$1178,'2020'!$A108,'Registre de reserves'!$B$2:$B$1178,'2020'!P$2,Tabla1[ANY],'2020'!$Z$76)</f>
        <v>0</v>
      </c>
      <c r="Q108" s="21">
        <f t="shared" si="117"/>
        <v>0</v>
      </c>
      <c r="R108" s="23">
        <f>SUMIFS('Registre de reserves'!$W$2:$W$1178,'Registre de reserves'!$T$2:$T$1178,"NO",'Registre de reserves'!$I$2:$I$1178,'2020'!$A108,'Registre de reserves'!$B$2:$B$1178,'2020'!R$2,Tabla1[ANY],'2020'!$Z$76)</f>
        <v>0</v>
      </c>
      <c r="S108" s="21">
        <f t="shared" si="118"/>
        <v>0</v>
      </c>
      <c r="T108" s="23">
        <f>SUMIFS('Registre de reserves'!$W$2:$W$1178,'Registre de reserves'!$T$2:$T$1178,"NO",'Registre de reserves'!$I$2:$I$1178,'2020'!$A108,'Registre de reserves'!$B$2:$B$1178,'2020'!T$2,Tabla1[ANY],'2020'!$Z$76)</f>
        <v>0</v>
      </c>
      <c r="U108" s="21">
        <f t="shared" si="119"/>
        <v>0</v>
      </c>
      <c r="V108" s="23">
        <f>SUMIFS('Registre de reserves'!$W$2:$W$1178,'Registre de reserves'!$T$2:$T$1178,"NO",'Registre de reserves'!$I$2:$I$1178,'2020'!$A108,'Registre de reserves'!$B$2:$B$1178,'2020'!V$2,Tabla1[ANY],'2020'!$Z$76)</f>
        <v>0</v>
      </c>
      <c r="W108" s="21">
        <f t="shared" si="120"/>
        <v>0</v>
      </c>
      <c r="X108" s="23">
        <f>SUMIFS('Registre de reserves'!$W$2:$W$1178,'Registre de reserves'!$T$2:$T$1178,"NO",'Registre de reserves'!$I$2:$I$1178,'2020'!$A108,'Registre de reserves'!$B$2:$B$1178,'2020'!X$2,Tabla1[ANY],'2020'!$Z$76)</f>
        <v>0</v>
      </c>
      <c r="Y108" s="21">
        <f t="shared" si="121"/>
        <v>0</v>
      </c>
      <c r="Z108" s="20">
        <f t="shared" si="99"/>
        <v>0</v>
      </c>
      <c r="AA108" s="21">
        <f t="shared" ref="AA108:AA113" si="123">IF(Z$105=0,0,Z108/Z$105)</f>
        <v>0</v>
      </c>
    </row>
    <row r="109" spans="1:27" hidden="1" outlineLevel="1" x14ac:dyDescent="0.2">
      <c r="A109" s="8" t="s">
        <v>71</v>
      </c>
      <c r="B109" s="23">
        <f>SUMIFS('Registre de reserves'!$W$2:$W$1178,'Registre de reserves'!$T$2:$T$1178,"NO",'Registre de reserves'!$I$2:$I$1178,'2020'!$A109,'Registre de reserves'!$B$2:$B$1178,'2020'!B$2,Tabla1[ANY],'2020'!$Z$76)</f>
        <v>0</v>
      </c>
      <c r="C109" s="21">
        <f t="shared" si="122"/>
        <v>0</v>
      </c>
      <c r="D109" s="23">
        <f>SUMIFS('Registre de reserves'!$W$2:$W$1178,'Registre de reserves'!$T$2:$T$1178,"NO",'Registre de reserves'!$I$2:$I$1178,'2020'!$A109,'Registre de reserves'!$B$2:$B$1178,'2020'!D$2,Tabla1[ANY],'2020'!$Z$76)</f>
        <v>0</v>
      </c>
      <c r="E109" s="21">
        <f t="shared" si="122"/>
        <v>0</v>
      </c>
      <c r="F109" s="23">
        <f>SUMIFS('Registre de reserves'!$W$2:$W$1178,'Registre de reserves'!$T$2:$T$1178,"NO",'Registre de reserves'!$I$2:$I$1178,'2020'!$A109,'Registre de reserves'!$B$2:$B$1178,'2020'!F$2,Tabla1[ANY],'2020'!$Z$76)</f>
        <v>0</v>
      </c>
      <c r="G109" s="21">
        <f t="shared" si="112"/>
        <v>0</v>
      </c>
      <c r="H109" s="23">
        <f>SUMIFS('Registre de reserves'!$W$2:$W$1178,'Registre de reserves'!$T$2:$T$1178,"NO",'Registre de reserves'!$I$2:$I$1178,'2020'!$A109,'Registre de reserves'!$B$2:$B$1178,'2020'!H$2,Tabla1[ANY],'2020'!$Z$76)</f>
        <v>0</v>
      </c>
      <c r="I109" s="21">
        <f t="shared" si="113"/>
        <v>0</v>
      </c>
      <c r="J109" s="23">
        <f>SUMIFS('Registre de reserves'!$W$2:$W$1178,'Registre de reserves'!$T$2:$T$1178,"NO",'Registre de reserves'!$I$2:$I$1178,'2020'!$A109,'Registre de reserves'!$B$2:$B$1178,'2020'!J$2,Tabla1[ANY],'2020'!$Z$76)</f>
        <v>0</v>
      </c>
      <c r="K109" s="21">
        <f t="shared" si="114"/>
        <v>0</v>
      </c>
      <c r="L109" s="23">
        <f>SUMIFS('Registre de reserves'!$W$2:$W$1178,'Registre de reserves'!$T$2:$T$1178,"NO",'Registre de reserves'!$I$2:$I$1178,'2020'!$A109,'Registre de reserves'!$B$2:$B$1178,'2020'!L$2,Tabla1[ANY],'2020'!$Z$76)</f>
        <v>0</v>
      </c>
      <c r="M109" s="21">
        <f t="shared" si="115"/>
        <v>0</v>
      </c>
      <c r="N109" s="23">
        <f>SUMIFS('Registre de reserves'!$W$2:$W$1178,'Registre de reserves'!$T$2:$T$1178,"NO",'Registre de reserves'!$I$2:$I$1178,'2020'!$A109,'Registre de reserves'!$B$2:$B$1178,'2020'!N$2,Tabla1[ANY],'2020'!$Z$76)</f>
        <v>0</v>
      </c>
      <c r="O109" s="21">
        <f t="shared" si="116"/>
        <v>0</v>
      </c>
      <c r="P109" s="23">
        <f>SUMIFS('Registre de reserves'!$W$2:$W$1178,'Registre de reserves'!$T$2:$T$1178,"NO",'Registre de reserves'!$I$2:$I$1178,'2020'!$A109,'Registre de reserves'!$B$2:$B$1178,'2020'!P$2,Tabla1[ANY],'2020'!$Z$76)</f>
        <v>0</v>
      </c>
      <c r="Q109" s="21">
        <f t="shared" si="117"/>
        <v>0</v>
      </c>
      <c r="R109" s="23">
        <f>SUMIFS('Registre de reserves'!$W$2:$W$1178,'Registre de reserves'!$T$2:$T$1178,"NO",'Registre de reserves'!$I$2:$I$1178,'2020'!$A109,'Registre de reserves'!$B$2:$B$1178,'2020'!R$2,Tabla1[ANY],'2020'!$Z$76)</f>
        <v>0</v>
      </c>
      <c r="S109" s="21">
        <f t="shared" si="118"/>
        <v>0</v>
      </c>
      <c r="T109" s="23">
        <f>SUMIFS('Registre de reserves'!$W$2:$W$1178,'Registre de reserves'!$T$2:$T$1178,"NO",'Registre de reserves'!$I$2:$I$1178,'2020'!$A109,'Registre de reserves'!$B$2:$B$1178,'2020'!T$2,Tabla1[ANY],'2020'!$Z$76)</f>
        <v>0</v>
      </c>
      <c r="U109" s="21">
        <f t="shared" si="119"/>
        <v>0</v>
      </c>
      <c r="V109" s="23">
        <f>SUMIFS('Registre de reserves'!$W$2:$W$1178,'Registre de reserves'!$T$2:$T$1178,"NO",'Registre de reserves'!$I$2:$I$1178,'2020'!$A109,'Registre de reserves'!$B$2:$B$1178,'2020'!V$2,Tabla1[ANY],'2020'!$Z$76)</f>
        <v>0</v>
      </c>
      <c r="W109" s="21">
        <f t="shared" si="120"/>
        <v>0</v>
      </c>
      <c r="X109" s="23">
        <f>SUMIFS('Registre de reserves'!$W$2:$W$1178,'Registre de reserves'!$T$2:$T$1178,"NO",'Registre de reserves'!$I$2:$I$1178,'2020'!$A109,'Registre de reserves'!$B$2:$B$1178,'2020'!X$2,Tabla1[ANY],'2020'!$Z$76)</f>
        <v>0</v>
      </c>
      <c r="Y109" s="21">
        <f t="shared" si="121"/>
        <v>0</v>
      </c>
      <c r="Z109" s="20">
        <f t="shared" si="99"/>
        <v>0</v>
      </c>
      <c r="AA109" s="21">
        <f t="shared" si="123"/>
        <v>0</v>
      </c>
    </row>
    <row r="110" spans="1:27" hidden="1" outlineLevel="1" x14ac:dyDescent="0.2">
      <c r="A110" s="8" t="s">
        <v>72</v>
      </c>
      <c r="B110" s="23">
        <f>SUMIFS('Registre de reserves'!$W$2:$W$1178,'Registre de reserves'!$T$2:$T$1178,"NO",'Registre de reserves'!$I$2:$I$1178,'2020'!$A110,'Registre de reserves'!$B$2:$B$1178,'2020'!B$2,Tabla1[ANY],'2020'!$Z$76)</f>
        <v>0</v>
      </c>
      <c r="C110" s="21">
        <f t="shared" si="122"/>
        <v>0</v>
      </c>
      <c r="D110" s="23">
        <f>SUMIFS('Registre de reserves'!$W$2:$W$1178,'Registre de reserves'!$T$2:$T$1178,"NO",'Registre de reserves'!$I$2:$I$1178,'2020'!$A110,'Registre de reserves'!$B$2:$B$1178,'2020'!D$2,Tabla1[ANY],'2020'!$Z$76)</f>
        <v>0</v>
      </c>
      <c r="E110" s="21">
        <f t="shared" si="122"/>
        <v>0</v>
      </c>
      <c r="F110" s="23">
        <f>SUMIFS('Registre de reserves'!$W$2:$W$1178,'Registre de reserves'!$T$2:$T$1178,"NO",'Registre de reserves'!$I$2:$I$1178,'2020'!$A110,'Registre de reserves'!$B$2:$B$1178,'2020'!F$2,Tabla1[ANY],'2020'!$Z$76)</f>
        <v>0</v>
      </c>
      <c r="G110" s="21">
        <f t="shared" si="112"/>
        <v>0</v>
      </c>
      <c r="H110" s="23">
        <f>SUMIFS('Registre de reserves'!$W$2:$W$1178,'Registre de reserves'!$T$2:$T$1178,"NO",'Registre de reserves'!$I$2:$I$1178,'2020'!$A110,'Registre de reserves'!$B$2:$B$1178,'2020'!H$2,Tabla1[ANY],'2020'!$Z$76)</f>
        <v>0</v>
      </c>
      <c r="I110" s="21">
        <f t="shared" si="113"/>
        <v>0</v>
      </c>
      <c r="J110" s="23">
        <f>SUMIFS('Registre de reserves'!$W$2:$W$1178,'Registre de reserves'!$T$2:$T$1178,"NO",'Registre de reserves'!$I$2:$I$1178,'2020'!$A110,'Registre de reserves'!$B$2:$B$1178,'2020'!J$2,Tabla1[ANY],'2020'!$Z$76)</f>
        <v>0</v>
      </c>
      <c r="K110" s="21">
        <f t="shared" si="114"/>
        <v>0</v>
      </c>
      <c r="L110" s="23">
        <f>SUMIFS('Registre de reserves'!$W$2:$W$1178,'Registre de reserves'!$T$2:$T$1178,"NO",'Registre de reserves'!$I$2:$I$1178,'2020'!$A110,'Registre de reserves'!$B$2:$B$1178,'2020'!L$2,Tabla1[ANY],'2020'!$Z$76)</f>
        <v>0</v>
      </c>
      <c r="M110" s="21">
        <f t="shared" si="115"/>
        <v>0</v>
      </c>
      <c r="N110" s="23">
        <f>SUMIFS('Registre de reserves'!$W$2:$W$1178,'Registre de reserves'!$T$2:$T$1178,"NO",'Registre de reserves'!$I$2:$I$1178,'2020'!$A110,'Registre de reserves'!$B$2:$B$1178,'2020'!N$2,Tabla1[ANY],'2020'!$Z$76)</f>
        <v>0</v>
      </c>
      <c r="O110" s="21">
        <f t="shared" si="116"/>
        <v>0</v>
      </c>
      <c r="P110" s="23">
        <f>SUMIFS('Registre de reserves'!$W$2:$W$1178,'Registre de reserves'!$T$2:$T$1178,"NO",'Registre de reserves'!$I$2:$I$1178,'2020'!$A110,'Registre de reserves'!$B$2:$B$1178,'2020'!P$2,Tabla1[ANY],'2020'!$Z$76)</f>
        <v>0</v>
      </c>
      <c r="Q110" s="21">
        <f t="shared" si="117"/>
        <v>0</v>
      </c>
      <c r="R110" s="23">
        <f>SUMIFS('Registre de reserves'!$W$2:$W$1178,'Registre de reserves'!$T$2:$T$1178,"NO",'Registre de reserves'!$I$2:$I$1178,'2020'!$A110,'Registre de reserves'!$B$2:$B$1178,'2020'!R$2,Tabla1[ANY],'2020'!$Z$76)</f>
        <v>0</v>
      </c>
      <c r="S110" s="21">
        <f t="shared" si="118"/>
        <v>0</v>
      </c>
      <c r="T110" s="23">
        <f>SUMIFS('Registre de reserves'!$W$2:$W$1178,'Registre de reserves'!$T$2:$T$1178,"NO",'Registre de reserves'!$I$2:$I$1178,'2020'!$A110,'Registre de reserves'!$B$2:$B$1178,'2020'!T$2,Tabla1[ANY],'2020'!$Z$76)</f>
        <v>0</v>
      </c>
      <c r="U110" s="21">
        <f t="shared" si="119"/>
        <v>0</v>
      </c>
      <c r="V110" s="23">
        <f>SUMIFS('Registre de reserves'!$W$2:$W$1178,'Registre de reserves'!$T$2:$T$1178,"NO",'Registre de reserves'!$I$2:$I$1178,'2020'!$A110,'Registre de reserves'!$B$2:$B$1178,'2020'!V$2,Tabla1[ANY],'2020'!$Z$76)</f>
        <v>0</v>
      </c>
      <c r="W110" s="21">
        <f t="shared" si="120"/>
        <v>0</v>
      </c>
      <c r="X110" s="23">
        <f>SUMIFS('Registre de reserves'!$W$2:$W$1178,'Registre de reserves'!$T$2:$T$1178,"NO",'Registre de reserves'!$I$2:$I$1178,'2020'!$A110,'Registre de reserves'!$B$2:$B$1178,'2020'!X$2,Tabla1[ANY],'2020'!$Z$76)</f>
        <v>0</v>
      </c>
      <c r="Y110" s="21">
        <f t="shared" si="121"/>
        <v>0</v>
      </c>
      <c r="Z110" s="20">
        <f t="shared" si="99"/>
        <v>0</v>
      </c>
      <c r="AA110" s="21">
        <f t="shared" si="123"/>
        <v>0</v>
      </c>
    </row>
    <row r="111" spans="1:27" hidden="1" outlineLevel="1" x14ac:dyDescent="0.2">
      <c r="A111" s="8" t="s">
        <v>69</v>
      </c>
      <c r="B111" s="23">
        <f>SUMIFS('Registre de reserves'!$W$2:$W$1178,'Registre de reserves'!$T$2:$T$1178,"NO",'Registre de reserves'!$I$2:$I$1178,'2020'!$A111,'Registre de reserves'!$B$2:$B$1178,'2020'!B$2,Tabla1[ANY],'2020'!$Z$76)</f>
        <v>0</v>
      </c>
      <c r="C111" s="21">
        <f t="shared" si="122"/>
        <v>0</v>
      </c>
      <c r="D111" s="23">
        <f>SUMIFS('Registre de reserves'!$W$2:$W$1178,'Registre de reserves'!$T$2:$T$1178,"NO",'Registre de reserves'!$I$2:$I$1178,'2020'!$A111,'Registre de reserves'!$B$2:$B$1178,'2020'!D$2,Tabla1[ANY],'2020'!$Z$76)</f>
        <v>0</v>
      </c>
      <c r="E111" s="21">
        <f t="shared" si="122"/>
        <v>0</v>
      </c>
      <c r="F111" s="23">
        <f>SUMIFS('Registre de reserves'!$W$2:$W$1178,'Registre de reserves'!$T$2:$T$1178,"NO",'Registre de reserves'!$I$2:$I$1178,'2020'!$A111,'Registre de reserves'!$B$2:$B$1178,'2020'!F$2,Tabla1[ANY],'2020'!$Z$76)</f>
        <v>0</v>
      </c>
      <c r="G111" s="21">
        <f t="shared" si="112"/>
        <v>0</v>
      </c>
      <c r="H111" s="23">
        <f>SUMIFS('Registre de reserves'!$W$2:$W$1178,'Registre de reserves'!$T$2:$T$1178,"NO",'Registre de reserves'!$I$2:$I$1178,'2020'!$A111,'Registre de reserves'!$B$2:$B$1178,'2020'!H$2,Tabla1[ANY],'2020'!$Z$76)</f>
        <v>0</v>
      </c>
      <c r="I111" s="21">
        <f t="shared" si="113"/>
        <v>0</v>
      </c>
      <c r="J111" s="23">
        <f>SUMIFS('Registre de reserves'!$W$2:$W$1178,'Registre de reserves'!$T$2:$T$1178,"NO",'Registre de reserves'!$I$2:$I$1178,'2020'!$A111,'Registre de reserves'!$B$2:$B$1178,'2020'!J$2,Tabla1[ANY],'2020'!$Z$76)</f>
        <v>0</v>
      </c>
      <c r="K111" s="21">
        <f t="shared" si="114"/>
        <v>0</v>
      </c>
      <c r="L111" s="23">
        <f>SUMIFS('Registre de reserves'!$W$2:$W$1178,'Registre de reserves'!$T$2:$T$1178,"NO",'Registre de reserves'!$I$2:$I$1178,'2020'!$A111,'Registre de reserves'!$B$2:$B$1178,'2020'!L$2,Tabla1[ANY],'2020'!$Z$76)</f>
        <v>0</v>
      </c>
      <c r="M111" s="21">
        <f t="shared" si="115"/>
        <v>0</v>
      </c>
      <c r="N111" s="23">
        <f>SUMIFS('Registre de reserves'!$W$2:$W$1178,'Registre de reserves'!$T$2:$T$1178,"NO",'Registre de reserves'!$I$2:$I$1178,'2020'!$A111,'Registre de reserves'!$B$2:$B$1178,'2020'!N$2,Tabla1[ANY],'2020'!$Z$76)</f>
        <v>0</v>
      </c>
      <c r="O111" s="21">
        <f t="shared" si="116"/>
        <v>0</v>
      </c>
      <c r="P111" s="23">
        <f>SUMIFS('Registre de reserves'!$W$2:$W$1178,'Registre de reserves'!$T$2:$T$1178,"NO",'Registre de reserves'!$I$2:$I$1178,'2020'!$A111,'Registre de reserves'!$B$2:$B$1178,'2020'!P$2,Tabla1[ANY],'2020'!$Z$76)</f>
        <v>0</v>
      </c>
      <c r="Q111" s="21">
        <f t="shared" si="117"/>
        <v>0</v>
      </c>
      <c r="R111" s="23">
        <f>SUMIFS('Registre de reserves'!$W$2:$W$1178,'Registre de reserves'!$T$2:$T$1178,"NO",'Registre de reserves'!$I$2:$I$1178,'2020'!$A111,'Registre de reserves'!$B$2:$B$1178,'2020'!R$2,Tabla1[ANY],'2020'!$Z$76)</f>
        <v>0</v>
      </c>
      <c r="S111" s="21">
        <f t="shared" si="118"/>
        <v>0</v>
      </c>
      <c r="T111" s="23">
        <f>SUMIFS('Registre de reserves'!$W$2:$W$1178,'Registre de reserves'!$T$2:$T$1178,"NO",'Registre de reserves'!$I$2:$I$1178,'2020'!$A111,'Registre de reserves'!$B$2:$B$1178,'2020'!T$2,Tabla1[ANY],'2020'!$Z$76)</f>
        <v>0</v>
      </c>
      <c r="U111" s="21">
        <f t="shared" si="119"/>
        <v>0</v>
      </c>
      <c r="V111" s="23">
        <f>SUMIFS('Registre de reserves'!$W$2:$W$1178,'Registre de reserves'!$T$2:$T$1178,"NO",'Registre de reserves'!$I$2:$I$1178,'2020'!$A111,'Registre de reserves'!$B$2:$B$1178,'2020'!V$2,Tabla1[ANY],'2020'!$Z$76)</f>
        <v>0</v>
      </c>
      <c r="W111" s="21">
        <f t="shared" si="120"/>
        <v>0</v>
      </c>
      <c r="X111" s="23">
        <f>SUMIFS('Registre de reserves'!$W$2:$W$1178,'Registre de reserves'!$T$2:$T$1178,"NO",'Registre de reserves'!$I$2:$I$1178,'2020'!$A111,'Registre de reserves'!$B$2:$B$1178,'2020'!X$2,Tabla1[ANY],'2020'!$Z$76)</f>
        <v>0</v>
      </c>
      <c r="Y111" s="21">
        <f t="shared" si="121"/>
        <v>0</v>
      </c>
      <c r="Z111" s="20">
        <f t="shared" si="99"/>
        <v>0</v>
      </c>
      <c r="AA111" s="21">
        <f t="shared" si="123"/>
        <v>0</v>
      </c>
    </row>
    <row r="112" spans="1:27" hidden="1" outlineLevel="1" x14ac:dyDescent="0.2">
      <c r="A112" s="8" t="s">
        <v>70</v>
      </c>
      <c r="B112" s="23">
        <f>SUMIFS('Registre de reserves'!$W$2:$W$1178,'Registre de reserves'!$T$2:$T$1178,"NO",'Registre de reserves'!$I$2:$I$1178,'2020'!$A112,'Registre de reserves'!$B$2:$B$1178,'2020'!B$2,Tabla1[ANY],'2020'!$Z$76)</f>
        <v>0</v>
      </c>
      <c r="C112" s="21">
        <f t="shared" si="122"/>
        <v>0</v>
      </c>
      <c r="D112" s="23">
        <f>SUMIFS('Registre de reserves'!$W$2:$W$1178,'Registre de reserves'!$T$2:$T$1178,"NO",'Registre de reserves'!$I$2:$I$1178,'2020'!$A112,'Registre de reserves'!$B$2:$B$1178,'2020'!D$2,Tabla1[ANY],'2020'!$Z$76)</f>
        <v>0</v>
      </c>
      <c r="E112" s="21">
        <f t="shared" si="122"/>
        <v>0</v>
      </c>
      <c r="F112" s="23">
        <f>SUMIFS('Registre de reserves'!$W$2:$W$1178,'Registre de reserves'!$T$2:$T$1178,"NO",'Registre de reserves'!$I$2:$I$1178,'2020'!$A112,'Registre de reserves'!$B$2:$B$1178,'2020'!F$2,Tabla1[ANY],'2020'!$Z$76)</f>
        <v>0</v>
      </c>
      <c r="G112" s="21">
        <f t="shared" si="112"/>
        <v>0</v>
      </c>
      <c r="H112" s="23">
        <f>SUMIFS('Registre de reserves'!$W$2:$W$1178,'Registre de reserves'!$T$2:$T$1178,"NO",'Registre de reserves'!$I$2:$I$1178,'2020'!$A112,'Registre de reserves'!$B$2:$B$1178,'2020'!H$2,Tabla1[ANY],'2020'!$Z$76)</f>
        <v>0</v>
      </c>
      <c r="I112" s="21">
        <f t="shared" si="113"/>
        <v>0</v>
      </c>
      <c r="J112" s="23">
        <f>SUMIFS('Registre de reserves'!$W$2:$W$1178,'Registre de reserves'!$T$2:$T$1178,"NO",'Registre de reserves'!$I$2:$I$1178,'2020'!$A112,'Registre de reserves'!$B$2:$B$1178,'2020'!J$2,Tabla1[ANY],'2020'!$Z$76)</f>
        <v>0</v>
      </c>
      <c r="K112" s="21">
        <f t="shared" si="114"/>
        <v>0</v>
      </c>
      <c r="L112" s="23">
        <f>SUMIFS('Registre de reserves'!$W$2:$W$1178,'Registre de reserves'!$T$2:$T$1178,"NO",'Registre de reserves'!$I$2:$I$1178,'2020'!$A112,'Registre de reserves'!$B$2:$B$1178,'2020'!L$2,Tabla1[ANY],'2020'!$Z$76)</f>
        <v>0</v>
      </c>
      <c r="M112" s="21">
        <f t="shared" si="115"/>
        <v>0</v>
      </c>
      <c r="N112" s="23">
        <f>SUMIFS('Registre de reserves'!$W$2:$W$1178,'Registre de reserves'!$T$2:$T$1178,"NO",'Registre de reserves'!$I$2:$I$1178,'2020'!$A112,'Registre de reserves'!$B$2:$B$1178,'2020'!N$2,Tabla1[ANY],'2020'!$Z$76)</f>
        <v>0</v>
      </c>
      <c r="O112" s="21">
        <f t="shared" si="116"/>
        <v>0</v>
      </c>
      <c r="P112" s="23">
        <f>SUMIFS('Registre de reserves'!$W$2:$W$1178,'Registre de reserves'!$T$2:$T$1178,"NO",'Registre de reserves'!$I$2:$I$1178,'2020'!$A112,'Registre de reserves'!$B$2:$B$1178,'2020'!P$2,Tabla1[ANY],'2020'!$Z$76)</f>
        <v>0</v>
      </c>
      <c r="Q112" s="21">
        <f t="shared" si="117"/>
        <v>0</v>
      </c>
      <c r="R112" s="23">
        <f>SUMIFS('Registre de reserves'!$W$2:$W$1178,'Registre de reserves'!$T$2:$T$1178,"NO",'Registre de reserves'!$I$2:$I$1178,'2020'!$A112,'Registre de reserves'!$B$2:$B$1178,'2020'!R$2,Tabla1[ANY],'2020'!$Z$76)</f>
        <v>0</v>
      </c>
      <c r="S112" s="21">
        <f t="shared" si="118"/>
        <v>0</v>
      </c>
      <c r="T112" s="23">
        <f>SUMIFS('Registre de reserves'!$W$2:$W$1178,'Registre de reserves'!$T$2:$T$1178,"NO",'Registre de reserves'!$I$2:$I$1178,'2020'!$A112,'Registre de reserves'!$B$2:$B$1178,'2020'!T$2,Tabla1[ANY],'2020'!$Z$76)</f>
        <v>0</v>
      </c>
      <c r="U112" s="21">
        <f t="shared" si="119"/>
        <v>0</v>
      </c>
      <c r="V112" s="23">
        <f>SUMIFS('Registre de reserves'!$W$2:$W$1178,'Registre de reserves'!$T$2:$T$1178,"NO",'Registre de reserves'!$I$2:$I$1178,'2020'!$A112,'Registre de reserves'!$B$2:$B$1178,'2020'!V$2,Tabla1[ANY],'2020'!$Z$76)</f>
        <v>0</v>
      </c>
      <c r="W112" s="21">
        <f t="shared" si="120"/>
        <v>0</v>
      </c>
      <c r="X112" s="23">
        <f>SUMIFS('Registre de reserves'!$W$2:$W$1178,'Registre de reserves'!$T$2:$T$1178,"NO",'Registre de reserves'!$I$2:$I$1178,'2020'!$A112,'Registre de reserves'!$B$2:$B$1178,'2020'!X$2,Tabla1[ANY],'2020'!$Z$76)</f>
        <v>0</v>
      </c>
      <c r="Y112" s="21">
        <f t="shared" si="121"/>
        <v>0</v>
      </c>
      <c r="Z112" s="20">
        <f t="shared" si="99"/>
        <v>0</v>
      </c>
      <c r="AA112" s="21">
        <f t="shared" si="123"/>
        <v>0</v>
      </c>
    </row>
    <row r="113" spans="1:27" hidden="1" outlineLevel="1" x14ac:dyDescent="0.2">
      <c r="A113" s="8" t="s">
        <v>73</v>
      </c>
      <c r="B113" s="23">
        <f>SUMIFS('Registre de reserves'!$W$2:$W$1178,'Registre de reserves'!$T$2:$T$1178,"NO",'Registre de reserves'!$I$2:$I$1178,'2020'!$A113,'Registre de reserves'!$B$2:$B$1178,'2020'!B$2,Tabla1[ANY],'2020'!$Z$76)</f>
        <v>0</v>
      </c>
      <c r="C113" s="21">
        <f t="shared" si="122"/>
        <v>0</v>
      </c>
      <c r="D113" s="23">
        <f>SUMIFS('Registre de reserves'!$W$2:$W$1178,'Registre de reserves'!$T$2:$T$1178,"NO",'Registre de reserves'!$I$2:$I$1178,'2020'!$A113,'Registre de reserves'!$B$2:$B$1178,'2020'!D$2,Tabla1[ANY],'2020'!$Z$76)</f>
        <v>0</v>
      </c>
      <c r="E113" s="21">
        <f t="shared" si="122"/>
        <v>0</v>
      </c>
      <c r="F113" s="23">
        <f>SUMIFS('Registre de reserves'!$W$2:$W$1178,'Registre de reserves'!$T$2:$T$1178,"NO",'Registre de reserves'!$I$2:$I$1178,'2020'!$A113,'Registre de reserves'!$B$2:$B$1178,'2020'!F$2,Tabla1[ANY],'2020'!$Z$76)</f>
        <v>0</v>
      </c>
      <c r="G113" s="21">
        <f t="shared" si="112"/>
        <v>0</v>
      </c>
      <c r="H113" s="23">
        <f>SUMIFS('Registre de reserves'!$W$2:$W$1178,'Registre de reserves'!$T$2:$T$1178,"NO",'Registre de reserves'!$I$2:$I$1178,'2020'!$A113,'Registre de reserves'!$B$2:$B$1178,'2020'!H$2,Tabla1[ANY],'2020'!$Z$76)</f>
        <v>0</v>
      </c>
      <c r="I113" s="21">
        <f t="shared" si="113"/>
        <v>0</v>
      </c>
      <c r="J113" s="23">
        <f>SUMIFS('Registre de reserves'!$W$2:$W$1178,'Registre de reserves'!$T$2:$T$1178,"NO",'Registre de reserves'!$I$2:$I$1178,'2020'!$A113,'Registre de reserves'!$B$2:$B$1178,'2020'!J$2,Tabla1[ANY],'2020'!$Z$76)</f>
        <v>0</v>
      </c>
      <c r="K113" s="21">
        <f t="shared" si="114"/>
        <v>0</v>
      </c>
      <c r="L113" s="23">
        <f>SUMIFS('Registre de reserves'!$W$2:$W$1178,'Registre de reserves'!$T$2:$T$1178,"NO",'Registre de reserves'!$I$2:$I$1178,'2020'!$A113,'Registre de reserves'!$B$2:$B$1178,'2020'!L$2,Tabla1[ANY],'2020'!$Z$76)</f>
        <v>0</v>
      </c>
      <c r="M113" s="21">
        <f t="shared" si="115"/>
        <v>0</v>
      </c>
      <c r="N113" s="23">
        <f>SUMIFS('Registre de reserves'!$W$2:$W$1178,'Registre de reserves'!$T$2:$T$1178,"NO",'Registre de reserves'!$I$2:$I$1178,'2020'!$A113,'Registre de reserves'!$B$2:$B$1178,'2020'!N$2,Tabla1[ANY],'2020'!$Z$76)</f>
        <v>0</v>
      </c>
      <c r="O113" s="21">
        <f t="shared" si="116"/>
        <v>0</v>
      </c>
      <c r="P113" s="23">
        <f>SUMIFS('Registre de reserves'!$W$2:$W$1178,'Registre de reserves'!$T$2:$T$1178,"NO",'Registre de reserves'!$I$2:$I$1178,'2020'!$A113,'Registre de reserves'!$B$2:$B$1178,'2020'!P$2,Tabla1[ANY],'2020'!$Z$76)</f>
        <v>0</v>
      </c>
      <c r="Q113" s="21">
        <f t="shared" si="117"/>
        <v>0</v>
      </c>
      <c r="R113" s="23">
        <f>SUMIFS('Registre de reserves'!$W$2:$W$1178,'Registre de reserves'!$T$2:$T$1178,"NO",'Registre de reserves'!$I$2:$I$1178,'2020'!$A113,'Registre de reserves'!$B$2:$B$1178,'2020'!R$2,Tabla1[ANY],'2020'!$Z$76)</f>
        <v>0</v>
      </c>
      <c r="S113" s="21">
        <f t="shared" si="118"/>
        <v>0</v>
      </c>
      <c r="T113" s="23">
        <f>SUMIFS('Registre de reserves'!$W$2:$W$1178,'Registre de reserves'!$T$2:$T$1178,"NO",'Registre de reserves'!$I$2:$I$1178,'2020'!$A113,'Registre de reserves'!$B$2:$B$1178,'2020'!T$2,Tabla1[ANY],'2020'!$Z$76)</f>
        <v>0</v>
      </c>
      <c r="U113" s="21">
        <f t="shared" si="119"/>
        <v>0</v>
      </c>
      <c r="V113" s="23">
        <f>SUMIFS('Registre de reserves'!$W$2:$W$1178,'Registre de reserves'!$T$2:$T$1178,"NO",'Registre de reserves'!$I$2:$I$1178,'2020'!$A113,'Registre de reserves'!$B$2:$B$1178,'2020'!V$2,Tabla1[ANY],'2020'!$Z$76)</f>
        <v>0</v>
      </c>
      <c r="W113" s="21">
        <f t="shared" si="120"/>
        <v>0</v>
      </c>
      <c r="X113" s="23">
        <f>SUMIFS('Registre de reserves'!$W$2:$W$1178,'Registre de reserves'!$T$2:$T$1178,"NO",'Registre de reserves'!$I$2:$I$1178,'2020'!$A113,'Registre de reserves'!$B$2:$B$1178,'2020'!X$2,Tabla1[ANY],'2020'!$Z$76)</f>
        <v>0</v>
      </c>
      <c r="Y113" s="21">
        <f t="shared" si="121"/>
        <v>0</v>
      </c>
      <c r="Z113" s="20">
        <f t="shared" si="99"/>
        <v>0</v>
      </c>
      <c r="AA113" s="21">
        <f t="shared" si="123"/>
        <v>0</v>
      </c>
    </row>
    <row r="114" spans="1:27" ht="15.75" collapsed="1" thickBot="1" x14ac:dyDescent="0.25">
      <c r="A114" s="14" t="s">
        <v>78</v>
      </c>
      <c r="B114" s="24">
        <f>B115+B123</f>
        <v>1922.95</v>
      </c>
      <c r="C114" s="25">
        <f>IF(B173=0,0,B114/B77)</f>
        <v>0</v>
      </c>
      <c r="D114" s="24">
        <f>D115+D123</f>
        <v>457.50000000000006</v>
      </c>
      <c r="E114" s="25">
        <f>IF(D173=0,0,D114/D77)</f>
        <v>0</v>
      </c>
      <c r="F114" s="24">
        <f>F115+F123</f>
        <v>353.65000000000003</v>
      </c>
      <c r="G114" s="25">
        <f>IF(F173=0,0,F114/F77)</f>
        <v>0</v>
      </c>
      <c r="H114" s="24">
        <f>H115+H123</f>
        <v>55.34</v>
      </c>
      <c r="I114" s="25">
        <f>IF(H173=0,0,H114/H77)</f>
        <v>0</v>
      </c>
      <c r="J114" s="24">
        <f>J115+J123</f>
        <v>57</v>
      </c>
      <c r="K114" s="25">
        <f>IF(J173=0,0,J114/J77)</f>
        <v>0</v>
      </c>
      <c r="L114" s="24">
        <f>L115+L123</f>
        <v>76.08</v>
      </c>
      <c r="M114" s="25">
        <f>IF(L173=0,0,L114/L77)</f>
        <v>0</v>
      </c>
      <c r="N114" s="24">
        <f>N115+N123</f>
        <v>689.03</v>
      </c>
      <c r="O114" s="25">
        <f>IF(N173=0,0,N114/N77)</f>
        <v>0</v>
      </c>
      <c r="P114" s="24">
        <f>P115+P123</f>
        <v>565.51</v>
      </c>
      <c r="Q114" s="25">
        <f>IF(P173=0,0,P114/P77)</f>
        <v>0</v>
      </c>
      <c r="R114" s="24">
        <f>R115+R123</f>
        <v>495.6</v>
      </c>
      <c r="S114" s="25">
        <f>IF(R173=0,0,R114/R77)</f>
        <v>0</v>
      </c>
      <c r="T114" s="24">
        <f>T115+T123</f>
        <v>431.49</v>
      </c>
      <c r="U114" s="25">
        <f>IF(T173=0,0,T114/T77)</f>
        <v>0</v>
      </c>
      <c r="V114" s="24">
        <f>V115+V123</f>
        <v>57</v>
      </c>
      <c r="W114" s="25">
        <f>IF(V173=0,0,V114/V77)</f>
        <v>0</v>
      </c>
      <c r="X114" s="24">
        <f>X115+X123</f>
        <v>134.94</v>
      </c>
      <c r="Y114" s="25">
        <f>IF(X173=0,0,X114/X77)</f>
        <v>0</v>
      </c>
      <c r="Z114" s="24">
        <f>Z115+Z123</f>
        <v>5296.0899999999992</v>
      </c>
      <c r="AA114" s="25">
        <f>IF(Z173=0,0,Z114/Z77)</f>
        <v>0</v>
      </c>
    </row>
    <row r="115" spans="1:27" x14ac:dyDescent="0.2">
      <c r="A115" s="33" t="s">
        <v>79</v>
      </c>
      <c r="B115" s="18">
        <f>SUM(B116:B122)</f>
        <v>1859.76</v>
      </c>
      <c r="C115" s="19">
        <f>IF(B$114=0,0,B115/B$114)</f>
        <v>0.9671390311760576</v>
      </c>
      <c r="D115" s="18">
        <f>SUM(D116:D122)</f>
        <v>427.34000000000003</v>
      </c>
      <c r="E115" s="19">
        <f>IF(D$114=0,0,D115/D$114)</f>
        <v>0.93407650273224041</v>
      </c>
      <c r="F115" s="18">
        <f>SUM(F116:F122)</f>
        <v>335.04</v>
      </c>
      <c r="G115" s="19">
        <f>IF(F$114=0,0,F115/F$114)</f>
        <v>0.94737735048777039</v>
      </c>
      <c r="H115" s="18">
        <f>SUM(H116:H122)</f>
        <v>55.34</v>
      </c>
      <c r="I115" s="19">
        <f>IF(H$114=0,0,H115/H$114)</f>
        <v>1</v>
      </c>
      <c r="J115" s="18">
        <f>SUM(J116:J122)</f>
        <v>57</v>
      </c>
      <c r="K115" s="19">
        <f>IF(J$114=0,0,J115/J$114)</f>
        <v>1</v>
      </c>
      <c r="L115" s="18">
        <f>SUM(L116:L122)</f>
        <v>57</v>
      </c>
      <c r="M115" s="19">
        <f>IF(L$114=0,0,L115/L$114)</f>
        <v>0.74921135646687698</v>
      </c>
      <c r="N115" s="18">
        <f>SUM(N116:N122)</f>
        <v>363</v>
      </c>
      <c r="O115" s="19">
        <f>IF(N$114=0,0,N115/N$114)</f>
        <v>0.52682756919147211</v>
      </c>
      <c r="P115" s="18">
        <f>SUM(P116:P122)</f>
        <v>399.98999999999995</v>
      </c>
      <c r="Q115" s="19">
        <f>IF(P$114=0,0,P115/P$114)</f>
        <v>0.70730844724231212</v>
      </c>
      <c r="R115" s="18">
        <f>SUM(R116:R122)</f>
        <v>413.67</v>
      </c>
      <c r="S115" s="19">
        <f>IF(R$114=0,0,R115/R$114)</f>
        <v>0.83468523002421302</v>
      </c>
      <c r="T115" s="18">
        <f>SUM(T116:T122)</f>
        <v>431.49</v>
      </c>
      <c r="U115" s="19">
        <f>IF(T$114=0,0,T115/T$114)</f>
        <v>1</v>
      </c>
      <c r="V115" s="18">
        <f>SUM(V116:V122)</f>
        <v>57</v>
      </c>
      <c r="W115" s="19">
        <f>IF(V$114=0,0,V115/V$114)</f>
        <v>1</v>
      </c>
      <c r="X115" s="18">
        <f>SUM(X116:X122)</f>
        <v>57</v>
      </c>
      <c r="Y115" s="19">
        <f>IF(X$114=0,0,X115/X$114)</f>
        <v>0.42240995998221431</v>
      </c>
      <c r="Z115" s="18">
        <f>SUM(Z116:Z122)</f>
        <v>4513.6299999999992</v>
      </c>
      <c r="AA115" s="19">
        <f>IF(Z$114=0,0,Z115/Z$114)</f>
        <v>0.85225704245962586</v>
      </c>
    </row>
    <row r="116" spans="1:27" hidden="1" outlineLevel="1" x14ac:dyDescent="0.2">
      <c r="A116" s="8" t="s">
        <v>16</v>
      </c>
      <c r="B116" s="20">
        <f>SUMIFS(Tabla2[A],Tabla2[ANY],$Z$76,Tabla2[MES],'2020'!B$2,Tabla2[TIPUS],'2020'!$A116)</f>
        <v>906</v>
      </c>
      <c r="C116" s="21">
        <f>IF(B$115=0,0,B116/B$115)</f>
        <v>0.48715963350109692</v>
      </c>
      <c r="D116" s="20">
        <f>SUMIFS(Tabla2[A],Tabla2[ANY],$Z$76,Tabla2[MES],'2020'!D$2,Tabla2[TIPUS],'2020'!$A116)</f>
        <v>306</v>
      </c>
      <c r="E116" s="21">
        <f>IF(D$115=0,0,D116/D$115)</f>
        <v>0.71605747180231194</v>
      </c>
      <c r="F116" s="20">
        <f>SUMIFS(Tabla2[A],Tabla2[ANY],$Z$76,Tabla2[MES],'2020'!F$2,Tabla2[TIPUS],'2020'!$A116)</f>
        <v>306</v>
      </c>
      <c r="G116" s="21">
        <f t="shared" ref="G116:G122" si="124">IF(F$115=0,0,F116/F$115)</f>
        <v>0.91332378223495692</v>
      </c>
      <c r="H116" s="20">
        <f>SUMIFS(Tabla2[A],Tabla2[ANY],$Z$76,Tabla2[MES],'2020'!H$2,Tabla2[TIPUS],'2020'!$A116)</f>
        <v>0</v>
      </c>
      <c r="I116" s="21">
        <f t="shared" ref="I116:I122" si="125">IF(H$115=0,0,H116/H$115)</f>
        <v>0</v>
      </c>
      <c r="J116" s="20">
        <f>SUMIFS(Tabla2[A],Tabla2[ANY],$Z$76,Tabla2[MES],'2020'!J$2,Tabla2[TIPUS],'2020'!$A116)</f>
        <v>0</v>
      </c>
      <c r="K116" s="21">
        <f t="shared" ref="K116:K122" si="126">IF(J$115=0,0,J116/J$115)</f>
        <v>0</v>
      </c>
      <c r="L116" s="20">
        <f>SUMIFS(Tabla2[A],Tabla2[ANY],$Z$76,Tabla2[MES],'2020'!L$2,Tabla2[TIPUS],'2020'!$A116)</f>
        <v>0</v>
      </c>
      <c r="M116" s="21">
        <f t="shared" ref="M116:M122" si="127">IF(L$115=0,0,L116/L$115)</f>
        <v>0</v>
      </c>
      <c r="N116" s="20">
        <f>SUMIFS(Tabla2[A],Tabla2[ANY],$Z$76,Tabla2[MES],'2020'!N$2,Tabla2[TIPUS],'2020'!$A116)</f>
        <v>306</v>
      </c>
      <c r="O116" s="21">
        <f t="shared" ref="O116:O122" si="128">IF(N$115=0,0,N116/N$115)</f>
        <v>0.84297520661157022</v>
      </c>
      <c r="P116" s="20">
        <f>SUMIFS(Tabla2[A],Tabla2[ANY],$Z$76,Tabla2[MES],'2020'!P$2,Tabla2[TIPUS],'2020'!$A116)</f>
        <v>306</v>
      </c>
      <c r="Q116" s="21">
        <f t="shared" ref="Q116:Q122" si="129">IF(P$115=0,0,P116/P$115)</f>
        <v>0.765019125478137</v>
      </c>
      <c r="R116" s="20">
        <f>SUMIFS(Tabla2[A],Tabla2[ANY],$Z$76,Tabla2[MES],'2020'!R$2,Tabla2[TIPUS],'2020'!$A116)</f>
        <v>306</v>
      </c>
      <c r="S116" s="21">
        <f t="shared" ref="S116:S122" si="130">IF(R$115=0,0,R116/R$115)</f>
        <v>0.73972006671984913</v>
      </c>
      <c r="T116" s="20">
        <f>SUMIFS(Tabla2[A],Tabla2[ANY],$Z$76,Tabla2[MES],'2020'!T$2,Tabla2[TIPUS],'2020'!$A116)</f>
        <v>306</v>
      </c>
      <c r="U116" s="21">
        <f t="shared" ref="U116:U122" si="131">IF(T$115=0,0,T116/T$115)</f>
        <v>0.7091705485642773</v>
      </c>
      <c r="V116" s="20">
        <f>SUMIFS(Tabla2[A],Tabla2[ANY],$Z$76,Tabla2[MES],'2020'!V$2,Tabla2[TIPUS],'2020'!$A116)</f>
        <v>0</v>
      </c>
      <c r="W116" s="21">
        <f t="shared" ref="W116:W122" si="132">IF(V$115=0,0,V116/V$115)</f>
        <v>0</v>
      </c>
      <c r="X116" s="20">
        <f>SUMIFS(Tabla2[A],Tabla2[ANY],$Z$76,Tabla2[MES],'2020'!X$2,Tabla2[TIPUS],'2020'!$A116)</f>
        <v>0</v>
      </c>
      <c r="Y116" s="21">
        <f t="shared" ref="Y116:Y122" si="133">IF(X$115=0,0,X116/X$115)</f>
        <v>0</v>
      </c>
      <c r="Z116" s="20">
        <f t="shared" ref="Z116:Z128" si="134">B116+D116+F116+H116+J116+L116+N116+P116+R116+T116+V116+X116</f>
        <v>2742</v>
      </c>
      <c r="AA116" s="21">
        <f>IF(Z$115=0,0,Z116/Z$115)</f>
        <v>0.60749330361593668</v>
      </c>
    </row>
    <row r="117" spans="1:27" hidden="1" outlineLevel="1" x14ac:dyDescent="0.2">
      <c r="A117" s="8" t="s">
        <v>17</v>
      </c>
      <c r="B117" s="20">
        <f>SUMIFS(Tabla2[A],Tabla2[ANY],$Z$76,Tabla2[MES],'2020'!B$2,Tabla2[TIPUS],'2020'!$A117)</f>
        <v>67.540000000000006</v>
      </c>
      <c r="C117" s="21">
        <f t="shared" ref="C117:E122" si="135">IF(B$115=0,0,B117/B$115)</f>
        <v>3.6316513958790382E-2</v>
      </c>
      <c r="D117" s="20">
        <f>SUMIFS(Tabla2[A],Tabla2[ANY],$Z$76,Tabla2[MES],'2020'!D$2,Tabla2[TIPUS],'2020'!$A117)</f>
        <v>67.540000000000006</v>
      </c>
      <c r="E117" s="21">
        <f t="shared" si="135"/>
        <v>0.15804745635793513</v>
      </c>
      <c r="F117" s="20">
        <f>SUMIFS(Tabla2[A],Tabla2[ANY],$Z$76,Tabla2[MES],'2020'!F$2,Tabla2[TIPUS],'2020'!$A117)</f>
        <v>29.040000000000006</v>
      </c>
      <c r="G117" s="21">
        <f t="shared" si="124"/>
        <v>8.6676217765042987E-2</v>
      </c>
      <c r="H117" s="20">
        <f>SUMIFS(Tabla2[A],Tabla2[ANY],$Z$76,Tabla2[MES],'2020'!H$2,Tabla2[TIPUS],'2020'!$A117)</f>
        <v>0</v>
      </c>
      <c r="I117" s="21">
        <f t="shared" si="125"/>
        <v>0</v>
      </c>
      <c r="J117" s="20">
        <f>SUMIFS(Tabla2[A],Tabla2[ANY],$Z$76,Tabla2[MES],'2020'!J$2,Tabla2[TIPUS],'2020'!$A117)</f>
        <v>0</v>
      </c>
      <c r="K117" s="21">
        <f t="shared" si="126"/>
        <v>0</v>
      </c>
      <c r="L117" s="20">
        <f>SUMIFS(Tabla2[A],Tabla2[ANY],$Z$76,Tabla2[MES],'2020'!L$2,Tabla2[TIPUS],'2020'!$A117)</f>
        <v>0</v>
      </c>
      <c r="M117" s="21">
        <f t="shared" si="127"/>
        <v>0</v>
      </c>
      <c r="N117" s="20">
        <f>SUMIFS(Tabla2[A],Tabla2[ANY],$Z$76,Tabla2[MES],'2020'!N$2,Tabla2[TIPUS],'2020'!$A117)</f>
        <v>0</v>
      </c>
      <c r="O117" s="21">
        <f t="shared" si="128"/>
        <v>0</v>
      </c>
      <c r="P117" s="20">
        <f>SUMIFS(Tabla2[A],Tabla2[ANY],$Z$76,Tabla2[MES],'2020'!P$2,Tabla2[TIPUS],'2020'!$A117)</f>
        <v>33.78</v>
      </c>
      <c r="Q117" s="21">
        <f t="shared" si="129"/>
        <v>8.4452111302782587E-2</v>
      </c>
      <c r="R117" s="20">
        <f>SUMIFS(Tabla2[A],Tabla2[ANY],$Z$76,Tabla2[MES],'2020'!R$2,Tabla2[TIPUS],'2020'!$A117)</f>
        <v>50.67</v>
      </c>
      <c r="S117" s="21">
        <f t="shared" si="130"/>
        <v>0.12248894045978678</v>
      </c>
      <c r="T117" s="20">
        <f>SUMIFS(Tabla2[A],Tabla2[ANY],$Z$76,Tabla2[MES],'2020'!T$2,Tabla2[TIPUS],'2020'!$A117)</f>
        <v>68.489999999999995</v>
      </c>
      <c r="U117" s="21">
        <f t="shared" si="131"/>
        <v>0.15872905513453381</v>
      </c>
      <c r="V117" s="20">
        <f>SUMIFS(Tabla2[A],Tabla2[ANY],$Z$76,Tabla2[MES],'2020'!V$2,Tabla2[TIPUS],'2020'!$A117)</f>
        <v>0</v>
      </c>
      <c r="W117" s="21">
        <f t="shared" si="132"/>
        <v>0</v>
      </c>
      <c r="X117" s="20">
        <f>SUMIFS(Tabla2[A],Tabla2[ANY],$Z$76,Tabla2[MES],'2020'!X$2,Tabla2[TIPUS],'2020'!$A117)</f>
        <v>0</v>
      </c>
      <c r="Y117" s="21">
        <f t="shared" si="133"/>
        <v>0</v>
      </c>
      <c r="Z117" s="20">
        <f t="shared" si="134"/>
        <v>317.06</v>
      </c>
      <c r="AA117" s="21">
        <f t="shared" ref="AA117:AA122" si="136">IF(Z$115=0,0,Z117/Z$115)</f>
        <v>7.0245013437078369E-2</v>
      </c>
    </row>
    <row r="118" spans="1:27" hidden="1" outlineLevel="1" x14ac:dyDescent="0.2">
      <c r="A118" s="8" t="s">
        <v>85</v>
      </c>
      <c r="B118" s="20">
        <f>SUMIFS(Tabla2[A],Tabla2[ANY],$Z$76,Tabla2[MES],'2020'!B$2,Tabla2[TIPUS],'2020'!$A118)</f>
        <v>0</v>
      </c>
      <c r="C118" s="21">
        <f t="shared" si="135"/>
        <v>0</v>
      </c>
      <c r="D118" s="20">
        <f>SUMIFS(Tabla2[A],Tabla2[ANY],$Z$76,Tabla2[MES],'2020'!D$2,Tabla2[TIPUS],'2020'!$A118)</f>
        <v>0</v>
      </c>
      <c r="E118" s="21">
        <f t="shared" si="135"/>
        <v>0</v>
      </c>
      <c r="F118" s="20">
        <f>SUMIFS(Tabla2[A],Tabla2[ANY],$Z$76,Tabla2[MES],'2020'!F$2,Tabla2[TIPUS],'2020'!$A118)</f>
        <v>0</v>
      </c>
      <c r="G118" s="21">
        <f t="shared" si="124"/>
        <v>0</v>
      </c>
      <c r="H118" s="20">
        <f>SUMIFS(Tabla2[A],Tabla2[ANY],$Z$76,Tabla2[MES],'2020'!H$2,Tabla2[TIPUS],'2020'!$A118)</f>
        <v>0</v>
      </c>
      <c r="I118" s="21">
        <f t="shared" si="125"/>
        <v>0</v>
      </c>
      <c r="J118" s="20">
        <f>SUMIFS(Tabla2[A],Tabla2[ANY],$Z$76,Tabla2[MES],'2020'!J$2,Tabla2[TIPUS],'2020'!$A118)</f>
        <v>0</v>
      </c>
      <c r="K118" s="21">
        <f t="shared" si="126"/>
        <v>0</v>
      </c>
      <c r="L118" s="20">
        <f>SUMIFS(Tabla2[A],Tabla2[ANY],$Z$76,Tabla2[MES],'2020'!L$2,Tabla2[TIPUS],'2020'!$A118)</f>
        <v>0</v>
      </c>
      <c r="M118" s="21">
        <f t="shared" si="127"/>
        <v>0</v>
      </c>
      <c r="N118" s="20">
        <f>SUMIFS(Tabla2[A],Tabla2[ANY],$Z$76,Tabla2[MES],'2020'!N$2,Tabla2[TIPUS],'2020'!$A118)</f>
        <v>0</v>
      </c>
      <c r="O118" s="21">
        <f t="shared" si="128"/>
        <v>0</v>
      </c>
      <c r="P118" s="20">
        <f>SUMIFS(Tabla2[A],Tabla2[ANY],$Z$76,Tabla2[MES],'2020'!P$2,Tabla2[TIPUS],'2020'!$A118)</f>
        <v>0</v>
      </c>
      <c r="Q118" s="21">
        <f t="shared" si="129"/>
        <v>0</v>
      </c>
      <c r="R118" s="20">
        <f>SUMIFS(Tabla2[A],Tabla2[ANY],$Z$76,Tabla2[MES],'2020'!R$2,Tabla2[TIPUS],'2020'!$A118)</f>
        <v>0</v>
      </c>
      <c r="S118" s="21">
        <f t="shared" si="130"/>
        <v>0</v>
      </c>
      <c r="T118" s="20">
        <f>SUMIFS(Tabla2[A],Tabla2[ANY],$Z$76,Tabla2[MES],'2020'!T$2,Tabla2[TIPUS],'2020'!$A118)</f>
        <v>0</v>
      </c>
      <c r="U118" s="21">
        <f t="shared" si="131"/>
        <v>0</v>
      </c>
      <c r="V118" s="20">
        <f>SUMIFS(Tabla2[A],Tabla2[ANY],$Z$76,Tabla2[MES],'2020'!V$2,Tabla2[TIPUS],'2020'!$A118)</f>
        <v>0</v>
      </c>
      <c r="W118" s="21">
        <f t="shared" si="132"/>
        <v>0</v>
      </c>
      <c r="X118" s="20">
        <f>SUMIFS(Tabla2[A],Tabla2[ANY],$Z$76,Tabla2[MES],'2020'!X$2,Tabla2[TIPUS],'2020'!$A118)</f>
        <v>0</v>
      </c>
      <c r="Y118" s="21">
        <f t="shared" si="133"/>
        <v>0</v>
      </c>
      <c r="Z118" s="20">
        <f t="shared" si="134"/>
        <v>0</v>
      </c>
      <c r="AA118" s="21">
        <f t="shared" si="136"/>
        <v>0</v>
      </c>
    </row>
    <row r="119" spans="1:27" hidden="1" outlineLevel="1" x14ac:dyDescent="0.2">
      <c r="A119" s="8" t="s">
        <v>94</v>
      </c>
      <c r="B119" s="20">
        <f>SUMIFS(Tabla2[A],Tabla2[ANY],$Z$76,Tabla2[MES],'2020'!B$2,Tabla2[TIPUS],'2020'!$A119)</f>
        <v>362.22</v>
      </c>
      <c r="C119" s="21">
        <f t="shared" si="135"/>
        <v>0.19476706671828625</v>
      </c>
      <c r="D119" s="20">
        <f>SUMIFS(Tabla2[A],Tabla2[ANY],$Z$76,Tabla2[MES],'2020'!D$2,Tabla2[TIPUS],'2020'!$A119)</f>
        <v>0</v>
      </c>
      <c r="E119" s="21">
        <f t="shared" si="135"/>
        <v>0</v>
      </c>
      <c r="F119" s="20">
        <f>SUMIFS(Tabla2[A],Tabla2[ANY],$Z$76,Tabla2[MES],'2020'!F$2,Tabla2[TIPUS],'2020'!$A119)</f>
        <v>0</v>
      </c>
      <c r="G119" s="21">
        <f t="shared" si="124"/>
        <v>0</v>
      </c>
      <c r="H119" s="20">
        <f>SUMIFS(Tabla2[A],Tabla2[ANY],$Z$76,Tabla2[MES],'2020'!H$2,Tabla2[TIPUS],'2020'!$A119)</f>
        <v>0</v>
      </c>
      <c r="I119" s="21">
        <f t="shared" si="125"/>
        <v>0</v>
      </c>
      <c r="J119" s="20">
        <f>SUMIFS(Tabla2[A],Tabla2[ANY],$Z$76,Tabla2[MES],'2020'!J$2,Tabla2[TIPUS],'2020'!$A119)</f>
        <v>0</v>
      </c>
      <c r="K119" s="21">
        <f t="shared" si="126"/>
        <v>0</v>
      </c>
      <c r="L119" s="20">
        <f>SUMIFS(Tabla2[A],Tabla2[ANY],$Z$76,Tabla2[MES],'2020'!L$2,Tabla2[TIPUS],'2020'!$A119)</f>
        <v>0</v>
      </c>
      <c r="M119" s="21">
        <f t="shared" si="127"/>
        <v>0</v>
      </c>
      <c r="N119" s="20">
        <f>SUMIFS(Tabla2[A],Tabla2[ANY],$Z$76,Tabla2[MES],'2020'!N$2,Tabla2[TIPUS],'2020'!$A119)</f>
        <v>0</v>
      </c>
      <c r="O119" s="21">
        <f t="shared" si="128"/>
        <v>0</v>
      </c>
      <c r="P119" s="20">
        <f>SUMIFS(Tabla2[A],Tabla2[ANY],$Z$76,Tabla2[MES],'2020'!P$2,Tabla2[TIPUS],'2020'!$A119)</f>
        <v>0</v>
      </c>
      <c r="Q119" s="21">
        <f t="shared" si="129"/>
        <v>0</v>
      </c>
      <c r="R119" s="20">
        <f>SUMIFS(Tabla2[A],Tabla2[ANY],$Z$76,Tabla2[MES],'2020'!R$2,Tabla2[TIPUS],'2020'!$A119)</f>
        <v>0</v>
      </c>
      <c r="S119" s="21">
        <f t="shared" si="130"/>
        <v>0</v>
      </c>
      <c r="T119" s="20">
        <f>SUMIFS(Tabla2[A],Tabla2[ANY],$Z$76,Tabla2[MES],'2020'!T$2,Tabla2[TIPUS],'2020'!$A119)</f>
        <v>0</v>
      </c>
      <c r="U119" s="21">
        <f t="shared" si="131"/>
        <v>0</v>
      </c>
      <c r="V119" s="20">
        <f>SUMIFS(Tabla2[A],Tabla2[ANY],$Z$76,Tabla2[MES],'2020'!V$2,Tabla2[TIPUS],'2020'!$A119)</f>
        <v>0</v>
      </c>
      <c r="W119" s="21">
        <f t="shared" si="132"/>
        <v>0</v>
      </c>
      <c r="X119" s="20">
        <f>SUMIFS(Tabla2[A],Tabla2[ANY],$Z$76,Tabla2[MES],'2020'!X$2,Tabla2[TIPUS],'2020'!$A119)</f>
        <v>0</v>
      </c>
      <c r="Y119" s="21">
        <f t="shared" si="133"/>
        <v>0</v>
      </c>
      <c r="Z119" s="20">
        <f t="shared" si="134"/>
        <v>362.22</v>
      </c>
      <c r="AA119" s="21">
        <f t="shared" si="136"/>
        <v>8.0250264199768273E-2</v>
      </c>
    </row>
    <row r="120" spans="1:27" hidden="1" outlineLevel="1" x14ac:dyDescent="0.2">
      <c r="A120" s="8" t="s">
        <v>118</v>
      </c>
      <c r="B120" s="20">
        <f>SUMIFS(Tabla2[A],Tabla2[ANY],$Z$76,Tabla2[MES],'2020'!B$2,Tabla2[TIPUS],'2020'!$A120)</f>
        <v>499</v>
      </c>
      <c r="C120" s="21">
        <f t="shared" si="135"/>
        <v>0.2683141910784187</v>
      </c>
      <c r="D120" s="20">
        <f>SUMIFS(Tabla2[A],Tabla2[ANY],$Z$76,Tabla2[MES],'2020'!D$2,Tabla2[TIPUS],'2020'!$A120)</f>
        <v>0</v>
      </c>
      <c r="E120" s="21">
        <f t="shared" si="135"/>
        <v>0</v>
      </c>
      <c r="F120" s="20">
        <f>SUMIFS(Tabla2[A],Tabla2[ANY],$Z$76,Tabla2[MES],'2020'!F$2,Tabla2[TIPUS],'2020'!$A120)</f>
        <v>0</v>
      </c>
      <c r="G120" s="21">
        <f t="shared" si="124"/>
        <v>0</v>
      </c>
      <c r="H120" s="20">
        <f>SUMIFS(Tabla2[A],Tabla2[ANY],$Z$76,Tabla2[MES],'2020'!H$2,Tabla2[TIPUS],'2020'!$A120)</f>
        <v>0</v>
      </c>
      <c r="I120" s="21">
        <f t="shared" si="125"/>
        <v>0</v>
      </c>
      <c r="J120" s="20">
        <f>SUMIFS(Tabla2[A],Tabla2[ANY],$Z$76,Tabla2[MES],'2020'!J$2,Tabla2[TIPUS],'2020'!$A120)</f>
        <v>0</v>
      </c>
      <c r="K120" s="21">
        <f t="shared" si="126"/>
        <v>0</v>
      </c>
      <c r="L120" s="20">
        <f>SUMIFS(Tabla2[A],Tabla2[ANY],$Z$76,Tabla2[MES],'2020'!L$2,Tabla2[TIPUS],'2020'!$A120)</f>
        <v>0</v>
      </c>
      <c r="M120" s="21">
        <f t="shared" si="127"/>
        <v>0</v>
      </c>
      <c r="N120" s="20">
        <f>SUMIFS(Tabla2[A],Tabla2[ANY],$Z$76,Tabla2[MES],'2020'!N$2,Tabla2[TIPUS],'2020'!$A120)</f>
        <v>0</v>
      </c>
      <c r="O120" s="21">
        <f t="shared" si="128"/>
        <v>0</v>
      </c>
      <c r="P120" s="20">
        <f>SUMIFS(Tabla2[A],Tabla2[ANY],$Z$76,Tabla2[MES],'2020'!P$2,Tabla2[TIPUS],'2020'!$A120)</f>
        <v>0</v>
      </c>
      <c r="Q120" s="21">
        <f t="shared" si="129"/>
        <v>0</v>
      </c>
      <c r="R120" s="20">
        <f>SUMIFS(Tabla2[A],Tabla2[ANY],$Z$76,Tabla2[MES],'2020'!R$2,Tabla2[TIPUS],'2020'!$A120)</f>
        <v>0</v>
      </c>
      <c r="S120" s="21">
        <f t="shared" si="130"/>
        <v>0</v>
      </c>
      <c r="T120" s="20">
        <f>SUMIFS(Tabla2[A],Tabla2[ANY],$Z$76,Tabla2[MES],'2020'!T$2,Tabla2[TIPUS],'2020'!$A120)</f>
        <v>0</v>
      </c>
      <c r="U120" s="21">
        <f t="shared" si="131"/>
        <v>0</v>
      </c>
      <c r="V120" s="20">
        <f>SUMIFS(Tabla2[A],Tabla2[ANY],$Z$76,Tabla2[MES],'2020'!V$2,Tabla2[TIPUS],'2020'!$A120)</f>
        <v>0</v>
      </c>
      <c r="W120" s="21">
        <f t="shared" si="132"/>
        <v>0</v>
      </c>
      <c r="X120" s="20">
        <f>SUMIFS(Tabla2[A],Tabla2[ANY],$Z$76,Tabla2[MES],'2020'!X$2,Tabla2[TIPUS],'2020'!$A120)</f>
        <v>0</v>
      </c>
      <c r="Y120" s="21">
        <f t="shared" si="133"/>
        <v>0</v>
      </c>
      <c r="Z120" s="20">
        <f t="shared" si="134"/>
        <v>499</v>
      </c>
      <c r="AA120" s="21">
        <f t="shared" si="136"/>
        <v>0.11055403300669309</v>
      </c>
    </row>
    <row r="121" spans="1:27" hidden="1" outlineLevel="1" x14ac:dyDescent="0.2">
      <c r="A121" s="8" t="s">
        <v>97</v>
      </c>
      <c r="B121" s="20">
        <f>SUMIFS(Tabla2[A],Tabla2[ANY],$Z$76,Tabla2[MES],'2020'!B$2,Tabla2[TIPUS],'2020'!$A121)</f>
        <v>0</v>
      </c>
      <c r="C121" s="21">
        <f t="shared" si="135"/>
        <v>0</v>
      </c>
      <c r="D121" s="20">
        <f>SUMIFS(Tabla2[A],Tabla2[ANY],$Z$76,Tabla2[MES],'2020'!D$2,Tabla2[TIPUS],'2020'!$A121)</f>
        <v>0</v>
      </c>
      <c r="E121" s="21">
        <f t="shared" si="135"/>
        <v>0</v>
      </c>
      <c r="F121" s="20">
        <f>SUMIFS(Tabla2[A],Tabla2[ANY],$Z$76,Tabla2[MES],'2020'!F$2,Tabla2[TIPUS],'2020'!$A121)</f>
        <v>0</v>
      </c>
      <c r="G121" s="21">
        <f t="shared" si="124"/>
        <v>0</v>
      </c>
      <c r="H121" s="20">
        <f>SUMIFS(Tabla2[A],Tabla2[ANY],$Z$76,Tabla2[MES],'2020'!H$2,Tabla2[TIPUS],'2020'!$A121)</f>
        <v>0</v>
      </c>
      <c r="I121" s="21">
        <f t="shared" si="125"/>
        <v>0</v>
      </c>
      <c r="J121" s="20">
        <f>SUMIFS(Tabla2[A],Tabla2[ANY],$Z$76,Tabla2[MES],'2020'!J$2,Tabla2[TIPUS],'2020'!$A121)</f>
        <v>0</v>
      </c>
      <c r="K121" s="21">
        <f t="shared" si="126"/>
        <v>0</v>
      </c>
      <c r="L121" s="20">
        <f>SUMIFS(Tabla2[A],Tabla2[ANY],$Z$76,Tabla2[MES],'2020'!L$2,Tabla2[TIPUS],'2020'!$A121)</f>
        <v>0</v>
      </c>
      <c r="M121" s="21">
        <f t="shared" si="127"/>
        <v>0</v>
      </c>
      <c r="N121" s="20">
        <f>SUMIFS(Tabla2[A],Tabla2[ANY],$Z$76,Tabla2[MES],'2020'!N$2,Tabla2[TIPUS],'2020'!$A121)</f>
        <v>0</v>
      </c>
      <c r="O121" s="21">
        <f t="shared" si="128"/>
        <v>0</v>
      </c>
      <c r="P121" s="20">
        <f>SUMIFS(Tabla2[A],Tabla2[ANY],$Z$76,Tabla2[MES],'2020'!P$2,Tabla2[TIPUS],'2020'!$A121)</f>
        <v>0</v>
      </c>
      <c r="Q121" s="21">
        <f t="shared" si="129"/>
        <v>0</v>
      </c>
      <c r="R121" s="20">
        <f>SUMIFS(Tabla2[A],Tabla2[ANY],$Z$76,Tabla2[MES],'2020'!R$2,Tabla2[TIPUS],'2020'!$A121)</f>
        <v>0</v>
      </c>
      <c r="S121" s="21">
        <f t="shared" si="130"/>
        <v>0</v>
      </c>
      <c r="T121" s="20">
        <f>SUMIFS(Tabla2[A],Tabla2[ANY],$Z$76,Tabla2[MES],'2020'!T$2,Tabla2[TIPUS],'2020'!$A121)</f>
        <v>0</v>
      </c>
      <c r="U121" s="21">
        <f t="shared" si="131"/>
        <v>0</v>
      </c>
      <c r="V121" s="20">
        <f>SUMIFS(Tabla2[A],Tabla2[ANY],$Z$76,Tabla2[MES],'2020'!V$2,Tabla2[TIPUS],'2020'!$A121)</f>
        <v>0</v>
      </c>
      <c r="W121" s="21">
        <f t="shared" si="132"/>
        <v>0</v>
      </c>
      <c r="X121" s="20">
        <f>SUMIFS(Tabla2[A],Tabla2[ANY],$Z$76,Tabla2[MES],'2020'!X$2,Tabla2[TIPUS],'2020'!$A121)</f>
        <v>0</v>
      </c>
      <c r="Y121" s="21">
        <f t="shared" si="133"/>
        <v>0</v>
      </c>
      <c r="Z121" s="20">
        <f t="shared" si="134"/>
        <v>0</v>
      </c>
      <c r="AA121" s="21">
        <f t="shared" si="136"/>
        <v>0</v>
      </c>
    </row>
    <row r="122" spans="1:27" hidden="1" outlineLevel="1" x14ac:dyDescent="0.2">
      <c r="A122" s="8" t="s">
        <v>113</v>
      </c>
      <c r="B122" s="20">
        <f>SUMIFS(Tabla2[A],Tabla2[ANY],$Z$76,Tabla2[MES],'2020'!B$2,Tabla2[TIPUS],'2020'!$A122)</f>
        <v>25</v>
      </c>
      <c r="C122" s="21">
        <f t="shared" si="135"/>
        <v>1.3442594743407752E-2</v>
      </c>
      <c r="D122" s="20">
        <f>SUMIFS(Tabla2[A],Tabla2[ANY],$Z$76,Tabla2[MES],'2020'!D$2,Tabla2[TIPUS],'2020'!$A122)</f>
        <v>53.8</v>
      </c>
      <c r="E122" s="21">
        <f t="shared" si="135"/>
        <v>0.12589507183975288</v>
      </c>
      <c r="F122" s="20">
        <f>SUMIFS(Tabla2[A],Tabla2[ANY],$Z$76,Tabla2[MES],'2020'!F$2,Tabla2[TIPUS],'2020'!$A122)</f>
        <v>0</v>
      </c>
      <c r="G122" s="21">
        <f t="shared" si="124"/>
        <v>0</v>
      </c>
      <c r="H122" s="20">
        <f>SUMIFS(Tabla2[A],Tabla2[ANY],$Z$76,Tabla2[MES],'2020'!H$2,Tabla2[TIPUS],'2020'!$A122)</f>
        <v>55.34</v>
      </c>
      <c r="I122" s="21">
        <f t="shared" si="125"/>
        <v>1</v>
      </c>
      <c r="J122" s="20">
        <f>SUMIFS(Tabla2[A],Tabla2[ANY],$Z$76,Tabla2[MES],'2020'!J$2,Tabla2[TIPUS],'2020'!$A122)</f>
        <v>57</v>
      </c>
      <c r="K122" s="21">
        <f t="shared" si="126"/>
        <v>1</v>
      </c>
      <c r="L122" s="20">
        <f>SUMIFS(Tabla2[A],Tabla2[ANY],$Z$76,Tabla2[MES],'2020'!L$2,Tabla2[TIPUS],'2020'!$A122)</f>
        <v>57</v>
      </c>
      <c r="M122" s="21">
        <f t="shared" si="127"/>
        <v>1</v>
      </c>
      <c r="N122" s="20">
        <f>SUMIFS(Tabla2[A],Tabla2[ANY],$Z$76,Tabla2[MES],'2020'!N$2,Tabla2[TIPUS],'2020'!$A122)</f>
        <v>57</v>
      </c>
      <c r="O122" s="21">
        <f t="shared" si="128"/>
        <v>0.15702479338842976</v>
      </c>
      <c r="P122" s="20">
        <f>SUMIFS(Tabla2[A],Tabla2[ANY],$Z$76,Tabla2[MES],'2020'!P$2,Tabla2[TIPUS],'2020'!$A122)</f>
        <v>60.21</v>
      </c>
      <c r="Q122" s="21">
        <f t="shared" si="129"/>
        <v>0.15052876321908049</v>
      </c>
      <c r="R122" s="20">
        <f>SUMIFS(Tabla2[A],Tabla2[ANY],$Z$76,Tabla2[MES],'2020'!R$2,Tabla2[TIPUS],'2020'!$A122)</f>
        <v>57</v>
      </c>
      <c r="S122" s="21">
        <f t="shared" si="130"/>
        <v>0.13779099282036406</v>
      </c>
      <c r="T122" s="20">
        <f>SUMIFS(Tabla2[A],Tabla2[ANY],$Z$76,Tabla2[MES],'2020'!T$2,Tabla2[TIPUS],'2020'!$A122)</f>
        <v>57</v>
      </c>
      <c r="U122" s="21">
        <f t="shared" si="131"/>
        <v>0.13210039630118889</v>
      </c>
      <c r="V122" s="20">
        <f>SUMIFS(Tabla2[A],Tabla2[ANY],$Z$76,Tabla2[MES],'2020'!V$2,Tabla2[TIPUS],'2020'!$A122)</f>
        <v>57</v>
      </c>
      <c r="W122" s="21">
        <f t="shared" si="132"/>
        <v>1</v>
      </c>
      <c r="X122" s="20">
        <f>SUMIFS(Tabla2[A],Tabla2[ANY],$Z$76,Tabla2[MES],'2020'!X$2,Tabla2[TIPUS],'2020'!$A122)</f>
        <v>57</v>
      </c>
      <c r="Y122" s="21">
        <f t="shared" si="133"/>
        <v>1</v>
      </c>
      <c r="Z122" s="20">
        <f t="shared" si="134"/>
        <v>593.34999999999991</v>
      </c>
      <c r="AA122" s="21">
        <f t="shared" si="136"/>
        <v>0.13145738574052371</v>
      </c>
    </row>
    <row r="123" spans="1:27" collapsed="1" x14ac:dyDescent="0.2">
      <c r="A123" s="34" t="s">
        <v>86</v>
      </c>
      <c r="B123" s="18">
        <f>SUM(B124:B128)</f>
        <v>63.19</v>
      </c>
      <c r="C123" s="19">
        <f>IF(B$114=0,0,B123/B$114)</f>
        <v>3.2860968823942377E-2</v>
      </c>
      <c r="D123" s="18">
        <f>SUM(D124:D128)</f>
        <v>30.16</v>
      </c>
      <c r="E123" s="19">
        <f>IF(D$114=0,0,D123/D$114)</f>
        <v>6.5923497267759548E-2</v>
      </c>
      <c r="F123" s="18">
        <f>SUM(F124:F128)</f>
        <v>18.61</v>
      </c>
      <c r="G123" s="19">
        <f>IF(F$114=0,0,F123/F$114)</f>
        <v>5.26226495122296E-2</v>
      </c>
      <c r="H123" s="18">
        <f>SUM(H124:H128)</f>
        <v>0</v>
      </c>
      <c r="I123" s="19">
        <f>IF(H$114=0,0,H123/H$114)</f>
        <v>0</v>
      </c>
      <c r="J123" s="18">
        <f>SUM(J124:J128)</f>
        <v>0</v>
      </c>
      <c r="K123" s="19">
        <f>IF(J$114=0,0,J123/J$114)</f>
        <v>0</v>
      </c>
      <c r="L123" s="18">
        <f>SUM(L124:L128)</f>
        <v>19.079999999999998</v>
      </c>
      <c r="M123" s="19">
        <f>IF(L$114=0,0,L123/L$114)</f>
        <v>0.25078864353312302</v>
      </c>
      <c r="N123" s="18">
        <f>SUM(N124:N128)</f>
        <v>326.02999999999997</v>
      </c>
      <c r="O123" s="19">
        <f>IF(N$114=0,0,N123/N$114)</f>
        <v>0.47317243080852789</v>
      </c>
      <c r="P123" s="18">
        <f>SUM(P124:P128)</f>
        <v>165.52</v>
      </c>
      <c r="Q123" s="19">
        <f>IF(P$114=0,0,P123/P$114)</f>
        <v>0.29269155275768777</v>
      </c>
      <c r="R123" s="18">
        <f>SUM(R124:R128)</f>
        <v>81.93</v>
      </c>
      <c r="S123" s="19">
        <f>IF(R$114=0,0,R123/R$114)</f>
        <v>0.16531476997578692</v>
      </c>
      <c r="T123" s="18">
        <f>SUM(T124:T128)</f>
        <v>0</v>
      </c>
      <c r="U123" s="19">
        <f>IF(T$114=0,0,T123/T$114)</f>
        <v>0</v>
      </c>
      <c r="V123" s="18">
        <f>SUM(V124:V128)</f>
        <v>0</v>
      </c>
      <c r="W123" s="19">
        <f>IF(V$114=0,0,V123/V$114)</f>
        <v>0</v>
      </c>
      <c r="X123" s="18">
        <f>SUM(X124:X128)</f>
        <v>77.94</v>
      </c>
      <c r="Y123" s="19">
        <f>IF(X$114=0,0,X123/X$114)</f>
        <v>0.57759004001778569</v>
      </c>
      <c r="Z123" s="18">
        <f>SUM(Z124:Z128)</f>
        <v>782.46</v>
      </c>
      <c r="AA123" s="19">
        <f>IF(Z$114=0,0,Z123/Z$114)</f>
        <v>0.14774295754037414</v>
      </c>
    </row>
    <row r="124" spans="1:27" hidden="1" outlineLevel="1" x14ac:dyDescent="0.2">
      <c r="A124" s="8" t="s">
        <v>87</v>
      </c>
      <c r="B124" s="20">
        <f>SUMIFS(Tabla2[A],Tabla2[ANY],$Z$76,Tabla2[MES],'2020'!B$2,Tabla2[TIPUS],'2020'!$A124)</f>
        <v>27.16</v>
      </c>
      <c r="C124" s="21">
        <f>IF(B$123=0,0,B124/B$123)</f>
        <v>0.4298148441209052</v>
      </c>
      <c r="D124" s="20">
        <f>SUMIFS(Tabla2[A],Tabla2[ANY],$Z$76,Tabla2[MES],'2020'!D$2,Tabla2[TIPUS],'2020'!$A124)</f>
        <v>27.16</v>
      </c>
      <c r="E124" s="21">
        <f>IF(D$123=0,0,D124/D$123)</f>
        <v>0.90053050397877987</v>
      </c>
      <c r="F124" s="20">
        <f>SUMIFS(Tabla2[A],Tabla2[ANY],$Z$76,Tabla2[MES],'2020'!F$2,Tabla2[TIPUS],'2020'!$A124)</f>
        <v>0</v>
      </c>
      <c r="G124" s="21">
        <f>IF(F$123=0,0,F124/F$123)</f>
        <v>0</v>
      </c>
      <c r="H124" s="20">
        <f>SUMIFS(Tabla2[A],Tabla2[ANY],$Z$76,Tabla2[MES],'2020'!H$2,Tabla2[TIPUS],'2020'!$A124)</f>
        <v>0</v>
      </c>
      <c r="I124" s="21">
        <f>IF(H$123=0,0,H124/H$123)</f>
        <v>0</v>
      </c>
      <c r="J124" s="20">
        <f>SUMIFS(Tabla2[A],Tabla2[ANY],$Z$76,Tabla2[MES],'2020'!J$2,Tabla2[TIPUS],'2020'!$A124)</f>
        <v>0</v>
      </c>
      <c r="K124" s="21">
        <f>IF(J$123=0,0,J124/J$123)</f>
        <v>0</v>
      </c>
      <c r="L124" s="20">
        <f>SUMIFS(Tabla2[A],Tabla2[ANY],$Z$76,Tabla2[MES],'2020'!L$2,Tabla2[TIPUS],'2020'!$A124)</f>
        <v>0</v>
      </c>
      <c r="M124" s="21">
        <f>IF(L$123=0,0,L124/L$123)</f>
        <v>0</v>
      </c>
      <c r="N124" s="20">
        <f>SUMIFS(Tabla2[A],Tabla2[ANY],$Z$76,Tabla2[MES],'2020'!N$2,Tabla2[TIPUS],'2020'!$A124)</f>
        <v>164.02</v>
      </c>
      <c r="O124" s="21">
        <f>IF(N$123=0,0,N124/N$123)</f>
        <v>0.50308253841671025</v>
      </c>
      <c r="P124" s="20">
        <f>SUMIFS(Tabla2[A],Tabla2[ANY],$Z$76,Tabla2[MES],'2020'!P$2,Tabla2[TIPUS],'2020'!$A124)</f>
        <v>130.21</v>
      </c>
      <c r="Q124" s="21">
        <f>IF(P$123=0,0,P124/P$123)</f>
        <v>0.78667230546157563</v>
      </c>
      <c r="R124" s="20">
        <f>SUMIFS(Tabla2[A],Tabla2[ANY],$Z$76,Tabla2[MES],'2020'!R$2,Tabla2[TIPUS],'2020'!$A124)</f>
        <v>81.93</v>
      </c>
      <c r="S124" s="21">
        <f>IF(R$123=0,0,R124/R$123)</f>
        <v>1</v>
      </c>
      <c r="T124" s="20">
        <f>SUMIFS(Tabla2[A],Tabla2[ANY],$Z$76,Tabla2[MES],'2020'!T$2,Tabla2[TIPUS],'2020'!$A124)</f>
        <v>0</v>
      </c>
      <c r="U124" s="21">
        <f>IF(T$123=0,0,T124/T$123)</f>
        <v>0</v>
      </c>
      <c r="V124" s="20">
        <f>SUMIFS(Tabla2[A],Tabla2[ANY],$Z$76,Tabla2[MES],'2020'!V$2,Tabla2[TIPUS],'2020'!$A124)</f>
        <v>0</v>
      </c>
      <c r="W124" s="21">
        <f>IF(V$123=0,0,V124/V$123)</f>
        <v>0</v>
      </c>
      <c r="X124" s="20">
        <f>SUMIFS(Tabla2[A],Tabla2[ANY],$Z$76,Tabla2[MES],'2020'!X$2,Tabla2[TIPUS],'2020'!$A124)</f>
        <v>77.94</v>
      </c>
      <c r="Y124" s="21">
        <f>IF(X$123=0,0,X124/X$123)</f>
        <v>1</v>
      </c>
      <c r="Z124" s="20">
        <f t="shared" si="134"/>
        <v>508.42</v>
      </c>
      <c r="AA124" s="21">
        <f>IF(Z$123=0,0,Z124/Z$123)</f>
        <v>0.64977123431229711</v>
      </c>
    </row>
    <row r="125" spans="1:27" hidden="1" outlineLevel="1" x14ac:dyDescent="0.2">
      <c r="A125" s="8" t="s">
        <v>88</v>
      </c>
      <c r="B125" s="20">
        <f>SUMIFS(Tabla2[A],Tabla2[ANY],$Z$76,Tabla2[MES],'2020'!B$2,Tabla2[TIPUS],'2020'!$A125)</f>
        <v>0</v>
      </c>
      <c r="C125" s="21">
        <f t="shared" ref="C125:E128" si="137">IF(B$123=0,0,B125/B$123)</f>
        <v>0</v>
      </c>
      <c r="D125" s="20">
        <f>SUMIFS(Tabla2[A],Tabla2[ANY],$Z$76,Tabla2[MES],'2020'!D$2,Tabla2[TIPUS],'2020'!$A125)</f>
        <v>0</v>
      </c>
      <c r="E125" s="21">
        <f t="shared" si="137"/>
        <v>0</v>
      </c>
      <c r="F125" s="20">
        <f>SUMIFS(Tabla2[A],Tabla2[ANY],$Z$76,Tabla2[MES],'2020'!F$2,Tabla2[TIPUS],'2020'!$A125)</f>
        <v>0</v>
      </c>
      <c r="G125" s="21">
        <f>IF(F$123=0,0,F125/F$123)</f>
        <v>0</v>
      </c>
      <c r="H125" s="20">
        <f>SUMIFS(Tabla2[A],Tabla2[ANY],$Z$76,Tabla2[MES],'2020'!H$2,Tabla2[TIPUS],'2020'!$A125)</f>
        <v>0</v>
      </c>
      <c r="I125" s="21">
        <f>IF(H$123=0,0,H125/H$123)</f>
        <v>0</v>
      </c>
      <c r="J125" s="20">
        <f>SUMIFS(Tabla2[A],Tabla2[ANY],$Z$76,Tabla2[MES],'2020'!J$2,Tabla2[TIPUS],'2020'!$A125)</f>
        <v>0</v>
      </c>
      <c r="K125" s="21">
        <f>IF(J$123=0,0,J125/J$123)</f>
        <v>0</v>
      </c>
      <c r="L125" s="20">
        <f>SUMIFS(Tabla2[A],Tabla2[ANY],$Z$76,Tabla2[MES],'2020'!L$2,Tabla2[TIPUS],'2020'!$A125)</f>
        <v>0</v>
      </c>
      <c r="M125" s="21">
        <f>IF(L$123=0,0,L125/L$123)</f>
        <v>0</v>
      </c>
      <c r="N125" s="20">
        <f>SUMIFS(Tabla2[A],Tabla2[ANY],$Z$76,Tabla2[MES],'2020'!N$2,Tabla2[TIPUS],'2020'!$A125)</f>
        <v>162.01</v>
      </c>
      <c r="O125" s="21">
        <f>IF(N$123=0,0,N125/N$123)</f>
        <v>0.49691746158328992</v>
      </c>
      <c r="P125" s="20">
        <f>SUMIFS(Tabla2[A],Tabla2[ANY],$Z$76,Tabla2[MES],'2020'!P$2,Tabla2[TIPUS],'2020'!$A125)</f>
        <v>0</v>
      </c>
      <c r="Q125" s="21">
        <f>IF(P$123=0,0,P125/P$123)</f>
        <v>0</v>
      </c>
      <c r="R125" s="20">
        <f>SUMIFS(Tabla2[A],Tabla2[ANY],$Z$76,Tabla2[MES],'2020'!R$2,Tabla2[TIPUS],'2020'!$A125)</f>
        <v>0</v>
      </c>
      <c r="S125" s="21">
        <f>IF(R$123=0,0,R125/R$123)</f>
        <v>0</v>
      </c>
      <c r="T125" s="20">
        <f>SUMIFS(Tabla2[A],Tabla2[ANY],$Z$76,Tabla2[MES],'2020'!T$2,Tabla2[TIPUS],'2020'!$A125)</f>
        <v>0</v>
      </c>
      <c r="U125" s="21">
        <f>IF(T$123=0,0,T125/T$123)</f>
        <v>0</v>
      </c>
      <c r="V125" s="20">
        <f>SUMIFS(Tabla2[A],Tabla2[ANY],$Z$76,Tabla2[MES],'2020'!V$2,Tabla2[TIPUS],'2020'!$A125)</f>
        <v>0</v>
      </c>
      <c r="W125" s="21">
        <f>IF(V$123=0,0,V125/V$123)</f>
        <v>0</v>
      </c>
      <c r="X125" s="20">
        <f>SUMIFS(Tabla2[A],Tabla2[ANY],$Z$76,Tabla2[MES],'2020'!X$2,Tabla2[TIPUS],'2020'!$A125)</f>
        <v>0</v>
      </c>
      <c r="Y125" s="21">
        <f>IF(X$123=0,0,X125/X$123)</f>
        <v>0</v>
      </c>
      <c r="Z125" s="20">
        <f t="shared" si="134"/>
        <v>162.01</v>
      </c>
      <c r="AA125" s="21">
        <f>IF(Z$123=0,0,Z125/Z$123)</f>
        <v>0.20705211768013698</v>
      </c>
    </row>
    <row r="126" spans="1:27" hidden="1" outlineLevel="1" x14ac:dyDescent="0.2">
      <c r="A126" s="8" t="s">
        <v>89</v>
      </c>
      <c r="B126" s="20">
        <f>SUMIFS(Tabla2[A],Tabla2[ANY],$Z$76,Tabla2[MES],'2020'!B$2,Tabla2[TIPUS],'2020'!$A126)</f>
        <v>36.03</v>
      </c>
      <c r="C126" s="21">
        <f t="shared" si="137"/>
        <v>0.5701851558790948</v>
      </c>
      <c r="D126" s="20">
        <f>SUMIFS(Tabla2[A],Tabla2[ANY],$Z$76,Tabla2[MES],'2020'!D$2,Tabla2[TIPUS],'2020'!$A126)</f>
        <v>3</v>
      </c>
      <c r="E126" s="21">
        <f t="shared" si="137"/>
        <v>9.9469496021220155E-2</v>
      </c>
      <c r="F126" s="20">
        <f>SUMIFS(Tabla2[A],Tabla2[ANY],$Z$76,Tabla2[MES],'2020'!F$2,Tabla2[TIPUS],'2020'!$A126)</f>
        <v>18.61</v>
      </c>
      <c r="G126" s="21">
        <f>IF(F$123=0,0,F126/F$123)</f>
        <v>1</v>
      </c>
      <c r="H126" s="20">
        <f>SUMIFS(Tabla2[A],Tabla2[ANY],$Z$76,Tabla2[MES],'2020'!H$2,Tabla2[TIPUS],'2020'!$A126)</f>
        <v>0</v>
      </c>
      <c r="I126" s="21">
        <f>IF(H$123=0,0,H126/H$123)</f>
        <v>0</v>
      </c>
      <c r="J126" s="20">
        <f>SUMIFS(Tabla2[A],Tabla2[ANY],$Z$76,Tabla2[MES],'2020'!J$2,Tabla2[TIPUS],'2020'!$A126)</f>
        <v>0</v>
      </c>
      <c r="K126" s="21">
        <f>IF(J$123=0,0,J126/J$123)</f>
        <v>0</v>
      </c>
      <c r="L126" s="20">
        <f>SUMIFS(Tabla2[A],Tabla2[ANY],$Z$76,Tabla2[MES],'2020'!L$2,Tabla2[TIPUS],'2020'!$A126)</f>
        <v>19.079999999999998</v>
      </c>
      <c r="M126" s="21">
        <f>IF(L$123=0,0,L126/L$123)</f>
        <v>1</v>
      </c>
      <c r="N126" s="20">
        <f>SUMIFS(Tabla2[A],Tabla2[ANY],$Z$76,Tabla2[MES],'2020'!N$2,Tabla2[TIPUS],'2020'!$A126)</f>
        <v>0</v>
      </c>
      <c r="O126" s="21">
        <f>IF(N$123=0,0,N126/N$123)</f>
        <v>0</v>
      </c>
      <c r="P126" s="20">
        <f>SUMIFS(Tabla2[A],Tabla2[ANY],$Z$76,Tabla2[MES],'2020'!P$2,Tabla2[TIPUS],'2020'!$A126)</f>
        <v>35.31</v>
      </c>
      <c r="Q126" s="21">
        <f>IF(P$123=0,0,P126/P$123)</f>
        <v>0.21332769453842437</v>
      </c>
      <c r="R126" s="20">
        <f>SUMIFS(Tabla2[A],Tabla2[ANY],$Z$76,Tabla2[MES],'2020'!R$2,Tabla2[TIPUS],'2020'!$A126)</f>
        <v>0</v>
      </c>
      <c r="S126" s="21">
        <f>IF(R$123=0,0,R126/R$123)</f>
        <v>0</v>
      </c>
      <c r="T126" s="20">
        <f>SUMIFS(Tabla2[A],Tabla2[ANY],$Z$76,Tabla2[MES],'2020'!T$2,Tabla2[TIPUS],'2020'!$A126)</f>
        <v>0</v>
      </c>
      <c r="U126" s="21">
        <f>IF(T$123=0,0,T126/T$123)</f>
        <v>0</v>
      </c>
      <c r="V126" s="20">
        <f>SUMIFS(Tabla2[A],Tabla2[ANY],$Z$76,Tabla2[MES],'2020'!V$2,Tabla2[TIPUS],'2020'!$A126)</f>
        <v>0</v>
      </c>
      <c r="W126" s="21">
        <f>IF(V$123=0,0,V126/V$123)</f>
        <v>0</v>
      </c>
      <c r="X126" s="20">
        <f>SUMIFS(Tabla2[A],Tabla2[ANY],$Z$76,Tabla2[MES],'2020'!X$2,Tabla2[TIPUS],'2020'!$A126)</f>
        <v>0</v>
      </c>
      <c r="Y126" s="21">
        <f>IF(X$123=0,0,X126/X$123)</f>
        <v>0</v>
      </c>
      <c r="Z126" s="20">
        <f t="shared" si="134"/>
        <v>112.03</v>
      </c>
      <c r="AA126" s="21">
        <f>IF(Z$123=0,0,Z126/Z$123)</f>
        <v>0.14317664800756588</v>
      </c>
    </row>
    <row r="127" spans="1:27" hidden="1" outlineLevel="1" x14ac:dyDescent="0.2">
      <c r="A127" s="8" t="s">
        <v>145</v>
      </c>
      <c r="B127" s="20">
        <f>SUMIFS(Tabla2[A],Tabla2[ANY],$Z$76,Tabla2[MES],'2020'!B$2,Tabla2[TIPUS],'2020'!$A127)</f>
        <v>0</v>
      </c>
      <c r="C127" s="21">
        <f>IF(B$123=0,0,B127/B$123)</f>
        <v>0</v>
      </c>
      <c r="D127" s="20">
        <f>SUMIFS(Tabla2[A],Tabla2[ANY],$Z$76,Tabla2[MES],'2020'!D$2,Tabla2[TIPUS],'2020'!$A127)</f>
        <v>0</v>
      </c>
      <c r="E127" s="21">
        <f>IF(D$123=0,0,D127/D$123)</f>
        <v>0</v>
      </c>
      <c r="F127" s="20">
        <f>SUMIFS(Tabla2[A],Tabla2[ANY],$Z$76,Tabla2[MES],'2020'!F$2,Tabla2[TIPUS],'2020'!$A127)</f>
        <v>0</v>
      </c>
      <c r="G127" s="21">
        <f>IF(F$123=0,0,F127/F$123)</f>
        <v>0</v>
      </c>
      <c r="H127" s="20">
        <f>SUMIFS(Tabla2[A],Tabla2[ANY],$Z$76,Tabla2[MES],'2020'!H$2,Tabla2[TIPUS],'2020'!$A127)</f>
        <v>0</v>
      </c>
      <c r="I127" s="21">
        <f>IF(H$123=0,0,H127/H$123)</f>
        <v>0</v>
      </c>
      <c r="J127" s="20">
        <f>SUMIFS(Tabla2[A],Tabla2[ANY],$Z$76,Tabla2[MES],'2020'!J$2,Tabla2[TIPUS],'2020'!$A127)</f>
        <v>0</v>
      </c>
      <c r="K127" s="21">
        <f>IF(J$123=0,0,J127/J$123)</f>
        <v>0</v>
      </c>
      <c r="L127" s="20">
        <f>SUMIFS(Tabla2[A],Tabla2[ANY],$Z$76,Tabla2[MES],'2020'!L$2,Tabla2[TIPUS],'2020'!$A127)</f>
        <v>0</v>
      </c>
      <c r="M127" s="21">
        <f>IF(L$123=0,0,L127/L$123)</f>
        <v>0</v>
      </c>
      <c r="N127" s="20">
        <f>SUMIFS(Tabla2[A],Tabla2[ANY],$Z$76,Tabla2[MES],'2020'!N$2,Tabla2[TIPUS],'2020'!$A127)</f>
        <v>0</v>
      </c>
      <c r="O127" s="21">
        <f>IF(N$123=0,0,N127/N$123)</f>
        <v>0</v>
      </c>
      <c r="P127" s="20">
        <f>SUMIFS(Tabla2[A],Tabla2[ANY],$Z$76,Tabla2[MES],'2020'!P$2,Tabla2[TIPUS],'2020'!$A127)</f>
        <v>0</v>
      </c>
      <c r="Q127" s="21">
        <f>IF(P$123=0,0,P127/P$123)</f>
        <v>0</v>
      </c>
      <c r="R127" s="20">
        <f>SUMIFS(Tabla2[A],Tabla2[ANY],$Z$76,Tabla2[MES],'2020'!R$2,Tabla2[TIPUS],'2020'!$A127)</f>
        <v>0</v>
      </c>
      <c r="S127" s="21">
        <f>IF(R$123=0,0,R127/R$123)</f>
        <v>0</v>
      </c>
      <c r="T127" s="20">
        <f>SUMIFS(Tabla2[A],Tabla2[ANY],$Z$76,Tabla2[MES],'2020'!T$2,Tabla2[TIPUS],'2020'!$A127)</f>
        <v>0</v>
      </c>
      <c r="U127" s="21">
        <f>IF(T$123=0,0,T127/T$123)</f>
        <v>0</v>
      </c>
      <c r="V127" s="20">
        <f>SUMIFS(Tabla2[A],Tabla2[ANY],$Z$76,Tabla2[MES],'2020'!V$2,Tabla2[TIPUS],'2020'!$A127)</f>
        <v>0</v>
      </c>
      <c r="W127" s="21">
        <f>IF(V$123=0,0,V127/V$123)</f>
        <v>0</v>
      </c>
      <c r="X127" s="20">
        <f>SUMIFS(Tabla2[A],Tabla2[ANY],$Z$76,Tabla2[MES],'2020'!X$2,Tabla2[TIPUS],'2020'!$A127)</f>
        <v>0</v>
      </c>
      <c r="Y127" s="21">
        <f>IF(X$123=0,0,X127/X$123)</f>
        <v>0</v>
      </c>
      <c r="Z127" s="20">
        <f>B127+D127+F127+H127+J127+L127+N127+P127+R127+T127+V127+X127</f>
        <v>0</v>
      </c>
      <c r="AA127" s="21">
        <f>IF(Z$123=0,0,Z127/Z$123)</f>
        <v>0</v>
      </c>
    </row>
    <row r="128" spans="1:27" hidden="1" outlineLevel="1" x14ac:dyDescent="0.2">
      <c r="A128" s="8" t="s">
        <v>90</v>
      </c>
      <c r="B128" s="20">
        <f>SUMIFS(Tabla2[A],Tabla2[ANY],$Z$76,Tabla2[MES],'2020'!B$2,Tabla2[TIPUS],'2020'!$A128)</f>
        <v>0</v>
      </c>
      <c r="C128" s="21">
        <f t="shared" si="137"/>
        <v>0</v>
      </c>
      <c r="D128" s="20">
        <f>SUMIFS(Tabla2[A],Tabla2[ANY],$Z$76,Tabla2[MES],'2020'!D$2,Tabla2[TIPUS],'2020'!$A128)</f>
        <v>0</v>
      </c>
      <c r="E128" s="21">
        <f t="shared" si="137"/>
        <v>0</v>
      </c>
      <c r="F128" s="20">
        <f>SUMIFS(Tabla2[A],Tabla2[ANY],$Z$76,Tabla2[MES],'2020'!F$2,Tabla2[TIPUS],'2020'!$A128)</f>
        <v>0</v>
      </c>
      <c r="G128" s="21">
        <f>IF(F$123=0,0,F128/F$123)</f>
        <v>0</v>
      </c>
      <c r="H128" s="20">
        <f>SUMIFS(Tabla2[A],Tabla2[ANY],$Z$76,Tabla2[MES],'2020'!H$2,Tabla2[TIPUS],'2020'!$A128)</f>
        <v>0</v>
      </c>
      <c r="I128" s="21">
        <f>IF(H$123=0,0,H128/H$123)</f>
        <v>0</v>
      </c>
      <c r="J128" s="20">
        <f>SUMIFS(Tabla2[A],Tabla2[ANY],$Z$76,Tabla2[MES],'2020'!J$2,Tabla2[TIPUS],'2020'!$A128)</f>
        <v>0</v>
      </c>
      <c r="K128" s="21">
        <f>IF(J$123=0,0,J128/J$123)</f>
        <v>0</v>
      </c>
      <c r="L128" s="20">
        <f>SUMIFS(Tabla2[A],Tabla2[ANY],$Z$76,Tabla2[MES],'2020'!L$2,Tabla2[TIPUS],'2020'!$A128)</f>
        <v>0</v>
      </c>
      <c r="M128" s="21">
        <f>IF(L$123=0,0,L128/L$123)</f>
        <v>0</v>
      </c>
      <c r="N128" s="20">
        <f>SUMIFS(Tabla2[A],Tabla2[ANY],$Z$76,Tabla2[MES],'2020'!N$2,Tabla2[TIPUS],'2020'!$A128)</f>
        <v>0</v>
      </c>
      <c r="O128" s="21">
        <f>IF(N$123=0,0,N128/N$123)</f>
        <v>0</v>
      </c>
      <c r="P128" s="20">
        <f>SUMIFS(Tabla2[A],Tabla2[ANY],$Z$76,Tabla2[MES],'2020'!P$2,Tabla2[TIPUS],'2020'!$A128)</f>
        <v>0</v>
      </c>
      <c r="Q128" s="21">
        <f>IF(P$123=0,0,P128/P$123)</f>
        <v>0</v>
      </c>
      <c r="R128" s="20">
        <f>SUMIFS(Tabla2[A],Tabla2[ANY],$Z$76,Tabla2[MES],'2020'!R$2,Tabla2[TIPUS],'2020'!$A128)</f>
        <v>0</v>
      </c>
      <c r="S128" s="21">
        <f>IF(R$123=0,0,R128/R$123)</f>
        <v>0</v>
      </c>
      <c r="T128" s="20">
        <f>SUMIFS(Tabla2[A],Tabla2[ANY],$Z$76,Tabla2[MES],'2020'!T$2,Tabla2[TIPUS],'2020'!$A128)</f>
        <v>0</v>
      </c>
      <c r="U128" s="21">
        <f>IF(T$123=0,0,T128/T$123)</f>
        <v>0</v>
      </c>
      <c r="V128" s="20">
        <f>SUMIFS(Tabla2[A],Tabla2[ANY],$Z$76,Tabla2[MES],'2020'!V$2,Tabla2[TIPUS],'2020'!$A128)</f>
        <v>0</v>
      </c>
      <c r="W128" s="21">
        <f>IF(V$123=0,0,V128/V$123)</f>
        <v>0</v>
      </c>
      <c r="X128" s="20">
        <f>SUMIFS(Tabla2[A],Tabla2[ANY],$Z$76,Tabla2[MES],'2020'!X$2,Tabla2[TIPUS],'2020'!$A128)</f>
        <v>0</v>
      </c>
      <c r="Y128" s="21">
        <f>IF(X$123=0,0,X128/X$123)</f>
        <v>0</v>
      </c>
      <c r="Z128" s="20">
        <f t="shared" si="134"/>
        <v>0</v>
      </c>
      <c r="AA128" s="21">
        <f>IF(Z$123=0,0,Z128/Z$123)</f>
        <v>0</v>
      </c>
    </row>
    <row r="129" spans="1:29" ht="15.75" collapsed="1" thickBot="1" x14ac:dyDescent="0.25">
      <c r="A129" s="15" t="s">
        <v>121</v>
      </c>
      <c r="B129" s="26">
        <f>B77-B114</f>
        <v>-207.95000000000005</v>
      </c>
      <c r="C129" s="27">
        <f>IF(B77=0,0,B129/B77)</f>
        <v>-0.12125364431486883</v>
      </c>
      <c r="D129" s="26">
        <f>D77-D114</f>
        <v>672.5</v>
      </c>
      <c r="E129" s="27">
        <f>IF(D77=0,0,D129/D77)</f>
        <v>0.59513274336283184</v>
      </c>
      <c r="F129" s="26">
        <f>F77-F114</f>
        <v>-103.65000000000003</v>
      </c>
      <c r="G129" s="27">
        <f>IF(F77=0,0,F129/F77)</f>
        <v>-0.41460000000000014</v>
      </c>
      <c r="H129" s="26">
        <f>H77-H114</f>
        <v>605.86</v>
      </c>
      <c r="I129" s="27">
        <f>IF(H77=0,0,H129/H77)</f>
        <v>0.91630369026013303</v>
      </c>
      <c r="J129" s="26">
        <f>J77-J114</f>
        <v>978.88000000000011</v>
      </c>
      <c r="K129" s="27">
        <f>IF(J77=0,0,J129/J77)</f>
        <v>0.94497432134996329</v>
      </c>
      <c r="L129" s="26">
        <f>L77-L114</f>
        <v>685.12</v>
      </c>
      <c r="M129" s="27">
        <f>IF(L77=0,0,L129/L77)</f>
        <v>0.90005254860746187</v>
      </c>
      <c r="N129" s="26">
        <f>N77-N114</f>
        <v>1845.97</v>
      </c>
      <c r="O129" s="27">
        <f>IF(N77=0,0,N129/N77)</f>
        <v>0.72819329388560161</v>
      </c>
      <c r="P129" s="26">
        <f>P77-P114</f>
        <v>-265.51</v>
      </c>
      <c r="Q129" s="27">
        <f>IF(P77=0,0,P129/P77)</f>
        <v>-0.88503333333333334</v>
      </c>
      <c r="R129" s="26">
        <f>R77-R114</f>
        <v>254.39</v>
      </c>
      <c r="S129" s="27">
        <f>IF(R77=0,0,R129/R77)</f>
        <v>0.33919118921585617</v>
      </c>
      <c r="T129" s="26">
        <f>T77-T114</f>
        <v>90.710000000000036</v>
      </c>
      <c r="U129" s="27">
        <f>IF(T77=0,0,T129/T77)</f>
        <v>0.1737073918039066</v>
      </c>
      <c r="V129" s="26">
        <f>V77-V114</f>
        <v>415.2</v>
      </c>
      <c r="W129" s="27">
        <f>IF(V77=0,0,V129/V77)</f>
        <v>0.87928843710292248</v>
      </c>
      <c r="X129" s="26">
        <f>X77-X114</f>
        <v>2387.2599999999998</v>
      </c>
      <c r="Y129" s="27">
        <f>IF(X77=0,0,X129/X77)</f>
        <v>0.94649908809769245</v>
      </c>
      <c r="Z129" s="26">
        <f>Z77-Z114</f>
        <v>7358.78</v>
      </c>
      <c r="AA129" s="27">
        <f>IF(Z77=0,0,Z129/Z77)</f>
        <v>0.58149787394102037</v>
      </c>
    </row>
    <row r="130" spans="1:29" ht="16.5" thickTop="1" thickBot="1" x14ac:dyDescent="0.25">
      <c r="A130" s="13" t="s">
        <v>120</v>
      </c>
      <c r="B130" s="28">
        <f>B131</f>
        <v>24.77138888888889</v>
      </c>
      <c r="C130" s="29">
        <f>IF(B77=0,0,B130/B77)</f>
        <v>1.4443958535795271E-2</v>
      </c>
      <c r="D130" s="28">
        <f t="shared" ref="D130:Z130" si="138">D131</f>
        <v>24.77138888888889</v>
      </c>
      <c r="E130" s="29">
        <f>IF(D77=0,0,D130/D77)</f>
        <v>2.1921583087512291E-2</v>
      </c>
      <c r="F130" s="28">
        <f t="shared" si="138"/>
        <v>24.77138888888889</v>
      </c>
      <c r="G130" s="29">
        <f>IF(F77=0,0,F130/F77)</f>
        <v>9.9085555555555552E-2</v>
      </c>
      <c r="H130" s="28">
        <f t="shared" si="138"/>
        <v>24.77138888888889</v>
      </c>
      <c r="I130" s="29">
        <f>IF(H77=0,0,H130/H77)</f>
        <v>3.7464290515560932E-2</v>
      </c>
      <c r="J130" s="28">
        <f t="shared" si="138"/>
        <v>24.77138888888889</v>
      </c>
      <c r="K130" s="29">
        <f>IF(J77=0,0,J130/J77)</f>
        <v>2.3913376924826125E-2</v>
      </c>
      <c r="L130" s="28">
        <f t="shared" si="138"/>
        <v>24.77138888888889</v>
      </c>
      <c r="M130" s="29">
        <f>IF(L77=0,0,L130/L77)</f>
        <v>3.2542549775208734E-2</v>
      </c>
      <c r="N130" s="28">
        <f t="shared" si="138"/>
        <v>24.77138888888889</v>
      </c>
      <c r="O130" s="29">
        <f>IF(N77=0,0,N130/N77)</f>
        <v>9.7717510409818104E-3</v>
      </c>
      <c r="P130" s="28">
        <f t="shared" si="138"/>
        <v>24.77138888888889</v>
      </c>
      <c r="Q130" s="29">
        <f>IF(P77=0,0,P130/P77)</f>
        <v>8.2571296296296295E-2</v>
      </c>
      <c r="R130" s="28">
        <f t="shared" si="138"/>
        <v>24.77138888888889</v>
      </c>
      <c r="S130" s="29">
        <f>IF(R77=0,0,R130/R77)</f>
        <v>3.3028958904637244E-2</v>
      </c>
      <c r="T130" s="28">
        <f t="shared" si="138"/>
        <v>24.77138888888889</v>
      </c>
      <c r="U130" s="29">
        <f>IF(T77=0,0,T130/T77)</f>
        <v>4.7436593046512612E-2</v>
      </c>
      <c r="V130" s="28">
        <f t="shared" si="138"/>
        <v>24.77138888888889</v>
      </c>
      <c r="W130" s="29">
        <f>IF(V77=0,0,V130/V77)</f>
        <v>5.2459527507176813E-2</v>
      </c>
      <c r="X130" s="28">
        <f t="shared" si="138"/>
        <v>24.77138888888889</v>
      </c>
      <c r="Y130" s="29">
        <f>IF(X77=0,0,X130/X77)</f>
        <v>9.8213420382558449E-3</v>
      </c>
      <c r="Z130" s="28">
        <f t="shared" si="138"/>
        <v>297.25666666666666</v>
      </c>
      <c r="AA130" s="29">
        <f>IF(Z77=0,0,Z130/Z77)</f>
        <v>2.3489507728381775E-2</v>
      </c>
    </row>
    <row r="131" spans="1:29" hidden="1" outlineLevel="1" x14ac:dyDescent="0.2">
      <c r="A131" s="8" t="s">
        <v>81</v>
      </c>
      <c r="B131" s="20">
        <f>IF($A$2&gt;=1,Tarifas!$F$47,0)</f>
        <v>24.77138888888889</v>
      </c>
      <c r="C131" s="21">
        <f>IF(B130=0,0,B131/B130)</f>
        <v>1</v>
      </c>
      <c r="D131" s="20">
        <f>IF($A$2&gt;=2,Tarifas!$F$47,0)</f>
        <v>24.77138888888889</v>
      </c>
      <c r="E131" s="21">
        <f>IF(D130=0,0,D131/D130)</f>
        <v>1</v>
      </c>
      <c r="F131" s="20">
        <f>IF($A$2&gt;=3,Tarifas!$F$47,0)</f>
        <v>24.77138888888889</v>
      </c>
      <c r="G131" s="21">
        <f>IF(F130=0,0,F131/F130)</f>
        <v>1</v>
      </c>
      <c r="H131" s="20">
        <f>IF($A$2&gt;=4,Tarifas!$F$47,0)</f>
        <v>24.77138888888889</v>
      </c>
      <c r="I131" s="21">
        <f>IF(H130=0,0,H131/H130)</f>
        <v>1</v>
      </c>
      <c r="J131" s="20">
        <f>IF($A$2&gt;=5,Tarifas!$F$47,0)</f>
        <v>24.77138888888889</v>
      </c>
      <c r="K131" s="21">
        <f>IF(J130=0,0,J131/J130)</f>
        <v>1</v>
      </c>
      <c r="L131" s="20">
        <f>IF($A$2&gt;=6,Tarifas!$F$47,0)</f>
        <v>24.77138888888889</v>
      </c>
      <c r="M131" s="21">
        <f>IF(L130=0,0,L131/L130)</f>
        <v>1</v>
      </c>
      <c r="N131" s="20">
        <f>IF($A$2&gt;=7,Tarifas!$F$47,0)</f>
        <v>24.77138888888889</v>
      </c>
      <c r="O131" s="21">
        <f>IF(N130=0,0,N131/N130)</f>
        <v>1</v>
      </c>
      <c r="P131" s="20">
        <f>IF($A$2&gt;=8,Tarifas!$F$47,0)</f>
        <v>24.77138888888889</v>
      </c>
      <c r="Q131" s="21">
        <f>IF(P130=0,0,P131/P130)</f>
        <v>1</v>
      </c>
      <c r="R131" s="20">
        <f>IF($A$2&gt;=9,Tarifas!$F$47,0)</f>
        <v>24.77138888888889</v>
      </c>
      <c r="S131" s="21">
        <f>IF(R130=0,0,R131/R130)</f>
        <v>1</v>
      </c>
      <c r="T131" s="20">
        <f>IF($A$2&gt;=10,Tarifas!$F$47,0)</f>
        <v>24.77138888888889</v>
      </c>
      <c r="U131" s="21">
        <f>IF(T130=0,0,T131/T130)</f>
        <v>1</v>
      </c>
      <c r="V131" s="20">
        <f>IF($A$2&gt;=11,Tarifas!$F$47,0)</f>
        <v>24.77138888888889</v>
      </c>
      <c r="W131" s="21">
        <f>IF(V130=0,0,V131/V130)</f>
        <v>1</v>
      </c>
      <c r="X131" s="20">
        <f>IF($A$2&gt;=12,Tarifas!$F$47,0)</f>
        <v>24.77138888888889</v>
      </c>
      <c r="Y131" s="21">
        <f>IF(X130=0,0,X131/X130)</f>
        <v>1</v>
      </c>
      <c r="Z131" s="20">
        <f>B131+D131+F131+H131+J131+L131+N131+P131+R131+T131+V131+X131</f>
        <v>297.25666666666666</v>
      </c>
      <c r="AA131" s="21">
        <f>IF(Z130=0,0,Z131/Z130)</f>
        <v>1</v>
      </c>
    </row>
    <row r="132" spans="1:29" ht="15.75" collapsed="1" thickBot="1" x14ac:dyDescent="0.25">
      <c r="A132" s="15" t="s">
        <v>122</v>
      </c>
      <c r="B132" s="26">
        <f>B129-B130</f>
        <v>-232.72138888888892</v>
      </c>
      <c r="C132" s="27">
        <f>IF(B$77=0,0,B132/B$77)</f>
        <v>-0.1356976028506641</v>
      </c>
      <c r="D132" s="26">
        <f>D129-D130</f>
        <v>647.72861111111115</v>
      </c>
      <c r="E132" s="27">
        <f>IF(D$77=0,0,D132/D$77)</f>
        <v>0.5732111602753196</v>
      </c>
      <c r="F132" s="26">
        <f>F129-F130</f>
        <v>-128.42138888888891</v>
      </c>
      <c r="G132" s="27">
        <f>IF(F$77=0,0,F132/F$77)</f>
        <v>-0.51368555555555562</v>
      </c>
      <c r="H132" s="26">
        <f>H129-H130</f>
        <v>581.08861111111116</v>
      </c>
      <c r="I132" s="27">
        <f>IF(H$77=0,0,H132/H$77)</f>
        <v>0.87883939974457215</v>
      </c>
      <c r="J132" s="26">
        <f>J129-J130</f>
        <v>954.10861111111126</v>
      </c>
      <c r="K132" s="27">
        <f>IF(J$77=0,0,J132/J$77)</f>
        <v>0.9210609444251372</v>
      </c>
      <c r="L132" s="26">
        <f>L129-L130</f>
        <v>660.34861111111115</v>
      </c>
      <c r="M132" s="27">
        <f>IF(L$77=0,0,L132/L$77)</f>
        <v>0.86750999883225322</v>
      </c>
      <c r="N132" s="26">
        <f>N129-N130</f>
        <v>1821.1986111111112</v>
      </c>
      <c r="O132" s="27">
        <f>IF(N$77=0,0,N132/N$77)</f>
        <v>0.71842154284461979</v>
      </c>
      <c r="P132" s="26">
        <f>P129-P130</f>
        <v>-290.2813888888889</v>
      </c>
      <c r="Q132" s="27">
        <f>IF(P$77=0,0,P132/P$77)</f>
        <v>-0.96760462962962968</v>
      </c>
      <c r="R132" s="26">
        <f>R129-R130</f>
        <v>229.61861111111111</v>
      </c>
      <c r="S132" s="27">
        <f>IF(R$77=0,0,R132/R$77)</f>
        <v>0.30616223031121897</v>
      </c>
      <c r="T132" s="26">
        <f>T129-T130</f>
        <v>65.938611111111143</v>
      </c>
      <c r="U132" s="27">
        <f>IF(T$77=0,0,T132/T$77)</f>
        <v>0.12627079875739397</v>
      </c>
      <c r="V132" s="26">
        <f>V129-V130</f>
        <v>390.42861111111108</v>
      </c>
      <c r="W132" s="27">
        <f>IF(V$77=0,0,V132/V$77)</f>
        <v>0.82682890959574562</v>
      </c>
      <c r="X132" s="26">
        <f>X129-X130</f>
        <v>2362.4886111111109</v>
      </c>
      <c r="Y132" s="27">
        <f>IF(X$77=0,0,X132/X$77)</f>
        <v>0.93667774605943666</v>
      </c>
      <c r="Z132" s="26">
        <f>Z129-Z130</f>
        <v>7061.5233333333326</v>
      </c>
      <c r="AA132" s="27">
        <f>IF(Z$77=0,0,Z132/Z$77)</f>
        <v>0.5580083662126385</v>
      </c>
    </row>
    <row r="133" spans="1:29" ht="16.5" thickTop="1" thickBot="1" x14ac:dyDescent="0.25">
      <c r="A133" s="13" t="s">
        <v>134</v>
      </c>
      <c r="B133" s="28">
        <f>B134</f>
        <v>0</v>
      </c>
      <c r="C133" s="29">
        <f>IF(B$77=0,0,B133/B$77)</f>
        <v>0</v>
      </c>
      <c r="D133" s="28">
        <f>D134</f>
        <v>0</v>
      </c>
      <c r="E133" s="29">
        <f>IF(D$77=0,0,D133/D$77)</f>
        <v>0</v>
      </c>
      <c r="F133" s="28">
        <f>F134</f>
        <v>0</v>
      </c>
      <c r="G133" s="29">
        <f>IF(F$77=0,0,F133/F$77)</f>
        <v>0</v>
      </c>
      <c r="H133" s="28">
        <f>H134</f>
        <v>0</v>
      </c>
      <c r="I133" s="29">
        <f>IF(H$77=0,0,H133/H$77)</f>
        <v>0</v>
      </c>
      <c r="J133" s="28">
        <f>J134</f>
        <v>0</v>
      </c>
      <c r="K133" s="29">
        <f>IF(J$77=0,0,J133/J$77)</f>
        <v>0</v>
      </c>
      <c r="L133" s="28">
        <f>L134</f>
        <v>0</v>
      </c>
      <c r="M133" s="29">
        <f>IF(L$77=0,0,L133/L$77)</f>
        <v>0</v>
      </c>
      <c r="N133" s="28">
        <f>N134</f>
        <v>0</v>
      </c>
      <c r="O133" s="29">
        <f>IF(N$77=0,0,N133/N$77)</f>
        <v>0</v>
      </c>
      <c r="P133" s="28">
        <f>P134</f>
        <v>0</v>
      </c>
      <c r="Q133" s="29">
        <f>IF(P$77=0,0,P133/P$77)</f>
        <v>0</v>
      </c>
      <c r="R133" s="28">
        <f>R134</f>
        <v>0</v>
      </c>
      <c r="S133" s="29">
        <f>IF(R$77=0,0,R133/R$77)</f>
        <v>0</v>
      </c>
      <c r="T133" s="28">
        <f>T134</f>
        <v>0</v>
      </c>
      <c r="U133" s="29">
        <f>IF(T$77=0,0,T133/T$77)</f>
        <v>0</v>
      </c>
      <c r="V133" s="28">
        <f>V134</f>
        <v>0</v>
      </c>
      <c r="W133" s="29">
        <f>IF(V$77=0,0,V133/V$77)</f>
        <v>0</v>
      </c>
      <c r="X133" s="28">
        <f>X134</f>
        <v>0</v>
      </c>
      <c r="Y133" s="29">
        <f>IF(X$77=0,0,X133/X$77)</f>
        <v>0</v>
      </c>
      <c r="Z133" s="28">
        <f>Z134</f>
        <v>0</v>
      </c>
      <c r="AA133" s="29">
        <f>IF(Z$77=0,0,Z133/Z$77)</f>
        <v>0</v>
      </c>
    </row>
    <row r="134" spans="1:29" hidden="1" outlineLevel="1" x14ac:dyDescent="0.2">
      <c r="A134" s="8" t="s">
        <v>133</v>
      </c>
      <c r="B134" s="20">
        <f>SUMIFS(Tabla2[A],Tabla2[ANY],2020,Tabla2[MES],'2020'!B$2,Tabla2[TIPUS],'2020'!$A134)</f>
        <v>0</v>
      </c>
      <c r="C134" s="44">
        <f>IF(B133=0,0,B134/B133)</f>
        <v>0</v>
      </c>
      <c r="D134" s="20">
        <f>SUMIFS(Tabla2[A],Tabla2[ANY],2020,Tabla2[MES],'2020'!D$2,Tabla2[TIPUS],'2020'!$A134)</f>
        <v>0</v>
      </c>
      <c r="E134" s="44">
        <f>IF(D133=0,0,D134/D133)</f>
        <v>0</v>
      </c>
      <c r="F134" s="20">
        <f>SUMIFS(Tabla2[A],Tabla2[ANY],2020,Tabla2[MES],'2020'!F$2,Tabla2[TIPUS],'2020'!$A134)</f>
        <v>0</v>
      </c>
      <c r="G134" s="44">
        <f>IF(F133=0,0,F134/F133)</f>
        <v>0</v>
      </c>
      <c r="H134" s="20">
        <f>SUMIFS(Tabla2[A],Tabla2[ANY],2020,Tabla2[MES],'2020'!H$2,Tabla2[TIPUS],'2020'!$A134)</f>
        <v>0</v>
      </c>
      <c r="I134" s="44">
        <f>IF(H133=0,0,H134/H133)</f>
        <v>0</v>
      </c>
      <c r="J134" s="20">
        <f>SUMIFS(Tabla2[A],Tabla2[ANY],2020,Tabla2[MES],'2020'!J$2,Tabla2[TIPUS],'2020'!$A134)</f>
        <v>0</v>
      </c>
      <c r="K134" s="44">
        <f>IF(J133=0,0,J134/J133)</f>
        <v>0</v>
      </c>
      <c r="L134" s="20">
        <f>SUMIFS(Tabla2[A],Tabla2[ANY],2020,Tabla2[MES],'2020'!L$2,Tabla2[TIPUS],'2020'!$A134)</f>
        <v>0</v>
      </c>
      <c r="M134" s="44">
        <f>IF(L133=0,0,L134/L133)</f>
        <v>0</v>
      </c>
      <c r="N134" s="20">
        <f>SUMIFS(Tabla2[A],Tabla2[ANY],2020,Tabla2[MES],'2020'!N$2,Tabla2[TIPUS],'2020'!$A134)</f>
        <v>0</v>
      </c>
      <c r="O134" s="44">
        <f>IF(N133=0,0,N134/N133)</f>
        <v>0</v>
      </c>
      <c r="P134" s="20">
        <f>SUMIFS(Tabla2[A],Tabla2[ANY],2020,Tabla2[MES],'2020'!P$2,Tabla2[TIPUS],'2020'!$A134)</f>
        <v>0</v>
      </c>
      <c r="Q134" s="44">
        <f>IF(P133=0,0,P134/P133)</f>
        <v>0</v>
      </c>
      <c r="R134" s="20">
        <f>SUMIFS(Tabla2[A],Tabla2[ANY],2020,Tabla2[MES],'2020'!R$2,Tabla2[TIPUS],'2020'!$A134)</f>
        <v>0</v>
      </c>
      <c r="S134" s="44">
        <f>IF(R133=0,0,R134/R133)</f>
        <v>0</v>
      </c>
      <c r="T134" s="20">
        <f>SUMIFS(Tabla2[A],Tabla2[ANY],2020,Tabla2[MES],'2020'!T$2,Tabla2[TIPUS],'2020'!$A134)</f>
        <v>0</v>
      </c>
      <c r="U134" s="44">
        <f>IF(T133=0,0,T134/T133)</f>
        <v>0</v>
      </c>
      <c r="V134" s="20">
        <f>SUMIFS(Tabla2[A],Tabla2[ANY],2020,Tabla2[MES],'2020'!V$2,Tabla2[TIPUS],'2020'!$A134)</f>
        <v>0</v>
      </c>
      <c r="W134" s="44">
        <f>IF(V133=0,0,V134/V133)</f>
        <v>0</v>
      </c>
      <c r="X134" s="20">
        <f>SUMIFS(Tabla2[A],Tabla2[ANY],2020,Tabla2[MES],'2020'!X$2,Tabla2[TIPUS],'2020'!$A134)</f>
        <v>0</v>
      </c>
      <c r="Y134" s="44">
        <f>IF(X133=0,0,X134/X133)</f>
        <v>0</v>
      </c>
      <c r="Z134" s="20">
        <f>B134+D134+F134+H134+J134+L134+N134+P134+R134+T134+V134+X134</f>
        <v>0</v>
      </c>
      <c r="AA134" s="44">
        <f>IF(Z133=0,0,Z134/Z133)</f>
        <v>0</v>
      </c>
    </row>
    <row r="135" spans="1:29" ht="15.75" collapsed="1" thickBot="1" x14ac:dyDescent="0.25">
      <c r="A135" s="15" t="s">
        <v>135</v>
      </c>
      <c r="B135" s="26">
        <f>B132-B134</f>
        <v>-232.72138888888892</v>
      </c>
      <c r="C135" s="27">
        <f>IF(B$77=0,0,B135/B$77)</f>
        <v>-0.1356976028506641</v>
      </c>
      <c r="D135" s="26">
        <f>D132-D134</f>
        <v>647.72861111111115</v>
      </c>
      <c r="E135" s="27">
        <f>IF(D$77=0,0,D135/D$77)</f>
        <v>0.5732111602753196</v>
      </c>
      <c r="F135" s="26">
        <f>F132-F134</f>
        <v>-128.42138888888891</v>
      </c>
      <c r="G135" s="27">
        <f>IF(F$77=0,0,F135/F$77)</f>
        <v>-0.51368555555555562</v>
      </c>
      <c r="H135" s="26">
        <f>H132-H134</f>
        <v>581.08861111111116</v>
      </c>
      <c r="I135" s="27">
        <f>IF(H$77=0,0,H135/H$77)</f>
        <v>0.87883939974457215</v>
      </c>
      <c r="J135" s="26">
        <f>J132-J134</f>
        <v>954.10861111111126</v>
      </c>
      <c r="K135" s="27">
        <f>IF(J$77=0,0,J135/J$77)</f>
        <v>0.9210609444251372</v>
      </c>
      <c r="L135" s="26">
        <f>L132-L134</f>
        <v>660.34861111111115</v>
      </c>
      <c r="M135" s="27">
        <f>IF(L$77=0,0,L135/L$77)</f>
        <v>0.86750999883225322</v>
      </c>
      <c r="N135" s="26">
        <f>N132-N134</f>
        <v>1821.1986111111112</v>
      </c>
      <c r="O135" s="27">
        <f>IF(N$77=0,0,N135/N$77)</f>
        <v>0.71842154284461979</v>
      </c>
      <c r="P135" s="26">
        <f>P132-P134</f>
        <v>-290.2813888888889</v>
      </c>
      <c r="Q135" s="27">
        <f>IF(P$77=0,0,P135/P$77)</f>
        <v>-0.96760462962962968</v>
      </c>
      <c r="R135" s="26">
        <f>R132-R134</f>
        <v>229.61861111111111</v>
      </c>
      <c r="S135" s="27">
        <f>IF(R$77=0,0,R135/R$77)</f>
        <v>0.30616223031121897</v>
      </c>
      <c r="T135" s="26">
        <f>T132-T134</f>
        <v>65.938611111111143</v>
      </c>
      <c r="U135" s="27">
        <f>IF(T$77=0,0,T135/T$77)</f>
        <v>0.12627079875739397</v>
      </c>
      <c r="V135" s="26">
        <f>V132-V134</f>
        <v>390.42861111111108</v>
      </c>
      <c r="W135" s="27">
        <f>IF(V$77=0,0,V135/V$77)</f>
        <v>0.82682890959574562</v>
      </c>
      <c r="X135" s="26">
        <f>X132-X134</f>
        <v>2362.4886111111109</v>
      </c>
      <c r="Y135" s="27">
        <f>IF(X$77=0,0,X135/X$77)</f>
        <v>0.93667774605943666</v>
      </c>
      <c r="Z135" s="26">
        <f>Z132-Z134</f>
        <v>7061.5233333333326</v>
      </c>
      <c r="AA135" s="27">
        <f>IF(Z$77=0,0,Z135/Z$77)</f>
        <v>0.5580083662126385</v>
      </c>
    </row>
    <row r="136" spans="1:29" ht="15.75" thickTop="1" x14ac:dyDescent="0.2">
      <c r="A136" s="8" t="s">
        <v>123</v>
      </c>
      <c r="B136" s="20">
        <f>SUMIFS(Tabla2[A],Tabla2[ANY],2020,Tabla2[MES],'2020'!B$2,Tabla2[TIPUS],'2020'!$A136)</f>
        <v>0</v>
      </c>
      <c r="C136" s="21">
        <f>IF(B$77=0,0,B136/B$77)</f>
        <v>0</v>
      </c>
      <c r="D136" s="20">
        <f>SUMIFS(Tabla2[A],Tabla2[ANY],2020,Tabla2[MES],'2020'!D$2,Tabla2[TIPUS],'2020'!$A136)</f>
        <v>0</v>
      </c>
      <c r="E136" s="21">
        <f>IF(D$77=0,0,D136/D$77)</f>
        <v>0</v>
      </c>
      <c r="F136" s="20">
        <f>SUMIFS(Tabla2[A],Tabla2[ANY],2020,Tabla2[MES],'2020'!F$2,Tabla2[TIPUS],'2020'!$A136)</f>
        <v>0</v>
      </c>
      <c r="G136" s="21">
        <f>IF(F$77=0,0,F136/F$77)</f>
        <v>0</v>
      </c>
      <c r="H136" s="20">
        <f>SUMIFS(Tabla2[A],Tabla2[ANY],2020,Tabla2[MES],'2020'!H$2,Tabla2[TIPUS],'2020'!$A136)</f>
        <v>0</v>
      </c>
      <c r="I136" s="21">
        <f>IF(H$77=0,0,H136/H$77)</f>
        <v>0</v>
      </c>
      <c r="J136" s="20">
        <f>SUMIFS(Tabla2[A],Tabla2[ANY],2020,Tabla2[MES],'2020'!J$2,Tabla2[TIPUS],'2020'!$A136)</f>
        <v>403.55</v>
      </c>
      <c r="K136" s="21">
        <f>IF(J$77=0,0,J136/J$77)</f>
        <v>0.38957215121442634</v>
      </c>
      <c r="L136" s="20">
        <f>SUMIFS(Tabla2[A],Tabla2[ANY],2020,Tabla2[MES],'2020'!L$2,Tabla2[TIPUS],'2020'!$A136)</f>
        <v>0</v>
      </c>
      <c r="M136" s="21">
        <f>IF(L$77=0,0,L136/L$77)</f>
        <v>0</v>
      </c>
      <c r="N136" s="20">
        <f>SUMIFS(Tabla2[A],Tabla2[ANY],2020,Tabla2[MES],'2020'!N$2,Tabla2[TIPUS],'2020'!$A136)</f>
        <v>0</v>
      </c>
      <c r="O136" s="21">
        <f>IF(N$77=0,0,N136/N$77)</f>
        <v>0</v>
      </c>
      <c r="P136" s="20">
        <f>SUMIFS(Tabla2[A],Tabla2[ANY],2020,Tabla2[MES],'2020'!P$2,Tabla2[TIPUS],'2020'!$A136)</f>
        <v>0</v>
      </c>
      <c r="Q136" s="21">
        <f>IF(P$77=0,0,P136/P$77)</f>
        <v>0</v>
      </c>
      <c r="R136" s="20">
        <f>SUMIFS(Tabla2[A],Tabla2[ANY],2020,Tabla2[MES],'2020'!R$2,Tabla2[TIPUS],'2020'!$A136)</f>
        <v>0</v>
      </c>
      <c r="S136" s="21">
        <f>IF(R$77=0,0,R136/R$77)</f>
        <v>0</v>
      </c>
      <c r="T136" s="20">
        <f>SUMIFS(Tabla2[A],Tabla2[ANY],2020,Tabla2[MES],'2020'!T$2,Tabla2[TIPUS],'2020'!$A136)</f>
        <v>422.99</v>
      </c>
      <c r="U136" s="21">
        <f>IF(T$77=0,0,T136/T$77)</f>
        <v>0.81001531980084251</v>
      </c>
      <c r="V136" s="20">
        <f>SUMIFS(Tabla2[A],Tabla2[ANY],2020,Tabla2[MES],'2020'!V$2,Tabla2[TIPUS],'2020'!$A136)</f>
        <v>0</v>
      </c>
      <c r="W136" s="21">
        <f>IF(V$77=0,0,V136/V$77)</f>
        <v>0</v>
      </c>
      <c r="X136" s="20">
        <f>SUMIFS(Tabla2[A],Tabla2[ANY],2020,Tabla2[MES],'2020'!X$2,Tabla2[TIPUS],'2020'!$A136)</f>
        <v>57</v>
      </c>
      <c r="Y136" s="21">
        <f>IF(X$77=0,0,X136/X$77)</f>
        <v>2.2599318055665691E-2</v>
      </c>
      <c r="Z136" s="20">
        <f>B136+D136+F136+H136+J136+L136+N136+P136+R136+T136+V136+X136</f>
        <v>883.54</v>
      </c>
      <c r="AA136" s="21">
        <f>IF(Z$77=0,0,Z136/Z$77)</f>
        <v>6.9818180668786006E-2</v>
      </c>
    </row>
    <row r="137" spans="1:29" ht="15.75" thickBot="1" x14ac:dyDescent="0.25">
      <c r="A137" s="15" t="s">
        <v>124</v>
      </c>
      <c r="B137" s="26">
        <f>B135-B136</f>
        <v>-232.72138888888892</v>
      </c>
      <c r="C137" s="27">
        <f>IF(B77=0,0,B137/B77)</f>
        <v>-0.1356976028506641</v>
      </c>
      <c r="D137" s="26">
        <f>D135-D136</f>
        <v>647.72861111111115</v>
      </c>
      <c r="E137" s="27">
        <f>IF(D77=0,0,D137/D77)</f>
        <v>0.5732111602753196</v>
      </c>
      <c r="F137" s="26">
        <f>F135-F136</f>
        <v>-128.42138888888891</v>
      </c>
      <c r="G137" s="27">
        <f>IF(F77=0,0,F137/F77)</f>
        <v>-0.51368555555555562</v>
      </c>
      <c r="H137" s="26">
        <f>H135-H136</f>
        <v>581.08861111111116</v>
      </c>
      <c r="I137" s="27">
        <f>IF(H77=0,0,H137/H77)</f>
        <v>0.87883939974457215</v>
      </c>
      <c r="J137" s="26">
        <f>J135-J136</f>
        <v>550.5586111111113</v>
      </c>
      <c r="K137" s="27">
        <f>IF(J77=0,0,J137/J77)</f>
        <v>0.53148879321071096</v>
      </c>
      <c r="L137" s="26">
        <f>L135-L136</f>
        <v>660.34861111111115</v>
      </c>
      <c r="M137" s="27">
        <f>IF(L77=0,0,L137/L77)</f>
        <v>0.86750999883225322</v>
      </c>
      <c r="N137" s="26">
        <f>N135-N136</f>
        <v>1821.1986111111112</v>
      </c>
      <c r="O137" s="27">
        <f>IF(N77=0,0,N137/N77)</f>
        <v>0.71842154284461979</v>
      </c>
      <c r="P137" s="26">
        <f>P135-P136</f>
        <v>-290.2813888888889</v>
      </c>
      <c r="Q137" s="27">
        <f>IF(P77=0,0,P137/P77)</f>
        <v>-0.96760462962962968</v>
      </c>
      <c r="R137" s="26">
        <f>R135-R136</f>
        <v>229.61861111111111</v>
      </c>
      <c r="S137" s="27">
        <f>IF(R77=0,0,R137/R77)</f>
        <v>0.30616223031121897</v>
      </c>
      <c r="T137" s="26">
        <f>T135-T136</f>
        <v>-357.05138888888888</v>
      </c>
      <c r="U137" s="27">
        <f>IF(T77=0,0,T137/T77)</f>
        <v>-0.68374452104344863</v>
      </c>
      <c r="V137" s="26">
        <f>V135-V136</f>
        <v>390.42861111111108</v>
      </c>
      <c r="W137" s="27">
        <f>IF(V77=0,0,V137/V77)</f>
        <v>0.82682890959574562</v>
      </c>
      <c r="X137" s="26">
        <f>X135-X136</f>
        <v>2305.4886111111109</v>
      </c>
      <c r="Y137" s="27">
        <f>IF(X77=0,0,X137/X77)</f>
        <v>0.91407842800377093</v>
      </c>
      <c r="Z137" s="26">
        <f>Z135-Z136</f>
        <v>6177.9833333333327</v>
      </c>
      <c r="AA137" s="27">
        <f>IF(Z77=0,0,Z137/Z77)</f>
        <v>0.48819018554385252</v>
      </c>
      <c r="AC137" s="79"/>
    </row>
    <row r="138" spans="1:29" ht="16.5" thickTop="1" thickBot="1" x14ac:dyDescent="0.25">
      <c r="B138" s="30"/>
      <c r="C138" s="31"/>
      <c r="D138" s="30"/>
      <c r="E138" s="31"/>
      <c r="F138" s="30"/>
      <c r="G138" s="31"/>
      <c r="H138" s="30"/>
      <c r="I138" s="31"/>
      <c r="J138" s="30"/>
      <c r="K138" s="31"/>
      <c r="L138" s="30"/>
      <c r="M138" s="31"/>
      <c r="N138" s="30"/>
      <c r="O138" s="31"/>
      <c r="P138" s="30"/>
      <c r="Q138" s="31"/>
      <c r="R138" s="30"/>
      <c r="S138" s="31"/>
      <c r="T138" s="30"/>
      <c r="U138" s="31"/>
      <c r="V138" s="30"/>
      <c r="W138" s="31"/>
      <c r="X138" s="30"/>
      <c r="Y138" s="31"/>
      <c r="Z138" s="30"/>
      <c r="AA138" s="31"/>
    </row>
    <row r="139" spans="1:29" ht="15.75" thickBot="1" x14ac:dyDescent="0.25">
      <c r="A139" s="210" t="s">
        <v>136</v>
      </c>
    </row>
    <row r="140" spans="1:29" x14ac:dyDescent="0.2">
      <c r="A140" s="210"/>
      <c r="B140" s="208" t="s">
        <v>48</v>
      </c>
      <c r="C140" s="209"/>
      <c r="D140" s="208" t="s">
        <v>56</v>
      </c>
      <c r="E140" s="209"/>
      <c r="F140" s="208" t="s">
        <v>57</v>
      </c>
      <c r="G140" s="209"/>
      <c r="H140" s="208" t="s">
        <v>58</v>
      </c>
      <c r="I140" s="209"/>
      <c r="J140" s="208" t="s">
        <v>59</v>
      </c>
      <c r="K140" s="209"/>
      <c r="L140" s="208" t="s">
        <v>60</v>
      </c>
      <c r="M140" s="209"/>
      <c r="N140" s="208" t="s">
        <v>61</v>
      </c>
      <c r="O140" s="209"/>
      <c r="P140" s="208" t="s">
        <v>62</v>
      </c>
      <c r="Q140" s="209"/>
      <c r="R140" s="208" t="s">
        <v>236</v>
      </c>
      <c r="S140" s="209"/>
      <c r="T140" s="208" t="s">
        <v>63</v>
      </c>
      <c r="U140" s="209"/>
      <c r="V140" s="208" t="s">
        <v>64</v>
      </c>
      <c r="W140" s="209"/>
      <c r="X140" s="208" t="s">
        <v>65</v>
      </c>
      <c r="Y140" s="209"/>
      <c r="Z140" s="208">
        <v>2020</v>
      </c>
      <c r="AA140" s="209"/>
    </row>
    <row r="141" spans="1:29" x14ac:dyDescent="0.2">
      <c r="A141" t="s">
        <v>125</v>
      </c>
      <c r="B141" s="20">
        <f>B77</f>
        <v>1715</v>
      </c>
      <c r="C141" s="38">
        <f t="shared" ref="C141:C147" si="139">B141</f>
        <v>1715</v>
      </c>
      <c r="D141" s="20">
        <f>D77</f>
        <v>1130</v>
      </c>
      <c r="E141" s="38">
        <f>C147+D141</f>
        <v>545.04999999999995</v>
      </c>
      <c r="F141" s="20">
        <f>F77</f>
        <v>250</v>
      </c>
      <c r="G141" s="38">
        <f>E147+F141</f>
        <v>165.95999999999989</v>
      </c>
      <c r="H141" s="20">
        <f>H77</f>
        <v>661.2</v>
      </c>
      <c r="I141" s="38">
        <f>G147+H141</f>
        <v>473.50999999999988</v>
      </c>
      <c r="J141" s="20">
        <f>J77</f>
        <v>1035.8800000000001</v>
      </c>
      <c r="K141" s="38">
        <f>I147+J141</f>
        <v>1454.05</v>
      </c>
      <c r="L141" s="20">
        <f>L77</f>
        <v>761.2</v>
      </c>
      <c r="M141" s="38">
        <f>K147+L141</f>
        <v>1754.7</v>
      </c>
      <c r="N141" s="20">
        <f>N77</f>
        <v>2535</v>
      </c>
      <c r="O141" s="38">
        <f>M147+N141</f>
        <v>4213.62</v>
      </c>
      <c r="P141" s="20">
        <f>P77</f>
        <v>300</v>
      </c>
      <c r="Q141" s="38">
        <f>O147+P141</f>
        <v>3824.59</v>
      </c>
      <c r="R141" s="20">
        <f>R77</f>
        <v>749.99</v>
      </c>
      <c r="S141" s="38">
        <f>Q147+R141</f>
        <v>4009.0699999999997</v>
      </c>
      <c r="T141" s="20">
        <f>T77</f>
        <v>522.20000000000005</v>
      </c>
      <c r="U141" s="38">
        <f>S147+T141</f>
        <v>4035.67</v>
      </c>
      <c r="V141" s="20">
        <f>V77</f>
        <v>472.2</v>
      </c>
      <c r="W141" s="38">
        <f>U147+V141</f>
        <v>3653.3900000000003</v>
      </c>
      <c r="X141" s="20">
        <f>X77</f>
        <v>2522.1999999999998</v>
      </c>
      <c r="Y141" s="38">
        <f>W147+X141</f>
        <v>6118.59</v>
      </c>
      <c r="Z141" s="200">
        <f>Z77</f>
        <v>12654.869999999999</v>
      </c>
      <c r="AA141" s="201"/>
    </row>
    <row r="142" spans="1:29" x14ac:dyDescent="0.2">
      <c r="A142" t="s">
        <v>126</v>
      </c>
      <c r="B142" s="20">
        <f>B114</f>
        <v>1922.95</v>
      </c>
      <c r="C142" s="38">
        <f t="shared" si="139"/>
        <v>1922.95</v>
      </c>
      <c r="D142" s="20">
        <f>D114</f>
        <v>457.50000000000006</v>
      </c>
      <c r="E142" s="38">
        <f>D142</f>
        <v>457.50000000000006</v>
      </c>
      <c r="F142" s="20">
        <f>F114</f>
        <v>353.65000000000003</v>
      </c>
      <c r="G142" s="38">
        <f>F142</f>
        <v>353.65000000000003</v>
      </c>
      <c r="H142" s="20">
        <f>H114</f>
        <v>55.34</v>
      </c>
      <c r="I142" s="38">
        <f>H142</f>
        <v>55.34</v>
      </c>
      <c r="J142" s="20">
        <f>J114</f>
        <v>57</v>
      </c>
      <c r="K142" s="38">
        <f>J142</f>
        <v>57</v>
      </c>
      <c r="L142" s="20">
        <f>L114</f>
        <v>76.08</v>
      </c>
      <c r="M142" s="38">
        <f>L142</f>
        <v>76.08</v>
      </c>
      <c r="N142" s="20">
        <f>N114</f>
        <v>689.03</v>
      </c>
      <c r="O142" s="38">
        <f>N142</f>
        <v>689.03</v>
      </c>
      <c r="P142" s="20">
        <f>P114</f>
        <v>565.51</v>
      </c>
      <c r="Q142" s="38">
        <f>P142</f>
        <v>565.51</v>
      </c>
      <c r="R142" s="20">
        <f>R114</f>
        <v>495.6</v>
      </c>
      <c r="S142" s="38">
        <f>R142</f>
        <v>495.6</v>
      </c>
      <c r="T142" s="20">
        <f>T114</f>
        <v>431.49</v>
      </c>
      <c r="U142" s="38">
        <f>T142</f>
        <v>431.49</v>
      </c>
      <c r="V142" s="20">
        <f>V114</f>
        <v>57</v>
      </c>
      <c r="W142" s="38">
        <f>V142</f>
        <v>57</v>
      </c>
      <c r="X142" s="20">
        <f>X114</f>
        <v>134.94</v>
      </c>
      <c r="Y142" s="38">
        <f>X142</f>
        <v>134.94</v>
      </c>
      <c r="Z142" s="200">
        <f>Z114</f>
        <v>5296.0899999999992</v>
      </c>
      <c r="AA142" s="201"/>
    </row>
    <row r="143" spans="1:29" ht="15.75" thickBot="1" x14ac:dyDescent="0.25">
      <c r="A143" s="36" t="s">
        <v>127</v>
      </c>
      <c r="B143" s="37">
        <f>B141-B142</f>
        <v>-207.95000000000005</v>
      </c>
      <c r="C143" s="39">
        <f t="shared" si="139"/>
        <v>-207.95000000000005</v>
      </c>
      <c r="D143" s="37">
        <f t="shared" ref="D143:Y143" si="140">D141-D142</f>
        <v>672.5</v>
      </c>
      <c r="E143" s="39">
        <f t="shared" si="140"/>
        <v>87.549999999999898</v>
      </c>
      <c r="F143" s="37">
        <f t="shared" si="140"/>
        <v>-103.65000000000003</v>
      </c>
      <c r="G143" s="39">
        <f t="shared" si="140"/>
        <v>-187.69000000000014</v>
      </c>
      <c r="H143" s="37">
        <f t="shared" si="140"/>
        <v>605.86</v>
      </c>
      <c r="I143" s="39">
        <f t="shared" si="140"/>
        <v>418.16999999999985</v>
      </c>
      <c r="J143" s="37">
        <f t="shared" si="140"/>
        <v>978.88000000000011</v>
      </c>
      <c r="K143" s="39">
        <f t="shared" si="140"/>
        <v>1397.05</v>
      </c>
      <c r="L143" s="37">
        <f t="shared" si="140"/>
        <v>685.12</v>
      </c>
      <c r="M143" s="39">
        <f t="shared" si="140"/>
        <v>1678.6200000000001</v>
      </c>
      <c r="N143" s="37">
        <f t="shared" si="140"/>
        <v>1845.97</v>
      </c>
      <c r="O143" s="39">
        <f t="shared" si="140"/>
        <v>3524.59</v>
      </c>
      <c r="P143" s="37">
        <f t="shared" si="140"/>
        <v>-265.51</v>
      </c>
      <c r="Q143" s="39">
        <f t="shared" si="140"/>
        <v>3259.08</v>
      </c>
      <c r="R143" s="37">
        <f t="shared" si="140"/>
        <v>254.39</v>
      </c>
      <c r="S143" s="39">
        <f t="shared" si="140"/>
        <v>3513.47</v>
      </c>
      <c r="T143" s="37">
        <f t="shared" si="140"/>
        <v>90.710000000000036</v>
      </c>
      <c r="U143" s="39">
        <f t="shared" si="140"/>
        <v>3604.1800000000003</v>
      </c>
      <c r="V143" s="37">
        <f t="shared" si="140"/>
        <v>415.2</v>
      </c>
      <c r="W143" s="39">
        <f t="shared" si="140"/>
        <v>3596.3900000000003</v>
      </c>
      <c r="X143" s="37">
        <f t="shared" si="140"/>
        <v>2387.2599999999998</v>
      </c>
      <c r="Y143" s="39">
        <f t="shared" si="140"/>
        <v>5983.6500000000005</v>
      </c>
      <c r="Z143" s="202">
        <f>Z141-Z142</f>
        <v>7358.78</v>
      </c>
      <c r="AA143" s="203"/>
    </row>
    <row r="144" spans="1:29" x14ac:dyDescent="0.2">
      <c r="A144" s="2" t="s">
        <v>128</v>
      </c>
      <c r="B144" s="20">
        <f>-SUMIFS(Tabla2[A],Tabla2[ANY],2020,Tabla2[MES],'2020'!B$2,Tabla2[TIPUS],'2020'!$A144)</f>
        <v>-377</v>
      </c>
      <c r="C144" s="38">
        <f t="shared" si="139"/>
        <v>-377</v>
      </c>
      <c r="D144" s="20">
        <f>-SUMIFS(Tabla2[A],Tabla2[ANY],2020,Tabla2[MES],'2020'!D$2,Tabla2[TIPUS],'2020'!$A144)</f>
        <v>-171.59</v>
      </c>
      <c r="E144" s="38">
        <f>D144</f>
        <v>-171.59</v>
      </c>
      <c r="F144" s="20">
        <f>-SUMIFS(Tabla2[A],Tabla2[ANY],2020,Tabla2[MES],'2020'!F$2,Tabla2[TIPUS],'2020'!$A144)</f>
        <v>0</v>
      </c>
      <c r="G144" s="38">
        <f>F144</f>
        <v>0</v>
      </c>
      <c r="H144" s="20">
        <f>-SUMIFS(Tabla2[A],Tabla2[ANY],2020,Tabla2[MES],'2020'!H$2,Tabla2[TIPUS],'2020'!$A144)</f>
        <v>0</v>
      </c>
      <c r="I144" s="38">
        <f>H144</f>
        <v>0</v>
      </c>
      <c r="J144" s="20">
        <f>-SUMIFS(Tabla2[A],Tabla2[ANY],2020,Tabla2[MES],'2020'!J$2,Tabla2[TIPUS],'2020'!$A144)</f>
        <v>0</v>
      </c>
      <c r="K144" s="38">
        <f>J144</f>
        <v>0</v>
      </c>
      <c r="L144" s="20">
        <f>-SUMIFS(Tabla2[A],Tabla2[ANY],2020,Tabla2[MES],'2020'!L$2,Tabla2[TIPUS],'2020'!$A144)</f>
        <v>0</v>
      </c>
      <c r="M144" s="38">
        <f>L144</f>
        <v>0</v>
      </c>
      <c r="N144" s="20">
        <f>-SUMIFS(Tabla2[A],Tabla2[ANY],2020,Tabla2[MES],'2020'!N$2,Tabla2[TIPUS],'2020'!$A144)</f>
        <v>0</v>
      </c>
      <c r="O144" s="38">
        <f>N144</f>
        <v>0</v>
      </c>
      <c r="P144" s="20">
        <f>-SUMIFS(Tabla2[A],Tabla2[ANY],2020,Tabla2[MES],'2020'!P$2,Tabla2[TIPUS],'2020'!$A144)</f>
        <v>0</v>
      </c>
      <c r="Q144" s="38">
        <f>P144</f>
        <v>0</v>
      </c>
      <c r="R144" s="20">
        <f>-SUMIFS(Tabla2[A],Tabla2[ANY],2020,Tabla2[MES],'2020'!R$2,Tabla2[TIPUS],'2020'!$A144)</f>
        <v>0</v>
      </c>
      <c r="S144" s="38">
        <f>R144</f>
        <v>0</v>
      </c>
      <c r="T144" s="20">
        <f>-SUMIFS(Tabla2[A],Tabla2[ANY],2020,Tabla2[MES],'2020'!T$2,Tabla2[TIPUS],'2020'!$A144)</f>
        <v>0</v>
      </c>
      <c r="U144" s="38">
        <f>T144</f>
        <v>0</v>
      </c>
      <c r="V144" s="20">
        <f>-SUMIFS(Tabla2[A],Tabla2[ANY],2020,Tabla2[MES],'2020'!V$2,Tabla2[TIPUS],'2020'!$A144)</f>
        <v>0</v>
      </c>
      <c r="W144" s="38">
        <f>V144</f>
        <v>0</v>
      </c>
      <c r="X144" s="20">
        <f>-SUMIFS(Tabla2[A],Tabla2[ANY],2020,Tabla2[MES],'2020'!X$2,Tabla2[TIPUS],'2020'!$A144)</f>
        <v>0</v>
      </c>
      <c r="Y144" s="38">
        <f>X144</f>
        <v>0</v>
      </c>
      <c r="Z144" s="204">
        <f>-SUMIFS(Tabla2[A],Tabla2[ANY],2020,Tabla2[MES],'2020'!Z$2,Tabla2[TIPUS],'2020'!$A144)</f>
        <v>0</v>
      </c>
      <c r="AA144" s="205"/>
    </row>
    <row r="145" spans="1:27" x14ac:dyDescent="0.2">
      <c r="A145" t="s">
        <v>134</v>
      </c>
      <c r="B145" s="20">
        <f>-B133</f>
        <v>0</v>
      </c>
      <c r="C145" s="38">
        <f t="shared" si="139"/>
        <v>0</v>
      </c>
      <c r="D145" s="20">
        <f>-D133</f>
        <v>0</v>
      </c>
      <c r="E145" s="38">
        <f>D145</f>
        <v>0</v>
      </c>
      <c r="F145" s="20">
        <f>-F133</f>
        <v>0</v>
      </c>
      <c r="G145" s="38">
        <f>F145</f>
        <v>0</v>
      </c>
      <c r="H145" s="20">
        <f>-H133</f>
        <v>0</v>
      </c>
      <c r="I145" s="38">
        <f>H145</f>
        <v>0</v>
      </c>
      <c r="J145" s="20">
        <f>-J133</f>
        <v>0</v>
      </c>
      <c r="K145" s="38">
        <f>J145</f>
        <v>0</v>
      </c>
      <c r="L145" s="20">
        <f>-L133</f>
        <v>0</v>
      </c>
      <c r="M145" s="38">
        <f>L145</f>
        <v>0</v>
      </c>
      <c r="N145" s="20">
        <f>-N133</f>
        <v>0</v>
      </c>
      <c r="O145" s="38">
        <f>N145</f>
        <v>0</v>
      </c>
      <c r="P145" s="20">
        <f>-P133</f>
        <v>0</v>
      </c>
      <c r="Q145" s="38">
        <f>P145</f>
        <v>0</v>
      </c>
      <c r="R145" s="20">
        <f>-R133</f>
        <v>0</v>
      </c>
      <c r="S145" s="38">
        <f>R145</f>
        <v>0</v>
      </c>
      <c r="T145" s="20">
        <f>-T133</f>
        <v>0</v>
      </c>
      <c r="U145" s="38">
        <f>T145</f>
        <v>0</v>
      </c>
      <c r="V145" s="20">
        <f>-V133</f>
        <v>0</v>
      </c>
      <c r="W145" s="38">
        <f>V145</f>
        <v>0</v>
      </c>
      <c r="X145" s="20">
        <f>-X133</f>
        <v>0</v>
      </c>
      <c r="Y145" s="38">
        <f>X145</f>
        <v>0</v>
      </c>
      <c r="Z145" s="200">
        <f>-Z133</f>
        <v>0</v>
      </c>
      <c r="AA145" s="201"/>
    </row>
    <row r="146" spans="1:27" x14ac:dyDescent="0.2">
      <c r="A146" t="s">
        <v>130</v>
      </c>
      <c r="B146" s="23">
        <f>-B136</f>
        <v>0</v>
      </c>
      <c r="C146" s="35">
        <f t="shared" si="139"/>
        <v>0</v>
      </c>
      <c r="D146" s="23">
        <f>-D136</f>
        <v>0</v>
      </c>
      <c r="E146" s="35">
        <f>D146</f>
        <v>0</v>
      </c>
      <c r="F146" s="23">
        <f>-F136</f>
        <v>0</v>
      </c>
      <c r="G146" s="35">
        <f>F146</f>
        <v>0</v>
      </c>
      <c r="H146" s="23">
        <f>-H136</f>
        <v>0</v>
      </c>
      <c r="I146" s="35">
        <f>H146</f>
        <v>0</v>
      </c>
      <c r="J146" s="23">
        <f>-J136</f>
        <v>-403.55</v>
      </c>
      <c r="K146" s="35">
        <f>J146</f>
        <v>-403.55</v>
      </c>
      <c r="L146" s="23">
        <f>-L136</f>
        <v>0</v>
      </c>
      <c r="M146" s="35">
        <f>L146</f>
        <v>0</v>
      </c>
      <c r="N146" s="23">
        <f>-N136</f>
        <v>0</v>
      </c>
      <c r="O146" s="35">
        <f>N146</f>
        <v>0</v>
      </c>
      <c r="P146" s="23">
        <f>-P136</f>
        <v>0</v>
      </c>
      <c r="Q146" s="35">
        <f>P146</f>
        <v>0</v>
      </c>
      <c r="R146" s="23">
        <f>-R136</f>
        <v>0</v>
      </c>
      <c r="S146" s="35">
        <f>R146</f>
        <v>0</v>
      </c>
      <c r="T146" s="23">
        <f>-T136</f>
        <v>-422.99</v>
      </c>
      <c r="U146" s="35">
        <f>T146</f>
        <v>-422.99</v>
      </c>
      <c r="V146" s="23">
        <f>-V136</f>
        <v>0</v>
      </c>
      <c r="W146" s="35">
        <f>V146</f>
        <v>0</v>
      </c>
      <c r="X146" s="23">
        <f>-X136</f>
        <v>-57</v>
      </c>
      <c r="Y146" s="35">
        <f>X146</f>
        <v>-57</v>
      </c>
      <c r="Z146" s="206">
        <f>-Z136</f>
        <v>-883.54</v>
      </c>
      <c r="AA146" s="207"/>
    </row>
    <row r="147" spans="1:27" ht="15.75" thickBot="1" x14ac:dyDescent="0.25">
      <c r="A147" s="36" t="s">
        <v>131</v>
      </c>
      <c r="B147" s="37">
        <f>B143+B144+B145+B146</f>
        <v>-584.95000000000005</v>
      </c>
      <c r="C147" s="39">
        <f t="shared" si="139"/>
        <v>-584.95000000000005</v>
      </c>
      <c r="D147" s="37">
        <f t="shared" ref="D147:Z147" si="141">D143+D144+D145+D146</f>
        <v>500.90999999999997</v>
      </c>
      <c r="E147" s="39">
        <f t="shared" si="141"/>
        <v>-84.040000000000106</v>
      </c>
      <c r="F147" s="37">
        <f t="shared" si="141"/>
        <v>-103.65000000000003</v>
      </c>
      <c r="G147" s="39">
        <f t="shared" si="141"/>
        <v>-187.69000000000014</v>
      </c>
      <c r="H147" s="37">
        <f t="shared" si="141"/>
        <v>605.86</v>
      </c>
      <c r="I147" s="39">
        <f t="shared" si="141"/>
        <v>418.16999999999985</v>
      </c>
      <c r="J147" s="37">
        <f t="shared" si="141"/>
        <v>575.33000000000015</v>
      </c>
      <c r="K147" s="39">
        <f t="shared" si="141"/>
        <v>993.5</v>
      </c>
      <c r="L147" s="37">
        <f t="shared" si="141"/>
        <v>685.12</v>
      </c>
      <c r="M147" s="39">
        <f t="shared" si="141"/>
        <v>1678.6200000000001</v>
      </c>
      <c r="N147" s="37">
        <f t="shared" si="141"/>
        <v>1845.97</v>
      </c>
      <c r="O147" s="39">
        <f t="shared" si="141"/>
        <v>3524.59</v>
      </c>
      <c r="P147" s="37">
        <f t="shared" si="141"/>
        <v>-265.51</v>
      </c>
      <c r="Q147" s="39">
        <f t="shared" si="141"/>
        <v>3259.08</v>
      </c>
      <c r="R147" s="37">
        <f t="shared" si="141"/>
        <v>254.39</v>
      </c>
      <c r="S147" s="39">
        <f t="shared" si="141"/>
        <v>3513.47</v>
      </c>
      <c r="T147" s="37">
        <f t="shared" si="141"/>
        <v>-332.28</v>
      </c>
      <c r="U147" s="39">
        <f t="shared" si="141"/>
        <v>3181.1900000000005</v>
      </c>
      <c r="V147" s="37">
        <f t="shared" si="141"/>
        <v>415.2</v>
      </c>
      <c r="W147" s="39">
        <f t="shared" si="141"/>
        <v>3596.3900000000003</v>
      </c>
      <c r="X147" s="37">
        <f t="shared" si="141"/>
        <v>2330.2599999999998</v>
      </c>
      <c r="Y147" s="39">
        <f t="shared" si="141"/>
        <v>5926.6500000000005</v>
      </c>
      <c r="Z147" s="202">
        <f t="shared" si="141"/>
        <v>6475.24</v>
      </c>
      <c r="AA147" s="203"/>
    </row>
    <row r="149" spans="1:27" ht="30" thickBot="1" x14ac:dyDescent="0.45">
      <c r="A149" s="45" t="s">
        <v>103</v>
      </c>
    </row>
    <row r="150" spans="1:27" x14ac:dyDescent="0.2">
      <c r="B150" s="208" t="s">
        <v>48</v>
      </c>
      <c r="C150" s="209"/>
      <c r="D150" s="208" t="s">
        <v>56</v>
      </c>
      <c r="E150" s="209"/>
      <c r="F150" s="208" t="s">
        <v>57</v>
      </c>
      <c r="G150" s="209"/>
      <c r="H150" s="208" t="s">
        <v>58</v>
      </c>
      <c r="I150" s="209"/>
      <c r="J150" s="208" t="s">
        <v>59</v>
      </c>
      <c r="K150" s="209"/>
      <c r="L150" s="208" t="s">
        <v>60</v>
      </c>
      <c r="M150" s="209"/>
      <c r="N150" s="208" t="s">
        <v>61</v>
      </c>
      <c r="O150" s="209"/>
      <c r="P150" s="208" t="s">
        <v>62</v>
      </c>
      <c r="Q150" s="209"/>
      <c r="R150" s="208" t="s">
        <v>236</v>
      </c>
      <c r="S150" s="209"/>
      <c r="T150" s="208" t="s">
        <v>63</v>
      </c>
      <c r="U150" s="209"/>
      <c r="V150" s="208" t="s">
        <v>64</v>
      </c>
      <c r="W150" s="209"/>
      <c r="X150" s="208" t="s">
        <v>65</v>
      </c>
      <c r="Y150" s="209"/>
      <c r="Z150" s="208">
        <f>Z2</f>
        <v>2020</v>
      </c>
      <c r="AA150" s="209"/>
    </row>
    <row r="151" spans="1:27" ht="15.75" thickBot="1" x14ac:dyDescent="0.25">
      <c r="A151" s="10" t="s">
        <v>66</v>
      </c>
      <c r="B151" s="16">
        <f>B152+B170</f>
        <v>1825</v>
      </c>
      <c r="C151" s="17">
        <f>IF(B151=0,0,(B151/B151))</f>
        <v>1</v>
      </c>
      <c r="D151" s="16">
        <f>D152+D170</f>
        <v>1815</v>
      </c>
      <c r="E151" s="17">
        <f>IF(D151=0,0,(D151/D151))</f>
        <v>1</v>
      </c>
      <c r="F151" s="16">
        <f>F152+F170</f>
        <v>500</v>
      </c>
      <c r="G151" s="17">
        <f>IF(F151=0,0,(F151/F151))</f>
        <v>1</v>
      </c>
      <c r="H151" s="16">
        <f>H152+H170</f>
        <v>0</v>
      </c>
      <c r="I151" s="17">
        <f>IF(H151=0,0,(H151/H151))</f>
        <v>0</v>
      </c>
      <c r="J151" s="16">
        <f>J152+J170</f>
        <v>0</v>
      </c>
      <c r="K151" s="17">
        <f>IF(J151=0,0,(J151/J151))</f>
        <v>0</v>
      </c>
      <c r="L151" s="16">
        <f>L152+L170</f>
        <v>1085</v>
      </c>
      <c r="M151" s="17">
        <f>IF(L151=0,0,(L151/L151))</f>
        <v>1</v>
      </c>
      <c r="N151" s="16">
        <f>N152+N170</f>
        <v>1480</v>
      </c>
      <c r="O151" s="17">
        <f>IF(N151=0,0,(N151/N151))</f>
        <v>1</v>
      </c>
      <c r="P151" s="16">
        <f>P152+P170</f>
        <v>1215</v>
      </c>
      <c r="Q151" s="17">
        <f>IF(P151=0,0,(P151/P151))</f>
        <v>1</v>
      </c>
      <c r="R151" s="16">
        <f>R152+R170</f>
        <v>445</v>
      </c>
      <c r="S151" s="17">
        <f>IF(R151=0,0,(R151/R151))</f>
        <v>1</v>
      </c>
      <c r="T151" s="16">
        <f>T152+T170</f>
        <v>295</v>
      </c>
      <c r="U151" s="17">
        <f>IF(T151=0,0,(T151/T151))</f>
        <v>1</v>
      </c>
      <c r="V151" s="16">
        <f>V152+V170</f>
        <v>0</v>
      </c>
      <c r="W151" s="17">
        <f>IF(V151=0,0,(V151/V151))</f>
        <v>0</v>
      </c>
      <c r="X151" s="16">
        <f>X152+X170</f>
        <v>100</v>
      </c>
      <c r="Y151" s="17">
        <f>IF(X151=0,0,(X151/X151))</f>
        <v>1</v>
      </c>
      <c r="Z151" s="16">
        <f>Z152+Z170</f>
        <v>8760</v>
      </c>
      <c r="AA151" s="17">
        <f>IF(Z151=0,0,(Z151/Z151))</f>
        <v>1</v>
      </c>
    </row>
    <row r="152" spans="1:27" x14ac:dyDescent="0.2">
      <c r="A152" s="32" t="s">
        <v>74</v>
      </c>
      <c r="B152" s="18">
        <f>SUM(B153:B160)</f>
        <v>1775</v>
      </c>
      <c r="C152" s="19">
        <f>IF(B$151=0,0,B152/B$151)</f>
        <v>0.9726027397260274</v>
      </c>
      <c r="D152" s="18">
        <f>SUM(D153:D160)</f>
        <v>1695</v>
      </c>
      <c r="E152" s="19">
        <f>IF(D$151=0,0,D152/D$151)</f>
        <v>0.93388429752066116</v>
      </c>
      <c r="F152" s="18">
        <f>SUM(F153:F160)</f>
        <v>430</v>
      </c>
      <c r="G152" s="19">
        <f>IF(F$151=0,0,F152/F$151)</f>
        <v>0.86</v>
      </c>
      <c r="H152" s="18">
        <f>SUM(H153:H160)</f>
        <v>0</v>
      </c>
      <c r="I152" s="19">
        <f>IF(H$151=0,0,H152/H$151)</f>
        <v>0</v>
      </c>
      <c r="J152" s="18">
        <f>SUM(J153:J160)</f>
        <v>0</v>
      </c>
      <c r="K152" s="19">
        <f>IF(J$151=0,0,J152/J$151)</f>
        <v>0</v>
      </c>
      <c r="L152" s="18">
        <f>SUM(L153:L160)</f>
        <v>980</v>
      </c>
      <c r="M152" s="19">
        <f>IF(L$151=0,0,L152/L$151)</f>
        <v>0.90322580645161288</v>
      </c>
      <c r="N152" s="18">
        <f>SUM(N153:N160)</f>
        <v>1360</v>
      </c>
      <c r="O152" s="19">
        <f>IF(N$151=0,0,N152/N$151)</f>
        <v>0.91891891891891897</v>
      </c>
      <c r="P152" s="18">
        <f>SUM(P153:P160)</f>
        <v>1025</v>
      </c>
      <c r="Q152" s="19">
        <f>IF(P$151=0,0,P152/P$151)</f>
        <v>0.84362139917695478</v>
      </c>
      <c r="R152" s="18">
        <f>SUM(R153:R160)</f>
        <v>435</v>
      </c>
      <c r="S152" s="19">
        <f>IF(R$151=0,0,R152/R$151)</f>
        <v>0.97752808988764039</v>
      </c>
      <c r="T152" s="18">
        <f>SUM(T153:T160)</f>
        <v>295</v>
      </c>
      <c r="U152" s="19">
        <f>IF(T$151=0,0,T152/T$151)</f>
        <v>1</v>
      </c>
      <c r="V152" s="18">
        <f>SUM(V153:V160)</f>
        <v>0</v>
      </c>
      <c r="W152" s="19">
        <f>IF(V$151=0,0,V152/V$151)</f>
        <v>0</v>
      </c>
      <c r="X152" s="18">
        <f>SUM(X153:X160)</f>
        <v>100</v>
      </c>
      <c r="Y152" s="19">
        <f>IF(X$151=0,0,X152/X$151)</f>
        <v>1</v>
      </c>
      <c r="Z152" s="18">
        <f>SUM(Z153:Z160)</f>
        <v>8095</v>
      </c>
      <c r="AA152" s="19">
        <f>IF(Z$3=0,0,Z152/Z$3)</f>
        <v>0.37800836521538539</v>
      </c>
    </row>
    <row r="153" spans="1:27" hidden="1" outlineLevel="1" x14ac:dyDescent="0.2">
      <c r="A153" s="8" t="s">
        <v>67</v>
      </c>
      <c r="B153" s="20">
        <f>SUMIFS('Registre de reserves'!$V$2:$V$1178,'Registre de reserves'!$T$2:$T$1178,"SI",'Registre de reserves'!$I$2:$I$1178,'2020'!$A153,'Registre de reserves'!$B$2:$B$1178,'2020'!B$2,Tabla1[ANY],'2020'!$Z$150)+SUMIFS('Registre de reserves'!$V$2:$V$1178,'Registre de reserves'!$T$2:$T$1178,"RESERVA",'Registre de reserves'!$I$2:$I$1178,'2020'!$A153,'Registre de reserves'!$B$2:$B$1178,'2020'!B$2,Tabla1[ANY],'2020'!$Z$150)</f>
        <v>240</v>
      </c>
      <c r="C153" s="21">
        <f>IF(B$152=0,0,B153/B$152)</f>
        <v>0.13521126760563379</v>
      </c>
      <c r="D153" s="20">
        <f>SUMIFS('Registre de reserves'!$V$2:$V$1178,'Registre de reserves'!$T$2:$T$1178,"SI",'Registre de reserves'!$I$2:$I$1178,'2020'!$A153,'Registre de reserves'!$B$2:$B$1178,'2020'!D$2,Tabla1[ANY],'2020'!$Z$150)+SUMIFS('Registre de reserves'!$V$2:$V$1178,'Registre de reserves'!$T$2:$T$1178,"RESERVA",'Registre de reserves'!$I$2:$I$1178,'2020'!$A153,'Registre de reserves'!$B$2:$B$1178,'2020'!D$2,Tabla1[ANY],'2020'!$Z$150)</f>
        <v>335</v>
      </c>
      <c r="E153" s="21">
        <f t="shared" ref="E153:E160" si="142">IF(D$152=0,0,D153/D$152)</f>
        <v>0.19764011799410031</v>
      </c>
      <c r="F153" s="20">
        <f>SUMIFS('Registre de reserves'!$V$2:$V$1178,'Registre de reserves'!$T$2:$T$1178,"SI",'Registre de reserves'!$I$2:$I$1178,'2020'!$A153,'Registre de reserves'!$B$2:$B$1178,'2020'!F$2,Tabla1[ANY],'2020'!$Z$150)+SUMIFS('Registre de reserves'!$V$2:$V$1178,'Registre de reserves'!$T$2:$T$1178,"RESERVA",'Registre de reserves'!$I$2:$I$1178,'2020'!$A153,'Registre de reserves'!$B$2:$B$1178,'2020'!F$2,Tabla1[ANY],'2020'!$Z$150)</f>
        <v>95</v>
      </c>
      <c r="G153" s="21">
        <f t="shared" ref="G153:G160" si="143">IF(F$152=0,0,F153/F$152)</f>
        <v>0.22093023255813954</v>
      </c>
      <c r="H153" s="20">
        <f>SUMIFS('Registre de reserves'!$V$2:$V$1178,'Registre de reserves'!$T$2:$T$1178,"SI",'Registre de reserves'!$I$2:$I$1178,'2020'!$A153,'Registre de reserves'!$B$2:$B$1178,'2020'!H$2,Tabla1[ANY],'2020'!$Z$150)+SUMIFS('Registre de reserves'!$V$2:$V$1178,'Registre de reserves'!$T$2:$T$1178,"RESERVA",'Registre de reserves'!$I$2:$I$1178,'2020'!$A153,'Registre de reserves'!$B$2:$B$1178,'2020'!H$2,Tabla1[ANY],'2020'!$Z$150)</f>
        <v>0</v>
      </c>
      <c r="I153" s="21">
        <f t="shared" ref="I153:I160" si="144">IF(H$152=0,0,H153/H$152)</f>
        <v>0</v>
      </c>
      <c r="J153" s="20">
        <f>SUMIFS('Registre de reserves'!$V$2:$V$1178,'Registre de reserves'!$T$2:$T$1178,"SI",'Registre de reserves'!$I$2:$I$1178,'2020'!$A153,'Registre de reserves'!$B$2:$B$1178,'2020'!J$2,Tabla1[ANY],'2020'!$Z$150)+SUMIFS('Registre de reserves'!$V$2:$V$1178,'Registre de reserves'!$T$2:$T$1178,"RESERVA",'Registre de reserves'!$I$2:$I$1178,'2020'!$A153,'Registre de reserves'!$B$2:$B$1178,'2020'!J$2,Tabla1[ANY],'2020'!$Z$150)</f>
        <v>0</v>
      </c>
      <c r="K153" s="21">
        <f t="shared" ref="K153:K160" si="145">IF(J$152=0,0,J153/J$152)</f>
        <v>0</v>
      </c>
      <c r="L153" s="20">
        <f>SUMIFS('Registre de reserves'!$V$2:$V$1178,'Registre de reserves'!$T$2:$T$1178,"SI",'Registre de reserves'!$I$2:$I$1178,'2020'!$A153,'Registre de reserves'!$B$2:$B$1178,'2020'!L$2,Tabla1[ANY],'2020'!$Z$150)+SUMIFS('Registre de reserves'!$V$2:$V$1178,'Registre de reserves'!$T$2:$T$1178,"RESERVA",'Registre de reserves'!$I$2:$I$1178,'2020'!$A153,'Registre de reserves'!$B$2:$B$1178,'2020'!L$2,Tabla1[ANY],'2020'!$Z$150)</f>
        <v>0</v>
      </c>
      <c r="M153" s="21">
        <f t="shared" ref="M153:M160" si="146">IF(L$152=0,0,L153/L$152)</f>
        <v>0</v>
      </c>
      <c r="N153" s="20">
        <f>SUMIFS('Registre de reserves'!$V$2:$V$1178,'Registre de reserves'!$T$2:$T$1178,"SI",'Registre de reserves'!$I$2:$I$1178,'2020'!$A153,'Registre de reserves'!$B$2:$B$1178,'2020'!N$2,Tabla1[ANY],'2020'!$Z$150)+SUMIFS('Registre de reserves'!$V$2:$V$1178,'Registre de reserves'!$T$2:$T$1178,"RESERVA",'Registre de reserves'!$I$2:$I$1178,'2020'!$A153,'Registre de reserves'!$B$2:$B$1178,'2020'!N$2,Tabla1[ANY],'2020'!$Z$150)</f>
        <v>95</v>
      </c>
      <c r="O153" s="21">
        <f t="shared" ref="O153:O160" si="147">IF(N$152=0,0,N153/N$152)</f>
        <v>6.985294117647059E-2</v>
      </c>
      <c r="P153" s="20">
        <f>SUMIFS('Registre de reserves'!$V$2:$V$1178,'Registre de reserves'!$T$2:$T$1178,"SI",'Registre de reserves'!$I$2:$I$1178,'2020'!$A153,'Registre de reserves'!$B$2:$B$1178,'2020'!P$2,Tabla1[ANY],'2020'!$Z$150)+SUMIFS('Registre de reserves'!$V$2:$V$1178,'Registre de reserves'!$T$2:$T$1178,"RESERVA",'Registre de reserves'!$I$2:$I$1178,'2020'!$A153,'Registre de reserves'!$B$2:$B$1178,'2020'!P$2,Tabla1[ANY],'2020'!$Z$150)</f>
        <v>0</v>
      </c>
      <c r="Q153" s="21">
        <f t="shared" ref="Q153:Q160" si="148">IF(P$152=0,0,P153/P$152)</f>
        <v>0</v>
      </c>
      <c r="R153" s="20">
        <f>SUMIFS('Registre de reserves'!$V$2:$V$1178,'Registre de reserves'!$T$2:$T$1178,"SI",'Registre de reserves'!$I$2:$I$1178,'2020'!$A153,'Registre de reserves'!$B$2:$B$1178,'2020'!R$2,Tabla1[ANY],'2020'!$Z$150)+SUMIFS('Registre de reserves'!$V$2:$V$1178,'Registre de reserves'!$T$2:$T$1178,"RESERVA",'Registre de reserves'!$I$2:$I$1178,'2020'!$A153,'Registre de reserves'!$B$2:$B$1178,'2020'!R$2,Tabla1[ANY],'2020'!$Z$150)</f>
        <v>0</v>
      </c>
      <c r="S153" s="21">
        <f t="shared" ref="S153:S160" si="149">IF(R$152=0,0,R153/R$152)</f>
        <v>0</v>
      </c>
      <c r="T153" s="20">
        <f>SUMIFS('Registre de reserves'!$V$2:$V$1178,'Registre de reserves'!$T$2:$T$1178,"SI",'Registre de reserves'!$I$2:$I$1178,'2020'!$A153,'Registre de reserves'!$B$2:$B$1178,'2020'!T$2,Tabla1[ANY],'2020'!$Z$150)+SUMIFS('Registre de reserves'!$V$2:$V$1178,'Registre de reserves'!$T$2:$T$1178,"RESERVA",'Registre de reserves'!$I$2:$I$1178,'2020'!$A153,'Registre de reserves'!$B$2:$B$1178,'2020'!T$2,Tabla1[ANY],'2020'!$Z$150)</f>
        <v>0</v>
      </c>
      <c r="U153" s="21">
        <f t="shared" ref="U153:U160" si="150">IF(T$152=0,0,T153/T$152)</f>
        <v>0</v>
      </c>
      <c r="V153" s="20">
        <f>SUMIFS('Registre de reserves'!$V$2:$V$1178,'Registre de reserves'!$T$2:$T$1178,"SI",'Registre de reserves'!$I$2:$I$1178,'2020'!$A153,'Registre de reserves'!$B$2:$B$1178,'2020'!V$2,Tabla1[ANY],'2020'!$Z$150)+SUMIFS('Registre de reserves'!$V$2:$V$1178,'Registre de reserves'!$T$2:$T$1178,"RESERVA",'Registre de reserves'!$I$2:$I$1178,'2020'!$A153,'Registre de reserves'!$B$2:$B$1178,'2020'!V$2,Tabla1[ANY],'2020'!$Z$150)</f>
        <v>0</v>
      </c>
      <c r="W153" s="21">
        <f t="shared" ref="W153:W160" si="151">IF(V$152=0,0,V153/V$152)</f>
        <v>0</v>
      </c>
      <c r="X153" s="20">
        <f>SUMIFS('Registre de reserves'!$V$2:$V$1178,'Registre de reserves'!$T$2:$T$1178,"SI",'Registre de reserves'!$I$2:$I$1178,'2020'!$A153,'Registre de reserves'!$B$2:$B$1178,'2020'!X$2,Tabla1[ANY],'2020'!$Z$150)+SUMIFS('Registre de reserves'!$V$2:$V$1178,'Registre de reserves'!$T$2:$T$1178,"RESERVA",'Registre de reserves'!$I$2:$I$1178,'2020'!$A153,'Registre de reserves'!$B$2:$B$1178,'2020'!X$2,Tabla1[ANY],'2020'!$Z$150)</f>
        <v>0</v>
      </c>
      <c r="Y153" s="21">
        <f t="shared" ref="Y153:Y160" si="152">IF(X$152=0,0,X153/X$152)</f>
        <v>0</v>
      </c>
      <c r="Z153" s="20">
        <f>B153+D153+F153+H153+J153+L153+N153+P153+R153+T153+V153+X153</f>
        <v>765</v>
      </c>
      <c r="AA153" s="21">
        <f t="shared" ref="AA153:AA160" si="153">IF(Z$4=0,0,Z153/Z$4)</f>
        <v>3.6867700857884891E-2</v>
      </c>
    </row>
    <row r="154" spans="1:27" hidden="1" outlineLevel="1" x14ac:dyDescent="0.2">
      <c r="A154" s="8" t="s">
        <v>68</v>
      </c>
      <c r="B154" s="20">
        <f>SUMIFS('Registre de reserves'!$V$2:$V$1178,'Registre de reserves'!$T$2:$T$1178,"SI",'Registre de reserves'!$I$2:$I$1178,'2020'!$A154,'Registre de reserves'!$B$2:$B$1178,'2020'!B$2,Tabla1[ANY],'2020'!$Z$150)+SUMIFS('Registre de reserves'!$V$2:$V$1178,'Registre de reserves'!$T$2:$T$1178,"RESERVA",'Registre de reserves'!$I$2:$I$1178,'2020'!$A154,'Registre de reserves'!$B$2:$B$1178,'2020'!B$2,Tabla1[ANY],'2020'!$Z$150)</f>
        <v>605</v>
      </c>
      <c r="C154" s="21">
        <f t="shared" ref="C154:C160" si="154">IF(B$152=0,0,B154/B$152)</f>
        <v>0.3408450704225352</v>
      </c>
      <c r="D154" s="20">
        <f>SUMIFS('Registre de reserves'!$V$2:$V$1178,'Registre de reserves'!$T$2:$T$1178,"SI",'Registre de reserves'!$I$2:$I$1178,'2020'!$A154,'Registre de reserves'!$B$2:$B$1178,'2020'!D$2,Tabla1[ANY],'2020'!$Z$150)+SUMIFS('Registre de reserves'!$V$2:$V$1178,'Registre de reserves'!$T$2:$T$1178,"RESERVA",'Registre de reserves'!$I$2:$I$1178,'2020'!$A154,'Registre de reserves'!$B$2:$B$1178,'2020'!D$2,Tabla1[ANY],'2020'!$Z$150)</f>
        <v>730</v>
      </c>
      <c r="E154" s="21">
        <f t="shared" si="142"/>
        <v>0.43067846607669619</v>
      </c>
      <c r="F154" s="20">
        <f>SUMIFS('Registre de reserves'!$V$2:$V$1178,'Registre de reserves'!$T$2:$T$1178,"SI",'Registre de reserves'!$I$2:$I$1178,'2020'!$A154,'Registre de reserves'!$B$2:$B$1178,'2020'!F$2,Tabla1[ANY],'2020'!$Z$150)+SUMIFS('Registre de reserves'!$V$2:$V$1178,'Registre de reserves'!$T$2:$T$1178,"RESERVA",'Registre de reserves'!$I$2:$I$1178,'2020'!$A154,'Registre de reserves'!$B$2:$B$1178,'2020'!F$2,Tabla1[ANY],'2020'!$Z$150)</f>
        <v>190</v>
      </c>
      <c r="G154" s="21">
        <f t="shared" si="143"/>
        <v>0.44186046511627908</v>
      </c>
      <c r="H154" s="20">
        <f>SUMIFS('Registre de reserves'!$V$2:$V$1178,'Registre de reserves'!$T$2:$T$1178,"SI",'Registre de reserves'!$I$2:$I$1178,'2020'!$A154,'Registre de reserves'!$B$2:$B$1178,'2020'!H$2,Tabla1[ANY],'2020'!$Z$150)+SUMIFS('Registre de reserves'!$V$2:$V$1178,'Registre de reserves'!$T$2:$T$1178,"RESERVA",'Registre de reserves'!$I$2:$I$1178,'2020'!$A154,'Registre de reserves'!$B$2:$B$1178,'2020'!H$2,Tabla1[ANY],'2020'!$Z$150)</f>
        <v>0</v>
      </c>
      <c r="I154" s="21">
        <f t="shared" si="144"/>
        <v>0</v>
      </c>
      <c r="J154" s="20">
        <f>SUMIFS('Registre de reserves'!$V$2:$V$1178,'Registre de reserves'!$T$2:$T$1178,"SI",'Registre de reserves'!$I$2:$I$1178,'2020'!$A154,'Registre de reserves'!$B$2:$B$1178,'2020'!J$2,Tabla1[ANY],'2020'!$Z$150)+SUMIFS('Registre de reserves'!$V$2:$V$1178,'Registre de reserves'!$T$2:$T$1178,"RESERVA",'Registre de reserves'!$I$2:$I$1178,'2020'!$A154,'Registre de reserves'!$B$2:$B$1178,'2020'!J$2,Tabla1[ANY],'2020'!$Z$150)</f>
        <v>0</v>
      </c>
      <c r="K154" s="21">
        <f t="shared" si="145"/>
        <v>0</v>
      </c>
      <c r="L154" s="20">
        <f>SUMIFS('Registre de reserves'!$V$2:$V$1178,'Registre de reserves'!$T$2:$T$1178,"SI",'Registre de reserves'!$I$2:$I$1178,'2020'!$A154,'Registre de reserves'!$B$2:$B$1178,'2020'!L$2,Tabla1[ANY],'2020'!$Z$150)+SUMIFS('Registre de reserves'!$V$2:$V$1178,'Registre de reserves'!$T$2:$T$1178,"RESERVA",'Registre de reserves'!$I$2:$I$1178,'2020'!$A154,'Registre de reserves'!$B$2:$B$1178,'2020'!L$2,Tabla1[ANY],'2020'!$Z$150)</f>
        <v>200</v>
      </c>
      <c r="M154" s="21">
        <f t="shared" si="146"/>
        <v>0.20408163265306123</v>
      </c>
      <c r="N154" s="20">
        <f>SUMIFS('Registre de reserves'!$V$2:$V$1178,'Registre de reserves'!$T$2:$T$1178,"SI",'Registre de reserves'!$I$2:$I$1178,'2020'!$A154,'Registre de reserves'!$B$2:$B$1178,'2020'!N$2,Tabla1[ANY],'2020'!$Z$150)+SUMIFS('Registre de reserves'!$V$2:$V$1178,'Registre de reserves'!$T$2:$T$1178,"RESERVA",'Registre de reserves'!$I$2:$I$1178,'2020'!$A154,'Registre de reserves'!$B$2:$B$1178,'2020'!N$2,Tabla1[ANY],'2020'!$Z$150)</f>
        <v>345</v>
      </c>
      <c r="O154" s="21">
        <f t="shared" si="147"/>
        <v>0.25367647058823528</v>
      </c>
      <c r="P154" s="20">
        <f>SUMIFS('Registre de reserves'!$V$2:$V$1178,'Registre de reserves'!$T$2:$T$1178,"SI",'Registre de reserves'!$I$2:$I$1178,'2020'!$A154,'Registre de reserves'!$B$2:$B$1178,'2020'!P$2,Tabla1[ANY],'2020'!$Z$150)+SUMIFS('Registre de reserves'!$V$2:$V$1178,'Registre de reserves'!$T$2:$T$1178,"RESERVA",'Registre de reserves'!$I$2:$I$1178,'2020'!$A154,'Registre de reserves'!$B$2:$B$1178,'2020'!P$2,Tabla1[ANY],'2020'!$Z$150)</f>
        <v>145</v>
      </c>
      <c r="Q154" s="21">
        <f t="shared" si="148"/>
        <v>0.14146341463414633</v>
      </c>
      <c r="R154" s="20">
        <f>SUMIFS('Registre de reserves'!$V$2:$V$1178,'Registre de reserves'!$T$2:$T$1178,"SI",'Registre de reserves'!$I$2:$I$1178,'2020'!$A154,'Registre de reserves'!$B$2:$B$1178,'2020'!R$2,Tabla1[ANY],'2020'!$Z$150)+SUMIFS('Registre de reserves'!$V$2:$V$1178,'Registre de reserves'!$T$2:$T$1178,"RESERVA",'Registre de reserves'!$I$2:$I$1178,'2020'!$A154,'Registre de reserves'!$B$2:$B$1178,'2020'!R$2,Tabla1[ANY],'2020'!$Z$150)</f>
        <v>0</v>
      </c>
      <c r="S154" s="21">
        <f t="shared" si="149"/>
        <v>0</v>
      </c>
      <c r="T154" s="20">
        <f>SUMIFS('Registre de reserves'!$V$2:$V$1178,'Registre de reserves'!$T$2:$T$1178,"SI",'Registre de reserves'!$I$2:$I$1178,'2020'!$A154,'Registre de reserves'!$B$2:$B$1178,'2020'!T$2,Tabla1[ANY],'2020'!$Z$150)+SUMIFS('Registre de reserves'!$V$2:$V$1178,'Registre de reserves'!$T$2:$T$1178,"RESERVA",'Registre de reserves'!$I$2:$I$1178,'2020'!$A154,'Registre de reserves'!$B$2:$B$1178,'2020'!T$2,Tabla1[ANY],'2020'!$Z$150)</f>
        <v>95</v>
      </c>
      <c r="U154" s="21">
        <f t="shared" si="150"/>
        <v>0.32203389830508472</v>
      </c>
      <c r="V154" s="20">
        <f>SUMIFS('Registre de reserves'!$V$2:$V$1178,'Registre de reserves'!$T$2:$T$1178,"SI",'Registre de reserves'!$I$2:$I$1178,'2020'!$A154,'Registre de reserves'!$B$2:$B$1178,'2020'!V$2,Tabla1[ANY],'2020'!$Z$150)+SUMIFS('Registre de reserves'!$V$2:$V$1178,'Registre de reserves'!$T$2:$T$1178,"RESERVA",'Registre de reserves'!$I$2:$I$1178,'2020'!$A154,'Registre de reserves'!$B$2:$B$1178,'2020'!V$2,Tabla1[ANY],'2020'!$Z$150)</f>
        <v>0</v>
      </c>
      <c r="W154" s="21">
        <f t="shared" si="151"/>
        <v>0</v>
      </c>
      <c r="X154" s="20">
        <f>SUMIFS('Registre de reserves'!$V$2:$V$1178,'Registre de reserves'!$T$2:$T$1178,"SI",'Registre de reserves'!$I$2:$I$1178,'2020'!$A154,'Registre de reserves'!$B$2:$B$1178,'2020'!X$2,Tabla1[ANY],'2020'!$Z$150)+SUMIFS('Registre de reserves'!$V$2:$V$1178,'Registre de reserves'!$T$2:$T$1178,"RESERVA",'Registre de reserves'!$I$2:$I$1178,'2020'!$A154,'Registre de reserves'!$B$2:$B$1178,'2020'!X$2,Tabla1[ANY],'2020'!$Z$150)</f>
        <v>0</v>
      </c>
      <c r="Y154" s="21">
        <f t="shared" si="152"/>
        <v>0</v>
      </c>
      <c r="Z154" s="20">
        <f t="shared" ref="Z154:Z160" si="155">B154+D154+F154+H154+J154+L154+N154+P154+R154+T154+V154+X154</f>
        <v>2310</v>
      </c>
      <c r="AA154" s="21">
        <f t="shared" si="153"/>
        <v>0.11132599866890733</v>
      </c>
    </row>
    <row r="155" spans="1:27" hidden="1" outlineLevel="1" x14ac:dyDescent="0.2">
      <c r="A155" s="8" t="s">
        <v>4</v>
      </c>
      <c r="B155" s="20">
        <f>SUMIFS('Registre de reserves'!$V$2:$V$1178,'Registre de reserves'!$T$2:$T$1178,"SI",'Registre de reserves'!$I$2:$I$1178,'2020'!$A155,'Registre de reserves'!$B$2:$B$1178,'2020'!B$2,Tabla1[ANY],'2020'!$Z$150)+SUMIFS('Registre de reserves'!$V$2:$V$1178,'Registre de reserves'!$T$2:$T$1178,"RESERVA",'Registre de reserves'!$I$2:$I$1178,'2020'!$A155,'Registre de reserves'!$B$2:$B$1178,'2020'!B$2,Tabla1[ANY],'2020'!$Z$150)</f>
        <v>0</v>
      </c>
      <c r="C155" s="21">
        <f t="shared" si="154"/>
        <v>0</v>
      </c>
      <c r="D155" s="20">
        <f>SUMIFS('Registre de reserves'!$V$2:$V$1178,'Registre de reserves'!$T$2:$T$1178,"SI",'Registre de reserves'!$I$2:$I$1178,'2020'!$A155,'Registre de reserves'!$B$2:$B$1178,'2020'!D$2,Tabla1[ANY],'2020'!$Z$150)+SUMIFS('Registre de reserves'!$V$2:$V$1178,'Registre de reserves'!$T$2:$T$1178,"RESERVA",'Registre de reserves'!$I$2:$I$1178,'2020'!$A155,'Registre de reserves'!$B$2:$B$1178,'2020'!D$2,Tabla1[ANY],'2020'!$Z$150)</f>
        <v>0</v>
      </c>
      <c r="E155" s="21">
        <f t="shared" si="142"/>
        <v>0</v>
      </c>
      <c r="F155" s="20">
        <f>SUMIFS('Registre de reserves'!$V$2:$V$1178,'Registre de reserves'!$T$2:$T$1178,"SI",'Registre de reserves'!$I$2:$I$1178,'2020'!$A155,'Registre de reserves'!$B$2:$B$1178,'2020'!F$2,Tabla1[ANY],'2020'!$Z$150)+SUMIFS('Registre de reserves'!$V$2:$V$1178,'Registre de reserves'!$T$2:$T$1178,"RESERVA",'Registre de reserves'!$I$2:$I$1178,'2020'!$A155,'Registre de reserves'!$B$2:$B$1178,'2020'!F$2,Tabla1[ANY],'2020'!$Z$150)</f>
        <v>0</v>
      </c>
      <c r="G155" s="21">
        <f t="shared" si="143"/>
        <v>0</v>
      </c>
      <c r="H155" s="20">
        <f>SUMIFS('Registre de reserves'!$V$2:$V$1178,'Registre de reserves'!$T$2:$T$1178,"SI",'Registre de reserves'!$I$2:$I$1178,'2020'!$A155,'Registre de reserves'!$B$2:$B$1178,'2020'!H$2,Tabla1[ANY],'2020'!$Z$150)+SUMIFS('Registre de reserves'!$V$2:$V$1178,'Registre de reserves'!$T$2:$T$1178,"RESERVA",'Registre de reserves'!$I$2:$I$1178,'2020'!$A155,'Registre de reserves'!$B$2:$B$1178,'2020'!H$2,Tabla1[ANY],'2020'!$Z$150)</f>
        <v>0</v>
      </c>
      <c r="I155" s="21">
        <f t="shared" si="144"/>
        <v>0</v>
      </c>
      <c r="J155" s="20">
        <f>SUMIFS('Registre de reserves'!$V$2:$V$1178,'Registre de reserves'!$T$2:$T$1178,"SI",'Registre de reserves'!$I$2:$I$1178,'2020'!$A155,'Registre de reserves'!$B$2:$B$1178,'2020'!J$2,Tabla1[ANY],'2020'!$Z$150)+SUMIFS('Registre de reserves'!$V$2:$V$1178,'Registre de reserves'!$T$2:$T$1178,"RESERVA",'Registre de reserves'!$I$2:$I$1178,'2020'!$A155,'Registre de reserves'!$B$2:$B$1178,'2020'!J$2,Tabla1[ANY],'2020'!$Z$150)</f>
        <v>0</v>
      </c>
      <c r="K155" s="21">
        <f t="shared" si="145"/>
        <v>0</v>
      </c>
      <c r="L155" s="20">
        <f>SUMIFS('Registre de reserves'!$V$2:$V$1178,'Registre de reserves'!$T$2:$T$1178,"SI",'Registre de reserves'!$I$2:$I$1178,'2020'!$A155,'Registre de reserves'!$B$2:$B$1178,'2020'!L$2,Tabla1[ANY],'2020'!$Z$150)+SUMIFS('Registre de reserves'!$V$2:$V$1178,'Registre de reserves'!$T$2:$T$1178,"RESERVA",'Registre de reserves'!$I$2:$I$1178,'2020'!$A155,'Registre de reserves'!$B$2:$B$1178,'2020'!L$2,Tabla1[ANY],'2020'!$Z$150)</f>
        <v>190</v>
      </c>
      <c r="M155" s="21">
        <f t="shared" si="146"/>
        <v>0.19387755102040816</v>
      </c>
      <c r="N155" s="20">
        <f>SUMIFS('Registre de reserves'!$V$2:$V$1178,'Registre de reserves'!$T$2:$T$1178,"SI",'Registre de reserves'!$I$2:$I$1178,'2020'!$A155,'Registre de reserves'!$B$2:$B$1178,'2020'!N$2,Tabla1[ANY],'2020'!$Z$150)+SUMIFS('Registre de reserves'!$V$2:$V$1178,'Registre de reserves'!$T$2:$T$1178,"RESERVA",'Registre de reserves'!$I$2:$I$1178,'2020'!$A155,'Registre de reserves'!$B$2:$B$1178,'2020'!N$2,Tabla1[ANY],'2020'!$Z$150)</f>
        <v>0</v>
      </c>
      <c r="O155" s="21">
        <f t="shared" si="147"/>
        <v>0</v>
      </c>
      <c r="P155" s="20">
        <f>SUMIFS('Registre de reserves'!$V$2:$V$1178,'Registre de reserves'!$T$2:$T$1178,"SI",'Registre de reserves'!$I$2:$I$1178,'2020'!$A155,'Registre de reserves'!$B$2:$B$1178,'2020'!P$2,Tabla1[ANY],'2020'!$Z$150)+SUMIFS('Registre de reserves'!$V$2:$V$1178,'Registre de reserves'!$T$2:$T$1178,"RESERVA",'Registre de reserves'!$I$2:$I$1178,'2020'!$A155,'Registre de reserves'!$B$2:$B$1178,'2020'!P$2,Tabla1[ANY],'2020'!$Z$150)</f>
        <v>250</v>
      </c>
      <c r="Q155" s="21">
        <f t="shared" si="148"/>
        <v>0.24390243902439024</v>
      </c>
      <c r="R155" s="20">
        <f>SUMIFS('Registre de reserves'!$V$2:$V$1178,'Registre de reserves'!$T$2:$T$1178,"SI",'Registre de reserves'!$I$2:$I$1178,'2020'!$A155,'Registre de reserves'!$B$2:$B$1178,'2020'!R$2,Tabla1[ANY],'2020'!$Z$150)+SUMIFS('Registre de reserves'!$V$2:$V$1178,'Registre de reserves'!$T$2:$T$1178,"RESERVA",'Registre de reserves'!$I$2:$I$1178,'2020'!$A155,'Registre de reserves'!$B$2:$B$1178,'2020'!R$2,Tabla1[ANY],'2020'!$Z$150)</f>
        <v>0</v>
      </c>
      <c r="S155" s="21">
        <f t="shared" si="149"/>
        <v>0</v>
      </c>
      <c r="T155" s="20">
        <f>SUMIFS('Registre de reserves'!$V$2:$V$1178,'Registre de reserves'!$T$2:$T$1178,"SI",'Registre de reserves'!$I$2:$I$1178,'2020'!$A155,'Registre de reserves'!$B$2:$B$1178,'2020'!T$2,Tabla1[ANY],'2020'!$Z$150)+SUMIFS('Registre de reserves'!$V$2:$V$1178,'Registre de reserves'!$T$2:$T$1178,"RESERVA",'Registre de reserves'!$I$2:$I$1178,'2020'!$A155,'Registre de reserves'!$B$2:$B$1178,'2020'!T$2,Tabla1[ANY],'2020'!$Z$150)</f>
        <v>0</v>
      </c>
      <c r="U155" s="21">
        <f t="shared" si="150"/>
        <v>0</v>
      </c>
      <c r="V155" s="20">
        <f>SUMIFS('Registre de reserves'!$V$2:$V$1178,'Registre de reserves'!$T$2:$T$1178,"SI",'Registre de reserves'!$I$2:$I$1178,'2020'!$A155,'Registre de reserves'!$B$2:$B$1178,'2020'!V$2,Tabla1[ANY],'2020'!$Z$150)+SUMIFS('Registre de reserves'!$V$2:$V$1178,'Registre de reserves'!$T$2:$T$1178,"RESERVA",'Registre de reserves'!$I$2:$I$1178,'2020'!$A155,'Registre de reserves'!$B$2:$B$1178,'2020'!V$2,Tabla1[ANY],'2020'!$Z$150)</f>
        <v>0</v>
      </c>
      <c r="W155" s="21">
        <f t="shared" si="151"/>
        <v>0</v>
      </c>
      <c r="X155" s="20">
        <f>SUMIFS('Registre de reserves'!$V$2:$V$1178,'Registre de reserves'!$T$2:$T$1178,"SI",'Registre de reserves'!$I$2:$I$1178,'2020'!$A155,'Registre de reserves'!$B$2:$B$1178,'2020'!X$2,Tabla1[ANY],'2020'!$Z$150)+SUMIFS('Registre de reserves'!$V$2:$V$1178,'Registre de reserves'!$T$2:$T$1178,"RESERVA",'Registre de reserves'!$I$2:$I$1178,'2020'!$A155,'Registre de reserves'!$B$2:$B$1178,'2020'!X$2,Tabla1[ANY],'2020'!$Z$150)</f>
        <v>0</v>
      </c>
      <c r="Y155" s="21">
        <f t="shared" si="152"/>
        <v>0</v>
      </c>
      <c r="Z155" s="20">
        <f t="shared" si="155"/>
        <v>440</v>
      </c>
      <c r="AA155" s="21">
        <f t="shared" si="153"/>
        <v>2.1204952127410921E-2</v>
      </c>
    </row>
    <row r="156" spans="1:27" hidden="1" outlineLevel="1" x14ac:dyDescent="0.2">
      <c r="A156" s="8" t="s">
        <v>71</v>
      </c>
      <c r="B156" s="20">
        <f>SUMIFS('Registre de reserves'!$V$2:$V$1178,'Registre de reserves'!$T$2:$T$1178,"SI",'Registre de reserves'!$I$2:$I$1178,'2020'!$A156,'Registre de reserves'!$B$2:$B$1178,'2020'!B$2,Tabla1[ANY],'2020'!$Z$150)+SUMIFS('Registre de reserves'!$V$2:$V$1178,'Registre de reserves'!$T$2:$T$1178,"RESERVA",'Registre de reserves'!$I$2:$I$1178,'2020'!$A156,'Registre de reserves'!$B$2:$B$1178,'2020'!B$2,Tabla1[ANY],'2020'!$Z$150)</f>
        <v>200</v>
      </c>
      <c r="C156" s="21">
        <f t="shared" si="154"/>
        <v>0.11267605633802817</v>
      </c>
      <c r="D156" s="20">
        <f>SUMIFS('Registre de reserves'!$V$2:$V$1178,'Registre de reserves'!$T$2:$T$1178,"SI",'Registre de reserves'!$I$2:$I$1178,'2020'!$A156,'Registre de reserves'!$B$2:$B$1178,'2020'!D$2,Tabla1[ANY],'2020'!$Z$150)+SUMIFS('Registre de reserves'!$V$2:$V$1178,'Registre de reserves'!$T$2:$T$1178,"RESERVA",'Registre de reserves'!$I$2:$I$1178,'2020'!$A156,'Registre de reserves'!$B$2:$B$1178,'2020'!D$2,Tabla1[ANY],'2020'!$Z$150)</f>
        <v>0</v>
      </c>
      <c r="E156" s="21">
        <f t="shared" si="142"/>
        <v>0</v>
      </c>
      <c r="F156" s="20">
        <f>SUMIFS('Registre de reserves'!$V$2:$V$1178,'Registre de reserves'!$T$2:$T$1178,"SI",'Registre de reserves'!$I$2:$I$1178,'2020'!$A156,'Registre de reserves'!$B$2:$B$1178,'2020'!F$2,Tabla1[ANY],'2020'!$Z$150)+SUMIFS('Registre de reserves'!$V$2:$V$1178,'Registre de reserves'!$T$2:$T$1178,"RESERVA",'Registre de reserves'!$I$2:$I$1178,'2020'!$A156,'Registre de reserves'!$B$2:$B$1178,'2020'!F$2,Tabla1[ANY],'2020'!$Z$150)</f>
        <v>0</v>
      </c>
      <c r="G156" s="21">
        <f t="shared" si="143"/>
        <v>0</v>
      </c>
      <c r="H156" s="20">
        <f>SUMIFS('Registre de reserves'!$V$2:$V$1178,'Registre de reserves'!$T$2:$T$1178,"SI",'Registre de reserves'!$I$2:$I$1178,'2020'!$A156,'Registre de reserves'!$B$2:$B$1178,'2020'!H$2,Tabla1[ANY],'2020'!$Z$150)+SUMIFS('Registre de reserves'!$V$2:$V$1178,'Registre de reserves'!$T$2:$T$1178,"RESERVA",'Registre de reserves'!$I$2:$I$1178,'2020'!$A156,'Registre de reserves'!$B$2:$B$1178,'2020'!H$2,Tabla1[ANY],'2020'!$Z$150)</f>
        <v>0</v>
      </c>
      <c r="I156" s="21">
        <f t="shared" si="144"/>
        <v>0</v>
      </c>
      <c r="J156" s="20">
        <f>SUMIFS('Registre de reserves'!$V$2:$V$1178,'Registre de reserves'!$T$2:$T$1178,"SI",'Registre de reserves'!$I$2:$I$1178,'2020'!$A156,'Registre de reserves'!$B$2:$B$1178,'2020'!J$2,Tabla1[ANY],'2020'!$Z$150)+SUMIFS('Registre de reserves'!$V$2:$V$1178,'Registre de reserves'!$T$2:$T$1178,"RESERVA",'Registre de reserves'!$I$2:$I$1178,'2020'!$A156,'Registre de reserves'!$B$2:$B$1178,'2020'!J$2,Tabla1[ANY],'2020'!$Z$150)</f>
        <v>0</v>
      </c>
      <c r="K156" s="21">
        <f t="shared" si="145"/>
        <v>0</v>
      </c>
      <c r="L156" s="20">
        <f>SUMIFS('Registre de reserves'!$V$2:$V$1178,'Registre de reserves'!$T$2:$T$1178,"SI",'Registre de reserves'!$I$2:$I$1178,'2020'!$A156,'Registre de reserves'!$B$2:$B$1178,'2020'!L$2,Tabla1[ANY],'2020'!$Z$150)+SUMIFS('Registre de reserves'!$V$2:$V$1178,'Registre de reserves'!$T$2:$T$1178,"RESERVA",'Registre de reserves'!$I$2:$I$1178,'2020'!$A156,'Registre de reserves'!$B$2:$B$1178,'2020'!L$2,Tabla1[ANY],'2020'!$Z$150)</f>
        <v>0</v>
      </c>
      <c r="M156" s="21">
        <f t="shared" si="146"/>
        <v>0</v>
      </c>
      <c r="N156" s="20">
        <f>SUMIFS('Registre de reserves'!$V$2:$V$1178,'Registre de reserves'!$T$2:$T$1178,"SI",'Registre de reserves'!$I$2:$I$1178,'2020'!$A156,'Registre de reserves'!$B$2:$B$1178,'2020'!N$2,Tabla1[ANY],'2020'!$Z$150)+SUMIFS('Registre de reserves'!$V$2:$V$1178,'Registre de reserves'!$T$2:$T$1178,"RESERVA",'Registre de reserves'!$I$2:$I$1178,'2020'!$A156,'Registre de reserves'!$B$2:$B$1178,'2020'!N$2,Tabla1[ANY],'2020'!$Z$150)</f>
        <v>0</v>
      </c>
      <c r="O156" s="21">
        <f t="shared" si="147"/>
        <v>0</v>
      </c>
      <c r="P156" s="20">
        <f>SUMIFS('Registre de reserves'!$V$2:$V$1178,'Registre de reserves'!$T$2:$T$1178,"SI",'Registre de reserves'!$I$2:$I$1178,'2020'!$A156,'Registre de reserves'!$B$2:$B$1178,'2020'!P$2,Tabla1[ANY],'2020'!$Z$150)+SUMIFS('Registre de reserves'!$V$2:$V$1178,'Registre de reserves'!$T$2:$T$1178,"RESERVA",'Registre de reserves'!$I$2:$I$1178,'2020'!$A156,'Registre de reserves'!$B$2:$B$1178,'2020'!P$2,Tabla1[ANY],'2020'!$Z$150)</f>
        <v>0</v>
      </c>
      <c r="Q156" s="21">
        <f t="shared" si="148"/>
        <v>0</v>
      </c>
      <c r="R156" s="20">
        <f>SUMIFS('Registre de reserves'!$V$2:$V$1178,'Registre de reserves'!$T$2:$T$1178,"SI",'Registre de reserves'!$I$2:$I$1178,'2020'!$A156,'Registre de reserves'!$B$2:$B$1178,'2020'!R$2,Tabla1[ANY],'2020'!$Z$150)+SUMIFS('Registre de reserves'!$V$2:$V$1178,'Registre de reserves'!$T$2:$T$1178,"RESERVA",'Registre de reserves'!$I$2:$I$1178,'2020'!$A156,'Registre de reserves'!$B$2:$B$1178,'2020'!R$2,Tabla1[ANY],'2020'!$Z$150)</f>
        <v>0</v>
      </c>
      <c r="S156" s="21">
        <f t="shared" si="149"/>
        <v>0</v>
      </c>
      <c r="T156" s="20">
        <f>SUMIFS('Registre de reserves'!$V$2:$V$1178,'Registre de reserves'!$T$2:$T$1178,"SI",'Registre de reserves'!$I$2:$I$1178,'2020'!$A156,'Registre de reserves'!$B$2:$B$1178,'2020'!T$2,Tabla1[ANY],'2020'!$Z$150)+SUMIFS('Registre de reserves'!$V$2:$V$1178,'Registre de reserves'!$T$2:$T$1178,"RESERVA",'Registre de reserves'!$I$2:$I$1178,'2020'!$A156,'Registre de reserves'!$B$2:$B$1178,'2020'!T$2,Tabla1[ANY],'2020'!$Z$150)</f>
        <v>0</v>
      </c>
      <c r="U156" s="21">
        <f t="shared" si="150"/>
        <v>0</v>
      </c>
      <c r="V156" s="20">
        <f>SUMIFS('Registre de reserves'!$V$2:$V$1178,'Registre de reserves'!$T$2:$T$1178,"SI",'Registre de reserves'!$I$2:$I$1178,'2020'!$A156,'Registre de reserves'!$B$2:$B$1178,'2020'!V$2,Tabla1[ANY],'2020'!$Z$150)+SUMIFS('Registre de reserves'!$V$2:$V$1178,'Registre de reserves'!$T$2:$T$1178,"RESERVA",'Registre de reserves'!$I$2:$I$1178,'2020'!$A156,'Registre de reserves'!$B$2:$B$1178,'2020'!V$2,Tabla1[ANY],'2020'!$Z$150)</f>
        <v>0</v>
      </c>
      <c r="W156" s="21">
        <f t="shared" si="151"/>
        <v>0</v>
      </c>
      <c r="X156" s="20">
        <f>SUMIFS('Registre de reserves'!$V$2:$V$1178,'Registre de reserves'!$T$2:$T$1178,"SI",'Registre de reserves'!$I$2:$I$1178,'2020'!$A156,'Registre de reserves'!$B$2:$B$1178,'2020'!X$2,Tabla1[ANY],'2020'!$Z$150)+SUMIFS('Registre de reserves'!$V$2:$V$1178,'Registre de reserves'!$T$2:$T$1178,"RESERVA",'Registre de reserves'!$I$2:$I$1178,'2020'!$A156,'Registre de reserves'!$B$2:$B$1178,'2020'!X$2,Tabla1[ANY],'2020'!$Z$150)</f>
        <v>0</v>
      </c>
      <c r="Y156" s="21">
        <f t="shared" si="152"/>
        <v>0</v>
      </c>
      <c r="Z156" s="20">
        <f t="shared" si="155"/>
        <v>200</v>
      </c>
      <c r="AA156" s="21">
        <f t="shared" si="153"/>
        <v>9.6386146033686001E-3</v>
      </c>
    </row>
    <row r="157" spans="1:27" hidden="1" outlineLevel="1" x14ac:dyDescent="0.2">
      <c r="A157" s="8" t="s">
        <v>72</v>
      </c>
      <c r="B157" s="20">
        <f>SUMIFS('Registre de reserves'!$V$2:$V$1178,'Registre de reserves'!$T$2:$T$1178,"SI",'Registre de reserves'!$I$2:$I$1178,'2020'!$A157,'Registre de reserves'!$B$2:$B$1178,'2020'!B$2,Tabla1[ANY],'2020'!$Z$150)+SUMIFS('Registre de reserves'!$V$2:$V$1178,'Registre de reserves'!$T$2:$T$1178,"RESERVA",'Registre de reserves'!$I$2:$I$1178,'2020'!$A157,'Registre de reserves'!$B$2:$B$1178,'2020'!B$2,Tabla1[ANY],'2020'!$Z$150)</f>
        <v>0</v>
      </c>
      <c r="C157" s="21">
        <f t="shared" si="154"/>
        <v>0</v>
      </c>
      <c r="D157" s="20">
        <f>SUMIFS('Registre de reserves'!$V$2:$V$1178,'Registre de reserves'!$T$2:$T$1178,"SI",'Registre de reserves'!$I$2:$I$1178,'2020'!$A157,'Registre de reserves'!$B$2:$B$1178,'2020'!D$2,Tabla1[ANY],'2020'!$Z$150)+SUMIFS('Registre de reserves'!$V$2:$V$1178,'Registre de reserves'!$T$2:$T$1178,"RESERVA",'Registre de reserves'!$I$2:$I$1178,'2020'!$A157,'Registre de reserves'!$B$2:$B$1178,'2020'!D$2,Tabla1[ANY],'2020'!$Z$150)</f>
        <v>0</v>
      </c>
      <c r="E157" s="21">
        <f t="shared" si="142"/>
        <v>0</v>
      </c>
      <c r="F157" s="20">
        <f>SUMIFS('Registre de reserves'!$V$2:$V$1178,'Registre de reserves'!$T$2:$T$1178,"SI",'Registre de reserves'!$I$2:$I$1178,'2020'!$A157,'Registre de reserves'!$B$2:$B$1178,'2020'!F$2,Tabla1[ANY],'2020'!$Z$150)+SUMIFS('Registre de reserves'!$V$2:$V$1178,'Registre de reserves'!$T$2:$T$1178,"RESERVA",'Registre de reserves'!$I$2:$I$1178,'2020'!$A157,'Registre de reserves'!$B$2:$B$1178,'2020'!F$2,Tabla1[ANY],'2020'!$Z$150)</f>
        <v>0</v>
      </c>
      <c r="G157" s="21">
        <f t="shared" si="143"/>
        <v>0</v>
      </c>
      <c r="H157" s="20">
        <f>SUMIFS('Registre de reserves'!$V$2:$V$1178,'Registre de reserves'!$T$2:$T$1178,"SI",'Registre de reserves'!$I$2:$I$1178,'2020'!$A157,'Registre de reserves'!$B$2:$B$1178,'2020'!H$2,Tabla1[ANY],'2020'!$Z$150)+SUMIFS('Registre de reserves'!$V$2:$V$1178,'Registre de reserves'!$T$2:$T$1178,"RESERVA",'Registre de reserves'!$I$2:$I$1178,'2020'!$A157,'Registre de reserves'!$B$2:$B$1178,'2020'!H$2,Tabla1[ANY],'2020'!$Z$150)</f>
        <v>0</v>
      </c>
      <c r="I157" s="21">
        <f t="shared" si="144"/>
        <v>0</v>
      </c>
      <c r="J157" s="20">
        <f>SUMIFS('Registre de reserves'!$V$2:$V$1178,'Registre de reserves'!$T$2:$T$1178,"SI",'Registre de reserves'!$I$2:$I$1178,'2020'!$A157,'Registre de reserves'!$B$2:$B$1178,'2020'!J$2,Tabla1[ANY],'2020'!$Z$150)+SUMIFS('Registre de reserves'!$V$2:$V$1178,'Registre de reserves'!$T$2:$T$1178,"RESERVA",'Registre de reserves'!$I$2:$I$1178,'2020'!$A157,'Registre de reserves'!$B$2:$B$1178,'2020'!J$2,Tabla1[ANY],'2020'!$Z$150)</f>
        <v>0</v>
      </c>
      <c r="K157" s="21">
        <f t="shared" si="145"/>
        <v>0</v>
      </c>
      <c r="L157" s="20">
        <f>SUMIFS('Registre de reserves'!$V$2:$V$1178,'Registre de reserves'!$T$2:$T$1178,"SI",'Registre de reserves'!$I$2:$I$1178,'2020'!$A157,'Registre de reserves'!$B$2:$B$1178,'2020'!L$2,Tabla1[ANY],'2020'!$Z$150)+SUMIFS('Registre de reserves'!$V$2:$V$1178,'Registre de reserves'!$T$2:$T$1178,"RESERVA",'Registre de reserves'!$I$2:$I$1178,'2020'!$A157,'Registre de reserves'!$B$2:$B$1178,'2020'!L$2,Tabla1[ANY],'2020'!$Z$150)</f>
        <v>0</v>
      </c>
      <c r="M157" s="21">
        <f t="shared" si="146"/>
        <v>0</v>
      </c>
      <c r="N157" s="20">
        <f>SUMIFS('Registre de reserves'!$V$2:$V$1178,'Registre de reserves'!$T$2:$T$1178,"SI",'Registre de reserves'!$I$2:$I$1178,'2020'!$A157,'Registre de reserves'!$B$2:$B$1178,'2020'!N$2,Tabla1[ANY],'2020'!$Z$150)+SUMIFS('Registre de reserves'!$V$2:$V$1178,'Registre de reserves'!$T$2:$T$1178,"RESERVA",'Registre de reserves'!$I$2:$I$1178,'2020'!$A157,'Registre de reserves'!$B$2:$B$1178,'2020'!N$2,Tabla1[ANY],'2020'!$Z$150)</f>
        <v>0</v>
      </c>
      <c r="O157" s="21">
        <f t="shared" si="147"/>
        <v>0</v>
      </c>
      <c r="P157" s="20">
        <f>SUMIFS('Registre de reserves'!$V$2:$V$1178,'Registre de reserves'!$T$2:$T$1178,"SI",'Registre de reserves'!$I$2:$I$1178,'2020'!$A157,'Registre de reserves'!$B$2:$B$1178,'2020'!P$2,Tabla1[ANY],'2020'!$Z$150)+SUMIFS('Registre de reserves'!$V$2:$V$1178,'Registre de reserves'!$T$2:$T$1178,"RESERVA",'Registre de reserves'!$I$2:$I$1178,'2020'!$A157,'Registre de reserves'!$B$2:$B$1178,'2020'!P$2,Tabla1[ANY],'2020'!$Z$150)</f>
        <v>0</v>
      </c>
      <c r="Q157" s="21">
        <f t="shared" si="148"/>
        <v>0</v>
      </c>
      <c r="R157" s="20">
        <f>SUMIFS('Registre de reserves'!$V$2:$V$1178,'Registre de reserves'!$T$2:$T$1178,"SI",'Registre de reserves'!$I$2:$I$1178,'2020'!$A157,'Registre de reserves'!$B$2:$B$1178,'2020'!R$2,Tabla1[ANY],'2020'!$Z$150)+SUMIFS('Registre de reserves'!$V$2:$V$1178,'Registre de reserves'!$T$2:$T$1178,"RESERVA",'Registre de reserves'!$I$2:$I$1178,'2020'!$A157,'Registre de reserves'!$B$2:$B$1178,'2020'!R$2,Tabla1[ANY],'2020'!$Z$150)</f>
        <v>0</v>
      </c>
      <c r="S157" s="21">
        <f t="shared" si="149"/>
        <v>0</v>
      </c>
      <c r="T157" s="20">
        <f>SUMIFS('Registre de reserves'!$V$2:$V$1178,'Registre de reserves'!$T$2:$T$1178,"SI",'Registre de reserves'!$I$2:$I$1178,'2020'!$A157,'Registre de reserves'!$B$2:$B$1178,'2020'!T$2,Tabla1[ANY],'2020'!$Z$150)+SUMIFS('Registre de reserves'!$V$2:$V$1178,'Registre de reserves'!$T$2:$T$1178,"RESERVA",'Registre de reserves'!$I$2:$I$1178,'2020'!$A157,'Registre de reserves'!$B$2:$B$1178,'2020'!T$2,Tabla1[ANY],'2020'!$Z$150)</f>
        <v>0</v>
      </c>
      <c r="U157" s="21">
        <f t="shared" si="150"/>
        <v>0</v>
      </c>
      <c r="V157" s="20">
        <f>SUMIFS('Registre de reserves'!$V$2:$V$1178,'Registre de reserves'!$T$2:$T$1178,"SI",'Registre de reserves'!$I$2:$I$1178,'2020'!$A157,'Registre de reserves'!$B$2:$B$1178,'2020'!V$2,Tabla1[ANY],'2020'!$Z$150)+SUMIFS('Registre de reserves'!$V$2:$V$1178,'Registre de reserves'!$T$2:$T$1178,"RESERVA",'Registre de reserves'!$I$2:$I$1178,'2020'!$A157,'Registre de reserves'!$B$2:$B$1178,'2020'!V$2,Tabla1[ANY],'2020'!$Z$150)</f>
        <v>0</v>
      </c>
      <c r="W157" s="21">
        <f t="shared" si="151"/>
        <v>0</v>
      </c>
      <c r="X157" s="20">
        <f>SUMIFS('Registre de reserves'!$V$2:$V$1178,'Registre de reserves'!$T$2:$T$1178,"SI",'Registre de reserves'!$I$2:$I$1178,'2020'!$A157,'Registre de reserves'!$B$2:$B$1178,'2020'!X$2,Tabla1[ANY],'2020'!$Z$150)+SUMIFS('Registre de reserves'!$V$2:$V$1178,'Registre de reserves'!$T$2:$T$1178,"RESERVA",'Registre de reserves'!$I$2:$I$1178,'2020'!$A157,'Registre de reserves'!$B$2:$B$1178,'2020'!X$2,Tabla1[ANY],'2020'!$Z$150)</f>
        <v>0</v>
      </c>
      <c r="Y157" s="21">
        <f t="shared" si="152"/>
        <v>0</v>
      </c>
      <c r="Z157" s="20">
        <f t="shared" si="155"/>
        <v>0</v>
      </c>
      <c r="AA157" s="21">
        <f t="shared" si="153"/>
        <v>0</v>
      </c>
    </row>
    <row r="158" spans="1:27" hidden="1" outlineLevel="1" x14ac:dyDescent="0.2">
      <c r="A158" s="8" t="s">
        <v>69</v>
      </c>
      <c r="B158" s="20">
        <f>SUMIFS('Registre de reserves'!$V$2:$V$1178,'Registre de reserves'!$T$2:$T$1178,"SI",'Registre de reserves'!$I$2:$I$1178,'2020'!$A158,'Registre de reserves'!$B$2:$B$1178,'2020'!B$2,Tabla1[ANY],'2020'!$Z$150)+SUMIFS('Registre de reserves'!$V$2:$V$1178,'Registre de reserves'!$T$2:$T$1178,"RESERVA",'Registre de reserves'!$I$2:$I$1178,'2020'!$A158,'Registre de reserves'!$B$2:$B$1178,'2020'!B$2,Tabla1[ANY],'2020'!$Z$150)</f>
        <v>730</v>
      </c>
      <c r="C158" s="21">
        <f t="shared" si="154"/>
        <v>0.41126760563380282</v>
      </c>
      <c r="D158" s="20">
        <f>SUMIFS('Registre de reserves'!$V$2:$V$1178,'Registre de reserves'!$T$2:$T$1178,"SI",'Registre de reserves'!$I$2:$I$1178,'2020'!$A158,'Registre de reserves'!$B$2:$B$1178,'2020'!D$2,Tabla1[ANY],'2020'!$Z$150)+SUMIFS('Registre de reserves'!$V$2:$V$1178,'Registre de reserves'!$T$2:$T$1178,"RESERVA",'Registre de reserves'!$I$2:$I$1178,'2020'!$A158,'Registre de reserves'!$B$2:$B$1178,'2020'!D$2,Tabla1[ANY],'2020'!$Z$150)</f>
        <v>630</v>
      </c>
      <c r="E158" s="21">
        <f t="shared" si="142"/>
        <v>0.37168141592920356</v>
      </c>
      <c r="F158" s="20">
        <f>SUMIFS('Registre de reserves'!$V$2:$V$1178,'Registre de reserves'!$T$2:$T$1178,"SI",'Registre de reserves'!$I$2:$I$1178,'2020'!$A158,'Registre de reserves'!$B$2:$B$1178,'2020'!F$2,Tabla1[ANY],'2020'!$Z$150)+SUMIFS('Registre de reserves'!$V$2:$V$1178,'Registre de reserves'!$T$2:$T$1178,"RESERVA",'Registre de reserves'!$I$2:$I$1178,'2020'!$A158,'Registre de reserves'!$B$2:$B$1178,'2020'!F$2,Tabla1[ANY],'2020'!$Z$150)</f>
        <v>145</v>
      </c>
      <c r="G158" s="21">
        <f t="shared" si="143"/>
        <v>0.33720930232558138</v>
      </c>
      <c r="H158" s="20">
        <f>SUMIFS('Registre de reserves'!$V$2:$V$1178,'Registre de reserves'!$T$2:$T$1178,"SI",'Registre de reserves'!$I$2:$I$1178,'2020'!$A158,'Registre de reserves'!$B$2:$B$1178,'2020'!H$2,Tabla1[ANY],'2020'!$Z$150)+SUMIFS('Registre de reserves'!$V$2:$V$1178,'Registre de reserves'!$T$2:$T$1178,"RESERVA",'Registre de reserves'!$I$2:$I$1178,'2020'!$A158,'Registre de reserves'!$B$2:$B$1178,'2020'!H$2,Tabla1[ANY],'2020'!$Z$150)</f>
        <v>0</v>
      </c>
      <c r="I158" s="21">
        <f t="shared" si="144"/>
        <v>0</v>
      </c>
      <c r="J158" s="20">
        <f>SUMIFS('Registre de reserves'!$V$2:$V$1178,'Registre de reserves'!$T$2:$T$1178,"SI",'Registre de reserves'!$I$2:$I$1178,'2020'!$A158,'Registre de reserves'!$B$2:$B$1178,'2020'!J$2,Tabla1[ANY],'2020'!$Z$150)+SUMIFS('Registre de reserves'!$V$2:$V$1178,'Registre de reserves'!$T$2:$T$1178,"RESERVA",'Registre de reserves'!$I$2:$I$1178,'2020'!$A158,'Registre de reserves'!$B$2:$B$1178,'2020'!J$2,Tabla1[ANY],'2020'!$Z$150)</f>
        <v>0</v>
      </c>
      <c r="K158" s="21">
        <f t="shared" si="145"/>
        <v>0</v>
      </c>
      <c r="L158" s="20">
        <f>SUMIFS('Registre de reserves'!$V$2:$V$1178,'Registre de reserves'!$T$2:$T$1178,"SI",'Registre de reserves'!$I$2:$I$1178,'2020'!$A158,'Registre de reserves'!$B$2:$B$1178,'2020'!L$2,Tabla1[ANY],'2020'!$Z$150)+SUMIFS('Registre de reserves'!$V$2:$V$1178,'Registre de reserves'!$T$2:$T$1178,"RESERVA",'Registre de reserves'!$I$2:$I$1178,'2020'!$A158,'Registre de reserves'!$B$2:$B$1178,'2020'!L$2,Tabla1[ANY],'2020'!$Z$150)</f>
        <v>290</v>
      </c>
      <c r="M158" s="21">
        <f t="shared" si="146"/>
        <v>0.29591836734693877</v>
      </c>
      <c r="N158" s="20">
        <f>SUMIFS('Registre de reserves'!$V$2:$V$1178,'Registre de reserves'!$T$2:$T$1178,"SI",'Registre de reserves'!$I$2:$I$1178,'2020'!$A158,'Registre de reserves'!$B$2:$B$1178,'2020'!N$2,Tabla1[ANY],'2020'!$Z$150)+SUMIFS('Registre de reserves'!$V$2:$V$1178,'Registre de reserves'!$T$2:$T$1178,"RESERVA",'Registre de reserves'!$I$2:$I$1178,'2020'!$A158,'Registre de reserves'!$B$2:$B$1178,'2020'!N$2,Tabla1[ANY],'2020'!$Z$150)</f>
        <v>920</v>
      </c>
      <c r="O158" s="21">
        <f t="shared" si="147"/>
        <v>0.67647058823529416</v>
      </c>
      <c r="P158" s="20">
        <f>SUMIFS('Registre de reserves'!$V$2:$V$1178,'Registre de reserves'!$T$2:$T$1178,"SI",'Registre de reserves'!$I$2:$I$1178,'2020'!$A158,'Registre de reserves'!$B$2:$B$1178,'2020'!P$2,Tabla1[ANY],'2020'!$Z$150)+SUMIFS('Registre de reserves'!$V$2:$V$1178,'Registre de reserves'!$T$2:$T$1178,"RESERVA",'Registre de reserves'!$I$2:$I$1178,'2020'!$A158,'Registre de reserves'!$B$2:$B$1178,'2020'!P$2,Tabla1[ANY],'2020'!$Z$150)</f>
        <v>630</v>
      </c>
      <c r="Q158" s="21">
        <f t="shared" si="148"/>
        <v>0.61463414634146341</v>
      </c>
      <c r="R158" s="20">
        <f>SUMIFS('Registre de reserves'!$V$2:$V$1178,'Registre de reserves'!$T$2:$T$1178,"SI",'Registre de reserves'!$I$2:$I$1178,'2020'!$A158,'Registre de reserves'!$B$2:$B$1178,'2020'!R$2,Tabla1[ANY],'2020'!$Z$150)+SUMIFS('Registre de reserves'!$V$2:$V$1178,'Registre de reserves'!$T$2:$T$1178,"RESERVA",'Registre de reserves'!$I$2:$I$1178,'2020'!$A158,'Registre de reserves'!$B$2:$B$1178,'2020'!R$2,Tabla1[ANY],'2020'!$Z$150)</f>
        <v>435</v>
      </c>
      <c r="S158" s="21">
        <f t="shared" si="149"/>
        <v>1</v>
      </c>
      <c r="T158" s="20">
        <f>SUMIFS('Registre de reserves'!$V$2:$V$1178,'Registre de reserves'!$T$2:$T$1178,"SI",'Registre de reserves'!$I$2:$I$1178,'2020'!$A158,'Registre de reserves'!$B$2:$B$1178,'2020'!T$2,Tabla1[ANY],'2020'!$Z$150)+SUMIFS('Registre de reserves'!$V$2:$V$1178,'Registre de reserves'!$T$2:$T$1178,"RESERVA",'Registre de reserves'!$I$2:$I$1178,'2020'!$A158,'Registre de reserves'!$B$2:$B$1178,'2020'!T$2,Tabla1[ANY],'2020'!$Z$150)</f>
        <v>0</v>
      </c>
      <c r="U158" s="21">
        <f t="shared" si="150"/>
        <v>0</v>
      </c>
      <c r="V158" s="20">
        <f>SUMIFS('Registre de reserves'!$V$2:$V$1178,'Registre de reserves'!$T$2:$T$1178,"SI",'Registre de reserves'!$I$2:$I$1178,'2020'!$A158,'Registre de reserves'!$B$2:$B$1178,'2020'!V$2,Tabla1[ANY],'2020'!$Z$150)+SUMIFS('Registre de reserves'!$V$2:$V$1178,'Registre de reserves'!$T$2:$T$1178,"RESERVA",'Registre de reserves'!$I$2:$I$1178,'2020'!$A158,'Registre de reserves'!$B$2:$B$1178,'2020'!V$2,Tabla1[ANY],'2020'!$Z$150)</f>
        <v>0</v>
      </c>
      <c r="W158" s="21">
        <f t="shared" si="151"/>
        <v>0</v>
      </c>
      <c r="X158" s="20">
        <f>SUMIFS('Registre de reserves'!$V$2:$V$1178,'Registre de reserves'!$T$2:$T$1178,"SI",'Registre de reserves'!$I$2:$I$1178,'2020'!$A158,'Registre de reserves'!$B$2:$B$1178,'2020'!X$2,Tabla1[ANY],'2020'!$Z$150)+SUMIFS('Registre de reserves'!$V$2:$V$1178,'Registre de reserves'!$T$2:$T$1178,"RESERVA",'Registre de reserves'!$I$2:$I$1178,'2020'!$A158,'Registre de reserves'!$B$2:$B$1178,'2020'!X$2,Tabla1[ANY],'2020'!$Z$150)</f>
        <v>0</v>
      </c>
      <c r="Y158" s="21">
        <f t="shared" si="152"/>
        <v>0</v>
      </c>
      <c r="Z158" s="20">
        <f t="shared" si="155"/>
        <v>3780</v>
      </c>
      <c r="AA158" s="21">
        <f t="shared" si="153"/>
        <v>0.18216981600366655</v>
      </c>
    </row>
    <row r="159" spans="1:27" hidden="1" outlineLevel="1" x14ac:dyDescent="0.2">
      <c r="A159" s="8" t="s">
        <v>70</v>
      </c>
      <c r="B159" s="20">
        <f>SUMIFS('Registre de reserves'!$V$2:$V$1178,'Registre de reserves'!$T$2:$T$1178,"SI",'Registre de reserves'!$I$2:$I$1178,'2020'!$A159,'Registre de reserves'!$B$2:$B$1178,'2020'!B$2,Tabla1[ANY],'2020'!$Z$150)+SUMIFS('Registre de reserves'!$V$2:$V$1178,'Registre de reserves'!$T$2:$T$1178,"RESERVA",'Registre de reserves'!$I$2:$I$1178,'2020'!$A159,'Registre de reserves'!$B$2:$B$1178,'2020'!B$2,Tabla1[ANY],'2020'!$Z$150)</f>
        <v>0</v>
      </c>
      <c r="C159" s="21">
        <f t="shared" si="154"/>
        <v>0</v>
      </c>
      <c r="D159" s="20">
        <f>SUMIFS('Registre de reserves'!$V$2:$V$1178,'Registre de reserves'!$T$2:$T$1178,"SI",'Registre de reserves'!$I$2:$I$1178,'2020'!$A159,'Registre de reserves'!$B$2:$B$1178,'2020'!D$2,Tabla1[ANY],'2020'!$Z$150)+SUMIFS('Registre de reserves'!$V$2:$V$1178,'Registre de reserves'!$T$2:$T$1178,"RESERVA",'Registre de reserves'!$I$2:$I$1178,'2020'!$A159,'Registre de reserves'!$B$2:$B$1178,'2020'!D$2,Tabla1[ANY],'2020'!$Z$150)</f>
        <v>0</v>
      </c>
      <c r="E159" s="21">
        <f t="shared" si="142"/>
        <v>0</v>
      </c>
      <c r="F159" s="20">
        <f>SUMIFS('Registre de reserves'!$V$2:$V$1178,'Registre de reserves'!$T$2:$T$1178,"SI",'Registre de reserves'!$I$2:$I$1178,'2020'!$A159,'Registre de reserves'!$B$2:$B$1178,'2020'!F$2,Tabla1[ANY],'2020'!$Z$150)+SUMIFS('Registre de reserves'!$V$2:$V$1178,'Registre de reserves'!$T$2:$T$1178,"RESERVA",'Registre de reserves'!$I$2:$I$1178,'2020'!$A159,'Registre de reserves'!$B$2:$B$1178,'2020'!F$2,Tabla1[ANY],'2020'!$Z$150)</f>
        <v>0</v>
      </c>
      <c r="G159" s="21">
        <f t="shared" si="143"/>
        <v>0</v>
      </c>
      <c r="H159" s="20">
        <f>SUMIFS('Registre de reserves'!$V$2:$V$1178,'Registre de reserves'!$T$2:$T$1178,"SI",'Registre de reserves'!$I$2:$I$1178,'2020'!$A159,'Registre de reserves'!$B$2:$B$1178,'2020'!H$2,Tabla1[ANY],'2020'!$Z$150)+SUMIFS('Registre de reserves'!$V$2:$V$1178,'Registre de reserves'!$T$2:$T$1178,"RESERVA",'Registre de reserves'!$I$2:$I$1178,'2020'!$A159,'Registre de reserves'!$B$2:$B$1178,'2020'!H$2,Tabla1[ANY],'2020'!$Z$150)</f>
        <v>0</v>
      </c>
      <c r="I159" s="21">
        <f t="shared" si="144"/>
        <v>0</v>
      </c>
      <c r="J159" s="20">
        <f>SUMIFS('Registre de reserves'!$V$2:$V$1178,'Registre de reserves'!$T$2:$T$1178,"SI",'Registre de reserves'!$I$2:$I$1178,'2020'!$A159,'Registre de reserves'!$B$2:$B$1178,'2020'!J$2,Tabla1[ANY],'2020'!$Z$150)+SUMIFS('Registre de reserves'!$V$2:$V$1178,'Registre de reserves'!$T$2:$T$1178,"RESERVA",'Registre de reserves'!$I$2:$I$1178,'2020'!$A159,'Registre de reserves'!$B$2:$B$1178,'2020'!J$2,Tabla1[ANY],'2020'!$Z$150)</f>
        <v>0</v>
      </c>
      <c r="K159" s="21">
        <f t="shared" si="145"/>
        <v>0</v>
      </c>
      <c r="L159" s="20">
        <f>SUMIFS('Registre de reserves'!$V$2:$V$1178,'Registre de reserves'!$T$2:$T$1178,"SI",'Registre de reserves'!$I$2:$I$1178,'2020'!$A159,'Registre de reserves'!$B$2:$B$1178,'2020'!L$2,Tabla1[ANY],'2020'!$Z$150)+SUMIFS('Registre de reserves'!$V$2:$V$1178,'Registre de reserves'!$T$2:$T$1178,"RESERVA",'Registre de reserves'!$I$2:$I$1178,'2020'!$A159,'Registre de reserves'!$B$2:$B$1178,'2020'!L$2,Tabla1[ANY],'2020'!$Z$150)</f>
        <v>0</v>
      </c>
      <c r="M159" s="21">
        <f t="shared" si="146"/>
        <v>0</v>
      </c>
      <c r="N159" s="20">
        <f>SUMIFS('Registre de reserves'!$V$2:$V$1178,'Registre de reserves'!$T$2:$T$1178,"SI",'Registre de reserves'!$I$2:$I$1178,'2020'!$A159,'Registre de reserves'!$B$2:$B$1178,'2020'!N$2,Tabla1[ANY],'2020'!$Z$150)+SUMIFS('Registre de reserves'!$V$2:$V$1178,'Registre de reserves'!$T$2:$T$1178,"RESERVA",'Registre de reserves'!$I$2:$I$1178,'2020'!$A159,'Registre de reserves'!$B$2:$B$1178,'2020'!N$2,Tabla1[ANY],'2020'!$Z$150)</f>
        <v>0</v>
      </c>
      <c r="O159" s="21">
        <f t="shared" si="147"/>
        <v>0</v>
      </c>
      <c r="P159" s="20">
        <f>SUMIFS('Registre de reserves'!$V$2:$V$1178,'Registre de reserves'!$T$2:$T$1178,"SI",'Registre de reserves'!$I$2:$I$1178,'2020'!$A159,'Registre de reserves'!$B$2:$B$1178,'2020'!P$2,Tabla1[ANY],'2020'!$Z$150)+SUMIFS('Registre de reserves'!$V$2:$V$1178,'Registre de reserves'!$T$2:$T$1178,"RESERVA",'Registre de reserves'!$I$2:$I$1178,'2020'!$A159,'Registre de reserves'!$B$2:$B$1178,'2020'!P$2,Tabla1[ANY],'2020'!$Z$150)</f>
        <v>0</v>
      </c>
      <c r="Q159" s="21">
        <f t="shared" si="148"/>
        <v>0</v>
      </c>
      <c r="R159" s="20">
        <f>SUMIFS('Registre de reserves'!$V$2:$V$1178,'Registre de reserves'!$T$2:$T$1178,"SI",'Registre de reserves'!$I$2:$I$1178,'2020'!$A159,'Registre de reserves'!$B$2:$B$1178,'2020'!R$2,Tabla1[ANY],'2020'!$Z$150)+SUMIFS('Registre de reserves'!$V$2:$V$1178,'Registre de reserves'!$T$2:$T$1178,"RESERVA",'Registre de reserves'!$I$2:$I$1178,'2020'!$A159,'Registre de reserves'!$B$2:$B$1178,'2020'!R$2,Tabla1[ANY],'2020'!$Z$150)</f>
        <v>0</v>
      </c>
      <c r="S159" s="21">
        <f t="shared" si="149"/>
        <v>0</v>
      </c>
      <c r="T159" s="20">
        <f>SUMIFS('Registre de reserves'!$V$2:$V$1178,'Registre de reserves'!$T$2:$T$1178,"SI",'Registre de reserves'!$I$2:$I$1178,'2020'!$A159,'Registre de reserves'!$B$2:$B$1178,'2020'!T$2,Tabla1[ANY],'2020'!$Z$150)+SUMIFS('Registre de reserves'!$V$2:$V$1178,'Registre de reserves'!$T$2:$T$1178,"RESERVA",'Registre de reserves'!$I$2:$I$1178,'2020'!$A159,'Registre de reserves'!$B$2:$B$1178,'2020'!T$2,Tabla1[ANY],'2020'!$Z$150)</f>
        <v>0</v>
      </c>
      <c r="U159" s="21">
        <f t="shared" si="150"/>
        <v>0</v>
      </c>
      <c r="V159" s="20">
        <f>SUMIFS('Registre de reserves'!$V$2:$V$1178,'Registre de reserves'!$T$2:$T$1178,"SI",'Registre de reserves'!$I$2:$I$1178,'2020'!$A159,'Registre de reserves'!$B$2:$B$1178,'2020'!V$2,Tabla1[ANY],'2020'!$Z$150)+SUMIFS('Registre de reserves'!$V$2:$V$1178,'Registre de reserves'!$T$2:$T$1178,"RESERVA",'Registre de reserves'!$I$2:$I$1178,'2020'!$A159,'Registre de reserves'!$B$2:$B$1178,'2020'!V$2,Tabla1[ANY],'2020'!$Z$150)</f>
        <v>0</v>
      </c>
      <c r="W159" s="21">
        <f t="shared" si="151"/>
        <v>0</v>
      </c>
      <c r="X159" s="20">
        <f>SUMIFS('Registre de reserves'!$V$2:$V$1178,'Registre de reserves'!$T$2:$T$1178,"SI",'Registre de reserves'!$I$2:$I$1178,'2020'!$A159,'Registre de reserves'!$B$2:$B$1178,'2020'!X$2,Tabla1[ANY],'2020'!$Z$150)+SUMIFS('Registre de reserves'!$V$2:$V$1178,'Registre de reserves'!$T$2:$T$1178,"RESERVA",'Registre de reserves'!$I$2:$I$1178,'2020'!$A159,'Registre de reserves'!$B$2:$B$1178,'2020'!X$2,Tabla1[ANY],'2020'!$Z$150)</f>
        <v>0</v>
      </c>
      <c r="Y159" s="21">
        <f t="shared" si="152"/>
        <v>0</v>
      </c>
      <c r="Z159" s="20">
        <f t="shared" si="155"/>
        <v>0</v>
      </c>
      <c r="AA159" s="21">
        <f t="shared" si="153"/>
        <v>0</v>
      </c>
    </row>
    <row r="160" spans="1:27" hidden="1" outlineLevel="1" x14ac:dyDescent="0.2">
      <c r="A160" s="8" t="s">
        <v>73</v>
      </c>
      <c r="B160" s="20">
        <f>SUMIFS('Registre de reserves'!$V$2:$V$1178,'Registre de reserves'!$T$2:$T$1178,"SI",'Registre de reserves'!$I$2:$I$1178,'2020'!$A160,'Registre de reserves'!$B$2:$B$1178,'2020'!B$2,Tabla1[ANY],'2020'!$Z$150)+SUMIFS('Registre de reserves'!$V$2:$V$1178,'Registre de reserves'!$T$2:$T$1178,"RESERVA",'Registre de reserves'!$I$2:$I$1178,'2020'!$A160,'Registre de reserves'!$B$2:$B$1178,'2020'!B$2,Tabla1[ANY],'2020'!$Z$150)</f>
        <v>0</v>
      </c>
      <c r="C160" s="21">
        <f t="shared" si="154"/>
        <v>0</v>
      </c>
      <c r="D160" s="20">
        <f>SUMIFS('Registre de reserves'!$V$2:$V$1178,'Registre de reserves'!$T$2:$T$1178,"SI",'Registre de reserves'!$I$2:$I$1178,'2020'!$A160,'Registre de reserves'!$B$2:$B$1178,'2020'!D$2,Tabla1[ANY],'2020'!$Z$150)+SUMIFS('Registre de reserves'!$V$2:$V$1178,'Registre de reserves'!$T$2:$T$1178,"RESERVA",'Registre de reserves'!$I$2:$I$1178,'2020'!$A160,'Registre de reserves'!$B$2:$B$1178,'2020'!D$2,Tabla1[ANY],'2020'!$Z$150)</f>
        <v>0</v>
      </c>
      <c r="E160" s="21">
        <f t="shared" si="142"/>
        <v>0</v>
      </c>
      <c r="F160" s="20">
        <f>SUMIFS('Registre de reserves'!$V$2:$V$1178,'Registre de reserves'!$T$2:$T$1178,"SI",'Registre de reserves'!$I$2:$I$1178,'2020'!$A160,'Registre de reserves'!$B$2:$B$1178,'2020'!F$2,Tabla1[ANY],'2020'!$Z$150)+SUMIFS('Registre de reserves'!$V$2:$V$1178,'Registre de reserves'!$T$2:$T$1178,"RESERVA",'Registre de reserves'!$I$2:$I$1178,'2020'!$A160,'Registre de reserves'!$B$2:$B$1178,'2020'!F$2,Tabla1[ANY],'2020'!$Z$150)</f>
        <v>0</v>
      </c>
      <c r="G160" s="21">
        <f t="shared" si="143"/>
        <v>0</v>
      </c>
      <c r="H160" s="20">
        <f>SUMIFS('Registre de reserves'!$V$2:$V$1178,'Registre de reserves'!$T$2:$T$1178,"SI",'Registre de reserves'!$I$2:$I$1178,'2020'!$A160,'Registre de reserves'!$B$2:$B$1178,'2020'!H$2,Tabla1[ANY],'2020'!$Z$150)+SUMIFS('Registre de reserves'!$V$2:$V$1178,'Registre de reserves'!$T$2:$T$1178,"RESERVA",'Registre de reserves'!$I$2:$I$1178,'2020'!$A160,'Registre de reserves'!$B$2:$B$1178,'2020'!H$2,Tabla1[ANY],'2020'!$Z$150)</f>
        <v>0</v>
      </c>
      <c r="I160" s="21">
        <f t="shared" si="144"/>
        <v>0</v>
      </c>
      <c r="J160" s="20">
        <f>SUMIFS('Registre de reserves'!$V$2:$V$1178,'Registre de reserves'!$T$2:$T$1178,"SI",'Registre de reserves'!$I$2:$I$1178,'2020'!$A160,'Registre de reserves'!$B$2:$B$1178,'2020'!J$2,Tabla1[ANY],'2020'!$Z$150)+SUMIFS('Registre de reserves'!$V$2:$V$1178,'Registre de reserves'!$T$2:$T$1178,"RESERVA",'Registre de reserves'!$I$2:$I$1178,'2020'!$A160,'Registre de reserves'!$B$2:$B$1178,'2020'!J$2,Tabla1[ANY],'2020'!$Z$150)</f>
        <v>0</v>
      </c>
      <c r="K160" s="21">
        <f t="shared" si="145"/>
        <v>0</v>
      </c>
      <c r="L160" s="20">
        <f>SUMIFS('Registre de reserves'!$V$2:$V$1178,'Registre de reserves'!$T$2:$T$1178,"SI",'Registre de reserves'!$I$2:$I$1178,'2020'!$A160,'Registre de reserves'!$B$2:$B$1178,'2020'!L$2,Tabla1[ANY],'2020'!$Z$150)+SUMIFS('Registre de reserves'!$V$2:$V$1178,'Registre de reserves'!$T$2:$T$1178,"RESERVA",'Registre de reserves'!$I$2:$I$1178,'2020'!$A160,'Registre de reserves'!$B$2:$B$1178,'2020'!L$2,Tabla1[ANY],'2020'!$Z$150)</f>
        <v>300</v>
      </c>
      <c r="M160" s="21">
        <f t="shared" si="146"/>
        <v>0.30612244897959184</v>
      </c>
      <c r="N160" s="20">
        <f>SUMIFS('Registre de reserves'!$V$2:$V$1178,'Registre de reserves'!$T$2:$T$1178,"SI",'Registre de reserves'!$I$2:$I$1178,'2020'!$A160,'Registre de reserves'!$B$2:$B$1178,'2020'!N$2,Tabla1[ANY],'2020'!$Z$150)+SUMIFS('Registre de reserves'!$V$2:$V$1178,'Registre de reserves'!$T$2:$T$1178,"RESERVA",'Registre de reserves'!$I$2:$I$1178,'2020'!$A160,'Registre de reserves'!$B$2:$B$1178,'2020'!N$2,Tabla1[ANY],'2020'!$Z$150)</f>
        <v>0</v>
      </c>
      <c r="O160" s="21">
        <f t="shared" si="147"/>
        <v>0</v>
      </c>
      <c r="P160" s="20">
        <f>SUMIFS('Registre de reserves'!$V$2:$V$1178,'Registre de reserves'!$T$2:$T$1178,"SI",'Registre de reserves'!$I$2:$I$1178,'2020'!$A160,'Registre de reserves'!$B$2:$B$1178,'2020'!P$2,Tabla1[ANY],'2020'!$Z$150)+SUMIFS('Registre de reserves'!$V$2:$V$1178,'Registre de reserves'!$T$2:$T$1178,"RESERVA",'Registre de reserves'!$I$2:$I$1178,'2020'!$A160,'Registre de reserves'!$B$2:$B$1178,'2020'!P$2,Tabla1[ANY],'2020'!$Z$150)</f>
        <v>0</v>
      </c>
      <c r="Q160" s="21">
        <f t="shared" si="148"/>
        <v>0</v>
      </c>
      <c r="R160" s="20">
        <f>SUMIFS('Registre de reserves'!$V$2:$V$1178,'Registre de reserves'!$T$2:$T$1178,"SI",'Registre de reserves'!$I$2:$I$1178,'2020'!$A160,'Registre de reserves'!$B$2:$B$1178,'2020'!R$2,Tabla1[ANY],'2020'!$Z$150)+SUMIFS('Registre de reserves'!$V$2:$V$1178,'Registre de reserves'!$T$2:$T$1178,"RESERVA",'Registre de reserves'!$I$2:$I$1178,'2020'!$A160,'Registre de reserves'!$B$2:$B$1178,'2020'!R$2,Tabla1[ANY],'2020'!$Z$150)</f>
        <v>0</v>
      </c>
      <c r="S160" s="21">
        <f t="shared" si="149"/>
        <v>0</v>
      </c>
      <c r="T160" s="20">
        <f>SUMIFS('Registre de reserves'!$V$2:$V$1178,'Registre de reserves'!$T$2:$T$1178,"SI",'Registre de reserves'!$I$2:$I$1178,'2020'!$A160,'Registre de reserves'!$B$2:$B$1178,'2020'!T$2,Tabla1[ANY],'2020'!$Z$150)+SUMIFS('Registre de reserves'!$V$2:$V$1178,'Registre de reserves'!$T$2:$T$1178,"RESERVA",'Registre de reserves'!$I$2:$I$1178,'2020'!$A160,'Registre de reserves'!$B$2:$B$1178,'2020'!T$2,Tabla1[ANY],'2020'!$Z$150)</f>
        <v>200</v>
      </c>
      <c r="U160" s="21">
        <f t="shared" si="150"/>
        <v>0.67796610169491522</v>
      </c>
      <c r="V160" s="20">
        <f>SUMIFS('Registre de reserves'!$V$2:$V$1178,'Registre de reserves'!$T$2:$T$1178,"SI",'Registre de reserves'!$I$2:$I$1178,'2020'!$A160,'Registre de reserves'!$B$2:$B$1178,'2020'!V$2,Tabla1[ANY],'2020'!$Z$150)+SUMIFS('Registre de reserves'!$V$2:$V$1178,'Registre de reserves'!$T$2:$T$1178,"RESERVA",'Registre de reserves'!$I$2:$I$1178,'2020'!$A160,'Registre de reserves'!$B$2:$B$1178,'2020'!V$2,Tabla1[ANY],'2020'!$Z$150)</f>
        <v>0</v>
      </c>
      <c r="W160" s="21">
        <f t="shared" si="151"/>
        <v>0</v>
      </c>
      <c r="X160" s="20">
        <f>SUMIFS('Registre de reserves'!$V$2:$V$1178,'Registre de reserves'!$T$2:$T$1178,"SI",'Registre de reserves'!$I$2:$I$1178,'2020'!$A160,'Registre de reserves'!$B$2:$B$1178,'2020'!X$2,Tabla1[ANY],'2020'!$Z$150)+SUMIFS('Registre de reserves'!$V$2:$V$1178,'Registre de reserves'!$T$2:$T$1178,"RESERVA",'Registre de reserves'!$I$2:$I$1178,'2020'!$A160,'Registre de reserves'!$B$2:$B$1178,'2020'!X$2,Tabla1[ANY],'2020'!$Z$150)</f>
        <v>100</v>
      </c>
      <c r="Y160" s="21">
        <f t="shared" si="152"/>
        <v>1</v>
      </c>
      <c r="Z160" s="20">
        <f t="shared" si="155"/>
        <v>600</v>
      </c>
      <c r="AA160" s="21">
        <f t="shared" si="153"/>
        <v>2.8915843810105799E-2</v>
      </c>
    </row>
    <row r="161" spans="1:27" collapsed="1" x14ac:dyDescent="0.2">
      <c r="A161" s="33" t="s">
        <v>76</v>
      </c>
      <c r="B161" s="18">
        <f>SUM(B162:B169)</f>
        <v>0</v>
      </c>
      <c r="C161" s="19">
        <f>IF((B$161+B$179)=0,0,B161/(B$161+B$179))</f>
        <v>0</v>
      </c>
      <c r="D161" s="18">
        <f>SUM(D162:D169)</f>
        <v>0</v>
      </c>
      <c r="E161" s="19">
        <f>IF((D$161+D$179)=0,0,D161/(D$161+D$179))</f>
        <v>0</v>
      </c>
      <c r="F161" s="18">
        <f>SUM(F162:F169)</f>
        <v>0</v>
      </c>
      <c r="G161" s="19">
        <f>IF((F$161+F$179)=0,0,F161/(F$161+F$179))</f>
        <v>0</v>
      </c>
      <c r="H161" s="18">
        <f>SUM(H162:H169)</f>
        <v>0</v>
      </c>
      <c r="I161" s="19">
        <f>IF((H$161+H$179)=0,0,H161/(H$161+H$179))</f>
        <v>0</v>
      </c>
      <c r="J161" s="18">
        <f>SUM(J162:J169)</f>
        <v>0</v>
      </c>
      <c r="K161" s="19">
        <f>IF((J$161+J$179)=0,0,J161/(J$161+J$179))</f>
        <v>0</v>
      </c>
      <c r="L161" s="18">
        <f>SUM(L162:L169)</f>
        <v>0</v>
      </c>
      <c r="M161" s="19">
        <f>IF((L$161+L$179)=0,0,L161/(L$161+L$179))</f>
        <v>0</v>
      </c>
      <c r="N161" s="18">
        <f>SUM(N162:N169)</f>
        <v>0</v>
      </c>
      <c r="O161" s="19">
        <f>IF((N$161+N$179)=0,0,N161/(N$161+N$179))</f>
        <v>0</v>
      </c>
      <c r="P161" s="18">
        <f>SUM(P162:P169)</f>
        <v>0</v>
      </c>
      <c r="Q161" s="19">
        <f>IF((P$161+P$179)=0,0,P161/(P$161+P$179))</f>
        <v>0</v>
      </c>
      <c r="R161" s="18">
        <f>SUM(R162:R169)</f>
        <v>0</v>
      </c>
      <c r="S161" s="19">
        <f>IF((R$161+R$179)=0,0,R161/(R$161+R$179))</f>
        <v>0</v>
      </c>
      <c r="T161" s="18">
        <f>SUM(T162:T169)</f>
        <v>0</v>
      </c>
      <c r="U161" s="19">
        <f>IF((T$161+T$179)=0,0,T161/(T$161+T$179))</f>
        <v>0</v>
      </c>
      <c r="V161" s="18">
        <f>SUM(V162:V169)</f>
        <v>0</v>
      </c>
      <c r="W161" s="19">
        <f>IF((V$161+V$179)=0,0,V161/(V$161+V$179))</f>
        <v>0</v>
      </c>
      <c r="X161" s="18">
        <f>SUM(X162:X169)</f>
        <v>0</v>
      </c>
      <c r="Y161" s="19">
        <f>IF((X$161+X$179)=0,0,X161/(X$161+X$179))</f>
        <v>0</v>
      </c>
      <c r="Z161" s="18">
        <f>SUM(Z162:Z169)</f>
        <v>0</v>
      </c>
      <c r="AA161" s="19">
        <f>IF((Z$13+Z$31)=0,0,Z161/(Z$13+Z$31))</f>
        <v>0</v>
      </c>
    </row>
    <row r="162" spans="1:27" hidden="1" outlineLevel="1" x14ac:dyDescent="0.2">
      <c r="A162" s="8" t="s">
        <v>67</v>
      </c>
      <c r="B162" s="20">
        <f>SUMIFS('Registre de reserves'!$V$2:$V$1178,'Registre de reserves'!$T$2:$T$1178,"NO",'Registre de reserves'!$I$2:$I$1178,'2020'!$A162,'Registre de reserves'!$B$2:$B$1178,'2020'!B$2,Tabla1[ANY],'2020'!$Z$150)</f>
        <v>0</v>
      </c>
      <c r="C162" s="21">
        <f>IF(B$161=0,0,B162/B$161)</f>
        <v>0</v>
      </c>
      <c r="D162" s="20">
        <f>SUMIFS('Registre de reserves'!$V$2:$V$1178,'Registre de reserves'!$T$2:$T$1178,"NO",'Registre de reserves'!$I$2:$I$1178,'2020'!$A162,'Registre de reserves'!$B$2:$B$1178,'2020'!D$2,Tabla1[ANY],'2020'!$Z$150)</f>
        <v>0</v>
      </c>
      <c r="E162" s="21">
        <f>IF(D$161=0,0,D162/D$161)</f>
        <v>0</v>
      </c>
      <c r="F162" s="20">
        <f>SUMIFS('Registre de reserves'!$V$2:$V$1178,'Registre de reserves'!$T$2:$T$1178,"NO",'Registre de reserves'!$I$2:$I$1178,'2020'!$A162,'Registre de reserves'!$B$2:$B$1178,'2020'!F$2,Tabla1[ANY],'2020'!$Z$150)</f>
        <v>0</v>
      </c>
      <c r="G162" s="21">
        <f t="shared" ref="G162:G169" si="156">IF(F$161=0,0,F162/F$161)</f>
        <v>0</v>
      </c>
      <c r="H162" s="20">
        <f>SUMIFS('Registre de reserves'!$V$2:$V$1178,'Registre de reserves'!$T$2:$T$1178,"NO",'Registre de reserves'!$I$2:$I$1178,'2020'!$A162,'Registre de reserves'!$B$2:$B$1178,'2020'!H$2,Tabla1[ANY],'2020'!$Z$150)</f>
        <v>0</v>
      </c>
      <c r="I162" s="21">
        <f t="shared" ref="I162:I169" si="157">IF(H$161=0,0,H162/H$161)</f>
        <v>0</v>
      </c>
      <c r="J162" s="20">
        <f>SUMIFS('Registre de reserves'!$V$2:$V$1178,'Registre de reserves'!$T$2:$T$1178,"NO",'Registre de reserves'!$I$2:$I$1178,'2020'!$A162,'Registre de reserves'!$B$2:$B$1178,'2020'!J$2,Tabla1[ANY],'2020'!$Z$150)</f>
        <v>0</v>
      </c>
      <c r="K162" s="21">
        <f t="shared" ref="K162:K169" si="158">IF(J$161=0,0,J162/J$161)</f>
        <v>0</v>
      </c>
      <c r="L162" s="20">
        <f>SUMIFS('Registre de reserves'!$V$2:$V$1178,'Registre de reserves'!$T$2:$T$1178,"NO",'Registre de reserves'!$I$2:$I$1178,'2020'!$A162,'Registre de reserves'!$B$2:$B$1178,'2020'!L$2,Tabla1[ANY],'2020'!$Z$150)</f>
        <v>0</v>
      </c>
      <c r="M162" s="21">
        <f t="shared" ref="M162:M169" si="159">IF(L$161=0,0,L162/L$161)</f>
        <v>0</v>
      </c>
      <c r="N162" s="20">
        <f>SUMIFS('Registre de reserves'!$V$2:$V$1178,'Registre de reserves'!$T$2:$T$1178,"NO",'Registre de reserves'!$I$2:$I$1178,'2020'!$A162,'Registre de reserves'!$B$2:$B$1178,'2020'!N$2,Tabla1[ANY],'2020'!$Z$150)</f>
        <v>0</v>
      </c>
      <c r="O162" s="21">
        <f t="shared" ref="O162:O169" si="160">IF(N$161=0,0,N162/N$161)</f>
        <v>0</v>
      </c>
      <c r="P162" s="20">
        <f>SUMIFS('Registre de reserves'!$V$2:$V$1178,'Registre de reserves'!$T$2:$T$1178,"NO",'Registre de reserves'!$I$2:$I$1178,'2020'!$A162,'Registre de reserves'!$B$2:$B$1178,'2020'!P$2,Tabla1[ANY],'2020'!$Z$150)</f>
        <v>0</v>
      </c>
      <c r="Q162" s="21">
        <f t="shared" ref="Q162:Q169" si="161">IF(P$161=0,0,P162/P$161)</f>
        <v>0</v>
      </c>
      <c r="R162" s="20">
        <f>SUMIFS('Registre de reserves'!$V$2:$V$1178,'Registre de reserves'!$T$2:$T$1178,"NO",'Registre de reserves'!$I$2:$I$1178,'2020'!$A162,'Registre de reserves'!$B$2:$B$1178,'2020'!R$2,Tabla1[ANY],'2020'!$Z$150)</f>
        <v>0</v>
      </c>
      <c r="S162" s="21">
        <f t="shared" ref="S162:S169" si="162">IF(R$161=0,0,R162/R$161)</f>
        <v>0</v>
      </c>
      <c r="T162" s="20">
        <f>SUMIFS('Registre de reserves'!$V$2:$V$1178,'Registre de reserves'!$T$2:$T$1178,"NO",'Registre de reserves'!$I$2:$I$1178,'2020'!$A162,'Registre de reserves'!$B$2:$B$1178,'2020'!T$2,Tabla1[ANY],'2020'!$Z$150)</f>
        <v>0</v>
      </c>
      <c r="U162" s="21">
        <f t="shared" ref="U162:U169" si="163">IF(T$161=0,0,T162/T$161)</f>
        <v>0</v>
      </c>
      <c r="V162" s="20">
        <f>SUMIFS('Registre de reserves'!$V$2:$V$1178,'Registre de reserves'!$T$2:$T$1178,"NO",'Registre de reserves'!$I$2:$I$1178,'2020'!$A162,'Registre de reserves'!$B$2:$B$1178,'2020'!V$2,Tabla1[ANY],'2020'!$Z$150)</f>
        <v>0</v>
      </c>
      <c r="W162" s="21">
        <f t="shared" ref="W162:W169" si="164">IF(V$161=0,0,V162/V$161)</f>
        <v>0</v>
      </c>
      <c r="X162" s="20">
        <f>SUMIFS('Registre de reserves'!$V$2:$V$1178,'Registre de reserves'!$T$2:$T$1178,"NO",'Registre de reserves'!$I$2:$I$1178,'2020'!$A162,'Registre de reserves'!$B$2:$B$1178,'2020'!X$2,Tabla1[ANY],'2020'!$Z$150)</f>
        <v>0</v>
      </c>
      <c r="Y162" s="21">
        <f t="shared" ref="Y162:Y169" si="165">IF(X$161=0,0,X162/X$161)</f>
        <v>0</v>
      </c>
      <c r="Z162" s="20">
        <f>B162+D162+F162+H162+J162+L162+N162+P162+R162+T162+V162+X162</f>
        <v>0</v>
      </c>
      <c r="AA162" s="21">
        <f>IF(Z$13=0,0,Z162/Z$13)</f>
        <v>0</v>
      </c>
    </row>
    <row r="163" spans="1:27" hidden="1" outlineLevel="1" x14ac:dyDescent="0.2">
      <c r="A163" s="8" t="s">
        <v>68</v>
      </c>
      <c r="B163" s="20">
        <f>SUMIFS('Registre de reserves'!$V$2:$V$1178,'Registre de reserves'!$T$2:$T$1178,"NO",'Registre de reserves'!$I$2:$I$1178,'2020'!$A163,'Registre de reserves'!$B$2:$B$1178,'2020'!B$2,Tabla1[ANY],'2020'!$Z$150)</f>
        <v>0</v>
      </c>
      <c r="C163" s="21">
        <f t="shared" ref="C163:E169" si="166">IF(B$161=0,0,B163/B$161)</f>
        <v>0</v>
      </c>
      <c r="D163" s="20">
        <f>SUMIFS('Registre de reserves'!$V$2:$V$1178,'Registre de reserves'!$T$2:$T$1178,"NO",'Registre de reserves'!$I$2:$I$1178,'2020'!$A163,'Registre de reserves'!$B$2:$B$1178,'2020'!D$2,Tabla1[ANY],'2020'!$Z$150)</f>
        <v>0</v>
      </c>
      <c r="E163" s="21">
        <f t="shared" si="166"/>
        <v>0</v>
      </c>
      <c r="F163" s="20">
        <f>SUMIFS('Registre de reserves'!$V$2:$V$1178,'Registre de reserves'!$T$2:$T$1178,"NO",'Registre de reserves'!$I$2:$I$1178,'2020'!$A163,'Registre de reserves'!$B$2:$B$1178,'2020'!F$2,Tabla1[ANY],'2020'!$Z$150)</f>
        <v>0</v>
      </c>
      <c r="G163" s="21">
        <f t="shared" si="156"/>
        <v>0</v>
      </c>
      <c r="H163" s="20">
        <f>SUMIFS('Registre de reserves'!$V$2:$V$1178,'Registre de reserves'!$T$2:$T$1178,"NO",'Registre de reserves'!$I$2:$I$1178,'2020'!$A163,'Registre de reserves'!$B$2:$B$1178,'2020'!H$2,Tabla1[ANY],'2020'!$Z$150)</f>
        <v>0</v>
      </c>
      <c r="I163" s="21">
        <f t="shared" si="157"/>
        <v>0</v>
      </c>
      <c r="J163" s="20">
        <f>SUMIFS('Registre de reserves'!$V$2:$V$1178,'Registre de reserves'!$T$2:$T$1178,"NO",'Registre de reserves'!$I$2:$I$1178,'2020'!$A163,'Registre de reserves'!$B$2:$B$1178,'2020'!J$2,Tabla1[ANY],'2020'!$Z$150)</f>
        <v>0</v>
      </c>
      <c r="K163" s="21">
        <f t="shared" si="158"/>
        <v>0</v>
      </c>
      <c r="L163" s="20">
        <f>SUMIFS('Registre de reserves'!$V$2:$V$1178,'Registre de reserves'!$T$2:$T$1178,"NO",'Registre de reserves'!$I$2:$I$1178,'2020'!$A163,'Registre de reserves'!$B$2:$B$1178,'2020'!L$2,Tabla1[ANY],'2020'!$Z$150)</f>
        <v>0</v>
      </c>
      <c r="M163" s="21">
        <f t="shared" si="159"/>
        <v>0</v>
      </c>
      <c r="N163" s="20">
        <f>SUMIFS('Registre de reserves'!$V$2:$V$1178,'Registre de reserves'!$T$2:$T$1178,"NO",'Registre de reserves'!$I$2:$I$1178,'2020'!$A163,'Registre de reserves'!$B$2:$B$1178,'2020'!N$2,Tabla1[ANY],'2020'!$Z$150)</f>
        <v>0</v>
      </c>
      <c r="O163" s="21">
        <f t="shared" si="160"/>
        <v>0</v>
      </c>
      <c r="P163" s="20">
        <f>SUMIFS('Registre de reserves'!$V$2:$V$1178,'Registre de reserves'!$T$2:$T$1178,"NO",'Registre de reserves'!$I$2:$I$1178,'2020'!$A163,'Registre de reserves'!$B$2:$B$1178,'2020'!P$2,Tabla1[ANY],'2020'!$Z$150)</f>
        <v>0</v>
      </c>
      <c r="Q163" s="21">
        <f t="shared" si="161"/>
        <v>0</v>
      </c>
      <c r="R163" s="20">
        <f>SUMIFS('Registre de reserves'!$V$2:$V$1178,'Registre de reserves'!$T$2:$T$1178,"NO",'Registre de reserves'!$I$2:$I$1178,'2020'!$A163,'Registre de reserves'!$B$2:$B$1178,'2020'!R$2,Tabla1[ANY],'2020'!$Z$150)</f>
        <v>0</v>
      </c>
      <c r="S163" s="21">
        <f t="shared" si="162"/>
        <v>0</v>
      </c>
      <c r="T163" s="20">
        <f>SUMIFS('Registre de reserves'!$V$2:$V$1178,'Registre de reserves'!$T$2:$T$1178,"NO",'Registre de reserves'!$I$2:$I$1178,'2020'!$A163,'Registre de reserves'!$B$2:$B$1178,'2020'!T$2,Tabla1[ANY],'2020'!$Z$150)</f>
        <v>0</v>
      </c>
      <c r="U163" s="21">
        <f t="shared" si="163"/>
        <v>0</v>
      </c>
      <c r="V163" s="20">
        <f>SUMIFS('Registre de reserves'!$V$2:$V$1178,'Registre de reserves'!$T$2:$T$1178,"NO",'Registre de reserves'!$I$2:$I$1178,'2020'!$A163,'Registre de reserves'!$B$2:$B$1178,'2020'!V$2,Tabla1[ANY],'2020'!$Z$150)</f>
        <v>0</v>
      </c>
      <c r="W163" s="21">
        <f t="shared" si="164"/>
        <v>0</v>
      </c>
      <c r="X163" s="20">
        <f>SUMIFS('Registre de reserves'!$V$2:$V$1178,'Registre de reserves'!$T$2:$T$1178,"NO",'Registre de reserves'!$I$2:$I$1178,'2020'!$A163,'Registre de reserves'!$B$2:$B$1178,'2020'!X$2,Tabla1[ANY],'2020'!$Z$150)</f>
        <v>0</v>
      </c>
      <c r="Y163" s="21">
        <f t="shared" si="165"/>
        <v>0</v>
      </c>
      <c r="Z163" s="20">
        <f t="shared" ref="Z163:Z187" si="167">B163+D163+F163+H163+J163+L163+N163+P163+R163+T163+V163+X163</f>
        <v>0</v>
      </c>
      <c r="AA163" s="21">
        <f t="shared" ref="AA163:AA169" si="168">IF(Z$13=0,0,Z163/Z$13)</f>
        <v>0</v>
      </c>
    </row>
    <row r="164" spans="1:27" hidden="1" outlineLevel="1" x14ac:dyDescent="0.2">
      <c r="A164" s="8" t="s">
        <v>4</v>
      </c>
      <c r="B164" s="20">
        <f>SUMIFS('Registre de reserves'!$V$2:$V$1178,'Registre de reserves'!$T$2:$T$1178,"NO",'Registre de reserves'!$I$2:$I$1178,'2020'!$A164,'Registre de reserves'!$B$2:$B$1178,'2020'!B$2,Tabla1[ANY],'2020'!$Z$150)</f>
        <v>0</v>
      </c>
      <c r="C164" s="21">
        <f t="shared" si="166"/>
        <v>0</v>
      </c>
      <c r="D164" s="20">
        <f>SUMIFS('Registre de reserves'!$V$2:$V$1178,'Registre de reserves'!$T$2:$T$1178,"NO",'Registre de reserves'!$I$2:$I$1178,'2020'!$A164,'Registre de reserves'!$B$2:$B$1178,'2020'!D$2,Tabla1[ANY],'2020'!$Z$150)</f>
        <v>0</v>
      </c>
      <c r="E164" s="21">
        <f t="shared" si="166"/>
        <v>0</v>
      </c>
      <c r="F164" s="20">
        <f>SUMIFS('Registre de reserves'!$V$2:$V$1178,'Registre de reserves'!$T$2:$T$1178,"NO",'Registre de reserves'!$I$2:$I$1178,'2020'!$A164,'Registre de reserves'!$B$2:$B$1178,'2020'!F$2,Tabla1[ANY],'2020'!$Z$150)</f>
        <v>0</v>
      </c>
      <c r="G164" s="21">
        <f t="shared" si="156"/>
        <v>0</v>
      </c>
      <c r="H164" s="20">
        <f>SUMIFS('Registre de reserves'!$V$2:$V$1178,'Registre de reserves'!$T$2:$T$1178,"NO",'Registre de reserves'!$I$2:$I$1178,'2020'!$A164,'Registre de reserves'!$B$2:$B$1178,'2020'!H$2,Tabla1[ANY],'2020'!$Z$150)</f>
        <v>0</v>
      </c>
      <c r="I164" s="21">
        <f t="shared" si="157"/>
        <v>0</v>
      </c>
      <c r="J164" s="20">
        <f>SUMIFS('Registre de reserves'!$V$2:$V$1178,'Registre de reserves'!$T$2:$T$1178,"NO",'Registre de reserves'!$I$2:$I$1178,'2020'!$A164,'Registre de reserves'!$B$2:$B$1178,'2020'!J$2,Tabla1[ANY],'2020'!$Z$150)</f>
        <v>0</v>
      </c>
      <c r="K164" s="21">
        <f t="shared" si="158"/>
        <v>0</v>
      </c>
      <c r="L164" s="20">
        <f>SUMIFS('Registre de reserves'!$V$2:$V$1178,'Registre de reserves'!$T$2:$T$1178,"NO",'Registre de reserves'!$I$2:$I$1178,'2020'!$A164,'Registre de reserves'!$B$2:$B$1178,'2020'!L$2,Tabla1[ANY],'2020'!$Z$150)</f>
        <v>0</v>
      </c>
      <c r="M164" s="21">
        <f t="shared" si="159"/>
        <v>0</v>
      </c>
      <c r="N164" s="20">
        <f>SUMIFS('Registre de reserves'!$V$2:$V$1178,'Registre de reserves'!$T$2:$T$1178,"NO",'Registre de reserves'!$I$2:$I$1178,'2020'!$A164,'Registre de reserves'!$B$2:$B$1178,'2020'!N$2,Tabla1[ANY],'2020'!$Z$150)</f>
        <v>0</v>
      </c>
      <c r="O164" s="21">
        <f t="shared" si="160"/>
        <v>0</v>
      </c>
      <c r="P164" s="20">
        <f>SUMIFS('Registre de reserves'!$V$2:$V$1178,'Registre de reserves'!$T$2:$T$1178,"NO",'Registre de reserves'!$I$2:$I$1178,'2020'!$A164,'Registre de reserves'!$B$2:$B$1178,'2020'!P$2,Tabla1[ANY],'2020'!$Z$150)</f>
        <v>0</v>
      </c>
      <c r="Q164" s="21">
        <f t="shared" si="161"/>
        <v>0</v>
      </c>
      <c r="R164" s="20">
        <f>SUMIFS('Registre de reserves'!$V$2:$V$1178,'Registre de reserves'!$T$2:$T$1178,"NO",'Registre de reserves'!$I$2:$I$1178,'2020'!$A164,'Registre de reserves'!$B$2:$B$1178,'2020'!R$2,Tabla1[ANY],'2020'!$Z$150)</f>
        <v>0</v>
      </c>
      <c r="S164" s="21">
        <f t="shared" si="162"/>
        <v>0</v>
      </c>
      <c r="T164" s="20">
        <f>SUMIFS('Registre de reserves'!$V$2:$V$1178,'Registre de reserves'!$T$2:$T$1178,"NO",'Registre de reserves'!$I$2:$I$1178,'2020'!$A164,'Registre de reserves'!$B$2:$B$1178,'2020'!T$2,Tabla1[ANY],'2020'!$Z$150)</f>
        <v>0</v>
      </c>
      <c r="U164" s="21">
        <f t="shared" si="163"/>
        <v>0</v>
      </c>
      <c r="V164" s="20">
        <f>SUMIFS('Registre de reserves'!$V$2:$V$1178,'Registre de reserves'!$T$2:$T$1178,"NO",'Registre de reserves'!$I$2:$I$1178,'2020'!$A164,'Registre de reserves'!$B$2:$B$1178,'2020'!V$2,Tabla1[ANY],'2020'!$Z$150)</f>
        <v>0</v>
      </c>
      <c r="W164" s="21">
        <f t="shared" si="164"/>
        <v>0</v>
      </c>
      <c r="X164" s="20">
        <f>SUMIFS('Registre de reserves'!$V$2:$V$1178,'Registre de reserves'!$T$2:$T$1178,"NO",'Registre de reserves'!$I$2:$I$1178,'2020'!$A164,'Registre de reserves'!$B$2:$B$1178,'2020'!X$2,Tabla1[ANY],'2020'!$Z$150)</f>
        <v>0</v>
      </c>
      <c r="Y164" s="21">
        <f t="shared" si="165"/>
        <v>0</v>
      </c>
      <c r="Z164" s="20">
        <f t="shared" si="167"/>
        <v>0</v>
      </c>
      <c r="AA164" s="21">
        <f t="shared" si="168"/>
        <v>0</v>
      </c>
    </row>
    <row r="165" spans="1:27" hidden="1" outlineLevel="1" x14ac:dyDescent="0.2">
      <c r="A165" s="8" t="s">
        <v>71</v>
      </c>
      <c r="B165" s="20">
        <f>SUMIFS('Registre de reserves'!$V$2:$V$1178,'Registre de reserves'!$T$2:$T$1178,"NO",'Registre de reserves'!$I$2:$I$1178,'2020'!$A165,'Registre de reserves'!$B$2:$B$1178,'2020'!B$2,Tabla1[ANY],'2020'!$Z$150)</f>
        <v>0</v>
      </c>
      <c r="C165" s="21">
        <f t="shared" si="166"/>
        <v>0</v>
      </c>
      <c r="D165" s="20">
        <f>SUMIFS('Registre de reserves'!$V$2:$V$1178,'Registre de reserves'!$T$2:$T$1178,"NO",'Registre de reserves'!$I$2:$I$1178,'2020'!$A165,'Registre de reserves'!$B$2:$B$1178,'2020'!D$2,Tabla1[ANY],'2020'!$Z$150)</f>
        <v>0</v>
      </c>
      <c r="E165" s="21">
        <f t="shared" si="166"/>
        <v>0</v>
      </c>
      <c r="F165" s="20">
        <f>SUMIFS('Registre de reserves'!$V$2:$V$1178,'Registre de reserves'!$T$2:$T$1178,"NO",'Registre de reserves'!$I$2:$I$1178,'2020'!$A165,'Registre de reserves'!$B$2:$B$1178,'2020'!F$2,Tabla1[ANY],'2020'!$Z$150)</f>
        <v>0</v>
      </c>
      <c r="G165" s="21">
        <f t="shared" si="156"/>
        <v>0</v>
      </c>
      <c r="H165" s="20">
        <f>SUMIFS('Registre de reserves'!$V$2:$V$1178,'Registre de reserves'!$T$2:$T$1178,"NO",'Registre de reserves'!$I$2:$I$1178,'2020'!$A165,'Registre de reserves'!$B$2:$B$1178,'2020'!H$2,Tabla1[ANY],'2020'!$Z$150)</f>
        <v>0</v>
      </c>
      <c r="I165" s="21">
        <f t="shared" si="157"/>
        <v>0</v>
      </c>
      <c r="J165" s="20">
        <f>SUMIFS('Registre de reserves'!$V$2:$V$1178,'Registre de reserves'!$T$2:$T$1178,"NO",'Registre de reserves'!$I$2:$I$1178,'2020'!$A165,'Registre de reserves'!$B$2:$B$1178,'2020'!J$2,Tabla1[ANY],'2020'!$Z$150)</f>
        <v>0</v>
      </c>
      <c r="K165" s="21">
        <f t="shared" si="158"/>
        <v>0</v>
      </c>
      <c r="L165" s="20">
        <f>SUMIFS('Registre de reserves'!$V$2:$V$1178,'Registre de reserves'!$T$2:$T$1178,"NO",'Registre de reserves'!$I$2:$I$1178,'2020'!$A165,'Registre de reserves'!$B$2:$B$1178,'2020'!L$2,Tabla1[ANY],'2020'!$Z$150)</f>
        <v>0</v>
      </c>
      <c r="M165" s="21">
        <f t="shared" si="159"/>
        <v>0</v>
      </c>
      <c r="N165" s="20">
        <f>SUMIFS('Registre de reserves'!$V$2:$V$1178,'Registre de reserves'!$T$2:$T$1178,"NO",'Registre de reserves'!$I$2:$I$1178,'2020'!$A165,'Registre de reserves'!$B$2:$B$1178,'2020'!N$2,Tabla1[ANY],'2020'!$Z$150)</f>
        <v>0</v>
      </c>
      <c r="O165" s="21">
        <f t="shared" si="160"/>
        <v>0</v>
      </c>
      <c r="P165" s="20">
        <f>SUMIFS('Registre de reserves'!$V$2:$V$1178,'Registre de reserves'!$T$2:$T$1178,"NO",'Registre de reserves'!$I$2:$I$1178,'2020'!$A165,'Registre de reserves'!$B$2:$B$1178,'2020'!P$2,Tabla1[ANY],'2020'!$Z$150)</f>
        <v>0</v>
      </c>
      <c r="Q165" s="21">
        <f t="shared" si="161"/>
        <v>0</v>
      </c>
      <c r="R165" s="20">
        <f>SUMIFS('Registre de reserves'!$V$2:$V$1178,'Registre de reserves'!$T$2:$T$1178,"NO",'Registre de reserves'!$I$2:$I$1178,'2020'!$A165,'Registre de reserves'!$B$2:$B$1178,'2020'!R$2,Tabla1[ANY],'2020'!$Z$150)</f>
        <v>0</v>
      </c>
      <c r="S165" s="21">
        <f t="shared" si="162"/>
        <v>0</v>
      </c>
      <c r="T165" s="20">
        <f>SUMIFS('Registre de reserves'!$V$2:$V$1178,'Registre de reserves'!$T$2:$T$1178,"NO",'Registre de reserves'!$I$2:$I$1178,'2020'!$A165,'Registre de reserves'!$B$2:$B$1178,'2020'!T$2,Tabla1[ANY],'2020'!$Z$150)</f>
        <v>0</v>
      </c>
      <c r="U165" s="21">
        <f t="shared" si="163"/>
        <v>0</v>
      </c>
      <c r="V165" s="20">
        <f>SUMIFS('Registre de reserves'!$V$2:$V$1178,'Registre de reserves'!$T$2:$T$1178,"NO",'Registre de reserves'!$I$2:$I$1178,'2020'!$A165,'Registre de reserves'!$B$2:$B$1178,'2020'!V$2,Tabla1[ANY],'2020'!$Z$150)</f>
        <v>0</v>
      </c>
      <c r="W165" s="21">
        <f t="shared" si="164"/>
        <v>0</v>
      </c>
      <c r="X165" s="20">
        <f>SUMIFS('Registre de reserves'!$V$2:$V$1178,'Registre de reserves'!$T$2:$T$1178,"NO",'Registre de reserves'!$I$2:$I$1178,'2020'!$A165,'Registre de reserves'!$B$2:$B$1178,'2020'!X$2,Tabla1[ANY],'2020'!$Z$150)</f>
        <v>0</v>
      </c>
      <c r="Y165" s="21">
        <f t="shared" si="165"/>
        <v>0</v>
      </c>
      <c r="Z165" s="20">
        <f t="shared" si="167"/>
        <v>0</v>
      </c>
      <c r="AA165" s="21">
        <f t="shared" si="168"/>
        <v>0</v>
      </c>
    </row>
    <row r="166" spans="1:27" hidden="1" outlineLevel="1" x14ac:dyDescent="0.2">
      <c r="A166" s="8" t="s">
        <v>72</v>
      </c>
      <c r="B166" s="20">
        <f>SUMIFS('Registre de reserves'!$V$2:$V$1178,'Registre de reserves'!$T$2:$T$1178,"NO",'Registre de reserves'!$I$2:$I$1178,'2020'!$A166,'Registre de reserves'!$B$2:$B$1178,'2020'!B$2,Tabla1[ANY],'2020'!$Z$150)</f>
        <v>0</v>
      </c>
      <c r="C166" s="21">
        <f t="shared" si="166"/>
        <v>0</v>
      </c>
      <c r="D166" s="20">
        <f>SUMIFS('Registre de reserves'!$V$2:$V$1178,'Registre de reserves'!$T$2:$T$1178,"NO",'Registre de reserves'!$I$2:$I$1178,'2020'!$A166,'Registre de reserves'!$B$2:$B$1178,'2020'!D$2,Tabla1[ANY],'2020'!$Z$150)</f>
        <v>0</v>
      </c>
      <c r="E166" s="21">
        <f t="shared" si="166"/>
        <v>0</v>
      </c>
      <c r="F166" s="20">
        <f>SUMIFS('Registre de reserves'!$V$2:$V$1178,'Registre de reserves'!$T$2:$T$1178,"NO",'Registre de reserves'!$I$2:$I$1178,'2020'!$A166,'Registre de reserves'!$B$2:$B$1178,'2020'!F$2,Tabla1[ANY],'2020'!$Z$150)</f>
        <v>0</v>
      </c>
      <c r="G166" s="21">
        <f t="shared" si="156"/>
        <v>0</v>
      </c>
      <c r="H166" s="20">
        <f>SUMIFS('Registre de reserves'!$V$2:$V$1178,'Registre de reserves'!$T$2:$T$1178,"NO",'Registre de reserves'!$I$2:$I$1178,'2020'!$A166,'Registre de reserves'!$B$2:$B$1178,'2020'!H$2,Tabla1[ANY],'2020'!$Z$150)</f>
        <v>0</v>
      </c>
      <c r="I166" s="21">
        <f t="shared" si="157"/>
        <v>0</v>
      </c>
      <c r="J166" s="20">
        <f>SUMIFS('Registre de reserves'!$V$2:$V$1178,'Registre de reserves'!$T$2:$T$1178,"NO",'Registre de reserves'!$I$2:$I$1178,'2020'!$A166,'Registre de reserves'!$B$2:$B$1178,'2020'!J$2,Tabla1[ANY],'2020'!$Z$150)</f>
        <v>0</v>
      </c>
      <c r="K166" s="21">
        <f t="shared" si="158"/>
        <v>0</v>
      </c>
      <c r="L166" s="20">
        <f>SUMIFS('Registre de reserves'!$V$2:$V$1178,'Registre de reserves'!$T$2:$T$1178,"NO",'Registre de reserves'!$I$2:$I$1178,'2020'!$A166,'Registre de reserves'!$B$2:$B$1178,'2020'!L$2,Tabla1[ANY],'2020'!$Z$150)</f>
        <v>0</v>
      </c>
      <c r="M166" s="21">
        <f t="shared" si="159"/>
        <v>0</v>
      </c>
      <c r="N166" s="20">
        <f>SUMIFS('Registre de reserves'!$V$2:$V$1178,'Registre de reserves'!$T$2:$T$1178,"NO",'Registre de reserves'!$I$2:$I$1178,'2020'!$A166,'Registre de reserves'!$B$2:$B$1178,'2020'!N$2,Tabla1[ANY],'2020'!$Z$150)</f>
        <v>0</v>
      </c>
      <c r="O166" s="21">
        <f t="shared" si="160"/>
        <v>0</v>
      </c>
      <c r="P166" s="20">
        <f>SUMIFS('Registre de reserves'!$V$2:$V$1178,'Registre de reserves'!$T$2:$T$1178,"NO",'Registre de reserves'!$I$2:$I$1178,'2020'!$A166,'Registre de reserves'!$B$2:$B$1178,'2020'!P$2,Tabla1[ANY],'2020'!$Z$150)</f>
        <v>0</v>
      </c>
      <c r="Q166" s="21">
        <f t="shared" si="161"/>
        <v>0</v>
      </c>
      <c r="R166" s="20">
        <f>SUMIFS('Registre de reserves'!$V$2:$V$1178,'Registre de reserves'!$T$2:$T$1178,"NO",'Registre de reserves'!$I$2:$I$1178,'2020'!$A166,'Registre de reserves'!$B$2:$B$1178,'2020'!R$2,Tabla1[ANY],'2020'!$Z$150)</f>
        <v>0</v>
      </c>
      <c r="S166" s="21">
        <f t="shared" si="162"/>
        <v>0</v>
      </c>
      <c r="T166" s="20">
        <f>SUMIFS('Registre de reserves'!$V$2:$V$1178,'Registre de reserves'!$T$2:$T$1178,"NO",'Registre de reserves'!$I$2:$I$1178,'2020'!$A166,'Registre de reserves'!$B$2:$B$1178,'2020'!T$2,Tabla1[ANY],'2020'!$Z$150)</f>
        <v>0</v>
      </c>
      <c r="U166" s="21">
        <f t="shared" si="163"/>
        <v>0</v>
      </c>
      <c r="V166" s="20">
        <f>SUMIFS('Registre de reserves'!$V$2:$V$1178,'Registre de reserves'!$T$2:$T$1178,"NO",'Registre de reserves'!$I$2:$I$1178,'2020'!$A166,'Registre de reserves'!$B$2:$B$1178,'2020'!V$2,Tabla1[ANY],'2020'!$Z$150)</f>
        <v>0</v>
      </c>
      <c r="W166" s="21">
        <f t="shared" si="164"/>
        <v>0</v>
      </c>
      <c r="X166" s="20">
        <f>SUMIFS('Registre de reserves'!$V$2:$V$1178,'Registre de reserves'!$T$2:$T$1178,"NO",'Registre de reserves'!$I$2:$I$1178,'2020'!$A166,'Registre de reserves'!$B$2:$B$1178,'2020'!X$2,Tabla1[ANY],'2020'!$Z$150)</f>
        <v>0</v>
      </c>
      <c r="Y166" s="21">
        <f t="shared" si="165"/>
        <v>0</v>
      </c>
      <c r="Z166" s="20">
        <f t="shared" si="167"/>
        <v>0</v>
      </c>
      <c r="AA166" s="21">
        <f t="shared" si="168"/>
        <v>0</v>
      </c>
    </row>
    <row r="167" spans="1:27" hidden="1" outlineLevel="1" x14ac:dyDescent="0.2">
      <c r="A167" s="8" t="s">
        <v>69</v>
      </c>
      <c r="B167" s="20">
        <f>SUMIFS('Registre de reserves'!$V$2:$V$1178,'Registre de reserves'!$T$2:$T$1178,"NO",'Registre de reserves'!$I$2:$I$1178,'2020'!$A167,'Registre de reserves'!$B$2:$B$1178,'2020'!B$2,Tabla1[ANY],'2020'!$Z$150)</f>
        <v>0</v>
      </c>
      <c r="C167" s="21">
        <f t="shared" si="166"/>
        <v>0</v>
      </c>
      <c r="D167" s="20">
        <f>SUMIFS('Registre de reserves'!$V$2:$V$1178,'Registre de reserves'!$T$2:$T$1178,"NO",'Registre de reserves'!$I$2:$I$1178,'2020'!$A167,'Registre de reserves'!$B$2:$B$1178,'2020'!D$2,Tabla1[ANY],'2020'!$Z$150)</f>
        <v>0</v>
      </c>
      <c r="E167" s="21">
        <f t="shared" si="166"/>
        <v>0</v>
      </c>
      <c r="F167" s="20">
        <f>SUMIFS('Registre de reserves'!$V$2:$V$1178,'Registre de reserves'!$T$2:$T$1178,"NO",'Registre de reserves'!$I$2:$I$1178,'2020'!$A167,'Registre de reserves'!$B$2:$B$1178,'2020'!F$2,Tabla1[ANY],'2020'!$Z$150)</f>
        <v>0</v>
      </c>
      <c r="G167" s="21">
        <f t="shared" si="156"/>
        <v>0</v>
      </c>
      <c r="H167" s="20">
        <f>SUMIFS('Registre de reserves'!$V$2:$V$1178,'Registre de reserves'!$T$2:$T$1178,"NO",'Registre de reserves'!$I$2:$I$1178,'2020'!$A167,'Registre de reserves'!$B$2:$B$1178,'2020'!H$2,Tabla1[ANY],'2020'!$Z$150)</f>
        <v>0</v>
      </c>
      <c r="I167" s="21">
        <f t="shared" si="157"/>
        <v>0</v>
      </c>
      <c r="J167" s="20">
        <f>SUMIFS('Registre de reserves'!$V$2:$V$1178,'Registre de reserves'!$T$2:$T$1178,"NO",'Registre de reserves'!$I$2:$I$1178,'2020'!$A167,'Registre de reserves'!$B$2:$B$1178,'2020'!J$2,Tabla1[ANY],'2020'!$Z$150)</f>
        <v>0</v>
      </c>
      <c r="K167" s="21">
        <f t="shared" si="158"/>
        <v>0</v>
      </c>
      <c r="L167" s="20">
        <f>SUMIFS('Registre de reserves'!$V$2:$V$1178,'Registre de reserves'!$T$2:$T$1178,"NO",'Registre de reserves'!$I$2:$I$1178,'2020'!$A167,'Registre de reserves'!$B$2:$B$1178,'2020'!L$2,Tabla1[ANY],'2020'!$Z$150)</f>
        <v>0</v>
      </c>
      <c r="M167" s="21">
        <f t="shared" si="159"/>
        <v>0</v>
      </c>
      <c r="N167" s="20">
        <f>SUMIFS('Registre de reserves'!$V$2:$V$1178,'Registre de reserves'!$T$2:$T$1178,"NO",'Registre de reserves'!$I$2:$I$1178,'2020'!$A167,'Registre de reserves'!$B$2:$B$1178,'2020'!N$2,Tabla1[ANY],'2020'!$Z$150)</f>
        <v>0</v>
      </c>
      <c r="O167" s="21">
        <f t="shared" si="160"/>
        <v>0</v>
      </c>
      <c r="P167" s="20">
        <f>SUMIFS('Registre de reserves'!$V$2:$V$1178,'Registre de reserves'!$T$2:$T$1178,"NO",'Registre de reserves'!$I$2:$I$1178,'2020'!$A167,'Registre de reserves'!$B$2:$B$1178,'2020'!P$2,Tabla1[ANY],'2020'!$Z$150)</f>
        <v>0</v>
      </c>
      <c r="Q167" s="21">
        <f t="shared" si="161"/>
        <v>0</v>
      </c>
      <c r="R167" s="20">
        <f>SUMIFS('Registre de reserves'!$V$2:$V$1178,'Registre de reserves'!$T$2:$T$1178,"NO",'Registre de reserves'!$I$2:$I$1178,'2020'!$A167,'Registre de reserves'!$B$2:$B$1178,'2020'!R$2,Tabla1[ANY],'2020'!$Z$150)</f>
        <v>0</v>
      </c>
      <c r="S167" s="21">
        <f t="shared" si="162"/>
        <v>0</v>
      </c>
      <c r="T167" s="20">
        <f>SUMIFS('Registre de reserves'!$V$2:$V$1178,'Registre de reserves'!$T$2:$T$1178,"NO",'Registre de reserves'!$I$2:$I$1178,'2020'!$A167,'Registre de reserves'!$B$2:$B$1178,'2020'!T$2,Tabla1[ANY],'2020'!$Z$150)</f>
        <v>0</v>
      </c>
      <c r="U167" s="21">
        <f t="shared" si="163"/>
        <v>0</v>
      </c>
      <c r="V167" s="20">
        <f>SUMIFS('Registre de reserves'!$V$2:$V$1178,'Registre de reserves'!$T$2:$T$1178,"NO",'Registre de reserves'!$I$2:$I$1178,'2020'!$A167,'Registre de reserves'!$B$2:$B$1178,'2020'!V$2,Tabla1[ANY],'2020'!$Z$150)</f>
        <v>0</v>
      </c>
      <c r="W167" s="21">
        <f t="shared" si="164"/>
        <v>0</v>
      </c>
      <c r="X167" s="20">
        <f>SUMIFS('Registre de reserves'!$V$2:$V$1178,'Registre de reserves'!$T$2:$T$1178,"NO",'Registre de reserves'!$I$2:$I$1178,'2020'!$A167,'Registre de reserves'!$B$2:$B$1178,'2020'!X$2,Tabla1[ANY],'2020'!$Z$150)</f>
        <v>0</v>
      </c>
      <c r="Y167" s="21">
        <f t="shared" si="165"/>
        <v>0</v>
      </c>
      <c r="Z167" s="20">
        <f t="shared" si="167"/>
        <v>0</v>
      </c>
      <c r="AA167" s="21">
        <f t="shared" si="168"/>
        <v>0</v>
      </c>
    </row>
    <row r="168" spans="1:27" hidden="1" outlineLevel="1" x14ac:dyDescent="0.2">
      <c r="A168" s="8" t="s">
        <v>70</v>
      </c>
      <c r="B168" s="20">
        <f>SUMIFS('Registre de reserves'!$V$2:$V$1178,'Registre de reserves'!$T$2:$T$1178,"NO",'Registre de reserves'!$I$2:$I$1178,'2020'!$A168,'Registre de reserves'!$B$2:$B$1178,'2020'!B$2,Tabla1[ANY],'2020'!$Z$150)</f>
        <v>0</v>
      </c>
      <c r="C168" s="21">
        <f t="shared" si="166"/>
        <v>0</v>
      </c>
      <c r="D168" s="20">
        <f>SUMIFS('Registre de reserves'!$V$2:$V$1178,'Registre de reserves'!$T$2:$T$1178,"NO",'Registre de reserves'!$I$2:$I$1178,'2020'!$A168,'Registre de reserves'!$B$2:$B$1178,'2020'!D$2,Tabla1[ANY],'2020'!$Z$150)</f>
        <v>0</v>
      </c>
      <c r="E168" s="21">
        <f t="shared" si="166"/>
        <v>0</v>
      </c>
      <c r="F168" s="20">
        <f>SUMIFS('Registre de reserves'!$V$2:$V$1178,'Registre de reserves'!$T$2:$T$1178,"NO",'Registre de reserves'!$I$2:$I$1178,'2020'!$A168,'Registre de reserves'!$B$2:$B$1178,'2020'!F$2,Tabla1[ANY],'2020'!$Z$150)</f>
        <v>0</v>
      </c>
      <c r="G168" s="21">
        <f t="shared" si="156"/>
        <v>0</v>
      </c>
      <c r="H168" s="20">
        <f>SUMIFS('Registre de reserves'!$V$2:$V$1178,'Registre de reserves'!$T$2:$T$1178,"NO",'Registre de reserves'!$I$2:$I$1178,'2020'!$A168,'Registre de reserves'!$B$2:$B$1178,'2020'!H$2,Tabla1[ANY],'2020'!$Z$150)</f>
        <v>0</v>
      </c>
      <c r="I168" s="21">
        <f t="shared" si="157"/>
        <v>0</v>
      </c>
      <c r="J168" s="20">
        <f>SUMIFS('Registre de reserves'!$V$2:$V$1178,'Registre de reserves'!$T$2:$T$1178,"NO",'Registre de reserves'!$I$2:$I$1178,'2020'!$A168,'Registre de reserves'!$B$2:$B$1178,'2020'!J$2,Tabla1[ANY],'2020'!$Z$150)</f>
        <v>0</v>
      </c>
      <c r="K168" s="21">
        <f t="shared" si="158"/>
        <v>0</v>
      </c>
      <c r="L168" s="20">
        <f>SUMIFS('Registre de reserves'!$V$2:$V$1178,'Registre de reserves'!$T$2:$T$1178,"NO",'Registre de reserves'!$I$2:$I$1178,'2020'!$A168,'Registre de reserves'!$B$2:$B$1178,'2020'!L$2,Tabla1[ANY],'2020'!$Z$150)</f>
        <v>0</v>
      </c>
      <c r="M168" s="21">
        <f t="shared" si="159"/>
        <v>0</v>
      </c>
      <c r="N168" s="20">
        <f>SUMIFS('Registre de reserves'!$V$2:$V$1178,'Registre de reserves'!$T$2:$T$1178,"NO",'Registre de reserves'!$I$2:$I$1178,'2020'!$A168,'Registre de reserves'!$B$2:$B$1178,'2020'!N$2,Tabla1[ANY],'2020'!$Z$150)</f>
        <v>0</v>
      </c>
      <c r="O168" s="21">
        <f t="shared" si="160"/>
        <v>0</v>
      </c>
      <c r="P168" s="20">
        <f>SUMIFS('Registre de reserves'!$V$2:$V$1178,'Registre de reserves'!$T$2:$T$1178,"NO",'Registre de reserves'!$I$2:$I$1178,'2020'!$A168,'Registre de reserves'!$B$2:$B$1178,'2020'!P$2,Tabla1[ANY],'2020'!$Z$150)</f>
        <v>0</v>
      </c>
      <c r="Q168" s="21">
        <f t="shared" si="161"/>
        <v>0</v>
      </c>
      <c r="R168" s="20">
        <f>SUMIFS('Registre de reserves'!$V$2:$V$1178,'Registre de reserves'!$T$2:$T$1178,"NO",'Registre de reserves'!$I$2:$I$1178,'2020'!$A168,'Registre de reserves'!$B$2:$B$1178,'2020'!R$2,Tabla1[ANY],'2020'!$Z$150)</f>
        <v>0</v>
      </c>
      <c r="S168" s="21">
        <f t="shared" si="162"/>
        <v>0</v>
      </c>
      <c r="T168" s="20">
        <f>SUMIFS('Registre de reserves'!$V$2:$V$1178,'Registre de reserves'!$T$2:$T$1178,"NO",'Registre de reserves'!$I$2:$I$1178,'2020'!$A168,'Registre de reserves'!$B$2:$B$1178,'2020'!T$2,Tabla1[ANY],'2020'!$Z$150)</f>
        <v>0</v>
      </c>
      <c r="U168" s="21">
        <f t="shared" si="163"/>
        <v>0</v>
      </c>
      <c r="V168" s="20">
        <f>SUMIFS('Registre de reserves'!$V$2:$V$1178,'Registre de reserves'!$T$2:$T$1178,"NO",'Registre de reserves'!$I$2:$I$1178,'2020'!$A168,'Registre de reserves'!$B$2:$B$1178,'2020'!V$2,Tabla1[ANY],'2020'!$Z$150)</f>
        <v>0</v>
      </c>
      <c r="W168" s="21">
        <f t="shared" si="164"/>
        <v>0</v>
      </c>
      <c r="X168" s="20">
        <f>SUMIFS('Registre de reserves'!$V$2:$V$1178,'Registre de reserves'!$T$2:$T$1178,"NO",'Registre de reserves'!$I$2:$I$1178,'2020'!$A168,'Registre de reserves'!$B$2:$B$1178,'2020'!X$2,Tabla1[ANY],'2020'!$Z$150)</f>
        <v>0</v>
      </c>
      <c r="Y168" s="21">
        <f t="shared" si="165"/>
        <v>0</v>
      </c>
      <c r="Z168" s="20">
        <f t="shared" si="167"/>
        <v>0</v>
      </c>
      <c r="AA168" s="21">
        <f t="shared" si="168"/>
        <v>0</v>
      </c>
    </row>
    <row r="169" spans="1:27" hidden="1" outlineLevel="1" x14ac:dyDescent="0.2">
      <c r="A169" s="8" t="s">
        <v>73</v>
      </c>
      <c r="B169" s="20">
        <f>SUMIFS('Registre de reserves'!$V$2:$V$1178,'Registre de reserves'!$T$2:$T$1178,"NO",'Registre de reserves'!$I$2:$I$1178,'2020'!$A169,'Registre de reserves'!$B$2:$B$1178,'2020'!B$2,Tabla1[ANY],'2020'!$Z$150)</f>
        <v>0</v>
      </c>
      <c r="C169" s="21">
        <f t="shared" si="166"/>
        <v>0</v>
      </c>
      <c r="D169" s="20">
        <f>SUMIFS('Registre de reserves'!$V$2:$V$1178,'Registre de reserves'!$T$2:$T$1178,"NO",'Registre de reserves'!$I$2:$I$1178,'2020'!$A169,'Registre de reserves'!$B$2:$B$1178,'2020'!D$2,Tabla1[ANY],'2020'!$Z$150)</f>
        <v>0</v>
      </c>
      <c r="E169" s="21">
        <f t="shared" si="166"/>
        <v>0</v>
      </c>
      <c r="F169" s="20">
        <f>SUMIFS('Registre de reserves'!$V$2:$V$1178,'Registre de reserves'!$T$2:$T$1178,"NO",'Registre de reserves'!$I$2:$I$1178,'2020'!$A169,'Registre de reserves'!$B$2:$B$1178,'2020'!F$2,Tabla1[ANY],'2020'!$Z$150)</f>
        <v>0</v>
      </c>
      <c r="G169" s="21">
        <f t="shared" si="156"/>
        <v>0</v>
      </c>
      <c r="H169" s="20">
        <f>SUMIFS('Registre de reserves'!$V$2:$V$1178,'Registre de reserves'!$T$2:$T$1178,"NO",'Registre de reserves'!$I$2:$I$1178,'2020'!$A169,'Registre de reserves'!$B$2:$B$1178,'2020'!H$2,Tabla1[ANY],'2020'!$Z$150)</f>
        <v>0</v>
      </c>
      <c r="I169" s="21">
        <f t="shared" si="157"/>
        <v>0</v>
      </c>
      <c r="J169" s="20">
        <f>SUMIFS('Registre de reserves'!$V$2:$V$1178,'Registre de reserves'!$T$2:$T$1178,"NO",'Registre de reserves'!$I$2:$I$1178,'2020'!$A169,'Registre de reserves'!$B$2:$B$1178,'2020'!J$2,Tabla1[ANY],'2020'!$Z$150)</f>
        <v>0</v>
      </c>
      <c r="K169" s="21">
        <f t="shared" si="158"/>
        <v>0</v>
      </c>
      <c r="L169" s="20">
        <f>SUMIFS('Registre de reserves'!$V$2:$V$1178,'Registre de reserves'!$T$2:$T$1178,"NO",'Registre de reserves'!$I$2:$I$1178,'2020'!$A169,'Registre de reserves'!$B$2:$B$1178,'2020'!L$2,Tabla1[ANY],'2020'!$Z$150)</f>
        <v>0</v>
      </c>
      <c r="M169" s="21">
        <f t="shared" si="159"/>
        <v>0</v>
      </c>
      <c r="N169" s="20">
        <f>SUMIFS('Registre de reserves'!$V$2:$V$1178,'Registre de reserves'!$T$2:$T$1178,"NO",'Registre de reserves'!$I$2:$I$1178,'2020'!$A169,'Registre de reserves'!$B$2:$B$1178,'2020'!N$2,Tabla1[ANY],'2020'!$Z$150)</f>
        <v>0</v>
      </c>
      <c r="O169" s="21">
        <f t="shared" si="160"/>
        <v>0</v>
      </c>
      <c r="P169" s="20">
        <f>SUMIFS('Registre de reserves'!$V$2:$V$1178,'Registre de reserves'!$T$2:$T$1178,"NO",'Registre de reserves'!$I$2:$I$1178,'2020'!$A169,'Registre de reserves'!$B$2:$B$1178,'2020'!P$2,Tabla1[ANY],'2020'!$Z$150)</f>
        <v>0</v>
      </c>
      <c r="Q169" s="21">
        <f t="shared" si="161"/>
        <v>0</v>
      </c>
      <c r="R169" s="20">
        <f>SUMIFS('Registre de reserves'!$V$2:$V$1178,'Registre de reserves'!$T$2:$T$1178,"NO",'Registre de reserves'!$I$2:$I$1178,'2020'!$A169,'Registre de reserves'!$B$2:$B$1178,'2020'!R$2,Tabla1[ANY],'2020'!$Z$150)</f>
        <v>0</v>
      </c>
      <c r="S169" s="21">
        <f t="shared" si="162"/>
        <v>0</v>
      </c>
      <c r="T169" s="20">
        <f>SUMIFS('Registre de reserves'!$V$2:$V$1178,'Registre de reserves'!$T$2:$T$1178,"NO",'Registre de reserves'!$I$2:$I$1178,'2020'!$A169,'Registre de reserves'!$B$2:$B$1178,'2020'!T$2,Tabla1[ANY],'2020'!$Z$150)</f>
        <v>0</v>
      </c>
      <c r="U169" s="21">
        <f t="shared" si="163"/>
        <v>0</v>
      </c>
      <c r="V169" s="20">
        <f>SUMIFS('Registre de reserves'!$V$2:$V$1178,'Registre de reserves'!$T$2:$T$1178,"NO",'Registre de reserves'!$I$2:$I$1178,'2020'!$A169,'Registre de reserves'!$B$2:$B$1178,'2020'!V$2,Tabla1[ANY],'2020'!$Z$150)</f>
        <v>0</v>
      </c>
      <c r="W169" s="21">
        <f t="shared" si="164"/>
        <v>0</v>
      </c>
      <c r="X169" s="20">
        <f>SUMIFS('Registre de reserves'!$V$2:$V$1178,'Registre de reserves'!$T$2:$T$1178,"NO",'Registre de reserves'!$I$2:$I$1178,'2020'!$A169,'Registre de reserves'!$B$2:$B$1178,'2020'!X$2,Tabla1[ANY],'2020'!$Z$150)</f>
        <v>0</v>
      </c>
      <c r="Y169" s="21">
        <f t="shared" si="165"/>
        <v>0</v>
      </c>
      <c r="Z169" s="20">
        <f t="shared" si="167"/>
        <v>0</v>
      </c>
      <c r="AA169" s="21">
        <f t="shared" si="168"/>
        <v>0</v>
      </c>
    </row>
    <row r="170" spans="1:27" collapsed="1" x14ac:dyDescent="0.2">
      <c r="A170" s="33" t="s">
        <v>75</v>
      </c>
      <c r="B170" s="22">
        <f>SUM(B171:B178)</f>
        <v>50</v>
      </c>
      <c r="C170" s="19">
        <f>IF(B$151=0,0,B170/B$151)</f>
        <v>2.7397260273972601E-2</v>
      </c>
      <c r="D170" s="22">
        <f>SUM(D171:D178)</f>
        <v>120</v>
      </c>
      <c r="E170" s="19">
        <f>IF(D$151=0,0,D170/D$151)</f>
        <v>6.6115702479338845E-2</v>
      </c>
      <c r="F170" s="22">
        <f>SUM(F171:F178)</f>
        <v>70</v>
      </c>
      <c r="G170" s="19">
        <f>IF(F$151=0,0,F170/F$151)</f>
        <v>0.14000000000000001</v>
      </c>
      <c r="H170" s="22">
        <f>SUM(H171:H178)</f>
        <v>0</v>
      </c>
      <c r="I170" s="19">
        <f>IF(H$151=0,0,H170/H$151)</f>
        <v>0</v>
      </c>
      <c r="J170" s="22">
        <f>SUM(J171:J178)</f>
        <v>0</v>
      </c>
      <c r="K170" s="19">
        <f>IF(J$151=0,0,J170/J$151)</f>
        <v>0</v>
      </c>
      <c r="L170" s="22">
        <f>SUM(L171:L178)</f>
        <v>105</v>
      </c>
      <c r="M170" s="19">
        <f>IF(L$151=0,0,L170/L$151)</f>
        <v>9.6774193548387094E-2</v>
      </c>
      <c r="N170" s="22">
        <f>SUM(N171:N178)</f>
        <v>120</v>
      </c>
      <c r="O170" s="19">
        <f>IF(N$151=0,0,N170/N$151)</f>
        <v>8.1081081081081086E-2</v>
      </c>
      <c r="P170" s="22">
        <f>SUM(P171:P178)</f>
        <v>190</v>
      </c>
      <c r="Q170" s="19">
        <f>IF(P$151=0,0,P170/P$151)</f>
        <v>0.15637860082304528</v>
      </c>
      <c r="R170" s="22">
        <f>SUM(R171:R178)</f>
        <v>10</v>
      </c>
      <c r="S170" s="19">
        <f>IF(R$151=0,0,R170/R$151)</f>
        <v>2.247191011235955E-2</v>
      </c>
      <c r="T170" s="22">
        <f>SUM(T171:T178)</f>
        <v>0</v>
      </c>
      <c r="U170" s="19">
        <f>IF(T$151=0,0,T170/T$151)</f>
        <v>0</v>
      </c>
      <c r="V170" s="22">
        <f>SUM(V171:V178)</f>
        <v>0</v>
      </c>
      <c r="W170" s="19">
        <f>IF(V$151=0,0,V170/V$151)</f>
        <v>0</v>
      </c>
      <c r="X170" s="22">
        <f>SUM(X171:X178)</f>
        <v>0</v>
      </c>
      <c r="Y170" s="19">
        <f>IF(X$151=0,0,X170/X$151)</f>
        <v>0</v>
      </c>
      <c r="Z170" s="22">
        <f>SUM(Z171:Z178)</f>
        <v>665</v>
      </c>
      <c r="AA170" s="19">
        <f>IF(Z$3=0,0,Z170/Z$3)</f>
        <v>3.1053188742215108E-2</v>
      </c>
    </row>
    <row r="171" spans="1:27" hidden="1" outlineLevel="1" x14ac:dyDescent="0.2">
      <c r="A171" s="8" t="s">
        <v>67</v>
      </c>
      <c r="B171" s="23">
        <f>SUMIFS('Registre de reserves'!$X$2:$X$1178,'Registre de reserves'!$T$2:$T$1178,"SI",'Registre de reserves'!$I$2:$I$1178,'2020'!$A171,'Registre de reserves'!$B$2:$B$1178,'2020'!B$2,Tabla1[ANY],'2020'!$Z$150)</f>
        <v>0</v>
      </c>
      <c r="C171" s="21">
        <f>IF(B$170=0,0,B171/B$170)</f>
        <v>0</v>
      </c>
      <c r="D171" s="23">
        <f>SUMIFS('Registre de reserves'!$X$2:$X$1178,'Registre de reserves'!$T$2:$T$1178,"SI",'Registre de reserves'!$I$2:$I$1178,'2020'!$A171,'Registre de reserves'!$B$2:$B$1178,'2020'!D$2,Tabla1[ANY],'2020'!$Z$150)</f>
        <v>0</v>
      </c>
      <c r="E171" s="21">
        <f>IF(D$170=0,0,D171/D$170)</f>
        <v>0</v>
      </c>
      <c r="F171" s="23">
        <f>SUMIFS('Registre de reserves'!$X$2:$X$1178,'Registre de reserves'!$T$2:$T$1178,"SI",'Registre de reserves'!$I$2:$I$1178,'2020'!$A171,'Registre de reserves'!$B$2:$B$1178,'2020'!F$2,Tabla1[ANY],'2020'!$Z$150)</f>
        <v>0</v>
      </c>
      <c r="G171" s="21">
        <f t="shared" ref="G171:G178" si="169">IF(F$170=0,0,F171/F$170)</f>
        <v>0</v>
      </c>
      <c r="H171" s="23">
        <f>SUMIFS('Registre de reserves'!$X$2:$X$1178,'Registre de reserves'!$T$2:$T$1178,"SI",'Registre de reserves'!$I$2:$I$1178,'2020'!$A171,'Registre de reserves'!$B$2:$B$1178,'2020'!H$2,Tabla1[ANY],'2020'!$Z$150)</f>
        <v>0</v>
      </c>
      <c r="I171" s="21">
        <f t="shared" ref="I171:I178" si="170">IF(H$170=0,0,H171/H$170)</f>
        <v>0</v>
      </c>
      <c r="J171" s="23">
        <f>SUMIFS('Registre de reserves'!$X$2:$X$1178,'Registre de reserves'!$T$2:$T$1178,"SI",'Registre de reserves'!$I$2:$I$1178,'2020'!$A171,'Registre de reserves'!$B$2:$B$1178,'2020'!J$2,Tabla1[ANY],'2020'!$Z$150)</f>
        <v>0</v>
      </c>
      <c r="K171" s="21">
        <f t="shared" ref="K171:K178" si="171">IF(J$170=0,0,J171/J$170)</f>
        <v>0</v>
      </c>
      <c r="L171" s="23">
        <f>SUMIFS('Registre de reserves'!$X$2:$X$1178,'Registre de reserves'!$T$2:$T$1178,"SI",'Registre de reserves'!$I$2:$I$1178,'2020'!$A171,'Registre de reserves'!$B$2:$B$1178,'2020'!L$2,Tabla1[ANY],'2020'!$Z$150)</f>
        <v>0</v>
      </c>
      <c r="M171" s="21">
        <f t="shared" ref="M171:M178" si="172">IF(L$170=0,0,L171/L$170)</f>
        <v>0</v>
      </c>
      <c r="N171" s="23">
        <f>SUMIFS('Registre de reserves'!$X$2:$X$1178,'Registre de reserves'!$T$2:$T$1178,"SI",'Registre de reserves'!$I$2:$I$1178,'2020'!$A171,'Registre de reserves'!$B$2:$B$1178,'2020'!N$2,Tabla1[ANY],'2020'!$Z$150)</f>
        <v>5</v>
      </c>
      <c r="O171" s="21">
        <f t="shared" ref="O171:O178" si="173">IF(N$170=0,0,N171/N$170)</f>
        <v>4.1666666666666664E-2</v>
      </c>
      <c r="P171" s="23">
        <f>SUMIFS('Registre de reserves'!$X$2:$X$1178,'Registre de reserves'!$T$2:$T$1178,"SI",'Registre de reserves'!$I$2:$I$1178,'2020'!$A171,'Registre de reserves'!$B$2:$B$1178,'2020'!P$2,Tabla1[ANY],'2020'!$Z$150)</f>
        <v>0</v>
      </c>
      <c r="Q171" s="21">
        <f t="shared" ref="Q171:Q178" si="174">IF(P$170=0,0,P171/P$170)</f>
        <v>0</v>
      </c>
      <c r="R171" s="23">
        <f>SUMIFS('Registre de reserves'!$X$2:$X$1178,'Registre de reserves'!$T$2:$T$1178,"SI",'Registre de reserves'!$I$2:$I$1178,'2020'!$A171,'Registre de reserves'!$B$2:$B$1178,'2020'!R$2,Tabla1[ANY],'2020'!$Z$150)</f>
        <v>0</v>
      </c>
      <c r="S171" s="21">
        <f t="shared" ref="S171:S178" si="175">IF(R$170=0,0,R171/R$170)</f>
        <v>0</v>
      </c>
      <c r="T171" s="23">
        <f>SUMIFS('Registre de reserves'!$X$2:$X$1178,'Registre de reserves'!$T$2:$T$1178,"SI",'Registre de reserves'!$I$2:$I$1178,'2020'!$A171,'Registre de reserves'!$B$2:$B$1178,'2020'!T$2,Tabla1[ANY],'2020'!$Z$150)</f>
        <v>0</v>
      </c>
      <c r="U171" s="21">
        <f t="shared" ref="U171:U178" si="176">IF(T$170=0,0,T171/T$170)</f>
        <v>0</v>
      </c>
      <c r="V171" s="23">
        <f>SUMIFS('Registre de reserves'!$X$2:$X$1178,'Registre de reserves'!$T$2:$T$1178,"SI",'Registre de reserves'!$I$2:$I$1178,'2020'!$A171,'Registre de reserves'!$B$2:$B$1178,'2020'!V$2,Tabla1[ANY],'2020'!$Z$150)</f>
        <v>0</v>
      </c>
      <c r="W171" s="21">
        <f t="shared" ref="W171:W178" si="177">IF(V$170=0,0,V171/V$170)</f>
        <v>0</v>
      </c>
      <c r="X171" s="23">
        <f>SUMIFS('Registre de reserves'!$X$2:$X$1178,'Registre de reserves'!$T$2:$T$1178,"SI",'Registre de reserves'!$I$2:$I$1178,'2020'!$A171,'Registre de reserves'!$B$2:$B$1178,'2020'!X$2,Tabla1[ANY],'2020'!$Z$150)</f>
        <v>0</v>
      </c>
      <c r="Y171" s="21">
        <f t="shared" ref="Y171:Y178" si="178">IF(X$170=0,0,X171/X$170)</f>
        <v>0</v>
      </c>
      <c r="Z171" s="20">
        <f t="shared" si="167"/>
        <v>5</v>
      </c>
      <c r="AA171" s="21">
        <f>IF(Z$22=0,0,Z171/Z$22)</f>
        <v>7.5187969924812026E-3</v>
      </c>
    </row>
    <row r="172" spans="1:27" hidden="1" outlineLevel="1" x14ac:dyDescent="0.2">
      <c r="A172" s="8" t="s">
        <v>68</v>
      </c>
      <c r="B172" s="23">
        <f>SUMIFS('Registre de reserves'!$X$2:$X$1178,'Registre de reserves'!$T$2:$T$1178,"SI",'Registre de reserves'!$I$2:$I$1178,'2020'!$A172,'Registre de reserves'!$B$2:$B$1178,'2020'!B$2,Tabla1[ANY],'2020'!$Z$150)</f>
        <v>0</v>
      </c>
      <c r="C172" s="21">
        <f t="shared" ref="C172:E178" si="179">IF(B$170=0,0,B172/B$170)</f>
        <v>0</v>
      </c>
      <c r="D172" s="23">
        <f>SUMIFS('Registre de reserves'!$X$2:$X$1178,'Registre de reserves'!$T$2:$T$1178,"SI",'Registre de reserves'!$I$2:$I$1178,'2020'!$A172,'Registre de reserves'!$B$2:$B$1178,'2020'!D$2,Tabla1[ANY],'2020'!$Z$150)</f>
        <v>10</v>
      </c>
      <c r="E172" s="21">
        <f t="shared" si="179"/>
        <v>8.3333333333333329E-2</v>
      </c>
      <c r="F172" s="23">
        <f>SUMIFS('Registre de reserves'!$X$2:$X$1178,'Registre de reserves'!$T$2:$T$1178,"SI",'Registre de reserves'!$I$2:$I$1178,'2020'!$A172,'Registre de reserves'!$B$2:$B$1178,'2020'!F$2,Tabla1[ANY],'2020'!$Z$150)</f>
        <v>20</v>
      </c>
      <c r="G172" s="21">
        <f t="shared" si="169"/>
        <v>0.2857142857142857</v>
      </c>
      <c r="H172" s="23">
        <f>SUMIFS('Registre de reserves'!$X$2:$X$1178,'Registre de reserves'!$T$2:$T$1178,"SI",'Registre de reserves'!$I$2:$I$1178,'2020'!$A172,'Registre de reserves'!$B$2:$B$1178,'2020'!H$2,Tabla1[ANY],'2020'!$Z$150)</f>
        <v>0</v>
      </c>
      <c r="I172" s="21">
        <f t="shared" si="170"/>
        <v>0</v>
      </c>
      <c r="J172" s="23">
        <f>SUMIFS('Registre de reserves'!$X$2:$X$1178,'Registre de reserves'!$T$2:$T$1178,"SI",'Registre de reserves'!$I$2:$I$1178,'2020'!$A172,'Registre de reserves'!$B$2:$B$1178,'2020'!J$2,Tabla1[ANY],'2020'!$Z$150)</f>
        <v>0</v>
      </c>
      <c r="K172" s="21">
        <f t="shared" si="171"/>
        <v>0</v>
      </c>
      <c r="L172" s="23">
        <f>SUMIFS('Registre de reserves'!$X$2:$X$1178,'Registre de reserves'!$T$2:$T$1178,"SI",'Registre de reserves'!$I$2:$I$1178,'2020'!$A172,'Registre de reserves'!$B$2:$B$1178,'2020'!L$2,Tabla1[ANY],'2020'!$Z$150)</f>
        <v>0</v>
      </c>
      <c r="M172" s="21">
        <f t="shared" si="172"/>
        <v>0</v>
      </c>
      <c r="N172" s="23">
        <f>SUMIFS('Registre de reserves'!$X$2:$X$1178,'Registre de reserves'!$T$2:$T$1178,"SI",'Registre de reserves'!$I$2:$I$1178,'2020'!$A172,'Registre de reserves'!$B$2:$B$1178,'2020'!N$2,Tabla1[ANY],'2020'!$Z$150)</f>
        <v>5</v>
      </c>
      <c r="O172" s="21">
        <f t="shared" si="173"/>
        <v>4.1666666666666664E-2</v>
      </c>
      <c r="P172" s="23">
        <f>SUMIFS('Registre de reserves'!$X$2:$X$1178,'Registre de reserves'!$T$2:$T$1178,"SI",'Registre de reserves'!$I$2:$I$1178,'2020'!$A172,'Registre de reserves'!$B$2:$B$1178,'2020'!P$2,Tabla1[ANY],'2020'!$Z$150)</f>
        <v>25</v>
      </c>
      <c r="Q172" s="21">
        <f t="shared" si="174"/>
        <v>0.13157894736842105</v>
      </c>
      <c r="R172" s="23">
        <f>SUMIFS('Registre de reserves'!$X$2:$X$1178,'Registre de reserves'!$T$2:$T$1178,"SI",'Registre de reserves'!$I$2:$I$1178,'2020'!$A172,'Registre de reserves'!$B$2:$B$1178,'2020'!R$2,Tabla1[ANY],'2020'!$Z$150)</f>
        <v>0</v>
      </c>
      <c r="S172" s="21">
        <f t="shared" si="175"/>
        <v>0</v>
      </c>
      <c r="T172" s="23">
        <f>SUMIFS('Registre de reserves'!$X$2:$X$1178,'Registre de reserves'!$T$2:$T$1178,"SI",'Registre de reserves'!$I$2:$I$1178,'2020'!$A172,'Registre de reserves'!$B$2:$B$1178,'2020'!T$2,Tabla1[ANY],'2020'!$Z$150)</f>
        <v>0</v>
      </c>
      <c r="U172" s="21">
        <f t="shared" si="176"/>
        <v>0</v>
      </c>
      <c r="V172" s="23">
        <f>SUMIFS('Registre de reserves'!$X$2:$X$1178,'Registre de reserves'!$T$2:$T$1178,"SI",'Registre de reserves'!$I$2:$I$1178,'2020'!$A172,'Registre de reserves'!$B$2:$B$1178,'2020'!V$2,Tabla1[ANY],'2020'!$Z$150)</f>
        <v>0</v>
      </c>
      <c r="W172" s="21">
        <f t="shared" si="177"/>
        <v>0</v>
      </c>
      <c r="X172" s="23">
        <f>SUMIFS('Registre de reserves'!$X$2:$X$1178,'Registre de reserves'!$T$2:$T$1178,"SI",'Registre de reserves'!$I$2:$I$1178,'2020'!$A172,'Registre de reserves'!$B$2:$B$1178,'2020'!X$2,Tabla1[ANY],'2020'!$Z$150)</f>
        <v>0</v>
      </c>
      <c r="Y172" s="21">
        <f t="shared" si="178"/>
        <v>0</v>
      </c>
      <c r="Z172" s="20">
        <f t="shared" si="167"/>
        <v>60</v>
      </c>
      <c r="AA172" s="21">
        <f t="shared" ref="AA172:AA178" si="180">IF(Z$22=0,0,Z172/Z$22)</f>
        <v>9.0225563909774431E-2</v>
      </c>
    </row>
    <row r="173" spans="1:27" hidden="1" outlineLevel="1" x14ac:dyDescent="0.2">
      <c r="A173" s="8" t="s">
        <v>4</v>
      </c>
      <c r="B173" s="23">
        <f>SUMIFS('Registre de reserves'!$X$2:$X$1178,'Registre de reserves'!$T$2:$T$1178,"SI",'Registre de reserves'!$I$2:$I$1178,'2020'!$A173,'Registre de reserves'!$B$2:$B$1178,'2020'!B$2,Tabla1[ANY],'2020'!$Z$150)</f>
        <v>0</v>
      </c>
      <c r="C173" s="21">
        <f t="shared" si="179"/>
        <v>0</v>
      </c>
      <c r="D173" s="23">
        <f>SUMIFS('Registre de reserves'!$X$2:$X$1178,'Registre de reserves'!$T$2:$T$1178,"SI",'Registre de reserves'!$I$2:$I$1178,'2020'!$A173,'Registre de reserves'!$B$2:$B$1178,'2020'!D$2,Tabla1[ANY],'2020'!$Z$150)</f>
        <v>0</v>
      </c>
      <c r="E173" s="21">
        <f t="shared" si="179"/>
        <v>0</v>
      </c>
      <c r="F173" s="23">
        <f>SUMIFS('Registre de reserves'!$X$2:$X$1178,'Registre de reserves'!$T$2:$T$1178,"SI",'Registre de reserves'!$I$2:$I$1178,'2020'!$A173,'Registre de reserves'!$B$2:$B$1178,'2020'!F$2,Tabla1[ANY],'2020'!$Z$150)</f>
        <v>0</v>
      </c>
      <c r="G173" s="21">
        <f t="shared" si="169"/>
        <v>0</v>
      </c>
      <c r="H173" s="23">
        <f>SUMIFS('Registre de reserves'!$X$2:$X$1178,'Registre de reserves'!$T$2:$T$1178,"SI",'Registre de reserves'!$I$2:$I$1178,'2020'!$A173,'Registre de reserves'!$B$2:$B$1178,'2020'!H$2,Tabla1[ANY],'2020'!$Z$150)</f>
        <v>0</v>
      </c>
      <c r="I173" s="21">
        <f t="shared" si="170"/>
        <v>0</v>
      </c>
      <c r="J173" s="23">
        <f>SUMIFS('Registre de reserves'!$X$2:$X$1178,'Registre de reserves'!$T$2:$T$1178,"SI",'Registre de reserves'!$I$2:$I$1178,'2020'!$A173,'Registre de reserves'!$B$2:$B$1178,'2020'!J$2,Tabla1[ANY],'2020'!$Z$150)</f>
        <v>0</v>
      </c>
      <c r="K173" s="21">
        <f t="shared" si="171"/>
        <v>0</v>
      </c>
      <c r="L173" s="23">
        <f>SUMIFS('Registre de reserves'!$X$2:$X$1178,'Registre de reserves'!$T$2:$T$1178,"SI",'Registre de reserves'!$I$2:$I$1178,'2020'!$A173,'Registre de reserves'!$B$2:$B$1178,'2020'!L$2,Tabla1[ANY],'2020'!$Z$150)</f>
        <v>0</v>
      </c>
      <c r="M173" s="21">
        <f t="shared" si="172"/>
        <v>0</v>
      </c>
      <c r="N173" s="23">
        <f>SUMIFS('Registre de reserves'!$X$2:$X$1178,'Registre de reserves'!$T$2:$T$1178,"SI",'Registre de reserves'!$I$2:$I$1178,'2020'!$A173,'Registre de reserves'!$B$2:$B$1178,'2020'!N$2,Tabla1[ANY],'2020'!$Z$150)</f>
        <v>0</v>
      </c>
      <c r="O173" s="21">
        <f t="shared" si="173"/>
        <v>0</v>
      </c>
      <c r="P173" s="23">
        <f>SUMIFS('Registre de reserves'!$X$2:$X$1178,'Registre de reserves'!$T$2:$T$1178,"SI",'Registre de reserves'!$I$2:$I$1178,'2020'!$A173,'Registre de reserves'!$B$2:$B$1178,'2020'!P$2,Tabla1[ANY],'2020'!$Z$150)</f>
        <v>0</v>
      </c>
      <c r="Q173" s="21">
        <f t="shared" si="174"/>
        <v>0</v>
      </c>
      <c r="R173" s="23">
        <f>SUMIFS('Registre de reserves'!$X$2:$X$1178,'Registre de reserves'!$T$2:$T$1178,"SI",'Registre de reserves'!$I$2:$I$1178,'2020'!$A173,'Registre de reserves'!$B$2:$B$1178,'2020'!R$2,Tabla1[ANY],'2020'!$Z$150)</f>
        <v>0</v>
      </c>
      <c r="S173" s="21">
        <f t="shared" si="175"/>
        <v>0</v>
      </c>
      <c r="T173" s="23">
        <f>SUMIFS('Registre de reserves'!$X$2:$X$1178,'Registre de reserves'!$T$2:$T$1178,"SI",'Registre de reserves'!$I$2:$I$1178,'2020'!$A173,'Registre de reserves'!$B$2:$B$1178,'2020'!T$2,Tabla1[ANY],'2020'!$Z$150)</f>
        <v>0</v>
      </c>
      <c r="U173" s="21">
        <f t="shared" si="176"/>
        <v>0</v>
      </c>
      <c r="V173" s="23">
        <f>SUMIFS('Registre de reserves'!$X$2:$X$1178,'Registre de reserves'!$T$2:$T$1178,"SI",'Registre de reserves'!$I$2:$I$1178,'2020'!$A173,'Registre de reserves'!$B$2:$B$1178,'2020'!V$2,Tabla1[ANY],'2020'!$Z$150)</f>
        <v>0</v>
      </c>
      <c r="W173" s="21">
        <f t="shared" si="177"/>
        <v>0</v>
      </c>
      <c r="X173" s="23">
        <f>SUMIFS('Registre de reserves'!$X$2:$X$1178,'Registre de reserves'!$T$2:$T$1178,"SI",'Registre de reserves'!$I$2:$I$1178,'2020'!$A173,'Registre de reserves'!$B$2:$B$1178,'2020'!X$2,Tabla1[ANY],'2020'!$Z$150)</f>
        <v>0</v>
      </c>
      <c r="Y173" s="21">
        <f t="shared" si="178"/>
        <v>0</v>
      </c>
      <c r="Z173" s="20">
        <f t="shared" si="167"/>
        <v>0</v>
      </c>
      <c r="AA173" s="21">
        <f t="shared" si="180"/>
        <v>0</v>
      </c>
    </row>
    <row r="174" spans="1:27" hidden="1" outlineLevel="1" x14ac:dyDescent="0.2">
      <c r="A174" s="8" t="s">
        <v>71</v>
      </c>
      <c r="B174" s="23">
        <f>SUMIFS('Registre de reserves'!$X$2:$X$1178,'Registre de reserves'!$T$2:$T$1178,"SI",'Registre de reserves'!$I$2:$I$1178,'2020'!$A174,'Registre de reserves'!$B$2:$B$1178,'2020'!B$2,Tabla1[ANY],'2020'!$Z$150)</f>
        <v>0</v>
      </c>
      <c r="C174" s="21">
        <f t="shared" si="179"/>
        <v>0</v>
      </c>
      <c r="D174" s="23">
        <f>SUMIFS('Registre de reserves'!$X$2:$X$1178,'Registre de reserves'!$T$2:$T$1178,"SI",'Registre de reserves'!$I$2:$I$1178,'2020'!$A174,'Registre de reserves'!$B$2:$B$1178,'2020'!D$2,Tabla1[ANY],'2020'!$Z$150)</f>
        <v>0</v>
      </c>
      <c r="E174" s="21">
        <f t="shared" si="179"/>
        <v>0</v>
      </c>
      <c r="F174" s="23">
        <f>SUMIFS('Registre de reserves'!$X$2:$X$1178,'Registre de reserves'!$T$2:$T$1178,"SI",'Registre de reserves'!$I$2:$I$1178,'2020'!$A174,'Registre de reserves'!$B$2:$B$1178,'2020'!F$2,Tabla1[ANY],'2020'!$Z$150)</f>
        <v>0</v>
      </c>
      <c r="G174" s="21">
        <f t="shared" si="169"/>
        <v>0</v>
      </c>
      <c r="H174" s="23">
        <f>SUMIFS('Registre de reserves'!$X$2:$X$1178,'Registre de reserves'!$T$2:$T$1178,"SI",'Registre de reserves'!$I$2:$I$1178,'2020'!$A174,'Registre de reserves'!$B$2:$B$1178,'2020'!H$2,Tabla1[ANY],'2020'!$Z$150)</f>
        <v>0</v>
      </c>
      <c r="I174" s="21">
        <f t="shared" si="170"/>
        <v>0</v>
      </c>
      <c r="J174" s="23">
        <f>SUMIFS('Registre de reserves'!$X$2:$X$1178,'Registre de reserves'!$T$2:$T$1178,"SI",'Registre de reserves'!$I$2:$I$1178,'2020'!$A174,'Registre de reserves'!$B$2:$B$1178,'2020'!J$2,Tabla1[ANY],'2020'!$Z$150)</f>
        <v>0</v>
      </c>
      <c r="K174" s="21">
        <f t="shared" si="171"/>
        <v>0</v>
      </c>
      <c r="L174" s="23">
        <f>SUMIFS('Registre de reserves'!$X$2:$X$1178,'Registre de reserves'!$T$2:$T$1178,"SI",'Registre de reserves'!$I$2:$I$1178,'2020'!$A174,'Registre de reserves'!$B$2:$B$1178,'2020'!L$2,Tabla1[ANY],'2020'!$Z$150)</f>
        <v>0</v>
      </c>
      <c r="M174" s="21">
        <f t="shared" si="172"/>
        <v>0</v>
      </c>
      <c r="N174" s="23">
        <f>SUMIFS('Registre de reserves'!$X$2:$X$1178,'Registre de reserves'!$T$2:$T$1178,"SI",'Registre de reserves'!$I$2:$I$1178,'2020'!$A174,'Registre de reserves'!$B$2:$B$1178,'2020'!N$2,Tabla1[ANY],'2020'!$Z$150)</f>
        <v>0</v>
      </c>
      <c r="O174" s="21">
        <f t="shared" si="173"/>
        <v>0</v>
      </c>
      <c r="P174" s="23">
        <f>SUMIFS('Registre de reserves'!$X$2:$X$1178,'Registre de reserves'!$T$2:$T$1178,"SI",'Registre de reserves'!$I$2:$I$1178,'2020'!$A174,'Registre de reserves'!$B$2:$B$1178,'2020'!P$2,Tabla1[ANY],'2020'!$Z$150)</f>
        <v>0</v>
      </c>
      <c r="Q174" s="21">
        <f t="shared" si="174"/>
        <v>0</v>
      </c>
      <c r="R174" s="23">
        <f>SUMIFS('Registre de reserves'!$X$2:$X$1178,'Registre de reserves'!$T$2:$T$1178,"SI",'Registre de reserves'!$I$2:$I$1178,'2020'!$A174,'Registre de reserves'!$B$2:$B$1178,'2020'!R$2,Tabla1[ANY],'2020'!$Z$150)</f>
        <v>0</v>
      </c>
      <c r="S174" s="21">
        <f t="shared" si="175"/>
        <v>0</v>
      </c>
      <c r="T174" s="23">
        <f>SUMIFS('Registre de reserves'!$X$2:$X$1178,'Registre de reserves'!$T$2:$T$1178,"SI",'Registre de reserves'!$I$2:$I$1178,'2020'!$A174,'Registre de reserves'!$B$2:$B$1178,'2020'!T$2,Tabla1[ANY],'2020'!$Z$150)</f>
        <v>0</v>
      </c>
      <c r="U174" s="21">
        <f t="shared" si="176"/>
        <v>0</v>
      </c>
      <c r="V174" s="23">
        <f>SUMIFS('Registre de reserves'!$X$2:$X$1178,'Registre de reserves'!$T$2:$T$1178,"SI",'Registre de reserves'!$I$2:$I$1178,'2020'!$A174,'Registre de reserves'!$B$2:$B$1178,'2020'!V$2,Tabla1[ANY],'2020'!$Z$150)</f>
        <v>0</v>
      </c>
      <c r="W174" s="21">
        <f t="shared" si="177"/>
        <v>0</v>
      </c>
      <c r="X174" s="23">
        <f>SUMIFS('Registre de reserves'!$X$2:$X$1178,'Registre de reserves'!$T$2:$T$1178,"SI",'Registre de reserves'!$I$2:$I$1178,'2020'!$A174,'Registre de reserves'!$B$2:$B$1178,'2020'!X$2,Tabla1[ANY],'2020'!$Z$150)</f>
        <v>0</v>
      </c>
      <c r="Y174" s="21">
        <f t="shared" si="178"/>
        <v>0</v>
      </c>
      <c r="Z174" s="20">
        <f t="shared" si="167"/>
        <v>0</v>
      </c>
      <c r="AA174" s="21">
        <f t="shared" si="180"/>
        <v>0</v>
      </c>
    </row>
    <row r="175" spans="1:27" hidden="1" outlineLevel="1" x14ac:dyDescent="0.2">
      <c r="A175" s="8" t="s">
        <v>72</v>
      </c>
      <c r="B175" s="23">
        <f>SUMIFS('Registre de reserves'!$X$2:$X$1178,'Registre de reserves'!$T$2:$T$1178,"SI",'Registre de reserves'!$I$2:$I$1178,'2020'!$A175,'Registre de reserves'!$B$2:$B$1178,'2020'!B$2,Tabla1[ANY],'2020'!$Z$150)</f>
        <v>0</v>
      </c>
      <c r="C175" s="21">
        <f t="shared" si="179"/>
        <v>0</v>
      </c>
      <c r="D175" s="23">
        <f>SUMIFS('Registre de reserves'!$X$2:$X$1178,'Registre de reserves'!$T$2:$T$1178,"SI",'Registre de reserves'!$I$2:$I$1178,'2020'!$A175,'Registre de reserves'!$B$2:$B$1178,'2020'!D$2,Tabla1[ANY],'2020'!$Z$150)</f>
        <v>0</v>
      </c>
      <c r="E175" s="21">
        <f t="shared" si="179"/>
        <v>0</v>
      </c>
      <c r="F175" s="23">
        <f>SUMIFS('Registre de reserves'!$X$2:$X$1178,'Registre de reserves'!$T$2:$T$1178,"SI",'Registre de reserves'!$I$2:$I$1178,'2020'!$A175,'Registre de reserves'!$B$2:$B$1178,'2020'!F$2,Tabla1[ANY],'2020'!$Z$150)</f>
        <v>0</v>
      </c>
      <c r="G175" s="21">
        <f t="shared" si="169"/>
        <v>0</v>
      </c>
      <c r="H175" s="23">
        <f>SUMIFS('Registre de reserves'!$X$2:$X$1178,'Registre de reserves'!$T$2:$T$1178,"SI",'Registre de reserves'!$I$2:$I$1178,'2020'!$A175,'Registre de reserves'!$B$2:$B$1178,'2020'!H$2,Tabla1[ANY],'2020'!$Z$150)</f>
        <v>0</v>
      </c>
      <c r="I175" s="21">
        <f t="shared" si="170"/>
        <v>0</v>
      </c>
      <c r="J175" s="23">
        <f>SUMIFS('Registre de reserves'!$X$2:$X$1178,'Registre de reserves'!$T$2:$T$1178,"SI",'Registre de reserves'!$I$2:$I$1178,'2020'!$A175,'Registre de reserves'!$B$2:$B$1178,'2020'!J$2,Tabla1[ANY],'2020'!$Z$150)</f>
        <v>0</v>
      </c>
      <c r="K175" s="21">
        <f t="shared" si="171"/>
        <v>0</v>
      </c>
      <c r="L175" s="23">
        <f>SUMIFS('Registre de reserves'!$X$2:$X$1178,'Registre de reserves'!$T$2:$T$1178,"SI",'Registre de reserves'!$I$2:$I$1178,'2020'!$A175,'Registre de reserves'!$B$2:$B$1178,'2020'!L$2,Tabla1[ANY],'2020'!$Z$150)</f>
        <v>0</v>
      </c>
      <c r="M175" s="21">
        <f t="shared" si="172"/>
        <v>0</v>
      </c>
      <c r="N175" s="23">
        <f>SUMIFS('Registre de reserves'!$X$2:$X$1178,'Registre de reserves'!$T$2:$T$1178,"SI",'Registre de reserves'!$I$2:$I$1178,'2020'!$A175,'Registre de reserves'!$B$2:$B$1178,'2020'!N$2,Tabla1[ANY],'2020'!$Z$150)</f>
        <v>0</v>
      </c>
      <c r="O175" s="21">
        <f t="shared" si="173"/>
        <v>0</v>
      </c>
      <c r="P175" s="23">
        <f>SUMIFS('Registre de reserves'!$X$2:$X$1178,'Registre de reserves'!$T$2:$T$1178,"SI",'Registre de reserves'!$I$2:$I$1178,'2020'!$A175,'Registre de reserves'!$B$2:$B$1178,'2020'!P$2,Tabla1[ANY],'2020'!$Z$150)</f>
        <v>0</v>
      </c>
      <c r="Q175" s="21">
        <f t="shared" si="174"/>
        <v>0</v>
      </c>
      <c r="R175" s="23">
        <f>SUMIFS('Registre de reserves'!$X$2:$X$1178,'Registre de reserves'!$T$2:$T$1178,"SI",'Registre de reserves'!$I$2:$I$1178,'2020'!$A175,'Registre de reserves'!$B$2:$B$1178,'2020'!R$2,Tabla1[ANY],'2020'!$Z$150)</f>
        <v>0</v>
      </c>
      <c r="S175" s="21">
        <f t="shared" si="175"/>
        <v>0</v>
      </c>
      <c r="T175" s="23">
        <f>SUMIFS('Registre de reserves'!$X$2:$X$1178,'Registre de reserves'!$T$2:$T$1178,"SI",'Registre de reserves'!$I$2:$I$1178,'2020'!$A175,'Registre de reserves'!$B$2:$B$1178,'2020'!T$2,Tabla1[ANY],'2020'!$Z$150)</f>
        <v>0</v>
      </c>
      <c r="U175" s="21">
        <f t="shared" si="176"/>
        <v>0</v>
      </c>
      <c r="V175" s="23">
        <f>SUMIFS('Registre de reserves'!$X$2:$X$1178,'Registre de reserves'!$T$2:$T$1178,"SI",'Registre de reserves'!$I$2:$I$1178,'2020'!$A175,'Registre de reserves'!$B$2:$B$1178,'2020'!V$2,Tabla1[ANY],'2020'!$Z$150)</f>
        <v>0</v>
      </c>
      <c r="W175" s="21">
        <f t="shared" si="177"/>
        <v>0</v>
      </c>
      <c r="X175" s="23">
        <f>SUMIFS('Registre de reserves'!$X$2:$X$1178,'Registre de reserves'!$T$2:$T$1178,"SI",'Registre de reserves'!$I$2:$I$1178,'2020'!$A175,'Registre de reserves'!$B$2:$B$1178,'2020'!X$2,Tabla1[ANY],'2020'!$Z$150)</f>
        <v>0</v>
      </c>
      <c r="Y175" s="21">
        <f t="shared" si="178"/>
        <v>0</v>
      </c>
      <c r="Z175" s="20">
        <f t="shared" si="167"/>
        <v>0</v>
      </c>
      <c r="AA175" s="21">
        <f t="shared" si="180"/>
        <v>0</v>
      </c>
    </row>
    <row r="176" spans="1:27" hidden="1" outlineLevel="1" x14ac:dyDescent="0.2">
      <c r="A176" s="8" t="s">
        <v>69</v>
      </c>
      <c r="B176" s="23">
        <f>SUMIFS('Registre de reserves'!$X$2:$X$1178,'Registre de reserves'!$T$2:$T$1178,"SI",'Registre de reserves'!$I$2:$I$1178,'2020'!$A176,'Registre de reserves'!$B$2:$B$1178,'2020'!B$2,Tabla1[ANY],'2020'!$Z$150)</f>
        <v>50</v>
      </c>
      <c r="C176" s="21">
        <f t="shared" si="179"/>
        <v>1</v>
      </c>
      <c r="D176" s="23">
        <f>SUMIFS('Registre de reserves'!$X$2:$X$1178,'Registre de reserves'!$T$2:$T$1178,"SI",'Registre de reserves'!$I$2:$I$1178,'2020'!$A176,'Registre de reserves'!$B$2:$B$1178,'2020'!D$2,Tabla1[ANY],'2020'!$Z$150)</f>
        <v>110</v>
      </c>
      <c r="E176" s="21">
        <f t="shared" si="179"/>
        <v>0.91666666666666663</v>
      </c>
      <c r="F176" s="23">
        <f>SUMIFS('Registre de reserves'!$X$2:$X$1178,'Registre de reserves'!$T$2:$T$1178,"SI",'Registre de reserves'!$I$2:$I$1178,'2020'!$A176,'Registre de reserves'!$B$2:$B$1178,'2020'!F$2,Tabla1[ANY],'2020'!$Z$150)</f>
        <v>50</v>
      </c>
      <c r="G176" s="21">
        <f t="shared" si="169"/>
        <v>0.7142857142857143</v>
      </c>
      <c r="H176" s="23">
        <f>SUMIFS('Registre de reserves'!$X$2:$X$1178,'Registre de reserves'!$T$2:$T$1178,"SI",'Registre de reserves'!$I$2:$I$1178,'2020'!$A176,'Registre de reserves'!$B$2:$B$1178,'2020'!H$2,Tabla1[ANY],'2020'!$Z$150)</f>
        <v>0</v>
      </c>
      <c r="I176" s="21">
        <f t="shared" si="170"/>
        <v>0</v>
      </c>
      <c r="J176" s="23">
        <f>SUMIFS('Registre de reserves'!$X$2:$X$1178,'Registre de reserves'!$T$2:$T$1178,"SI",'Registre de reserves'!$I$2:$I$1178,'2020'!$A176,'Registre de reserves'!$B$2:$B$1178,'2020'!J$2,Tabla1[ANY],'2020'!$Z$150)</f>
        <v>0</v>
      </c>
      <c r="K176" s="21">
        <f t="shared" si="171"/>
        <v>0</v>
      </c>
      <c r="L176" s="23">
        <f>SUMIFS('Registre de reserves'!$X$2:$X$1178,'Registre de reserves'!$T$2:$T$1178,"SI",'Registre de reserves'!$I$2:$I$1178,'2020'!$A176,'Registre de reserves'!$B$2:$B$1178,'2020'!L$2,Tabla1[ANY],'2020'!$Z$150)</f>
        <v>105</v>
      </c>
      <c r="M176" s="21">
        <f t="shared" si="172"/>
        <v>1</v>
      </c>
      <c r="N176" s="23">
        <f>SUMIFS('Registre de reserves'!$X$2:$X$1178,'Registre de reserves'!$T$2:$T$1178,"SI",'Registre de reserves'!$I$2:$I$1178,'2020'!$A176,'Registre de reserves'!$B$2:$B$1178,'2020'!N$2,Tabla1[ANY],'2020'!$Z$150)</f>
        <v>110</v>
      </c>
      <c r="O176" s="21">
        <f t="shared" si="173"/>
        <v>0.91666666666666663</v>
      </c>
      <c r="P176" s="23">
        <f>SUMIFS('Registre de reserves'!$X$2:$X$1178,'Registre de reserves'!$T$2:$T$1178,"SI",'Registre de reserves'!$I$2:$I$1178,'2020'!$A176,'Registre de reserves'!$B$2:$B$1178,'2020'!P$2,Tabla1[ANY],'2020'!$Z$150)</f>
        <v>165</v>
      </c>
      <c r="Q176" s="21">
        <f t="shared" si="174"/>
        <v>0.86842105263157898</v>
      </c>
      <c r="R176" s="23">
        <f>SUMIFS('Registre de reserves'!$X$2:$X$1178,'Registre de reserves'!$T$2:$T$1178,"SI",'Registre de reserves'!$I$2:$I$1178,'2020'!$A176,'Registre de reserves'!$B$2:$B$1178,'2020'!R$2,Tabla1[ANY],'2020'!$Z$150)</f>
        <v>10</v>
      </c>
      <c r="S176" s="21">
        <f t="shared" si="175"/>
        <v>1</v>
      </c>
      <c r="T176" s="23">
        <f>SUMIFS('Registre de reserves'!$X$2:$X$1178,'Registre de reserves'!$T$2:$T$1178,"SI",'Registre de reserves'!$I$2:$I$1178,'2020'!$A176,'Registre de reserves'!$B$2:$B$1178,'2020'!T$2,Tabla1[ANY],'2020'!$Z$150)</f>
        <v>0</v>
      </c>
      <c r="U176" s="21">
        <f t="shared" si="176"/>
        <v>0</v>
      </c>
      <c r="V176" s="23">
        <f>SUMIFS('Registre de reserves'!$X$2:$X$1178,'Registre de reserves'!$T$2:$T$1178,"SI",'Registre de reserves'!$I$2:$I$1178,'2020'!$A176,'Registre de reserves'!$B$2:$B$1178,'2020'!V$2,Tabla1[ANY],'2020'!$Z$150)</f>
        <v>0</v>
      </c>
      <c r="W176" s="21">
        <f t="shared" si="177"/>
        <v>0</v>
      </c>
      <c r="X176" s="23">
        <f>SUMIFS('Registre de reserves'!$X$2:$X$1178,'Registre de reserves'!$T$2:$T$1178,"SI",'Registre de reserves'!$I$2:$I$1178,'2020'!$A176,'Registre de reserves'!$B$2:$B$1178,'2020'!X$2,Tabla1[ANY],'2020'!$Z$150)</f>
        <v>0</v>
      </c>
      <c r="Y176" s="21">
        <f t="shared" si="178"/>
        <v>0</v>
      </c>
      <c r="Z176" s="20">
        <f t="shared" si="167"/>
        <v>600</v>
      </c>
      <c r="AA176" s="21">
        <f t="shared" si="180"/>
        <v>0.90225563909774431</v>
      </c>
    </row>
    <row r="177" spans="1:27" hidden="1" outlineLevel="1" x14ac:dyDescent="0.2">
      <c r="A177" s="8" t="s">
        <v>70</v>
      </c>
      <c r="B177" s="23">
        <f>SUMIFS('Registre de reserves'!$X$2:$X$1178,'Registre de reserves'!$T$2:$T$1178,"SI",'Registre de reserves'!$I$2:$I$1178,'2020'!$A177,'Registre de reserves'!$B$2:$B$1178,'2020'!B$2,Tabla1[ANY],'2020'!$Z$150)</f>
        <v>0</v>
      </c>
      <c r="C177" s="21">
        <f t="shared" si="179"/>
        <v>0</v>
      </c>
      <c r="D177" s="23">
        <f>SUMIFS('Registre de reserves'!$X$2:$X$1178,'Registre de reserves'!$T$2:$T$1178,"SI",'Registre de reserves'!$I$2:$I$1178,'2020'!$A177,'Registre de reserves'!$B$2:$B$1178,'2020'!D$2,Tabla1[ANY],'2020'!$Z$150)</f>
        <v>0</v>
      </c>
      <c r="E177" s="21">
        <f t="shared" si="179"/>
        <v>0</v>
      </c>
      <c r="F177" s="23">
        <f>SUMIFS('Registre de reserves'!$X$2:$X$1178,'Registre de reserves'!$T$2:$T$1178,"SI",'Registre de reserves'!$I$2:$I$1178,'2020'!$A177,'Registre de reserves'!$B$2:$B$1178,'2020'!F$2,Tabla1[ANY],'2020'!$Z$150)</f>
        <v>0</v>
      </c>
      <c r="G177" s="21">
        <f t="shared" si="169"/>
        <v>0</v>
      </c>
      <c r="H177" s="23">
        <f>SUMIFS('Registre de reserves'!$X$2:$X$1178,'Registre de reserves'!$T$2:$T$1178,"SI",'Registre de reserves'!$I$2:$I$1178,'2020'!$A177,'Registre de reserves'!$B$2:$B$1178,'2020'!H$2,Tabla1[ANY],'2020'!$Z$150)</f>
        <v>0</v>
      </c>
      <c r="I177" s="21">
        <f t="shared" si="170"/>
        <v>0</v>
      </c>
      <c r="J177" s="23">
        <f>SUMIFS('Registre de reserves'!$X$2:$X$1178,'Registre de reserves'!$T$2:$T$1178,"SI",'Registre de reserves'!$I$2:$I$1178,'2020'!$A177,'Registre de reserves'!$B$2:$B$1178,'2020'!J$2,Tabla1[ANY],'2020'!$Z$150)</f>
        <v>0</v>
      </c>
      <c r="K177" s="21">
        <f t="shared" si="171"/>
        <v>0</v>
      </c>
      <c r="L177" s="23">
        <f>SUMIFS('Registre de reserves'!$X$2:$X$1178,'Registre de reserves'!$T$2:$T$1178,"SI",'Registre de reserves'!$I$2:$I$1178,'2020'!$A177,'Registre de reserves'!$B$2:$B$1178,'2020'!L$2,Tabla1[ANY],'2020'!$Z$150)</f>
        <v>0</v>
      </c>
      <c r="M177" s="21">
        <f t="shared" si="172"/>
        <v>0</v>
      </c>
      <c r="N177" s="23">
        <f>SUMIFS('Registre de reserves'!$X$2:$X$1178,'Registre de reserves'!$T$2:$T$1178,"SI",'Registre de reserves'!$I$2:$I$1178,'2020'!$A177,'Registre de reserves'!$B$2:$B$1178,'2020'!N$2,Tabla1[ANY],'2020'!$Z$150)</f>
        <v>0</v>
      </c>
      <c r="O177" s="21">
        <f t="shared" si="173"/>
        <v>0</v>
      </c>
      <c r="P177" s="23">
        <f>SUMIFS('Registre de reserves'!$X$2:$X$1178,'Registre de reserves'!$T$2:$T$1178,"SI",'Registre de reserves'!$I$2:$I$1178,'2020'!$A177,'Registre de reserves'!$B$2:$B$1178,'2020'!P$2,Tabla1[ANY],'2020'!$Z$150)</f>
        <v>0</v>
      </c>
      <c r="Q177" s="21">
        <f t="shared" si="174"/>
        <v>0</v>
      </c>
      <c r="R177" s="23">
        <f>SUMIFS('Registre de reserves'!$X$2:$X$1178,'Registre de reserves'!$T$2:$T$1178,"SI",'Registre de reserves'!$I$2:$I$1178,'2020'!$A177,'Registre de reserves'!$B$2:$B$1178,'2020'!R$2,Tabla1[ANY],'2020'!$Z$150)</f>
        <v>0</v>
      </c>
      <c r="S177" s="21">
        <f t="shared" si="175"/>
        <v>0</v>
      </c>
      <c r="T177" s="23">
        <f>SUMIFS('Registre de reserves'!$X$2:$X$1178,'Registre de reserves'!$T$2:$T$1178,"SI",'Registre de reserves'!$I$2:$I$1178,'2020'!$A177,'Registre de reserves'!$B$2:$B$1178,'2020'!T$2,Tabla1[ANY],'2020'!$Z$150)</f>
        <v>0</v>
      </c>
      <c r="U177" s="21">
        <f t="shared" si="176"/>
        <v>0</v>
      </c>
      <c r="V177" s="23">
        <f>SUMIFS('Registre de reserves'!$X$2:$X$1178,'Registre de reserves'!$T$2:$T$1178,"SI",'Registre de reserves'!$I$2:$I$1178,'2020'!$A177,'Registre de reserves'!$B$2:$B$1178,'2020'!V$2,Tabla1[ANY],'2020'!$Z$150)</f>
        <v>0</v>
      </c>
      <c r="W177" s="21">
        <f t="shared" si="177"/>
        <v>0</v>
      </c>
      <c r="X177" s="23">
        <f>SUMIFS('Registre de reserves'!$X$2:$X$1178,'Registre de reserves'!$T$2:$T$1178,"SI",'Registre de reserves'!$I$2:$I$1178,'2020'!$A177,'Registre de reserves'!$B$2:$B$1178,'2020'!X$2,Tabla1[ANY],'2020'!$Z$150)</f>
        <v>0</v>
      </c>
      <c r="Y177" s="21">
        <f t="shared" si="178"/>
        <v>0</v>
      </c>
      <c r="Z177" s="20">
        <f t="shared" si="167"/>
        <v>0</v>
      </c>
      <c r="AA177" s="21">
        <f t="shared" si="180"/>
        <v>0</v>
      </c>
    </row>
    <row r="178" spans="1:27" hidden="1" outlineLevel="1" x14ac:dyDescent="0.2">
      <c r="A178" s="8" t="s">
        <v>73</v>
      </c>
      <c r="B178" s="23">
        <f>SUMIFS('Registre de reserves'!$X$2:$X$1178,'Registre de reserves'!$T$2:$T$1178,"SI",'Registre de reserves'!$I$2:$I$1178,'2020'!$A178,'Registre de reserves'!$B$2:$B$1178,'2020'!B$2,Tabla1[ANY],'2020'!$Z$150)</f>
        <v>0</v>
      </c>
      <c r="C178" s="21">
        <f t="shared" si="179"/>
        <v>0</v>
      </c>
      <c r="D178" s="23">
        <f>SUMIFS('Registre de reserves'!$X$2:$X$1178,'Registre de reserves'!$T$2:$T$1178,"SI",'Registre de reserves'!$I$2:$I$1178,'2020'!$A178,'Registre de reserves'!$B$2:$B$1178,'2020'!D$2,Tabla1[ANY],'2020'!$Z$150)</f>
        <v>0</v>
      </c>
      <c r="E178" s="21">
        <f t="shared" si="179"/>
        <v>0</v>
      </c>
      <c r="F178" s="23">
        <f>SUMIFS('Registre de reserves'!$X$2:$X$1178,'Registre de reserves'!$T$2:$T$1178,"SI",'Registre de reserves'!$I$2:$I$1178,'2020'!$A178,'Registre de reserves'!$B$2:$B$1178,'2020'!F$2,Tabla1[ANY],'2020'!$Z$150)</f>
        <v>0</v>
      </c>
      <c r="G178" s="21">
        <f t="shared" si="169"/>
        <v>0</v>
      </c>
      <c r="H178" s="23">
        <f>SUMIFS('Registre de reserves'!$X$2:$X$1178,'Registre de reserves'!$T$2:$T$1178,"SI",'Registre de reserves'!$I$2:$I$1178,'2020'!$A178,'Registre de reserves'!$B$2:$B$1178,'2020'!H$2,Tabla1[ANY],'2020'!$Z$150)</f>
        <v>0</v>
      </c>
      <c r="I178" s="21">
        <f t="shared" si="170"/>
        <v>0</v>
      </c>
      <c r="J178" s="23">
        <f>SUMIFS('Registre de reserves'!$X$2:$X$1178,'Registre de reserves'!$T$2:$T$1178,"SI",'Registre de reserves'!$I$2:$I$1178,'2020'!$A178,'Registre de reserves'!$B$2:$B$1178,'2020'!J$2,Tabla1[ANY],'2020'!$Z$150)</f>
        <v>0</v>
      </c>
      <c r="K178" s="21">
        <f t="shared" si="171"/>
        <v>0</v>
      </c>
      <c r="L178" s="23">
        <f>SUMIFS('Registre de reserves'!$X$2:$X$1178,'Registre de reserves'!$T$2:$T$1178,"SI",'Registre de reserves'!$I$2:$I$1178,'2020'!$A178,'Registre de reserves'!$B$2:$B$1178,'2020'!L$2,Tabla1[ANY],'2020'!$Z$150)</f>
        <v>0</v>
      </c>
      <c r="M178" s="21">
        <f t="shared" si="172"/>
        <v>0</v>
      </c>
      <c r="N178" s="23">
        <f>SUMIFS('Registre de reserves'!$X$2:$X$1178,'Registre de reserves'!$T$2:$T$1178,"SI",'Registre de reserves'!$I$2:$I$1178,'2020'!$A178,'Registre de reserves'!$B$2:$B$1178,'2020'!N$2,Tabla1[ANY],'2020'!$Z$150)</f>
        <v>0</v>
      </c>
      <c r="O178" s="21">
        <f t="shared" si="173"/>
        <v>0</v>
      </c>
      <c r="P178" s="23">
        <f>SUMIFS('Registre de reserves'!$X$2:$X$1178,'Registre de reserves'!$T$2:$T$1178,"SI",'Registre de reserves'!$I$2:$I$1178,'2020'!$A178,'Registre de reserves'!$B$2:$B$1178,'2020'!P$2,Tabla1[ANY],'2020'!$Z$150)</f>
        <v>0</v>
      </c>
      <c r="Q178" s="21">
        <f t="shared" si="174"/>
        <v>0</v>
      </c>
      <c r="R178" s="23">
        <f>SUMIFS('Registre de reserves'!$X$2:$X$1178,'Registre de reserves'!$T$2:$T$1178,"SI",'Registre de reserves'!$I$2:$I$1178,'2020'!$A178,'Registre de reserves'!$B$2:$B$1178,'2020'!R$2,Tabla1[ANY],'2020'!$Z$150)</f>
        <v>0</v>
      </c>
      <c r="S178" s="21">
        <f t="shared" si="175"/>
        <v>0</v>
      </c>
      <c r="T178" s="23">
        <f>SUMIFS('Registre de reserves'!$X$2:$X$1178,'Registre de reserves'!$T$2:$T$1178,"SI",'Registre de reserves'!$I$2:$I$1178,'2020'!$A178,'Registre de reserves'!$B$2:$B$1178,'2020'!T$2,Tabla1[ANY],'2020'!$Z$150)</f>
        <v>0</v>
      </c>
      <c r="U178" s="21">
        <f t="shared" si="176"/>
        <v>0</v>
      </c>
      <c r="V178" s="23">
        <f>SUMIFS('Registre de reserves'!$X$2:$X$1178,'Registre de reserves'!$T$2:$T$1178,"SI",'Registre de reserves'!$I$2:$I$1178,'2020'!$A178,'Registre de reserves'!$B$2:$B$1178,'2020'!V$2,Tabla1[ANY],'2020'!$Z$150)</f>
        <v>0</v>
      </c>
      <c r="W178" s="21">
        <f t="shared" si="177"/>
        <v>0</v>
      </c>
      <c r="X178" s="23">
        <f>SUMIFS('Registre de reserves'!$X$2:$X$1178,'Registre de reserves'!$T$2:$T$1178,"SI",'Registre de reserves'!$I$2:$I$1178,'2020'!$A178,'Registre de reserves'!$B$2:$B$1178,'2020'!X$2,Tabla1[ANY],'2020'!$Z$150)</f>
        <v>0</v>
      </c>
      <c r="Y178" s="21">
        <f t="shared" si="178"/>
        <v>0</v>
      </c>
      <c r="Z178" s="20">
        <f t="shared" si="167"/>
        <v>0</v>
      </c>
      <c r="AA178" s="21">
        <f t="shared" si="180"/>
        <v>0</v>
      </c>
    </row>
    <row r="179" spans="1:27" collapsed="1" x14ac:dyDescent="0.2">
      <c r="A179" s="33" t="s">
        <v>77</v>
      </c>
      <c r="B179" s="22">
        <f>SUM(B180:B187)</f>
        <v>0</v>
      </c>
      <c r="C179" s="19">
        <f>IF((B$161+B$179)=0,0,B179/(B$161+B$179))</f>
        <v>0</v>
      </c>
      <c r="D179" s="22">
        <f>SUM(D180:D187)</f>
        <v>0</v>
      </c>
      <c r="E179" s="19">
        <f>IF((D$161+D$179)=0,0,D179/(D$161+D$179))</f>
        <v>0</v>
      </c>
      <c r="F179" s="22">
        <f>SUM(F180:F187)</f>
        <v>0</v>
      </c>
      <c r="G179" s="19">
        <f>IF((F$161+F$179)=0,0,F179/(F$161+F$179))</f>
        <v>0</v>
      </c>
      <c r="H179" s="22">
        <f>SUM(H180:H187)</f>
        <v>0</v>
      </c>
      <c r="I179" s="19">
        <f>IF((H$161+H$179)=0,0,H179/(H$161+H$179))</f>
        <v>0</v>
      </c>
      <c r="J179" s="22">
        <f>SUM(J180:J187)</f>
        <v>0</v>
      </c>
      <c r="K179" s="19">
        <f>IF((J$161+J$179)=0,0,J179/(J$161+J$179))</f>
        <v>0</v>
      </c>
      <c r="L179" s="22">
        <f>SUM(L180:L187)</f>
        <v>0</v>
      </c>
      <c r="M179" s="19">
        <f>IF((L$161+L$179)=0,0,L179/(L$161+L$179))</f>
        <v>0</v>
      </c>
      <c r="N179" s="22">
        <f>SUM(N180:N187)</f>
        <v>0</v>
      </c>
      <c r="O179" s="19">
        <f>IF((N$161+N$179)=0,0,N179/(N$161+N$179))</f>
        <v>0</v>
      </c>
      <c r="P179" s="22">
        <f>SUM(P180:P187)</f>
        <v>0</v>
      </c>
      <c r="Q179" s="19">
        <f>IF((P$161+P$179)=0,0,P179/(P$161+P$179))</f>
        <v>0</v>
      </c>
      <c r="R179" s="22">
        <f>SUM(R180:R187)</f>
        <v>0</v>
      </c>
      <c r="S179" s="19">
        <f>IF((R$161+R$179)=0,0,R179/(R$161+R$179))</f>
        <v>0</v>
      </c>
      <c r="T179" s="22">
        <f>SUM(T180:T187)</f>
        <v>0</v>
      </c>
      <c r="U179" s="19">
        <f>IF((T$161+T$179)=0,0,T179/(T$161+T$179))</f>
        <v>0</v>
      </c>
      <c r="V179" s="22">
        <f>SUM(V180:V187)</f>
        <v>0</v>
      </c>
      <c r="W179" s="19">
        <f>IF((V$161+V$179)=0,0,V179/(V$161+V$179))</f>
        <v>0</v>
      </c>
      <c r="X179" s="22">
        <f>SUM(X180:X187)</f>
        <v>0</v>
      </c>
      <c r="Y179" s="19">
        <f>IF((X$161+X$179)=0,0,X179/(X$161+X$179))</f>
        <v>0</v>
      </c>
      <c r="Z179" s="22">
        <f>SUM(Z180:Z187)</f>
        <v>0</v>
      </c>
      <c r="AA179" s="19">
        <f>IF((Z$31+Z$13)=0,0,Z179/(Z$31+Z$13))</f>
        <v>0</v>
      </c>
    </row>
    <row r="180" spans="1:27" hidden="1" outlineLevel="1" x14ac:dyDescent="0.2">
      <c r="A180" s="8" t="s">
        <v>67</v>
      </c>
      <c r="B180" s="23">
        <f>SUMIFS('Registre de reserves'!$X$2:$X$1178,'Registre de reserves'!$T$2:$T$1178,"NO",'Registre de reserves'!$I$2:$I$1178,'2020'!$A180,'Registre de reserves'!$B$2:$B$1178,'2020'!B$2,Tabla1[ANY],'2020'!$Z$150)</f>
        <v>0</v>
      </c>
      <c r="C180" s="21">
        <f>IF(B$179=0,0,B180/B$179)</f>
        <v>0</v>
      </c>
      <c r="D180" s="23">
        <f>SUMIFS('Registre de reserves'!$X$2:$X$1178,'Registre de reserves'!$T$2:$T$1178,"NO",'Registre de reserves'!$I$2:$I$1178,'2020'!$A180,'Registre de reserves'!$B$2:$B$1178,'2020'!D$2,Tabla1[ANY],'2020'!$Z$150)</f>
        <v>0</v>
      </c>
      <c r="E180" s="21">
        <f>IF(D$179=0,0,D180/D$179)</f>
        <v>0</v>
      </c>
      <c r="F180" s="23">
        <f>SUMIFS('Registre de reserves'!$X$2:$X$1178,'Registre de reserves'!$T$2:$T$1178,"NO",'Registre de reserves'!$I$2:$I$1178,'2020'!$A180,'Registre de reserves'!$B$2:$B$1178,'2020'!F$2,Tabla1[ANY],'2020'!$Z$150)</f>
        <v>0</v>
      </c>
      <c r="G180" s="21">
        <f t="shared" ref="G180:G187" si="181">IF(F$179=0,0,F180/F$179)</f>
        <v>0</v>
      </c>
      <c r="H180" s="23">
        <f>SUMIFS('Registre de reserves'!$X$2:$X$1178,'Registre de reserves'!$T$2:$T$1178,"NO",'Registre de reserves'!$I$2:$I$1178,'2020'!$A180,'Registre de reserves'!$B$2:$B$1178,'2020'!H$2,Tabla1[ANY],'2020'!$Z$150)</f>
        <v>0</v>
      </c>
      <c r="I180" s="21">
        <f t="shared" ref="I180:I187" si="182">IF(H$179=0,0,H180/H$179)</f>
        <v>0</v>
      </c>
      <c r="J180" s="23">
        <f>SUMIFS('Registre de reserves'!$X$2:$X$1178,'Registre de reserves'!$T$2:$T$1178,"NO",'Registre de reserves'!$I$2:$I$1178,'2020'!$A180,'Registre de reserves'!$B$2:$B$1178,'2020'!J$2,Tabla1[ANY],'2020'!$Z$150)</f>
        <v>0</v>
      </c>
      <c r="K180" s="21">
        <f t="shared" ref="K180:K187" si="183">IF(J$179=0,0,J180/J$179)</f>
        <v>0</v>
      </c>
      <c r="L180" s="23">
        <f>SUMIFS('Registre de reserves'!$X$2:$X$1178,'Registre de reserves'!$T$2:$T$1178,"NO",'Registre de reserves'!$I$2:$I$1178,'2020'!$A180,'Registre de reserves'!$B$2:$B$1178,'2020'!L$2,Tabla1[ANY],'2020'!$Z$150)</f>
        <v>0</v>
      </c>
      <c r="M180" s="21">
        <f t="shared" ref="M180:M187" si="184">IF(L$179=0,0,L180/L$179)</f>
        <v>0</v>
      </c>
      <c r="N180" s="23">
        <f>SUMIFS('Registre de reserves'!$X$2:$X$1178,'Registre de reserves'!$T$2:$T$1178,"NO",'Registre de reserves'!$I$2:$I$1178,'2020'!$A180,'Registre de reserves'!$B$2:$B$1178,'2020'!N$2,Tabla1[ANY],'2020'!$Z$150)</f>
        <v>0</v>
      </c>
      <c r="O180" s="21">
        <f t="shared" ref="O180:O187" si="185">IF(N$179=0,0,N180/N$179)</f>
        <v>0</v>
      </c>
      <c r="P180" s="23">
        <f>SUMIFS('Registre de reserves'!$X$2:$X$1178,'Registre de reserves'!$T$2:$T$1178,"NO",'Registre de reserves'!$I$2:$I$1178,'2020'!$A180,'Registre de reserves'!$B$2:$B$1178,'2020'!P$2,Tabla1[ANY],'2020'!$Z$150)</f>
        <v>0</v>
      </c>
      <c r="Q180" s="21">
        <f t="shared" ref="Q180:Q187" si="186">IF(P$179=0,0,P180/P$179)</f>
        <v>0</v>
      </c>
      <c r="R180" s="23">
        <f>SUMIFS('Registre de reserves'!$X$2:$X$1178,'Registre de reserves'!$T$2:$T$1178,"NO",'Registre de reserves'!$I$2:$I$1178,'2020'!$A180,'Registre de reserves'!$B$2:$B$1178,'2020'!R$2,Tabla1[ANY],'2020'!$Z$150)</f>
        <v>0</v>
      </c>
      <c r="S180" s="21">
        <f t="shared" ref="S180:S187" si="187">IF(R$179=0,0,R180/R$179)</f>
        <v>0</v>
      </c>
      <c r="T180" s="23">
        <f>SUMIFS('Registre de reserves'!$X$2:$X$1178,'Registre de reserves'!$T$2:$T$1178,"NO",'Registre de reserves'!$I$2:$I$1178,'2020'!$A180,'Registre de reserves'!$B$2:$B$1178,'2020'!T$2,Tabla1[ANY],'2020'!$Z$150)</f>
        <v>0</v>
      </c>
      <c r="U180" s="21">
        <f t="shared" ref="U180:U187" si="188">IF(T$179=0,0,T180/T$179)</f>
        <v>0</v>
      </c>
      <c r="V180" s="23">
        <f>SUMIFS('Registre de reserves'!$X$2:$X$1178,'Registre de reserves'!$T$2:$T$1178,"NO",'Registre de reserves'!$I$2:$I$1178,'2020'!$A180,'Registre de reserves'!$B$2:$B$1178,'2020'!V$2,Tabla1[ANY],'2020'!$Z$150)</f>
        <v>0</v>
      </c>
      <c r="W180" s="21">
        <f t="shared" ref="W180:W187" si="189">IF(V$179=0,0,V180/V$179)</f>
        <v>0</v>
      </c>
      <c r="X180" s="23">
        <f>SUMIFS('Registre de reserves'!$X$2:$X$1178,'Registre de reserves'!$T$2:$T$1178,"NO",'Registre de reserves'!$I$2:$I$1178,'2020'!$A180,'Registre de reserves'!$B$2:$B$1178,'2020'!X$2,Tabla1[ANY],'2020'!$Z$150)</f>
        <v>0</v>
      </c>
      <c r="Y180" s="21">
        <f t="shared" ref="Y180:Y187" si="190">IF(X$179=0,0,X180/X$179)</f>
        <v>0</v>
      </c>
      <c r="Z180" s="20">
        <f t="shared" si="167"/>
        <v>0</v>
      </c>
      <c r="AA180" s="21">
        <f>IF(Z$31=0,0,Z180/Z$31)</f>
        <v>0</v>
      </c>
    </row>
    <row r="181" spans="1:27" hidden="1" outlineLevel="1" x14ac:dyDescent="0.2">
      <c r="A181" s="8" t="s">
        <v>68</v>
      </c>
      <c r="B181" s="23">
        <f>SUMIFS('Registre de reserves'!$X$2:$X$1178,'Registre de reserves'!$T$2:$T$1178,"NO",'Registre de reserves'!$I$2:$I$1178,'2020'!$A181,'Registre de reserves'!$B$2:$B$1178,'2020'!B$2,Tabla1[ANY],'2020'!$Z$150)</f>
        <v>0</v>
      </c>
      <c r="C181" s="21">
        <f t="shared" ref="C181:E187" si="191">IF(B$179=0,0,B181/B$179)</f>
        <v>0</v>
      </c>
      <c r="D181" s="23">
        <f>SUMIFS('Registre de reserves'!$X$2:$X$1178,'Registre de reserves'!$T$2:$T$1178,"NO",'Registre de reserves'!$I$2:$I$1178,'2020'!$A181,'Registre de reserves'!$B$2:$B$1178,'2020'!D$2,Tabla1[ANY],'2020'!$Z$150)</f>
        <v>0</v>
      </c>
      <c r="E181" s="21">
        <f t="shared" si="191"/>
        <v>0</v>
      </c>
      <c r="F181" s="23">
        <f>SUMIFS('Registre de reserves'!$X$2:$X$1178,'Registre de reserves'!$T$2:$T$1178,"NO",'Registre de reserves'!$I$2:$I$1178,'2020'!$A181,'Registre de reserves'!$B$2:$B$1178,'2020'!F$2,Tabla1[ANY],'2020'!$Z$150)</f>
        <v>0</v>
      </c>
      <c r="G181" s="21">
        <f t="shared" si="181"/>
        <v>0</v>
      </c>
      <c r="H181" s="23">
        <f>SUMIFS('Registre de reserves'!$X$2:$X$1178,'Registre de reserves'!$T$2:$T$1178,"NO",'Registre de reserves'!$I$2:$I$1178,'2020'!$A181,'Registre de reserves'!$B$2:$B$1178,'2020'!H$2,Tabla1[ANY],'2020'!$Z$150)</f>
        <v>0</v>
      </c>
      <c r="I181" s="21">
        <f t="shared" si="182"/>
        <v>0</v>
      </c>
      <c r="J181" s="23">
        <f>SUMIFS('Registre de reserves'!$X$2:$X$1178,'Registre de reserves'!$T$2:$T$1178,"NO",'Registre de reserves'!$I$2:$I$1178,'2020'!$A181,'Registre de reserves'!$B$2:$B$1178,'2020'!J$2,Tabla1[ANY],'2020'!$Z$150)</f>
        <v>0</v>
      </c>
      <c r="K181" s="21">
        <f t="shared" si="183"/>
        <v>0</v>
      </c>
      <c r="L181" s="23">
        <f>SUMIFS('Registre de reserves'!$X$2:$X$1178,'Registre de reserves'!$T$2:$T$1178,"NO",'Registre de reserves'!$I$2:$I$1178,'2020'!$A181,'Registre de reserves'!$B$2:$B$1178,'2020'!L$2,Tabla1[ANY],'2020'!$Z$150)</f>
        <v>0</v>
      </c>
      <c r="M181" s="21">
        <f t="shared" si="184"/>
        <v>0</v>
      </c>
      <c r="N181" s="23">
        <f>SUMIFS('Registre de reserves'!$X$2:$X$1178,'Registre de reserves'!$T$2:$T$1178,"NO",'Registre de reserves'!$I$2:$I$1178,'2020'!$A181,'Registre de reserves'!$B$2:$B$1178,'2020'!N$2,Tabla1[ANY],'2020'!$Z$150)</f>
        <v>0</v>
      </c>
      <c r="O181" s="21">
        <f t="shared" si="185"/>
        <v>0</v>
      </c>
      <c r="P181" s="23">
        <f>SUMIFS('Registre de reserves'!$X$2:$X$1178,'Registre de reserves'!$T$2:$T$1178,"NO",'Registre de reserves'!$I$2:$I$1178,'2020'!$A181,'Registre de reserves'!$B$2:$B$1178,'2020'!P$2,Tabla1[ANY],'2020'!$Z$150)</f>
        <v>0</v>
      </c>
      <c r="Q181" s="21">
        <f t="shared" si="186"/>
        <v>0</v>
      </c>
      <c r="R181" s="23">
        <f>SUMIFS('Registre de reserves'!$X$2:$X$1178,'Registre de reserves'!$T$2:$T$1178,"NO",'Registre de reserves'!$I$2:$I$1178,'2020'!$A181,'Registre de reserves'!$B$2:$B$1178,'2020'!R$2,Tabla1[ANY],'2020'!$Z$150)</f>
        <v>0</v>
      </c>
      <c r="S181" s="21">
        <f t="shared" si="187"/>
        <v>0</v>
      </c>
      <c r="T181" s="23">
        <f>SUMIFS('Registre de reserves'!$X$2:$X$1178,'Registre de reserves'!$T$2:$T$1178,"NO",'Registre de reserves'!$I$2:$I$1178,'2020'!$A181,'Registre de reserves'!$B$2:$B$1178,'2020'!T$2,Tabla1[ANY],'2020'!$Z$150)</f>
        <v>0</v>
      </c>
      <c r="U181" s="21">
        <f t="shared" si="188"/>
        <v>0</v>
      </c>
      <c r="V181" s="23">
        <f>SUMIFS('Registre de reserves'!$X$2:$X$1178,'Registre de reserves'!$T$2:$T$1178,"NO",'Registre de reserves'!$I$2:$I$1178,'2020'!$A181,'Registre de reserves'!$B$2:$B$1178,'2020'!V$2,Tabla1[ANY],'2020'!$Z$150)</f>
        <v>0</v>
      </c>
      <c r="W181" s="21">
        <f t="shared" si="189"/>
        <v>0</v>
      </c>
      <c r="X181" s="23">
        <f>SUMIFS('Registre de reserves'!$X$2:$X$1178,'Registre de reserves'!$T$2:$T$1178,"NO",'Registre de reserves'!$I$2:$I$1178,'2020'!$A181,'Registre de reserves'!$B$2:$B$1178,'2020'!X$2,Tabla1[ANY],'2020'!$Z$150)</f>
        <v>0</v>
      </c>
      <c r="Y181" s="21">
        <f t="shared" si="190"/>
        <v>0</v>
      </c>
      <c r="Z181" s="20">
        <f t="shared" si="167"/>
        <v>0</v>
      </c>
      <c r="AA181" s="21">
        <f t="shared" ref="AA181:AA187" si="192">IF(Z$31=0,0,Z181/Z$31)</f>
        <v>0</v>
      </c>
    </row>
    <row r="182" spans="1:27" hidden="1" outlineLevel="1" x14ac:dyDescent="0.2">
      <c r="A182" s="8" t="s">
        <v>4</v>
      </c>
      <c r="B182" s="23">
        <f>SUMIFS('Registre de reserves'!$X$2:$X$1178,'Registre de reserves'!$T$2:$T$1178,"NO",'Registre de reserves'!$I$2:$I$1178,'2020'!$A182,'Registre de reserves'!$B$2:$B$1178,'2020'!B$2,Tabla1[ANY],'2020'!$Z$150)</f>
        <v>0</v>
      </c>
      <c r="C182" s="21">
        <f t="shared" si="191"/>
        <v>0</v>
      </c>
      <c r="D182" s="23">
        <f>SUMIFS('Registre de reserves'!$X$2:$X$1178,'Registre de reserves'!$T$2:$T$1178,"NO",'Registre de reserves'!$I$2:$I$1178,'2020'!$A182,'Registre de reserves'!$B$2:$B$1178,'2020'!D$2,Tabla1[ANY],'2020'!$Z$150)</f>
        <v>0</v>
      </c>
      <c r="E182" s="21">
        <f t="shared" si="191"/>
        <v>0</v>
      </c>
      <c r="F182" s="23">
        <f>SUMIFS('Registre de reserves'!$X$2:$X$1178,'Registre de reserves'!$T$2:$T$1178,"NO",'Registre de reserves'!$I$2:$I$1178,'2020'!$A182,'Registre de reserves'!$B$2:$B$1178,'2020'!F$2,Tabla1[ANY],'2020'!$Z$150)</f>
        <v>0</v>
      </c>
      <c r="G182" s="21">
        <f t="shared" si="181"/>
        <v>0</v>
      </c>
      <c r="H182" s="23">
        <f>SUMIFS('Registre de reserves'!$X$2:$X$1178,'Registre de reserves'!$T$2:$T$1178,"NO",'Registre de reserves'!$I$2:$I$1178,'2020'!$A182,'Registre de reserves'!$B$2:$B$1178,'2020'!H$2,Tabla1[ANY],'2020'!$Z$150)</f>
        <v>0</v>
      </c>
      <c r="I182" s="21">
        <f t="shared" si="182"/>
        <v>0</v>
      </c>
      <c r="J182" s="23">
        <f>SUMIFS('Registre de reserves'!$X$2:$X$1178,'Registre de reserves'!$T$2:$T$1178,"NO",'Registre de reserves'!$I$2:$I$1178,'2020'!$A182,'Registre de reserves'!$B$2:$B$1178,'2020'!J$2,Tabla1[ANY],'2020'!$Z$150)</f>
        <v>0</v>
      </c>
      <c r="K182" s="21">
        <f t="shared" si="183"/>
        <v>0</v>
      </c>
      <c r="L182" s="23">
        <f>SUMIFS('Registre de reserves'!$X$2:$X$1178,'Registre de reserves'!$T$2:$T$1178,"NO",'Registre de reserves'!$I$2:$I$1178,'2020'!$A182,'Registre de reserves'!$B$2:$B$1178,'2020'!L$2,Tabla1[ANY],'2020'!$Z$150)</f>
        <v>0</v>
      </c>
      <c r="M182" s="21">
        <f t="shared" si="184"/>
        <v>0</v>
      </c>
      <c r="N182" s="23">
        <f>SUMIFS('Registre de reserves'!$X$2:$X$1178,'Registre de reserves'!$T$2:$T$1178,"NO",'Registre de reserves'!$I$2:$I$1178,'2020'!$A182,'Registre de reserves'!$B$2:$B$1178,'2020'!N$2,Tabla1[ANY],'2020'!$Z$150)</f>
        <v>0</v>
      </c>
      <c r="O182" s="21">
        <f t="shared" si="185"/>
        <v>0</v>
      </c>
      <c r="P182" s="23">
        <f>SUMIFS('Registre de reserves'!$X$2:$X$1178,'Registre de reserves'!$T$2:$T$1178,"NO",'Registre de reserves'!$I$2:$I$1178,'2020'!$A182,'Registre de reserves'!$B$2:$B$1178,'2020'!P$2,Tabla1[ANY],'2020'!$Z$150)</f>
        <v>0</v>
      </c>
      <c r="Q182" s="21">
        <f t="shared" si="186"/>
        <v>0</v>
      </c>
      <c r="R182" s="23">
        <f>SUMIFS('Registre de reserves'!$X$2:$X$1178,'Registre de reserves'!$T$2:$T$1178,"NO",'Registre de reserves'!$I$2:$I$1178,'2020'!$A182,'Registre de reserves'!$B$2:$B$1178,'2020'!R$2,Tabla1[ANY],'2020'!$Z$150)</f>
        <v>0</v>
      </c>
      <c r="S182" s="21">
        <f t="shared" si="187"/>
        <v>0</v>
      </c>
      <c r="T182" s="23">
        <f>SUMIFS('Registre de reserves'!$X$2:$X$1178,'Registre de reserves'!$T$2:$T$1178,"NO",'Registre de reserves'!$I$2:$I$1178,'2020'!$A182,'Registre de reserves'!$B$2:$B$1178,'2020'!T$2,Tabla1[ANY],'2020'!$Z$150)</f>
        <v>0</v>
      </c>
      <c r="U182" s="21">
        <f t="shared" si="188"/>
        <v>0</v>
      </c>
      <c r="V182" s="23">
        <f>SUMIFS('Registre de reserves'!$X$2:$X$1178,'Registre de reserves'!$T$2:$T$1178,"NO",'Registre de reserves'!$I$2:$I$1178,'2020'!$A182,'Registre de reserves'!$B$2:$B$1178,'2020'!V$2,Tabla1[ANY],'2020'!$Z$150)</f>
        <v>0</v>
      </c>
      <c r="W182" s="21">
        <f t="shared" si="189"/>
        <v>0</v>
      </c>
      <c r="X182" s="23">
        <f>SUMIFS('Registre de reserves'!$X$2:$X$1178,'Registre de reserves'!$T$2:$T$1178,"NO",'Registre de reserves'!$I$2:$I$1178,'2020'!$A182,'Registre de reserves'!$B$2:$B$1178,'2020'!X$2,Tabla1[ANY],'2020'!$Z$150)</f>
        <v>0</v>
      </c>
      <c r="Y182" s="21">
        <f t="shared" si="190"/>
        <v>0</v>
      </c>
      <c r="Z182" s="20">
        <f t="shared" si="167"/>
        <v>0</v>
      </c>
      <c r="AA182" s="21">
        <f t="shared" si="192"/>
        <v>0</v>
      </c>
    </row>
    <row r="183" spans="1:27" hidden="1" outlineLevel="1" x14ac:dyDescent="0.2">
      <c r="A183" s="8" t="s">
        <v>71</v>
      </c>
      <c r="B183" s="23">
        <f>SUMIFS('Registre de reserves'!$X$2:$X$1178,'Registre de reserves'!$T$2:$T$1178,"NO",'Registre de reserves'!$I$2:$I$1178,'2020'!$A183,'Registre de reserves'!$B$2:$B$1178,'2020'!B$2,Tabla1[ANY],'2020'!$Z$150)</f>
        <v>0</v>
      </c>
      <c r="C183" s="21">
        <f t="shared" si="191"/>
        <v>0</v>
      </c>
      <c r="D183" s="23">
        <f>SUMIFS('Registre de reserves'!$X$2:$X$1178,'Registre de reserves'!$T$2:$T$1178,"NO",'Registre de reserves'!$I$2:$I$1178,'2020'!$A183,'Registre de reserves'!$B$2:$B$1178,'2020'!D$2,Tabla1[ANY],'2020'!$Z$150)</f>
        <v>0</v>
      </c>
      <c r="E183" s="21">
        <f t="shared" si="191"/>
        <v>0</v>
      </c>
      <c r="F183" s="23">
        <f>SUMIFS('Registre de reserves'!$X$2:$X$1178,'Registre de reserves'!$T$2:$T$1178,"NO",'Registre de reserves'!$I$2:$I$1178,'2020'!$A183,'Registre de reserves'!$B$2:$B$1178,'2020'!F$2,Tabla1[ANY],'2020'!$Z$150)</f>
        <v>0</v>
      </c>
      <c r="G183" s="21">
        <f t="shared" si="181"/>
        <v>0</v>
      </c>
      <c r="H183" s="23">
        <f>SUMIFS('Registre de reserves'!$X$2:$X$1178,'Registre de reserves'!$T$2:$T$1178,"NO",'Registre de reserves'!$I$2:$I$1178,'2020'!$A183,'Registre de reserves'!$B$2:$B$1178,'2020'!H$2,Tabla1[ANY],'2020'!$Z$150)</f>
        <v>0</v>
      </c>
      <c r="I183" s="21">
        <f t="shared" si="182"/>
        <v>0</v>
      </c>
      <c r="J183" s="23">
        <f>SUMIFS('Registre de reserves'!$X$2:$X$1178,'Registre de reserves'!$T$2:$T$1178,"NO",'Registre de reserves'!$I$2:$I$1178,'2020'!$A183,'Registre de reserves'!$B$2:$B$1178,'2020'!J$2,Tabla1[ANY],'2020'!$Z$150)</f>
        <v>0</v>
      </c>
      <c r="K183" s="21">
        <f t="shared" si="183"/>
        <v>0</v>
      </c>
      <c r="L183" s="23">
        <f>SUMIFS('Registre de reserves'!$X$2:$X$1178,'Registre de reserves'!$T$2:$T$1178,"NO",'Registre de reserves'!$I$2:$I$1178,'2020'!$A183,'Registre de reserves'!$B$2:$B$1178,'2020'!L$2,Tabla1[ANY],'2020'!$Z$150)</f>
        <v>0</v>
      </c>
      <c r="M183" s="21">
        <f t="shared" si="184"/>
        <v>0</v>
      </c>
      <c r="N183" s="23">
        <f>SUMIFS('Registre de reserves'!$X$2:$X$1178,'Registre de reserves'!$T$2:$T$1178,"NO",'Registre de reserves'!$I$2:$I$1178,'2020'!$A183,'Registre de reserves'!$B$2:$B$1178,'2020'!N$2,Tabla1[ANY],'2020'!$Z$150)</f>
        <v>0</v>
      </c>
      <c r="O183" s="21">
        <f t="shared" si="185"/>
        <v>0</v>
      </c>
      <c r="P183" s="23">
        <f>SUMIFS('Registre de reserves'!$X$2:$X$1178,'Registre de reserves'!$T$2:$T$1178,"NO",'Registre de reserves'!$I$2:$I$1178,'2020'!$A183,'Registre de reserves'!$B$2:$B$1178,'2020'!P$2,Tabla1[ANY],'2020'!$Z$150)</f>
        <v>0</v>
      </c>
      <c r="Q183" s="21">
        <f t="shared" si="186"/>
        <v>0</v>
      </c>
      <c r="R183" s="23">
        <f>SUMIFS('Registre de reserves'!$X$2:$X$1178,'Registre de reserves'!$T$2:$T$1178,"NO",'Registre de reserves'!$I$2:$I$1178,'2020'!$A183,'Registre de reserves'!$B$2:$B$1178,'2020'!R$2,Tabla1[ANY],'2020'!$Z$150)</f>
        <v>0</v>
      </c>
      <c r="S183" s="21">
        <f t="shared" si="187"/>
        <v>0</v>
      </c>
      <c r="T183" s="23">
        <f>SUMIFS('Registre de reserves'!$X$2:$X$1178,'Registre de reserves'!$T$2:$T$1178,"NO",'Registre de reserves'!$I$2:$I$1178,'2020'!$A183,'Registre de reserves'!$B$2:$B$1178,'2020'!T$2,Tabla1[ANY],'2020'!$Z$150)</f>
        <v>0</v>
      </c>
      <c r="U183" s="21">
        <f t="shared" si="188"/>
        <v>0</v>
      </c>
      <c r="V183" s="23">
        <f>SUMIFS('Registre de reserves'!$X$2:$X$1178,'Registre de reserves'!$T$2:$T$1178,"NO",'Registre de reserves'!$I$2:$I$1178,'2020'!$A183,'Registre de reserves'!$B$2:$B$1178,'2020'!V$2,Tabla1[ANY],'2020'!$Z$150)</f>
        <v>0</v>
      </c>
      <c r="W183" s="21">
        <f t="shared" si="189"/>
        <v>0</v>
      </c>
      <c r="X183" s="23">
        <f>SUMIFS('Registre de reserves'!$X$2:$X$1178,'Registre de reserves'!$T$2:$T$1178,"NO",'Registre de reserves'!$I$2:$I$1178,'2020'!$A183,'Registre de reserves'!$B$2:$B$1178,'2020'!X$2,Tabla1[ANY],'2020'!$Z$150)</f>
        <v>0</v>
      </c>
      <c r="Y183" s="21">
        <f t="shared" si="190"/>
        <v>0</v>
      </c>
      <c r="Z183" s="20">
        <f t="shared" si="167"/>
        <v>0</v>
      </c>
      <c r="AA183" s="21">
        <f t="shared" si="192"/>
        <v>0</v>
      </c>
    </row>
    <row r="184" spans="1:27" hidden="1" outlineLevel="1" x14ac:dyDescent="0.2">
      <c r="A184" s="8" t="s">
        <v>72</v>
      </c>
      <c r="B184" s="23">
        <f>SUMIFS('Registre de reserves'!$X$2:$X$1178,'Registre de reserves'!$T$2:$T$1178,"NO",'Registre de reserves'!$I$2:$I$1178,'2020'!$A184,'Registre de reserves'!$B$2:$B$1178,'2020'!B$2,Tabla1[ANY],'2020'!$Z$150)</f>
        <v>0</v>
      </c>
      <c r="C184" s="21">
        <f t="shared" si="191"/>
        <v>0</v>
      </c>
      <c r="D184" s="23">
        <f>SUMIFS('Registre de reserves'!$X$2:$X$1178,'Registre de reserves'!$T$2:$T$1178,"NO",'Registre de reserves'!$I$2:$I$1178,'2020'!$A184,'Registre de reserves'!$B$2:$B$1178,'2020'!D$2,Tabla1[ANY],'2020'!$Z$150)</f>
        <v>0</v>
      </c>
      <c r="E184" s="21">
        <f t="shared" si="191"/>
        <v>0</v>
      </c>
      <c r="F184" s="23">
        <f>SUMIFS('Registre de reserves'!$X$2:$X$1178,'Registre de reserves'!$T$2:$T$1178,"NO",'Registre de reserves'!$I$2:$I$1178,'2020'!$A184,'Registre de reserves'!$B$2:$B$1178,'2020'!F$2,Tabla1[ANY],'2020'!$Z$150)</f>
        <v>0</v>
      </c>
      <c r="G184" s="21">
        <f t="shared" si="181"/>
        <v>0</v>
      </c>
      <c r="H184" s="23">
        <f>SUMIFS('Registre de reserves'!$X$2:$X$1178,'Registre de reserves'!$T$2:$T$1178,"NO",'Registre de reserves'!$I$2:$I$1178,'2020'!$A184,'Registre de reserves'!$B$2:$B$1178,'2020'!H$2,Tabla1[ANY],'2020'!$Z$150)</f>
        <v>0</v>
      </c>
      <c r="I184" s="21">
        <f t="shared" si="182"/>
        <v>0</v>
      </c>
      <c r="J184" s="23">
        <f>SUMIFS('Registre de reserves'!$X$2:$X$1178,'Registre de reserves'!$T$2:$T$1178,"NO",'Registre de reserves'!$I$2:$I$1178,'2020'!$A184,'Registre de reserves'!$B$2:$B$1178,'2020'!J$2,Tabla1[ANY],'2020'!$Z$150)</f>
        <v>0</v>
      </c>
      <c r="K184" s="21">
        <f t="shared" si="183"/>
        <v>0</v>
      </c>
      <c r="L184" s="23">
        <f>SUMIFS('Registre de reserves'!$X$2:$X$1178,'Registre de reserves'!$T$2:$T$1178,"NO",'Registre de reserves'!$I$2:$I$1178,'2020'!$A184,'Registre de reserves'!$B$2:$B$1178,'2020'!L$2,Tabla1[ANY],'2020'!$Z$150)</f>
        <v>0</v>
      </c>
      <c r="M184" s="21">
        <f t="shared" si="184"/>
        <v>0</v>
      </c>
      <c r="N184" s="23">
        <f>SUMIFS('Registre de reserves'!$X$2:$X$1178,'Registre de reserves'!$T$2:$T$1178,"NO",'Registre de reserves'!$I$2:$I$1178,'2020'!$A184,'Registre de reserves'!$B$2:$B$1178,'2020'!N$2,Tabla1[ANY],'2020'!$Z$150)</f>
        <v>0</v>
      </c>
      <c r="O184" s="21">
        <f t="shared" si="185"/>
        <v>0</v>
      </c>
      <c r="P184" s="23">
        <f>SUMIFS('Registre de reserves'!$X$2:$X$1178,'Registre de reserves'!$T$2:$T$1178,"NO",'Registre de reserves'!$I$2:$I$1178,'2020'!$A184,'Registre de reserves'!$B$2:$B$1178,'2020'!P$2,Tabla1[ANY],'2020'!$Z$150)</f>
        <v>0</v>
      </c>
      <c r="Q184" s="21">
        <f t="shared" si="186"/>
        <v>0</v>
      </c>
      <c r="R184" s="23">
        <f>SUMIFS('Registre de reserves'!$X$2:$X$1178,'Registre de reserves'!$T$2:$T$1178,"NO",'Registre de reserves'!$I$2:$I$1178,'2020'!$A184,'Registre de reserves'!$B$2:$B$1178,'2020'!R$2,Tabla1[ANY],'2020'!$Z$150)</f>
        <v>0</v>
      </c>
      <c r="S184" s="21">
        <f t="shared" si="187"/>
        <v>0</v>
      </c>
      <c r="T184" s="23">
        <f>SUMIFS('Registre de reserves'!$X$2:$X$1178,'Registre de reserves'!$T$2:$T$1178,"NO",'Registre de reserves'!$I$2:$I$1178,'2020'!$A184,'Registre de reserves'!$B$2:$B$1178,'2020'!T$2,Tabla1[ANY],'2020'!$Z$150)</f>
        <v>0</v>
      </c>
      <c r="U184" s="21">
        <f t="shared" si="188"/>
        <v>0</v>
      </c>
      <c r="V184" s="23">
        <f>SUMIFS('Registre de reserves'!$X$2:$X$1178,'Registre de reserves'!$T$2:$T$1178,"NO",'Registre de reserves'!$I$2:$I$1178,'2020'!$A184,'Registre de reserves'!$B$2:$B$1178,'2020'!V$2,Tabla1[ANY],'2020'!$Z$150)</f>
        <v>0</v>
      </c>
      <c r="W184" s="21">
        <f t="shared" si="189"/>
        <v>0</v>
      </c>
      <c r="X184" s="23">
        <f>SUMIFS('Registre de reserves'!$X$2:$X$1178,'Registre de reserves'!$T$2:$T$1178,"NO",'Registre de reserves'!$I$2:$I$1178,'2020'!$A184,'Registre de reserves'!$B$2:$B$1178,'2020'!X$2,Tabla1[ANY],'2020'!$Z$150)</f>
        <v>0</v>
      </c>
      <c r="Y184" s="21">
        <f t="shared" si="190"/>
        <v>0</v>
      </c>
      <c r="Z184" s="20">
        <f t="shared" si="167"/>
        <v>0</v>
      </c>
      <c r="AA184" s="21">
        <f t="shared" si="192"/>
        <v>0</v>
      </c>
    </row>
    <row r="185" spans="1:27" hidden="1" outlineLevel="1" x14ac:dyDescent="0.2">
      <c r="A185" s="8" t="s">
        <v>69</v>
      </c>
      <c r="B185" s="23">
        <f>SUMIFS('Registre de reserves'!$X$2:$X$1178,'Registre de reserves'!$T$2:$T$1178,"NO",'Registre de reserves'!$I$2:$I$1178,'2020'!$A185,'Registre de reserves'!$B$2:$B$1178,'2020'!B$2,Tabla1[ANY],'2020'!$Z$150)</f>
        <v>0</v>
      </c>
      <c r="C185" s="21">
        <f t="shared" si="191"/>
        <v>0</v>
      </c>
      <c r="D185" s="23">
        <f>SUMIFS('Registre de reserves'!$X$2:$X$1178,'Registre de reserves'!$T$2:$T$1178,"NO",'Registre de reserves'!$I$2:$I$1178,'2020'!$A185,'Registre de reserves'!$B$2:$B$1178,'2020'!D$2,Tabla1[ANY],'2020'!$Z$150)</f>
        <v>0</v>
      </c>
      <c r="E185" s="21">
        <f t="shared" si="191"/>
        <v>0</v>
      </c>
      <c r="F185" s="23">
        <f>SUMIFS('Registre de reserves'!$X$2:$X$1178,'Registre de reserves'!$T$2:$T$1178,"NO",'Registre de reserves'!$I$2:$I$1178,'2020'!$A185,'Registre de reserves'!$B$2:$B$1178,'2020'!F$2,Tabla1[ANY],'2020'!$Z$150)</f>
        <v>0</v>
      </c>
      <c r="G185" s="21">
        <f t="shared" si="181"/>
        <v>0</v>
      </c>
      <c r="H185" s="23">
        <f>SUMIFS('Registre de reserves'!$X$2:$X$1178,'Registre de reserves'!$T$2:$T$1178,"NO",'Registre de reserves'!$I$2:$I$1178,'2020'!$A185,'Registre de reserves'!$B$2:$B$1178,'2020'!H$2,Tabla1[ANY],'2020'!$Z$150)</f>
        <v>0</v>
      </c>
      <c r="I185" s="21">
        <f t="shared" si="182"/>
        <v>0</v>
      </c>
      <c r="J185" s="23">
        <f>SUMIFS('Registre de reserves'!$X$2:$X$1178,'Registre de reserves'!$T$2:$T$1178,"NO",'Registre de reserves'!$I$2:$I$1178,'2020'!$A185,'Registre de reserves'!$B$2:$B$1178,'2020'!J$2,Tabla1[ANY],'2020'!$Z$150)</f>
        <v>0</v>
      </c>
      <c r="K185" s="21">
        <f t="shared" si="183"/>
        <v>0</v>
      </c>
      <c r="L185" s="23">
        <f>SUMIFS('Registre de reserves'!$X$2:$X$1178,'Registre de reserves'!$T$2:$T$1178,"NO",'Registre de reserves'!$I$2:$I$1178,'2020'!$A185,'Registre de reserves'!$B$2:$B$1178,'2020'!L$2,Tabla1[ANY],'2020'!$Z$150)</f>
        <v>0</v>
      </c>
      <c r="M185" s="21">
        <f t="shared" si="184"/>
        <v>0</v>
      </c>
      <c r="N185" s="23">
        <f>SUMIFS('Registre de reserves'!$X$2:$X$1178,'Registre de reserves'!$T$2:$T$1178,"NO",'Registre de reserves'!$I$2:$I$1178,'2020'!$A185,'Registre de reserves'!$B$2:$B$1178,'2020'!N$2,Tabla1[ANY],'2020'!$Z$150)</f>
        <v>0</v>
      </c>
      <c r="O185" s="21">
        <f t="shared" si="185"/>
        <v>0</v>
      </c>
      <c r="P185" s="23">
        <f>SUMIFS('Registre de reserves'!$X$2:$X$1178,'Registre de reserves'!$T$2:$T$1178,"NO",'Registre de reserves'!$I$2:$I$1178,'2020'!$A185,'Registre de reserves'!$B$2:$B$1178,'2020'!P$2,Tabla1[ANY],'2020'!$Z$150)</f>
        <v>0</v>
      </c>
      <c r="Q185" s="21">
        <f t="shared" si="186"/>
        <v>0</v>
      </c>
      <c r="R185" s="23">
        <f>SUMIFS('Registre de reserves'!$X$2:$X$1178,'Registre de reserves'!$T$2:$T$1178,"NO",'Registre de reserves'!$I$2:$I$1178,'2020'!$A185,'Registre de reserves'!$B$2:$B$1178,'2020'!R$2,Tabla1[ANY],'2020'!$Z$150)</f>
        <v>0</v>
      </c>
      <c r="S185" s="21">
        <f t="shared" si="187"/>
        <v>0</v>
      </c>
      <c r="T185" s="23">
        <f>SUMIFS('Registre de reserves'!$X$2:$X$1178,'Registre de reserves'!$T$2:$T$1178,"NO",'Registre de reserves'!$I$2:$I$1178,'2020'!$A185,'Registre de reserves'!$B$2:$B$1178,'2020'!T$2,Tabla1[ANY],'2020'!$Z$150)</f>
        <v>0</v>
      </c>
      <c r="U185" s="21">
        <f t="shared" si="188"/>
        <v>0</v>
      </c>
      <c r="V185" s="23">
        <f>SUMIFS('Registre de reserves'!$X$2:$X$1178,'Registre de reserves'!$T$2:$T$1178,"NO",'Registre de reserves'!$I$2:$I$1178,'2020'!$A185,'Registre de reserves'!$B$2:$B$1178,'2020'!V$2,Tabla1[ANY],'2020'!$Z$150)</f>
        <v>0</v>
      </c>
      <c r="W185" s="21">
        <f t="shared" si="189"/>
        <v>0</v>
      </c>
      <c r="X185" s="23">
        <f>SUMIFS('Registre de reserves'!$X$2:$X$1178,'Registre de reserves'!$T$2:$T$1178,"NO",'Registre de reserves'!$I$2:$I$1178,'2020'!$A185,'Registre de reserves'!$B$2:$B$1178,'2020'!X$2,Tabla1[ANY],'2020'!$Z$150)</f>
        <v>0</v>
      </c>
      <c r="Y185" s="21">
        <f t="shared" si="190"/>
        <v>0</v>
      </c>
      <c r="Z185" s="20">
        <f t="shared" si="167"/>
        <v>0</v>
      </c>
      <c r="AA185" s="21">
        <f t="shared" si="192"/>
        <v>0</v>
      </c>
    </row>
    <row r="186" spans="1:27" hidden="1" outlineLevel="1" x14ac:dyDescent="0.2">
      <c r="A186" s="8" t="s">
        <v>70</v>
      </c>
      <c r="B186" s="23">
        <f>SUMIFS('Registre de reserves'!$X$2:$X$1178,'Registre de reserves'!$T$2:$T$1178,"NO",'Registre de reserves'!$I$2:$I$1178,'2020'!$A186,'Registre de reserves'!$B$2:$B$1178,'2020'!B$2,Tabla1[ANY],'2020'!$Z$150)</f>
        <v>0</v>
      </c>
      <c r="C186" s="21">
        <f t="shared" si="191"/>
        <v>0</v>
      </c>
      <c r="D186" s="23">
        <f>SUMIFS('Registre de reserves'!$X$2:$X$1178,'Registre de reserves'!$T$2:$T$1178,"NO",'Registre de reserves'!$I$2:$I$1178,'2020'!$A186,'Registre de reserves'!$B$2:$B$1178,'2020'!D$2,Tabla1[ANY],'2020'!$Z$150)</f>
        <v>0</v>
      </c>
      <c r="E186" s="21">
        <f t="shared" si="191"/>
        <v>0</v>
      </c>
      <c r="F186" s="23">
        <f>SUMIFS('Registre de reserves'!$X$2:$X$1178,'Registre de reserves'!$T$2:$T$1178,"NO",'Registre de reserves'!$I$2:$I$1178,'2020'!$A186,'Registre de reserves'!$B$2:$B$1178,'2020'!F$2,Tabla1[ANY],'2020'!$Z$150)</f>
        <v>0</v>
      </c>
      <c r="G186" s="21">
        <f t="shared" si="181"/>
        <v>0</v>
      </c>
      <c r="H186" s="23">
        <f>SUMIFS('Registre de reserves'!$X$2:$X$1178,'Registre de reserves'!$T$2:$T$1178,"NO",'Registre de reserves'!$I$2:$I$1178,'2020'!$A186,'Registre de reserves'!$B$2:$B$1178,'2020'!H$2,Tabla1[ANY],'2020'!$Z$150)</f>
        <v>0</v>
      </c>
      <c r="I186" s="21">
        <f t="shared" si="182"/>
        <v>0</v>
      </c>
      <c r="J186" s="23">
        <f>SUMIFS('Registre de reserves'!$X$2:$X$1178,'Registre de reserves'!$T$2:$T$1178,"NO",'Registre de reserves'!$I$2:$I$1178,'2020'!$A186,'Registre de reserves'!$B$2:$B$1178,'2020'!J$2,Tabla1[ANY],'2020'!$Z$150)</f>
        <v>0</v>
      </c>
      <c r="K186" s="21">
        <f t="shared" si="183"/>
        <v>0</v>
      </c>
      <c r="L186" s="23">
        <f>SUMIFS('Registre de reserves'!$X$2:$X$1178,'Registre de reserves'!$T$2:$T$1178,"NO",'Registre de reserves'!$I$2:$I$1178,'2020'!$A186,'Registre de reserves'!$B$2:$B$1178,'2020'!L$2,Tabla1[ANY],'2020'!$Z$150)</f>
        <v>0</v>
      </c>
      <c r="M186" s="21">
        <f t="shared" si="184"/>
        <v>0</v>
      </c>
      <c r="N186" s="23">
        <f>SUMIFS('Registre de reserves'!$X$2:$X$1178,'Registre de reserves'!$T$2:$T$1178,"NO",'Registre de reserves'!$I$2:$I$1178,'2020'!$A186,'Registre de reserves'!$B$2:$B$1178,'2020'!N$2,Tabla1[ANY],'2020'!$Z$150)</f>
        <v>0</v>
      </c>
      <c r="O186" s="21">
        <f t="shared" si="185"/>
        <v>0</v>
      </c>
      <c r="P186" s="23">
        <f>SUMIFS('Registre de reserves'!$X$2:$X$1178,'Registre de reserves'!$T$2:$T$1178,"NO",'Registre de reserves'!$I$2:$I$1178,'2020'!$A186,'Registre de reserves'!$B$2:$B$1178,'2020'!P$2,Tabla1[ANY],'2020'!$Z$150)</f>
        <v>0</v>
      </c>
      <c r="Q186" s="21">
        <f t="shared" si="186"/>
        <v>0</v>
      </c>
      <c r="R186" s="23">
        <f>SUMIFS('Registre de reserves'!$X$2:$X$1178,'Registre de reserves'!$T$2:$T$1178,"NO",'Registre de reserves'!$I$2:$I$1178,'2020'!$A186,'Registre de reserves'!$B$2:$B$1178,'2020'!R$2,Tabla1[ANY],'2020'!$Z$150)</f>
        <v>0</v>
      </c>
      <c r="S186" s="21">
        <f t="shared" si="187"/>
        <v>0</v>
      </c>
      <c r="T186" s="23">
        <f>SUMIFS('Registre de reserves'!$X$2:$X$1178,'Registre de reserves'!$T$2:$T$1178,"NO",'Registre de reserves'!$I$2:$I$1178,'2020'!$A186,'Registre de reserves'!$B$2:$B$1178,'2020'!T$2,Tabla1[ANY],'2020'!$Z$150)</f>
        <v>0</v>
      </c>
      <c r="U186" s="21">
        <f t="shared" si="188"/>
        <v>0</v>
      </c>
      <c r="V186" s="23">
        <f>SUMIFS('Registre de reserves'!$X$2:$X$1178,'Registre de reserves'!$T$2:$T$1178,"NO",'Registre de reserves'!$I$2:$I$1178,'2020'!$A186,'Registre de reserves'!$B$2:$B$1178,'2020'!V$2,Tabla1[ANY],'2020'!$Z$150)</f>
        <v>0</v>
      </c>
      <c r="W186" s="21">
        <f t="shared" si="189"/>
        <v>0</v>
      </c>
      <c r="X186" s="23">
        <f>SUMIFS('Registre de reserves'!$X$2:$X$1178,'Registre de reserves'!$T$2:$T$1178,"NO",'Registre de reserves'!$I$2:$I$1178,'2020'!$A186,'Registre de reserves'!$B$2:$B$1178,'2020'!X$2,Tabla1[ANY],'2020'!$Z$150)</f>
        <v>0</v>
      </c>
      <c r="Y186" s="21">
        <f t="shared" si="190"/>
        <v>0</v>
      </c>
      <c r="Z186" s="20">
        <f t="shared" si="167"/>
        <v>0</v>
      </c>
      <c r="AA186" s="21">
        <f t="shared" si="192"/>
        <v>0</v>
      </c>
    </row>
    <row r="187" spans="1:27" hidden="1" outlineLevel="1" x14ac:dyDescent="0.2">
      <c r="A187" s="8" t="s">
        <v>73</v>
      </c>
      <c r="B187" s="23">
        <f>SUMIFS('Registre de reserves'!$X$2:$X$1178,'Registre de reserves'!$T$2:$T$1178,"NO",'Registre de reserves'!$I$2:$I$1178,'2020'!$A187,'Registre de reserves'!$B$2:$B$1178,'2020'!B$2,Tabla1[ANY],'2020'!$Z$150)</f>
        <v>0</v>
      </c>
      <c r="C187" s="21">
        <f t="shared" si="191"/>
        <v>0</v>
      </c>
      <c r="D187" s="23">
        <f>SUMIFS('Registre de reserves'!$X$2:$X$1178,'Registre de reserves'!$T$2:$T$1178,"NO",'Registre de reserves'!$I$2:$I$1178,'2020'!$A187,'Registre de reserves'!$B$2:$B$1178,'2020'!D$2,Tabla1[ANY],'2020'!$Z$150)</f>
        <v>0</v>
      </c>
      <c r="E187" s="21">
        <f t="shared" si="191"/>
        <v>0</v>
      </c>
      <c r="F187" s="23">
        <f>SUMIFS('Registre de reserves'!$X$2:$X$1178,'Registre de reserves'!$T$2:$T$1178,"NO",'Registre de reserves'!$I$2:$I$1178,'2020'!$A187,'Registre de reserves'!$B$2:$B$1178,'2020'!F$2,Tabla1[ANY],'2020'!$Z$150)</f>
        <v>0</v>
      </c>
      <c r="G187" s="21">
        <f t="shared" si="181"/>
        <v>0</v>
      </c>
      <c r="H187" s="23">
        <f>SUMIFS('Registre de reserves'!$X$2:$X$1178,'Registre de reserves'!$T$2:$T$1178,"NO",'Registre de reserves'!$I$2:$I$1178,'2020'!$A187,'Registre de reserves'!$B$2:$B$1178,'2020'!H$2,Tabla1[ANY],'2020'!$Z$150)</f>
        <v>0</v>
      </c>
      <c r="I187" s="21">
        <f t="shared" si="182"/>
        <v>0</v>
      </c>
      <c r="J187" s="23">
        <f>SUMIFS('Registre de reserves'!$X$2:$X$1178,'Registre de reserves'!$T$2:$T$1178,"NO",'Registre de reserves'!$I$2:$I$1178,'2020'!$A187,'Registre de reserves'!$B$2:$B$1178,'2020'!J$2,Tabla1[ANY],'2020'!$Z$150)</f>
        <v>0</v>
      </c>
      <c r="K187" s="21">
        <f t="shared" si="183"/>
        <v>0</v>
      </c>
      <c r="L187" s="23">
        <f>SUMIFS('Registre de reserves'!$X$2:$X$1178,'Registre de reserves'!$T$2:$T$1178,"NO",'Registre de reserves'!$I$2:$I$1178,'2020'!$A187,'Registre de reserves'!$B$2:$B$1178,'2020'!L$2,Tabla1[ANY],'2020'!$Z$150)</f>
        <v>0</v>
      </c>
      <c r="M187" s="21">
        <f t="shared" si="184"/>
        <v>0</v>
      </c>
      <c r="N187" s="23">
        <f>SUMIFS('Registre de reserves'!$X$2:$X$1178,'Registre de reserves'!$T$2:$T$1178,"NO",'Registre de reserves'!$I$2:$I$1178,'2020'!$A187,'Registre de reserves'!$B$2:$B$1178,'2020'!N$2,Tabla1[ANY],'2020'!$Z$150)</f>
        <v>0</v>
      </c>
      <c r="O187" s="21">
        <f t="shared" si="185"/>
        <v>0</v>
      </c>
      <c r="P187" s="23">
        <f>SUMIFS('Registre de reserves'!$X$2:$X$1178,'Registre de reserves'!$T$2:$T$1178,"NO",'Registre de reserves'!$I$2:$I$1178,'2020'!$A187,'Registre de reserves'!$B$2:$B$1178,'2020'!P$2,Tabla1[ANY],'2020'!$Z$150)</f>
        <v>0</v>
      </c>
      <c r="Q187" s="21">
        <f t="shared" si="186"/>
        <v>0</v>
      </c>
      <c r="R187" s="23">
        <f>SUMIFS('Registre de reserves'!$X$2:$X$1178,'Registre de reserves'!$T$2:$T$1178,"NO",'Registre de reserves'!$I$2:$I$1178,'2020'!$A187,'Registre de reserves'!$B$2:$B$1178,'2020'!R$2,Tabla1[ANY],'2020'!$Z$150)</f>
        <v>0</v>
      </c>
      <c r="S187" s="21">
        <f t="shared" si="187"/>
        <v>0</v>
      </c>
      <c r="T187" s="23">
        <f>SUMIFS('Registre de reserves'!$X$2:$X$1178,'Registre de reserves'!$T$2:$T$1178,"NO",'Registre de reserves'!$I$2:$I$1178,'2020'!$A187,'Registre de reserves'!$B$2:$B$1178,'2020'!T$2,Tabla1[ANY],'2020'!$Z$150)</f>
        <v>0</v>
      </c>
      <c r="U187" s="21">
        <f t="shared" si="188"/>
        <v>0</v>
      </c>
      <c r="V187" s="23">
        <f>SUMIFS('Registre de reserves'!$X$2:$X$1178,'Registre de reserves'!$T$2:$T$1178,"NO",'Registre de reserves'!$I$2:$I$1178,'2020'!$A187,'Registre de reserves'!$B$2:$B$1178,'2020'!V$2,Tabla1[ANY],'2020'!$Z$150)</f>
        <v>0</v>
      </c>
      <c r="W187" s="21">
        <f t="shared" si="189"/>
        <v>0</v>
      </c>
      <c r="X187" s="23">
        <f>SUMIFS('Registre de reserves'!$X$2:$X$1178,'Registre de reserves'!$T$2:$T$1178,"NO",'Registre de reserves'!$I$2:$I$1178,'2020'!$A187,'Registre de reserves'!$B$2:$B$1178,'2020'!X$2,Tabla1[ANY],'2020'!$Z$150)</f>
        <v>0</v>
      </c>
      <c r="Y187" s="21">
        <f t="shared" si="190"/>
        <v>0</v>
      </c>
      <c r="Z187" s="20">
        <f t="shared" si="167"/>
        <v>0</v>
      </c>
      <c r="AA187" s="21">
        <f t="shared" si="192"/>
        <v>0</v>
      </c>
    </row>
    <row r="188" spans="1:27" ht="15.75" collapsed="1" thickBot="1" x14ac:dyDescent="0.25">
      <c r="A188" s="14" t="s">
        <v>78</v>
      </c>
      <c r="B188" s="24">
        <f>B189+B197</f>
        <v>744</v>
      </c>
      <c r="C188" s="25">
        <f>IF(B151=0,0,B188/B151)</f>
        <v>0.40767123287671231</v>
      </c>
      <c r="D188" s="24">
        <f>D189+D197</f>
        <v>585</v>
      </c>
      <c r="E188" s="25">
        <f>IF(D151=0,0,D188/D151)</f>
        <v>0.32231404958677684</v>
      </c>
      <c r="F188" s="24">
        <f>F189+F197</f>
        <v>200</v>
      </c>
      <c r="G188" s="25">
        <f>IF(F151=0,0,F188/F151)</f>
        <v>0.4</v>
      </c>
      <c r="H188" s="24">
        <f>H189+H197</f>
        <v>0</v>
      </c>
      <c r="I188" s="25">
        <f>IF(H151=0,0,H188/H151)</f>
        <v>0</v>
      </c>
      <c r="J188" s="24">
        <f>J189+J197</f>
        <v>277.14999999999998</v>
      </c>
      <c r="K188" s="25">
        <f>IF(J151=0,0,J188/J151)</f>
        <v>0</v>
      </c>
      <c r="L188" s="24">
        <f>L189+L197</f>
        <v>277</v>
      </c>
      <c r="M188" s="25">
        <f>IF(L151=0,0,L188/L151)</f>
        <v>0.25529953917050691</v>
      </c>
      <c r="N188" s="24">
        <f>N189+N197</f>
        <v>295</v>
      </c>
      <c r="O188" s="25">
        <f>IF(N151=0,0,N188/N151)</f>
        <v>0.19932432432432431</v>
      </c>
      <c r="P188" s="24">
        <f>P189+P197</f>
        <v>200</v>
      </c>
      <c r="Q188" s="25">
        <f>IF(P151=0,0,P188/P151)</f>
        <v>0.16460905349794239</v>
      </c>
      <c r="R188" s="24">
        <f>R189+R197</f>
        <v>200</v>
      </c>
      <c r="S188" s="25">
        <f>IF(R151=0,0,R188/R151)</f>
        <v>0.449438202247191</v>
      </c>
      <c r="T188" s="24">
        <f>T189+T197</f>
        <v>200</v>
      </c>
      <c r="U188" s="25">
        <f>IF(T151=0,0,T188/T151)</f>
        <v>0.67796610169491522</v>
      </c>
      <c r="V188" s="24">
        <f>V189+V197</f>
        <v>0</v>
      </c>
      <c r="W188" s="25">
        <f>IF(V151=0,0,V188/V151)</f>
        <v>0</v>
      </c>
      <c r="X188" s="24">
        <f>X189+X197</f>
        <v>180</v>
      </c>
      <c r="Y188" s="25">
        <f>IF(X188=0,0,X188/X188)</f>
        <v>1</v>
      </c>
      <c r="Z188" s="24">
        <f>Z189+Z197</f>
        <v>3158.15</v>
      </c>
      <c r="AA188" s="25">
        <f>IF(Z151=0,0,Z188/Z151)</f>
        <v>0.36051940639269409</v>
      </c>
    </row>
    <row r="189" spans="1:27" x14ac:dyDescent="0.2">
      <c r="A189" s="33" t="s">
        <v>79</v>
      </c>
      <c r="B189" s="18">
        <f>SUM(B190:B196)</f>
        <v>450</v>
      </c>
      <c r="C189" s="19">
        <f>IF(B$188=0,0,B189/B$188)</f>
        <v>0.60483870967741937</v>
      </c>
      <c r="D189" s="18">
        <f>SUM(D190:D196)</f>
        <v>200</v>
      </c>
      <c r="E189" s="19">
        <f>IF(D$188=0,0,D189/D$188)</f>
        <v>0.34188034188034189</v>
      </c>
      <c r="F189" s="18">
        <f>SUM(F190:F196)</f>
        <v>200</v>
      </c>
      <c r="G189" s="19">
        <f>IF(F$188=0,0,F189/F$188)</f>
        <v>1</v>
      </c>
      <c r="H189" s="18">
        <f>SUM(H190:H196)</f>
        <v>0</v>
      </c>
      <c r="I189" s="19">
        <f>IF(H$188=0,0,H189/H$188)</f>
        <v>0</v>
      </c>
      <c r="J189" s="18">
        <f>SUM(J190:J196)</f>
        <v>90</v>
      </c>
      <c r="K189" s="19">
        <f>IF(J$188=0,0,J189/J$188)</f>
        <v>0.32473389861086055</v>
      </c>
      <c r="L189" s="18">
        <f>SUM(L190:L196)</f>
        <v>152</v>
      </c>
      <c r="M189" s="19">
        <f>IF(L$188=0,0,L189/L$188)</f>
        <v>0.54873646209386284</v>
      </c>
      <c r="N189" s="18">
        <f>SUM(N190:N196)</f>
        <v>290</v>
      </c>
      <c r="O189" s="19">
        <f>IF(N$188=0,0,N189/N$188)</f>
        <v>0.98305084745762716</v>
      </c>
      <c r="P189" s="18">
        <f>SUM(P190:P196)</f>
        <v>200</v>
      </c>
      <c r="Q189" s="19">
        <f>IF(P$188=0,0,P189/P$188)</f>
        <v>1</v>
      </c>
      <c r="R189" s="18">
        <f>SUM(R190:R196)</f>
        <v>200</v>
      </c>
      <c r="S189" s="19">
        <f>IF(R$188=0,0,R189/R$188)</f>
        <v>1</v>
      </c>
      <c r="T189" s="18">
        <f>SUM(T190:T196)</f>
        <v>200</v>
      </c>
      <c r="U189" s="19">
        <f>IF(T$188=0,0,T189/T$188)</f>
        <v>1</v>
      </c>
      <c r="V189" s="18">
        <f>SUM(V190:V196)</f>
        <v>0</v>
      </c>
      <c r="W189" s="19">
        <f>IF(V$188=0,0,V189/V$188)</f>
        <v>0</v>
      </c>
      <c r="X189" s="18">
        <f>SUM(X190:X196)</f>
        <v>180</v>
      </c>
      <c r="Y189" s="19">
        <f>IF(X$188=0,0,X189/X$188)</f>
        <v>1</v>
      </c>
      <c r="Z189" s="18">
        <f>SUM(Z190:Z196)</f>
        <v>2162</v>
      </c>
      <c r="AA189" s="19">
        <f>IF(Z$40=0,0,Z189/Z$40)</f>
        <v>0.25572966937300096</v>
      </c>
    </row>
    <row r="190" spans="1:27" hidden="1" outlineLevel="1" x14ac:dyDescent="0.2">
      <c r="A190" s="8" t="s">
        <v>16</v>
      </c>
      <c r="B190" s="20">
        <f>SUMIFS(Tabla2[B],Tabla2[ANY],$Z$150,Tabla2[MES],'2020'!B$2,Tabla2[TIPUS],'2020'!$A190)</f>
        <v>200</v>
      </c>
      <c r="C190" s="21">
        <f>IF(B$189=0,0,B190/B$189)</f>
        <v>0.44444444444444442</v>
      </c>
      <c r="D190" s="20">
        <f>SUMIFS(Tabla2[B],Tabla2[ANY],$Z$150,Tabla2[MES],'2020'!D$2,Tabla2[TIPUS],'2020'!$A190)</f>
        <v>200</v>
      </c>
      <c r="E190" s="21">
        <f>IF(D$189=0,0,D190/D$189)</f>
        <v>1</v>
      </c>
      <c r="F190" s="20">
        <f>SUMIFS(Tabla2[B],Tabla2[ANY],$Z$150,Tabla2[MES],'2020'!F$2,Tabla2[TIPUS],'2020'!$A190)</f>
        <v>200</v>
      </c>
      <c r="G190" s="21">
        <f t="shared" ref="G190:G196" si="193">IF(F$189=0,0,F190/F$189)</f>
        <v>1</v>
      </c>
      <c r="H190" s="20">
        <f>SUMIFS(Tabla2[B],Tabla2[ANY],$Z$150,Tabla2[MES],'2020'!H$2,Tabla2[TIPUS],'2020'!$A190)</f>
        <v>0</v>
      </c>
      <c r="I190" s="21">
        <f t="shared" ref="I190:I196" si="194">IF(H$189=0,0,H190/H$189)</f>
        <v>0</v>
      </c>
      <c r="J190" s="20">
        <f>SUMIFS(Tabla2[B],Tabla2[ANY],$Z$150,Tabla2[MES],'2020'!J$2,Tabla2[TIPUS],'2020'!$A190)</f>
        <v>0</v>
      </c>
      <c r="K190" s="21">
        <f t="shared" ref="K190:K196" si="195">IF(J$189=0,0,J190/J$189)</f>
        <v>0</v>
      </c>
      <c r="L190" s="20">
        <f>SUMIFS(Tabla2[B],Tabla2[ANY],$Z$150,Tabla2[MES],'2020'!L$2,Tabla2[TIPUS],'2020'!$A190)</f>
        <v>152</v>
      </c>
      <c r="M190" s="21">
        <f t="shared" ref="M190:M196" si="196">IF(L$189=0,0,L190/L$189)</f>
        <v>1</v>
      </c>
      <c r="N190" s="20">
        <f>SUMIFS(Tabla2[B],Tabla2[ANY],$Z$150,Tabla2[MES],'2020'!N$2,Tabla2[TIPUS],'2020'!$A190)</f>
        <v>200</v>
      </c>
      <c r="O190" s="21">
        <f t="shared" ref="O190:O196" si="197">IF(N$189=0,0,N190/N$189)</f>
        <v>0.68965517241379315</v>
      </c>
      <c r="P190" s="20">
        <f>SUMIFS(Tabla2[B],Tabla2[ANY],$Z$150,Tabla2[MES],'2020'!P$2,Tabla2[TIPUS],'2020'!$A190)</f>
        <v>200</v>
      </c>
      <c r="Q190" s="21">
        <f t="shared" ref="Q190:Q196" si="198">IF(P$189=0,0,P190/P$189)</f>
        <v>1</v>
      </c>
      <c r="R190" s="20">
        <f>SUMIFS(Tabla2[B],Tabla2[ANY],$Z$150,Tabla2[MES],'2020'!R$2,Tabla2[TIPUS],'2020'!$A190)</f>
        <v>200</v>
      </c>
      <c r="S190" s="21">
        <f t="shared" ref="S190:S196" si="199">IF(R$189=0,0,R190/R$189)</f>
        <v>1</v>
      </c>
      <c r="T190" s="20">
        <f>SUMIFS(Tabla2[B],Tabla2[ANY],$Z$150,Tabla2[MES],'2020'!T$2,Tabla2[TIPUS],'2020'!$A190)</f>
        <v>200</v>
      </c>
      <c r="U190" s="21">
        <f t="shared" ref="U190:U196" si="200">IF(T$189=0,0,T190/T$189)</f>
        <v>1</v>
      </c>
      <c r="V190" s="20">
        <f>SUMIFS(Tabla2[B],Tabla2[ANY],$Z$150,Tabla2[MES],'2020'!V$2,Tabla2[TIPUS],'2020'!$A190)</f>
        <v>0</v>
      </c>
      <c r="W190" s="21">
        <f t="shared" ref="W190:W196" si="201">IF(V$189=0,0,V190/V$189)</f>
        <v>0</v>
      </c>
      <c r="X190" s="20">
        <f>SUMIFS(Tabla2[B],Tabla2[ANY],$Z$150,Tabla2[MES],'2020'!X$2,Tabla2[TIPUS],'2020'!$A190)</f>
        <v>0</v>
      </c>
      <c r="Y190" s="21">
        <f t="shared" ref="Y190:Y196" si="202">IF(X$189=0,0,X190/X$189)</f>
        <v>0</v>
      </c>
      <c r="Z190" s="20">
        <f t="shared" ref="Z190:Z202" si="203">B190+D190+F190+H190+J190+L190+N190+P190+R190+T190+V190+X190</f>
        <v>1552</v>
      </c>
      <c r="AA190" s="21">
        <f>IF(Z$41=0,0,Z190/Z$41)</f>
        <v>0.23248742066291866</v>
      </c>
    </row>
    <row r="191" spans="1:27" hidden="1" outlineLevel="1" x14ac:dyDescent="0.2">
      <c r="A191" s="8" t="s">
        <v>17</v>
      </c>
      <c r="B191" s="20">
        <f>SUMIFS(Tabla2[B],Tabla2[ANY],$Z$150,Tabla2[MES],'2020'!B$2,Tabla2[TIPUS],'2020'!$A191)</f>
        <v>0</v>
      </c>
      <c r="C191" s="21">
        <f t="shared" ref="C191:E196" si="204">IF(B$189=0,0,B191/B$189)</f>
        <v>0</v>
      </c>
      <c r="D191" s="20">
        <f>SUMIFS(Tabla2[B],Tabla2[ANY],$Z$150,Tabla2[MES],'2020'!D$2,Tabla2[TIPUS],'2020'!$A191)</f>
        <v>0</v>
      </c>
      <c r="E191" s="21">
        <f t="shared" si="204"/>
        <v>0</v>
      </c>
      <c r="F191" s="20">
        <f>SUMIFS(Tabla2[B],Tabla2[ANY],$Z$150,Tabla2[MES],'2020'!F$2,Tabla2[TIPUS],'2020'!$A191)</f>
        <v>0</v>
      </c>
      <c r="G191" s="21">
        <f t="shared" si="193"/>
        <v>0</v>
      </c>
      <c r="H191" s="20">
        <f>SUMIFS(Tabla2[B],Tabla2[ANY],$Z$150,Tabla2[MES],'2020'!H$2,Tabla2[TIPUS],'2020'!$A191)</f>
        <v>0</v>
      </c>
      <c r="I191" s="21">
        <f t="shared" si="194"/>
        <v>0</v>
      </c>
      <c r="J191" s="20">
        <f>SUMIFS(Tabla2[B],Tabla2[ANY],$Z$150,Tabla2[MES],'2020'!J$2,Tabla2[TIPUS],'2020'!$A191)</f>
        <v>0</v>
      </c>
      <c r="K191" s="21">
        <f t="shared" si="195"/>
        <v>0</v>
      </c>
      <c r="L191" s="20">
        <f>SUMIFS(Tabla2[B],Tabla2[ANY],$Z$150,Tabla2[MES],'2020'!L$2,Tabla2[TIPUS],'2020'!$A191)</f>
        <v>0</v>
      </c>
      <c r="M191" s="21">
        <f t="shared" si="196"/>
        <v>0</v>
      </c>
      <c r="N191" s="20">
        <f>SUMIFS(Tabla2[B],Tabla2[ANY],$Z$150,Tabla2[MES],'2020'!N$2,Tabla2[TIPUS],'2020'!$A191)</f>
        <v>0</v>
      </c>
      <c r="O191" s="21">
        <f t="shared" si="197"/>
        <v>0</v>
      </c>
      <c r="P191" s="20">
        <f>SUMIFS(Tabla2[B],Tabla2[ANY],$Z$150,Tabla2[MES],'2020'!P$2,Tabla2[TIPUS],'2020'!$A191)</f>
        <v>0</v>
      </c>
      <c r="Q191" s="21">
        <f t="shared" si="198"/>
        <v>0</v>
      </c>
      <c r="R191" s="20">
        <f>SUMIFS(Tabla2[B],Tabla2[ANY],$Z$150,Tabla2[MES],'2020'!R$2,Tabla2[TIPUS],'2020'!$A191)</f>
        <v>0</v>
      </c>
      <c r="S191" s="21">
        <f t="shared" si="199"/>
        <v>0</v>
      </c>
      <c r="T191" s="20">
        <f>SUMIFS(Tabla2[B],Tabla2[ANY],$Z$150,Tabla2[MES],'2020'!T$2,Tabla2[TIPUS],'2020'!$A191)</f>
        <v>0</v>
      </c>
      <c r="U191" s="21">
        <f t="shared" si="200"/>
        <v>0</v>
      </c>
      <c r="V191" s="20">
        <f>SUMIFS(Tabla2[B],Tabla2[ANY],$Z$150,Tabla2[MES],'2020'!V$2,Tabla2[TIPUS],'2020'!$A191)</f>
        <v>0</v>
      </c>
      <c r="W191" s="21">
        <f t="shared" si="201"/>
        <v>0</v>
      </c>
      <c r="X191" s="20">
        <f>SUMIFS(Tabla2[B],Tabla2[ANY],$Z$150,Tabla2[MES],'2020'!X$2,Tabla2[TIPUS],'2020'!$A191)</f>
        <v>0</v>
      </c>
      <c r="Y191" s="21">
        <f t="shared" si="202"/>
        <v>0</v>
      </c>
      <c r="Z191" s="20">
        <f t="shared" si="203"/>
        <v>0</v>
      </c>
      <c r="AA191" s="21">
        <f t="shared" ref="AA191:AA196" si="205">IF(Z$41=0,0,Z191/Z$41)</f>
        <v>0</v>
      </c>
    </row>
    <row r="192" spans="1:27" hidden="1" outlineLevel="1" x14ac:dyDescent="0.2">
      <c r="A192" s="8" t="s">
        <v>85</v>
      </c>
      <c r="B192" s="20">
        <f>SUMIFS(Tabla2[B],Tabla2[ANY],$Z$150,Tabla2[MES],'2020'!B$2,Tabla2[TIPUS],'2020'!$A192)</f>
        <v>0</v>
      </c>
      <c r="C192" s="21">
        <f t="shared" si="204"/>
        <v>0</v>
      </c>
      <c r="D192" s="20">
        <f>SUMIFS(Tabla2[B],Tabla2[ANY],$Z$150,Tabla2[MES],'2020'!D$2,Tabla2[TIPUS],'2020'!$A192)</f>
        <v>0</v>
      </c>
      <c r="E192" s="21">
        <f t="shared" si="204"/>
        <v>0</v>
      </c>
      <c r="F192" s="20">
        <f>SUMIFS(Tabla2[B],Tabla2[ANY],$Z$150,Tabla2[MES],'2020'!F$2,Tabla2[TIPUS],'2020'!$A192)</f>
        <v>0</v>
      </c>
      <c r="G192" s="21">
        <f t="shared" si="193"/>
        <v>0</v>
      </c>
      <c r="H192" s="20">
        <f>SUMIFS(Tabla2[B],Tabla2[ANY],$Z$150,Tabla2[MES],'2020'!H$2,Tabla2[TIPUS],'2020'!$A192)</f>
        <v>0</v>
      </c>
      <c r="I192" s="21">
        <f t="shared" si="194"/>
        <v>0</v>
      </c>
      <c r="J192" s="20">
        <f>SUMIFS(Tabla2[B],Tabla2[ANY],$Z$150,Tabla2[MES],'2020'!J$2,Tabla2[TIPUS],'2020'!$A192)</f>
        <v>90</v>
      </c>
      <c r="K192" s="21">
        <f t="shared" si="195"/>
        <v>1</v>
      </c>
      <c r="L192" s="20">
        <f>SUMIFS(Tabla2[B],Tabla2[ANY],$Z$150,Tabla2[MES],'2020'!L$2,Tabla2[TIPUS],'2020'!$A192)</f>
        <v>0</v>
      </c>
      <c r="M192" s="21">
        <f t="shared" si="196"/>
        <v>0</v>
      </c>
      <c r="N192" s="20">
        <f>SUMIFS(Tabla2[B],Tabla2[ANY],$Z$150,Tabla2[MES],'2020'!N$2,Tabla2[TIPUS],'2020'!$A192)</f>
        <v>90</v>
      </c>
      <c r="O192" s="21">
        <f t="shared" si="197"/>
        <v>0.31034482758620691</v>
      </c>
      <c r="P192" s="20">
        <f>SUMIFS(Tabla2[B],Tabla2[ANY],$Z$150,Tabla2[MES],'2020'!P$2,Tabla2[TIPUS],'2020'!$A192)</f>
        <v>0</v>
      </c>
      <c r="Q192" s="21">
        <f t="shared" si="198"/>
        <v>0</v>
      </c>
      <c r="R192" s="20">
        <f>SUMIFS(Tabla2[B],Tabla2[ANY],$Z$150,Tabla2[MES],'2020'!R$2,Tabla2[TIPUS],'2020'!$A192)</f>
        <v>0</v>
      </c>
      <c r="S192" s="21">
        <f t="shared" si="199"/>
        <v>0</v>
      </c>
      <c r="T192" s="20">
        <f>SUMIFS(Tabla2[B],Tabla2[ANY],$Z$150,Tabla2[MES],'2020'!T$2,Tabla2[TIPUS],'2020'!$A192)</f>
        <v>0</v>
      </c>
      <c r="U192" s="21">
        <f t="shared" si="200"/>
        <v>0</v>
      </c>
      <c r="V192" s="20">
        <f>SUMIFS(Tabla2[B],Tabla2[ANY],$Z$150,Tabla2[MES],'2020'!V$2,Tabla2[TIPUS],'2020'!$A192)</f>
        <v>0</v>
      </c>
      <c r="W192" s="21">
        <f t="shared" si="201"/>
        <v>0</v>
      </c>
      <c r="X192" s="20">
        <f>SUMIFS(Tabla2[B],Tabla2[ANY],$Z$150,Tabla2[MES],'2020'!X$2,Tabla2[TIPUS],'2020'!$A192)</f>
        <v>180</v>
      </c>
      <c r="Y192" s="21">
        <f t="shared" si="202"/>
        <v>1</v>
      </c>
      <c r="Z192" s="20">
        <f t="shared" si="203"/>
        <v>360</v>
      </c>
      <c r="AA192" s="21">
        <f t="shared" si="205"/>
        <v>5.3927494483666703E-2</v>
      </c>
    </row>
    <row r="193" spans="1:27" hidden="1" outlineLevel="1" x14ac:dyDescent="0.2">
      <c r="A193" s="8" t="s">
        <v>94</v>
      </c>
      <c r="B193" s="20">
        <f>SUMIFS(Tabla2[B],Tabla2[ANY],$Z$150,Tabla2[MES],'2020'!B$2,Tabla2[TIPUS],'2020'!$A193)</f>
        <v>0</v>
      </c>
      <c r="C193" s="21">
        <f t="shared" si="204"/>
        <v>0</v>
      </c>
      <c r="D193" s="20">
        <f>SUMIFS(Tabla2[B],Tabla2[ANY],$Z$150,Tabla2[MES],'2020'!D$2,Tabla2[TIPUS],'2020'!$A193)</f>
        <v>0</v>
      </c>
      <c r="E193" s="21">
        <f t="shared" si="204"/>
        <v>0</v>
      </c>
      <c r="F193" s="20">
        <f>SUMIFS(Tabla2[B],Tabla2[ANY],$Z$150,Tabla2[MES],'2020'!F$2,Tabla2[TIPUS],'2020'!$A193)</f>
        <v>0</v>
      </c>
      <c r="G193" s="21">
        <f t="shared" si="193"/>
        <v>0</v>
      </c>
      <c r="H193" s="20">
        <f>SUMIFS(Tabla2[B],Tabla2[ANY],$Z$150,Tabla2[MES],'2020'!H$2,Tabla2[TIPUS],'2020'!$A193)</f>
        <v>0</v>
      </c>
      <c r="I193" s="21">
        <f t="shared" si="194"/>
        <v>0</v>
      </c>
      <c r="J193" s="20">
        <f>SUMIFS(Tabla2[B],Tabla2[ANY],$Z$150,Tabla2[MES],'2020'!J$2,Tabla2[TIPUS],'2020'!$A193)</f>
        <v>0</v>
      </c>
      <c r="K193" s="21">
        <f t="shared" si="195"/>
        <v>0</v>
      </c>
      <c r="L193" s="20">
        <f>SUMIFS(Tabla2[B],Tabla2[ANY],$Z$150,Tabla2[MES],'2020'!L$2,Tabla2[TIPUS],'2020'!$A193)</f>
        <v>0</v>
      </c>
      <c r="M193" s="21">
        <f t="shared" si="196"/>
        <v>0</v>
      </c>
      <c r="N193" s="20">
        <f>SUMIFS(Tabla2[B],Tabla2[ANY],$Z$150,Tabla2[MES],'2020'!N$2,Tabla2[TIPUS],'2020'!$A193)</f>
        <v>0</v>
      </c>
      <c r="O193" s="21">
        <f t="shared" si="197"/>
        <v>0</v>
      </c>
      <c r="P193" s="20">
        <f>SUMIFS(Tabla2[B],Tabla2[ANY],$Z$150,Tabla2[MES],'2020'!P$2,Tabla2[TIPUS],'2020'!$A193)</f>
        <v>0</v>
      </c>
      <c r="Q193" s="21">
        <f t="shared" si="198"/>
        <v>0</v>
      </c>
      <c r="R193" s="20">
        <f>SUMIFS(Tabla2[B],Tabla2[ANY],$Z$150,Tabla2[MES],'2020'!R$2,Tabla2[TIPUS],'2020'!$A193)</f>
        <v>0</v>
      </c>
      <c r="S193" s="21">
        <f t="shared" si="199"/>
        <v>0</v>
      </c>
      <c r="T193" s="20">
        <f>SUMIFS(Tabla2[B],Tabla2[ANY],$Z$150,Tabla2[MES],'2020'!T$2,Tabla2[TIPUS],'2020'!$A193)</f>
        <v>0</v>
      </c>
      <c r="U193" s="21">
        <f t="shared" si="200"/>
        <v>0</v>
      </c>
      <c r="V193" s="20">
        <f>SUMIFS(Tabla2[B],Tabla2[ANY],$Z$150,Tabla2[MES],'2020'!V$2,Tabla2[TIPUS],'2020'!$A193)</f>
        <v>0</v>
      </c>
      <c r="W193" s="21">
        <f t="shared" si="201"/>
        <v>0</v>
      </c>
      <c r="X193" s="20">
        <f>SUMIFS(Tabla2[B],Tabla2[ANY],$Z$150,Tabla2[MES],'2020'!X$2,Tabla2[TIPUS],'2020'!$A193)</f>
        <v>0</v>
      </c>
      <c r="Y193" s="21">
        <f t="shared" si="202"/>
        <v>0</v>
      </c>
      <c r="Z193" s="20">
        <f t="shared" si="203"/>
        <v>0</v>
      </c>
      <c r="AA193" s="21">
        <f t="shared" si="205"/>
        <v>0</v>
      </c>
    </row>
    <row r="194" spans="1:27" hidden="1" outlineLevel="1" x14ac:dyDescent="0.2">
      <c r="A194" s="8" t="s">
        <v>118</v>
      </c>
      <c r="B194" s="20">
        <f>SUMIFS(Tabla2[B],Tabla2[ANY],$Z$150,Tabla2[MES],'2020'!B$2,Tabla2[TIPUS],'2020'!$A194)</f>
        <v>250</v>
      </c>
      <c r="C194" s="21">
        <f t="shared" si="204"/>
        <v>0.55555555555555558</v>
      </c>
      <c r="D194" s="20">
        <f>SUMIFS(Tabla2[B],Tabla2[ANY],$Z$150,Tabla2[MES],'2020'!D$2,Tabla2[TIPUS],'2020'!$A194)</f>
        <v>0</v>
      </c>
      <c r="E194" s="21">
        <f t="shared" si="204"/>
        <v>0</v>
      </c>
      <c r="F194" s="20">
        <f>SUMIFS(Tabla2[B],Tabla2[ANY],$Z$150,Tabla2[MES],'2020'!F$2,Tabla2[TIPUS],'2020'!$A194)</f>
        <v>0</v>
      </c>
      <c r="G194" s="21">
        <f t="shared" si="193"/>
        <v>0</v>
      </c>
      <c r="H194" s="20">
        <f>SUMIFS(Tabla2[B],Tabla2[ANY],$Z$150,Tabla2[MES],'2020'!H$2,Tabla2[TIPUS],'2020'!$A194)</f>
        <v>0</v>
      </c>
      <c r="I194" s="21">
        <f t="shared" si="194"/>
        <v>0</v>
      </c>
      <c r="J194" s="20">
        <f>SUMIFS(Tabla2[B],Tabla2[ANY],$Z$150,Tabla2[MES],'2020'!J$2,Tabla2[TIPUS],'2020'!$A194)</f>
        <v>0</v>
      </c>
      <c r="K194" s="21">
        <f t="shared" si="195"/>
        <v>0</v>
      </c>
      <c r="L194" s="20">
        <f>SUMIFS(Tabla2[B],Tabla2[ANY],$Z$150,Tabla2[MES],'2020'!L$2,Tabla2[TIPUS],'2020'!$A194)</f>
        <v>0</v>
      </c>
      <c r="M194" s="21">
        <f t="shared" si="196"/>
        <v>0</v>
      </c>
      <c r="N194" s="20">
        <f>SUMIFS(Tabla2[B],Tabla2[ANY],$Z$150,Tabla2[MES],'2020'!N$2,Tabla2[TIPUS],'2020'!$A194)</f>
        <v>0</v>
      </c>
      <c r="O194" s="21">
        <f t="shared" si="197"/>
        <v>0</v>
      </c>
      <c r="P194" s="20">
        <f>SUMIFS(Tabla2[B],Tabla2[ANY],$Z$150,Tabla2[MES],'2020'!P$2,Tabla2[TIPUS],'2020'!$A194)</f>
        <v>0</v>
      </c>
      <c r="Q194" s="21">
        <f t="shared" si="198"/>
        <v>0</v>
      </c>
      <c r="R194" s="20">
        <f>SUMIFS(Tabla2[B],Tabla2[ANY],$Z$150,Tabla2[MES],'2020'!R$2,Tabla2[TIPUS],'2020'!$A194)</f>
        <v>0</v>
      </c>
      <c r="S194" s="21">
        <f t="shared" si="199"/>
        <v>0</v>
      </c>
      <c r="T194" s="20">
        <f>SUMIFS(Tabla2[B],Tabla2[ANY],$Z$150,Tabla2[MES],'2020'!T$2,Tabla2[TIPUS],'2020'!$A194)</f>
        <v>0</v>
      </c>
      <c r="U194" s="21">
        <f t="shared" si="200"/>
        <v>0</v>
      </c>
      <c r="V194" s="20">
        <f>SUMIFS(Tabla2[B],Tabla2[ANY],$Z$150,Tabla2[MES],'2020'!V$2,Tabla2[TIPUS],'2020'!$A194)</f>
        <v>0</v>
      </c>
      <c r="W194" s="21">
        <f t="shared" si="201"/>
        <v>0</v>
      </c>
      <c r="X194" s="20">
        <f>SUMIFS(Tabla2[B],Tabla2[ANY],$Z$150,Tabla2[MES],'2020'!X$2,Tabla2[TIPUS],'2020'!$A194)</f>
        <v>0</v>
      </c>
      <c r="Y194" s="21">
        <f t="shared" si="202"/>
        <v>0</v>
      </c>
      <c r="Z194" s="20">
        <f t="shared" si="203"/>
        <v>250</v>
      </c>
      <c r="AA194" s="21">
        <f t="shared" si="205"/>
        <v>3.7449648946990766E-2</v>
      </c>
    </row>
    <row r="195" spans="1:27" hidden="1" outlineLevel="1" x14ac:dyDescent="0.2">
      <c r="A195" s="8" t="s">
        <v>97</v>
      </c>
      <c r="B195" s="20">
        <f>SUMIFS(Tabla2[B],Tabla2[ANY],$Z$150,Tabla2[MES],'2020'!B$2,Tabla2[TIPUS],'2020'!$A195)</f>
        <v>0</v>
      </c>
      <c r="C195" s="21">
        <f t="shared" si="204"/>
        <v>0</v>
      </c>
      <c r="D195" s="20">
        <f>SUMIFS(Tabla2[B],Tabla2[ANY],$Z$150,Tabla2[MES],'2020'!D$2,Tabla2[TIPUS],'2020'!$A195)</f>
        <v>0</v>
      </c>
      <c r="E195" s="21">
        <f t="shared" si="204"/>
        <v>0</v>
      </c>
      <c r="F195" s="20">
        <f>SUMIFS(Tabla2[B],Tabla2[ANY],$Z$150,Tabla2[MES],'2020'!F$2,Tabla2[TIPUS],'2020'!$A195)</f>
        <v>0</v>
      </c>
      <c r="G195" s="21">
        <f t="shared" si="193"/>
        <v>0</v>
      </c>
      <c r="H195" s="20">
        <f>SUMIFS(Tabla2[B],Tabla2[ANY],$Z$150,Tabla2[MES],'2020'!H$2,Tabla2[TIPUS],'2020'!$A195)</f>
        <v>0</v>
      </c>
      <c r="I195" s="21">
        <f t="shared" si="194"/>
        <v>0</v>
      </c>
      <c r="J195" s="20">
        <f>SUMIFS(Tabla2[B],Tabla2[ANY],$Z$150,Tabla2[MES],'2020'!J$2,Tabla2[TIPUS],'2020'!$A195)</f>
        <v>0</v>
      </c>
      <c r="K195" s="21">
        <f t="shared" si="195"/>
        <v>0</v>
      </c>
      <c r="L195" s="20">
        <f>SUMIFS(Tabla2[B],Tabla2[ANY],$Z$150,Tabla2[MES],'2020'!L$2,Tabla2[TIPUS],'2020'!$A195)</f>
        <v>0</v>
      </c>
      <c r="M195" s="21">
        <f t="shared" si="196"/>
        <v>0</v>
      </c>
      <c r="N195" s="20">
        <f>SUMIFS(Tabla2[B],Tabla2[ANY],$Z$150,Tabla2[MES],'2020'!N$2,Tabla2[TIPUS],'2020'!$A195)</f>
        <v>0</v>
      </c>
      <c r="O195" s="21">
        <f t="shared" si="197"/>
        <v>0</v>
      </c>
      <c r="P195" s="20">
        <f>SUMIFS(Tabla2[B],Tabla2[ANY],$Z$150,Tabla2[MES],'2020'!P$2,Tabla2[TIPUS],'2020'!$A195)</f>
        <v>0</v>
      </c>
      <c r="Q195" s="21">
        <f t="shared" si="198"/>
        <v>0</v>
      </c>
      <c r="R195" s="20">
        <f>SUMIFS(Tabla2[B],Tabla2[ANY],$Z$150,Tabla2[MES],'2020'!R$2,Tabla2[TIPUS],'2020'!$A195)</f>
        <v>0</v>
      </c>
      <c r="S195" s="21">
        <f t="shared" si="199"/>
        <v>0</v>
      </c>
      <c r="T195" s="20">
        <f>SUMIFS(Tabla2[B],Tabla2[ANY],$Z$150,Tabla2[MES],'2020'!T$2,Tabla2[TIPUS],'2020'!$A195)</f>
        <v>0</v>
      </c>
      <c r="U195" s="21">
        <f t="shared" si="200"/>
        <v>0</v>
      </c>
      <c r="V195" s="20">
        <f>SUMIFS(Tabla2[B],Tabla2[ANY],$Z$150,Tabla2[MES],'2020'!V$2,Tabla2[TIPUS],'2020'!$A195)</f>
        <v>0</v>
      </c>
      <c r="W195" s="21">
        <f t="shared" si="201"/>
        <v>0</v>
      </c>
      <c r="X195" s="20">
        <f>SUMIFS(Tabla2[B],Tabla2[ANY],$Z$150,Tabla2[MES],'2020'!X$2,Tabla2[TIPUS],'2020'!$A195)</f>
        <v>0</v>
      </c>
      <c r="Y195" s="21">
        <f t="shared" si="202"/>
        <v>0</v>
      </c>
      <c r="Z195" s="20">
        <f t="shared" si="203"/>
        <v>0</v>
      </c>
      <c r="AA195" s="21">
        <f t="shared" si="205"/>
        <v>0</v>
      </c>
    </row>
    <row r="196" spans="1:27" hidden="1" outlineLevel="1" x14ac:dyDescent="0.2">
      <c r="A196" s="8" t="s">
        <v>113</v>
      </c>
      <c r="B196" s="20">
        <f>SUMIFS(Tabla2[B],Tabla2[ANY],$Z$150,Tabla2[MES],'2020'!B$2,Tabla2[TIPUS],'2020'!$A196)</f>
        <v>0</v>
      </c>
      <c r="C196" s="21">
        <f t="shared" si="204"/>
        <v>0</v>
      </c>
      <c r="D196" s="20">
        <f>SUMIFS(Tabla2[B],Tabla2[ANY],$Z$150,Tabla2[MES],'2020'!D$2,Tabla2[TIPUS],'2020'!$A196)</f>
        <v>0</v>
      </c>
      <c r="E196" s="21">
        <f t="shared" si="204"/>
        <v>0</v>
      </c>
      <c r="F196" s="20">
        <f>SUMIFS(Tabla2[B],Tabla2[ANY],$Z$150,Tabla2[MES],'2020'!F$2,Tabla2[TIPUS],'2020'!$A196)</f>
        <v>0</v>
      </c>
      <c r="G196" s="21">
        <f t="shared" si="193"/>
        <v>0</v>
      </c>
      <c r="H196" s="20">
        <f>SUMIFS(Tabla2[B],Tabla2[ANY],$Z$150,Tabla2[MES],'2020'!H$2,Tabla2[TIPUS],'2020'!$A196)</f>
        <v>0</v>
      </c>
      <c r="I196" s="21">
        <f t="shared" si="194"/>
        <v>0</v>
      </c>
      <c r="J196" s="20">
        <f>SUMIFS(Tabla2[B],Tabla2[ANY],$Z$150,Tabla2[MES],'2020'!J$2,Tabla2[TIPUS],'2020'!$A196)</f>
        <v>0</v>
      </c>
      <c r="K196" s="21">
        <f t="shared" si="195"/>
        <v>0</v>
      </c>
      <c r="L196" s="20">
        <f>SUMIFS(Tabla2[B],Tabla2[ANY],$Z$150,Tabla2[MES],'2020'!L$2,Tabla2[TIPUS],'2020'!$A196)</f>
        <v>0</v>
      </c>
      <c r="M196" s="21">
        <f t="shared" si="196"/>
        <v>0</v>
      </c>
      <c r="N196" s="20">
        <f>SUMIFS(Tabla2[B],Tabla2[ANY],$Z$150,Tabla2[MES],'2020'!N$2,Tabla2[TIPUS],'2020'!$A196)</f>
        <v>0</v>
      </c>
      <c r="O196" s="21">
        <f t="shared" si="197"/>
        <v>0</v>
      </c>
      <c r="P196" s="20">
        <f>SUMIFS(Tabla2[B],Tabla2[ANY],$Z$150,Tabla2[MES],'2020'!P$2,Tabla2[TIPUS],'2020'!$A196)</f>
        <v>0</v>
      </c>
      <c r="Q196" s="21">
        <f t="shared" si="198"/>
        <v>0</v>
      </c>
      <c r="R196" s="20">
        <f>SUMIFS(Tabla2[B],Tabla2[ANY],$Z$150,Tabla2[MES],'2020'!R$2,Tabla2[TIPUS],'2020'!$A196)</f>
        <v>0</v>
      </c>
      <c r="S196" s="21">
        <f t="shared" si="199"/>
        <v>0</v>
      </c>
      <c r="T196" s="20">
        <f>SUMIFS(Tabla2[B],Tabla2[ANY],$Z$150,Tabla2[MES],'2020'!T$2,Tabla2[TIPUS],'2020'!$A196)</f>
        <v>0</v>
      </c>
      <c r="U196" s="21">
        <f t="shared" si="200"/>
        <v>0</v>
      </c>
      <c r="V196" s="20">
        <f>SUMIFS(Tabla2[B],Tabla2[ANY],$Z$150,Tabla2[MES],'2020'!V$2,Tabla2[TIPUS],'2020'!$A196)</f>
        <v>0</v>
      </c>
      <c r="W196" s="21">
        <f t="shared" si="201"/>
        <v>0</v>
      </c>
      <c r="X196" s="20">
        <f>SUMIFS(Tabla2[B],Tabla2[ANY],$Z$150,Tabla2[MES],'2020'!X$2,Tabla2[TIPUS],'2020'!$A196)</f>
        <v>0</v>
      </c>
      <c r="Y196" s="21">
        <f t="shared" si="202"/>
        <v>0</v>
      </c>
      <c r="Z196" s="20">
        <f t="shared" si="203"/>
        <v>0</v>
      </c>
      <c r="AA196" s="21">
        <f t="shared" si="205"/>
        <v>0</v>
      </c>
    </row>
    <row r="197" spans="1:27" collapsed="1" x14ac:dyDescent="0.2">
      <c r="A197" s="34" t="s">
        <v>86</v>
      </c>
      <c r="B197" s="18">
        <f>SUM(B198:B202)</f>
        <v>294</v>
      </c>
      <c r="C197" s="19">
        <f>IF(B$188=0,0,B197/B$188)</f>
        <v>0.39516129032258063</v>
      </c>
      <c r="D197" s="18">
        <f>SUM(D198:D202)</f>
        <v>385</v>
      </c>
      <c r="E197" s="19">
        <f>IF(D$188=0,0,D197/D$188)</f>
        <v>0.65811965811965811</v>
      </c>
      <c r="F197" s="18">
        <f>SUM(F198:F202)</f>
        <v>0</v>
      </c>
      <c r="G197" s="19">
        <f>IF(F$188=0,0,F197/F$188)</f>
        <v>0</v>
      </c>
      <c r="H197" s="18">
        <f>SUM(H198:H202)</f>
        <v>0</v>
      </c>
      <c r="I197" s="19">
        <f>IF(H$188=0,0,H197/H$188)</f>
        <v>0</v>
      </c>
      <c r="J197" s="18">
        <f>SUM(J198:J202)</f>
        <v>187.15</v>
      </c>
      <c r="K197" s="19">
        <f>IF(J$188=0,0,J197/J$188)</f>
        <v>0.67526610138913956</v>
      </c>
      <c r="L197" s="18">
        <f>SUM(L198:L202)</f>
        <v>125</v>
      </c>
      <c r="M197" s="19">
        <f>IF(L$188=0,0,L197/L$188)</f>
        <v>0.45126353790613716</v>
      </c>
      <c r="N197" s="18">
        <f>SUM(N198:N202)</f>
        <v>5</v>
      </c>
      <c r="O197" s="19">
        <f>IF(N$188=0,0,N197/N$188)</f>
        <v>1.6949152542372881E-2</v>
      </c>
      <c r="P197" s="18">
        <f>SUM(P198:P202)</f>
        <v>0</v>
      </c>
      <c r="Q197" s="19">
        <f>IF(P$188=0,0,P197/P$188)</f>
        <v>0</v>
      </c>
      <c r="R197" s="18">
        <f>SUM(R198:R202)</f>
        <v>0</v>
      </c>
      <c r="S197" s="19">
        <f>IF(R$188=0,0,R197/R$188)</f>
        <v>0</v>
      </c>
      <c r="T197" s="18">
        <f>SUM(T198:T202)</f>
        <v>0</v>
      </c>
      <c r="U197" s="19">
        <f>IF(T$188=0,0,T197/T$188)</f>
        <v>0</v>
      </c>
      <c r="V197" s="18">
        <f>SUM(V198:V202)</f>
        <v>0</v>
      </c>
      <c r="W197" s="19">
        <f>IF(V$188=0,0,V197/V$188)</f>
        <v>0</v>
      </c>
      <c r="X197" s="18">
        <f>SUM(X198:X202)</f>
        <v>0</v>
      </c>
      <c r="Y197" s="19">
        <f>IF(X$188=0,0,X197/X$188)</f>
        <v>0</v>
      </c>
      <c r="Z197" s="18">
        <f>SUM(Z198:Z202)</f>
        <v>996.15</v>
      </c>
      <c r="AA197" s="19">
        <f>IF(Z$40=0,0,Z197/Z$40)</f>
        <v>0.11782845057627886</v>
      </c>
    </row>
    <row r="198" spans="1:27" hidden="1" outlineLevel="1" x14ac:dyDescent="0.2">
      <c r="A198" s="8" t="s">
        <v>87</v>
      </c>
      <c r="B198" s="20">
        <f>SUMIFS(Tabla2[B],Tabla2[ANY],$Z$150,Tabla2[MES],'2020'!B$2,Tabla2[TIPUS],'2020'!$A198)</f>
        <v>0</v>
      </c>
      <c r="C198" s="21">
        <f>IF(B$197=0,0,B198/B$197)</f>
        <v>0</v>
      </c>
      <c r="D198" s="20">
        <f>SUMIFS(Tabla2[B],Tabla2[ANY],$Z$150,Tabla2[MES],'2020'!D$2,Tabla2[TIPUS],'2020'!$A198)</f>
        <v>0</v>
      </c>
      <c r="E198" s="21">
        <f>IF(D$197=0,0,D198/D$197)</f>
        <v>0</v>
      </c>
      <c r="F198" s="20">
        <f>SUMIFS(Tabla2[B],Tabla2[ANY],$Z$150,Tabla2[MES],'2020'!F$2,Tabla2[TIPUS],'2020'!$A198)</f>
        <v>0</v>
      </c>
      <c r="G198" s="21">
        <f>IF(F$197=0,0,F198/F$197)</f>
        <v>0</v>
      </c>
      <c r="H198" s="20">
        <f>SUMIFS(Tabla2[B],Tabla2[ANY],$Z$150,Tabla2[MES],'2020'!H$2,Tabla2[TIPUS],'2020'!$A198)</f>
        <v>0</v>
      </c>
      <c r="I198" s="21">
        <f>IF(H$197=0,0,H198/H$197)</f>
        <v>0</v>
      </c>
      <c r="J198" s="20">
        <f>SUMIFS(Tabla2[B],Tabla2[ANY],$Z$150,Tabla2[MES],'2020'!J$2,Tabla2[TIPUS],'2020'!$A198)</f>
        <v>0</v>
      </c>
      <c r="K198" s="21">
        <f>IF(J$197=0,0,J198/J$197)</f>
        <v>0</v>
      </c>
      <c r="L198" s="20">
        <f>SUMIFS(Tabla2[B],Tabla2[ANY],$Z$150,Tabla2[MES],'2020'!L$2,Tabla2[TIPUS],'2020'!$A198)</f>
        <v>0</v>
      </c>
      <c r="M198" s="21">
        <f>IF(L$197=0,0,L198/L$197)</f>
        <v>0</v>
      </c>
      <c r="N198" s="20">
        <f>SUMIFS(Tabla2[B],Tabla2[ANY],$Z$150,Tabla2[MES],'2020'!N$2,Tabla2[TIPUS],'2020'!$A198)</f>
        <v>0</v>
      </c>
      <c r="O198" s="21">
        <f>IF(N$197=0,0,N198/N$197)</f>
        <v>0</v>
      </c>
      <c r="P198" s="20">
        <f>SUMIFS(Tabla2[B],Tabla2[ANY],$Z$150,Tabla2[MES],'2020'!P$2,Tabla2[TIPUS],'2020'!$A198)</f>
        <v>0</v>
      </c>
      <c r="Q198" s="21">
        <f>IF(P$197=0,0,P198/P$197)</f>
        <v>0</v>
      </c>
      <c r="R198" s="20">
        <f>SUMIFS(Tabla2[B],Tabla2[ANY],$Z$150,Tabla2[MES],'2020'!R$2,Tabla2[TIPUS],'2020'!$A198)</f>
        <v>0</v>
      </c>
      <c r="S198" s="21">
        <f>IF(R$197=0,0,R198/R$197)</f>
        <v>0</v>
      </c>
      <c r="T198" s="20">
        <f>SUMIFS(Tabla2[B],Tabla2[ANY],$Z$150,Tabla2[MES],'2020'!T$2,Tabla2[TIPUS],'2020'!$A198)</f>
        <v>0</v>
      </c>
      <c r="U198" s="21">
        <f>IF(T$197=0,0,T198/T$197)</f>
        <v>0</v>
      </c>
      <c r="V198" s="20">
        <f>SUMIFS(Tabla2[B],Tabla2[ANY],$Z$150,Tabla2[MES],'2020'!V$2,Tabla2[TIPUS],'2020'!$A198)</f>
        <v>0</v>
      </c>
      <c r="W198" s="21">
        <f>IF(V$197=0,0,V198/V$197)</f>
        <v>0</v>
      </c>
      <c r="X198" s="20">
        <f>SUMIFS(Tabla2[B],Tabla2[ANY],$Z$150,Tabla2[MES],'2020'!X$2,Tabla2[TIPUS],'2020'!$A198)</f>
        <v>0</v>
      </c>
      <c r="Y198" s="21">
        <f>IF(X$197=0,0,X198/X$197)</f>
        <v>0</v>
      </c>
      <c r="Z198" s="20">
        <f t="shared" si="203"/>
        <v>0</v>
      </c>
      <c r="AA198" s="21">
        <f>IF(Z$49=0,0,Z198/Z$49)</f>
        <v>0</v>
      </c>
    </row>
    <row r="199" spans="1:27" hidden="1" outlineLevel="1" x14ac:dyDescent="0.2">
      <c r="A199" s="8" t="s">
        <v>88</v>
      </c>
      <c r="B199" s="20">
        <f>SUMIFS(Tabla2[B],Tabla2[ANY],$Z$150,Tabla2[MES],'2020'!B$2,Tabla2[TIPUS],'2020'!$A199)</f>
        <v>0</v>
      </c>
      <c r="C199" s="21">
        <f t="shared" ref="C199:E202" si="206">IF(B$197=0,0,B199/B$197)</f>
        <v>0</v>
      </c>
      <c r="D199" s="20">
        <f>SUMIFS(Tabla2[B],Tabla2[ANY],$Z$150,Tabla2[MES],'2020'!D$2,Tabla2[TIPUS],'2020'!$A199)</f>
        <v>0</v>
      </c>
      <c r="E199" s="21">
        <f t="shared" si="206"/>
        <v>0</v>
      </c>
      <c r="F199" s="20">
        <f>SUMIFS(Tabla2[B],Tabla2[ANY],$Z$150,Tabla2[MES],'2020'!F$2,Tabla2[TIPUS],'2020'!$A199)</f>
        <v>0</v>
      </c>
      <c r="G199" s="21">
        <f>IF(F$197=0,0,F199/F$197)</f>
        <v>0</v>
      </c>
      <c r="H199" s="20">
        <f>SUMIFS(Tabla2[B],Tabla2[ANY],$Z$150,Tabla2[MES],'2020'!H$2,Tabla2[TIPUS],'2020'!$A199)</f>
        <v>0</v>
      </c>
      <c r="I199" s="21">
        <f>IF(H$197=0,0,H199/H$197)</f>
        <v>0</v>
      </c>
      <c r="J199" s="20">
        <f>SUMIFS(Tabla2[B],Tabla2[ANY],$Z$150,Tabla2[MES],'2020'!J$2,Tabla2[TIPUS],'2020'!$A199)</f>
        <v>0</v>
      </c>
      <c r="K199" s="21">
        <f>IF(J$197=0,0,J199/J$197)</f>
        <v>0</v>
      </c>
      <c r="L199" s="20">
        <f>SUMIFS(Tabla2[B],Tabla2[ANY],$Z$150,Tabla2[MES],'2020'!L$2,Tabla2[TIPUS],'2020'!$A199)</f>
        <v>0</v>
      </c>
      <c r="M199" s="21">
        <f>IF(L$197=0,0,L199/L$197)</f>
        <v>0</v>
      </c>
      <c r="N199" s="20">
        <f>SUMIFS(Tabla2[B],Tabla2[ANY],$Z$150,Tabla2[MES],'2020'!N$2,Tabla2[TIPUS],'2020'!$A199)</f>
        <v>0</v>
      </c>
      <c r="O199" s="21">
        <f>IF(N$197=0,0,N199/N$197)</f>
        <v>0</v>
      </c>
      <c r="P199" s="20">
        <f>SUMIFS(Tabla2[B],Tabla2[ANY],$Z$150,Tabla2[MES],'2020'!P$2,Tabla2[TIPUS],'2020'!$A199)</f>
        <v>0</v>
      </c>
      <c r="Q199" s="21">
        <f>IF(P$197=0,0,P199/P$197)</f>
        <v>0</v>
      </c>
      <c r="R199" s="20">
        <f>SUMIFS(Tabla2[B],Tabla2[ANY],$Z$150,Tabla2[MES],'2020'!R$2,Tabla2[TIPUS],'2020'!$A199)</f>
        <v>0</v>
      </c>
      <c r="S199" s="21">
        <f>IF(R$197=0,0,R199/R$197)</f>
        <v>0</v>
      </c>
      <c r="T199" s="20">
        <f>SUMIFS(Tabla2[B],Tabla2[ANY],$Z$150,Tabla2[MES],'2020'!T$2,Tabla2[TIPUS],'2020'!$A199)</f>
        <v>0</v>
      </c>
      <c r="U199" s="21">
        <f>IF(T$197=0,0,T199/T$197)</f>
        <v>0</v>
      </c>
      <c r="V199" s="20">
        <f>SUMIFS(Tabla2[B],Tabla2[ANY],$Z$150,Tabla2[MES],'2020'!V$2,Tabla2[TIPUS],'2020'!$A199)</f>
        <v>0</v>
      </c>
      <c r="W199" s="21">
        <f>IF(V$197=0,0,V199/V$197)</f>
        <v>0</v>
      </c>
      <c r="X199" s="20">
        <f>SUMIFS(Tabla2[B],Tabla2[ANY],$Z$150,Tabla2[MES],'2020'!X$2,Tabla2[TIPUS],'2020'!$A199)</f>
        <v>0</v>
      </c>
      <c r="Y199" s="21">
        <f>IF(X$197=0,0,X199/X$197)</f>
        <v>0</v>
      </c>
      <c r="Z199" s="20">
        <f t="shared" si="203"/>
        <v>0</v>
      </c>
      <c r="AA199" s="21">
        <f>IF(Z$49=0,0,Z199/Z$49)</f>
        <v>0</v>
      </c>
    </row>
    <row r="200" spans="1:27" hidden="1" outlineLevel="1" x14ac:dyDescent="0.2">
      <c r="A200" s="8" t="s">
        <v>89</v>
      </c>
      <c r="B200" s="20">
        <f>SUMIFS(Tabla2[B],Tabla2[ANY],$Z$150,Tabla2[MES],'2020'!B$2,Tabla2[TIPUS],'2020'!$A200)</f>
        <v>64</v>
      </c>
      <c r="C200" s="21">
        <f t="shared" si="206"/>
        <v>0.21768707482993196</v>
      </c>
      <c r="D200" s="20">
        <f>SUMIFS(Tabla2[B],Tabla2[ANY],$Z$150,Tabla2[MES],'2020'!D$2,Tabla2[TIPUS],'2020'!$A200)</f>
        <v>90</v>
      </c>
      <c r="E200" s="21">
        <f t="shared" si="206"/>
        <v>0.23376623376623376</v>
      </c>
      <c r="F200" s="20">
        <f>SUMIFS(Tabla2[B],Tabla2[ANY],$Z$150,Tabla2[MES],'2020'!F$2,Tabla2[TIPUS],'2020'!$A200)</f>
        <v>0</v>
      </c>
      <c r="G200" s="21">
        <f>IF(F$197=0,0,F200/F$197)</f>
        <v>0</v>
      </c>
      <c r="H200" s="20">
        <f>SUMIFS(Tabla2[B],Tabla2[ANY],$Z$150,Tabla2[MES],'2020'!H$2,Tabla2[TIPUS],'2020'!$A200)</f>
        <v>0</v>
      </c>
      <c r="I200" s="21">
        <f>IF(H$197=0,0,H200/H$197)</f>
        <v>0</v>
      </c>
      <c r="J200" s="20">
        <f>SUMIFS(Tabla2[B],Tabla2[ANY],$Z$150,Tabla2[MES],'2020'!J$2,Tabla2[TIPUS],'2020'!$A200)</f>
        <v>187.15</v>
      </c>
      <c r="K200" s="21">
        <f>IF(J$197=0,0,J200/J$197)</f>
        <v>1</v>
      </c>
      <c r="L200" s="20">
        <f>SUMIFS(Tabla2[B],Tabla2[ANY],$Z$150,Tabla2[MES],'2020'!L$2,Tabla2[TIPUS],'2020'!$A200)</f>
        <v>125</v>
      </c>
      <c r="M200" s="21">
        <f>IF(L$197=0,0,L200/L$197)</f>
        <v>1</v>
      </c>
      <c r="N200" s="20">
        <f>SUMIFS(Tabla2[B],Tabla2[ANY],$Z$150,Tabla2[MES],'2020'!N$2,Tabla2[TIPUS],'2020'!$A200)</f>
        <v>5</v>
      </c>
      <c r="O200" s="21">
        <f>IF(N$197=0,0,N200/N$197)</f>
        <v>1</v>
      </c>
      <c r="P200" s="20">
        <f>SUMIFS(Tabla2[B],Tabla2[ANY],$Z$150,Tabla2[MES],'2020'!P$2,Tabla2[TIPUS],'2020'!$A200)</f>
        <v>0</v>
      </c>
      <c r="Q200" s="21">
        <f>IF(P$197=0,0,P200/P$197)</f>
        <v>0</v>
      </c>
      <c r="R200" s="20">
        <f>SUMIFS(Tabla2[B],Tabla2[ANY],$Z$150,Tabla2[MES],'2020'!R$2,Tabla2[TIPUS],'2020'!$A200)</f>
        <v>0</v>
      </c>
      <c r="S200" s="21">
        <f>IF(R$197=0,0,R200/R$197)</f>
        <v>0</v>
      </c>
      <c r="T200" s="20">
        <f>SUMIFS(Tabla2[B],Tabla2[ANY],$Z$150,Tabla2[MES],'2020'!T$2,Tabla2[TIPUS],'2020'!$A200)</f>
        <v>0</v>
      </c>
      <c r="U200" s="21">
        <f>IF(T$197=0,0,T200/T$197)</f>
        <v>0</v>
      </c>
      <c r="V200" s="20">
        <f>SUMIFS(Tabla2[B],Tabla2[ANY],$Z$150,Tabla2[MES],'2020'!V$2,Tabla2[TIPUS],'2020'!$A200)</f>
        <v>0</v>
      </c>
      <c r="W200" s="21">
        <f>IF(V$197=0,0,V200/V$197)</f>
        <v>0</v>
      </c>
      <c r="X200" s="20">
        <f>SUMIFS(Tabla2[B],Tabla2[ANY],$Z$150,Tabla2[MES],'2020'!X$2,Tabla2[TIPUS],'2020'!$A200)</f>
        <v>0</v>
      </c>
      <c r="Y200" s="21">
        <f>IF(X$197=0,0,X200/X$197)</f>
        <v>0</v>
      </c>
      <c r="Z200" s="20">
        <f t="shared" si="203"/>
        <v>471.15</v>
      </c>
      <c r="AA200" s="21">
        <f>IF(Z$49=0,0,Z200/Z$49)</f>
        <v>0.26489786968475382</v>
      </c>
    </row>
    <row r="201" spans="1:27" hidden="1" outlineLevel="1" x14ac:dyDescent="0.2">
      <c r="A201" s="8" t="s">
        <v>145</v>
      </c>
      <c r="B201" s="20">
        <f>SUMIFS(Tabla2[B],Tabla2[ANY],$Z$150,Tabla2[MES],'2020'!B$2,Tabla2[TIPUS],'2020'!$A201)</f>
        <v>80</v>
      </c>
      <c r="C201" s="21">
        <f>IF(B$197=0,0,B201/B$197)</f>
        <v>0.27210884353741499</v>
      </c>
      <c r="D201" s="20">
        <f>SUMIFS(Tabla2[B],Tabla2[ANY],$Z$150,Tabla2[MES],'2020'!D$2,Tabla2[TIPUS],'2020'!$A201)</f>
        <v>0</v>
      </c>
      <c r="E201" s="21">
        <f>IF(D$197=0,0,D201/D$197)</f>
        <v>0</v>
      </c>
      <c r="F201" s="20">
        <f>SUMIFS(Tabla2[B],Tabla2[ANY],$Z$150,Tabla2[MES],'2020'!F$2,Tabla2[TIPUS],'2020'!$A201)</f>
        <v>0</v>
      </c>
      <c r="G201" s="21">
        <f>IF(F$197=0,0,F201/F$197)</f>
        <v>0</v>
      </c>
      <c r="H201" s="20">
        <f>SUMIFS(Tabla2[B],Tabla2[ANY],$Z$150,Tabla2[MES],'2020'!H$2,Tabla2[TIPUS],'2020'!$A201)</f>
        <v>0</v>
      </c>
      <c r="I201" s="21">
        <f>IF(H$197=0,0,H201/H$197)</f>
        <v>0</v>
      </c>
      <c r="J201" s="20">
        <f>SUMIFS(Tabla2[B],Tabla2[ANY],$Z$150,Tabla2[MES],'2020'!J$2,Tabla2[TIPUS],'2020'!$A201)</f>
        <v>0</v>
      </c>
      <c r="K201" s="21">
        <f>IF(J$197=0,0,J201/J$197)</f>
        <v>0</v>
      </c>
      <c r="L201" s="20">
        <f>SUMIFS(Tabla2[B],Tabla2[ANY],$Z$150,Tabla2[MES],'2020'!L$2,Tabla2[TIPUS],'2020'!$A201)</f>
        <v>0</v>
      </c>
      <c r="M201" s="21">
        <f>IF(L$197=0,0,L201/L$197)</f>
        <v>0</v>
      </c>
      <c r="N201" s="20">
        <f>SUMIFS(Tabla2[B],Tabla2[ANY],$Z$150,Tabla2[MES],'2020'!N$2,Tabla2[TIPUS],'2020'!$A201)</f>
        <v>0</v>
      </c>
      <c r="O201" s="21">
        <f>IF(N$197=0,0,N201/N$197)</f>
        <v>0</v>
      </c>
      <c r="P201" s="20">
        <f>SUMIFS(Tabla2[B],Tabla2[ANY],$Z$150,Tabla2[MES],'2020'!P$2,Tabla2[TIPUS],'2020'!$A201)</f>
        <v>0</v>
      </c>
      <c r="Q201" s="21">
        <f>IF(P$197=0,0,P201/P$197)</f>
        <v>0</v>
      </c>
      <c r="R201" s="20">
        <f>SUMIFS(Tabla2[B],Tabla2[ANY],$Z$150,Tabla2[MES],'2020'!R$2,Tabla2[TIPUS],'2020'!$A201)</f>
        <v>0</v>
      </c>
      <c r="S201" s="21">
        <f>IF(R$197=0,0,R201/R$197)</f>
        <v>0</v>
      </c>
      <c r="T201" s="20">
        <f>SUMIFS(Tabla2[B],Tabla2[ANY],$Z$150,Tabla2[MES],'2020'!T$2,Tabla2[TIPUS],'2020'!$A201)</f>
        <v>0</v>
      </c>
      <c r="U201" s="21">
        <f>IF(T$197=0,0,T201/T$197)</f>
        <v>0</v>
      </c>
      <c r="V201" s="20">
        <f>SUMIFS(Tabla2[B],Tabla2[ANY],$Z$150,Tabla2[MES],'2020'!V$2,Tabla2[TIPUS],'2020'!$A201)</f>
        <v>0</v>
      </c>
      <c r="W201" s="21">
        <f>IF(V$197=0,0,V201/V$197)</f>
        <v>0</v>
      </c>
      <c r="X201" s="20">
        <f>SUMIFS(Tabla2[B],Tabla2[ANY],$Z$150,Tabla2[MES],'2020'!X$2,Tabla2[TIPUS],'2020'!$A201)</f>
        <v>0</v>
      </c>
      <c r="Y201" s="21">
        <f>IF(X$197=0,0,X201/X$197)</f>
        <v>0</v>
      </c>
      <c r="Z201" s="20">
        <f>B201+D201+F201+H201+J201+L201+N201+P201+R201+T201+V201+X201</f>
        <v>80</v>
      </c>
      <c r="AA201" s="21">
        <f>IF(Z$49=0,0,Z201/Z$49)</f>
        <v>4.4978944231731523E-2</v>
      </c>
    </row>
    <row r="202" spans="1:27" hidden="1" outlineLevel="1" x14ac:dyDescent="0.2">
      <c r="A202" s="8" t="s">
        <v>90</v>
      </c>
      <c r="B202" s="20">
        <f>SUMIFS(Tabla2[B],Tabla2[ANY],$Z$150,Tabla2[MES],'2020'!B$2,Tabla2[TIPUS],'2020'!$A202)</f>
        <v>150</v>
      </c>
      <c r="C202" s="21">
        <f t="shared" si="206"/>
        <v>0.51020408163265307</v>
      </c>
      <c r="D202" s="20">
        <f>SUMIFS(Tabla2[B],Tabla2[ANY],$Z$150,Tabla2[MES],'2020'!D$2,Tabla2[TIPUS],'2020'!$A202)</f>
        <v>295</v>
      </c>
      <c r="E202" s="21">
        <f t="shared" si="206"/>
        <v>0.76623376623376627</v>
      </c>
      <c r="F202" s="20">
        <f>SUMIFS(Tabla2[B],Tabla2[ANY],$Z$150,Tabla2[MES],'2020'!F$2,Tabla2[TIPUS],'2020'!$A202)</f>
        <v>0</v>
      </c>
      <c r="G202" s="21">
        <f>IF(F$197=0,0,F202/F$197)</f>
        <v>0</v>
      </c>
      <c r="H202" s="20">
        <f>SUMIFS(Tabla2[B],Tabla2[ANY],$Z$150,Tabla2[MES],'2020'!H$2,Tabla2[TIPUS],'2020'!$A202)</f>
        <v>0</v>
      </c>
      <c r="I202" s="21">
        <f>IF(H$197=0,0,H202/H$197)</f>
        <v>0</v>
      </c>
      <c r="J202" s="20">
        <f>SUMIFS(Tabla2[B],Tabla2[ANY],$Z$150,Tabla2[MES],'2020'!J$2,Tabla2[TIPUS],'2020'!$A202)</f>
        <v>0</v>
      </c>
      <c r="K202" s="21">
        <f>IF(J$197=0,0,J202/J$197)</f>
        <v>0</v>
      </c>
      <c r="L202" s="20">
        <f>SUMIFS(Tabla2[B],Tabla2[ANY],$Z$150,Tabla2[MES],'2020'!L$2,Tabla2[TIPUS],'2020'!$A202)</f>
        <v>0</v>
      </c>
      <c r="M202" s="21">
        <f>IF(L$197=0,0,L202/L$197)</f>
        <v>0</v>
      </c>
      <c r="N202" s="20">
        <f>SUMIFS(Tabla2[B],Tabla2[ANY],$Z$150,Tabla2[MES],'2020'!N$2,Tabla2[TIPUS],'2020'!$A202)</f>
        <v>0</v>
      </c>
      <c r="O202" s="21">
        <f>IF(N$197=0,0,N202/N$197)</f>
        <v>0</v>
      </c>
      <c r="P202" s="20">
        <f>SUMIFS(Tabla2[B],Tabla2[ANY],$Z$150,Tabla2[MES],'2020'!P$2,Tabla2[TIPUS],'2020'!$A202)</f>
        <v>0</v>
      </c>
      <c r="Q202" s="21">
        <f>IF(P$197=0,0,P202/P$197)</f>
        <v>0</v>
      </c>
      <c r="R202" s="20">
        <f>SUMIFS(Tabla2[B],Tabla2[ANY],$Z$150,Tabla2[MES],'2020'!R$2,Tabla2[TIPUS],'2020'!$A202)</f>
        <v>0</v>
      </c>
      <c r="S202" s="21">
        <f>IF(R$197=0,0,R202/R$197)</f>
        <v>0</v>
      </c>
      <c r="T202" s="20">
        <f>SUMIFS(Tabla2[B],Tabla2[ANY],$Z$150,Tabla2[MES],'2020'!T$2,Tabla2[TIPUS],'2020'!$A202)</f>
        <v>0</v>
      </c>
      <c r="U202" s="21">
        <f>IF(T$197=0,0,T202/T$197)</f>
        <v>0</v>
      </c>
      <c r="V202" s="20">
        <f>SUMIFS(Tabla2[B],Tabla2[ANY],$Z$150,Tabla2[MES],'2020'!V$2,Tabla2[TIPUS],'2020'!$A202)</f>
        <v>0</v>
      </c>
      <c r="W202" s="21">
        <f>IF(V$197=0,0,V202/V$197)</f>
        <v>0</v>
      </c>
      <c r="X202" s="20">
        <f>SUMIFS(Tabla2[B],Tabla2[ANY],$Z$150,Tabla2[MES],'2020'!X$2,Tabla2[TIPUS],'2020'!$A202)</f>
        <v>0</v>
      </c>
      <c r="Y202" s="21">
        <f>IF(X$197=0,0,X202/X$197)</f>
        <v>0</v>
      </c>
      <c r="Z202" s="20">
        <f t="shared" si="203"/>
        <v>445</v>
      </c>
      <c r="AA202" s="21">
        <f>IF(Z$49=0,0,Z202/Z$49)</f>
        <v>0.25019537728900659</v>
      </c>
    </row>
    <row r="203" spans="1:27" ht="15.75" collapsed="1" thickBot="1" x14ac:dyDescent="0.25">
      <c r="A203" s="15" t="s">
        <v>121</v>
      </c>
      <c r="B203" s="26">
        <f>B151-B188</f>
        <v>1081</v>
      </c>
      <c r="C203" s="27">
        <f>IF(B151=0,0,B203/B151)</f>
        <v>0.59232876712328764</v>
      </c>
      <c r="D203" s="26">
        <f>D151-D188</f>
        <v>1230</v>
      </c>
      <c r="E203" s="27">
        <f>IF(D151=0,0,D203/D151)</f>
        <v>0.6776859504132231</v>
      </c>
      <c r="F203" s="26">
        <f>F151-F188</f>
        <v>300</v>
      </c>
      <c r="G203" s="27">
        <f>IF(F151=0,0,F203/F151)</f>
        <v>0.6</v>
      </c>
      <c r="H203" s="26">
        <f>H151-H188</f>
        <v>0</v>
      </c>
      <c r="I203" s="27">
        <f>IF(H151=0,0,H203/H151)</f>
        <v>0</v>
      </c>
      <c r="J203" s="26">
        <f>J151-J188</f>
        <v>-277.14999999999998</v>
      </c>
      <c r="K203" s="27">
        <f>IF(J151=0,0,J203/J151)</f>
        <v>0</v>
      </c>
      <c r="L203" s="26">
        <f>L151-L188</f>
        <v>808</v>
      </c>
      <c r="M203" s="27">
        <f>IF(L151=0,0,L203/L151)</f>
        <v>0.74470046082949304</v>
      </c>
      <c r="N203" s="26">
        <f>N151-N188</f>
        <v>1185</v>
      </c>
      <c r="O203" s="27">
        <f>IF(N151=0,0,N203/N151)</f>
        <v>0.80067567567567566</v>
      </c>
      <c r="P203" s="26">
        <f>P151-P188</f>
        <v>1015</v>
      </c>
      <c r="Q203" s="27">
        <f>IF(P151=0,0,P203/P151)</f>
        <v>0.83539094650205759</v>
      </c>
      <c r="R203" s="26">
        <f>R151-R188</f>
        <v>245</v>
      </c>
      <c r="S203" s="27">
        <f>IF(R151=0,0,R203/R151)</f>
        <v>0.550561797752809</v>
      </c>
      <c r="T203" s="26">
        <f>T151-T188</f>
        <v>95</v>
      </c>
      <c r="U203" s="27">
        <f>IF(T151=0,0,T203/T151)</f>
        <v>0.32203389830508472</v>
      </c>
      <c r="V203" s="26">
        <f>V151-V188</f>
        <v>0</v>
      </c>
      <c r="W203" s="27">
        <f>IF(V151=0,0,V203/V151)</f>
        <v>0</v>
      </c>
      <c r="X203" s="26">
        <f>X151-X188</f>
        <v>-80</v>
      </c>
      <c r="Y203" s="27">
        <f>IF(X151=0,0,X203/X151)</f>
        <v>-0.8</v>
      </c>
      <c r="Z203" s="26">
        <f>Z151-Z188</f>
        <v>5601.85</v>
      </c>
      <c r="AA203" s="27">
        <f>IF(Z151=0,0,Z203/Z151)</f>
        <v>0.63948059360730602</v>
      </c>
    </row>
    <row r="204" spans="1:27" ht="16.5" thickTop="1" thickBot="1" x14ac:dyDescent="0.25">
      <c r="A204" s="13" t="s">
        <v>120</v>
      </c>
      <c r="B204" s="28">
        <f>B205</f>
        <v>0</v>
      </c>
      <c r="C204" s="29">
        <f>IF(B151=0,0,B204/B151)</f>
        <v>0</v>
      </c>
      <c r="D204" s="28">
        <f>D205</f>
        <v>0</v>
      </c>
      <c r="E204" s="29">
        <f>IF(D151=0,0,D204/D151)</f>
        <v>0</v>
      </c>
      <c r="F204" s="28">
        <f>F205</f>
        <v>0</v>
      </c>
      <c r="G204" s="29">
        <f>IF(F151=0,0,F204/F151)</f>
        <v>0</v>
      </c>
      <c r="H204" s="28">
        <f>H205</f>
        <v>0</v>
      </c>
      <c r="I204" s="29">
        <f>IF(H151=0,0,H204/H151)</f>
        <v>0</v>
      </c>
      <c r="J204" s="28">
        <f>J205</f>
        <v>0</v>
      </c>
      <c r="K204" s="29">
        <f>IF(J151=0,0,J204/J151)</f>
        <v>0</v>
      </c>
      <c r="L204" s="28">
        <f>L205</f>
        <v>0</v>
      </c>
      <c r="M204" s="29">
        <f>IF(L151=0,0,L204/L151)</f>
        <v>0</v>
      </c>
      <c r="N204" s="28">
        <f>N205</f>
        <v>0</v>
      </c>
      <c r="O204" s="29">
        <f>IF(N151=0,0,N204/N151)</f>
        <v>0</v>
      </c>
      <c r="P204" s="28">
        <f>P205</f>
        <v>0</v>
      </c>
      <c r="Q204" s="29">
        <f>IF(P151=0,0,P204/P151)</f>
        <v>0</v>
      </c>
      <c r="R204" s="28">
        <f>R205</f>
        <v>0</v>
      </c>
      <c r="S204" s="29">
        <f>IF(R151=0,0,R204/R151)</f>
        <v>0</v>
      </c>
      <c r="T204" s="28">
        <f>T205</f>
        <v>0</v>
      </c>
      <c r="U204" s="29">
        <f>IF(T151=0,0,T204/T151)</f>
        <v>0</v>
      </c>
      <c r="V204" s="28">
        <f>V205</f>
        <v>0</v>
      </c>
      <c r="W204" s="29">
        <f>IF(V151=0,0,V204/V151)</f>
        <v>0</v>
      </c>
      <c r="X204" s="28">
        <f>X205</f>
        <v>0</v>
      </c>
      <c r="Y204" s="29">
        <f>IF(X151=0,0,X204/X151)</f>
        <v>0</v>
      </c>
      <c r="Z204" s="28">
        <f>Z205</f>
        <v>0</v>
      </c>
      <c r="AA204" s="29">
        <f>IF(Z151=0,0,Z204/Z151)</f>
        <v>0</v>
      </c>
    </row>
    <row r="205" spans="1:27" hidden="1" outlineLevel="1" x14ac:dyDescent="0.2">
      <c r="A205" s="8" t="s">
        <v>81</v>
      </c>
      <c r="B205" s="20">
        <v>0</v>
      </c>
      <c r="C205" s="21">
        <f>IF(B204=0,0,B205/B204)</f>
        <v>0</v>
      </c>
      <c r="D205" s="20">
        <v>0</v>
      </c>
      <c r="E205" s="21">
        <f>IF(D204=0,0,D205/D204)</f>
        <v>0</v>
      </c>
      <c r="F205" s="20">
        <v>0</v>
      </c>
      <c r="G205" s="21">
        <f>IF(F204=0,0,F205/F204)</f>
        <v>0</v>
      </c>
      <c r="H205" s="20">
        <v>0</v>
      </c>
      <c r="I205" s="21">
        <f>IF(H204=0,0,H205/H204)</f>
        <v>0</v>
      </c>
      <c r="J205" s="20">
        <v>0</v>
      </c>
      <c r="K205" s="21">
        <f>IF(J204=0,0,J205/J204)</f>
        <v>0</v>
      </c>
      <c r="L205" s="20">
        <v>0</v>
      </c>
      <c r="M205" s="21">
        <f>IF(L204=0,0,L205/L204)</f>
        <v>0</v>
      </c>
      <c r="N205" s="20">
        <v>0</v>
      </c>
      <c r="O205" s="21">
        <f>IF(N204=0,0,N205/N204)</f>
        <v>0</v>
      </c>
      <c r="P205" s="20">
        <v>0</v>
      </c>
      <c r="Q205" s="21">
        <f>IF(P204=0,0,P205/P204)</f>
        <v>0</v>
      </c>
      <c r="R205" s="20">
        <v>0</v>
      </c>
      <c r="S205" s="21">
        <f>IF(R204=0,0,R205/R204)</f>
        <v>0</v>
      </c>
      <c r="T205" s="20">
        <v>0</v>
      </c>
      <c r="U205" s="21">
        <f>IF(T204=0,0,T205/T204)</f>
        <v>0</v>
      </c>
      <c r="V205" s="20">
        <v>0</v>
      </c>
      <c r="W205" s="21">
        <f>IF(V204=0,0,V205/V204)</f>
        <v>0</v>
      </c>
      <c r="X205" s="20">
        <v>0</v>
      </c>
      <c r="Y205" s="21">
        <f>IF(X204=0,0,X205/X204)</f>
        <v>0</v>
      </c>
      <c r="Z205" s="20">
        <f>B205+D205+F205+H205+J205+L205+N205+P205+R205+T205+V205+X205</f>
        <v>0</v>
      </c>
      <c r="AA205" s="21">
        <f>IF(Z204=0,0,Z205/Z204)</f>
        <v>0</v>
      </c>
    </row>
    <row r="206" spans="1:27" ht="15.75" collapsed="1" thickBot="1" x14ac:dyDescent="0.25">
      <c r="A206" s="15" t="s">
        <v>122</v>
      </c>
      <c r="B206" s="26">
        <f>B203-B204</f>
        <v>1081</v>
      </c>
      <c r="C206" s="27">
        <f>IF(B$151=0,0,B206/B$151)</f>
        <v>0.59232876712328764</v>
      </c>
      <c r="D206" s="26">
        <f>D203-D204</f>
        <v>1230</v>
      </c>
      <c r="E206" s="27">
        <f>IF(D$151=0,0,D206/D$151)</f>
        <v>0.6776859504132231</v>
      </c>
      <c r="F206" s="26">
        <f>F203-F204</f>
        <v>300</v>
      </c>
      <c r="G206" s="27">
        <f>IF(F$151=0,0,F206/F$151)</f>
        <v>0.6</v>
      </c>
      <c r="H206" s="26">
        <f>H203-H204</f>
        <v>0</v>
      </c>
      <c r="I206" s="27">
        <f>IF(H$151=0,0,H206/H$151)</f>
        <v>0</v>
      </c>
      <c r="J206" s="26">
        <f>J203-J204</f>
        <v>-277.14999999999998</v>
      </c>
      <c r="K206" s="27">
        <f>IF(J$151=0,0,J206/J$151)</f>
        <v>0</v>
      </c>
      <c r="L206" s="26">
        <f>L203-L204</f>
        <v>808</v>
      </c>
      <c r="M206" s="27">
        <f>IF(L$151=0,0,L206/L$151)</f>
        <v>0.74470046082949304</v>
      </c>
      <c r="N206" s="26">
        <f>N203-N204</f>
        <v>1185</v>
      </c>
      <c r="O206" s="27">
        <f>IF(N$151=0,0,N206/N$151)</f>
        <v>0.80067567567567566</v>
      </c>
      <c r="P206" s="26">
        <f>P203-P204</f>
        <v>1015</v>
      </c>
      <c r="Q206" s="27">
        <f>IF(P$151=0,0,P206/P$151)</f>
        <v>0.83539094650205759</v>
      </c>
      <c r="R206" s="26">
        <f>R203-R204</f>
        <v>245</v>
      </c>
      <c r="S206" s="27">
        <f>IF(R$151=0,0,R206/R$151)</f>
        <v>0.550561797752809</v>
      </c>
      <c r="T206" s="26">
        <f>T203-T204</f>
        <v>95</v>
      </c>
      <c r="U206" s="27">
        <f>IF(T$151=0,0,T206/T$151)</f>
        <v>0.32203389830508472</v>
      </c>
      <c r="V206" s="26">
        <f>V203-V204</f>
        <v>0</v>
      </c>
      <c r="W206" s="27">
        <f>IF(V$151=0,0,V206/V$151)</f>
        <v>0</v>
      </c>
      <c r="X206" s="26">
        <f>X203-X204</f>
        <v>-80</v>
      </c>
      <c r="Y206" s="27">
        <f>IF(X$151=0,0,X206/X$151)</f>
        <v>-0.8</v>
      </c>
      <c r="Z206" s="26">
        <f>Z203-Z204</f>
        <v>5601.85</v>
      </c>
      <c r="AA206" s="27">
        <f>IF(Z$3=0,0,Z206/Z$3)</f>
        <v>0.26158692534673339</v>
      </c>
    </row>
    <row r="207" spans="1:27" ht="16.5" thickTop="1" thickBot="1" x14ac:dyDescent="0.25">
      <c r="A207" s="13" t="s">
        <v>134</v>
      </c>
      <c r="B207" s="28">
        <f>B208</f>
        <v>0</v>
      </c>
      <c r="C207" s="29">
        <f>IF(B$151=0,0,B207/B$151)</f>
        <v>0</v>
      </c>
      <c r="D207" s="28">
        <f>D208</f>
        <v>0</v>
      </c>
      <c r="E207" s="29">
        <f>IF(D$151=0,0,D207/D$151)</f>
        <v>0</v>
      </c>
      <c r="F207" s="28">
        <f>F208</f>
        <v>0</v>
      </c>
      <c r="G207" s="29">
        <f>IF(F$151=0,0,F207/F$151)</f>
        <v>0</v>
      </c>
      <c r="H207" s="28">
        <f>H208</f>
        <v>0</v>
      </c>
      <c r="I207" s="29">
        <f>IF(H$151=0,0,H207/H$151)</f>
        <v>0</v>
      </c>
      <c r="J207" s="28">
        <f>J208</f>
        <v>0</v>
      </c>
      <c r="K207" s="29">
        <f>IF(J$151=0,0,J207/J$151)</f>
        <v>0</v>
      </c>
      <c r="L207" s="28">
        <f>L208</f>
        <v>0</v>
      </c>
      <c r="M207" s="29">
        <f>IF(L$151=0,0,L207/L$151)</f>
        <v>0</v>
      </c>
      <c r="N207" s="28">
        <f>N208</f>
        <v>0</v>
      </c>
      <c r="O207" s="29">
        <f>IF(N$151=0,0,N207/N$151)</f>
        <v>0</v>
      </c>
      <c r="P207" s="28">
        <f>P208</f>
        <v>0</v>
      </c>
      <c r="Q207" s="29">
        <f>IF(P$151=0,0,P207/P$151)</f>
        <v>0</v>
      </c>
      <c r="R207" s="28">
        <f>R208</f>
        <v>0</v>
      </c>
      <c r="S207" s="29">
        <f>IF(R$151=0,0,R207/R$151)</f>
        <v>0</v>
      </c>
      <c r="T207" s="28">
        <f>T208</f>
        <v>0</v>
      </c>
      <c r="U207" s="29">
        <f>IF(T$151=0,0,T207/T$151)</f>
        <v>0</v>
      </c>
      <c r="V207" s="28">
        <f>V208</f>
        <v>0</v>
      </c>
      <c r="W207" s="29">
        <f>IF(V$151=0,0,V207/V$151)</f>
        <v>0</v>
      </c>
      <c r="X207" s="28">
        <f>X208</f>
        <v>0</v>
      </c>
      <c r="Y207" s="29">
        <f>IF(X$151=0,0,X207/X$151)</f>
        <v>0</v>
      </c>
      <c r="Z207" s="28">
        <f>Z208</f>
        <v>0</v>
      </c>
      <c r="AA207" s="29">
        <f>IF(Z$3=0,0,Z207/Z$3)</f>
        <v>0</v>
      </c>
    </row>
    <row r="208" spans="1:27" hidden="1" outlineLevel="1" x14ac:dyDescent="0.2">
      <c r="A208" s="8" t="s">
        <v>133</v>
      </c>
      <c r="B208" s="20">
        <f>SUMIFS(Tabla2[B],Tabla2[ANY],2020,Tabla2[MES],'2020'!B$2,Tabla2[TIPUS],'2020'!$A208)</f>
        <v>0</v>
      </c>
      <c r="C208" s="44">
        <f>IF(B207=0,0,B208/B207)</f>
        <v>0</v>
      </c>
      <c r="D208" s="20">
        <f>SUMIFS(Tabla2[B],Tabla2[ANY],2020,Tabla2[MES],'2020'!D$2,Tabla2[TIPUS],'2020'!$A208)</f>
        <v>0</v>
      </c>
      <c r="E208" s="44">
        <f>IF(D207=0,0,D208/D207)</f>
        <v>0</v>
      </c>
      <c r="F208" s="20">
        <f>SUMIFS(Tabla2[B],Tabla2[ANY],2020,Tabla2[MES],'2020'!F$2,Tabla2[TIPUS],'2020'!$A208)</f>
        <v>0</v>
      </c>
      <c r="G208" s="44">
        <f>IF(F207=0,0,F208/F207)</f>
        <v>0</v>
      </c>
      <c r="H208" s="20">
        <f>SUMIFS(Tabla2[B],Tabla2[ANY],2020,Tabla2[MES],'2020'!H$2,Tabla2[TIPUS],'2020'!$A208)</f>
        <v>0</v>
      </c>
      <c r="I208" s="44">
        <f>IF(H207=0,0,H208/H207)</f>
        <v>0</v>
      </c>
      <c r="J208" s="20">
        <f>SUMIFS(Tabla2[B],Tabla2[ANY],2020,Tabla2[MES],'2020'!J$2,Tabla2[TIPUS],'2020'!$A208)</f>
        <v>0</v>
      </c>
      <c r="K208" s="44">
        <f>IF(J207=0,0,J208/J207)</f>
        <v>0</v>
      </c>
      <c r="L208" s="20">
        <f>SUMIFS(Tabla2[B],Tabla2[ANY],2020,Tabla2[MES],'2020'!L$2,Tabla2[TIPUS],'2020'!$A208)</f>
        <v>0</v>
      </c>
      <c r="M208" s="44">
        <f>IF(L207=0,0,L208/L207)</f>
        <v>0</v>
      </c>
      <c r="N208" s="20">
        <f>SUMIFS(Tabla2[B],Tabla2[ANY],2020,Tabla2[MES],'2020'!N$2,Tabla2[TIPUS],'2020'!$A208)</f>
        <v>0</v>
      </c>
      <c r="O208" s="44">
        <f>IF(N207=0,0,N208/N207)</f>
        <v>0</v>
      </c>
      <c r="P208" s="20">
        <f>SUMIFS(Tabla2[B],Tabla2[ANY],2020,Tabla2[MES],'2020'!P$2,Tabla2[TIPUS],'2020'!$A208)</f>
        <v>0</v>
      </c>
      <c r="Q208" s="44">
        <f>IF(P207=0,0,P208/P207)</f>
        <v>0</v>
      </c>
      <c r="R208" s="20">
        <f>SUMIFS(Tabla2[B],Tabla2[ANY],2020,Tabla2[MES],'2020'!R$2,Tabla2[TIPUS],'2020'!$A208)</f>
        <v>0</v>
      </c>
      <c r="S208" s="44">
        <f>IF(R207=0,0,R208/R207)</f>
        <v>0</v>
      </c>
      <c r="T208" s="20">
        <f>SUMIFS(Tabla2[B],Tabla2[ANY],2020,Tabla2[MES],'2020'!T$2,Tabla2[TIPUS],'2020'!$A208)</f>
        <v>0</v>
      </c>
      <c r="U208" s="44">
        <f>IF(T207=0,0,T208/T207)</f>
        <v>0</v>
      </c>
      <c r="V208" s="20">
        <f>SUMIFS(Tabla2[B],Tabla2[ANY],2020,Tabla2[MES],'2020'!V$2,Tabla2[TIPUS],'2020'!$A208)</f>
        <v>0</v>
      </c>
      <c r="W208" s="44">
        <f>IF(V207=0,0,V208/V207)</f>
        <v>0</v>
      </c>
      <c r="X208" s="20">
        <f>SUMIFS(Tabla2[B],Tabla2[ANY],2020,Tabla2[MES],'2020'!X$2,Tabla2[TIPUS],'2020'!$A208)</f>
        <v>0</v>
      </c>
      <c r="Y208" s="44">
        <f>IF(X207=0,0,X208/X207)</f>
        <v>0</v>
      </c>
      <c r="Z208" s="20">
        <f>B208+D208+F208+H208+J208+L208+N208+P208+R208+T208+V208+X208</f>
        <v>0</v>
      </c>
      <c r="AA208" s="44">
        <f>IF(Z207=0,0,Z208/Z207)</f>
        <v>0</v>
      </c>
    </row>
    <row r="209" spans="1:27" ht="15.75" collapsed="1" thickBot="1" x14ac:dyDescent="0.25">
      <c r="A209" s="15" t="s">
        <v>135</v>
      </c>
      <c r="B209" s="26">
        <f>B206-B208</f>
        <v>1081</v>
      </c>
      <c r="C209" s="27">
        <f>IF(B$151=0,0,B209/B$151)</f>
        <v>0.59232876712328764</v>
      </c>
      <c r="D209" s="26">
        <f>D206-D208</f>
        <v>1230</v>
      </c>
      <c r="E209" s="27">
        <f>IF(D$151=0,0,D209/D$151)</f>
        <v>0.6776859504132231</v>
      </c>
      <c r="F209" s="26">
        <f>F206-F208</f>
        <v>300</v>
      </c>
      <c r="G209" s="27">
        <f>IF(F$151=0,0,F209/F$151)</f>
        <v>0.6</v>
      </c>
      <c r="H209" s="26">
        <f>H206-H208</f>
        <v>0</v>
      </c>
      <c r="I209" s="27">
        <f>IF(H$151=0,0,H209/H$151)</f>
        <v>0</v>
      </c>
      <c r="J209" s="26">
        <f>J206-J208</f>
        <v>-277.14999999999998</v>
      </c>
      <c r="K209" s="27">
        <f>IF(J$151=0,0,J209/J$151)</f>
        <v>0</v>
      </c>
      <c r="L209" s="26">
        <f>L206-L208</f>
        <v>808</v>
      </c>
      <c r="M209" s="27">
        <f>IF(L$151=0,0,L209/L$151)</f>
        <v>0.74470046082949304</v>
      </c>
      <c r="N209" s="26">
        <f>N206-N208</f>
        <v>1185</v>
      </c>
      <c r="O209" s="27">
        <f>IF(N$151=0,0,N209/N$151)</f>
        <v>0.80067567567567566</v>
      </c>
      <c r="P209" s="26">
        <f>P206-P208</f>
        <v>1015</v>
      </c>
      <c r="Q209" s="27">
        <f>IF(P$151=0,0,P209/P$151)</f>
        <v>0.83539094650205759</v>
      </c>
      <c r="R209" s="26">
        <f>R206-R208</f>
        <v>245</v>
      </c>
      <c r="S209" s="27">
        <f>IF(R$151=0,0,R209/R$151)</f>
        <v>0.550561797752809</v>
      </c>
      <c r="T209" s="26">
        <f>T206-T208</f>
        <v>95</v>
      </c>
      <c r="U209" s="27">
        <f>IF(T$151=0,0,T209/T$151)</f>
        <v>0.32203389830508472</v>
      </c>
      <c r="V209" s="26">
        <f>V206-V208</f>
        <v>0</v>
      </c>
      <c r="W209" s="27">
        <f>IF(V$151=0,0,V209/V$151)</f>
        <v>0</v>
      </c>
      <c r="X209" s="26">
        <f>X206-X208</f>
        <v>-80</v>
      </c>
      <c r="Y209" s="27">
        <f>IF(X$151=0,0,X209/X$151)</f>
        <v>-0.8</v>
      </c>
      <c r="Z209" s="26">
        <f>Z206-Z208</f>
        <v>5601.85</v>
      </c>
      <c r="AA209" s="27">
        <f>IF(Z$3=0,0,Z209/Z$3)</f>
        <v>0.26158692534673339</v>
      </c>
    </row>
    <row r="210" spans="1:27" ht="15.75" thickTop="1" x14ac:dyDescent="0.2">
      <c r="A210" s="8" t="s">
        <v>123</v>
      </c>
      <c r="B210" s="20">
        <f>SUMIFS(Tabla2[B],Tabla2[ANY],2020,Tabla2[MES],'2020'!B$2,Tabla2[TIPUS],'2020'!$A210)</f>
        <v>0</v>
      </c>
      <c r="C210" s="21">
        <f>IF(B$151=0,0,B210/B$151)</f>
        <v>0</v>
      </c>
      <c r="D210" s="20">
        <f>SUMIFS(Tabla2[B],Tabla2[ANY],2020,Tabla2[MES],'2020'!D$2,Tabla2[TIPUS],'2020'!$A210)</f>
        <v>0</v>
      </c>
      <c r="E210" s="21">
        <f>IF(D$151=0,0,D210/D$151)</f>
        <v>0</v>
      </c>
      <c r="F210" s="20">
        <f>SUMIFS(Tabla2[B],Tabla2[ANY],2020,Tabla2[MES],'2020'!F$2,Tabla2[TIPUS],'2020'!$A210)</f>
        <v>0</v>
      </c>
      <c r="G210" s="21">
        <f>IF(F$151=0,0,F210/F$151)</f>
        <v>0</v>
      </c>
      <c r="H210" s="20">
        <f>SUMIFS(Tabla2[B],Tabla2[ANY],2020,Tabla2[MES],'2020'!H$2,Tabla2[TIPUS],'2020'!$A210)</f>
        <v>0</v>
      </c>
      <c r="I210" s="21">
        <f>IF(H$151=0,0,H210/H$151)</f>
        <v>0</v>
      </c>
      <c r="J210" s="20">
        <f>SUMIFS(Tabla2[B],Tabla2[ANY],2020,Tabla2[MES],'2020'!J$2,Tabla2[TIPUS],'2020'!$A210)</f>
        <v>0</v>
      </c>
      <c r="K210" s="21">
        <f>IF(J$151=0,0,J210/J$151)</f>
        <v>0</v>
      </c>
      <c r="L210" s="20">
        <f>SUMIFS(Tabla2[B],Tabla2[ANY],2020,Tabla2[MES],'2020'!L$2,Tabla2[TIPUS],'2020'!$A210)</f>
        <v>0</v>
      </c>
      <c r="M210" s="21">
        <f>IF(L$151=0,0,L210/L$151)</f>
        <v>0</v>
      </c>
      <c r="N210" s="20">
        <f>SUMIFS(Tabla2[B],Tabla2[ANY],2020,Tabla2[MES],'2020'!N$2,Tabla2[TIPUS],'2020'!$A210)</f>
        <v>0</v>
      </c>
      <c r="O210" s="21">
        <f>IF(N$151=0,0,N210/N$151)</f>
        <v>0</v>
      </c>
      <c r="P210" s="20">
        <f>SUMIFS(Tabla2[B],Tabla2[ANY],2020,Tabla2[MES],'2020'!P$2,Tabla2[TIPUS],'2020'!$A210)</f>
        <v>0</v>
      </c>
      <c r="Q210" s="21">
        <f>IF(P$151=0,0,P210/P$151)</f>
        <v>0</v>
      </c>
      <c r="R210" s="20">
        <f>SUMIFS(Tabla2[B],Tabla2[ANY],2020,Tabla2[MES],'2020'!R$2,Tabla2[TIPUS],'2020'!$A210)</f>
        <v>0</v>
      </c>
      <c r="S210" s="21">
        <f>IF(R$151=0,0,R210/R$151)</f>
        <v>0</v>
      </c>
      <c r="T210" s="20">
        <f>SUMIFS(Tabla2[B],Tabla2[ANY],2020,Tabla2[MES],'2020'!T$2,Tabla2[TIPUS],'2020'!$A210)</f>
        <v>0</v>
      </c>
      <c r="U210" s="21">
        <f>IF(T$151=0,0,T210/T$151)</f>
        <v>0</v>
      </c>
      <c r="V210" s="20">
        <f>SUMIFS(Tabla2[B],Tabla2[ANY],2020,Tabla2[MES],'2020'!V$2,Tabla2[TIPUS],'2020'!$A210)</f>
        <v>0</v>
      </c>
      <c r="W210" s="21">
        <f>IF(V$151=0,0,V210/V$151)</f>
        <v>0</v>
      </c>
      <c r="X210" s="20">
        <f>SUMIFS(Tabla2[B],Tabla2[ANY],2020,Tabla2[MES],'2020'!X$2,Tabla2[TIPUS],'2020'!$A210)</f>
        <v>0</v>
      </c>
      <c r="Y210" s="21">
        <f>IF(X$151=0,0,X210/X$151)</f>
        <v>0</v>
      </c>
      <c r="Z210" s="20">
        <f>B210+D210+F210+H210+J210+L210+N210+P210+R210+T210+V210+X210</f>
        <v>0</v>
      </c>
      <c r="AA210" s="21">
        <f>IF(Z$3=0,0,Z210/Z$3)</f>
        <v>0</v>
      </c>
    </row>
    <row r="211" spans="1:27" ht="15.75" thickBot="1" x14ac:dyDescent="0.25">
      <c r="A211" s="15" t="s">
        <v>124</v>
      </c>
      <c r="B211" s="26">
        <f>B209-B210</f>
        <v>1081</v>
      </c>
      <c r="C211" s="27">
        <f>IF(B151=0,0,B211/B151)</f>
        <v>0.59232876712328764</v>
      </c>
      <c r="D211" s="26">
        <f>D209-D210</f>
        <v>1230</v>
      </c>
      <c r="E211" s="27">
        <f>IF(D151=0,0,D211/D151)</f>
        <v>0.6776859504132231</v>
      </c>
      <c r="F211" s="26">
        <f>F209-F210</f>
        <v>300</v>
      </c>
      <c r="G211" s="27">
        <f>IF(F151=0,0,F211/F151)</f>
        <v>0.6</v>
      </c>
      <c r="H211" s="26">
        <f>H209-H210</f>
        <v>0</v>
      </c>
      <c r="I211" s="27">
        <f>IF(H151=0,0,H211/H151)</f>
        <v>0</v>
      </c>
      <c r="J211" s="26">
        <f>J209-J210</f>
        <v>-277.14999999999998</v>
      </c>
      <c r="K211" s="27">
        <f>IF(J151=0,0,J211/J151)</f>
        <v>0</v>
      </c>
      <c r="L211" s="26">
        <f>L209-L210</f>
        <v>808</v>
      </c>
      <c r="M211" s="27">
        <f>IF(L151=0,0,L211/L151)</f>
        <v>0.74470046082949304</v>
      </c>
      <c r="N211" s="26">
        <f>N209-N210</f>
        <v>1185</v>
      </c>
      <c r="O211" s="27">
        <f>IF(N151=0,0,N211/N151)</f>
        <v>0.80067567567567566</v>
      </c>
      <c r="P211" s="26">
        <f>P209-P210</f>
        <v>1015</v>
      </c>
      <c r="Q211" s="27">
        <f>IF(P151=0,0,P211/P151)</f>
        <v>0.83539094650205759</v>
      </c>
      <c r="R211" s="26">
        <f>R209-R210</f>
        <v>245</v>
      </c>
      <c r="S211" s="27">
        <f>IF(R151=0,0,R211/R151)</f>
        <v>0.550561797752809</v>
      </c>
      <c r="T211" s="26">
        <f>T209-T210</f>
        <v>95</v>
      </c>
      <c r="U211" s="27">
        <f>IF(T151=0,0,T211/T151)</f>
        <v>0.32203389830508472</v>
      </c>
      <c r="V211" s="26">
        <f>V209-V210</f>
        <v>0</v>
      </c>
      <c r="W211" s="27">
        <f>IF(V151=0,0,V211/V151)</f>
        <v>0</v>
      </c>
      <c r="X211" s="26">
        <f>X209-X210</f>
        <v>-80</v>
      </c>
      <c r="Y211" s="27">
        <f>IF(X151=0,0,X211/X151)</f>
        <v>-0.8</v>
      </c>
      <c r="Z211" s="26">
        <f>Z209-Z210</f>
        <v>5601.85</v>
      </c>
      <c r="AA211" s="27">
        <f>IF(Z151=0,0,Z211/Z151)</f>
        <v>0.63948059360730602</v>
      </c>
    </row>
    <row r="212" spans="1:27" ht="16.5" thickTop="1" thickBot="1" x14ac:dyDescent="0.25">
      <c r="B212" s="30"/>
      <c r="C212" s="31"/>
      <c r="D212" s="30"/>
      <c r="E212" s="31"/>
      <c r="F212" s="30"/>
      <c r="G212" s="31"/>
      <c r="H212" s="30"/>
      <c r="I212" s="31"/>
      <c r="J212" s="30"/>
      <c r="K212" s="31"/>
      <c r="L212" s="30"/>
      <c r="M212" s="31"/>
      <c r="N212" s="30"/>
      <c r="O212" s="31"/>
      <c r="P212" s="30"/>
      <c r="Q212" s="31"/>
      <c r="R212" s="30"/>
      <c r="S212" s="31"/>
      <c r="T212" s="30"/>
      <c r="U212" s="31"/>
      <c r="V212" s="30"/>
      <c r="W212" s="31"/>
      <c r="X212" s="30"/>
      <c r="Y212" s="31"/>
      <c r="Z212" s="30"/>
      <c r="AA212" s="31"/>
    </row>
    <row r="213" spans="1:27" ht="15.75" thickBot="1" x14ac:dyDescent="0.25">
      <c r="A213" s="210" t="s">
        <v>136</v>
      </c>
    </row>
    <row r="214" spans="1:27" x14ac:dyDescent="0.2">
      <c r="A214" s="210"/>
      <c r="B214" s="208" t="s">
        <v>48</v>
      </c>
      <c r="C214" s="209"/>
      <c r="D214" s="208" t="s">
        <v>56</v>
      </c>
      <c r="E214" s="209"/>
      <c r="F214" s="208" t="s">
        <v>57</v>
      </c>
      <c r="G214" s="209"/>
      <c r="H214" s="208" t="s">
        <v>58</v>
      </c>
      <c r="I214" s="209"/>
      <c r="J214" s="208" t="s">
        <v>59</v>
      </c>
      <c r="K214" s="209"/>
      <c r="L214" s="208" t="s">
        <v>60</v>
      </c>
      <c r="M214" s="209"/>
      <c r="N214" s="208" t="s">
        <v>61</v>
      </c>
      <c r="O214" s="209"/>
      <c r="P214" s="208" t="s">
        <v>62</v>
      </c>
      <c r="Q214" s="209"/>
      <c r="R214" s="208" t="s">
        <v>236</v>
      </c>
      <c r="S214" s="209"/>
      <c r="T214" s="208" t="s">
        <v>63</v>
      </c>
      <c r="U214" s="209"/>
      <c r="V214" s="208" t="s">
        <v>64</v>
      </c>
      <c r="W214" s="209"/>
      <c r="X214" s="208" t="s">
        <v>65</v>
      </c>
      <c r="Y214" s="209"/>
      <c r="Z214" s="208">
        <v>2020</v>
      </c>
      <c r="AA214" s="209"/>
    </row>
    <row r="215" spans="1:27" x14ac:dyDescent="0.2">
      <c r="A215" t="s">
        <v>125</v>
      </c>
      <c r="B215" s="20">
        <f>B151</f>
        <v>1825</v>
      </c>
      <c r="C215" s="38">
        <f t="shared" ref="C215:C221" si="207">B215</f>
        <v>1825</v>
      </c>
      <c r="D215" s="20">
        <f>D151</f>
        <v>1815</v>
      </c>
      <c r="E215" s="38">
        <f>C221+D215</f>
        <v>2896</v>
      </c>
      <c r="F215" s="20">
        <f>F151</f>
        <v>500</v>
      </c>
      <c r="G215" s="38">
        <f>E221+F215</f>
        <v>2811</v>
      </c>
      <c r="H215" s="20">
        <f>H151</f>
        <v>0</v>
      </c>
      <c r="I215" s="38">
        <f>G221+H215</f>
        <v>2611</v>
      </c>
      <c r="J215" s="20">
        <f>J151</f>
        <v>0</v>
      </c>
      <c r="K215" s="38">
        <f>I221+J215</f>
        <v>2611</v>
      </c>
      <c r="L215" s="20">
        <f>L151</f>
        <v>1085</v>
      </c>
      <c r="M215" s="38">
        <f>K221+L215</f>
        <v>3418.85</v>
      </c>
      <c r="N215" s="20">
        <f>N151</f>
        <v>1480</v>
      </c>
      <c r="O215" s="38">
        <f>M221+N215</f>
        <v>4621.8500000000004</v>
      </c>
      <c r="P215" s="20">
        <f>P151</f>
        <v>1215</v>
      </c>
      <c r="Q215" s="38">
        <f>O221+P215</f>
        <v>5541.85</v>
      </c>
      <c r="R215" s="20">
        <f>R151</f>
        <v>445</v>
      </c>
      <c r="S215" s="38">
        <f>Q221+R215</f>
        <v>5786.85</v>
      </c>
      <c r="T215" s="20">
        <f>T151</f>
        <v>295</v>
      </c>
      <c r="U215" s="38">
        <f>S221+T215</f>
        <v>5881.85</v>
      </c>
      <c r="V215" s="20">
        <f>V151</f>
        <v>0</v>
      </c>
      <c r="W215" s="38">
        <f>U221+V215</f>
        <v>5681.85</v>
      </c>
      <c r="X215" s="20">
        <f>X151</f>
        <v>100</v>
      </c>
      <c r="Y215" s="38">
        <f>W221+X215</f>
        <v>5781.85</v>
      </c>
      <c r="Z215" s="200">
        <f>Z151</f>
        <v>8760</v>
      </c>
      <c r="AA215" s="201"/>
    </row>
    <row r="216" spans="1:27" x14ac:dyDescent="0.2">
      <c r="A216" t="s">
        <v>126</v>
      </c>
      <c r="B216" s="20">
        <f>B188</f>
        <v>744</v>
      </c>
      <c r="C216" s="38">
        <f t="shared" si="207"/>
        <v>744</v>
      </c>
      <c r="D216" s="20">
        <f>D188</f>
        <v>585</v>
      </c>
      <c r="E216" s="38">
        <f>D216</f>
        <v>585</v>
      </c>
      <c r="F216" s="20">
        <f>F188</f>
        <v>200</v>
      </c>
      <c r="G216" s="38">
        <f>F216</f>
        <v>200</v>
      </c>
      <c r="H216" s="20">
        <f>H188</f>
        <v>0</v>
      </c>
      <c r="I216" s="38">
        <f>H216</f>
        <v>0</v>
      </c>
      <c r="J216" s="20">
        <f>J188</f>
        <v>277.14999999999998</v>
      </c>
      <c r="K216" s="38">
        <f>J216</f>
        <v>277.14999999999998</v>
      </c>
      <c r="L216" s="20">
        <f>L188</f>
        <v>277</v>
      </c>
      <c r="M216" s="38">
        <f>L216</f>
        <v>277</v>
      </c>
      <c r="N216" s="20">
        <f>N188</f>
        <v>295</v>
      </c>
      <c r="O216" s="38">
        <f>N216</f>
        <v>295</v>
      </c>
      <c r="P216" s="20">
        <f>P188</f>
        <v>200</v>
      </c>
      <c r="Q216" s="38">
        <f>P216</f>
        <v>200</v>
      </c>
      <c r="R216" s="20">
        <f>R188</f>
        <v>200</v>
      </c>
      <c r="S216" s="38">
        <f>R216</f>
        <v>200</v>
      </c>
      <c r="T216" s="20">
        <f>T188</f>
        <v>200</v>
      </c>
      <c r="U216" s="38">
        <f>T216</f>
        <v>200</v>
      </c>
      <c r="V216" s="20">
        <f>V188</f>
        <v>0</v>
      </c>
      <c r="W216" s="38">
        <f>V216</f>
        <v>0</v>
      </c>
      <c r="X216" s="20">
        <f>X188</f>
        <v>180</v>
      </c>
      <c r="Y216" s="38">
        <f>X216</f>
        <v>180</v>
      </c>
      <c r="Z216" s="200">
        <f>Z188</f>
        <v>3158.15</v>
      </c>
      <c r="AA216" s="201"/>
    </row>
    <row r="217" spans="1:27" ht="15.75" thickBot="1" x14ac:dyDescent="0.25">
      <c r="A217" s="36" t="s">
        <v>127</v>
      </c>
      <c r="B217" s="37">
        <f>B215-B216</f>
        <v>1081</v>
      </c>
      <c r="C217" s="39">
        <f t="shared" si="207"/>
        <v>1081</v>
      </c>
      <c r="D217" s="37">
        <f t="shared" ref="D217:Y217" si="208">D215-D216</f>
        <v>1230</v>
      </c>
      <c r="E217" s="39">
        <f t="shared" si="208"/>
        <v>2311</v>
      </c>
      <c r="F217" s="37">
        <f t="shared" si="208"/>
        <v>300</v>
      </c>
      <c r="G217" s="39">
        <f t="shared" si="208"/>
        <v>2611</v>
      </c>
      <c r="H217" s="37">
        <f t="shared" si="208"/>
        <v>0</v>
      </c>
      <c r="I217" s="39">
        <f t="shared" si="208"/>
        <v>2611</v>
      </c>
      <c r="J217" s="37">
        <f t="shared" si="208"/>
        <v>-277.14999999999998</v>
      </c>
      <c r="K217" s="39">
        <f t="shared" si="208"/>
        <v>2333.85</v>
      </c>
      <c r="L217" s="37">
        <f t="shared" si="208"/>
        <v>808</v>
      </c>
      <c r="M217" s="39">
        <f t="shared" si="208"/>
        <v>3141.85</v>
      </c>
      <c r="N217" s="37">
        <f t="shared" si="208"/>
        <v>1185</v>
      </c>
      <c r="O217" s="39">
        <f t="shared" si="208"/>
        <v>4326.8500000000004</v>
      </c>
      <c r="P217" s="37">
        <f t="shared" si="208"/>
        <v>1015</v>
      </c>
      <c r="Q217" s="39">
        <f t="shared" si="208"/>
        <v>5341.85</v>
      </c>
      <c r="R217" s="37">
        <f t="shared" si="208"/>
        <v>245</v>
      </c>
      <c r="S217" s="39">
        <f t="shared" si="208"/>
        <v>5586.85</v>
      </c>
      <c r="T217" s="37">
        <f t="shared" si="208"/>
        <v>95</v>
      </c>
      <c r="U217" s="39">
        <f t="shared" si="208"/>
        <v>5681.85</v>
      </c>
      <c r="V217" s="37">
        <f t="shared" si="208"/>
        <v>0</v>
      </c>
      <c r="W217" s="39">
        <f t="shared" si="208"/>
        <v>5681.85</v>
      </c>
      <c r="X217" s="37">
        <f t="shared" si="208"/>
        <v>-80</v>
      </c>
      <c r="Y217" s="39">
        <f t="shared" si="208"/>
        <v>5601.85</v>
      </c>
      <c r="Z217" s="202">
        <f>Z215-Z216</f>
        <v>5601.85</v>
      </c>
      <c r="AA217" s="203"/>
    </row>
    <row r="218" spans="1:27" x14ac:dyDescent="0.2">
      <c r="A218" s="2" t="s">
        <v>128</v>
      </c>
      <c r="B218" s="20">
        <f>-SUMIFS(Tabla2[B],Tabla2[ANY],2020,Tabla2[MES],'2020'!B$2,Tabla2[TIPUS],'2020'!$A218)</f>
        <v>0</v>
      </c>
      <c r="C218" s="38">
        <f t="shared" si="207"/>
        <v>0</v>
      </c>
      <c r="D218" s="20">
        <f>-SUMIFS(Tabla2[B],Tabla2[ANY],2020,Tabla2[MES],'2020'!D$2,Tabla2[TIPUS],'2020'!$A218)</f>
        <v>0</v>
      </c>
      <c r="E218" s="38">
        <f>D218</f>
        <v>0</v>
      </c>
      <c r="F218" s="20">
        <f>-SUMIFS(Tabla2[B],Tabla2[ANY],2020,Tabla2[MES],'2020'!F$2,Tabla2[TIPUS],'2020'!$A218)</f>
        <v>0</v>
      </c>
      <c r="G218" s="38">
        <f>F218</f>
        <v>0</v>
      </c>
      <c r="H218" s="20">
        <f>-SUMIFS(Tabla2[B],Tabla2[ANY],2020,Tabla2[MES],'2020'!H$2,Tabla2[TIPUS],'2020'!$A218)</f>
        <v>0</v>
      </c>
      <c r="I218" s="38">
        <f>H218</f>
        <v>0</v>
      </c>
      <c r="J218" s="20">
        <f>-SUMIFS(Tabla2[B],Tabla2[ANY],2020,Tabla2[MES],'2020'!J$2,Tabla2[TIPUS],'2020'!$A218)</f>
        <v>0</v>
      </c>
      <c r="K218" s="38">
        <f>J218</f>
        <v>0</v>
      </c>
      <c r="L218" s="20">
        <f>-SUMIFS(Tabla2[B],Tabla2[ANY],2020,Tabla2[MES],'2020'!L$2,Tabla2[TIPUS],'2020'!$A218)</f>
        <v>0</v>
      </c>
      <c r="M218" s="38">
        <f>L218</f>
        <v>0</v>
      </c>
      <c r="N218" s="20">
        <f>-SUMIFS(Tabla2[B],Tabla2[ANY],2020,Tabla2[MES],'2020'!N$2,Tabla2[TIPUS],'2020'!$A218)</f>
        <v>0</v>
      </c>
      <c r="O218" s="38">
        <f>N218</f>
        <v>0</v>
      </c>
      <c r="P218" s="20">
        <f>-SUMIFS(Tabla2[B],Tabla2[ANY],2020,Tabla2[MES],'2020'!P$2,Tabla2[TIPUS],'2020'!$A218)</f>
        <v>0</v>
      </c>
      <c r="Q218" s="38">
        <f>P218</f>
        <v>0</v>
      </c>
      <c r="R218" s="20">
        <f>-SUMIFS(Tabla2[B],Tabla2[ANY],2020,Tabla2[MES],'2020'!R$2,Tabla2[TIPUS],'2020'!$A218)</f>
        <v>0</v>
      </c>
      <c r="S218" s="38">
        <f>R218</f>
        <v>0</v>
      </c>
      <c r="T218" s="20">
        <f>-SUMIFS(Tabla2[B],Tabla2[ANY],2020,Tabla2[MES],'2020'!T$2,Tabla2[TIPUS],'2020'!$A218)</f>
        <v>0</v>
      </c>
      <c r="U218" s="38">
        <f>T218</f>
        <v>0</v>
      </c>
      <c r="V218" s="20">
        <f>-SUMIFS(Tabla2[B],Tabla2[ANY],2020,Tabla2[MES],'2020'!V$2,Tabla2[TIPUS],'2020'!$A218)</f>
        <v>0</v>
      </c>
      <c r="W218" s="38">
        <f>V218</f>
        <v>0</v>
      </c>
      <c r="X218" s="20">
        <f>-SUMIFS(Tabla2[B],Tabla2[ANY],2020,Tabla2[MES],'2020'!X$2,Tabla2[TIPUS],'2020'!$A218)</f>
        <v>0</v>
      </c>
      <c r="Y218" s="38">
        <f>X218</f>
        <v>0</v>
      </c>
      <c r="Z218" s="204">
        <f>-SUMIFS(Tabla2[B],Tabla2[ANY],2020,Tabla2[MES],'2020'!Z$2,Tabla2[TIPUS],'2020'!$A218)</f>
        <v>0</v>
      </c>
      <c r="AA218" s="205"/>
    </row>
    <row r="219" spans="1:27" x14ac:dyDescent="0.2">
      <c r="A219" t="s">
        <v>134</v>
      </c>
      <c r="B219" s="20">
        <f>-B207</f>
        <v>0</v>
      </c>
      <c r="C219" s="38">
        <f t="shared" si="207"/>
        <v>0</v>
      </c>
      <c r="D219" s="20">
        <f>-D207</f>
        <v>0</v>
      </c>
      <c r="E219" s="38">
        <f>D219</f>
        <v>0</v>
      </c>
      <c r="F219" s="20">
        <f>-F207</f>
        <v>0</v>
      </c>
      <c r="G219" s="38">
        <f>F219</f>
        <v>0</v>
      </c>
      <c r="H219" s="20">
        <f>-H207</f>
        <v>0</v>
      </c>
      <c r="I219" s="38">
        <f>H219</f>
        <v>0</v>
      </c>
      <c r="J219" s="20">
        <f>-J207</f>
        <v>0</v>
      </c>
      <c r="K219" s="38">
        <f>J219</f>
        <v>0</v>
      </c>
      <c r="L219" s="20">
        <f>-L207</f>
        <v>0</v>
      </c>
      <c r="M219" s="38">
        <f>L219</f>
        <v>0</v>
      </c>
      <c r="N219" s="20">
        <f>-N207</f>
        <v>0</v>
      </c>
      <c r="O219" s="38">
        <f>N219</f>
        <v>0</v>
      </c>
      <c r="P219" s="20">
        <f>-P207</f>
        <v>0</v>
      </c>
      <c r="Q219" s="38">
        <f>P219</f>
        <v>0</v>
      </c>
      <c r="R219" s="20">
        <f>-R207</f>
        <v>0</v>
      </c>
      <c r="S219" s="38">
        <f>R219</f>
        <v>0</v>
      </c>
      <c r="T219" s="20">
        <f>-T207</f>
        <v>0</v>
      </c>
      <c r="U219" s="38">
        <f>T219</f>
        <v>0</v>
      </c>
      <c r="V219" s="20">
        <f>-V207</f>
        <v>0</v>
      </c>
      <c r="W219" s="38">
        <f>V219</f>
        <v>0</v>
      </c>
      <c r="X219" s="20">
        <f>-X207</f>
        <v>0</v>
      </c>
      <c r="Y219" s="38">
        <f>X219</f>
        <v>0</v>
      </c>
      <c r="Z219" s="200">
        <f>-Z207</f>
        <v>0</v>
      </c>
      <c r="AA219" s="201"/>
    </row>
    <row r="220" spans="1:27" x14ac:dyDescent="0.2">
      <c r="A220" t="s">
        <v>130</v>
      </c>
      <c r="B220" s="23">
        <f>-B210</f>
        <v>0</v>
      </c>
      <c r="C220" s="35">
        <f t="shared" si="207"/>
        <v>0</v>
      </c>
      <c r="D220" s="23">
        <f>-D210</f>
        <v>0</v>
      </c>
      <c r="E220" s="35">
        <f>D220</f>
        <v>0</v>
      </c>
      <c r="F220" s="23">
        <f>-F210</f>
        <v>0</v>
      </c>
      <c r="G220" s="35">
        <f>F220</f>
        <v>0</v>
      </c>
      <c r="H220" s="23">
        <f>-H210</f>
        <v>0</v>
      </c>
      <c r="I220" s="35">
        <f>H220</f>
        <v>0</v>
      </c>
      <c r="J220" s="23">
        <f>-J210</f>
        <v>0</v>
      </c>
      <c r="K220" s="35">
        <f>J220</f>
        <v>0</v>
      </c>
      <c r="L220" s="23">
        <f>-L210</f>
        <v>0</v>
      </c>
      <c r="M220" s="35">
        <f>L220</f>
        <v>0</v>
      </c>
      <c r="N220" s="23">
        <f>-N210</f>
        <v>0</v>
      </c>
      <c r="O220" s="35">
        <f>N220</f>
        <v>0</v>
      </c>
      <c r="P220" s="23">
        <f>-P210</f>
        <v>0</v>
      </c>
      <c r="Q220" s="35">
        <f>P220</f>
        <v>0</v>
      </c>
      <c r="R220" s="23">
        <f>-R210</f>
        <v>0</v>
      </c>
      <c r="S220" s="35">
        <f>R220</f>
        <v>0</v>
      </c>
      <c r="T220" s="23">
        <f>-T210</f>
        <v>0</v>
      </c>
      <c r="U220" s="35">
        <f>T220</f>
        <v>0</v>
      </c>
      <c r="V220" s="23">
        <f>-V210</f>
        <v>0</v>
      </c>
      <c r="W220" s="35">
        <f>V220</f>
        <v>0</v>
      </c>
      <c r="X220" s="23">
        <f>-X210</f>
        <v>0</v>
      </c>
      <c r="Y220" s="35">
        <f>X220</f>
        <v>0</v>
      </c>
      <c r="Z220" s="206">
        <f>-Z210</f>
        <v>0</v>
      </c>
      <c r="AA220" s="207"/>
    </row>
    <row r="221" spans="1:27" ht="15.75" thickBot="1" x14ac:dyDescent="0.25">
      <c r="A221" s="36" t="s">
        <v>131</v>
      </c>
      <c r="B221" s="37">
        <f>B217+B218+B219+B220</f>
        <v>1081</v>
      </c>
      <c r="C221" s="39">
        <f t="shared" si="207"/>
        <v>1081</v>
      </c>
      <c r="D221" s="37">
        <f t="shared" ref="D221:Z221" si="209">D217+D218+D219+D220</f>
        <v>1230</v>
      </c>
      <c r="E221" s="39">
        <f t="shared" si="209"/>
        <v>2311</v>
      </c>
      <c r="F221" s="37">
        <f t="shared" si="209"/>
        <v>300</v>
      </c>
      <c r="G221" s="39">
        <f t="shared" si="209"/>
        <v>2611</v>
      </c>
      <c r="H221" s="37">
        <f t="shared" si="209"/>
        <v>0</v>
      </c>
      <c r="I221" s="39">
        <f t="shared" si="209"/>
        <v>2611</v>
      </c>
      <c r="J221" s="37">
        <f t="shared" si="209"/>
        <v>-277.14999999999998</v>
      </c>
      <c r="K221" s="39">
        <f t="shared" si="209"/>
        <v>2333.85</v>
      </c>
      <c r="L221" s="37">
        <f t="shared" si="209"/>
        <v>808</v>
      </c>
      <c r="M221" s="39">
        <f t="shared" si="209"/>
        <v>3141.85</v>
      </c>
      <c r="N221" s="37">
        <f t="shared" si="209"/>
        <v>1185</v>
      </c>
      <c r="O221" s="39">
        <f t="shared" si="209"/>
        <v>4326.8500000000004</v>
      </c>
      <c r="P221" s="37">
        <f t="shared" si="209"/>
        <v>1015</v>
      </c>
      <c r="Q221" s="39">
        <f t="shared" si="209"/>
        <v>5341.85</v>
      </c>
      <c r="R221" s="37">
        <f t="shared" si="209"/>
        <v>245</v>
      </c>
      <c r="S221" s="39">
        <f t="shared" si="209"/>
        <v>5586.85</v>
      </c>
      <c r="T221" s="37">
        <f t="shared" si="209"/>
        <v>95</v>
      </c>
      <c r="U221" s="39">
        <f t="shared" si="209"/>
        <v>5681.85</v>
      </c>
      <c r="V221" s="37">
        <f t="shared" si="209"/>
        <v>0</v>
      </c>
      <c r="W221" s="39">
        <f t="shared" si="209"/>
        <v>5681.85</v>
      </c>
      <c r="X221" s="37">
        <f t="shared" si="209"/>
        <v>-80</v>
      </c>
      <c r="Y221" s="39">
        <f t="shared" si="209"/>
        <v>5601.85</v>
      </c>
      <c r="Z221" s="202">
        <f t="shared" si="209"/>
        <v>5601.85</v>
      </c>
      <c r="AA221" s="203"/>
    </row>
  </sheetData>
  <mergeCells count="102">
    <mergeCell ref="Z216:AA216"/>
    <mergeCell ref="Z217:AA217"/>
    <mergeCell ref="Z218:AA218"/>
    <mergeCell ref="Z219:AA219"/>
    <mergeCell ref="Z220:AA220"/>
    <mergeCell ref="Z221:AA221"/>
    <mergeCell ref="R214:S214"/>
    <mergeCell ref="T214:U214"/>
    <mergeCell ref="V214:W214"/>
    <mergeCell ref="X214:Y214"/>
    <mergeCell ref="Z214:AA214"/>
    <mergeCell ref="Z215:AA215"/>
    <mergeCell ref="Z150:AA150"/>
    <mergeCell ref="A213:A214"/>
    <mergeCell ref="B214:C214"/>
    <mergeCell ref="D214:E214"/>
    <mergeCell ref="F214:G214"/>
    <mergeCell ref="H214:I214"/>
    <mergeCell ref="J214:K214"/>
    <mergeCell ref="L214:M214"/>
    <mergeCell ref="N214:O214"/>
    <mergeCell ref="P214:Q214"/>
    <mergeCell ref="N150:O150"/>
    <mergeCell ref="P150:Q150"/>
    <mergeCell ref="R150:S150"/>
    <mergeCell ref="T150:U150"/>
    <mergeCell ref="V150:W150"/>
    <mergeCell ref="X150:Y150"/>
    <mergeCell ref="B150:C150"/>
    <mergeCell ref="D150:E150"/>
    <mergeCell ref="F150:G150"/>
    <mergeCell ref="H150:I150"/>
    <mergeCell ref="J150:K150"/>
    <mergeCell ref="L150:M150"/>
    <mergeCell ref="Z142:AA142"/>
    <mergeCell ref="Z143:AA143"/>
    <mergeCell ref="Z144:AA144"/>
    <mergeCell ref="Z145:AA145"/>
    <mergeCell ref="Z146:AA146"/>
    <mergeCell ref="Z147:AA147"/>
    <mergeCell ref="R140:S140"/>
    <mergeCell ref="T140:U140"/>
    <mergeCell ref="V140:W140"/>
    <mergeCell ref="X140:Y140"/>
    <mergeCell ref="Z140:AA140"/>
    <mergeCell ref="Z141:AA141"/>
    <mergeCell ref="Z76:AA76"/>
    <mergeCell ref="A139:A140"/>
    <mergeCell ref="B140:C140"/>
    <mergeCell ref="D140:E140"/>
    <mergeCell ref="F140:G140"/>
    <mergeCell ref="H140:I140"/>
    <mergeCell ref="J140:K140"/>
    <mergeCell ref="L140:M140"/>
    <mergeCell ref="N140:O140"/>
    <mergeCell ref="P140:Q140"/>
    <mergeCell ref="N76:O76"/>
    <mergeCell ref="P76:Q76"/>
    <mergeCell ref="R76:S76"/>
    <mergeCell ref="T76:U76"/>
    <mergeCell ref="V76:W76"/>
    <mergeCell ref="X76:Y76"/>
    <mergeCell ref="B76:C76"/>
    <mergeCell ref="D76:E76"/>
    <mergeCell ref="F76:G76"/>
    <mergeCell ref="H76:I76"/>
    <mergeCell ref="J76:K76"/>
    <mergeCell ref="L76:M76"/>
    <mergeCell ref="Z68:AA68"/>
    <mergeCell ref="Z69:AA69"/>
    <mergeCell ref="Z70:AA70"/>
    <mergeCell ref="Z71:AA71"/>
    <mergeCell ref="Z72:AA72"/>
    <mergeCell ref="Z73:AA73"/>
    <mergeCell ref="R66:S66"/>
    <mergeCell ref="T66:U66"/>
    <mergeCell ref="V66:W66"/>
    <mergeCell ref="X66:Y66"/>
    <mergeCell ref="Z66:AA66"/>
    <mergeCell ref="Z67:AA67"/>
    <mergeCell ref="Z2:AA2"/>
    <mergeCell ref="A65:A66"/>
    <mergeCell ref="B66:C66"/>
    <mergeCell ref="D66:E66"/>
    <mergeCell ref="F66:G66"/>
    <mergeCell ref="H66:I66"/>
    <mergeCell ref="J66:K66"/>
    <mergeCell ref="L66:M66"/>
    <mergeCell ref="N66:O66"/>
    <mergeCell ref="P66:Q66"/>
    <mergeCell ref="N2:O2"/>
    <mergeCell ref="P2:Q2"/>
    <mergeCell ref="R2:S2"/>
    <mergeCell ref="T2:U2"/>
    <mergeCell ref="V2:W2"/>
    <mergeCell ref="X2:Y2"/>
    <mergeCell ref="B2:C2"/>
    <mergeCell ref="D2:E2"/>
    <mergeCell ref="F2:G2"/>
    <mergeCell ref="H2:I2"/>
    <mergeCell ref="J2:K2"/>
    <mergeCell ref="L2:M2"/>
  </mergeCells>
  <conditionalFormatting sqref="B55">
    <cfRule type="cellIs" dxfId="263" priority="308" operator="greaterThan">
      <formula>0</formula>
    </cfRule>
    <cfRule type="cellIs" dxfId="262" priority="307" operator="lessThan">
      <formula>0</formula>
    </cfRule>
  </conditionalFormatting>
  <conditionalFormatting sqref="B58">
    <cfRule type="cellIs" dxfId="261" priority="304" operator="greaterThan">
      <formula>0</formula>
    </cfRule>
    <cfRule type="cellIs" dxfId="260" priority="303" operator="lessThan">
      <formula>0</formula>
    </cfRule>
  </conditionalFormatting>
  <conditionalFormatting sqref="B61">
    <cfRule type="cellIs" dxfId="259" priority="298" operator="greaterThan">
      <formula>0</formula>
    </cfRule>
    <cfRule type="cellIs" dxfId="258" priority="297" operator="lessThan">
      <formula>0</formula>
    </cfRule>
  </conditionalFormatting>
  <conditionalFormatting sqref="B63">
    <cfRule type="cellIs" dxfId="257" priority="300" operator="greaterThan">
      <formula>0</formula>
    </cfRule>
    <cfRule type="cellIs" dxfId="256" priority="299" operator="lessThan">
      <formula>0</formula>
    </cfRule>
  </conditionalFormatting>
  <conditionalFormatting sqref="B129">
    <cfRule type="cellIs" dxfId="255" priority="251" operator="lessThan">
      <formula>0</formula>
    </cfRule>
    <cfRule type="cellIs" dxfId="254" priority="252" operator="greaterThan">
      <formula>0</formula>
    </cfRule>
  </conditionalFormatting>
  <conditionalFormatting sqref="B132">
    <cfRule type="cellIs" dxfId="253" priority="248" operator="greaterThan">
      <formula>0</formula>
    </cfRule>
    <cfRule type="cellIs" dxfId="252" priority="247" operator="lessThan">
      <formula>0</formula>
    </cfRule>
  </conditionalFormatting>
  <conditionalFormatting sqref="B135">
    <cfRule type="cellIs" dxfId="251" priority="241" operator="lessThan">
      <formula>0</formula>
    </cfRule>
    <cfRule type="cellIs" dxfId="250" priority="242" operator="greaterThan">
      <formula>0</formula>
    </cfRule>
  </conditionalFormatting>
  <conditionalFormatting sqref="B137">
    <cfRule type="cellIs" dxfId="249" priority="244" operator="greaterThan">
      <formula>0</formula>
    </cfRule>
    <cfRule type="cellIs" dxfId="248" priority="243" operator="lessThan">
      <formula>0</formula>
    </cfRule>
  </conditionalFormatting>
  <conditionalFormatting sqref="B203">
    <cfRule type="cellIs" dxfId="247" priority="195" operator="lessThan">
      <formula>0</formula>
    </cfRule>
    <cfRule type="cellIs" dxfId="246" priority="196" operator="greaterThan">
      <formula>0</formula>
    </cfRule>
  </conditionalFormatting>
  <conditionalFormatting sqref="B206">
    <cfRule type="cellIs" dxfId="245" priority="192" operator="greaterThan">
      <formula>0</formula>
    </cfRule>
    <cfRule type="cellIs" dxfId="244" priority="191" operator="lessThan">
      <formula>0</formula>
    </cfRule>
  </conditionalFormatting>
  <conditionalFormatting sqref="B209">
    <cfRule type="cellIs" dxfId="243" priority="187" operator="lessThan">
      <formula>0</formula>
    </cfRule>
    <cfRule type="cellIs" dxfId="242" priority="188" operator="greaterThan">
      <formula>0</formula>
    </cfRule>
  </conditionalFormatting>
  <conditionalFormatting sqref="B211">
    <cfRule type="cellIs" dxfId="241" priority="190" operator="greaterThan">
      <formula>0</formula>
    </cfRule>
    <cfRule type="cellIs" dxfId="240" priority="189" operator="lessThan">
      <formula>0</formula>
    </cfRule>
  </conditionalFormatting>
  <conditionalFormatting sqref="B69:Z69">
    <cfRule type="cellIs" dxfId="239" priority="100" operator="greaterThan">
      <formula>0</formula>
    </cfRule>
    <cfRule type="cellIs" dxfId="238" priority="99" operator="lessThan">
      <formula>0</formula>
    </cfRule>
  </conditionalFormatting>
  <conditionalFormatting sqref="B73:Z73">
    <cfRule type="cellIs" dxfId="237" priority="94" operator="greaterThan">
      <formula>0</formula>
    </cfRule>
    <cfRule type="cellIs" dxfId="236" priority="93" operator="lessThan">
      <formula>0</formula>
    </cfRule>
  </conditionalFormatting>
  <conditionalFormatting sqref="B143:Z143">
    <cfRule type="cellIs" dxfId="235" priority="97" operator="lessThan">
      <formula>0</formula>
    </cfRule>
    <cfRule type="cellIs" dxfId="234" priority="98" operator="greaterThan">
      <formula>0</formula>
    </cfRule>
  </conditionalFormatting>
  <conditionalFormatting sqref="B147:Z147">
    <cfRule type="cellIs" dxfId="233" priority="75" operator="lessThan">
      <formula>0</formula>
    </cfRule>
    <cfRule type="cellIs" dxfId="232" priority="76" operator="greaterThan">
      <formula>0</formula>
    </cfRule>
  </conditionalFormatting>
  <conditionalFormatting sqref="B217:Z217">
    <cfRule type="cellIs" dxfId="231" priority="96" operator="greaterThan">
      <formula>0</formula>
    </cfRule>
    <cfRule type="cellIs" dxfId="230" priority="95" operator="lessThan">
      <formula>0</formula>
    </cfRule>
  </conditionalFormatting>
  <conditionalFormatting sqref="B221:Z221">
    <cfRule type="cellIs" dxfId="229" priority="74" operator="greaterThan">
      <formula>0</formula>
    </cfRule>
    <cfRule type="cellIs" dxfId="228" priority="73" operator="lessThan">
      <formula>0</formula>
    </cfRule>
  </conditionalFormatting>
  <conditionalFormatting sqref="D55 F55 H55 J55 L55 N55 P55 R55 T55 V55 X55">
    <cfRule type="cellIs" dxfId="227" priority="306" operator="greaterThan">
      <formula>0</formula>
    </cfRule>
    <cfRule type="cellIs" dxfId="226" priority="305" operator="lessThan">
      <formula>0</formula>
    </cfRule>
  </conditionalFormatting>
  <conditionalFormatting sqref="D58">
    <cfRule type="cellIs" dxfId="225" priority="71" operator="lessThan">
      <formula>0</formula>
    </cfRule>
    <cfRule type="cellIs" dxfId="224" priority="72" operator="greaterThan">
      <formula>0</formula>
    </cfRule>
  </conditionalFormatting>
  <conditionalFormatting sqref="D61">
    <cfRule type="cellIs" dxfId="223" priority="296" operator="greaterThan">
      <formula>0</formula>
    </cfRule>
    <cfRule type="cellIs" dxfId="222" priority="295" operator="lessThan">
      <formula>0</formula>
    </cfRule>
  </conditionalFormatting>
  <conditionalFormatting sqref="D63">
    <cfRule type="cellIs" dxfId="221" priority="273" operator="lessThan">
      <formula>0</formula>
    </cfRule>
    <cfRule type="cellIs" dxfId="220" priority="274" operator="greaterThan">
      <formula>0</formula>
    </cfRule>
  </conditionalFormatting>
  <conditionalFormatting sqref="D129 F129 H129 J129 L129 N129 P129 R129 T129 V129 X129">
    <cfRule type="cellIs" dxfId="219" priority="250" operator="greaterThan">
      <formula>0</formula>
    </cfRule>
    <cfRule type="cellIs" dxfId="218" priority="249" operator="lessThan">
      <formula>0</formula>
    </cfRule>
  </conditionalFormatting>
  <conditionalFormatting sqref="D132">
    <cfRule type="cellIs" dxfId="217" priority="47" operator="lessThan">
      <formula>0</formula>
    </cfRule>
    <cfRule type="cellIs" dxfId="216" priority="48" operator="greaterThan">
      <formula>0</formula>
    </cfRule>
  </conditionalFormatting>
  <conditionalFormatting sqref="D135">
    <cfRule type="cellIs" dxfId="215" priority="240" operator="greaterThan">
      <formula>0</formula>
    </cfRule>
    <cfRule type="cellIs" dxfId="214" priority="239" operator="lessThan">
      <formula>0</formula>
    </cfRule>
  </conditionalFormatting>
  <conditionalFormatting sqref="D137">
    <cfRule type="cellIs" dxfId="213" priority="217" operator="lessThan">
      <formula>0</formula>
    </cfRule>
    <cfRule type="cellIs" dxfId="212" priority="218" operator="greaterThan">
      <formula>0</formula>
    </cfRule>
  </conditionalFormatting>
  <conditionalFormatting sqref="D203 F203 H203 J203 L203 N203 P203 R203 T203 V203 X203">
    <cfRule type="cellIs" dxfId="211" priority="193" operator="lessThan">
      <formula>0</formula>
    </cfRule>
    <cfRule type="cellIs" dxfId="210" priority="194" operator="greaterThan">
      <formula>0</formula>
    </cfRule>
  </conditionalFormatting>
  <conditionalFormatting sqref="D206">
    <cfRule type="cellIs" dxfId="209" priority="23" operator="lessThan">
      <formula>0</formula>
    </cfRule>
    <cfRule type="cellIs" dxfId="208" priority="24" operator="greaterThan">
      <formula>0</formula>
    </cfRule>
  </conditionalFormatting>
  <conditionalFormatting sqref="D209">
    <cfRule type="cellIs" dxfId="207" priority="177" operator="lessThan">
      <formula>0</formula>
    </cfRule>
    <cfRule type="cellIs" dxfId="206" priority="178" operator="greaterThan">
      <formula>0</formula>
    </cfRule>
  </conditionalFormatting>
  <conditionalFormatting sqref="D211">
    <cfRule type="cellIs" dxfId="205" priority="179" operator="lessThan">
      <formula>0</formula>
    </cfRule>
    <cfRule type="cellIs" dxfId="204" priority="180" operator="greaterThan">
      <formula>0</formula>
    </cfRule>
  </conditionalFormatting>
  <conditionalFormatting sqref="F58">
    <cfRule type="cellIs" dxfId="203" priority="69" operator="lessThan">
      <formula>0</formula>
    </cfRule>
    <cfRule type="cellIs" dxfId="202" priority="70" operator="greaterThan">
      <formula>0</formula>
    </cfRule>
  </conditionalFormatting>
  <conditionalFormatting sqref="F61">
    <cfRule type="cellIs" dxfId="201" priority="293" operator="lessThan">
      <formula>0</formula>
    </cfRule>
    <cfRule type="cellIs" dxfId="200" priority="294" operator="greaterThan">
      <formula>0</formula>
    </cfRule>
  </conditionalFormatting>
  <conditionalFormatting sqref="F63">
    <cfRule type="cellIs" dxfId="199" priority="271" operator="lessThan">
      <formula>0</formula>
    </cfRule>
    <cfRule type="cellIs" dxfId="198" priority="272" operator="greaterThan">
      <formula>0</formula>
    </cfRule>
  </conditionalFormatting>
  <conditionalFormatting sqref="F132">
    <cfRule type="cellIs" dxfId="197" priority="46" operator="greaterThan">
      <formula>0</formula>
    </cfRule>
    <cfRule type="cellIs" dxfId="196" priority="45" operator="lessThan">
      <formula>0</formula>
    </cfRule>
  </conditionalFormatting>
  <conditionalFormatting sqref="F135">
    <cfRule type="cellIs" dxfId="195" priority="237" operator="lessThan">
      <formula>0</formula>
    </cfRule>
    <cfRule type="cellIs" dxfId="194" priority="238" operator="greaterThan">
      <formula>0</formula>
    </cfRule>
  </conditionalFormatting>
  <conditionalFormatting sqref="F137">
    <cfRule type="cellIs" dxfId="193" priority="215" operator="lessThan">
      <formula>0</formula>
    </cfRule>
    <cfRule type="cellIs" dxfId="192" priority="216" operator="greaterThan">
      <formula>0</formula>
    </cfRule>
  </conditionalFormatting>
  <conditionalFormatting sqref="F206">
    <cfRule type="cellIs" dxfId="191" priority="22" operator="greaterThan">
      <formula>0</formula>
    </cfRule>
    <cfRule type="cellIs" dxfId="190" priority="21" operator="lessThan">
      <formula>0</formula>
    </cfRule>
  </conditionalFormatting>
  <conditionalFormatting sqref="F209">
    <cfRule type="cellIs" dxfId="189" priority="171" operator="lessThan">
      <formula>0</formula>
    </cfRule>
    <cfRule type="cellIs" dxfId="188" priority="172" operator="greaterThan">
      <formula>0</formula>
    </cfRule>
  </conditionalFormatting>
  <conditionalFormatting sqref="F211">
    <cfRule type="cellIs" dxfId="187" priority="173" operator="lessThan">
      <formula>0</formula>
    </cfRule>
    <cfRule type="cellIs" dxfId="186" priority="174" operator="greaterThan">
      <formula>0</formula>
    </cfRule>
  </conditionalFormatting>
  <conditionalFormatting sqref="H58">
    <cfRule type="cellIs" dxfId="185" priority="67" operator="lessThan">
      <formula>0</formula>
    </cfRule>
    <cfRule type="cellIs" dxfId="184" priority="68" operator="greaterThan">
      <formula>0</formula>
    </cfRule>
  </conditionalFormatting>
  <conditionalFormatting sqref="H61">
    <cfRule type="cellIs" dxfId="183" priority="292" operator="greaterThan">
      <formula>0</formula>
    </cfRule>
    <cfRule type="cellIs" dxfId="182" priority="291" operator="lessThan">
      <formula>0</formula>
    </cfRule>
  </conditionalFormatting>
  <conditionalFormatting sqref="H63">
    <cfRule type="cellIs" dxfId="181" priority="269" operator="lessThan">
      <formula>0</formula>
    </cfRule>
    <cfRule type="cellIs" dxfId="180" priority="270" operator="greaterThan">
      <formula>0</formula>
    </cfRule>
  </conditionalFormatting>
  <conditionalFormatting sqref="H132">
    <cfRule type="cellIs" dxfId="179" priority="44" operator="greaterThan">
      <formula>0</formula>
    </cfRule>
    <cfRule type="cellIs" dxfId="178" priority="43" operator="lessThan">
      <formula>0</formula>
    </cfRule>
  </conditionalFormatting>
  <conditionalFormatting sqref="H135">
    <cfRule type="cellIs" dxfId="177" priority="235" operator="lessThan">
      <formula>0</formula>
    </cfRule>
    <cfRule type="cellIs" dxfId="176" priority="236" operator="greaterThan">
      <formula>0</formula>
    </cfRule>
  </conditionalFormatting>
  <conditionalFormatting sqref="H137">
    <cfRule type="cellIs" dxfId="175" priority="214" operator="greaterThan">
      <formula>0</formula>
    </cfRule>
    <cfRule type="cellIs" dxfId="174" priority="213" operator="lessThan">
      <formula>0</formula>
    </cfRule>
  </conditionalFormatting>
  <conditionalFormatting sqref="H206">
    <cfRule type="cellIs" dxfId="173" priority="19" operator="lessThan">
      <formula>0</formula>
    </cfRule>
    <cfRule type="cellIs" dxfId="172" priority="20" operator="greaterThan">
      <formula>0</formula>
    </cfRule>
  </conditionalFormatting>
  <conditionalFormatting sqref="H209">
    <cfRule type="cellIs" dxfId="171" priority="165" operator="lessThan">
      <formula>0</formula>
    </cfRule>
    <cfRule type="cellIs" dxfId="170" priority="166" operator="greaterThan">
      <formula>0</formula>
    </cfRule>
  </conditionalFormatting>
  <conditionalFormatting sqref="H211">
    <cfRule type="cellIs" dxfId="169" priority="168" operator="greaterThan">
      <formula>0</formula>
    </cfRule>
    <cfRule type="cellIs" dxfId="168" priority="167" operator="lessThan">
      <formula>0</formula>
    </cfRule>
  </conditionalFormatting>
  <conditionalFormatting sqref="J58">
    <cfRule type="cellIs" dxfId="167" priority="65" operator="lessThan">
      <formula>0</formula>
    </cfRule>
    <cfRule type="cellIs" dxfId="166" priority="66" operator="greaterThan">
      <formula>0</formula>
    </cfRule>
  </conditionalFormatting>
  <conditionalFormatting sqref="J61">
    <cfRule type="cellIs" dxfId="165" priority="290" operator="greaterThan">
      <formula>0</formula>
    </cfRule>
    <cfRule type="cellIs" dxfId="164" priority="289" operator="lessThan">
      <formula>0</formula>
    </cfRule>
  </conditionalFormatting>
  <conditionalFormatting sqref="J63">
    <cfRule type="cellIs" dxfId="163" priority="267" operator="lessThan">
      <formula>0</formula>
    </cfRule>
    <cfRule type="cellIs" dxfId="162" priority="268" operator="greaterThan">
      <formula>0</formula>
    </cfRule>
  </conditionalFormatting>
  <conditionalFormatting sqref="J132">
    <cfRule type="cellIs" dxfId="161" priority="41" operator="lessThan">
      <formula>0</formula>
    </cfRule>
    <cfRule type="cellIs" dxfId="160" priority="42" operator="greaterThan">
      <formula>0</formula>
    </cfRule>
  </conditionalFormatting>
  <conditionalFormatting sqref="J135">
    <cfRule type="cellIs" dxfId="159" priority="234" operator="greaterThan">
      <formula>0</formula>
    </cfRule>
    <cfRule type="cellIs" dxfId="158" priority="233" operator="lessThan">
      <formula>0</formula>
    </cfRule>
  </conditionalFormatting>
  <conditionalFormatting sqref="J137">
    <cfRule type="cellIs" dxfId="157" priority="211" operator="lessThan">
      <formula>0</formula>
    </cfRule>
    <cfRule type="cellIs" dxfId="156" priority="212" operator="greaterThan">
      <formula>0</formula>
    </cfRule>
  </conditionalFormatting>
  <conditionalFormatting sqref="J206">
    <cfRule type="cellIs" dxfId="155" priority="18" operator="greaterThan">
      <formula>0</formula>
    </cfRule>
    <cfRule type="cellIs" dxfId="154" priority="17" operator="lessThan">
      <formula>0</formula>
    </cfRule>
  </conditionalFormatting>
  <conditionalFormatting sqref="J209">
    <cfRule type="cellIs" dxfId="153" priority="160" operator="greaterThan">
      <formula>0</formula>
    </cfRule>
    <cfRule type="cellIs" dxfId="152" priority="159" operator="lessThan">
      <formula>0</formula>
    </cfRule>
  </conditionalFormatting>
  <conditionalFormatting sqref="J211">
    <cfRule type="cellIs" dxfId="151" priority="162" operator="greaterThan">
      <formula>0</formula>
    </cfRule>
    <cfRule type="cellIs" dxfId="150" priority="161" operator="lessThan">
      <formula>0</formula>
    </cfRule>
  </conditionalFormatting>
  <conditionalFormatting sqref="L58">
    <cfRule type="cellIs" dxfId="149" priority="64" operator="greaterThan">
      <formula>0</formula>
    </cfRule>
    <cfRule type="cellIs" dxfId="148" priority="63" operator="lessThan">
      <formula>0</formula>
    </cfRule>
  </conditionalFormatting>
  <conditionalFormatting sqref="L61">
    <cfRule type="cellIs" dxfId="147" priority="288" operator="greaterThan">
      <formula>0</formula>
    </cfRule>
    <cfRule type="cellIs" dxfId="146" priority="287" operator="lessThan">
      <formula>0</formula>
    </cfRule>
  </conditionalFormatting>
  <conditionalFormatting sqref="L63">
    <cfRule type="cellIs" dxfId="145" priority="265" operator="lessThan">
      <formula>0</formula>
    </cfRule>
    <cfRule type="cellIs" dxfId="144" priority="266" operator="greaterThan">
      <formula>0</formula>
    </cfRule>
  </conditionalFormatting>
  <conditionalFormatting sqref="L132">
    <cfRule type="cellIs" dxfId="143" priority="39" operator="lessThan">
      <formula>0</formula>
    </cfRule>
    <cfRule type="cellIs" dxfId="142" priority="40" operator="greaterThan">
      <formula>0</formula>
    </cfRule>
  </conditionalFormatting>
  <conditionalFormatting sqref="L135">
    <cfRule type="cellIs" dxfId="141" priority="232" operator="greaterThan">
      <formula>0</formula>
    </cfRule>
    <cfRule type="cellIs" dxfId="140" priority="231" operator="lessThan">
      <formula>0</formula>
    </cfRule>
  </conditionalFormatting>
  <conditionalFormatting sqref="L137">
    <cfRule type="cellIs" dxfId="139" priority="209" operator="lessThan">
      <formula>0</formula>
    </cfRule>
    <cfRule type="cellIs" dxfId="138" priority="210" operator="greaterThan">
      <formula>0</formula>
    </cfRule>
  </conditionalFormatting>
  <conditionalFormatting sqref="L206">
    <cfRule type="cellIs" dxfId="137" priority="16" operator="greaterThan">
      <formula>0</formula>
    </cfRule>
    <cfRule type="cellIs" dxfId="136" priority="15" operator="lessThan">
      <formula>0</formula>
    </cfRule>
  </conditionalFormatting>
  <conditionalFormatting sqref="L209">
    <cfRule type="cellIs" dxfId="135" priority="153" operator="lessThan">
      <formula>0</formula>
    </cfRule>
    <cfRule type="cellIs" dxfId="134" priority="154" operator="greaterThan">
      <formula>0</formula>
    </cfRule>
  </conditionalFormatting>
  <conditionalFormatting sqref="L211">
    <cfRule type="cellIs" dxfId="133" priority="155" operator="lessThan">
      <formula>0</formula>
    </cfRule>
    <cfRule type="cellIs" dxfId="132" priority="156" operator="greaterThan">
      <formula>0</formula>
    </cfRule>
  </conditionalFormatting>
  <conditionalFormatting sqref="N58">
    <cfRule type="cellIs" dxfId="131" priority="61" operator="lessThan">
      <formula>0</formula>
    </cfRule>
    <cfRule type="cellIs" dxfId="130" priority="62" operator="greaterThan">
      <formula>0</formula>
    </cfRule>
  </conditionalFormatting>
  <conditionalFormatting sqref="N61">
    <cfRule type="cellIs" dxfId="129" priority="286" operator="greaterThan">
      <formula>0</formula>
    </cfRule>
    <cfRule type="cellIs" dxfId="128" priority="285" operator="lessThan">
      <formula>0</formula>
    </cfRule>
  </conditionalFormatting>
  <conditionalFormatting sqref="N63">
    <cfRule type="cellIs" dxfId="127" priority="263" operator="lessThan">
      <formula>0</formula>
    </cfRule>
    <cfRule type="cellIs" dxfId="126" priority="264" operator="greaterThan">
      <formula>0</formula>
    </cfRule>
  </conditionalFormatting>
  <conditionalFormatting sqref="N132">
    <cfRule type="cellIs" dxfId="125" priority="38" operator="greaterThan">
      <formula>0</formula>
    </cfRule>
    <cfRule type="cellIs" dxfId="124" priority="37" operator="lessThan">
      <formula>0</formula>
    </cfRule>
  </conditionalFormatting>
  <conditionalFormatting sqref="N135">
    <cfRule type="cellIs" dxfId="123" priority="229" operator="lessThan">
      <formula>0</formula>
    </cfRule>
    <cfRule type="cellIs" dxfId="122" priority="230" operator="greaterThan">
      <formula>0</formula>
    </cfRule>
  </conditionalFormatting>
  <conditionalFormatting sqref="N137">
    <cfRule type="cellIs" dxfId="121" priority="208" operator="greaterThan">
      <formula>0</formula>
    </cfRule>
    <cfRule type="cellIs" dxfId="120" priority="207" operator="lessThan">
      <formula>0</formula>
    </cfRule>
  </conditionalFormatting>
  <conditionalFormatting sqref="N206">
    <cfRule type="cellIs" dxfId="119" priority="14" operator="greaterThan">
      <formula>0</formula>
    </cfRule>
    <cfRule type="cellIs" dxfId="118" priority="13" operator="lessThan">
      <formula>0</formula>
    </cfRule>
  </conditionalFormatting>
  <conditionalFormatting sqref="N209">
    <cfRule type="cellIs" dxfId="117" priority="148" operator="greaterThan">
      <formula>0</formula>
    </cfRule>
    <cfRule type="cellIs" dxfId="116" priority="147" operator="lessThan">
      <formula>0</formula>
    </cfRule>
  </conditionalFormatting>
  <conditionalFormatting sqref="N211">
    <cfRule type="cellIs" dxfId="115" priority="150" operator="greaterThan">
      <formula>0</formula>
    </cfRule>
    <cfRule type="cellIs" dxfId="114" priority="149" operator="lessThan">
      <formula>0</formula>
    </cfRule>
  </conditionalFormatting>
  <conditionalFormatting sqref="P58">
    <cfRule type="cellIs" dxfId="113" priority="59" operator="lessThan">
      <formula>0</formula>
    </cfRule>
    <cfRule type="cellIs" dxfId="112" priority="60" operator="greaterThan">
      <formula>0</formula>
    </cfRule>
  </conditionalFormatting>
  <conditionalFormatting sqref="P61">
    <cfRule type="cellIs" dxfId="111" priority="284" operator="greaterThan">
      <formula>0</formula>
    </cfRule>
    <cfRule type="cellIs" dxfId="110" priority="283" operator="lessThan">
      <formula>0</formula>
    </cfRule>
  </conditionalFormatting>
  <conditionalFormatting sqref="P63">
    <cfRule type="cellIs" dxfId="109" priority="261" operator="lessThan">
      <formula>0</formula>
    </cfRule>
    <cfRule type="cellIs" dxfId="108" priority="262" operator="greaterThan">
      <formula>0</formula>
    </cfRule>
  </conditionalFormatting>
  <conditionalFormatting sqref="P132">
    <cfRule type="cellIs" dxfId="107" priority="36" operator="greaterThan">
      <formula>0</formula>
    </cfRule>
    <cfRule type="cellIs" dxfId="106" priority="35" operator="lessThan">
      <formula>0</formula>
    </cfRule>
  </conditionalFormatting>
  <conditionalFormatting sqref="P135">
    <cfRule type="cellIs" dxfId="105" priority="228" operator="greaterThan">
      <formula>0</formula>
    </cfRule>
    <cfRule type="cellIs" dxfId="104" priority="227" operator="lessThan">
      <formula>0</formula>
    </cfRule>
  </conditionalFormatting>
  <conditionalFormatting sqref="P137">
    <cfRule type="cellIs" dxfId="103" priority="206" operator="greaterThan">
      <formula>0</formula>
    </cfRule>
    <cfRule type="cellIs" dxfId="102" priority="205" operator="lessThan">
      <formula>0</formula>
    </cfRule>
  </conditionalFormatting>
  <conditionalFormatting sqref="P206">
    <cfRule type="cellIs" dxfId="101" priority="12" operator="greaterThan">
      <formula>0</formula>
    </cfRule>
    <cfRule type="cellIs" dxfId="100" priority="11" operator="lessThan">
      <formula>0</formula>
    </cfRule>
  </conditionalFormatting>
  <conditionalFormatting sqref="P209">
    <cfRule type="cellIs" dxfId="99" priority="142" operator="greaterThan">
      <formula>0</formula>
    </cfRule>
    <cfRule type="cellIs" dxfId="98" priority="141" operator="lessThan">
      <formula>0</formula>
    </cfRule>
  </conditionalFormatting>
  <conditionalFormatting sqref="P211">
    <cfRule type="cellIs" dxfId="97" priority="144" operator="greaterThan">
      <formula>0</formula>
    </cfRule>
    <cfRule type="cellIs" dxfId="96" priority="143" operator="lessThan">
      <formula>0</formula>
    </cfRule>
  </conditionalFormatting>
  <conditionalFormatting sqref="R58">
    <cfRule type="cellIs" dxfId="95" priority="58" operator="greaterThan">
      <formula>0</formula>
    </cfRule>
    <cfRule type="cellIs" dxfId="94" priority="57" operator="lessThan">
      <formula>0</formula>
    </cfRule>
  </conditionalFormatting>
  <conditionalFormatting sqref="R61">
    <cfRule type="cellIs" dxfId="93" priority="282" operator="greaterThan">
      <formula>0</formula>
    </cfRule>
    <cfRule type="cellIs" dxfId="92" priority="281" operator="lessThan">
      <formula>0</formula>
    </cfRule>
  </conditionalFormatting>
  <conditionalFormatting sqref="R63">
    <cfRule type="cellIs" dxfId="91" priority="259" operator="lessThan">
      <formula>0</formula>
    </cfRule>
    <cfRule type="cellIs" dxfId="90" priority="260" operator="greaterThan">
      <formula>0</formula>
    </cfRule>
  </conditionalFormatting>
  <conditionalFormatting sqref="R132">
    <cfRule type="cellIs" dxfId="89" priority="34" operator="greaterThan">
      <formula>0</formula>
    </cfRule>
    <cfRule type="cellIs" dxfId="88" priority="33" operator="lessThan">
      <formula>0</formula>
    </cfRule>
  </conditionalFormatting>
  <conditionalFormatting sqref="R135">
    <cfRule type="cellIs" dxfId="87" priority="225" operator="lessThan">
      <formula>0</formula>
    </cfRule>
    <cfRule type="cellIs" dxfId="86" priority="226" operator="greaterThan">
      <formula>0</formula>
    </cfRule>
  </conditionalFormatting>
  <conditionalFormatting sqref="R137">
    <cfRule type="cellIs" dxfId="85" priority="203" operator="lessThan">
      <formula>0</formula>
    </cfRule>
    <cfRule type="cellIs" dxfId="84" priority="204" operator="greaterThan">
      <formula>0</formula>
    </cfRule>
  </conditionalFormatting>
  <conditionalFormatting sqref="R206">
    <cfRule type="cellIs" dxfId="83" priority="9" operator="lessThan">
      <formula>0</formula>
    </cfRule>
    <cfRule type="cellIs" dxfId="82" priority="10" operator="greaterThan">
      <formula>0</formula>
    </cfRule>
  </conditionalFormatting>
  <conditionalFormatting sqref="R209">
    <cfRule type="cellIs" dxfId="81" priority="135" operator="lessThan">
      <formula>0</formula>
    </cfRule>
    <cfRule type="cellIs" dxfId="80" priority="136" operator="greaterThan">
      <formula>0</formula>
    </cfRule>
  </conditionalFormatting>
  <conditionalFormatting sqref="R211">
    <cfRule type="cellIs" dxfId="79" priority="137" operator="lessThan">
      <formula>0</formula>
    </cfRule>
    <cfRule type="cellIs" dxfId="78" priority="138" operator="greaterThan">
      <formula>0</formula>
    </cfRule>
  </conditionalFormatting>
  <conditionalFormatting sqref="T58">
    <cfRule type="cellIs" dxfId="77" priority="55" operator="lessThan">
      <formula>0</formula>
    </cfRule>
    <cfRule type="cellIs" dxfId="76" priority="56" operator="greaterThan">
      <formula>0</formula>
    </cfRule>
  </conditionalFormatting>
  <conditionalFormatting sqref="T61">
    <cfRule type="cellIs" dxfId="75" priority="280" operator="greaterThan">
      <formula>0</formula>
    </cfRule>
    <cfRule type="cellIs" dxfId="74" priority="279" operator="lessThan">
      <formula>0</formula>
    </cfRule>
  </conditionalFormatting>
  <conditionalFormatting sqref="T63">
    <cfRule type="cellIs" dxfId="73" priority="258" operator="greaterThan">
      <formula>0</formula>
    </cfRule>
    <cfRule type="cellIs" dxfId="72" priority="257" operator="lessThan">
      <formula>0</formula>
    </cfRule>
  </conditionalFormatting>
  <conditionalFormatting sqref="T132">
    <cfRule type="cellIs" dxfId="71" priority="32" operator="greaterThan">
      <formula>0</formula>
    </cfRule>
    <cfRule type="cellIs" dxfId="70" priority="31" operator="lessThan">
      <formula>0</formula>
    </cfRule>
  </conditionalFormatting>
  <conditionalFormatting sqref="T135">
    <cfRule type="cellIs" dxfId="69" priority="223" operator="lessThan">
      <formula>0</formula>
    </cfRule>
    <cfRule type="cellIs" dxfId="68" priority="224" operator="greaterThan">
      <formula>0</formula>
    </cfRule>
  </conditionalFormatting>
  <conditionalFormatting sqref="T137">
    <cfRule type="cellIs" dxfId="67" priority="202" operator="greaterThan">
      <formula>0</formula>
    </cfRule>
    <cfRule type="cellIs" dxfId="66" priority="201" operator="lessThan">
      <formula>0</formula>
    </cfRule>
  </conditionalFormatting>
  <conditionalFormatting sqref="T206">
    <cfRule type="cellIs" dxfId="65" priority="8" operator="greaterThan">
      <formula>0</formula>
    </cfRule>
    <cfRule type="cellIs" dxfId="64" priority="7" operator="lessThan">
      <formula>0</formula>
    </cfRule>
  </conditionalFormatting>
  <conditionalFormatting sqref="T209">
    <cfRule type="cellIs" dxfId="63" priority="129" operator="lessThan">
      <formula>0</formula>
    </cfRule>
    <cfRule type="cellIs" dxfId="62" priority="130" operator="greaterThan">
      <formula>0</formula>
    </cfRule>
  </conditionalFormatting>
  <conditionalFormatting sqref="T211">
    <cfRule type="cellIs" dxfId="61" priority="131" operator="lessThan">
      <formula>0</formula>
    </cfRule>
    <cfRule type="cellIs" dxfId="60" priority="132" operator="greaterThan">
      <formula>0</formula>
    </cfRule>
  </conditionalFormatting>
  <conditionalFormatting sqref="V58">
    <cfRule type="cellIs" dxfId="59" priority="54" operator="greaterThan">
      <formula>0</formula>
    </cfRule>
    <cfRule type="cellIs" dxfId="58" priority="53" operator="lessThan">
      <formula>0</formula>
    </cfRule>
  </conditionalFormatting>
  <conditionalFormatting sqref="V61">
    <cfRule type="cellIs" dxfId="57" priority="278" operator="greaterThan">
      <formula>0</formula>
    </cfRule>
    <cfRule type="cellIs" dxfId="56" priority="277" operator="lessThan">
      <formula>0</formula>
    </cfRule>
  </conditionalFormatting>
  <conditionalFormatting sqref="V63">
    <cfRule type="cellIs" dxfId="55" priority="256" operator="greaterThan">
      <formula>0</formula>
    </cfRule>
    <cfRule type="cellIs" dxfId="54" priority="255" operator="lessThan">
      <formula>0</formula>
    </cfRule>
  </conditionalFormatting>
  <conditionalFormatting sqref="V132">
    <cfRule type="cellIs" dxfId="53" priority="30" operator="greaterThan">
      <formula>0</formula>
    </cfRule>
    <cfRule type="cellIs" dxfId="52" priority="29" operator="lessThan">
      <formula>0</formula>
    </cfRule>
  </conditionalFormatting>
  <conditionalFormatting sqref="V135">
    <cfRule type="cellIs" dxfId="51" priority="222" operator="greaterThan">
      <formula>0</formula>
    </cfRule>
    <cfRule type="cellIs" dxfId="50" priority="221" operator="lessThan">
      <formula>0</formula>
    </cfRule>
  </conditionalFormatting>
  <conditionalFormatting sqref="V137">
    <cfRule type="cellIs" dxfId="49" priority="200" operator="greaterThan">
      <formula>0</formula>
    </cfRule>
    <cfRule type="cellIs" dxfId="48" priority="199" operator="lessThan">
      <formula>0</formula>
    </cfRule>
  </conditionalFormatting>
  <conditionalFormatting sqref="V206">
    <cfRule type="cellIs" dxfId="47" priority="5" operator="lessThan">
      <formula>0</formula>
    </cfRule>
    <cfRule type="cellIs" dxfId="46" priority="6" operator="greaterThan">
      <formula>0</formula>
    </cfRule>
  </conditionalFormatting>
  <conditionalFormatting sqref="V209">
    <cfRule type="cellIs" dxfId="45" priority="124" operator="greaterThan">
      <formula>0</formula>
    </cfRule>
    <cfRule type="cellIs" dxfId="44" priority="123" operator="lessThan">
      <formula>0</formula>
    </cfRule>
  </conditionalFormatting>
  <conditionalFormatting sqref="V211">
    <cfRule type="cellIs" dxfId="43" priority="126" operator="greaterThan">
      <formula>0</formula>
    </cfRule>
    <cfRule type="cellIs" dxfId="42" priority="125" operator="lessThan">
      <formula>0</formula>
    </cfRule>
  </conditionalFormatting>
  <conditionalFormatting sqref="X58">
    <cfRule type="cellIs" dxfId="41" priority="51" operator="lessThan">
      <formula>0</formula>
    </cfRule>
    <cfRule type="cellIs" dxfId="40" priority="52" operator="greaterThan">
      <formula>0</formula>
    </cfRule>
  </conditionalFormatting>
  <conditionalFormatting sqref="X61">
    <cfRule type="cellIs" dxfId="39" priority="275" operator="lessThan">
      <formula>0</formula>
    </cfRule>
    <cfRule type="cellIs" dxfId="38" priority="276" operator="greaterThan">
      <formula>0</formula>
    </cfRule>
  </conditionalFormatting>
  <conditionalFormatting sqref="X63">
    <cfRule type="cellIs" dxfId="37" priority="253" operator="lessThan">
      <formula>0</formula>
    </cfRule>
    <cfRule type="cellIs" dxfId="36" priority="254" operator="greaterThan">
      <formula>0</formula>
    </cfRule>
  </conditionalFormatting>
  <conditionalFormatting sqref="X132">
    <cfRule type="cellIs" dxfId="35" priority="28" operator="greaterThan">
      <formula>0</formula>
    </cfRule>
    <cfRule type="cellIs" dxfId="34" priority="27" operator="lessThan">
      <formula>0</formula>
    </cfRule>
  </conditionalFormatting>
  <conditionalFormatting sqref="X135">
    <cfRule type="cellIs" dxfId="33" priority="219" operator="lessThan">
      <formula>0</formula>
    </cfRule>
    <cfRule type="cellIs" dxfId="32" priority="220" operator="greaterThan">
      <formula>0</formula>
    </cfRule>
  </conditionalFormatting>
  <conditionalFormatting sqref="X137">
    <cfRule type="cellIs" dxfId="31" priority="197" operator="lessThan">
      <formula>0</formula>
    </cfRule>
    <cfRule type="cellIs" dxfId="30" priority="198" operator="greaterThan">
      <formula>0</formula>
    </cfRule>
  </conditionalFormatting>
  <conditionalFormatting sqref="X206">
    <cfRule type="cellIs" dxfId="29" priority="4" operator="greaterThan">
      <formula>0</formula>
    </cfRule>
    <cfRule type="cellIs" dxfId="28" priority="3" operator="lessThan">
      <formula>0</formula>
    </cfRule>
  </conditionalFormatting>
  <conditionalFormatting sqref="X209">
    <cfRule type="cellIs" dxfId="27" priority="118" operator="greaterThan">
      <formula>0</formula>
    </cfRule>
    <cfRule type="cellIs" dxfId="26" priority="117" operator="lessThan">
      <formula>0</formula>
    </cfRule>
  </conditionalFormatting>
  <conditionalFormatting sqref="X211">
    <cfRule type="cellIs" dxfId="25" priority="119" operator="lessThan">
      <formula>0</formula>
    </cfRule>
    <cfRule type="cellIs" dxfId="24" priority="120" operator="greaterThan">
      <formula>0</formula>
    </cfRule>
  </conditionalFormatting>
  <conditionalFormatting sqref="Z55">
    <cfRule type="cellIs" dxfId="23" priority="108" operator="greaterThan">
      <formula>0</formula>
    </cfRule>
    <cfRule type="cellIs" dxfId="22" priority="107" operator="lessThan">
      <formula>0</formula>
    </cfRule>
  </conditionalFormatting>
  <conditionalFormatting sqref="Z58">
    <cfRule type="cellIs" dxfId="21" priority="50" operator="greaterThan">
      <formula>0</formula>
    </cfRule>
    <cfRule type="cellIs" dxfId="20" priority="49" operator="lessThan">
      <formula>0</formula>
    </cfRule>
  </conditionalFormatting>
  <conditionalFormatting sqref="Z61">
    <cfRule type="cellIs" dxfId="19" priority="104" operator="greaterThan">
      <formula>0</formula>
    </cfRule>
    <cfRule type="cellIs" dxfId="18" priority="103" operator="lessThan">
      <formula>0</formula>
    </cfRule>
  </conditionalFormatting>
  <conditionalFormatting sqref="Z63">
    <cfRule type="cellIs" dxfId="17" priority="101" operator="lessThan">
      <formula>0</formula>
    </cfRule>
    <cfRule type="cellIs" dxfId="16" priority="102" operator="greaterThan">
      <formula>0</formula>
    </cfRule>
  </conditionalFormatting>
  <conditionalFormatting sqref="Z129">
    <cfRule type="cellIs" dxfId="15" priority="83" operator="lessThan">
      <formula>0</formula>
    </cfRule>
    <cfRule type="cellIs" dxfId="14" priority="84" operator="greaterThan">
      <formula>0</formula>
    </cfRule>
  </conditionalFormatting>
  <conditionalFormatting sqref="Z132">
    <cfRule type="cellIs" dxfId="13" priority="26" operator="greaterThan">
      <formula>0</formula>
    </cfRule>
    <cfRule type="cellIs" dxfId="12" priority="25" operator="lessThan">
      <formula>0</formula>
    </cfRule>
  </conditionalFormatting>
  <conditionalFormatting sqref="Z135">
    <cfRule type="cellIs" dxfId="11" priority="79" operator="lessThan">
      <formula>0</formula>
    </cfRule>
    <cfRule type="cellIs" dxfId="10" priority="80" operator="greaterThan">
      <formula>0</formula>
    </cfRule>
  </conditionalFormatting>
  <conditionalFormatting sqref="Z137">
    <cfRule type="cellIs" dxfId="9" priority="77" operator="lessThan">
      <formula>0</formula>
    </cfRule>
    <cfRule type="cellIs" dxfId="8" priority="78" operator="greaterThan">
      <formula>0</formula>
    </cfRule>
  </conditionalFormatting>
  <conditionalFormatting sqref="Z203">
    <cfRule type="cellIs" dxfId="7" priority="91" operator="lessThan">
      <formula>0</formula>
    </cfRule>
    <cfRule type="cellIs" dxfId="6" priority="92" operator="greaterThan">
      <formula>0</formula>
    </cfRule>
  </conditionalFormatting>
  <conditionalFormatting sqref="Z206">
    <cfRule type="cellIs" dxfId="5" priority="1" operator="lessThan">
      <formula>0</formula>
    </cfRule>
    <cfRule type="cellIs" dxfId="4" priority="2" operator="greaterThan">
      <formula>0</formula>
    </cfRule>
  </conditionalFormatting>
  <conditionalFormatting sqref="Z209">
    <cfRule type="cellIs" dxfId="3" priority="88" operator="greaterThan">
      <formula>0</formula>
    </cfRule>
    <cfRule type="cellIs" dxfId="2" priority="87" operator="lessThan">
      <formula>0</formula>
    </cfRule>
  </conditionalFormatting>
  <conditionalFormatting sqref="Z211">
    <cfRule type="cellIs" dxfId="1" priority="86" operator="greaterThan">
      <formula>0</formula>
    </cfRule>
    <cfRule type="cellIs" dxfId="0" priority="85" operator="lessThan">
      <formula>0</formula>
    </cfRule>
  </conditionalFormatting>
  <pageMargins left="0.7" right="0.7" top="0.75" bottom="0.75" header="0.3" footer="0.3"/>
  <pageSetup paperSize="9" orientation="portrait" horizontalDpi="0" verticalDpi="0"/>
  <headerFooter>
    <oddHeader>&amp;C&amp;"Calibri"&amp;10&amp;K000000 Internal&amp;1#_x000D_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B11D3-43C7-4B45-859D-2A896168C4FC}">
  <sheetPr>
    <tabColor theme="5"/>
  </sheetPr>
  <dimension ref="A1:O37"/>
  <sheetViews>
    <sheetView showGridLines="0" showRuler="0" topLeftCell="A13" workbookViewId="0">
      <selection activeCell="E28" sqref="E28"/>
    </sheetView>
  </sheetViews>
  <sheetFormatPr defaultColWidth="10.8515625" defaultRowHeight="15" x14ac:dyDescent="0.2"/>
  <cols>
    <col min="1" max="1" width="13.6875" bestFit="1" customWidth="1"/>
    <col min="2" max="2" width="11.34375" bestFit="1" customWidth="1"/>
    <col min="3" max="3" width="22.44140625" bestFit="1" customWidth="1"/>
    <col min="4" max="4" width="19.7265625" bestFit="1" customWidth="1"/>
    <col min="5" max="5" width="12.9453125" bestFit="1" customWidth="1"/>
    <col min="6" max="7" width="15.2890625" bestFit="1" customWidth="1"/>
    <col min="8" max="8" width="16.64453125" bestFit="1" customWidth="1"/>
    <col min="9" max="9" width="22.31640625" bestFit="1" customWidth="1"/>
    <col min="10" max="10" width="18.86328125" bestFit="1" customWidth="1"/>
    <col min="11" max="11" width="15.78125" bestFit="1" customWidth="1"/>
    <col min="12" max="12" width="15.2890625" customWidth="1"/>
    <col min="13" max="13" width="12.82421875" customWidth="1"/>
    <col min="14" max="14" width="20.34375" customWidth="1"/>
    <col min="15" max="15" width="19.11328125" customWidth="1"/>
    <col min="18" max="18" width="13.6875" bestFit="1" customWidth="1"/>
  </cols>
  <sheetData>
    <row r="1" spans="1:15" x14ac:dyDescent="0.2">
      <c r="A1" s="73" t="s">
        <v>20</v>
      </c>
      <c r="B1" s="5">
        <v>2023</v>
      </c>
      <c r="N1" t="s">
        <v>20</v>
      </c>
      <c r="O1" s="5">
        <v>2022</v>
      </c>
    </row>
    <row r="2" spans="1:15" x14ac:dyDescent="0.2">
      <c r="A2" s="73" t="s">
        <v>47</v>
      </c>
      <c r="B2" t="s">
        <v>618</v>
      </c>
      <c r="N2" t="s">
        <v>199</v>
      </c>
      <c r="O2" t="s">
        <v>255</v>
      </c>
    </row>
    <row r="3" spans="1:15" x14ac:dyDescent="0.2">
      <c r="A3" s="73" t="s">
        <v>54</v>
      </c>
      <c r="B3" t="s">
        <v>45</v>
      </c>
      <c r="C3" t="s">
        <v>262</v>
      </c>
    </row>
    <row r="4" spans="1:15" x14ac:dyDescent="0.2">
      <c r="A4" s="73" t="s">
        <v>27</v>
      </c>
      <c r="B4" t="s">
        <v>618</v>
      </c>
      <c r="N4" t="s">
        <v>278</v>
      </c>
      <c r="O4" t="s">
        <v>266</v>
      </c>
    </row>
    <row r="5" spans="1:15" ht="15.75" thickBot="1" x14ac:dyDescent="0.25">
      <c r="N5" s="5" t="s">
        <v>56</v>
      </c>
      <c r="O5" s="79">
        <v>270</v>
      </c>
    </row>
    <row r="6" spans="1:15" x14ac:dyDescent="0.2">
      <c r="A6" s="73" t="s">
        <v>253</v>
      </c>
      <c r="B6" t="s">
        <v>259</v>
      </c>
      <c r="C6" t="s">
        <v>256</v>
      </c>
      <c r="D6" t="s">
        <v>257</v>
      </c>
      <c r="E6" t="s">
        <v>258</v>
      </c>
      <c r="F6" s="78" t="s">
        <v>260</v>
      </c>
      <c r="G6" s="97" t="s">
        <v>261</v>
      </c>
      <c r="H6" s="93" t="s">
        <v>280</v>
      </c>
      <c r="I6" s="93" t="s">
        <v>619</v>
      </c>
      <c r="J6" s="97" t="s">
        <v>620</v>
      </c>
      <c r="K6" s="191" t="s">
        <v>621</v>
      </c>
      <c r="N6" s="5" t="s">
        <v>48</v>
      </c>
      <c r="O6" s="79">
        <v>630</v>
      </c>
    </row>
    <row r="7" spans="1:15" x14ac:dyDescent="0.2">
      <c r="A7" s="5" t="s">
        <v>32</v>
      </c>
      <c r="B7" s="7">
        <v>18</v>
      </c>
      <c r="C7" s="79">
        <v>5240</v>
      </c>
      <c r="D7" s="79">
        <v>210</v>
      </c>
      <c r="E7" s="79">
        <v>5450</v>
      </c>
      <c r="F7" s="76">
        <f t="shared" ref="F7:F13" si="0">E7/$E$13</f>
        <v>0.11109978595454083</v>
      </c>
      <c r="G7" s="98">
        <f t="shared" ref="G7:G13" si="1">E7/B7</f>
        <v>302.77777777777777</v>
      </c>
      <c r="H7" s="94"/>
      <c r="I7" s="94"/>
      <c r="J7" s="98">
        <v>311.5</v>
      </c>
      <c r="K7" s="192">
        <v>20</v>
      </c>
      <c r="N7" s="5" t="s">
        <v>254</v>
      </c>
      <c r="O7" s="79">
        <v>900</v>
      </c>
    </row>
    <row r="8" spans="1:15" x14ac:dyDescent="0.2">
      <c r="A8" s="5" t="s">
        <v>33</v>
      </c>
      <c r="B8" s="7">
        <v>1</v>
      </c>
      <c r="C8" s="79">
        <v>150</v>
      </c>
      <c r="D8" s="79">
        <v>0</v>
      </c>
      <c r="E8" s="79">
        <v>150</v>
      </c>
      <c r="F8" s="76">
        <f t="shared" si="0"/>
        <v>3.0577922739781879E-3</v>
      </c>
      <c r="G8" s="98">
        <f t="shared" si="1"/>
        <v>150</v>
      </c>
      <c r="H8" s="94"/>
      <c r="I8" s="94"/>
      <c r="J8" s="98">
        <v>145</v>
      </c>
      <c r="K8" s="192">
        <v>1</v>
      </c>
    </row>
    <row r="9" spans="1:15" x14ac:dyDescent="0.2">
      <c r="A9" s="5" t="s">
        <v>30</v>
      </c>
      <c r="B9" s="7">
        <v>48</v>
      </c>
      <c r="C9" s="79">
        <v>6945</v>
      </c>
      <c r="D9" s="79">
        <v>0</v>
      </c>
      <c r="E9" s="79">
        <v>6945</v>
      </c>
      <c r="F9" s="76">
        <f t="shared" si="0"/>
        <v>0.1415757822851901</v>
      </c>
      <c r="G9" s="98">
        <f t="shared" si="1"/>
        <v>144.6875</v>
      </c>
      <c r="H9" s="94"/>
      <c r="I9" s="94"/>
      <c r="J9" s="98">
        <v>151</v>
      </c>
      <c r="K9" s="192">
        <v>30</v>
      </c>
    </row>
    <row r="10" spans="1:15" x14ac:dyDescent="0.2">
      <c r="A10" s="5" t="s">
        <v>31</v>
      </c>
      <c r="B10" s="7">
        <v>117</v>
      </c>
      <c r="C10" s="79">
        <v>15400</v>
      </c>
      <c r="D10" s="79">
        <v>95</v>
      </c>
      <c r="E10" s="79">
        <v>15495</v>
      </c>
      <c r="F10" s="76">
        <f t="shared" si="0"/>
        <v>0.31586994190194678</v>
      </c>
      <c r="G10" s="98">
        <f t="shared" si="1"/>
        <v>132.43589743589743</v>
      </c>
      <c r="H10" s="94"/>
      <c r="I10" s="94"/>
      <c r="J10" s="98">
        <v>138.9655172413793</v>
      </c>
      <c r="K10" s="192">
        <v>87</v>
      </c>
    </row>
    <row r="11" spans="1:15" x14ac:dyDescent="0.2">
      <c r="A11" s="5" t="s">
        <v>35</v>
      </c>
      <c r="B11" s="7">
        <v>75</v>
      </c>
      <c r="C11" s="79">
        <v>14710</v>
      </c>
      <c r="D11" s="79">
        <v>2020</v>
      </c>
      <c r="E11" s="79">
        <v>16730</v>
      </c>
      <c r="F11" s="76">
        <f t="shared" si="0"/>
        <v>0.34104576495770056</v>
      </c>
      <c r="G11" s="98">
        <f t="shared" si="1"/>
        <v>223.06666666666666</v>
      </c>
      <c r="H11" s="94"/>
      <c r="I11" s="94"/>
      <c r="J11" s="98">
        <v>231.66666666666666</v>
      </c>
      <c r="K11" s="192">
        <v>48</v>
      </c>
    </row>
    <row r="12" spans="1:15" ht="15.75" thickBot="1" x14ac:dyDescent="0.25">
      <c r="A12" s="5" t="s">
        <v>53</v>
      </c>
      <c r="B12" s="7">
        <v>12</v>
      </c>
      <c r="C12" s="79">
        <v>3970</v>
      </c>
      <c r="D12" s="79">
        <v>315</v>
      </c>
      <c r="E12" s="79">
        <v>4285</v>
      </c>
      <c r="F12" s="76">
        <f t="shared" si="0"/>
        <v>8.7350932626643563E-2</v>
      </c>
      <c r="G12" s="98">
        <f t="shared" si="1"/>
        <v>357.08333333333331</v>
      </c>
      <c r="H12" s="94"/>
      <c r="I12" s="94"/>
      <c r="J12" s="98">
        <v>357.5</v>
      </c>
      <c r="K12" s="192">
        <v>10</v>
      </c>
    </row>
    <row r="13" spans="1:15" ht="16.5" thickTop="1" thickBot="1" x14ac:dyDescent="0.25">
      <c r="A13" s="5" t="s">
        <v>254</v>
      </c>
      <c r="B13" s="7">
        <v>271</v>
      </c>
      <c r="C13" s="79">
        <v>46415</v>
      </c>
      <c r="D13" s="79">
        <v>2640</v>
      </c>
      <c r="E13" s="79">
        <v>49055</v>
      </c>
      <c r="F13" s="77">
        <f t="shared" si="0"/>
        <v>1</v>
      </c>
      <c r="G13" s="100">
        <f t="shared" si="1"/>
        <v>181.01476014760146</v>
      </c>
      <c r="H13" s="96">
        <f>(G13-C29)/C29</f>
        <v>1.9066279299563518</v>
      </c>
      <c r="I13" s="96">
        <f>(G13-I24)/I24</f>
        <v>1.1410902204439521</v>
      </c>
      <c r="J13" s="100">
        <v>192.29591836734693</v>
      </c>
      <c r="K13" s="193">
        <v>196</v>
      </c>
    </row>
    <row r="16" spans="1:15" x14ac:dyDescent="0.2">
      <c r="A16" s="73" t="s">
        <v>20</v>
      </c>
      <c r="B16" s="5">
        <v>2023</v>
      </c>
      <c r="G16" s="73" t="s">
        <v>20</v>
      </c>
      <c r="H16" s="5">
        <v>2023</v>
      </c>
    </row>
    <row r="17" spans="1:15" x14ac:dyDescent="0.2">
      <c r="A17" s="73" t="s">
        <v>47</v>
      </c>
      <c r="B17" t="s">
        <v>618</v>
      </c>
      <c r="C17" t="s">
        <v>281</v>
      </c>
      <c r="G17" s="73" t="s">
        <v>47</v>
      </c>
      <c r="H17" t="s">
        <v>618</v>
      </c>
      <c r="I17" t="s">
        <v>282</v>
      </c>
    </row>
    <row r="18" spans="1:15" ht="15.75" thickBot="1" x14ac:dyDescent="0.25">
      <c r="O18" s="5"/>
    </row>
    <row r="19" spans="1:15" s="170" customFormat="1" ht="15.75" x14ac:dyDescent="0.2">
      <c r="A19" s="163" t="s">
        <v>263</v>
      </c>
      <c r="B19" s="163" t="s">
        <v>78</v>
      </c>
      <c r="C19" s="164" t="s">
        <v>269</v>
      </c>
      <c r="D19"/>
      <c r="E19"/>
      <c r="F19"/>
      <c r="G19" s="163" t="s">
        <v>270</v>
      </c>
      <c r="H19" s="163" t="s">
        <v>78</v>
      </c>
      <c r="I19" s="167" t="s">
        <v>269</v>
      </c>
      <c r="J19"/>
      <c r="K19"/>
      <c r="L19"/>
    </row>
    <row r="20" spans="1:15" x14ac:dyDescent="0.2">
      <c r="A20" s="5" t="s">
        <v>111</v>
      </c>
      <c r="B20" s="48">
        <v>358.68960000000004</v>
      </c>
      <c r="C20" s="156">
        <f>B20/$B$13</f>
        <v>1.3235778597785979</v>
      </c>
      <c r="G20" s="5" t="s">
        <v>271</v>
      </c>
      <c r="H20" s="48">
        <v>8905.61</v>
      </c>
      <c r="I20" s="156">
        <f>H20/$B$13</f>
        <v>32.862029520295202</v>
      </c>
    </row>
    <row r="21" spans="1:15" x14ac:dyDescent="0.2">
      <c r="A21" s="5" t="s">
        <v>107</v>
      </c>
      <c r="B21" s="48">
        <v>187.64</v>
      </c>
      <c r="C21" s="156">
        <f t="shared" ref="C21:C27" si="2">B21/$B$13</f>
        <v>0.69239852398523982</v>
      </c>
      <c r="G21" s="5" t="s">
        <v>272</v>
      </c>
      <c r="H21" s="48">
        <v>7989.3350999999975</v>
      </c>
      <c r="I21" s="156">
        <f>H21/$B$13</f>
        <v>29.480941328413277</v>
      </c>
      <c r="N21" s="5"/>
      <c r="O21" s="79"/>
    </row>
    <row r="22" spans="1:15" x14ac:dyDescent="0.2">
      <c r="A22" s="5" t="s">
        <v>114</v>
      </c>
      <c r="B22" s="48">
        <v>2549.1200000000003</v>
      </c>
      <c r="C22" s="156">
        <f t="shared" si="2"/>
        <v>9.4063468634686362</v>
      </c>
      <c r="G22" s="5" t="s">
        <v>188</v>
      </c>
      <c r="H22" s="48">
        <v>5158.93</v>
      </c>
      <c r="I22" s="156">
        <f>H22/$B$13</f>
        <v>19.036642066420665</v>
      </c>
      <c r="N22" s="5"/>
      <c r="O22" s="79"/>
    </row>
    <row r="23" spans="1:15" x14ac:dyDescent="0.2">
      <c r="A23" s="5" t="s">
        <v>162</v>
      </c>
      <c r="B23" s="48">
        <v>2910</v>
      </c>
      <c r="C23" s="156">
        <f t="shared" si="2"/>
        <v>10.738007380073801</v>
      </c>
      <c r="G23" s="5" t="s">
        <v>273</v>
      </c>
      <c r="H23" s="48">
        <v>857.35</v>
      </c>
      <c r="I23" s="156">
        <f>H23/$B$13</f>
        <v>3.1636531365313654</v>
      </c>
      <c r="N23" s="5"/>
      <c r="O23" s="79"/>
    </row>
    <row r="24" spans="1:15" x14ac:dyDescent="0.2">
      <c r="A24" s="5" t="s">
        <v>106</v>
      </c>
      <c r="B24" s="48">
        <v>605</v>
      </c>
      <c r="C24" s="156">
        <f t="shared" si="2"/>
        <v>2.2324723247232474</v>
      </c>
      <c r="G24" s="5" t="s">
        <v>254</v>
      </c>
      <c r="H24" s="48">
        <v>22911.225099999996</v>
      </c>
      <c r="I24" s="156">
        <f>H24/$B$13</f>
        <v>84.543266051660495</v>
      </c>
      <c r="N24" s="5"/>
      <c r="O24" s="79"/>
    </row>
    <row r="25" spans="1:15" x14ac:dyDescent="0.2">
      <c r="A25" s="5" t="s">
        <v>104</v>
      </c>
      <c r="B25" s="48">
        <v>6696</v>
      </c>
      <c r="C25" s="156">
        <f t="shared" si="2"/>
        <v>24.70848708487085</v>
      </c>
      <c r="N25" s="5"/>
      <c r="O25" s="79"/>
    </row>
    <row r="26" spans="1:15" x14ac:dyDescent="0.2">
      <c r="A26" s="5" t="s">
        <v>110</v>
      </c>
      <c r="B26" s="48">
        <v>2171.5254999999997</v>
      </c>
      <c r="C26" s="156">
        <f t="shared" si="2"/>
        <v>8.0130092250922491</v>
      </c>
    </row>
    <row r="27" spans="1:15" x14ac:dyDescent="0.2">
      <c r="A27" s="5" t="s">
        <v>119</v>
      </c>
      <c r="B27" s="48">
        <v>626.78</v>
      </c>
      <c r="C27" s="156">
        <f t="shared" si="2"/>
        <v>2.3128413284132838</v>
      </c>
    </row>
    <row r="28" spans="1:15" x14ac:dyDescent="0.2">
      <c r="A28" s="5" t="s">
        <v>112</v>
      </c>
      <c r="B28" s="48">
        <v>772.19</v>
      </c>
      <c r="C28" s="156">
        <f>B28/$B$13</f>
        <v>2.849409594095941</v>
      </c>
    </row>
    <row r="29" spans="1:15" x14ac:dyDescent="0.2">
      <c r="A29" s="5" t="s">
        <v>254</v>
      </c>
      <c r="B29" s="48">
        <v>16876.945100000001</v>
      </c>
      <c r="C29" s="156">
        <f>B29/$B$13</f>
        <v>62.276550184501851</v>
      </c>
    </row>
    <row r="32" spans="1:15" x14ac:dyDescent="0.2">
      <c r="A32" s="5"/>
    </row>
    <row r="34" spans="1:5" x14ac:dyDescent="0.2">
      <c r="E34" s="48"/>
    </row>
    <row r="36" spans="1:5" x14ac:dyDescent="0.2">
      <c r="A36" s="5"/>
    </row>
    <row r="37" spans="1:5" x14ac:dyDescent="0.2">
      <c r="A37" s="5"/>
    </row>
  </sheetData>
  <pageMargins left="0.7" right="0.7" top="0.75" bottom="0.75" header="0.3" footer="0.3"/>
  <pageSetup paperSize="9" orientation="portrait" horizontalDpi="0" verticalDpi="0"/>
  <headerFooter>
    <oddHeader>&amp;C&amp;"Calibri"&amp;10&amp;K000000 Internal&amp;1#_x000D_</oddHeader>
  </headerFooter>
  <drawing r:id="rId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5"/>
  </sheetPr>
  <dimension ref="A1:Q71"/>
  <sheetViews>
    <sheetView showGridLines="0" tabSelected="1" showRuler="0" topLeftCell="C17" workbookViewId="0">
      <selection activeCell="B6" sqref="B6:B13"/>
    </sheetView>
  </sheetViews>
  <sheetFormatPr defaultColWidth="10.8515625" defaultRowHeight="15" x14ac:dyDescent="0.2"/>
  <cols>
    <col min="1" max="1" width="22.8125" bestFit="1" customWidth="1"/>
    <col min="2" max="2" width="9.86328125" bestFit="1" customWidth="1"/>
    <col min="3" max="3" width="22.93359375" customWidth="1"/>
    <col min="4" max="4" width="20.09765625" customWidth="1"/>
    <col min="5" max="5" width="13.4375" customWidth="1"/>
    <col min="6" max="7" width="15.2890625" bestFit="1" customWidth="1"/>
    <col min="8" max="8" width="9.86328125" bestFit="1" customWidth="1"/>
    <col min="9" max="9" width="22.31640625" bestFit="1" customWidth="1"/>
    <col min="10" max="10" width="18.86328125" bestFit="1" customWidth="1"/>
    <col min="11" max="11" width="15.78125" bestFit="1" customWidth="1"/>
    <col min="12" max="12" width="15.2890625" customWidth="1"/>
    <col min="13" max="13" width="12.82421875" customWidth="1"/>
    <col min="14" max="14" width="20.34375" customWidth="1"/>
    <col min="15" max="15" width="19.11328125" customWidth="1"/>
    <col min="18" max="18" width="13.6875" bestFit="1" customWidth="1"/>
  </cols>
  <sheetData>
    <row r="1" spans="1:15" x14ac:dyDescent="0.2">
      <c r="A1" s="73" t="s">
        <v>20</v>
      </c>
      <c r="B1" s="5">
        <v>2022</v>
      </c>
      <c r="N1" s="73" t="s">
        <v>20</v>
      </c>
      <c r="O1" s="5">
        <v>2022</v>
      </c>
    </row>
    <row r="2" spans="1:15" x14ac:dyDescent="0.2">
      <c r="A2" s="73" t="s">
        <v>47</v>
      </c>
      <c r="B2" t="s">
        <v>277</v>
      </c>
      <c r="N2" s="73" t="s">
        <v>199</v>
      </c>
      <c r="O2" t="s">
        <v>255</v>
      </c>
    </row>
    <row r="3" spans="1:15" x14ac:dyDescent="0.2">
      <c r="A3" s="73" t="s">
        <v>54</v>
      </c>
      <c r="B3" t="s">
        <v>45</v>
      </c>
      <c r="C3" t="s">
        <v>262</v>
      </c>
    </row>
    <row r="4" spans="1:15" x14ac:dyDescent="0.2">
      <c r="A4" s="73" t="s">
        <v>27</v>
      </c>
      <c r="B4" t="s">
        <v>277</v>
      </c>
      <c r="N4" s="73" t="s">
        <v>278</v>
      </c>
      <c r="O4" t="s">
        <v>266</v>
      </c>
    </row>
    <row r="5" spans="1:15" ht="15.75" thickBot="1" x14ac:dyDescent="0.25">
      <c r="N5" s="5" t="s">
        <v>56</v>
      </c>
      <c r="O5" s="79">
        <v>270</v>
      </c>
    </row>
    <row r="6" spans="1:15" x14ac:dyDescent="0.2">
      <c r="A6" s="73" t="s">
        <v>253</v>
      </c>
      <c r="B6" t="s">
        <v>259</v>
      </c>
      <c r="C6" t="s">
        <v>256</v>
      </c>
      <c r="D6" t="s">
        <v>257</v>
      </c>
      <c r="E6" t="s">
        <v>258</v>
      </c>
      <c r="F6" s="78" t="s">
        <v>260</v>
      </c>
      <c r="G6" s="97" t="s">
        <v>261</v>
      </c>
      <c r="H6" s="93" t="s">
        <v>280</v>
      </c>
      <c r="I6" s="97" t="s">
        <v>362</v>
      </c>
      <c r="J6" s="97" t="s">
        <v>365</v>
      </c>
      <c r="K6" s="93" t="s">
        <v>363</v>
      </c>
      <c r="N6" s="5" t="s">
        <v>48</v>
      </c>
      <c r="O6" s="79">
        <v>630</v>
      </c>
    </row>
    <row r="7" spans="1:15" x14ac:dyDescent="0.2">
      <c r="A7" s="5" t="s">
        <v>32</v>
      </c>
      <c r="B7" s="7">
        <v>20</v>
      </c>
      <c r="C7" s="79">
        <v>6150</v>
      </c>
      <c r="D7" s="79">
        <v>80</v>
      </c>
      <c r="E7" s="79">
        <v>6230</v>
      </c>
      <c r="F7" s="76">
        <f t="shared" ref="F7:F13" si="0">E7/$E$13</f>
        <v>0.16529583443884319</v>
      </c>
      <c r="G7" s="98">
        <f t="shared" ref="G7:G13" si="1">E7/B7</f>
        <v>311.5</v>
      </c>
      <c r="H7" s="94">
        <f t="shared" ref="H7:H13" si="2">1-($E$24/G7)</f>
        <v>0.9985258951092475</v>
      </c>
      <c r="I7" s="171">
        <f>G7-VLOOKUP($A7,'Cuadro de mando 2021'!$A$7:$H$15,7,0)</f>
        <v>67.083333333333343</v>
      </c>
      <c r="J7" s="161">
        <f>-1+(G7/VLOOKUP($A7,'Cuadro de mando 2021'!$A$7:$H$15,7,0))</f>
        <v>0.27446300715990457</v>
      </c>
      <c r="K7" s="94">
        <f>H7-VLOOKUP($A7,'Cuadro de mando 2021'!$A$7:$H$15,8,0)</f>
        <v>0.51317904625404553</v>
      </c>
      <c r="N7" s="5" t="s">
        <v>254</v>
      </c>
      <c r="O7" s="79">
        <v>900</v>
      </c>
    </row>
    <row r="8" spans="1:15" x14ac:dyDescent="0.2">
      <c r="A8" s="5" t="s">
        <v>33</v>
      </c>
      <c r="B8" s="7">
        <v>1</v>
      </c>
      <c r="C8" s="79">
        <v>145</v>
      </c>
      <c r="D8" s="79">
        <v>0</v>
      </c>
      <c r="E8" s="79">
        <v>145</v>
      </c>
      <c r="F8" s="76">
        <f t="shared" si="0"/>
        <v>3.8471743167949059E-3</v>
      </c>
      <c r="G8" s="98">
        <f t="shared" si="1"/>
        <v>145</v>
      </c>
      <c r="H8" s="94">
        <f t="shared" si="2"/>
        <v>0.99683321604503872</v>
      </c>
      <c r="I8" s="171">
        <f>G8-VLOOKUP($A8,'Cuadro de mando 2021'!$A$7:$H$15,7,0)</f>
        <v>-5</v>
      </c>
      <c r="J8" s="161">
        <f>-1+(G8/VLOOKUP($A8,'Cuadro de mando 2021'!$A$7:$H$15,7,0))</f>
        <v>-3.3333333333333326E-2</v>
      </c>
      <c r="K8" s="94">
        <f>H8-VLOOKUP($A8,'Cuadro de mando 2021'!$A$7:$H$15,8,0)</f>
        <v>0.8354319339937567</v>
      </c>
    </row>
    <row r="9" spans="1:15" x14ac:dyDescent="0.2">
      <c r="A9" s="5" t="s">
        <v>30</v>
      </c>
      <c r="B9" s="7">
        <v>30</v>
      </c>
      <c r="C9" s="79">
        <v>4425</v>
      </c>
      <c r="D9" s="79">
        <v>105</v>
      </c>
      <c r="E9" s="79">
        <v>4530</v>
      </c>
      <c r="F9" s="76">
        <f t="shared" si="0"/>
        <v>0.12019103210400636</v>
      </c>
      <c r="G9" s="98">
        <f t="shared" si="1"/>
        <v>151</v>
      </c>
      <c r="H9" s="94">
        <f t="shared" si="2"/>
        <v>0.99695904852007033</v>
      </c>
      <c r="I9" s="171">
        <f>G9-VLOOKUP($A9,'Cuadro de mando 2021'!$A$7:$H$15,7,0)</f>
        <v>6</v>
      </c>
      <c r="J9" s="161">
        <f>-1+(G9/VLOOKUP($A9,'Cuadro de mando 2021'!$A$7:$H$15,7,0))</f>
        <v>4.1379310344827669E-2</v>
      </c>
      <c r="K9" s="94">
        <f>H9-VLOOKUP($A9,'Cuadro de mando 2021'!$A$7:$H$15,8,0)</f>
        <v>0.86447496363943377</v>
      </c>
    </row>
    <row r="10" spans="1:15" x14ac:dyDescent="0.2">
      <c r="A10" s="5" t="s">
        <v>31</v>
      </c>
      <c r="B10" s="7">
        <v>87</v>
      </c>
      <c r="C10" s="79">
        <v>11760</v>
      </c>
      <c r="D10" s="79">
        <v>330</v>
      </c>
      <c r="E10" s="79">
        <v>12090</v>
      </c>
      <c r="F10" s="76">
        <f t="shared" si="0"/>
        <v>0.3207747413106925</v>
      </c>
      <c r="G10" s="98">
        <f t="shared" si="1"/>
        <v>138.9655172413793</v>
      </c>
      <c r="H10" s="94">
        <f t="shared" si="2"/>
        <v>0.99669570061275126</v>
      </c>
      <c r="I10" s="171">
        <f>G10-VLOOKUP($A10,'Cuadro de mando 2021'!$A$7:$H$15,7,0)</f>
        <v>-16.36781609195404</v>
      </c>
      <c r="J10" s="161">
        <f>-1+(G10/VLOOKUP($A10,'Cuadro de mando 2021'!$A$7:$H$15,7,0))</f>
        <v>-0.10537220660056246</v>
      </c>
      <c r="K10" s="94">
        <f>H10-VLOOKUP($A10,'Cuadro de mando 2021'!$A$7:$H$15,8,0)</f>
        <v>0.80650132953318709</v>
      </c>
    </row>
    <row r="11" spans="1:15" x14ac:dyDescent="0.2">
      <c r="A11" s="5" t="s">
        <v>35</v>
      </c>
      <c r="B11" s="7">
        <v>48</v>
      </c>
      <c r="C11" s="79">
        <v>9695</v>
      </c>
      <c r="D11" s="79">
        <v>1425</v>
      </c>
      <c r="E11" s="79">
        <v>11120</v>
      </c>
      <c r="F11" s="76">
        <f t="shared" si="0"/>
        <v>0.29503847174316794</v>
      </c>
      <c r="G11" s="98">
        <f t="shared" si="1"/>
        <v>231.66666666666666</v>
      </c>
      <c r="H11" s="94">
        <f t="shared" si="2"/>
        <v>0.99801791220085156</v>
      </c>
      <c r="I11" s="171">
        <f>G11-VLOOKUP($A11,'Cuadro de mando 2021'!$A$7:$H$15,7,0)</f>
        <v>-23.333333333333343</v>
      </c>
      <c r="J11" s="161">
        <f>-1+(G11/VLOOKUP($A11,'Cuadro de mando 2021'!$A$7:$H$15,7,0))</f>
        <v>-9.1503267973856217E-2</v>
      </c>
      <c r="K11" s="94">
        <f>H11-VLOOKUP($A11,'Cuadro de mando 2021'!$A$7:$H$15,8,0)</f>
        <v>0.49131127570009747</v>
      </c>
    </row>
    <row r="12" spans="1:15" ht="15.75" thickBot="1" x14ac:dyDescent="0.25">
      <c r="A12" s="5" t="s">
        <v>53</v>
      </c>
      <c r="B12" s="7">
        <v>10</v>
      </c>
      <c r="C12" s="79">
        <v>3375</v>
      </c>
      <c r="D12" s="79">
        <v>200</v>
      </c>
      <c r="E12" s="79">
        <v>3575</v>
      </c>
      <c r="F12" s="76">
        <f t="shared" si="0"/>
        <v>9.4852746086495091E-2</v>
      </c>
      <c r="G12" s="98">
        <f t="shared" si="1"/>
        <v>357.5</v>
      </c>
      <c r="H12" s="94">
        <f t="shared" si="2"/>
        <v>0.99871557014414158</v>
      </c>
      <c r="I12" s="171" t="e">
        <f>G12-VLOOKUP($A12,'Cuadro de mando 2021'!$A$7:$H$15,7,0)</f>
        <v>#N/A</v>
      </c>
      <c r="J12" s="161" t="e">
        <f>-1+(G12/VLOOKUP($A12,'Cuadro de mando 2021'!$A$7:$H$15,7,0))</f>
        <v>#N/A</v>
      </c>
      <c r="K12" s="94" t="e">
        <f>H12-VLOOKUP($A12,'Cuadro de mando 2021'!$A$7:$H$15,8,0)</f>
        <v>#N/A</v>
      </c>
    </row>
    <row r="13" spans="1:15" ht="16.5" thickTop="1" thickBot="1" x14ac:dyDescent="0.25">
      <c r="A13" s="5" t="s">
        <v>254</v>
      </c>
      <c r="B13" s="7">
        <v>196</v>
      </c>
      <c r="C13" s="79">
        <v>35550</v>
      </c>
      <c r="D13" s="79">
        <v>2140</v>
      </c>
      <c r="E13" s="79">
        <v>37690</v>
      </c>
      <c r="F13" s="77">
        <f t="shared" si="0"/>
        <v>1</v>
      </c>
      <c r="G13" s="100">
        <f t="shared" si="1"/>
        <v>192.29591836734693</v>
      </c>
      <c r="H13" s="96">
        <f t="shared" si="2"/>
        <v>0.9976120986999204</v>
      </c>
      <c r="I13" s="172" t="e">
        <f>G13-VLOOKUP($A12,'Cuadro de mando 2021'!$A$7:$H$15,7,0)</f>
        <v>#N/A</v>
      </c>
      <c r="J13" s="162" t="e">
        <f>-1+(G13/VLOOKUP($A12,'Cuadro de mando 2021'!$A$7:$H$15,7,0))</f>
        <v>#N/A</v>
      </c>
      <c r="K13" s="96" t="e">
        <f>H13-VLOOKUP($A12,'Cuadro de mando 2021'!$A$7:$H$15,8,0)</f>
        <v>#N/A</v>
      </c>
    </row>
    <row r="16" spans="1:15" x14ac:dyDescent="0.2">
      <c r="A16" s="73" t="s">
        <v>20</v>
      </c>
      <c r="B16" s="5">
        <v>2022</v>
      </c>
      <c r="G16" s="73" t="s">
        <v>20</v>
      </c>
      <c r="H16" s="5">
        <v>2022</v>
      </c>
    </row>
    <row r="17" spans="1:15" x14ac:dyDescent="0.2">
      <c r="A17" s="73" t="s">
        <v>47</v>
      </c>
      <c r="B17" t="s">
        <v>618</v>
      </c>
      <c r="C17" t="s">
        <v>281</v>
      </c>
      <c r="G17" s="73" t="s">
        <v>47</v>
      </c>
      <c r="H17" t="s">
        <v>618</v>
      </c>
      <c r="I17" t="s">
        <v>282</v>
      </c>
    </row>
    <row r="18" spans="1:15" ht="15.75" thickBot="1" x14ac:dyDescent="0.25">
      <c r="O18" s="5"/>
    </row>
    <row r="19" spans="1:15" s="170" customFormat="1" ht="30" x14ac:dyDescent="0.2">
      <c r="A19" s="163" t="s">
        <v>263</v>
      </c>
      <c r="B19" s="163" t="s">
        <v>78</v>
      </c>
      <c r="C19" s="164" t="s">
        <v>269</v>
      </c>
      <c r="D19" s="165" t="s">
        <v>276</v>
      </c>
      <c r="E19" s="166" t="s">
        <v>274</v>
      </c>
      <c r="F19" s="164" t="s">
        <v>364</v>
      </c>
      <c r="G19" s="163" t="s">
        <v>270</v>
      </c>
      <c r="H19" s="163" t="s">
        <v>78</v>
      </c>
      <c r="I19" s="167" t="s">
        <v>269</v>
      </c>
      <c r="J19" s="168" t="s">
        <v>275</v>
      </c>
      <c r="K19" s="169" t="s">
        <v>274</v>
      </c>
      <c r="L19" s="167" t="s">
        <v>364</v>
      </c>
    </row>
    <row r="20" spans="1:15" x14ac:dyDescent="0.2">
      <c r="A20" s="5" t="s">
        <v>107</v>
      </c>
      <c r="B20" s="48">
        <v>342.58000000000004</v>
      </c>
      <c r="C20" s="156">
        <f>B20/$B$13</f>
        <v>1.747857142857143</v>
      </c>
      <c r="D20" s="74">
        <f>B20</f>
        <v>342.58000000000004</v>
      </c>
      <c r="E20" s="89">
        <f>D20/$B$13</f>
        <v>1.747857142857143</v>
      </c>
      <c r="F20" s="156">
        <f>C20-VLOOKUP(A20,'Cuadro de mando 2021'!$A$20:$E$31,5,0)</f>
        <v>-5.6109890109890115</v>
      </c>
      <c r="G20" s="5" t="s">
        <v>271</v>
      </c>
      <c r="H20" s="48">
        <v>7306.869999999999</v>
      </c>
      <c r="I20" s="156">
        <f>H20/$B$13</f>
        <v>37.279948979591829</v>
      </c>
      <c r="J20" s="74">
        <f>H20</f>
        <v>7306.869999999999</v>
      </c>
      <c r="K20" s="89">
        <f>(H20)/$B$13</f>
        <v>37.279948979591829</v>
      </c>
      <c r="L20" s="156">
        <f>I20-VLOOKUP(G20,'Cuadro de mando 2021'!$G$20:$I$24,3,0)</f>
        <v>-67.283127943485084</v>
      </c>
    </row>
    <row r="21" spans="1:15" x14ac:dyDescent="0.2">
      <c r="A21" s="5" t="s">
        <v>105</v>
      </c>
      <c r="B21" s="48">
        <v>1067.6400000000001</v>
      </c>
      <c r="C21" s="156">
        <f t="shared" ref="C21:C28" si="3">B21/$B$13</f>
        <v>5.4471428571428575</v>
      </c>
      <c r="D21" s="74">
        <f t="shared" ref="D21:D27" si="4">B21</f>
        <v>1067.6400000000001</v>
      </c>
      <c r="E21" s="89">
        <f t="shared" ref="E21:E28" si="5">D21/$B$13</f>
        <v>5.4471428571428575</v>
      </c>
      <c r="F21" s="156">
        <f>C21-VLOOKUP(A21,'Cuadro de mando 2021'!$A$20:$E$31,5,0)</f>
        <v>-14.369010989010988</v>
      </c>
      <c r="G21" s="5" t="s">
        <v>272</v>
      </c>
      <c r="H21" s="48">
        <v>3894.54</v>
      </c>
      <c r="I21" s="156">
        <f>H21/$B$13</f>
        <v>19.870102040816327</v>
      </c>
      <c r="J21" s="74">
        <f>H21</f>
        <v>3894.54</v>
      </c>
      <c r="K21" s="89">
        <f>(H21)/$B$13</f>
        <v>19.870102040816327</v>
      </c>
      <c r="L21" s="156">
        <f>I21-VLOOKUP(G21,'Cuadro de mando 2021'!$G$20:$I$24,3,0)</f>
        <v>-1.7027825745682925</v>
      </c>
      <c r="N21" s="5"/>
      <c r="O21" s="79"/>
    </row>
    <row r="22" spans="1:15" ht="15.75" thickBot="1" x14ac:dyDescent="0.25">
      <c r="A22" s="5" t="s">
        <v>114</v>
      </c>
      <c r="B22" s="48">
        <v>1349.28</v>
      </c>
      <c r="C22" s="156">
        <f t="shared" si="3"/>
        <v>6.8840816326530607</v>
      </c>
      <c r="D22" s="74">
        <f t="shared" si="4"/>
        <v>1349.28</v>
      </c>
      <c r="E22" s="89">
        <f t="shared" si="5"/>
        <v>6.8840816326530607</v>
      </c>
      <c r="F22" s="156">
        <f>C22-VLOOKUP(A22,'Cuadro de mando 2021'!$A$20:$E$31,5,0)</f>
        <v>-0.32649529042386227</v>
      </c>
      <c r="G22" s="5" t="s">
        <v>188</v>
      </c>
      <c r="H22" s="48">
        <v>2386.96</v>
      </c>
      <c r="I22" s="156">
        <f>H22/$B$13</f>
        <v>12.178367346938776</v>
      </c>
      <c r="J22" s="74">
        <f>H22</f>
        <v>2386.96</v>
      </c>
      <c r="K22" s="89">
        <f>(H22)/$B$13</f>
        <v>12.178367346938776</v>
      </c>
      <c r="L22" s="156">
        <f>I22-VLOOKUP(G22,'Cuadro de mando 2021'!$G$20:$I$24,3,0)</f>
        <v>4.6412519623233912</v>
      </c>
      <c r="N22" s="5"/>
      <c r="O22" s="79"/>
    </row>
    <row r="23" spans="1:15" ht="16.5" thickTop="1" thickBot="1" x14ac:dyDescent="0.25">
      <c r="A23" s="5" t="s">
        <v>162</v>
      </c>
      <c r="B23" s="48">
        <v>1190</v>
      </c>
      <c r="C23" s="156">
        <f t="shared" si="3"/>
        <v>6.0714285714285712</v>
      </c>
      <c r="D23" s="74">
        <f t="shared" si="4"/>
        <v>1190</v>
      </c>
      <c r="E23" s="89">
        <f t="shared" si="5"/>
        <v>6.0714285714285712</v>
      </c>
      <c r="F23" s="156">
        <f>C23-VLOOKUP(A23,'Cuadro de mando 2021'!$A$20:$E$31,5,0)</f>
        <v>0.87912087912087866</v>
      </c>
      <c r="G23" s="5" t="s">
        <v>254</v>
      </c>
      <c r="H23" s="48">
        <v>13588.369999999999</v>
      </c>
      <c r="I23" s="157">
        <f>H23/$B$13</f>
        <v>69.328418367346927</v>
      </c>
      <c r="J23" s="75">
        <f>SUM(J20:J22)</f>
        <v>13588.369999999999</v>
      </c>
      <c r="K23" s="91">
        <f>(H23)/$B$13</f>
        <v>69.328418367346927</v>
      </c>
      <c r="L23" s="157">
        <f>I23-VLOOKUP(G23,'Cuadro de mando 2021'!$G$20:$I$24,3,0)</f>
        <v>-96.138504709576125</v>
      </c>
      <c r="N23" s="5"/>
      <c r="O23" s="79"/>
    </row>
    <row r="24" spans="1:15" x14ac:dyDescent="0.2">
      <c r="A24" s="5" t="s">
        <v>106</v>
      </c>
      <c r="B24" s="48">
        <v>90</v>
      </c>
      <c r="C24" s="156">
        <f t="shared" si="3"/>
        <v>0.45918367346938777</v>
      </c>
      <c r="D24" s="74">
        <f t="shared" si="4"/>
        <v>90</v>
      </c>
      <c r="E24" s="89">
        <f t="shared" si="5"/>
        <v>0.45918367346938777</v>
      </c>
      <c r="F24" s="156">
        <f>C24-VLOOKUP(A24,'Cuadro de mando 2021'!$A$20:$E$31,5,0)</f>
        <v>-6.4638932496075352</v>
      </c>
      <c r="N24" s="5"/>
      <c r="O24" s="79"/>
    </row>
    <row r="25" spans="1:15" x14ac:dyDescent="0.2">
      <c r="A25" s="5" t="s">
        <v>104</v>
      </c>
      <c r="B25" s="48">
        <v>5108.12</v>
      </c>
      <c r="C25" s="156">
        <f t="shared" si="3"/>
        <v>26.061836734693877</v>
      </c>
      <c r="D25" s="74">
        <f t="shared" si="4"/>
        <v>5108.12</v>
      </c>
      <c r="E25" s="89">
        <f t="shared" si="5"/>
        <v>26.061836734693877</v>
      </c>
      <c r="F25" s="156">
        <f>C25-VLOOKUP(A25,'Cuadro de mando 2021'!$A$20:$E$31,5,0)</f>
        <v>-21.015086342229203</v>
      </c>
      <c r="N25" s="5"/>
      <c r="O25" s="79"/>
    </row>
    <row r="26" spans="1:15" x14ac:dyDescent="0.2">
      <c r="A26" s="5" t="s">
        <v>110</v>
      </c>
      <c r="B26" s="48">
        <v>1355.26</v>
      </c>
      <c r="C26" s="156">
        <f t="shared" si="3"/>
        <v>6.9145918367346937</v>
      </c>
      <c r="D26" s="74">
        <f t="shared" si="4"/>
        <v>1355.26</v>
      </c>
      <c r="E26" s="89">
        <f t="shared" si="5"/>
        <v>6.9145918367346937</v>
      </c>
      <c r="F26" s="156">
        <f>C26-VLOOKUP(A26,'Cuadro de mando 2021'!$A$20:$E$31,5,0)</f>
        <v>-1.7082927786499216</v>
      </c>
    </row>
    <row r="27" spans="1:15" ht="15.75" thickBot="1" x14ac:dyDescent="0.25">
      <c r="A27" s="5" t="s">
        <v>112</v>
      </c>
      <c r="B27" s="48">
        <v>698.53000000000009</v>
      </c>
      <c r="C27" s="156">
        <f t="shared" si="3"/>
        <v>3.5639285714285718</v>
      </c>
      <c r="D27" s="74">
        <f t="shared" si="4"/>
        <v>698.53000000000009</v>
      </c>
      <c r="E27" s="89">
        <f t="shared" si="5"/>
        <v>3.5639285714285718</v>
      </c>
      <c r="F27" s="156">
        <f>C27-VLOOKUP(A27,'Cuadro de mando 2021'!$A$20:$E$31,5,0)</f>
        <v>-9.8818406593406571</v>
      </c>
    </row>
    <row r="28" spans="1:15" ht="16.5" thickTop="1" thickBot="1" x14ac:dyDescent="0.25">
      <c r="A28" s="5" t="s">
        <v>254</v>
      </c>
      <c r="B28" s="48">
        <v>11201.41</v>
      </c>
      <c r="C28" s="157">
        <f t="shared" si="3"/>
        <v>57.150051020408164</v>
      </c>
      <c r="D28" s="74">
        <f>SUM(D20:D27)</f>
        <v>11201.41</v>
      </c>
      <c r="E28" s="91">
        <f t="shared" si="5"/>
        <v>57.150051020408164</v>
      </c>
      <c r="F28" s="157"/>
    </row>
    <row r="32" spans="1:15" x14ac:dyDescent="0.2">
      <c r="A32" s="5"/>
    </row>
    <row r="34" spans="1:17" x14ac:dyDescent="0.2">
      <c r="E34" s="48"/>
    </row>
    <row r="36" spans="1:17" x14ac:dyDescent="0.2">
      <c r="A36" s="5"/>
    </row>
    <row r="37" spans="1:17" x14ac:dyDescent="0.2">
      <c r="A37" s="5"/>
    </row>
    <row r="41" spans="1:17" ht="15.75" thickBot="1" x14ac:dyDescent="0.25"/>
    <row r="42" spans="1:17" ht="15.75" thickBot="1" x14ac:dyDescent="0.25">
      <c r="A42" s="128">
        <v>2020</v>
      </c>
      <c r="B42" s="36"/>
      <c r="C42" s="127" t="s">
        <v>48</v>
      </c>
      <c r="D42" s="127" t="s">
        <v>56</v>
      </c>
      <c r="E42" s="127" t="s">
        <v>57</v>
      </c>
      <c r="F42" s="127" t="s">
        <v>58</v>
      </c>
      <c r="G42" s="127" t="s">
        <v>59</v>
      </c>
      <c r="H42" s="127" t="s">
        <v>60</v>
      </c>
      <c r="I42" s="127" t="s">
        <v>61</v>
      </c>
      <c r="J42" s="127" t="s">
        <v>62</v>
      </c>
      <c r="K42" s="127" t="s">
        <v>236</v>
      </c>
      <c r="L42" s="127" t="s">
        <v>63</v>
      </c>
      <c r="M42" s="127" t="s">
        <v>64</v>
      </c>
      <c r="N42" s="127" t="s">
        <v>65</v>
      </c>
      <c r="O42" s="129">
        <v>2020</v>
      </c>
      <c r="P42" s="154" t="s">
        <v>294</v>
      </c>
    </row>
    <row r="43" spans="1:17" x14ac:dyDescent="0.2">
      <c r="A43" s="213" t="s">
        <v>66</v>
      </c>
      <c r="B43" s="104" t="s">
        <v>30</v>
      </c>
      <c r="C43" s="105">
        <f>SUMIFS(Tabla1[IMPORTE TOTAL],Tabla1[ANY],'Cuadro de mando 2022'!$A$42,Tabla1[MES],'Cuadro de mando 2022'!C$42,Tabla1[HORARI],'Cuadro de mando 2022'!$B43,Tabla1[COBRAT],"SI")-SUMIFS(Tabla1[IMPORTE TOTAL],Tabla1[ANY],'Cuadro de mando 2022'!$A$42,Tabla1[MES],'Cuadro de mando 2022'!C$42,Tabla1[HORARI],'Cuadro de mando 2022'!$B43,Tabla1[TORNS],"")</f>
        <v>435</v>
      </c>
      <c r="D43" s="105">
        <f>SUMIFS(Tabla1[IMPORTE TOTAL],Tabla1[ANY],'Cuadro de mando 2022'!$A$42,Tabla1[MES],'Cuadro de mando 2022'!D$42,Tabla1[HORARI],'Cuadro de mando 2022'!$B43,Tabla1[COBRAT],"SI")-SUMIFS(Tabla1[IMPORTE TOTAL],Tabla1[ANY],'Cuadro de mando 2022'!$A$42,Tabla1[MES],'Cuadro de mando 2022'!D$42,Tabla1[HORARI],'Cuadro de mando 2022'!$B43,Tabla1[TORNS],"")</f>
        <v>725</v>
      </c>
      <c r="E43" s="105">
        <f>SUMIFS(Tabla1[IMPORTE TOTAL],Tabla1[ANY],'Cuadro de mando 2022'!$A$42,Tabla1[MES],'Cuadro de mando 2022'!E$42,Tabla1[HORARI],'Cuadro de mando 2022'!$B43,Tabla1[COBRAT],"SI")-SUMIFS(Tabla1[IMPORTE TOTAL],Tabla1[ANY],'Cuadro de mando 2022'!$A$42,Tabla1[MES],'Cuadro de mando 2022'!E$42,Tabla1[HORARI],'Cuadro de mando 2022'!$B43,Tabla1[TORNS],"")</f>
        <v>145</v>
      </c>
      <c r="F43" s="105">
        <f>SUMIFS(Tabla1[IMPORTE TOTAL],Tabla1[ANY],'Cuadro de mando 2022'!$A$42,Tabla1[MES],'Cuadro de mando 2022'!F$42,Tabla1[HORARI],'Cuadro de mando 2022'!$B43,Tabla1[COBRAT],"SI")-SUMIFS(Tabla1[IMPORTE TOTAL],Tabla1[ANY],'Cuadro de mando 2022'!$A$42,Tabla1[MES],'Cuadro de mando 2022'!F$42,Tabla1[HORARI],'Cuadro de mando 2022'!$B43,Tabla1[TORNS],"")</f>
        <v>0</v>
      </c>
      <c r="G43" s="105">
        <f>SUMIFS(Tabla1[IMPORTE TOTAL],Tabla1[ANY],'Cuadro de mando 2022'!$A$42,Tabla1[MES],'Cuadro de mando 2022'!G$42,Tabla1[HORARI],'Cuadro de mando 2022'!$B43,Tabla1[COBRAT],"SI")-SUMIFS(Tabla1[IMPORTE TOTAL],Tabla1[ANY],'Cuadro de mando 2022'!$A$42,Tabla1[MES],'Cuadro de mando 2022'!G$42,Tabla1[HORARI],'Cuadro de mando 2022'!$B43,Tabla1[TORNS],"")</f>
        <v>0</v>
      </c>
      <c r="H43" s="105">
        <f>SUMIFS(Tabla1[IMPORTE TOTAL],Tabla1[ANY],'Cuadro de mando 2022'!$A$42,Tabla1[MES],'Cuadro de mando 2022'!H$42,Tabla1[HORARI],'Cuadro de mando 2022'!$B43,Tabla1[COBRAT],"SI")-SUMIFS(Tabla1[IMPORTE TOTAL],Tabla1[ANY],'Cuadro de mando 2022'!$A$42,Tabla1[MES],'Cuadro de mando 2022'!H$42,Tabla1[HORARI],'Cuadro de mando 2022'!$B43,Tabla1[TORNS],"")</f>
        <v>0</v>
      </c>
      <c r="I43" s="105">
        <f>SUMIFS(Tabla1[IMPORTE TOTAL],Tabla1[ANY],'Cuadro de mando 2022'!$A$42,Tabla1[MES],'Cuadro de mando 2022'!I$42,Tabla1[HORARI],'Cuadro de mando 2022'!$B43,Tabla1[COBRAT],"SI")-SUMIFS(Tabla1[IMPORTE TOTAL],Tabla1[ANY],'Cuadro de mando 2022'!$A$42,Tabla1[MES],'Cuadro de mando 2022'!I$42,Tabla1[HORARI],'Cuadro de mando 2022'!$B43,Tabla1[TORNS],"")</f>
        <v>150</v>
      </c>
      <c r="J43" s="105">
        <f>SUMIFS(Tabla1[IMPORTE TOTAL],Tabla1[ANY],'Cuadro de mando 2022'!$A$42,Tabla1[MES],'Cuadro de mando 2022'!J$42,Tabla1[HORARI],'Cuadro de mando 2022'!$B43,Tabla1[COBRAT],"SI")-SUMIFS(Tabla1[IMPORTE TOTAL],Tabla1[ANY],'Cuadro de mando 2022'!$A$42,Tabla1[MES],'Cuadro de mando 2022'!J$42,Tabla1[HORARI],'Cuadro de mando 2022'!$B43,Tabla1[TORNS],"")</f>
        <v>0</v>
      </c>
      <c r="K43" s="105">
        <f>SUMIFS(Tabla1[IMPORTE TOTAL],Tabla1[ANY],'Cuadro de mando 2022'!$A$42,Tabla1[MES],'Cuadro de mando 2022'!K$42,Tabla1[HORARI],'Cuadro de mando 2022'!$B43,Tabla1[COBRAT],"SI")-SUMIFS(Tabla1[IMPORTE TOTAL],Tabla1[ANY],'Cuadro de mando 2022'!$A$42,Tabla1[MES],'Cuadro de mando 2022'!K$42,Tabla1[HORARI],'Cuadro de mando 2022'!$B43,Tabla1[TORNS],"")</f>
        <v>0</v>
      </c>
      <c r="L43" s="105">
        <f>SUMIFS(Tabla1[IMPORTE TOTAL],Tabla1[ANY],'Cuadro de mando 2022'!$A$42,Tabla1[MES],'Cuadro de mando 2022'!L$42,Tabla1[HORARI],'Cuadro de mando 2022'!$B43,Tabla1[COBRAT],"SI")-SUMIFS(Tabla1[IMPORTE TOTAL],Tabla1[ANY],'Cuadro de mando 2022'!$A$42,Tabla1[MES],'Cuadro de mando 2022'!L$42,Tabla1[HORARI],'Cuadro de mando 2022'!$B43,Tabla1[TORNS],"")</f>
        <v>0</v>
      </c>
      <c r="M43" s="105">
        <f>SUMIFS(Tabla1[IMPORTE TOTAL],Tabla1[ANY],'Cuadro de mando 2022'!$A$42,Tabla1[MES],'Cuadro de mando 2022'!M$42,Tabla1[HORARI],'Cuadro de mando 2022'!$B43,Tabla1[COBRAT],"SI")-SUMIFS(Tabla1[IMPORTE TOTAL],Tabla1[ANY],'Cuadro de mando 2022'!$A$42,Tabla1[MES],'Cuadro de mando 2022'!M$42,Tabla1[HORARI],'Cuadro de mando 2022'!$B43,Tabla1[TORNS],"")</f>
        <v>0</v>
      </c>
      <c r="N43" s="105">
        <f>SUMIFS(Tabla1[IMPORTE TOTAL],Tabla1[ANY],'Cuadro de mando 2022'!$A$42,Tabla1[MES],'Cuadro de mando 2022'!N$42,Tabla1[HORARI],'Cuadro de mando 2022'!$B43,Tabla1[COBRAT],"SI")-SUMIFS(Tabla1[IMPORTE TOTAL],Tabla1[ANY],'Cuadro de mando 2022'!$A$42,Tabla1[MES],'Cuadro de mando 2022'!N$42,Tabla1[HORARI],'Cuadro de mando 2022'!$B43,Tabla1[TORNS],"")</f>
        <v>0</v>
      </c>
      <c r="O43" s="130">
        <f t="shared" ref="O43:O50" si="6">SUM(C43:N43)</f>
        <v>1455</v>
      </c>
    </row>
    <row r="44" spans="1:17" x14ac:dyDescent="0.2">
      <c r="A44" s="214"/>
      <c r="B44" s="2" t="s">
        <v>31</v>
      </c>
      <c r="C44" s="102">
        <f>SUMIFS(Tabla1[IMPORTE TOTAL],Tabla1[ANY],'Cuadro de mando 2022'!$A$42,Tabla1[MES],'Cuadro de mando 2022'!C$42,Tabla1[HORARI],'Cuadro de mando 2022'!$B44,Tabla1[COBRAT],"SI")-SUMIFS(Tabla1[IMPORTE TOTAL],Tabla1[ANY],'Cuadro de mando 2022'!$A$42,Tabla1[MES],'Cuadro de mando 2022'!C$42,Tabla1[HORARI],'Cuadro de mando 2022'!$B44,Tabla1[TORNS],"")</f>
        <v>1040</v>
      </c>
      <c r="D44" s="102">
        <f>SUMIFS(Tabla1[IMPORTE TOTAL],Tabla1[ANY],'Cuadro de mando 2022'!$A$42,Tabla1[MES],'Cuadro de mando 2022'!D$42,Tabla1[HORARI],'Cuadro de mando 2022'!$B44,Tabla1[COBRAT],"SI")-SUMIFS(Tabla1[IMPORTE TOTAL],Tabla1[ANY],'Cuadro de mando 2022'!$A$42,Tabla1[MES],'Cuadro de mando 2022'!D$42,Tabla1[HORARI],'Cuadro de mando 2022'!$B44,Tabla1[TORNS],"")</f>
        <v>1135</v>
      </c>
      <c r="E44" s="102">
        <f>SUMIFS(Tabla1[IMPORTE TOTAL],Tabla1[ANY],'Cuadro de mando 2022'!$A$42,Tabla1[MES],'Cuadro de mando 2022'!E$42,Tabla1[HORARI],'Cuadro de mando 2022'!$B44,Tabla1[COBRAT],"SI")-SUMIFS(Tabla1[IMPORTE TOTAL],Tabla1[ANY],'Cuadro de mando 2022'!$A$42,Tabla1[MES],'Cuadro de mando 2022'!E$42,Tabla1[HORARI],'Cuadro de mando 2022'!$B44,Tabla1[TORNS],"")</f>
        <v>310</v>
      </c>
      <c r="F44" s="102">
        <f>SUMIFS(Tabla1[IMPORTE TOTAL],Tabla1[ANY],'Cuadro de mando 2022'!$A$42,Tabla1[MES],'Cuadro de mando 2022'!F$42,Tabla1[HORARI],'Cuadro de mando 2022'!$B44,Tabla1[COBRAT],"SI")-SUMIFS(Tabla1[IMPORTE TOTAL],Tabla1[ANY],'Cuadro de mando 2022'!$A$42,Tabla1[MES],'Cuadro de mando 2022'!F$42,Tabla1[HORARI],'Cuadro de mando 2022'!$B44,Tabla1[TORNS],"")</f>
        <v>0</v>
      </c>
      <c r="G44" s="102">
        <f>SUMIFS(Tabla1[IMPORTE TOTAL],Tabla1[ANY],'Cuadro de mando 2022'!$A$42,Tabla1[MES],'Cuadro de mando 2022'!G$42,Tabla1[HORARI],'Cuadro de mando 2022'!$B44,Tabla1[COBRAT],"SI")-SUMIFS(Tabla1[IMPORTE TOTAL],Tabla1[ANY],'Cuadro de mando 2022'!$A$42,Tabla1[MES],'Cuadro de mando 2022'!G$42,Tabla1[HORARI],'Cuadro de mando 2022'!$B44,Tabla1[TORNS],"")</f>
        <v>0</v>
      </c>
      <c r="H44" s="102">
        <f>SUMIFS(Tabla1[IMPORTE TOTAL],Tabla1[ANY],'Cuadro de mando 2022'!$A$42,Tabla1[MES],'Cuadro de mando 2022'!H$42,Tabla1[HORARI],'Cuadro de mando 2022'!$B44,Tabla1[COBRAT],"SI")-SUMIFS(Tabla1[IMPORTE TOTAL],Tabla1[ANY],'Cuadro de mando 2022'!$A$42,Tabla1[MES],'Cuadro de mando 2022'!H$42,Tabla1[HORARI],'Cuadro de mando 2022'!$B44,Tabla1[TORNS],"")</f>
        <v>200</v>
      </c>
      <c r="I44" s="102">
        <f>SUMIFS(Tabla1[IMPORTE TOTAL],Tabla1[ANY],'Cuadro de mando 2022'!$A$42,Tabla1[MES],'Cuadro de mando 2022'!I$42,Tabla1[HORARI],'Cuadro de mando 2022'!$B44,Tabla1[COBRAT],"SI")-SUMIFS(Tabla1[IMPORTE TOTAL],Tabla1[ANY],'Cuadro de mando 2022'!$A$42,Tabla1[MES],'Cuadro de mando 2022'!I$42,Tabla1[HORARI],'Cuadro de mando 2022'!$B44,Tabla1[TORNS],"")</f>
        <v>500</v>
      </c>
      <c r="J44" s="102">
        <f>SUMIFS(Tabla1[IMPORTE TOTAL],Tabla1[ANY],'Cuadro de mando 2022'!$A$42,Tabla1[MES],'Cuadro de mando 2022'!J$42,Tabla1[HORARI],'Cuadro de mando 2022'!$B44,Tabla1[COBRAT],"SI")-SUMIFS(Tabla1[IMPORTE TOTAL],Tabla1[ANY],'Cuadro de mando 2022'!$A$42,Tabla1[MES],'Cuadro de mando 2022'!J$42,Tabla1[HORARI],'Cuadro de mando 2022'!$B44,Tabla1[TORNS],"")</f>
        <v>220</v>
      </c>
      <c r="K44" s="102">
        <f>SUMIFS(Tabla1[IMPORTE TOTAL],Tabla1[ANY],'Cuadro de mando 2022'!$A$42,Tabla1[MES],'Cuadro de mando 2022'!K$42,Tabla1[HORARI],'Cuadro de mando 2022'!$B44,Tabla1[COBRAT],"SI")-SUMIFS(Tabla1[IMPORTE TOTAL],Tabla1[ANY],'Cuadro de mando 2022'!$A$42,Tabla1[MES],'Cuadro de mando 2022'!K$42,Tabla1[HORARI],'Cuadro de mando 2022'!$B44,Tabla1[TORNS],"")</f>
        <v>50</v>
      </c>
      <c r="L44" s="102">
        <f>SUMIFS(Tabla1[IMPORTE TOTAL],Tabla1[ANY],'Cuadro de mando 2022'!$A$42,Tabla1[MES],'Cuadro de mando 2022'!L$42,Tabla1[HORARI],'Cuadro de mando 2022'!$B44,Tabla1[COBRAT],"SI")-SUMIFS(Tabla1[IMPORTE TOTAL],Tabla1[ANY],'Cuadro de mando 2022'!$A$42,Tabla1[MES],'Cuadro de mando 2022'!L$42,Tabla1[HORARI],'Cuadro de mando 2022'!$B44,Tabla1[TORNS],"")</f>
        <v>145</v>
      </c>
      <c r="M44" s="102">
        <f>SUMIFS(Tabla1[IMPORTE TOTAL],Tabla1[ANY],'Cuadro de mando 2022'!$A$42,Tabla1[MES],'Cuadro de mando 2022'!M$42,Tabla1[HORARI],'Cuadro de mando 2022'!$B44,Tabla1[COBRAT],"SI")-SUMIFS(Tabla1[IMPORTE TOTAL],Tabla1[ANY],'Cuadro de mando 2022'!$A$42,Tabla1[MES],'Cuadro de mando 2022'!M$42,Tabla1[HORARI],'Cuadro de mando 2022'!$B44,Tabla1[TORNS],"")</f>
        <v>0</v>
      </c>
      <c r="N44" s="102">
        <f>SUMIFS(Tabla1[IMPORTE TOTAL],Tabla1[ANY],'Cuadro de mando 2022'!$A$42,Tabla1[MES],'Cuadro de mando 2022'!N$42,Tabla1[HORARI],'Cuadro de mando 2022'!$B44,Tabla1[COBRAT],"SI")-SUMIFS(Tabla1[IMPORTE TOTAL],Tabla1[ANY],'Cuadro de mando 2022'!$A$42,Tabla1[MES],'Cuadro de mando 2022'!N$42,Tabla1[HORARI],'Cuadro de mando 2022'!$B44,Tabla1[TORNS],"")</f>
        <v>0</v>
      </c>
      <c r="O44" s="131">
        <f t="shared" si="6"/>
        <v>3600</v>
      </c>
    </row>
    <row r="45" spans="1:17" x14ac:dyDescent="0.2">
      <c r="A45" s="214"/>
      <c r="B45" s="2" t="s">
        <v>35</v>
      </c>
      <c r="C45" s="102">
        <f>SUMIFS(Tabla1[IMPORTE TOTAL],Tabla1[ANY],'Cuadro de mando 2022'!$A$42,Tabla1[MES],'Cuadro de mando 2022'!C$42,Tabla1[HORARI],'Cuadro de mando 2022'!$B45,Tabla1[COBRAT],"SI")-SUMIFS(Tabla1[IMPORTE TOTAL],Tabla1[ANY],'Cuadro de mando 2022'!$A$42,Tabla1[MES],'Cuadro de mando 2022'!C$42,Tabla1[HORARI],'Cuadro de mando 2022'!$B45,Tabla1[TORNS],"")</f>
        <v>1220</v>
      </c>
      <c r="D45" s="102">
        <f>SUMIFS(Tabla1[IMPORTE TOTAL],Tabla1[ANY],'Cuadro de mando 2022'!$A$42,Tabla1[MES],'Cuadro de mando 2022'!D$42,Tabla1[HORARI],'Cuadro de mando 2022'!$B45,Tabla1[COBRAT],"SI")-SUMIFS(Tabla1[IMPORTE TOTAL],Tabla1[ANY],'Cuadro de mando 2022'!$A$42,Tabla1[MES],'Cuadro de mando 2022'!D$42,Tabla1[HORARI],'Cuadro de mando 2022'!$B45,Tabla1[TORNS],"")</f>
        <v>1085</v>
      </c>
      <c r="E45" s="102">
        <f>SUMIFS(Tabla1[IMPORTE TOTAL],Tabla1[ANY],'Cuadro de mando 2022'!$A$42,Tabla1[MES],'Cuadro de mando 2022'!E$42,Tabla1[HORARI],'Cuadro de mando 2022'!$B45,Tabla1[COBRAT],"SI")-SUMIFS(Tabla1[IMPORTE TOTAL],Tabla1[ANY],'Cuadro de mando 2022'!$A$42,Tabla1[MES],'Cuadro de mando 2022'!E$42,Tabla1[HORARI],'Cuadro de mando 2022'!$B45,Tabla1[TORNS],"")</f>
        <v>245</v>
      </c>
      <c r="F45" s="102">
        <f>SUMIFS(Tabla1[IMPORTE TOTAL],Tabla1[ANY],'Cuadro de mando 2022'!$A$42,Tabla1[MES],'Cuadro de mando 2022'!F$42,Tabla1[HORARI],'Cuadro de mando 2022'!$B45,Tabla1[COBRAT],"SI")-SUMIFS(Tabla1[IMPORTE TOTAL],Tabla1[ANY],'Cuadro de mando 2022'!$A$42,Tabla1[MES],'Cuadro de mando 2022'!F$42,Tabla1[HORARI],'Cuadro de mando 2022'!$B45,Tabla1[TORNS],"")</f>
        <v>0</v>
      </c>
      <c r="G45" s="102">
        <f>SUMIFS(Tabla1[IMPORTE TOTAL],Tabla1[ANY],'Cuadro de mando 2022'!$A$42,Tabla1[MES],'Cuadro de mando 2022'!G$42,Tabla1[HORARI],'Cuadro de mando 2022'!$B45,Tabla1[COBRAT],"SI")-SUMIFS(Tabla1[IMPORTE TOTAL],Tabla1[ANY],'Cuadro de mando 2022'!$A$42,Tabla1[MES],'Cuadro de mando 2022'!G$42,Tabla1[HORARI],'Cuadro de mando 2022'!$B45,Tabla1[TORNS],"")</f>
        <v>0</v>
      </c>
      <c r="H45" s="102">
        <f>SUMIFS(Tabla1[IMPORTE TOTAL],Tabla1[ANY],'Cuadro de mando 2022'!$A$42,Tabla1[MES],'Cuadro de mando 2022'!H$42,Tabla1[HORARI],'Cuadro de mando 2022'!$B45,Tabla1[COBRAT],"SI")-SUMIFS(Tabla1[IMPORTE TOTAL],Tabla1[ANY],'Cuadro de mando 2022'!$A$42,Tabla1[MES],'Cuadro de mando 2022'!H$42,Tabla1[HORARI],'Cuadro de mando 2022'!$B45,Tabla1[TORNS],"")</f>
        <v>495</v>
      </c>
      <c r="I45" s="102">
        <f>SUMIFS(Tabla1[IMPORTE TOTAL],Tabla1[ANY],'Cuadro de mando 2022'!$A$42,Tabla1[MES],'Cuadro de mando 2022'!I$42,Tabla1[HORARI],'Cuadro de mando 2022'!$B45,Tabla1[COBRAT],"SI")-SUMIFS(Tabla1[IMPORTE TOTAL],Tabla1[ANY],'Cuadro de mando 2022'!$A$42,Tabla1[MES],'Cuadro de mando 2022'!I$42,Tabla1[HORARI],'Cuadro de mando 2022'!$B45,Tabla1[TORNS],"")</f>
        <v>1865</v>
      </c>
      <c r="J45" s="102">
        <f>SUMIFS(Tabla1[IMPORTE TOTAL],Tabla1[ANY],'Cuadro de mando 2022'!$A$42,Tabla1[MES],'Cuadro de mando 2022'!J$42,Tabla1[HORARI],'Cuadro de mando 2022'!$B45,Tabla1[COBRAT],"SI")-SUMIFS(Tabla1[IMPORTE TOTAL],Tabla1[ANY],'Cuadro de mando 2022'!$A$42,Tabla1[MES],'Cuadro de mando 2022'!J$42,Tabla1[HORARI],'Cuadro de mando 2022'!$B45,Tabla1[TORNS],"")</f>
        <v>945</v>
      </c>
      <c r="K45" s="102">
        <f>SUMIFS(Tabla1[IMPORTE TOTAL],Tabla1[ANY],'Cuadro de mando 2022'!$A$42,Tabla1[MES],'Cuadro de mando 2022'!K$42,Tabla1[HORARI],'Cuadro de mando 2022'!$B45,Tabla1[COBRAT],"SI")-SUMIFS(Tabla1[IMPORTE TOTAL],Tabla1[ANY],'Cuadro de mando 2022'!$A$42,Tabla1[MES],'Cuadro de mando 2022'!K$42,Tabla1[HORARI],'Cuadro de mando 2022'!$B45,Tabla1[TORNS],"")</f>
        <v>595</v>
      </c>
      <c r="L45" s="102">
        <f>SUMIFS(Tabla1[IMPORTE TOTAL],Tabla1[ANY],'Cuadro de mando 2022'!$A$42,Tabla1[MES],'Cuadro de mando 2022'!L$42,Tabla1[HORARI],'Cuadro de mando 2022'!$B45,Tabla1[COBRAT],"SI")-SUMIFS(Tabla1[IMPORTE TOTAL],Tabla1[ANY],'Cuadro de mando 2022'!$A$42,Tabla1[MES],'Cuadro de mando 2022'!L$42,Tabla1[HORARI],'Cuadro de mando 2022'!$B45,Tabla1[TORNS],"")</f>
        <v>0</v>
      </c>
      <c r="M45" s="102">
        <f>SUMIFS(Tabla1[IMPORTE TOTAL],Tabla1[ANY],'Cuadro de mando 2022'!$A$42,Tabla1[MES],'Cuadro de mando 2022'!M$42,Tabla1[HORARI],'Cuadro de mando 2022'!$B45,Tabla1[COBRAT],"SI")-SUMIFS(Tabla1[IMPORTE TOTAL],Tabla1[ANY],'Cuadro de mando 2022'!$A$42,Tabla1[MES],'Cuadro de mando 2022'!M$42,Tabla1[HORARI],'Cuadro de mando 2022'!$B45,Tabla1[TORNS],"")</f>
        <v>0</v>
      </c>
      <c r="N45" s="102">
        <f>SUMIFS(Tabla1[IMPORTE TOTAL],Tabla1[ANY],'Cuadro de mando 2022'!$A$42,Tabla1[MES],'Cuadro de mando 2022'!N$42,Tabla1[HORARI],'Cuadro de mando 2022'!$B45,Tabla1[COBRAT],"SI")-SUMIFS(Tabla1[IMPORTE TOTAL],Tabla1[ANY],'Cuadro de mando 2022'!$A$42,Tabla1[MES],'Cuadro de mando 2022'!N$42,Tabla1[HORARI],'Cuadro de mando 2022'!$B45,Tabla1[TORNS],"")</f>
        <v>0</v>
      </c>
      <c r="O45" s="131">
        <f t="shared" si="6"/>
        <v>6450</v>
      </c>
    </row>
    <row r="46" spans="1:17" ht="15.75" thickBot="1" x14ac:dyDescent="0.25">
      <c r="A46" s="215"/>
      <c r="B46" s="117" t="s">
        <v>172</v>
      </c>
      <c r="C46" s="118">
        <f>SUMIFS(Tabla1[IMPORTE TOTAL],Tabla1[ANY],'Cuadro de mando 2022'!$A$42,Tabla1[MES],'Cuadro de mando 2022'!C$42,Tabla1[COBRAT],"SI")-SUMIFS(Tabla1[IMPORTE TOTAL],Tabla1[ANY],'Cuadro de mando 2022'!$A$42,Tabla1[MES],'Cuadro de mando 2022'!C$42,Tabla1[TORNS],"")</f>
        <v>3540</v>
      </c>
      <c r="D46" s="118">
        <f>SUMIFS(Tabla1[IMPORTE TOTAL],Tabla1[ANY],'Cuadro de mando 2022'!$A$42,Tabla1[MES],'Cuadro de mando 2022'!D$42,Tabla1[COBRAT],"SI")-SUMIFS(Tabla1[IMPORTE TOTAL],Tabla1[ANY],'Cuadro de mando 2022'!$A$42,Tabla1[MES],'Cuadro de mando 2022'!D$42,Tabla1[TORNS],"")</f>
        <v>2945</v>
      </c>
      <c r="E46" s="118">
        <f>SUMIFS(Tabla1[IMPORTE TOTAL],Tabla1[ANY],'Cuadro de mando 2022'!$A$42,Tabla1[MES],'Cuadro de mando 2022'!E$42,Tabla1[COBRAT],"SI")-SUMIFS(Tabla1[IMPORTE TOTAL],Tabla1[ANY],'Cuadro de mando 2022'!$A$42,Tabla1[MES],'Cuadro de mando 2022'!E$42,Tabla1[TORNS],"")</f>
        <v>700</v>
      </c>
      <c r="F46" s="118">
        <f>SUMIFS(Tabla1[IMPORTE TOTAL],Tabla1[ANY],'Cuadro de mando 2022'!$A$42,Tabla1[MES],'Cuadro de mando 2022'!F$42,Tabla1[COBRAT],"SI")-SUMIFS(Tabla1[IMPORTE TOTAL],Tabla1[ANY],'Cuadro de mando 2022'!$A$42,Tabla1[MES],'Cuadro de mando 2022'!F$42,Tabla1[TORNS],"")</f>
        <v>0</v>
      </c>
      <c r="G46" s="118">
        <f>SUMIFS(Tabla1[IMPORTE TOTAL],Tabla1[ANY],'Cuadro de mando 2022'!$A$42,Tabla1[MES],'Cuadro de mando 2022'!G$42,Tabla1[COBRAT],"SI")-SUMIFS(Tabla1[IMPORTE TOTAL],Tabla1[ANY],'Cuadro de mando 2022'!$A$42,Tabla1[MES],'Cuadro de mando 2022'!G$42,Tabla1[TORNS],"")</f>
        <v>0</v>
      </c>
      <c r="H46" s="118">
        <f>SUMIFS(Tabla1[IMPORTE TOTAL],Tabla1[ANY],'Cuadro de mando 2022'!$A$42,Tabla1[MES],'Cuadro de mando 2022'!H$42,Tabla1[COBRAT],"SI")-SUMIFS(Tabla1[IMPORTE TOTAL],Tabla1[ANY],'Cuadro de mando 2022'!$A$42,Tabla1[MES],'Cuadro de mando 2022'!H$42,Tabla1[TORNS],"")</f>
        <v>1185</v>
      </c>
      <c r="I46" s="118">
        <f>SUMIFS(Tabla1[IMPORTE TOTAL],Tabla1[ANY],'Cuadro de mando 2022'!$A$42,Tabla1[MES],'Cuadro de mando 2022'!I$42,Tabla1[COBRAT],"SI")-SUMIFS(Tabla1[IMPORTE TOTAL],Tabla1[ANY],'Cuadro de mando 2022'!$A$42,Tabla1[MES],'Cuadro de mando 2022'!I$42,Tabla1[TORNS],"")</f>
        <v>2515</v>
      </c>
      <c r="J46" s="118">
        <f>SUMIFS(Tabla1[IMPORTE TOTAL],Tabla1[ANY],'Cuadro de mando 2022'!$A$42,Tabla1[MES],'Cuadro de mando 2022'!J$42,Tabla1[COBRAT],"SI")-SUMIFS(Tabla1[IMPORTE TOTAL],Tabla1[ANY],'Cuadro de mando 2022'!$A$42,Tabla1[MES],'Cuadro de mando 2022'!J$42,Tabla1[TORNS],"")</f>
        <v>1465</v>
      </c>
      <c r="K46" s="118">
        <f>SUMIFS(Tabla1[IMPORTE TOTAL],Tabla1[ANY],'Cuadro de mando 2022'!$A$42,Tabla1[MES],'Cuadro de mando 2022'!K$42,Tabla1[COBRAT],"SI")-SUMIFS(Tabla1[IMPORTE TOTAL],Tabla1[ANY],'Cuadro de mando 2022'!$A$42,Tabla1[MES],'Cuadro de mando 2022'!K$42,Tabla1[TORNS],"")</f>
        <v>1194.99</v>
      </c>
      <c r="L46" s="118">
        <f>SUMIFS(Tabla1[IMPORTE TOTAL],Tabla1[ANY],'Cuadro de mando 2022'!$A$42,Tabla1[MES],'Cuadro de mando 2022'!L$42,Tabla1[COBRAT],"SI")-SUMIFS(Tabla1[IMPORTE TOTAL],Tabla1[ANY],'Cuadro de mando 2022'!$A$42,Tabla1[MES],'Cuadro de mando 2022'!L$42,Tabla1[TORNS],"")</f>
        <v>345.00000000000006</v>
      </c>
      <c r="M46" s="118">
        <f>SUMIFS(Tabla1[IMPORTE TOTAL],Tabla1[ANY],'Cuadro de mando 2022'!$A$42,Tabla1[MES],'Cuadro de mando 2022'!M$42,Tabla1[COBRAT],"SI")-SUMIFS(Tabla1[IMPORTE TOTAL],Tabla1[ANY],'Cuadro de mando 2022'!$A$42,Tabla1[MES],'Cuadro de mando 2022'!M$42,Tabla1[TORNS],"")</f>
        <v>0</v>
      </c>
      <c r="N46" s="118">
        <f>SUMIFS(Tabla1[IMPORTE TOTAL],Tabla1[ANY],'Cuadro de mando 2022'!$A$42,Tabla1[MES],'Cuadro de mando 2022'!N$42,Tabla1[COBRAT],"SI")-SUMIFS(Tabla1[IMPORTE TOTAL],Tabla1[ANY],'Cuadro de mando 2022'!$A$42,Tabla1[MES],'Cuadro de mando 2022'!N$42,Tabla1[TORNS],"")</f>
        <v>100</v>
      </c>
      <c r="O46" s="132">
        <f t="shared" si="6"/>
        <v>13989.99</v>
      </c>
      <c r="P46" s="79">
        <f>E14</f>
        <v>0</v>
      </c>
      <c r="Q46" s="79">
        <f>P46+P26</f>
        <v>0</v>
      </c>
    </row>
    <row r="47" spans="1:17" x14ac:dyDescent="0.2">
      <c r="A47" s="216" t="s">
        <v>283</v>
      </c>
      <c r="B47" s="114" t="s">
        <v>30</v>
      </c>
      <c r="C47" s="115">
        <f>COUNTIFS(Tabla1[ANY],'Cuadro de mando 2022'!$A$42,Tabla1[MES],'Cuadro de mando 2022'!C$42,Tabla1[HORARI],'Cuadro de mando 2022'!$B47,Tabla1[COBRAT],"SI")-COUNTIFS(Tabla1[ANY],'Cuadro de mando 2022'!$A$42,Tabla1[MES],'Cuadro de mando 2022'!C$42,Tabla1[HORARI],'Cuadro de mando 2022'!$B47,Tabla1[TORNS],"")</f>
        <v>3</v>
      </c>
      <c r="D47" s="115">
        <f>COUNTIFS(Tabla1[ANY],'Cuadro de mando 2022'!$A$42,Tabla1[MES],'Cuadro de mando 2022'!D$42,Tabla1[HORARI],'Cuadro de mando 2022'!$B47,Tabla1[COBRAT],"SI")-COUNTIFS(Tabla1[ANY],'Cuadro de mando 2022'!$A$42,Tabla1[MES],'Cuadro de mando 2022'!D$42,Tabla1[HORARI],'Cuadro de mando 2022'!$B47,Tabla1[TORNS],"")</f>
        <v>5</v>
      </c>
      <c r="E47" s="115">
        <f>COUNTIFS(Tabla1[ANY],'Cuadro de mando 2022'!$A$42,Tabla1[MES],'Cuadro de mando 2022'!E$42,Tabla1[HORARI],'Cuadro de mando 2022'!$B47,Tabla1[COBRAT],"SI")-COUNTIFS(Tabla1[ANY],'Cuadro de mando 2022'!$A$42,Tabla1[MES],'Cuadro de mando 2022'!E$42,Tabla1[HORARI],'Cuadro de mando 2022'!$B47,Tabla1[TORNS],"")</f>
        <v>1</v>
      </c>
      <c r="F47" s="115">
        <f>COUNTIFS(Tabla1[ANY],'Cuadro de mando 2022'!$A$42,Tabla1[MES],'Cuadro de mando 2022'!F$42,Tabla1[HORARI],'Cuadro de mando 2022'!$B47,Tabla1[COBRAT],"SI")-COUNTIFS(Tabla1[ANY],'Cuadro de mando 2022'!$A$42,Tabla1[MES],'Cuadro de mando 2022'!F$42,Tabla1[HORARI],'Cuadro de mando 2022'!$B47,Tabla1[TORNS],"")</f>
        <v>0</v>
      </c>
      <c r="G47" s="115">
        <f>COUNTIFS(Tabla1[ANY],'Cuadro de mando 2022'!$A$42,Tabla1[MES],'Cuadro de mando 2022'!G$42,Tabla1[HORARI],'Cuadro de mando 2022'!$B47,Tabla1[COBRAT],"SI")-COUNTIFS(Tabla1[ANY],'Cuadro de mando 2022'!$A$42,Tabla1[MES],'Cuadro de mando 2022'!G$42,Tabla1[HORARI],'Cuadro de mando 2022'!$B47,Tabla1[TORNS],"")</f>
        <v>0</v>
      </c>
      <c r="H47" s="115">
        <f>COUNTIFS(Tabla1[ANY],'Cuadro de mando 2022'!$A$42,Tabla1[MES],'Cuadro de mando 2022'!H$42,Tabla1[HORARI],'Cuadro de mando 2022'!$B47,Tabla1[COBRAT],"SI")-COUNTIFS(Tabla1[ANY],'Cuadro de mando 2022'!$A$42,Tabla1[MES],'Cuadro de mando 2022'!H$42,Tabla1[HORARI],'Cuadro de mando 2022'!$B47,Tabla1[TORNS],"")</f>
        <v>0</v>
      </c>
      <c r="I47" s="115">
        <f>COUNTIFS(Tabla1[ANY],'Cuadro de mando 2022'!$A$42,Tabla1[MES],'Cuadro de mando 2022'!I$42,Tabla1[HORARI],'Cuadro de mando 2022'!$B47,Tabla1[COBRAT],"SI")-COUNTIFS(Tabla1[ANY],'Cuadro de mando 2022'!$A$42,Tabla1[MES],'Cuadro de mando 2022'!I$42,Tabla1[HORARI],'Cuadro de mando 2022'!$B47,Tabla1[TORNS],"")</f>
        <v>1</v>
      </c>
      <c r="J47" s="115">
        <f>COUNTIFS(Tabla1[ANY],'Cuadro de mando 2022'!$A$42,Tabla1[MES],'Cuadro de mando 2022'!J$42,Tabla1[HORARI],'Cuadro de mando 2022'!$B47,Tabla1[COBRAT],"SI")-COUNTIFS(Tabla1[ANY],'Cuadro de mando 2022'!$A$42,Tabla1[MES],'Cuadro de mando 2022'!J$42,Tabla1[HORARI],'Cuadro de mando 2022'!$B47,Tabla1[TORNS],"")</f>
        <v>0</v>
      </c>
      <c r="K47" s="115">
        <f>COUNTIFS(Tabla1[ANY],'Cuadro de mando 2022'!$A$42,Tabla1[MES],'Cuadro de mando 2022'!K$42,Tabla1[HORARI],'Cuadro de mando 2022'!$B47,Tabla1[COBRAT],"SI")-COUNTIFS(Tabla1[ANY],'Cuadro de mando 2022'!$A$42,Tabla1[MES],'Cuadro de mando 2022'!K$42,Tabla1[HORARI],'Cuadro de mando 2022'!$B47,Tabla1[TORNS],"")</f>
        <v>0</v>
      </c>
      <c r="L47" s="115">
        <f>COUNTIFS(Tabla1[ANY],'Cuadro de mando 2022'!$A$42,Tabla1[MES],'Cuadro de mando 2022'!L$42,Tabla1[HORARI],'Cuadro de mando 2022'!$B47,Tabla1[COBRAT],"SI")-COUNTIFS(Tabla1[ANY],'Cuadro de mando 2022'!$A$42,Tabla1[MES],'Cuadro de mando 2022'!L$42,Tabla1[HORARI],'Cuadro de mando 2022'!$B47,Tabla1[TORNS],"")</f>
        <v>0</v>
      </c>
      <c r="M47" s="115">
        <f>COUNTIFS(Tabla1[ANY],'Cuadro de mando 2022'!$A$42,Tabla1[MES],'Cuadro de mando 2022'!M$42,Tabla1[HORARI],'Cuadro de mando 2022'!$B47,Tabla1[COBRAT],"SI")-COUNTIFS(Tabla1[ANY],'Cuadro de mando 2022'!$A$42,Tabla1[MES],'Cuadro de mando 2022'!M$42,Tabla1[HORARI],'Cuadro de mando 2022'!$B47,Tabla1[TORNS],"")</f>
        <v>0</v>
      </c>
      <c r="N47" s="115">
        <f>COUNTIFS(Tabla1[ANY],'Cuadro de mando 2022'!$A$42,Tabla1[MES],'Cuadro de mando 2022'!N$42,Tabla1[HORARI],'Cuadro de mando 2022'!$B47,Tabla1[COBRAT],"SI")-COUNTIFS(Tabla1[ANY],'Cuadro de mando 2022'!$A$42,Tabla1[MES],'Cuadro de mando 2022'!N$42,Tabla1[HORARI],'Cuadro de mando 2022'!$B47,Tabla1[TORNS],"")</f>
        <v>0</v>
      </c>
      <c r="O47" s="133">
        <f t="shared" si="6"/>
        <v>10</v>
      </c>
    </row>
    <row r="48" spans="1:17" x14ac:dyDescent="0.2">
      <c r="A48" s="217"/>
      <c r="B48" s="2" t="s">
        <v>31</v>
      </c>
      <c r="C48" s="102">
        <f>COUNTIFS(Tabla1[ANY],'Cuadro de mando 2022'!$A$42,Tabla1[MES],'Cuadro de mando 2022'!C$42,Tabla1[HORARI],'Cuadro de mando 2022'!$B48,Tabla1[COBRAT],"SI")-COUNTIFS(Tabla1[ANY],'Cuadro de mando 2022'!$A$42,Tabla1[MES],'Cuadro de mando 2022'!C$42,Tabla1[HORARI],'Cuadro de mando 2022'!$B48,Tabla1[TORNS],"")</f>
        <v>8</v>
      </c>
      <c r="D48" s="102">
        <f>COUNTIFS(Tabla1[ANY],'Cuadro de mando 2022'!$A$42,Tabla1[MES],'Cuadro de mando 2022'!D$42,Tabla1[HORARI],'Cuadro de mando 2022'!$B48,Tabla1[COBRAT],"SI")-COUNTIFS(Tabla1[ANY],'Cuadro de mando 2022'!$A$42,Tabla1[MES],'Cuadro de mando 2022'!D$42,Tabla1[HORARI],'Cuadro de mando 2022'!$B48,Tabla1[TORNS],"")</f>
        <v>9</v>
      </c>
      <c r="E48" s="102">
        <f>COUNTIFS(Tabla1[ANY],'Cuadro de mando 2022'!$A$42,Tabla1[MES],'Cuadro de mando 2022'!E$42,Tabla1[HORARI],'Cuadro de mando 2022'!$B48,Tabla1[COBRAT],"SI")-COUNTIFS(Tabla1[ANY],'Cuadro de mando 2022'!$A$42,Tabla1[MES],'Cuadro de mando 2022'!E$42,Tabla1[HORARI],'Cuadro de mando 2022'!$B48,Tabla1[TORNS],"")</f>
        <v>2</v>
      </c>
      <c r="F48" s="102">
        <f>COUNTIFS(Tabla1[ANY],'Cuadro de mando 2022'!$A$42,Tabla1[MES],'Cuadro de mando 2022'!F$42,Tabla1[HORARI],'Cuadro de mando 2022'!$B48,Tabla1[COBRAT],"SI")-COUNTIFS(Tabla1[ANY],'Cuadro de mando 2022'!$A$42,Tabla1[MES],'Cuadro de mando 2022'!F$42,Tabla1[HORARI],'Cuadro de mando 2022'!$B48,Tabla1[TORNS],"")</f>
        <v>0</v>
      </c>
      <c r="G48" s="102">
        <f>COUNTIFS(Tabla1[ANY],'Cuadro de mando 2022'!$A$42,Tabla1[MES],'Cuadro de mando 2022'!G$42,Tabla1[HORARI],'Cuadro de mando 2022'!$B48,Tabla1[COBRAT],"SI")-COUNTIFS(Tabla1[ANY],'Cuadro de mando 2022'!$A$42,Tabla1[MES],'Cuadro de mando 2022'!G$42,Tabla1[HORARI],'Cuadro de mando 2022'!$B48,Tabla1[TORNS],"")</f>
        <v>0</v>
      </c>
      <c r="H48" s="102">
        <f>COUNTIFS(Tabla1[ANY],'Cuadro de mando 2022'!$A$42,Tabla1[MES],'Cuadro de mando 2022'!H$42,Tabla1[HORARI],'Cuadro de mando 2022'!$B48,Tabla1[COBRAT],"SI")-COUNTIFS(Tabla1[ANY],'Cuadro de mando 2022'!$A$42,Tabla1[MES],'Cuadro de mando 2022'!H$42,Tabla1[HORARI],'Cuadro de mando 2022'!$B48,Tabla1[TORNS],"")</f>
        <v>4</v>
      </c>
      <c r="I48" s="102">
        <f>COUNTIFS(Tabla1[ANY],'Cuadro de mando 2022'!$A$42,Tabla1[MES],'Cuadro de mando 2022'!I$42,Tabla1[HORARI],'Cuadro de mando 2022'!$B48,Tabla1[COBRAT],"SI")-COUNTIFS(Tabla1[ANY],'Cuadro de mando 2022'!$A$42,Tabla1[MES],'Cuadro de mando 2022'!I$42,Tabla1[HORARI],'Cuadro de mando 2022'!$B48,Tabla1[TORNS],"")</f>
        <v>8</v>
      </c>
      <c r="J48" s="102">
        <f>COUNTIFS(Tabla1[ANY],'Cuadro de mando 2022'!$A$42,Tabla1[MES],'Cuadro de mando 2022'!J$42,Tabla1[HORARI],'Cuadro de mando 2022'!$B48,Tabla1[COBRAT],"SI")-COUNTIFS(Tabla1[ANY],'Cuadro de mando 2022'!$A$42,Tabla1[MES],'Cuadro de mando 2022'!J$42,Tabla1[HORARI],'Cuadro de mando 2022'!$B48,Tabla1[TORNS],"")</f>
        <v>2</v>
      </c>
      <c r="K48" s="102">
        <f>COUNTIFS(Tabla1[ANY],'Cuadro de mando 2022'!$A$42,Tabla1[MES],'Cuadro de mando 2022'!K$42,Tabla1[HORARI],'Cuadro de mando 2022'!$B48,Tabla1[COBRAT],"SI")-COUNTIFS(Tabla1[ANY],'Cuadro de mando 2022'!$A$42,Tabla1[MES],'Cuadro de mando 2022'!K$42,Tabla1[HORARI],'Cuadro de mando 2022'!$B48,Tabla1[TORNS],"")</f>
        <v>1</v>
      </c>
      <c r="L48" s="102">
        <f>COUNTIFS(Tabla1[ANY],'Cuadro de mando 2022'!$A$42,Tabla1[MES],'Cuadro de mando 2022'!L$42,Tabla1[HORARI],'Cuadro de mando 2022'!$B48,Tabla1[COBRAT],"SI")-COUNTIFS(Tabla1[ANY],'Cuadro de mando 2022'!$A$42,Tabla1[MES],'Cuadro de mando 2022'!L$42,Tabla1[HORARI],'Cuadro de mando 2022'!$B48,Tabla1[TORNS],"")</f>
        <v>1</v>
      </c>
      <c r="M48" s="102">
        <f>COUNTIFS(Tabla1[ANY],'Cuadro de mando 2022'!$A$42,Tabla1[MES],'Cuadro de mando 2022'!M$42,Tabla1[HORARI],'Cuadro de mando 2022'!$B48,Tabla1[COBRAT],"SI")-COUNTIFS(Tabla1[ANY],'Cuadro de mando 2022'!$A$42,Tabla1[MES],'Cuadro de mando 2022'!M$42,Tabla1[HORARI],'Cuadro de mando 2022'!$B48,Tabla1[TORNS],"")</f>
        <v>0</v>
      </c>
      <c r="N48" s="102">
        <f>COUNTIFS(Tabla1[ANY],'Cuadro de mando 2022'!$A$42,Tabla1[MES],'Cuadro de mando 2022'!N$42,Tabla1[HORARI],'Cuadro de mando 2022'!$B48,Tabla1[COBRAT],"SI")-COUNTIFS(Tabla1[ANY],'Cuadro de mando 2022'!$A$42,Tabla1[MES],'Cuadro de mando 2022'!N$42,Tabla1[HORARI],'Cuadro de mando 2022'!$B48,Tabla1[TORNS],"")</f>
        <v>0</v>
      </c>
      <c r="O48" s="131">
        <f t="shared" si="6"/>
        <v>35</v>
      </c>
    </row>
    <row r="49" spans="1:16" x14ac:dyDescent="0.2">
      <c r="A49" s="217"/>
      <c r="B49" s="2" t="s">
        <v>35</v>
      </c>
      <c r="C49" s="102">
        <f>COUNTIFS(Tabla1[ANY],'Cuadro de mando 2022'!$A$42,Tabla1[MES],'Cuadro de mando 2022'!C$42,Tabla1[HORARI],'Cuadro de mando 2022'!$B49,Tabla1[COBRAT],"SI")-COUNTIFS(Tabla1[ANY],'Cuadro de mando 2022'!$A$42,Tabla1[MES],'Cuadro de mando 2022'!C$42,Tabla1[HORARI],'Cuadro de mando 2022'!$B49,Tabla1[TORNS],"")</f>
        <v>6</v>
      </c>
      <c r="D49" s="102">
        <f>COUNTIFS(Tabla1[ANY],'Cuadro de mando 2022'!$A$42,Tabla1[MES],'Cuadro de mando 2022'!D$42,Tabla1[HORARI],'Cuadro de mando 2022'!$B49,Tabla1[COBRAT],"SI")-COUNTIFS(Tabla1[ANY],'Cuadro de mando 2022'!$A$42,Tabla1[MES],'Cuadro de mando 2022'!D$42,Tabla1[HORARI],'Cuadro de mando 2022'!$B49,Tabla1[TORNS],"")</f>
        <v>5</v>
      </c>
      <c r="E49" s="102">
        <f>COUNTIFS(Tabla1[ANY],'Cuadro de mando 2022'!$A$42,Tabla1[MES],'Cuadro de mando 2022'!E$42,Tabla1[HORARI],'Cuadro de mando 2022'!$B49,Tabla1[COBRAT],"SI")-COUNTIFS(Tabla1[ANY],'Cuadro de mando 2022'!$A$42,Tabla1[MES],'Cuadro de mando 2022'!E$42,Tabla1[HORARI],'Cuadro de mando 2022'!$B49,Tabla1[TORNS],"")</f>
        <v>1</v>
      </c>
      <c r="F49" s="102">
        <f>COUNTIFS(Tabla1[ANY],'Cuadro de mando 2022'!$A$42,Tabla1[MES],'Cuadro de mando 2022'!F$42,Tabla1[HORARI],'Cuadro de mando 2022'!$B49,Tabla1[COBRAT],"SI")-COUNTIFS(Tabla1[ANY],'Cuadro de mando 2022'!$A$42,Tabla1[MES],'Cuadro de mando 2022'!F$42,Tabla1[HORARI],'Cuadro de mando 2022'!$B49,Tabla1[TORNS],"")</f>
        <v>0</v>
      </c>
      <c r="G49" s="102">
        <f>COUNTIFS(Tabla1[ANY],'Cuadro de mando 2022'!$A$42,Tabla1[MES],'Cuadro de mando 2022'!G$42,Tabla1[HORARI],'Cuadro de mando 2022'!$B49,Tabla1[COBRAT],"SI")-COUNTIFS(Tabla1[ANY],'Cuadro de mando 2022'!$A$42,Tabla1[MES],'Cuadro de mando 2022'!G$42,Tabla1[HORARI],'Cuadro de mando 2022'!$B49,Tabla1[TORNS],"")</f>
        <v>0</v>
      </c>
      <c r="H49" s="102">
        <f>COUNTIFS(Tabla1[ANY],'Cuadro de mando 2022'!$A$42,Tabla1[MES],'Cuadro de mando 2022'!H$42,Tabla1[HORARI],'Cuadro de mando 2022'!$B49,Tabla1[COBRAT],"SI")-COUNTIFS(Tabla1[ANY],'Cuadro de mando 2022'!$A$42,Tabla1[MES],'Cuadro de mando 2022'!H$42,Tabla1[HORARI],'Cuadro de mando 2022'!$B49,Tabla1[TORNS],"")</f>
        <v>2</v>
      </c>
      <c r="I49" s="102">
        <f>COUNTIFS(Tabla1[ANY],'Cuadro de mando 2022'!$A$42,Tabla1[MES],'Cuadro de mando 2022'!I$42,Tabla1[HORARI],'Cuadro de mando 2022'!$B49,Tabla1[COBRAT],"SI")-COUNTIFS(Tabla1[ANY],'Cuadro de mando 2022'!$A$42,Tabla1[MES],'Cuadro de mando 2022'!I$42,Tabla1[HORARI],'Cuadro de mando 2022'!$B49,Tabla1[TORNS],"")</f>
        <v>9</v>
      </c>
      <c r="J49" s="102">
        <f>COUNTIFS(Tabla1[ANY],'Cuadro de mando 2022'!$A$42,Tabla1[MES],'Cuadro de mando 2022'!J$42,Tabla1[HORARI],'Cuadro de mando 2022'!$B49,Tabla1[COBRAT],"SI")-COUNTIFS(Tabla1[ANY],'Cuadro de mando 2022'!$A$42,Tabla1[MES],'Cuadro de mando 2022'!J$42,Tabla1[HORARI],'Cuadro de mando 2022'!$B49,Tabla1[TORNS],"")</f>
        <v>4</v>
      </c>
      <c r="K49" s="102">
        <f>COUNTIFS(Tabla1[ANY],'Cuadro de mando 2022'!$A$42,Tabla1[MES],'Cuadro de mando 2022'!K$42,Tabla1[HORARI],'Cuadro de mando 2022'!$B49,Tabla1[COBRAT],"SI")-COUNTIFS(Tabla1[ANY],'Cuadro de mando 2022'!$A$42,Tabla1[MES],'Cuadro de mando 2022'!K$42,Tabla1[HORARI],'Cuadro de mando 2022'!$B49,Tabla1[TORNS],"")</f>
        <v>3</v>
      </c>
      <c r="L49" s="102">
        <f>COUNTIFS(Tabla1[ANY],'Cuadro de mando 2022'!$A$42,Tabla1[MES],'Cuadro de mando 2022'!L$42,Tabla1[HORARI],'Cuadro de mando 2022'!$B49,Tabla1[COBRAT],"SI")-COUNTIFS(Tabla1[ANY],'Cuadro de mando 2022'!$A$42,Tabla1[MES],'Cuadro de mando 2022'!L$42,Tabla1[HORARI],'Cuadro de mando 2022'!$B49,Tabla1[TORNS],"")</f>
        <v>0</v>
      </c>
      <c r="M49" s="102">
        <f>COUNTIFS(Tabla1[ANY],'Cuadro de mando 2022'!$A$42,Tabla1[MES],'Cuadro de mando 2022'!M$42,Tabla1[HORARI],'Cuadro de mando 2022'!$B49,Tabla1[COBRAT],"SI")-COUNTIFS(Tabla1[ANY],'Cuadro de mando 2022'!$A$42,Tabla1[MES],'Cuadro de mando 2022'!M$42,Tabla1[HORARI],'Cuadro de mando 2022'!$B49,Tabla1[TORNS],"")</f>
        <v>0</v>
      </c>
      <c r="N49" s="102">
        <f>COUNTIFS(Tabla1[ANY],'Cuadro de mando 2022'!$A$42,Tabla1[MES],'Cuadro de mando 2022'!N$42,Tabla1[HORARI],'Cuadro de mando 2022'!$B49,Tabla1[COBRAT],"SI")-COUNTIFS(Tabla1[ANY],'Cuadro de mando 2022'!$A$42,Tabla1[MES],'Cuadro de mando 2022'!N$42,Tabla1[HORARI],'Cuadro de mando 2022'!$B49,Tabla1[TORNS],"")</f>
        <v>0</v>
      </c>
      <c r="O49" s="131">
        <f t="shared" si="6"/>
        <v>30</v>
      </c>
    </row>
    <row r="50" spans="1:16" ht="15.75" thickBot="1" x14ac:dyDescent="0.25">
      <c r="A50" s="218"/>
      <c r="B50" s="119" t="s">
        <v>172</v>
      </c>
      <c r="C50" s="120">
        <f>COUNTIFS(Tabla1[ANY],'Cuadro de mando 2022'!$A$42,Tabla1[MES],'Cuadro de mando 2022'!C$42,Tabla1[COBRAT],"SI")-COUNTIFS(Tabla1[ANY],'Cuadro de mando 2022'!$A$42,Tabla1[MES],'Cuadro de mando 2022'!C$42,Tabla1[TORNS],"")</f>
        <v>21</v>
      </c>
      <c r="D50" s="120">
        <f>COUNTIFS(Tabla1[ANY],'Cuadro de mando 2022'!$A$42,Tabla1[MES],'Cuadro de mando 2022'!D$42,Tabla1[COBRAT],"SI")-COUNTIFS(Tabla1[ANY],'Cuadro de mando 2022'!$A$42,Tabla1[MES],'Cuadro de mando 2022'!D$42,Tabla1[TORNS],"")</f>
        <v>19</v>
      </c>
      <c r="E50" s="120">
        <f>COUNTIFS(Tabla1[ANY],'Cuadro de mando 2022'!$A$42,Tabla1[MES],'Cuadro de mando 2022'!E$42,Tabla1[COBRAT],"SI")-COUNTIFS(Tabla1[ANY],'Cuadro de mando 2022'!$A$42,Tabla1[MES],'Cuadro de mando 2022'!E$42,Tabla1[TORNS],"")</f>
        <v>4</v>
      </c>
      <c r="F50" s="120">
        <f>COUNTIFS(Tabla1[ANY],'Cuadro de mando 2022'!$A$42,Tabla1[MES],'Cuadro de mando 2022'!F$42,Tabla1[COBRAT],"SI")-COUNTIFS(Tabla1[ANY],'Cuadro de mando 2022'!$A$42,Tabla1[MES],'Cuadro de mando 2022'!F$42,Tabla1[TORNS],"")</f>
        <v>0</v>
      </c>
      <c r="G50" s="120">
        <f>COUNTIFS(Tabla1[ANY],'Cuadro de mando 2022'!$A$42,Tabla1[MES],'Cuadro de mando 2022'!G$42,Tabla1[COBRAT],"SI")-COUNTIFS(Tabla1[ANY],'Cuadro de mando 2022'!$A$42,Tabla1[MES],'Cuadro de mando 2022'!G$42,Tabla1[TORNS],"")</f>
        <v>0</v>
      </c>
      <c r="H50" s="120">
        <f>COUNTIFS(Tabla1[ANY],'Cuadro de mando 2022'!$A$42,Tabla1[MES],'Cuadro de mando 2022'!H$42,Tabla1[COBRAT],"SI")-COUNTIFS(Tabla1[ANY],'Cuadro de mando 2022'!$A$42,Tabla1[MES],'Cuadro de mando 2022'!H$42,Tabla1[TORNS],"")</f>
        <v>8</v>
      </c>
      <c r="I50" s="120">
        <f>COUNTIFS(Tabla1[ANY],'Cuadro de mando 2022'!$A$42,Tabla1[MES],'Cuadro de mando 2022'!I$42,Tabla1[COBRAT],"SI")-COUNTIFS(Tabla1[ANY],'Cuadro de mando 2022'!$A$42,Tabla1[MES],'Cuadro de mando 2022'!I$42,Tabla1[TORNS],"")</f>
        <v>18</v>
      </c>
      <c r="J50" s="120">
        <f>COUNTIFS(Tabla1[ANY],'Cuadro de mando 2022'!$A$42,Tabla1[MES],'Cuadro de mando 2022'!J$42,Tabla1[COBRAT],"SI")-COUNTIFS(Tabla1[ANY],'Cuadro de mando 2022'!$A$42,Tabla1[MES],'Cuadro de mando 2022'!J$42,Tabla1[TORNS],"")</f>
        <v>7</v>
      </c>
      <c r="K50" s="120">
        <f>COUNTIFS(Tabla1[ANY],'Cuadro de mando 2022'!$A$42,Tabla1[MES],'Cuadro de mando 2022'!K$42,Tabla1[COBRAT],"SI")-COUNTIFS(Tabla1[ANY],'Cuadro de mando 2022'!$A$42,Tabla1[MES],'Cuadro de mando 2022'!K$42,Tabla1[TORNS],"")</f>
        <v>6</v>
      </c>
      <c r="L50" s="120">
        <f>COUNTIFS(Tabla1[ANY],'Cuadro de mando 2022'!$A$42,Tabla1[MES],'Cuadro de mando 2022'!L$42,Tabla1[COBRAT],"SI")-COUNTIFS(Tabla1[ANY],'Cuadro de mando 2022'!$A$42,Tabla1[MES],'Cuadro de mando 2022'!L$42,Tabla1[TORNS],"")</f>
        <v>2</v>
      </c>
      <c r="M50" s="120">
        <f>COUNTIFS(Tabla1[ANY],'Cuadro de mando 2022'!$A$42,Tabla1[MES],'Cuadro de mando 2022'!M$42,Tabla1[COBRAT],"SI")-COUNTIFS(Tabla1[ANY],'Cuadro de mando 2022'!$A$42,Tabla1[MES],'Cuadro de mando 2022'!M$42,Tabla1[TORNS],"")</f>
        <v>0</v>
      </c>
      <c r="N50" s="120">
        <f>COUNTIFS(Tabla1[ANY],'Cuadro de mando 2022'!$A$42,Tabla1[MES],'Cuadro de mando 2022'!N$42,Tabla1[COBRAT],"SI")-COUNTIFS(Tabla1[ANY],'Cuadro de mando 2022'!$A$42,Tabla1[MES],'Cuadro de mando 2022'!N$42,Tabla1[TORNS],"")</f>
        <v>1</v>
      </c>
      <c r="O50" s="134">
        <f t="shared" si="6"/>
        <v>86</v>
      </c>
      <c r="P50">
        <f>B14</f>
        <v>0</v>
      </c>
    </row>
    <row r="51" spans="1:16" x14ac:dyDescent="0.2">
      <c r="A51" s="219" t="s">
        <v>261</v>
      </c>
      <c r="B51" s="114" t="s">
        <v>30</v>
      </c>
      <c r="C51" s="116">
        <f t="shared" ref="C51:O54" si="7">IF(C47=0,0,C43/C47)</f>
        <v>145</v>
      </c>
      <c r="D51" s="116">
        <f t="shared" si="7"/>
        <v>145</v>
      </c>
      <c r="E51" s="116">
        <f t="shared" si="7"/>
        <v>145</v>
      </c>
      <c r="F51" s="116">
        <f t="shared" si="7"/>
        <v>0</v>
      </c>
      <c r="G51" s="116">
        <f t="shared" si="7"/>
        <v>0</v>
      </c>
      <c r="H51" s="116">
        <f t="shared" si="7"/>
        <v>0</v>
      </c>
      <c r="I51" s="116">
        <f t="shared" si="7"/>
        <v>150</v>
      </c>
      <c r="J51" s="116">
        <f t="shared" si="7"/>
        <v>0</v>
      </c>
      <c r="K51" s="116">
        <f t="shared" si="7"/>
        <v>0</v>
      </c>
      <c r="L51" s="116">
        <f t="shared" si="7"/>
        <v>0</v>
      </c>
      <c r="M51" s="116">
        <f t="shared" si="7"/>
        <v>0</v>
      </c>
      <c r="N51" s="116">
        <f t="shared" si="7"/>
        <v>0</v>
      </c>
      <c r="O51" s="135">
        <f t="shared" si="7"/>
        <v>145.5</v>
      </c>
    </row>
    <row r="52" spans="1:16" x14ac:dyDescent="0.2">
      <c r="A52" s="220"/>
      <c r="B52" s="2" t="s">
        <v>31</v>
      </c>
      <c r="C52" s="103">
        <f t="shared" si="7"/>
        <v>130</v>
      </c>
      <c r="D52" s="103">
        <f t="shared" si="7"/>
        <v>126.11111111111111</v>
      </c>
      <c r="E52" s="103">
        <f t="shared" si="7"/>
        <v>155</v>
      </c>
      <c r="F52" s="103">
        <f t="shared" si="7"/>
        <v>0</v>
      </c>
      <c r="G52" s="103">
        <f t="shared" si="7"/>
        <v>0</v>
      </c>
      <c r="H52" s="103">
        <f t="shared" si="7"/>
        <v>50</v>
      </c>
      <c r="I52" s="103">
        <f t="shared" si="7"/>
        <v>62.5</v>
      </c>
      <c r="J52" s="103">
        <f t="shared" si="7"/>
        <v>110</v>
      </c>
      <c r="K52" s="103">
        <f t="shared" si="7"/>
        <v>50</v>
      </c>
      <c r="L52" s="103">
        <f t="shared" si="7"/>
        <v>145</v>
      </c>
      <c r="M52" s="103">
        <f t="shared" si="7"/>
        <v>0</v>
      </c>
      <c r="N52" s="103">
        <f t="shared" si="7"/>
        <v>0</v>
      </c>
      <c r="O52" s="136">
        <f t="shared" si="7"/>
        <v>102.85714285714286</v>
      </c>
    </row>
    <row r="53" spans="1:16" x14ac:dyDescent="0.2">
      <c r="A53" s="220"/>
      <c r="B53" s="2" t="s">
        <v>35</v>
      </c>
      <c r="C53" s="103">
        <f t="shared" si="7"/>
        <v>203.33333333333334</v>
      </c>
      <c r="D53" s="103">
        <f t="shared" si="7"/>
        <v>217</v>
      </c>
      <c r="E53" s="103">
        <f t="shared" si="7"/>
        <v>245</v>
      </c>
      <c r="F53" s="103">
        <f t="shared" si="7"/>
        <v>0</v>
      </c>
      <c r="G53" s="103">
        <f t="shared" si="7"/>
        <v>0</v>
      </c>
      <c r="H53" s="103">
        <f t="shared" si="7"/>
        <v>247.5</v>
      </c>
      <c r="I53" s="103">
        <f t="shared" si="7"/>
        <v>207.22222222222223</v>
      </c>
      <c r="J53" s="103">
        <f t="shared" si="7"/>
        <v>236.25</v>
      </c>
      <c r="K53" s="103">
        <f t="shared" si="7"/>
        <v>198.33333333333334</v>
      </c>
      <c r="L53" s="103">
        <f t="shared" si="7"/>
        <v>0</v>
      </c>
      <c r="M53" s="103">
        <f t="shared" si="7"/>
        <v>0</v>
      </c>
      <c r="N53" s="103">
        <f t="shared" si="7"/>
        <v>0</v>
      </c>
      <c r="O53" s="136">
        <f t="shared" si="7"/>
        <v>215</v>
      </c>
    </row>
    <row r="54" spans="1:16" ht="15.75" thickBot="1" x14ac:dyDescent="0.25">
      <c r="A54" s="221"/>
      <c r="B54" s="121" t="s">
        <v>172</v>
      </c>
      <c r="C54" s="122">
        <f>IF(C50=0,0,C46/C50)</f>
        <v>168.57142857142858</v>
      </c>
      <c r="D54" s="122">
        <f>IF(D50=0,0,D46/D50)</f>
        <v>155</v>
      </c>
      <c r="E54" s="122">
        <f>IF(E50=0,0,E46/E50)</f>
        <v>175</v>
      </c>
      <c r="F54" s="122">
        <f t="shared" si="7"/>
        <v>0</v>
      </c>
      <c r="G54" s="122">
        <f t="shared" si="7"/>
        <v>0</v>
      </c>
      <c r="H54" s="122">
        <f t="shared" si="7"/>
        <v>148.125</v>
      </c>
      <c r="I54" s="122">
        <f t="shared" si="7"/>
        <v>139.72222222222223</v>
      </c>
      <c r="J54" s="122">
        <f t="shared" si="7"/>
        <v>209.28571428571428</v>
      </c>
      <c r="K54" s="122">
        <f t="shared" si="7"/>
        <v>199.16499999999999</v>
      </c>
      <c r="L54" s="122">
        <f t="shared" si="7"/>
        <v>172.50000000000003</v>
      </c>
      <c r="M54" s="122">
        <f>IF(M50=0,0,M46/M50)</f>
        <v>0</v>
      </c>
      <c r="N54" s="122">
        <f>IF(N50=0,0,N46/N50)</f>
        <v>100</v>
      </c>
      <c r="O54" s="137">
        <f>IF(O50=0,0,O46/O50)</f>
        <v>162.67430232558138</v>
      </c>
      <c r="P54" s="48">
        <f>G14</f>
        <v>0</v>
      </c>
    </row>
    <row r="55" spans="1:16" x14ac:dyDescent="0.2">
      <c r="A55" s="222" t="s">
        <v>284</v>
      </c>
      <c r="B55" s="2" t="s">
        <v>172</v>
      </c>
      <c r="C55" s="87">
        <f>SUMIFS(Tabla2[IMPORT],Tabla2[ANY],'Cuadro de mando 2022'!$A$42,Tabla2[MES],'Cuadro de mando 2022'!C$42,Tabla2[TIPO DESPESA],"VARIABLE")</f>
        <v>357.19</v>
      </c>
      <c r="D55" s="87">
        <f>SUMIFS(Tabla2[IMPORT],Tabla2[ANY],'Cuadro de mando 2022'!$A$42,Tabla2[MES],'Cuadro de mando 2022'!D$42,Tabla2[TIPO DESPESA],"VARIABLE")</f>
        <v>415.16</v>
      </c>
      <c r="E55" s="87">
        <f>SUMIFS(Tabla2[IMPORT],Tabla2[ANY],'Cuadro de mando 2022'!$A$42,Tabla2[MES],'Cuadro de mando 2022'!E$42,Tabla2[TIPO DESPESA],"VARIABLE")</f>
        <v>18.61</v>
      </c>
      <c r="F55" s="87">
        <f>SUMIFS(Tabla2[IMPORT],Tabla2[ANY],'Cuadro de mando 2022'!$A$42,Tabla2[MES],'Cuadro de mando 2022'!F$42,Tabla2[TIPO DESPESA],"VARIABLE")</f>
        <v>0</v>
      </c>
      <c r="G55" s="87">
        <f>SUMIFS(Tabla2[IMPORT],Tabla2[ANY],'Cuadro de mando 2022'!$A$42,Tabla2[MES],'Cuadro de mando 2022'!G$42,Tabla2[TIPO DESPESA],"VARIABLE")</f>
        <v>187.15</v>
      </c>
      <c r="H55" s="87">
        <f>SUMIFS(Tabla2[IMPORT],Tabla2[ANY],'Cuadro de mando 2022'!$A$42,Tabla2[MES],'Cuadro de mando 2022'!H$42,Tabla2[TIPO DESPESA],"VARIABLE")</f>
        <v>144.07999999999998</v>
      </c>
      <c r="I55" s="87">
        <f>SUMIFS(Tabla2[IMPORT],Tabla2[ANY],'Cuadro de mando 2022'!$A$42,Tabla2[MES],'Cuadro de mando 2022'!I$42,Tabla2[TIPO DESPESA],"VARIABLE")</f>
        <v>331.03</v>
      </c>
      <c r="J55" s="87">
        <f>SUMIFS(Tabla2[IMPORT],Tabla2[ANY],'Cuadro de mando 2022'!$A$42,Tabla2[MES],'Cuadro de mando 2022'!J$42,Tabla2[TIPO DESPESA],"VARIABLE")</f>
        <v>165.52</v>
      </c>
      <c r="K55" s="87">
        <f>SUMIFS(Tabla2[IMPORT],Tabla2[ANY],'Cuadro de mando 2022'!$A$42,Tabla2[MES],'Cuadro de mando 2022'!K$42,Tabla2[TIPO DESPESA],"VARIABLE")</f>
        <v>81.93</v>
      </c>
      <c r="L55" s="87">
        <f>SUMIFS(Tabla2[IMPORT],Tabla2[ANY],'Cuadro de mando 2022'!$A$42,Tabla2[MES],'Cuadro de mando 2022'!L$42,Tabla2[TIPO DESPESA],"VARIABLE")</f>
        <v>0</v>
      </c>
      <c r="M55" s="87">
        <f>SUMIFS(Tabla2[IMPORT],Tabla2[ANY],'Cuadro de mando 2022'!$A$42,Tabla2[MES],'Cuadro de mando 2022'!M$42,Tabla2[TIPO DESPESA],"VARIABLE")</f>
        <v>0</v>
      </c>
      <c r="N55" s="87">
        <f>SUMIFS(Tabla2[IMPORT],Tabla2[ANY],'Cuadro de mando 2022'!$A$42,Tabla2[MES],'Cuadro de mando 2022'!N$42,Tabla2[TIPO DESPESA],"VARIABLE")</f>
        <v>77.94</v>
      </c>
      <c r="O55" s="87">
        <f>SUM(C55:N55)</f>
        <v>1778.6100000000001</v>
      </c>
    </row>
    <row r="56" spans="1:16" ht="15.75" thickBot="1" x14ac:dyDescent="0.25">
      <c r="A56" s="222"/>
      <c r="B56" s="111" t="s">
        <v>286</v>
      </c>
      <c r="C56" s="112">
        <f>IF(C50=0,0,C55/C50)</f>
        <v>17.009047619047617</v>
      </c>
      <c r="D56" s="112">
        <f>IF(D50=0,0,D55/D50)</f>
        <v>21.850526315789477</v>
      </c>
      <c r="E56" s="112">
        <f>IF(E50=0,0,E55/E50)</f>
        <v>4.6524999999999999</v>
      </c>
      <c r="F56" s="112">
        <f t="shared" ref="F56:L56" si="8">IF(F50=0,0,F55/F50)</f>
        <v>0</v>
      </c>
      <c r="G56" s="112">
        <f t="shared" si="8"/>
        <v>0</v>
      </c>
      <c r="H56" s="112">
        <f t="shared" si="8"/>
        <v>18.009999999999998</v>
      </c>
      <c r="I56" s="112">
        <f t="shared" si="8"/>
        <v>18.390555555555554</v>
      </c>
      <c r="J56" s="112">
        <f t="shared" si="8"/>
        <v>23.645714285714288</v>
      </c>
      <c r="K56" s="112">
        <f t="shared" si="8"/>
        <v>13.655000000000001</v>
      </c>
      <c r="L56" s="112">
        <f t="shared" si="8"/>
        <v>0</v>
      </c>
      <c r="M56" s="112">
        <f>IF(M50=0,0,M55/M50)</f>
        <v>0</v>
      </c>
      <c r="N56" s="112">
        <f>IF(N50=0,0,N55/N50)</f>
        <v>77.94</v>
      </c>
      <c r="O56" s="138">
        <f>IF(O50=0,0,O55/O50)</f>
        <v>20.681511627906978</v>
      </c>
      <c r="P56" s="48">
        <f>I21</f>
        <v>19.870102040816327</v>
      </c>
    </row>
    <row r="57" spans="1:16" ht="15.75" thickBot="1" x14ac:dyDescent="0.25">
      <c r="A57" s="223" t="s">
        <v>288</v>
      </c>
      <c r="B57" s="224"/>
      <c r="C57" s="110">
        <f>IF(C54=0,0,1-(C56/C54))</f>
        <v>0.89909887005649725</v>
      </c>
      <c r="D57" s="110">
        <f>IF(D54=0,0,1-(D56/D54))</f>
        <v>0.85902886247877763</v>
      </c>
      <c r="E57" s="110">
        <f>IF(E54=0,0,1-(E56/E54))</f>
        <v>0.97341428571428568</v>
      </c>
      <c r="F57" s="110">
        <f t="shared" ref="F57:L57" si="9">IF(F54=0,0,1-(F56/F54))</f>
        <v>0</v>
      </c>
      <c r="G57" s="110">
        <f t="shared" si="9"/>
        <v>0</v>
      </c>
      <c r="H57" s="110">
        <f t="shared" si="9"/>
        <v>0.8784135021097047</v>
      </c>
      <c r="I57" s="110">
        <f t="shared" si="9"/>
        <v>0.86837773359840953</v>
      </c>
      <c r="J57" s="110">
        <f t="shared" si="9"/>
        <v>0.8870170648464164</v>
      </c>
      <c r="K57" s="110">
        <f t="shared" si="9"/>
        <v>0.93143875680968047</v>
      </c>
      <c r="L57" s="110">
        <f t="shared" si="9"/>
        <v>1</v>
      </c>
      <c r="M57" s="110">
        <f>IF(M54=0,0,1-(M56/M54))</f>
        <v>0</v>
      </c>
      <c r="N57" s="110">
        <f>IF(N54=0,0,1-(N56/N54))</f>
        <v>0.22060000000000002</v>
      </c>
      <c r="O57" s="139">
        <f>IF(O54=0,0,1-(O56/O54))</f>
        <v>0.8728655274235364</v>
      </c>
    </row>
    <row r="58" spans="1:16" x14ac:dyDescent="0.2">
      <c r="A58" s="211" t="s">
        <v>285</v>
      </c>
      <c r="B58" s="114" t="s">
        <v>172</v>
      </c>
      <c r="C58" s="87">
        <f>SUMIFS(Tabla2[IMPORT],Tabla2[ANY],'Cuadro de mando 2022'!$A$42,Tabla2[MES],'Cuadro de mando 2022'!C$42,Tabla2[TIPO DESPESA],"FIX")</f>
        <v>2309.7600000000002</v>
      </c>
      <c r="D58" s="87">
        <f>SUMIFS(Tabla2[IMPORT],Tabla2[ANY],'Cuadro de mando 2022'!$A$42,Tabla2[MES],'Cuadro de mando 2022'!D$42,Tabla2[TIPO DESPESA],"FIX")</f>
        <v>627.33999999999992</v>
      </c>
      <c r="E58" s="87">
        <f>SUMIFS(Tabla2[IMPORT],Tabla2[ANY],'Cuadro de mando 2022'!$A$42,Tabla2[MES],'Cuadro de mando 2022'!E$42,Tabla2[TIPO DESPESA],"FIX")</f>
        <v>535.04</v>
      </c>
      <c r="F58" s="87">
        <f>SUMIFS(Tabla2[IMPORT],Tabla2[ANY],'Cuadro de mando 2022'!$A$42,Tabla2[MES],'Cuadro de mando 2022'!F$42,Tabla2[TIPO DESPESA],"FIX")</f>
        <v>55.34</v>
      </c>
      <c r="G58" s="87">
        <f>SUMIFS(Tabla2[IMPORT],Tabla2[ANY],'Cuadro de mando 2022'!$A$42,Tabla2[MES],'Cuadro de mando 2022'!G$42,Tabla2[TIPO DESPESA],"FIX")</f>
        <v>147</v>
      </c>
      <c r="H58" s="87">
        <f>SUMIFS(Tabla2[IMPORT],Tabla2[ANY],'Cuadro de mando 2022'!$A$42,Tabla2[MES],'Cuadro de mando 2022'!H$42,Tabla2[TIPO DESPESA],"FIX")</f>
        <v>209</v>
      </c>
      <c r="I58" s="87">
        <f>SUMIFS(Tabla2[IMPORT],Tabla2[ANY],'Cuadro de mando 2022'!$A$42,Tabla2[MES],'Cuadro de mando 2022'!I$42,Tabla2[TIPO DESPESA],"FIX")</f>
        <v>653</v>
      </c>
      <c r="J58" s="87">
        <f>SUMIFS(Tabla2[IMPORT],Tabla2[ANY],'Cuadro de mando 2022'!$A$42,Tabla2[MES],'Cuadro de mando 2022'!J$42,Tabla2[TIPO DESPESA],"FIX")</f>
        <v>599.99</v>
      </c>
      <c r="K58" s="87">
        <f>SUMIFS(Tabla2[IMPORT],Tabla2[ANY],'Cuadro de mando 2022'!$A$42,Tabla2[MES],'Cuadro de mando 2022'!K$42,Tabla2[TIPO DESPESA],"FIX")</f>
        <v>613.66999999999996</v>
      </c>
      <c r="L58" s="87">
        <f>SUMIFS(Tabla2[IMPORT],Tabla2[ANY],'Cuadro de mando 2022'!$A$42,Tabla2[MES],'Cuadro de mando 2022'!L$42,Tabla2[TIPO DESPESA],"FIX")</f>
        <v>631.49</v>
      </c>
      <c r="M58" s="87">
        <f>SUMIFS(Tabla2[IMPORT],Tabla2[ANY],'Cuadro de mando 2022'!$A$42,Tabla2[MES],'Cuadro de mando 2022'!M$42,Tabla2[TIPO DESPESA],"FIX")</f>
        <v>57</v>
      </c>
      <c r="N58" s="87">
        <f>SUMIFS(Tabla2[IMPORT],Tabla2[ANY],'Cuadro de mando 2022'!$A$42,Tabla2[MES],'Cuadro de mando 2022'!N$42,Tabla2[TIPO DESPESA],"FIX")</f>
        <v>237</v>
      </c>
      <c r="O58" s="87">
        <f>SUM(C58:N58)</f>
        <v>6675.63</v>
      </c>
    </row>
    <row r="59" spans="1:16" ht="15.75" thickBot="1" x14ac:dyDescent="0.25">
      <c r="A59" s="212"/>
      <c r="B59" s="145" t="s">
        <v>286</v>
      </c>
      <c r="C59" s="146">
        <f>IF(C50=0,0,C58/C50)</f>
        <v>109.98857142857143</v>
      </c>
      <c r="D59" s="146">
        <f t="shared" ref="D59:O59" si="10">IF(D50=0,0,D58/D50)</f>
        <v>33.017894736842102</v>
      </c>
      <c r="E59" s="146">
        <f t="shared" si="10"/>
        <v>133.76</v>
      </c>
      <c r="F59" s="146">
        <f t="shared" si="10"/>
        <v>0</v>
      </c>
      <c r="G59" s="146">
        <f t="shared" si="10"/>
        <v>0</v>
      </c>
      <c r="H59" s="146">
        <f t="shared" si="10"/>
        <v>26.125</v>
      </c>
      <c r="I59" s="146">
        <f t="shared" si="10"/>
        <v>36.277777777777779</v>
      </c>
      <c r="J59" s="146">
        <f t="shared" si="10"/>
        <v>85.712857142857146</v>
      </c>
      <c r="K59" s="146">
        <f t="shared" si="10"/>
        <v>102.27833333333332</v>
      </c>
      <c r="L59" s="146">
        <f t="shared" si="10"/>
        <v>315.745</v>
      </c>
      <c r="M59" s="146">
        <f t="shared" si="10"/>
        <v>0</v>
      </c>
      <c r="N59" s="146">
        <f t="shared" si="10"/>
        <v>237</v>
      </c>
      <c r="O59" s="147">
        <f t="shared" si="10"/>
        <v>77.623604651162793</v>
      </c>
      <c r="P59" s="48">
        <f>I20</f>
        <v>37.279948979591829</v>
      </c>
    </row>
    <row r="60" spans="1:16" x14ac:dyDescent="0.2">
      <c r="A60" s="225" t="s">
        <v>291</v>
      </c>
      <c r="B60" s="143" t="s">
        <v>172</v>
      </c>
      <c r="C60" s="87">
        <f>C55+C58</f>
        <v>2666.9500000000003</v>
      </c>
      <c r="D60" s="87">
        <f t="shared" ref="D60:O60" si="11">D55+D58</f>
        <v>1042.5</v>
      </c>
      <c r="E60" s="87">
        <f t="shared" si="11"/>
        <v>553.65</v>
      </c>
      <c r="F60" s="87">
        <f t="shared" si="11"/>
        <v>55.34</v>
      </c>
      <c r="G60" s="87">
        <f t="shared" si="11"/>
        <v>334.15</v>
      </c>
      <c r="H60" s="87">
        <f t="shared" si="11"/>
        <v>353.08</v>
      </c>
      <c r="I60" s="87">
        <f t="shared" si="11"/>
        <v>984.03</v>
      </c>
      <c r="J60" s="87">
        <f t="shared" si="11"/>
        <v>765.51</v>
      </c>
      <c r="K60" s="87">
        <f t="shared" si="11"/>
        <v>695.59999999999991</v>
      </c>
      <c r="L60" s="87">
        <f t="shared" si="11"/>
        <v>631.49</v>
      </c>
      <c r="M60" s="87">
        <f t="shared" si="11"/>
        <v>57</v>
      </c>
      <c r="N60" s="87">
        <f t="shared" si="11"/>
        <v>314.94</v>
      </c>
      <c r="O60" s="144">
        <f t="shared" si="11"/>
        <v>8454.24</v>
      </c>
      <c r="P60" s="79">
        <f>'2021'!Z40</f>
        <v>6559.0700000000006</v>
      </c>
    </row>
    <row r="61" spans="1:16" ht="15.75" thickBot="1" x14ac:dyDescent="0.25">
      <c r="A61" s="226"/>
      <c r="B61" s="111" t="s">
        <v>286</v>
      </c>
      <c r="C61" s="113">
        <f>IF(C50=0,0,C60/C50)</f>
        <v>126.99761904761905</v>
      </c>
      <c r="D61" s="113">
        <f t="shared" ref="D61:O61" si="12">IF(D50=0,0,D60/D50)</f>
        <v>54.868421052631582</v>
      </c>
      <c r="E61" s="113">
        <f t="shared" si="12"/>
        <v>138.41249999999999</v>
      </c>
      <c r="F61" s="113">
        <f t="shared" si="12"/>
        <v>0</v>
      </c>
      <c r="G61" s="113">
        <f t="shared" si="12"/>
        <v>0</v>
      </c>
      <c r="H61" s="113">
        <f t="shared" si="12"/>
        <v>44.134999999999998</v>
      </c>
      <c r="I61" s="113">
        <f t="shared" si="12"/>
        <v>54.668333333333329</v>
      </c>
      <c r="J61" s="113">
        <f t="shared" si="12"/>
        <v>109.35857142857142</v>
      </c>
      <c r="K61" s="113">
        <f t="shared" si="12"/>
        <v>115.93333333333332</v>
      </c>
      <c r="L61" s="113">
        <f t="shared" si="12"/>
        <v>315.745</v>
      </c>
      <c r="M61" s="113">
        <f t="shared" si="12"/>
        <v>0</v>
      </c>
      <c r="N61" s="113">
        <f t="shared" si="12"/>
        <v>314.94</v>
      </c>
      <c r="O61" s="140">
        <f t="shared" si="12"/>
        <v>98.305116279069765</v>
      </c>
    </row>
    <row r="62" spans="1:16" ht="15.75" thickBot="1" x14ac:dyDescent="0.25">
      <c r="A62" s="223" t="s">
        <v>280</v>
      </c>
      <c r="B62" s="224"/>
      <c r="C62" s="110">
        <f>IF(C54=0,0,1-(C61/C54))</f>
        <v>0.2466242937853107</v>
      </c>
      <c r="D62" s="110">
        <f>IF(D54=0,0,1-(D61/D54))</f>
        <v>0.64601018675721567</v>
      </c>
      <c r="E62" s="110">
        <f t="shared" ref="E62:O62" si="13">IF(E54=0,0,1-(E61/E54))</f>
        <v>0.20907142857142857</v>
      </c>
      <c r="F62" s="110">
        <f t="shared" si="13"/>
        <v>0</v>
      </c>
      <c r="G62" s="110">
        <f t="shared" si="13"/>
        <v>0</v>
      </c>
      <c r="H62" s="110">
        <f t="shared" si="13"/>
        <v>0.70204219409282698</v>
      </c>
      <c r="I62" s="110">
        <f t="shared" si="13"/>
        <v>0.60873558648111337</v>
      </c>
      <c r="J62" s="110">
        <f t="shared" si="13"/>
        <v>0.47746757679180885</v>
      </c>
      <c r="K62" s="110">
        <f t="shared" si="13"/>
        <v>0.41790307868685095</v>
      </c>
      <c r="L62" s="110">
        <f t="shared" si="13"/>
        <v>-0.83040579710144891</v>
      </c>
      <c r="M62" s="110">
        <f t="shared" si="13"/>
        <v>0</v>
      </c>
      <c r="N62" s="110">
        <f t="shared" si="13"/>
        <v>-2.1494</v>
      </c>
      <c r="O62" s="110">
        <f t="shared" si="13"/>
        <v>0.39569363523490719</v>
      </c>
    </row>
    <row r="63" spans="1:16" x14ac:dyDescent="0.2">
      <c r="A63" s="227" t="s">
        <v>273</v>
      </c>
      <c r="B63" s="114" t="s">
        <v>172</v>
      </c>
      <c r="C63" s="116">
        <f>SUMIFS(Tabla2[IMPORT],Tabla2[ANY],'Cuadro de mando 2022'!$A$42,Tabla2[MES],'Cuadro de mando 2022'!C$42,Tabla2[TIPO DESPESA],"INVERSIONS")</f>
        <v>377</v>
      </c>
      <c r="D63" s="116">
        <f>SUMIFS(Tabla2[IMPORT],Tabla2[ANY],'Cuadro de mando 2022'!$A$42,Tabla2[MES],'Cuadro de mando 2022'!D$42,Tabla2[TIPO DESPESA],"INVERSIONS")</f>
        <v>171.59</v>
      </c>
      <c r="E63" s="116">
        <f>SUMIFS(Tabla2[IMPORT],Tabla2[ANY],'Cuadro de mando 2022'!$A$42,Tabla2[MES],'Cuadro de mando 2022'!E$42,Tabla2[TIPO DESPESA],"INVERSIONS")</f>
        <v>0</v>
      </c>
      <c r="F63" s="116">
        <f>SUMIFS(Tabla2[IMPORT],Tabla2[ANY],'Cuadro de mando 2022'!$A$42,Tabla2[MES],'Cuadro de mando 2022'!F$42,Tabla2[TIPO DESPESA],"INVERSIONS")</f>
        <v>0</v>
      </c>
      <c r="G63" s="116">
        <f>SUMIFS(Tabla2[IMPORT],Tabla2[ANY],'Cuadro de mando 2022'!$A$42,Tabla2[MES],'Cuadro de mando 2022'!G$42,Tabla2[TIPO DESPESA],"INVERSIONS")</f>
        <v>0</v>
      </c>
      <c r="H63" s="116">
        <f>SUMIFS(Tabla2[IMPORT],Tabla2[ANY],'Cuadro de mando 2022'!$A$42,Tabla2[MES],'Cuadro de mando 2022'!H$42,Tabla2[TIPO DESPESA],"INVERSIONS")</f>
        <v>0</v>
      </c>
      <c r="I63" s="116">
        <f>SUMIFS(Tabla2[IMPORT],Tabla2[ANY],'Cuadro de mando 2022'!$A$42,Tabla2[MES],'Cuadro de mando 2022'!I$42,Tabla2[TIPO DESPESA],"INVERSIONS")</f>
        <v>0</v>
      </c>
      <c r="J63" s="116">
        <f>SUMIFS(Tabla2[IMPORT],Tabla2[ANY],'Cuadro de mando 2022'!$A$42,Tabla2[MES],'Cuadro de mando 2022'!J$42,Tabla2[TIPO DESPESA],"INVERSIONS")</f>
        <v>0</v>
      </c>
      <c r="K63" s="116">
        <f>SUMIFS(Tabla2[IMPORT],Tabla2[ANY],'Cuadro de mando 2022'!$A$42,Tabla2[MES],'Cuadro de mando 2022'!K$42,Tabla2[TIPO DESPESA],"INVERSIONS")</f>
        <v>0</v>
      </c>
      <c r="L63" s="116">
        <f>SUMIFS(Tabla2[IMPORT],Tabla2[ANY],'Cuadro de mando 2022'!$A$42,Tabla2[MES],'Cuadro de mando 2022'!L$42,Tabla2[TIPO DESPESA],"INVERSIONS")</f>
        <v>0</v>
      </c>
      <c r="M63" s="116">
        <f>SUMIFS(Tabla2[IMPORT],Tabla2[ANY],'Cuadro de mando 2022'!$A$42,Tabla2[MES],'Cuadro de mando 2022'!M$42,Tabla2[TIPO DESPESA],"INVERSIONS")</f>
        <v>0</v>
      </c>
      <c r="N63" s="116">
        <f>SUMIFS(Tabla2[IMPORT],Tabla2[ANY],'Cuadro de mando 2022'!$A$42,Tabla2[MES],'Cuadro de mando 2022'!N$42,Tabla2[TIPO DESPESA],"INVERSIONS")</f>
        <v>0</v>
      </c>
      <c r="O63" s="133">
        <f>SUM(C63:N63)</f>
        <v>548.59</v>
      </c>
    </row>
    <row r="64" spans="1:16" ht="15.75" thickBot="1" x14ac:dyDescent="0.25">
      <c r="A64" s="228"/>
      <c r="B64" s="123" t="s">
        <v>286</v>
      </c>
      <c r="C64" s="124">
        <f>IF(C54=0,0,C63/C54)</f>
        <v>2.2364406779661015</v>
      </c>
      <c r="D64" s="124">
        <f>IF(D54=0,0,D63/D54)</f>
        <v>1.1070322580645162</v>
      </c>
      <c r="E64" s="124">
        <f>IF(E54=0,0,E63/E54)</f>
        <v>0</v>
      </c>
      <c r="F64" s="124">
        <f t="shared" ref="F64:L64" si="14">IF(F54=0,0,F63/F54)</f>
        <v>0</v>
      </c>
      <c r="G64" s="124">
        <f t="shared" si="14"/>
        <v>0</v>
      </c>
      <c r="H64" s="124">
        <f t="shared" si="14"/>
        <v>0</v>
      </c>
      <c r="I64" s="124">
        <f t="shared" si="14"/>
        <v>0</v>
      </c>
      <c r="J64" s="124">
        <f t="shared" si="14"/>
        <v>0</v>
      </c>
      <c r="K64" s="124">
        <f t="shared" si="14"/>
        <v>0</v>
      </c>
      <c r="L64" s="124">
        <f t="shared" si="14"/>
        <v>0</v>
      </c>
      <c r="M64" s="124">
        <f>IF(M54=0,0,M63/M54)</f>
        <v>0</v>
      </c>
      <c r="N64" s="124">
        <f>IF(N54=0,0,N63/N54)</f>
        <v>0</v>
      </c>
      <c r="O64" s="141">
        <f>IF(O54=0,0,O63/O54)</f>
        <v>3.3723212096649111</v>
      </c>
    </row>
    <row r="65" spans="1:16" x14ac:dyDescent="0.2">
      <c r="A65" s="229" t="s">
        <v>188</v>
      </c>
      <c r="B65" s="2" t="s">
        <v>172</v>
      </c>
      <c r="C65" s="103">
        <f>SUMIFS(Tabla2[IMPORT],Tabla2[ANY],'Cuadro de mando 2022'!$A$42,Tabla2[MES],'Cuadro de mando 2022'!C$42,Tabla2[TIPO DESPESA],"IMPOSTOS")</f>
        <v>0</v>
      </c>
      <c r="D65" s="103">
        <f>SUMIFS(Tabla2[IMPORT],Tabla2[ANY],'Cuadro de mando 2022'!$A$42,Tabla2[MES],'Cuadro de mando 2022'!D$42,Tabla2[TIPO DESPESA],"IMPOSTOS")</f>
        <v>0</v>
      </c>
      <c r="E65" s="103">
        <f>SUMIFS(Tabla2[IMPORT],Tabla2[ANY],'Cuadro de mando 2022'!$A$42,Tabla2[MES],'Cuadro de mando 2022'!E$42,Tabla2[TIPO DESPESA],"IMPOSTOS")</f>
        <v>0</v>
      </c>
      <c r="F65" s="103">
        <f>SUMIFS(Tabla2[IMPORT],Tabla2[ANY],'Cuadro de mando 2022'!$A$42,Tabla2[MES],'Cuadro de mando 2022'!F$42,Tabla2[TIPO DESPESA],"IMPOSTOS")</f>
        <v>0</v>
      </c>
      <c r="G65" s="103">
        <f>SUMIFS(Tabla2[IMPORT],Tabla2[ANY],'Cuadro de mando 2022'!$A$42,Tabla2[MES],'Cuadro de mando 2022'!G$42,Tabla2[TIPO DESPESA],"IMPOSTOS")</f>
        <v>403.55</v>
      </c>
      <c r="H65" s="103">
        <f>SUMIFS(Tabla2[IMPORT],Tabla2[ANY],'Cuadro de mando 2022'!$A$42,Tabla2[MES],'Cuadro de mando 2022'!H$42,Tabla2[TIPO DESPESA],"IMPOSTOS")</f>
        <v>0</v>
      </c>
      <c r="I65" s="103">
        <f>SUMIFS(Tabla2[IMPORT],Tabla2[ANY],'Cuadro de mando 2022'!$A$42,Tabla2[MES],'Cuadro de mando 2022'!I$42,Tabla2[TIPO DESPESA],"IMPOSTOS")</f>
        <v>0</v>
      </c>
      <c r="J65" s="103">
        <f>SUMIFS(Tabla2[IMPORT],Tabla2[ANY],'Cuadro de mando 2022'!$A$42,Tabla2[MES],'Cuadro de mando 2022'!J$42,Tabla2[TIPO DESPESA],"IMPOSTOS")</f>
        <v>0</v>
      </c>
      <c r="K65" s="103">
        <f>SUMIFS(Tabla2[IMPORT],Tabla2[ANY],'Cuadro de mando 2022'!$A$42,Tabla2[MES],'Cuadro de mando 2022'!K$42,Tabla2[TIPO DESPESA],"IMPOSTOS")</f>
        <v>0</v>
      </c>
      <c r="L65" s="103">
        <f>SUMIFS(Tabla2[IMPORT],Tabla2[ANY],'Cuadro de mando 2022'!$A$42,Tabla2[MES],'Cuadro de mando 2022'!L$42,Tabla2[TIPO DESPESA],"IMPOSTOS")</f>
        <v>422.99</v>
      </c>
      <c r="M65" s="103">
        <f>SUMIFS(Tabla2[IMPORT],Tabla2[ANY],'Cuadro de mando 2022'!$A$42,Tabla2[MES],'Cuadro de mando 2022'!M$42,Tabla2[TIPO DESPESA],"IMPOSTOS")</f>
        <v>0</v>
      </c>
      <c r="N65" s="103">
        <f>SUMIFS(Tabla2[IMPORT],Tabla2[ANY],'Cuadro de mando 2022'!$A$42,Tabla2[MES],'Cuadro de mando 2022'!N$42,Tabla2[TIPO DESPESA],"IMPOSTOS")</f>
        <v>57</v>
      </c>
      <c r="O65" s="131">
        <f>SUM(C65:N65)</f>
        <v>883.54</v>
      </c>
    </row>
    <row r="66" spans="1:16" ht="15.75" thickBot="1" x14ac:dyDescent="0.25">
      <c r="A66" s="229"/>
      <c r="B66" s="125" t="s">
        <v>286</v>
      </c>
      <c r="C66" s="126">
        <f>IF(C54=0,0,C65/C54)</f>
        <v>0</v>
      </c>
      <c r="D66" s="126">
        <f>IF(D54=0,0,D65/D54)</f>
        <v>0</v>
      </c>
      <c r="E66" s="126">
        <f>IF(E54=0,0,E65/E54)</f>
        <v>0</v>
      </c>
      <c r="F66" s="126">
        <f t="shared" ref="F66:L66" si="15">IF(F54=0,0,F65/F54)</f>
        <v>0</v>
      </c>
      <c r="G66" s="126">
        <f t="shared" si="15"/>
        <v>0</v>
      </c>
      <c r="H66" s="126">
        <f t="shared" si="15"/>
        <v>0</v>
      </c>
      <c r="I66" s="126">
        <f t="shared" si="15"/>
        <v>0</v>
      </c>
      <c r="J66" s="126">
        <f t="shared" si="15"/>
        <v>0</v>
      </c>
      <c r="K66" s="126">
        <f t="shared" si="15"/>
        <v>0</v>
      </c>
      <c r="L66" s="126">
        <f t="shared" si="15"/>
        <v>2.4521159420289851</v>
      </c>
      <c r="M66" s="126">
        <f>IF(M54=0,0,M65/M54)</f>
        <v>0</v>
      </c>
      <c r="N66" s="126">
        <f>IF(N54=0,0,N65/N54)</f>
        <v>0.56999999999999995</v>
      </c>
      <c r="O66" s="142">
        <f>IF(O54=0,0,O65/O54)</f>
        <v>5.4313434105385356</v>
      </c>
    </row>
    <row r="67" spans="1:16" x14ac:dyDescent="0.2">
      <c r="A67" s="225" t="s">
        <v>290</v>
      </c>
      <c r="B67" s="143" t="s">
        <v>172</v>
      </c>
      <c r="C67" s="87">
        <f>C60+C63+C65</f>
        <v>3043.9500000000003</v>
      </c>
      <c r="D67" s="87">
        <f t="shared" ref="D67:N67" si="16">D60+D63+D65</f>
        <v>1214.0899999999999</v>
      </c>
      <c r="E67" s="87">
        <f t="shared" si="16"/>
        <v>553.65</v>
      </c>
      <c r="F67" s="87">
        <f t="shared" si="16"/>
        <v>55.34</v>
      </c>
      <c r="G67" s="87">
        <f t="shared" si="16"/>
        <v>737.7</v>
      </c>
      <c r="H67" s="87">
        <f t="shared" si="16"/>
        <v>353.08</v>
      </c>
      <c r="I67" s="87">
        <f t="shared" si="16"/>
        <v>984.03</v>
      </c>
      <c r="J67" s="87">
        <f t="shared" si="16"/>
        <v>765.51</v>
      </c>
      <c r="K67" s="87">
        <f t="shared" si="16"/>
        <v>695.59999999999991</v>
      </c>
      <c r="L67" s="87">
        <f t="shared" si="16"/>
        <v>1054.48</v>
      </c>
      <c r="M67" s="87">
        <f t="shared" si="16"/>
        <v>57</v>
      </c>
      <c r="N67" s="87">
        <f t="shared" si="16"/>
        <v>371.94</v>
      </c>
      <c r="O67" s="87">
        <f>O60+O63+O65</f>
        <v>9886.369999999999</v>
      </c>
      <c r="P67" s="48">
        <f>'Cuadro de mando 2022'!H24</f>
        <v>0</v>
      </c>
    </row>
    <row r="68" spans="1:16" ht="15.75" thickBot="1" x14ac:dyDescent="0.25">
      <c r="A68" s="226"/>
      <c r="B68" s="111" t="s">
        <v>286</v>
      </c>
      <c r="C68" s="113">
        <f>IF(C50=0,0,(C67/C50))</f>
        <v>144.95000000000002</v>
      </c>
      <c r="D68" s="113">
        <f t="shared" ref="D68:N68" si="17">IF(D50=0,0,(D67/D50))</f>
        <v>63.89947368421052</v>
      </c>
      <c r="E68" s="113">
        <f t="shared" si="17"/>
        <v>138.41249999999999</v>
      </c>
      <c r="F68" s="113">
        <f t="shared" si="17"/>
        <v>0</v>
      </c>
      <c r="G68" s="113">
        <f t="shared" si="17"/>
        <v>0</v>
      </c>
      <c r="H68" s="113">
        <f t="shared" si="17"/>
        <v>44.134999999999998</v>
      </c>
      <c r="I68" s="113">
        <f t="shared" si="17"/>
        <v>54.668333333333329</v>
      </c>
      <c r="J68" s="113">
        <f t="shared" si="17"/>
        <v>109.35857142857142</v>
      </c>
      <c r="K68" s="113">
        <f t="shared" si="17"/>
        <v>115.93333333333332</v>
      </c>
      <c r="L68" s="113">
        <f t="shared" si="17"/>
        <v>527.24</v>
      </c>
      <c r="M68" s="113">
        <f t="shared" si="17"/>
        <v>0</v>
      </c>
      <c r="N68" s="113">
        <f t="shared" si="17"/>
        <v>371.94</v>
      </c>
      <c r="O68" s="113">
        <f>IF(O50=0,0,(O67/O50))</f>
        <v>114.95779069767441</v>
      </c>
      <c r="P68" s="48"/>
    </row>
    <row r="69" spans="1:16" x14ac:dyDescent="0.2">
      <c r="A69" s="230" t="s">
        <v>124</v>
      </c>
      <c r="B69" s="148" t="s">
        <v>172</v>
      </c>
      <c r="C69" s="149">
        <f>C46-C67</f>
        <v>496.04999999999973</v>
      </c>
      <c r="D69" s="149">
        <f t="shared" ref="D69:N69" si="18">D46-D67</f>
        <v>1730.91</v>
      </c>
      <c r="E69" s="149">
        <f t="shared" si="18"/>
        <v>146.35000000000002</v>
      </c>
      <c r="F69" s="149">
        <f t="shared" si="18"/>
        <v>-55.34</v>
      </c>
      <c r="G69" s="149">
        <f t="shared" si="18"/>
        <v>-737.7</v>
      </c>
      <c r="H69" s="149">
        <f t="shared" si="18"/>
        <v>831.92000000000007</v>
      </c>
      <c r="I69" s="149">
        <f t="shared" si="18"/>
        <v>1530.97</v>
      </c>
      <c r="J69" s="149">
        <f t="shared" si="18"/>
        <v>699.49</v>
      </c>
      <c r="K69" s="149">
        <f t="shared" si="18"/>
        <v>499.3900000000001</v>
      </c>
      <c r="L69" s="149">
        <f t="shared" si="18"/>
        <v>-709.48</v>
      </c>
      <c r="M69" s="149">
        <f t="shared" si="18"/>
        <v>-57</v>
      </c>
      <c r="N69" s="149">
        <f t="shared" si="18"/>
        <v>-271.94</v>
      </c>
      <c r="O69" s="150">
        <f>O46-O67</f>
        <v>4103.6200000000008</v>
      </c>
      <c r="P69" s="48">
        <f>O46-O60</f>
        <v>5535.75</v>
      </c>
    </row>
    <row r="70" spans="1:16" ht="15.75" thickBot="1" x14ac:dyDescent="0.25">
      <c r="A70" s="231"/>
      <c r="B70" s="151" t="s">
        <v>286</v>
      </c>
      <c r="C70" s="152">
        <f t="shared" ref="C70:O70" si="19">IF(C50=0,0,C69/C50)</f>
        <v>23.621428571428559</v>
      </c>
      <c r="D70" s="152">
        <f t="shared" si="19"/>
        <v>91.10052631578948</v>
      </c>
      <c r="E70" s="152">
        <f t="shared" si="19"/>
        <v>36.587500000000006</v>
      </c>
      <c r="F70" s="152">
        <f t="shared" si="19"/>
        <v>0</v>
      </c>
      <c r="G70" s="152">
        <f t="shared" si="19"/>
        <v>0</v>
      </c>
      <c r="H70" s="152">
        <f t="shared" si="19"/>
        <v>103.99000000000001</v>
      </c>
      <c r="I70" s="152">
        <f t="shared" si="19"/>
        <v>85.053888888888892</v>
      </c>
      <c r="J70" s="152">
        <f t="shared" si="19"/>
        <v>99.927142857142854</v>
      </c>
      <c r="K70" s="152">
        <f t="shared" si="19"/>
        <v>83.231666666666683</v>
      </c>
      <c r="L70" s="152">
        <f t="shared" si="19"/>
        <v>-354.74</v>
      </c>
      <c r="M70" s="152">
        <f t="shared" si="19"/>
        <v>0</v>
      </c>
      <c r="N70" s="152">
        <f t="shared" si="19"/>
        <v>-271.94</v>
      </c>
      <c r="O70" s="153">
        <f t="shared" si="19"/>
        <v>47.716511627906989</v>
      </c>
      <c r="P70" s="48">
        <f>P69+P26</f>
        <v>5535.75</v>
      </c>
    </row>
    <row r="71" spans="1:16" ht="15.75" thickBot="1" x14ac:dyDescent="0.25">
      <c r="A71" s="223" t="s">
        <v>287</v>
      </c>
      <c r="B71" s="224"/>
      <c r="C71" s="110">
        <f t="shared" ref="C71:O71" si="20">IF(C54=0,0,1-(C68/C54))</f>
        <v>0.14012711864406779</v>
      </c>
      <c r="D71" s="110">
        <f t="shared" si="20"/>
        <v>0.58774533106960947</v>
      </c>
      <c r="E71" s="110">
        <f t="shared" si="20"/>
        <v>0.20907142857142857</v>
      </c>
      <c r="F71" s="110">
        <f t="shared" si="20"/>
        <v>0</v>
      </c>
      <c r="G71" s="110">
        <f t="shared" si="20"/>
        <v>0</v>
      </c>
      <c r="H71" s="110">
        <f t="shared" si="20"/>
        <v>0.70204219409282698</v>
      </c>
      <c r="I71" s="110">
        <f t="shared" si="20"/>
        <v>0.60873558648111337</v>
      </c>
      <c r="J71" s="110">
        <f t="shared" si="20"/>
        <v>0.47746757679180885</v>
      </c>
      <c r="K71" s="110">
        <f t="shared" si="20"/>
        <v>0.41790307868685095</v>
      </c>
      <c r="L71" s="110">
        <f t="shared" si="20"/>
        <v>-2.0564637681159414</v>
      </c>
      <c r="M71" s="110">
        <f t="shared" si="20"/>
        <v>0</v>
      </c>
      <c r="N71" s="110">
        <f t="shared" si="20"/>
        <v>-2.7193999999999998</v>
      </c>
      <c r="O71" s="110">
        <f t="shared" si="20"/>
        <v>0.29332544197672761</v>
      </c>
      <c r="P71" s="48">
        <f>P70-'2021'!Z63</f>
        <v>-6130.5683333333309</v>
      </c>
    </row>
  </sheetData>
  <mergeCells count="13">
    <mergeCell ref="A71:B71"/>
    <mergeCell ref="A60:A61"/>
    <mergeCell ref="A62:B62"/>
    <mergeCell ref="A63:A64"/>
    <mergeCell ref="A65:A66"/>
    <mergeCell ref="A67:A68"/>
    <mergeCell ref="A69:A70"/>
    <mergeCell ref="A58:A59"/>
    <mergeCell ref="A43:A46"/>
    <mergeCell ref="A47:A50"/>
    <mergeCell ref="A51:A54"/>
    <mergeCell ref="A55:A56"/>
    <mergeCell ref="A57:B57"/>
  </mergeCells>
  <pageMargins left="0.7" right="0.7" top="0.75" bottom="0.75" header="0.3" footer="0.3"/>
  <pageSetup paperSize="9" orientation="portrait" horizontalDpi="0" verticalDpi="0"/>
  <headerFooter>
    <oddHeader>&amp;C&amp;"Calibri"&amp;10&amp;K000000 Internal&amp;1#_x000D_</oddHeader>
  </headerFooter>
  <drawing r:id="rId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9"/>
  </sheetPr>
  <dimension ref="A1:Q244"/>
  <sheetViews>
    <sheetView showRuler="0" workbookViewId="0">
      <selection activeCell="P7" sqref="P7"/>
    </sheetView>
  </sheetViews>
  <sheetFormatPr defaultColWidth="10.8515625" defaultRowHeight="15" x14ac:dyDescent="0.2"/>
  <cols>
    <col min="1" max="1" width="7.64453125" bestFit="1" customWidth="1"/>
    <col min="3" max="3" width="10.48046875" bestFit="1" customWidth="1"/>
    <col min="5" max="5" width="17.140625" customWidth="1"/>
    <col min="6" max="6" width="16.27734375" customWidth="1"/>
    <col min="7" max="7" width="10.8515625" customWidth="1"/>
    <col min="8" max="8" width="9.4921875" customWidth="1"/>
    <col min="9" max="9" width="16.5234375" bestFit="1" customWidth="1"/>
    <col min="10" max="10" width="16.5234375" customWidth="1"/>
    <col min="11" max="11" width="18.37109375" bestFit="1" customWidth="1"/>
    <col min="12" max="12" width="17.38671875" bestFit="1" customWidth="1"/>
  </cols>
  <sheetData>
    <row r="1" spans="1:17" s="5" customFormat="1" x14ac:dyDescent="0.2">
      <c r="A1" s="5" t="s">
        <v>20</v>
      </c>
      <c r="B1" s="5" t="s">
        <v>47</v>
      </c>
      <c r="C1" s="5" t="s">
        <v>21</v>
      </c>
      <c r="D1" s="5" t="s">
        <v>36</v>
      </c>
      <c r="E1" s="5" t="s">
        <v>22</v>
      </c>
      <c r="F1" s="5" t="s">
        <v>23</v>
      </c>
      <c r="G1" s="5" t="s">
        <v>24</v>
      </c>
      <c r="H1" s="5" t="s">
        <v>25</v>
      </c>
      <c r="I1" s="5" t="s">
        <v>26</v>
      </c>
      <c r="J1" s="5" t="s">
        <v>573</v>
      </c>
      <c r="K1" s="5" t="s">
        <v>50</v>
      </c>
      <c r="L1" s="5" t="s">
        <v>51</v>
      </c>
      <c r="M1" s="6" t="s">
        <v>52</v>
      </c>
    </row>
    <row r="2" spans="1:17" x14ac:dyDescent="0.2">
      <c r="A2">
        <v>2023</v>
      </c>
      <c r="B2" t="s">
        <v>48</v>
      </c>
      <c r="C2" s="3">
        <v>44928</v>
      </c>
      <c r="D2" s="3" t="s">
        <v>37</v>
      </c>
      <c r="E2" s="4">
        <v>0.64583333333333337</v>
      </c>
      <c r="F2" s="4">
        <v>0.85416666666666663</v>
      </c>
      <c r="G2" t="s">
        <v>31</v>
      </c>
      <c r="H2">
        <v>1</v>
      </c>
      <c r="I2">
        <v>95</v>
      </c>
      <c r="J2">
        <f>VLOOKUP(Tabla14[[#This Row],[TARIFA]],$P$2:$Q$5,2,0)</f>
        <v>100</v>
      </c>
      <c r="K2">
        <v>0</v>
      </c>
      <c r="L2">
        <v>0</v>
      </c>
      <c r="M2" s="7">
        <f>Tabla14[[#This Row],[TARIFA]]+Tabla14[[#This Row],[IMPORTE EXTRAS]]</f>
        <v>95</v>
      </c>
      <c r="P2">
        <v>95</v>
      </c>
      <c r="Q2">
        <v>100</v>
      </c>
    </row>
    <row r="3" spans="1:17" x14ac:dyDescent="0.2">
      <c r="A3">
        <v>2023</v>
      </c>
      <c r="B3" t="s">
        <v>48</v>
      </c>
      <c r="C3" s="3">
        <v>44929</v>
      </c>
      <c r="D3" s="3" t="s">
        <v>38</v>
      </c>
      <c r="E3" s="4">
        <v>0.89583333333333337</v>
      </c>
      <c r="F3" s="4">
        <v>0.10416666666666667</v>
      </c>
      <c r="G3" t="s">
        <v>35</v>
      </c>
      <c r="H3">
        <v>1</v>
      </c>
      <c r="I3">
        <v>200</v>
      </c>
      <c r="J3">
        <f>VLOOKUP(Tabla14[[#This Row],[TARIFA]],$P$2:$Q$5,2,0)</f>
        <v>200</v>
      </c>
      <c r="K3">
        <v>1</v>
      </c>
      <c r="L3">
        <v>60</v>
      </c>
      <c r="M3" s="7">
        <f>Tabla14[[#This Row],[TARIFA]]+Tabla14[[#This Row],[IMPORTE EXTRAS]]</f>
        <v>260</v>
      </c>
      <c r="P3">
        <v>140</v>
      </c>
      <c r="Q3">
        <v>140</v>
      </c>
    </row>
    <row r="4" spans="1:17" x14ac:dyDescent="0.2">
      <c r="A4">
        <v>2023</v>
      </c>
      <c r="B4" t="s">
        <v>48</v>
      </c>
      <c r="C4" s="3">
        <v>44930</v>
      </c>
      <c r="D4" s="3" t="s">
        <v>39</v>
      </c>
      <c r="E4" s="4">
        <v>0.64583333333333337</v>
      </c>
      <c r="F4" s="4">
        <v>0.85416666666666663</v>
      </c>
      <c r="G4" t="s">
        <v>31</v>
      </c>
      <c r="H4">
        <v>1</v>
      </c>
      <c r="I4">
        <v>95</v>
      </c>
      <c r="J4">
        <f>VLOOKUP(Tabla14[[#This Row],[TARIFA]],$P$2:$Q$5,2,0)</f>
        <v>100</v>
      </c>
      <c r="K4">
        <v>0</v>
      </c>
      <c r="L4">
        <v>0</v>
      </c>
      <c r="M4" s="7">
        <f>Tabla14[[#This Row],[TARIFA]]+Tabla14[[#This Row],[IMPORTE EXTRAS]]</f>
        <v>95</v>
      </c>
      <c r="P4">
        <v>150</v>
      </c>
      <c r="Q4">
        <v>150</v>
      </c>
    </row>
    <row r="5" spans="1:17" x14ac:dyDescent="0.2">
      <c r="A5">
        <v>2023</v>
      </c>
      <c r="B5" t="s">
        <v>48</v>
      </c>
      <c r="C5" s="3">
        <v>44931</v>
      </c>
      <c r="D5" s="3" t="s">
        <v>40</v>
      </c>
      <c r="E5" s="4">
        <v>0.89583333333333337</v>
      </c>
      <c r="F5" s="4">
        <v>0.10416666666666667</v>
      </c>
      <c r="G5" t="s">
        <v>35</v>
      </c>
      <c r="H5">
        <v>1</v>
      </c>
      <c r="I5">
        <v>180</v>
      </c>
      <c r="J5">
        <f>Tabla14[[#This Row],[TARIFA]]</f>
        <v>180</v>
      </c>
      <c r="K5">
        <v>0</v>
      </c>
      <c r="L5">
        <v>0</v>
      </c>
      <c r="M5" s="7">
        <f>Tabla14[[#This Row],[TARIFA]]+Tabla14[[#This Row],[IMPORTE EXTRAS]]</f>
        <v>180</v>
      </c>
      <c r="P5">
        <v>200</v>
      </c>
      <c r="Q5">
        <v>200</v>
      </c>
    </row>
    <row r="6" spans="1:17" x14ac:dyDescent="0.2">
      <c r="A6">
        <v>2023</v>
      </c>
      <c r="B6" t="s">
        <v>48</v>
      </c>
      <c r="C6" s="3">
        <v>44932</v>
      </c>
      <c r="D6" s="3" t="s">
        <v>41</v>
      </c>
      <c r="E6" s="4">
        <v>0.625</v>
      </c>
      <c r="F6" s="4">
        <v>0.83333333333333337</v>
      </c>
      <c r="G6" t="s">
        <v>33</v>
      </c>
      <c r="H6">
        <v>1</v>
      </c>
      <c r="I6">
        <v>150</v>
      </c>
      <c r="J6">
        <f>VLOOKUP(Tabla14[[#This Row],[TARIFA]],$P$2:$Q$5,2,0)</f>
        <v>150</v>
      </c>
      <c r="K6">
        <v>0</v>
      </c>
      <c r="L6">
        <v>0</v>
      </c>
      <c r="M6" s="7">
        <f>Tabla14[[#This Row],[TARIFA]]+Tabla14[[#This Row],[IMPORTE EXTRAS]]</f>
        <v>150</v>
      </c>
    </row>
    <row r="7" spans="1:17" x14ac:dyDescent="0.2">
      <c r="A7">
        <v>2023</v>
      </c>
      <c r="B7" t="s">
        <v>48</v>
      </c>
      <c r="C7" s="3">
        <v>44933</v>
      </c>
      <c r="D7" s="3" t="s">
        <v>42</v>
      </c>
      <c r="E7" s="4">
        <v>0.64583333333333337</v>
      </c>
      <c r="F7" s="4">
        <v>0.85416666666666663</v>
      </c>
      <c r="G7" t="s">
        <v>31</v>
      </c>
      <c r="H7">
        <v>1</v>
      </c>
      <c r="I7">
        <v>150</v>
      </c>
      <c r="J7">
        <f>VLOOKUP(Tabla14[[#This Row],[TARIFA]],$P$2:$Q$5,2,0)</f>
        <v>150</v>
      </c>
      <c r="K7">
        <v>0</v>
      </c>
      <c r="L7">
        <v>0</v>
      </c>
      <c r="M7" s="7">
        <f>Tabla14[[#This Row],[TARIFA]]+Tabla14[[#This Row],[IMPORTE EXTRAS]]</f>
        <v>150</v>
      </c>
    </row>
    <row r="8" spans="1:17" x14ac:dyDescent="0.2">
      <c r="A8">
        <v>2023</v>
      </c>
      <c r="B8" t="s">
        <v>48</v>
      </c>
      <c r="C8" s="3">
        <v>44934</v>
      </c>
      <c r="D8" s="3" t="s">
        <v>43</v>
      </c>
      <c r="E8" s="4">
        <v>0.39583333333333331</v>
      </c>
      <c r="F8" s="4">
        <v>0.60416666666666663</v>
      </c>
      <c r="G8" t="s">
        <v>30</v>
      </c>
      <c r="H8">
        <v>1</v>
      </c>
      <c r="I8">
        <v>150</v>
      </c>
      <c r="J8">
        <f>VLOOKUP(Tabla14[[#This Row],[TARIFA]],$P$2:$Q$5,2,0)</f>
        <v>150</v>
      </c>
      <c r="K8">
        <v>0</v>
      </c>
      <c r="L8">
        <v>0</v>
      </c>
      <c r="M8" s="7">
        <f>Tabla14[[#This Row],[TARIFA]]+Tabla14[[#This Row],[IMPORTE EXTRAS]]</f>
        <v>150</v>
      </c>
    </row>
    <row r="9" spans="1:17" x14ac:dyDescent="0.2">
      <c r="A9">
        <v>2023</v>
      </c>
      <c r="B9" t="s">
        <v>48</v>
      </c>
      <c r="C9" s="3">
        <v>44939</v>
      </c>
      <c r="D9" s="3" t="s">
        <v>41</v>
      </c>
      <c r="E9" s="4">
        <v>0.64583333333333337</v>
      </c>
      <c r="F9" s="4">
        <v>0.10416666666666667</v>
      </c>
      <c r="G9" t="s">
        <v>53</v>
      </c>
      <c r="H9">
        <v>1</v>
      </c>
      <c r="I9">
        <v>300</v>
      </c>
      <c r="J9">
        <f>Tabla14[[#This Row],[TARIFA]]</f>
        <v>300</v>
      </c>
      <c r="K9">
        <v>0</v>
      </c>
      <c r="L9">
        <v>0</v>
      </c>
      <c r="M9" s="7">
        <f>Tabla14[[#This Row],[TARIFA]]+Tabla14[[#This Row],[IMPORTE EXTRAS]]</f>
        <v>300</v>
      </c>
    </row>
    <row r="10" spans="1:17" x14ac:dyDescent="0.2">
      <c r="A10">
        <v>2023</v>
      </c>
      <c r="B10" t="s">
        <v>48</v>
      </c>
      <c r="C10" s="3">
        <v>44940</v>
      </c>
      <c r="D10" s="3" t="s">
        <v>42</v>
      </c>
      <c r="E10" s="4">
        <v>0.64583333333333337</v>
      </c>
      <c r="F10" s="4">
        <v>0.85416666666666663</v>
      </c>
      <c r="G10" t="s">
        <v>31</v>
      </c>
      <c r="H10">
        <v>1</v>
      </c>
      <c r="I10">
        <v>150</v>
      </c>
      <c r="J10">
        <f>VLOOKUP(Tabla14[[#This Row],[TARIFA]],$P$2:$Q$5,2,0)</f>
        <v>150</v>
      </c>
      <c r="K10">
        <v>0</v>
      </c>
      <c r="L10">
        <v>0</v>
      </c>
      <c r="M10" s="7">
        <f>Tabla14[[#This Row],[TARIFA]]+Tabla14[[#This Row],[IMPORTE EXTRAS]]</f>
        <v>150</v>
      </c>
    </row>
    <row r="11" spans="1:17" x14ac:dyDescent="0.2">
      <c r="A11">
        <v>2023</v>
      </c>
      <c r="B11" t="s">
        <v>48</v>
      </c>
      <c r="C11" s="3">
        <v>44940</v>
      </c>
      <c r="D11" s="3" t="s">
        <v>42</v>
      </c>
      <c r="E11" s="4">
        <v>0.89583333333333337</v>
      </c>
      <c r="F11" s="4">
        <v>0.10416666666666667</v>
      </c>
      <c r="G11" t="s">
        <v>35</v>
      </c>
      <c r="H11">
        <v>1</v>
      </c>
      <c r="I11">
        <v>200</v>
      </c>
      <c r="J11">
        <f>VLOOKUP(Tabla14[[#This Row],[TARIFA]],$P$2:$Q$5,2,0)</f>
        <v>200</v>
      </c>
      <c r="K11">
        <v>0</v>
      </c>
      <c r="L11">
        <v>0</v>
      </c>
      <c r="M11" s="7">
        <f>Tabla14[[#This Row],[TARIFA]]+Tabla14[[#This Row],[IMPORTE EXTRAS]]</f>
        <v>200</v>
      </c>
    </row>
    <row r="12" spans="1:17" x14ac:dyDescent="0.2">
      <c r="A12">
        <v>2023</v>
      </c>
      <c r="B12" t="s">
        <v>48</v>
      </c>
      <c r="C12" s="3">
        <v>44941</v>
      </c>
      <c r="D12" s="3" t="s">
        <v>43</v>
      </c>
      <c r="E12" s="4">
        <v>0.39583333333333331</v>
      </c>
      <c r="F12" s="4">
        <v>0.60416666666666663</v>
      </c>
      <c r="G12" t="s">
        <v>30</v>
      </c>
      <c r="H12">
        <v>1</v>
      </c>
      <c r="I12">
        <v>150</v>
      </c>
      <c r="J12">
        <f>VLOOKUP(Tabla14[[#This Row],[TARIFA]],$P$2:$Q$5,2,0)</f>
        <v>150</v>
      </c>
      <c r="K12">
        <v>0</v>
      </c>
      <c r="L12">
        <v>0</v>
      </c>
      <c r="M12" s="7">
        <f>Tabla14[[#This Row],[TARIFA]]+Tabla14[[#This Row],[IMPORTE EXTRAS]]</f>
        <v>150</v>
      </c>
    </row>
    <row r="13" spans="1:17" x14ac:dyDescent="0.2">
      <c r="A13">
        <v>2023</v>
      </c>
      <c r="B13" t="s">
        <v>48</v>
      </c>
      <c r="C13" s="3">
        <v>44941</v>
      </c>
      <c r="D13" s="3" t="s">
        <v>43</v>
      </c>
      <c r="E13" s="4">
        <v>0.64583333333333337</v>
      </c>
      <c r="F13" s="4">
        <v>0.85416666666666663</v>
      </c>
      <c r="G13" t="s">
        <v>31</v>
      </c>
      <c r="H13">
        <v>1</v>
      </c>
      <c r="I13">
        <v>150</v>
      </c>
      <c r="J13">
        <f>VLOOKUP(Tabla14[[#This Row],[TARIFA]],$P$2:$Q$5,2,0)</f>
        <v>150</v>
      </c>
      <c r="K13">
        <v>0</v>
      </c>
      <c r="L13">
        <v>0</v>
      </c>
      <c r="M13" s="7">
        <f>Tabla14[[#This Row],[TARIFA]]+Tabla14[[#This Row],[IMPORTE EXTRAS]]</f>
        <v>150</v>
      </c>
    </row>
    <row r="14" spans="1:17" x14ac:dyDescent="0.2">
      <c r="A14">
        <v>2023</v>
      </c>
      <c r="B14" t="s">
        <v>48</v>
      </c>
      <c r="C14" s="3">
        <v>44943</v>
      </c>
      <c r="D14" s="3" t="s">
        <v>38</v>
      </c>
      <c r="E14" s="4">
        <v>0.64583333333333337</v>
      </c>
      <c r="F14" s="4">
        <v>0.85416666666666663</v>
      </c>
      <c r="G14" t="s">
        <v>31</v>
      </c>
      <c r="H14">
        <v>1</v>
      </c>
      <c r="I14">
        <v>95</v>
      </c>
      <c r="J14">
        <f>VLOOKUP(Tabla14[[#This Row],[TARIFA]],$P$2:$Q$5,2,0)</f>
        <v>100</v>
      </c>
      <c r="K14">
        <v>0</v>
      </c>
      <c r="L14">
        <v>0</v>
      </c>
      <c r="M14" s="7">
        <f>Tabla14[[#This Row],[TARIFA]]+Tabla14[[#This Row],[IMPORTE EXTRAS]]</f>
        <v>95</v>
      </c>
    </row>
    <row r="15" spans="1:17" x14ac:dyDescent="0.2">
      <c r="A15">
        <v>2023</v>
      </c>
      <c r="B15" t="s">
        <v>48</v>
      </c>
      <c r="C15" s="3">
        <v>44945</v>
      </c>
      <c r="D15" s="3" t="s">
        <v>40</v>
      </c>
      <c r="E15" s="4">
        <v>0.64583333333333337</v>
      </c>
      <c r="F15" s="4">
        <v>0.85416666666666663</v>
      </c>
      <c r="G15" t="s">
        <v>31</v>
      </c>
      <c r="H15">
        <v>1</v>
      </c>
      <c r="I15">
        <v>95</v>
      </c>
      <c r="J15">
        <f>VLOOKUP(Tabla14[[#This Row],[TARIFA]],$P$2:$Q$5,2,0)</f>
        <v>100</v>
      </c>
      <c r="K15">
        <v>0</v>
      </c>
      <c r="L15">
        <v>0</v>
      </c>
      <c r="M15" s="7">
        <f>Tabla14[[#This Row],[TARIFA]]+Tabla14[[#This Row],[IMPORTE EXTRAS]]</f>
        <v>95</v>
      </c>
    </row>
    <row r="16" spans="1:17" x14ac:dyDescent="0.2">
      <c r="A16">
        <v>2023</v>
      </c>
      <c r="B16" t="s">
        <v>48</v>
      </c>
      <c r="C16" s="3">
        <v>44946</v>
      </c>
      <c r="D16" s="3" t="s">
        <v>41</v>
      </c>
      <c r="E16" s="4">
        <v>0.89583333333333337</v>
      </c>
      <c r="F16" s="4">
        <v>0.10416666666666667</v>
      </c>
      <c r="G16" t="s">
        <v>35</v>
      </c>
      <c r="H16">
        <v>1</v>
      </c>
      <c r="I16">
        <v>200</v>
      </c>
      <c r="J16">
        <f>VLOOKUP(Tabla14[[#This Row],[TARIFA]],$P$2:$Q$5,2,0)</f>
        <v>200</v>
      </c>
      <c r="K16">
        <v>0</v>
      </c>
      <c r="L16">
        <v>0</v>
      </c>
      <c r="M16" s="7">
        <f>Tabla14[[#This Row],[TARIFA]]+Tabla14[[#This Row],[IMPORTE EXTRAS]]</f>
        <v>200</v>
      </c>
    </row>
    <row r="17" spans="1:13" x14ac:dyDescent="0.2">
      <c r="A17">
        <v>2023</v>
      </c>
      <c r="B17" t="s">
        <v>48</v>
      </c>
      <c r="C17" s="3">
        <v>44947</v>
      </c>
      <c r="D17" s="3" t="s">
        <v>42</v>
      </c>
      <c r="E17" s="4">
        <v>0.89583333333333337</v>
      </c>
      <c r="F17" s="4">
        <v>0.10416666666666667</v>
      </c>
      <c r="G17" t="s">
        <v>35</v>
      </c>
      <c r="H17">
        <v>1</v>
      </c>
      <c r="I17">
        <v>200</v>
      </c>
      <c r="J17">
        <f>VLOOKUP(Tabla14[[#This Row],[TARIFA]],$P$2:$Q$5,2,0)</f>
        <v>200</v>
      </c>
      <c r="K17">
        <v>1</v>
      </c>
      <c r="L17">
        <v>60</v>
      </c>
      <c r="M17" s="7">
        <f>Tabla14[[#This Row],[TARIFA]]+Tabla14[[#This Row],[IMPORTE EXTRAS]]</f>
        <v>260</v>
      </c>
    </row>
    <row r="18" spans="1:13" x14ac:dyDescent="0.2">
      <c r="A18">
        <v>2023</v>
      </c>
      <c r="B18" t="s">
        <v>48</v>
      </c>
      <c r="C18" s="3">
        <v>44948</v>
      </c>
      <c r="D18" s="3" t="s">
        <v>42</v>
      </c>
      <c r="E18" s="4">
        <v>0.39583333333333331</v>
      </c>
      <c r="F18" s="4">
        <v>0.85416666666666663</v>
      </c>
      <c r="G18" t="s">
        <v>32</v>
      </c>
      <c r="H18">
        <v>2</v>
      </c>
      <c r="I18">
        <v>280</v>
      </c>
      <c r="J18">
        <f>Tabla14[[#This Row],[TARIFA]]</f>
        <v>280</v>
      </c>
      <c r="K18">
        <v>0</v>
      </c>
      <c r="L18">
        <v>0</v>
      </c>
      <c r="M18" s="7">
        <f>Tabla14[[#This Row],[TARIFA]]+Tabla14[[#This Row],[IMPORTE EXTRAS]]</f>
        <v>280</v>
      </c>
    </row>
    <row r="19" spans="1:13" x14ac:dyDescent="0.2">
      <c r="A19">
        <v>2023</v>
      </c>
      <c r="B19" t="s">
        <v>48</v>
      </c>
      <c r="C19" s="3">
        <v>44952</v>
      </c>
      <c r="D19" s="3" t="s">
        <v>40</v>
      </c>
      <c r="E19" s="4">
        <v>0.89583333333333337</v>
      </c>
      <c r="F19" s="4">
        <v>0.10416666666666667</v>
      </c>
      <c r="G19" t="s">
        <v>35</v>
      </c>
      <c r="H19">
        <v>1</v>
      </c>
      <c r="I19">
        <v>180</v>
      </c>
      <c r="J19">
        <f>Tabla14[[#This Row],[TARIFA]]</f>
        <v>180</v>
      </c>
      <c r="K19">
        <v>0</v>
      </c>
      <c r="L19">
        <v>0</v>
      </c>
      <c r="M19" s="7">
        <f>Tabla14[[#This Row],[TARIFA]]+Tabla14[[#This Row],[IMPORTE EXTRAS]]</f>
        <v>180</v>
      </c>
    </row>
    <row r="20" spans="1:13" x14ac:dyDescent="0.2">
      <c r="A20">
        <v>2023</v>
      </c>
      <c r="B20" t="s">
        <v>48</v>
      </c>
      <c r="C20" s="3">
        <v>44953</v>
      </c>
      <c r="D20" s="3" t="s">
        <v>41</v>
      </c>
      <c r="E20" s="4">
        <v>0.64583333333333337</v>
      </c>
      <c r="F20" s="4">
        <v>0.85416666666666663</v>
      </c>
      <c r="G20" t="s">
        <v>31</v>
      </c>
      <c r="H20">
        <v>1</v>
      </c>
      <c r="I20">
        <v>140</v>
      </c>
      <c r="J20">
        <f>VLOOKUP(Tabla14[[#This Row],[TARIFA]],$P$2:$Q$5,2,0)</f>
        <v>140</v>
      </c>
      <c r="K20">
        <v>0</v>
      </c>
      <c r="L20">
        <v>0</v>
      </c>
      <c r="M20" s="7">
        <f>Tabla14[[#This Row],[TARIFA]]+Tabla14[[#This Row],[IMPORTE EXTRAS]]</f>
        <v>140</v>
      </c>
    </row>
    <row r="21" spans="1:13" x14ac:dyDescent="0.2">
      <c r="A21">
        <v>2023</v>
      </c>
      <c r="B21" t="s">
        <v>48</v>
      </c>
      <c r="C21" s="3">
        <v>44953</v>
      </c>
      <c r="D21" s="3" t="s">
        <v>41</v>
      </c>
      <c r="E21" s="4">
        <v>0.89583333333333337</v>
      </c>
      <c r="F21" s="4">
        <v>0.10416666666666667</v>
      </c>
      <c r="G21" t="s">
        <v>35</v>
      </c>
      <c r="H21">
        <v>1</v>
      </c>
      <c r="I21">
        <v>200</v>
      </c>
      <c r="J21">
        <f>VLOOKUP(Tabla14[[#This Row],[TARIFA]],$P$2:$Q$5,2,0)</f>
        <v>200</v>
      </c>
      <c r="K21">
        <v>1</v>
      </c>
      <c r="L21">
        <v>130</v>
      </c>
      <c r="M21" s="7">
        <f>Tabla14[[#This Row],[TARIFA]]+Tabla14[[#This Row],[IMPORTE EXTRAS]]</f>
        <v>330</v>
      </c>
    </row>
    <row r="22" spans="1:13" x14ac:dyDescent="0.2">
      <c r="A22">
        <v>2023</v>
      </c>
      <c r="B22" t="s">
        <v>48</v>
      </c>
      <c r="C22" s="3">
        <v>44954</v>
      </c>
      <c r="D22" s="3" t="s">
        <v>42</v>
      </c>
      <c r="E22" s="4">
        <v>0.64583333333333337</v>
      </c>
      <c r="F22" s="4">
        <v>0.10416666666666667</v>
      </c>
      <c r="G22" t="s">
        <v>53</v>
      </c>
      <c r="H22">
        <v>2</v>
      </c>
      <c r="I22">
        <v>320</v>
      </c>
      <c r="J22">
        <f>Tabla14[[#This Row],[TARIFA]]</f>
        <v>320</v>
      </c>
      <c r="K22">
        <v>1</v>
      </c>
      <c r="L22">
        <v>60</v>
      </c>
      <c r="M22" s="7">
        <f>Tabla14[[#This Row],[TARIFA]]+Tabla14[[#This Row],[IMPORTE EXTRAS]]</f>
        <v>380</v>
      </c>
    </row>
    <row r="23" spans="1:13" x14ac:dyDescent="0.2">
      <c r="A23">
        <v>2023</v>
      </c>
      <c r="B23" t="s">
        <v>48</v>
      </c>
      <c r="C23" s="3">
        <v>44955</v>
      </c>
      <c r="D23" s="3" t="s">
        <v>43</v>
      </c>
      <c r="E23" s="4">
        <v>0.64583333333333337</v>
      </c>
      <c r="F23" s="4">
        <v>0.85416666666666663</v>
      </c>
      <c r="G23" t="s">
        <v>31</v>
      </c>
      <c r="H23">
        <v>1</v>
      </c>
      <c r="I23">
        <v>150</v>
      </c>
      <c r="J23">
        <f>VLOOKUP(Tabla14[[#This Row],[TARIFA]],$P$2:$Q$5,2,0)</f>
        <v>150</v>
      </c>
      <c r="K23">
        <v>0</v>
      </c>
      <c r="L23">
        <v>0</v>
      </c>
      <c r="M23" s="7">
        <f>Tabla14[[#This Row],[TARIFA]]+Tabla14[[#This Row],[IMPORTE EXTRAS]]</f>
        <v>150</v>
      </c>
    </row>
    <row r="24" spans="1:13" x14ac:dyDescent="0.2">
      <c r="A24">
        <v>2023</v>
      </c>
      <c r="B24" t="s">
        <v>56</v>
      </c>
      <c r="C24" s="3">
        <v>44958</v>
      </c>
      <c r="D24" s="3" t="s">
        <v>39</v>
      </c>
      <c r="E24" s="4">
        <v>0.64583333333333337</v>
      </c>
      <c r="F24" s="4">
        <v>0.85416666666666663</v>
      </c>
      <c r="G24" t="s">
        <v>31</v>
      </c>
      <c r="H24">
        <v>1</v>
      </c>
      <c r="I24">
        <v>95</v>
      </c>
      <c r="J24">
        <f>VLOOKUP(Tabla14[[#This Row],[TARIFA]],$P$2:$Q$5,2,0)</f>
        <v>100</v>
      </c>
      <c r="K24">
        <v>0</v>
      </c>
      <c r="L24">
        <v>0</v>
      </c>
      <c r="M24" s="7">
        <f>Tabla14[[#This Row],[TARIFA]]+Tabla14[[#This Row],[IMPORTE EXTRAS]]</f>
        <v>95</v>
      </c>
    </row>
    <row r="25" spans="1:13" x14ac:dyDescent="0.2">
      <c r="A25">
        <v>2023</v>
      </c>
      <c r="B25" t="s">
        <v>56</v>
      </c>
      <c r="C25" s="3">
        <v>44959</v>
      </c>
      <c r="D25" s="3" t="s">
        <v>40</v>
      </c>
      <c r="E25" s="4">
        <v>0.64583333333333337</v>
      </c>
      <c r="F25" s="4">
        <v>0.85416666666666663</v>
      </c>
      <c r="G25" t="s">
        <v>31</v>
      </c>
      <c r="H25">
        <v>1</v>
      </c>
      <c r="I25">
        <v>95</v>
      </c>
      <c r="J25">
        <f>VLOOKUP(Tabla14[[#This Row],[TARIFA]],$P$2:$Q$5,2,0)</f>
        <v>100</v>
      </c>
      <c r="K25">
        <v>0</v>
      </c>
      <c r="L25">
        <v>0</v>
      </c>
      <c r="M25" s="7">
        <f>Tabla14[[#This Row],[TARIFA]]+Tabla14[[#This Row],[IMPORTE EXTRAS]]</f>
        <v>95</v>
      </c>
    </row>
    <row r="26" spans="1:13" x14ac:dyDescent="0.2">
      <c r="A26">
        <v>2023</v>
      </c>
      <c r="B26" t="s">
        <v>56</v>
      </c>
      <c r="C26" s="3">
        <v>44960</v>
      </c>
      <c r="D26" s="3" t="s">
        <v>41</v>
      </c>
      <c r="E26" s="4">
        <v>0.64583333333333337</v>
      </c>
      <c r="F26" s="4">
        <v>0.85416666666666663</v>
      </c>
      <c r="G26" t="s">
        <v>31</v>
      </c>
      <c r="H26">
        <v>1</v>
      </c>
      <c r="I26">
        <v>140</v>
      </c>
      <c r="J26">
        <f>VLOOKUP(Tabla14[[#This Row],[TARIFA]],$P$2:$Q$5,2,0)</f>
        <v>140</v>
      </c>
      <c r="K26">
        <v>0</v>
      </c>
      <c r="L26">
        <v>0</v>
      </c>
      <c r="M26" s="7">
        <f>Tabla14[[#This Row],[TARIFA]]+Tabla14[[#This Row],[IMPORTE EXTRAS]]</f>
        <v>140</v>
      </c>
    </row>
    <row r="27" spans="1:13" x14ac:dyDescent="0.2">
      <c r="A27">
        <v>2023</v>
      </c>
      <c r="B27" t="s">
        <v>56</v>
      </c>
      <c r="C27" s="3">
        <v>44960</v>
      </c>
      <c r="D27" s="3" t="s">
        <v>41</v>
      </c>
      <c r="E27" s="4">
        <v>0.89583333333333337</v>
      </c>
      <c r="F27" s="4">
        <v>0.10416666666666667</v>
      </c>
      <c r="G27" t="s">
        <v>35</v>
      </c>
      <c r="H27">
        <v>1</v>
      </c>
      <c r="I27">
        <v>200</v>
      </c>
      <c r="J27">
        <f>VLOOKUP(Tabla14[[#This Row],[TARIFA]],$P$2:$Q$5,2,0)</f>
        <v>200</v>
      </c>
      <c r="K27">
        <v>0</v>
      </c>
      <c r="L27">
        <v>0</v>
      </c>
      <c r="M27" s="7">
        <f>Tabla14[[#This Row],[TARIFA]]+Tabla14[[#This Row],[IMPORTE EXTRAS]]</f>
        <v>200</v>
      </c>
    </row>
    <row r="28" spans="1:13" x14ac:dyDescent="0.2">
      <c r="A28">
        <v>2023</v>
      </c>
      <c r="B28" t="s">
        <v>56</v>
      </c>
      <c r="C28" s="3">
        <v>44961</v>
      </c>
      <c r="D28" s="3" t="s">
        <v>42</v>
      </c>
      <c r="E28" s="4">
        <v>0.39583333333333331</v>
      </c>
      <c r="F28" s="4">
        <v>0.60416666666666663</v>
      </c>
      <c r="G28" t="s">
        <v>30</v>
      </c>
      <c r="H28">
        <v>1</v>
      </c>
      <c r="I28">
        <v>150</v>
      </c>
      <c r="J28">
        <f>VLOOKUP(Tabla14[[#This Row],[TARIFA]],$P$2:$Q$5,2,0)</f>
        <v>150</v>
      </c>
      <c r="K28">
        <v>0</v>
      </c>
      <c r="L28">
        <v>0</v>
      </c>
      <c r="M28" s="7">
        <f>Tabla14[[#This Row],[TARIFA]]+Tabla14[[#This Row],[IMPORTE EXTRAS]]</f>
        <v>150</v>
      </c>
    </row>
    <row r="29" spans="1:13" x14ac:dyDescent="0.2">
      <c r="A29">
        <v>2023</v>
      </c>
      <c r="B29" t="s">
        <v>56</v>
      </c>
      <c r="C29" s="3">
        <v>44961</v>
      </c>
      <c r="D29" s="3" t="s">
        <v>42</v>
      </c>
      <c r="E29" s="4">
        <v>0.64583333333333337</v>
      </c>
      <c r="F29" s="4">
        <v>0.85416666666666663</v>
      </c>
      <c r="G29" t="s">
        <v>31</v>
      </c>
      <c r="H29">
        <v>1</v>
      </c>
      <c r="I29">
        <v>150</v>
      </c>
      <c r="J29">
        <f>VLOOKUP(Tabla14[[#This Row],[TARIFA]],$P$2:$Q$5,2,0)</f>
        <v>150</v>
      </c>
      <c r="K29">
        <v>0</v>
      </c>
      <c r="L29">
        <v>0</v>
      </c>
      <c r="M29" s="7">
        <f>Tabla14[[#This Row],[TARIFA]]+Tabla14[[#This Row],[IMPORTE EXTRAS]]</f>
        <v>150</v>
      </c>
    </row>
    <row r="30" spans="1:13" x14ac:dyDescent="0.2">
      <c r="A30">
        <v>2023</v>
      </c>
      <c r="B30" t="s">
        <v>56</v>
      </c>
      <c r="C30" s="3">
        <v>44961</v>
      </c>
      <c r="D30" s="3" t="s">
        <v>42</v>
      </c>
      <c r="E30" s="4">
        <v>0.89583333333333337</v>
      </c>
      <c r="F30" s="4">
        <v>0.10416666666666667</v>
      </c>
      <c r="G30" t="s">
        <v>35</v>
      </c>
      <c r="H30">
        <v>1</v>
      </c>
      <c r="I30">
        <v>200</v>
      </c>
      <c r="J30">
        <f>VLOOKUP(Tabla14[[#This Row],[TARIFA]],$P$2:$Q$5,2,0)</f>
        <v>200</v>
      </c>
      <c r="K30">
        <v>0</v>
      </c>
      <c r="L30">
        <v>0</v>
      </c>
      <c r="M30" s="7">
        <f>Tabla14[[#This Row],[TARIFA]]+Tabla14[[#This Row],[IMPORTE EXTRAS]]</f>
        <v>200</v>
      </c>
    </row>
    <row r="31" spans="1:13" x14ac:dyDescent="0.2">
      <c r="A31">
        <v>2023</v>
      </c>
      <c r="B31" t="s">
        <v>56</v>
      </c>
      <c r="C31" s="3">
        <v>44962</v>
      </c>
      <c r="D31" s="3" t="s">
        <v>43</v>
      </c>
      <c r="E31" s="4">
        <v>0.64583333333333337</v>
      </c>
      <c r="F31" s="4">
        <v>0.85416666666666663</v>
      </c>
      <c r="G31" t="s">
        <v>31</v>
      </c>
      <c r="H31">
        <v>1</v>
      </c>
      <c r="I31">
        <v>150</v>
      </c>
      <c r="J31">
        <f>VLOOKUP(Tabla14[[#This Row],[TARIFA]],$P$2:$Q$5,2,0)</f>
        <v>150</v>
      </c>
      <c r="K31">
        <v>0</v>
      </c>
      <c r="L31">
        <v>0</v>
      </c>
      <c r="M31" s="7">
        <f>Tabla14[[#This Row],[TARIFA]]+Tabla14[[#This Row],[IMPORTE EXTRAS]]</f>
        <v>150</v>
      </c>
    </row>
    <row r="32" spans="1:13" x14ac:dyDescent="0.2">
      <c r="A32">
        <v>2023</v>
      </c>
      <c r="B32" t="s">
        <v>56</v>
      </c>
      <c r="C32" s="3">
        <v>44967</v>
      </c>
      <c r="D32" s="3" t="s">
        <v>41</v>
      </c>
      <c r="E32" s="4">
        <v>0.64583333333333337</v>
      </c>
      <c r="F32" s="4">
        <v>0.85416666666666663</v>
      </c>
      <c r="G32" t="s">
        <v>31</v>
      </c>
      <c r="H32">
        <v>1</v>
      </c>
      <c r="I32">
        <v>140</v>
      </c>
      <c r="J32">
        <f>VLOOKUP(Tabla14[[#This Row],[TARIFA]],$P$2:$Q$5,2,0)</f>
        <v>140</v>
      </c>
      <c r="K32">
        <v>0</v>
      </c>
      <c r="L32">
        <v>0</v>
      </c>
      <c r="M32" s="7">
        <f>Tabla14[[#This Row],[TARIFA]]+Tabla14[[#This Row],[IMPORTE EXTRAS]]</f>
        <v>140</v>
      </c>
    </row>
    <row r="33" spans="1:13" x14ac:dyDescent="0.2">
      <c r="A33">
        <v>2023</v>
      </c>
      <c r="B33" t="s">
        <v>56</v>
      </c>
      <c r="C33" s="3">
        <v>44967</v>
      </c>
      <c r="D33" s="3" t="s">
        <v>41</v>
      </c>
      <c r="E33" s="4">
        <v>0.89583333333333337</v>
      </c>
      <c r="F33" s="4">
        <v>0.10416666666666667</v>
      </c>
      <c r="G33" t="s">
        <v>35</v>
      </c>
      <c r="H33">
        <v>1</v>
      </c>
      <c r="I33">
        <v>200</v>
      </c>
      <c r="J33">
        <f>VLOOKUP(Tabla14[[#This Row],[TARIFA]],$P$2:$Q$5,2,0)</f>
        <v>200</v>
      </c>
      <c r="K33">
        <v>0</v>
      </c>
      <c r="L33">
        <v>0</v>
      </c>
      <c r="M33" s="7">
        <f>Tabla14[[#This Row],[TARIFA]]+Tabla14[[#This Row],[IMPORTE EXTRAS]]</f>
        <v>200</v>
      </c>
    </row>
    <row r="34" spans="1:13" x14ac:dyDescent="0.2">
      <c r="A34">
        <v>2023</v>
      </c>
      <c r="B34" t="s">
        <v>56</v>
      </c>
      <c r="C34" s="3">
        <v>44968</v>
      </c>
      <c r="D34" s="3" t="s">
        <v>42</v>
      </c>
      <c r="E34" s="4">
        <v>0.39583333333333331</v>
      </c>
      <c r="F34" s="4">
        <v>0.60416666666666663</v>
      </c>
      <c r="G34" t="s">
        <v>30</v>
      </c>
      <c r="H34">
        <v>1</v>
      </c>
      <c r="I34">
        <v>150</v>
      </c>
      <c r="J34">
        <f>VLOOKUP(Tabla14[[#This Row],[TARIFA]],$P$2:$Q$5,2,0)</f>
        <v>150</v>
      </c>
      <c r="K34">
        <v>0</v>
      </c>
      <c r="L34">
        <v>0</v>
      </c>
      <c r="M34" s="7">
        <f>Tabla14[[#This Row],[TARIFA]]+Tabla14[[#This Row],[IMPORTE EXTRAS]]</f>
        <v>150</v>
      </c>
    </row>
    <row r="35" spans="1:13" x14ac:dyDescent="0.2">
      <c r="A35">
        <v>2023</v>
      </c>
      <c r="B35" t="s">
        <v>56</v>
      </c>
      <c r="C35" s="3">
        <v>44968</v>
      </c>
      <c r="D35" s="3" t="s">
        <v>42</v>
      </c>
      <c r="E35" s="4">
        <v>0.64583333333333337</v>
      </c>
      <c r="F35" s="4">
        <v>0.85416666666666663</v>
      </c>
      <c r="G35" t="s">
        <v>31</v>
      </c>
      <c r="H35">
        <v>1</v>
      </c>
      <c r="I35">
        <v>150</v>
      </c>
      <c r="J35">
        <f>VLOOKUP(Tabla14[[#This Row],[TARIFA]],$P$2:$Q$5,2,0)</f>
        <v>150</v>
      </c>
      <c r="K35">
        <v>0</v>
      </c>
      <c r="L35">
        <v>0</v>
      </c>
      <c r="M35" s="7">
        <f>Tabla14[[#This Row],[TARIFA]]+Tabla14[[#This Row],[IMPORTE EXTRAS]]</f>
        <v>150</v>
      </c>
    </row>
    <row r="36" spans="1:13" x14ac:dyDescent="0.2">
      <c r="A36">
        <v>2023</v>
      </c>
      <c r="B36" t="s">
        <v>56</v>
      </c>
      <c r="C36" s="3">
        <v>44968</v>
      </c>
      <c r="D36" s="3" t="s">
        <v>42</v>
      </c>
      <c r="E36" s="4">
        <v>0.89583333333333337</v>
      </c>
      <c r="F36" s="4">
        <v>0.10416666666666667</v>
      </c>
      <c r="G36" t="s">
        <v>35</v>
      </c>
      <c r="H36">
        <v>1</v>
      </c>
      <c r="I36">
        <v>200</v>
      </c>
      <c r="J36">
        <f>VLOOKUP(Tabla14[[#This Row],[TARIFA]],$P$2:$Q$5,2,0)</f>
        <v>200</v>
      </c>
      <c r="K36">
        <v>1</v>
      </c>
      <c r="L36">
        <v>60</v>
      </c>
      <c r="M36" s="7">
        <f>Tabla14[[#This Row],[TARIFA]]+Tabla14[[#This Row],[IMPORTE EXTRAS]]</f>
        <v>260</v>
      </c>
    </row>
    <row r="37" spans="1:13" x14ac:dyDescent="0.2">
      <c r="A37">
        <v>2023</v>
      </c>
      <c r="B37" t="s">
        <v>56</v>
      </c>
      <c r="C37" s="3">
        <v>44969</v>
      </c>
      <c r="D37" s="3" t="s">
        <v>43</v>
      </c>
      <c r="E37" s="4">
        <v>0.39583333333333331</v>
      </c>
      <c r="F37" s="4">
        <v>0.60416666666666663</v>
      </c>
      <c r="G37" t="s">
        <v>30</v>
      </c>
      <c r="H37">
        <v>1</v>
      </c>
      <c r="I37">
        <v>150</v>
      </c>
      <c r="J37">
        <f>VLOOKUP(Tabla14[[#This Row],[TARIFA]],$P$2:$Q$5,2,0)</f>
        <v>150</v>
      </c>
      <c r="K37">
        <v>0</v>
      </c>
      <c r="L37">
        <v>0</v>
      </c>
      <c r="M37" s="7">
        <f>Tabla14[[#This Row],[TARIFA]]+Tabla14[[#This Row],[IMPORTE EXTRAS]]</f>
        <v>150</v>
      </c>
    </row>
    <row r="38" spans="1:13" x14ac:dyDescent="0.2">
      <c r="A38">
        <v>2023</v>
      </c>
      <c r="B38" t="s">
        <v>56</v>
      </c>
      <c r="C38" s="3">
        <v>44969</v>
      </c>
      <c r="D38" s="3" t="s">
        <v>43</v>
      </c>
      <c r="E38" s="4">
        <v>0.64583333333333337</v>
      </c>
      <c r="F38" s="4">
        <v>0.85416666666666663</v>
      </c>
      <c r="G38" t="s">
        <v>31</v>
      </c>
      <c r="H38">
        <v>1</v>
      </c>
      <c r="I38">
        <v>150</v>
      </c>
      <c r="J38">
        <f>VLOOKUP(Tabla14[[#This Row],[TARIFA]],$P$2:$Q$5,2,0)</f>
        <v>150</v>
      </c>
      <c r="K38">
        <v>0</v>
      </c>
      <c r="L38">
        <v>0</v>
      </c>
      <c r="M38" s="7">
        <f>Tabla14[[#This Row],[TARIFA]]+Tabla14[[#This Row],[IMPORTE EXTRAS]]</f>
        <v>150</v>
      </c>
    </row>
    <row r="39" spans="1:13" x14ac:dyDescent="0.2">
      <c r="A39">
        <v>2023</v>
      </c>
      <c r="B39" t="s">
        <v>56</v>
      </c>
      <c r="C39" s="3">
        <v>44974</v>
      </c>
      <c r="D39" s="3" t="s">
        <v>41</v>
      </c>
      <c r="E39" s="4">
        <v>0.89583333333333337</v>
      </c>
      <c r="F39" s="4">
        <v>0.10416666666666667</v>
      </c>
      <c r="G39" t="s">
        <v>35</v>
      </c>
      <c r="H39">
        <v>1</v>
      </c>
      <c r="I39">
        <v>200</v>
      </c>
      <c r="J39">
        <f>VLOOKUP(Tabla14[[#This Row],[TARIFA]],$P$2:$Q$5,2,0)</f>
        <v>200</v>
      </c>
      <c r="K39">
        <v>0</v>
      </c>
      <c r="L39">
        <v>0</v>
      </c>
      <c r="M39" s="7">
        <f>Tabla14[[#This Row],[TARIFA]]+Tabla14[[#This Row],[IMPORTE EXTRAS]]</f>
        <v>200</v>
      </c>
    </row>
    <row r="40" spans="1:13" x14ac:dyDescent="0.2">
      <c r="A40">
        <v>2023</v>
      </c>
      <c r="B40" t="s">
        <v>56</v>
      </c>
      <c r="C40" s="3">
        <v>44975</v>
      </c>
      <c r="D40" s="3" t="s">
        <v>42</v>
      </c>
      <c r="E40" s="4">
        <v>0.39583333333333331</v>
      </c>
      <c r="F40" s="4">
        <v>0.60416666666666663</v>
      </c>
      <c r="G40" t="s">
        <v>30</v>
      </c>
      <c r="H40">
        <v>1</v>
      </c>
      <c r="I40">
        <v>150</v>
      </c>
      <c r="J40">
        <f>VLOOKUP(Tabla14[[#This Row],[TARIFA]],$P$2:$Q$5,2,0)</f>
        <v>150</v>
      </c>
      <c r="K40">
        <v>0</v>
      </c>
      <c r="L40">
        <v>0</v>
      </c>
      <c r="M40" s="7">
        <f>Tabla14[[#This Row],[TARIFA]]+Tabla14[[#This Row],[IMPORTE EXTRAS]]</f>
        <v>150</v>
      </c>
    </row>
    <row r="41" spans="1:13" x14ac:dyDescent="0.2">
      <c r="A41">
        <v>2023</v>
      </c>
      <c r="B41" t="s">
        <v>56</v>
      </c>
      <c r="C41" s="3">
        <v>44975</v>
      </c>
      <c r="D41" s="3" t="s">
        <v>42</v>
      </c>
      <c r="E41" s="4">
        <v>0.64583333333333337</v>
      </c>
      <c r="F41" s="4">
        <v>0.85416666666666663</v>
      </c>
      <c r="G41" t="s">
        <v>31</v>
      </c>
      <c r="H41">
        <v>1</v>
      </c>
      <c r="I41">
        <v>150</v>
      </c>
      <c r="J41">
        <f>VLOOKUP(Tabla14[[#This Row],[TARIFA]],$P$2:$Q$5,2,0)</f>
        <v>150</v>
      </c>
      <c r="K41">
        <v>0</v>
      </c>
      <c r="L41">
        <v>0</v>
      </c>
      <c r="M41" s="7">
        <f>Tabla14[[#This Row],[TARIFA]]+Tabla14[[#This Row],[IMPORTE EXTRAS]]</f>
        <v>150</v>
      </c>
    </row>
    <row r="42" spans="1:13" x14ac:dyDescent="0.2">
      <c r="A42">
        <v>2023</v>
      </c>
      <c r="B42" t="s">
        <v>56</v>
      </c>
      <c r="C42" s="3">
        <v>44975</v>
      </c>
      <c r="D42" s="3" t="s">
        <v>42</v>
      </c>
      <c r="E42" s="4">
        <v>0.89583333333333337</v>
      </c>
      <c r="F42" s="4">
        <v>0.10416666666666667</v>
      </c>
      <c r="G42" t="s">
        <v>35</v>
      </c>
      <c r="H42">
        <v>1</v>
      </c>
      <c r="I42">
        <v>200</v>
      </c>
      <c r="J42">
        <f>VLOOKUP(Tabla14[[#This Row],[TARIFA]],$P$2:$Q$5,2,0)</f>
        <v>200</v>
      </c>
      <c r="K42">
        <v>0</v>
      </c>
      <c r="L42">
        <v>0</v>
      </c>
      <c r="M42" s="7">
        <f>Tabla14[[#This Row],[TARIFA]]+Tabla14[[#This Row],[IMPORTE EXTRAS]]</f>
        <v>200</v>
      </c>
    </row>
    <row r="43" spans="1:13" x14ac:dyDescent="0.2">
      <c r="A43">
        <v>2023</v>
      </c>
      <c r="B43" t="s">
        <v>56</v>
      </c>
      <c r="C43" s="3">
        <v>44976</v>
      </c>
      <c r="D43" s="3" t="s">
        <v>43</v>
      </c>
      <c r="E43" s="4">
        <v>0.39583333333333331</v>
      </c>
      <c r="F43" s="4">
        <v>0.85416666666666663</v>
      </c>
      <c r="G43" t="s">
        <v>32</v>
      </c>
      <c r="H43">
        <v>3</v>
      </c>
      <c r="I43">
        <v>290</v>
      </c>
      <c r="J43">
        <f>Tabla14[[#This Row],[TARIFA]]</f>
        <v>290</v>
      </c>
      <c r="K43">
        <v>1</v>
      </c>
      <c r="L43">
        <v>210</v>
      </c>
      <c r="M43" s="7">
        <f>Tabla14[[#This Row],[TARIFA]]+Tabla14[[#This Row],[IMPORTE EXTRAS]]</f>
        <v>500</v>
      </c>
    </row>
    <row r="44" spans="1:13" x14ac:dyDescent="0.2">
      <c r="A44">
        <v>2023</v>
      </c>
      <c r="B44" t="s">
        <v>56</v>
      </c>
      <c r="C44" s="3">
        <v>44977</v>
      </c>
      <c r="D44" s="3" t="s">
        <v>37</v>
      </c>
      <c r="E44" s="4">
        <v>0.64583333333333337</v>
      </c>
      <c r="F44" s="4">
        <v>0.85416666666666663</v>
      </c>
      <c r="G44" t="s">
        <v>31</v>
      </c>
      <c r="H44">
        <v>1</v>
      </c>
      <c r="I44">
        <v>95</v>
      </c>
      <c r="J44">
        <f>VLOOKUP(Tabla14[[#This Row],[TARIFA]],$P$2:$Q$5,2,0)</f>
        <v>100</v>
      </c>
      <c r="K44">
        <v>0</v>
      </c>
      <c r="L44">
        <v>0</v>
      </c>
      <c r="M44" s="7">
        <f>Tabla14[[#This Row],[TARIFA]]+Tabla14[[#This Row],[IMPORTE EXTRAS]]</f>
        <v>95</v>
      </c>
    </row>
    <row r="45" spans="1:13" x14ac:dyDescent="0.2">
      <c r="A45">
        <v>2023</v>
      </c>
      <c r="B45" t="s">
        <v>56</v>
      </c>
      <c r="C45" s="3">
        <v>44979</v>
      </c>
      <c r="D45" s="3" t="s">
        <v>39</v>
      </c>
      <c r="E45" s="4">
        <v>0.64583333333333337</v>
      </c>
      <c r="F45" s="4">
        <v>0.85416666666666663</v>
      </c>
      <c r="G45" t="s">
        <v>31</v>
      </c>
      <c r="H45">
        <v>1</v>
      </c>
      <c r="I45">
        <v>95</v>
      </c>
      <c r="J45">
        <f>VLOOKUP(Tabla14[[#This Row],[TARIFA]],$P$2:$Q$5,2,0)</f>
        <v>100</v>
      </c>
      <c r="K45">
        <v>0</v>
      </c>
      <c r="L45">
        <v>0</v>
      </c>
      <c r="M45" s="7">
        <f>Tabla14[[#This Row],[TARIFA]]+Tabla14[[#This Row],[IMPORTE EXTRAS]]</f>
        <v>95</v>
      </c>
    </row>
    <row r="46" spans="1:13" x14ac:dyDescent="0.2">
      <c r="A46">
        <v>2023</v>
      </c>
      <c r="B46" t="s">
        <v>56</v>
      </c>
      <c r="C46" s="3">
        <v>44981</v>
      </c>
      <c r="D46" s="3" t="s">
        <v>41</v>
      </c>
      <c r="E46" s="4">
        <v>0.89583333333333337</v>
      </c>
      <c r="F46" s="4">
        <v>0.10416666666666667</v>
      </c>
      <c r="G46" t="s">
        <v>35</v>
      </c>
      <c r="H46">
        <v>1</v>
      </c>
      <c r="I46">
        <v>200</v>
      </c>
      <c r="J46">
        <f>VLOOKUP(Tabla14[[#This Row],[TARIFA]],$P$2:$Q$5,2,0)</f>
        <v>200</v>
      </c>
      <c r="K46">
        <v>1</v>
      </c>
      <c r="L46">
        <v>60</v>
      </c>
      <c r="M46" s="7">
        <f>Tabla14[[#This Row],[TARIFA]]+Tabla14[[#This Row],[IMPORTE EXTRAS]]</f>
        <v>260</v>
      </c>
    </row>
    <row r="47" spans="1:13" x14ac:dyDescent="0.2">
      <c r="A47">
        <v>2023</v>
      </c>
      <c r="B47" t="s">
        <v>56</v>
      </c>
      <c r="C47" s="3">
        <v>44982</v>
      </c>
      <c r="D47" s="3" t="s">
        <v>42</v>
      </c>
      <c r="E47" s="4">
        <v>0.64583333333333337</v>
      </c>
      <c r="F47" s="4">
        <v>0.85416666666666663</v>
      </c>
      <c r="G47" t="s">
        <v>31</v>
      </c>
      <c r="H47">
        <v>1</v>
      </c>
      <c r="I47">
        <v>150</v>
      </c>
      <c r="J47">
        <f>VLOOKUP(Tabla14[[#This Row],[TARIFA]],$P$2:$Q$5,2,0)</f>
        <v>150</v>
      </c>
      <c r="K47">
        <v>0</v>
      </c>
      <c r="L47">
        <v>0</v>
      </c>
      <c r="M47" s="7">
        <f>Tabla14[[#This Row],[TARIFA]]+Tabla14[[#This Row],[IMPORTE EXTRAS]]</f>
        <v>150</v>
      </c>
    </row>
    <row r="48" spans="1:13" x14ac:dyDescent="0.2">
      <c r="A48">
        <v>2023</v>
      </c>
      <c r="B48" t="s">
        <v>56</v>
      </c>
      <c r="C48" s="3">
        <v>44982</v>
      </c>
      <c r="D48" s="3" t="s">
        <v>42</v>
      </c>
      <c r="E48" s="4">
        <v>0.89583333333333337</v>
      </c>
      <c r="F48" s="4">
        <v>0.10416666666666667</v>
      </c>
      <c r="G48" t="s">
        <v>35</v>
      </c>
      <c r="H48">
        <v>1</v>
      </c>
      <c r="I48">
        <v>200</v>
      </c>
      <c r="J48">
        <f>VLOOKUP(Tabla14[[#This Row],[TARIFA]],$P$2:$Q$5,2,0)</f>
        <v>200</v>
      </c>
      <c r="K48">
        <v>0</v>
      </c>
      <c r="L48">
        <v>0</v>
      </c>
      <c r="M48" s="7">
        <f>Tabla14[[#This Row],[TARIFA]]+Tabla14[[#This Row],[IMPORTE EXTRAS]]</f>
        <v>200</v>
      </c>
    </row>
    <row r="49" spans="1:13" x14ac:dyDescent="0.2">
      <c r="A49">
        <v>2023</v>
      </c>
      <c r="B49" t="s">
        <v>56</v>
      </c>
      <c r="C49" s="3">
        <v>44983</v>
      </c>
      <c r="D49" s="3" t="s">
        <v>43</v>
      </c>
      <c r="E49" s="4">
        <v>0.39583333333333331</v>
      </c>
      <c r="F49" s="4">
        <v>0.60416666666666663</v>
      </c>
      <c r="G49" t="s">
        <v>30</v>
      </c>
      <c r="H49">
        <v>1</v>
      </c>
      <c r="I49">
        <v>150</v>
      </c>
      <c r="J49">
        <f>VLOOKUP(Tabla14[[#This Row],[TARIFA]],$P$2:$Q$5,2,0)</f>
        <v>150</v>
      </c>
      <c r="K49">
        <v>0</v>
      </c>
      <c r="L49">
        <v>0</v>
      </c>
      <c r="M49" s="7">
        <f>Tabla14[[#This Row],[TARIFA]]+Tabla14[[#This Row],[IMPORTE EXTRAS]]</f>
        <v>150</v>
      </c>
    </row>
    <row r="50" spans="1:13" x14ac:dyDescent="0.2">
      <c r="A50">
        <v>2023</v>
      </c>
      <c r="B50" t="s">
        <v>56</v>
      </c>
      <c r="C50" s="3">
        <v>44983</v>
      </c>
      <c r="D50" s="3" t="s">
        <v>43</v>
      </c>
      <c r="E50" s="4">
        <v>0.64583333333333337</v>
      </c>
      <c r="F50" s="4">
        <v>0.85416666666666663</v>
      </c>
      <c r="G50" t="s">
        <v>31</v>
      </c>
      <c r="H50">
        <v>1</v>
      </c>
      <c r="I50">
        <v>150</v>
      </c>
      <c r="J50">
        <f>VLOOKUP(Tabla14[[#This Row],[TARIFA]],$P$2:$Q$5,2,0)</f>
        <v>150</v>
      </c>
      <c r="K50">
        <v>0</v>
      </c>
      <c r="L50">
        <v>0</v>
      </c>
      <c r="M50" s="7">
        <f>Tabla14[[#This Row],[TARIFA]]+Tabla14[[#This Row],[IMPORTE EXTRAS]]</f>
        <v>150</v>
      </c>
    </row>
    <row r="51" spans="1:13" x14ac:dyDescent="0.2">
      <c r="A51">
        <v>2023</v>
      </c>
      <c r="B51" t="s">
        <v>57</v>
      </c>
      <c r="C51" s="3">
        <v>44989</v>
      </c>
      <c r="D51" s="3" t="s">
        <v>42</v>
      </c>
      <c r="E51" s="4">
        <v>0.39583333333333331</v>
      </c>
      <c r="F51" s="4">
        <v>0.60416666666666663</v>
      </c>
      <c r="G51" t="s">
        <v>30</v>
      </c>
      <c r="H51">
        <v>1</v>
      </c>
      <c r="I51">
        <v>150</v>
      </c>
      <c r="J51">
        <f>VLOOKUP(Tabla14[[#This Row],[TARIFA]],$P$2:$Q$5,2,0)</f>
        <v>150</v>
      </c>
      <c r="K51">
        <v>0</v>
      </c>
      <c r="L51">
        <v>0</v>
      </c>
      <c r="M51" s="7">
        <f>Tabla14[[#This Row],[TARIFA]]+Tabla14[[#This Row],[IMPORTE EXTRAS]]</f>
        <v>150</v>
      </c>
    </row>
    <row r="52" spans="1:13" x14ac:dyDescent="0.2">
      <c r="A52">
        <v>2023</v>
      </c>
      <c r="B52" t="s">
        <v>57</v>
      </c>
      <c r="C52" s="3">
        <v>44989</v>
      </c>
      <c r="D52" s="3" t="s">
        <v>42</v>
      </c>
      <c r="E52" s="4">
        <v>0.64583333333333337</v>
      </c>
      <c r="F52" s="4">
        <v>0.85416666666666663</v>
      </c>
      <c r="G52" t="s">
        <v>31</v>
      </c>
      <c r="H52">
        <v>1</v>
      </c>
      <c r="I52">
        <v>150</v>
      </c>
      <c r="J52">
        <f>VLOOKUP(Tabla14[[#This Row],[TARIFA]],$P$2:$Q$5,2,0)</f>
        <v>150</v>
      </c>
      <c r="K52">
        <v>0</v>
      </c>
      <c r="L52">
        <v>0</v>
      </c>
      <c r="M52" s="7">
        <f>Tabla14[[#This Row],[TARIFA]]+Tabla14[[#This Row],[IMPORTE EXTRAS]]</f>
        <v>150</v>
      </c>
    </row>
    <row r="53" spans="1:13" x14ac:dyDescent="0.2">
      <c r="A53">
        <v>2023</v>
      </c>
      <c r="B53" t="s">
        <v>57</v>
      </c>
      <c r="C53" s="3">
        <v>44989</v>
      </c>
      <c r="D53" s="3" t="s">
        <v>42</v>
      </c>
      <c r="E53" s="4">
        <v>0.89583333333333337</v>
      </c>
      <c r="F53" s="4">
        <v>0.10416666666666667</v>
      </c>
      <c r="G53" t="s">
        <v>35</v>
      </c>
      <c r="H53">
        <v>1</v>
      </c>
      <c r="I53">
        <v>200</v>
      </c>
      <c r="J53">
        <f>VLOOKUP(Tabla14[[#This Row],[TARIFA]],$P$2:$Q$5,2,0)</f>
        <v>200</v>
      </c>
      <c r="K53">
        <v>1</v>
      </c>
      <c r="L53">
        <v>60</v>
      </c>
      <c r="M53" s="7">
        <f>Tabla14[[#This Row],[TARIFA]]+Tabla14[[#This Row],[IMPORTE EXTRAS]]</f>
        <v>260</v>
      </c>
    </row>
    <row r="54" spans="1:13" x14ac:dyDescent="0.2">
      <c r="A54">
        <v>2023</v>
      </c>
      <c r="B54" t="s">
        <v>57</v>
      </c>
      <c r="C54" s="3">
        <v>44995</v>
      </c>
      <c r="D54" s="3" t="s">
        <v>41</v>
      </c>
      <c r="E54" s="4">
        <v>0.64583333333333337</v>
      </c>
      <c r="F54" s="4">
        <v>0.85416666666666663</v>
      </c>
      <c r="G54" t="s">
        <v>31</v>
      </c>
      <c r="H54">
        <v>1</v>
      </c>
      <c r="I54">
        <v>140</v>
      </c>
      <c r="J54">
        <f>VLOOKUP(Tabla14[[#This Row],[TARIFA]],$P$2:$Q$5,2,0)</f>
        <v>140</v>
      </c>
      <c r="K54">
        <v>0</v>
      </c>
      <c r="L54">
        <v>0</v>
      </c>
      <c r="M54" s="7">
        <f>Tabla14[[#This Row],[TARIFA]]+Tabla14[[#This Row],[IMPORTE EXTRAS]]</f>
        <v>140</v>
      </c>
    </row>
    <row r="55" spans="1:13" x14ac:dyDescent="0.2">
      <c r="A55">
        <v>2023</v>
      </c>
      <c r="B55" t="s">
        <v>57</v>
      </c>
      <c r="C55" s="3">
        <v>44995</v>
      </c>
      <c r="D55" s="3" t="s">
        <v>41</v>
      </c>
      <c r="E55" s="4">
        <v>0.89583333333333337</v>
      </c>
      <c r="F55" s="4">
        <v>0.10416666666666667</v>
      </c>
      <c r="G55" t="s">
        <v>35</v>
      </c>
      <c r="H55">
        <v>1</v>
      </c>
      <c r="I55">
        <v>200</v>
      </c>
      <c r="J55">
        <f>VLOOKUP(Tabla14[[#This Row],[TARIFA]],$P$2:$Q$5,2,0)</f>
        <v>200</v>
      </c>
      <c r="K55">
        <v>0</v>
      </c>
      <c r="L55">
        <v>0</v>
      </c>
      <c r="M55" s="7">
        <f>Tabla14[[#This Row],[TARIFA]]+Tabla14[[#This Row],[IMPORTE EXTRAS]]</f>
        <v>200</v>
      </c>
    </row>
    <row r="56" spans="1:13" x14ac:dyDescent="0.2">
      <c r="A56">
        <v>2023</v>
      </c>
      <c r="B56" t="s">
        <v>57</v>
      </c>
      <c r="C56" s="3">
        <v>44996</v>
      </c>
      <c r="D56" s="3" t="s">
        <v>42</v>
      </c>
      <c r="E56" s="4">
        <v>0.39583333333333331</v>
      </c>
      <c r="F56" s="4">
        <v>0.60416666666666663</v>
      </c>
      <c r="G56" t="s">
        <v>30</v>
      </c>
      <c r="H56">
        <v>1</v>
      </c>
      <c r="I56">
        <v>150</v>
      </c>
      <c r="J56">
        <f>VLOOKUP(Tabla14[[#This Row],[TARIFA]],$P$2:$Q$5,2,0)</f>
        <v>150</v>
      </c>
      <c r="K56">
        <v>0</v>
      </c>
      <c r="L56">
        <v>0</v>
      </c>
      <c r="M56" s="7">
        <f>Tabla14[[#This Row],[TARIFA]]+Tabla14[[#This Row],[IMPORTE EXTRAS]]</f>
        <v>150</v>
      </c>
    </row>
    <row r="57" spans="1:13" x14ac:dyDescent="0.2">
      <c r="A57">
        <v>2023</v>
      </c>
      <c r="B57" t="s">
        <v>57</v>
      </c>
      <c r="C57" s="3">
        <v>44996</v>
      </c>
      <c r="D57" s="3" t="s">
        <v>42</v>
      </c>
      <c r="E57" s="4">
        <v>0.64583333333333337</v>
      </c>
      <c r="F57" s="4">
        <v>0.85416666666666663</v>
      </c>
      <c r="G57" t="s">
        <v>31</v>
      </c>
      <c r="H57">
        <v>1</v>
      </c>
      <c r="I57">
        <v>150</v>
      </c>
      <c r="J57">
        <f>VLOOKUP(Tabla14[[#This Row],[TARIFA]],$P$2:$Q$5,2,0)</f>
        <v>150</v>
      </c>
      <c r="K57">
        <v>0</v>
      </c>
      <c r="L57">
        <v>0</v>
      </c>
      <c r="M57" s="7">
        <f>Tabla14[[#This Row],[TARIFA]]+Tabla14[[#This Row],[IMPORTE EXTRAS]]</f>
        <v>150</v>
      </c>
    </row>
    <row r="58" spans="1:13" x14ac:dyDescent="0.2">
      <c r="A58">
        <v>2023</v>
      </c>
      <c r="B58" t="s">
        <v>57</v>
      </c>
      <c r="C58" s="3">
        <v>44996</v>
      </c>
      <c r="D58" s="3" t="s">
        <v>42</v>
      </c>
      <c r="E58" s="4">
        <v>0.89583333333333337</v>
      </c>
      <c r="F58" s="4">
        <v>0.10416666666666667</v>
      </c>
      <c r="G58" t="s">
        <v>35</v>
      </c>
      <c r="H58">
        <v>1</v>
      </c>
      <c r="I58">
        <v>200</v>
      </c>
      <c r="J58">
        <f>VLOOKUP(Tabla14[[#This Row],[TARIFA]],$P$2:$Q$5,2,0)</f>
        <v>200</v>
      </c>
      <c r="K58">
        <v>1</v>
      </c>
      <c r="L58">
        <v>60</v>
      </c>
      <c r="M58" s="7">
        <f>Tabla14[[#This Row],[TARIFA]]+Tabla14[[#This Row],[IMPORTE EXTRAS]]</f>
        <v>260</v>
      </c>
    </row>
    <row r="59" spans="1:13" x14ac:dyDescent="0.2">
      <c r="A59">
        <v>2023</v>
      </c>
      <c r="B59" t="s">
        <v>57</v>
      </c>
      <c r="C59" s="3">
        <v>44997</v>
      </c>
      <c r="D59" s="3" t="s">
        <v>43</v>
      </c>
      <c r="E59" s="4">
        <v>0.39583333333333331</v>
      </c>
      <c r="F59" s="4">
        <v>0.60416666666666663</v>
      </c>
      <c r="G59" t="s">
        <v>30</v>
      </c>
      <c r="H59">
        <v>1</v>
      </c>
      <c r="I59">
        <v>150</v>
      </c>
      <c r="J59">
        <f>VLOOKUP(Tabla14[[#This Row],[TARIFA]],$P$2:$Q$5,2,0)</f>
        <v>150</v>
      </c>
      <c r="K59">
        <v>0</v>
      </c>
      <c r="L59">
        <v>0</v>
      </c>
      <c r="M59" s="7">
        <f>Tabla14[[#This Row],[TARIFA]]+Tabla14[[#This Row],[IMPORTE EXTRAS]]</f>
        <v>150</v>
      </c>
    </row>
    <row r="60" spans="1:13" x14ac:dyDescent="0.2">
      <c r="A60">
        <v>2023</v>
      </c>
      <c r="B60" t="s">
        <v>57</v>
      </c>
      <c r="C60" s="3">
        <v>44997</v>
      </c>
      <c r="D60" s="3" t="s">
        <v>43</v>
      </c>
      <c r="E60" s="4">
        <v>0.64583333333333337</v>
      </c>
      <c r="F60" s="4">
        <v>0.85416666666666663</v>
      </c>
      <c r="G60" t="s">
        <v>31</v>
      </c>
      <c r="H60">
        <v>1</v>
      </c>
      <c r="I60">
        <v>150</v>
      </c>
      <c r="J60">
        <f>VLOOKUP(Tabla14[[#This Row],[TARIFA]],$P$2:$Q$5,2,0)</f>
        <v>150</v>
      </c>
      <c r="K60">
        <v>0</v>
      </c>
      <c r="L60">
        <v>0</v>
      </c>
      <c r="M60" s="7">
        <f>Tabla14[[#This Row],[TARIFA]]+Tabla14[[#This Row],[IMPORTE EXTRAS]]</f>
        <v>150</v>
      </c>
    </row>
    <row r="61" spans="1:13" x14ac:dyDescent="0.2">
      <c r="A61">
        <v>2023</v>
      </c>
      <c r="B61" t="s">
        <v>57</v>
      </c>
      <c r="C61" s="3">
        <v>45002</v>
      </c>
      <c r="D61" s="3" t="s">
        <v>41</v>
      </c>
      <c r="E61" s="4">
        <v>0.64583333333333337</v>
      </c>
      <c r="F61" s="4">
        <v>0.85416666666666663</v>
      </c>
      <c r="G61" t="s">
        <v>31</v>
      </c>
      <c r="H61">
        <v>1</v>
      </c>
      <c r="I61">
        <v>140</v>
      </c>
      <c r="J61">
        <f>VLOOKUP(Tabla14[[#This Row],[TARIFA]],$P$2:$Q$5,2,0)</f>
        <v>140</v>
      </c>
      <c r="K61">
        <v>0</v>
      </c>
      <c r="L61">
        <v>0</v>
      </c>
      <c r="M61" s="7">
        <f>Tabla14[[#This Row],[TARIFA]]+Tabla14[[#This Row],[IMPORTE EXTRAS]]</f>
        <v>140</v>
      </c>
    </row>
    <row r="62" spans="1:13" x14ac:dyDescent="0.2">
      <c r="A62">
        <v>2023</v>
      </c>
      <c r="B62" t="s">
        <v>57</v>
      </c>
      <c r="C62" s="3">
        <v>45003</v>
      </c>
      <c r="D62" s="3" t="s">
        <v>42</v>
      </c>
      <c r="E62" s="4">
        <v>0.39583333333333331</v>
      </c>
      <c r="F62" s="4">
        <v>0.60416666666666663</v>
      </c>
      <c r="G62" t="s">
        <v>30</v>
      </c>
      <c r="H62">
        <v>1</v>
      </c>
      <c r="I62">
        <v>150</v>
      </c>
      <c r="J62">
        <f>VLOOKUP(Tabla14[[#This Row],[TARIFA]],$P$2:$Q$5,2,0)</f>
        <v>150</v>
      </c>
      <c r="K62">
        <v>0</v>
      </c>
      <c r="L62">
        <v>0</v>
      </c>
      <c r="M62" s="7">
        <f>Tabla14[[#This Row],[TARIFA]]+Tabla14[[#This Row],[IMPORTE EXTRAS]]</f>
        <v>150</v>
      </c>
    </row>
    <row r="63" spans="1:13" x14ac:dyDescent="0.2">
      <c r="A63">
        <v>2023</v>
      </c>
      <c r="B63" t="s">
        <v>57</v>
      </c>
      <c r="C63" s="3">
        <v>45003</v>
      </c>
      <c r="D63" s="3" t="s">
        <v>42</v>
      </c>
      <c r="E63" s="4">
        <v>0.64583333333333337</v>
      </c>
      <c r="F63" s="4">
        <v>0.85416666666666663</v>
      </c>
      <c r="G63" t="s">
        <v>31</v>
      </c>
      <c r="H63">
        <v>1</v>
      </c>
      <c r="I63">
        <v>150</v>
      </c>
      <c r="J63">
        <f>VLOOKUP(Tabla14[[#This Row],[TARIFA]],$P$2:$Q$5,2,0)</f>
        <v>150</v>
      </c>
      <c r="K63">
        <v>0</v>
      </c>
      <c r="L63">
        <v>0</v>
      </c>
      <c r="M63" s="7">
        <f>Tabla14[[#This Row],[TARIFA]]+Tabla14[[#This Row],[IMPORTE EXTRAS]]</f>
        <v>150</v>
      </c>
    </row>
    <row r="64" spans="1:13" x14ac:dyDescent="0.2">
      <c r="A64">
        <v>2023</v>
      </c>
      <c r="B64" t="s">
        <v>57</v>
      </c>
      <c r="C64" s="3">
        <v>45003</v>
      </c>
      <c r="D64" s="3" t="s">
        <v>42</v>
      </c>
      <c r="E64" s="4">
        <v>0.89583333333333337</v>
      </c>
      <c r="F64" s="4">
        <v>0.10416666666666667</v>
      </c>
      <c r="G64" t="s">
        <v>35</v>
      </c>
      <c r="H64">
        <v>1</v>
      </c>
      <c r="I64">
        <v>200</v>
      </c>
      <c r="J64">
        <f>VLOOKUP(Tabla14[[#This Row],[TARIFA]],$P$2:$Q$5,2,0)</f>
        <v>200</v>
      </c>
      <c r="K64">
        <v>1</v>
      </c>
      <c r="L64">
        <v>60</v>
      </c>
      <c r="M64" s="7">
        <f>Tabla14[[#This Row],[TARIFA]]+Tabla14[[#This Row],[IMPORTE EXTRAS]]</f>
        <v>260</v>
      </c>
    </row>
    <row r="65" spans="1:13" x14ac:dyDescent="0.2">
      <c r="A65">
        <v>2023</v>
      </c>
      <c r="B65" t="s">
        <v>57</v>
      </c>
      <c r="C65" s="3">
        <v>45004</v>
      </c>
      <c r="D65" s="3" t="s">
        <v>43</v>
      </c>
      <c r="E65" s="4">
        <v>0.39583333333333331</v>
      </c>
      <c r="F65" s="4">
        <v>0.60416666666666663</v>
      </c>
      <c r="G65" t="s">
        <v>30</v>
      </c>
      <c r="H65">
        <v>1</v>
      </c>
      <c r="I65">
        <v>150</v>
      </c>
      <c r="J65">
        <f>VLOOKUP(Tabla14[[#This Row],[TARIFA]],$P$2:$Q$5,2,0)</f>
        <v>150</v>
      </c>
      <c r="K65">
        <v>0</v>
      </c>
      <c r="L65">
        <v>0</v>
      </c>
      <c r="M65" s="7">
        <f>Tabla14[[#This Row],[TARIFA]]+Tabla14[[#This Row],[IMPORTE EXTRAS]]</f>
        <v>150</v>
      </c>
    </row>
    <row r="66" spans="1:13" x14ac:dyDescent="0.2">
      <c r="A66">
        <v>2023</v>
      </c>
      <c r="B66" t="s">
        <v>57</v>
      </c>
      <c r="C66" s="3">
        <v>45004</v>
      </c>
      <c r="D66" s="3" t="s">
        <v>43</v>
      </c>
      <c r="E66" s="4">
        <v>0.64583333333333337</v>
      </c>
      <c r="F66" s="4">
        <v>0.85416666666666663</v>
      </c>
      <c r="G66" t="s">
        <v>31</v>
      </c>
      <c r="H66">
        <v>1</v>
      </c>
      <c r="I66">
        <v>150</v>
      </c>
      <c r="J66">
        <f>VLOOKUP(Tabla14[[#This Row],[TARIFA]],$P$2:$Q$5,2,0)</f>
        <v>150</v>
      </c>
      <c r="K66">
        <v>0</v>
      </c>
      <c r="L66">
        <v>0</v>
      </c>
      <c r="M66" s="7">
        <f>Tabla14[[#This Row],[TARIFA]]+Tabla14[[#This Row],[IMPORTE EXTRAS]]</f>
        <v>150</v>
      </c>
    </row>
    <row r="67" spans="1:13" x14ac:dyDescent="0.2">
      <c r="A67">
        <v>2023</v>
      </c>
      <c r="B67" t="s">
        <v>57</v>
      </c>
      <c r="C67" s="3">
        <v>45005</v>
      </c>
      <c r="D67" s="3" t="s">
        <v>37</v>
      </c>
      <c r="E67" s="4">
        <v>0.64583333333333337</v>
      </c>
      <c r="F67" s="4">
        <v>0.85416666666666663</v>
      </c>
      <c r="G67" t="s">
        <v>31</v>
      </c>
      <c r="H67">
        <v>1</v>
      </c>
      <c r="I67">
        <v>95</v>
      </c>
      <c r="J67">
        <f>VLOOKUP(Tabla14[[#This Row],[TARIFA]],$P$2:$Q$5,2,0)</f>
        <v>100</v>
      </c>
      <c r="K67">
        <v>0</v>
      </c>
      <c r="L67">
        <v>0</v>
      </c>
      <c r="M67" s="7">
        <f>Tabla14[[#This Row],[TARIFA]]+Tabla14[[#This Row],[IMPORTE EXTRAS]]</f>
        <v>95</v>
      </c>
    </row>
    <row r="68" spans="1:13" x14ac:dyDescent="0.2">
      <c r="A68">
        <v>2023</v>
      </c>
      <c r="B68" t="s">
        <v>57</v>
      </c>
      <c r="C68" s="3">
        <v>45009</v>
      </c>
      <c r="D68" s="3" t="s">
        <v>41</v>
      </c>
      <c r="E68" s="4">
        <v>0.64583333333333337</v>
      </c>
      <c r="F68" s="4">
        <v>0.85416666666666663</v>
      </c>
      <c r="G68" t="s">
        <v>31</v>
      </c>
      <c r="H68">
        <v>1</v>
      </c>
      <c r="I68">
        <v>140</v>
      </c>
      <c r="J68">
        <f>VLOOKUP(Tabla14[[#This Row],[TARIFA]],$P$2:$Q$5,2,0)</f>
        <v>140</v>
      </c>
      <c r="K68">
        <v>0</v>
      </c>
      <c r="L68">
        <v>0</v>
      </c>
      <c r="M68" s="7">
        <f>Tabla14[[#This Row],[TARIFA]]+Tabla14[[#This Row],[IMPORTE EXTRAS]]</f>
        <v>140</v>
      </c>
    </row>
    <row r="69" spans="1:13" x14ac:dyDescent="0.2">
      <c r="A69">
        <v>2023</v>
      </c>
      <c r="B69" t="s">
        <v>57</v>
      </c>
      <c r="C69" s="3">
        <v>45010</v>
      </c>
      <c r="D69" s="3" t="s">
        <v>42</v>
      </c>
      <c r="E69" s="4">
        <v>0.39583333333333331</v>
      </c>
      <c r="F69" s="4">
        <v>0.60416666666666663</v>
      </c>
      <c r="G69" t="s">
        <v>30</v>
      </c>
      <c r="H69">
        <v>1</v>
      </c>
      <c r="I69">
        <v>150</v>
      </c>
      <c r="J69">
        <f>VLOOKUP(Tabla14[[#This Row],[TARIFA]],$P$2:$Q$5,2,0)</f>
        <v>150</v>
      </c>
      <c r="K69">
        <v>0</v>
      </c>
      <c r="L69">
        <v>0</v>
      </c>
      <c r="M69" s="7">
        <f>Tabla14[[#This Row],[TARIFA]]+Tabla14[[#This Row],[IMPORTE EXTRAS]]</f>
        <v>150</v>
      </c>
    </row>
    <row r="70" spans="1:13" x14ac:dyDescent="0.2">
      <c r="A70">
        <v>2023</v>
      </c>
      <c r="B70" t="s">
        <v>57</v>
      </c>
      <c r="C70" s="3">
        <v>45010</v>
      </c>
      <c r="D70" s="3" t="s">
        <v>42</v>
      </c>
      <c r="E70" s="4">
        <v>0.64583333333333337</v>
      </c>
      <c r="F70" s="4">
        <v>0.85416666666666663</v>
      </c>
      <c r="G70" t="s">
        <v>31</v>
      </c>
      <c r="H70">
        <v>1</v>
      </c>
      <c r="I70">
        <v>150</v>
      </c>
      <c r="J70">
        <f>VLOOKUP(Tabla14[[#This Row],[TARIFA]],$P$2:$Q$5,2,0)</f>
        <v>150</v>
      </c>
      <c r="K70">
        <v>0</v>
      </c>
      <c r="L70">
        <v>0</v>
      </c>
      <c r="M70" s="7">
        <f>Tabla14[[#This Row],[TARIFA]]+Tabla14[[#This Row],[IMPORTE EXTRAS]]</f>
        <v>150</v>
      </c>
    </row>
    <row r="71" spans="1:13" x14ac:dyDescent="0.2">
      <c r="A71">
        <v>2023</v>
      </c>
      <c r="B71" t="s">
        <v>57</v>
      </c>
      <c r="C71" s="3">
        <v>45011</v>
      </c>
      <c r="D71" s="3" t="s">
        <v>43</v>
      </c>
      <c r="E71" s="4">
        <v>0.39583333333333331</v>
      </c>
      <c r="F71" s="4">
        <v>0.60416666666666663</v>
      </c>
      <c r="G71" t="s">
        <v>30</v>
      </c>
      <c r="H71">
        <v>1</v>
      </c>
      <c r="I71">
        <v>150</v>
      </c>
      <c r="J71">
        <f>VLOOKUP(Tabla14[[#This Row],[TARIFA]],$P$2:$Q$5,2,0)</f>
        <v>150</v>
      </c>
      <c r="K71">
        <v>0</v>
      </c>
      <c r="L71">
        <v>0</v>
      </c>
      <c r="M71" s="7">
        <f>Tabla14[[#This Row],[TARIFA]]+Tabla14[[#This Row],[IMPORTE EXTRAS]]</f>
        <v>150</v>
      </c>
    </row>
    <row r="72" spans="1:13" x14ac:dyDescent="0.2">
      <c r="A72">
        <v>2023</v>
      </c>
      <c r="B72" t="s">
        <v>57</v>
      </c>
      <c r="C72" s="3">
        <v>45011</v>
      </c>
      <c r="D72" s="3" t="s">
        <v>43</v>
      </c>
      <c r="E72" s="4">
        <v>0.64583333333333337</v>
      </c>
      <c r="F72" s="4">
        <v>0.85416666666666663</v>
      </c>
      <c r="G72" t="s">
        <v>31</v>
      </c>
      <c r="H72">
        <v>1</v>
      </c>
      <c r="I72">
        <v>150</v>
      </c>
      <c r="J72">
        <f>VLOOKUP(Tabla14[[#This Row],[TARIFA]],$P$2:$Q$5,2,0)</f>
        <v>150</v>
      </c>
      <c r="K72">
        <v>0</v>
      </c>
      <c r="L72">
        <v>0</v>
      </c>
      <c r="M72" s="7">
        <f>Tabla14[[#This Row],[TARIFA]]+Tabla14[[#This Row],[IMPORTE EXTRAS]]</f>
        <v>150</v>
      </c>
    </row>
    <row r="73" spans="1:13" x14ac:dyDescent="0.2">
      <c r="A73">
        <v>2023</v>
      </c>
      <c r="B73" t="s">
        <v>57</v>
      </c>
      <c r="C73" s="3">
        <v>45016</v>
      </c>
      <c r="D73" s="3" t="s">
        <v>41</v>
      </c>
      <c r="E73" s="4">
        <v>0.64583333333333337</v>
      </c>
      <c r="F73" s="4">
        <v>0.85416666666666663</v>
      </c>
      <c r="G73" t="s">
        <v>31</v>
      </c>
      <c r="H73">
        <v>1</v>
      </c>
      <c r="I73">
        <v>140</v>
      </c>
      <c r="J73">
        <f>VLOOKUP(Tabla14[[#This Row],[TARIFA]],$P$2:$Q$5,2,0)</f>
        <v>140</v>
      </c>
      <c r="K73">
        <v>0</v>
      </c>
      <c r="L73">
        <v>0</v>
      </c>
      <c r="M73" s="7">
        <f>Tabla14[[#This Row],[TARIFA]]+Tabla14[[#This Row],[IMPORTE EXTRAS]]</f>
        <v>140</v>
      </c>
    </row>
    <row r="74" spans="1:13" x14ac:dyDescent="0.2">
      <c r="A74">
        <v>2023</v>
      </c>
      <c r="B74" t="s">
        <v>57</v>
      </c>
      <c r="C74" s="3">
        <v>45016</v>
      </c>
      <c r="D74" s="3" t="s">
        <v>41</v>
      </c>
      <c r="E74" s="4">
        <v>0.89583333333333337</v>
      </c>
      <c r="F74" s="4">
        <v>0.10416666666666667</v>
      </c>
      <c r="G74" t="s">
        <v>35</v>
      </c>
      <c r="H74">
        <v>1</v>
      </c>
      <c r="I74">
        <v>200</v>
      </c>
      <c r="J74">
        <f>VLOOKUP(Tabla14[[#This Row],[TARIFA]],$P$2:$Q$5,2,0)</f>
        <v>200</v>
      </c>
      <c r="K74">
        <v>0</v>
      </c>
      <c r="L74">
        <v>0</v>
      </c>
      <c r="M74" s="7">
        <f>Tabla14[[#This Row],[TARIFA]]+Tabla14[[#This Row],[IMPORTE EXTRAS]]</f>
        <v>200</v>
      </c>
    </row>
    <row r="75" spans="1:13" x14ac:dyDescent="0.2">
      <c r="A75">
        <v>2023</v>
      </c>
      <c r="B75" t="s">
        <v>58</v>
      </c>
      <c r="C75" s="3">
        <v>45017</v>
      </c>
      <c r="D75" s="3" t="s">
        <v>42</v>
      </c>
      <c r="E75" s="4">
        <v>0.39583333333333331</v>
      </c>
      <c r="F75" s="4">
        <v>0.60416666666666663</v>
      </c>
      <c r="G75" t="s">
        <v>30</v>
      </c>
      <c r="H75">
        <v>1</v>
      </c>
      <c r="I75">
        <v>150</v>
      </c>
      <c r="J75">
        <f>VLOOKUP(Tabla14[[#This Row],[TARIFA]],$P$2:$Q$5,2,0)</f>
        <v>150</v>
      </c>
      <c r="K75">
        <v>0</v>
      </c>
      <c r="L75">
        <v>0</v>
      </c>
      <c r="M75" s="7">
        <f>Tabla14[[#This Row],[TARIFA]]+Tabla14[[#This Row],[IMPORTE EXTRAS]]</f>
        <v>150</v>
      </c>
    </row>
    <row r="76" spans="1:13" x14ac:dyDescent="0.2">
      <c r="A76">
        <v>2023</v>
      </c>
      <c r="B76" t="s">
        <v>58</v>
      </c>
      <c r="C76" s="3">
        <v>45017</v>
      </c>
      <c r="D76" s="3" t="s">
        <v>42</v>
      </c>
      <c r="E76" s="4">
        <v>0.64583333333333337</v>
      </c>
      <c r="F76" s="4">
        <v>0.85416666666666663</v>
      </c>
      <c r="G76" t="s">
        <v>31</v>
      </c>
      <c r="H76">
        <v>1</v>
      </c>
      <c r="I76">
        <v>150</v>
      </c>
      <c r="J76">
        <f>VLOOKUP(Tabla14[[#This Row],[TARIFA]],$P$2:$Q$5,2,0)</f>
        <v>150</v>
      </c>
      <c r="K76">
        <v>0</v>
      </c>
      <c r="L76">
        <v>0</v>
      </c>
      <c r="M76" s="7">
        <f>Tabla14[[#This Row],[TARIFA]]+Tabla14[[#This Row],[IMPORTE EXTRAS]]</f>
        <v>150</v>
      </c>
    </row>
    <row r="77" spans="1:13" x14ac:dyDescent="0.2">
      <c r="A77">
        <v>2023</v>
      </c>
      <c r="B77" t="s">
        <v>58</v>
      </c>
      <c r="C77" s="3">
        <v>45017</v>
      </c>
      <c r="D77" s="3" t="s">
        <v>42</v>
      </c>
      <c r="E77" s="4">
        <v>0.89583333333333337</v>
      </c>
      <c r="F77" s="4">
        <v>0.10416666666666667</v>
      </c>
      <c r="G77" t="s">
        <v>35</v>
      </c>
      <c r="H77">
        <v>1</v>
      </c>
      <c r="I77">
        <v>200</v>
      </c>
      <c r="J77">
        <f>VLOOKUP(Tabla14[[#This Row],[TARIFA]],$P$2:$Q$5,2,0)</f>
        <v>200</v>
      </c>
      <c r="K77">
        <v>0</v>
      </c>
      <c r="L77">
        <v>0</v>
      </c>
      <c r="M77" s="7">
        <f>Tabla14[[#This Row],[TARIFA]]+Tabla14[[#This Row],[IMPORTE EXTRAS]]</f>
        <v>200</v>
      </c>
    </row>
    <row r="78" spans="1:13" x14ac:dyDescent="0.2">
      <c r="A78">
        <v>2023</v>
      </c>
      <c r="B78" t="s">
        <v>58</v>
      </c>
      <c r="C78" s="3">
        <v>45018</v>
      </c>
      <c r="D78" s="3" t="s">
        <v>43</v>
      </c>
      <c r="E78" s="4">
        <v>0.39583333333333331</v>
      </c>
      <c r="F78" s="4">
        <v>0.85416666666666663</v>
      </c>
      <c r="G78" t="s">
        <v>32</v>
      </c>
      <c r="H78">
        <v>2</v>
      </c>
      <c r="I78">
        <v>290</v>
      </c>
      <c r="J78">
        <f>Tabla14[[#This Row],[TARIFA]]</f>
        <v>290</v>
      </c>
      <c r="K78">
        <v>0</v>
      </c>
      <c r="L78">
        <v>0</v>
      </c>
      <c r="M78" s="7">
        <f>Tabla14[[#This Row],[TARIFA]]+Tabla14[[#This Row],[IMPORTE EXTRAS]]</f>
        <v>290</v>
      </c>
    </row>
    <row r="79" spans="1:13" x14ac:dyDescent="0.2">
      <c r="A79">
        <v>2023</v>
      </c>
      <c r="B79" t="s">
        <v>58</v>
      </c>
      <c r="C79" s="3">
        <v>45023</v>
      </c>
      <c r="D79" s="3" t="s">
        <v>41</v>
      </c>
      <c r="E79" s="4">
        <v>0.64583333333333337</v>
      </c>
      <c r="F79" s="4">
        <v>0.85416666666666663</v>
      </c>
      <c r="G79" t="s">
        <v>31</v>
      </c>
      <c r="H79">
        <v>1</v>
      </c>
      <c r="I79">
        <v>150</v>
      </c>
      <c r="J79">
        <f>VLOOKUP(Tabla14[[#This Row],[TARIFA]],$P$2:$Q$5,2,0)</f>
        <v>150</v>
      </c>
      <c r="K79">
        <v>0</v>
      </c>
      <c r="L79">
        <v>0</v>
      </c>
      <c r="M79" s="7">
        <f>Tabla14[[#This Row],[TARIFA]]+Tabla14[[#This Row],[IMPORTE EXTRAS]]</f>
        <v>150</v>
      </c>
    </row>
    <row r="80" spans="1:13" x14ac:dyDescent="0.2">
      <c r="A80">
        <v>2023</v>
      </c>
      <c r="B80" t="s">
        <v>58</v>
      </c>
      <c r="C80" s="3">
        <v>45023</v>
      </c>
      <c r="D80" s="3" t="s">
        <v>41</v>
      </c>
      <c r="E80" s="4">
        <v>0.89583333333333337</v>
      </c>
      <c r="F80" s="4">
        <v>0.10416666666666667</v>
      </c>
      <c r="G80" t="s">
        <v>35</v>
      </c>
      <c r="H80">
        <v>1</v>
      </c>
      <c r="I80">
        <v>200</v>
      </c>
      <c r="J80">
        <f>VLOOKUP(Tabla14[[#This Row],[TARIFA]],$P$2:$Q$5,2,0)</f>
        <v>200</v>
      </c>
      <c r="K80">
        <v>0</v>
      </c>
      <c r="L80">
        <v>0</v>
      </c>
      <c r="M80" s="7">
        <f>Tabla14[[#This Row],[TARIFA]]+Tabla14[[#This Row],[IMPORTE EXTRAS]]</f>
        <v>200</v>
      </c>
    </row>
    <row r="81" spans="1:13" x14ac:dyDescent="0.2">
      <c r="A81">
        <v>2023</v>
      </c>
      <c r="B81" t="s">
        <v>58</v>
      </c>
      <c r="C81" s="3">
        <v>45024</v>
      </c>
      <c r="D81" s="3" t="s">
        <v>42</v>
      </c>
      <c r="E81" s="4">
        <v>0.64583333333333337</v>
      </c>
      <c r="F81" s="4">
        <v>0.10416666666666667</v>
      </c>
      <c r="G81" t="s">
        <v>53</v>
      </c>
      <c r="H81">
        <v>2</v>
      </c>
      <c r="I81">
        <v>320</v>
      </c>
      <c r="J81">
        <f>Tabla14[[#This Row],[TARIFA]]</f>
        <v>320</v>
      </c>
      <c r="K81">
        <v>0</v>
      </c>
      <c r="L81">
        <v>0</v>
      </c>
      <c r="M81" s="7">
        <f>Tabla14[[#This Row],[TARIFA]]+Tabla14[[#This Row],[IMPORTE EXTRAS]]</f>
        <v>320</v>
      </c>
    </row>
    <row r="82" spans="1:13" x14ac:dyDescent="0.2">
      <c r="A82">
        <v>2023</v>
      </c>
      <c r="B82" t="s">
        <v>58</v>
      </c>
      <c r="C82" s="3">
        <v>45025</v>
      </c>
      <c r="D82" s="3" t="s">
        <v>43</v>
      </c>
      <c r="E82" s="4">
        <v>0.64583333333333337</v>
      </c>
      <c r="F82" s="4">
        <v>0.85416666666666663</v>
      </c>
      <c r="G82" t="s">
        <v>31</v>
      </c>
      <c r="H82">
        <v>1</v>
      </c>
      <c r="I82">
        <v>150</v>
      </c>
      <c r="J82">
        <f>VLOOKUP(Tabla14[[#This Row],[TARIFA]],$P$2:$Q$5,2,0)</f>
        <v>150</v>
      </c>
      <c r="K82">
        <v>0</v>
      </c>
      <c r="L82">
        <v>0</v>
      </c>
      <c r="M82" s="7">
        <f>Tabla14[[#This Row],[TARIFA]]+Tabla14[[#This Row],[IMPORTE EXTRAS]]</f>
        <v>150</v>
      </c>
    </row>
    <row r="83" spans="1:13" x14ac:dyDescent="0.2">
      <c r="A83">
        <v>2023</v>
      </c>
      <c r="B83" t="s">
        <v>58</v>
      </c>
      <c r="C83" s="3">
        <v>45030</v>
      </c>
      <c r="D83" s="3" t="s">
        <v>41</v>
      </c>
      <c r="E83" s="4">
        <v>0.64583333333333337</v>
      </c>
      <c r="F83" s="4">
        <v>0.85416666666666663</v>
      </c>
      <c r="G83" t="s">
        <v>31</v>
      </c>
      <c r="H83">
        <v>1</v>
      </c>
      <c r="I83">
        <v>140</v>
      </c>
      <c r="J83">
        <f>VLOOKUP(Tabla14[[#This Row],[TARIFA]],$P$2:$Q$5,2,0)</f>
        <v>140</v>
      </c>
      <c r="K83">
        <v>0</v>
      </c>
      <c r="L83">
        <v>0</v>
      </c>
      <c r="M83" s="7">
        <f>Tabla14[[#This Row],[TARIFA]]+Tabla14[[#This Row],[IMPORTE EXTRAS]]</f>
        <v>140</v>
      </c>
    </row>
    <row r="84" spans="1:13" x14ac:dyDescent="0.2">
      <c r="A84">
        <v>2023</v>
      </c>
      <c r="B84" t="s">
        <v>58</v>
      </c>
      <c r="C84" s="3">
        <v>45031</v>
      </c>
      <c r="D84" s="3" t="s">
        <v>42</v>
      </c>
      <c r="E84" s="4">
        <v>0.39583333333333331</v>
      </c>
      <c r="F84" s="4">
        <v>0.60416666666666663</v>
      </c>
      <c r="G84" t="s">
        <v>30</v>
      </c>
      <c r="H84">
        <v>1</v>
      </c>
      <c r="I84">
        <v>150</v>
      </c>
      <c r="J84">
        <f>VLOOKUP(Tabla14[[#This Row],[TARIFA]],$P$2:$Q$5,2,0)</f>
        <v>150</v>
      </c>
      <c r="K84">
        <v>0</v>
      </c>
      <c r="L84">
        <v>0</v>
      </c>
      <c r="M84" s="7">
        <f>Tabla14[[#This Row],[TARIFA]]+Tabla14[[#This Row],[IMPORTE EXTRAS]]</f>
        <v>150</v>
      </c>
    </row>
    <row r="85" spans="1:13" x14ac:dyDescent="0.2">
      <c r="A85">
        <v>2023</v>
      </c>
      <c r="B85" t="s">
        <v>58</v>
      </c>
      <c r="C85" s="3">
        <v>45031</v>
      </c>
      <c r="D85" s="3" t="s">
        <v>42</v>
      </c>
      <c r="E85" s="4">
        <v>0.64583333333333337</v>
      </c>
      <c r="F85" s="4">
        <v>0.85416666666666663</v>
      </c>
      <c r="G85" t="s">
        <v>31</v>
      </c>
      <c r="H85">
        <v>1</v>
      </c>
      <c r="I85">
        <v>150</v>
      </c>
      <c r="J85">
        <f>VLOOKUP(Tabla14[[#This Row],[TARIFA]],$P$2:$Q$5,2,0)</f>
        <v>150</v>
      </c>
      <c r="K85">
        <v>0</v>
      </c>
      <c r="L85">
        <v>0</v>
      </c>
      <c r="M85" s="7">
        <f>Tabla14[[#This Row],[TARIFA]]+Tabla14[[#This Row],[IMPORTE EXTRAS]]</f>
        <v>150</v>
      </c>
    </row>
    <row r="86" spans="1:13" x14ac:dyDescent="0.2">
      <c r="A86">
        <v>2023</v>
      </c>
      <c r="B86" t="s">
        <v>58</v>
      </c>
      <c r="C86" s="3">
        <v>45031</v>
      </c>
      <c r="D86" s="3" t="s">
        <v>42</v>
      </c>
      <c r="E86" s="4">
        <v>0.89583333333333337</v>
      </c>
      <c r="F86" s="4">
        <v>0.10416666666666667</v>
      </c>
      <c r="G86" t="s">
        <v>35</v>
      </c>
      <c r="H86">
        <v>1</v>
      </c>
      <c r="I86">
        <v>200</v>
      </c>
      <c r="J86">
        <f>VLOOKUP(Tabla14[[#This Row],[TARIFA]],$P$2:$Q$5,2,0)</f>
        <v>200</v>
      </c>
      <c r="K86">
        <v>0</v>
      </c>
      <c r="L86">
        <v>0</v>
      </c>
      <c r="M86" s="7">
        <f>Tabla14[[#This Row],[TARIFA]]+Tabla14[[#This Row],[IMPORTE EXTRAS]]</f>
        <v>200</v>
      </c>
    </row>
    <row r="87" spans="1:13" x14ac:dyDescent="0.2">
      <c r="A87">
        <v>2023</v>
      </c>
      <c r="B87" t="s">
        <v>58</v>
      </c>
      <c r="C87" s="3">
        <v>45032</v>
      </c>
      <c r="D87" s="3" t="s">
        <v>43</v>
      </c>
      <c r="E87" s="4">
        <v>0.39583333333333331</v>
      </c>
      <c r="F87" s="4">
        <v>0.85416666666666663</v>
      </c>
      <c r="G87" t="s">
        <v>32</v>
      </c>
      <c r="H87">
        <v>2</v>
      </c>
      <c r="I87">
        <v>220</v>
      </c>
      <c r="J87">
        <f>Tabla14[[#This Row],[TARIFA]]</f>
        <v>220</v>
      </c>
      <c r="K87">
        <v>0</v>
      </c>
      <c r="L87">
        <v>0</v>
      </c>
      <c r="M87" s="7">
        <f>Tabla14[[#This Row],[TARIFA]]+Tabla14[[#This Row],[IMPORTE EXTRAS]]</f>
        <v>220</v>
      </c>
    </row>
    <row r="88" spans="1:13" x14ac:dyDescent="0.2">
      <c r="A88">
        <v>2023</v>
      </c>
      <c r="B88" t="s">
        <v>58</v>
      </c>
      <c r="C88" s="3">
        <v>45037</v>
      </c>
      <c r="D88" s="3" t="s">
        <v>41</v>
      </c>
      <c r="E88" s="4">
        <v>0.64583333333333337</v>
      </c>
      <c r="F88" s="4">
        <v>0.85416666666666663</v>
      </c>
      <c r="G88" t="s">
        <v>31</v>
      </c>
      <c r="H88">
        <v>1</v>
      </c>
      <c r="I88">
        <v>140</v>
      </c>
      <c r="J88">
        <f>VLOOKUP(Tabla14[[#This Row],[TARIFA]],$P$2:$Q$5,2,0)</f>
        <v>140</v>
      </c>
      <c r="K88">
        <v>0</v>
      </c>
      <c r="L88">
        <v>0</v>
      </c>
      <c r="M88" s="7">
        <f>Tabla14[[#This Row],[TARIFA]]+Tabla14[[#This Row],[IMPORTE EXTRAS]]</f>
        <v>140</v>
      </c>
    </row>
    <row r="89" spans="1:13" x14ac:dyDescent="0.2">
      <c r="A89">
        <v>2023</v>
      </c>
      <c r="B89" t="s">
        <v>58</v>
      </c>
      <c r="C89" s="3">
        <v>45038</v>
      </c>
      <c r="D89" s="3" t="s">
        <v>42</v>
      </c>
      <c r="E89" s="4">
        <v>0.39583333333333331</v>
      </c>
      <c r="F89" s="4">
        <v>0.60416666666666663</v>
      </c>
      <c r="G89" t="s">
        <v>30</v>
      </c>
      <c r="H89">
        <v>1</v>
      </c>
      <c r="I89">
        <v>150</v>
      </c>
      <c r="J89">
        <f>VLOOKUP(Tabla14[[#This Row],[TARIFA]],$P$2:$Q$5,2,0)</f>
        <v>150</v>
      </c>
      <c r="K89">
        <v>0</v>
      </c>
      <c r="L89">
        <v>0</v>
      </c>
      <c r="M89" s="7">
        <f>Tabla14[[#This Row],[TARIFA]]+Tabla14[[#This Row],[IMPORTE EXTRAS]]</f>
        <v>150</v>
      </c>
    </row>
    <row r="90" spans="1:13" x14ac:dyDescent="0.2">
      <c r="A90">
        <v>2023</v>
      </c>
      <c r="B90" t="s">
        <v>58</v>
      </c>
      <c r="C90" s="3">
        <v>45038</v>
      </c>
      <c r="D90" s="3" t="s">
        <v>42</v>
      </c>
      <c r="E90" s="4">
        <v>0.64583333333333337</v>
      </c>
      <c r="F90" s="4">
        <v>0.85416666666666663</v>
      </c>
      <c r="G90" t="s">
        <v>31</v>
      </c>
      <c r="H90">
        <v>1</v>
      </c>
      <c r="I90">
        <v>150</v>
      </c>
      <c r="J90">
        <f>VLOOKUP(Tabla14[[#This Row],[TARIFA]],$P$2:$Q$5,2,0)</f>
        <v>150</v>
      </c>
      <c r="K90">
        <v>0</v>
      </c>
      <c r="L90">
        <v>0</v>
      </c>
      <c r="M90" s="7">
        <f>Tabla14[[#This Row],[TARIFA]]+Tabla14[[#This Row],[IMPORTE EXTRAS]]</f>
        <v>150</v>
      </c>
    </row>
    <row r="91" spans="1:13" x14ac:dyDescent="0.2">
      <c r="A91">
        <v>2023</v>
      </c>
      <c r="B91" t="s">
        <v>58</v>
      </c>
      <c r="C91" s="3">
        <v>45038</v>
      </c>
      <c r="D91" s="3" t="s">
        <v>42</v>
      </c>
      <c r="E91" s="4">
        <v>0.89583333333333337</v>
      </c>
      <c r="F91" s="4">
        <v>0.10416666666666667</v>
      </c>
      <c r="G91" t="s">
        <v>35</v>
      </c>
      <c r="H91">
        <v>1</v>
      </c>
      <c r="I91">
        <v>200</v>
      </c>
      <c r="J91">
        <f>VLOOKUP(Tabla14[[#This Row],[TARIFA]],$P$2:$Q$5,2,0)</f>
        <v>200</v>
      </c>
      <c r="K91">
        <v>0</v>
      </c>
      <c r="L91">
        <v>0</v>
      </c>
      <c r="M91" s="7">
        <f>Tabla14[[#This Row],[TARIFA]]+Tabla14[[#This Row],[IMPORTE EXTRAS]]</f>
        <v>200</v>
      </c>
    </row>
    <row r="92" spans="1:13" x14ac:dyDescent="0.2">
      <c r="A92">
        <v>2023</v>
      </c>
      <c r="B92" t="s">
        <v>58</v>
      </c>
      <c r="C92" s="3">
        <v>45039</v>
      </c>
      <c r="D92" s="3" t="s">
        <v>43</v>
      </c>
      <c r="E92" s="4">
        <v>0.64583333333333337</v>
      </c>
      <c r="F92" s="4">
        <v>0.85416666666666663</v>
      </c>
      <c r="G92" t="s">
        <v>31</v>
      </c>
      <c r="H92">
        <v>1</v>
      </c>
      <c r="I92">
        <v>150</v>
      </c>
      <c r="J92">
        <f>VLOOKUP(Tabla14[[#This Row],[TARIFA]],$P$2:$Q$5,2,0)</f>
        <v>150</v>
      </c>
      <c r="K92">
        <v>0</v>
      </c>
      <c r="L92">
        <v>0</v>
      </c>
      <c r="M92" s="7">
        <f>Tabla14[[#This Row],[TARIFA]]+Tabla14[[#This Row],[IMPORTE EXTRAS]]</f>
        <v>150</v>
      </c>
    </row>
    <row r="93" spans="1:13" x14ac:dyDescent="0.2">
      <c r="A93">
        <v>2023</v>
      </c>
      <c r="B93" t="s">
        <v>58</v>
      </c>
      <c r="C93" s="3">
        <v>45044</v>
      </c>
      <c r="D93" s="3" t="s">
        <v>41</v>
      </c>
      <c r="E93" s="4">
        <v>0.89583333333333337</v>
      </c>
      <c r="F93" s="4">
        <v>0.10416666666666667</v>
      </c>
      <c r="G93" t="s">
        <v>35</v>
      </c>
      <c r="H93">
        <v>1</v>
      </c>
      <c r="I93">
        <v>200</v>
      </c>
      <c r="J93">
        <f>VLOOKUP(Tabla14[[#This Row],[TARIFA]],$P$2:$Q$5,2,0)</f>
        <v>200</v>
      </c>
      <c r="K93">
        <v>1</v>
      </c>
      <c r="L93">
        <v>60</v>
      </c>
      <c r="M93" s="7">
        <f>Tabla14[[#This Row],[TARIFA]]+Tabla14[[#This Row],[IMPORTE EXTRAS]]</f>
        <v>260</v>
      </c>
    </row>
    <row r="94" spans="1:13" x14ac:dyDescent="0.2">
      <c r="A94">
        <v>2023</v>
      </c>
      <c r="B94" t="s">
        <v>58</v>
      </c>
      <c r="C94" s="3">
        <v>45045</v>
      </c>
      <c r="D94" s="3" t="s">
        <v>42</v>
      </c>
      <c r="E94" s="4">
        <v>0.39583333333333331</v>
      </c>
      <c r="F94" s="4">
        <v>0.60416666666666663</v>
      </c>
      <c r="G94" t="s">
        <v>30</v>
      </c>
      <c r="H94">
        <v>1</v>
      </c>
      <c r="I94">
        <v>150</v>
      </c>
      <c r="J94">
        <f>VLOOKUP(Tabla14[[#This Row],[TARIFA]],$P$2:$Q$5,2,0)</f>
        <v>150</v>
      </c>
      <c r="K94">
        <v>0</v>
      </c>
      <c r="L94">
        <v>0</v>
      </c>
      <c r="M94" s="7">
        <f>Tabla14[[#This Row],[TARIFA]]+Tabla14[[#This Row],[IMPORTE EXTRAS]]</f>
        <v>150</v>
      </c>
    </row>
    <row r="95" spans="1:13" x14ac:dyDescent="0.2">
      <c r="A95">
        <v>2023</v>
      </c>
      <c r="B95" t="s">
        <v>58</v>
      </c>
      <c r="C95" s="3">
        <v>45045</v>
      </c>
      <c r="D95" s="3" t="s">
        <v>42</v>
      </c>
      <c r="E95" s="4">
        <v>0.64583333333333337</v>
      </c>
      <c r="F95" s="4">
        <v>0.85416666666666663</v>
      </c>
      <c r="G95" t="s">
        <v>31</v>
      </c>
      <c r="H95">
        <v>1</v>
      </c>
      <c r="I95">
        <v>150</v>
      </c>
      <c r="J95">
        <f>VLOOKUP(Tabla14[[#This Row],[TARIFA]],$P$2:$Q$5,2,0)</f>
        <v>150</v>
      </c>
      <c r="K95">
        <v>0</v>
      </c>
      <c r="L95">
        <v>0</v>
      </c>
      <c r="M95" s="7">
        <f>Tabla14[[#This Row],[TARIFA]]+Tabla14[[#This Row],[IMPORTE EXTRAS]]</f>
        <v>150</v>
      </c>
    </row>
    <row r="96" spans="1:13" x14ac:dyDescent="0.2">
      <c r="A96">
        <v>2023</v>
      </c>
      <c r="B96" t="s">
        <v>58</v>
      </c>
      <c r="C96" s="3">
        <v>45045</v>
      </c>
      <c r="D96" s="3" t="s">
        <v>42</v>
      </c>
      <c r="E96" s="4">
        <v>0.89583333333333337</v>
      </c>
      <c r="F96" s="4">
        <v>0.10416666666666667</v>
      </c>
      <c r="G96" t="s">
        <v>35</v>
      </c>
      <c r="H96">
        <v>1</v>
      </c>
      <c r="I96">
        <v>200</v>
      </c>
      <c r="J96">
        <f>VLOOKUP(Tabla14[[#This Row],[TARIFA]],$P$2:$Q$5,2,0)</f>
        <v>200</v>
      </c>
      <c r="K96">
        <v>1</v>
      </c>
      <c r="L96">
        <v>60</v>
      </c>
      <c r="M96" s="7">
        <f>Tabla14[[#This Row],[TARIFA]]+Tabla14[[#This Row],[IMPORTE EXTRAS]]</f>
        <v>260</v>
      </c>
    </row>
    <row r="97" spans="1:13" x14ac:dyDescent="0.2">
      <c r="A97">
        <v>2023</v>
      </c>
      <c r="B97" t="s">
        <v>58</v>
      </c>
      <c r="C97" s="3">
        <v>45046</v>
      </c>
      <c r="D97" s="3" t="s">
        <v>43</v>
      </c>
      <c r="E97" s="4">
        <v>0.39583333333333331</v>
      </c>
      <c r="F97" s="4">
        <v>0.60416666666666663</v>
      </c>
      <c r="G97" t="s">
        <v>30</v>
      </c>
      <c r="H97">
        <v>1</v>
      </c>
      <c r="I97">
        <v>150</v>
      </c>
      <c r="J97">
        <f>VLOOKUP(Tabla14[[#This Row],[TARIFA]],$P$2:$Q$5,2,0)</f>
        <v>150</v>
      </c>
      <c r="K97">
        <v>0</v>
      </c>
      <c r="L97">
        <v>0</v>
      </c>
      <c r="M97" s="7">
        <f>Tabla14[[#This Row],[TARIFA]]+Tabla14[[#This Row],[IMPORTE EXTRAS]]</f>
        <v>150</v>
      </c>
    </row>
    <row r="98" spans="1:13" x14ac:dyDescent="0.2">
      <c r="A98">
        <v>2023</v>
      </c>
      <c r="B98" t="s">
        <v>58</v>
      </c>
      <c r="C98" s="3">
        <v>45046</v>
      </c>
      <c r="D98" s="3" t="s">
        <v>43</v>
      </c>
      <c r="E98" s="4">
        <v>0.64583333333333337</v>
      </c>
      <c r="F98" s="4">
        <v>0.85416666666666663</v>
      </c>
      <c r="G98" t="s">
        <v>31</v>
      </c>
      <c r="H98">
        <v>1</v>
      </c>
      <c r="I98">
        <v>150</v>
      </c>
      <c r="J98">
        <f>VLOOKUP(Tabla14[[#This Row],[TARIFA]],$P$2:$Q$5,2,0)</f>
        <v>150</v>
      </c>
      <c r="K98">
        <v>0</v>
      </c>
      <c r="L98">
        <v>0</v>
      </c>
      <c r="M98" s="7">
        <f>Tabla14[[#This Row],[TARIFA]]+Tabla14[[#This Row],[IMPORTE EXTRAS]]</f>
        <v>150</v>
      </c>
    </row>
    <row r="99" spans="1:13" x14ac:dyDescent="0.2">
      <c r="A99">
        <v>2023</v>
      </c>
      <c r="B99" t="s">
        <v>58</v>
      </c>
      <c r="C99" s="3">
        <v>45046</v>
      </c>
      <c r="D99" s="3" t="s">
        <v>43</v>
      </c>
      <c r="E99" s="4">
        <v>0.89583333333333337</v>
      </c>
      <c r="F99" s="4">
        <v>0.10416666666666667</v>
      </c>
      <c r="G99" t="s">
        <v>35</v>
      </c>
      <c r="H99">
        <v>1</v>
      </c>
      <c r="I99">
        <v>200</v>
      </c>
      <c r="J99">
        <f>VLOOKUP(Tabla14[[#This Row],[TARIFA]],$P$2:$Q$5,2,0)</f>
        <v>200</v>
      </c>
      <c r="K99">
        <v>0</v>
      </c>
      <c r="L99">
        <v>0</v>
      </c>
      <c r="M99" s="7">
        <f>Tabla14[[#This Row],[TARIFA]]+Tabla14[[#This Row],[IMPORTE EXTRAS]]</f>
        <v>200</v>
      </c>
    </row>
    <row r="100" spans="1:13" x14ac:dyDescent="0.2">
      <c r="A100">
        <v>2023</v>
      </c>
      <c r="B100" t="s">
        <v>59</v>
      </c>
      <c r="C100" s="3">
        <v>45048</v>
      </c>
      <c r="D100" s="3" t="s">
        <v>38</v>
      </c>
      <c r="E100" s="4">
        <v>0.64583333333333337</v>
      </c>
      <c r="F100" s="4">
        <v>0.85416666666666663</v>
      </c>
      <c r="G100" t="s">
        <v>31</v>
      </c>
      <c r="H100">
        <v>1</v>
      </c>
      <c r="I100">
        <v>95</v>
      </c>
      <c r="J100">
        <f>VLOOKUP(Tabla14[[#This Row],[TARIFA]],$P$2:$Q$5,2,0)</f>
        <v>100</v>
      </c>
      <c r="K100">
        <v>0</v>
      </c>
      <c r="L100">
        <v>0</v>
      </c>
      <c r="M100" s="7">
        <f>Tabla14[[#This Row],[TARIFA]]+Tabla14[[#This Row],[IMPORTE EXTRAS]]</f>
        <v>95</v>
      </c>
    </row>
    <row r="101" spans="1:13" x14ac:dyDescent="0.2">
      <c r="A101">
        <v>2023</v>
      </c>
      <c r="B101" t="s">
        <v>59</v>
      </c>
      <c r="C101" s="3">
        <v>45051</v>
      </c>
      <c r="D101" s="3" t="s">
        <v>41</v>
      </c>
      <c r="E101" s="4">
        <v>0.89583333333333337</v>
      </c>
      <c r="F101" s="4">
        <v>0.10416666666666667</v>
      </c>
      <c r="G101" t="s">
        <v>35</v>
      </c>
      <c r="H101">
        <v>1</v>
      </c>
      <c r="I101">
        <v>200</v>
      </c>
      <c r="J101">
        <f>VLOOKUP(Tabla14[[#This Row],[TARIFA]],$P$2:$Q$5,2,0)</f>
        <v>200</v>
      </c>
      <c r="K101">
        <v>0</v>
      </c>
      <c r="L101">
        <v>0</v>
      </c>
      <c r="M101" s="7">
        <f>Tabla14[[#This Row],[TARIFA]]+Tabla14[[#This Row],[IMPORTE EXTRAS]]</f>
        <v>200</v>
      </c>
    </row>
    <row r="102" spans="1:13" x14ac:dyDescent="0.2">
      <c r="A102">
        <v>2023</v>
      </c>
      <c r="B102" t="s">
        <v>59</v>
      </c>
      <c r="C102" s="3">
        <v>45052</v>
      </c>
      <c r="D102" s="3" t="s">
        <v>42</v>
      </c>
      <c r="E102" s="4">
        <v>0.39583333333333331</v>
      </c>
      <c r="F102" s="4">
        <v>0.85416666666666663</v>
      </c>
      <c r="G102" t="s">
        <v>32</v>
      </c>
      <c r="H102">
        <v>3</v>
      </c>
      <c r="I102">
        <v>270</v>
      </c>
      <c r="J102">
        <f>Tabla14[[#This Row],[TARIFA]]</f>
        <v>270</v>
      </c>
      <c r="K102">
        <v>0</v>
      </c>
      <c r="L102">
        <v>0</v>
      </c>
      <c r="M102" s="7">
        <f>Tabla14[[#This Row],[TARIFA]]+Tabla14[[#This Row],[IMPORTE EXTRAS]]</f>
        <v>270</v>
      </c>
    </row>
    <row r="103" spans="1:13" x14ac:dyDescent="0.2">
      <c r="A103">
        <v>2023</v>
      </c>
      <c r="B103" t="s">
        <v>59</v>
      </c>
      <c r="C103" s="3">
        <v>45056</v>
      </c>
      <c r="D103" s="3" t="s">
        <v>39</v>
      </c>
      <c r="E103" s="4">
        <v>0.64583333333333337</v>
      </c>
      <c r="F103" s="4">
        <v>0.85416666666666663</v>
      </c>
      <c r="G103" t="s">
        <v>31</v>
      </c>
      <c r="H103">
        <v>1</v>
      </c>
      <c r="I103">
        <v>95</v>
      </c>
      <c r="J103">
        <f>VLOOKUP(Tabla14[[#This Row],[TARIFA]],$P$2:$Q$5,2,0)</f>
        <v>100</v>
      </c>
      <c r="K103">
        <v>0</v>
      </c>
      <c r="L103">
        <v>0</v>
      </c>
      <c r="M103" s="7">
        <f>Tabla14[[#This Row],[TARIFA]]+Tabla14[[#This Row],[IMPORTE EXTRAS]]</f>
        <v>95</v>
      </c>
    </row>
    <row r="104" spans="1:13" x14ac:dyDescent="0.2">
      <c r="A104">
        <v>2023</v>
      </c>
      <c r="B104" t="s">
        <v>59</v>
      </c>
      <c r="C104" s="3">
        <v>45058</v>
      </c>
      <c r="D104" s="3" t="s">
        <v>41</v>
      </c>
      <c r="E104" s="4">
        <v>0.89583333333333337</v>
      </c>
      <c r="F104" s="4">
        <v>0.10416666666666667</v>
      </c>
      <c r="G104" t="s">
        <v>35</v>
      </c>
      <c r="H104">
        <v>1</v>
      </c>
      <c r="I104">
        <v>200</v>
      </c>
      <c r="J104">
        <f>VLOOKUP(Tabla14[[#This Row],[TARIFA]],$P$2:$Q$5,2,0)</f>
        <v>200</v>
      </c>
      <c r="K104">
        <v>1</v>
      </c>
      <c r="L104">
        <v>60</v>
      </c>
      <c r="M104" s="7">
        <f>Tabla14[[#This Row],[TARIFA]]+Tabla14[[#This Row],[IMPORTE EXTRAS]]</f>
        <v>260</v>
      </c>
    </row>
    <row r="105" spans="1:13" x14ac:dyDescent="0.2">
      <c r="A105">
        <v>2023</v>
      </c>
      <c r="B105" t="s">
        <v>59</v>
      </c>
      <c r="C105" s="3">
        <v>45059</v>
      </c>
      <c r="D105" s="3" t="s">
        <v>42</v>
      </c>
      <c r="E105" s="4">
        <v>0.64583333333333337</v>
      </c>
      <c r="F105" s="4">
        <v>0.10416666666666667</v>
      </c>
      <c r="G105" t="s">
        <v>53</v>
      </c>
      <c r="H105">
        <v>2</v>
      </c>
      <c r="I105">
        <v>320</v>
      </c>
      <c r="J105">
        <f>Tabla14[[#This Row],[TARIFA]]</f>
        <v>320</v>
      </c>
      <c r="K105">
        <v>0</v>
      </c>
      <c r="L105">
        <v>0</v>
      </c>
      <c r="M105" s="7">
        <f>Tabla14[[#This Row],[TARIFA]]+Tabla14[[#This Row],[IMPORTE EXTRAS]]</f>
        <v>320</v>
      </c>
    </row>
    <row r="106" spans="1:13" x14ac:dyDescent="0.2">
      <c r="A106">
        <v>2023</v>
      </c>
      <c r="B106" t="s">
        <v>59</v>
      </c>
      <c r="C106" s="3">
        <v>45060</v>
      </c>
      <c r="D106" s="3" t="s">
        <v>43</v>
      </c>
      <c r="E106" s="4">
        <v>0.39583333333333331</v>
      </c>
      <c r="F106" s="4">
        <v>0.60416666666666663</v>
      </c>
      <c r="G106" t="s">
        <v>30</v>
      </c>
      <c r="H106">
        <v>1</v>
      </c>
      <c r="I106">
        <v>150</v>
      </c>
      <c r="J106">
        <f>VLOOKUP(Tabla14[[#This Row],[TARIFA]],$P$2:$Q$5,2,0)</f>
        <v>150</v>
      </c>
      <c r="K106">
        <v>0</v>
      </c>
      <c r="L106">
        <v>0</v>
      </c>
      <c r="M106" s="7">
        <f>Tabla14[[#This Row],[TARIFA]]+Tabla14[[#This Row],[IMPORTE EXTRAS]]</f>
        <v>150</v>
      </c>
    </row>
    <row r="107" spans="1:13" x14ac:dyDescent="0.2">
      <c r="A107">
        <v>2023</v>
      </c>
      <c r="B107" t="s">
        <v>59</v>
      </c>
      <c r="C107" s="3">
        <v>45060</v>
      </c>
      <c r="D107" s="3" t="s">
        <v>43</v>
      </c>
      <c r="E107" s="4">
        <v>0.64583333333333337</v>
      </c>
      <c r="F107" s="4">
        <v>0.85416666666666663</v>
      </c>
      <c r="G107" t="s">
        <v>31</v>
      </c>
      <c r="H107">
        <v>1</v>
      </c>
      <c r="I107">
        <v>150</v>
      </c>
      <c r="J107">
        <f>VLOOKUP(Tabla14[[#This Row],[TARIFA]],$P$2:$Q$5,2,0)</f>
        <v>150</v>
      </c>
      <c r="K107">
        <v>0</v>
      </c>
      <c r="L107">
        <v>0</v>
      </c>
      <c r="M107" s="7">
        <f>Tabla14[[#This Row],[TARIFA]]+Tabla14[[#This Row],[IMPORTE EXTRAS]]</f>
        <v>150</v>
      </c>
    </row>
    <row r="108" spans="1:13" x14ac:dyDescent="0.2">
      <c r="A108">
        <v>2023</v>
      </c>
      <c r="B108" t="s">
        <v>59</v>
      </c>
      <c r="C108" s="3">
        <v>45062</v>
      </c>
      <c r="D108" s="3" t="s">
        <v>38</v>
      </c>
      <c r="E108" s="4">
        <v>0.64583333333333337</v>
      </c>
      <c r="F108" s="4">
        <v>0.85416666666666663</v>
      </c>
      <c r="G108" t="s">
        <v>31</v>
      </c>
      <c r="H108">
        <v>1</v>
      </c>
      <c r="I108">
        <v>95</v>
      </c>
      <c r="J108">
        <f>VLOOKUP(Tabla14[[#This Row],[TARIFA]],$P$2:$Q$5,2,0)</f>
        <v>100</v>
      </c>
      <c r="K108">
        <v>0</v>
      </c>
      <c r="L108">
        <v>0</v>
      </c>
      <c r="M108" s="7">
        <f>Tabla14[[#This Row],[TARIFA]]+Tabla14[[#This Row],[IMPORTE EXTRAS]]</f>
        <v>95</v>
      </c>
    </row>
    <row r="109" spans="1:13" x14ac:dyDescent="0.2">
      <c r="A109">
        <v>2023</v>
      </c>
      <c r="B109" t="s">
        <v>59</v>
      </c>
      <c r="C109" s="3">
        <v>45065</v>
      </c>
      <c r="D109" s="3" t="s">
        <v>41</v>
      </c>
      <c r="E109" s="4">
        <v>0.64583333333333337</v>
      </c>
      <c r="F109" s="4">
        <v>0.85416666666666663</v>
      </c>
      <c r="G109" t="s">
        <v>31</v>
      </c>
      <c r="H109">
        <v>1</v>
      </c>
      <c r="I109">
        <v>140</v>
      </c>
      <c r="J109">
        <f>VLOOKUP(Tabla14[[#This Row],[TARIFA]],$P$2:$Q$5,2,0)</f>
        <v>140</v>
      </c>
      <c r="K109">
        <v>0</v>
      </c>
      <c r="L109">
        <v>0</v>
      </c>
      <c r="M109" s="7">
        <f>Tabla14[[#This Row],[TARIFA]]+Tabla14[[#This Row],[IMPORTE EXTRAS]]</f>
        <v>140</v>
      </c>
    </row>
    <row r="110" spans="1:13" x14ac:dyDescent="0.2">
      <c r="A110">
        <v>2023</v>
      </c>
      <c r="B110" t="s">
        <v>59</v>
      </c>
      <c r="C110" s="3">
        <v>45065</v>
      </c>
      <c r="D110" s="3" t="s">
        <v>41</v>
      </c>
      <c r="E110" s="4">
        <v>0.89583333333333337</v>
      </c>
      <c r="F110" s="4">
        <v>0.10416666666666667</v>
      </c>
      <c r="G110" t="s">
        <v>35</v>
      </c>
      <c r="H110">
        <v>1</v>
      </c>
      <c r="I110">
        <v>200</v>
      </c>
      <c r="J110">
        <f>VLOOKUP(Tabla14[[#This Row],[TARIFA]],$P$2:$Q$5,2,0)</f>
        <v>200</v>
      </c>
      <c r="K110">
        <v>1</v>
      </c>
      <c r="L110">
        <v>60</v>
      </c>
      <c r="M110" s="7">
        <f>Tabla14[[#This Row],[TARIFA]]+Tabla14[[#This Row],[IMPORTE EXTRAS]]</f>
        <v>260</v>
      </c>
    </row>
    <row r="111" spans="1:13" x14ac:dyDescent="0.2">
      <c r="A111">
        <v>2023</v>
      </c>
      <c r="B111" t="s">
        <v>59</v>
      </c>
      <c r="C111" s="3">
        <v>45066</v>
      </c>
      <c r="D111" s="3" t="s">
        <v>42</v>
      </c>
      <c r="E111" s="4">
        <v>0.39583333333333331</v>
      </c>
      <c r="F111" s="4">
        <v>0.60416666666666663</v>
      </c>
      <c r="G111" t="s">
        <v>30</v>
      </c>
      <c r="H111">
        <v>1</v>
      </c>
      <c r="I111">
        <v>150</v>
      </c>
      <c r="J111">
        <f>VLOOKUP(Tabla14[[#This Row],[TARIFA]],$P$2:$Q$5,2,0)</f>
        <v>150</v>
      </c>
      <c r="K111">
        <v>0</v>
      </c>
      <c r="L111">
        <v>0</v>
      </c>
      <c r="M111" s="7">
        <f>Tabla14[[#This Row],[TARIFA]]+Tabla14[[#This Row],[IMPORTE EXTRAS]]</f>
        <v>150</v>
      </c>
    </row>
    <row r="112" spans="1:13" x14ac:dyDescent="0.2">
      <c r="A112">
        <v>2023</v>
      </c>
      <c r="B112" t="s">
        <v>59</v>
      </c>
      <c r="C112" s="3">
        <v>45066</v>
      </c>
      <c r="D112" s="3" t="s">
        <v>42</v>
      </c>
      <c r="E112" s="4">
        <v>0.64583333333333337</v>
      </c>
      <c r="F112" s="4">
        <v>0.85416666666666663</v>
      </c>
      <c r="G112" t="s">
        <v>31</v>
      </c>
      <c r="H112">
        <v>1</v>
      </c>
      <c r="I112">
        <v>150</v>
      </c>
      <c r="J112">
        <f>VLOOKUP(Tabla14[[#This Row],[TARIFA]],$P$2:$Q$5,2,0)</f>
        <v>150</v>
      </c>
      <c r="K112">
        <v>0</v>
      </c>
      <c r="L112">
        <v>0</v>
      </c>
      <c r="M112" s="7">
        <f>Tabla14[[#This Row],[TARIFA]]+Tabla14[[#This Row],[IMPORTE EXTRAS]]</f>
        <v>150</v>
      </c>
    </row>
    <row r="113" spans="1:13" x14ac:dyDescent="0.2">
      <c r="A113">
        <v>2023</v>
      </c>
      <c r="B113" t="s">
        <v>59</v>
      </c>
      <c r="C113" s="3">
        <v>45066</v>
      </c>
      <c r="D113" s="3" t="s">
        <v>42</v>
      </c>
      <c r="E113" s="4">
        <v>0.89583333333333337</v>
      </c>
      <c r="F113" s="4">
        <v>0.10416666666666667</v>
      </c>
      <c r="G113" t="s">
        <v>35</v>
      </c>
      <c r="H113">
        <v>1</v>
      </c>
      <c r="I113">
        <v>200</v>
      </c>
      <c r="J113">
        <f>VLOOKUP(Tabla14[[#This Row],[TARIFA]],$P$2:$Q$5,2,0)</f>
        <v>200</v>
      </c>
      <c r="K113">
        <v>1</v>
      </c>
      <c r="L113">
        <v>60</v>
      </c>
      <c r="M113" s="7">
        <f>Tabla14[[#This Row],[TARIFA]]+Tabla14[[#This Row],[IMPORTE EXTRAS]]</f>
        <v>260</v>
      </c>
    </row>
    <row r="114" spans="1:13" x14ac:dyDescent="0.2">
      <c r="A114">
        <v>2023</v>
      </c>
      <c r="B114" t="s">
        <v>59</v>
      </c>
      <c r="C114" s="3">
        <v>45067</v>
      </c>
      <c r="D114" s="3" t="s">
        <v>43</v>
      </c>
      <c r="E114" s="4">
        <v>0.39583333333333331</v>
      </c>
      <c r="F114" s="4">
        <v>0.60416666666666663</v>
      </c>
      <c r="G114" t="s">
        <v>30</v>
      </c>
      <c r="H114">
        <v>1</v>
      </c>
      <c r="I114">
        <v>150</v>
      </c>
      <c r="J114">
        <f>VLOOKUP(Tabla14[[#This Row],[TARIFA]],$P$2:$Q$5,2,0)</f>
        <v>150</v>
      </c>
      <c r="K114">
        <v>0</v>
      </c>
      <c r="L114">
        <v>0</v>
      </c>
      <c r="M114" s="7">
        <f>Tabla14[[#This Row],[TARIFA]]+Tabla14[[#This Row],[IMPORTE EXTRAS]]</f>
        <v>150</v>
      </c>
    </row>
    <row r="115" spans="1:13" x14ac:dyDescent="0.2">
      <c r="A115">
        <v>2023</v>
      </c>
      <c r="B115" t="s">
        <v>59</v>
      </c>
      <c r="C115" s="3">
        <v>45067</v>
      </c>
      <c r="D115" s="3" t="s">
        <v>43</v>
      </c>
      <c r="E115" s="4">
        <v>0.64583333333333337</v>
      </c>
      <c r="F115" s="4">
        <v>0.85416666666666663</v>
      </c>
      <c r="G115" t="s">
        <v>31</v>
      </c>
      <c r="H115">
        <v>1</v>
      </c>
      <c r="I115">
        <v>150</v>
      </c>
      <c r="J115">
        <f>VLOOKUP(Tabla14[[#This Row],[TARIFA]],$P$2:$Q$5,2,0)</f>
        <v>150</v>
      </c>
      <c r="K115">
        <v>0</v>
      </c>
      <c r="L115">
        <v>0</v>
      </c>
      <c r="M115" s="7">
        <f>Tabla14[[#This Row],[TARIFA]]+Tabla14[[#This Row],[IMPORTE EXTRAS]]</f>
        <v>150</v>
      </c>
    </row>
    <row r="116" spans="1:13" x14ac:dyDescent="0.2">
      <c r="A116">
        <v>2023</v>
      </c>
      <c r="B116" t="s">
        <v>59</v>
      </c>
      <c r="C116" s="3">
        <v>45072</v>
      </c>
      <c r="D116" s="3" t="s">
        <v>41</v>
      </c>
      <c r="E116" s="4">
        <v>0.89583333333333337</v>
      </c>
      <c r="F116" s="4">
        <v>0.10416666666666667</v>
      </c>
      <c r="G116" t="s">
        <v>35</v>
      </c>
      <c r="H116">
        <v>1</v>
      </c>
      <c r="I116">
        <v>200</v>
      </c>
      <c r="J116">
        <f>VLOOKUP(Tabla14[[#This Row],[TARIFA]],$P$2:$Q$5,2,0)</f>
        <v>200</v>
      </c>
      <c r="K116">
        <v>0</v>
      </c>
      <c r="L116">
        <v>0</v>
      </c>
      <c r="M116" s="7">
        <f>Tabla14[[#This Row],[TARIFA]]+Tabla14[[#This Row],[IMPORTE EXTRAS]]</f>
        <v>200</v>
      </c>
    </row>
    <row r="117" spans="1:13" x14ac:dyDescent="0.2">
      <c r="A117">
        <v>2023</v>
      </c>
      <c r="B117" t="s">
        <v>59</v>
      </c>
      <c r="C117" s="3">
        <v>45073</v>
      </c>
      <c r="D117" s="3" t="s">
        <v>42</v>
      </c>
      <c r="E117" s="4">
        <v>0.39583333333333331</v>
      </c>
      <c r="F117" s="4">
        <v>0.60416666666666663</v>
      </c>
      <c r="G117" t="s">
        <v>30</v>
      </c>
      <c r="H117">
        <v>1</v>
      </c>
      <c r="I117">
        <v>150</v>
      </c>
      <c r="J117">
        <f>VLOOKUP(Tabla14[[#This Row],[TARIFA]],$P$2:$Q$5,2,0)</f>
        <v>150</v>
      </c>
      <c r="K117">
        <v>0</v>
      </c>
      <c r="L117">
        <v>0</v>
      </c>
      <c r="M117" s="7">
        <f>Tabla14[[#This Row],[TARIFA]]+Tabla14[[#This Row],[IMPORTE EXTRAS]]</f>
        <v>150</v>
      </c>
    </row>
    <row r="118" spans="1:13" x14ac:dyDescent="0.2">
      <c r="A118">
        <v>2023</v>
      </c>
      <c r="B118" t="s">
        <v>59</v>
      </c>
      <c r="C118" s="3">
        <v>45073</v>
      </c>
      <c r="D118" s="3" t="s">
        <v>42</v>
      </c>
      <c r="E118" s="4">
        <v>0.64583333333333337</v>
      </c>
      <c r="F118" s="4">
        <v>0.85416666666666663</v>
      </c>
      <c r="G118" t="s">
        <v>31</v>
      </c>
      <c r="H118">
        <v>1</v>
      </c>
      <c r="I118">
        <v>150</v>
      </c>
      <c r="J118">
        <f>VLOOKUP(Tabla14[[#This Row],[TARIFA]],$P$2:$Q$5,2,0)</f>
        <v>150</v>
      </c>
      <c r="K118">
        <v>0</v>
      </c>
      <c r="L118">
        <v>0</v>
      </c>
      <c r="M118" s="7">
        <f>Tabla14[[#This Row],[TARIFA]]+Tabla14[[#This Row],[IMPORTE EXTRAS]]</f>
        <v>150</v>
      </c>
    </row>
    <row r="119" spans="1:13" x14ac:dyDescent="0.2">
      <c r="A119">
        <v>2023</v>
      </c>
      <c r="B119" t="s">
        <v>59</v>
      </c>
      <c r="C119" s="3">
        <v>45074</v>
      </c>
      <c r="D119" s="3" t="s">
        <v>43</v>
      </c>
      <c r="E119" s="4">
        <v>0.39583333333333331</v>
      </c>
      <c r="F119" s="4">
        <v>0.60416666666666663</v>
      </c>
      <c r="G119" t="s">
        <v>30</v>
      </c>
      <c r="H119">
        <v>1</v>
      </c>
      <c r="I119">
        <v>150</v>
      </c>
      <c r="J119">
        <f>VLOOKUP(Tabla14[[#This Row],[TARIFA]],$P$2:$Q$5,2,0)</f>
        <v>150</v>
      </c>
      <c r="K119">
        <v>0</v>
      </c>
      <c r="L119">
        <v>0</v>
      </c>
      <c r="M119" s="7">
        <f>Tabla14[[#This Row],[TARIFA]]+Tabla14[[#This Row],[IMPORTE EXTRAS]]</f>
        <v>150</v>
      </c>
    </row>
    <row r="120" spans="1:13" x14ac:dyDescent="0.2">
      <c r="A120">
        <v>2023</v>
      </c>
      <c r="B120" t="s">
        <v>59</v>
      </c>
      <c r="C120" s="3">
        <v>45077</v>
      </c>
      <c r="D120" s="3" t="s">
        <v>39</v>
      </c>
      <c r="E120" s="4">
        <v>0.64583333333333337</v>
      </c>
      <c r="F120" s="4">
        <v>0.85416666666666663</v>
      </c>
      <c r="G120" t="s">
        <v>31</v>
      </c>
      <c r="H120">
        <v>1</v>
      </c>
      <c r="I120">
        <v>95</v>
      </c>
      <c r="J120">
        <f>VLOOKUP(Tabla14[[#This Row],[TARIFA]],$P$2:$Q$5,2,0)</f>
        <v>100</v>
      </c>
      <c r="K120">
        <v>0</v>
      </c>
      <c r="L120">
        <v>0</v>
      </c>
      <c r="M120" s="7">
        <f>Tabla14[[#This Row],[TARIFA]]+Tabla14[[#This Row],[IMPORTE EXTRAS]]</f>
        <v>95</v>
      </c>
    </row>
    <row r="121" spans="1:13" x14ac:dyDescent="0.2">
      <c r="A121">
        <v>2023</v>
      </c>
      <c r="B121" t="s">
        <v>60</v>
      </c>
      <c r="C121" s="3">
        <v>45078</v>
      </c>
      <c r="D121" s="3" t="s">
        <v>40</v>
      </c>
      <c r="E121" s="4">
        <v>0.64583333333333337</v>
      </c>
      <c r="F121" s="4">
        <v>0.85416666666666663</v>
      </c>
      <c r="G121" t="s">
        <v>31</v>
      </c>
      <c r="H121">
        <v>1</v>
      </c>
      <c r="I121">
        <v>95</v>
      </c>
      <c r="J121">
        <f>VLOOKUP(Tabla14[[#This Row],[TARIFA]],$P$2:$Q$5,2,0)</f>
        <v>100</v>
      </c>
      <c r="K121">
        <v>0</v>
      </c>
      <c r="L121">
        <v>0</v>
      </c>
      <c r="M121" s="7">
        <f>Tabla14[[#This Row],[TARIFA]]+Tabla14[[#This Row],[IMPORTE EXTRAS]]</f>
        <v>95</v>
      </c>
    </row>
    <row r="122" spans="1:13" x14ac:dyDescent="0.2">
      <c r="A122">
        <v>2023</v>
      </c>
      <c r="B122" t="s">
        <v>60</v>
      </c>
      <c r="C122" s="3">
        <v>45080</v>
      </c>
      <c r="D122" s="3" t="s">
        <v>42</v>
      </c>
      <c r="E122" s="4">
        <v>0.64583333333333337</v>
      </c>
      <c r="F122" s="4">
        <v>0.85416666666666663</v>
      </c>
      <c r="G122" t="s">
        <v>31</v>
      </c>
      <c r="H122">
        <v>1</v>
      </c>
      <c r="I122">
        <v>150</v>
      </c>
      <c r="J122">
        <f>VLOOKUP(Tabla14[[#This Row],[TARIFA]],$P$2:$Q$5,2,0)</f>
        <v>150</v>
      </c>
      <c r="K122">
        <v>0</v>
      </c>
      <c r="L122">
        <v>0</v>
      </c>
      <c r="M122" s="7">
        <f>Tabla14[[#This Row],[TARIFA]]+Tabla14[[#This Row],[IMPORTE EXTRAS]]</f>
        <v>150</v>
      </c>
    </row>
    <row r="123" spans="1:13" x14ac:dyDescent="0.2">
      <c r="A123">
        <v>2023</v>
      </c>
      <c r="B123" t="s">
        <v>60</v>
      </c>
      <c r="C123" s="3">
        <v>45080</v>
      </c>
      <c r="D123" s="3" t="s">
        <v>42</v>
      </c>
      <c r="E123" s="4">
        <v>0.89583333333333337</v>
      </c>
      <c r="F123" s="4">
        <v>0.10416666666666667</v>
      </c>
      <c r="G123" t="s">
        <v>35</v>
      </c>
      <c r="H123">
        <v>1</v>
      </c>
      <c r="I123">
        <v>200</v>
      </c>
      <c r="J123">
        <f>VLOOKUP(Tabla14[[#This Row],[TARIFA]],$P$2:$Q$5,2,0)</f>
        <v>200</v>
      </c>
      <c r="K123">
        <v>0</v>
      </c>
      <c r="L123">
        <v>0</v>
      </c>
      <c r="M123" s="7">
        <f>Tabla14[[#This Row],[TARIFA]]+Tabla14[[#This Row],[IMPORTE EXTRAS]]</f>
        <v>200</v>
      </c>
    </row>
    <row r="124" spans="1:13" x14ac:dyDescent="0.2">
      <c r="A124">
        <v>2023</v>
      </c>
      <c r="B124" t="s">
        <v>60</v>
      </c>
      <c r="C124" s="3">
        <v>45081</v>
      </c>
      <c r="D124" s="3" t="s">
        <v>43</v>
      </c>
      <c r="E124" s="4">
        <v>0.39583333333333331</v>
      </c>
      <c r="F124" s="4">
        <v>0.85416666666666663</v>
      </c>
      <c r="G124" t="s">
        <v>32</v>
      </c>
      <c r="H124">
        <v>2</v>
      </c>
      <c r="I124">
        <v>150</v>
      </c>
      <c r="J124">
        <f>VLOOKUP(Tabla14[[#This Row],[TARIFA]],$P$2:$Q$5,2,0)</f>
        <v>150</v>
      </c>
      <c r="K124">
        <v>0</v>
      </c>
      <c r="L124">
        <v>0</v>
      </c>
      <c r="M124" s="7">
        <f>Tabla14[[#This Row],[TARIFA]]+Tabla14[[#This Row],[IMPORTE EXTRAS]]</f>
        <v>150</v>
      </c>
    </row>
    <row r="125" spans="1:13" x14ac:dyDescent="0.2">
      <c r="A125">
        <v>2023</v>
      </c>
      <c r="B125" t="s">
        <v>60</v>
      </c>
      <c r="C125" s="3">
        <v>45082</v>
      </c>
      <c r="D125" s="3" t="s">
        <v>37</v>
      </c>
      <c r="E125" s="4">
        <v>0.64583333333333337</v>
      </c>
      <c r="F125" s="4">
        <v>0.85416666666666663</v>
      </c>
      <c r="G125" t="s">
        <v>31</v>
      </c>
      <c r="H125">
        <v>1</v>
      </c>
      <c r="I125">
        <v>95</v>
      </c>
      <c r="J125">
        <f>VLOOKUP(Tabla14[[#This Row],[TARIFA]],$P$2:$Q$5,2,0)</f>
        <v>100</v>
      </c>
      <c r="K125">
        <v>0</v>
      </c>
      <c r="L125">
        <v>0</v>
      </c>
      <c r="M125" s="7">
        <f>Tabla14[[#This Row],[TARIFA]]+Tabla14[[#This Row],[IMPORTE EXTRAS]]</f>
        <v>95</v>
      </c>
    </row>
    <row r="126" spans="1:13" x14ac:dyDescent="0.2">
      <c r="A126">
        <v>2023</v>
      </c>
      <c r="B126" t="s">
        <v>60</v>
      </c>
      <c r="C126" s="3">
        <v>45084</v>
      </c>
      <c r="D126" s="3" t="s">
        <v>39</v>
      </c>
      <c r="E126" s="4">
        <v>0.64583333333333337</v>
      </c>
      <c r="F126" s="4">
        <v>0.85416666666666663</v>
      </c>
      <c r="G126" t="s">
        <v>31</v>
      </c>
      <c r="H126">
        <v>1</v>
      </c>
      <c r="I126">
        <v>95</v>
      </c>
      <c r="J126">
        <f>VLOOKUP(Tabla14[[#This Row],[TARIFA]],$P$2:$Q$5,2,0)</f>
        <v>100</v>
      </c>
      <c r="K126">
        <v>0</v>
      </c>
      <c r="L126">
        <v>0</v>
      </c>
      <c r="M126" s="7">
        <f>Tabla14[[#This Row],[TARIFA]]+Tabla14[[#This Row],[IMPORTE EXTRAS]]</f>
        <v>95</v>
      </c>
    </row>
    <row r="127" spans="1:13" x14ac:dyDescent="0.2">
      <c r="A127">
        <v>2023</v>
      </c>
      <c r="B127" t="s">
        <v>60</v>
      </c>
      <c r="C127" s="3">
        <v>45086</v>
      </c>
      <c r="D127" s="3" t="s">
        <v>41</v>
      </c>
      <c r="E127" s="4">
        <v>0.64583333333333337</v>
      </c>
      <c r="F127" s="4">
        <v>0.10416666666666667</v>
      </c>
      <c r="G127" t="s">
        <v>53</v>
      </c>
      <c r="H127">
        <v>2</v>
      </c>
      <c r="I127">
        <v>300</v>
      </c>
      <c r="J127">
        <f>Tabla14[[#This Row],[TARIFA]]</f>
        <v>300</v>
      </c>
      <c r="K127">
        <v>0</v>
      </c>
      <c r="L127">
        <v>0</v>
      </c>
      <c r="M127" s="7">
        <f>Tabla14[[#This Row],[TARIFA]]+Tabla14[[#This Row],[IMPORTE EXTRAS]]</f>
        <v>300</v>
      </c>
    </row>
    <row r="128" spans="1:13" x14ac:dyDescent="0.2">
      <c r="A128">
        <v>2023</v>
      </c>
      <c r="B128" t="s">
        <v>60</v>
      </c>
      <c r="C128" s="3">
        <v>45087</v>
      </c>
      <c r="D128" s="3" t="s">
        <v>42</v>
      </c>
      <c r="E128" s="4">
        <v>0.39583333333333331</v>
      </c>
      <c r="F128" s="4">
        <v>0.60416666666666663</v>
      </c>
      <c r="G128" t="s">
        <v>30</v>
      </c>
      <c r="H128">
        <v>1</v>
      </c>
      <c r="I128">
        <v>150</v>
      </c>
      <c r="J128">
        <f>VLOOKUP(Tabla14[[#This Row],[TARIFA]],$P$2:$Q$5,2,0)</f>
        <v>150</v>
      </c>
      <c r="K128">
        <v>0</v>
      </c>
      <c r="L128">
        <v>0</v>
      </c>
      <c r="M128" s="7">
        <f>Tabla14[[#This Row],[TARIFA]]+Tabla14[[#This Row],[IMPORTE EXTRAS]]</f>
        <v>150</v>
      </c>
    </row>
    <row r="129" spans="1:13" x14ac:dyDescent="0.2">
      <c r="A129">
        <v>2023</v>
      </c>
      <c r="B129" t="s">
        <v>60</v>
      </c>
      <c r="C129" s="3">
        <v>45087</v>
      </c>
      <c r="D129" s="3" t="s">
        <v>42</v>
      </c>
      <c r="E129" s="4">
        <v>0.64583333333333337</v>
      </c>
      <c r="F129" s="4">
        <v>0.85416666666666663</v>
      </c>
      <c r="G129" t="s">
        <v>31</v>
      </c>
      <c r="H129">
        <v>1</v>
      </c>
      <c r="I129">
        <v>150</v>
      </c>
      <c r="J129">
        <f>VLOOKUP(Tabla14[[#This Row],[TARIFA]],$P$2:$Q$5,2,0)</f>
        <v>150</v>
      </c>
      <c r="K129">
        <v>0</v>
      </c>
      <c r="L129">
        <v>0</v>
      </c>
      <c r="M129" s="7">
        <f>Tabla14[[#This Row],[TARIFA]]+Tabla14[[#This Row],[IMPORTE EXTRAS]]</f>
        <v>150</v>
      </c>
    </row>
    <row r="130" spans="1:13" x14ac:dyDescent="0.2">
      <c r="A130">
        <v>2023</v>
      </c>
      <c r="B130" t="s">
        <v>60</v>
      </c>
      <c r="C130" s="3">
        <v>45087</v>
      </c>
      <c r="D130" s="3" t="s">
        <v>42</v>
      </c>
      <c r="E130" s="4">
        <v>0.89583333333333337</v>
      </c>
      <c r="F130" s="4">
        <v>0.10416666666666667</v>
      </c>
      <c r="G130" t="s">
        <v>35</v>
      </c>
      <c r="H130">
        <v>1</v>
      </c>
      <c r="I130">
        <v>200</v>
      </c>
      <c r="J130">
        <f>VLOOKUP(Tabla14[[#This Row],[TARIFA]],$P$2:$Q$5,2,0)</f>
        <v>200</v>
      </c>
      <c r="K130">
        <v>1</v>
      </c>
      <c r="L130">
        <v>60</v>
      </c>
      <c r="M130" s="7">
        <f>Tabla14[[#This Row],[TARIFA]]+Tabla14[[#This Row],[IMPORTE EXTRAS]]</f>
        <v>260</v>
      </c>
    </row>
    <row r="131" spans="1:13" x14ac:dyDescent="0.2">
      <c r="A131">
        <v>2023</v>
      </c>
      <c r="B131" t="s">
        <v>60</v>
      </c>
      <c r="C131" s="3">
        <v>45088</v>
      </c>
      <c r="D131" s="3" t="s">
        <v>43</v>
      </c>
      <c r="E131" s="4">
        <v>0.39583333333333331</v>
      </c>
      <c r="F131" s="4">
        <v>0.60416666666666663</v>
      </c>
      <c r="G131" t="s">
        <v>30</v>
      </c>
      <c r="H131">
        <v>1</v>
      </c>
      <c r="I131">
        <v>145</v>
      </c>
      <c r="J131">
        <f>Tabla14[[#This Row],[TARIFA]]</f>
        <v>145</v>
      </c>
      <c r="K131">
        <v>0</v>
      </c>
      <c r="L131">
        <v>0</v>
      </c>
      <c r="M131" s="7">
        <f>Tabla14[[#This Row],[TARIFA]]+Tabla14[[#This Row],[IMPORTE EXTRAS]]</f>
        <v>145</v>
      </c>
    </row>
    <row r="132" spans="1:13" x14ac:dyDescent="0.2">
      <c r="A132">
        <v>2023</v>
      </c>
      <c r="B132" t="s">
        <v>60</v>
      </c>
      <c r="C132" s="3">
        <v>45088</v>
      </c>
      <c r="D132" s="3" t="s">
        <v>43</v>
      </c>
      <c r="E132" s="4">
        <v>0.64583333333333337</v>
      </c>
      <c r="F132" s="4">
        <v>0.85416666666666663</v>
      </c>
      <c r="G132" t="s">
        <v>31</v>
      </c>
      <c r="H132">
        <v>1</v>
      </c>
      <c r="I132">
        <v>150</v>
      </c>
      <c r="J132">
        <f>VLOOKUP(Tabla14[[#This Row],[TARIFA]],$P$2:$Q$5,2,0)</f>
        <v>150</v>
      </c>
      <c r="K132">
        <v>0</v>
      </c>
      <c r="L132">
        <v>0</v>
      </c>
      <c r="M132" s="7">
        <f>Tabla14[[#This Row],[TARIFA]]+Tabla14[[#This Row],[IMPORTE EXTRAS]]</f>
        <v>150</v>
      </c>
    </row>
    <row r="133" spans="1:13" x14ac:dyDescent="0.2">
      <c r="A133">
        <v>2023</v>
      </c>
      <c r="B133" t="s">
        <v>60</v>
      </c>
      <c r="C133" s="3">
        <v>45089</v>
      </c>
      <c r="D133" s="3" t="s">
        <v>37</v>
      </c>
      <c r="E133" s="4">
        <v>0.64583333333333337</v>
      </c>
      <c r="F133" s="4">
        <v>0.85416666666666663</v>
      </c>
      <c r="G133" t="s">
        <v>31</v>
      </c>
      <c r="H133">
        <v>1</v>
      </c>
      <c r="I133">
        <v>95</v>
      </c>
      <c r="J133">
        <f>VLOOKUP(Tabla14[[#This Row],[TARIFA]],$P$2:$Q$5,2,0)</f>
        <v>100</v>
      </c>
      <c r="K133">
        <v>0</v>
      </c>
      <c r="L133">
        <v>0</v>
      </c>
      <c r="M133" s="7">
        <f>Tabla14[[#This Row],[TARIFA]]+Tabla14[[#This Row],[IMPORTE EXTRAS]]</f>
        <v>95</v>
      </c>
    </row>
    <row r="134" spans="1:13" x14ac:dyDescent="0.2">
      <c r="A134">
        <v>2023</v>
      </c>
      <c r="B134" t="s">
        <v>60</v>
      </c>
      <c r="C134" s="3">
        <v>45093</v>
      </c>
      <c r="D134" s="3" t="s">
        <v>41</v>
      </c>
      <c r="E134" s="4">
        <v>0.64583333333333337</v>
      </c>
      <c r="F134" s="4">
        <v>0.85416666666666663</v>
      </c>
      <c r="G134" t="s">
        <v>31</v>
      </c>
      <c r="H134">
        <v>1</v>
      </c>
      <c r="I134">
        <v>140</v>
      </c>
      <c r="J134">
        <f>VLOOKUP(Tabla14[[#This Row],[TARIFA]],$P$2:$Q$5,2,0)</f>
        <v>140</v>
      </c>
      <c r="K134">
        <v>0</v>
      </c>
      <c r="L134">
        <v>0</v>
      </c>
      <c r="M134" s="7">
        <f>Tabla14[[#This Row],[TARIFA]]+Tabla14[[#This Row],[IMPORTE EXTRAS]]</f>
        <v>140</v>
      </c>
    </row>
    <row r="135" spans="1:13" x14ac:dyDescent="0.2">
      <c r="A135">
        <v>2023</v>
      </c>
      <c r="B135" t="s">
        <v>60</v>
      </c>
      <c r="C135" s="3">
        <v>45094</v>
      </c>
      <c r="D135" s="3" t="s">
        <v>42</v>
      </c>
      <c r="E135" s="4">
        <v>0.39583333333333331</v>
      </c>
      <c r="F135" s="4">
        <v>0.60416666666666663</v>
      </c>
      <c r="G135" t="s">
        <v>30</v>
      </c>
      <c r="H135">
        <v>1</v>
      </c>
      <c r="I135">
        <v>150</v>
      </c>
      <c r="J135">
        <f>VLOOKUP(Tabla14[[#This Row],[TARIFA]],$P$2:$Q$5,2,0)</f>
        <v>150</v>
      </c>
      <c r="K135">
        <v>0</v>
      </c>
      <c r="L135">
        <v>0</v>
      </c>
      <c r="M135" s="7">
        <f>Tabla14[[#This Row],[TARIFA]]+Tabla14[[#This Row],[IMPORTE EXTRAS]]</f>
        <v>150</v>
      </c>
    </row>
    <row r="136" spans="1:13" x14ac:dyDescent="0.2">
      <c r="A136">
        <v>2023</v>
      </c>
      <c r="B136" t="s">
        <v>60</v>
      </c>
      <c r="C136" s="3">
        <v>45094</v>
      </c>
      <c r="D136" s="3" t="s">
        <v>42</v>
      </c>
      <c r="E136" s="4">
        <v>0.64583333333333337</v>
      </c>
      <c r="F136" s="4">
        <v>0.85416666666666663</v>
      </c>
      <c r="G136" t="s">
        <v>31</v>
      </c>
      <c r="H136">
        <v>1</v>
      </c>
      <c r="I136">
        <v>150</v>
      </c>
      <c r="J136">
        <f>VLOOKUP(Tabla14[[#This Row],[TARIFA]],$P$2:$Q$5,2,0)</f>
        <v>150</v>
      </c>
      <c r="K136">
        <v>0</v>
      </c>
      <c r="L136">
        <v>0</v>
      </c>
      <c r="M136" s="7">
        <f>Tabla14[[#This Row],[TARIFA]]+Tabla14[[#This Row],[IMPORTE EXTRAS]]</f>
        <v>150</v>
      </c>
    </row>
    <row r="137" spans="1:13" x14ac:dyDescent="0.2">
      <c r="A137">
        <v>2023</v>
      </c>
      <c r="B137" t="s">
        <v>60</v>
      </c>
      <c r="C137" s="3">
        <v>45095</v>
      </c>
      <c r="D137" s="3" t="s">
        <v>43</v>
      </c>
      <c r="E137" s="4">
        <v>0.39583333333333331</v>
      </c>
      <c r="F137" s="4">
        <v>0.85416666666666663</v>
      </c>
      <c r="G137" t="s">
        <v>32</v>
      </c>
      <c r="H137">
        <v>2</v>
      </c>
      <c r="I137">
        <v>290</v>
      </c>
      <c r="J137">
        <f>Tabla14[[#This Row],[TARIFA]]</f>
        <v>290</v>
      </c>
      <c r="K137">
        <v>0</v>
      </c>
      <c r="L137">
        <v>0</v>
      </c>
      <c r="M137" s="7">
        <f>Tabla14[[#This Row],[TARIFA]]+Tabla14[[#This Row],[IMPORTE EXTRAS]]</f>
        <v>290</v>
      </c>
    </row>
    <row r="138" spans="1:13" x14ac:dyDescent="0.2">
      <c r="A138">
        <v>2023</v>
      </c>
      <c r="B138" t="s">
        <v>60</v>
      </c>
      <c r="C138" s="3">
        <v>45100</v>
      </c>
      <c r="D138" s="3" t="s">
        <v>41</v>
      </c>
      <c r="E138" s="4">
        <v>0.64583333333333337</v>
      </c>
      <c r="F138" s="4">
        <v>0.10416666666666667</v>
      </c>
      <c r="G138" t="s">
        <v>35</v>
      </c>
      <c r="H138">
        <v>1</v>
      </c>
      <c r="I138">
        <v>300</v>
      </c>
      <c r="J138">
        <f>Tabla14[[#This Row],[TARIFA]]</f>
        <v>300</v>
      </c>
      <c r="K138">
        <v>0</v>
      </c>
      <c r="L138">
        <v>0</v>
      </c>
      <c r="M138" s="7">
        <f>Tabla14[[#This Row],[TARIFA]]+Tabla14[[#This Row],[IMPORTE EXTRAS]]</f>
        <v>300</v>
      </c>
    </row>
    <row r="139" spans="1:13" x14ac:dyDescent="0.2">
      <c r="A139">
        <v>2023</v>
      </c>
      <c r="B139" t="s">
        <v>60</v>
      </c>
      <c r="C139" s="3">
        <v>45102</v>
      </c>
      <c r="D139" s="3" t="s">
        <v>43</v>
      </c>
      <c r="E139" s="4">
        <v>0.64583333333333337</v>
      </c>
      <c r="F139" s="4">
        <v>0.85416666666666663</v>
      </c>
      <c r="G139" t="s">
        <v>31</v>
      </c>
      <c r="H139">
        <v>1</v>
      </c>
      <c r="I139">
        <v>150</v>
      </c>
      <c r="J139">
        <f>VLOOKUP(Tabla14[[#This Row],[TARIFA]],$P$2:$Q$5,2,0)</f>
        <v>150</v>
      </c>
      <c r="K139">
        <v>0</v>
      </c>
      <c r="L139">
        <v>0</v>
      </c>
      <c r="M139" s="7">
        <f>Tabla14[[#This Row],[TARIFA]]+Tabla14[[#This Row],[IMPORTE EXTRAS]]</f>
        <v>150</v>
      </c>
    </row>
    <row r="140" spans="1:13" x14ac:dyDescent="0.2">
      <c r="A140">
        <v>2023</v>
      </c>
      <c r="B140" t="s">
        <v>60</v>
      </c>
      <c r="C140" s="3">
        <v>45106</v>
      </c>
      <c r="D140" s="3" t="s">
        <v>40</v>
      </c>
      <c r="E140" s="4">
        <v>0.64583333333333337</v>
      </c>
      <c r="F140" s="4">
        <v>0.85416666666666663</v>
      </c>
      <c r="G140" t="s">
        <v>31</v>
      </c>
      <c r="H140">
        <v>1</v>
      </c>
      <c r="I140">
        <v>95</v>
      </c>
      <c r="J140">
        <f>VLOOKUP(Tabla14[[#This Row],[TARIFA]],$P$2:$Q$5,2,0)</f>
        <v>100</v>
      </c>
      <c r="K140">
        <v>0</v>
      </c>
      <c r="L140">
        <v>0</v>
      </c>
      <c r="M140" s="7">
        <f>Tabla14[[#This Row],[TARIFA]]+Tabla14[[#This Row],[IMPORTE EXTRAS]]</f>
        <v>95</v>
      </c>
    </row>
    <row r="141" spans="1:13" x14ac:dyDescent="0.2">
      <c r="A141">
        <v>2023</v>
      </c>
      <c r="B141" t="s">
        <v>60</v>
      </c>
      <c r="C141" s="3">
        <v>45107</v>
      </c>
      <c r="D141" s="3" t="s">
        <v>41</v>
      </c>
      <c r="E141" s="4">
        <v>0.89583333333333337</v>
      </c>
      <c r="F141" s="4">
        <v>0.10416666666666667</v>
      </c>
      <c r="G141" t="s">
        <v>35</v>
      </c>
      <c r="H141">
        <v>1</v>
      </c>
      <c r="I141">
        <v>200</v>
      </c>
      <c r="J141">
        <f>VLOOKUP(Tabla14[[#This Row],[TARIFA]],$P$2:$Q$5,2,0)</f>
        <v>200</v>
      </c>
      <c r="K141">
        <v>0</v>
      </c>
      <c r="L141">
        <v>0</v>
      </c>
      <c r="M141" s="7">
        <f>Tabla14[[#This Row],[TARIFA]]+Tabla14[[#This Row],[IMPORTE EXTRAS]]</f>
        <v>200</v>
      </c>
    </row>
    <row r="142" spans="1:13" x14ac:dyDescent="0.2">
      <c r="A142">
        <v>2023</v>
      </c>
      <c r="B142" t="s">
        <v>61</v>
      </c>
      <c r="C142" s="3">
        <v>45108</v>
      </c>
      <c r="D142" s="3" t="s">
        <v>42</v>
      </c>
      <c r="E142" s="4">
        <v>0.39583333333333331</v>
      </c>
      <c r="F142" s="4">
        <v>0.60416666666666663</v>
      </c>
      <c r="G142" t="s">
        <v>30</v>
      </c>
      <c r="H142">
        <v>1</v>
      </c>
      <c r="I142">
        <v>150</v>
      </c>
      <c r="J142">
        <f>VLOOKUP(Tabla14[[#This Row],[TARIFA]],$P$2:$Q$5,2,0)</f>
        <v>150</v>
      </c>
      <c r="K142">
        <v>0</v>
      </c>
      <c r="L142">
        <v>0</v>
      </c>
      <c r="M142" s="7">
        <f>Tabla14[[#This Row],[TARIFA]]+Tabla14[[#This Row],[IMPORTE EXTRAS]]</f>
        <v>150</v>
      </c>
    </row>
    <row r="143" spans="1:13" x14ac:dyDescent="0.2">
      <c r="A143">
        <v>2023</v>
      </c>
      <c r="B143" t="s">
        <v>61</v>
      </c>
      <c r="C143" s="3">
        <v>45108</v>
      </c>
      <c r="D143" s="3" t="s">
        <v>42</v>
      </c>
      <c r="E143" s="4">
        <v>0.64583333333333337</v>
      </c>
      <c r="F143" s="4">
        <v>0.85416666666666663</v>
      </c>
      <c r="G143" t="s">
        <v>31</v>
      </c>
      <c r="H143">
        <v>1</v>
      </c>
      <c r="I143">
        <v>150</v>
      </c>
      <c r="J143">
        <f>VLOOKUP(Tabla14[[#This Row],[TARIFA]],$P$2:$Q$5,2,0)</f>
        <v>150</v>
      </c>
      <c r="K143">
        <v>0</v>
      </c>
      <c r="L143">
        <v>0</v>
      </c>
      <c r="M143" s="7">
        <f>Tabla14[[#This Row],[TARIFA]]+Tabla14[[#This Row],[IMPORTE EXTRAS]]</f>
        <v>150</v>
      </c>
    </row>
    <row r="144" spans="1:13" x14ac:dyDescent="0.2">
      <c r="A144">
        <v>2023</v>
      </c>
      <c r="B144" t="s">
        <v>61</v>
      </c>
      <c r="C144" s="3">
        <v>45108</v>
      </c>
      <c r="D144" s="3" t="s">
        <v>42</v>
      </c>
      <c r="E144" s="4">
        <v>0.89583333333333337</v>
      </c>
      <c r="F144" s="4">
        <v>0.10416666666666667</v>
      </c>
      <c r="G144" t="s">
        <v>35</v>
      </c>
      <c r="H144">
        <v>1</v>
      </c>
      <c r="I144">
        <v>200</v>
      </c>
      <c r="J144">
        <f>VLOOKUP(Tabla14[[#This Row],[TARIFA]],$P$2:$Q$5,2,0)</f>
        <v>200</v>
      </c>
      <c r="K144">
        <v>1</v>
      </c>
      <c r="L144">
        <v>110</v>
      </c>
      <c r="M144" s="7">
        <f>Tabla14[[#This Row],[TARIFA]]+Tabla14[[#This Row],[IMPORTE EXTRAS]]</f>
        <v>310</v>
      </c>
    </row>
    <row r="145" spans="1:13" x14ac:dyDescent="0.2">
      <c r="A145">
        <v>2023</v>
      </c>
      <c r="B145" t="s">
        <v>61</v>
      </c>
      <c r="C145" s="3">
        <v>45109</v>
      </c>
      <c r="D145" s="3" t="s">
        <v>43</v>
      </c>
      <c r="E145" s="4">
        <v>0.64583333333333337</v>
      </c>
      <c r="F145" s="4">
        <v>0.85416666666666663</v>
      </c>
      <c r="G145" t="s">
        <v>31</v>
      </c>
      <c r="H145">
        <v>1</v>
      </c>
      <c r="I145">
        <v>150</v>
      </c>
      <c r="J145">
        <f>VLOOKUP(Tabla14[[#This Row],[TARIFA]],$P$2:$Q$5,2,0)</f>
        <v>150</v>
      </c>
      <c r="K145">
        <v>0</v>
      </c>
      <c r="L145">
        <v>0</v>
      </c>
      <c r="M145" s="7">
        <f>Tabla14[[#This Row],[TARIFA]]+Tabla14[[#This Row],[IMPORTE EXTRAS]]</f>
        <v>150</v>
      </c>
    </row>
    <row r="146" spans="1:13" x14ac:dyDescent="0.2">
      <c r="A146">
        <v>2023</v>
      </c>
      <c r="B146" t="s">
        <v>61</v>
      </c>
      <c r="C146" s="3">
        <v>45112</v>
      </c>
      <c r="D146" s="3" t="s">
        <v>39</v>
      </c>
      <c r="E146" s="4">
        <v>0.64583333333333337</v>
      </c>
      <c r="F146" s="4">
        <v>0.85416666666666663</v>
      </c>
      <c r="G146" t="s">
        <v>31</v>
      </c>
      <c r="H146">
        <v>1</v>
      </c>
      <c r="I146">
        <v>95</v>
      </c>
      <c r="J146">
        <f>VLOOKUP(Tabla14[[#This Row],[TARIFA]],$P$2:$Q$5,2,0)</f>
        <v>100</v>
      </c>
      <c r="K146">
        <v>1</v>
      </c>
      <c r="L146">
        <v>55</v>
      </c>
      <c r="M146" s="7">
        <f>Tabla14[[#This Row],[TARIFA]]+Tabla14[[#This Row],[IMPORTE EXTRAS]]</f>
        <v>150</v>
      </c>
    </row>
    <row r="147" spans="1:13" x14ac:dyDescent="0.2">
      <c r="A147">
        <v>2023</v>
      </c>
      <c r="B147" t="s">
        <v>61</v>
      </c>
      <c r="C147" s="3">
        <v>45114</v>
      </c>
      <c r="D147" s="3" t="s">
        <v>41</v>
      </c>
      <c r="E147" s="4">
        <v>0.64583333333333337</v>
      </c>
      <c r="F147" s="4">
        <v>0.85416666666666663</v>
      </c>
      <c r="G147" t="s">
        <v>31</v>
      </c>
      <c r="H147">
        <v>1</v>
      </c>
      <c r="I147">
        <v>140</v>
      </c>
      <c r="J147">
        <f>VLOOKUP(Tabla14[[#This Row],[TARIFA]],$P$2:$Q$5,2,0)</f>
        <v>140</v>
      </c>
      <c r="K147">
        <v>0</v>
      </c>
      <c r="L147">
        <v>0</v>
      </c>
      <c r="M147" s="7">
        <f>Tabla14[[#This Row],[TARIFA]]+Tabla14[[#This Row],[IMPORTE EXTRAS]]</f>
        <v>140</v>
      </c>
    </row>
    <row r="148" spans="1:13" x14ac:dyDescent="0.2">
      <c r="A148">
        <v>2023</v>
      </c>
      <c r="B148" t="s">
        <v>61</v>
      </c>
      <c r="C148" s="3">
        <v>45114</v>
      </c>
      <c r="D148" s="3" t="s">
        <v>41</v>
      </c>
      <c r="E148" s="4">
        <v>0.89583333333333337</v>
      </c>
      <c r="F148" s="4">
        <v>0.10416666666666667</v>
      </c>
      <c r="G148" t="s">
        <v>35</v>
      </c>
      <c r="H148">
        <v>1</v>
      </c>
      <c r="I148">
        <v>200</v>
      </c>
      <c r="J148">
        <f>VLOOKUP(Tabla14[[#This Row],[TARIFA]],$P$2:$Q$5,2,0)</f>
        <v>200</v>
      </c>
      <c r="K148">
        <v>0</v>
      </c>
      <c r="L148">
        <v>0</v>
      </c>
      <c r="M148" s="7">
        <f>Tabla14[[#This Row],[TARIFA]]+Tabla14[[#This Row],[IMPORTE EXTRAS]]</f>
        <v>200</v>
      </c>
    </row>
    <row r="149" spans="1:13" x14ac:dyDescent="0.2">
      <c r="A149">
        <v>2023</v>
      </c>
      <c r="B149" t="s">
        <v>61</v>
      </c>
      <c r="C149" s="3">
        <v>45115</v>
      </c>
      <c r="D149" s="3" t="s">
        <v>42</v>
      </c>
      <c r="E149" s="4">
        <v>0.39583333333333331</v>
      </c>
      <c r="F149" s="4">
        <v>0.85416666666666663</v>
      </c>
      <c r="G149" t="s">
        <v>32</v>
      </c>
      <c r="H149">
        <v>2</v>
      </c>
      <c r="I149">
        <v>290</v>
      </c>
      <c r="J149">
        <f>Tabla14[[#This Row],[TARIFA]]</f>
        <v>290</v>
      </c>
      <c r="K149">
        <v>0</v>
      </c>
      <c r="L149">
        <v>0</v>
      </c>
      <c r="M149" s="7">
        <f>Tabla14[[#This Row],[TARIFA]]+Tabla14[[#This Row],[IMPORTE EXTRAS]]</f>
        <v>290</v>
      </c>
    </row>
    <row r="150" spans="1:13" x14ac:dyDescent="0.2">
      <c r="A150">
        <v>2023</v>
      </c>
      <c r="B150" t="s">
        <v>61</v>
      </c>
      <c r="C150" s="3">
        <v>45115</v>
      </c>
      <c r="D150" s="3" t="s">
        <v>42</v>
      </c>
      <c r="E150" s="4">
        <v>0.89583333333333337</v>
      </c>
      <c r="F150" s="4">
        <v>0.10416666666666667</v>
      </c>
      <c r="G150" t="s">
        <v>35</v>
      </c>
      <c r="H150">
        <v>1</v>
      </c>
      <c r="I150">
        <v>180</v>
      </c>
      <c r="J150">
        <f>Tabla14[[#This Row],[TARIFA]]</f>
        <v>180</v>
      </c>
      <c r="K150">
        <v>0</v>
      </c>
      <c r="L150">
        <v>0</v>
      </c>
      <c r="M150" s="7">
        <f>Tabla14[[#This Row],[TARIFA]]+Tabla14[[#This Row],[IMPORTE EXTRAS]]</f>
        <v>180</v>
      </c>
    </row>
    <row r="151" spans="1:13" x14ac:dyDescent="0.2">
      <c r="A151">
        <v>2023</v>
      </c>
      <c r="B151" t="s">
        <v>61</v>
      </c>
      <c r="C151" s="3">
        <v>45116</v>
      </c>
      <c r="D151" s="3" t="s">
        <v>43</v>
      </c>
      <c r="E151" s="4">
        <v>0.64583333333333337</v>
      </c>
      <c r="F151" s="4">
        <v>0.85416666666666663</v>
      </c>
      <c r="G151" t="s">
        <v>31</v>
      </c>
      <c r="H151">
        <v>1</v>
      </c>
      <c r="I151">
        <v>150</v>
      </c>
      <c r="J151">
        <f>VLOOKUP(Tabla14[[#This Row],[TARIFA]],$P$2:$Q$5,2,0)</f>
        <v>150</v>
      </c>
      <c r="K151">
        <v>0</v>
      </c>
      <c r="L151">
        <v>0</v>
      </c>
      <c r="M151" s="7">
        <f>Tabla14[[#This Row],[TARIFA]]+Tabla14[[#This Row],[IMPORTE EXTRAS]]</f>
        <v>150</v>
      </c>
    </row>
    <row r="152" spans="1:13" x14ac:dyDescent="0.2">
      <c r="A152">
        <v>2023</v>
      </c>
      <c r="B152" t="s">
        <v>61</v>
      </c>
      <c r="C152" s="3">
        <v>45122</v>
      </c>
      <c r="D152" s="3" t="s">
        <v>42</v>
      </c>
      <c r="E152" s="4">
        <v>0.39583333333333331</v>
      </c>
      <c r="F152" s="4">
        <v>0.10416666666666667</v>
      </c>
      <c r="G152" t="s">
        <v>32</v>
      </c>
      <c r="H152">
        <v>3</v>
      </c>
      <c r="I152">
        <v>400</v>
      </c>
      <c r="J152">
        <f>Tabla14[[#This Row],[TARIFA]]</f>
        <v>400</v>
      </c>
      <c r="K152">
        <v>0</v>
      </c>
      <c r="L152">
        <v>0</v>
      </c>
      <c r="M152" s="7">
        <f>Tabla14[[#This Row],[TARIFA]]+Tabla14[[#This Row],[IMPORTE EXTRAS]]</f>
        <v>400</v>
      </c>
    </row>
    <row r="153" spans="1:13" x14ac:dyDescent="0.2">
      <c r="A153">
        <v>2023</v>
      </c>
      <c r="B153" t="s">
        <v>61</v>
      </c>
      <c r="C153" s="3">
        <v>45123</v>
      </c>
      <c r="D153" s="3" t="s">
        <v>43</v>
      </c>
      <c r="E153" s="4">
        <v>0.39583333333333331</v>
      </c>
      <c r="F153" s="4">
        <v>0.60416666666666663</v>
      </c>
      <c r="G153" t="s">
        <v>30</v>
      </c>
      <c r="H153">
        <v>1</v>
      </c>
      <c r="I153">
        <v>150</v>
      </c>
      <c r="J153">
        <f>VLOOKUP(Tabla14[[#This Row],[TARIFA]],$P$2:$Q$5,2,0)</f>
        <v>150</v>
      </c>
      <c r="K153">
        <v>0</v>
      </c>
      <c r="L153">
        <v>0</v>
      </c>
      <c r="M153" s="7">
        <f>Tabla14[[#This Row],[TARIFA]]+Tabla14[[#This Row],[IMPORTE EXTRAS]]</f>
        <v>150</v>
      </c>
    </row>
    <row r="154" spans="1:13" x14ac:dyDescent="0.2">
      <c r="A154">
        <v>2023</v>
      </c>
      <c r="B154" t="s">
        <v>61</v>
      </c>
      <c r="C154" s="3">
        <v>45129</v>
      </c>
      <c r="D154" s="3" t="s">
        <v>42</v>
      </c>
      <c r="E154" s="4">
        <v>0.39583333333333331</v>
      </c>
      <c r="F154" s="4">
        <v>0.85416666666666663</v>
      </c>
      <c r="G154" t="s">
        <v>32</v>
      </c>
      <c r="H154">
        <v>2</v>
      </c>
      <c r="I154">
        <v>290</v>
      </c>
      <c r="J154">
        <f>Tabla14[[#This Row],[TARIFA]]</f>
        <v>290</v>
      </c>
      <c r="K154">
        <v>0</v>
      </c>
      <c r="L154">
        <v>0</v>
      </c>
      <c r="M154" s="7">
        <f>Tabla14[[#This Row],[TARIFA]]+Tabla14[[#This Row],[IMPORTE EXTRAS]]</f>
        <v>290</v>
      </c>
    </row>
    <row r="155" spans="1:13" x14ac:dyDescent="0.2">
      <c r="A155">
        <v>2023</v>
      </c>
      <c r="B155" t="s">
        <v>61</v>
      </c>
      <c r="C155" s="3">
        <v>45129</v>
      </c>
      <c r="D155" s="3" t="s">
        <v>42</v>
      </c>
      <c r="E155" s="4">
        <v>0.89583333333333337</v>
      </c>
      <c r="F155" s="4">
        <v>0.10416666666666667</v>
      </c>
      <c r="G155" t="s">
        <v>35</v>
      </c>
      <c r="H155">
        <v>1</v>
      </c>
      <c r="I155">
        <v>200</v>
      </c>
      <c r="J155">
        <f>VLOOKUP(Tabla14[[#This Row],[TARIFA]],$P$2:$Q$5,2,0)</f>
        <v>200</v>
      </c>
      <c r="K155">
        <v>1</v>
      </c>
      <c r="L155">
        <v>170</v>
      </c>
      <c r="M155" s="7">
        <f>Tabla14[[#This Row],[TARIFA]]+Tabla14[[#This Row],[IMPORTE EXTRAS]]</f>
        <v>370</v>
      </c>
    </row>
    <row r="156" spans="1:13" x14ac:dyDescent="0.2">
      <c r="A156">
        <v>2023</v>
      </c>
      <c r="B156" t="s">
        <v>61</v>
      </c>
      <c r="C156" s="3">
        <v>45135</v>
      </c>
      <c r="D156" s="3" t="s">
        <v>41</v>
      </c>
      <c r="E156" s="4">
        <v>0.89583333333333337</v>
      </c>
      <c r="F156" s="4">
        <v>0.10416666666666667</v>
      </c>
      <c r="G156" t="s">
        <v>35</v>
      </c>
      <c r="H156">
        <v>1</v>
      </c>
      <c r="I156">
        <v>200</v>
      </c>
      <c r="J156">
        <f>VLOOKUP(Tabla14[[#This Row],[TARIFA]],$P$2:$Q$5,2,0)</f>
        <v>200</v>
      </c>
      <c r="K156">
        <v>0</v>
      </c>
      <c r="L156">
        <v>0</v>
      </c>
      <c r="M156" s="7">
        <f>Tabla14[[#This Row],[TARIFA]]+Tabla14[[#This Row],[IMPORTE EXTRAS]]</f>
        <v>200</v>
      </c>
    </row>
    <row r="157" spans="1:13" x14ac:dyDescent="0.2">
      <c r="A157">
        <v>2023</v>
      </c>
      <c r="B157" t="s">
        <v>61</v>
      </c>
      <c r="C157" s="3">
        <v>45136</v>
      </c>
      <c r="D157" s="3" t="s">
        <v>42</v>
      </c>
      <c r="E157" s="4">
        <v>0.64583333333333337</v>
      </c>
      <c r="F157" s="4">
        <v>0.10416666666666667</v>
      </c>
      <c r="G157" t="s">
        <v>35</v>
      </c>
      <c r="H157">
        <v>1</v>
      </c>
      <c r="I157">
        <v>320</v>
      </c>
      <c r="J157">
        <f>Tabla14[[#This Row],[TARIFA]]</f>
        <v>320</v>
      </c>
      <c r="K157">
        <v>1</v>
      </c>
      <c r="L157">
        <v>60</v>
      </c>
      <c r="M157" s="7">
        <f>Tabla14[[#This Row],[TARIFA]]+Tabla14[[#This Row],[IMPORTE EXTRAS]]</f>
        <v>380</v>
      </c>
    </row>
    <row r="158" spans="1:13" x14ac:dyDescent="0.2">
      <c r="A158">
        <v>2023</v>
      </c>
      <c r="B158" t="s">
        <v>62</v>
      </c>
      <c r="C158" s="3">
        <v>45149</v>
      </c>
      <c r="D158" s="3" t="s">
        <v>41</v>
      </c>
      <c r="E158" s="4">
        <v>0.89583333333333337</v>
      </c>
      <c r="F158" s="4">
        <v>0.10416666666666667</v>
      </c>
      <c r="G158" t="s">
        <v>35</v>
      </c>
      <c r="H158">
        <v>1</v>
      </c>
      <c r="I158">
        <v>200</v>
      </c>
      <c r="J158">
        <f>VLOOKUP(Tabla14[[#This Row],[TARIFA]],$P$2:$Q$5,2,0)</f>
        <v>200</v>
      </c>
      <c r="K158">
        <v>1</v>
      </c>
      <c r="L158">
        <v>60</v>
      </c>
      <c r="M158" s="7">
        <f>Tabla14[[#This Row],[TARIFA]]+Tabla14[[#This Row],[IMPORTE EXTRAS]]</f>
        <v>260</v>
      </c>
    </row>
    <row r="159" spans="1:13" x14ac:dyDescent="0.2">
      <c r="A159">
        <v>2023</v>
      </c>
      <c r="B159" t="s">
        <v>62</v>
      </c>
      <c r="C159" s="3">
        <v>45152</v>
      </c>
      <c r="D159" s="3" t="s">
        <v>42</v>
      </c>
      <c r="E159" s="4">
        <v>0.89583333333333337</v>
      </c>
      <c r="F159" s="4">
        <v>0.10416666666666667</v>
      </c>
      <c r="G159" t="s">
        <v>35</v>
      </c>
      <c r="H159">
        <v>1</v>
      </c>
      <c r="I159">
        <v>200</v>
      </c>
      <c r="J159">
        <f>VLOOKUP(Tabla14[[#This Row],[TARIFA]],$P$2:$Q$5,2,0)</f>
        <v>200</v>
      </c>
      <c r="K159">
        <v>0</v>
      </c>
      <c r="L159">
        <v>0</v>
      </c>
      <c r="M159" s="7">
        <f>Tabla14[[#This Row],[TARIFA]]+Tabla14[[#This Row],[IMPORTE EXTRAS]]</f>
        <v>200</v>
      </c>
    </row>
    <row r="160" spans="1:13" x14ac:dyDescent="0.2">
      <c r="A160">
        <v>2023</v>
      </c>
      <c r="B160" t="s">
        <v>62</v>
      </c>
      <c r="C160" s="3">
        <v>45153</v>
      </c>
      <c r="D160" s="3" t="s">
        <v>38</v>
      </c>
      <c r="E160" s="4">
        <v>0.64583333333333337</v>
      </c>
      <c r="F160" s="4">
        <v>0.85416666666666663</v>
      </c>
      <c r="G160" t="s">
        <v>31</v>
      </c>
      <c r="H160">
        <v>1</v>
      </c>
      <c r="I160">
        <v>150</v>
      </c>
      <c r="J160">
        <f>VLOOKUP(Tabla14[[#This Row],[TARIFA]],$P$2:$Q$5,2,0)</f>
        <v>150</v>
      </c>
      <c r="K160">
        <v>0</v>
      </c>
      <c r="L160">
        <v>0</v>
      </c>
      <c r="M160" s="7">
        <f>Tabla14[[#This Row],[TARIFA]]+Tabla14[[#This Row],[IMPORTE EXTRAS]]</f>
        <v>150</v>
      </c>
    </row>
    <row r="161" spans="1:13" x14ac:dyDescent="0.2">
      <c r="A161">
        <v>2023</v>
      </c>
      <c r="B161" t="s">
        <v>62</v>
      </c>
      <c r="C161" s="3">
        <v>45158</v>
      </c>
      <c r="D161" s="3" t="s">
        <v>43</v>
      </c>
      <c r="E161" s="4">
        <v>0.64583333333333337</v>
      </c>
      <c r="F161" s="4">
        <v>0.85416666666666663</v>
      </c>
      <c r="G161" t="s">
        <v>31</v>
      </c>
      <c r="H161">
        <v>1</v>
      </c>
      <c r="I161">
        <v>150</v>
      </c>
      <c r="J161">
        <f>VLOOKUP(Tabla14[[#This Row],[TARIFA]],$P$2:$Q$5,2,0)</f>
        <v>150</v>
      </c>
      <c r="K161">
        <v>0</v>
      </c>
      <c r="L161">
        <v>0</v>
      </c>
      <c r="M161" s="7">
        <f>Tabla14[[#This Row],[TARIFA]]+Tabla14[[#This Row],[IMPORTE EXTRAS]]</f>
        <v>150</v>
      </c>
    </row>
    <row r="162" spans="1:13" x14ac:dyDescent="0.2">
      <c r="A162">
        <v>2023</v>
      </c>
      <c r="B162" t="s">
        <v>62</v>
      </c>
      <c r="C162" s="3">
        <v>45164</v>
      </c>
      <c r="D162" s="3" t="s">
        <v>42</v>
      </c>
      <c r="E162" s="4">
        <v>0.39583333333333331</v>
      </c>
      <c r="F162" s="4">
        <v>0.60416666666666663</v>
      </c>
      <c r="G162" t="s">
        <v>30</v>
      </c>
      <c r="H162">
        <v>1</v>
      </c>
      <c r="I162">
        <v>150</v>
      </c>
      <c r="J162">
        <f>VLOOKUP(Tabla14[[#This Row],[TARIFA]],$P$2:$Q$5,2,0)</f>
        <v>150</v>
      </c>
      <c r="K162">
        <v>0</v>
      </c>
      <c r="L162">
        <v>0</v>
      </c>
      <c r="M162" s="7">
        <f>Tabla14[[#This Row],[TARIFA]]+Tabla14[[#This Row],[IMPORTE EXTRAS]]</f>
        <v>150</v>
      </c>
    </row>
    <row r="163" spans="1:13" x14ac:dyDescent="0.2">
      <c r="A163">
        <v>2023</v>
      </c>
      <c r="B163" t="s">
        <v>62</v>
      </c>
      <c r="C163" s="3">
        <v>45164</v>
      </c>
      <c r="D163" s="3" t="s">
        <v>42</v>
      </c>
      <c r="E163" s="4">
        <v>0.64583333333333337</v>
      </c>
      <c r="F163" s="4">
        <v>0.85416666666666663</v>
      </c>
      <c r="G163" t="s">
        <v>31</v>
      </c>
      <c r="H163">
        <v>1</v>
      </c>
      <c r="I163">
        <v>150</v>
      </c>
      <c r="J163">
        <f>VLOOKUP(Tabla14[[#This Row],[TARIFA]],$P$2:$Q$5,2,0)</f>
        <v>150</v>
      </c>
      <c r="K163">
        <v>0</v>
      </c>
      <c r="L163">
        <v>0</v>
      </c>
      <c r="M163" s="7">
        <f>Tabla14[[#This Row],[TARIFA]]+Tabla14[[#This Row],[IMPORTE EXTRAS]]</f>
        <v>150</v>
      </c>
    </row>
    <row r="164" spans="1:13" x14ac:dyDescent="0.2">
      <c r="A164">
        <v>2023</v>
      </c>
      <c r="B164" t="s">
        <v>62</v>
      </c>
      <c r="C164" s="3">
        <v>45164</v>
      </c>
      <c r="D164" s="3" t="s">
        <v>42</v>
      </c>
      <c r="E164" s="4">
        <v>0.89583333333333337</v>
      </c>
      <c r="F164" s="4">
        <v>0.10416666666666667</v>
      </c>
      <c r="G164" t="s">
        <v>35</v>
      </c>
      <c r="H164">
        <v>1</v>
      </c>
      <c r="I164">
        <v>200</v>
      </c>
      <c r="J164">
        <f>VLOOKUP(Tabla14[[#This Row],[TARIFA]],$P$2:$Q$5,2,0)</f>
        <v>200</v>
      </c>
      <c r="K164">
        <v>1</v>
      </c>
      <c r="L164">
        <v>20</v>
      </c>
      <c r="M164" s="7">
        <f>Tabla14[[#This Row],[TARIFA]]+Tabla14[[#This Row],[IMPORTE EXTRAS]]</f>
        <v>220</v>
      </c>
    </row>
    <row r="165" spans="1:13" x14ac:dyDescent="0.2">
      <c r="A165">
        <v>2023</v>
      </c>
      <c r="B165" t="s">
        <v>62</v>
      </c>
      <c r="C165" s="3">
        <v>45165</v>
      </c>
      <c r="D165" s="3" t="s">
        <v>43</v>
      </c>
      <c r="E165" s="4">
        <v>0.64583333333333337</v>
      </c>
      <c r="F165" s="4">
        <v>0.85416666666666663</v>
      </c>
      <c r="G165" t="s">
        <v>31</v>
      </c>
      <c r="H165">
        <v>1</v>
      </c>
      <c r="I165">
        <v>150</v>
      </c>
      <c r="J165">
        <f>VLOOKUP(Tabla14[[#This Row],[TARIFA]],$P$2:$Q$5,2,0)</f>
        <v>150</v>
      </c>
      <c r="K165">
        <v>0</v>
      </c>
      <c r="L165">
        <v>0</v>
      </c>
      <c r="M165" s="7">
        <f>Tabla14[[#This Row],[TARIFA]]+Tabla14[[#This Row],[IMPORTE EXTRAS]]</f>
        <v>150</v>
      </c>
    </row>
    <row r="166" spans="1:13" x14ac:dyDescent="0.2">
      <c r="A166">
        <v>2023</v>
      </c>
      <c r="B166" t="s">
        <v>236</v>
      </c>
      <c r="C166" s="3">
        <v>45170</v>
      </c>
      <c r="D166" s="3" t="s">
        <v>41</v>
      </c>
      <c r="E166" s="4">
        <v>0.64583333333333337</v>
      </c>
      <c r="F166" s="4">
        <v>0.10416666666666667</v>
      </c>
      <c r="G166" t="s">
        <v>53</v>
      </c>
      <c r="H166">
        <v>2</v>
      </c>
      <c r="I166">
        <v>300</v>
      </c>
      <c r="J166">
        <f>Tabla14[[#This Row],[TARIFA]]</f>
        <v>300</v>
      </c>
      <c r="K166">
        <v>1</v>
      </c>
      <c r="L166">
        <v>70</v>
      </c>
      <c r="M166" s="7">
        <f>Tabla14[[#This Row],[TARIFA]]+Tabla14[[#This Row],[IMPORTE EXTRAS]]</f>
        <v>370</v>
      </c>
    </row>
    <row r="167" spans="1:13" x14ac:dyDescent="0.2">
      <c r="A167">
        <v>2023</v>
      </c>
      <c r="B167" t="s">
        <v>236</v>
      </c>
      <c r="C167" s="3">
        <v>45171</v>
      </c>
      <c r="D167" s="3" t="s">
        <v>42</v>
      </c>
      <c r="E167" s="4">
        <v>0.39583333333333331</v>
      </c>
      <c r="F167" s="4">
        <v>0.60416666666666663</v>
      </c>
      <c r="G167" t="s">
        <v>30</v>
      </c>
      <c r="H167">
        <v>1</v>
      </c>
      <c r="I167">
        <v>150</v>
      </c>
      <c r="J167">
        <f>VLOOKUP(Tabla14[[#This Row],[TARIFA]],$P$2:$Q$5,2,0)</f>
        <v>150</v>
      </c>
      <c r="K167">
        <v>0</v>
      </c>
      <c r="L167">
        <v>0</v>
      </c>
      <c r="M167" s="7">
        <f>Tabla14[[#This Row],[TARIFA]]+Tabla14[[#This Row],[IMPORTE EXTRAS]]</f>
        <v>150</v>
      </c>
    </row>
    <row r="168" spans="1:13" x14ac:dyDescent="0.2">
      <c r="A168">
        <v>2023</v>
      </c>
      <c r="B168" t="s">
        <v>236</v>
      </c>
      <c r="C168" s="3">
        <v>45171</v>
      </c>
      <c r="D168" s="3" t="s">
        <v>42</v>
      </c>
      <c r="E168" s="4">
        <v>0.64583333333333337</v>
      </c>
      <c r="F168" s="4">
        <v>0.10416666666666667</v>
      </c>
      <c r="G168" t="s">
        <v>53</v>
      </c>
      <c r="H168">
        <v>2</v>
      </c>
      <c r="I168">
        <v>320</v>
      </c>
      <c r="J168">
        <f>Tabla14[[#This Row],[TARIFA]]</f>
        <v>320</v>
      </c>
      <c r="K168">
        <v>1</v>
      </c>
      <c r="L168">
        <v>60</v>
      </c>
      <c r="M168" s="7">
        <f>Tabla14[[#This Row],[TARIFA]]+Tabla14[[#This Row],[IMPORTE EXTRAS]]</f>
        <v>380</v>
      </c>
    </row>
    <row r="169" spans="1:13" x14ac:dyDescent="0.2">
      <c r="A169">
        <v>2023</v>
      </c>
      <c r="B169" t="s">
        <v>236</v>
      </c>
      <c r="C169" s="3">
        <v>45172</v>
      </c>
      <c r="D169" s="3" t="s">
        <v>43</v>
      </c>
      <c r="E169" s="4">
        <v>0.64583333333333337</v>
      </c>
      <c r="F169" s="4">
        <v>0.10416666666666667</v>
      </c>
      <c r="G169" t="s">
        <v>31</v>
      </c>
      <c r="H169">
        <v>1</v>
      </c>
      <c r="I169">
        <v>150</v>
      </c>
      <c r="J169">
        <f>VLOOKUP(Tabla14[[#This Row],[TARIFA]],$P$2:$Q$5,2,0)</f>
        <v>150</v>
      </c>
      <c r="K169">
        <v>0</v>
      </c>
      <c r="L169">
        <v>0</v>
      </c>
      <c r="M169" s="7">
        <f>Tabla14[[#This Row],[TARIFA]]+Tabla14[[#This Row],[IMPORTE EXTRAS]]</f>
        <v>150</v>
      </c>
    </row>
    <row r="170" spans="1:13" x14ac:dyDescent="0.2">
      <c r="A170">
        <v>2023</v>
      </c>
      <c r="B170" t="s">
        <v>236</v>
      </c>
      <c r="C170" s="3">
        <v>45176</v>
      </c>
      <c r="D170" s="3" t="s">
        <v>40</v>
      </c>
      <c r="E170" s="4">
        <v>0.64583333333333337</v>
      </c>
      <c r="F170" s="4">
        <v>0.85416666666666663</v>
      </c>
      <c r="G170" t="s">
        <v>31</v>
      </c>
      <c r="H170">
        <v>1</v>
      </c>
      <c r="I170">
        <v>95</v>
      </c>
      <c r="J170">
        <f>VLOOKUP(Tabla14[[#This Row],[TARIFA]],$P$2:$Q$5,2,0)</f>
        <v>100</v>
      </c>
      <c r="K170">
        <v>0</v>
      </c>
      <c r="L170">
        <v>0</v>
      </c>
      <c r="M170" s="7">
        <f>Tabla14[[#This Row],[TARIFA]]+Tabla14[[#This Row],[IMPORTE EXTRAS]]</f>
        <v>95</v>
      </c>
    </row>
    <row r="171" spans="1:13" x14ac:dyDescent="0.2">
      <c r="A171">
        <v>2023</v>
      </c>
      <c r="B171" t="s">
        <v>236</v>
      </c>
      <c r="C171" s="3">
        <v>45177</v>
      </c>
      <c r="D171" s="3" t="s">
        <v>41</v>
      </c>
      <c r="E171" s="4">
        <v>0.64583333333333337</v>
      </c>
      <c r="F171" s="4">
        <v>0.85416666666666663</v>
      </c>
      <c r="G171" t="s">
        <v>31</v>
      </c>
      <c r="H171">
        <v>1</v>
      </c>
      <c r="I171">
        <v>140</v>
      </c>
      <c r="J171">
        <f>VLOOKUP(Tabla14[[#This Row],[TARIFA]],$P$2:$Q$5,2,0)</f>
        <v>140</v>
      </c>
      <c r="K171">
        <v>0</v>
      </c>
      <c r="L171">
        <v>0</v>
      </c>
      <c r="M171" s="7">
        <f>Tabla14[[#This Row],[TARIFA]]+Tabla14[[#This Row],[IMPORTE EXTRAS]]</f>
        <v>140</v>
      </c>
    </row>
    <row r="172" spans="1:13" x14ac:dyDescent="0.2">
      <c r="A172">
        <v>2023</v>
      </c>
      <c r="B172" t="s">
        <v>236</v>
      </c>
      <c r="C172" s="3">
        <v>45177</v>
      </c>
      <c r="D172" s="3" t="s">
        <v>41</v>
      </c>
      <c r="E172" s="4">
        <v>0.89583333333333337</v>
      </c>
      <c r="F172" s="4">
        <v>0.10416666666666667</v>
      </c>
      <c r="G172" t="s">
        <v>35</v>
      </c>
      <c r="H172">
        <v>1</v>
      </c>
      <c r="I172">
        <v>200</v>
      </c>
      <c r="J172">
        <f>VLOOKUP(Tabla14[[#This Row],[TARIFA]],$P$2:$Q$5,2,0)</f>
        <v>200</v>
      </c>
      <c r="K172">
        <v>0</v>
      </c>
      <c r="L172">
        <v>0</v>
      </c>
      <c r="M172" s="7">
        <f>Tabla14[[#This Row],[TARIFA]]+Tabla14[[#This Row],[IMPORTE EXTRAS]]</f>
        <v>200</v>
      </c>
    </row>
    <row r="173" spans="1:13" x14ac:dyDescent="0.2">
      <c r="A173">
        <v>2023</v>
      </c>
      <c r="B173" t="s">
        <v>236</v>
      </c>
      <c r="C173" s="3">
        <v>45178</v>
      </c>
      <c r="D173" s="3" t="s">
        <v>42</v>
      </c>
      <c r="E173" s="4">
        <v>0.64583333333333337</v>
      </c>
      <c r="F173" s="4">
        <v>0.85416666666666663</v>
      </c>
      <c r="G173" t="s">
        <v>31</v>
      </c>
      <c r="H173">
        <v>1</v>
      </c>
      <c r="I173">
        <v>150</v>
      </c>
      <c r="J173">
        <f>VLOOKUP(Tabla14[[#This Row],[TARIFA]],$P$2:$Q$5,2,0)</f>
        <v>150</v>
      </c>
      <c r="K173">
        <v>0</v>
      </c>
      <c r="L173">
        <v>0</v>
      </c>
      <c r="M173" s="7">
        <f>Tabla14[[#This Row],[TARIFA]]+Tabla14[[#This Row],[IMPORTE EXTRAS]]</f>
        <v>150</v>
      </c>
    </row>
    <row r="174" spans="1:13" x14ac:dyDescent="0.2">
      <c r="A174">
        <v>2023</v>
      </c>
      <c r="B174" t="s">
        <v>236</v>
      </c>
      <c r="C174" s="3">
        <v>45179</v>
      </c>
      <c r="D174" s="3" t="s">
        <v>43</v>
      </c>
      <c r="E174" s="4">
        <v>0.39583333333333331</v>
      </c>
      <c r="F174" s="4">
        <v>0.60416666666666663</v>
      </c>
      <c r="G174" t="s">
        <v>30</v>
      </c>
      <c r="H174">
        <v>1</v>
      </c>
      <c r="I174">
        <v>150</v>
      </c>
      <c r="J174">
        <f>VLOOKUP(Tabla14[[#This Row],[TARIFA]],$P$2:$Q$5,2,0)</f>
        <v>150</v>
      </c>
      <c r="K174">
        <v>0</v>
      </c>
      <c r="L174">
        <v>0</v>
      </c>
      <c r="M174" s="7">
        <f>Tabla14[[#This Row],[TARIFA]]+Tabla14[[#This Row],[IMPORTE EXTRAS]]</f>
        <v>150</v>
      </c>
    </row>
    <row r="175" spans="1:13" x14ac:dyDescent="0.2">
      <c r="A175">
        <v>2023</v>
      </c>
      <c r="B175" t="s">
        <v>236</v>
      </c>
      <c r="C175" s="3">
        <v>45179</v>
      </c>
      <c r="D175" s="3" t="s">
        <v>43</v>
      </c>
      <c r="E175" s="4">
        <v>0.64583333333333337</v>
      </c>
      <c r="F175" s="4">
        <v>0.10416666666666667</v>
      </c>
      <c r="G175" t="s">
        <v>53</v>
      </c>
      <c r="H175">
        <v>2</v>
      </c>
      <c r="I175">
        <v>320</v>
      </c>
      <c r="J175">
        <f>Tabla14[[#This Row],[TARIFA]]</f>
        <v>320</v>
      </c>
      <c r="K175">
        <v>0</v>
      </c>
      <c r="L175">
        <v>0</v>
      </c>
      <c r="M175" s="7">
        <f>Tabla14[[#This Row],[TARIFA]]+Tabla14[[#This Row],[IMPORTE EXTRAS]]</f>
        <v>320</v>
      </c>
    </row>
    <row r="176" spans="1:13" x14ac:dyDescent="0.2">
      <c r="A176">
        <v>2023</v>
      </c>
      <c r="B176" t="s">
        <v>236</v>
      </c>
      <c r="C176" s="3">
        <v>45180</v>
      </c>
      <c r="D176" s="3" t="s">
        <v>37</v>
      </c>
      <c r="E176" s="4">
        <v>0.64583333333333337</v>
      </c>
      <c r="F176" s="4">
        <v>0.85416666666666663</v>
      </c>
      <c r="G176" t="s">
        <v>31</v>
      </c>
      <c r="H176">
        <v>1</v>
      </c>
      <c r="I176">
        <v>150</v>
      </c>
      <c r="J176">
        <f>VLOOKUP(Tabla14[[#This Row],[TARIFA]],$P$2:$Q$5,2,0)</f>
        <v>150</v>
      </c>
      <c r="K176">
        <v>0</v>
      </c>
      <c r="L176">
        <v>0</v>
      </c>
      <c r="M176" s="7">
        <f>Tabla14[[#This Row],[TARIFA]]+Tabla14[[#This Row],[IMPORTE EXTRAS]]</f>
        <v>150</v>
      </c>
    </row>
    <row r="177" spans="1:13" x14ac:dyDescent="0.2">
      <c r="A177">
        <v>2023</v>
      </c>
      <c r="B177" t="s">
        <v>236</v>
      </c>
      <c r="C177" s="3">
        <v>45184</v>
      </c>
      <c r="D177" s="3" t="s">
        <v>41</v>
      </c>
      <c r="E177" s="4">
        <v>0.64583333333333337</v>
      </c>
      <c r="F177" s="4">
        <v>0.85416666666666663</v>
      </c>
      <c r="G177" t="s">
        <v>31</v>
      </c>
      <c r="H177">
        <v>1</v>
      </c>
      <c r="I177">
        <v>140</v>
      </c>
      <c r="J177">
        <f>VLOOKUP(Tabla14[[#This Row],[TARIFA]],$P$2:$Q$5,2,0)</f>
        <v>140</v>
      </c>
      <c r="K177">
        <v>1</v>
      </c>
      <c r="L177">
        <v>20</v>
      </c>
      <c r="M177" s="7">
        <f>Tabla14[[#This Row],[TARIFA]]+Tabla14[[#This Row],[IMPORTE EXTRAS]]</f>
        <v>160</v>
      </c>
    </row>
    <row r="178" spans="1:13" x14ac:dyDescent="0.2">
      <c r="A178">
        <v>2023</v>
      </c>
      <c r="B178" t="s">
        <v>236</v>
      </c>
      <c r="C178" s="3">
        <v>45184</v>
      </c>
      <c r="D178" s="3" t="s">
        <v>41</v>
      </c>
      <c r="E178" s="4">
        <v>0.89583333333333337</v>
      </c>
      <c r="F178" s="4">
        <v>0.10416666666666667</v>
      </c>
      <c r="G178" t="s">
        <v>35</v>
      </c>
      <c r="H178">
        <v>1</v>
      </c>
      <c r="I178">
        <v>200</v>
      </c>
      <c r="J178">
        <f>VLOOKUP(Tabla14[[#This Row],[TARIFA]],$P$2:$Q$5,2,0)</f>
        <v>200</v>
      </c>
      <c r="K178">
        <v>0</v>
      </c>
      <c r="L178">
        <v>0</v>
      </c>
      <c r="M178" s="7">
        <f>Tabla14[[#This Row],[TARIFA]]+Tabla14[[#This Row],[IMPORTE EXTRAS]]</f>
        <v>200</v>
      </c>
    </row>
    <row r="179" spans="1:13" x14ac:dyDescent="0.2">
      <c r="A179">
        <v>2023</v>
      </c>
      <c r="B179" t="s">
        <v>236</v>
      </c>
      <c r="C179" s="3">
        <v>45185</v>
      </c>
      <c r="D179" s="3" t="s">
        <v>42</v>
      </c>
      <c r="E179" s="4">
        <v>0.39583333333333331</v>
      </c>
      <c r="F179" s="4">
        <v>0.60416666666666663</v>
      </c>
      <c r="G179" t="s">
        <v>30</v>
      </c>
      <c r="H179">
        <v>1</v>
      </c>
      <c r="I179">
        <v>150</v>
      </c>
      <c r="J179">
        <f>VLOOKUP(Tabla14[[#This Row],[TARIFA]],$P$2:$Q$5,2,0)</f>
        <v>150</v>
      </c>
      <c r="K179">
        <v>0</v>
      </c>
      <c r="L179">
        <v>0</v>
      </c>
      <c r="M179" s="7">
        <f>Tabla14[[#This Row],[TARIFA]]+Tabla14[[#This Row],[IMPORTE EXTRAS]]</f>
        <v>150</v>
      </c>
    </row>
    <row r="180" spans="1:13" x14ac:dyDescent="0.2">
      <c r="A180">
        <v>2023</v>
      </c>
      <c r="B180" t="s">
        <v>236</v>
      </c>
      <c r="C180" s="3">
        <v>45185</v>
      </c>
      <c r="D180" s="3" t="s">
        <v>42</v>
      </c>
      <c r="E180" s="4">
        <v>0.64583333333333337</v>
      </c>
      <c r="F180" s="4">
        <v>0.10416666666666667</v>
      </c>
      <c r="G180" t="s">
        <v>53</v>
      </c>
      <c r="H180">
        <v>1</v>
      </c>
      <c r="I180">
        <v>250</v>
      </c>
      <c r="J180">
        <f>Tabla14[[#This Row],[TARIFA]]</f>
        <v>250</v>
      </c>
      <c r="K180">
        <v>1</v>
      </c>
      <c r="L180">
        <v>45</v>
      </c>
      <c r="M180" s="7">
        <f>Tabla14[[#This Row],[TARIFA]]+Tabla14[[#This Row],[IMPORTE EXTRAS]]</f>
        <v>295</v>
      </c>
    </row>
    <row r="181" spans="1:13" x14ac:dyDescent="0.2">
      <c r="A181">
        <v>2023</v>
      </c>
      <c r="B181" t="s">
        <v>236</v>
      </c>
      <c r="C181" s="3">
        <v>45186</v>
      </c>
      <c r="D181" s="3" t="s">
        <v>43</v>
      </c>
      <c r="E181" s="4">
        <v>0.64583333333333337</v>
      </c>
      <c r="F181" s="4">
        <v>0.85416666666666663</v>
      </c>
      <c r="G181" t="s">
        <v>31</v>
      </c>
      <c r="H181">
        <v>1</v>
      </c>
      <c r="I181">
        <v>150</v>
      </c>
      <c r="J181">
        <f>VLOOKUP(Tabla14[[#This Row],[TARIFA]],$P$2:$Q$5,2,0)</f>
        <v>150</v>
      </c>
      <c r="K181">
        <v>0</v>
      </c>
      <c r="L181">
        <v>0</v>
      </c>
      <c r="M181" s="7">
        <f>Tabla14[[#This Row],[TARIFA]]+Tabla14[[#This Row],[IMPORTE EXTRAS]]</f>
        <v>150</v>
      </c>
    </row>
    <row r="182" spans="1:13" x14ac:dyDescent="0.2">
      <c r="A182">
        <v>2023</v>
      </c>
      <c r="B182" t="s">
        <v>236</v>
      </c>
      <c r="C182" s="3">
        <v>45191</v>
      </c>
      <c r="D182" s="3" t="s">
        <v>41</v>
      </c>
      <c r="E182" s="4">
        <v>0.64583333333333337</v>
      </c>
      <c r="F182" s="4">
        <v>0.85416666666666663</v>
      </c>
      <c r="G182" t="s">
        <v>31</v>
      </c>
      <c r="H182">
        <v>1</v>
      </c>
      <c r="I182">
        <v>140</v>
      </c>
      <c r="J182">
        <f>VLOOKUP(Tabla14[[#This Row],[TARIFA]],$P$2:$Q$5,2,0)</f>
        <v>140</v>
      </c>
      <c r="K182">
        <v>0</v>
      </c>
      <c r="L182">
        <v>0</v>
      </c>
      <c r="M182" s="7">
        <f>Tabla14[[#This Row],[TARIFA]]+Tabla14[[#This Row],[IMPORTE EXTRAS]]</f>
        <v>140</v>
      </c>
    </row>
    <row r="183" spans="1:13" x14ac:dyDescent="0.2">
      <c r="A183">
        <v>2023</v>
      </c>
      <c r="B183" t="s">
        <v>236</v>
      </c>
      <c r="C183" s="3">
        <v>45191</v>
      </c>
      <c r="D183" s="3" t="s">
        <v>41</v>
      </c>
      <c r="E183" s="4">
        <v>0.89583333333333337</v>
      </c>
      <c r="F183" s="4">
        <v>0.10416666666666667</v>
      </c>
      <c r="G183" t="s">
        <v>35</v>
      </c>
      <c r="H183">
        <v>1</v>
      </c>
      <c r="I183">
        <v>200</v>
      </c>
      <c r="J183">
        <f>VLOOKUP(Tabla14[[#This Row],[TARIFA]],$P$2:$Q$5,2,0)</f>
        <v>200</v>
      </c>
      <c r="K183">
        <v>0</v>
      </c>
      <c r="L183">
        <v>0</v>
      </c>
      <c r="M183" s="7">
        <f>Tabla14[[#This Row],[TARIFA]]+Tabla14[[#This Row],[IMPORTE EXTRAS]]</f>
        <v>200</v>
      </c>
    </row>
    <row r="184" spans="1:13" x14ac:dyDescent="0.2">
      <c r="A184">
        <v>2023</v>
      </c>
      <c r="B184" t="s">
        <v>236</v>
      </c>
      <c r="C184" s="3">
        <v>45192</v>
      </c>
      <c r="D184" s="3" t="s">
        <v>42</v>
      </c>
      <c r="E184" s="4">
        <v>0.64583333333333337</v>
      </c>
      <c r="F184" s="4">
        <v>0.85416666666666663</v>
      </c>
      <c r="G184" t="s">
        <v>31</v>
      </c>
      <c r="H184">
        <v>1</v>
      </c>
      <c r="I184">
        <v>150</v>
      </c>
      <c r="J184">
        <f>VLOOKUP(Tabla14[[#This Row],[TARIFA]],$P$2:$Q$5,2,0)</f>
        <v>150</v>
      </c>
      <c r="K184">
        <v>0</v>
      </c>
      <c r="L184">
        <v>0</v>
      </c>
      <c r="M184" s="7">
        <f>Tabla14[[#This Row],[TARIFA]]+Tabla14[[#This Row],[IMPORTE EXTRAS]]</f>
        <v>150</v>
      </c>
    </row>
    <row r="185" spans="1:13" x14ac:dyDescent="0.2">
      <c r="A185">
        <v>2023</v>
      </c>
      <c r="B185" t="s">
        <v>236</v>
      </c>
      <c r="C185" s="3">
        <v>45193</v>
      </c>
      <c r="D185" s="3" t="s">
        <v>43</v>
      </c>
      <c r="E185" s="4">
        <v>0.39583333333333331</v>
      </c>
      <c r="F185" s="4">
        <v>0.85416666666666663</v>
      </c>
      <c r="G185" t="s">
        <v>32</v>
      </c>
      <c r="H185">
        <v>2</v>
      </c>
      <c r="I185">
        <v>260</v>
      </c>
      <c r="J185">
        <f>Tabla14[[#This Row],[TARIFA]]</f>
        <v>260</v>
      </c>
      <c r="K185">
        <v>0</v>
      </c>
      <c r="L185">
        <v>0</v>
      </c>
      <c r="M185" s="7">
        <f>Tabla14[[#This Row],[TARIFA]]+Tabla14[[#This Row],[IMPORTE EXTRAS]]</f>
        <v>260</v>
      </c>
    </row>
    <row r="186" spans="1:13" x14ac:dyDescent="0.2">
      <c r="A186">
        <v>2023</v>
      </c>
      <c r="B186" t="s">
        <v>236</v>
      </c>
      <c r="C186" s="3">
        <v>45198</v>
      </c>
      <c r="D186" s="3" t="s">
        <v>41</v>
      </c>
      <c r="E186" s="4">
        <v>0.89583333333333337</v>
      </c>
      <c r="F186" s="4">
        <v>0.10416666666666667</v>
      </c>
      <c r="G186" t="s">
        <v>35</v>
      </c>
      <c r="H186">
        <v>1</v>
      </c>
      <c r="I186">
        <v>200</v>
      </c>
      <c r="J186">
        <f>VLOOKUP(Tabla14[[#This Row],[TARIFA]],$P$2:$Q$5,2,0)</f>
        <v>200</v>
      </c>
      <c r="K186">
        <v>0</v>
      </c>
      <c r="L186">
        <v>0</v>
      </c>
      <c r="M186" s="7">
        <f>Tabla14[[#This Row],[TARIFA]]+Tabla14[[#This Row],[IMPORTE EXTRAS]]</f>
        <v>200</v>
      </c>
    </row>
    <row r="187" spans="1:13" x14ac:dyDescent="0.2">
      <c r="A187">
        <v>2023</v>
      </c>
      <c r="B187" t="s">
        <v>236</v>
      </c>
      <c r="C187" s="3">
        <v>45199</v>
      </c>
      <c r="D187" s="3" t="s">
        <v>42</v>
      </c>
      <c r="E187" s="4">
        <v>0.89583333333333337</v>
      </c>
      <c r="F187" s="4">
        <v>0.10416666666666667</v>
      </c>
      <c r="G187" t="s">
        <v>35</v>
      </c>
      <c r="H187">
        <v>1</v>
      </c>
      <c r="I187">
        <v>200</v>
      </c>
      <c r="J187">
        <f>VLOOKUP(Tabla14[[#This Row],[TARIFA]],$P$2:$Q$5,2,0)</f>
        <v>200</v>
      </c>
      <c r="K187">
        <v>1</v>
      </c>
      <c r="L187">
        <v>160</v>
      </c>
      <c r="M187" s="7">
        <f>Tabla14[[#This Row],[TARIFA]]+Tabla14[[#This Row],[IMPORTE EXTRAS]]</f>
        <v>360</v>
      </c>
    </row>
    <row r="188" spans="1:13" x14ac:dyDescent="0.2">
      <c r="A188">
        <v>2023</v>
      </c>
      <c r="B188" t="s">
        <v>63</v>
      </c>
      <c r="C188" s="51">
        <v>45200</v>
      </c>
      <c r="D188" s="3" t="s">
        <v>43</v>
      </c>
      <c r="E188" s="4">
        <v>0.39583333333333331</v>
      </c>
      <c r="F188" s="4">
        <v>0.85416666666666663</v>
      </c>
      <c r="G188" t="s">
        <v>31</v>
      </c>
      <c r="H188">
        <v>1</v>
      </c>
      <c r="I188">
        <v>150</v>
      </c>
      <c r="J188">
        <f>VLOOKUP(Tabla14[[#This Row],[TARIFA]],$P$2:$Q$5,2,0)</f>
        <v>150</v>
      </c>
      <c r="K188">
        <v>0</v>
      </c>
      <c r="L188">
        <v>0</v>
      </c>
      <c r="M188" s="7">
        <f>Tabla14[[#This Row],[TARIFA]]+Tabla14[[#This Row],[IMPORTE EXTRAS]]</f>
        <v>150</v>
      </c>
    </row>
    <row r="189" spans="1:13" x14ac:dyDescent="0.2">
      <c r="A189">
        <v>2023</v>
      </c>
      <c r="B189" t="s">
        <v>63</v>
      </c>
      <c r="C189" s="51">
        <v>45205</v>
      </c>
      <c r="D189" s="3" t="s">
        <v>41</v>
      </c>
      <c r="E189" s="4">
        <v>0.89583333333333337</v>
      </c>
      <c r="F189" s="4">
        <v>0.10416666666666667</v>
      </c>
      <c r="G189" t="s">
        <v>35</v>
      </c>
      <c r="H189">
        <v>1</v>
      </c>
      <c r="I189">
        <v>200</v>
      </c>
      <c r="J189">
        <f>VLOOKUP(Tabla14[[#This Row],[TARIFA]],$P$2:$Q$5,2,0)</f>
        <v>200</v>
      </c>
      <c r="K189">
        <v>0</v>
      </c>
      <c r="L189">
        <v>0</v>
      </c>
      <c r="M189" s="7">
        <f>Tabla14[[#This Row],[TARIFA]]+Tabla14[[#This Row],[IMPORTE EXTRAS]]</f>
        <v>200</v>
      </c>
    </row>
    <row r="190" spans="1:13" x14ac:dyDescent="0.2">
      <c r="A190">
        <v>2023</v>
      </c>
      <c r="B190" t="s">
        <v>63</v>
      </c>
      <c r="C190" s="51">
        <v>45206</v>
      </c>
      <c r="D190" s="3" t="s">
        <v>42</v>
      </c>
      <c r="E190" s="4">
        <v>0.64583333333333337</v>
      </c>
      <c r="F190" s="4">
        <v>0.85416666666666663</v>
      </c>
      <c r="G190" t="s">
        <v>31</v>
      </c>
      <c r="H190">
        <v>1</v>
      </c>
      <c r="I190">
        <v>150</v>
      </c>
      <c r="J190">
        <f>VLOOKUP(Tabla14[[#This Row],[TARIFA]],$P$2:$Q$5,2,0)</f>
        <v>150</v>
      </c>
      <c r="K190">
        <v>0</v>
      </c>
      <c r="L190">
        <v>0</v>
      </c>
      <c r="M190" s="7">
        <f>Tabla14[[#This Row],[TARIFA]]+Tabla14[[#This Row],[IMPORTE EXTRAS]]</f>
        <v>150</v>
      </c>
    </row>
    <row r="191" spans="1:13" x14ac:dyDescent="0.2">
      <c r="A191">
        <v>2023</v>
      </c>
      <c r="B191" t="s">
        <v>63</v>
      </c>
      <c r="C191" s="51">
        <v>45206</v>
      </c>
      <c r="D191" s="3" t="s">
        <v>42</v>
      </c>
      <c r="E191" s="4">
        <v>0.89583333333333337</v>
      </c>
      <c r="F191" s="4">
        <v>0.10416666666666667</v>
      </c>
      <c r="G191" t="s">
        <v>35</v>
      </c>
      <c r="H191">
        <v>1</v>
      </c>
      <c r="I191">
        <v>200</v>
      </c>
      <c r="J191">
        <f>VLOOKUP(Tabla14[[#This Row],[TARIFA]],$P$2:$Q$5,2,0)</f>
        <v>200</v>
      </c>
      <c r="K191">
        <v>0</v>
      </c>
      <c r="L191">
        <v>0</v>
      </c>
      <c r="M191" s="7">
        <f>Tabla14[[#This Row],[TARIFA]]+Tabla14[[#This Row],[IMPORTE EXTRAS]]</f>
        <v>200</v>
      </c>
    </row>
    <row r="192" spans="1:13" x14ac:dyDescent="0.2">
      <c r="A192">
        <v>2023</v>
      </c>
      <c r="B192" t="s">
        <v>63</v>
      </c>
      <c r="C192" s="51">
        <v>45207</v>
      </c>
      <c r="D192" s="3" t="s">
        <v>43</v>
      </c>
      <c r="E192" s="4">
        <v>0.64583333333333337</v>
      </c>
      <c r="F192" s="4">
        <v>0.85416666666666663</v>
      </c>
      <c r="G192" t="s">
        <v>31</v>
      </c>
      <c r="H192">
        <v>1</v>
      </c>
      <c r="I192">
        <v>150</v>
      </c>
      <c r="J192">
        <f>VLOOKUP(Tabla14[[#This Row],[TARIFA]],$P$2:$Q$5,2,0)</f>
        <v>150</v>
      </c>
      <c r="K192">
        <v>0</v>
      </c>
      <c r="L192">
        <v>0</v>
      </c>
      <c r="M192" s="7">
        <f>Tabla14[[#This Row],[TARIFA]]+Tabla14[[#This Row],[IMPORTE EXTRAS]]</f>
        <v>150</v>
      </c>
    </row>
    <row r="193" spans="1:13" x14ac:dyDescent="0.2">
      <c r="A193">
        <v>2023</v>
      </c>
      <c r="B193" t="s">
        <v>63</v>
      </c>
      <c r="C193" s="51">
        <v>45210</v>
      </c>
      <c r="D193" s="3" t="s">
        <v>39</v>
      </c>
      <c r="E193" s="4">
        <v>0.89583333333333337</v>
      </c>
      <c r="F193" s="4">
        <v>0.10416666666666667</v>
      </c>
      <c r="G193" t="s">
        <v>35</v>
      </c>
      <c r="H193">
        <v>1</v>
      </c>
      <c r="I193">
        <v>200</v>
      </c>
      <c r="J193">
        <f>VLOOKUP(Tabla14[[#This Row],[TARIFA]],$P$2:$Q$5,2,0)</f>
        <v>200</v>
      </c>
      <c r="K193">
        <v>0</v>
      </c>
      <c r="L193">
        <v>0</v>
      </c>
      <c r="M193" s="7">
        <f>Tabla14[[#This Row],[TARIFA]]+Tabla14[[#This Row],[IMPORTE EXTRAS]]</f>
        <v>200</v>
      </c>
    </row>
    <row r="194" spans="1:13" x14ac:dyDescent="0.2">
      <c r="A194">
        <v>2023</v>
      </c>
      <c r="B194" t="s">
        <v>63</v>
      </c>
      <c r="C194" s="51">
        <v>45211</v>
      </c>
      <c r="D194" s="3" t="s">
        <v>40</v>
      </c>
      <c r="E194" s="4">
        <v>0.64583333333333337</v>
      </c>
      <c r="F194" s="4">
        <v>0.85416666666666663</v>
      </c>
      <c r="G194" t="s">
        <v>31</v>
      </c>
      <c r="H194">
        <v>1</v>
      </c>
      <c r="I194">
        <v>150</v>
      </c>
      <c r="J194">
        <f>VLOOKUP(Tabla14[[#This Row],[TARIFA]],$P$2:$Q$5,2,0)</f>
        <v>150</v>
      </c>
      <c r="K194">
        <v>0</v>
      </c>
      <c r="L194">
        <v>0</v>
      </c>
      <c r="M194" s="7">
        <f>Tabla14[[#This Row],[TARIFA]]+Tabla14[[#This Row],[IMPORTE EXTRAS]]</f>
        <v>150</v>
      </c>
    </row>
    <row r="195" spans="1:13" x14ac:dyDescent="0.2">
      <c r="A195">
        <v>2023</v>
      </c>
      <c r="B195" t="s">
        <v>63</v>
      </c>
      <c r="C195" s="51">
        <v>45213</v>
      </c>
      <c r="D195" s="3" t="s">
        <v>42</v>
      </c>
      <c r="E195" s="4">
        <v>0.64583333333333337</v>
      </c>
      <c r="F195" s="4">
        <v>0.85416666666666663</v>
      </c>
      <c r="G195" t="s">
        <v>31</v>
      </c>
      <c r="H195">
        <v>1</v>
      </c>
      <c r="I195">
        <v>150</v>
      </c>
      <c r="J195">
        <f>VLOOKUP(Tabla14[[#This Row],[TARIFA]],$P$2:$Q$5,2,0)</f>
        <v>150</v>
      </c>
      <c r="K195">
        <v>0</v>
      </c>
      <c r="L195">
        <v>0</v>
      </c>
      <c r="M195" s="7">
        <f>Tabla14[[#This Row],[TARIFA]]+Tabla14[[#This Row],[IMPORTE EXTRAS]]</f>
        <v>150</v>
      </c>
    </row>
    <row r="196" spans="1:13" x14ac:dyDescent="0.2">
      <c r="A196">
        <v>2023</v>
      </c>
      <c r="B196" t="s">
        <v>63</v>
      </c>
      <c r="C196" s="51">
        <v>45213</v>
      </c>
      <c r="D196" s="3" t="s">
        <v>42</v>
      </c>
      <c r="E196" s="4">
        <v>0.89583333333333337</v>
      </c>
      <c r="F196" s="4">
        <v>0.10416666666666667</v>
      </c>
      <c r="G196" t="s">
        <v>35</v>
      </c>
      <c r="H196">
        <v>1</v>
      </c>
      <c r="I196">
        <v>200</v>
      </c>
      <c r="J196">
        <f>VLOOKUP(Tabla14[[#This Row],[TARIFA]],$P$2:$Q$5,2,0)</f>
        <v>200</v>
      </c>
      <c r="K196">
        <v>0</v>
      </c>
      <c r="L196">
        <v>0</v>
      </c>
      <c r="M196" s="7">
        <f>Tabla14[[#This Row],[TARIFA]]+Tabla14[[#This Row],[IMPORTE EXTRAS]]</f>
        <v>200</v>
      </c>
    </row>
    <row r="197" spans="1:13" x14ac:dyDescent="0.2">
      <c r="A197">
        <v>2023</v>
      </c>
      <c r="B197" t="s">
        <v>63</v>
      </c>
      <c r="C197" s="51">
        <v>45214</v>
      </c>
      <c r="D197" s="3" t="s">
        <v>43</v>
      </c>
      <c r="E197" s="4">
        <v>0.39583333333333331</v>
      </c>
      <c r="F197" s="4">
        <v>0.60416666666666663</v>
      </c>
      <c r="G197" t="s">
        <v>30</v>
      </c>
      <c r="H197">
        <v>1</v>
      </c>
      <c r="I197">
        <v>150</v>
      </c>
      <c r="J197">
        <f>VLOOKUP(Tabla14[[#This Row],[TARIFA]],$P$2:$Q$5,2,0)</f>
        <v>150</v>
      </c>
      <c r="K197">
        <v>0</v>
      </c>
      <c r="L197">
        <v>0</v>
      </c>
      <c r="M197" s="7">
        <f>Tabla14[[#This Row],[TARIFA]]+Tabla14[[#This Row],[IMPORTE EXTRAS]]</f>
        <v>150</v>
      </c>
    </row>
    <row r="198" spans="1:13" x14ac:dyDescent="0.2">
      <c r="A198">
        <v>2023</v>
      </c>
      <c r="B198" t="s">
        <v>63</v>
      </c>
      <c r="C198" s="51">
        <v>45214</v>
      </c>
      <c r="D198" s="3" t="s">
        <v>43</v>
      </c>
      <c r="E198" s="4">
        <v>0.64583333333333337</v>
      </c>
      <c r="F198" s="4">
        <v>0.85416666666666663</v>
      </c>
      <c r="G198" t="s">
        <v>31</v>
      </c>
      <c r="H198">
        <v>1</v>
      </c>
      <c r="I198">
        <v>150</v>
      </c>
      <c r="J198">
        <f>VLOOKUP(Tabla14[[#This Row],[TARIFA]],$P$2:$Q$5,2,0)</f>
        <v>150</v>
      </c>
      <c r="K198">
        <v>0</v>
      </c>
      <c r="L198">
        <v>0</v>
      </c>
      <c r="M198" s="7">
        <f>Tabla14[[#This Row],[TARIFA]]+Tabla14[[#This Row],[IMPORTE EXTRAS]]</f>
        <v>150</v>
      </c>
    </row>
    <row r="199" spans="1:13" x14ac:dyDescent="0.2">
      <c r="A199">
        <v>2023</v>
      </c>
      <c r="B199" t="s">
        <v>63</v>
      </c>
      <c r="C199" s="51">
        <v>45215</v>
      </c>
      <c r="D199" s="3" t="s">
        <v>37</v>
      </c>
      <c r="E199" s="4">
        <v>0.64583333333333337</v>
      </c>
      <c r="F199" s="4">
        <v>0.85416666666666663</v>
      </c>
      <c r="G199" t="s">
        <v>31</v>
      </c>
      <c r="H199">
        <v>1</v>
      </c>
      <c r="I199">
        <v>95</v>
      </c>
      <c r="J199">
        <f>VLOOKUP(Tabla14[[#This Row],[TARIFA]],$P$2:$Q$5,2,0)</f>
        <v>100</v>
      </c>
      <c r="K199">
        <v>0</v>
      </c>
      <c r="L199">
        <v>0</v>
      </c>
      <c r="M199" s="7">
        <f>Tabla14[[#This Row],[TARIFA]]+Tabla14[[#This Row],[IMPORTE EXTRAS]]</f>
        <v>95</v>
      </c>
    </row>
    <row r="200" spans="1:13" x14ac:dyDescent="0.2">
      <c r="A200">
        <v>2023</v>
      </c>
      <c r="B200" t="s">
        <v>63</v>
      </c>
      <c r="C200" s="51">
        <v>45216</v>
      </c>
      <c r="D200" s="3" t="s">
        <v>38</v>
      </c>
      <c r="E200" s="4">
        <v>0.64583333333333337</v>
      </c>
      <c r="F200" s="4">
        <v>0.85416666666666663</v>
      </c>
      <c r="G200" t="s">
        <v>31</v>
      </c>
      <c r="H200">
        <v>1</v>
      </c>
      <c r="I200">
        <v>95</v>
      </c>
      <c r="J200">
        <f>VLOOKUP(Tabla14[[#This Row],[TARIFA]],$P$2:$Q$5,2,0)</f>
        <v>100</v>
      </c>
      <c r="K200">
        <v>0</v>
      </c>
      <c r="L200">
        <v>0</v>
      </c>
      <c r="M200" s="7">
        <f>Tabla14[[#This Row],[TARIFA]]+Tabla14[[#This Row],[IMPORTE EXTRAS]]</f>
        <v>95</v>
      </c>
    </row>
    <row r="201" spans="1:13" x14ac:dyDescent="0.2">
      <c r="A201">
        <v>2023</v>
      </c>
      <c r="B201" t="s">
        <v>63</v>
      </c>
      <c r="C201" s="51">
        <v>45219</v>
      </c>
      <c r="D201" s="3" t="s">
        <v>41</v>
      </c>
      <c r="E201" s="4">
        <v>0.64583333333333337</v>
      </c>
      <c r="F201" s="4">
        <v>0.85416666666666663</v>
      </c>
      <c r="G201" t="s">
        <v>31</v>
      </c>
      <c r="H201">
        <v>1</v>
      </c>
      <c r="I201">
        <v>140</v>
      </c>
      <c r="J201">
        <f>VLOOKUP(Tabla14[[#This Row],[TARIFA]],$P$2:$Q$5,2,0)</f>
        <v>140</v>
      </c>
      <c r="K201">
        <v>0</v>
      </c>
      <c r="L201">
        <v>0</v>
      </c>
      <c r="M201" s="7">
        <f>Tabla14[[#This Row],[TARIFA]]+Tabla14[[#This Row],[IMPORTE EXTRAS]]</f>
        <v>140</v>
      </c>
    </row>
    <row r="202" spans="1:13" x14ac:dyDescent="0.2">
      <c r="A202">
        <v>2023</v>
      </c>
      <c r="B202" t="s">
        <v>63</v>
      </c>
      <c r="C202" s="51">
        <v>45219</v>
      </c>
      <c r="D202" s="3" t="s">
        <v>41</v>
      </c>
      <c r="E202" s="4">
        <v>0.89583333333333337</v>
      </c>
      <c r="F202" s="4">
        <v>0.10416666666666667</v>
      </c>
      <c r="G202" t="s">
        <v>35</v>
      </c>
      <c r="H202">
        <v>1</v>
      </c>
      <c r="I202">
        <v>200</v>
      </c>
      <c r="J202">
        <f>VLOOKUP(Tabla14[[#This Row],[TARIFA]],$P$2:$Q$5,2,0)</f>
        <v>200</v>
      </c>
      <c r="K202">
        <v>0</v>
      </c>
      <c r="L202">
        <v>0</v>
      </c>
      <c r="M202" s="7">
        <f>Tabla14[[#This Row],[TARIFA]]+Tabla14[[#This Row],[IMPORTE EXTRAS]]</f>
        <v>200</v>
      </c>
    </row>
    <row r="203" spans="1:13" x14ac:dyDescent="0.2">
      <c r="A203">
        <v>2023</v>
      </c>
      <c r="B203" t="s">
        <v>63</v>
      </c>
      <c r="C203" s="51">
        <v>45220</v>
      </c>
      <c r="D203" s="3" t="s">
        <v>42</v>
      </c>
      <c r="E203" s="4">
        <v>0.39583333333333331</v>
      </c>
      <c r="F203" s="4">
        <v>0.60416666666666663</v>
      </c>
      <c r="G203" t="s">
        <v>30</v>
      </c>
      <c r="H203">
        <v>1</v>
      </c>
      <c r="I203">
        <v>150</v>
      </c>
      <c r="J203">
        <f>VLOOKUP(Tabla14[[#This Row],[TARIFA]],$P$2:$Q$5,2,0)</f>
        <v>150</v>
      </c>
      <c r="K203">
        <v>0</v>
      </c>
      <c r="L203">
        <v>0</v>
      </c>
      <c r="M203" s="7">
        <f>Tabla14[[#This Row],[TARIFA]]+Tabla14[[#This Row],[IMPORTE EXTRAS]]</f>
        <v>150</v>
      </c>
    </row>
    <row r="204" spans="1:13" x14ac:dyDescent="0.2">
      <c r="A204">
        <v>2023</v>
      </c>
      <c r="B204" t="s">
        <v>63</v>
      </c>
      <c r="C204" s="51">
        <v>45220</v>
      </c>
      <c r="D204" s="3" t="s">
        <v>42</v>
      </c>
      <c r="E204" s="4">
        <v>0.64583333333333337</v>
      </c>
      <c r="F204" s="4">
        <v>0.85416666666666663</v>
      </c>
      <c r="G204" t="s">
        <v>31</v>
      </c>
      <c r="H204">
        <v>1</v>
      </c>
      <c r="I204">
        <v>150</v>
      </c>
      <c r="J204">
        <f>VLOOKUP(Tabla14[[#This Row],[TARIFA]],$P$2:$Q$5,2,0)</f>
        <v>150</v>
      </c>
      <c r="K204">
        <v>0</v>
      </c>
      <c r="L204">
        <v>0</v>
      </c>
      <c r="M204" s="7">
        <v>150</v>
      </c>
    </row>
    <row r="205" spans="1:13" x14ac:dyDescent="0.2">
      <c r="A205">
        <v>2023</v>
      </c>
      <c r="B205" t="s">
        <v>63</v>
      </c>
      <c r="C205" s="51">
        <v>45220</v>
      </c>
      <c r="D205" s="3" t="s">
        <v>42</v>
      </c>
      <c r="E205" s="4">
        <v>0.89583333333333337</v>
      </c>
      <c r="F205" s="4">
        <v>0.10416666666666667</v>
      </c>
      <c r="G205" t="s">
        <v>35</v>
      </c>
      <c r="H205">
        <v>1</v>
      </c>
      <c r="I205">
        <v>200</v>
      </c>
      <c r="J205">
        <f>VLOOKUP(Tabla14[[#This Row],[TARIFA]],$P$2:$Q$5,2,0)</f>
        <v>200</v>
      </c>
      <c r="K205">
        <v>0</v>
      </c>
      <c r="L205">
        <v>0</v>
      </c>
      <c r="M205" s="7">
        <f>Tabla14[[#This Row],[TARIFA]]+Tabla14[[#This Row],[IMPORTE EXTRAS]]</f>
        <v>200</v>
      </c>
    </row>
    <row r="206" spans="1:13" x14ac:dyDescent="0.2">
      <c r="A206">
        <v>2023</v>
      </c>
      <c r="B206" t="s">
        <v>63</v>
      </c>
      <c r="C206" s="51">
        <v>45221</v>
      </c>
      <c r="D206" s="3" t="s">
        <v>43</v>
      </c>
      <c r="E206" s="4">
        <v>0.39583333333333331</v>
      </c>
      <c r="F206" s="4">
        <v>0.60416666666666663</v>
      </c>
      <c r="G206" t="s">
        <v>30</v>
      </c>
      <c r="H206">
        <v>1</v>
      </c>
      <c r="I206">
        <v>150</v>
      </c>
      <c r="J206">
        <f>VLOOKUP(Tabla14[[#This Row],[TARIFA]],$P$2:$Q$5,2,0)</f>
        <v>150</v>
      </c>
      <c r="K206">
        <v>0</v>
      </c>
      <c r="L206">
        <v>0</v>
      </c>
      <c r="M206" s="7">
        <f>Tabla14[[#This Row],[TARIFA]]+Tabla14[[#This Row],[IMPORTE EXTRAS]]</f>
        <v>150</v>
      </c>
    </row>
    <row r="207" spans="1:13" x14ac:dyDescent="0.2">
      <c r="A207">
        <v>2023</v>
      </c>
      <c r="B207" t="s">
        <v>63</v>
      </c>
      <c r="C207" s="51">
        <v>45221</v>
      </c>
      <c r="D207" s="3" t="s">
        <v>43</v>
      </c>
      <c r="E207" s="4">
        <v>0.64583333333333337</v>
      </c>
      <c r="F207" s="4">
        <v>0.85416666666666663</v>
      </c>
      <c r="G207" t="s">
        <v>31</v>
      </c>
      <c r="H207">
        <v>1</v>
      </c>
      <c r="I207">
        <v>150</v>
      </c>
      <c r="J207">
        <f>VLOOKUP(Tabla14[[#This Row],[TARIFA]],$P$2:$Q$5,2,0)</f>
        <v>150</v>
      </c>
      <c r="K207">
        <v>0</v>
      </c>
      <c r="L207">
        <v>0</v>
      </c>
      <c r="M207" s="7">
        <f>Tabla14[[#This Row],[TARIFA]]+Tabla14[[#This Row],[IMPORTE EXTRAS]]</f>
        <v>150</v>
      </c>
    </row>
    <row r="208" spans="1:13" x14ac:dyDescent="0.2">
      <c r="A208">
        <v>2023</v>
      </c>
      <c r="B208" t="s">
        <v>63</v>
      </c>
      <c r="C208" s="51">
        <v>45226</v>
      </c>
      <c r="D208" s="3" t="s">
        <v>41</v>
      </c>
      <c r="E208" s="4">
        <v>0.64583333333333337</v>
      </c>
      <c r="F208" s="4">
        <v>0.85416666666666663</v>
      </c>
      <c r="G208" t="s">
        <v>31</v>
      </c>
      <c r="H208">
        <v>1</v>
      </c>
      <c r="I208">
        <v>140</v>
      </c>
      <c r="J208">
        <f>VLOOKUP(Tabla14[[#This Row],[TARIFA]],$P$2:$Q$5,2,0)</f>
        <v>140</v>
      </c>
      <c r="K208">
        <v>0</v>
      </c>
      <c r="L208">
        <v>0</v>
      </c>
      <c r="M208" s="7">
        <f>Tabla14[[#This Row],[TARIFA]]+Tabla14[[#This Row],[IMPORTE EXTRAS]]</f>
        <v>140</v>
      </c>
    </row>
    <row r="209" spans="1:13" x14ac:dyDescent="0.2">
      <c r="A209">
        <v>2023</v>
      </c>
      <c r="B209" t="s">
        <v>63</v>
      </c>
      <c r="C209" s="51">
        <v>45227</v>
      </c>
      <c r="D209" s="3" t="s">
        <v>42</v>
      </c>
      <c r="E209" s="4">
        <v>0.39583333333333331</v>
      </c>
      <c r="F209" s="4">
        <v>0.60416666666666663</v>
      </c>
      <c r="G209" t="s">
        <v>30</v>
      </c>
      <c r="H209">
        <v>1</v>
      </c>
      <c r="I209">
        <v>150</v>
      </c>
      <c r="J209">
        <f>VLOOKUP(Tabla14[[#This Row],[TARIFA]],$P$2:$Q$5,2,0)</f>
        <v>150</v>
      </c>
      <c r="K209">
        <v>0</v>
      </c>
      <c r="L209">
        <v>0</v>
      </c>
      <c r="M209" s="7">
        <f>Tabla14[[#This Row],[TARIFA]]+Tabla14[[#This Row],[IMPORTE EXTRAS]]</f>
        <v>150</v>
      </c>
    </row>
    <row r="210" spans="1:13" x14ac:dyDescent="0.2">
      <c r="A210">
        <v>2023</v>
      </c>
      <c r="B210" t="s">
        <v>63</v>
      </c>
      <c r="C210" s="51">
        <v>45227</v>
      </c>
      <c r="D210" s="3" t="s">
        <v>42</v>
      </c>
      <c r="E210" s="4">
        <v>0.64583333333333337</v>
      </c>
      <c r="F210" s="4">
        <v>0.10416666666666667</v>
      </c>
      <c r="G210" t="s">
        <v>53</v>
      </c>
      <c r="H210">
        <v>2</v>
      </c>
      <c r="I210">
        <v>320</v>
      </c>
      <c r="J210">
        <f>Tabla14[[#This Row],[TARIFA]]</f>
        <v>320</v>
      </c>
      <c r="K210">
        <v>0</v>
      </c>
      <c r="L210">
        <v>0</v>
      </c>
      <c r="M210" s="7">
        <f>Tabla14[[#This Row],[TARIFA]]+Tabla14[[#This Row],[IMPORTE EXTRAS]]</f>
        <v>320</v>
      </c>
    </row>
    <row r="211" spans="1:13" x14ac:dyDescent="0.2">
      <c r="A211">
        <v>2023</v>
      </c>
      <c r="B211" t="s">
        <v>63</v>
      </c>
      <c r="C211" s="51">
        <v>45228</v>
      </c>
      <c r="D211" s="3" t="s">
        <v>43</v>
      </c>
      <c r="E211" s="4">
        <v>0.64583333333333337</v>
      </c>
      <c r="F211" s="4">
        <v>0.85416666666666663</v>
      </c>
      <c r="G211" t="s">
        <v>31</v>
      </c>
      <c r="H211">
        <v>1</v>
      </c>
      <c r="I211">
        <v>150</v>
      </c>
      <c r="J211">
        <f>VLOOKUP(Tabla14[[#This Row],[TARIFA]],$P$2:$Q$5,2,0)</f>
        <v>150</v>
      </c>
      <c r="K211">
        <v>0</v>
      </c>
      <c r="L211">
        <v>0</v>
      </c>
      <c r="M211" s="7">
        <f>Tabla14[[#This Row],[TARIFA]]+Tabla14[[#This Row],[IMPORTE EXTRAS]]</f>
        <v>150</v>
      </c>
    </row>
    <row r="212" spans="1:13" x14ac:dyDescent="0.2">
      <c r="A212">
        <v>2023</v>
      </c>
      <c r="B212" t="s">
        <v>63</v>
      </c>
      <c r="C212" s="51">
        <v>45230</v>
      </c>
      <c r="D212" s="3" t="s">
        <v>38</v>
      </c>
      <c r="E212" s="4">
        <v>0.89583333333333337</v>
      </c>
      <c r="F212" s="4">
        <v>0.10416666666666667</v>
      </c>
      <c r="G212" t="s">
        <v>35</v>
      </c>
      <c r="H212">
        <v>1</v>
      </c>
      <c r="I212">
        <v>250</v>
      </c>
      <c r="J212">
        <f>Tabla14[[#This Row],[TARIFA]]</f>
        <v>250</v>
      </c>
      <c r="K212">
        <v>0</v>
      </c>
      <c r="L212">
        <v>0</v>
      </c>
      <c r="M212" s="7">
        <f>Tabla14[[#This Row],[TARIFA]]+Tabla14[[#This Row],[IMPORTE EXTRAS]]</f>
        <v>250</v>
      </c>
    </row>
    <row r="213" spans="1:13" x14ac:dyDescent="0.2">
      <c r="A213">
        <v>2023</v>
      </c>
      <c r="B213" t="s">
        <v>64</v>
      </c>
      <c r="C213" s="51">
        <v>45233</v>
      </c>
      <c r="D213" s="3" t="s">
        <v>41</v>
      </c>
      <c r="E213" s="4">
        <v>0.64583333333333337</v>
      </c>
      <c r="F213" s="4">
        <v>0.10416666666666667</v>
      </c>
      <c r="G213" t="s">
        <v>53</v>
      </c>
      <c r="H213">
        <v>2</v>
      </c>
      <c r="I213">
        <v>320</v>
      </c>
      <c r="J213">
        <f>Tabla14[[#This Row],[TARIFA]]</f>
        <v>320</v>
      </c>
      <c r="K213">
        <v>0</v>
      </c>
      <c r="L213">
        <v>0</v>
      </c>
      <c r="M213" s="7">
        <f>Tabla14[[#This Row],[TARIFA]]+Tabla14[[#This Row],[IMPORTE EXTRAS]]</f>
        <v>320</v>
      </c>
    </row>
    <row r="214" spans="1:13" x14ac:dyDescent="0.2">
      <c r="A214">
        <v>2023</v>
      </c>
      <c r="B214" t="s">
        <v>64</v>
      </c>
      <c r="C214" s="51">
        <v>45234</v>
      </c>
      <c r="D214" s="3" t="s">
        <v>42</v>
      </c>
      <c r="E214" s="4">
        <v>0.39583333333333331</v>
      </c>
      <c r="F214" s="4">
        <v>0.60416666666666663</v>
      </c>
      <c r="G214" t="s">
        <v>30</v>
      </c>
      <c r="H214">
        <v>1</v>
      </c>
      <c r="I214">
        <v>150</v>
      </c>
      <c r="J214">
        <f>VLOOKUP(Tabla14[[#This Row],[TARIFA]],$P$2:$Q$5,2,0)</f>
        <v>150</v>
      </c>
      <c r="K214">
        <v>0</v>
      </c>
      <c r="L214">
        <v>0</v>
      </c>
      <c r="M214" s="7">
        <f>Tabla14[[#This Row],[TARIFA]]+Tabla14[[#This Row],[IMPORTE EXTRAS]]</f>
        <v>150</v>
      </c>
    </row>
    <row r="215" spans="1:13" x14ac:dyDescent="0.2">
      <c r="A215">
        <v>2023</v>
      </c>
      <c r="B215" t="s">
        <v>64</v>
      </c>
      <c r="C215" s="51">
        <v>45234</v>
      </c>
      <c r="D215" s="3" t="s">
        <v>42</v>
      </c>
      <c r="E215" s="4">
        <v>0.64583333333333337</v>
      </c>
      <c r="F215" s="4">
        <v>0.85416666666666663</v>
      </c>
      <c r="G215" t="s">
        <v>31</v>
      </c>
      <c r="H215">
        <v>1</v>
      </c>
      <c r="I215">
        <v>150</v>
      </c>
      <c r="J215">
        <f>VLOOKUP(Tabla14[[#This Row],[TARIFA]],$P$2:$Q$5,2,0)</f>
        <v>150</v>
      </c>
      <c r="K215">
        <v>0</v>
      </c>
      <c r="L215">
        <v>0</v>
      </c>
      <c r="M215" s="7">
        <f>Tabla14[[#This Row],[TARIFA]]+Tabla14[[#This Row],[IMPORTE EXTRAS]]</f>
        <v>150</v>
      </c>
    </row>
    <row r="216" spans="1:13" x14ac:dyDescent="0.2">
      <c r="A216">
        <v>2023</v>
      </c>
      <c r="B216" t="s">
        <v>64</v>
      </c>
      <c r="C216" s="51">
        <v>45234</v>
      </c>
      <c r="D216" s="3" t="s">
        <v>42</v>
      </c>
      <c r="E216" s="4">
        <v>0.89583333333333337</v>
      </c>
      <c r="F216" s="4">
        <v>0.10416666666666667</v>
      </c>
      <c r="G216" t="s">
        <v>35</v>
      </c>
      <c r="H216">
        <v>1</v>
      </c>
      <c r="I216">
        <v>200</v>
      </c>
      <c r="J216">
        <f>VLOOKUP(Tabla14[[#This Row],[TARIFA]],$P$2:$Q$5,2,0)</f>
        <v>200</v>
      </c>
      <c r="K216">
        <v>0</v>
      </c>
      <c r="L216">
        <v>0</v>
      </c>
      <c r="M216" s="7">
        <f>Tabla14[[#This Row],[TARIFA]]+Tabla14[[#This Row],[IMPORTE EXTRAS]]</f>
        <v>200</v>
      </c>
    </row>
    <row r="217" spans="1:13" x14ac:dyDescent="0.2">
      <c r="A217">
        <v>2023</v>
      </c>
      <c r="B217" t="s">
        <v>64</v>
      </c>
      <c r="C217" s="51">
        <v>45235</v>
      </c>
      <c r="D217" s="3" t="s">
        <v>43</v>
      </c>
      <c r="E217" s="4">
        <v>0.39583333333333331</v>
      </c>
      <c r="F217" s="4">
        <v>0.60416666666666663</v>
      </c>
      <c r="G217" t="s">
        <v>30</v>
      </c>
      <c r="H217">
        <v>1</v>
      </c>
      <c r="I217">
        <v>150</v>
      </c>
      <c r="J217">
        <f>VLOOKUP(Tabla14[[#This Row],[TARIFA]],$P$2:$Q$5,2,0)</f>
        <v>150</v>
      </c>
      <c r="K217">
        <v>0</v>
      </c>
      <c r="L217">
        <v>0</v>
      </c>
      <c r="M217" s="7">
        <f>Tabla14[[#This Row],[TARIFA]]+Tabla14[[#This Row],[IMPORTE EXTRAS]]</f>
        <v>150</v>
      </c>
    </row>
    <row r="218" spans="1:13" x14ac:dyDescent="0.2">
      <c r="A218">
        <v>2023</v>
      </c>
      <c r="B218" t="s">
        <v>64</v>
      </c>
      <c r="C218" s="51">
        <v>45235</v>
      </c>
      <c r="D218" s="3" t="s">
        <v>43</v>
      </c>
      <c r="E218" s="4">
        <v>0.64583333333333337</v>
      </c>
      <c r="F218" s="4">
        <v>0.85416666666666663</v>
      </c>
      <c r="G218" t="s">
        <v>31</v>
      </c>
      <c r="H218">
        <v>1</v>
      </c>
      <c r="I218">
        <v>150</v>
      </c>
      <c r="J218">
        <f>VLOOKUP(Tabla14[[#This Row],[TARIFA]],$P$2:$Q$5,2,0)</f>
        <v>150</v>
      </c>
      <c r="K218">
        <v>0</v>
      </c>
      <c r="L218">
        <v>0</v>
      </c>
      <c r="M218" s="7">
        <f>Tabla14[[#This Row],[TARIFA]]+Tabla14[[#This Row],[IMPORTE EXTRAS]]</f>
        <v>150</v>
      </c>
    </row>
    <row r="219" spans="1:13" x14ac:dyDescent="0.2">
      <c r="A219">
        <v>2023</v>
      </c>
      <c r="B219" t="s">
        <v>64</v>
      </c>
      <c r="C219" s="51">
        <v>45240</v>
      </c>
      <c r="D219" s="3" t="s">
        <v>41</v>
      </c>
      <c r="E219" s="4">
        <v>0.89583333333333337</v>
      </c>
      <c r="F219" s="4">
        <v>0.10416666666666667</v>
      </c>
      <c r="G219" t="s">
        <v>35</v>
      </c>
      <c r="H219">
        <v>1</v>
      </c>
      <c r="I219">
        <v>200</v>
      </c>
      <c r="J219">
        <f>VLOOKUP(Tabla14[[#This Row],[TARIFA]],$P$2:$Q$5,2,0)</f>
        <v>200</v>
      </c>
      <c r="K219">
        <v>0</v>
      </c>
      <c r="L219">
        <v>0</v>
      </c>
      <c r="M219" s="7">
        <f>Tabla14[[#This Row],[TARIFA]]+Tabla14[[#This Row],[IMPORTE EXTRAS]]</f>
        <v>200</v>
      </c>
    </row>
    <row r="220" spans="1:13" x14ac:dyDescent="0.2">
      <c r="A220">
        <v>2023</v>
      </c>
      <c r="B220" t="s">
        <v>64</v>
      </c>
      <c r="C220" s="51">
        <v>45241</v>
      </c>
      <c r="D220" s="3" t="s">
        <v>42</v>
      </c>
      <c r="E220" s="4">
        <v>0.39583333333333331</v>
      </c>
      <c r="F220" s="4">
        <v>0.60416666666666663</v>
      </c>
      <c r="G220" t="s">
        <v>30</v>
      </c>
      <c r="H220">
        <v>1</v>
      </c>
      <c r="I220">
        <v>150</v>
      </c>
      <c r="J220">
        <f>VLOOKUP(Tabla14[[#This Row],[TARIFA]],$P$2:$Q$5,2,0)</f>
        <v>150</v>
      </c>
      <c r="K220">
        <v>0</v>
      </c>
      <c r="L220">
        <v>0</v>
      </c>
      <c r="M220" s="7">
        <f>Tabla14[[#This Row],[TARIFA]]+Tabla14[[#This Row],[IMPORTE EXTRAS]]</f>
        <v>150</v>
      </c>
    </row>
    <row r="221" spans="1:13" x14ac:dyDescent="0.2">
      <c r="A221">
        <v>2023</v>
      </c>
      <c r="B221" t="s">
        <v>64</v>
      </c>
      <c r="C221" s="51">
        <v>45241</v>
      </c>
      <c r="D221" s="3" t="s">
        <v>42</v>
      </c>
      <c r="E221" s="4">
        <v>0.89583333333333337</v>
      </c>
      <c r="F221" s="4">
        <v>0.10416666666666667</v>
      </c>
      <c r="G221" t="s">
        <v>35</v>
      </c>
      <c r="H221">
        <v>1</v>
      </c>
      <c r="I221">
        <v>200</v>
      </c>
      <c r="J221">
        <f>VLOOKUP(Tabla14[[#This Row],[TARIFA]],$P$2:$Q$5,2,0)</f>
        <v>200</v>
      </c>
      <c r="K221">
        <v>0</v>
      </c>
      <c r="L221">
        <v>0</v>
      </c>
      <c r="M221" s="7">
        <v>200</v>
      </c>
    </row>
    <row r="222" spans="1:13" x14ac:dyDescent="0.2">
      <c r="A222">
        <v>2023</v>
      </c>
      <c r="B222" t="s">
        <v>64</v>
      </c>
      <c r="C222" s="51">
        <v>45242</v>
      </c>
      <c r="D222" s="3" t="s">
        <v>43</v>
      </c>
      <c r="E222" s="4">
        <v>0.39583333333333331</v>
      </c>
      <c r="F222" s="4">
        <v>0.60416666666666663</v>
      </c>
      <c r="G222" t="s">
        <v>30</v>
      </c>
      <c r="H222">
        <v>1</v>
      </c>
      <c r="I222">
        <v>150</v>
      </c>
      <c r="J222">
        <f>VLOOKUP(Tabla14[[#This Row],[TARIFA]],$P$2:$Q$5,2,0)</f>
        <v>150</v>
      </c>
      <c r="K222">
        <v>0</v>
      </c>
      <c r="L222">
        <v>0</v>
      </c>
      <c r="M222" s="7">
        <f>Tabla14[[#This Row],[TARIFA]]+Tabla14[[#This Row],[IMPORTE EXTRAS]]</f>
        <v>150</v>
      </c>
    </row>
    <row r="223" spans="1:13" x14ac:dyDescent="0.2">
      <c r="A223">
        <v>2023</v>
      </c>
      <c r="B223" t="s">
        <v>64</v>
      </c>
      <c r="C223" s="51">
        <v>45242</v>
      </c>
      <c r="D223" s="3" t="s">
        <v>43</v>
      </c>
      <c r="E223" s="4">
        <v>0.64583333333333337</v>
      </c>
      <c r="F223" s="4">
        <v>0.85416666666666663</v>
      </c>
      <c r="G223" t="s">
        <v>31</v>
      </c>
      <c r="H223">
        <v>1</v>
      </c>
      <c r="I223">
        <v>150</v>
      </c>
      <c r="J223">
        <f>VLOOKUP(Tabla14[[#This Row],[TARIFA]],$P$2:$Q$5,2,0)</f>
        <v>150</v>
      </c>
      <c r="K223">
        <v>0</v>
      </c>
      <c r="L223">
        <v>0</v>
      </c>
      <c r="M223" s="7">
        <f>Tabla14[[#This Row],[TARIFA]]+Tabla14[[#This Row],[IMPORTE EXTRAS]]</f>
        <v>150</v>
      </c>
    </row>
    <row r="224" spans="1:13" x14ac:dyDescent="0.2">
      <c r="A224">
        <v>2023</v>
      </c>
      <c r="B224" t="s">
        <v>64</v>
      </c>
      <c r="C224" s="51">
        <v>45254</v>
      </c>
      <c r="D224" s="3" t="s">
        <v>42</v>
      </c>
      <c r="E224" s="4">
        <v>0.89583333333333337</v>
      </c>
      <c r="F224" s="4">
        <v>0.10416666666666667</v>
      </c>
      <c r="G224" t="s">
        <v>35</v>
      </c>
      <c r="H224">
        <v>1</v>
      </c>
      <c r="I224">
        <v>200</v>
      </c>
      <c r="J224">
        <f>VLOOKUP(Tabla14[[#This Row],[TARIFA]],$P$2:$Q$5,2,0)</f>
        <v>200</v>
      </c>
      <c r="K224">
        <v>0</v>
      </c>
      <c r="L224">
        <v>0</v>
      </c>
      <c r="M224" s="7">
        <f>Tabla14[[#This Row],[TARIFA]]+Tabla14[[#This Row],[IMPORTE EXTRAS]]</f>
        <v>200</v>
      </c>
    </row>
    <row r="225" spans="1:13" x14ac:dyDescent="0.2">
      <c r="A225">
        <v>2023</v>
      </c>
      <c r="B225" t="s">
        <v>64</v>
      </c>
      <c r="C225" s="51">
        <v>45255</v>
      </c>
      <c r="D225" s="3" t="s">
        <v>42</v>
      </c>
      <c r="E225" s="4">
        <v>0.39583333333333331</v>
      </c>
      <c r="F225" s="4">
        <v>0.85416666666666663</v>
      </c>
      <c r="G225" t="s">
        <v>32</v>
      </c>
      <c r="H225">
        <v>2</v>
      </c>
      <c r="I225">
        <v>290</v>
      </c>
      <c r="J225">
        <f>Tabla14[[#This Row],[TARIFA]]</f>
        <v>290</v>
      </c>
      <c r="K225">
        <v>0</v>
      </c>
      <c r="L225">
        <v>0</v>
      </c>
      <c r="M225" s="7">
        <f>Tabla14[[#This Row],[TARIFA]]+Tabla14[[#This Row],[IMPORTE EXTRAS]]</f>
        <v>290</v>
      </c>
    </row>
    <row r="226" spans="1:13" x14ac:dyDescent="0.2">
      <c r="A226">
        <v>2023</v>
      </c>
      <c r="B226" t="s">
        <v>64</v>
      </c>
      <c r="C226" s="51">
        <v>45255</v>
      </c>
      <c r="D226" s="3" t="s">
        <v>42</v>
      </c>
      <c r="E226" s="4">
        <v>0.89583333333333337</v>
      </c>
      <c r="F226" s="4">
        <v>0.10416666666666667</v>
      </c>
      <c r="G226" t="s">
        <v>35</v>
      </c>
      <c r="H226">
        <v>1</v>
      </c>
      <c r="I226">
        <v>200</v>
      </c>
      <c r="J226">
        <f>VLOOKUP(Tabla14[[#This Row],[TARIFA]],$P$2:$Q$5,2,0)</f>
        <v>200</v>
      </c>
      <c r="K226">
        <v>0</v>
      </c>
      <c r="L226">
        <v>0</v>
      </c>
      <c r="M226" s="7">
        <f>Tabla14[[#This Row],[TARIFA]]+Tabla14[[#This Row],[IMPORTE EXTRAS]]</f>
        <v>200</v>
      </c>
    </row>
    <row r="227" spans="1:13" x14ac:dyDescent="0.2">
      <c r="A227">
        <v>2023</v>
      </c>
      <c r="B227" t="s">
        <v>64</v>
      </c>
      <c r="C227" s="51">
        <v>45256</v>
      </c>
      <c r="D227" s="3" t="s">
        <v>43</v>
      </c>
      <c r="E227" s="4">
        <v>0.39583333333333331</v>
      </c>
      <c r="F227" s="4">
        <v>0.85416666666666663</v>
      </c>
      <c r="G227" t="s">
        <v>32</v>
      </c>
      <c r="H227">
        <v>2</v>
      </c>
      <c r="I227">
        <v>290</v>
      </c>
      <c r="J227">
        <f>Tabla14[[#This Row],[TARIFA]]</f>
        <v>290</v>
      </c>
      <c r="K227">
        <v>0</v>
      </c>
      <c r="L227">
        <v>0</v>
      </c>
      <c r="M227" s="7">
        <f>Tabla14[[#This Row],[TARIFA]]+Tabla14[[#This Row],[IMPORTE EXTRAS]]</f>
        <v>290</v>
      </c>
    </row>
    <row r="228" spans="1:13" x14ac:dyDescent="0.2">
      <c r="A228">
        <v>2023</v>
      </c>
      <c r="B228" t="s">
        <v>64</v>
      </c>
      <c r="C228" s="51">
        <v>45259</v>
      </c>
      <c r="D228" s="3" t="s">
        <v>39</v>
      </c>
      <c r="E228" s="4">
        <v>0.39583333333333331</v>
      </c>
      <c r="F228" s="4">
        <v>0.85416666666666663</v>
      </c>
      <c r="G228" t="s">
        <v>32</v>
      </c>
      <c r="H228">
        <v>2</v>
      </c>
      <c r="I228">
        <v>290</v>
      </c>
      <c r="J228">
        <f>Tabla14[[#This Row],[TARIFA]]</f>
        <v>290</v>
      </c>
      <c r="K228">
        <v>0</v>
      </c>
      <c r="L228">
        <v>0</v>
      </c>
      <c r="M228" s="7">
        <f>Tabla14[[#This Row],[TARIFA]]+Tabla14[[#This Row],[IMPORTE EXTRAS]]</f>
        <v>290</v>
      </c>
    </row>
    <row r="229" spans="1:13" x14ac:dyDescent="0.2">
      <c r="A229">
        <v>2023</v>
      </c>
      <c r="B229" t="s">
        <v>65</v>
      </c>
      <c r="C229" s="51">
        <v>45261</v>
      </c>
      <c r="D229" s="3" t="s">
        <v>41</v>
      </c>
      <c r="E229" s="4">
        <v>0.89583333333333337</v>
      </c>
      <c r="F229" s="4">
        <v>0.10416666666666667</v>
      </c>
      <c r="G229" t="s">
        <v>35</v>
      </c>
      <c r="H229">
        <v>1</v>
      </c>
      <c r="I229">
        <v>200</v>
      </c>
      <c r="J229">
        <f>VLOOKUP(Tabla14[[#This Row],[TARIFA]],$P$2:$Q$5,2,0)</f>
        <v>200</v>
      </c>
      <c r="K229">
        <v>0</v>
      </c>
      <c r="L229">
        <v>0</v>
      </c>
      <c r="M229" s="7">
        <f>Tabla14[[#This Row],[TARIFA]]+Tabla14[[#This Row],[IMPORTE EXTRAS]]</f>
        <v>200</v>
      </c>
    </row>
    <row r="230" spans="1:13" x14ac:dyDescent="0.2">
      <c r="A230">
        <v>2023</v>
      </c>
      <c r="B230" t="s">
        <v>65</v>
      </c>
      <c r="C230" s="51">
        <v>45262</v>
      </c>
      <c r="D230" s="3" t="s">
        <v>43</v>
      </c>
      <c r="E230" s="4">
        <v>0.39583333333333331</v>
      </c>
      <c r="F230" s="4">
        <v>0.10416666666666667</v>
      </c>
      <c r="G230" t="s">
        <v>32</v>
      </c>
      <c r="H230">
        <v>3</v>
      </c>
      <c r="I230">
        <v>400</v>
      </c>
      <c r="J230">
        <f>Tabla14[[#This Row],[TARIFA]]</f>
        <v>400</v>
      </c>
      <c r="K230">
        <v>0</v>
      </c>
      <c r="L230">
        <v>0</v>
      </c>
      <c r="M230" s="7">
        <f>Tabla14[[#This Row],[TARIFA]]+Tabla14[[#This Row],[IMPORTE EXTRAS]]</f>
        <v>400</v>
      </c>
    </row>
    <row r="231" spans="1:13" x14ac:dyDescent="0.2">
      <c r="A231">
        <v>2023</v>
      </c>
      <c r="B231" t="s">
        <v>65</v>
      </c>
      <c r="C231" s="51">
        <v>45265</v>
      </c>
      <c r="D231" s="3" t="s">
        <v>38</v>
      </c>
      <c r="E231" s="4">
        <v>0.89583333333333337</v>
      </c>
      <c r="F231" s="4">
        <v>0.10416666666666667</v>
      </c>
      <c r="G231" t="s">
        <v>35</v>
      </c>
      <c r="H231">
        <v>1</v>
      </c>
      <c r="I231">
        <v>200</v>
      </c>
      <c r="J231">
        <f>VLOOKUP(Tabla14[[#This Row],[TARIFA]],$P$2:$Q$5,2,0)</f>
        <v>200</v>
      </c>
      <c r="K231">
        <v>0</v>
      </c>
      <c r="L231">
        <v>0</v>
      </c>
      <c r="M231" s="7">
        <v>200</v>
      </c>
    </row>
    <row r="232" spans="1:13" x14ac:dyDescent="0.2">
      <c r="A232">
        <v>2023</v>
      </c>
      <c r="B232" t="s">
        <v>65</v>
      </c>
      <c r="C232" s="51">
        <v>45270</v>
      </c>
      <c r="D232" s="3" t="s">
        <v>42</v>
      </c>
      <c r="E232" s="4">
        <v>0.64583333333333337</v>
      </c>
      <c r="F232" s="4">
        <v>0.85416666666666663</v>
      </c>
      <c r="G232" t="s">
        <v>31</v>
      </c>
      <c r="H232">
        <v>1</v>
      </c>
      <c r="I232">
        <v>150</v>
      </c>
      <c r="J232">
        <f>VLOOKUP(Tabla14[[#This Row],[TARIFA]],$P$2:$Q$5,2,0)</f>
        <v>150</v>
      </c>
      <c r="K232">
        <v>0</v>
      </c>
      <c r="L232">
        <v>0</v>
      </c>
      <c r="M232" s="7">
        <f>Tabla14[[#This Row],[TARIFA]]+Tabla14[[#This Row],[IMPORTE EXTRAS]]</f>
        <v>150</v>
      </c>
    </row>
    <row r="233" spans="1:13" x14ac:dyDescent="0.2">
      <c r="A233">
        <v>2023</v>
      </c>
      <c r="B233" t="s">
        <v>65</v>
      </c>
      <c r="C233" s="51">
        <v>45275</v>
      </c>
      <c r="D233" s="3" t="s">
        <v>41</v>
      </c>
      <c r="E233" s="4">
        <v>0.64583333333333337</v>
      </c>
      <c r="F233" s="4">
        <v>0.85416666666666663</v>
      </c>
      <c r="G233" t="s">
        <v>31</v>
      </c>
      <c r="H233">
        <v>1</v>
      </c>
      <c r="I233">
        <v>140</v>
      </c>
      <c r="J233">
        <f>VLOOKUP(Tabla14[[#This Row],[TARIFA]],$P$2:$Q$5,2,0)</f>
        <v>140</v>
      </c>
      <c r="K233">
        <v>0</v>
      </c>
      <c r="L233">
        <v>0</v>
      </c>
      <c r="M233" s="7">
        <f>Tabla14[[#This Row],[TARIFA]]+Tabla14[[#This Row],[IMPORTE EXTRAS]]</f>
        <v>140</v>
      </c>
    </row>
    <row r="234" spans="1:13" x14ac:dyDescent="0.2">
      <c r="A234">
        <v>2023</v>
      </c>
      <c r="B234" t="s">
        <v>65</v>
      </c>
      <c r="C234" s="51">
        <v>45276</v>
      </c>
      <c r="D234" s="3" t="s">
        <v>42</v>
      </c>
      <c r="E234" s="4">
        <v>0.64583333333333337</v>
      </c>
      <c r="F234" s="4">
        <v>0.85416666666666663</v>
      </c>
      <c r="G234" t="s">
        <v>31</v>
      </c>
      <c r="H234">
        <v>1</v>
      </c>
      <c r="I234">
        <v>150</v>
      </c>
      <c r="J234">
        <f>VLOOKUP(Tabla14[[#This Row],[TARIFA]],$P$2:$Q$5,2,0)</f>
        <v>150</v>
      </c>
      <c r="K234">
        <v>0</v>
      </c>
      <c r="L234">
        <v>0</v>
      </c>
      <c r="M234" s="7">
        <f>Tabla14[[#This Row],[TARIFA]]+Tabla14[[#This Row],[IMPORTE EXTRAS]]</f>
        <v>150</v>
      </c>
    </row>
    <row r="235" spans="1:13" x14ac:dyDescent="0.2">
      <c r="A235">
        <v>2023</v>
      </c>
      <c r="B235" t="s">
        <v>65</v>
      </c>
      <c r="C235" s="51">
        <v>45276</v>
      </c>
      <c r="D235" s="3" t="s">
        <v>42</v>
      </c>
      <c r="E235" s="4">
        <v>0.89583333333333337</v>
      </c>
      <c r="F235" s="4">
        <v>0.10416666666666667</v>
      </c>
      <c r="G235" t="s">
        <v>35</v>
      </c>
      <c r="H235">
        <v>1</v>
      </c>
      <c r="I235">
        <v>200</v>
      </c>
      <c r="J235">
        <f>VLOOKUP(Tabla14[[#This Row],[TARIFA]],$P$2:$Q$5,2,0)</f>
        <v>200</v>
      </c>
      <c r="K235">
        <v>1</v>
      </c>
      <c r="L235">
        <v>60</v>
      </c>
      <c r="M235" s="7">
        <f>Tabla14[[#This Row],[TARIFA]]+Tabla14[[#This Row],[IMPORTE EXTRAS]]</f>
        <v>260</v>
      </c>
    </row>
    <row r="236" spans="1:13" x14ac:dyDescent="0.2">
      <c r="A236">
        <v>2023</v>
      </c>
      <c r="B236" t="s">
        <v>65</v>
      </c>
      <c r="C236" s="51">
        <v>45277</v>
      </c>
      <c r="D236" s="3" t="s">
        <v>39</v>
      </c>
      <c r="E236" s="4">
        <v>0.39583333333333331</v>
      </c>
      <c r="F236" s="4">
        <v>0.85416666666666663</v>
      </c>
      <c r="G236" t="s">
        <v>32</v>
      </c>
      <c r="H236">
        <v>2</v>
      </c>
      <c r="I236">
        <v>290</v>
      </c>
      <c r="J236">
        <f>Tabla14[[#This Row],[TARIFA]]</f>
        <v>290</v>
      </c>
      <c r="K236">
        <v>0</v>
      </c>
      <c r="L236">
        <v>0</v>
      </c>
      <c r="M236" s="7">
        <f>Tabla14[[#This Row],[TARIFA]]+Tabla14[[#This Row],[IMPORTE EXTRAS]]</f>
        <v>290</v>
      </c>
    </row>
    <row r="237" spans="1:13" x14ac:dyDescent="0.2">
      <c r="A237">
        <v>2023</v>
      </c>
      <c r="B237" t="s">
        <v>65</v>
      </c>
      <c r="C237" s="51">
        <v>45282</v>
      </c>
      <c r="D237" s="3" t="s">
        <v>41</v>
      </c>
      <c r="E237" s="4">
        <v>0.64583333333333337</v>
      </c>
      <c r="F237" s="4">
        <v>0.85416666666666663</v>
      </c>
      <c r="G237" t="s">
        <v>31</v>
      </c>
      <c r="H237">
        <v>1</v>
      </c>
      <c r="I237">
        <v>140</v>
      </c>
      <c r="J237">
        <f>VLOOKUP(Tabla14[[#This Row],[TARIFA]],$P$2:$Q$5,2,0)</f>
        <v>140</v>
      </c>
      <c r="K237">
        <v>0</v>
      </c>
      <c r="L237">
        <v>0</v>
      </c>
      <c r="M237" s="7">
        <f>Tabla14[[#This Row],[TARIFA]]+Tabla14[[#This Row],[IMPORTE EXTRAS]]</f>
        <v>140</v>
      </c>
    </row>
    <row r="238" spans="1:13" x14ac:dyDescent="0.2">
      <c r="A238">
        <v>2023</v>
      </c>
      <c r="B238" t="s">
        <v>65</v>
      </c>
      <c r="C238" s="51">
        <v>45283</v>
      </c>
      <c r="D238" s="3" t="s">
        <v>42</v>
      </c>
      <c r="E238" s="4">
        <v>0.64583333333333337</v>
      </c>
      <c r="F238" s="4">
        <v>0.85416666666666663</v>
      </c>
      <c r="G238" t="s">
        <v>31</v>
      </c>
      <c r="H238">
        <v>1</v>
      </c>
      <c r="I238">
        <v>150</v>
      </c>
      <c r="J238">
        <f>VLOOKUP(Tabla14[[#This Row],[TARIFA]],$P$2:$Q$5,2,0)</f>
        <v>150</v>
      </c>
      <c r="K238">
        <v>0</v>
      </c>
      <c r="L238">
        <v>0</v>
      </c>
      <c r="M238" s="7">
        <f>Tabla14[[#This Row],[TARIFA]]+Tabla14[[#This Row],[IMPORTE EXTRAS]]</f>
        <v>150</v>
      </c>
    </row>
    <row r="239" spans="1:13" x14ac:dyDescent="0.2">
      <c r="A239">
        <v>2023</v>
      </c>
      <c r="B239" t="s">
        <v>65</v>
      </c>
      <c r="C239" s="51">
        <v>45284</v>
      </c>
      <c r="D239" s="3" t="s">
        <v>43</v>
      </c>
      <c r="E239" s="4">
        <v>0.85416666666666663</v>
      </c>
      <c r="F239" s="4">
        <v>0.10416666666666667</v>
      </c>
      <c r="G239" t="s">
        <v>35</v>
      </c>
      <c r="H239">
        <v>1</v>
      </c>
      <c r="I239">
        <v>350</v>
      </c>
      <c r="J239">
        <f>Tabla14[[#This Row],[TARIFA]]</f>
        <v>350</v>
      </c>
      <c r="K239">
        <v>0</v>
      </c>
      <c r="L239">
        <v>0</v>
      </c>
      <c r="M239" s="7">
        <f>Tabla14[[#This Row],[TARIFA]]+Tabla14[[#This Row],[IMPORTE EXTRAS]]</f>
        <v>350</v>
      </c>
    </row>
    <row r="240" spans="1:13" x14ac:dyDescent="0.2">
      <c r="A240">
        <v>2023</v>
      </c>
      <c r="B240" t="s">
        <v>65</v>
      </c>
      <c r="C240" s="51">
        <v>45286</v>
      </c>
      <c r="D240" s="3" t="s">
        <v>38</v>
      </c>
      <c r="E240" s="4">
        <v>0.45833333333333331</v>
      </c>
      <c r="F240" s="4">
        <v>0.85416666666666663</v>
      </c>
      <c r="G240" t="s">
        <v>32</v>
      </c>
      <c r="H240">
        <v>2</v>
      </c>
      <c r="I240">
        <v>300</v>
      </c>
      <c r="J240">
        <f>Tabla14[[#This Row],[TARIFA]]</f>
        <v>300</v>
      </c>
      <c r="K240">
        <v>0</v>
      </c>
      <c r="L240">
        <v>0</v>
      </c>
      <c r="M240" s="7">
        <f>Tabla14[[#This Row],[TARIFA]]+Tabla14[[#This Row],[IMPORTE EXTRAS]]</f>
        <v>300</v>
      </c>
    </row>
    <row r="241" spans="1:13" x14ac:dyDescent="0.2">
      <c r="A241">
        <v>2023</v>
      </c>
      <c r="B241" t="s">
        <v>65</v>
      </c>
      <c r="C241" s="51">
        <v>45291</v>
      </c>
      <c r="D241" s="3" t="s">
        <v>43</v>
      </c>
      <c r="E241" s="4">
        <v>0.64583333333333337</v>
      </c>
      <c r="F241" s="4">
        <v>0.22916666666666666</v>
      </c>
      <c r="G241" t="s">
        <v>53</v>
      </c>
      <c r="H241">
        <v>2</v>
      </c>
      <c r="I241">
        <v>600</v>
      </c>
      <c r="J241">
        <f>Tabla14[[#This Row],[TARIFA]]</f>
        <v>600</v>
      </c>
      <c r="K241">
        <v>0</v>
      </c>
      <c r="L241">
        <v>0</v>
      </c>
      <c r="M241" s="7">
        <f>Tabla14[[#This Row],[TARIFA]]+Tabla14[[#This Row],[IMPORTE EXTRAS]]</f>
        <v>600</v>
      </c>
    </row>
    <row r="243" spans="1:13" x14ac:dyDescent="0.2">
      <c r="I243">
        <f>SUM(Tabla14[TARIFA])</f>
        <v>42785</v>
      </c>
      <c r="J243">
        <f>SUM(Tabla14[NOVA TARIFA])</f>
        <v>42895</v>
      </c>
      <c r="L243">
        <f>18*60</f>
        <v>1080</v>
      </c>
    </row>
    <row r="244" spans="1:13" x14ac:dyDescent="0.2">
      <c r="J244">
        <f>J243-I243</f>
        <v>110</v>
      </c>
      <c r="L244">
        <f>18*50</f>
        <v>900</v>
      </c>
    </row>
  </sheetData>
  <pageMargins left="0.7" right="0.7" top="0.75" bottom="0.75" header="0.3" footer="0.3"/>
  <pageSetup paperSize="9" orientation="portrait" horizontalDpi="0" verticalDpi="0"/>
  <headerFooter>
    <oddHeader>&amp;C&amp;"Calibri"&amp;10&amp;K000000 Internal&amp;1#_x000D_</oddHeader>
  </headerFooter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700-000000000000}">
          <x14:formula1>
            <xm:f>'Tarifas 2022'!$E$12:$E$15</xm:f>
          </x14:formula1>
          <xm:sqref>K212:K241 K2:K6</xm:sqref>
        </x14:dataValidation>
        <x14:dataValidation type="list" allowBlank="1" showInputMessage="1" showErrorMessage="1" xr:uid="{00000000-0002-0000-0700-000001000000}">
          <x14:formula1>
            <xm:f>Tarifas!$C$12:$C$19</xm:f>
          </x14:formula1>
          <xm:sqref>G2:G241</xm:sqref>
        </x14:dataValidation>
        <x14:dataValidation type="list" allowBlank="1" showInputMessage="1" showErrorMessage="1" xr:uid="{00000000-0002-0000-0700-000002000000}">
          <x14:formula1>
            <xm:f>Tarifas!$D$12:$D$14</xm:f>
          </x14:formula1>
          <xm:sqref>H2:H241</xm:sqref>
        </x14:dataValidation>
        <x14:dataValidation type="list" allowBlank="1" showInputMessage="1" showErrorMessage="1" xr:uid="{00000000-0002-0000-0700-000003000000}">
          <x14:formula1>
            <xm:f>Tarifas!$A$12:$A$18</xm:f>
          </x14:formula1>
          <xm:sqref>D2:D241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5"/>
  </sheetPr>
  <dimension ref="A1:Q71"/>
  <sheetViews>
    <sheetView showGridLines="0" showRuler="0" workbookViewId="0">
      <selection activeCell="K21" sqref="K21"/>
    </sheetView>
  </sheetViews>
  <sheetFormatPr defaultColWidth="10.8515625" defaultRowHeight="15" x14ac:dyDescent="0.2"/>
  <cols>
    <col min="1" max="1" width="22.8125" bestFit="1" customWidth="1"/>
    <col min="2" max="2" width="9.86328125" bestFit="1" customWidth="1"/>
    <col min="3" max="3" width="22.93359375" customWidth="1"/>
    <col min="4" max="4" width="20.09765625" customWidth="1"/>
    <col min="5" max="5" width="13.4375" customWidth="1"/>
    <col min="6" max="7" width="15.2890625" bestFit="1" customWidth="1"/>
    <col min="8" max="8" width="9.86328125" bestFit="1" customWidth="1"/>
    <col min="9" max="9" width="22.31640625" bestFit="1" customWidth="1"/>
    <col min="10" max="10" width="18.86328125" bestFit="1" customWidth="1"/>
    <col min="11" max="11" width="15.78125" bestFit="1" customWidth="1"/>
    <col min="12" max="12" width="15.2890625" customWidth="1"/>
    <col min="13" max="13" width="12.82421875" customWidth="1"/>
    <col min="14" max="14" width="32.18359375" customWidth="1"/>
    <col min="15" max="15" width="15.66015625" customWidth="1"/>
    <col min="18" max="18" width="13.6875" bestFit="1" customWidth="1"/>
  </cols>
  <sheetData>
    <row r="1" spans="1:15" x14ac:dyDescent="0.2">
      <c r="A1" s="73" t="s">
        <v>20</v>
      </c>
      <c r="B1" s="5">
        <v>2021</v>
      </c>
      <c r="N1" s="73" t="s">
        <v>20</v>
      </c>
      <c r="O1" s="5">
        <v>2021</v>
      </c>
    </row>
    <row r="2" spans="1:15" x14ac:dyDescent="0.2">
      <c r="A2" s="73" t="s">
        <v>47</v>
      </c>
      <c r="B2" t="s">
        <v>277</v>
      </c>
      <c r="N2" s="73" t="s">
        <v>199</v>
      </c>
      <c r="O2" t="s">
        <v>255</v>
      </c>
    </row>
    <row r="3" spans="1:15" x14ac:dyDescent="0.2">
      <c r="A3" s="73" t="s">
        <v>54</v>
      </c>
      <c r="B3" t="s">
        <v>45</v>
      </c>
      <c r="C3" t="s">
        <v>262</v>
      </c>
    </row>
    <row r="4" spans="1:15" x14ac:dyDescent="0.2">
      <c r="A4" s="73" t="s">
        <v>27</v>
      </c>
      <c r="B4" t="s">
        <v>255</v>
      </c>
      <c r="N4" s="73" t="s">
        <v>278</v>
      </c>
      <c r="O4" t="s">
        <v>266</v>
      </c>
    </row>
    <row r="5" spans="1:15" ht="15.75" thickBot="1" x14ac:dyDescent="0.25">
      <c r="N5" s="5" t="s">
        <v>61</v>
      </c>
      <c r="O5" s="79">
        <v>340</v>
      </c>
    </row>
    <row r="6" spans="1:15" x14ac:dyDescent="0.2">
      <c r="A6" s="73" t="s">
        <v>253</v>
      </c>
      <c r="B6" t="s">
        <v>259</v>
      </c>
      <c r="C6" t="s">
        <v>256</v>
      </c>
      <c r="D6" t="s">
        <v>257</v>
      </c>
      <c r="E6" t="s">
        <v>258</v>
      </c>
      <c r="F6" s="78" t="s">
        <v>260</v>
      </c>
      <c r="G6" s="97" t="s">
        <v>261</v>
      </c>
      <c r="H6" s="93" t="s">
        <v>280</v>
      </c>
      <c r="I6" s="97" t="s">
        <v>362</v>
      </c>
      <c r="J6" s="97" t="s">
        <v>365</v>
      </c>
      <c r="K6" s="93" t="s">
        <v>363</v>
      </c>
      <c r="N6" s="5" t="s">
        <v>65</v>
      </c>
      <c r="O6" s="79">
        <v>1445</v>
      </c>
    </row>
    <row r="7" spans="1:15" x14ac:dyDescent="0.2">
      <c r="A7" s="5" t="s">
        <v>32</v>
      </c>
      <c r="B7" s="7">
        <v>12</v>
      </c>
      <c r="C7" s="79">
        <v>2848</v>
      </c>
      <c r="D7" s="79">
        <v>85</v>
      </c>
      <c r="E7" s="79">
        <v>2933</v>
      </c>
      <c r="F7" s="76">
        <f t="shared" ref="F7:F12" si="0">E7/$E$12</f>
        <v>0.30212196126905644</v>
      </c>
      <c r="G7" s="98">
        <f t="shared" ref="G7:G12" si="1">E7/B7</f>
        <v>244.41666666666666</v>
      </c>
      <c r="H7" s="94">
        <f t="shared" ref="H7:H12" si="2">1-($E$30/G7)</f>
        <v>0.48534684885520196</v>
      </c>
      <c r="I7" s="171">
        <f>G7-VLOOKUP($A7,'Cuadro de mando 2020'!$A$7:$H$15,7,0)</f>
        <v>-3.5813333333333333</v>
      </c>
      <c r="J7" s="161">
        <f>-1+(G7/VLOOKUP($A7,'Cuadro de mando 2020'!$A$7:$H$15,7,0))</f>
        <v>-1.4440976674543027E-2</v>
      </c>
      <c r="K7" s="94">
        <f>H7-VLOOKUP($A7,'Cuadro de mando 2020'!$A$7:$H$15,8,0)</f>
        <v>-0.11733779120582133</v>
      </c>
      <c r="N7" s="5" t="s">
        <v>64</v>
      </c>
      <c r="O7" s="79">
        <v>145</v>
      </c>
    </row>
    <row r="8" spans="1:15" x14ac:dyDescent="0.2">
      <c r="A8" s="5" t="s">
        <v>33</v>
      </c>
      <c r="B8" s="7">
        <v>1</v>
      </c>
      <c r="C8" s="79">
        <v>145</v>
      </c>
      <c r="D8" s="79">
        <v>0</v>
      </c>
      <c r="E8" s="79">
        <v>150</v>
      </c>
      <c r="F8" s="76">
        <f t="shared" si="0"/>
        <v>1.5451174289245983E-2</v>
      </c>
      <c r="G8" s="98">
        <f t="shared" si="1"/>
        <v>150</v>
      </c>
      <c r="H8" s="94">
        <f t="shared" si="2"/>
        <v>0.16140128205128201</v>
      </c>
      <c r="I8" s="171">
        <f>G8-VLOOKUP($A8,'Cuadro de mando 2020'!$A$7:$H$15,7,0)</f>
        <v>-22.5</v>
      </c>
      <c r="J8" s="161">
        <f>-1+(G8/VLOOKUP($A8,'Cuadro de mando 2020'!$A$7:$H$15,7,0))</f>
        <v>-0.13043478260869568</v>
      </c>
      <c r="K8" s="94">
        <f>H8-VLOOKUP($A8,'Cuadro de mando 2020'!$A$7:$H$15,8,0)</f>
        <v>-0.267390517171058</v>
      </c>
      <c r="N8" s="5" t="s">
        <v>254</v>
      </c>
      <c r="O8" s="79">
        <v>1930</v>
      </c>
    </row>
    <row r="9" spans="1:15" x14ac:dyDescent="0.2">
      <c r="A9" s="5" t="s">
        <v>30</v>
      </c>
      <c r="B9" s="7">
        <v>3</v>
      </c>
      <c r="C9" s="79">
        <v>435</v>
      </c>
      <c r="D9" s="79">
        <v>0</v>
      </c>
      <c r="E9" s="79">
        <v>435</v>
      </c>
      <c r="F9" s="76">
        <f t="shared" si="0"/>
        <v>4.4808405438813349E-2</v>
      </c>
      <c r="G9" s="98">
        <f t="shared" si="1"/>
        <v>145</v>
      </c>
      <c r="H9" s="94">
        <f t="shared" si="2"/>
        <v>0.13248408488063657</v>
      </c>
      <c r="I9" s="171">
        <f>G9-VLOOKUP($A9,'Cuadro de mando 2020'!$A$7:$H$15,7,0)</f>
        <v>-0.5</v>
      </c>
      <c r="J9" s="161">
        <f>-1+(G9/VLOOKUP($A9,'Cuadro de mando 2020'!$A$7:$H$15,7,0))</f>
        <v>-3.4364261168384758E-3</v>
      </c>
      <c r="K9" s="94">
        <f>H9-VLOOKUP($A9,'Cuadro de mando 2020'!$A$7:$H$15,8,0)</f>
        <v>-0.1903103162592511</v>
      </c>
    </row>
    <row r="10" spans="1:15" x14ac:dyDescent="0.2">
      <c r="A10" s="5" t="s">
        <v>31</v>
      </c>
      <c r="B10" s="7">
        <v>30</v>
      </c>
      <c r="C10" s="79">
        <v>4625</v>
      </c>
      <c r="D10" s="79">
        <v>30</v>
      </c>
      <c r="E10" s="79">
        <v>4660</v>
      </c>
      <c r="F10" s="76">
        <f t="shared" si="0"/>
        <v>0.48001648125257518</v>
      </c>
      <c r="G10" s="98">
        <f t="shared" si="1"/>
        <v>155.33333333333334</v>
      </c>
      <c r="H10" s="94">
        <f t="shared" si="2"/>
        <v>0.19019437107956416</v>
      </c>
      <c r="I10" s="171">
        <f>G10-VLOOKUP($A10,'Cuadro de mando 2020'!$A$7:$H$15,7,0)</f>
        <v>53.715686274509807</v>
      </c>
      <c r="J10" s="161">
        <f>-1+(G10/VLOOKUP($A10,'Cuadro de mando 2020'!$A$7:$H$15,7,0))</f>
        <v>0.52860588519054508</v>
      </c>
      <c r="K10" s="94">
        <f>H10-VLOOKUP($A10,'Cuadro de mando 2020'!$A$7:$H$15,8,0)</f>
        <v>0.15984302449808085</v>
      </c>
    </row>
    <row r="11" spans="1:15" ht="15.75" thickBot="1" x14ac:dyDescent="0.25">
      <c r="A11" s="5" t="s">
        <v>35</v>
      </c>
      <c r="B11" s="7">
        <v>6</v>
      </c>
      <c r="C11" s="79">
        <v>1225</v>
      </c>
      <c r="D11" s="79">
        <v>305</v>
      </c>
      <c r="E11" s="79">
        <v>1530</v>
      </c>
      <c r="F11" s="76">
        <f t="shared" si="0"/>
        <v>0.15760197775030901</v>
      </c>
      <c r="G11" s="98">
        <f t="shared" si="1"/>
        <v>255</v>
      </c>
      <c r="H11" s="94">
        <f t="shared" si="2"/>
        <v>0.50670663650075409</v>
      </c>
      <c r="I11" s="171">
        <f>G11-VLOOKUP($A11,'Cuadro de mando 2020'!$A$7:$H$15,7,0)</f>
        <v>39.482758620689651</v>
      </c>
      <c r="J11" s="161">
        <f>-1+(G11/VLOOKUP($A11,'Cuadro de mando 2020'!$A$7:$H$15,7,0))</f>
        <v>0.18320000000000003</v>
      </c>
      <c r="K11" s="94">
        <f>H11-VLOOKUP($A11,'Cuadro de mando 2020'!$A$7:$H$15,8,0)</f>
        <v>-3.6098319596806872E-2</v>
      </c>
    </row>
    <row r="12" spans="1:15" ht="16.5" thickTop="1" thickBot="1" x14ac:dyDescent="0.25">
      <c r="A12" s="5" t="s">
        <v>254</v>
      </c>
      <c r="B12" s="7">
        <v>52</v>
      </c>
      <c r="C12" s="79">
        <v>9278</v>
      </c>
      <c r="D12" s="79">
        <v>420</v>
      </c>
      <c r="E12" s="79">
        <v>9708</v>
      </c>
      <c r="F12" s="77">
        <f t="shared" si="0"/>
        <v>1</v>
      </c>
      <c r="G12" s="100">
        <f t="shared" si="1"/>
        <v>186.69230769230768</v>
      </c>
      <c r="H12" s="96">
        <f t="shared" si="2"/>
        <v>0.32621858261227843</v>
      </c>
      <c r="I12" s="172">
        <f>G12-VLOOKUP($A12,'Cuadro de mando 2020'!$A$7:$H$15,7,0)</f>
        <v>23.948527204502795</v>
      </c>
      <c r="J12" s="162">
        <f>-1+(G12/VLOOKUP($A12,'Cuadro de mando 2020'!$A$7:$H$15,7,0))</f>
        <v>0.1471547922305847</v>
      </c>
      <c r="K12" s="96">
        <f>H12-VLOOKUP($A12,'Cuadro de mando 2020'!$A$7:$H$15,8,0)</f>
        <v>-6.8330233085597714E-2</v>
      </c>
    </row>
    <row r="16" spans="1:15" x14ac:dyDescent="0.2">
      <c r="A16" s="73" t="s">
        <v>20</v>
      </c>
      <c r="B16" s="5">
        <v>2021</v>
      </c>
      <c r="G16" s="73" t="s">
        <v>20</v>
      </c>
      <c r="H16" s="5">
        <v>2021</v>
      </c>
    </row>
    <row r="17" spans="1:15" x14ac:dyDescent="0.2">
      <c r="A17" s="73" t="s">
        <v>47</v>
      </c>
      <c r="B17" t="s">
        <v>618</v>
      </c>
      <c r="C17" t="s">
        <v>281</v>
      </c>
      <c r="G17" s="73" t="s">
        <v>47</v>
      </c>
      <c r="H17" t="s">
        <v>618</v>
      </c>
      <c r="I17" t="s">
        <v>282</v>
      </c>
    </row>
    <row r="18" spans="1:15" ht="15.75" thickBot="1" x14ac:dyDescent="0.25">
      <c r="N18" s="73" t="s">
        <v>20</v>
      </c>
      <c r="O18" s="5">
        <v>2021</v>
      </c>
    </row>
    <row r="19" spans="1:15" s="170" customFormat="1" ht="30" x14ac:dyDescent="0.2">
      <c r="A19" s="163" t="s">
        <v>263</v>
      </c>
      <c r="B19" s="163" t="s">
        <v>78</v>
      </c>
      <c r="C19" s="164" t="s">
        <v>269</v>
      </c>
      <c r="D19" s="165" t="s">
        <v>276</v>
      </c>
      <c r="E19" s="166" t="s">
        <v>274</v>
      </c>
      <c r="F19" s="164" t="s">
        <v>364</v>
      </c>
      <c r="G19" s="163" t="s">
        <v>270</v>
      </c>
      <c r="H19" s="163" t="s">
        <v>78</v>
      </c>
      <c r="I19" s="167" t="s">
        <v>269</v>
      </c>
      <c r="J19" s="168" t="s">
        <v>275</v>
      </c>
      <c r="K19" s="169" t="s">
        <v>274</v>
      </c>
      <c r="L19" s="167" t="s">
        <v>364</v>
      </c>
    </row>
    <row r="20" spans="1:15" x14ac:dyDescent="0.2">
      <c r="A20" s="5" t="s">
        <v>111</v>
      </c>
      <c r="B20" s="48">
        <v>28.45</v>
      </c>
      <c r="C20" s="156">
        <f>B20/$B$12</f>
        <v>0.54711538461538456</v>
      </c>
      <c r="D20" s="74">
        <f>B20</f>
        <v>28.45</v>
      </c>
      <c r="E20" s="89">
        <f>D20/$B$12</f>
        <v>0.54711538461538456</v>
      </c>
      <c r="F20" s="156">
        <f>C20-VLOOKUP(A20,'Cuadro de mando 2020'!$A$20:$E$31,5,0)</f>
        <v>-1.4286163227016884</v>
      </c>
      <c r="G20" s="5" t="s">
        <v>271</v>
      </c>
      <c r="H20" s="48">
        <v>5437.2799999999988</v>
      </c>
      <c r="I20" s="156">
        <f>H20/$B$12</f>
        <v>104.56307692307691</v>
      </c>
      <c r="J20" s="74">
        <f>D21+D22+D24+D25+D26</f>
        <v>4491.1000000000004</v>
      </c>
      <c r="K20" s="89">
        <f>(H20-B21-B27+D21+D30)/$B$12</f>
        <v>221.73</v>
      </c>
      <c r="L20" s="156">
        <f>I20-VLOOKUP(G20,'Cuadro de mando 2020'!$F$20:$H$24,3,0)</f>
        <v>23.152954971857397</v>
      </c>
      <c r="N20" s="73" t="s">
        <v>279</v>
      </c>
      <c r="O20" t="s">
        <v>265</v>
      </c>
    </row>
    <row r="21" spans="1:15" x14ac:dyDescent="0.2">
      <c r="A21" s="5" t="s">
        <v>107</v>
      </c>
      <c r="B21" s="48">
        <v>382.66</v>
      </c>
      <c r="C21" s="156">
        <f t="shared" ref="C21:C30" si="3">B21/$B$12</f>
        <v>7.3588461538461543</v>
      </c>
      <c r="D21" s="74">
        <f t="shared" ref="D21:D30" si="4">B21</f>
        <v>382.66</v>
      </c>
      <c r="E21" s="89">
        <f t="shared" ref="E21:E30" si="5">D21/$B$12</f>
        <v>7.3588461538461543</v>
      </c>
      <c r="F21" s="156">
        <f>C21-VLOOKUP(A21,'Cuadro de mando 2020'!$A$20:$E$31,5,0)</f>
        <v>2.941529080675422</v>
      </c>
      <c r="G21" s="5" t="s">
        <v>272</v>
      </c>
      <c r="H21" s="48">
        <v>1121.7900000000002</v>
      </c>
      <c r="I21" s="156">
        <f>H21/$B$12</f>
        <v>21.57288461538462</v>
      </c>
      <c r="J21" s="74">
        <f>D20+D23</f>
        <v>403.4</v>
      </c>
      <c r="K21" s="90">
        <f>(H21)/$B$12</f>
        <v>21.57288461538462</v>
      </c>
      <c r="L21" s="156">
        <f>I21-VLOOKUP(G21,'Cuadro de mando 2020'!$F$20:$H$24,3,0)</f>
        <v>-0.11748123827392121</v>
      </c>
      <c r="N21" s="5" t="s">
        <v>180</v>
      </c>
      <c r="O21" s="79">
        <v>472.2</v>
      </c>
    </row>
    <row r="22" spans="1:15" x14ac:dyDescent="0.2">
      <c r="A22" s="5" t="s">
        <v>105</v>
      </c>
      <c r="B22" s="48">
        <v>1030.44</v>
      </c>
      <c r="C22" s="156">
        <f t="shared" si="3"/>
        <v>19.816153846153846</v>
      </c>
      <c r="D22" s="74">
        <f t="shared" si="4"/>
        <v>1030.44</v>
      </c>
      <c r="E22" s="89">
        <f t="shared" si="5"/>
        <v>19.816153846153846</v>
      </c>
      <c r="F22" s="156">
        <f>C22-VLOOKUP(A22,'Cuadro de mando 2020'!$A$20:$E$31,5,0)</f>
        <v>15.949568480300186</v>
      </c>
      <c r="G22" s="5" t="s">
        <v>188</v>
      </c>
      <c r="H22" s="48">
        <v>391.93</v>
      </c>
      <c r="I22" s="156">
        <f>H22/$B$12</f>
        <v>7.5371153846153849</v>
      </c>
      <c r="J22" s="74">
        <f>H22</f>
        <v>391.93</v>
      </c>
      <c r="K22" s="90">
        <f>J22/$B$12</f>
        <v>7.5371153846153849</v>
      </c>
      <c r="L22" s="156">
        <f>I22-VLOOKUP(G22,'Cuadro de mando 2020'!$F$20:$H$24,3,0)</f>
        <v>-3.2377626641651016</v>
      </c>
      <c r="N22" s="5" t="s">
        <v>189</v>
      </c>
      <c r="O22" s="79">
        <v>472.2</v>
      </c>
    </row>
    <row r="23" spans="1:15" ht="15.75" thickBot="1" x14ac:dyDescent="0.25">
      <c r="A23" s="5" t="s">
        <v>114</v>
      </c>
      <c r="B23" s="48">
        <v>374.95</v>
      </c>
      <c r="C23" s="156">
        <f t="shared" si="3"/>
        <v>7.210576923076923</v>
      </c>
      <c r="D23" s="74">
        <f t="shared" si="4"/>
        <v>374.95</v>
      </c>
      <c r="E23" s="89">
        <f t="shared" si="5"/>
        <v>7.210576923076923</v>
      </c>
      <c r="F23" s="156">
        <f>C23-VLOOKUP(A23,'Cuadro de mando 2020'!$A$20:$E$31,5,0)</f>
        <v>9.862570356472844E-2</v>
      </c>
      <c r="G23" s="5" t="s">
        <v>273</v>
      </c>
      <c r="H23" s="48">
        <v>1653.28</v>
      </c>
      <c r="I23" s="156">
        <f>H23/$B$12</f>
        <v>31.793846153846154</v>
      </c>
      <c r="J23" s="74">
        <f>H23</f>
        <v>1653.28</v>
      </c>
      <c r="K23" s="90">
        <f>J23/$B$12</f>
        <v>31.793846153846154</v>
      </c>
      <c r="L23" s="156">
        <f>I23-VLOOKUP(G23,'Cuadro de mando 2020'!$F$20:$H$24,3,0)</f>
        <v>25.103724202626644</v>
      </c>
      <c r="N23" s="5" t="s">
        <v>181</v>
      </c>
      <c r="O23" s="79">
        <v>472.2</v>
      </c>
    </row>
    <row r="24" spans="1:15" ht="16.5" thickTop="1" thickBot="1" x14ac:dyDescent="0.25">
      <c r="A24" s="5" t="s">
        <v>162</v>
      </c>
      <c r="B24" s="48">
        <v>270</v>
      </c>
      <c r="C24" s="156">
        <f t="shared" si="3"/>
        <v>5.1923076923076925</v>
      </c>
      <c r="D24" s="74">
        <f t="shared" si="4"/>
        <v>270</v>
      </c>
      <c r="E24" s="89">
        <f t="shared" si="5"/>
        <v>5.1923076923076925</v>
      </c>
      <c r="F24" s="156">
        <f>C24-VLOOKUP(A24,'Cuadro de mando 2020'!$A$20:$E$31,5,0)</f>
        <v>-0.23452157598499035</v>
      </c>
      <c r="G24" s="5" t="s">
        <v>254</v>
      </c>
      <c r="H24" s="48">
        <v>8604.2799999999988</v>
      </c>
      <c r="I24" s="157">
        <f>H24/$B$12</f>
        <v>165.46692307692305</v>
      </c>
      <c r="J24" s="75">
        <f>SUM(J20:J23)</f>
        <v>6939.71</v>
      </c>
      <c r="K24" s="91">
        <f>J24/$B$12</f>
        <v>133.45596153846154</v>
      </c>
      <c r="L24" s="157">
        <f>I24-VLOOKUP(G24,'Cuadro de mando 2020'!$F$20:$H$24,3,0)</f>
        <v>44.90143527204502</v>
      </c>
      <c r="N24" s="5" t="s">
        <v>322</v>
      </c>
      <c r="O24" s="79">
        <v>2000</v>
      </c>
    </row>
    <row r="25" spans="1:15" x14ac:dyDescent="0.2">
      <c r="A25" s="5" t="s">
        <v>106</v>
      </c>
      <c r="B25" s="48">
        <v>360</v>
      </c>
      <c r="C25" s="156">
        <f t="shared" si="3"/>
        <v>6.9230769230769234</v>
      </c>
      <c r="D25" s="74">
        <f t="shared" si="4"/>
        <v>360</v>
      </c>
      <c r="E25" s="89">
        <f t="shared" si="5"/>
        <v>6.9230769230769234</v>
      </c>
      <c r="F25" s="156">
        <f>C25-VLOOKUP(A25,'Cuadro de mando 2020'!$A$20:$E$31,5,0)</f>
        <v>2.5328330206378986</v>
      </c>
      <c r="N25" s="5" t="s">
        <v>254</v>
      </c>
      <c r="O25" s="79">
        <v>3416.6</v>
      </c>
    </row>
    <row r="26" spans="1:15" x14ac:dyDescent="0.2">
      <c r="A26" s="5" t="s">
        <v>104</v>
      </c>
      <c r="B26" s="48">
        <v>2448</v>
      </c>
      <c r="C26" s="156">
        <f t="shared" si="3"/>
        <v>47.07692307692308</v>
      </c>
      <c r="D26" s="74">
        <f t="shared" si="4"/>
        <v>2448</v>
      </c>
      <c r="E26" s="89">
        <f t="shared" si="5"/>
        <v>47.07692307692308</v>
      </c>
      <c r="F26" s="156">
        <f>C26-VLOOKUP(A26,'Cuadro de mando 2020'!$A$20:$E$31,5,0)</f>
        <v>-5.2889305816135064</v>
      </c>
    </row>
    <row r="27" spans="1:15" x14ac:dyDescent="0.2">
      <c r="A27" s="5" t="s">
        <v>110</v>
      </c>
      <c r="B27" s="48">
        <v>448.39</v>
      </c>
      <c r="C27" s="156">
        <f t="shared" si="3"/>
        <v>8.6228846153846153</v>
      </c>
      <c r="D27" s="74">
        <f t="shared" si="4"/>
        <v>448.39</v>
      </c>
      <c r="E27" s="89">
        <f t="shared" si="5"/>
        <v>8.6228846153846153</v>
      </c>
      <c r="F27" s="156">
        <f>C27-VLOOKUP(A27,'Cuadro de mando 2020'!$A$20:$E$31,5,0)</f>
        <v>2.4226407129455909</v>
      </c>
    </row>
    <row r="28" spans="1:15" x14ac:dyDescent="0.2">
      <c r="A28" s="5" t="s">
        <v>119</v>
      </c>
      <c r="B28" s="48">
        <v>499</v>
      </c>
      <c r="C28" s="156">
        <f t="shared" si="3"/>
        <v>9.5961538461538467</v>
      </c>
      <c r="D28" s="74">
        <f t="shared" si="4"/>
        <v>499</v>
      </c>
      <c r="E28" s="89">
        <f t="shared" si="5"/>
        <v>9.5961538461538467</v>
      </c>
      <c r="F28" s="156">
        <f>C28-VLOOKUP(A28,'Cuadro de mando 2020'!$A$20:$E$31,5,0)</f>
        <v>5.0290806754221391</v>
      </c>
    </row>
    <row r="29" spans="1:15" ht="15.75" thickBot="1" x14ac:dyDescent="0.25">
      <c r="A29" s="5" t="s">
        <v>112</v>
      </c>
      <c r="B29" s="48">
        <v>699.18</v>
      </c>
      <c r="C29" s="156">
        <f t="shared" si="3"/>
        <v>13.44576923076923</v>
      </c>
      <c r="D29" s="74">
        <f t="shared" si="4"/>
        <v>699.18</v>
      </c>
      <c r="E29" s="89">
        <f t="shared" si="5"/>
        <v>13.44576923076923</v>
      </c>
      <c r="F29" s="156">
        <f>C29-VLOOKUP(A29,'Cuadro de mando 2020'!$A$20:$E$31,5,0)</f>
        <v>6.2097936210131337</v>
      </c>
    </row>
    <row r="30" spans="1:15" ht="16.5" thickTop="1" thickBot="1" x14ac:dyDescent="0.25">
      <c r="A30" s="5" t="s">
        <v>254</v>
      </c>
      <c r="B30" s="48">
        <v>6541.0700000000006</v>
      </c>
      <c r="C30" s="157">
        <f t="shared" si="3"/>
        <v>125.7898076923077</v>
      </c>
      <c r="D30" s="75">
        <f t="shared" si="4"/>
        <v>6541.0700000000006</v>
      </c>
      <c r="E30" s="91">
        <f t="shared" si="5"/>
        <v>125.7898076923077</v>
      </c>
      <c r="F30" s="157">
        <f>C30-VLOOKUP(A30,'Cuadro de mando 2020'!$A$20:$E$31,5,0)</f>
        <v>27.256393058161365</v>
      </c>
    </row>
    <row r="31" spans="1:15" x14ac:dyDescent="0.2">
      <c r="N31" s="81" t="s">
        <v>264</v>
      </c>
      <c r="O31" s="82">
        <f>-O7+O25</f>
        <v>3271.6</v>
      </c>
    </row>
    <row r="32" spans="1:15" x14ac:dyDescent="0.2">
      <c r="A32" s="5"/>
      <c r="N32" s="83" t="s">
        <v>267</v>
      </c>
    </row>
    <row r="34" spans="1:17" x14ac:dyDescent="0.2">
      <c r="E34" s="48"/>
    </row>
    <row r="36" spans="1:17" x14ac:dyDescent="0.2">
      <c r="A36" s="5"/>
    </row>
    <row r="37" spans="1:17" x14ac:dyDescent="0.2">
      <c r="A37" s="5"/>
    </row>
    <row r="41" spans="1:17" ht="15.75" thickBot="1" x14ac:dyDescent="0.25"/>
    <row r="42" spans="1:17" ht="15.75" thickBot="1" x14ac:dyDescent="0.25">
      <c r="A42" s="128">
        <v>2020</v>
      </c>
      <c r="B42" s="36"/>
      <c r="C42" s="127" t="s">
        <v>48</v>
      </c>
      <c r="D42" s="127" t="s">
        <v>56</v>
      </c>
      <c r="E42" s="127" t="s">
        <v>57</v>
      </c>
      <c r="F42" s="127" t="s">
        <v>58</v>
      </c>
      <c r="G42" s="127" t="s">
        <v>59</v>
      </c>
      <c r="H42" s="127" t="s">
        <v>60</v>
      </c>
      <c r="I42" s="127" t="s">
        <v>61</v>
      </c>
      <c r="J42" s="127" t="s">
        <v>62</v>
      </c>
      <c r="K42" s="127" t="s">
        <v>236</v>
      </c>
      <c r="L42" s="127" t="s">
        <v>63</v>
      </c>
      <c r="M42" s="127" t="s">
        <v>64</v>
      </c>
      <c r="N42" s="127" t="s">
        <v>65</v>
      </c>
      <c r="O42" s="129">
        <v>2020</v>
      </c>
      <c r="P42" s="154" t="s">
        <v>294</v>
      </c>
    </row>
    <row r="43" spans="1:17" x14ac:dyDescent="0.2">
      <c r="A43" s="213" t="s">
        <v>66</v>
      </c>
      <c r="B43" s="104" t="s">
        <v>30</v>
      </c>
      <c r="C43" s="105">
        <f>SUMIFS(Tabla1[IMPORTE TOTAL],Tabla1[ANY],'Cuadro de mando 2021'!$A$42,Tabla1[MES],'Cuadro de mando 2021'!C$42,Tabla1[HORARI],'Cuadro de mando 2021'!$B43,Tabla1[COBRAT],"SI")-SUMIFS(Tabla1[IMPORTE TOTAL],Tabla1[ANY],'Cuadro de mando 2021'!$A$42,Tabla1[MES],'Cuadro de mando 2021'!C$42,Tabla1[HORARI],'Cuadro de mando 2021'!$B43,Tabla1[TORNS],"")</f>
        <v>435</v>
      </c>
      <c r="D43" s="105">
        <f>SUMIFS(Tabla1[IMPORTE TOTAL],Tabla1[ANY],'Cuadro de mando 2021'!$A$42,Tabla1[MES],'Cuadro de mando 2021'!D$42,Tabla1[HORARI],'Cuadro de mando 2021'!$B43,Tabla1[COBRAT],"SI")-SUMIFS(Tabla1[IMPORTE TOTAL],Tabla1[ANY],'Cuadro de mando 2021'!$A$42,Tabla1[MES],'Cuadro de mando 2021'!D$42,Tabla1[HORARI],'Cuadro de mando 2021'!$B43,Tabla1[TORNS],"")</f>
        <v>725</v>
      </c>
      <c r="E43" s="105">
        <f>SUMIFS(Tabla1[IMPORTE TOTAL],Tabla1[ANY],'Cuadro de mando 2021'!$A$42,Tabla1[MES],'Cuadro de mando 2021'!E$42,Tabla1[HORARI],'Cuadro de mando 2021'!$B43,Tabla1[COBRAT],"SI")-SUMIFS(Tabla1[IMPORTE TOTAL],Tabla1[ANY],'Cuadro de mando 2021'!$A$42,Tabla1[MES],'Cuadro de mando 2021'!E$42,Tabla1[HORARI],'Cuadro de mando 2021'!$B43,Tabla1[TORNS],"")</f>
        <v>145</v>
      </c>
      <c r="F43" s="105">
        <f>SUMIFS(Tabla1[IMPORTE TOTAL],Tabla1[ANY],'Cuadro de mando 2021'!$A$42,Tabla1[MES],'Cuadro de mando 2021'!F$42,Tabla1[HORARI],'Cuadro de mando 2021'!$B43,Tabla1[COBRAT],"SI")-SUMIFS(Tabla1[IMPORTE TOTAL],Tabla1[ANY],'Cuadro de mando 2021'!$A$42,Tabla1[MES],'Cuadro de mando 2021'!F$42,Tabla1[HORARI],'Cuadro de mando 2021'!$B43,Tabla1[TORNS],"")</f>
        <v>0</v>
      </c>
      <c r="G43" s="105">
        <f>SUMIFS(Tabla1[IMPORTE TOTAL],Tabla1[ANY],'Cuadro de mando 2021'!$A$42,Tabla1[MES],'Cuadro de mando 2021'!G$42,Tabla1[HORARI],'Cuadro de mando 2021'!$B43,Tabla1[COBRAT],"SI")-SUMIFS(Tabla1[IMPORTE TOTAL],Tabla1[ANY],'Cuadro de mando 2021'!$A$42,Tabla1[MES],'Cuadro de mando 2021'!G$42,Tabla1[HORARI],'Cuadro de mando 2021'!$B43,Tabla1[TORNS],"")</f>
        <v>0</v>
      </c>
      <c r="H43" s="105">
        <f>SUMIFS(Tabla1[IMPORTE TOTAL],Tabla1[ANY],'Cuadro de mando 2021'!$A$42,Tabla1[MES],'Cuadro de mando 2021'!H$42,Tabla1[HORARI],'Cuadro de mando 2021'!$B43,Tabla1[COBRAT],"SI")-SUMIFS(Tabla1[IMPORTE TOTAL],Tabla1[ANY],'Cuadro de mando 2021'!$A$42,Tabla1[MES],'Cuadro de mando 2021'!H$42,Tabla1[HORARI],'Cuadro de mando 2021'!$B43,Tabla1[TORNS],"")</f>
        <v>0</v>
      </c>
      <c r="I43" s="105">
        <f>SUMIFS(Tabla1[IMPORTE TOTAL],Tabla1[ANY],'Cuadro de mando 2021'!$A$42,Tabla1[MES],'Cuadro de mando 2021'!I$42,Tabla1[HORARI],'Cuadro de mando 2021'!$B43,Tabla1[COBRAT],"SI")-SUMIFS(Tabla1[IMPORTE TOTAL],Tabla1[ANY],'Cuadro de mando 2021'!$A$42,Tabla1[MES],'Cuadro de mando 2021'!I$42,Tabla1[HORARI],'Cuadro de mando 2021'!$B43,Tabla1[TORNS],"")</f>
        <v>150</v>
      </c>
      <c r="J43" s="105">
        <f>SUMIFS(Tabla1[IMPORTE TOTAL],Tabla1[ANY],'Cuadro de mando 2021'!$A$42,Tabla1[MES],'Cuadro de mando 2021'!J$42,Tabla1[HORARI],'Cuadro de mando 2021'!$B43,Tabla1[COBRAT],"SI")-SUMIFS(Tabla1[IMPORTE TOTAL],Tabla1[ANY],'Cuadro de mando 2021'!$A$42,Tabla1[MES],'Cuadro de mando 2021'!J$42,Tabla1[HORARI],'Cuadro de mando 2021'!$B43,Tabla1[TORNS],"")</f>
        <v>0</v>
      </c>
      <c r="K43" s="105">
        <f>SUMIFS(Tabla1[IMPORTE TOTAL],Tabla1[ANY],'Cuadro de mando 2021'!$A$42,Tabla1[MES],'Cuadro de mando 2021'!K$42,Tabla1[HORARI],'Cuadro de mando 2021'!$B43,Tabla1[COBRAT],"SI")-SUMIFS(Tabla1[IMPORTE TOTAL],Tabla1[ANY],'Cuadro de mando 2021'!$A$42,Tabla1[MES],'Cuadro de mando 2021'!K$42,Tabla1[HORARI],'Cuadro de mando 2021'!$B43,Tabla1[TORNS],"")</f>
        <v>0</v>
      </c>
      <c r="L43" s="105">
        <f>SUMIFS(Tabla1[IMPORTE TOTAL],Tabla1[ANY],'Cuadro de mando 2021'!$A$42,Tabla1[MES],'Cuadro de mando 2021'!L$42,Tabla1[HORARI],'Cuadro de mando 2021'!$B43,Tabla1[COBRAT],"SI")-SUMIFS(Tabla1[IMPORTE TOTAL],Tabla1[ANY],'Cuadro de mando 2021'!$A$42,Tabla1[MES],'Cuadro de mando 2021'!L$42,Tabla1[HORARI],'Cuadro de mando 2021'!$B43,Tabla1[TORNS],"")</f>
        <v>0</v>
      </c>
      <c r="M43" s="105">
        <f>SUMIFS(Tabla1[IMPORTE TOTAL],Tabla1[ANY],'Cuadro de mando 2021'!$A$42,Tabla1[MES],'Cuadro de mando 2021'!M$42,Tabla1[HORARI],'Cuadro de mando 2021'!$B43,Tabla1[COBRAT],"SI")-SUMIFS(Tabla1[IMPORTE TOTAL],Tabla1[ANY],'Cuadro de mando 2021'!$A$42,Tabla1[MES],'Cuadro de mando 2021'!M$42,Tabla1[HORARI],'Cuadro de mando 2021'!$B43,Tabla1[TORNS],"")</f>
        <v>0</v>
      </c>
      <c r="N43" s="105">
        <f>SUMIFS(Tabla1[IMPORTE TOTAL],Tabla1[ANY],'Cuadro de mando 2021'!$A$42,Tabla1[MES],'Cuadro de mando 2021'!N$42,Tabla1[HORARI],'Cuadro de mando 2021'!$B43,Tabla1[COBRAT],"SI")-SUMIFS(Tabla1[IMPORTE TOTAL],Tabla1[ANY],'Cuadro de mando 2021'!$A$42,Tabla1[MES],'Cuadro de mando 2021'!N$42,Tabla1[HORARI],'Cuadro de mando 2021'!$B43,Tabla1[TORNS],"")</f>
        <v>0</v>
      </c>
      <c r="O43" s="130">
        <f t="shared" ref="O43:O50" si="6">SUM(C43:N43)</f>
        <v>1455</v>
      </c>
    </row>
    <row r="44" spans="1:17" x14ac:dyDescent="0.2">
      <c r="A44" s="214"/>
      <c r="B44" s="2" t="s">
        <v>31</v>
      </c>
      <c r="C44" s="102">
        <f>SUMIFS(Tabla1[IMPORTE TOTAL],Tabla1[ANY],'Cuadro de mando 2021'!$A$42,Tabla1[MES],'Cuadro de mando 2021'!C$42,Tabla1[HORARI],'Cuadro de mando 2021'!$B44,Tabla1[COBRAT],"SI")-SUMIFS(Tabla1[IMPORTE TOTAL],Tabla1[ANY],'Cuadro de mando 2021'!$A$42,Tabla1[MES],'Cuadro de mando 2021'!C$42,Tabla1[HORARI],'Cuadro de mando 2021'!$B44,Tabla1[TORNS],"")</f>
        <v>1040</v>
      </c>
      <c r="D44" s="102">
        <f>SUMIFS(Tabla1[IMPORTE TOTAL],Tabla1[ANY],'Cuadro de mando 2021'!$A$42,Tabla1[MES],'Cuadro de mando 2021'!D$42,Tabla1[HORARI],'Cuadro de mando 2021'!$B44,Tabla1[COBRAT],"SI")-SUMIFS(Tabla1[IMPORTE TOTAL],Tabla1[ANY],'Cuadro de mando 2021'!$A$42,Tabla1[MES],'Cuadro de mando 2021'!D$42,Tabla1[HORARI],'Cuadro de mando 2021'!$B44,Tabla1[TORNS],"")</f>
        <v>1135</v>
      </c>
      <c r="E44" s="102">
        <f>SUMIFS(Tabla1[IMPORTE TOTAL],Tabla1[ANY],'Cuadro de mando 2021'!$A$42,Tabla1[MES],'Cuadro de mando 2021'!E$42,Tabla1[HORARI],'Cuadro de mando 2021'!$B44,Tabla1[COBRAT],"SI")-SUMIFS(Tabla1[IMPORTE TOTAL],Tabla1[ANY],'Cuadro de mando 2021'!$A$42,Tabla1[MES],'Cuadro de mando 2021'!E$42,Tabla1[HORARI],'Cuadro de mando 2021'!$B44,Tabla1[TORNS],"")</f>
        <v>310</v>
      </c>
      <c r="F44" s="102">
        <f>SUMIFS(Tabla1[IMPORTE TOTAL],Tabla1[ANY],'Cuadro de mando 2021'!$A$42,Tabla1[MES],'Cuadro de mando 2021'!F$42,Tabla1[HORARI],'Cuadro de mando 2021'!$B44,Tabla1[COBRAT],"SI")-SUMIFS(Tabla1[IMPORTE TOTAL],Tabla1[ANY],'Cuadro de mando 2021'!$A$42,Tabla1[MES],'Cuadro de mando 2021'!F$42,Tabla1[HORARI],'Cuadro de mando 2021'!$B44,Tabla1[TORNS],"")</f>
        <v>0</v>
      </c>
      <c r="G44" s="102">
        <f>SUMIFS(Tabla1[IMPORTE TOTAL],Tabla1[ANY],'Cuadro de mando 2021'!$A$42,Tabla1[MES],'Cuadro de mando 2021'!G$42,Tabla1[HORARI],'Cuadro de mando 2021'!$B44,Tabla1[COBRAT],"SI")-SUMIFS(Tabla1[IMPORTE TOTAL],Tabla1[ANY],'Cuadro de mando 2021'!$A$42,Tabla1[MES],'Cuadro de mando 2021'!G$42,Tabla1[HORARI],'Cuadro de mando 2021'!$B44,Tabla1[TORNS],"")</f>
        <v>0</v>
      </c>
      <c r="H44" s="102">
        <f>SUMIFS(Tabla1[IMPORTE TOTAL],Tabla1[ANY],'Cuadro de mando 2021'!$A$42,Tabla1[MES],'Cuadro de mando 2021'!H$42,Tabla1[HORARI],'Cuadro de mando 2021'!$B44,Tabla1[COBRAT],"SI")-SUMIFS(Tabla1[IMPORTE TOTAL],Tabla1[ANY],'Cuadro de mando 2021'!$A$42,Tabla1[MES],'Cuadro de mando 2021'!H$42,Tabla1[HORARI],'Cuadro de mando 2021'!$B44,Tabla1[TORNS],"")</f>
        <v>200</v>
      </c>
      <c r="I44" s="102">
        <f>SUMIFS(Tabla1[IMPORTE TOTAL],Tabla1[ANY],'Cuadro de mando 2021'!$A$42,Tabla1[MES],'Cuadro de mando 2021'!I$42,Tabla1[HORARI],'Cuadro de mando 2021'!$B44,Tabla1[COBRAT],"SI")-SUMIFS(Tabla1[IMPORTE TOTAL],Tabla1[ANY],'Cuadro de mando 2021'!$A$42,Tabla1[MES],'Cuadro de mando 2021'!I$42,Tabla1[HORARI],'Cuadro de mando 2021'!$B44,Tabla1[TORNS],"")</f>
        <v>500</v>
      </c>
      <c r="J44" s="102">
        <f>SUMIFS(Tabla1[IMPORTE TOTAL],Tabla1[ANY],'Cuadro de mando 2021'!$A$42,Tabla1[MES],'Cuadro de mando 2021'!J$42,Tabla1[HORARI],'Cuadro de mando 2021'!$B44,Tabla1[COBRAT],"SI")-SUMIFS(Tabla1[IMPORTE TOTAL],Tabla1[ANY],'Cuadro de mando 2021'!$A$42,Tabla1[MES],'Cuadro de mando 2021'!J$42,Tabla1[HORARI],'Cuadro de mando 2021'!$B44,Tabla1[TORNS],"")</f>
        <v>220</v>
      </c>
      <c r="K44" s="102">
        <f>SUMIFS(Tabla1[IMPORTE TOTAL],Tabla1[ANY],'Cuadro de mando 2021'!$A$42,Tabla1[MES],'Cuadro de mando 2021'!K$42,Tabla1[HORARI],'Cuadro de mando 2021'!$B44,Tabla1[COBRAT],"SI")-SUMIFS(Tabla1[IMPORTE TOTAL],Tabla1[ANY],'Cuadro de mando 2021'!$A$42,Tabla1[MES],'Cuadro de mando 2021'!K$42,Tabla1[HORARI],'Cuadro de mando 2021'!$B44,Tabla1[TORNS],"")</f>
        <v>50</v>
      </c>
      <c r="L44" s="102">
        <f>SUMIFS(Tabla1[IMPORTE TOTAL],Tabla1[ANY],'Cuadro de mando 2021'!$A$42,Tabla1[MES],'Cuadro de mando 2021'!L$42,Tabla1[HORARI],'Cuadro de mando 2021'!$B44,Tabla1[COBRAT],"SI")-SUMIFS(Tabla1[IMPORTE TOTAL],Tabla1[ANY],'Cuadro de mando 2021'!$A$42,Tabla1[MES],'Cuadro de mando 2021'!L$42,Tabla1[HORARI],'Cuadro de mando 2021'!$B44,Tabla1[TORNS],"")</f>
        <v>145</v>
      </c>
      <c r="M44" s="102">
        <f>SUMIFS(Tabla1[IMPORTE TOTAL],Tabla1[ANY],'Cuadro de mando 2021'!$A$42,Tabla1[MES],'Cuadro de mando 2021'!M$42,Tabla1[HORARI],'Cuadro de mando 2021'!$B44,Tabla1[COBRAT],"SI")-SUMIFS(Tabla1[IMPORTE TOTAL],Tabla1[ANY],'Cuadro de mando 2021'!$A$42,Tabla1[MES],'Cuadro de mando 2021'!M$42,Tabla1[HORARI],'Cuadro de mando 2021'!$B44,Tabla1[TORNS],"")</f>
        <v>0</v>
      </c>
      <c r="N44" s="102">
        <f>SUMIFS(Tabla1[IMPORTE TOTAL],Tabla1[ANY],'Cuadro de mando 2021'!$A$42,Tabla1[MES],'Cuadro de mando 2021'!N$42,Tabla1[HORARI],'Cuadro de mando 2021'!$B44,Tabla1[COBRAT],"SI")-SUMIFS(Tabla1[IMPORTE TOTAL],Tabla1[ANY],'Cuadro de mando 2021'!$A$42,Tabla1[MES],'Cuadro de mando 2021'!N$42,Tabla1[HORARI],'Cuadro de mando 2021'!$B44,Tabla1[TORNS],"")</f>
        <v>0</v>
      </c>
      <c r="O44" s="131">
        <f t="shared" si="6"/>
        <v>3600</v>
      </c>
    </row>
    <row r="45" spans="1:17" x14ac:dyDescent="0.2">
      <c r="A45" s="214"/>
      <c r="B45" s="2" t="s">
        <v>35</v>
      </c>
      <c r="C45" s="102">
        <f>SUMIFS(Tabla1[IMPORTE TOTAL],Tabla1[ANY],'Cuadro de mando 2021'!$A$42,Tabla1[MES],'Cuadro de mando 2021'!C$42,Tabla1[HORARI],'Cuadro de mando 2021'!$B45,Tabla1[COBRAT],"SI")-SUMIFS(Tabla1[IMPORTE TOTAL],Tabla1[ANY],'Cuadro de mando 2021'!$A$42,Tabla1[MES],'Cuadro de mando 2021'!C$42,Tabla1[HORARI],'Cuadro de mando 2021'!$B45,Tabla1[TORNS],"")</f>
        <v>1220</v>
      </c>
      <c r="D45" s="102">
        <f>SUMIFS(Tabla1[IMPORTE TOTAL],Tabla1[ANY],'Cuadro de mando 2021'!$A$42,Tabla1[MES],'Cuadro de mando 2021'!D$42,Tabla1[HORARI],'Cuadro de mando 2021'!$B45,Tabla1[COBRAT],"SI")-SUMIFS(Tabla1[IMPORTE TOTAL],Tabla1[ANY],'Cuadro de mando 2021'!$A$42,Tabla1[MES],'Cuadro de mando 2021'!D$42,Tabla1[HORARI],'Cuadro de mando 2021'!$B45,Tabla1[TORNS],"")</f>
        <v>1085</v>
      </c>
      <c r="E45" s="102">
        <f>SUMIFS(Tabla1[IMPORTE TOTAL],Tabla1[ANY],'Cuadro de mando 2021'!$A$42,Tabla1[MES],'Cuadro de mando 2021'!E$42,Tabla1[HORARI],'Cuadro de mando 2021'!$B45,Tabla1[COBRAT],"SI")-SUMIFS(Tabla1[IMPORTE TOTAL],Tabla1[ANY],'Cuadro de mando 2021'!$A$42,Tabla1[MES],'Cuadro de mando 2021'!E$42,Tabla1[HORARI],'Cuadro de mando 2021'!$B45,Tabla1[TORNS],"")</f>
        <v>245</v>
      </c>
      <c r="F45" s="102">
        <f>SUMIFS(Tabla1[IMPORTE TOTAL],Tabla1[ANY],'Cuadro de mando 2021'!$A$42,Tabla1[MES],'Cuadro de mando 2021'!F$42,Tabla1[HORARI],'Cuadro de mando 2021'!$B45,Tabla1[COBRAT],"SI")-SUMIFS(Tabla1[IMPORTE TOTAL],Tabla1[ANY],'Cuadro de mando 2021'!$A$42,Tabla1[MES],'Cuadro de mando 2021'!F$42,Tabla1[HORARI],'Cuadro de mando 2021'!$B45,Tabla1[TORNS],"")</f>
        <v>0</v>
      </c>
      <c r="G45" s="102">
        <f>SUMIFS(Tabla1[IMPORTE TOTAL],Tabla1[ANY],'Cuadro de mando 2021'!$A$42,Tabla1[MES],'Cuadro de mando 2021'!G$42,Tabla1[HORARI],'Cuadro de mando 2021'!$B45,Tabla1[COBRAT],"SI")-SUMIFS(Tabla1[IMPORTE TOTAL],Tabla1[ANY],'Cuadro de mando 2021'!$A$42,Tabla1[MES],'Cuadro de mando 2021'!G$42,Tabla1[HORARI],'Cuadro de mando 2021'!$B45,Tabla1[TORNS],"")</f>
        <v>0</v>
      </c>
      <c r="H45" s="102">
        <f>SUMIFS(Tabla1[IMPORTE TOTAL],Tabla1[ANY],'Cuadro de mando 2021'!$A$42,Tabla1[MES],'Cuadro de mando 2021'!H$42,Tabla1[HORARI],'Cuadro de mando 2021'!$B45,Tabla1[COBRAT],"SI")-SUMIFS(Tabla1[IMPORTE TOTAL],Tabla1[ANY],'Cuadro de mando 2021'!$A$42,Tabla1[MES],'Cuadro de mando 2021'!H$42,Tabla1[HORARI],'Cuadro de mando 2021'!$B45,Tabla1[TORNS],"")</f>
        <v>495</v>
      </c>
      <c r="I45" s="102">
        <f>SUMIFS(Tabla1[IMPORTE TOTAL],Tabla1[ANY],'Cuadro de mando 2021'!$A$42,Tabla1[MES],'Cuadro de mando 2021'!I$42,Tabla1[HORARI],'Cuadro de mando 2021'!$B45,Tabla1[COBRAT],"SI")-SUMIFS(Tabla1[IMPORTE TOTAL],Tabla1[ANY],'Cuadro de mando 2021'!$A$42,Tabla1[MES],'Cuadro de mando 2021'!I$42,Tabla1[HORARI],'Cuadro de mando 2021'!$B45,Tabla1[TORNS],"")</f>
        <v>1865</v>
      </c>
      <c r="J45" s="102">
        <f>SUMIFS(Tabla1[IMPORTE TOTAL],Tabla1[ANY],'Cuadro de mando 2021'!$A$42,Tabla1[MES],'Cuadro de mando 2021'!J$42,Tabla1[HORARI],'Cuadro de mando 2021'!$B45,Tabla1[COBRAT],"SI")-SUMIFS(Tabla1[IMPORTE TOTAL],Tabla1[ANY],'Cuadro de mando 2021'!$A$42,Tabla1[MES],'Cuadro de mando 2021'!J$42,Tabla1[HORARI],'Cuadro de mando 2021'!$B45,Tabla1[TORNS],"")</f>
        <v>945</v>
      </c>
      <c r="K45" s="102">
        <f>SUMIFS(Tabla1[IMPORTE TOTAL],Tabla1[ANY],'Cuadro de mando 2021'!$A$42,Tabla1[MES],'Cuadro de mando 2021'!K$42,Tabla1[HORARI],'Cuadro de mando 2021'!$B45,Tabla1[COBRAT],"SI")-SUMIFS(Tabla1[IMPORTE TOTAL],Tabla1[ANY],'Cuadro de mando 2021'!$A$42,Tabla1[MES],'Cuadro de mando 2021'!K$42,Tabla1[HORARI],'Cuadro de mando 2021'!$B45,Tabla1[TORNS],"")</f>
        <v>595</v>
      </c>
      <c r="L45" s="102">
        <f>SUMIFS(Tabla1[IMPORTE TOTAL],Tabla1[ANY],'Cuadro de mando 2021'!$A$42,Tabla1[MES],'Cuadro de mando 2021'!L$42,Tabla1[HORARI],'Cuadro de mando 2021'!$B45,Tabla1[COBRAT],"SI")-SUMIFS(Tabla1[IMPORTE TOTAL],Tabla1[ANY],'Cuadro de mando 2021'!$A$42,Tabla1[MES],'Cuadro de mando 2021'!L$42,Tabla1[HORARI],'Cuadro de mando 2021'!$B45,Tabla1[TORNS],"")</f>
        <v>0</v>
      </c>
      <c r="M45" s="102">
        <f>SUMIFS(Tabla1[IMPORTE TOTAL],Tabla1[ANY],'Cuadro de mando 2021'!$A$42,Tabla1[MES],'Cuadro de mando 2021'!M$42,Tabla1[HORARI],'Cuadro de mando 2021'!$B45,Tabla1[COBRAT],"SI")-SUMIFS(Tabla1[IMPORTE TOTAL],Tabla1[ANY],'Cuadro de mando 2021'!$A$42,Tabla1[MES],'Cuadro de mando 2021'!M$42,Tabla1[HORARI],'Cuadro de mando 2021'!$B45,Tabla1[TORNS],"")</f>
        <v>0</v>
      </c>
      <c r="N45" s="102">
        <f>SUMIFS(Tabla1[IMPORTE TOTAL],Tabla1[ANY],'Cuadro de mando 2021'!$A$42,Tabla1[MES],'Cuadro de mando 2021'!N$42,Tabla1[HORARI],'Cuadro de mando 2021'!$B45,Tabla1[COBRAT],"SI")-SUMIFS(Tabla1[IMPORTE TOTAL],Tabla1[ANY],'Cuadro de mando 2021'!$A$42,Tabla1[MES],'Cuadro de mando 2021'!N$42,Tabla1[HORARI],'Cuadro de mando 2021'!$B45,Tabla1[TORNS],"")</f>
        <v>0</v>
      </c>
      <c r="O45" s="131">
        <f t="shared" si="6"/>
        <v>6450</v>
      </c>
    </row>
    <row r="46" spans="1:17" ht="15.75" thickBot="1" x14ac:dyDescent="0.25">
      <c r="A46" s="215"/>
      <c r="B46" s="117" t="s">
        <v>172</v>
      </c>
      <c r="C46" s="118">
        <f>SUMIFS(Tabla1[IMPORTE TOTAL],Tabla1[ANY],'Cuadro de mando 2021'!$A$42,Tabla1[MES],'Cuadro de mando 2021'!C$42,Tabla1[COBRAT],"SI")-SUMIFS(Tabla1[IMPORTE TOTAL],Tabla1[ANY],'Cuadro de mando 2021'!$A$42,Tabla1[MES],'Cuadro de mando 2021'!C$42,Tabla1[TORNS],"")</f>
        <v>3540</v>
      </c>
      <c r="D46" s="118">
        <f>SUMIFS(Tabla1[IMPORTE TOTAL],Tabla1[ANY],'Cuadro de mando 2021'!$A$42,Tabla1[MES],'Cuadro de mando 2021'!D$42,Tabla1[COBRAT],"SI")-SUMIFS(Tabla1[IMPORTE TOTAL],Tabla1[ANY],'Cuadro de mando 2021'!$A$42,Tabla1[MES],'Cuadro de mando 2021'!D$42,Tabla1[TORNS],"")</f>
        <v>2945</v>
      </c>
      <c r="E46" s="118">
        <f>SUMIFS(Tabla1[IMPORTE TOTAL],Tabla1[ANY],'Cuadro de mando 2021'!$A$42,Tabla1[MES],'Cuadro de mando 2021'!E$42,Tabla1[COBRAT],"SI")-SUMIFS(Tabla1[IMPORTE TOTAL],Tabla1[ANY],'Cuadro de mando 2021'!$A$42,Tabla1[MES],'Cuadro de mando 2021'!E$42,Tabla1[TORNS],"")</f>
        <v>700</v>
      </c>
      <c r="F46" s="118">
        <f>SUMIFS(Tabla1[IMPORTE TOTAL],Tabla1[ANY],'Cuadro de mando 2021'!$A$42,Tabla1[MES],'Cuadro de mando 2021'!F$42,Tabla1[COBRAT],"SI")-SUMIFS(Tabla1[IMPORTE TOTAL],Tabla1[ANY],'Cuadro de mando 2021'!$A$42,Tabla1[MES],'Cuadro de mando 2021'!F$42,Tabla1[TORNS],"")</f>
        <v>0</v>
      </c>
      <c r="G46" s="118">
        <f>SUMIFS(Tabla1[IMPORTE TOTAL],Tabla1[ANY],'Cuadro de mando 2021'!$A$42,Tabla1[MES],'Cuadro de mando 2021'!G$42,Tabla1[COBRAT],"SI")-SUMIFS(Tabla1[IMPORTE TOTAL],Tabla1[ANY],'Cuadro de mando 2021'!$A$42,Tabla1[MES],'Cuadro de mando 2021'!G$42,Tabla1[TORNS],"")</f>
        <v>0</v>
      </c>
      <c r="H46" s="118">
        <f>SUMIFS(Tabla1[IMPORTE TOTAL],Tabla1[ANY],'Cuadro de mando 2021'!$A$42,Tabla1[MES],'Cuadro de mando 2021'!H$42,Tabla1[COBRAT],"SI")-SUMIFS(Tabla1[IMPORTE TOTAL],Tabla1[ANY],'Cuadro de mando 2021'!$A$42,Tabla1[MES],'Cuadro de mando 2021'!H$42,Tabla1[TORNS],"")</f>
        <v>1185</v>
      </c>
      <c r="I46" s="118">
        <f>SUMIFS(Tabla1[IMPORTE TOTAL],Tabla1[ANY],'Cuadro de mando 2021'!$A$42,Tabla1[MES],'Cuadro de mando 2021'!I$42,Tabla1[COBRAT],"SI")-SUMIFS(Tabla1[IMPORTE TOTAL],Tabla1[ANY],'Cuadro de mando 2021'!$A$42,Tabla1[MES],'Cuadro de mando 2021'!I$42,Tabla1[TORNS],"")</f>
        <v>2515</v>
      </c>
      <c r="J46" s="118">
        <f>SUMIFS(Tabla1[IMPORTE TOTAL],Tabla1[ANY],'Cuadro de mando 2021'!$A$42,Tabla1[MES],'Cuadro de mando 2021'!J$42,Tabla1[COBRAT],"SI")-SUMIFS(Tabla1[IMPORTE TOTAL],Tabla1[ANY],'Cuadro de mando 2021'!$A$42,Tabla1[MES],'Cuadro de mando 2021'!J$42,Tabla1[TORNS],"")</f>
        <v>1465</v>
      </c>
      <c r="K46" s="118">
        <f>SUMIFS(Tabla1[IMPORTE TOTAL],Tabla1[ANY],'Cuadro de mando 2021'!$A$42,Tabla1[MES],'Cuadro de mando 2021'!K$42,Tabla1[COBRAT],"SI")-SUMIFS(Tabla1[IMPORTE TOTAL],Tabla1[ANY],'Cuadro de mando 2021'!$A$42,Tabla1[MES],'Cuadro de mando 2021'!K$42,Tabla1[TORNS],"")</f>
        <v>1194.99</v>
      </c>
      <c r="L46" s="118">
        <f>SUMIFS(Tabla1[IMPORTE TOTAL],Tabla1[ANY],'Cuadro de mando 2021'!$A$42,Tabla1[MES],'Cuadro de mando 2021'!L$42,Tabla1[COBRAT],"SI")-SUMIFS(Tabla1[IMPORTE TOTAL],Tabla1[ANY],'Cuadro de mando 2021'!$A$42,Tabla1[MES],'Cuadro de mando 2021'!L$42,Tabla1[TORNS],"")</f>
        <v>345.00000000000006</v>
      </c>
      <c r="M46" s="118">
        <f>SUMIFS(Tabla1[IMPORTE TOTAL],Tabla1[ANY],'Cuadro de mando 2021'!$A$42,Tabla1[MES],'Cuadro de mando 2021'!M$42,Tabla1[COBRAT],"SI")-SUMIFS(Tabla1[IMPORTE TOTAL],Tabla1[ANY],'Cuadro de mando 2021'!$A$42,Tabla1[MES],'Cuadro de mando 2021'!M$42,Tabla1[TORNS],"")</f>
        <v>0</v>
      </c>
      <c r="N46" s="118">
        <f>SUMIFS(Tabla1[IMPORTE TOTAL],Tabla1[ANY],'Cuadro de mando 2021'!$A$42,Tabla1[MES],'Cuadro de mando 2021'!N$42,Tabla1[COBRAT],"SI")-SUMIFS(Tabla1[IMPORTE TOTAL],Tabla1[ANY],'Cuadro de mando 2021'!$A$42,Tabla1[MES],'Cuadro de mando 2021'!N$42,Tabla1[TORNS],"")</f>
        <v>100</v>
      </c>
      <c r="O46" s="132">
        <f t="shared" si="6"/>
        <v>13989.99</v>
      </c>
      <c r="P46" s="79">
        <f>E14</f>
        <v>0</v>
      </c>
      <c r="Q46" s="79">
        <f>P46+P26</f>
        <v>0</v>
      </c>
    </row>
    <row r="47" spans="1:17" x14ac:dyDescent="0.2">
      <c r="A47" s="216" t="s">
        <v>283</v>
      </c>
      <c r="B47" s="114" t="s">
        <v>30</v>
      </c>
      <c r="C47" s="115">
        <f>COUNTIFS(Tabla1[ANY],'Cuadro de mando 2021'!$A$42,Tabla1[MES],'Cuadro de mando 2021'!C$42,Tabla1[HORARI],'Cuadro de mando 2021'!$B47,Tabla1[COBRAT],"SI")-COUNTIFS(Tabla1[ANY],'Cuadro de mando 2021'!$A$42,Tabla1[MES],'Cuadro de mando 2021'!C$42,Tabla1[HORARI],'Cuadro de mando 2021'!$B47,Tabla1[TORNS],"")</f>
        <v>3</v>
      </c>
      <c r="D47" s="115">
        <f>COUNTIFS(Tabla1[ANY],'Cuadro de mando 2021'!$A$42,Tabla1[MES],'Cuadro de mando 2021'!D$42,Tabla1[HORARI],'Cuadro de mando 2021'!$B47,Tabla1[COBRAT],"SI")-COUNTIFS(Tabla1[ANY],'Cuadro de mando 2021'!$A$42,Tabla1[MES],'Cuadro de mando 2021'!D$42,Tabla1[HORARI],'Cuadro de mando 2021'!$B47,Tabla1[TORNS],"")</f>
        <v>5</v>
      </c>
      <c r="E47" s="115">
        <f>COUNTIFS(Tabla1[ANY],'Cuadro de mando 2021'!$A$42,Tabla1[MES],'Cuadro de mando 2021'!E$42,Tabla1[HORARI],'Cuadro de mando 2021'!$B47,Tabla1[COBRAT],"SI")-COUNTIFS(Tabla1[ANY],'Cuadro de mando 2021'!$A$42,Tabla1[MES],'Cuadro de mando 2021'!E$42,Tabla1[HORARI],'Cuadro de mando 2021'!$B47,Tabla1[TORNS],"")</f>
        <v>1</v>
      </c>
      <c r="F47" s="115">
        <f>COUNTIFS(Tabla1[ANY],'Cuadro de mando 2021'!$A$42,Tabla1[MES],'Cuadro de mando 2021'!F$42,Tabla1[HORARI],'Cuadro de mando 2021'!$B47,Tabla1[COBRAT],"SI")-COUNTIFS(Tabla1[ANY],'Cuadro de mando 2021'!$A$42,Tabla1[MES],'Cuadro de mando 2021'!F$42,Tabla1[HORARI],'Cuadro de mando 2021'!$B47,Tabla1[TORNS],"")</f>
        <v>0</v>
      </c>
      <c r="G47" s="115">
        <f>COUNTIFS(Tabla1[ANY],'Cuadro de mando 2021'!$A$42,Tabla1[MES],'Cuadro de mando 2021'!G$42,Tabla1[HORARI],'Cuadro de mando 2021'!$B47,Tabla1[COBRAT],"SI")-COUNTIFS(Tabla1[ANY],'Cuadro de mando 2021'!$A$42,Tabla1[MES],'Cuadro de mando 2021'!G$42,Tabla1[HORARI],'Cuadro de mando 2021'!$B47,Tabla1[TORNS],"")</f>
        <v>0</v>
      </c>
      <c r="H47" s="115">
        <f>COUNTIFS(Tabla1[ANY],'Cuadro de mando 2021'!$A$42,Tabla1[MES],'Cuadro de mando 2021'!H$42,Tabla1[HORARI],'Cuadro de mando 2021'!$B47,Tabla1[COBRAT],"SI")-COUNTIFS(Tabla1[ANY],'Cuadro de mando 2021'!$A$42,Tabla1[MES],'Cuadro de mando 2021'!H$42,Tabla1[HORARI],'Cuadro de mando 2021'!$B47,Tabla1[TORNS],"")</f>
        <v>0</v>
      </c>
      <c r="I47" s="115">
        <f>COUNTIFS(Tabla1[ANY],'Cuadro de mando 2021'!$A$42,Tabla1[MES],'Cuadro de mando 2021'!I$42,Tabla1[HORARI],'Cuadro de mando 2021'!$B47,Tabla1[COBRAT],"SI")-COUNTIFS(Tabla1[ANY],'Cuadro de mando 2021'!$A$42,Tabla1[MES],'Cuadro de mando 2021'!I$42,Tabla1[HORARI],'Cuadro de mando 2021'!$B47,Tabla1[TORNS],"")</f>
        <v>1</v>
      </c>
      <c r="J47" s="115">
        <f>COUNTIFS(Tabla1[ANY],'Cuadro de mando 2021'!$A$42,Tabla1[MES],'Cuadro de mando 2021'!J$42,Tabla1[HORARI],'Cuadro de mando 2021'!$B47,Tabla1[COBRAT],"SI")-COUNTIFS(Tabla1[ANY],'Cuadro de mando 2021'!$A$42,Tabla1[MES],'Cuadro de mando 2021'!J$42,Tabla1[HORARI],'Cuadro de mando 2021'!$B47,Tabla1[TORNS],"")</f>
        <v>0</v>
      </c>
      <c r="K47" s="115">
        <f>COUNTIFS(Tabla1[ANY],'Cuadro de mando 2021'!$A$42,Tabla1[MES],'Cuadro de mando 2021'!K$42,Tabla1[HORARI],'Cuadro de mando 2021'!$B47,Tabla1[COBRAT],"SI")-COUNTIFS(Tabla1[ANY],'Cuadro de mando 2021'!$A$42,Tabla1[MES],'Cuadro de mando 2021'!K$42,Tabla1[HORARI],'Cuadro de mando 2021'!$B47,Tabla1[TORNS],"")</f>
        <v>0</v>
      </c>
      <c r="L47" s="115">
        <f>COUNTIFS(Tabla1[ANY],'Cuadro de mando 2021'!$A$42,Tabla1[MES],'Cuadro de mando 2021'!L$42,Tabla1[HORARI],'Cuadro de mando 2021'!$B47,Tabla1[COBRAT],"SI")-COUNTIFS(Tabla1[ANY],'Cuadro de mando 2021'!$A$42,Tabla1[MES],'Cuadro de mando 2021'!L$42,Tabla1[HORARI],'Cuadro de mando 2021'!$B47,Tabla1[TORNS],"")</f>
        <v>0</v>
      </c>
      <c r="M47" s="115">
        <f>COUNTIFS(Tabla1[ANY],'Cuadro de mando 2021'!$A$42,Tabla1[MES],'Cuadro de mando 2021'!M$42,Tabla1[HORARI],'Cuadro de mando 2021'!$B47,Tabla1[COBRAT],"SI")-COUNTIFS(Tabla1[ANY],'Cuadro de mando 2021'!$A$42,Tabla1[MES],'Cuadro de mando 2021'!M$42,Tabla1[HORARI],'Cuadro de mando 2021'!$B47,Tabla1[TORNS],"")</f>
        <v>0</v>
      </c>
      <c r="N47" s="115">
        <f>COUNTIFS(Tabla1[ANY],'Cuadro de mando 2021'!$A$42,Tabla1[MES],'Cuadro de mando 2021'!N$42,Tabla1[HORARI],'Cuadro de mando 2021'!$B47,Tabla1[COBRAT],"SI")-COUNTIFS(Tabla1[ANY],'Cuadro de mando 2021'!$A$42,Tabla1[MES],'Cuadro de mando 2021'!N$42,Tabla1[HORARI],'Cuadro de mando 2021'!$B47,Tabla1[TORNS],"")</f>
        <v>0</v>
      </c>
      <c r="O47" s="133">
        <f t="shared" si="6"/>
        <v>10</v>
      </c>
    </row>
    <row r="48" spans="1:17" x14ac:dyDescent="0.2">
      <c r="A48" s="217"/>
      <c r="B48" s="2" t="s">
        <v>31</v>
      </c>
      <c r="C48" s="102">
        <f>COUNTIFS(Tabla1[ANY],'Cuadro de mando 2021'!$A$42,Tabla1[MES],'Cuadro de mando 2021'!C$42,Tabla1[HORARI],'Cuadro de mando 2021'!$B48,Tabla1[COBRAT],"SI")-COUNTIFS(Tabla1[ANY],'Cuadro de mando 2021'!$A$42,Tabla1[MES],'Cuadro de mando 2021'!C$42,Tabla1[HORARI],'Cuadro de mando 2021'!$B48,Tabla1[TORNS],"")</f>
        <v>8</v>
      </c>
      <c r="D48" s="102">
        <f>COUNTIFS(Tabla1[ANY],'Cuadro de mando 2021'!$A$42,Tabla1[MES],'Cuadro de mando 2021'!D$42,Tabla1[HORARI],'Cuadro de mando 2021'!$B48,Tabla1[COBRAT],"SI")-COUNTIFS(Tabla1[ANY],'Cuadro de mando 2021'!$A$42,Tabla1[MES],'Cuadro de mando 2021'!D$42,Tabla1[HORARI],'Cuadro de mando 2021'!$B48,Tabla1[TORNS],"")</f>
        <v>9</v>
      </c>
      <c r="E48" s="102">
        <f>COUNTIFS(Tabla1[ANY],'Cuadro de mando 2021'!$A$42,Tabla1[MES],'Cuadro de mando 2021'!E$42,Tabla1[HORARI],'Cuadro de mando 2021'!$B48,Tabla1[COBRAT],"SI")-COUNTIFS(Tabla1[ANY],'Cuadro de mando 2021'!$A$42,Tabla1[MES],'Cuadro de mando 2021'!E$42,Tabla1[HORARI],'Cuadro de mando 2021'!$B48,Tabla1[TORNS],"")</f>
        <v>2</v>
      </c>
      <c r="F48" s="102">
        <f>COUNTIFS(Tabla1[ANY],'Cuadro de mando 2021'!$A$42,Tabla1[MES],'Cuadro de mando 2021'!F$42,Tabla1[HORARI],'Cuadro de mando 2021'!$B48,Tabla1[COBRAT],"SI")-COUNTIFS(Tabla1[ANY],'Cuadro de mando 2021'!$A$42,Tabla1[MES],'Cuadro de mando 2021'!F$42,Tabla1[HORARI],'Cuadro de mando 2021'!$B48,Tabla1[TORNS],"")</f>
        <v>0</v>
      </c>
      <c r="G48" s="102">
        <f>COUNTIFS(Tabla1[ANY],'Cuadro de mando 2021'!$A$42,Tabla1[MES],'Cuadro de mando 2021'!G$42,Tabla1[HORARI],'Cuadro de mando 2021'!$B48,Tabla1[COBRAT],"SI")-COUNTIFS(Tabla1[ANY],'Cuadro de mando 2021'!$A$42,Tabla1[MES],'Cuadro de mando 2021'!G$42,Tabla1[HORARI],'Cuadro de mando 2021'!$B48,Tabla1[TORNS],"")</f>
        <v>0</v>
      </c>
      <c r="H48" s="102">
        <f>COUNTIFS(Tabla1[ANY],'Cuadro de mando 2021'!$A$42,Tabla1[MES],'Cuadro de mando 2021'!H$42,Tabla1[HORARI],'Cuadro de mando 2021'!$B48,Tabla1[COBRAT],"SI")-COUNTIFS(Tabla1[ANY],'Cuadro de mando 2021'!$A$42,Tabla1[MES],'Cuadro de mando 2021'!H$42,Tabla1[HORARI],'Cuadro de mando 2021'!$B48,Tabla1[TORNS],"")</f>
        <v>4</v>
      </c>
      <c r="I48" s="102">
        <f>COUNTIFS(Tabla1[ANY],'Cuadro de mando 2021'!$A$42,Tabla1[MES],'Cuadro de mando 2021'!I$42,Tabla1[HORARI],'Cuadro de mando 2021'!$B48,Tabla1[COBRAT],"SI")-COUNTIFS(Tabla1[ANY],'Cuadro de mando 2021'!$A$42,Tabla1[MES],'Cuadro de mando 2021'!I$42,Tabla1[HORARI],'Cuadro de mando 2021'!$B48,Tabla1[TORNS],"")</f>
        <v>8</v>
      </c>
      <c r="J48" s="102">
        <f>COUNTIFS(Tabla1[ANY],'Cuadro de mando 2021'!$A$42,Tabla1[MES],'Cuadro de mando 2021'!J$42,Tabla1[HORARI],'Cuadro de mando 2021'!$B48,Tabla1[COBRAT],"SI")-COUNTIFS(Tabla1[ANY],'Cuadro de mando 2021'!$A$42,Tabla1[MES],'Cuadro de mando 2021'!J$42,Tabla1[HORARI],'Cuadro de mando 2021'!$B48,Tabla1[TORNS],"")</f>
        <v>2</v>
      </c>
      <c r="K48" s="102">
        <f>COUNTIFS(Tabla1[ANY],'Cuadro de mando 2021'!$A$42,Tabla1[MES],'Cuadro de mando 2021'!K$42,Tabla1[HORARI],'Cuadro de mando 2021'!$B48,Tabla1[COBRAT],"SI")-COUNTIFS(Tabla1[ANY],'Cuadro de mando 2021'!$A$42,Tabla1[MES],'Cuadro de mando 2021'!K$42,Tabla1[HORARI],'Cuadro de mando 2021'!$B48,Tabla1[TORNS],"")</f>
        <v>1</v>
      </c>
      <c r="L48" s="102">
        <f>COUNTIFS(Tabla1[ANY],'Cuadro de mando 2021'!$A$42,Tabla1[MES],'Cuadro de mando 2021'!L$42,Tabla1[HORARI],'Cuadro de mando 2021'!$B48,Tabla1[COBRAT],"SI")-COUNTIFS(Tabla1[ANY],'Cuadro de mando 2021'!$A$42,Tabla1[MES],'Cuadro de mando 2021'!L$42,Tabla1[HORARI],'Cuadro de mando 2021'!$B48,Tabla1[TORNS],"")</f>
        <v>1</v>
      </c>
      <c r="M48" s="102">
        <f>COUNTIFS(Tabla1[ANY],'Cuadro de mando 2021'!$A$42,Tabla1[MES],'Cuadro de mando 2021'!M$42,Tabla1[HORARI],'Cuadro de mando 2021'!$B48,Tabla1[COBRAT],"SI")-COUNTIFS(Tabla1[ANY],'Cuadro de mando 2021'!$A$42,Tabla1[MES],'Cuadro de mando 2021'!M$42,Tabla1[HORARI],'Cuadro de mando 2021'!$B48,Tabla1[TORNS],"")</f>
        <v>0</v>
      </c>
      <c r="N48" s="102">
        <f>COUNTIFS(Tabla1[ANY],'Cuadro de mando 2021'!$A$42,Tabla1[MES],'Cuadro de mando 2021'!N$42,Tabla1[HORARI],'Cuadro de mando 2021'!$B48,Tabla1[COBRAT],"SI")-COUNTIFS(Tabla1[ANY],'Cuadro de mando 2021'!$A$42,Tabla1[MES],'Cuadro de mando 2021'!N$42,Tabla1[HORARI],'Cuadro de mando 2021'!$B48,Tabla1[TORNS],"")</f>
        <v>0</v>
      </c>
      <c r="O48" s="131">
        <f t="shared" si="6"/>
        <v>35</v>
      </c>
    </row>
    <row r="49" spans="1:16" x14ac:dyDescent="0.2">
      <c r="A49" s="217"/>
      <c r="B49" s="2" t="s">
        <v>35</v>
      </c>
      <c r="C49" s="102">
        <f>COUNTIFS(Tabla1[ANY],'Cuadro de mando 2021'!$A$42,Tabla1[MES],'Cuadro de mando 2021'!C$42,Tabla1[HORARI],'Cuadro de mando 2021'!$B49,Tabla1[COBRAT],"SI")-COUNTIFS(Tabla1[ANY],'Cuadro de mando 2021'!$A$42,Tabla1[MES],'Cuadro de mando 2021'!C$42,Tabla1[HORARI],'Cuadro de mando 2021'!$B49,Tabla1[TORNS],"")</f>
        <v>6</v>
      </c>
      <c r="D49" s="102">
        <f>COUNTIFS(Tabla1[ANY],'Cuadro de mando 2021'!$A$42,Tabla1[MES],'Cuadro de mando 2021'!D$42,Tabla1[HORARI],'Cuadro de mando 2021'!$B49,Tabla1[COBRAT],"SI")-COUNTIFS(Tabla1[ANY],'Cuadro de mando 2021'!$A$42,Tabla1[MES],'Cuadro de mando 2021'!D$42,Tabla1[HORARI],'Cuadro de mando 2021'!$B49,Tabla1[TORNS],"")</f>
        <v>5</v>
      </c>
      <c r="E49" s="102">
        <f>COUNTIFS(Tabla1[ANY],'Cuadro de mando 2021'!$A$42,Tabla1[MES],'Cuadro de mando 2021'!E$42,Tabla1[HORARI],'Cuadro de mando 2021'!$B49,Tabla1[COBRAT],"SI")-COUNTIFS(Tabla1[ANY],'Cuadro de mando 2021'!$A$42,Tabla1[MES],'Cuadro de mando 2021'!E$42,Tabla1[HORARI],'Cuadro de mando 2021'!$B49,Tabla1[TORNS],"")</f>
        <v>1</v>
      </c>
      <c r="F49" s="102">
        <f>COUNTIFS(Tabla1[ANY],'Cuadro de mando 2021'!$A$42,Tabla1[MES],'Cuadro de mando 2021'!F$42,Tabla1[HORARI],'Cuadro de mando 2021'!$B49,Tabla1[COBRAT],"SI")-COUNTIFS(Tabla1[ANY],'Cuadro de mando 2021'!$A$42,Tabla1[MES],'Cuadro de mando 2021'!F$42,Tabla1[HORARI],'Cuadro de mando 2021'!$B49,Tabla1[TORNS],"")</f>
        <v>0</v>
      </c>
      <c r="G49" s="102">
        <f>COUNTIFS(Tabla1[ANY],'Cuadro de mando 2021'!$A$42,Tabla1[MES],'Cuadro de mando 2021'!G$42,Tabla1[HORARI],'Cuadro de mando 2021'!$B49,Tabla1[COBRAT],"SI")-COUNTIFS(Tabla1[ANY],'Cuadro de mando 2021'!$A$42,Tabla1[MES],'Cuadro de mando 2021'!G$42,Tabla1[HORARI],'Cuadro de mando 2021'!$B49,Tabla1[TORNS],"")</f>
        <v>0</v>
      </c>
      <c r="H49" s="102">
        <f>COUNTIFS(Tabla1[ANY],'Cuadro de mando 2021'!$A$42,Tabla1[MES],'Cuadro de mando 2021'!H$42,Tabla1[HORARI],'Cuadro de mando 2021'!$B49,Tabla1[COBRAT],"SI")-COUNTIFS(Tabla1[ANY],'Cuadro de mando 2021'!$A$42,Tabla1[MES],'Cuadro de mando 2021'!H$42,Tabla1[HORARI],'Cuadro de mando 2021'!$B49,Tabla1[TORNS],"")</f>
        <v>2</v>
      </c>
      <c r="I49" s="102">
        <f>COUNTIFS(Tabla1[ANY],'Cuadro de mando 2021'!$A$42,Tabla1[MES],'Cuadro de mando 2021'!I$42,Tabla1[HORARI],'Cuadro de mando 2021'!$B49,Tabla1[COBRAT],"SI")-COUNTIFS(Tabla1[ANY],'Cuadro de mando 2021'!$A$42,Tabla1[MES],'Cuadro de mando 2021'!I$42,Tabla1[HORARI],'Cuadro de mando 2021'!$B49,Tabla1[TORNS],"")</f>
        <v>9</v>
      </c>
      <c r="J49" s="102">
        <f>COUNTIFS(Tabla1[ANY],'Cuadro de mando 2021'!$A$42,Tabla1[MES],'Cuadro de mando 2021'!J$42,Tabla1[HORARI],'Cuadro de mando 2021'!$B49,Tabla1[COBRAT],"SI")-COUNTIFS(Tabla1[ANY],'Cuadro de mando 2021'!$A$42,Tabla1[MES],'Cuadro de mando 2021'!J$42,Tabla1[HORARI],'Cuadro de mando 2021'!$B49,Tabla1[TORNS],"")</f>
        <v>4</v>
      </c>
      <c r="K49" s="102">
        <f>COUNTIFS(Tabla1[ANY],'Cuadro de mando 2021'!$A$42,Tabla1[MES],'Cuadro de mando 2021'!K$42,Tabla1[HORARI],'Cuadro de mando 2021'!$B49,Tabla1[COBRAT],"SI")-COUNTIFS(Tabla1[ANY],'Cuadro de mando 2021'!$A$42,Tabla1[MES],'Cuadro de mando 2021'!K$42,Tabla1[HORARI],'Cuadro de mando 2021'!$B49,Tabla1[TORNS],"")</f>
        <v>3</v>
      </c>
      <c r="L49" s="102">
        <f>COUNTIFS(Tabla1[ANY],'Cuadro de mando 2021'!$A$42,Tabla1[MES],'Cuadro de mando 2021'!L$42,Tabla1[HORARI],'Cuadro de mando 2021'!$B49,Tabla1[COBRAT],"SI")-COUNTIFS(Tabla1[ANY],'Cuadro de mando 2021'!$A$42,Tabla1[MES],'Cuadro de mando 2021'!L$42,Tabla1[HORARI],'Cuadro de mando 2021'!$B49,Tabla1[TORNS],"")</f>
        <v>0</v>
      </c>
      <c r="M49" s="102">
        <f>COUNTIFS(Tabla1[ANY],'Cuadro de mando 2021'!$A$42,Tabla1[MES],'Cuadro de mando 2021'!M$42,Tabla1[HORARI],'Cuadro de mando 2021'!$B49,Tabla1[COBRAT],"SI")-COUNTIFS(Tabla1[ANY],'Cuadro de mando 2021'!$A$42,Tabla1[MES],'Cuadro de mando 2021'!M$42,Tabla1[HORARI],'Cuadro de mando 2021'!$B49,Tabla1[TORNS],"")</f>
        <v>0</v>
      </c>
      <c r="N49" s="102">
        <f>COUNTIFS(Tabla1[ANY],'Cuadro de mando 2021'!$A$42,Tabla1[MES],'Cuadro de mando 2021'!N$42,Tabla1[HORARI],'Cuadro de mando 2021'!$B49,Tabla1[COBRAT],"SI")-COUNTIFS(Tabla1[ANY],'Cuadro de mando 2021'!$A$42,Tabla1[MES],'Cuadro de mando 2021'!N$42,Tabla1[HORARI],'Cuadro de mando 2021'!$B49,Tabla1[TORNS],"")</f>
        <v>0</v>
      </c>
      <c r="O49" s="131">
        <f t="shared" si="6"/>
        <v>30</v>
      </c>
    </row>
    <row r="50" spans="1:16" ht="15.75" thickBot="1" x14ac:dyDescent="0.25">
      <c r="A50" s="218"/>
      <c r="B50" s="119" t="s">
        <v>172</v>
      </c>
      <c r="C50" s="120">
        <f>COUNTIFS(Tabla1[ANY],'Cuadro de mando 2021'!$A$42,Tabla1[MES],'Cuadro de mando 2021'!C$42,Tabla1[COBRAT],"SI")-COUNTIFS(Tabla1[ANY],'Cuadro de mando 2021'!$A$42,Tabla1[MES],'Cuadro de mando 2021'!C$42,Tabla1[TORNS],"")</f>
        <v>21</v>
      </c>
      <c r="D50" s="120">
        <f>COUNTIFS(Tabla1[ANY],'Cuadro de mando 2021'!$A$42,Tabla1[MES],'Cuadro de mando 2021'!D$42,Tabla1[COBRAT],"SI")-COUNTIFS(Tabla1[ANY],'Cuadro de mando 2021'!$A$42,Tabla1[MES],'Cuadro de mando 2021'!D$42,Tabla1[TORNS],"")</f>
        <v>19</v>
      </c>
      <c r="E50" s="120">
        <f>COUNTIFS(Tabla1[ANY],'Cuadro de mando 2021'!$A$42,Tabla1[MES],'Cuadro de mando 2021'!E$42,Tabla1[COBRAT],"SI")-COUNTIFS(Tabla1[ANY],'Cuadro de mando 2021'!$A$42,Tabla1[MES],'Cuadro de mando 2021'!E$42,Tabla1[TORNS],"")</f>
        <v>4</v>
      </c>
      <c r="F50" s="120">
        <f>COUNTIFS(Tabla1[ANY],'Cuadro de mando 2021'!$A$42,Tabla1[MES],'Cuadro de mando 2021'!F$42,Tabla1[COBRAT],"SI")-COUNTIFS(Tabla1[ANY],'Cuadro de mando 2021'!$A$42,Tabla1[MES],'Cuadro de mando 2021'!F$42,Tabla1[TORNS],"")</f>
        <v>0</v>
      </c>
      <c r="G50" s="120">
        <f>COUNTIFS(Tabla1[ANY],'Cuadro de mando 2021'!$A$42,Tabla1[MES],'Cuadro de mando 2021'!G$42,Tabla1[COBRAT],"SI")-COUNTIFS(Tabla1[ANY],'Cuadro de mando 2021'!$A$42,Tabla1[MES],'Cuadro de mando 2021'!G$42,Tabla1[TORNS],"")</f>
        <v>0</v>
      </c>
      <c r="H50" s="120">
        <f>COUNTIFS(Tabla1[ANY],'Cuadro de mando 2021'!$A$42,Tabla1[MES],'Cuadro de mando 2021'!H$42,Tabla1[COBRAT],"SI")-COUNTIFS(Tabla1[ANY],'Cuadro de mando 2021'!$A$42,Tabla1[MES],'Cuadro de mando 2021'!H$42,Tabla1[TORNS],"")</f>
        <v>8</v>
      </c>
      <c r="I50" s="120">
        <f>COUNTIFS(Tabla1[ANY],'Cuadro de mando 2021'!$A$42,Tabla1[MES],'Cuadro de mando 2021'!I$42,Tabla1[COBRAT],"SI")-COUNTIFS(Tabla1[ANY],'Cuadro de mando 2021'!$A$42,Tabla1[MES],'Cuadro de mando 2021'!I$42,Tabla1[TORNS],"")</f>
        <v>18</v>
      </c>
      <c r="J50" s="120">
        <f>COUNTIFS(Tabla1[ANY],'Cuadro de mando 2021'!$A$42,Tabla1[MES],'Cuadro de mando 2021'!J$42,Tabla1[COBRAT],"SI")-COUNTIFS(Tabla1[ANY],'Cuadro de mando 2021'!$A$42,Tabla1[MES],'Cuadro de mando 2021'!J$42,Tabla1[TORNS],"")</f>
        <v>7</v>
      </c>
      <c r="K50" s="120">
        <f>COUNTIFS(Tabla1[ANY],'Cuadro de mando 2021'!$A$42,Tabla1[MES],'Cuadro de mando 2021'!K$42,Tabla1[COBRAT],"SI")-COUNTIFS(Tabla1[ANY],'Cuadro de mando 2021'!$A$42,Tabla1[MES],'Cuadro de mando 2021'!K$42,Tabla1[TORNS],"")</f>
        <v>6</v>
      </c>
      <c r="L50" s="120">
        <f>COUNTIFS(Tabla1[ANY],'Cuadro de mando 2021'!$A$42,Tabla1[MES],'Cuadro de mando 2021'!L$42,Tabla1[COBRAT],"SI")-COUNTIFS(Tabla1[ANY],'Cuadro de mando 2021'!$A$42,Tabla1[MES],'Cuadro de mando 2021'!L$42,Tabla1[TORNS],"")</f>
        <v>2</v>
      </c>
      <c r="M50" s="120">
        <f>COUNTIFS(Tabla1[ANY],'Cuadro de mando 2021'!$A$42,Tabla1[MES],'Cuadro de mando 2021'!M$42,Tabla1[COBRAT],"SI")-COUNTIFS(Tabla1[ANY],'Cuadro de mando 2021'!$A$42,Tabla1[MES],'Cuadro de mando 2021'!M$42,Tabla1[TORNS],"")</f>
        <v>0</v>
      </c>
      <c r="N50" s="120">
        <f>COUNTIFS(Tabla1[ANY],'Cuadro de mando 2021'!$A$42,Tabla1[MES],'Cuadro de mando 2021'!N$42,Tabla1[COBRAT],"SI")-COUNTIFS(Tabla1[ANY],'Cuadro de mando 2021'!$A$42,Tabla1[MES],'Cuadro de mando 2021'!N$42,Tabla1[TORNS],"")</f>
        <v>1</v>
      </c>
      <c r="O50" s="134">
        <f t="shared" si="6"/>
        <v>86</v>
      </c>
      <c r="P50">
        <f>B14</f>
        <v>0</v>
      </c>
    </row>
    <row r="51" spans="1:16" x14ac:dyDescent="0.2">
      <c r="A51" s="219" t="s">
        <v>261</v>
      </c>
      <c r="B51" s="114" t="s">
        <v>30</v>
      </c>
      <c r="C51" s="116">
        <f t="shared" ref="C51:O54" si="7">IF(C47=0,0,C43/C47)</f>
        <v>145</v>
      </c>
      <c r="D51" s="116">
        <f t="shared" si="7"/>
        <v>145</v>
      </c>
      <c r="E51" s="116">
        <f t="shared" si="7"/>
        <v>145</v>
      </c>
      <c r="F51" s="116">
        <f t="shared" si="7"/>
        <v>0</v>
      </c>
      <c r="G51" s="116">
        <f t="shared" si="7"/>
        <v>0</v>
      </c>
      <c r="H51" s="116">
        <f t="shared" si="7"/>
        <v>0</v>
      </c>
      <c r="I51" s="116">
        <f t="shared" si="7"/>
        <v>150</v>
      </c>
      <c r="J51" s="116">
        <f t="shared" si="7"/>
        <v>0</v>
      </c>
      <c r="K51" s="116">
        <f t="shared" si="7"/>
        <v>0</v>
      </c>
      <c r="L51" s="116">
        <f t="shared" si="7"/>
        <v>0</v>
      </c>
      <c r="M51" s="116">
        <f t="shared" si="7"/>
        <v>0</v>
      </c>
      <c r="N51" s="116">
        <f t="shared" si="7"/>
        <v>0</v>
      </c>
      <c r="O51" s="135">
        <f t="shared" si="7"/>
        <v>145.5</v>
      </c>
    </row>
    <row r="52" spans="1:16" x14ac:dyDescent="0.2">
      <c r="A52" s="220"/>
      <c r="B52" s="2" t="s">
        <v>31</v>
      </c>
      <c r="C52" s="103">
        <f t="shared" si="7"/>
        <v>130</v>
      </c>
      <c r="D52" s="103">
        <f t="shared" si="7"/>
        <v>126.11111111111111</v>
      </c>
      <c r="E52" s="103">
        <f t="shared" si="7"/>
        <v>155</v>
      </c>
      <c r="F52" s="103">
        <f t="shared" si="7"/>
        <v>0</v>
      </c>
      <c r="G52" s="103">
        <f t="shared" si="7"/>
        <v>0</v>
      </c>
      <c r="H52" s="103">
        <f t="shared" si="7"/>
        <v>50</v>
      </c>
      <c r="I52" s="103">
        <f t="shared" si="7"/>
        <v>62.5</v>
      </c>
      <c r="J52" s="103">
        <f t="shared" si="7"/>
        <v>110</v>
      </c>
      <c r="K52" s="103">
        <f t="shared" si="7"/>
        <v>50</v>
      </c>
      <c r="L52" s="103">
        <f t="shared" si="7"/>
        <v>145</v>
      </c>
      <c r="M52" s="103">
        <f t="shared" si="7"/>
        <v>0</v>
      </c>
      <c r="N52" s="103">
        <f t="shared" si="7"/>
        <v>0</v>
      </c>
      <c r="O52" s="136">
        <f t="shared" si="7"/>
        <v>102.85714285714286</v>
      </c>
    </row>
    <row r="53" spans="1:16" x14ac:dyDescent="0.2">
      <c r="A53" s="220"/>
      <c r="B53" s="2" t="s">
        <v>35</v>
      </c>
      <c r="C53" s="103">
        <f t="shared" si="7"/>
        <v>203.33333333333334</v>
      </c>
      <c r="D53" s="103">
        <f t="shared" si="7"/>
        <v>217</v>
      </c>
      <c r="E53" s="103">
        <f t="shared" si="7"/>
        <v>245</v>
      </c>
      <c r="F53" s="103">
        <f t="shared" si="7"/>
        <v>0</v>
      </c>
      <c r="G53" s="103">
        <f t="shared" si="7"/>
        <v>0</v>
      </c>
      <c r="H53" s="103">
        <f t="shared" si="7"/>
        <v>247.5</v>
      </c>
      <c r="I53" s="103">
        <f t="shared" si="7"/>
        <v>207.22222222222223</v>
      </c>
      <c r="J53" s="103">
        <f t="shared" si="7"/>
        <v>236.25</v>
      </c>
      <c r="K53" s="103">
        <f t="shared" si="7"/>
        <v>198.33333333333334</v>
      </c>
      <c r="L53" s="103">
        <f t="shared" si="7"/>
        <v>0</v>
      </c>
      <c r="M53" s="103">
        <f t="shared" si="7"/>
        <v>0</v>
      </c>
      <c r="N53" s="103">
        <f t="shared" si="7"/>
        <v>0</v>
      </c>
      <c r="O53" s="136">
        <f t="shared" si="7"/>
        <v>215</v>
      </c>
    </row>
    <row r="54" spans="1:16" ht="15.75" thickBot="1" x14ac:dyDescent="0.25">
      <c r="A54" s="221"/>
      <c r="B54" s="121" t="s">
        <v>172</v>
      </c>
      <c r="C54" s="122">
        <f>IF(C50=0,0,C46/C50)</f>
        <v>168.57142857142858</v>
      </c>
      <c r="D54" s="122">
        <f>IF(D50=0,0,D46/D50)</f>
        <v>155</v>
      </c>
      <c r="E54" s="122">
        <f>IF(E50=0,0,E46/E50)</f>
        <v>175</v>
      </c>
      <c r="F54" s="122">
        <f t="shared" si="7"/>
        <v>0</v>
      </c>
      <c r="G54" s="122">
        <f t="shared" si="7"/>
        <v>0</v>
      </c>
      <c r="H54" s="122">
        <f t="shared" si="7"/>
        <v>148.125</v>
      </c>
      <c r="I54" s="122">
        <f t="shared" si="7"/>
        <v>139.72222222222223</v>
      </c>
      <c r="J54" s="122">
        <f t="shared" si="7"/>
        <v>209.28571428571428</v>
      </c>
      <c r="K54" s="122">
        <f t="shared" si="7"/>
        <v>199.16499999999999</v>
      </c>
      <c r="L54" s="122">
        <f t="shared" si="7"/>
        <v>172.50000000000003</v>
      </c>
      <c r="M54" s="122">
        <f>IF(M50=0,0,M46/M50)</f>
        <v>0</v>
      </c>
      <c r="N54" s="122">
        <f>IF(N50=0,0,N46/N50)</f>
        <v>100</v>
      </c>
      <c r="O54" s="137">
        <f>IF(O50=0,0,O46/O50)</f>
        <v>162.67430232558138</v>
      </c>
      <c r="P54" s="48">
        <f>G14</f>
        <v>0</v>
      </c>
    </row>
    <row r="55" spans="1:16" x14ac:dyDescent="0.2">
      <c r="A55" s="222" t="s">
        <v>284</v>
      </c>
      <c r="B55" s="2" t="s">
        <v>172</v>
      </c>
      <c r="C55" s="87">
        <f>SUMIFS(Tabla2[IMPORT],Tabla2[ANY],'Cuadro de mando 2021'!$A$42,Tabla2[MES],'Cuadro de mando 2021'!C$42,Tabla2[TIPO DESPESA],"VARIABLE")</f>
        <v>357.19</v>
      </c>
      <c r="D55" s="87">
        <f>SUMIFS(Tabla2[IMPORT],Tabla2[ANY],'Cuadro de mando 2021'!$A$42,Tabla2[MES],'Cuadro de mando 2021'!D$42,Tabla2[TIPO DESPESA],"VARIABLE")</f>
        <v>415.16</v>
      </c>
      <c r="E55" s="87">
        <f>SUMIFS(Tabla2[IMPORT],Tabla2[ANY],'Cuadro de mando 2021'!$A$42,Tabla2[MES],'Cuadro de mando 2021'!E$42,Tabla2[TIPO DESPESA],"VARIABLE")</f>
        <v>18.61</v>
      </c>
      <c r="F55" s="87">
        <f>SUMIFS(Tabla2[IMPORT],Tabla2[ANY],'Cuadro de mando 2021'!$A$42,Tabla2[MES],'Cuadro de mando 2021'!F$42,Tabla2[TIPO DESPESA],"VARIABLE")</f>
        <v>0</v>
      </c>
      <c r="G55" s="87">
        <f>SUMIFS(Tabla2[IMPORT],Tabla2[ANY],'Cuadro de mando 2021'!$A$42,Tabla2[MES],'Cuadro de mando 2021'!G$42,Tabla2[TIPO DESPESA],"VARIABLE")</f>
        <v>187.15</v>
      </c>
      <c r="H55" s="87">
        <f>SUMIFS(Tabla2[IMPORT],Tabla2[ANY],'Cuadro de mando 2021'!$A$42,Tabla2[MES],'Cuadro de mando 2021'!H$42,Tabla2[TIPO DESPESA],"VARIABLE")</f>
        <v>144.07999999999998</v>
      </c>
      <c r="I55" s="87">
        <f>SUMIFS(Tabla2[IMPORT],Tabla2[ANY],'Cuadro de mando 2021'!$A$42,Tabla2[MES],'Cuadro de mando 2021'!I$42,Tabla2[TIPO DESPESA],"VARIABLE")</f>
        <v>331.03</v>
      </c>
      <c r="J55" s="87">
        <f>SUMIFS(Tabla2[IMPORT],Tabla2[ANY],'Cuadro de mando 2021'!$A$42,Tabla2[MES],'Cuadro de mando 2021'!J$42,Tabla2[TIPO DESPESA],"VARIABLE")</f>
        <v>165.52</v>
      </c>
      <c r="K55" s="87">
        <f>SUMIFS(Tabla2[IMPORT],Tabla2[ANY],'Cuadro de mando 2021'!$A$42,Tabla2[MES],'Cuadro de mando 2021'!K$42,Tabla2[TIPO DESPESA],"VARIABLE")</f>
        <v>81.93</v>
      </c>
      <c r="L55" s="87">
        <f>SUMIFS(Tabla2[IMPORT],Tabla2[ANY],'Cuadro de mando 2021'!$A$42,Tabla2[MES],'Cuadro de mando 2021'!L$42,Tabla2[TIPO DESPESA],"VARIABLE")</f>
        <v>0</v>
      </c>
      <c r="M55" s="87">
        <f>SUMIFS(Tabla2[IMPORT],Tabla2[ANY],'Cuadro de mando 2021'!$A$42,Tabla2[MES],'Cuadro de mando 2021'!M$42,Tabla2[TIPO DESPESA],"VARIABLE")</f>
        <v>0</v>
      </c>
      <c r="N55" s="87">
        <f>SUMIFS(Tabla2[IMPORT],Tabla2[ANY],'Cuadro de mando 2021'!$A$42,Tabla2[MES],'Cuadro de mando 2021'!N$42,Tabla2[TIPO DESPESA],"VARIABLE")</f>
        <v>77.94</v>
      </c>
      <c r="O55" s="87">
        <f>SUM(C55:N55)</f>
        <v>1778.6100000000001</v>
      </c>
    </row>
    <row r="56" spans="1:16" ht="15.75" thickBot="1" x14ac:dyDescent="0.25">
      <c r="A56" s="222"/>
      <c r="B56" s="111" t="s">
        <v>286</v>
      </c>
      <c r="C56" s="112">
        <f>IF(C50=0,0,C55/C50)</f>
        <v>17.009047619047617</v>
      </c>
      <c r="D56" s="112">
        <f>IF(D50=0,0,D55/D50)</f>
        <v>21.850526315789477</v>
      </c>
      <c r="E56" s="112">
        <f>IF(E50=0,0,E55/E50)</f>
        <v>4.6524999999999999</v>
      </c>
      <c r="F56" s="112">
        <f t="shared" ref="F56:L56" si="8">IF(F50=0,0,F55/F50)</f>
        <v>0</v>
      </c>
      <c r="G56" s="112">
        <f t="shared" si="8"/>
        <v>0</v>
      </c>
      <c r="H56" s="112">
        <f t="shared" si="8"/>
        <v>18.009999999999998</v>
      </c>
      <c r="I56" s="112">
        <f t="shared" si="8"/>
        <v>18.390555555555554</v>
      </c>
      <c r="J56" s="112">
        <f t="shared" si="8"/>
        <v>23.645714285714288</v>
      </c>
      <c r="K56" s="112">
        <f t="shared" si="8"/>
        <v>13.655000000000001</v>
      </c>
      <c r="L56" s="112">
        <f t="shared" si="8"/>
        <v>0</v>
      </c>
      <c r="M56" s="112">
        <f>IF(M50=0,0,M55/M50)</f>
        <v>0</v>
      </c>
      <c r="N56" s="112">
        <f>IF(N50=0,0,N55/N50)</f>
        <v>77.94</v>
      </c>
      <c r="O56" s="138">
        <f>IF(O50=0,0,O55/O50)</f>
        <v>20.681511627906978</v>
      </c>
      <c r="P56" s="48">
        <f>I21</f>
        <v>21.57288461538462</v>
      </c>
    </row>
    <row r="57" spans="1:16" ht="15.75" thickBot="1" x14ac:dyDescent="0.25">
      <c r="A57" s="223" t="s">
        <v>288</v>
      </c>
      <c r="B57" s="224"/>
      <c r="C57" s="110">
        <f>IF(C54=0,0,1-(C56/C54))</f>
        <v>0.89909887005649725</v>
      </c>
      <c r="D57" s="110">
        <f>IF(D54=0,0,1-(D56/D54))</f>
        <v>0.85902886247877763</v>
      </c>
      <c r="E57" s="110">
        <f>IF(E54=0,0,1-(E56/E54))</f>
        <v>0.97341428571428568</v>
      </c>
      <c r="F57" s="110">
        <f t="shared" ref="F57:L57" si="9">IF(F54=0,0,1-(F56/F54))</f>
        <v>0</v>
      </c>
      <c r="G57" s="110">
        <f t="shared" si="9"/>
        <v>0</v>
      </c>
      <c r="H57" s="110">
        <f t="shared" si="9"/>
        <v>0.8784135021097047</v>
      </c>
      <c r="I57" s="110">
        <f t="shared" si="9"/>
        <v>0.86837773359840953</v>
      </c>
      <c r="J57" s="110">
        <f t="shared" si="9"/>
        <v>0.8870170648464164</v>
      </c>
      <c r="K57" s="110">
        <f t="shared" si="9"/>
        <v>0.93143875680968047</v>
      </c>
      <c r="L57" s="110">
        <f t="shared" si="9"/>
        <v>1</v>
      </c>
      <c r="M57" s="110">
        <f>IF(M54=0,0,1-(M56/M54))</f>
        <v>0</v>
      </c>
      <c r="N57" s="110">
        <f>IF(N54=0,0,1-(N56/N54))</f>
        <v>0.22060000000000002</v>
      </c>
      <c r="O57" s="139">
        <f>IF(O54=0,0,1-(O56/O54))</f>
        <v>0.8728655274235364</v>
      </c>
    </row>
    <row r="58" spans="1:16" x14ac:dyDescent="0.2">
      <c r="A58" s="211" t="s">
        <v>285</v>
      </c>
      <c r="B58" s="114" t="s">
        <v>172</v>
      </c>
      <c r="C58" s="87">
        <f>SUMIFS(Tabla2[IMPORT],Tabla2[ANY],'Cuadro de mando 2021'!$A$42,Tabla2[MES],'Cuadro de mando 2021'!C$42,Tabla2[TIPO DESPESA],"FIX")</f>
        <v>2309.7600000000002</v>
      </c>
      <c r="D58" s="87">
        <f>SUMIFS(Tabla2[IMPORT],Tabla2[ANY],'Cuadro de mando 2021'!$A$42,Tabla2[MES],'Cuadro de mando 2021'!D$42,Tabla2[TIPO DESPESA],"FIX")</f>
        <v>627.33999999999992</v>
      </c>
      <c r="E58" s="87">
        <f>SUMIFS(Tabla2[IMPORT],Tabla2[ANY],'Cuadro de mando 2021'!$A$42,Tabla2[MES],'Cuadro de mando 2021'!E$42,Tabla2[TIPO DESPESA],"FIX")</f>
        <v>535.04</v>
      </c>
      <c r="F58" s="87">
        <f>SUMIFS(Tabla2[IMPORT],Tabla2[ANY],'Cuadro de mando 2021'!$A$42,Tabla2[MES],'Cuadro de mando 2021'!F$42,Tabla2[TIPO DESPESA],"FIX")</f>
        <v>55.34</v>
      </c>
      <c r="G58" s="87">
        <f>SUMIFS(Tabla2[IMPORT],Tabla2[ANY],'Cuadro de mando 2021'!$A$42,Tabla2[MES],'Cuadro de mando 2021'!G$42,Tabla2[TIPO DESPESA],"FIX")</f>
        <v>147</v>
      </c>
      <c r="H58" s="87">
        <f>SUMIFS(Tabla2[IMPORT],Tabla2[ANY],'Cuadro de mando 2021'!$A$42,Tabla2[MES],'Cuadro de mando 2021'!H$42,Tabla2[TIPO DESPESA],"FIX")</f>
        <v>209</v>
      </c>
      <c r="I58" s="87">
        <f>SUMIFS(Tabla2[IMPORT],Tabla2[ANY],'Cuadro de mando 2021'!$A$42,Tabla2[MES],'Cuadro de mando 2021'!I$42,Tabla2[TIPO DESPESA],"FIX")</f>
        <v>653</v>
      </c>
      <c r="J58" s="87">
        <f>SUMIFS(Tabla2[IMPORT],Tabla2[ANY],'Cuadro de mando 2021'!$A$42,Tabla2[MES],'Cuadro de mando 2021'!J$42,Tabla2[TIPO DESPESA],"FIX")</f>
        <v>599.99</v>
      </c>
      <c r="K58" s="87">
        <f>SUMIFS(Tabla2[IMPORT],Tabla2[ANY],'Cuadro de mando 2021'!$A$42,Tabla2[MES],'Cuadro de mando 2021'!K$42,Tabla2[TIPO DESPESA],"FIX")</f>
        <v>613.66999999999996</v>
      </c>
      <c r="L58" s="87">
        <f>SUMIFS(Tabla2[IMPORT],Tabla2[ANY],'Cuadro de mando 2021'!$A$42,Tabla2[MES],'Cuadro de mando 2021'!L$42,Tabla2[TIPO DESPESA],"FIX")</f>
        <v>631.49</v>
      </c>
      <c r="M58" s="87">
        <f>SUMIFS(Tabla2[IMPORT],Tabla2[ANY],'Cuadro de mando 2021'!$A$42,Tabla2[MES],'Cuadro de mando 2021'!M$42,Tabla2[TIPO DESPESA],"FIX")</f>
        <v>57</v>
      </c>
      <c r="N58" s="87">
        <f>SUMIFS(Tabla2[IMPORT],Tabla2[ANY],'Cuadro de mando 2021'!$A$42,Tabla2[MES],'Cuadro de mando 2021'!N$42,Tabla2[TIPO DESPESA],"FIX")</f>
        <v>237</v>
      </c>
      <c r="O58" s="87">
        <f>SUM(C58:N58)</f>
        <v>6675.63</v>
      </c>
    </row>
    <row r="59" spans="1:16" ht="15.75" thickBot="1" x14ac:dyDescent="0.25">
      <c r="A59" s="212"/>
      <c r="B59" s="145" t="s">
        <v>286</v>
      </c>
      <c r="C59" s="146">
        <f>IF(C50=0,0,C58/C50)</f>
        <v>109.98857142857143</v>
      </c>
      <c r="D59" s="146">
        <f t="shared" ref="D59:O59" si="10">IF(D50=0,0,D58/D50)</f>
        <v>33.017894736842102</v>
      </c>
      <c r="E59" s="146">
        <f t="shared" si="10"/>
        <v>133.76</v>
      </c>
      <c r="F59" s="146">
        <f t="shared" si="10"/>
        <v>0</v>
      </c>
      <c r="G59" s="146">
        <f t="shared" si="10"/>
        <v>0</v>
      </c>
      <c r="H59" s="146">
        <f t="shared" si="10"/>
        <v>26.125</v>
      </c>
      <c r="I59" s="146">
        <f t="shared" si="10"/>
        <v>36.277777777777779</v>
      </c>
      <c r="J59" s="146">
        <f t="shared" si="10"/>
        <v>85.712857142857146</v>
      </c>
      <c r="K59" s="146">
        <f t="shared" si="10"/>
        <v>102.27833333333332</v>
      </c>
      <c r="L59" s="146">
        <f t="shared" si="10"/>
        <v>315.745</v>
      </c>
      <c r="M59" s="146">
        <f t="shared" si="10"/>
        <v>0</v>
      </c>
      <c r="N59" s="146">
        <f t="shared" si="10"/>
        <v>237</v>
      </c>
      <c r="O59" s="147">
        <f t="shared" si="10"/>
        <v>77.623604651162793</v>
      </c>
      <c r="P59" s="48">
        <f>I20</f>
        <v>104.56307692307691</v>
      </c>
    </row>
    <row r="60" spans="1:16" x14ac:dyDescent="0.2">
      <c r="A60" s="225" t="s">
        <v>291</v>
      </c>
      <c r="B60" s="143" t="s">
        <v>172</v>
      </c>
      <c r="C60" s="87">
        <f>C55+C58</f>
        <v>2666.9500000000003</v>
      </c>
      <c r="D60" s="87">
        <f t="shared" ref="D60:O60" si="11">D55+D58</f>
        <v>1042.5</v>
      </c>
      <c r="E60" s="87">
        <f t="shared" si="11"/>
        <v>553.65</v>
      </c>
      <c r="F60" s="87">
        <f t="shared" si="11"/>
        <v>55.34</v>
      </c>
      <c r="G60" s="87">
        <f t="shared" si="11"/>
        <v>334.15</v>
      </c>
      <c r="H60" s="87">
        <f t="shared" si="11"/>
        <v>353.08</v>
      </c>
      <c r="I60" s="87">
        <f t="shared" si="11"/>
        <v>984.03</v>
      </c>
      <c r="J60" s="87">
        <f t="shared" si="11"/>
        <v>765.51</v>
      </c>
      <c r="K60" s="87">
        <f t="shared" si="11"/>
        <v>695.59999999999991</v>
      </c>
      <c r="L60" s="87">
        <f t="shared" si="11"/>
        <v>631.49</v>
      </c>
      <c r="M60" s="87">
        <f t="shared" si="11"/>
        <v>57</v>
      </c>
      <c r="N60" s="87">
        <f t="shared" si="11"/>
        <v>314.94</v>
      </c>
      <c r="O60" s="144">
        <f t="shared" si="11"/>
        <v>8454.24</v>
      </c>
      <c r="P60" s="79">
        <f>'2021'!Z40</f>
        <v>6559.0700000000006</v>
      </c>
    </row>
    <row r="61" spans="1:16" ht="15.75" thickBot="1" x14ac:dyDescent="0.25">
      <c r="A61" s="226"/>
      <c r="B61" s="111" t="s">
        <v>286</v>
      </c>
      <c r="C61" s="113">
        <f>IF(C50=0,0,C60/C50)</f>
        <v>126.99761904761905</v>
      </c>
      <c r="D61" s="113">
        <f t="shared" ref="D61:O61" si="12">IF(D50=0,0,D60/D50)</f>
        <v>54.868421052631582</v>
      </c>
      <c r="E61" s="113">
        <f t="shared" si="12"/>
        <v>138.41249999999999</v>
      </c>
      <c r="F61" s="113">
        <f t="shared" si="12"/>
        <v>0</v>
      </c>
      <c r="G61" s="113">
        <f t="shared" si="12"/>
        <v>0</v>
      </c>
      <c r="H61" s="113">
        <f t="shared" si="12"/>
        <v>44.134999999999998</v>
      </c>
      <c r="I61" s="113">
        <f t="shared" si="12"/>
        <v>54.668333333333329</v>
      </c>
      <c r="J61" s="113">
        <f t="shared" si="12"/>
        <v>109.35857142857142</v>
      </c>
      <c r="K61" s="113">
        <f t="shared" si="12"/>
        <v>115.93333333333332</v>
      </c>
      <c r="L61" s="113">
        <f t="shared" si="12"/>
        <v>315.745</v>
      </c>
      <c r="M61" s="113">
        <f t="shared" si="12"/>
        <v>0</v>
      </c>
      <c r="N61" s="113">
        <f t="shared" si="12"/>
        <v>314.94</v>
      </c>
      <c r="O61" s="140">
        <f t="shared" si="12"/>
        <v>98.305116279069765</v>
      </c>
    </row>
    <row r="62" spans="1:16" ht="15.75" thickBot="1" x14ac:dyDescent="0.25">
      <c r="A62" s="223" t="s">
        <v>280</v>
      </c>
      <c r="B62" s="224"/>
      <c r="C62" s="110">
        <f>IF(C54=0,0,1-(C61/C54))</f>
        <v>0.2466242937853107</v>
      </c>
      <c r="D62" s="110">
        <f>IF(D54=0,0,1-(D61/D54))</f>
        <v>0.64601018675721567</v>
      </c>
      <c r="E62" s="110">
        <f t="shared" ref="E62:O62" si="13">IF(E54=0,0,1-(E61/E54))</f>
        <v>0.20907142857142857</v>
      </c>
      <c r="F62" s="110">
        <f t="shared" si="13"/>
        <v>0</v>
      </c>
      <c r="G62" s="110">
        <f t="shared" si="13"/>
        <v>0</v>
      </c>
      <c r="H62" s="110">
        <f t="shared" si="13"/>
        <v>0.70204219409282698</v>
      </c>
      <c r="I62" s="110">
        <f t="shared" si="13"/>
        <v>0.60873558648111337</v>
      </c>
      <c r="J62" s="110">
        <f t="shared" si="13"/>
        <v>0.47746757679180885</v>
      </c>
      <c r="K62" s="110">
        <f t="shared" si="13"/>
        <v>0.41790307868685095</v>
      </c>
      <c r="L62" s="110">
        <f t="shared" si="13"/>
        <v>-0.83040579710144891</v>
      </c>
      <c r="M62" s="110">
        <f t="shared" si="13"/>
        <v>0</v>
      </c>
      <c r="N62" s="110">
        <f t="shared" si="13"/>
        <v>-2.1494</v>
      </c>
      <c r="O62" s="110">
        <f t="shared" si="13"/>
        <v>0.39569363523490719</v>
      </c>
    </row>
    <row r="63" spans="1:16" x14ac:dyDescent="0.2">
      <c r="A63" s="227" t="s">
        <v>273</v>
      </c>
      <c r="B63" s="114" t="s">
        <v>172</v>
      </c>
      <c r="C63" s="116">
        <f>SUMIFS(Tabla2[IMPORT],Tabla2[ANY],'Cuadro de mando 2021'!$A$42,Tabla2[MES],'Cuadro de mando 2021'!C$42,Tabla2[TIPO DESPESA],"INVERSIONS")</f>
        <v>377</v>
      </c>
      <c r="D63" s="116">
        <f>SUMIFS(Tabla2[IMPORT],Tabla2[ANY],'Cuadro de mando 2021'!$A$42,Tabla2[MES],'Cuadro de mando 2021'!D$42,Tabla2[TIPO DESPESA],"INVERSIONS")</f>
        <v>171.59</v>
      </c>
      <c r="E63" s="116">
        <f>SUMIFS(Tabla2[IMPORT],Tabla2[ANY],'Cuadro de mando 2021'!$A$42,Tabla2[MES],'Cuadro de mando 2021'!E$42,Tabla2[TIPO DESPESA],"INVERSIONS")</f>
        <v>0</v>
      </c>
      <c r="F63" s="116">
        <f>SUMIFS(Tabla2[IMPORT],Tabla2[ANY],'Cuadro de mando 2021'!$A$42,Tabla2[MES],'Cuadro de mando 2021'!F$42,Tabla2[TIPO DESPESA],"INVERSIONS")</f>
        <v>0</v>
      </c>
      <c r="G63" s="116">
        <f>SUMIFS(Tabla2[IMPORT],Tabla2[ANY],'Cuadro de mando 2021'!$A$42,Tabla2[MES],'Cuadro de mando 2021'!G$42,Tabla2[TIPO DESPESA],"INVERSIONS")</f>
        <v>0</v>
      </c>
      <c r="H63" s="116">
        <f>SUMIFS(Tabla2[IMPORT],Tabla2[ANY],'Cuadro de mando 2021'!$A$42,Tabla2[MES],'Cuadro de mando 2021'!H$42,Tabla2[TIPO DESPESA],"INVERSIONS")</f>
        <v>0</v>
      </c>
      <c r="I63" s="116">
        <f>SUMIFS(Tabla2[IMPORT],Tabla2[ANY],'Cuadro de mando 2021'!$A$42,Tabla2[MES],'Cuadro de mando 2021'!I$42,Tabla2[TIPO DESPESA],"INVERSIONS")</f>
        <v>0</v>
      </c>
      <c r="J63" s="116">
        <f>SUMIFS(Tabla2[IMPORT],Tabla2[ANY],'Cuadro de mando 2021'!$A$42,Tabla2[MES],'Cuadro de mando 2021'!J$42,Tabla2[TIPO DESPESA],"INVERSIONS")</f>
        <v>0</v>
      </c>
      <c r="K63" s="116">
        <f>SUMIFS(Tabla2[IMPORT],Tabla2[ANY],'Cuadro de mando 2021'!$A$42,Tabla2[MES],'Cuadro de mando 2021'!K$42,Tabla2[TIPO DESPESA],"INVERSIONS")</f>
        <v>0</v>
      </c>
      <c r="L63" s="116">
        <f>SUMIFS(Tabla2[IMPORT],Tabla2[ANY],'Cuadro de mando 2021'!$A$42,Tabla2[MES],'Cuadro de mando 2021'!L$42,Tabla2[TIPO DESPESA],"INVERSIONS")</f>
        <v>0</v>
      </c>
      <c r="M63" s="116">
        <f>SUMIFS(Tabla2[IMPORT],Tabla2[ANY],'Cuadro de mando 2021'!$A$42,Tabla2[MES],'Cuadro de mando 2021'!M$42,Tabla2[TIPO DESPESA],"INVERSIONS")</f>
        <v>0</v>
      </c>
      <c r="N63" s="116">
        <f>SUMIFS(Tabla2[IMPORT],Tabla2[ANY],'Cuadro de mando 2021'!$A$42,Tabla2[MES],'Cuadro de mando 2021'!N$42,Tabla2[TIPO DESPESA],"INVERSIONS")</f>
        <v>0</v>
      </c>
      <c r="O63" s="133">
        <f>SUM(C63:N63)</f>
        <v>548.59</v>
      </c>
    </row>
    <row r="64" spans="1:16" ht="15.75" thickBot="1" x14ac:dyDescent="0.25">
      <c r="A64" s="228"/>
      <c r="B64" s="123" t="s">
        <v>286</v>
      </c>
      <c r="C64" s="124">
        <f>IF(C54=0,0,C63/C54)</f>
        <v>2.2364406779661015</v>
      </c>
      <c r="D64" s="124">
        <f>IF(D54=0,0,D63/D54)</f>
        <v>1.1070322580645162</v>
      </c>
      <c r="E64" s="124">
        <f>IF(E54=0,0,E63/E54)</f>
        <v>0</v>
      </c>
      <c r="F64" s="124">
        <f t="shared" ref="F64:L64" si="14">IF(F54=0,0,F63/F54)</f>
        <v>0</v>
      </c>
      <c r="G64" s="124">
        <f t="shared" si="14"/>
        <v>0</v>
      </c>
      <c r="H64" s="124">
        <f t="shared" si="14"/>
        <v>0</v>
      </c>
      <c r="I64" s="124">
        <f t="shared" si="14"/>
        <v>0</v>
      </c>
      <c r="J64" s="124">
        <f t="shared" si="14"/>
        <v>0</v>
      </c>
      <c r="K64" s="124">
        <f t="shared" si="14"/>
        <v>0</v>
      </c>
      <c r="L64" s="124">
        <f t="shared" si="14"/>
        <v>0</v>
      </c>
      <c r="M64" s="124">
        <f>IF(M54=0,0,M63/M54)</f>
        <v>0</v>
      </c>
      <c r="N64" s="124">
        <f>IF(N54=0,0,N63/N54)</f>
        <v>0</v>
      </c>
      <c r="O64" s="141">
        <f>IF(O54=0,0,O63/O54)</f>
        <v>3.3723212096649111</v>
      </c>
    </row>
    <row r="65" spans="1:16" x14ac:dyDescent="0.2">
      <c r="A65" s="229" t="s">
        <v>188</v>
      </c>
      <c r="B65" s="2" t="s">
        <v>172</v>
      </c>
      <c r="C65" s="103">
        <f>SUMIFS(Tabla2[IMPORT],Tabla2[ANY],'Cuadro de mando 2021'!$A$42,Tabla2[MES],'Cuadro de mando 2021'!C$42,Tabla2[TIPO DESPESA],"IMPOSTOS")</f>
        <v>0</v>
      </c>
      <c r="D65" s="103">
        <f>SUMIFS(Tabla2[IMPORT],Tabla2[ANY],'Cuadro de mando 2021'!$A$42,Tabla2[MES],'Cuadro de mando 2021'!D$42,Tabla2[TIPO DESPESA],"IMPOSTOS")</f>
        <v>0</v>
      </c>
      <c r="E65" s="103">
        <f>SUMIFS(Tabla2[IMPORT],Tabla2[ANY],'Cuadro de mando 2021'!$A$42,Tabla2[MES],'Cuadro de mando 2021'!E$42,Tabla2[TIPO DESPESA],"IMPOSTOS")</f>
        <v>0</v>
      </c>
      <c r="F65" s="103">
        <f>SUMIFS(Tabla2[IMPORT],Tabla2[ANY],'Cuadro de mando 2021'!$A$42,Tabla2[MES],'Cuadro de mando 2021'!F$42,Tabla2[TIPO DESPESA],"IMPOSTOS")</f>
        <v>0</v>
      </c>
      <c r="G65" s="103">
        <f>SUMIFS(Tabla2[IMPORT],Tabla2[ANY],'Cuadro de mando 2021'!$A$42,Tabla2[MES],'Cuadro de mando 2021'!G$42,Tabla2[TIPO DESPESA],"IMPOSTOS")</f>
        <v>403.55</v>
      </c>
      <c r="H65" s="103">
        <f>SUMIFS(Tabla2[IMPORT],Tabla2[ANY],'Cuadro de mando 2021'!$A$42,Tabla2[MES],'Cuadro de mando 2021'!H$42,Tabla2[TIPO DESPESA],"IMPOSTOS")</f>
        <v>0</v>
      </c>
      <c r="I65" s="103">
        <f>SUMIFS(Tabla2[IMPORT],Tabla2[ANY],'Cuadro de mando 2021'!$A$42,Tabla2[MES],'Cuadro de mando 2021'!I$42,Tabla2[TIPO DESPESA],"IMPOSTOS")</f>
        <v>0</v>
      </c>
      <c r="J65" s="103">
        <f>SUMIFS(Tabla2[IMPORT],Tabla2[ANY],'Cuadro de mando 2021'!$A$42,Tabla2[MES],'Cuadro de mando 2021'!J$42,Tabla2[TIPO DESPESA],"IMPOSTOS")</f>
        <v>0</v>
      </c>
      <c r="K65" s="103">
        <f>SUMIFS(Tabla2[IMPORT],Tabla2[ANY],'Cuadro de mando 2021'!$A$42,Tabla2[MES],'Cuadro de mando 2021'!K$42,Tabla2[TIPO DESPESA],"IMPOSTOS")</f>
        <v>0</v>
      </c>
      <c r="L65" s="103">
        <f>SUMIFS(Tabla2[IMPORT],Tabla2[ANY],'Cuadro de mando 2021'!$A$42,Tabla2[MES],'Cuadro de mando 2021'!L$42,Tabla2[TIPO DESPESA],"IMPOSTOS")</f>
        <v>422.99</v>
      </c>
      <c r="M65" s="103">
        <f>SUMIFS(Tabla2[IMPORT],Tabla2[ANY],'Cuadro de mando 2021'!$A$42,Tabla2[MES],'Cuadro de mando 2021'!M$42,Tabla2[TIPO DESPESA],"IMPOSTOS")</f>
        <v>0</v>
      </c>
      <c r="N65" s="103">
        <f>SUMIFS(Tabla2[IMPORT],Tabla2[ANY],'Cuadro de mando 2021'!$A$42,Tabla2[MES],'Cuadro de mando 2021'!N$42,Tabla2[TIPO DESPESA],"IMPOSTOS")</f>
        <v>57</v>
      </c>
      <c r="O65" s="131">
        <f>SUM(C65:N65)</f>
        <v>883.54</v>
      </c>
    </row>
    <row r="66" spans="1:16" ht="15.75" thickBot="1" x14ac:dyDescent="0.25">
      <c r="A66" s="229"/>
      <c r="B66" s="125" t="s">
        <v>286</v>
      </c>
      <c r="C66" s="126">
        <f>IF(C54=0,0,C65/C54)</f>
        <v>0</v>
      </c>
      <c r="D66" s="126">
        <f>IF(D54=0,0,D65/D54)</f>
        <v>0</v>
      </c>
      <c r="E66" s="126">
        <f>IF(E54=0,0,E65/E54)</f>
        <v>0</v>
      </c>
      <c r="F66" s="126">
        <f t="shared" ref="F66:L66" si="15">IF(F54=0,0,F65/F54)</f>
        <v>0</v>
      </c>
      <c r="G66" s="126">
        <f t="shared" si="15"/>
        <v>0</v>
      </c>
      <c r="H66" s="126">
        <f t="shared" si="15"/>
        <v>0</v>
      </c>
      <c r="I66" s="126">
        <f t="shared" si="15"/>
        <v>0</v>
      </c>
      <c r="J66" s="126">
        <f t="shared" si="15"/>
        <v>0</v>
      </c>
      <c r="K66" s="126">
        <f t="shared" si="15"/>
        <v>0</v>
      </c>
      <c r="L66" s="126">
        <f t="shared" si="15"/>
        <v>2.4521159420289851</v>
      </c>
      <c r="M66" s="126">
        <f>IF(M54=0,0,M65/M54)</f>
        <v>0</v>
      </c>
      <c r="N66" s="126">
        <f>IF(N54=0,0,N65/N54)</f>
        <v>0.56999999999999995</v>
      </c>
      <c r="O66" s="142">
        <f>IF(O54=0,0,O65/O54)</f>
        <v>5.4313434105385356</v>
      </c>
    </row>
    <row r="67" spans="1:16" x14ac:dyDescent="0.2">
      <c r="A67" s="225" t="s">
        <v>290</v>
      </c>
      <c r="B67" s="143" t="s">
        <v>172</v>
      </c>
      <c r="C67" s="87">
        <f>C60+C63+C65</f>
        <v>3043.9500000000003</v>
      </c>
      <c r="D67" s="87">
        <f t="shared" ref="D67:N67" si="16">D60+D63+D65</f>
        <v>1214.0899999999999</v>
      </c>
      <c r="E67" s="87">
        <f t="shared" si="16"/>
        <v>553.65</v>
      </c>
      <c r="F67" s="87">
        <f t="shared" si="16"/>
        <v>55.34</v>
      </c>
      <c r="G67" s="87">
        <f t="shared" si="16"/>
        <v>737.7</v>
      </c>
      <c r="H67" s="87">
        <f t="shared" si="16"/>
        <v>353.08</v>
      </c>
      <c r="I67" s="87">
        <f t="shared" si="16"/>
        <v>984.03</v>
      </c>
      <c r="J67" s="87">
        <f t="shared" si="16"/>
        <v>765.51</v>
      </c>
      <c r="K67" s="87">
        <f t="shared" si="16"/>
        <v>695.59999999999991</v>
      </c>
      <c r="L67" s="87">
        <f t="shared" si="16"/>
        <v>1054.48</v>
      </c>
      <c r="M67" s="87">
        <f t="shared" si="16"/>
        <v>57</v>
      </c>
      <c r="N67" s="87">
        <f t="shared" si="16"/>
        <v>371.94</v>
      </c>
      <c r="O67" s="87">
        <f>O60+O63+O65</f>
        <v>9886.369999999999</v>
      </c>
      <c r="P67" s="48">
        <f>'Cuadro de mando 2021'!H24</f>
        <v>8604.2799999999988</v>
      </c>
    </row>
    <row r="68" spans="1:16" ht="15.75" thickBot="1" x14ac:dyDescent="0.25">
      <c r="A68" s="226"/>
      <c r="B68" s="111" t="s">
        <v>286</v>
      </c>
      <c r="C68" s="113">
        <f>IF(C50=0,0,(C67/C50))</f>
        <v>144.95000000000002</v>
      </c>
      <c r="D68" s="113">
        <f t="shared" ref="D68:N68" si="17">IF(D50=0,0,(D67/D50))</f>
        <v>63.89947368421052</v>
      </c>
      <c r="E68" s="113">
        <f t="shared" si="17"/>
        <v>138.41249999999999</v>
      </c>
      <c r="F68" s="113">
        <f t="shared" si="17"/>
        <v>0</v>
      </c>
      <c r="G68" s="113">
        <f t="shared" si="17"/>
        <v>0</v>
      </c>
      <c r="H68" s="113">
        <f t="shared" si="17"/>
        <v>44.134999999999998</v>
      </c>
      <c r="I68" s="113">
        <f t="shared" si="17"/>
        <v>54.668333333333329</v>
      </c>
      <c r="J68" s="113">
        <f t="shared" si="17"/>
        <v>109.35857142857142</v>
      </c>
      <c r="K68" s="113">
        <f t="shared" si="17"/>
        <v>115.93333333333332</v>
      </c>
      <c r="L68" s="113">
        <f t="shared" si="17"/>
        <v>527.24</v>
      </c>
      <c r="M68" s="113">
        <f t="shared" si="17"/>
        <v>0</v>
      </c>
      <c r="N68" s="113">
        <f t="shared" si="17"/>
        <v>371.94</v>
      </c>
      <c r="O68" s="113">
        <f>IF(O50=0,0,(O67/O50))</f>
        <v>114.95779069767441</v>
      </c>
      <c r="P68" s="48"/>
    </row>
    <row r="69" spans="1:16" x14ac:dyDescent="0.2">
      <c r="A69" s="230" t="s">
        <v>124</v>
      </c>
      <c r="B69" s="148" t="s">
        <v>172</v>
      </c>
      <c r="C69" s="149">
        <f>C46-C67</f>
        <v>496.04999999999973</v>
      </c>
      <c r="D69" s="149">
        <f t="shared" ref="D69:N69" si="18">D46-D67</f>
        <v>1730.91</v>
      </c>
      <c r="E69" s="149">
        <f t="shared" si="18"/>
        <v>146.35000000000002</v>
      </c>
      <c r="F69" s="149">
        <f t="shared" si="18"/>
        <v>-55.34</v>
      </c>
      <c r="G69" s="149">
        <f t="shared" si="18"/>
        <v>-737.7</v>
      </c>
      <c r="H69" s="149">
        <f t="shared" si="18"/>
        <v>831.92000000000007</v>
      </c>
      <c r="I69" s="149">
        <f t="shared" si="18"/>
        <v>1530.97</v>
      </c>
      <c r="J69" s="149">
        <f t="shared" si="18"/>
        <v>699.49</v>
      </c>
      <c r="K69" s="149">
        <f t="shared" si="18"/>
        <v>499.3900000000001</v>
      </c>
      <c r="L69" s="149">
        <f t="shared" si="18"/>
        <v>-709.48</v>
      </c>
      <c r="M69" s="149">
        <f t="shared" si="18"/>
        <v>-57</v>
      </c>
      <c r="N69" s="149">
        <f t="shared" si="18"/>
        <v>-271.94</v>
      </c>
      <c r="O69" s="150">
        <f>O46-O67</f>
        <v>4103.6200000000008</v>
      </c>
      <c r="P69" s="48">
        <f>O46-O60</f>
        <v>5535.75</v>
      </c>
    </row>
    <row r="70" spans="1:16" ht="15.75" thickBot="1" x14ac:dyDescent="0.25">
      <c r="A70" s="231"/>
      <c r="B70" s="151" t="s">
        <v>286</v>
      </c>
      <c r="C70" s="152">
        <f t="shared" ref="C70:O70" si="19">IF(C50=0,0,C69/C50)</f>
        <v>23.621428571428559</v>
      </c>
      <c r="D70" s="152">
        <f t="shared" si="19"/>
        <v>91.10052631578948</v>
      </c>
      <c r="E70" s="152">
        <f t="shared" si="19"/>
        <v>36.587500000000006</v>
      </c>
      <c r="F70" s="152">
        <f t="shared" si="19"/>
        <v>0</v>
      </c>
      <c r="G70" s="152">
        <f t="shared" si="19"/>
        <v>0</v>
      </c>
      <c r="H70" s="152">
        <f t="shared" si="19"/>
        <v>103.99000000000001</v>
      </c>
      <c r="I70" s="152">
        <f t="shared" si="19"/>
        <v>85.053888888888892</v>
      </c>
      <c r="J70" s="152">
        <f t="shared" si="19"/>
        <v>99.927142857142854</v>
      </c>
      <c r="K70" s="152">
        <f t="shared" si="19"/>
        <v>83.231666666666683</v>
      </c>
      <c r="L70" s="152">
        <f t="shared" si="19"/>
        <v>-354.74</v>
      </c>
      <c r="M70" s="152">
        <f t="shared" si="19"/>
        <v>0</v>
      </c>
      <c r="N70" s="152">
        <f t="shared" si="19"/>
        <v>-271.94</v>
      </c>
      <c r="O70" s="153">
        <f t="shared" si="19"/>
        <v>47.716511627906989</v>
      </c>
      <c r="P70" s="48">
        <f>P69+P26</f>
        <v>5535.75</v>
      </c>
    </row>
    <row r="71" spans="1:16" ht="15.75" thickBot="1" x14ac:dyDescent="0.25">
      <c r="A71" s="223" t="s">
        <v>287</v>
      </c>
      <c r="B71" s="224"/>
      <c r="C71" s="110">
        <f t="shared" ref="C71:O71" si="20">IF(C54=0,0,1-(C68/C54))</f>
        <v>0.14012711864406779</v>
      </c>
      <c r="D71" s="110">
        <f t="shared" si="20"/>
        <v>0.58774533106960947</v>
      </c>
      <c r="E71" s="110">
        <f t="shared" si="20"/>
        <v>0.20907142857142857</v>
      </c>
      <c r="F71" s="110">
        <f t="shared" si="20"/>
        <v>0</v>
      </c>
      <c r="G71" s="110">
        <f t="shared" si="20"/>
        <v>0</v>
      </c>
      <c r="H71" s="110">
        <f t="shared" si="20"/>
        <v>0.70204219409282698</v>
      </c>
      <c r="I71" s="110">
        <f t="shared" si="20"/>
        <v>0.60873558648111337</v>
      </c>
      <c r="J71" s="110">
        <f t="shared" si="20"/>
        <v>0.47746757679180885</v>
      </c>
      <c r="K71" s="110">
        <f t="shared" si="20"/>
        <v>0.41790307868685095</v>
      </c>
      <c r="L71" s="110">
        <f t="shared" si="20"/>
        <v>-2.0564637681159414</v>
      </c>
      <c r="M71" s="110">
        <f t="shared" si="20"/>
        <v>0</v>
      </c>
      <c r="N71" s="110">
        <f t="shared" si="20"/>
        <v>-2.7193999999999998</v>
      </c>
      <c r="O71" s="110">
        <f t="shared" si="20"/>
        <v>0.29332544197672761</v>
      </c>
      <c r="P71" s="48">
        <f>P70-'2021'!Z63</f>
        <v>-6130.5683333333309</v>
      </c>
    </row>
  </sheetData>
  <mergeCells count="13">
    <mergeCell ref="A58:A59"/>
    <mergeCell ref="A43:A46"/>
    <mergeCell ref="A47:A50"/>
    <mergeCell ref="A51:A54"/>
    <mergeCell ref="A55:A56"/>
    <mergeCell ref="A57:B57"/>
    <mergeCell ref="A71:B71"/>
    <mergeCell ref="A60:A61"/>
    <mergeCell ref="A62:B62"/>
    <mergeCell ref="A63:A64"/>
    <mergeCell ref="A65:A66"/>
    <mergeCell ref="A67:A68"/>
    <mergeCell ref="A69:A70"/>
  </mergeCells>
  <pageMargins left="0.7" right="0.7" top="0.75" bottom="0.75" header="0.3" footer="0.3"/>
  <pageSetup paperSize="9" orientation="portrait" horizontalDpi="0" verticalDpi="0"/>
  <headerFooter>
    <oddHeader>&amp;C&amp;"Calibri"&amp;10&amp;K000000 Internal&amp;1#_x000D_</oddHeader>
  </headerFooter>
  <drawing r:id="rId6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5"/>
  </sheetPr>
  <dimension ref="A1:Q71"/>
  <sheetViews>
    <sheetView showGridLines="0" showRuler="0" topLeftCell="A11" workbookViewId="0">
      <selection activeCell="K32" sqref="K32"/>
    </sheetView>
  </sheetViews>
  <sheetFormatPr defaultColWidth="10.8515625" defaultRowHeight="15" x14ac:dyDescent="0.2"/>
  <cols>
    <col min="1" max="1" width="22.8125" bestFit="1" customWidth="1"/>
    <col min="2" max="2" width="9.86328125" bestFit="1" customWidth="1"/>
    <col min="3" max="3" width="22.93359375" customWidth="1"/>
    <col min="4" max="4" width="20.09765625" customWidth="1"/>
    <col min="5" max="5" width="13.4375" customWidth="1"/>
    <col min="6" max="6" width="15.2890625" bestFit="1" customWidth="1"/>
    <col min="7" max="7" width="9.86328125" bestFit="1" customWidth="1"/>
    <col min="8" max="8" width="16.64453125" bestFit="1" customWidth="1"/>
    <col min="9" max="10" width="15.78125" customWidth="1"/>
    <col min="11" max="11" width="12.82421875" customWidth="1"/>
    <col min="12" max="12" width="20.34375" customWidth="1"/>
    <col min="13" max="13" width="19.11328125" customWidth="1"/>
    <col min="16" max="16" width="13.6875" bestFit="1" customWidth="1"/>
  </cols>
  <sheetData>
    <row r="1" spans="1:13" x14ac:dyDescent="0.2">
      <c r="A1" s="73" t="s">
        <v>20</v>
      </c>
      <c r="B1" s="5">
        <v>2020</v>
      </c>
      <c r="L1" s="73" t="s">
        <v>20</v>
      </c>
      <c r="M1" s="5">
        <v>2020</v>
      </c>
    </row>
    <row r="2" spans="1:13" x14ac:dyDescent="0.2">
      <c r="A2" s="73" t="s">
        <v>47</v>
      </c>
      <c r="B2" t="s">
        <v>277</v>
      </c>
      <c r="L2" s="73" t="s">
        <v>199</v>
      </c>
      <c r="M2" t="s">
        <v>255</v>
      </c>
    </row>
    <row r="3" spans="1:13" x14ac:dyDescent="0.2">
      <c r="A3" s="73" t="s">
        <v>54</v>
      </c>
      <c r="B3" t="s">
        <v>45</v>
      </c>
      <c r="C3" t="s">
        <v>262</v>
      </c>
    </row>
    <row r="4" spans="1:13" x14ac:dyDescent="0.2">
      <c r="A4" s="73" t="s">
        <v>27</v>
      </c>
      <c r="B4" t="s">
        <v>255</v>
      </c>
      <c r="L4" s="73" t="s">
        <v>278</v>
      </c>
      <c r="M4" t="s">
        <v>266</v>
      </c>
    </row>
    <row r="5" spans="1:13" ht="15.75" thickBot="1" x14ac:dyDescent="0.25">
      <c r="L5" s="5" t="s">
        <v>57</v>
      </c>
      <c r="M5" s="79">
        <v>2705</v>
      </c>
    </row>
    <row r="6" spans="1:13" x14ac:dyDescent="0.2">
      <c r="A6" s="73" t="s">
        <v>253</v>
      </c>
      <c r="B6" t="s">
        <v>259</v>
      </c>
      <c r="C6" t="s">
        <v>256</v>
      </c>
      <c r="D6" t="s">
        <v>257</v>
      </c>
      <c r="E6" t="s">
        <v>258</v>
      </c>
      <c r="F6" s="78" t="s">
        <v>260</v>
      </c>
      <c r="G6" s="97" t="s">
        <v>261</v>
      </c>
      <c r="H6" s="93" t="s">
        <v>280</v>
      </c>
      <c r="L6" s="5" t="s">
        <v>58</v>
      </c>
      <c r="M6" s="79">
        <v>2250</v>
      </c>
    </row>
    <row r="7" spans="1:13" x14ac:dyDescent="0.2">
      <c r="A7" s="5" t="s">
        <v>32</v>
      </c>
      <c r="B7" s="7">
        <v>5</v>
      </c>
      <c r="C7" s="79">
        <v>1239.99</v>
      </c>
      <c r="D7" s="79">
        <v>0</v>
      </c>
      <c r="E7" s="79">
        <v>1239.99</v>
      </c>
      <c r="F7" s="76">
        <f t="shared" ref="F7:F14" si="0">E7/$E$14</f>
        <v>9.29180164241412E-2</v>
      </c>
      <c r="G7" s="98">
        <f>E7/B7</f>
        <v>247.99799999999999</v>
      </c>
      <c r="H7" s="94">
        <f>1-($E$31/G7)</f>
        <v>0.60268464006102329</v>
      </c>
      <c r="L7" s="5" t="s">
        <v>63</v>
      </c>
      <c r="M7" s="79">
        <v>340</v>
      </c>
    </row>
    <row r="8" spans="1:13" x14ac:dyDescent="0.2">
      <c r="A8" s="5" t="s">
        <v>33</v>
      </c>
      <c r="B8" s="7">
        <v>2</v>
      </c>
      <c r="C8" s="79">
        <v>345</v>
      </c>
      <c r="D8" s="79">
        <v>0</v>
      </c>
      <c r="E8" s="79">
        <v>345</v>
      </c>
      <c r="F8" s="76">
        <f t="shared" si="0"/>
        <v>2.5852398540575902E-2</v>
      </c>
      <c r="G8" s="98">
        <f t="shared" ref="G8:G14" si="1">E8/B8</f>
        <v>172.5</v>
      </c>
      <c r="H8" s="94">
        <f t="shared" ref="H8:H13" si="2">1-($E$31/G8)</f>
        <v>0.42879179922234001</v>
      </c>
      <c r="L8" s="5" t="s">
        <v>59</v>
      </c>
      <c r="M8" s="79">
        <v>940</v>
      </c>
    </row>
    <row r="9" spans="1:13" x14ac:dyDescent="0.2">
      <c r="A9" s="5" t="s">
        <v>49</v>
      </c>
      <c r="B9" s="7">
        <v>1</v>
      </c>
      <c r="C9" s="79">
        <v>300</v>
      </c>
      <c r="D9" s="79">
        <v>0</v>
      </c>
      <c r="E9" s="79">
        <v>300</v>
      </c>
      <c r="F9" s="76">
        <f t="shared" si="0"/>
        <v>2.2480346557022524E-2</v>
      </c>
      <c r="G9" s="98">
        <f t="shared" si="1"/>
        <v>300</v>
      </c>
      <c r="H9" s="94">
        <f t="shared" si="2"/>
        <v>0.67155528455284552</v>
      </c>
      <c r="L9" s="5" t="s">
        <v>60</v>
      </c>
      <c r="M9" s="79">
        <v>145</v>
      </c>
    </row>
    <row r="10" spans="1:13" x14ac:dyDescent="0.2">
      <c r="A10" s="5" t="s">
        <v>30</v>
      </c>
      <c r="B10" s="7">
        <v>10</v>
      </c>
      <c r="C10" s="79">
        <v>1450</v>
      </c>
      <c r="D10" s="79">
        <v>5</v>
      </c>
      <c r="E10" s="79">
        <v>1455</v>
      </c>
      <c r="F10" s="76">
        <f t="shared" si="0"/>
        <v>0.10902968080155924</v>
      </c>
      <c r="G10" s="98">
        <f t="shared" si="1"/>
        <v>145.5</v>
      </c>
      <c r="H10" s="94">
        <f t="shared" si="2"/>
        <v>0.32279440113988767</v>
      </c>
      <c r="L10" s="5" t="s">
        <v>61</v>
      </c>
      <c r="M10" s="79">
        <v>340</v>
      </c>
    </row>
    <row r="11" spans="1:13" x14ac:dyDescent="0.2">
      <c r="A11" s="5" t="s">
        <v>31</v>
      </c>
      <c r="B11" s="7">
        <v>34</v>
      </c>
      <c r="C11" s="79">
        <v>3395</v>
      </c>
      <c r="D11" s="79">
        <v>60</v>
      </c>
      <c r="E11" s="79">
        <v>3455</v>
      </c>
      <c r="F11" s="76">
        <f t="shared" si="0"/>
        <v>0.25889865784837607</v>
      </c>
      <c r="G11" s="98">
        <f t="shared" si="1"/>
        <v>101.61764705882354</v>
      </c>
      <c r="H11" s="94">
        <f>1-($E$31/G11)</f>
        <v>3.0351346581483307E-2</v>
      </c>
      <c r="L11" s="5" t="s">
        <v>62</v>
      </c>
      <c r="M11" s="79">
        <v>925</v>
      </c>
    </row>
    <row r="12" spans="1:13" x14ac:dyDescent="0.2">
      <c r="A12" s="5" t="s">
        <v>35</v>
      </c>
      <c r="B12" s="7">
        <v>29</v>
      </c>
      <c r="C12" s="79">
        <v>5655</v>
      </c>
      <c r="D12" s="79">
        <v>595</v>
      </c>
      <c r="E12" s="79">
        <v>6250</v>
      </c>
      <c r="F12" s="76">
        <f t="shared" si="0"/>
        <v>0.46834055327130258</v>
      </c>
      <c r="G12" s="98">
        <f t="shared" si="1"/>
        <v>215.51724137931035</v>
      </c>
      <c r="H12" s="94">
        <f t="shared" si="2"/>
        <v>0.54280495609756096</v>
      </c>
      <c r="L12" s="5" t="s">
        <v>236</v>
      </c>
      <c r="M12" s="79">
        <v>390</v>
      </c>
    </row>
    <row r="13" spans="1:13" ht="15.75" thickBot="1" x14ac:dyDescent="0.25">
      <c r="A13" s="5" t="s">
        <v>53</v>
      </c>
      <c r="B13" s="7">
        <v>1</v>
      </c>
      <c r="C13" s="79">
        <v>300</v>
      </c>
      <c r="D13" s="79">
        <v>0</v>
      </c>
      <c r="E13" s="79">
        <v>300</v>
      </c>
      <c r="F13" s="76">
        <f t="shared" si="0"/>
        <v>2.2480346557022524E-2</v>
      </c>
      <c r="G13" s="99">
        <f t="shared" si="1"/>
        <v>300</v>
      </c>
      <c r="H13" s="95">
        <f t="shared" si="2"/>
        <v>0.67155528455284552</v>
      </c>
      <c r="L13" s="5" t="s">
        <v>64</v>
      </c>
      <c r="M13" s="79">
        <v>195</v>
      </c>
    </row>
    <row r="14" spans="1:13" ht="16.5" thickTop="1" thickBot="1" x14ac:dyDescent="0.25">
      <c r="A14" s="5" t="s">
        <v>254</v>
      </c>
      <c r="B14" s="7">
        <v>82</v>
      </c>
      <c r="C14" s="79">
        <v>12684.99</v>
      </c>
      <c r="D14" s="79">
        <v>660</v>
      </c>
      <c r="E14" s="79">
        <v>13344.99</v>
      </c>
      <c r="F14" s="77">
        <f t="shared" si="0"/>
        <v>1</v>
      </c>
      <c r="G14" s="100">
        <f t="shared" si="1"/>
        <v>162.74378048780488</v>
      </c>
      <c r="H14" s="96">
        <f>1-($E$31/G14)</f>
        <v>0.39454881569787614</v>
      </c>
      <c r="L14" s="5" t="s">
        <v>254</v>
      </c>
      <c r="M14" s="79">
        <v>8230</v>
      </c>
    </row>
    <row r="16" spans="1:13" x14ac:dyDescent="0.2">
      <c r="A16" s="73" t="s">
        <v>20</v>
      </c>
      <c r="B16" s="5">
        <v>2020</v>
      </c>
      <c r="F16" s="73" t="s">
        <v>20</v>
      </c>
      <c r="G16" s="5">
        <v>2020</v>
      </c>
    </row>
    <row r="17" spans="1:13" x14ac:dyDescent="0.2">
      <c r="A17" s="73" t="s">
        <v>47</v>
      </c>
      <c r="B17" t="s">
        <v>618</v>
      </c>
      <c r="C17" t="s">
        <v>281</v>
      </c>
      <c r="F17" s="73" t="s">
        <v>47</v>
      </c>
      <c r="G17" t="s">
        <v>618</v>
      </c>
      <c r="H17" t="s">
        <v>282</v>
      </c>
    </row>
    <row r="18" spans="1:13" ht="15.75" thickBot="1" x14ac:dyDescent="0.25">
      <c r="L18" s="73" t="s">
        <v>20</v>
      </c>
      <c r="M18" s="5">
        <v>2020</v>
      </c>
    </row>
    <row r="19" spans="1:13" x14ac:dyDescent="0.2">
      <c r="A19" s="80" t="s">
        <v>263</v>
      </c>
      <c r="B19" s="80" t="s">
        <v>78</v>
      </c>
      <c r="C19" s="155" t="s">
        <v>269</v>
      </c>
      <c r="D19" s="85" t="s">
        <v>276</v>
      </c>
      <c r="E19" s="88" t="s">
        <v>274</v>
      </c>
      <c r="F19" s="80" t="s">
        <v>270</v>
      </c>
      <c r="G19" s="80" t="s">
        <v>78</v>
      </c>
      <c r="H19" s="158" t="s">
        <v>269</v>
      </c>
      <c r="I19" s="86" t="s">
        <v>275</v>
      </c>
      <c r="J19" s="92" t="s">
        <v>274</v>
      </c>
    </row>
    <row r="20" spans="1:13" x14ac:dyDescent="0.2">
      <c r="A20" s="5" t="s">
        <v>111</v>
      </c>
      <c r="B20" s="48">
        <v>162.01</v>
      </c>
      <c r="C20" s="156">
        <f t="shared" ref="C20:C31" si="3">B20/$B$14</f>
        <v>1.975731707317073</v>
      </c>
      <c r="D20" s="74">
        <f>B20</f>
        <v>162.01</v>
      </c>
      <c r="E20" s="89">
        <f t="shared" ref="E20:E31" si="4">D20/$B$14</f>
        <v>1.975731707317073</v>
      </c>
      <c r="F20" s="5" t="s">
        <v>271</v>
      </c>
      <c r="G20" s="48">
        <v>6675.63</v>
      </c>
      <c r="H20" s="156">
        <f>G20/$B$14</f>
        <v>81.410121951219509</v>
      </c>
      <c r="I20" s="74">
        <f>D21+D22+D25+D26+D29+D30</f>
        <v>6301.1299999999992</v>
      </c>
      <c r="J20" s="89">
        <f>(G20-B21-B29+D21+D29)/$B$14</f>
        <v>76.843048780487806</v>
      </c>
      <c r="L20" s="73" t="s">
        <v>279</v>
      </c>
      <c r="M20" t="s">
        <v>265</v>
      </c>
    </row>
    <row r="21" spans="1:13" x14ac:dyDescent="0.2">
      <c r="A21" s="5" t="s">
        <v>107</v>
      </c>
      <c r="B21" s="48">
        <v>362.22</v>
      </c>
      <c r="C21" s="156">
        <f t="shared" si="3"/>
        <v>4.4173170731707323</v>
      </c>
      <c r="D21" s="74">
        <f>B21*('2021'!$A$2/12)</f>
        <v>362.22</v>
      </c>
      <c r="E21" s="89">
        <f t="shared" si="4"/>
        <v>4.4173170731707323</v>
      </c>
      <c r="F21" s="5" t="s">
        <v>272</v>
      </c>
      <c r="G21" s="48">
        <v>1778.6100000000004</v>
      </c>
      <c r="H21" s="156">
        <f>G21/$B$14</f>
        <v>21.690365853658541</v>
      </c>
      <c r="I21" s="74">
        <f>D20+D23+D24+D27+D28</f>
        <v>1778.6100000000001</v>
      </c>
      <c r="J21" s="90">
        <f>(G21-B22-B30+D22+D30)/$B$14</f>
        <v>21.690365853658541</v>
      </c>
      <c r="L21" s="5" t="s">
        <v>180</v>
      </c>
      <c r="M21" s="79">
        <v>661.2</v>
      </c>
    </row>
    <row r="22" spans="1:13" x14ac:dyDescent="0.2">
      <c r="A22" s="5" t="s">
        <v>105</v>
      </c>
      <c r="B22" s="48">
        <v>317.06</v>
      </c>
      <c r="C22" s="156">
        <f t="shared" si="3"/>
        <v>3.8665853658536586</v>
      </c>
      <c r="D22" s="74">
        <f t="shared" ref="D22:D28" si="5">B22</f>
        <v>317.06</v>
      </c>
      <c r="E22" s="89">
        <f t="shared" si="4"/>
        <v>3.8665853658536586</v>
      </c>
      <c r="F22" s="5" t="s">
        <v>188</v>
      </c>
      <c r="G22" s="48">
        <v>883.54</v>
      </c>
      <c r="H22" s="156">
        <f>G22/$B$14</f>
        <v>10.774878048780486</v>
      </c>
      <c r="I22" s="74">
        <f>G22</f>
        <v>883.54</v>
      </c>
      <c r="J22" s="90">
        <f>I22/$B$14</f>
        <v>10.774878048780486</v>
      </c>
      <c r="L22" s="5" t="s">
        <v>194</v>
      </c>
      <c r="M22" s="79">
        <v>661.2</v>
      </c>
    </row>
    <row r="23" spans="1:13" ht="15.75" thickBot="1" x14ac:dyDescent="0.25">
      <c r="A23" s="5" t="s">
        <v>114</v>
      </c>
      <c r="B23" s="48">
        <v>583.17999999999995</v>
      </c>
      <c r="C23" s="156">
        <f t="shared" si="3"/>
        <v>7.1119512195121946</v>
      </c>
      <c r="D23" s="74">
        <f t="shared" si="5"/>
        <v>583.17999999999995</v>
      </c>
      <c r="E23" s="89">
        <f t="shared" si="4"/>
        <v>7.1119512195121946</v>
      </c>
      <c r="F23" s="5" t="s">
        <v>273</v>
      </c>
      <c r="G23" s="48">
        <v>548.58999999999992</v>
      </c>
      <c r="H23" s="156">
        <f>G23/$B$14</f>
        <v>6.6901219512195116</v>
      </c>
      <c r="I23" s="74">
        <f>G23</f>
        <v>548.58999999999992</v>
      </c>
      <c r="J23" s="90">
        <f>I23/$B$14</f>
        <v>6.6901219512195116</v>
      </c>
      <c r="L23" s="5" t="s">
        <v>189</v>
      </c>
      <c r="M23" s="79">
        <v>661.2</v>
      </c>
    </row>
    <row r="24" spans="1:13" ht="16.5" thickTop="1" thickBot="1" x14ac:dyDescent="0.25">
      <c r="A24" s="5" t="s">
        <v>162</v>
      </c>
      <c r="B24" s="48">
        <v>445</v>
      </c>
      <c r="C24" s="156">
        <f t="shared" si="3"/>
        <v>5.4268292682926829</v>
      </c>
      <c r="D24" s="74">
        <f t="shared" si="5"/>
        <v>445</v>
      </c>
      <c r="E24" s="89">
        <f t="shared" si="4"/>
        <v>5.4268292682926829</v>
      </c>
      <c r="F24" s="5" t="s">
        <v>254</v>
      </c>
      <c r="G24" s="48">
        <v>9886.369999999999</v>
      </c>
      <c r="H24" s="157">
        <f>G24/$B$14</f>
        <v>120.56548780487803</v>
      </c>
      <c r="I24" s="75">
        <f>SUM(I20:I23)</f>
        <v>9511.869999999999</v>
      </c>
      <c r="J24" s="91">
        <f>I24/$B$14</f>
        <v>115.99841463414633</v>
      </c>
      <c r="L24" s="5" t="s">
        <v>181</v>
      </c>
      <c r="M24" s="79">
        <v>374.68</v>
      </c>
    </row>
    <row r="25" spans="1:13" x14ac:dyDescent="0.2">
      <c r="A25" s="5" t="s">
        <v>106</v>
      </c>
      <c r="B25" s="48">
        <v>360</v>
      </c>
      <c r="C25" s="156">
        <f t="shared" si="3"/>
        <v>4.3902439024390247</v>
      </c>
      <c r="D25" s="74">
        <f t="shared" si="5"/>
        <v>360</v>
      </c>
      <c r="E25" s="89">
        <f t="shared" si="4"/>
        <v>4.3902439024390247</v>
      </c>
      <c r="L25" s="5" t="s">
        <v>196</v>
      </c>
      <c r="M25" s="79">
        <v>1400</v>
      </c>
    </row>
    <row r="26" spans="1:13" x14ac:dyDescent="0.2">
      <c r="A26" s="5" t="s">
        <v>104</v>
      </c>
      <c r="B26" s="48">
        <v>4294</v>
      </c>
      <c r="C26" s="156">
        <f t="shared" si="3"/>
        <v>52.365853658536587</v>
      </c>
      <c r="D26" s="74">
        <f t="shared" si="5"/>
        <v>4294</v>
      </c>
      <c r="E26" s="89">
        <f t="shared" si="4"/>
        <v>52.365853658536587</v>
      </c>
      <c r="L26" s="5" t="s">
        <v>318</v>
      </c>
      <c r="M26" s="79">
        <v>472.2</v>
      </c>
    </row>
    <row r="27" spans="1:13" x14ac:dyDescent="0.2">
      <c r="A27" s="5" t="s">
        <v>110</v>
      </c>
      <c r="B27" s="48">
        <v>508.42</v>
      </c>
      <c r="C27" s="156">
        <f t="shared" si="3"/>
        <v>6.2002439024390243</v>
      </c>
      <c r="D27" s="74">
        <f t="shared" si="5"/>
        <v>508.42</v>
      </c>
      <c r="E27" s="89">
        <f t="shared" si="4"/>
        <v>6.2002439024390243</v>
      </c>
      <c r="L27" s="5" t="s">
        <v>323</v>
      </c>
      <c r="M27" s="79">
        <v>472.2</v>
      </c>
    </row>
    <row r="28" spans="1:13" x14ac:dyDescent="0.2">
      <c r="A28" s="5" t="s">
        <v>146</v>
      </c>
      <c r="B28" s="48">
        <v>80</v>
      </c>
      <c r="C28" s="156">
        <f t="shared" si="3"/>
        <v>0.97560975609756095</v>
      </c>
      <c r="D28" s="74">
        <f t="shared" si="5"/>
        <v>80</v>
      </c>
      <c r="E28" s="89">
        <f t="shared" si="4"/>
        <v>0.97560975609756095</v>
      </c>
      <c r="L28" s="5" t="s">
        <v>322</v>
      </c>
      <c r="M28" s="79">
        <v>2000</v>
      </c>
    </row>
    <row r="29" spans="1:13" x14ac:dyDescent="0.2">
      <c r="A29" s="5" t="s">
        <v>119</v>
      </c>
      <c r="B29" s="48">
        <v>749</v>
      </c>
      <c r="C29" s="156">
        <f t="shared" si="3"/>
        <v>9.1341463414634152</v>
      </c>
      <c r="D29" s="74">
        <f>(B29/2)*('2021'!$A$2/12)</f>
        <v>374.5</v>
      </c>
      <c r="E29" s="89">
        <f t="shared" si="4"/>
        <v>4.5670731707317076</v>
      </c>
      <c r="L29" s="5" t="s">
        <v>254</v>
      </c>
      <c r="M29" s="79">
        <v>6702.68</v>
      </c>
    </row>
    <row r="30" spans="1:13" ht="15.75" thickBot="1" x14ac:dyDescent="0.25">
      <c r="A30" s="5" t="s">
        <v>112</v>
      </c>
      <c r="B30" s="48">
        <v>593.34999999999991</v>
      </c>
      <c r="C30" s="156">
        <f t="shared" si="3"/>
        <v>7.2359756097560961</v>
      </c>
      <c r="D30" s="74">
        <f>B30</f>
        <v>593.34999999999991</v>
      </c>
      <c r="E30" s="90">
        <f t="shared" si="4"/>
        <v>7.2359756097560961</v>
      </c>
    </row>
    <row r="31" spans="1:13" ht="16.5" thickTop="1" thickBot="1" x14ac:dyDescent="0.25">
      <c r="A31" s="5" t="s">
        <v>254</v>
      </c>
      <c r="B31" s="48">
        <v>8454.24</v>
      </c>
      <c r="C31" s="157">
        <f t="shared" si="3"/>
        <v>103.10048780487804</v>
      </c>
      <c r="D31" s="75">
        <f>SUM(D20:D30)</f>
        <v>8079.74</v>
      </c>
      <c r="E31" s="91">
        <f t="shared" si="4"/>
        <v>98.533414634146339</v>
      </c>
      <c r="L31" s="81" t="s">
        <v>264</v>
      </c>
      <c r="M31" s="82">
        <f>-M14+M29</f>
        <v>-1527.3199999999997</v>
      </c>
    </row>
    <row r="32" spans="1:13" x14ac:dyDescent="0.2">
      <c r="A32" s="5"/>
      <c r="L32" s="83" t="s">
        <v>267</v>
      </c>
    </row>
    <row r="34" spans="1:17" x14ac:dyDescent="0.2">
      <c r="E34" s="48"/>
    </row>
    <row r="36" spans="1:17" x14ac:dyDescent="0.2">
      <c r="A36" s="5"/>
    </row>
    <row r="37" spans="1:17" x14ac:dyDescent="0.2">
      <c r="A37" s="5"/>
    </row>
    <row r="41" spans="1:17" ht="15.75" thickBot="1" x14ac:dyDescent="0.25"/>
    <row r="42" spans="1:17" ht="15.75" thickBot="1" x14ac:dyDescent="0.25">
      <c r="A42" s="128">
        <v>2020</v>
      </c>
      <c r="B42" s="36"/>
      <c r="C42" s="127" t="s">
        <v>48</v>
      </c>
      <c r="D42" s="127" t="s">
        <v>56</v>
      </c>
      <c r="E42" s="127" t="s">
        <v>57</v>
      </c>
      <c r="F42" s="127" t="s">
        <v>58</v>
      </c>
      <c r="G42" s="127" t="s">
        <v>59</v>
      </c>
      <c r="H42" s="127" t="s">
        <v>60</v>
      </c>
      <c r="I42" s="127" t="s">
        <v>61</v>
      </c>
      <c r="J42" s="127" t="s">
        <v>62</v>
      </c>
      <c r="K42" s="127" t="s">
        <v>236</v>
      </c>
      <c r="L42" s="127" t="s">
        <v>63</v>
      </c>
      <c r="M42" s="127" t="s">
        <v>64</v>
      </c>
      <c r="N42" s="127" t="s">
        <v>65</v>
      </c>
      <c r="O42" s="129">
        <v>2020</v>
      </c>
      <c r="P42" s="154" t="s">
        <v>294</v>
      </c>
    </row>
    <row r="43" spans="1:17" x14ac:dyDescent="0.2">
      <c r="A43" s="213" t="s">
        <v>66</v>
      </c>
      <c r="B43" s="104" t="s">
        <v>30</v>
      </c>
      <c r="C43" s="105">
        <f>SUMIFS(Tabla1[IMPORTE TOTAL],Tabla1[ANY],'Cuadro de mando 2020'!$A$42,Tabla1[MES],'Cuadro de mando 2020'!C$42,Tabla1[HORARI],'Cuadro de mando 2020'!$B43,Tabla1[COBRAT],"SI")-SUMIFS(Tabla1[IMPORTE TOTAL],Tabla1[ANY],'Cuadro de mando 2020'!$A$42,Tabla1[MES],'Cuadro de mando 2020'!C$42,Tabla1[HORARI],'Cuadro de mando 2020'!$B43,Tabla1[TORNS],"")</f>
        <v>435</v>
      </c>
      <c r="D43" s="105">
        <f>SUMIFS(Tabla1[IMPORTE TOTAL],Tabla1[ANY],'Cuadro de mando 2020'!$A$42,Tabla1[MES],'Cuadro de mando 2020'!D$42,Tabla1[HORARI],'Cuadro de mando 2020'!$B43,Tabla1[COBRAT],"SI")-SUMIFS(Tabla1[IMPORTE TOTAL],Tabla1[ANY],'Cuadro de mando 2020'!$A$42,Tabla1[MES],'Cuadro de mando 2020'!D$42,Tabla1[HORARI],'Cuadro de mando 2020'!$B43,Tabla1[TORNS],"")</f>
        <v>725</v>
      </c>
      <c r="E43" s="105">
        <f>SUMIFS(Tabla1[IMPORTE TOTAL],Tabla1[ANY],'Cuadro de mando 2020'!$A$42,Tabla1[MES],'Cuadro de mando 2020'!E$42,Tabla1[HORARI],'Cuadro de mando 2020'!$B43,Tabla1[COBRAT],"SI")-SUMIFS(Tabla1[IMPORTE TOTAL],Tabla1[ANY],'Cuadro de mando 2020'!$A$42,Tabla1[MES],'Cuadro de mando 2020'!E$42,Tabla1[HORARI],'Cuadro de mando 2020'!$B43,Tabla1[TORNS],"")</f>
        <v>145</v>
      </c>
      <c r="F43" s="105">
        <f>SUMIFS(Tabla1[IMPORTE TOTAL],Tabla1[ANY],'Cuadro de mando 2020'!$A$42,Tabla1[MES],'Cuadro de mando 2020'!F$42,Tabla1[HORARI],'Cuadro de mando 2020'!$B43,Tabla1[COBRAT],"SI")-SUMIFS(Tabla1[IMPORTE TOTAL],Tabla1[ANY],'Cuadro de mando 2020'!$A$42,Tabla1[MES],'Cuadro de mando 2020'!F$42,Tabla1[HORARI],'Cuadro de mando 2020'!$B43,Tabla1[TORNS],"")</f>
        <v>0</v>
      </c>
      <c r="G43" s="105">
        <f>SUMIFS(Tabla1[IMPORTE TOTAL],Tabla1[ANY],'Cuadro de mando 2020'!$A$42,Tabla1[MES],'Cuadro de mando 2020'!G$42,Tabla1[HORARI],'Cuadro de mando 2020'!$B43,Tabla1[COBRAT],"SI")-SUMIFS(Tabla1[IMPORTE TOTAL],Tabla1[ANY],'Cuadro de mando 2020'!$A$42,Tabla1[MES],'Cuadro de mando 2020'!G$42,Tabla1[HORARI],'Cuadro de mando 2020'!$B43,Tabla1[TORNS],"")</f>
        <v>0</v>
      </c>
      <c r="H43" s="105">
        <f>SUMIFS(Tabla1[IMPORTE TOTAL],Tabla1[ANY],'Cuadro de mando 2020'!$A$42,Tabla1[MES],'Cuadro de mando 2020'!H$42,Tabla1[HORARI],'Cuadro de mando 2020'!$B43,Tabla1[COBRAT],"SI")-SUMIFS(Tabla1[IMPORTE TOTAL],Tabla1[ANY],'Cuadro de mando 2020'!$A$42,Tabla1[MES],'Cuadro de mando 2020'!H$42,Tabla1[HORARI],'Cuadro de mando 2020'!$B43,Tabla1[TORNS],"")</f>
        <v>0</v>
      </c>
      <c r="I43" s="105">
        <f>SUMIFS(Tabla1[IMPORTE TOTAL],Tabla1[ANY],'Cuadro de mando 2020'!$A$42,Tabla1[MES],'Cuadro de mando 2020'!I$42,Tabla1[HORARI],'Cuadro de mando 2020'!$B43,Tabla1[COBRAT],"SI")-SUMIFS(Tabla1[IMPORTE TOTAL],Tabla1[ANY],'Cuadro de mando 2020'!$A$42,Tabla1[MES],'Cuadro de mando 2020'!I$42,Tabla1[HORARI],'Cuadro de mando 2020'!$B43,Tabla1[TORNS],"")</f>
        <v>150</v>
      </c>
      <c r="J43" s="105">
        <f>SUMIFS(Tabla1[IMPORTE TOTAL],Tabla1[ANY],'Cuadro de mando 2020'!$A$42,Tabla1[MES],'Cuadro de mando 2020'!J$42,Tabla1[HORARI],'Cuadro de mando 2020'!$B43,Tabla1[COBRAT],"SI")-SUMIFS(Tabla1[IMPORTE TOTAL],Tabla1[ANY],'Cuadro de mando 2020'!$A$42,Tabla1[MES],'Cuadro de mando 2020'!J$42,Tabla1[HORARI],'Cuadro de mando 2020'!$B43,Tabla1[TORNS],"")</f>
        <v>0</v>
      </c>
      <c r="K43" s="105">
        <f>SUMIFS(Tabla1[IMPORTE TOTAL],Tabla1[ANY],'Cuadro de mando 2020'!$A$42,Tabla1[MES],'Cuadro de mando 2020'!K$42,Tabla1[HORARI],'Cuadro de mando 2020'!$B43,Tabla1[COBRAT],"SI")-SUMIFS(Tabla1[IMPORTE TOTAL],Tabla1[ANY],'Cuadro de mando 2020'!$A$42,Tabla1[MES],'Cuadro de mando 2020'!K$42,Tabla1[HORARI],'Cuadro de mando 2020'!$B43,Tabla1[TORNS],"")</f>
        <v>0</v>
      </c>
      <c r="L43" s="105">
        <f>SUMIFS(Tabla1[IMPORTE TOTAL],Tabla1[ANY],'Cuadro de mando 2020'!$A$42,Tabla1[MES],'Cuadro de mando 2020'!L$42,Tabla1[HORARI],'Cuadro de mando 2020'!$B43,Tabla1[COBRAT],"SI")-SUMIFS(Tabla1[IMPORTE TOTAL],Tabla1[ANY],'Cuadro de mando 2020'!$A$42,Tabla1[MES],'Cuadro de mando 2020'!L$42,Tabla1[HORARI],'Cuadro de mando 2020'!$B43,Tabla1[TORNS],"")</f>
        <v>0</v>
      </c>
      <c r="M43" s="105">
        <f>SUMIFS(Tabla1[IMPORTE TOTAL],Tabla1[ANY],'Cuadro de mando 2020'!$A$42,Tabla1[MES],'Cuadro de mando 2020'!M$42,Tabla1[HORARI],'Cuadro de mando 2020'!$B43,Tabla1[COBRAT],"SI")-SUMIFS(Tabla1[IMPORTE TOTAL],Tabla1[ANY],'Cuadro de mando 2020'!$A$42,Tabla1[MES],'Cuadro de mando 2020'!M$42,Tabla1[HORARI],'Cuadro de mando 2020'!$B43,Tabla1[TORNS],"")</f>
        <v>0</v>
      </c>
      <c r="N43" s="105">
        <f>SUMIFS(Tabla1[IMPORTE TOTAL],Tabla1[ANY],'Cuadro de mando 2020'!$A$42,Tabla1[MES],'Cuadro de mando 2020'!N$42,Tabla1[HORARI],'Cuadro de mando 2020'!$B43,Tabla1[COBRAT],"SI")-SUMIFS(Tabla1[IMPORTE TOTAL],Tabla1[ANY],'Cuadro de mando 2020'!$A$42,Tabla1[MES],'Cuadro de mando 2020'!N$42,Tabla1[HORARI],'Cuadro de mando 2020'!$B43,Tabla1[TORNS],"")</f>
        <v>0</v>
      </c>
      <c r="O43" s="130">
        <f t="shared" ref="O43:O50" si="6">SUM(C43:N43)</f>
        <v>1455</v>
      </c>
    </row>
    <row r="44" spans="1:17" x14ac:dyDescent="0.2">
      <c r="A44" s="214"/>
      <c r="B44" s="2" t="s">
        <v>31</v>
      </c>
      <c r="C44" s="102">
        <f>SUMIFS(Tabla1[IMPORTE TOTAL],Tabla1[ANY],'Cuadro de mando 2020'!$A$42,Tabla1[MES],'Cuadro de mando 2020'!C$42,Tabla1[HORARI],'Cuadro de mando 2020'!$B44,Tabla1[COBRAT],"SI")-SUMIFS(Tabla1[IMPORTE TOTAL],Tabla1[ANY],'Cuadro de mando 2020'!$A$42,Tabla1[MES],'Cuadro de mando 2020'!C$42,Tabla1[HORARI],'Cuadro de mando 2020'!$B44,Tabla1[TORNS],"")</f>
        <v>1040</v>
      </c>
      <c r="D44" s="102">
        <f>SUMIFS(Tabla1[IMPORTE TOTAL],Tabla1[ANY],'Cuadro de mando 2020'!$A$42,Tabla1[MES],'Cuadro de mando 2020'!D$42,Tabla1[HORARI],'Cuadro de mando 2020'!$B44,Tabla1[COBRAT],"SI")-SUMIFS(Tabla1[IMPORTE TOTAL],Tabla1[ANY],'Cuadro de mando 2020'!$A$42,Tabla1[MES],'Cuadro de mando 2020'!D$42,Tabla1[HORARI],'Cuadro de mando 2020'!$B44,Tabla1[TORNS],"")</f>
        <v>1135</v>
      </c>
      <c r="E44" s="102">
        <f>SUMIFS(Tabla1[IMPORTE TOTAL],Tabla1[ANY],'Cuadro de mando 2020'!$A$42,Tabla1[MES],'Cuadro de mando 2020'!E$42,Tabla1[HORARI],'Cuadro de mando 2020'!$B44,Tabla1[COBRAT],"SI")-SUMIFS(Tabla1[IMPORTE TOTAL],Tabla1[ANY],'Cuadro de mando 2020'!$A$42,Tabla1[MES],'Cuadro de mando 2020'!E$42,Tabla1[HORARI],'Cuadro de mando 2020'!$B44,Tabla1[TORNS],"")</f>
        <v>310</v>
      </c>
      <c r="F44" s="102">
        <f>SUMIFS(Tabla1[IMPORTE TOTAL],Tabla1[ANY],'Cuadro de mando 2020'!$A$42,Tabla1[MES],'Cuadro de mando 2020'!F$42,Tabla1[HORARI],'Cuadro de mando 2020'!$B44,Tabla1[COBRAT],"SI")-SUMIFS(Tabla1[IMPORTE TOTAL],Tabla1[ANY],'Cuadro de mando 2020'!$A$42,Tabla1[MES],'Cuadro de mando 2020'!F$42,Tabla1[HORARI],'Cuadro de mando 2020'!$B44,Tabla1[TORNS],"")</f>
        <v>0</v>
      </c>
      <c r="G44" s="102">
        <f>SUMIFS(Tabla1[IMPORTE TOTAL],Tabla1[ANY],'Cuadro de mando 2020'!$A$42,Tabla1[MES],'Cuadro de mando 2020'!G$42,Tabla1[HORARI],'Cuadro de mando 2020'!$B44,Tabla1[COBRAT],"SI")-SUMIFS(Tabla1[IMPORTE TOTAL],Tabla1[ANY],'Cuadro de mando 2020'!$A$42,Tabla1[MES],'Cuadro de mando 2020'!G$42,Tabla1[HORARI],'Cuadro de mando 2020'!$B44,Tabla1[TORNS],"")</f>
        <v>0</v>
      </c>
      <c r="H44" s="102">
        <f>SUMIFS(Tabla1[IMPORTE TOTAL],Tabla1[ANY],'Cuadro de mando 2020'!$A$42,Tabla1[MES],'Cuadro de mando 2020'!H$42,Tabla1[HORARI],'Cuadro de mando 2020'!$B44,Tabla1[COBRAT],"SI")-SUMIFS(Tabla1[IMPORTE TOTAL],Tabla1[ANY],'Cuadro de mando 2020'!$A$42,Tabla1[MES],'Cuadro de mando 2020'!H$42,Tabla1[HORARI],'Cuadro de mando 2020'!$B44,Tabla1[TORNS],"")</f>
        <v>200</v>
      </c>
      <c r="I44" s="102">
        <f>SUMIFS(Tabla1[IMPORTE TOTAL],Tabla1[ANY],'Cuadro de mando 2020'!$A$42,Tabla1[MES],'Cuadro de mando 2020'!I$42,Tabla1[HORARI],'Cuadro de mando 2020'!$B44,Tabla1[COBRAT],"SI")-SUMIFS(Tabla1[IMPORTE TOTAL],Tabla1[ANY],'Cuadro de mando 2020'!$A$42,Tabla1[MES],'Cuadro de mando 2020'!I$42,Tabla1[HORARI],'Cuadro de mando 2020'!$B44,Tabla1[TORNS],"")</f>
        <v>500</v>
      </c>
      <c r="J44" s="102">
        <f>SUMIFS(Tabla1[IMPORTE TOTAL],Tabla1[ANY],'Cuadro de mando 2020'!$A$42,Tabla1[MES],'Cuadro de mando 2020'!J$42,Tabla1[HORARI],'Cuadro de mando 2020'!$B44,Tabla1[COBRAT],"SI")-SUMIFS(Tabla1[IMPORTE TOTAL],Tabla1[ANY],'Cuadro de mando 2020'!$A$42,Tabla1[MES],'Cuadro de mando 2020'!J$42,Tabla1[HORARI],'Cuadro de mando 2020'!$B44,Tabla1[TORNS],"")</f>
        <v>220</v>
      </c>
      <c r="K44" s="102">
        <f>SUMIFS(Tabla1[IMPORTE TOTAL],Tabla1[ANY],'Cuadro de mando 2020'!$A$42,Tabla1[MES],'Cuadro de mando 2020'!K$42,Tabla1[HORARI],'Cuadro de mando 2020'!$B44,Tabla1[COBRAT],"SI")-SUMIFS(Tabla1[IMPORTE TOTAL],Tabla1[ANY],'Cuadro de mando 2020'!$A$42,Tabla1[MES],'Cuadro de mando 2020'!K$42,Tabla1[HORARI],'Cuadro de mando 2020'!$B44,Tabla1[TORNS],"")</f>
        <v>50</v>
      </c>
      <c r="L44" s="102">
        <f>SUMIFS(Tabla1[IMPORTE TOTAL],Tabla1[ANY],'Cuadro de mando 2020'!$A$42,Tabla1[MES],'Cuadro de mando 2020'!L$42,Tabla1[HORARI],'Cuadro de mando 2020'!$B44,Tabla1[COBRAT],"SI")-SUMIFS(Tabla1[IMPORTE TOTAL],Tabla1[ANY],'Cuadro de mando 2020'!$A$42,Tabla1[MES],'Cuadro de mando 2020'!L$42,Tabla1[HORARI],'Cuadro de mando 2020'!$B44,Tabla1[TORNS],"")</f>
        <v>145</v>
      </c>
      <c r="M44" s="102">
        <f>SUMIFS(Tabla1[IMPORTE TOTAL],Tabla1[ANY],'Cuadro de mando 2020'!$A$42,Tabla1[MES],'Cuadro de mando 2020'!M$42,Tabla1[HORARI],'Cuadro de mando 2020'!$B44,Tabla1[COBRAT],"SI")-SUMIFS(Tabla1[IMPORTE TOTAL],Tabla1[ANY],'Cuadro de mando 2020'!$A$42,Tabla1[MES],'Cuadro de mando 2020'!M$42,Tabla1[HORARI],'Cuadro de mando 2020'!$B44,Tabla1[TORNS],"")</f>
        <v>0</v>
      </c>
      <c r="N44" s="102">
        <f>SUMIFS(Tabla1[IMPORTE TOTAL],Tabla1[ANY],'Cuadro de mando 2020'!$A$42,Tabla1[MES],'Cuadro de mando 2020'!N$42,Tabla1[HORARI],'Cuadro de mando 2020'!$B44,Tabla1[COBRAT],"SI")-SUMIFS(Tabla1[IMPORTE TOTAL],Tabla1[ANY],'Cuadro de mando 2020'!$A$42,Tabla1[MES],'Cuadro de mando 2020'!N$42,Tabla1[HORARI],'Cuadro de mando 2020'!$B44,Tabla1[TORNS],"")</f>
        <v>0</v>
      </c>
      <c r="O44" s="131">
        <f t="shared" si="6"/>
        <v>3600</v>
      </c>
    </row>
    <row r="45" spans="1:17" x14ac:dyDescent="0.2">
      <c r="A45" s="214"/>
      <c r="B45" s="2" t="s">
        <v>35</v>
      </c>
      <c r="C45" s="102">
        <f>SUMIFS(Tabla1[IMPORTE TOTAL],Tabla1[ANY],'Cuadro de mando 2020'!$A$42,Tabla1[MES],'Cuadro de mando 2020'!C$42,Tabla1[HORARI],'Cuadro de mando 2020'!$B45,Tabla1[COBRAT],"SI")-SUMIFS(Tabla1[IMPORTE TOTAL],Tabla1[ANY],'Cuadro de mando 2020'!$A$42,Tabla1[MES],'Cuadro de mando 2020'!C$42,Tabla1[HORARI],'Cuadro de mando 2020'!$B45,Tabla1[TORNS],"")</f>
        <v>1220</v>
      </c>
      <c r="D45" s="102">
        <f>SUMIFS(Tabla1[IMPORTE TOTAL],Tabla1[ANY],'Cuadro de mando 2020'!$A$42,Tabla1[MES],'Cuadro de mando 2020'!D$42,Tabla1[HORARI],'Cuadro de mando 2020'!$B45,Tabla1[COBRAT],"SI")-SUMIFS(Tabla1[IMPORTE TOTAL],Tabla1[ANY],'Cuadro de mando 2020'!$A$42,Tabla1[MES],'Cuadro de mando 2020'!D$42,Tabla1[HORARI],'Cuadro de mando 2020'!$B45,Tabla1[TORNS],"")</f>
        <v>1085</v>
      </c>
      <c r="E45" s="102">
        <f>SUMIFS(Tabla1[IMPORTE TOTAL],Tabla1[ANY],'Cuadro de mando 2020'!$A$42,Tabla1[MES],'Cuadro de mando 2020'!E$42,Tabla1[HORARI],'Cuadro de mando 2020'!$B45,Tabla1[COBRAT],"SI")-SUMIFS(Tabla1[IMPORTE TOTAL],Tabla1[ANY],'Cuadro de mando 2020'!$A$42,Tabla1[MES],'Cuadro de mando 2020'!E$42,Tabla1[HORARI],'Cuadro de mando 2020'!$B45,Tabla1[TORNS],"")</f>
        <v>245</v>
      </c>
      <c r="F45" s="102">
        <f>SUMIFS(Tabla1[IMPORTE TOTAL],Tabla1[ANY],'Cuadro de mando 2020'!$A$42,Tabla1[MES],'Cuadro de mando 2020'!F$42,Tabla1[HORARI],'Cuadro de mando 2020'!$B45,Tabla1[COBRAT],"SI")-SUMIFS(Tabla1[IMPORTE TOTAL],Tabla1[ANY],'Cuadro de mando 2020'!$A$42,Tabla1[MES],'Cuadro de mando 2020'!F$42,Tabla1[HORARI],'Cuadro de mando 2020'!$B45,Tabla1[TORNS],"")</f>
        <v>0</v>
      </c>
      <c r="G45" s="102">
        <f>SUMIFS(Tabla1[IMPORTE TOTAL],Tabla1[ANY],'Cuadro de mando 2020'!$A$42,Tabla1[MES],'Cuadro de mando 2020'!G$42,Tabla1[HORARI],'Cuadro de mando 2020'!$B45,Tabla1[COBRAT],"SI")-SUMIFS(Tabla1[IMPORTE TOTAL],Tabla1[ANY],'Cuadro de mando 2020'!$A$42,Tabla1[MES],'Cuadro de mando 2020'!G$42,Tabla1[HORARI],'Cuadro de mando 2020'!$B45,Tabla1[TORNS],"")</f>
        <v>0</v>
      </c>
      <c r="H45" s="102">
        <f>SUMIFS(Tabla1[IMPORTE TOTAL],Tabla1[ANY],'Cuadro de mando 2020'!$A$42,Tabla1[MES],'Cuadro de mando 2020'!H$42,Tabla1[HORARI],'Cuadro de mando 2020'!$B45,Tabla1[COBRAT],"SI")-SUMIFS(Tabla1[IMPORTE TOTAL],Tabla1[ANY],'Cuadro de mando 2020'!$A$42,Tabla1[MES],'Cuadro de mando 2020'!H$42,Tabla1[HORARI],'Cuadro de mando 2020'!$B45,Tabla1[TORNS],"")</f>
        <v>495</v>
      </c>
      <c r="I45" s="102">
        <f>SUMIFS(Tabla1[IMPORTE TOTAL],Tabla1[ANY],'Cuadro de mando 2020'!$A$42,Tabla1[MES],'Cuadro de mando 2020'!I$42,Tabla1[HORARI],'Cuadro de mando 2020'!$B45,Tabla1[COBRAT],"SI")-SUMIFS(Tabla1[IMPORTE TOTAL],Tabla1[ANY],'Cuadro de mando 2020'!$A$42,Tabla1[MES],'Cuadro de mando 2020'!I$42,Tabla1[HORARI],'Cuadro de mando 2020'!$B45,Tabla1[TORNS],"")</f>
        <v>1865</v>
      </c>
      <c r="J45" s="102">
        <f>SUMIFS(Tabla1[IMPORTE TOTAL],Tabla1[ANY],'Cuadro de mando 2020'!$A$42,Tabla1[MES],'Cuadro de mando 2020'!J$42,Tabla1[HORARI],'Cuadro de mando 2020'!$B45,Tabla1[COBRAT],"SI")-SUMIFS(Tabla1[IMPORTE TOTAL],Tabla1[ANY],'Cuadro de mando 2020'!$A$42,Tabla1[MES],'Cuadro de mando 2020'!J$42,Tabla1[HORARI],'Cuadro de mando 2020'!$B45,Tabla1[TORNS],"")</f>
        <v>945</v>
      </c>
      <c r="K45" s="102">
        <f>SUMIFS(Tabla1[IMPORTE TOTAL],Tabla1[ANY],'Cuadro de mando 2020'!$A$42,Tabla1[MES],'Cuadro de mando 2020'!K$42,Tabla1[HORARI],'Cuadro de mando 2020'!$B45,Tabla1[COBRAT],"SI")-SUMIFS(Tabla1[IMPORTE TOTAL],Tabla1[ANY],'Cuadro de mando 2020'!$A$42,Tabla1[MES],'Cuadro de mando 2020'!K$42,Tabla1[HORARI],'Cuadro de mando 2020'!$B45,Tabla1[TORNS],"")</f>
        <v>595</v>
      </c>
      <c r="L45" s="102">
        <f>SUMIFS(Tabla1[IMPORTE TOTAL],Tabla1[ANY],'Cuadro de mando 2020'!$A$42,Tabla1[MES],'Cuadro de mando 2020'!L$42,Tabla1[HORARI],'Cuadro de mando 2020'!$B45,Tabla1[COBRAT],"SI")-SUMIFS(Tabla1[IMPORTE TOTAL],Tabla1[ANY],'Cuadro de mando 2020'!$A$42,Tabla1[MES],'Cuadro de mando 2020'!L$42,Tabla1[HORARI],'Cuadro de mando 2020'!$B45,Tabla1[TORNS],"")</f>
        <v>0</v>
      </c>
      <c r="M45" s="102">
        <f>SUMIFS(Tabla1[IMPORTE TOTAL],Tabla1[ANY],'Cuadro de mando 2020'!$A$42,Tabla1[MES],'Cuadro de mando 2020'!M$42,Tabla1[HORARI],'Cuadro de mando 2020'!$B45,Tabla1[COBRAT],"SI")-SUMIFS(Tabla1[IMPORTE TOTAL],Tabla1[ANY],'Cuadro de mando 2020'!$A$42,Tabla1[MES],'Cuadro de mando 2020'!M$42,Tabla1[HORARI],'Cuadro de mando 2020'!$B45,Tabla1[TORNS],"")</f>
        <v>0</v>
      </c>
      <c r="N45" s="102">
        <f>SUMIFS(Tabla1[IMPORTE TOTAL],Tabla1[ANY],'Cuadro de mando 2020'!$A$42,Tabla1[MES],'Cuadro de mando 2020'!N$42,Tabla1[HORARI],'Cuadro de mando 2020'!$B45,Tabla1[COBRAT],"SI")-SUMIFS(Tabla1[IMPORTE TOTAL],Tabla1[ANY],'Cuadro de mando 2020'!$A$42,Tabla1[MES],'Cuadro de mando 2020'!N$42,Tabla1[HORARI],'Cuadro de mando 2020'!$B45,Tabla1[TORNS],"")</f>
        <v>0</v>
      </c>
      <c r="O45" s="131">
        <f t="shared" si="6"/>
        <v>6450</v>
      </c>
    </row>
    <row r="46" spans="1:17" ht="15.75" thickBot="1" x14ac:dyDescent="0.25">
      <c r="A46" s="215"/>
      <c r="B46" s="117" t="s">
        <v>172</v>
      </c>
      <c r="C46" s="118">
        <f>SUMIFS(Tabla1[IMPORTE TOTAL],Tabla1[ANY],'Cuadro de mando 2020'!$A$42,Tabla1[MES],'Cuadro de mando 2020'!C$42,Tabla1[COBRAT],"SI")-SUMIFS(Tabla1[IMPORTE TOTAL],Tabla1[ANY],'Cuadro de mando 2020'!$A$42,Tabla1[MES],'Cuadro de mando 2020'!C$42,Tabla1[TORNS],"")</f>
        <v>3540</v>
      </c>
      <c r="D46" s="118">
        <f>SUMIFS(Tabla1[IMPORTE TOTAL],Tabla1[ANY],'Cuadro de mando 2020'!$A$42,Tabla1[MES],'Cuadro de mando 2020'!D$42,Tabla1[COBRAT],"SI")-SUMIFS(Tabla1[IMPORTE TOTAL],Tabla1[ANY],'Cuadro de mando 2020'!$A$42,Tabla1[MES],'Cuadro de mando 2020'!D$42,Tabla1[TORNS],"")</f>
        <v>2945</v>
      </c>
      <c r="E46" s="118">
        <f>SUMIFS(Tabla1[IMPORTE TOTAL],Tabla1[ANY],'Cuadro de mando 2020'!$A$42,Tabla1[MES],'Cuadro de mando 2020'!E$42,Tabla1[COBRAT],"SI")-SUMIFS(Tabla1[IMPORTE TOTAL],Tabla1[ANY],'Cuadro de mando 2020'!$A$42,Tabla1[MES],'Cuadro de mando 2020'!E$42,Tabla1[TORNS],"")</f>
        <v>700</v>
      </c>
      <c r="F46" s="118">
        <f>SUMIFS(Tabla1[IMPORTE TOTAL],Tabla1[ANY],'Cuadro de mando 2020'!$A$42,Tabla1[MES],'Cuadro de mando 2020'!F$42,Tabla1[COBRAT],"SI")-SUMIFS(Tabla1[IMPORTE TOTAL],Tabla1[ANY],'Cuadro de mando 2020'!$A$42,Tabla1[MES],'Cuadro de mando 2020'!F$42,Tabla1[TORNS],"")</f>
        <v>0</v>
      </c>
      <c r="G46" s="118">
        <f>SUMIFS(Tabla1[IMPORTE TOTAL],Tabla1[ANY],'Cuadro de mando 2020'!$A$42,Tabla1[MES],'Cuadro de mando 2020'!G$42,Tabla1[COBRAT],"SI")-SUMIFS(Tabla1[IMPORTE TOTAL],Tabla1[ANY],'Cuadro de mando 2020'!$A$42,Tabla1[MES],'Cuadro de mando 2020'!G$42,Tabla1[TORNS],"")</f>
        <v>0</v>
      </c>
      <c r="H46" s="118">
        <f>SUMIFS(Tabla1[IMPORTE TOTAL],Tabla1[ANY],'Cuadro de mando 2020'!$A$42,Tabla1[MES],'Cuadro de mando 2020'!H$42,Tabla1[COBRAT],"SI")-SUMIFS(Tabla1[IMPORTE TOTAL],Tabla1[ANY],'Cuadro de mando 2020'!$A$42,Tabla1[MES],'Cuadro de mando 2020'!H$42,Tabla1[TORNS],"")</f>
        <v>1185</v>
      </c>
      <c r="I46" s="118">
        <f>SUMIFS(Tabla1[IMPORTE TOTAL],Tabla1[ANY],'Cuadro de mando 2020'!$A$42,Tabla1[MES],'Cuadro de mando 2020'!I$42,Tabla1[COBRAT],"SI")-SUMIFS(Tabla1[IMPORTE TOTAL],Tabla1[ANY],'Cuadro de mando 2020'!$A$42,Tabla1[MES],'Cuadro de mando 2020'!I$42,Tabla1[TORNS],"")</f>
        <v>2515</v>
      </c>
      <c r="J46" s="118">
        <f>SUMIFS(Tabla1[IMPORTE TOTAL],Tabla1[ANY],'Cuadro de mando 2020'!$A$42,Tabla1[MES],'Cuadro de mando 2020'!J$42,Tabla1[COBRAT],"SI")-SUMIFS(Tabla1[IMPORTE TOTAL],Tabla1[ANY],'Cuadro de mando 2020'!$A$42,Tabla1[MES],'Cuadro de mando 2020'!J$42,Tabla1[TORNS],"")</f>
        <v>1465</v>
      </c>
      <c r="K46" s="118">
        <f>SUMIFS(Tabla1[IMPORTE TOTAL],Tabla1[ANY],'Cuadro de mando 2020'!$A$42,Tabla1[MES],'Cuadro de mando 2020'!K$42,Tabla1[COBRAT],"SI")-SUMIFS(Tabla1[IMPORTE TOTAL],Tabla1[ANY],'Cuadro de mando 2020'!$A$42,Tabla1[MES],'Cuadro de mando 2020'!K$42,Tabla1[TORNS],"")</f>
        <v>1194.99</v>
      </c>
      <c r="L46" s="118">
        <f>SUMIFS(Tabla1[IMPORTE TOTAL],Tabla1[ANY],'Cuadro de mando 2020'!$A$42,Tabla1[MES],'Cuadro de mando 2020'!L$42,Tabla1[COBRAT],"SI")-SUMIFS(Tabla1[IMPORTE TOTAL],Tabla1[ANY],'Cuadro de mando 2020'!$A$42,Tabla1[MES],'Cuadro de mando 2020'!L$42,Tabla1[TORNS],"")</f>
        <v>345.00000000000006</v>
      </c>
      <c r="M46" s="118">
        <f>SUMIFS(Tabla1[IMPORTE TOTAL],Tabla1[ANY],'Cuadro de mando 2020'!$A$42,Tabla1[MES],'Cuadro de mando 2020'!M$42,Tabla1[COBRAT],"SI")-SUMIFS(Tabla1[IMPORTE TOTAL],Tabla1[ANY],'Cuadro de mando 2020'!$A$42,Tabla1[MES],'Cuadro de mando 2020'!M$42,Tabla1[TORNS],"")</f>
        <v>0</v>
      </c>
      <c r="N46" s="118">
        <f>SUMIFS(Tabla1[IMPORTE TOTAL],Tabla1[ANY],'Cuadro de mando 2020'!$A$42,Tabla1[MES],'Cuadro de mando 2020'!N$42,Tabla1[COBRAT],"SI")-SUMIFS(Tabla1[IMPORTE TOTAL],Tabla1[ANY],'Cuadro de mando 2020'!$A$42,Tabla1[MES],'Cuadro de mando 2020'!N$42,Tabla1[TORNS],"")</f>
        <v>100</v>
      </c>
      <c r="O46" s="132">
        <f t="shared" si="6"/>
        <v>13989.99</v>
      </c>
      <c r="P46" s="79">
        <f>E14</f>
        <v>13344.99</v>
      </c>
      <c r="Q46" s="79">
        <f>P46+M26</f>
        <v>13817.19</v>
      </c>
    </row>
    <row r="47" spans="1:17" x14ac:dyDescent="0.2">
      <c r="A47" s="216" t="s">
        <v>283</v>
      </c>
      <c r="B47" s="114" t="s">
        <v>30</v>
      </c>
      <c r="C47" s="115">
        <f>COUNTIFS(Tabla1[ANY],'Cuadro de mando 2020'!$A$42,Tabla1[MES],'Cuadro de mando 2020'!C$42,Tabla1[HORARI],'Cuadro de mando 2020'!$B47,Tabla1[COBRAT],"SI")-COUNTIFS(Tabla1[ANY],'Cuadro de mando 2020'!$A$42,Tabla1[MES],'Cuadro de mando 2020'!C$42,Tabla1[HORARI],'Cuadro de mando 2020'!$B47,Tabla1[TORNS],"")</f>
        <v>3</v>
      </c>
      <c r="D47" s="115">
        <f>COUNTIFS(Tabla1[ANY],'Cuadro de mando 2020'!$A$42,Tabla1[MES],'Cuadro de mando 2020'!D$42,Tabla1[HORARI],'Cuadro de mando 2020'!$B47,Tabla1[COBRAT],"SI")-COUNTIFS(Tabla1[ANY],'Cuadro de mando 2020'!$A$42,Tabla1[MES],'Cuadro de mando 2020'!D$42,Tabla1[HORARI],'Cuadro de mando 2020'!$B47,Tabla1[TORNS],"")</f>
        <v>5</v>
      </c>
      <c r="E47" s="115">
        <f>COUNTIFS(Tabla1[ANY],'Cuadro de mando 2020'!$A$42,Tabla1[MES],'Cuadro de mando 2020'!E$42,Tabla1[HORARI],'Cuadro de mando 2020'!$B47,Tabla1[COBRAT],"SI")-COUNTIFS(Tabla1[ANY],'Cuadro de mando 2020'!$A$42,Tabla1[MES],'Cuadro de mando 2020'!E$42,Tabla1[HORARI],'Cuadro de mando 2020'!$B47,Tabla1[TORNS],"")</f>
        <v>1</v>
      </c>
      <c r="F47" s="115">
        <f>COUNTIFS(Tabla1[ANY],'Cuadro de mando 2020'!$A$42,Tabla1[MES],'Cuadro de mando 2020'!F$42,Tabla1[HORARI],'Cuadro de mando 2020'!$B47,Tabla1[COBRAT],"SI")-COUNTIFS(Tabla1[ANY],'Cuadro de mando 2020'!$A$42,Tabla1[MES],'Cuadro de mando 2020'!F$42,Tabla1[HORARI],'Cuadro de mando 2020'!$B47,Tabla1[TORNS],"")</f>
        <v>0</v>
      </c>
      <c r="G47" s="115">
        <f>COUNTIFS(Tabla1[ANY],'Cuadro de mando 2020'!$A$42,Tabla1[MES],'Cuadro de mando 2020'!G$42,Tabla1[HORARI],'Cuadro de mando 2020'!$B47,Tabla1[COBRAT],"SI")-COUNTIFS(Tabla1[ANY],'Cuadro de mando 2020'!$A$42,Tabla1[MES],'Cuadro de mando 2020'!G$42,Tabla1[HORARI],'Cuadro de mando 2020'!$B47,Tabla1[TORNS],"")</f>
        <v>0</v>
      </c>
      <c r="H47" s="115">
        <f>COUNTIFS(Tabla1[ANY],'Cuadro de mando 2020'!$A$42,Tabla1[MES],'Cuadro de mando 2020'!H$42,Tabla1[HORARI],'Cuadro de mando 2020'!$B47,Tabla1[COBRAT],"SI")-COUNTIFS(Tabla1[ANY],'Cuadro de mando 2020'!$A$42,Tabla1[MES],'Cuadro de mando 2020'!H$42,Tabla1[HORARI],'Cuadro de mando 2020'!$B47,Tabla1[TORNS],"")</f>
        <v>0</v>
      </c>
      <c r="I47" s="115">
        <f>COUNTIFS(Tabla1[ANY],'Cuadro de mando 2020'!$A$42,Tabla1[MES],'Cuadro de mando 2020'!I$42,Tabla1[HORARI],'Cuadro de mando 2020'!$B47,Tabla1[COBRAT],"SI")-COUNTIFS(Tabla1[ANY],'Cuadro de mando 2020'!$A$42,Tabla1[MES],'Cuadro de mando 2020'!I$42,Tabla1[HORARI],'Cuadro de mando 2020'!$B47,Tabla1[TORNS],"")</f>
        <v>1</v>
      </c>
      <c r="J47" s="115">
        <f>COUNTIFS(Tabla1[ANY],'Cuadro de mando 2020'!$A$42,Tabla1[MES],'Cuadro de mando 2020'!J$42,Tabla1[HORARI],'Cuadro de mando 2020'!$B47,Tabla1[COBRAT],"SI")-COUNTIFS(Tabla1[ANY],'Cuadro de mando 2020'!$A$42,Tabla1[MES],'Cuadro de mando 2020'!J$42,Tabla1[HORARI],'Cuadro de mando 2020'!$B47,Tabla1[TORNS],"")</f>
        <v>0</v>
      </c>
      <c r="K47" s="115">
        <f>COUNTIFS(Tabla1[ANY],'Cuadro de mando 2020'!$A$42,Tabla1[MES],'Cuadro de mando 2020'!K$42,Tabla1[HORARI],'Cuadro de mando 2020'!$B47,Tabla1[COBRAT],"SI")-COUNTIFS(Tabla1[ANY],'Cuadro de mando 2020'!$A$42,Tabla1[MES],'Cuadro de mando 2020'!K$42,Tabla1[HORARI],'Cuadro de mando 2020'!$B47,Tabla1[TORNS],"")</f>
        <v>0</v>
      </c>
      <c r="L47" s="115">
        <f>COUNTIFS(Tabla1[ANY],'Cuadro de mando 2020'!$A$42,Tabla1[MES],'Cuadro de mando 2020'!L$42,Tabla1[HORARI],'Cuadro de mando 2020'!$B47,Tabla1[COBRAT],"SI")-COUNTIFS(Tabla1[ANY],'Cuadro de mando 2020'!$A$42,Tabla1[MES],'Cuadro de mando 2020'!L$42,Tabla1[HORARI],'Cuadro de mando 2020'!$B47,Tabla1[TORNS],"")</f>
        <v>0</v>
      </c>
      <c r="M47" s="115">
        <f>COUNTIFS(Tabla1[ANY],'Cuadro de mando 2020'!$A$42,Tabla1[MES],'Cuadro de mando 2020'!M$42,Tabla1[HORARI],'Cuadro de mando 2020'!$B47,Tabla1[COBRAT],"SI")-COUNTIFS(Tabla1[ANY],'Cuadro de mando 2020'!$A$42,Tabla1[MES],'Cuadro de mando 2020'!M$42,Tabla1[HORARI],'Cuadro de mando 2020'!$B47,Tabla1[TORNS],"")</f>
        <v>0</v>
      </c>
      <c r="N47" s="115">
        <f>COUNTIFS(Tabla1[ANY],'Cuadro de mando 2020'!$A$42,Tabla1[MES],'Cuadro de mando 2020'!N$42,Tabla1[HORARI],'Cuadro de mando 2020'!$B47,Tabla1[COBRAT],"SI")-COUNTIFS(Tabla1[ANY],'Cuadro de mando 2020'!$A$42,Tabla1[MES],'Cuadro de mando 2020'!N$42,Tabla1[HORARI],'Cuadro de mando 2020'!$B47,Tabla1[TORNS],"")</f>
        <v>0</v>
      </c>
      <c r="O47" s="133">
        <f t="shared" si="6"/>
        <v>10</v>
      </c>
    </row>
    <row r="48" spans="1:17" x14ac:dyDescent="0.2">
      <c r="A48" s="217"/>
      <c r="B48" s="2" t="s">
        <v>31</v>
      </c>
      <c r="C48" s="102">
        <f>COUNTIFS(Tabla1[ANY],'Cuadro de mando 2020'!$A$42,Tabla1[MES],'Cuadro de mando 2020'!C$42,Tabla1[HORARI],'Cuadro de mando 2020'!$B48,Tabla1[COBRAT],"SI")-COUNTIFS(Tabla1[ANY],'Cuadro de mando 2020'!$A$42,Tabla1[MES],'Cuadro de mando 2020'!C$42,Tabla1[HORARI],'Cuadro de mando 2020'!$B48,Tabla1[TORNS],"")</f>
        <v>8</v>
      </c>
      <c r="D48" s="102">
        <f>COUNTIFS(Tabla1[ANY],'Cuadro de mando 2020'!$A$42,Tabla1[MES],'Cuadro de mando 2020'!D$42,Tabla1[HORARI],'Cuadro de mando 2020'!$B48,Tabla1[COBRAT],"SI")-COUNTIFS(Tabla1[ANY],'Cuadro de mando 2020'!$A$42,Tabla1[MES],'Cuadro de mando 2020'!D$42,Tabla1[HORARI],'Cuadro de mando 2020'!$B48,Tabla1[TORNS],"")</f>
        <v>9</v>
      </c>
      <c r="E48" s="102">
        <f>COUNTIFS(Tabla1[ANY],'Cuadro de mando 2020'!$A$42,Tabla1[MES],'Cuadro de mando 2020'!E$42,Tabla1[HORARI],'Cuadro de mando 2020'!$B48,Tabla1[COBRAT],"SI")-COUNTIFS(Tabla1[ANY],'Cuadro de mando 2020'!$A$42,Tabla1[MES],'Cuadro de mando 2020'!E$42,Tabla1[HORARI],'Cuadro de mando 2020'!$B48,Tabla1[TORNS],"")</f>
        <v>2</v>
      </c>
      <c r="F48" s="102">
        <f>COUNTIFS(Tabla1[ANY],'Cuadro de mando 2020'!$A$42,Tabla1[MES],'Cuadro de mando 2020'!F$42,Tabla1[HORARI],'Cuadro de mando 2020'!$B48,Tabla1[COBRAT],"SI")-COUNTIFS(Tabla1[ANY],'Cuadro de mando 2020'!$A$42,Tabla1[MES],'Cuadro de mando 2020'!F$42,Tabla1[HORARI],'Cuadro de mando 2020'!$B48,Tabla1[TORNS],"")</f>
        <v>0</v>
      </c>
      <c r="G48" s="102">
        <f>COUNTIFS(Tabla1[ANY],'Cuadro de mando 2020'!$A$42,Tabla1[MES],'Cuadro de mando 2020'!G$42,Tabla1[HORARI],'Cuadro de mando 2020'!$B48,Tabla1[COBRAT],"SI")-COUNTIFS(Tabla1[ANY],'Cuadro de mando 2020'!$A$42,Tabla1[MES],'Cuadro de mando 2020'!G$42,Tabla1[HORARI],'Cuadro de mando 2020'!$B48,Tabla1[TORNS],"")</f>
        <v>0</v>
      </c>
      <c r="H48" s="102">
        <f>COUNTIFS(Tabla1[ANY],'Cuadro de mando 2020'!$A$42,Tabla1[MES],'Cuadro de mando 2020'!H$42,Tabla1[HORARI],'Cuadro de mando 2020'!$B48,Tabla1[COBRAT],"SI")-COUNTIFS(Tabla1[ANY],'Cuadro de mando 2020'!$A$42,Tabla1[MES],'Cuadro de mando 2020'!H$42,Tabla1[HORARI],'Cuadro de mando 2020'!$B48,Tabla1[TORNS],"")</f>
        <v>4</v>
      </c>
      <c r="I48" s="102">
        <f>COUNTIFS(Tabla1[ANY],'Cuadro de mando 2020'!$A$42,Tabla1[MES],'Cuadro de mando 2020'!I$42,Tabla1[HORARI],'Cuadro de mando 2020'!$B48,Tabla1[COBRAT],"SI")-COUNTIFS(Tabla1[ANY],'Cuadro de mando 2020'!$A$42,Tabla1[MES],'Cuadro de mando 2020'!I$42,Tabla1[HORARI],'Cuadro de mando 2020'!$B48,Tabla1[TORNS],"")</f>
        <v>8</v>
      </c>
      <c r="J48" s="102">
        <f>COUNTIFS(Tabla1[ANY],'Cuadro de mando 2020'!$A$42,Tabla1[MES],'Cuadro de mando 2020'!J$42,Tabla1[HORARI],'Cuadro de mando 2020'!$B48,Tabla1[COBRAT],"SI")-COUNTIFS(Tabla1[ANY],'Cuadro de mando 2020'!$A$42,Tabla1[MES],'Cuadro de mando 2020'!J$42,Tabla1[HORARI],'Cuadro de mando 2020'!$B48,Tabla1[TORNS],"")</f>
        <v>2</v>
      </c>
      <c r="K48" s="102">
        <f>COUNTIFS(Tabla1[ANY],'Cuadro de mando 2020'!$A$42,Tabla1[MES],'Cuadro de mando 2020'!K$42,Tabla1[HORARI],'Cuadro de mando 2020'!$B48,Tabla1[COBRAT],"SI")-COUNTIFS(Tabla1[ANY],'Cuadro de mando 2020'!$A$42,Tabla1[MES],'Cuadro de mando 2020'!K$42,Tabla1[HORARI],'Cuadro de mando 2020'!$B48,Tabla1[TORNS],"")</f>
        <v>1</v>
      </c>
      <c r="L48" s="102">
        <f>COUNTIFS(Tabla1[ANY],'Cuadro de mando 2020'!$A$42,Tabla1[MES],'Cuadro de mando 2020'!L$42,Tabla1[HORARI],'Cuadro de mando 2020'!$B48,Tabla1[COBRAT],"SI")-COUNTIFS(Tabla1[ANY],'Cuadro de mando 2020'!$A$42,Tabla1[MES],'Cuadro de mando 2020'!L$42,Tabla1[HORARI],'Cuadro de mando 2020'!$B48,Tabla1[TORNS],"")</f>
        <v>1</v>
      </c>
      <c r="M48" s="102">
        <f>COUNTIFS(Tabla1[ANY],'Cuadro de mando 2020'!$A$42,Tabla1[MES],'Cuadro de mando 2020'!M$42,Tabla1[HORARI],'Cuadro de mando 2020'!$B48,Tabla1[COBRAT],"SI")-COUNTIFS(Tabla1[ANY],'Cuadro de mando 2020'!$A$42,Tabla1[MES],'Cuadro de mando 2020'!M$42,Tabla1[HORARI],'Cuadro de mando 2020'!$B48,Tabla1[TORNS],"")</f>
        <v>0</v>
      </c>
      <c r="N48" s="102">
        <f>COUNTIFS(Tabla1[ANY],'Cuadro de mando 2020'!$A$42,Tabla1[MES],'Cuadro de mando 2020'!N$42,Tabla1[HORARI],'Cuadro de mando 2020'!$B48,Tabla1[COBRAT],"SI")-COUNTIFS(Tabla1[ANY],'Cuadro de mando 2020'!$A$42,Tabla1[MES],'Cuadro de mando 2020'!N$42,Tabla1[HORARI],'Cuadro de mando 2020'!$B48,Tabla1[TORNS],"")</f>
        <v>0</v>
      </c>
      <c r="O48" s="131">
        <f t="shared" si="6"/>
        <v>35</v>
      </c>
    </row>
    <row r="49" spans="1:16" x14ac:dyDescent="0.2">
      <c r="A49" s="217"/>
      <c r="B49" s="2" t="s">
        <v>35</v>
      </c>
      <c r="C49" s="102">
        <f>COUNTIFS(Tabla1[ANY],'Cuadro de mando 2020'!$A$42,Tabla1[MES],'Cuadro de mando 2020'!C$42,Tabla1[HORARI],'Cuadro de mando 2020'!$B49,Tabla1[COBRAT],"SI")-COUNTIFS(Tabla1[ANY],'Cuadro de mando 2020'!$A$42,Tabla1[MES],'Cuadro de mando 2020'!C$42,Tabla1[HORARI],'Cuadro de mando 2020'!$B49,Tabla1[TORNS],"")</f>
        <v>6</v>
      </c>
      <c r="D49" s="102">
        <f>COUNTIFS(Tabla1[ANY],'Cuadro de mando 2020'!$A$42,Tabla1[MES],'Cuadro de mando 2020'!D$42,Tabla1[HORARI],'Cuadro de mando 2020'!$B49,Tabla1[COBRAT],"SI")-COUNTIFS(Tabla1[ANY],'Cuadro de mando 2020'!$A$42,Tabla1[MES],'Cuadro de mando 2020'!D$42,Tabla1[HORARI],'Cuadro de mando 2020'!$B49,Tabla1[TORNS],"")</f>
        <v>5</v>
      </c>
      <c r="E49" s="102">
        <f>COUNTIFS(Tabla1[ANY],'Cuadro de mando 2020'!$A$42,Tabla1[MES],'Cuadro de mando 2020'!E$42,Tabla1[HORARI],'Cuadro de mando 2020'!$B49,Tabla1[COBRAT],"SI")-COUNTIFS(Tabla1[ANY],'Cuadro de mando 2020'!$A$42,Tabla1[MES],'Cuadro de mando 2020'!E$42,Tabla1[HORARI],'Cuadro de mando 2020'!$B49,Tabla1[TORNS],"")</f>
        <v>1</v>
      </c>
      <c r="F49" s="102">
        <f>COUNTIFS(Tabla1[ANY],'Cuadro de mando 2020'!$A$42,Tabla1[MES],'Cuadro de mando 2020'!F$42,Tabla1[HORARI],'Cuadro de mando 2020'!$B49,Tabla1[COBRAT],"SI")-COUNTIFS(Tabla1[ANY],'Cuadro de mando 2020'!$A$42,Tabla1[MES],'Cuadro de mando 2020'!F$42,Tabla1[HORARI],'Cuadro de mando 2020'!$B49,Tabla1[TORNS],"")</f>
        <v>0</v>
      </c>
      <c r="G49" s="102">
        <f>COUNTIFS(Tabla1[ANY],'Cuadro de mando 2020'!$A$42,Tabla1[MES],'Cuadro de mando 2020'!G$42,Tabla1[HORARI],'Cuadro de mando 2020'!$B49,Tabla1[COBRAT],"SI")-COUNTIFS(Tabla1[ANY],'Cuadro de mando 2020'!$A$42,Tabla1[MES],'Cuadro de mando 2020'!G$42,Tabla1[HORARI],'Cuadro de mando 2020'!$B49,Tabla1[TORNS],"")</f>
        <v>0</v>
      </c>
      <c r="H49" s="102">
        <f>COUNTIFS(Tabla1[ANY],'Cuadro de mando 2020'!$A$42,Tabla1[MES],'Cuadro de mando 2020'!H$42,Tabla1[HORARI],'Cuadro de mando 2020'!$B49,Tabla1[COBRAT],"SI")-COUNTIFS(Tabla1[ANY],'Cuadro de mando 2020'!$A$42,Tabla1[MES],'Cuadro de mando 2020'!H$42,Tabla1[HORARI],'Cuadro de mando 2020'!$B49,Tabla1[TORNS],"")</f>
        <v>2</v>
      </c>
      <c r="I49" s="102">
        <f>COUNTIFS(Tabla1[ANY],'Cuadro de mando 2020'!$A$42,Tabla1[MES],'Cuadro de mando 2020'!I$42,Tabla1[HORARI],'Cuadro de mando 2020'!$B49,Tabla1[COBRAT],"SI")-COUNTIFS(Tabla1[ANY],'Cuadro de mando 2020'!$A$42,Tabla1[MES],'Cuadro de mando 2020'!I$42,Tabla1[HORARI],'Cuadro de mando 2020'!$B49,Tabla1[TORNS],"")</f>
        <v>9</v>
      </c>
      <c r="J49" s="102">
        <f>COUNTIFS(Tabla1[ANY],'Cuadro de mando 2020'!$A$42,Tabla1[MES],'Cuadro de mando 2020'!J$42,Tabla1[HORARI],'Cuadro de mando 2020'!$B49,Tabla1[COBRAT],"SI")-COUNTIFS(Tabla1[ANY],'Cuadro de mando 2020'!$A$42,Tabla1[MES],'Cuadro de mando 2020'!J$42,Tabla1[HORARI],'Cuadro de mando 2020'!$B49,Tabla1[TORNS],"")</f>
        <v>4</v>
      </c>
      <c r="K49" s="102">
        <f>COUNTIFS(Tabla1[ANY],'Cuadro de mando 2020'!$A$42,Tabla1[MES],'Cuadro de mando 2020'!K$42,Tabla1[HORARI],'Cuadro de mando 2020'!$B49,Tabla1[COBRAT],"SI")-COUNTIFS(Tabla1[ANY],'Cuadro de mando 2020'!$A$42,Tabla1[MES],'Cuadro de mando 2020'!K$42,Tabla1[HORARI],'Cuadro de mando 2020'!$B49,Tabla1[TORNS],"")</f>
        <v>3</v>
      </c>
      <c r="L49" s="102">
        <f>COUNTIFS(Tabla1[ANY],'Cuadro de mando 2020'!$A$42,Tabla1[MES],'Cuadro de mando 2020'!L$42,Tabla1[HORARI],'Cuadro de mando 2020'!$B49,Tabla1[COBRAT],"SI")-COUNTIFS(Tabla1[ANY],'Cuadro de mando 2020'!$A$42,Tabla1[MES],'Cuadro de mando 2020'!L$42,Tabla1[HORARI],'Cuadro de mando 2020'!$B49,Tabla1[TORNS],"")</f>
        <v>0</v>
      </c>
      <c r="M49" s="102">
        <f>COUNTIFS(Tabla1[ANY],'Cuadro de mando 2020'!$A$42,Tabla1[MES],'Cuadro de mando 2020'!M$42,Tabla1[HORARI],'Cuadro de mando 2020'!$B49,Tabla1[COBRAT],"SI")-COUNTIFS(Tabla1[ANY],'Cuadro de mando 2020'!$A$42,Tabla1[MES],'Cuadro de mando 2020'!M$42,Tabla1[HORARI],'Cuadro de mando 2020'!$B49,Tabla1[TORNS],"")</f>
        <v>0</v>
      </c>
      <c r="N49" s="102">
        <f>COUNTIFS(Tabla1[ANY],'Cuadro de mando 2020'!$A$42,Tabla1[MES],'Cuadro de mando 2020'!N$42,Tabla1[HORARI],'Cuadro de mando 2020'!$B49,Tabla1[COBRAT],"SI")-COUNTIFS(Tabla1[ANY],'Cuadro de mando 2020'!$A$42,Tabla1[MES],'Cuadro de mando 2020'!N$42,Tabla1[HORARI],'Cuadro de mando 2020'!$B49,Tabla1[TORNS],"")</f>
        <v>0</v>
      </c>
      <c r="O49" s="131">
        <f t="shared" si="6"/>
        <v>30</v>
      </c>
    </row>
    <row r="50" spans="1:16" ht="15.75" thickBot="1" x14ac:dyDescent="0.25">
      <c r="A50" s="218"/>
      <c r="B50" s="119" t="s">
        <v>172</v>
      </c>
      <c r="C50" s="120">
        <f>COUNTIFS(Tabla1[ANY],'Cuadro de mando 2020'!$A$42,Tabla1[MES],'Cuadro de mando 2020'!C$42,Tabla1[COBRAT],"SI")-COUNTIFS(Tabla1[ANY],'Cuadro de mando 2020'!$A$42,Tabla1[MES],'Cuadro de mando 2020'!C$42,Tabla1[TORNS],"")</f>
        <v>21</v>
      </c>
      <c r="D50" s="120">
        <f>COUNTIFS(Tabla1[ANY],'Cuadro de mando 2020'!$A$42,Tabla1[MES],'Cuadro de mando 2020'!D$42,Tabla1[COBRAT],"SI")-COUNTIFS(Tabla1[ANY],'Cuadro de mando 2020'!$A$42,Tabla1[MES],'Cuadro de mando 2020'!D$42,Tabla1[TORNS],"")</f>
        <v>19</v>
      </c>
      <c r="E50" s="120">
        <f>COUNTIFS(Tabla1[ANY],'Cuadro de mando 2020'!$A$42,Tabla1[MES],'Cuadro de mando 2020'!E$42,Tabla1[COBRAT],"SI")-COUNTIFS(Tabla1[ANY],'Cuadro de mando 2020'!$A$42,Tabla1[MES],'Cuadro de mando 2020'!E$42,Tabla1[TORNS],"")</f>
        <v>4</v>
      </c>
      <c r="F50" s="120">
        <f>COUNTIFS(Tabla1[ANY],'Cuadro de mando 2020'!$A$42,Tabla1[MES],'Cuadro de mando 2020'!F$42,Tabla1[COBRAT],"SI")-COUNTIFS(Tabla1[ANY],'Cuadro de mando 2020'!$A$42,Tabla1[MES],'Cuadro de mando 2020'!F$42,Tabla1[TORNS],"")</f>
        <v>0</v>
      </c>
      <c r="G50" s="120">
        <f>COUNTIFS(Tabla1[ANY],'Cuadro de mando 2020'!$A$42,Tabla1[MES],'Cuadro de mando 2020'!G$42,Tabla1[COBRAT],"SI")-COUNTIFS(Tabla1[ANY],'Cuadro de mando 2020'!$A$42,Tabla1[MES],'Cuadro de mando 2020'!G$42,Tabla1[TORNS],"")</f>
        <v>0</v>
      </c>
      <c r="H50" s="120">
        <f>COUNTIFS(Tabla1[ANY],'Cuadro de mando 2020'!$A$42,Tabla1[MES],'Cuadro de mando 2020'!H$42,Tabla1[COBRAT],"SI")-COUNTIFS(Tabla1[ANY],'Cuadro de mando 2020'!$A$42,Tabla1[MES],'Cuadro de mando 2020'!H$42,Tabla1[TORNS],"")</f>
        <v>8</v>
      </c>
      <c r="I50" s="120">
        <f>COUNTIFS(Tabla1[ANY],'Cuadro de mando 2020'!$A$42,Tabla1[MES],'Cuadro de mando 2020'!I$42,Tabla1[COBRAT],"SI")-COUNTIFS(Tabla1[ANY],'Cuadro de mando 2020'!$A$42,Tabla1[MES],'Cuadro de mando 2020'!I$42,Tabla1[TORNS],"")</f>
        <v>18</v>
      </c>
      <c r="J50" s="120">
        <f>COUNTIFS(Tabla1[ANY],'Cuadro de mando 2020'!$A$42,Tabla1[MES],'Cuadro de mando 2020'!J$42,Tabla1[COBRAT],"SI")-COUNTIFS(Tabla1[ANY],'Cuadro de mando 2020'!$A$42,Tabla1[MES],'Cuadro de mando 2020'!J$42,Tabla1[TORNS],"")</f>
        <v>7</v>
      </c>
      <c r="K50" s="120">
        <f>COUNTIFS(Tabla1[ANY],'Cuadro de mando 2020'!$A$42,Tabla1[MES],'Cuadro de mando 2020'!K$42,Tabla1[COBRAT],"SI")-COUNTIFS(Tabla1[ANY],'Cuadro de mando 2020'!$A$42,Tabla1[MES],'Cuadro de mando 2020'!K$42,Tabla1[TORNS],"")</f>
        <v>6</v>
      </c>
      <c r="L50" s="120">
        <f>COUNTIFS(Tabla1[ANY],'Cuadro de mando 2020'!$A$42,Tabla1[MES],'Cuadro de mando 2020'!L$42,Tabla1[COBRAT],"SI")-COUNTIFS(Tabla1[ANY],'Cuadro de mando 2020'!$A$42,Tabla1[MES],'Cuadro de mando 2020'!L$42,Tabla1[TORNS],"")</f>
        <v>2</v>
      </c>
      <c r="M50" s="120">
        <f>COUNTIFS(Tabla1[ANY],'Cuadro de mando 2020'!$A$42,Tabla1[MES],'Cuadro de mando 2020'!M$42,Tabla1[COBRAT],"SI")-COUNTIFS(Tabla1[ANY],'Cuadro de mando 2020'!$A$42,Tabla1[MES],'Cuadro de mando 2020'!M$42,Tabla1[TORNS],"")</f>
        <v>0</v>
      </c>
      <c r="N50" s="120">
        <f>COUNTIFS(Tabla1[ANY],'Cuadro de mando 2020'!$A$42,Tabla1[MES],'Cuadro de mando 2020'!N$42,Tabla1[COBRAT],"SI")-COUNTIFS(Tabla1[ANY],'Cuadro de mando 2020'!$A$42,Tabla1[MES],'Cuadro de mando 2020'!N$42,Tabla1[TORNS],"")</f>
        <v>1</v>
      </c>
      <c r="O50" s="134">
        <f t="shared" si="6"/>
        <v>86</v>
      </c>
      <c r="P50">
        <f>B14</f>
        <v>82</v>
      </c>
    </row>
    <row r="51" spans="1:16" x14ac:dyDescent="0.2">
      <c r="A51" s="219" t="s">
        <v>261</v>
      </c>
      <c r="B51" s="114" t="s">
        <v>30</v>
      </c>
      <c r="C51" s="116">
        <f t="shared" ref="C51:O51" si="7">IF(C47=0,0,C43/C47)</f>
        <v>145</v>
      </c>
      <c r="D51" s="116">
        <f t="shared" si="7"/>
        <v>145</v>
      </c>
      <c r="E51" s="116">
        <f t="shared" si="7"/>
        <v>145</v>
      </c>
      <c r="F51" s="116">
        <f t="shared" si="7"/>
        <v>0</v>
      </c>
      <c r="G51" s="116">
        <f t="shared" si="7"/>
        <v>0</v>
      </c>
      <c r="H51" s="116">
        <f t="shared" si="7"/>
        <v>0</v>
      </c>
      <c r="I51" s="116">
        <f t="shared" si="7"/>
        <v>150</v>
      </c>
      <c r="J51" s="116">
        <f t="shared" si="7"/>
        <v>0</v>
      </c>
      <c r="K51" s="116">
        <f t="shared" si="7"/>
        <v>0</v>
      </c>
      <c r="L51" s="116">
        <f t="shared" si="7"/>
        <v>0</v>
      </c>
      <c r="M51" s="116">
        <f t="shared" si="7"/>
        <v>0</v>
      </c>
      <c r="N51" s="116">
        <f t="shared" si="7"/>
        <v>0</v>
      </c>
      <c r="O51" s="135">
        <f t="shared" si="7"/>
        <v>145.5</v>
      </c>
    </row>
    <row r="52" spans="1:16" x14ac:dyDescent="0.2">
      <c r="A52" s="220"/>
      <c r="B52" s="2" t="s">
        <v>31</v>
      </c>
      <c r="C52" s="103">
        <f t="shared" ref="C52:O52" si="8">IF(C48=0,0,C44/C48)</f>
        <v>130</v>
      </c>
      <c r="D52" s="103">
        <f t="shared" si="8"/>
        <v>126.11111111111111</v>
      </c>
      <c r="E52" s="103">
        <f t="shared" si="8"/>
        <v>155</v>
      </c>
      <c r="F52" s="103">
        <f t="shared" si="8"/>
        <v>0</v>
      </c>
      <c r="G52" s="103">
        <f t="shared" si="8"/>
        <v>0</v>
      </c>
      <c r="H52" s="103">
        <f t="shared" si="8"/>
        <v>50</v>
      </c>
      <c r="I52" s="103">
        <f t="shared" si="8"/>
        <v>62.5</v>
      </c>
      <c r="J52" s="103">
        <f t="shared" si="8"/>
        <v>110</v>
      </c>
      <c r="K52" s="103">
        <f t="shared" si="8"/>
        <v>50</v>
      </c>
      <c r="L52" s="103">
        <f t="shared" si="8"/>
        <v>145</v>
      </c>
      <c r="M52" s="103">
        <f t="shared" si="8"/>
        <v>0</v>
      </c>
      <c r="N52" s="103">
        <f t="shared" si="8"/>
        <v>0</v>
      </c>
      <c r="O52" s="136">
        <f t="shared" si="8"/>
        <v>102.85714285714286</v>
      </c>
    </row>
    <row r="53" spans="1:16" x14ac:dyDescent="0.2">
      <c r="A53" s="220"/>
      <c r="B53" s="2" t="s">
        <v>35</v>
      </c>
      <c r="C53" s="103">
        <f t="shared" ref="C53:O53" si="9">IF(C49=0,0,C45/C49)</f>
        <v>203.33333333333334</v>
      </c>
      <c r="D53" s="103">
        <f t="shared" si="9"/>
        <v>217</v>
      </c>
      <c r="E53" s="103">
        <f t="shared" si="9"/>
        <v>245</v>
      </c>
      <c r="F53" s="103">
        <f t="shared" si="9"/>
        <v>0</v>
      </c>
      <c r="G53" s="103">
        <f t="shared" si="9"/>
        <v>0</v>
      </c>
      <c r="H53" s="103">
        <f t="shared" si="9"/>
        <v>247.5</v>
      </c>
      <c r="I53" s="103">
        <f t="shared" si="9"/>
        <v>207.22222222222223</v>
      </c>
      <c r="J53" s="103">
        <f t="shared" si="9"/>
        <v>236.25</v>
      </c>
      <c r="K53" s="103">
        <f t="shared" si="9"/>
        <v>198.33333333333334</v>
      </c>
      <c r="L53" s="103">
        <f t="shared" si="9"/>
        <v>0</v>
      </c>
      <c r="M53" s="103">
        <f t="shared" si="9"/>
        <v>0</v>
      </c>
      <c r="N53" s="103">
        <f t="shared" si="9"/>
        <v>0</v>
      </c>
      <c r="O53" s="136">
        <f t="shared" si="9"/>
        <v>215</v>
      </c>
    </row>
    <row r="54" spans="1:16" ht="15.75" thickBot="1" x14ac:dyDescent="0.25">
      <c r="A54" s="221"/>
      <c r="B54" s="121" t="s">
        <v>172</v>
      </c>
      <c r="C54" s="122">
        <f>IF(C50=0,0,C46/C50)</f>
        <v>168.57142857142858</v>
      </c>
      <c r="D54" s="122">
        <f>IF(D50=0,0,D46/D50)</f>
        <v>155</v>
      </c>
      <c r="E54" s="122">
        <f>IF(E50=0,0,E46/E50)</f>
        <v>175</v>
      </c>
      <c r="F54" s="122">
        <f t="shared" ref="F54:L54" si="10">IF(F50=0,0,F46/F50)</f>
        <v>0</v>
      </c>
      <c r="G54" s="122">
        <f t="shared" si="10"/>
        <v>0</v>
      </c>
      <c r="H54" s="122">
        <f t="shared" si="10"/>
        <v>148.125</v>
      </c>
      <c r="I54" s="122">
        <f t="shared" si="10"/>
        <v>139.72222222222223</v>
      </c>
      <c r="J54" s="122">
        <f t="shared" si="10"/>
        <v>209.28571428571428</v>
      </c>
      <c r="K54" s="122">
        <f t="shared" si="10"/>
        <v>199.16499999999999</v>
      </c>
      <c r="L54" s="122">
        <f t="shared" si="10"/>
        <v>172.50000000000003</v>
      </c>
      <c r="M54" s="122">
        <f>IF(M50=0,0,M46/M50)</f>
        <v>0</v>
      </c>
      <c r="N54" s="122">
        <f>IF(N50=0,0,N46/N50)</f>
        <v>100</v>
      </c>
      <c r="O54" s="137">
        <f>IF(O50=0,0,O46/O50)</f>
        <v>162.67430232558138</v>
      </c>
      <c r="P54" s="48">
        <f>G14</f>
        <v>162.74378048780488</v>
      </c>
    </row>
    <row r="55" spans="1:16" x14ac:dyDescent="0.2">
      <c r="A55" s="222" t="s">
        <v>284</v>
      </c>
      <c r="B55" s="2" t="s">
        <v>172</v>
      </c>
      <c r="C55" s="87">
        <f>SUMIFS(Tabla2[IMPORT],Tabla2[ANY],'Cuadro de mando 2020'!$A$42,Tabla2[MES],'Cuadro de mando 2020'!C$42,Tabla2[TIPO DESPESA],"VARIABLE")</f>
        <v>357.19</v>
      </c>
      <c r="D55" s="87">
        <f>SUMIFS(Tabla2[IMPORT],Tabla2[ANY],'Cuadro de mando 2020'!$A$42,Tabla2[MES],'Cuadro de mando 2020'!D$42,Tabla2[TIPO DESPESA],"VARIABLE")</f>
        <v>415.16</v>
      </c>
      <c r="E55" s="87">
        <f>SUMIFS(Tabla2[IMPORT],Tabla2[ANY],'Cuadro de mando 2020'!$A$42,Tabla2[MES],'Cuadro de mando 2020'!E$42,Tabla2[TIPO DESPESA],"VARIABLE")</f>
        <v>18.61</v>
      </c>
      <c r="F55" s="87">
        <f>SUMIFS(Tabla2[IMPORT],Tabla2[ANY],'Cuadro de mando 2020'!$A$42,Tabla2[MES],'Cuadro de mando 2020'!F$42,Tabla2[TIPO DESPESA],"VARIABLE")</f>
        <v>0</v>
      </c>
      <c r="G55" s="87">
        <f>SUMIFS(Tabla2[IMPORT],Tabla2[ANY],'Cuadro de mando 2020'!$A$42,Tabla2[MES],'Cuadro de mando 2020'!G$42,Tabla2[TIPO DESPESA],"VARIABLE")</f>
        <v>187.15</v>
      </c>
      <c r="H55" s="87">
        <f>SUMIFS(Tabla2[IMPORT],Tabla2[ANY],'Cuadro de mando 2020'!$A$42,Tabla2[MES],'Cuadro de mando 2020'!H$42,Tabla2[TIPO DESPESA],"VARIABLE")</f>
        <v>144.07999999999998</v>
      </c>
      <c r="I55" s="87">
        <f>SUMIFS(Tabla2[IMPORT],Tabla2[ANY],'Cuadro de mando 2020'!$A$42,Tabla2[MES],'Cuadro de mando 2020'!I$42,Tabla2[TIPO DESPESA],"VARIABLE")</f>
        <v>331.03</v>
      </c>
      <c r="J55" s="87">
        <f>SUMIFS(Tabla2[IMPORT],Tabla2[ANY],'Cuadro de mando 2020'!$A$42,Tabla2[MES],'Cuadro de mando 2020'!J$42,Tabla2[TIPO DESPESA],"VARIABLE")</f>
        <v>165.52</v>
      </c>
      <c r="K55" s="87">
        <f>SUMIFS(Tabla2[IMPORT],Tabla2[ANY],'Cuadro de mando 2020'!$A$42,Tabla2[MES],'Cuadro de mando 2020'!K$42,Tabla2[TIPO DESPESA],"VARIABLE")</f>
        <v>81.93</v>
      </c>
      <c r="L55" s="87">
        <f>SUMIFS(Tabla2[IMPORT],Tabla2[ANY],'Cuadro de mando 2020'!$A$42,Tabla2[MES],'Cuadro de mando 2020'!L$42,Tabla2[TIPO DESPESA],"VARIABLE")</f>
        <v>0</v>
      </c>
      <c r="M55" s="87">
        <f>SUMIFS(Tabla2[IMPORT],Tabla2[ANY],'Cuadro de mando 2020'!$A$42,Tabla2[MES],'Cuadro de mando 2020'!M$42,Tabla2[TIPO DESPESA],"VARIABLE")</f>
        <v>0</v>
      </c>
      <c r="N55" s="87">
        <f>SUMIFS(Tabla2[IMPORT],Tabla2[ANY],'Cuadro de mando 2020'!$A$42,Tabla2[MES],'Cuadro de mando 2020'!N$42,Tabla2[TIPO DESPESA],"VARIABLE")</f>
        <v>77.94</v>
      </c>
      <c r="O55" s="87">
        <f>SUM(C55:N55)</f>
        <v>1778.6100000000001</v>
      </c>
    </row>
    <row r="56" spans="1:16" ht="15.75" thickBot="1" x14ac:dyDescent="0.25">
      <c r="A56" s="222"/>
      <c r="B56" s="111" t="s">
        <v>286</v>
      </c>
      <c r="C56" s="112">
        <f>IF(C50=0,0,C55/C50)</f>
        <v>17.009047619047617</v>
      </c>
      <c r="D56" s="112">
        <f>IF(D50=0,0,D55/D50)</f>
        <v>21.850526315789477</v>
      </c>
      <c r="E56" s="112">
        <f>IF(E50=0,0,E55/E50)</f>
        <v>4.6524999999999999</v>
      </c>
      <c r="F56" s="112">
        <f t="shared" ref="F56:L56" si="11">IF(F50=0,0,F55/F50)</f>
        <v>0</v>
      </c>
      <c r="G56" s="112">
        <f t="shared" si="11"/>
        <v>0</v>
      </c>
      <c r="H56" s="112">
        <f t="shared" si="11"/>
        <v>18.009999999999998</v>
      </c>
      <c r="I56" s="112">
        <f t="shared" si="11"/>
        <v>18.390555555555554</v>
      </c>
      <c r="J56" s="112">
        <f t="shared" si="11"/>
        <v>23.645714285714288</v>
      </c>
      <c r="K56" s="112">
        <f t="shared" si="11"/>
        <v>13.655000000000001</v>
      </c>
      <c r="L56" s="112">
        <f t="shared" si="11"/>
        <v>0</v>
      </c>
      <c r="M56" s="112">
        <f>IF(M50=0,0,M55/M50)</f>
        <v>0</v>
      </c>
      <c r="N56" s="112">
        <f>IF(N50=0,0,N55/N50)</f>
        <v>77.94</v>
      </c>
      <c r="O56" s="138">
        <f>IF(O50=0,0,O55/O50)</f>
        <v>20.681511627906978</v>
      </c>
      <c r="P56" s="48">
        <f>H21</f>
        <v>21.690365853658541</v>
      </c>
    </row>
    <row r="57" spans="1:16" ht="15.75" thickBot="1" x14ac:dyDescent="0.25">
      <c r="A57" s="223" t="s">
        <v>288</v>
      </c>
      <c r="B57" s="224"/>
      <c r="C57" s="110">
        <f>IF(C54=0,0,1-(C56/C54))</f>
        <v>0.89909887005649725</v>
      </c>
      <c r="D57" s="110">
        <f>IF(D54=0,0,1-(D56/D54))</f>
        <v>0.85902886247877763</v>
      </c>
      <c r="E57" s="110">
        <f>IF(E54=0,0,1-(E56/E54))</f>
        <v>0.97341428571428568</v>
      </c>
      <c r="F57" s="110">
        <f t="shared" ref="F57:L57" si="12">IF(F54=0,0,1-(F56/F54))</f>
        <v>0</v>
      </c>
      <c r="G57" s="110">
        <f t="shared" si="12"/>
        <v>0</v>
      </c>
      <c r="H57" s="110">
        <f t="shared" si="12"/>
        <v>0.8784135021097047</v>
      </c>
      <c r="I57" s="110">
        <f t="shared" si="12"/>
        <v>0.86837773359840953</v>
      </c>
      <c r="J57" s="110">
        <f t="shared" si="12"/>
        <v>0.8870170648464164</v>
      </c>
      <c r="K57" s="110">
        <f t="shared" si="12"/>
        <v>0.93143875680968047</v>
      </c>
      <c r="L57" s="110">
        <f t="shared" si="12"/>
        <v>1</v>
      </c>
      <c r="M57" s="110">
        <f>IF(M54=0,0,1-(M56/M54))</f>
        <v>0</v>
      </c>
      <c r="N57" s="110">
        <f>IF(N54=0,0,1-(N56/N54))</f>
        <v>0.22060000000000002</v>
      </c>
      <c r="O57" s="139">
        <f>IF(O54=0,0,1-(O56/O54))</f>
        <v>0.8728655274235364</v>
      </c>
    </row>
    <row r="58" spans="1:16" x14ac:dyDescent="0.2">
      <c r="A58" s="211" t="s">
        <v>285</v>
      </c>
      <c r="B58" s="114" t="s">
        <v>172</v>
      </c>
      <c r="C58" s="87">
        <f>SUMIFS(Tabla2[IMPORT],Tabla2[ANY],'Cuadro de mando 2020'!$A$42,Tabla2[MES],'Cuadro de mando 2020'!C$42,Tabla2[TIPO DESPESA],"FIX")</f>
        <v>2309.7600000000002</v>
      </c>
      <c r="D58" s="87">
        <f>SUMIFS(Tabla2[IMPORT],Tabla2[ANY],'Cuadro de mando 2020'!$A$42,Tabla2[MES],'Cuadro de mando 2020'!D$42,Tabla2[TIPO DESPESA],"FIX")</f>
        <v>627.33999999999992</v>
      </c>
      <c r="E58" s="87">
        <f>SUMIFS(Tabla2[IMPORT],Tabla2[ANY],'Cuadro de mando 2020'!$A$42,Tabla2[MES],'Cuadro de mando 2020'!E$42,Tabla2[TIPO DESPESA],"FIX")</f>
        <v>535.04</v>
      </c>
      <c r="F58" s="87">
        <f>SUMIFS(Tabla2[IMPORT],Tabla2[ANY],'Cuadro de mando 2020'!$A$42,Tabla2[MES],'Cuadro de mando 2020'!F$42,Tabla2[TIPO DESPESA],"FIX")</f>
        <v>55.34</v>
      </c>
      <c r="G58" s="87">
        <f>SUMIFS(Tabla2[IMPORT],Tabla2[ANY],'Cuadro de mando 2020'!$A$42,Tabla2[MES],'Cuadro de mando 2020'!G$42,Tabla2[TIPO DESPESA],"FIX")</f>
        <v>147</v>
      </c>
      <c r="H58" s="87">
        <f>SUMIFS(Tabla2[IMPORT],Tabla2[ANY],'Cuadro de mando 2020'!$A$42,Tabla2[MES],'Cuadro de mando 2020'!H$42,Tabla2[TIPO DESPESA],"FIX")</f>
        <v>209</v>
      </c>
      <c r="I58" s="87">
        <f>SUMIFS(Tabla2[IMPORT],Tabla2[ANY],'Cuadro de mando 2020'!$A$42,Tabla2[MES],'Cuadro de mando 2020'!I$42,Tabla2[TIPO DESPESA],"FIX")</f>
        <v>653</v>
      </c>
      <c r="J58" s="87">
        <f>SUMIFS(Tabla2[IMPORT],Tabla2[ANY],'Cuadro de mando 2020'!$A$42,Tabla2[MES],'Cuadro de mando 2020'!J$42,Tabla2[TIPO DESPESA],"FIX")</f>
        <v>599.99</v>
      </c>
      <c r="K58" s="87">
        <f>SUMIFS(Tabla2[IMPORT],Tabla2[ANY],'Cuadro de mando 2020'!$A$42,Tabla2[MES],'Cuadro de mando 2020'!K$42,Tabla2[TIPO DESPESA],"FIX")</f>
        <v>613.66999999999996</v>
      </c>
      <c r="L58" s="87">
        <f>SUMIFS(Tabla2[IMPORT],Tabla2[ANY],'Cuadro de mando 2020'!$A$42,Tabla2[MES],'Cuadro de mando 2020'!L$42,Tabla2[TIPO DESPESA],"FIX")</f>
        <v>631.49</v>
      </c>
      <c r="M58" s="87">
        <f>SUMIFS(Tabla2[IMPORT],Tabla2[ANY],'Cuadro de mando 2020'!$A$42,Tabla2[MES],'Cuadro de mando 2020'!M$42,Tabla2[TIPO DESPESA],"FIX")</f>
        <v>57</v>
      </c>
      <c r="N58" s="87">
        <f>SUMIFS(Tabla2[IMPORT],Tabla2[ANY],'Cuadro de mando 2020'!$A$42,Tabla2[MES],'Cuadro de mando 2020'!N$42,Tabla2[TIPO DESPESA],"FIX")</f>
        <v>237</v>
      </c>
      <c r="O58" s="87">
        <f>SUM(C58:N58)</f>
        <v>6675.63</v>
      </c>
    </row>
    <row r="59" spans="1:16" ht="15.75" thickBot="1" x14ac:dyDescent="0.25">
      <c r="A59" s="212"/>
      <c r="B59" s="145" t="s">
        <v>286</v>
      </c>
      <c r="C59" s="146">
        <f>IF(C50=0,0,C58/C50)</f>
        <v>109.98857142857143</v>
      </c>
      <c r="D59" s="146">
        <f t="shared" ref="D59:O59" si="13">IF(D50=0,0,D58/D50)</f>
        <v>33.017894736842102</v>
      </c>
      <c r="E59" s="146">
        <f t="shared" si="13"/>
        <v>133.76</v>
      </c>
      <c r="F59" s="146">
        <f t="shared" si="13"/>
        <v>0</v>
      </c>
      <c r="G59" s="146">
        <f t="shared" si="13"/>
        <v>0</v>
      </c>
      <c r="H59" s="146">
        <f t="shared" si="13"/>
        <v>26.125</v>
      </c>
      <c r="I59" s="146">
        <f t="shared" si="13"/>
        <v>36.277777777777779</v>
      </c>
      <c r="J59" s="146">
        <f t="shared" si="13"/>
        <v>85.712857142857146</v>
      </c>
      <c r="K59" s="146">
        <f t="shared" si="13"/>
        <v>102.27833333333332</v>
      </c>
      <c r="L59" s="146">
        <f t="shared" si="13"/>
        <v>315.745</v>
      </c>
      <c r="M59" s="146">
        <f t="shared" si="13"/>
        <v>0</v>
      </c>
      <c r="N59" s="146">
        <f t="shared" si="13"/>
        <v>237</v>
      </c>
      <c r="O59" s="147">
        <f t="shared" si="13"/>
        <v>77.623604651162793</v>
      </c>
      <c r="P59" s="48">
        <f>H20</f>
        <v>81.410121951219509</v>
      </c>
    </row>
    <row r="60" spans="1:16" x14ac:dyDescent="0.2">
      <c r="A60" s="225" t="s">
        <v>291</v>
      </c>
      <c r="B60" s="143" t="s">
        <v>172</v>
      </c>
      <c r="C60" s="87">
        <f>C55+C58</f>
        <v>2666.9500000000003</v>
      </c>
      <c r="D60" s="87">
        <f t="shared" ref="D60:O60" si="14">D55+D58</f>
        <v>1042.5</v>
      </c>
      <c r="E60" s="87">
        <f t="shared" si="14"/>
        <v>553.65</v>
      </c>
      <c r="F60" s="87">
        <f t="shared" si="14"/>
        <v>55.34</v>
      </c>
      <c r="G60" s="87">
        <f t="shared" si="14"/>
        <v>334.15</v>
      </c>
      <c r="H60" s="87">
        <f t="shared" si="14"/>
        <v>353.08</v>
      </c>
      <c r="I60" s="87">
        <f t="shared" si="14"/>
        <v>984.03</v>
      </c>
      <c r="J60" s="87">
        <f t="shared" si="14"/>
        <v>765.51</v>
      </c>
      <c r="K60" s="87">
        <f t="shared" si="14"/>
        <v>695.59999999999991</v>
      </c>
      <c r="L60" s="87">
        <f t="shared" si="14"/>
        <v>631.49</v>
      </c>
      <c r="M60" s="87">
        <f t="shared" si="14"/>
        <v>57</v>
      </c>
      <c r="N60" s="87">
        <f t="shared" si="14"/>
        <v>314.94</v>
      </c>
      <c r="O60" s="144">
        <f t="shared" si="14"/>
        <v>8454.24</v>
      </c>
      <c r="P60" s="79">
        <f>'2021'!Z40</f>
        <v>6559.0700000000006</v>
      </c>
    </row>
    <row r="61" spans="1:16" ht="15.75" thickBot="1" x14ac:dyDescent="0.25">
      <c r="A61" s="226"/>
      <c r="B61" s="111" t="s">
        <v>286</v>
      </c>
      <c r="C61" s="113">
        <f>IF(C50=0,0,C60/C50)</f>
        <v>126.99761904761905</v>
      </c>
      <c r="D61" s="113">
        <f t="shared" ref="D61:O61" si="15">IF(D50=0,0,D60/D50)</f>
        <v>54.868421052631582</v>
      </c>
      <c r="E61" s="113">
        <f t="shared" si="15"/>
        <v>138.41249999999999</v>
      </c>
      <c r="F61" s="113">
        <f t="shared" si="15"/>
        <v>0</v>
      </c>
      <c r="G61" s="113">
        <f t="shared" si="15"/>
        <v>0</v>
      </c>
      <c r="H61" s="113">
        <f t="shared" si="15"/>
        <v>44.134999999999998</v>
      </c>
      <c r="I61" s="113">
        <f t="shared" si="15"/>
        <v>54.668333333333329</v>
      </c>
      <c r="J61" s="113">
        <f t="shared" si="15"/>
        <v>109.35857142857142</v>
      </c>
      <c r="K61" s="113">
        <f t="shared" si="15"/>
        <v>115.93333333333332</v>
      </c>
      <c r="L61" s="113">
        <f t="shared" si="15"/>
        <v>315.745</v>
      </c>
      <c r="M61" s="113">
        <f t="shared" si="15"/>
        <v>0</v>
      </c>
      <c r="N61" s="113">
        <f t="shared" si="15"/>
        <v>314.94</v>
      </c>
      <c r="O61" s="140">
        <f t="shared" si="15"/>
        <v>98.305116279069765</v>
      </c>
    </row>
    <row r="62" spans="1:16" ht="15.75" thickBot="1" x14ac:dyDescent="0.25">
      <c r="A62" s="223" t="s">
        <v>280</v>
      </c>
      <c r="B62" s="224"/>
      <c r="C62" s="110">
        <f>IF(C54=0,0,1-(C61/C54))</f>
        <v>0.2466242937853107</v>
      </c>
      <c r="D62" s="110">
        <f>IF(D54=0,0,1-(D61/D54))</f>
        <v>0.64601018675721567</v>
      </c>
      <c r="E62" s="110">
        <f t="shared" ref="E62:O62" si="16">IF(E54=0,0,1-(E61/E54))</f>
        <v>0.20907142857142857</v>
      </c>
      <c r="F62" s="110">
        <f t="shared" si="16"/>
        <v>0</v>
      </c>
      <c r="G62" s="110">
        <f t="shared" si="16"/>
        <v>0</v>
      </c>
      <c r="H62" s="110">
        <f t="shared" si="16"/>
        <v>0.70204219409282698</v>
      </c>
      <c r="I62" s="110">
        <f t="shared" si="16"/>
        <v>0.60873558648111337</v>
      </c>
      <c r="J62" s="110">
        <f t="shared" si="16"/>
        <v>0.47746757679180885</v>
      </c>
      <c r="K62" s="110">
        <f t="shared" si="16"/>
        <v>0.41790307868685095</v>
      </c>
      <c r="L62" s="110">
        <f t="shared" si="16"/>
        <v>-0.83040579710144891</v>
      </c>
      <c r="M62" s="110">
        <f t="shared" si="16"/>
        <v>0</v>
      </c>
      <c r="N62" s="110">
        <f t="shared" si="16"/>
        <v>-2.1494</v>
      </c>
      <c r="O62" s="110">
        <f t="shared" si="16"/>
        <v>0.39569363523490719</v>
      </c>
    </row>
    <row r="63" spans="1:16" x14ac:dyDescent="0.2">
      <c r="A63" s="227" t="s">
        <v>273</v>
      </c>
      <c r="B63" s="114" t="s">
        <v>172</v>
      </c>
      <c r="C63" s="116">
        <f>SUMIFS(Tabla2[IMPORT],Tabla2[ANY],'Cuadro de mando 2020'!$A$42,Tabla2[MES],'Cuadro de mando 2020'!C$42,Tabla2[TIPO DESPESA],"INVERSIONS")</f>
        <v>377</v>
      </c>
      <c r="D63" s="116">
        <f>SUMIFS(Tabla2[IMPORT],Tabla2[ANY],'Cuadro de mando 2020'!$A$42,Tabla2[MES],'Cuadro de mando 2020'!D$42,Tabla2[TIPO DESPESA],"INVERSIONS")</f>
        <v>171.59</v>
      </c>
      <c r="E63" s="116">
        <f>SUMIFS(Tabla2[IMPORT],Tabla2[ANY],'Cuadro de mando 2020'!$A$42,Tabla2[MES],'Cuadro de mando 2020'!E$42,Tabla2[TIPO DESPESA],"INVERSIONS")</f>
        <v>0</v>
      </c>
      <c r="F63" s="116">
        <f>SUMIFS(Tabla2[IMPORT],Tabla2[ANY],'Cuadro de mando 2020'!$A$42,Tabla2[MES],'Cuadro de mando 2020'!F$42,Tabla2[TIPO DESPESA],"INVERSIONS")</f>
        <v>0</v>
      </c>
      <c r="G63" s="116">
        <f>SUMIFS(Tabla2[IMPORT],Tabla2[ANY],'Cuadro de mando 2020'!$A$42,Tabla2[MES],'Cuadro de mando 2020'!G$42,Tabla2[TIPO DESPESA],"INVERSIONS")</f>
        <v>0</v>
      </c>
      <c r="H63" s="116">
        <f>SUMIFS(Tabla2[IMPORT],Tabla2[ANY],'Cuadro de mando 2020'!$A$42,Tabla2[MES],'Cuadro de mando 2020'!H$42,Tabla2[TIPO DESPESA],"INVERSIONS")</f>
        <v>0</v>
      </c>
      <c r="I63" s="116">
        <f>SUMIFS(Tabla2[IMPORT],Tabla2[ANY],'Cuadro de mando 2020'!$A$42,Tabla2[MES],'Cuadro de mando 2020'!I$42,Tabla2[TIPO DESPESA],"INVERSIONS")</f>
        <v>0</v>
      </c>
      <c r="J63" s="116">
        <f>SUMIFS(Tabla2[IMPORT],Tabla2[ANY],'Cuadro de mando 2020'!$A$42,Tabla2[MES],'Cuadro de mando 2020'!J$42,Tabla2[TIPO DESPESA],"INVERSIONS")</f>
        <v>0</v>
      </c>
      <c r="K63" s="116">
        <f>SUMIFS(Tabla2[IMPORT],Tabla2[ANY],'Cuadro de mando 2020'!$A$42,Tabla2[MES],'Cuadro de mando 2020'!K$42,Tabla2[TIPO DESPESA],"INVERSIONS")</f>
        <v>0</v>
      </c>
      <c r="L63" s="116">
        <f>SUMIFS(Tabla2[IMPORT],Tabla2[ANY],'Cuadro de mando 2020'!$A$42,Tabla2[MES],'Cuadro de mando 2020'!L$42,Tabla2[TIPO DESPESA],"INVERSIONS")</f>
        <v>0</v>
      </c>
      <c r="M63" s="116">
        <f>SUMIFS(Tabla2[IMPORT],Tabla2[ANY],'Cuadro de mando 2020'!$A$42,Tabla2[MES],'Cuadro de mando 2020'!M$42,Tabla2[TIPO DESPESA],"INVERSIONS")</f>
        <v>0</v>
      </c>
      <c r="N63" s="116">
        <f>SUMIFS(Tabla2[IMPORT],Tabla2[ANY],'Cuadro de mando 2020'!$A$42,Tabla2[MES],'Cuadro de mando 2020'!N$42,Tabla2[TIPO DESPESA],"INVERSIONS")</f>
        <v>0</v>
      </c>
      <c r="O63" s="133">
        <f>SUM(C63:N63)</f>
        <v>548.59</v>
      </c>
    </row>
    <row r="64" spans="1:16" ht="15.75" thickBot="1" x14ac:dyDescent="0.25">
      <c r="A64" s="228"/>
      <c r="B64" s="123" t="s">
        <v>286</v>
      </c>
      <c r="C64" s="124">
        <f>IF(C54=0,0,C63/C54)</f>
        <v>2.2364406779661015</v>
      </c>
      <c r="D64" s="124">
        <f>IF(D54=0,0,D63/D54)</f>
        <v>1.1070322580645162</v>
      </c>
      <c r="E64" s="124">
        <f>IF(E54=0,0,E63/E54)</f>
        <v>0</v>
      </c>
      <c r="F64" s="124">
        <f t="shared" ref="F64:L64" si="17">IF(F54=0,0,F63/F54)</f>
        <v>0</v>
      </c>
      <c r="G64" s="124">
        <f t="shared" si="17"/>
        <v>0</v>
      </c>
      <c r="H64" s="124">
        <f t="shared" si="17"/>
        <v>0</v>
      </c>
      <c r="I64" s="124">
        <f t="shared" si="17"/>
        <v>0</v>
      </c>
      <c r="J64" s="124">
        <f t="shared" si="17"/>
        <v>0</v>
      </c>
      <c r="K64" s="124">
        <f t="shared" si="17"/>
        <v>0</v>
      </c>
      <c r="L64" s="124">
        <f t="shared" si="17"/>
        <v>0</v>
      </c>
      <c r="M64" s="124">
        <f>IF(M54=0,0,M63/M54)</f>
        <v>0</v>
      </c>
      <c r="N64" s="124">
        <f>IF(N54=0,0,N63/N54)</f>
        <v>0</v>
      </c>
      <c r="O64" s="141">
        <f>IF(O54=0,0,O63/O54)</f>
        <v>3.3723212096649111</v>
      </c>
    </row>
    <row r="65" spans="1:16" x14ac:dyDescent="0.2">
      <c r="A65" s="229" t="s">
        <v>188</v>
      </c>
      <c r="B65" s="2" t="s">
        <v>172</v>
      </c>
      <c r="C65" s="103">
        <f>SUMIFS(Tabla2[IMPORT],Tabla2[ANY],'Cuadro de mando 2020'!$A$42,Tabla2[MES],'Cuadro de mando 2020'!C$42,Tabla2[TIPO DESPESA],"IMPOSTOS")</f>
        <v>0</v>
      </c>
      <c r="D65" s="103">
        <f>SUMIFS(Tabla2[IMPORT],Tabla2[ANY],'Cuadro de mando 2020'!$A$42,Tabla2[MES],'Cuadro de mando 2020'!D$42,Tabla2[TIPO DESPESA],"IMPOSTOS")</f>
        <v>0</v>
      </c>
      <c r="E65" s="103">
        <f>SUMIFS(Tabla2[IMPORT],Tabla2[ANY],'Cuadro de mando 2020'!$A$42,Tabla2[MES],'Cuadro de mando 2020'!E$42,Tabla2[TIPO DESPESA],"IMPOSTOS")</f>
        <v>0</v>
      </c>
      <c r="F65" s="103">
        <f>SUMIFS(Tabla2[IMPORT],Tabla2[ANY],'Cuadro de mando 2020'!$A$42,Tabla2[MES],'Cuadro de mando 2020'!F$42,Tabla2[TIPO DESPESA],"IMPOSTOS")</f>
        <v>0</v>
      </c>
      <c r="G65" s="103">
        <f>SUMIFS(Tabla2[IMPORT],Tabla2[ANY],'Cuadro de mando 2020'!$A$42,Tabla2[MES],'Cuadro de mando 2020'!G$42,Tabla2[TIPO DESPESA],"IMPOSTOS")</f>
        <v>403.55</v>
      </c>
      <c r="H65" s="103">
        <f>SUMIFS(Tabla2[IMPORT],Tabla2[ANY],'Cuadro de mando 2020'!$A$42,Tabla2[MES],'Cuadro de mando 2020'!H$42,Tabla2[TIPO DESPESA],"IMPOSTOS")</f>
        <v>0</v>
      </c>
      <c r="I65" s="103">
        <f>SUMIFS(Tabla2[IMPORT],Tabla2[ANY],'Cuadro de mando 2020'!$A$42,Tabla2[MES],'Cuadro de mando 2020'!I$42,Tabla2[TIPO DESPESA],"IMPOSTOS")</f>
        <v>0</v>
      </c>
      <c r="J65" s="103">
        <f>SUMIFS(Tabla2[IMPORT],Tabla2[ANY],'Cuadro de mando 2020'!$A$42,Tabla2[MES],'Cuadro de mando 2020'!J$42,Tabla2[TIPO DESPESA],"IMPOSTOS")</f>
        <v>0</v>
      </c>
      <c r="K65" s="103">
        <f>SUMIFS(Tabla2[IMPORT],Tabla2[ANY],'Cuadro de mando 2020'!$A$42,Tabla2[MES],'Cuadro de mando 2020'!K$42,Tabla2[TIPO DESPESA],"IMPOSTOS")</f>
        <v>0</v>
      </c>
      <c r="L65" s="103">
        <f>SUMIFS(Tabla2[IMPORT],Tabla2[ANY],'Cuadro de mando 2020'!$A$42,Tabla2[MES],'Cuadro de mando 2020'!L$42,Tabla2[TIPO DESPESA],"IMPOSTOS")</f>
        <v>422.99</v>
      </c>
      <c r="M65" s="103">
        <f>SUMIFS(Tabla2[IMPORT],Tabla2[ANY],'Cuadro de mando 2020'!$A$42,Tabla2[MES],'Cuadro de mando 2020'!M$42,Tabla2[TIPO DESPESA],"IMPOSTOS")</f>
        <v>0</v>
      </c>
      <c r="N65" s="103">
        <f>SUMIFS(Tabla2[IMPORT],Tabla2[ANY],'Cuadro de mando 2020'!$A$42,Tabla2[MES],'Cuadro de mando 2020'!N$42,Tabla2[TIPO DESPESA],"IMPOSTOS")</f>
        <v>57</v>
      </c>
      <c r="O65" s="131">
        <f>SUM(C65:N65)</f>
        <v>883.54</v>
      </c>
    </row>
    <row r="66" spans="1:16" ht="15.75" thickBot="1" x14ac:dyDescent="0.25">
      <c r="A66" s="229"/>
      <c r="B66" s="125" t="s">
        <v>286</v>
      </c>
      <c r="C66" s="126">
        <f>IF(C54=0,0,C65/C54)</f>
        <v>0</v>
      </c>
      <c r="D66" s="126">
        <f>IF(D54=0,0,D65/D54)</f>
        <v>0</v>
      </c>
      <c r="E66" s="126">
        <f>IF(E54=0,0,E65/E54)</f>
        <v>0</v>
      </c>
      <c r="F66" s="126">
        <f t="shared" ref="F66:L66" si="18">IF(F54=0,0,F65/F54)</f>
        <v>0</v>
      </c>
      <c r="G66" s="126">
        <f t="shared" si="18"/>
        <v>0</v>
      </c>
      <c r="H66" s="126">
        <f t="shared" si="18"/>
        <v>0</v>
      </c>
      <c r="I66" s="126">
        <f t="shared" si="18"/>
        <v>0</v>
      </c>
      <c r="J66" s="126">
        <f t="shared" si="18"/>
        <v>0</v>
      </c>
      <c r="K66" s="126">
        <f t="shared" si="18"/>
        <v>0</v>
      </c>
      <c r="L66" s="126">
        <f t="shared" si="18"/>
        <v>2.4521159420289851</v>
      </c>
      <c r="M66" s="126">
        <f>IF(M54=0,0,M65/M54)</f>
        <v>0</v>
      </c>
      <c r="N66" s="126">
        <f>IF(N54=0,0,N65/N54)</f>
        <v>0.56999999999999995</v>
      </c>
      <c r="O66" s="142">
        <f>IF(O54=0,0,O65/O54)</f>
        <v>5.4313434105385356</v>
      </c>
    </row>
    <row r="67" spans="1:16" x14ac:dyDescent="0.2">
      <c r="A67" s="225" t="s">
        <v>290</v>
      </c>
      <c r="B67" s="143" t="s">
        <v>172</v>
      </c>
      <c r="C67" s="87">
        <f>C60+C63+C65</f>
        <v>3043.9500000000003</v>
      </c>
      <c r="D67" s="87">
        <f t="shared" ref="D67:N67" si="19">D60+D63+D65</f>
        <v>1214.0899999999999</v>
      </c>
      <c r="E67" s="87">
        <f t="shared" si="19"/>
        <v>553.65</v>
      </c>
      <c r="F67" s="87">
        <f t="shared" si="19"/>
        <v>55.34</v>
      </c>
      <c r="G67" s="87">
        <f t="shared" si="19"/>
        <v>737.7</v>
      </c>
      <c r="H67" s="87">
        <f t="shared" si="19"/>
        <v>353.08</v>
      </c>
      <c r="I67" s="87">
        <f t="shared" si="19"/>
        <v>984.03</v>
      </c>
      <c r="J67" s="87">
        <f t="shared" si="19"/>
        <v>765.51</v>
      </c>
      <c r="K67" s="87">
        <f t="shared" si="19"/>
        <v>695.59999999999991</v>
      </c>
      <c r="L67" s="87">
        <f t="shared" si="19"/>
        <v>1054.48</v>
      </c>
      <c r="M67" s="87">
        <f t="shared" si="19"/>
        <v>57</v>
      </c>
      <c r="N67" s="87">
        <f t="shared" si="19"/>
        <v>371.94</v>
      </c>
      <c r="O67" s="87">
        <f>O60+O63+O65</f>
        <v>9886.369999999999</v>
      </c>
      <c r="P67" s="48">
        <f>'Cuadro de mando 2020'!G24</f>
        <v>9886.369999999999</v>
      </c>
    </row>
    <row r="68" spans="1:16" ht="15.75" thickBot="1" x14ac:dyDescent="0.25">
      <c r="A68" s="226"/>
      <c r="B68" s="111" t="s">
        <v>286</v>
      </c>
      <c r="C68" s="113">
        <f>IF(C50=0,0,(C67/C50))</f>
        <v>144.95000000000002</v>
      </c>
      <c r="D68" s="113">
        <f t="shared" ref="D68:N68" si="20">IF(D50=0,0,(D67/D50))</f>
        <v>63.89947368421052</v>
      </c>
      <c r="E68" s="113">
        <f t="shared" si="20"/>
        <v>138.41249999999999</v>
      </c>
      <c r="F68" s="113">
        <f t="shared" si="20"/>
        <v>0</v>
      </c>
      <c r="G68" s="113">
        <f t="shared" si="20"/>
        <v>0</v>
      </c>
      <c r="H68" s="113">
        <f t="shared" si="20"/>
        <v>44.134999999999998</v>
      </c>
      <c r="I68" s="113">
        <f t="shared" si="20"/>
        <v>54.668333333333329</v>
      </c>
      <c r="J68" s="113">
        <f t="shared" si="20"/>
        <v>109.35857142857142</v>
      </c>
      <c r="K68" s="113">
        <f t="shared" si="20"/>
        <v>115.93333333333332</v>
      </c>
      <c r="L68" s="113">
        <f t="shared" si="20"/>
        <v>527.24</v>
      </c>
      <c r="M68" s="113">
        <f t="shared" si="20"/>
        <v>0</v>
      </c>
      <c r="N68" s="113">
        <f t="shared" si="20"/>
        <v>371.94</v>
      </c>
      <c r="O68" s="113">
        <f>IF(O50=0,0,(O67/O50))</f>
        <v>114.95779069767441</v>
      </c>
      <c r="P68" s="48"/>
    </row>
    <row r="69" spans="1:16" x14ac:dyDescent="0.2">
      <c r="A69" s="230" t="s">
        <v>124</v>
      </c>
      <c r="B69" s="148" t="s">
        <v>172</v>
      </c>
      <c r="C69" s="149">
        <f>C46-C67</f>
        <v>496.04999999999973</v>
      </c>
      <c r="D69" s="149">
        <f t="shared" ref="D69:N69" si="21">D46-D67</f>
        <v>1730.91</v>
      </c>
      <c r="E69" s="149">
        <f t="shared" si="21"/>
        <v>146.35000000000002</v>
      </c>
      <c r="F69" s="149">
        <f t="shared" si="21"/>
        <v>-55.34</v>
      </c>
      <c r="G69" s="149">
        <f t="shared" si="21"/>
        <v>-737.7</v>
      </c>
      <c r="H69" s="149">
        <f t="shared" si="21"/>
        <v>831.92000000000007</v>
      </c>
      <c r="I69" s="149">
        <f t="shared" si="21"/>
        <v>1530.97</v>
      </c>
      <c r="J69" s="149">
        <f t="shared" si="21"/>
        <v>699.49</v>
      </c>
      <c r="K69" s="149">
        <f t="shared" si="21"/>
        <v>499.3900000000001</v>
      </c>
      <c r="L69" s="149">
        <f t="shared" si="21"/>
        <v>-709.48</v>
      </c>
      <c r="M69" s="149">
        <f t="shared" si="21"/>
        <v>-57</v>
      </c>
      <c r="N69" s="149">
        <f t="shared" si="21"/>
        <v>-271.94</v>
      </c>
      <c r="O69" s="150">
        <f>O46-O67</f>
        <v>4103.6200000000008</v>
      </c>
      <c r="P69" s="48">
        <f>O46-O60</f>
        <v>5535.75</v>
      </c>
    </row>
    <row r="70" spans="1:16" ht="15.75" thickBot="1" x14ac:dyDescent="0.25">
      <c r="A70" s="231"/>
      <c r="B70" s="151" t="s">
        <v>286</v>
      </c>
      <c r="C70" s="152">
        <f t="shared" ref="C70:O70" si="22">IF(C50=0,0,C69/C50)</f>
        <v>23.621428571428559</v>
      </c>
      <c r="D70" s="152">
        <f t="shared" si="22"/>
        <v>91.10052631578948</v>
      </c>
      <c r="E70" s="152">
        <f t="shared" si="22"/>
        <v>36.587500000000006</v>
      </c>
      <c r="F70" s="152">
        <f t="shared" si="22"/>
        <v>0</v>
      </c>
      <c r="G70" s="152">
        <f t="shared" si="22"/>
        <v>0</v>
      </c>
      <c r="H70" s="152">
        <f t="shared" si="22"/>
        <v>103.99000000000001</v>
      </c>
      <c r="I70" s="152">
        <f t="shared" si="22"/>
        <v>85.053888888888892</v>
      </c>
      <c r="J70" s="152">
        <f t="shared" si="22"/>
        <v>99.927142857142854</v>
      </c>
      <c r="K70" s="152">
        <f t="shared" si="22"/>
        <v>83.231666666666683</v>
      </c>
      <c r="L70" s="152">
        <f t="shared" si="22"/>
        <v>-354.74</v>
      </c>
      <c r="M70" s="152">
        <f t="shared" si="22"/>
        <v>0</v>
      </c>
      <c r="N70" s="152">
        <f t="shared" si="22"/>
        <v>-271.94</v>
      </c>
      <c r="O70" s="153">
        <f t="shared" si="22"/>
        <v>47.716511627906989</v>
      </c>
      <c r="P70" s="48">
        <f>P69+M26</f>
        <v>6007.95</v>
      </c>
    </row>
    <row r="71" spans="1:16" ht="15.75" thickBot="1" x14ac:dyDescent="0.25">
      <c r="A71" s="223" t="s">
        <v>287</v>
      </c>
      <c r="B71" s="224"/>
      <c r="C71" s="110">
        <f t="shared" ref="C71:O71" si="23">IF(C54=0,0,1-(C68/C54))</f>
        <v>0.14012711864406779</v>
      </c>
      <c r="D71" s="110">
        <f t="shared" si="23"/>
        <v>0.58774533106960947</v>
      </c>
      <c r="E71" s="110">
        <f t="shared" si="23"/>
        <v>0.20907142857142857</v>
      </c>
      <c r="F71" s="110">
        <f t="shared" si="23"/>
        <v>0</v>
      </c>
      <c r="G71" s="110">
        <f t="shared" si="23"/>
        <v>0</v>
      </c>
      <c r="H71" s="110">
        <f t="shared" si="23"/>
        <v>0.70204219409282698</v>
      </c>
      <c r="I71" s="110">
        <f t="shared" si="23"/>
        <v>0.60873558648111337</v>
      </c>
      <c r="J71" s="110">
        <f t="shared" si="23"/>
        <v>0.47746757679180885</v>
      </c>
      <c r="K71" s="110">
        <f t="shared" si="23"/>
        <v>0.41790307868685095</v>
      </c>
      <c r="L71" s="110">
        <f t="shared" si="23"/>
        <v>-2.0564637681159414</v>
      </c>
      <c r="M71" s="110">
        <f t="shared" si="23"/>
        <v>0</v>
      </c>
      <c r="N71" s="110">
        <f t="shared" si="23"/>
        <v>-2.7193999999999998</v>
      </c>
      <c r="O71" s="110">
        <f t="shared" si="23"/>
        <v>0.29332544197672761</v>
      </c>
      <c r="P71" s="48">
        <f>P70-'2021'!Z63</f>
        <v>-5658.3683333333311</v>
      </c>
    </row>
  </sheetData>
  <mergeCells count="13">
    <mergeCell ref="A43:A46"/>
    <mergeCell ref="A47:A50"/>
    <mergeCell ref="A51:A54"/>
    <mergeCell ref="A55:A56"/>
    <mergeCell ref="A58:A59"/>
    <mergeCell ref="A69:A70"/>
    <mergeCell ref="A65:A66"/>
    <mergeCell ref="A57:B57"/>
    <mergeCell ref="A62:B62"/>
    <mergeCell ref="A71:B71"/>
    <mergeCell ref="A60:A61"/>
    <mergeCell ref="A67:A68"/>
    <mergeCell ref="A63:A64"/>
  </mergeCells>
  <pageMargins left="0.7" right="0.7" top="0.75" bottom="0.75" header="0.3" footer="0.3"/>
  <pageSetup paperSize="9" orientation="portrait" horizontalDpi="0" verticalDpi="0"/>
  <headerFooter>
    <oddHeader>&amp;C&amp;"Calibri"&amp;10&amp;K000000 Internal&amp;1#_x000D_</oddHeader>
  </headerFooter>
  <drawing r:id="rId6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Q59"/>
  <sheetViews>
    <sheetView showRuler="0" topLeftCell="A43" zoomScale="120" zoomScaleNormal="120" zoomScalePageLayoutView="120" workbookViewId="0">
      <selection activeCell="L47" sqref="L47"/>
    </sheetView>
  </sheetViews>
  <sheetFormatPr defaultColWidth="10.8515625" defaultRowHeight="15" x14ac:dyDescent="0.2"/>
  <cols>
    <col min="1" max="1" width="20.83984375" bestFit="1" customWidth="1"/>
    <col min="12" max="12" width="10.48046875" customWidth="1"/>
    <col min="14" max="14" width="24.78515625" bestFit="1" customWidth="1"/>
    <col min="16" max="16" width="14.1796875" bestFit="1" customWidth="1"/>
  </cols>
  <sheetData>
    <row r="1" spans="1:17" x14ac:dyDescent="0.2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14</v>
      </c>
      <c r="J1" t="s">
        <v>12</v>
      </c>
      <c r="K1" t="s">
        <v>13</v>
      </c>
      <c r="L1" t="s">
        <v>15</v>
      </c>
      <c r="N1" t="s">
        <v>295</v>
      </c>
      <c r="O1" t="s">
        <v>142</v>
      </c>
      <c r="P1" t="s">
        <v>300</v>
      </c>
      <c r="Q1" t="s">
        <v>301</v>
      </c>
    </row>
    <row r="2" spans="1:17" x14ac:dyDescent="0.2">
      <c r="A2" t="s">
        <v>1</v>
      </c>
      <c r="B2" s="1">
        <v>80</v>
      </c>
      <c r="C2" s="1">
        <v>80</v>
      </c>
      <c r="D2" s="1">
        <v>80</v>
      </c>
      <c r="E2" s="1">
        <v>80</v>
      </c>
      <c r="F2" s="1">
        <v>80</v>
      </c>
      <c r="G2" s="1">
        <v>150</v>
      </c>
      <c r="H2" s="1">
        <v>150</v>
      </c>
      <c r="I2" s="1">
        <v>80</v>
      </c>
      <c r="J2" s="1">
        <v>150</v>
      </c>
      <c r="K2" s="1">
        <v>20</v>
      </c>
      <c r="L2">
        <v>350</v>
      </c>
      <c r="N2" t="s">
        <v>296</v>
      </c>
      <c r="O2">
        <v>30</v>
      </c>
      <c r="P2">
        <f>O2</f>
        <v>30</v>
      </c>
      <c r="Q2">
        <f>P2*4</f>
        <v>120</v>
      </c>
    </row>
    <row r="3" spans="1:17" x14ac:dyDescent="0.2">
      <c r="A3" t="s">
        <v>2</v>
      </c>
      <c r="B3" s="1">
        <v>95</v>
      </c>
      <c r="C3" s="1">
        <v>95</v>
      </c>
      <c r="D3" s="1">
        <v>95</v>
      </c>
      <c r="E3" s="1">
        <v>95</v>
      </c>
      <c r="F3" s="1">
        <v>140</v>
      </c>
      <c r="G3" s="1">
        <v>150</v>
      </c>
      <c r="H3" s="1">
        <v>150</v>
      </c>
      <c r="I3" s="1">
        <v>140</v>
      </c>
      <c r="J3" s="1">
        <v>150</v>
      </c>
      <c r="K3" s="1">
        <v>20</v>
      </c>
      <c r="L3">
        <v>350</v>
      </c>
      <c r="N3" t="s">
        <v>297</v>
      </c>
      <c r="O3">
        <v>25</v>
      </c>
      <c r="P3">
        <f>O3*2</f>
        <v>50</v>
      </c>
      <c r="Q3">
        <f>P3*4</f>
        <v>200</v>
      </c>
    </row>
    <row r="4" spans="1:17" x14ac:dyDescent="0.2">
      <c r="A4" t="s">
        <v>3</v>
      </c>
      <c r="B4" s="1">
        <v>200</v>
      </c>
      <c r="C4" s="1">
        <v>200</v>
      </c>
      <c r="D4" s="1">
        <v>200</v>
      </c>
      <c r="E4" s="1">
        <v>200</v>
      </c>
      <c r="F4" s="1">
        <v>200</v>
      </c>
      <c r="G4" s="1">
        <v>200</v>
      </c>
      <c r="H4" s="1">
        <v>200</v>
      </c>
      <c r="I4" s="1">
        <v>200</v>
      </c>
      <c r="J4" s="1">
        <v>200</v>
      </c>
      <c r="K4" s="1">
        <v>60</v>
      </c>
      <c r="L4">
        <v>350</v>
      </c>
      <c r="N4" t="s">
        <v>298</v>
      </c>
      <c r="O4">
        <v>25</v>
      </c>
      <c r="P4">
        <f>30*3</f>
        <v>90</v>
      </c>
      <c r="Q4">
        <f>P4*4</f>
        <v>360</v>
      </c>
    </row>
    <row r="5" spans="1:17" x14ac:dyDescent="0.2">
      <c r="A5" t="s">
        <v>4</v>
      </c>
      <c r="B5" s="1">
        <v>150</v>
      </c>
      <c r="C5" s="1">
        <v>150</v>
      </c>
      <c r="D5" s="1">
        <v>150</v>
      </c>
      <c r="E5" s="1">
        <v>150</v>
      </c>
      <c r="F5" s="1">
        <v>200</v>
      </c>
      <c r="G5" s="1">
        <v>290</v>
      </c>
      <c r="H5" s="1">
        <v>290</v>
      </c>
      <c r="I5" s="1">
        <v>200</v>
      </c>
      <c r="J5" s="1">
        <v>290</v>
      </c>
      <c r="K5" s="1">
        <v>60</v>
      </c>
      <c r="L5">
        <v>350</v>
      </c>
      <c r="N5" t="s">
        <v>299</v>
      </c>
      <c r="O5">
        <v>25</v>
      </c>
      <c r="P5">
        <f>25*4</f>
        <v>100</v>
      </c>
      <c r="Q5">
        <f>P5*4</f>
        <v>400</v>
      </c>
    </row>
    <row r="6" spans="1:17" x14ac:dyDescent="0.2">
      <c r="A6" t="s">
        <v>404</v>
      </c>
      <c r="B6" s="1">
        <v>250</v>
      </c>
      <c r="C6" s="1">
        <v>250</v>
      </c>
      <c r="D6" s="1">
        <v>250</v>
      </c>
      <c r="E6" s="1">
        <v>250</v>
      </c>
      <c r="F6" s="1">
        <v>300</v>
      </c>
      <c r="G6" s="1">
        <v>320</v>
      </c>
      <c r="H6" s="1">
        <v>320</v>
      </c>
      <c r="I6" s="1">
        <v>300</v>
      </c>
      <c r="J6" s="1">
        <v>320</v>
      </c>
      <c r="K6" s="1"/>
    </row>
    <row r="7" spans="1:17" x14ac:dyDescent="0.2">
      <c r="A7" t="s">
        <v>403</v>
      </c>
      <c r="B7" s="1">
        <v>280</v>
      </c>
      <c r="C7" s="1">
        <v>280</v>
      </c>
      <c r="D7" s="1">
        <v>280</v>
      </c>
      <c r="E7" s="1">
        <v>280</v>
      </c>
      <c r="F7" s="1">
        <v>350</v>
      </c>
      <c r="G7" s="1">
        <v>400</v>
      </c>
      <c r="H7" s="1">
        <v>400</v>
      </c>
      <c r="I7" s="1">
        <v>350</v>
      </c>
      <c r="J7" s="1">
        <v>400</v>
      </c>
      <c r="K7" s="1"/>
    </row>
    <row r="8" spans="1:17" x14ac:dyDescent="0.2">
      <c r="A8" s="84" t="s">
        <v>268</v>
      </c>
      <c r="B8" s="84"/>
      <c r="C8" s="84"/>
      <c r="D8" s="84"/>
    </row>
    <row r="9" spans="1:17" x14ac:dyDescent="0.2">
      <c r="F9" s="107" t="s">
        <v>289</v>
      </c>
    </row>
    <row r="10" spans="1:17" x14ac:dyDescent="0.2">
      <c r="A10" t="s">
        <v>29</v>
      </c>
    </row>
    <row r="11" spans="1:17" x14ac:dyDescent="0.2">
      <c r="A11" s="40" t="s">
        <v>36</v>
      </c>
      <c r="B11" s="40" t="s">
        <v>44</v>
      </c>
      <c r="C11" s="40" t="s">
        <v>24</v>
      </c>
      <c r="D11" s="40" t="s">
        <v>25</v>
      </c>
      <c r="E11" s="40" t="s">
        <v>50</v>
      </c>
      <c r="F11" s="40" t="s">
        <v>54</v>
      </c>
      <c r="H11" s="40" t="s">
        <v>78</v>
      </c>
      <c r="K11" s="40" t="s">
        <v>36</v>
      </c>
      <c r="L11" s="40" t="s">
        <v>26</v>
      </c>
      <c r="M11" s="40" t="s">
        <v>246</v>
      </c>
    </row>
    <row r="12" spans="1:17" x14ac:dyDescent="0.2">
      <c r="A12" t="s">
        <v>37</v>
      </c>
      <c r="B12" t="s">
        <v>45</v>
      </c>
      <c r="C12" t="s">
        <v>30</v>
      </c>
      <c r="D12">
        <v>1</v>
      </c>
      <c r="E12">
        <v>0</v>
      </c>
      <c r="F12" t="s">
        <v>46</v>
      </c>
      <c r="G12" s="9" t="s">
        <v>115</v>
      </c>
      <c r="H12" s="5" t="s">
        <v>104</v>
      </c>
      <c r="I12" t="s">
        <v>271</v>
      </c>
      <c r="K12" t="s">
        <v>237</v>
      </c>
      <c r="L12">
        <v>200</v>
      </c>
      <c r="M12" t="s">
        <v>147</v>
      </c>
      <c r="N12" t="s">
        <v>347</v>
      </c>
    </row>
    <row r="13" spans="1:17" x14ac:dyDescent="0.2">
      <c r="A13" t="s">
        <v>38</v>
      </c>
      <c r="B13" t="s">
        <v>46</v>
      </c>
      <c r="C13" t="s">
        <v>31</v>
      </c>
      <c r="D13">
        <v>2</v>
      </c>
      <c r="E13">
        <v>1</v>
      </c>
      <c r="F13" t="s">
        <v>55</v>
      </c>
      <c r="G13" s="9" t="s">
        <v>115</v>
      </c>
      <c r="H13" s="5" t="s">
        <v>134</v>
      </c>
      <c r="I13" t="s">
        <v>271</v>
      </c>
      <c r="K13" t="s">
        <v>240</v>
      </c>
      <c r="L13" t="s">
        <v>42</v>
      </c>
      <c r="N13" t="s">
        <v>69</v>
      </c>
    </row>
    <row r="14" spans="1:17" x14ac:dyDescent="0.2">
      <c r="A14" t="s">
        <v>39</v>
      </c>
      <c r="C14" t="s">
        <v>32</v>
      </c>
      <c r="D14">
        <v>3</v>
      </c>
      <c r="E14">
        <v>2</v>
      </c>
      <c r="F14" t="s">
        <v>45</v>
      </c>
      <c r="G14" s="9" t="s">
        <v>115</v>
      </c>
      <c r="H14" s="5" t="s">
        <v>105</v>
      </c>
      <c r="I14" t="s">
        <v>271</v>
      </c>
      <c r="K14" t="s">
        <v>238</v>
      </c>
      <c r="L14" t="s">
        <v>42</v>
      </c>
      <c r="M14" t="s">
        <v>151</v>
      </c>
      <c r="P14" t="s">
        <v>313</v>
      </c>
    </row>
    <row r="15" spans="1:17" x14ac:dyDescent="0.2">
      <c r="A15" t="s">
        <v>40</v>
      </c>
      <c r="C15" t="s">
        <v>33</v>
      </c>
      <c r="E15">
        <v>3</v>
      </c>
      <c r="G15" s="9" t="s">
        <v>115</v>
      </c>
      <c r="H15" s="5" t="s">
        <v>106</v>
      </c>
      <c r="I15" t="s">
        <v>271</v>
      </c>
      <c r="K15" t="s">
        <v>239</v>
      </c>
      <c r="L15">
        <v>320</v>
      </c>
      <c r="N15" t="s">
        <v>70</v>
      </c>
      <c r="P15">
        <v>895535</v>
      </c>
    </row>
    <row r="16" spans="1:17" x14ac:dyDescent="0.2">
      <c r="A16" t="s">
        <v>41</v>
      </c>
      <c r="C16" t="s">
        <v>34</v>
      </c>
      <c r="G16" s="9" t="s">
        <v>115</v>
      </c>
      <c r="H16" s="5" t="s">
        <v>107</v>
      </c>
      <c r="I16" t="s">
        <v>271</v>
      </c>
      <c r="K16" s="65" t="s">
        <v>241</v>
      </c>
      <c r="L16">
        <v>250</v>
      </c>
      <c r="M16" t="s">
        <v>192</v>
      </c>
      <c r="N16" t="s">
        <v>69</v>
      </c>
      <c r="P16" t="s">
        <v>312</v>
      </c>
    </row>
    <row r="17" spans="1:14" x14ac:dyDescent="0.2">
      <c r="A17" t="s">
        <v>42</v>
      </c>
      <c r="C17" t="s">
        <v>35</v>
      </c>
      <c r="G17" s="9" t="s">
        <v>115</v>
      </c>
      <c r="H17" s="5" t="s">
        <v>112</v>
      </c>
      <c r="I17" t="s">
        <v>271</v>
      </c>
      <c r="K17" t="s">
        <v>242</v>
      </c>
      <c r="L17">
        <v>300</v>
      </c>
      <c r="M17" t="s">
        <v>193</v>
      </c>
      <c r="N17" t="s">
        <v>69</v>
      </c>
    </row>
    <row r="18" spans="1:14" x14ac:dyDescent="0.2">
      <c r="A18" t="s">
        <v>43</v>
      </c>
      <c r="C18" t="s">
        <v>53</v>
      </c>
      <c r="G18" s="9" t="s">
        <v>115</v>
      </c>
      <c r="H18" s="5" t="s">
        <v>119</v>
      </c>
      <c r="I18" t="s">
        <v>271</v>
      </c>
      <c r="K18" t="s">
        <v>243</v>
      </c>
      <c r="L18">
        <v>320</v>
      </c>
      <c r="N18" t="s">
        <v>347</v>
      </c>
    </row>
    <row r="19" spans="1:14" x14ac:dyDescent="0.2">
      <c r="C19" t="s">
        <v>49</v>
      </c>
      <c r="G19" s="9" t="s">
        <v>115</v>
      </c>
      <c r="H19" s="5" t="s">
        <v>108</v>
      </c>
      <c r="I19" t="s">
        <v>271</v>
      </c>
      <c r="K19" t="s">
        <v>244</v>
      </c>
      <c r="L19">
        <v>550</v>
      </c>
      <c r="M19" t="s">
        <v>245</v>
      </c>
      <c r="N19" t="s">
        <v>69</v>
      </c>
    </row>
    <row r="20" spans="1:14" x14ac:dyDescent="0.2">
      <c r="G20" s="9" t="s">
        <v>116</v>
      </c>
      <c r="H20" t="s">
        <v>110</v>
      </c>
      <c r="I20" t="s">
        <v>272</v>
      </c>
    </row>
    <row r="21" spans="1:14" x14ac:dyDescent="0.2">
      <c r="G21" s="9" t="s">
        <v>116</v>
      </c>
      <c r="H21" t="s">
        <v>111</v>
      </c>
      <c r="I21" t="s">
        <v>272</v>
      </c>
    </row>
    <row r="22" spans="1:14" x14ac:dyDescent="0.2">
      <c r="G22" s="9" t="s">
        <v>116</v>
      </c>
      <c r="H22" t="s">
        <v>114</v>
      </c>
      <c r="I22" t="s">
        <v>272</v>
      </c>
    </row>
    <row r="23" spans="1:14" x14ac:dyDescent="0.2">
      <c r="G23" s="9" t="s">
        <v>116</v>
      </c>
      <c r="H23" t="s">
        <v>146</v>
      </c>
      <c r="I23" t="s">
        <v>272</v>
      </c>
    </row>
    <row r="24" spans="1:14" x14ac:dyDescent="0.2">
      <c r="G24" s="9" t="s">
        <v>116</v>
      </c>
      <c r="H24" t="s">
        <v>162</v>
      </c>
      <c r="I24" t="s">
        <v>272</v>
      </c>
    </row>
    <row r="25" spans="1:14" x14ac:dyDescent="0.2">
      <c r="G25" s="9" t="s">
        <v>123</v>
      </c>
      <c r="H25" t="s">
        <v>188</v>
      </c>
      <c r="I25" t="s">
        <v>188</v>
      </c>
    </row>
    <row r="26" spans="1:14" x14ac:dyDescent="0.2">
      <c r="G26" s="9" t="s">
        <v>129</v>
      </c>
      <c r="H26" t="s">
        <v>128</v>
      </c>
      <c r="I26" t="s">
        <v>273</v>
      </c>
    </row>
    <row r="28" spans="1:14" s="12" customFormat="1" ht="30" x14ac:dyDescent="0.2">
      <c r="A28" s="42" t="s">
        <v>80</v>
      </c>
      <c r="B28" s="42" t="s">
        <v>84</v>
      </c>
      <c r="C28" s="42" t="s">
        <v>82</v>
      </c>
      <c r="D28" s="42" t="s">
        <v>83</v>
      </c>
      <c r="G28" s="42" t="s">
        <v>98</v>
      </c>
      <c r="H28" s="42" t="s">
        <v>84</v>
      </c>
      <c r="I28" s="42" t="s">
        <v>82</v>
      </c>
      <c r="J28" s="42" t="s">
        <v>83</v>
      </c>
    </row>
    <row r="29" spans="1:14" x14ac:dyDescent="0.2">
      <c r="A29" s="41" t="s">
        <v>16</v>
      </c>
      <c r="B29" s="41">
        <f>C29*3</f>
        <v>18900</v>
      </c>
      <c r="C29" s="41">
        <f>D29*12</f>
        <v>6300</v>
      </c>
      <c r="D29" s="43">
        <v>525</v>
      </c>
      <c r="G29" s="41" t="s">
        <v>87</v>
      </c>
      <c r="H29" s="41"/>
      <c r="I29" s="41">
        <f>J29*12</f>
        <v>1380</v>
      </c>
      <c r="J29" s="41">
        <v>115</v>
      </c>
    </row>
    <row r="30" spans="1:14" x14ac:dyDescent="0.2">
      <c r="A30" s="41" t="s">
        <v>17</v>
      </c>
      <c r="B30" s="41"/>
      <c r="C30" s="41">
        <f>D30*12</f>
        <v>600</v>
      </c>
      <c r="D30" s="41">
        <v>50</v>
      </c>
      <c r="G30" s="41" t="s">
        <v>88</v>
      </c>
      <c r="H30" s="41"/>
      <c r="I30" s="41">
        <f>J30*12</f>
        <v>480</v>
      </c>
      <c r="J30" s="41">
        <v>40</v>
      </c>
    </row>
    <row r="31" spans="1:14" x14ac:dyDescent="0.2">
      <c r="A31" s="41" t="s">
        <v>85</v>
      </c>
      <c r="B31" s="41"/>
      <c r="C31" s="41">
        <f>D31*12</f>
        <v>600</v>
      </c>
      <c r="D31" s="41">
        <v>50</v>
      </c>
      <c r="G31" s="41" t="s">
        <v>99</v>
      </c>
      <c r="H31" s="41"/>
      <c r="I31" s="41"/>
      <c r="J31" s="41"/>
    </row>
    <row r="32" spans="1:14" x14ac:dyDescent="0.2">
      <c r="A32" s="41" t="s">
        <v>94</v>
      </c>
      <c r="B32" s="41"/>
      <c r="C32" s="41">
        <v>362.22</v>
      </c>
      <c r="D32" s="41"/>
    </row>
    <row r="33" spans="1:12" x14ac:dyDescent="0.2">
      <c r="A33" s="41" t="s">
        <v>96</v>
      </c>
      <c r="B33" s="41"/>
      <c r="C33" s="41">
        <v>300</v>
      </c>
      <c r="D33" s="41">
        <v>25</v>
      </c>
    </row>
    <row r="34" spans="1:12" x14ac:dyDescent="0.2">
      <c r="A34" s="41" t="s">
        <v>97</v>
      </c>
      <c r="B34" s="41"/>
      <c r="C34" s="41">
        <v>18</v>
      </c>
      <c r="D34" s="41"/>
    </row>
    <row r="35" spans="1:12" ht="15.95" customHeight="1" x14ac:dyDescent="0.2">
      <c r="A35" s="41" t="s">
        <v>84</v>
      </c>
      <c r="B35" s="41"/>
      <c r="C35" s="41">
        <f>SUM(C29:C34)</f>
        <v>8180.22</v>
      </c>
      <c r="D35" s="41"/>
      <c r="E35" s="232" t="s">
        <v>249</v>
      </c>
      <c r="F35" s="232"/>
      <c r="G35" s="232"/>
      <c r="H35" s="232"/>
    </row>
    <row r="36" spans="1:12" x14ac:dyDescent="0.2">
      <c r="E36" s="232"/>
      <c r="F36" s="232"/>
      <c r="G36" s="232"/>
      <c r="H36" s="232"/>
    </row>
    <row r="37" spans="1:12" ht="30" x14ac:dyDescent="0.2">
      <c r="A37" s="66" t="s">
        <v>117</v>
      </c>
      <c r="B37" s="66" t="s">
        <v>248</v>
      </c>
      <c r="C37" s="69" t="s">
        <v>84</v>
      </c>
      <c r="D37" s="69" t="s">
        <v>82</v>
      </c>
      <c r="E37" s="69" t="s">
        <v>247</v>
      </c>
      <c r="F37" s="69" t="s">
        <v>250</v>
      </c>
    </row>
    <row r="38" spans="1:12" x14ac:dyDescent="0.2">
      <c r="A38" s="71" t="s">
        <v>91</v>
      </c>
      <c r="B38" s="71" t="s">
        <v>252</v>
      </c>
      <c r="C38" s="71"/>
      <c r="D38" s="71"/>
      <c r="E38" s="72">
        <v>25</v>
      </c>
      <c r="F38" s="70"/>
    </row>
    <row r="39" spans="1:12" x14ac:dyDescent="0.2">
      <c r="A39" s="41" t="s">
        <v>92</v>
      </c>
      <c r="B39" s="41" t="s">
        <v>93</v>
      </c>
      <c r="C39" s="41">
        <v>400</v>
      </c>
      <c r="D39" s="41">
        <f>C39/3</f>
        <v>133.33333333333334</v>
      </c>
      <c r="E39" s="68">
        <f>ROUNDUP(D39/12,0)</f>
        <v>12</v>
      </c>
      <c r="F39" s="66"/>
    </row>
    <row r="40" spans="1:12" x14ac:dyDescent="0.2">
      <c r="A40" s="41" t="s">
        <v>96</v>
      </c>
      <c r="B40" s="41" t="s">
        <v>148</v>
      </c>
      <c r="C40" s="41"/>
      <c r="D40" s="41">
        <f>499+250</f>
        <v>749</v>
      </c>
      <c r="E40" s="68">
        <f>D40/24</f>
        <v>31.208333333333332</v>
      </c>
      <c r="F40" s="66"/>
    </row>
    <row r="41" spans="1:12" x14ac:dyDescent="0.2">
      <c r="A41" s="41" t="s">
        <v>94</v>
      </c>
      <c r="B41" s="41" t="s">
        <v>252</v>
      </c>
      <c r="C41" s="41"/>
      <c r="D41" s="41">
        <v>362.22</v>
      </c>
      <c r="E41" s="68">
        <f>ROUNDUP(C32/12,0)</f>
        <v>31</v>
      </c>
      <c r="F41" s="66"/>
    </row>
    <row r="43" spans="1:12" ht="30" x14ac:dyDescent="0.2">
      <c r="A43" s="68" t="s">
        <v>132</v>
      </c>
      <c r="B43" s="66" t="s">
        <v>248</v>
      </c>
      <c r="C43" s="69" t="s">
        <v>84</v>
      </c>
      <c r="D43" s="69" t="s">
        <v>82</v>
      </c>
      <c r="E43" s="69" t="s">
        <v>247</v>
      </c>
      <c r="F43" s="69" t="s">
        <v>250</v>
      </c>
      <c r="I43" s="159"/>
    </row>
    <row r="44" spans="1:12" x14ac:dyDescent="0.2">
      <c r="A44" s="68" t="s">
        <v>133</v>
      </c>
      <c r="B44" s="66" t="s">
        <v>93</v>
      </c>
      <c r="C44" s="66">
        <v>11600</v>
      </c>
      <c r="D44" s="66">
        <f>C44/3</f>
        <v>3866.6666666666665</v>
      </c>
      <c r="E44" s="66">
        <f>C44/3/12</f>
        <v>322.22222222222223</v>
      </c>
      <c r="F44" s="66"/>
    </row>
    <row r="46" spans="1:12" ht="30" x14ac:dyDescent="0.2">
      <c r="A46" s="66" t="s">
        <v>120</v>
      </c>
      <c r="B46" s="66" t="s">
        <v>248</v>
      </c>
      <c r="C46" s="69" t="s">
        <v>84</v>
      </c>
      <c r="D46" s="69" t="s">
        <v>82</v>
      </c>
      <c r="E46" s="69" t="s">
        <v>395</v>
      </c>
      <c r="F46" s="69" t="s">
        <v>247</v>
      </c>
      <c r="G46" s="69" t="s">
        <v>250</v>
      </c>
      <c r="H46" s="160" t="s">
        <v>352</v>
      </c>
      <c r="I46" s="173" t="s">
        <v>394</v>
      </c>
      <c r="J46" s="175" t="s">
        <v>457</v>
      </c>
      <c r="K46" s="175" t="s">
        <v>572</v>
      </c>
      <c r="L46" s="175" t="s">
        <v>657</v>
      </c>
    </row>
    <row r="47" spans="1:12" x14ac:dyDescent="0.2">
      <c r="A47" s="66" t="s">
        <v>172</v>
      </c>
      <c r="B47" s="66"/>
      <c r="C47" s="66">
        <f>C49+C50+C51</f>
        <v>548.58999999999992</v>
      </c>
      <c r="D47" s="66">
        <f>D49+D50+D51</f>
        <v>297.25666666666666</v>
      </c>
      <c r="E47" s="66"/>
      <c r="F47" s="66">
        <f>F49+F50+F51</f>
        <v>24.77138888888889</v>
      </c>
      <c r="G47" s="66">
        <f>G49</f>
        <v>10.472222222222223</v>
      </c>
      <c r="H47" s="66">
        <f>SUM(H49:H52)</f>
        <v>59.087222222222223</v>
      </c>
      <c r="I47" s="174">
        <f>SUM(I49:I53)</f>
        <v>76.587222222222223</v>
      </c>
      <c r="J47" s="41">
        <f>SUM(J49:J53)</f>
        <v>28.358749999999997</v>
      </c>
      <c r="K47" s="41">
        <f>SUM(K48:K58)</f>
        <v>109.88249999999999</v>
      </c>
      <c r="L47" s="41">
        <f>SUM(L48:L59)</f>
        <v>58.25</v>
      </c>
    </row>
    <row r="48" spans="1:12" x14ac:dyDescent="0.2">
      <c r="A48" s="66" t="s">
        <v>330</v>
      </c>
      <c r="B48" s="66"/>
      <c r="C48" s="66"/>
      <c r="D48" s="66"/>
      <c r="E48" s="66"/>
      <c r="F48" s="66">
        <f>C47</f>
        <v>548.58999999999992</v>
      </c>
      <c r="G48" s="66">
        <f>F48-D47</f>
        <v>251.33333333333326</v>
      </c>
      <c r="H48" s="66">
        <f>G48+C52</f>
        <v>1418.0933333333332</v>
      </c>
      <c r="I48" s="174"/>
      <c r="J48" s="41"/>
      <c r="K48" s="41"/>
      <c r="L48" s="41"/>
    </row>
    <row r="49" spans="1:12" x14ac:dyDescent="0.2">
      <c r="A49" s="67" t="s">
        <v>159</v>
      </c>
      <c r="B49" s="66" t="s">
        <v>251</v>
      </c>
      <c r="C49" s="66">
        <v>377</v>
      </c>
      <c r="D49" s="66">
        <f>C49/3</f>
        <v>125.66666666666667</v>
      </c>
      <c r="E49" s="66">
        <f>C49-(F49*12)-(G49*12)-(H49*12)</f>
        <v>0</v>
      </c>
      <c r="F49" s="66">
        <f>D49/12</f>
        <v>10.472222222222223</v>
      </c>
      <c r="G49" s="66">
        <f>D49/12</f>
        <v>10.472222222222223</v>
      </c>
      <c r="H49" s="66">
        <f>G49</f>
        <v>10.472222222222223</v>
      </c>
      <c r="I49" s="174">
        <f>G49</f>
        <v>10.472222222222223</v>
      </c>
      <c r="J49" s="41"/>
      <c r="K49" s="41"/>
      <c r="L49" s="41"/>
    </row>
    <row r="50" spans="1:12" x14ac:dyDescent="0.2">
      <c r="A50" s="66" t="s">
        <v>169</v>
      </c>
      <c r="B50" s="66" t="s">
        <v>252</v>
      </c>
      <c r="C50" s="66">
        <v>131.53</v>
      </c>
      <c r="D50" s="66">
        <f>C50</f>
        <v>131.53</v>
      </c>
      <c r="E50" s="66">
        <f>C50-(F50*12)-(G50*12)</f>
        <v>0</v>
      </c>
      <c r="F50" s="66">
        <f>D50/12</f>
        <v>10.960833333333333</v>
      </c>
      <c r="G50" s="66">
        <v>0</v>
      </c>
      <c r="H50" s="66"/>
      <c r="I50" s="174"/>
      <c r="J50" s="41"/>
      <c r="K50" s="41"/>
      <c r="L50" s="41"/>
    </row>
    <row r="51" spans="1:12" x14ac:dyDescent="0.2">
      <c r="A51" s="66" t="s">
        <v>173</v>
      </c>
      <c r="B51" s="66" t="s">
        <v>252</v>
      </c>
      <c r="C51" s="66">
        <v>40.06</v>
      </c>
      <c r="D51" s="66">
        <f>C51</f>
        <v>40.06</v>
      </c>
      <c r="E51" s="66">
        <f>C51-(F51*12)-(G51*12)</f>
        <v>0</v>
      </c>
      <c r="F51" s="66">
        <f>D51/12</f>
        <v>3.3383333333333334</v>
      </c>
      <c r="G51" s="66">
        <v>0</v>
      </c>
      <c r="H51" s="66"/>
      <c r="I51" s="174"/>
      <c r="J51" s="41"/>
      <c r="K51" s="41"/>
      <c r="L51" s="41"/>
    </row>
    <row r="52" spans="1:12" x14ac:dyDescent="0.2">
      <c r="A52" s="67" t="s">
        <v>351</v>
      </c>
      <c r="B52" s="67" t="s">
        <v>458</v>
      </c>
      <c r="C52" s="66">
        <f>1316.76-150</f>
        <v>1166.76</v>
      </c>
      <c r="D52" s="66">
        <f>C52/2</f>
        <v>583.38</v>
      </c>
      <c r="E52" s="66">
        <f>C52-(F52*12)-(G52*12)-(H52*5)-(I52*12)</f>
        <v>340.30499999999995</v>
      </c>
      <c r="F52" s="66"/>
      <c r="G52" s="66"/>
      <c r="H52" s="66">
        <f>D52/12</f>
        <v>48.615000000000002</v>
      </c>
      <c r="I52" s="174">
        <f>D52/12</f>
        <v>48.615000000000002</v>
      </c>
      <c r="J52" s="41">
        <f>E52/12</f>
        <v>28.358749999999997</v>
      </c>
      <c r="K52" s="41"/>
      <c r="L52" s="41"/>
    </row>
    <row r="53" spans="1:12" x14ac:dyDescent="0.2">
      <c r="A53" s="67" t="s">
        <v>381</v>
      </c>
      <c r="B53" s="67" t="s">
        <v>252</v>
      </c>
      <c r="C53" s="66">
        <v>210</v>
      </c>
      <c r="D53" s="66">
        <v>210</v>
      </c>
      <c r="E53" s="66">
        <v>210</v>
      </c>
      <c r="F53" s="66"/>
      <c r="G53" s="66"/>
      <c r="H53" s="66"/>
      <c r="I53" s="174">
        <f>E53/12</f>
        <v>17.5</v>
      </c>
      <c r="J53" s="41"/>
      <c r="K53" s="41"/>
      <c r="L53" s="41"/>
    </row>
    <row r="54" spans="1:12" x14ac:dyDescent="0.2">
      <c r="A54" s="181" t="s">
        <v>381</v>
      </c>
      <c r="B54" s="181" t="s">
        <v>252</v>
      </c>
      <c r="C54" s="182">
        <f>399.6+55.41</f>
        <v>455.01</v>
      </c>
      <c r="D54" s="182">
        <f>399.6+55.41</f>
        <v>455.01</v>
      </c>
      <c r="E54" s="182">
        <f>399.6+55.41</f>
        <v>455.01</v>
      </c>
      <c r="F54" s="182"/>
      <c r="G54" s="182"/>
      <c r="H54" s="182"/>
      <c r="I54" s="183"/>
      <c r="J54" s="184"/>
      <c r="K54" s="184">
        <f>E54/12</f>
        <v>37.917499999999997</v>
      </c>
      <c r="L54" s="184"/>
    </row>
    <row r="55" spans="1:12" x14ac:dyDescent="0.2">
      <c r="A55" s="66" t="s">
        <v>602</v>
      </c>
      <c r="B55" s="66" t="s">
        <v>252</v>
      </c>
      <c r="C55" s="66">
        <f>99+71.24</f>
        <v>170.24</v>
      </c>
      <c r="D55" s="66">
        <f>99+71.24</f>
        <v>170.24</v>
      </c>
      <c r="E55" s="66">
        <f>99+71.24</f>
        <v>170.24</v>
      </c>
      <c r="F55" s="66"/>
      <c r="G55" s="66"/>
      <c r="H55" s="66"/>
      <c r="I55" s="66"/>
      <c r="J55" s="66"/>
      <c r="K55" s="66">
        <f>E55/12</f>
        <v>14.186666666666667</v>
      </c>
      <c r="L55" s="66"/>
    </row>
    <row r="56" spans="1:12" x14ac:dyDescent="0.2">
      <c r="A56" s="66" t="s">
        <v>605</v>
      </c>
      <c r="B56" s="66" t="s">
        <v>252</v>
      </c>
      <c r="C56" s="66">
        <v>73.98</v>
      </c>
      <c r="D56" s="66">
        <v>73.98</v>
      </c>
      <c r="E56" s="66">
        <v>73.98</v>
      </c>
      <c r="F56" s="66"/>
      <c r="G56" s="66"/>
      <c r="H56" s="66"/>
      <c r="I56" s="66"/>
      <c r="J56" s="66"/>
      <c r="K56" s="66">
        <f>E56/12</f>
        <v>6.165</v>
      </c>
      <c r="L56" s="66"/>
    </row>
    <row r="57" spans="1:12" x14ac:dyDescent="0.2">
      <c r="A57" s="67" t="s">
        <v>443</v>
      </c>
      <c r="B57" s="66" t="s">
        <v>252</v>
      </c>
      <c r="C57" s="66">
        <v>229.36</v>
      </c>
      <c r="D57" s="66">
        <v>229.36</v>
      </c>
      <c r="E57" s="186">
        <v>229.36</v>
      </c>
      <c r="F57" s="66"/>
      <c r="G57" s="66"/>
      <c r="H57" s="66"/>
      <c r="I57" s="66"/>
      <c r="J57" s="66"/>
      <c r="K57" s="66">
        <f>E57/12</f>
        <v>19.113333333333333</v>
      </c>
      <c r="L57" s="66"/>
    </row>
    <row r="58" spans="1:12" x14ac:dyDescent="0.2">
      <c r="A58" s="67" t="s">
        <v>143</v>
      </c>
      <c r="B58" s="67" t="s">
        <v>458</v>
      </c>
      <c r="C58" s="66">
        <v>780</v>
      </c>
      <c r="D58" s="66">
        <f>C58/2</f>
        <v>390</v>
      </c>
      <c r="E58" s="66">
        <v>390</v>
      </c>
      <c r="F58" s="66"/>
      <c r="G58" s="66"/>
      <c r="H58" s="66"/>
      <c r="I58" s="66"/>
      <c r="J58" s="66"/>
      <c r="K58" s="66">
        <f>E58/12</f>
        <v>32.5</v>
      </c>
      <c r="L58" s="66">
        <f>E58/12</f>
        <v>32.5</v>
      </c>
    </row>
    <row r="59" spans="1:12" x14ac:dyDescent="0.2">
      <c r="A59" s="66" t="s">
        <v>656</v>
      </c>
      <c r="B59" s="66" t="s">
        <v>252</v>
      </c>
      <c r="C59" s="66">
        <v>309</v>
      </c>
      <c r="D59" s="66">
        <v>309</v>
      </c>
      <c r="E59" s="66"/>
      <c r="F59" s="66"/>
      <c r="G59" s="66"/>
      <c r="H59" s="66"/>
      <c r="I59" s="66"/>
      <c r="J59" s="66"/>
      <c r="K59" s="66"/>
      <c r="L59" s="66">
        <f>D59/12</f>
        <v>25.75</v>
      </c>
    </row>
  </sheetData>
  <mergeCells count="1">
    <mergeCell ref="E35:H36"/>
  </mergeCells>
  <pageMargins left="0.7" right="0.7" top="0.75" bottom="0.75" header="0.3" footer="0.3"/>
  <pageSetup paperSize="9" orientation="portrait" horizontalDpi="0" verticalDpi="0"/>
  <headerFooter>
    <oddHeader>&amp;C&amp;"Calibri"&amp;10&amp;K000000 Internal&amp;1#_x000D_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14"/>
  <sheetViews>
    <sheetView showRuler="0" workbookViewId="0">
      <selection activeCell="L4" sqref="L4"/>
    </sheetView>
  </sheetViews>
  <sheetFormatPr defaultColWidth="10.8515625" defaultRowHeight="15" x14ac:dyDescent="0.2"/>
  <cols>
    <col min="1" max="1" width="24.5390625" customWidth="1"/>
  </cols>
  <sheetData>
    <row r="1" spans="1:12" x14ac:dyDescent="0.2">
      <c r="A1" s="11" t="s">
        <v>574</v>
      </c>
      <c r="B1" s="11" t="s">
        <v>141</v>
      </c>
      <c r="C1" t="s">
        <v>584</v>
      </c>
      <c r="D1" t="s">
        <v>586</v>
      </c>
      <c r="E1" t="s">
        <v>591</v>
      </c>
      <c r="F1" t="s">
        <v>586</v>
      </c>
    </row>
    <row r="2" spans="1:12" x14ac:dyDescent="0.2">
      <c r="A2" t="s">
        <v>575</v>
      </c>
      <c r="B2">
        <v>110</v>
      </c>
      <c r="C2">
        <f>B2</f>
        <v>110</v>
      </c>
      <c r="D2">
        <v>500</v>
      </c>
      <c r="E2">
        <f>C2</f>
        <v>110</v>
      </c>
      <c r="F2">
        <v>500</v>
      </c>
    </row>
    <row r="3" spans="1:12" x14ac:dyDescent="0.2">
      <c r="A3" t="s">
        <v>576</v>
      </c>
      <c r="B3">
        <v>350</v>
      </c>
      <c r="C3">
        <f>B3</f>
        <v>350</v>
      </c>
      <c r="D3">
        <f>C3</f>
        <v>350</v>
      </c>
      <c r="E3">
        <f>C3</f>
        <v>350</v>
      </c>
      <c r="F3">
        <f>E3</f>
        <v>350</v>
      </c>
      <c r="J3">
        <v>100</v>
      </c>
      <c r="K3">
        <v>80</v>
      </c>
      <c r="L3">
        <f>K3*J3</f>
        <v>8000</v>
      </c>
    </row>
    <row r="4" spans="1:12" x14ac:dyDescent="0.2">
      <c r="A4" t="s">
        <v>577</v>
      </c>
      <c r="B4">
        <v>100</v>
      </c>
      <c r="C4">
        <f>B4</f>
        <v>100</v>
      </c>
      <c r="D4">
        <f>C4</f>
        <v>100</v>
      </c>
      <c r="E4">
        <f>C4</f>
        <v>100</v>
      </c>
      <c r="F4">
        <f>E4</f>
        <v>100</v>
      </c>
    </row>
    <row r="5" spans="1:12" x14ac:dyDescent="0.2">
      <c r="A5" t="s">
        <v>589</v>
      </c>
      <c r="B5" t="s">
        <v>580</v>
      </c>
      <c r="C5">
        <f>20*10</f>
        <v>200</v>
      </c>
      <c r="D5">
        <f>30*10</f>
        <v>300</v>
      </c>
      <c r="E5">
        <f>20*E13</f>
        <v>400</v>
      </c>
      <c r="F5">
        <f>30*E13</f>
        <v>600</v>
      </c>
    </row>
    <row r="6" spans="1:12" x14ac:dyDescent="0.2">
      <c r="A6" t="s">
        <v>578</v>
      </c>
      <c r="B6" s="1">
        <v>0</v>
      </c>
      <c r="C6">
        <v>0</v>
      </c>
      <c r="D6">
        <v>100</v>
      </c>
      <c r="E6">
        <v>0</v>
      </c>
      <c r="F6">
        <v>100</v>
      </c>
    </row>
    <row r="7" spans="1:12" x14ac:dyDescent="0.2">
      <c r="A7" t="s">
        <v>588</v>
      </c>
      <c r="B7">
        <v>30</v>
      </c>
      <c r="C7">
        <v>30</v>
      </c>
      <c r="D7">
        <v>50</v>
      </c>
      <c r="E7">
        <v>60</v>
      </c>
      <c r="F7">
        <v>100</v>
      </c>
    </row>
    <row r="8" spans="1:12" x14ac:dyDescent="0.2">
      <c r="A8" t="s">
        <v>587</v>
      </c>
      <c r="B8" t="s">
        <v>579</v>
      </c>
      <c r="C8">
        <f>15*5</f>
        <v>75</v>
      </c>
      <c r="D8">
        <f>C8*1.5</f>
        <v>112.5</v>
      </c>
      <c r="E8">
        <f>15*E14</f>
        <v>150</v>
      </c>
      <c r="F8">
        <f>E8*1.5</f>
        <v>225</v>
      </c>
    </row>
    <row r="9" spans="1:12" x14ac:dyDescent="0.2">
      <c r="A9" t="s">
        <v>84</v>
      </c>
      <c r="C9">
        <f>SUM(C2:C8)</f>
        <v>865</v>
      </c>
      <c r="D9">
        <f>SUM(D2:D8)</f>
        <v>1512.5</v>
      </c>
      <c r="E9">
        <f>SUM(E2:E8)</f>
        <v>1170</v>
      </c>
      <c r="F9">
        <f>SUM(F2:F8)</f>
        <v>1975</v>
      </c>
    </row>
    <row r="10" spans="1:12" x14ac:dyDescent="0.2">
      <c r="A10" t="s">
        <v>590</v>
      </c>
      <c r="D10">
        <f>D9-C9</f>
        <v>647.5</v>
      </c>
      <c r="F10">
        <f>F9-E9</f>
        <v>805</v>
      </c>
    </row>
    <row r="12" spans="1:12" x14ac:dyDescent="0.2">
      <c r="C12">
        <v>50</v>
      </c>
      <c r="E12">
        <v>100</v>
      </c>
    </row>
    <row r="13" spans="1:12" x14ac:dyDescent="0.2">
      <c r="A13" t="s">
        <v>581</v>
      </c>
      <c r="B13" s="65" t="s">
        <v>582</v>
      </c>
      <c r="C13">
        <f>C12/5</f>
        <v>10</v>
      </c>
      <c r="E13">
        <f>E12/5</f>
        <v>20</v>
      </c>
    </row>
    <row r="14" spans="1:12" x14ac:dyDescent="0.2">
      <c r="A14" t="s">
        <v>583</v>
      </c>
      <c r="B14" s="65" t="s">
        <v>585</v>
      </c>
      <c r="C14">
        <f>C12/10</f>
        <v>5</v>
      </c>
      <c r="E14">
        <f>E12/10</f>
        <v>10</v>
      </c>
    </row>
  </sheetData>
  <pageMargins left="0.7" right="0.7" top="0.75" bottom="0.75" header="0.3" footer="0.3"/>
  <pageSetup paperSize="9" orientation="portrait" horizontalDpi="0" verticalDpi="0"/>
  <headerFooter>
    <oddHeader>&amp;C&amp;"Calibri"&amp;10&amp;K000000 Internal&amp;1#_x000D_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Q53"/>
  <sheetViews>
    <sheetView showRuler="0" topLeftCell="A41" zoomScale="120" zoomScaleNormal="120" zoomScalePageLayoutView="120" workbookViewId="0">
      <selection activeCell="Q28" sqref="Q28"/>
    </sheetView>
  </sheetViews>
  <sheetFormatPr defaultColWidth="10.8515625" defaultRowHeight="15" x14ac:dyDescent="0.2"/>
  <cols>
    <col min="1" max="1" width="20.83984375" bestFit="1" customWidth="1"/>
    <col min="12" max="12" width="14.671875" bestFit="1" customWidth="1"/>
    <col min="14" max="14" width="24.78515625" bestFit="1" customWidth="1"/>
    <col min="16" max="16" width="14.1796875" bestFit="1" customWidth="1"/>
  </cols>
  <sheetData>
    <row r="1" spans="1:17" x14ac:dyDescent="0.2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14</v>
      </c>
      <c r="J1" t="s">
        <v>12</v>
      </c>
      <c r="K1" t="s">
        <v>13</v>
      </c>
      <c r="L1" t="s">
        <v>15</v>
      </c>
      <c r="N1" t="s">
        <v>295</v>
      </c>
      <c r="O1" t="s">
        <v>142</v>
      </c>
      <c r="P1" t="s">
        <v>300</v>
      </c>
      <c r="Q1" t="s">
        <v>301</v>
      </c>
    </row>
    <row r="2" spans="1:17" x14ac:dyDescent="0.2">
      <c r="A2" t="s">
        <v>1</v>
      </c>
      <c r="B2" s="1">
        <v>80</v>
      </c>
      <c r="C2" s="1">
        <v>80</v>
      </c>
      <c r="D2" s="1">
        <v>80</v>
      </c>
      <c r="E2" s="1">
        <v>80</v>
      </c>
      <c r="F2" s="1">
        <v>80</v>
      </c>
      <c r="G2" s="1">
        <v>145</v>
      </c>
      <c r="H2" s="1">
        <v>145</v>
      </c>
      <c r="I2" s="1">
        <v>80</v>
      </c>
      <c r="J2" s="1">
        <v>145</v>
      </c>
      <c r="K2" s="1">
        <v>20</v>
      </c>
      <c r="L2">
        <v>350</v>
      </c>
      <c r="N2" t="s">
        <v>296</v>
      </c>
      <c r="O2">
        <v>30</v>
      </c>
      <c r="P2">
        <f>O2</f>
        <v>30</v>
      </c>
      <c r="Q2">
        <f>P2*4</f>
        <v>120</v>
      </c>
    </row>
    <row r="3" spans="1:17" x14ac:dyDescent="0.2">
      <c r="A3" t="s">
        <v>2</v>
      </c>
      <c r="B3" s="1">
        <v>95</v>
      </c>
      <c r="C3" s="1">
        <v>95</v>
      </c>
      <c r="D3" s="1">
        <v>95</v>
      </c>
      <c r="E3" s="1">
        <v>95</v>
      </c>
      <c r="F3" s="1">
        <v>135</v>
      </c>
      <c r="G3" s="1">
        <v>145</v>
      </c>
      <c r="H3" s="1">
        <v>145</v>
      </c>
      <c r="I3" s="1">
        <v>135</v>
      </c>
      <c r="J3" s="1">
        <v>145</v>
      </c>
      <c r="K3" s="1">
        <v>20</v>
      </c>
      <c r="L3">
        <v>350</v>
      </c>
      <c r="N3" t="s">
        <v>297</v>
      </c>
      <c r="O3">
        <v>25</v>
      </c>
      <c r="P3">
        <f>O3*2</f>
        <v>50</v>
      </c>
      <c r="Q3">
        <f>P3*4</f>
        <v>200</v>
      </c>
    </row>
    <row r="4" spans="1:17" x14ac:dyDescent="0.2">
      <c r="A4" t="s">
        <v>3</v>
      </c>
      <c r="B4" s="1">
        <v>195</v>
      </c>
      <c r="C4" s="1">
        <v>195</v>
      </c>
      <c r="D4" s="1">
        <v>195</v>
      </c>
      <c r="E4" s="1">
        <v>195</v>
      </c>
      <c r="F4" s="1">
        <v>195</v>
      </c>
      <c r="G4" s="1">
        <v>195</v>
      </c>
      <c r="H4" s="1">
        <v>195</v>
      </c>
      <c r="I4" s="1">
        <v>195</v>
      </c>
      <c r="J4" s="1">
        <v>195</v>
      </c>
      <c r="K4" s="1">
        <v>0</v>
      </c>
      <c r="L4">
        <v>350</v>
      </c>
      <c r="N4" t="s">
        <v>298</v>
      </c>
      <c r="O4">
        <v>25</v>
      </c>
      <c r="P4">
        <f>30*3</f>
        <v>90</v>
      </c>
      <c r="Q4">
        <f>P4*4</f>
        <v>360</v>
      </c>
    </row>
    <row r="5" spans="1:17" x14ac:dyDescent="0.2">
      <c r="A5" t="s">
        <v>4</v>
      </c>
      <c r="B5" s="1">
        <v>150</v>
      </c>
      <c r="C5" s="1">
        <v>150</v>
      </c>
      <c r="D5" s="1">
        <v>150</v>
      </c>
      <c r="E5" s="1">
        <v>150</v>
      </c>
      <c r="F5" s="1">
        <v>190</v>
      </c>
      <c r="G5" s="1">
        <v>270</v>
      </c>
      <c r="H5" s="1">
        <v>270</v>
      </c>
      <c r="I5" s="1">
        <v>190</v>
      </c>
      <c r="J5" s="1">
        <v>270</v>
      </c>
      <c r="K5" s="1">
        <v>40</v>
      </c>
      <c r="L5">
        <v>350</v>
      </c>
      <c r="N5" t="s">
        <v>299</v>
      </c>
      <c r="O5">
        <v>25</v>
      </c>
      <c r="P5">
        <f>25*4</f>
        <v>100</v>
      </c>
      <c r="Q5">
        <f>P5*4</f>
        <v>400</v>
      </c>
    </row>
    <row r="6" spans="1:17" x14ac:dyDescent="0.2">
      <c r="A6" t="s">
        <v>70</v>
      </c>
      <c r="B6" s="1">
        <v>230</v>
      </c>
      <c r="C6" s="1">
        <v>230</v>
      </c>
      <c r="D6" s="1">
        <v>230</v>
      </c>
      <c r="E6" s="1">
        <v>230</v>
      </c>
      <c r="F6" s="1">
        <v>275</v>
      </c>
      <c r="G6" s="1">
        <v>300</v>
      </c>
      <c r="H6" s="1">
        <v>300</v>
      </c>
      <c r="I6" s="1">
        <v>275</v>
      </c>
      <c r="J6" s="1">
        <v>300</v>
      </c>
      <c r="K6" s="1"/>
    </row>
    <row r="7" spans="1:17" x14ac:dyDescent="0.2">
      <c r="A7" t="s">
        <v>403</v>
      </c>
      <c r="B7" s="1">
        <v>280</v>
      </c>
      <c r="C7" s="1">
        <v>280</v>
      </c>
      <c r="D7" s="1">
        <v>280</v>
      </c>
      <c r="E7" s="1">
        <v>280</v>
      </c>
      <c r="F7" s="1">
        <v>325</v>
      </c>
      <c r="G7" s="1">
        <v>370</v>
      </c>
      <c r="H7" s="1">
        <v>370</v>
      </c>
      <c r="I7" s="1">
        <v>325</v>
      </c>
      <c r="J7" s="1">
        <v>370</v>
      </c>
      <c r="K7" s="1"/>
    </row>
    <row r="8" spans="1:17" x14ac:dyDescent="0.2">
      <c r="A8" s="84" t="s">
        <v>268</v>
      </c>
      <c r="B8" s="84"/>
      <c r="C8" s="84"/>
      <c r="D8" s="84"/>
    </row>
    <row r="9" spans="1:17" x14ac:dyDescent="0.2">
      <c r="F9" s="107" t="s">
        <v>289</v>
      </c>
    </row>
    <row r="10" spans="1:17" x14ac:dyDescent="0.2">
      <c r="A10" t="s">
        <v>29</v>
      </c>
    </row>
    <row r="11" spans="1:17" x14ac:dyDescent="0.2">
      <c r="A11" s="40" t="s">
        <v>36</v>
      </c>
      <c r="B11" s="40" t="s">
        <v>44</v>
      </c>
      <c r="C11" s="40" t="s">
        <v>24</v>
      </c>
      <c r="D11" s="40" t="s">
        <v>25</v>
      </c>
      <c r="E11" s="40" t="s">
        <v>50</v>
      </c>
      <c r="F11" s="40" t="s">
        <v>54</v>
      </c>
      <c r="H11" s="40" t="s">
        <v>78</v>
      </c>
      <c r="K11" s="40" t="s">
        <v>36</v>
      </c>
      <c r="L11" s="40" t="s">
        <v>26</v>
      </c>
      <c r="M11" s="40" t="s">
        <v>246</v>
      </c>
    </row>
    <row r="12" spans="1:17" x14ac:dyDescent="0.2">
      <c r="A12" t="s">
        <v>37</v>
      </c>
      <c r="B12" t="s">
        <v>45</v>
      </c>
      <c r="C12" t="s">
        <v>30</v>
      </c>
      <c r="D12">
        <v>1</v>
      </c>
      <c r="E12">
        <v>0</v>
      </c>
      <c r="F12" t="s">
        <v>46</v>
      </c>
      <c r="G12" s="9" t="s">
        <v>115</v>
      </c>
      <c r="H12" s="5" t="s">
        <v>104</v>
      </c>
      <c r="I12" t="s">
        <v>271</v>
      </c>
      <c r="K12" t="s">
        <v>237</v>
      </c>
      <c r="L12">
        <v>200</v>
      </c>
      <c r="M12" t="s">
        <v>147</v>
      </c>
      <c r="N12" t="s">
        <v>347</v>
      </c>
    </row>
    <row r="13" spans="1:17" x14ac:dyDescent="0.2">
      <c r="A13" t="s">
        <v>38</v>
      </c>
      <c r="B13" t="s">
        <v>46</v>
      </c>
      <c r="C13" t="s">
        <v>31</v>
      </c>
      <c r="D13">
        <v>2</v>
      </c>
      <c r="E13">
        <v>1</v>
      </c>
      <c r="F13" t="s">
        <v>55</v>
      </c>
      <c r="G13" s="9" t="s">
        <v>115</v>
      </c>
      <c r="H13" s="5" t="s">
        <v>134</v>
      </c>
      <c r="I13" t="s">
        <v>271</v>
      </c>
      <c r="K13" t="s">
        <v>240</v>
      </c>
      <c r="L13" t="s">
        <v>42</v>
      </c>
      <c r="N13" t="s">
        <v>69</v>
      </c>
    </row>
    <row r="14" spans="1:17" x14ac:dyDescent="0.2">
      <c r="A14" t="s">
        <v>39</v>
      </c>
      <c r="C14" t="s">
        <v>32</v>
      </c>
      <c r="D14">
        <v>3</v>
      </c>
      <c r="E14">
        <v>2</v>
      </c>
      <c r="F14" t="s">
        <v>45</v>
      </c>
      <c r="G14" s="9" t="s">
        <v>115</v>
      </c>
      <c r="H14" s="5" t="s">
        <v>105</v>
      </c>
      <c r="I14" t="s">
        <v>271</v>
      </c>
      <c r="K14" t="s">
        <v>238</v>
      </c>
      <c r="L14" t="s">
        <v>42</v>
      </c>
      <c r="M14" t="s">
        <v>151</v>
      </c>
      <c r="P14" t="s">
        <v>313</v>
      </c>
    </row>
    <row r="15" spans="1:17" x14ac:dyDescent="0.2">
      <c r="A15" t="s">
        <v>40</v>
      </c>
      <c r="C15" t="s">
        <v>33</v>
      </c>
      <c r="E15">
        <v>3</v>
      </c>
      <c r="G15" s="9" t="s">
        <v>115</v>
      </c>
      <c r="H15" s="5" t="s">
        <v>106</v>
      </c>
      <c r="I15" t="s">
        <v>271</v>
      </c>
      <c r="K15" t="s">
        <v>239</v>
      </c>
      <c r="L15">
        <v>300</v>
      </c>
      <c r="N15" t="s">
        <v>70</v>
      </c>
      <c r="P15">
        <v>895535</v>
      </c>
    </row>
    <row r="16" spans="1:17" x14ac:dyDescent="0.2">
      <c r="A16" t="s">
        <v>41</v>
      </c>
      <c r="C16" t="s">
        <v>34</v>
      </c>
      <c r="G16" s="9" t="s">
        <v>115</v>
      </c>
      <c r="H16" s="5" t="s">
        <v>107</v>
      </c>
      <c r="I16" t="s">
        <v>271</v>
      </c>
      <c r="K16" s="65" t="s">
        <v>241</v>
      </c>
      <c r="L16">
        <v>250</v>
      </c>
      <c r="M16" t="s">
        <v>192</v>
      </c>
      <c r="N16" t="s">
        <v>69</v>
      </c>
      <c r="P16" t="s">
        <v>312</v>
      </c>
    </row>
    <row r="17" spans="1:17" x14ac:dyDescent="0.2">
      <c r="A17" t="s">
        <v>42</v>
      </c>
      <c r="C17" t="s">
        <v>35</v>
      </c>
      <c r="G17" s="9" t="s">
        <v>115</v>
      </c>
      <c r="H17" s="5" t="s">
        <v>112</v>
      </c>
      <c r="I17" t="s">
        <v>271</v>
      </c>
      <c r="K17" t="s">
        <v>242</v>
      </c>
      <c r="L17">
        <v>300</v>
      </c>
      <c r="M17" t="s">
        <v>193</v>
      </c>
      <c r="N17" t="s">
        <v>69</v>
      </c>
    </row>
    <row r="18" spans="1:17" x14ac:dyDescent="0.2">
      <c r="A18" t="s">
        <v>43</v>
      </c>
      <c r="C18" t="s">
        <v>53</v>
      </c>
      <c r="G18" s="9" t="s">
        <v>115</v>
      </c>
      <c r="H18" s="5" t="s">
        <v>119</v>
      </c>
      <c r="I18" t="s">
        <v>271</v>
      </c>
      <c r="K18" t="s">
        <v>243</v>
      </c>
      <c r="L18">
        <v>320</v>
      </c>
      <c r="N18" t="s">
        <v>347</v>
      </c>
      <c r="P18" t="s">
        <v>500</v>
      </c>
    </row>
    <row r="19" spans="1:17" x14ac:dyDescent="0.2">
      <c r="C19" t="s">
        <v>49</v>
      </c>
      <c r="G19" s="9" t="s">
        <v>115</v>
      </c>
      <c r="H19" s="5" t="s">
        <v>108</v>
      </c>
      <c r="I19" t="s">
        <v>271</v>
      </c>
      <c r="K19" t="s">
        <v>244</v>
      </c>
      <c r="L19">
        <v>550</v>
      </c>
      <c r="M19" t="s">
        <v>245</v>
      </c>
      <c r="N19" t="s">
        <v>69</v>
      </c>
      <c r="P19" t="s">
        <v>499</v>
      </c>
    </row>
    <row r="20" spans="1:17" x14ac:dyDescent="0.2">
      <c r="G20" s="9" t="s">
        <v>116</v>
      </c>
      <c r="H20" t="s">
        <v>110</v>
      </c>
      <c r="I20" t="s">
        <v>272</v>
      </c>
      <c r="P20" t="s">
        <v>95</v>
      </c>
    </row>
    <row r="21" spans="1:17" x14ac:dyDescent="0.2">
      <c r="G21" s="9" t="s">
        <v>116</v>
      </c>
      <c r="H21" t="s">
        <v>111</v>
      </c>
      <c r="I21" t="s">
        <v>272</v>
      </c>
    </row>
    <row r="22" spans="1:17" x14ac:dyDescent="0.2">
      <c r="G22" s="9" t="s">
        <v>116</v>
      </c>
      <c r="H22" t="s">
        <v>114</v>
      </c>
      <c r="I22" t="s">
        <v>272</v>
      </c>
    </row>
    <row r="23" spans="1:17" x14ac:dyDescent="0.2">
      <c r="G23" s="9" t="s">
        <v>116</v>
      </c>
      <c r="H23" t="s">
        <v>146</v>
      </c>
      <c r="I23" t="s">
        <v>272</v>
      </c>
      <c r="P23" t="s">
        <v>501</v>
      </c>
    </row>
    <row r="24" spans="1:17" x14ac:dyDescent="0.2">
      <c r="G24" s="9" t="s">
        <v>116</v>
      </c>
      <c r="H24" t="s">
        <v>162</v>
      </c>
      <c r="I24" t="s">
        <v>272</v>
      </c>
      <c r="P24" t="s">
        <v>502</v>
      </c>
      <c r="Q24" t="s">
        <v>503</v>
      </c>
    </row>
    <row r="25" spans="1:17" x14ac:dyDescent="0.2">
      <c r="G25" s="9" t="s">
        <v>123</v>
      </c>
      <c r="H25" t="s">
        <v>188</v>
      </c>
      <c r="I25" t="s">
        <v>188</v>
      </c>
      <c r="Q25" t="s">
        <v>504</v>
      </c>
    </row>
    <row r="26" spans="1:17" x14ac:dyDescent="0.2">
      <c r="G26" s="9" t="s">
        <v>129</v>
      </c>
      <c r="H26" t="s">
        <v>128</v>
      </c>
      <c r="I26" t="s">
        <v>273</v>
      </c>
    </row>
    <row r="27" spans="1:17" x14ac:dyDescent="0.2">
      <c r="P27" t="s">
        <v>599</v>
      </c>
      <c r="Q27" t="s">
        <v>600</v>
      </c>
    </row>
    <row r="28" spans="1:17" s="12" customFormat="1" ht="30" x14ac:dyDescent="0.2">
      <c r="A28" s="42" t="s">
        <v>80</v>
      </c>
      <c r="B28" s="42" t="s">
        <v>84</v>
      </c>
      <c r="C28" s="42" t="s">
        <v>82</v>
      </c>
      <c r="D28" s="42" t="s">
        <v>83</v>
      </c>
      <c r="G28" s="42" t="s">
        <v>98</v>
      </c>
      <c r="H28" s="42" t="s">
        <v>84</v>
      </c>
      <c r="I28" s="42" t="s">
        <v>82</v>
      </c>
      <c r="J28" s="42" t="s">
        <v>83</v>
      </c>
    </row>
    <row r="29" spans="1:17" x14ac:dyDescent="0.2">
      <c r="A29" s="41" t="s">
        <v>16</v>
      </c>
      <c r="B29" s="41">
        <f>C29*3</f>
        <v>18900</v>
      </c>
      <c r="C29" s="41">
        <f>D29*12</f>
        <v>6300</v>
      </c>
      <c r="D29" s="43">
        <v>525</v>
      </c>
      <c r="G29" s="41" t="s">
        <v>87</v>
      </c>
      <c r="H29" s="41"/>
      <c r="I29" s="41">
        <f>J29*12</f>
        <v>1380</v>
      </c>
      <c r="J29" s="41">
        <v>115</v>
      </c>
    </row>
    <row r="30" spans="1:17" x14ac:dyDescent="0.2">
      <c r="A30" s="41" t="s">
        <v>17</v>
      </c>
      <c r="B30" s="41"/>
      <c r="C30" s="41">
        <f>D30*12</f>
        <v>600</v>
      </c>
      <c r="D30" s="41">
        <v>50</v>
      </c>
      <c r="G30" s="41" t="s">
        <v>88</v>
      </c>
      <c r="H30" s="41"/>
      <c r="I30" s="41">
        <f>J30*12</f>
        <v>480</v>
      </c>
      <c r="J30" s="41">
        <v>40</v>
      </c>
    </row>
    <row r="31" spans="1:17" x14ac:dyDescent="0.2">
      <c r="A31" s="41" t="s">
        <v>85</v>
      </c>
      <c r="B31" s="41"/>
      <c r="C31" s="41">
        <f>D31*12</f>
        <v>600</v>
      </c>
      <c r="D31" s="41">
        <v>50</v>
      </c>
      <c r="G31" s="41" t="s">
        <v>99</v>
      </c>
      <c r="H31" s="41"/>
      <c r="I31" s="41"/>
      <c r="J31" s="41"/>
    </row>
    <row r="32" spans="1:17" x14ac:dyDescent="0.2">
      <c r="A32" s="41" t="s">
        <v>94</v>
      </c>
      <c r="B32" s="41"/>
      <c r="C32" s="41">
        <v>362.22</v>
      </c>
      <c r="D32" s="41"/>
    </row>
    <row r="33" spans="1:10" x14ac:dyDescent="0.2">
      <c r="A33" s="41" t="s">
        <v>96</v>
      </c>
      <c r="B33" s="41"/>
      <c r="C33" s="41">
        <v>300</v>
      </c>
      <c r="D33" s="41">
        <v>25</v>
      </c>
    </row>
    <row r="34" spans="1:10" x14ac:dyDescent="0.2">
      <c r="A34" s="41" t="s">
        <v>97</v>
      </c>
      <c r="B34" s="41"/>
      <c r="C34" s="41">
        <v>18</v>
      </c>
      <c r="D34" s="41"/>
    </row>
    <row r="35" spans="1:10" ht="15.95" customHeight="1" x14ac:dyDescent="0.2">
      <c r="A35" s="41" t="s">
        <v>84</v>
      </c>
      <c r="B35" s="41"/>
      <c r="C35" s="41">
        <f>SUM(C29:C34)</f>
        <v>8180.22</v>
      </c>
      <c r="D35" s="41"/>
      <c r="E35" s="232" t="s">
        <v>249</v>
      </c>
      <c r="F35" s="232"/>
      <c r="G35" s="232"/>
      <c r="H35" s="232"/>
    </row>
    <row r="36" spans="1:10" x14ac:dyDescent="0.2">
      <c r="E36" s="232"/>
      <c r="F36" s="232"/>
      <c r="G36" s="232"/>
      <c r="H36" s="232"/>
    </row>
    <row r="37" spans="1:10" ht="30" x14ac:dyDescent="0.2">
      <c r="A37" s="66" t="s">
        <v>117</v>
      </c>
      <c r="B37" s="66" t="s">
        <v>248</v>
      </c>
      <c r="C37" s="69" t="s">
        <v>84</v>
      </c>
      <c r="D37" s="69" t="s">
        <v>82</v>
      </c>
      <c r="E37" s="69" t="s">
        <v>247</v>
      </c>
      <c r="F37" s="69" t="s">
        <v>250</v>
      </c>
    </row>
    <row r="38" spans="1:10" x14ac:dyDescent="0.2">
      <c r="A38" s="71" t="s">
        <v>91</v>
      </c>
      <c r="B38" s="71" t="s">
        <v>252</v>
      </c>
      <c r="C38" s="71"/>
      <c r="D38" s="71"/>
      <c r="E38" s="72">
        <v>25</v>
      </c>
      <c r="F38" s="70"/>
    </row>
    <row r="39" spans="1:10" x14ac:dyDescent="0.2">
      <c r="A39" s="41" t="s">
        <v>92</v>
      </c>
      <c r="B39" s="41" t="s">
        <v>93</v>
      </c>
      <c r="C39" s="41">
        <v>400</v>
      </c>
      <c r="D39" s="41">
        <f>C39/3</f>
        <v>133.33333333333334</v>
      </c>
      <c r="E39" s="68">
        <f>ROUNDUP(D39/12,0)</f>
        <v>12</v>
      </c>
      <c r="F39" s="66"/>
    </row>
    <row r="40" spans="1:10" x14ac:dyDescent="0.2">
      <c r="A40" s="41" t="s">
        <v>96</v>
      </c>
      <c r="B40" s="41" t="s">
        <v>148</v>
      </c>
      <c r="C40" s="41"/>
      <c r="D40" s="41">
        <f>499+250</f>
        <v>749</v>
      </c>
      <c r="E40" s="68">
        <f>D40/24</f>
        <v>31.208333333333332</v>
      </c>
      <c r="F40" s="66"/>
    </row>
    <row r="41" spans="1:10" x14ac:dyDescent="0.2">
      <c r="A41" s="41" t="s">
        <v>94</v>
      </c>
      <c r="B41" s="41" t="s">
        <v>252</v>
      </c>
      <c r="C41" s="41"/>
      <c r="D41" s="41">
        <v>362.22</v>
      </c>
      <c r="E41" s="68">
        <f>ROUNDUP(C32/12,0)</f>
        <v>31</v>
      </c>
      <c r="F41" s="66"/>
    </row>
    <row r="43" spans="1:10" ht="30" x14ac:dyDescent="0.2">
      <c r="A43" s="68" t="s">
        <v>132</v>
      </c>
      <c r="B43" s="66" t="s">
        <v>248</v>
      </c>
      <c r="C43" s="69" t="s">
        <v>84</v>
      </c>
      <c r="D43" s="69" t="s">
        <v>82</v>
      </c>
      <c r="E43" s="69" t="s">
        <v>247</v>
      </c>
      <c r="F43" s="69" t="s">
        <v>250</v>
      </c>
      <c r="I43" s="159"/>
    </row>
    <row r="44" spans="1:10" x14ac:dyDescent="0.2">
      <c r="A44" s="68" t="s">
        <v>133</v>
      </c>
      <c r="B44" s="66" t="s">
        <v>93</v>
      </c>
      <c r="C44" s="66">
        <v>11600</v>
      </c>
      <c r="D44" s="66">
        <f>C44/3</f>
        <v>3866.6666666666665</v>
      </c>
      <c r="E44" s="66">
        <f>C44/3/12</f>
        <v>322.22222222222223</v>
      </c>
      <c r="F44" s="66"/>
    </row>
    <row r="46" spans="1:10" ht="30" x14ac:dyDescent="0.2">
      <c r="A46" s="66" t="s">
        <v>120</v>
      </c>
      <c r="B46" s="66" t="s">
        <v>248</v>
      </c>
      <c r="C46" s="69" t="s">
        <v>84</v>
      </c>
      <c r="D46" s="69" t="s">
        <v>82</v>
      </c>
      <c r="E46" s="69" t="s">
        <v>395</v>
      </c>
      <c r="F46" s="69" t="s">
        <v>247</v>
      </c>
      <c r="G46" s="69" t="s">
        <v>250</v>
      </c>
      <c r="H46" s="160" t="s">
        <v>352</v>
      </c>
      <c r="I46" s="160" t="s">
        <v>394</v>
      </c>
      <c r="J46" s="159"/>
    </row>
    <row r="47" spans="1:10" x14ac:dyDescent="0.2">
      <c r="A47" s="66" t="s">
        <v>172</v>
      </c>
      <c r="B47" s="66"/>
      <c r="C47" s="66">
        <f>C49+C50+C51</f>
        <v>548.58999999999992</v>
      </c>
      <c r="D47" s="66">
        <f>D49+D50+D51</f>
        <v>297.25666666666666</v>
      </c>
      <c r="E47" s="66"/>
      <c r="F47" s="66">
        <f>F49+F50+F51</f>
        <v>24.77138888888889</v>
      </c>
      <c r="G47" s="66">
        <f>G49</f>
        <v>10.472222222222223</v>
      </c>
      <c r="H47" s="66">
        <f>SUM(H49:H52)</f>
        <v>59.087222222222223</v>
      </c>
      <c r="I47" s="66">
        <f>SUM(I49:I53)</f>
        <v>76.587222222222223</v>
      </c>
    </row>
    <row r="48" spans="1:10" x14ac:dyDescent="0.2">
      <c r="A48" s="66" t="s">
        <v>330</v>
      </c>
      <c r="B48" s="66"/>
      <c r="C48" s="66"/>
      <c r="D48" s="66"/>
      <c r="E48" s="66"/>
      <c r="F48" s="66">
        <f>C47</f>
        <v>548.58999999999992</v>
      </c>
      <c r="G48" s="66">
        <f>F48-D47</f>
        <v>251.33333333333326</v>
      </c>
      <c r="H48" s="66">
        <f>G48+C52</f>
        <v>1418.0933333333332</v>
      </c>
      <c r="I48" s="66"/>
    </row>
    <row r="49" spans="1:9" x14ac:dyDescent="0.2">
      <c r="A49" s="67" t="s">
        <v>159</v>
      </c>
      <c r="B49" s="66" t="s">
        <v>251</v>
      </c>
      <c r="C49" s="66">
        <v>377</v>
      </c>
      <c r="D49" s="66">
        <f>C49/3</f>
        <v>125.66666666666667</v>
      </c>
      <c r="E49" s="66">
        <f>C49-(F49*12)-(G49*12)</f>
        <v>125.66666666666663</v>
      </c>
      <c r="F49" s="66">
        <f>D49/12</f>
        <v>10.472222222222223</v>
      </c>
      <c r="G49" s="66">
        <f>D49/12</f>
        <v>10.472222222222223</v>
      </c>
      <c r="H49" s="66">
        <f>G49</f>
        <v>10.472222222222223</v>
      </c>
      <c r="I49" s="66">
        <f>G49</f>
        <v>10.472222222222223</v>
      </c>
    </row>
    <row r="50" spans="1:9" x14ac:dyDescent="0.2">
      <c r="A50" s="66" t="s">
        <v>169</v>
      </c>
      <c r="B50" s="66" t="s">
        <v>252</v>
      </c>
      <c r="C50" s="66">
        <v>131.53</v>
      </c>
      <c r="D50" s="66">
        <f>C50</f>
        <v>131.53</v>
      </c>
      <c r="E50" s="66">
        <f>C50-(F50*12)-(G50*12)</f>
        <v>0</v>
      </c>
      <c r="F50" s="66">
        <f>D50/12</f>
        <v>10.960833333333333</v>
      </c>
      <c r="G50" s="66">
        <v>0</v>
      </c>
      <c r="H50" s="66"/>
      <c r="I50" s="66"/>
    </row>
    <row r="51" spans="1:9" x14ac:dyDescent="0.2">
      <c r="A51" s="66" t="s">
        <v>173</v>
      </c>
      <c r="B51" s="66" t="s">
        <v>252</v>
      </c>
      <c r="C51" s="66">
        <v>40.06</v>
      </c>
      <c r="D51" s="66">
        <f>C51</f>
        <v>40.06</v>
      </c>
      <c r="E51" s="66">
        <f>C51-(F51*12)-(G51*12)</f>
        <v>0</v>
      </c>
      <c r="F51" s="66">
        <f>D51/12</f>
        <v>3.3383333333333334</v>
      </c>
      <c r="G51" s="66">
        <v>0</v>
      </c>
      <c r="H51" s="66"/>
      <c r="I51" s="66"/>
    </row>
    <row r="52" spans="1:9" x14ac:dyDescent="0.2">
      <c r="A52" s="67" t="s">
        <v>351</v>
      </c>
      <c r="B52" s="67" t="s">
        <v>251</v>
      </c>
      <c r="C52" s="66">
        <f>1316.76-150</f>
        <v>1166.76</v>
      </c>
      <c r="D52" s="66">
        <f>C52/2</f>
        <v>583.38</v>
      </c>
      <c r="E52" s="66">
        <f>C52-(F52*12)-(G52*12)-(H52*5)</f>
        <v>923.68499999999995</v>
      </c>
      <c r="F52" s="66"/>
      <c r="G52" s="66"/>
      <c r="H52" s="66">
        <f>D52/12</f>
        <v>48.615000000000002</v>
      </c>
      <c r="I52" s="66">
        <f>D52/12</f>
        <v>48.615000000000002</v>
      </c>
    </row>
    <row r="53" spans="1:9" x14ac:dyDescent="0.2">
      <c r="A53" s="67" t="s">
        <v>381</v>
      </c>
      <c r="B53" s="67" t="s">
        <v>252</v>
      </c>
      <c r="C53" s="66">
        <v>210</v>
      </c>
      <c r="D53" s="66">
        <v>210</v>
      </c>
      <c r="E53" s="66">
        <v>210</v>
      </c>
      <c r="F53" s="66"/>
      <c r="G53" s="66"/>
      <c r="H53" s="66"/>
      <c r="I53" s="66">
        <f>E53/12</f>
        <v>17.5</v>
      </c>
    </row>
  </sheetData>
  <mergeCells count="1">
    <mergeCell ref="E35:H36"/>
  </mergeCells>
  <pageMargins left="0.7" right="0.7" top="0.75" bottom="0.75" header="0.3" footer="0.3"/>
  <pageSetup paperSize="9" orientation="portrait" horizontalDpi="0" verticalDpi="0"/>
  <headerFooter>
    <oddHeader>&amp;C&amp;"Calibri"&amp;10&amp;K000000 Internal&amp;1#_x000D_</oddHead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4:G44"/>
  <sheetViews>
    <sheetView showGridLines="0" showRuler="0" view="pageLayout" topLeftCell="A7" zoomScale="120" zoomScalePageLayoutView="120" workbookViewId="0">
      <selection activeCell="G14" sqref="G14"/>
    </sheetView>
  </sheetViews>
  <sheetFormatPr defaultColWidth="10.8515625" defaultRowHeight="15" x14ac:dyDescent="0.2"/>
  <cols>
    <col min="1" max="1" width="11.9609375" customWidth="1"/>
    <col min="2" max="4" width="10.8515625" customWidth="1"/>
    <col min="7" max="7" width="14.30078125" customWidth="1"/>
  </cols>
  <sheetData>
    <row r="4" spans="1:5" x14ac:dyDescent="0.2">
      <c r="A4" s="107" t="s">
        <v>214</v>
      </c>
      <c r="C4" t="s">
        <v>668</v>
      </c>
    </row>
    <row r="6" spans="1:5" x14ac:dyDescent="0.2">
      <c r="A6" s="107" t="s">
        <v>215</v>
      </c>
      <c r="C6" s="60">
        <v>45656</v>
      </c>
      <c r="E6" t="s">
        <v>506</v>
      </c>
    </row>
    <row r="7" spans="1:5" x14ac:dyDescent="0.2">
      <c r="E7" t="s">
        <v>231</v>
      </c>
    </row>
    <row r="8" spans="1:5" x14ac:dyDescent="0.2">
      <c r="E8" t="s">
        <v>212</v>
      </c>
    </row>
    <row r="9" spans="1:5" x14ac:dyDescent="0.2">
      <c r="E9" t="s">
        <v>507</v>
      </c>
    </row>
    <row r="12" spans="1:5" x14ac:dyDescent="0.2">
      <c r="A12" s="107" t="s">
        <v>228</v>
      </c>
    </row>
    <row r="13" spans="1:5" x14ac:dyDescent="0.2">
      <c r="A13" t="s">
        <v>607</v>
      </c>
    </row>
    <row r="14" spans="1:5" x14ac:dyDescent="0.2">
      <c r="A14" t="s">
        <v>669</v>
      </c>
    </row>
    <row r="15" spans="1:5" x14ac:dyDescent="0.2">
      <c r="A15" t="s">
        <v>664</v>
      </c>
    </row>
    <row r="16" spans="1:5" x14ac:dyDescent="0.2">
      <c r="A16" t="s">
        <v>608</v>
      </c>
    </row>
    <row r="19" spans="1:7" ht="15.75" thickBot="1" x14ac:dyDescent="0.25">
      <c r="A19" s="235" t="s">
        <v>100</v>
      </c>
      <c r="B19" s="235"/>
      <c r="C19" s="235"/>
      <c r="D19" s="235"/>
      <c r="E19" s="235"/>
      <c r="G19" s="106" t="s">
        <v>101</v>
      </c>
    </row>
    <row r="20" spans="1:7" x14ac:dyDescent="0.2">
      <c r="A20" s="236"/>
      <c r="B20" s="237"/>
      <c r="C20" s="237"/>
      <c r="D20" s="237"/>
      <c r="E20" s="237"/>
      <c r="F20" s="54"/>
      <c r="G20" s="63"/>
    </row>
    <row r="21" spans="1:7" x14ac:dyDescent="0.2">
      <c r="A21" s="233" t="s">
        <v>612</v>
      </c>
      <c r="B21" s="234"/>
      <c r="C21" s="234"/>
      <c r="D21" s="234"/>
      <c r="E21" s="234"/>
      <c r="F21" s="2"/>
      <c r="G21" s="195">
        <f>95/1.21</f>
        <v>78.512396694214885</v>
      </c>
    </row>
    <row r="22" spans="1:7" x14ac:dyDescent="0.2">
      <c r="A22" s="233"/>
      <c r="B22" s="234"/>
      <c r="C22" s="234"/>
      <c r="D22" s="234"/>
      <c r="E22" s="234"/>
      <c r="F22" s="2"/>
      <c r="G22" s="61"/>
    </row>
    <row r="23" spans="1:7" x14ac:dyDescent="0.2">
      <c r="A23" s="233"/>
      <c r="B23" s="234"/>
      <c r="C23" s="234"/>
      <c r="D23" s="234"/>
      <c r="E23" s="234"/>
      <c r="F23" s="2"/>
      <c r="G23" s="61"/>
    </row>
    <row r="24" spans="1:7" x14ac:dyDescent="0.2">
      <c r="A24" s="233"/>
      <c r="B24" s="234"/>
      <c r="C24" s="234"/>
      <c r="D24" s="234"/>
      <c r="E24" s="234"/>
      <c r="F24" s="2"/>
      <c r="G24" s="61"/>
    </row>
    <row r="25" spans="1:7" x14ac:dyDescent="0.2">
      <c r="A25" s="233"/>
      <c r="B25" s="234"/>
      <c r="C25" s="234"/>
      <c r="D25" s="234"/>
      <c r="E25" s="234"/>
      <c r="F25" s="2"/>
      <c r="G25" s="61"/>
    </row>
    <row r="26" spans="1:7" x14ac:dyDescent="0.2">
      <c r="A26" s="233"/>
      <c r="B26" s="234"/>
      <c r="C26" s="234"/>
      <c r="D26" s="234"/>
      <c r="E26" s="234"/>
      <c r="F26" s="2"/>
      <c r="G26" s="61"/>
    </row>
    <row r="27" spans="1:7" x14ac:dyDescent="0.2">
      <c r="A27" s="233"/>
      <c r="B27" s="234"/>
      <c r="C27" s="234"/>
      <c r="D27" s="234"/>
      <c r="E27" s="234"/>
      <c r="F27" s="2"/>
      <c r="G27" s="61"/>
    </row>
    <row r="28" spans="1:7" x14ac:dyDescent="0.2">
      <c r="A28" s="233"/>
      <c r="B28" s="234"/>
      <c r="C28" s="234"/>
      <c r="D28" s="234"/>
      <c r="E28" s="234"/>
      <c r="F28" s="2"/>
      <c r="G28" s="61"/>
    </row>
    <row r="29" spans="1:7" x14ac:dyDescent="0.2">
      <c r="A29" s="233"/>
      <c r="B29" s="234"/>
      <c r="C29" s="234"/>
      <c r="D29" s="234"/>
      <c r="E29" s="234"/>
      <c r="F29" s="2"/>
      <c r="G29" s="61"/>
    </row>
    <row r="30" spans="1:7" x14ac:dyDescent="0.2">
      <c r="A30" s="233"/>
      <c r="B30" s="234"/>
      <c r="C30" s="234"/>
      <c r="D30" s="234"/>
      <c r="E30" s="234"/>
      <c r="F30" s="2"/>
      <c r="G30" s="61"/>
    </row>
    <row r="31" spans="1:7" x14ac:dyDescent="0.2">
      <c r="A31" s="233"/>
      <c r="B31" s="234"/>
      <c r="C31" s="234"/>
      <c r="D31" s="234"/>
      <c r="E31" s="234"/>
      <c r="F31" s="2"/>
      <c r="G31" s="61"/>
    </row>
    <row r="32" spans="1:7" x14ac:dyDescent="0.2">
      <c r="A32" s="233"/>
      <c r="B32" s="234"/>
      <c r="C32" s="234"/>
      <c r="D32" s="234"/>
      <c r="E32" s="234"/>
      <c r="F32" s="2"/>
      <c r="G32" s="61"/>
    </row>
    <row r="33" spans="1:7" x14ac:dyDescent="0.2">
      <c r="A33" s="233"/>
      <c r="B33" s="234"/>
      <c r="C33" s="234"/>
      <c r="D33" s="234"/>
      <c r="E33" s="234"/>
      <c r="F33" s="2"/>
      <c r="G33" s="61"/>
    </row>
    <row r="34" spans="1:7" x14ac:dyDescent="0.2">
      <c r="A34" s="233"/>
      <c r="B34" s="234"/>
      <c r="C34" s="234"/>
      <c r="D34" s="234"/>
      <c r="E34" s="234"/>
      <c r="F34" s="2"/>
      <c r="G34" s="61"/>
    </row>
    <row r="35" spans="1:7" x14ac:dyDescent="0.2">
      <c r="A35" s="233"/>
      <c r="B35" s="234"/>
      <c r="C35" s="234"/>
      <c r="D35" s="234"/>
      <c r="E35" s="234"/>
      <c r="F35" s="2"/>
      <c r="G35" s="61"/>
    </row>
    <row r="36" spans="1:7" ht="15.75" thickBot="1" x14ac:dyDescent="0.25">
      <c r="A36" s="238"/>
      <c r="B36" s="239"/>
      <c r="C36" s="239"/>
      <c r="D36" s="239"/>
      <c r="E36" s="239"/>
      <c r="F36" s="55"/>
      <c r="G36" s="62"/>
    </row>
    <row r="38" spans="1:7" x14ac:dyDescent="0.2">
      <c r="E38" s="58" t="s">
        <v>220</v>
      </c>
      <c r="G38" s="176">
        <f>SUM(G18:G36)</f>
        <v>78.512396694214885</v>
      </c>
    </row>
    <row r="39" spans="1:7" x14ac:dyDescent="0.2">
      <c r="E39" s="58" t="s">
        <v>221</v>
      </c>
      <c r="G39" s="53">
        <v>0.21</v>
      </c>
    </row>
    <row r="40" spans="1:7" x14ac:dyDescent="0.2">
      <c r="E40" s="58" t="s">
        <v>222</v>
      </c>
      <c r="G40">
        <f>ROUND(G38*G39,2)</f>
        <v>16.489999999999998</v>
      </c>
    </row>
    <row r="41" spans="1:7" ht="21" x14ac:dyDescent="0.3">
      <c r="E41" s="108" t="s">
        <v>223</v>
      </c>
      <c r="F41" s="108"/>
      <c r="G41" s="109">
        <f>G38+G40</f>
        <v>95.00239669421488</v>
      </c>
    </row>
    <row r="42" spans="1:7" x14ac:dyDescent="0.2">
      <c r="A42" t="s">
        <v>226</v>
      </c>
    </row>
    <row r="43" spans="1:7" x14ac:dyDescent="0.2">
      <c r="A43" t="s">
        <v>227</v>
      </c>
    </row>
    <row r="44" spans="1:7" x14ac:dyDescent="0.2">
      <c r="A44" s="56" t="s">
        <v>225</v>
      </c>
      <c r="B44" s="47" t="s">
        <v>224</v>
      </c>
    </row>
  </sheetData>
  <mergeCells count="18">
    <mergeCell ref="A36:E36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A34:E34"/>
    <mergeCell ref="A35:E35"/>
    <mergeCell ref="A24:E24"/>
    <mergeCell ref="A19:E19"/>
    <mergeCell ref="A20:E20"/>
    <mergeCell ref="A21:E21"/>
    <mergeCell ref="A22:E22"/>
    <mergeCell ref="A23:E23"/>
  </mergeCells>
  <phoneticPr fontId="17" type="noConversion"/>
  <pageMargins left="0.7" right="0.7" top="0.75" bottom="0.75" header="0.3" footer="0.3"/>
  <pageSetup paperSize="9" orientation="portrait" horizontalDpi="0" verticalDpi="0"/>
  <headerFooter>
    <oddHeader>&amp;C&amp;"Calibri"&amp;10&amp;K000000 Internal&amp;1#_x000D_</oddHeader>
    <oddFooter>&amp;LMontornès del Vallès, 30 de Desembre de 2024&amp;Respailalira@gmail.com
www.espailalira.com</oddFooter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4:G44"/>
  <sheetViews>
    <sheetView showGridLines="0" showRuler="0" view="pageLayout" zoomScale="120" zoomScalePageLayoutView="120" workbookViewId="0">
      <selection activeCell="C9" sqref="C9"/>
    </sheetView>
  </sheetViews>
  <sheetFormatPr defaultColWidth="10.8515625" defaultRowHeight="15" x14ac:dyDescent="0.2"/>
  <cols>
    <col min="1" max="1" width="11.9609375" customWidth="1"/>
    <col min="2" max="4" width="10.8515625" customWidth="1"/>
  </cols>
  <sheetData>
    <row r="4" spans="1:5" ht="21" x14ac:dyDescent="0.3">
      <c r="A4" s="240" t="s">
        <v>235</v>
      </c>
      <c r="B4" s="240"/>
      <c r="C4" s="240"/>
    </row>
    <row r="6" spans="1:5" x14ac:dyDescent="0.2">
      <c r="A6" s="56"/>
      <c r="C6" s="60"/>
      <c r="E6" t="s">
        <v>213</v>
      </c>
    </row>
    <row r="7" spans="1:5" x14ac:dyDescent="0.2">
      <c r="E7" t="s">
        <v>231</v>
      </c>
    </row>
    <row r="8" spans="1:5" x14ac:dyDescent="0.2">
      <c r="E8" t="s">
        <v>212</v>
      </c>
    </row>
    <row r="9" spans="1:5" x14ac:dyDescent="0.2">
      <c r="E9" t="s">
        <v>233</v>
      </c>
    </row>
    <row r="12" spans="1:5" x14ac:dyDescent="0.2">
      <c r="A12" s="56" t="s">
        <v>228</v>
      </c>
    </row>
    <row r="13" spans="1:5" x14ac:dyDescent="0.2">
      <c r="A13" t="s">
        <v>229</v>
      </c>
    </row>
    <row r="14" spans="1:5" x14ac:dyDescent="0.2">
      <c r="A14" t="s">
        <v>230</v>
      </c>
    </row>
    <row r="15" spans="1:5" x14ac:dyDescent="0.2">
      <c r="A15" t="s">
        <v>212</v>
      </c>
    </row>
    <row r="16" spans="1:5" x14ac:dyDescent="0.2">
      <c r="A16" t="s">
        <v>232</v>
      </c>
    </row>
    <row r="19" spans="1:7" ht="15.75" thickBot="1" x14ac:dyDescent="0.25">
      <c r="A19" s="241" t="s">
        <v>100</v>
      </c>
      <c r="B19" s="241"/>
      <c r="C19" s="241"/>
      <c r="D19" s="241"/>
      <c r="E19" s="241"/>
      <c r="G19" s="64" t="s">
        <v>101</v>
      </c>
    </row>
    <row r="20" spans="1:7" x14ac:dyDescent="0.2">
      <c r="A20" s="236"/>
      <c r="B20" s="237"/>
      <c r="C20" s="237"/>
      <c r="D20" s="237"/>
      <c r="E20" s="237"/>
      <c r="F20" s="54"/>
      <c r="G20" s="63"/>
    </row>
    <row r="21" spans="1:7" x14ac:dyDescent="0.2">
      <c r="A21" s="233" t="s">
        <v>216</v>
      </c>
      <c r="B21" s="234"/>
      <c r="C21" s="234"/>
      <c r="D21" s="234"/>
      <c r="E21" s="234"/>
      <c r="F21" s="2"/>
      <c r="G21" s="61">
        <v>123.97</v>
      </c>
    </row>
    <row r="22" spans="1:7" x14ac:dyDescent="0.2">
      <c r="A22" s="233" t="s">
        <v>217</v>
      </c>
      <c r="B22" s="234"/>
      <c r="C22" s="234"/>
      <c r="D22" s="234"/>
      <c r="E22" s="234"/>
      <c r="F22" s="2"/>
      <c r="G22" s="61">
        <v>165.29</v>
      </c>
    </row>
    <row r="23" spans="1:7" x14ac:dyDescent="0.2">
      <c r="A23" s="233" t="s">
        <v>218</v>
      </c>
      <c r="B23" s="234"/>
      <c r="C23" s="234"/>
      <c r="D23" s="234"/>
      <c r="E23" s="234"/>
      <c r="F23" s="2"/>
      <c r="G23" s="61">
        <v>165.29</v>
      </c>
    </row>
    <row r="24" spans="1:7" x14ac:dyDescent="0.2">
      <c r="A24" s="233" t="s">
        <v>219</v>
      </c>
      <c r="B24" s="234"/>
      <c r="C24" s="234"/>
      <c r="D24" s="234"/>
      <c r="E24" s="234"/>
      <c r="F24" s="2"/>
      <c r="G24" s="61">
        <v>165.29</v>
      </c>
    </row>
    <row r="25" spans="1:7" x14ac:dyDescent="0.2">
      <c r="A25" s="233"/>
      <c r="B25" s="234"/>
      <c r="C25" s="234"/>
      <c r="D25" s="234"/>
      <c r="E25" s="234"/>
      <c r="F25" s="2"/>
      <c r="G25" s="61"/>
    </row>
    <row r="26" spans="1:7" x14ac:dyDescent="0.2">
      <c r="A26" s="233"/>
      <c r="B26" s="234"/>
      <c r="C26" s="234"/>
      <c r="D26" s="234"/>
      <c r="E26" s="234"/>
      <c r="F26" s="2"/>
      <c r="G26" s="61"/>
    </row>
    <row r="27" spans="1:7" x14ac:dyDescent="0.2">
      <c r="A27" s="233"/>
      <c r="B27" s="234"/>
      <c r="C27" s="234"/>
      <c r="D27" s="234"/>
      <c r="E27" s="234"/>
      <c r="F27" s="2"/>
      <c r="G27" s="61"/>
    </row>
    <row r="28" spans="1:7" x14ac:dyDescent="0.2">
      <c r="A28" s="233"/>
      <c r="B28" s="234"/>
      <c r="C28" s="234"/>
      <c r="D28" s="234"/>
      <c r="E28" s="234"/>
      <c r="F28" s="2"/>
      <c r="G28" s="61"/>
    </row>
    <row r="29" spans="1:7" x14ac:dyDescent="0.2">
      <c r="A29" s="233"/>
      <c r="B29" s="234"/>
      <c r="C29" s="234"/>
      <c r="D29" s="234"/>
      <c r="E29" s="234"/>
      <c r="F29" s="2"/>
      <c r="G29" s="61"/>
    </row>
    <row r="30" spans="1:7" x14ac:dyDescent="0.2">
      <c r="A30" s="233"/>
      <c r="B30" s="234"/>
      <c r="C30" s="234"/>
      <c r="D30" s="234"/>
      <c r="E30" s="234"/>
      <c r="F30" s="2"/>
      <c r="G30" s="61"/>
    </row>
    <row r="31" spans="1:7" x14ac:dyDescent="0.2">
      <c r="A31" s="233"/>
      <c r="B31" s="234"/>
      <c r="C31" s="234"/>
      <c r="D31" s="234"/>
      <c r="E31" s="234"/>
      <c r="F31" s="2"/>
      <c r="G31" s="61"/>
    </row>
    <row r="32" spans="1:7" x14ac:dyDescent="0.2">
      <c r="A32" s="233"/>
      <c r="B32" s="234"/>
      <c r="C32" s="234"/>
      <c r="D32" s="234"/>
      <c r="E32" s="234"/>
      <c r="F32" s="2"/>
      <c r="G32" s="61"/>
    </row>
    <row r="33" spans="1:7" x14ac:dyDescent="0.2">
      <c r="A33" s="233"/>
      <c r="B33" s="234"/>
      <c r="C33" s="234"/>
      <c r="D33" s="234"/>
      <c r="E33" s="234"/>
      <c r="F33" s="2"/>
      <c r="G33" s="61"/>
    </row>
    <row r="34" spans="1:7" x14ac:dyDescent="0.2">
      <c r="A34" s="233"/>
      <c r="B34" s="234"/>
      <c r="C34" s="234"/>
      <c r="D34" s="234"/>
      <c r="E34" s="234"/>
      <c r="F34" s="2"/>
      <c r="G34" s="61"/>
    </row>
    <row r="35" spans="1:7" x14ac:dyDescent="0.2">
      <c r="A35" s="233"/>
      <c r="B35" s="234"/>
      <c r="C35" s="234"/>
      <c r="D35" s="234"/>
      <c r="E35" s="234"/>
      <c r="F35" s="2"/>
      <c r="G35" s="61"/>
    </row>
    <row r="36" spans="1:7" ht="15.75" thickBot="1" x14ac:dyDescent="0.25">
      <c r="A36" s="238"/>
      <c r="B36" s="239"/>
      <c r="C36" s="239"/>
      <c r="D36" s="239"/>
      <c r="E36" s="239"/>
      <c r="F36" s="55"/>
      <c r="G36" s="62"/>
    </row>
    <row r="38" spans="1:7" x14ac:dyDescent="0.2">
      <c r="E38" s="58" t="s">
        <v>220</v>
      </c>
      <c r="G38">
        <f>SUM(G18:G36)</f>
        <v>619.83999999999992</v>
      </c>
    </row>
    <row r="39" spans="1:7" x14ac:dyDescent="0.2">
      <c r="E39" s="58" t="s">
        <v>221</v>
      </c>
      <c r="G39" s="53">
        <v>0.21</v>
      </c>
    </row>
    <row r="40" spans="1:7" x14ac:dyDescent="0.2">
      <c r="E40" s="58" t="s">
        <v>222</v>
      </c>
      <c r="G40">
        <f>ROUND(G38*G39,2)</f>
        <v>130.16999999999999</v>
      </c>
    </row>
    <row r="41" spans="1:7" ht="21" x14ac:dyDescent="0.3">
      <c r="E41" s="57" t="s">
        <v>234</v>
      </c>
      <c r="F41" s="57"/>
      <c r="G41" s="59">
        <f>G38+G40</f>
        <v>750.00999999999988</v>
      </c>
    </row>
    <row r="42" spans="1:7" x14ac:dyDescent="0.2">
      <c r="A42" t="s">
        <v>226</v>
      </c>
    </row>
    <row r="43" spans="1:7" x14ac:dyDescent="0.2">
      <c r="A43" t="s">
        <v>227</v>
      </c>
    </row>
    <row r="44" spans="1:7" x14ac:dyDescent="0.2">
      <c r="A44" s="56" t="s">
        <v>225</v>
      </c>
      <c r="B44" s="47" t="s">
        <v>224</v>
      </c>
    </row>
  </sheetData>
  <mergeCells count="19">
    <mergeCell ref="A4:C4"/>
    <mergeCell ref="A31:E31"/>
    <mergeCell ref="A32:E32"/>
    <mergeCell ref="A33:E33"/>
    <mergeCell ref="A34:E34"/>
    <mergeCell ref="A19:E19"/>
    <mergeCell ref="A20:E20"/>
    <mergeCell ref="A21:E21"/>
    <mergeCell ref="A22:E22"/>
    <mergeCell ref="A23:E23"/>
    <mergeCell ref="A24:E24"/>
    <mergeCell ref="A35:E35"/>
    <mergeCell ref="A36:E36"/>
    <mergeCell ref="A25:E25"/>
    <mergeCell ref="A26:E26"/>
    <mergeCell ref="A27:E27"/>
    <mergeCell ref="A28:E28"/>
    <mergeCell ref="A29:E29"/>
    <mergeCell ref="A30:E30"/>
  </mergeCells>
  <phoneticPr fontId="17" type="noConversion"/>
  <pageMargins left="0.7" right="0.7" top="0.75" bottom="0.75" header="0.3" footer="0.3"/>
  <pageSetup paperSize="9" orientation="portrait" horizontalDpi="0" verticalDpi="0"/>
  <headerFooter>
    <oddHeader>&amp;C&amp;"Calibri"&amp;10&amp;K000000 Internal&amp;1#_x000D_</oddHeader>
    <oddFooter>&amp;LMontornès del Vallès, 12 d'Agost de 2020&amp;Respailalira@gmail.com_x000D_www.espailalira.com</oddFooter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26145-C9FD-6743-AD71-3D0CC1AFFEFD}">
  <dimension ref="A4:G44"/>
  <sheetViews>
    <sheetView showGridLines="0" showRuler="0" view="pageLayout" topLeftCell="A26" zoomScale="120" zoomScalePageLayoutView="120" workbookViewId="0">
      <selection activeCell="C48" sqref="C48"/>
    </sheetView>
  </sheetViews>
  <sheetFormatPr defaultColWidth="10.8515625" defaultRowHeight="15" x14ac:dyDescent="0.2"/>
  <cols>
    <col min="1" max="1" width="11.9609375" customWidth="1"/>
    <col min="2" max="4" width="10.8515625" customWidth="1"/>
  </cols>
  <sheetData>
    <row r="4" spans="1:5" ht="21" x14ac:dyDescent="0.3">
      <c r="A4" s="240" t="s">
        <v>629</v>
      </c>
      <c r="B4" s="240"/>
      <c r="C4" s="240"/>
    </row>
    <row r="6" spans="1:5" x14ac:dyDescent="0.2">
      <c r="A6" s="56"/>
      <c r="C6" s="60"/>
      <c r="E6" t="s">
        <v>506</v>
      </c>
    </row>
    <row r="7" spans="1:5" x14ac:dyDescent="0.2">
      <c r="E7" t="s">
        <v>231</v>
      </c>
    </row>
    <row r="8" spans="1:5" x14ac:dyDescent="0.2">
      <c r="E8" t="s">
        <v>212</v>
      </c>
    </row>
    <row r="9" spans="1:5" x14ac:dyDescent="0.2">
      <c r="E9" t="s">
        <v>507</v>
      </c>
    </row>
    <row r="12" spans="1:5" x14ac:dyDescent="0.2">
      <c r="A12" s="56" t="s">
        <v>228</v>
      </c>
    </row>
    <row r="13" spans="1:5" x14ac:dyDescent="0.2">
      <c r="A13" t="s">
        <v>607</v>
      </c>
    </row>
    <row r="14" spans="1:5" x14ac:dyDescent="0.2">
      <c r="A14" t="s">
        <v>630</v>
      </c>
    </row>
    <row r="15" spans="1:5" x14ac:dyDescent="0.2">
      <c r="A15" t="s">
        <v>212</v>
      </c>
    </row>
    <row r="16" spans="1:5" x14ac:dyDescent="0.2">
      <c r="A16" t="s">
        <v>608</v>
      </c>
    </row>
    <row r="19" spans="1:7" ht="15.75" thickBot="1" x14ac:dyDescent="0.25">
      <c r="A19" s="241" t="s">
        <v>100</v>
      </c>
      <c r="B19" s="241"/>
      <c r="C19" s="241"/>
      <c r="D19" s="241"/>
      <c r="E19" s="241"/>
      <c r="G19" s="64" t="s">
        <v>101</v>
      </c>
    </row>
    <row r="20" spans="1:7" x14ac:dyDescent="0.2">
      <c r="A20" s="236"/>
      <c r="B20" s="237"/>
      <c r="C20" s="237"/>
      <c r="D20" s="237"/>
      <c r="E20" s="237"/>
      <c r="F20" s="54"/>
      <c r="G20" s="63"/>
    </row>
    <row r="21" spans="1:7" x14ac:dyDescent="0.2">
      <c r="A21" s="233" t="s">
        <v>631</v>
      </c>
      <c r="B21" s="234"/>
      <c r="C21" s="234"/>
      <c r="D21" s="234"/>
      <c r="E21" s="234"/>
      <c r="F21" s="2"/>
      <c r="G21" s="61">
        <v>198.35</v>
      </c>
    </row>
    <row r="22" spans="1:7" x14ac:dyDescent="0.2">
      <c r="A22" s="233"/>
      <c r="B22" s="234"/>
      <c r="C22" s="234"/>
      <c r="D22" s="234"/>
      <c r="E22" s="234"/>
      <c r="F22" s="2"/>
      <c r="G22" s="61"/>
    </row>
    <row r="23" spans="1:7" x14ac:dyDescent="0.2">
      <c r="A23" s="233"/>
      <c r="B23" s="234"/>
      <c r="C23" s="234"/>
      <c r="D23" s="234"/>
      <c r="E23" s="234"/>
      <c r="F23" s="2"/>
      <c r="G23" s="61"/>
    </row>
    <row r="24" spans="1:7" x14ac:dyDescent="0.2">
      <c r="A24" s="233"/>
      <c r="B24" s="234"/>
      <c r="C24" s="234"/>
      <c r="D24" s="234"/>
      <c r="E24" s="234"/>
      <c r="F24" s="2"/>
      <c r="G24" s="61"/>
    </row>
    <row r="25" spans="1:7" x14ac:dyDescent="0.2">
      <c r="A25" s="233"/>
      <c r="B25" s="234"/>
      <c r="C25" s="234"/>
      <c r="D25" s="234"/>
      <c r="E25" s="234"/>
      <c r="F25" s="2"/>
      <c r="G25" s="61"/>
    </row>
    <row r="26" spans="1:7" x14ac:dyDescent="0.2">
      <c r="A26" s="233"/>
      <c r="B26" s="234"/>
      <c r="C26" s="234"/>
      <c r="D26" s="234"/>
      <c r="E26" s="234"/>
      <c r="F26" s="2"/>
      <c r="G26" s="61"/>
    </row>
    <row r="27" spans="1:7" x14ac:dyDescent="0.2">
      <c r="A27" s="233"/>
      <c r="B27" s="234"/>
      <c r="C27" s="234"/>
      <c r="D27" s="234"/>
      <c r="E27" s="234"/>
      <c r="F27" s="2"/>
      <c r="G27" s="61"/>
    </row>
    <row r="28" spans="1:7" x14ac:dyDescent="0.2">
      <c r="A28" s="233"/>
      <c r="B28" s="234"/>
      <c r="C28" s="234"/>
      <c r="D28" s="234"/>
      <c r="E28" s="234"/>
      <c r="F28" s="2"/>
      <c r="G28" s="61"/>
    </row>
    <row r="29" spans="1:7" x14ac:dyDescent="0.2">
      <c r="A29" s="233"/>
      <c r="B29" s="234"/>
      <c r="C29" s="234"/>
      <c r="D29" s="234"/>
      <c r="E29" s="234"/>
      <c r="F29" s="2"/>
      <c r="G29" s="61"/>
    </row>
    <row r="30" spans="1:7" x14ac:dyDescent="0.2">
      <c r="A30" s="233"/>
      <c r="B30" s="234"/>
      <c r="C30" s="234"/>
      <c r="D30" s="234"/>
      <c r="E30" s="234"/>
      <c r="F30" s="2"/>
      <c r="G30" s="61"/>
    </row>
    <row r="31" spans="1:7" x14ac:dyDescent="0.2">
      <c r="A31" s="233"/>
      <c r="B31" s="234"/>
      <c r="C31" s="234"/>
      <c r="D31" s="234"/>
      <c r="E31" s="234"/>
      <c r="F31" s="2"/>
      <c r="G31" s="61"/>
    </row>
    <row r="32" spans="1:7" x14ac:dyDescent="0.2">
      <c r="A32" s="233"/>
      <c r="B32" s="234"/>
      <c r="C32" s="234"/>
      <c r="D32" s="234"/>
      <c r="E32" s="234"/>
      <c r="F32" s="2"/>
      <c r="G32" s="61"/>
    </row>
    <row r="33" spans="1:7" x14ac:dyDescent="0.2">
      <c r="A33" s="233"/>
      <c r="B33" s="234"/>
      <c r="C33" s="234"/>
      <c r="D33" s="234"/>
      <c r="E33" s="234"/>
      <c r="F33" s="2"/>
      <c r="G33" s="61"/>
    </row>
    <row r="34" spans="1:7" x14ac:dyDescent="0.2">
      <c r="A34" s="233"/>
      <c r="B34" s="234"/>
      <c r="C34" s="234"/>
      <c r="D34" s="234"/>
      <c r="E34" s="234"/>
      <c r="F34" s="2"/>
      <c r="G34" s="61"/>
    </row>
    <row r="35" spans="1:7" x14ac:dyDescent="0.2">
      <c r="A35" s="233"/>
      <c r="B35" s="234"/>
      <c r="C35" s="234"/>
      <c r="D35" s="234"/>
      <c r="E35" s="234"/>
      <c r="F35" s="2"/>
      <c r="G35" s="61"/>
    </row>
    <row r="36" spans="1:7" ht="15.75" thickBot="1" x14ac:dyDescent="0.25">
      <c r="A36" s="238"/>
      <c r="B36" s="239"/>
      <c r="C36" s="239"/>
      <c r="D36" s="239"/>
      <c r="E36" s="239"/>
      <c r="F36" s="55"/>
      <c r="G36" s="62"/>
    </row>
    <row r="38" spans="1:7" x14ac:dyDescent="0.2">
      <c r="E38" s="58" t="s">
        <v>220</v>
      </c>
      <c r="G38">
        <f>SUM(G18:G36)</f>
        <v>198.35</v>
      </c>
    </row>
    <row r="39" spans="1:7" x14ac:dyDescent="0.2">
      <c r="E39" s="58" t="s">
        <v>221</v>
      </c>
      <c r="G39" s="53">
        <v>0.21</v>
      </c>
    </row>
    <row r="40" spans="1:7" x14ac:dyDescent="0.2">
      <c r="E40" s="58" t="s">
        <v>222</v>
      </c>
      <c r="G40">
        <f>ROUND(G38*G39,2)</f>
        <v>41.65</v>
      </c>
    </row>
    <row r="41" spans="1:7" ht="21" x14ac:dyDescent="0.3">
      <c r="E41" s="57" t="s">
        <v>632</v>
      </c>
      <c r="F41" s="57"/>
      <c r="G41" s="59">
        <f>G38+G40</f>
        <v>240</v>
      </c>
    </row>
    <row r="44" spans="1:7" x14ac:dyDescent="0.2">
      <c r="A44" s="56"/>
      <c r="B44" s="47"/>
    </row>
  </sheetData>
  <mergeCells count="19">
    <mergeCell ref="A36:E36"/>
    <mergeCell ref="A30:E30"/>
    <mergeCell ref="A31:E31"/>
    <mergeCell ref="A32:E32"/>
    <mergeCell ref="A33:E33"/>
    <mergeCell ref="A34:E34"/>
    <mergeCell ref="A35:E35"/>
    <mergeCell ref="A29:E29"/>
    <mergeCell ref="A4:C4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</mergeCells>
  <pageMargins left="0.7" right="0.7" top="0.75" bottom="0.75" header="0.3" footer="0.3"/>
  <pageSetup paperSize="9" orientation="portrait" horizontalDpi="0" verticalDpi="0"/>
  <headerFooter>
    <oddHeader>&amp;C&amp;"Calibri"&amp;10&amp;K000000 Internal&amp;1#_x000D_</oddHeader>
    <oddFooter>&amp;LMontornès del Vallès, 28 de Desembre de 2023&amp;Respailalira@gmail.com
www.espailalira.com</oddFooter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D53A7-EA66-D945-AF48-AC44F77E54A7}">
  <dimension ref="B1:C41"/>
  <sheetViews>
    <sheetView topLeftCell="A18" workbookViewId="0">
      <selection activeCell="I36" sqref="I36"/>
    </sheetView>
  </sheetViews>
  <sheetFormatPr defaultColWidth="10.8515625" defaultRowHeight="15" x14ac:dyDescent="0.2"/>
  <cols>
    <col min="2" max="2" width="26.015625" bestFit="1" customWidth="1"/>
  </cols>
  <sheetData>
    <row r="1" spans="2:3" x14ac:dyDescent="0.2">
      <c r="B1" s="197" t="s">
        <v>144</v>
      </c>
      <c r="C1" s="198">
        <v>8170</v>
      </c>
    </row>
    <row r="2" spans="2:3" x14ac:dyDescent="0.2">
      <c r="B2" s="196" t="s">
        <v>448</v>
      </c>
      <c r="C2" s="199">
        <v>8107</v>
      </c>
    </row>
    <row r="3" spans="2:3" x14ac:dyDescent="0.2">
      <c r="B3" s="197" t="s">
        <v>150</v>
      </c>
      <c r="C3" s="198">
        <v>8410</v>
      </c>
    </row>
    <row r="4" spans="2:3" x14ac:dyDescent="0.2">
      <c r="B4" s="196" t="s">
        <v>464</v>
      </c>
      <c r="C4" s="199">
        <v>8160</v>
      </c>
    </row>
    <row r="5" spans="2:3" x14ac:dyDescent="0.2">
      <c r="B5" s="197" t="s">
        <v>465</v>
      </c>
      <c r="C5" s="198">
        <v>8130</v>
      </c>
    </row>
    <row r="6" spans="2:3" x14ac:dyDescent="0.2">
      <c r="B6" s="196" t="s">
        <v>466</v>
      </c>
      <c r="C6" s="199">
        <v>8186</v>
      </c>
    </row>
    <row r="7" spans="2:3" x14ac:dyDescent="0.2">
      <c r="B7" s="196" t="s">
        <v>467</v>
      </c>
      <c r="C7" s="199">
        <v>8401</v>
      </c>
    </row>
    <row r="8" spans="2:3" x14ac:dyDescent="0.2">
      <c r="B8" s="196" t="s">
        <v>514</v>
      </c>
      <c r="C8" s="199">
        <v>8104</v>
      </c>
    </row>
    <row r="9" spans="2:3" x14ac:dyDescent="0.2">
      <c r="B9" s="196" t="s">
        <v>520</v>
      </c>
      <c r="C9" s="199">
        <v>8140</v>
      </c>
    </row>
    <row r="10" spans="2:3" x14ac:dyDescent="0.2">
      <c r="B10" s="196" t="s">
        <v>515</v>
      </c>
      <c r="C10" s="199">
        <v>8192</v>
      </c>
    </row>
    <row r="11" spans="2:3" x14ac:dyDescent="0.2">
      <c r="B11" s="197" t="s">
        <v>516</v>
      </c>
      <c r="C11" s="198">
        <v>8430</v>
      </c>
    </row>
    <row r="12" spans="2:3" x14ac:dyDescent="0.2">
      <c r="B12" s="196" t="s">
        <v>517</v>
      </c>
      <c r="C12" s="199">
        <v>8520</v>
      </c>
    </row>
    <row r="13" spans="2:3" x14ac:dyDescent="0.2">
      <c r="B13" s="196" t="s">
        <v>518</v>
      </c>
      <c r="C13" s="199">
        <v>8106</v>
      </c>
    </row>
    <row r="14" spans="2:3" x14ac:dyDescent="0.2">
      <c r="B14" s="197" t="s">
        <v>542</v>
      </c>
      <c r="C14" s="198">
        <v>8901</v>
      </c>
    </row>
    <row r="15" spans="2:3" x14ac:dyDescent="0.2">
      <c r="B15" s="197" t="s">
        <v>536</v>
      </c>
      <c r="C15" s="198">
        <v>8185</v>
      </c>
    </row>
    <row r="16" spans="2:3" x14ac:dyDescent="0.2">
      <c r="B16" s="197" t="s">
        <v>544</v>
      </c>
      <c r="C16" s="198">
        <v>8211</v>
      </c>
    </row>
    <row r="17" spans="2:3" x14ac:dyDescent="0.2">
      <c r="B17" s="196" t="s">
        <v>537</v>
      </c>
      <c r="C17" s="199">
        <v>8104</v>
      </c>
    </row>
    <row r="18" spans="2:3" x14ac:dyDescent="0.2">
      <c r="B18" s="197" t="s">
        <v>517</v>
      </c>
      <c r="C18" s="198">
        <v>8521</v>
      </c>
    </row>
    <row r="19" spans="2:3" x14ac:dyDescent="0.2">
      <c r="B19" s="197" t="s">
        <v>545</v>
      </c>
      <c r="C19" s="198">
        <v>8184</v>
      </c>
    </row>
    <row r="20" spans="2:3" x14ac:dyDescent="0.2">
      <c r="B20" s="196" t="s">
        <v>538</v>
      </c>
      <c r="C20" s="199">
        <v>8110</v>
      </c>
    </row>
    <row r="21" spans="2:3" x14ac:dyDescent="0.2">
      <c r="B21" s="196" t="s">
        <v>539</v>
      </c>
      <c r="C21" s="199">
        <v>8430</v>
      </c>
    </row>
    <row r="22" spans="2:3" x14ac:dyDescent="0.2">
      <c r="B22" s="197" t="s">
        <v>540</v>
      </c>
      <c r="C22" s="198">
        <v>8188</v>
      </c>
    </row>
    <row r="23" spans="2:3" x14ac:dyDescent="0.2">
      <c r="B23" s="197" t="s">
        <v>541</v>
      </c>
      <c r="C23" s="198">
        <v>8001</v>
      </c>
    </row>
    <row r="24" spans="2:3" x14ac:dyDescent="0.2">
      <c r="B24" s="196" t="s">
        <v>567</v>
      </c>
      <c r="C24" s="199">
        <v>8459</v>
      </c>
    </row>
    <row r="25" spans="2:3" x14ac:dyDescent="0.2">
      <c r="B25" s="197" t="s">
        <v>564</v>
      </c>
      <c r="C25" s="198">
        <v>8120</v>
      </c>
    </row>
    <row r="26" spans="2:3" x14ac:dyDescent="0.2">
      <c r="B26" s="197" t="s">
        <v>568</v>
      </c>
      <c r="C26" s="198">
        <v>8213</v>
      </c>
    </row>
    <row r="27" spans="2:3" x14ac:dyDescent="0.2">
      <c r="B27" s="196" t="s">
        <v>565</v>
      </c>
      <c r="C27" s="199">
        <v>8911</v>
      </c>
    </row>
    <row r="28" spans="2:3" x14ac:dyDescent="0.2">
      <c r="B28" s="196" t="s">
        <v>566</v>
      </c>
      <c r="C28" s="199">
        <v>8105</v>
      </c>
    </row>
    <row r="29" spans="2:3" x14ac:dyDescent="0.2">
      <c r="B29" s="197" t="s">
        <v>615</v>
      </c>
      <c r="C29" s="198">
        <v>8458</v>
      </c>
    </row>
    <row r="30" spans="2:3" x14ac:dyDescent="0.2">
      <c r="B30" s="197" t="s">
        <v>537</v>
      </c>
      <c r="C30" s="198">
        <v>8100</v>
      </c>
    </row>
    <row r="31" spans="2:3" x14ac:dyDescent="0.2">
      <c r="B31" s="197" t="s">
        <v>633</v>
      </c>
      <c r="C31" s="198">
        <v>8430</v>
      </c>
    </row>
    <row r="32" spans="2:3" x14ac:dyDescent="0.2">
      <c r="B32" s="196" t="s">
        <v>634</v>
      </c>
      <c r="C32" s="199">
        <v>8415</v>
      </c>
    </row>
    <row r="33" spans="2:3" x14ac:dyDescent="0.2">
      <c r="B33" s="197" t="s">
        <v>635</v>
      </c>
      <c r="C33" s="198">
        <v>8470</v>
      </c>
    </row>
    <row r="34" spans="2:3" x14ac:dyDescent="0.2">
      <c r="B34" s="197" t="s">
        <v>636</v>
      </c>
      <c r="C34" s="198">
        <v>8480</v>
      </c>
    </row>
    <row r="35" spans="2:3" x14ac:dyDescent="0.2">
      <c r="B35" s="196" t="s">
        <v>541</v>
      </c>
      <c r="C35" s="199">
        <v>8041</v>
      </c>
    </row>
    <row r="36" spans="2:3" x14ac:dyDescent="0.2">
      <c r="B36" s="197" t="s">
        <v>649</v>
      </c>
      <c r="C36" s="198">
        <v>8430</v>
      </c>
    </row>
    <row r="37" spans="2:3" x14ac:dyDescent="0.2">
      <c r="B37" s="196" t="s">
        <v>537</v>
      </c>
      <c r="C37" s="199">
        <v>8185</v>
      </c>
    </row>
    <row r="38" spans="2:3" x14ac:dyDescent="0.2">
      <c r="B38" s="196" t="s">
        <v>650</v>
      </c>
      <c r="C38" s="199">
        <v>7840</v>
      </c>
    </row>
    <row r="39" spans="2:3" x14ac:dyDescent="0.2">
      <c r="B39" s="197" t="s">
        <v>466</v>
      </c>
      <c r="C39" s="198">
        <v>8185</v>
      </c>
    </row>
    <row r="40" spans="2:3" x14ac:dyDescent="0.2">
      <c r="B40" s="196" t="s">
        <v>663</v>
      </c>
      <c r="C40" s="199">
        <v>8320</v>
      </c>
    </row>
    <row r="41" spans="2:3" x14ac:dyDescent="0.2">
      <c r="B41" s="196" t="s">
        <v>515</v>
      </c>
      <c r="C41" s="199">
        <v>8202</v>
      </c>
    </row>
  </sheetData>
  <pageMargins left="0.7" right="0.7" top="0.75" bottom="0.75" header="0.3" footer="0.3"/>
  <headerFooter>
    <oddHeader>&amp;C&amp;"Calibri"&amp;10&amp;K000000 Internal&amp;1#_x000D_</oddHead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2"/>
  <sheetViews>
    <sheetView showRuler="0" workbookViewId="0">
      <selection activeCell="A3" sqref="A3"/>
    </sheetView>
  </sheetViews>
  <sheetFormatPr defaultColWidth="10.8515625" defaultRowHeight="15" x14ac:dyDescent="0.2"/>
  <sheetData>
    <row r="1" spans="1:1" x14ac:dyDescent="0.2">
      <c r="A1" t="s">
        <v>18</v>
      </c>
    </row>
    <row r="2" spans="1:1" x14ac:dyDescent="0.2">
      <c r="A2" t="s">
        <v>19</v>
      </c>
    </row>
  </sheetData>
  <pageMargins left="0.7" right="0.7" top="0.75" bottom="0.75" header="0.3" footer="0.3"/>
  <headerFooter>
    <oddHeader>&amp;C&amp;"Calibri"&amp;10&amp;K000000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Hojas de cálculo</vt:lpstr>
      </vt:variant>
      <vt:variant>
        <vt:i4>21</vt:i4>
      </vt:variant>
    </vt:vector>
  </HeadingPairs>
  <TitlesOfParts>
    <vt:vector size="21" baseType="lpstr">
      <vt:lpstr>Registre de reserves</vt:lpstr>
      <vt:lpstr>Registre de despeses</vt:lpstr>
      <vt:lpstr>2025</vt:lpstr>
      <vt:lpstr>2024</vt:lpstr>
      <vt:lpstr>2023</vt:lpstr>
      <vt:lpstr>2022</vt:lpstr>
      <vt:lpstr>2021</vt:lpstr>
      <vt:lpstr>2020</vt:lpstr>
      <vt:lpstr>Cuadro de mando 2023</vt:lpstr>
      <vt:lpstr>Cuadro de mando 2022</vt:lpstr>
      <vt:lpstr>Nova facturació 2024</vt:lpstr>
      <vt:lpstr>Cuadro de mando 2021</vt:lpstr>
      <vt:lpstr>Cuadro de mando 2020</vt:lpstr>
      <vt:lpstr>Tarifas 2022</vt:lpstr>
      <vt:lpstr>Post bodas</vt:lpstr>
      <vt:lpstr>Tarifas</vt:lpstr>
      <vt:lpstr>Factura</vt:lpstr>
      <vt:lpstr>Presupost</vt:lpstr>
      <vt:lpstr>Rebuts</vt:lpstr>
      <vt:lpstr>Hoja1</vt:lpstr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Microsoft Office</dc:creator>
  <cp:lastModifiedBy>Marta Monteis</cp:lastModifiedBy>
  <cp:lastPrinted>2021-12-24T11:43:20Z</cp:lastPrinted>
  <dcterms:created xsi:type="dcterms:W3CDTF">2019-12-11T18:25:01Z</dcterms:created>
  <dcterms:modified xsi:type="dcterms:W3CDTF">2025-06-22T07:10:42Z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2025-09-06T18:07:01Z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88c4de02-61bd-44bb-9115-bf2210078316</vt:lpwstr>
  </property>
  <property fmtid="{D5CDD505-2E9C-101B-9397-08002B2CF9AE}" pid="8" name="MSIP_Label_863bc15e-e7bf-41c1-bdb3-03882d8a2e2c_ContentBits">
    <vt:lpwstr>1</vt:lpwstr>
  </property>
  <property fmtid="{D5CDD505-2E9C-101B-9397-08002B2CF9AE}" pid="9" name="MSIP_Label_863bc15e-e7bf-41c1-bdb3-03882d8a2e2c_Tag">
    <vt:lpwstr>60, 0, 1, 1</vt:lpwstr>
  </property>
</Properties>
</file>